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2.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1.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Investment_Summary" sheetId="2" state="visible" r:id="rId2"/>
    <sheet name="Inputs" sheetId="3" state="visible" r:id="rId3"/>
    <sheet name="Products" sheetId="4" state="visible" r:id="rId4"/>
    <sheet name="Scenarios" sheetId="5" state="visible" r:id="rId5"/>
    <sheet name="Dashboard" sheetId="6" state="visible" r:id="rId6"/>
    <sheet name="KPIs" sheetId="7" state="visible" r:id="rId7"/>
    <sheet name="Valuation" sheetId="8" state="visible" r:id="rId8"/>
    <sheet name="Covenants" sheetId="9" state="visible" r:id="rId9"/>
    <sheet name="Unit_Economics" sheetId="10" state="visible" r:id="rId10"/>
    <sheet name="Sensitivity" sheetId="11" state="visible" r:id="rId11"/>
    <sheet name="Annual" sheetId="12" state="visible" r:id="rId12"/>
    <sheet name="FS" sheetId="13" state="visible" r:id="rId13"/>
    <sheet name="Ops" sheetId="14" state="visible" r:id="rId14"/>
    <sheet name="Costs" sheetId="15" state="visible" r:id="rId15"/>
    <sheet name="Financing" sheetId="16" state="visible" r:id="rId16"/>
    <sheet name="Curves" sheetId="17" state="visible" r:id="rId17"/>
    <sheet name="Cohort_T1" sheetId="18" state="visible" r:id="rId18"/>
    <sheet name="Cohort_T2" sheetId="19" state="visible" r:id="rId19"/>
    <sheet name="Cohort_T3" sheetId="20" state="visible" r:id="rId20"/>
    <sheet name="Cohort_T4" sheetId="21" state="visible" r:id="rId21"/>
    <sheet name="Cohort_T5" sheetId="22" state="visible" r:id="rId22"/>
    <sheet name="Timeline" sheetId="23" state="visible" r:id="rId23"/>
    <sheet name="Glossary" sheetId="24" state="visible" r:id="rId24"/>
    <sheet name="Checks" sheetId="25" state="visible" r:id="rId25"/>
  </sheets>
  <definedNames/>
  <calcPr calcId="124519" fullCalcOnLoad="1"/>
</workbook>
</file>

<file path=xl/styles.xml><?xml version="1.0" encoding="utf-8"?>
<styleSheet xmlns="http://schemas.openxmlformats.org/spreadsheetml/2006/main">
  <numFmts count="4">
    <numFmt numFmtId="164" formatCode="#,##0.00;(#,##0.00);&quot;-&quot;"/>
    <numFmt numFmtId="165" formatCode="0.0%;(0.0%);&quot;-&quot;"/>
    <numFmt numFmtId="166" formatCode="#,##0;(#,##0);&quot;-&quot;"/>
    <numFmt numFmtId="167" formatCode="0.00&quot;x&quot;;(0.00&quot;x&quot;);&quot;-&quot;"/>
  </numFmts>
  <fonts count="23">
    <font>
      <name val="Calibri"/>
      <family val="2"/>
      <color theme="1"/>
      <sz val="11"/>
      <scheme val="minor"/>
    </font>
    <font>
      <name val="Arial"/>
      <b val="1"/>
      <color rgb="001F3864"/>
      <sz val="14"/>
    </font>
    <font>
      <name val="Arial"/>
      <i val="1"/>
      <color rgb="00595959"/>
      <sz val="9"/>
    </font>
    <font>
      <name val="Arial"/>
      <b val="1"/>
      <color rgb="001F3864"/>
      <sz val="11"/>
    </font>
    <font>
      <name val="Arial"/>
      <color rgb="00000000"/>
      <sz val="10"/>
    </font>
    <font>
      <name val="Arial"/>
      <color rgb="00595959"/>
      <sz val="9"/>
    </font>
    <font>
      <name val="Arial"/>
      <color rgb="000000FF"/>
    </font>
    <font>
      <name val="Arial"/>
      <b val="1"/>
      <color rgb="00FFFFFF"/>
    </font>
    <font>
      <name val="Arial"/>
      <color rgb="00000000"/>
    </font>
    <font>
      <name val="Arial"/>
      <b val="1"/>
      <color rgb="00000000"/>
    </font>
    <font>
      <name val="Arial"/>
      <b val="1"/>
      <color rgb="00000000"/>
      <sz val="10"/>
    </font>
    <font>
      <name val="Arial"/>
    </font>
    <font>
      <name val="Arial"/>
      <color rgb="00008000"/>
    </font>
    <font>
      <name val="Arial"/>
      <b val="1"/>
    </font>
    <font>
      <name val="Arial"/>
      <b val="1"/>
      <color rgb="001F3864"/>
    </font>
    <font>
      <name val="Arial"/>
      <b val="1"/>
      <color rgb="001F3864"/>
      <sz val="10"/>
    </font>
    <font>
      <name val="Arial"/>
      <sz val="9"/>
    </font>
    <font>
      <name val="Arial"/>
      <sz val="10"/>
    </font>
    <font>
      <name val="Arial"/>
      <b val="1"/>
      <color rgb="00008000"/>
    </font>
    <font>
      <name val="Arial"/>
      <b val="1"/>
      <color rgb="00C00000"/>
    </font>
    <font>
      <name val="Arial"/>
      <color rgb="000563C1"/>
      <u val="single"/>
    </font>
    <font>
      <name val="Arial"/>
      <color rgb="000000FF"/>
      <sz val="10"/>
    </font>
    <font>
      <name val="Arial"/>
      <color rgb="00008000"/>
      <sz val="10"/>
    </font>
  </fonts>
  <fills count="4">
    <fill>
      <patternFill/>
    </fill>
    <fill>
      <patternFill patternType="gray125"/>
    </fill>
    <fill>
      <patternFill patternType="solid">
        <fgColor rgb="00FFFF00"/>
      </patternFill>
    </fill>
    <fill>
      <patternFill patternType="solid">
        <fgColor rgb="001F3864"/>
      </patternFill>
    </fill>
  </fills>
  <borders count="3">
    <border>
      <left/>
      <right/>
      <top/>
      <bottom/>
      <diagonal/>
    </border>
    <border>
      <bottom style="thin">
        <color rgb="001F3864"/>
      </bottom>
    </border>
    <border>
      <top style="thin">
        <color rgb="00808080"/>
      </top>
    </border>
  </borders>
  <cellStyleXfs count="1">
    <xf numFmtId="0" fontId="0" fillId="0" borderId="0"/>
  </cellStyleXfs>
  <cellXfs count="79">
    <xf numFmtId="0" fontId="0" fillId="0" borderId="0" pivotButton="0" quotePrefix="0" xfId="0"/>
    <xf numFmtId="0" fontId="1" fillId="0" borderId="0" pivotButton="0" quotePrefix="0" xfId="0"/>
    <xf numFmtId="0" fontId="2" fillId="0" borderId="0" pivotButton="0" quotePrefix="0" xfId="0"/>
    <xf numFmtId="0" fontId="10" fillId="0" borderId="0" pivotButton="0" quotePrefix="0" xfId="0"/>
    <xf numFmtId="0" fontId="4" fillId="0" borderId="0" pivotButton="0" quotePrefix="0" xfId="0"/>
    <xf numFmtId="49" fontId="19" fillId="0" borderId="0" pivotButton="0" quotePrefix="0" xfId="0"/>
    <xf numFmtId="0" fontId="3" fillId="0" borderId="0" pivotButton="0" quotePrefix="0" xfId="0"/>
    <xf numFmtId="0" fontId="20" fillId="0" borderId="0" pivotButton="0" quotePrefix="0" xfId="0"/>
    <xf numFmtId="0" fontId="21" fillId="0" borderId="0" pivotButton="0" quotePrefix="0" xfId="0"/>
    <xf numFmtId="0" fontId="6" fillId="2" borderId="0" pivotButton="0" quotePrefix="0" xfId="0"/>
    <xf numFmtId="0" fontId="22" fillId="0" borderId="0" pivotButton="0" quotePrefix="0" xfId="0"/>
    <xf numFmtId="0" fontId="16" fillId="0" borderId="0" applyAlignment="1" pivotButton="0" quotePrefix="0" xfId="0">
      <alignment vertical="top" wrapText="1"/>
    </xf>
    <xf numFmtId="49" fontId="18" fillId="0" borderId="0" pivotButton="0" quotePrefix="0" xfId="0"/>
    <xf numFmtId="49" fontId="12" fillId="0" borderId="0" pivotButton="0" quotePrefix="0" xfId="0"/>
    <xf numFmtId="0" fontId="3" fillId="0" borderId="1" pivotButton="0" quotePrefix="0" xfId="0"/>
    <xf numFmtId="0" fontId="0" fillId="0" borderId="1" pivotButton="0" quotePrefix="0" xfId="0"/>
    <xf numFmtId="0" fontId="7" fillId="3" borderId="0" applyAlignment="1" pivotButton="0" quotePrefix="0" xfId="0">
      <alignment horizontal="center" wrapText="1"/>
    </xf>
    <xf numFmtId="166" fontId="12" fillId="0" borderId="0" pivotButton="0" quotePrefix="0" xfId="0"/>
    <xf numFmtId="165" fontId="12" fillId="0" borderId="0" pivotButton="0" quotePrefix="0" xfId="0"/>
    <xf numFmtId="167" fontId="12" fillId="0" borderId="0" pivotButton="0" quotePrefix="0" xfId="0"/>
    <xf numFmtId="166" fontId="18" fillId="0" borderId="0" pivotButton="0" quotePrefix="0" xfId="0"/>
    <xf numFmtId="1" fontId="18" fillId="0" borderId="0" pivotButton="0" quotePrefix="0" xfId="0"/>
    <xf numFmtId="165" fontId="18" fillId="0" borderId="0" pivotButton="0" quotePrefix="0" xfId="0"/>
    <xf numFmtId="167" fontId="18" fillId="0" borderId="0" pivotButton="0" quotePrefix="0" xfId="0"/>
    <xf numFmtId="1" fontId="12" fillId="0" borderId="0" pivotButton="0" quotePrefix="0" xfId="0"/>
    <xf numFmtId="164" fontId="12" fillId="0" borderId="0" pivotButton="0" quotePrefix="0" xfId="0"/>
    <xf numFmtId="0" fontId="5" fillId="0" borderId="0" pivotButton="0" quotePrefix="0" xfId="0"/>
    <xf numFmtId="1" fontId="6" fillId="2" borderId="0" pivotButton="0" quotePrefix="0" xfId="0"/>
    <xf numFmtId="17" fontId="6" fillId="0" borderId="0" pivotButton="0" quotePrefix="0" xfId="0"/>
    <xf numFmtId="49" fontId="6" fillId="0" borderId="0" pivotButton="0" quotePrefix="0" xfId="0"/>
    <xf numFmtId="164" fontId="6" fillId="2" borderId="0" pivotButton="0" quotePrefix="0" xfId="0"/>
    <xf numFmtId="165" fontId="6" fillId="0" borderId="0" pivotButton="0" quotePrefix="0" xfId="0"/>
    <xf numFmtId="165" fontId="6" fillId="2" borderId="0" pivotButton="0" quotePrefix="0" xfId="0"/>
    <xf numFmtId="166" fontId="6" fillId="2" borderId="0" pivotButton="0" quotePrefix="0" xfId="0"/>
    <xf numFmtId="166" fontId="6" fillId="0" borderId="0" pivotButton="0" quotePrefix="0" xfId="0"/>
    <xf numFmtId="1" fontId="6" fillId="0" borderId="0" pivotButton="0" quotePrefix="0" xfId="0"/>
    <xf numFmtId="164" fontId="6" fillId="0" borderId="0" pivotButton="0" quotePrefix="0" xfId="0"/>
    <xf numFmtId="167" fontId="6" fillId="0" borderId="0" pivotButton="0" quotePrefix="0" xfId="0"/>
    <xf numFmtId="49" fontId="6" fillId="0" borderId="0" applyAlignment="1" pivotButton="0" quotePrefix="0" xfId="0">
      <alignment vertical="top" wrapText="1"/>
    </xf>
    <xf numFmtId="166" fontId="8" fillId="0" borderId="0" pivotButton="0" quotePrefix="0" xfId="0"/>
    <xf numFmtId="165" fontId="8" fillId="0" borderId="0" pivotButton="0" quotePrefix="0" xfId="0"/>
    <xf numFmtId="164" fontId="9" fillId="0" borderId="0" pivotButton="0" quotePrefix="0" xfId="0"/>
    <xf numFmtId="165" fontId="9" fillId="0" borderId="0" pivotButton="0" quotePrefix="0" xfId="0"/>
    <xf numFmtId="49" fontId="9" fillId="0" borderId="0" pivotButton="0" quotePrefix="0" xfId="0"/>
    <xf numFmtId="0" fontId="7" fillId="3" borderId="0" applyAlignment="1" pivotButton="0" quotePrefix="0" xfId="0">
      <alignment horizontal="right"/>
    </xf>
    <xf numFmtId="167" fontId="8" fillId="0" borderId="0" pivotButton="0" quotePrefix="0" xfId="0"/>
    <xf numFmtId="1" fontId="8" fillId="0" borderId="0" pivotButton="0" quotePrefix="0" xfId="0"/>
    <xf numFmtId="164" fontId="8" fillId="0" borderId="0" pivotButton="0" quotePrefix="0" xfId="0"/>
    <xf numFmtId="166" fontId="9" fillId="0" borderId="0" pivotButton="0" quotePrefix="0" xfId="0"/>
    <xf numFmtId="1" fontId="9" fillId="0" borderId="0" pivotButton="0" quotePrefix="0" xfId="0"/>
    <xf numFmtId="167" fontId="9" fillId="0" borderId="0" pivotButton="0" quotePrefix="0" xfId="0"/>
    <xf numFmtId="0" fontId="7" fillId="3" borderId="0" pivotButton="0" quotePrefix="0" xfId="0"/>
    <xf numFmtId="0" fontId="0" fillId="3" borderId="0" pivotButton="0" quotePrefix="0" xfId="0"/>
    <xf numFmtId="1" fontId="7" fillId="3" borderId="0" applyAlignment="1" pivotButton="0" quotePrefix="0" xfId="0">
      <alignment horizontal="right"/>
    </xf>
    <xf numFmtId="17" fontId="7" fillId="3" borderId="0" applyAlignment="1" pivotButton="0" quotePrefix="0" xfId="0">
      <alignment horizontal="right"/>
    </xf>
    <xf numFmtId="0" fontId="11" fillId="0" borderId="0" pivotButton="0" quotePrefix="0" xfId="0"/>
    <xf numFmtId="165" fontId="13" fillId="0" borderId="0" pivotButton="0" quotePrefix="0" xfId="0"/>
    <xf numFmtId="1" fontId="13" fillId="0" borderId="0" pivotButton="0" quotePrefix="0" xfId="0"/>
    <xf numFmtId="166" fontId="13" fillId="0" borderId="0" pivotButton="0" quotePrefix="0" xfId="0"/>
    <xf numFmtId="167" fontId="13" fillId="0" borderId="0" pivotButton="0" quotePrefix="0" xfId="0"/>
    <xf numFmtId="0" fontId="13" fillId="0" borderId="2" pivotButton="0" quotePrefix="0" xfId="0"/>
    <xf numFmtId="0" fontId="5" fillId="0" borderId="2" pivotButton="0" quotePrefix="0" xfId="0"/>
    <xf numFmtId="1" fontId="13" fillId="0" borderId="2" pivotButton="0" quotePrefix="0" xfId="0"/>
    <xf numFmtId="0" fontId="0" fillId="0" borderId="2" pivotButton="0" quotePrefix="0" xfId="0"/>
    <xf numFmtId="1" fontId="9" fillId="0" borderId="2" pivotButton="0" quotePrefix="0" xfId="0"/>
    <xf numFmtId="164" fontId="13" fillId="0" borderId="0" pivotButton="0" quotePrefix="0" xfId="0"/>
    <xf numFmtId="164" fontId="11" fillId="0" borderId="0" pivotButton="0" quotePrefix="0" xfId="0"/>
    <xf numFmtId="165" fontId="11" fillId="0" borderId="0" pivotButton="0" quotePrefix="0" xfId="0"/>
    <xf numFmtId="167" fontId="11" fillId="0" borderId="0" pivotButton="0" quotePrefix="0" xfId="0"/>
    <xf numFmtId="1" fontId="11" fillId="0" borderId="0" pivotButton="0" quotePrefix="0" xfId="0"/>
    <xf numFmtId="166" fontId="13" fillId="0" borderId="2" pivotButton="0" quotePrefix="0" xfId="0"/>
    <xf numFmtId="166" fontId="9" fillId="0" borderId="2" pivotButton="0" quotePrefix="0" xfId="0"/>
    <xf numFmtId="0" fontId="14" fillId="0" borderId="0" pivotButton="0" quotePrefix="0" xfId="0"/>
    <xf numFmtId="0" fontId="15" fillId="0" borderId="0" pivotButton="0" quotePrefix="0" xfId="0"/>
    <xf numFmtId="0" fontId="16" fillId="0" borderId="0" pivotButton="0" quotePrefix="0" xfId="0"/>
    <xf numFmtId="166" fontId="16" fillId="0" borderId="0" pivotButton="0" quotePrefix="0" xfId="0"/>
    <xf numFmtId="1" fontId="7" fillId="3" borderId="0" pivotButton="0" quotePrefix="0" xfId="0"/>
    <xf numFmtId="17" fontId="7" fillId="3" borderId="0" pivotButton="0" quotePrefix="0" xfId="0"/>
    <xf numFmtId="0" fontId="1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styles" Target="styles.xml" Id="rId26" /><Relationship Type="http://schemas.openxmlformats.org/officeDocument/2006/relationships/theme" Target="theme/theme1.xml" Id="rId27" /></Relationships>
</file>

<file path=xl/charts/chart1.xml><?xml version="1.0" encoding="utf-8"?>
<chartSpace xmlns:a="http://schemas.openxmlformats.org/drawingml/2006/main" xmlns="http://schemas.openxmlformats.org/drawingml/2006/chart">
  <chart>
    <title>
      <tx>
        <rich>
          <a:bodyPr/>
          <a:p>
            <a:pPr>
              <a:defRPr/>
            </a:pPr>
            <a:r>
              <a:t>Revenue &amp; EBITDA (LCY)</a:t>
            </a:r>
          </a:p>
        </rich>
      </tx>
    </title>
    <plotArea>
      <barChart>
        <barDir val="col"/>
        <grouping val="clustered"/>
        <ser>
          <idx val="0"/>
          <order val="0"/>
          <spPr>
            <a:ln>
              <a:prstDash val="solid"/>
            </a:ln>
          </spPr>
          <cat>
            <numRef>
              <f>'Annual'!$E$5:$I$5</f>
            </numRef>
          </cat>
          <val>
            <numRef>
              <f>'Annual'!$E$11:$I$11</f>
            </numRef>
          </val>
        </ser>
        <ser>
          <idx val="1"/>
          <order val="1"/>
          <spPr>
            <a:ln>
              <a:prstDash val="solid"/>
            </a:ln>
          </spPr>
          <cat>
            <numRef>
              <f>'Annual'!$E$5:$I$5</f>
            </numRef>
          </cat>
          <val>
            <numRef>
              <f>'Annual'!$E$18:$I$18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Units sold by tier</a:t>
            </a:r>
          </a:p>
        </rich>
      </tx>
    </title>
    <plotArea>
      <barChart>
        <barDir val="col"/>
        <grouping val="stacked"/>
        <ser>
          <idx val="0"/>
          <order val="0"/>
          <spPr>
            <a:ln>
              <a:prstDash val="solid"/>
            </a:ln>
          </spPr>
          <cat>
            <numRef>
              <f>'KPIs'!$E$5:$I$5</f>
            </numRef>
          </cat>
          <val>
            <numRef>
              <f>'KPIs'!$E$9:$I$9</f>
            </numRef>
          </val>
        </ser>
        <ser>
          <idx val="1"/>
          <order val="1"/>
          <spPr>
            <a:ln>
              <a:prstDash val="solid"/>
            </a:ln>
          </spPr>
          <cat>
            <numRef>
              <f>'KPIs'!$E$5:$I$5</f>
            </numRef>
          </cat>
          <val>
            <numRef>
              <f>'KPIs'!$E$10:$I$10</f>
            </numRef>
          </val>
        </ser>
        <ser>
          <idx val="2"/>
          <order val="2"/>
          <spPr>
            <a:ln>
              <a:prstDash val="solid"/>
            </a:ln>
          </spPr>
          <cat>
            <numRef>
              <f>'KPIs'!$E$5:$I$5</f>
            </numRef>
          </cat>
          <val>
            <numRef>
              <f>'KPIs'!$E$11:$I$11</f>
            </numRef>
          </val>
        </ser>
        <ser>
          <idx val="3"/>
          <order val="3"/>
          <spPr>
            <a:ln>
              <a:prstDash val="solid"/>
            </a:ln>
          </spPr>
          <cat>
            <numRef>
              <f>'KPIs'!$E$5:$I$5</f>
            </numRef>
          </cat>
          <val>
            <numRef>
              <f>'KPIs'!$E$12:$I$12</f>
            </numRef>
          </val>
        </ser>
        <ser>
          <idx val="4"/>
          <order val="4"/>
          <spPr>
            <a:ln>
              <a:prstDash val="solid"/>
            </a:ln>
          </spPr>
          <cat>
            <numRef>
              <f>'KPIs'!$E$5:$I$5</f>
            </numRef>
          </cat>
          <val>
            <numRef>
              <f>'KPIs'!$E$13:$I$13</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Collection rate &amp; write-off rate</a:t>
            </a:r>
          </a:p>
        </rich>
      </tx>
    </title>
    <plotArea>
      <lineChart>
        <grouping val="standard"/>
        <ser>
          <idx val="0"/>
          <order val="0"/>
          <spPr>
            <a:ln>
              <a:prstDash val="solid"/>
            </a:ln>
          </spPr>
          <marker>
            <symbol val="none"/>
            <spPr>
              <a:ln>
                <a:prstDash val="solid"/>
              </a:ln>
            </spPr>
          </marker>
          <cat>
            <numRef>
              <f>'KPIs'!$E$5:$I$5</f>
            </numRef>
          </cat>
          <val>
            <numRef>
              <f>'KPIs'!$E$19:$I$19</f>
            </numRef>
          </val>
        </ser>
        <ser>
          <idx val="1"/>
          <order val="1"/>
          <spPr>
            <a:ln>
              <a:prstDash val="solid"/>
            </a:ln>
          </spPr>
          <marker>
            <symbol val="none"/>
            <spPr>
              <a:ln>
                <a:prstDash val="solid"/>
              </a:ln>
            </spPr>
          </marker>
          <cat>
            <numRef>
              <f>'KPIs'!$E$5:$I$5</f>
            </numRef>
          </cat>
          <val>
            <numRef>
              <f>'KPIs'!$E$20:$I$20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Cumulative equity vs total debt (LCY)</a:t>
            </a:r>
          </a:p>
        </rich>
      </tx>
    </title>
    <plotArea>
      <lineChart>
        <grouping val="standard"/>
        <ser>
          <idx val="0"/>
          <order val="0"/>
          <spPr>
            <a:ln>
              <a:prstDash val="solid"/>
            </a:ln>
          </spPr>
          <marker>
            <symbol val="none"/>
            <spPr>
              <a:ln>
                <a:prstDash val="solid"/>
              </a:ln>
            </spPr>
          </marker>
          <cat>
            <numRef>
              <f>'KPIs'!$E$5:$I$5</f>
            </numRef>
          </cat>
          <val>
            <numRef>
              <f>'KPIs'!$E$41:$I$41</f>
            </numRef>
          </val>
        </ser>
        <ser>
          <idx val="1"/>
          <order val="1"/>
          <spPr>
            <a:ln>
              <a:prstDash val="solid"/>
            </a:ln>
          </spPr>
          <marker>
            <symbol val="none"/>
            <spPr>
              <a:ln>
                <a:prstDash val="solid"/>
              </a:ln>
            </spPr>
          </marker>
          <cat>
            <numRef>
              <f>'KPIs'!$E$5:$I$5</f>
            </numRef>
          </cat>
          <val>
            <numRef>
              <f>'KPIs'!$E$43:$I$43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Investor IRR by case (static)</a:t>
            </a:r>
          </a:p>
        </rich>
      </tx>
    </title>
    <plotArea>
      <barChart>
        <barDir val="bar"/>
        <grouping val="clustered"/>
        <ser>
          <idx val="0"/>
          <order val="0"/>
          <spPr>
            <a:ln>
              <a:prstDash val="solid"/>
            </a:ln>
          </spPr>
          <cat>
            <numRef>
              <f>'Sensitivity'!$A$6:$A$17</f>
            </numRef>
          </cat>
          <val>
            <numRef>
              <f>'Sensitivity'!$G$6:$G$17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AEF</author>
  </authors>
  <commentList>
    <comment ref="A159" authorId="0" shapeId="0">
      <text>
        <t>PAYGo PERFORM-style: follow-on payments collected / scheduled, excluding deposits.</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_rels/drawing2.xml.rels><Relationships xmlns="http://schemas.openxmlformats.org/package/2006/relationships"><Relationship Type="http://schemas.openxmlformats.org/officeDocument/2006/relationships/chart" Target="/xl/charts/chart5.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3</row>
      <rowOff>0</rowOff>
    </from>
    <ext cx="5400000" cy="2880000"/>
    <graphicFrame>
      <nvGraphicFramePr>
        <cNvPr id="1" name="Chart 1"/>
        <cNvGraphicFramePr/>
      </nvGraphicFramePr>
      <xfrm/>
      <a:graphic>
        <a:graphicData uri="http://schemas.openxmlformats.org/drawingml/2006/chart">
          <c:chart r:id="rId1"/>
        </a:graphicData>
      </a:graphic>
    </graphicFrame>
    <clientData/>
  </oneCellAnchor>
  <oneCellAnchor>
    <from>
      <col>12</col>
      <colOff>0</colOff>
      <row>3</row>
      <rowOff>0</rowOff>
    </from>
    <ext cx="540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20</row>
      <rowOff>0</rowOff>
    </from>
    <ext cx="5400000" cy="2880000"/>
    <graphicFrame>
      <nvGraphicFramePr>
        <cNvPr id="3" name="Chart 3"/>
        <cNvGraphicFramePr/>
      </nvGraphicFramePr>
      <xfrm/>
      <a:graphic>
        <a:graphicData uri="http://schemas.openxmlformats.org/drawingml/2006/chart">
          <c:chart r:id="rId3"/>
        </a:graphicData>
      </a:graphic>
    </graphicFrame>
    <clientData/>
  </oneCellAnchor>
  <oneCellAnchor>
    <from>
      <col>12</col>
      <colOff>0</colOff>
      <row>20</row>
      <rowOff>0</rowOff>
    </from>
    <ext cx="5400000" cy="2880000"/>
    <graphicFrame>
      <nvGraphicFramePr>
        <cNvPr id="4" name="Chart 4"/>
        <cNvGraphicFramePr/>
      </nvGraphicFramePr>
      <xfrm/>
      <a:graphic>
        <a:graphicData uri="http://schemas.openxmlformats.org/drawingml/2006/chart">
          <c:chart r:id="rId4"/>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20</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nvestment_Summary'!A1" TargetMode="External" Id="rId1" /><Relationship Type="http://schemas.openxmlformats.org/officeDocument/2006/relationships/hyperlink" Target="#'Inputs'!A1" TargetMode="External" Id="rId2" /><Relationship Type="http://schemas.openxmlformats.org/officeDocument/2006/relationships/hyperlink" Target="#'Products'!A1" TargetMode="External" Id="rId3" /><Relationship Type="http://schemas.openxmlformats.org/officeDocument/2006/relationships/hyperlink" Target="#'Scenarios'!A1" TargetMode="External" Id="rId4" /><Relationship Type="http://schemas.openxmlformats.org/officeDocument/2006/relationships/hyperlink" Target="#'Dashboard'!A1" TargetMode="External" Id="rId5" /><Relationship Type="http://schemas.openxmlformats.org/officeDocument/2006/relationships/hyperlink" Target="#'KPIs'!A1" TargetMode="External" Id="rId6" /><Relationship Type="http://schemas.openxmlformats.org/officeDocument/2006/relationships/hyperlink" Target="#'Valuation'!A1" TargetMode="External" Id="rId7" /><Relationship Type="http://schemas.openxmlformats.org/officeDocument/2006/relationships/hyperlink" Target="#'Covenants'!A1" TargetMode="External" Id="rId8" /><Relationship Type="http://schemas.openxmlformats.org/officeDocument/2006/relationships/hyperlink" Target="#'Unit_Economics'!A1" TargetMode="External" Id="rId9" /><Relationship Type="http://schemas.openxmlformats.org/officeDocument/2006/relationships/hyperlink" Target="#'Sensitivity'!A1" TargetMode="External" Id="rId10" /><Relationship Type="http://schemas.openxmlformats.org/officeDocument/2006/relationships/hyperlink" Target="#'Annual'!A1" TargetMode="External" Id="rId11" /><Relationship Type="http://schemas.openxmlformats.org/officeDocument/2006/relationships/hyperlink" Target="#'FS'!A1" TargetMode="External" Id="rId12" /><Relationship Type="http://schemas.openxmlformats.org/officeDocument/2006/relationships/hyperlink" Target="#'Ops'!A1" TargetMode="External" Id="rId13" /><Relationship Type="http://schemas.openxmlformats.org/officeDocument/2006/relationships/hyperlink" Target="#'Costs'!A1" TargetMode="External" Id="rId14" /><Relationship Type="http://schemas.openxmlformats.org/officeDocument/2006/relationships/hyperlink" Target="#'Financing'!A1" TargetMode="External" Id="rId15" /><Relationship Type="http://schemas.openxmlformats.org/officeDocument/2006/relationships/hyperlink" Target="#'Curves'!A1" TargetMode="External" Id="rId16" /><Relationship Type="http://schemas.openxmlformats.org/officeDocument/2006/relationships/hyperlink" Target="#'Cohort_T1'!A1" TargetMode="External" Id="rId17" /><Relationship Type="http://schemas.openxmlformats.org/officeDocument/2006/relationships/hyperlink" Target="#'Timeline'!A1" TargetMode="External" Id="rId18" /><Relationship Type="http://schemas.openxmlformats.org/officeDocument/2006/relationships/hyperlink" Target="#'Glossary'!A1" TargetMode="External" Id="rId19" /><Relationship Type="http://schemas.openxmlformats.org/officeDocument/2006/relationships/hyperlink" Target="#'Checks'!A1" TargetMode="External" Id="rId20" /></Relationships>
</file>

<file path=xl/worksheets/_rels/sheet6.xml.rels><Relationships xmlns="http://schemas.openxmlformats.org/package/2006/relationships"><Relationship Type="http://schemas.openxmlformats.org/officeDocument/2006/relationships/drawing" Target="/xl/drawings/drawing1.xml" Id="rId1" /></Relationships>
</file>

<file path=xl/worksheets/_rels/sheet11.xml.rels><Relationships xmlns="http://schemas.openxmlformats.org/package/2006/relationships"><Relationship Type="http://schemas.openxmlformats.org/officeDocument/2006/relationships/drawing" Target="/xl/drawings/drawing2.xml" Id="rId1" /></Relationships>
</file>

<file path=xl/worksheets/_rels/sheet1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1F3864"/>
    <outlinePr summaryBelow="1" summaryRight="1"/>
    <pageSetUpPr fitToPage="1"/>
  </sheetPr>
  <dimension ref="A1:B47"/>
  <sheetViews>
    <sheetView showGridLines="0" workbookViewId="0">
      <selection activeCell="A1" sqref="A1"/>
    </sheetView>
  </sheetViews>
  <sheetFormatPr baseColWidth="8" defaultRowHeight="15"/>
  <cols>
    <col width="30" customWidth="1" min="1" max="1"/>
    <col width="100" customWidth="1" min="2" max="2"/>
    <col width="16" customWidth="1" min="3" max="3"/>
  </cols>
  <sheetData>
    <row r="1">
      <c r="A1" s="1" t="inlineStr">
        <is>
          <t>AFRICA ENERGY FINANCE  |  Business &amp; Financial Models</t>
        </is>
      </c>
    </row>
    <row r="2">
      <c r="A2" s="2" t="inlineStr">
        <is>
          <t>Volume 2 - Solar Home Systems  |  PAYGo Company Financial &amp; Investment Model</t>
        </is>
      </c>
    </row>
    <row r="3"/>
    <row r="4">
      <c r="A4" s="3" t="inlineStr">
        <is>
          <t>Model</t>
        </is>
      </c>
      <c r="B4" s="4" t="inlineStr">
        <is>
          <t>SHS / PAYGo Company Financial &amp; Investment Model - MTF Tiers 1-5</t>
        </is>
      </c>
    </row>
    <row r="5">
      <c r="A5" s="3" t="inlineStr">
        <is>
          <t>Version</t>
        </is>
      </c>
      <c r="B5" s="4" t="inlineStr">
        <is>
          <t>v0.2 - development build, generated 2026-10-02</t>
        </is>
      </c>
    </row>
    <row r="6">
      <c r="A6" s="3" t="inlineStr">
        <is>
          <t>Status</t>
        </is>
      </c>
      <c r="B6" s="4" t="inlineStr">
        <is>
          <t>Draft for expert review. Default inputs are illustrative, not benchmarks.</t>
        </is>
      </c>
    </row>
    <row r="7">
      <c r="A7" s="3" t="inlineStr">
        <is>
          <t>Currency</t>
        </is>
      </c>
      <c r="B7" s="4" t="inlineStr">
        <is>
          <t>Model currency = LCY. Hardware, RBF and term debt in USD, converted at the Timeline FX path.</t>
        </is>
      </c>
    </row>
    <row r="8">
      <c r="A8" s="3" t="inlineStr">
        <is>
          <t>Periodicity</t>
        </is>
      </c>
      <c r="B8" s="4" t="inlineStr">
        <is>
          <t>Monthly over 60 months; annual roll-ups on Annual, KPIs and Valuation.</t>
        </is>
      </c>
    </row>
    <row r="9">
      <c r="A9" s="3" t="inlineStr">
        <is>
          <t>Master check</t>
        </is>
      </c>
      <c r="B9" s="5">
        <f>Checks!$C$18</f>
        <v/>
      </c>
    </row>
    <row r="10"/>
    <row r="11">
      <c r="A11" s="6" t="inlineStr">
        <is>
          <t>How to use</t>
        </is>
      </c>
    </row>
    <row r="12">
      <c r="B12" s="4" t="inlineStr">
        <is>
          <t>1. Inputs - scenario, macro, volumes, opex, RBF, financing, covenants, valuation (yellow = review first).</t>
        </is>
      </c>
    </row>
    <row r="13">
      <c r="B13" s="4" t="inlineStr">
        <is>
          <t>2. Products - five MTF tiers: specification, PAYGo price plan, cost to serve, credit risk, recovery, RBF, advance rate.</t>
        </is>
      </c>
    </row>
    <row r="14">
      <c r="B14" s="4" t="inlineStr">
        <is>
          <t>3. Scenarios - Base / Downside / Severe levers.</t>
        </is>
      </c>
    </row>
    <row r="15">
      <c r="B15" s="4" t="inlineStr">
        <is>
          <t>4. Read Investment_Summary, then Dashboard, KPIs, Valuation, Covenants and Unit_Economics.</t>
        </is>
      </c>
    </row>
    <row r="16">
      <c r="B16" s="4" t="inlineStr">
        <is>
          <t>5. Audit trail: FS -&gt; Ops -&gt; Cohort_T1..T5 -&gt; Curves. Every number traces back to Inputs or Products.</t>
        </is>
      </c>
    </row>
    <row r="17">
      <c r="B17" s="4" t="inlineStr">
        <is>
          <t>6. The master check must read OK before any output is used.</t>
        </is>
      </c>
    </row>
    <row r="18"/>
    <row r="19">
      <c r="A19" s="6" t="inlineStr">
        <is>
          <t>Sheet index</t>
        </is>
      </c>
    </row>
    <row r="20">
      <c r="A20" s="7" t="inlineStr">
        <is>
          <t>Investment_Summary</t>
        </is>
      </c>
      <c r="B20" s="4" t="inlineStr">
        <is>
          <t>One-page investment committee / lender summary</t>
        </is>
      </c>
    </row>
    <row r="21">
      <c r="A21" s="7" t="inlineStr">
        <is>
          <t>Inputs</t>
        </is>
      </c>
      <c r="B21" s="4" t="inlineStr">
        <is>
          <t>Global inputs</t>
        </is>
      </c>
    </row>
    <row r="22">
      <c r="A22" s="7" t="inlineStr">
        <is>
          <t>Products</t>
        </is>
      </c>
      <c r="B22" s="4" t="inlineStr">
        <is>
          <t>Tiers 1-5: specification, price plans, risk</t>
        </is>
      </c>
    </row>
    <row r="23">
      <c r="A23" s="7" t="inlineStr">
        <is>
          <t>Scenarios</t>
        </is>
      </c>
      <c r="B23" s="4" t="inlineStr">
        <is>
          <t>Stress levers</t>
        </is>
      </c>
    </row>
    <row r="24">
      <c r="A24" s="7" t="inlineStr">
        <is>
          <t>Dashboard</t>
        </is>
      </c>
      <c r="B24" s="4" t="inlineStr">
        <is>
          <t>Charts</t>
        </is>
      </c>
    </row>
    <row r="25">
      <c r="A25" s="7" t="inlineStr">
        <is>
          <t>KPIs</t>
        </is>
      </c>
      <c r="B25" s="4" t="inlineStr">
        <is>
          <t>Portfolio, financial and lender KPIs</t>
        </is>
      </c>
    </row>
    <row r="26">
      <c r="A26" s="7" t="inlineStr">
        <is>
          <t>Valuation</t>
        </is>
      </c>
      <c r="B26" s="4" t="inlineStr">
        <is>
          <t>DCF and investor IRR / MOIC</t>
        </is>
      </c>
    </row>
    <row r="27">
      <c r="A27" s="7" t="inlineStr">
        <is>
          <t>Covenants</t>
        </is>
      </c>
      <c r="B27" s="4" t="inlineStr">
        <is>
          <t>Monthly covenant tests</t>
        </is>
      </c>
    </row>
    <row r="28">
      <c r="A28" s="7" t="inlineStr">
        <is>
          <t>Unit_Economics</t>
        </is>
      </c>
      <c r="B28" s="4" t="inlineStr">
        <is>
          <t>Per-unit economics by tier</t>
        </is>
      </c>
    </row>
    <row r="29">
      <c r="A29" s="7" t="inlineStr">
        <is>
          <t>Sensitivity</t>
        </is>
      </c>
      <c r="B29" s="4" t="inlineStr">
        <is>
          <t>Static scenario &amp; sensitivity snapshot</t>
        </is>
      </c>
    </row>
    <row r="30">
      <c r="A30" s="7" t="inlineStr">
        <is>
          <t>Annual</t>
        </is>
      </c>
      <c r="B30" s="4" t="inlineStr">
        <is>
          <t>Annual statements</t>
        </is>
      </c>
    </row>
    <row r="31">
      <c r="A31" s="7" t="inlineStr">
        <is>
          <t>FS</t>
        </is>
      </c>
      <c r="B31" s="4" t="inlineStr">
        <is>
          <t>Monthly statements</t>
        </is>
      </c>
    </row>
    <row r="32">
      <c r="A32" s="7" t="inlineStr">
        <is>
          <t>Ops</t>
        </is>
      </c>
      <c r="B32" s="4" t="inlineStr">
        <is>
          <t>Portfolio engine</t>
        </is>
      </c>
    </row>
    <row r="33">
      <c r="A33" s="7" t="inlineStr">
        <is>
          <t>Costs</t>
        </is>
      </c>
      <c r="B33" s="4" t="inlineStr">
        <is>
          <t>Costs, working capital, capex</t>
        </is>
      </c>
    </row>
    <row r="34">
      <c r="A34" s="7" t="inlineStr">
        <is>
          <t>Financing</t>
        </is>
      </c>
      <c r="B34" s="4" t="inlineStr">
        <is>
          <t>Equity, term loan, receivables facility</t>
        </is>
      </c>
    </row>
    <row r="35">
      <c r="A35" s="7" t="inlineStr">
        <is>
          <t>Curves</t>
        </is>
      </c>
      <c r="B35" s="4" t="inlineStr">
        <is>
          <t>Per-unit repayment curves</t>
        </is>
      </c>
    </row>
    <row r="36">
      <c r="A36" s="7" t="inlineStr">
        <is>
          <t>Cohort_T1</t>
        </is>
      </c>
      <c r="B36" s="4" t="inlineStr">
        <is>
          <t>Vintage matrices (one sheet per tier)</t>
        </is>
      </c>
    </row>
    <row r="37">
      <c r="A37" s="7" t="inlineStr">
        <is>
          <t>Timeline</t>
        </is>
      </c>
      <c r="B37" s="4" t="inlineStr">
        <is>
          <t>Dates, FX, indices</t>
        </is>
      </c>
    </row>
    <row r="38">
      <c r="A38" s="7" t="inlineStr">
        <is>
          <t>Glossary</t>
        </is>
      </c>
      <c r="B38" s="4" t="inlineStr">
        <is>
          <t>PAYGo &amp; SHS terms</t>
        </is>
      </c>
    </row>
    <row r="39">
      <c r="A39" s="7" t="inlineStr">
        <is>
          <t>Checks</t>
        </is>
      </c>
      <c r="B39" s="4" t="inlineStr">
        <is>
          <t>Integrity checks</t>
        </is>
      </c>
    </row>
    <row r="40"/>
    <row r="41">
      <c r="A41" s="6" t="inlineStr">
        <is>
          <t>Colour code</t>
        </is>
      </c>
    </row>
    <row r="42">
      <c r="A42" s="8" t="inlineStr">
        <is>
          <t>1,000</t>
        </is>
      </c>
      <c r="B42" s="4" t="inlineStr">
        <is>
          <t>Blue = hard-coded input</t>
        </is>
      </c>
    </row>
    <row r="43">
      <c r="A43" s="9" t="inlineStr">
        <is>
          <t>1,000</t>
        </is>
      </c>
      <c r="B43" s="4" t="inlineStr">
        <is>
          <t>Yellow fill = key assumption</t>
        </is>
      </c>
    </row>
    <row r="44">
      <c r="A44" s="4" t="inlineStr">
        <is>
          <t>1,000</t>
        </is>
      </c>
      <c r="B44" s="4" t="inlineStr">
        <is>
          <t>Black = formula</t>
        </is>
      </c>
    </row>
    <row r="45">
      <c r="A45" s="10" t="inlineStr">
        <is>
          <t>1,000</t>
        </is>
      </c>
      <c r="B45" s="4" t="inlineStr">
        <is>
          <t>Green = link from another sheet</t>
        </is>
      </c>
    </row>
    <row r="46"/>
    <row r="47" ht="40" customHeight="1">
      <c r="A47" s="6" t="inlineStr">
        <is>
          <t>Disclaimer</t>
        </is>
      </c>
      <c r="B47" s="11" t="inlineStr">
        <is>
          <t>Decision-support tool. Not investment, legal, tax or accounting advice. Default inputs are illustrative. Accounting simplifications (revenue recognition, ECL without staging, tax, valuation) are listed in the user manual. Users are responsible for their inputs and conclusions.</t>
        </is>
      </c>
    </row>
  </sheetData>
  <hyperlinks>
    <hyperlink xmlns:r="http://schemas.openxmlformats.org/officeDocument/2006/relationships" ref="A20" r:id="rId1"/>
    <hyperlink xmlns:r="http://schemas.openxmlformats.org/officeDocument/2006/relationships" ref="A21" r:id="rId2"/>
    <hyperlink xmlns:r="http://schemas.openxmlformats.org/officeDocument/2006/relationships" ref="A22" r:id="rId3"/>
    <hyperlink xmlns:r="http://schemas.openxmlformats.org/officeDocument/2006/relationships" ref="A23" r:id="rId4"/>
    <hyperlink xmlns:r="http://schemas.openxmlformats.org/officeDocument/2006/relationships" ref="A24" r:id="rId5"/>
    <hyperlink xmlns:r="http://schemas.openxmlformats.org/officeDocument/2006/relationships" ref="A25" r:id="rId6"/>
    <hyperlink xmlns:r="http://schemas.openxmlformats.org/officeDocument/2006/relationships" ref="A26" r:id="rId7"/>
    <hyperlink xmlns:r="http://schemas.openxmlformats.org/officeDocument/2006/relationships" ref="A27" r:id="rId8"/>
    <hyperlink xmlns:r="http://schemas.openxmlformats.org/officeDocument/2006/relationships" ref="A28" r:id="rId9"/>
    <hyperlink xmlns:r="http://schemas.openxmlformats.org/officeDocument/2006/relationships" ref="A29" r:id="rId10"/>
    <hyperlink xmlns:r="http://schemas.openxmlformats.org/officeDocument/2006/relationships" ref="A30" r:id="rId11"/>
    <hyperlink xmlns:r="http://schemas.openxmlformats.org/officeDocument/2006/relationships" ref="A31" r:id="rId12"/>
    <hyperlink xmlns:r="http://schemas.openxmlformats.org/officeDocument/2006/relationships" ref="A32" r:id="rId13"/>
    <hyperlink xmlns:r="http://schemas.openxmlformats.org/officeDocument/2006/relationships" ref="A33" r:id="rId14"/>
    <hyperlink xmlns:r="http://schemas.openxmlformats.org/officeDocument/2006/relationships" ref="A34" r:id="rId15"/>
    <hyperlink xmlns:r="http://schemas.openxmlformats.org/officeDocument/2006/relationships" ref="A35" r:id="rId16"/>
    <hyperlink xmlns:r="http://schemas.openxmlformats.org/officeDocument/2006/relationships" ref="A36" r:id="rId17"/>
    <hyperlink xmlns:r="http://schemas.openxmlformats.org/officeDocument/2006/relationships" ref="A37" r:id="rId18"/>
    <hyperlink xmlns:r="http://schemas.openxmlformats.org/officeDocument/2006/relationships" ref="A38" r:id="rId19"/>
    <hyperlink xmlns:r="http://schemas.openxmlformats.org/officeDocument/2006/relationships" ref="A39" r:id="rId20"/>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00B050"/>
    <outlinePr summaryBelow="1" summaryRight="1"/>
    <pageSetUpPr fitToPage="1"/>
  </sheetPr>
  <dimension ref="A1:BL59"/>
  <sheetViews>
    <sheetView showGridLines="0" workbookViewId="0">
      <selection activeCell="A1" sqref="A1"/>
    </sheetView>
  </sheetViews>
  <sheetFormatPr baseColWidth="8" defaultRowHeight="15"/>
  <cols>
    <col width="52" customWidth="1" min="1" max="1"/>
    <col width="17" customWidth="1" min="2" max="2"/>
    <col width="17" customWidth="1" min="3" max="3"/>
    <col width="17" customWidth="1" min="4" max="4"/>
    <col width="17" customWidth="1" min="5" max="5"/>
    <col width="17" customWidth="1" min="6" max="6"/>
    <col width="17" customWidth="1" min="7" max="7"/>
  </cols>
  <sheetData>
    <row r="1">
      <c r="A1" s="1" t="inlineStr">
        <is>
          <t>Investment summary</t>
        </is>
      </c>
    </row>
    <row r="2">
      <c r="A2" s="2" t="inlineStr">
        <is>
          <t>One-page view for investment committees and lenders. Active scenario, LCY unless stated.</t>
        </is>
      </c>
    </row>
    <row r="3"/>
    <row r="4">
      <c r="A4" s="4" t="inlineStr">
        <is>
          <t>Active scenario</t>
        </is>
      </c>
      <c r="B4" s="12">
        <f>Scenarios!$G$12</f>
        <v/>
      </c>
      <c r="D4" s="4" t="inlineStr">
        <is>
          <t>Model version</t>
        </is>
      </c>
      <c r="E4" s="3" t="inlineStr">
        <is>
          <t>v0.2</t>
        </is>
      </c>
    </row>
    <row r="5">
      <c r="A5" s="4" t="inlineStr">
        <is>
          <t>Master check</t>
        </is>
      </c>
      <c r="B5" s="12">
        <f>Checks!$C$18</f>
        <v/>
      </c>
      <c r="D5" s="4" t="inlineStr">
        <is>
          <t>Currency</t>
        </is>
      </c>
      <c r="E5" s="13">
        <f>Inputs!$C$7</f>
        <v/>
      </c>
    </row>
    <row r="6"/>
    <row r="7">
      <c r="A7" s="14" t="inlineStr">
        <is>
          <t>1. Operating &amp; financial trajectory</t>
        </is>
      </c>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c r="AA7" s="15" t="n"/>
      <c r="AB7" s="15" t="n"/>
      <c r="AC7" s="15" t="n"/>
      <c r="AD7" s="15" t="n"/>
      <c r="AE7" s="15" t="n"/>
      <c r="AF7" s="15" t="n"/>
      <c r="AG7" s="15" t="n"/>
      <c r="AH7" s="15" t="n"/>
      <c r="AI7" s="15" t="n"/>
      <c r="AJ7" s="15" t="n"/>
      <c r="AK7" s="15" t="n"/>
      <c r="AL7" s="15" t="n"/>
      <c r="AM7" s="15" t="n"/>
      <c r="AN7" s="15" t="n"/>
      <c r="AO7" s="15" t="n"/>
      <c r="AP7" s="15" t="n"/>
      <c r="AQ7" s="15" t="n"/>
      <c r="AR7" s="15" t="n"/>
      <c r="AS7" s="15" t="n"/>
      <c r="AT7" s="15" t="n"/>
      <c r="AU7" s="15" t="n"/>
      <c r="AV7" s="15" t="n"/>
      <c r="AW7" s="15" t="n"/>
      <c r="AX7" s="15" t="n"/>
      <c r="AY7" s="15" t="n"/>
      <c r="AZ7" s="15" t="n"/>
      <c r="BA7" s="15" t="n"/>
      <c r="BB7" s="15" t="n"/>
      <c r="BC7" s="15" t="n"/>
      <c r="BD7" s="15" t="n"/>
      <c r="BE7" s="15" t="n"/>
      <c r="BF7" s="15" t="n"/>
      <c r="BG7" s="15" t="n"/>
      <c r="BH7" s="15" t="n"/>
      <c r="BI7" s="15" t="n"/>
      <c r="BJ7" s="15" t="n"/>
      <c r="BK7" s="15" t="n"/>
      <c r="BL7" s="15" t="n"/>
    </row>
    <row r="8">
      <c r="A8" s="16" t="inlineStr">
        <is>
          <t>Metric</t>
        </is>
      </c>
      <c r="B8" s="16" t="inlineStr">
        <is>
          <t>Year 1</t>
        </is>
      </c>
      <c r="C8" s="16" t="inlineStr">
        <is>
          <t>Year 2</t>
        </is>
      </c>
      <c r="D8" s="16" t="inlineStr">
        <is>
          <t>Year 3</t>
        </is>
      </c>
      <c r="E8" s="16" t="inlineStr">
        <is>
          <t>Year 4</t>
        </is>
      </c>
      <c r="F8" s="16" t="inlineStr">
        <is>
          <t>Year 5</t>
        </is>
      </c>
    </row>
    <row r="9">
      <c r="A9" s="4" t="inlineStr">
        <is>
          <t>Units sold</t>
        </is>
      </c>
      <c r="B9" s="17">
        <f>KPIs!E14</f>
        <v/>
      </c>
      <c r="C9" s="17">
        <f>KPIs!F14</f>
        <v/>
      </c>
      <c r="D9" s="17">
        <f>KPIs!G14</f>
        <v/>
      </c>
      <c r="E9" s="17">
        <f>KPIs!H14</f>
        <v/>
      </c>
      <c r="F9" s="17">
        <f>KPIs!I14</f>
        <v/>
      </c>
    </row>
    <row r="10">
      <c r="A10" s="4" t="inlineStr">
        <is>
          <t>Active PAYGo accounts (year end)</t>
        </is>
      </c>
      <c r="B10" s="17">
        <f>KPIs!E16</f>
        <v/>
      </c>
      <c r="C10" s="17">
        <f>KPIs!F16</f>
        <v/>
      </c>
      <c r="D10" s="17">
        <f>KPIs!G16</f>
        <v/>
      </c>
      <c r="E10" s="17">
        <f>KPIs!H16</f>
        <v/>
      </c>
      <c r="F10" s="17">
        <f>KPIs!I16</f>
        <v/>
      </c>
    </row>
    <row r="11">
      <c r="A11" s="4" t="inlineStr">
        <is>
          <t>Average cash price per unit (USD)</t>
        </is>
      </c>
      <c r="B11" s="17">
        <f>KPIs!E15</f>
        <v/>
      </c>
      <c r="C11" s="17">
        <f>KPIs!F15</f>
        <v/>
      </c>
      <c r="D11" s="17">
        <f>KPIs!G15</f>
        <v/>
      </c>
      <c r="E11" s="17">
        <f>KPIs!H15</f>
        <v/>
      </c>
      <c r="F11" s="17">
        <f>KPIs!I15</f>
        <v/>
      </c>
    </row>
    <row r="12">
      <c r="A12" s="4" t="inlineStr">
        <is>
          <t>Revenue (USD, average FX)</t>
        </is>
      </c>
      <c r="B12" s="17">
        <f>KPIs!E32</f>
        <v/>
      </c>
      <c r="C12" s="17">
        <f>KPIs!F32</f>
        <v/>
      </c>
      <c r="D12" s="17">
        <f>KPIs!G32</f>
        <v/>
      </c>
      <c r="E12" s="17">
        <f>KPIs!H32</f>
        <v/>
      </c>
      <c r="F12" s="17">
        <f>KPIs!I32</f>
        <v/>
      </c>
    </row>
    <row r="13">
      <c r="A13" s="4" t="inlineStr">
        <is>
          <t>Gross margin</t>
        </is>
      </c>
      <c r="B13" s="18">
        <f>KPIs!E33</f>
        <v/>
      </c>
      <c r="C13" s="18">
        <f>KPIs!F33</f>
        <v/>
      </c>
      <c r="D13" s="18">
        <f>KPIs!G33</f>
        <v/>
      </c>
      <c r="E13" s="18">
        <f>KPIs!H33</f>
        <v/>
      </c>
      <c r="F13" s="18">
        <f>KPIs!I33</f>
        <v/>
      </c>
    </row>
    <row r="14">
      <c r="A14" s="4" t="inlineStr">
        <is>
          <t>EBITDA margin</t>
        </is>
      </c>
      <c r="B14" s="18">
        <f>KPIs!E35</f>
        <v/>
      </c>
      <c r="C14" s="18">
        <f>KPIs!F35</f>
        <v/>
      </c>
      <c r="D14" s="18">
        <f>KPIs!G35</f>
        <v/>
      </c>
      <c r="E14" s="18">
        <f>KPIs!H35</f>
        <v/>
      </c>
      <c r="F14" s="18">
        <f>KPIs!I35</f>
        <v/>
      </c>
    </row>
    <row r="15">
      <c r="A15" s="4" t="inlineStr">
        <is>
          <t>Net income (LCY)</t>
        </is>
      </c>
      <c r="B15" s="17">
        <f>KPIs!E38</f>
        <v/>
      </c>
      <c r="C15" s="17">
        <f>KPIs!F38</f>
        <v/>
      </c>
      <c r="D15" s="17">
        <f>KPIs!G38</f>
        <v/>
      </c>
      <c r="E15" s="17">
        <f>KPIs!H38</f>
        <v/>
      </c>
      <c r="F15" s="17">
        <f>KPIs!I38</f>
        <v/>
      </c>
    </row>
    <row r="16">
      <c r="A16" s="4" t="inlineStr">
        <is>
          <t>Collection rate</t>
        </is>
      </c>
      <c r="B16" s="18">
        <f>KPIs!E19</f>
        <v/>
      </c>
      <c r="C16" s="18">
        <f>KPIs!F19</f>
        <v/>
      </c>
      <c r="D16" s="18">
        <f>KPIs!G19</f>
        <v/>
      </c>
      <c r="E16" s="18">
        <f>KPIs!H19</f>
        <v/>
      </c>
      <c r="F16" s="18">
        <f>KPIs!I19</f>
        <v/>
      </c>
    </row>
    <row r="17">
      <c r="A17" s="4" t="inlineStr">
        <is>
          <t>Receivables at risk / gross receivables</t>
        </is>
      </c>
      <c r="B17" s="18">
        <f>KPIs!E21</f>
        <v/>
      </c>
      <c r="C17" s="18">
        <f>KPIs!F21</f>
        <v/>
      </c>
      <c r="D17" s="18">
        <f>KPIs!G21</f>
        <v/>
      </c>
      <c r="E17" s="18">
        <f>KPIs!H21</f>
        <v/>
      </c>
      <c r="F17" s="18">
        <f>KPIs!I21</f>
        <v/>
      </c>
    </row>
    <row r="18">
      <c r="A18" s="4" t="inlineStr">
        <is>
          <t>Total debt (LCY, year end)</t>
        </is>
      </c>
      <c r="B18" s="17">
        <f>KPIs!E43</f>
        <v/>
      </c>
      <c r="C18" s="17">
        <f>KPIs!F43</f>
        <v/>
      </c>
      <c r="D18" s="17">
        <f>KPIs!G43</f>
        <v/>
      </c>
      <c r="E18" s="17">
        <f>KPIs!H43</f>
        <v/>
      </c>
      <c r="F18" s="17">
        <f>KPIs!I43</f>
        <v/>
      </c>
    </row>
    <row r="19">
      <c r="A19" s="4" t="inlineStr">
        <is>
          <t>DSCR</t>
        </is>
      </c>
      <c r="B19" s="19">
        <f>KPIs!E46</f>
        <v/>
      </c>
      <c r="C19" s="19">
        <f>KPIs!F46</f>
        <v/>
      </c>
      <c r="D19" s="19">
        <f>KPIs!G46</f>
        <v/>
      </c>
      <c r="E19" s="19">
        <f>KPIs!H46</f>
        <v/>
      </c>
      <c r="F19" s="19">
        <f>KPIs!I46</f>
        <v/>
      </c>
    </row>
    <row r="20"/>
    <row r="21">
      <c r="A21" s="14" t="inlineStr">
        <is>
          <t>2. Funding requirement</t>
        </is>
      </c>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c r="AK21" s="15" t="n"/>
      <c r="AL21" s="15" t="n"/>
      <c r="AM21" s="15" t="n"/>
      <c r="AN21" s="15" t="n"/>
      <c r="AO21" s="15" t="n"/>
      <c r="AP21" s="15" t="n"/>
      <c r="AQ21" s="15" t="n"/>
      <c r="AR21" s="15" t="n"/>
      <c r="AS21" s="15" t="n"/>
      <c r="AT21" s="15" t="n"/>
      <c r="AU21" s="15" t="n"/>
      <c r="AV21" s="15" t="n"/>
      <c r="AW21" s="15" t="n"/>
      <c r="AX21" s="15" t="n"/>
      <c r="AY21" s="15" t="n"/>
      <c r="AZ21" s="15" t="n"/>
      <c r="BA21" s="15" t="n"/>
      <c r="BB21" s="15" t="n"/>
      <c r="BC21" s="15" t="n"/>
      <c r="BD21" s="15" t="n"/>
      <c r="BE21" s="15" t="n"/>
      <c r="BF21" s="15" t="n"/>
      <c r="BG21" s="15" t="n"/>
      <c r="BH21" s="15" t="n"/>
      <c r="BI21" s="15" t="n"/>
      <c r="BJ21" s="15" t="n"/>
      <c r="BK21" s="15" t="n"/>
      <c r="BL21" s="15" t="n"/>
    </row>
    <row r="22">
      <c r="A22" s="4" t="inlineStr">
        <is>
          <t>Peak equity requirement (USD, opening FX)</t>
        </is>
      </c>
      <c r="B22" s="20">
        <f>KPIs!$C$53</f>
        <v/>
      </c>
    </row>
    <row r="23">
      <c r="A23" s="4" t="inlineStr">
        <is>
          <t>Peak equity requirement (LCY)</t>
        </is>
      </c>
      <c r="B23" s="20">
        <f>KPIs!$C$52</f>
        <v/>
      </c>
    </row>
    <row r="24">
      <c r="A24" s="4" t="inlineStr">
        <is>
          <t>Peak total debt (LCY)</t>
        </is>
      </c>
      <c r="B24" s="20">
        <f>KPIs!$C$54</f>
        <v/>
      </c>
    </row>
    <row r="25">
      <c r="A25" s="4" t="inlineStr">
        <is>
          <t>Total RBF received (USD)</t>
        </is>
      </c>
      <c r="B25" s="20">
        <f>KPIs!$C$55</f>
        <v/>
      </c>
    </row>
    <row r="26">
      <c r="A26" s="4" t="inlineStr">
        <is>
          <t>First month with positive EBITDA</t>
        </is>
      </c>
      <c r="B26" s="21">
        <f>KPIs!$C$56</f>
        <v/>
      </c>
    </row>
    <row r="27">
      <c r="A27" s="4" t="inlineStr">
        <is>
          <t>First month with positive operating cash flow</t>
        </is>
      </c>
      <c r="B27" s="21">
        <f>KPIs!$C$57</f>
        <v/>
      </c>
    </row>
    <row r="28"/>
    <row r="29">
      <c r="A29" s="14" t="inlineStr">
        <is>
          <t>3. Valuation &amp; equity returns</t>
        </is>
      </c>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c r="AL29" s="15" t="n"/>
      <c r="AM29" s="15" t="n"/>
      <c r="AN29" s="15" t="n"/>
      <c r="AO29" s="15" t="n"/>
      <c r="AP29" s="15" t="n"/>
      <c r="AQ29" s="15" t="n"/>
      <c r="AR29" s="15" t="n"/>
      <c r="AS29" s="15" t="n"/>
      <c r="AT29" s="15" t="n"/>
      <c r="AU29" s="15" t="n"/>
      <c r="AV29" s="15" t="n"/>
      <c r="AW29" s="15" t="n"/>
      <c r="AX29" s="15" t="n"/>
      <c r="AY29" s="15" t="n"/>
      <c r="AZ29" s="15" t="n"/>
      <c r="BA29" s="15" t="n"/>
      <c r="BB29" s="15" t="n"/>
      <c r="BC29" s="15" t="n"/>
      <c r="BD29" s="15" t="n"/>
      <c r="BE29" s="15" t="n"/>
      <c r="BF29" s="15" t="n"/>
      <c r="BG29" s="15" t="n"/>
      <c r="BH29" s="15" t="n"/>
      <c r="BI29" s="15" t="n"/>
      <c r="BJ29" s="15" t="n"/>
      <c r="BK29" s="15" t="n"/>
      <c r="BL29" s="15" t="n"/>
    </row>
    <row r="30">
      <c r="A30" s="4" t="inlineStr">
        <is>
          <t>DCF enterprise value at start (USD)</t>
        </is>
      </c>
      <c r="B30" s="20">
        <f>Valuation!$C$28</f>
        <v/>
      </c>
    </row>
    <row r="31">
      <c r="A31" s="4" t="inlineStr">
        <is>
          <t>Terminal value share of EV</t>
        </is>
      </c>
      <c r="B31" s="22">
        <f>Valuation!$C$29</f>
        <v/>
      </c>
    </row>
    <row r="32">
      <c r="A32" s="4" t="inlineStr">
        <is>
          <t>Exit equity value, 100% (USD, end Year 5)</t>
        </is>
      </c>
      <c r="B32" s="20">
        <f>Valuation!$C$36</f>
        <v/>
      </c>
    </row>
    <row r="33">
      <c r="A33" s="4" t="inlineStr">
        <is>
          <t>Investor stake</t>
        </is>
      </c>
      <c r="B33" s="22">
        <f>Valuation!$C$38</f>
        <v/>
      </c>
    </row>
    <row r="34">
      <c r="A34" s="4" t="inlineStr">
        <is>
          <t>Investor IRR (USD)</t>
        </is>
      </c>
      <c r="B34" s="22">
        <f>Valuation!$C$39</f>
        <v/>
      </c>
    </row>
    <row r="35">
      <c r="A35" s="4" t="inlineStr">
        <is>
          <t>Investor MOIC (USD)</t>
        </is>
      </c>
      <c r="B35" s="23">
        <f>Valuation!$C$40</f>
        <v/>
      </c>
    </row>
    <row r="36"/>
    <row r="37">
      <c r="A37" s="14" t="inlineStr">
        <is>
          <t>4. Lender view</t>
        </is>
      </c>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c r="AA37" s="15" t="n"/>
      <c r="AB37" s="15" t="n"/>
      <c r="AC37" s="15" t="n"/>
      <c r="AD37" s="15" t="n"/>
      <c r="AE37" s="15" t="n"/>
      <c r="AF37" s="15" t="n"/>
      <c r="AG37" s="15" t="n"/>
      <c r="AH37" s="15" t="n"/>
      <c r="AI37" s="15" t="n"/>
      <c r="AJ37" s="15" t="n"/>
      <c r="AK37" s="15" t="n"/>
      <c r="AL37" s="15" t="n"/>
      <c r="AM37" s="15" t="n"/>
      <c r="AN37" s="15" t="n"/>
      <c r="AO37" s="15" t="n"/>
      <c r="AP37" s="15" t="n"/>
      <c r="AQ37" s="15" t="n"/>
      <c r="AR37" s="15" t="n"/>
      <c r="AS37" s="15" t="n"/>
      <c r="AT37" s="15" t="n"/>
      <c r="AU37" s="15" t="n"/>
      <c r="AV37" s="15" t="n"/>
      <c r="AW37" s="15" t="n"/>
      <c r="AX37" s="15" t="n"/>
      <c r="AY37" s="15" t="n"/>
      <c r="AZ37" s="15" t="n"/>
      <c r="BA37" s="15" t="n"/>
      <c r="BB37" s="15" t="n"/>
      <c r="BC37" s="15" t="n"/>
      <c r="BD37" s="15" t="n"/>
      <c r="BE37" s="15" t="n"/>
      <c r="BF37" s="15" t="n"/>
      <c r="BG37" s="15" t="n"/>
      <c r="BH37" s="15" t="n"/>
      <c r="BI37" s="15" t="n"/>
      <c r="BJ37" s="15" t="n"/>
      <c r="BK37" s="15" t="n"/>
      <c r="BL37" s="15" t="n"/>
    </row>
    <row r="38">
      <c r="A38" s="4" t="inlineStr">
        <is>
          <t>Lowest trailing-3-month collection rate</t>
        </is>
      </c>
      <c r="B38" s="22">
        <f>KPIs!$C$58</f>
        <v/>
      </c>
    </row>
    <row r="39">
      <c r="A39" s="4" t="inlineStr">
        <is>
          <t>Highest receivables-at-risk ratio</t>
        </is>
      </c>
      <c r="B39" s="22">
        <f>KPIs!$C$59</f>
        <v/>
      </c>
    </row>
    <row r="40">
      <c r="A40" s="4" t="inlineStr">
        <is>
          <t>Months with any covenant breach</t>
        </is>
      </c>
      <c r="B40" s="21">
        <f>KPIs!$C$60</f>
        <v/>
      </c>
    </row>
    <row r="41">
      <c r="A41" s="4" t="inlineStr">
        <is>
          <t>Years with DSCR below minimum</t>
        </is>
      </c>
      <c r="B41" s="21">
        <f>KPIs!$C$61</f>
        <v/>
      </c>
    </row>
    <row r="42">
      <c r="A42" s="4" t="inlineStr">
        <is>
          <t>Peak facility utilisation</t>
        </is>
      </c>
      <c r="B42" s="22">
        <f>Financing!$C$26</f>
        <v/>
      </c>
    </row>
    <row r="43"/>
    <row r="44">
      <c r="A44" s="14" t="inlineStr">
        <is>
          <t>5. Unit economics by tier</t>
        </is>
      </c>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c r="AA44" s="15" t="n"/>
      <c r="AB44" s="15" t="n"/>
      <c r="AC44" s="15" t="n"/>
      <c r="AD44" s="15" t="n"/>
      <c r="AE44" s="15" t="n"/>
      <c r="AF44" s="15" t="n"/>
      <c r="AG44" s="15" t="n"/>
      <c r="AH44" s="15" t="n"/>
      <c r="AI44" s="15" t="n"/>
      <c r="AJ44" s="15" t="n"/>
      <c r="AK44" s="15" t="n"/>
      <c r="AL44" s="15" t="n"/>
      <c r="AM44" s="15" t="n"/>
      <c r="AN44" s="15" t="n"/>
      <c r="AO44" s="15" t="n"/>
      <c r="AP44" s="15" t="n"/>
      <c r="AQ44" s="15" t="n"/>
      <c r="AR44" s="15" t="n"/>
      <c r="AS44" s="15" t="n"/>
      <c r="AT44" s="15" t="n"/>
      <c r="AU44" s="15" t="n"/>
      <c r="AV44" s="15" t="n"/>
      <c r="AW44" s="15" t="n"/>
      <c r="AX44" s="15" t="n"/>
      <c r="AY44" s="15" t="n"/>
      <c r="AZ44" s="15" t="n"/>
      <c r="BA44" s="15" t="n"/>
      <c r="BB44" s="15" t="n"/>
      <c r="BC44" s="15" t="n"/>
      <c r="BD44" s="15" t="n"/>
      <c r="BE44" s="15" t="n"/>
      <c r="BF44" s="15" t="n"/>
      <c r="BG44" s="15" t="n"/>
      <c r="BH44" s="15" t="n"/>
      <c r="BI44" s="15" t="n"/>
      <c r="BJ44" s="15" t="n"/>
      <c r="BK44" s="15" t="n"/>
      <c r="BL44" s="15" t="n"/>
    </row>
    <row r="45">
      <c r="A45" s="16" t="inlineStr">
        <is>
          <t>Metric</t>
        </is>
      </c>
      <c r="B45" s="16" t="inlineStr">
        <is>
          <t>Tier 1</t>
        </is>
      </c>
      <c r="C45" s="16" t="inlineStr">
        <is>
          <t>Tier 2</t>
        </is>
      </c>
      <c r="D45" s="16" t="inlineStr">
        <is>
          <t>Tier 3</t>
        </is>
      </c>
      <c r="E45" s="16" t="inlineStr">
        <is>
          <t>Tier 4</t>
        </is>
      </c>
      <c r="F45" s="16" t="inlineStr">
        <is>
          <t>Tier 5</t>
        </is>
      </c>
    </row>
    <row r="46">
      <c r="A46" s="4" t="inlineStr">
        <is>
          <t>Cash price (LCY)</t>
        </is>
      </c>
      <c r="B46" s="17">
        <f>Unit_Economics!C5</f>
        <v/>
      </c>
      <c r="C46" s="17">
        <f>Unit_Economics!D5</f>
        <v/>
      </c>
      <c r="D46" s="17">
        <f>Unit_Economics!E5</f>
        <v/>
      </c>
      <c r="E46" s="17">
        <f>Unit_Economics!F5</f>
        <v/>
      </c>
      <c r="F46" s="17">
        <f>Unit_Economics!G5</f>
        <v/>
      </c>
    </row>
    <row r="47">
      <c r="A47" s="4" t="inlineStr">
        <is>
          <t>Implied APR</t>
        </is>
      </c>
      <c r="B47" s="18">
        <f>Unit_Economics!C7</f>
        <v/>
      </c>
      <c r="C47" s="18">
        <f>Unit_Economics!D7</f>
        <v/>
      </c>
      <c r="D47" s="18">
        <f>Unit_Economics!E7</f>
        <v/>
      </c>
      <c r="E47" s="18">
        <f>Unit_Economics!F7</f>
        <v/>
      </c>
      <c r="F47" s="18">
        <f>Unit_Economics!G7</f>
        <v/>
      </c>
    </row>
    <row r="48">
      <c r="A48" s="4" t="inlineStr">
        <is>
          <t>Expected loss rate</t>
        </is>
      </c>
      <c r="B48" s="18">
        <f>Unit_Economics!C11</f>
        <v/>
      </c>
      <c r="C48" s="18">
        <f>Unit_Economics!D11</f>
        <v/>
      </c>
      <c r="D48" s="18">
        <f>Unit_Economics!E11</f>
        <v/>
      </c>
      <c r="E48" s="18">
        <f>Unit_Economics!F11</f>
        <v/>
      </c>
      <c r="F48" s="18">
        <f>Unit_Economics!G11</f>
        <v/>
      </c>
    </row>
    <row r="49">
      <c r="A49" s="4" t="inlineStr">
        <is>
          <t>LTV / CAC</t>
        </is>
      </c>
      <c r="B49" s="19">
        <f>Unit_Economics!C21</f>
        <v/>
      </c>
      <c r="C49" s="19">
        <f>Unit_Economics!D21</f>
        <v/>
      </c>
      <c r="D49" s="19">
        <f>Unit_Economics!E21</f>
        <v/>
      </c>
      <c r="E49" s="19">
        <f>Unit_Economics!F21</f>
        <v/>
      </c>
      <c r="F49" s="19">
        <f>Unit_Economics!G21</f>
        <v/>
      </c>
    </row>
    <row r="50">
      <c r="A50" s="4" t="inlineStr">
        <is>
          <t>Cash payback (months)</t>
        </is>
      </c>
      <c r="B50" s="24">
        <f>Unit_Economics!C22</f>
        <v/>
      </c>
      <c r="C50" s="24">
        <f>Unit_Economics!D22</f>
        <v/>
      </c>
      <c r="D50" s="24">
        <f>Unit_Economics!E22</f>
        <v/>
      </c>
      <c r="E50" s="24">
        <f>Unit_Economics!F22</f>
        <v/>
      </c>
      <c r="F50" s="24">
        <f>Unit_Economics!G22</f>
        <v/>
      </c>
    </row>
    <row r="51">
      <c r="A51" s="4" t="inlineStr">
        <is>
          <t>Unit IRR</t>
        </is>
      </c>
      <c r="B51" s="18">
        <f>Unit_Economics!C23</f>
        <v/>
      </c>
      <c r="C51" s="18">
        <f>Unit_Economics!D23</f>
        <v/>
      </c>
      <c r="D51" s="18">
        <f>Unit_Economics!E23</f>
        <v/>
      </c>
      <c r="E51" s="18">
        <f>Unit_Economics!F23</f>
        <v/>
      </c>
      <c r="F51" s="18">
        <f>Unit_Economics!G23</f>
        <v/>
      </c>
    </row>
    <row r="52"/>
    <row r="53">
      <c r="A53" s="14" t="inlineStr">
        <is>
          <t>6. Scenario snapshot (static, default inputs - see Sensitivity)</t>
        </is>
      </c>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c r="AK53" s="15" t="n"/>
      <c r="AL53" s="15" t="n"/>
      <c r="AM53" s="15" t="n"/>
      <c r="AN53" s="15" t="n"/>
      <c r="AO53" s="15" t="n"/>
      <c r="AP53" s="15" t="n"/>
      <c r="AQ53" s="15" t="n"/>
      <c r="AR53" s="15" t="n"/>
      <c r="AS53" s="15" t="n"/>
      <c r="AT53" s="15" t="n"/>
      <c r="AU53" s="15" t="n"/>
      <c r="AV53" s="15" t="n"/>
      <c r="AW53" s="15" t="n"/>
      <c r="AX53" s="15" t="n"/>
      <c r="AY53" s="15" t="n"/>
      <c r="AZ53" s="15" t="n"/>
      <c r="BA53" s="15" t="n"/>
      <c r="BB53" s="15" t="n"/>
      <c r="BC53" s="15" t="n"/>
      <c r="BD53" s="15" t="n"/>
      <c r="BE53" s="15" t="n"/>
      <c r="BF53" s="15" t="n"/>
      <c r="BG53" s="15" t="n"/>
      <c r="BH53" s="15" t="n"/>
      <c r="BI53" s="15" t="n"/>
      <c r="BJ53" s="15" t="n"/>
      <c r="BK53" s="15" t="n"/>
      <c r="BL53" s="15" t="n"/>
    </row>
    <row r="54">
      <c r="A54" s="16" t="inlineStr">
        <is>
          <t>Case</t>
        </is>
      </c>
      <c r="B54" s="16" t="inlineStr">
        <is>
          <t>Peak equity (USD m)</t>
        </is>
      </c>
      <c r="C54" s="16" t="inlineStr">
        <is>
          <t>Investor IRR</t>
        </is>
      </c>
      <c r="D54" s="16" t="inlineStr">
        <is>
          <t>MOIC</t>
        </is>
      </c>
      <c r="E54" s="16" t="inlineStr">
        <is>
          <t>Breach months</t>
        </is>
      </c>
    </row>
    <row r="55">
      <c r="A55" s="13">
        <f>IF(Sensitivity!A6="","",Sensitivity!A6)</f>
        <v/>
      </c>
      <c r="B55" s="25">
        <f>IF(Sensitivity!B6="","",Sensitivity!B6)</f>
        <v/>
      </c>
      <c r="C55" s="18">
        <f>IF(Sensitivity!G6="","",Sensitivity!G6)</f>
        <v/>
      </c>
      <c r="D55" s="19">
        <f>IF(Sensitivity!H6="","",Sensitivity!H6)</f>
        <v/>
      </c>
      <c r="E55" s="24">
        <f>IF(Sensitivity!I6="","",Sensitivity!I6)</f>
        <v/>
      </c>
    </row>
    <row r="56">
      <c r="A56" s="13">
        <f>IF(Sensitivity!A7="","",Sensitivity!A7)</f>
        <v/>
      </c>
      <c r="B56" s="25">
        <f>IF(Sensitivity!B7="","",Sensitivity!B7)</f>
        <v/>
      </c>
      <c r="C56" s="18">
        <f>IF(Sensitivity!G7="","",Sensitivity!G7)</f>
        <v/>
      </c>
      <c r="D56" s="19">
        <f>IF(Sensitivity!H7="","",Sensitivity!H7)</f>
        <v/>
      </c>
      <c r="E56" s="24">
        <f>IF(Sensitivity!I7="","",Sensitivity!I7)</f>
        <v/>
      </c>
    </row>
    <row r="57">
      <c r="A57" s="13">
        <f>IF(Sensitivity!A8="","",Sensitivity!A8)</f>
        <v/>
      </c>
      <c r="B57" s="25">
        <f>IF(Sensitivity!B8="","",Sensitivity!B8)</f>
        <v/>
      </c>
      <c r="C57" s="18">
        <f>IF(Sensitivity!G8="","",Sensitivity!G8)</f>
        <v/>
      </c>
      <c r="D57" s="19">
        <f>IF(Sensitivity!H8="","",Sensitivity!H8)</f>
        <v/>
      </c>
      <c r="E57" s="24">
        <f>IF(Sensitivity!I8="","",Sensitivity!I8)</f>
        <v/>
      </c>
    </row>
    <row r="58"/>
    <row r="59">
      <c r="A59" s="2" t="inlineStr">
        <is>
          <t>All default inputs are illustrative. Not investment advice. See Cover for the disclaimer.</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0000FF"/>
    <outlinePr summaryBelow="1" summaryRight="1"/>
    <pageSetUpPr fitToPage="1"/>
  </sheetPr>
  <dimension ref="A1:BL67"/>
  <sheetViews>
    <sheetView showGridLines="0" workbookViewId="0">
      <selection activeCell="A1" sqref="A1"/>
    </sheetView>
  </sheetViews>
  <sheetFormatPr baseColWidth="8" defaultRowHeight="15"/>
  <cols>
    <col width="58" customWidth="1" min="1" max="1"/>
    <col width="12" customWidth="1" min="2" max="2"/>
    <col width="18" customWidth="1" min="3" max="3"/>
    <col width="70" customWidth="1" min="4" max="4"/>
  </cols>
  <sheetData>
    <row r="1">
      <c r="A1" s="1" t="inlineStr">
        <is>
          <t>Inputs</t>
        </is>
      </c>
    </row>
    <row r="2">
      <c r="A2" s="2" t="inlineStr">
        <is>
          <t>Blue = input. Yellow = key assumption to review first. All defaults illustrative.</t>
        </is>
      </c>
    </row>
    <row r="3"/>
    <row r="4">
      <c r="A4" s="14" t="inlineStr">
        <is>
          <t>Scenario &amp; settings</t>
        </is>
      </c>
      <c r="B4" s="15" t="n"/>
      <c r="C4" s="15" t="n"/>
      <c r="D4" s="15" t="n"/>
      <c r="E4" s="15" t="n"/>
      <c r="F4" s="15" t="n"/>
      <c r="G4" s="15" t="n"/>
      <c r="H4" s="15" t="n"/>
      <c r="I4" s="15" t="n"/>
      <c r="J4" s="15" t="n"/>
      <c r="K4" s="15" t="n"/>
      <c r="L4" s="15" t="n"/>
      <c r="M4" s="15" t="n"/>
      <c r="N4" s="15" t="n"/>
      <c r="O4" s="15" t="n"/>
      <c r="P4" s="15" t="n"/>
      <c r="Q4" s="15" t="n"/>
      <c r="R4" s="15" t="n"/>
      <c r="S4" s="15" t="n"/>
      <c r="T4" s="15" t="n"/>
      <c r="U4" s="15" t="n"/>
      <c r="V4" s="15" t="n"/>
      <c r="W4" s="15" t="n"/>
      <c r="X4" s="15" t="n"/>
      <c r="Y4" s="15" t="n"/>
      <c r="Z4" s="15" t="n"/>
      <c r="AA4" s="15" t="n"/>
      <c r="AB4" s="15" t="n"/>
      <c r="AC4" s="15" t="n"/>
      <c r="AD4" s="15" t="n"/>
      <c r="AE4" s="15" t="n"/>
      <c r="AF4" s="15" t="n"/>
      <c r="AG4" s="15" t="n"/>
      <c r="AH4" s="15" t="n"/>
      <c r="AI4" s="15" t="n"/>
      <c r="AJ4" s="15" t="n"/>
      <c r="AK4" s="15" t="n"/>
      <c r="AL4" s="15" t="n"/>
      <c r="AM4" s="15" t="n"/>
      <c r="AN4" s="15" t="n"/>
      <c r="AO4" s="15" t="n"/>
      <c r="AP4" s="15" t="n"/>
      <c r="AQ4" s="15" t="n"/>
      <c r="AR4" s="15" t="n"/>
      <c r="AS4" s="15" t="n"/>
      <c r="AT4" s="15" t="n"/>
      <c r="AU4" s="15" t="n"/>
      <c r="AV4" s="15" t="n"/>
      <c r="AW4" s="15" t="n"/>
      <c r="AX4" s="15" t="n"/>
      <c r="AY4" s="15" t="n"/>
      <c r="AZ4" s="15" t="n"/>
      <c r="BA4" s="15" t="n"/>
      <c r="BB4" s="15" t="n"/>
      <c r="BC4" s="15" t="n"/>
      <c r="BD4" s="15" t="n"/>
      <c r="BE4" s="15" t="n"/>
      <c r="BF4" s="15" t="n"/>
      <c r="BG4" s="15" t="n"/>
      <c r="BH4" s="15" t="n"/>
      <c r="BI4" s="15" t="n"/>
      <c r="BJ4" s="15" t="n"/>
      <c r="BK4" s="15" t="n"/>
      <c r="BL4" s="15" t="n"/>
    </row>
    <row r="5">
      <c r="A5" s="4" t="inlineStr">
        <is>
          <t>Active scenario (1 = Base, 2 = Downside, 3 = Severe)</t>
        </is>
      </c>
      <c r="B5" s="26" t="inlineStr">
        <is>
          <t>#</t>
        </is>
      </c>
      <c r="C5" s="27" t="n">
        <v>1</v>
      </c>
      <c r="D5" s="2" t="inlineStr">
        <is>
          <t>Drives the levers on the Scenarios sheet.</t>
        </is>
      </c>
    </row>
    <row r="6">
      <c r="A6" s="4" t="inlineStr">
        <is>
          <t>First model month (period end)</t>
        </is>
      </c>
      <c r="B6" s="26" t="inlineStr">
        <is>
          <t>date</t>
        </is>
      </c>
      <c r="C6" s="28">
        <f>DATE(2027,1,31)</f>
        <v/>
      </c>
      <c r="D6" s="2" t="inlineStr">
        <is>
          <t>Period-end date of month 1.</t>
        </is>
      </c>
    </row>
    <row r="7">
      <c r="A7" s="4" t="inlineStr">
        <is>
          <t>Local currency label</t>
        </is>
      </c>
      <c r="B7" s="26" t="inlineStr">
        <is>
          <t>text</t>
        </is>
      </c>
      <c r="C7" s="29" t="inlineStr">
        <is>
          <t>LCY</t>
        </is>
      </c>
      <c r="D7" s="2" t="inlineStr">
        <is>
          <t>Display only.</t>
        </is>
      </c>
    </row>
    <row r="8"/>
    <row r="9">
      <c r="A9" s="14" t="inlineStr">
        <is>
          <t>Macro</t>
        </is>
      </c>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c r="AA9" s="15" t="n"/>
      <c r="AB9" s="15" t="n"/>
      <c r="AC9" s="15" t="n"/>
      <c r="AD9" s="15" t="n"/>
      <c r="AE9" s="15" t="n"/>
      <c r="AF9" s="15" t="n"/>
      <c r="AG9" s="15" t="n"/>
      <c r="AH9" s="15" t="n"/>
      <c r="AI9" s="15" t="n"/>
      <c r="AJ9" s="15" t="n"/>
      <c r="AK9" s="15" t="n"/>
      <c r="AL9" s="15" t="n"/>
      <c r="AM9" s="15" t="n"/>
      <c r="AN9" s="15" t="n"/>
      <c r="AO9" s="15" t="n"/>
      <c r="AP9" s="15" t="n"/>
      <c r="AQ9" s="15" t="n"/>
      <c r="AR9" s="15" t="n"/>
      <c r="AS9" s="15" t="n"/>
      <c r="AT9" s="15" t="n"/>
      <c r="AU9" s="15" t="n"/>
      <c r="AV9" s="15" t="n"/>
      <c r="AW9" s="15" t="n"/>
      <c r="AX9" s="15" t="n"/>
      <c r="AY9" s="15" t="n"/>
      <c r="AZ9" s="15" t="n"/>
      <c r="BA9" s="15" t="n"/>
      <c r="BB9" s="15" t="n"/>
      <c r="BC9" s="15" t="n"/>
      <c r="BD9" s="15" t="n"/>
      <c r="BE9" s="15" t="n"/>
      <c r="BF9" s="15" t="n"/>
      <c r="BG9" s="15" t="n"/>
      <c r="BH9" s="15" t="n"/>
      <c r="BI9" s="15" t="n"/>
      <c r="BJ9" s="15" t="n"/>
      <c r="BK9" s="15" t="n"/>
      <c r="BL9" s="15" t="n"/>
    </row>
    <row r="10">
      <c r="A10" s="4" t="inlineStr">
        <is>
          <t>Opening FX rate</t>
        </is>
      </c>
      <c r="B10" s="26" t="inlineStr">
        <is>
          <t>LCY per USD</t>
        </is>
      </c>
      <c r="C10" s="30" t="n">
        <v>130</v>
      </c>
      <c r="D10" s="2" t="inlineStr">
        <is>
          <t>Illustrative placeholder - replace with company data.</t>
        </is>
      </c>
    </row>
    <row r="11">
      <c r="A11" s="4" t="inlineStr">
        <is>
          <t>Local inflation (opex indexation)</t>
        </is>
      </c>
      <c r="B11" s="26" t="inlineStr">
        <is>
          <t>% p.a.</t>
        </is>
      </c>
      <c r="C11" s="31" t="n">
        <v>0.06</v>
      </c>
      <c r="D11" s="2" t="inlineStr">
        <is>
          <t>Illustrative placeholder - replace with company data.</t>
        </is>
      </c>
    </row>
    <row r="12">
      <c r="A12" s="4" t="inlineStr">
        <is>
          <t>Corporate income tax rate</t>
        </is>
      </c>
      <c r="B12" s="26" t="inlineStr">
        <is>
          <t>%</t>
        </is>
      </c>
      <c r="C12" s="31" t="n">
        <v>0.3</v>
      </c>
      <c r="D12" s="2" t="inlineStr">
        <is>
          <t>Simplified: unlimited loss carry-forward, tax paid in the month it arises.</t>
        </is>
      </c>
    </row>
    <row r="13">
      <c r="A13" s="4" t="inlineStr">
        <is>
          <t>Annual price increase on NEW PAYGo contracts</t>
        </is>
      </c>
      <c r="B13" s="26" t="inlineStr">
        <is>
          <t>% p.a.</t>
        </is>
      </c>
      <c r="C13" s="32" t="n">
        <v>0.05</v>
      </c>
      <c r="D13" s="2" t="inlineStr">
        <is>
          <t>Existing contracts keep their price plan.</t>
        </is>
      </c>
    </row>
    <row r="14">
      <c r="A14" s="4" t="inlineStr">
        <is>
          <t>Pass-through of LCY depreciation into new-contract prices</t>
        </is>
      </c>
      <c r="B14" s="26" t="inlineStr">
        <is>
          <t>%</t>
        </is>
      </c>
      <c r="C14" s="32" t="n">
        <v>0.5</v>
      </c>
      <c r="D14" s="2" t="inlineStr">
        <is>
          <t>Share of cumulative FX depreciation passed into prices of NEW contracts (0% = none, 100% = USD-indexed).</t>
        </is>
      </c>
    </row>
    <row r="15"/>
    <row r="16">
      <c r="A16" s="14" t="inlineStr">
        <is>
          <t>Sales volume - all tiers (Base, before scenario multiplier; split by Products mix)</t>
        </is>
      </c>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c r="AA16" s="15" t="n"/>
      <c r="AB16" s="15" t="n"/>
      <c r="AC16" s="15" t="n"/>
      <c r="AD16" s="15" t="n"/>
      <c r="AE16" s="15" t="n"/>
      <c r="AF16" s="15" t="n"/>
      <c r="AG16" s="15" t="n"/>
      <c r="AH16" s="15" t="n"/>
      <c r="AI16" s="15" t="n"/>
      <c r="AJ16" s="15" t="n"/>
      <c r="AK16" s="15" t="n"/>
      <c r="AL16" s="15" t="n"/>
      <c r="AM16" s="15" t="n"/>
      <c r="AN16" s="15" t="n"/>
      <c r="AO16" s="15" t="n"/>
      <c r="AP16" s="15" t="n"/>
      <c r="AQ16" s="15" t="n"/>
      <c r="AR16" s="15" t="n"/>
      <c r="AS16" s="15" t="n"/>
      <c r="AT16" s="15" t="n"/>
      <c r="AU16" s="15" t="n"/>
      <c r="AV16" s="15" t="n"/>
      <c r="AW16" s="15" t="n"/>
      <c r="AX16" s="15" t="n"/>
      <c r="AY16" s="15" t="n"/>
      <c r="AZ16" s="15" t="n"/>
      <c r="BA16" s="15" t="n"/>
      <c r="BB16" s="15" t="n"/>
      <c r="BC16" s="15" t="n"/>
      <c r="BD16" s="15" t="n"/>
      <c r="BE16" s="15" t="n"/>
      <c r="BF16" s="15" t="n"/>
      <c r="BG16" s="15" t="n"/>
      <c r="BH16" s="15" t="n"/>
      <c r="BI16" s="15" t="n"/>
      <c r="BJ16" s="15" t="n"/>
      <c r="BK16" s="15" t="n"/>
      <c r="BL16" s="15" t="n"/>
    </row>
    <row r="17">
      <c r="A17" s="4" t="inlineStr">
        <is>
          <t>Units sold - Year 1</t>
        </is>
      </c>
      <c r="B17" s="26" t="inlineStr">
        <is>
          <t>units</t>
        </is>
      </c>
      <c r="C17" s="33" t="n">
        <v>12000</v>
      </c>
      <c r="D17" s="2" t="inlineStr">
        <is>
          <t>Illustrative placeholder - replace with company data.</t>
        </is>
      </c>
    </row>
    <row r="18">
      <c r="A18" s="4" t="inlineStr">
        <is>
          <t>Units sold - Year 2</t>
        </is>
      </c>
      <c r="B18" s="26" t="inlineStr">
        <is>
          <t>units</t>
        </is>
      </c>
      <c r="C18" s="34" t="n">
        <v>24000</v>
      </c>
      <c r="D18" s="2" t="inlineStr">
        <is>
          <t>Illustrative placeholder - replace with company data.</t>
        </is>
      </c>
    </row>
    <row r="19">
      <c r="A19" s="4" t="inlineStr">
        <is>
          <t>Units sold - Year 3</t>
        </is>
      </c>
      <c r="B19" s="26" t="inlineStr">
        <is>
          <t>units</t>
        </is>
      </c>
      <c r="C19" s="34" t="n">
        <v>36000</v>
      </c>
      <c r="D19" s="2" t="inlineStr">
        <is>
          <t>Illustrative placeholder - replace with company data.</t>
        </is>
      </c>
    </row>
    <row r="20">
      <c r="A20" s="4" t="inlineStr">
        <is>
          <t>Units sold - Year 4</t>
        </is>
      </c>
      <c r="B20" s="26" t="inlineStr">
        <is>
          <t>units</t>
        </is>
      </c>
      <c r="C20" s="34" t="n">
        <v>45000</v>
      </c>
      <c r="D20" s="2" t="inlineStr">
        <is>
          <t>Illustrative placeholder - replace with company data.</t>
        </is>
      </c>
    </row>
    <row r="21">
      <c r="A21" s="4" t="inlineStr">
        <is>
          <t>Units sold - Year 5</t>
        </is>
      </c>
      <c r="B21" s="26" t="inlineStr">
        <is>
          <t>units</t>
        </is>
      </c>
      <c r="C21" s="34" t="n">
        <v>50000</v>
      </c>
      <c r="D21" s="2" t="inlineStr">
        <is>
          <t>Illustrative placeholder - replace with company data.</t>
        </is>
      </c>
    </row>
    <row r="22"/>
    <row r="23">
      <c r="A23" s="14" t="inlineStr">
        <is>
          <t>Operating costs</t>
        </is>
      </c>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c r="AA23" s="15" t="n"/>
      <c r="AB23" s="15" t="n"/>
      <c r="AC23" s="15" t="n"/>
      <c r="AD23" s="15" t="n"/>
      <c r="AE23" s="15" t="n"/>
      <c r="AF23" s="15" t="n"/>
      <c r="AG23" s="15" t="n"/>
      <c r="AH23" s="15" t="n"/>
      <c r="AI23" s="15" t="n"/>
      <c r="AJ23" s="15" t="n"/>
      <c r="AK23" s="15" t="n"/>
      <c r="AL23" s="15" t="n"/>
      <c r="AM23" s="15" t="n"/>
      <c r="AN23" s="15" t="n"/>
      <c r="AO23" s="15" t="n"/>
      <c r="AP23" s="15" t="n"/>
      <c r="AQ23" s="15" t="n"/>
      <c r="AR23" s="15" t="n"/>
      <c r="AS23" s="15" t="n"/>
      <c r="AT23" s="15" t="n"/>
      <c r="AU23" s="15" t="n"/>
      <c r="AV23" s="15" t="n"/>
      <c r="AW23" s="15" t="n"/>
      <c r="AX23" s="15" t="n"/>
      <c r="AY23" s="15" t="n"/>
      <c r="AZ23" s="15" t="n"/>
      <c r="BA23" s="15" t="n"/>
      <c r="BB23" s="15" t="n"/>
      <c r="BC23" s="15" t="n"/>
      <c r="BD23" s="15" t="n"/>
      <c r="BE23" s="15" t="n"/>
      <c r="BF23" s="15" t="n"/>
      <c r="BG23" s="15" t="n"/>
      <c r="BH23" s="15" t="n"/>
      <c r="BI23" s="15" t="n"/>
      <c r="BJ23" s="15" t="n"/>
      <c r="BK23" s="15" t="n"/>
      <c r="BL23" s="15" t="n"/>
    </row>
    <row r="24">
      <c r="A24" s="4" t="inlineStr">
        <is>
          <t>Mobile-money / payment processing fees</t>
        </is>
      </c>
      <c r="B24" s="26" t="inlineStr">
        <is>
          <t>% of cash collected</t>
        </is>
      </c>
      <c r="C24" s="31" t="n">
        <v>0.02</v>
      </c>
      <c r="D24" s="2" t="inlineStr">
        <is>
          <t>Illustrative placeholder - replace with company data.</t>
        </is>
      </c>
    </row>
    <row r="25">
      <c r="A25" s="4" t="inlineStr">
        <is>
          <t>Customer service &amp; collections cost</t>
        </is>
      </c>
      <c r="B25" s="26" t="inlineStr">
        <is>
          <t>LCY / active account / month</t>
        </is>
      </c>
      <c r="C25" s="34" t="n">
        <v>150</v>
      </c>
      <c r="D25" s="2" t="inlineStr">
        <is>
          <t>Illustrative placeholder - replace with company data.</t>
        </is>
      </c>
    </row>
    <row r="26">
      <c r="A26" s="4" t="inlineStr">
        <is>
          <t>Staff costs (fixed, month-1 level)</t>
        </is>
      </c>
      <c r="B26" s="26" t="inlineStr">
        <is>
          <t>LCY / month</t>
        </is>
      </c>
      <c r="C26" s="33" t="n">
        <v>26000000</v>
      </c>
      <c r="D26" s="2" t="inlineStr">
        <is>
          <t>Illustrative placeholder - replace with company data.</t>
        </is>
      </c>
    </row>
    <row r="27">
      <c r="A27" s="4" t="inlineStr">
        <is>
          <t>G&amp;A, rent, IT, licences (fixed, month-1 level)</t>
        </is>
      </c>
      <c r="B27" s="26" t="inlineStr">
        <is>
          <t>LCY / month</t>
        </is>
      </c>
      <c r="C27" s="34" t="n">
        <v>10400000</v>
      </c>
      <c r="D27" s="2" t="inlineStr">
        <is>
          <t>Illustrative placeholder - replace with company data.</t>
        </is>
      </c>
    </row>
    <row r="28">
      <c r="A28" s="4" t="inlineStr">
        <is>
          <t>Freight, duty &amp; clearing on hardware</t>
        </is>
      </c>
      <c r="B28" s="26" t="inlineStr">
        <is>
          <t>% of USD FOB cost</t>
        </is>
      </c>
      <c r="C28" s="31" t="n">
        <v>0.2</v>
      </c>
      <c r="D28" s="2" t="inlineStr">
        <is>
          <t>Illustrative placeholder - replace with company data.</t>
        </is>
      </c>
    </row>
    <row r="29"/>
    <row r="30">
      <c r="A30" s="14" t="inlineStr">
        <is>
          <t>Repossession &amp; results-based financing (RBF)</t>
        </is>
      </c>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c r="AL30" s="15" t="n"/>
      <c r="AM30" s="15" t="n"/>
      <c r="AN30" s="15" t="n"/>
      <c r="AO30" s="15" t="n"/>
      <c r="AP30" s="15" t="n"/>
      <c r="AQ30" s="15" t="n"/>
      <c r="AR30" s="15" t="n"/>
      <c r="AS30" s="15" t="n"/>
      <c r="AT30" s="15" t="n"/>
      <c r="AU30" s="15" t="n"/>
      <c r="AV30" s="15" t="n"/>
      <c r="AW30" s="15" t="n"/>
      <c r="AX30" s="15" t="n"/>
      <c r="AY30" s="15" t="n"/>
      <c r="AZ30" s="15" t="n"/>
      <c r="BA30" s="15" t="n"/>
      <c r="BB30" s="15" t="n"/>
      <c r="BC30" s="15" t="n"/>
      <c r="BD30" s="15" t="n"/>
      <c r="BE30" s="15" t="n"/>
      <c r="BF30" s="15" t="n"/>
      <c r="BG30" s="15" t="n"/>
      <c r="BH30" s="15" t="n"/>
      <c r="BI30" s="15" t="n"/>
      <c r="BJ30" s="15" t="n"/>
      <c r="BK30" s="15" t="n"/>
      <c r="BL30" s="15" t="n"/>
    </row>
    <row r="31">
      <c r="A31" s="4" t="inlineStr">
        <is>
          <t>Months from default to resale of repossessed unit</t>
        </is>
      </c>
      <c r="B31" s="26" t="inlineStr">
        <is>
          <t>months</t>
        </is>
      </c>
      <c r="C31" s="35" t="n">
        <v>3</v>
      </c>
      <c r="D31" s="2" t="inlineStr">
        <is>
          <t>Illustrative placeholder - replace with company data.</t>
        </is>
      </c>
    </row>
    <row r="32">
      <c r="A32" s="4" t="inlineStr">
        <is>
          <t>RBF programme active (1 = yes, 0 = no)</t>
        </is>
      </c>
      <c r="B32" s="26" t="inlineStr">
        <is>
          <t>switch</t>
        </is>
      </c>
      <c r="C32" s="27" t="n">
        <v>1</v>
      </c>
      <c r="D32" s="2" t="inlineStr">
        <is>
          <t>RBF per unit is set by tier on Products. Recognised as other income when received (cash basis).</t>
        </is>
      </c>
    </row>
    <row r="33">
      <c r="A33" s="4" t="inlineStr">
        <is>
          <t>Months from sale to RBF disbursement (verification lag)</t>
        </is>
      </c>
      <c r="B33" s="26" t="inlineStr">
        <is>
          <t>months</t>
        </is>
      </c>
      <c r="C33" s="35" t="n">
        <v>6</v>
      </c>
      <c r="D33" s="2" t="inlineStr">
        <is>
          <t>Illustrative placeholder - replace with company data.</t>
        </is>
      </c>
    </row>
    <row r="34"/>
    <row r="35">
      <c r="A35" s="14" t="inlineStr">
        <is>
          <t>Working capital &amp; capex</t>
        </is>
      </c>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c r="AA35" s="15" t="n"/>
      <c r="AB35" s="15" t="n"/>
      <c r="AC35" s="15" t="n"/>
      <c r="AD35" s="15" t="n"/>
      <c r="AE35" s="15" t="n"/>
      <c r="AF35" s="15" t="n"/>
      <c r="AG35" s="15" t="n"/>
      <c r="AH35" s="15" t="n"/>
      <c r="AI35" s="15" t="n"/>
      <c r="AJ35" s="15" t="n"/>
      <c r="AK35" s="15" t="n"/>
      <c r="AL35" s="15" t="n"/>
      <c r="AM35" s="15" t="n"/>
      <c r="AN35" s="15" t="n"/>
      <c r="AO35" s="15" t="n"/>
      <c r="AP35" s="15" t="n"/>
      <c r="AQ35" s="15" t="n"/>
      <c r="AR35" s="15" t="n"/>
      <c r="AS35" s="15" t="n"/>
      <c r="AT35" s="15" t="n"/>
      <c r="AU35" s="15" t="n"/>
      <c r="AV35" s="15" t="n"/>
      <c r="AW35" s="15" t="n"/>
      <c r="AX35" s="15" t="n"/>
      <c r="AY35" s="15" t="n"/>
      <c r="AZ35" s="15" t="n"/>
      <c r="BA35" s="15" t="n"/>
      <c r="BB35" s="15" t="n"/>
      <c r="BC35" s="15" t="n"/>
      <c r="BD35" s="15" t="n"/>
      <c r="BE35" s="15" t="n"/>
      <c r="BF35" s="15" t="n"/>
      <c r="BG35" s="15" t="n"/>
      <c r="BH35" s="15" t="n"/>
      <c r="BI35" s="15" t="n"/>
      <c r="BJ35" s="15" t="n"/>
      <c r="BK35" s="15" t="n"/>
      <c r="BL35" s="15" t="n"/>
    </row>
    <row r="36">
      <c r="A36" s="4" t="inlineStr">
        <is>
          <t>Inventory cover</t>
        </is>
      </c>
      <c r="B36" s="26" t="inlineStr">
        <is>
          <t>months of hardware COGS</t>
        </is>
      </c>
      <c r="C36" s="36" t="n">
        <v>2</v>
      </c>
      <c r="D36" s="2" t="inlineStr">
        <is>
          <t>Illustrative placeholder - replace with company data.</t>
        </is>
      </c>
    </row>
    <row r="37">
      <c r="A37" s="4" t="inlineStr">
        <is>
          <t>Supplier credit on hardware</t>
        </is>
      </c>
      <c r="B37" s="26" t="inlineStr">
        <is>
          <t>days</t>
        </is>
      </c>
      <c r="C37" s="35" t="n">
        <v>60</v>
      </c>
      <c r="D37" s="2" t="inlineStr">
        <is>
          <t>Illustrative placeholder - replace with company data.</t>
        </is>
      </c>
    </row>
    <row r="38">
      <c r="A38" s="4" t="inlineStr">
        <is>
          <t>Fixed capex (vehicles, IT, depots, month-1 level)</t>
        </is>
      </c>
      <c r="B38" s="26" t="inlineStr">
        <is>
          <t>LCY / month</t>
        </is>
      </c>
      <c r="C38" s="34" t="n">
        <v>900000</v>
      </c>
      <c r="D38" s="2" t="inlineStr">
        <is>
          <t>Illustrative placeholder - replace with company data.</t>
        </is>
      </c>
    </row>
    <row r="39">
      <c r="A39" s="4" t="inlineStr">
        <is>
          <t>Depreciation life of fixed capex</t>
        </is>
      </c>
      <c r="B39" s="26" t="inlineStr">
        <is>
          <t>months</t>
        </is>
      </c>
      <c r="C39" s="35" t="n">
        <v>36</v>
      </c>
      <c r="D39" s="2" t="inlineStr">
        <is>
          <t>Illustrative placeholder - replace with company data.</t>
        </is>
      </c>
    </row>
    <row r="40">
      <c r="A40" s="4" t="inlineStr">
        <is>
          <t>Minimum operating cash balance</t>
        </is>
      </c>
      <c r="B40" s="26" t="inlineStr">
        <is>
          <t>LCY</t>
        </is>
      </c>
      <c r="C40" s="33" t="n">
        <v>100000000</v>
      </c>
      <c r="D40" s="2" t="inlineStr">
        <is>
          <t>Any shortfall is covered by an automatic equity top-up = funding requirement.</t>
        </is>
      </c>
    </row>
    <row r="41"/>
    <row r="42">
      <c r="A42" s="14" t="inlineStr">
        <is>
          <t>Financing</t>
        </is>
      </c>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c r="AA42" s="15" t="n"/>
      <c r="AB42" s="15" t="n"/>
      <c r="AC42" s="15" t="n"/>
      <c r="AD42" s="15" t="n"/>
      <c r="AE42" s="15" t="n"/>
      <c r="AF42" s="15" t="n"/>
      <c r="AG42" s="15" t="n"/>
      <c r="AH42" s="15" t="n"/>
      <c r="AI42" s="15" t="n"/>
      <c r="AJ42" s="15" t="n"/>
      <c r="AK42" s="15" t="n"/>
      <c r="AL42" s="15" t="n"/>
      <c r="AM42" s="15" t="n"/>
      <c r="AN42" s="15" t="n"/>
      <c r="AO42" s="15" t="n"/>
      <c r="AP42" s="15" t="n"/>
      <c r="AQ42" s="15" t="n"/>
      <c r="AR42" s="15" t="n"/>
      <c r="AS42" s="15" t="n"/>
      <c r="AT42" s="15" t="n"/>
      <c r="AU42" s="15" t="n"/>
      <c r="AV42" s="15" t="n"/>
      <c r="AW42" s="15" t="n"/>
      <c r="AX42" s="15" t="n"/>
      <c r="AY42" s="15" t="n"/>
      <c r="AZ42" s="15" t="n"/>
      <c r="BA42" s="15" t="n"/>
      <c r="BB42" s="15" t="n"/>
      <c r="BC42" s="15" t="n"/>
      <c r="BD42" s="15" t="n"/>
      <c r="BE42" s="15" t="n"/>
      <c r="BF42" s="15" t="n"/>
      <c r="BG42" s="15" t="n"/>
      <c r="BH42" s="15" t="n"/>
      <c r="BI42" s="15" t="n"/>
      <c r="BJ42" s="15" t="n"/>
      <c r="BK42" s="15" t="n"/>
      <c r="BL42" s="15" t="n"/>
    </row>
    <row r="43">
      <c r="A43" s="4" t="inlineStr">
        <is>
          <t>Initial equity (month 1, all shareholders)</t>
        </is>
      </c>
      <c r="B43" s="26" t="inlineStr">
        <is>
          <t>LCY</t>
        </is>
      </c>
      <c r="C43" s="33" t="n">
        <v>1300000000</v>
      </c>
      <c r="D43" s="2" t="inlineStr">
        <is>
          <t>Illustrative placeholder - replace with company data.</t>
        </is>
      </c>
    </row>
    <row r="44">
      <c r="A44" s="4" t="inlineStr">
        <is>
          <t>USD term loan - amount</t>
        </is>
      </c>
      <c r="B44" s="26" t="inlineStr">
        <is>
          <t>USD</t>
        </is>
      </c>
      <c r="C44" s="33" t="n">
        <v>5000000</v>
      </c>
      <c r="D44" s="2" t="inlineStr">
        <is>
          <t>Illustrative placeholder - replace with company data.</t>
        </is>
      </c>
    </row>
    <row r="45">
      <c r="A45" s="4" t="inlineStr">
        <is>
          <t>USD term loan - drawdown month</t>
        </is>
      </c>
      <c r="B45" s="26" t="inlineStr">
        <is>
          <t>month #</t>
        </is>
      </c>
      <c r="C45" s="35" t="n">
        <v>6</v>
      </c>
      <c r="D45" s="2" t="inlineStr">
        <is>
          <t>Illustrative placeholder - replace with company data.</t>
        </is>
      </c>
    </row>
    <row r="46">
      <c r="A46" s="4" t="inlineStr">
        <is>
          <t>USD term loan - interest rate</t>
        </is>
      </c>
      <c r="B46" s="26" t="inlineStr">
        <is>
          <t>% p.a.</t>
        </is>
      </c>
      <c r="C46" s="31" t="n">
        <v>0.1</v>
      </c>
      <c r="D46" s="2" t="inlineStr">
        <is>
          <t>Illustrative placeholder - replace with company data.</t>
        </is>
      </c>
    </row>
    <row r="47">
      <c r="A47" s="4" t="inlineStr">
        <is>
          <t>USD term loan - grace period after drawdown</t>
        </is>
      </c>
      <c r="B47" s="26" t="inlineStr">
        <is>
          <t>months</t>
        </is>
      </c>
      <c r="C47" s="35" t="n">
        <v>12</v>
      </c>
      <c r="D47" s="2" t="inlineStr">
        <is>
          <t>Illustrative placeholder - replace with company data.</t>
        </is>
      </c>
    </row>
    <row r="48">
      <c r="A48" s="4" t="inlineStr">
        <is>
          <t>USD term loan - amortisation period</t>
        </is>
      </c>
      <c r="B48" s="26" t="inlineStr">
        <is>
          <t>months</t>
        </is>
      </c>
      <c r="C48" s="35" t="n">
        <v>36</v>
      </c>
      <c r="D48" s="2" t="inlineStr">
        <is>
          <t>Illustrative placeholder - replace with company data.</t>
        </is>
      </c>
    </row>
    <row r="49">
      <c r="A49" s="4" t="inlineStr">
        <is>
          <t>Receivables facility (LCY) - limit</t>
        </is>
      </c>
      <c r="B49" s="26" t="inlineStr">
        <is>
          <t>LCY</t>
        </is>
      </c>
      <c r="C49" s="33" t="n">
        <v>6500000000</v>
      </c>
      <c r="D49" s="2" t="inlineStr">
        <is>
          <t>Drawn as needed to hold minimum cash (cash sweep), capped at the borrowing base and the limit. Borrowing base = sum over tiers of advance rate x eligible receivables.</t>
        </is>
      </c>
    </row>
    <row r="50">
      <c r="A50" s="4" t="inlineStr">
        <is>
          <t>Receivables facility - interest rate</t>
        </is>
      </c>
      <c r="B50" s="26" t="inlineStr">
        <is>
          <t>% p.a.</t>
        </is>
      </c>
      <c r="C50" s="31" t="n">
        <v>0.16</v>
      </c>
      <c r="D50" s="2" t="inlineStr">
        <is>
          <t>Illustrative placeholder - replace with company data.</t>
        </is>
      </c>
    </row>
    <row r="51">
      <c r="A51" s="4" t="inlineStr">
        <is>
          <t>Receivables facility - first available month</t>
        </is>
      </c>
      <c r="B51" s="26" t="inlineStr">
        <is>
          <t>month #</t>
        </is>
      </c>
      <c r="C51" s="35" t="n">
        <v>7</v>
      </c>
      <c r="D51" s="2" t="inlineStr">
        <is>
          <t>Illustrative placeholder - replace with company data.</t>
        </is>
      </c>
    </row>
    <row r="52"/>
    <row r="53">
      <c r="A53" s="14" t="inlineStr">
        <is>
          <t>Lender covenants (tested on Covenants sheet)</t>
        </is>
      </c>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c r="AA53" s="15" t="n"/>
      <c r="AB53" s="15" t="n"/>
      <c r="AC53" s="15" t="n"/>
      <c r="AD53" s="15" t="n"/>
      <c r="AE53" s="15" t="n"/>
      <c r="AF53" s="15" t="n"/>
      <c r="AG53" s="15" t="n"/>
      <c r="AH53" s="15" t="n"/>
      <c r="AI53" s="15" t="n"/>
      <c r="AJ53" s="15" t="n"/>
      <c r="AK53" s="15" t="n"/>
      <c r="AL53" s="15" t="n"/>
      <c r="AM53" s="15" t="n"/>
      <c r="AN53" s="15" t="n"/>
      <c r="AO53" s="15" t="n"/>
      <c r="AP53" s="15" t="n"/>
      <c r="AQ53" s="15" t="n"/>
      <c r="AR53" s="15" t="n"/>
      <c r="AS53" s="15" t="n"/>
      <c r="AT53" s="15" t="n"/>
      <c r="AU53" s="15" t="n"/>
      <c r="AV53" s="15" t="n"/>
      <c r="AW53" s="15" t="n"/>
      <c r="AX53" s="15" t="n"/>
      <c r="AY53" s="15" t="n"/>
      <c r="AZ53" s="15" t="n"/>
      <c r="BA53" s="15" t="n"/>
      <c r="BB53" s="15" t="n"/>
      <c r="BC53" s="15" t="n"/>
      <c r="BD53" s="15" t="n"/>
      <c r="BE53" s="15" t="n"/>
      <c r="BF53" s="15" t="n"/>
      <c r="BG53" s="15" t="n"/>
      <c r="BH53" s="15" t="n"/>
      <c r="BI53" s="15" t="n"/>
      <c r="BJ53" s="15" t="n"/>
      <c r="BK53" s="15" t="n"/>
      <c r="BL53" s="15" t="n"/>
    </row>
    <row r="54">
      <c r="A54" s="4" t="inlineStr">
        <is>
          <t>Minimum trailing-3-month collection rate</t>
        </is>
      </c>
      <c r="B54" s="26" t="inlineStr">
        <is>
          <t>%</t>
        </is>
      </c>
      <c r="C54" s="32" t="n">
        <v>0.7</v>
      </c>
      <c r="D54" s="2" t="inlineStr">
        <is>
          <t>Illustrative placeholder - replace with company data.</t>
        </is>
      </c>
    </row>
    <row r="55">
      <c r="A55" s="4" t="inlineStr">
        <is>
          <t>Maximum receivables at risk / gross receivables</t>
        </is>
      </c>
      <c r="B55" s="26" t="inlineStr">
        <is>
          <t>%</t>
        </is>
      </c>
      <c r="C55" s="32" t="n">
        <v>0.15</v>
      </c>
      <c r="D55" s="2" t="inlineStr">
        <is>
          <t>Illustrative placeholder - replace with company data.</t>
        </is>
      </c>
    </row>
    <row r="56">
      <c r="A56" s="4" t="inlineStr">
        <is>
          <t>Maximum debt / book equity</t>
        </is>
      </c>
      <c r="B56" s="26" t="inlineStr">
        <is>
          <t>x</t>
        </is>
      </c>
      <c r="C56" s="37" t="n">
        <v>3</v>
      </c>
      <c r="D56" s="2" t="inlineStr">
        <is>
          <t>Illustrative placeholder - replace with company data.</t>
        </is>
      </c>
    </row>
    <row r="57">
      <c r="A57" s="4" t="inlineStr">
        <is>
          <t>Minimum annual DSCR (years with debt service)</t>
        </is>
      </c>
      <c r="B57" s="26" t="inlineStr">
        <is>
          <t>x</t>
        </is>
      </c>
      <c r="C57" s="37" t="n">
        <v>1.2</v>
      </c>
      <c r="D57" s="2" t="inlineStr">
        <is>
          <t>Illustrative placeholder - replace with company data.</t>
        </is>
      </c>
    </row>
    <row r="58">
      <c r="A58" s="4" t="inlineStr">
        <is>
          <t>Minimum liquidity: cash before equity top-up</t>
        </is>
      </c>
      <c r="B58" s="26" t="inlineStr">
        <is>
          <t>LCY</t>
        </is>
      </c>
      <c r="C58" s="34" t="n">
        <v>50000000</v>
      </c>
      <c r="D58" s="2" t="inlineStr">
        <is>
          <t>Illustrative placeholder - replace with company data.</t>
        </is>
      </c>
    </row>
    <row r="59"/>
    <row r="60">
      <c r="A60" s="14" t="inlineStr">
        <is>
          <t>Valuation &amp; transaction</t>
        </is>
      </c>
      <c r="B60" s="15" t="n"/>
      <c r="C60" s="15" t="n"/>
      <c r="D60" s="15" t="n"/>
      <c r="E60" s="15" t="n"/>
      <c r="F60" s="15" t="n"/>
      <c r="G60" s="15" t="n"/>
      <c r="H60" s="15" t="n"/>
      <c r="I60" s="15" t="n"/>
      <c r="J60" s="15" t="n"/>
      <c r="K60" s="15" t="n"/>
      <c r="L60" s="15" t="n"/>
      <c r="M60" s="15" t="n"/>
      <c r="N60" s="15" t="n"/>
      <c r="O60" s="15" t="n"/>
      <c r="P60" s="15" t="n"/>
      <c r="Q60" s="15" t="n"/>
      <c r="R60" s="15" t="n"/>
      <c r="S60" s="15" t="n"/>
      <c r="T60" s="15" t="n"/>
      <c r="U60" s="15" t="n"/>
      <c r="V60" s="15" t="n"/>
      <c r="W60" s="15" t="n"/>
      <c r="X60" s="15" t="n"/>
      <c r="Y60" s="15" t="n"/>
      <c r="Z60" s="15" t="n"/>
      <c r="AA60" s="15" t="n"/>
      <c r="AB60" s="15" t="n"/>
      <c r="AC60" s="15" t="n"/>
      <c r="AD60" s="15" t="n"/>
      <c r="AE60" s="15" t="n"/>
      <c r="AF60" s="15" t="n"/>
      <c r="AG60" s="15" t="n"/>
      <c r="AH60" s="15" t="n"/>
      <c r="AI60" s="15" t="n"/>
      <c r="AJ60" s="15" t="n"/>
      <c r="AK60" s="15" t="n"/>
      <c r="AL60" s="15" t="n"/>
      <c r="AM60" s="15" t="n"/>
      <c r="AN60" s="15" t="n"/>
      <c r="AO60" s="15" t="n"/>
      <c r="AP60" s="15" t="n"/>
      <c r="AQ60" s="15" t="n"/>
      <c r="AR60" s="15" t="n"/>
      <c r="AS60" s="15" t="n"/>
      <c r="AT60" s="15" t="n"/>
      <c r="AU60" s="15" t="n"/>
      <c r="AV60" s="15" t="n"/>
      <c r="AW60" s="15" t="n"/>
      <c r="AX60" s="15" t="n"/>
      <c r="AY60" s="15" t="n"/>
      <c r="AZ60" s="15" t="n"/>
      <c r="BA60" s="15" t="n"/>
      <c r="BB60" s="15" t="n"/>
      <c r="BC60" s="15" t="n"/>
      <c r="BD60" s="15" t="n"/>
      <c r="BE60" s="15" t="n"/>
      <c r="BF60" s="15" t="n"/>
      <c r="BG60" s="15" t="n"/>
      <c r="BH60" s="15" t="n"/>
      <c r="BI60" s="15" t="n"/>
      <c r="BJ60" s="15" t="n"/>
      <c r="BK60" s="15" t="n"/>
      <c r="BL60" s="15" t="n"/>
    </row>
    <row r="61">
      <c r="A61" s="4" t="inlineStr">
        <is>
          <t>Discount rate for DCF (LCY, nominal)</t>
        </is>
      </c>
      <c r="B61" s="26" t="inlineStr">
        <is>
          <t>% p.a.</t>
        </is>
      </c>
      <c r="C61" s="32" t="n">
        <v>0.22</v>
      </c>
      <c r="D61" s="2" t="inlineStr">
        <is>
          <t>Should reflect LCY risk-free rate, country and company risk premia.</t>
        </is>
      </c>
    </row>
    <row r="62">
      <c r="A62" s="4" t="inlineStr">
        <is>
          <t>Terminal growth rate (LCY, nominal)</t>
        </is>
      </c>
      <c r="B62" s="26" t="inlineStr">
        <is>
          <t>% p.a.</t>
        </is>
      </c>
      <c r="C62" s="31" t="n">
        <v>0.05</v>
      </c>
      <c r="D62" s="2" t="inlineStr">
        <is>
          <t>Illustrative placeholder - replace with company data.</t>
        </is>
      </c>
    </row>
    <row r="63">
      <c r="A63" s="4" t="inlineStr">
        <is>
          <t>Investor ticket (part of initial equity)</t>
        </is>
      </c>
      <c r="B63" s="26" t="inlineStr">
        <is>
          <t>USD</t>
        </is>
      </c>
      <c r="C63" s="33" t="n">
        <v>4000000</v>
      </c>
      <c r="D63" s="2" t="inlineStr">
        <is>
          <t>Illustrative placeholder - replace with company data.</t>
        </is>
      </c>
    </row>
    <row r="64">
      <c r="A64" s="4" t="inlineStr">
        <is>
          <t>Pre-money equity valuation</t>
        </is>
      </c>
      <c r="B64" s="26" t="inlineStr">
        <is>
          <t>USD</t>
        </is>
      </c>
      <c r="C64" s="33" t="n">
        <v>8000000</v>
      </c>
      <c r="D64" s="2" t="inlineStr">
        <is>
          <t>Illustrative placeholder - replace with company data.</t>
        </is>
      </c>
    </row>
    <row r="65">
      <c r="A65" s="4" t="inlineStr">
        <is>
          <t>Exit valuation method (1 = EV/EBITDA, 2 = Price/Book)</t>
        </is>
      </c>
      <c r="B65" s="26" t="inlineStr">
        <is>
          <t>#</t>
        </is>
      </c>
      <c r="C65" s="35" t="n">
        <v>1</v>
      </c>
      <c r="D65" s="2" t="inlineStr">
        <is>
          <t>Illustrative placeholder - replace with company data.</t>
        </is>
      </c>
    </row>
    <row r="66">
      <c r="A66" s="4" t="inlineStr">
        <is>
          <t>Exit EV / EBITDA multiple (end of Year 5)</t>
        </is>
      </c>
      <c r="B66" s="26" t="inlineStr">
        <is>
          <t>x</t>
        </is>
      </c>
      <c r="C66" s="37" t="n">
        <v>6</v>
      </c>
      <c r="D66" s="2" t="inlineStr">
        <is>
          <t>Illustrative placeholder - replace with company data.</t>
        </is>
      </c>
    </row>
    <row r="67">
      <c r="A67" s="4" t="inlineStr">
        <is>
          <t>Exit price / book equity multiple (end of Year 5)</t>
        </is>
      </c>
      <c r="B67" s="26" t="inlineStr">
        <is>
          <t>x</t>
        </is>
      </c>
      <c r="C67" s="37" t="n">
        <v>1.5</v>
      </c>
      <c r="D67" s="2" t="inlineStr">
        <is>
          <t>Illustrative placeholder - replace with company data.</t>
        </is>
      </c>
    </row>
  </sheetData>
  <dataValidations count="1">
    <dataValidation sqref="C5" showDropDown="0" showInputMessage="0" showErrorMessage="0" allowBlank="0" type="whole" operator="between">
      <formula1>1</formula1>
      <formula2>3</formula2>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0000FF"/>
    <outlinePr summaryBelow="1" summaryRight="1"/>
    <pageSetUpPr fitToPage="1"/>
  </sheetPr>
  <dimension ref="A1:BL45"/>
  <sheetViews>
    <sheetView showGridLines="0" workbookViewId="0">
      <selection activeCell="A1" sqref="A1"/>
    </sheetView>
  </sheetViews>
  <sheetFormatPr baseColWidth="8" defaultRowHeight="15"/>
  <cols>
    <col width="54" customWidth="1" min="1" max="1"/>
    <col width="16" customWidth="1" min="2" max="2"/>
    <col width="24" customWidth="1" min="3" max="3"/>
    <col width="24" customWidth="1" min="4" max="4"/>
    <col width="24" customWidth="1" min="5" max="5"/>
    <col width="24" customWidth="1" min="6" max="6"/>
    <col width="24" customWidth="1" min="7" max="7"/>
    <col width="60" customWidth="1" min="8" max="8"/>
  </cols>
  <sheetData>
    <row r="1">
      <c r="A1" s="1" t="inlineStr">
        <is>
          <t>Product range &amp; PAYGo price plans - MTF Tiers 1-5</t>
        </is>
      </c>
    </row>
    <row r="2">
      <c r="A2" s="2" t="inlineStr">
        <is>
          <t>One column per tier. Tier labels follow the MTF capacity attribute only (indicative). Blue = input.</t>
        </is>
      </c>
    </row>
    <row r="3"/>
    <row r="4">
      <c r="A4" s="16" t="inlineStr">
        <is>
          <t>Parameter</t>
        </is>
      </c>
      <c r="B4" s="16" t="inlineStr">
        <is>
          <t>Unit</t>
        </is>
      </c>
      <c r="C4" s="16" t="inlineStr">
        <is>
          <t>Tier 1</t>
        </is>
      </c>
      <c r="D4" s="16" t="inlineStr">
        <is>
          <t>Tier 2</t>
        </is>
      </c>
      <c r="E4" s="16" t="inlineStr">
        <is>
          <t>Tier 3</t>
        </is>
      </c>
      <c r="F4" s="16" t="inlineStr">
        <is>
          <t>Tier 4</t>
        </is>
      </c>
      <c r="G4" s="16" t="inlineStr">
        <is>
          <t>Tier 5</t>
        </is>
      </c>
      <c r="H4" s="16" t="inlineStr">
        <is>
          <t>Notes</t>
        </is>
      </c>
    </row>
    <row r="5">
      <c r="A5" s="14" t="inlineStr">
        <is>
          <t>Product specification</t>
        </is>
      </c>
      <c r="B5" s="15" t="n"/>
      <c r="C5" s="15" t="n"/>
      <c r="D5" s="15" t="n"/>
      <c r="E5" s="15" t="n"/>
      <c r="F5" s="15" t="n"/>
      <c r="G5" s="15" t="n"/>
      <c r="H5" s="15" t="n"/>
      <c r="I5" s="15" t="n"/>
      <c r="J5" s="15" t="n"/>
      <c r="K5" s="15" t="n"/>
      <c r="L5" s="15" t="n"/>
      <c r="M5" s="15" t="n"/>
      <c r="N5" s="15" t="n"/>
      <c r="O5" s="15" t="n"/>
      <c r="P5" s="15" t="n"/>
      <c r="Q5" s="15" t="n"/>
      <c r="R5" s="15" t="n"/>
      <c r="S5" s="15" t="n"/>
      <c r="T5" s="15" t="n"/>
      <c r="U5" s="15" t="n"/>
      <c r="V5" s="15" t="n"/>
      <c r="W5" s="15" t="n"/>
      <c r="X5" s="15" t="n"/>
      <c r="Y5" s="15" t="n"/>
      <c r="Z5" s="15" t="n"/>
      <c r="AA5" s="15" t="n"/>
      <c r="AB5" s="15" t="n"/>
      <c r="AC5" s="15" t="n"/>
      <c r="AD5" s="15" t="n"/>
      <c r="AE5" s="15" t="n"/>
      <c r="AF5" s="15" t="n"/>
      <c r="AG5" s="15" t="n"/>
      <c r="AH5" s="15" t="n"/>
      <c r="AI5" s="15" t="n"/>
      <c r="AJ5" s="15" t="n"/>
      <c r="AK5" s="15" t="n"/>
      <c r="AL5" s="15" t="n"/>
      <c r="AM5" s="15" t="n"/>
      <c r="AN5" s="15" t="n"/>
      <c r="AO5" s="15" t="n"/>
      <c r="AP5" s="15" t="n"/>
      <c r="AQ5" s="15" t="n"/>
      <c r="AR5" s="15" t="n"/>
      <c r="AS5" s="15" t="n"/>
      <c r="AT5" s="15" t="n"/>
      <c r="AU5" s="15" t="n"/>
      <c r="AV5" s="15" t="n"/>
      <c r="AW5" s="15" t="n"/>
      <c r="AX5" s="15" t="n"/>
      <c r="AY5" s="15" t="n"/>
      <c r="AZ5" s="15" t="n"/>
      <c r="BA5" s="15" t="n"/>
      <c r="BB5" s="15" t="n"/>
      <c r="BC5" s="15" t="n"/>
      <c r="BD5" s="15" t="n"/>
      <c r="BE5" s="15" t="n"/>
      <c r="BF5" s="15" t="n"/>
      <c r="BG5" s="15" t="n"/>
      <c r="BH5" s="15" t="n"/>
      <c r="BI5" s="15" t="n"/>
      <c r="BJ5" s="15" t="n"/>
      <c r="BK5" s="15" t="n"/>
      <c r="BL5" s="15" t="n"/>
    </row>
    <row r="6" ht="30" customHeight="1">
      <c r="A6" s="4" t="inlineStr">
        <is>
          <t>Product name</t>
        </is>
      </c>
      <c r="B6" s="26" t="inlineStr">
        <is>
          <t>text</t>
        </is>
      </c>
      <c r="C6" s="38" t="inlineStr">
        <is>
          <t>Tier 1 - Pico solar kit</t>
        </is>
      </c>
      <c r="D6" s="38" t="inlineStr">
        <is>
          <t>Tier 2 - SHS with TV</t>
        </is>
      </c>
      <c r="E6" s="38" t="inlineStr">
        <is>
          <t>Tier 3 - Large SHS + DC fridge</t>
        </is>
      </c>
      <c r="F6" s="38" t="inlineStr">
        <is>
          <t>Tier 4 - Solar inverter + lithium (~1.2 kWp / 5 kWh)</t>
        </is>
      </c>
      <c r="G6" s="38" t="inlineStr">
        <is>
          <t>Tier 5 - Solar inverter + lithium (~3 kWp / 10 kWh)</t>
        </is>
      </c>
      <c r="H6" s="2" t="inlineStr">
        <is>
          <t>Illustrative placeholder - replace with company data.</t>
        </is>
      </c>
    </row>
    <row r="7">
      <c r="A7" s="4" t="inlineStr">
        <is>
          <t>MTF capacity tier (indicative)</t>
        </is>
      </c>
      <c r="B7" s="26" t="inlineStr">
        <is>
          <t>tier</t>
        </is>
      </c>
      <c r="C7" s="35" t="n">
        <v>1</v>
      </c>
      <c r="D7" s="35" t="n">
        <v>2</v>
      </c>
      <c r="E7" s="35" t="n">
        <v>3</v>
      </c>
      <c r="F7" s="35" t="n">
        <v>4</v>
      </c>
      <c r="G7" s="35" t="n">
        <v>5</v>
      </c>
      <c r="H7" s="2" t="inlineStr">
        <is>
          <t>Capacity minimums: T1 ≥3 W and ≥12 Wh/day; T2 ≥50 W and ≥200 Wh/day; T3 ≥200 W and ≥1.0 kWh/day; T4 ≥800 W and ≥3.4 kWh/day; T5 ≥2 kW and ≥8.2 kWh/day (ESMAP MTF - verify).</t>
        </is>
      </c>
    </row>
    <row r="8">
      <c r="A8" s="4" t="inlineStr">
        <is>
          <t>PV array size</t>
        </is>
      </c>
      <c r="B8" s="26" t="inlineStr">
        <is>
          <t>Wp</t>
        </is>
      </c>
      <c r="C8" s="34" t="n">
        <v>10</v>
      </c>
      <c r="D8" s="34" t="n">
        <v>80</v>
      </c>
      <c r="E8" s="34" t="n">
        <v>300</v>
      </c>
      <c r="F8" s="34" t="n">
        <v>1200</v>
      </c>
      <c r="G8" s="34" t="n">
        <v>3000</v>
      </c>
      <c r="H8" s="2" t="inlineStr">
        <is>
          <t>Illustrative placeholder - replace with company data.</t>
        </is>
      </c>
    </row>
    <row r="9">
      <c r="A9" s="4" t="inlineStr">
        <is>
          <t>Battery capacity</t>
        </is>
      </c>
      <c r="B9" s="26" t="inlineStr">
        <is>
          <t>Wh</t>
        </is>
      </c>
      <c r="C9" s="34" t="n">
        <v>40</v>
      </c>
      <c r="D9" s="34" t="n">
        <v>300</v>
      </c>
      <c r="E9" s="34" t="n">
        <v>1500</v>
      </c>
      <c r="F9" s="34" t="n">
        <v>5000</v>
      </c>
      <c r="G9" s="34" t="n">
        <v>10000</v>
      </c>
      <c r="H9" s="2" t="inlineStr">
        <is>
          <t>Illustrative placeholder - replace with company data.</t>
        </is>
      </c>
    </row>
    <row r="10" ht="30" customHeight="1">
      <c r="A10" s="4" t="inlineStr">
        <is>
          <t>Typical loads / appliances</t>
        </is>
      </c>
      <c r="B10" s="26" t="inlineStr">
        <is>
          <t>text</t>
        </is>
      </c>
      <c r="C10" s="38" t="inlineStr">
        <is>
          <t>1-3 lamps, phone charging, radio</t>
        </is>
      </c>
      <c r="D10" s="38" t="inlineStr">
        <is>
          <t>4-6 lamps, radio, phone, 24-32" DC TV</t>
        </is>
      </c>
      <c r="E10" s="38" t="inlineStr">
        <is>
          <t>Lighting, TV, DC fridge, fan</t>
        </is>
      </c>
      <c r="F10" s="38" t="inlineStr">
        <is>
          <t>AC loads: TV, fridge, fans, small tools</t>
        </is>
      </c>
      <c r="G10" s="38" t="inlineStr">
        <is>
          <t>Full household AC loads, freezer, productive-use equipment</t>
        </is>
      </c>
      <c r="H10" s="2" t="inlineStr">
        <is>
          <t>Illustrative placeholder - replace with company data.</t>
        </is>
      </c>
    </row>
    <row r="11" ht="30" customHeight="1">
      <c r="A11" s="4" t="inlineStr">
        <is>
          <t>Target customer segment</t>
        </is>
      </c>
      <c r="B11" s="26" t="inlineStr">
        <is>
          <t>text</t>
        </is>
      </c>
      <c r="C11" s="38" t="inlineStr">
        <is>
          <t>Rural, low income, first-time PAYGo</t>
        </is>
      </c>
      <c r="D11" s="38" t="inlineStr">
        <is>
          <t>Rural / peri-urban households</t>
        </is>
      </c>
      <c r="E11" s="38" t="inlineStr">
        <is>
          <t>Peri-urban households, kiosks</t>
        </is>
      </c>
      <c r="F11" s="38" t="inlineStr">
        <is>
          <t>Urban households &amp; SMEs with weak grid</t>
        </is>
      </c>
      <c r="G11" s="38" t="inlineStr">
        <is>
          <t>Upper-income households, SMEs, productive use</t>
        </is>
      </c>
      <c r="H11" s="2" t="inlineStr">
        <is>
          <t>Illustrative placeholder - replace with company data.</t>
        </is>
      </c>
    </row>
    <row r="12">
      <c r="A12" s="14" t="inlineStr">
        <is>
          <t>PAYGo price plan</t>
        </is>
      </c>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c r="AG12" s="15" t="n"/>
      <c r="AH12" s="15" t="n"/>
      <c r="AI12" s="15" t="n"/>
      <c r="AJ12" s="15" t="n"/>
      <c r="AK12" s="15" t="n"/>
      <c r="AL12" s="15" t="n"/>
      <c r="AM12" s="15" t="n"/>
      <c r="AN12" s="15" t="n"/>
      <c r="AO12" s="15" t="n"/>
      <c r="AP12" s="15" t="n"/>
      <c r="AQ12" s="15" t="n"/>
      <c r="AR12" s="15" t="n"/>
      <c r="AS12" s="15" t="n"/>
      <c r="AT12" s="15" t="n"/>
      <c r="AU12" s="15" t="n"/>
      <c r="AV12" s="15" t="n"/>
      <c r="AW12" s="15" t="n"/>
      <c r="AX12" s="15" t="n"/>
      <c r="AY12" s="15" t="n"/>
      <c r="AZ12" s="15" t="n"/>
      <c r="BA12" s="15" t="n"/>
      <c r="BB12" s="15" t="n"/>
      <c r="BC12" s="15" t="n"/>
      <c r="BD12" s="15" t="n"/>
      <c r="BE12" s="15" t="n"/>
      <c r="BF12" s="15" t="n"/>
      <c r="BG12" s="15" t="n"/>
      <c r="BH12" s="15" t="n"/>
      <c r="BI12" s="15" t="n"/>
      <c r="BJ12" s="15" t="n"/>
      <c r="BK12" s="15" t="n"/>
      <c r="BL12" s="15" t="n"/>
    </row>
    <row r="13">
      <c r="A13" s="4" t="inlineStr">
        <is>
          <t>Cash (list) price</t>
        </is>
      </c>
      <c r="B13" s="26" t="inlineStr">
        <is>
          <t>LCY</t>
        </is>
      </c>
      <c r="C13" s="33" t="n">
        <v>6500</v>
      </c>
      <c r="D13" s="33" t="n">
        <v>39000</v>
      </c>
      <c r="E13" s="33" t="n">
        <v>117000</v>
      </c>
      <c r="F13" s="33" t="n">
        <v>390000</v>
      </c>
      <c r="G13" s="33" t="n">
        <v>845000</v>
      </c>
      <c r="H13" s="2" t="inlineStr">
        <is>
          <t>Price if paid upfront. Basis of hardware revenue.</t>
        </is>
      </c>
    </row>
    <row r="14">
      <c r="A14" s="4" t="inlineStr">
        <is>
          <t>Down payment (deposit)</t>
        </is>
      </c>
      <c r="B14" s="26" t="inlineStr">
        <is>
          <t>LCY</t>
        </is>
      </c>
      <c r="C14" s="33" t="n">
        <v>1000</v>
      </c>
      <c r="D14" s="33" t="n">
        <v>4000</v>
      </c>
      <c r="E14" s="33" t="n">
        <v>17550</v>
      </c>
      <c r="F14" s="33" t="n">
        <v>78000</v>
      </c>
      <c r="G14" s="33" t="n">
        <v>211250</v>
      </c>
      <c r="H14" s="2" t="inlineStr">
        <is>
          <t>Illustrative placeholder - replace with company data.</t>
        </is>
      </c>
    </row>
    <row r="15">
      <c r="A15" s="4" t="inlineStr">
        <is>
          <t>PAYGo daily rate</t>
        </is>
      </c>
      <c r="B15" s="26" t="inlineStr">
        <is>
          <t>LCY / day</t>
        </is>
      </c>
      <c r="C15" s="33" t="n">
        <v>25</v>
      </c>
      <c r="D15" s="33" t="n">
        <v>77</v>
      </c>
      <c r="E15" s="33" t="n">
        <v>173</v>
      </c>
      <c r="F15" s="33" t="n">
        <v>445</v>
      </c>
      <c r="G15" s="33" t="n">
        <v>694</v>
      </c>
      <c r="H15" s="2" t="inlineStr">
        <is>
          <t>Illustrative placeholder - replace with company data.</t>
        </is>
      </c>
    </row>
    <row r="16">
      <c r="A16" s="4" t="inlineStr">
        <is>
          <t>PAYGo tenor</t>
        </is>
      </c>
      <c r="B16" s="26" t="inlineStr">
        <is>
          <t>months</t>
        </is>
      </c>
      <c r="C16" s="27" t="n">
        <v>12</v>
      </c>
      <c r="D16" s="27" t="n">
        <v>24</v>
      </c>
      <c r="E16" s="27" t="n">
        <v>30</v>
      </c>
      <c r="F16" s="27" t="n">
        <v>36</v>
      </c>
      <c r="G16" s="27" t="n">
        <v>48</v>
      </c>
      <c r="H16" s="2" t="inlineStr">
        <is>
          <t>Maximum 60 months (horizon of the curves).</t>
        </is>
      </c>
    </row>
    <row r="17">
      <c r="A17" s="14" t="inlineStr">
        <is>
          <t>Cost to serve &amp; acquisition</t>
        </is>
      </c>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c r="AK17" s="15" t="n"/>
      <c r="AL17" s="15" t="n"/>
      <c r="AM17" s="15" t="n"/>
      <c r="AN17" s="15" t="n"/>
      <c r="AO17" s="15" t="n"/>
      <c r="AP17" s="15" t="n"/>
      <c r="AQ17" s="15" t="n"/>
      <c r="AR17" s="15" t="n"/>
      <c r="AS17" s="15" t="n"/>
      <c r="AT17" s="15" t="n"/>
      <c r="AU17" s="15" t="n"/>
      <c r="AV17" s="15" t="n"/>
      <c r="AW17" s="15" t="n"/>
      <c r="AX17" s="15" t="n"/>
      <c r="AY17" s="15" t="n"/>
      <c r="AZ17" s="15" t="n"/>
      <c r="BA17" s="15" t="n"/>
      <c r="BB17" s="15" t="n"/>
      <c r="BC17" s="15" t="n"/>
      <c r="BD17" s="15" t="n"/>
      <c r="BE17" s="15" t="n"/>
      <c r="BF17" s="15" t="n"/>
      <c r="BG17" s="15" t="n"/>
      <c r="BH17" s="15" t="n"/>
      <c r="BI17" s="15" t="n"/>
      <c r="BJ17" s="15" t="n"/>
      <c r="BK17" s="15" t="n"/>
      <c r="BL17" s="15" t="n"/>
    </row>
    <row r="18">
      <c r="A18" s="4" t="inlineStr">
        <is>
          <t>Hardware FOB cost</t>
        </is>
      </c>
      <c r="B18" s="26" t="inlineStr">
        <is>
          <t>USD / unit</t>
        </is>
      </c>
      <c r="C18" s="33" t="n">
        <v>25</v>
      </c>
      <c r="D18" s="33" t="n">
        <v>150</v>
      </c>
      <c r="E18" s="33" t="n">
        <v>450</v>
      </c>
      <c r="F18" s="33" t="n">
        <v>1400</v>
      </c>
      <c r="G18" s="33" t="n">
        <v>3200</v>
      </c>
      <c r="H18" s="2" t="inlineStr">
        <is>
          <t>Illustrative placeholder - replace with company data.</t>
        </is>
      </c>
    </row>
    <row r="19">
      <c r="A19" s="4" t="inlineStr">
        <is>
          <t>Installation &amp; last-mile logistics</t>
        </is>
      </c>
      <c r="B19" s="26" t="inlineStr">
        <is>
          <t>LCY / unit</t>
        </is>
      </c>
      <c r="C19" s="34" t="n">
        <v>0</v>
      </c>
      <c r="D19" s="34" t="n">
        <v>500</v>
      </c>
      <c r="E19" s="34" t="n">
        <v>2500</v>
      </c>
      <c r="F19" s="34" t="n">
        <v>15000</v>
      </c>
      <c r="G19" s="34" t="n">
        <v>30000</v>
      </c>
      <c r="H19" s="2" t="inlineStr">
        <is>
          <t>Indexed to local inflation.</t>
        </is>
      </c>
    </row>
    <row r="20">
      <c r="A20" s="4" t="inlineStr">
        <is>
          <t>Agent / installer commission per sale</t>
        </is>
      </c>
      <c r="B20" s="26" t="inlineStr">
        <is>
          <t>LCY / unit</t>
        </is>
      </c>
      <c r="C20" s="34" t="n">
        <v>500</v>
      </c>
      <c r="D20" s="34" t="n">
        <v>2000</v>
      </c>
      <c r="E20" s="34" t="n">
        <v>5000</v>
      </c>
      <c r="F20" s="34" t="n">
        <v>12000</v>
      </c>
      <c r="G20" s="34" t="n">
        <v>20000</v>
      </c>
      <c r="H20" s="2" t="inlineStr">
        <is>
          <t>Indexed to local inflation.</t>
        </is>
      </c>
    </row>
    <row r="21">
      <c r="A21" s="4" t="inlineStr">
        <is>
          <t>Marketing &amp; other acquisition cost per sale</t>
        </is>
      </c>
      <c r="B21" s="26" t="inlineStr">
        <is>
          <t>LCY / unit</t>
        </is>
      </c>
      <c r="C21" s="34" t="n">
        <v>300</v>
      </c>
      <c r="D21" s="34" t="n">
        <v>1000</v>
      </c>
      <c r="E21" s="34" t="n">
        <v>2500</v>
      </c>
      <c r="F21" s="34" t="n">
        <v>6000</v>
      </c>
      <c r="G21" s="34" t="n">
        <v>10000</v>
      </c>
      <c r="H21" s="2" t="inlineStr">
        <is>
          <t>Indexed to local inflation.</t>
        </is>
      </c>
    </row>
    <row r="22">
      <c r="A22" s="4" t="inlineStr">
        <is>
          <t>Warranty &amp; after-sales provision</t>
        </is>
      </c>
      <c r="B22" s="26" t="inlineStr">
        <is>
          <t>% of landed HW cost</t>
        </is>
      </c>
      <c r="C22" s="31" t="n">
        <v>0.03</v>
      </c>
      <c r="D22" s="31" t="n">
        <v>0.05</v>
      </c>
      <c r="E22" s="31" t="n">
        <v>0.05</v>
      </c>
      <c r="F22" s="31" t="n">
        <v>0.06</v>
      </c>
      <c r="G22" s="31" t="n">
        <v>0.06</v>
      </c>
      <c r="H22" s="2" t="inlineStr">
        <is>
          <t>Illustrative placeholder - replace with company data.</t>
        </is>
      </c>
    </row>
    <row r="23">
      <c r="A23" s="4" t="inlineStr">
        <is>
          <t>Sales mix</t>
        </is>
      </c>
      <c r="B23" s="26" t="inlineStr">
        <is>
          <t>% of units</t>
        </is>
      </c>
      <c r="C23" s="32" t="n">
        <v>0.3</v>
      </c>
      <c r="D23" s="32" t="n">
        <v>0.35</v>
      </c>
      <c r="E23" s="32" t="n">
        <v>0.2</v>
      </c>
      <c r="F23" s="32" t="n">
        <v>0.1</v>
      </c>
      <c r="G23" s="32" t="n">
        <v>0.05</v>
      </c>
      <c r="H23" s="2" t="inlineStr">
        <is>
          <t>Must sum to 100% (see Checks).</t>
        </is>
      </c>
    </row>
    <row r="24">
      <c r="A24" s="14" t="inlineStr">
        <is>
          <t>Credit risk &amp; recovery</t>
        </is>
      </c>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c r="AK24" s="15" t="n"/>
      <c r="AL24" s="15" t="n"/>
      <c r="AM24" s="15" t="n"/>
      <c r="AN24" s="15" t="n"/>
      <c r="AO24" s="15" t="n"/>
      <c r="AP24" s="15" t="n"/>
      <c r="AQ24" s="15" t="n"/>
      <c r="AR24" s="15" t="n"/>
      <c r="AS24" s="15" t="n"/>
      <c r="AT24" s="15" t="n"/>
      <c r="AU24" s="15" t="n"/>
      <c r="AV24" s="15" t="n"/>
      <c r="AW24" s="15" t="n"/>
      <c r="AX24" s="15" t="n"/>
      <c r="AY24" s="15" t="n"/>
      <c r="AZ24" s="15" t="n"/>
      <c r="BA24" s="15" t="n"/>
      <c r="BB24" s="15" t="n"/>
      <c r="BC24" s="15" t="n"/>
      <c r="BD24" s="15" t="n"/>
      <c r="BE24" s="15" t="n"/>
      <c r="BF24" s="15" t="n"/>
      <c r="BG24" s="15" t="n"/>
      <c r="BH24" s="15" t="n"/>
      <c r="BI24" s="15" t="n"/>
      <c r="BJ24" s="15" t="n"/>
      <c r="BK24" s="15" t="n"/>
      <c r="BL24" s="15" t="n"/>
    </row>
    <row r="25">
      <c r="A25" s="4" t="inlineStr">
        <is>
          <t>Base monthly default hazard</t>
        </is>
      </c>
      <c r="B25" s="26" t="inlineStr">
        <is>
          <t>% of paying accounts / month</t>
        </is>
      </c>
      <c r="C25" s="32" t="n">
        <v>0.035</v>
      </c>
      <c r="D25" s="32" t="n">
        <v>0.026</v>
      </c>
      <c r="E25" s="32" t="n">
        <v>0.019</v>
      </c>
      <c r="F25" s="32" t="n">
        <v>0.013</v>
      </c>
      <c r="G25" s="32" t="n">
        <v>0.01</v>
      </c>
      <c r="H25" s="2" t="inlineStr">
        <is>
          <t>Share of still-paying accounts that stop paying each month. Calibrate to the company's own cohort curves.</t>
        </is>
      </c>
    </row>
    <row r="26">
      <c r="A26" s="4" t="inlineStr">
        <is>
          <t>Base collection rate on paying accounts</t>
        </is>
      </c>
      <c r="B26" s="26" t="inlineStr">
        <is>
          <t>% of instalment</t>
        </is>
      </c>
      <c r="C26" s="32" t="n">
        <v>0.88</v>
      </c>
      <c r="D26" s="32" t="n">
        <v>0.88</v>
      </c>
      <c r="E26" s="32" t="n">
        <v>0.9</v>
      </c>
      <c r="F26" s="32" t="n">
        <v>0.92</v>
      </c>
      <c r="G26" s="32" t="n">
        <v>0.93</v>
      </c>
      <c r="H26" s="2" t="inlineStr">
        <is>
          <t>Captures partial / late payment by accounts that keep paying.</t>
        </is>
      </c>
    </row>
    <row r="27">
      <c r="A27" s="4" t="inlineStr">
        <is>
          <t>Repossession rate of defaulted units</t>
        </is>
      </c>
      <c r="B27" s="26" t="inlineStr">
        <is>
          <t>% of defaults</t>
        </is>
      </c>
      <c r="C27" s="31" t="n">
        <v>0</v>
      </c>
      <c r="D27" s="31" t="n">
        <v>0.2</v>
      </c>
      <c r="E27" s="31" t="n">
        <v>0.4</v>
      </c>
      <c r="F27" s="31" t="n">
        <v>0.6</v>
      </c>
      <c r="G27" s="31" t="n">
        <v>0.7</v>
      </c>
      <c r="H27" s="2" t="inlineStr">
        <is>
          <t>Illustrative placeholder - replace with company data.</t>
        </is>
      </c>
    </row>
    <row r="28">
      <c r="A28" s="4" t="inlineStr">
        <is>
          <t>Net resale value of repossessed unit</t>
        </is>
      </c>
      <c r="B28" s="26" t="inlineStr">
        <is>
          <t>% of cash price</t>
        </is>
      </c>
      <c r="C28" s="31" t="n">
        <v>0.2</v>
      </c>
      <c r="D28" s="31" t="n">
        <v>0.25</v>
      </c>
      <c r="E28" s="31" t="n">
        <v>0.35</v>
      </c>
      <c r="F28" s="31" t="n">
        <v>0.45</v>
      </c>
      <c r="G28" s="31" t="n">
        <v>0.5</v>
      </c>
      <c r="H28" s="2" t="inlineStr">
        <is>
          <t>Net of retrieval and refurbishment. Recognised as a recovery against credit losses.</t>
        </is>
      </c>
    </row>
    <row r="29">
      <c r="A29" s="14" t="inlineStr">
        <is>
          <t>Subsidy &amp; funding</t>
        </is>
      </c>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c r="AA29" s="15" t="n"/>
      <c r="AB29" s="15" t="n"/>
      <c r="AC29" s="15" t="n"/>
      <c r="AD29" s="15" t="n"/>
      <c r="AE29" s="15" t="n"/>
      <c r="AF29" s="15" t="n"/>
      <c r="AG29" s="15" t="n"/>
      <c r="AH29" s="15" t="n"/>
      <c r="AI29" s="15" t="n"/>
      <c r="AJ29" s="15" t="n"/>
      <c r="AK29" s="15" t="n"/>
      <c r="AL29" s="15" t="n"/>
      <c r="AM29" s="15" t="n"/>
      <c r="AN29" s="15" t="n"/>
      <c r="AO29" s="15" t="n"/>
      <c r="AP29" s="15" t="n"/>
      <c r="AQ29" s="15" t="n"/>
      <c r="AR29" s="15" t="n"/>
      <c r="AS29" s="15" t="n"/>
      <c r="AT29" s="15" t="n"/>
      <c r="AU29" s="15" t="n"/>
      <c r="AV29" s="15" t="n"/>
      <c r="AW29" s="15" t="n"/>
      <c r="AX29" s="15" t="n"/>
      <c r="AY29" s="15" t="n"/>
      <c r="AZ29" s="15" t="n"/>
      <c r="BA29" s="15" t="n"/>
      <c r="BB29" s="15" t="n"/>
      <c r="BC29" s="15" t="n"/>
      <c r="BD29" s="15" t="n"/>
      <c r="BE29" s="15" t="n"/>
      <c r="BF29" s="15" t="n"/>
      <c r="BG29" s="15" t="n"/>
      <c r="BH29" s="15" t="n"/>
      <c r="BI29" s="15" t="n"/>
      <c r="BJ29" s="15" t="n"/>
      <c r="BK29" s="15" t="n"/>
      <c r="BL29" s="15" t="n"/>
    </row>
    <row r="30">
      <c r="A30" s="4" t="inlineStr">
        <is>
          <t>RBF per unit sold</t>
        </is>
      </c>
      <c r="B30" s="26" t="inlineStr">
        <is>
          <t>USD / unit</t>
        </is>
      </c>
      <c r="C30" s="34" t="n">
        <v>5</v>
      </c>
      <c r="D30" s="34" t="n">
        <v>15</v>
      </c>
      <c r="E30" s="34" t="n">
        <v>25</v>
      </c>
      <c r="F30" s="34" t="n">
        <v>0</v>
      </c>
      <c r="G30" s="34" t="n">
        <v>0</v>
      </c>
      <c r="H30" s="2" t="inlineStr">
        <is>
          <t>Set to 0 for tiers outside the programme.</t>
        </is>
      </c>
    </row>
    <row r="31">
      <c r="A31" s="4" t="inlineStr">
        <is>
          <t>Receivables facility advance rate</t>
        </is>
      </c>
      <c r="B31" s="26" t="inlineStr">
        <is>
          <t>% of eligible receivables</t>
        </is>
      </c>
      <c r="C31" s="32" t="n">
        <v>0.5</v>
      </c>
      <c r="D31" s="32" t="n">
        <v>0.7</v>
      </c>
      <c r="E31" s="32" t="n">
        <v>0.7</v>
      </c>
      <c r="F31" s="32" t="n">
        <v>0.75</v>
      </c>
      <c r="G31" s="32" t="n">
        <v>0.75</v>
      </c>
      <c r="H31" s="2" t="inlineStr">
        <is>
          <t>Lenders often apply different advance rates by product.</t>
        </is>
      </c>
    </row>
    <row r="32">
      <c r="A32" s="14" t="inlineStr">
        <is>
          <t>Derived price-plan metrics (do not edit)</t>
        </is>
      </c>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c r="AA32" s="15" t="n"/>
      <c r="AB32" s="15" t="n"/>
      <c r="AC32" s="15" t="n"/>
      <c r="AD32" s="15" t="n"/>
      <c r="AE32" s="15" t="n"/>
      <c r="AF32" s="15" t="n"/>
      <c r="AG32" s="15" t="n"/>
      <c r="AH32" s="15" t="n"/>
      <c r="AI32" s="15" t="n"/>
      <c r="AJ32" s="15" t="n"/>
      <c r="AK32" s="15" t="n"/>
      <c r="AL32" s="15" t="n"/>
      <c r="AM32" s="15" t="n"/>
      <c r="AN32" s="15" t="n"/>
      <c r="AO32" s="15" t="n"/>
      <c r="AP32" s="15" t="n"/>
      <c r="AQ32" s="15" t="n"/>
      <c r="AR32" s="15" t="n"/>
      <c r="AS32" s="15" t="n"/>
      <c r="AT32" s="15" t="n"/>
      <c r="AU32" s="15" t="n"/>
      <c r="AV32" s="15" t="n"/>
      <c r="AW32" s="15" t="n"/>
      <c r="AX32" s="15" t="n"/>
      <c r="AY32" s="15" t="n"/>
      <c r="AZ32" s="15" t="n"/>
      <c r="BA32" s="15" t="n"/>
      <c r="BB32" s="15" t="n"/>
      <c r="BC32" s="15" t="n"/>
      <c r="BD32" s="15" t="n"/>
      <c r="BE32" s="15" t="n"/>
      <c r="BF32" s="15" t="n"/>
      <c r="BG32" s="15" t="n"/>
      <c r="BH32" s="15" t="n"/>
      <c r="BI32" s="15" t="n"/>
      <c r="BJ32" s="15" t="n"/>
      <c r="BK32" s="15" t="n"/>
      <c r="BL32" s="15" t="n"/>
    </row>
    <row r="33">
      <c r="A33" s="4" t="inlineStr">
        <is>
          <t>Monthly instalment (daily rate x 365/12)</t>
        </is>
      </c>
      <c r="B33" s="26" t="inlineStr">
        <is>
          <t>LCY / month</t>
        </is>
      </c>
      <c r="C33" s="39">
        <f>Products!$C$15*365/12</f>
        <v/>
      </c>
      <c r="D33" s="39">
        <f>Products!$D$15*365/12</f>
        <v/>
      </c>
      <c r="E33" s="39">
        <f>Products!$E$15*365/12</f>
        <v/>
      </c>
      <c r="F33" s="39">
        <f>Products!$F$15*365/12</f>
        <v/>
      </c>
      <c r="G33" s="39">
        <f>Products!$G$15*365/12</f>
        <v/>
      </c>
    </row>
    <row r="34">
      <c r="A34" s="4" t="inlineStr">
        <is>
          <t>Total PAYGo contract value</t>
        </is>
      </c>
      <c r="B34" s="26" t="inlineStr">
        <is>
          <t>LCY</t>
        </is>
      </c>
      <c r="C34" s="39">
        <f>Products!$C$14+Products!$C$33*Products!$C$16</f>
        <v/>
      </c>
      <c r="D34" s="39">
        <f>Products!$D$14+Products!$D$33*Products!$D$16</f>
        <v/>
      </c>
      <c r="E34" s="39">
        <f>Products!$E$14+Products!$E$33*Products!$E$16</f>
        <v/>
      </c>
      <c r="F34" s="39">
        <f>Products!$F$14+Products!$F$33*Products!$F$16</f>
        <v/>
      </c>
      <c r="G34" s="39">
        <f>Products!$G$14+Products!$G$33*Products!$G$16</f>
        <v/>
      </c>
    </row>
    <row r="35">
      <c r="A35" s="4" t="inlineStr">
        <is>
          <t>PAYGo price premium over cash price</t>
        </is>
      </c>
      <c r="B35" s="26" t="inlineStr">
        <is>
          <t>LCY</t>
        </is>
      </c>
      <c r="C35" s="39">
        <f>Products!$C$34-Products!$C$13</f>
        <v/>
      </c>
      <c r="D35" s="39">
        <f>Products!$D$34-Products!$D$13</f>
        <v/>
      </c>
      <c r="E35" s="39">
        <f>Products!$E$34-Products!$E$13</f>
        <v/>
      </c>
      <c r="F35" s="39">
        <f>Products!$F$34-Products!$F$13</f>
        <v/>
      </c>
      <c r="G35" s="39">
        <f>Products!$G$34-Products!$G$13</f>
        <v/>
      </c>
    </row>
    <row r="36">
      <c r="A36" s="4" t="inlineStr">
        <is>
          <t>PAYGo premium as % of cash price</t>
        </is>
      </c>
      <c r="B36" s="26" t="inlineStr">
        <is>
          <t>%</t>
        </is>
      </c>
      <c r="C36" s="40">
        <f>IF(Products!$C$13=0,0,Products!$C$35/Products!$C$13)</f>
        <v/>
      </c>
      <c r="D36" s="40">
        <f>IF(Products!$D$13=0,0,Products!$D$35/Products!$D$13)</f>
        <v/>
      </c>
      <c r="E36" s="40">
        <f>IF(Products!$E$13=0,0,Products!$E$35/Products!$E$13)</f>
        <v/>
      </c>
      <c r="F36" s="40">
        <f>IF(Products!$F$13=0,0,Products!$F$35/Products!$F$13)</f>
        <v/>
      </c>
      <c r="G36" s="40">
        <f>IF(Products!$G$13=0,0,Products!$G$35/Products!$G$13)</f>
        <v/>
      </c>
    </row>
    <row r="37">
      <c r="A37" s="4" t="inlineStr">
        <is>
          <t>Down payment as % of cash price</t>
        </is>
      </c>
      <c r="B37" s="26" t="inlineStr">
        <is>
          <t>%</t>
        </is>
      </c>
      <c r="C37" s="40">
        <f>IF(Products!$C$13=0,0,Products!$C$14/Products!$C$13)</f>
        <v/>
      </c>
      <c r="D37" s="40">
        <f>IF(Products!$D$13=0,0,Products!$D$14/Products!$D$13)</f>
        <v/>
      </c>
      <c r="E37" s="40">
        <f>IF(Products!$E$13=0,0,Products!$E$14/Products!$E$13)</f>
        <v/>
      </c>
      <c r="F37" s="40">
        <f>IF(Products!$F$13=0,0,Products!$F$14/Products!$F$13)</f>
        <v/>
      </c>
      <c r="G37" s="40">
        <f>IF(Products!$G$13=0,0,Products!$G$14/Products!$G$13)</f>
        <v/>
      </c>
    </row>
    <row r="38">
      <c r="A38" s="4" t="inlineStr">
        <is>
          <t>Amount financed at sale (cash price - deposit)</t>
        </is>
      </c>
      <c r="B38" s="26" t="inlineStr">
        <is>
          <t>LCY</t>
        </is>
      </c>
      <c r="C38" s="39">
        <f>Products!$C$13-Products!$C$14</f>
        <v/>
      </c>
      <c r="D38" s="39">
        <f>Products!$D$13-Products!$D$14</f>
        <v/>
      </c>
      <c r="E38" s="39">
        <f>Products!$E$13-Products!$E$14</f>
        <v/>
      </c>
      <c r="F38" s="39">
        <f>Products!$F$13-Products!$F$14</f>
        <v/>
      </c>
      <c r="G38" s="39">
        <f>Products!$G$13-Products!$G$14</f>
        <v/>
      </c>
    </row>
    <row r="39">
      <c r="A39" s="4" t="inlineStr">
        <is>
          <t>Implied annual financing rate (nominal APR)</t>
        </is>
      </c>
      <c r="B39" s="26" t="inlineStr">
        <is>
          <t>% p.a.</t>
        </is>
      </c>
      <c r="C39" s="40">
        <f>IFERROR(RATE(Products!$C$16,-Products!$C$33,Products!$C$38)*12,0)</f>
        <v/>
      </c>
      <c r="D39" s="40">
        <f>IFERROR(RATE(Products!$D$16,-Products!$D$33,Products!$D$38)*12,0)</f>
        <v/>
      </c>
      <c r="E39" s="40">
        <f>IFERROR(RATE(Products!$E$16,-Products!$E$33,Products!$E$38)*12,0)</f>
        <v/>
      </c>
      <c r="F39" s="40">
        <f>IFERROR(RATE(Products!$F$16,-Products!$F$33,Products!$F$38)*12,0)</f>
        <v/>
      </c>
      <c r="G39" s="40">
        <f>IFERROR(RATE(Products!$G$16,-Products!$G$33,Products!$G$38)*12,0)</f>
        <v/>
      </c>
      <c r="H39" s="2" t="inlineStr">
        <is>
          <t>Rate equating the financed amount with the instalment stream (consumer-protection disclosure).</t>
        </is>
      </c>
    </row>
    <row r="40">
      <c r="A40" s="4" t="inlineStr">
        <is>
          <t>Cash price in USD at opening FX</t>
        </is>
      </c>
      <c r="B40" s="26" t="inlineStr">
        <is>
          <t>USD</t>
        </is>
      </c>
      <c r="C40" s="39">
        <f>Products!$C$13/Inputs!$C$10</f>
        <v/>
      </c>
      <c r="D40" s="39">
        <f>Products!$D$13/Inputs!$C$10</f>
        <v/>
      </c>
      <c r="E40" s="39">
        <f>Products!$E$13/Inputs!$C$10</f>
        <v/>
      </c>
      <c r="F40" s="39">
        <f>Products!$F$13/Inputs!$C$10</f>
        <v/>
      </c>
      <c r="G40" s="39">
        <f>Products!$G$13/Inputs!$C$10</f>
        <v/>
      </c>
    </row>
    <row r="41">
      <c r="A41" s="4" t="inlineStr">
        <is>
          <t>Scenario monthly default hazard</t>
        </is>
      </c>
      <c r="B41" s="26" t="inlineStr">
        <is>
          <t>%</t>
        </is>
      </c>
      <c r="C41" s="40">
        <f>Products!$C$25*Scenarios!$G$6</f>
        <v/>
      </c>
      <c r="D41" s="40">
        <f>Products!$D$25*Scenarios!$G$6</f>
        <v/>
      </c>
      <c r="E41" s="40">
        <f>Products!$E$25*Scenarios!$G$6</f>
        <v/>
      </c>
      <c r="F41" s="40">
        <f>Products!$F$25*Scenarios!$G$6</f>
        <v/>
      </c>
      <c r="G41" s="40">
        <f>Products!$G$25*Scenarios!$G$6</f>
        <v/>
      </c>
    </row>
    <row r="42">
      <c r="A42" s="4" t="inlineStr">
        <is>
          <t>Scenario collection rate on paying accounts</t>
        </is>
      </c>
      <c r="B42" s="26" t="inlineStr">
        <is>
          <t>%</t>
        </is>
      </c>
      <c r="C42" s="40">
        <f>MIN(1,Products!$C$26*Scenarios!$G$7)</f>
        <v/>
      </c>
      <c r="D42" s="40">
        <f>MIN(1,Products!$D$26*Scenarios!$G$7)</f>
        <v/>
      </c>
      <c r="E42" s="40">
        <f>MIN(1,Products!$E$26*Scenarios!$G$7)</f>
        <v/>
      </c>
      <c r="F42" s="40">
        <f>MIN(1,Products!$F$26*Scenarios!$G$7)</f>
        <v/>
      </c>
      <c r="G42" s="40">
        <f>MIN(1,Products!$G$26*Scenarios!$G$7)</f>
        <v/>
      </c>
    </row>
    <row r="43">
      <c r="A43" s="4" t="inlineStr">
        <is>
          <t>Landed hardware cost at opening FX (scenario)</t>
        </is>
      </c>
      <c r="B43" s="26" t="inlineStr">
        <is>
          <t>LCY / unit</t>
        </is>
      </c>
      <c r="C43" s="39">
        <f>Products!$C$18*(1+Inputs!$C$28)*Inputs!$C$10*Scenarios!$G$9</f>
        <v/>
      </c>
      <c r="D43" s="39">
        <f>Products!$D$18*(1+Inputs!$C$28)*Inputs!$C$10*Scenarios!$G$9</f>
        <v/>
      </c>
      <c r="E43" s="39">
        <f>Products!$E$18*(1+Inputs!$C$28)*Inputs!$C$10*Scenarios!$G$9</f>
        <v/>
      </c>
      <c r="F43" s="39">
        <f>Products!$F$18*(1+Inputs!$C$28)*Inputs!$C$10*Scenarios!$G$9</f>
        <v/>
      </c>
      <c r="G43" s="39">
        <f>Products!$G$18*(1+Inputs!$C$28)*Inputs!$C$10*Scenarios!$G$9</f>
        <v/>
      </c>
    </row>
    <row r="44">
      <c r="A44" s="4" t="inlineStr">
        <is>
          <t>Customer acquisition cost (commission + marketing)</t>
        </is>
      </c>
      <c r="B44" s="26" t="inlineStr">
        <is>
          <t>LCY / unit</t>
        </is>
      </c>
      <c r="C44" s="39">
        <f>Products!$C$20+Products!$C$21</f>
        <v/>
      </c>
      <c r="D44" s="39">
        <f>Products!$D$20+Products!$D$21</f>
        <v/>
      </c>
      <c r="E44" s="39">
        <f>Products!$E$20+Products!$E$21</f>
        <v/>
      </c>
      <c r="F44" s="39">
        <f>Products!$F$20+Products!$F$21</f>
        <v/>
      </c>
      <c r="G44" s="39">
        <f>Products!$G$20+Products!$G$21</f>
        <v/>
      </c>
    </row>
    <row r="45">
      <c r="A45" s="4" t="inlineStr">
        <is>
          <t>Hardware gross margin on cash price (month 1)</t>
        </is>
      </c>
      <c r="B45" s="26" t="inlineStr">
        <is>
          <t>%</t>
        </is>
      </c>
      <c r="C45" s="40">
        <f>IF(Products!$C$13=0,0,1-(Products!$C$43+Products!$C$19)/Products!$C$13)</f>
        <v/>
      </c>
      <c r="D45" s="40">
        <f>IF(Products!$D$13=0,0,1-(Products!$D$43+Products!$D$19)/Products!$D$13)</f>
        <v/>
      </c>
      <c r="E45" s="40">
        <f>IF(Products!$E$13=0,0,1-(Products!$E$43+Products!$E$19)/Products!$E$13)</f>
        <v/>
      </c>
      <c r="F45" s="40">
        <f>IF(Products!$F$13=0,0,1-(Products!$F$43+Products!$F$19)/Products!$F$13)</f>
        <v/>
      </c>
      <c r="G45" s="40">
        <f>IF(Products!$G$13=0,0,1-(Products!$G$43+Products!$G$19)/Products!$G$13)</f>
        <v/>
      </c>
    </row>
  </sheetData>
  <pageMargins left="0.75" right="0.75" top="1" bottom="1" header="0.5" footer="0.5"/>
  <pageSetup orientation="landscape" fitToHeight="0" fitToWidth="1"/>
</worksheet>
</file>

<file path=xl/worksheets/sheet5.xml><?xml version="1.0" encoding="utf-8"?>
<worksheet xmlns="http://schemas.openxmlformats.org/spreadsheetml/2006/main">
  <sheetPr>
    <tabColor rgb="000000FF"/>
    <outlinePr summaryBelow="1" summaryRight="1"/>
    <pageSetUpPr fitToPage="1"/>
  </sheetPr>
  <dimension ref="A1:G15"/>
  <sheetViews>
    <sheetView showGridLines="0" workbookViewId="0">
      <selection activeCell="A1" sqref="A1"/>
    </sheetView>
  </sheetViews>
  <sheetFormatPr baseColWidth="8" defaultRowHeight="15"/>
  <cols>
    <col width="50" customWidth="1" min="1" max="1"/>
    <col width="12" customWidth="1" min="2" max="2"/>
    <col width="14" customWidth="1" min="3" max="3"/>
    <col width="14" customWidth="1" min="4" max="4"/>
    <col width="14" customWidth="1" min="5" max="5"/>
    <col width="14" customWidth="1" min="6" max="6"/>
    <col width="14" customWidth="1" min="7" max="7"/>
  </cols>
  <sheetData>
    <row r="1">
      <c r="A1" s="1" t="inlineStr">
        <is>
          <t>Scenario levers</t>
        </is>
      </c>
    </row>
    <row r="2">
      <c r="A2" s="2" t="inlineStr">
        <is>
          <t>Multipliers / overrides on Base inputs. ACTIVE column follows the selector on Inputs.</t>
        </is>
      </c>
    </row>
    <row r="3"/>
    <row r="4"/>
    <row r="5">
      <c r="A5" s="16" t="inlineStr">
        <is>
          <t>Lever</t>
        </is>
      </c>
      <c r="B5" s="16" t="inlineStr">
        <is>
          <t>Unit</t>
        </is>
      </c>
      <c r="C5" s="16" t="inlineStr">
        <is>
          <t>Base</t>
        </is>
      </c>
      <c r="D5" s="16" t="inlineStr">
        <is>
          <t>Downside</t>
        </is>
      </c>
      <c r="E5" s="16" t="inlineStr">
        <is>
          <t>Severe</t>
        </is>
      </c>
      <c r="F5" s="16" t="inlineStr"/>
      <c r="G5" s="16" t="inlineStr">
        <is>
          <t>ACTIVE</t>
        </is>
      </c>
    </row>
    <row r="6">
      <c r="A6" s="4" t="inlineStr">
        <is>
          <t>Default hazard multiplier</t>
        </is>
      </c>
      <c r="B6" s="26" t="inlineStr">
        <is>
          <t>x</t>
        </is>
      </c>
      <c r="C6" s="36" t="n">
        <v>1</v>
      </c>
      <c r="D6" s="36" t="n">
        <v>1.3</v>
      </c>
      <c r="E6" s="36" t="n">
        <v>1.75</v>
      </c>
      <c r="G6" s="41">
        <f>CHOOSE(Inputs!$C$5,C6,D6,E6)</f>
        <v/>
      </c>
    </row>
    <row r="7">
      <c r="A7" s="4" t="inlineStr">
        <is>
          <t>Collection-rate multiplier (paying accounts)</t>
        </is>
      </c>
      <c r="B7" s="26" t="inlineStr">
        <is>
          <t>x</t>
        </is>
      </c>
      <c r="C7" s="36" t="n">
        <v>1</v>
      </c>
      <c r="D7" s="36" t="n">
        <v>0.97</v>
      </c>
      <c r="E7" s="36" t="n">
        <v>0.92</v>
      </c>
      <c r="G7" s="41">
        <f>CHOOSE(Inputs!$C$5,C7,D7,E7)</f>
        <v/>
      </c>
    </row>
    <row r="8">
      <c r="A8" s="4" t="inlineStr">
        <is>
          <t>Sales volume multiplier</t>
        </is>
      </c>
      <c r="B8" s="26" t="inlineStr">
        <is>
          <t>x</t>
        </is>
      </c>
      <c r="C8" s="36" t="n">
        <v>1</v>
      </c>
      <c r="D8" s="36" t="n">
        <v>0.9</v>
      </c>
      <c r="E8" s="36" t="n">
        <v>0.75</v>
      </c>
      <c r="G8" s="41">
        <f>CHOOSE(Inputs!$C$5,C8,D8,E8)</f>
        <v/>
      </c>
    </row>
    <row r="9">
      <c r="A9" s="4" t="inlineStr">
        <is>
          <t>Hardware cost multiplier (USD)</t>
        </is>
      </c>
      <c r="B9" s="26" t="inlineStr">
        <is>
          <t>x</t>
        </is>
      </c>
      <c r="C9" s="36" t="n">
        <v>1</v>
      </c>
      <c r="D9" s="36" t="n">
        <v>1.05</v>
      </c>
      <c r="E9" s="36" t="n">
        <v>1.1</v>
      </c>
      <c r="G9" s="41">
        <f>CHOOSE(Inputs!$C$5,C9,D9,E9)</f>
        <v/>
      </c>
    </row>
    <row r="10">
      <c r="A10" s="4" t="inlineStr">
        <is>
          <t>LCY depreciation vs USD</t>
        </is>
      </c>
      <c r="B10" s="26" t="inlineStr">
        <is>
          <t>% p.a.</t>
        </is>
      </c>
      <c r="C10" s="31" t="n">
        <v>0.05</v>
      </c>
      <c r="D10" s="31" t="n">
        <v>0.12</v>
      </c>
      <c r="E10" s="31" t="n">
        <v>0.25</v>
      </c>
      <c r="G10" s="42">
        <f>CHOOSE(Inputs!$C$5,C10,D10,E10)</f>
        <v/>
      </c>
    </row>
    <row r="11"/>
    <row r="12">
      <c r="A12" s="3" t="inlineStr">
        <is>
          <t>Scenario name</t>
        </is>
      </c>
      <c r="C12" s="29" t="inlineStr">
        <is>
          <t>Base</t>
        </is>
      </c>
      <c r="D12" s="29" t="inlineStr">
        <is>
          <t>Downside</t>
        </is>
      </c>
      <c r="E12" s="29" t="inlineStr">
        <is>
          <t>Severe</t>
        </is>
      </c>
      <c r="G12" s="43">
        <f>CHOOSE(Inputs!$C$5,C12,D12,E12)</f>
        <v/>
      </c>
    </row>
    <row r="13"/>
    <row r="14">
      <c r="A14" s="2" t="inlineStr">
        <is>
          <t>Downside / Severe are illustrative stress settings. Calibrate to the company's cohort history and sector data.</t>
        </is>
      </c>
    </row>
    <row r="15">
      <c r="A15" s="2" t="inlineStr">
        <is>
          <t>Context: ESMAP Off-Grid Solar Market Trends Report 2024 reports a sector PAYGo collection rate of about 62% in 2023 (source register S01, to verify).</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tabColor rgb="0000B050"/>
    <outlinePr summaryBelow="1" summaryRight="1"/>
    <pageSetUpPr fitToPage="1"/>
  </sheetPr>
  <dimension ref="A1:B8"/>
  <sheetViews>
    <sheetView showGridLines="0" workbookViewId="0">
      <selection activeCell="A1" sqref="A1"/>
    </sheetView>
  </sheetViews>
  <sheetFormatPr baseColWidth="8" defaultRowHeight="15"/>
  <cols>
    <col width="30" customWidth="1" min="1" max="1"/>
    <col width="16" customWidth="1" min="2" max="2"/>
    <col width="16" customWidth="1" min="3" max="3"/>
  </cols>
  <sheetData>
    <row r="1">
      <c r="A1" s="1" t="inlineStr">
        <is>
          <t>Dashboard</t>
        </is>
      </c>
    </row>
    <row r="2">
      <c r="A2" s="2" t="inlineStr">
        <is>
          <t>Charts read from Annual and KPIs (active scenario).</t>
        </is>
      </c>
    </row>
    <row r="3"/>
    <row r="4">
      <c r="A4" s="4" t="inlineStr">
        <is>
          <t>Active scenario</t>
        </is>
      </c>
      <c r="B4" s="12">
        <f>Scenarios!$G$12</f>
        <v/>
      </c>
    </row>
    <row r="5">
      <c r="A5" s="4" t="inlineStr">
        <is>
          <t>Master check</t>
        </is>
      </c>
      <c r="B5" s="12">
        <f>Checks!$C$18</f>
        <v/>
      </c>
    </row>
    <row r="6"/>
    <row r="7"/>
    <row r="8">
      <c r="A8" s="2" t="inlineStr">
        <is>
          <t>Series order: Revenue, EBITDA | Tier 1..5 | Collection, Write-off | Equity, Debt.</t>
        </is>
      </c>
    </row>
  </sheetData>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BL63"/>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62" customWidth="1" min="1" max="1"/>
    <col width="12" customWidth="1" min="2" max="2"/>
    <col width="16" customWidth="1" min="3" max="3"/>
    <col width="16" customWidth="1" min="5" max="5"/>
    <col width="16" customWidth="1" min="6" max="6"/>
    <col width="16" customWidth="1" min="7" max="7"/>
    <col width="16" customWidth="1" min="8" max="8"/>
    <col width="16" customWidth="1" min="9" max="9"/>
  </cols>
  <sheetData>
    <row r="1">
      <c r="A1" s="1" t="inlineStr">
        <is>
          <t>Key performance indicators</t>
        </is>
      </c>
    </row>
    <row r="2">
      <c r="A2" s="2" t="inlineStr">
        <is>
          <t>PAYGo portfolio KPIs (PERFORM-style where noted), financial and lender KPIs.</t>
        </is>
      </c>
    </row>
    <row r="3"/>
    <row r="4"/>
    <row r="5">
      <c r="E5" s="44" t="inlineStr">
        <is>
          <t>Year 1</t>
        </is>
      </c>
      <c r="F5" s="44" t="inlineStr">
        <is>
          <t>Year 2</t>
        </is>
      </c>
      <c r="G5" s="44" t="inlineStr">
        <is>
          <t>Year 3</t>
        </is>
      </c>
      <c r="H5" s="44" t="inlineStr">
        <is>
          <t>Year 4</t>
        </is>
      </c>
      <c r="I5" s="44" t="inlineStr">
        <is>
          <t>Year 5</t>
        </is>
      </c>
    </row>
    <row r="6">
      <c r="E6" s="44" t="n">
        <v>1</v>
      </c>
      <c r="F6" s="44" t="n">
        <v>2</v>
      </c>
      <c r="G6" s="44" t="n">
        <v>3</v>
      </c>
      <c r="H6" s="44" t="n">
        <v>4</v>
      </c>
      <c r="I6" s="44" t="n">
        <v>5</v>
      </c>
    </row>
    <row r="7"/>
    <row r="8">
      <c r="A8" s="14" t="inlineStr">
        <is>
          <t>Sales &amp; customers</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4" t="inlineStr">
        <is>
          <t>Units sold - Tier 1 - Pico solar kit</t>
        </is>
      </c>
      <c r="E9" s="39">
        <f>SUMIFS(Ops!$E$9:$BL$9,Timeline!$E$6:$BL$6,E$6)</f>
        <v/>
      </c>
      <c r="F9" s="39">
        <f>SUMIFS(Ops!$E$9:$BL$9,Timeline!$E$6:$BL$6,F$6)</f>
        <v/>
      </c>
      <c r="G9" s="39">
        <f>SUMIFS(Ops!$E$9:$BL$9,Timeline!$E$6:$BL$6,G$6)</f>
        <v/>
      </c>
      <c r="H9" s="39">
        <f>SUMIFS(Ops!$E$9:$BL$9,Timeline!$E$6:$BL$6,H$6)</f>
        <v/>
      </c>
      <c r="I9" s="39">
        <f>SUMIFS(Ops!$E$9:$BL$9,Timeline!$E$6:$BL$6,I$6)</f>
        <v/>
      </c>
    </row>
    <row r="10">
      <c r="A10" s="4" t="inlineStr">
        <is>
          <t>Units sold - Tier 2 - SHS with TV</t>
        </is>
      </c>
      <c r="E10" s="39">
        <f>SUMIFS(Ops!$E$34:$BL$34,Timeline!$E$6:$BL$6,E$6)</f>
        <v/>
      </c>
      <c r="F10" s="39">
        <f>SUMIFS(Ops!$E$34:$BL$34,Timeline!$E$6:$BL$6,F$6)</f>
        <v/>
      </c>
      <c r="G10" s="39">
        <f>SUMIFS(Ops!$E$34:$BL$34,Timeline!$E$6:$BL$6,G$6)</f>
        <v/>
      </c>
      <c r="H10" s="39">
        <f>SUMIFS(Ops!$E$34:$BL$34,Timeline!$E$6:$BL$6,H$6)</f>
        <v/>
      </c>
      <c r="I10" s="39">
        <f>SUMIFS(Ops!$E$34:$BL$34,Timeline!$E$6:$BL$6,I$6)</f>
        <v/>
      </c>
    </row>
    <row r="11">
      <c r="A11" s="4" t="inlineStr">
        <is>
          <t>Units sold - Tier 3 - Large SHS + DC fridge</t>
        </is>
      </c>
      <c r="E11" s="39">
        <f>SUMIFS(Ops!$E$59:$BL$59,Timeline!$E$6:$BL$6,E$6)</f>
        <v/>
      </c>
      <c r="F11" s="39">
        <f>SUMIFS(Ops!$E$59:$BL$59,Timeline!$E$6:$BL$6,F$6)</f>
        <v/>
      </c>
      <c r="G11" s="39">
        <f>SUMIFS(Ops!$E$59:$BL$59,Timeline!$E$6:$BL$6,G$6)</f>
        <v/>
      </c>
      <c r="H11" s="39">
        <f>SUMIFS(Ops!$E$59:$BL$59,Timeline!$E$6:$BL$6,H$6)</f>
        <v/>
      </c>
      <c r="I11" s="39">
        <f>SUMIFS(Ops!$E$59:$BL$59,Timeline!$E$6:$BL$6,I$6)</f>
        <v/>
      </c>
    </row>
    <row r="12">
      <c r="A12" s="4" t="inlineStr">
        <is>
          <t>Units sold - Tier 4 - Solar inverter + lithium (~1.2 kWp / 5 kWh)</t>
        </is>
      </c>
      <c r="E12" s="39">
        <f>SUMIFS(Ops!$E$84:$BL$84,Timeline!$E$6:$BL$6,E$6)</f>
        <v/>
      </c>
      <c r="F12" s="39">
        <f>SUMIFS(Ops!$E$84:$BL$84,Timeline!$E$6:$BL$6,F$6)</f>
        <v/>
      </c>
      <c r="G12" s="39">
        <f>SUMIFS(Ops!$E$84:$BL$84,Timeline!$E$6:$BL$6,G$6)</f>
        <v/>
      </c>
      <c r="H12" s="39">
        <f>SUMIFS(Ops!$E$84:$BL$84,Timeline!$E$6:$BL$6,H$6)</f>
        <v/>
      </c>
      <c r="I12" s="39">
        <f>SUMIFS(Ops!$E$84:$BL$84,Timeline!$E$6:$BL$6,I$6)</f>
        <v/>
      </c>
    </row>
    <row r="13">
      <c r="A13" s="4" t="inlineStr">
        <is>
          <t>Units sold - Tier 5 - Solar inverter + lithium (~3 kWp / 10 kWh)</t>
        </is>
      </c>
      <c r="E13" s="39">
        <f>SUMIFS(Ops!$E$109:$BL$109,Timeline!$E$6:$BL$6,E$6)</f>
        <v/>
      </c>
      <c r="F13" s="39">
        <f>SUMIFS(Ops!$E$109:$BL$109,Timeline!$E$6:$BL$6,F$6)</f>
        <v/>
      </c>
      <c r="G13" s="39">
        <f>SUMIFS(Ops!$E$109:$BL$109,Timeline!$E$6:$BL$6,G$6)</f>
        <v/>
      </c>
      <c r="H13" s="39">
        <f>SUMIFS(Ops!$E$109:$BL$109,Timeline!$E$6:$BL$6,H$6)</f>
        <v/>
      </c>
      <c r="I13" s="39">
        <f>SUMIFS(Ops!$E$109:$BL$109,Timeline!$E$6:$BL$6,I$6)</f>
        <v/>
      </c>
    </row>
    <row r="14">
      <c r="A14" s="3" t="inlineStr">
        <is>
          <t>Units sold - total</t>
        </is>
      </c>
      <c r="E14" s="39">
        <f>SUMIFS(Ops!$E$134:$BL$134,Timeline!$E$6:$BL$6,E$6)</f>
        <v/>
      </c>
      <c r="F14" s="39">
        <f>SUMIFS(Ops!$E$134:$BL$134,Timeline!$E$6:$BL$6,F$6)</f>
        <v/>
      </c>
      <c r="G14" s="39">
        <f>SUMIFS(Ops!$E$134:$BL$134,Timeline!$E$6:$BL$6,G$6)</f>
        <v/>
      </c>
      <c r="H14" s="39">
        <f>SUMIFS(Ops!$E$134:$BL$134,Timeline!$E$6:$BL$6,H$6)</f>
        <v/>
      </c>
      <c r="I14" s="39">
        <f>SUMIFS(Ops!$E$134:$BL$134,Timeline!$E$6:$BL$6,I$6)</f>
        <v/>
      </c>
    </row>
    <row r="15">
      <c r="A15" s="4" t="inlineStr">
        <is>
          <t>Average cash price per unit sold (USD, opening FX)</t>
        </is>
      </c>
      <c r="E15" s="39">
        <f>IFERROR(SUMIFS(Ops!$E$137:$BL$137,Timeline!$E$6:$BL$6,E$6)/SUMIFS(Ops!$E$134:$BL$134,Timeline!$E$6:$BL$6,E$6)/Inputs!$C$10,0)</f>
        <v/>
      </c>
      <c r="F15" s="39">
        <f>IFERROR(SUMIFS(Ops!$E$137:$BL$137,Timeline!$E$6:$BL$6,F$6)/SUMIFS(Ops!$E$134:$BL$134,Timeline!$E$6:$BL$6,F$6)/Inputs!$C$10,0)</f>
        <v/>
      </c>
      <c r="G15" s="39">
        <f>IFERROR(SUMIFS(Ops!$E$137:$BL$137,Timeline!$E$6:$BL$6,G$6)/SUMIFS(Ops!$E$134:$BL$134,Timeline!$E$6:$BL$6,G$6)/Inputs!$C$10,0)</f>
        <v/>
      </c>
      <c r="H15" s="39">
        <f>IFERROR(SUMIFS(Ops!$E$137:$BL$137,Timeline!$E$6:$BL$6,H$6)/SUMIFS(Ops!$E$134:$BL$134,Timeline!$E$6:$BL$6,H$6)/Inputs!$C$10,0)</f>
        <v/>
      </c>
      <c r="I15" s="39">
        <f>IFERROR(SUMIFS(Ops!$E$137:$BL$137,Timeline!$E$6:$BL$6,I$6)/SUMIFS(Ops!$E$134:$BL$134,Timeline!$E$6:$BL$6,I$6)/Inputs!$C$10,0)</f>
        <v/>
      </c>
    </row>
    <row r="16">
      <c r="A16" s="4" t="inlineStr">
        <is>
          <t>Active PAYGo accounts (year end)</t>
        </is>
      </c>
      <c r="E16" s="39">
        <f>INDEX(Ops!$E$146:$BL$146,1,E$6*12)</f>
        <v/>
      </c>
      <c r="F16" s="39">
        <f>INDEX(Ops!$E$146:$BL$146,1,F$6*12)</f>
        <v/>
      </c>
      <c r="G16" s="39">
        <f>INDEX(Ops!$E$146:$BL$146,1,G$6*12)</f>
        <v/>
      </c>
      <c r="H16" s="39">
        <f>INDEX(Ops!$E$146:$BL$146,1,H$6*12)</f>
        <v/>
      </c>
      <c r="I16" s="39">
        <f>INDEX(Ops!$E$146:$BL$146,1,I$6*12)</f>
        <v/>
      </c>
    </row>
    <row r="17">
      <c r="A17" s="4" t="inlineStr">
        <is>
          <t>Cumulative unlocked accounts (customer ownership)</t>
        </is>
      </c>
      <c r="E17" s="39">
        <f>INDEX(Ops!$E$158:$BL$158,1,E$6*12)</f>
        <v/>
      </c>
      <c r="F17" s="39">
        <f>INDEX(Ops!$E$158:$BL$158,1,F$6*12)</f>
        <v/>
      </c>
      <c r="G17" s="39">
        <f>INDEX(Ops!$E$158:$BL$158,1,G$6*12)</f>
        <v/>
      </c>
      <c r="H17" s="39">
        <f>INDEX(Ops!$E$158:$BL$158,1,H$6*12)</f>
        <v/>
      </c>
      <c r="I17" s="39">
        <f>INDEX(Ops!$E$158:$BL$158,1,I$6*12)</f>
        <v/>
      </c>
    </row>
    <row r="18">
      <c r="A18" s="14" t="inlineStr">
        <is>
          <t>Portfolio quality</t>
        </is>
      </c>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c r="AA18" s="15" t="n"/>
      <c r="AB18" s="15" t="n"/>
      <c r="AC18" s="15" t="n"/>
      <c r="AD18" s="15" t="n"/>
      <c r="AE18" s="15" t="n"/>
      <c r="AF18" s="15" t="n"/>
      <c r="AG18" s="15" t="n"/>
      <c r="AH18" s="15" t="n"/>
      <c r="AI18" s="15" t="n"/>
      <c r="AJ18" s="15" t="n"/>
      <c r="AK18" s="15" t="n"/>
      <c r="AL18" s="15" t="n"/>
      <c r="AM18" s="15" t="n"/>
      <c r="AN18" s="15" t="n"/>
      <c r="AO18" s="15" t="n"/>
      <c r="AP18" s="15" t="n"/>
      <c r="AQ18" s="15" t="n"/>
      <c r="AR18" s="15" t="n"/>
      <c r="AS18" s="15" t="n"/>
      <c r="AT18" s="15" t="n"/>
      <c r="AU18" s="15" t="n"/>
      <c r="AV18" s="15" t="n"/>
      <c r="AW18" s="15" t="n"/>
      <c r="AX18" s="15" t="n"/>
      <c r="AY18" s="15" t="n"/>
      <c r="AZ18" s="15" t="n"/>
      <c r="BA18" s="15" t="n"/>
      <c r="BB18" s="15" t="n"/>
      <c r="BC18" s="15" t="n"/>
      <c r="BD18" s="15" t="n"/>
      <c r="BE18" s="15" t="n"/>
      <c r="BF18" s="15" t="n"/>
      <c r="BG18" s="15" t="n"/>
      <c r="BH18" s="15" t="n"/>
      <c r="BI18" s="15" t="n"/>
      <c r="BJ18" s="15" t="n"/>
      <c r="BK18" s="15" t="n"/>
      <c r="BL18" s="15" t="n"/>
    </row>
    <row r="19">
      <c r="A19" s="3" t="inlineStr">
        <is>
          <t>Collection rate (collected / due, excl. down payments)</t>
        </is>
      </c>
      <c r="E19" s="40">
        <f>IFERROR(SUMIFS(Ops!$E$140:$BL$140,Timeline!$E$6:$BL$6,E$6)/SUMIFS(Ops!$E$139:$BL$139,Timeline!$E$6:$BL$6,E$6),0)</f>
        <v/>
      </c>
      <c r="F19" s="40">
        <f>IFERROR(SUMIFS(Ops!$E$140:$BL$140,Timeline!$E$6:$BL$6,F$6)/SUMIFS(Ops!$E$139:$BL$139,Timeline!$E$6:$BL$6,F$6),0)</f>
        <v/>
      </c>
      <c r="G19" s="40">
        <f>IFERROR(SUMIFS(Ops!$E$140:$BL$140,Timeline!$E$6:$BL$6,G$6)/SUMIFS(Ops!$E$139:$BL$139,Timeline!$E$6:$BL$6,G$6),0)</f>
        <v/>
      </c>
      <c r="H19" s="40">
        <f>IFERROR(SUMIFS(Ops!$E$140:$BL$140,Timeline!$E$6:$BL$6,H$6)/SUMIFS(Ops!$E$139:$BL$139,Timeline!$E$6:$BL$6,H$6),0)</f>
        <v/>
      </c>
      <c r="I19" s="40">
        <f>IFERROR(SUMIFS(Ops!$E$140:$BL$140,Timeline!$E$6:$BL$6,I$6)/SUMIFS(Ops!$E$139:$BL$139,Timeline!$E$6:$BL$6,I$6),0)</f>
        <v/>
      </c>
    </row>
    <row r="20">
      <c r="A20" s="4" t="inlineStr">
        <is>
          <t>Write-off rate (missed / due)</t>
        </is>
      </c>
      <c r="E20" s="40">
        <f>IFERROR(SUMIFS(Ops!$E$141:$BL$141,Timeline!$E$6:$BL$6,E$6)/SUMIFS(Ops!$E$139:$BL$139,Timeline!$E$6:$BL$6,E$6),0)</f>
        <v/>
      </c>
      <c r="F20" s="40">
        <f>IFERROR(SUMIFS(Ops!$E$141:$BL$141,Timeline!$E$6:$BL$6,F$6)/SUMIFS(Ops!$E$139:$BL$139,Timeline!$E$6:$BL$6,F$6),0)</f>
        <v/>
      </c>
      <c r="G20" s="40">
        <f>IFERROR(SUMIFS(Ops!$E$141:$BL$141,Timeline!$E$6:$BL$6,G$6)/SUMIFS(Ops!$E$139:$BL$139,Timeline!$E$6:$BL$6,G$6),0)</f>
        <v/>
      </c>
      <c r="H20" s="40">
        <f>IFERROR(SUMIFS(Ops!$E$141:$BL$141,Timeline!$E$6:$BL$6,H$6)/SUMIFS(Ops!$E$139:$BL$139,Timeline!$E$6:$BL$6,H$6),0)</f>
        <v/>
      </c>
      <c r="I20" s="40">
        <f>IFERROR(SUMIFS(Ops!$E$141:$BL$141,Timeline!$E$6:$BL$6,I$6)/SUMIFS(Ops!$E$139:$BL$139,Timeline!$E$6:$BL$6,I$6),0)</f>
        <v/>
      </c>
    </row>
    <row r="21">
      <c r="A21" s="4" t="inlineStr">
        <is>
          <t>Receivables at risk / gross receivables (year end)</t>
        </is>
      </c>
      <c r="E21" s="40">
        <f>IFERROR(INDEX(Ops!$E$148:$BL$148,1,E$6*12)/INDEX(Ops!$E$149:$BL$149,1,E$6*12),0)</f>
        <v/>
      </c>
      <c r="F21" s="40">
        <f>IFERROR(INDEX(Ops!$E$148:$BL$148,1,F$6*12)/INDEX(Ops!$E$149:$BL$149,1,F$6*12),0)</f>
        <v/>
      </c>
      <c r="G21" s="40">
        <f>IFERROR(INDEX(Ops!$E$148:$BL$148,1,G$6*12)/INDEX(Ops!$E$149:$BL$149,1,G$6*12),0)</f>
        <v/>
      </c>
      <c r="H21" s="40">
        <f>IFERROR(INDEX(Ops!$E$148:$BL$148,1,H$6*12)/INDEX(Ops!$E$149:$BL$149,1,H$6*12),0)</f>
        <v/>
      </c>
      <c r="I21" s="40">
        <f>IFERROR(INDEX(Ops!$E$148:$BL$148,1,I$6*12)/INDEX(Ops!$E$149:$BL$149,1,I$6*12),0)</f>
        <v/>
      </c>
    </row>
    <row r="22">
      <c r="A22" s="4" t="inlineStr">
        <is>
          <t>Loss allowance coverage (allowance / gross receivables)</t>
        </is>
      </c>
      <c r="E22" s="40">
        <f>IFERROR(-INDEX(FS!$E$33:$BL$33,1,E$6*12)/INDEX(FS!$E$32:$BL$32,1,E$6*12),0)</f>
        <v/>
      </c>
      <c r="F22" s="40">
        <f>IFERROR(-INDEX(FS!$E$33:$BL$33,1,F$6*12)/INDEX(FS!$E$32:$BL$32,1,F$6*12),0)</f>
        <v/>
      </c>
      <c r="G22" s="40">
        <f>IFERROR(-INDEX(FS!$E$33:$BL$33,1,G$6*12)/INDEX(FS!$E$32:$BL$32,1,G$6*12),0)</f>
        <v/>
      </c>
      <c r="H22" s="40">
        <f>IFERROR(-INDEX(FS!$E$33:$BL$33,1,H$6*12)/INDEX(FS!$E$32:$BL$32,1,H$6*12),0)</f>
        <v/>
      </c>
      <c r="I22" s="40">
        <f>IFERROR(-INDEX(FS!$E$33:$BL$33,1,I$6*12)/INDEX(FS!$E$32:$BL$32,1,I$6*12),0)</f>
        <v/>
      </c>
    </row>
    <row r="23">
      <c r="A23" s="4" t="inlineStr">
        <is>
          <t>Recoveries / write-offs</t>
        </is>
      </c>
      <c r="E23" s="40">
        <f>IFERROR(SUMIFS(Ops!$E$144:$BL$144,Timeline!$E$6:$BL$6,E$6)/SUMIFS(Ops!$E$141:$BL$141,Timeline!$E$6:$BL$6,E$6),0)</f>
        <v/>
      </c>
      <c r="F23" s="40">
        <f>IFERROR(SUMIFS(Ops!$E$144:$BL$144,Timeline!$E$6:$BL$6,F$6)/SUMIFS(Ops!$E$141:$BL$141,Timeline!$E$6:$BL$6,F$6),0)</f>
        <v/>
      </c>
      <c r="G23" s="40">
        <f>IFERROR(SUMIFS(Ops!$E$144:$BL$144,Timeline!$E$6:$BL$6,G$6)/SUMIFS(Ops!$E$141:$BL$141,Timeline!$E$6:$BL$6,G$6),0)</f>
        <v/>
      </c>
      <c r="H23" s="40">
        <f>IFERROR(SUMIFS(Ops!$E$144:$BL$144,Timeline!$E$6:$BL$6,H$6)/SUMIFS(Ops!$E$141:$BL$141,Timeline!$E$6:$BL$6,H$6),0)</f>
        <v/>
      </c>
      <c r="I23" s="40">
        <f>IFERROR(SUMIFS(Ops!$E$144:$BL$144,Timeline!$E$6:$BL$6,I$6)/SUMIFS(Ops!$E$141:$BL$141,Timeline!$E$6:$BL$6,I$6),0)</f>
        <v/>
      </c>
    </row>
    <row r="24">
      <c r="A24" s="14" t="inlineStr">
        <is>
          <t>Revenue mix</t>
        </is>
      </c>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c r="AA24" s="15" t="n"/>
      <c r="AB24" s="15" t="n"/>
      <c r="AC24" s="15" t="n"/>
      <c r="AD24" s="15" t="n"/>
      <c r="AE24" s="15" t="n"/>
      <c r="AF24" s="15" t="n"/>
      <c r="AG24" s="15" t="n"/>
      <c r="AH24" s="15" t="n"/>
      <c r="AI24" s="15" t="n"/>
      <c r="AJ24" s="15" t="n"/>
      <c r="AK24" s="15" t="n"/>
      <c r="AL24" s="15" t="n"/>
      <c r="AM24" s="15" t="n"/>
      <c r="AN24" s="15" t="n"/>
      <c r="AO24" s="15" t="n"/>
      <c r="AP24" s="15" t="n"/>
      <c r="AQ24" s="15" t="n"/>
      <c r="AR24" s="15" t="n"/>
      <c r="AS24" s="15" t="n"/>
      <c r="AT24" s="15" t="n"/>
      <c r="AU24" s="15" t="n"/>
      <c r="AV24" s="15" t="n"/>
      <c r="AW24" s="15" t="n"/>
      <c r="AX24" s="15" t="n"/>
      <c r="AY24" s="15" t="n"/>
      <c r="AZ24" s="15" t="n"/>
      <c r="BA24" s="15" t="n"/>
      <c r="BB24" s="15" t="n"/>
      <c r="BC24" s="15" t="n"/>
      <c r="BD24" s="15" t="n"/>
      <c r="BE24" s="15" t="n"/>
      <c r="BF24" s="15" t="n"/>
      <c r="BG24" s="15" t="n"/>
      <c r="BH24" s="15" t="n"/>
      <c r="BI24" s="15" t="n"/>
      <c r="BJ24" s="15" t="n"/>
      <c r="BK24" s="15" t="n"/>
      <c r="BL24" s="15" t="n"/>
    </row>
    <row r="25">
      <c r="A25" s="4" t="inlineStr">
        <is>
          <t>Revenue share - Tier 1 - Pico solar kit</t>
        </is>
      </c>
      <c r="E25" s="40">
        <f>IFERROR((SUMIFS(Ops!$E$12:$BL$12,Timeline!$E$6:$BL$6,E$6)+SUMIFS(Ops!$E$17:$BL$17,Timeline!$E$6:$BL$6,E$6))/SUMIFS(FS!$E$11:$BL$11,Timeline!$E$6:$BL$6,E$6),0)</f>
        <v/>
      </c>
      <c r="F25" s="40">
        <f>IFERROR((SUMIFS(Ops!$E$12:$BL$12,Timeline!$E$6:$BL$6,F$6)+SUMIFS(Ops!$E$17:$BL$17,Timeline!$E$6:$BL$6,F$6))/SUMIFS(FS!$E$11:$BL$11,Timeline!$E$6:$BL$6,F$6),0)</f>
        <v/>
      </c>
      <c r="G25" s="40">
        <f>IFERROR((SUMIFS(Ops!$E$12:$BL$12,Timeline!$E$6:$BL$6,G$6)+SUMIFS(Ops!$E$17:$BL$17,Timeline!$E$6:$BL$6,G$6))/SUMIFS(FS!$E$11:$BL$11,Timeline!$E$6:$BL$6,G$6),0)</f>
        <v/>
      </c>
      <c r="H25" s="40">
        <f>IFERROR((SUMIFS(Ops!$E$12:$BL$12,Timeline!$E$6:$BL$6,H$6)+SUMIFS(Ops!$E$17:$BL$17,Timeline!$E$6:$BL$6,H$6))/SUMIFS(FS!$E$11:$BL$11,Timeline!$E$6:$BL$6,H$6),0)</f>
        <v/>
      </c>
      <c r="I25" s="40">
        <f>IFERROR((SUMIFS(Ops!$E$12:$BL$12,Timeline!$E$6:$BL$6,I$6)+SUMIFS(Ops!$E$17:$BL$17,Timeline!$E$6:$BL$6,I$6))/SUMIFS(FS!$E$11:$BL$11,Timeline!$E$6:$BL$6,I$6),0)</f>
        <v/>
      </c>
    </row>
    <row r="26">
      <c r="A26" s="4" t="inlineStr">
        <is>
          <t>Revenue share - Tier 2 - SHS with TV</t>
        </is>
      </c>
      <c r="E26" s="40">
        <f>IFERROR((SUMIFS(Ops!$E$37:$BL$37,Timeline!$E$6:$BL$6,E$6)+SUMIFS(Ops!$E$42:$BL$42,Timeline!$E$6:$BL$6,E$6))/SUMIFS(FS!$E$11:$BL$11,Timeline!$E$6:$BL$6,E$6),0)</f>
        <v/>
      </c>
      <c r="F26" s="40">
        <f>IFERROR((SUMIFS(Ops!$E$37:$BL$37,Timeline!$E$6:$BL$6,F$6)+SUMIFS(Ops!$E$42:$BL$42,Timeline!$E$6:$BL$6,F$6))/SUMIFS(FS!$E$11:$BL$11,Timeline!$E$6:$BL$6,F$6),0)</f>
        <v/>
      </c>
      <c r="G26" s="40">
        <f>IFERROR((SUMIFS(Ops!$E$37:$BL$37,Timeline!$E$6:$BL$6,G$6)+SUMIFS(Ops!$E$42:$BL$42,Timeline!$E$6:$BL$6,G$6))/SUMIFS(FS!$E$11:$BL$11,Timeline!$E$6:$BL$6,G$6),0)</f>
        <v/>
      </c>
      <c r="H26" s="40">
        <f>IFERROR((SUMIFS(Ops!$E$37:$BL$37,Timeline!$E$6:$BL$6,H$6)+SUMIFS(Ops!$E$42:$BL$42,Timeline!$E$6:$BL$6,H$6))/SUMIFS(FS!$E$11:$BL$11,Timeline!$E$6:$BL$6,H$6),0)</f>
        <v/>
      </c>
      <c r="I26" s="40">
        <f>IFERROR((SUMIFS(Ops!$E$37:$BL$37,Timeline!$E$6:$BL$6,I$6)+SUMIFS(Ops!$E$42:$BL$42,Timeline!$E$6:$BL$6,I$6))/SUMIFS(FS!$E$11:$BL$11,Timeline!$E$6:$BL$6,I$6),0)</f>
        <v/>
      </c>
    </row>
    <row r="27">
      <c r="A27" s="4" t="inlineStr">
        <is>
          <t>Revenue share - Tier 3 - Large SHS + DC fridge</t>
        </is>
      </c>
      <c r="E27" s="40">
        <f>IFERROR((SUMIFS(Ops!$E$62:$BL$62,Timeline!$E$6:$BL$6,E$6)+SUMIFS(Ops!$E$67:$BL$67,Timeline!$E$6:$BL$6,E$6))/SUMIFS(FS!$E$11:$BL$11,Timeline!$E$6:$BL$6,E$6),0)</f>
        <v/>
      </c>
      <c r="F27" s="40">
        <f>IFERROR((SUMIFS(Ops!$E$62:$BL$62,Timeline!$E$6:$BL$6,F$6)+SUMIFS(Ops!$E$67:$BL$67,Timeline!$E$6:$BL$6,F$6))/SUMIFS(FS!$E$11:$BL$11,Timeline!$E$6:$BL$6,F$6),0)</f>
        <v/>
      </c>
      <c r="G27" s="40">
        <f>IFERROR((SUMIFS(Ops!$E$62:$BL$62,Timeline!$E$6:$BL$6,G$6)+SUMIFS(Ops!$E$67:$BL$67,Timeline!$E$6:$BL$6,G$6))/SUMIFS(FS!$E$11:$BL$11,Timeline!$E$6:$BL$6,G$6),0)</f>
        <v/>
      </c>
      <c r="H27" s="40">
        <f>IFERROR((SUMIFS(Ops!$E$62:$BL$62,Timeline!$E$6:$BL$6,H$6)+SUMIFS(Ops!$E$67:$BL$67,Timeline!$E$6:$BL$6,H$6))/SUMIFS(FS!$E$11:$BL$11,Timeline!$E$6:$BL$6,H$6),0)</f>
        <v/>
      </c>
      <c r="I27" s="40">
        <f>IFERROR((SUMIFS(Ops!$E$62:$BL$62,Timeline!$E$6:$BL$6,I$6)+SUMIFS(Ops!$E$67:$BL$67,Timeline!$E$6:$BL$6,I$6))/SUMIFS(FS!$E$11:$BL$11,Timeline!$E$6:$BL$6,I$6),0)</f>
        <v/>
      </c>
    </row>
    <row r="28">
      <c r="A28" s="4" t="inlineStr">
        <is>
          <t>Revenue share - Tier 4 - Solar inverter + lithium (~1.2 kWp / 5 kWh)</t>
        </is>
      </c>
      <c r="E28" s="40">
        <f>IFERROR((SUMIFS(Ops!$E$87:$BL$87,Timeline!$E$6:$BL$6,E$6)+SUMIFS(Ops!$E$92:$BL$92,Timeline!$E$6:$BL$6,E$6))/SUMIFS(FS!$E$11:$BL$11,Timeline!$E$6:$BL$6,E$6),0)</f>
        <v/>
      </c>
      <c r="F28" s="40">
        <f>IFERROR((SUMIFS(Ops!$E$87:$BL$87,Timeline!$E$6:$BL$6,F$6)+SUMIFS(Ops!$E$92:$BL$92,Timeline!$E$6:$BL$6,F$6))/SUMIFS(FS!$E$11:$BL$11,Timeline!$E$6:$BL$6,F$6),0)</f>
        <v/>
      </c>
      <c r="G28" s="40">
        <f>IFERROR((SUMIFS(Ops!$E$87:$BL$87,Timeline!$E$6:$BL$6,G$6)+SUMIFS(Ops!$E$92:$BL$92,Timeline!$E$6:$BL$6,G$6))/SUMIFS(FS!$E$11:$BL$11,Timeline!$E$6:$BL$6,G$6),0)</f>
        <v/>
      </c>
      <c r="H28" s="40">
        <f>IFERROR((SUMIFS(Ops!$E$87:$BL$87,Timeline!$E$6:$BL$6,H$6)+SUMIFS(Ops!$E$92:$BL$92,Timeline!$E$6:$BL$6,H$6))/SUMIFS(FS!$E$11:$BL$11,Timeline!$E$6:$BL$6,H$6),0)</f>
        <v/>
      </c>
      <c r="I28" s="40">
        <f>IFERROR((SUMIFS(Ops!$E$87:$BL$87,Timeline!$E$6:$BL$6,I$6)+SUMIFS(Ops!$E$92:$BL$92,Timeline!$E$6:$BL$6,I$6))/SUMIFS(FS!$E$11:$BL$11,Timeline!$E$6:$BL$6,I$6),0)</f>
        <v/>
      </c>
    </row>
    <row r="29">
      <c r="A29" s="4" t="inlineStr">
        <is>
          <t>Revenue share - Tier 5 - Solar inverter + lithium (~3 kWp / 10 kWh)</t>
        </is>
      </c>
      <c r="E29" s="40">
        <f>IFERROR((SUMIFS(Ops!$E$112:$BL$112,Timeline!$E$6:$BL$6,E$6)+SUMIFS(Ops!$E$117:$BL$117,Timeline!$E$6:$BL$6,E$6))/SUMIFS(FS!$E$11:$BL$11,Timeline!$E$6:$BL$6,E$6),0)</f>
        <v/>
      </c>
      <c r="F29" s="40">
        <f>IFERROR((SUMIFS(Ops!$E$112:$BL$112,Timeline!$E$6:$BL$6,F$6)+SUMIFS(Ops!$E$117:$BL$117,Timeline!$E$6:$BL$6,F$6))/SUMIFS(FS!$E$11:$BL$11,Timeline!$E$6:$BL$6,F$6),0)</f>
        <v/>
      </c>
      <c r="G29" s="40">
        <f>IFERROR((SUMIFS(Ops!$E$112:$BL$112,Timeline!$E$6:$BL$6,G$6)+SUMIFS(Ops!$E$117:$BL$117,Timeline!$E$6:$BL$6,G$6))/SUMIFS(FS!$E$11:$BL$11,Timeline!$E$6:$BL$6,G$6),0)</f>
        <v/>
      </c>
      <c r="H29" s="40">
        <f>IFERROR((SUMIFS(Ops!$E$112:$BL$112,Timeline!$E$6:$BL$6,H$6)+SUMIFS(Ops!$E$117:$BL$117,Timeline!$E$6:$BL$6,H$6))/SUMIFS(FS!$E$11:$BL$11,Timeline!$E$6:$BL$6,H$6),0)</f>
        <v/>
      </c>
      <c r="I29" s="40">
        <f>IFERROR((SUMIFS(Ops!$E$112:$BL$112,Timeline!$E$6:$BL$6,I$6)+SUMIFS(Ops!$E$117:$BL$117,Timeline!$E$6:$BL$6,I$6))/SUMIFS(FS!$E$11:$BL$11,Timeline!$E$6:$BL$6,I$6),0)</f>
        <v/>
      </c>
    </row>
    <row r="30">
      <c r="A30" s="14" t="inlineStr">
        <is>
          <t>Profitability</t>
        </is>
      </c>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c r="AL30" s="15" t="n"/>
      <c r="AM30" s="15" t="n"/>
      <c r="AN30" s="15" t="n"/>
      <c r="AO30" s="15" t="n"/>
      <c r="AP30" s="15" t="n"/>
      <c r="AQ30" s="15" t="n"/>
      <c r="AR30" s="15" t="n"/>
      <c r="AS30" s="15" t="n"/>
      <c r="AT30" s="15" t="n"/>
      <c r="AU30" s="15" t="n"/>
      <c r="AV30" s="15" t="n"/>
      <c r="AW30" s="15" t="n"/>
      <c r="AX30" s="15" t="n"/>
      <c r="AY30" s="15" t="n"/>
      <c r="AZ30" s="15" t="n"/>
      <c r="BA30" s="15" t="n"/>
      <c r="BB30" s="15" t="n"/>
      <c r="BC30" s="15" t="n"/>
      <c r="BD30" s="15" t="n"/>
      <c r="BE30" s="15" t="n"/>
      <c r="BF30" s="15" t="n"/>
      <c r="BG30" s="15" t="n"/>
      <c r="BH30" s="15" t="n"/>
      <c r="BI30" s="15" t="n"/>
      <c r="BJ30" s="15" t="n"/>
      <c r="BK30" s="15" t="n"/>
      <c r="BL30" s="15" t="n"/>
    </row>
    <row r="31">
      <c r="A31" s="3" t="inlineStr">
        <is>
          <t>Revenue (LCY)</t>
        </is>
      </c>
      <c r="E31" s="39">
        <f>SUMIFS(FS!$E$11:$BL$11,Timeline!$E$6:$BL$6,E$6)</f>
        <v/>
      </c>
      <c r="F31" s="39">
        <f>SUMIFS(FS!$E$11:$BL$11,Timeline!$E$6:$BL$6,F$6)</f>
        <v/>
      </c>
      <c r="G31" s="39">
        <f>SUMIFS(FS!$E$11:$BL$11,Timeline!$E$6:$BL$6,G$6)</f>
        <v/>
      </c>
      <c r="H31" s="39">
        <f>SUMIFS(FS!$E$11:$BL$11,Timeline!$E$6:$BL$6,H$6)</f>
        <v/>
      </c>
      <c r="I31" s="39">
        <f>SUMIFS(FS!$E$11:$BL$11,Timeline!$E$6:$BL$6,I$6)</f>
        <v/>
      </c>
    </row>
    <row r="32">
      <c r="A32" s="4" t="inlineStr">
        <is>
          <t>Revenue (USD, average FX)</t>
        </is>
      </c>
      <c r="E32" s="39">
        <f>IFERROR(SUMIFS(FS!$E$11:$BL$11,Timeline!$E$6:$BL$6,E$6)/AVERAGEIFS(Timeline!$E$8:$BL$8,Timeline!$E$6:$BL$6,E$6),0)</f>
        <v/>
      </c>
      <c r="F32" s="39">
        <f>IFERROR(SUMIFS(FS!$E$11:$BL$11,Timeline!$E$6:$BL$6,F$6)/AVERAGEIFS(Timeline!$E$8:$BL$8,Timeline!$E$6:$BL$6,F$6),0)</f>
        <v/>
      </c>
      <c r="G32" s="39">
        <f>IFERROR(SUMIFS(FS!$E$11:$BL$11,Timeline!$E$6:$BL$6,G$6)/AVERAGEIFS(Timeline!$E$8:$BL$8,Timeline!$E$6:$BL$6,G$6),0)</f>
        <v/>
      </c>
      <c r="H32" s="39">
        <f>IFERROR(SUMIFS(FS!$E$11:$BL$11,Timeline!$E$6:$BL$6,H$6)/AVERAGEIFS(Timeline!$E$8:$BL$8,Timeline!$E$6:$BL$6,H$6),0)</f>
        <v/>
      </c>
      <c r="I32" s="39">
        <f>IFERROR(SUMIFS(FS!$E$11:$BL$11,Timeline!$E$6:$BL$6,I$6)/AVERAGEIFS(Timeline!$E$8:$BL$8,Timeline!$E$6:$BL$6,I$6),0)</f>
        <v/>
      </c>
    </row>
    <row r="33">
      <c r="A33" s="4" t="inlineStr">
        <is>
          <t>Gross margin</t>
        </is>
      </c>
      <c r="E33" s="40">
        <f>IFERROR(SUMIFS(FS!$E$13:$BL$13,Timeline!$E$6:$BL$6,E$6)/SUMIFS(FS!$E$11:$BL$11,Timeline!$E$6:$BL$6,E$6),0)</f>
        <v/>
      </c>
      <c r="F33" s="40">
        <f>IFERROR(SUMIFS(FS!$E$13:$BL$13,Timeline!$E$6:$BL$6,F$6)/SUMIFS(FS!$E$11:$BL$11,Timeline!$E$6:$BL$6,F$6),0)</f>
        <v/>
      </c>
      <c r="G33" s="40">
        <f>IFERROR(SUMIFS(FS!$E$13:$BL$13,Timeline!$E$6:$BL$6,G$6)/SUMIFS(FS!$E$11:$BL$11,Timeline!$E$6:$BL$6,G$6),0)</f>
        <v/>
      </c>
      <c r="H33" s="40">
        <f>IFERROR(SUMIFS(FS!$E$13:$BL$13,Timeline!$E$6:$BL$6,H$6)/SUMIFS(FS!$E$11:$BL$11,Timeline!$E$6:$BL$6,H$6),0)</f>
        <v/>
      </c>
      <c r="I33" s="40">
        <f>IFERROR(SUMIFS(FS!$E$13:$BL$13,Timeline!$E$6:$BL$6,I$6)/SUMIFS(FS!$E$11:$BL$11,Timeline!$E$6:$BL$6,I$6),0)</f>
        <v/>
      </c>
    </row>
    <row r="34">
      <c r="A34" s="3" t="inlineStr">
        <is>
          <t>EBITDA (LCY)</t>
        </is>
      </c>
      <c r="E34" s="39">
        <f>SUMIFS(FS!$E$18:$BL$18,Timeline!$E$6:$BL$6,E$6)</f>
        <v/>
      </c>
      <c r="F34" s="39">
        <f>SUMIFS(FS!$E$18:$BL$18,Timeline!$E$6:$BL$6,F$6)</f>
        <v/>
      </c>
      <c r="G34" s="39">
        <f>SUMIFS(FS!$E$18:$BL$18,Timeline!$E$6:$BL$6,G$6)</f>
        <v/>
      </c>
      <c r="H34" s="39">
        <f>SUMIFS(FS!$E$18:$BL$18,Timeline!$E$6:$BL$6,H$6)</f>
        <v/>
      </c>
      <c r="I34" s="39">
        <f>SUMIFS(FS!$E$18:$BL$18,Timeline!$E$6:$BL$6,I$6)</f>
        <v/>
      </c>
    </row>
    <row r="35">
      <c r="A35" s="4" t="inlineStr">
        <is>
          <t>EBITDA margin</t>
        </is>
      </c>
      <c r="E35" s="40">
        <f>IFERROR(SUMIFS(FS!$E$18:$BL$18,Timeline!$E$6:$BL$6,E$6)/SUMIFS(FS!$E$11:$BL$11,Timeline!$E$6:$BL$6,E$6),0)</f>
        <v/>
      </c>
      <c r="F35" s="40">
        <f>IFERROR(SUMIFS(FS!$E$18:$BL$18,Timeline!$E$6:$BL$6,F$6)/SUMIFS(FS!$E$11:$BL$11,Timeline!$E$6:$BL$6,F$6),0)</f>
        <v/>
      </c>
      <c r="G35" s="40">
        <f>IFERROR(SUMIFS(FS!$E$18:$BL$18,Timeline!$E$6:$BL$6,G$6)/SUMIFS(FS!$E$11:$BL$11,Timeline!$E$6:$BL$6,G$6),0)</f>
        <v/>
      </c>
      <c r="H35" s="40">
        <f>IFERROR(SUMIFS(FS!$E$18:$BL$18,Timeline!$E$6:$BL$6,H$6)/SUMIFS(FS!$E$11:$BL$11,Timeline!$E$6:$BL$6,H$6),0)</f>
        <v/>
      </c>
      <c r="I35" s="40">
        <f>IFERROR(SUMIFS(FS!$E$18:$BL$18,Timeline!$E$6:$BL$6,I$6)/SUMIFS(FS!$E$11:$BL$11,Timeline!$E$6:$BL$6,I$6),0)</f>
        <v/>
      </c>
    </row>
    <row r="36">
      <c r="A36" s="4" t="inlineStr">
        <is>
          <t>Net credit losses / revenue</t>
        </is>
      </c>
      <c r="E36" s="40">
        <f>IFERROR(-(SUMIFS(FS!$E$16:$BL$16,Timeline!$E$6:$BL$6,E$6)+SUMIFS(FS!$E$17:$BL$17,Timeline!$E$6:$BL$6,E$6))/SUMIFS(FS!$E$11:$BL$11,Timeline!$E$6:$BL$6,E$6),0)</f>
        <v/>
      </c>
      <c r="F36" s="40">
        <f>IFERROR(-(SUMIFS(FS!$E$16:$BL$16,Timeline!$E$6:$BL$6,F$6)+SUMIFS(FS!$E$17:$BL$17,Timeline!$E$6:$BL$6,F$6))/SUMIFS(FS!$E$11:$BL$11,Timeline!$E$6:$BL$6,F$6),0)</f>
        <v/>
      </c>
      <c r="G36" s="40">
        <f>IFERROR(-(SUMIFS(FS!$E$16:$BL$16,Timeline!$E$6:$BL$6,G$6)+SUMIFS(FS!$E$17:$BL$17,Timeline!$E$6:$BL$6,G$6))/SUMIFS(FS!$E$11:$BL$11,Timeline!$E$6:$BL$6,G$6),0)</f>
        <v/>
      </c>
      <c r="H36" s="40">
        <f>IFERROR(-(SUMIFS(FS!$E$16:$BL$16,Timeline!$E$6:$BL$6,H$6)+SUMIFS(FS!$E$17:$BL$17,Timeline!$E$6:$BL$6,H$6))/SUMIFS(FS!$E$11:$BL$11,Timeline!$E$6:$BL$6,H$6),0)</f>
        <v/>
      </c>
      <c r="I36" s="40">
        <f>IFERROR(-(SUMIFS(FS!$E$16:$BL$16,Timeline!$E$6:$BL$6,I$6)+SUMIFS(FS!$E$17:$BL$17,Timeline!$E$6:$BL$6,I$6))/SUMIFS(FS!$E$11:$BL$11,Timeline!$E$6:$BL$6,I$6),0)</f>
        <v/>
      </c>
    </row>
    <row r="37">
      <c r="A37" s="4" t="inlineStr">
        <is>
          <t>RBF dependency (RBF income / revenue)</t>
        </is>
      </c>
      <c r="E37" s="40">
        <f>IFERROR(SUMIFS(FS!$E$14:$BL$14,Timeline!$E$6:$BL$6,E$6)/SUMIFS(FS!$E$11:$BL$11,Timeline!$E$6:$BL$6,E$6),0)</f>
        <v/>
      </c>
      <c r="F37" s="40">
        <f>IFERROR(SUMIFS(FS!$E$14:$BL$14,Timeline!$E$6:$BL$6,F$6)/SUMIFS(FS!$E$11:$BL$11,Timeline!$E$6:$BL$6,F$6),0)</f>
        <v/>
      </c>
      <c r="G37" s="40">
        <f>IFERROR(SUMIFS(FS!$E$14:$BL$14,Timeline!$E$6:$BL$6,G$6)/SUMIFS(FS!$E$11:$BL$11,Timeline!$E$6:$BL$6,G$6),0)</f>
        <v/>
      </c>
      <c r="H37" s="40">
        <f>IFERROR(SUMIFS(FS!$E$14:$BL$14,Timeline!$E$6:$BL$6,H$6)/SUMIFS(FS!$E$11:$BL$11,Timeline!$E$6:$BL$6,H$6),0)</f>
        <v/>
      </c>
      <c r="I37" s="40">
        <f>IFERROR(SUMIFS(FS!$E$14:$BL$14,Timeline!$E$6:$BL$6,I$6)/SUMIFS(FS!$E$11:$BL$11,Timeline!$E$6:$BL$6,I$6),0)</f>
        <v/>
      </c>
    </row>
    <row r="38">
      <c r="A38" s="3" t="inlineStr">
        <is>
          <t>Net income (LCY)</t>
        </is>
      </c>
      <c r="E38" s="39">
        <f>SUMIFS(FS!$E$28:$BL$28,Timeline!$E$6:$BL$6,E$6)</f>
        <v/>
      </c>
      <c r="F38" s="39">
        <f>SUMIFS(FS!$E$28:$BL$28,Timeline!$E$6:$BL$6,F$6)</f>
        <v/>
      </c>
      <c r="G38" s="39">
        <f>SUMIFS(FS!$E$28:$BL$28,Timeline!$E$6:$BL$6,G$6)</f>
        <v/>
      </c>
      <c r="H38" s="39">
        <f>SUMIFS(FS!$E$28:$BL$28,Timeline!$E$6:$BL$6,H$6)</f>
        <v/>
      </c>
      <c r="I38" s="39">
        <f>SUMIFS(FS!$E$28:$BL$28,Timeline!$E$6:$BL$6,I$6)</f>
        <v/>
      </c>
    </row>
    <row r="39">
      <c r="A39" s="14" t="inlineStr">
        <is>
          <t>Funding, leverage &amp; coverage</t>
        </is>
      </c>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c r="AA39" s="15" t="n"/>
      <c r="AB39" s="15" t="n"/>
      <c r="AC39" s="15" t="n"/>
      <c r="AD39" s="15" t="n"/>
      <c r="AE39" s="15" t="n"/>
      <c r="AF39" s="15" t="n"/>
      <c r="AG39" s="15" t="n"/>
      <c r="AH39" s="15" t="n"/>
      <c r="AI39" s="15" t="n"/>
      <c r="AJ39" s="15" t="n"/>
      <c r="AK39" s="15" t="n"/>
      <c r="AL39" s="15" t="n"/>
      <c r="AM39" s="15" t="n"/>
      <c r="AN39" s="15" t="n"/>
      <c r="AO39" s="15" t="n"/>
      <c r="AP39" s="15" t="n"/>
      <c r="AQ39" s="15" t="n"/>
      <c r="AR39" s="15" t="n"/>
      <c r="AS39" s="15" t="n"/>
      <c r="AT39" s="15" t="n"/>
      <c r="AU39" s="15" t="n"/>
      <c r="AV39" s="15" t="n"/>
      <c r="AW39" s="15" t="n"/>
      <c r="AX39" s="15" t="n"/>
      <c r="AY39" s="15" t="n"/>
      <c r="AZ39" s="15" t="n"/>
      <c r="BA39" s="15" t="n"/>
      <c r="BB39" s="15" t="n"/>
      <c r="BC39" s="15" t="n"/>
      <c r="BD39" s="15" t="n"/>
      <c r="BE39" s="15" t="n"/>
      <c r="BF39" s="15" t="n"/>
      <c r="BG39" s="15" t="n"/>
      <c r="BH39" s="15" t="n"/>
      <c r="BI39" s="15" t="n"/>
      <c r="BJ39" s="15" t="n"/>
      <c r="BK39" s="15" t="n"/>
      <c r="BL39" s="15" t="n"/>
    </row>
    <row r="40">
      <c r="A40" s="4" t="inlineStr">
        <is>
          <t>Closing cash (LCY)</t>
        </is>
      </c>
      <c r="E40" s="39">
        <f>INDEX(FS!$E$63:$BL$63,1,E$6*12)</f>
        <v/>
      </c>
      <c r="F40" s="39">
        <f>INDEX(FS!$E$63:$BL$63,1,F$6*12)</f>
        <v/>
      </c>
      <c r="G40" s="39">
        <f>INDEX(FS!$E$63:$BL$63,1,G$6*12)</f>
        <v/>
      </c>
      <c r="H40" s="39">
        <f>INDEX(FS!$E$63:$BL$63,1,H$6*12)</f>
        <v/>
      </c>
      <c r="I40" s="39">
        <f>INDEX(FS!$E$63:$BL$63,1,I$6*12)</f>
        <v/>
      </c>
    </row>
    <row r="41">
      <c r="A41" s="4" t="inlineStr">
        <is>
          <t>Cumulative equity invested (LCY)</t>
        </is>
      </c>
      <c r="E41" s="39">
        <f>INDEX(Financing!$E$11:$BL$11,1,E$6*12)</f>
        <v/>
      </c>
      <c r="F41" s="39">
        <f>INDEX(Financing!$E$11:$BL$11,1,F$6*12)</f>
        <v/>
      </c>
      <c r="G41" s="39">
        <f>INDEX(Financing!$E$11:$BL$11,1,G$6*12)</f>
        <v/>
      </c>
      <c r="H41" s="39">
        <f>INDEX(Financing!$E$11:$BL$11,1,H$6*12)</f>
        <v/>
      </c>
      <c r="I41" s="39">
        <f>INDEX(Financing!$E$11:$BL$11,1,I$6*12)</f>
        <v/>
      </c>
    </row>
    <row r="42">
      <c r="A42" s="4" t="inlineStr">
        <is>
          <t>Equity top-ups in year (funding gap, LCY)</t>
        </is>
      </c>
      <c r="E42" s="39">
        <f>SUMIFS(FS!$E$62:$BL$62,Timeline!$E$6:$BL$6,E$6)</f>
        <v/>
      </c>
      <c r="F42" s="39">
        <f>SUMIFS(FS!$E$62:$BL$62,Timeline!$E$6:$BL$6,F$6)</f>
        <v/>
      </c>
      <c r="G42" s="39">
        <f>SUMIFS(FS!$E$62:$BL$62,Timeline!$E$6:$BL$6,G$6)</f>
        <v/>
      </c>
      <c r="H42" s="39">
        <f>SUMIFS(FS!$E$62:$BL$62,Timeline!$E$6:$BL$6,H$6)</f>
        <v/>
      </c>
      <c r="I42" s="39">
        <f>SUMIFS(FS!$E$62:$BL$62,Timeline!$E$6:$BL$6,I$6)</f>
        <v/>
      </c>
    </row>
    <row r="43">
      <c r="A43" s="4" t="inlineStr">
        <is>
          <t>Total debt (year end, LCY)</t>
        </is>
      </c>
      <c r="E43" s="39">
        <f>INDEX(FS!$E$39:$BL$39,1,E$6*12)+INDEX(FS!$E$40:$BL$40,1,E$6*12)</f>
        <v/>
      </c>
      <c r="F43" s="39">
        <f>INDEX(FS!$E$39:$BL$39,1,F$6*12)+INDEX(FS!$E$40:$BL$40,1,F$6*12)</f>
        <v/>
      </c>
      <c r="G43" s="39">
        <f>INDEX(FS!$E$39:$BL$39,1,G$6*12)+INDEX(FS!$E$40:$BL$40,1,G$6*12)</f>
        <v/>
      </c>
      <c r="H43" s="39">
        <f>INDEX(FS!$E$39:$BL$39,1,H$6*12)+INDEX(FS!$E$40:$BL$40,1,H$6*12)</f>
        <v/>
      </c>
      <c r="I43" s="39">
        <f>INDEX(FS!$E$39:$BL$39,1,I$6*12)+INDEX(FS!$E$40:$BL$40,1,I$6*12)</f>
        <v/>
      </c>
    </row>
    <row r="44">
      <c r="A44" s="4" t="inlineStr">
        <is>
          <t>Debt / book equity</t>
        </is>
      </c>
      <c r="E44" s="45">
        <f>IFERROR((INDEX(FS!$E$39:$BL$39,1,E$6*12)+INDEX(FS!$E$40:$BL$40,1,E$6*12))/INDEX(FS!$E$44:$BL$44,1,E$6*12),0)</f>
        <v/>
      </c>
      <c r="F44" s="45">
        <f>IFERROR((INDEX(FS!$E$39:$BL$39,1,F$6*12)+INDEX(FS!$E$40:$BL$40,1,F$6*12))/INDEX(FS!$E$44:$BL$44,1,F$6*12),0)</f>
        <v/>
      </c>
      <c r="G44" s="45">
        <f>IFERROR((INDEX(FS!$E$39:$BL$39,1,G$6*12)+INDEX(FS!$E$40:$BL$40,1,G$6*12))/INDEX(FS!$E$44:$BL$44,1,G$6*12),0)</f>
        <v/>
      </c>
      <c r="H44" s="45">
        <f>IFERROR((INDEX(FS!$E$39:$BL$39,1,H$6*12)+INDEX(FS!$E$40:$BL$40,1,H$6*12))/INDEX(FS!$E$44:$BL$44,1,H$6*12),0)</f>
        <v/>
      </c>
      <c r="I44" s="45">
        <f>IFERROR((INDEX(FS!$E$39:$BL$39,1,I$6*12)+INDEX(FS!$E$40:$BL$40,1,I$6*12))/INDEX(FS!$E$44:$BL$44,1,I$6*12),0)</f>
        <v/>
      </c>
    </row>
    <row r="45">
      <c r="A45" s="4" t="inlineStr">
        <is>
          <t>Debt service (interest + term-loan principal, LCY)</t>
        </is>
      </c>
      <c r="E45" s="39">
        <f>SUMIFS(Financing!$E$16:$BL$16,Timeline!$E$6:$BL$6,E$6)+SUMIFS(Financing!$E$18:$BL$18,Timeline!$E$6:$BL$6,E$6)+SUMIFS(Financing!$E$25:$BL$25,Timeline!$E$6:$BL$6,E$6)</f>
        <v/>
      </c>
      <c r="F45" s="39">
        <f>SUMIFS(Financing!$E$16:$BL$16,Timeline!$E$6:$BL$6,F$6)+SUMIFS(Financing!$E$18:$BL$18,Timeline!$E$6:$BL$6,F$6)+SUMIFS(Financing!$E$25:$BL$25,Timeline!$E$6:$BL$6,F$6)</f>
        <v/>
      </c>
      <c r="G45" s="39">
        <f>SUMIFS(Financing!$E$16:$BL$16,Timeline!$E$6:$BL$6,G$6)+SUMIFS(Financing!$E$18:$BL$18,Timeline!$E$6:$BL$6,G$6)+SUMIFS(Financing!$E$25:$BL$25,Timeline!$E$6:$BL$6,G$6)</f>
        <v/>
      </c>
      <c r="H45" s="39">
        <f>SUMIFS(Financing!$E$16:$BL$16,Timeline!$E$6:$BL$6,H$6)+SUMIFS(Financing!$E$18:$BL$18,Timeline!$E$6:$BL$6,H$6)+SUMIFS(Financing!$E$25:$BL$25,Timeline!$E$6:$BL$6,H$6)</f>
        <v/>
      </c>
      <c r="I45" s="39">
        <f>SUMIFS(Financing!$E$16:$BL$16,Timeline!$E$6:$BL$6,I$6)+SUMIFS(Financing!$E$18:$BL$18,Timeline!$E$6:$BL$6,I$6)+SUMIFS(Financing!$E$25:$BL$25,Timeline!$E$6:$BL$6,I$6)</f>
        <v/>
      </c>
    </row>
    <row r="46">
      <c r="A46" s="4" t="inlineStr">
        <is>
          <t>DSCR ((CFO + interest) / debt service)</t>
        </is>
      </c>
      <c r="E46" s="45">
        <f>IFERROR((SUMIFS(FS!$E$55:$BL$55,Timeline!$E$6:$BL$6,E$6)-SUMIFS(FS!$E$21:$BL$21,Timeline!$E$6:$BL$6,E$6)-SUMIFS(FS!$E$22:$BL$22,Timeline!$E$6:$BL$6,E$6))/E45,0)</f>
        <v/>
      </c>
      <c r="F46" s="45">
        <f>IFERROR((SUMIFS(FS!$E$55:$BL$55,Timeline!$E$6:$BL$6,F$6)-SUMIFS(FS!$E$21:$BL$21,Timeline!$E$6:$BL$6,F$6)-SUMIFS(FS!$E$22:$BL$22,Timeline!$E$6:$BL$6,F$6))/F45,0)</f>
        <v/>
      </c>
      <c r="G46" s="45">
        <f>IFERROR((SUMIFS(FS!$E$55:$BL$55,Timeline!$E$6:$BL$6,G$6)-SUMIFS(FS!$E$21:$BL$21,Timeline!$E$6:$BL$6,G$6)-SUMIFS(FS!$E$22:$BL$22,Timeline!$E$6:$BL$6,G$6))/G45,0)</f>
        <v/>
      </c>
      <c r="H46" s="45">
        <f>IFERROR((SUMIFS(FS!$E$55:$BL$55,Timeline!$E$6:$BL$6,H$6)-SUMIFS(FS!$E$21:$BL$21,Timeline!$E$6:$BL$6,H$6)-SUMIFS(FS!$E$22:$BL$22,Timeline!$E$6:$BL$6,H$6))/H45,0)</f>
        <v/>
      </c>
      <c r="I46" s="45">
        <f>IFERROR((SUMIFS(FS!$E$55:$BL$55,Timeline!$E$6:$BL$6,I$6)-SUMIFS(FS!$E$21:$BL$21,Timeline!$E$6:$BL$6,I$6)-SUMIFS(FS!$E$22:$BL$22,Timeline!$E$6:$BL$6,I$6))/I45,0)</f>
        <v/>
      </c>
    </row>
    <row r="47">
      <c r="A47" s="4" t="inlineStr">
        <is>
          <t>Breach: DSCR below minimum (years with debt service)</t>
        </is>
      </c>
      <c r="E47" s="46">
        <f>IF(AND(E45&gt;0,E46&lt;Inputs!$C$57),1,0)</f>
        <v/>
      </c>
      <c r="F47" s="46">
        <f>IF(AND(F45&gt;0,F46&lt;Inputs!$C$57),1,0)</f>
        <v/>
      </c>
      <c r="G47" s="46">
        <f>IF(AND(G45&gt;0,G46&lt;Inputs!$C$57),1,0)</f>
        <v/>
      </c>
      <c r="H47" s="46">
        <f>IF(AND(H45&gt;0,H46&lt;Inputs!$C$57),1,0)</f>
        <v/>
      </c>
      <c r="I47" s="46">
        <f>IF(AND(I45&gt;0,I46&lt;Inputs!$C$57),1,0)</f>
        <v/>
      </c>
    </row>
    <row r="48">
      <c r="A48" s="4" t="inlineStr">
        <is>
          <t>Months with any monthly covenant breach</t>
        </is>
      </c>
      <c r="E48" s="46">
        <f>SUMIFS(Covenants!$E$17:$BL$17,Timeline!$E$6:$BL$6,E$6)</f>
        <v/>
      </c>
      <c r="F48" s="46">
        <f>SUMIFS(Covenants!$E$17:$BL$17,Timeline!$E$6:$BL$6,F$6)</f>
        <v/>
      </c>
      <c r="G48" s="46">
        <f>SUMIFS(Covenants!$E$17:$BL$17,Timeline!$E$6:$BL$6,G$6)</f>
        <v/>
      </c>
      <c r="H48" s="46">
        <f>SUMIFS(Covenants!$E$17:$BL$17,Timeline!$E$6:$BL$6,H$6)</f>
        <v/>
      </c>
      <c r="I48" s="46">
        <f>SUMIFS(Covenants!$E$17:$BL$17,Timeline!$E$6:$BL$6,I$6)</f>
        <v/>
      </c>
    </row>
    <row r="49">
      <c r="A49" s="4" t="inlineStr">
        <is>
          <t>FX rate (year end, LCY / USD)</t>
        </is>
      </c>
      <c r="E49" s="47">
        <f>INDEX(Timeline!$E$8:$BL$8,1,E$6*12)</f>
        <v/>
      </c>
      <c r="F49" s="47">
        <f>INDEX(Timeline!$E$8:$BL$8,1,F$6*12)</f>
        <v/>
      </c>
      <c r="G49" s="47">
        <f>INDEX(Timeline!$E$8:$BL$8,1,G$6*12)</f>
        <v/>
      </c>
      <c r="H49" s="47">
        <f>INDEX(Timeline!$E$8:$BL$8,1,H$6*12)</f>
        <v/>
      </c>
      <c r="I49" s="47">
        <f>INDEX(Timeline!$E$8:$BL$8,1,I$6*12)</f>
        <v/>
      </c>
    </row>
    <row r="50"/>
    <row r="51">
      <c r="A51" s="14" t="inlineStr">
        <is>
          <t>Headline metrics</t>
        </is>
      </c>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c r="AA51" s="15" t="n"/>
      <c r="AB51" s="15" t="n"/>
      <c r="AC51" s="15" t="n"/>
      <c r="AD51" s="15" t="n"/>
      <c r="AE51" s="15" t="n"/>
      <c r="AF51" s="15" t="n"/>
      <c r="AG51" s="15" t="n"/>
      <c r="AH51" s="15" t="n"/>
      <c r="AI51" s="15" t="n"/>
      <c r="AJ51" s="15" t="n"/>
      <c r="AK51" s="15" t="n"/>
      <c r="AL51" s="15" t="n"/>
      <c r="AM51" s="15" t="n"/>
      <c r="AN51" s="15" t="n"/>
      <c r="AO51" s="15" t="n"/>
      <c r="AP51" s="15" t="n"/>
      <c r="AQ51" s="15" t="n"/>
      <c r="AR51" s="15" t="n"/>
      <c r="AS51" s="15" t="n"/>
      <c r="AT51" s="15" t="n"/>
      <c r="AU51" s="15" t="n"/>
      <c r="AV51" s="15" t="n"/>
      <c r="AW51" s="15" t="n"/>
      <c r="AX51" s="15" t="n"/>
      <c r="AY51" s="15" t="n"/>
      <c r="AZ51" s="15" t="n"/>
      <c r="BA51" s="15" t="n"/>
      <c r="BB51" s="15" t="n"/>
      <c r="BC51" s="15" t="n"/>
      <c r="BD51" s="15" t="n"/>
      <c r="BE51" s="15" t="n"/>
      <c r="BF51" s="15" t="n"/>
      <c r="BG51" s="15" t="n"/>
      <c r="BH51" s="15" t="n"/>
      <c r="BI51" s="15" t="n"/>
      <c r="BJ51" s="15" t="n"/>
      <c r="BK51" s="15" t="n"/>
      <c r="BL51" s="15" t="n"/>
    </row>
    <row r="52">
      <c r="A52" s="3" t="inlineStr">
        <is>
          <t>Peak cumulative equity requirement (LCY)</t>
        </is>
      </c>
      <c r="C52" s="48">
        <f>MAX(Financing!$E$11:$BL$11)</f>
        <v/>
      </c>
    </row>
    <row r="53">
      <c r="A53" s="3" t="inlineStr">
        <is>
          <t>Peak cumulative equity requirement (USD, opening FX)</t>
        </is>
      </c>
      <c r="C53" s="48">
        <f>C52/Inputs!$C$10</f>
        <v/>
      </c>
    </row>
    <row r="54">
      <c r="A54" s="3" t="inlineStr">
        <is>
          <t>Peak total debt (LCY)</t>
        </is>
      </c>
      <c r="C54" s="48">
        <f>MAX(Covenants!$E$12:$BL$12)</f>
        <v/>
      </c>
    </row>
    <row r="55">
      <c r="A55" s="3" t="inlineStr">
        <is>
          <t>Total RBF received (USD, opening FX)</t>
        </is>
      </c>
      <c r="C55" s="48">
        <f>SUM(Ops!$E$145:$BL$145)/Inputs!$C$10</f>
        <v/>
      </c>
    </row>
    <row r="56">
      <c r="A56" s="3" t="inlineStr">
        <is>
          <t>First month with positive EBITDA</t>
        </is>
      </c>
      <c r="C56" s="49">
        <f>IFERROR(MATCH(1,FS!$E$66:$BL$66,0),"Not reached")</f>
        <v/>
      </c>
    </row>
    <row r="57">
      <c r="A57" s="3" t="inlineStr">
        <is>
          <t>First month with positive operating cash flow</t>
        </is>
      </c>
      <c r="C57" s="49">
        <f>IFERROR(MATCH(1,FS!$E$67:$BL$67,0),"Not reached")</f>
        <v/>
      </c>
    </row>
    <row r="58">
      <c r="A58" s="3" t="inlineStr">
        <is>
          <t>Lowest trailing-3-month collection rate (from month 3)</t>
        </is>
      </c>
      <c r="C58" s="42">
        <f>MIN(Covenants!G8:BL8)</f>
        <v/>
      </c>
    </row>
    <row r="59">
      <c r="A59" s="3" t="inlineStr">
        <is>
          <t>Highest receivables-at-risk ratio</t>
        </is>
      </c>
      <c r="C59" s="42">
        <f>MAX(Ops!$E$161:$BL$161)</f>
        <v/>
      </c>
    </row>
    <row r="60">
      <c r="A60" s="3" t="inlineStr">
        <is>
          <t>Total months with a covenant breach</t>
        </is>
      </c>
      <c r="C60" s="49">
        <f>SUM(Covenants!$E$17:$BL$17)</f>
        <v/>
      </c>
    </row>
    <row r="61">
      <c r="A61" s="3" t="inlineStr">
        <is>
          <t>Years with DSCR below minimum</t>
        </is>
      </c>
      <c r="C61" s="49">
        <f>SUM(E47:I47)</f>
        <v/>
      </c>
    </row>
    <row r="62"/>
    <row r="63">
      <c r="A63" s="2" t="inlineStr">
        <is>
          <t>Receivables at risk approximates PAYGo PERFORM 'Receivables at Risk'. Covenant definitions are illustrative; use those in the actual facility agreement.</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tabColor rgb="0000B050"/>
    <outlinePr summaryBelow="1" summaryRight="1"/>
    <pageSetUpPr fitToPage="1"/>
  </sheetPr>
  <dimension ref="A1:BL43"/>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64" customWidth="1" min="1" max="1"/>
    <col width="12" customWidth="1" min="2" max="2"/>
    <col width="18"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Valuation &amp; investor returns</t>
        </is>
      </c>
    </row>
    <row r="2">
      <c r="A2" s="2" t="inlineStr">
        <is>
          <t>DCF of unlevered free cash flow (LCY) and equity investor returns (USD).</t>
        </is>
      </c>
    </row>
    <row r="3"/>
    <row r="4"/>
    <row r="5">
      <c r="D5" s="44" t="inlineStr">
        <is>
          <t>Year 0</t>
        </is>
      </c>
      <c r="E5" s="44" t="inlineStr">
        <is>
          <t>Year 1</t>
        </is>
      </c>
      <c r="F5" s="44" t="inlineStr">
        <is>
          <t>Year 2</t>
        </is>
      </c>
      <c r="G5" s="44" t="inlineStr">
        <is>
          <t>Year 3</t>
        </is>
      </c>
      <c r="H5" s="44" t="inlineStr">
        <is>
          <t>Year 4</t>
        </is>
      </c>
      <c r="I5" s="44" t="inlineStr">
        <is>
          <t>Year 5</t>
        </is>
      </c>
    </row>
    <row r="6">
      <c r="D6" s="44" t="n">
        <v>0</v>
      </c>
      <c r="E6" s="44" t="n">
        <v>1</v>
      </c>
      <c r="F6" s="44" t="n">
        <v>2</v>
      </c>
      <c r="G6" s="44" t="n">
        <v>3</v>
      </c>
      <c r="H6" s="44" t="n">
        <v>4</v>
      </c>
      <c r="I6" s="44" t="n">
        <v>5</v>
      </c>
    </row>
    <row r="7"/>
    <row r="8">
      <c r="A8" s="14" t="inlineStr">
        <is>
          <t>Unlevered free cash flow (LCY)</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4" t="inlineStr">
        <is>
          <t>EBITDA</t>
        </is>
      </c>
      <c r="E9" s="39">
        <f>SUMIFS(FS!$E$18:$BL$18,Timeline!$E$6:$BL$6,E$6)</f>
        <v/>
      </c>
      <c r="F9" s="39">
        <f>SUMIFS(FS!$E$18:$BL$18,Timeline!$E$6:$BL$6,F$6)</f>
        <v/>
      </c>
      <c r="G9" s="39">
        <f>SUMIFS(FS!$E$18:$BL$18,Timeline!$E$6:$BL$6,G$6)</f>
        <v/>
      </c>
      <c r="H9" s="39">
        <f>SUMIFS(FS!$E$18:$BL$18,Timeline!$E$6:$BL$6,H$6)</f>
        <v/>
      </c>
      <c r="I9" s="39">
        <f>SUMIFS(FS!$E$18:$BL$18,Timeline!$E$6:$BL$6,I$6)</f>
        <v/>
      </c>
    </row>
    <row r="10">
      <c r="A10" s="4" t="inlineStr">
        <is>
          <t>Less: income tax paid (levered tax - simplification)</t>
        </is>
      </c>
      <c r="E10" s="39">
        <f>SUMIFS(FS!$E$27:$BL$27,Timeline!$E$6:$BL$6,E$6)</f>
        <v/>
      </c>
      <c r="F10" s="39">
        <f>SUMIFS(FS!$E$27:$BL$27,Timeline!$E$6:$BL$6,F$6)</f>
        <v/>
      </c>
      <c r="G10" s="39">
        <f>SUMIFS(FS!$E$27:$BL$27,Timeline!$E$6:$BL$6,G$6)</f>
        <v/>
      </c>
      <c r="H10" s="39">
        <f>SUMIFS(FS!$E$27:$BL$27,Timeline!$E$6:$BL$6,H$6)</f>
        <v/>
      </c>
      <c r="I10" s="39">
        <f>SUMIFS(FS!$E$27:$BL$27,Timeline!$E$6:$BL$6,I$6)</f>
        <v/>
      </c>
    </row>
    <row r="11">
      <c r="A11" s="4" t="inlineStr">
        <is>
          <t>Less: capex</t>
        </is>
      </c>
      <c r="E11" s="39">
        <f>-SUMIFS(Costs!$E$25:$BL$25,Timeline!$E$6:$BL$6,E$6)</f>
        <v/>
      </c>
      <c r="F11" s="39">
        <f>-SUMIFS(Costs!$E$25:$BL$25,Timeline!$E$6:$BL$6,F$6)</f>
        <v/>
      </c>
      <c r="G11" s="39">
        <f>-SUMIFS(Costs!$E$25:$BL$25,Timeline!$E$6:$BL$6,G$6)</f>
        <v/>
      </c>
      <c r="H11" s="39">
        <f>-SUMIFS(Costs!$E$25:$BL$25,Timeline!$E$6:$BL$6,H$6)</f>
        <v/>
      </c>
      <c r="I11" s="39">
        <f>-SUMIFS(Costs!$E$25:$BL$25,Timeline!$E$6:$BL$6,I$6)</f>
        <v/>
      </c>
    </row>
    <row r="12">
      <c r="A12" s="4" t="inlineStr">
        <is>
          <t>Net working capital (net receivables + inventory - payables), year end</t>
        </is>
      </c>
      <c r="D12" s="39" t="n">
        <v>0</v>
      </c>
      <c r="E12" s="39">
        <f>INDEX(FS!$E$34:$BL$34,1,E$6*12)+INDEX(FS!$E$35:$BL$35,1,E$6*12)-INDEX(FS!$E$38:$BL$38,1,E$6*12)</f>
        <v/>
      </c>
      <c r="F12" s="39">
        <f>INDEX(FS!$E$34:$BL$34,1,F$6*12)+INDEX(FS!$E$35:$BL$35,1,F$6*12)-INDEX(FS!$E$38:$BL$38,1,F$6*12)</f>
        <v/>
      </c>
      <c r="G12" s="39">
        <f>INDEX(FS!$E$34:$BL$34,1,G$6*12)+INDEX(FS!$E$35:$BL$35,1,G$6*12)-INDEX(FS!$E$38:$BL$38,1,G$6*12)</f>
        <v/>
      </c>
      <c r="H12" s="39">
        <f>INDEX(FS!$E$34:$BL$34,1,H$6*12)+INDEX(FS!$E$35:$BL$35,1,H$6*12)-INDEX(FS!$E$38:$BL$38,1,H$6*12)</f>
        <v/>
      </c>
      <c r="I12" s="39">
        <f>INDEX(FS!$E$34:$BL$34,1,I$6*12)+INDEX(FS!$E$35:$BL$35,1,I$6*12)-INDEX(FS!$E$38:$BL$38,1,I$6*12)</f>
        <v/>
      </c>
    </row>
    <row r="13">
      <c r="A13" s="4" t="inlineStr">
        <is>
          <t>Less: increase in net working capital</t>
        </is>
      </c>
      <c r="E13" s="39">
        <f>-(E12-D12)</f>
        <v/>
      </c>
      <c r="F13" s="39">
        <f>-(F12-E12)</f>
        <v/>
      </c>
      <c r="G13" s="39">
        <f>-(G12-F12)</f>
        <v/>
      </c>
      <c r="H13" s="39">
        <f>-(H12-G12)</f>
        <v/>
      </c>
      <c r="I13" s="39">
        <f>-(I12-H12)</f>
        <v/>
      </c>
    </row>
    <row r="14">
      <c r="A14" s="3" t="inlineStr">
        <is>
          <t>Unlevered free cash flow (FCFF)</t>
        </is>
      </c>
      <c r="E14" s="48">
        <f>E9+E10+E11+E13</f>
        <v/>
      </c>
      <c r="F14" s="48">
        <f>F9+F10+F11+F13</f>
        <v/>
      </c>
      <c r="G14" s="48">
        <f>G9+G10+G11+G13</f>
        <v/>
      </c>
      <c r="H14" s="48">
        <f>H9+H10+H11+H13</f>
        <v/>
      </c>
      <c r="I14" s="48">
        <f>I9+I10+I11+I13</f>
        <v/>
      </c>
    </row>
    <row r="15">
      <c r="A15" s="4" t="inlineStr">
        <is>
          <t>Discount factor (mid-year)</t>
        </is>
      </c>
      <c r="E15" s="47">
        <f>1/(1+Inputs!$C$61)^(E$6-0.5)</f>
        <v/>
      </c>
      <c r="F15" s="47">
        <f>1/(1+Inputs!$C$61)^(F$6-0.5)</f>
        <v/>
      </c>
      <c r="G15" s="47">
        <f>1/(1+Inputs!$C$61)^(G$6-0.5)</f>
        <v/>
      </c>
      <c r="H15" s="47">
        <f>1/(1+Inputs!$C$61)^(H$6-0.5)</f>
        <v/>
      </c>
      <c r="I15" s="47">
        <f>1/(1+Inputs!$C$61)^(I$6-0.5)</f>
        <v/>
      </c>
    </row>
    <row r="16">
      <c r="A16" s="4" t="inlineStr">
        <is>
          <t>Present value of FCFF</t>
        </is>
      </c>
      <c r="E16" s="39">
        <f>E14*E15</f>
        <v/>
      </c>
      <c r="F16" s="39">
        <f>F14*F15</f>
        <v/>
      </c>
      <c r="G16" s="39">
        <f>G14*G15</f>
        <v/>
      </c>
      <c r="H16" s="39">
        <f>H14*H15</f>
        <v/>
      </c>
      <c r="I16" s="39">
        <f>I14*I15</f>
        <v/>
      </c>
    </row>
    <row r="17">
      <c r="A17" s="14" t="inlineStr">
        <is>
          <t>Equity investor (USD)</t>
        </is>
      </c>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c r="AA17" s="15" t="n"/>
      <c r="AB17" s="15" t="n"/>
      <c r="AC17" s="15" t="n"/>
      <c r="AD17" s="15" t="n"/>
      <c r="AE17" s="15" t="n"/>
      <c r="AF17" s="15" t="n"/>
      <c r="AG17" s="15" t="n"/>
      <c r="AH17" s="15" t="n"/>
      <c r="AI17" s="15" t="n"/>
      <c r="AJ17" s="15" t="n"/>
      <c r="AK17" s="15" t="n"/>
      <c r="AL17" s="15" t="n"/>
      <c r="AM17" s="15" t="n"/>
      <c r="AN17" s="15" t="n"/>
      <c r="AO17" s="15" t="n"/>
      <c r="AP17" s="15" t="n"/>
      <c r="AQ17" s="15" t="n"/>
      <c r="AR17" s="15" t="n"/>
      <c r="AS17" s="15" t="n"/>
      <c r="AT17" s="15" t="n"/>
      <c r="AU17" s="15" t="n"/>
      <c r="AV17" s="15" t="n"/>
      <c r="AW17" s="15" t="n"/>
      <c r="AX17" s="15" t="n"/>
      <c r="AY17" s="15" t="n"/>
      <c r="AZ17" s="15" t="n"/>
      <c r="BA17" s="15" t="n"/>
      <c r="BB17" s="15" t="n"/>
      <c r="BC17" s="15" t="n"/>
      <c r="BD17" s="15" t="n"/>
      <c r="BE17" s="15" t="n"/>
      <c r="BF17" s="15" t="n"/>
      <c r="BG17" s="15" t="n"/>
      <c r="BH17" s="15" t="n"/>
      <c r="BI17" s="15" t="n"/>
      <c r="BJ17" s="15" t="n"/>
      <c r="BK17" s="15" t="n"/>
      <c r="BL17" s="15" t="n"/>
    </row>
    <row r="18">
      <c r="A18" s="4" t="inlineStr">
        <is>
          <t>Equity top-ups in year (LCY)</t>
        </is>
      </c>
      <c r="E18" s="39">
        <f>SUMIFS(FS!$E$62:$BL$62,Timeline!$E$6:$BL$6,E$6)</f>
        <v/>
      </c>
      <c r="F18" s="39">
        <f>SUMIFS(FS!$E$62:$BL$62,Timeline!$E$6:$BL$6,F$6)</f>
        <v/>
      </c>
      <c r="G18" s="39">
        <f>SUMIFS(FS!$E$62:$BL$62,Timeline!$E$6:$BL$6,G$6)</f>
        <v/>
      </c>
      <c r="H18" s="39">
        <f>SUMIFS(FS!$E$62:$BL$62,Timeline!$E$6:$BL$6,H$6)</f>
        <v/>
      </c>
      <c r="I18" s="39">
        <f>SUMIFS(FS!$E$62:$BL$62,Timeline!$E$6:$BL$6,I$6)</f>
        <v/>
      </c>
    </row>
    <row r="19">
      <c r="A19" s="4" t="inlineStr">
        <is>
          <t>Average FX in year (LCY / USD)</t>
        </is>
      </c>
      <c r="E19" s="47">
        <f>AVERAGEIFS(Timeline!$E$8:$BL$8,Timeline!$E$6:$BL$6,E$6)</f>
        <v/>
      </c>
      <c r="F19" s="47">
        <f>AVERAGEIFS(Timeline!$E$8:$BL$8,Timeline!$E$6:$BL$6,F$6)</f>
        <v/>
      </c>
      <c r="G19" s="47">
        <f>AVERAGEIFS(Timeline!$E$8:$BL$8,Timeline!$E$6:$BL$6,G$6)</f>
        <v/>
      </c>
      <c r="H19" s="47">
        <f>AVERAGEIFS(Timeline!$E$8:$BL$8,Timeline!$E$6:$BL$6,H$6)</f>
        <v/>
      </c>
      <c r="I19" s="47">
        <f>AVERAGEIFS(Timeline!$E$8:$BL$8,Timeline!$E$6:$BL$6,I$6)</f>
        <v/>
      </c>
    </row>
    <row r="20">
      <c r="A20" s="3" t="inlineStr">
        <is>
          <t>Investor cash flow (USD)</t>
        </is>
      </c>
      <c r="D20" s="48">
        <f>-Inputs!$C$63</f>
        <v/>
      </c>
      <c r="E20" s="48">
        <f>-C38*E18/E19</f>
        <v/>
      </c>
      <c r="F20" s="48">
        <f>-C38*F18/F19</f>
        <v/>
      </c>
      <c r="G20" s="48">
        <f>-C38*G18/G19</f>
        <v/>
      </c>
      <c r="H20" s="48">
        <f>-C38*H18/H19</f>
        <v/>
      </c>
      <c r="I20" s="48">
        <f>-C38*I18/I19+C38*C36</f>
        <v/>
      </c>
    </row>
    <row r="21"/>
    <row r="22">
      <c r="A22" s="14" t="inlineStr">
        <is>
          <t>Valuation summary</t>
        </is>
      </c>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c r="AA22" s="15" t="n"/>
      <c r="AB22" s="15" t="n"/>
      <c r="AC22" s="15" t="n"/>
      <c r="AD22" s="15" t="n"/>
      <c r="AE22" s="15" t="n"/>
      <c r="AF22" s="15" t="n"/>
      <c r="AG22" s="15" t="n"/>
      <c r="AH22" s="15" t="n"/>
      <c r="AI22" s="15" t="n"/>
      <c r="AJ22" s="15" t="n"/>
      <c r="AK22" s="15" t="n"/>
      <c r="AL22" s="15" t="n"/>
      <c r="AM22" s="15" t="n"/>
      <c r="AN22" s="15" t="n"/>
      <c r="AO22" s="15" t="n"/>
      <c r="AP22" s="15" t="n"/>
      <c r="AQ22" s="15" t="n"/>
      <c r="AR22" s="15" t="n"/>
      <c r="AS22" s="15" t="n"/>
      <c r="AT22" s="15" t="n"/>
      <c r="AU22" s="15" t="n"/>
      <c r="AV22" s="15" t="n"/>
      <c r="AW22" s="15" t="n"/>
      <c r="AX22" s="15" t="n"/>
      <c r="AY22" s="15" t="n"/>
      <c r="AZ22" s="15" t="n"/>
      <c r="BA22" s="15" t="n"/>
      <c r="BB22" s="15" t="n"/>
      <c r="BC22" s="15" t="n"/>
      <c r="BD22" s="15" t="n"/>
      <c r="BE22" s="15" t="n"/>
      <c r="BF22" s="15" t="n"/>
      <c r="BG22" s="15" t="n"/>
      <c r="BH22" s="15" t="n"/>
      <c r="BI22" s="15" t="n"/>
      <c r="BJ22" s="15" t="n"/>
      <c r="BK22" s="15" t="n"/>
      <c r="BL22" s="15" t="n"/>
    </row>
    <row r="23">
      <c r="A23" s="4" t="inlineStr">
        <is>
          <t>Sum of PV of FCFF, Years 1-5 (LCY)</t>
        </is>
      </c>
      <c r="C23" s="39">
        <f>SUM(E16:I16)</f>
        <v/>
      </c>
    </row>
    <row r="24">
      <c r="A24" s="4" t="inlineStr">
        <is>
          <t>Normalised terminal FCFF: (EBITDA - tax - capex)_Y5 x (1+g) - g x NWC_Y5 (LCY)</t>
        </is>
      </c>
      <c r="C24" s="39">
        <f>(I9+I10+I11)*(1+Inputs!$C$62)-Inputs!$C$62*I12</f>
        <v/>
      </c>
    </row>
    <row r="25">
      <c r="A25" s="4" t="inlineStr">
        <is>
          <t>Terminal value at end of Year 5 (Gordon growth on normalised FCFF, LCY)</t>
        </is>
      </c>
      <c r="C25" s="39">
        <f>IF(Inputs!$C$61&gt;Inputs!$C$62,C24/(Inputs!$C$61-Inputs!$C$62),0)</f>
        <v/>
      </c>
    </row>
    <row r="26">
      <c r="A26" s="4" t="inlineStr">
        <is>
          <t>PV of terminal value (LCY)</t>
        </is>
      </c>
      <c r="C26" s="39">
        <f>C25/(1+Inputs!$C$61)^5</f>
        <v/>
      </c>
    </row>
    <row r="27">
      <c r="A27" s="3" t="inlineStr">
        <is>
          <t>DCF enterprise value at model start (LCY)</t>
        </is>
      </c>
      <c r="C27" s="48">
        <f>C23+C26</f>
        <v/>
      </c>
    </row>
    <row r="28">
      <c r="A28" s="3" t="inlineStr">
        <is>
          <t>DCF enterprise value at model start (USD, opening FX)</t>
        </is>
      </c>
      <c r="C28" s="48">
        <f>C27/Inputs!$C$10</f>
        <v/>
      </c>
    </row>
    <row r="29">
      <c r="A29" s="4" t="inlineStr">
        <is>
          <t>Terminal value share of EV</t>
        </is>
      </c>
      <c r="C29" s="40">
        <f>IFERROR(C26/C27,0)</f>
        <v/>
      </c>
    </row>
    <row r="30"/>
    <row r="31">
      <c r="A31" s="4" t="inlineStr">
        <is>
          <t>Year 5 EBITDA (LCY)</t>
        </is>
      </c>
      <c r="C31" s="39">
        <f>I9</f>
        <v/>
      </c>
    </row>
    <row r="32">
      <c r="A32" s="4" t="inlineStr">
        <is>
          <t>Net debt at end of Year 5 (LCY)</t>
        </is>
      </c>
      <c r="C32" s="39">
        <f>INDEX(FS!$E$39:$BL$39,1,I$6*12)+INDEX(FS!$E$40:$BL$40,1,I$6*12)-INDEX(FS!$E$63:$BL$63,1,I$6*12)</f>
        <v/>
      </c>
    </row>
    <row r="33">
      <c r="A33" s="4" t="inlineStr">
        <is>
          <t>Book equity at end of Year 5 (LCY)</t>
        </is>
      </c>
      <c r="C33" s="39">
        <f>INDEX(FS!$E$44:$BL$44,1,I$6*12)</f>
        <v/>
      </c>
    </row>
    <row r="34">
      <c r="A34" s="4" t="inlineStr">
        <is>
          <t>Exit equity value, 100% (LCY)</t>
        </is>
      </c>
      <c r="C34" s="39">
        <f>MAX(0,IF(Inputs!$C$65=1,Inputs!$C$66*C31-C32,Inputs!$C$67*C33))</f>
        <v/>
      </c>
    </row>
    <row r="35">
      <c r="A35" s="4" t="inlineStr">
        <is>
          <t>FX at exit (LCY / USD)</t>
        </is>
      </c>
      <c r="C35" s="47">
        <f>INDEX(Timeline!$E$8:$BL$8,1,60)</f>
        <v/>
      </c>
    </row>
    <row r="36">
      <c r="A36" s="3" t="inlineStr">
        <is>
          <t>Exit equity value, 100% (USD)</t>
        </is>
      </c>
      <c r="C36" s="48">
        <f>C34/C35</f>
        <v/>
      </c>
    </row>
    <row r="37"/>
    <row r="38">
      <c r="A38" s="4" t="inlineStr">
        <is>
          <t>Investor stake (ticket / post-money)</t>
        </is>
      </c>
      <c r="C38" s="40">
        <f>IFERROR(Inputs!$C$63/(Inputs!$C$64+Inputs!$C$63),0)</f>
        <v/>
      </c>
    </row>
    <row r="39">
      <c r="A39" s="3" t="inlineStr">
        <is>
          <t>Investor IRR (USD)</t>
        </is>
      </c>
      <c r="C39" s="42">
        <f>IFERROR(IRR(D20:I20,0.1),"n/a")</f>
        <v/>
      </c>
    </row>
    <row r="40">
      <c r="A40" s="3" t="inlineStr">
        <is>
          <t>Investor MOIC (USD)</t>
        </is>
      </c>
      <c r="C40" s="50">
        <f>IFERROR(SUMIF(D20:I20,"&gt;0")/-SUMIF(D20:I20,"&lt;0"),0)</f>
        <v/>
      </c>
    </row>
    <row r="41"/>
    <row r="42">
      <c r="A42" s="2" t="inlineStr">
        <is>
          <t>Investor funds its pro-rata share of any equity top-up and receives no dividends before exit. LCY flows are converted to USD at average FX for the year; exit at year-end FX.</t>
        </is>
      </c>
    </row>
    <row r="43">
      <c r="A43" s="2" t="inlineStr">
        <is>
          <t>For PAYGo companies, growth of the receivables book is working capital, so FCFF is negative while the book grows. The terminal value therefore uses a normalised FCFF that reinvests only g x NWC (steady-state growth).</t>
        </is>
      </c>
    </row>
  </sheetData>
  <pageMargins left="0.75" right="0.75" top="1" bottom="1" header="0.5" footer="0.5"/>
  <pageSetup orientation="landscape" fitToHeight="0" fitToWidth="1"/>
</worksheet>
</file>

<file path=xl/worksheets/sheet9.xml><?xml version="1.0" encoding="utf-8"?>
<worksheet xmlns="http://schemas.openxmlformats.org/spreadsheetml/2006/main">
  <sheetPr>
    <tabColor rgb="00FF0000"/>
    <outlinePr summaryBelow="1" summaryRight="1"/>
    <pageSetUpPr fitToPage="1"/>
  </sheetPr>
  <dimension ref="A1:BL17"/>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Lender covenant tests (monthly)</t>
        </is>
      </c>
    </row>
    <row r="2">
      <c r="A2" s="2" t="inlineStr">
        <is>
          <t>Flags = 1 when a covenant is breached. Tested only while the relevant debt is outstanding.</t>
        </is>
      </c>
    </row>
    <row r="3"/>
    <row r="4">
      <c r="A4" s="51" t="inlineStr">
        <is>
          <t>Month #</t>
        </is>
      </c>
      <c r="B4" s="52" t="n"/>
      <c r="C4" s="52" t="n"/>
      <c r="D4" s="51" t="inlineStr">
        <is>
          <t>Opening</t>
        </is>
      </c>
      <c r="E4" s="53">
        <f>Timeline!E4</f>
        <v/>
      </c>
      <c r="F4" s="53">
        <f>Timeline!F4</f>
        <v/>
      </c>
      <c r="G4" s="53">
        <f>Timeline!G4</f>
        <v/>
      </c>
      <c r="H4" s="53">
        <f>Timeline!H4</f>
        <v/>
      </c>
      <c r="I4" s="53">
        <f>Timeline!I4</f>
        <v/>
      </c>
      <c r="J4" s="53">
        <f>Timeline!J4</f>
        <v/>
      </c>
      <c r="K4" s="53">
        <f>Timeline!K4</f>
        <v/>
      </c>
      <c r="L4" s="53">
        <f>Timeline!L4</f>
        <v/>
      </c>
      <c r="M4" s="53">
        <f>Timeline!M4</f>
        <v/>
      </c>
      <c r="N4" s="53">
        <f>Timeline!N4</f>
        <v/>
      </c>
      <c r="O4" s="53">
        <f>Timeline!O4</f>
        <v/>
      </c>
      <c r="P4" s="53">
        <f>Timeline!P4</f>
        <v/>
      </c>
      <c r="Q4" s="53">
        <f>Timeline!Q4</f>
        <v/>
      </c>
      <c r="R4" s="53">
        <f>Timeline!R4</f>
        <v/>
      </c>
      <c r="S4" s="53">
        <f>Timeline!S4</f>
        <v/>
      </c>
      <c r="T4" s="53">
        <f>Timeline!T4</f>
        <v/>
      </c>
      <c r="U4" s="53">
        <f>Timeline!U4</f>
        <v/>
      </c>
      <c r="V4" s="53">
        <f>Timeline!V4</f>
        <v/>
      </c>
      <c r="W4" s="53">
        <f>Timeline!W4</f>
        <v/>
      </c>
      <c r="X4" s="53">
        <f>Timeline!X4</f>
        <v/>
      </c>
      <c r="Y4" s="53">
        <f>Timeline!Y4</f>
        <v/>
      </c>
      <c r="Z4" s="53">
        <f>Timeline!Z4</f>
        <v/>
      </c>
      <c r="AA4" s="53">
        <f>Timeline!AA4</f>
        <v/>
      </c>
      <c r="AB4" s="53">
        <f>Timeline!AB4</f>
        <v/>
      </c>
      <c r="AC4" s="53">
        <f>Timeline!AC4</f>
        <v/>
      </c>
      <c r="AD4" s="53">
        <f>Timeline!AD4</f>
        <v/>
      </c>
      <c r="AE4" s="53">
        <f>Timeline!AE4</f>
        <v/>
      </c>
      <c r="AF4" s="53">
        <f>Timeline!AF4</f>
        <v/>
      </c>
      <c r="AG4" s="53">
        <f>Timeline!AG4</f>
        <v/>
      </c>
      <c r="AH4" s="53">
        <f>Timeline!AH4</f>
        <v/>
      </c>
      <c r="AI4" s="53">
        <f>Timeline!AI4</f>
        <v/>
      </c>
      <c r="AJ4" s="53">
        <f>Timeline!AJ4</f>
        <v/>
      </c>
      <c r="AK4" s="53">
        <f>Timeline!AK4</f>
        <v/>
      </c>
      <c r="AL4" s="53">
        <f>Timeline!AL4</f>
        <v/>
      </c>
      <c r="AM4" s="53">
        <f>Timeline!AM4</f>
        <v/>
      </c>
      <c r="AN4" s="53">
        <f>Timeline!AN4</f>
        <v/>
      </c>
      <c r="AO4" s="53">
        <f>Timeline!AO4</f>
        <v/>
      </c>
      <c r="AP4" s="53">
        <f>Timeline!AP4</f>
        <v/>
      </c>
      <c r="AQ4" s="53">
        <f>Timeline!AQ4</f>
        <v/>
      </c>
      <c r="AR4" s="53">
        <f>Timeline!AR4</f>
        <v/>
      </c>
      <c r="AS4" s="53">
        <f>Timeline!AS4</f>
        <v/>
      </c>
      <c r="AT4" s="53">
        <f>Timeline!AT4</f>
        <v/>
      </c>
      <c r="AU4" s="53">
        <f>Timeline!AU4</f>
        <v/>
      </c>
      <c r="AV4" s="53">
        <f>Timeline!AV4</f>
        <v/>
      </c>
      <c r="AW4" s="53">
        <f>Timeline!AW4</f>
        <v/>
      </c>
      <c r="AX4" s="53">
        <f>Timeline!AX4</f>
        <v/>
      </c>
      <c r="AY4" s="53">
        <f>Timeline!AY4</f>
        <v/>
      </c>
      <c r="AZ4" s="53">
        <f>Timeline!AZ4</f>
        <v/>
      </c>
      <c r="BA4" s="53">
        <f>Timeline!BA4</f>
        <v/>
      </c>
      <c r="BB4" s="53">
        <f>Timeline!BB4</f>
        <v/>
      </c>
      <c r="BC4" s="53">
        <f>Timeline!BC4</f>
        <v/>
      </c>
      <c r="BD4" s="53">
        <f>Timeline!BD4</f>
        <v/>
      </c>
      <c r="BE4" s="53">
        <f>Timeline!BE4</f>
        <v/>
      </c>
      <c r="BF4" s="53">
        <f>Timeline!BF4</f>
        <v/>
      </c>
      <c r="BG4" s="53">
        <f>Timeline!BG4</f>
        <v/>
      </c>
      <c r="BH4" s="53">
        <f>Timeline!BH4</f>
        <v/>
      </c>
      <c r="BI4" s="53">
        <f>Timeline!BI4</f>
        <v/>
      </c>
      <c r="BJ4" s="53">
        <f>Timeline!BJ4</f>
        <v/>
      </c>
      <c r="BK4" s="53">
        <f>Timeline!BK4</f>
        <v/>
      </c>
      <c r="BL4" s="53">
        <f>Timeline!BL4</f>
        <v/>
      </c>
    </row>
    <row r="5">
      <c r="A5" s="51" t="inlineStr">
        <is>
          <t>Period end</t>
        </is>
      </c>
      <c r="B5" s="52" t="n"/>
      <c r="C5" s="52" t="n"/>
      <c r="D5" s="51" t="n"/>
      <c r="E5" s="54">
        <f>Timeline!E5</f>
        <v/>
      </c>
      <c r="F5" s="54">
        <f>Timeline!F5</f>
        <v/>
      </c>
      <c r="G5" s="54">
        <f>Timeline!G5</f>
        <v/>
      </c>
      <c r="H5" s="54">
        <f>Timeline!H5</f>
        <v/>
      </c>
      <c r="I5" s="54">
        <f>Timeline!I5</f>
        <v/>
      </c>
      <c r="J5" s="54">
        <f>Timeline!J5</f>
        <v/>
      </c>
      <c r="K5" s="54">
        <f>Timeline!K5</f>
        <v/>
      </c>
      <c r="L5" s="54">
        <f>Timeline!L5</f>
        <v/>
      </c>
      <c r="M5" s="54">
        <f>Timeline!M5</f>
        <v/>
      </c>
      <c r="N5" s="54">
        <f>Timeline!N5</f>
        <v/>
      </c>
      <c r="O5" s="54">
        <f>Timeline!O5</f>
        <v/>
      </c>
      <c r="P5" s="54">
        <f>Timeline!P5</f>
        <v/>
      </c>
      <c r="Q5" s="54">
        <f>Timeline!Q5</f>
        <v/>
      </c>
      <c r="R5" s="54">
        <f>Timeline!R5</f>
        <v/>
      </c>
      <c r="S5" s="54">
        <f>Timeline!S5</f>
        <v/>
      </c>
      <c r="T5" s="54">
        <f>Timeline!T5</f>
        <v/>
      </c>
      <c r="U5" s="54">
        <f>Timeline!U5</f>
        <v/>
      </c>
      <c r="V5" s="54">
        <f>Timeline!V5</f>
        <v/>
      </c>
      <c r="W5" s="54">
        <f>Timeline!W5</f>
        <v/>
      </c>
      <c r="X5" s="54">
        <f>Timeline!X5</f>
        <v/>
      </c>
      <c r="Y5" s="54">
        <f>Timeline!Y5</f>
        <v/>
      </c>
      <c r="Z5" s="54">
        <f>Timeline!Z5</f>
        <v/>
      </c>
      <c r="AA5" s="54">
        <f>Timeline!AA5</f>
        <v/>
      </c>
      <c r="AB5" s="54">
        <f>Timeline!AB5</f>
        <v/>
      </c>
      <c r="AC5" s="54">
        <f>Timeline!AC5</f>
        <v/>
      </c>
      <c r="AD5" s="54">
        <f>Timeline!AD5</f>
        <v/>
      </c>
      <c r="AE5" s="54">
        <f>Timeline!AE5</f>
        <v/>
      </c>
      <c r="AF5" s="54">
        <f>Timeline!AF5</f>
        <v/>
      </c>
      <c r="AG5" s="54">
        <f>Timeline!AG5</f>
        <v/>
      </c>
      <c r="AH5" s="54">
        <f>Timeline!AH5</f>
        <v/>
      </c>
      <c r="AI5" s="54">
        <f>Timeline!AI5</f>
        <v/>
      </c>
      <c r="AJ5" s="54">
        <f>Timeline!AJ5</f>
        <v/>
      </c>
      <c r="AK5" s="54">
        <f>Timeline!AK5</f>
        <v/>
      </c>
      <c r="AL5" s="54">
        <f>Timeline!AL5</f>
        <v/>
      </c>
      <c r="AM5" s="54">
        <f>Timeline!AM5</f>
        <v/>
      </c>
      <c r="AN5" s="54">
        <f>Timeline!AN5</f>
        <v/>
      </c>
      <c r="AO5" s="54">
        <f>Timeline!AO5</f>
        <v/>
      </c>
      <c r="AP5" s="54">
        <f>Timeline!AP5</f>
        <v/>
      </c>
      <c r="AQ5" s="54">
        <f>Timeline!AQ5</f>
        <v/>
      </c>
      <c r="AR5" s="54">
        <f>Timeline!AR5</f>
        <v/>
      </c>
      <c r="AS5" s="54">
        <f>Timeline!AS5</f>
        <v/>
      </c>
      <c r="AT5" s="54">
        <f>Timeline!AT5</f>
        <v/>
      </c>
      <c r="AU5" s="54">
        <f>Timeline!AU5</f>
        <v/>
      </c>
      <c r="AV5" s="54">
        <f>Timeline!AV5</f>
        <v/>
      </c>
      <c r="AW5" s="54">
        <f>Timeline!AW5</f>
        <v/>
      </c>
      <c r="AX5" s="54">
        <f>Timeline!AX5</f>
        <v/>
      </c>
      <c r="AY5" s="54">
        <f>Timeline!AY5</f>
        <v/>
      </c>
      <c r="AZ5" s="54">
        <f>Timeline!AZ5</f>
        <v/>
      </c>
      <c r="BA5" s="54">
        <f>Timeline!BA5</f>
        <v/>
      </c>
      <c r="BB5" s="54">
        <f>Timeline!BB5</f>
        <v/>
      </c>
      <c r="BC5" s="54">
        <f>Timeline!BC5</f>
        <v/>
      </c>
      <c r="BD5" s="54">
        <f>Timeline!BD5</f>
        <v/>
      </c>
      <c r="BE5" s="54">
        <f>Timeline!BE5</f>
        <v/>
      </c>
      <c r="BF5" s="54">
        <f>Timeline!BF5</f>
        <v/>
      </c>
      <c r="BG5" s="54">
        <f>Timeline!BG5</f>
        <v/>
      </c>
      <c r="BH5" s="54">
        <f>Timeline!BH5</f>
        <v/>
      </c>
      <c r="BI5" s="54">
        <f>Timeline!BI5</f>
        <v/>
      </c>
      <c r="BJ5" s="54">
        <f>Timeline!BJ5</f>
        <v/>
      </c>
      <c r="BK5" s="54">
        <f>Timeline!BK5</f>
        <v/>
      </c>
      <c r="BL5" s="54">
        <f>Timeline!BL5</f>
        <v/>
      </c>
    </row>
    <row r="6">
      <c r="A6" s="51" t="inlineStr">
        <is>
          <t>Year #</t>
        </is>
      </c>
      <c r="B6" s="52" t="n"/>
      <c r="C6" s="52" t="n"/>
      <c r="D6" s="51" t="n"/>
      <c r="E6" s="53">
        <f>Timeline!E6</f>
        <v/>
      </c>
      <c r="F6" s="53">
        <f>Timeline!F6</f>
        <v/>
      </c>
      <c r="G6" s="53">
        <f>Timeline!G6</f>
        <v/>
      </c>
      <c r="H6" s="53">
        <f>Timeline!H6</f>
        <v/>
      </c>
      <c r="I6" s="53">
        <f>Timeline!I6</f>
        <v/>
      </c>
      <c r="J6" s="53">
        <f>Timeline!J6</f>
        <v/>
      </c>
      <c r="K6" s="53">
        <f>Timeline!K6</f>
        <v/>
      </c>
      <c r="L6" s="53">
        <f>Timeline!L6</f>
        <v/>
      </c>
      <c r="M6" s="53">
        <f>Timeline!M6</f>
        <v/>
      </c>
      <c r="N6" s="53">
        <f>Timeline!N6</f>
        <v/>
      </c>
      <c r="O6" s="53">
        <f>Timeline!O6</f>
        <v/>
      </c>
      <c r="P6" s="53">
        <f>Timeline!P6</f>
        <v/>
      </c>
      <c r="Q6" s="53">
        <f>Timeline!Q6</f>
        <v/>
      </c>
      <c r="R6" s="53">
        <f>Timeline!R6</f>
        <v/>
      </c>
      <c r="S6" s="53">
        <f>Timeline!S6</f>
        <v/>
      </c>
      <c r="T6" s="53">
        <f>Timeline!T6</f>
        <v/>
      </c>
      <c r="U6" s="53">
        <f>Timeline!U6</f>
        <v/>
      </c>
      <c r="V6" s="53">
        <f>Timeline!V6</f>
        <v/>
      </c>
      <c r="W6" s="53">
        <f>Timeline!W6</f>
        <v/>
      </c>
      <c r="X6" s="53">
        <f>Timeline!X6</f>
        <v/>
      </c>
      <c r="Y6" s="53">
        <f>Timeline!Y6</f>
        <v/>
      </c>
      <c r="Z6" s="53">
        <f>Timeline!Z6</f>
        <v/>
      </c>
      <c r="AA6" s="53">
        <f>Timeline!AA6</f>
        <v/>
      </c>
      <c r="AB6" s="53">
        <f>Timeline!AB6</f>
        <v/>
      </c>
      <c r="AC6" s="53">
        <f>Timeline!AC6</f>
        <v/>
      </c>
      <c r="AD6" s="53">
        <f>Timeline!AD6</f>
        <v/>
      </c>
      <c r="AE6" s="53">
        <f>Timeline!AE6</f>
        <v/>
      </c>
      <c r="AF6" s="53">
        <f>Timeline!AF6</f>
        <v/>
      </c>
      <c r="AG6" s="53">
        <f>Timeline!AG6</f>
        <v/>
      </c>
      <c r="AH6" s="53">
        <f>Timeline!AH6</f>
        <v/>
      </c>
      <c r="AI6" s="53">
        <f>Timeline!AI6</f>
        <v/>
      </c>
      <c r="AJ6" s="53">
        <f>Timeline!AJ6</f>
        <v/>
      </c>
      <c r="AK6" s="53">
        <f>Timeline!AK6</f>
        <v/>
      </c>
      <c r="AL6" s="53">
        <f>Timeline!AL6</f>
        <v/>
      </c>
      <c r="AM6" s="53">
        <f>Timeline!AM6</f>
        <v/>
      </c>
      <c r="AN6" s="53">
        <f>Timeline!AN6</f>
        <v/>
      </c>
      <c r="AO6" s="53">
        <f>Timeline!AO6</f>
        <v/>
      </c>
      <c r="AP6" s="53">
        <f>Timeline!AP6</f>
        <v/>
      </c>
      <c r="AQ6" s="53">
        <f>Timeline!AQ6</f>
        <v/>
      </c>
      <c r="AR6" s="53">
        <f>Timeline!AR6</f>
        <v/>
      </c>
      <c r="AS6" s="53">
        <f>Timeline!AS6</f>
        <v/>
      </c>
      <c r="AT6" s="53">
        <f>Timeline!AT6</f>
        <v/>
      </c>
      <c r="AU6" s="53">
        <f>Timeline!AU6</f>
        <v/>
      </c>
      <c r="AV6" s="53">
        <f>Timeline!AV6</f>
        <v/>
      </c>
      <c r="AW6" s="53">
        <f>Timeline!AW6</f>
        <v/>
      </c>
      <c r="AX6" s="53">
        <f>Timeline!AX6</f>
        <v/>
      </c>
      <c r="AY6" s="53">
        <f>Timeline!AY6</f>
        <v/>
      </c>
      <c r="AZ6" s="53">
        <f>Timeline!AZ6</f>
        <v/>
      </c>
      <c r="BA6" s="53">
        <f>Timeline!BA6</f>
        <v/>
      </c>
      <c r="BB6" s="53">
        <f>Timeline!BB6</f>
        <v/>
      </c>
      <c r="BC6" s="53">
        <f>Timeline!BC6</f>
        <v/>
      </c>
      <c r="BD6" s="53">
        <f>Timeline!BD6</f>
        <v/>
      </c>
      <c r="BE6" s="53">
        <f>Timeline!BE6</f>
        <v/>
      </c>
      <c r="BF6" s="53">
        <f>Timeline!BF6</f>
        <v/>
      </c>
      <c r="BG6" s="53">
        <f>Timeline!BG6</f>
        <v/>
      </c>
      <c r="BH6" s="53">
        <f>Timeline!BH6</f>
        <v/>
      </c>
      <c r="BI6" s="53">
        <f>Timeline!BI6</f>
        <v/>
      </c>
      <c r="BJ6" s="53">
        <f>Timeline!BJ6</f>
        <v/>
      </c>
      <c r="BK6" s="53">
        <f>Timeline!BK6</f>
        <v/>
      </c>
      <c r="BL6" s="53">
        <f>Timeline!BL6</f>
        <v/>
      </c>
    </row>
    <row r="7"/>
    <row r="8">
      <c r="A8" s="55" t="inlineStr">
        <is>
          <t>Trailing 3-month collection rate</t>
        </is>
      </c>
      <c r="B8" s="26" t="inlineStr"/>
      <c r="C8" s="56">
        <f>MIN(E8:BL8)</f>
        <v/>
      </c>
      <c r="E8" s="40">
        <f>IFERROR(SUM(Ops!E140:E140)/SUM(Ops!E139:E139),0)</f>
        <v/>
      </c>
      <c r="F8" s="40">
        <f>IFERROR(SUM(Ops!E140:F140)/SUM(Ops!E139:F139),0)</f>
        <v/>
      </c>
      <c r="G8" s="40">
        <f>IFERROR(SUM(Ops!E140:G140)/SUM(Ops!E139:G139),0)</f>
        <v/>
      </c>
      <c r="H8" s="40">
        <f>IFERROR(SUM(Ops!F140:H140)/SUM(Ops!F139:H139),0)</f>
        <v/>
      </c>
      <c r="I8" s="40">
        <f>IFERROR(SUM(Ops!G140:I140)/SUM(Ops!G139:I139),0)</f>
        <v/>
      </c>
      <c r="J8" s="40">
        <f>IFERROR(SUM(Ops!H140:J140)/SUM(Ops!H139:J139),0)</f>
        <v/>
      </c>
      <c r="K8" s="40">
        <f>IFERROR(SUM(Ops!I140:K140)/SUM(Ops!I139:K139),0)</f>
        <v/>
      </c>
      <c r="L8" s="40">
        <f>IFERROR(SUM(Ops!J140:L140)/SUM(Ops!J139:L139),0)</f>
        <v/>
      </c>
      <c r="M8" s="40">
        <f>IFERROR(SUM(Ops!K140:M140)/SUM(Ops!K139:M139),0)</f>
        <v/>
      </c>
      <c r="N8" s="40">
        <f>IFERROR(SUM(Ops!L140:N140)/SUM(Ops!L139:N139),0)</f>
        <v/>
      </c>
      <c r="O8" s="40">
        <f>IFERROR(SUM(Ops!M140:O140)/SUM(Ops!M139:O139),0)</f>
        <v/>
      </c>
      <c r="P8" s="40">
        <f>IFERROR(SUM(Ops!N140:P140)/SUM(Ops!N139:P139),0)</f>
        <v/>
      </c>
      <c r="Q8" s="40">
        <f>IFERROR(SUM(Ops!O140:Q140)/SUM(Ops!O139:Q139),0)</f>
        <v/>
      </c>
      <c r="R8" s="40">
        <f>IFERROR(SUM(Ops!P140:R140)/SUM(Ops!P139:R139),0)</f>
        <v/>
      </c>
      <c r="S8" s="40">
        <f>IFERROR(SUM(Ops!Q140:S140)/SUM(Ops!Q139:S139),0)</f>
        <v/>
      </c>
      <c r="T8" s="40">
        <f>IFERROR(SUM(Ops!R140:T140)/SUM(Ops!R139:T139),0)</f>
        <v/>
      </c>
      <c r="U8" s="40">
        <f>IFERROR(SUM(Ops!S140:U140)/SUM(Ops!S139:U139),0)</f>
        <v/>
      </c>
      <c r="V8" s="40">
        <f>IFERROR(SUM(Ops!T140:V140)/SUM(Ops!T139:V139),0)</f>
        <v/>
      </c>
      <c r="W8" s="40">
        <f>IFERROR(SUM(Ops!U140:W140)/SUM(Ops!U139:W139),0)</f>
        <v/>
      </c>
      <c r="X8" s="40">
        <f>IFERROR(SUM(Ops!V140:X140)/SUM(Ops!V139:X139),0)</f>
        <v/>
      </c>
      <c r="Y8" s="40">
        <f>IFERROR(SUM(Ops!W140:Y140)/SUM(Ops!W139:Y139),0)</f>
        <v/>
      </c>
      <c r="Z8" s="40">
        <f>IFERROR(SUM(Ops!X140:Z140)/SUM(Ops!X139:Z139),0)</f>
        <v/>
      </c>
      <c r="AA8" s="40">
        <f>IFERROR(SUM(Ops!Y140:AA140)/SUM(Ops!Y139:AA139),0)</f>
        <v/>
      </c>
      <c r="AB8" s="40">
        <f>IFERROR(SUM(Ops!Z140:AB140)/SUM(Ops!Z139:AB139),0)</f>
        <v/>
      </c>
      <c r="AC8" s="40">
        <f>IFERROR(SUM(Ops!AA140:AC140)/SUM(Ops!AA139:AC139),0)</f>
        <v/>
      </c>
      <c r="AD8" s="40">
        <f>IFERROR(SUM(Ops!AB140:AD140)/SUM(Ops!AB139:AD139),0)</f>
        <v/>
      </c>
      <c r="AE8" s="40">
        <f>IFERROR(SUM(Ops!AC140:AE140)/SUM(Ops!AC139:AE139),0)</f>
        <v/>
      </c>
      <c r="AF8" s="40">
        <f>IFERROR(SUM(Ops!AD140:AF140)/SUM(Ops!AD139:AF139),0)</f>
        <v/>
      </c>
      <c r="AG8" s="40">
        <f>IFERROR(SUM(Ops!AE140:AG140)/SUM(Ops!AE139:AG139),0)</f>
        <v/>
      </c>
      <c r="AH8" s="40">
        <f>IFERROR(SUM(Ops!AF140:AH140)/SUM(Ops!AF139:AH139),0)</f>
        <v/>
      </c>
      <c r="AI8" s="40">
        <f>IFERROR(SUM(Ops!AG140:AI140)/SUM(Ops!AG139:AI139),0)</f>
        <v/>
      </c>
      <c r="AJ8" s="40">
        <f>IFERROR(SUM(Ops!AH140:AJ140)/SUM(Ops!AH139:AJ139),0)</f>
        <v/>
      </c>
      <c r="AK8" s="40">
        <f>IFERROR(SUM(Ops!AI140:AK140)/SUM(Ops!AI139:AK139),0)</f>
        <v/>
      </c>
      <c r="AL8" s="40">
        <f>IFERROR(SUM(Ops!AJ140:AL140)/SUM(Ops!AJ139:AL139),0)</f>
        <v/>
      </c>
      <c r="AM8" s="40">
        <f>IFERROR(SUM(Ops!AK140:AM140)/SUM(Ops!AK139:AM139),0)</f>
        <v/>
      </c>
      <c r="AN8" s="40">
        <f>IFERROR(SUM(Ops!AL140:AN140)/SUM(Ops!AL139:AN139),0)</f>
        <v/>
      </c>
      <c r="AO8" s="40">
        <f>IFERROR(SUM(Ops!AM140:AO140)/SUM(Ops!AM139:AO139),0)</f>
        <v/>
      </c>
      <c r="AP8" s="40">
        <f>IFERROR(SUM(Ops!AN140:AP140)/SUM(Ops!AN139:AP139),0)</f>
        <v/>
      </c>
      <c r="AQ8" s="40">
        <f>IFERROR(SUM(Ops!AO140:AQ140)/SUM(Ops!AO139:AQ139),0)</f>
        <v/>
      </c>
      <c r="AR8" s="40">
        <f>IFERROR(SUM(Ops!AP140:AR140)/SUM(Ops!AP139:AR139),0)</f>
        <v/>
      </c>
      <c r="AS8" s="40">
        <f>IFERROR(SUM(Ops!AQ140:AS140)/SUM(Ops!AQ139:AS139),0)</f>
        <v/>
      </c>
      <c r="AT8" s="40">
        <f>IFERROR(SUM(Ops!AR140:AT140)/SUM(Ops!AR139:AT139),0)</f>
        <v/>
      </c>
      <c r="AU8" s="40">
        <f>IFERROR(SUM(Ops!AS140:AU140)/SUM(Ops!AS139:AU139),0)</f>
        <v/>
      </c>
      <c r="AV8" s="40">
        <f>IFERROR(SUM(Ops!AT140:AV140)/SUM(Ops!AT139:AV139),0)</f>
        <v/>
      </c>
      <c r="AW8" s="40">
        <f>IFERROR(SUM(Ops!AU140:AW140)/SUM(Ops!AU139:AW139),0)</f>
        <v/>
      </c>
      <c r="AX8" s="40">
        <f>IFERROR(SUM(Ops!AV140:AX140)/SUM(Ops!AV139:AX139),0)</f>
        <v/>
      </c>
      <c r="AY8" s="40">
        <f>IFERROR(SUM(Ops!AW140:AY140)/SUM(Ops!AW139:AY139),0)</f>
        <v/>
      </c>
      <c r="AZ8" s="40">
        <f>IFERROR(SUM(Ops!AX140:AZ140)/SUM(Ops!AX139:AZ139),0)</f>
        <v/>
      </c>
      <c r="BA8" s="40">
        <f>IFERROR(SUM(Ops!AY140:BA140)/SUM(Ops!AY139:BA139),0)</f>
        <v/>
      </c>
      <c r="BB8" s="40">
        <f>IFERROR(SUM(Ops!AZ140:BB140)/SUM(Ops!AZ139:BB139),0)</f>
        <v/>
      </c>
      <c r="BC8" s="40">
        <f>IFERROR(SUM(Ops!BA140:BC140)/SUM(Ops!BA139:BC139),0)</f>
        <v/>
      </c>
      <c r="BD8" s="40">
        <f>IFERROR(SUM(Ops!BB140:BD140)/SUM(Ops!BB139:BD139),0)</f>
        <v/>
      </c>
      <c r="BE8" s="40">
        <f>IFERROR(SUM(Ops!BC140:BE140)/SUM(Ops!BC139:BE139),0)</f>
        <v/>
      </c>
      <c r="BF8" s="40">
        <f>IFERROR(SUM(Ops!BD140:BF140)/SUM(Ops!BD139:BF139),0)</f>
        <v/>
      </c>
      <c r="BG8" s="40">
        <f>IFERROR(SUM(Ops!BE140:BG140)/SUM(Ops!BE139:BG139),0)</f>
        <v/>
      </c>
      <c r="BH8" s="40">
        <f>IFERROR(SUM(Ops!BF140:BH140)/SUM(Ops!BF139:BH139),0)</f>
        <v/>
      </c>
      <c r="BI8" s="40">
        <f>IFERROR(SUM(Ops!BG140:BI140)/SUM(Ops!BG139:BI139),0)</f>
        <v/>
      </c>
      <c r="BJ8" s="40">
        <f>IFERROR(SUM(Ops!BH140:BJ140)/SUM(Ops!BH139:BJ139),0)</f>
        <v/>
      </c>
      <c r="BK8" s="40">
        <f>IFERROR(SUM(Ops!BI140:BK140)/SUM(Ops!BI139:BK139),0)</f>
        <v/>
      </c>
      <c r="BL8" s="40">
        <f>IFERROR(SUM(Ops!BJ140:BL140)/SUM(Ops!BJ139:BL139),0)</f>
        <v/>
      </c>
    </row>
    <row r="9">
      <c r="A9" s="55" t="inlineStr">
        <is>
          <t>Breach: collection rate below minimum</t>
        </is>
      </c>
      <c r="B9" s="26" t="inlineStr"/>
      <c r="C9" s="57">
        <f>SUM(E9:BL9)</f>
        <v/>
      </c>
      <c r="E9" s="46">
        <f>IF(AND(Financing!E$23&gt;0,E8&lt;Inputs!$C$54),1,0)</f>
        <v/>
      </c>
      <c r="F9" s="46">
        <f>IF(AND(Financing!F$23&gt;0,F8&lt;Inputs!$C$54),1,0)</f>
        <v/>
      </c>
      <c r="G9" s="46">
        <f>IF(AND(Financing!G$23&gt;0,G8&lt;Inputs!$C$54),1,0)</f>
        <v/>
      </c>
      <c r="H9" s="46">
        <f>IF(AND(Financing!H$23&gt;0,H8&lt;Inputs!$C$54),1,0)</f>
        <v/>
      </c>
      <c r="I9" s="46">
        <f>IF(AND(Financing!I$23&gt;0,I8&lt;Inputs!$C$54),1,0)</f>
        <v/>
      </c>
      <c r="J9" s="46">
        <f>IF(AND(Financing!J$23&gt;0,J8&lt;Inputs!$C$54),1,0)</f>
        <v/>
      </c>
      <c r="K9" s="46">
        <f>IF(AND(Financing!K$23&gt;0,K8&lt;Inputs!$C$54),1,0)</f>
        <v/>
      </c>
      <c r="L9" s="46">
        <f>IF(AND(Financing!L$23&gt;0,L8&lt;Inputs!$C$54),1,0)</f>
        <v/>
      </c>
      <c r="M9" s="46">
        <f>IF(AND(Financing!M$23&gt;0,M8&lt;Inputs!$C$54),1,0)</f>
        <v/>
      </c>
      <c r="N9" s="46">
        <f>IF(AND(Financing!N$23&gt;0,N8&lt;Inputs!$C$54),1,0)</f>
        <v/>
      </c>
      <c r="O9" s="46">
        <f>IF(AND(Financing!O$23&gt;0,O8&lt;Inputs!$C$54),1,0)</f>
        <v/>
      </c>
      <c r="P9" s="46">
        <f>IF(AND(Financing!P$23&gt;0,P8&lt;Inputs!$C$54),1,0)</f>
        <v/>
      </c>
      <c r="Q9" s="46">
        <f>IF(AND(Financing!Q$23&gt;0,Q8&lt;Inputs!$C$54),1,0)</f>
        <v/>
      </c>
      <c r="R9" s="46">
        <f>IF(AND(Financing!R$23&gt;0,R8&lt;Inputs!$C$54),1,0)</f>
        <v/>
      </c>
      <c r="S9" s="46">
        <f>IF(AND(Financing!S$23&gt;0,S8&lt;Inputs!$C$54),1,0)</f>
        <v/>
      </c>
      <c r="T9" s="46">
        <f>IF(AND(Financing!T$23&gt;0,T8&lt;Inputs!$C$54),1,0)</f>
        <v/>
      </c>
      <c r="U9" s="46">
        <f>IF(AND(Financing!U$23&gt;0,U8&lt;Inputs!$C$54),1,0)</f>
        <v/>
      </c>
      <c r="V9" s="46">
        <f>IF(AND(Financing!V$23&gt;0,V8&lt;Inputs!$C$54),1,0)</f>
        <v/>
      </c>
      <c r="W9" s="46">
        <f>IF(AND(Financing!W$23&gt;0,W8&lt;Inputs!$C$54),1,0)</f>
        <v/>
      </c>
      <c r="X9" s="46">
        <f>IF(AND(Financing!X$23&gt;0,X8&lt;Inputs!$C$54),1,0)</f>
        <v/>
      </c>
      <c r="Y9" s="46">
        <f>IF(AND(Financing!Y$23&gt;0,Y8&lt;Inputs!$C$54),1,0)</f>
        <v/>
      </c>
      <c r="Z9" s="46">
        <f>IF(AND(Financing!Z$23&gt;0,Z8&lt;Inputs!$C$54),1,0)</f>
        <v/>
      </c>
      <c r="AA9" s="46">
        <f>IF(AND(Financing!AA$23&gt;0,AA8&lt;Inputs!$C$54),1,0)</f>
        <v/>
      </c>
      <c r="AB9" s="46">
        <f>IF(AND(Financing!AB$23&gt;0,AB8&lt;Inputs!$C$54),1,0)</f>
        <v/>
      </c>
      <c r="AC9" s="46">
        <f>IF(AND(Financing!AC$23&gt;0,AC8&lt;Inputs!$C$54),1,0)</f>
        <v/>
      </c>
      <c r="AD9" s="46">
        <f>IF(AND(Financing!AD$23&gt;0,AD8&lt;Inputs!$C$54),1,0)</f>
        <v/>
      </c>
      <c r="AE9" s="46">
        <f>IF(AND(Financing!AE$23&gt;0,AE8&lt;Inputs!$C$54),1,0)</f>
        <v/>
      </c>
      <c r="AF9" s="46">
        <f>IF(AND(Financing!AF$23&gt;0,AF8&lt;Inputs!$C$54),1,0)</f>
        <v/>
      </c>
      <c r="AG9" s="46">
        <f>IF(AND(Financing!AG$23&gt;0,AG8&lt;Inputs!$C$54),1,0)</f>
        <v/>
      </c>
      <c r="AH9" s="46">
        <f>IF(AND(Financing!AH$23&gt;0,AH8&lt;Inputs!$C$54),1,0)</f>
        <v/>
      </c>
      <c r="AI9" s="46">
        <f>IF(AND(Financing!AI$23&gt;0,AI8&lt;Inputs!$C$54),1,0)</f>
        <v/>
      </c>
      <c r="AJ9" s="46">
        <f>IF(AND(Financing!AJ$23&gt;0,AJ8&lt;Inputs!$C$54),1,0)</f>
        <v/>
      </c>
      <c r="AK9" s="46">
        <f>IF(AND(Financing!AK$23&gt;0,AK8&lt;Inputs!$C$54),1,0)</f>
        <v/>
      </c>
      <c r="AL9" s="46">
        <f>IF(AND(Financing!AL$23&gt;0,AL8&lt;Inputs!$C$54),1,0)</f>
        <v/>
      </c>
      <c r="AM9" s="46">
        <f>IF(AND(Financing!AM$23&gt;0,AM8&lt;Inputs!$C$54),1,0)</f>
        <v/>
      </c>
      <c r="AN9" s="46">
        <f>IF(AND(Financing!AN$23&gt;0,AN8&lt;Inputs!$C$54),1,0)</f>
        <v/>
      </c>
      <c r="AO9" s="46">
        <f>IF(AND(Financing!AO$23&gt;0,AO8&lt;Inputs!$C$54),1,0)</f>
        <v/>
      </c>
      <c r="AP9" s="46">
        <f>IF(AND(Financing!AP$23&gt;0,AP8&lt;Inputs!$C$54),1,0)</f>
        <v/>
      </c>
      <c r="AQ9" s="46">
        <f>IF(AND(Financing!AQ$23&gt;0,AQ8&lt;Inputs!$C$54),1,0)</f>
        <v/>
      </c>
      <c r="AR9" s="46">
        <f>IF(AND(Financing!AR$23&gt;0,AR8&lt;Inputs!$C$54),1,0)</f>
        <v/>
      </c>
      <c r="AS9" s="46">
        <f>IF(AND(Financing!AS$23&gt;0,AS8&lt;Inputs!$C$54),1,0)</f>
        <v/>
      </c>
      <c r="AT9" s="46">
        <f>IF(AND(Financing!AT$23&gt;0,AT8&lt;Inputs!$C$54),1,0)</f>
        <v/>
      </c>
      <c r="AU9" s="46">
        <f>IF(AND(Financing!AU$23&gt;0,AU8&lt;Inputs!$C$54),1,0)</f>
        <v/>
      </c>
      <c r="AV9" s="46">
        <f>IF(AND(Financing!AV$23&gt;0,AV8&lt;Inputs!$C$54),1,0)</f>
        <v/>
      </c>
      <c r="AW9" s="46">
        <f>IF(AND(Financing!AW$23&gt;0,AW8&lt;Inputs!$C$54),1,0)</f>
        <v/>
      </c>
      <c r="AX9" s="46">
        <f>IF(AND(Financing!AX$23&gt;0,AX8&lt;Inputs!$C$54),1,0)</f>
        <v/>
      </c>
      <c r="AY9" s="46">
        <f>IF(AND(Financing!AY$23&gt;0,AY8&lt;Inputs!$C$54),1,0)</f>
        <v/>
      </c>
      <c r="AZ9" s="46">
        <f>IF(AND(Financing!AZ$23&gt;0,AZ8&lt;Inputs!$C$54),1,0)</f>
        <v/>
      </c>
      <c r="BA9" s="46">
        <f>IF(AND(Financing!BA$23&gt;0,BA8&lt;Inputs!$C$54),1,0)</f>
        <v/>
      </c>
      <c r="BB9" s="46">
        <f>IF(AND(Financing!BB$23&gt;0,BB8&lt;Inputs!$C$54),1,0)</f>
        <v/>
      </c>
      <c r="BC9" s="46">
        <f>IF(AND(Financing!BC$23&gt;0,BC8&lt;Inputs!$C$54),1,0)</f>
        <v/>
      </c>
      <c r="BD9" s="46">
        <f>IF(AND(Financing!BD$23&gt;0,BD8&lt;Inputs!$C$54),1,0)</f>
        <v/>
      </c>
      <c r="BE9" s="46">
        <f>IF(AND(Financing!BE$23&gt;0,BE8&lt;Inputs!$C$54),1,0)</f>
        <v/>
      </c>
      <c r="BF9" s="46">
        <f>IF(AND(Financing!BF$23&gt;0,BF8&lt;Inputs!$C$54),1,0)</f>
        <v/>
      </c>
      <c r="BG9" s="46">
        <f>IF(AND(Financing!BG$23&gt;0,BG8&lt;Inputs!$C$54),1,0)</f>
        <v/>
      </c>
      <c r="BH9" s="46">
        <f>IF(AND(Financing!BH$23&gt;0,BH8&lt;Inputs!$C$54),1,0)</f>
        <v/>
      </c>
      <c r="BI9" s="46">
        <f>IF(AND(Financing!BI$23&gt;0,BI8&lt;Inputs!$C$54),1,0)</f>
        <v/>
      </c>
      <c r="BJ9" s="46">
        <f>IF(AND(Financing!BJ$23&gt;0,BJ8&lt;Inputs!$C$54),1,0)</f>
        <v/>
      </c>
      <c r="BK9" s="46">
        <f>IF(AND(Financing!BK$23&gt;0,BK8&lt;Inputs!$C$54),1,0)</f>
        <v/>
      </c>
      <c r="BL9" s="46">
        <f>IF(AND(Financing!BL$23&gt;0,BL8&lt;Inputs!$C$54),1,0)</f>
        <v/>
      </c>
    </row>
    <row r="10">
      <c r="A10" s="55" t="inlineStr">
        <is>
          <t>Receivables at risk / gross receivables</t>
        </is>
      </c>
      <c r="B10" s="26" t="inlineStr"/>
      <c r="C10" s="56">
        <f>MAX(E10:BL10)</f>
        <v/>
      </c>
      <c r="E10" s="40">
        <f>Ops!E$161</f>
        <v/>
      </c>
      <c r="F10" s="40">
        <f>Ops!F$161</f>
        <v/>
      </c>
      <c r="G10" s="40">
        <f>Ops!G$161</f>
        <v/>
      </c>
      <c r="H10" s="40">
        <f>Ops!H$161</f>
        <v/>
      </c>
      <c r="I10" s="40">
        <f>Ops!I$161</f>
        <v/>
      </c>
      <c r="J10" s="40">
        <f>Ops!J$161</f>
        <v/>
      </c>
      <c r="K10" s="40">
        <f>Ops!K$161</f>
        <v/>
      </c>
      <c r="L10" s="40">
        <f>Ops!L$161</f>
        <v/>
      </c>
      <c r="M10" s="40">
        <f>Ops!M$161</f>
        <v/>
      </c>
      <c r="N10" s="40">
        <f>Ops!N$161</f>
        <v/>
      </c>
      <c r="O10" s="40">
        <f>Ops!O$161</f>
        <v/>
      </c>
      <c r="P10" s="40">
        <f>Ops!P$161</f>
        <v/>
      </c>
      <c r="Q10" s="40">
        <f>Ops!Q$161</f>
        <v/>
      </c>
      <c r="R10" s="40">
        <f>Ops!R$161</f>
        <v/>
      </c>
      <c r="S10" s="40">
        <f>Ops!S$161</f>
        <v/>
      </c>
      <c r="T10" s="40">
        <f>Ops!T$161</f>
        <v/>
      </c>
      <c r="U10" s="40">
        <f>Ops!U$161</f>
        <v/>
      </c>
      <c r="V10" s="40">
        <f>Ops!V$161</f>
        <v/>
      </c>
      <c r="W10" s="40">
        <f>Ops!W$161</f>
        <v/>
      </c>
      <c r="X10" s="40">
        <f>Ops!X$161</f>
        <v/>
      </c>
      <c r="Y10" s="40">
        <f>Ops!Y$161</f>
        <v/>
      </c>
      <c r="Z10" s="40">
        <f>Ops!Z$161</f>
        <v/>
      </c>
      <c r="AA10" s="40">
        <f>Ops!AA$161</f>
        <v/>
      </c>
      <c r="AB10" s="40">
        <f>Ops!AB$161</f>
        <v/>
      </c>
      <c r="AC10" s="40">
        <f>Ops!AC$161</f>
        <v/>
      </c>
      <c r="AD10" s="40">
        <f>Ops!AD$161</f>
        <v/>
      </c>
      <c r="AE10" s="40">
        <f>Ops!AE$161</f>
        <v/>
      </c>
      <c r="AF10" s="40">
        <f>Ops!AF$161</f>
        <v/>
      </c>
      <c r="AG10" s="40">
        <f>Ops!AG$161</f>
        <v/>
      </c>
      <c r="AH10" s="40">
        <f>Ops!AH$161</f>
        <v/>
      </c>
      <c r="AI10" s="40">
        <f>Ops!AI$161</f>
        <v/>
      </c>
      <c r="AJ10" s="40">
        <f>Ops!AJ$161</f>
        <v/>
      </c>
      <c r="AK10" s="40">
        <f>Ops!AK$161</f>
        <v/>
      </c>
      <c r="AL10" s="40">
        <f>Ops!AL$161</f>
        <v/>
      </c>
      <c r="AM10" s="40">
        <f>Ops!AM$161</f>
        <v/>
      </c>
      <c r="AN10" s="40">
        <f>Ops!AN$161</f>
        <v/>
      </c>
      <c r="AO10" s="40">
        <f>Ops!AO$161</f>
        <v/>
      </c>
      <c r="AP10" s="40">
        <f>Ops!AP$161</f>
        <v/>
      </c>
      <c r="AQ10" s="40">
        <f>Ops!AQ$161</f>
        <v/>
      </c>
      <c r="AR10" s="40">
        <f>Ops!AR$161</f>
        <v/>
      </c>
      <c r="AS10" s="40">
        <f>Ops!AS$161</f>
        <v/>
      </c>
      <c r="AT10" s="40">
        <f>Ops!AT$161</f>
        <v/>
      </c>
      <c r="AU10" s="40">
        <f>Ops!AU$161</f>
        <v/>
      </c>
      <c r="AV10" s="40">
        <f>Ops!AV$161</f>
        <v/>
      </c>
      <c r="AW10" s="40">
        <f>Ops!AW$161</f>
        <v/>
      </c>
      <c r="AX10" s="40">
        <f>Ops!AX$161</f>
        <v/>
      </c>
      <c r="AY10" s="40">
        <f>Ops!AY$161</f>
        <v/>
      </c>
      <c r="AZ10" s="40">
        <f>Ops!AZ$161</f>
        <v/>
      </c>
      <c r="BA10" s="40">
        <f>Ops!BA$161</f>
        <v/>
      </c>
      <c r="BB10" s="40">
        <f>Ops!BB$161</f>
        <v/>
      </c>
      <c r="BC10" s="40">
        <f>Ops!BC$161</f>
        <v/>
      </c>
      <c r="BD10" s="40">
        <f>Ops!BD$161</f>
        <v/>
      </c>
      <c r="BE10" s="40">
        <f>Ops!BE$161</f>
        <v/>
      </c>
      <c r="BF10" s="40">
        <f>Ops!BF$161</f>
        <v/>
      </c>
      <c r="BG10" s="40">
        <f>Ops!BG$161</f>
        <v/>
      </c>
      <c r="BH10" s="40">
        <f>Ops!BH$161</f>
        <v/>
      </c>
      <c r="BI10" s="40">
        <f>Ops!BI$161</f>
        <v/>
      </c>
      <c r="BJ10" s="40">
        <f>Ops!BJ$161</f>
        <v/>
      </c>
      <c r="BK10" s="40">
        <f>Ops!BK$161</f>
        <v/>
      </c>
      <c r="BL10" s="40">
        <f>Ops!BL$161</f>
        <v/>
      </c>
    </row>
    <row r="11">
      <c r="A11" s="55" t="inlineStr">
        <is>
          <t>Breach: receivables at risk above maximum</t>
        </is>
      </c>
      <c r="B11" s="26" t="inlineStr"/>
      <c r="C11" s="57">
        <f>SUM(E11:BL11)</f>
        <v/>
      </c>
      <c r="E11" s="46">
        <f>IF(AND(Financing!E$23&gt;0,E10&gt;Inputs!$C$55),1,0)</f>
        <v/>
      </c>
      <c r="F11" s="46">
        <f>IF(AND(Financing!F$23&gt;0,F10&gt;Inputs!$C$55),1,0)</f>
        <v/>
      </c>
      <c r="G11" s="46">
        <f>IF(AND(Financing!G$23&gt;0,G10&gt;Inputs!$C$55),1,0)</f>
        <v/>
      </c>
      <c r="H11" s="46">
        <f>IF(AND(Financing!H$23&gt;0,H10&gt;Inputs!$C$55),1,0)</f>
        <v/>
      </c>
      <c r="I11" s="46">
        <f>IF(AND(Financing!I$23&gt;0,I10&gt;Inputs!$C$55),1,0)</f>
        <v/>
      </c>
      <c r="J11" s="46">
        <f>IF(AND(Financing!J$23&gt;0,J10&gt;Inputs!$C$55),1,0)</f>
        <v/>
      </c>
      <c r="K11" s="46">
        <f>IF(AND(Financing!K$23&gt;0,K10&gt;Inputs!$C$55),1,0)</f>
        <v/>
      </c>
      <c r="L11" s="46">
        <f>IF(AND(Financing!L$23&gt;0,L10&gt;Inputs!$C$55),1,0)</f>
        <v/>
      </c>
      <c r="M11" s="46">
        <f>IF(AND(Financing!M$23&gt;0,M10&gt;Inputs!$C$55),1,0)</f>
        <v/>
      </c>
      <c r="N11" s="46">
        <f>IF(AND(Financing!N$23&gt;0,N10&gt;Inputs!$C$55),1,0)</f>
        <v/>
      </c>
      <c r="O11" s="46">
        <f>IF(AND(Financing!O$23&gt;0,O10&gt;Inputs!$C$55),1,0)</f>
        <v/>
      </c>
      <c r="P11" s="46">
        <f>IF(AND(Financing!P$23&gt;0,P10&gt;Inputs!$C$55),1,0)</f>
        <v/>
      </c>
      <c r="Q11" s="46">
        <f>IF(AND(Financing!Q$23&gt;0,Q10&gt;Inputs!$C$55),1,0)</f>
        <v/>
      </c>
      <c r="R11" s="46">
        <f>IF(AND(Financing!R$23&gt;0,R10&gt;Inputs!$C$55),1,0)</f>
        <v/>
      </c>
      <c r="S11" s="46">
        <f>IF(AND(Financing!S$23&gt;0,S10&gt;Inputs!$C$55),1,0)</f>
        <v/>
      </c>
      <c r="T11" s="46">
        <f>IF(AND(Financing!T$23&gt;0,T10&gt;Inputs!$C$55),1,0)</f>
        <v/>
      </c>
      <c r="U11" s="46">
        <f>IF(AND(Financing!U$23&gt;0,U10&gt;Inputs!$C$55),1,0)</f>
        <v/>
      </c>
      <c r="V11" s="46">
        <f>IF(AND(Financing!V$23&gt;0,V10&gt;Inputs!$C$55),1,0)</f>
        <v/>
      </c>
      <c r="W11" s="46">
        <f>IF(AND(Financing!W$23&gt;0,W10&gt;Inputs!$C$55),1,0)</f>
        <v/>
      </c>
      <c r="X11" s="46">
        <f>IF(AND(Financing!X$23&gt;0,X10&gt;Inputs!$C$55),1,0)</f>
        <v/>
      </c>
      <c r="Y11" s="46">
        <f>IF(AND(Financing!Y$23&gt;0,Y10&gt;Inputs!$C$55),1,0)</f>
        <v/>
      </c>
      <c r="Z11" s="46">
        <f>IF(AND(Financing!Z$23&gt;0,Z10&gt;Inputs!$C$55),1,0)</f>
        <v/>
      </c>
      <c r="AA11" s="46">
        <f>IF(AND(Financing!AA$23&gt;0,AA10&gt;Inputs!$C$55),1,0)</f>
        <v/>
      </c>
      <c r="AB11" s="46">
        <f>IF(AND(Financing!AB$23&gt;0,AB10&gt;Inputs!$C$55),1,0)</f>
        <v/>
      </c>
      <c r="AC11" s="46">
        <f>IF(AND(Financing!AC$23&gt;0,AC10&gt;Inputs!$C$55),1,0)</f>
        <v/>
      </c>
      <c r="AD11" s="46">
        <f>IF(AND(Financing!AD$23&gt;0,AD10&gt;Inputs!$C$55),1,0)</f>
        <v/>
      </c>
      <c r="AE11" s="46">
        <f>IF(AND(Financing!AE$23&gt;0,AE10&gt;Inputs!$C$55),1,0)</f>
        <v/>
      </c>
      <c r="AF11" s="46">
        <f>IF(AND(Financing!AF$23&gt;0,AF10&gt;Inputs!$C$55),1,0)</f>
        <v/>
      </c>
      <c r="AG11" s="46">
        <f>IF(AND(Financing!AG$23&gt;0,AG10&gt;Inputs!$C$55),1,0)</f>
        <v/>
      </c>
      <c r="AH11" s="46">
        <f>IF(AND(Financing!AH$23&gt;0,AH10&gt;Inputs!$C$55),1,0)</f>
        <v/>
      </c>
      <c r="AI11" s="46">
        <f>IF(AND(Financing!AI$23&gt;0,AI10&gt;Inputs!$C$55),1,0)</f>
        <v/>
      </c>
      <c r="AJ11" s="46">
        <f>IF(AND(Financing!AJ$23&gt;0,AJ10&gt;Inputs!$C$55),1,0)</f>
        <v/>
      </c>
      <c r="AK11" s="46">
        <f>IF(AND(Financing!AK$23&gt;0,AK10&gt;Inputs!$C$55),1,0)</f>
        <v/>
      </c>
      <c r="AL11" s="46">
        <f>IF(AND(Financing!AL$23&gt;0,AL10&gt;Inputs!$C$55),1,0)</f>
        <v/>
      </c>
      <c r="AM11" s="46">
        <f>IF(AND(Financing!AM$23&gt;0,AM10&gt;Inputs!$C$55),1,0)</f>
        <v/>
      </c>
      <c r="AN11" s="46">
        <f>IF(AND(Financing!AN$23&gt;0,AN10&gt;Inputs!$C$55),1,0)</f>
        <v/>
      </c>
      <c r="AO11" s="46">
        <f>IF(AND(Financing!AO$23&gt;0,AO10&gt;Inputs!$C$55),1,0)</f>
        <v/>
      </c>
      <c r="AP11" s="46">
        <f>IF(AND(Financing!AP$23&gt;0,AP10&gt;Inputs!$C$55),1,0)</f>
        <v/>
      </c>
      <c r="AQ11" s="46">
        <f>IF(AND(Financing!AQ$23&gt;0,AQ10&gt;Inputs!$C$55),1,0)</f>
        <v/>
      </c>
      <c r="AR11" s="46">
        <f>IF(AND(Financing!AR$23&gt;0,AR10&gt;Inputs!$C$55),1,0)</f>
        <v/>
      </c>
      <c r="AS11" s="46">
        <f>IF(AND(Financing!AS$23&gt;0,AS10&gt;Inputs!$C$55),1,0)</f>
        <v/>
      </c>
      <c r="AT11" s="46">
        <f>IF(AND(Financing!AT$23&gt;0,AT10&gt;Inputs!$C$55),1,0)</f>
        <v/>
      </c>
      <c r="AU11" s="46">
        <f>IF(AND(Financing!AU$23&gt;0,AU10&gt;Inputs!$C$55),1,0)</f>
        <v/>
      </c>
      <c r="AV11" s="46">
        <f>IF(AND(Financing!AV$23&gt;0,AV10&gt;Inputs!$C$55),1,0)</f>
        <v/>
      </c>
      <c r="AW11" s="46">
        <f>IF(AND(Financing!AW$23&gt;0,AW10&gt;Inputs!$C$55),1,0)</f>
        <v/>
      </c>
      <c r="AX11" s="46">
        <f>IF(AND(Financing!AX$23&gt;0,AX10&gt;Inputs!$C$55),1,0)</f>
        <v/>
      </c>
      <c r="AY11" s="46">
        <f>IF(AND(Financing!AY$23&gt;0,AY10&gt;Inputs!$C$55),1,0)</f>
        <v/>
      </c>
      <c r="AZ11" s="46">
        <f>IF(AND(Financing!AZ$23&gt;0,AZ10&gt;Inputs!$C$55),1,0)</f>
        <v/>
      </c>
      <c r="BA11" s="46">
        <f>IF(AND(Financing!BA$23&gt;0,BA10&gt;Inputs!$C$55),1,0)</f>
        <v/>
      </c>
      <c r="BB11" s="46">
        <f>IF(AND(Financing!BB$23&gt;0,BB10&gt;Inputs!$C$55),1,0)</f>
        <v/>
      </c>
      <c r="BC11" s="46">
        <f>IF(AND(Financing!BC$23&gt;0,BC10&gt;Inputs!$C$55),1,0)</f>
        <v/>
      </c>
      <c r="BD11" s="46">
        <f>IF(AND(Financing!BD$23&gt;0,BD10&gt;Inputs!$C$55),1,0)</f>
        <v/>
      </c>
      <c r="BE11" s="46">
        <f>IF(AND(Financing!BE$23&gt;0,BE10&gt;Inputs!$C$55),1,0)</f>
        <v/>
      </c>
      <c r="BF11" s="46">
        <f>IF(AND(Financing!BF$23&gt;0,BF10&gt;Inputs!$C$55),1,0)</f>
        <v/>
      </c>
      <c r="BG11" s="46">
        <f>IF(AND(Financing!BG$23&gt;0,BG10&gt;Inputs!$C$55),1,0)</f>
        <v/>
      </c>
      <c r="BH11" s="46">
        <f>IF(AND(Financing!BH$23&gt;0,BH10&gt;Inputs!$C$55),1,0)</f>
        <v/>
      </c>
      <c r="BI11" s="46">
        <f>IF(AND(Financing!BI$23&gt;0,BI10&gt;Inputs!$C$55),1,0)</f>
        <v/>
      </c>
      <c r="BJ11" s="46">
        <f>IF(AND(Financing!BJ$23&gt;0,BJ10&gt;Inputs!$C$55),1,0)</f>
        <v/>
      </c>
      <c r="BK11" s="46">
        <f>IF(AND(Financing!BK$23&gt;0,BK10&gt;Inputs!$C$55),1,0)</f>
        <v/>
      </c>
      <c r="BL11" s="46">
        <f>IF(AND(Financing!BL$23&gt;0,BL10&gt;Inputs!$C$55),1,0)</f>
        <v/>
      </c>
    </row>
    <row r="12">
      <c r="A12" s="55" t="inlineStr">
        <is>
          <t>Total financial debt (LCY)</t>
        </is>
      </c>
      <c r="B12" s="26" t="inlineStr"/>
      <c r="C12" s="58">
        <f>MAX(E12:BL12)</f>
        <v/>
      </c>
      <c r="E12" s="39">
        <f>FS!E$39+FS!E$40</f>
        <v/>
      </c>
      <c r="F12" s="39">
        <f>FS!F$39+FS!F$40</f>
        <v/>
      </c>
      <c r="G12" s="39">
        <f>FS!G$39+FS!G$40</f>
        <v/>
      </c>
      <c r="H12" s="39">
        <f>FS!H$39+FS!H$40</f>
        <v/>
      </c>
      <c r="I12" s="39">
        <f>FS!I$39+FS!I$40</f>
        <v/>
      </c>
      <c r="J12" s="39">
        <f>FS!J$39+FS!J$40</f>
        <v/>
      </c>
      <c r="K12" s="39">
        <f>FS!K$39+FS!K$40</f>
        <v/>
      </c>
      <c r="L12" s="39">
        <f>FS!L$39+FS!L$40</f>
        <v/>
      </c>
      <c r="M12" s="39">
        <f>FS!M$39+FS!M$40</f>
        <v/>
      </c>
      <c r="N12" s="39">
        <f>FS!N$39+FS!N$40</f>
        <v/>
      </c>
      <c r="O12" s="39">
        <f>FS!O$39+FS!O$40</f>
        <v/>
      </c>
      <c r="P12" s="39">
        <f>FS!P$39+FS!P$40</f>
        <v/>
      </c>
      <c r="Q12" s="39">
        <f>FS!Q$39+FS!Q$40</f>
        <v/>
      </c>
      <c r="R12" s="39">
        <f>FS!R$39+FS!R$40</f>
        <v/>
      </c>
      <c r="S12" s="39">
        <f>FS!S$39+FS!S$40</f>
        <v/>
      </c>
      <c r="T12" s="39">
        <f>FS!T$39+FS!T$40</f>
        <v/>
      </c>
      <c r="U12" s="39">
        <f>FS!U$39+FS!U$40</f>
        <v/>
      </c>
      <c r="V12" s="39">
        <f>FS!V$39+FS!V$40</f>
        <v/>
      </c>
      <c r="W12" s="39">
        <f>FS!W$39+FS!W$40</f>
        <v/>
      </c>
      <c r="X12" s="39">
        <f>FS!X$39+FS!X$40</f>
        <v/>
      </c>
      <c r="Y12" s="39">
        <f>FS!Y$39+FS!Y$40</f>
        <v/>
      </c>
      <c r="Z12" s="39">
        <f>FS!Z$39+FS!Z$40</f>
        <v/>
      </c>
      <c r="AA12" s="39">
        <f>FS!AA$39+FS!AA$40</f>
        <v/>
      </c>
      <c r="AB12" s="39">
        <f>FS!AB$39+FS!AB$40</f>
        <v/>
      </c>
      <c r="AC12" s="39">
        <f>FS!AC$39+FS!AC$40</f>
        <v/>
      </c>
      <c r="AD12" s="39">
        <f>FS!AD$39+FS!AD$40</f>
        <v/>
      </c>
      <c r="AE12" s="39">
        <f>FS!AE$39+FS!AE$40</f>
        <v/>
      </c>
      <c r="AF12" s="39">
        <f>FS!AF$39+FS!AF$40</f>
        <v/>
      </c>
      <c r="AG12" s="39">
        <f>FS!AG$39+FS!AG$40</f>
        <v/>
      </c>
      <c r="AH12" s="39">
        <f>FS!AH$39+FS!AH$40</f>
        <v/>
      </c>
      <c r="AI12" s="39">
        <f>FS!AI$39+FS!AI$40</f>
        <v/>
      </c>
      <c r="AJ12" s="39">
        <f>FS!AJ$39+FS!AJ$40</f>
        <v/>
      </c>
      <c r="AK12" s="39">
        <f>FS!AK$39+FS!AK$40</f>
        <v/>
      </c>
      <c r="AL12" s="39">
        <f>FS!AL$39+FS!AL$40</f>
        <v/>
      </c>
      <c r="AM12" s="39">
        <f>FS!AM$39+FS!AM$40</f>
        <v/>
      </c>
      <c r="AN12" s="39">
        <f>FS!AN$39+FS!AN$40</f>
        <v/>
      </c>
      <c r="AO12" s="39">
        <f>FS!AO$39+FS!AO$40</f>
        <v/>
      </c>
      <c r="AP12" s="39">
        <f>FS!AP$39+FS!AP$40</f>
        <v/>
      </c>
      <c r="AQ12" s="39">
        <f>FS!AQ$39+FS!AQ$40</f>
        <v/>
      </c>
      <c r="AR12" s="39">
        <f>FS!AR$39+FS!AR$40</f>
        <v/>
      </c>
      <c r="AS12" s="39">
        <f>FS!AS$39+FS!AS$40</f>
        <v/>
      </c>
      <c r="AT12" s="39">
        <f>FS!AT$39+FS!AT$40</f>
        <v/>
      </c>
      <c r="AU12" s="39">
        <f>FS!AU$39+FS!AU$40</f>
        <v/>
      </c>
      <c r="AV12" s="39">
        <f>FS!AV$39+FS!AV$40</f>
        <v/>
      </c>
      <c r="AW12" s="39">
        <f>FS!AW$39+FS!AW$40</f>
        <v/>
      </c>
      <c r="AX12" s="39">
        <f>FS!AX$39+FS!AX$40</f>
        <v/>
      </c>
      <c r="AY12" s="39">
        <f>FS!AY$39+FS!AY$40</f>
        <v/>
      </c>
      <c r="AZ12" s="39">
        <f>FS!AZ$39+FS!AZ$40</f>
        <v/>
      </c>
      <c r="BA12" s="39">
        <f>FS!BA$39+FS!BA$40</f>
        <v/>
      </c>
      <c r="BB12" s="39">
        <f>FS!BB$39+FS!BB$40</f>
        <v/>
      </c>
      <c r="BC12" s="39">
        <f>FS!BC$39+FS!BC$40</f>
        <v/>
      </c>
      <c r="BD12" s="39">
        <f>FS!BD$39+FS!BD$40</f>
        <v/>
      </c>
      <c r="BE12" s="39">
        <f>FS!BE$39+FS!BE$40</f>
        <v/>
      </c>
      <c r="BF12" s="39">
        <f>FS!BF$39+FS!BF$40</f>
        <v/>
      </c>
      <c r="BG12" s="39">
        <f>FS!BG$39+FS!BG$40</f>
        <v/>
      </c>
      <c r="BH12" s="39">
        <f>FS!BH$39+FS!BH$40</f>
        <v/>
      </c>
      <c r="BI12" s="39">
        <f>FS!BI$39+FS!BI$40</f>
        <v/>
      </c>
      <c r="BJ12" s="39">
        <f>FS!BJ$39+FS!BJ$40</f>
        <v/>
      </c>
      <c r="BK12" s="39">
        <f>FS!BK$39+FS!BK$40</f>
        <v/>
      </c>
      <c r="BL12" s="39">
        <f>FS!BL$39+FS!BL$40</f>
        <v/>
      </c>
    </row>
    <row r="13">
      <c r="A13" s="55" t="inlineStr">
        <is>
          <t>Debt / book equity</t>
        </is>
      </c>
      <c r="B13" s="26" t="inlineStr"/>
      <c r="C13" s="59">
        <f>MAX(E13:BL13)</f>
        <v/>
      </c>
      <c r="E13" s="45">
        <f>IF(FS!E$44&lt;=0,99,E12/FS!E$44)</f>
        <v/>
      </c>
      <c r="F13" s="45">
        <f>IF(FS!F$44&lt;=0,99,F12/FS!F$44)</f>
        <v/>
      </c>
      <c r="G13" s="45">
        <f>IF(FS!G$44&lt;=0,99,G12/FS!G$44)</f>
        <v/>
      </c>
      <c r="H13" s="45">
        <f>IF(FS!H$44&lt;=0,99,H12/FS!H$44)</f>
        <v/>
      </c>
      <c r="I13" s="45">
        <f>IF(FS!I$44&lt;=0,99,I12/FS!I$44)</f>
        <v/>
      </c>
      <c r="J13" s="45">
        <f>IF(FS!J$44&lt;=0,99,J12/FS!J$44)</f>
        <v/>
      </c>
      <c r="K13" s="45">
        <f>IF(FS!K$44&lt;=0,99,K12/FS!K$44)</f>
        <v/>
      </c>
      <c r="L13" s="45">
        <f>IF(FS!L$44&lt;=0,99,L12/FS!L$44)</f>
        <v/>
      </c>
      <c r="M13" s="45">
        <f>IF(FS!M$44&lt;=0,99,M12/FS!M$44)</f>
        <v/>
      </c>
      <c r="N13" s="45">
        <f>IF(FS!N$44&lt;=0,99,N12/FS!N$44)</f>
        <v/>
      </c>
      <c r="O13" s="45">
        <f>IF(FS!O$44&lt;=0,99,O12/FS!O$44)</f>
        <v/>
      </c>
      <c r="P13" s="45">
        <f>IF(FS!P$44&lt;=0,99,P12/FS!P$44)</f>
        <v/>
      </c>
      <c r="Q13" s="45">
        <f>IF(FS!Q$44&lt;=0,99,Q12/FS!Q$44)</f>
        <v/>
      </c>
      <c r="R13" s="45">
        <f>IF(FS!R$44&lt;=0,99,R12/FS!R$44)</f>
        <v/>
      </c>
      <c r="S13" s="45">
        <f>IF(FS!S$44&lt;=0,99,S12/FS!S$44)</f>
        <v/>
      </c>
      <c r="T13" s="45">
        <f>IF(FS!T$44&lt;=0,99,T12/FS!T$44)</f>
        <v/>
      </c>
      <c r="U13" s="45">
        <f>IF(FS!U$44&lt;=0,99,U12/FS!U$44)</f>
        <v/>
      </c>
      <c r="V13" s="45">
        <f>IF(FS!V$44&lt;=0,99,V12/FS!V$44)</f>
        <v/>
      </c>
      <c r="W13" s="45">
        <f>IF(FS!W$44&lt;=0,99,W12/FS!W$44)</f>
        <v/>
      </c>
      <c r="X13" s="45">
        <f>IF(FS!X$44&lt;=0,99,X12/FS!X$44)</f>
        <v/>
      </c>
      <c r="Y13" s="45">
        <f>IF(FS!Y$44&lt;=0,99,Y12/FS!Y$44)</f>
        <v/>
      </c>
      <c r="Z13" s="45">
        <f>IF(FS!Z$44&lt;=0,99,Z12/FS!Z$44)</f>
        <v/>
      </c>
      <c r="AA13" s="45">
        <f>IF(FS!AA$44&lt;=0,99,AA12/FS!AA$44)</f>
        <v/>
      </c>
      <c r="AB13" s="45">
        <f>IF(FS!AB$44&lt;=0,99,AB12/FS!AB$44)</f>
        <v/>
      </c>
      <c r="AC13" s="45">
        <f>IF(FS!AC$44&lt;=0,99,AC12/FS!AC$44)</f>
        <v/>
      </c>
      <c r="AD13" s="45">
        <f>IF(FS!AD$44&lt;=0,99,AD12/FS!AD$44)</f>
        <v/>
      </c>
      <c r="AE13" s="45">
        <f>IF(FS!AE$44&lt;=0,99,AE12/FS!AE$44)</f>
        <v/>
      </c>
      <c r="AF13" s="45">
        <f>IF(FS!AF$44&lt;=0,99,AF12/FS!AF$44)</f>
        <v/>
      </c>
      <c r="AG13" s="45">
        <f>IF(FS!AG$44&lt;=0,99,AG12/FS!AG$44)</f>
        <v/>
      </c>
      <c r="AH13" s="45">
        <f>IF(FS!AH$44&lt;=0,99,AH12/FS!AH$44)</f>
        <v/>
      </c>
      <c r="AI13" s="45">
        <f>IF(FS!AI$44&lt;=0,99,AI12/FS!AI$44)</f>
        <v/>
      </c>
      <c r="AJ13" s="45">
        <f>IF(FS!AJ$44&lt;=0,99,AJ12/FS!AJ$44)</f>
        <v/>
      </c>
      <c r="AK13" s="45">
        <f>IF(FS!AK$44&lt;=0,99,AK12/FS!AK$44)</f>
        <v/>
      </c>
      <c r="AL13" s="45">
        <f>IF(FS!AL$44&lt;=0,99,AL12/FS!AL$44)</f>
        <v/>
      </c>
      <c r="AM13" s="45">
        <f>IF(FS!AM$44&lt;=0,99,AM12/FS!AM$44)</f>
        <v/>
      </c>
      <c r="AN13" s="45">
        <f>IF(FS!AN$44&lt;=0,99,AN12/FS!AN$44)</f>
        <v/>
      </c>
      <c r="AO13" s="45">
        <f>IF(FS!AO$44&lt;=0,99,AO12/FS!AO$44)</f>
        <v/>
      </c>
      <c r="AP13" s="45">
        <f>IF(FS!AP$44&lt;=0,99,AP12/FS!AP$44)</f>
        <v/>
      </c>
      <c r="AQ13" s="45">
        <f>IF(FS!AQ$44&lt;=0,99,AQ12/FS!AQ$44)</f>
        <v/>
      </c>
      <c r="AR13" s="45">
        <f>IF(FS!AR$44&lt;=0,99,AR12/FS!AR$44)</f>
        <v/>
      </c>
      <c r="AS13" s="45">
        <f>IF(FS!AS$44&lt;=0,99,AS12/FS!AS$44)</f>
        <v/>
      </c>
      <c r="AT13" s="45">
        <f>IF(FS!AT$44&lt;=0,99,AT12/FS!AT$44)</f>
        <v/>
      </c>
      <c r="AU13" s="45">
        <f>IF(FS!AU$44&lt;=0,99,AU12/FS!AU$44)</f>
        <v/>
      </c>
      <c r="AV13" s="45">
        <f>IF(FS!AV$44&lt;=0,99,AV12/FS!AV$44)</f>
        <v/>
      </c>
      <c r="AW13" s="45">
        <f>IF(FS!AW$44&lt;=0,99,AW12/FS!AW$44)</f>
        <v/>
      </c>
      <c r="AX13" s="45">
        <f>IF(FS!AX$44&lt;=0,99,AX12/FS!AX$44)</f>
        <v/>
      </c>
      <c r="AY13" s="45">
        <f>IF(FS!AY$44&lt;=0,99,AY12/FS!AY$44)</f>
        <v/>
      </c>
      <c r="AZ13" s="45">
        <f>IF(FS!AZ$44&lt;=0,99,AZ12/FS!AZ$44)</f>
        <v/>
      </c>
      <c r="BA13" s="45">
        <f>IF(FS!BA$44&lt;=0,99,BA12/FS!BA$44)</f>
        <v/>
      </c>
      <c r="BB13" s="45">
        <f>IF(FS!BB$44&lt;=0,99,BB12/FS!BB$44)</f>
        <v/>
      </c>
      <c r="BC13" s="45">
        <f>IF(FS!BC$44&lt;=0,99,BC12/FS!BC$44)</f>
        <v/>
      </c>
      <c r="BD13" s="45">
        <f>IF(FS!BD$44&lt;=0,99,BD12/FS!BD$44)</f>
        <v/>
      </c>
      <c r="BE13" s="45">
        <f>IF(FS!BE$44&lt;=0,99,BE12/FS!BE$44)</f>
        <v/>
      </c>
      <c r="BF13" s="45">
        <f>IF(FS!BF$44&lt;=0,99,BF12/FS!BF$44)</f>
        <v/>
      </c>
      <c r="BG13" s="45">
        <f>IF(FS!BG$44&lt;=0,99,BG12/FS!BG$44)</f>
        <v/>
      </c>
      <c r="BH13" s="45">
        <f>IF(FS!BH$44&lt;=0,99,BH12/FS!BH$44)</f>
        <v/>
      </c>
      <c r="BI13" s="45">
        <f>IF(FS!BI$44&lt;=0,99,BI12/FS!BI$44)</f>
        <v/>
      </c>
      <c r="BJ13" s="45">
        <f>IF(FS!BJ$44&lt;=0,99,BJ12/FS!BJ$44)</f>
        <v/>
      </c>
      <c r="BK13" s="45">
        <f>IF(FS!BK$44&lt;=0,99,BK12/FS!BK$44)</f>
        <v/>
      </c>
      <c r="BL13" s="45">
        <f>IF(FS!BL$44&lt;=0,99,BL12/FS!BL$44)</f>
        <v/>
      </c>
    </row>
    <row r="14">
      <c r="A14" s="55" t="inlineStr">
        <is>
          <t>Breach: leverage above maximum</t>
        </is>
      </c>
      <c r="B14" s="26" t="inlineStr"/>
      <c r="C14" s="57">
        <f>SUM(E14:BL14)</f>
        <v/>
      </c>
      <c r="E14" s="46">
        <f>IF(AND(E12&gt;0,E13&gt;Inputs!$C$56),1,0)</f>
        <v/>
      </c>
      <c r="F14" s="46">
        <f>IF(AND(F12&gt;0,F13&gt;Inputs!$C$56),1,0)</f>
        <v/>
      </c>
      <c r="G14" s="46">
        <f>IF(AND(G12&gt;0,G13&gt;Inputs!$C$56),1,0)</f>
        <v/>
      </c>
      <c r="H14" s="46">
        <f>IF(AND(H12&gt;0,H13&gt;Inputs!$C$56),1,0)</f>
        <v/>
      </c>
      <c r="I14" s="46">
        <f>IF(AND(I12&gt;0,I13&gt;Inputs!$C$56),1,0)</f>
        <v/>
      </c>
      <c r="J14" s="46">
        <f>IF(AND(J12&gt;0,J13&gt;Inputs!$C$56),1,0)</f>
        <v/>
      </c>
      <c r="K14" s="46">
        <f>IF(AND(K12&gt;0,K13&gt;Inputs!$C$56),1,0)</f>
        <v/>
      </c>
      <c r="L14" s="46">
        <f>IF(AND(L12&gt;0,L13&gt;Inputs!$C$56),1,0)</f>
        <v/>
      </c>
      <c r="M14" s="46">
        <f>IF(AND(M12&gt;0,M13&gt;Inputs!$C$56),1,0)</f>
        <v/>
      </c>
      <c r="N14" s="46">
        <f>IF(AND(N12&gt;0,N13&gt;Inputs!$C$56),1,0)</f>
        <v/>
      </c>
      <c r="O14" s="46">
        <f>IF(AND(O12&gt;0,O13&gt;Inputs!$C$56),1,0)</f>
        <v/>
      </c>
      <c r="P14" s="46">
        <f>IF(AND(P12&gt;0,P13&gt;Inputs!$C$56),1,0)</f>
        <v/>
      </c>
      <c r="Q14" s="46">
        <f>IF(AND(Q12&gt;0,Q13&gt;Inputs!$C$56),1,0)</f>
        <v/>
      </c>
      <c r="R14" s="46">
        <f>IF(AND(R12&gt;0,R13&gt;Inputs!$C$56),1,0)</f>
        <v/>
      </c>
      <c r="S14" s="46">
        <f>IF(AND(S12&gt;0,S13&gt;Inputs!$C$56),1,0)</f>
        <v/>
      </c>
      <c r="T14" s="46">
        <f>IF(AND(T12&gt;0,T13&gt;Inputs!$C$56),1,0)</f>
        <v/>
      </c>
      <c r="U14" s="46">
        <f>IF(AND(U12&gt;0,U13&gt;Inputs!$C$56),1,0)</f>
        <v/>
      </c>
      <c r="V14" s="46">
        <f>IF(AND(V12&gt;0,V13&gt;Inputs!$C$56),1,0)</f>
        <v/>
      </c>
      <c r="W14" s="46">
        <f>IF(AND(W12&gt;0,W13&gt;Inputs!$C$56),1,0)</f>
        <v/>
      </c>
      <c r="X14" s="46">
        <f>IF(AND(X12&gt;0,X13&gt;Inputs!$C$56),1,0)</f>
        <v/>
      </c>
      <c r="Y14" s="46">
        <f>IF(AND(Y12&gt;0,Y13&gt;Inputs!$C$56),1,0)</f>
        <v/>
      </c>
      <c r="Z14" s="46">
        <f>IF(AND(Z12&gt;0,Z13&gt;Inputs!$C$56),1,0)</f>
        <v/>
      </c>
      <c r="AA14" s="46">
        <f>IF(AND(AA12&gt;0,AA13&gt;Inputs!$C$56),1,0)</f>
        <v/>
      </c>
      <c r="AB14" s="46">
        <f>IF(AND(AB12&gt;0,AB13&gt;Inputs!$C$56),1,0)</f>
        <v/>
      </c>
      <c r="AC14" s="46">
        <f>IF(AND(AC12&gt;0,AC13&gt;Inputs!$C$56),1,0)</f>
        <v/>
      </c>
      <c r="AD14" s="46">
        <f>IF(AND(AD12&gt;0,AD13&gt;Inputs!$C$56),1,0)</f>
        <v/>
      </c>
      <c r="AE14" s="46">
        <f>IF(AND(AE12&gt;0,AE13&gt;Inputs!$C$56),1,0)</f>
        <v/>
      </c>
      <c r="AF14" s="46">
        <f>IF(AND(AF12&gt;0,AF13&gt;Inputs!$C$56),1,0)</f>
        <v/>
      </c>
      <c r="AG14" s="46">
        <f>IF(AND(AG12&gt;0,AG13&gt;Inputs!$C$56),1,0)</f>
        <v/>
      </c>
      <c r="AH14" s="46">
        <f>IF(AND(AH12&gt;0,AH13&gt;Inputs!$C$56),1,0)</f>
        <v/>
      </c>
      <c r="AI14" s="46">
        <f>IF(AND(AI12&gt;0,AI13&gt;Inputs!$C$56),1,0)</f>
        <v/>
      </c>
      <c r="AJ14" s="46">
        <f>IF(AND(AJ12&gt;0,AJ13&gt;Inputs!$C$56),1,0)</f>
        <v/>
      </c>
      <c r="AK14" s="46">
        <f>IF(AND(AK12&gt;0,AK13&gt;Inputs!$C$56),1,0)</f>
        <v/>
      </c>
      <c r="AL14" s="46">
        <f>IF(AND(AL12&gt;0,AL13&gt;Inputs!$C$56),1,0)</f>
        <v/>
      </c>
      <c r="AM14" s="46">
        <f>IF(AND(AM12&gt;0,AM13&gt;Inputs!$C$56),1,0)</f>
        <v/>
      </c>
      <c r="AN14" s="46">
        <f>IF(AND(AN12&gt;0,AN13&gt;Inputs!$C$56),1,0)</f>
        <v/>
      </c>
      <c r="AO14" s="46">
        <f>IF(AND(AO12&gt;0,AO13&gt;Inputs!$C$56),1,0)</f>
        <v/>
      </c>
      <c r="AP14" s="46">
        <f>IF(AND(AP12&gt;0,AP13&gt;Inputs!$C$56),1,0)</f>
        <v/>
      </c>
      <c r="AQ14" s="46">
        <f>IF(AND(AQ12&gt;0,AQ13&gt;Inputs!$C$56),1,0)</f>
        <v/>
      </c>
      <c r="AR14" s="46">
        <f>IF(AND(AR12&gt;0,AR13&gt;Inputs!$C$56),1,0)</f>
        <v/>
      </c>
      <c r="AS14" s="46">
        <f>IF(AND(AS12&gt;0,AS13&gt;Inputs!$C$56),1,0)</f>
        <v/>
      </c>
      <c r="AT14" s="46">
        <f>IF(AND(AT12&gt;0,AT13&gt;Inputs!$C$56),1,0)</f>
        <v/>
      </c>
      <c r="AU14" s="46">
        <f>IF(AND(AU12&gt;0,AU13&gt;Inputs!$C$56),1,0)</f>
        <v/>
      </c>
      <c r="AV14" s="46">
        <f>IF(AND(AV12&gt;0,AV13&gt;Inputs!$C$56),1,0)</f>
        <v/>
      </c>
      <c r="AW14" s="46">
        <f>IF(AND(AW12&gt;0,AW13&gt;Inputs!$C$56),1,0)</f>
        <v/>
      </c>
      <c r="AX14" s="46">
        <f>IF(AND(AX12&gt;0,AX13&gt;Inputs!$C$56),1,0)</f>
        <v/>
      </c>
      <c r="AY14" s="46">
        <f>IF(AND(AY12&gt;0,AY13&gt;Inputs!$C$56),1,0)</f>
        <v/>
      </c>
      <c r="AZ14" s="46">
        <f>IF(AND(AZ12&gt;0,AZ13&gt;Inputs!$C$56),1,0)</f>
        <v/>
      </c>
      <c r="BA14" s="46">
        <f>IF(AND(BA12&gt;0,BA13&gt;Inputs!$C$56),1,0)</f>
        <v/>
      </c>
      <c r="BB14" s="46">
        <f>IF(AND(BB12&gt;0,BB13&gt;Inputs!$C$56),1,0)</f>
        <v/>
      </c>
      <c r="BC14" s="46">
        <f>IF(AND(BC12&gt;0,BC13&gt;Inputs!$C$56),1,0)</f>
        <v/>
      </c>
      <c r="BD14" s="46">
        <f>IF(AND(BD12&gt;0,BD13&gt;Inputs!$C$56),1,0)</f>
        <v/>
      </c>
      <c r="BE14" s="46">
        <f>IF(AND(BE12&gt;0,BE13&gt;Inputs!$C$56),1,0)</f>
        <v/>
      </c>
      <c r="BF14" s="46">
        <f>IF(AND(BF12&gt;0,BF13&gt;Inputs!$C$56),1,0)</f>
        <v/>
      </c>
      <c r="BG14" s="46">
        <f>IF(AND(BG12&gt;0,BG13&gt;Inputs!$C$56),1,0)</f>
        <v/>
      </c>
      <c r="BH14" s="46">
        <f>IF(AND(BH12&gt;0,BH13&gt;Inputs!$C$56),1,0)</f>
        <v/>
      </c>
      <c r="BI14" s="46">
        <f>IF(AND(BI12&gt;0,BI13&gt;Inputs!$C$56),1,0)</f>
        <v/>
      </c>
      <c r="BJ14" s="46">
        <f>IF(AND(BJ12&gt;0,BJ13&gt;Inputs!$C$56),1,0)</f>
        <v/>
      </c>
      <c r="BK14" s="46">
        <f>IF(AND(BK12&gt;0,BK13&gt;Inputs!$C$56),1,0)</f>
        <v/>
      </c>
      <c r="BL14" s="46">
        <f>IF(AND(BL12&gt;0,BL13&gt;Inputs!$C$56),1,0)</f>
        <v/>
      </c>
    </row>
    <row r="15">
      <c r="A15" s="55" t="inlineStr">
        <is>
          <t>Cash before equity top-up (LCY)</t>
        </is>
      </c>
      <c r="B15" s="26" t="inlineStr"/>
      <c r="C15" s="58">
        <f>MIN(E15:BL15)</f>
        <v/>
      </c>
      <c r="E15" s="39">
        <f>FS!E$61</f>
        <v/>
      </c>
      <c r="F15" s="39">
        <f>FS!F$61</f>
        <v/>
      </c>
      <c r="G15" s="39">
        <f>FS!G$61</f>
        <v/>
      </c>
      <c r="H15" s="39">
        <f>FS!H$61</f>
        <v/>
      </c>
      <c r="I15" s="39">
        <f>FS!I$61</f>
        <v/>
      </c>
      <c r="J15" s="39">
        <f>FS!J$61</f>
        <v/>
      </c>
      <c r="K15" s="39">
        <f>FS!K$61</f>
        <v/>
      </c>
      <c r="L15" s="39">
        <f>FS!L$61</f>
        <v/>
      </c>
      <c r="M15" s="39">
        <f>FS!M$61</f>
        <v/>
      </c>
      <c r="N15" s="39">
        <f>FS!N$61</f>
        <v/>
      </c>
      <c r="O15" s="39">
        <f>FS!O$61</f>
        <v/>
      </c>
      <c r="P15" s="39">
        <f>FS!P$61</f>
        <v/>
      </c>
      <c r="Q15" s="39">
        <f>FS!Q$61</f>
        <v/>
      </c>
      <c r="R15" s="39">
        <f>FS!R$61</f>
        <v/>
      </c>
      <c r="S15" s="39">
        <f>FS!S$61</f>
        <v/>
      </c>
      <c r="T15" s="39">
        <f>FS!T$61</f>
        <v/>
      </c>
      <c r="U15" s="39">
        <f>FS!U$61</f>
        <v/>
      </c>
      <c r="V15" s="39">
        <f>FS!V$61</f>
        <v/>
      </c>
      <c r="W15" s="39">
        <f>FS!W$61</f>
        <v/>
      </c>
      <c r="X15" s="39">
        <f>FS!X$61</f>
        <v/>
      </c>
      <c r="Y15" s="39">
        <f>FS!Y$61</f>
        <v/>
      </c>
      <c r="Z15" s="39">
        <f>FS!Z$61</f>
        <v/>
      </c>
      <c r="AA15" s="39">
        <f>FS!AA$61</f>
        <v/>
      </c>
      <c r="AB15" s="39">
        <f>FS!AB$61</f>
        <v/>
      </c>
      <c r="AC15" s="39">
        <f>FS!AC$61</f>
        <v/>
      </c>
      <c r="AD15" s="39">
        <f>FS!AD$61</f>
        <v/>
      </c>
      <c r="AE15" s="39">
        <f>FS!AE$61</f>
        <v/>
      </c>
      <c r="AF15" s="39">
        <f>FS!AF$61</f>
        <v/>
      </c>
      <c r="AG15" s="39">
        <f>FS!AG$61</f>
        <v/>
      </c>
      <c r="AH15" s="39">
        <f>FS!AH$61</f>
        <v/>
      </c>
      <c r="AI15" s="39">
        <f>FS!AI$61</f>
        <v/>
      </c>
      <c r="AJ15" s="39">
        <f>FS!AJ$61</f>
        <v/>
      </c>
      <c r="AK15" s="39">
        <f>FS!AK$61</f>
        <v/>
      </c>
      <c r="AL15" s="39">
        <f>FS!AL$61</f>
        <v/>
      </c>
      <c r="AM15" s="39">
        <f>FS!AM$61</f>
        <v/>
      </c>
      <c r="AN15" s="39">
        <f>FS!AN$61</f>
        <v/>
      </c>
      <c r="AO15" s="39">
        <f>FS!AO$61</f>
        <v/>
      </c>
      <c r="AP15" s="39">
        <f>FS!AP$61</f>
        <v/>
      </c>
      <c r="AQ15" s="39">
        <f>FS!AQ$61</f>
        <v/>
      </c>
      <c r="AR15" s="39">
        <f>FS!AR$61</f>
        <v/>
      </c>
      <c r="AS15" s="39">
        <f>FS!AS$61</f>
        <v/>
      </c>
      <c r="AT15" s="39">
        <f>FS!AT$61</f>
        <v/>
      </c>
      <c r="AU15" s="39">
        <f>FS!AU$61</f>
        <v/>
      </c>
      <c r="AV15" s="39">
        <f>FS!AV$61</f>
        <v/>
      </c>
      <c r="AW15" s="39">
        <f>FS!AW$61</f>
        <v/>
      </c>
      <c r="AX15" s="39">
        <f>FS!AX$61</f>
        <v/>
      </c>
      <c r="AY15" s="39">
        <f>FS!AY$61</f>
        <v/>
      </c>
      <c r="AZ15" s="39">
        <f>FS!AZ$61</f>
        <v/>
      </c>
      <c r="BA15" s="39">
        <f>FS!BA$61</f>
        <v/>
      </c>
      <c r="BB15" s="39">
        <f>FS!BB$61</f>
        <v/>
      </c>
      <c r="BC15" s="39">
        <f>FS!BC$61</f>
        <v/>
      </c>
      <c r="BD15" s="39">
        <f>FS!BD$61</f>
        <v/>
      </c>
      <c r="BE15" s="39">
        <f>FS!BE$61</f>
        <v/>
      </c>
      <c r="BF15" s="39">
        <f>FS!BF$61</f>
        <v/>
      </c>
      <c r="BG15" s="39">
        <f>FS!BG$61</f>
        <v/>
      </c>
      <c r="BH15" s="39">
        <f>FS!BH$61</f>
        <v/>
      </c>
      <c r="BI15" s="39">
        <f>FS!BI$61</f>
        <v/>
      </c>
      <c r="BJ15" s="39">
        <f>FS!BJ$61</f>
        <v/>
      </c>
      <c r="BK15" s="39">
        <f>FS!BK$61</f>
        <v/>
      </c>
      <c r="BL15" s="39">
        <f>FS!BL$61</f>
        <v/>
      </c>
    </row>
    <row r="16">
      <c r="A16" s="55" t="inlineStr">
        <is>
          <t>Breach: liquidity below minimum (before new equity)</t>
        </is>
      </c>
      <c r="B16" s="26" t="inlineStr"/>
      <c r="C16" s="57">
        <f>SUM(E16:BL16)</f>
        <v/>
      </c>
      <c r="E16" s="46">
        <f>IF(AND(E12&gt;0,E15&lt;Inputs!$C$58),1,0)</f>
        <v/>
      </c>
      <c r="F16" s="46">
        <f>IF(AND(F12&gt;0,F15&lt;Inputs!$C$58),1,0)</f>
        <v/>
      </c>
      <c r="G16" s="46">
        <f>IF(AND(G12&gt;0,G15&lt;Inputs!$C$58),1,0)</f>
        <v/>
      </c>
      <c r="H16" s="46">
        <f>IF(AND(H12&gt;0,H15&lt;Inputs!$C$58),1,0)</f>
        <v/>
      </c>
      <c r="I16" s="46">
        <f>IF(AND(I12&gt;0,I15&lt;Inputs!$C$58),1,0)</f>
        <v/>
      </c>
      <c r="J16" s="46">
        <f>IF(AND(J12&gt;0,J15&lt;Inputs!$C$58),1,0)</f>
        <v/>
      </c>
      <c r="K16" s="46">
        <f>IF(AND(K12&gt;0,K15&lt;Inputs!$C$58),1,0)</f>
        <v/>
      </c>
      <c r="L16" s="46">
        <f>IF(AND(L12&gt;0,L15&lt;Inputs!$C$58),1,0)</f>
        <v/>
      </c>
      <c r="M16" s="46">
        <f>IF(AND(M12&gt;0,M15&lt;Inputs!$C$58),1,0)</f>
        <v/>
      </c>
      <c r="N16" s="46">
        <f>IF(AND(N12&gt;0,N15&lt;Inputs!$C$58),1,0)</f>
        <v/>
      </c>
      <c r="O16" s="46">
        <f>IF(AND(O12&gt;0,O15&lt;Inputs!$C$58),1,0)</f>
        <v/>
      </c>
      <c r="P16" s="46">
        <f>IF(AND(P12&gt;0,P15&lt;Inputs!$C$58),1,0)</f>
        <v/>
      </c>
      <c r="Q16" s="46">
        <f>IF(AND(Q12&gt;0,Q15&lt;Inputs!$C$58),1,0)</f>
        <v/>
      </c>
      <c r="R16" s="46">
        <f>IF(AND(R12&gt;0,R15&lt;Inputs!$C$58),1,0)</f>
        <v/>
      </c>
      <c r="S16" s="46">
        <f>IF(AND(S12&gt;0,S15&lt;Inputs!$C$58),1,0)</f>
        <v/>
      </c>
      <c r="T16" s="46">
        <f>IF(AND(T12&gt;0,T15&lt;Inputs!$C$58),1,0)</f>
        <v/>
      </c>
      <c r="U16" s="46">
        <f>IF(AND(U12&gt;0,U15&lt;Inputs!$C$58),1,0)</f>
        <v/>
      </c>
      <c r="V16" s="46">
        <f>IF(AND(V12&gt;0,V15&lt;Inputs!$C$58),1,0)</f>
        <v/>
      </c>
      <c r="W16" s="46">
        <f>IF(AND(W12&gt;0,W15&lt;Inputs!$C$58),1,0)</f>
        <v/>
      </c>
      <c r="X16" s="46">
        <f>IF(AND(X12&gt;0,X15&lt;Inputs!$C$58),1,0)</f>
        <v/>
      </c>
      <c r="Y16" s="46">
        <f>IF(AND(Y12&gt;0,Y15&lt;Inputs!$C$58),1,0)</f>
        <v/>
      </c>
      <c r="Z16" s="46">
        <f>IF(AND(Z12&gt;0,Z15&lt;Inputs!$C$58),1,0)</f>
        <v/>
      </c>
      <c r="AA16" s="46">
        <f>IF(AND(AA12&gt;0,AA15&lt;Inputs!$C$58),1,0)</f>
        <v/>
      </c>
      <c r="AB16" s="46">
        <f>IF(AND(AB12&gt;0,AB15&lt;Inputs!$C$58),1,0)</f>
        <v/>
      </c>
      <c r="AC16" s="46">
        <f>IF(AND(AC12&gt;0,AC15&lt;Inputs!$C$58),1,0)</f>
        <v/>
      </c>
      <c r="AD16" s="46">
        <f>IF(AND(AD12&gt;0,AD15&lt;Inputs!$C$58),1,0)</f>
        <v/>
      </c>
      <c r="AE16" s="46">
        <f>IF(AND(AE12&gt;0,AE15&lt;Inputs!$C$58),1,0)</f>
        <v/>
      </c>
      <c r="AF16" s="46">
        <f>IF(AND(AF12&gt;0,AF15&lt;Inputs!$C$58),1,0)</f>
        <v/>
      </c>
      <c r="AG16" s="46">
        <f>IF(AND(AG12&gt;0,AG15&lt;Inputs!$C$58),1,0)</f>
        <v/>
      </c>
      <c r="AH16" s="46">
        <f>IF(AND(AH12&gt;0,AH15&lt;Inputs!$C$58),1,0)</f>
        <v/>
      </c>
      <c r="AI16" s="46">
        <f>IF(AND(AI12&gt;0,AI15&lt;Inputs!$C$58),1,0)</f>
        <v/>
      </c>
      <c r="AJ16" s="46">
        <f>IF(AND(AJ12&gt;0,AJ15&lt;Inputs!$C$58),1,0)</f>
        <v/>
      </c>
      <c r="AK16" s="46">
        <f>IF(AND(AK12&gt;0,AK15&lt;Inputs!$C$58),1,0)</f>
        <v/>
      </c>
      <c r="AL16" s="46">
        <f>IF(AND(AL12&gt;0,AL15&lt;Inputs!$C$58),1,0)</f>
        <v/>
      </c>
      <c r="AM16" s="46">
        <f>IF(AND(AM12&gt;0,AM15&lt;Inputs!$C$58),1,0)</f>
        <v/>
      </c>
      <c r="AN16" s="46">
        <f>IF(AND(AN12&gt;0,AN15&lt;Inputs!$C$58),1,0)</f>
        <v/>
      </c>
      <c r="AO16" s="46">
        <f>IF(AND(AO12&gt;0,AO15&lt;Inputs!$C$58),1,0)</f>
        <v/>
      </c>
      <c r="AP16" s="46">
        <f>IF(AND(AP12&gt;0,AP15&lt;Inputs!$C$58),1,0)</f>
        <v/>
      </c>
      <c r="AQ16" s="46">
        <f>IF(AND(AQ12&gt;0,AQ15&lt;Inputs!$C$58),1,0)</f>
        <v/>
      </c>
      <c r="AR16" s="46">
        <f>IF(AND(AR12&gt;0,AR15&lt;Inputs!$C$58),1,0)</f>
        <v/>
      </c>
      <c r="AS16" s="46">
        <f>IF(AND(AS12&gt;0,AS15&lt;Inputs!$C$58),1,0)</f>
        <v/>
      </c>
      <c r="AT16" s="46">
        <f>IF(AND(AT12&gt;0,AT15&lt;Inputs!$C$58),1,0)</f>
        <v/>
      </c>
      <c r="AU16" s="46">
        <f>IF(AND(AU12&gt;0,AU15&lt;Inputs!$C$58),1,0)</f>
        <v/>
      </c>
      <c r="AV16" s="46">
        <f>IF(AND(AV12&gt;0,AV15&lt;Inputs!$C$58),1,0)</f>
        <v/>
      </c>
      <c r="AW16" s="46">
        <f>IF(AND(AW12&gt;0,AW15&lt;Inputs!$C$58),1,0)</f>
        <v/>
      </c>
      <c r="AX16" s="46">
        <f>IF(AND(AX12&gt;0,AX15&lt;Inputs!$C$58),1,0)</f>
        <v/>
      </c>
      <c r="AY16" s="46">
        <f>IF(AND(AY12&gt;0,AY15&lt;Inputs!$C$58),1,0)</f>
        <v/>
      </c>
      <c r="AZ16" s="46">
        <f>IF(AND(AZ12&gt;0,AZ15&lt;Inputs!$C$58),1,0)</f>
        <v/>
      </c>
      <c r="BA16" s="46">
        <f>IF(AND(BA12&gt;0,BA15&lt;Inputs!$C$58),1,0)</f>
        <v/>
      </c>
      <c r="BB16" s="46">
        <f>IF(AND(BB12&gt;0,BB15&lt;Inputs!$C$58),1,0)</f>
        <v/>
      </c>
      <c r="BC16" s="46">
        <f>IF(AND(BC12&gt;0,BC15&lt;Inputs!$C$58),1,0)</f>
        <v/>
      </c>
      <c r="BD16" s="46">
        <f>IF(AND(BD12&gt;0,BD15&lt;Inputs!$C$58),1,0)</f>
        <v/>
      </c>
      <c r="BE16" s="46">
        <f>IF(AND(BE12&gt;0,BE15&lt;Inputs!$C$58),1,0)</f>
        <v/>
      </c>
      <c r="BF16" s="46">
        <f>IF(AND(BF12&gt;0,BF15&lt;Inputs!$C$58),1,0)</f>
        <v/>
      </c>
      <c r="BG16" s="46">
        <f>IF(AND(BG12&gt;0,BG15&lt;Inputs!$C$58),1,0)</f>
        <v/>
      </c>
      <c r="BH16" s="46">
        <f>IF(AND(BH12&gt;0,BH15&lt;Inputs!$C$58),1,0)</f>
        <v/>
      </c>
      <c r="BI16" s="46">
        <f>IF(AND(BI12&gt;0,BI15&lt;Inputs!$C$58),1,0)</f>
        <v/>
      </c>
      <c r="BJ16" s="46">
        <f>IF(AND(BJ12&gt;0,BJ15&lt;Inputs!$C$58),1,0)</f>
        <v/>
      </c>
      <c r="BK16" s="46">
        <f>IF(AND(BK12&gt;0,BK15&lt;Inputs!$C$58),1,0)</f>
        <v/>
      </c>
      <c r="BL16" s="46">
        <f>IF(AND(BL12&gt;0,BL15&lt;Inputs!$C$58),1,0)</f>
        <v/>
      </c>
    </row>
    <row r="17">
      <c r="A17" s="60" t="inlineStr">
        <is>
          <t>Any covenant breached in month</t>
        </is>
      </c>
      <c r="B17" s="61" t="inlineStr"/>
      <c r="C17" s="62">
        <f>SUM(E17:BL17)</f>
        <v/>
      </c>
      <c r="D17" s="63" t="n"/>
      <c r="E17" s="64">
        <f>MAX(E9,E11,E14,E16)</f>
        <v/>
      </c>
      <c r="F17" s="64">
        <f>MAX(F9,F11,F14,F16)</f>
        <v/>
      </c>
      <c r="G17" s="64">
        <f>MAX(G9,G11,G14,G16)</f>
        <v/>
      </c>
      <c r="H17" s="64">
        <f>MAX(H9,H11,H14,H16)</f>
        <v/>
      </c>
      <c r="I17" s="64">
        <f>MAX(I9,I11,I14,I16)</f>
        <v/>
      </c>
      <c r="J17" s="64">
        <f>MAX(J9,J11,J14,J16)</f>
        <v/>
      </c>
      <c r="K17" s="64">
        <f>MAX(K9,K11,K14,K16)</f>
        <v/>
      </c>
      <c r="L17" s="64">
        <f>MAX(L9,L11,L14,L16)</f>
        <v/>
      </c>
      <c r="M17" s="64">
        <f>MAX(M9,M11,M14,M16)</f>
        <v/>
      </c>
      <c r="N17" s="64">
        <f>MAX(N9,N11,N14,N16)</f>
        <v/>
      </c>
      <c r="O17" s="64">
        <f>MAX(O9,O11,O14,O16)</f>
        <v/>
      </c>
      <c r="P17" s="64">
        <f>MAX(P9,P11,P14,P16)</f>
        <v/>
      </c>
      <c r="Q17" s="64">
        <f>MAX(Q9,Q11,Q14,Q16)</f>
        <v/>
      </c>
      <c r="R17" s="64">
        <f>MAX(R9,R11,R14,R16)</f>
        <v/>
      </c>
      <c r="S17" s="64">
        <f>MAX(S9,S11,S14,S16)</f>
        <v/>
      </c>
      <c r="T17" s="64">
        <f>MAX(T9,T11,T14,T16)</f>
        <v/>
      </c>
      <c r="U17" s="64">
        <f>MAX(U9,U11,U14,U16)</f>
        <v/>
      </c>
      <c r="V17" s="64">
        <f>MAX(V9,V11,V14,V16)</f>
        <v/>
      </c>
      <c r="W17" s="64">
        <f>MAX(W9,W11,W14,W16)</f>
        <v/>
      </c>
      <c r="X17" s="64">
        <f>MAX(X9,X11,X14,X16)</f>
        <v/>
      </c>
      <c r="Y17" s="64">
        <f>MAX(Y9,Y11,Y14,Y16)</f>
        <v/>
      </c>
      <c r="Z17" s="64">
        <f>MAX(Z9,Z11,Z14,Z16)</f>
        <v/>
      </c>
      <c r="AA17" s="64">
        <f>MAX(AA9,AA11,AA14,AA16)</f>
        <v/>
      </c>
      <c r="AB17" s="64">
        <f>MAX(AB9,AB11,AB14,AB16)</f>
        <v/>
      </c>
      <c r="AC17" s="64">
        <f>MAX(AC9,AC11,AC14,AC16)</f>
        <v/>
      </c>
      <c r="AD17" s="64">
        <f>MAX(AD9,AD11,AD14,AD16)</f>
        <v/>
      </c>
      <c r="AE17" s="64">
        <f>MAX(AE9,AE11,AE14,AE16)</f>
        <v/>
      </c>
      <c r="AF17" s="64">
        <f>MAX(AF9,AF11,AF14,AF16)</f>
        <v/>
      </c>
      <c r="AG17" s="64">
        <f>MAX(AG9,AG11,AG14,AG16)</f>
        <v/>
      </c>
      <c r="AH17" s="64">
        <f>MAX(AH9,AH11,AH14,AH16)</f>
        <v/>
      </c>
      <c r="AI17" s="64">
        <f>MAX(AI9,AI11,AI14,AI16)</f>
        <v/>
      </c>
      <c r="AJ17" s="64">
        <f>MAX(AJ9,AJ11,AJ14,AJ16)</f>
        <v/>
      </c>
      <c r="AK17" s="64">
        <f>MAX(AK9,AK11,AK14,AK16)</f>
        <v/>
      </c>
      <c r="AL17" s="64">
        <f>MAX(AL9,AL11,AL14,AL16)</f>
        <v/>
      </c>
      <c r="AM17" s="64">
        <f>MAX(AM9,AM11,AM14,AM16)</f>
        <v/>
      </c>
      <c r="AN17" s="64">
        <f>MAX(AN9,AN11,AN14,AN16)</f>
        <v/>
      </c>
      <c r="AO17" s="64">
        <f>MAX(AO9,AO11,AO14,AO16)</f>
        <v/>
      </c>
      <c r="AP17" s="64">
        <f>MAX(AP9,AP11,AP14,AP16)</f>
        <v/>
      </c>
      <c r="AQ17" s="64">
        <f>MAX(AQ9,AQ11,AQ14,AQ16)</f>
        <v/>
      </c>
      <c r="AR17" s="64">
        <f>MAX(AR9,AR11,AR14,AR16)</f>
        <v/>
      </c>
      <c r="AS17" s="64">
        <f>MAX(AS9,AS11,AS14,AS16)</f>
        <v/>
      </c>
      <c r="AT17" s="64">
        <f>MAX(AT9,AT11,AT14,AT16)</f>
        <v/>
      </c>
      <c r="AU17" s="64">
        <f>MAX(AU9,AU11,AU14,AU16)</f>
        <v/>
      </c>
      <c r="AV17" s="64">
        <f>MAX(AV9,AV11,AV14,AV16)</f>
        <v/>
      </c>
      <c r="AW17" s="64">
        <f>MAX(AW9,AW11,AW14,AW16)</f>
        <v/>
      </c>
      <c r="AX17" s="64">
        <f>MAX(AX9,AX11,AX14,AX16)</f>
        <v/>
      </c>
      <c r="AY17" s="64">
        <f>MAX(AY9,AY11,AY14,AY16)</f>
        <v/>
      </c>
      <c r="AZ17" s="64">
        <f>MAX(AZ9,AZ11,AZ14,AZ16)</f>
        <v/>
      </c>
      <c r="BA17" s="64">
        <f>MAX(BA9,BA11,BA14,BA16)</f>
        <v/>
      </c>
      <c r="BB17" s="64">
        <f>MAX(BB9,BB11,BB14,BB16)</f>
        <v/>
      </c>
      <c r="BC17" s="64">
        <f>MAX(BC9,BC11,BC14,BC16)</f>
        <v/>
      </c>
      <c r="BD17" s="64">
        <f>MAX(BD9,BD11,BD14,BD16)</f>
        <v/>
      </c>
      <c r="BE17" s="64">
        <f>MAX(BE9,BE11,BE14,BE16)</f>
        <v/>
      </c>
      <c r="BF17" s="64">
        <f>MAX(BF9,BF11,BF14,BF16)</f>
        <v/>
      </c>
      <c r="BG17" s="64">
        <f>MAX(BG9,BG11,BG14,BG16)</f>
        <v/>
      </c>
      <c r="BH17" s="64">
        <f>MAX(BH9,BH11,BH14,BH16)</f>
        <v/>
      </c>
      <c r="BI17" s="64">
        <f>MAX(BI9,BI11,BI14,BI16)</f>
        <v/>
      </c>
      <c r="BJ17" s="64">
        <f>MAX(BJ9,BJ11,BJ14,BJ16)</f>
        <v/>
      </c>
      <c r="BK17" s="64">
        <f>MAX(BK9,BK11,BK14,BK16)</f>
        <v/>
      </c>
      <c r="BL17" s="64">
        <f>MAX(BL9,BL11,BL14,BL16)</f>
        <v/>
      </c>
    </row>
  </sheetData>
  <pageMargins left="0.75" right="0.75" top="1" bottom="1" header="0.5" footer="0.5"/>
  <pageSetup orientation="landscape" fitToHeight="0" fitToWidth="1"/>
</worksheet>
</file>

<file path=xl/worksheets/sheet10.xml><?xml version="1.0" encoding="utf-8"?>
<worksheet xmlns="http://schemas.openxmlformats.org/spreadsheetml/2006/main">
  <sheetPr>
    <tabColor rgb="0000B050"/>
    <outlinePr summaryBelow="1" summaryRight="1"/>
    <pageSetUpPr fitToPage="1"/>
  </sheetPr>
  <dimension ref="A1:G26"/>
  <sheetViews>
    <sheetView showGridLines="0" workbookViewId="0">
      <selection activeCell="A1" sqref="A1"/>
    </sheetView>
  </sheetViews>
  <sheetFormatPr baseColWidth="8" defaultRowHeight="15"/>
  <cols>
    <col width="62" customWidth="1" min="1" max="1"/>
    <col width="12" customWidth="1" min="2" max="2"/>
    <col width="18" customWidth="1" min="3" max="3"/>
    <col width="18" customWidth="1" min="4" max="4"/>
    <col width="18" customWidth="1" min="5" max="5"/>
    <col width="18" customWidth="1" min="6" max="6"/>
    <col width="18" customWidth="1" min="7" max="7"/>
  </cols>
  <sheetData>
    <row r="1">
      <c r="A1" s="1" t="inlineStr">
        <is>
          <t>Unit economics by tier (per unit, month-1 prices, active scenario)</t>
        </is>
      </c>
    </row>
    <row r="2">
      <c r="A2" s="2" t="inlineStr">
        <is>
          <t>Lifetime view of one PAYGo customer. Undiscounted unless stated.</t>
        </is>
      </c>
    </row>
    <row r="3"/>
    <row r="4">
      <c r="A4" s="16" t="inlineStr">
        <is>
          <t>Metric</t>
        </is>
      </c>
      <c r="B4" s="16" t="inlineStr">
        <is>
          <t>Unit</t>
        </is>
      </c>
      <c r="C4" s="16" t="inlineStr">
        <is>
          <t>Tier 1</t>
        </is>
      </c>
      <c r="D4" s="16" t="inlineStr">
        <is>
          <t>Tier 2</t>
        </is>
      </c>
      <c r="E4" s="16" t="inlineStr">
        <is>
          <t>Tier 3</t>
        </is>
      </c>
      <c r="F4" s="16" t="inlineStr">
        <is>
          <t>Tier 4</t>
        </is>
      </c>
      <c r="G4" s="16" t="inlineStr">
        <is>
          <t>Tier 5</t>
        </is>
      </c>
    </row>
    <row r="5">
      <c r="A5" s="4" t="inlineStr">
        <is>
          <t>Cash price</t>
        </is>
      </c>
      <c r="B5" s="26" t="inlineStr">
        <is>
          <t>LCY</t>
        </is>
      </c>
      <c r="C5" s="39">
        <f>Products!$C$13</f>
        <v/>
      </c>
      <c r="D5" s="39">
        <f>Products!$D$13</f>
        <v/>
      </c>
      <c r="E5" s="39">
        <f>Products!$E$13</f>
        <v/>
      </c>
      <c r="F5" s="39">
        <f>Products!$F$13</f>
        <v/>
      </c>
      <c r="G5" s="39">
        <f>Products!$G$13</f>
        <v/>
      </c>
    </row>
    <row r="6">
      <c r="A6" s="4" t="inlineStr">
        <is>
          <t>Total PAYGo contract value</t>
        </is>
      </c>
      <c r="B6" s="26" t="inlineStr">
        <is>
          <t>LCY</t>
        </is>
      </c>
      <c r="C6" s="39">
        <f>Products!$C$34</f>
        <v/>
      </c>
      <c r="D6" s="39">
        <f>Products!$D$34</f>
        <v/>
      </c>
      <c r="E6" s="39">
        <f>Products!$E$34</f>
        <v/>
      </c>
      <c r="F6" s="39">
        <f>Products!$F$34</f>
        <v/>
      </c>
      <c r="G6" s="39">
        <f>Products!$G$34</f>
        <v/>
      </c>
    </row>
    <row r="7">
      <c r="A7" s="4" t="inlineStr">
        <is>
          <t>Implied annual financing rate (nominal APR)</t>
        </is>
      </c>
      <c r="B7" s="26" t="inlineStr">
        <is>
          <t>%</t>
        </is>
      </c>
      <c r="C7" s="40">
        <f>Products!$C$39</f>
        <v/>
      </c>
      <c r="D7" s="40">
        <f>Products!$D$39</f>
        <v/>
      </c>
      <c r="E7" s="40">
        <f>Products!$E$39</f>
        <v/>
      </c>
      <c r="F7" s="40">
        <f>Products!$F$39</f>
        <v/>
      </c>
      <c r="G7" s="40">
        <f>Products!$G$39</f>
        <v/>
      </c>
    </row>
    <row r="8">
      <c r="A8" s="4" t="inlineStr">
        <is>
          <t>Down payment</t>
        </is>
      </c>
      <c r="B8" s="26" t="inlineStr">
        <is>
          <t>LCY</t>
        </is>
      </c>
      <c r="C8" s="39">
        <f>Products!$C$14</f>
        <v/>
      </c>
      <c r="D8" s="39">
        <f>Products!$D$14</f>
        <v/>
      </c>
      <c r="E8" s="39">
        <f>Products!$E$14</f>
        <v/>
      </c>
      <c r="F8" s="39">
        <f>Products!$F$14</f>
        <v/>
      </c>
      <c r="G8" s="39">
        <f>Products!$G$14</f>
        <v/>
      </c>
    </row>
    <row r="9">
      <c r="A9" s="4" t="inlineStr">
        <is>
          <t>Expected instalments collected</t>
        </is>
      </c>
      <c r="B9" s="26" t="inlineStr">
        <is>
          <t>LCY</t>
        </is>
      </c>
      <c r="C9" s="39">
        <f>Curves!$D$70</f>
        <v/>
      </c>
      <c r="D9" s="39">
        <f>Curves!$P$70</f>
        <v/>
      </c>
      <c r="E9" s="39">
        <f>Curves!$AB$70</f>
        <v/>
      </c>
      <c r="F9" s="39">
        <f>Curves!$AN$70</f>
        <v/>
      </c>
      <c r="G9" s="39">
        <f>Curves!$AZ$70</f>
        <v/>
      </c>
    </row>
    <row r="10">
      <c r="A10" s="4" t="inlineStr">
        <is>
          <t>Expected lifetime customer cash (down payment + instalments)</t>
        </is>
      </c>
      <c r="B10" s="26" t="inlineStr">
        <is>
          <t>LCY</t>
        </is>
      </c>
      <c r="C10" s="39">
        <f>C8+C9</f>
        <v/>
      </c>
      <c r="D10" s="39">
        <f>D8+D9</f>
        <v/>
      </c>
      <c r="E10" s="39">
        <f>E8+E9</f>
        <v/>
      </c>
      <c r="F10" s="39">
        <f>F8+F9</f>
        <v/>
      </c>
      <c r="G10" s="39">
        <f>G8+G9</f>
        <v/>
      </c>
    </row>
    <row r="11">
      <c r="A11" s="4" t="inlineStr">
        <is>
          <t>Expected loss rate (missed / scheduled instalments)</t>
        </is>
      </c>
      <c r="B11" s="26" t="inlineStr">
        <is>
          <t>%</t>
        </is>
      </c>
      <c r="C11" s="40">
        <f>IFERROR(Curves!$E$70/Curves!$C$70,0)</f>
        <v/>
      </c>
      <c r="D11" s="40">
        <f>IFERROR(Curves!$Q$70/Curves!$O$70,0)</f>
        <v/>
      </c>
      <c r="E11" s="40">
        <f>IFERROR(Curves!$AC$70/Curves!$AA$70,0)</f>
        <v/>
      </c>
      <c r="F11" s="40">
        <f>IFERROR(Curves!$AO$70/Curves!$AM$70,0)</f>
        <v/>
      </c>
      <c r="G11" s="40">
        <f>IFERROR(Curves!$BA$70/Curves!$AY$70,0)</f>
        <v/>
      </c>
    </row>
    <row r="12">
      <c r="A12" s="4" t="inlineStr">
        <is>
          <t>Lifetime collection rate (customer cash / contract value)</t>
        </is>
      </c>
      <c r="B12" s="26" t="inlineStr">
        <is>
          <t>%</t>
        </is>
      </c>
      <c r="C12" s="40">
        <f>IFERROR(C10/C6,0)</f>
        <v/>
      </c>
      <c r="D12" s="40">
        <f>IFERROR(D10/D6,0)</f>
        <v/>
      </c>
      <c r="E12" s="40">
        <f>IFERROR(E10/E6,0)</f>
        <v/>
      </c>
      <c r="F12" s="40">
        <f>IFERROR(F10/F6,0)</f>
        <v/>
      </c>
      <c r="G12" s="40">
        <f>IFERROR(G10/G6,0)</f>
        <v/>
      </c>
    </row>
    <row r="13">
      <c r="A13" s="4" t="inlineStr">
        <is>
          <t>Expected recoveries from repossession</t>
        </is>
      </c>
      <c r="B13" s="26" t="inlineStr">
        <is>
          <t>LCY</t>
        </is>
      </c>
      <c r="C13" s="39">
        <f>Curves!$I$70</f>
        <v/>
      </c>
      <c r="D13" s="39">
        <f>Curves!$U$70</f>
        <v/>
      </c>
      <c r="E13" s="39">
        <f>Curves!$AG$70</f>
        <v/>
      </c>
      <c r="F13" s="39">
        <f>Curves!$AS$70</f>
        <v/>
      </c>
      <c r="G13" s="39">
        <f>Curves!$BE$70</f>
        <v/>
      </c>
    </row>
    <row r="14">
      <c r="A14" s="4" t="inlineStr">
        <is>
          <t>RBF per unit (opening FX)</t>
        </is>
      </c>
      <c r="B14" s="26" t="inlineStr">
        <is>
          <t>LCY</t>
        </is>
      </c>
      <c r="C14" s="39">
        <f>Curves!$J$70</f>
        <v/>
      </c>
      <c r="D14" s="39">
        <f>Curves!$V$70</f>
        <v/>
      </c>
      <c r="E14" s="39">
        <f>Curves!$AH$70</f>
        <v/>
      </c>
      <c r="F14" s="39">
        <f>Curves!$AT$70</f>
        <v/>
      </c>
      <c r="G14" s="39">
        <f>Curves!$BF$70</f>
        <v/>
      </c>
    </row>
    <row r="15">
      <c r="A15" s="4" t="inlineStr">
        <is>
          <t>Landed hardware cost</t>
        </is>
      </c>
      <c r="B15" s="26" t="inlineStr">
        <is>
          <t>LCY</t>
        </is>
      </c>
      <c r="C15" s="39">
        <f>Products!$C$43</f>
        <v/>
      </c>
      <c r="D15" s="39">
        <f>Products!$D$43</f>
        <v/>
      </c>
      <c r="E15" s="39">
        <f>Products!$E$43</f>
        <v/>
      </c>
      <c r="F15" s="39">
        <f>Products!$F$43</f>
        <v/>
      </c>
      <c r="G15" s="39">
        <f>Products!$G$43</f>
        <v/>
      </c>
    </row>
    <row r="16">
      <c r="A16" s="4" t="inlineStr">
        <is>
          <t>Installation &amp; logistics</t>
        </is>
      </c>
      <c r="B16" s="26" t="inlineStr">
        <is>
          <t>LCY</t>
        </is>
      </c>
      <c r="C16" s="39">
        <f>Products!$C$19</f>
        <v/>
      </c>
      <c r="D16" s="39">
        <f>Products!$D$19</f>
        <v/>
      </c>
      <c r="E16" s="39">
        <f>Products!$E$19</f>
        <v/>
      </c>
      <c r="F16" s="39">
        <f>Products!$F$19</f>
        <v/>
      </c>
      <c r="G16" s="39">
        <f>Products!$G$19</f>
        <v/>
      </c>
    </row>
    <row r="17">
      <c r="A17" s="4" t="inlineStr">
        <is>
          <t>Warranty provision</t>
        </is>
      </c>
      <c r="B17" s="26" t="inlineStr">
        <is>
          <t>LCY</t>
        </is>
      </c>
      <c r="C17" s="39">
        <f>Products!$C$43*Products!$C$22</f>
        <v/>
      </c>
      <c r="D17" s="39">
        <f>Products!$D$43*Products!$D$22</f>
        <v/>
      </c>
      <c r="E17" s="39">
        <f>Products!$E$43*Products!$E$22</f>
        <v/>
      </c>
      <c r="F17" s="39">
        <f>Products!$F$43*Products!$F$22</f>
        <v/>
      </c>
      <c r="G17" s="39">
        <f>Products!$G$43*Products!$G$22</f>
        <v/>
      </c>
    </row>
    <row r="18">
      <c r="A18" s="4" t="inlineStr">
        <is>
          <t>Customer acquisition cost (CAC)</t>
        </is>
      </c>
      <c r="B18" s="26" t="inlineStr">
        <is>
          <t>LCY</t>
        </is>
      </c>
      <c r="C18" s="39">
        <f>Products!$C$44</f>
        <v/>
      </c>
      <c r="D18" s="39">
        <f>Products!$D$44</f>
        <v/>
      </c>
      <c r="E18" s="39">
        <f>Products!$E$44</f>
        <v/>
      </c>
      <c r="F18" s="39">
        <f>Products!$F$44</f>
        <v/>
      </c>
      <c r="G18" s="39">
        <f>Products!$G$44</f>
        <v/>
      </c>
    </row>
    <row r="19">
      <c r="A19" s="4" t="inlineStr">
        <is>
          <t>Payment fees + servicing over life</t>
        </is>
      </c>
      <c r="B19" s="26" t="inlineStr">
        <is>
          <t>LCY</t>
        </is>
      </c>
      <c r="C19" s="39">
        <f>C10*Inputs!$C$24+Inputs!$C$25*(SUM(Curves!$G$8:$G$68)-1)</f>
        <v/>
      </c>
      <c r="D19" s="39">
        <f>D10*Inputs!$C$24+Inputs!$C$25*(SUM(Curves!$S$8:$S$68)-1)</f>
        <v/>
      </c>
      <c r="E19" s="39">
        <f>E10*Inputs!$C$24+Inputs!$C$25*(SUM(Curves!$AE$8:$AE$68)-1)</f>
        <v/>
      </c>
      <c r="F19" s="39">
        <f>F10*Inputs!$C$24+Inputs!$C$25*(SUM(Curves!$AQ$8:$AQ$68)-1)</f>
        <v/>
      </c>
      <c r="G19" s="39">
        <f>G10*Inputs!$C$24+Inputs!$C$25*(SUM(Curves!$BC$8:$BC$68)-1)</f>
        <v/>
      </c>
    </row>
    <row r="20">
      <c r="A20" s="3" t="inlineStr">
        <is>
          <t>Lifetime contribution per unit</t>
        </is>
      </c>
      <c r="B20" s="26" t="inlineStr">
        <is>
          <t>LCY</t>
        </is>
      </c>
      <c r="C20" s="48">
        <f>C10+C13+C14-C15-C16-C17-C18-C19</f>
        <v/>
      </c>
      <c r="D20" s="48">
        <f>D10+D13+D14-D15-D16-D17-D18-D19</f>
        <v/>
      </c>
      <c r="E20" s="48">
        <f>E10+E13+E14-E15-E16-E17-E18-E19</f>
        <v/>
      </c>
      <c r="F20" s="48">
        <f>F10+F13+F14-F15-F16-F17-F18-F19</f>
        <v/>
      </c>
      <c r="G20" s="48">
        <f>G10+G13+G14-G15-G16-G17-G18-G19</f>
        <v/>
      </c>
    </row>
    <row r="21">
      <c r="A21" s="3" t="inlineStr">
        <is>
          <t>LTV / CAC (contribution before CAC / CAC)</t>
        </is>
      </c>
      <c r="B21" s="26" t="inlineStr">
        <is>
          <t>x</t>
        </is>
      </c>
      <c r="C21" s="50">
        <f>IFERROR((C20+C18)/C18,0)</f>
        <v/>
      </c>
      <c r="D21" s="50">
        <f>IFERROR((D20+D18)/D18,0)</f>
        <v/>
      </c>
      <c r="E21" s="50">
        <f>IFERROR((E20+E18)/E18,0)</f>
        <v/>
      </c>
      <c r="F21" s="50">
        <f>IFERROR((F20+F18)/F18,0)</f>
        <v/>
      </c>
      <c r="G21" s="50">
        <f>IFERROR((G20+G18)/G18,0)</f>
        <v/>
      </c>
    </row>
    <row r="22">
      <c r="A22" s="4" t="inlineStr">
        <is>
          <t>Cash payback (months after sale)</t>
        </is>
      </c>
      <c r="B22" s="26" t="inlineStr">
        <is>
          <t>months</t>
        </is>
      </c>
      <c r="C22" s="46">
        <f>IF(COUNTIF(Curves!$L$8:$L$68,"&lt;0")&gt;60,"Not paid back",COUNTIF(Curves!$L$8:$L$68,"&lt;0"))</f>
        <v/>
      </c>
      <c r="D22" s="46">
        <f>IF(COUNTIF(Curves!$X$8:$X$68,"&lt;0")&gt;60,"Not paid back",COUNTIF(Curves!$X$8:$X$68,"&lt;0"))</f>
        <v/>
      </c>
      <c r="E22" s="46">
        <f>IF(COUNTIF(Curves!$AJ$8:$AJ$68,"&lt;0")&gt;60,"Not paid back",COUNTIF(Curves!$AJ$8:$AJ$68,"&lt;0"))</f>
        <v/>
      </c>
      <c r="F22" s="46">
        <f>IF(COUNTIF(Curves!$AV$8:$AV$68,"&lt;0")&gt;60,"Not paid back",COUNTIF(Curves!$AV$8:$AV$68,"&lt;0"))</f>
        <v/>
      </c>
      <c r="G22" s="46">
        <f>IF(COUNTIF(Curves!$BH$8:$BH$68,"&lt;0")&gt;60,"Not paid back",COUNTIF(Curves!$BH$8:$BH$68,"&lt;0"))</f>
        <v/>
      </c>
    </row>
    <row r="23">
      <c r="A23" s="3" t="inlineStr">
        <is>
          <t>Unit IRR (annualised, unlevered)</t>
        </is>
      </c>
      <c r="B23" s="26" t="inlineStr">
        <is>
          <t>%</t>
        </is>
      </c>
      <c r="C23" s="42">
        <f>IFERROR((1+IRR(Curves!$K$8:$K$68,0.02))^12-1,"n/a")</f>
        <v/>
      </c>
      <c r="D23" s="42">
        <f>IFERROR((1+IRR(Curves!$W$8:$W$68,0.02))^12-1,"n/a")</f>
        <v/>
      </c>
      <c r="E23" s="42">
        <f>IFERROR((1+IRR(Curves!$AI$8:$AI$68,0.02))^12-1,"n/a")</f>
        <v/>
      </c>
      <c r="F23" s="42">
        <f>IFERROR((1+IRR(Curves!$AU$8:$AU$68,0.02))^12-1,"n/a")</f>
        <v/>
      </c>
      <c r="G23" s="42">
        <f>IFERROR((1+IRR(Curves!$BG$8:$BG$68,0.02))^12-1,"n/a")</f>
        <v/>
      </c>
    </row>
    <row r="24">
      <c r="A24" s="3" t="inlineStr">
        <is>
          <t>Unit NPV at the DCF discount rate</t>
        </is>
      </c>
      <c r="B24" s="26" t="inlineStr">
        <is>
          <t>LCY</t>
        </is>
      </c>
      <c r="C24" s="48">
        <f>NPV((1+Inputs!$C$61)^(1/12)-1,Curves!$K$8:$K$68)*(1+Inputs!$C$61)^(1/12)</f>
        <v/>
      </c>
      <c r="D24" s="48">
        <f>NPV((1+Inputs!$C$61)^(1/12)-1,Curves!$W$8:$W$68)*(1+Inputs!$C$61)^(1/12)</f>
        <v/>
      </c>
      <c r="E24" s="48">
        <f>NPV((1+Inputs!$C$61)^(1/12)-1,Curves!$AI$8:$AI$68)*(1+Inputs!$C$61)^(1/12)</f>
        <v/>
      </c>
      <c r="F24" s="48">
        <f>NPV((1+Inputs!$C$61)^(1/12)-1,Curves!$AU$8:$AU$68)*(1+Inputs!$C$61)^(1/12)</f>
        <v/>
      </c>
      <c r="G24" s="48">
        <f>NPV((1+Inputs!$C$61)^(1/12)-1,Curves!$BG$8:$BG$68)*(1+Inputs!$C$61)^(1/12)</f>
        <v/>
      </c>
    </row>
    <row r="25"/>
    <row r="26">
      <c r="A26" s="2" t="inlineStr">
        <is>
          <t>Servicing counts active months after the sale month. Payback counts months with negative cumulative cash flow (ages 0-60). Unit NPV discounts monthly at the DCF rate; age 0 undiscounted.</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tabColor rgb="0000B050"/>
    <outlinePr summaryBelow="1" summaryRight="1"/>
    <pageSetUpPr fitToPage="1"/>
  </sheetPr>
  <dimension ref="A1:I19"/>
  <sheetViews>
    <sheetView showGridLines="0" workbookViewId="0">
      <selection activeCell="A1" sqref="A1"/>
    </sheetView>
  </sheetViews>
  <sheetFormatPr baseColWidth="8" defaultRowHeight="15"/>
  <cols>
    <col width="4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Scenario &amp; sensitivity snapshot (static values)</t>
        </is>
      </c>
    </row>
    <row r="2">
      <c r="A2" s="2" t="inlineStr">
        <is>
          <t>Generated by the verified Python twin (tools/shadow_shs.py) at DEFAULT inputs. Does NOT update when inputs change.</t>
        </is>
      </c>
    </row>
    <row r="3"/>
    <row r="4"/>
    <row r="5" ht="32" customHeight="1">
      <c r="A5" s="16" t="inlineStr">
        <is>
          <t>Case</t>
        </is>
      </c>
      <c r="B5" s="16" t="inlineStr">
        <is>
          <t>Peak equity need (USD m)</t>
        </is>
      </c>
      <c r="C5" s="16" t="inlineStr">
        <is>
          <t>Year 5 revenue (USD m)</t>
        </is>
      </c>
      <c r="D5" s="16" t="inlineStr">
        <is>
          <t>Year 5 EBITDA margin</t>
        </is>
      </c>
      <c r="E5" s="16" t="inlineStr">
        <is>
          <t>Year 5 collection rate</t>
        </is>
      </c>
      <c r="F5" s="16" t="inlineStr">
        <is>
          <t>DCF EV (USD m)</t>
        </is>
      </c>
      <c r="G5" s="16" t="inlineStr">
        <is>
          <t>Investor IRR (USD)</t>
        </is>
      </c>
      <c r="H5" s="16" t="inlineStr">
        <is>
          <t>Investor MOIC</t>
        </is>
      </c>
      <c r="I5" s="16" t="inlineStr">
        <is>
          <t>Covenant-breach months</t>
        </is>
      </c>
    </row>
    <row r="6">
      <c r="A6" s="3" t="inlineStr">
        <is>
          <t>Base</t>
        </is>
      </c>
      <c r="B6" s="65" t="n">
        <v>10.00000000000001</v>
      </c>
      <c r="C6" s="65" t="n">
        <v>68.45433989094573</v>
      </c>
      <c r="D6" s="56" t="n">
        <v>0.2232697716251943</v>
      </c>
      <c r="E6" s="56" t="n">
        <v>0.7326369006328933</v>
      </c>
      <c r="F6" s="65" t="n">
        <v>16.9302063211697</v>
      </c>
      <c r="G6" s="56" t="n">
        <v>0.4765654866533606</v>
      </c>
      <c r="H6" s="59" t="n">
        <v>7.018811271993045</v>
      </c>
      <c r="I6" s="57" t="n">
        <v>0</v>
      </c>
    </row>
    <row r="7">
      <c r="A7" s="3" t="inlineStr">
        <is>
          <t>Downside</t>
        </is>
      </c>
      <c r="B7" s="65" t="n">
        <v>10.00000000000001</v>
      </c>
      <c r="C7" s="65" t="n">
        <v>52.67784653997816</v>
      </c>
      <c r="D7" s="56" t="n">
        <v>0.08100310457818001</v>
      </c>
      <c r="E7" s="56" t="n">
        <v>0.6706756296224096</v>
      </c>
      <c r="F7" s="65" t="n">
        <v>-6.614977819044819</v>
      </c>
      <c r="G7" s="56" t="n">
        <v>-0.1072047208936315</v>
      </c>
      <c r="H7" s="59" t="n">
        <v>0.5672303052973507</v>
      </c>
      <c r="I7" s="57" t="n">
        <v>43</v>
      </c>
    </row>
    <row r="8">
      <c r="A8" s="3" t="inlineStr">
        <is>
          <t>Severe</t>
        </is>
      </c>
      <c r="B8" s="65" t="n">
        <v>44.69161522915013</v>
      </c>
      <c r="C8" s="65" t="n">
        <v>33.64515478771439</v>
      </c>
      <c r="D8" s="56" t="n">
        <v>-0.1742208640101228</v>
      </c>
      <c r="E8" s="56" t="n">
        <v>0.5875345925029093</v>
      </c>
      <c r="F8" s="65" t="n">
        <v>-78.95983781829705</v>
      </c>
      <c r="G8" s="56" t="inlineStr">
        <is>
          <t>n/a</t>
        </is>
      </c>
      <c r="H8" s="59" t="n">
        <v>0</v>
      </c>
      <c r="I8" s="57" t="n">
        <v>48</v>
      </c>
    </row>
    <row r="9">
      <c r="A9" s="4" t="inlineStr">
        <is>
          <t>Base - default hazard x1.5</t>
        </is>
      </c>
      <c r="B9" s="66" t="n">
        <v>10.00000000000001</v>
      </c>
      <c r="C9" s="66" t="n">
        <v>68.45433989094573</v>
      </c>
      <c r="D9" s="67" t="n">
        <v>0.1662479828409197</v>
      </c>
      <c r="E9" s="67" t="n">
        <v>0.6612611237255343</v>
      </c>
      <c r="F9" s="66" t="n">
        <v>13.4566953747543</v>
      </c>
      <c r="G9" s="67" t="n">
        <v>0.384647279713664</v>
      </c>
      <c r="H9" s="68" t="n">
        <v>5.089742182901944</v>
      </c>
      <c r="I9" s="69" t="n">
        <v>39</v>
      </c>
    </row>
    <row r="10">
      <c r="A10" s="4" t="inlineStr">
        <is>
          <t>Base - collection rate x0.95</t>
        </is>
      </c>
      <c r="B10" s="66" t="n">
        <v>10.00000000000001</v>
      </c>
      <c r="C10" s="66" t="n">
        <v>68.45433989094573</v>
      </c>
      <c r="D10" s="67" t="n">
        <v>0.1897826634808785</v>
      </c>
      <c r="E10" s="67" t="n">
        <v>0.6960050556012488</v>
      </c>
      <c r="F10" s="66" t="n">
        <v>11.82595271115903</v>
      </c>
      <c r="G10" s="67" t="n">
        <v>0.4170138966829797</v>
      </c>
      <c r="H10" s="68" t="n">
        <v>5.713083176964123</v>
      </c>
      <c r="I10" s="69" t="n">
        <v>24</v>
      </c>
    </row>
    <row r="11">
      <c r="A11" s="4" t="inlineStr">
        <is>
          <t>Base - sales volume -20%</t>
        </is>
      </c>
      <c r="B11" s="66" t="n">
        <v>10.00000000000001</v>
      </c>
      <c r="C11" s="66" t="n">
        <v>54.7634719127566</v>
      </c>
      <c r="D11" s="67" t="n">
        <v>0.2105205466953101</v>
      </c>
      <c r="E11" s="67" t="n">
        <v>0.7326369006328936</v>
      </c>
      <c r="F11" s="66" t="n">
        <v>10.3837914631127</v>
      </c>
      <c r="G11" s="67" t="n">
        <v>0.3905439832534527</v>
      </c>
      <c r="H11" s="68" t="n">
        <v>5.199045895974931</v>
      </c>
      <c r="I11" s="69" t="n">
        <v>0</v>
      </c>
    </row>
    <row r="12">
      <c r="A12" s="4" t="inlineStr">
        <is>
          <t>Base - hardware cost +15%</t>
        </is>
      </c>
      <c r="B12" s="66" t="n">
        <v>10.00000000000001</v>
      </c>
      <c r="C12" s="66" t="n">
        <v>68.45433989094573</v>
      </c>
      <c r="D12" s="67" t="n">
        <v>0.1607733688139847</v>
      </c>
      <c r="E12" s="67" t="n">
        <v>0.7326369006328933</v>
      </c>
      <c r="F12" s="66" t="n">
        <v>8.508203945508601</v>
      </c>
      <c r="G12" s="67" t="n">
        <v>0.3160568440125044</v>
      </c>
      <c r="H12" s="68" t="n">
        <v>3.947964511476947</v>
      </c>
      <c r="I12" s="69" t="n">
        <v>36</v>
      </c>
    </row>
    <row r="13">
      <c r="A13" s="4" t="inlineStr">
        <is>
          <t>Base - LCY depreciation 20% p.a.</t>
        </is>
      </c>
      <c r="B13" s="66" t="n">
        <v>10.00000000000001</v>
      </c>
      <c r="C13" s="66" t="n">
        <v>49.5196675977165</v>
      </c>
      <c r="D13" s="67" t="n">
        <v>0.08867342615730178</v>
      </c>
      <c r="E13" s="67" t="n">
        <v>0.7374102474349031</v>
      </c>
      <c r="F13" s="66" t="n">
        <v>-5.427920526685205</v>
      </c>
      <c r="G13" s="67" t="n">
        <v>-0.08938829772423529</v>
      </c>
      <c r="H13" s="68" t="n">
        <v>0.6261323396907742</v>
      </c>
      <c r="I13" s="69" t="n">
        <v>40</v>
      </c>
    </row>
    <row r="14">
      <c r="A14" s="4" t="inlineStr">
        <is>
          <t>Base - no price increase on new contracts</t>
        </is>
      </c>
      <c r="B14" s="66" t="n">
        <v>10.00000000000001</v>
      </c>
      <c r="C14" s="66" t="n">
        <v>55.94171780870421</v>
      </c>
      <c r="D14" s="67" t="n">
        <v>0.1113816280533817</v>
      </c>
      <c r="E14" s="67" t="n">
        <v>0.7291054276036071</v>
      </c>
      <c r="F14" s="66" t="n">
        <v>-1.587170005447177</v>
      </c>
      <c r="G14" s="67" t="n">
        <v>0.1191977821367889</v>
      </c>
      <c r="H14" s="68" t="n">
        <v>1.756039191496036</v>
      </c>
      <c r="I14" s="69" t="n">
        <v>33</v>
      </c>
    </row>
    <row r="15">
      <c r="A15" s="4" t="inlineStr">
        <is>
          <t>Base - RBF programme off</t>
        </is>
      </c>
      <c r="B15" s="66" t="n">
        <v>10.00000000000001</v>
      </c>
      <c r="C15" s="66" t="n">
        <v>68.45433989094573</v>
      </c>
      <c r="D15" s="67" t="n">
        <v>0.2151112927633797</v>
      </c>
      <c r="E15" s="67" t="n">
        <v>0.7326369006328933</v>
      </c>
      <c r="F15" s="66" t="n">
        <v>15.25077277654042</v>
      </c>
      <c r="G15" s="67" t="n">
        <v>0.4600672317504431</v>
      </c>
      <c r="H15" s="68" t="n">
        <v>6.635356649039935</v>
      </c>
      <c r="I15" s="69" t="n">
        <v>0</v>
      </c>
    </row>
    <row r="16">
      <c r="A16" s="4" t="inlineStr">
        <is>
          <t>Base - higher Tier 4-5 mix (20% / 10%)</t>
        </is>
      </c>
      <c r="B16" s="66" t="n">
        <v>10.00000000000001</v>
      </c>
      <c r="C16" s="66" t="n">
        <v>111.7709344292401</v>
      </c>
      <c r="D16" s="67" t="n">
        <v>0.2564768205410519</v>
      </c>
      <c r="E16" s="67" t="n">
        <v>0.7458667542106991</v>
      </c>
      <c r="F16" s="66" t="n">
        <v>39.71158276191606</v>
      </c>
      <c r="G16" s="67" t="n">
        <v>0.6799077039863515</v>
      </c>
      <c r="H16" s="68" t="n">
        <v>13.37910643734931</v>
      </c>
      <c r="I16" s="69" t="n">
        <v>0</v>
      </c>
    </row>
    <row r="17">
      <c r="A17" s="4" t="inlineStr">
        <is>
          <t>Base - exit at 4.0x EBITDA</t>
        </is>
      </c>
      <c r="B17" s="66" t="n">
        <v>10.00000000000001</v>
      </c>
      <c r="C17" s="66" t="n">
        <v>68.45433989094573</v>
      </c>
      <c r="D17" s="67" t="n">
        <v>0.2232697716251943</v>
      </c>
      <c r="E17" s="67" t="n">
        <v>0.7326369006328933</v>
      </c>
      <c r="F17" s="66" t="n">
        <v>16.9302063211697</v>
      </c>
      <c r="G17" s="67" t="n">
        <v>0.3526131248307747</v>
      </c>
      <c r="H17" s="68" t="n">
        <v>4.52759932007277</v>
      </c>
      <c r="I17" s="69" t="n">
        <v>0</v>
      </c>
    </row>
    <row r="18"/>
    <row r="19">
      <c r="A19" s="2" t="inlineStr">
        <is>
          <t>Snapshot generated 2026-10-02 at default inputs (tools/shs_defaults.py) by the Python twin, which reproduces the workbook exactly (QA in the volume README). Refresh: python tools/build_shs_model.py --snapshot</t>
        </is>
      </c>
    </row>
  </sheetData>
  <pageMargins left="0.75" right="0.75" top="1" bottom="1" header="0.5" footer="0.5"/>
  <pageSetup orientation="landscape" fitToHeight="0" fitToWidth="1"/>
  <drawing xmlns:r="http://schemas.openxmlformats.org/officeDocument/2006/relationships" r:id="rId1"/>
</worksheet>
</file>

<file path=xl/worksheets/sheet12.xml><?xml version="1.0" encoding="utf-8"?>
<worksheet xmlns="http://schemas.openxmlformats.org/spreadsheetml/2006/main">
  <sheetPr>
    <outlinePr summaryBelow="1" summaryRight="1"/>
    <pageSetUpPr fitToPage="1"/>
  </sheetPr>
  <dimension ref="A1:BL60"/>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50" customWidth="1" min="1" max="1"/>
    <col width="12" customWidth="1" min="2" max="2"/>
    <col width="16" customWidth="1" min="3" max="3"/>
    <col width="16" customWidth="1" min="5" max="5"/>
    <col width="16" customWidth="1" min="6" max="6"/>
    <col width="16" customWidth="1" min="7" max="7"/>
    <col width="16" customWidth="1" min="8" max="8"/>
    <col width="16" customWidth="1" min="9" max="9"/>
  </cols>
  <sheetData>
    <row r="1">
      <c r="A1" s="1" t="inlineStr">
        <is>
          <t>Annual financial statements</t>
        </is>
      </c>
    </row>
    <row r="2">
      <c r="A2" s="2" t="inlineStr">
        <is>
          <t>Flows summed by year; balances at year end. LCY.</t>
        </is>
      </c>
    </row>
    <row r="3"/>
    <row r="4"/>
    <row r="5">
      <c r="E5" s="44" t="inlineStr">
        <is>
          <t>Year 1</t>
        </is>
      </c>
      <c r="F5" s="44" t="inlineStr">
        <is>
          <t>Year 2</t>
        </is>
      </c>
      <c r="G5" s="44" t="inlineStr">
        <is>
          <t>Year 3</t>
        </is>
      </c>
      <c r="H5" s="44" t="inlineStr">
        <is>
          <t>Year 4</t>
        </is>
      </c>
      <c r="I5" s="44" t="inlineStr">
        <is>
          <t>Year 5</t>
        </is>
      </c>
    </row>
    <row r="6">
      <c r="E6" s="44" t="n">
        <v>1</v>
      </c>
      <c r="F6" s="44" t="n">
        <v>2</v>
      </c>
      <c r="G6" s="44" t="n">
        <v>3</v>
      </c>
      <c r="H6" s="44" t="n">
        <v>4</v>
      </c>
      <c r="I6" s="44" t="n">
        <v>5</v>
      </c>
    </row>
    <row r="7"/>
    <row r="8">
      <c r="A8" s="14" t="inlineStr">
        <is>
          <t>INCOME STATEMENT</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4" t="inlineStr">
        <is>
          <t>Hardware revenue (cash price)</t>
        </is>
      </c>
      <c r="E9" s="39">
        <f>SUMIFS(FS!$E$9:$BL$9,Timeline!$E$6:$BL$6,E$6)</f>
        <v/>
      </c>
      <c r="F9" s="39">
        <f>SUMIFS(FS!$E$9:$BL$9,Timeline!$E$6:$BL$6,F$6)</f>
        <v/>
      </c>
      <c r="G9" s="39">
        <f>SUMIFS(FS!$E$9:$BL$9,Timeline!$E$6:$BL$6,G$6)</f>
        <v/>
      </c>
      <c r="H9" s="39">
        <f>SUMIFS(FS!$E$9:$BL$9,Timeline!$E$6:$BL$6,H$6)</f>
        <v/>
      </c>
      <c r="I9" s="39">
        <f>SUMIFS(FS!$E$9:$BL$9,Timeline!$E$6:$BL$6,I$6)</f>
        <v/>
      </c>
    </row>
    <row r="10">
      <c r="A10" s="4" t="inlineStr">
        <is>
          <t>PAYGo financing income</t>
        </is>
      </c>
      <c r="E10" s="39">
        <f>SUMIFS(FS!$E$10:$BL$10,Timeline!$E$6:$BL$6,E$6)</f>
        <v/>
      </c>
      <c r="F10" s="39">
        <f>SUMIFS(FS!$E$10:$BL$10,Timeline!$E$6:$BL$6,F$6)</f>
        <v/>
      </c>
      <c r="G10" s="39">
        <f>SUMIFS(FS!$E$10:$BL$10,Timeline!$E$6:$BL$6,G$6)</f>
        <v/>
      </c>
      <c r="H10" s="39">
        <f>SUMIFS(FS!$E$10:$BL$10,Timeline!$E$6:$BL$6,H$6)</f>
        <v/>
      </c>
      <c r="I10" s="39">
        <f>SUMIFS(FS!$E$10:$BL$10,Timeline!$E$6:$BL$6,I$6)</f>
        <v/>
      </c>
    </row>
    <row r="11">
      <c r="A11" s="3" t="inlineStr">
        <is>
          <t>Total revenue</t>
        </is>
      </c>
      <c r="E11" s="48">
        <f>SUMIFS(FS!$E$11:$BL$11,Timeline!$E$6:$BL$6,E$6)</f>
        <v/>
      </c>
      <c r="F11" s="48">
        <f>SUMIFS(FS!$E$11:$BL$11,Timeline!$E$6:$BL$6,F$6)</f>
        <v/>
      </c>
      <c r="G11" s="48">
        <f>SUMIFS(FS!$E$11:$BL$11,Timeline!$E$6:$BL$6,G$6)</f>
        <v/>
      </c>
      <c r="H11" s="48">
        <f>SUMIFS(FS!$E$11:$BL$11,Timeline!$E$6:$BL$6,H$6)</f>
        <v/>
      </c>
      <c r="I11" s="48">
        <f>SUMIFS(FS!$E$11:$BL$11,Timeline!$E$6:$BL$6,I$6)</f>
        <v/>
      </c>
    </row>
    <row r="12">
      <c r="A12" s="4" t="inlineStr">
        <is>
          <t>Cost of sales (hardware, installation)</t>
        </is>
      </c>
      <c r="E12" s="39">
        <f>SUMIFS(FS!$E$12:$BL$12,Timeline!$E$6:$BL$6,E$6)</f>
        <v/>
      </c>
      <c r="F12" s="39">
        <f>SUMIFS(FS!$E$12:$BL$12,Timeline!$E$6:$BL$6,F$6)</f>
        <v/>
      </c>
      <c r="G12" s="39">
        <f>SUMIFS(FS!$E$12:$BL$12,Timeline!$E$6:$BL$6,G$6)</f>
        <v/>
      </c>
      <c r="H12" s="39">
        <f>SUMIFS(FS!$E$12:$BL$12,Timeline!$E$6:$BL$6,H$6)</f>
        <v/>
      </c>
      <c r="I12" s="39">
        <f>SUMIFS(FS!$E$12:$BL$12,Timeline!$E$6:$BL$6,I$6)</f>
        <v/>
      </c>
    </row>
    <row r="13">
      <c r="A13" s="3" t="inlineStr">
        <is>
          <t>Gross profit</t>
        </is>
      </c>
      <c r="E13" s="48">
        <f>SUMIFS(FS!$E$13:$BL$13,Timeline!$E$6:$BL$6,E$6)</f>
        <v/>
      </c>
      <c r="F13" s="48">
        <f>SUMIFS(FS!$E$13:$BL$13,Timeline!$E$6:$BL$6,F$6)</f>
        <v/>
      </c>
      <c r="G13" s="48">
        <f>SUMIFS(FS!$E$13:$BL$13,Timeline!$E$6:$BL$6,G$6)</f>
        <v/>
      </c>
      <c r="H13" s="48">
        <f>SUMIFS(FS!$E$13:$BL$13,Timeline!$E$6:$BL$6,H$6)</f>
        <v/>
      </c>
      <c r="I13" s="48">
        <f>SUMIFS(FS!$E$13:$BL$13,Timeline!$E$6:$BL$6,I$6)</f>
        <v/>
      </c>
    </row>
    <row r="14">
      <c r="A14" s="4" t="inlineStr">
        <is>
          <t>RBF / subsidy income</t>
        </is>
      </c>
      <c r="E14" s="39">
        <f>SUMIFS(FS!$E$14:$BL$14,Timeline!$E$6:$BL$6,E$6)</f>
        <v/>
      </c>
      <c r="F14" s="39">
        <f>SUMIFS(FS!$E$14:$BL$14,Timeline!$E$6:$BL$6,F$6)</f>
        <v/>
      </c>
      <c r="G14" s="39">
        <f>SUMIFS(FS!$E$14:$BL$14,Timeline!$E$6:$BL$6,G$6)</f>
        <v/>
      </c>
      <c r="H14" s="39">
        <f>SUMIFS(FS!$E$14:$BL$14,Timeline!$E$6:$BL$6,H$6)</f>
        <v/>
      </c>
      <c r="I14" s="39">
        <f>SUMIFS(FS!$E$14:$BL$14,Timeline!$E$6:$BL$6,I$6)</f>
        <v/>
      </c>
    </row>
    <row r="15">
      <c r="A15" s="4" t="inlineStr">
        <is>
          <t>Operating expenses</t>
        </is>
      </c>
      <c r="E15" s="39">
        <f>SUMIFS(FS!$E$15:$BL$15,Timeline!$E$6:$BL$6,E$6)</f>
        <v/>
      </c>
      <c r="F15" s="39">
        <f>SUMIFS(FS!$E$15:$BL$15,Timeline!$E$6:$BL$6,F$6)</f>
        <v/>
      </c>
      <c r="G15" s="39">
        <f>SUMIFS(FS!$E$15:$BL$15,Timeline!$E$6:$BL$6,G$6)</f>
        <v/>
      </c>
      <c r="H15" s="39">
        <f>SUMIFS(FS!$E$15:$BL$15,Timeline!$E$6:$BL$6,H$6)</f>
        <v/>
      </c>
      <c r="I15" s="39">
        <f>SUMIFS(FS!$E$15:$BL$15,Timeline!$E$6:$BL$6,I$6)</f>
        <v/>
      </c>
    </row>
    <row r="16">
      <c r="A16" s="4" t="inlineStr">
        <is>
          <t>Expected credit losses</t>
        </is>
      </c>
      <c r="E16" s="39">
        <f>SUMIFS(FS!$E$16:$BL$16,Timeline!$E$6:$BL$6,E$6)</f>
        <v/>
      </c>
      <c r="F16" s="39">
        <f>SUMIFS(FS!$E$16:$BL$16,Timeline!$E$6:$BL$6,F$6)</f>
        <v/>
      </c>
      <c r="G16" s="39">
        <f>SUMIFS(FS!$E$16:$BL$16,Timeline!$E$6:$BL$6,G$6)</f>
        <v/>
      </c>
      <c r="H16" s="39">
        <f>SUMIFS(FS!$E$16:$BL$16,Timeline!$E$6:$BL$6,H$6)</f>
        <v/>
      </c>
      <c r="I16" s="39">
        <f>SUMIFS(FS!$E$16:$BL$16,Timeline!$E$6:$BL$6,I$6)</f>
        <v/>
      </c>
    </row>
    <row r="17">
      <c r="A17" s="4" t="inlineStr">
        <is>
          <t>Recoveries on repossessed units</t>
        </is>
      </c>
      <c r="E17" s="39">
        <f>SUMIFS(FS!$E$17:$BL$17,Timeline!$E$6:$BL$6,E$6)</f>
        <v/>
      </c>
      <c r="F17" s="39">
        <f>SUMIFS(FS!$E$17:$BL$17,Timeline!$E$6:$BL$6,F$6)</f>
        <v/>
      </c>
      <c r="G17" s="39">
        <f>SUMIFS(FS!$E$17:$BL$17,Timeline!$E$6:$BL$6,G$6)</f>
        <v/>
      </c>
      <c r="H17" s="39">
        <f>SUMIFS(FS!$E$17:$BL$17,Timeline!$E$6:$BL$6,H$6)</f>
        <v/>
      </c>
      <c r="I17" s="39">
        <f>SUMIFS(FS!$E$17:$BL$17,Timeline!$E$6:$BL$6,I$6)</f>
        <v/>
      </c>
    </row>
    <row r="18">
      <c r="A18" s="3" t="inlineStr">
        <is>
          <t>EBITDA</t>
        </is>
      </c>
      <c r="E18" s="48">
        <f>SUMIFS(FS!$E$18:$BL$18,Timeline!$E$6:$BL$6,E$6)</f>
        <v/>
      </c>
      <c r="F18" s="48">
        <f>SUMIFS(FS!$E$18:$BL$18,Timeline!$E$6:$BL$6,F$6)</f>
        <v/>
      </c>
      <c r="G18" s="48">
        <f>SUMIFS(FS!$E$18:$BL$18,Timeline!$E$6:$BL$6,G$6)</f>
        <v/>
      </c>
      <c r="H18" s="48">
        <f>SUMIFS(FS!$E$18:$BL$18,Timeline!$E$6:$BL$6,H$6)</f>
        <v/>
      </c>
      <c r="I18" s="48">
        <f>SUMIFS(FS!$E$18:$BL$18,Timeline!$E$6:$BL$6,I$6)</f>
        <v/>
      </c>
    </row>
    <row r="19">
      <c r="A19" s="4" t="inlineStr">
        <is>
          <t>Depreciation</t>
        </is>
      </c>
      <c r="E19" s="39">
        <f>SUMIFS(FS!$E$19:$BL$19,Timeline!$E$6:$BL$6,E$6)</f>
        <v/>
      </c>
      <c r="F19" s="39">
        <f>SUMIFS(FS!$E$19:$BL$19,Timeline!$E$6:$BL$6,F$6)</f>
        <v/>
      </c>
      <c r="G19" s="39">
        <f>SUMIFS(FS!$E$19:$BL$19,Timeline!$E$6:$BL$6,G$6)</f>
        <v/>
      </c>
      <c r="H19" s="39">
        <f>SUMIFS(FS!$E$19:$BL$19,Timeline!$E$6:$BL$6,H$6)</f>
        <v/>
      </c>
      <c r="I19" s="39">
        <f>SUMIFS(FS!$E$19:$BL$19,Timeline!$E$6:$BL$6,I$6)</f>
        <v/>
      </c>
    </row>
    <row r="20">
      <c r="A20" s="4" t="inlineStr">
        <is>
          <t>EBIT</t>
        </is>
      </c>
      <c r="E20" s="39">
        <f>SUMIFS(FS!$E$20:$BL$20,Timeline!$E$6:$BL$6,E$6)</f>
        <v/>
      </c>
      <c r="F20" s="39">
        <f>SUMIFS(FS!$E$20:$BL$20,Timeline!$E$6:$BL$6,F$6)</f>
        <v/>
      </c>
      <c r="G20" s="39">
        <f>SUMIFS(FS!$E$20:$BL$20,Timeline!$E$6:$BL$6,G$6)</f>
        <v/>
      </c>
      <c r="H20" s="39">
        <f>SUMIFS(FS!$E$20:$BL$20,Timeline!$E$6:$BL$6,H$6)</f>
        <v/>
      </c>
      <c r="I20" s="39">
        <f>SUMIFS(FS!$E$20:$BL$20,Timeline!$E$6:$BL$6,I$6)</f>
        <v/>
      </c>
    </row>
    <row r="21">
      <c r="A21" s="4" t="inlineStr">
        <is>
          <t>Interest - USD term loan</t>
        </is>
      </c>
      <c r="E21" s="39">
        <f>SUMIFS(FS!$E$21:$BL$21,Timeline!$E$6:$BL$6,E$6)</f>
        <v/>
      </c>
      <c r="F21" s="39">
        <f>SUMIFS(FS!$E$21:$BL$21,Timeline!$E$6:$BL$6,F$6)</f>
        <v/>
      </c>
      <c r="G21" s="39">
        <f>SUMIFS(FS!$E$21:$BL$21,Timeline!$E$6:$BL$6,G$6)</f>
        <v/>
      </c>
      <c r="H21" s="39">
        <f>SUMIFS(FS!$E$21:$BL$21,Timeline!$E$6:$BL$6,H$6)</f>
        <v/>
      </c>
      <c r="I21" s="39">
        <f>SUMIFS(FS!$E$21:$BL$21,Timeline!$E$6:$BL$6,I$6)</f>
        <v/>
      </c>
    </row>
    <row r="22">
      <c r="A22" s="4" t="inlineStr">
        <is>
          <t>Interest - receivables facility</t>
        </is>
      </c>
      <c r="E22" s="39">
        <f>SUMIFS(FS!$E$22:$BL$22,Timeline!$E$6:$BL$6,E$6)</f>
        <v/>
      </c>
      <c r="F22" s="39">
        <f>SUMIFS(FS!$E$22:$BL$22,Timeline!$E$6:$BL$6,F$6)</f>
        <v/>
      </c>
      <c r="G22" s="39">
        <f>SUMIFS(FS!$E$22:$BL$22,Timeline!$E$6:$BL$6,G$6)</f>
        <v/>
      </c>
      <c r="H22" s="39">
        <f>SUMIFS(FS!$E$22:$BL$22,Timeline!$E$6:$BL$6,H$6)</f>
        <v/>
      </c>
      <c r="I22" s="39">
        <f>SUMIFS(FS!$E$22:$BL$22,Timeline!$E$6:$BL$6,I$6)</f>
        <v/>
      </c>
    </row>
    <row r="23">
      <c r="A23" s="4" t="inlineStr">
        <is>
          <t>FX (loss) / gain on USD debt</t>
        </is>
      </c>
      <c r="E23" s="39">
        <f>SUMIFS(FS!$E$23:$BL$23,Timeline!$E$6:$BL$6,E$6)</f>
        <v/>
      </c>
      <c r="F23" s="39">
        <f>SUMIFS(FS!$E$23:$BL$23,Timeline!$E$6:$BL$6,F$6)</f>
        <v/>
      </c>
      <c r="G23" s="39">
        <f>SUMIFS(FS!$E$23:$BL$23,Timeline!$E$6:$BL$6,G$6)</f>
        <v/>
      </c>
      <c r="H23" s="39">
        <f>SUMIFS(FS!$E$23:$BL$23,Timeline!$E$6:$BL$6,H$6)</f>
        <v/>
      </c>
      <c r="I23" s="39">
        <f>SUMIFS(FS!$E$23:$BL$23,Timeline!$E$6:$BL$6,I$6)</f>
        <v/>
      </c>
    </row>
    <row r="24">
      <c r="A24" s="4" t="inlineStr">
        <is>
          <t>Profit before tax</t>
        </is>
      </c>
      <c r="E24" s="39">
        <f>SUMIFS(FS!$E$24:$BL$24,Timeline!$E$6:$BL$6,E$6)</f>
        <v/>
      </c>
      <c r="F24" s="39">
        <f>SUMIFS(FS!$E$24:$BL$24,Timeline!$E$6:$BL$6,F$6)</f>
        <v/>
      </c>
      <c r="G24" s="39">
        <f>SUMIFS(FS!$E$24:$BL$24,Timeline!$E$6:$BL$6,G$6)</f>
        <v/>
      </c>
      <c r="H24" s="39">
        <f>SUMIFS(FS!$E$24:$BL$24,Timeline!$E$6:$BL$6,H$6)</f>
        <v/>
      </c>
      <c r="I24" s="39">
        <f>SUMIFS(FS!$E$24:$BL$24,Timeline!$E$6:$BL$6,I$6)</f>
        <v/>
      </c>
    </row>
    <row r="25">
      <c r="A25" s="4" t="inlineStr">
        <is>
          <t>Income tax</t>
        </is>
      </c>
      <c r="E25" s="39">
        <f>SUMIFS(FS!$E$27:$BL$27,Timeline!$E$6:$BL$6,E$6)</f>
        <v/>
      </c>
      <c r="F25" s="39">
        <f>SUMIFS(FS!$E$27:$BL$27,Timeline!$E$6:$BL$6,F$6)</f>
        <v/>
      </c>
      <c r="G25" s="39">
        <f>SUMIFS(FS!$E$27:$BL$27,Timeline!$E$6:$BL$6,G$6)</f>
        <v/>
      </c>
      <c r="H25" s="39">
        <f>SUMIFS(FS!$E$27:$BL$27,Timeline!$E$6:$BL$6,H$6)</f>
        <v/>
      </c>
      <c r="I25" s="39">
        <f>SUMIFS(FS!$E$27:$BL$27,Timeline!$E$6:$BL$6,I$6)</f>
        <v/>
      </c>
    </row>
    <row r="26">
      <c r="A26" s="3" t="inlineStr">
        <is>
          <t>Net income</t>
        </is>
      </c>
      <c r="E26" s="48">
        <f>SUMIFS(FS!$E$28:$BL$28,Timeline!$E$6:$BL$6,E$6)</f>
        <v/>
      </c>
      <c r="F26" s="48">
        <f>SUMIFS(FS!$E$28:$BL$28,Timeline!$E$6:$BL$6,F$6)</f>
        <v/>
      </c>
      <c r="G26" s="48">
        <f>SUMIFS(FS!$E$28:$BL$28,Timeline!$E$6:$BL$6,G$6)</f>
        <v/>
      </c>
      <c r="H26" s="48">
        <f>SUMIFS(FS!$E$28:$BL$28,Timeline!$E$6:$BL$6,H$6)</f>
        <v/>
      </c>
      <c r="I26" s="48">
        <f>SUMIFS(FS!$E$28:$BL$28,Timeline!$E$6:$BL$6,I$6)</f>
        <v/>
      </c>
    </row>
    <row r="27"/>
    <row r="28">
      <c r="A28" s="14" t="inlineStr">
        <is>
          <t>BALANCE SHEET</t>
        </is>
      </c>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c r="AA28" s="15" t="n"/>
      <c r="AB28" s="15" t="n"/>
      <c r="AC28" s="15" t="n"/>
      <c r="AD28" s="15" t="n"/>
      <c r="AE28" s="15" t="n"/>
      <c r="AF28" s="15" t="n"/>
      <c r="AG28" s="15" t="n"/>
      <c r="AH28" s="15" t="n"/>
      <c r="AI28" s="15" t="n"/>
      <c r="AJ28" s="15" t="n"/>
      <c r="AK28" s="15" t="n"/>
      <c r="AL28" s="15" t="n"/>
      <c r="AM28" s="15" t="n"/>
      <c r="AN28" s="15" t="n"/>
      <c r="AO28" s="15" t="n"/>
      <c r="AP28" s="15" t="n"/>
      <c r="AQ28" s="15" t="n"/>
      <c r="AR28" s="15" t="n"/>
      <c r="AS28" s="15" t="n"/>
      <c r="AT28" s="15" t="n"/>
      <c r="AU28" s="15" t="n"/>
      <c r="AV28" s="15" t="n"/>
      <c r="AW28" s="15" t="n"/>
      <c r="AX28" s="15" t="n"/>
      <c r="AY28" s="15" t="n"/>
      <c r="AZ28" s="15" t="n"/>
      <c r="BA28" s="15" t="n"/>
      <c r="BB28" s="15" t="n"/>
      <c r="BC28" s="15" t="n"/>
      <c r="BD28" s="15" t="n"/>
      <c r="BE28" s="15" t="n"/>
      <c r="BF28" s="15" t="n"/>
      <c r="BG28" s="15" t="n"/>
      <c r="BH28" s="15" t="n"/>
      <c r="BI28" s="15" t="n"/>
      <c r="BJ28" s="15" t="n"/>
      <c r="BK28" s="15" t="n"/>
      <c r="BL28" s="15" t="n"/>
    </row>
    <row r="29">
      <c r="A29" s="4" t="inlineStr">
        <is>
          <t>Cash</t>
        </is>
      </c>
      <c r="E29" s="39">
        <f>INDEX(FS!$E$31:$BL$31,1,E$6*12)</f>
        <v/>
      </c>
      <c r="F29" s="39">
        <f>INDEX(FS!$E$31:$BL$31,1,F$6*12)</f>
        <v/>
      </c>
      <c r="G29" s="39">
        <f>INDEX(FS!$E$31:$BL$31,1,G$6*12)</f>
        <v/>
      </c>
      <c r="H29" s="39">
        <f>INDEX(FS!$E$31:$BL$31,1,H$6*12)</f>
        <v/>
      </c>
      <c r="I29" s="39">
        <f>INDEX(FS!$E$31:$BL$31,1,I$6*12)</f>
        <v/>
      </c>
    </row>
    <row r="30">
      <c r="A30" s="4" t="inlineStr">
        <is>
          <t>PAYGo receivables - gross</t>
        </is>
      </c>
      <c r="E30" s="39">
        <f>INDEX(FS!$E$32:$BL$32,1,E$6*12)</f>
        <v/>
      </c>
      <c r="F30" s="39">
        <f>INDEX(FS!$E$32:$BL$32,1,F$6*12)</f>
        <v/>
      </c>
      <c r="G30" s="39">
        <f>INDEX(FS!$E$32:$BL$32,1,G$6*12)</f>
        <v/>
      </c>
      <c r="H30" s="39">
        <f>INDEX(FS!$E$32:$BL$32,1,H$6*12)</f>
        <v/>
      </c>
      <c r="I30" s="39">
        <f>INDEX(FS!$E$32:$BL$32,1,I$6*12)</f>
        <v/>
      </c>
    </row>
    <row r="31">
      <c r="A31" s="4" t="inlineStr">
        <is>
          <t>Loss allowance (ECL)</t>
        </is>
      </c>
      <c r="E31" s="39">
        <f>INDEX(FS!$E$33:$BL$33,1,E$6*12)</f>
        <v/>
      </c>
      <c r="F31" s="39">
        <f>INDEX(FS!$E$33:$BL$33,1,F$6*12)</f>
        <v/>
      </c>
      <c r="G31" s="39">
        <f>INDEX(FS!$E$33:$BL$33,1,G$6*12)</f>
        <v/>
      </c>
      <c r="H31" s="39">
        <f>INDEX(FS!$E$33:$BL$33,1,H$6*12)</f>
        <v/>
      </c>
      <c r="I31" s="39">
        <f>INDEX(FS!$E$33:$BL$33,1,I$6*12)</f>
        <v/>
      </c>
    </row>
    <row r="32">
      <c r="A32" s="4" t="inlineStr">
        <is>
          <t>PAYGo receivables - net</t>
        </is>
      </c>
      <c r="E32" s="39">
        <f>INDEX(FS!$E$34:$BL$34,1,E$6*12)</f>
        <v/>
      </c>
      <c r="F32" s="39">
        <f>INDEX(FS!$E$34:$BL$34,1,F$6*12)</f>
        <v/>
      </c>
      <c r="G32" s="39">
        <f>INDEX(FS!$E$34:$BL$34,1,G$6*12)</f>
        <v/>
      </c>
      <c r="H32" s="39">
        <f>INDEX(FS!$E$34:$BL$34,1,H$6*12)</f>
        <v/>
      </c>
      <c r="I32" s="39">
        <f>INDEX(FS!$E$34:$BL$34,1,I$6*12)</f>
        <v/>
      </c>
    </row>
    <row r="33">
      <c r="A33" s="4" t="inlineStr">
        <is>
          <t>Inventory</t>
        </is>
      </c>
      <c r="E33" s="39">
        <f>INDEX(FS!$E$35:$BL$35,1,E$6*12)</f>
        <v/>
      </c>
      <c r="F33" s="39">
        <f>INDEX(FS!$E$35:$BL$35,1,F$6*12)</f>
        <v/>
      </c>
      <c r="G33" s="39">
        <f>INDEX(FS!$E$35:$BL$35,1,G$6*12)</f>
        <v/>
      </c>
      <c r="H33" s="39">
        <f>INDEX(FS!$E$35:$BL$35,1,H$6*12)</f>
        <v/>
      </c>
      <c r="I33" s="39">
        <f>INDEX(FS!$E$35:$BL$35,1,I$6*12)</f>
        <v/>
      </c>
    </row>
    <row r="34">
      <c r="A34" s="4" t="inlineStr">
        <is>
          <t>Net fixed assets</t>
        </is>
      </c>
      <c r="E34" s="39">
        <f>INDEX(FS!$E$36:$BL$36,1,E$6*12)</f>
        <v/>
      </c>
      <c r="F34" s="39">
        <f>INDEX(FS!$E$36:$BL$36,1,F$6*12)</f>
        <v/>
      </c>
      <c r="G34" s="39">
        <f>INDEX(FS!$E$36:$BL$36,1,G$6*12)</f>
        <v/>
      </c>
      <c r="H34" s="39">
        <f>INDEX(FS!$E$36:$BL$36,1,H$6*12)</f>
        <v/>
      </c>
      <c r="I34" s="39">
        <f>INDEX(FS!$E$36:$BL$36,1,I$6*12)</f>
        <v/>
      </c>
    </row>
    <row r="35">
      <c r="A35" s="3" t="inlineStr">
        <is>
          <t>Total assets</t>
        </is>
      </c>
      <c r="E35" s="48">
        <f>INDEX(FS!$E$37:$BL$37,1,E$6*12)</f>
        <v/>
      </c>
      <c r="F35" s="48">
        <f>INDEX(FS!$E$37:$BL$37,1,F$6*12)</f>
        <v/>
      </c>
      <c r="G35" s="48">
        <f>INDEX(FS!$E$37:$BL$37,1,G$6*12)</f>
        <v/>
      </c>
      <c r="H35" s="48">
        <f>INDEX(FS!$E$37:$BL$37,1,H$6*12)</f>
        <v/>
      </c>
      <c r="I35" s="48">
        <f>INDEX(FS!$E$37:$BL$37,1,I$6*12)</f>
        <v/>
      </c>
    </row>
    <row r="36">
      <c r="A36" s="4" t="inlineStr">
        <is>
          <t>Supplier payables</t>
        </is>
      </c>
      <c r="E36" s="39">
        <f>INDEX(FS!$E$38:$BL$38,1,E$6*12)</f>
        <v/>
      </c>
      <c r="F36" s="39">
        <f>INDEX(FS!$E$38:$BL$38,1,F$6*12)</f>
        <v/>
      </c>
      <c r="G36" s="39">
        <f>INDEX(FS!$E$38:$BL$38,1,G$6*12)</f>
        <v/>
      </c>
      <c r="H36" s="39">
        <f>INDEX(FS!$E$38:$BL$38,1,H$6*12)</f>
        <v/>
      </c>
      <c r="I36" s="39">
        <f>INDEX(FS!$E$38:$BL$38,1,I$6*12)</f>
        <v/>
      </c>
    </row>
    <row r="37">
      <c r="A37" s="4" t="inlineStr">
        <is>
          <t>USD term loan (in LCY)</t>
        </is>
      </c>
      <c r="E37" s="39">
        <f>INDEX(FS!$E$39:$BL$39,1,E$6*12)</f>
        <v/>
      </c>
      <c r="F37" s="39">
        <f>INDEX(FS!$E$39:$BL$39,1,F$6*12)</f>
        <v/>
      </c>
      <c r="G37" s="39">
        <f>INDEX(FS!$E$39:$BL$39,1,G$6*12)</f>
        <v/>
      </c>
      <c r="H37" s="39">
        <f>INDEX(FS!$E$39:$BL$39,1,H$6*12)</f>
        <v/>
      </c>
      <c r="I37" s="39">
        <f>INDEX(FS!$E$39:$BL$39,1,I$6*12)</f>
        <v/>
      </c>
    </row>
    <row r="38">
      <c r="A38" s="4" t="inlineStr">
        <is>
          <t>Receivables facility</t>
        </is>
      </c>
      <c r="E38" s="39">
        <f>INDEX(FS!$E$40:$BL$40,1,E$6*12)</f>
        <v/>
      </c>
      <c r="F38" s="39">
        <f>INDEX(FS!$E$40:$BL$40,1,F$6*12)</f>
        <v/>
      </c>
      <c r="G38" s="39">
        <f>INDEX(FS!$E$40:$BL$40,1,G$6*12)</f>
        <v/>
      </c>
      <c r="H38" s="39">
        <f>INDEX(FS!$E$40:$BL$40,1,H$6*12)</f>
        <v/>
      </c>
      <c r="I38" s="39">
        <f>INDEX(FS!$E$40:$BL$40,1,I$6*12)</f>
        <v/>
      </c>
    </row>
    <row r="39">
      <c r="A39" s="4" t="inlineStr">
        <is>
          <t>Total liabilities</t>
        </is>
      </c>
      <c r="E39" s="39">
        <f>INDEX(FS!$E$41:$BL$41,1,E$6*12)</f>
        <v/>
      </c>
      <c r="F39" s="39">
        <f>INDEX(FS!$E$41:$BL$41,1,F$6*12)</f>
        <v/>
      </c>
      <c r="G39" s="39">
        <f>INDEX(FS!$E$41:$BL$41,1,G$6*12)</f>
        <v/>
      </c>
      <c r="H39" s="39">
        <f>INDEX(FS!$E$41:$BL$41,1,H$6*12)</f>
        <v/>
      </c>
      <c r="I39" s="39">
        <f>INDEX(FS!$E$41:$BL$41,1,I$6*12)</f>
        <v/>
      </c>
    </row>
    <row r="40">
      <c r="A40" s="4" t="inlineStr">
        <is>
          <t>Share capital</t>
        </is>
      </c>
      <c r="E40" s="39">
        <f>INDEX(FS!$E$42:$BL$42,1,E$6*12)</f>
        <v/>
      </c>
      <c r="F40" s="39">
        <f>INDEX(FS!$E$42:$BL$42,1,F$6*12)</f>
        <v/>
      </c>
      <c r="G40" s="39">
        <f>INDEX(FS!$E$42:$BL$42,1,G$6*12)</f>
        <v/>
      </c>
      <c r="H40" s="39">
        <f>INDEX(FS!$E$42:$BL$42,1,H$6*12)</f>
        <v/>
      </c>
      <c r="I40" s="39">
        <f>INDEX(FS!$E$42:$BL$42,1,I$6*12)</f>
        <v/>
      </c>
    </row>
    <row r="41">
      <c r="A41" s="4" t="inlineStr">
        <is>
          <t>Retained earnings</t>
        </is>
      </c>
      <c r="E41" s="39">
        <f>INDEX(FS!$E$43:$BL$43,1,E$6*12)</f>
        <v/>
      </c>
      <c r="F41" s="39">
        <f>INDEX(FS!$E$43:$BL$43,1,F$6*12)</f>
        <v/>
      </c>
      <c r="G41" s="39">
        <f>INDEX(FS!$E$43:$BL$43,1,G$6*12)</f>
        <v/>
      </c>
      <c r="H41" s="39">
        <f>INDEX(FS!$E$43:$BL$43,1,H$6*12)</f>
        <v/>
      </c>
      <c r="I41" s="39">
        <f>INDEX(FS!$E$43:$BL$43,1,I$6*12)</f>
        <v/>
      </c>
    </row>
    <row r="42">
      <c r="A42" s="4" t="inlineStr">
        <is>
          <t>Total equity</t>
        </is>
      </c>
      <c r="E42" s="39">
        <f>INDEX(FS!$E$44:$BL$44,1,E$6*12)</f>
        <v/>
      </c>
      <c r="F42" s="39">
        <f>INDEX(FS!$E$44:$BL$44,1,F$6*12)</f>
        <v/>
      </c>
      <c r="G42" s="39">
        <f>INDEX(FS!$E$44:$BL$44,1,G$6*12)</f>
        <v/>
      </c>
      <c r="H42" s="39">
        <f>INDEX(FS!$E$44:$BL$44,1,H$6*12)</f>
        <v/>
      </c>
      <c r="I42" s="39">
        <f>INDEX(FS!$E$44:$BL$44,1,I$6*12)</f>
        <v/>
      </c>
    </row>
    <row r="43">
      <c r="A43" s="3" t="inlineStr">
        <is>
          <t>Total liabilities &amp; equity</t>
        </is>
      </c>
      <c r="E43" s="48">
        <f>INDEX(FS!$E$45:$BL$45,1,E$6*12)</f>
        <v/>
      </c>
      <c r="F43" s="48">
        <f>INDEX(FS!$E$45:$BL$45,1,F$6*12)</f>
        <v/>
      </c>
      <c r="G43" s="48">
        <f>INDEX(FS!$E$45:$BL$45,1,G$6*12)</f>
        <v/>
      </c>
      <c r="H43" s="48">
        <f>INDEX(FS!$E$45:$BL$45,1,H$6*12)</f>
        <v/>
      </c>
      <c r="I43" s="48">
        <f>INDEX(FS!$E$45:$BL$45,1,I$6*12)</f>
        <v/>
      </c>
    </row>
    <row r="44">
      <c r="A44" s="4" t="inlineStr">
        <is>
          <t>Balance check (should be 0)</t>
        </is>
      </c>
      <c r="E44" s="39">
        <f>INDEX(FS!$E$46:$BL$46,1,E$6*12)</f>
        <v/>
      </c>
      <c r="F44" s="39">
        <f>INDEX(FS!$E$46:$BL$46,1,F$6*12)</f>
        <v/>
      </c>
      <c r="G44" s="39">
        <f>INDEX(FS!$E$46:$BL$46,1,G$6*12)</f>
        <v/>
      </c>
      <c r="H44" s="39">
        <f>INDEX(FS!$E$46:$BL$46,1,H$6*12)</f>
        <v/>
      </c>
      <c r="I44" s="39">
        <f>INDEX(FS!$E$46:$BL$46,1,I$6*12)</f>
        <v/>
      </c>
    </row>
    <row r="45"/>
    <row r="46">
      <c r="A46" s="14" t="inlineStr">
        <is>
          <t>CASH FLOW STATEMENT</t>
        </is>
      </c>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c r="AA46" s="15" t="n"/>
      <c r="AB46" s="15" t="n"/>
      <c r="AC46" s="15" t="n"/>
      <c r="AD46" s="15" t="n"/>
      <c r="AE46" s="15" t="n"/>
      <c r="AF46" s="15" t="n"/>
      <c r="AG46" s="15" t="n"/>
      <c r="AH46" s="15" t="n"/>
      <c r="AI46" s="15" t="n"/>
      <c r="AJ46" s="15" t="n"/>
      <c r="AK46" s="15" t="n"/>
      <c r="AL46" s="15" t="n"/>
      <c r="AM46" s="15" t="n"/>
      <c r="AN46" s="15" t="n"/>
      <c r="AO46" s="15" t="n"/>
      <c r="AP46" s="15" t="n"/>
      <c r="AQ46" s="15" t="n"/>
      <c r="AR46" s="15" t="n"/>
      <c r="AS46" s="15" t="n"/>
      <c r="AT46" s="15" t="n"/>
      <c r="AU46" s="15" t="n"/>
      <c r="AV46" s="15" t="n"/>
      <c r="AW46" s="15" t="n"/>
      <c r="AX46" s="15" t="n"/>
      <c r="AY46" s="15" t="n"/>
      <c r="AZ46" s="15" t="n"/>
      <c r="BA46" s="15" t="n"/>
      <c r="BB46" s="15" t="n"/>
      <c r="BC46" s="15" t="n"/>
      <c r="BD46" s="15" t="n"/>
      <c r="BE46" s="15" t="n"/>
      <c r="BF46" s="15" t="n"/>
      <c r="BG46" s="15" t="n"/>
      <c r="BH46" s="15" t="n"/>
      <c r="BI46" s="15" t="n"/>
      <c r="BJ46" s="15" t="n"/>
      <c r="BK46" s="15" t="n"/>
      <c r="BL46" s="15" t="n"/>
    </row>
    <row r="47">
      <c r="A47" s="4" t="inlineStr">
        <is>
          <t>Net income</t>
        </is>
      </c>
      <c r="E47" s="39">
        <f>SUMIFS(FS!$E$49:$BL$49,Timeline!$E$6:$BL$6,E$6)</f>
        <v/>
      </c>
      <c r="F47" s="39">
        <f>SUMIFS(FS!$E$49:$BL$49,Timeline!$E$6:$BL$6,F$6)</f>
        <v/>
      </c>
      <c r="G47" s="39">
        <f>SUMIFS(FS!$E$49:$BL$49,Timeline!$E$6:$BL$6,G$6)</f>
        <v/>
      </c>
      <c r="H47" s="39">
        <f>SUMIFS(FS!$E$49:$BL$49,Timeline!$E$6:$BL$6,H$6)</f>
        <v/>
      </c>
      <c r="I47" s="39">
        <f>SUMIFS(FS!$E$49:$BL$49,Timeline!$E$6:$BL$6,I$6)</f>
        <v/>
      </c>
    </row>
    <row r="48">
      <c r="A48" s="4" t="inlineStr">
        <is>
          <t>Add back: depreciation</t>
        </is>
      </c>
      <c r="E48" s="39">
        <f>SUMIFS(FS!$E$50:$BL$50,Timeline!$E$6:$BL$6,E$6)</f>
        <v/>
      </c>
      <c r="F48" s="39">
        <f>SUMIFS(FS!$E$50:$BL$50,Timeline!$E$6:$BL$6,F$6)</f>
        <v/>
      </c>
      <c r="G48" s="39">
        <f>SUMIFS(FS!$E$50:$BL$50,Timeline!$E$6:$BL$6,G$6)</f>
        <v/>
      </c>
      <c r="H48" s="39">
        <f>SUMIFS(FS!$E$50:$BL$50,Timeline!$E$6:$BL$6,H$6)</f>
        <v/>
      </c>
      <c r="I48" s="39">
        <f>SUMIFS(FS!$E$50:$BL$50,Timeline!$E$6:$BL$6,I$6)</f>
        <v/>
      </c>
    </row>
    <row r="49">
      <c r="A49" s="4" t="inlineStr">
        <is>
          <t>Add back: unrealised FX loss</t>
        </is>
      </c>
      <c r="E49" s="39">
        <f>SUMIFS(FS!$E$51:$BL$51,Timeline!$E$6:$BL$6,E$6)</f>
        <v/>
      </c>
      <c r="F49" s="39">
        <f>SUMIFS(FS!$E$51:$BL$51,Timeline!$E$6:$BL$6,F$6)</f>
        <v/>
      </c>
      <c r="G49" s="39">
        <f>SUMIFS(FS!$E$51:$BL$51,Timeline!$E$6:$BL$6,G$6)</f>
        <v/>
      </c>
      <c r="H49" s="39">
        <f>SUMIFS(FS!$E$51:$BL$51,Timeline!$E$6:$BL$6,H$6)</f>
        <v/>
      </c>
      <c r="I49" s="39">
        <f>SUMIFS(FS!$E$51:$BL$51,Timeline!$E$6:$BL$6,I$6)</f>
        <v/>
      </c>
    </row>
    <row r="50">
      <c r="A50" s="4" t="inlineStr">
        <is>
          <t>(Increase) / decrease in net receivables</t>
        </is>
      </c>
      <c r="E50" s="39">
        <f>SUMIFS(FS!$E$52:$BL$52,Timeline!$E$6:$BL$6,E$6)</f>
        <v/>
      </c>
      <c r="F50" s="39">
        <f>SUMIFS(FS!$E$52:$BL$52,Timeline!$E$6:$BL$6,F$6)</f>
        <v/>
      </c>
      <c r="G50" s="39">
        <f>SUMIFS(FS!$E$52:$BL$52,Timeline!$E$6:$BL$6,G$6)</f>
        <v/>
      </c>
      <c r="H50" s="39">
        <f>SUMIFS(FS!$E$52:$BL$52,Timeline!$E$6:$BL$6,H$6)</f>
        <v/>
      </c>
      <c r="I50" s="39">
        <f>SUMIFS(FS!$E$52:$BL$52,Timeline!$E$6:$BL$6,I$6)</f>
        <v/>
      </c>
    </row>
    <row r="51">
      <c r="A51" s="4" t="inlineStr">
        <is>
          <t>(Increase) / decrease in inventory</t>
        </is>
      </c>
      <c r="E51" s="39">
        <f>SUMIFS(FS!$E$53:$BL$53,Timeline!$E$6:$BL$6,E$6)</f>
        <v/>
      </c>
      <c r="F51" s="39">
        <f>SUMIFS(FS!$E$53:$BL$53,Timeline!$E$6:$BL$6,F$6)</f>
        <v/>
      </c>
      <c r="G51" s="39">
        <f>SUMIFS(FS!$E$53:$BL$53,Timeline!$E$6:$BL$6,G$6)</f>
        <v/>
      </c>
      <c r="H51" s="39">
        <f>SUMIFS(FS!$E$53:$BL$53,Timeline!$E$6:$BL$6,H$6)</f>
        <v/>
      </c>
      <c r="I51" s="39">
        <f>SUMIFS(FS!$E$53:$BL$53,Timeline!$E$6:$BL$6,I$6)</f>
        <v/>
      </c>
    </row>
    <row r="52">
      <c r="A52" s="4" t="inlineStr">
        <is>
          <t>Increase / (decrease) in payables</t>
        </is>
      </c>
      <c r="E52" s="39">
        <f>SUMIFS(FS!$E$54:$BL$54,Timeline!$E$6:$BL$6,E$6)</f>
        <v/>
      </c>
      <c r="F52" s="39">
        <f>SUMIFS(FS!$E$54:$BL$54,Timeline!$E$6:$BL$6,F$6)</f>
        <v/>
      </c>
      <c r="G52" s="39">
        <f>SUMIFS(FS!$E$54:$BL$54,Timeline!$E$6:$BL$6,G$6)</f>
        <v/>
      </c>
      <c r="H52" s="39">
        <f>SUMIFS(FS!$E$54:$BL$54,Timeline!$E$6:$BL$6,H$6)</f>
        <v/>
      </c>
      <c r="I52" s="39">
        <f>SUMIFS(FS!$E$54:$BL$54,Timeline!$E$6:$BL$6,I$6)</f>
        <v/>
      </c>
    </row>
    <row r="53">
      <c r="A53" s="3" t="inlineStr">
        <is>
          <t>Cash flow from operations</t>
        </is>
      </c>
      <c r="E53" s="48">
        <f>SUMIFS(FS!$E$55:$BL$55,Timeline!$E$6:$BL$6,E$6)</f>
        <v/>
      </c>
      <c r="F53" s="48">
        <f>SUMIFS(FS!$E$55:$BL$55,Timeline!$E$6:$BL$6,F$6)</f>
        <v/>
      </c>
      <c r="G53" s="48">
        <f>SUMIFS(FS!$E$55:$BL$55,Timeline!$E$6:$BL$6,G$6)</f>
        <v/>
      </c>
      <c r="H53" s="48">
        <f>SUMIFS(FS!$E$55:$BL$55,Timeline!$E$6:$BL$6,H$6)</f>
        <v/>
      </c>
      <c r="I53" s="48">
        <f>SUMIFS(FS!$E$55:$BL$55,Timeline!$E$6:$BL$6,I$6)</f>
        <v/>
      </c>
    </row>
    <row r="54">
      <c r="A54" s="4" t="inlineStr">
        <is>
          <t>Cash flow from investing (capex)</t>
        </is>
      </c>
      <c r="E54" s="39">
        <f>SUMIFS(FS!$E$56:$BL$56,Timeline!$E$6:$BL$6,E$6)</f>
        <v/>
      </c>
      <c r="F54" s="39">
        <f>SUMIFS(FS!$E$56:$BL$56,Timeline!$E$6:$BL$6,F$6)</f>
        <v/>
      </c>
      <c r="G54" s="39">
        <f>SUMIFS(FS!$E$56:$BL$56,Timeline!$E$6:$BL$6,G$6)</f>
        <v/>
      </c>
      <c r="H54" s="39">
        <f>SUMIFS(FS!$E$56:$BL$56,Timeline!$E$6:$BL$6,H$6)</f>
        <v/>
      </c>
      <c r="I54" s="39">
        <f>SUMIFS(FS!$E$56:$BL$56,Timeline!$E$6:$BL$6,I$6)</f>
        <v/>
      </c>
    </row>
    <row r="55">
      <c r="A55" s="4" t="inlineStr">
        <is>
          <t>Term loan drawdown / (repayment)</t>
        </is>
      </c>
      <c r="E55" s="39">
        <f>SUMIFS(FS!$E$57:$BL$57,Timeline!$E$6:$BL$6,E$6)</f>
        <v/>
      </c>
      <c r="F55" s="39">
        <f>SUMIFS(FS!$E$57:$BL$57,Timeline!$E$6:$BL$6,F$6)</f>
        <v/>
      </c>
      <c r="G55" s="39">
        <f>SUMIFS(FS!$E$57:$BL$57,Timeline!$E$6:$BL$6,G$6)</f>
        <v/>
      </c>
      <c r="H55" s="39">
        <f>SUMIFS(FS!$E$57:$BL$57,Timeline!$E$6:$BL$6,H$6)</f>
        <v/>
      </c>
      <c r="I55" s="39">
        <f>SUMIFS(FS!$E$57:$BL$57,Timeline!$E$6:$BL$6,I$6)</f>
        <v/>
      </c>
    </row>
    <row r="56">
      <c r="A56" s="4" t="inlineStr">
        <is>
          <t>Receivables facility drawdown / (repayment)</t>
        </is>
      </c>
      <c r="E56" s="39">
        <f>SUMIFS(FS!$E$58:$BL$58,Timeline!$E$6:$BL$6,E$6)</f>
        <v/>
      </c>
      <c r="F56" s="39">
        <f>SUMIFS(FS!$E$58:$BL$58,Timeline!$E$6:$BL$6,F$6)</f>
        <v/>
      </c>
      <c r="G56" s="39">
        <f>SUMIFS(FS!$E$58:$BL$58,Timeline!$E$6:$BL$6,G$6)</f>
        <v/>
      </c>
      <c r="H56" s="39">
        <f>SUMIFS(FS!$E$58:$BL$58,Timeline!$E$6:$BL$6,H$6)</f>
        <v/>
      </c>
      <c r="I56" s="39">
        <f>SUMIFS(FS!$E$58:$BL$58,Timeline!$E$6:$BL$6,I$6)</f>
        <v/>
      </c>
    </row>
    <row r="57">
      <c r="A57" s="4" t="inlineStr">
        <is>
          <t>Equity - initial</t>
        </is>
      </c>
      <c r="E57" s="39">
        <f>SUMIFS(FS!$E$59:$BL$59,Timeline!$E$6:$BL$6,E$6)</f>
        <v/>
      </c>
      <c r="F57" s="39">
        <f>SUMIFS(FS!$E$59:$BL$59,Timeline!$E$6:$BL$6,F$6)</f>
        <v/>
      </c>
      <c r="G57" s="39">
        <f>SUMIFS(FS!$E$59:$BL$59,Timeline!$E$6:$BL$6,G$6)</f>
        <v/>
      </c>
      <c r="H57" s="39">
        <f>SUMIFS(FS!$E$59:$BL$59,Timeline!$E$6:$BL$6,H$6)</f>
        <v/>
      </c>
      <c r="I57" s="39">
        <f>SUMIFS(FS!$E$59:$BL$59,Timeline!$E$6:$BL$6,I$6)</f>
        <v/>
      </c>
    </row>
    <row r="58">
      <c r="A58" s="4" t="inlineStr">
        <is>
          <t>Cash before equity top-up</t>
        </is>
      </c>
      <c r="E58" s="39">
        <f>INDEX(FS!$E$61:$BL$61,1,E$6*12)</f>
        <v/>
      </c>
      <c r="F58" s="39">
        <f>INDEX(FS!$E$61:$BL$61,1,F$6*12)</f>
        <v/>
      </c>
      <c r="G58" s="39">
        <f>INDEX(FS!$E$61:$BL$61,1,G$6*12)</f>
        <v/>
      </c>
      <c r="H58" s="39">
        <f>INDEX(FS!$E$61:$BL$61,1,H$6*12)</f>
        <v/>
      </c>
      <c r="I58" s="39">
        <f>INDEX(FS!$E$61:$BL$61,1,I$6*12)</f>
        <v/>
      </c>
    </row>
    <row r="59">
      <c r="A59" s="4" t="inlineStr">
        <is>
          <t>Equity top-up to maintain minimum cash</t>
        </is>
      </c>
      <c r="E59" s="39">
        <f>SUMIFS(FS!$E$62:$BL$62,Timeline!$E$6:$BL$6,E$6)</f>
        <v/>
      </c>
      <c r="F59" s="39">
        <f>SUMIFS(FS!$E$62:$BL$62,Timeline!$E$6:$BL$6,F$6)</f>
        <v/>
      </c>
      <c r="G59" s="39">
        <f>SUMIFS(FS!$E$62:$BL$62,Timeline!$E$6:$BL$6,G$6)</f>
        <v/>
      </c>
      <c r="H59" s="39">
        <f>SUMIFS(FS!$E$62:$BL$62,Timeline!$E$6:$BL$6,H$6)</f>
        <v/>
      </c>
      <c r="I59" s="39">
        <f>SUMIFS(FS!$E$62:$BL$62,Timeline!$E$6:$BL$6,I$6)</f>
        <v/>
      </c>
    </row>
    <row r="60">
      <c r="A60" s="3" t="inlineStr">
        <is>
          <t>Closing cash</t>
        </is>
      </c>
      <c r="E60" s="48">
        <f>INDEX(FS!$E$63:$BL$63,1,E$6*12)</f>
        <v/>
      </c>
      <c r="F60" s="48">
        <f>INDEX(FS!$E$63:$BL$63,1,F$6*12)</f>
        <v/>
      </c>
      <c r="G60" s="48">
        <f>INDEX(FS!$E$63:$BL$63,1,G$6*12)</f>
        <v/>
      </c>
      <c r="H60" s="48">
        <f>INDEX(FS!$E$63:$BL$63,1,H$6*12)</f>
        <v/>
      </c>
      <c r="I60" s="48">
        <f>INDEX(FS!$E$63:$BL$63,1,I$6*12)</f>
        <v/>
      </c>
    </row>
  </sheetData>
  <pageMargins left="0.75" right="0.75" top="1" bottom="1" header="0.5" footer="0.5"/>
  <pageSetup orientation="landscape" fitToHeight="0" fitToWidth="1"/>
</worksheet>
</file>

<file path=xl/worksheets/sheet13.xml><?xml version="1.0" encoding="utf-8"?>
<worksheet xmlns="http://schemas.openxmlformats.org/spreadsheetml/2006/main">
  <sheetPr>
    <outlinePr summaryBelow="1" summaryRight="1"/>
    <pageSetUpPr fitToPage="1"/>
  </sheetPr>
  <dimension ref="A1:BL67"/>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Financial statements (monthly)</t>
        </is>
      </c>
    </row>
    <row r="2">
      <c r="A2" s="2" t="inlineStr">
        <is>
          <t>LCY. Simplified IFRS-style presentation; simplifications listed in the manual.</t>
        </is>
      </c>
    </row>
    <row r="3"/>
    <row r="4">
      <c r="A4" s="51" t="inlineStr">
        <is>
          <t>Month #</t>
        </is>
      </c>
      <c r="B4" s="52" t="n"/>
      <c r="C4" s="52" t="n"/>
      <c r="D4" s="51" t="inlineStr">
        <is>
          <t>Opening</t>
        </is>
      </c>
      <c r="E4" s="53">
        <f>Timeline!E4</f>
        <v/>
      </c>
      <c r="F4" s="53">
        <f>Timeline!F4</f>
        <v/>
      </c>
      <c r="G4" s="53">
        <f>Timeline!G4</f>
        <v/>
      </c>
      <c r="H4" s="53">
        <f>Timeline!H4</f>
        <v/>
      </c>
      <c r="I4" s="53">
        <f>Timeline!I4</f>
        <v/>
      </c>
      <c r="J4" s="53">
        <f>Timeline!J4</f>
        <v/>
      </c>
      <c r="K4" s="53">
        <f>Timeline!K4</f>
        <v/>
      </c>
      <c r="L4" s="53">
        <f>Timeline!L4</f>
        <v/>
      </c>
      <c r="M4" s="53">
        <f>Timeline!M4</f>
        <v/>
      </c>
      <c r="N4" s="53">
        <f>Timeline!N4</f>
        <v/>
      </c>
      <c r="O4" s="53">
        <f>Timeline!O4</f>
        <v/>
      </c>
      <c r="P4" s="53">
        <f>Timeline!P4</f>
        <v/>
      </c>
      <c r="Q4" s="53">
        <f>Timeline!Q4</f>
        <v/>
      </c>
      <c r="R4" s="53">
        <f>Timeline!R4</f>
        <v/>
      </c>
      <c r="S4" s="53">
        <f>Timeline!S4</f>
        <v/>
      </c>
      <c r="T4" s="53">
        <f>Timeline!T4</f>
        <v/>
      </c>
      <c r="U4" s="53">
        <f>Timeline!U4</f>
        <v/>
      </c>
      <c r="V4" s="53">
        <f>Timeline!V4</f>
        <v/>
      </c>
      <c r="W4" s="53">
        <f>Timeline!W4</f>
        <v/>
      </c>
      <c r="X4" s="53">
        <f>Timeline!X4</f>
        <v/>
      </c>
      <c r="Y4" s="53">
        <f>Timeline!Y4</f>
        <v/>
      </c>
      <c r="Z4" s="53">
        <f>Timeline!Z4</f>
        <v/>
      </c>
      <c r="AA4" s="53">
        <f>Timeline!AA4</f>
        <v/>
      </c>
      <c r="AB4" s="53">
        <f>Timeline!AB4</f>
        <v/>
      </c>
      <c r="AC4" s="53">
        <f>Timeline!AC4</f>
        <v/>
      </c>
      <c r="AD4" s="53">
        <f>Timeline!AD4</f>
        <v/>
      </c>
      <c r="AE4" s="53">
        <f>Timeline!AE4</f>
        <v/>
      </c>
      <c r="AF4" s="53">
        <f>Timeline!AF4</f>
        <v/>
      </c>
      <c r="AG4" s="53">
        <f>Timeline!AG4</f>
        <v/>
      </c>
      <c r="AH4" s="53">
        <f>Timeline!AH4</f>
        <v/>
      </c>
      <c r="AI4" s="53">
        <f>Timeline!AI4</f>
        <v/>
      </c>
      <c r="AJ4" s="53">
        <f>Timeline!AJ4</f>
        <v/>
      </c>
      <c r="AK4" s="53">
        <f>Timeline!AK4</f>
        <v/>
      </c>
      <c r="AL4" s="53">
        <f>Timeline!AL4</f>
        <v/>
      </c>
      <c r="AM4" s="53">
        <f>Timeline!AM4</f>
        <v/>
      </c>
      <c r="AN4" s="53">
        <f>Timeline!AN4</f>
        <v/>
      </c>
      <c r="AO4" s="53">
        <f>Timeline!AO4</f>
        <v/>
      </c>
      <c r="AP4" s="53">
        <f>Timeline!AP4</f>
        <v/>
      </c>
      <c r="AQ4" s="53">
        <f>Timeline!AQ4</f>
        <v/>
      </c>
      <c r="AR4" s="53">
        <f>Timeline!AR4</f>
        <v/>
      </c>
      <c r="AS4" s="53">
        <f>Timeline!AS4</f>
        <v/>
      </c>
      <c r="AT4" s="53">
        <f>Timeline!AT4</f>
        <v/>
      </c>
      <c r="AU4" s="53">
        <f>Timeline!AU4</f>
        <v/>
      </c>
      <c r="AV4" s="53">
        <f>Timeline!AV4</f>
        <v/>
      </c>
      <c r="AW4" s="53">
        <f>Timeline!AW4</f>
        <v/>
      </c>
      <c r="AX4" s="53">
        <f>Timeline!AX4</f>
        <v/>
      </c>
      <c r="AY4" s="53">
        <f>Timeline!AY4</f>
        <v/>
      </c>
      <c r="AZ4" s="53">
        <f>Timeline!AZ4</f>
        <v/>
      </c>
      <c r="BA4" s="53">
        <f>Timeline!BA4</f>
        <v/>
      </c>
      <c r="BB4" s="53">
        <f>Timeline!BB4</f>
        <v/>
      </c>
      <c r="BC4" s="53">
        <f>Timeline!BC4</f>
        <v/>
      </c>
      <c r="BD4" s="53">
        <f>Timeline!BD4</f>
        <v/>
      </c>
      <c r="BE4" s="53">
        <f>Timeline!BE4</f>
        <v/>
      </c>
      <c r="BF4" s="53">
        <f>Timeline!BF4</f>
        <v/>
      </c>
      <c r="BG4" s="53">
        <f>Timeline!BG4</f>
        <v/>
      </c>
      <c r="BH4" s="53">
        <f>Timeline!BH4</f>
        <v/>
      </c>
      <c r="BI4" s="53">
        <f>Timeline!BI4</f>
        <v/>
      </c>
      <c r="BJ4" s="53">
        <f>Timeline!BJ4</f>
        <v/>
      </c>
      <c r="BK4" s="53">
        <f>Timeline!BK4</f>
        <v/>
      </c>
      <c r="BL4" s="53">
        <f>Timeline!BL4</f>
        <v/>
      </c>
    </row>
    <row r="5">
      <c r="A5" s="51" t="inlineStr">
        <is>
          <t>Period end</t>
        </is>
      </c>
      <c r="B5" s="52" t="n"/>
      <c r="C5" s="52" t="n"/>
      <c r="D5" s="51" t="n"/>
      <c r="E5" s="54">
        <f>Timeline!E5</f>
        <v/>
      </c>
      <c r="F5" s="54">
        <f>Timeline!F5</f>
        <v/>
      </c>
      <c r="G5" s="54">
        <f>Timeline!G5</f>
        <v/>
      </c>
      <c r="H5" s="54">
        <f>Timeline!H5</f>
        <v/>
      </c>
      <c r="I5" s="54">
        <f>Timeline!I5</f>
        <v/>
      </c>
      <c r="J5" s="54">
        <f>Timeline!J5</f>
        <v/>
      </c>
      <c r="K5" s="54">
        <f>Timeline!K5</f>
        <v/>
      </c>
      <c r="L5" s="54">
        <f>Timeline!L5</f>
        <v/>
      </c>
      <c r="M5" s="54">
        <f>Timeline!M5</f>
        <v/>
      </c>
      <c r="N5" s="54">
        <f>Timeline!N5</f>
        <v/>
      </c>
      <c r="O5" s="54">
        <f>Timeline!O5</f>
        <v/>
      </c>
      <c r="P5" s="54">
        <f>Timeline!P5</f>
        <v/>
      </c>
      <c r="Q5" s="54">
        <f>Timeline!Q5</f>
        <v/>
      </c>
      <c r="R5" s="54">
        <f>Timeline!R5</f>
        <v/>
      </c>
      <c r="S5" s="54">
        <f>Timeline!S5</f>
        <v/>
      </c>
      <c r="T5" s="54">
        <f>Timeline!T5</f>
        <v/>
      </c>
      <c r="U5" s="54">
        <f>Timeline!U5</f>
        <v/>
      </c>
      <c r="V5" s="54">
        <f>Timeline!V5</f>
        <v/>
      </c>
      <c r="W5" s="54">
        <f>Timeline!W5</f>
        <v/>
      </c>
      <c r="X5" s="54">
        <f>Timeline!X5</f>
        <v/>
      </c>
      <c r="Y5" s="54">
        <f>Timeline!Y5</f>
        <v/>
      </c>
      <c r="Z5" s="54">
        <f>Timeline!Z5</f>
        <v/>
      </c>
      <c r="AA5" s="54">
        <f>Timeline!AA5</f>
        <v/>
      </c>
      <c r="AB5" s="54">
        <f>Timeline!AB5</f>
        <v/>
      </c>
      <c r="AC5" s="54">
        <f>Timeline!AC5</f>
        <v/>
      </c>
      <c r="AD5" s="54">
        <f>Timeline!AD5</f>
        <v/>
      </c>
      <c r="AE5" s="54">
        <f>Timeline!AE5</f>
        <v/>
      </c>
      <c r="AF5" s="54">
        <f>Timeline!AF5</f>
        <v/>
      </c>
      <c r="AG5" s="54">
        <f>Timeline!AG5</f>
        <v/>
      </c>
      <c r="AH5" s="54">
        <f>Timeline!AH5</f>
        <v/>
      </c>
      <c r="AI5" s="54">
        <f>Timeline!AI5</f>
        <v/>
      </c>
      <c r="AJ5" s="54">
        <f>Timeline!AJ5</f>
        <v/>
      </c>
      <c r="AK5" s="54">
        <f>Timeline!AK5</f>
        <v/>
      </c>
      <c r="AL5" s="54">
        <f>Timeline!AL5</f>
        <v/>
      </c>
      <c r="AM5" s="54">
        <f>Timeline!AM5</f>
        <v/>
      </c>
      <c r="AN5" s="54">
        <f>Timeline!AN5</f>
        <v/>
      </c>
      <c r="AO5" s="54">
        <f>Timeline!AO5</f>
        <v/>
      </c>
      <c r="AP5" s="54">
        <f>Timeline!AP5</f>
        <v/>
      </c>
      <c r="AQ5" s="54">
        <f>Timeline!AQ5</f>
        <v/>
      </c>
      <c r="AR5" s="54">
        <f>Timeline!AR5</f>
        <v/>
      </c>
      <c r="AS5" s="54">
        <f>Timeline!AS5</f>
        <v/>
      </c>
      <c r="AT5" s="54">
        <f>Timeline!AT5</f>
        <v/>
      </c>
      <c r="AU5" s="54">
        <f>Timeline!AU5</f>
        <v/>
      </c>
      <c r="AV5" s="54">
        <f>Timeline!AV5</f>
        <v/>
      </c>
      <c r="AW5" s="54">
        <f>Timeline!AW5</f>
        <v/>
      </c>
      <c r="AX5" s="54">
        <f>Timeline!AX5</f>
        <v/>
      </c>
      <c r="AY5" s="54">
        <f>Timeline!AY5</f>
        <v/>
      </c>
      <c r="AZ5" s="54">
        <f>Timeline!AZ5</f>
        <v/>
      </c>
      <c r="BA5" s="54">
        <f>Timeline!BA5</f>
        <v/>
      </c>
      <c r="BB5" s="54">
        <f>Timeline!BB5</f>
        <v/>
      </c>
      <c r="BC5" s="54">
        <f>Timeline!BC5</f>
        <v/>
      </c>
      <c r="BD5" s="54">
        <f>Timeline!BD5</f>
        <v/>
      </c>
      <c r="BE5" s="54">
        <f>Timeline!BE5</f>
        <v/>
      </c>
      <c r="BF5" s="54">
        <f>Timeline!BF5</f>
        <v/>
      </c>
      <c r="BG5" s="54">
        <f>Timeline!BG5</f>
        <v/>
      </c>
      <c r="BH5" s="54">
        <f>Timeline!BH5</f>
        <v/>
      </c>
      <c r="BI5" s="54">
        <f>Timeline!BI5</f>
        <v/>
      </c>
      <c r="BJ5" s="54">
        <f>Timeline!BJ5</f>
        <v/>
      </c>
      <c r="BK5" s="54">
        <f>Timeline!BK5</f>
        <v/>
      </c>
      <c r="BL5" s="54">
        <f>Timeline!BL5</f>
        <v/>
      </c>
    </row>
    <row r="6">
      <c r="A6" s="51" t="inlineStr">
        <is>
          <t>Year #</t>
        </is>
      </c>
      <c r="B6" s="52" t="n"/>
      <c r="C6" s="52" t="n"/>
      <c r="D6" s="51" t="n"/>
      <c r="E6" s="53">
        <f>Timeline!E6</f>
        <v/>
      </c>
      <c r="F6" s="53">
        <f>Timeline!F6</f>
        <v/>
      </c>
      <c r="G6" s="53">
        <f>Timeline!G6</f>
        <v/>
      </c>
      <c r="H6" s="53">
        <f>Timeline!H6</f>
        <v/>
      </c>
      <c r="I6" s="53">
        <f>Timeline!I6</f>
        <v/>
      </c>
      <c r="J6" s="53">
        <f>Timeline!J6</f>
        <v/>
      </c>
      <c r="K6" s="53">
        <f>Timeline!K6</f>
        <v/>
      </c>
      <c r="L6" s="53">
        <f>Timeline!L6</f>
        <v/>
      </c>
      <c r="M6" s="53">
        <f>Timeline!M6</f>
        <v/>
      </c>
      <c r="N6" s="53">
        <f>Timeline!N6</f>
        <v/>
      </c>
      <c r="O6" s="53">
        <f>Timeline!O6</f>
        <v/>
      </c>
      <c r="P6" s="53">
        <f>Timeline!P6</f>
        <v/>
      </c>
      <c r="Q6" s="53">
        <f>Timeline!Q6</f>
        <v/>
      </c>
      <c r="R6" s="53">
        <f>Timeline!R6</f>
        <v/>
      </c>
      <c r="S6" s="53">
        <f>Timeline!S6</f>
        <v/>
      </c>
      <c r="T6" s="53">
        <f>Timeline!T6</f>
        <v/>
      </c>
      <c r="U6" s="53">
        <f>Timeline!U6</f>
        <v/>
      </c>
      <c r="V6" s="53">
        <f>Timeline!V6</f>
        <v/>
      </c>
      <c r="W6" s="53">
        <f>Timeline!W6</f>
        <v/>
      </c>
      <c r="X6" s="53">
        <f>Timeline!X6</f>
        <v/>
      </c>
      <c r="Y6" s="53">
        <f>Timeline!Y6</f>
        <v/>
      </c>
      <c r="Z6" s="53">
        <f>Timeline!Z6</f>
        <v/>
      </c>
      <c r="AA6" s="53">
        <f>Timeline!AA6</f>
        <v/>
      </c>
      <c r="AB6" s="53">
        <f>Timeline!AB6</f>
        <v/>
      </c>
      <c r="AC6" s="53">
        <f>Timeline!AC6</f>
        <v/>
      </c>
      <c r="AD6" s="53">
        <f>Timeline!AD6</f>
        <v/>
      </c>
      <c r="AE6" s="53">
        <f>Timeline!AE6</f>
        <v/>
      </c>
      <c r="AF6" s="53">
        <f>Timeline!AF6</f>
        <v/>
      </c>
      <c r="AG6" s="53">
        <f>Timeline!AG6</f>
        <v/>
      </c>
      <c r="AH6" s="53">
        <f>Timeline!AH6</f>
        <v/>
      </c>
      <c r="AI6" s="53">
        <f>Timeline!AI6</f>
        <v/>
      </c>
      <c r="AJ6" s="53">
        <f>Timeline!AJ6</f>
        <v/>
      </c>
      <c r="AK6" s="53">
        <f>Timeline!AK6</f>
        <v/>
      </c>
      <c r="AL6" s="53">
        <f>Timeline!AL6</f>
        <v/>
      </c>
      <c r="AM6" s="53">
        <f>Timeline!AM6</f>
        <v/>
      </c>
      <c r="AN6" s="53">
        <f>Timeline!AN6</f>
        <v/>
      </c>
      <c r="AO6" s="53">
        <f>Timeline!AO6</f>
        <v/>
      </c>
      <c r="AP6" s="53">
        <f>Timeline!AP6</f>
        <v/>
      </c>
      <c r="AQ6" s="53">
        <f>Timeline!AQ6</f>
        <v/>
      </c>
      <c r="AR6" s="53">
        <f>Timeline!AR6</f>
        <v/>
      </c>
      <c r="AS6" s="53">
        <f>Timeline!AS6</f>
        <v/>
      </c>
      <c r="AT6" s="53">
        <f>Timeline!AT6</f>
        <v/>
      </c>
      <c r="AU6" s="53">
        <f>Timeline!AU6</f>
        <v/>
      </c>
      <c r="AV6" s="53">
        <f>Timeline!AV6</f>
        <v/>
      </c>
      <c r="AW6" s="53">
        <f>Timeline!AW6</f>
        <v/>
      </c>
      <c r="AX6" s="53">
        <f>Timeline!AX6</f>
        <v/>
      </c>
      <c r="AY6" s="53">
        <f>Timeline!AY6</f>
        <v/>
      </c>
      <c r="AZ6" s="53">
        <f>Timeline!AZ6</f>
        <v/>
      </c>
      <c r="BA6" s="53">
        <f>Timeline!BA6</f>
        <v/>
      </c>
      <c r="BB6" s="53">
        <f>Timeline!BB6</f>
        <v/>
      </c>
      <c r="BC6" s="53">
        <f>Timeline!BC6</f>
        <v/>
      </c>
      <c r="BD6" s="53">
        <f>Timeline!BD6</f>
        <v/>
      </c>
      <c r="BE6" s="53">
        <f>Timeline!BE6</f>
        <v/>
      </c>
      <c r="BF6" s="53">
        <f>Timeline!BF6</f>
        <v/>
      </c>
      <c r="BG6" s="53">
        <f>Timeline!BG6</f>
        <v/>
      </c>
      <c r="BH6" s="53">
        <f>Timeline!BH6</f>
        <v/>
      </c>
      <c r="BI6" s="53">
        <f>Timeline!BI6</f>
        <v/>
      </c>
      <c r="BJ6" s="53">
        <f>Timeline!BJ6</f>
        <v/>
      </c>
      <c r="BK6" s="53">
        <f>Timeline!BK6</f>
        <v/>
      </c>
      <c r="BL6" s="53">
        <f>Timeline!BL6</f>
        <v/>
      </c>
    </row>
    <row r="7"/>
    <row r="8">
      <c r="A8" s="14" t="inlineStr">
        <is>
          <t>INCOME STATEMENT</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55" t="inlineStr">
        <is>
          <t>Hardware revenue (cash price)</t>
        </is>
      </c>
      <c r="B9" s="26" t="inlineStr">
        <is>
          <t>LCY</t>
        </is>
      </c>
      <c r="C9" s="58">
        <f>SUM(E9:BL9)</f>
        <v/>
      </c>
      <c r="E9" s="17">
        <f>Ops!E$137</f>
        <v/>
      </c>
      <c r="F9" s="17">
        <f>Ops!F$137</f>
        <v/>
      </c>
      <c r="G9" s="17">
        <f>Ops!G$137</f>
        <v/>
      </c>
      <c r="H9" s="17">
        <f>Ops!H$137</f>
        <v/>
      </c>
      <c r="I9" s="17">
        <f>Ops!I$137</f>
        <v/>
      </c>
      <c r="J9" s="17">
        <f>Ops!J$137</f>
        <v/>
      </c>
      <c r="K9" s="17">
        <f>Ops!K$137</f>
        <v/>
      </c>
      <c r="L9" s="17">
        <f>Ops!L$137</f>
        <v/>
      </c>
      <c r="M9" s="17">
        <f>Ops!M$137</f>
        <v/>
      </c>
      <c r="N9" s="17">
        <f>Ops!N$137</f>
        <v/>
      </c>
      <c r="O9" s="17">
        <f>Ops!O$137</f>
        <v/>
      </c>
      <c r="P9" s="17">
        <f>Ops!P$137</f>
        <v/>
      </c>
      <c r="Q9" s="17">
        <f>Ops!Q$137</f>
        <v/>
      </c>
      <c r="R9" s="17">
        <f>Ops!R$137</f>
        <v/>
      </c>
      <c r="S9" s="17">
        <f>Ops!S$137</f>
        <v/>
      </c>
      <c r="T9" s="17">
        <f>Ops!T$137</f>
        <v/>
      </c>
      <c r="U9" s="17">
        <f>Ops!U$137</f>
        <v/>
      </c>
      <c r="V9" s="17">
        <f>Ops!V$137</f>
        <v/>
      </c>
      <c r="W9" s="17">
        <f>Ops!W$137</f>
        <v/>
      </c>
      <c r="X9" s="17">
        <f>Ops!X$137</f>
        <v/>
      </c>
      <c r="Y9" s="17">
        <f>Ops!Y$137</f>
        <v/>
      </c>
      <c r="Z9" s="17">
        <f>Ops!Z$137</f>
        <v/>
      </c>
      <c r="AA9" s="17">
        <f>Ops!AA$137</f>
        <v/>
      </c>
      <c r="AB9" s="17">
        <f>Ops!AB$137</f>
        <v/>
      </c>
      <c r="AC9" s="17">
        <f>Ops!AC$137</f>
        <v/>
      </c>
      <c r="AD9" s="17">
        <f>Ops!AD$137</f>
        <v/>
      </c>
      <c r="AE9" s="17">
        <f>Ops!AE$137</f>
        <v/>
      </c>
      <c r="AF9" s="17">
        <f>Ops!AF$137</f>
        <v/>
      </c>
      <c r="AG9" s="17">
        <f>Ops!AG$137</f>
        <v/>
      </c>
      <c r="AH9" s="17">
        <f>Ops!AH$137</f>
        <v/>
      </c>
      <c r="AI9" s="17">
        <f>Ops!AI$137</f>
        <v/>
      </c>
      <c r="AJ9" s="17">
        <f>Ops!AJ$137</f>
        <v/>
      </c>
      <c r="AK9" s="17">
        <f>Ops!AK$137</f>
        <v/>
      </c>
      <c r="AL9" s="17">
        <f>Ops!AL$137</f>
        <v/>
      </c>
      <c r="AM9" s="17">
        <f>Ops!AM$137</f>
        <v/>
      </c>
      <c r="AN9" s="17">
        <f>Ops!AN$137</f>
        <v/>
      </c>
      <c r="AO9" s="17">
        <f>Ops!AO$137</f>
        <v/>
      </c>
      <c r="AP9" s="17">
        <f>Ops!AP$137</f>
        <v/>
      </c>
      <c r="AQ9" s="17">
        <f>Ops!AQ$137</f>
        <v/>
      </c>
      <c r="AR9" s="17">
        <f>Ops!AR$137</f>
        <v/>
      </c>
      <c r="AS9" s="17">
        <f>Ops!AS$137</f>
        <v/>
      </c>
      <c r="AT9" s="17">
        <f>Ops!AT$137</f>
        <v/>
      </c>
      <c r="AU9" s="17">
        <f>Ops!AU$137</f>
        <v/>
      </c>
      <c r="AV9" s="17">
        <f>Ops!AV$137</f>
        <v/>
      </c>
      <c r="AW9" s="17">
        <f>Ops!AW$137</f>
        <v/>
      </c>
      <c r="AX9" s="17">
        <f>Ops!AX$137</f>
        <v/>
      </c>
      <c r="AY9" s="17">
        <f>Ops!AY$137</f>
        <v/>
      </c>
      <c r="AZ9" s="17">
        <f>Ops!AZ$137</f>
        <v/>
      </c>
      <c r="BA9" s="17">
        <f>Ops!BA$137</f>
        <v/>
      </c>
      <c r="BB9" s="17">
        <f>Ops!BB$137</f>
        <v/>
      </c>
      <c r="BC9" s="17">
        <f>Ops!BC$137</f>
        <v/>
      </c>
      <c r="BD9" s="17">
        <f>Ops!BD$137</f>
        <v/>
      </c>
      <c r="BE9" s="17">
        <f>Ops!BE$137</f>
        <v/>
      </c>
      <c r="BF9" s="17">
        <f>Ops!BF$137</f>
        <v/>
      </c>
      <c r="BG9" s="17">
        <f>Ops!BG$137</f>
        <v/>
      </c>
      <c r="BH9" s="17">
        <f>Ops!BH$137</f>
        <v/>
      </c>
      <c r="BI9" s="17">
        <f>Ops!BI$137</f>
        <v/>
      </c>
      <c r="BJ9" s="17">
        <f>Ops!BJ$137</f>
        <v/>
      </c>
      <c r="BK9" s="17">
        <f>Ops!BK$137</f>
        <v/>
      </c>
      <c r="BL9" s="17">
        <f>Ops!BL$137</f>
        <v/>
      </c>
    </row>
    <row r="10">
      <c r="A10" s="55" t="inlineStr">
        <is>
          <t>PAYGo financing income</t>
        </is>
      </c>
      <c r="B10" s="26" t="inlineStr">
        <is>
          <t>LCY</t>
        </is>
      </c>
      <c r="C10" s="58">
        <f>SUM(E10:BL10)</f>
        <v/>
      </c>
      <c r="E10" s="17">
        <f>Ops!E$142</f>
        <v/>
      </c>
      <c r="F10" s="17">
        <f>Ops!F$142</f>
        <v/>
      </c>
      <c r="G10" s="17">
        <f>Ops!G$142</f>
        <v/>
      </c>
      <c r="H10" s="17">
        <f>Ops!H$142</f>
        <v/>
      </c>
      <c r="I10" s="17">
        <f>Ops!I$142</f>
        <v/>
      </c>
      <c r="J10" s="17">
        <f>Ops!J$142</f>
        <v/>
      </c>
      <c r="K10" s="17">
        <f>Ops!K$142</f>
        <v/>
      </c>
      <c r="L10" s="17">
        <f>Ops!L$142</f>
        <v/>
      </c>
      <c r="M10" s="17">
        <f>Ops!M$142</f>
        <v/>
      </c>
      <c r="N10" s="17">
        <f>Ops!N$142</f>
        <v/>
      </c>
      <c r="O10" s="17">
        <f>Ops!O$142</f>
        <v/>
      </c>
      <c r="P10" s="17">
        <f>Ops!P$142</f>
        <v/>
      </c>
      <c r="Q10" s="17">
        <f>Ops!Q$142</f>
        <v/>
      </c>
      <c r="R10" s="17">
        <f>Ops!R$142</f>
        <v/>
      </c>
      <c r="S10" s="17">
        <f>Ops!S$142</f>
        <v/>
      </c>
      <c r="T10" s="17">
        <f>Ops!T$142</f>
        <v/>
      </c>
      <c r="U10" s="17">
        <f>Ops!U$142</f>
        <v/>
      </c>
      <c r="V10" s="17">
        <f>Ops!V$142</f>
        <v/>
      </c>
      <c r="W10" s="17">
        <f>Ops!W$142</f>
        <v/>
      </c>
      <c r="X10" s="17">
        <f>Ops!X$142</f>
        <v/>
      </c>
      <c r="Y10" s="17">
        <f>Ops!Y$142</f>
        <v/>
      </c>
      <c r="Z10" s="17">
        <f>Ops!Z$142</f>
        <v/>
      </c>
      <c r="AA10" s="17">
        <f>Ops!AA$142</f>
        <v/>
      </c>
      <c r="AB10" s="17">
        <f>Ops!AB$142</f>
        <v/>
      </c>
      <c r="AC10" s="17">
        <f>Ops!AC$142</f>
        <v/>
      </c>
      <c r="AD10" s="17">
        <f>Ops!AD$142</f>
        <v/>
      </c>
      <c r="AE10" s="17">
        <f>Ops!AE$142</f>
        <v/>
      </c>
      <c r="AF10" s="17">
        <f>Ops!AF$142</f>
        <v/>
      </c>
      <c r="AG10" s="17">
        <f>Ops!AG$142</f>
        <v/>
      </c>
      <c r="AH10" s="17">
        <f>Ops!AH$142</f>
        <v/>
      </c>
      <c r="AI10" s="17">
        <f>Ops!AI$142</f>
        <v/>
      </c>
      <c r="AJ10" s="17">
        <f>Ops!AJ$142</f>
        <v/>
      </c>
      <c r="AK10" s="17">
        <f>Ops!AK$142</f>
        <v/>
      </c>
      <c r="AL10" s="17">
        <f>Ops!AL$142</f>
        <v/>
      </c>
      <c r="AM10" s="17">
        <f>Ops!AM$142</f>
        <v/>
      </c>
      <c r="AN10" s="17">
        <f>Ops!AN$142</f>
        <v/>
      </c>
      <c r="AO10" s="17">
        <f>Ops!AO$142</f>
        <v/>
      </c>
      <c r="AP10" s="17">
        <f>Ops!AP$142</f>
        <v/>
      </c>
      <c r="AQ10" s="17">
        <f>Ops!AQ$142</f>
        <v/>
      </c>
      <c r="AR10" s="17">
        <f>Ops!AR$142</f>
        <v/>
      </c>
      <c r="AS10" s="17">
        <f>Ops!AS$142</f>
        <v/>
      </c>
      <c r="AT10" s="17">
        <f>Ops!AT$142</f>
        <v/>
      </c>
      <c r="AU10" s="17">
        <f>Ops!AU$142</f>
        <v/>
      </c>
      <c r="AV10" s="17">
        <f>Ops!AV$142</f>
        <v/>
      </c>
      <c r="AW10" s="17">
        <f>Ops!AW$142</f>
        <v/>
      </c>
      <c r="AX10" s="17">
        <f>Ops!AX$142</f>
        <v/>
      </c>
      <c r="AY10" s="17">
        <f>Ops!AY$142</f>
        <v/>
      </c>
      <c r="AZ10" s="17">
        <f>Ops!AZ$142</f>
        <v/>
      </c>
      <c r="BA10" s="17">
        <f>Ops!BA$142</f>
        <v/>
      </c>
      <c r="BB10" s="17">
        <f>Ops!BB$142</f>
        <v/>
      </c>
      <c r="BC10" s="17">
        <f>Ops!BC$142</f>
        <v/>
      </c>
      <c r="BD10" s="17">
        <f>Ops!BD$142</f>
        <v/>
      </c>
      <c r="BE10" s="17">
        <f>Ops!BE$142</f>
        <v/>
      </c>
      <c r="BF10" s="17">
        <f>Ops!BF$142</f>
        <v/>
      </c>
      <c r="BG10" s="17">
        <f>Ops!BG$142</f>
        <v/>
      </c>
      <c r="BH10" s="17">
        <f>Ops!BH$142</f>
        <v/>
      </c>
      <c r="BI10" s="17">
        <f>Ops!BI$142</f>
        <v/>
      </c>
      <c r="BJ10" s="17">
        <f>Ops!BJ$142</f>
        <v/>
      </c>
      <c r="BK10" s="17">
        <f>Ops!BK$142</f>
        <v/>
      </c>
      <c r="BL10" s="17">
        <f>Ops!BL$142</f>
        <v/>
      </c>
    </row>
    <row r="11">
      <c r="A11" s="60" t="inlineStr">
        <is>
          <t>Total revenue</t>
        </is>
      </c>
      <c r="B11" s="61" t="inlineStr">
        <is>
          <t>LCY</t>
        </is>
      </c>
      <c r="C11" s="70">
        <f>SUM(E11:BL11)</f>
        <v/>
      </c>
      <c r="D11" s="63" t="n"/>
      <c r="E11" s="71">
        <f>E9+E10</f>
        <v/>
      </c>
      <c r="F11" s="71">
        <f>F9+F10</f>
        <v/>
      </c>
      <c r="G11" s="71">
        <f>G9+G10</f>
        <v/>
      </c>
      <c r="H11" s="71">
        <f>H9+H10</f>
        <v/>
      </c>
      <c r="I11" s="71">
        <f>I9+I10</f>
        <v/>
      </c>
      <c r="J11" s="71">
        <f>J9+J10</f>
        <v/>
      </c>
      <c r="K11" s="71">
        <f>K9+K10</f>
        <v/>
      </c>
      <c r="L11" s="71">
        <f>L9+L10</f>
        <v/>
      </c>
      <c r="M11" s="71">
        <f>M9+M10</f>
        <v/>
      </c>
      <c r="N11" s="71">
        <f>N9+N10</f>
        <v/>
      </c>
      <c r="O11" s="71">
        <f>O9+O10</f>
        <v/>
      </c>
      <c r="P11" s="71">
        <f>P9+P10</f>
        <v/>
      </c>
      <c r="Q11" s="71">
        <f>Q9+Q10</f>
        <v/>
      </c>
      <c r="R11" s="71">
        <f>R9+R10</f>
        <v/>
      </c>
      <c r="S11" s="71">
        <f>S9+S10</f>
        <v/>
      </c>
      <c r="T11" s="71">
        <f>T9+T10</f>
        <v/>
      </c>
      <c r="U11" s="71">
        <f>U9+U10</f>
        <v/>
      </c>
      <c r="V11" s="71">
        <f>V9+V10</f>
        <v/>
      </c>
      <c r="W11" s="71">
        <f>W9+W10</f>
        <v/>
      </c>
      <c r="X11" s="71">
        <f>X9+X10</f>
        <v/>
      </c>
      <c r="Y11" s="71">
        <f>Y9+Y10</f>
        <v/>
      </c>
      <c r="Z11" s="71">
        <f>Z9+Z10</f>
        <v/>
      </c>
      <c r="AA11" s="71">
        <f>AA9+AA10</f>
        <v/>
      </c>
      <c r="AB11" s="71">
        <f>AB9+AB10</f>
        <v/>
      </c>
      <c r="AC11" s="71">
        <f>AC9+AC10</f>
        <v/>
      </c>
      <c r="AD11" s="71">
        <f>AD9+AD10</f>
        <v/>
      </c>
      <c r="AE11" s="71">
        <f>AE9+AE10</f>
        <v/>
      </c>
      <c r="AF11" s="71">
        <f>AF9+AF10</f>
        <v/>
      </c>
      <c r="AG11" s="71">
        <f>AG9+AG10</f>
        <v/>
      </c>
      <c r="AH11" s="71">
        <f>AH9+AH10</f>
        <v/>
      </c>
      <c r="AI11" s="71">
        <f>AI9+AI10</f>
        <v/>
      </c>
      <c r="AJ11" s="71">
        <f>AJ9+AJ10</f>
        <v/>
      </c>
      <c r="AK11" s="71">
        <f>AK9+AK10</f>
        <v/>
      </c>
      <c r="AL11" s="71">
        <f>AL9+AL10</f>
        <v/>
      </c>
      <c r="AM11" s="71">
        <f>AM9+AM10</f>
        <v/>
      </c>
      <c r="AN11" s="71">
        <f>AN9+AN10</f>
        <v/>
      </c>
      <c r="AO11" s="71">
        <f>AO9+AO10</f>
        <v/>
      </c>
      <c r="AP11" s="71">
        <f>AP9+AP10</f>
        <v/>
      </c>
      <c r="AQ11" s="71">
        <f>AQ9+AQ10</f>
        <v/>
      </c>
      <c r="AR11" s="71">
        <f>AR9+AR10</f>
        <v/>
      </c>
      <c r="AS11" s="71">
        <f>AS9+AS10</f>
        <v/>
      </c>
      <c r="AT11" s="71">
        <f>AT9+AT10</f>
        <v/>
      </c>
      <c r="AU11" s="71">
        <f>AU9+AU10</f>
        <v/>
      </c>
      <c r="AV11" s="71">
        <f>AV9+AV10</f>
        <v/>
      </c>
      <c r="AW11" s="71">
        <f>AW9+AW10</f>
        <v/>
      </c>
      <c r="AX11" s="71">
        <f>AX9+AX10</f>
        <v/>
      </c>
      <c r="AY11" s="71">
        <f>AY9+AY10</f>
        <v/>
      </c>
      <c r="AZ11" s="71">
        <f>AZ9+AZ10</f>
        <v/>
      </c>
      <c r="BA11" s="71">
        <f>BA9+BA10</f>
        <v/>
      </c>
      <c r="BB11" s="71">
        <f>BB9+BB10</f>
        <v/>
      </c>
      <c r="BC11" s="71">
        <f>BC9+BC10</f>
        <v/>
      </c>
      <c r="BD11" s="71">
        <f>BD9+BD10</f>
        <v/>
      </c>
      <c r="BE11" s="71">
        <f>BE9+BE10</f>
        <v/>
      </c>
      <c r="BF11" s="71">
        <f>BF9+BF10</f>
        <v/>
      </c>
      <c r="BG11" s="71">
        <f>BG9+BG10</f>
        <v/>
      </c>
      <c r="BH11" s="71">
        <f>BH9+BH10</f>
        <v/>
      </c>
      <c r="BI11" s="71">
        <f>BI9+BI10</f>
        <v/>
      </c>
      <c r="BJ11" s="71">
        <f>BJ9+BJ10</f>
        <v/>
      </c>
      <c r="BK11" s="71">
        <f>BK9+BK10</f>
        <v/>
      </c>
      <c r="BL11" s="71">
        <f>BL9+BL10</f>
        <v/>
      </c>
    </row>
    <row r="12">
      <c r="A12" s="55" t="inlineStr">
        <is>
          <t>Cost of sales (hardware, installation)</t>
        </is>
      </c>
      <c r="B12" s="26" t="inlineStr">
        <is>
          <t>LCY</t>
        </is>
      </c>
      <c r="C12" s="58">
        <f>SUM(E12:BL12)</f>
        <v/>
      </c>
      <c r="E12" s="17">
        <f>-Costs!E$10</f>
        <v/>
      </c>
      <c r="F12" s="17">
        <f>-Costs!F$10</f>
        <v/>
      </c>
      <c r="G12" s="17">
        <f>-Costs!G$10</f>
        <v/>
      </c>
      <c r="H12" s="17">
        <f>-Costs!H$10</f>
        <v/>
      </c>
      <c r="I12" s="17">
        <f>-Costs!I$10</f>
        <v/>
      </c>
      <c r="J12" s="17">
        <f>-Costs!J$10</f>
        <v/>
      </c>
      <c r="K12" s="17">
        <f>-Costs!K$10</f>
        <v/>
      </c>
      <c r="L12" s="17">
        <f>-Costs!L$10</f>
        <v/>
      </c>
      <c r="M12" s="17">
        <f>-Costs!M$10</f>
        <v/>
      </c>
      <c r="N12" s="17">
        <f>-Costs!N$10</f>
        <v/>
      </c>
      <c r="O12" s="17">
        <f>-Costs!O$10</f>
        <v/>
      </c>
      <c r="P12" s="17">
        <f>-Costs!P$10</f>
        <v/>
      </c>
      <c r="Q12" s="17">
        <f>-Costs!Q$10</f>
        <v/>
      </c>
      <c r="R12" s="17">
        <f>-Costs!R$10</f>
        <v/>
      </c>
      <c r="S12" s="17">
        <f>-Costs!S$10</f>
        <v/>
      </c>
      <c r="T12" s="17">
        <f>-Costs!T$10</f>
        <v/>
      </c>
      <c r="U12" s="17">
        <f>-Costs!U$10</f>
        <v/>
      </c>
      <c r="V12" s="17">
        <f>-Costs!V$10</f>
        <v/>
      </c>
      <c r="W12" s="17">
        <f>-Costs!W$10</f>
        <v/>
      </c>
      <c r="X12" s="17">
        <f>-Costs!X$10</f>
        <v/>
      </c>
      <c r="Y12" s="17">
        <f>-Costs!Y$10</f>
        <v/>
      </c>
      <c r="Z12" s="17">
        <f>-Costs!Z$10</f>
        <v/>
      </c>
      <c r="AA12" s="17">
        <f>-Costs!AA$10</f>
        <v/>
      </c>
      <c r="AB12" s="17">
        <f>-Costs!AB$10</f>
        <v/>
      </c>
      <c r="AC12" s="17">
        <f>-Costs!AC$10</f>
        <v/>
      </c>
      <c r="AD12" s="17">
        <f>-Costs!AD$10</f>
        <v/>
      </c>
      <c r="AE12" s="17">
        <f>-Costs!AE$10</f>
        <v/>
      </c>
      <c r="AF12" s="17">
        <f>-Costs!AF$10</f>
        <v/>
      </c>
      <c r="AG12" s="17">
        <f>-Costs!AG$10</f>
        <v/>
      </c>
      <c r="AH12" s="17">
        <f>-Costs!AH$10</f>
        <v/>
      </c>
      <c r="AI12" s="17">
        <f>-Costs!AI$10</f>
        <v/>
      </c>
      <c r="AJ12" s="17">
        <f>-Costs!AJ$10</f>
        <v/>
      </c>
      <c r="AK12" s="17">
        <f>-Costs!AK$10</f>
        <v/>
      </c>
      <c r="AL12" s="17">
        <f>-Costs!AL$10</f>
        <v/>
      </c>
      <c r="AM12" s="17">
        <f>-Costs!AM$10</f>
        <v/>
      </c>
      <c r="AN12" s="17">
        <f>-Costs!AN$10</f>
        <v/>
      </c>
      <c r="AO12" s="17">
        <f>-Costs!AO$10</f>
        <v/>
      </c>
      <c r="AP12" s="17">
        <f>-Costs!AP$10</f>
        <v/>
      </c>
      <c r="AQ12" s="17">
        <f>-Costs!AQ$10</f>
        <v/>
      </c>
      <c r="AR12" s="17">
        <f>-Costs!AR$10</f>
        <v/>
      </c>
      <c r="AS12" s="17">
        <f>-Costs!AS$10</f>
        <v/>
      </c>
      <c r="AT12" s="17">
        <f>-Costs!AT$10</f>
        <v/>
      </c>
      <c r="AU12" s="17">
        <f>-Costs!AU$10</f>
        <v/>
      </c>
      <c r="AV12" s="17">
        <f>-Costs!AV$10</f>
        <v/>
      </c>
      <c r="AW12" s="17">
        <f>-Costs!AW$10</f>
        <v/>
      </c>
      <c r="AX12" s="17">
        <f>-Costs!AX$10</f>
        <v/>
      </c>
      <c r="AY12" s="17">
        <f>-Costs!AY$10</f>
        <v/>
      </c>
      <c r="AZ12" s="17">
        <f>-Costs!AZ$10</f>
        <v/>
      </c>
      <c r="BA12" s="17">
        <f>-Costs!BA$10</f>
        <v/>
      </c>
      <c r="BB12" s="17">
        <f>-Costs!BB$10</f>
        <v/>
      </c>
      <c r="BC12" s="17">
        <f>-Costs!BC$10</f>
        <v/>
      </c>
      <c r="BD12" s="17">
        <f>-Costs!BD$10</f>
        <v/>
      </c>
      <c r="BE12" s="17">
        <f>-Costs!BE$10</f>
        <v/>
      </c>
      <c r="BF12" s="17">
        <f>-Costs!BF$10</f>
        <v/>
      </c>
      <c r="BG12" s="17">
        <f>-Costs!BG$10</f>
        <v/>
      </c>
      <c r="BH12" s="17">
        <f>-Costs!BH$10</f>
        <v/>
      </c>
      <c r="BI12" s="17">
        <f>-Costs!BI$10</f>
        <v/>
      </c>
      <c r="BJ12" s="17">
        <f>-Costs!BJ$10</f>
        <v/>
      </c>
      <c r="BK12" s="17">
        <f>-Costs!BK$10</f>
        <v/>
      </c>
      <c r="BL12" s="17">
        <f>-Costs!BL$10</f>
        <v/>
      </c>
    </row>
    <row r="13">
      <c r="A13" s="60" t="inlineStr">
        <is>
          <t>Gross profit</t>
        </is>
      </c>
      <c r="B13" s="61" t="inlineStr">
        <is>
          <t>LCY</t>
        </is>
      </c>
      <c r="C13" s="70">
        <f>SUM(E13:BL13)</f>
        <v/>
      </c>
      <c r="D13" s="63" t="n"/>
      <c r="E13" s="71">
        <f>E11+E12</f>
        <v/>
      </c>
      <c r="F13" s="71">
        <f>F11+F12</f>
        <v/>
      </c>
      <c r="G13" s="71">
        <f>G11+G12</f>
        <v/>
      </c>
      <c r="H13" s="71">
        <f>H11+H12</f>
        <v/>
      </c>
      <c r="I13" s="71">
        <f>I11+I12</f>
        <v/>
      </c>
      <c r="J13" s="71">
        <f>J11+J12</f>
        <v/>
      </c>
      <c r="K13" s="71">
        <f>K11+K12</f>
        <v/>
      </c>
      <c r="L13" s="71">
        <f>L11+L12</f>
        <v/>
      </c>
      <c r="M13" s="71">
        <f>M11+M12</f>
        <v/>
      </c>
      <c r="N13" s="71">
        <f>N11+N12</f>
        <v/>
      </c>
      <c r="O13" s="71">
        <f>O11+O12</f>
        <v/>
      </c>
      <c r="P13" s="71">
        <f>P11+P12</f>
        <v/>
      </c>
      <c r="Q13" s="71">
        <f>Q11+Q12</f>
        <v/>
      </c>
      <c r="R13" s="71">
        <f>R11+R12</f>
        <v/>
      </c>
      <c r="S13" s="71">
        <f>S11+S12</f>
        <v/>
      </c>
      <c r="T13" s="71">
        <f>T11+T12</f>
        <v/>
      </c>
      <c r="U13" s="71">
        <f>U11+U12</f>
        <v/>
      </c>
      <c r="V13" s="71">
        <f>V11+V12</f>
        <v/>
      </c>
      <c r="W13" s="71">
        <f>W11+W12</f>
        <v/>
      </c>
      <c r="X13" s="71">
        <f>X11+X12</f>
        <v/>
      </c>
      <c r="Y13" s="71">
        <f>Y11+Y12</f>
        <v/>
      </c>
      <c r="Z13" s="71">
        <f>Z11+Z12</f>
        <v/>
      </c>
      <c r="AA13" s="71">
        <f>AA11+AA12</f>
        <v/>
      </c>
      <c r="AB13" s="71">
        <f>AB11+AB12</f>
        <v/>
      </c>
      <c r="AC13" s="71">
        <f>AC11+AC12</f>
        <v/>
      </c>
      <c r="AD13" s="71">
        <f>AD11+AD12</f>
        <v/>
      </c>
      <c r="AE13" s="71">
        <f>AE11+AE12</f>
        <v/>
      </c>
      <c r="AF13" s="71">
        <f>AF11+AF12</f>
        <v/>
      </c>
      <c r="AG13" s="71">
        <f>AG11+AG12</f>
        <v/>
      </c>
      <c r="AH13" s="71">
        <f>AH11+AH12</f>
        <v/>
      </c>
      <c r="AI13" s="71">
        <f>AI11+AI12</f>
        <v/>
      </c>
      <c r="AJ13" s="71">
        <f>AJ11+AJ12</f>
        <v/>
      </c>
      <c r="AK13" s="71">
        <f>AK11+AK12</f>
        <v/>
      </c>
      <c r="AL13" s="71">
        <f>AL11+AL12</f>
        <v/>
      </c>
      <c r="AM13" s="71">
        <f>AM11+AM12</f>
        <v/>
      </c>
      <c r="AN13" s="71">
        <f>AN11+AN12</f>
        <v/>
      </c>
      <c r="AO13" s="71">
        <f>AO11+AO12</f>
        <v/>
      </c>
      <c r="AP13" s="71">
        <f>AP11+AP12</f>
        <v/>
      </c>
      <c r="AQ13" s="71">
        <f>AQ11+AQ12</f>
        <v/>
      </c>
      <c r="AR13" s="71">
        <f>AR11+AR12</f>
        <v/>
      </c>
      <c r="AS13" s="71">
        <f>AS11+AS12</f>
        <v/>
      </c>
      <c r="AT13" s="71">
        <f>AT11+AT12</f>
        <v/>
      </c>
      <c r="AU13" s="71">
        <f>AU11+AU12</f>
        <v/>
      </c>
      <c r="AV13" s="71">
        <f>AV11+AV12</f>
        <v/>
      </c>
      <c r="AW13" s="71">
        <f>AW11+AW12</f>
        <v/>
      </c>
      <c r="AX13" s="71">
        <f>AX11+AX12</f>
        <v/>
      </c>
      <c r="AY13" s="71">
        <f>AY11+AY12</f>
        <v/>
      </c>
      <c r="AZ13" s="71">
        <f>AZ11+AZ12</f>
        <v/>
      </c>
      <c r="BA13" s="71">
        <f>BA11+BA12</f>
        <v/>
      </c>
      <c r="BB13" s="71">
        <f>BB11+BB12</f>
        <v/>
      </c>
      <c r="BC13" s="71">
        <f>BC11+BC12</f>
        <v/>
      </c>
      <c r="BD13" s="71">
        <f>BD11+BD12</f>
        <v/>
      </c>
      <c r="BE13" s="71">
        <f>BE11+BE12</f>
        <v/>
      </c>
      <c r="BF13" s="71">
        <f>BF11+BF12</f>
        <v/>
      </c>
      <c r="BG13" s="71">
        <f>BG11+BG12</f>
        <v/>
      </c>
      <c r="BH13" s="71">
        <f>BH11+BH12</f>
        <v/>
      </c>
      <c r="BI13" s="71">
        <f>BI11+BI12</f>
        <v/>
      </c>
      <c r="BJ13" s="71">
        <f>BJ11+BJ12</f>
        <v/>
      </c>
      <c r="BK13" s="71">
        <f>BK11+BK12</f>
        <v/>
      </c>
      <c r="BL13" s="71">
        <f>BL11+BL12</f>
        <v/>
      </c>
    </row>
    <row r="14">
      <c r="A14" s="55" t="inlineStr">
        <is>
          <t>RBF / subsidy income</t>
        </is>
      </c>
      <c r="B14" s="26" t="inlineStr">
        <is>
          <t>LCY</t>
        </is>
      </c>
      <c r="C14" s="58">
        <f>SUM(E14:BL14)</f>
        <v/>
      </c>
      <c r="E14" s="17">
        <f>Ops!E$145</f>
        <v/>
      </c>
      <c r="F14" s="17">
        <f>Ops!F$145</f>
        <v/>
      </c>
      <c r="G14" s="17">
        <f>Ops!G$145</f>
        <v/>
      </c>
      <c r="H14" s="17">
        <f>Ops!H$145</f>
        <v/>
      </c>
      <c r="I14" s="17">
        <f>Ops!I$145</f>
        <v/>
      </c>
      <c r="J14" s="17">
        <f>Ops!J$145</f>
        <v/>
      </c>
      <c r="K14" s="17">
        <f>Ops!K$145</f>
        <v/>
      </c>
      <c r="L14" s="17">
        <f>Ops!L$145</f>
        <v/>
      </c>
      <c r="M14" s="17">
        <f>Ops!M$145</f>
        <v/>
      </c>
      <c r="N14" s="17">
        <f>Ops!N$145</f>
        <v/>
      </c>
      <c r="O14" s="17">
        <f>Ops!O$145</f>
        <v/>
      </c>
      <c r="P14" s="17">
        <f>Ops!P$145</f>
        <v/>
      </c>
      <c r="Q14" s="17">
        <f>Ops!Q$145</f>
        <v/>
      </c>
      <c r="R14" s="17">
        <f>Ops!R$145</f>
        <v/>
      </c>
      <c r="S14" s="17">
        <f>Ops!S$145</f>
        <v/>
      </c>
      <c r="T14" s="17">
        <f>Ops!T$145</f>
        <v/>
      </c>
      <c r="U14" s="17">
        <f>Ops!U$145</f>
        <v/>
      </c>
      <c r="V14" s="17">
        <f>Ops!V$145</f>
        <v/>
      </c>
      <c r="W14" s="17">
        <f>Ops!W$145</f>
        <v/>
      </c>
      <c r="X14" s="17">
        <f>Ops!X$145</f>
        <v/>
      </c>
      <c r="Y14" s="17">
        <f>Ops!Y$145</f>
        <v/>
      </c>
      <c r="Z14" s="17">
        <f>Ops!Z$145</f>
        <v/>
      </c>
      <c r="AA14" s="17">
        <f>Ops!AA$145</f>
        <v/>
      </c>
      <c r="AB14" s="17">
        <f>Ops!AB$145</f>
        <v/>
      </c>
      <c r="AC14" s="17">
        <f>Ops!AC$145</f>
        <v/>
      </c>
      <c r="AD14" s="17">
        <f>Ops!AD$145</f>
        <v/>
      </c>
      <c r="AE14" s="17">
        <f>Ops!AE$145</f>
        <v/>
      </c>
      <c r="AF14" s="17">
        <f>Ops!AF$145</f>
        <v/>
      </c>
      <c r="AG14" s="17">
        <f>Ops!AG$145</f>
        <v/>
      </c>
      <c r="AH14" s="17">
        <f>Ops!AH$145</f>
        <v/>
      </c>
      <c r="AI14" s="17">
        <f>Ops!AI$145</f>
        <v/>
      </c>
      <c r="AJ14" s="17">
        <f>Ops!AJ$145</f>
        <v/>
      </c>
      <c r="AK14" s="17">
        <f>Ops!AK$145</f>
        <v/>
      </c>
      <c r="AL14" s="17">
        <f>Ops!AL$145</f>
        <v/>
      </c>
      <c r="AM14" s="17">
        <f>Ops!AM$145</f>
        <v/>
      </c>
      <c r="AN14" s="17">
        <f>Ops!AN$145</f>
        <v/>
      </c>
      <c r="AO14" s="17">
        <f>Ops!AO$145</f>
        <v/>
      </c>
      <c r="AP14" s="17">
        <f>Ops!AP$145</f>
        <v/>
      </c>
      <c r="AQ14" s="17">
        <f>Ops!AQ$145</f>
        <v/>
      </c>
      <c r="AR14" s="17">
        <f>Ops!AR$145</f>
        <v/>
      </c>
      <c r="AS14" s="17">
        <f>Ops!AS$145</f>
        <v/>
      </c>
      <c r="AT14" s="17">
        <f>Ops!AT$145</f>
        <v/>
      </c>
      <c r="AU14" s="17">
        <f>Ops!AU$145</f>
        <v/>
      </c>
      <c r="AV14" s="17">
        <f>Ops!AV$145</f>
        <v/>
      </c>
      <c r="AW14" s="17">
        <f>Ops!AW$145</f>
        <v/>
      </c>
      <c r="AX14" s="17">
        <f>Ops!AX$145</f>
        <v/>
      </c>
      <c r="AY14" s="17">
        <f>Ops!AY$145</f>
        <v/>
      </c>
      <c r="AZ14" s="17">
        <f>Ops!AZ$145</f>
        <v/>
      </c>
      <c r="BA14" s="17">
        <f>Ops!BA$145</f>
        <v/>
      </c>
      <c r="BB14" s="17">
        <f>Ops!BB$145</f>
        <v/>
      </c>
      <c r="BC14" s="17">
        <f>Ops!BC$145</f>
        <v/>
      </c>
      <c r="BD14" s="17">
        <f>Ops!BD$145</f>
        <v/>
      </c>
      <c r="BE14" s="17">
        <f>Ops!BE$145</f>
        <v/>
      </c>
      <c r="BF14" s="17">
        <f>Ops!BF$145</f>
        <v/>
      </c>
      <c r="BG14" s="17">
        <f>Ops!BG$145</f>
        <v/>
      </c>
      <c r="BH14" s="17">
        <f>Ops!BH$145</f>
        <v/>
      </c>
      <c r="BI14" s="17">
        <f>Ops!BI$145</f>
        <v/>
      </c>
      <c r="BJ14" s="17">
        <f>Ops!BJ$145</f>
        <v/>
      </c>
      <c r="BK14" s="17">
        <f>Ops!BK$145</f>
        <v/>
      </c>
      <c r="BL14" s="17">
        <f>Ops!BL$145</f>
        <v/>
      </c>
    </row>
    <row r="15">
      <c r="A15" s="55" t="inlineStr">
        <is>
          <t>Operating expenses</t>
        </is>
      </c>
      <c r="B15" s="26" t="inlineStr">
        <is>
          <t>LCY</t>
        </is>
      </c>
      <c r="C15" s="58">
        <f>SUM(E15:BL15)</f>
        <v/>
      </c>
      <c r="E15" s="17">
        <f>-Costs!E$19</f>
        <v/>
      </c>
      <c r="F15" s="17">
        <f>-Costs!F$19</f>
        <v/>
      </c>
      <c r="G15" s="17">
        <f>-Costs!G$19</f>
        <v/>
      </c>
      <c r="H15" s="17">
        <f>-Costs!H$19</f>
        <v/>
      </c>
      <c r="I15" s="17">
        <f>-Costs!I$19</f>
        <v/>
      </c>
      <c r="J15" s="17">
        <f>-Costs!J$19</f>
        <v/>
      </c>
      <c r="K15" s="17">
        <f>-Costs!K$19</f>
        <v/>
      </c>
      <c r="L15" s="17">
        <f>-Costs!L$19</f>
        <v/>
      </c>
      <c r="M15" s="17">
        <f>-Costs!M$19</f>
        <v/>
      </c>
      <c r="N15" s="17">
        <f>-Costs!N$19</f>
        <v/>
      </c>
      <c r="O15" s="17">
        <f>-Costs!O$19</f>
        <v/>
      </c>
      <c r="P15" s="17">
        <f>-Costs!P$19</f>
        <v/>
      </c>
      <c r="Q15" s="17">
        <f>-Costs!Q$19</f>
        <v/>
      </c>
      <c r="R15" s="17">
        <f>-Costs!R$19</f>
        <v/>
      </c>
      <c r="S15" s="17">
        <f>-Costs!S$19</f>
        <v/>
      </c>
      <c r="T15" s="17">
        <f>-Costs!T$19</f>
        <v/>
      </c>
      <c r="U15" s="17">
        <f>-Costs!U$19</f>
        <v/>
      </c>
      <c r="V15" s="17">
        <f>-Costs!V$19</f>
        <v/>
      </c>
      <c r="W15" s="17">
        <f>-Costs!W$19</f>
        <v/>
      </c>
      <c r="X15" s="17">
        <f>-Costs!X$19</f>
        <v/>
      </c>
      <c r="Y15" s="17">
        <f>-Costs!Y$19</f>
        <v/>
      </c>
      <c r="Z15" s="17">
        <f>-Costs!Z$19</f>
        <v/>
      </c>
      <c r="AA15" s="17">
        <f>-Costs!AA$19</f>
        <v/>
      </c>
      <c r="AB15" s="17">
        <f>-Costs!AB$19</f>
        <v/>
      </c>
      <c r="AC15" s="17">
        <f>-Costs!AC$19</f>
        <v/>
      </c>
      <c r="AD15" s="17">
        <f>-Costs!AD$19</f>
        <v/>
      </c>
      <c r="AE15" s="17">
        <f>-Costs!AE$19</f>
        <v/>
      </c>
      <c r="AF15" s="17">
        <f>-Costs!AF$19</f>
        <v/>
      </c>
      <c r="AG15" s="17">
        <f>-Costs!AG$19</f>
        <v/>
      </c>
      <c r="AH15" s="17">
        <f>-Costs!AH$19</f>
        <v/>
      </c>
      <c r="AI15" s="17">
        <f>-Costs!AI$19</f>
        <v/>
      </c>
      <c r="AJ15" s="17">
        <f>-Costs!AJ$19</f>
        <v/>
      </c>
      <c r="AK15" s="17">
        <f>-Costs!AK$19</f>
        <v/>
      </c>
      <c r="AL15" s="17">
        <f>-Costs!AL$19</f>
        <v/>
      </c>
      <c r="AM15" s="17">
        <f>-Costs!AM$19</f>
        <v/>
      </c>
      <c r="AN15" s="17">
        <f>-Costs!AN$19</f>
        <v/>
      </c>
      <c r="AO15" s="17">
        <f>-Costs!AO$19</f>
        <v/>
      </c>
      <c r="AP15" s="17">
        <f>-Costs!AP$19</f>
        <v/>
      </c>
      <c r="AQ15" s="17">
        <f>-Costs!AQ$19</f>
        <v/>
      </c>
      <c r="AR15" s="17">
        <f>-Costs!AR$19</f>
        <v/>
      </c>
      <c r="AS15" s="17">
        <f>-Costs!AS$19</f>
        <v/>
      </c>
      <c r="AT15" s="17">
        <f>-Costs!AT$19</f>
        <v/>
      </c>
      <c r="AU15" s="17">
        <f>-Costs!AU$19</f>
        <v/>
      </c>
      <c r="AV15" s="17">
        <f>-Costs!AV$19</f>
        <v/>
      </c>
      <c r="AW15" s="17">
        <f>-Costs!AW$19</f>
        <v/>
      </c>
      <c r="AX15" s="17">
        <f>-Costs!AX$19</f>
        <v/>
      </c>
      <c r="AY15" s="17">
        <f>-Costs!AY$19</f>
        <v/>
      </c>
      <c r="AZ15" s="17">
        <f>-Costs!AZ$19</f>
        <v/>
      </c>
      <c r="BA15" s="17">
        <f>-Costs!BA$19</f>
        <v/>
      </c>
      <c r="BB15" s="17">
        <f>-Costs!BB$19</f>
        <v/>
      </c>
      <c r="BC15" s="17">
        <f>-Costs!BC$19</f>
        <v/>
      </c>
      <c r="BD15" s="17">
        <f>-Costs!BD$19</f>
        <v/>
      </c>
      <c r="BE15" s="17">
        <f>-Costs!BE$19</f>
        <v/>
      </c>
      <c r="BF15" s="17">
        <f>-Costs!BF$19</f>
        <v/>
      </c>
      <c r="BG15" s="17">
        <f>-Costs!BG$19</f>
        <v/>
      </c>
      <c r="BH15" s="17">
        <f>-Costs!BH$19</f>
        <v/>
      </c>
      <c r="BI15" s="17">
        <f>-Costs!BI$19</f>
        <v/>
      </c>
      <c r="BJ15" s="17">
        <f>-Costs!BJ$19</f>
        <v/>
      </c>
      <c r="BK15" s="17">
        <f>-Costs!BK$19</f>
        <v/>
      </c>
      <c r="BL15" s="17">
        <f>-Costs!BL$19</f>
        <v/>
      </c>
    </row>
    <row r="16">
      <c r="A16" s="55" t="inlineStr">
        <is>
          <t>Expected credit losses</t>
        </is>
      </c>
      <c r="B16" s="26" t="inlineStr">
        <is>
          <t>LCY</t>
        </is>
      </c>
      <c r="C16" s="58">
        <f>SUM(E16:BL16)</f>
        <v/>
      </c>
      <c r="E16" s="17">
        <f>-Ops!E$143</f>
        <v/>
      </c>
      <c r="F16" s="17">
        <f>-Ops!F$143</f>
        <v/>
      </c>
      <c r="G16" s="17">
        <f>-Ops!G$143</f>
        <v/>
      </c>
      <c r="H16" s="17">
        <f>-Ops!H$143</f>
        <v/>
      </c>
      <c r="I16" s="17">
        <f>-Ops!I$143</f>
        <v/>
      </c>
      <c r="J16" s="17">
        <f>-Ops!J$143</f>
        <v/>
      </c>
      <c r="K16" s="17">
        <f>-Ops!K$143</f>
        <v/>
      </c>
      <c r="L16" s="17">
        <f>-Ops!L$143</f>
        <v/>
      </c>
      <c r="M16" s="17">
        <f>-Ops!M$143</f>
        <v/>
      </c>
      <c r="N16" s="17">
        <f>-Ops!N$143</f>
        <v/>
      </c>
      <c r="O16" s="17">
        <f>-Ops!O$143</f>
        <v/>
      </c>
      <c r="P16" s="17">
        <f>-Ops!P$143</f>
        <v/>
      </c>
      <c r="Q16" s="17">
        <f>-Ops!Q$143</f>
        <v/>
      </c>
      <c r="R16" s="17">
        <f>-Ops!R$143</f>
        <v/>
      </c>
      <c r="S16" s="17">
        <f>-Ops!S$143</f>
        <v/>
      </c>
      <c r="T16" s="17">
        <f>-Ops!T$143</f>
        <v/>
      </c>
      <c r="U16" s="17">
        <f>-Ops!U$143</f>
        <v/>
      </c>
      <c r="V16" s="17">
        <f>-Ops!V$143</f>
        <v/>
      </c>
      <c r="W16" s="17">
        <f>-Ops!W$143</f>
        <v/>
      </c>
      <c r="X16" s="17">
        <f>-Ops!X$143</f>
        <v/>
      </c>
      <c r="Y16" s="17">
        <f>-Ops!Y$143</f>
        <v/>
      </c>
      <c r="Z16" s="17">
        <f>-Ops!Z$143</f>
        <v/>
      </c>
      <c r="AA16" s="17">
        <f>-Ops!AA$143</f>
        <v/>
      </c>
      <c r="AB16" s="17">
        <f>-Ops!AB$143</f>
        <v/>
      </c>
      <c r="AC16" s="17">
        <f>-Ops!AC$143</f>
        <v/>
      </c>
      <c r="AD16" s="17">
        <f>-Ops!AD$143</f>
        <v/>
      </c>
      <c r="AE16" s="17">
        <f>-Ops!AE$143</f>
        <v/>
      </c>
      <c r="AF16" s="17">
        <f>-Ops!AF$143</f>
        <v/>
      </c>
      <c r="AG16" s="17">
        <f>-Ops!AG$143</f>
        <v/>
      </c>
      <c r="AH16" s="17">
        <f>-Ops!AH$143</f>
        <v/>
      </c>
      <c r="AI16" s="17">
        <f>-Ops!AI$143</f>
        <v/>
      </c>
      <c r="AJ16" s="17">
        <f>-Ops!AJ$143</f>
        <v/>
      </c>
      <c r="AK16" s="17">
        <f>-Ops!AK$143</f>
        <v/>
      </c>
      <c r="AL16" s="17">
        <f>-Ops!AL$143</f>
        <v/>
      </c>
      <c r="AM16" s="17">
        <f>-Ops!AM$143</f>
        <v/>
      </c>
      <c r="AN16" s="17">
        <f>-Ops!AN$143</f>
        <v/>
      </c>
      <c r="AO16" s="17">
        <f>-Ops!AO$143</f>
        <v/>
      </c>
      <c r="AP16" s="17">
        <f>-Ops!AP$143</f>
        <v/>
      </c>
      <c r="AQ16" s="17">
        <f>-Ops!AQ$143</f>
        <v/>
      </c>
      <c r="AR16" s="17">
        <f>-Ops!AR$143</f>
        <v/>
      </c>
      <c r="AS16" s="17">
        <f>-Ops!AS$143</f>
        <v/>
      </c>
      <c r="AT16" s="17">
        <f>-Ops!AT$143</f>
        <v/>
      </c>
      <c r="AU16" s="17">
        <f>-Ops!AU$143</f>
        <v/>
      </c>
      <c r="AV16" s="17">
        <f>-Ops!AV$143</f>
        <v/>
      </c>
      <c r="AW16" s="17">
        <f>-Ops!AW$143</f>
        <v/>
      </c>
      <c r="AX16" s="17">
        <f>-Ops!AX$143</f>
        <v/>
      </c>
      <c r="AY16" s="17">
        <f>-Ops!AY$143</f>
        <v/>
      </c>
      <c r="AZ16" s="17">
        <f>-Ops!AZ$143</f>
        <v/>
      </c>
      <c r="BA16" s="17">
        <f>-Ops!BA$143</f>
        <v/>
      </c>
      <c r="BB16" s="17">
        <f>-Ops!BB$143</f>
        <v/>
      </c>
      <c r="BC16" s="17">
        <f>-Ops!BC$143</f>
        <v/>
      </c>
      <c r="BD16" s="17">
        <f>-Ops!BD$143</f>
        <v/>
      </c>
      <c r="BE16" s="17">
        <f>-Ops!BE$143</f>
        <v/>
      </c>
      <c r="BF16" s="17">
        <f>-Ops!BF$143</f>
        <v/>
      </c>
      <c r="BG16" s="17">
        <f>-Ops!BG$143</f>
        <v/>
      </c>
      <c r="BH16" s="17">
        <f>-Ops!BH$143</f>
        <v/>
      </c>
      <c r="BI16" s="17">
        <f>-Ops!BI$143</f>
        <v/>
      </c>
      <c r="BJ16" s="17">
        <f>-Ops!BJ$143</f>
        <v/>
      </c>
      <c r="BK16" s="17">
        <f>-Ops!BK$143</f>
        <v/>
      </c>
      <c r="BL16" s="17">
        <f>-Ops!BL$143</f>
        <v/>
      </c>
    </row>
    <row r="17">
      <c r="A17" s="55" t="inlineStr">
        <is>
          <t>Recoveries on repossessed units</t>
        </is>
      </c>
      <c r="B17" s="26" t="inlineStr">
        <is>
          <t>LCY</t>
        </is>
      </c>
      <c r="C17" s="58">
        <f>SUM(E17:BL17)</f>
        <v/>
      </c>
      <c r="E17" s="17">
        <f>Ops!E$144</f>
        <v/>
      </c>
      <c r="F17" s="17">
        <f>Ops!F$144</f>
        <v/>
      </c>
      <c r="G17" s="17">
        <f>Ops!G$144</f>
        <v/>
      </c>
      <c r="H17" s="17">
        <f>Ops!H$144</f>
        <v/>
      </c>
      <c r="I17" s="17">
        <f>Ops!I$144</f>
        <v/>
      </c>
      <c r="J17" s="17">
        <f>Ops!J$144</f>
        <v/>
      </c>
      <c r="K17" s="17">
        <f>Ops!K$144</f>
        <v/>
      </c>
      <c r="L17" s="17">
        <f>Ops!L$144</f>
        <v/>
      </c>
      <c r="M17" s="17">
        <f>Ops!M$144</f>
        <v/>
      </c>
      <c r="N17" s="17">
        <f>Ops!N$144</f>
        <v/>
      </c>
      <c r="O17" s="17">
        <f>Ops!O$144</f>
        <v/>
      </c>
      <c r="P17" s="17">
        <f>Ops!P$144</f>
        <v/>
      </c>
      <c r="Q17" s="17">
        <f>Ops!Q$144</f>
        <v/>
      </c>
      <c r="R17" s="17">
        <f>Ops!R$144</f>
        <v/>
      </c>
      <c r="S17" s="17">
        <f>Ops!S$144</f>
        <v/>
      </c>
      <c r="T17" s="17">
        <f>Ops!T$144</f>
        <v/>
      </c>
      <c r="U17" s="17">
        <f>Ops!U$144</f>
        <v/>
      </c>
      <c r="V17" s="17">
        <f>Ops!V$144</f>
        <v/>
      </c>
      <c r="W17" s="17">
        <f>Ops!W$144</f>
        <v/>
      </c>
      <c r="X17" s="17">
        <f>Ops!X$144</f>
        <v/>
      </c>
      <c r="Y17" s="17">
        <f>Ops!Y$144</f>
        <v/>
      </c>
      <c r="Z17" s="17">
        <f>Ops!Z$144</f>
        <v/>
      </c>
      <c r="AA17" s="17">
        <f>Ops!AA$144</f>
        <v/>
      </c>
      <c r="AB17" s="17">
        <f>Ops!AB$144</f>
        <v/>
      </c>
      <c r="AC17" s="17">
        <f>Ops!AC$144</f>
        <v/>
      </c>
      <c r="AD17" s="17">
        <f>Ops!AD$144</f>
        <v/>
      </c>
      <c r="AE17" s="17">
        <f>Ops!AE$144</f>
        <v/>
      </c>
      <c r="AF17" s="17">
        <f>Ops!AF$144</f>
        <v/>
      </c>
      <c r="AG17" s="17">
        <f>Ops!AG$144</f>
        <v/>
      </c>
      <c r="AH17" s="17">
        <f>Ops!AH$144</f>
        <v/>
      </c>
      <c r="AI17" s="17">
        <f>Ops!AI$144</f>
        <v/>
      </c>
      <c r="AJ17" s="17">
        <f>Ops!AJ$144</f>
        <v/>
      </c>
      <c r="AK17" s="17">
        <f>Ops!AK$144</f>
        <v/>
      </c>
      <c r="AL17" s="17">
        <f>Ops!AL$144</f>
        <v/>
      </c>
      <c r="AM17" s="17">
        <f>Ops!AM$144</f>
        <v/>
      </c>
      <c r="AN17" s="17">
        <f>Ops!AN$144</f>
        <v/>
      </c>
      <c r="AO17" s="17">
        <f>Ops!AO$144</f>
        <v/>
      </c>
      <c r="AP17" s="17">
        <f>Ops!AP$144</f>
        <v/>
      </c>
      <c r="AQ17" s="17">
        <f>Ops!AQ$144</f>
        <v/>
      </c>
      <c r="AR17" s="17">
        <f>Ops!AR$144</f>
        <v/>
      </c>
      <c r="AS17" s="17">
        <f>Ops!AS$144</f>
        <v/>
      </c>
      <c r="AT17" s="17">
        <f>Ops!AT$144</f>
        <v/>
      </c>
      <c r="AU17" s="17">
        <f>Ops!AU$144</f>
        <v/>
      </c>
      <c r="AV17" s="17">
        <f>Ops!AV$144</f>
        <v/>
      </c>
      <c r="AW17" s="17">
        <f>Ops!AW$144</f>
        <v/>
      </c>
      <c r="AX17" s="17">
        <f>Ops!AX$144</f>
        <v/>
      </c>
      <c r="AY17" s="17">
        <f>Ops!AY$144</f>
        <v/>
      </c>
      <c r="AZ17" s="17">
        <f>Ops!AZ$144</f>
        <v/>
      </c>
      <c r="BA17" s="17">
        <f>Ops!BA$144</f>
        <v/>
      </c>
      <c r="BB17" s="17">
        <f>Ops!BB$144</f>
        <v/>
      </c>
      <c r="BC17" s="17">
        <f>Ops!BC$144</f>
        <v/>
      </c>
      <c r="BD17" s="17">
        <f>Ops!BD$144</f>
        <v/>
      </c>
      <c r="BE17" s="17">
        <f>Ops!BE$144</f>
        <v/>
      </c>
      <c r="BF17" s="17">
        <f>Ops!BF$144</f>
        <v/>
      </c>
      <c r="BG17" s="17">
        <f>Ops!BG$144</f>
        <v/>
      </c>
      <c r="BH17" s="17">
        <f>Ops!BH$144</f>
        <v/>
      </c>
      <c r="BI17" s="17">
        <f>Ops!BI$144</f>
        <v/>
      </c>
      <c r="BJ17" s="17">
        <f>Ops!BJ$144</f>
        <v/>
      </c>
      <c r="BK17" s="17">
        <f>Ops!BK$144</f>
        <v/>
      </c>
      <c r="BL17" s="17">
        <f>Ops!BL$144</f>
        <v/>
      </c>
    </row>
    <row r="18">
      <c r="A18" s="60" t="inlineStr">
        <is>
          <t>EBITDA</t>
        </is>
      </c>
      <c r="B18" s="61" t="inlineStr">
        <is>
          <t>LCY</t>
        </is>
      </c>
      <c r="C18" s="70">
        <f>SUM(E18:BL18)</f>
        <v/>
      </c>
      <c r="D18" s="63" t="n"/>
      <c r="E18" s="71">
        <f>E13+E14+E15+E16+E17</f>
        <v/>
      </c>
      <c r="F18" s="71">
        <f>F13+F14+F15+F16+F17</f>
        <v/>
      </c>
      <c r="G18" s="71">
        <f>G13+G14+G15+G16+G17</f>
        <v/>
      </c>
      <c r="H18" s="71">
        <f>H13+H14+H15+H16+H17</f>
        <v/>
      </c>
      <c r="I18" s="71">
        <f>I13+I14+I15+I16+I17</f>
        <v/>
      </c>
      <c r="J18" s="71">
        <f>J13+J14+J15+J16+J17</f>
        <v/>
      </c>
      <c r="K18" s="71">
        <f>K13+K14+K15+K16+K17</f>
        <v/>
      </c>
      <c r="L18" s="71">
        <f>L13+L14+L15+L16+L17</f>
        <v/>
      </c>
      <c r="M18" s="71">
        <f>M13+M14+M15+M16+M17</f>
        <v/>
      </c>
      <c r="N18" s="71">
        <f>N13+N14+N15+N16+N17</f>
        <v/>
      </c>
      <c r="O18" s="71">
        <f>O13+O14+O15+O16+O17</f>
        <v/>
      </c>
      <c r="P18" s="71">
        <f>P13+P14+P15+P16+P17</f>
        <v/>
      </c>
      <c r="Q18" s="71">
        <f>Q13+Q14+Q15+Q16+Q17</f>
        <v/>
      </c>
      <c r="R18" s="71">
        <f>R13+R14+R15+R16+R17</f>
        <v/>
      </c>
      <c r="S18" s="71">
        <f>S13+S14+S15+S16+S17</f>
        <v/>
      </c>
      <c r="T18" s="71">
        <f>T13+T14+T15+T16+T17</f>
        <v/>
      </c>
      <c r="U18" s="71">
        <f>U13+U14+U15+U16+U17</f>
        <v/>
      </c>
      <c r="V18" s="71">
        <f>V13+V14+V15+V16+V17</f>
        <v/>
      </c>
      <c r="W18" s="71">
        <f>W13+W14+W15+W16+W17</f>
        <v/>
      </c>
      <c r="X18" s="71">
        <f>X13+X14+X15+X16+X17</f>
        <v/>
      </c>
      <c r="Y18" s="71">
        <f>Y13+Y14+Y15+Y16+Y17</f>
        <v/>
      </c>
      <c r="Z18" s="71">
        <f>Z13+Z14+Z15+Z16+Z17</f>
        <v/>
      </c>
      <c r="AA18" s="71">
        <f>AA13+AA14+AA15+AA16+AA17</f>
        <v/>
      </c>
      <c r="AB18" s="71">
        <f>AB13+AB14+AB15+AB16+AB17</f>
        <v/>
      </c>
      <c r="AC18" s="71">
        <f>AC13+AC14+AC15+AC16+AC17</f>
        <v/>
      </c>
      <c r="AD18" s="71">
        <f>AD13+AD14+AD15+AD16+AD17</f>
        <v/>
      </c>
      <c r="AE18" s="71">
        <f>AE13+AE14+AE15+AE16+AE17</f>
        <v/>
      </c>
      <c r="AF18" s="71">
        <f>AF13+AF14+AF15+AF16+AF17</f>
        <v/>
      </c>
      <c r="AG18" s="71">
        <f>AG13+AG14+AG15+AG16+AG17</f>
        <v/>
      </c>
      <c r="AH18" s="71">
        <f>AH13+AH14+AH15+AH16+AH17</f>
        <v/>
      </c>
      <c r="AI18" s="71">
        <f>AI13+AI14+AI15+AI16+AI17</f>
        <v/>
      </c>
      <c r="AJ18" s="71">
        <f>AJ13+AJ14+AJ15+AJ16+AJ17</f>
        <v/>
      </c>
      <c r="AK18" s="71">
        <f>AK13+AK14+AK15+AK16+AK17</f>
        <v/>
      </c>
      <c r="AL18" s="71">
        <f>AL13+AL14+AL15+AL16+AL17</f>
        <v/>
      </c>
      <c r="AM18" s="71">
        <f>AM13+AM14+AM15+AM16+AM17</f>
        <v/>
      </c>
      <c r="AN18" s="71">
        <f>AN13+AN14+AN15+AN16+AN17</f>
        <v/>
      </c>
      <c r="AO18" s="71">
        <f>AO13+AO14+AO15+AO16+AO17</f>
        <v/>
      </c>
      <c r="AP18" s="71">
        <f>AP13+AP14+AP15+AP16+AP17</f>
        <v/>
      </c>
      <c r="AQ18" s="71">
        <f>AQ13+AQ14+AQ15+AQ16+AQ17</f>
        <v/>
      </c>
      <c r="AR18" s="71">
        <f>AR13+AR14+AR15+AR16+AR17</f>
        <v/>
      </c>
      <c r="AS18" s="71">
        <f>AS13+AS14+AS15+AS16+AS17</f>
        <v/>
      </c>
      <c r="AT18" s="71">
        <f>AT13+AT14+AT15+AT16+AT17</f>
        <v/>
      </c>
      <c r="AU18" s="71">
        <f>AU13+AU14+AU15+AU16+AU17</f>
        <v/>
      </c>
      <c r="AV18" s="71">
        <f>AV13+AV14+AV15+AV16+AV17</f>
        <v/>
      </c>
      <c r="AW18" s="71">
        <f>AW13+AW14+AW15+AW16+AW17</f>
        <v/>
      </c>
      <c r="AX18" s="71">
        <f>AX13+AX14+AX15+AX16+AX17</f>
        <v/>
      </c>
      <c r="AY18" s="71">
        <f>AY13+AY14+AY15+AY16+AY17</f>
        <v/>
      </c>
      <c r="AZ18" s="71">
        <f>AZ13+AZ14+AZ15+AZ16+AZ17</f>
        <v/>
      </c>
      <c r="BA18" s="71">
        <f>BA13+BA14+BA15+BA16+BA17</f>
        <v/>
      </c>
      <c r="BB18" s="71">
        <f>BB13+BB14+BB15+BB16+BB17</f>
        <v/>
      </c>
      <c r="BC18" s="71">
        <f>BC13+BC14+BC15+BC16+BC17</f>
        <v/>
      </c>
      <c r="BD18" s="71">
        <f>BD13+BD14+BD15+BD16+BD17</f>
        <v/>
      </c>
      <c r="BE18" s="71">
        <f>BE13+BE14+BE15+BE16+BE17</f>
        <v/>
      </c>
      <c r="BF18" s="71">
        <f>BF13+BF14+BF15+BF16+BF17</f>
        <v/>
      </c>
      <c r="BG18" s="71">
        <f>BG13+BG14+BG15+BG16+BG17</f>
        <v/>
      </c>
      <c r="BH18" s="71">
        <f>BH13+BH14+BH15+BH16+BH17</f>
        <v/>
      </c>
      <c r="BI18" s="71">
        <f>BI13+BI14+BI15+BI16+BI17</f>
        <v/>
      </c>
      <c r="BJ18" s="71">
        <f>BJ13+BJ14+BJ15+BJ16+BJ17</f>
        <v/>
      </c>
      <c r="BK18" s="71">
        <f>BK13+BK14+BK15+BK16+BK17</f>
        <v/>
      </c>
      <c r="BL18" s="71">
        <f>BL13+BL14+BL15+BL16+BL17</f>
        <v/>
      </c>
    </row>
    <row r="19">
      <c r="A19" s="55" t="inlineStr">
        <is>
          <t>Depreciation</t>
        </is>
      </c>
      <c r="B19" s="26" t="inlineStr">
        <is>
          <t>LCY</t>
        </is>
      </c>
      <c r="C19" s="58">
        <f>SUM(E19:BL19)</f>
        <v/>
      </c>
      <c r="E19" s="17">
        <f>-Costs!E$26</f>
        <v/>
      </c>
      <c r="F19" s="17">
        <f>-Costs!F$26</f>
        <v/>
      </c>
      <c r="G19" s="17">
        <f>-Costs!G$26</f>
        <v/>
      </c>
      <c r="H19" s="17">
        <f>-Costs!H$26</f>
        <v/>
      </c>
      <c r="I19" s="17">
        <f>-Costs!I$26</f>
        <v/>
      </c>
      <c r="J19" s="17">
        <f>-Costs!J$26</f>
        <v/>
      </c>
      <c r="K19" s="17">
        <f>-Costs!K$26</f>
        <v/>
      </c>
      <c r="L19" s="17">
        <f>-Costs!L$26</f>
        <v/>
      </c>
      <c r="M19" s="17">
        <f>-Costs!M$26</f>
        <v/>
      </c>
      <c r="N19" s="17">
        <f>-Costs!N$26</f>
        <v/>
      </c>
      <c r="O19" s="17">
        <f>-Costs!O$26</f>
        <v/>
      </c>
      <c r="P19" s="17">
        <f>-Costs!P$26</f>
        <v/>
      </c>
      <c r="Q19" s="17">
        <f>-Costs!Q$26</f>
        <v/>
      </c>
      <c r="R19" s="17">
        <f>-Costs!R$26</f>
        <v/>
      </c>
      <c r="S19" s="17">
        <f>-Costs!S$26</f>
        <v/>
      </c>
      <c r="T19" s="17">
        <f>-Costs!T$26</f>
        <v/>
      </c>
      <c r="U19" s="17">
        <f>-Costs!U$26</f>
        <v/>
      </c>
      <c r="V19" s="17">
        <f>-Costs!V$26</f>
        <v/>
      </c>
      <c r="W19" s="17">
        <f>-Costs!W$26</f>
        <v/>
      </c>
      <c r="X19" s="17">
        <f>-Costs!X$26</f>
        <v/>
      </c>
      <c r="Y19" s="17">
        <f>-Costs!Y$26</f>
        <v/>
      </c>
      <c r="Z19" s="17">
        <f>-Costs!Z$26</f>
        <v/>
      </c>
      <c r="AA19" s="17">
        <f>-Costs!AA$26</f>
        <v/>
      </c>
      <c r="AB19" s="17">
        <f>-Costs!AB$26</f>
        <v/>
      </c>
      <c r="AC19" s="17">
        <f>-Costs!AC$26</f>
        <v/>
      </c>
      <c r="AD19" s="17">
        <f>-Costs!AD$26</f>
        <v/>
      </c>
      <c r="AE19" s="17">
        <f>-Costs!AE$26</f>
        <v/>
      </c>
      <c r="AF19" s="17">
        <f>-Costs!AF$26</f>
        <v/>
      </c>
      <c r="AG19" s="17">
        <f>-Costs!AG$26</f>
        <v/>
      </c>
      <c r="AH19" s="17">
        <f>-Costs!AH$26</f>
        <v/>
      </c>
      <c r="AI19" s="17">
        <f>-Costs!AI$26</f>
        <v/>
      </c>
      <c r="AJ19" s="17">
        <f>-Costs!AJ$26</f>
        <v/>
      </c>
      <c r="AK19" s="17">
        <f>-Costs!AK$26</f>
        <v/>
      </c>
      <c r="AL19" s="17">
        <f>-Costs!AL$26</f>
        <v/>
      </c>
      <c r="AM19" s="17">
        <f>-Costs!AM$26</f>
        <v/>
      </c>
      <c r="AN19" s="17">
        <f>-Costs!AN$26</f>
        <v/>
      </c>
      <c r="AO19" s="17">
        <f>-Costs!AO$26</f>
        <v/>
      </c>
      <c r="AP19" s="17">
        <f>-Costs!AP$26</f>
        <v/>
      </c>
      <c r="AQ19" s="17">
        <f>-Costs!AQ$26</f>
        <v/>
      </c>
      <c r="AR19" s="17">
        <f>-Costs!AR$26</f>
        <v/>
      </c>
      <c r="AS19" s="17">
        <f>-Costs!AS$26</f>
        <v/>
      </c>
      <c r="AT19" s="17">
        <f>-Costs!AT$26</f>
        <v/>
      </c>
      <c r="AU19" s="17">
        <f>-Costs!AU$26</f>
        <v/>
      </c>
      <c r="AV19" s="17">
        <f>-Costs!AV$26</f>
        <v/>
      </c>
      <c r="AW19" s="17">
        <f>-Costs!AW$26</f>
        <v/>
      </c>
      <c r="AX19" s="17">
        <f>-Costs!AX$26</f>
        <v/>
      </c>
      <c r="AY19" s="17">
        <f>-Costs!AY$26</f>
        <v/>
      </c>
      <c r="AZ19" s="17">
        <f>-Costs!AZ$26</f>
        <v/>
      </c>
      <c r="BA19" s="17">
        <f>-Costs!BA$26</f>
        <v/>
      </c>
      <c r="BB19" s="17">
        <f>-Costs!BB$26</f>
        <v/>
      </c>
      <c r="BC19" s="17">
        <f>-Costs!BC$26</f>
        <v/>
      </c>
      <c r="BD19" s="17">
        <f>-Costs!BD$26</f>
        <v/>
      </c>
      <c r="BE19" s="17">
        <f>-Costs!BE$26</f>
        <v/>
      </c>
      <c r="BF19" s="17">
        <f>-Costs!BF$26</f>
        <v/>
      </c>
      <c r="BG19" s="17">
        <f>-Costs!BG$26</f>
        <v/>
      </c>
      <c r="BH19" s="17">
        <f>-Costs!BH$26</f>
        <v/>
      </c>
      <c r="BI19" s="17">
        <f>-Costs!BI$26</f>
        <v/>
      </c>
      <c r="BJ19" s="17">
        <f>-Costs!BJ$26</f>
        <v/>
      </c>
      <c r="BK19" s="17">
        <f>-Costs!BK$26</f>
        <v/>
      </c>
      <c r="BL19" s="17">
        <f>-Costs!BL$26</f>
        <v/>
      </c>
    </row>
    <row r="20">
      <c r="A20" s="60" t="inlineStr">
        <is>
          <t>EBIT</t>
        </is>
      </c>
      <c r="B20" s="61" t="inlineStr">
        <is>
          <t>LCY</t>
        </is>
      </c>
      <c r="C20" s="70">
        <f>SUM(E20:BL20)</f>
        <v/>
      </c>
      <c r="D20" s="63" t="n"/>
      <c r="E20" s="71">
        <f>E18+E19</f>
        <v/>
      </c>
      <c r="F20" s="71">
        <f>F18+F19</f>
        <v/>
      </c>
      <c r="G20" s="71">
        <f>G18+G19</f>
        <v/>
      </c>
      <c r="H20" s="71">
        <f>H18+H19</f>
        <v/>
      </c>
      <c r="I20" s="71">
        <f>I18+I19</f>
        <v/>
      </c>
      <c r="J20" s="71">
        <f>J18+J19</f>
        <v/>
      </c>
      <c r="K20" s="71">
        <f>K18+K19</f>
        <v/>
      </c>
      <c r="L20" s="71">
        <f>L18+L19</f>
        <v/>
      </c>
      <c r="M20" s="71">
        <f>M18+M19</f>
        <v/>
      </c>
      <c r="N20" s="71">
        <f>N18+N19</f>
        <v/>
      </c>
      <c r="O20" s="71">
        <f>O18+O19</f>
        <v/>
      </c>
      <c r="P20" s="71">
        <f>P18+P19</f>
        <v/>
      </c>
      <c r="Q20" s="71">
        <f>Q18+Q19</f>
        <v/>
      </c>
      <c r="R20" s="71">
        <f>R18+R19</f>
        <v/>
      </c>
      <c r="S20" s="71">
        <f>S18+S19</f>
        <v/>
      </c>
      <c r="T20" s="71">
        <f>T18+T19</f>
        <v/>
      </c>
      <c r="U20" s="71">
        <f>U18+U19</f>
        <v/>
      </c>
      <c r="V20" s="71">
        <f>V18+V19</f>
        <v/>
      </c>
      <c r="W20" s="71">
        <f>W18+W19</f>
        <v/>
      </c>
      <c r="X20" s="71">
        <f>X18+X19</f>
        <v/>
      </c>
      <c r="Y20" s="71">
        <f>Y18+Y19</f>
        <v/>
      </c>
      <c r="Z20" s="71">
        <f>Z18+Z19</f>
        <v/>
      </c>
      <c r="AA20" s="71">
        <f>AA18+AA19</f>
        <v/>
      </c>
      <c r="AB20" s="71">
        <f>AB18+AB19</f>
        <v/>
      </c>
      <c r="AC20" s="71">
        <f>AC18+AC19</f>
        <v/>
      </c>
      <c r="AD20" s="71">
        <f>AD18+AD19</f>
        <v/>
      </c>
      <c r="AE20" s="71">
        <f>AE18+AE19</f>
        <v/>
      </c>
      <c r="AF20" s="71">
        <f>AF18+AF19</f>
        <v/>
      </c>
      <c r="AG20" s="71">
        <f>AG18+AG19</f>
        <v/>
      </c>
      <c r="AH20" s="71">
        <f>AH18+AH19</f>
        <v/>
      </c>
      <c r="AI20" s="71">
        <f>AI18+AI19</f>
        <v/>
      </c>
      <c r="AJ20" s="71">
        <f>AJ18+AJ19</f>
        <v/>
      </c>
      <c r="AK20" s="71">
        <f>AK18+AK19</f>
        <v/>
      </c>
      <c r="AL20" s="71">
        <f>AL18+AL19</f>
        <v/>
      </c>
      <c r="AM20" s="71">
        <f>AM18+AM19</f>
        <v/>
      </c>
      <c r="AN20" s="71">
        <f>AN18+AN19</f>
        <v/>
      </c>
      <c r="AO20" s="71">
        <f>AO18+AO19</f>
        <v/>
      </c>
      <c r="AP20" s="71">
        <f>AP18+AP19</f>
        <v/>
      </c>
      <c r="AQ20" s="71">
        <f>AQ18+AQ19</f>
        <v/>
      </c>
      <c r="AR20" s="71">
        <f>AR18+AR19</f>
        <v/>
      </c>
      <c r="AS20" s="71">
        <f>AS18+AS19</f>
        <v/>
      </c>
      <c r="AT20" s="71">
        <f>AT18+AT19</f>
        <v/>
      </c>
      <c r="AU20" s="71">
        <f>AU18+AU19</f>
        <v/>
      </c>
      <c r="AV20" s="71">
        <f>AV18+AV19</f>
        <v/>
      </c>
      <c r="AW20" s="71">
        <f>AW18+AW19</f>
        <v/>
      </c>
      <c r="AX20" s="71">
        <f>AX18+AX19</f>
        <v/>
      </c>
      <c r="AY20" s="71">
        <f>AY18+AY19</f>
        <v/>
      </c>
      <c r="AZ20" s="71">
        <f>AZ18+AZ19</f>
        <v/>
      </c>
      <c r="BA20" s="71">
        <f>BA18+BA19</f>
        <v/>
      </c>
      <c r="BB20" s="71">
        <f>BB18+BB19</f>
        <v/>
      </c>
      <c r="BC20" s="71">
        <f>BC18+BC19</f>
        <v/>
      </c>
      <c r="BD20" s="71">
        <f>BD18+BD19</f>
        <v/>
      </c>
      <c r="BE20" s="71">
        <f>BE18+BE19</f>
        <v/>
      </c>
      <c r="BF20" s="71">
        <f>BF18+BF19</f>
        <v/>
      </c>
      <c r="BG20" s="71">
        <f>BG18+BG19</f>
        <v/>
      </c>
      <c r="BH20" s="71">
        <f>BH18+BH19</f>
        <v/>
      </c>
      <c r="BI20" s="71">
        <f>BI18+BI19</f>
        <v/>
      </c>
      <c r="BJ20" s="71">
        <f>BJ18+BJ19</f>
        <v/>
      </c>
      <c r="BK20" s="71">
        <f>BK18+BK19</f>
        <v/>
      </c>
      <c r="BL20" s="71">
        <f>BL18+BL19</f>
        <v/>
      </c>
    </row>
    <row r="21">
      <c r="A21" s="55" t="inlineStr">
        <is>
          <t>Interest - USD term loan</t>
        </is>
      </c>
      <c r="B21" s="26" t="inlineStr">
        <is>
          <t>LCY</t>
        </is>
      </c>
      <c r="C21" s="58">
        <f>SUM(E21:BL21)</f>
        <v/>
      </c>
      <c r="E21" s="17">
        <f>-Financing!E$16</f>
        <v/>
      </c>
      <c r="F21" s="17">
        <f>-Financing!F$16</f>
        <v/>
      </c>
      <c r="G21" s="17">
        <f>-Financing!G$16</f>
        <v/>
      </c>
      <c r="H21" s="17">
        <f>-Financing!H$16</f>
        <v/>
      </c>
      <c r="I21" s="17">
        <f>-Financing!I$16</f>
        <v/>
      </c>
      <c r="J21" s="17">
        <f>-Financing!J$16</f>
        <v/>
      </c>
      <c r="K21" s="17">
        <f>-Financing!K$16</f>
        <v/>
      </c>
      <c r="L21" s="17">
        <f>-Financing!L$16</f>
        <v/>
      </c>
      <c r="M21" s="17">
        <f>-Financing!M$16</f>
        <v/>
      </c>
      <c r="N21" s="17">
        <f>-Financing!N$16</f>
        <v/>
      </c>
      <c r="O21" s="17">
        <f>-Financing!O$16</f>
        <v/>
      </c>
      <c r="P21" s="17">
        <f>-Financing!P$16</f>
        <v/>
      </c>
      <c r="Q21" s="17">
        <f>-Financing!Q$16</f>
        <v/>
      </c>
      <c r="R21" s="17">
        <f>-Financing!R$16</f>
        <v/>
      </c>
      <c r="S21" s="17">
        <f>-Financing!S$16</f>
        <v/>
      </c>
      <c r="T21" s="17">
        <f>-Financing!T$16</f>
        <v/>
      </c>
      <c r="U21" s="17">
        <f>-Financing!U$16</f>
        <v/>
      </c>
      <c r="V21" s="17">
        <f>-Financing!V$16</f>
        <v/>
      </c>
      <c r="W21" s="17">
        <f>-Financing!W$16</f>
        <v/>
      </c>
      <c r="X21" s="17">
        <f>-Financing!X$16</f>
        <v/>
      </c>
      <c r="Y21" s="17">
        <f>-Financing!Y$16</f>
        <v/>
      </c>
      <c r="Z21" s="17">
        <f>-Financing!Z$16</f>
        <v/>
      </c>
      <c r="AA21" s="17">
        <f>-Financing!AA$16</f>
        <v/>
      </c>
      <c r="AB21" s="17">
        <f>-Financing!AB$16</f>
        <v/>
      </c>
      <c r="AC21" s="17">
        <f>-Financing!AC$16</f>
        <v/>
      </c>
      <c r="AD21" s="17">
        <f>-Financing!AD$16</f>
        <v/>
      </c>
      <c r="AE21" s="17">
        <f>-Financing!AE$16</f>
        <v/>
      </c>
      <c r="AF21" s="17">
        <f>-Financing!AF$16</f>
        <v/>
      </c>
      <c r="AG21" s="17">
        <f>-Financing!AG$16</f>
        <v/>
      </c>
      <c r="AH21" s="17">
        <f>-Financing!AH$16</f>
        <v/>
      </c>
      <c r="AI21" s="17">
        <f>-Financing!AI$16</f>
        <v/>
      </c>
      <c r="AJ21" s="17">
        <f>-Financing!AJ$16</f>
        <v/>
      </c>
      <c r="AK21" s="17">
        <f>-Financing!AK$16</f>
        <v/>
      </c>
      <c r="AL21" s="17">
        <f>-Financing!AL$16</f>
        <v/>
      </c>
      <c r="AM21" s="17">
        <f>-Financing!AM$16</f>
        <v/>
      </c>
      <c r="AN21" s="17">
        <f>-Financing!AN$16</f>
        <v/>
      </c>
      <c r="AO21" s="17">
        <f>-Financing!AO$16</f>
        <v/>
      </c>
      <c r="AP21" s="17">
        <f>-Financing!AP$16</f>
        <v/>
      </c>
      <c r="AQ21" s="17">
        <f>-Financing!AQ$16</f>
        <v/>
      </c>
      <c r="AR21" s="17">
        <f>-Financing!AR$16</f>
        <v/>
      </c>
      <c r="AS21" s="17">
        <f>-Financing!AS$16</f>
        <v/>
      </c>
      <c r="AT21" s="17">
        <f>-Financing!AT$16</f>
        <v/>
      </c>
      <c r="AU21" s="17">
        <f>-Financing!AU$16</f>
        <v/>
      </c>
      <c r="AV21" s="17">
        <f>-Financing!AV$16</f>
        <v/>
      </c>
      <c r="AW21" s="17">
        <f>-Financing!AW$16</f>
        <v/>
      </c>
      <c r="AX21" s="17">
        <f>-Financing!AX$16</f>
        <v/>
      </c>
      <c r="AY21" s="17">
        <f>-Financing!AY$16</f>
        <v/>
      </c>
      <c r="AZ21" s="17">
        <f>-Financing!AZ$16</f>
        <v/>
      </c>
      <c r="BA21" s="17">
        <f>-Financing!BA$16</f>
        <v/>
      </c>
      <c r="BB21" s="17">
        <f>-Financing!BB$16</f>
        <v/>
      </c>
      <c r="BC21" s="17">
        <f>-Financing!BC$16</f>
        <v/>
      </c>
      <c r="BD21" s="17">
        <f>-Financing!BD$16</f>
        <v/>
      </c>
      <c r="BE21" s="17">
        <f>-Financing!BE$16</f>
        <v/>
      </c>
      <c r="BF21" s="17">
        <f>-Financing!BF$16</f>
        <v/>
      </c>
      <c r="BG21" s="17">
        <f>-Financing!BG$16</f>
        <v/>
      </c>
      <c r="BH21" s="17">
        <f>-Financing!BH$16</f>
        <v/>
      </c>
      <c r="BI21" s="17">
        <f>-Financing!BI$16</f>
        <v/>
      </c>
      <c r="BJ21" s="17">
        <f>-Financing!BJ$16</f>
        <v/>
      </c>
      <c r="BK21" s="17">
        <f>-Financing!BK$16</f>
        <v/>
      </c>
      <c r="BL21" s="17">
        <f>-Financing!BL$16</f>
        <v/>
      </c>
    </row>
    <row r="22">
      <c r="A22" s="55" t="inlineStr">
        <is>
          <t>Interest - receivables facility</t>
        </is>
      </c>
      <c r="B22" s="26" t="inlineStr">
        <is>
          <t>LCY</t>
        </is>
      </c>
      <c r="C22" s="58">
        <f>SUM(E22:BL22)</f>
        <v/>
      </c>
      <c r="E22" s="17">
        <f>-Financing!E$25</f>
        <v/>
      </c>
      <c r="F22" s="17">
        <f>-Financing!F$25</f>
        <v/>
      </c>
      <c r="G22" s="17">
        <f>-Financing!G$25</f>
        <v/>
      </c>
      <c r="H22" s="17">
        <f>-Financing!H$25</f>
        <v/>
      </c>
      <c r="I22" s="17">
        <f>-Financing!I$25</f>
        <v/>
      </c>
      <c r="J22" s="17">
        <f>-Financing!J$25</f>
        <v/>
      </c>
      <c r="K22" s="17">
        <f>-Financing!K$25</f>
        <v/>
      </c>
      <c r="L22" s="17">
        <f>-Financing!L$25</f>
        <v/>
      </c>
      <c r="M22" s="17">
        <f>-Financing!M$25</f>
        <v/>
      </c>
      <c r="N22" s="17">
        <f>-Financing!N$25</f>
        <v/>
      </c>
      <c r="O22" s="17">
        <f>-Financing!O$25</f>
        <v/>
      </c>
      <c r="P22" s="17">
        <f>-Financing!P$25</f>
        <v/>
      </c>
      <c r="Q22" s="17">
        <f>-Financing!Q$25</f>
        <v/>
      </c>
      <c r="R22" s="17">
        <f>-Financing!R$25</f>
        <v/>
      </c>
      <c r="S22" s="17">
        <f>-Financing!S$25</f>
        <v/>
      </c>
      <c r="T22" s="17">
        <f>-Financing!T$25</f>
        <v/>
      </c>
      <c r="U22" s="17">
        <f>-Financing!U$25</f>
        <v/>
      </c>
      <c r="V22" s="17">
        <f>-Financing!V$25</f>
        <v/>
      </c>
      <c r="W22" s="17">
        <f>-Financing!W$25</f>
        <v/>
      </c>
      <c r="X22" s="17">
        <f>-Financing!X$25</f>
        <v/>
      </c>
      <c r="Y22" s="17">
        <f>-Financing!Y$25</f>
        <v/>
      </c>
      <c r="Z22" s="17">
        <f>-Financing!Z$25</f>
        <v/>
      </c>
      <c r="AA22" s="17">
        <f>-Financing!AA$25</f>
        <v/>
      </c>
      <c r="AB22" s="17">
        <f>-Financing!AB$25</f>
        <v/>
      </c>
      <c r="AC22" s="17">
        <f>-Financing!AC$25</f>
        <v/>
      </c>
      <c r="AD22" s="17">
        <f>-Financing!AD$25</f>
        <v/>
      </c>
      <c r="AE22" s="17">
        <f>-Financing!AE$25</f>
        <v/>
      </c>
      <c r="AF22" s="17">
        <f>-Financing!AF$25</f>
        <v/>
      </c>
      <c r="AG22" s="17">
        <f>-Financing!AG$25</f>
        <v/>
      </c>
      <c r="AH22" s="17">
        <f>-Financing!AH$25</f>
        <v/>
      </c>
      <c r="AI22" s="17">
        <f>-Financing!AI$25</f>
        <v/>
      </c>
      <c r="AJ22" s="17">
        <f>-Financing!AJ$25</f>
        <v/>
      </c>
      <c r="AK22" s="17">
        <f>-Financing!AK$25</f>
        <v/>
      </c>
      <c r="AL22" s="17">
        <f>-Financing!AL$25</f>
        <v/>
      </c>
      <c r="AM22" s="17">
        <f>-Financing!AM$25</f>
        <v/>
      </c>
      <c r="AN22" s="17">
        <f>-Financing!AN$25</f>
        <v/>
      </c>
      <c r="AO22" s="17">
        <f>-Financing!AO$25</f>
        <v/>
      </c>
      <c r="AP22" s="17">
        <f>-Financing!AP$25</f>
        <v/>
      </c>
      <c r="AQ22" s="17">
        <f>-Financing!AQ$25</f>
        <v/>
      </c>
      <c r="AR22" s="17">
        <f>-Financing!AR$25</f>
        <v/>
      </c>
      <c r="AS22" s="17">
        <f>-Financing!AS$25</f>
        <v/>
      </c>
      <c r="AT22" s="17">
        <f>-Financing!AT$25</f>
        <v/>
      </c>
      <c r="AU22" s="17">
        <f>-Financing!AU$25</f>
        <v/>
      </c>
      <c r="AV22" s="17">
        <f>-Financing!AV$25</f>
        <v/>
      </c>
      <c r="AW22" s="17">
        <f>-Financing!AW$25</f>
        <v/>
      </c>
      <c r="AX22" s="17">
        <f>-Financing!AX$25</f>
        <v/>
      </c>
      <c r="AY22" s="17">
        <f>-Financing!AY$25</f>
        <v/>
      </c>
      <c r="AZ22" s="17">
        <f>-Financing!AZ$25</f>
        <v/>
      </c>
      <c r="BA22" s="17">
        <f>-Financing!BA$25</f>
        <v/>
      </c>
      <c r="BB22" s="17">
        <f>-Financing!BB$25</f>
        <v/>
      </c>
      <c r="BC22" s="17">
        <f>-Financing!BC$25</f>
        <v/>
      </c>
      <c r="BD22" s="17">
        <f>-Financing!BD$25</f>
        <v/>
      </c>
      <c r="BE22" s="17">
        <f>-Financing!BE$25</f>
        <v/>
      </c>
      <c r="BF22" s="17">
        <f>-Financing!BF$25</f>
        <v/>
      </c>
      <c r="BG22" s="17">
        <f>-Financing!BG$25</f>
        <v/>
      </c>
      <c r="BH22" s="17">
        <f>-Financing!BH$25</f>
        <v/>
      </c>
      <c r="BI22" s="17">
        <f>-Financing!BI$25</f>
        <v/>
      </c>
      <c r="BJ22" s="17">
        <f>-Financing!BJ$25</f>
        <v/>
      </c>
      <c r="BK22" s="17">
        <f>-Financing!BK$25</f>
        <v/>
      </c>
      <c r="BL22" s="17">
        <f>-Financing!BL$25</f>
        <v/>
      </c>
    </row>
    <row r="23">
      <c r="A23" s="55" t="inlineStr">
        <is>
          <t>FX (loss) / gain on USD debt</t>
        </is>
      </c>
      <c r="B23" s="26" t="inlineStr">
        <is>
          <t>LCY</t>
        </is>
      </c>
      <c r="C23" s="58">
        <f>SUM(E23:BL23)</f>
        <v/>
      </c>
      <c r="E23" s="17">
        <f>-Financing!E$20</f>
        <v/>
      </c>
      <c r="F23" s="17">
        <f>-Financing!F$20</f>
        <v/>
      </c>
      <c r="G23" s="17">
        <f>-Financing!G$20</f>
        <v/>
      </c>
      <c r="H23" s="17">
        <f>-Financing!H$20</f>
        <v/>
      </c>
      <c r="I23" s="17">
        <f>-Financing!I$20</f>
        <v/>
      </c>
      <c r="J23" s="17">
        <f>-Financing!J$20</f>
        <v/>
      </c>
      <c r="K23" s="17">
        <f>-Financing!K$20</f>
        <v/>
      </c>
      <c r="L23" s="17">
        <f>-Financing!L$20</f>
        <v/>
      </c>
      <c r="M23" s="17">
        <f>-Financing!M$20</f>
        <v/>
      </c>
      <c r="N23" s="17">
        <f>-Financing!N$20</f>
        <v/>
      </c>
      <c r="O23" s="17">
        <f>-Financing!O$20</f>
        <v/>
      </c>
      <c r="P23" s="17">
        <f>-Financing!P$20</f>
        <v/>
      </c>
      <c r="Q23" s="17">
        <f>-Financing!Q$20</f>
        <v/>
      </c>
      <c r="R23" s="17">
        <f>-Financing!R$20</f>
        <v/>
      </c>
      <c r="S23" s="17">
        <f>-Financing!S$20</f>
        <v/>
      </c>
      <c r="T23" s="17">
        <f>-Financing!T$20</f>
        <v/>
      </c>
      <c r="U23" s="17">
        <f>-Financing!U$20</f>
        <v/>
      </c>
      <c r="V23" s="17">
        <f>-Financing!V$20</f>
        <v/>
      </c>
      <c r="W23" s="17">
        <f>-Financing!W$20</f>
        <v/>
      </c>
      <c r="X23" s="17">
        <f>-Financing!X$20</f>
        <v/>
      </c>
      <c r="Y23" s="17">
        <f>-Financing!Y$20</f>
        <v/>
      </c>
      <c r="Z23" s="17">
        <f>-Financing!Z$20</f>
        <v/>
      </c>
      <c r="AA23" s="17">
        <f>-Financing!AA$20</f>
        <v/>
      </c>
      <c r="AB23" s="17">
        <f>-Financing!AB$20</f>
        <v/>
      </c>
      <c r="AC23" s="17">
        <f>-Financing!AC$20</f>
        <v/>
      </c>
      <c r="AD23" s="17">
        <f>-Financing!AD$20</f>
        <v/>
      </c>
      <c r="AE23" s="17">
        <f>-Financing!AE$20</f>
        <v/>
      </c>
      <c r="AF23" s="17">
        <f>-Financing!AF$20</f>
        <v/>
      </c>
      <c r="AG23" s="17">
        <f>-Financing!AG$20</f>
        <v/>
      </c>
      <c r="AH23" s="17">
        <f>-Financing!AH$20</f>
        <v/>
      </c>
      <c r="AI23" s="17">
        <f>-Financing!AI$20</f>
        <v/>
      </c>
      <c r="AJ23" s="17">
        <f>-Financing!AJ$20</f>
        <v/>
      </c>
      <c r="AK23" s="17">
        <f>-Financing!AK$20</f>
        <v/>
      </c>
      <c r="AL23" s="17">
        <f>-Financing!AL$20</f>
        <v/>
      </c>
      <c r="AM23" s="17">
        <f>-Financing!AM$20</f>
        <v/>
      </c>
      <c r="AN23" s="17">
        <f>-Financing!AN$20</f>
        <v/>
      </c>
      <c r="AO23" s="17">
        <f>-Financing!AO$20</f>
        <v/>
      </c>
      <c r="AP23" s="17">
        <f>-Financing!AP$20</f>
        <v/>
      </c>
      <c r="AQ23" s="17">
        <f>-Financing!AQ$20</f>
        <v/>
      </c>
      <c r="AR23" s="17">
        <f>-Financing!AR$20</f>
        <v/>
      </c>
      <c r="AS23" s="17">
        <f>-Financing!AS$20</f>
        <v/>
      </c>
      <c r="AT23" s="17">
        <f>-Financing!AT$20</f>
        <v/>
      </c>
      <c r="AU23" s="17">
        <f>-Financing!AU$20</f>
        <v/>
      </c>
      <c r="AV23" s="17">
        <f>-Financing!AV$20</f>
        <v/>
      </c>
      <c r="AW23" s="17">
        <f>-Financing!AW$20</f>
        <v/>
      </c>
      <c r="AX23" s="17">
        <f>-Financing!AX$20</f>
        <v/>
      </c>
      <c r="AY23" s="17">
        <f>-Financing!AY$20</f>
        <v/>
      </c>
      <c r="AZ23" s="17">
        <f>-Financing!AZ$20</f>
        <v/>
      </c>
      <c r="BA23" s="17">
        <f>-Financing!BA$20</f>
        <v/>
      </c>
      <c r="BB23" s="17">
        <f>-Financing!BB$20</f>
        <v/>
      </c>
      <c r="BC23" s="17">
        <f>-Financing!BC$20</f>
        <v/>
      </c>
      <c r="BD23" s="17">
        <f>-Financing!BD$20</f>
        <v/>
      </c>
      <c r="BE23" s="17">
        <f>-Financing!BE$20</f>
        <v/>
      </c>
      <c r="BF23" s="17">
        <f>-Financing!BF$20</f>
        <v/>
      </c>
      <c r="BG23" s="17">
        <f>-Financing!BG$20</f>
        <v/>
      </c>
      <c r="BH23" s="17">
        <f>-Financing!BH$20</f>
        <v/>
      </c>
      <c r="BI23" s="17">
        <f>-Financing!BI$20</f>
        <v/>
      </c>
      <c r="BJ23" s="17">
        <f>-Financing!BJ$20</f>
        <v/>
      </c>
      <c r="BK23" s="17">
        <f>-Financing!BK$20</f>
        <v/>
      </c>
      <c r="BL23" s="17">
        <f>-Financing!BL$20</f>
        <v/>
      </c>
    </row>
    <row r="24">
      <c r="A24" s="60" t="inlineStr">
        <is>
          <t>Profit before tax</t>
        </is>
      </c>
      <c r="B24" s="61" t="inlineStr">
        <is>
          <t>LCY</t>
        </is>
      </c>
      <c r="C24" s="70">
        <f>SUM(E24:BL24)</f>
        <v/>
      </c>
      <c r="D24" s="63" t="n"/>
      <c r="E24" s="71">
        <f>E20+E21+E22+E23</f>
        <v/>
      </c>
      <c r="F24" s="71">
        <f>F20+F21+F22+F23</f>
        <v/>
      </c>
      <c r="G24" s="71">
        <f>G20+G21+G22+G23</f>
        <v/>
      </c>
      <c r="H24" s="71">
        <f>H20+H21+H22+H23</f>
        <v/>
      </c>
      <c r="I24" s="71">
        <f>I20+I21+I22+I23</f>
        <v/>
      </c>
      <c r="J24" s="71">
        <f>J20+J21+J22+J23</f>
        <v/>
      </c>
      <c r="K24" s="71">
        <f>K20+K21+K22+K23</f>
        <v/>
      </c>
      <c r="L24" s="71">
        <f>L20+L21+L22+L23</f>
        <v/>
      </c>
      <c r="M24" s="71">
        <f>M20+M21+M22+M23</f>
        <v/>
      </c>
      <c r="N24" s="71">
        <f>N20+N21+N22+N23</f>
        <v/>
      </c>
      <c r="O24" s="71">
        <f>O20+O21+O22+O23</f>
        <v/>
      </c>
      <c r="P24" s="71">
        <f>P20+P21+P22+P23</f>
        <v/>
      </c>
      <c r="Q24" s="71">
        <f>Q20+Q21+Q22+Q23</f>
        <v/>
      </c>
      <c r="R24" s="71">
        <f>R20+R21+R22+R23</f>
        <v/>
      </c>
      <c r="S24" s="71">
        <f>S20+S21+S22+S23</f>
        <v/>
      </c>
      <c r="T24" s="71">
        <f>T20+T21+T22+T23</f>
        <v/>
      </c>
      <c r="U24" s="71">
        <f>U20+U21+U22+U23</f>
        <v/>
      </c>
      <c r="V24" s="71">
        <f>V20+V21+V22+V23</f>
        <v/>
      </c>
      <c r="W24" s="71">
        <f>W20+W21+W22+W23</f>
        <v/>
      </c>
      <c r="X24" s="71">
        <f>X20+X21+X22+X23</f>
        <v/>
      </c>
      <c r="Y24" s="71">
        <f>Y20+Y21+Y22+Y23</f>
        <v/>
      </c>
      <c r="Z24" s="71">
        <f>Z20+Z21+Z22+Z23</f>
        <v/>
      </c>
      <c r="AA24" s="71">
        <f>AA20+AA21+AA22+AA23</f>
        <v/>
      </c>
      <c r="AB24" s="71">
        <f>AB20+AB21+AB22+AB23</f>
        <v/>
      </c>
      <c r="AC24" s="71">
        <f>AC20+AC21+AC22+AC23</f>
        <v/>
      </c>
      <c r="AD24" s="71">
        <f>AD20+AD21+AD22+AD23</f>
        <v/>
      </c>
      <c r="AE24" s="71">
        <f>AE20+AE21+AE22+AE23</f>
        <v/>
      </c>
      <c r="AF24" s="71">
        <f>AF20+AF21+AF22+AF23</f>
        <v/>
      </c>
      <c r="AG24" s="71">
        <f>AG20+AG21+AG22+AG23</f>
        <v/>
      </c>
      <c r="AH24" s="71">
        <f>AH20+AH21+AH22+AH23</f>
        <v/>
      </c>
      <c r="AI24" s="71">
        <f>AI20+AI21+AI22+AI23</f>
        <v/>
      </c>
      <c r="AJ24" s="71">
        <f>AJ20+AJ21+AJ22+AJ23</f>
        <v/>
      </c>
      <c r="AK24" s="71">
        <f>AK20+AK21+AK22+AK23</f>
        <v/>
      </c>
      <c r="AL24" s="71">
        <f>AL20+AL21+AL22+AL23</f>
        <v/>
      </c>
      <c r="AM24" s="71">
        <f>AM20+AM21+AM22+AM23</f>
        <v/>
      </c>
      <c r="AN24" s="71">
        <f>AN20+AN21+AN22+AN23</f>
        <v/>
      </c>
      <c r="AO24" s="71">
        <f>AO20+AO21+AO22+AO23</f>
        <v/>
      </c>
      <c r="AP24" s="71">
        <f>AP20+AP21+AP22+AP23</f>
        <v/>
      </c>
      <c r="AQ24" s="71">
        <f>AQ20+AQ21+AQ22+AQ23</f>
        <v/>
      </c>
      <c r="AR24" s="71">
        <f>AR20+AR21+AR22+AR23</f>
        <v/>
      </c>
      <c r="AS24" s="71">
        <f>AS20+AS21+AS22+AS23</f>
        <v/>
      </c>
      <c r="AT24" s="71">
        <f>AT20+AT21+AT22+AT23</f>
        <v/>
      </c>
      <c r="AU24" s="71">
        <f>AU20+AU21+AU22+AU23</f>
        <v/>
      </c>
      <c r="AV24" s="71">
        <f>AV20+AV21+AV22+AV23</f>
        <v/>
      </c>
      <c r="AW24" s="71">
        <f>AW20+AW21+AW22+AW23</f>
        <v/>
      </c>
      <c r="AX24" s="71">
        <f>AX20+AX21+AX22+AX23</f>
        <v/>
      </c>
      <c r="AY24" s="71">
        <f>AY20+AY21+AY22+AY23</f>
        <v/>
      </c>
      <c r="AZ24" s="71">
        <f>AZ20+AZ21+AZ22+AZ23</f>
        <v/>
      </c>
      <c r="BA24" s="71">
        <f>BA20+BA21+BA22+BA23</f>
        <v/>
      </c>
      <c r="BB24" s="71">
        <f>BB20+BB21+BB22+BB23</f>
        <v/>
      </c>
      <c r="BC24" s="71">
        <f>BC20+BC21+BC22+BC23</f>
        <v/>
      </c>
      <c r="BD24" s="71">
        <f>BD20+BD21+BD22+BD23</f>
        <v/>
      </c>
      <c r="BE24" s="71">
        <f>BE20+BE21+BE22+BE23</f>
        <v/>
      </c>
      <c r="BF24" s="71">
        <f>BF20+BF21+BF22+BF23</f>
        <v/>
      </c>
      <c r="BG24" s="71">
        <f>BG20+BG21+BG22+BG23</f>
        <v/>
      </c>
      <c r="BH24" s="71">
        <f>BH20+BH21+BH22+BH23</f>
        <v/>
      </c>
      <c r="BI24" s="71">
        <f>BI20+BI21+BI22+BI23</f>
        <v/>
      </c>
      <c r="BJ24" s="71">
        <f>BJ20+BJ21+BJ22+BJ23</f>
        <v/>
      </c>
      <c r="BK24" s="71">
        <f>BK20+BK21+BK22+BK23</f>
        <v/>
      </c>
      <c r="BL24" s="71">
        <f>BL20+BL21+BL22+BL23</f>
        <v/>
      </c>
    </row>
    <row r="25">
      <c r="A25" s="55" t="inlineStr">
        <is>
          <t xml:space="preserve">  memo: cumulative PBT</t>
        </is>
      </c>
      <c r="B25" s="26" t="inlineStr">
        <is>
          <t>LCY</t>
        </is>
      </c>
      <c r="C25" s="58">
        <f>BL25</f>
        <v/>
      </c>
      <c r="E25" s="39">
        <f>D25+E24</f>
        <v/>
      </c>
      <c r="F25" s="39">
        <f>E25+F24</f>
        <v/>
      </c>
      <c r="G25" s="39">
        <f>F25+G24</f>
        <v/>
      </c>
      <c r="H25" s="39">
        <f>G25+H24</f>
        <v/>
      </c>
      <c r="I25" s="39">
        <f>H25+I24</f>
        <v/>
      </c>
      <c r="J25" s="39">
        <f>I25+J24</f>
        <v/>
      </c>
      <c r="K25" s="39">
        <f>J25+K24</f>
        <v/>
      </c>
      <c r="L25" s="39">
        <f>K25+L24</f>
        <v/>
      </c>
      <c r="M25" s="39">
        <f>L25+M24</f>
        <v/>
      </c>
      <c r="N25" s="39">
        <f>M25+N24</f>
        <v/>
      </c>
      <c r="O25" s="39">
        <f>N25+O24</f>
        <v/>
      </c>
      <c r="P25" s="39">
        <f>O25+P24</f>
        <v/>
      </c>
      <c r="Q25" s="39">
        <f>P25+Q24</f>
        <v/>
      </c>
      <c r="R25" s="39">
        <f>Q25+R24</f>
        <v/>
      </c>
      <c r="S25" s="39">
        <f>R25+S24</f>
        <v/>
      </c>
      <c r="T25" s="39">
        <f>S25+T24</f>
        <v/>
      </c>
      <c r="U25" s="39">
        <f>T25+U24</f>
        <v/>
      </c>
      <c r="V25" s="39">
        <f>U25+V24</f>
        <v/>
      </c>
      <c r="W25" s="39">
        <f>V25+W24</f>
        <v/>
      </c>
      <c r="X25" s="39">
        <f>W25+X24</f>
        <v/>
      </c>
      <c r="Y25" s="39">
        <f>X25+Y24</f>
        <v/>
      </c>
      <c r="Z25" s="39">
        <f>Y25+Z24</f>
        <v/>
      </c>
      <c r="AA25" s="39">
        <f>Z25+AA24</f>
        <v/>
      </c>
      <c r="AB25" s="39">
        <f>AA25+AB24</f>
        <v/>
      </c>
      <c r="AC25" s="39">
        <f>AB25+AC24</f>
        <v/>
      </c>
      <c r="AD25" s="39">
        <f>AC25+AD24</f>
        <v/>
      </c>
      <c r="AE25" s="39">
        <f>AD25+AE24</f>
        <v/>
      </c>
      <c r="AF25" s="39">
        <f>AE25+AF24</f>
        <v/>
      </c>
      <c r="AG25" s="39">
        <f>AF25+AG24</f>
        <v/>
      </c>
      <c r="AH25" s="39">
        <f>AG25+AH24</f>
        <v/>
      </c>
      <c r="AI25" s="39">
        <f>AH25+AI24</f>
        <v/>
      </c>
      <c r="AJ25" s="39">
        <f>AI25+AJ24</f>
        <v/>
      </c>
      <c r="AK25" s="39">
        <f>AJ25+AK24</f>
        <v/>
      </c>
      <c r="AL25" s="39">
        <f>AK25+AL24</f>
        <v/>
      </c>
      <c r="AM25" s="39">
        <f>AL25+AM24</f>
        <v/>
      </c>
      <c r="AN25" s="39">
        <f>AM25+AN24</f>
        <v/>
      </c>
      <c r="AO25" s="39">
        <f>AN25+AO24</f>
        <v/>
      </c>
      <c r="AP25" s="39">
        <f>AO25+AP24</f>
        <v/>
      </c>
      <c r="AQ25" s="39">
        <f>AP25+AQ24</f>
        <v/>
      </c>
      <c r="AR25" s="39">
        <f>AQ25+AR24</f>
        <v/>
      </c>
      <c r="AS25" s="39">
        <f>AR25+AS24</f>
        <v/>
      </c>
      <c r="AT25" s="39">
        <f>AS25+AT24</f>
        <v/>
      </c>
      <c r="AU25" s="39">
        <f>AT25+AU24</f>
        <v/>
      </c>
      <c r="AV25" s="39">
        <f>AU25+AV24</f>
        <v/>
      </c>
      <c r="AW25" s="39">
        <f>AV25+AW24</f>
        <v/>
      </c>
      <c r="AX25" s="39">
        <f>AW25+AX24</f>
        <v/>
      </c>
      <c r="AY25" s="39">
        <f>AX25+AY24</f>
        <v/>
      </c>
      <c r="AZ25" s="39">
        <f>AY25+AZ24</f>
        <v/>
      </c>
      <c r="BA25" s="39">
        <f>AZ25+BA24</f>
        <v/>
      </c>
      <c r="BB25" s="39">
        <f>BA25+BB24</f>
        <v/>
      </c>
      <c r="BC25" s="39">
        <f>BB25+BC24</f>
        <v/>
      </c>
      <c r="BD25" s="39">
        <f>BC25+BD24</f>
        <v/>
      </c>
      <c r="BE25" s="39">
        <f>BD25+BE24</f>
        <v/>
      </c>
      <c r="BF25" s="39">
        <f>BE25+BF24</f>
        <v/>
      </c>
      <c r="BG25" s="39">
        <f>BF25+BG24</f>
        <v/>
      </c>
      <c r="BH25" s="39">
        <f>BG25+BH24</f>
        <v/>
      </c>
      <c r="BI25" s="39">
        <f>BH25+BI24</f>
        <v/>
      </c>
      <c r="BJ25" s="39">
        <f>BI25+BJ24</f>
        <v/>
      </c>
      <c r="BK25" s="39">
        <f>BJ25+BK24</f>
        <v/>
      </c>
      <c r="BL25" s="39">
        <f>BK25+BL24</f>
        <v/>
      </c>
    </row>
    <row r="26">
      <c r="A26" s="55" t="inlineStr">
        <is>
          <t xml:space="preserve">  memo: running maximum of cumulative PBT</t>
        </is>
      </c>
      <c r="B26" s="26" t="inlineStr">
        <is>
          <t>LCY</t>
        </is>
      </c>
      <c r="C26" s="58">
        <f>BL26</f>
        <v/>
      </c>
      <c r="E26" s="39">
        <f>MAX(D26,E25)</f>
        <v/>
      </c>
      <c r="F26" s="39">
        <f>MAX(E26,F25)</f>
        <v/>
      </c>
      <c r="G26" s="39">
        <f>MAX(F26,G25)</f>
        <v/>
      </c>
      <c r="H26" s="39">
        <f>MAX(G26,H25)</f>
        <v/>
      </c>
      <c r="I26" s="39">
        <f>MAX(H26,I25)</f>
        <v/>
      </c>
      <c r="J26" s="39">
        <f>MAX(I26,J25)</f>
        <v/>
      </c>
      <c r="K26" s="39">
        <f>MAX(J26,K25)</f>
        <v/>
      </c>
      <c r="L26" s="39">
        <f>MAX(K26,L25)</f>
        <v/>
      </c>
      <c r="M26" s="39">
        <f>MAX(L26,M25)</f>
        <v/>
      </c>
      <c r="N26" s="39">
        <f>MAX(M26,N25)</f>
        <v/>
      </c>
      <c r="O26" s="39">
        <f>MAX(N26,O25)</f>
        <v/>
      </c>
      <c r="P26" s="39">
        <f>MAX(O26,P25)</f>
        <v/>
      </c>
      <c r="Q26" s="39">
        <f>MAX(P26,Q25)</f>
        <v/>
      </c>
      <c r="R26" s="39">
        <f>MAX(Q26,R25)</f>
        <v/>
      </c>
      <c r="S26" s="39">
        <f>MAX(R26,S25)</f>
        <v/>
      </c>
      <c r="T26" s="39">
        <f>MAX(S26,T25)</f>
        <v/>
      </c>
      <c r="U26" s="39">
        <f>MAX(T26,U25)</f>
        <v/>
      </c>
      <c r="V26" s="39">
        <f>MAX(U26,V25)</f>
        <v/>
      </c>
      <c r="W26" s="39">
        <f>MAX(V26,W25)</f>
        <v/>
      </c>
      <c r="X26" s="39">
        <f>MAX(W26,X25)</f>
        <v/>
      </c>
      <c r="Y26" s="39">
        <f>MAX(X26,Y25)</f>
        <v/>
      </c>
      <c r="Z26" s="39">
        <f>MAX(Y26,Z25)</f>
        <v/>
      </c>
      <c r="AA26" s="39">
        <f>MAX(Z26,AA25)</f>
        <v/>
      </c>
      <c r="AB26" s="39">
        <f>MAX(AA26,AB25)</f>
        <v/>
      </c>
      <c r="AC26" s="39">
        <f>MAX(AB26,AC25)</f>
        <v/>
      </c>
      <c r="AD26" s="39">
        <f>MAX(AC26,AD25)</f>
        <v/>
      </c>
      <c r="AE26" s="39">
        <f>MAX(AD26,AE25)</f>
        <v/>
      </c>
      <c r="AF26" s="39">
        <f>MAX(AE26,AF25)</f>
        <v/>
      </c>
      <c r="AG26" s="39">
        <f>MAX(AF26,AG25)</f>
        <v/>
      </c>
      <c r="AH26" s="39">
        <f>MAX(AG26,AH25)</f>
        <v/>
      </c>
      <c r="AI26" s="39">
        <f>MAX(AH26,AI25)</f>
        <v/>
      </c>
      <c r="AJ26" s="39">
        <f>MAX(AI26,AJ25)</f>
        <v/>
      </c>
      <c r="AK26" s="39">
        <f>MAX(AJ26,AK25)</f>
        <v/>
      </c>
      <c r="AL26" s="39">
        <f>MAX(AK26,AL25)</f>
        <v/>
      </c>
      <c r="AM26" s="39">
        <f>MAX(AL26,AM25)</f>
        <v/>
      </c>
      <c r="AN26" s="39">
        <f>MAX(AM26,AN25)</f>
        <v/>
      </c>
      <c r="AO26" s="39">
        <f>MAX(AN26,AO25)</f>
        <v/>
      </c>
      <c r="AP26" s="39">
        <f>MAX(AO26,AP25)</f>
        <v/>
      </c>
      <c r="AQ26" s="39">
        <f>MAX(AP26,AQ25)</f>
        <v/>
      </c>
      <c r="AR26" s="39">
        <f>MAX(AQ26,AR25)</f>
        <v/>
      </c>
      <c r="AS26" s="39">
        <f>MAX(AR26,AS25)</f>
        <v/>
      </c>
      <c r="AT26" s="39">
        <f>MAX(AS26,AT25)</f>
        <v/>
      </c>
      <c r="AU26" s="39">
        <f>MAX(AT26,AU25)</f>
        <v/>
      </c>
      <c r="AV26" s="39">
        <f>MAX(AU26,AV25)</f>
        <v/>
      </c>
      <c r="AW26" s="39">
        <f>MAX(AV26,AW25)</f>
        <v/>
      </c>
      <c r="AX26" s="39">
        <f>MAX(AW26,AX25)</f>
        <v/>
      </c>
      <c r="AY26" s="39">
        <f>MAX(AX26,AY25)</f>
        <v/>
      </c>
      <c r="AZ26" s="39">
        <f>MAX(AY26,AZ25)</f>
        <v/>
      </c>
      <c r="BA26" s="39">
        <f>MAX(AZ26,BA25)</f>
        <v/>
      </c>
      <c r="BB26" s="39">
        <f>MAX(BA26,BB25)</f>
        <v/>
      </c>
      <c r="BC26" s="39">
        <f>MAX(BB26,BC25)</f>
        <v/>
      </c>
      <c r="BD26" s="39">
        <f>MAX(BC26,BD25)</f>
        <v/>
      </c>
      <c r="BE26" s="39">
        <f>MAX(BD26,BE25)</f>
        <v/>
      </c>
      <c r="BF26" s="39">
        <f>MAX(BE26,BF25)</f>
        <v/>
      </c>
      <c r="BG26" s="39">
        <f>MAX(BF26,BG25)</f>
        <v/>
      </c>
      <c r="BH26" s="39">
        <f>MAX(BG26,BH25)</f>
        <v/>
      </c>
      <c r="BI26" s="39">
        <f>MAX(BH26,BI25)</f>
        <v/>
      </c>
      <c r="BJ26" s="39">
        <f>MAX(BI26,BJ25)</f>
        <v/>
      </c>
      <c r="BK26" s="39">
        <f>MAX(BJ26,BK25)</f>
        <v/>
      </c>
      <c r="BL26" s="39">
        <f>MAX(BK26,BL25)</f>
        <v/>
      </c>
    </row>
    <row r="27">
      <c r="A27" s="55" t="inlineStr">
        <is>
          <t>Income tax</t>
        </is>
      </c>
      <c r="B27" s="26" t="inlineStr">
        <is>
          <t>LCY</t>
        </is>
      </c>
      <c r="C27" s="58">
        <f>SUM(E27:BL27)</f>
        <v/>
      </c>
      <c r="E27" s="39">
        <f>-Inputs!$C$12*(MAX(0,E26)-MAX(0,D26))</f>
        <v/>
      </c>
      <c r="F27" s="39">
        <f>-Inputs!$C$12*(MAX(0,F26)-MAX(0,E26))</f>
        <v/>
      </c>
      <c r="G27" s="39">
        <f>-Inputs!$C$12*(MAX(0,G26)-MAX(0,F26))</f>
        <v/>
      </c>
      <c r="H27" s="39">
        <f>-Inputs!$C$12*(MAX(0,H26)-MAX(0,G26))</f>
        <v/>
      </c>
      <c r="I27" s="39">
        <f>-Inputs!$C$12*(MAX(0,I26)-MAX(0,H26))</f>
        <v/>
      </c>
      <c r="J27" s="39">
        <f>-Inputs!$C$12*(MAX(0,J26)-MAX(0,I26))</f>
        <v/>
      </c>
      <c r="K27" s="39">
        <f>-Inputs!$C$12*(MAX(0,K26)-MAX(0,J26))</f>
        <v/>
      </c>
      <c r="L27" s="39">
        <f>-Inputs!$C$12*(MAX(0,L26)-MAX(0,K26))</f>
        <v/>
      </c>
      <c r="M27" s="39">
        <f>-Inputs!$C$12*(MAX(0,M26)-MAX(0,L26))</f>
        <v/>
      </c>
      <c r="N27" s="39">
        <f>-Inputs!$C$12*(MAX(0,N26)-MAX(0,M26))</f>
        <v/>
      </c>
      <c r="O27" s="39">
        <f>-Inputs!$C$12*(MAX(0,O26)-MAX(0,N26))</f>
        <v/>
      </c>
      <c r="P27" s="39">
        <f>-Inputs!$C$12*(MAX(0,P26)-MAX(0,O26))</f>
        <v/>
      </c>
      <c r="Q27" s="39">
        <f>-Inputs!$C$12*(MAX(0,Q26)-MAX(0,P26))</f>
        <v/>
      </c>
      <c r="R27" s="39">
        <f>-Inputs!$C$12*(MAX(0,R26)-MAX(0,Q26))</f>
        <v/>
      </c>
      <c r="S27" s="39">
        <f>-Inputs!$C$12*(MAX(0,S26)-MAX(0,R26))</f>
        <v/>
      </c>
      <c r="T27" s="39">
        <f>-Inputs!$C$12*(MAX(0,T26)-MAX(0,S26))</f>
        <v/>
      </c>
      <c r="U27" s="39">
        <f>-Inputs!$C$12*(MAX(0,U26)-MAX(0,T26))</f>
        <v/>
      </c>
      <c r="V27" s="39">
        <f>-Inputs!$C$12*(MAX(0,V26)-MAX(0,U26))</f>
        <v/>
      </c>
      <c r="W27" s="39">
        <f>-Inputs!$C$12*(MAX(0,W26)-MAX(0,V26))</f>
        <v/>
      </c>
      <c r="X27" s="39">
        <f>-Inputs!$C$12*(MAX(0,X26)-MAX(0,W26))</f>
        <v/>
      </c>
      <c r="Y27" s="39">
        <f>-Inputs!$C$12*(MAX(0,Y26)-MAX(0,X26))</f>
        <v/>
      </c>
      <c r="Z27" s="39">
        <f>-Inputs!$C$12*(MAX(0,Z26)-MAX(0,Y26))</f>
        <v/>
      </c>
      <c r="AA27" s="39">
        <f>-Inputs!$C$12*(MAX(0,AA26)-MAX(0,Z26))</f>
        <v/>
      </c>
      <c r="AB27" s="39">
        <f>-Inputs!$C$12*(MAX(0,AB26)-MAX(0,AA26))</f>
        <v/>
      </c>
      <c r="AC27" s="39">
        <f>-Inputs!$C$12*(MAX(0,AC26)-MAX(0,AB26))</f>
        <v/>
      </c>
      <c r="AD27" s="39">
        <f>-Inputs!$C$12*(MAX(0,AD26)-MAX(0,AC26))</f>
        <v/>
      </c>
      <c r="AE27" s="39">
        <f>-Inputs!$C$12*(MAX(0,AE26)-MAX(0,AD26))</f>
        <v/>
      </c>
      <c r="AF27" s="39">
        <f>-Inputs!$C$12*(MAX(0,AF26)-MAX(0,AE26))</f>
        <v/>
      </c>
      <c r="AG27" s="39">
        <f>-Inputs!$C$12*(MAX(0,AG26)-MAX(0,AF26))</f>
        <v/>
      </c>
      <c r="AH27" s="39">
        <f>-Inputs!$C$12*(MAX(0,AH26)-MAX(0,AG26))</f>
        <v/>
      </c>
      <c r="AI27" s="39">
        <f>-Inputs!$C$12*(MAX(0,AI26)-MAX(0,AH26))</f>
        <v/>
      </c>
      <c r="AJ27" s="39">
        <f>-Inputs!$C$12*(MAX(0,AJ26)-MAX(0,AI26))</f>
        <v/>
      </c>
      <c r="AK27" s="39">
        <f>-Inputs!$C$12*(MAX(0,AK26)-MAX(0,AJ26))</f>
        <v/>
      </c>
      <c r="AL27" s="39">
        <f>-Inputs!$C$12*(MAX(0,AL26)-MAX(0,AK26))</f>
        <v/>
      </c>
      <c r="AM27" s="39">
        <f>-Inputs!$C$12*(MAX(0,AM26)-MAX(0,AL26))</f>
        <v/>
      </c>
      <c r="AN27" s="39">
        <f>-Inputs!$C$12*(MAX(0,AN26)-MAX(0,AM26))</f>
        <v/>
      </c>
      <c r="AO27" s="39">
        <f>-Inputs!$C$12*(MAX(0,AO26)-MAX(0,AN26))</f>
        <v/>
      </c>
      <c r="AP27" s="39">
        <f>-Inputs!$C$12*(MAX(0,AP26)-MAX(0,AO26))</f>
        <v/>
      </c>
      <c r="AQ27" s="39">
        <f>-Inputs!$C$12*(MAX(0,AQ26)-MAX(0,AP26))</f>
        <v/>
      </c>
      <c r="AR27" s="39">
        <f>-Inputs!$C$12*(MAX(0,AR26)-MAX(0,AQ26))</f>
        <v/>
      </c>
      <c r="AS27" s="39">
        <f>-Inputs!$C$12*(MAX(0,AS26)-MAX(0,AR26))</f>
        <v/>
      </c>
      <c r="AT27" s="39">
        <f>-Inputs!$C$12*(MAX(0,AT26)-MAX(0,AS26))</f>
        <v/>
      </c>
      <c r="AU27" s="39">
        <f>-Inputs!$C$12*(MAX(0,AU26)-MAX(0,AT26))</f>
        <v/>
      </c>
      <c r="AV27" s="39">
        <f>-Inputs!$C$12*(MAX(0,AV26)-MAX(0,AU26))</f>
        <v/>
      </c>
      <c r="AW27" s="39">
        <f>-Inputs!$C$12*(MAX(0,AW26)-MAX(0,AV26))</f>
        <v/>
      </c>
      <c r="AX27" s="39">
        <f>-Inputs!$C$12*(MAX(0,AX26)-MAX(0,AW26))</f>
        <v/>
      </c>
      <c r="AY27" s="39">
        <f>-Inputs!$C$12*(MAX(0,AY26)-MAX(0,AX26))</f>
        <v/>
      </c>
      <c r="AZ27" s="39">
        <f>-Inputs!$C$12*(MAX(0,AZ26)-MAX(0,AY26))</f>
        <v/>
      </c>
      <c r="BA27" s="39">
        <f>-Inputs!$C$12*(MAX(0,BA26)-MAX(0,AZ26))</f>
        <v/>
      </c>
      <c r="BB27" s="39">
        <f>-Inputs!$C$12*(MAX(0,BB26)-MAX(0,BA26))</f>
        <v/>
      </c>
      <c r="BC27" s="39">
        <f>-Inputs!$C$12*(MAX(0,BC26)-MAX(0,BB26))</f>
        <v/>
      </c>
      <c r="BD27" s="39">
        <f>-Inputs!$C$12*(MAX(0,BD26)-MAX(0,BC26))</f>
        <v/>
      </c>
      <c r="BE27" s="39">
        <f>-Inputs!$C$12*(MAX(0,BE26)-MAX(0,BD26))</f>
        <v/>
      </c>
      <c r="BF27" s="39">
        <f>-Inputs!$C$12*(MAX(0,BF26)-MAX(0,BE26))</f>
        <v/>
      </c>
      <c r="BG27" s="39">
        <f>-Inputs!$C$12*(MAX(0,BG26)-MAX(0,BF26))</f>
        <v/>
      </c>
      <c r="BH27" s="39">
        <f>-Inputs!$C$12*(MAX(0,BH26)-MAX(0,BG26))</f>
        <v/>
      </c>
      <c r="BI27" s="39">
        <f>-Inputs!$C$12*(MAX(0,BI26)-MAX(0,BH26))</f>
        <v/>
      </c>
      <c r="BJ27" s="39">
        <f>-Inputs!$C$12*(MAX(0,BJ26)-MAX(0,BI26))</f>
        <v/>
      </c>
      <c r="BK27" s="39">
        <f>-Inputs!$C$12*(MAX(0,BK26)-MAX(0,BJ26))</f>
        <v/>
      </c>
      <c r="BL27" s="39">
        <f>-Inputs!$C$12*(MAX(0,BL26)-MAX(0,BK26))</f>
        <v/>
      </c>
    </row>
    <row r="28">
      <c r="A28" s="60" t="inlineStr">
        <is>
          <t>Net income</t>
        </is>
      </c>
      <c r="B28" s="61" t="inlineStr">
        <is>
          <t>LCY</t>
        </is>
      </c>
      <c r="C28" s="70">
        <f>SUM(E28:BL28)</f>
        <v/>
      </c>
      <c r="D28" s="63" t="n"/>
      <c r="E28" s="71">
        <f>E24+E27</f>
        <v/>
      </c>
      <c r="F28" s="71">
        <f>F24+F27</f>
        <v/>
      </c>
      <c r="G28" s="71">
        <f>G24+G27</f>
        <v/>
      </c>
      <c r="H28" s="71">
        <f>H24+H27</f>
        <v/>
      </c>
      <c r="I28" s="71">
        <f>I24+I27</f>
        <v/>
      </c>
      <c r="J28" s="71">
        <f>J24+J27</f>
        <v/>
      </c>
      <c r="K28" s="71">
        <f>K24+K27</f>
        <v/>
      </c>
      <c r="L28" s="71">
        <f>L24+L27</f>
        <v/>
      </c>
      <c r="M28" s="71">
        <f>M24+M27</f>
        <v/>
      </c>
      <c r="N28" s="71">
        <f>N24+N27</f>
        <v/>
      </c>
      <c r="O28" s="71">
        <f>O24+O27</f>
        <v/>
      </c>
      <c r="P28" s="71">
        <f>P24+P27</f>
        <v/>
      </c>
      <c r="Q28" s="71">
        <f>Q24+Q27</f>
        <v/>
      </c>
      <c r="R28" s="71">
        <f>R24+R27</f>
        <v/>
      </c>
      <c r="S28" s="71">
        <f>S24+S27</f>
        <v/>
      </c>
      <c r="T28" s="71">
        <f>T24+T27</f>
        <v/>
      </c>
      <c r="U28" s="71">
        <f>U24+U27</f>
        <v/>
      </c>
      <c r="V28" s="71">
        <f>V24+V27</f>
        <v/>
      </c>
      <c r="W28" s="71">
        <f>W24+W27</f>
        <v/>
      </c>
      <c r="X28" s="71">
        <f>X24+X27</f>
        <v/>
      </c>
      <c r="Y28" s="71">
        <f>Y24+Y27</f>
        <v/>
      </c>
      <c r="Z28" s="71">
        <f>Z24+Z27</f>
        <v/>
      </c>
      <c r="AA28" s="71">
        <f>AA24+AA27</f>
        <v/>
      </c>
      <c r="AB28" s="71">
        <f>AB24+AB27</f>
        <v/>
      </c>
      <c r="AC28" s="71">
        <f>AC24+AC27</f>
        <v/>
      </c>
      <c r="AD28" s="71">
        <f>AD24+AD27</f>
        <v/>
      </c>
      <c r="AE28" s="71">
        <f>AE24+AE27</f>
        <v/>
      </c>
      <c r="AF28" s="71">
        <f>AF24+AF27</f>
        <v/>
      </c>
      <c r="AG28" s="71">
        <f>AG24+AG27</f>
        <v/>
      </c>
      <c r="AH28" s="71">
        <f>AH24+AH27</f>
        <v/>
      </c>
      <c r="AI28" s="71">
        <f>AI24+AI27</f>
        <v/>
      </c>
      <c r="AJ28" s="71">
        <f>AJ24+AJ27</f>
        <v/>
      </c>
      <c r="AK28" s="71">
        <f>AK24+AK27</f>
        <v/>
      </c>
      <c r="AL28" s="71">
        <f>AL24+AL27</f>
        <v/>
      </c>
      <c r="AM28" s="71">
        <f>AM24+AM27</f>
        <v/>
      </c>
      <c r="AN28" s="71">
        <f>AN24+AN27</f>
        <v/>
      </c>
      <c r="AO28" s="71">
        <f>AO24+AO27</f>
        <v/>
      </c>
      <c r="AP28" s="71">
        <f>AP24+AP27</f>
        <v/>
      </c>
      <c r="AQ28" s="71">
        <f>AQ24+AQ27</f>
        <v/>
      </c>
      <c r="AR28" s="71">
        <f>AR24+AR27</f>
        <v/>
      </c>
      <c r="AS28" s="71">
        <f>AS24+AS27</f>
        <v/>
      </c>
      <c r="AT28" s="71">
        <f>AT24+AT27</f>
        <v/>
      </c>
      <c r="AU28" s="71">
        <f>AU24+AU27</f>
        <v/>
      </c>
      <c r="AV28" s="71">
        <f>AV24+AV27</f>
        <v/>
      </c>
      <c r="AW28" s="71">
        <f>AW24+AW27</f>
        <v/>
      </c>
      <c r="AX28" s="71">
        <f>AX24+AX27</f>
        <v/>
      </c>
      <c r="AY28" s="71">
        <f>AY24+AY27</f>
        <v/>
      </c>
      <c r="AZ28" s="71">
        <f>AZ24+AZ27</f>
        <v/>
      </c>
      <c r="BA28" s="71">
        <f>BA24+BA27</f>
        <v/>
      </c>
      <c r="BB28" s="71">
        <f>BB24+BB27</f>
        <v/>
      </c>
      <c r="BC28" s="71">
        <f>BC24+BC27</f>
        <v/>
      </c>
      <c r="BD28" s="71">
        <f>BD24+BD27</f>
        <v/>
      </c>
      <c r="BE28" s="71">
        <f>BE24+BE27</f>
        <v/>
      </c>
      <c r="BF28" s="71">
        <f>BF24+BF27</f>
        <v/>
      </c>
      <c r="BG28" s="71">
        <f>BG24+BG27</f>
        <v/>
      </c>
      <c r="BH28" s="71">
        <f>BH24+BH27</f>
        <v/>
      </c>
      <c r="BI28" s="71">
        <f>BI24+BI27</f>
        <v/>
      </c>
      <c r="BJ28" s="71">
        <f>BJ24+BJ27</f>
        <v/>
      </c>
      <c r="BK28" s="71">
        <f>BK24+BK27</f>
        <v/>
      </c>
      <c r="BL28" s="71">
        <f>BL24+BL27</f>
        <v/>
      </c>
    </row>
    <row r="29"/>
    <row r="30">
      <c r="A30" s="14" t="inlineStr">
        <is>
          <t>BALANCE SHEET</t>
        </is>
      </c>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c r="AA30" s="15" t="n"/>
      <c r="AB30" s="15" t="n"/>
      <c r="AC30" s="15" t="n"/>
      <c r="AD30" s="15" t="n"/>
      <c r="AE30" s="15" t="n"/>
      <c r="AF30" s="15" t="n"/>
      <c r="AG30" s="15" t="n"/>
      <c r="AH30" s="15" t="n"/>
      <c r="AI30" s="15" t="n"/>
      <c r="AJ30" s="15" t="n"/>
      <c r="AK30" s="15" t="n"/>
      <c r="AL30" s="15" t="n"/>
      <c r="AM30" s="15" t="n"/>
      <c r="AN30" s="15" t="n"/>
      <c r="AO30" s="15" t="n"/>
      <c r="AP30" s="15" t="n"/>
      <c r="AQ30" s="15" t="n"/>
      <c r="AR30" s="15" t="n"/>
      <c r="AS30" s="15" t="n"/>
      <c r="AT30" s="15" t="n"/>
      <c r="AU30" s="15" t="n"/>
      <c r="AV30" s="15" t="n"/>
      <c r="AW30" s="15" t="n"/>
      <c r="AX30" s="15" t="n"/>
      <c r="AY30" s="15" t="n"/>
      <c r="AZ30" s="15" t="n"/>
      <c r="BA30" s="15" t="n"/>
      <c r="BB30" s="15" t="n"/>
      <c r="BC30" s="15" t="n"/>
      <c r="BD30" s="15" t="n"/>
      <c r="BE30" s="15" t="n"/>
      <c r="BF30" s="15" t="n"/>
      <c r="BG30" s="15" t="n"/>
      <c r="BH30" s="15" t="n"/>
      <c r="BI30" s="15" t="n"/>
      <c r="BJ30" s="15" t="n"/>
      <c r="BK30" s="15" t="n"/>
      <c r="BL30" s="15" t="n"/>
    </row>
    <row r="31">
      <c r="A31" s="55" t="inlineStr">
        <is>
          <t>Cash</t>
        </is>
      </c>
      <c r="B31" s="26" t="inlineStr">
        <is>
          <t>LCY</t>
        </is>
      </c>
      <c r="C31" s="58">
        <f>BL31</f>
        <v/>
      </c>
      <c r="E31" s="39">
        <f>E63</f>
        <v/>
      </c>
      <c r="F31" s="39">
        <f>F63</f>
        <v/>
      </c>
      <c r="G31" s="39">
        <f>G63</f>
        <v/>
      </c>
      <c r="H31" s="39">
        <f>H63</f>
        <v/>
      </c>
      <c r="I31" s="39">
        <f>I63</f>
        <v/>
      </c>
      <c r="J31" s="39">
        <f>J63</f>
        <v/>
      </c>
      <c r="K31" s="39">
        <f>K63</f>
        <v/>
      </c>
      <c r="L31" s="39">
        <f>L63</f>
        <v/>
      </c>
      <c r="M31" s="39">
        <f>M63</f>
        <v/>
      </c>
      <c r="N31" s="39">
        <f>N63</f>
        <v/>
      </c>
      <c r="O31" s="39">
        <f>O63</f>
        <v/>
      </c>
      <c r="P31" s="39">
        <f>P63</f>
        <v/>
      </c>
      <c r="Q31" s="39">
        <f>Q63</f>
        <v/>
      </c>
      <c r="R31" s="39">
        <f>R63</f>
        <v/>
      </c>
      <c r="S31" s="39">
        <f>S63</f>
        <v/>
      </c>
      <c r="T31" s="39">
        <f>T63</f>
        <v/>
      </c>
      <c r="U31" s="39">
        <f>U63</f>
        <v/>
      </c>
      <c r="V31" s="39">
        <f>V63</f>
        <v/>
      </c>
      <c r="W31" s="39">
        <f>W63</f>
        <v/>
      </c>
      <c r="X31" s="39">
        <f>X63</f>
        <v/>
      </c>
      <c r="Y31" s="39">
        <f>Y63</f>
        <v/>
      </c>
      <c r="Z31" s="39">
        <f>Z63</f>
        <v/>
      </c>
      <c r="AA31" s="39">
        <f>AA63</f>
        <v/>
      </c>
      <c r="AB31" s="39">
        <f>AB63</f>
        <v/>
      </c>
      <c r="AC31" s="39">
        <f>AC63</f>
        <v/>
      </c>
      <c r="AD31" s="39">
        <f>AD63</f>
        <v/>
      </c>
      <c r="AE31" s="39">
        <f>AE63</f>
        <v/>
      </c>
      <c r="AF31" s="39">
        <f>AF63</f>
        <v/>
      </c>
      <c r="AG31" s="39">
        <f>AG63</f>
        <v/>
      </c>
      <c r="AH31" s="39">
        <f>AH63</f>
        <v/>
      </c>
      <c r="AI31" s="39">
        <f>AI63</f>
        <v/>
      </c>
      <c r="AJ31" s="39">
        <f>AJ63</f>
        <v/>
      </c>
      <c r="AK31" s="39">
        <f>AK63</f>
        <v/>
      </c>
      <c r="AL31" s="39">
        <f>AL63</f>
        <v/>
      </c>
      <c r="AM31" s="39">
        <f>AM63</f>
        <v/>
      </c>
      <c r="AN31" s="39">
        <f>AN63</f>
        <v/>
      </c>
      <c r="AO31" s="39">
        <f>AO63</f>
        <v/>
      </c>
      <c r="AP31" s="39">
        <f>AP63</f>
        <v/>
      </c>
      <c r="AQ31" s="39">
        <f>AQ63</f>
        <v/>
      </c>
      <c r="AR31" s="39">
        <f>AR63</f>
        <v/>
      </c>
      <c r="AS31" s="39">
        <f>AS63</f>
        <v/>
      </c>
      <c r="AT31" s="39">
        <f>AT63</f>
        <v/>
      </c>
      <c r="AU31" s="39">
        <f>AU63</f>
        <v/>
      </c>
      <c r="AV31" s="39">
        <f>AV63</f>
        <v/>
      </c>
      <c r="AW31" s="39">
        <f>AW63</f>
        <v/>
      </c>
      <c r="AX31" s="39">
        <f>AX63</f>
        <v/>
      </c>
      <c r="AY31" s="39">
        <f>AY63</f>
        <v/>
      </c>
      <c r="AZ31" s="39">
        <f>AZ63</f>
        <v/>
      </c>
      <c r="BA31" s="39">
        <f>BA63</f>
        <v/>
      </c>
      <c r="BB31" s="39">
        <f>BB63</f>
        <v/>
      </c>
      <c r="BC31" s="39">
        <f>BC63</f>
        <v/>
      </c>
      <c r="BD31" s="39">
        <f>BD63</f>
        <v/>
      </c>
      <c r="BE31" s="39">
        <f>BE63</f>
        <v/>
      </c>
      <c r="BF31" s="39">
        <f>BF63</f>
        <v/>
      </c>
      <c r="BG31" s="39">
        <f>BG63</f>
        <v/>
      </c>
      <c r="BH31" s="39">
        <f>BH63</f>
        <v/>
      </c>
      <c r="BI31" s="39">
        <f>BI63</f>
        <v/>
      </c>
      <c r="BJ31" s="39">
        <f>BJ63</f>
        <v/>
      </c>
      <c r="BK31" s="39">
        <f>BK63</f>
        <v/>
      </c>
      <c r="BL31" s="39">
        <f>BL63</f>
        <v/>
      </c>
    </row>
    <row r="32">
      <c r="A32" s="55" t="inlineStr">
        <is>
          <t>PAYGo receivables - gross</t>
        </is>
      </c>
      <c r="B32" s="26" t="inlineStr">
        <is>
          <t>LCY</t>
        </is>
      </c>
      <c r="C32" s="58">
        <f>BL32</f>
        <v/>
      </c>
      <c r="E32" s="17">
        <f>Ops!E$149</f>
        <v/>
      </c>
      <c r="F32" s="17">
        <f>Ops!F$149</f>
        <v/>
      </c>
      <c r="G32" s="17">
        <f>Ops!G$149</f>
        <v/>
      </c>
      <c r="H32" s="17">
        <f>Ops!H$149</f>
        <v/>
      </c>
      <c r="I32" s="17">
        <f>Ops!I$149</f>
        <v/>
      </c>
      <c r="J32" s="17">
        <f>Ops!J$149</f>
        <v/>
      </c>
      <c r="K32" s="17">
        <f>Ops!K$149</f>
        <v/>
      </c>
      <c r="L32" s="17">
        <f>Ops!L$149</f>
        <v/>
      </c>
      <c r="M32" s="17">
        <f>Ops!M$149</f>
        <v/>
      </c>
      <c r="N32" s="17">
        <f>Ops!N$149</f>
        <v/>
      </c>
      <c r="O32" s="17">
        <f>Ops!O$149</f>
        <v/>
      </c>
      <c r="P32" s="17">
        <f>Ops!P$149</f>
        <v/>
      </c>
      <c r="Q32" s="17">
        <f>Ops!Q$149</f>
        <v/>
      </c>
      <c r="R32" s="17">
        <f>Ops!R$149</f>
        <v/>
      </c>
      <c r="S32" s="17">
        <f>Ops!S$149</f>
        <v/>
      </c>
      <c r="T32" s="17">
        <f>Ops!T$149</f>
        <v/>
      </c>
      <c r="U32" s="17">
        <f>Ops!U$149</f>
        <v/>
      </c>
      <c r="V32" s="17">
        <f>Ops!V$149</f>
        <v/>
      </c>
      <c r="W32" s="17">
        <f>Ops!W$149</f>
        <v/>
      </c>
      <c r="X32" s="17">
        <f>Ops!X$149</f>
        <v/>
      </c>
      <c r="Y32" s="17">
        <f>Ops!Y$149</f>
        <v/>
      </c>
      <c r="Z32" s="17">
        <f>Ops!Z$149</f>
        <v/>
      </c>
      <c r="AA32" s="17">
        <f>Ops!AA$149</f>
        <v/>
      </c>
      <c r="AB32" s="17">
        <f>Ops!AB$149</f>
        <v/>
      </c>
      <c r="AC32" s="17">
        <f>Ops!AC$149</f>
        <v/>
      </c>
      <c r="AD32" s="17">
        <f>Ops!AD$149</f>
        <v/>
      </c>
      <c r="AE32" s="17">
        <f>Ops!AE$149</f>
        <v/>
      </c>
      <c r="AF32" s="17">
        <f>Ops!AF$149</f>
        <v/>
      </c>
      <c r="AG32" s="17">
        <f>Ops!AG$149</f>
        <v/>
      </c>
      <c r="AH32" s="17">
        <f>Ops!AH$149</f>
        <v/>
      </c>
      <c r="AI32" s="17">
        <f>Ops!AI$149</f>
        <v/>
      </c>
      <c r="AJ32" s="17">
        <f>Ops!AJ$149</f>
        <v/>
      </c>
      <c r="AK32" s="17">
        <f>Ops!AK$149</f>
        <v/>
      </c>
      <c r="AL32" s="17">
        <f>Ops!AL$149</f>
        <v/>
      </c>
      <c r="AM32" s="17">
        <f>Ops!AM$149</f>
        <v/>
      </c>
      <c r="AN32" s="17">
        <f>Ops!AN$149</f>
        <v/>
      </c>
      <c r="AO32" s="17">
        <f>Ops!AO$149</f>
        <v/>
      </c>
      <c r="AP32" s="17">
        <f>Ops!AP$149</f>
        <v/>
      </c>
      <c r="AQ32" s="17">
        <f>Ops!AQ$149</f>
        <v/>
      </c>
      <c r="AR32" s="17">
        <f>Ops!AR$149</f>
        <v/>
      </c>
      <c r="AS32" s="17">
        <f>Ops!AS$149</f>
        <v/>
      </c>
      <c r="AT32" s="17">
        <f>Ops!AT$149</f>
        <v/>
      </c>
      <c r="AU32" s="17">
        <f>Ops!AU$149</f>
        <v/>
      </c>
      <c r="AV32" s="17">
        <f>Ops!AV$149</f>
        <v/>
      </c>
      <c r="AW32" s="17">
        <f>Ops!AW$149</f>
        <v/>
      </c>
      <c r="AX32" s="17">
        <f>Ops!AX$149</f>
        <v/>
      </c>
      <c r="AY32" s="17">
        <f>Ops!AY$149</f>
        <v/>
      </c>
      <c r="AZ32" s="17">
        <f>Ops!AZ$149</f>
        <v/>
      </c>
      <c r="BA32" s="17">
        <f>Ops!BA$149</f>
        <v/>
      </c>
      <c r="BB32" s="17">
        <f>Ops!BB$149</f>
        <v/>
      </c>
      <c r="BC32" s="17">
        <f>Ops!BC$149</f>
        <v/>
      </c>
      <c r="BD32" s="17">
        <f>Ops!BD$149</f>
        <v/>
      </c>
      <c r="BE32" s="17">
        <f>Ops!BE$149</f>
        <v/>
      </c>
      <c r="BF32" s="17">
        <f>Ops!BF$149</f>
        <v/>
      </c>
      <c r="BG32" s="17">
        <f>Ops!BG$149</f>
        <v/>
      </c>
      <c r="BH32" s="17">
        <f>Ops!BH$149</f>
        <v/>
      </c>
      <c r="BI32" s="17">
        <f>Ops!BI$149</f>
        <v/>
      </c>
      <c r="BJ32" s="17">
        <f>Ops!BJ$149</f>
        <v/>
      </c>
      <c r="BK32" s="17">
        <f>Ops!BK$149</f>
        <v/>
      </c>
      <c r="BL32" s="17">
        <f>Ops!BL$149</f>
        <v/>
      </c>
    </row>
    <row r="33">
      <c r="A33" s="55" t="inlineStr">
        <is>
          <t>Loss allowance (ECL)</t>
        </is>
      </c>
      <c r="B33" s="26" t="inlineStr">
        <is>
          <t>LCY</t>
        </is>
      </c>
      <c r="C33" s="58">
        <f>BL33</f>
        <v/>
      </c>
      <c r="E33" s="39">
        <f>D33-Ops!E$143+Ops!E$141</f>
        <v/>
      </c>
      <c r="F33" s="39">
        <f>E33-Ops!F$143+Ops!F$141</f>
        <v/>
      </c>
      <c r="G33" s="39">
        <f>F33-Ops!G$143+Ops!G$141</f>
        <v/>
      </c>
      <c r="H33" s="39">
        <f>G33-Ops!H$143+Ops!H$141</f>
        <v/>
      </c>
      <c r="I33" s="39">
        <f>H33-Ops!I$143+Ops!I$141</f>
        <v/>
      </c>
      <c r="J33" s="39">
        <f>I33-Ops!J$143+Ops!J$141</f>
        <v/>
      </c>
      <c r="K33" s="39">
        <f>J33-Ops!K$143+Ops!K$141</f>
        <v/>
      </c>
      <c r="L33" s="39">
        <f>K33-Ops!L$143+Ops!L$141</f>
        <v/>
      </c>
      <c r="M33" s="39">
        <f>L33-Ops!M$143+Ops!M$141</f>
        <v/>
      </c>
      <c r="N33" s="39">
        <f>M33-Ops!N$143+Ops!N$141</f>
        <v/>
      </c>
      <c r="O33" s="39">
        <f>N33-Ops!O$143+Ops!O$141</f>
        <v/>
      </c>
      <c r="P33" s="39">
        <f>O33-Ops!P$143+Ops!P$141</f>
        <v/>
      </c>
      <c r="Q33" s="39">
        <f>P33-Ops!Q$143+Ops!Q$141</f>
        <v/>
      </c>
      <c r="R33" s="39">
        <f>Q33-Ops!R$143+Ops!R$141</f>
        <v/>
      </c>
      <c r="S33" s="39">
        <f>R33-Ops!S$143+Ops!S$141</f>
        <v/>
      </c>
      <c r="T33" s="39">
        <f>S33-Ops!T$143+Ops!T$141</f>
        <v/>
      </c>
      <c r="U33" s="39">
        <f>T33-Ops!U$143+Ops!U$141</f>
        <v/>
      </c>
      <c r="V33" s="39">
        <f>U33-Ops!V$143+Ops!V$141</f>
        <v/>
      </c>
      <c r="W33" s="39">
        <f>V33-Ops!W$143+Ops!W$141</f>
        <v/>
      </c>
      <c r="X33" s="39">
        <f>W33-Ops!X$143+Ops!X$141</f>
        <v/>
      </c>
      <c r="Y33" s="39">
        <f>X33-Ops!Y$143+Ops!Y$141</f>
        <v/>
      </c>
      <c r="Z33" s="39">
        <f>Y33-Ops!Z$143+Ops!Z$141</f>
        <v/>
      </c>
      <c r="AA33" s="39">
        <f>Z33-Ops!AA$143+Ops!AA$141</f>
        <v/>
      </c>
      <c r="AB33" s="39">
        <f>AA33-Ops!AB$143+Ops!AB$141</f>
        <v/>
      </c>
      <c r="AC33" s="39">
        <f>AB33-Ops!AC$143+Ops!AC$141</f>
        <v/>
      </c>
      <c r="AD33" s="39">
        <f>AC33-Ops!AD$143+Ops!AD$141</f>
        <v/>
      </c>
      <c r="AE33" s="39">
        <f>AD33-Ops!AE$143+Ops!AE$141</f>
        <v/>
      </c>
      <c r="AF33" s="39">
        <f>AE33-Ops!AF$143+Ops!AF$141</f>
        <v/>
      </c>
      <c r="AG33" s="39">
        <f>AF33-Ops!AG$143+Ops!AG$141</f>
        <v/>
      </c>
      <c r="AH33" s="39">
        <f>AG33-Ops!AH$143+Ops!AH$141</f>
        <v/>
      </c>
      <c r="AI33" s="39">
        <f>AH33-Ops!AI$143+Ops!AI$141</f>
        <v/>
      </c>
      <c r="AJ33" s="39">
        <f>AI33-Ops!AJ$143+Ops!AJ$141</f>
        <v/>
      </c>
      <c r="AK33" s="39">
        <f>AJ33-Ops!AK$143+Ops!AK$141</f>
        <v/>
      </c>
      <c r="AL33" s="39">
        <f>AK33-Ops!AL$143+Ops!AL$141</f>
        <v/>
      </c>
      <c r="AM33" s="39">
        <f>AL33-Ops!AM$143+Ops!AM$141</f>
        <v/>
      </c>
      <c r="AN33" s="39">
        <f>AM33-Ops!AN$143+Ops!AN$141</f>
        <v/>
      </c>
      <c r="AO33" s="39">
        <f>AN33-Ops!AO$143+Ops!AO$141</f>
        <v/>
      </c>
      <c r="AP33" s="39">
        <f>AO33-Ops!AP$143+Ops!AP$141</f>
        <v/>
      </c>
      <c r="AQ33" s="39">
        <f>AP33-Ops!AQ$143+Ops!AQ$141</f>
        <v/>
      </c>
      <c r="AR33" s="39">
        <f>AQ33-Ops!AR$143+Ops!AR$141</f>
        <v/>
      </c>
      <c r="AS33" s="39">
        <f>AR33-Ops!AS$143+Ops!AS$141</f>
        <v/>
      </c>
      <c r="AT33" s="39">
        <f>AS33-Ops!AT$143+Ops!AT$141</f>
        <v/>
      </c>
      <c r="AU33" s="39">
        <f>AT33-Ops!AU$143+Ops!AU$141</f>
        <v/>
      </c>
      <c r="AV33" s="39">
        <f>AU33-Ops!AV$143+Ops!AV$141</f>
        <v/>
      </c>
      <c r="AW33" s="39">
        <f>AV33-Ops!AW$143+Ops!AW$141</f>
        <v/>
      </c>
      <c r="AX33" s="39">
        <f>AW33-Ops!AX$143+Ops!AX$141</f>
        <v/>
      </c>
      <c r="AY33" s="39">
        <f>AX33-Ops!AY$143+Ops!AY$141</f>
        <v/>
      </c>
      <c r="AZ33" s="39">
        <f>AY33-Ops!AZ$143+Ops!AZ$141</f>
        <v/>
      </c>
      <c r="BA33" s="39">
        <f>AZ33-Ops!BA$143+Ops!BA$141</f>
        <v/>
      </c>
      <c r="BB33" s="39">
        <f>BA33-Ops!BB$143+Ops!BB$141</f>
        <v/>
      </c>
      <c r="BC33" s="39">
        <f>BB33-Ops!BC$143+Ops!BC$141</f>
        <v/>
      </c>
      <c r="BD33" s="39">
        <f>BC33-Ops!BD$143+Ops!BD$141</f>
        <v/>
      </c>
      <c r="BE33" s="39">
        <f>BD33-Ops!BE$143+Ops!BE$141</f>
        <v/>
      </c>
      <c r="BF33" s="39">
        <f>BE33-Ops!BF$143+Ops!BF$141</f>
        <v/>
      </c>
      <c r="BG33" s="39">
        <f>BF33-Ops!BG$143+Ops!BG$141</f>
        <v/>
      </c>
      <c r="BH33" s="39">
        <f>BG33-Ops!BH$143+Ops!BH$141</f>
        <v/>
      </c>
      <c r="BI33" s="39">
        <f>BH33-Ops!BI$143+Ops!BI$141</f>
        <v/>
      </c>
      <c r="BJ33" s="39">
        <f>BI33-Ops!BJ$143+Ops!BJ$141</f>
        <v/>
      </c>
      <c r="BK33" s="39">
        <f>BJ33-Ops!BK$143+Ops!BK$141</f>
        <v/>
      </c>
      <c r="BL33" s="39">
        <f>BK33-Ops!BL$143+Ops!BL$141</f>
        <v/>
      </c>
    </row>
    <row r="34">
      <c r="A34" s="60" t="inlineStr">
        <is>
          <t>PAYGo receivables - net</t>
        </is>
      </c>
      <c r="B34" s="61" t="inlineStr">
        <is>
          <t>LCY</t>
        </is>
      </c>
      <c r="C34" s="70">
        <f>BL34</f>
        <v/>
      </c>
      <c r="D34" s="63" t="n"/>
      <c r="E34" s="71">
        <f>E32+E33</f>
        <v/>
      </c>
      <c r="F34" s="71">
        <f>F32+F33</f>
        <v/>
      </c>
      <c r="G34" s="71">
        <f>G32+G33</f>
        <v/>
      </c>
      <c r="H34" s="71">
        <f>H32+H33</f>
        <v/>
      </c>
      <c r="I34" s="71">
        <f>I32+I33</f>
        <v/>
      </c>
      <c r="J34" s="71">
        <f>J32+J33</f>
        <v/>
      </c>
      <c r="K34" s="71">
        <f>K32+K33</f>
        <v/>
      </c>
      <c r="L34" s="71">
        <f>L32+L33</f>
        <v/>
      </c>
      <c r="M34" s="71">
        <f>M32+M33</f>
        <v/>
      </c>
      <c r="N34" s="71">
        <f>N32+N33</f>
        <v/>
      </c>
      <c r="O34" s="71">
        <f>O32+O33</f>
        <v/>
      </c>
      <c r="P34" s="71">
        <f>P32+P33</f>
        <v/>
      </c>
      <c r="Q34" s="71">
        <f>Q32+Q33</f>
        <v/>
      </c>
      <c r="R34" s="71">
        <f>R32+R33</f>
        <v/>
      </c>
      <c r="S34" s="71">
        <f>S32+S33</f>
        <v/>
      </c>
      <c r="T34" s="71">
        <f>T32+T33</f>
        <v/>
      </c>
      <c r="U34" s="71">
        <f>U32+U33</f>
        <v/>
      </c>
      <c r="V34" s="71">
        <f>V32+V33</f>
        <v/>
      </c>
      <c r="W34" s="71">
        <f>W32+W33</f>
        <v/>
      </c>
      <c r="X34" s="71">
        <f>X32+X33</f>
        <v/>
      </c>
      <c r="Y34" s="71">
        <f>Y32+Y33</f>
        <v/>
      </c>
      <c r="Z34" s="71">
        <f>Z32+Z33</f>
        <v/>
      </c>
      <c r="AA34" s="71">
        <f>AA32+AA33</f>
        <v/>
      </c>
      <c r="AB34" s="71">
        <f>AB32+AB33</f>
        <v/>
      </c>
      <c r="AC34" s="71">
        <f>AC32+AC33</f>
        <v/>
      </c>
      <c r="AD34" s="71">
        <f>AD32+AD33</f>
        <v/>
      </c>
      <c r="AE34" s="71">
        <f>AE32+AE33</f>
        <v/>
      </c>
      <c r="AF34" s="71">
        <f>AF32+AF33</f>
        <v/>
      </c>
      <c r="AG34" s="71">
        <f>AG32+AG33</f>
        <v/>
      </c>
      <c r="AH34" s="71">
        <f>AH32+AH33</f>
        <v/>
      </c>
      <c r="AI34" s="71">
        <f>AI32+AI33</f>
        <v/>
      </c>
      <c r="AJ34" s="71">
        <f>AJ32+AJ33</f>
        <v/>
      </c>
      <c r="AK34" s="71">
        <f>AK32+AK33</f>
        <v/>
      </c>
      <c r="AL34" s="71">
        <f>AL32+AL33</f>
        <v/>
      </c>
      <c r="AM34" s="71">
        <f>AM32+AM33</f>
        <v/>
      </c>
      <c r="AN34" s="71">
        <f>AN32+AN33</f>
        <v/>
      </c>
      <c r="AO34" s="71">
        <f>AO32+AO33</f>
        <v/>
      </c>
      <c r="AP34" s="71">
        <f>AP32+AP33</f>
        <v/>
      </c>
      <c r="AQ34" s="71">
        <f>AQ32+AQ33</f>
        <v/>
      </c>
      <c r="AR34" s="71">
        <f>AR32+AR33</f>
        <v/>
      </c>
      <c r="AS34" s="71">
        <f>AS32+AS33</f>
        <v/>
      </c>
      <c r="AT34" s="71">
        <f>AT32+AT33</f>
        <v/>
      </c>
      <c r="AU34" s="71">
        <f>AU32+AU33</f>
        <v/>
      </c>
      <c r="AV34" s="71">
        <f>AV32+AV33</f>
        <v/>
      </c>
      <c r="AW34" s="71">
        <f>AW32+AW33</f>
        <v/>
      </c>
      <c r="AX34" s="71">
        <f>AX32+AX33</f>
        <v/>
      </c>
      <c r="AY34" s="71">
        <f>AY32+AY33</f>
        <v/>
      </c>
      <c r="AZ34" s="71">
        <f>AZ32+AZ33</f>
        <v/>
      </c>
      <c r="BA34" s="71">
        <f>BA32+BA33</f>
        <v/>
      </c>
      <c r="BB34" s="71">
        <f>BB32+BB33</f>
        <v/>
      </c>
      <c r="BC34" s="71">
        <f>BC32+BC33</f>
        <v/>
      </c>
      <c r="BD34" s="71">
        <f>BD32+BD33</f>
        <v/>
      </c>
      <c r="BE34" s="71">
        <f>BE32+BE33</f>
        <v/>
      </c>
      <c r="BF34" s="71">
        <f>BF32+BF33</f>
        <v/>
      </c>
      <c r="BG34" s="71">
        <f>BG32+BG33</f>
        <v/>
      </c>
      <c r="BH34" s="71">
        <f>BH32+BH33</f>
        <v/>
      </c>
      <c r="BI34" s="71">
        <f>BI32+BI33</f>
        <v/>
      </c>
      <c r="BJ34" s="71">
        <f>BJ32+BJ33</f>
        <v/>
      </c>
      <c r="BK34" s="71">
        <f>BK32+BK33</f>
        <v/>
      </c>
      <c r="BL34" s="71">
        <f>BL32+BL33</f>
        <v/>
      </c>
    </row>
    <row r="35">
      <c r="A35" s="55" t="inlineStr">
        <is>
          <t>Inventory</t>
        </is>
      </c>
      <c r="B35" s="26" t="inlineStr">
        <is>
          <t>LCY</t>
        </is>
      </c>
      <c r="C35" s="58">
        <f>BL35</f>
        <v/>
      </c>
      <c r="E35" s="17">
        <f>Costs!E$21</f>
        <v/>
      </c>
      <c r="F35" s="17">
        <f>Costs!F$21</f>
        <v/>
      </c>
      <c r="G35" s="17">
        <f>Costs!G$21</f>
        <v/>
      </c>
      <c r="H35" s="17">
        <f>Costs!H$21</f>
        <v/>
      </c>
      <c r="I35" s="17">
        <f>Costs!I$21</f>
        <v/>
      </c>
      <c r="J35" s="17">
        <f>Costs!J$21</f>
        <v/>
      </c>
      <c r="K35" s="17">
        <f>Costs!K$21</f>
        <v/>
      </c>
      <c r="L35" s="17">
        <f>Costs!L$21</f>
        <v/>
      </c>
      <c r="M35" s="17">
        <f>Costs!M$21</f>
        <v/>
      </c>
      <c r="N35" s="17">
        <f>Costs!N$21</f>
        <v/>
      </c>
      <c r="O35" s="17">
        <f>Costs!O$21</f>
        <v/>
      </c>
      <c r="P35" s="17">
        <f>Costs!P$21</f>
        <v/>
      </c>
      <c r="Q35" s="17">
        <f>Costs!Q$21</f>
        <v/>
      </c>
      <c r="R35" s="17">
        <f>Costs!R$21</f>
        <v/>
      </c>
      <c r="S35" s="17">
        <f>Costs!S$21</f>
        <v/>
      </c>
      <c r="T35" s="17">
        <f>Costs!T$21</f>
        <v/>
      </c>
      <c r="U35" s="17">
        <f>Costs!U$21</f>
        <v/>
      </c>
      <c r="V35" s="17">
        <f>Costs!V$21</f>
        <v/>
      </c>
      <c r="W35" s="17">
        <f>Costs!W$21</f>
        <v/>
      </c>
      <c r="X35" s="17">
        <f>Costs!X$21</f>
        <v/>
      </c>
      <c r="Y35" s="17">
        <f>Costs!Y$21</f>
        <v/>
      </c>
      <c r="Z35" s="17">
        <f>Costs!Z$21</f>
        <v/>
      </c>
      <c r="AA35" s="17">
        <f>Costs!AA$21</f>
        <v/>
      </c>
      <c r="AB35" s="17">
        <f>Costs!AB$21</f>
        <v/>
      </c>
      <c r="AC35" s="17">
        <f>Costs!AC$21</f>
        <v/>
      </c>
      <c r="AD35" s="17">
        <f>Costs!AD$21</f>
        <v/>
      </c>
      <c r="AE35" s="17">
        <f>Costs!AE$21</f>
        <v/>
      </c>
      <c r="AF35" s="17">
        <f>Costs!AF$21</f>
        <v/>
      </c>
      <c r="AG35" s="17">
        <f>Costs!AG$21</f>
        <v/>
      </c>
      <c r="AH35" s="17">
        <f>Costs!AH$21</f>
        <v/>
      </c>
      <c r="AI35" s="17">
        <f>Costs!AI$21</f>
        <v/>
      </c>
      <c r="AJ35" s="17">
        <f>Costs!AJ$21</f>
        <v/>
      </c>
      <c r="AK35" s="17">
        <f>Costs!AK$21</f>
        <v/>
      </c>
      <c r="AL35" s="17">
        <f>Costs!AL$21</f>
        <v/>
      </c>
      <c r="AM35" s="17">
        <f>Costs!AM$21</f>
        <v/>
      </c>
      <c r="AN35" s="17">
        <f>Costs!AN$21</f>
        <v/>
      </c>
      <c r="AO35" s="17">
        <f>Costs!AO$21</f>
        <v/>
      </c>
      <c r="AP35" s="17">
        <f>Costs!AP$21</f>
        <v/>
      </c>
      <c r="AQ35" s="17">
        <f>Costs!AQ$21</f>
        <v/>
      </c>
      <c r="AR35" s="17">
        <f>Costs!AR$21</f>
        <v/>
      </c>
      <c r="AS35" s="17">
        <f>Costs!AS$21</f>
        <v/>
      </c>
      <c r="AT35" s="17">
        <f>Costs!AT$21</f>
        <v/>
      </c>
      <c r="AU35" s="17">
        <f>Costs!AU$21</f>
        <v/>
      </c>
      <c r="AV35" s="17">
        <f>Costs!AV$21</f>
        <v/>
      </c>
      <c r="AW35" s="17">
        <f>Costs!AW$21</f>
        <v/>
      </c>
      <c r="AX35" s="17">
        <f>Costs!AX$21</f>
        <v/>
      </c>
      <c r="AY35" s="17">
        <f>Costs!AY$21</f>
        <v/>
      </c>
      <c r="AZ35" s="17">
        <f>Costs!AZ$21</f>
        <v/>
      </c>
      <c r="BA35" s="17">
        <f>Costs!BA$21</f>
        <v/>
      </c>
      <c r="BB35" s="17">
        <f>Costs!BB$21</f>
        <v/>
      </c>
      <c r="BC35" s="17">
        <f>Costs!BC$21</f>
        <v/>
      </c>
      <c r="BD35" s="17">
        <f>Costs!BD$21</f>
        <v/>
      </c>
      <c r="BE35" s="17">
        <f>Costs!BE$21</f>
        <v/>
      </c>
      <c r="BF35" s="17">
        <f>Costs!BF$21</f>
        <v/>
      </c>
      <c r="BG35" s="17">
        <f>Costs!BG$21</f>
        <v/>
      </c>
      <c r="BH35" s="17">
        <f>Costs!BH$21</f>
        <v/>
      </c>
      <c r="BI35" s="17">
        <f>Costs!BI$21</f>
        <v/>
      </c>
      <c r="BJ35" s="17">
        <f>Costs!BJ$21</f>
        <v/>
      </c>
      <c r="BK35" s="17">
        <f>Costs!BK$21</f>
        <v/>
      </c>
      <c r="BL35" s="17">
        <f>Costs!BL$21</f>
        <v/>
      </c>
    </row>
    <row r="36">
      <c r="A36" s="55" t="inlineStr">
        <is>
          <t>Net fixed assets</t>
        </is>
      </c>
      <c r="B36" s="26" t="inlineStr">
        <is>
          <t>LCY</t>
        </is>
      </c>
      <c r="C36" s="58">
        <f>BL36</f>
        <v/>
      </c>
      <c r="E36" s="17">
        <f>Costs!E$27</f>
        <v/>
      </c>
      <c r="F36" s="17">
        <f>Costs!F$27</f>
        <v/>
      </c>
      <c r="G36" s="17">
        <f>Costs!G$27</f>
        <v/>
      </c>
      <c r="H36" s="17">
        <f>Costs!H$27</f>
        <v/>
      </c>
      <c r="I36" s="17">
        <f>Costs!I$27</f>
        <v/>
      </c>
      <c r="J36" s="17">
        <f>Costs!J$27</f>
        <v/>
      </c>
      <c r="K36" s="17">
        <f>Costs!K$27</f>
        <v/>
      </c>
      <c r="L36" s="17">
        <f>Costs!L$27</f>
        <v/>
      </c>
      <c r="M36" s="17">
        <f>Costs!M$27</f>
        <v/>
      </c>
      <c r="N36" s="17">
        <f>Costs!N$27</f>
        <v/>
      </c>
      <c r="O36" s="17">
        <f>Costs!O$27</f>
        <v/>
      </c>
      <c r="P36" s="17">
        <f>Costs!P$27</f>
        <v/>
      </c>
      <c r="Q36" s="17">
        <f>Costs!Q$27</f>
        <v/>
      </c>
      <c r="R36" s="17">
        <f>Costs!R$27</f>
        <v/>
      </c>
      <c r="S36" s="17">
        <f>Costs!S$27</f>
        <v/>
      </c>
      <c r="T36" s="17">
        <f>Costs!T$27</f>
        <v/>
      </c>
      <c r="U36" s="17">
        <f>Costs!U$27</f>
        <v/>
      </c>
      <c r="V36" s="17">
        <f>Costs!V$27</f>
        <v/>
      </c>
      <c r="W36" s="17">
        <f>Costs!W$27</f>
        <v/>
      </c>
      <c r="X36" s="17">
        <f>Costs!X$27</f>
        <v/>
      </c>
      <c r="Y36" s="17">
        <f>Costs!Y$27</f>
        <v/>
      </c>
      <c r="Z36" s="17">
        <f>Costs!Z$27</f>
        <v/>
      </c>
      <c r="AA36" s="17">
        <f>Costs!AA$27</f>
        <v/>
      </c>
      <c r="AB36" s="17">
        <f>Costs!AB$27</f>
        <v/>
      </c>
      <c r="AC36" s="17">
        <f>Costs!AC$27</f>
        <v/>
      </c>
      <c r="AD36" s="17">
        <f>Costs!AD$27</f>
        <v/>
      </c>
      <c r="AE36" s="17">
        <f>Costs!AE$27</f>
        <v/>
      </c>
      <c r="AF36" s="17">
        <f>Costs!AF$27</f>
        <v/>
      </c>
      <c r="AG36" s="17">
        <f>Costs!AG$27</f>
        <v/>
      </c>
      <c r="AH36" s="17">
        <f>Costs!AH$27</f>
        <v/>
      </c>
      <c r="AI36" s="17">
        <f>Costs!AI$27</f>
        <v/>
      </c>
      <c r="AJ36" s="17">
        <f>Costs!AJ$27</f>
        <v/>
      </c>
      <c r="AK36" s="17">
        <f>Costs!AK$27</f>
        <v/>
      </c>
      <c r="AL36" s="17">
        <f>Costs!AL$27</f>
        <v/>
      </c>
      <c r="AM36" s="17">
        <f>Costs!AM$27</f>
        <v/>
      </c>
      <c r="AN36" s="17">
        <f>Costs!AN$27</f>
        <v/>
      </c>
      <c r="AO36" s="17">
        <f>Costs!AO$27</f>
        <v/>
      </c>
      <c r="AP36" s="17">
        <f>Costs!AP$27</f>
        <v/>
      </c>
      <c r="AQ36" s="17">
        <f>Costs!AQ$27</f>
        <v/>
      </c>
      <c r="AR36" s="17">
        <f>Costs!AR$27</f>
        <v/>
      </c>
      <c r="AS36" s="17">
        <f>Costs!AS$27</f>
        <v/>
      </c>
      <c r="AT36" s="17">
        <f>Costs!AT$27</f>
        <v/>
      </c>
      <c r="AU36" s="17">
        <f>Costs!AU$27</f>
        <v/>
      </c>
      <c r="AV36" s="17">
        <f>Costs!AV$27</f>
        <v/>
      </c>
      <c r="AW36" s="17">
        <f>Costs!AW$27</f>
        <v/>
      </c>
      <c r="AX36" s="17">
        <f>Costs!AX$27</f>
        <v/>
      </c>
      <c r="AY36" s="17">
        <f>Costs!AY$27</f>
        <v/>
      </c>
      <c r="AZ36" s="17">
        <f>Costs!AZ$27</f>
        <v/>
      </c>
      <c r="BA36" s="17">
        <f>Costs!BA$27</f>
        <v/>
      </c>
      <c r="BB36" s="17">
        <f>Costs!BB$27</f>
        <v/>
      </c>
      <c r="BC36" s="17">
        <f>Costs!BC$27</f>
        <v/>
      </c>
      <c r="BD36" s="17">
        <f>Costs!BD$27</f>
        <v/>
      </c>
      <c r="BE36" s="17">
        <f>Costs!BE$27</f>
        <v/>
      </c>
      <c r="BF36" s="17">
        <f>Costs!BF$27</f>
        <v/>
      </c>
      <c r="BG36" s="17">
        <f>Costs!BG$27</f>
        <v/>
      </c>
      <c r="BH36" s="17">
        <f>Costs!BH$27</f>
        <v/>
      </c>
      <c r="BI36" s="17">
        <f>Costs!BI$27</f>
        <v/>
      </c>
      <c r="BJ36" s="17">
        <f>Costs!BJ$27</f>
        <v/>
      </c>
      <c r="BK36" s="17">
        <f>Costs!BK$27</f>
        <v/>
      </c>
      <c r="BL36" s="17">
        <f>Costs!BL$27</f>
        <v/>
      </c>
    </row>
    <row r="37">
      <c r="A37" s="60" t="inlineStr">
        <is>
          <t>Total assets</t>
        </is>
      </c>
      <c r="B37" s="61" t="inlineStr">
        <is>
          <t>LCY</t>
        </is>
      </c>
      <c r="C37" s="70">
        <f>BL37</f>
        <v/>
      </c>
      <c r="D37" s="63" t="n"/>
      <c r="E37" s="71">
        <f>E31+E34+E35+E36</f>
        <v/>
      </c>
      <c r="F37" s="71">
        <f>F31+F34+F35+F36</f>
        <v/>
      </c>
      <c r="G37" s="71">
        <f>G31+G34+G35+G36</f>
        <v/>
      </c>
      <c r="H37" s="71">
        <f>H31+H34+H35+H36</f>
        <v/>
      </c>
      <c r="I37" s="71">
        <f>I31+I34+I35+I36</f>
        <v/>
      </c>
      <c r="J37" s="71">
        <f>J31+J34+J35+J36</f>
        <v/>
      </c>
      <c r="K37" s="71">
        <f>K31+K34+K35+K36</f>
        <v/>
      </c>
      <c r="L37" s="71">
        <f>L31+L34+L35+L36</f>
        <v/>
      </c>
      <c r="M37" s="71">
        <f>M31+M34+M35+M36</f>
        <v/>
      </c>
      <c r="N37" s="71">
        <f>N31+N34+N35+N36</f>
        <v/>
      </c>
      <c r="O37" s="71">
        <f>O31+O34+O35+O36</f>
        <v/>
      </c>
      <c r="P37" s="71">
        <f>P31+P34+P35+P36</f>
        <v/>
      </c>
      <c r="Q37" s="71">
        <f>Q31+Q34+Q35+Q36</f>
        <v/>
      </c>
      <c r="R37" s="71">
        <f>R31+R34+R35+R36</f>
        <v/>
      </c>
      <c r="S37" s="71">
        <f>S31+S34+S35+S36</f>
        <v/>
      </c>
      <c r="T37" s="71">
        <f>T31+T34+T35+T36</f>
        <v/>
      </c>
      <c r="U37" s="71">
        <f>U31+U34+U35+U36</f>
        <v/>
      </c>
      <c r="V37" s="71">
        <f>V31+V34+V35+V36</f>
        <v/>
      </c>
      <c r="W37" s="71">
        <f>W31+W34+W35+W36</f>
        <v/>
      </c>
      <c r="X37" s="71">
        <f>X31+X34+X35+X36</f>
        <v/>
      </c>
      <c r="Y37" s="71">
        <f>Y31+Y34+Y35+Y36</f>
        <v/>
      </c>
      <c r="Z37" s="71">
        <f>Z31+Z34+Z35+Z36</f>
        <v/>
      </c>
      <c r="AA37" s="71">
        <f>AA31+AA34+AA35+AA36</f>
        <v/>
      </c>
      <c r="AB37" s="71">
        <f>AB31+AB34+AB35+AB36</f>
        <v/>
      </c>
      <c r="AC37" s="71">
        <f>AC31+AC34+AC35+AC36</f>
        <v/>
      </c>
      <c r="AD37" s="71">
        <f>AD31+AD34+AD35+AD36</f>
        <v/>
      </c>
      <c r="AE37" s="71">
        <f>AE31+AE34+AE35+AE36</f>
        <v/>
      </c>
      <c r="AF37" s="71">
        <f>AF31+AF34+AF35+AF36</f>
        <v/>
      </c>
      <c r="AG37" s="71">
        <f>AG31+AG34+AG35+AG36</f>
        <v/>
      </c>
      <c r="AH37" s="71">
        <f>AH31+AH34+AH35+AH36</f>
        <v/>
      </c>
      <c r="AI37" s="71">
        <f>AI31+AI34+AI35+AI36</f>
        <v/>
      </c>
      <c r="AJ37" s="71">
        <f>AJ31+AJ34+AJ35+AJ36</f>
        <v/>
      </c>
      <c r="AK37" s="71">
        <f>AK31+AK34+AK35+AK36</f>
        <v/>
      </c>
      <c r="AL37" s="71">
        <f>AL31+AL34+AL35+AL36</f>
        <v/>
      </c>
      <c r="AM37" s="71">
        <f>AM31+AM34+AM35+AM36</f>
        <v/>
      </c>
      <c r="AN37" s="71">
        <f>AN31+AN34+AN35+AN36</f>
        <v/>
      </c>
      <c r="AO37" s="71">
        <f>AO31+AO34+AO35+AO36</f>
        <v/>
      </c>
      <c r="AP37" s="71">
        <f>AP31+AP34+AP35+AP36</f>
        <v/>
      </c>
      <c r="AQ37" s="71">
        <f>AQ31+AQ34+AQ35+AQ36</f>
        <v/>
      </c>
      <c r="AR37" s="71">
        <f>AR31+AR34+AR35+AR36</f>
        <v/>
      </c>
      <c r="AS37" s="71">
        <f>AS31+AS34+AS35+AS36</f>
        <v/>
      </c>
      <c r="AT37" s="71">
        <f>AT31+AT34+AT35+AT36</f>
        <v/>
      </c>
      <c r="AU37" s="71">
        <f>AU31+AU34+AU35+AU36</f>
        <v/>
      </c>
      <c r="AV37" s="71">
        <f>AV31+AV34+AV35+AV36</f>
        <v/>
      </c>
      <c r="AW37" s="71">
        <f>AW31+AW34+AW35+AW36</f>
        <v/>
      </c>
      <c r="AX37" s="71">
        <f>AX31+AX34+AX35+AX36</f>
        <v/>
      </c>
      <c r="AY37" s="71">
        <f>AY31+AY34+AY35+AY36</f>
        <v/>
      </c>
      <c r="AZ37" s="71">
        <f>AZ31+AZ34+AZ35+AZ36</f>
        <v/>
      </c>
      <c r="BA37" s="71">
        <f>BA31+BA34+BA35+BA36</f>
        <v/>
      </c>
      <c r="BB37" s="71">
        <f>BB31+BB34+BB35+BB36</f>
        <v/>
      </c>
      <c r="BC37" s="71">
        <f>BC31+BC34+BC35+BC36</f>
        <v/>
      </c>
      <c r="BD37" s="71">
        <f>BD31+BD34+BD35+BD36</f>
        <v/>
      </c>
      <c r="BE37" s="71">
        <f>BE31+BE34+BE35+BE36</f>
        <v/>
      </c>
      <c r="BF37" s="71">
        <f>BF31+BF34+BF35+BF36</f>
        <v/>
      </c>
      <c r="BG37" s="71">
        <f>BG31+BG34+BG35+BG36</f>
        <v/>
      </c>
      <c r="BH37" s="71">
        <f>BH31+BH34+BH35+BH36</f>
        <v/>
      </c>
      <c r="BI37" s="71">
        <f>BI31+BI34+BI35+BI36</f>
        <v/>
      </c>
      <c r="BJ37" s="71">
        <f>BJ31+BJ34+BJ35+BJ36</f>
        <v/>
      </c>
      <c r="BK37" s="71">
        <f>BK31+BK34+BK35+BK36</f>
        <v/>
      </c>
      <c r="BL37" s="71">
        <f>BL31+BL34+BL35+BL36</f>
        <v/>
      </c>
    </row>
    <row r="38">
      <c r="A38" s="55" t="inlineStr">
        <is>
          <t>Supplier payables</t>
        </is>
      </c>
      <c r="B38" s="26" t="inlineStr">
        <is>
          <t>LCY</t>
        </is>
      </c>
      <c r="C38" s="58">
        <f>BL38</f>
        <v/>
      </c>
      <c r="E38" s="17">
        <f>Costs!E$23</f>
        <v/>
      </c>
      <c r="F38" s="17">
        <f>Costs!F$23</f>
        <v/>
      </c>
      <c r="G38" s="17">
        <f>Costs!G$23</f>
        <v/>
      </c>
      <c r="H38" s="17">
        <f>Costs!H$23</f>
        <v/>
      </c>
      <c r="I38" s="17">
        <f>Costs!I$23</f>
        <v/>
      </c>
      <c r="J38" s="17">
        <f>Costs!J$23</f>
        <v/>
      </c>
      <c r="K38" s="17">
        <f>Costs!K$23</f>
        <v/>
      </c>
      <c r="L38" s="17">
        <f>Costs!L$23</f>
        <v/>
      </c>
      <c r="M38" s="17">
        <f>Costs!M$23</f>
        <v/>
      </c>
      <c r="N38" s="17">
        <f>Costs!N$23</f>
        <v/>
      </c>
      <c r="O38" s="17">
        <f>Costs!O$23</f>
        <v/>
      </c>
      <c r="P38" s="17">
        <f>Costs!P$23</f>
        <v/>
      </c>
      <c r="Q38" s="17">
        <f>Costs!Q$23</f>
        <v/>
      </c>
      <c r="R38" s="17">
        <f>Costs!R$23</f>
        <v/>
      </c>
      <c r="S38" s="17">
        <f>Costs!S$23</f>
        <v/>
      </c>
      <c r="T38" s="17">
        <f>Costs!T$23</f>
        <v/>
      </c>
      <c r="U38" s="17">
        <f>Costs!U$23</f>
        <v/>
      </c>
      <c r="V38" s="17">
        <f>Costs!V$23</f>
        <v/>
      </c>
      <c r="W38" s="17">
        <f>Costs!W$23</f>
        <v/>
      </c>
      <c r="X38" s="17">
        <f>Costs!X$23</f>
        <v/>
      </c>
      <c r="Y38" s="17">
        <f>Costs!Y$23</f>
        <v/>
      </c>
      <c r="Z38" s="17">
        <f>Costs!Z$23</f>
        <v/>
      </c>
      <c r="AA38" s="17">
        <f>Costs!AA$23</f>
        <v/>
      </c>
      <c r="AB38" s="17">
        <f>Costs!AB$23</f>
        <v/>
      </c>
      <c r="AC38" s="17">
        <f>Costs!AC$23</f>
        <v/>
      </c>
      <c r="AD38" s="17">
        <f>Costs!AD$23</f>
        <v/>
      </c>
      <c r="AE38" s="17">
        <f>Costs!AE$23</f>
        <v/>
      </c>
      <c r="AF38" s="17">
        <f>Costs!AF$23</f>
        <v/>
      </c>
      <c r="AG38" s="17">
        <f>Costs!AG$23</f>
        <v/>
      </c>
      <c r="AH38" s="17">
        <f>Costs!AH$23</f>
        <v/>
      </c>
      <c r="AI38" s="17">
        <f>Costs!AI$23</f>
        <v/>
      </c>
      <c r="AJ38" s="17">
        <f>Costs!AJ$23</f>
        <v/>
      </c>
      <c r="AK38" s="17">
        <f>Costs!AK$23</f>
        <v/>
      </c>
      <c r="AL38" s="17">
        <f>Costs!AL$23</f>
        <v/>
      </c>
      <c r="AM38" s="17">
        <f>Costs!AM$23</f>
        <v/>
      </c>
      <c r="AN38" s="17">
        <f>Costs!AN$23</f>
        <v/>
      </c>
      <c r="AO38" s="17">
        <f>Costs!AO$23</f>
        <v/>
      </c>
      <c r="AP38" s="17">
        <f>Costs!AP$23</f>
        <v/>
      </c>
      <c r="AQ38" s="17">
        <f>Costs!AQ$23</f>
        <v/>
      </c>
      <c r="AR38" s="17">
        <f>Costs!AR$23</f>
        <v/>
      </c>
      <c r="AS38" s="17">
        <f>Costs!AS$23</f>
        <v/>
      </c>
      <c r="AT38" s="17">
        <f>Costs!AT$23</f>
        <v/>
      </c>
      <c r="AU38" s="17">
        <f>Costs!AU$23</f>
        <v/>
      </c>
      <c r="AV38" s="17">
        <f>Costs!AV$23</f>
        <v/>
      </c>
      <c r="AW38" s="17">
        <f>Costs!AW$23</f>
        <v/>
      </c>
      <c r="AX38" s="17">
        <f>Costs!AX$23</f>
        <v/>
      </c>
      <c r="AY38" s="17">
        <f>Costs!AY$23</f>
        <v/>
      </c>
      <c r="AZ38" s="17">
        <f>Costs!AZ$23</f>
        <v/>
      </c>
      <c r="BA38" s="17">
        <f>Costs!BA$23</f>
        <v/>
      </c>
      <c r="BB38" s="17">
        <f>Costs!BB$23</f>
        <v/>
      </c>
      <c r="BC38" s="17">
        <f>Costs!BC$23</f>
        <v/>
      </c>
      <c r="BD38" s="17">
        <f>Costs!BD$23</f>
        <v/>
      </c>
      <c r="BE38" s="17">
        <f>Costs!BE$23</f>
        <v/>
      </c>
      <c r="BF38" s="17">
        <f>Costs!BF$23</f>
        <v/>
      </c>
      <c r="BG38" s="17">
        <f>Costs!BG$23</f>
        <v/>
      </c>
      <c r="BH38" s="17">
        <f>Costs!BH$23</f>
        <v/>
      </c>
      <c r="BI38" s="17">
        <f>Costs!BI$23</f>
        <v/>
      </c>
      <c r="BJ38" s="17">
        <f>Costs!BJ$23</f>
        <v/>
      </c>
      <c r="BK38" s="17">
        <f>Costs!BK$23</f>
        <v/>
      </c>
      <c r="BL38" s="17">
        <f>Costs!BL$23</f>
        <v/>
      </c>
    </row>
    <row r="39">
      <c r="A39" s="55" t="inlineStr">
        <is>
          <t>USD term loan (in LCY)</t>
        </is>
      </c>
      <c r="B39" s="26" t="inlineStr">
        <is>
          <t>LCY</t>
        </is>
      </c>
      <c r="C39" s="58">
        <f>BL39</f>
        <v/>
      </c>
      <c r="E39" s="17">
        <f>Financing!E$19</f>
        <v/>
      </c>
      <c r="F39" s="17">
        <f>Financing!F$19</f>
        <v/>
      </c>
      <c r="G39" s="17">
        <f>Financing!G$19</f>
        <v/>
      </c>
      <c r="H39" s="17">
        <f>Financing!H$19</f>
        <v/>
      </c>
      <c r="I39" s="17">
        <f>Financing!I$19</f>
        <v/>
      </c>
      <c r="J39" s="17">
        <f>Financing!J$19</f>
        <v/>
      </c>
      <c r="K39" s="17">
        <f>Financing!K$19</f>
        <v/>
      </c>
      <c r="L39" s="17">
        <f>Financing!L$19</f>
        <v/>
      </c>
      <c r="M39" s="17">
        <f>Financing!M$19</f>
        <v/>
      </c>
      <c r="N39" s="17">
        <f>Financing!N$19</f>
        <v/>
      </c>
      <c r="O39" s="17">
        <f>Financing!O$19</f>
        <v/>
      </c>
      <c r="P39" s="17">
        <f>Financing!P$19</f>
        <v/>
      </c>
      <c r="Q39" s="17">
        <f>Financing!Q$19</f>
        <v/>
      </c>
      <c r="R39" s="17">
        <f>Financing!R$19</f>
        <v/>
      </c>
      <c r="S39" s="17">
        <f>Financing!S$19</f>
        <v/>
      </c>
      <c r="T39" s="17">
        <f>Financing!T$19</f>
        <v/>
      </c>
      <c r="U39" s="17">
        <f>Financing!U$19</f>
        <v/>
      </c>
      <c r="V39" s="17">
        <f>Financing!V$19</f>
        <v/>
      </c>
      <c r="W39" s="17">
        <f>Financing!W$19</f>
        <v/>
      </c>
      <c r="X39" s="17">
        <f>Financing!X$19</f>
        <v/>
      </c>
      <c r="Y39" s="17">
        <f>Financing!Y$19</f>
        <v/>
      </c>
      <c r="Z39" s="17">
        <f>Financing!Z$19</f>
        <v/>
      </c>
      <c r="AA39" s="17">
        <f>Financing!AA$19</f>
        <v/>
      </c>
      <c r="AB39" s="17">
        <f>Financing!AB$19</f>
        <v/>
      </c>
      <c r="AC39" s="17">
        <f>Financing!AC$19</f>
        <v/>
      </c>
      <c r="AD39" s="17">
        <f>Financing!AD$19</f>
        <v/>
      </c>
      <c r="AE39" s="17">
        <f>Financing!AE$19</f>
        <v/>
      </c>
      <c r="AF39" s="17">
        <f>Financing!AF$19</f>
        <v/>
      </c>
      <c r="AG39" s="17">
        <f>Financing!AG$19</f>
        <v/>
      </c>
      <c r="AH39" s="17">
        <f>Financing!AH$19</f>
        <v/>
      </c>
      <c r="AI39" s="17">
        <f>Financing!AI$19</f>
        <v/>
      </c>
      <c r="AJ39" s="17">
        <f>Financing!AJ$19</f>
        <v/>
      </c>
      <c r="AK39" s="17">
        <f>Financing!AK$19</f>
        <v/>
      </c>
      <c r="AL39" s="17">
        <f>Financing!AL$19</f>
        <v/>
      </c>
      <c r="AM39" s="17">
        <f>Financing!AM$19</f>
        <v/>
      </c>
      <c r="AN39" s="17">
        <f>Financing!AN$19</f>
        <v/>
      </c>
      <c r="AO39" s="17">
        <f>Financing!AO$19</f>
        <v/>
      </c>
      <c r="AP39" s="17">
        <f>Financing!AP$19</f>
        <v/>
      </c>
      <c r="AQ39" s="17">
        <f>Financing!AQ$19</f>
        <v/>
      </c>
      <c r="AR39" s="17">
        <f>Financing!AR$19</f>
        <v/>
      </c>
      <c r="AS39" s="17">
        <f>Financing!AS$19</f>
        <v/>
      </c>
      <c r="AT39" s="17">
        <f>Financing!AT$19</f>
        <v/>
      </c>
      <c r="AU39" s="17">
        <f>Financing!AU$19</f>
        <v/>
      </c>
      <c r="AV39" s="17">
        <f>Financing!AV$19</f>
        <v/>
      </c>
      <c r="AW39" s="17">
        <f>Financing!AW$19</f>
        <v/>
      </c>
      <c r="AX39" s="17">
        <f>Financing!AX$19</f>
        <v/>
      </c>
      <c r="AY39" s="17">
        <f>Financing!AY$19</f>
        <v/>
      </c>
      <c r="AZ39" s="17">
        <f>Financing!AZ$19</f>
        <v/>
      </c>
      <c r="BA39" s="17">
        <f>Financing!BA$19</f>
        <v/>
      </c>
      <c r="BB39" s="17">
        <f>Financing!BB$19</f>
        <v/>
      </c>
      <c r="BC39" s="17">
        <f>Financing!BC$19</f>
        <v/>
      </c>
      <c r="BD39" s="17">
        <f>Financing!BD$19</f>
        <v/>
      </c>
      <c r="BE39" s="17">
        <f>Financing!BE$19</f>
        <v/>
      </c>
      <c r="BF39" s="17">
        <f>Financing!BF$19</f>
        <v/>
      </c>
      <c r="BG39" s="17">
        <f>Financing!BG$19</f>
        <v/>
      </c>
      <c r="BH39" s="17">
        <f>Financing!BH$19</f>
        <v/>
      </c>
      <c r="BI39" s="17">
        <f>Financing!BI$19</f>
        <v/>
      </c>
      <c r="BJ39" s="17">
        <f>Financing!BJ$19</f>
        <v/>
      </c>
      <c r="BK39" s="17">
        <f>Financing!BK$19</f>
        <v/>
      </c>
      <c r="BL39" s="17">
        <f>Financing!BL$19</f>
        <v/>
      </c>
    </row>
    <row r="40">
      <c r="A40" s="55" t="inlineStr">
        <is>
          <t>Receivables facility</t>
        </is>
      </c>
      <c r="B40" s="26" t="inlineStr">
        <is>
          <t>LCY</t>
        </is>
      </c>
      <c r="C40" s="58">
        <f>BL40</f>
        <v/>
      </c>
      <c r="E40" s="17">
        <f>Financing!E$23</f>
        <v/>
      </c>
      <c r="F40" s="17">
        <f>Financing!F$23</f>
        <v/>
      </c>
      <c r="G40" s="17">
        <f>Financing!G$23</f>
        <v/>
      </c>
      <c r="H40" s="17">
        <f>Financing!H$23</f>
        <v/>
      </c>
      <c r="I40" s="17">
        <f>Financing!I$23</f>
        <v/>
      </c>
      <c r="J40" s="17">
        <f>Financing!J$23</f>
        <v/>
      </c>
      <c r="K40" s="17">
        <f>Financing!K$23</f>
        <v/>
      </c>
      <c r="L40" s="17">
        <f>Financing!L$23</f>
        <v/>
      </c>
      <c r="M40" s="17">
        <f>Financing!M$23</f>
        <v/>
      </c>
      <c r="N40" s="17">
        <f>Financing!N$23</f>
        <v/>
      </c>
      <c r="O40" s="17">
        <f>Financing!O$23</f>
        <v/>
      </c>
      <c r="P40" s="17">
        <f>Financing!P$23</f>
        <v/>
      </c>
      <c r="Q40" s="17">
        <f>Financing!Q$23</f>
        <v/>
      </c>
      <c r="R40" s="17">
        <f>Financing!R$23</f>
        <v/>
      </c>
      <c r="S40" s="17">
        <f>Financing!S$23</f>
        <v/>
      </c>
      <c r="T40" s="17">
        <f>Financing!T$23</f>
        <v/>
      </c>
      <c r="U40" s="17">
        <f>Financing!U$23</f>
        <v/>
      </c>
      <c r="V40" s="17">
        <f>Financing!V$23</f>
        <v/>
      </c>
      <c r="W40" s="17">
        <f>Financing!W$23</f>
        <v/>
      </c>
      <c r="X40" s="17">
        <f>Financing!X$23</f>
        <v/>
      </c>
      <c r="Y40" s="17">
        <f>Financing!Y$23</f>
        <v/>
      </c>
      <c r="Z40" s="17">
        <f>Financing!Z$23</f>
        <v/>
      </c>
      <c r="AA40" s="17">
        <f>Financing!AA$23</f>
        <v/>
      </c>
      <c r="AB40" s="17">
        <f>Financing!AB$23</f>
        <v/>
      </c>
      <c r="AC40" s="17">
        <f>Financing!AC$23</f>
        <v/>
      </c>
      <c r="AD40" s="17">
        <f>Financing!AD$23</f>
        <v/>
      </c>
      <c r="AE40" s="17">
        <f>Financing!AE$23</f>
        <v/>
      </c>
      <c r="AF40" s="17">
        <f>Financing!AF$23</f>
        <v/>
      </c>
      <c r="AG40" s="17">
        <f>Financing!AG$23</f>
        <v/>
      </c>
      <c r="AH40" s="17">
        <f>Financing!AH$23</f>
        <v/>
      </c>
      <c r="AI40" s="17">
        <f>Financing!AI$23</f>
        <v/>
      </c>
      <c r="AJ40" s="17">
        <f>Financing!AJ$23</f>
        <v/>
      </c>
      <c r="AK40" s="17">
        <f>Financing!AK$23</f>
        <v/>
      </c>
      <c r="AL40" s="17">
        <f>Financing!AL$23</f>
        <v/>
      </c>
      <c r="AM40" s="17">
        <f>Financing!AM$23</f>
        <v/>
      </c>
      <c r="AN40" s="17">
        <f>Financing!AN$23</f>
        <v/>
      </c>
      <c r="AO40" s="17">
        <f>Financing!AO$23</f>
        <v/>
      </c>
      <c r="AP40" s="17">
        <f>Financing!AP$23</f>
        <v/>
      </c>
      <c r="AQ40" s="17">
        <f>Financing!AQ$23</f>
        <v/>
      </c>
      <c r="AR40" s="17">
        <f>Financing!AR$23</f>
        <v/>
      </c>
      <c r="AS40" s="17">
        <f>Financing!AS$23</f>
        <v/>
      </c>
      <c r="AT40" s="17">
        <f>Financing!AT$23</f>
        <v/>
      </c>
      <c r="AU40" s="17">
        <f>Financing!AU$23</f>
        <v/>
      </c>
      <c r="AV40" s="17">
        <f>Financing!AV$23</f>
        <v/>
      </c>
      <c r="AW40" s="17">
        <f>Financing!AW$23</f>
        <v/>
      </c>
      <c r="AX40" s="17">
        <f>Financing!AX$23</f>
        <v/>
      </c>
      <c r="AY40" s="17">
        <f>Financing!AY$23</f>
        <v/>
      </c>
      <c r="AZ40" s="17">
        <f>Financing!AZ$23</f>
        <v/>
      </c>
      <c r="BA40" s="17">
        <f>Financing!BA$23</f>
        <v/>
      </c>
      <c r="BB40" s="17">
        <f>Financing!BB$23</f>
        <v/>
      </c>
      <c r="BC40" s="17">
        <f>Financing!BC$23</f>
        <v/>
      </c>
      <c r="BD40" s="17">
        <f>Financing!BD$23</f>
        <v/>
      </c>
      <c r="BE40" s="17">
        <f>Financing!BE$23</f>
        <v/>
      </c>
      <c r="BF40" s="17">
        <f>Financing!BF$23</f>
        <v/>
      </c>
      <c r="BG40" s="17">
        <f>Financing!BG$23</f>
        <v/>
      </c>
      <c r="BH40" s="17">
        <f>Financing!BH$23</f>
        <v/>
      </c>
      <c r="BI40" s="17">
        <f>Financing!BI$23</f>
        <v/>
      </c>
      <c r="BJ40" s="17">
        <f>Financing!BJ$23</f>
        <v/>
      </c>
      <c r="BK40" s="17">
        <f>Financing!BK$23</f>
        <v/>
      </c>
      <c r="BL40" s="17">
        <f>Financing!BL$23</f>
        <v/>
      </c>
    </row>
    <row r="41">
      <c r="A41" s="55" t="inlineStr">
        <is>
          <t>Total liabilities</t>
        </is>
      </c>
      <c r="B41" s="26" t="inlineStr">
        <is>
          <t>LCY</t>
        </is>
      </c>
      <c r="C41" s="58">
        <f>BL41</f>
        <v/>
      </c>
      <c r="E41" s="39">
        <f>E38+E39+E40</f>
        <v/>
      </c>
      <c r="F41" s="39">
        <f>F38+F39+F40</f>
        <v/>
      </c>
      <c r="G41" s="39">
        <f>G38+G39+G40</f>
        <v/>
      </c>
      <c r="H41" s="39">
        <f>H38+H39+H40</f>
        <v/>
      </c>
      <c r="I41" s="39">
        <f>I38+I39+I40</f>
        <v/>
      </c>
      <c r="J41" s="39">
        <f>J38+J39+J40</f>
        <v/>
      </c>
      <c r="K41" s="39">
        <f>K38+K39+K40</f>
        <v/>
      </c>
      <c r="L41" s="39">
        <f>L38+L39+L40</f>
        <v/>
      </c>
      <c r="M41" s="39">
        <f>M38+M39+M40</f>
        <v/>
      </c>
      <c r="N41" s="39">
        <f>N38+N39+N40</f>
        <v/>
      </c>
      <c r="O41" s="39">
        <f>O38+O39+O40</f>
        <v/>
      </c>
      <c r="P41" s="39">
        <f>P38+P39+P40</f>
        <v/>
      </c>
      <c r="Q41" s="39">
        <f>Q38+Q39+Q40</f>
        <v/>
      </c>
      <c r="R41" s="39">
        <f>R38+R39+R40</f>
        <v/>
      </c>
      <c r="S41" s="39">
        <f>S38+S39+S40</f>
        <v/>
      </c>
      <c r="T41" s="39">
        <f>T38+T39+T40</f>
        <v/>
      </c>
      <c r="U41" s="39">
        <f>U38+U39+U40</f>
        <v/>
      </c>
      <c r="V41" s="39">
        <f>V38+V39+V40</f>
        <v/>
      </c>
      <c r="W41" s="39">
        <f>W38+W39+W40</f>
        <v/>
      </c>
      <c r="X41" s="39">
        <f>X38+X39+X40</f>
        <v/>
      </c>
      <c r="Y41" s="39">
        <f>Y38+Y39+Y40</f>
        <v/>
      </c>
      <c r="Z41" s="39">
        <f>Z38+Z39+Z40</f>
        <v/>
      </c>
      <c r="AA41" s="39">
        <f>AA38+AA39+AA40</f>
        <v/>
      </c>
      <c r="AB41" s="39">
        <f>AB38+AB39+AB40</f>
        <v/>
      </c>
      <c r="AC41" s="39">
        <f>AC38+AC39+AC40</f>
        <v/>
      </c>
      <c r="AD41" s="39">
        <f>AD38+AD39+AD40</f>
        <v/>
      </c>
      <c r="AE41" s="39">
        <f>AE38+AE39+AE40</f>
        <v/>
      </c>
      <c r="AF41" s="39">
        <f>AF38+AF39+AF40</f>
        <v/>
      </c>
      <c r="AG41" s="39">
        <f>AG38+AG39+AG40</f>
        <v/>
      </c>
      <c r="AH41" s="39">
        <f>AH38+AH39+AH40</f>
        <v/>
      </c>
      <c r="AI41" s="39">
        <f>AI38+AI39+AI40</f>
        <v/>
      </c>
      <c r="AJ41" s="39">
        <f>AJ38+AJ39+AJ40</f>
        <v/>
      </c>
      <c r="AK41" s="39">
        <f>AK38+AK39+AK40</f>
        <v/>
      </c>
      <c r="AL41" s="39">
        <f>AL38+AL39+AL40</f>
        <v/>
      </c>
      <c r="AM41" s="39">
        <f>AM38+AM39+AM40</f>
        <v/>
      </c>
      <c r="AN41" s="39">
        <f>AN38+AN39+AN40</f>
        <v/>
      </c>
      <c r="AO41" s="39">
        <f>AO38+AO39+AO40</f>
        <v/>
      </c>
      <c r="AP41" s="39">
        <f>AP38+AP39+AP40</f>
        <v/>
      </c>
      <c r="AQ41" s="39">
        <f>AQ38+AQ39+AQ40</f>
        <v/>
      </c>
      <c r="AR41" s="39">
        <f>AR38+AR39+AR40</f>
        <v/>
      </c>
      <c r="AS41" s="39">
        <f>AS38+AS39+AS40</f>
        <v/>
      </c>
      <c r="AT41" s="39">
        <f>AT38+AT39+AT40</f>
        <v/>
      </c>
      <c r="AU41" s="39">
        <f>AU38+AU39+AU40</f>
        <v/>
      </c>
      <c r="AV41" s="39">
        <f>AV38+AV39+AV40</f>
        <v/>
      </c>
      <c r="AW41" s="39">
        <f>AW38+AW39+AW40</f>
        <v/>
      </c>
      <c r="AX41" s="39">
        <f>AX38+AX39+AX40</f>
        <v/>
      </c>
      <c r="AY41" s="39">
        <f>AY38+AY39+AY40</f>
        <v/>
      </c>
      <c r="AZ41" s="39">
        <f>AZ38+AZ39+AZ40</f>
        <v/>
      </c>
      <c r="BA41" s="39">
        <f>BA38+BA39+BA40</f>
        <v/>
      </c>
      <c r="BB41" s="39">
        <f>BB38+BB39+BB40</f>
        <v/>
      </c>
      <c r="BC41" s="39">
        <f>BC38+BC39+BC40</f>
        <v/>
      </c>
      <c r="BD41" s="39">
        <f>BD38+BD39+BD40</f>
        <v/>
      </c>
      <c r="BE41" s="39">
        <f>BE38+BE39+BE40</f>
        <v/>
      </c>
      <c r="BF41" s="39">
        <f>BF38+BF39+BF40</f>
        <v/>
      </c>
      <c r="BG41" s="39">
        <f>BG38+BG39+BG40</f>
        <v/>
      </c>
      <c r="BH41" s="39">
        <f>BH38+BH39+BH40</f>
        <v/>
      </c>
      <c r="BI41" s="39">
        <f>BI38+BI39+BI40</f>
        <v/>
      </c>
      <c r="BJ41" s="39">
        <f>BJ38+BJ39+BJ40</f>
        <v/>
      </c>
      <c r="BK41" s="39">
        <f>BK38+BK39+BK40</f>
        <v/>
      </c>
      <c r="BL41" s="39">
        <f>BL38+BL39+BL40</f>
        <v/>
      </c>
    </row>
    <row r="42">
      <c r="A42" s="55" t="inlineStr">
        <is>
          <t>Share capital</t>
        </is>
      </c>
      <c r="B42" s="26" t="inlineStr">
        <is>
          <t>LCY</t>
        </is>
      </c>
      <c r="C42" s="58">
        <f>BL42</f>
        <v/>
      </c>
      <c r="E42" s="17">
        <f>Financing!E$11</f>
        <v/>
      </c>
      <c r="F42" s="17">
        <f>Financing!F$11</f>
        <v/>
      </c>
      <c r="G42" s="17">
        <f>Financing!G$11</f>
        <v/>
      </c>
      <c r="H42" s="17">
        <f>Financing!H$11</f>
        <v/>
      </c>
      <c r="I42" s="17">
        <f>Financing!I$11</f>
        <v/>
      </c>
      <c r="J42" s="17">
        <f>Financing!J$11</f>
        <v/>
      </c>
      <c r="K42" s="17">
        <f>Financing!K$11</f>
        <v/>
      </c>
      <c r="L42" s="17">
        <f>Financing!L$11</f>
        <v/>
      </c>
      <c r="M42" s="17">
        <f>Financing!M$11</f>
        <v/>
      </c>
      <c r="N42" s="17">
        <f>Financing!N$11</f>
        <v/>
      </c>
      <c r="O42" s="17">
        <f>Financing!O$11</f>
        <v/>
      </c>
      <c r="P42" s="17">
        <f>Financing!P$11</f>
        <v/>
      </c>
      <c r="Q42" s="17">
        <f>Financing!Q$11</f>
        <v/>
      </c>
      <c r="R42" s="17">
        <f>Financing!R$11</f>
        <v/>
      </c>
      <c r="S42" s="17">
        <f>Financing!S$11</f>
        <v/>
      </c>
      <c r="T42" s="17">
        <f>Financing!T$11</f>
        <v/>
      </c>
      <c r="U42" s="17">
        <f>Financing!U$11</f>
        <v/>
      </c>
      <c r="V42" s="17">
        <f>Financing!V$11</f>
        <v/>
      </c>
      <c r="W42" s="17">
        <f>Financing!W$11</f>
        <v/>
      </c>
      <c r="X42" s="17">
        <f>Financing!X$11</f>
        <v/>
      </c>
      <c r="Y42" s="17">
        <f>Financing!Y$11</f>
        <v/>
      </c>
      <c r="Z42" s="17">
        <f>Financing!Z$11</f>
        <v/>
      </c>
      <c r="AA42" s="17">
        <f>Financing!AA$11</f>
        <v/>
      </c>
      <c r="AB42" s="17">
        <f>Financing!AB$11</f>
        <v/>
      </c>
      <c r="AC42" s="17">
        <f>Financing!AC$11</f>
        <v/>
      </c>
      <c r="AD42" s="17">
        <f>Financing!AD$11</f>
        <v/>
      </c>
      <c r="AE42" s="17">
        <f>Financing!AE$11</f>
        <v/>
      </c>
      <c r="AF42" s="17">
        <f>Financing!AF$11</f>
        <v/>
      </c>
      <c r="AG42" s="17">
        <f>Financing!AG$11</f>
        <v/>
      </c>
      <c r="AH42" s="17">
        <f>Financing!AH$11</f>
        <v/>
      </c>
      <c r="AI42" s="17">
        <f>Financing!AI$11</f>
        <v/>
      </c>
      <c r="AJ42" s="17">
        <f>Financing!AJ$11</f>
        <v/>
      </c>
      <c r="AK42" s="17">
        <f>Financing!AK$11</f>
        <v/>
      </c>
      <c r="AL42" s="17">
        <f>Financing!AL$11</f>
        <v/>
      </c>
      <c r="AM42" s="17">
        <f>Financing!AM$11</f>
        <v/>
      </c>
      <c r="AN42" s="17">
        <f>Financing!AN$11</f>
        <v/>
      </c>
      <c r="AO42" s="17">
        <f>Financing!AO$11</f>
        <v/>
      </c>
      <c r="AP42" s="17">
        <f>Financing!AP$11</f>
        <v/>
      </c>
      <c r="AQ42" s="17">
        <f>Financing!AQ$11</f>
        <v/>
      </c>
      <c r="AR42" s="17">
        <f>Financing!AR$11</f>
        <v/>
      </c>
      <c r="AS42" s="17">
        <f>Financing!AS$11</f>
        <v/>
      </c>
      <c r="AT42" s="17">
        <f>Financing!AT$11</f>
        <v/>
      </c>
      <c r="AU42" s="17">
        <f>Financing!AU$11</f>
        <v/>
      </c>
      <c r="AV42" s="17">
        <f>Financing!AV$11</f>
        <v/>
      </c>
      <c r="AW42" s="17">
        <f>Financing!AW$11</f>
        <v/>
      </c>
      <c r="AX42" s="17">
        <f>Financing!AX$11</f>
        <v/>
      </c>
      <c r="AY42" s="17">
        <f>Financing!AY$11</f>
        <v/>
      </c>
      <c r="AZ42" s="17">
        <f>Financing!AZ$11</f>
        <v/>
      </c>
      <c r="BA42" s="17">
        <f>Financing!BA$11</f>
        <v/>
      </c>
      <c r="BB42" s="17">
        <f>Financing!BB$11</f>
        <v/>
      </c>
      <c r="BC42" s="17">
        <f>Financing!BC$11</f>
        <v/>
      </c>
      <c r="BD42" s="17">
        <f>Financing!BD$11</f>
        <v/>
      </c>
      <c r="BE42" s="17">
        <f>Financing!BE$11</f>
        <v/>
      </c>
      <c r="BF42" s="17">
        <f>Financing!BF$11</f>
        <v/>
      </c>
      <c r="BG42" s="17">
        <f>Financing!BG$11</f>
        <v/>
      </c>
      <c r="BH42" s="17">
        <f>Financing!BH$11</f>
        <v/>
      </c>
      <c r="BI42" s="17">
        <f>Financing!BI$11</f>
        <v/>
      </c>
      <c r="BJ42" s="17">
        <f>Financing!BJ$11</f>
        <v/>
      </c>
      <c r="BK42" s="17">
        <f>Financing!BK$11</f>
        <v/>
      </c>
      <c r="BL42" s="17">
        <f>Financing!BL$11</f>
        <v/>
      </c>
    </row>
    <row r="43">
      <c r="A43" s="55" t="inlineStr">
        <is>
          <t>Retained earnings</t>
        </is>
      </c>
      <c r="B43" s="26" t="inlineStr">
        <is>
          <t>LCY</t>
        </is>
      </c>
      <c r="C43" s="58">
        <f>BL43</f>
        <v/>
      </c>
      <c r="E43" s="39">
        <f>D43+E28</f>
        <v/>
      </c>
      <c r="F43" s="39">
        <f>E43+F28</f>
        <v/>
      </c>
      <c r="G43" s="39">
        <f>F43+G28</f>
        <v/>
      </c>
      <c r="H43" s="39">
        <f>G43+H28</f>
        <v/>
      </c>
      <c r="I43" s="39">
        <f>H43+I28</f>
        <v/>
      </c>
      <c r="J43" s="39">
        <f>I43+J28</f>
        <v/>
      </c>
      <c r="K43" s="39">
        <f>J43+K28</f>
        <v/>
      </c>
      <c r="L43" s="39">
        <f>K43+L28</f>
        <v/>
      </c>
      <c r="M43" s="39">
        <f>L43+M28</f>
        <v/>
      </c>
      <c r="N43" s="39">
        <f>M43+N28</f>
        <v/>
      </c>
      <c r="O43" s="39">
        <f>N43+O28</f>
        <v/>
      </c>
      <c r="P43" s="39">
        <f>O43+P28</f>
        <v/>
      </c>
      <c r="Q43" s="39">
        <f>P43+Q28</f>
        <v/>
      </c>
      <c r="R43" s="39">
        <f>Q43+R28</f>
        <v/>
      </c>
      <c r="S43" s="39">
        <f>R43+S28</f>
        <v/>
      </c>
      <c r="T43" s="39">
        <f>S43+T28</f>
        <v/>
      </c>
      <c r="U43" s="39">
        <f>T43+U28</f>
        <v/>
      </c>
      <c r="V43" s="39">
        <f>U43+V28</f>
        <v/>
      </c>
      <c r="W43" s="39">
        <f>V43+W28</f>
        <v/>
      </c>
      <c r="X43" s="39">
        <f>W43+X28</f>
        <v/>
      </c>
      <c r="Y43" s="39">
        <f>X43+Y28</f>
        <v/>
      </c>
      <c r="Z43" s="39">
        <f>Y43+Z28</f>
        <v/>
      </c>
      <c r="AA43" s="39">
        <f>Z43+AA28</f>
        <v/>
      </c>
      <c r="AB43" s="39">
        <f>AA43+AB28</f>
        <v/>
      </c>
      <c r="AC43" s="39">
        <f>AB43+AC28</f>
        <v/>
      </c>
      <c r="AD43" s="39">
        <f>AC43+AD28</f>
        <v/>
      </c>
      <c r="AE43" s="39">
        <f>AD43+AE28</f>
        <v/>
      </c>
      <c r="AF43" s="39">
        <f>AE43+AF28</f>
        <v/>
      </c>
      <c r="AG43" s="39">
        <f>AF43+AG28</f>
        <v/>
      </c>
      <c r="AH43" s="39">
        <f>AG43+AH28</f>
        <v/>
      </c>
      <c r="AI43" s="39">
        <f>AH43+AI28</f>
        <v/>
      </c>
      <c r="AJ43" s="39">
        <f>AI43+AJ28</f>
        <v/>
      </c>
      <c r="AK43" s="39">
        <f>AJ43+AK28</f>
        <v/>
      </c>
      <c r="AL43" s="39">
        <f>AK43+AL28</f>
        <v/>
      </c>
      <c r="AM43" s="39">
        <f>AL43+AM28</f>
        <v/>
      </c>
      <c r="AN43" s="39">
        <f>AM43+AN28</f>
        <v/>
      </c>
      <c r="AO43" s="39">
        <f>AN43+AO28</f>
        <v/>
      </c>
      <c r="AP43" s="39">
        <f>AO43+AP28</f>
        <v/>
      </c>
      <c r="AQ43" s="39">
        <f>AP43+AQ28</f>
        <v/>
      </c>
      <c r="AR43" s="39">
        <f>AQ43+AR28</f>
        <v/>
      </c>
      <c r="AS43" s="39">
        <f>AR43+AS28</f>
        <v/>
      </c>
      <c r="AT43" s="39">
        <f>AS43+AT28</f>
        <v/>
      </c>
      <c r="AU43" s="39">
        <f>AT43+AU28</f>
        <v/>
      </c>
      <c r="AV43" s="39">
        <f>AU43+AV28</f>
        <v/>
      </c>
      <c r="AW43" s="39">
        <f>AV43+AW28</f>
        <v/>
      </c>
      <c r="AX43" s="39">
        <f>AW43+AX28</f>
        <v/>
      </c>
      <c r="AY43" s="39">
        <f>AX43+AY28</f>
        <v/>
      </c>
      <c r="AZ43" s="39">
        <f>AY43+AZ28</f>
        <v/>
      </c>
      <c r="BA43" s="39">
        <f>AZ43+BA28</f>
        <v/>
      </c>
      <c r="BB43" s="39">
        <f>BA43+BB28</f>
        <v/>
      </c>
      <c r="BC43" s="39">
        <f>BB43+BC28</f>
        <v/>
      </c>
      <c r="BD43" s="39">
        <f>BC43+BD28</f>
        <v/>
      </c>
      <c r="BE43" s="39">
        <f>BD43+BE28</f>
        <v/>
      </c>
      <c r="BF43" s="39">
        <f>BE43+BF28</f>
        <v/>
      </c>
      <c r="BG43" s="39">
        <f>BF43+BG28</f>
        <v/>
      </c>
      <c r="BH43" s="39">
        <f>BG43+BH28</f>
        <v/>
      </c>
      <c r="BI43" s="39">
        <f>BH43+BI28</f>
        <v/>
      </c>
      <c r="BJ43" s="39">
        <f>BI43+BJ28</f>
        <v/>
      </c>
      <c r="BK43" s="39">
        <f>BJ43+BK28</f>
        <v/>
      </c>
      <c r="BL43" s="39">
        <f>BK43+BL28</f>
        <v/>
      </c>
    </row>
    <row r="44">
      <c r="A44" s="55" t="inlineStr">
        <is>
          <t>Total equity</t>
        </is>
      </c>
      <c r="B44" s="26" t="inlineStr">
        <is>
          <t>LCY</t>
        </is>
      </c>
      <c r="C44" s="58">
        <f>BL44</f>
        <v/>
      </c>
      <c r="E44" s="39">
        <f>E42+E43</f>
        <v/>
      </c>
      <c r="F44" s="39">
        <f>F42+F43</f>
        <v/>
      </c>
      <c r="G44" s="39">
        <f>G42+G43</f>
        <v/>
      </c>
      <c r="H44" s="39">
        <f>H42+H43</f>
        <v/>
      </c>
      <c r="I44" s="39">
        <f>I42+I43</f>
        <v/>
      </c>
      <c r="J44" s="39">
        <f>J42+J43</f>
        <v/>
      </c>
      <c r="K44" s="39">
        <f>K42+K43</f>
        <v/>
      </c>
      <c r="L44" s="39">
        <f>L42+L43</f>
        <v/>
      </c>
      <c r="M44" s="39">
        <f>M42+M43</f>
        <v/>
      </c>
      <c r="N44" s="39">
        <f>N42+N43</f>
        <v/>
      </c>
      <c r="O44" s="39">
        <f>O42+O43</f>
        <v/>
      </c>
      <c r="P44" s="39">
        <f>P42+P43</f>
        <v/>
      </c>
      <c r="Q44" s="39">
        <f>Q42+Q43</f>
        <v/>
      </c>
      <c r="R44" s="39">
        <f>R42+R43</f>
        <v/>
      </c>
      <c r="S44" s="39">
        <f>S42+S43</f>
        <v/>
      </c>
      <c r="T44" s="39">
        <f>T42+T43</f>
        <v/>
      </c>
      <c r="U44" s="39">
        <f>U42+U43</f>
        <v/>
      </c>
      <c r="V44" s="39">
        <f>V42+V43</f>
        <v/>
      </c>
      <c r="W44" s="39">
        <f>W42+W43</f>
        <v/>
      </c>
      <c r="X44" s="39">
        <f>X42+X43</f>
        <v/>
      </c>
      <c r="Y44" s="39">
        <f>Y42+Y43</f>
        <v/>
      </c>
      <c r="Z44" s="39">
        <f>Z42+Z43</f>
        <v/>
      </c>
      <c r="AA44" s="39">
        <f>AA42+AA43</f>
        <v/>
      </c>
      <c r="AB44" s="39">
        <f>AB42+AB43</f>
        <v/>
      </c>
      <c r="AC44" s="39">
        <f>AC42+AC43</f>
        <v/>
      </c>
      <c r="AD44" s="39">
        <f>AD42+AD43</f>
        <v/>
      </c>
      <c r="AE44" s="39">
        <f>AE42+AE43</f>
        <v/>
      </c>
      <c r="AF44" s="39">
        <f>AF42+AF43</f>
        <v/>
      </c>
      <c r="AG44" s="39">
        <f>AG42+AG43</f>
        <v/>
      </c>
      <c r="AH44" s="39">
        <f>AH42+AH43</f>
        <v/>
      </c>
      <c r="AI44" s="39">
        <f>AI42+AI43</f>
        <v/>
      </c>
      <c r="AJ44" s="39">
        <f>AJ42+AJ43</f>
        <v/>
      </c>
      <c r="AK44" s="39">
        <f>AK42+AK43</f>
        <v/>
      </c>
      <c r="AL44" s="39">
        <f>AL42+AL43</f>
        <v/>
      </c>
      <c r="AM44" s="39">
        <f>AM42+AM43</f>
        <v/>
      </c>
      <c r="AN44" s="39">
        <f>AN42+AN43</f>
        <v/>
      </c>
      <c r="AO44" s="39">
        <f>AO42+AO43</f>
        <v/>
      </c>
      <c r="AP44" s="39">
        <f>AP42+AP43</f>
        <v/>
      </c>
      <c r="AQ44" s="39">
        <f>AQ42+AQ43</f>
        <v/>
      </c>
      <c r="AR44" s="39">
        <f>AR42+AR43</f>
        <v/>
      </c>
      <c r="AS44" s="39">
        <f>AS42+AS43</f>
        <v/>
      </c>
      <c r="AT44" s="39">
        <f>AT42+AT43</f>
        <v/>
      </c>
      <c r="AU44" s="39">
        <f>AU42+AU43</f>
        <v/>
      </c>
      <c r="AV44" s="39">
        <f>AV42+AV43</f>
        <v/>
      </c>
      <c r="AW44" s="39">
        <f>AW42+AW43</f>
        <v/>
      </c>
      <c r="AX44" s="39">
        <f>AX42+AX43</f>
        <v/>
      </c>
      <c r="AY44" s="39">
        <f>AY42+AY43</f>
        <v/>
      </c>
      <c r="AZ44" s="39">
        <f>AZ42+AZ43</f>
        <v/>
      </c>
      <c r="BA44" s="39">
        <f>BA42+BA43</f>
        <v/>
      </c>
      <c r="BB44" s="39">
        <f>BB42+BB43</f>
        <v/>
      </c>
      <c r="BC44" s="39">
        <f>BC42+BC43</f>
        <v/>
      </c>
      <c r="BD44" s="39">
        <f>BD42+BD43</f>
        <v/>
      </c>
      <c r="BE44" s="39">
        <f>BE42+BE43</f>
        <v/>
      </c>
      <c r="BF44" s="39">
        <f>BF42+BF43</f>
        <v/>
      </c>
      <c r="BG44" s="39">
        <f>BG42+BG43</f>
        <v/>
      </c>
      <c r="BH44" s="39">
        <f>BH42+BH43</f>
        <v/>
      </c>
      <c r="BI44" s="39">
        <f>BI42+BI43</f>
        <v/>
      </c>
      <c r="BJ44" s="39">
        <f>BJ42+BJ43</f>
        <v/>
      </c>
      <c r="BK44" s="39">
        <f>BK42+BK43</f>
        <v/>
      </c>
      <c r="BL44" s="39">
        <f>BL42+BL43</f>
        <v/>
      </c>
    </row>
    <row r="45">
      <c r="A45" s="60" t="inlineStr">
        <is>
          <t>Total liabilities &amp; equity</t>
        </is>
      </c>
      <c r="B45" s="61" t="inlineStr">
        <is>
          <t>LCY</t>
        </is>
      </c>
      <c r="C45" s="70">
        <f>BL45</f>
        <v/>
      </c>
      <c r="D45" s="63" t="n"/>
      <c r="E45" s="71">
        <f>E41+E44</f>
        <v/>
      </c>
      <c r="F45" s="71">
        <f>F41+F44</f>
        <v/>
      </c>
      <c r="G45" s="71">
        <f>G41+G44</f>
        <v/>
      </c>
      <c r="H45" s="71">
        <f>H41+H44</f>
        <v/>
      </c>
      <c r="I45" s="71">
        <f>I41+I44</f>
        <v/>
      </c>
      <c r="J45" s="71">
        <f>J41+J44</f>
        <v/>
      </c>
      <c r="K45" s="71">
        <f>K41+K44</f>
        <v/>
      </c>
      <c r="L45" s="71">
        <f>L41+L44</f>
        <v/>
      </c>
      <c r="M45" s="71">
        <f>M41+M44</f>
        <v/>
      </c>
      <c r="N45" s="71">
        <f>N41+N44</f>
        <v/>
      </c>
      <c r="O45" s="71">
        <f>O41+O44</f>
        <v/>
      </c>
      <c r="P45" s="71">
        <f>P41+P44</f>
        <v/>
      </c>
      <c r="Q45" s="71">
        <f>Q41+Q44</f>
        <v/>
      </c>
      <c r="R45" s="71">
        <f>R41+R44</f>
        <v/>
      </c>
      <c r="S45" s="71">
        <f>S41+S44</f>
        <v/>
      </c>
      <c r="T45" s="71">
        <f>T41+T44</f>
        <v/>
      </c>
      <c r="U45" s="71">
        <f>U41+U44</f>
        <v/>
      </c>
      <c r="V45" s="71">
        <f>V41+V44</f>
        <v/>
      </c>
      <c r="W45" s="71">
        <f>W41+W44</f>
        <v/>
      </c>
      <c r="X45" s="71">
        <f>X41+X44</f>
        <v/>
      </c>
      <c r="Y45" s="71">
        <f>Y41+Y44</f>
        <v/>
      </c>
      <c r="Z45" s="71">
        <f>Z41+Z44</f>
        <v/>
      </c>
      <c r="AA45" s="71">
        <f>AA41+AA44</f>
        <v/>
      </c>
      <c r="AB45" s="71">
        <f>AB41+AB44</f>
        <v/>
      </c>
      <c r="AC45" s="71">
        <f>AC41+AC44</f>
        <v/>
      </c>
      <c r="AD45" s="71">
        <f>AD41+AD44</f>
        <v/>
      </c>
      <c r="AE45" s="71">
        <f>AE41+AE44</f>
        <v/>
      </c>
      <c r="AF45" s="71">
        <f>AF41+AF44</f>
        <v/>
      </c>
      <c r="AG45" s="71">
        <f>AG41+AG44</f>
        <v/>
      </c>
      <c r="AH45" s="71">
        <f>AH41+AH44</f>
        <v/>
      </c>
      <c r="AI45" s="71">
        <f>AI41+AI44</f>
        <v/>
      </c>
      <c r="AJ45" s="71">
        <f>AJ41+AJ44</f>
        <v/>
      </c>
      <c r="AK45" s="71">
        <f>AK41+AK44</f>
        <v/>
      </c>
      <c r="AL45" s="71">
        <f>AL41+AL44</f>
        <v/>
      </c>
      <c r="AM45" s="71">
        <f>AM41+AM44</f>
        <v/>
      </c>
      <c r="AN45" s="71">
        <f>AN41+AN44</f>
        <v/>
      </c>
      <c r="AO45" s="71">
        <f>AO41+AO44</f>
        <v/>
      </c>
      <c r="AP45" s="71">
        <f>AP41+AP44</f>
        <v/>
      </c>
      <c r="AQ45" s="71">
        <f>AQ41+AQ44</f>
        <v/>
      </c>
      <c r="AR45" s="71">
        <f>AR41+AR44</f>
        <v/>
      </c>
      <c r="AS45" s="71">
        <f>AS41+AS44</f>
        <v/>
      </c>
      <c r="AT45" s="71">
        <f>AT41+AT44</f>
        <v/>
      </c>
      <c r="AU45" s="71">
        <f>AU41+AU44</f>
        <v/>
      </c>
      <c r="AV45" s="71">
        <f>AV41+AV44</f>
        <v/>
      </c>
      <c r="AW45" s="71">
        <f>AW41+AW44</f>
        <v/>
      </c>
      <c r="AX45" s="71">
        <f>AX41+AX44</f>
        <v/>
      </c>
      <c r="AY45" s="71">
        <f>AY41+AY44</f>
        <v/>
      </c>
      <c r="AZ45" s="71">
        <f>AZ41+AZ44</f>
        <v/>
      </c>
      <c r="BA45" s="71">
        <f>BA41+BA44</f>
        <v/>
      </c>
      <c r="BB45" s="71">
        <f>BB41+BB44</f>
        <v/>
      </c>
      <c r="BC45" s="71">
        <f>BC41+BC44</f>
        <v/>
      </c>
      <c r="BD45" s="71">
        <f>BD41+BD44</f>
        <v/>
      </c>
      <c r="BE45" s="71">
        <f>BE41+BE44</f>
        <v/>
      </c>
      <c r="BF45" s="71">
        <f>BF41+BF44</f>
        <v/>
      </c>
      <c r="BG45" s="71">
        <f>BG41+BG44</f>
        <v/>
      </c>
      <c r="BH45" s="71">
        <f>BH41+BH44</f>
        <v/>
      </c>
      <c r="BI45" s="71">
        <f>BI41+BI44</f>
        <v/>
      </c>
      <c r="BJ45" s="71">
        <f>BJ41+BJ44</f>
        <v/>
      </c>
      <c r="BK45" s="71">
        <f>BK41+BK44</f>
        <v/>
      </c>
      <c r="BL45" s="71">
        <f>BL41+BL44</f>
        <v/>
      </c>
    </row>
    <row r="46">
      <c r="A46" s="55" t="inlineStr">
        <is>
          <t>Balance check (should be 0)</t>
        </is>
      </c>
      <c r="B46" s="26" t="inlineStr">
        <is>
          <t>LCY</t>
        </is>
      </c>
      <c r="C46" s="58">
        <f>MAX(E46:BL46)</f>
        <v/>
      </c>
      <c r="E46" s="39">
        <f>ROUND(E37-E45,0)</f>
        <v/>
      </c>
      <c r="F46" s="39">
        <f>ROUND(F37-F45,0)</f>
        <v/>
      </c>
      <c r="G46" s="39">
        <f>ROUND(G37-G45,0)</f>
        <v/>
      </c>
      <c r="H46" s="39">
        <f>ROUND(H37-H45,0)</f>
        <v/>
      </c>
      <c r="I46" s="39">
        <f>ROUND(I37-I45,0)</f>
        <v/>
      </c>
      <c r="J46" s="39">
        <f>ROUND(J37-J45,0)</f>
        <v/>
      </c>
      <c r="K46" s="39">
        <f>ROUND(K37-K45,0)</f>
        <v/>
      </c>
      <c r="L46" s="39">
        <f>ROUND(L37-L45,0)</f>
        <v/>
      </c>
      <c r="M46" s="39">
        <f>ROUND(M37-M45,0)</f>
        <v/>
      </c>
      <c r="N46" s="39">
        <f>ROUND(N37-N45,0)</f>
        <v/>
      </c>
      <c r="O46" s="39">
        <f>ROUND(O37-O45,0)</f>
        <v/>
      </c>
      <c r="P46" s="39">
        <f>ROUND(P37-P45,0)</f>
        <v/>
      </c>
      <c r="Q46" s="39">
        <f>ROUND(Q37-Q45,0)</f>
        <v/>
      </c>
      <c r="R46" s="39">
        <f>ROUND(R37-R45,0)</f>
        <v/>
      </c>
      <c r="S46" s="39">
        <f>ROUND(S37-S45,0)</f>
        <v/>
      </c>
      <c r="T46" s="39">
        <f>ROUND(T37-T45,0)</f>
        <v/>
      </c>
      <c r="U46" s="39">
        <f>ROUND(U37-U45,0)</f>
        <v/>
      </c>
      <c r="V46" s="39">
        <f>ROUND(V37-V45,0)</f>
        <v/>
      </c>
      <c r="W46" s="39">
        <f>ROUND(W37-W45,0)</f>
        <v/>
      </c>
      <c r="X46" s="39">
        <f>ROUND(X37-X45,0)</f>
        <v/>
      </c>
      <c r="Y46" s="39">
        <f>ROUND(Y37-Y45,0)</f>
        <v/>
      </c>
      <c r="Z46" s="39">
        <f>ROUND(Z37-Z45,0)</f>
        <v/>
      </c>
      <c r="AA46" s="39">
        <f>ROUND(AA37-AA45,0)</f>
        <v/>
      </c>
      <c r="AB46" s="39">
        <f>ROUND(AB37-AB45,0)</f>
        <v/>
      </c>
      <c r="AC46" s="39">
        <f>ROUND(AC37-AC45,0)</f>
        <v/>
      </c>
      <c r="AD46" s="39">
        <f>ROUND(AD37-AD45,0)</f>
        <v/>
      </c>
      <c r="AE46" s="39">
        <f>ROUND(AE37-AE45,0)</f>
        <v/>
      </c>
      <c r="AF46" s="39">
        <f>ROUND(AF37-AF45,0)</f>
        <v/>
      </c>
      <c r="AG46" s="39">
        <f>ROUND(AG37-AG45,0)</f>
        <v/>
      </c>
      <c r="AH46" s="39">
        <f>ROUND(AH37-AH45,0)</f>
        <v/>
      </c>
      <c r="AI46" s="39">
        <f>ROUND(AI37-AI45,0)</f>
        <v/>
      </c>
      <c r="AJ46" s="39">
        <f>ROUND(AJ37-AJ45,0)</f>
        <v/>
      </c>
      <c r="AK46" s="39">
        <f>ROUND(AK37-AK45,0)</f>
        <v/>
      </c>
      <c r="AL46" s="39">
        <f>ROUND(AL37-AL45,0)</f>
        <v/>
      </c>
      <c r="AM46" s="39">
        <f>ROUND(AM37-AM45,0)</f>
        <v/>
      </c>
      <c r="AN46" s="39">
        <f>ROUND(AN37-AN45,0)</f>
        <v/>
      </c>
      <c r="AO46" s="39">
        <f>ROUND(AO37-AO45,0)</f>
        <v/>
      </c>
      <c r="AP46" s="39">
        <f>ROUND(AP37-AP45,0)</f>
        <v/>
      </c>
      <c r="AQ46" s="39">
        <f>ROUND(AQ37-AQ45,0)</f>
        <v/>
      </c>
      <c r="AR46" s="39">
        <f>ROUND(AR37-AR45,0)</f>
        <v/>
      </c>
      <c r="AS46" s="39">
        <f>ROUND(AS37-AS45,0)</f>
        <v/>
      </c>
      <c r="AT46" s="39">
        <f>ROUND(AT37-AT45,0)</f>
        <v/>
      </c>
      <c r="AU46" s="39">
        <f>ROUND(AU37-AU45,0)</f>
        <v/>
      </c>
      <c r="AV46" s="39">
        <f>ROUND(AV37-AV45,0)</f>
        <v/>
      </c>
      <c r="AW46" s="39">
        <f>ROUND(AW37-AW45,0)</f>
        <v/>
      </c>
      <c r="AX46" s="39">
        <f>ROUND(AX37-AX45,0)</f>
        <v/>
      </c>
      <c r="AY46" s="39">
        <f>ROUND(AY37-AY45,0)</f>
        <v/>
      </c>
      <c r="AZ46" s="39">
        <f>ROUND(AZ37-AZ45,0)</f>
        <v/>
      </c>
      <c r="BA46" s="39">
        <f>ROUND(BA37-BA45,0)</f>
        <v/>
      </c>
      <c r="BB46" s="39">
        <f>ROUND(BB37-BB45,0)</f>
        <v/>
      </c>
      <c r="BC46" s="39">
        <f>ROUND(BC37-BC45,0)</f>
        <v/>
      </c>
      <c r="BD46" s="39">
        <f>ROUND(BD37-BD45,0)</f>
        <v/>
      </c>
      <c r="BE46" s="39">
        <f>ROUND(BE37-BE45,0)</f>
        <v/>
      </c>
      <c r="BF46" s="39">
        <f>ROUND(BF37-BF45,0)</f>
        <v/>
      </c>
      <c r="BG46" s="39">
        <f>ROUND(BG37-BG45,0)</f>
        <v/>
      </c>
      <c r="BH46" s="39">
        <f>ROUND(BH37-BH45,0)</f>
        <v/>
      </c>
      <c r="BI46" s="39">
        <f>ROUND(BI37-BI45,0)</f>
        <v/>
      </c>
      <c r="BJ46" s="39">
        <f>ROUND(BJ37-BJ45,0)</f>
        <v/>
      </c>
      <c r="BK46" s="39">
        <f>ROUND(BK37-BK45,0)</f>
        <v/>
      </c>
      <c r="BL46" s="39">
        <f>ROUND(BL37-BL45,0)</f>
        <v/>
      </c>
    </row>
    <row r="47"/>
    <row r="48">
      <c r="A48" s="14" t="inlineStr">
        <is>
          <t>CASH FLOW STATEMENT</t>
        </is>
      </c>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c r="AA48" s="15" t="n"/>
      <c r="AB48" s="15" t="n"/>
      <c r="AC48" s="15" t="n"/>
      <c r="AD48" s="15" t="n"/>
      <c r="AE48" s="15" t="n"/>
      <c r="AF48" s="15" t="n"/>
      <c r="AG48" s="15" t="n"/>
      <c r="AH48" s="15" t="n"/>
      <c r="AI48" s="15" t="n"/>
      <c r="AJ48" s="15" t="n"/>
      <c r="AK48" s="15" t="n"/>
      <c r="AL48" s="15" t="n"/>
      <c r="AM48" s="15" t="n"/>
      <c r="AN48" s="15" t="n"/>
      <c r="AO48" s="15" t="n"/>
      <c r="AP48" s="15" t="n"/>
      <c r="AQ48" s="15" t="n"/>
      <c r="AR48" s="15" t="n"/>
      <c r="AS48" s="15" t="n"/>
      <c r="AT48" s="15" t="n"/>
      <c r="AU48" s="15" t="n"/>
      <c r="AV48" s="15" t="n"/>
      <c r="AW48" s="15" t="n"/>
      <c r="AX48" s="15" t="n"/>
      <c r="AY48" s="15" t="n"/>
      <c r="AZ48" s="15" t="n"/>
      <c r="BA48" s="15" t="n"/>
      <c r="BB48" s="15" t="n"/>
      <c r="BC48" s="15" t="n"/>
      <c r="BD48" s="15" t="n"/>
      <c r="BE48" s="15" t="n"/>
      <c r="BF48" s="15" t="n"/>
      <c r="BG48" s="15" t="n"/>
      <c r="BH48" s="15" t="n"/>
      <c r="BI48" s="15" t="n"/>
      <c r="BJ48" s="15" t="n"/>
      <c r="BK48" s="15" t="n"/>
      <c r="BL48" s="15" t="n"/>
    </row>
    <row r="49">
      <c r="A49" s="55" t="inlineStr">
        <is>
          <t>Net income</t>
        </is>
      </c>
      <c r="B49" s="26" t="inlineStr">
        <is>
          <t>LCY</t>
        </is>
      </c>
      <c r="C49" s="58">
        <f>SUM(E49:BL49)</f>
        <v/>
      </c>
      <c r="E49" s="39">
        <f>E28</f>
        <v/>
      </c>
      <c r="F49" s="39">
        <f>F28</f>
        <v/>
      </c>
      <c r="G49" s="39">
        <f>G28</f>
        <v/>
      </c>
      <c r="H49" s="39">
        <f>H28</f>
        <v/>
      </c>
      <c r="I49" s="39">
        <f>I28</f>
        <v/>
      </c>
      <c r="J49" s="39">
        <f>J28</f>
        <v/>
      </c>
      <c r="K49" s="39">
        <f>K28</f>
        <v/>
      </c>
      <c r="L49" s="39">
        <f>L28</f>
        <v/>
      </c>
      <c r="M49" s="39">
        <f>M28</f>
        <v/>
      </c>
      <c r="N49" s="39">
        <f>N28</f>
        <v/>
      </c>
      <c r="O49" s="39">
        <f>O28</f>
        <v/>
      </c>
      <c r="P49" s="39">
        <f>P28</f>
        <v/>
      </c>
      <c r="Q49" s="39">
        <f>Q28</f>
        <v/>
      </c>
      <c r="R49" s="39">
        <f>R28</f>
        <v/>
      </c>
      <c r="S49" s="39">
        <f>S28</f>
        <v/>
      </c>
      <c r="T49" s="39">
        <f>T28</f>
        <v/>
      </c>
      <c r="U49" s="39">
        <f>U28</f>
        <v/>
      </c>
      <c r="V49" s="39">
        <f>V28</f>
        <v/>
      </c>
      <c r="W49" s="39">
        <f>W28</f>
        <v/>
      </c>
      <c r="X49" s="39">
        <f>X28</f>
        <v/>
      </c>
      <c r="Y49" s="39">
        <f>Y28</f>
        <v/>
      </c>
      <c r="Z49" s="39">
        <f>Z28</f>
        <v/>
      </c>
      <c r="AA49" s="39">
        <f>AA28</f>
        <v/>
      </c>
      <c r="AB49" s="39">
        <f>AB28</f>
        <v/>
      </c>
      <c r="AC49" s="39">
        <f>AC28</f>
        <v/>
      </c>
      <c r="AD49" s="39">
        <f>AD28</f>
        <v/>
      </c>
      <c r="AE49" s="39">
        <f>AE28</f>
        <v/>
      </c>
      <c r="AF49" s="39">
        <f>AF28</f>
        <v/>
      </c>
      <c r="AG49" s="39">
        <f>AG28</f>
        <v/>
      </c>
      <c r="AH49" s="39">
        <f>AH28</f>
        <v/>
      </c>
      <c r="AI49" s="39">
        <f>AI28</f>
        <v/>
      </c>
      <c r="AJ49" s="39">
        <f>AJ28</f>
        <v/>
      </c>
      <c r="AK49" s="39">
        <f>AK28</f>
        <v/>
      </c>
      <c r="AL49" s="39">
        <f>AL28</f>
        <v/>
      </c>
      <c r="AM49" s="39">
        <f>AM28</f>
        <v/>
      </c>
      <c r="AN49" s="39">
        <f>AN28</f>
        <v/>
      </c>
      <c r="AO49" s="39">
        <f>AO28</f>
        <v/>
      </c>
      <c r="AP49" s="39">
        <f>AP28</f>
        <v/>
      </c>
      <c r="AQ49" s="39">
        <f>AQ28</f>
        <v/>
      </c>
      <c r="AR49" s="39">
        <f>AR28</f>
        <v/>
      </c>
      <c r="AS49" s="39">
        <f>AS28</f>
        <v/>
      </c>
      <c r="AT49" s="39">
        <f>AT28</f>
        <v/>
      </c>
      <c r="AU49" s="39">
        <f>AU28</f>
        <v/>
      </c>
      <c r="AV49" s="39">
        <f>AV28</f>
        <v/>
      </c>
      <c r="AW49" s="39">
        <f>AW28</f>
        <v/>
      </c>
      <c r="AX49" s="39">
        <f>AX28</f>
        <v/>
      </c>
      <c r="AY49" s="39">
        <f>AY28</f>
        <v/>
      </c>
      <c r="AZ49" s="39">
        <f>AZ28</f>
        <v/>
      </c>
      <c r="BA49" s="39">
        <f>BA28</f>
        <v/>
      </c>
      <c r="BB49" s="39">
        <f>BB28</f>
        <v/>
      </c>
      <c r="BC49" s="39">
        <f>BC28</f>
        <v/>
      </c>
      <c r="BD49" s="39">
        <f>BD28</f>
        <v/>
      </c>
      <c r="BE49" s="39">
        <f>BE28</f>
        <v/>
      </c>
      <c r="BF49" s="39">
        <f>BF28</f>
        <v/>
      </c>
      <c r="BG49" s="39">
        <f>BG28</f>
        <v/>
      </c>
      <c r="BH49" s="39">
        <f>BH28</f>
        <v/>
      </c>
      <c r="BI49" s="39">
        <f>BI28</f>
        <v/>
      </c>
      <c r="BJ49" s="39">
        <f>BJ28</f>
        <v/>
      </c>
      <c r="BK49" s="39">
        <f>BK28</f>
        <v/>
      </c>
      <c r="BL49" s="39">
        <f>BL28</f>
        <v/>
      </c>
    </row>
    <row r="50">
      <c r="A50" s="55" t="inlineStr">
        <is>
          <t>Add back: depreciation</t>
        </is>
      </c>
      <c r="B50" s="26" t="inlineStr">
        <is>
          <t>LCY</t>
        </is>
      </c>
      <c r="C50" s="58">
        <f>SUM(E50:BL50)</f>
        <v/>
      </c>
      <c r="E50" s="39">
        <f>-E19</f>
        <v/>
      </c>
      <c r="F50" s="39">
        <f>-F19</f>
        <v/>
      </c>
      <c r="G50" s="39">
        <f>-G19</f>
        <v/>
      </c>
      <c r="H50" s="39">
        <f>-H19</f>
        <v/>
      </c>
      <c r="I50" s="39">
        <f>-I19</f>
        <v/>
      </c>
      <c r="J50" s="39">
        <f>-J19</f>
        <v/>
      </c>
      <c r="K50" s="39">
        <f>-K19</f>
        <v/>
      </c>
      <c r="L50" s="39">
        <f>-L19</f>
        <v/>
      </c>
      <c r="M50" s="39">
        <f>-M19</f>
        <v/>
      </c>
      <c r="N50" s="39">
        <f>-N19</f>
        <v/>
      </c>
      <c r="O50" s="39">
        <f>-O19</f>
        <v/>
      </c>
      <c r="P50" s="39">
        <f>-P19</f>
        <v/>
      </c>
      <c r="Q50" s="39">
        <f>-Q19</f>
        <v/>
      </c>
      <c r="R50" s="39">
        <f>-R19</f>
        <v/>
      </c>
      <c r="S50" s="39">
        <f>-S19</f>
        <v/>
      </c>
      <c r="T50" s="39">
        <f>-T19</f>
        <v/>
      </c>
      <c r="U50" s="39">
        <f>-U19</f>
        <v/>
      </c>
      <c r="V50" s="39">
        <f>-V19</f>
        <v/>
      </c>
      <c r="W50" s="39">
        <f>-W19</f>
        <v/>
      </c>
      <c r="X50" s="39">
        <f>-X19</f>
        <v/>
      </c>
      <c r="Y50" s="39">
        <f>-Y19</f>
        <v/>
      </c>
      <c r="Z50" s="39">
        <f>-Z19</f>
        <v/>
      </c>
      <c r="AA50" s="39">
        <f>-AA19</f>
        <v/>
      </c>
      <c r="AB50" s="39">
        <f>-AB19</f>
        <v/>
      </c>
      <c r="AC50" s="39">
        <f>-AC19</f>
        <v/>
      </c>
      <c r="AD50" s="39">
        <f>-AD19</f>
        <v/>
      </c>
      <c r="AE50" s="39">
        <f>-AE19</f>
        <v/>
      </c>
      <c r="AF50" s="39">
        <f>-AF19</f>
        <v/>
      </c>
      <c r="AG50" s="39">
        <f>-AG19</f>
        <v/>
      </c>
      <c r="AH50" s="39">
        <f>-AH19</f>
        <v/>
      </c>
      <c r="AI50" s="39">
        <f>-AI19</f>
        <v/>
      </c>
      <c r="AJ50" s="39">
        <f>-AJ19</f>
        <v/>
      </c>
      <c r="AK50" s="39">
        <f>-AK19</f>
        <v/>
      </c>
      <c r="AL50" s="39">
        <f>-AL19</f>
        <v/>
      </c>
      <c r="AM50" s="39">
        <f>-AM19</f>
        <v/>
      </c>
      <c r="AN50" s="39">
        <f>-AN19</f>
        <v/>
      </c>
      <c r="AO50" s="39">
        <f>-AO19</f>
        <v/>
      </c>
      <c r="AP50" s="39">
        <f>-AP19</f>
        <v/>
      </c>
      <c r="AQ50" s="39">
        <f>-AQ19</f>
        <v/>
      </c>
      <c r="AR50" s="39">
        <f>-AR19</f>
        <v/>
      </c>
      <c r="AS50" s="39">
        <f>-AS19</f>
        <v/>
      </c>
      <c r="AT50" s="39">
        <f>-AT19</f>
        <v/>
      </c>
      <c r="AU50" s="39">
        <f>-AU19</f>
        <v/>
      </c>
      <c r="AV50" s="39">
        <f>-AV19</f>
        <v/>
      </c>
      <c r="AW50" s="39">
        <f>-AW19</f>
        <v/>
      </c>
      <c r="AX50" s="39">
        <f>-AX19</f>
        <v/>
      </c>
      <c r="AY50" s="39">
        <f>-AY19</f>
        <v/>
      </c>
      <c r="AZ50" s="39">
        <f>-AZ19</f>
        <v/>
      </c>
      <c r="BA50" s="39">
        <f>-BA19</f>
        <v/>
      </c>
      <c r="BB50" s="39">
        <f>-BB19</f>
        <v/>
      </c>
      <c r="BC50" s="39">
        <f>-BC19</f>
        <v/>
      </c>
      <c r="BD50" s="39">
        <f>-BD19</f>
        <v/>
      </c>
      <c r="BE50" s="39">
        <f>-BE19</f>
        <v/>
      </c>
      <c r="BF50" s="39">
        <f>-BF19</f>
        <v/>
      </c>
      <c r="BG50" s="39">
        <f>-BG19</f>
        <v/>
      </c>
      <c r="BH50" s="39">
        <f>-BH19</f>
        <v/>
      </c>
      <c r="BI50" s="39">
        <f>-BI19</f>
        <v/>
      </c>
      <c r="BJ50" s="39">
        <f>-BJ19</f>
        <v/>
      </c>
      <c r="BK50" s="39">
        <f>-BK19</f>
        <v/>
      </c>
      <c r="BL50" s="39">
        <f>-BL19</f>
        <v/>
      </c>
    </row>
    <row r="51">
      <c r="A51" s="55" t="inlineStr">
        <is>
          <t>Add back: unrealised FX loss</t>
        </is>
      </c>
      <c r="B51" s="26" t="inlineStr">
        <is>
          <t>LCY</t>
        </is>
      </c>
      <c r="C51" s="58">
        <f>SUM(E51:BL51)</f>
        <v/>
      </c>
      <c r="E51" s="39">
        <f>-E23</f>
        <v/>
      </c>
      <c r="F51" s="39">
        <f>-F23</f>
        <v/>
      </c>
      <c r="G51" s="39">
        <f>-G23</f>
        <v/>
      </c>
      <c r="H51" s="39">
        <f>-H23</f>
        <v/>
      </c>
      <c r="I51" s="39">
        <f>-I23</f>
        <v/>
      </c>
      <c r="J51" s="39">
        <f>-J23</f>
        <v/>
      </c>
      <c r="K51" s="39">
        <f>-K23</f>
        <v/>
      </c>
      <c r="L51" s="39">
        <f>-L23</f>
        <v/>
      </c>
      <c r="M51" s="39">
        <f>-M23</f>
        <v/>
      </c>
      <c r="N51" s="39">
        <f>-N23</f>
        <v/>
      </c>
      <c r="O51" s="39">
        <f>-O23</f>
        <v/>
      </c>
      <c r="P51" s="39">
        <f>-P23</f>
        <v/>
      </c>
      <c r="Q51" s="39">
        <f>-Q23</f>
        <v/>
      </c>
      <c r="R51" s="39">
        <f>-R23</f>
        <v/>
      </c>
      <c r="S51" s="39">
        <f>-S23</f>
        <v/>
      </c>
      <c r="T51" s="39">
        <f>-T23</f>
        <v/>
      </c>
      <c r="U51" s="39">
        <f>-U23</f>
        <v/>
      </c>
      <c r="V51" s="39">
        <f>-V23</f>
        <v/>
      </c>
      <c r="W51" s="39">
        <f>-W23</f>
        <v/>
      </c>
      <c r="X51" s="39">
        <f>-X23</f>
        <v/>
      </c>
      <c r="Y51" s="39">
        <f>-Y23</f>
        <v/>
      </c>
      <c r="Z51" s="39">
        <f>-Z23</f>
        <v/>
      </c>
      <c r="AA51" s="39">
        <f>-AA23</f>
        <v/>
      </c>
      <c r="AB51" s="39">
        <f>-AB23</f>
        <v/>
      </c>
      <c r="AC51" s="39">
        <f>-AC23</f>
        <v/>
      </c>
      <c r="AD51" s="39">
        <f>-AD23</f>
        <v/>
      </c>
      <c r="AE51" s="39">
        <f>-AE23</f>
        <v/>
      </c>
      <c r="AF51" s="39">
        <f>-AF23</f>
        <v/>
      </c>
      <c r="AG51" s="39">
        <f>-AG23</f>
        <v/>
      </c>
      <c r="AH51" s="39">
        <f>-AH23</f>
        <v/>
      </c>
      <c r="AI51" s="39">
        <f>-AI23</f>
        <v/>
      </c>
      <c r="AJ51" s="39">
        <f>-AJ23</f>
        <v/>
      </c>
      <c r="AK51" s="39">
        <f>-AK23</f>
        <v/>
      </c>
      <c r="AL51" s="39">
        <f>-AL23</f>
        <v/>
      </c>
      <c r="AM51" s="39">
        <f>-AM23</f>
        <v/>
      </c>
      <c r="AN51" s="39">
        <f>-AN23</f>
        <v/>
      </c>
      <c r="AO51" s="39">
        <f>-AO23</f>
        <v/>
      </c>
      <c r="AP51" s="39">
        <f>-AP23</f>
        <v/>
      </c>
      <c r="AQ51" s="39">
        <f>-AQ23</f>
        <v/>
      </c>
      <c r="AR51" s="39">
        <f>-AR23</f>
        <v/>
      </c>
      <c r="AS51" s="39">
        <f>-AS23</f>
        <v/>
      </c>
      <c r="AT51" s="39">
        <f>-AT23</f>
        <v/>
      </c>
      <c r="AU51" s="39">
        <f>-AU23</f>
        <v/>
      </c>
      <c r="AV51" s="39">
        <f>-AV23</f>
        <v/>
      </c>
      <c r="AW51" s="39">
        <f>-AW23</f>
        <v/>
      </c>
      <c r="AX51" s="39">
        <f>-AX23</f>
        <v/>
      </c>
      <c r="AY51" s="39">
        <f>-AY23</f>
        <v/>
      </c>
      <c r="AZ51" s="39">
        <f>-AZ23</f>
        <v/>
      </c>
      <c r="BA51" s="39">
        <f>-BA23</f>
        <v/>
      </c>
      <c r="BB51" s="39">
        <f>-BB23</f>
        <v/>
      </c>
      <c r="BC51" s="39">
        <f>-BC23</f>
        <v/>
      </c>
      <c r="BD51" s="39">
        <f>-BD23</f>
        <v/>
      </c>
      <c r="BE51" s="39">
        <f>-BE23</f>
        <v/>
      </c>
      <c r="BF51" s="39">
        <f>-BF23</f>
        <v/>
      </c>
      <c r="BG51" s="39">
        <f>-BG23</f>
        <v/>
      </c>
      <c r="BH51" s="39">
        <f>-BH23</f>
        <v/>
      </c>
      <c r="BI51" s="39">
        <f>-BI23</f>
        <v/>
      </c>
      <c r="BJ51" s="39">
        <f>-BJ23</f>
        <v/>
      </c>
      <c r="BK51" s="39">
        <f>-BK23</f>
        <v/>
      </c>
      <c r="BL51" s="39">
        <f>-BL23</f>
        <v/>
      </c>
    </row>
    <row r="52">
      <c r="A52" s="55" t="inlineStr">
        <is>
          <t>(Increase) / decrease in net receivables</t>
        </is>
      </c>
      <c r="B52" s="26" t="inlineStr">
        <is>
          <t>LCY</t>
        </is>
      </c>
      <c r="C52" s="58">
        <f>SUM(E52:BL52)</f>
        <v/>
      </c>
      <c r="E52" s="39">
        <f>-(E34-D34)</f>
        <v/>
      </c>
      <c r="F52" s="39">
        <f>-(F34-E34)</f>
        <v/>
      </c>
      <c r="G52" s="39">
        <f>-(G34-F34)</f>
        <v/>
      </c>
      <c r="H52" s="39">
        <f>-(H34-G34)</f>
        <v/>
      </c>
      <c r="I52" s="39">
        <f>-(I34-H34)</f>
        <v/>
      </c>
      <c r="J52" s="39">
        <f>-(J34-I34)</f>
        <v/>
      </c>
      <c r="K52" s="39">
        <f>-(K34-J34)</f>
        <v/>
      </c>
      <c r="L52" s="39">
        <f>-(L34-K34)</f>
        <v/>
      </c>
      <c r="M52" s="39">
        <f>-(M34-L34)</f>
        <v/>
      </c>
      <c r="N52" s="39">
        <f>-(N34-M34)</f>
        <v/>
      </c>
      <c r="O52" s="39">
        <f>-(O34-N34)</f>
        <v/>
      </c>
      <c r="P52" s="39">
        <f>-(P34-O34)</f>
        <v/>
      </c>
      <c r="Q52" s="39">
        <f>-(Q34-P34)</f>
        <v/>
      </c>
      <c r="R52" s="39">
        <f>-(R34-Q34)</f>
        <v/>
      </c>
      <c r="S52" s="39">
        <f>-(S34-R34)</f>
        <v/>
      </c>
      <c r="T52" s="39">
        <f>-(T34-S34)</f>
        <v/>
      </c>
      <c r="U52" s="39">
        <f>-(U34-T34)</f>
        <v/>
      </c>
      <c r="V52" s="39">
        <f>-(V34-U34)</f>
        <v/>
      </c>
      <c r="W52" s="39">
        <f>-(W34-V34)</f>
        <v/>
      </c>
      <c r="X52" s="39">
        <f>-(X34-W34)</f>
        <v/>
      </c>
      <c r="Y52" s="39">
        <f>-(Y34-X34)</f>
        <v/>
      </c>
      <c r="Z52" s="39">
        <f>-(Z34-Y34)</f>
        <v/>
      </c>
      <c r="AA52" s="39">
        <f>-(AA34-Z34)</f>
        <v/>
      </c>
      <c r="AB52" s="39">
        <f>-(AB34-AA34)</f>
        <v/>
      </c>
      <c r="AC52" s="39">
        <f>-(AC34-AB34)</f>
        <v/>
      </c>
      <c r="AD52" s="39">
        <f>-(AD34-AC34)</f>
        <v/>
      </c>
      <c r="AE52" s="39">
        <f>-(AE34-AD34)</f>
        <v/>
      </c>
      <c r="AF52" s="39">
        <f>-(AF34-AE34)</f>
        <v/>
      </c>
      <c r="AG52" s="39">
        <f>-(AG34-AF34)</f>
        <v/>
      </c>
      <c r="AH52" s="39">
        <f>-(AH34-AG34)</f>
        <v/>
      </c>
      <c r="AI52" s="39">
        <f>-(AI34-AH34)</f>
        <v/>
      </c>
      <c r="AJ52" s="39">
        <f>-(AJ34-AI34)</f>
        <v/>
      </c>
      <c r="AK52" s="39">
        <f>-(AK34-AJ34)</f>
        <v/>
      </c>
      <c r="AL52" s="39">
        <f>-(AL34-AK34)</f>
        <v/>
      </c>
      <c r="AM52" s="39">
        <f>-(AM34-AL34)</f>
        <v/>
      </c>
      <c r="AN52" s="39">
        <f>-(AN34-AM34)</f>
        <v/>
      </c>
      <c r="AO52" s="39">
        <f>-(AO34-AN34)</f>
        <v/>
      </c>
      <c r="AP52" s="39">
        <f>-(AP34-AO34)</f>
        <v/>
      </c>
      <c r="AQ52" s="39">
        <f>-(AQ34-AP34)</f>
        <v/>
      </c>
      <c r="AR52" s="39">
        <f>-(AR34-AQ34)</f>
        <v/>
      </c>
      <c r="AS52" s="39">
        <f>-(AS34-AR34)</f>
        <v/>
      </c>
      <c r="AT52" s="39">
        <f>-(AT34-AS34)</f>
        <v/>
      </c>
      <c r="AU52" s="39">
        <f>-(AU34-AT34)</f>
        <v/>
      </c>
      <c r="AV52" s="39">
        <f>-(AV34-AU34)</f>
        <v/>
      </c>
      <c r="AW52" s="39">
        <f>-(AW34-AV34)</f>
        <v/>
      </c>
      <c r="AX52" s="39">
        <f>-(AX34-AW34)</f>
        <v/>
      </c>
      <c r="AY52" s="39">
        <f>-(AY34-AX34)</f>
        <v/>
      </c>
      <c r="AZ52" s="39">
        <f>-(AZ34-AY34)</f>
        <v/>
      </c>
      <c r="BA52" s="39">
        <f>-(BA34-AZ34)</f>
        <v/>
      </c>
      <c r="BB52" s="39">
        <f>-(BB34-BA34)</f>
        <v/>
      </c>
      <c r="BC52" s="39">
        <f>-(BC34-BB34)</f>
        <v/>
      </c>
      <c r="BD52" s="39">
        <f>-(BD34-BC34)</f>
        <v/>
      </c>
      <c r="BE52" s="39">
        <f>-(BE34-BD34)</f>
        <v/>
      </c>
      <c r="BF52" s="39">
        <f>-(BF34-BE34)</f>
        <v/>
      </c>
      <c r="BG52" s="39">
        <f>-(BG34-BF34)</f>
        <v/>
      </c>
      <c r="BH52" s="39">
        <f>-(BH34-BG34)</f>
        <v/>
      </c>
      <c r="BI52" s="39">
        <f>-(BI34-BH34)</f>
        <v/>
      </c>
      <c r="BJ52" s="39">
        <f>-(BJ34-BI34)</f>
        <v/>
      </c>
      <c r="BK52" s="39">
        <f>-(BK34-BJ34)</f>
        <v/>
      </c>
      <c r="BL52" s="39">
        <f>-(BL34-BK34)</f>
        <v/>
      </c>
    </row>
    <row r="53">
      <c r="A53" s="55" t="inlineStr">
        <is>
          <t>(Increase) / decrease in inventory</t>
        </is>
      </c>
      <c r="B53" s="26" t="inlineStr">
        <is>
          <t>LCY</t>
        </is>
      </c>
      <c r="C53" s="58">
        <f>SUM(E53:BL53)</f>
        <v/>
      </c>
      <c r="E53" s="39">
        <f>-(E35-D35)</f>
        <v/>
      </c>
      <c r="F53" s="39">
        <f>-(F35-E35)</f>
        <v/>
      </c>
      <c r="G53" s="39">
        <f>-(G35-F35)</f>
        <v/>
      </c>
      <c r="H53" s="39">
        <f>-(H35-G35)</f>
        <v/>
      </c>
      <c r="I53" s="39">
        <f>-(I35-H35)</f>
        <v/>
      </c>
      <c r="J53" s="39">
        <f>-(J35-I35)</f>
        <v/>
      </c>
      <c r="K53" s="39">
        <f>-(K35-J35)</f>
        <v/>
      </c>
      <c r="L53" s="39">
        <f>-(L35-K35)</f>
        <v/>
      </c>
      <c r="M53" s="39">
        <f>-(M35-L35)</f>
        <v/>
      </c>
      <c r="N53" s="39">
        <f>-(N35-M35)</f>
        <v/>
      </c>
      <c r="O53" s="39">
        <f>-(O35-N35)</f>
        <v/>
      </c>
      <c r="P53" s="39">
        <f>-(P35-O35)</f>
        <v/>
      </c>
      <c r="Q53" s="39">
        <f>-(Q35-P35)</f>
        <v/>
      </c>
      <c r="R53" s="39">
        <f>-(R35-Q35)</f>
        <v/>
      </c>
      <c r="S53" s="39">
        <f>-(S35-R35)</f>
        <v/>
      </c>
      <c r="T53" s="39">
        <f>-(T35-S35)</f>
        <v/>
      </c>
      <c r="U53" s="39">
        <f>-(U35-T35)</f>
        <v/>
      </c>
      <c r="V53" s="39">
        <f>-(V35-U35)</f>
        <v/>
      </c>
      <c r="W53" s="39">
        <f>-(W35-V35)</f>
        <v/>
      </c>
      <c r="X53" s="39">
        <f>-(X35-W35)</f>
        <v/>
      </c>
      <c r="Y53" s="39">
        <f>-(Y35-X35)</f>
        <v/>
      </c>
      <c r="Z53" s="39">
        <f>-(Z35-Y35)</f>
        <v/>
      </c>
      <c r="AA53" s="39">
        <f>-(AA35-Z35)</f>
        <v/>
      </c>
      <c r="AB53" s="39">
        <f>-(AB35-AA35)</f>
        <v/>
      </c>
      <c r="AC53" s="39">
        <f>-(AC35-AB35)</f>
        <v/>
      </c>
      <c r="AD53" s="39">
        <f>-(AD35-AC35)</f>
        <v/>
      </c>
      <c r="AE53" s="39">
        <f>-(AE35-AD35)</f>
        <v/>
      </c>
      <c r="AF53" s="39">
        <f>-(AF35-AE35)</f>
        <v/>
      </c>
      <c r="AG53" s="39">
        <f>-(AG35-AF35)</f>
        <v/>
      </c>
      <c r="AH53" s="39">
        <f>-(AH35-AG35)</f>
        <v/>
      </c>
      <c r="AI53" s="39">
        <f>-(AI35-AH35)</f>
        <v/>
      </c>
      <c r="AJ53" s="39">
        <f>-(AJ35-AI35)</f>
        <v/>
      </c>
      <c r="AK53" s="39">
        <f>-(AK35-AJ35)</f>
        <v/>
      </c>
      <c r="AL53" s="39">
        <f>-(AL35-AK35)</f>
        <v/>
      </c>
      <c r="AM53" s="39">
        <f>-(AM35-AL35)</f>
        <v/>
      </c>
      <c r="AN53" s="39">
        <f>-(AN35-AM35)</f>
        <v/>
      </c>
      <c r="AO53" s="39">
        <f>-(AO35-AN35)</f>
        <v/>
      </c>
      <c r="AP53" s="39">
        <f>-(AP35-AO35)</f>
        <v/>
      </c>
      <c r="AQ53" s="39">
        <f>-(AQ35-AP35)</f>
        <v/>
      </c>
      <c r="AR53" s="39">
        <f>-(AR35-AQ35)</f>
        <v/>
      </c>
      <c r="AS53" s="39">
        <f>-(AS35-AR35)</f>
        <v/>
      </c>
      <c r="AT53" s="39">
        <f>-(AT35-AS35)</f>
        <v/>
      </c>
      <c r="AU53" s="39">
        <f>-(AU35-AT35)</f>
        <v/>
      </c>
      <c r="AV53" s="39">
        <f>-(AV35-AU35)</f>
        <v/>
      </c>
      <c r="AW53" s="39">
        <f>-(AW35-AV35)</f>
        <v/>
      </c>
      <c r="AX53" s="39">
        <f>-(AX35-AW35)</f>
        <v/>
      </c>
      <c r="AY53" s="39">
        <f>-(AY35-AX35)</f>
        <v/>
      </c>
      <c r="AZ53" s="39">
        <f>-(AZ35-AY35)</f>
        <v/>
      </c>
      <c r="BA53" s="39">
        <f>-(BA35-AZ35)</f>
        <v/>
      </c>
      <c r="BB53" s="39">
        <f>-(BB35-BA35)</f>
        <v/>
      </c>
      <c r="BC53" s="39">
        <f>-(BC35-BB35)</f>
        <v/>
      </c>
      <c r="BD53" s="39">
        <f>-(BD35-BC35)</f>
        <v/>
      </c>
      <c r="BE53" s="39">
        <f>-(BE35-BD35)</f>
        <v/>
      </c>
      <c r="BF53" s="39">
        <f>-(BF35-BE35)</f>
        <v/>
      </c>
      <c r="BG53" s="39">
        <f>-(BG35-BF35)</f>
        <v/>
      </c>
      <c r="BH53" s="39">
        <f>-(BH35-BG35)</f>
        <v/>
      </c>
      <c r="BI53" s="39">
        <f>-(BI35-BH35)</f>
        <v/>
      </c>
      <c r="BJ53" s="39">
        <f>-(BJ35-BI35)</f>
        <v/>
      </c>
      <c r="BK53" s="39">
        <f>-(BK35-BJ35)</f>
        <v/>
      </c>
      <c r="BL53" s="39">
        <f>-(BL35-BK35)</f>
        <v/>
      </c>
    </row>
    <row r="54">
      <c r="A54" s="55" t="inlineStr">
        <is>
          <t>Increase / (decrease) in payables</t>
        </is>
      </c>
      <c r="B54" s="26" t="inlineStr">
        <is>
          <t>LCY</t>
        </is>
      </c>
      <c r="C54" s="58">
        <f>SUM(E54:BL54)</f>
        <v/>
      </c>
      <c r="E54" s="39">
        <f>E38-D38</f>
        <v/>
      </c>
      <c r="F54" s="39">
        <f>F38-E38</f>
        <v/>
      </c>
      <c r="G54" s="39">
        <f>G38-F38</f>
        <v/>
      </c>
      <c r="H54" s="39">
        <f>H38-G38</f>
        <v/>
      </c>
      <c r="I54" s="39">
        <f>I38-H38</f>
        <v/>
      </c>
      <c r="J54" s="39">
        <f>J38-I38</f>
        <v/>
      </c>
      <c r="K54" s="39">
        <f>K38-J38</f>
        <v/>
      </c>
      <c r="L54" s="39">
        <f>L38-K38</f>
        <v/>
      </c>
      <c r="M54" s="39">
        <f>M38-L38</f>
        <v/>
      </c>
      <c r="N54" s="39">
        <f>N38-M38</f>
        <v/>
      </c>
      <c r="O54" s="39">
        <f>O38-N38</f>
        <v/>
      </c>
      <c r="P54" s="39">
        <f>P38-O38</f>
        <v/>
      </c>
      <c r="Q54" s="39">
        <f>Q38-P38</f>
        <v/>
      </c>
      <c r="R54" s="39">
        <f>R38-Q38</f>
        <v/>
      </c>
      <c r="S54" s="39">
        <f>S38-R38</f>
        <v/>
      </c>
      <c r="T54" s="39">
        <f>T38-S38</f>
        <v/>
      </c>
      <c r="U54" s="39">
        <f>U38-T38</f>
        <v/>
      </c>
      <c r="V54" s="39">
        <f>V38-U38</f>
        <v/>
      </c>
      <c r="W54" s="39">
        <f>W38-V38</f>
        <v/>
      </c>
      <c r="X54" s="39">
        <f>X38-W38</f>
        <v/>
      </c>
      <c r="Y54" s="39">
        <f>Y38-X38</f>
        <v/>
      </c>
      <c r="Z54" s="39">
        <f>Z38-Y38</f>
        <v/>
      </c>
      <c r="AA54" s="39">
        <f>AA38-Z38</f>
        <v/>
      </c>
      <c r="AB54" s="39">
        <f>AB38-AA38</f>
        <v/>
      </c>
      <c r="AC54" s="39">
        <f>AC38-AB38</f>
        <v/>
      </c>
      <c r="AD54" s="39">
        <f>AD38-AC38</f>
        <v/>
      </c>
      <c r="AE54" s="39">
        <f>AE38-AD38</f>
        <v/>
      </c>
      <c r="AF54" s="39">
        <f>AF38-AE38</f>
        <v/>
      </c>
      <c r="AG54" s="39">
        <f>AG38-AF38</f>
        <v/>
      </c>
      <c r="AH54" s="39">
        <f>AH38-AG38</f>
        <v/>
      </c>
      <c r="AI54" s="39">
        <f>AI38-AH38</f>
        <v/>
      </c>
      <c r="AJ54" s="39">
        <f>AJ38-AI38</f>
        <v/>
      </c>
      <c r="AK54" s="39">
        <f>AK38-AJ38</f>
        <v/>
      </c>
      <c r="AL54" s="39">
        <f>AL38-AK38</f>
        <v/>
      </c>
      <c r="AM54" s="39">
        <f>AM38-AL38</f>
        <v/>
      </c>
      <c r="AN54" s="39">
        <f>AN38-AM38</f>
        <v/>
      </c>
      <c r="AO54" s="39">
        <f>AO38-AN38</f>
        <v/>
      </c>
      <c r="AP54" s="39">
        <f>AP38-AO38</f>
        <v/>
      </c>
      <c r="AQ54" s="39">
        <f>AQ38-AP38</f>
        <v/>
      </c>
      <c r="AR54" s="39">
        <f>AR38-AQ38</f>
        <v/>
      </c>
      <c r="AS54" s="39">
        <f>AS38-AR38</f>
        <v/>
      </c>
      <c r="AT54" s="39">
        <f>AT38-AS38</f>
        <v/>
      </c>
      <c r="AU54" s="39">
        <f>AU38-AT38</f>
        <v/>
      </c>
      <c r="AV54" s="39">
        <f>AV38-AU38</f>
        <v/>
      </c>
      <c r="AW54" s="39">
        <f>AW38-AV38</f>
        <v/>
      </c>
      <c r="AX54" s="39">
        <f>AX38-AW38</f>
        <v/>
      </c>
      <c r="AY54" s="39">
        <f>AY38-AX38</f>
        <v/>
      </c>
      <c r="AZ54" s="39">
        <f>AZ38-AY38</f>
        <v/>
      </c>
      <c r="BA54" s="39">
        <f>BA38-AZ38</f>
        <v/>
      </c>
      <c r="BB54" s="39">
        <f>BB38-BA38</f>
        <v/>
      </c>
      <c r="BC54" s="39">
        <f>BC38-BB38</f>
        <v/>
      </c>
      <c r="BD54" s="39">
        <f>BD38-BC38</f>
        <v/>
      </c>
      <c r="BE54" s="39">
        <f>BE38-BD38</f>
        <v/>
      </c>
      <c r="BF54" s="39">
        <f>BF38-BE38</f>
        <v/>
      </c>
      <c r="BG54" s="39">
        <f>BG38-BF38</f>
        <v/>
      </c>
      <c r="BH54" s="39">
        <f>BH38-BG38</f>
        <v/>
      </c>
      <c r="BI54" s="39">
        <f>BI38-BH38</f>
        <v/>
      </c>
      <c r="BJ54" s="39">
        <f>BJ38-BI38</f>
        <v/>
      </c>
      <c r="BK54" s="39">
        <f>BK38-BJ38</f>
        <v/>
      </c>
      <c r="BL54" s="39">
        <f>BL38-BK38</f>
        <v/>
      </c>
    </row>
    <row r="55">
      <c r="A55" s="60" t="inlineStr">
        <is>
          <t>Cash flow from operations</t>
        </is>
      </c>
      <c r="B55" s="61" t="inlineStr">
        <is>
          <t>LCY</t>
        </is>
      </c>
      <c r="C55" s="70">
        <f>SUM(E55:BL55)</f>
        <v/>
      </c>
      <c r="D55" s="63" t="n"/>
      <c r="E55" s="71">
        <f>SUM(E49:E54)</f>
        <v/>
      </c>
      <c r="F55" s="71">
        <f>SUM(F49:F54)</f>
        <v/>
      </c>
      <c r="G55" s="71">
        <f>SUM(G49:G54)</f>
        <v/>
      </c>
      <c r="H55" s="71">
        <f>SUM(H49:H54)</f>
        <v/>
      </c>
      <c r="I55" s="71">
        <f>SUM(I49:I54)</f>
        <v/>
      </c>
      <c r="J55" s="71">
        <f>SUM(J49:J54)</f>
        <v/>
      </c>
      <c r="K55" s="71">
        <f>SUM(K49:K54)</f>
        <v/>
      </c>
      <c r="L55" s="71">
        <f>SUM(L49:L54)</f>
        <v/>
      </c>
      <c r="M55" s="71">
        <f>SUM(M49:M54)</f>
        <v/>
      </c>
      <c r="N55" s="71">
        <f>SUM(N49:N54)</f>
        <v/>
      </c>
      <c r="O55" s="71">
        <f>SUM(O49:O54)</f>
        <v/>
      </c>
      <c r="P55" s="71">
        <f>SUM(P49:P54)</f>
        <v/>
      </c>
      <c r="Q55" s="71">
        <f>SUM(Q49:Q54)</f>
        <v/>
      </c>
      <c r="R55" s="71">
        <f>SUM(R49:R54)</f>
        <v/>
      </c>
      <c r="S55" s="71">
        <f>SUM(S49:S54)</f>
        <v/>
      </c>
      <c r="T55" s="71">
        <f>SUM(T49:T54)</f>
        <v/>
      </c>
      <c r="U55" s="71">
        <f>SUM(U49:U54)</f>
        <v/>
      </c>
      <c r="V55" s="71">
        <f>SUM(V49:V54)</f>
        <v/>
      </c>
      <c r="W55" s="71">
        <f>SUM(W49:W54)</f>
        <v/>
      </c>
      <c r="X55" s="71">
        <f>SUM(X49:X54)</f>
        <v/>
      </c>
      <c r="Y55" s="71">
        <f>SUM(Y49:Y54)</f>
        <v/>
      </c>
      <c r="Z55" s="71">
        <f>SUM(Z49:Z54)</f>
        <v/>
      </c>
      <c r="AA55" s="71">
        <f>SUM(AA49:AA54)</f>
        <v/>
      </c>
      <c r="AB55" s="71">
        <f>SUM(AB49:AB54)</f>
        <v/>
      </c>
      <c r="AC55" s="71">
        <f>SUM(AC49:AC54)</f>
        <v/>
      </c>
      <c r="AD55" s="71">
        <f>SUM(AD49:AD54)</f>
        <v/>
      </c>
      <c r="AE55" s="71">
        <f>SUM(AE49:AE54)</f>
        <v/>
      </c>
      <c r="AF55" s="71">
        <f>SUM(AF49:AF54)</f>
        <v/>
      </c>
      <c r="AG55" s="71">
        <f>SUM(AG49:AG54)</f>
        <v/>
      </c>
      <c r="AH55" s="71">
        <f>SUM(AH49:AH54)</f>
        <v/>
      </c>
      <c r="AI55" s="71">
        <f>SUM(AI49:AI54)</f>
        <v/>
      </c>
      <c r="AJ55" s="71">
        <f>SUM(AJ49:AJ54)</f>
        <v/>
      </c>
      <c r="AK55" s="71">
        <f>SUM(AK49:AK54)</f>
        <v/>
      </c>
      <c r="AL55" s="71">
        <f>SUM(AL49:AL54)</f>
        <v/>
      </c>
      <c r="AM55" s="71">
        <f>SUM(AM49:AM54)</f>
        <v/>
      </c>
      <c r="AN55" s="71">
        <f>SUM(AN49:AN54)</f>
        <v/>
      </c>
      <c r="AO55" s="71">
        <f>SUM(AO49:AO54)</f>
        <v/>
      </c>
      <c r="AP55" s="71">
        <f>SUM(AP49:AP54)</f>
        <v/>
      </c>
      <c r="AQ55" s="71">
        <f>SUM(AQ49:AQ54)</f>
        <v/>
      </c>
      <c r="AR55" s="71">
        <f>SUM(AR49:AR54)</f>
        <v/>
      </c>
      <c r="AS55" s="71">
        <f>SUM(AS49:AS54)</f>
        <v/>
      </c>
      <c r="AT55" s="71">
        <f>SUM(AT49:AT54)</f>
        <v/>
      </c>
      <c r="AU55" s="71">
        <f>SUM(AU49:AU54)</f>
        <v/>
      </c>
      <c r="AV55" s="71">
        <f>SUM(AV49:AV54)</f>
        <v/>
      </c>
      <c r="AW55" s="71">
        <f>SUM(AW49:AW54)</f>
        <v/>
      </c>
      <c r="AX55" s="71">
        <f>SUM(AX49:AX54)</f>
        <v/>
      </c>
      <c r="AY55" s="71">
        <f>SUM(AY49:AY54)</f>
        <v/>
      </c>
      <c r="AZ55" s="71">
        <f>SUM(AZ49:AZ54)</f>
        <v/>
      </c>
      <c r="BA55" s="71">
        <f>SUM(BA49:BA54)</f>
        <v/>
      </c>
      <c r="BB55" s="71">
        <f>SUM(BB49:BB54)</f>
        <v/>
      </c>
      <c r="BC55" s="71">
        <f>SUM(BC49:BC54)</f>
        <v/>
      </c>
      <c r="BD55" s="71">
        <f>SUM(BD49:BD54)</f>
        <v/>
      </c>
      <c r="BE55" s="71">
        <f>SUM(BE49:BE54)</f>
        <v/>
      </c>
      <c r="BF55" s="71">
        <f>SUM(BF49:BF54)</f>
        <v/>
      </c>
      <c r="BG55" s="71">
        <f>SUM(BG49:BG54)</f>
        <v/>
      </c>
      <c r="BH55" s="71">
        <f>SUM(BH49:BH54)</f>
        <v/>
      </c>
      <c r="BI55" s="71">
        <f>SUM(BI49:BI54)</f>
        <v/>
      </c>
      <c r="BJ55" s="71">
        <f>SUM(BJ49:BJ54)</f>
        <v/>
      </c>
      <c r="BK55" s="71">
        <f>SUM(BK49:BK54)</f>
        <v/>
      </c>
      <c r="BL55" s="71">
        <f>SUM(BL49:BL54)</f>
        <v/>
      </c>
    </row>
    <row r="56">
      <c r="A56" s="55" t="inlineStr">
        <is>
          <t>Cash flow from investing (capex)</t>
        </is>
      </c>
      <c r="B56" s="26" t="inlineStr">
        <is>
          <t>LCY</t>
        </is>
      </c>
      <c r="C56" s="58">
        <f>SUM(E56:BL56)</f>
        <v/>
      </c>
      <c r="E56" s="39">
        <f>-Costs!E$25</f>
        <v/>
      </c>
      <c r="F56" s="39">
        <f>-Costs!F$25</f>
        <v/>
      </c>
      <c r="G56" s="39">
        <f>-Costs!G$25</f>
        <v/>
      </c>
      <c r="H56" s="39">
        <f>-Costs!H$25</f>
        <v/>
      </c>
      <c r="I56" s="39">
        <f>-Costs!I$25</f>
        <v/>
      </c>
      <c r="J56" s="39">
        <f>-Costs!J$25</f>
        <v/>
      </c>
      <c r="K56" s="39">
        <f>-Costs!K$25</f>
        <v/>
      </c>
      <c r="L56" s="39">
        <f>-Costs!L$25</f>
        <v/>
      </c>
      <c r="M56" s="39">
        <f>-Costs!M$25</f>
        <v/>
      </c>
      <c r="N56" s="39">
        <f>-Costs!N$25</f>
        <v/>
      </c>
      <c r="O56" s="39">
        <f>-Costs!O$25</f>
        <v/>
      </c>
      <c r="P56" s="39">
        <f>-Costs!P$25</f>
        <v/>
      </c>
      <c r="Q56" s="39">
        <f>-Costs!Q$25</f>
        <v/>
      </c>
      <c r="R56" s="39">
        <f>-Costs!R$25</f>
        <v/>
      </c>
      <c r="S56" s="39">
        <f>-Costs!S$25</f>
        <v/>
      </c>
      <c r="T56" s="39">
        <f>-Costs!T$25</f>
        <v/>
      </c>
      <c r="U56" s="39">
        <f>-Costs!U$25</f>
        <v/>
      </c>
      <c r="V56" s="39">
        <f>-Costs!V$25</f>
        <v/>
      </c>
      <c r="W56" s="39">
        <f>-Costs!W$25</f>
        <v/>
      </c>
      <c r="X56" s="39">
        <f>-Costs!X$25</f>
        <v/>
      </c>
      <c r="Y56" s="39">
        <f>-Costs!Y$25</f>
        <v/>
      </c>
      <c r="Z56" s="39">
        <f>-Costs!Z$25</f>
        <v/>
      </c>
      <c r="AA56" s="39">
        <f>-Costs!AA$25</f>
        <v/>
      </c>
      <c r="AB56" s="39">
        <f>-Costs!AB$25</f>
        <v/>
      </c>
      <c r="AC56" s="39">
        <f>-Costs!AC$25</f>
        <v/>
      </c>
      <c r="AD56" s="39">
        <f>-Costs!AD$25</f>
        <v/>
      </c>
      <c r="AE56" s="39">
        <f>-Costs!AE$25</f>
        <v/>
      </c>
      <c r="AF56" s="39">
        <f>-Costs!AF$25</f>
        <v/>
      </c>
      <c r="AG56" s="39">
        <f>-Costs!AG$25</f>
        <v/>
      </c>
      <c r="AH56" s="39">
        <f>-Costs!AH$25</f>
        <v/>
      </c>
      <c r="AI56" s="39">
        <f>-Costs!AI$25</f>
        <v/>
      </c>
      <c r="AJ56" s="39">
        <f>-Costs!AJ$25</f>
        <v/>
      </c>
      <c r="AK56" s="39">
        <f>-Costs!AK$25</f>
        <v/>
      </c>
      <c r="AL56" s="39">
        <f>-Costs!AL$25</f>
        <v/>
      </c>
      <c r="AM56" s="39">
        <f>-Costs!AM$25</f>
        <v/>
      </c>
      <c r="AN56" s="39">
        <f>-Costs!AN$25</f>
        <v/>
      </c>
      <c r="AO56" s="39">
        <f>-Costs!AO$25</f>
        <v/>
      </c>
      <c r="AP56" s="39">
        <f>-Costs!AP$25</f>
        <v/>
      </c>
      <c r="AQ56" s="39">
        <f>-Costs!AQ$25</f>
        <v/>
      </c>
      <c r="AR56" s="39">
        <f>-Costs!AR$25</f>
        <v/>
      </c>
      <c r="AS56" s="39">
        <f>-Costs!AS$25</f>
        <v/>
      </c>
      <c r="AT56" s="39">
        <f>-Costs!AT$25</f>
        <v/>
      </c>
      <c r="AU56" s="39">
        <f>-Costs!AU$25</f>
        <v/>
      </c>
      <c r="AV56" s="39">
        <f>-Costs!AV$25</f>
        <v/>
      </c>
      <c r="AW56" s="39">
        <f>-Costs!AW$25</f>
        <v/>
      </c>
      <c r="AX56" s="39">
        <f>-Costs!AX$25</f>
        <v/>
      </c>
      <c r="AY56" s="39">
        <f>-Costs!AY$25</f>
        <v/>
      </c>
      <c r="AZ56" s="39">
        <f>-Costs!AZ$25</f>
        <v/>
      </c>
      <c r="BA56" s="39">
        <f>-Costs!BA$25</f>
        <v/>
      </c>
      <c r="BB56" s="39">
        <f>-Costs!BB$25</f>
        <v/>
      </c>
      <c r="BC56" s="39">
        <f>-Costs!BC$25</f>
        <v/>
      </c>
      <c r="BD56" s="39">
        <f>-Costs!BD$25</f>
        <v/>
      </c>
      <c r="BE56" s="39">
        <f>-Costs!BE$25</f>
        <v/>
      </c>
      <c r="BF56" s="39">
        <f>-Costs!BF$25</f>
        <v/>
      </c>
      <c r="BG56" s="39">
        <f>-Costs!BG$25</f>
        <v/>
      </c>
      <c r="BH56" s="39">
        <f>-Costs!BH$25</f>
        <v/>
      </c>
      <c r="BI56" s="39">
        <f>-Costs!BI$25</f>
        <v/>
      </c>
      <c r="BJ56" s="39">
        <f>-Costs!BJ$25</f>
        <v/>
      </c>
      <c r="BK56" s="39">
        <f>-Costs!BK$25</f>
        <v/>
      </c>
      <c r="BL56" s="39">
        <f>-Costs!BL$25</f>
        <v/>
      </c>
    </row>
    <row r="57">
      <c r="A57" s="55" t="inlineStr">
        <is>
          <t>Term loan drawdown / (repayment)</t>
        </is>
      </c>
      <c r="B57" s="26" t="inlineStr">
        <is>
          <t>LCY</t>
        </is>
      </c>
      <c r="C57" s="58">
        <f>SUM(E57:BL57)</f>
        <v/>
      </c>
      <c r="E57" s="39">
        <f>Financing!E$17-Financing!E$18</f>
        <v/>
      </c>
      <c r="F57" s="39">
        <f>Financing!F$17-Financing!F$18</f>
        <v/>
      </c>
      <c r="G57" s="39">
        <f>Financing!G$17-Financing!G$18</f>
        <v/>
      </c>
      <c r="H57" s="39">
        <f>Financing!H$17-Financing!H$18</f>
        <v/>
      </c>
      <c r="I57" s="39">
        <f>Financing!I$17-Financing!I$18</f>
        <v/>
      </c>
      <c r="J57" s="39">
        <f>Financing!J$17-Financing!J$18</f>
        <v/>
      </c>
      <c r="K57" s="39">
        <f>Financing!K$17-Financing!K$18</f>
        <v/>
      </c>
      <c r="L57" s="39">
        <f>Financing!L$17-Financing!L$18</f>
        <v/>
      </c>
      <c r="M57" s="39">
        <f>Financing!M$17-Financing!M$18</f>
        <v/>
      </c>
      <c r="N57" s="39">
        <f>Financing!N$17-Financing!N$18</f>
        <v/>
      </c>
      <c r="O57" s="39">
        <f>Financing!O$17-Financing!O$18</f>
        <v/>
      </c>
      <c r="P57" s="39">
        <f>Financing!P$17-Financing!P$18</f>
        <v/>
      </c>
      <c r="Q57" s="39">
        <f>Financing!Q$17-Financing!Q$18</f>
        <v/>
      </c>
      <c r="R57" s="39">
        <f>Financing!R$17-Financing!R$18</f>
        <v/>
      </c>
      <c r="S57" s="39">
        <f>Financing!S$17-Financing!S$18</f>
        <v/>
      </c>
      <c r="T57" s="39">
        <f>Financing!T$17-Financing!T$18</f>
        <v/>
      </c>
      <c r="U57" s="39">
        <f>Financing!U$17-Financing!U$18</f>
        <v/>
      </c>
      <c r="V57" s="39">
        <f>Financing!V$17-Financing!V$18</f>
        <v/>
      </c>
      <c r="W57" s="39">
        <f>Financing!W$17-Financing!W$18</f>
        <v/>
      </c>
      <c r="X57" s="39">
        <f>Financing!X$17-Financing!X$18</f>
        <v/>
      </c>
      <c r="Y57" s="39">
        <f>Financing!Y$17-Financing!Y$18</f>
        <v/>
      </c>
      <c r="Z57" s="39">
        <f>Financing!Z$17-Financing!Z$18</f>
        <v/>
      </c>
      <c r="AA57" s="39">
        <f>Financing!AA$17-Financing!AA$18</f>
        <v/>
      </c>
      <c r="AB57" s="39">
        <f>Financing!AB$17-Financing!AB$18</f>
        <v/>
      </c>
      <c r="AC57" s="39">
        <f>Financing!AC$17-Financing!AC$18</f>
        <v/>
      </c>
      <c r="AD57" s="39">
        <f>Financing!AD$17-Financing!AD$18</f>
        <v/>
      </c>
      <c r="AE57" s="39">
        <f>Financing!AE$17-Financing!AE$18</f>
        <v/>
      </c>
      <c r="AF57" s="39">
        <f>Financing!AF$17-Financing!AF$18</f>
        <v/>
      </c>
      <c r="AG57" s="39">
        <f>Financing!AG$17-Financing!AG$18</f>
        <v/>
      </c>
      <c r="AH57" s="39">
        <f>Financing!AH$17-Financing!AH$18</f>
        <v/>
      </c>
      <c r="AI57" s="39">
        <f>Financing!AI$17-Financing!AI$18</f>
        <v/>
      </c>
      <c r="AJ57" s="39">
        <f>Financing!AJ$17-Financing!AJ$18</f>
        <v/>
      </c>
      <c r="AK57" s="39">
        <f>Financing!AK$17-Financing!AK$18</f>
        <v/>
      </c>
      <c r="AL57" s="39">
        <f>Financing!AL$17-Financing!AL$18</f>
        <v/>
      </c>
      <c r="AM57" s="39">
        <f>Financing!AM$17-Financing!AM$18</f>
        <v/>
      </c>
      <c r="AN57" s="39">
        <f>Financing!AN$17-Financing!AN$18</f>
        <v/>
      </c>
      <c r="AO57" s="39">
        <f>Financing!AO$17-Financing!AO$18</f>
        <v/>
      </c>
      <c r="AP57" s="39">
        <f>Financing!AP$17-Financing!AP$18</f>
        <v/>
      </c>
      <c r="AQ57" s="39">
        <f>Financing!AQ$17-Financing!AQ$18</f>
        <v/>
      </c>
      <c r="AR57" s="39">
        <f>Financing!AR$17-Financing!AR$18</f>
        <v/>
      </c>
      <c r="AS57" s="39">
        <f>Financing!AS$17-Financing!AS$18</f>
        <v/>
      </c>
      <c r="AT57" s="39">
        <f>Financing!AT$17-Financing!AT$18</f>
        <v/>
      </c>
      <c r="AU57" s="39">
        <f>Financing!AU$17-Financing!AU$18</f>
        <v/>
      </c>
      <c r="AV57" s="39">
        <f>Financing!AV$17-Financing!AV$18</f>
        <v/>
      </c>
      <c r="AW57" s="39">
        <f>Financing!AW$17-Financing!AW$18</f>
        <v/>
      </c>
      <c r="AX57" s="39">
        <f>Financing!AX$17-Financing!AX$18</f>
        <v/>
      </c>
      <c r="AY57" s="39">
        <f>Financing!AY$17-Financing!AY$18</f>
        <v/>
      </c>
      <c r="AZ57" s="39">
        <f>Financing!AZ$17-Financing!AZ$18</f>
        <v/>
      </c>
      <c r="BA57" s="39">
        <f>Financing!BA$17-Financing!BA$18</f>
        <v/>
      </c>
      <c r="BB57" s="39">
        <f>Financing!BB$17-Financing!BB$18</f>
        <v/>
      </c>
      <c r="BC57" s="39">
        <f>Financing!BC$17-Financing!BC$18</f>
        <v/>
      </c>
      <c r="BD57" s="39">
        <f>Financing!BD$17-Financing!BD$18</f>
        <v/>
      </c>
      <c r="BE57" s="39">
        <f>Financing!BE$17-Financing!BE$18</f>
        <v/>
      </c>
      <c r="BF57" s="39">
        <f>Financing!BF$17-Financing!BF$18</f>
        <v/>
      </c>
      <c r="BG57" s="39">
        <f>Financing!BG$17-Financing!BG$18</f>
        <v/>
      </c>
      <c r="BH57" s="39">
        <f>Financing!BH$17-Financing!BH$18</f>
        <v/>
      </c>
      <c r="BI57" s="39">
        <f>Financing!BI$17-Financing!BI$18</f>
        <v/>
      </c>
      <c r="BJ57" s="39">
        <f>Financing!BJ$17-Financing!BJ$18</f>
        <v/>
      </c>
      <c r="BK57" s="39">
        <f>Financing!BK$17-Financing!BK$18</f>
        <v/>
      </c>
      <c r="BL57" s="39">
        <f>Financing!BL$17-Financing!BL$18</f>
        <v/>
      </c>
    </row>
    <row r="58">
      <c r="A58" s="55" t="inlineStr">
        <is>
          <t>Receivables facility drawdown / (repayment)</t>
        </is>
      </c>
      <c r="B58" s="26" t="inlineStr">
        <is>
          <t>LCY</t>
        </is>
      </c>
      <c r="C58" s="58">
        <f>SUM(E58:BL58)</f>
        <v/>
      </c>
      <c r="E58" s="39">
        <f>Financing!E$24</f>
        <v/>
      </c>
      <c r="F58" s="39">
        <f>Financing!F$24</f>
        <v/>
      </c>
      <c r="G58" s="39">
        <f>Financing!G$24</f>
        <v/>
      </c>
      <c r="H58" s="39">
        <f>Financing!H$24</f>
        <v/>
      </c>
      <c r="I58" s="39">
        <f>Financing!I$24</f>
        <v/>
      </c>
      <c r="J58" s="39">
        <f>Financing!J$24</f>
        <v/>
      </c>
      <c r="K58" s="39">
        <f>Financing!K$24</f>
        <v/>
      </c>
      <c r="L58" s="39">
        <f>Financing!L$24</f>
        <v/>
      </c>
      <c r="M58" s="39">
        <f>Financing!M$24</f>
        <v/>
      </c>
      <c r="N58" s="39">
        <f>Financing!N$24</f>
        <v/>
      </c>
      <c r="O58" s="39">
        <f>Financing!O$24</f>
        <v/>
      </c>
      <c r="P58" s="39">
        <f>Financing!P$24</f>
        <v/>
      </c>
      <c r="Q58" s="39">
        <f>Financing!Q$24</f>
        <v/>
      </c>
      <c r="R58" s="39">
        <f>Financing!R$24</f>
        <v/>
      </c>
      <c r="S58" s="39">
        <f>Financing!S$24</f>
        <v/>
      </c>
      <c r="T58" s="39">
        <f>Financing!T$24</f>
        <v/>
      </c>
      <c r="U58" s="39">
        <f>Financing!U$24</f>
        <v/>
      </c>
      <c r="V58" s="39">
        <f>Financing!V$24</f>
        <v/>
      </c>
      <c r="W58" s="39">
        <f>Financing!W$24</f>
        <v/>
      </c>
      <c r="X58" s="39">
        <f>Financing!X$24</f>
        <v/>
      </c>
      <c r="Y58" s="39">
        <f>Financing!Y$24</f>
        <v/>
      </c>
      <c r="Z58" s="39">
        <f>Financing!Z$24</f>
        <v/>
      </c>
      <c r="AA58" s="39">
        <f>Financing!AA$24</f>
        <v/>
      </c>
      <c r="AB58" s="39">
        <f>Financing!AB$24</f>
        <v/>
      </c>
      <c r="AC58" s="39">
        <f>Financing!AC$24</f>
        <v/>
      </c>
      <c r="AD58" s="39">
        <f>Financing!AD$24</f>
        <v/>
      </c>
      <c r="AE58" s="39">
        <f>Financing!AE$24</f>
        <v/>
      </c>
      <c r="AF58" s="39">
        <f>Financing!AF$24</f>
        <v/>
      </c>
      <c r="AG58" s="39">
        <f>Financing!AG$24</f>
        <v/>
      </c>
      <c r="AH58" s="39">
        <f>Financing!AH$24</f>
        <v/>
      </c>
      <c r="AI58" s="39">
        <f>Financing!AI$24</f>
        <v/>
      </c>
      <c r="AJ58" s="39">
        <f>Financing!AJ$24</f>
        <v/>
      </c>
      <c r="AK58" s="39">
        <f>Financing!AK$24</f>
        <v/>
      </c>
      <c r="AL58" s="39">
        <f>Financing!AL$24</f>
        <v/>
      </c>
      <c r="AM58" s="39">
        <f>Financing!AM$24</f>
        <v/>
      </c>
      <c r="AN58" s="39">
        <f>Financing!AN$24</f>
        <v/>
      </c>
      <c r="AO58" s="39">
        <f>Financing!AO$24</f>
        <v/>
      </c>
      <c r="AP58" s="39">
        <f>Financing!AP$24</f>
        <v/>
      </c>
      <c r="AQ58" s="39">
        <f>Financing!AQ$24</f>
        <v/>
      </c>
      <c r="AR58" s="39">
        <f>Financing!AR$24</f>
        <v/>
      </c>
      <c r="AS58" s="39">
        <f>Financing!AS$24</f>
        <v/>
      </c>
      <c r="AT58" s="39">
        <f>Financing!AT$24</f>
        <v/>
      </c>
      <c r="AU58" s="39">
        <f>Financing!AU$24</f>
        <v/>
      </c>
      <c r="AV58" s="39">
        <f>Financing!AV$24</f>
        <v/>
      </c>
      <c r="AW58" s="39">
        <f>Financing!AW$24</f>
        <v/>
      </c>
      <c r="AX58" s="39">
        <f>Financing!AX$24</f>
        <v/>
      </c>
      <c r="AY58" s="39">
        <f>Financing!AY$24</f>
        <v/>
      </c>
      <c r="AZ58" s="39">
        <f>Financing!AZ$24</f>
        <v/>
      </c>
      <c r="BA58" s="39">
        <f>Financing!BA$24</f>
        <v/>
      </c>
      <c r="BB58" s="39">
        <f>Financing!BB$24</f>
        <v/>
      </c>
      <c r="BC58" s="39">
        <f>Financing!BC$24</f>
        <v/>
      </c>
      <c r="BD58" s="39">
        <f>Financing!BD$24</f>
        <v/>
      </c>
      <c r="BE58" s="39">
        <f>Financing!BE$24</f>
        <v/>
      </c>
      <c r="BF58" s="39">
        <f>Financing!BF$24</f>
        <v/>
      </c>
      <c r="BG58" s="39">
        <f>Financing!BG$24</f>
        <v/>
      </c>
      <c r="BH58" s="39">
        <f>Financing!BH$24</f>
        <v/>
      </c>
      <c r="BI58" s="39">
        <f>Financing!BI$24</f>
        <v/>
      </c>
      <c r="BJ58" s="39">
        <f>Financing!BJ$24</f>
        <v/>
      </c>
      <c r="BK58" s="39">
        <f>Financing!BK$24</f>
        <v/>
      </c>
      <c r="BL58" s="39">
        <f>Financing!BL$24</f>
        <v/>
      </c>
    </row>
    <row r="59">
      <c r="A59" s="55" t="inlineStr">
        <is>
          <t>Equity - initial</t>
        </is>
      </c>
      <c r="B59" s="26" t="inlineStr">
        <is>
          <t>LCY</t>
        </is>
      </c>
      <c r="C59" s="58">
        <f>SUM(E59:BL59)</f>
        <v/>
      </c>
      <c r="E59" s="39">
        <f>Financing!E$9</f>
        <v/>
      </c>
      <c r="F59" s="39">
        <f>Financing!F$9</f>
        <v/>
      </c>
      <c r="G59" s="39">
        <f>Financing!G$9</f>
        <v/>
      </c>
      <c r="H59" s="39">
        <f>Financing!H$9</f>
        <v/>
      </c>
      <c r="I59" s="39">
        <f>Financing!I$9</f>
        <v/>
      </c>
      <c r="J59" s="39">
        <f>Financing!J$9</f>
        <v/>
      </c>
      <c r="K59" s="39">
        <f>Financing!K$9</f>
        <v/>
      </c>
      <c r="L59" s="39">
        <f>Financing!L$9</f>
        <v/>
      </c>
      <c r="M59" s="39">
        <f>Financing!M$9</f>
        <v/>
      </c>
      <c r="N59" s="39">
        <f>Financing!N$9</f>
        <v/>
      </c>
      <c r="O59" s="39">
        <f>Financing!O$9</f>
        <v/>
      </c>
      <c r="P59" s="39">
        <f>Financing!P$9</f>
        <v/>
      </c>
      <c r="Q59" s="39">
        <f>Financing!Q$9</f>
        <v/>
      </c>
      <c r="R59" s="39">
        <f>Financing!R$9</f>
        <v/>
      </c>
      <c r="S59" s="39">
        <f>Financing!S$9</f>
        <v/>
      </c>
      <c r="T59" s="39">
        <f>Financing!T$9</f>
        <v/>
      </c>
      <c r="U59" s="39">
        <f>Financing!U$9</f>
        <v/>
      </c>
      <c r="V59" s="39">
        <f>Financing!V$9</f>
        <v/>
      </c>
      <c r="W59" s="39">
        <f>Financing!W$9</f>
        <v/>
      </c>
      <c r="X59" s="39">
        <f>Financing!X$9</f>
        <v/>
      </c>
      <c r="Y59" s="39">
        <f>Financing!Y$9</f>
        <v/>
      </c>
      <c r="Z59" s="39">
        <f>Financing!Z$9</f>
        <v/>
      </c>
      <c r="AA59" s="39">
        <f>Financing!AA$9</f>
        <v/>
      </c>
      <c r="AB59" s="39">
        <f>Financing!AB$9</f>
        <v/>
      </c>
      <c r="AC59" s="39">
        <f>Financing!AC$9</f>
        <v/>
      </c>
      <c r="AD59" s="39">
        <f>Financing!AD$9</f>
        <v/>
      </c>
      <c r="AE59" s="39">
        <f>Financing!AE$9</f>
        <v/>
      </c>
      <c r="AF59" s="39">
        <f>Financing!AF$9</f>
        <v/>
      </c>
      <c r="AG59" s="39">
        <f>Financing!AG$9</f>
        <v/>
      </c>
      <c r="AH59" s="39">
        <f>Financing!AH$9</f>
        <v/>
      </c>
      <c r="AI59" s="39">
        <f>Financing!AI$9</f>
        <v/>
      </c>
      <c r="AJ59" s="39">
        <f>Financing!AJ$9</f>
        <v/>
      </c>
      <c r="AK59" s="39">
        <f>Financing!AK$9</f>
        <v/>
      </c>
      <c r="AL59" s="39">
        <f>Financing!AL$9</f>
        <v/>
      </c>
      <c r="AM59" s="39">
        <f>Financing!AM$9</f>
        <v/>
      </c>
      <c r="AN59" s="39">
        <f>Financing!AN$9</f>
        <v/>
      </c>
      <c r="AO59" s="39">
        <f>Financing!AO$9</f>
        <v/>
      </c>
      <c r="AP59" s="39">
        <f>Financing!AP$9</f>
        <v/>
      </c>
      <c r="AQ59" s="39">
        <f>Financing!AQ$9</f>
        <v/>
      </c>
      <c r="AR59" s="39">
        <f>Financing!AR$9</f>
        <v/>
      </c>
      <c r="AS59" s="39">
        <f>Financing!AS$9</f>
        <v/>
      </c>
      <c r="AT59" s="39">
        <f>Financing!AT$9</f>
        <v/>
      </c>
      <c r="AU59" s="39">
        <f>Financing!AU$9</f>
        <v/>
      </c>
      <c r="AV59" s="39">
        <f>Financing!AV$9</f>
        <v/>
      </c>
      <c r="AW59" s="39">
        <f>Financing!AW$9</f>
        <v/>
      </c>
      <c r="AX59" s="39">
        <f>Financing!AX$9</f>
        <v/>
      </c>
      <c r="AY59" s="39">
        <f>Financing!AY$9</f>
        <v/>
      </c>
      <c r="AZ59" s="39">
        <f>Financing!AZ$9</f>
        <v/>
      </c>
      <c r="BA59" s="39">
        <f>Financing!BA$9</f>
        <v/>
      </c>
      <c r="BB59" s="39">
        <f>Financing!BB$9</f>
        <v/>
      </c>
      <c r="BC59" s="39">
        <f>Financing!BC$9</f>
        <v/>
      </c>
      <c r="BD59" s="39">
        <f>Financing!BD$9</f>
        <v/>
      </c>
      <c r="BE59" s="39">
        <f>Financing!BE$9</f>
        <v/>
      </c>
      <c r="BF59" s="39">
        <f>Financing!BF$9</f>
        <v/>
      </c>
      <c r="BG59" s="39">
        <f>Financing!BG$9</f>
        <v/>
      </c>
      <c r="BH59" s="39">
        <f>Financing!BH$9</f>
        <v/>
      </c>
      <c r="BI59" s="39">
        <f>Financing!BI$9</f>
        <v/>
      </c>
      <c r="BJ59" s="39">
        <f>Financing!BJ$9</f>
        <v/>
      </c>
      <c r="BK59" s="39">
        <f>Financing!BK$9</f>
        <v/>
      </c>
      <c r="BL59" s="39">
        <f>Financing!BL$9</f>
        <v/>
      </c>
    </row>
    <row r="60">
      <c r="A60" s="55" t="inlineStr">
        <is>
          <t xml:space="preserve">  memo: cash before facility and equity top-up</t>
        </is>
      </c>
      <c r="B60" s="26" t="inlineStr">
        <is>
          <t>LCY</t>
        </is>
      </c>
      <c r="C60" s="58">
        <f>BL60</f>
        <v/>
      </c>
      <c r="E60" s="39">
        <f>D63+E55+E56+E57+E59</f>
        <v/>
      </c>
      <c r="F60" s="39">
        <f>E63+F55+F56+F57+F59</f>
        <v/>
      </c>
      <c r="G60" s="39">
        <f>F63+G55+G56+G57+G59</f>
        <v/>
      </c>
      <c r="H60" s="39">
        <f>G63+H55+H56+H57+H59</f>
        <v/>
      </c>
      <c r="I60" s="39">
        <f>H63+I55+I56+I57+I59</f>
        <v/>
      </c>
      <c r="J60" s="39">
        <f>I63+J55+J56+J57+J59</f>
        <v/>
      </c>
      <c r="K60" s="39">
        <f>J63+K55+K56+K57+K59</f>
        <v/>
      </c>
      <c r="L60" s="39">
        <f>K63+L55+L56+L57+L59</f>
        <v/>
      </c>
      <c r="M60" s="39">
        <f>L63+M55+M56+M57+M59</f>
        <v/>
      </c>
      <c r="N60" s="39">
        <f>M63+N55+N56+N57+N59</f>
        <v/>
      </c>
      <c r="O60" s="39">
        <f>N63+O55+O56+O57+O59</f>
        <v/>
      </c>
      <c r="P60" s="39">
        <f>O63+P55+P56+P57+P59</f>
        <v/>
      </c>
      <c r="Q60" s="39">
        <f>P63+Q55+Q56+Q57+Q59</f>
        <v/>
      </c>
      <c r="R60" s="39">
        <f>Q63+R55+R56+R57+R59</f>
        <v/>
      </c>
      <c r="S60" s="39">
        <f>R63+S55+S56+S57+S59</f>
        <v/>
      </c>
      <c r="T60" s="39">
        <f>S63+T55+T56+T57+T59</f>
        <v/>
      </c>
      <c r="U60" s="39">
        <f>T63+U55+U56+U57+U59</f>
        <v/>
      </c>
      <c r="V60" s="39">
        <f>U63+V55+V56+V57+V59</f>
        <v/>
      </c>
      <c r="W60" s="39">
        <f>V63+W55+W56+W57+W59</f>
        <v/>
      </c>
      <c r="X60" s="39">
        <f>W63+X55+X56+X57+X59</f>
        <v/>
      </c>
      <c r="Y60" s="39">
        <f>X63+Y55+Y56+Y57+Y59</f>
        <v/>
      </c>
      <c r="Z60" s="39">
        <f>Y63+Z55+Z56+Z57+Z59</f>
        <v/>
      </c>
      <c r="AA60" s="39">
        <f>Z63+AA55+AA56+AA57+AA59</f>
        <v/>
      </c>
      <c r="AB60" s="39">
        <f>AA63+AB55+AB56+AB57+AB59</f>
        <v/>
      </c>
      <c r="AC60" s="39">
        <f>AB63+AC55+AC56+AC57+AC59</f>
        <v/>
      </c>
      <c r="AD60" s="39">
        <f>AC63+AD55+AD56+AD57+AD59</f>
        <v/>
      </c>
      <c r="AE60" s="39">
        <f>AD63+AE55+AE56+AE57+AE59</f>
        <v/>
      </c>
      <c r="AF60" s="39">
        <f>AE63+AF55+AF56+AF57+AF59</f>
        <v/>
      </c>
      <c r="AG60" s="39">
        <f>AF63+AG55+AG56+AG57+AG59</f>
        <v/>
      </c>
      <c r="AH60" s="39">
        <f>AG63+AH55+AH56+AH57+AH59</f>
        <v/>
      </c>
      <c r="AI60" s="39">
        <f>AH63+AI55+AI56+AI57+AI59</f>
        <v/>
      </c>
      <c r="AJ60" s="39">
        <f>AI63+AJ55+AJ56+AJ57+AJ59</f>
        <v/>
      </c>
      <c r="AK60" s="39">
        <f>AJ63+AK55+AK56+AK57+AK59</f>
        <v/>
      </c>
      <c r="AL60" s="39">
        <f>AK63+AL55+AL56+AL57+AL59</f>
        <v/>
      </c>
      <c r="AM60" s="39">
        <f>AL63+AM55+AM56+AM57+AM59</f>
        <v/>
      </c>
      <c r="AN60" s="39">
        <f>AM63+AN55+AN56+AN57+AN59</f>
        <v/>
      </c>
      <c r="AO60" s="39">
        <f>AN63+AO55+AO56+AO57+AO59</f>
        <v/>
      </c>
      <c r="AP60" s="39">
        <f>AO63+AP55+AP56+AP57+AP59</f>
        <v/>
      </c>
      <c r="AQ60" s="39">
        <f>AP63+AQ55+AQ56+AQ57+AQ59</f>
        <v/>
      </c>
      <c r="AR60" s="39">
        <f>AQ63+AR55+AR56+AR57+AR59</f>
        <v/>
      </c>
      <c r="AS60" s="39">
        <f>AR63+AS55+AS56+AS57+AS59</f>
        <v/>
      </c>
      <c r="AT60" s="39">
        <f>AS63+AT55+AT56+AT57+AT59</f>
        <v/>
      </c>
      <c r="AU60" s="39">
        <f>AT63+AU55+AU56+AU57+AU59</f>
        <v/>
      </c>
      <c r="AV60" s="39">
        <f>AU63+AV55+AV56+AV57+AV59</f>
        <v/>
      </c>
      <c r="AW60" s="39">
        <f>AV63+AW55+AW56+AW57+AW59</f>
        <v/>
      </c>
      <c r="AX60" s="39">
        <f>AW63+AX55+AX56+AX57+AX59</f>
        <v/>
      </c>
      <c r="AY60" s="39">
        <f>AX63+AY55+AY56+AY57+AY59</f>
        <v/>
      </c>
      <c r="AZ60" s="39">
        <f>AY63+AZ55+AZ56+AZ57+AZ59</f>
        <v/>
      </c>
      <c r="BA60" s="39">
        <f>AZ63+BA55+BA56+BA57+BA59</f>
        <v/>
      </c>
      <c r="BB60" s="39">
        <f>BA63+BB55+BB56+BB57+BB59</f>
        <v/>
      </c>
      <c r="BC60" s="39">
        <f>BB63+BC55+BC56+BC57+BC59</f>
        <v/>
      </c>
      <c r="BD60" s="39">
        <f>BC63+BD55+BD56+BD57+BD59</f>
        <v/>
      </c>
      <c r="BE60" s="39">
        <f>BD63+BE55+BE56+BE57+BE59</f>
        <v/>
      </c>
      <c r="BF60" s="39">
        <f>BE63+BF55+BF56+BF57+BF59</f>
        <v/>
      </c>
      <c r="BG60" s="39">
        <f>BF63+BG55+BG56+BG57+BG59</f>
        <v/>
      </c>
      <c r="BH60" s="39">
        <f>BG63+BH55+BH56+BH57+BH59</f>
        <v/>
      </c>
      <c r="BI60" s="39">
        <f>BH63+BI55+BI56+BI57+BI59</f>
        <v/>
      </c>
      <c r="BJ60" s="39">
        <f>BI63+BJ55+BJ56+BJ57+BJ59</f>
        <v/>
      </c>
      <c r="BK60" s="39">
        <f>BJ63+BK55+BK56+BK57+BK59</f>
        <v/>
      </c>
      <c r="BL60" s="39">
        <f>BK63+BL55+BL56+BL57+BL59</f>
        <v/>
      </c>
    </row>
    <row r="61">
      <c r="A61" s="55" t="inlineStr">
        <is>
          <t>Cash before equity top-up</t>
        </is>
      </c>
      <c r="B61" s="26" t="inlineStr">
        <is>
          <t>LCY</t>
        </is>
      </c>
      <c r="C61" s="58">
        <f>BL61</f>
        <v/>
      </c>
      <c r="E61" s="39">
        <f>E60+E58</f>
        <v/>
      </c>
      <c r="F61" s="39">
        <f>F60+F58</f>
        <v/>
      </c>
      <c r="G61" s="39">
        <f>G60+G58</f>
        <v/>
      </c>
      <c r="H61" s="39">
        <f>H60+H58</f>
        <v/>
      </c>
      <c r="I61" s="39">
        <f>I60+I58</f>
        <v/>
      </c>
      <c r="J61" s="39">
        <f>J60+J58</f>
        <v/>
      </c>
      <c r="K61" s="39">
        <f>K60+K58</f>
        <v/>
      </c>
      <c r="L61" s="39">
        <f>L60+L58</f>
        <v/>
      </c>
      <c r="M61" s="39">
        <f>M60+M58</f>
        <v/>
      </c>
      <c r="N61" s="39">
        <f>N60+N58</f>
        <v/>
      </c>
      <c r="O61" s="39">
        <f>O60+O58</f>
        <v/>
      </c>
      <c r="P61" s="39">
        <f>P60+P58</f>
        <v/>
      </c>
      <c r="Q61" s="39">
        <f>Q60+Q58</f>
        <v/>
      </c>
      <c r="R61" s="39">
        <f>R60+R58</f>
        <v/>
      </c>
      <c r="S61" s="39">
        <f>S60+S58</f>
        <v/>
      </c>
      <c r="T61" s="39">
        <f>T60+T58</f>
        <v/>
      </c>
      <c r="U61" s="39">
        <f>U60+U58</f>
        <v/>
      </c>
      <c r="V61" s="39">
        <f>V60+V58</f>
        <v/>
      </c>
      <c r="W61" s="39">
        <f>W60+W58</f>
        <v/>
      </c>
      <c r="X61" s="39">
        <f>X60+X58</f>
        <v/>
      </c>
      <c r="Y61" s="39">
        <f>Y60+Y58</f>
        <v/>
      </c>
      <c r="Z61" s="39">
        <f>Z60+Z58</f>
        <v/>
      </c>
      <c r="AA61" s="39">
        <f>AA60+AA58</f>
        <v/>
      </c>
      <c r="AB61" s="39">
        <f>AB60+AB58</f>
        <v/>
      </c>
      <c r="AC61" s="39">
        <f>AC60+AC58</f>
        <v/>
      </c>
      <c r="AD61" s="39">
        <f>AD60+AD58</f>
        <v/>
      </c>
      <c r="AE61" s="39">
        <f>AE60+AE58</f>
        <v/>
      </c>
      <c r="AF61" s="39">
        <f>AF60+AF58</f>
        <v/>
      </c>
      <c r="AG61" s="39">
        <f>AG60+AG58</f>
        <v/>
      </c>
      <c r="AH61" s="39">
        <f>AH60+AH58</f>
        <v/>
      </c>
      <c r="AI61" s="39">
        <f>AI60+AI58</f>
        <v/>
      </c>
      <c r="AJ61" s="39">
        <f>AJ60+AJ58</f>
        <v/>
      </c>
      <c r="AK61" s="39">
        <f>AK60+AK58</f>
        <v/>
      </c>
      <c r="AL61" s="39">
        <f>AL60+AL58</f>
        <v/>
      </c>
      <c r="AM61" s="39">
        <f>AM60+AM58</f>
        <v/>
      </c>
      <c r="AN61" s="39">
        <f>AN60+AN58</f>
        <v/>
      </c>
      <c r="AO61" s="39">
        <f>AO60+AO58</f>
        <v/>
      </c>
      <c r="AP61" s="39">
        <f>AP60+AP58</f>
        <v/>
      </c>
      <c r="AQ61" s="39">
        <f>AQ60+AQ58</f>
        <v/>
      </c>
      <c r="AR61" s="39">
        <f>AR60+AR58</f>
        <v/>
      </c>
      <c r="AS61" s="39">
        <f>AS60+AS58</f>
        <v/>
      </c>
      <c r="AT61" s="39">
        <f>AT60+AT58</f>
        <v/>
      </c>
      <c r="AU61" s="39">
        <f>AU60+AU58</f>
        <v/>
      </c>
      <c r="AV61" s="39">
        <f>AV60+AV58</f>
        <v/>
      </c>
      <c r="AW61" s="39">
        <f>AW60+AW58</f>
        <v/>
      </c>
      <c r="AX61" s="39">
        <f>AX60+AX58</f>
        <v/>
      </c>
      <c r="AY61" s="39">
        <f>AY60+AY58</f>
        <v/>
      </c>
      <c r="AZ61" s="39">
        <f>AZ60+AZ58</f>
        <v/>
      </c>
      <c r="BA61" s="39">
        <f>BA60+BA58</f>
        <v/>
      </c>
      <c r="BB61" s="39">
        <f>BB60+BB58</f>
        <v/>
      </c>
      <c r="BC61" s="39">
        <f>BC60+BC58</f>
        <v/>
      </c>
      <c r="BD61" s="39">
        <f>BD60+BD58</f>
        <v/>
      </c>
      <c r="BE61" s="39">
        <f>BE60+BE58</f>
        <v/>
      </c>
      <c r="BF61" s="39">
        <f>BF60+BF58</f>
        <v/>
      </c>
      <c r="BG61" s="39">
        <f>BG60+BG58</f>
        <v/>
      </c>
      <c r="BH61" s="39">
        <f>BH60+BH58</f>
        <v/>
      </c>
      <c r="BI61" s="39">
        <f>BI60+BI58</f>
        <v/>
      </c>
      <c r="BJ61" s="39">
        <f>BJ60+BJ58</f>
        <v/>
      </c>
      <c r="BK61" s="39">
        <f>BK60+BK58</f>
        <v/>
      </c>
      <c r="BL61" s="39">
        <f>BL60+BL58</f>
        <v/>
      </c>
    </row>
    <row r="62">
      <c r="A62" s="55" t="inlineStr">
        <is>
          <t>Equity top-up to maintain minimum cash</t>
        </is>
      </c>
      <c r="B62" s="26" t="inlineStr">
        <is>
          <t>LCY</t>
        </is>
      </c>
      <c r="C62" s="58">
        <f>SUM(E62:BL62)</f>
        <v/>
      </c>
      <c r="E62" s="39">
        <f>MAX(0,Inputs!$C$40-E61)</f>
        <v/>
      </c>
      <c r="F62" s="39">
        <f>MAX(0,Inputs!$C$40-F61)</f>
        <v/>
      </c>
      <c r="G62" s="39">
        <f>MAX(0,Inputs!$C$40-G61)</f>
        <v/>
      </c>
      <c r="H62" s="39">
        <f>MAX(0,Inputs!$C$40-H61)</f>
        <v/>
      </c>
      <c r="I62" s="39">
        <f>MAX(0,Inputs!$C$40-I61)</f>
        <v/>
      </c>
      <c r="J62" s="39">
        <f>MAX(0,Inputs!$C$40-J61)</f>
        <v/>
      </c>
      <c r="K62" s="39">
        <f>MAX(0,Inputs!$C$40-K61)</f>
        <v/>
      </c>
      <c r="L62" s="39">
        <f>MAX(0,Inputs!$C$40-L61)</f>
        <v/>
      </c>
      <c r="M62" s="39">
        <f>MAX(0,Inputs!$C$40-M61)</f>
        <v/>
      </c>
      <c r="N62" s="39">
        <f>MAX(0,Inputs!$C$40-N61)</f>
        <v/>
      </c>
      <c r="O62" s="39">
        <f>MAX(0,Inputs!$C$40-O61)</f>
        <v/>
      </c>
      <c r="P62" s="39">
        <f>MAX(0,Inputs!$C$40-P61)</f>
        <v/>
      </c>
      <c r="Q62" s="39">
        <f>MAX(0,Inputs!$C$40-Q61)</f>
        <v/>
      </c>
      <c r="R62" s="39">
        <f>MAX(0,Inputs!$C$40-R61)</f>
        <v/>
      </c>
      <c r="S62" s="39">
        <f>MAX(0,Inputs!$C$40-S61)</f>
        <v/>
      </c>
      <c r="T62" s="39">
        <f>MAX(0,Inputs!$C$40-T61)</f>
        <v/>
      </c>
      <c r="U62" s="39">
        <f>MAX(0,Inputs!$C$40-U61)</f>
        <v/>
      </c>
      <c r="V62" s="39">
        <f>MAX(0,Inputs!$C$40-V61)</f>
        <v/>
      </c>
      <c r="W62" s="39">
        <f>MAX(0,Inputs!$C$40-W61)</f>
        <v/>
      </c>
      <c r="X62" s="39">
        <f>MAX(0,Inputs!$C$40-X61)</f>
        <v/>
      </c>
      <c r="Y62" s="39">
        <f>MAX(0,Inputs!$C$40-Y61)</f>
        <v/>
      </c>
      <c r="Z62" s="39">
        <f>MAX(0,Inputs!$C$40-Z61)</f>
        <v/>
      </c>
      <c r="AA62" s="39">
        <f>MAX(0,Inputs!$C$40-AA61)</f>
        <v/>
      </c>
      <c r="AB62" s="39">
        <f>MAX(0,Inputs!$C$40-AB61)</f>
        <v/>
      </c>
      <c r="AC62" s="39">
        <f>MAX(0,Inputs!$C$40-AC61)</f>
        <v/>
      </c>
      <c r="AD62" s="39">
        <f>MAX(0,Inputs!$C$40-AD61)</f>
        <v/>
      </c>
      <c r="AE62" s="39">
        <f>MAX(0,Inputs!$C$40-AE61)</f>
        <v/>
      </c>
      <c r="AF62" s="39">
        <f>MAX(0,Inputs!$C$40-AF61)</f>
        <v/>
      </c>
      <c r="AG62" s="39">
        <f>MAX(0,Inputs!$C$40-AG61)</f>
        <v/>
      </c>
      <c r="AH62" s="39">
        <f>MAX(0,Inputs!$C$40-AH61)</f>
        <v/>
      </c>
      <c r="AI62" s="39">
        <f>MAX(0,Inputs!$C$40-AI61)</f>
        <v/>
      </c>
      <c r="AJ62" s="39">
        <f>MAX(0,Inputs!$C$40-AJ61)</f>
        <v/>
      </c>
      <c r="AK62" s="39">
        <f>MAX(0,Inputs!$C$40-AK61)</f>
        <v/>
      </c>
      <c r="AL62" s="39">
        <f>MAX(0,Inputs!$C$40-AL61)</f>
        <v/>
      </c>
      <c r="AM62" s="39">
        <f>MAX(0,Inputs!$C$40-AM61)</f>
        <v/>
      </c>
      <c r="AN62" s="39">
        <f>MAX(0,Inputs!$C$40-AN61)</f>
        <v/>
      </c>
      <c r="AO62" s="39">
        <f>MAX(0,Inputs!$C$40-AO61)</f>
        <v/>
      </c>
      <c r="AP62" s="39">
        <f>MAX(0,Inputs!$C$40-AP61)</f>
        <v/>
      </c>
      <c r="AQ62" s="39">
        <f>MAX(0,Inputs!$C$40-AQ61)</f>
        <v/>
      </c>
      <c r="AR62" s="39">
        <f>MAX(0,Inputs!$C$40-AR61)</f>
        <v/>
      </c>
      <c r="AS62" s="39">
        <f>MAX(0,Inputs!$C$40-AS61)</f>
        <v/>
      </c>
      <c r="AT62" s="39">
        <f>MAX(0,Inputs!$C$40-AT61)</f>
        <v/>
      </c>
      <c r="AU62" s="39">
        <f>MAX(0,Inputs!$C$40-AU61)</f>
        <v/>
      </c>
      <c r="AV62" s="39">
        <f>MAX(0,Inputs!$C$40-AV61)</f>
        <v/>
      </c>
      <c r="AW62" s="39">
        <f>MAX(0,Inputs!$C$40-AW61)</f>
        <v/>
      </c>
      <c r="AX62" s="39">
        <f>MAX(0,Inputs!$C$40-AX61)</f>
        <v/>
      </c>
      <c r="AY62" s="39">
        <f>MAX(0,Inputs!$C$40-AY61)</f>
        <v/>
      </c>
      <c r="AZ62" s="39">
        <f>MAX(0,Inputs!$C$40-AZ61)</f>
        <v/>
      </c>
      <c r="BA62" s="39">
        <f>MAX(0,Inputs!$C$40-BA61)</f>
        <v/>
      </c>
      <c r="BB62" s="39">
        <f>MAX(0,Inputs!$C$40-BB61)</f>
        <v/>
      </c>
      <c r="BC62" s="39">
        <f>MAX(0,Inputs!$C$40-BC61)</f>
        <v/>
      </c>
      <c r="BD62" s="39">
        <f>MAX(0,Inputs!$C$40-BD61)</f>
        <v/>
      </c>
      <c r="BE62" s="39">
        <f>MAX(0,Inputs!$C$40-BE61)</f>
        <v/>
      </c>
      <c r="BF62" s="39">
        <f>MAX(0,Inputs!$C$40-BF61)</f>
        <v/>
      </c>
      <c r="BG62" s="39">
        <f>MAX(0,Inputs!$C$40-BG61)</f>
        <v/>
      </c>
      <c r="BH62" s="39">
        <f>MAX(0,Inputs!$C$40-BH61)</f>
        <v/>
      </c>
      <c r="BI62" s="39">
        <f>MAX(0,Inputs!$C$40-BI61)</f>
        <v/>
      </c>
      <c r="BJ62" s="39">
        <f>MAX(0,Inputs!$C$40-BJ61)</f>
        <v/>
      </c>
      <c r="BK62" s="39">
        <f>MAX(0,Inputs!$C$40-BK61)</f>
        <v/>
      </c>
      <c r="BL62" s="39">
        <f>MAX(0,Inputs!$C$40-BL61)</f>
        <v/>
      </c>
    </row>
    <row r="63">
      <c r="A63" s="60" t="inlineStr">
        <is>
          <t>Closing cash</t>
        </is>
      </c>
      <c r="B63" s="61" t="inlineStr">
        <is>
          <t>LCY</t>
        </is>
      </c>
      <c r="C63" s="70">
        <f>BL63</f>
        <v/>
      </c>
      <c r="D63" s="63" t="n"/>
      <c r="E63" s="71">
        <f>E61+E62</f>
        <v/>
      </c>
      <c r="F63" s="71">
        <f>F61+F62</f>
        <v/>
      </c>
      <c r="G63" s="71">
        <f>G61+G62</f>
        <v/>
      </c>
      <c r="H63" s="71">
        <f>H61+H62</f>
        <v/>
      </c>
      <c r="I63" s="71">
        <f>I61+I62</f>
        <v/>
      </c>
      <c r="J63" s="71">
        <f>J61+J62</f>
        <v/>
      </c>
      <c r="K63" s="71">
        <f>K61+K62</f>
        <v/>
      </c>
      <c r="L63" s="71">
        <f>L61+L62</f>
        <v/>
      </c>
      <c r="M63" s="71">
        <f>M61+M62</f>
        <v/>
      </c>
      <c r="N63" s="71">
        <f>N61+N62</f>
        <v/>
      </c>
      <c r="O63" s="71">
        <f>O61+O62</f>
        <v/>
      </c>
      <c r="P63" s="71">
        <f>P61+P62</f>
        <v/>
      </c>
      <c r="Q63" s="71">
        <f>Q61+Q62</f>
        <v/>
      </c>
      <c r="R63" s="71">
        <f>R61+R62</f>
        <v/>
      </c>
      <c r="S63" s="71">
        <f>S61+S62</f>
        <v/>
      </c>
      <c r="T63" s="71">
        <f>T61+T62</f>
        <v/>
      </c>
      <c r="U63" s="71">
        <f>U61+U62</f>
        <v/>
      </c>
      <c r="V63" s="71">
        <f>V61+V62</f>
        <v/>
      </c>
      <c r="W63" s="71">
        <f>W61+W62</f>
        <v/>
      </c>
      <c r="X63" s="71">
        <f>X61+X62</f>
        <v/>
      </c>
      <c r="Y63" s="71">
        <f>Y61+Y62</f>
        <v/>
      </c>
      <c r="Z63" s="71">
        <f>Z61+Z62</f>
        <v/>
      </c>
      <c r="AA63" s="71">
        <f>AA61+AA62</f>
        <v/>
      </c>
      <c r="AB63" s="71">
        <f>AB61+AB62</f>
        <v/>
      </c>
      <c r="AC63" s="71">
        <f>AC61+AC62</f>
        <v/>
      </c>
      <c r="AD63" s="71">
        <f>AD61+AD62</f>
        <v/>
      </c>
      <c r="AE63" s="71">
        <f>AE61+AE62</f>
        <v/>
      </c>
      <c r="AF63" s="71">
        <f>AF61+AF62</f>
        <v/>
      </c>
      <c r="AG63" s="71">
        <f>AG61+AG62</f>
        <v/>
      </c>
      <c r="AH63" s="71">
        <f>AH61+AH62</f>
        <v/>
      </c>
      <c r="AI63" s="71">
        <f>AI61+AI62</f>
        <v/>
      </c>
      <c r="AJ63" s="71">
        <f>AJ61+AJ62</f>
        <v/>
      </c>
      <c r="AK63" s="71">
        <f>AK61+AK62</f>
        <v/>
      </c>
      <c r="AL63" s="71">
        <f>AL61+AL62</f>
        <v/>
      </c>
      <c r="AM63" s="71">
        <f>AM61+AM62</f>
        <v/>
      </c>
      <c r="AN63" s="71">
        <f>AN61+AN62</f>
        <v/>
      </c>
      <c r="AO63" s="71">
        <f>AO61+AO62</f>
        <v/>
      </c>
      <c r="AP63" s="71">
        <f>AP61+AP62</f>
        <v/>
      </c>
      <c r="AQ63" s="71">
        <f>AQ61+AQ62</f>
        <v/>
      </c>
      <c r="AR63" s="71">
        <f>AR61+AR62</f>
        <v/>
      </c>
      <c r="AS63" s="71">
        <f>AS61+AS62</f>
        <v/>
      </c>
      <c r="AT63" s="71">
        <f>AT61+AT62</f>
        <v/>
      </c>
      <c r="AU63" s="71">
        <f>AU61+AU62</f>
        <v/>
      </c>
      <c r="AV63" s="71">
        <f>AV61+AV62</f>
        <v/>
      </c>
      <c r="AW63" s="71">
        <f>AW61+AW62</f>
        <v/>
      </c>
      <c r="AX63" s="71">
        <f>AX61+AX62</f>
        <v/>
      </c>
      <c r="AY63" s="71">
        <f>AY61+AY62</f>
        <v/>
      </c>
      <c r="AZ63" s="71">
        <f>AZ61+AZ62</f>
        <v/>
      </c>
      <c r="BA63" s="71">
        <f>BA61+BA62</f>
        <v/>
      </c>
      <c r="BB63" s="71">
        <f>BB61+BB62</f>
        <v/>
      </c>
      <c r="BC63" s="71">
        <f>BC61+BC62</f>
        <v/>
      </c>
      <c r="BD63" s="71">
        <f>BD61+BD62</f>
        <v/>
      </c>
      <c r="BE63" s="71">
        <f>BE61+BE62</f>
        <v/>
      </c>
      <c r="BF63" s="71">
        <f>BF61+BF62</f>
        <v/>
      </c>
      <c r="BG63" s="71">
        <f>BG61+BG62</f>
        <v/>
      </c>
      <c r="BH63" s="71">
        <f>BH61+BH62</f>
        <v/>
      </c>
      <c r="BI63" s="71">
        <f>BI61+BI62</f>
        <v/>
      </c>
      <c r="BJ63" s="71">
        <f>BJ61+BJ62</f>
        <v/>
      </c>
      <c r="BK63" s="71">
        <f>BK61+BK62</f>
        <v/>
      </c>
      <c r="BL63" s="71">
        <f>BL61+BL62</f>
        <v/>
      </c>
    </row>
    <row r="64"/>
    <row r="65">
      <c r="A65" s="14" t="inlineStr">
        <is>
          <t>MEMO</t>
        </is>
      </c>
      <c r="B65" s="15" t="n"/>
      <c r="C65" s="15" t="n"/>
      <c r="D65" s="15" t="n"/>
      <c r="E65" s="15" t="n"/>
      <c r="F65" s="15" t="n"/>
      <c r="G65" s="15" t="n"/>
      <c r="H65" s="15" t="n"/>
      <c r="I65" s="15" t="n"/>
      <c r="J65" s="15" t="n"/>
      <c r="K65" s="15" t="n"/>
      <c r="L65" s="15" t="n"/>
      <c r="M65" s="15" t="n"/>
      <c r="N65" s="15" t="n"/>
      <c r="O65" s="15" t="n"/>
      <c r="P65" s="15" t="n"/>
      <c r="Q65" s="15" t="n"/>
      <c r="R65" s="15" t="n"/>
      <c r="S65" s="15" t="n"/>
      <c r="T65" s="15" t="n"/>
      <c r="U65" s="15" t="n"/>
      <c r="V65" s="15" t="n"/>
      <c r="W65" s="15" t="n"/>
      <c r="X65" s="15" t="n"/>
      <c r="Y65" s="15" t="n"/>
      <c r="Z65" s="15" t="n"/>
      <c r="AA65" s="15" t="n"/>
      <c r="AB65" s="15" t="n"/>
      <c r="AC65" s="15" t="n"/>
      <c r="AD65" s="15" t="n"/>
      <c r="AE65" s="15" t="n"/>
      <c r="AF65" s="15" t="n"/>
      <c r="AG65" s="15" t="n"/>
      <c r="AH65" s="15" t="n"/>
      <c r="AI65" s="15" t="n"/>
      <c r="AJ65" s="15" t="n"/>
      <c r="AK65" s="15" t="n"/>
      <c r="AL65" s="15" t="n"/>
      <c r="AM65" s="15" t="n"/>
      <c r="AN65" s="15" t="n"/>
      <c r="AO65" s="15" t="n"/>
      <c r="AP65" s="15" t="n"/>
      <c r="AQ65" s="15" t="n"/>
      <c r="AR65" s="15" t="n"/>
      <c r="AS65" s="15" t="n"/>
      <c r="AT65" s="15" t="n"/>
      <c r="AU65" s="15" t="n"/>
      <c r="AV65" s="15" t="n"/>
      <c r="AW65" s="15" t="n"/>
      <c r="AX65" s="15" t="n"/>
      <c r="AY65" s="15" t="n"/>
      <c r="AZ65" s="15" t="n"/>
      <c r="BA65" s="15" t="n"/>
      <c r="BB65" s="15" t="n"/>
      <c r="BC65" s="15" t="n"/>
      <c r="BD65" s="15" t="n"/>
      <c r="BE65" s="15" t="n"/>
      <c r="BF65" s="15" t="n"/>
      <c r="BG65" s="15" t="n"/>
      <c r="BH65" s="15" t="n"/>
      <c r="BI65" s="15" t="n"/>
      <c r="BJ65" s="15" t="n"/>
      <c r="BK65" s="15" t="n"/>
      <c r="BL65" s="15" t="n"/>
    </row>
    <row r="66">
      <c r="A66" s="55" t="inlineStr">
        <is>
          <t>EBITDA positive (1 = yes)</t>
        </is>
      </c>
      <c r="B66" s="26" t="inlineStr">
        <is>
          <t>flag</t>
        </is>
      </c>
      <c r="E66" s="46">
        <f>IF(E18&gt;0,1,0)</f>
        <v/>
      </c>
      <c r="F66" s="46">
        <f>IF(F18&gt;0,1,0)</f>
        <v/>
      </c>
      <c r="G66" s="46">
        <f>IF(G18&gt;0,1,0)</f>
        <v/>
      </c>
      <c r="H66" s="46">
        <f>IF(H18&gt;0,1,0)</f>
        <v/>
      </c>
      <c r="I66" s="46">
        <f>IF(I18&gt;0,1,0)</f>
        <v/>
      </c>
      <c r="J66" s="46">
        <f>IF(J18&gt;0,1,0)</f>
        <v/>
      </c>
      <c r="K66" s="46">
        <f>IF(K18&gt;0,1,0)</f>
        <v/>
      </c>
      <c r="L66" s="46">
        <f>IF(L18&gt;0,1,0)</f>
        <v/>
      </c>
      <c r="M66" s="46">
        <f>IF(M18&gt;0,1,0)</f>
        <v/>
      </c>
      <c r="N66" s="46">
        <f>IF(N18&gt;0,1,0)</f>
        <v/>
      </c>
      <c r="O66" s="46">
        <f>IF(O18&gt;0,1,0)</f>
        <v/>
      </c>
      <c r="P66" s="46">
        <f>IF(P18&gt;0,1,0)</f>
        <v/>
      </c>
      <c r="Q66" s="46">
        <f>IF(Q18&gt;0,1,0)</f>
        <v/>
      </c>
      <c r="R66" s="46">
        <f>IF(R18&gt;0,1,0)</f>
        <v/>
      </c>
      <c r="S66" s="46">
        <f>IF(S18&gt;0,1,0)</f>
        <v/>
      </c>
      <c r="T66" s="46">
        <f>IF(T18&gt;0,1,0)</f>
        <v/>
      </c>
      <c r="U66" s="46">
        <f>IF(U18&gt;0,1,0)</f>
        <v/>
      </c>
      <c r="V66" s="46">
        <f>IF(V18&gt;0,1,0)</f>
        <v/>
      </c>
      <c r="W66" s="46">
        <f>IF(W18&gt;0,1,0)</f>
        <v/>
      </c>
      <c r="X66" s="46">
        <f>IF(X18&gt;0,1,0)</f>
        <v/>
      </c>
      <c r="Y66" s="46">
        <f>IF(Y18&gt;0,1,0)</f>
        <v/>
      </c>
      <c r="Z66" s="46">
        <f>IF(Z18&gt;0,1,0)</f>
        <v/>
      </c>
      <c r="AA66" s="46">
        <f>IF(AA18&gt;0,1,0)</f>
        <v/>
      </c>
      <c r="AB66" s="46">
        <f>IF(AB18&gt;0,1,0)</f>
        <v/>
      </c>
      <c r="AC66" s="46">
        <f>IF(AC18&gt;0,1,0)</f>
        <v/>
      </c>
      <c r="AD66" s="46">
        <f>IF(AD18&gt;0,1,0)</f>
        <v/>
      </c>
      <c r="AE66" s="46">
        <f>IF(AE18&gt;0,1,0)</f>
        <v/>
      </c>
      <c r="AF66" s="46">
        <f>IF(AF18&gt;0,1,0)</f>
        <v/>
      </c>
      <c r="AG66" s="46">
        <f>IF(AG18&gt;0,1,0)</f>
        <v/>
      </c>
      <c r="AH66" s="46">
        <f>IF(AH18&gt;0,1,0)</f>
        <v/>
      </c>
      <c r="AI66" s="46">
        <f>IF(AI18&gt;0,1,0)</f>
        <v/>
      </c>
      <c r="AJ66" s="46">
        <f>IF(AJ18&gt;0,1,0)</f>
        <v/>
      </c>
      <c r="AK66" s="46">
        <f>IF(AK18&gt;0,1,0)</f>
        <v/>
      </c>
      <c r="AL66" s="46">
        <f>IF(AL18&gt;0,1,0)</f>
        <v/>
      </c>
      <c r="AM66" s="46">
        <f>IF(AM18&gt;0,1,0)</f>
        <v/>
      </c>
      <c r="AN66" s="46">
        <f>IF(AN18&gt;0,1,0)</f>
        <v/>
      </c>
      <c r="AO66" s="46">
        <f>IF(AO18&gt;0,1,0)</f>
        <v/>
      </c>
      <c r="AP66" s="46">
        <f>IF(AP18&gt;0,1,0)</f>
        <v/>
      </c>
      <c r="AQ66" s="46">
        <f>IF(AQ18&gt;0,1,0)</f>
        <v/>
      </c>
      <c r="AR66" s="46">
        <f>IF(AR18&gt;0,1,0)</f>
        <v/>
      </c>
      <c r="AS66" s="46">
        <f>IF(AS18&gt;0,1,0)</f>
        <v/>
      </c>
      <c r="AT66" s="46">
        <f>IF(AT18&gt;0,1,0)</f>
        <v/>
      </c>
      <c r="AU66" s="46">
        <f>IF(AU18&gt;0,1,0)</f>
        <v/>
      </c>
      <c r="AV66" s="46">
        <f>IF(AV18&gt;0,1,0)</f>
        <v/>
      </c>
      <c r="AW66" s="46">
        <f>IF(AW18&gt;0,1,0)</f>
        <v/>
      </c>
      <c r="AX66" s="46">
        <f>IF(AX18&gt;0,1,0)</f>
        <v/>
      </c>
      <c r="AY66" s="46">
        <f>IF(AY18&gt;0,1,0)</f>
        <v/>
      </c>
      <c r="AZ66" s="46">
        <f>IF(AZ18&gt;0,1,0)</f>
        <v/>
      </c>
      <c r="BA66" s="46">
        <f>IF(BA18&gt;0,1,0)</f>
        <v/>
      </c>
      <c r="BB66" s="46">
        <f>IF(BB18&gt;0,1,0)</f>
        <v/>
      </c>
      <c r="BC66" s="46">
        <f>IF(BC18&gt;0,1,0)</f>
        <v/>
      </c>
      <c r="BD66" s="46">
        <f>IF(BD18&gt;0,1,0)</f>
        <v/>
      </c>
      <c r="BE66" s="46">
        <f>IF(BE18&gt;0,1,0)</f>
        <v/>
      </c>
      <c r="BF66" s="46">
        <f>IF(BF18&gt;0,1,0)</f>
        <v/>
      </c>
      <c r="BG66" s="46">
        <f>IF(BG18&gt;0,1,0)</f>
        <v/>
      </c>
      <c r="BH66" s="46">
        <f>IF(BH18&gt;0,1,0)</f>
        <v/>
      </c>
      <c r="BI66" s="46">
        <f>IF(BI18&gt;0,1,0)</f>
        <v/>
      </c>
      <c r="BJ66" s="46">
        <f>IF(BJ18&gt;0,1,0)</f>
        <v/>
      </c>
      <c r="BK66" s="46">
        <f>IF(BK18&gt;0,1,0)</f>
        <v/>
      </c>
      <c r="BL66" s="46">
        <f>IF(BL18&gt;0,1,0)</f>
        <v/>
      </c>
    </row>
    <row r="67">
      <c r="A67" s="55" t="inlineStr">
        <is>
          <t>Operating cash flow positive (1 = yes)</t>
        </is>
      </c>
      <c r="B67" s="26" t="inlineStr">
        <is>
          <t>flag</t>
        </is>
      </c>
      <c r="E67" s="46">
        <f>IF(E55&gt;0,1,0)</f>
        <v/>
      </c>
      <c r="F67" s="46">
        <f>IF(F55&gt;0,1,0)</f>
        <v/>
      </c>
      <c r="G67" s="46">
        <f>IF(G55&gt;0,1,0)</f>
        <v/>
      </c>
      <c r="H67" s="46">
        <f>IF(H55&gt;0,1,0)</f>
        <v/>
      </c>
      <c r="I67" s="46">
        <f>IF(I55&gt;0,1,0)</f>
        <v/>
      </c>
      <c r="J67" s="46">
        <f>IF(J55&gt;0,1,0)</f>
        <v/>
      </c>
      <c r="K67" s="46">
        <f>IF(K55&gt;0,1,0)</f>
        <v/>
      </c>
      <c r="L67" s="46">
        <f>IF(L55&gt;0,1,0)</f>
        <v/>
      </c>
      <c r="M67" s="46">
        <f>IF(M55&gt;0,1,0)</f>
        <v/>
      </c>
      <c r="N67" s="46">
        <f>IF(N55&gt;0,1,0)</f>
        <v/>
      </c>
      <c r="O67" s="46">
        <f>IF(O55&gt;0,1,0)</f>
        <v/>
      </c>
      <c r="P67" s="46">
        <f>IF(P55&gt;0,1,0)</f>
        <v/>
      </c>
      <c r="Q67" s="46">
        <f>IF(Q55&gt;0,1,0)</f>
        <v/>
      </c>
      <c r="R67" s="46">
        <f>IF(R55&gt;0,1,0)</f>
        <v/>
      </c>
      <c r="S67" s="46">
        <f>IF(S55&gt;0,1,0)</f>
        <v/>
      </c>
      <c r="T67" s="46">
        <f>IF(T55&gt;0,1,0)</f>
        <v/>
      </c>
      <c r="U67" s="46">
        <f>IF(U55&gt;0,1,0)</f>
        <v/>
      </c>
      <c r="V67" s="46">
        <f>IF(V55&gt;0,1,0)</f>
        <v/>
      </c>
      <c r="W67" s="46">
        <f>IF(W55&gt;0,1,0)</f>
        <v/>
      </c>
      <c r="X67" s="46">
        <f>IF(X55&gt;0,1,0)</f>
        <v/>
      </c>
      <c r="Y67" s="46">
        <f>IF(Y55&gt;0,1,0)</f>
        <v/>
      </c>
      <c r="Z67" s="46">
        <f>IF(Z55&gt;0,1,0)</f>
        <v/>
      </c>
      <c r="AA67" s="46">
        <f>IF(AA55&gt;0,1,0)</f>
        <v/>
      </c>
      <c r="AB67" s="46">
        <f>IF(AB55&gt;0,1,0)</f>
        <v/>
      </c>
      <c r="AC67" s="46">
        <f>IF(AC55&gt;0,1,0)</f>
        <v/>
      </c>
      <c r="AD67" s="46">
        <f>IF(AD55&gt;0,1,0)</f>
        <v/>
      </c>
      <c r="AE67" s="46">
        <f>IF(AE55&gt;0,1,0)</f>
        <v/>
      </c>
      <c r="AF67" s="46">
        <f>IF(AF55&gt;0,1,0)</f>
        <v/>
      </c>
      <c r="AG67" s="46">
        <f>IF(AG55&gt;0,1,0)</f>
        <v/>
      </c>
      <c r="AH67" s="46">
        <f>IF(AH55&gt;0,1,0)</f>
        <v/>
      </c>
      <c r="AI67" s="46">
        <f>IF(AI55&gt;0,1,0)</f>
        <v/>
      </c>
      <c r="AJ67" s="46">
        <f>IF(AJ55&gt;0,1,0)</f>
        <v/>
      </c>
      <c r="AK67" s="46">
        <f>IF(AK55&gt;0,1,0)</f>
        <v/>
      </c>
      <c r="AL67" s="46">
        <f>IF(AL55&gt;0,1,0)</f>
        <v/>
      </c>
      <c r="AM67" s="46">
        <f>IF(AM55&gt;0,1,0)</f>
        <v/>
      </c>
      <c r="AN67" s="46">
        <f>IF(AN55&gt;0,1,0)</f>
        <v/>
      </c>
      <c r="AO67" s="46">
        <f>IF(AO55&gt;0,1,0)</f>
        <v/>
      </c>
      <c r="AP67" s="46">
        <f>IF(AP55&gt;0,1,0)</f>
        <v/>
      </c>
      <c r="AQ67" s="46">
        <f>IF(AQ55&gt;0,1,0)</f>
        <v/>
      </c>
      <c r="AR67" s="46">
        <f>IF(AR55&gt;0,1,0)</f>
        <v/>
      </c>
      <c r="AS67" s="46">
        <f>IF(AS55&gt;0,1,0)</f>
        <v/>
      </c>
      <c r="AT67" s="46">
        <f>IF(AT55&gt;0,1,0)</f>
        <v/>
      </c>
      <c r="AU67" s="46">
        <f>IF(AU55&gt;0,1,0)</f>
        <v/>
      </c>
      <c r="AV67" s="46">
        <f>IF(AV55&gt;0,1,0)</f>
        <v/>
      </c>
      <c r="AW67" s="46">
        <f>IF(AW55&gt;0,1,0)</f>
        <v/>
      </c>
      <c r="AX67" s="46">
        <f>IF(AX55&gt;0,1,0)</f>
        <v/>
      </c>
      <c r="AY67" s="46">
        <f>IF(AY55&gt;0,1,0)</f>
        <v/>
      </c>
      <c r="AZ67" s="46">
        <f>IF(AZ55&gt;0,1,0)</f>
        <v/>
      </c>
      <c r="BA67" s="46">
        <f>IF(BA55&gt;0,1,0)</f>
        <v/>
      </c>
      <c r="BB67" s="46">
        <f>IF(BB55&gt;0,1,0)</f>
        <v/>
      </c>
      <c r="BC67" s="46">
        <f>IF(BC55&gt;0,1,0)</f>
        <v/>
      </c>
      <c r="BD67" s="46">
        <f>IF(BD55&gt;0,1,0)</f>
        <v/>
      </c>
      <c r="BE67" s="46">
        <f>IF(BE55&gt;0,1,0)</f>
        <v/>
      </c>
      <c r="BF67" s="46">
        <f>IF(BF55&gt;0,1,0)</f>
        <v/>
      </c>
      <c r="BG67" s="46">
        <f>IF(BG55&gt;0,1,0)</f>
        <v/>
      </c>
      <c r="BH67" s="46">
        <f>IF(BH55&gt;0,1,0)</f>
        <v/>
      </c>
      <c r="BI67" s="46">
        <f>IF(BI55&gt;0,1,0)</f>
        <v/>
      </c>
      <c r="BJ67" s="46">
        <f>IF(BJ55&gt;0,1,0)</f>
        <v/>
      </c>
      <c r="BK67" s="46">
        <f>IF(BK55&gt;0,1,0)</f>
        <v/>
      </c>
      <c r="BL67" s="46">
        <f>IF(BL55&gt;0,1,0)</f>
        <v/>
      </c>
    </row>
  </sheetData>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BL161"/>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Operations &amp; PAYGo portfolio</t>
        </is>
      </c>
    </row>
    <row r="2">
      <c r="A2" s="2" t="inlineStr">
        <is>
          <t>By tier, then total. LCY unless stated.</t>
        </is>
      </c>
    </row>
    <row r="3"/>
    <row r="4">
      <c r="A4" s="51" t="inlineStr">
        <is>
          <t>Month #</t>
        </is>
      </c>
      <c r="B4" s="52" t="n"/>
      <c r="C4" s="52" t="n"/>
      <c r="D4" s="51" t="inlineStr">
        <is>
          <t>Opening</t>
        </is>
      </c>
      <c r="E4" s="53">
        <f>Timeline!E4</f>
        <v/>
      </c>
      <c r="F4" s="53">
        <f>Timeline!F4</f>
        <v/>
      </c>
      <c r="G4" s="53">
        <f>Timeline!G4</f>
        <v/>
      </c>
      <c r="H4" s="53">
        <f>Timeline!H4</f>
        <v/>
      </c>
      <c r="I4" s="53">
        <f>Timeline!I4</f>
        <v/>
      </c>
      <c r="J4" s="53">
        <f>Timeline!J4</f>
        <v/>
      </c>
      <c r="K4" s="53">
        <f>Timeline!K4</f>
        <v/>
      </c>
      <c r="L4" s="53">
        <f>Timeline!L4</f>
        <v/>
      </c>
      <c r="M4" s="53">
        <f>Timeline!M4</f>
        <v/>
      </c>
      <c r="N4" s="53">
        <f>Timeline!N4</f>
        <v/>
      </c>
      <c r="O4" s="53">
        <f>Timeline!O4</f>
        <v/>
      </c>
      <c r="P4" s="53">
        <f>Timeline!P4</f>
        <v/>
      </c>
      <c r="Q4" s="53">
        <f>Timeline!Q4</f>
        <v/>
      </c>
      <c r="R4" s="53">
        <f>Timeline!R4</f>
        <v/>
      </c>
      <c r="S4" s="53">
        <f>Timeline!S4</f>
        <v/>
      </c>
      <c r="T4" s="53">
        <f>Timeline!T4</f>
        <v/>
      </c>
      <c r="U4" s="53">
        <f>Timeline!U4</f>
        <v/>
      </c>
      <c r="V4" s="53">
        <f>Timeline!V4</f>
        <v/>
      </c>
      <c r="W4" s="53">
        <f>Timeline!W4</f>
        <v/>
      </c>
      <c r="X4" s="53">
        <f>Timeline!X4</f>
        <v/>
      </c>
      <c r="Y4" s="53">
        <f>Timeline!Y4</f>
        <v/>
      </c>
      <c r="Z4" s="53">
        <f>Timeline!Z4</f>
        <v/>
      </c>
      <c r="AA4" s="53">
        <f>Timeline!AA4</f>
        <v/>
      </c>
      <c r="AB4" s="53">
        <f>Timeline!AB4</f>
        <v/>
      </c>
      <c r="AC4" s="53">
        <f>Timeline!AC4</f>
        <v/>
      </c>
      <c r="AD4" s="53">
        <f>Timeline!AD4</f>
        <v/>
      </c>
      <c r="AE4" s="53">
        <f>Timeline!AE4</f>
        <v/>
      </c>
      <c r="AF4" s="53">
        <f>Timeline!AF4</f>
        <v/>
      </c>
      <c r="AG4" s="53">
        <f>Timeline!AG4</f>
        <v/>
      </c>
      <c r="AH4" s="53">
        <f>Timeline!AH4</f>
        <v/>
      </c>
      <c r="AI4" s="53">
        <f>Timeline!AI4</f>
        <v/>
      </c>
      <c r="AJ4" s="53">
        <f>Timeline!AJ4</f>
        <v/>
      </c>
      <c r="AK4" s="53">
        <f>Timeline!AK4</f>
        <v/>
      </c>
      <c r="AL4" s="53">
        <f>Timeline!AL4</f>
        <v/>
      </c>
      <c r="AM4" s="53">
        <f>Timeline!AM4</f>
        <v/>
      </c>
      <c r="AN4" s="53">
        <f>Timeline!AN4</f>
        <v/>
      </c>
      <c r="AO4" s="53">
        <f>Timeline!AO4</f>
        <v/>
      </c>
      <c r="AP4" s="53">
        <f>Timeline!AP4</f>
        <v/>
      </c>
      <c r="AQ4" s="53">
        <f>Timeline!AQ4</f>
        <v/>
      </c>
      <c r="AR4" s="53">
        <f>Timeline!AR4</f>
        <v/>
      </c>
      <c r="AS4" s="53">
        <f>Timeline!AS4</f>
        <v/>
      </c>
      <c r="AT4" s="53">
        <f>Timeline!AT4</f>
        <v/>
      </c>
      <c r="AU4" s="53">
        <f>Timeline!AU4</f>
        <v/>
      </c>
      <c r="AV4" s="53">
        <f>Timeline!AV4</f>
        <v/>
      </c>
      <c r="AW4" s="53">
        <f>Timeline!AW4</f>
        <v/>
      </c>
      <c r="AX4" s="53">
        <f>Timeline!AX4</f>
        <v/>
      </c>
      <c r="AY4" s="53">
        <f>Timeline!AY4</f>
        <v/>
      </c>
      <c r="AZ4" s="53">
        <f>Timeline!AZ4</f>
        <v/>
      </c>
      <c r="BA4" s="53">
        <f>Timeline!BA4</f>
        <v/>
      </c>
      <c r="BB4" s="53">
        <f>Timeline!BB4</f>
        <v/>
      </c>
      <c r="BC4" s="53">
        <f>Timeline!BC4</f>
        <v/>
      </c>
      <c r="BD4" s="53">
        <f>Timeline!BD4</f>
        <v/>
      </c>
      <c r="BE4" s="53">
        <f>Timeline!BE4</f>
        <v/>
      </c>
      <c r="BF4" s="53">
        <f>Timeline!BF4</f>
        <v/>
      </c>
      <c r="BG4" s="53">
        <f>Timeline!BG4</f>
        <v/>
      </c>
      <c r="BH4" s="53">
        <f>Timeline!BH4</f>
        <v/>
      </c>
      <c r="BI4" s="53">
        <f>Timeline!BI4</f>
        <v/>
      </c>
      <c r="BJ4" s="53">
        <f>Timeline!BJ4</f>
        <v/>
      </c>
      <c r="BK4" s="53">
        <f>Timeline!BK4</f>
        <v/>
      </c>
      <c r="BL4" s="53">
        <f>Timeline!BL4</f>
        <v/>
      </c>
    </row>
    <row r="5">
      <c r="A5" s="51" t="inlineStr">
        <is>
          <t>Period end</t>
        </is>
      </c>
      <c r="B5" s="52" t="n"/>
      <c r="C5" s="52" t="n"/>
      <c r="D5" s="51" t="n"/>
      <c r="E5" s="54">
        <f>Timeline!E5</f>
        <v/>
      </c>
      <c r="F5" s="54">
        <f>Timeline!F5</f>
        <v/>
      </c>
      <c r="G5" s="54">
        <f>Timeline!G5</f>
        <v/>
      </c>
      <c r="H5" s="54">
        <f>Timeline!H5</f>
        <v/>
      </c>
      <c r="I5" s="54">
        <f>Timeline!I5</f>
        <v/>
      </c>
      <c r="J5" s="54">
        <f>Timeline!J5</f>
        <v/>
      </c>
      <c r="K5" s="54">
        <f>Timeline!K5</f>
        <v/>
      </c>
      <c r="L5" s="54">
        <f>Timeline!L5</f>
        <v/>
      </c>
      <c r="M5" s="54">
        <f>Timeline!M5</f>
        <v/>
      </c>
      <c r="N5" s="54">
        <f>Timeline!N5</f>
        <v/>
      </c>
      <c r="O5" s="54">
        <f>Timeline!O5</f>
        <v/>
      </c>
      <c r="P5" s="54">
        <f>Timeline!P5</f>
        <v/>
      </c>
      <c r="Q5" s="54">
        <f>Timeline!Q5</f>
        <v/>
      </c>
      <c r="R5" s="54">
        <f>Timeline!R5</f>
        <v/>
      </c>
      <c r="S5" s="54">
        <f>Timeline!S5</f>
        <v/>
      </c>
      <c r="T5" s="54">
        <f>Timeline!T5</f>
        <v/>
      </c>
      <c r="U5" s="54">
        <f>Timeline!U5</f>
        <v/>
      </c>
      <c r="V5" s="54">
        <f>Timeline!V5</f>
        <v/>
      </c>
      <c r="W5" s="54">
        <f>Timeline!W5</f>
        <v/>
      </c>
      <c r="X5" s="54">
        <f>Timeline!X5</f>
        <v/>
      </c>
      <c r="Y5" s="54">
        <f>Timeline!Y5</f>
        <v/>
      </c>
      <c r="Z5" s="54">
        <f>Timeline!Z5</f>
        <v/>
      </c>
      <c r="AA5" s="54">
        <f>Timeline!AA5</f>
        <v/>
      </c>
      <c r="AB5" s="54">
        <f>Timeline!AB5</f>
        <v/>
      </c>
      <c r="AC5" s="54">
        <f>Timeline!AC5</f>
        <v/>
      </c>
      <c r="AD5" s="54">
        <f>Timeline!AD5</f>
        <v/>
      </c>
      <c r="AE5" s="54">
        <f>Timeline!AE5</f>
        <v/>
      </c>
      <c r="AF5" s="54">
        <f>Timeline!AF5</f>
        <v/>
      </c>
      <c r="AG5" s="54">
        <f>Timeline!AG5</f>
        <v/>
      </c>
      <c r="AH5" s="54">
        <f>Timeline!AH5</f>
        <v/>
      </c>
      <c r="AI5" s="54">
        <f>Timeline!AI5</f>
        <v/>
      </c>
      <c r="AJ5" s="54">
        <f>Timeline!AJ5</f>
        <v/>
      </c>
      <c r="AK5" s="54">
        <f>Timeline!AK5</f>
        <v/>
      </c>
      <c r="AL5" s="54">
        <f>Timeline!AL5</f>
        <v/>
      </c>
      <c r="AM5" s="54">
        <f>Timeline!AM5</f>
        <v/>
      </c>
      <c r="AN5" s="54">
        <f>Timeline!AN5</f>
        <v/>
      </c>
      <c r="AO5" s="54">
        <f>Timeline!AO5</f>
        <v/>
      </c>
      <c r="AP5" s="54">
        <f>Timeline!AP5</f>
        <v/>
      </c>
      <c r="AQ5" s="54">
        <f>Timeline!AQ5</f>
        <v/>
      </c>
      <c r="AR5" s="54">
        <f>Timeline!AR5</f>
        <v/>
      </c>
      <c r="AS5" s="54">
        <f>Timeline!AS5</f>
        <v/>
      </c>
      <c r="AT5" s="54">
        <f>Timeline!AT5</f>
        <v/>
      </c>
      <c r="AU5" s="54">
        <f>Timeline!AU5</f>
        <v/>
      </c>
      <c r="AV5" s="54">
        <f>Timeline!AV5</f>
        <v/>
      </c>
      <c r="AW5" s="54">
        <f>Timeline!AW5</f>
        <v/>
      </c>
      <c r="AX5" s="54">
        <f>Timeline!AX5</f>
        <v/>
      </c>
      <c r="AY5" s="54">
        <f>Timeline!AY5</f>
        <v/>
      </c>
      <c r="AZ5" s="54">
        <f>Timeline!AZ5</f>
        <v/>
      </c>
      <c r="BA5" s="54">
        <f>Timeline!BA5</f>
        <v/>
      </c>
      <c r="BB5" s="54">
        <f>Timeline!BB5</f>
        <v/>
      </c>
      <c r="BC5" s="54">
        <f>Timeline!BC5</f>
        <v/>
      </c>
      <c r="BD5" s="54">
        <f>Timeline!BD5</f>
        <v/>
      </c>
      <c r="BE5" s="54">
        <f>Timeline!BE5</f>
        <v/>
      </c>
      <c r="BF5" s="54">
        <f>Timeline!BF5</f>
        <v/>
      </c>
      <c r="BG5" s="54">
        <f>Timeline!BG5</f>
        <v/>
      </c>
      <c r="BH5" s="54">
        <f>Timeline!BH5</f>
        <v/>
      </c>
      <c r="BI5" s="54">
        <f>Timeline!BI5</f>
        <v/>
      </c>
      <c r="BJ5" s="54">
        <f>Timeline!BJ5</f>
        <v/>
      </c>
      <c r="BK5" s="54">
        <f>Timeline!BK5</f>
        <v/>
      </c>
      <c r="BL5" s="54">
        <f>Timeline!BL5</f>
        <v/>
      </c>
    </row>
    <row r="6">
      <c r="A6" s="51" t="inlineStr">
        <is>
          <t>Year #</t>
        </is>
      </c>
      <c r="B6" s="52" t="n"/>
      <c r="C6" s="52" t="n"/>
      <c r="D6" s="51" t="n"/>
      <c r="E6" s="53">
        <f>Timeline!E6</f>
        <v/>
      </c>
      <c r="F6" s="53">
        <f>Timeline!F6</f>
        <v/>
      </c>
      <c r="G6" s="53">
        <f>Timeline!G6</f>
        <v/>
      </c>
      <c r="H6" s="53">
        <f>Timeline!H6</f>
        <v/>
      </c>
      <c r="I6" s="53">
        <f>Timeline!I6</f>
        <v/>
      </c>
      <c r="J6" s="53">
        <f>Timeline!J6</f>
        <v/>
      </c>
      <c r="K6" s="53">
        <f>Timeline!K6</f>
        <v/>
      </c>
      <c r="L6" s="53">
        <f>Timeline!L6</f>
        <v/>
      </c>
      <c r="M6" s="53">
        <f>Timeline!M6</f>
        <v/>
      </c>
      <c r="N6" s="53">
        <f>Timeline!N6</f>
        <v/>
      </c>
      <c r="O6" s="53">
        <f>Timeline!O6</f>
        <v/>
      </c>
      <c r="P6" s="53">
        <f>Timeline!P6</f>
        <v/>
      </c>
      <c r="Q6" s="53">
        <f>Timeline!Q6</f>
        <v/>
      </c>
      <c r="R6" s="53">
        <f>Timeline!R6</f>
        <v/>
      </c>
      <c r="S6" s="53">
        <f>Timeline!S6</f>
        <v/>
      </c>
      <c r="T6" s="53">
        <f>Timeline!T6</f>
        <v/>
      </c>
      <c r="U6" s="53">
        <f>Timeline!U6</f>
        <v/>
      </c>
      <c r="V6" s="53">
        <f>Timeline!V6</f>
        <v/>
      </c>
      <c r="W6" s="53">
        <f>Timeline!W6</f>
        <v/>
      </c>
      <c r="X6" s="53">
        <f>Timeline!X6</f>
        <v/>
      </c>
      <c r="Y6" s="53">
        <f>Timeline!Y6</f>
        <v/>
      </c>
      <c r="Z6" s="53">
        <f>Timeline!Z6</f>
        <v/>
      </c>
      <c r="AA6" s="53">
        <f>Timeline!AA6</f>
        <v/>
      </c>
      <c r="AB6" s="53">
        <f>Timeline!AB6</f>
        <v/>
      </c>
      <c r="AC6" s="53">
        <f>Timeline!AC6</f>
        <v/>
      </c>
      <c r="AD6" s="53">
        <f>Timeline!AD6</f>
        <v/>
      </c>
      <c r="AE6" s="53">
        <f>Timeline!AE6</f>
        <v/>
      </c>
      <c r="AF6" s="53">
        <f>Timeline!AF6</f>
        <v/>
      </c>
      <c r="AG6" s="53">
        <f>Timeline!AG6</f>
        <v/>
      </c>
      <c r="AH6" s="53">
        <f>Timeline!AH6</f>
        <v/>
      </c>
      <c r="AI6" s="53">
        <f>Timeline!AI6</f>
        <v/>
      </c>
      <c r="AJ6" s="53">
        <f>Timeline!AJ6</f>
        <v/>
      </c>
      <c r="AK6" s="53">
        <f>Timeline!AK6</f>
        <v/>
      </c>
      <c r="AL6" s="53">
        <f>Timeline!AL6</f>
        <v/>
      </c>
      <c r="AM6" s="53">
        <f>Timeline!AM6</f>
        <v/>
      </c>
      <c r="AN6" s="53">
        <f>Timeline!AN6</f>
        <v/>
      </c>
      <c r="AO6" s="53">
        <f>Timeline!AO6</f>
        <v/>
      </c>
      <c r="AP6" s="53">
        <f>Timeline!AP6</f>
        <v/>
      </c>
      <c r="AQ6" s="53">
        <f>Timeline!AQ6</f>
        <v/>
      </c>
      <c r="AR6" s="53">
        <f>Timeline!AR6</f>
        <v/>
      </c>
      <c r="AS6" s="53">
        <f>Timeline!AS6</f>
        <v/>
      </c>
      <c r="AT6" s="53">
        <f>Timeline!AT6</f>
        <v/>
      </c>
      <c r="AU6" s="53">
        <f>Timeline!AU6</f>
        <v/>
      </c>
      <c r="AV6" s="53">
        <f>Timeline!AV6</f>
        <v/>
      </c>
      <c r="AW6" s="53">
        <f>Timeline!AW6</f>
        <v/>
      </c>
      <c r="AX6" s="53">
        <f>Timeline!AX6</f>
        <v/>
      </c>
      <c r="AY6" s="53">
        <f>Timeline!AY6</f>
        <v/>
      </c>
      <c r="AZ6" s="53">
        <f>Timeline!AZ6</f>
        <v/>
      </c>
      <c r="BA6" s="53">
        <f>Timeline!BA6</f>
        <v/>
      </c>
      <c r="BB6" s="53">
        <f>Timeline!BB6</f>
        <v/>
      </c>
      <c r="BC6" s="53">
        <f>Timeline!BC6</f>
        <v/>
      </c>
      <c r="BD6" s="53">
        <f>Timeline!BD6</f>
        <v/>
      </c>
      <c r="BE6" s="53">
        <f>Timeline!BE6</f>
        <v/>
      </c>
      <c r="BF6" s="53">
        <f>Timeline!BF6</f>
        <v/>
      </c>
      <c r="BG6" s="53">
        <f>Timeline!BG6</f>
        <v/>
      </c>
      <c r="BH6" s="53">
        <f>Timeline!BH6</f>
        <v/>
      </c>
      <c r="BI6" s="53">
        <f>Timeline!BI6</f>
        <v/>
      </c>
      <c r="BJ6" s="53">
        <f>Timeline!BJ6</f>
        <v/>
      </c>
      <c r="BK6" s="53">
        <f>Timeline!BK6</f>
        <v/>
      </c>
      <c r="BL6" s="53">
        <f>Timeline!BL6</f>
        <v/>
      </c>
    </row>
    <row r="7"/>
    <row r="8">
      <c r="A8" s="14">
        <f>Products!$C$6</f>
        <v/>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55" t="inlineStr">
        <is>
          <t>Units sold</t>
        </is>
      </c>
      <c r="B9" s="26" t="inlineStr">
        <is>
          <t>units</t>
        </is>
      </c>
      <c r="C9" s="58">
        <f>SUM(E9:BL9)</f>
        <v/>
      </c>
      <c r="E9" s="39">
        <f>Timeline!E$11*Products!$C$23</f>
        <v/>
      </c>
      <c r="F9" s="39">
        <f>Timeline!F$11*Products!$C$23</f>
        <v/>
      </c>
      <c r="G9" s="39">
        <f>Timeline!G$11*Products!$C$23</f>
        <v/>
      </c>
      <c r="H9" s="39">
        <f>Timeline!H$11*Products!$C$23</f>
        <v/>
      </c>
      <c r="I9" s="39">
        <f>Timeline!I$11*Products!$C$23</f>
        <v/>
      </c>
      <c r="J9" s="39">
        <f>Timeline!J$11*Products!$C$23</f>
        <v/>
      </c>
      <c r="K9" s="39">
        <f>Timeline!K$11*Products!$C$23</f>
        <v/>
      </c>
      <c r="L9" s="39">
        <f>Timeline!L$11*Products!$C$23</f>
        <v/>
      </c>
      <c r="M9" s="39">
        <f>Timeline!M$11*Products!$C$23</f>
        <v/>
      </c>
      <c r="N9" s="39">
        <f>Timeline!N$11*Products!$C$23</f>
        <v/>
      </c>
      <c r="O9" s="39">
        <f>Timeline!O$11*Products!$C$23</f>
        <v/>
      </c>
      <c r="P9" s="39">
        <f>Timeline!P$11*Products!$C$23</f>
        <v/>
      </c>
      <c r="Q9" s="39">
        <f>Timeline!Q$11*Products!$C$23</f>
        <v/>
      </c>
      <c r="R9" s="39">
        <f>Timeline!R$11*Products!$C$23</f>
        <v/>
      </c>
      <c r="S9" s="39">
        <f>Timeline!S$11*Products!$C$23</f>
        <v/>
      </c>
      <c r="T9" s="39">
        <f>Timeline!T$11*Products!$C$23</f>
        <v/>
      </c>
      <c r="U9" s="39">
        <f>Timeline!U$11*Products!$C$23</f>
        <v/>
      </c>
      <c r="V9" s="39">
        <f>Timeline!V$11*Products!$C$23</f>
        <v/>
      </c>
      <c r="W9" s="39">
        <f>Timeline!W$11*Products!$C$23</f>
        <v/>
      </c>
      <c r="X9" s="39">
        <f>Timeline!X$11*Products!$C$23</f>
        <v/>
      </c>
      <c r="Y9" s="39">
        <f>Timeline!Y$11*Products!$C$23</f>
        <v/>
      </c>
      <c r="Z9" s="39">
        <f>Timeline!Z$11*Products!$C$23</f>
        <v/>
      </c>
      <c r="AA9" s="39">
        <f>Timeline!AA$11*Products!$C$23</f>
        <v/>
      </c>
      <c r="AB9" s="39">
        <f>Timeline!AB$11*Products!$C$23</f>
        <v/>
      </c>
      <c r="AC9" s="39">
        <f>Timeline!AC$11*Products!$C$23</f>
        <v/>
      </c>
      <c r="AD9" s="39">
        <f>Timeline!AD$11*Products!$C$23</f>
        <v/>
      </c>
      <c r="AE9" s="39">
        <f>Timeline!AE$11*Products!$C$23</f>
        <v/>
      </c>
      <c r="AF9" s="39">
        <f>Timeline!AF$11*Products!$C$23</f>
        <v/>
      </c>
      <c r="AG9" s="39">
        <f>Timeline!AG$11*Products!$C$23</f>
        <v/>
      </c>
      <c r="AH9" s="39">
        <f>Timeline!AH$11*Products!$C$23</f>
        <v/>
      </c>
      <c r="AI9" s="39">
        <f>Timeline!AI$11*Products!$C$23</f>
        <v/>
      </c>
      <c r="AJ9" s="39">
        <f>Timeline!AJ$11*Products!$C$23</f>
        <v/>
      </c>
      <c r="AK9" s="39">
        <f>Timeline!AK$11*Products!$C$23</f>
        <v/>
      </c>
      <c r="AL9" s="39">
        <f>Timeline!AL$11*Products!$C$23</f>
        <v/>
      </c>
      <c r="AM9" s="39">
        <f>Timeline!AM$11*Products!$C$23</f>
        <v/>
      </c>
      <c r="AN9" s="39">
        <f>Timeline!AN$11*Products!$C$23</f>
        <v/>
      </c>
      <c r="AO9" s="39">
        <f>Timeline!AO$11*Products!$C$23</f>
        <v/>
      </c>
      <c r="AP9" s="39">
        <f>Timeline!AP$11*Products!$C$23</f>
        <v/>
      </c>
      <c r="AQ9" s="39">
        <f>Timeline!AQ$11*Products!$C$23</f>
        <v/>
      </c>
      <c r="AR9" s="39">
        <f>Timeline!AR$11*Products!$C$23</f>
        <v/>
      </c>
      <c r="AS9" s="39">
        <f>Timeline!AS$11*Products!$C$23</f>
        <v/>
      </c>
      <c r="AT9" s="39">
        <f>Timeline!AT$11*Products!$C$23</f>
        <v/>
      </c>
      <c r="AU9" s="39">
        <f>Timeline!AU$11*Products!$C$23</f>
        <v/>
      </c>
      <c r="AV9" s="39">
        <f>Timeline!AV$11*Products!$C$23</f>
        <v/>
      </c>
      <c r="AW9" s="39">
        <f>Timeline!AW$11*Products!$C$23</f>
        <v/>
      </c>
      <c r="AX9" s="39">
        <f>Timeline!AX$11*Products!$C$23</f>
        <v/>
      </c>
      <c r="AY9" s="39">
        <f>Timeline!AY$11*Products!$C$23</f>
        <v/>
      </c>
      <c r="AZ9" s="39">
        <f>Timeline!AZ$11*Products!$C$23</f>
        <v/>
      </c>
      <c r="BA9" s="39">
        <f>Timeline!BA$11*Products!$C$23</f>
        <v/>
      </c>
      <c r="BB9" s="39">
        <f>Timeline!BB$11*Products!$C$23</f>
        <v/>
      </c>
      <c r="BC9" s="39">
        <f>Timeline!BC$11*Products!$C$23</f>
        <v/>
      </c>
      <c r="BD9" s="39">
        <f>Timeline!BD$11*Products!$C$23</f>
        <v/>
      </c>
      <c r="BE9" s="39">
        <f>Timeline!BE$11*Products!$C$23</f>
        <v/>
      </c>
      <c r="BF9" s="39">
        <f>Timeline!BF$11*Products!$C$23</f>
        <v/>
      </c>
      <c r="BG9" s="39">
        <f>Timeline!BG$11*Products!$C$23</f>
        <v/>
      </c>
      <c r="BH9" s="39">
        <f>Timeline!BH$11*Products!$C$23</f>
        <v/>
      </c>
      <c r="BI9" s="39">
        <f>Timeline!BI$11*Products!$C$23</f>
        <v/>
      </c>
      <c r="BJ9" s="39">
        <f>Timeline!BJ$11*Products!$C$23</f>
        <v/>
      </c>
      <c r="BK9" s="39">
        <f>Timeline!BK$11*Products!$C$23</f>
        <v/>
      </c>
      <c r="BL9" s="39">
        <f>Timeline!BL$11*Products!$C$23</f>
        <v/>
      </c>
    </row>
    <row r="10">
      <c r="A10" s="55" t="inlineStr">
        <is>
          <t>Price-indexed units (units x price index)</t>
        </is>
      </c>
      <c r="B10" s="26" t="inlineStr">
        <is>
          <t>units</t>
        </is>
      </c>
      <c r="C10" s="58">
        <f>SUM(E10:BL10)</f>
        <v/>
      </c>
      <c r="E10" s="39">
        <f>E9*Timeline!E$10</f>
        <v/>
      </c>
      <c r="F10" s="39">
        <f>F9*Timeline!F$10</f>
        <v/>
      </c>
      <c r="G10" s="39">
        <f>G9*Timeline!G$10</f>
        <v/>
      </c>
      <c r="H10" s="39">
        <f>H9*Timeline!H$10</f>
        <v/>
      </c>
      <c r="I10" s="39">
        <f>I9*Timeline!I$10</f>
        <v/>
      </c>
      <c r="J10" s="39">
        <f>J9*Timeline!J$10</f>
        <v/>
      </c>
      <c r="K10" s="39">
        <f>K9*Timeline!K$10</f>
        <v/>
      </c>
      <c r="L10" s="39">
        <f>L9*Timeline!L$10</f>
        <v/>
      </c>
      <c r="M10" s="39">
        <f>M9*Timeline!M$10</f>
        <v/>
      </c>
      <c r="N10" s="39">
        <f>N9*Timeline!N$10</f>
        <v/>
      </c>
      <c r="O10" s="39">
        <f>O9*Timeline!O$10</f>
        <v/>
      </c>
      <c r="P10" s="39">
        <f>P9*Timeline!P$10</f>
        <v/>
      </c>
      <c r="Q10" s="39">
        <f>Q9*Timeline!Q$10</f>
        <v/>
      </c>
      <c r="R10" s="39">
        <f>R9*Timeline!R$10</f>
        <v/>
      </c>
      <c r="S10" s="39">
        <f>S9*Timeline!S$10</f>
        <v/>
      </c>
      <c r="T10" s="39">
        <f>T9*Timeline!T$10</f>
        <v/>
      </c>
      <c r="U10" s="39">
        <f>U9*Timeline!U$10</f>
        <v/>
      </c>
      <c r="V10" s="39">
        <f>V9*Timeline!V$10</f>
        <v/>
      </c>
      <c r="W10" s="39">
        <f>W9*Timeline!W$10</f>
        <v/>
      </c>
      <c r="X10" s="39">
        <f>X9*Timeline!X$10</f>
        <v/>
      </c>
      <c r="Y10" s="39">
        <f>Y9*Timeline!Y$10</f>
        <v/>
      </c>
      <c r="Z10" s="39">
        <f>Z9*Timeline!Z$10</f>
        <v/>
      </c>
      <c r="AA10" s="39">
        <f>AA9*Timeline!AA$10</f>
        <v/>
      </c>
      <c r="AB10" s="39">
        <f>AB9*Timeline!AB$10</f>
        <v/>
      </c>
      <c r="AC10" s="39">
        <f>AC9*Timeline!AC$10</f>
        <v/>
      </c>
      <c r="AD10" s="39">
        <f>AD9*Timeline!AD$10</f>
        <v/>
      </c>
      <c r="AE10" s="39">
        <f>AE9*Timeline!AE$10</f>
        <v/>
      </c>
      <c r="AF10" s="39">
        <f>AF9*Timeline!AF$10</f>
        <v/>
      </c>
      <c r="AG10" s="39">
        <f>AG9*Timeline!AG$10</f>
        <v/>
      </c>
      <c r="AH10" s="39">
        <f>AH9*Timeline!AH$10</f>
        <v/>
      </c>
      <c r="AI10" s="39">
        <f>AI9*Timeline!AI$10</f>
        <v/>
      </c>
      <c r="AJ10" s="39">
        <f>AJ9*Timeline!AJ$10</f>
        <v/>
      </c>
      <c r="AK10" s="39">
        <f>AK9*Timeline!AK$10</f>
        <v/>
      </c>
      <c r="AL10" s="39">
        <f>AL9*Timeline!AL$10</f>
        <v/>
      </c>
      <c r="AM10" s="39">
        <f>AM9*Timeline!AM$10</f>
        <v/>
      </c>
      <c r="AN10" s="39">
        <f>AN9*Timeline!AN$10</f>
        <v/>
      </c>
      <c r="AO10" s="39">
        <f>AO9*Timeline!AO$10</f>
        <v/>
      </c>
      <c r="AP10" s="39">
        <f>AP9*Timeline!AP$10</f>
        <v/>
      </c>
      <c r="AQ10" s="39">
        <f>AQ9*Timeline!AQ$10</f>
        <v/>
      </c>
      <c r="AR10" s="39">
        <f>AR9*Timeline!AR$10</f>
        <v/>
      </c>
      <c r="AS10" s="39">
        <f>AS9*Timeline!AS$10</f>
        <v/>
      </c>
      <c r="AT10" s="39">
        <f>AT9*Timeline!AT$10</f>
        <v/>
      </c>
      <c r="AU10" s="39">
        <f>AU9*Timeline!AU$10</f>
        <v/>
      </c>
      <c r="AV10" s="39">
        <f>AV9*Timeline!AV$10</f>
        <v/>
      </c>
      <c r="AW10" s="39">
        <f>AW9*Timeline!AW$10</f>
        <v/>
      </c>
      <c r="AX10" s="39">
        <f>AX9*Timeline!AX$10</f>
        <v/>
      </c>
      <c r="AY10" s="39">
        <f>AY9*Timeline!AY$10</f>
        <v/>
      </c>
      <c r="AZ10" s="39">
        <f>AZ9*Timeline!AZ$10</f>
        <v/>
      </c>
      <c r="BA10" s="39">
        <f>BA9*Timeline!BA$10</f>
        <v/>
      </c>
      <c r="BB10" s="39">
        <f>BB9*Timeline!BB$10</f>
        <v/>
      </c>
      <c r="BC10" s="39">
        <f>BC9*Timeline!BC$10</f>
        <v/>
      </c>
      <c r="BD10" s="39">
        <f>BD9*Timeline!BD$10</f>
        <v/>
      </c>
      <c r="BE10" s="39">
        <f>BE9*Timeline!BE$10</f>
        <v/>
      </c>
      <c r="BF10" s="39">
        <f>BF9*Timeline!BF$10</f>
        <v/>
      </c>
      <c r="BG10" s="39">
        <f>BG9*Timeline!BG$10</f>
        <v/>
      </c>
      <c r="BH10" s="39">
        <f>BH9*Timeline!BH$10</f>
        <v/>
      </c>
      <c r="BI10" s="39">
        <f>BI9*Timeline!BI$10</f>
        <v/>
      </c>
      <c r="BJ10" s="39">
        <f>BJ9*Timeline!BJ$10</f>
        <v/>
      </c>
      <c r="BK10" s="39">
        <f>BK9*Timeline!BK$10</f>
        <v/>
      </c>
      <c r="BL10" s="39">
        <f>BL9*Timeline!BL$10</f>
        <v/>
      </c>
    </row>
    <row r="11">
      <c r="A11" s="55" t="inlineStr">
        <is>
          <t>Down payments collected</t>
        </is>
      </c>
      <c r="B11" s="26" t="inlineStr">
        <is>
          <t>LCY</t>
        </is>
      </c>
      <c r="C11" s="58">
        <f>SUM(E11:BL11)</f>
        <v/>
      </c>
      <c r="E11" s="39">
        <f>E10*Products!$C$14</f>
        <v/>
      </c>
      <c r="F11" s="39">
        <f>F10*Products!$C$14</f>
        <v/>
      </c>
      <c r="G11" s="39">
        <f>G10*Products!$C$14</f>
        <v/>
      </c>
      <c r="H11" s="39">
        <f>H10*Products!$C$14</f>
        <v/>
      </c>
      <c r="I11" s="39">
        <f>I10*Products!$C$14</f>
        <v/>
      </c>
      <c r="J11" s="39">
        <f>J10*Products!$C$14</f>
        <v/>
      </c>
      <c r="K11" s="39">
        <f>K10*Products!$C$14</f>
        <v/>
      </c>
      <c r="L11" s="39">
        <f>L10*Products!$C$14</f>
        <v/>
      </c>
      <c r="M11" s="39">
        <f>M10*Products!$C$14</f>
        <v/>
      </c>
      <c r="N11" s="39">
        <f>N10*Products!$C$14</f>
        <v/>
      </c>
      <c r="O11" s="39">
        <f>O10*Products!$C$14</f>
        <v/>
      </c>
      <c r="P11" s="39">
        <f>P10*Products!$C$14</f>
        <v/>
      </c>
      <c r="Q11" s="39">
        <f>Q10*Products!$C$14</f>
        <v/>
      </c>
      <c r="R11" s="39">
        <f>R10*Products!$C$14</f>
        <v/>
      </c>
      <c r="S11" s="39">
        <f>S10*Products!$C$14</f>
        <v/>
      </c>
      <c r="T11" s="39">
        <f>T10*Products!$C$14</f>
        <v/>
      </c>
      <c r="U11" s="39">
        <f>U10*Products!$C$14</f>
        <v/>
      </c>
      <c r="V11" s="39">
        <f>V10*Products!$C$14</f>
        <v/>
      </c>
      <c r="W11" s="39">
        <f>W10*Products!$C$14</f>
        <v/>
      </c>
      <c r="X11" s="39">
        <f>X10*Products!$C$14</f>
        <v/>
      </c>
      <c r="Y11" s="39">
        <f>Y10*Products!$C$14</f>
        <v/>
      </c>
      <c r="Z11" s="39">
        <f>Z10*Products!$C$14</f>
        <v/>
      </c>
      <c r="AA11" s="39">
        <f>AA10*Products!$C$14</f>
        <v/>
      </c>
      <c r="AB11" s="39">
        <f>AB10*Products!$C$14</f>
        <v/>
      </c>
      <c r="AC11" s="39">
        <f>AC10*Products!$C$14</f>
        <v/>
      </c>
      <c r="AD11" s="39">
        <f>AD10*Products!$C$14</f>
        <v/>
      </c>
      <c r="AE11" s="39">
        <f>AE10*Products!$C$14</f>
        <v/>
      </c>
      <c r="AF11" s="39">
        <f>AF10*Products!$C$14</f>
        <v/>
      </c>
      <c r="AG11" s="39">
        <f>AG10*Products!$C$14</f>
        <v/>
      </c>
      <c r="AH11" s="39">
        <f>AH10*Products!$C$14</f>
        <v/>
      </c>
      <c r="AI11" s="39">
        <f>AI10*Products!$C$14</f>
        <v/>
      </c>
      <c r="AJ11" s="39">
        <f>AJ10*Products!$C$14</f>
        <v/>
      </c>
      <c r="AK11" s="39">
        <f>AK10*Products!$C$14</f>
        <v/>
      </c>
      <c r="AL11" s="39">
        <f>AL10*Products!$C$14</f>
        <v/>
      </c>
      <c r="AM11" s="39">
        <f>AM10*Products!$C$14</f>
        <v/>
      </c>
      <c r="AN11" s="39">
        <f>AN10*Products!$C$14</f>
        <v/>
      </c>
      <c r="AO11" s="39">
        <f>AO10*Products!$C$14</f>
        <v/>
      </c>
      <c r="AP11" s="39">
        <f>AP10*Products!$C$14</f>
        <v/>
      </c>
      <c r="AQ11" s="39">
        <f>AQ10*Products!$C$14</f>
        <v/>
      </c>
      <c r="AR11" s="39">
        <f>AR10*Products!$C$14</f>
        <v/>
      </c>
      <c r="AS11" s="39">
        <f>AS10*Products!$C$14</f>
        <v/>
      </c>
      <c r="AT11" s="39">
        <f>AT10*Products!$C$14</f>
        <v/>
      </c>
      <c r="AU11" s="39">
        <f>AU10*Products!$C$14</f>
        <v/>
      </c>
      <c r="AV11" s="39">
        <f>AV10*Products!$C$14</f>
        <v/>
      </c>
      <c r="AW11" s="39">
        <f>AW10*Products!$C$14</f>
        <v/>
      </c>
      <c r="AX11" s="39">
        <f>AX10*Products!$C$14</f>
        <v/>
      </c>
      <c r="AY11" s="39">
        <f>AY10*Products!$C$14</f>
        <v/>
      </c>
      <c r="AZ11" s="39">
        <f>AZ10*Products!$C$14</f>
        <v/>
      </c>
      <c r="BA11" s="39">
        <f>BA10*Products!$C$14</f>
        <v/>
      </c>
      <c r="BB11" s="39">
        <f>BB10*Products!$C$14</f>
        <v/>
      </c>
      <c r="BC11" s="39">
        <f>BC10*Products!$C$14</f>
        <v/>
      </c>
      <c r="BD11" s="39">
        <f>BD10*Products!$C$14</f>
        <v/>
      </c>
      <c r="BE11" s="39">
        <f>BE10*Products!$C$14</f>
        <v/>
      </c>
      <c r="BF11" s="39">
        <f>BF10*Products!$C$14</f>
        <v/>
      </c>
      <c r="BG11" s="39">
        <f>BG10*Products!$C$14</f>
        <v/>
      </c>
      <c r="BH11" s="39">
        <f>BH10*Products!$C$14</f>
        <v/>
      </c>
      <c r="BI11" s="39">
        <f>BI10*Products!$C$14</f>
        <v/>
      </c>
      <c r="BJ11" s="39">
        <f>BJ10*Products!$C$14</f>
        <v/>
      </c>
      <c r="BK11" s="39">
        <f>BK10*Products!$C$14</f>
        <v/>
      </c>
      <c r="BL11" s="39">
        <f>BL10*Products!$C$14</f>
        <v/>
      </c>
    </row>
    <row r="12">
      <c r="A12" s="55" t="inlineStr">
        <is>
          <t>Hardware revenue (cash price)</t>
        </is>
      </c>
      <c r="B12" s="26" t="inlineStr">
        <is>
          <t>LCY</t>
        </is>
      </c>
      <c r="C12" s="58">
        <f>SUM(E12:BL12)</f>
        <v/>
      </c>
      <c r="E12" s="39">
        <f>E10*Products!$C$13</f>
        <v/>
      </c>
      <c r="F12" s="39">
        <f>F10*Products!$C$13</f>
        <v/>
      </c>
      <c r="G12" s="39">
        <f>G10*Products!$C$13</f>
        <v/>
      </c>
      <c r="H12" s="39">
        <f>H10*Products!$C$13</f>
        <v/>
      </c>
      <c r="I12" s="39">
        <f>I10*Products!$C$13</f>
        <v/>
      </c>
      <c r="J12" s="39">
        <f>J10*Products!$C$13</f>
        <v/>
      </c>
      <c r="K12" s="39">
        <f>K10*Products!$C$13</f>
        <v/>
      </c>
      <c r="L12" s="39">
        <f>L10*Products!$C$13</f>
        <v/>
      </c>
      <c r="M12" s="39">
        <f>M10*Products!$C$13</f>
        <v/>
      </c>
      <c r="N12" s="39">
        <f>N10*Products!$C$13</f>
        <v/>
      </c>
      <c r="O12" s="39">
        <f>O10*Products!$C$13</f>
        <v/>
      </c>
      <c r="P12" s="39">
        <f>P10*Products!$C$13</f>
        <v/>
      </c>
      <c r="Q12" s="39">
        <f>Q10*Products!$C$13</f>
        <v/>
      </c>
      <c r="R12" s="39">
        <f>R10*Products!$C$13</f>
        <v/>
      </c>
      <c r="S12" s="39">
        <f>S10*Products!$C$13</f>
        <v/>
      </c>
      <c r="T12" s="39">
        <f>T10*Products!$C$13</f>
        <v/>
      </c>
      <c r="U12" s="39">
        <f>U10*Products!$C$13</f>
        <v/>
      </c>
      <c r="V12" s="39">
        <f>V10*Products!$C$13</f>
        <v/>
      </c>
      <c r="W12" s="39">
        <f>W10*Products!$C$13</f>
        <v/>
      </c>
      <c r="X12" s="39">
        <f>X10*Products!$C$13</f>
        <v/>
      </c>
      <c r="Y12" s="39">
        <f>Y10*Products!$C$13</f>
        <v/>
      </c>
      <c r="Z12" s="39">
        <f>Z10*Products!$C$13</f>
        <v/>
      </c>
      <c r="AA12" s="39">
        <f>AA10*Products!$C$13</f>
        <v/>
      </c>
      <c r="AB12" s="39">
        <f>AB10*Products!$C$13</f>
        <v/>
      </c>
      <c r="AC12" s="39">
        <f>AC10*Products!$C$13</f>
        <v/>
      </c>
      <c r="AD12" s="39">
        <f>AD10*Products!$C$13</f>
        <v/>
      </c>
      <c r="AE12" s="39">
        <f>AE10*Products!$C$13</f>
        <v/>
      </c>
      <c r="AF12" s="39">
        <f>AF10*Products!$C$13</f>
        <v/>
      </c>
      <c r="AG12" s="39">
        <f>AG10*Products!$C$13</f>
        <v/>
      </c>
      <c r="AH12" s="39">
        <f>AH10*Products!$C$13</f>
        <v/>
      </c>
      <c r="AI12" s="39">
        <f>AI10*Products!$C$13</f>
        <v/>
      </c>
      <c r="AJ12" s="39">
        <f>AJ10*Products!$C$13</f>
        <v/>
      </c>
      <c r="AK12" s="39">
        <f>AK10*Products!$C$13</f>
        <v/>
      </c>
      <c r="AL12" s="39">
        <f>AL10*Products!$C$13</f>
        <v/>
      </c>
      <c r="AM12" s="39">
        <f>AM10*Products!$C$13</f>
        <v/>
      </c>
      <c r="AN12" s="39">
        <f>AN10*Products!$C$13</f>
        <v/>
      </c>
      <c r="AO12" s="39">
        <f>AO10*Products!$C$13</f>
        <v/>
      </c>
      <c r="AP12" s="39">
        <f>AP10*Products!$C$13</f>
        <v/>
      </c>
      <c r="AQ12" s="39">
        <f>AQ10*Products!$C$13</f>
        <v/>
      </c>
      <c r="AR12" s="39">
        <f>AR10*Products!$C$13</f>
        <v/>
      </c>
      <c r="AS12" s="39">
        <f>AS10*Products!$C$13</f>
        <v/>
      </c>
      <c r="AT12" s="39">
        <f>AT10*Products!$C$13</f>
        <v/>
      </c>
      <c r="AU12" s="39">
        <f>AU10*Products!$C$13</f>
        <v/>
      </c>
      <c r="AV12" s="39">
        <f>AV10*Products!$C$13</f>
        <v/>
      </c>
      <c r="AW12" s="39">
        <f>AW10*Products!$C$13</f>
        <v/>
      </c>
      <c r="AX12" s="39">
        <f>AX10*Products!$C$13</f>
        <v/>
      </c>
      <c r="AY12" s="39">
        <f>AY10*Products!$C$13</f>
        <v/>
      </c>
      <c r="AZ12" s="39">
        <f>AZ10*Products!$C$13</f>
        <v/>
      </c>
      <c r="BA12" s="39">
        <f>BA10*Products!$C$13</f>
        <v/>
      </c>
      <c r="BB12" s="39">
        <f>BB10*Products!$C$13</f>
        <v/>
      </c>
      <c r="BC12" s="39">
        <f>BC10*Products!$C$13</f>
        <v/>
      </c>
      <c r="BD12" s="39">
        <f>BD10*Products!$C$13</f>
        <v/>
      </c>
      <c r="BE12" s="39">
        <f>BE10*Products!$C$13</f>
        <v/>
      </c>
      <c r="BF12" s="39">
        <f>BF10*Products!$C$13</f>
        <v/>
      </c>
      <c r="BG12" s="39">
        <f>BG10*Products!$C$13</f>
        <v/>
      </c>
      <c r="BH12" s="39">
        <f>BH10*Products!$C$13</f>
        <v/>
      </c>
      <c r="BI12" s="39">
        <f>BI10*Products!$C$13</f>
        <v/>
      </c>
      <c r="BJ12" s="39">
        <f>BJ10*Products!$C$13</f>
        <v/>
      </c>
      <c r="BK12" s="39">
        <f>BK10*Products!$C$13</f>
        <v/>
      </c>
      <c r="BL12" s="39">
        <f>BL10*Products!$C$13</f>
        <v/>
      </c>
    </row>
    <row r="13">
      <c r="A13" s="55" t="inlineStr">
        <is>
          <t>New PAYGo receivables originated</t>
        </is>
      </c>
      <c r="B13" s="26" t="inlineStr">
        <is>
          <t>LCY</t>
        </is>
      </c>
      <c r="C13" s="58">
        <f>SUM(E13:BL13)</f>
        <v/>
      </c>
      <c r="E13" s="39">
        <f>E10*Products!$C$38</f>
        <v/>
      </c>
      <c r="F13" s="39">
        <f>F10*Products!$C$38</f>
        <v/>
      </c>
      <c r="G13" s="39">
        <f>G10*Products!$C$38</f>
        <v/>
      </c>
      <c r="H13" s="39">
        <f>H10*Products!$C$38</f>
        <v/>
      </c>
      <c r="I13" s="39">
        <f>I10*Products!$C$38</f>
        <v/>
      </c>
      <c r="J13" s="39">
        <f>J10*Products!$C$38</f>
        <v/>
      </c>
      <c r="K13" s="39">
        <f>K10*Products!$C$38</f>
        <v/>
      </c>
      <c r="L13" s="39">
        <f>L10*Products!$C$38</f>
        <v/>
      </c>
      <c r="M13" s="39">
        <f>M10*Products!$C$38</f>
        <v/>
      </c>
      <c r="N13" s="39">
        <f>N10*Products!$C$38</f>
        <v/>
      </c>
      <c r="O13" s="39">
        <f>O10*Products!$C$38</f>
        <v/>
      </c>
      <c r="P13" s="39">
        <f>P10*Products!$C$38</f>
        <v/>
      </c>
      <c r="Q13" s="39">
        <f>Q10*Products!$C$38</f>
        <v/>
      </c>
      <c r="R13" s="39">
        <f>R10*Products!$C$38</f>
        <v/>
      </c>
      <c r="S13" s="39">
        <f>S10*Products!$C$38</f>
        <v/>
      </c>
      <c r="T13" s="39">
        <f>T10*Products!$C$38</f>
        <v/>
      </c>
      <c r="U13" s="39">
        <f>U10*Products!$C$38</f>
        <v/>
      </c>
      <c r="V13" s="39">
        <f>V10*Products!$C$38</f>
        <v/>
      </c>
      <c r="W13" s="39">
        <f>W10*Products!$C$38</f>
        <v/>
      </c>
      <c r="X13" s="39">
        <f>X10*Products!$C$38</f>
        <v/>
      </c>
      <c r="Y13" s="39">
        <f>Y10*Products!$C$38</f>
        <v/>
      </c>
      <c r="Z13" s="39">
        <f>Z10*Products!$C$38</f>
        <v/>
      </c>
      <c r="AA13" s="39">
        <f>AA10*Products!$C$38</f>
        <v/>
      </c>
      <c r="AB13" s="39">
        <f>AB10*Products!$C$38</f>
        <v/>
      </c>
      <c r="AC13" s="39">
        <f>AC10*Products!$C$38</f>
        <v/>
      </c>
      <c r="AD13" s="39">
        <f>AD10*Products!$C$38</f>
        <v/>
      </c>
      <c r="AE13" s="39">
        <f>AE10*Products!$C$38</f>
        <v/>
      </c>
      <c r="AF13" s="39">
        <f>AF10*Products!$C$38</f>
        <v/>
      </c>
      <c r="AG13" s="39">
        <f>AG10*Products!$C$38</f>
        <v/>
      </c>
      <c r="AH13" s="39">
        <f>AH10*Products!$C$38</f>
        <v/>
      </c>
      <c r="AI13" s="39">
        <f>AI10*Products!$C$38</f>
        <v/>
      </c>
      <c r="AJ13" s="39">
        <f>AJ10*Products!$C$38</f>
        <v/>
      </c>
      <c r="AK13" s="39">
        <f>AK10*Products!$C$38</f>
        <v/>
      </c>
      <c r="AL13" s="39">
        <f>AL10*Products!$C$38</f>
        <v/>
      </c>
      <c r="AM13" s="39">
        <f>AM10*Products!$C$38</f>
        <v/>
      </c>
      <c r="AN13" s="39">
        <f>AN10*Products!$C$38</f>
        <v/>
      </c>
      <c r="AO13" s="39">
        <f>AO10*Products!$C$38</f>
        <v/>
      </c>
      <c r="AP13" s="39">
        <f>AP10*Products!$C$38</f>
        <v/>
      </c>
      <c r="AQ13" s="39">
        <f>AQ10*Products!$C$38</f>
        <v/>
      </c>
      <c r="AR13" s="39">
        <f>AR10*Products!$C$38</f>
        <v/>
      </c>
      <c r="AS13" s="39">
        <f>AS10*Products!$C$38</f>
        <v/>
      </c>
      <c r="AT13" s="39">
        <f>AT10*Products!$C$38</f>
        <v/>
      </c>
      <c r="AU13" s="39">
        <f>AU10*Products!$C$38</f>
        <v/>
      </c>
      <c r="AV13" s="39">
        <f>AV10*Products!$C$38</f>
        <v/>
      </c>
      <c r="AW13" s="39">
        <f>AW10*Products!$C$38</f>
        <v/>
      </c>
      <c r="AX13" s="39">
        <f>AX10*Products!$C$38</f>
        <v/>
      </c>
      <c r="AY13" s="39">
        <f>AY10*Products!$C$38</f>
        <v/>
      </c>
      <c r="AZ13" s="39">
        <f>AZ10*Products!$C$38</f>
        <v/>
      </c>
      <c r="BA13" s="39">
        <f>BA10*Products!$C$38</f>
        <v/>
      </c>
      <c r="BB13" s="39">
        <f>BB10*Products!$C$38</f>
        <v/>
      </c>
      <c r="BC13" s="39">
        <f>BC10*Products!$C$38</f>
        <v/>
      </c>
      <c r="BD13" s="39">
        <f>BD10*Products!$C$38</f>
        <v/>
      </c>
      <c r="BE13" s="39">
        <f>BE10*Products!$C$38</f>
        <v/>
      </c>
      <c r="BF13" s="39">
        <f>BF10*Products!$C$38</f>
        <v/>
      </c>
      <c r="BG13" s="39">
        <f>BG10*Products!$C$38</f>
        <v/>
      </c>
      <c r="BH13" s="39">
        <f>BH10*Products!$C$38</f>
        <v/>
      </c>
      <c r="BI13" s="39">
        <f>BI10*Products!$C$38</f>
        <v/>
      </c>
      <c r="BJ13" s="39">
        <f>BJ10*Products!$C$38</f>
        <v/>
      </c>
      <c r="BK13" s="39">
        <f>BK10*Products!$C$38</f>
        <v/>
      </c>
      <c r="BL13" s="39">
        <f>BL10*Products!$C$38</f>
        <v/>
      </c>
    </row>
    <row r="14">
      <c r="A14" s="55" t="inlineStr">
        <is>
          <t>Instalments due</t>
        </is>
      </c>
      <c r="B14" s="26" t="inlineStr">
        <is>
          <t>LCY</t>
        </is>
      </c>
      <c r="C14" s="58">
        <f>SUM(E14:BL14)</f>
        <v/>
      </c>
      <c r="E14" s="39">
        <f>Products!$C$33*SUMIFS($E$10:$BL$10,Timeline!$E$4:$BL$4,"&gt;="&amp;(E$4-Products!$C$16),Timeline!$E$4:$BL$4,"&lt;="&amp;(E$4-1))</f>
        <v/>
      </c>
      <c r="F14" s="39">
        <f>Products!$C$33*SUMIFS($E$10:$BL$10,Timeline!$E$4:$BL$4,"&gt;="&amp;(F$4-Products!$C$16),Timeline!$E$4:$BL$4,"&lt;="&amp;(F$4-1))</f>
        <v/>
      </c>
      <c r="G14" s="39">
        <f>Products!$C$33*SUMIFS($E$10:$BL$10,Timeline!$E$4:$BL$4,"&gt;="&amp;(G$4-Products!$C$16),Timeline!$E$4:$BL$4,"&lt;="&amp;(G$4-1))</f>
        <v/>
      </c>
      <c r="H14" s="39">
        <f>Products!$C$33*SUMIFS($E$10:$BL$10,Timeline!$E$4:$BL$4,"&gt;="&amp;(H$4-Products!$C$16),Timeline!$E$4:$BL$4,"&lt;="&amp;(H$4-1))</f>
        <v/>
      </c>
      <c r="I14" s="39">
        <f>Products!$C$33*SUMIFS($E$10:$BL$10,Timeline!$E$4:$BL$4,"&gt;="&amp;(I$4-Products!$C$16),Timeline!$E$4:$BL$4,"&lt;="&amp;(I$4-1))</f>
        <v/>
      </c>
      <c r="J14" s="39">
        <f>Products!$C$33*SUMIFS($E$10:$BL$10,Timeline!$E$4:$BL$4,"&gt;="&amp;(J$4-Products!$C$16),Timeline!$E$4:$BL$4,"&lt;="&amp;(J$4-1))</f>
        <v/>
      </c>
      <c r="K14" s="39">
        <f>Products!$C$33*SUMIFS($E$10:$BL$10,Timeline!$E$4:$BL$4,"&gt;="&amp;(K$4-Products!$C$16),Timeline!$E$4:$BL$4,"&lt;="&amp;(K$4-1))</f>
        <v/>
      </c>
      <c r="L14" s="39">
        <f>Products!$C$33*SUMIFS($E$10:$BL$10,Timeline!$E$4:$BL$4,"&gt;="&amp;(L$4-Products!$C$16),Timeline!$E$4:$BL$4,"&lt;="&amp;(L$4-1))</f>
        <v/>
      </c>
      <c r="M14" s="39">
        <f>Products!$C$33*SUMIFS($E$10:$BL$10,Timeline!$E$4:$BL$4,"&gt;="&amp;(M$4-Products!$C$16),Timeline!$E$4:$BL$4,"&lt;="&amp;(M$4-1))</f>
        <v/>
      </c>
      <c r="N14" s="39">
        <f>Products!$C$33*SUMIFS($E$10:$BL$10,Timeline!$E$4:$BL$4,"&gt;="&amp;(N$4-Products!$C$16),Timeline!$E$4:$BL$4,"&lt;="&amp;(N$4-1))</f>
        <v/>
      </c>
      <c r="O14" s="39">
        <f>Products!$C$33*SUMIFS($E$10:$BL$10,Timeline!$E$4:$BL$4,"&gt;="&amp;(O$4-Products!$C$16),Timeline!$E$4:$BL$4,"&lt;="&amp;(O$4-1))</f>
        <v/>
      </c>
      <c r="P14" s="39">
        <f>Products!$C$33*SUMIFS($E$10:$BL$10,Timeline!$E$4:$BL$4,"&gt;="&amp;(P$4-Products!$C$16),Timeline!$E$4:$BL$4,"&lt;="&amp;(P$4-1))</f>
        <v/>
      </c>
      <c r="Q14" s="39">
        <f>Products!$C$33*SUMIFS($E$10:$BL$10,Timeline!$E$4:$BL$4,"&gt;="&amp;(Q$4-Products!$C$16),Timeline!$E$4:$BL$4,"&lt;="&amp;(Q$4-1))</f>
        <v/>
      </c>
      <c r="R14" s="39">
        <f>Products!$C$33*SUMIFS($E$10:$BL$10,Timeline!$E$4:$BL$4,"&gt;="&amp;(R$4-Products!$C$16),Timeline!$E$4:$BL$4,"&lt;="&amp;(R$4-1))</f>
        <v/>
      </c>
      <c r="S14" s="39">
        <f>Products!$C$33*SUMIFS($E$10:$BL$10,Timeline!$E$4:$BL$4,"&gt;="&amp;(S$4-Products!$C$16),Timeline!$E$4:$BL$4,"&lt;="&amp;(S$4-1))</f>
        <v/>
      </c>
      <c r="T14" s="39">
        <f>Products!$C$33*SUMIFS($E$10:$BL$10,Timeline!$E$4:$BL$4,"&gt;="&amp;(T$4-Products!$C$16),Timeline!$E$4:$BL$4,"&lt;="&amp;(T$4-1))</f>
        <v/>
      </c>
      <c r="U14" s="39">
        <f>Products!$C$33*SUMIFS($E$10:$BL$10,Timeline!$E$4:$BL$4,"&gt;="&amp;(U$4-Products!$C$16),Timeline!$E$4:$BL$4,"&lt;="&amp;(U$4-1))</f>
        <v/>
      </c>
      <c r="V14" s="39">
        <f>Products!$C$33*SUMIFS($E$10:$BL$10,Timeline!$E$4:$BL$4,"&gt;="&amp;(V$4-Products!$C$16),Timeline!$E$4:$BL$4,"&lt;="&amp;(V$4-1))</f>
        <v/>
      </c>
      <c r="W14" s="39">
        <f>Products!$C$33*SUMIFS($E$10:$BL$10,Timeline!$E$4:$BL$4,"&gt;="&amp;(W$4-Products!$C$16),Timeline!$E$4:$BL$4,"&lt;="&amp;(W$4-1))</f>
        <v/>
      </c>
      <c r="X14" s="39">
        <f>Products!$C$33*SUMIFS($E$10:$BL$10,Timeline!$E$4:$BL$4,"&gt;="&amp;(X$4-Products!$C$16),Timeline!$E$4:$BL$4,"&lt;="&amp;(X$4-1))</f>
        <v/>
      </c>
      <c r="Y14" s="39">
        <f>Products!$C$33*SUMIFS($E$10:$BL$10,Timeline!$E$4:$BL$4,"&gt;="&amp;(Y$4-Products!$C$16),Timeline!$E$4:$BL$4,"&lt;="&amp;(Y$4-1))</f>
        <v/>
      </c>
      <c r="Z14" s="39">
        <f>Products!$C$33*SUMIFS($E$10:$BL$10,Timeline!$E$4:$BL$4,"&gt;="&amp;(Z$4-Products!$C$16),Timeline!$E$4:$BL$4,"&lt;="&amp;(Z$4-1))</f>
        <v/>
      </c>
      <c r="AA14" s="39">
        <f>Products!$C$33*SUMIFS($E$10:$BL$10,Timeline!$E$4:$BL$4,"&gt;="&amp;(AA$4-Products!$C$16),Timeline!$E$4:$BL$4,"&lt;="&amp;(AA$4-1))</f>
        <v/>
      </c>
      <c r="AB14" s="39">
        <f>Products!$C$33*SUMIFS($E$10:$BL$10,Timeline!$E$4:$BL$4,"&gt;="&amp;(AB$4-Products!$C$16),Timeline!$E$4:$BL$4,"&lt;="&amp;(AB$4-1))</f>
        <v/>
      </c>
      <c r="AC14" s="39">
        <f>Products!$C$33*SUMIFS($E$10:$BL$10,Timeline!$E$4:$BL$4,"&gt;="&amp;(AC$4-Products!$C$16),Timeline!$E$4:$BL$4,"&lt;="&amp;(AC$4-1))</f>
        <v/>
      </c>
      <c r="AD14" s="39">
        <f>Products!$C$33*SUMIFS($E$10:$BL$10,Timeline!$E$4:$BL$4,"&gt;="&amp;(AD$4-Products!$C$16),Timeline!$E$4:$BL$4,"&lt;="&amp;(AD$4-1))</f>
        <v/>
      </c>
      <c r="AE14" s="39">
        <f>Products!$C$33*SUMIFS($E$10:$BL$10,Timeline!$E$4:$BL$4,"&gt;="&amp;(AE$4-Products!$C$16),Timeline!$E$4:$BL$4,"&lt;="&amp;(AE$4-1))</f>
        <v/>
      </c>
      <c r="AF14" s="39">
        <f>Products!$C$33*SUMIFS($E$10:$BL$10,Timeline!$E$4:$BL$4,"&gt;="&amp;(AF$4-Products!$C$16),Timeline!$E$4:$BL$4,"&lt;="&amp;(AF$4-1))</f>
        <v/>
      </c>
      <c r="AG14" s="39">
        <f>Products!$C$33*SUMIFS($E$10:$BL$10,Timeline!$E$4:$BL$4,"&gt;="&amp;(AG$4-Products!$C$16),Timeline!$E$4:$BL$4,"&lt;="&amp;(AG$4-1))</f>
        <v/>
      </c>
      <c r="AH14" s="39">
        <f>Products!$C$33*SUMIFS($E$10:$BL$10,Timeline!$E$4:$BL$4,"&gt;="&amp;(AH$4-Products!$C$16),Timeline!$E$4:$BL$4,"&lt;="&amp;(AH$4-1))</f>
        <v/>
      </c>
      <c r="AI14" s="39">
        <f>Products!$C$33*SUMIFS($E$10:$BL$10,Timeline!$E$4:$BL$4,"&gt;="&amp;(AI$4-Products!$C$16),Timeline!$E$4:$BL$4,"&lt;="&amp;(AI$4-1))</f>
        <v/>
      </c>
      <c r="AJ14" s="39">
        <f>Products!$C$33*SUMIFS($E$10:$BL$10,Timeline!$E$4:$BL$4,"&gt;="&amp;(AJ$4-Products!$C$16),Timeline!$E$4:$BL$4,"&lt;="&amp;(AJ$4-1))</f>
        <v/>
      </c>
      <c r="AK14" s="39">
        <f>Products!$C$33*SUMIFS($E$10:$BL$10,Timeline!$E$4:$BL$4,"&gt;="&amp;(AK$4-Products!$C$16),Timeline!$E$4:$BL$4,"&lt;="&amp;(AK$4-1))</f>
        <v/>
      </c>
      <c r="AL14" s="39">
        <f>Products!$C$33*SUMIFS($E$10:$BL$10,Timeline!$E$4:$BL$4,"&gt;="&amp;(AL$4-Products!$C$16),Timeline!$E$4:$BL$4,"&lt;="&amp;(AL$4-1))</f>
        <v/>
      </c>
      <c r="AM14" s="39">
        <f>Products!$C$33*SUMIFS($E$10:$BL$10,Timeline!$E$4:$BL$4,"&gt;="&amp;(AM$4-Products!$C$16),Timeline!$E$4:$BL$4,"&lt;="&amp;(AM$4-1))</f>
        <v/>
      </c>
      <c r="AN14" s="39">
        <f>Products!$C$33*SUMIFS($E$10:$BL$10,Timeline!$E$4:$BL$4,"&gt;="&amp;(AN$4-Products!$C$16),Timeline!$E$4:$BL$4,"&lt;="&amp;(AN$4-1))</f>
        <v/>
      </c>
      <c r="AO14" s="39">
        <f>Products!$C$33*SUMIFS($E$10:$BL$10,Timeline!$E$4:$BL$4,"&gt;="&amp;(AO$4-Products!$C$16),Timeline!$E$4:$BL$4,"&lt;="&amp;(AO$4-1))</f>
        <v/>
      </c>
      <c r="AP14" s="39">
        <f>Products!$C$33*SUMIFS($E$10:$BL$10,Timeline!$E$4:$BL$4,"&gt;="&amp;(AP$4-Products!$C$16),Timeline!$E$4:$BL$4,"&lt;="&amp;(AP$4-1))</f>
        <v/>
      </c>
      <c r="AQ14" s="39">
        <f>Products!$C$33*SUMIFS($E$10:$BL$10,Timeline!$E$4:$BL$4,"&gt;="&amp;(AQ$4-Products!$C$16),Timeline!$E$4:$BL$4,"&lt;="&amp;(AQ$4-1))</f>
        <v/>
      </c>
      <c r="AR14" s="39">
        <f>Products!$C$33*SUMIFS($E$10:$BL$10,Timeline!$E$4:$BL$4,"&gt;="&amp;(AR$4-Products!$C$16),Timeline!$E$4:$BL$4,"&lt;="&amp;(AR$4-1))</f>
        <v/>
      </c>
      <c r="AS14" s="39">
        <f>Products!$C$33*SUMIFS($E$10:$BL$10,Timeline!$E$4:$BL$4,"&gt;="&amp;(AS$4-Products!$C$16),Timeline!$E$4:$BL$4,"&lt;="&amp;(AS$4-1))</f>
        <v/>
      </c>
      <c r="AT14" s="39">
        <f>Products!$C$33*SUMIFS($E$10:$BL$10,Timeline!$E$4:$BL$4,"&gt;="&amp;(AT$4-Products!$C$16),Timeline!$E$4:$BL$4,"&lt;="&amp;(AT$4-1))</f>
        <v/>
      </c>
      <c r="AU14" s="39">
        <f>Products!$C$33*SUMIFS($E$10:$BL$10,Timeline!$E$4:$BL$4,"&gt;="&amp;(AU$4-Products!$C$16),Timeline!$E$4:$BL$4,"&lt;="&amp;(AU$4-1))</f>
        <v/>
      </c>
      <c r="AV14" s="39">
        <f>Products!$C$33*SUMIFS($E$10:$BL$10,Timeline!$E$4:$BL$4,"&gt;="&amp;(AV$4-Products!$C$16),Timeline!$E$4:$BL$4,"&lt;="&amp;(AV$4-1))</f>
        <v/>
      </c>
      <c r="AW14" s="39">
        <f>Products!$C$33*SUMIFS($E$10:$BL$10,Timeline!$E$4:$BL$4,"&gt;="&amp;(AW$4-Products!$C$16),Timeline!$E$4:$BL$4,"&lt;="&amp;(AW$4-1))</f>
        <v/>
      </c>
      <c r="AX14" s="39">
        <f>Products!$C$33*SUMIFS($E$10:$BL$10,Timeline!$E$4:$BL$4,"&gt;="&amp;(AX$4-Products!$C$16),Timeline!$E$4:$BL$4,"&lt;="&amp;(AX$4-1))</f>
        <v/>
      </c>
      <c r="AY14" s="39">
        <f>Products!$C$33*SUMIFS($E$10:$BL$10,Timeline!$E$4:$BL$4,"&gt;="&amp;(AY$4-Products!$C$16),Timeline!$E$4:$BL$4,"&lt;="&amp;(AY$4-1))</f>
        <v/>
      </c>
      <c r="AZ14" s="39">
        <f>Products!$C$33*SUMIFS($E$10:$BL$10,Timeline!$E$4:$BL$4,"&gt;="&amp;(AZ$4-Products!$C$16),Timeline!$E$4:$BL$4,"&lt;="&amp;(AZ$4-1))</f>
        <v/>
      </c>
      <c r="BA14" s="39">
        <f>Products!$C$33*SUMIFS($E$10:$BL$10,Timeline!$E$4:$BL$4,"&gt;="&amp;(BA$4-Products!$C$16),Timeline!$E$4:$BL$4,"&lt;="&amp;(BA$4-1))</f>
        <v/>
      </c>
      <c r="BB14" s="39">
        <f>Products!$C$33*SUMIFS($E$10:$BL$10,Timeline!$E$4:$BL$4,"&gt;="&amp;(BB$4-Products!$C$16),Timeline!$E$4:$BL$4,"&lt;="&amp;(BB$4-1))</f>
        <v/>
      </c>
      <c r="BC14" s="39">
        <f>Products!$C$33*SUMIFS($E$10:$BL$10,Timeline!$E$4:$BL$4,"&gt;="&amp;(BC$4-Products!$C$16),Timeline!$E$4:$BL$4,"&lt;="&amp;(BC$4-1))</f>
        <v/>
      </c>
      <c r="BD14" s="39">
        <f>Products!$C$33*SUMIFS($E$10:$BL$10,Timeline!$E$4:$BL$4,"&gt;="&amp;(BD$4-Products!$C$16),Timeline!$E$4:$BL$4,"&lt;="&amp;(BD$4-1))</f>
        <v/>
      </c>
      <c r="BE14" s="39">
        <f>Products!$C$33*SUMIFS($E$10:$BL$10,Timeline!$E$4:$BL$4,"&gt;="&amp;(BE$4-Products!$C$16),Timeline!$E$4:$BL$4,"&lt;="&amp;(BE$4-1))</f>
        <v/>
      </c>
      <c r="BF14" s="39">
        <f>Products!$C$33*SUMIFS($E$10:$BL$10,Timeline!$E$4:$BL$4,"&gt;="&amp;(BF$4-Products!$C$16),Timeline!$E$4:$BL$4,"&lt;="&amp;(BF$4-1))</f>
        <v/>
      </c>
      <c r="BG14" s="39">
        <f>Products!$C$33*SUMIFS($E$10:$BL$10,Timeline!$E$4:$BL$4,"&gt;="&amp;(BG$4-Products!$C$16),Timeline!$E$4:$BL$4,"&lt;="&amp;(BG$4-1))</f>
        <v/>
      </c>
      <c r="BH14" s="39">
        <f>Products!$C$33*SUMIFS($E$10:$BL$10,Timeline!$E$4:$BL$4,"&gt;="&amp;(BH$4-Products!$C$16),Timeline!$E$4:$BL$4,"&lt;="&amp;(BH$4-1))</f>
        <v/>
      </c>
      <c r="BI14" s="39">
        <f>Products!$C$33*SUMIFS($E$10:$BL$10,Timeline!$E$4:$BL$4,"&gt;="&amp;(BI$4-Products!$C$16),Timeline!$E$4:$BL$4,"&lt;="&amp;(BI$4-1))</f>
        <v/>
      </c>
      <c r="BJ14" s="39">
        <f>Products!$C$33*SUMIFS($E$10:$BL$10,Timeline!$E$4:$BL$4,"&gt;="&amp;(BJ$4-Products!$C$16),Timeline!$E$4:$BL$4,"&lt;="&amp;(BJ$4-1))</f>
        <v/>
      </c>
      <c r="BK14" s="39">
        <f>Products!$C$33*SUMIFS($E$10:$BL$10,Timeline!$E$4:$BL$4,"&gt;="&amp;(BK$4-Products!$C$16),Timeline!$E$4:$BL$4,"&lt;="&amp;(BK$4-1))</f>
        <v/>
      </c>
      <c r="BL14" s="39">
        <f>Products!$C$33*SUMIFS($E$10:$BL$10,Timeline!$E$4:$BL$4,"&gt;="&amp;(BL$4-Products!$C$16),Timeline!$E$4:$BL$4,"&lt;="&amp;(BL$4-1))</f>
        <v/>
      </c>
    </row>
    <row r="15">
      <c r="A15" s="55" t="inlineStr">
        <is>
          <t>Instalments collected</t>
        </is>
      </c>
      <c r="B15" s="26" t="inlineStr">
        <is>
          <t>LCY</t>
        </is>
      </c>
      <c r="C15" s="58">
        <f>SUM(E15:BL15)</f>
        <v/>
      </c>
      <c r="E15" s="17">
        <f>Cohort_T1!E$9</f>
        <v/>
      </c>
      <c r="F15" s="17">
        <f>Cohort_T1!F$9</f>
        <v/>
      </c>
      <c r="G15" s="17">
        <f>Cohort_T1!G$9</f>
        <v/>
      </c>
      <c r="H15" s="17">
        <f>Cohort_T1!H$9</f>
        <v/>
      </c>
      <c r="I15" s="17">
        <f>Cohort_T1!I$9</f>
        <v/>
      </c>
      <c r="J15" s="17">
        <f>Cohort_T1!J$9</f>
        <v/>
      </c>
      <c r="K15" s="17">
        <f>Cohort_T1!K$9</f>
        <v/>
      </c>
      <c r="L15" s="17">
        <f>Cohort_T1!L$9</f>
        <v/>
      </c>
      <c r="M15" s="17">
        <f>Cohort_T1!M$9</f>
        <v/>
      </c>
      <c r="N15" s="17">
        <f>Cohort_T1!N$9</f>
        <v/>
      </c>
      <c r="O15" s="17">
        <f>Cohort_T1!O$9</f>
        <v/>
      </c>
      <c r="P15" s="17">
        <f>Cohort_T1!P$9</f>
        <v/>
      </c>
      <c r="Q15" s="17">
        <f>Cohort_T1!Q$9</f>
        <v/>
      </c>
      <c r="R15" s="17">
        <f>Cohort_T1!R$9</f>
        <v/>
      </c>
      <c r="S15" s="17">
        <f>Cohort_T1!S$9</f>
        <v/>
      </c>
      <c r="T15" s="17">
        <f>Cohort_T1!T$9</f>
        <v/>
      </c>
      <c r="U15" s="17">
        <f>Cohort_T1!U$9</f>
        <v/>
      </c>
      <c r="V15" s="17">
        <f>Cohort_T1!V$9</f>
        <v/>
      </c>
      <c r="W15" s="17">
        <f>Cohort_T1!W$9</f>
        <v/>
      </c>
      <c r="X15" s="17">
        <f>Cohort_T1!X$9</f>
        <v/>
      </c>
      <c r="Y15" s="17">
        <f>Cohort_T1!Y$9</f>
        <v/>
      </c>
      <c r="Z15" s="17">
        <f>Cohort_T1!Z$9</f>
        <v/>
      </c>
      <c r="AA15" s="17">
        <f>Cohort_T1!AA$9</f>
        <v/>
      </c>
      <c r="AB15" s="17">
        <f>Cohort_T1!AB$9</f>
        <v/>
      </c>
      <c r="AC15" s="17">
        <f>Cohort_T1!AC$9</f>
        <v/>
      </c>
      <c r="AD15" s="17">
        <f>Cohort_T1!AD$9</f>
        <v/>
      </c>
      <c r="AE15" s="17">
        <f>Cohort_T1!AE$9</f>
        <v/>
      </c>
      <c r="AF15" s="17">
        <f>Cohort_T1!AF$9</f>
        <v/>
      </c>
      <c r="AG15" s="17">
        <f>Cohort_T1!AG$9</f>
        <v/>
      </c>
      <c r="AH15" s="17">
        <f>Cohort_T1!AH$9</f>
        <v/>
      </c>
      <c r="AI15" s="17">
        <f>Cohort_T1!AI$9</f>
        <v/>
      </c>
      <c r="AJ15" s="17">
        <f>Cohort_T1!AJ$9</f>
        <v/>
      </c>
      <c r="AK15" s="17">
        <f>Cohort_T1!AK$9</f>
        <v/>
      </c>
      <c r="AL15" s="17">
        <f>Cohort_T1!AL$9</f>
        <v/>
      </c>
      <c r="AM15" s="17">
        <f>Cohort_T1!AM$9</f>
        <v/>
      </c>
      <c r="AN15" s="17">
        <f>Cohort_T1!AN$9</f>
        <v/>
      </c>
      <c r="AO15" s="17">
        <f>Cohort_T1!AO$9</f>
        <v/>
      </c>
      <c r="AP15" s="17">
        <f>Cohort_T1!AP$9</f>
        <v/>
      </c>
      <c r="AQ15" s="17">
        <f>Cohort_T1!AQ$9</f>
        <v/>
      </c>
      <c r="AR15" s="17">
        <f>Cohort_T1!AR$9</f>
        <v/>
      </c>
      <c r="AS15" s="17">
        <f>Cohort_T1!AS$9</f>
        <v/>
      </c>
      <c r="AT15" s="17">
        <f>Cohort_T1!AT$9</f>
        <v/>
      </c>
      <c r="AU15" s="17">
        <f>Cohort_T1!AU$9</f>
        <v/>
      </c>
      <c r="AV15" s="17">
        <f>Cohort_T1!AV$9</f>
        <v/>
      </c>
      <c r="AW15" s="17">
        <f>Cohort_T1!AW$9</f>
        <v/>
      </c>
      <c r="AX15" s="17">
        <f>Cohort_T1!AX$9</f>
        <v/>
      </c>
      <c r="AY15" s="17">
        <f>Cohort_T1!AY$9</f>
        <v/>
      </c>
      <c r="AZ15" s="17">
        <f>Cohort_T1!AZ$9</f>
        <v/>
      </c>
      <c r="BA15" s="17">
        <f>Cohort_T1!BA$9</f>
        <v/>
      </c>
      <c r="BB15" s="17">
        <f>Cohort_T1!BB$9</f>
        <v/>
      </c>
      <c r="BC15" s="17">
        <f>Cohort_T1!BC$9</f>
        <v/>
      </c>
      <c r="BD15" s="17">
        <f>Cohort_T1!BD$9</f>
        <v/>
      </c>
      <c r="BE15" s="17">
        <f>Cohort_T1!BE$9</f>
        <v/>
      </c>
      <c r="BF15" s="17">
        <f>Cohort_T1!BF$9</f>
        <v/>
      </c>
      <c r="BG15" s="17">
        <f>Cohort_T1!BG$9</f>
        <v/>
      </c>
      <c r="BH15" s="17">
        <f>Cohort_T1!BH$9</f>
        <v/>
      </c>
      <c r="BI15" s="17">
        <f>Cohort_T1!BI$9</f>
        <v/>
      </c>
      <c r="BJ15" s="17">
        <f>Cohort_T1!BJ$9</f>
        <v/>
      </c>
      <c r="BK15" s="17">
        <f>Cohort_T1!BK$9</f>
        <v/>
      </c>
      <c r="BL15" s="17">
        <f>Cohort_T1!BL$9</f>
        <v/>
      </c>
    </row>
    <row r="16">
      <c r="A16" s="55" t="inlineStr">
        <is>
          <t>Missed instalments written off</t>
        </is>
      </c>
      <c r="B16" s="26" t="inlineStr">
        <is>
          <t>LCY</t>
        </is>
      </c>
      <c r="C16" s="58">
        <f>SUM(E16:BL16)</f>
        <v/>
      </c>
      <c r="E16" s="39">
        <f>E14-E15</f>
        <v/>
      </c>
      <c r="F16" s="39">
        <f>F14-F15</f>
        <v/>
      </c>
      <c r="G16" s="39">
        <f>G14-G15</f>
        <v/>
      </c>
      <c r="H16" s="39">
        <f>H14-H15</f>
        <v/>
      </c>
      <c r="I16" s="39">
        <f>I14-I15</f>
        <v/>
      </c>
      <c r="J16" s="39">
        <f>J14-J15</f>
        <v/>
      </c>
      <c r="K16" s="39">
        <f>K14-K15</f>
        <v/>
      </c>
      <c r="L16" s="39">
        <f>L14-L15</f>
        <v/>
      </c>
      <c r="M16" s="39">
        <f>M14-M15</f>
        <v/>
      </c>
      <c r="N16" s="39">
        <f>N14-N15</f>
        <v/>
      </c>
      <c r="O16" s="39">
        <f>O14-O15</f>
        <v/>
      </c>
      <c r="P16" s="39">
        <f>P14-P15</f>
        <v/>
      </c>
      <c r="Q16" s="39">
        <f>Q14-Q15</f>
        <v/>
      </c>
      <c r="R16" s="39">
        <f>R14-R15</f>
        <v/>
      </c>
      <c r="S16" s="39">
        <f>S14-S15</f>
        <v/>
      </c>
      <c r="T16" s="39">
        <f>T14-T15</f>
        <v/>
      </c>
      <c r="U16" s="39">
        <f>U14-U15</f>
        <v/>
      </c>
      <c r="V16" s="39">
        <f>V14-V15</f>
        <v/>
      </c>
      <c r="W16" s="39">
        <f>W14-W15</f>
        <v/>
      </c>
      <c r="X16" s="39">
        <f>X14-X15</f>
        <v/>
      </c>
      <c r="Y16" s="39">
        <f>Y14-Y15</f>
        <v/>
      </c>
      <c r="Z16" s="39">
        <f>Z14-Z15</f>
        <v/>
      </c>
      <c r="AA16" s="39">
        <f>AA14-AA15</f>
        <v/>
      </c>
      <c r="AB16" s="39">
        <f>AB14-AB15</f>
        <v/>
      </c>
      <c r="AC16" s="39">
        <f>AC14-AC15</f>
        <v/>
      </c>
      <c r="AD16" s="39">
        <f>AD14-AD15</f>
        <v/>
      </c>
      <c r="AE16" s="39">
        <f>AE14-AE15</f>
        <v/>
      </c>
      <c r="AF16" s="39">
        <f>AF14-AF15</f>
        <v/>
      </c>
      <c r="AG16" s="39">
        <f>AG14-AG15</f>
        <v/>
      </c>
      <c r="AH16" s="39">
        <f>AH14-AH15</f>
        <v/>
      </c>
      <c r="AI16" s="39">
        <f>AI14-AI15</f>
        <v/>
      </c>
      <c r="AJ16" s="39">
        <f>AJ14-AJ15</f>
        <v/>
      </c>
      <c r="AK16" s="39">
        <f>AK14-AK15</f>
        <v/>
      </c>
      <c r="AL16" s="39">
        <f>AL14-AL15</f>
        <v/>
      </c>
      <c r="AM16" s="39">
        <f>AM14-AM15</f>
        <v/>
      </c>
      <c r="AN16" s="39">
        <f>AN14-AN15</f>
        <v/>
      </c>
      <c r="AO16" s="39">
        <f>AO14-AO15</f>
        <v/>
      </c>
      <c r="AP16" s="39">
        <f>AP14-AP15</f>
        <v/>
      </c>
      <c r="AQ16" s="39">
        <f>AQ14-AQ15</f>
        <v/>
      </c>
      <c r="AR16" s="39">
        <f>AR14-AR15</f>
        <v/>
      </c>
      <c r="AS16" s="39">
        <f>AS14-AS15</f>
        <v/>
      </c>
      <c r="AT16" s="39">
        <f>AT14-AT15</f>
        <v/>
      </c>
      <c r="AU16" s="39">
        <f>AU14-AU15</f>
        <v/>
      </c>
      <c r="AV16" s="39">
        <f>AV14-AV15</f>
        <v/>
      </c>
      <c r="AW16" s="39">
        <f>AW14-AW15</f>
        <v/>
      </c>
      <c r="AX16" s="39">
        <f>AX14-AX15</f>
        <v/>
      </c>
      <c r="AY16" s="39">
        <f>AY14-AY15</f>
        <v/>
      </c>
      <c r="AZ16" s="39">
        <f>AZ14-AZ15</f>
        <v/>
      </c>
      <c r="BA16" s="39">
        <f>BA14-BA15</f>
        <v/>
      </c>
      <c r="BB16" s="39">
        <f>BB14-BB15</f>
        <v/>
      </c>
      <c r="BC16" s="39">
        <f>BC14-BC15</f>
        <v/>
      </c>
      <c r="BD16" s="39">
        <f>BD14-BD15</f>
        <v/>
      </c>
      <c r="BE16" s="39">
        <f>BE14-BE15</f>
        <v/>
      </c>
      <c r="BF16" s="39">
        <f>BF14-BF15</f>
        <v/>
      </c>
      <c r="BG16" s="39">
        <f>BG14-BG15</f>
        <v/>
      </c>
      <c r="BH16" s="39">
        <f>BH14-BH15</f>
        <v/>
      </c>
      <c r="BI16" s="39">
        <f>BI14-BI15</f>
        <v/>
      </c>
      <c r="BJ16" s="39">
        <f>BJ14-BJ15</f>
        <v/>
      </c>
      <c r="BK16" s="39">
        <f>BK14-BK15</f>
        <v/>
      </c>
      <c r="BL16" s="39">
        <f>BL14-BL15</f>
        <v/>
      </c>
    </row>
    <row r="17">
      <c r="A17" s="55" t="inlineStr">
        <is>
          <t>PAYGo financing income (straight-line over tenor)</t>
        </is>
      </c>
      <c r="B17" s="26" t="inlineStr">
        <is>
          <t>LCY</t>
        </is>
      </c>
      <c r="C17" s="58">
        <f>SUM(E17:BL17)</f>
        <v/>
      </c>
      <c r="E17" s="39">
        <f>IF(Products!$C$16=0,0,Products!$C$35/Products!$C$16*SUMIFS($E$10:$BL$10,Timeline!$E$4:$BL$4,"&gt;="&amp;(E$4-Products!$C$16),Timeline!$E$4:$BL$4,"&lt;="&amp;(E$4-1)))</f>
        <v/>
      </c>
      <c r="F17" s="39">
        <f>IF(Products!$C$16=0,0,Products!$C$35/Products!$C$16*SUMIFS($E$10:$BL$10,Timeline!$E$4:$BL$4,"&gt;="&amp;(F$4-Products!$C$16),Timeline!$E$4:$BL$4,"&lt;="&amp;(F$4-1)))</f>
        <v/>
      </c>
      <c r="G17" s="39">
        <f>IF(Products!$C$16=0,0,Products!$C$35/Products!$C$16*SUMIFS($E$10:$BL$10,Timeline!$E$4:$BL$4,"&gt;="&amp;(G$4-Products!$C$16),Timeline!$E$4:$BL$4,"&lt;="&amp;(G$4-1)))</f>
        <v/>
      </c>
      <c r="H17" s="39">
        <f>IF(Products!$C$16=0,0,Products!$C$35/Products!$C$16*SUMIFS($E$10:$BL$10,Timeline!$E$4:$BL$4,"&gt;="&amp;(H$4-Products!$C$16),Timeline!$E$4:$BL$4,"&lt;="&amp;(H$4-1)))</f>
        <v/>
      </c>
      <c r="I17" s="39">
        <f>IF(Products!$C$16=0,0,Products!$C$35/Products!$C$16*SUMIFS($E$10:$BL$10,Timeline!$E$4:$BL$4,"&gt;="&amp;(I$4-Products!$C$16),Timeline!$E$4:$BL$4,"&lt;="&amp;(I$4-1)))</f>
        <v/>
      </c>
      <c r="J17" s="39">
        <f>IF(Products!$C$16=0,0,Products!$C$35/Products!$C$16*SUMIFS($E$10:$BL$10,Timeline!$E$4:$BL$4,"&gt;="&amp;(J$4-Products!$C$16),Timeline!$E$4:$BL$4,"&lt;="&amp;(J$4-1)))</f>
        <v/>
      </c>
      <c r="K17" s="39">
        <f>IF(Products!$C$16=0,0,Products!$C$35/Products!$C$16*SUMIFS($E$10:$BL$10,Timeline!$E$4:$BL$4,"&gt;="&amp;(K$4-Products!$C$16),Timeline!$E$4:$BL$4,"&lt;="&amp;(K$4-1)))</f>
        <v/>
      </c>
      <c r="L17" s="39">
        <f>IF(Products!$C$16=0,0,Products!$C$35/Products!$C$16*SUMIFS($E$10:$BL$10,Timeline!$E$4:$BL$4,"&gt;="&amp;(L$4-Products!$C$16),Timeline!$E$4:$BL$4,"&lt;="&amp;(L$4-1)))</f>
        <v/>
      </c>
      <c r="M17" s="39">
        <f>IF(Products!$C$16=0,0,Products!$C$35/Products!$C$16*SUMIFS($E$10:$BL$10,Timeline!$E$4:$BL$4,"&gt;="&amp;(M$4-Products!$C$16),Timeline!$E$4:$BL$4,"&lt;="&amp;(M$4-1)))</f>
        <v/>
      </c>
      <c r="N17" s="39">
        <f>IF(Products!$C$16=0,0,Products!$C$35/Products!$C$16*SUMIFS($E$10:$BL$10,Timeline!$E$4:$BL$4,"&gt;="&amp;(N$4-Products!$C$16),Timeline!$E$4:$BL$4,"&lt;="&amp;(N$4-1)))</f>
        <v/>
      </c>
      <c r="O17" s="39">
        <f>IF(Products!$C$16=0,0,Products!$C$35/Products!$C$16*SUMIFS($E$10:$BL$10,Timeline!$E$4:$BL$4,"&gt;="&amp;(O$4-Products!$C$16),Timeline!$E$4:$BL$4,"&lt;="&amp;(O$4-1)))</f>
        <v/>
      </c>
      <c r="P17" s="39">
        <f>IF(Products!$C$16=0,0,Products!$C$35/Products!$C$16*SUMIFS($E$10:$BL$10,Timeline!$E$4:$BL$4,"&gt;="&amp;(P$4-Products!$C$16),Timeline!$E$4:$BL$4,"&lt;="&amp;(P$4-1)))</f>
        <v/>
      </c>
      <c r="Q17" s="39">
        <f>IF(Products!$C$16=0,0,Products!$C$35/Products!$C$16*SUMIFS($E$10:$BL$10,Timeline!$E$4:$BL$4,"&gt;="&amp;(Q$4-Products!$C$16),Timeline!$E$4:$BL$4,"&lt;="&amp;(Q$4-1)))</f>
        <v/>
      </c>
      <c r="R17" s="39">
        <f>IF(Products!$C$16=0,0,Products!$C$35/Products!$C$16*SUMIFS($E$10:$BL$10,Timeline!$E$4:$BL$4,"&gt;="&amp;(R$4-Products!$C$16),Timeline!$E$4:$BL$4,"&lt;="&amp;(R$4-1)))</f>
        <v/>
      </c>
      <c r="S17" s="39">
        <f>IF(Products!$C$16=0,0,Products!$C$35/Products!$C$16*SUMIFS($E$10:$BL$10,Timeline!$E$4:$BL$4,"&gt;="&amp;(S$4-Products!$C$16),Timeline!$E$4:$BL$4,"&lt;="&amp;(S$4-1)))</f>
        <v/>
      </c>
      <c r="T17" s="39">
        <f>IF(Products!$C$16=0,0,Products!$C$35/Products!$C$16*SUMIFS($E$10:$BL$10,Timeline!$E$4:$BL$4,"&gt;="&amp;(T$4-Products!$C$16),Timeline!$E$4:$BL$4,"&lt;="&amp;(T$4-1)))</f>
        <v/>
      </c>
      <c r="U17" s="39">
        <f>IF(Products!$C$16=0,0,Products!$C$35/Products!$C$16*SUMIFS($E$10:$BL$10,Timeline!$E$4:$BL$4,"&gt;="&amp;(U$4-Products!$C$16),Timeline!$E$4:$BL$4,"&lt;="&amp;(U$4-1)))</f>
        <v/>
      </c>
      <c r="V17" s="39">
        <f>IF(Products!$C$16=0,0,Products!$C$35/Products!$C$16*SUMIFS($E$10:$BL$10,Timeline!$E$4:$BL$4,"&gt;="&amp;(V$4-Products!$C$16),Timeline!$E$4:$BL$4,"&lt;="&amp;(V$4-1)))</f>
        <v/>
      </c>
      <c r="W17" s="39">
        <f>IF(Products!$C$16=0,0,Products!$C$35/Products!$C$16*SUMIFS($E$10:$BL$10,Timeline!$E$4:$BL$4,"&gt;="&amp;(W$4-Products!$C$16),Timeline!$E$4:$BL$4,"&lt;="&amp;(W$4-1)))</f>
        <v/>
      </c>
      <c r="X17" s="39">
        <f>IF(Products!$C$16=0,0,Products!$C$35/Products!$C$16*SUMIFS($E$10:$BL$10,Timeline!$E$4:$BL$4,"&gt;="&amp;(X$4-Products!$C$16),Timeline!$E$4:$BL$4,"&lt;="&amp;(X$4-1)))</f>
        <v/>
      </c>
      <c r="Y17" s="39">
        <f>IF(Products!$C$16=0,0,Products!$C$35/Products!$C$16*SUMIFS($E$10:$BL$10,Timeline!$E$4:$BL$4,"&gt;="&amp;(Y$4-Products!$C$16),Timeline!$E$4:$BL$4,"&lt;="&amp;(Y$4-1)))</f>
        <v/>
      </c>
      <c r="Z17" s="39">
        <f>IF(Products!$C$16=0,0,Products!$C$35/Products!$C$16*SUMIFS($E$10:$BL$10,Timeline!$E$4:$BL$4,"&gt;="&amp;(Z$4-Products!$C$16),Timeline!$E$4:$BL$4,"&lt;="&amp;(Z$4-1)))</f>
        <v/>
      </c>
      <c r="AA17" s="39">
        <f>IF(Products!$C$16=0,0,Products!$C$35/Products!$C$16*SUMIFS($E$10:$BL$10,Timeline!$E$4:$BL$4,"&gt;="&amp;(AA$4-Products!$C$16),Timeline!$E$4:$BL$4,"&lt;="&amp;(AA$4-1)))</f>
        <v/>
      </c>
      <c r="AB17" s="39">
        <f>IF(Products!$C$16=0,0,Products!$C$35/Products!$C$16*SUMIFS($E$10:$BL$10,Timeline!$E$4:$BL$4,"&gt;="&amp;(AB$4-Products!$C$16),Timeline!$E$4:$BL$4,"&lt;="&amp;(AB$4-1)))</f>
        <v/>
      </c>
      <c r="AC17" s="39">
        <f>IF(Products!$C$16=0,0,Products!$C$35/Products!$C$16*SUMIFS($E$10:$BL$10,Timeline!$E$4:$BL$4,"&gt;="&amp;(AC$4-Products!$C$16),Timeline!$E$4:$BL$4,"&lt;="&amp;(AC$4-1)))</f>
        <v/>
      </c>
      <c r="AD17" s="39">
        <f>IF(Products!$C$16=0,0,Products!$C$35/Products!$C$16*SUMIFS($E$10:$BL$10,Timeline!$E$4:$BL$4,"&gt;="&amp;(AD$4-Products!$C$16),Timeline!$E$4:$BL$4,"&lt;="&amp;(AD$4-1)))</f>
        <v/>
      </c>
      <c r="AE17" s="39">
        <f>IF(Products!$C$16=0,0,Products!$C$35/Products!$C$16*SUMIFS($E$10:$BL$10,Timeline!$E$4:$BL$4,"&gt;="&amp;(AE$4-Products!$C$16),Timeline!$E$4:$BL$4,"&lt;="&amp;(AE$4-1)))</f>
        <v/>
      </c>
      <c r="AF17" s="39">
        <f>IF(Products!$C$16=0,0,Products!$C$35/Products!$C$16*SUMIFS($E$10:$BL$10,Timeline!$E$4:$BL$4,"&gt;="&amp;(AF$4-Products!$C$16),Timeline!$E$4:$BL$4,"&lt;="&amp;(AF$4-1)))</f>
        <v/>
      </c>
      <c r="AG17" s="39">
        <f>IF(Products!$C$16=0,0,Products!$C$35/Products!$C$16*SUMIFS($E$10:$BL$10,Timeline!$E$4:$BL$4,"&gt;="&amp;(AG$4-Products!$C$16),Timeline!$E$4:$BL$4,"&lt;="&amp;(AG$4-1)))</f>
        <v/>
      </c>
      <c r="AH17" s="39">
        <f>IF(Products!$C$16=0,0,Products!$C$35/Products!$C$16*SUMIFS($E$10:$BL$10,Timeline!$E$4:$BL$4,"&gt;="&amp;(AH$4-Products!$C$16),Timeline!$E$4:$BL$4,"&lt;="&amp;(AH$4-1)))</f>
        <v/>
      </c>
      <c r="AI17" s="39">
        <f>IF(Products!$C$16=0,0,Products!$C$35/Products!$C$16*SUMIFS($E$10:$BL$10,Timeline!$E$4:$BL$4,"&gt;="&amp;(AI$4-Products!$C$16),Timeline!$E$4:$BL$4,"&lt;="&amp;(AI$4-1)))</f>
        <v/>
      </c>
      <c r="AJ17" s="39">
        <f>IF(Products!$C$16=0,0,Products!$C$35/Products!$C$16*SUMIFS($E$10:$BL$10,Timeline!$E$4:$BL$4,"&gt;="&amp;(AJ$4-Products!$C$16),Timeline!$E$4:$BL$4,"&lt;="&amp;(AJ$4-1)))</f>
        <v/>
      </c>
      <c r="AK17" s="39">
        <f>IF(Products!$C$16=0,0,Products!$C$35/Products!$C$16*SUMIFS($E$10:$BL$10,Timeline!$E$4:$BL$4,"&gt;="&amp;(AK$4-Products!$C$16),Timeline!$E$4:$BL$4,"&lt;="&amp;(AK$4-1)))</f>
        <v/>
      </c>
      <c r="AL17" s="39">
        <f>IF(Products!$C$16=0,0,Products!$C$35/Products!$C$16*SUMIFS($E$10:$BL$10,Timeline!$E$4:$BL$4,"&gt;="&amp;(AL$4-Products!$C$16),Timeline!$E$4:$BL$4,"&lt;="&amp;(AL$4-1)))</f>
        <v/>
      </c>
      <c r="AM17" s="39">
        <f>IF(Products!$C$16=0,0,Products!$C$35/Products!$C$16*SUMIFS($E$10:$BL$10,Timeline!$E$4:$BL$4,"&gt;="&amp;(AM$4-Products!$C$16),Timeline!$E$4:$BL$4,"&lt;="&amp;(AM$4-1)))</f>
        <v/>
      </c>
      <c r="AN17" s="39">
        <f>IF(Products!$C$16=0,0,Products!$C$35/Products!$C$16*SUMIFS($E$10:$BL$10,Timeline!$E$4:$BL$4,"&gt;="&amp;(AN$4-Products!$C$16),Timeline!$E$4:$BL$4,"&lt;="&amp;(AN$4-1)))</f>
        <v/>
      </c>
      <c r="AO17" s="39">
        <f>IF(Products!$C$16=0,0,Products!$C$35/Products!$C$16*SUMIFS($E$10:$BL$10,Timeline!$E$4:$BL$4,"&gt;="&amp;(AO$4-Products!$C$16),Timeline!$E$4:$BL$4,"&lt;="&amp;(AO$4-1)))</f>
        <v/>
      </c>
      <c r="AP17" s="39">
        <f>IF(Products!$C$16=0,0,Products!$C$35/Products!$C$16*SUMIFS($E$10:$BL$10,Timeline!$E$4:$BL$4,"&gt;="&amp;(AP$4-Products!$C$16),Timeline!$E$4:$BL$4,"&lt;="&amp;(AP$4-1)))</f>
        <v/>
      </c>
      <c r="AQ17" s="39">
        <f>IF(Products!$C$16=0,0,Products!$C$35/Products!$C$16*SUMIFS($E$10:$BL$10,Timeline!$E$4:$BL$4,"&gt;="&amp;(AQ$4-Products!$C$16),Timeline!$E$4:$BL$4,"&lt;="&amp;(AQ$4-1)))</f>
        <v/>
      </c>
      <c r="AR17" s="39">
        <f>IF(Products!$C$16=0,0,Products!$C$35/Products!$C$16*SUMIFS($E$10:$BL$10,Timeline!$E$4:$BL$4,"&gt;="&amp;(AR$4-Products!$C$16),Timeline!$E$4:$BL$4,"&lt;="&amp;(AR$4-1)))</f>
        <v/>
      </c>
      <c r="AS17" s="39">
        <f>IF(Products!$C$16=0,0,Products!$C$35/Products!$C$16*SUMIFS($E$10:$BL$10,Timeline!$E$4:$BL$4,"&gt;="&amp;(AS$4-Products!$C$16),Timeline!$E$4:$BL$4,"&lt;="&amp;(AS$4-1)))</f>
        <v/>
      </c>
      <c r="AT17" s="39">
        <f>IF(Products!$C$16=0,0,Products!$C$35/Products!$C$16*SUMIFS($E$10:$BL$10,Timeline!$E$4:$BL$4,"&gt;="&amp;(AT$4-Products!$C$16),Timeline!$E$4:$BL$4,"&lt;="&amp;(AT$4-1)))</f>
        <v/>
      </c>
      <c r="AU17" s="39">
        <f>IF(Products!$C$16=0,0,Products!$C$35/Products!$C$16*SUMIFS($E$10:$BL$10,Timeline!$E$4:$BL$4,"&gt;="&amp;(AU$4-Products!$C$16),Timeline!$E$4:$BL$4,"&lt;="&amp;(AU$4-1)))</f>
        <v/>
      </c>
      <c r="AV17" s="39">
        <f>IF(Products!$C$16=0,0,Products!$C$35/Products!$C$16*SUMIFS($E$10:$BL$10,Timeline!$E$4:$BL$4,"&gt;="&amp;(AV$4-Products!$C$16),Timeline!$E$4:$BL$4,"&lt;="&amp;(AV$4-1)))</f>
        <v/>
      </c>
      <c r="AW17" s="39">
        <f>IF(Products!$C$16=0,0,Products!$C$35/Products!$C$16*SUMIFS($E$10:$BL$10,Timeline!$E$4:$BL$4,"&gt;="&amp;(AW$4-Products!$C$16),Timeline!$E$4:$BL$4,"&lt;="&amp;(AW$4-1)))</f>
        <v/>
      </c>
      <c r="AX17" s="39">
        <f>IF(Products!$C$16=0,0,Products!$C$35/Products!$C$16*SUMIFS($E$10:$BL$10,Timeline!$E$4:$BL$4,"&gt;="&amp;(AX$4-Products!$C$16),Timeline!$E$4:$BL$4,"&lt;="&amp;(AX$4-1)))</f>
        <v/>
      </c>
      <c r="AY17" s="39">
        <f>IF(Products!$C$16=0,0,Products!$C$35/Products!$C$16*SUMIFS($E$10:$BL$10,Timeline!$E$4:$BL$4,"&gt;="&amp;(AY$4-Products!$C$16),Timeline!$E$4:$BL$4,"&lt;="&amp;(AY$4-1)))</f>
        <v/>
      </c>
      <c r="AZ17" s="39">
        <f>IF(Products!$C$16=0,0,Products!$C$35/Products!$C$16*SUMIFS($E$10:$BL$10,Timeline!$E$4:$BL$4,"&gt;="&amp;(AZ$4-Products!$C$16),Timeline!$E$4:$BL$4,"&lt;="&amp;(AZ$4-1)))</f>
        <v/>
      </c>
      <c r="BA17" s="39">
        <f>IF(Products!$C$16=0,0,Products!$C$35/Products!$C$16*SUMIFS($E$10:$BL$10,Timeline!$E$4:$BL$4,"&gt;="&amp;(BA$4-Products!$C$16),Timeline!$E$4:$BL$4,"&lt;="&amp;(BA$4-1)))</f>
        <v/>
      </c>
      <c r="BB17" s="39">
        <f>IF(Products!$C$16=0,0,Products!$C$35/Products!$C$16*SUMIFS($E$10:$BL$10,Timeline!$E$4:$BL$4,"&gt;="&amp;(BB$4-Products!$C$16),Timeline!$E$4:$BL$4,"&lt;="&amp;(BB$4-1)))</f>
        <v/>
      </c>
      <c r="BC17" s="39">
        <f>IF(Products!$C$16=0,0,Products!$C$35/Products!$C$16*SUMIFS($E$10:$BL$10,Timeline!$E$4:$BL$4,"&gt;="&amp;(BC$4-Products!$C$16),Timeline!$E$4:$BL$4,"&lt;="&amp;(BC$4-1)))</f>
        <v/>
      </c>
      <c r="BD17" s="39">
        <f>IF(Products!$C$16=0,0,Products!$C$35/Products!$C$16*SUMIFS($E$10:$BL$10,Timeline!$E$4:$BL$4,"&gt;="&amp;(BD$4-Products!$C$16),Timeline!$E$4:$BL$4,"&lt;="&amp;(BD$4-1)))</f>
        <v/>
      </c>
      <c r="BE17" s="39">
        <f>IF(Products!$C$16=0,0,Products!$C$35/Products!$C$16*SUMIFS($E$10:$BL$10,Timeline!$E$4:$BL$4,"&gt;="&amp;(BE$4-Products!$C$16),Timeline!$E$4:$BL$4,"&lt;="&amp;(BE$4-1)))</f>
        <v/>
      </c>
      <c r="BF17" s="39">
        <f>IF(Products!$C$16=0,0,Products!$C$35/Products!$C$16*SUMIFS($E$10:$BL$10,Timeline!$E$4:$BL$4,"&gt;="&amp;(BF$4-Products!$C$16),Timeline!$E$4:$BL$4,"&lt;="&amp;(BF$4-1)))</f>
        <v/>
      </c>
      <c r="BG17" s="39">
        <f>IF(Products!$C$16=0,0,Products!$C$35/Products!$C$16*SUMIFS($E$10:$BL$10,Timeline!$E$4:$BL$4,"&gt;="&amp;(BG$4-Products!$C$16),Timeline!$E$4:$BL$4,"&lt;="&amp;(BG$4-1)))</f>
        <v/>
      </c>
      <c r="BH17" s="39">
        <f>IF(Products!$C$16=0,0,Products!$C$35/Products!$C$16*SUMIFS($E$10:$BL$10,Timeline!$E$4:$BL$4,"&gt;="&amp;(BH$4-Products!$C$16),Timeline!$E$4:$BL$4,"&lt;="&amp;(BH$4-1)))</f>
        <v/>
      </c>
      <c r="BI17" s="39">
        <f>IF(Products!$C$16=0,0,Products!$C$35/Products!$C$16*SUMIFS($E$10:$BL$10,Timeline!$E$4:$BL$4,"&gt;="&amp;(BI$4-Products!$C$16),Timeline!$E$4:$BL$4,"&lt;="&amp;(BI$4-1)))</f>
        <v/>
      </c>
      <c r="BJ17" s="39">
        <f>IF(Products!$C$16=0,0,Products!$C$35/Products!$C$16*SUMIFS($E$10:$BL$10,Timeline!$E$4:$BL$4,"&gt;="&amp;(BJ$4-Products!$C$16),Timeline!$E$4:$BL$4,"&lt;="&amp;(BJ$4-1)))</f>
        <v/>
      </c>
      <c r="BK17" s="39">
        <f>IF(Products!$C$16=0,0,Products!$C$35/Products!$C$16*SUMIFS($E$10:$BL$10,Timeline!$E$4:$BL$4,"&gt;="&amp;(BK$4-Products!$C$16),Timeline!$E$4:$BL$4,"&lt;="&amp;(BK$4-1)))</f>
        <v/>
      </c>
      <c r="BL17" s="39">
        <f>IF(Products!$C$16=0,0,Products!$C$35/Products!$C$16*SUMIFS($E$10:$BL$10,Timeline!$E$4:$BL$4,"&gt;="&amp;(BL$4-Products!$C$16),Timeline!$E$4:$BL$4,"&lt;="&amp;(BL$4-1)))</f>
        <v/>
      </c>
    </row>
    <row r="18">
      <c r="A18" s="55" t="inlineStr">
        <is>
          <t>Expected credit loss charged at origination</t>
        </is>
      </c>
      <c r="B18" s="26" t="inlineStr">
        <is>
          <t>LCY</t>
        </is>
      </c>
      <c r="C18" s="58">
        <f>SUM(E18:BL18)</f>
        <v/>
      </c>
      <c r="E18" s="39">
        <f>E10*Curves!$E$70</f>
        <v/>
      </c>
      <c r="F18" s="39">
        <f>F10*Curves!$E$70</f>
        <v/>
      </c>
      <c r="G18" s="39">
        <f>G10*Curves!$E$70</f>
        <v/>
      </c>
      <c r="H18" s="39">
        <f>H10*Curves!$E$70</f>
        <v/>
      </c>
      <c r="I18" s="39">
        <f>I10*Curves!$E$70</f>
        <v/>
      </c>
      <c r="J18" s="39">
        <f>J10*Curves!$E$70</f>
        <v/>
      </c>
      <c r="K18" s="39">
        <f>K10*Curves!$E$70</f>
        <v/>
      </c>
      <c r="L18" s="39">
        <f>L10*Curves!$E$70</f>
        <v/>
      </c>
      <c r="M18" s="39">
        <f>M10*Curves!$E$70</f>
        <v/>
      </c>
      <c r="N18" s="39">
        <f>N10*Curves!$E$70</f>
        <v/>
      </c>
      <c r="O18" s="39">
        <f>O10*Curves!$E$70</f>
        <v/>
      </c>
      <c r="P18" s="39">
        <f>P10*Curves!$E$70</f>
        <v/>
      </c>
      <c r="Q18" s="39">
        <f>Q10*Curves!$E$70</f>
        <v/>
      </c>
      <c r="R18" s="39">
        <f>R10*Curves!$E$70</f>
        <v/>
      </c>
      <c r="S18" s="39">
        <f>S10*Curves!$E$70</f>
        <v/>
      </c>
      <c r="T18" s="39">
        <f>T10*Curves!$E$70</f>
        <v/>
      </c>
      <c r="U18" s="39">
        <f>U10*Curves!$E$70</f>
        <v/>
      </c>
      <c r="V18" s="39">
        <f>V10*Curves!$E$70</f>
        <v/>
      </c>
      <c r="W18" s="39">
        <f>W10*Curves!$E$70</f>
        <v/>
      </c>
      <c r="X18" s="39">
        <f>X10*Curves!$E$70</f>
        <v/>
      </c>
      <c r="Y18" s="39">
        <f>Y10*Curves!$E$70</f>
        <v/>
      </c>
      <c r="Z18" s="39">
        <f>Z10*Curves!$E$70</f>
        <v/>
      </c>
      <c r="AA18" s="39">
        <f>AA10*Curves!$E$70</f>
        <v/>
      </c>
      <c r="AB18" s="39">
        <f>AB10*Curves!$E$70</f>
        <v/>
      </c>
      <c r="AC18" s="39">
        <f>AC10*Curves!$E$70</f>
        <v/>
      </c>
      <c r="AD18" s="39">
        <f>AD10*Curves!$E$70</f>
        <v/>
      </c>
      <c r="AE18" s="39">
        <f>AE10*Curves!$E$70</f>
        <v/>
      </c>
      <c r="AF18" s="39">
        <f>AF10*Curves!$E$70</f>
        <v/>
      </c>
      <c r="AG18" s="39">
        <f>AG10*Curves!$E$70</f>
        <v/>
      </c>
      <c r="AH18" s="39">
        <f>AH10*Curves!$E$70</f>
        <v/>
      </c>
      <c r="AI18" s="39">
        <f>AI10*Curves!$E$70</f>
        <v/>
      </c>
      <c r="AJ18" s="39">
        <f>AJ10*Curves!$E$70</f>
        <v/>
      </c>
      <c r="AK18" s="39">
        <f>AK10*Curves!$E$70</f>
        <v/>
      </c>
      <c r="AL18" s="39">
        <f>AL10*Curves!$E$70</f>
        <v/>
      </c>
      <c r="AM18" s="39">
        <f>AM10*Curves!$E$70</f>
        <v/>
      </c>
      <c r="AN18" s="39">
        <f>AN10*Curves!$E$70</f>
        <v/>
      </c>
      <c r="AO18" s="39">
        <f>AO10*Curves!$E$70</f>
        <v/>
      </c>
      <c r="AP18" s="39">
        <f>AP10*Curves!$E$70</f>
        <v/>
      </c>
      <c r="AQ18" s="39">
        <f>AQ10*Curves!$E$70</f>
        <v/>
      </c>
      <c r="AR18" s="39">
        <f>AR10*Curves!$E$70</f>
        <v/>
      </c>
      <c r="AS18" s="39">
        <f>AS10*Curves!$E$70</f>
        <v/>
      </c>
      <c r="AT18" s="39">
        <f>AT10*Curves!$E$70</f>
        <v/>
      </c>
      <c r="AU18" s="39">
        <f>AU10*Curves!$E$70</f>
        <v/>
      </c>
      <c r="AV18" s="39">
        <f>AV10*Curves!$E$70</f>
        <v/>
      </c>
      <c r="AW18" s="39">
        <f>AW10*Curves!$E$70</f>
        <v/>
      </c>
      <c r="AX18" s="39">
        <f>AX10*Curves!$E$70</f>
        <v/>
      </c>
      <c r="AY18" s="39">
        <f>AY10*Curves!$E$70</f>
        <v/>
      </c>
      <c r="AZ18" s="39">
        <f>AZ10*Curves!$E$70</f>
        <v/>
      </c>
      <c r="BA18" s="39">
        <f>BA10*Curves!$E$70</f>
        <v/>
      </c>
      <c r="BB18" s="39">
        <f>BB10*Curves!$E$70</f>
        <v/>
      </c>
      <c r="BC18" s="39">
        <f>BC10*Curves!$E$70</f>
        <v/>
      </c>
      <c r="BD18" s="39">
        <f>BD10*Curves!$E$70</f>
        <v/>
      </c>
      <c r="BE18" s="39">
        <f>BE10*Curves!$E$70</f>
        <v/>
      </c>
      <c r="BF18" s="39">
        <f>BF10*Curves!$E$70</f>
        <v/>
      </c>
      <c r="BG18" s="39">
        <f>BG10*Curves!$E$70</f>
        <v/>
      </c>
      <c r="BH18" s="39">
        <f>BH10*Curves!$E$70</f>
        <v/>
      </c>
      <c r="BI18" s="39">
        <f>BI10*Curves!$E$70</f>
        <v/>
      </c>
      <c r="BJ18" s="39">
        <f>BJ10*Curves!$E$70</f>
        <v/>
      </c>
      <c r="BK18" s="39">
        <f>BK10*Curves!$E$70</f>
        <v/>
      </c>
      <c r="BL18" s="39">
        <f>BL10*Curves!$E$70</f>
        <v/>
      </c>
    </row>
    <row r="19">
      <c r="A19" s="55" t="inlineStr">
        <is>
          <t>Recoveries from resale of repossessed units</t>
        </is>
      </c>
      <c r="B19" s="26" t="inlineStr">
        <is>
          <t>LCY</t>
        </is>
      </c>
      <c r="C19" s="58">
        <f>SUM(E19:BL19)</f>
        <v/>
      </c>
      <c r="E19" s="17">
        <f>Cohort_T1!E$198</f>
        <v/>
      </c>
      <c r="F19" s="17">
        <f>Cohort_T1!F$198</f>
        <v/>
      </c>
      <c r="G19" s="17">
        <f>Cohort_T1!G$198</f>
        <v/>
      </c>
      <c r="H19" s="17">
        <f>Cohort_T1!H$198</f>
        <v/>
      </c>
      <c r="I19" s="17">
        <f>Cohort_T1!I$198</f>
        <v/>
      </c>
      <c r="J19" s="17">
        <f>Cohort_T1!J$198</f>
        <v/>
      </c>
      <c r="K19" s="17">
        <f>Cohort_T1!K$198</f>
        <v/>
      </c>
      <c r="L19" s="17">
        <f>Cohort_T1!L$198</f>
        <v/>
      </c>
      <c r="M19" s="17">
        <f>Cohort_T1!M$198</f>
        <v/>
      </c>
      <c r="N19" s="17">
        <f>Cohort_T1!N$198</f>
        <v/>
      </c>
      <c r="O19" s="17">
        <f>Cohort_T1!O$198</f>
        <v/>
      </c>
      <c r="P19" s="17">
        <f>Cohort_T1!P$198</f>
        <v/>
      </c>
      <c r="Q19" s="17">
        <f>Cohort_T1!Q$198</f>
        <v/>
      </c>
      <c r="R19" s="17">
        <f>Cohort_T1!R$198</f>
        <v/>
      </c>
      <c r="S19" s="17">
        <f>Cohort_T1!S$198</f>
        <v/>
      </c>
      <c r="T19" s="17">
        <f>Cohort_T1!T$198</f>
        <v/>
      </c>
      <c r="U19" s="17">
        <f>Cohort_T1!U$198</f>
        <v/>
      </c>
      <c r="V19" s="17">
        <f>Cohort_T1!V$198</f>
        <v/>
      </c>
      <c r="W19" s="17">
        <f>Cohort_T1!W$198</f>
        <v/>
      </c>
      <c r="X19" s="17">
        <f>Cohort_T1!X$198</f>
        <v/>
      </c>
      <c r="Y19" s="17">
        <f>Cohort_T1!Y$198</f>
        <v/>
      </c>
      <c r="Z19" s="17">
        <f>Cohort_T1!Z$198</f>
        <v/>
      </c>
      <c r="AA19" s="17">
        <f>Cohort_T1!AA$198</f>
        <v/>
      </c>
      <c r="AB19" s="17">
        <f>Cohort_T1!AB$198</f>
        <v/>
      </c>
      <c r="AC19" s="17">
        <f>Cohort_T1!AC$198</f>
        <v/>
      </c>
      <c r="AD19" s="17">
        <f>Cohort_T1!AD$198</f>
        <v/>
      </c>
      <c r="AE19" s="17">
        <f>Cohort_T1!AE$198</f>
        <v/>
      </c>
      <c r="AF19" s="17">
        <f>Cohort_T1!AF$198</f>
        <v/>
      </c>
      <c r="AG19" s="17">
        <f>Cohort_T1!AG$198</f>
        <v/>
      </c>
      <c r="AH19" s="17">
        <f>Cohort_T1!AH$198</f>
        <v/>
      </c>
      <c r="AI19" s="17">
        <f>Cohort_T1!AI$198</f>
        <v/>
      </c>
      <c r="AJ19" s="17">
        <f>Cohort_T1!AJ$198</f>
        <v/>
      </c>
      <c r="AK19" s="17">
        <f>Cohort_T1!AK$198</f>
        <v/>
      </c>
      <c r="AL19" s="17">
        <f>Cohort_T1!AL$198</f>
        <v/>
      </c>
      <c r="AM19" s="17">
        <f>Cohort_T1!AM$198</f>
        <v/>
      </c>
      <c r="AN19" s="17">
        <f>Cohort_T1!AN$198</f>
        <v/>
      </c>
      <c r="AO19" s="17">
        <f>Cohort_T1!AO$198</f>
        <v/>
      </c>
      <c r="AP19" s="17">
        <f>Cohort_T1!AP$198</f>
        <v/>
      </c>
      <c r="AQ19" s="17">
        <f>Cohort_T1!AQ$198</f>
        <v/>
      </c>
      <c r="AR19" s="17">
        <f>Cohort_T1!AR$198</f>
        <v/>
      </c>
      <c r="AS19" s="17">
        <f>Cohort_T1!AS$198</f>
        <v/>
      </c>
      <c r="AT19" s="17">
        <f>Cohort_T1!AT$198</f>
        <v/>
      </c>
      <c r="AU19" s="17">
        <f>Cohort_T1!AU$198</f>
        <v/>
      </c>
      <c r="AV19" s="17">
        <f>Cohort_T1!AV$198</f>
        <v/>
      </c>
      <c r="AW19" s="17">
        <f>Cohort_T1!AW$198</f>
        <v/>
      </c>
      <c r="AX19" s="17">
        <f>Cohort_T1!AX$198</f>
        <v/>
      </c>
      <c r="AY19" s="17">
        <f>Cohort_T1!AY$198</f>
        <v/>
      </c>
      <c r="AZ19" s="17">
        <f>Cohort_T1!AZ$198</f>
        <v/>
      </c>
      <c r="BA19" s="17">
        <f>Cohort_T1!BA$198</f>
        <v/>
      </c>
      <c r="BB19" s="17">
        <f>Cohort_T1!BB$198</f>
        <v/>
      </c>
      <c r="BC19" s="17">
        <f>Cohort_T1!BC$198</f>
        <v/>
      </c>
      <c r="BD19" s="17">
        <f>Cohort_T1!BD$198</f>
        <v/>
      </c>
      <c r="BE19" s="17">
        <f>Cohort_T1!BE$198</f>
        <v/>
      </c>
      <c r="BF19" s="17">
        <f>Cohort_T1!BF$198</f>
        <v/>
      </c>
      <c r="BG19" s="17">
        <f>Cohort_T1!BG$198</f>
        <v/>
      </c>
      <c r="BH19" s="17">
        <f>Cohort_T1!BH$198</f>
        <v/>
      </c>
      <c r="BI19" s="17">
        <f>Cohort_T1!BI$198</f>
        <v/>
      </c>
      <c r="BJ19" s="17">
        <f>Cohort_T1!BJ$198</f>
        <v/>
      </c>
      <c r="BK19" s="17">
        <f>Cohort_T1!BK$198</f>
        <v/>
      </c>
      <c r="BL19" s="17">
        <f>Cohort_T1!BL$198</f>
        <v/>
      </c>
    </row>
    <row r="20">
      <c r="A20" s="55" t="inlineStr">
        <is>
          <t>RBF received</t>
        </is>
      </c>
      <c r="B20" s="26" t="inlineStr">
        <is>
          <t>LCY</t>
        </is>
      </c>
      <c r="C20" s="58">
        <f>SUM(E20:BL20)</f>
        <v/>
      </c>
      <c r="E20" s="39">
        <f>IF(E$4-Inputs!$C$33&gt;=1,INDEX($E$9:$BL$9,1,E$4-Inputs!$C$33),0)*Products!$C$30*Timeline!E$8*Inputs!$C$32</f>
        <v/>
      </c>
      <c r="F20" s="39">
        <f>IF(F$4-Inputs!$C$33&gt;=1,INDEX($E$9:$BL$9,1,F$4-Inputs!$C$33),0)*Products!$C$30*Timeline!F$8*Inputs!$C$32</f>
        <v/>
      </c>
      <c r="G20" s="39">
        <f>IF(G$4-Inputs!$C$33&gt;=1,INDEX($E$9:$BL$9,1,G$4-Inputs!$C$33),0)*Products!$C$30*Timeline!G$8*Inputs!$C$32</f>
        <v/>
      </c>
      <c r="H20" s="39">
        <f>IF(H$4-Inputs!$C$33&gt;=1,INDEX($E$9:$BL$9,1,H$4-Inputs!$C$33),0)*Products!$C$30*Timeline!H$8*Inputs!$C$32</f>
        <v/>
      </c>
      <c r="I20" s="39">
        <f>IF(I$4-Inputs!$C$33&gt;=1,INDEX($E$9:$BL$9,1,I$4-Inputs!$C$33),0)*Products!$C$30*Timeline!I$8*Inputs!$C$32</f>
        <v/>
      </c>
      <c r="J20" s="39">
        <f>IF(J$4-Inputs!$C$33&gt;=1,INDEX($E$9:$BL$9,1,J$4-Inputs!$C$33),0)*Products!$C$30*Timeline!J$8*Inputs!$C$32</f>
        <v/>
      </c>
      <c r="K20" s="39">
        <f>IF(K$4-Inputs!$C$33&gt;=1,INDEX($E$9:$BL$9,1,K$4-Inputs!$C$33),0)*Products!$C$30*Timeline!K$8*Inputs!$C$32</f>
        <v/>
      </c>
      <c r="L20" s="39">
        <f>IF(L$4-Inputs!$C$33&gt;=1,INDEX($E$9:$BL$9,1,L$4-Inputs!$C$33),0)*Products!$C$30*Timeline!L$8*Inputs!$C$32</f>
        <v/>
      </c>
      <c r="M20" s="39">
        <f>IF(M$4-Inputs!$C$33&gt;=1,INDEX($E$9:$BL$9,1,M$4-Inputs!$C$33),0)*Products!$C$30*Timeline!M$8*Inputs!$C$32</f>
        <v/>
      </c>
      <c r="N20" s="39">
        <f>IF(N$4-Inputs!$C$33&gt;=1,INDEX($E$9:$BL$9,1,N$4-Inputs!$C$33),0)*Products!$C$30*Timeline!N$8*Inputs!$C$32</f>
        <v/>
      </c>
      <c r="O20" s="39">
        <f>IF(O$4-Inputs!$C$33&gt;=1,INDEX($E$9:$BL$9,1,O$4-Inputs!$C$33),0)*Products!$C$30*Timeline!O$8*Inputs!$C$32</f>
        <v/>
      </c>
      <c r="P20" s="39">
        <f>IF(P$4-Inputs!$C$33&gt;=1,INDEX($E$9:$BL$9,1,P$4-Inputs!$C$33),0)*Products!$C$30*Timeline!P$8*Inputs!$C$32</f>
        <v/>
      </c>
      <c r="Q20" s="39">
        <f>IF(Q$4-Inputs!$C$33&gt;=1,INDEX($E$9:$BL$9,1,Q$4-Inputs!$C$33),0)*Products!$C$30*Timeline!Q$8*Inputs!$C$32</f>
        <v/>
      </c>
      <c r="R20" s="39">
        <f>IF(R$4-Inputs!$C$33&gt;=1,INDEX($E$9:$BL$9,1,R$4-Inputs!$C$33),0)*Products!$C$30*Timeline!R$8*Inputs!$C$32</f>
        <v/>
      </c>
      <c r="S20" s="39">
        <f>IF(S$4-Inputs!$C$33&gt;=1,INDEX($E$9:$BL$9,1,S$4-Inputs!$C$33),0)*Products!$C$30*Timeline!S$8*Inputs!$C$32</f>
        <v/>
      </c>
      <c r="T20" s="39">
        <f>IF(T$4-Inputs!$C$33&gt;=1,INDEX($E$9:$BL$9,1,T$4-Inputs!$C$33),0)*Products!$C$30*Timeline!T$8*Inputs!$C$32</f>
        <v/>
      </c>
      <c r="U20" s="39">
        <f>IF(U$4-Inputs!$C$33&gt;=1,INDEX($E$9:$BL$9,1,U$4-Inputs!$C$33),0)*Products!$C$30*Timeline!U$8*Inputs!$C$32</f>
        <v/>
      </c>
      <c r="V20" s="39">
        <f>IF(V$4-Inputs!$C$33&gt;=1,INDEX($E$9:$BL$9,1,V$4-Inputs!$C$33),0)*Products!$C$30*Timeline!V$8*Inputs!$C$32</f>
        <v/>
      </c>
      <c r="W20" s="39">
        <f>IF(W$4-Inputs!$C$33&gt;=1,INDEX($E$9:$BL$9,1,W$4-Inputs!$C$33),0)*Products!$C$30*Timeline!W$8*Inputs!$C$32</f>
        <v/>
      </c>
      <c r="X20" s="39">
        <f>IF(X$4-Inputs!$C$33&gt;=1,INDEX($E$9:$BL$9,1,X$4-Inputs!$C$33),0)*Products!$C$30*Timeline!X$8*Inputs!$C$32</f>
        <v/>
      </c>
      <c r="Y20" s="39">
        <f>IF(Y$4-Inputs!$C$33&gt;=1,INDEX($E$9:$BL$9,1,Y$4-Inputs!$C$33),0)*Products!$C$30*Timeline!Y$8*Inputs!$C$32</f>
        <v/>
      </c>
      <c r="Z20" s="39">
        <f>IF(Z$4-Inputs!$C$33&gt;=1,INDEX($E$9:$BL$9,1,Z$4-Inputs!$C$33),0)*Products!$C$30*Timeline!Z$8*Inputs!$C$32</f>
        <v/>
      </c>
      <c r="AA20" s="39">
        <f>IF(AA$4-Inputs!$C$33&gt;=1,INDEX($E$9:$BL$9,1,AA$4-Inputs!$C$33),0)*Products!$C$30*Timeline!AA$8*Inputs!$C$32</f>
        <v/>
      </c>
      <c r="AB20" s="39">
        <f>IF(AB$4-Inputs!$C$33&gt;=1,INDEX($E$9:$BL$9,1,AB$4-Inputs!$C$33),0)*Products!$C$30*Timeline!AB$8*Inputs!$C$32</f>
        <v/>
      </c>
      <c r="AC20" s="39">
        <f>IF(AC$4-Inputs!$C$33&gt;=1,INDEX($E$9:$BL$9,1,AC$4-Inputs!$C$33),0)*Products!$C$30*Timeline!AC$8*Inputs!$C$32</f>
        <v/>
      </c>
      <c r="AD20" s="39">
        <f>IF(AD$4-Inputs!$C$33&gt;=1,INDEX($E$9:$BL$9,1,AD$4-Inputs!$C$33),0)*Products!$C$30*Timeline!AD$8*Inputs!$C$32</f>
        <v/>
      </c>
      <c r="AE20" s="39">
        <f>IF(AE$4-Inputs!$C$33&gt;=1,INDEX($E$9:$BL$9,1,AE$4-Inputs!$C$33),0)*Products!$C$30*Timeline!AE$8*Inputs!$C$32</f>
        <v/>
      </c>
      <c r="AF20" s="39">
        <f>IF(AF$4-Inputs!$C$33&gt;=1,INDEX($E$9:$BL$9,1,AF$4-Inputs!$C$33),0)*Products!$C$30*Timeline!AF$8*Inputs!$C$32</f>
        <v/>
      </c>
      <c r="AG20" s="39">
        <f>IF(AG$4-Inputs!$C$33&gt;=1,INDEX($E$9:$BL$9,1,AG$4-Inputs!$C$33),0)*Products!$C$30*Timeline!AG$8*Inputs!$C$32</f>
        <v/>
      </c>
      <c r="AH20" s="39">
        <f>IF(AH$4-Inputs!$C$33&gt;=1,INDEX($E$9:$BL$9,1,AH$4-Inputs!$C$33),0)*Products!$C$30*Timeline!AH$8*Inputs!$C$32</f>
        <v/>
      </c>
      <c r="AI20" s="39">
        <f>IF(AI$4-Inputs!$C$33&gt;=1,INDEX($E$9:$BL$9,1,AI$4-Inputs!$C$33),0)*Products!$C$30*Timeline!AI$8*Inputs!$C$32</f>
        <v/>
      </c>
      <c r="AJ20" s="39">
        <f>IF(AJ$4-Inputs!$C$33&gt;=1,INDEX($E$9:$BL$9,1,AJ$4-Inputs!$C$33),0)*Products!$C$30*Timeline!AJ$8*Inputs!$C$32</f>
        <v/>
      </c>
      <c r="AK20" s="39">
        <f>IF(AK$4-Inputs!$C$33&gt;=1,INDEX($E$9:$BL$9,1,AK$4-Inputs!$C$33),0)*Products!$C$30*Timeline!AK$8*Inputs!$C$32</f>
        <v/>
      </c>
      <c r="AL20" s="39">
        <f>IF(AL$4-Inputs!$C$33&gt;=1,INDEX($E$9:$BL$9,1,AL$4-Inputs!$C$33),0)*Products!$C$30*Timeline!AL$8*Inputs!$C$32</f>
        <v/>
      </c>
      <c r="AM20" s="39">
        <f>IF(AM$4-Inputs!$C$33&gt;=1,INDEX($E$9:$BL$9,1,AM$4-Inputs!$C$33),0)*Products!$C$30*Timeline!AM$8*Inputs!$C$32</f>
        <v/>
      </c>
      <c r="AN20" s="39">
        <f>IF(AN$4-Inputs!$C$33&gt;=1,INDEX($E$9:$BL$9,1,AN$4-Inputs!$C$33),0)*Products!$C$30*Timeline!AN$8*Inputs!$C$32</f>
        <v/>
      </c>
      <c r="AO20" s="39">
        <f>IF(AO$4-Inputs!$C$33&gt;=1,INDEX($E$9:$BL$9,1,AO$4-Inputs!$C$33),0)*Products!$C$30*Timeline!AO$8*Inputs!$C$32</f>
        <v/>
      </c>
      <c r="AP20" s="39">
        <f>IF(AP$4-Inputs!$C$33&gt;=1,INDEX($E$9:$BL$9,1,AP$4-Inputs!$C$33),0)*Products!$C$30*Timeline!AP$8*Inputs!$C$32</f>
        <v/>
      </c>
      <c r="AQ20" s="39">
        <f>IF(AQ$4-Inputs!$C$33&gt;=1,INDEX($E$9:$BL$9,1,AQ$4-Inputs!$C$33),0)*Products!$C$30*Timeline!AQ$8*Inputs!$C$32</f>
        <v/>
      </c>
      <c r="AR20" s="39">
        <f>IF(AR$4-Inputs!$C$33&gt;=1,INDEX($E$9:$BL$9,1,AR$4-Inputs!$C$33),0)*Products!$C$30*Timeline!AR$8*Inputs!$C$32</f>
        <v/>
      </c>
      <c r="AS20" s="39">
        <f>IF(AS$4-Inputs!$C$33&gt;=1,INDEX($E$9:$BL$9,1,AS$4-Inputs!$C$33),0)*Products!$C$30*Timeline!AS$8*Inputs!$C$32</f>
        <v/>
      </c>
      <c r="AT20" s="39">
        <f>IF(AT$4-Inputs!$C$33&gt;=1,INDEX($E$9:$BL$9,1,AT$4-Inputs!$C$33),0)*Products!$C$30*Timeline!AT$8*Inputs!$C$32</f>
        <v/>
      </c>
      <c r="AU20" s="39">
        <f>IF(AU$4-Inputs!$C$33&gt;=1,INDEX($E$9:$BL$9,1,AU$4-Inputs!$C$33),0)*Products!$C$30*Timeline!AU$8*Inputs!$C$32</f>
        <v/>
      </c>
      <c r="AV20" s="39">
        <f>IF(AV$4-Inputs!$C$33&gt;=1,INDEX($E$9:$BL$9,1,AV$4-Inputs!$C$33),0)*Products!$C$30*Timeline!AV$8*Inputs!$C$32</f>
        <v/>
      </c>
      <c r="AW20" s="39">
        <f>IF(AW$4-Inputs!$C$33&gt;=1,INDEX($E$9:$BL$9,1,AW$4-Inputs!$C$33),0)*Products!$C$30*Timeline!AW$8*Inputs!$C$32</f>
        <v/>
      </c>
      <c r="AX20" s="39">
        <f>IF(AX$4-Inputs!$C$33&gt;=1,INDEX($E$9:$BL$9,1,AX$4-Inputs!$C$33),0)*Products!$C$30*Timeline!AX$8*Inputs!$C$32</f>
        <v/>
      </c>
      <c r="AY20" s="39">
        <f>IF(AY$4-Inputs!$C$33&gt;=1,INDEX($E$9:$BL$9,1,AY$4-Inputs!$C$33),0)*Products!$C$30*Timeline!AY$8*Inputs!$C$32</f>
        <v/>
      </c>
      <c r="AZ20" s="39">
        <f>IF(AZ$4-Inputs!$C$33&gt;=1,INDEX($E$9:$BL$9,1,AZ$4-Inputs!$C$33),0)*Products!$C$30*Timeline!AZ$8*Inputs!$C$32</f>
        <v/>
      </c>
      <c r="BA20" s="39">
        <f>IF(BA$4-Inputs!$C$33&gt;=1,INDEX($E$9:$BL$9,1,BA$4-Inputs!$C$33),0)*Products!$C$30*Timeline!BA$8*Inputs!$C$32</f>
        <v/>
      </c>
      <c r="BB20" s="39">
        <f>IF(BB$4-Inputs!$C$33&gt;=1,INDEX($E$9:$BL$9,1,BB$4-Inputs!$C$33),0)*Products!$C$30*Timeline!BB$8*Inputs!$C$32</f>
        <v/>
      </c>
      <c r="BC20" s="39">
        <f>IF(BC$4-Inputs!$C$33&gt;=1,INDEX($E$9:$BL$9,1,BC$4-Inputs!$C$33),0)*Products!$C$30*Timeline!BC$8*Inputs!$C$32</f>
        <v/>
      </c>
      <c r="BD20" s="39">
        <f>IF(BD$4-Inputs!$C$33&gt;=1,INDEX($E$9:$BL$9,1,BD$4-Inputs!$C$33),0)*Products!$C$30*Timeline!BD$8*Inputs!$C$32</f>
        <v/>
      </c>
      <c r="BE20" s="39">
        <f>IF(BE$4-Inputs!$C$33&gt;=1,INDEX($E$9:$BL$9,1,BE$4-Inputs!$C$33),0)*Products!$C$30*Timeline!BE$8*Inputs!$C$32</f>
        <v/>
      </c>
      <c r="BF20" s="39">
        <f>IF(BF$4-Inputs!$C$33&gt;=1,INDEX($E$9:$BL$9,1,BF$4-Inputs!$C$33),0)*Products!$C$30*Timeline!BF$8*Inputs!$C$32</f>
        <v/>
      </c>
      <c r="BG20" s="39">
        <f>IF(BG$4-Inputs!$C$33&gt;=1,INDEX($E$9:$BL$9,1,BG$4-Inputs!$C$33),0)*Products!$C$30*Timeline!BG$8*Inputs!$C$32</f>
        <v/>
      </c>
      <c r="BH20" s="39">
        <f>IF(BH$4-Inputs!$C$33&gt;=1,INDEX($E$9:$BL$9,1,BH$4-Inputs!$C$33),0)*Products!$C$30*Timeline!BH$8*Inputs!$C$32</f>
        <v/>
      </c>
      <c r="BI20" s="39">
        <f>IF(BI$4-Inputs!$C$33&gt;=1,INDEX($E$9:$BL$9,1,BI$4-Inputs!$C$33),0)*Products!$C$30*Timeline!BI$8*Inputs!$C$32</f>
        <v/>
      </c>
      <c r="BJ20" s="39">
        <f>IF(BJ$4-Inputs!$C$33&gt;=1,INDEX($E$9:$BL$9,1,BJ$4-Inputs!$C$33),0)*Products!$C$30*Timeline!BJ$8*Inputs!$C$32</f>
        <v/>
      </c>
      <c r="BK20" s="39">
        <f>IF(BK$4-Inputs!$C$33&gt;=1,INDEX($E$9:$BL$9,1,BK$4-Inputs!$C$33),0)*Products!$C$30*Timeline!BK$8*Inputs!$C$32</f>
        <v/>
      </c>
      <c r="BL20" s="39">
        <f>IF(BL$4-Inputs!$C$33&gt;=1,INDEX($E$9:$BL$9,1,BL$4-Inputs!$C$33),0)*Products!$C$30*Timeline!BL$8*Inputs!$C$32</f>
        <v/>
      </c>
    </row>
    <row r="21">
      <c r="A21" s="55" t="inlineStr">
        <is>
          <t>Active (paying, in-tenor) accounts</t>
        </is>
      </c>
      <c r="B21" s="26" t="inlineStr">
        <is>
          <t>accounts</t>
        </is>
      </c>
      <c r="C21" s="58">
        <f>BL21</f>
        <v/>
      </c>
      <c r="E21" s="17">
        <f>Cohort_T1!E$72</f>
        <v/>
      </c>
      <c r="F21" s="17">
        <f>Cohort_T1!F$72</f>
        <v/>
      </c>
      <c r="G21" s="17">
        <f>Cohort_T1!G$72</f>
        <v/>
      </c>
      <c r="H21" s="17">
        <f>Cohort_T1!H$72</f>
        <v/>
      </c>
      <c r="I21" s="17">
        <f>Cohort_T1!I$72</f>
        <v/>
      </c>
      <c r="J21" s="17">
        <f>Cohort_T1!J$72</f>
        <v/>
      </c>
      <c r="K21" s="17">
        <f>Cohort_T1!K$72</f>
        <v/>
      </c>
      <c r="L21" s="17">
        <f>Cohort_T1!L$72</f>
        <v/>
      </c>
      <c r="M21" s="17">
        <f>Cohort_T1!M$72</f>
        <v/>
      </c>
      <c r="N21" s="17">
        <f>Cohort_T1!N$72</f>
        <v/>
      </c>
      <c r="O21" s="17">
        <f>Cohort_T1!O$72</f>
        <v/>
      </c>
      <c r="P21" s="17">
        <f>Cohort_T1!P$72</f>
        <v/>
      </c>
      <c r="Q21" s="17">
        <f>Cohort_T1!Q$72</f>
        <v/>
      </c>
      <c r="R21" s="17">
        <f>Cohort_T1!R$72</f>
        <v/>
      </c>
      <c r="S21" s="17">
        <f>Cohort_T1!S$72</f>
        <v/>
      </c>
      <c r="T21" s="17">
        <f>Cohort_T1!T$72</f>
        <v/>
      </c>
      <c r="U21" s="17">
        <f>Cohort_T1!U$72</f>
        <v/>
      </c>
      <c r="V21" s="17">
        <f>Cohort_T1!V$72</f>
        <v/>
      </c>
      <c r="W21" s="17">
        <f>Cohort_T1!W$72</f>
        <v/>
      </c>
      <c r="X21" s="17">
        <f>Cohort_T1!X$72</f>
        <v/>
      </c>
      <c r="Y21" s="17">
        <f>Cohort_T1!Y$72</f>
        <v/>
      </c>
      <c r="Z21" s="17">
        <f>Cohort_T1!Z$72</f>
        <v/>
      </c>
      <c r="AA21" s="17">
        <f>Cohort_T1!AA$72</f>
        <v/>
      </c>
      <c r="AB21" s="17">
        <f>Cohort_T1!AB$72</f>
        <v/>
      </c>
      <c r="AC21" s="17">
        <f>Cohort_T1!AC$72</f>
        <v/>
      </c>
      <c r="AD21" s="17">
        <f>Cohort_T1!AD$72</f>
        <v/>
      </c>
      <c r="AE21" s="17">
        <f>Cohort_T1!AE$72</f>
        <v/>
      </c>
      <c r="AF21" s="17">
        <f>Cohort_T1!AF$72</f>
        <v/>
      </c>
      <c r="AG21" s="17">
        <f>Cohort_T1!AG$72</f>
        <v/>
      </c>
      <c r="AH21" s="17">
        <f>Cohort_T1!AH$72</f>
        <v/>
      </c>
      <c r="AI21" s="17">
        <f>Cohort_T1!AI$72</f>
        <v/>
      </c>
      <c r="AJ21" s="17">
        <f>Cohort_T1!AJ$72</f>
        <v/>
      </c>
      <c r="AK21" s="17">
        <f>Cohort_T1!AK$72</f>
        <v/>
      </c>
      <c r="AL21" s="17">
        <f>Cohort_T1!AL$72</f>
        <v/>
      </c>
      <c r="AM21" s="17">
        <f>Cohort_T1!AM$72</f>
        <v/>
      </c>
      <c r="AN21" s="17">
        <f>Cohort_T1!AN$72</f>
        <v/>
      </c>
      <c r="AO21" s="17">
        <f>Cohort_T1!AO$72</f>
        <v/>
      </c>
      <c r="AP21" s="17">
        <f>Cohort_T1!AP$72</f>
        <v/>
      </c>
      <c r="AQ21" s="17">
        <f>Cohort_T1!AQ$72</f>
        <v/>
      </c>
      <c r="AR21" s="17">
        <f>Cohort_T1!AR$72</f>
        <v/>
      </c>
      <c r="AS21" s="17">
        <f>Cohort_T1!AS$72</f>
        <v/>
      </c>
      <c r="AT21" s="17">
        <f>Cohort_T1!AT$72</f>
        <v/>
      </c>
      <c r="AU21" s="17">
        <f>Cohort_T1!AU$72</f>
        <v/>
      </c>
      <c r="AV21" s="17">
        <f>Cohort_T1!AV$72</f>
        <v/>
      </c>
      <c r="AW21" s="17">
        <f>Cohort_T1!AW$72</f>
        <v/>
      </c>
      <c r="AX21" s="17">
        <f>Cohort_T1!AX$72</f>
        <v/>
      </c>
      <c r="AY21" s="17">
        <f>Cohort_T1!AY$72</f>
        <v/>
      </c>
      <c r="AZ21" s="17">
        <f>Cohort_T1!AZ$72</f>
        <v/>
      </c>
      <c r="BA21" s="17">
        <f>Cohort_T1!BA$72</f>
        <v/>
      </c>
      <c r="BB21" s="17">
        <f>Cohort_T1!BB$72</f>
        <v/>
      </c>
      <c r="BC21" s="17">
        <f>Cohort_T1!BC$72</f>
        <v/>
      </c>
      <c r="BD21" s="17">
        <f>Cohort_T1!BD$72</f>
        <v/>
      </c>
      <c r="BE21" s="17">
        <f>Cohort_T1!BE$72</f>
        <v/>
      </c>
      <c r="BF21" s="17">
        <f>Cohort_T1!BF$72</f>
        <v/>
      </c>
      <c r="BG21" s="17">
        <f>Cohort_T1!BG$72</f>
        <v/>
      </c>
      <c r="BH21" s="17">
        <f>Cohort_T1!BH$72</f>
        <v/>
      </c>
      <c r="BI21" s="17">
        <f>Cohort_T1!BI$72</f>
        <v/>
      </c>
      <c r="BJ21" s="17">
        <f>Cohort_T1!BJ$72</f>
        <v/>
      </c>
      <c r="BK21" s="17">
        <f>Cohort_T1!BK$72</f>
        <v/>
      </c>
      <c r="BL21" s="17">
        <f>Cohort_T1!BL$72</f>
        <v/>
      </c>
    </row>
    <row r="22">
      <c r="A22" s="55" t="inlineStr">
        <is>
          <t>Accounts reaching end of tenor (unlocked)</t>
        </is>
      </c>
      <c r="B22" s="26" t="inlineStr">
        <is>
          <t>accounts</t>
        </is>
      </c>
      <c r="C22" s="58">
        <f>SUM(E22:BL22)</f>
        <v/>
      </c>
      <c r="E22" s="39">
        <f>IF(E$4&gt;Products!$C$16,INDEX($E$9:$BL$9,1,E$4-Products!$C$16)*INDEX(Curves!$B$8:$B$68,Products!$C$16+1),0)</f>
        <v/>
      </c>
      <c r="F22" s="39">
        <f>IF(F$4&gt;Products!$C$16,INDEX($E$9:$BL$9,1,F$4-Products!$C$16)*INDEX(Curves!$B$8:$B$68,Products!$C$16+1),0)</f>
        <v/>
      </c>
      <c r="G22" s="39">
        <f>IF(G$4&gt;Products!$C$16,INDEX($E$9:$BL$9,1,G$4-Products!$C$16)*INDEX(Curves!$B$8:$B$68,Products!$C$16+1),0)</f>
        <v/>
      </c>
      <c r="H22" s="39">
        <f>IF(H$4&gt;Products!$C$16,INDEX($E$9:$BL$9,1,H$4-Products!$C$16)*INDEX(Curves!$B$8:$B$68,Products!$C$16+1),0)</f>
        <v/>
      </c>
      <c r="I22" s="39">
        <f>IF(I$4&gt;Products!$C$16,INDEX($E$9:$BL$9,1,I$4-Products!$C$16)*INDEX(Curves!$B$8:$B$68,Products!$C$16+1),0)</f>
        <v/>
      </c>
      <c r="J22" s="39">
        <f>IF(J$4&gt;Products!$C$16,INDEX($E$9:$BL$9,1,J$4-Products!$C$16)*INDEX(Curves!$B$8:$B$68,Products!$C$16+1),0)</f>
        <v/>
      </c>
      <c r="K22" s="39">
        <f>IF(K$4&gt;Products!$C$16,INDEX($E$9:$BL$9,1,K$4-Products!$C$16)*INDEX(Curves!$B$8:$B$68,Products!$C$16+1),0)</f>
        <v/>
      </c>
      <c r="L22" s="39">
        <f>IF(L$4&gt;Products!$C$16,INDEX($E$9:$BL$9,1,L$4-Products!$C$16)*INDEX(Curves!$B$8:$B$68,Products!$C$16+1),0)</f>
        <v/>
      </c>
      <c r="M22" s="39">
        <f>IF(M$4&gt;Products!$C$16,INDEX($E$9:$BL$9,1,M$4-Products!$C$16)*INDEX(Curves!$B$8:$B$68,Products!$C$16+1),0)</f>
        <v/>
      </c>
      <c r="N22" s="39">
        <f>IF(N$4&gt;Products!$C$16,INDEX($E$9:$BL$9,1,N$4-Products!$C$16)*INDEX(Curves!$B$8:$B$68,Products!$C$16+1),0)</f>
        <v/>
      </c>
      <c r="O22" s="39">
        <f>IF(O$4&gt;Products!$C$16,INDEX($E$9:$BL$9,1,O$4-Products!$C$16)*INDEX(Curves!$B$8:$B$68,Products!$C$16+1),0)</f>
        <v/>
      </c>
      <c r="P22" s="39">
        <f>IF(P$4&gt;Products!$C$16,INDEX($E$9:$BL$9,1,P$4-Products!$C$16)*INDEX(Curves!$B$8:$B$68,Products!$C$16+1),0)</f>
        <v/>
      </c>
      <c r="Q22" s="39">
        <f>IF(Q$4&gt;Products!$C$16,INDEX($E$9:$BL$9,1,Q$4-Products!$C$16)*INDEX(Curves!$B$8:$B$68,Products!$C$16+1),0)</f>
        <v/>
      </c>
      <c r="R22" s="39">
        <f>IF(R$4&gt;Products!$C$16,INDEX($E$9:$BL$9,1,R$4-Products!$C$16)*INDEX(Curves!$B$8:$B$68,Products!$C$16+1),0)</f>
        <v/>
      </c>
      <c r="S22" s="39">
        <f>IF(S$4&gt;Products!$C$16,INDEX($E$9:$BL$9,1,S$4-Products!$C$16)*INDEX(Curves!$B$8:$B$68,Products!$C$16+1),0)</f>
        <v/>
      </c>
      <c r="T22" s="39">
        <f>IF(T$4&gt;Products!$C$16,INDEX($E$9:$BL$9,1,T$4-Products!$C$16)*INDEX(Curves!$B$8:$B$68,Products!$C$16+1),0)</f>
        <v/>
      </c>
      <c r="U22" s="39">
        <f>IF(U$4&gt;Products!$C$16,INDEX($E$9:$BL$9,1,U$4-Products!$C$16)*INDEX(Curves!$B$8:$B$68,Products!$C$16+1),0)</f>
        <v/>
      </c>
      <c r="V22" s="39">
        <f>IF(V$4&gt;Products!$C$16,INDEX($E$9:$BL$9,1,V$4-Products!$C$16)*INDEX(Curves!$B$8:$B$68,Products!$C$16+1),0)</f>
        <v/>
      </c>
      <c r="W22" s="39">
        <f>IF(W$4&gt;Products!$C$16,INDEX($E$9:$BL$9,1,W$4-Products!$C$16)*INDEX(Curves!$B$8:$B$68,Products!$C$16+1),0)</f>
        <v/>
      </c>
      <c r="X22" s="39">
        <f>IF(X$4&gt;Products!$C$16,INDEX($E$9:$BL$9,1,X$4-Products!$C$16)*INDEX(Curves!$B$8:$B$68,Products!$C$16+1),0)</f>
        <v/>
      </c>
      <c r="Y22" s="39">
        <f>IF(Y$4&gt;Products!$C$16,INDEX($E$9:$BL$9,1,Y$4-Products!$C$16)*INDEX(Curves!$B$8:$B$68,Products!$C$16+1),0)</f>
        <v/>
      </c>
      <c r="Z22" s="39">
        <f>IF(Z$4&gt;Products!$C$16,INDEX($E$9:$BL$9,1,Z$4-Products!$C$16)*INDEX(Curves!$B$8:$B$68,Products!$C$16+1),0)</f>
        <v/>
      </c>
      <c r="AA22" s="39">
        <f>IF(AA$4&gt;Products!$C$16,INDEX($E$9:$BL$9,1,AA$4-Products!$C$16)*INDEX(Curves!$B$8:$B$68,Products!$C$16+1),0)</f>
        <v/>
      </c>
      <c r="AB22" s="39">
        <f>IF(AB$4&gt;Products!$C$16,INDEX($E$9:$BL$9,1,AB$4-Products!$C$16)*INDEX(Curves!$B$8:$B$68,Products!$C$16+1),0)</f>
        <v/>
      </c>
      <c r="AC22" s="39">
        <f>IF(AC$4&gt;Products!$C$16,INDEX($E$9:$BL$9,1,AC$4-Products!$C$16)*INDEX(Curves!$B$8:$B$68,Products!$C$16+1),0)</f>
        <v/>
      </c>
      <c r="AD22" s="39">
        <f>IF(AD$4&gt;Products!$C$16,INDEX($E$9:$BL$9,1,AD$4-Products!$C$16)*INDEX(Curves!$B$8:$B$68,Products!$C$16+1),0)</f>
        <v/>
      </c>
      <c r="AE22" s="39">
        <f>IF(AE$4&gt;Products!$C$16,INDEX($E$9:$BL$9,1,AE$4-Products!$C$16)*INDEX(Curves!$B$8:$B$68,Products!$C$16+1),0)</f>
        <v/>
      </c>
      <c r="AF22" s="39">
        <f>IF(AF$4&gt;Products!$C$16,INDEX($E$9:$BL$9,1,AF$4-Products!$C$16)*INDEX(Curves!$B$8:$B$68,Products!$C$16+1),0)</f>
        <v/>
      </c>
      <c r="AG22" s="39">
        <f>IF(AG$4&gt;Products!$C$16,INDEX($E$9:$BL$9,1,AG$4-Products!$C$16)*INDEX(Curves!$B$8:$B$68,Products!$C$16+1),0)</f>
        <v/>
      </c>
      <c r="AH22" s="39">
        <f>IF(AH$4&gt;Products!$C$16,INDEX($E$9:$BL$9,1,AH$4-Products!$C$16)*INDEX(Curves!$B$8:$B$68,Products!$C$16+1),0)</f>
        <v/>
      </c>
      <c r="AI22" s="39">
        <f>IF(AI$4&gt;Products!$C$16,INDEX($E$9:$BL$9,1,AI$4-Products!$C$16)*INDEX(Curves!$B$8:$B$68,Products!$C$16+1),0)</f>
        <v/>
      </c>
      <c r="AJ22" s="39">
        <f>IF(AJ$4&gt;Products!$C$16,INDEX($E$9:$BL$9,1,AJ$4-Products!$C$16)*INDEX(Curves!$B$8:$B$68,Products!$C$16+1),0)</f>
        <v/>
      </c>
      <c r="AK22" s="39">
        <f>IF(AK$4&gt;Products!$C$16,INDEX($E$9:$BL$9,1,AK$4-Products!$C$16)*INDEX(Curves!$B$8:$B$68,Products!$C$16+1),0)</f>
        <v/>
      </c>
      <c r="AL22" s="39">
        <f>IF(AL$4&gt;Products!$C$16,INDEX($E$9:$BL$9,1,AL$4-Products!$C$16)*INDEX(Curves!$B$8:$B$68,Products!$C$16+1),0)</f>
        <v/>
      </c>
      <c r="AM22" s="39">
        <f>IF(AM$4&gt;Products!$C$16,INDEX($E$9:$BL$9,1,AM$4-Products!$C$16)*INDEX(Curves!$B$8:$B$68,Products!$C$16+1),0)</f>
        <v/>
      </c>
      <c r="AN22" s="39">
        <f>IF(AN$4&gt;Products!$C$16,INDEX($E$9:$BL$9,1,AN$4-Products!$C$16)*INDEX(Curves!$B$8:$B$68,Products!$C$16+1),0)</f>
        <v/>
      </c>
      <c r="AO22" s="39">
        <f>IF(AO$4&gt;Products!$C$16,INDEX($E$9:$BL$9,1,AO$4-Products!$C$16)*INDEX(Curves!$B$8:$B$68,Products!$C$16+1),0)</f>
        <v/>
      </c>
      <c r="AP22" s="39">
        <f>IF(AP$4&gt;Products!$C$16,INDEX($E$9:$BL$9,1,AP$4-Products!$C$16)*INDEX(Curves!$B$8:$B$68,Products!$C$16+1),0)</f>
        <v/>
      </c>
      <c r="AQ22" s="39">
        <f>IF(AQ$4&gt;Products!$C$16,INDEX($E$9:$BL$9,1,AQ$4-Products!$C$16)*INDEX(Curves!$B$8:$B$68,Products!$C$16+1),0)</f>
        <v/>
      </c>
      <c r="AR22" s="39">
        <f>IF(AR$4&gt;Products!$C$16,INDEX($E$9:$BL$9,1,AR$4-Products!$C$16)*INDEX(Curves!$B$8:$B$68,Products!$C$16+1),0)</f>
        <v/>
      </c>
      <c r="AS22" s="39">
        <f>IF(AS$4&gt;Products!$C$16,INDEX($E$9:$BL$9,1,AS$4-Products!$C$16)*INDEX(Curves!$B$8:$B$68,Products!$C$16+1),0)</f>
        <v/>
      </c>
      <c r="AT22" s="39">
        <f>IF(AT$4&gt;Products!$C$16,INDEX($E$9:$BL$9,1,AT$4-Products!$C$16)*INDEX(Curves!$B$8:$B$68,Products!$C$16+1),0)</f>
        <v/>
      </c>
      <c r="AU22" s="39">
        <f>IF(AU$4&gt;Products!$C$16,INDEX($E$9:$BL$9,1,AU$4-Products!$C$16)*INDEX(Curves!$B$8:$B$68,Products!$C$16+1),0)</f>
        <v/>
      </c>
      <c r="AV22" s="39">
        <f>IF(AV$4&gt;Products!$C$16,INDEX($E$9:$BL$9,1,AV$4-Products!$C$16)*INDEX(Curves!$B$8:$B$68,Products!$C$16+1),0)</f>
        <v/>
      </c>
      <c r="AW22" s="39">
        <f>IF(AW$4&gt;Products!$C$16,INDEX($E$9:$BL$9,1,AW$4-Products!$C$16)*INDEX(Curves!$B$8:$B$68,Products!$C$16+1),0)</f>
        <v/>
      </c>
      <c r="AX22" s="39">
        <f>IF(AX$4&gt;Products!$C$16,INDEX($E$9:$BL$9,1,AX$4-Products!$C$16)*INDEX(Curves!$B$8:$B$68,Products!$C$16+1),0)</f>
        <v/>
      </c>
      <c r="AY22" s="39">
        <f>IF(AY$4&gt;Products!$C$16,INDEX($E$9:$BL$9,1,AY$4-Products!$C$16)*INDEX(Curves!$B$8:$B$68,Products!$C$16+1),0)</f>
        <v/>
      </c>
      <c r="AZ22" s="39">
        <f>IF(AZ$4&gt;Products!$C$16,INDEX($E$9:$BL$9,1,AZ$4-Products!$C$16)*INDEX(Curves!$B$8:$B$68,Products!$C$16+1),0)</f>
        <v/>
      </c>
      <c r="BA22" s="39">
        <f>IF(BA$4&gt;Products!$C$16,INDEX($E$9:$BL$9,1,BA$4-Products!$C$16)*INDEX(Curves!$B$8:$B$68,Products!$C$16+1),0)</f>
        <v/>
      </c>
      <c r="BB22" s="39">
        <f>IF(BB$4&gt;Products!$C$16,INDEX($E$9:$BL$9,1,BB$4-Products!$C$16)*INDEX(Curves!$B$8:$B$68,Products!$C$16+1),0)</f>
        <v/>
      </c>
      <c r="BC22" s="39">
        <f>IF(BC$4&gt;Products!$C$16,INDEX($E$9:$BL$9,1,BC$4-Products!$C$16)*INDEX(Curves!$B$8:$B$68,Products!$C$16+1),0)</f>
        <v/>
      </c>
      <c r="BD22" s="39">
        <f>IF(BD$4&gt;Products!$C$16,INDEX($E$9:$BL$9,1,BD$4-Products!$C$16)*INDEX(Curves!$B$8:$B$68,Products!$C$16+1),0)</f>
        <v/>
      </c>
      <c r="BE22" s="39">
        <f>IF(BE$4&gt;Products!$C$16,INDEX($E$9:$BL$9,1,BE$4-Products!$C$16)*INDEX(Curves!$B$8:$B$68,Products!$C$16+1),0)</f>
        <v/>
      </c>
      <c r="BF22" s="39">
        <f>IF(BF$4&gt;Products!$C$16,INDEX($E$9:$BL$9,1,BF$4-Products!$C$16)*INDEX(Curves!$B$8:$B$68,Products!$C$16+1),0)</f>
        <v/>
      </c>
      <c r="BG22" s="39">
        <f>IF(BG$4&gt;Products!$C$16,INDEX($E$9:$BL$9,1,BG$4-Products!$C$16)*INDEX(Curves!$B$8:$B$68,Products!$C$16+1),0)</f>
        <v/>
      </c>
      <c r="BH22" s="39">
        <f>IF(BH$4&gt;Products!$C$16,INDEX($E$9:$BL$9,1,BH$4-Products!$C$16)*INDEX(Curves!$B$8:$B$68,Products!$C$16+1),0)</f>
        <v/>
      </c>
      <c r="BI22" s="39">
        <f>IF(BI$4&gt;Products!$C$16,INDEX($E$9:$BL$9,1,BI$4-Products!$C$16)*INDEX(Curves!$B$8:$B$68,Products!$C$16+1),0)</f>
        <v/>
      </c>
      <c r="BJ22" s="39">
        <f>IF(BJ$4&gt;Products!$C$16,INDEX($E$9:$BL$9,1,BJ$4-Products!$C$16)*INDEX(Curves!$B$8:$B$68,Products!$C$16+1),0)</f>
        <v/>
      </c>
      <c r="BK22" s="39">
        <f>IF(BK$4&gt;Products!$C$16,INDEX($E$9:$BL$9,1,BK$4-Products!$C$16)*INDEX(Curves!$B$8:$B$68,Products!$C$16+1),0)</f>
        <v/>
      </c>
      <c r="BL22" s="39">
        <f>IF(BL$4&gt;Products!$C$16,INDEX($E$9:$BL$9,1,BL$4-Products!$C$16)*INDEX(Curves!$B$8:$B$68,Products!$C$16+1),0)</f>
        <v/>
      </c>
    </row>
    <row r="23">
      <c r="A23" s="55" t="inlineStr">
        <is>
          <t>Receivables at risk (carrying amount, accounts that stopped paying)</t>
        </is>
      </c>
      <c r="B23" s="26" t="inlineStr">
        <is>
          <t>LCY</t>
        </is>
      </c>
      <c r="C23" s="58">
        <f>BL23</f>
        <v/>
      </c>
      <c r="E23" s="17">
        <f>Cohort_T1!E$135</f>
        <v/>
      </c>
      <c r="F23" s="17">
        <f>Cohort_T1!F$135</f>
        <v/>
      </c>
      <c r="G23" s="17">
        <f>Cohort_T1!G$135</f>
        <v/>
      </c>
      <c r="H23" s="17">
        <f>Cohort_T1!H$135</f>
        <v/>
      </c>
      <c r="I23" s="17">
        <f>Cohort_T1!I$135</f>
        <v/>
      </c>
      <c r="J23" s="17">
        <f>Cohort_T1!J$135</f>
        <v/>
      </c>
      <c r="K23" s="17">
        <f>Cohort_T1!K$135</f>
        <v/>
      </c>
      <c r="L23" s="17">
        <f>Cohort_T1!L$135</f>
        <v/>
      </c>
      <c r="M23" s="17">
        <f>Cohort_T1!M$135</f>
        <v/>
      </c>
      <c r="N23" s="17">
        <f>Cohort_T1!N$135</f>
        <v/>
      </c>
      <c r="O23" s="17">
        <f>Cohort_T1!O$135</f>
        <v/>
      </c>
      <c r="P23" s="17">
        <f>Cohort_T1!P$135</f>
        <v/>
      </c>
      <c r="Q23" s="17">
        <f>Cohort_T1!Q$135</f>
        <v/>
      </c>
      <c r="R23" s="17">
        <f>Cohort_T1!R$135</f>
        <v/>
      </c>
      <c r="S23" s="17">
        <f>Cohort_T1!S$135</f>
        <v/>
      </c>
      <c r="T23" s="17">
        <f>Cohort_T1!T$135</f>
        <v/>
      </c>
      <c r="U23" s="17">
        <f>Cohort_T1!U$135</f>
        <v/>
      </c>
      <c r="V23" s="17">
        <f>Cohort_T1!V$135</f>
        <v/>
      </c>
      <c r="W23" s="17">
        <f>Cohort_T1!W$135</f>
        <v/>
      </c>
      <c r="X23" s="17">
        <f>Cohort_T1!X$135</f>
        <v/>
      </c>
      <c r="Y23" s="17">
        <f>Cohort_T1!Y$135</f>
        <v/>
      </c>
      <c r="Z23" s="17">
        <f>Cohort_T1!Z$135</f>
        <v/>
      </c>
      <c r="AA23" s="17">
        <f>Cohort_T1!AA$135</f>
        <v/>
      </c>
      <c r="AB23" s="17">
        <f>Cohort_T1!AB$135</f>
        <v/>
      </c>
      <c r="AC23" s="17">
        <f>Cohort_T1!AC$135</f>
        <v/>
      </c>
      <c r="AD23" s="17">
        <f>Cohort_T1!AD$135</f>
        <v/>
      </c>
      <c r="AE23" s="17">
        <f>Cohort_T1!AE$135</f>
        <v/>
      </c>
      <c r="AF23" s="17">
        <f>Cohort_T1!AF$135</f>
        <v/>
      </c>
      <c r="AG23" s="17">
        <f>Cohort_T1!AG$135</f>
        <v/>
      </c>
      <c r="AH23" s="17">
        <f>Cohort_T1!AH$135</f>
        <v/>
      </c>
      <c r="AI23" s="17">
        <f>Cohort_T1!AI$135</f>
        <v/>
      </c>
      <c r="AJ23" s="17">
        <f>Cohort_T1!AJ$135</f>
        <v/>
      </c>
      <c r="AK23" s="17">
        <f>Cohort_T1!AK$135</f>
        <v/>
      </c>
      <c r="AL23" s="17">
        <f>Cohort_T1!AL$135</f>
        <v/>
      </c>
      <c r="AM23" s="17">
        <f>Cohort_T1!AM$135</f>
        <v/>
      </c>
      <c r="AN23" s="17">
        <f>Cohort_T1!AN$135</f>
        <v/>
      </c>
      <c r="AO23" s="17">
        <f>Cohort_T1!AO$135</f>
        <v/>
      </c>
      <c r="AP23" s="17">
        <f>Cohort_T1!AP$135</f>
        <v/>
      </c>
      <c r="AQ23" s="17">
        <f>Cohort_T1!AQ$135</f>
        <v/>
      </c>
      <c r="AR23" s="17">
        <f>Cohort_T1!AR$135</f>
        <v/>
      </c>
      <c r="AS23" s="17">
        <f>Cohort_T1!AS$135</f>
        <v/>
      </c>
      <c r="AT23" s="17">
        <f>Cohort_T1!AT$135</f>
        <v/>
      </c>
      <c r="AU23" s="17">
        <f>Cohort_T1!AU$135</f>
        <v/>
      </c>
      <c r="AV23" s="17">
        <f>Cohort_T1!AV$135</f>
        <v/>
      </c>
      <c r="AW23" s="17">
        <f>Cohort_T1!AW$135</f>
        <v/>
      </c>
      <c r="AX23" s="17">
        <f>Cohort_T1!AX$135</f>
        <v/>
      </c>
      <c r="AY23" s="17">
        <f>Cohort_T1!AY$135</f>
        <v/>
      </c>
      <c r="AZ23" s="17">
        <f>Cohort_T1!AZ$135</f>
        <v/>
      </c>
      <c r="BA23" s="17">
        <f>Cohort_T1!BA$135</f>
        <v/>
      </c>
      <c r="BB23" s="17">
        <f>Cohort_T1!BB$135</f>
        <v/>
      </c>
      <c r="BC23" s="17">
        <f>Cohort_T1!BC$135</f>
        <v/>
      </c>
      <c r="BD23" s="17">
        <f>Cohort_T1!BD$135</f>
        <v/>
      </c>
      <c r="BE23" s="17">
        <f>Cohort_T1!BE$135</f>
        <v/>
      </c>
      <c r="BF23" s="17">
        <f>Cohort_T1!BF$135</f>
        <v/>
      </c>
      <c r="BG23" s="17">
        <f>Cohort_T1!BG$135</f>
        <v/>
      </c>
      <c r="BH23" s="17">
        <f>Cohort_T1!BH$135</f>
        <v/>
      </c>
      <c r="BI23" s="17">
        <f>Cohort_T1!BI$135</f>
        <v/>
      </c>
      <c r="BJ23" s="17">
        <f>Cohort_T1!BJ$135</f>
        <v/>
      </c>
      <c r="BK23" s="17">
        <f>Cohort_T1!BK$135</f>
        <v/>
      </c>
      <c r="BL23" s="17">
        <f>Cohort_T1!BL$135</f>
        <v/>
      </c>
    </row>
    <row r="24">
      <c r="A24" s="55" t="inlineStr">
        <is>
          <t>Gross PAYGo receivables (closing)</t>
        </is>
      </c>
      <c r="B24" s="26" t="inlineStr">
        <is>
          <t>LCY</t>
        </is>
      </c>
      <c r="C24" s="58">
        <f>BL24</f>
        <v/>
      </c>
      <c r="E24" s="39">
        <f>D24+E13+E17-E15-E16</f>
        <v/>
      </c>
      <c r="F24" s="39">
        <f>E24+F13+F17-F15-F16</f>
        <v/>
      </c>
      <c r="G24" s="39">
        <f>F24+G13+G17-G15-G16</f>
        <v/>
      </c>
      <c r="H24" s="39">
        <f>G24+H13+H17-H15-H16</f>
        <v/>
      </c>
      <c r="I24" s="39">
        <f>H24+I13+I17-I15-I16</f>
        <v/>
      </c>
      <c r="J24" s="39">
        <f>I24+J13+J17-J15-J16</f>
        <v/>
      </c>
      <c r="K24" s="39">
        <f>J24+K13+K17-K15-K16</f>
        <v/>
      </c>
      <c r="L24" s="39">
        <f>K24+L13+L17-L15-L16</f>
        <v/>
      </c>
      <c r="M24" s="39">
        <f>L24+M13+M17-M15-M16</f>
        <v/>
      </c>
      <c r="N24" s="39">
        <f>M24+N13+N17-N15-N16</f>
        <v/>
      </c>
      <c r="O24" s="39">
        <f>N24+O13+O17-O15-O16</f>
        <v/>
      </c>
      <c r="P24" s="39">
        <f>O24+P13+P17-P15-P16</f>
        <v/>
      </c>
      <c r="Q24" s="39">
        <f>P24+Q13+Q17-Q15-Q16</f>
        <v/>
      </c>
      <c r="R24" s="39">
        <f>Q24+R13+R17-R15-R16</f>
        <v/>
      </c>
      <c r="S24" s="39">
        <f>R24+S13+S17-S15-S16</f>
        <v/>
      </c>
      <c r="T24" s="39">
        <f>S24+T13+T17-T15-T16</f>
        <v/>
      </c>
      <c r="U24" s="39">
        <f>T24+U13+U17-U15-U16</f>
        <v/>
      </c>
      <c r="V24" s="39">
        <f>U24+V13+V17-V15-V16</f>
        <v/>
      </c>
      <c r="W24" s="39">
        <f>V24+W13+W17-W15-W16</f>
        <v/>
      </c>
      <c r="X24" s="39">
        <f>W24+X13+X17-X15-X16</f>
        <v/>
      </c>
      <c r="Y24" s="39">
        <f>X24+Y13+Y17-Y15-Y16</f>
        <v/>
      </c>
      <c r="Z24" s="39">
        <f>Y24+Z13+Z17-Z15-Z16</f>
        <v/>
      </c>
      <c r="AA24" s="39">
        <f>Z24+AA13+AA17-AA15-AA16</f>
        <v/>
      </c>
      <c r="AB24" s="39">
        <f>AA24+AB13+AB17-AB15-AB16</f>
        <v/>
      </c>
      <c r="AC24" s="39">
        <f>AB24+AC13+AC17-AC15-AC16</f>
        <v/>
      </c>
      <c r="AD24" s="39">
        <f>AC24+AD13+AD17-AD15-AD16</f>
        <v/>
      </c>
      <c r="AE24" s="39">
        <f>AD24+AE13+AE17-AE15-AE16</f>
        <v/>
      </c>
      <c r="AF24" s="39">
        <f>AE24+AF13+AF17-AF15-AF16</f>
        <v/>
      </c>
      <c r="AG24" s="39">
        <f>AF24+AG13+AG17-AG15-AG16</f>
        <v/>
      </c>
      <c r="AH24" s="39">
        <f>AG24+AH13+AH17-AH15-AH16</f>
        <v/>
      </c>
      <c r="AI24" s="39">
        <f>AH24+AI13+AI17-AI15-AI16</f>
        <v/>
      </c>
      <c r="AJ24" s="39">
        <f>AI24+AJ13+AJ17-AJ15-AJ16</f>
        <v/>
      </c>
      <c r="AK24" s="39">
        <f>AJ24+AK13+AK17-AK15-AK16</f>
        <v/>
      </c>
      <c r="AL24" s="39">
        <f>AK24+AL13+AL17-AL15-AL16</f>
        <v/>
      </c>
      <c r="AM24" s="39">
        <f>AL24+AM13+AM17-AM15-AM16</f>
        <v/>
      </c>
      <c r="AN24" s="39">
        <f>AM24+AN13+AN17-AN15-AN16</f>
        <v/>
      </c>
      <c r="AO24" s="39">
        <f>AN24+AO13+AO17-AO15-AO16</f>
        <v/>
      </c>
      <c r="AP24" s="39">
        <f>AO24+AP13+AP17-AP15-AP16</f>
        <v/>
      </c>
      <c r="AQ24" s="39">
        <f>AP24+AQ13+AQ17-AQ15-AQ16</f>
        <v/>
      </c>
      <c r="AR24" s="39">
        <f>AQ24+AR13+AR17-AR15-AR16</f>
        <v/>
      </c>
      <c r="AS24" s="39">
        <f>AR24+AS13+AS17-AS15-AS16</f>
        <v/>
      </c>
      <c r="AT24" s="39">
        <f>AS24+AT13+AT17-AT15-AT16</f>
        <v/>
      </c>
      <c r="AU24" s="39">
        <f>AT24+AU13+AU17-AU15-AU16</f>
        <v/>
      </c>
      <c r="AV24" s="39">
        <f>AU24+AV13+AV17-AV15-AV16</f>
        <v/>
      </c>
      <c r="AW24" s="39">
        <f>AV24+AW13+AW17-AW15-AW16</f>
        <v/>
      </c>
      <c r="AX24" s="39">
        <f>AW24+AX13+AX17-AX15-AX16</f>
        <v/>
      </c>
      <c r="AY24" s="39">
        <f>AX24+AY13+AY17-AY15-AY16</f>
        <v/>
      </c>
      <c r="AZ24" s="39">
        <f>AY24+AZ13+AZ17-AZ15-AZ16</f>
        <v/>
      </c>
      <c r="BA24" s="39">
        <f>AZ24+BA13+BA17-BA15-BA16</f>
        <v/>
      </c>
      <c r="BB24" s="39">
        <f>BA24+BB13+BB17-BB15-BB16</f>
        <v/>
      </c>
      <c r="BC24" s="39">
        <f>BB24+BC13+BC17-BC15-BC16</f>
        <v/>
      </c>
      <c r="BD24" s="39">
        <f>BC24+BD13+BD17-BD15-BD16</f>
        <v/>
      </c>
      <c r="BE24" s="39">
        <f>BD24+BE13+BE17-BE15-BE16</f>
        <v/>
      </c>
      <c r="BF24" s="39">
        <f>BE24+BF13+BF17-BF15-BF16</f>
        <v/>
      </c>
      <c r="BG24" s="39">
        <f>BF24+BG13+BG17-BG15-BG16</f>
        <v/>
      </c>
      <c r="BH24" s="39">
        <f>BG24+BH13+BH17-BH15-BH16</f>
        <v/>
      </c>
      <c r="BI24" s="39">
        <f>BH24+BI13+BI17-BI15-BI16</f>
        <v/>
      </c>
      <c r="BJ24" s="39">
        <f>BI24+BJ13+BJ17-BJ15-BJ16</f>
        <v/>
      </c>
      <c r="BK24" s="39">
        <f>BJ24+BK13+BK17-BK15-BK16</f>
        <v/>
      </c>
      <c r="BL24" s="39">
        <f>BK24+BL13+BL17-BL15-BL16</f>
        <v/>
      </c>
    </row>
    <row r="25">
      <c r="A25" s="55" t="inlineStr">
        <is>
          <t>Eligible receivables (gross - at risk)</t>
        </is>
      </c>
      <c r="B25" s="26" t="inlineStr">
        <is>
          <t>LCY</t>
        </is>
      </c>
      <c r="C25" s="58">
        <f>BL25</f>
        <v/>
      </c>
      <c r="E25" s="39">
        <f>MAX(0,E24-E23)</f>
        <v/>
      </c>
      <c r="F25" s="39">
        <f>MAX(0,F24-F23)</f>
        <v/>
      </c>
      <c r="G25" s="39">
        <f>MAX(0,G24-G23)</f>
        <v/>
      </c>
      <c r="H25" s="39">
        <f>MAX(0,H24-H23)</f>
        <v/>
      </c>
      <c r="I25" s="39">
        <f>MAX(0,I24-I23)</f>
        <v/>
      </c>
      <c r="J25" s="39">
        <f>MAX(0,J24-J23)</f>
        <v/>
      </c>
      <c r="K25" s="39">
        <f>MAX(0,K24-K23)</f>
        <v/>
      </c>
      <c r="L25" s="39">
        <f>MAX(0,L24-L23)</f>
        <v/>
      </c>
      <c r="M25" s="39">
        <f>MAX(0,M24-M23)</f>
        <v/>
      </c>
      <c r="N25" s="39">
        <f>MAX(0,N24-N23)</f>
        <v/>
      </c>
      <c r="O25" s="39">
        <f>MAX(0,O24-O23)</f>
        <v/>
      </c>
      <c r="P25" s="39">
        <f>MAX(0,P24-P23)</f>
        <v/>
      </c>
      <c r="Q25" s="39">
        <f>MAX(0,Q24-Q23)</f>
        <v/>
      </c>
      <c r="R25" s="39">
        <f>MAX(0,R24-R23)</f>
        <v/>
      </c>
      <c r="S25" s="39">
        <f>MAX(0,S24-S23)</f>
        <v/>
      </c>
      <c r="T25" s="39">
        <f>MAX(0,T24-T23)</f>
        <v/>
      </c>
      <c r="U25" s="39">
        <f>MAX(0,U24-U23)</f>
        <v/>
      </c>
      <c r="V25" s="39">
        <f>MAX(0,V24-V23)</f>
        <v/>
      </c>
      <c r="W25" s="39">
        <f>MAX(0,W24-W23)</f>
        <v/>
      </c>
      <c r="X25" s="39">
        <f>MAX(0,X24-X23)</f>
        <v/>
      </c>
      <c r="Y25" s="39">
        <f>MAX(0,Y24-Y23)</f>
        <v/>
      </c>
      <c r="Z25" s="39">
        <f>MAX(0,Z24-Z23)</f>
        <v/>
      </c>
      <c r="AA25" s="39">
        <f>MAX(0,AA24-AA23)</f>
        <v/>
      </c>
      <c r="AB25" s="39">
        <f>MAX(0,AB24-AB23)</f>
        <v/>
      </c>
      <c r="AC25" s="39">
        <f>MAX(0,AC24-AC23)</f>
        <v/>
      </c>
      <c r="AD25" s="39">
        <f>MAX(0,AD24-AD23)</f>
        <v/>
      </c>
      <c r="AE25" s="39">
        <f>MAX(0,AE24-AE23)</f>
        <v/>
      </c>
      <c r="AF25" s="39">
        <f>MAX(0,AF24-AF23)</f>
        <v/>
      </c>
      <c r="AG25" s="39">
        <f>MAX(0,AG24-AG23)</f>
        <v/>
      </c>
      <c r="AH25" s="39">
        <f>MAX(0,AH24-AH23)</f>
        <v/>
      </c>
      <c r="AI25" s="39">
        <f>MAX(0,AI24-AI23)</f>
        <v/>
      </c>
      <c r="AJ25" s="39">
        <f>MAX(0,AJ24-AJ23)</f>
        <v/>
      </c>
      <c r="AK25" s="39">
        <f>MAX(0,AK24-AK23)</f>
        <v/>
      </c>
      <c r="AL25" s="39">
        <f>MAX(0,AL24-AL23)</f>
        <v/>
      </c>
      <c r="AM25" s="39">
        <f>MAX(0,AM24-AM23)</f>
        <v/>
      </c>
      <c r="AN25" s="39">
        <f>MAX(0,AN24-AN23)</f>
        <v/>
      </c>
      <c r="AO25" s="39">
        <f>MAX(0,AO24-AO23)</f>
        <v/>
      </c>
      <c r="AP25" s="39">
        <f>MAX(0,AP24-AP23)</f>
        <v/>
      </c>
      <c r="AQ25" s="39">
        <f>MAX(0,AQ24-AQ23)</f>
        <v/>
      </c>
      <c r="AR25" s="39">
        <f>MAX(0,AR24-AR23)</f>
        <v/>
      </c>
      <c r="AS25" s="39">
        <f>MAX(0,AS24-AS23)</f>
        <v/>
      </c>
      <c r="AT25" s="39">
        <f>MAX(0,AT24-AT23)</f>
        <v/>
      </c>
      <c r="AU25" s="39">
        <f>MAX(0,AU24-AU23)</f>
        <v/>
      </c>
      <c r="AV25" s="39">
        <f>MAX(0,AV24-AV23)</f>
        <v/>
      </c>
      <c r="AW25" s="39">
        <f>MAX(0,AW24-AW23)</f>
        <v/>
      </c>
      <c r="AX25" s="39">
        <f>MAX(0,AX24-AX23)</f>
        <v/>
      </c>
      <c r="AY25" s="39">
        <f>MAX(0,AY24-AY23)</f>
        <v/>
      </c>
      <c r="AZ25" s="39">
        <f>MAX(0,AZ24-AZ23)</f>
        <v/>
      </c>
      <c r="BA25" s="39">
        <f>MAX(0,BA24-BA23)</f>
        <v/>
      </c>
      <c r="BB25" s="39">
        <f>MAX(0,BB24-BB23)</f>
        <v/>
      </c>
      <c r="BC25" s="39">
        <f>MAX(0,BC24-BC23)</f>
        <v/>
      </c>
      <c r="BD25" s="39">
        <f>MAX(0,BD24-BD23)</f>
        <v/>
      </c>
      <c r="BE25" s="39">
        <f>MAX(0,BE24-BE23)</f>
        <v/>
      </c>
      <c r="BF25" s="39">
        <f>MAX(0,BF24-BF23)</f>
        <v/>
      </c>
      <c r="BG25" s="39">
        <f>MAX(0,BG24-BG23)</f>
        <v/>
      </c>
      <c r="BH25" s="39">
        <f>MAX(0,BH24-BH23)</f>
        <v/>
      </c>
      <c r="BI25" s="39">
        <f>MAX(0,BI24-BI23)</f>
        <v/>
      </c>
      <c r="BJ25" s="39">
        <f>MAX(0,BJ24-BJ23)</f>
        <v/>
      </c>
      <c r="BK25" s="39">
        <f>MAX(0,BK24-BK23)</f>
        <v/>
      </c>
      <c r="BL25" s="39">
        <f>MAX(0,BL24-BL23)</f>
        <v/>
      </c>
    </row>
    <row r="26">
      <c r="A26" s="55" t="inlineStr">
        <is>
          <t>Borrowing-base contribution (advance rate x eligible)</t>
        </is>
      </c>
      <c r="B26" s="26" t="inlineStr">
        <is>
          <t>LCY</t>
        </is>
      </c>
      <c r="C26" s="58">
        <f>BL26</f>
        <v/>
      </c>
      <c r="E26" s="39">
        <f>E25*Products!$C$31</f>
        <v/>
      </c>
      <c r="F26" s="39">
        <f>F25*Products!$C$31</f>
        <v/>
      </c>
      <c r="G26" s="39">
        <f>G25*Products!$C$31</f>
        <v/>
      </c>
      <c r="H26" s="39">
        <f>H25*Products!$C$31</f>
        <v/>
      </c>
      <c r="I26" s="39">
        <f>I25*Products!$C$31</f>
        <v/>
      </c>
      <c r="J26" s="39">
        <f>J25*Products!$C$31</f>
        <v/>
      </c>
      <c r="K26" s="39">
        <f>K25*Products!$C$31</f>
        <v/>
      </c>
      <c r="L26" s="39">
        <f>L25*Products!$C$31</f>
        <v/>
      </c>
      <c r="M26" s="39">
        <f>M25*Products!$C$31</f>
        <v/>
      </c>
      <c r="N26" s="39">
        <f>N25*Products!$C$31</f>
        <v/>
      </c>
      <c r="O26" s="39">
        <f>O25*Products!$C$31</f>
        <v/>
      </c>
      <c r="P26" s="39">
        <f>P25*Products!$C$31</f>
        <v/>
      </c>
      <c r="Q26" s="39">
        <f>Q25*Products!$C$31</f>
        <v/>
      </c>
      <c r="R26" s="39">
        <f>R25*Products!$C$31</f>
        <v/>
      </c>
      <c r="S26" s="39">
        <f>S25*Products!$C$31</f>
        <v/>
      </c>
      <c r="T26" s="39">
        <f>T25*Products!$C$31</f>
        <v/>
      </c>
      <c r="U26" s="39">
        <f>U25*Products!$C$31</f>
        <v/>
      </c>
      <c r="V26" s="39">
        <f>V25*Products!$C$31</f>
        <v/>
      </c>
      <c r="W26" s="39">
        <f>W25*Products!$C$31</f>
        <v/>
      </c>
      <c r="X26" s="39">
        <f>X25*Products!$C$31</f>
        <v/>
      </c>
      <c r="Y26" s="39">
        <f>Y25*Products!$C$31</f>
        <v/>
      </c>
      <c r="Z26" s="39">
        <f>Z25*Products!$C$31</f>
        <v/>
      </c>
      <c r="AA26" s="39">
        <f>AA25*Products!$C$31</f>
        <v/>
      </c>
      <c r="AB26" s="39">
        <f>AB25*Products!$C$31</f>
        <v/>
      </c>
      <c r="AC26" s="39">
        <f>AC25*Products!$C$31</f>
        <v/>
      </c>
      <c r="AD26" s="39">
        <f>AD25*Products!$C$31</f>
        <v/>
      </c>
      <c r="AE26" s="39">
        <f>AE25*Products!$C$31</f>
        <v/>
      </c>
      <c r="AF26" s="39">
        <f>AF25*Products!$C$31</f>
        <v/>
      </c>
      <c r="AG26" s="39">
        <f>AG25*Products!$C$31</f>
        <v/>
      </c>
      <c r="AH26" s="39">
        <f>AH25*Products!$C$31</f>
        <v/>
      </c>
      <c r="AI26" s="39">
        <f>AI25*Products!$C$31</f>
        <v/>
      </c>
      <c r="AJ26" s="39">
        <f>AJ25*Products!$C$31</f>
        <v/>
      </c>
      <c r="AK26" s="39">
        <f>AK25*Products!$C$31</f>
        <v/>
      </c>
      <c r="AL26" s="39">
        <f>AL25*Products!$C$31</f>
        <v/>
      </c>
      <c r="AM26" s="39">
        <f>AM25*Products!$C$31</f>
        <v/>
      </c>
      <c r="AN26" s="39">
        <f>AN25*Products!$C$31</f>
        <v/>
      </c>
      <c r="AO26" s="39">
        <f>AO25*Products!$C$31</f>
        <v/>
      </c>
      <c r="AP26" s="39">
        <f>AP25*Products!$C$31</f>
        <v/>
      </c>
      <c r="AQ26" s="39">
        <f>AQ25*Products!$C$31</f>
        <v/>
      </c>
      <c r="AR26" s="39">
        <f>AR25*Products!$C$31</f>
        <v/>
      </c>
      <c r="AS26" s="39">
        <f>AS25*Products!$C$31</f>
        <v/>
      </c>
      <c r="AT26" s="39">
        <f>AT25*Products!$C$31</f>
        <v/>
      </c>
      <c r="AU26" s="39">
        <f>AU25*Products!$C$31</f>
        <v/>
      </c>
      <c r="AV26" s="39">
        <f>AV25*Products!$C$31</f>
        <v/>
      </c>
      <c r="AW26" s="39">
        <f>AW25*Products!$C$31</f>
        <v/>
      </c>
      <c r="AX26" s="39">
        <f>AX25*Products!$C$31</f>
        <v/>
      </c>
      <c r="AY26" s="39">
        <f>AY25*Products!$C$31</f>
        <v/>
      </c>
      <c r="AZ26" s="39">
        <f>AZ25*Products!$C$31</f>
        <v/>
      </c>
      <c r="BA26" s="39">
        <f>BA25*Products!$C$31</f>
        <v/>
      </c>
      <c r="BB26" s="39">
        <f>BB25*Products!$C$31</f>
        <v/>
      </c>
      <c r="BC26" s="39">
        <f>BC25*Products!$C$31</f>
        <v/>
      </c>
      <c r="BD26" s="39">
        <f>BD25*Products!$C$31</f>
        <v/>
      </c>
      <c r="BE26" s="39">
        <f>BE25*Products!$C$31</f>
        <v/>
      </c>
      <c r="BF26" s="39">
        <f>BF25*Products!$C$31</f>
        <v/>
      </c>
      <c r="BG26" s="39">
        <f>BG25*Products!$C$31</f>
        <v/>
      </c>
      <c r="BH26" s="39">
        <f>BH25*Products!$C$31</f>
        <v/>
      </c>
      <c r="BI26" s="39">
        <f>BI25*Products!$C$31</f>
        <v/>
      </c>
      <c r="BJ26" s="39">
        <f>BJ25*Products!$C$31</f>
        <v/>
      </c>
      <c r="BK26" s="39">
        <f>BK25*Products!$C$31</f>
        <v/>
      </c>
      <c r="BL26" s="39">
        <f>BL25*Products!$C$31</f>
        <v/>
      </c>
    </row>
    <row r="27">
      <c r="A27" s="55" t="inlineStr">
        <is>
          <t>Landed hardware cost of units sold</t>
        </is>
      </c>
      <c r="B27" s="26" t="inlineStr">
        <is>
          <t>LCY</t>
        </is>
      </c>
      <c r="C27" s="58">
        <f>SUM(E27:BL27)</f>
        <v/>
      </c>
      <c r="E27" s="39">
        <f>E9*Products!$C$18*(1+Inputs!$C$28)*Timeline!E$8*Scenarios!$G$9</f>
        <v/>
      </c>
      <c r="F27" s="39">
        <f>F9*Products!$C$18*(1+Inputs!$C$28)*Timeline!F$8*Scenarios!$G$9</f>
        <v/>
      </c>
      <c r="G27" s="39">
        <f>G9*Products!$C$18*(1+Inputs!$C$28)*Timeline!G$8*Scenarios!$G$9</f>
        <v/>
      </c>
      <c r="H27" s="39">
        <f>H9*Products!$C$18*(1+Inputs!$C$28)*Timeline!H$8*Scenarios!$G$9</f>
        <v/>
      </c>
      <c r="I27" s="39">
        <f>I9*Products!$C$18*(1+Inputs!$C$28)*Timeline!I$8*Scenarios!$G$9</f>
        <v/>
      </c>
      <c r="J27" s="39">
        <f>J9*Products!$C$18*(1+Inputs!$C$28)*Timeline!J$8*Scenarios!$G$9</f>
        <v/>
      </c>
      <c r="K27" s="39">
        <f>K9*Products!$C$18*(1+Inputs!$C$28)*Timeline!K$8*Scenarios!$G$9</f>
        <v/>
      </c>
      <c r="L27" s="39">
        <f>L9*Products!$C$18*(1+Inputs!$C$28)*Timeline!L$8*Scenarios!$G$9</f>
        <v/>
      </c>
      <c r="M27" s="39">
        <f>M9*Products!$C$18*(1+Inputs!$C$28)*Timeline!M$8*Scenarios!$G$9</f>
        <v/>
      </c>
      <c r="N27" s="39">
        <f>N9*Products!$C$18*(1+Inputs!$C$28)*Timeline!N$8*Scenarios!$G$9</f>
        <v/>
      </c>
      <c r="O27" s="39">
        <f>O9*Products!$C$18*(1+Inputs!$C$28)*Timeline!O$8*Scenarios!$G$9</f>
        <v/>
      </c>
      <c r="P27" s="39">
        <f>P9*Products!$C$18*(1+Inputs!$C$28)*Timeline!P$8*Scenarios!$G$9</f>
        <v/>
      </c>
      <c r="Q27" s="39">
        <f>Q9*Products!$C$18*(1+Inputs!$C$28)*Timeline!Q$8*Scenarios!$G$9</f>
        <v/>
      </c>
      <c r="R27" s="39">
        <f>R9*Products!$C$18*(1+Inputs!$C$28)*Timeline!R$8*Scenarios!$G$9</f>
        <v/>
      </c>
      <c r="S27" s="39">
        <f>S9*Products!$C$18*(1+Inputs!$C$28)*Timeline!S$8*Scenarios!$G$9</f>
        <v/>
      </c>
      <c r="T27" s="39">
        <f>T9*Products!$C$18*(1+Inputs!$C$28)*Timeline!T$8*Scenarios!$G$9</f>
        <v/>
      </c>
      <c r="U27" s="39">
        <f>U9*Products!$C$18*(1+Inputs!$C$28)*Timeline!U$8*Scenarios!$G$9</f>
        <v/>
      </c>
      <c r="V27" s="39">
        <f>V9*Products!$C$18*(1+Inputs!$C$28)*Timeline!V$8*Scenarios!$G$9</f>
        <v/>
      </c>
      <c r="W27" s="39">
        <f>W9*Products!$C$18*(1+Inputs!$C$28)*Timeline!W$8*Scenarios!$G$9</f>
        <v/>
      </c>
      <c r="X27" s="39">
        <f>X9*Products!$C$18*(1+Inputs!$C$28)*Timeline!X$8*Scenarios!$G$9</f>
        <v/>
      </c>
      <c r="Y27" s="39">
        <f>Y9*Products!$C$18*(1+Inputs!$C$28)*Timeline!Y$8*Scenarios!$G$9</f>
        <v/>
      </c>
      <c r="Z27" s="39">
        <f>Z9*Products!$C$18*(1+Inputs!$C$28)*Timeline!Z$8*Scenarios!$G$9</f>
        <v/>
      </c>
      <c r="AA27" s="39">
        <f>AA9*Products!$C$18*(1+Inputs!$C$28)*Timeline!AA$8*Scenarios!$G$9</f>
        <v/>
      </c>
      <c r="AB27" s="39">
        <f>AB9*Products!$C$18*(1+Inputs!$C$28)*Timeline!AB$8*Scenarios!$G$9</f>
        <v/>
      </c>
      <c r="AC27" s="39">
        <f>AC9*Products!$C$18*(1+Inputs!$C$28)*Timeline!AC$8*Scenarios!$G$9</f>
        <v/>
      </c>
      <c r="AD27" s="39">
        <f>AD9*Products!$C$18*(1+Inputs!$C$28)*Timeline!AD$8*Scenarios!$G$9</f>
        <v/>
      </c>
      <c r="AE27" s="39">
        <f>AE9*Products!$C$18*(1+Inputs!$C$28)*Timeline!AE$8*Scenarios!$G$9</f>
        <v/>
      </c>
      <c r="AF27" s="39">
        <f>AF9*Products!$C$18*(1+Inputs!$C$28)*Timeline!AF$8*Scenarios!$G$9</f>
        <v/>
      </c>
      <c r="AG27" s="39">
        <f>AG9*Products!$C$18*(1+Inputs!$C$28)*Timeline!AG$8*Scenarios!$G$9</f>
        <v/>
      </c>
      <c r="AH27" s="39">
        <f>AH9*Products!$C$18*(1+Inputs!$C$28)*Timeline!AH$8*Scenarios!$G$9</f>
        <v/>
      </c>
      <c r="AI27" s="39">
        <f>AI9*Products!$C$18*(1+Inputs!$C$28)*Timeline!AI$8*Scenarios!$G$9</f>
        <v/>
      </c>
      <c r="AJ27" s="39">
        <f>AJ9*Products!$C$18*(1+Inputs!$C$28)*Timeline!AJ$8*Scenarios!$G$9</f>
        <v/>
      </c>
      <c r="AK27" s="39">
        <f>AK9*Products!$C$18*(1+Inputs!$C$28)*Timeline!AK$8*Scenarios!$G$9</f>
        <v/>
      </c>
      <c r="AL27" s="39">
        <f>AL9*Products!$C$18*(1+Inputs!$C$28)*Timeline!AL$8*Scenarios!$G$9</f>
        <v/>
      </c>
      <c r="AM27" s="39">
        <f>AM9*Products!$C$18*(1+Inputs!$C$28)*Timeline!AM$8*Scenarios!$G$9</f>
        <v/>
      </c>
      <c r="AN27" s="39">
        <f>AN9*Products!$C$18*(1+Inputs!$C$28)*Timeline!AN$8*Scenarios!$G$9</f>
        <v/>
      </c>
      <c r="AO27" s="39">
        <f>AO9*Products!$C$18*(1+Inputs!$C$28)*Timeline!AO$8*Scenarios!$G$9</f>
        <v/>
      </c>
      <c r="AP27" s="39">
        <f>AP9*Products!$C$18*(1+Inputs!$C$28)*Timeline!AP$8*Scenarios!$G$9</f>
        <v/>
      </c>
      <c r="AQ27" s="39">
        <f>AQ9*Products!$C$18*(1+Inputs!$C$28)*Timeline!AQ$8*Scenarios!$G$9</f>
        <v/>
      </c>
      <c r="AR27" s="39">
        <f>AR9*Products!$C$18*(1+Inputs!$C$28)*Timeline!AR$8*Scenarios!$G$9</f>
        <v/>
      </c>
      <c r="AS27" s="39">
        <f>AS9*Products!$C$18*(1+Inputs!$C$28)*Timeline!AS$8*Scenarios!$G$9</f>
        <v/>
      </c>
      <c r="AT27" s="39">
        <f>AT9*Products!$C$18*(1+Inputs!$C$28)*Timeline!AT$8*Scenarios!$G$9</f>
        <v/>
      </c>
      <c r="AU27" s="39">
        <f>AU9*Products!$C$18*(1+Inputs!$C$28)*Timeline!AU$8*Scenarios!$G$9</f>
        <v/>
      </c>
      <c r="AV27" s="39">
        <f>AV9*Products!$C$18*(1+Inputs!$C$28)*Timeline!AV$8*Scenarios!$G$9</f>
        <v/>
      </c>
      <c r="AW27" s="39">
        <f>AW9*Products!$C$18*(1+Inputs!$C$28)*Timeline!AW$8*Scenarios!$G$9</f>
        <v/>
      </c>
      <c r="AX27" s="39">
        <f>AX9*Products!$C$18*(1+Inputs!$C$28)*Timeline!AX$8*Scenarios!$G$9</f>
        <v/>
      </c>
      <c r="AY27" s="39">
        <f>AY9*Products!$C$18*(1+Inputs!$C$28)*Timeline!AY$8*Scenarios!$G$9</f>
        <v/>
      </c>
      <c r="AZ27" s="39">
        <f>AZ9*Products!$C$18*(1+Inputs!$C$28)*Timeline!AZ$8*Scenarios!$G$9</f>
        <v/>
      </c>
      <c r="BA27" s="39">
        <f>BA9*Products!$C$18*(1+Inputs!$C$28)*Timeline!BA$8*Scenarios!$G$9</f>
        <v/>
      </c>
      <c r="BB27" s="39">
        <f>BB9*Products!$C$18*(1+Inputs!$C$28)*Timeline!BB$8*Scenarios!$G$9</f>
        <v/>
      </c>
      <c r="BC27" s="39">
        <f>BC9*Products!$C$18*(1+Inputs!$C$28)*Timeline!BC$8*Scenarios!$G$9</f>
        <v/>
      </c>
      <c r="BD27" s="39">
        <f>BD9*Products!$C$18*(1+Inputs!$C$28)*Timeline!BD$8*Scenarios!$G$9</f>
        <v/>
      </c>
      <c r="BE27" s="39">
        <f>BE9*Products!$C$18*(1+Inputs!$C$28)*Timeline!BE$8*Scenarios!$G$9</f>
        <v/>
      </c>
      <c r="BF27" s="39">
        <f>BF9*Products!$C$18*(1+Inputs!$C$28)*Timeline!BF$8*Scenarios!$G$9</f>
        <v/>
      </c>
      <c r="BG27" s="39">
        <f>BG9*Products!$C$18*(1+Inputs!$C$28)*Timeline!BG$8*Scenarios!$G$9</f>
        <v/>
      </c>
      <c r="BH27" s="39">
        <f>BH9*Products!$C$18*(1+Inputs!$C$28)*Timeline!BH$8*Scenarios!$G$9</f>
        <v/>
      </c>
      <c r="BI27" s="39">
        <f>BI9*Products!$C$18*(1+Inputs!$C$28)*Timeline!BI$8*Scenarios!$G$9</f>
        <v/>
      </c>
      <c r="BJ27" s="39">
        <f>BJ9*Products!$C$18*(1+Inputs!$C$28)*Timeline!BJ$8*Scenarios!$G$9</f>
        <v/>
      </c>
      <c r="BK27" s="39">
        <f>BK9*Products!$C$18*(1+Inputs!$C$28)*Timeline!BK$8*Scenarios!$G$9</f>
        <v/>
      </c>
      <c r="BL27" s="39">
        <f>BL9*Products!$C$18*(1+Inputs!$C$28)*Timeline!BL$8*Scenarios!$G$9</f>
        <v/>
      </c>
    </row>
    <row r="28">
      <c r="A28" s="55" t="inlineStr">
        <is>
          <t>Installation &amp; logistics</t>
        </is>
      </c>
      <c r="B28" s="26" t="inlineStr">
        <is>
          <t>LCY</t>
        </is>
      </c>
      <c r="C28" s="58">
        <f>SUM(E28:BL28)</f>
        <v/>
      </c>
      <c r="E28" s="39">
        <f>E9*Products!$C$19*Timeline!E$9</f>
        <v/>
      </c>
      <c r="F28" s="39">
        <f>F9*Products!$C$19*Timeline!F$9</f>
        <v/>
      </c>
      <c r="G28" s="39">
        <f>G9*Products!$C$19*Timeline!G$9</f>
        <v/>
      </c>
      <c r="H28" s="39">
        <f>H9*Products!$C$19*Timeline!H$9</f>
        <v/>
      </c>
      <c r="I28" s="39">
        <f>I9*Products!$C$19*Timeline!I$9</f>
        <v/>
      </c>
      <c r="J28" s="39">
        <f>J9*Products!$C$19*Timeline!J$9</f>
        <v/>
      </c>
      <c r="K28" s="39">
        <f>K9*Products!$C$19*Timeline!K$9</f>
        <v/>
      </c>
      <c r="L28" s="39">
        <f>L9*Products!$C$19*Timeline!L$9</f>
        <v/>
      </c>
      <c r="M28" s="39">
        <f>M9*Products!$C$19*Timeline!M$9</f>
        <v/>
      </c>
      <c r="N28" s="39">
        <f>N9*Products!$C$19*Timeline!N$9</f>
        <v/>
      </c>
      <c r="O28" s="39">
        <f>O9*Products!$C$19*Timeline!O$9</f>
        <v/>
      </c>
      <c r="P28" s="39">
        <f>P9*Products!$C$19*Timeline!P$9</f>
        <v/>
      </c>
      <c r="Q28" s="39">
        <f>Q9*Products!$C$19*Timeline!Q$9</f>
        <v/>
      </c>
      <c r="R28" s="39">
        <f>R9*Products!$C$19*Timeline!R$9</f>
        <v/>
      </c>
      <c r="S28" s="39">
        <f>S9*Products!$C$19*Timeline!S$9</f>
        <v/>
      </c>
      <c r="T28" s="39">
        <f>T9*Products!$C$19*Timeline!T$9</f>
        <v/>
      </c>
      <c r="U28" s="39">
        <f>U9*Products!$C$19*Timeline!U$9</f>
        <v/>
      </c>
      <c r="V28" s="39">
        <f>V9*Products!$C$19*Timeline!V$9</f>
        <v/>
      </c>
      <c r="W28" s="39">
        <f>W9*Products!$C$19*Timeline!W$9</f>
        <v/>
      </c>
      <c r="X28" s="39">
        <f>X9*Products!$C$19*Timeline!X$9</f>
        <v/>
      </c>
      <c r="Y28" s="39">
        <f>Y9*Products!$C$19*Timeline!Y$9</f>
        <v/>
      </c>
      <c r="Z28" s="39">
        <f>Z9*Products!$C$19*Timeline!Z$9</f>
        <v/>
      </c>
      <c r="AA28" s="39">
        <f>AA9*Products!$C$19*Timeline!AA$9</f>
        <v/>
      </c>
      <c r="AB28" s="39">
        <f>AB9*Products!$C$19*Timeline!AB$9</f>
        <v/>
      </c>
      <c r="AC28" s="39">
        <f>AC9*Products!$C$19*Timeline!AC$9</f>
        <v/>
      </c>
      <c r="AD28" s="39">
        <f>AD9*Products!$C$19*Timeline!AD$9</f>
        <v/>
      </c>
      <c r="AE28" s="39">
        <f>AE9*Products!$C$19*Timeline!AE$9</f>
        <v/>
      </c>
      <c r="AF28" s="39">
        <f>AF9*Products!$C$19*Timeline!AF$9</f>
        <v/>
      </c>
      <c r="AG28" s="39">
        <f>AG9*Products!$C$19*Timeline!AG$9</f>
        <v/>
      </c>
      <c r="AH28" s="39">
        <f>AH9*Products!$C$19*Timeline!AH$9</f>
        <v/>
      </c>
      <c r="AI28" s="39">
        <f>AI9*Products!$C$19*Timeline!AI$9</f>
        <v/>
      </c>
      <c r="AJ28" s="39">
        <f>AJ9*Products!$C$19*Timeline!AJ$9</f>
        <v/>
      </c>
      <c r="AK28" s="39">
        <f>AK9*Products!$C$19*Timeline!AK$9</f>
        <v/>
      </c>
      <c r="AL28" s="39">
        <f>AL9*Products!$C$19*Timeline!AL$9</f>
        <v/>
      </c>
      <c r="AM28" s="39">
        <f>AM9*Products!$C$19*Timeline!AM$9</f>
        <v/>
      </c>
      <c r="AN28" s="39">
        <f>AN9*Products!$C$19*Timeline!AN$9</f>
        <v/>
      </c>
      <c r="AO28" s="39">
        <f>AO9*Products!$C$19*Timeline!AO$9</f>
        <v/>
      </c>
      <c r="AP28" s="39">
        <f>AP9*Products!$C$19*Timeline!AP$9</f>
        <v/>
      </c>
      <c r="AQ28" s="39">
        <f>AQ9*Products!$C$19*Timeline!AQ$9</f>
        <v/>
      </c>
      <c r="AR28" s="39">
        <f>AR9*Products!$C$19*Timeline!AR$9</f>
        <v/>
      </c>
      <c r="AS28" s="39">
        <f>AS9*Products!$C$19*Timeline!AS$9</f>
        <v/>
      </c>
      <c r="AT28" s="39">
        <f>AT9*Products!$C$19*Timeline!AT$9</f>
        <v/>
      </c>
      <c r="AU28" s="39">
        <f>AU9*Products!$C$19*Timeline!AU$9</f>
        <v/>
      </c>
      <c r="AV28" s="39">
        <f>AV9*Products!$C$19*Timeline!AV$9</f>
        <v/>
      </c>
      <c r="AW28" s="39">
        <f>AW9*Products!$C$19*Timeline!AW$9</f>
        <v/>
      </c>
      <c r="AX28" s="39">
        <f>AX9*Products!$C$19*Timeline!AX$9</f>
        <v/>
      </c>
      <c r="AY28" s="39">
        <f>AY9*Products!$C$19*Timeline!AY$9</f>
        <v/>
      </c>
      <c r="AZ28" s="39">
        <f>AZ9*Products!$C$19*Timeline!AZ$9</f>
        <v/>
      </c>
      <c r="BA28" s="39">
        <f>BA9*Products!$C$19*Timeline!BA$9</f>
        <v/>
      </c>
      <c r="BB28" s="39">
        <f>BB9*Products!$C$19*Timeline!BB$9</f>
        <v/>
      </c>
      <c r="BC28" s="39">
        <f>BC9*Products!$C$19*Timeline!BC$9</f>
        <v/>
      </c>
      <c r="BD28" s="39">
        <f>BD9*Products!$C$19*Timeline!BD$9</f>
        <v/>
      </c>
      <c r="BE28" s="39">
        <f>BE9*Products!$C$19*Timeline!BE$9</f>
        <v/>
      </c>
      <c r="BF28" s="39">
        <f>BF9*Products!$C$19*Timeline!BF$9</f>
        <v/>
      </c>
      <c r="BG28" s="39">
        <f>BG9*Products!$C$19*Timeline!BG$9</f>
        <v/>
      </c>
      <c r="BH28" s="39">
        <f>BH9*Products!$C$19*Timeline!BH$9</f>
        <v/>
      </c>
      <c r="BI28" s="39">
        <f>BI9*Products!$C$19*Timeline!BI$9</f>
        <v/>
      </c>
      <c r="BJ28" s="39">
        <f>BJ9*Products!$C$19*Timeline!BJ$9</f>
        <v/>
      </c>
      <c r="BK28" s="39">
        <f>BK9*Products!$C$19*Timeline!BK$9</f>
        <v/>
      </c>
      <c r="BL28" s="39">
        <f>BL9*Products!$C$19*Timeline!BL$9</f>
        <v/>
      </c>
    </row>
    <row r="29">
      <c r="A29" s="55" t="inlineStr">
        <is>
          <t>Warranty &amp; after-sales provision</t>
        </is>
      </c>
      <c r="B29" s="26" t="inlineStr">
        <is>
          <t>LCY</t>
        </is>
      </c>
      <c r="C29" s="58">
        <f>SUM(E29:BL29)</f>
        <v/>
      </c>
      <c r="E29" s="39">
        <f>E27*Products!$C$22</f>
        <v/>
      </c>
      <c r="F29" s="39">
        <f>F27*Products!$C$22</f>
        <v/>
      </c>
      <c r="G29" s="39">
        <f>G27*Products!$C$22</f>
        <v/>
      </c>
      <c r="H29" s="39">
        <f>H27*Products!$C$22</f>
        <v/>
      </c>
      <c r="I29" s="39">
        <f>I27*Products!$C$22</f>
        <v/>
      </c>
      <c r="J29" s="39">
        <f>J27*Products!$C$22</f>
        <v/>
      </c>
      <c r="K29" s="39">
        <f>K27*Products!$C$22</f>
        <v/>
      </c>
      <c r="L29" s="39">
        <f>L27*Products!$C$22</f>
        <v/>
      </c>
      <c r="M29" s="39">
        <f>M27*Products!$C$22</f>
        <v/>
      </c>
      <c r="N29" s="39">
        <f>N27*Products!$C$22</f>
        <v/>
      </c>
      <c r="O29" s="39">
        <f>O27*Products!$C$22</f>
        <v/>
      </c>
      <c r="P29" s="39">
        <f>P27*Products!$C$22</f>
        <v/>
      </c>
      <c r="Q29" s="39">
        <f>Q27*Products!$C$22</f>
        <v/>
      </c>
      <c r="R29" s="39">
        <f>R27*Products!$C$22</f>
        <v/>
      </c>
      <c r="S29" s="39">
        <f>S27*Products!$C$22</f>
        <v/>
      </c>
      <c r="T29" s="39">
        <f>T27*Products!$C$22</f>
        <v/>
      </c>
      <c r="U29" s="39">
        <f>U27*Products!$C$22</f>
        <v/>
      </c>
      <c r="V29" s="39">
        <f>V27*Products!$C$22</f>
        <v/>
      </c>
      <c r="W29" s="39">
        <f>W27*Products!$C$22</f>
        <v/>
      </c>
      <c r="X29" s="39">
        <f>X27*Products!$C$22</f>
        <v/>
      </c>
      <c r="Y29" s="39">
        <f>Y27*Products!$C$22</f>
        <v/>
      </c>
      <c r="Z29" s="39">
        <f>Z27*Products!$C$22</f>
        <v/>
      </c>
      <c r="AA29" s="39">
        <f>AA27*Products!$C$22</f>
        <v/>
      </c>
      <c r="AB29" s="39">
        <f>AB27*Products!$C$22</f>
        <v/>
      </c>
      <c r="AC29" s="39">
        <f>AC27*Products!$C$22</f>
        <v/>
      </c>
      <c r="AD29" s="39">
        <f>AD27*Products!$C$22</f>
        <v/>
      </c>
      <c r="AE29" s="39">
        <f>AE27*Products!$C$22</f>
        <v/>
      </c>
      <c r="AF29" s="39">
        <f>AF27*Products!$C$22</f>
        <v/>
      </c>
      <c r="AG29" s="39">
        <f>AG27*Products!$C$22</f>
        <v/>
      </c>
      <c r="AH29" s="39">
        <f>AH27*Products!$C$22</f>
        <v/>
      </c>
      <c r="AI29" s="39">
        <f>AI27*Products!$C$22</f>
        <v/>
      </c>
      <c r="AJ29" s="39">
        <f>AJ27*Products!$C$22</f>
        <v/>
      </c>
      <c r="AK29" s="39">
        <f>AK27*Products!$C$22</f>
        <v/>
      </c>
      <c r="AL29" s="39">
        <f>AL27*Products!$C$22</f>
        <v/>
      </c>
      <c r="AM29" s="39">
        <f>AM27*Products!$C$22</f>
        <v/>
      </c>
      <c r="AN29" s="39">
        <f>AN27*Products!$C$22</f>
        <v/>
      </c>
      <c r="AO29" s="39">
        <f>AO27*Products!$C$22</f>
        <v/>
      </c>
      <c r="AP29" s="39">
        <f>AP27*Products!$C$22</f>
        <v/>
      </c>
      <c r="AQ29" s="39">
        <f>AQ27*Products!$C$22</f>
        <v/>
      </c>
      <c r="AR29" s="39">
        <f>AR27*Products!$C$22</f>
        <v/>
      </c>
      <c r="AS29" s="39">
        <f>AS27*Products!$C$22</f>
        <v/>
      </c>
      <c r="AT29" s="39">
        <f>AT27*Products!$C$22</f>
        <v/>
      </c>
      <c r="AU29" s="39">
        <f>AU27*Products!$C$22</f>
        <v/>
      </c>
      <c r="AV29" s="39">
        <f>AV27*Products!$C$22</f>
        <v/>
      </c>
      <c r="AW29" s="39">
        <f>AW27*Products!$C$22</f>
        <v/>
      </c>
      <c r="AX29" s="39">
        <f>AX27*Products!$C$22</f>
        <v/>
      </c>
      <c r="AY29" s="39">
        <f>AY27*Products!$C$22</f>
        <v/>
      </c>
      <c r="AZ29" s="39">
        <f>AZ27*Products!$C$22</f>
        <v/>
      </c>
      <c r="BA29" s="39">
        <f>BA27*Products!$C$22</f>
        <v/>
      </c>
      <c r="BB29" s="39">
        <f>BB27*Products!$C$22</f>
        <v/>
      </c>
      <c r="BC29" s="39">
        <f>BC27*Products!$C$22</f>
        <v/>
      </c>
      <c r="BD29" s="39">
        <f>BD27*Products!$C$22</f>
        <v/>
      </c>
      <c r="BE29" s="39">
        <f>BE27*Products!$C$22</f>
        <v/>
      </c>
      <c r="BF29" s="39">
        <f>BF27*Products!$C$22</f>
        <v/>
      </c>
      <c r="BG29" s="39">
        <f>BG27*Products!$C$22</f>
        <v/>
      </c>
      <c r="BH29" s="39">
        <f>BH27*Products!$C$22</f>
        <v/>
      </c>
      <c r="BI29" s="39">
        <f>BI27*Products!$C$22</f>
        <v/>
      </c>
      <c r="BJ29" s="39">
        <f>BJ27*Products!$C$22</f>
        <v/>
      </c>
      <c r="BK29" s="39">
        <f>BK27*Products!$C$22</f>
        <v/>
      </c>
      <c r="BL29" s="39">
        <f>BL27*Products!$C$22</f>
        <v/>
      </c>
    </row>
    <row r="30">
      <c r="A30" s="55" t="inlineStr">
        <is>
          <t>Commissions</t>
        </is>
      </c>
      <c r="B30" s="26" t="inlineStr">
        <is>
          <t>LCY</t>
        </is>
      </c>
      <c r="C30" s="58">
        <f>SUM(E30:BL30)</f>
        <v/>
      </c>
      <c r="E30" s="39">
        <f>E9*Products!$C$20*Timeline!E$9</f>
        <v/>
      </c>
      <c r="F30" s="39">
        <f>F9*Products!$C$20*Timeline!F$9</f>
        <v/>
      </c>
      <c r="G30" s="39">
        <f>G9*Products!$C$20*Timeline!G$9</f>
        <v/>
      </c>
      <c r="H30" s="39">
        <f>H9*Products!$C$20*Timeline!H$9</f>
        <v/>
      </c>
      <c r="I30" s="39">
        <f>I9*Products!$C$20*Timeline!I$9</f>
        <v/>
      </c>
      <c r="J30" s="39">
        <f>J9*Products!$C$20*Timeline!J$9</f>
        <v/>
      </c>
      <c r="K30" s="39">
        <f>K9*Products!$C$20*Timeline!K$9</f>
        <v/>
      </c>
      <c r="L30" s="39">
        <f>L9*Products!$C$20*Timeline!L$9</f>
        <v/>
      </c>
      <c r="M30" s="39">
        <f>M9*Products!$C$20*Timeline!M$9</f>
        <v/>
      </c>
      <c r="N30" s="39">
        <f>N9*Products!$C$20*Timeline!N$9</f>
        <v/>
      </c>
      <c r="O30" s="39">
        <f>O9*Products!$C$20*Timeline!O$9</f>
        <v/>
      </c>
      <c r="P30" s="39">
        <f>P9*Products!$C$20*Timeline!P$9</f>
        <v/>
      </c>
      <c r="Q30" s="39">
        <f>Q9*Products!$C$20*Timeline!Q$9</f>
        <v/>
      </c>
      <c r="R30" s="39">
        <f>R9*Products!$C$20*Timeline!R$9</f>
        <v/>
      </c>
      <c r="S30" s="39">
        <f>S9*Products!$C$20*Timeline!S$9</f>
        <v/>
      </c>
      <c r="T30" s="39">
        <f>T9*Products!$C$20*Timeline!T$9</f>
        <v/>
      </c>
      <c r="U30" s="39">
        <f>U9*Products!$C$20*Timeline!U$9</f>
        <v/>
      </c>
      <c r="V30" s="39">
        <f>V9*Products!$C$20*Timeline!V$9</f>
        <v/>
      </c>
      <c r="W30" s="39">
        <f>W9*Products!$C$20*Timeline!W$9</f>
        <v/>
      </c>
      <c r="X30" s="39">
        <f>X9*Products!$C$20*Timeline!X$9</f>
        <v/>
      </c>
      <c r="Y30" s="39">
        <f>Y9*Products!$C$20*Timeline!Y$9</f>
        <v/>
      </c>
      <c r="Z30" s="39">
        <f>Z9*Products!$C$20*Timeline!Z$9</f>
        <v/>
      </c>
      <c r="AA30" s="39">
        <f>AA9*Products!$C$20*Timeline!AA$9</f>
        <v/>
      </c>
      <c r="AB30" s="39">
        <f>AB9*Products!$C$20*Timeline!AB$9</f>
        <v/>
      </c>
      <c r="AC30" s="39">
        <f>AC9*Products!$C$20*Timeline!AC$9</f>
        <v/>
      </c>
      <c r="AD30" s="39">
        <f>AD9*Products!$C$20*Timeline!AD$9</f>
        <v/>
      </c>
      <c r="AE30" s="39">
        <f>AE9*Products!$C$20*Timeline!AE$9</f>
        <v/>
      </c>
      <c r="AF30" s="39">
        <f>AF9*Products!$C$20*Timeline!AF$9</f>
        <v/>
      </c>
      <c r="AG30" s="39">
        <f>AG9*Products!$C$20*Timeline!AG$9</f>
        <v/>
      </c>
      <c r="AH30" s="39">
        <f>AH9*Products!$C$20*Timeline!AH$9</f>
        <v/>
      </c>
      <c r="AI30" s="39">
        <f>AI9*Products!$C$20*Timeline!AI$9</f>
        <v/>
      </c>
      <c r="AJ30" s="39">
        <f>AJ9*Products!$C$20*Timeline!AJ$9</f>
        <v/>
      </c>
      <c r="AK30" s="39">
        <f>AK9*Products!$C$20*Timeline!AK$9</f>
        <v/>
      </c>
      <c r="AL30" s="39">
        <f>AL9*Products!$C$20*Timeline!AL$9</f>
        <v/>
      </c>
      <c r="AM30" s="39">
        <f>AM9*Products!$C$20*Timeline!AM$9</f>
        <v/>
      </c>
      <c r="AN30" s="39">
        <f>AN9*Products!$C$20*Timeline!AN$9</f>
        <v/>
      </c>
      <c r="AO30" s="39">
        <f>AO9*Products!$C$20*Timeline!AO$9</f>
        <v/>
      </c>
      <c r="AP30" s="39">
        <f>AP9*Products!$C$20*Timeline!AP$9</f>
        <v/>
      </c>
      <c r="AQ30" s="39">
        <f>AQ9*Products!$C$20*Timeline!AQ$9</f>
        <v/>
      </c>
      <c r="AR30" s="39">
        <f>AR9*Products!$C$20*Timeline!AR$9</f>
        <v/>
      </c>
      <c r="AS30" s="39">
        <f>AS9*Products!$C$20*Timeline!AS$9</f>
        <v/>
      </c>
      <c r="AT30" s="39">
        <f>AT9*Products!$C$20*Timeline!AT$9</f>
        <v/>
      </c>
      <c r="AU30" s="39">
        <f>AU9*Products!$C$20*Timeline!AU$9</f>
        <v/>
      </c>
      <c r="AV30" s="39">
        <f>AV9*Products!$C$20*Timeline!AV$9</f>
        <v/>
      </c>
      <c r="AW30" s="39">
        <f>AW9*Products!$C$20*Timeline!AW$9</f>
        <v/>
      </c>
      <c r="AX30" s="39">
        <f>AX9*Products!$C$20*Timeline!AX$9</f>
        <v/>
      </c>
      <c r="AY30" s="39">
        <f>AY9*Products!$C$20*Timeline!AY$9</f>
        <v/>
      </c>
      <c r="AZ30" s="39">
        <f>AZ9*Products!$C$20*Timeline!AZ$9</f>
        <v/>
      </c>
      <c r="BA30" s="39">
        <f>BA9*Products!$C$20*Timeline!BA$9</f>
        <v/>
      </c>
      <c r="BB30" s="39">
        <f>BB9*Products!$C$20*Timeline!BB$9</f>
        <v/>
      </c>
      <c r="BC30" s="39">
        <f>BC9*Products!$C$20*Timeline!BC$9</f>
        <v/>
      </c>
      <c r="BD30" s="39">
        <f>BD9*Products!$C$20*Timeline!BD$9</f>
        <v/>
      </c>
      <c r="BE30" s="39">
        <f>BE9*Products!$C$20*Timeline!BE$9</f>
        <v/>
      </c>
      <c r="BF30" s="39">
        <f>BF9*Products!$C$20*Timeline!BF$9</f>
        <v/>
      </c>
      <c r="BG30" s="39">
        <f>BG9*Products!$C$20*Timeline!BG$9</f>
        <v/>
      </c>
      <c r="BH30" s="39">
        <f>BH9*Products!$C$20*Timeline!BH$9</f>
        <v/>
      </c>
      <c r="BI30" s="39">
        <f>BI9*Products!$C$20*Timeline!BI$9</f>
        <v/>
      </c>
      <c r="BJ30" s="39">
        <f>BJ9*Products!$C$20*Timeline!BJ$9</f>
        <v/>
      </c>
      <c r="BK30" s="39">
        <f>BK9*Products!$C$20*Timeline!BK$9</f>
        <v/>
      </c>
      <c r="BL30" s="39">
        <f>BL9*Products!$C$20*Timeline!BL$9</f>
        <v/>
      </c>
    </row>
    <row r="31">
      <c r="A31" s="55" t="inlineStr">
        <is>
          <t>Marketing &amp; acquisition</t>
        </is>
      </c>
      <c r="B31" s="26" t="inlineStr">
        <is>
          <t>LCY</t>
        </is>
      </c>
      <c r="C31" s="58">
        <f>SUM(E31:BL31)</f>
        <v/>
      </c>
      <c r="E31" s="39">
        <f>E9*Products!$C$21*Timeline!E$9</f>
        <v/>
      </c>
      <c r="F31" s="39">
        <f>F9*Products!$C$21*Timeline!F$9</f>
        <v/>
      </c>
      <c r="G31" s="39">
        <f>G9*Products!$C$21*Timeline!G$9</f>
        <v/>
      </c>
      <c r="H31" s="39">
        <f>H9*Products!$C$21*Timeline!H$9</f>
        <v/>
      </c>
      <c r="I31" s="39">
        <f>I9*Products!$C$21*Timeline!I$9</f>
        <v/>
      </c>
      <c r="J31" s="39">
        <f>J9*Products!$C$21*Timeline!J$9</f>
        <v/>
      </c>
      <c r="K31" s="39">
        <f>K9*Products!$C$21*Timeline!K$9</f>
        <v/>
      </c>
      <c r="L31" s="39">
        <f>L9*Products!$C$21*Timeline!L$9</f>
        <v/>
      </c>
      <c r="M31" s="39">
        <f>M9*Products!$C$21*Timeline!M$9</f>
        <v/>
      </c>
      <c r="N31" s="39">
        <f>N9*Products!$C$21*Timeline!N$9</f>
        <v/>
      </c>
      <c r="O31" s="39">
        <f>O9*Products!$C$21*Timeline!O$9</f>
        <v/>
      </c>
      <c r="P31" s="39">
        <f>P9*Products!$C$21*Timeline!P$9</f>
        <v/>
      </c>
      <c r="Q31" s="39">
        <f>Q9*Products!$C$21*Timeline!Q$9</f>
        <v/>
      </c>
      <c r="R31" s="39">
        <f>R9*Products!$C$21*Timeline!R$9</f>
        <v/>
      </c>
      <c r="S31" s="39">
        <f>S9*Products!$C$21*Timeline!S$9</f>
        <v/>
      </c>
      <c r="T31" s="39">
        <f>T9*Products!$C$21*Timeline!T$9</f>
        <v/>
      </c>
      <c r="U31" s="39">
        <f>U9*Products!$C$21*Timeline!U$9</f>
        <v/>
      </c>
      <c r="V31" s="39">
        <f>V9*Products!$C$21*Timeline!V$9</f>
        <v/>
      </c>
      <c r="W31" s="39">
        <f>W9*Products!$C$21*Timeline!W$9</f>
        <v/>
      </c>
      <c r="X31" s="39">
        <f>X9*Products!$C$21*Timeline!X$9</f>
        <v/>
      </c>
      <c r="Y31" s="39">
        <f>Y9*Products!$C$21*Timeline!Y$9</f>
        <v/>
      </c>
      <c r="Z31" s="39">
        <f>Z9*Products!$C$21*Timeline!Z$9</f>
        <v/>
      </c>
      <c r="AA31" s="39">
        <f>AA9*Products!$C$21*Timeline!AA$9</f>
        <v/>
      </c>
      <c r="AB31" s="39">
        <f>AB9*Products!$C$21*Timeline!AB$9</f>
        <v/>
      </c>
      <c r="AC31" s="39">
        <f>AC9*Products!$C$21*Timeline!AC$9</f>
        <v/>
      </c>
      <c r="AD31" s="39">
        <f>AD9*Products!$C$21*Timeline!AD$9</f>
        <v/>
      </c>
      <c r="AE31" s="39">
        <f>AE9*Products!$C$21*Timeline!AE$9</f>
        <v/>
      </c>
      <c r="AF31" s="39">
        <f>AF9*Products!$C$21*Timeline!AF$9</f>
        <v/>
      </c>
      <c r="AG31" s="39">
        <f>AG9*Products!$C$21*Timeline!AG$9</f>
        <v/>
      </c>
      <c r="AH31" s="39">
        <f>AH9*Products!$C$21*Timeline!AH$9</f>
        <v/>
      </c>
      <c r="AI31" s="39">
        <f>AI9*Products!$C$21*Timeline!AI$9</f>
        <v/>
      </c>
      <c r="AJ31" s="39">
        <f>AJ9*Products!$C$21*Timeline!AJ$9</f>
        <v/>
      </c>
      <c r="AK31" s="39">
        <f>AK9*Products!$C$21*Timeline!AK$9</f>
        <v/>
      </c>
      <c r="AL31" s="39">
        <f>AL9*Products!$C$21*Timeline!AL$9</f>
        <v/>
      </c>
      <c r="AM31" s="39">
        <f>AM9*Products!$C$21*Timeline!AM$9</f>
        <v/>
      </c>
      <c r="AN31" s="39">
        <f>AN9*Products!$C$21*Timeline!AN$9</f>
        <v/>
      </c>
      <c r="AO31" s="39">
        <f>AO9*Products!$C$21*Timeline!AO$9</f>
        <v/>
      </c>
      <c r="AP31" s="39">
        <f>AP9*Products!$C$21*Timeline!AP$9</f>
        <v/>
      </c>
      <c r="AQ31" s="39">
        <f>AQ9*Products!$C$21*Timeline!AQ$9</f>
        <v/>
      </c>
      <c r="AR31" s="39">
        <f>AR9*Products!$C$21*Timeline!AR$9</f>
        <v/>
      </c>
      <c r="AS31" s="39">
        <f>AS9*Products!$C$21*Timeline!AS$9</f>
        <v/>
      </c>
      <c r="AT31" s="39">
        <f>AT9*Products!$C$21*Timeline!AT$9</f>
        <v/>
      </c>
      <c r="AU31" s="39">
        <f>AU9*Products!$C$21*Timeline!AU$9</f>
        <v/>
      </c>
      <c r="AV31" s="39">
        <f>AV9*Products!$C$21*Timeline!AV$9</f>
        <v/>
      </c>
      <c r="AW31" s="39">
        <f>AW9*Products!$C$21*Timeline!AW$9</f>
        <v/>
      </c>
      <c r="AX31" s="39">
        <f>AX9*Products!$C$21*Timeline!AX$9</f>
        <v/>
      </c>
      <c r="AY31" s="39">
        <f>AY9*Products!$C$21*Timeline!AY$9</f>
        <v/>
      </c>
      <c r="AZ31" s="39">
        <f>AZ9*Products!$C$21*Timeline!AZ$9</f>
        <v/>
      </c>
      <c r="BA31" s="39">
        <f>BA9*Products!$C$21*Timeline!BA$9</f>
        <v/>
      </c>
      <c r="BB31" s="39">
        <f>BB9*Products!$C$21*Timeline!BB$9</f>
        <v/>
      </c>
      <c r="BC31" s="39">
        <f>BC9*Products!$C$21*Timeline!BC$9</f>
        <v/>
      </c>
      <c r="BD31" s="39">
        <f>BD9*Products!$C$21*Timeline!BD$9</f>
        <v/>
      </c>
      <c r="BE31" s="39">
        <f>BE9*Products!$C$21*Timeline!BE$9</f>
        <v/>
      </c>
      <c r="BF31" s="39">
        <f>BF9*Products!$C$21*Timeline!BF$9</f>
        <v/>
      </c>
      <c r="BG31" s="39">
        <f>BG9*Products!$C$21*Timeline!BG$9</f>
        <v/>
      </c>
      <c r="BH31" s="39">
        <f>BH9*Products!$C$21*Timeline!BH$9</f>
        <v/>
      </c>
      <c r="BI31" s="39">
        <f>BI9*Products!$C$21*Timeline!BI$9</f>
        <v/>
      </c>
      <c r="BJ31" s="39">
        <f>BJ9*Products!$C$21*Timeline!BJ$9</f>
        <v/>
      </c>
      <c r="BK31" s="39">
        <f>BK9*Products!$C$21*Timeline!BK$9</f>
        <v/>
      </c>
      <c r="BL31" s="39">
        <f>BL9*Products!$C$21*Timeline!BL$9</f>
        <v/>
      </c>
    </row>
    <row r="32"/>
    <row r="33">
      <c r="A33" s="14">
        <f>Products!$D$6</f>
        <v/>
      </c>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c r="AA33" s="15" t="n"/>
      <c r="AB33" s="15" t="n"/>
      <c r="AC33" s="15" t="n"/>
      <c r="AD33" s="15" t="n"/>
      <c r="AE33" s="15" t="n"/>
      <c r="AF33" s="15" t="n"/>
      <c r="AG33" s="15" t="n"/>
      <c r="AH33" s="15" t="n"/>
      <c r="AI33" s="15" t="n"/>
      <c r="AJ33" s="15" t="n"/>
      <c r="AK33" s="15" t="n"/>
      <c r="AL33" s="15" t="n"/>
      <c r="AM33" s="15" t="n"/>
      <c r="AN33" s="15" t="n"/>
      <c r="AO33" s="15" t="n"/>
      <c r="AP33" s="15" t="n"/>
      <c r="AQ33" s="15" t="n"/>
      <c r="AR33" s="15" t="n"/>
      <c r="AS33" s="15" t="n"/>
      <c r="AT33" s="15" t="n"/>
      <c r="AU33" s="15" t="n"/>
      <c r="AV33" s="15" t="n"/>
      <c r="AW33" s="15" t="n"/>
      <c r="AX33" s="15" t="n"/>
      <c r="AY33" s="15" t="n"/>
      <c r="AZ33" s="15" t="n"/>
      <c r="BA33" s="15" t="n"/>
      <c r="BB33" s="15" t="n"/>
      <c r="BC33" s="15" t="n"/>
      <c r="BD33" s="15" t="n"/>
      <c r="BE33" s="15" t="n"/>
      <c r="BF33" s="15" t="n"/>
      <c r="BG33" s="15" t="n"/>
      <c r="BH33" s="15" t="n"/>
      <c r="BI33" s="15" t="n"/>
      <c r="BJ33" s="15" t="n"/>
      <c r="BK33" s="15" t="n"/>
      <c r="BL33" s="15" t="n"/>
    </row>
    <row r="34">
      <c r="A34" s="55" t="inlineStr">
        <is>
          <t>Units sold</t>
        </is>
      </c>
      <c r="B34" s="26" t="inlineStr">
        <is>
          <t>units</t>
        </is>
      </c>
      <c r="C34" s="58">
        <f>SUM(E34:BL34)</f>
        <v/>
      </c>
      <c r="E34" s="39">
        <f>Timeline!E$11*Products!$D$23</f>
        <v/>
      </c>
      <c r="F34" s="39">
        <f>Timeline!F$11*Products!$D$23</f>
        <v/>
      </c>
      <c r="G34" s="39">
        <f>Timeline!G$11*Products!$D$23</f>
        <v/>
      </c>
      <c r="H34" s="39">
        <f>Timeline!H$11*Products!$D$23</f>
        <v/>
      </c>
      <c r="I34" s="39">
        <f>Timeline!I$11*Products!$D$23</f>
        <v/>
      </c>
      <c r="J34" s="39">
        <f>Timeline!J$11*Products!$D$23</f>
        <v/>
      </c>
      <c r="K34" s="39">
        <f>Timeline!K$11*Products!$D$23</f>
        <v/>
      </c>
      <c r="L34" s="39">
        <f>Timeline!L$11*Products!$D$23</f>
        <v/>
      </c>
      <c r="M34" s="39">
        <f>Timeline!M$11*Products!$D$23</f>
        <v/>
      </c>
      <c r="N34" s="39">
        <f>Timeline!N$11*Products!$D$23</f>
        <v/>
      </c>
      <c r="O34" s="39">
        <f>Timeline!O$11*Products!$D$23</f>
        <v/>
      </c>
      <c r="P34" s="39">
        <f>Timeline!P$11*Products!$D$23</f>
        <v/>
      </c>
      <c r="Q34" s="39">
        <f>Timeline!Q$11*Products!$D$23</f>
        <v/>
      </c>
      <c r="R34" s="39">
        <f>Timeline!R$11*Products!$D$23</f>
        <v/>
      </c>
      <c r="S34" s="39">
        <f>Timeline!S$11*Products!$D$23</f>
        <v/>
      </c>
      <c r="T34" s="39">
        <f>Timeline!T$11*Products!$D$23</f>
        <v/>
      </c>
      <c r="U34" s="39">
        <f>Timeline!U$11*Products!$D$23</f>
        <v/>
      </c>
      <c r="V34" s="39">
        <f>Timeline!V$11*Products!$D$23</f>
        <v/>
      </c>
      <c r="W34" s="39">
        <f>Timeline!W$11*Products!$D$23</f>
        <v/>
      </c>
      <c r="X34" s="39">
        <f>Timeline!X$11*Products!$D$23</f>
        <v/>
      </c>
      <c r="Y34" s="39">
        <f>Timeline!Y$11*Products!$D$23</f>
        <v/>
      </c>
      <c r="Z34" s="39">
        <f>Timeline!Z$11*Products!$D$23</f>
        <v/>
      </c>
      <c r="AA34" s="39">
        <f>Timeline!AA$11*Products!$D$23</f>
        <v/>
      </c>
      <c r="AB34" s="39">
        <f>Timeline!AB$11*Products!$D$23</f>
        <v/>
      </c>
      <c r="AC34" s="39">
        <f>Timeline!AC$11*Products!$D$23</f>
        <v/>
      </c>
      <c r="AD34" s="39">
        <f>Timeline!AD$11*Products!$D$23</f>
        <v/>
      </c>
      <c r="AE34" s="39">
        <f>Timeline!AE$11*Products!$D$23</f>
        <v/>
      </c>
      <c r="AF34" s="39">
        <f>Timeline!AF$11*Products!$D$23</f>
        <v/>
      </c>
      <c r="AG34" s="39">
        <f>Timeline!AG$11*Products!$D$23</f>
        <v/>
      </c>
      <c r="AH34" s="39">
        <f>Timeline!AH$11*Products!$D$23</f>
        <v/>
      </c>
      <c r="AI34" s="39">
        <f>Timeline!AI$11*Products!$D$23</f>
        <v/>
      </c>
      <c r="AJ34" s="39">
        <f>Timeline!AJ$11*Products!$D$23</f>
        <v/>
      </c>
      <c r="AK34" s="39">
        <f>Timeline!AK$11*Products!$D$23</f>
        <v/>
      </c>
      <c r="AL34" s="39">
        <f>Timeline!AL$11*Products!$D$23</f>
        <v/>
      </c>
      <c r="AM34" s="39">
        <f>Timeline!AM$11*Products!$D$23</f>
        <v/>
      </c>
      <c r="AN34" s="39">
        <f>Timeline!AN$11*Products!$D$23</f>
        <v/>
      </c>
      <c r="AO34" s="39">
        <f>Timeline!AO$11*Products!$D$23</f>
        <v/>
      </c>
      <c r="AP34" s="39">
        <f>Timeline!AP$11*Products!$D$23</f>
        <v/>
      </c>
      <c r="AQ34" s="39">
        <f>Timeline!AQ$11*Products!$D$23</f>
        <v/>
      </c>
      <c r="AR34" s="39">
        <f>Timeline!AR$11*Products!$D$23</f>
        <v/>
      </c>
      <c r="AS34" s="39">
        <f>Timeline!AS$11*Products!$D$23</f>
        <v/>
      </c>
      <c r="AT34" s="39">
        <f>Timeline!AT$11*Products!$D$23</f>
        <v/>
      </c>
      <c r="AU34" s="39">
        <f>Timeline!AU$11*Products!$D$23</f>
        <v/>
      </c>
      <c r="AV34" s="39">
        <f>Timeline!AV$11*Products!$D$23</f>
        <v/>
      </c>
      <c r="AW34" s="39">
        <f>Timeline!AW$11*Products!$D$23</f>
        <v/>
      </c>
      <c r="AX34" s="39">
        <f>Timeline!AX$11*Products!$D$23</f>
        <v/>
      </c>
      <c r="AY34" s="39">
        <f>Timeline!AY$11*Products!$D$23</f>
        <v/>
      </c>
      <c r="AZ34" s="39">
        <f>Timeline!AZ$11*Products!$D$23</f>
        <v/>
      </c>
      <c r="BA34" s="39">
        <f>Timeline!BA$11*Products!$D$23</f>
        <v/>
      </c>
      <c r="BB34" s="39">
        <f>Timeline!BB$11*Products!$D$23</f>
        <v/>
      </c>
      <c r="BC34" s="39">
        <f>Timeline!BC$11*Products!$D$23</f>
        <v/>
      </c>
      <c r="BD34" s="39">
        <f>Timeline!BD$11*Products!$D$23</f>
        <v/>
      </c>
      <c r="BE34" s="39">
        <f>Timeline!BE$11*Products!$D$23</f>
        <v/>
      </c>
      <c r="BF34" s="39">
        <f>Timeline!BF$11*Products!$D$23</f>
        <v/>
      </c>
      <c r="BG34" s="39">
        <f>Timeline!BG$11*Products!$D$23</f>
        <v/>
      </c>
      <c r="BH34" s="39">
        <f>Timeline!BH$11*Products!$D$23</f>
        <v/>
      </c>
      <c r="BI34" s="39">
        <f>Timeline!BI$11*Products!$D$23</f>
        <v/>
      </c>
      <c r="BJ34" s="39">
        <f>Timeline!BJ$11*Products!$D$23</f>
        <v/>
      </c>
      <c r="BK34" s="39">
        <f>Timeline!BK$11*Products!$D$23</f>
        <v/>
      </c>
      <c r="BL34" s="39">
        <f>Timeline!BL$11*Products!$D$23</f>
        <v/>
      </c>
    </row>
    <row r="35">
      <c r="A35" s="55" t="inlineStr">
        <is>
          <t>Price-indexed units (units x price index)</t>
        </is>
      </c>
      <c r="B35" s="26" t="inlineStr">
        <is>
          <t>units</t>
        </is>
      </c>
      <c r="C35" s="58">
        <f>SUM(E35:BL35)</f>
        <v/>
      </c>
      <c r="E35" s="39">
        <f>E34*Timeline!E$10</f>
        <v/>
      </c>
      <c r="F35" s="39">
        <f>F34*Timeline!F$10</f>
        <v/>
      </c>
      <c r="G35" s="39">
        <f>G34*Timeline!G$10</f>
        <v/>
      </c>
      <c r="H35" s="39">
        <f>H34*Timeline!H$10</f>
        <v/>
      </c>
      <c r="I35" s="39">
        <f>I34*Timeline!I$10</f>
        <v/>
      </c>
      <c r="J35" s="39">
        <f>J34*Timeline!J$10</f>
        <v/>
      </c>
      <c r="K35" s="39">
        <f>K34*Timeline!K$10</f>
        <v/>
      </c>
      <c r="L35" s="39">
        <f>L34*Timeline!L$10</f>
        <v/>
      </c>
      <c r="M35" s="39">
        <f>M34*Timeline!M$10</f>
        <v/>
      </c>
      <c r="N35" s="39">
        <f>N34*Timeline!N$10</f>
        <v/>
      </c>
      <c r="O35" s="39">
        <f>O34*Timeline!O$10</f>
        <v/>
      </c>
      <c r="P35" s="39">
        <f>P34*Timeline!P$10</f>
        <v/>
      </c>
      <c r="Q35" s="39">
        <f>Q34*Timeline!Q$10</f>
        <v/>
      </c>
      <c r="R35" s="39">
        <f>R34*Timeline!R$10</f>
        <v/>
      </c>
      <c r="S35" s="39">
        <f>S34*Timeline!S$10</f>
        <v/>
      </c>
      <c r="T35" s="39">
        <f>T34*Timeline!T$10</f>
        <v/>
      </c>
      <c r="U35" s="39">
        <f>U34*Timeline!U$10</f>
        <v/>
      </c>
      <c r="V35" s="39">
        <f>V34*Timeline!V$10</f>
        <v/>
      </c>
      <c r="W35" s="39">
        <f>W34*Timeline!W$10</f>
        <v/>
      </c>
      <c r="X35" s="39">
        <f>X34*Timeline!X$10</f>
        <v/>
      </c>
      <c r="Y35" s="39">
        <f>Y34*Timeline!Y$10</f>
        <v/>
      </c>
      <c r="Z35" s="39">
        <f>Z34*Timeline!Z$10</f>
        <v/>
      </c>
      <c r="AA35" s="39">
        <f>AA34*Timeline!AA$10</f>
        <v/>
      </c>
      <c r="AB35" s="39">
        <f>AB34*Timeline!AB$10</f>
        <v/>
      </c>
      <c r="AC35" s="39">
        <f>AC34*Timeline!AC$10</f>
        <v/>
      </c>
      <c r="AD35" s="39">
        <f>AD34*Timeline!AD$10</f>
        <v/>
      </c>
      <c r="AE35" s="39">
        <f>AE34*Timeline!AE$10</f>
        <v/>
      </c>
      <c r="AF35" s="39">
        <f>AF34*Timeline!AF$10</f>
        <v/>
      </c>
      <c r="AG35" s="39">
        <f>AG34*Timeline!AG$10</f>
        <v/>
      </c>
      <c r="AH35" s="39">
        <f>AH34*Timeline!AH$10</f>
        <v/>
      </c>
      <c r="AI35" s="39">
        <f>AI34*Timeline!AI$10</f>
        <v/>
      </c>
      <c r="AJ35" s="39">
        <f>AJ34*Timeline!AJ$10</f>
        <v/>
      </c>
      <c r="AK35" s="39">
        <f>AK34*Timeline!AK$10</f>
        <v/>
      </c>
      <c r="AL35" s="39">
        <f>AL34*Timeline!AL$10</f>
        <v/>
      </c>
      <c r="AM35" s="39">
        <f>AM34*Timeline!AM$10</f>
        <v/>
      </c>
      <c r="AN35" s="39">
        <f>AN34*Timeline!AN$10</f>
        <v/>
      </c>
      <c r="AO35" s="39">
        <f>AO34*Timeline!AO$10</f>
        <v/>
      </c>
      <c r="AP35" s="39">
        <f>AP34*Timeline!AP$10</f>
        <v/>
      </c>
      <c r="AQ35" s="39">
        <f>AQ34*Timeline!AQ$10</f>
        <v/>
      </c>
      <c r="AR35" s="39">
        <f>AR34*Timeline!AR$10</f>
        <v/>
      </c>
      <c r="AS35" s="39">
        <f>AS34*Timeline!AS$10</f>
        <v/>
      </c>
      <c r="AT35" s="39">
        <f>AT34*Timeline!AT$10</f>
        <v/>
      </c>
      <c r="AU35" s="39">
        <f>AU34*Timeline!AU$10</f>
        <v/>
      </c>
      <c r="AV35" s="39">
        <f>AV34*Timeline!AV$10</f>
        <v/>
      </c>
      <c r="AW35" s="39">
        <f>AW34*Timeline!AW$10</f>
        <v/>
      </c>
      <c r="AX35" s="39">
        <f>AX34*Timeline!AX$10</f>
        <v/>
      </c>
      <c r="AY35" s="39">
        <f>AY34*Timeline!AY$10</f>
        <v/>
      </c>
      <c r="AZ35" s="39">
        <f>AZ34*Timeline!AZ$10</f>
        <v/>
      </c>
      <c r="BA35" s="39">
        <f>BA34*Timeline!BA$10</f>
        <v/>
      </c>
      <c r="BB35" s="39">
        <f>BB34*Timeline!BB$10</f>
        <v/>
      </c>
      <c r="BC35" s="39">
        <f>BC34*Timeline!BC$10</f>
        <v/>
      </c>
      <c r="BD35" s="39">
        <f>BD34*Timeline!BD$10</f>
        <v/>
      </c>
      <c r="BE35" s="39">
        <f>BE34*Timeline!BE$10</f>
        <v/>
      </c>
      <c r="BF35" s="39">
        <f>BF34*Timeline!BF$10</f>
        <v/>
      </c>
      <c r="BG35" s="39">
        <f>BG34*Timeline!BG$10</f>
        <v/>
      </c>
      <c r="BH35" s="39">
        <f>BH34*Timeline!BH$10</f>
        <v/>
      </c>
      <c r="BI35" s="39">
        <f>BI34*Timeline!BI$10</f>
        <v/>
      </c>
      <c r="BJ35" s="39">
        <f>BJ34*Timeline!BJ$10</f>
        <v/>
      </c>
      <c r="BK35" s="39">
        <f>BK34*Timeline!BK$10</f>
        <v/>
      </c>
      <c r="BL35" s="39">
        <f>BL34*Timeline!BL$10</f>
        <v/>
      </c>
    </row>
    <row r="36">
      <c r="A36" s="55" t="inlineStr">
        <is>
          <t>Down payments collected</t>
        </is>
      </c>
      <c r="B36" s="26" t="inlineStr">
        <is>
          <t>LCY</t>
        </is>
      </c>
      <c r="C36" s="58">
        <f>SUM(E36:BL36)</f>
        <v/>
      </c>
      <c r="E36" s="39">
        <f>E35*Products!$D$14</f>
        <v/>
      </c>
      <c r="F36" s="39">
        <f>F35*Products!$D$14</f>
        <v/>
      </c>
      <c r="G36" s="39">
        <f>G35*Products!$D$14</f>
        <v/>
      </c>
      <c r="H36" s="39">
        <f>H35*Products!$D$14</f>
        <v/>
      </c>
      <c r="I36" s="39">
        <f>I35*Products!$D$14</f>
        <v/>
      </c>
      <c r="J36" s="39">
        <f>J35*Products!$D$14</f>
        <v/>
      </c>
      <c r="K36" s="39">
        <f>K35*Products!$D$14</f>
        <v/>
      </c>
      <c r="L36" s="39">
        <f>L35*Products!$D$14</f>
        <v/>
      </c>
      <c r="M36" s="39">
        <f>M35*Products!$D$14</f>
        <v/>
      </c>
      <c r="N36" s="39">
        <f>N35*Products!$D$14</f>
        <v/>
      </c>
      <c r="O36" s="39">
        <f>O35*Products!$D$14</f>
        <v/>
      </c>
      <c r="P36" s="39">
        <f>P35*Products!$D$14</f>
        <v/>
      </c>
      <c r="Q36" s="39">
        <f>Q35*Products!$D$14</f>
        <v/>
      </c>
      <c r="R36" s="39">
        <f>R35*Products!$D$14</f>
        <v/>
      </c>
      <c r="S36" s="39">
        <f>S35*Products!$D$14</f>
        <v/>
      </c>
      <c r="T36" s="39">
        <f>T35*Products!$D$14</f>
        <v/>
      </c>
      <c r="U36" s="39">
        <f>U35*Products!$D$14</f>
        <v/>
      </c>
      <c r="V36" s="39">
        <f>V35*Products!$D$14</f>
        <v/>
      </c>
      <c r="W36" s="39">
        <f>W35*Products!$D$14</f>
        <v/>
      </c>
      <c r="X36" s="39">
        <f>X35*Products!$D$14</f>
        <v/>
      </c>
      <c r="Y36" s="39">
        <f>Y35*Products!$D$14</f>
        <v/>
      </c>
      <c r="Z36" s="39">
        <f>Z35*Products!$D$14</f>
        <v/>
      </c>
      <c r="AA36" s="39">
        <f>AA35*Products!$D$14</f>
        <v/>
      </c>
      <c r="AB36" s="39">
        <f>AB35*Products!$D$14</f>
        <v/>
      </c>
      <c r="AC36" s="39">
        <f>AC35*Products!$D$14</f>
        <v/>
      </c>
      <c r="AD36" s="39">
        <f>AD35*Products!$D$14</f>
        <v/>
      </c>
      <c r="AE36" s="39">
        <f>AE35*Products!$D$14</f>
        <v/>
      </c>
      <c r="AF36" s="39">
        <f>AF35*Products!$D$14</f>
        <v/>
      </c>
      <c r="AG36" s="39">
        <f>AG35*Products!$D$14</f>
        <v/>
      </c>
      <c r="AH36" s="39">
        <f>AH35*Products!$D$14</f>
        <v/>
      </c>
      <c r="AI36" s="39">
        <f>AI35*Products!$D$14</f>
        <v/>
      </c>
      <c r="AJ36" s="39">
        <f>AJ35*Products!$D$14</f>
        <v/>
      </c>
      <c r="AK36" s="39">
        <f>AK35*Products!$D$14</f>
        <v/>
      </c>
      <c r="AL36" s="39">
        <f>AL35*Products!$D$14</f>
        <v/>
      </c>
      <c r="AM36" s="39">
        <f>AM35*Products!$D$14</f>
        <v/>
      </c>
      <c r="AN36" s="39">
        <f>AN35*Products!$D$14</f>
        <v/>
      </c>
      <c r="AO36" s="39">
        <f>AO35*Products!$D$14</f>
        <v/>
      </c>
      <c r="AP36" s="39">
        <f>AP35*Products!$D$14</f>
        <v/>
      </c>
      <c r="AQ36" s="39">
        <f>AQ35*Products!$D$14</f>
        <v/>
      </c>
      <c r="AR36" s="39">
        <f>AR35*Products!$D$14</f>
        <v/>
      </c>
      <c r="AS36" s="39">
        <f>AS35*Products!$D$14</f>
        <v/>
      </c>
      <c r="AT36" s="39">
        <f>AT35*Products!$D$14</f>
        <v/>
      </c>
      <c r="AU36" s="39">
        <f>AU35*Products!$D$14</f>
        <v/>
      </c>
      <c r="AV36" s="39">
        <f>AV35*Products!$D$14</f>
        <v/>
      </c>
      <c r="AW36" s="39">
        <f>AW35*Products!$D$14</f>
        <v/>
      </c>
      <c r="AX36" s="39">
        <f>AX35*Products!$D$14</f>
        <v/>
      </c>
      <c r="AY36" s="39">
        <f>AY35*Products!$D$14</f>
        <v/>
      </c>
      <c r="AZ36" s="39">
        <f>AZ35*Products!$D$14</f>
        <v/>
      </c>
      <c r="BA36" s="39">
        <f>BA35*Products!$D$14</f>
        <v/>
      </c>
      <c r="BB36" s="39">
        <f>BB35*Products!$D$14</f>
        <v/>
      </c>
      <c r="BC36" s="39">
        <f>BC35*Products!$D$14</f>
        <v/>
      </c>
      <c r="BD36" s="39">
        <f>BD35*Products!$D$14</f>
        <v/>
      </c>
      <c r="BE36" s="39">
        <f>BE35*Products!$D$14</f>
        <v/>
      </c>
      <c r="BF36" s="39">
        <f>BF35*Products!$D$14</f>
        <v/>
      </c>
      <c r="BG36" s="39">
        <f>BG35*Products!$D$14</f>
        <v/>
      </c>
      <c r="BH36" s="39">
        <f>BH35*Products!$D$14</f>
        <v/>
      </c>
      <c r="BI36" s="39">
        <f>BI35*Products!$D$14</f>
        <v/>
      </c>
      <c r="BJ36" s="39">
        <f>BJ35*Products!$D$14</f>
        <v/>
      </c>
      <c r="BK36" s="39">
        <f>BK35*Products!$D$14</f>
        <v/>
      </c>
      <c r="BL36" s="39">
        <f>BL35*Products!$D$14</f>
        <v/>
      </c>
    </row>
    <row r="37">
      <c r="A37" s="55" t="inlineStr">
        <is>
          <t>Hardware revenue (cash price)</t>
        </is>
      </c>
      <c r="B37" s="26" t="inlineStr">
        <is>
          <t>LCY</t>
        </is>
      </c>
      <c r="C37" s="58">
        <f>SUM(E37:BL37)</f>
        <v/>
      </c>
      <c r="E37" s="39">
        <f>E35*Products!$D$13</f>
        <v/>
      </c>
      <c r="F37" s="39">
        <f>F35*Products!$D$13</f>
        <v/>
      </c>
      <c r="G37" s="39">
        <f>G35*Products!$D$13</f>
        <v/>
      </c>
      <c r="H37" s="39">
        <f>H35*Products!$D$13</f>
        <v/>
      </c>
      <c r="I37" s="39">
        <f>I35*Products!$D$13</f>
        <v/>
      </c>
      <c r="J37" s="39">
        <f>J35*Products!$D$13</f>
        <v/>
      </c>
      <c r="K37" s="39">
        <f>K35*Products!$D$13</f>
        <v/>
      </c>
      <c r="L37" s="39">
        <f>L35*Products!$D$13</f>
        <v/>
      </c>
      <c r="M37" s="39">
        <f>M35*Products!$D$13</f>
        <v/>
      </c>
      <c r="N37" s="39">
        <f>N35*Products!$D$13</f>
        <v/>
      </c>
      <c r="O37" s="39">
        <f>O35*Products!$D$13</f>
        <v/>
      </c>
      <c r="P37" s="39">
        <f>P35*Products!$D$13</f>
        <v/>
      </c>
      <c r="Q37" s="39">
        <f>Q35*Products!$D$13</f>
        <v/>
      </c>
      <c r="R37" s="39">
        <f>R35*Products!$D$13</f>
        <v/>
      </c>
      <c r="S37" s="39">
        <f>S35*Products!$D$13</f>
        <v/>
      </c>
      <c r="T37" s="39">
        <f>T35*Products!$D$13</f>
        <v/>
      </c>
      <c r="U37" s="39">
        <f>U35*Products!$D$13</f>
        <v/>
      </c>
      <c r="V37" s="39">
        <f>V35*Products!$D$13</f>
        <v/>
      </c>
      <c r="W37" s="39">
        <f>W35*Products!$D$13</f>
        <v/>
      </c>
      <c r="X37" s="39">
        <f>X35*Products!$D$13</f>
        <v/>
      </c>
      <c r="Y37" s="39">
        <f>Y35*Products!$D$13</f>
        <v/>
      </c>
      <c r="Z37" s="39">
        <f>Z35*Products!$D$13</f>
        <v/>
      </c>
      <c r="AA37" s="39">
        <f>AA35*Products!$D$13</f>
        <v/>
      </c>
      <c r="AB37" s="39">
        <f>AB35*Products!$D$13</f>
        <v/>
      </c>
      <c r="AC37" s="39">
        <f>AC35*Products!$D$13</f>
        <v/>
      </c>
      <c r="AD37" s="39">
        <f>AD35*Products!$D$13</f>
        <v/>
      </c>
      <c r="AE37" s="39">
        <f>AE35*Products!$D$13</f>
        <v/>
      </c>
      <c r="AF37" s="39">
        <f>AF35*Products!$D$13</f>
        <v/>
      </c>
      <c r="AG37" s="39">
        <f>AG35*Products!$D$13</f>
        <v/>
      </c>
      <c r="AH37" s="39">
        <f>AH35*Products!$D$13</f>
        <v/>
      </c>
      <c r="AI37" s="39">
        <f>AI35*Products!$D$13</f>
        <v/>
      </c>
      <c r="AJ37" s="39">
        <f>AJ35*Products!$D$13</f>
        <v/>
      </c>
      <c r="AK37" s="39">
        <f>AK35*Products!$D$13</f>
        <v/>
      </c>
      <c r="AL37" s="39">
        <f>AL35*Products!$D$13</f>
        <v/>
      </c>
      <c r="AM37" s="39">
        <f>AM35*Products!$D$13</f>
        <v/>
      </c>
      <c r="AN37" s="39">
        <f>AN35*Products!$D$13</f>
        <v/>
      </c>
      <c r="AO37" s="39">
        <f>AO35*Products!$D$13</f>
        <v/>
      </c>
      <c r="AP37" s="39">
        <f>AP35*Products!$D$13</f>
        <v/>
      </c>
      <c r="AQ37" s="39">
        <f>AQ35*Products!$D$13</f>
        <v/>
      </c>
      <c r="AR37" s="39">
        <f>AR35*Products!$D$13</f>
        <v/>
      </c>
      <c r="AS37" s="39">
        <f>AS35*Products!$D$13</f>
        <v/>
      </c>
      <c r="AT37" s="39">
        <f>AT35*Products!$D$13</f>
        <v/>
      </c>
      <c r="AU37" s="39">
        <f>AU35*Products!$D$13</f>
        <v/>
      </c>
      <c r="AV37" s="39">
        <f>AV35*Products!$D$13</f>
        <v/>
      </c>
      <c r="AW37" s="39">
        <f>AW35*Products!$D$13</f>
        <v/>
      </c>
      <c r="AX37" s="39">
        <f>AX35*Products!$D$13</f>
        <v/>
      </c>
      <c r="AY37" s="39">
        <f>AY35*Products!$D$13</f>
        <v/>
      </c>
      <c r="AZ37" s="39">
        <f>AZ35*Products!$D$13</f>
        <v/>
      </c>
      <c r="BA37" s="39">
        <f>BA35*Products!$D$13</f>
        <v/>
      </c>
      <c r="BB37" s="39">
        <f>BB35*Products!$D$13</f>
        <v/>
      </c>
      <c r="BC37" s="39">
        <f>BC35*Products!$D$13</f>
        <v/>
      </c>
      <c r="BD37" s="39">
        <f>BD35*Products!$D$13</f>
        <v/>
      </c>
      <c r="BE37" s="39">
        <f>BE35*Products!$D$13</f>
        <v/>
      </c>
      <c r="BF37" s="39">
        <f>BF35*Products!$D$13</f>
        <v/>
      </c>
      <c r="BG37" s="39">
        <f>BG35*Products!$D$13</f>
        <v/>
      </c>
      <c r="BH37" s="39">
        <f>BH35*Products!$D$13</f>
        <v/>
      </c>
      <c r="BI37" s="39">
        <f>BI35*Products!$D$13</f>
        <v/>
      </c>
      <c r="BJ37" s="39">
        <f>BJ35*Products!$D$13</f>
        <v/>
      </c>
      <c r="BK37" s="39">
        <f>BK35*Products!$D$13</f>
        <v/>
      </c>
      <c r="BL37" s="39">
        <f>BL35*Products!$D$13</f>
        <v/>
      </c>
    </row>
    <row r="38">
      <c r="A38" s="55" t="inlineStr">
        <is>
          <t>New PAYGo receivables originated</t>
        </is>
      </c>
      <c r="B38" s="26" t="inlineStr">
        <is>
          <t>LCY</t>
        </is>
      </c>
      <c r="C38" s="58">
        <f>SUM(E38:BL38)</f>
        <v/>
      </c>
      <c r="E38" s="39">
        <f>E35*Products!$D$38</f>
        <v/>
      </c>
      <c r="F38" s="39">
        <f>F35*Products!$D$38</f>
        <v/>
      </c>
      <c r="G38" s="39">
        <f>G35*Products!$D$38</f>
        <v/>
      </c>
      <c r="H38" s="39">
        <f>H35*Products!$D$38</f>
        <v/>
      </c>
      <c r="I38" s="39">
        <f>I35*Products!$D$38</f>
        <v/>
      </c>
      <c r="J38" s="39">
        <f>J35*Products!$D$38</f>
        <v/>
      </c>
      <c r="K38" s="39">
        <f>K35*Products!$D$38</f>
        <v/>
      </c>
      <c r="L38" s="39">
        <f>L35*Products!$D$38</f>
        <v/>
      </c>
      <c r="M38" s="39">
        <f>M35*Products!$D$38</f>
        <v/>
      </c>
      <c r="N38" s="39">
        <f>N35*Products!$D$38</f>
        <v/>
      </c>
      <c r="O38" s="39">
        <f>O35*Products!$D$38</f>
        <v/>
      </c>
      <c r="P38" s="39">
        <f>P35*Products!$D$38</f>
        <v/>
      </c>
      <c r="Q38" s="39">
        <f>Q35*Products!$D$38</f>
        <v/>
      </c>
      <c r="R38" s="39">
        <f>R35*Products!$D$38</f>
        <v/>
      </c>
      <c r="S38" s="39">
        <f>S35*Products!$D$38</f>
        <v/>
      </c>
      <c r="T38" s="39">
        <f>T35*Products!$D$38</f>
        <v/>
      </c>
      <c r="U38" s="39">
        <f>U35*Products!$D$38</f>
        <v/>
      </c>
      <c r="V38" s="39">
        <f>V35*Products!$D$38</f>
        <v/>
      </c>
      <c r="W38" s="39">
        <f>W35*Products!$D$38</f>
        <v/>
      </c>
      <c r="X38" s="39">
        <f>X35*Products!$D$38</f>
        <v/>
      </c>
      <c r="Y38" s="39">
        <f>Y35*Products!$D$38</f>
        <v/>
      </c>
      <c r="Z38" s="39">
        <f>Z35*Products!$D$38</f>
        <v/>
      </c>
      <c r="AA38" s="39">
        <f>AA35*Products!$D$38</f>
        <v/>
      </c>
      <c r="AB38" s="39">
        <f>AB35*Products!$D$38</f>
        <v/>
      </c>
      <c r="AC38" s="39">
        <f>AC35*Products!$D$38</f>
        <v/>
      </c>
      <c r="AD38" s="39">
        <f>AD35*Products!$D$38</f>
        <v/>
      </c>
      <c r="AE38" s="39">
        <f>AE35*Products!$D$38</f>
        <v/>
      </c>
      <c r="AF38" s="39">
        <f>AF35*Products!$D$38</f>
        <v/>
      </c>
      <c r="AG38" s="39">
        <f>AG35*Products!$D$38</f>
        <v/>
      </c>
      <c r="AH38" s="39">
        <f>AH35*Products!$D$38</f>
        <v/>
      </c>
      <c r="AI38" s="39">
        <f>AI35*Products!$D$38</f>
        <v/>
      </c>
      <c r="AJ38" s="39">
        <f>AJ35*Products!$D$38</f>
        <v/>
      </c>
      <c r="AK38" s="39">
        <f>AK35*Products!$D$38</f>
        <v/>
      </c>
      <c r="AL38" s="39">
        <f>AL35*Products!$D$38</f>
        <v/>
      </c>
      <c r="AM38" s="39">
        <f>AM35*Products!$D$38</f>
        <v/>
      </c>
      <c r="AN38" s="39">
        <f>AN35*Products!$D$38</f>
        <v/>
      </c>
      <c r="AO38" s="39">
        <f>AO35*Products!$D$38</f>
        <v/>
      </c>
      <c r="AP38" s="39">
        <f>AP35*Products!$D$38</f>
        <v/>
      </c>
      <c r="AQ38" s="39">
        <f>AQ35*Products!$D$38</f>
        <v/>
      </c>
      <c r="AR38" s="39">
        <f>AR35*Products!$D$38</f>
        <v/>
      </c>
      <c r="AS38" s="39">
        <f>AS35*Products!$D$38</f>
        <v/>
      </c>
      <c r="AT38" s="39">
        <f>AT35*Products!$D$38</f>
        <v/>
      </c>
      <c r="AU38" s="39">
        <f>AU35*Products!$D$38</f>
        <v/>
      </c>
      <c r="AV38" s="39">
        <f>AV35*Products!$D$38</f>
        <v/>
      </c>
      <c r="AW38" s="39">
        <f>AW35*Products!$D$38</f>
        <v/>
      </c>
      <c r="AX38" s="39">
        <f>AX35*Products!$D$38</f>
        <v/>
      </c>
      <c r="AY38" s="39">
        <f>AY35*Products!$D$38</f>
        <v/>
      </c>
      <c r="AZ38" s="39">
        <f>AZ35*Products!$D$38</f>
        <v/>
      </c>
      <c r="BA38" s="39">
        <f>BA35*Products!$D$38</f>
        <v/>
      </c>
      <c r="BB38" s="39">
        <f>BB35*Products!$D$38</f>
        <v/>
      </c>
      <c r="BC38" s="39">
        <f>BC35*Products!$D$38</f>
        <v/>
      </c>
      <c r="BD38" s="39">
        <f>BD35*Products!$D$38</f>
        <v/>
      </c>
      <c r="BE38" s="39">
        <f>BE35*Products!$D$38</f>
        <v/>
      </c>
      <c r="BF38" s="39">
        <f>BF35*Products!$D$38</f>
        <v/>
      </c>
      <c r="BG38" s="39">
        <f>BG35*Products!$D$38</f>
        <v/>
      </c>
      <c r="BH38" s="39">
        <f>BH35*Products!$D$38</f>
        <v/>
      </c>
      <c r="BI38" s="39">
        <f>BI35*Products!$D$38</f>
        <v/>
      </c>
      <c r="BJ38" s="39">
        <f>BJ35*Products!$D$38</f>
        <v/>
      </c>
      <c r="BK38" s="39">
        <f>BK35*Products!$D$38</f>
        <v/>
      </c>
      <c r="BL38" s="39">
        <f>BL35*Products!$D$38</f>
        <v/>
      </c>
    </row>
    <row r="39">
      <c r="A39" s="55" t="inlineStr">
        <is>
          <t>Instalments due</t>
        </is>
      </c>
      <c r="B39" s="26" t="inlineStr">
        <is>
          <t>LCY</t>
        </is>
      </c>
      <c r="C39" s="58">
        <f>SUM(E39:BL39)</f>
        <v/>
      </c>
      <c r="E39" s="39">
        <f>Products!$D$33*SUMIFS($E$35:$BL$35,Timeline!$E$4:$BL$4,"&gt;="&amp;(E$4-Products!$D$16),Timeline!$E$4:$BL$4,"&lt;="&amp;(E$4-1))</f>
        <v/>
      </c>
      <c r="F39" s="39">
        <f>Products!$D$33*SUMIFS($E$35:$BL$35,Timeline!$E$4:$BL$4,"&gt;="&amp;(F$4-Products!$D$16),Timeline!$E$4:$BL$4,"&lt;="&amp;(F$4-1))</f>
        <v/>
      </c>
      <c r="G39" s="39">
        <f>Products!$D$33*SUMIFS($E$35:$BL$35,Timeline!$E$4:$BL$4,"&gt;="&amp;(G$4-Products!$D$16),Timeline!$E$4:$BL$4,"&lt;="&amp;(G$4-1))</f>
        <v/>
      </c>
      <c r="H39" s="39">
        <f>Products!$D$33*SUMIFS($E$35:$BL$35,Timeline!$E$4:$BL$4,"&gt;="&amp;(H$4-Products!$D$16),Timeline!$E$4:$BL$4,"&lt;="&amp;(H$4-1))</f>
        <v/>
      </c>
      <c r="I39" s="39">
        <f>Products!$D$33*SUMIFS($E$35:$BL$35,Timeline!$E$4:$BL$4,"&gt;="&amp;(I$4-Products!$D$16),Timeline!$E$4:$BL$4,"&lt;="&amp;(I$4-1))</f>
        <v/>
      </c>
      <c r="J39" s="39">
        <f>Products!$D$33*SUMIFS($E$35:$BL$35,Timeline!$E$4:$BL$4,"&gt;="&amp;(J$4-Products!$D$16),Timeline!$E$4:$BL$4,"&lt;="&amp;(J$4-1))</f>
        <v/>
      </c>
      <c r="K39" s="39">
        <f>Products!$D$33*SUMIFS($E$35:$BL$35,Timeline!$E$4:$BL$4,"&gt;="&amp;(K$4-Products!$D$16),Timeline!$E$4:$BL$4,"&lt;="&amp;(K$4-1))</f>
        <v/>
      </c>
      <c r="L39" s="39">
        <f>Products!$D$33*SUMIFS($E$35:$BL$35,Timeline!$E$4:$BL$4,"&gt;="&amp;(L$4-Products!$D$16),Timeline!$E$4:$BL$4,"&lt;="&amp;(L$4-1))</f>
        <v/>
      </c>
      <c r="M39" s="39">
        <f>Products!$D$33*SUMIFS($E$35:$BL$35,Timeline!$E$4:$BL$4,"&gt;="&amp;(M$4-Products!$D$16),Timeline!$E$4:$BL$4,"&lt;="&amp;(M$4-1))</f>
        <v/>
      </c>
      <c r="N39" s="39">
        <f>Products!$D$33*SUMIFS($E$35:$BL$35,Timeline!$E$4:$BL$4,"&gt;="&amp;(N$4-Products!$D$16),Timeline!$E$4:$BL$4,"&lt;="&amp;(N$4-1))</f>
        <v/>
      </c>
      <c r="O39" s="39">
        <f>Products!$D$33*SUMIFS($E$35:$BL$35,Timeline!$E$4:$BL$4,"&gt;="&amp;(O$4-Products!$D$16),Timeline!$E$4:$BL$4,"&lt;="&amp;(O$4-1))</f>
        <v/>
      </c>
      <c r="P39" s="39">
        <f>Products!$D$33*SUMIFS($E$35:$BL$35,Timeline!$E$4:$BL$4,"&gt;="&amp;(P$4-Products!$D$16),Timeline!$E$4:$BL$4,"&lt;="&amp;(P$4-1))</f>
        <v/>
      </c>
      <c r="Q39" s="39">
        <f>Products!$D$33*SUMIFS($E$35:$BL$35,Timeline!$E$4:$BL$4,"&gt;="&amp;(Q$4-Products!$D$16),Timeline!$E$4:$BL$4,"&lt;="&amp;(Q$4-1))</f>
        <v/>
      </c>
      <c r="R39" s="39">
        <f>Products!$D$33*SUMIFS($E$35:$BL$35,Timeline!$E$4:$BL$4,"&gt;="&amp;(R$4-Products!$D$16),Timeline!$E$4:$BL$4,"&lt;="&amp;(R$4-1))</f>
        <v/>
      </c>
      <c r="S39" s="39">
        <f>Products!$D$33*SUMIFS($E$35:$BL$35,Timeline!$E$4:$BL$4,"&gt;="&amp;(S$4-Products!$D$16),Timeline!$E$4:$BL$4,"&lt;="&amp;(S$4-1))</f>
        <v/>
      </c>
      <c r="T39" s="39">
        <f>Products!$D$33*SUMIFS($E$35:$BL$35,Timeline!$E$4:$BL$4,"&gt;="&amp;(T$4-Products!$D$16),Timeline!$E$4:$BL$4,"&lt;="&amp;(T$4-1))</f>
        <v/>
      </c>
      <c r="U39" s="39">
        <f>Products!$D$33*SUMIFS($E$35:$BL$35,Timeline!$E$4:$BL$4,"&gt;="&amp;(U$4-Products!$D$16),Timeline!$E$4:$BL$4,"&lt;="&amp;(U$4-1))</f>
        <v/>
      </c>
      <c r="V39" s="39">
        <f>Products!$D$33*SUMIFS($E$35:$BL$35,Timeline!$E$4:$BL$4,"&gt;="&amp;(V$4-Products!$D$16),Timeline!$E$4:$BL$4,"&lt;="&amp;(V$4-1))</f>
        <v/>
      </c>
      <c r="W39" s="39">
        <f>Products!$D$33*SUMIFS($E$35:$BL$35,Timeline!$E$4:$BL$4,"&gt;="&amp;(W$4-Products!$D$16),Timeline!$E$4:$BL$4,"&lt;="&amp;(W$4-1))</f>
        <v/>
      </c>
      <c r="X39" s="39">
        <f>Products!$D$33*SUMIFS($E$35:$BL$35,Timeline!$E$4:$BL$4,"&gt;="&amp;(X$4-Products!$D$16),Timeline!$E$4:$BL$4,"&lt;="&amp;(X$4-1))</f>
        <v/>
      </c>
      <c r="Y39" s="39">
        <f>Products!$D$33*SUMIFS($E$35:$BL$35,Timeline!$E$4:$BL$4,"&gt;="&amp;(Y$4-Products!$D$16),Timeline!$E$4:$BL$4,"&lt;="&amp;(Y$4-1))</f>
        <v/>
      </c>
      <c r="Z39" s="39">
        <f>Products!$D$33*SUMIFS($E$35:$BL$35,Timeline!$E$4:$BL$4,"&gt;="&amp;(Z$4-Products!$D$16),Timeline!$E$4:$BL$4,"&lt;="&amp;(Z$4-1))</f>
        <v/>
      </c>
      <c r="AA39" s="39">
        <f>Products!$D$33*SUMIFS($E$35:$BL$35,Timeline!$E$4:$BL$4,"&gt;="&amp;(AA$4-Products!$D$16),Timeline!$E$4:$BL$4,"&lt;="&amp;(AA$4-1))</f>
        <v/>
      </c>
      <c r="AB39" s="39">
        <f>Products!$D$33*SUMIFS($E$35:$BL$35,Timeline!$E$4:$BL$4,"&gt;="&amp;(AB$4-Products!$D$16),Timeline!$E$4:$BL$4,"&lt;="&amp;(AB$4-1))</f>
        <v/>
      </c>
      <c r="AC39" s="39">
        <f>Products!$D$33*SUMIFS($E$35:$BL$35,Timeline!$E$4:$BL$4,"&gt;="&amp;(AC$4-Products!$D$16),Timeline!$E$4:$BL$4,"&lt;="&amp;(AC$4-1))</f>
        <v/>
      </c>
      <c r="AD39" s="39">
        <f>Products!$D$33*SUMIFS($E$35:$BL$35,Timeline!$E$4:$BL$4,"&gt;="&amp;(AD$4-Products!$D$16),Timeline!$E$4:$BL$4,"&lt;="&amp;(AD$4-1))</f>
        <v/>
      </c>
      <c r="AE39" s="39">
        <f>Products!$D$33*SUMIFS($E$35:$BL$35,Timeline!$E$4:$BL$4,"&gt;="&amp;(AE$4-Products!$D$16),Timeline!$E$4:$BL$4,"&lt;="&amp;(AE$4-1))</f>
        <v/>
      </c>
      <c r="AF39" s="39">
        <f>Products!$D$33*SUMIFS($E$35:$BL$35,Timeline!$E$4:$BL$4,"&gt;="&amp;(AF$4-Products!$D$16),Timeline!$E$4:$BL$4,"&lt;="&amp;(AF$4-1))</f>
        <v/>
      </c>
      <c r="AG39" s="39">
        <f>Products!$D$33*SUMIFS($E$35:$BL$35,Timeline!$E$4:$BL$4,"&gt;="&amp;(AG$4-Products!$D$16),Timeline!$E$4:$BL$4,"&lt;="&amp;(AG$4-1))</f>
        <v/>
      </c>
      <c r="AH39" s="39">
        <f>Products!$D$33*SUMIFS($E$35:$BL$35,Timeline!$E$4:$BL$4,"&gt;="&amp;(AH$4-Products!$D$16),Timeline!$E$4:$BL$4,"&lt;="&amp;(AH$4-1))</f>
        <v/>
      </c>
      <c r="AI39" s="39">
        <f>Products!$D$33*SUMIFS($E$35:$BL$35,Timeline!$E$4:$BL$4,"&gt;="&amp;(AI$4-Products!$D$16),Timeline!$E$4:$BL$4,"&lt;="&amp;(AI$4-1))</f>
        <v/>
      </c>
      <c r="AJ39" s="39">
        <f>Products!$D$33*SUMIFS($E$35:$BL$35,Timeline!$E$4:$BL$4,"&gt;="&amp;(AJ$4-Products!$D$16),Timeline!$E$4:$BL$4,"&lt;="&amp;(AJ$4-1))</f>
        <v/>
      </c>
      <c r="AK39" s="39">
        <f>Products!$D$33*SUMIFS($E$35:$BL$35,Timeline!$E$4:$BL$4,"&gt;="&amp;(AK$4-Products!$D$16),Timeline!$E$4:$BL$4,"&lt;="&amp;(AK$4-1))</f>
        <v/>
      </c>
      <c r="AL39" s="39">
        <f>Products!$D$33*SUMIFS($E$35:$BL$35,Timeline!$E$4:$BL$4,"&gt;="&amp;(AL$4-Products!$D$16),Timeline!$E$4:$BL$4,"&lt;="&amp;(AL$4-1))</f>
        <v/>
      </c>
      <c r="AM39" s="39">
        <f>Products!$D$33*SUMIFS($E$35:$BL$35,Timeline!$E$4:$BL$4,"&gt;="&amp;(AM$4-Products!$D$16),Timeline!$E$4:$BL$4,"&lt;="&amp;(AM$4-1))</f>
        <v/>
      </c>
      <c r="AN39" s="39">
        <f>Products!$D$33*SUMIFS($E$35:$BL$35,Timeline!$E$4:$BL$4,"&gt;="&amp;(AN$4-Products!$D$16),Timeline!$E$4:$BL$4,"&lt;="&amp;(AN$4-1))</f>
        <v/>
      </c>
      <c r="AO39" s="39">
        <f>Products!$D$33*SUMIFS($E$35:$BL$35,Timeline!$E$4:$BL$4,"&gt;="&amp;(AO$4-Products!$D$16),Timeline!$E$4:$BL$4,"&lt;="&amp;(AO$4-1))</f>
        <v/>
      </c>
      <c r="AP39" s="39">
        <f>Products!$D$33*SUMIFS($E$35:$BL$35,Timeline!$E$4:$BL$4,"&gt;="&amp;(AP$4-Products!$D$16),Timeline!$E$4:$BL$4,"&lt;="&amp;(AP$4-1))</f>
        <v/>
      </c>
      <c r="AQ39" s="39">
        <f>Products!$D$33*SUMIFS($E$35:$BL$35,Timeline!$E$4:$BL$4,"&gt;="&amp;(AQ$4-Products!$D$16),Timeline!$E$4:$BL$4,"&lt;="&amp;(AQ$4-1))</f>
        <v/>
      </c>
      <c r="AR39" s="39">
        <f>Products!$D$33*SUMIFS($E$35:$BL$35,Timeline!$E$4:$BL$4,"&gt;="&amp;(AR$4-Products!$D$16),Timeline!$E$4:$BL$4,"&lt;="&amp;(AR$4-1))</f>
        <v/>
      </c>
      <c r="AS39" s="39">
        <f>Products!$D$33*SUMIFS($E$35:$BL$35,Timeline!$E$4:$BL$4,"&gt;="&amp;(AS$4-Products!$D$16),Timeline!$E$4:$BL$4,"&lt;="&amp;(AS$4-1))</f>
        <v/>
      </c>
      <c r="AT39" s="39">
        <f>Products!$D$33*SUMIFS($E$35:$BL$35,Timeline!$E$4:$BL$4,"&gt;="&amp;(AT$4-Products!$D$16),Timeline!$E$4:$BL$4,"&lt;="&amp;(AT$4-1))</f>
        <v/>
      </c>
      <c r="AU39" s="39">
        <f>Products!$D$33*SUMIFS($E$35:$BL$35,Timeline!$E$4:$BL$4,"&gt;="&amp;(AU$4-Products!$D$16),Timeline!$E$4:$BL$4,"&lt;="&amp;(AU$4-1))</f>
        <v/>
      </c>
      <c r="AV39" s="39">
        <f>Products!$D$33*SUMIFS($E$35:$BL$35,Timeline!$E$4:$BL$4,"&gt;="&amp;(AV$4-Products!$D$16),Timeline!$E$4:$BL$4,"&lt;="&amp;(AV$4-1))</f>
        <v/>
      </c>
      <c r="AW39" s="39">
        <f>Products!$D$33*SUMIFS($E$35:$BL$35,Timeline!$E$4:$BL$4,"&gt;="&amp;(AW$4-Products!$D$16),Timeline!$E$4:$BL$4,"&lt;="&amp;(AW$4-1))</f>
        <v/>
      </c>
      <c r="AX39" s="39">
        <f>Products!$D$33*SUMIFS($E$35:$BL$35,Timeline!$E$4:$BL$4,"&gt;="&amp;(AX$4-Products!$D$16),Timeline!$E$4:$BL$4,"&lt;="&amp;(AX$4-1))</f>
        <v/>
      </c>
      <c r="AY39" s="39">
        <f>Products!$D$33*SUMIFS($E$35:$BL$35,Timeline!$E$4:$BL$4,"&gt;="&amp;(AY$4-Products!$D$16),Timeline!$E$4:$BL$4,"&lt;="&amp;(AY$4-1))</f>
        <v/>
      </c>
      <c r="AZ39" s="39">
        <f>Products!$D$33*SUMIFS($E$35:$BL$35,Timeline!$E$4:$BL$4,"&gt;="&amp;(AZ$4-Products!$D$16),Timeline!$E$4:$BL$4,"&lt;="&amp;(AZ$4-1))</f>
        <v/>
      </c>
      <c r="BA39" s="39">
        <f>Products!$D$33*SUMIFS($E$35:$BL$35,Timeline!$E$4:$BL$4,"&gt;="&amp;(BA$4-Products!$D$16),Timeline!$E$4:$BL$4,"&lt;="&amp;(BA$4-1))</f>
        <v/>
      </c>
      <c r="BB39" s="39">
        <f>Products!$D$33*SUMIFS($E$35:$BL$35,Timeline!$E$4:$BL$4,"&gt;="&amp;(BB$4-Products!$D$16),Timeline!$E$4:$BL$4,"&lt;="&amp;(BB$4-1))</f>
        <v/>
      </c>
      <c r="BC39" s="39">
        <f>Products!$D$33*SUMIFS($E$35:$BL$35,Timeline!$E$4:$BL$4,"&gt;="&amp;(BC$4-Products!$D$16),Timeline!$E$4:$BL$4,"&lt;="&amp;(BC$4-1))</f>
        <v/>
      </c>
      <c r="BD39" s="39">
        <f>Products!$D$33*SUMIFS($E$35:$BL$35,Timeline!$E$4:$BL$4,"&gt;="&amp;(BD$4-Products!$D$16),Timeline!$E$4:$BL$4,"&lt;="&amp;(BD$4-1))</f>
        <v/>
      </c>
      <c r="BE39" s="39">
        <f>Products!$D$33*SUMIFS($E$35:$BL$35,Timeline!$E$4:$BL$4,"&gt;="&amp;(BE$4-Products!$D$16),Timeline!$E$4:$BL$4,"&lt;="&amp;(BE$4-1))</f>
        <v/>
      </c>
      <c r="BF39" s="39">
        <f>Products!$D$33*SUMIFS($E$35:$BL$35,Timeline!$E$4:$BL$4,"&gt;="&amp;(BF$4-Products!$D$16),Timeline!$E$4:$BL$4,"&lt;="&amp;(BF$4-1))</f>
        <v/>
      </c>
      <c r="BG39" s="39">
        <f>Products!$D$33*SUMIFS($E$35:$BL$35,Timeline!$E$4:$BL$4,"&gt;="&amp;(BG$4-Products!$D$16),Timeline!$E$4:$BL$4,"&lt;="&amp;(BG$4-1))</f>
        <v/>
      </c>
      <c r="BH39" s="39">
        <f>Products!$D$33*SUMIFS($E$35:$BL$35,Timeline!$E$4:$BL$4,"&gt;="&amp;(BH$4-Products!$D$16),Timeline!$E$4:$BL$4,"&lt;="&amp;(BH$4-1))</f>
        <v/>
      </c>
      <c r="BI39" s="39">
        <f>Products!$D$33*SUMIFS($E$35:$BL$35,Timeline!$E$4:$BL$4,"&gt;="&amp;(BI$4-Products!$D$16),Timeline!$E$4:$BL$4,"&lt;="&amp;(BI$4-1))</f>
        <v/>
      </c>
      <c r="BJ39" s="39">
        <f>Products!$D$33*SUMIFS($E$35:$BL$35,Timeline!$E$4:$BL$4,"&gt;="&amp;(BJ$4-Products!$D$16),Timeline!$E$4:$BL$4,"&lt;="&amp;(BJ$4-1))</f>
        <v/>
      </c>
      <c r="BK39" s="39">
        <f>Products!$D$33*SUMIFS($E$35:$BL$35,Timeline!$E$4:$BL$4,"&gt;="&amp;(BK$4-Products!$D$16),Timeline!$E$4:$BL$4,"&lt;="&amp;(BK$4-1))</f>
        <v/>
      </c>
      <c r="BL39" s="39">
        <f>Products!$D$33*SUMIFS($E$35:$BL$35,Timeline!$E$4:$BL$4,"&gt;="&amp;(BL$4-Products!$D$16),Timeline!$E$4:$BL$4,"&lt;="&amp;(BL$4-1))</f>
        <v/>
      </c>
    </row>
    <row r="40">
      <c r="A40" s="55" t="inlineStr">
        <is>
          <t>Instalments collected</t>
        </is>
      </c>
      <c r="B40" s="26" t="inlineStr">
        <is>
          <t>LCY</t>
        </is>
      </c>
      <c r="C40" s="58">
        <f>SUM(E40:BL40)</f>
        <v/>
      </c>
      <c r="E40" s="17">
        <f>Cohort_T2!E$9</f>
        <v/>
      </c>
      <c r="F40" s="17">
        <f>Cohort_T2!F$9</f>
        <v/>
      </c>
      <c r="G40" s="17">
        <f>Cohort_T2!G$9</f>
        <v/>
      </c>
      <c r="H40" s="17">
        <f>Cohort_T2!H$9</f>
        <v/>
      </c>
      <c r="I40" s="17">
        <f>Cohort_T2!I$9</f>
        <v/>
      </c>
      <c r="J40" s="17">
        <f>Cohort_T2!J$9</f>
        <v/>
      </c>
      <c r="K40" s="17">
        <f>Cohort_T2!K$9</f>
        <v/>
      </c>
      <c r="L40" s="17">
        <f>Cohort_T2!L$9</f>
        <v/>
      </c>
      <c r="M40" s="17">
        <f>Cohort_T2!M$9</f>
        <v/>
      </c>
      <c r="N40" s="17">
        <f>Cohort_T2!N$9</f>
        <v/>
      </c>
      <c r="O40" s="17">
        <f>Cohort_T2!O$9</f>
        <v/>
      </c>
      <c r="P40" s="17">
        <f>Cohort_T2!P$9</f>
        <v/>
      </c>
      <c r="Q40" s="17">
        <f>Cohort_T2!Q$9</f>
        <v/>
      </c>
      <c r="R40" s="17">
        <f>Cohort_T2!R$9</f>
        <v/>
      </c>
      <c r="S40" s="17">
        <f>Cohort_T2!S$9</f>
        <v/>
      </c>
      <c r="T40" s="17">
        <f>Cohort_T2!T$9</f>
        <v/>
      </c>
      <c r="U40" s="17">
        <f>Cohort_T2!U$9</f>
        <v/>
      </c>
      <c r="V40" s="17">
        <f>Cohort_T2!V$9</f>
        <v/>
      </c>
      <c r="W40" s="17">
        <f>Cohort_T2!W$9</f>
        <v/>
      </c>
      <c r="X40" s="17">
        <f>Cohort_T2!X$9</f>
        <v/>
      </c>
      <c r="Y40" s="17">
        <f>Cohort_T2!Y$9</f>
        <v/>
      </c>
      <c r="Z40" s="17">
        <f>Cohort_T2!Z$9</f>
        <v/>
      </c>
      <c r="AA40" s="17">
        <f>Cohort_T2!AA$9</f>
        <v/>
      </c>
      <c r="AB40" s="17">
        <f>Cohort_T2!AB$9</f>
        <v/>
      </c>
      <c r="AC40" s="17">
        <f>Cohort_T2!AC$9</f>
        <v/>
      </c>
      <c r="AD40" s="17">
        <f>Cohort_T2!AD$9</f>
        <v/>
      </c>
      <c r="AE40" s="17">
        <f>Cohort_T2!AE$9</f>
        <v/>
      </c>
      <c r="AF40" s="17">
        <f>Cohort_T2!AF$9</f>
        <v/>
      </c>
      <c r="AG40" s="17">
        <f>Cohort_T2!AG$9</f>
        <v/>
      </c>
      <c r="AH40" s="17">
        <f>Cohort_T2!AH$9</f>
        <v/>
      </c>
      <c r="AI40" s="17">
        <f>Cohort_T2!AI$9</f>
        <v/>
      </c>
      <c r="AJ40" s="17">
        <f>Cohort_T2!AJ$9</f>
        <v/>
      </c>
      <c r="AK40" s="17">
        <f>Cohort_T2!AK$9</f>
        <v/>
      </c>
      <c r="AL40" s="17">
        <f>Cohort_T2!AL$9</f>
        <v/>
      </c>
      <c r="AM40" s="17">
        <f>Cohort_T2!AM$9</f>
        <v/>
      </c>
      <c r="AN40" s="17">
        <f>Cohort_T2!AN$9</f>
        <v/>
      </c>
      <c r="AO40" s="17">
        <f>Cohort_T2!AO$9</f>
        <v/>
      </c>
      <c r="AP40" s="17">
        <f>Cohort_T2!AP$9</f>
        <v/>
      </c>
      <c r="AQ40" s="17">
        <f>Cohort_T2!AQ$9</f>
        <v/>
      </c>
      <c r="AR40" s="17">
        <f>Cohort_T2!AR$9</f>
        <v/>
      </c>
      <c r="AS40" s="17">
        <f>Cohort_T2!AS$9</f>
        <v/>
      </c>
      <c r="AT40" s="17">
        <f>Cohort_T2!AT$9</f>
        <v/>
      </c>
      <c r="AU40" s="17">
        <f>Cohort_T2!AU$9</f>
        <v/>
      </c>
      <c r="AV40" s="17">
        <f>Cohort_T2!AV$9</f>
        <v/>
      </c>
      <c r="AW40" s="17">
        <f>Cohort_T2!AW$9</f>
        <v/>
      </c>
      <c r="AX40" s="17">
        <f>Cohort_T2!AX$9</f>
        <v/>
      </c>
      <c r="AY40" s="17">
        <f>Cohort_T2!AY$9</f>
        <v/>
      </c>
      <c r="AZ40" s="17">
        <f>Cohort_T2!AZ$9</f>
        <v/>
      </c>
      <c r="BA40" s="17">
        <f>Cohort_T2!BA$9</f>
        <v/>
      </c>
      <c r="BB40" s="17">
        <f>Cohort_T2!BB$9</f>
        <v/>
      </c>
      <c r="BC40" s="17">
        <f>Cohort_T2!BC$9</f>
        <v/>
      </c>
      <c r="BD40" s="17">
        <f>Cohort_T2!BD$9</f>
        <v/>
      </c>
      <c r="BE40" s="17">
        <f>Cohort_T2!BE$9</f>
        <v/>
      </c>
      <c r="BF40" s="17">
        <f>Cohort_T2!BF$9</f>
        <v/>
      </c>
      <c r="BG40" s="17">
        <f>Cohort_T2!BG$9</f>
        <v/>
      </c>
      <c r="BH40" s="17">
        <f>Cohort_T2!BH$9</f>
        <v/>
      </c>
      <c r="BI40" s="17">
        <f>Cohort_T2!BI$9</f>
        <v/>
      </c>
      <c r="BJ40" s="17">
        <f>Cohort_T2!BJ$9</f>
        <v/>
      </c>
      <c r="BK40" s="17">
        <f>Cohort_T2!BK$9</f>
        <v/>
      </c>
      <c r="BL40" s="17">
        <f>Cohort_T2!BL$9</f>
        <v/>
      </c>
    </row>
    <row r="41">
      <c r="A41" s="55" t="inlineStr">
        <is>
          <t>Missed instalments written off</t>
        </is>
      </c>
      <c r="B41" s="26" t="inlineStr">
        <is>
          <t>LCY</t>
        </is>
      </c>
      <c r="C41" s="58">
        <f>SUM(E41:BL41)</f>
        <v/>
      </c>
      <c r="E41" s="39">
        <f>E39-E40</f>
        <v/>
      </c>
      <c r="F41" s="39">
        <f>F39-F40</f>
        <v/>
      </c>
      <c r="G41" s="39">
        <f>G39-G40</f>
        <v/>
      </c>
      <c r="H41" s="39">
        <f>H39-H40</f>
        <v/>
      </c>
      <c r="I41" s="39">
        <f>I39-I40</f>
        <v/>
      </c>
      <c r="J41" s="39">
        <f>J39-J40</f>
        <v/>
      </c>
      <c r="K41" s="39">
        <f>K39-K40</f>
        <v/>
      </c>
      <c r="L41" s="39">
        <f>L39-L40</f>
        <v/>
      </c>
      <c r="M41" s="39">
        <f>M39-M40</f>
        <v/>
      </c>
      <c r="N41" s="39">
        <f>N39-N40</f>
        <v/>
      </c>
      <c r="O41" s="39">
        <f>O39-O40</f>
        <v/>
      </c>
      <c r="P41" s="39">
        <f>P39-P40</f>
        <v/>
      </c>
      <c r="Q41" s="39">
        <f>Q39-Q40</f>
        <v/>
      </c>
      <c r="R41" s="39">
        <f>R39-R40</f>
        <v/>
      </c>
      <c r="S41" s="39">
        <f>S39-S40</f>
        <v/>
      </c>
      <c r="T41" s="39">
        <f>T39-T40</f>
        <v/>
      </c>
      <c r="U41" s="39">
        <f>U39-U40</f>
        <v/>
      </c>
      <c r="V41" s="39">
        <f>V39-V40</f>
        <v/>
      </c>
      <c r="W41" s="39">
        <f>W39-W40</f>
        <v/>
      </c>
      <c r="X41" s="39">
        <f>X39-X40</f>
        <v/>
      </c>
      <c r="Y41" s="39">
        <f>Y39-Y40</f>
        <v/>
      </c>
      <c r="Z41" s="39">
        <f>Z39-Z40</f>
        <v/>
      </c>
      <c r="AA41" s="39">
        <f>AA39-AA40</f>
        <v/>
      </c>
      <c r="AB41" s="39">
        <f>AB39-AB40</f>
        <v/>
      </c>
      <c r="AC41" s="39">
        <f>AC39-AC40</f>
        <v/>
      </c>
      <c r="AD41" s="39">
        <f>AD39-AD40</f>
        <v/>
      </c>
      <c r="AE41" s="39">
        <f>AE39-AE40</f>
        <v/>
      </c>
      <c r="AF41" s="39">
        <f>AF39-AF40</f>
        <v/>
      </c>
      <c r="AG41" s="39">
        <f>AG39-AG40</f>
        <v/>
      </c>
      <c r="AH41" s="39">
        <f>AH39-AH40</f>
        <v/>
      </c>
      <c r="AI41" s="39">
        <f>AI39-AI40</f>
        <v/>
      </c>
      <c r="AJ41" s="39">
        <f>AJ39-AJ40</f>
        <v/>
      </c>
      <c r="AK41" s="39">
        <f>AK39-AK40</f>
        <v/>
      </c>
      <c r="AL41" s="39">
        <f>AL39-AL40</f>
        <v/>
      </c>
      <c r="AM41" s="39">
        <f>AM39-AM40</f>
        <v/>
      </c>
      <c r="AN41" s="39">
        <f>AN39-AN40</f>
        <v/>
      </c>
      <c r="AO41" s="39">
        <f>AO39-AO40</f>
        <v/>
      </c>
      <c r="AP41" s="39">
        <f>AP39-AP40</f>
        <v/>
      </c>
      <c r="AQ41" s="39">
        <f>AQ39-AQ40</f>
        <v/>
      </c>
      <c r="AR41" s="39">
        <f>AR39-AR40</f>
        <v/>
      </c>
      <c r="AS41" s="39">
        <f>AS39-AS40</f>
        <v/>
      </c>
      <c r="AT41" s="39">
        <f>AT39-AT40</f>
        <v/>
      </c>
      <c r="AU41" s="39">
        <f>AU39-AU40</f>
        <v/>
      </c>
      <c r="AV41" s="39">
        <f>AV39-AV40</f>
        <v/>
      </c>
      <c r="AW41" s="39">
        <f>AW39-AW40</f>
        <v/>
      </c>
      <c r="AX41" s="39">
        <f>AX39-AX40</f>
        <v/>
      </c>
      <c r="AY41" s="39">
        <f>AY39-AY40</f>
        <v/>
      </c>
      <c r="AZ41" s="39">
        <f>AZ39-AZ40</f>
        <v/>
      </c>
      <c r="BA41" s="39">
        <f>BA39-BA40</f>
        <v/>
      </c>
      <c r="BB41" s="39">
        <f>BB39-BB40</f>
        <v/>
      </c>
      <c r="BC41" s="39">
        <f>BC39-BC40</f>
        <v/>
      </c>
      <c r="BD41" s="39">
        <f>BD39-BD40</f>
        <v/>
      </c>
      <c r="BE41" s="39">
        <f>BE39-BE40</f>
        <v/>
      </c>
      <c r="BF41" s="39">
        <f>BF39-BF40</f>
        <v/>
      </c>
      <c r="BG41" s="39">
        <f>BG39-BG40</f>
        <v/>
      </c>
      <c r="BH41" s="39">
        <f>BH39-BH40</f>
        <v/>
      </c>
      <c r="BI41" s="39">
        <f>BI39-BI40</f>
        <v/>
      </c>
      <c r="BJ41" s="39">
        <f>BJ39-BJ40</f>
        <v/>
      </c>
      <c r="BK41" s="39">
        <f>BK39-BK40</f>
        <v/>
      </c>
      <c r="BL41" s="39">
        <f>BL39-BL40</f>
        <v/>
      </c>
    </row>
    <row r="42">
      <c r="A42" s="55" t="inlineStr">
        <is>
          <t>PAYGo financing income (straight-line over tenor)</t>
        </is>
      </c>
      <c r="B42" s="26" t="inlineStr">
        <is>
          <t>LCY</t>
        </is>
      </c>
      <c r="C42" s="58">
        <f>SUM(E42:BL42)</f>
        <v/>
      </c>
      <c r="E42" s="39">
        <f>IF(Products!$D$16=0,0,Products!$D$35/Products!$D$16*SUMIFS($E$35:$BL$35,Timeline!$E$4:$BL$4,"&gt;="&amp;(E$4-Products!$D$16),Timeline!$E$4:$BL$4,"&lt;="&amp;(E$4-1)))</f>
        <v/>
      </c>
      <c r="F42" s="39">
        <f>IF(Products!$D$16=0,0,Products!$D$35/Products!$D$16*SUMIFS($E$35:$BL$35,Timeline!$E$4:$BL$4,"&gt;="&amp;(F$4-Products!$D$16),Timeline!$E$4:$BL$4,"&lt;="&amp;(F$4-1)))</f>
        <v/>
      </c>
      <c r="G42" s="39">
        <f>IF(Products!$D$16=0,0,Products!$D$35/Products!$D$16*SUMIFS($E$35:$BL$35,Timeline!$E$4:$BL$4,"&gt;="&amp;(G$4-Products!$D$16),Timeline!$E$4:$BL$4,"&lt;="&amp;(G$4-1)))</f>
        <v/>
      </c>
      <c r="H42" s="39">
        <f>IF(Products!$D$16=0,0,Products!$D$35/Products!$D$16*SUMIFS($E$35:$BL$35,Timeline!$E$4:$BL$4,"&gt;="&amp;(H$4-Products!$D$16),Timeline!$E$4:$BL$4,"&lt;="&amp;(H$4-1)))</f>
        <v/>
      </c>
      <c r="I42" s="39">
        <f>IF(Products!$D$16=0,0,Products!$D$35/Products!$D$16*SUMIFS($E$35:$BL$35,Timeline!$E$4:$BL$4,"&gt;="&amp;(I$4-Products!$D$16),Timeline!$E$4:$BL$4,"&lt;="&amp;(I$4-1)))</f>
        <v/>
      </c>
      <c r="J42" s="39">
        <f>IF(Products!$D$16=0,0,Products!$D$35/Products!$D$16*SUMIFS($E$35:$BL$35,Timeline!$E$4:$BL$4,"&gt;="&amp;(J$4-Products!$D$16),Timeline!$E$4:$BL$4,"&lt;="&amp;(J$4-1)))</f>
        <v/>
      </c>
      <c r="K42" s="39">
        <f>IF(Products!$D$16=0,0,Products!$D$35/Products!$D$16*SUMIFS($E$35:$BL$35,Timeline!$E$4:$BL$4,"&gt;="&amp;(K$4-Products!$D$16),Timeline!$E$4:$BL$4,"&lt;="&amp;(K$4-1)))</f>
        <v/>
      </c>
      <c r="L42" s="39">
        <f>IF(Products!$D$16=0,0,Products!$D$35/Products!$D$16*SUMIFS($E$35:$BL$35,Timeline!$E$4:$BL$4,"&gt;="&amp;(L$4-Products!$D$16),Timeline!$E$4:$BL$4,"&lt;="&amp;(L$4-1)))</f>
        <v/>
      </c>
      <c r="M42" s="39">
        <f>IF(Products!$D$16=0,0,Products!$D$35/Products!$D$16*SUMIFS($E$35:$BL$35,Timeline!$E$4:$BL$4,"&gt;="&amp;(M$4-Products!$D$16),Timeline!$E$4:$BL$4,"&lt;="&amp;(M$4-1)))</f>
        <v/>
      </c>
      <c r="N42" s="39">
        <f>IF(Products!$D$16=0,0,Products!$D$35/Products!$D$16*SUMIFS($E$35:$BL$35,Timeline!$E$4:$BL$4,"&gt;="&amp;(N$4-Products!$D$16),Timeline!$E$4:$BL$4,"&lt;="&amp;(N$4-1)))</f>
        <v/>
      </c>
      <c r="O42" s="39">
        <f>IF(Products!$D$16=0,0,Products!$D$35/Products!$D$16*SUMIFS($E$35:$BL$35,Timeline!$E$4:$BL$4,"&gt;="&amp;(O$4-Products!$D$16),Timeline!$E$4:$BL$4,"&lt;="&amp;(O$4-1)))</f>
        <v/>
      </c>
      <c r="P42" s="39">
        <f>IF(Products!$D$16=0,0,Products!$D$35/Products!$D$16*SUMIFS($E$35:$BL$35,Timeline!$E$4:$BL$4,"&gt;="&amp;(P$4-Products!$D$16),Timeline!$E$4:$BL$4,"&lt;="&amp;(P$4-1)))</f>
        <v/>
      </c>
      <c r="Q42" s="39">
        <f>IF(Products!$D$16=0,0,Products!$D$35/Products!$D$16*SUMIFS($E$35:$BL$35,Timeline!$E$4:$BL$4,"&gt;="&amp;(Q$4-Products!$D$16),Timeline!$E$4:$BL$4,"&lt;="&amp;(Q$4-1)))</f>
        <v/>
      </c>
      <c r="R42" s="39">
        <f>IF(Products!$D$16=0,0,Products!$D$35/Products!$D$16*SUMIFS($E$35:$BL$35,Timeline!$E$4:$BL$4,"&gt;="&amp;(R$4-Products!$D$16),Timeline!$E$4:$BL$4,"&lt;="&amp;(R$4-1)))</f>
        <v/>
      </c>
      <c r="S42" s="39">
        <f>IF(Products!$D$16=0,0,Products!$D$35/Products!$D$16*SUMIFS($E$35:$BL$35,Timeline!$E$4:$BL$4,"&gt;="&amp;(S$4-Products!$D$16),Timeline!$E$4:$BL$4,"&lt;="&amp;(S$4-1)))</f>
        <v/>
      </c>
      <c r="T42" s="39">
        <f>IF(Products!$D$16=0,0,Products!$D$35/Products!$D$16*SUMIFS($E$35:$BL$35,Timeline!$E$4:$BL$4,"&gt;="&amp;(T$4-Products!$D$16),Timeline!$E$4:$BL$4,"&lt;="&amp;(T$4-1)))</f>
        <v/>
      </c>
      <c r="U42" s="39">
        <f>IF(Products!$D$16=0,0,Products!$D$35/Products!$D$16*SUMIFS($E$35:$BL$35,Timeline!$E$4:$BL$4,"&gt;="&amp;(U$4-Products!$D$16),Timeline!$E$4:$BL$4,"&lt;="&amp;(U$4-1)))</f>
        <v/>
      </c>
      <c r="V42" s="39">
        <f>IF(Products!$D$16=0,0,Products!$D$35/Products!$D$16*SUMIFS($E$35:$BL$35,Timeline!$E$4:$BL$4,"&gt;="&amp;(V$4-Products!$D$16),Timeline!$E$4:$BL$4,"&lt;="&amp;(V$4-1)))</f>
        <v/>
      </c>
      <c r="W42" s="39">
        <f>IF(Products!$D$16=0,0,Products!$D$35/Products!$D$16*SUMIFS($E$35:$BL$35,Timeline!$E$4:$BL$4,"&gt;="&amp;(W$4-Products!$D$16),Timeline!$E$4:$BL$4,"&lt;="&amp;(W$4-1)))</f>
        <v/>
      </c>
      <c r="X42" s="39">
        <f>IF(Products!$D$16=0,0,Products!$D$35/Products!$D$16*SUMIFS($E$35:$BL$35,Timeline!$E$4:$BL$4,"&gt;="&amp;(X$4-Products!$D$16),Timeline!$E$4:$BL$4,"&lt;="&amp;(X$4-1)))</f>
        <v/>
      </c>
      <c r="Y42" s="39">
        <f>IF(Products!$D$16=0,0,Products!$D$35/Products!$D$16*SUMIFS($E$35:$BL$35,Timeline!$E$4:$BL$4,"&gt;="&amp;(Y$4-Products!$D$16),Timeline!$E$4:$BL$4,"&lt;="&amp;(Y$4-1)))</f>
        <v/>
      </c>
      <c r="Z42" s="39">
        <f>IF(Products!$D$16=0,0,Products!$D$35/Products!$D$16*SUMIFS($E$35:$BL$35,Timeline!$E$4:$BL$4,"&gt;="&amp;(Z$4-Products!$D$16),Timeline!$E$4:$BL$4,"&lt;="&amp;(Z$4-1)))</f>
        <v/>
      </c>
      <c r="AA42" s="39">
        <f>IF(Products!$D$16=0,0,Products!$D$35/Products!$D$16*SUMIFS($E$35:$BL$35,Timeline!$E$4:$BL$4,"&gt;="&amp;(AA$4-Products!$D$16),Timeline!$E$4:$BL$4,"&lt;="&amp;(AA$4-1)))</f>
        <v/>
      </c>
      <c r="AB42" s="39">
        <f>IF(Products!$D$16=0,0,Products!$D$35/Products!$D$16*SUMIFS($E$35:$BL$35,Timeline!$E$4:$BL$4,"&gt;="&amp;(AB$4-Products!$D$16),Timeline!$E$4:$BL$4,"&lt;="&amp;(AB$4-1)))</f>
        <v/>
      </c>
      <c r="AC42" s="39">
        <f>IF(Products!$D$16=0,0,Products!$D$35/Products!$D$16*SUMIFS($E$35:$BL$35,Timeline!$E$4:$BL$4,"&gt;="&amp;(AC$4-Products!$D$16),Timeline!$E$4:$BL$4,"&lt;="&amp;(AC$4-1)))</f>
        <v/>
      </c>
      <c r="AD42" s="39">
        <f>IF(Products!$D$16=0,0,Products!$D$35/Products!$D$16*SUMIFS($E$35:$BL$35,Timeline!$E$4:$BL$4,"&gt;="&amp;(AD$4-Products!$D$16),Timeline!$E$4:$BL$4,"&lt;="&amp;(AD$4-1)))</f>
        <v/>
      </c>
      <c r="AE42" s="39">
        <f>IF(Products!$D$16=0,0,Products!$D$35/Products!$D$16*SUMIFS($E$35:$BL$35,Timeline!$E$4:$BL$4,"&gt;="&amp;(AE$4-Products!$D$16),Timeline!$E$4:$BL$4,"&lt;="&amp;(AE$4-1)))</f>
        <v/>
      </c>
      <c r="AF42" s="39">
        <f>IF(Products!$D$16=0,0,Products!$D$35/Products!$D$16*SUMIFS($E$35:$BL$35,Timeline!$E$4:$BL$4,"&gt;="&amp;(AF$4-Products!$D$16),Timeline!$E$4:$BL$4,"&lt;="&amp;(AF$4-1)))</f>
        <v/>
      </c>
      <c r="AG42" s="39">
        <f>IF(Products!$D$16=0,0,Products!$D$35/Products!$D$16*SUMIFS($E$35:$BL$35,Timeline!$E$4:$BL$4,"&gt;="&amp;(AG$4-Products!$D$16),Timeline!$E$4:$BL$4,"&lt;="&amp;(AG$4-1)))</f>
        <v/>
      </c>
      <c r="AH42" s="39">
        <f>IF(Products!$D$16=0,0,Products!$D$35/Products!$D$16*SUMIFS($E$35:$BL$35,Timeline!$E$4:$BL$4,"&gt;="&amp;(AH$4-Products!$D$16),Timeline!$E$4:$BL$4,"&lt;="&amp;(AH$4-1)))</f>
        <v/>
      </c>
      <c r="AI42" s="39">
        <f>IF(Products!$D$16=0,0,Products!$D$35/Products!$D$16*SUMIFS($E$35:$BL$35,Timeline!$E$4:$BL$4,"&gt;="&amp;(AI$4-Products!$D$16),Timeline!$E$4:$BL$4,"&lt;="&amp;(AI$4-1)))</f>
        <v/>
      </c>
      <c r="AJ42" s="39">
        <f>IF(Products!$D$16=0,0,Products!$D$35/Products!$D$16*SUMIFS($E$35:$BL$35,Timeline!$E$4:$BL$4,"&gt;="&amp;(AJ$4-Products!$D$16),Timeline!$E$4:$BL$4,"&lt;="&amp;(AJ$4-1)))</f>
        <v/>
      </c>
      <c r="AK42" s="39">
        <f>IF(Products!$D$16=0,0,Products!$D$35/Products!$D$16*SUMIFS($E$35:$BL$35,Timeline!$E$4:$BL$4,"&gt;="&amp;(AK$4-Products!$D$16),Timeline!$E$4:$BL$4,"&lt;="&amp;(AK$4-1)))</f>
        <v/>
      </c>
      <c r="AL42" s="39">
        <f>IF(Products!$D$16=0,0,Products!$D$35/Products!$D$16*SUMIFS($E$35:$BL$35,Timeline!$E$4:$BL$4,"&gt;="&amp;(AL$4-Products!$D$16),Timeline!$E$4:$BL$4,"&lt;="&amp;(AL$4-1)))</f>
        <v/>
      </c>
      <c r="AM42" s="39">
        <f>IF(Products!$D$16=0,0,Products!$D$35/Products!$D$16*SUMIFS($E$35:$BL$35,Timeline!$E$4:$BL$4,"&gt;="&amp;(AM$4-Products!$D$16),Timeline!$E$4:$BL$4,"&lt;="&amp;(AM$4-1)))</f>
        <v/>
      </c>
      <c r="AN42" s="39">
        <f>IF(Products!$D$16=0,0,Products!$D$35/Products!$D$16*SUMIFS($E$35:$BL$35,Timeline!$E$4:$BL$4,"&gt;="&amp;(AN$4-Products!$D$16),Timeline!$E$4:$BL$4,"&lt;="&amp;(AN$4-1)))</f>
        <v/>
      </c>
      <c r="AO42" s="39">
        <f>IF(Products!$D$16=0,0,Products!$D$35/Products!$D$16*SUMIFS($E$35:$BL$35,Timeline!$E$4:$BL$4,"&gt;="&amp;(AO$4-Products!$D$16),Timeline!$E$4:$BL$4,"&lt;="&amp;(AO$4-1)))</f>
        <v/>
      </c>
      <c r="AP42" s="39">
        <f>IF(Products!$D$16=0,0,Products!$D$35/Products!$D$16*SUMIFS($E$35:$BL$35,Timeline!$E$4:$BL$4,"&gt;="&amp;(AP$4-Products!$D$16),Timeline!$E$4:$BL$4,"&lt;="&amp;(AP$4-1)))</f>
        <v/>
      </c>
      <c r="AQ42" s="39">
        <f>IF(Products!$D$16=0,0,Products!$D$35/Products!$D$16*SUMIFS($E$35:$BL$35,Timeline!$E$4:$BL$4,"&gt;="&amp;(AQ$4-Products!$D$16),Timeline!$E$4:$BL$4,"&lt;="&amp;(AQ$4-1)))</f>
        <v/>
      </c>
      <c r="AR42" s="39">
        <f>IF(Products!$D$16=0,0,Products!$D$35/Products!$D$16*SUMIFS($E$35:$BL$35,Timeline!$E$4:$BL$4,"&gt;="&amp;(AR$4-Products!$D$16),Timeline!$E$4:$BL$4,"&lt;="&amp;(AR$4-1)))</f>
        <v/>
      </c>
      <c r="AS42" s="39">
        <f>IF(Products!$D$16=0,0,Products!$D$35/Products!$D$16*SUMIFS($E$35:$BL$35,Timeline!$E$4:$BL$4,"&gt;="&amp;(AS$4-Products!$D$16),Timeline!$E$4:$BL$4,"&lt;="&amp;(AS$4-1)))</f>
        <v/>
      </c>
      <c r="AT42" s="39">
        <f>IF(Products!$D$16=0,0,Products!$D$35/Products!$D$16*SUMIFS($E$35:$BL$35,Timeline!$E$4:$BL$4,"&gt;="&amp;(AT$4-Products!$D$16),Timeline!$E$4:$BL$4,"&lt;="&amp;(AT$4-1)))</f>
        <v/>
      </c>
      <c r="AU42" s="39">
        <f>IF(Products!$D$16=0,0,Products!$D$35/Products!$D$16*SUMIFS($E$35:$BL$35,Timeline!$E$4:$BL$4,"&gt;="&amp;(AU$4-Products!$D$16),Timeline!$E$4:$BL$4,"&lt;="&amp;(AU$4-1)))</f>
        <v/>
      </c>
      <c r="AV42" s="39">
        <f>IF(Products!$D$16=0,0,Products!$D$35/Products!$D$16*SUMIFS($E$35:$BL$35,Timeline!$E$4:$BL$4,"&gt;="&amp;(AV$4-Products!$D$16),Timeline!$E$4:$BL$4,"&lt;="&amp;(AV$4-1)))</f>
        <v/>
      </c>
      <c r="AW42" s="39">
        <f>IF(Products!$D$16=0,0,Products!$D$35/Products!$D$16*SUMIFS($E$35:$BL$35,Timeline!$E$4:$BL$4,"&gt;="&amp;(AW$4-Products!$D$16),Timeline!$E$4:$BL$4,"&lt;="&amp;(AW$4-1)))</f>
        <v/>
      </c>
      <c r="AX42" s="39">
        <f>IF(Products!$D$16=0,0,Products!$D$35/Products!$D$16*SUMIFS($E$35:$BL$35,Timeline!$E$4:$BL$4,"&gt;="&amp;(AX$4-Products!$D$16),Timeline!$E$4:$BL$4,"&lt;="&amp;(AX$4-1)))</f>
        <v/>
      </c>
      <c r="AY42" s="39">
        <f>IF(Products!$D$16=0,0,Products!$D$35/Products!$D$16*SUMIFS($E$35:$BL$35,Timeline!$E$4:$BL$4,"&gt;="&amp;(AY$4-Products!$D$16),Timeline!$E$4:$BL$4,"&lt;="&amp;(AY$4-1)))</f>
        <v/>
      </c>
      <c r="AZ42" s="39">
        <f>IF(Products!$D$16=0,0,Products!$D$35/Products!$D$16*SUMIFS($E$35:$BL$35,Timeline!$E$4:$BL$4,"&gt;="&amp;(AZ$4-Products!$D$16),Timeline!$E$4:$BL$4,"&lt;="&amp;(AZ$4-1)))</f>
        <v/>
      </c>
      <c r="BA42" s="39">
        <f>IF(Products!$D$16=0,0,Products!$D$35/Products!$D$16*SUMIFS($E$35:$BL$35,Timeline!$E$4:$BL$4,"&gt;="&amp;(BA$4-Products!$D$16),Timeline!$E$4:$BL$4,"&lt;="&amp;(BA$4-1)))</f>
        <v/>
      </c>
      <c r="BB42" s="39">
        <f>IF(Products!$D$16=0,0,Products!$D$35/Products!$D$16*SUMIFS($E$35:$BL$35,Timeline!$E$4:$BL$4,"&gt;="&amp;(BB$4-Products!$D$16),Timeline!$E$4:$BL$4,"&lt;="&amp;(BB$4-1)))</f>
        <v/>
      </c>
      <c r="BC42" s="39">
        <f>IF(Products!$D$16=0,0,Products!$D$35/Products!$D$16*SUMIFS($E$35:$BL$35,Timeline!$E$4:$BL$4,"&gt;="&amp;(BC$4-Products!$D$16),Timeline!$E$4:$BL$4,"&lt;="&amp;(BC$4-1)))</f>
        <v/>
      </c>
      <c r="BD42" s="39">
        <f>IF(Products!$D$16=0,0,Products!$D$35/Products!$D$16*SUMIFS($E$35:$BL$35,Timeline!$E$4:$BL$4,"&gt;="&amp;(BD$4-Products!$D$16),Timeline!$E$4:$BL$4,"&lt;="&amp;(BD$4-1)))</f>
        <v/>
      </c>
      <c r="BE42" s="39">
        <f>IF(Products!$D$16=0,0,Products!$D$35/Products!$D$16*SUMIFS($E$35:$BL$35,Timeline!$E$4:$BL$4,"&gt;="&amp;(BE$4-Products!$D$16),Timeline!$E$4:$BL$4,"&lt;="&amp;(BE$4-1)))</f>
        <v/>
      </c>
      <c r="BF42" s="39">
        <f>IF(Products!$D$16=0,0,Products!$D$35/Products!$D$16*SUMIFS($E$35:$BL$35,Timeline!$E$4:$BL$4,"&gt;="&amp;(BF$4-Products!$D$16),Timeline!$E$4:$BL$4,"&lt;="&amp;(BF$4-1)))</f>
        <v/>
      </c>
      <c r="BG42" s="39">
        <f>IF(Products!$D$16=0,0,Products!$D$35/Products!$D$16*SUMIFS($E$35:$BL$35,Timeline!$E$4:$BL$4,"&gt;="&amp;(BG$4-Products!$D$16),Timeline!$E$4:$BL$4,"&lt;="&amp;(BG$4-1)))</f>
        <v/>
      </c>
      <c r="BH42" s="39">
        <f>IF(Products!$D$16=0,0,Products!$D$35/Products!$D$16*SUMIFS($E$35:$BL$35,Timeline!$E$4:$BL$4,"&gt;="&amp;(BH$4-Products!$D$16),Timeline!$E$4:$BL$4,"&lt;="&amp;(BH$4-1)))</f>
        <v/>
      </c>
      <c r="BI42" s="39">
        <f>IF(Products!$D$16=0,0,Products!$D$35/Products!$D$16*SUMIFS($E$35:$BL$35,Timeline!$E$4:$BL$4,"&gt;="&amp;(BI$4-Products!$D$16),Timeline!$E$4:$BL$4,"&lt;="&amp;(BI$4-1)))</f>
        <v/>
      </c>
      <c r="BJ42" s="39">
        <f>IF(Products!$D$16=0,0,Products!$D$35/Products!$D$16*SUMIFS($E$35:$BL$35,Timeline!$E$4:$BL$4,"&gt;="&amp;(BJ$4-Products!$D$16),Timeline!$E$4:$BL$4,"&lt;="&amp;(BJ$4-1)))</f>
        <v/>
      </c>
      <c r="BK42" s="39">
        <f>IF(Products!$D$16=0,0,Products!$D$35/Products!$D$16*SUMIFS($E$35:$BL$35,Timeline!$E$4:$BL$4,"&gt;="&amp;(BK$4-Products!$D$16),Timeline!$E$4:$BL$4,"&lt;="&amp;(BK$4-1)))</f>
        <v/>
      </c>
      <c r="BL42" s="39">
        <f>IF(Products!$D$16=0,0,Products!$D$35/Products!$D$16*SUMIFS($E$35:$BL$35,Timeline!$E$4:$BL$4,"&gt;="&amp;(BL$4-Products!$D$16),Timeline!$E$4:$BL$4,"&lt;="&amp;(BL$4-1)))</f>
        <v/>
      </c>
    </row>
    <row r="43">
      <c r="A43" s="55" t="inlineStr">
        <is>
          <t>Expected credit loss charged at origination</t>
        </is>
      </c>
      <c r="B43" s="26" t="inlineStr">
        <is>
          <t>LCY</t>
        </is>
      </c>
      <c r="C43" s="58">
        <f>SUM(E43:BL43)</f>
        <v/>
      </c>
      <c r="E43" s="39">
        <f>E35*Curves!$Q$70</f>
        <v/>
      </c>
      <c r="F43" s="39">
        <f>F35*Curves!$Q$70</f>
        <v/>
      </c>
      <c r="G43" s="39">
        <f>G35*Curves!$Q$70</f>
        <v/>
      </c>
      <c r="H43" s="39">
        <f>H35*Curves!$Q$70</f>
        <v/>
      </c>
      <c r="I43" s="39">
        <f>I35*Curves!$Q$70</f>
        <v/>
      </c>
      <c r="J43" s="39">
        <f>J35*Curves!$Q$70</f>
        <v/>
      </c>
      <c r="K43" s="39">
        <f>K35*Curves!$Q$70</f>
        <v/>
      </c>
      <c r="L43" s="39">
        <f>L35*Curves!$Q$70</f>
        <v/>
      </c>
      <c r="M43" s="39">
        <f>M35*Curves!$Q$70</f>
        <v/>
      </c>
      <c r="N43" s="39">
        <f>N35*Curves!$Q$70</f>
        <v/>
      </c>
      <c r="O43" s="39">
        <f>O35*Curves!$Q$70</f>
        <v/>
      </c>
      <c r="P43" s="39">
        <f>P35*Curves!$Q$70</f>
        <v/>
      </c>
      <c r="Q43" s="39">
        <f>Q35*Curves!$Q$70</f>
        <v/>
      </c>
      <c r="R43" s="39">
        <f>R35*Curves!$Q$70</f>
        <v/>
      </c>
      <c r="S43" s="39">
        <f>S35*Curves!$Q$70</f>
        <v/>
      </c>
      <c r="T43" s="39">
        <f>T35*Curves!$Q$70</f>
        <v/>
      </c>
      <c r="U43" s="39">
        <f>U35*Curves!$Q$70</f>
        <v/>
      </c>
      <c r="V43" s="39">
        <f>V35*Curves!$Q$70</f>
        <v/>
      </c>
      <c r="W43" s="39">
        <f>W35*Curves!$Q$70</f>
        <v/>
      </c>
      <c r="X43" s="39">
        <f>X35*Curves!$Q$70</f>
        <v/>
      </c>
      <c r="Y43" s="39">
        <f>Y35*Curves!$Q$70</f>
        <v/>
      </c>
      <c r="Z43" s="39">
        <f>Z35*Curves!$Q$70</f>
        <v/>
      </c>
      <c r="AA43" s="39">
        <f>AA35*Curves!$Q$70</f>
        <v/>
      </c>
      <c r="AB43" s="39">
        <f>AB35*Curves!$Q$70</f>
        <v/>
      </c>
      <c r="AC43" s="39">
        <f>AC35*Curves!$Q$70</f>
        <v/>
      </c>
      <c r="AD43" s="39">
        <f>AD35*Curves!$Q$70</f>
        <v/>
      </c>
      <c r="AE43" s="39">
        <f>AE35*Curves!$Q$70</f>
        <v/>
      </c>
      <c r="AF43" s="39">
        <f>AF35*Curves!$Q$70</f>
        <v/>
      </c>
      <c r="AG43" s="39">
        <f>AG35*Curves!$Q$70</f>
        <v/>
      </c>
      <c r="AH43" s="39">
        <f>AH35*Curves!$Q$70</f>
        <v/>
      </c>
      <c r="AI43" s="39">
        <f>AI35*Curves!$Q$70</f>
        <v/>
      </c>
      <c r="AJ43" s="39">
        <f>AJ35*Curves!$Q$70</f>
        <v/>
      </c>
      <c r="AK43" s="39">
        <f>AK35*Curves!$Q$70</f>
        <v/>
      </c>
      <c r="AL43" s="39">
        <f>AL35*Curves!$Q$70</f>
        <v/>
      </c>
      <c r="AM43" s="39">
        <f>AM35*Curves!$Q$70</f>
        <v/>
      </c>
      <c r="AN43" s="39">
        <f>AN35*Curves!$Q$70</f>
        <v/>
      </c>
      <c r="AO43" s="39">
        <f>AO35*Curves!$Q$70</f>
        <v/>
      </c>
      <c r="AP43" s="39">
        <f>AP35*Curves!$Q$70</f>
        <v/>
      </c>
      <c r="AQ43" s="39">
        <f>AQ35*Curves!$Q$70</f>
        <v/>
      </c>
      <c r="AR43" s="39">
        <f>AR35*Curves!$Q$70</f>
        <v/>
      </c>
      <c r="AS43" s="39">
        <f>AS35*Curves!$Q$70</f>
        <v/>
      </c>
      <c r="AT43" s="39">
        <f>AT35*Curves!$Q$70</f>
        <v/>
      </c>
      <c r="AU43" s="39">
        <f>AU35*Curves!$Q$70</f>
        <v/>
      </c>
      <c r="AV43" s="39">
        <f>AV35*Curves!$Q$70</f>
        <v/>
      </c>
      <c r="AW43" s="39">
        <f>AW35*Curves!$Q$70</f>
        <v/>
      </c>
      <c r="AX43" s="39">
        <f>AX35*Curves!$Q$70</f>
        <v/>
      </c>
      <c r="AY43" s="39">
        <f>AY35*Curves!$Q$70</f>
        <v/>
      </c>
      <c r="AZ43" s="39">
        <f>AZ35*Curves!$Q$70</f>
        <v/>
      </c>
      <c r="BA43" s="39">
        <f>BA35*Curves!$Q$70</f>
        <v/>
      </c>
      <c r="BB43" s="39">
        <f>BB35*Curves!$Q$70</f>
        <v/>
      </c>
      <c r="BC43" s="39">
        <f>BC35*Curves!$Q$70</f>
        <v/>
      </c>
      <c r="BD43" s="39">
        <f>BD35*Curves!$Q$70</f>
        <v/>
      </c>
      <c r="BE43" s="39">
        <f>BE35*Curves!$Q$70</f>
        <v/>
      </c>
      <c r="BF43" s="39">
        <f>BF35*Curves!$Q$70</f>
        <v/>
      </c>
      <c r="BG43" s="39">
        <f>BG35*Curves!$Q$70</f>
        <v/>
      </c>
      <c r="BH43" s="39">
        <f>BH35*Curves!$Q$70</f>
        <v/>
      </c>
      <c r="BI43" s="39">
        <f>BI35*Curves!$Q$70</f>
        <v/>
      </c>
      <c r="BJ43" s="39">
        <f>BJ35*Curves!$Q$70</f>
        <v/>
      </c>
      <c r="BK43" s="39">
        <f>BK35*Curves!$Q$70</f>
        <v/>
      </c>
      <c r="BL43" s="39">
        <f>BL35*Curves!$Q$70</f>
        <v/>
      </c>
    </row>
    <row r="44">
      <c r="A44" s="55" t="inlineStr">
        <is>
          <t>Recoveries from resale of repossessed units</t>
        </is>
      </c>
      <c r="B44" s="26" t="inlineStr">
        <is>
          <t>LCY</t>
        </is>
      </c>
      <c r="C44" s="58">
        <f>SUM(E44:BL44)</f>
        <v/>
      </c>
      <c r="E44" s="17">
        <f>Cohort_T2!E$198</f>
        <v/>
      </c>
      <c r="F44" s="17">
        <f>Cohort_T2!F$198</f>
        <v/>
      </c>
      <c r="G44" s="17">
        <f>Cohort_T2!G$198</f>
        <v/>
      </c>
      <c r="H44" s="17">
        <f>Cohort_T2!H$198</f>
        <v/>
      </c>
      <c r="I44" s="17">
        <f>Cohort_T2!I$198</f>
        <v/>
      </c>
      <c r="J44" s="17">
        <f>Cohort_T2!J$198</f>
        <v/>
      </c>
      <c r="K44" s="17">
        <f>Cohort_T2!K$198</f>
        <v/>
      </c>
      <c r="L44" s="17">
        <f>Cohort_T2!L$198</f>
        <v/>
      </c>
      <c r="M44" s="17">
        <f>Cohort_T2!M$198</f>
        <v/>
      </c>
      <c r="N44" s="17">
        <f>Cohort_T2!N$198</f>
        <v/>
      </c>
      <c r="O44" s="17">
        <f>Cohort_T2!O$198</f>
        <v/>
      </c>
      <c r="P44" s="17">
        <f>Cohort_T2!P$198</f>
        <v/>
      </c>
      <c r="Q44" s="17">
        <f>Cohort_T2!Q$198</f>
        <v/>
      </c>
      <c r="R44" s="17">
        <f>Cohort_T2!R$198</f>
        <v/>
      </c>
      <c r="S44" s="17">
        <f>Cohort_T2!S$198</f>
        <v/>
      </c>
      <c r="T44" s="17">
        <f>Cohort_T2!T$198</f>
        <v/>
      </c>
      <c r="U44" s="17">
        <f>Cohort_T2!U$198</f>
        <v/>
      </c>
      <c r="V44" s="17">
        <f>Cohort_T2!V$198</f>
        <v/>
      </c>
      <c r="W44" s="17">
        <f>Cohort_T2!W$198</f>
        <v/>
      </c>
      <c r="X44" s="17">
        <f>Cohort_T2!X$198</f>
        <v/>
      </c>
      <c r="Y44" s="17">
        <f>Cohort_T2!Y$198</f>
        <v/>
      </c>
      <c r="Z44" s="17">
        <f>Cohort_T2!Z$198</f>
        <v/>
      </c>
      <c r="AA44" s="17">
        <f>Cohort_T2!AA$198</f>
        <v/>
      </c>
      <c r="AB44" s="17">
        <f>Cohort_T2!AB$198</f>
        <v/>
      </c>
      <c r="AC44" s="17">
        <f>Cohort_T2!AC$198</f>
        <v/>
      </c>
      <c r="AD44" s="17">
        <f>Cohort_T2!AD$198</f>
        <v/>
      </c>
      <c r="AE44" s="17">
        <f>Cohort_T2!AE$198</f>
        <v/>
      </c>
      <c r="AF44" s="17">
        <f>Cohort_T2!AF$198</f>
        <v/>
      </c>
      <c r="AG44" s="17">
        <f>Cohort_T2!AG$198</f>
        <v/>
      </c>
      <c r="AH44" s="17">
        <f>Cohort_T2!AH$198</f>
        <v/>
      </c>
      <c r="AI44" s="17">
        <f>Cohort_T2!AI$198</f>
        <v/>
      </c>
      <c r="AJ44" s="17">
        <f>Cohort_T2!AJ$198</f>
        <v/>
      </c>
      <c r="AK44" s="17">
        <f>Cohort_T2!AK$198</f>
        <v/>
      </c>
      <c r="AL44" s="17">
        <f>Cohort_T2!AL$198</f>
        <v/>
      </c>
      <c r="AM44" s="17">
        <f>Cohort_T2!AM$198</f>
        <v/>
      </c>
      <c r="AN44" s="17">
        <f>Cohort_T2!AN$198</f>
        <v/>
      </c>
      <c r="AO44" s="17">
        <f>Cohort_T2!AO$198</f>
        <v/>
      </c>
      <c r="AP44" s="17">
        <f>Cohort_T2!AP$198</f>
        <v/>
      </c>
      <c r="AQ44" s="17">
        <f>Cohort_T2!AQ$198</f>
        <v/>
      </c>
      <c r="AR44" s="17">
        <f>Cohort_T2!AR$198</f>
        <v/>
      </c>
      <c r="AS44" s="17">
        <f>Cohort_T2!AS$198</f>
        <v/>
      </c>
      <c r="AT44" s="17">
        <f>Cohort_T2!AT$198</f>
        <v/>
      </c>
      <c r="AU44" s="17">
        <f>Cohort_T2!AU$198</f>
        <v/>
      </c>
      <c r="AV44" s="17">
        <f>Cohort_T2!AV$198</f>
        <v/>
      </c>
      <c r="AW44" s="17">
        <f>Cohort_T2!AW$198</f>
        <v/>
      </c>
      <c r="AX44" s="17">
        <f>Cohort_T2!AX$198</f>
        <v/>
      </c>
      <c r="AY44" s="17">
        <f>Cohort_T2!AY$198</f>
        <v/>
      </c>
      <c r="AZ44" s="17">
        <f>Cohort_T2!AZ$198</f>
        <v/>
      </c>
      <c r="BA44" s="17">
        <f>Cohort_T2!BA$198</f>
        <v/>
      </c>
      <c r="BB44" s="17">
        <f>Cohort_T2!BB$198</f>
        <v/>
      </c>
      <c r="BC44" s="17">
        <f>Cohort_T2!BC$198</f>
        <v/>
      </c>
      <c r="BD44" s="17">
        <f>Cohort_T2!BD$198</f>
        <v/>
      </c>
      <c r="BE44" s="17">
        <f>Cohort_T2!BE$198</f>
        <v/>
      </c>
      <c r="BF44" s="17">
        <f>Cohort_T2!BF$198</f>
        <v/>
      </c>
      <c r="BG44" s="17">
        <f>Cohort_T2!BG$198</f>
        <v/>
      </c>
      <c r="BH44" s="17">
        <f>Cohort_T2!BH$198</f>
        <v/>
      </c>
      <c r="BI44" s="17">
        <f>Cohort_T2!BI$198</f>
        <v/>
      </c>
      <c r="BJ44" s="17">
        <f>Cohort_T2!BJ$198</f>
        <v/>
      </c>
      <c r="BK44" s="17">
        <f>Cohort_T2!BK$198</f>
        <v/>
      </c>
      <c r="BL44" s="17">
        <f>Cohort_T2!BL$198</f>
        <v/>
      </c>
    </row>
    <row r="45">
      <c r="A45" s="55" t="inlineStr">
        <is>
          <t>RBF received</t>
        </is>
      </c>
      <c r="B45" s="26" t="inlineStr">
        <is>
          <t>LCY</t>
        </is>
      </c>
      <c r="C45" s="58">
        <f>SUM(E45:BL45)</f>
        <v/>
      </c>
      <c r="E45" s="39">
        <f>IF(E$4-Inputs!$C$33&gt;=1,INDEX($E$34:$BL$34,1,E$4-Inputs!$C$33),0)*Products!$D$30*Timeline!E$8*Inputs!$C$32</f>
        <v/>
      </c>
      <c r="F45" s="39">
        <f>IF(F$4-Inputs!$C$33&gt;=1,INDEX($E$34:$BL$34,1,F$4-Inputs!$C$33),0)*Products!$D$30*Timeline!F$8*Inputs!$C$32</f>
        <v/>
      </c>
      <c r="G45" s="39">
        <f>IF(G$4-Inputs!$C$33&gt;=1,INDEX($E$34:$BL$34,1,G$4-Inputs!$C$33),0)*Products!$D$30*Timeline!G$8*Inputs!$C$32</f>
        <v/>
      </c>
      <c r="H45" s="39">
        <f>IF(H$4-Inputs!$C$33&gt;=1,INDEX($E$34:$BL$34,1,H$4-Inputs!$C$33),0)*Products!$D$30*Timeline!H$8*Inputs!$C$32</f>
        <v/>
      </c>
      <c r="I45" s="39">
        <f>IF(I$4-Inputs!$C$33&gt;=1,INDEX($E$34:$BL$34,1,I$4-Inputs!$C$33),0)*Products!$D$30*Timeline!I$8*Inputs!$C$32</f>
        <v/>
      </c>
      <c r="J45" s="39">
        <f>IF(J$4-Inputs!$C$33&gt;=1,INDEX($E$34:$BL$34,1,J$4-Inputs!$C$33),0)*Products!$D$30*Timeline!J$8*Inputs!$C$32</f>
        <v/>
      </c>
      <c r="K45" s="39">
        <f>IF(K$4-Inputs!$C$33&gt;=1,INDEX($E$34:$BL$34,1,K$4-Inputs!$C$33),0)*Products!$D$30*Timeline!K$8*Inputs!$C$32</f>
        <v/>
      </c>
      <c r="L45" s="39">
        <f>IF(L$4-Inputs!$C$33&gt;=1,INDEX($E$34:$BL$34,1,L$4-Inputs!$C$33),0)*Products!$D$30*Timeline!L$8*Inputs!$C$32</f>
        <v/>
      </c>
      <c r="M45" s="39">
        <f>IF(M$4-Inputs!$C$33&gt;=1,INDEX($E$34:$BL$34,1,M$4-Inputs!$C$33),0)*Products!$D$30*Timeline!M$8*Inputs!$C$32</f>
        <v/>
      </c>
      <c r="N45" s="39">
        <f>IF(N$4-Inputs!$C$33&gt;=1,INDEX($E$34:$BL$34,1,N$4-Inputs!$C$33),0)*Products!$D$30*Timeline!N$8*Inputs!$C$32</f>
        <v/>
      </c>
      <c r="O45" s="39">
        <f>IF(O$4-Inputs!$C$33&gt;=1,INDEX($E$34:$BL$34,1,O$4-Inputs!$C$33),0)*Products!$D$30*Timeline!O$8*Inputs!$C$32</f>
        <v/>
      </c>
      <c r="P45" s="39">
        <f>IF(P$4-Inputs!$C$33&gt;=1,INDEX($E$34:$BL$34,1,P$4-Inputs!$C$33),0)*Products!$D$30*Timeline!P$8*Inputs!$C$32</f>
        <v/>
      </c>
      <c r="Q45" s="39">
        <f>IF(Q$4-Inputs!$C$33&gt;=1,INDEX($E$34:$BL$34,1,Q$4-Inputs!$C$33),0)*Products!$D$30*Timeline!Q$8*Inputs!$C$32</f>
        <v/>
      </c>
      <c r="R45" s="39">
        <f>IF(R$4-Inputs!$C$33&gt;=1,INDEX($E$34:$BL$34,1,R$4-Inputs!$C$33),0)*Products!$D$30*Timeline!R$8*Inputs!$C$32</f>
        <v/>
      </c>
      <c r="S45" s="39">
        <f>IF(S$4-Inputs!$C$33&gt;=1,INDEX($E$34:$BL$34,1,S$4-Inputs!$C$33),0)*Products!$D$30*Timeline!S$8*Inputs!$C$32</f>
        <v/>
      </c>
      <c r="T45" s="39">
        <f>IF(T$4-Inputs!$C$33&gt;=1,INDEX($E$34:$BL$34,1,T$4-Inputs!$C$33),0)*Products!$D$30*Timeline!T$8*Inputs!$C$32</f>
        <v/>
      </c>
      <c r="U45" s="39">
        <f>IF(U$4-Inputs!$C$33&gt;=1,INDEX($E$34:$BL$34,1,U$4-Inputs!$C$33),0)*Products!$D$30*Timeline!U$8*Inputs!$C$32</f>
        <v/>
      </c>
      <c r="V45" s="39">
        <f>IF(V$4-Inputs!$C$33&gt;=1,INDEX($E$34:$BL$34,1,V$4-Inputs!$C$33),0)*Products!$D$30*Timeline!V$8*Inputs!$C$32</f>
        <v/>
      </c>
      <c r="W45" s="39">
        <f>IF(W$4-Inputs!$C$33&gt;=1,INDEX($E$34:$BL$34,1,W$4-Inputs!$C$33),0)*Products!$D$30*Timeline!W$8*Inputs!$C$32</f>
        <v/>
      </c>
      <c r="X45" s="39">
        <f>IF(X$4-Inputs!$C$33&gt;=1,INDEX($E$34:$BL$34,1,X$4-Inputs!$C$33),0)*Products!$D$30*Timeline!X$8*Inputs!$C$32</f>
        <v/>
      </c>
      <c r="Y45" s="39">
        <f>IF(Y$4-Inputs!$C$33&gt;=1,INDEX($E$34:$BL$34,1,Y$4-Inputs!$C$33),0)*Products!$D$30*Timeline!Y$8*Inputs!$C$32</f>
        <v/>
      </c>
      <c r="Z45" s="39">
        <f>IF(Z$4-Inputs!$C$33&gt;=1,INDEX($E$34:$BL$34,1,Z$4-Inputs!$C$33),0)*Products!$D$30*Timeline!Z$8*Inputs!$C$32</f>
        <v/>
      </c>
      <c r="AA45" s="39">
        <f>IF(AA$4-Inputs!$C$33&gt;=1,INDEX($E$34:$BL$34,1,AA$4-Inputs!$C$33),0)*Products!$D$30*Timeline!AA$8*Inputs!$C$32</f>
        <v/>
      </c>
      <c r="AB45" s="39">
        <f>IF(AB$4-Inputs!$C$33&gt;=1,INDEX($E$34:$BL$34,1,AB$4-Inputs!$C$33),0)*Products!$D$30*Timeline!AB$8*Inputs!$C$32</f>
        <v/>
      </c>
      <c r="AC45" s="39">
        <f>IF(AC$4-Inputs!$C$33&gt;=1,INDEX($E$34:$BL$34,1,AC$4-Inputs!$C$33),0)*Products!$D$30*Timeline!AC$8*Inputs!$C$32</f>
        <v/>
      </c>
      <c r="AD45" s="39">
        <f>IF(AD$4-Inputs!$C$33&gt;=1,INDEX($E$34:$BL$34,1,AD$4-Inputs!$C$33),0)*Products!$D$30*Timeline!AD$8*Inputs!$C$32</f>
        <v/>
      </c>
      <c r="AE45" s="39">
        <f>IF(AE$4-Inputs!$C$33&gt;=1,INDEX($E$34:$BL$34,1,AE$4-Inputs!$C$33),0)*Products!$D$30*Timeline!AE$8*Inputs!$C$32</f>
        <v/>
      </c>
      <c r="AF45" s="39">
        <f>IF(AF$4-Inputs!$C$33&gt;=1,INDEX($E$34:$BL$34,1,AF$4-Inputs!$C$33),0)*Products!$D$30*Timeline!AF$8*Inputs!$C$32</f>
        <v/>
      </c>
      <c r="AG45" s="39">
        <f>IF(AG$4-Inputs!$C$33&gt;=1,INDEX($E$34:$BL$34,1,AG$4-Inputs!$C$33),0)*Products!$D$30*Timeline!AG$8*Inputs!$C$32</f>
        <v/>
      </c>
      <c r="AH45" s="39">
        <f>IF(AH$4-Inputs!$C$33&gt;=1,INDEX($E$34:$BL$34,1,AH$4-Inputs!$C$33),0)*Products!$D$30*Timeline!AH$8*Inputs!$C$32</f>
        <v/>
      </c>
      <c r="AI45" s="39">
        <f>IF(AI$4-Inputs!$C$33&gt;=1,INDEX($E$34:$BL$34,1,AI$4-Inputs!$C$33),0)*Products!$D$30*Timeline!AI$8*Inputs!$C$32</f>
        <v/>
      </c>
      <c r="AJ45" s="39">
        <f>IF(AJ$4-Inputs!$C$33&gt;=1,INDEX($E$34:$BL$34,1,AJ$4-Inputs!$C$33),0)*Products!$D$30*Timeline!AJ$8*Inputs!$C$32</f>
        <v/>
      </c>
      <c r="AK45" s="39">
        <f>IF(AK$4-Inputs!$C$33&gt;=1,INDEX($E$34:$BL$34,1,AK$4-Inputs!$C$33),0)*Products!$D$30*Timeline!AK$8*Inputs!$C$32</f>
        <v/>
      </c>
      <c r="AL45" s="39">
        <f>IF(AL$4-Inputs!$C$33&gt;=1,INDEX($E$34:$BL$34,1,AL$4-Inputs!$C$33),0)*Products!$D$30*Timeline!AL$8*Inputs!$C$32</f>
        <v/>
      </c>
      <c r="AM45" s="39">
        <f>IF(AM$4-Inputs!$C$33&gt;=1,INDEX($E$34:$BL$34,1,AM$4-Inputs!$C$33),0)*Products!$D$30*Timeline!AM$8*Inputs!$C$32</f>
        <v/>
      </c>
      <c r="AN45" s="39">
        <f>IF(AN$4-Inputs!$C$33&gt;=1,INDEX($E$34:$BL$34,1,AN$4-Inputs!$C$33),0)*Products!$D$30*Timeline!AN$8*Inputs!$C$32</f>
        <v/>
      </c>
      <c r="AO45" s="39">
        <f>IF(AO$4-Inputs!$C$33&gt;=1,INDEX($E$34:$BL$34,1,AO$4-Inputs!$C$33),0)*Products!$D$30*Timeline!AO$8*Inputs!$C$32</f>
        <v/>
      </c>
      <c r="AP45" s="39">
        <f>IF(AP$4-Inputs!$C$33&gt;=1,INDEX($E$34:$BL$34,1,AP$4-Inputs!$C$33),0)*Products!$D$30*Timeline!AP$8*Inputs!$C$32</f>
        <v/>
      </c>
      <c r="AQ45" s="39">
        <f>IF(AQ$4-Inputs!$C$33&gt;=1,INDEX($E$34:$BL$34,1,AQ$4-Inputs!$C$33),0)*Products!$D$30*Timeline!AQ$8*Inputs!$C$32</f>
        <v/>
      </c>
      <c r="AR45" s="39">
        <f>IF(AR$4-Inputs!$C$33&gt;=1,INDEX($E$34:$BL$34,1,AR$4-Inputs!$C$33),0)*Products!$D$30*Timeline!AR$8*Inputs!$C$32</f>
        <v/>
      </c>
      <c r="AS45" s="39">
        <f>IF(AS$4-Inputs!$C$33&gt;=1,INDEX($E$34:$BL$34,1,AS$4-Inputs!$C$33),0)*Products!$D$30*Timeline!AS$8*Inputs!$C$32</f>
        <v/>
      </c>
      <c r="AT45" s="39">
        <f>IF(AT$4-Inputs!$C$33&gt;=1,INDEX($E$34:$BL$34,1,AT$4-Inputs!$C$33),0)*Products!$D$30*Timeline!AT$8*Inputs!$C$32</f>
        <v/>
      </c>
      <c r="AU45" s="39">
        <f>IF(AU$4-Inputs!$C$33&gt;=1,INDEX($E$34:$BL$34,1,AU$4-Inputs!$C$33),0)*Products!$D$30*Timeline!AU$8*Inputs!$C$32</f>
        <v/>
      </c>
      <c r="AV45" s="39">
        <f>IF(AV$4-Inputs!$C$33&gt;=1,INDEX($E$34:$BL$34,1,AV$4-Inputs!$C$33),0)*Products!$D$30*Timeline!AV$8*Inputs!$C$32</f>
        <v/>
      </c>
      <c r="AW45" s="39">
        <f>IF(AW$4-Inputs!$C$33&gt;=1,INDEX($E$34:$BL$34,1,AW$4-Inputs!$C$33),0)*Products!$D$30*Timeline!AW$8*Inputs!$C$32</f>
        <v/>
      </c>
      <c r="AX45" s="39">
        <f>IF(AX$4-Inputs!$C$33&gt;=1,INDEX($E$34:$BL$34,1,AX$4-Inputs!$C$33),0)*Products!$D$30*Timeline!AX$8*Inputs!$C$32</f>
        <v/>
      </c>
      <c r="AY45" s="39">
        <f>IF(AY$4-Inputs!$C$33&gt;=1,INDEX($E$34:$BL$34,1,AY$4-Inputs!$C$33),0)*Products!$D$30*Timeline!AY$8*Inputs!$C$32</f>
        <v/>
      </c>
      <c r="AZ45" s="39">
        <f>IF(AZ$4-Inputs!$C$33&gt;=1,INDEX($E$34:$BL$34,1,AZ$4-Inputs!$C$33),0)*Products!$D$30*Timeline!AZ$8*Inputs!$C$32</f>
        <v/>
      </c>
      <c r="BA45" s="39">
        <f>IF(BA$4-Inputs!$C$33&gt;=1,INDEX($E$34:$BL$34,1,BA$4-Inputs!$C$33),0)*Products!$D$30*Timeline!BA$8*Inputs!$C$32</f>
        <v/>
      </c>
      <c r="BB45" s="39">
        <f>IF(BB$4-Inputs!$C$33&gt;=1,INDEX($E$34:$BL$34,1,BB$4-Inputs!$C$33),0)*Products!$D$30*Timeline!BB$8*Inputs!$C$32</f>
        <v/>
      </c>
      <c r="BC45" s="39">
        <f>IF(BC$4-Inputs!$C$33&gt;=1,INDEX($E$34:$BL$34,1,BC$4-Inputs!$C$33),0)*Products!$D$30*Timeline!BC$8*Inputs!$C$32</f>
        <v/>
      </c>
      <c r="BD45" s="39">
        <f>IF(BD$4-Inputs!$C$33&gt;=1,INDEX($E$34:$BL$34,1,BD$4-Inputs!$C$33),0)*Products!$D$30*Timeline!BD$8*Inputs!$C$32</f>
        <v/>
      </c>
      <c r="BE45" s="39">
        <f>IF(BE$4-Inputs!$C$33&gt;=1,INDEX($E$34:$BL$34,1,BE$4-Inputs!$C$33),0)*Products!$D$30*Timeline!BE$8*Inputs!$C$32</f>
        <v/>
      </c>
      <c r="BF45" s="39">
        <f>IF(BF$4-Inputs!$C$33&gt;=1,INDEX($E$34:$BL$34,1,BF$4-Inputs!$C$33),0)*Products!$D$30*Timeline!BF$8*Inputs!$C$32</f>
        <v/>
      </c>
      <c r="BG45" s="39">
        <f>IF(BG$4-Inputs!$C$33&gt;=1,INDEX($E$34:$BL$34,1,BG$4-Inputs!$C$33),0)*Products!$D$30*Timeline!BG$8*Inputs!$C$32</f>
        <v/>
      </c>
      <c r="BH45" s="39">
        <f>IF(BH$4-Inputs!$C$33&gt;=1,INDEX($E$34:$BL$34,1,BH$4-Inputs!$C$33),0)*Products!$D$30*Timeline!BH$8*Inputs!$C$32</f>
        <v/>
      </c>
      <c r="BI45" s="39">
        <f>IF(BI$4-Inputs!$C$33&gt;=1,INDEX($E$34:$BL$34,1,BI$4-Inputs!$C$33),0)*Products!$D$30*Timeline!BI$8*Inputs!$C$32</f>
        <v/>
      </c>
      <c r="BJ45" s="39">
        <f>IF(BJ$4-Inputs!$C$33&gt;=1,INDEX($E$34:$BL$34,1,BJ$4-Inputs!$C$33),0)*Products!$D$30*Timeline!BJ$8*Inputs!$C$32</f>
        <v/>
      </c>
      <c r="BK45" s="39">
        <f>IF(BK$4-Inputs!$C$33&gt;=1,INDEX($E$34:$BL$34,1,BK$4-Inputs!$C$33),0)*Products!$D$30*Timeline!BK$8*Inputs!$C$32</f>
        <v/>
      </c>
      <c r="BL45" s="39">
        <f>IF(BL$4-Inputs!$C$33&gt;=1,INDEX($E$34:$BL$34,1,BL$4-Inputs!$C$33),0)*Products!$D$30*Timeline!BL$8*Inputs!$C$32</f>
        <v/>
      </c>
    </row>
    <row r="46">
      <c r="A46" s="55" t="inlineStr">
        <is>
          <t>Active (paying, in-tenor) accounts</t>
        </is>
      </c>
      <c r="B46" s="26" t="inlineStr">
        <is>
          <t>accounts</t>
        </is>
      </c>
      <c r="C46" s="58">
        <f>BL46</f>
        <v/>
      </c>
      <c r="E46" s="17">
        <f>Cohort_T2!E$72</f>
        <v/>
      </c>
      <c r="F46" s="17">
        <f>Cohort_T2!F$72</f>
        <v/>
      </c>
      <c r="G46" s="17">
        <f>Cohort_T2!G$72</f>
        <v/>
      </c>
      <c r="H46" s="17">
        <f>Cohort_T2!H$72</f>
        <v/>
      </c>
      <c r="I46" s="17">
        <f>Cohort_T2!I$72</f>
        <v/>
      </c>
      <c r="J46" s="17">
        <f>Cohort_T2!J$72</f>
        <v/>
      </c>
      <c r="K46" s="17">
        <f>Cohort_T2!K$72</f>
        <v/>
      </c>
      <c r="L46" s="17">
        <f>Cohort_T2!L$72</f>
        <v/>
      </c>
      <c r="M46" s="17">
        <f>Cohort_T2!M$72</f>
        <v/>
      </c>
      <c r="N46" s="17">
        <f>Cohort_T2!N$72</f>
        <v/>
      </c>
      <c r="O46" s="17">
        <f>Cohort_T2!O$72</f>
        <v/>
      </c>
      <c r="P46" s="17">
        <f>Cohort_T2!P$72</f>
        <v/>
      </c>
      <c r="Q46" s="17">
        <f>Cohort_T2!Q$72</f>
        <v/>
      </c>
      <c r="R46" s="17">
        <f>Cohort_T2!R$72</f>
        <v/>
      </c>
      <c r="S46" s="17">
        <f>Cohort_T2!S$72</f>
        <v/>
      </c>
      <c r="T46" s="17">
        <f>Cohort_T2!T$72</f>
        <v/>
      </c>
      <c r="U46" s="17">
        <f>Cohort_T2!U$72</f>
        <v/>
      </c>
      <c r="V46" s="17">
        <f>Cohort_T2!V$72</f>
        <v/>
      </c>
      <c r="W46" s="17">
        <f>Cohort_T2!W$72</f>
        <v/>
      </c>
      <c r="X46" s="17">
        <f>Cohort_T2!X$72</f>
        <v/>
      </c>
      <c r="Y46" s="17">
        <f>Cohort_T2!Y$72</f>
        <v/>
      </c>
      <c r="Z46" s="17">
        <f>Cohort_T2!Z$72</f>
        <v/>
      </c>
      <c r="AA46" s="17">
        <f>Cohort_T2!AA$72</f>
        <v/>
      </c>
      <c r="AB46" s="17">
        <f>Cohort_T2!AB$72</f>
        <v/>
      </c>
      <c r="AC46" s="17">
        <f>Cohort_T2!AC$72</f>
        <v/>
      </c>
      <c r="AD46" s="17">
        <f>Cohort_T2!AD$72</f>
        <v/>
      </c>
      <c r="AE46" s="17">
        <f>Cohort_T2!AE$72</f>
        <v/>
      </c>
      <c r="AF46" s="17">
        <f>Cohort_T2!AF$72</f>
        <v/>
      </c>
      <c r="AG46" s="17">
        <f>Cohort_T2!AG$72</f>
        <v/>
      </c>
      <c r="AH46" s="17">
        <f>Cohort_T2!AH$72</f>
        <v/>
      </c>
      <c r="AI46" s="17">
        <f>Cohort_T2!AI$72</f>
        <v/>
      </c>
      <c r="AJ46" s="17">
        <f>Cohort_T2!AJ$72</f>
        <v/>
      </c>
      <c r="AK46" s="17">
        <f>Cohort_T2!AK$72</f>
        <v/>
      </c>
      <c r="AL46" s="17">
        <f>Cohort_T2!AL$72</f>
        <v/>
      </c>
      <c r="AM46" s="17">
        <f>Cohort_T2!AM$72</f>
        <v/>
      </c>
      <c r="AN46" s="17">
        <f>Cohort_T2!AN$72</f>
        <v/>
      </c>
      <c r="AO46" s="17">
        <f>Cohort_T2!AO$72</f>
        <v/>
      </c>
      <c r="AP46" s="17">
        <f>Cohort_T2!AP$72</f>
        <v/>
      </c>
      <c r="AQ46" s="17">
        <f>Cohort_T2!AQ$72</f>
        <v/>
      </c>
      <c r="AR46" s="17">
        <f>Cohort_T2!AR$72</f>
        <v/>
      </c>
      <c r="AS46" s="17">
        <f>Cohort_T2!AS$72</f>
        <v/>
      </c>
      <c r="AT46" s="17">
        <f>Cohort_T2!AT$72</f>
        <v/>
      </c>
      <c r="AU46" s="17">
        <f>Cohort_T2!AU$72</f>
        <v/>
      </c>
      <c r="AV46" s="17">
        <f>Cohort_T2!AV$72</f>
        <v/>
      </c>
      <c r="AW46" s="17">
        <f>Cohort_T2!AW$72</f>
        <v/>
      </c>
      <c r="AX46" s="17">
        <f>Cohort_T2!AX$72</f>
        <v/>
      </c>
      <c r="AY46" s="17">
        <f>Cohort_T2!AY$72</f>
        <v/>
      </c>
      <c r="AZ46" s="17">
        <f>Cohort_T2!AZ$72</f>
        <v/>
      </c>
      <c r="BA46" s="17">
        <f>Cohort_T2!BA$72</f>
        <v/>
      </c>
      <c r="BB46" s="17">
        <f>Cohort_T2!BB$72</f>
        <v/>
      </c>
      <c r="BC46" s="17">
        <f>Cohort_T2!BC$72</f>
        <v/>
      </c>
      <c r="BD46" s="17">
        <f>Cohort_T2!BD$72</f>
        <v/>
      </c>
      <c r="BE46" s="17">
        <f>Cohort_T2!BE$72</f>
        <v/>
      </c>
      <c r="BF46" s="17">
        <f>Cohort_T2!BF$72</f>
        <v/>
      </c>
      <c r="BG46" s="17">
        <f>Cohort_T2!BG$72</f>
        <v/>
      </c>
      <c r="BH46" s="17">
        <f>Cohort_T2!BH$72</f>
        <v/>
      </c>
      <c r="BI46" s="17">
        <f>Cohort_T2!BI$72</f>
        <v/>
      </c>
      <c r="BJ46" s="17">
        <f>Cohort_T2!BJ$72</f>
        <v/>
      </c>
      <c r="BK46" s="17">
        <f>Cohort_T2!BK$72</f>
        <v/>
      </c>
      <c r="BL46" s="17">
        <f>Cohort_T2!BL$72</f>
        <v/>
      </c>
    </row>
    <row r="47">
      <c r="A47" s="55" t="inlineStr">
        <is>
          <t>Accounts reaching end of tenor (unlocked)</t>
        </is>
      </c>
      <c r="B47" s="26" t="inlineStr">
        <is>
          <t>accounts</t>
        </is>
      </c>
      <c r="C47" s="58">
        <f>SUM(E47:BL47)</f>
        <v/>
      </c>
      <c r="E47" s="39">
        <f>IF(E$4&gt;Products!$D$16,INDEX($E$34:$BL$34,1,E$4-Products!$D$16)*INDEX(Curves!$N$8:$N$68,Products!$D$16+1),0)</f>
        <v/>
      </c>
      <c r="F47" s="39">
        <f>IF(F$4&gt;Products!$D$16,INDEX($E$34:$BL$34,1,F$4-Products!$D$16)*INDEX(Curves!$N$8:$N$68,Products!$D$16+1),0)</f>
        <v/>
      </c>
      <c r="G47" s="39">
        <f>IF(G$4&gt;Products!$D$16,INDEX($E$34:$BL$34,1,G$4-Products!$D$16)*INDEX(Curves!$N$8:$N$68,Products!$D$16+1),0)</f>
        <v/>
      </c>
      <c r="H47" s="39">
        <f>IF(H$4&gt;Products!$D$16,INDEX($E$34:$BL$34,1,H$4-Products!$D$16)*INDEX(Curves!$N$8:$N$68,Products!$D$16+1),0)</f>
        <v/>
      </c>
      <c r="I47" s="39">
        <f>IF(I$4&gt;Products!$D$16,INDEX($E$34:$BL$34,1,I$4-Products!$D$16)*INDEX(Curves!$N$8:$N$68,Products!$D$16+1),0)</f>
        <v/>
      </c>
      <c r="J47" s="39">
        <f>IF(J$4&gt;Products!$D$16,INDEX($E$34:$BL$34,1,J$4-Products!$D$16)*INDEX(Curves!$N$8:$N$68,Products!$D$16+1),0)</f>
        <v/>
      </c>
      <c r="K47" s="39">
        <f>IF(K$4&gt;Products!$D$16,INDEX($E$34:$BL$34,1,K$4-Products!$D$16)*INDEX(Curves!$N$8:$N$68,Products!$D$16+1),0)</f>
        <v/>
      </c>
      <c r="L47" s="39">
        <f>IF(L$4&gt;Products!$D$16,INDEX($E$34:$BL$34,1,L$4-Products!$D$16)*INDEX(Curves!$N$8:$N$68,Products!$D$16+1),0)</f>
        <v/>
      </c>
      <c r="M47" s="39">
        <f>IF(M$4&gt;Products!$D$16,INDEX($E$34:$BL$34,1,M$4-Products!$D$16)*INDEX(Curves!$N$8:$N$68,Products!$D$16+1),0)</f>
        <v/>
      </c>
      <c r="N47" s="39">
        <f>IF(N$4&gt;Products!$D$16,INDEX($E$34:$BL$34,1,N$4-Products!$D$16)*INDEX(Curves!$N$8:$N$68,Products!$D$16+1),0)</f>
        <v/>
      </c>
      <c r="O47" s="39">
        <f>IF(O$4&gt;Products!$D$16,INDEX($E$34:$BL$34,1,O$4-Products!$D$16)*INDEX(Curves!$N$8:$N$68,Products!$D$16+1),0)</f>
        <v/>
      </c>
      <c r="P47" s="39">
        <f>IF(P$4&gt;Products!$D$16,INDEX($E$34:$BL$34,1,P$4-Products!$D$16)*INDEX(Curves!$N$8:$N$68,Products!$D$16+1),0)</f>
        <v/>
      </c>
      <c r="Q47" s="39">
        <f>IF(Q$4&gt;Products!$D$16,INDEX($E$34:$BL$34,1,Q$4-Products!$D$16)*INDEX(Curves!$N$8:$N$68,Products!$D$16+1),0)</f>
        <v/>
      </c>
      <c r="R47" s="39">
        <f>IF(R$4&gt;Products!$D$16,INDEX($E$34:$BL$34,1,R$4-Products!$D$16)*INDEX(Curves!$N$8:$N$68,Products!$D$16+1),0)</f>
        <v/>
      </c>
      <c r="S47" s="39">
        <f>IF(S$4&gt;Products!$D$16,INDEX($E$34:$BL$34,1,S$4-Products!$D$16)*INDEX(Curves!$N$8:$N$68,Products!$D$16+1),0)</f>
        <v/>
      </c>
      <c r="T47" s="39">
        <f>IF(T$4&gt;Products!$D$16,INDEX($E$34:$BL$34,1,T$4-Products!$D$16)*INDEX(Curves!$N$8:$N$68,Products!$D$16+1),0)</f>
        <v/>
      </c>
      <c r="U47" s="39">
        <f>IF(U$4&gt;Products!$D$16,INDEX($E$34:$BL$34,1,U$4-Products!$D$16)*INDEX(Curves!$N$8:$N$68,Products!$D$16+1),0)</f>
        <v/>
      </c>
      <c r="V47" s="39">
        <f>IF(V$4&gt;Products!$D$16,INDEX($E$34:$BL$34,1,V$4-Products!$D$16)*INDEX(Curves!$N$8:$N$68,Products!$D$16+1),0)</f>
        <v/>
      </c>
      <c r="W47" s="39">
        <f>IF(W$4&gt;Products!$D$16,INDEX($E$34:$BL$34,1,W$4-Products!$D$16)*INDEX(Curves!$N$8:$N$68,Products!$D$16+1),0)</f>
        <v/>
      </c>
      <c r="X47" s="39">
        <f>IF(X$4&gt;Products!$D$16,INDEX($E$34:$BL$34,1,X$4-Products!$D$16)*INDEX(Curves!$N$8:$N$68,Products!$D$16+1),0)</f>
        <v/>
      </c>
      <c r="Y47" s="39">
        <f>IF(Y$4&gt;Products!$D$16,INDEX($E$34:$BL$34,1,Y$4-Products!$D$16)*INDEX(Curves!$N$8:$N$68,Products!$D$16+1),0)</f>
        <v/>
      </c>
      <c r="Z47" s="39">
        <f>IF(Z$4&gt;Products!$D$16,INDEX($E$34:$BL$34,1,Z$4-Products!$D$16)*INDEX(Curves!$N$8:$N$68,Products!$D$16+1),0)</f>
        <v/>
      </c>
      <c r="AA47" s="39">
        <f>IF(AA$4&gt;Products!$D$16,INDEX($E$34:$BL$34,1,AA$4-Products!$D$16)*INDEX(Curves!$N$8:$N$68,Products!$D$16+1),0)</f>
        <v/>
      </c>
      <c r="AB47" s="39">
        <f>IF(AB$4&gt;Products!$D$16,INDEX($E$34:$BL$34,1,AB$4-Products!$D$16)*INDEX(Curves!$N$8:$N$68,Products!$D$16+1),0)</f>
        <v/>
      </c>
      <c r="AC47" s="39">
        <f>IF(AC$4&gt;Products!$D$16,INDEX($E$34:$BL$34,1,AC$4-Products!$D$16)*INDEX(Curves!$N$8:$N$68,Products!$D$16+1),0)</f>
        <v/>
      </c>
      <c r="AD47" s="39">
        <f>IF(AD$4&gt;Products!$D$16,INDEX($E$34:$BL$34,1,AD$4-Products!$D$16)*INDEX(Curves!$N$8:$N$68,Products!$D$16+1),0)</f>
        <v/>
      </c>
      <c r="AE47" s="39">
        <f>IF(AE$4&gt;Products!$D$16,INDEX($E$34:$BL$34,1,AE$4-Products!$D$16)*INDEX(Curves!$N$8:$N$68,Products!$D$16+1),0)</f>
        <v/>
      </c>
      <c r="AF47" s="39">
        <f>IF(AF$4&gt;Products!$D$16,INDEX($E$34:$BL$34,1,AF$4-Products!$D$16)*INDEX(Curves!$N$8:$N$68,Products!$D$16+1),0)</f>
        <v/>
      </c>
      <c r="AG47" s="39">
        <f>IF(AG$4&gt;Products!$D$16,INDEX($E$34:$BL$34,1,AG$4-Products!$D$16)*INDEX(Curves!$N$8:$N$68,Products!$D$16+1),0)</f>
        <v/>
      </c>
      <c r="AH47" s="39">
        <f>IF(AH$4&gt;Products!$D$16,INDEX($E$34:$BL$34,1,AH$4-Products!$D$16)*INDEX(Curves!$N$8:$N$68,Products!$D$16+1),0)</f>
        <v/>
      </c>
      <c r="AI47" s="39">
        <f>IF(AI$4&gt;Products!$D$16,INDEX($E$34:$BL$34,1,AI$4-Products!$D$16)*INDEX(Curves!$N$8:$N$68,Products!$D$16+1),0)</f>
        <v/>
      </c>
      <c r="AJ47" s="39">
        <f>IF(AJ$4&gt;Products!$D$16,INDEX($E$34:$BL$34,1,AJ$4-Products!$D$16)*INDEX(Curves!$N$8:$N$68,Products!$D$16+1),0)</f>
        <v/>
      </c>
      <c r="AK47" s="39">
        <f>IF(AK$4&gt;Products!$D$16,INDEX($E$34:$BL$34,1,AK$4-Products!$D$16)*INDEX(Curves!$N$8:$N$68,Products!$D$16+1),0)</f>
        <v/>
      </c>
      <c r="AL47" s="39">
        <f>IF(AL$4&gt;Products!$D$16,INDEX($E$34:$BL$34,1,AL$4-Products!$D$16)*INDEX(Curves!$N$8:$N$68,Products!$D$16+1),0)</f>
        <v/>
      </c>
      <c r="AM47" s="39">
        <f>IF(AM$4&gt;Products!$D$16,INDEX($E$34:$BL$34,1,AM$4-Products!$D$16)*INDEX(Curves!$N$8:$N$68,Products!$D$16+1),0)</f>
        <v/>
      </c>
      <c r="AN47" s="39">
        <f>IF(AN$4&gt;Products!$D$16,INDEX($E$34:$BL$34,1,AN$4-Products!$D$16)*INDEX(Curves!$N$8:$N$68,Products!$D$16+1),0)</f>
        <v/>
      </c>
      <c r="AO47" s="39">
        <f>IF(AO$4&gt;Products!$D$16,INDEX($E$34:$BL$34,1,AO$4-Products!$D$16)*INDEX(Curves!$N$8:$N$68,Products!$D$16+1),0)</f>
        <v/>
      </c>
      <c r="AP47" s="39">
        <f>IF(AP$4&gt;Products!$D$16,INDEX($E$34:$BL$34,1,AP$4-Products!$D$16)*INDEX(Curves!$N$8:$N$68,Products!$D$16+1),0)</f>
        <v/>
      </c>
      <c r="AQ47" s="39">
        <f>IF(AQ$4&gt;Products!$D$16,INDEX($E$34:$BL$34,1,AQ$4-Products!$D$16)*INDEX(Curves!$N$8:$N$68,Products!$D$16+1),0)</f>
        <v/>
      </c>
      <c r="AR47" s="39">
        <f>IF(AR$4&gt;Products!$D$16,INDEX($E$34:$BL$34,1,AR$4-Products!$D$16)*INDEX(Curves!$N$8:$N$68,Products!$D$16+1),0)</f>
        <v/>
      </c>
      <c r="AS47" s="39">
        <f>IF(AS$4&gt;Products!$D$16,INDEX($E$34:$BL$34,1,AS$4-Products!$D$16)*INDEX(Curves!$N$8:$N$68,Products!$D$16+1),0)</f>
        <v/>
      </c>
      <c r="AT47" s="39">
        <f>IF(AT$4&gt;Products!$D$16,INDEX($E$34:$BL$34,1,AT$4-Products!$D$16)*INDEX(Curves!$N$8:$N$68,Products!$D$16+1),0)</f>
        <v/>
      </c>
      <c r="AU47" s="39">
        <f>IF(AU$4&gt;Products!$D$16,INDEX($E$34:$BL$34,1,AU$4-Products!$D$16)*INDEX(Curves!$N$8:$N$68,Products!$D$16+1),0)</f>
        <v/>
      </c>
      <c r="AV47" s="39">
        <f>IF(AV$4&gt;Products!$D$16,INDEX($E$34:$BL$34,1,AV$4-Products!$D$16)*INDEX(Curves!$N$8:$N$68,Products!$D$16+1),0)</f>
        <v/>
      </c>
      <c r="AW47" s="39">
        <f>IF(AW$4&gt;Products!$D$16,INDEX($E$34:$BL$34,1,AW$4-Products!$D$16)*INDEX(Curves!$N$8:$N$68,Products!$D$16+1),0)</f>
        <v/>
      </c>
      <c r="AX47" s="39">
        <f>IF(AX$4&gt;Products!$D$16,INDEX($E$34:$BL$34,1,AX$4-Products!$D$16)*INDEX(Curves!$N$8:$N$68,Products!$D$16+1),0)</f>
        <v/>
      </c>
      <c r="AY47" s="39">
        <f>IF(AY$4&gt;Products!$D$16,INDEX($E$34:$BL$34,1,AY$4-Products!$D$16)*INDEX(Curves!$N$8:$N$68,Products!$D$16+1),0)</f>
        <v/>
      </c>
      <c r="AZ47" s="39">
        <f>IF(AZ$4&gt;Products!$D$16,INDEX($E$34:$BL$34,1,AZ$4-Products!$D$16)*INDEX(Curves!$N$8:$N$68,Products!$D$16+1),0)</f>
        <v/>
      </c>
      <c r="BA47" s="39">
        <f>IF(BA$4&gt;Products!$D$16,INDEX($E$34:$BL$34,1,BA$4-Products!$D$16)*INDEX(Curves!$N$8:$N$68,Products!$D$16+1),0)</f>
        <v/>
      </c>
      <c r="BB47" s="39">
        <f>IF(BB$4&gt;Products!$D$16,INDEX($E$34:$BL$34,1,BB$4-Products!$D$16)*INDEX(Curves!$N$8:$N$68,Products!$D$16+1),0)</f>
        <v/>
      </c>
      <c r="BC47" s="39">
        <f>IF(BC$4&gt;Products!$D$16,INDEX($E$34:$BL$34,1,BC$4-Products!$D$16)*INDEX(Curves!$N$8:$N$68,Products!$D$16+1),0)</f>
        <v/>
      </c>
      <c r="BD47" s="39">
        <f>IF(BD$4&gt;Products!$D$16,INDEX($E$34:$BL$34,1,BD$4-Products!$D$16)*INDEX(Curves!$N$8:$N$68,Products!$D$16+1),0)</f>
        <v/>
      </c>
      <c r="BE47" s="39">
        <f>IF(BE$4&gt;Products!$D$16,INDEX($E$34:$BL$34,1,BE$4-Products!$D$16)*INDEX(Curves!$N$8:$N$68,Products!$D$16+1),0)</f>
        <v/>
      </c>
      <c r="BF47" s="39">
        <f>IF(BF$4&gt;Products!$D$16,INDEX($E$34:$BL$34,1,BF$4-Products!$D$16)*INDEX(Curves!$N$8:$N$68,Products!$D$16+1),0)</f>
        <v/>
      </c>
      <c r="BG47" s="39">
        <f>IF(BG$4&gt;Products!$D$16,INDEX($E$34:$BL$34,1,BG$4-Products!$D$16)*INDEX(Curves!$N$8:$N$68,Products!$D$16+1),0)</f>
        <v/>
      </c>
      <c r="BH47" s="39">
        <f>IF(BH$4&gt;Products!$D$16,INDEX($E$34:$BL$34,1,BH$4-Products!$D$16)*INDEX(Curves!$N$8:$N$68,Products!$D$16+1),0)</f>
        <v/>
      </c>
      <c r="BI47" s="39">
        <f>IF(BI$4&gt;Products!$D$16,INDEX($E$34:$BL$34,1,BI$4-Products!$D$16)*INDEX(Curves!$N$8:$N$68,Products!$D$16+1),0)</f>
        <v/>
      </c>
      <c r="BJ47" s="39">
        <f>IF(BJ$4&gt;Products!$D$16,INDEX($E$34:$BL$34,1,BJ$4-Products!$D$16)*INDEX(Curves!$N$8:$N$68,Products!$D$16+1),0)</f>
        <v/>
      </c>
      <c r="BK47" s="39">
        <f>IF(BK$4&gt;Products!$D$16,INDEX($E$34:$BL$34,1,BK$4-Products!$D$16)*INDEX(Curves!$N$8:$N$68,Products!$D$16+1),0)</f>
        <v/>
      </c>
      <c r="BL47" s="39">
        <f>IF(BL$4&gt;Products!$D$16,INDEX($E$34:$BL$34,1,BL$4-Products!$D$16)*INDEX(Curves!$N$8:$N$68,Products!$D$16+1),0)</f>
        <v/>
      </c>
    </row>
    <row r="48">
      <c r="A48" s="55" t="inlineStr">
        <is>
          <t>Receivables at risk (carrying amount, accounts that stopped paying)</t>
        </is>
      </c>
      <c r="B48" s="26" t="inlineStr">
        <is>
          <t>LCY</t>
        </is>
      </c>
      <c r="C48" s="58">
        <f>BL48</f>
        <v/>
      </c>
      <c r="E48" s="17">
        <f>Cohort_T2!E$135</f>
        <v/>
      </c>
      <c r="F48" s="17">
        <f>Cohort_T2!F$135</f>
        <v/>
      </c>
      <c r="G48" s="17">
        <f>Cohort_T2!G$135</f>
        <v/>
      </c>
      <c r="H48" s="17">
        <f>Cohort_T2!H$135</f>
        <v/>
      </c>
      <c r="I48" s="17">
        <f>Cohort_T2!I$135</f>
        <v/>
      </c>
      <c r="J48" s="17">
        <f>Cohort_T2!J$135</f>
        <v/>
      </c>
      <c r="K48" s="17">
        <f>Cohort_T2!K$135</f>
        <v/>
      </c>
      <c r="L48" s="17">
        <f>Cohort_T2!L$135</f>
        <v/>
      </c>
      <c r="M48" s="17">
        <f>Cohort_T2!M$135</f>
        <v/>
      </c>
      <c r="N48" s="17">
        <f>Cohort_T2!N$135</f>
        <v/>
      </c>
      <c r="O48" s="17">
        <f>Cohort_T2!O$135</f>
        <v/>
      </c>
      <c r="P48" s="17">
        <f>Cohort_T2!P$135</f>
        <v/>
      </c>
      <c r="Q48" s="17">
        <f>Cohort_T2!Q$135</f>
        <v/>
      </c>
      <c r="R48" s="17">
        <f>Cohort_T2!R$135</f>
        <v/>
      </c>
      <c r="S48" s="17">
        <f>Cohort_T2!S$135</f>
        <v/>
      </c>
      <c r="T48" s="17">
        <f>Cohort_T2!T$135</f>
        <v/>
      </c>
      <c r="U48" s="17">
        <f>Cohort_T2!U$135</f>
        <v/>
      </c>
      <c r="V48" s="17">
        <f>Cohort_T2!V$135</f>
        <v/>
      </c>
      <c r="W48" s="17">
        <f>Cohort_T2!W$135</f>
        <v/>
      </c>
      <c r="X48" s="17">
        <f>Cohort_T2!X$135</f>
        <v/>
      </c>
      <c r="Y48" s="17">
        <f>Cohort_T2!Y$135</f>
        <v/>
      </c>
      <c r="Z48" s="17">
        <f>Cohort_T2!Z$135</f>
        <v/>
      </c>
      <c r="AA48" s="17">
        <f>Cohort_T2!AA$135</f>
        <v/>
      </c>
      <c r="AB48" s="17">
        <f>Cohort_T2!AB$135</f>
        <v/>
      </c>
      <c r="AC48" s="17">
        <f>Cohort_T2!AC$135</f>
        <v/>
      </c>
      <c r="AD48" s="17">
        <f>Cohort_T2!AD$135</f>
        <v/>
      </c>
      <c r="AE48" s="17">
        <f>Cohort_T2!AE$135</f>
        <v/>
      </c>
      <c r="AF48" s="17">
        <f>Cohort_T2!AF$135</f>
        <v/>
      </c>
      <c r="AG48" s="17">
        <f>Cohort_T2!AG$135</f>
        <v/>
      </c>
      <c r="AH48" s="17">
        <f>Cohort_T2!AH$135</f>
        <v/>
      </c>
      <c r="AI48" s="17">
        <f>Cohort_T2!AI$135</f>
        <v/>
      </c>
      <c r="AJ48" s="17">
        <f>Cohort_T2!AJ$135</f>
        <v/>
      </c>
      <c r="AK48" s="17">
        <f>Cohort_T2!AK$135</f>
        <v/>
      </c>
      <c r="AL48" s="17">
        <f>Cohort_T2!AL$135</f>
        <v/>
      </c>
      <c r="AM48" s="17">
        <f>Cohort_T2!AM$135</f>
        <v/>
      </c>
      <c r="AN48" s="17">
        <f>Cohort_T2!AN$135</f>
        <v/>
      </c>
      <c r="AO48" s="17">
        <f>Cohort_T2!AO$135</f>
        <v/>
      </c>
      <c r="AP48" s="17">
        <f>Cohort_T2!AP$135</f>
        <v/>
      </c>
      <c r="AQ48" s="17">
        <f>Cohort_T2!AQ$135</f>
        <v/>
      </c>
      <c r="AR48" s="17">
        <f>Cohort_T2!AR$135</f>
        <v/>
      </c>
      <c r="AS48" s="17">
        <f>Cohort_T2!AS$135</f>
        <v/>
      </c>
      <c r="AT48" s="17">
        <f>Cohort_T2!AT$135</f>
        <v/>
      </c>
      <c r="AU48" s="17">
        <f>Cohort_T2!AU$135</f>
        <v/>
      </c>
      <c r="AV48" s="17">
        <f>Cohort_T2!AV$135</f>
        <v/>
      </c>
      <c r="AW48" s="17">
        <f>Cohort_T2!AW$135</f>
        <v/>
      </c>
      <c r="AX48" s="17">
        <f>Cohort_T2!AX$135</f>
        <v/>
      </c>
      <c r="AY48" s="17">
        <f>Cohort_T2!AY$135</f>
        <v/>
      </c>
      <c r="AZ48" s="17">
        <f>Cohort_T2!AZ$135</f>
        <v/>
      </c>
      <c r="BA48" s="17">
        <f>Cohort_T2!BA$135</f>
        <v/>
      </c>
      <c r="BB48" s="17">
        <f>Cohort_T2!BB$135</f>
        <v/>
      </c>
      <c r="BC48" s="17">
        <f>Cohort_T2!BC$135</f>
        <v/>
      </c>
      <c r="BD48" s="17">
        <f>Cohort_T2!BD$135</f>
        <v/>
      </c>
      <c r="BE48" s="17">
        <f>Cohort_T2!BE$135</f>
        <v/>
      </c>
      <c r="BF48" s="17">
        <f>Cohort_T2!BF$135</f>
        <v/>
      </c>
      <c r="BG48" s="17">
        <f>Cohort_T2!BG$135</f>
        <v/>
      </c>
      <c r="BH48" s="17">
        <f>Cohort_T2!BH$135</f>
        <v/>
      </c>
      <c r="BI48" s="17">
        <f>Cohort_T2!BI$135</f>
        <v/>
      </c>
      <c r="BJ48" s="17">
        <f>Cohort_T2!BJ$135</f>
        <v/>
      </c>
      <c r="BK48" s="17">
        <f>Cohort_T2!BK$135</f>
        <v/>
      </c>
      <c r="BL48" s="17">
        <f>Cohort_T2!BL$135</f>
        <v/>
      </c>
    </row>
    <row r="49">
      <c r="A49" s="55" t="inlineStr">
        <is>
          <t>Gross PAYGo receivables (closing)</t>
        </is>
      </c>
      <c r="B49" s="26" t="inlineStr">
        <is>
          <t>LCY</t>
        </is>
      </c>
      <c r="C49" s="58">
        <f>BL49</f>
        <v/>
      </c>
      <c r="E49" s="39">
        <f>D49+E38+E42-E40-E41</f>
        <v/>
      </c>
      <c r="F49" s="39">
        <f>E49+F38+F42-F40-F41</f>
        <v/>
      </c>
      <c r="G49" s="39">
        <f>F49+G38+G42-G40-G41</f>
        <v/>
      </c>
      <c r="H49" s="39">
        <f>G49+H38+H42-H40-H41</f>
        <v/>
      </c>
      <c r="I49" s="39">
        <f>H49+I38+I42-I40-I41</f>
        <v/>
      </c>
      <c r="J49" s="39">
        <f>I49+J38+J42-J40-J41</f>
        <v/>
      </c>
      <c r="K49" s="39">
        <f>J49+K38+K42-K40-K41</f>
        <v/>
      </c>
      <c r="L49" s="39">
        <f>K49+L38+L42-L40-L41</f>
        <v/>
      </c>
      <c r="M49" s="39">
        <f>L49+M38+M42-M40-M41</f>
        <v/>
      </c>
      <c r="N49" s="39">
        <f>M49+N38+N42-N40-N41</f>
        <v/>
      </c>
      <c r="O49" s="39">
        <f>N49+O38+O42-O40-O41</f>
        <v/>
      </c>
      <c r="P49" s="39">
        <f>O49+P38+P42-P40-P41</f>
        <v/>
      </c>
      <c r="Q49" s="39">
        <f>P49+Q38+Q42-Q40-Q41</f>
        <v/>
      </c>
      <c r="R49" s="39">
        <f>Q49+R38+R42-R40-R41</f>
        <v/>
      </c>
      <c r="S49" s="39">
        <f>R49+S38+S42-S40-S41</f>
        <v/>
      </c>
      <c r="T49" s="39">
        <f>S49+T38+T42-T40-T41</f>
        <v/>
      </c>
      <c r="U49" s="39">
        <f>T49+U38+U42-U40-U41</f>
        <v/>
      </c>
      <c r="V49" s="39">
        <f>U49+V38+V42-V40-V41</f>
        <v/>
      </c>
      <c r="W49" s="39">
        <f>V49+W38+W42-W40-W41</f>
        <v/>
      </c>
      <c r="X49" s="39">
        <f>W49+X38+X42-X40-X41</f>
        <v/>
      </c>
      <c r="Y49" s="39">
        <f>X49+Y38+Y42-Y40-Y41</f>
        <v/>
      </c>
      <c r="Z49" s="39">
        <f>Y49+Z38+Z42-Z40-Z41</f>
        <v/>
      </c>
      <c r="AA49" s="39">
        <f>Z49+AA38+AA42-AA40-AA41</f>
        <v/>
      </c>
      <c r="AB49" s="39">
        <f>AA49+AB38+AB42-AB40-AB41</f>
        <v/>
      </c>
      <c r="AC49" s="39">
        <f>AB49+AC38+AC42-AC40-AC41</f>
        <v/>
      </c>
      <c r="AD49" s="39">
        <f>AC49+AD38+AD42-AD40-AD41</f>
        <v/>
      </c>
      <c r="AE49" s="39">
        <f>AD49+AE38+AE42-AE40-AE41</f>
        <v/>
      </c>
      <c r="AF49" s="39">
        <f>AE49+AF38+AF42-AF40-AF41</f>
        <v/>
      </c>
      <c r="AG49" s="39">
        <f>AF49+AG38+AG42-AG40-AG41</f>
        <v/>
      </c>
      <c r="AH49" s="39">
        <f>AG49+AH38+AH42-AH40-AH41</f>
        <v/>
      </c>
      <c r="AI49" s="39">
        <f>AH49+AI38+AI42-AI40-AI41</f>
        <v/>
      </c>
      <c r="AJ49" s="39">
        <f>AI49+AJ38+AJ42-AJ40-AJ41</f>
        <v/>
      </c>
      <c r="AK49" s="39">
        <f>AJ49+AK38+AK42-AK40-AK41</f>
        <v/>
      </c>
      <c r="AL49" s="39">
        <f>AK49+AL38+AL42-AL40-AL41</f>
        <v/>
      </c>
      <c r="AM49" s="39">
        <f>AL49+AM38+AM42-AM40-AM41</f>
        <v/>
      </c>
      <c r="AN49" s="39">
        <f>AM49+AN38+AN42-AN40-AN41</f>
        <v/>
      </c>
      <c r="AO49" s="39">
        <f>AN49+AO38+AO42-AO40-AO41</f>
        <v/>
      </c>
      <c r="AP49" s="39">
        <f>AO49+AP38+AP42-AP40-AP41</f>
        <v/>
      </c>
      <c r="AQ49" s="39">
        <f>AP49+AQ38+AQ42-AQ40-AQ41</f>
        <v/>
      </c>
      <c r="AR49" s="39">
        <f>AQ49+AR38+AR42-AR40-AR41</f>
        <v/>
      </c>
      <c r="AS49" s="39">
        <f>AR49+AS38+AS42-AS40-AS41</f>
        <v/>
      </c>
      <c r="AT49" s="39">
        <f>AS49+AT38+AT42-AT40-AT41</f>
        <v/>
      </c>
      <c r="AU49" s="39">
        <f>AT49+AU38+AU42-AU40-AU41</f>
        <v/>
      </c>
      <c r="AV49" s="39">
        <f>AU49+AV38+AV42-AV40-AV41</f>
        <v/>
      </c>
      <c r="AW49" s="39">
        <f>AV49+AW38+AW42-AW40-AW41</f>
        <v/>
      </c>
      <c r="AX49" s="39">
        <f>AW49+AX38+AX42-AX40-AX41</f>
        <v/>
      </c>
      <c r="AY49" s="39">
        <f>AX49+AY38+AY42-AY40-AY41</f>
        <v/>
      </c>
      <c r="AZ49" s="39">
        <f>AY49+AZ38+AZ42-AZ40-AZ41</f>
        <v/>
      </c>
      <c r="BA49" s="39">
        <f>AZ49+BA38+BA42-BA40-BA41</f>
        <v/>
      </c>
      <c r="BB49" s="39">
        <f>BA49+BB38+BB42-BB40-BB41</f>
        <v/>
      </c>
      <c r="BC49" s="39">
        <f>BB49+BC38+BC42-BC40-BC41</f>
        <v/>
      </c>
      <c r="BD49" s="39">
        <f>BC49+BD38+BD42-BD40-BD41</f>
        <v/>
      </c>
      <c r="BE49" s="39">
        <f>BD49+BE38+BE42-BE40-BE41</f>
        <v/>
      </c>
      <c r="BF49" s="39">
        <f>BE49+BF38+BF42-BF40-BF41</f>
        <v/>
      </c>
      <c r="BG49" s="39">
        <f>BF49+BG38+BG42-BG40-BG41</f>
        <v/>
      </c>
      <c r="BH49" s="39">
        <f>BG49+BH38+BH42-BH40-BH41</f>
        <v/>
      </c>
      <c r="BI49" s="39">
        <f>BH49+BI38+BI42-BI40-BI41</f>
        <v/>
      </c>
      <c r="BJ49" s="39">
        <f>BI49+BJ38+BJ42-BJ40-BJ41</f>
        <v/>
      </c>
      <c r="BK49" s="39">
        <f>BJ49+BK38+BK42-BK40-BK41</f>
        <v/>
      </c>
      <c r="BL49" s="39">
        <f>BK49+BL38+BL42-BL40-BL41</f>
        <v/>
      </c>
    </row>
    <row r="50">
      <c r="A50" s="55" t="inlineStr">
        <is>
          <t>Eligible receivables (gross - at risk)</t>
        </is>
      </c>
      <c r="B50" s="26" t="inlineStr">
        <is>
          <t>LCY</t>
        </is>
      </c>
      <c r="C50" s="58">
        <f>BL50</f>
        <v/>
      </c>
      <c r="E50" s="39">
        <f>MAX(0,E49-E48)</f>
        <v/>
      </c>
      <c r="F50" s="39">
        <f>MAX(0,F49-F48)</f>
        <v/>
      </c>
      <c r="G50" s="39">
        <f>MAX(0,G49-G48)</f>
        <v/>
      </c>
      <c r="H50" s="39">
        <f>MAX(0,H49-H48)</f>
        <v/>
      </c>
      <c r="I50" s="39">
        <f>MAX(0,I49-I48)</f>
        <v/>
      </c>
      <c r="J50" s="39">
        <f>MAX(0,J49-J48)</f>
        <v/>
      </c>
      <c r="K50" s="39">
        <f>MAX(0,K49-K48)</f>
        <v/>
      </c>
      <c r="L50" s="39">
        <f>MAX(0,L49-L48)</f>
        <v/>
      </c>
      <c r="M50" s="39">
        <f>MAX(0,M49-M48)</f>
        <v/>
      </c>
      <c r="N50" s="39">
        <f>MAX(0,N49-N48)</f>
        <v/>
      </c>
      <c r="O50" s="39">
        <f>MAX(0,O49-O48)</f>
        <v/>
      </c>
      <c r="P50" s="39">
        <f>MAX(0,P49-P48)</f>
        <v/>
      </c>
      <c r="Q50" s="39">
        <f>MAX(0,Q49-Q48)</f>
        <v/>
      </c>
      <c r="R50" s="39">
        <f>MAX(0,R49-R48)</f>
        <v/>
      </c>
      <c r="S50" s="39">
        <f>MAX(0,S49-S48)</f>
        <v/>
      </c>
      <c r="T50" s="39">
        <f>MAX(0,T49-T48)</f>
        <v/>
      </c>
      <c r="U50" s="39">
        <f>MAX(0,U49-U48)</f>
        <v/>
      </c>
      <c r="V50" s="39">
        <f>MAX(0,V49-V48)</f>
        <v/>
      </c>
      <c r="W50" s="39">
        <f>MAX(0,W49-W48)</f>
        <v/>
      </c>
      <c r="X50" s="39">
        <f>MAX(0,X49-X48)</f>
        <v/>
      </c>
      <c r="Y50" s="39">
        <f>MAX(0,Y49-Y48)</f>
        <v/>
      </c>
      <c r="Z50" s="39">
        <f>MAX(0,Z49-Z48)</f>
        <v/>
      </c>
      <c r="AA50" s="39">
        <f>MAX(0,AA49-AA48)</f>
        <v/>
      </c>
      <c r="AB50" s="39">
        <f>MAX(0,AB49-AB48)</f>
        <v/>
      </c>
      <c r="AC50" s="39">
        <f>MAX(0,AC49-AC48)</f>
        <v/>
      </c>
      <c r="AD50" s="39">
        <f>MAX(0,AD49-AD48)</f>
        <v/>
      </c>
      <c r="AE50" s="39">
        <f>MAX(0,AE49-AE48)</f>
        <v/>
      </c>
      <c r="AF50" s="39">
        <f>MAX(0,AF49-AF48)</f>
        <v/>
      </c>
      <c r="AG50" s="39">
        <f>MAX(0,AG49-AG48)</f>
        <v/>
      </c>
      <c r="AH50" s="39">
        <f>MAX(0,AH49-AH48)</f>
        <v/>
      </c>
      <c r="AI50" s="39">
        <f>MAX(0,AI49-AI48)</f>
        <v/>
      </c>
      <c r="AJ50" s="39">
        <f>MAX(0,AJ49-AJ48)</f>
        <v/>
      </c>
      <c r="AK50" s="39">
        <f>MAX(0,AK49-AK48)</f>
        <v/>
      </c>
      <c r="AL50" s="39">
        <f>MAX(0,AL49-AL48)</f>
        <v/>
      </c>
      <c r="AM50" s="39">
        <f>MAX(0,AM49-AM48)</f>
        <v/>
      </c>
      <c r="AN50" s="39">
        <f>MAX(0,AN49-AN48)</f>
        <v/>
      </c>
      <c r="AO50" s="39">
        <f>MAX(0,AO49-AO48)</f>
        <v/>
      </c>
      <c r="AP50" s="39">
        <f>MAX(0,AP49-AP48)</f>
        <v/>
      </c>
      <c r="AQ50" s="39">
        <f>MAX(0,AQ49-AQ48)</f>
        <v/>
      </c>
      <c r="AR50" s="39">
        <f>MAX(0,AR49-AR48)</f>
        <v/>
      </c>
      <c r="AS50" s="39">
        <f>MAX(0,AS49-AS48)</f>
        <v/>
      </c>
      <c r="AT50" s="39">
        <f>MAX(0,AT49-AT48)</f>
        <v/>
      </c>
      <c r="AU50" s="39">
        <f>MAX(0,AU49-AU48)</f>
        <v/>
      </c>
      <c r="AV50" s="39">
        <f>MAX(0,AV49-AV48)</f>
        <v/>
      </c>
      <c r="AW50" s="39">
        <f>MAX(0,AW49-AW48)</f>
        <v/>
      </c>
      <c r="AX50" s="39">
        <f>MAX(0,AX49-AX48)</f>
        <v/>
      </c>
      <c r="AY50" s="39">
        <f>MAX(0,AY49-AY48)</f>
        <v/>
      </c>
      <c r="AZ50" s="39">
        <f>MAX(0,AZ49-AZ48)</f>
        <v/>
      </c>
      <c r="BA50" s="39">
        <f>MAX(0,BA49-BA48)</f>
        <v/>
      </c>
      <c r="BB50" s="39">
        <f>MAX(0,BB49-BB48)</f>
        <v/>
      </c>
      <c r="BC50" s="39">
        <f>MAX(0,BC49-BC48)</f>
        <v/>
      </c>
      <c r="BD50" s="39">
        <f>MAX(0,BD49-BD48)</f>
        <v/>
      </c>
      <c r="BE50" s="39">
        <f>MAX(0,BE49-BE48)</f>
        <v/>
      </c>
      <c r="BF50" s="39">
        <f>MAX(0,BF49-BF48)</f>
        <v/>
      </c>
      <c r="BG50" s="39">
        <f>MAX(0,BG49-BG48)</f>
        <v/>
      </c>
      <c r="BH50" s="39">
        <f>MAX(0,BH49-BH48)</f>
        <v/>
      </c>
      <c r="BI50" s="39">
        <f>MAX(0,BI49-BI48)</f>
        <v/>
      </c>
      <c r="BJ50" s="39">
        <f>MAX(0,BJ49-BJ48)</f>
        <v/>
      </c>
      <c r="BK50" s="39">
        <f>MAX(0,BK49-BK48)</f>
        <v/>
      </c>
      <c r="BL50" s="39">
        <f>MAX(0,BL49-BL48)</f>
        <v/>
      </c>
    </row>
    <row r="51">
      <c r="A51" s="55" t="inlineStr">
        <is>
          <t>Borrowing-base contribution (advance rate x eligible)</t>
        </is>
      </c>
      <c r="B51" s="26" t="inlineStr">
        <is>
          <t>LCY</t>
        </is>
      </c>
      <c r="C51" s="58">
        <f>BL51</f>
        <v/>
      </c>
      <c r="E51" s="39">
        <f>E50*Products!$D$31</f>
        <v/>
      </c>
      <c r="F51" s="39">
        <f>F50*Products!$D$31</f>
        <v/>
      </c>
      <c r="G51" s="39">
        <f>G50*Products!$D$31</f>
        <v/>
      </c>
      <c r="H51" s="39">
        <f>H50*Products!$D$31</f>
        <v/>
      </c>
      <c r="I51" s="39">
        <f>I50*Products!$D$31</f>
        <v/>
      </c>
      <c r="J51" s="39">
        <f>J50*Products!$D$31</f>
        <v/>
      </c>
      <c r="K51" s="39">
        <f>K50*Products!$D$31</f>
        <v/>
      </c>
      <c r="L51" s="39">
        <f>L50*Products!$D$31</f>
        <v/>
      </c>
      <c r="M51" s="39">
        <f>M50*Products!$D$31</f>
        <v/>
      </c>
      <c r="N51" s="39">
        <f>N50*Products!$D$31</f>
        <v/>
      </c>
      <c r="O51" s="39">
        <f>O50*Products!$D$31</f>
        <v/>
      </c>
      <c r="P51" s="39">
        <f>P50*Products!$D$31</f>
        <v/>
      </c>
      <c r="Q51" s="39">
        <f>Q50*Products!$D$31</f>
        <v/>
      </c>
      <c r="R51" s="39">
        <f>R50*Products!$D$31</f>
        <v/>
      </c>
      <c r="S51" s="39">
        <f>S50*Products!$D$31</f>
        <v/>
      </c>
      <c r="T51" s="39">
        <f>T50*Products!$D$31</f>
        <v/>
      </c>
      <c r="U51" s="39">
        <f>U50*Products!$D$31</f>
        <v/>
      </c>
      <c r="V51" s="39">
        <f>V50*Products!$D$31</f>
        <v/>
      </c>
      <c r="W51" s="39">
        <f>W50*Products!$D$31</f>
        <v/>
      </c>
      <c r="X51" s="39">
        <f>X50*Products!$D$31</f>
        <v/>
      </c>
      <c r="Y51" s="39">
        <f>Y50*Products!$D$31</f>
        <v/>
      </c>
      <c r="Z51" s="39">
        <f>Z50*Products!$D$31</f>
        <v/>
      </c>
      <c r="AA51" s="39">
        <f>AA50*Products!$D$31</f>
        <v/>
      </c>
      <c r="AB51" s="39">
        <f>AB50*Products!$D$31</f>
        <v/>
      </c>
      <c r="AC51" s="39">
        <f>AC50*Products!$D$31</f>
        <v/>
      </c>
      <c r="AD51" s="39">
        <f>AD50*Products!$D$31</f>
        <v/>
      </c>
      <c r="AE51" s="39">
        <f>AE50*Products!$D$31</f>
        <v/>
      </c>
      <c r="AF51" s="39">
        <f>AF50*Products!$D$31</f>
        <v/>
      </c>
      <c r="AG51" s="39">
        <f>AG50*Products!$D$31</f>
        <v/>
      </c>
      <c r="AH51" s="39">
        <f>AH50*Products!$D$31</f>
        <v/>
      </c>
      <c r="AI51" s="39">
        <f>AI50*Products!$D$31</f>
        <v/>
      </c>
      <c r="AJ51" s="39">
        <f>AJ50*Products!$D$31</f>
        <v/>
      </c>
      <c r="AK51" s="39">
        <f>AK50*Products!$D$31</f>
        <v/>
      </c>
      <c r="AL51" s="39">
        <f>AL50*Products!$D$31</f>
        <v/>
      </c>
      <c r="AM51" s="39">
        <f>AM50*Products!$D$31</f>
        <v/>
      </c>
      <c r="AN51" s="39">
        <f>AN50*Products!$D$31</f>
        <v/>
      </c>
      <c r="AO51" s="39">
        <f>AO50*Products!$D$31</f>
        <v/>
      </c>
      <c r="AP51" s="39">
        <f>AP50*Products!$D$31</f>
        <v/>
      </c>
      <c r="AQ51" s="39">
        <f>AQ50*Products!$D$31</f>
        <v/>
      </c>
      <c r="AR51" s="39">
        <f>AR50*Products!$D$31</f>
        <v/>
      </c>
      <c r="AS51" s="39">
        <f>AS50*Products!$D$31</f>
        <v/>
      </c>
      <c r="AT51" s="39">
        <f>AT50*Products!$D$31</f>
        <v/>
      </c>
      <c r="AU51" s="39">
        <f>AU50*Products!$D$31</f>
        <v/>
      </c>
      <c r="AV51" s="39">
        <f>AV50*Products!$D$31</f>
        <v/>
      </c>
      <c r="AW51" s="39">
        <f>AW50*Products!$D$31</f>
        <v/>
      </c>
      <c r="AX51" s="39">
        <f>AX50*Products!$D$31</f>
        <v/>
      </c>
      <c r="AY51" s="39">
        <f>AY50*Products!$D$31</f>
        <v/>
      </c>
      <c r="AZ51" s="39">
        <f>AZ50*Products!$D$31</f>
        <v/>
      </c>
      <c r="BA51" s="39">
        <f>BA50*Products!$D$31</f>
        <v/>
      </c>
      <c r="BB51" s="39">
        <f>BB50*Products!$D$31</f>
        <v/>
      </c>
      <c r="BC51" s="39">
        <f>BC50*Products!$D$31</f>
        <v/>
      </c>
      <c r="BD51" s="39">
        <f>BD50*Products!$D$31</f>
        <v/>
      </c>
      <c r="BE51" s="39">
        <f>BE50*Products!$D$31</f>
        <v/>
      </c>
      <c r="BF51" s="39">
        <f>BF50*Products!$D$31</f>
        <v/>
      </c>
      <c r="BG51" s="39">
        <f>BG50*Products!$D$31</f>
        <v/>
      </c>
      <c r="BH51" s="39">
        <f>BH50*Products!$D$31</f>
        <v/>
      </c>
      <c r="BI51" s="39">
        <f>BI50*Products!$D$31</f>
        <v/>
      </c>
      <c r="BJ51" s="39">
        <f>BJ50*Products!$D$31</f>
        <v/>
      </c>
      <c r="BK51" s="39">
        <f>BK50*Products!$D$31</f>
        <v/>
      </c>
      <c r="BL51" s="39">
        <f>BL50*Products!$D$31</f>
        <v/>
      </c>
    </row>
    <row r="52">
      <c r="A52" s="55" t="inlineStr">
        <is>
          <t>Landed hardware cost of units sold</t>
        </is>
      </c>
      <c r="B52" s="26" t="inlineStr">
        <is>
          <t>LCY</t>
        </is>
      </c>
      <c r="C52" s="58">
        <f>SUM(E52:BL52)</f>
        <v/>
      </c>
      <c r="E52" s="39">
        <f>E34*Products!$D$18*(1+Inputs!$C$28)*Timeline!E$8*Scenarios!$G$9</f>
        <v/>
      </c>
      <c r="F52" s="39">
        <f>F34*Products!$D$18*(1+Inputs!$C$28)*Timeline!F$8*Scenarios!$G$9</f>
        <v/>
      </c>
      <c r="G52" s="39">
        <f>G34*Products!$D$18*(1+Inputs!$C$28)*Timeline!G$8*Scenarios!$G$9</f>
        <v/>
      </c>
      <c r="H52" s="39">
        <f>H34*Products!$D$18*(1+Inputs!$C$28)*Timeline!H$8*Scenarios!$G$9</f>
        <v/>
      </c>
      <c r="I52" s="39">
        <f>I34*Products!$D$18*(1+Inputs!$C$28)*Timeline!I$8*Scenarios!$G$9</f>
        <v/>
      </c>
      <c r="J52" s="39">
        <f>J34*Products!$D$18*(1+Inputs!$C$28)*Timeline!J$8*Scenarios!$G$9</f>
        <v/>
      </c>
      <c r="K52" s="39">
        <f>K34*Products!$D$18*(1+Inputs!$C$28)*Timeline!K$8*Scenarios!$G$9</f>
        <v/>
      </c>
      <c r="L52" s="39">
        <f>L34*Products!$D$18*(1+Inputs!$C$28)*Timeline!L$8*Scenarios!$G$9</f>
        <v/>
      </c>
      <c r="M52" s="39">
        <f>M34*Products!$D$18*(1+Inputs!$C$28)*Timeline!M$8*Scenarios!$G$9</f>
        <v/>
      </c>
      <c r="N52" s="39">
        <f>N34*Products!$D$18*(1+Inputs!$C$28)*Timeline!N$8*Scenarios!$G$9</f>
        <v/>
      </c>
      <c r="O52" s="39">
        <f>O34*Products!$D$18*(1+Inputs!$C$28)*Timeline!O$8*Scenarios!$G$9</f>
        <v/>
      </c>
      <c r="P52" s="39">
        <f>P34*Products!$D$18*(1+Inputs!$C$28)*Timeline!P$8*Scenarios!$G$9</f>
        <v/>
      </c>
      <c r="Q52" s="39">
        <f>Q34*Products!$D$18*(1+Inputs!$C$28)*Timeline!Q$8*Scenarios!$G$9</f>
        <v/>
      </c>
      <c r="R52" s="39">
        <f>R34*Products!$D$18*(1+Inputs!$C$28)*Timeline!R$8*Scenarios!$G$9</f>
        <v/>
      </c>
      <c r="S52" s="39">
        <f>S34*Products!$D$18*(1+Inputs!$C$28)*Timeline!S$8*Scenarios!$G$9</f>
        <v/>
      </c>
      <c r="T52" s="39">
        <f>T34*Products!$D$18*(1+Inputs!$C$28)*Timeline!T$8*Scenarios!$G$9</f>
        <v/>
      </c>
      <c r="U52" s="39">
        <f>U34*Products!$D$18*(1+Inputs!$C$28)*Timeline!U$8*Scenarios!$G$9</f>
        <v/>
      </c>
      <c r="V52" s="39">
        <f>V34*Products!$D$18*(1+Inputs!$C$28)*Timeline!V$8*Scenarios!$G$9</f>
        <v/>
      </c>
      <c r="W52" s="39">
        <f>W34*Products!$D$18*(1+Inputs!$C$28)*Timeline!W$8*Scenarios!$G$9</f>
        <v/>
      </c>
      <c r="X52" s="39">
        <f>X34*Products!$D$18*(1+Inputs!$C$28)*Timeline!X$8*Scenarios!$G$9</f>
        <v/>
      </c>
      <c r="Y52" s="39">
        <f>Y34*Products!$D$18*(1+Inputs!$C$28)*Timeline!Y$8*Scenarios!$G$9</f>
        <v/>
      </c>
      <c r="Z52" s="39">
        <f>Z34*Products!$D$18*(1+Inputs!$C$28)*Timeline!Z$8*Scenarios!$G$9</f>
        <v/>
      </c>
      <c r="AA52" s="39">
        <f>AA34*Products!$D$18*(1+Inputs!$C$28)*Timeline!AA$8*Scenarios!$G$9</f>
        <v/>
      </c>
      <c r="AB52" s="39">
        <f>AB34*Products!$D$18*(1+Inputs!$C$28)*Timeline!AB$8*Scenarios!$G$9</f>
        <v/>
      </c>
      <c r="AC52" s="39">
        <f>AC34*Products!$D$18*(1+Inputs!$C$28)*Timeline!AC$8*Scenarios!$G$9</f>
        <v/>
      </c>
      <c r="AD52" s="39">
        <f>AD34*Products!$D$18*(1+Inputs!$C$28)*Timeline!AD$8*Scenarios!$G$9</f>
        <v/>
      </c>
      <c r="AE52" s="39">
        <f>AE34*Products!$D$18*(1+Inputs!$C$28)*Timeline!AE$8*Scenarios!$G$9</f>
        <v/>
      </c>
      <c r="AF52" s="39">
        <f>AF34*Products!$D$18*(1+Inputs!$C$28)*Timeline!AF$8*Scenarios!$G$9</f>
        <v/>
      </c>
      <c r="AG52" s="39">
        <f>AG34*Products!$D$18*(1+Inputs!$C$28)*Timeline!AG$8*Scenarios!$G$9</f>
        <v/>
      </c>
      <c r="AH52" s="39">
        <f>AH34*Products!$D$18*(1+Inputs!$C$28)*Timeline!AH$8*Scenarios!$G$9</f>
        <v/>
      </c>
      <c r="AI52" s="39">
        <f>AI34*Products!$D$18*(1+Inputs!$C$28)*Timeline!AI$8*Scenarios!$G$9</f>
        <v/>
      </c>
      <c r="AJ52" s="39">
        <f>AJ34*Products!$D$18*(1+Inputs!$C$28)*Timeline!AJ$8*Scenarios!$G$9</f>
        <v/>
      </c>
      <c r="AK52" s="39">
        <f>AK34*Products!$D$18*(1+Inputs!$C$28)*Timeline!AK$8*Scenarios!$G$9</f>
        <v/>
      </c>
      <c r="AL52" s="39">
        <f>AL34*Products!$D$18*(1+Inputs!$C$28)*Timeline!AL$8*Scenarios!$G$9</f>
        <v/>
      </c>
      <c r="AM52" s="39">
        <f>AM34*Products!$D$18*(1+Inputs!$C$28)*Timeline!AM$8*Scenarios!$G$9</f>
        <v/>
      </c>
      <c r="AN52" s="39">
        <f>AN34*Products!$D$18*(1+Inputs!$C$28)*Timeline!AN$8*Scenarios!$G$9</f>
        <v/>
      </c>
      <c r="AO52" s="39">
        <f>AO34*Products!$D$18*(1+Inputs!$C$28)*Timeline!AO$8*Scenarios!$G$9</f>
        <v/>
      </c>
      <c r="AP52" s="39">
        <f>AP34*Products!$D$18*(1+Inputs!$C$28)*Timeline!AP$8*Scenarios!$G$9</f>
        <v/>
      </c>
      <c r="AQ52" s="39">
        <f>AQ34*Products!$D$18*(1+Inputs!$C$28)*Timeline!AQ$8*Scenarios!$G$9</f>
        <v/>
      </c>
      <c r="AR52" s="39">
        <f>AR34*Products!$D$18*(1+Inputs!$C$28)*Timeline!AR$8*Scenarios!$G$9</f>
        <v/>
      </c>
      <c r="AS52" s="39">
        <f>AS34*Products!$D$18*(1+Inputs!$C$28)*Timeline!AS$8*Scenarios!$G$9</f>
        <v/>
      </c>
      <c r="AT52" s="39">
        <f>AT34*Products!$D$18*(1+Inputs!$C$28)*Timeline!AT$8*Scenarios!$G$9</f>
        <v/>
      </c>
      <c r="AU52" s="39">
        <f>AU34*Products!$D$18*(1+Inputs!$C$28)*Timeline!AU$8*Scenarios!$G$9</f>
        <v/>
      </c>
      <c r="AV52" s="39">
        <f>AV34*Products!$D$18*(1+Inputs!$C$28)*Timeline!AV$8*Scenarios!$G$9</f>
        <v/>
      </c>
      <c r="AW52" s="39">
        <f>AW34*Products!$D$18*(1+Inputs!$C$28)*Timeline!AW$8*Scenarios!$G$9</f>
        <v/>
      </c>
      <c r="AX52" s="39">
        <f>AX34*Products!$D$18*(1+Inputs!$C$28)*Timeline!AX$8*Scenarios!$G$9</f>
        <v/>
      </c>
      <c r="AY52" s="39">
        <f>AY34*Products!$D$18*(1+Inputs!$C$28)*Timeline!AY$8*Scenarios!$G$9</f>
        <v/>
      </c>
      <c r="AZ52" s="39">
        <f>AZ34*Products!$D$18*(1+Inputs!$C$28)*Timeline!AZ$8*Scenarios!$G$9</f>
        <v/>
      </c>
      <c r="BA52" s="39">
        <f>BA34*Products!$D$18*(1+Inputs!$C$28)*Timeline!BA$8*Scenarios!$G$9</f>
        <v/>
      </c>
      <c r="BB52" s="39">
        <f>BB34*Products!$D$18*(1+Inputs!$C$28)*Timeline!BB$8*Scenarios!$G$9</f>
        <v/>
      </c>
      <c r="BC52" s="39">
        <f>BC34*Products!$D$18*(1+Inputs!$C$28)*Timeline!BC$8*Scenarios!$G$9</f>
        <v/>
      </c>
      <c r="BD52" s="39">
        <f>BD34*Products!$D$18*(1+Inputs!$C$28)*Timeline!BD$8*Scenarios!$G$9</f>
        <v/>
      </c>
      <c r="BE52" s="39">
        <f>BE34*Products!$D$18*(1+Inputs!$C$28)*Timeline!BE$8*Scenarios!$G$9</f>
        <v/>
      </c>
      <c r="BF52" s="39">
        <f>BF34*Products!$D$18*(1+Inputs!$C$28)*Timeline!BF$8*Scenarios!$G$9</f>
        <v/>
      </c>
      <c r="BG52" s="39">
        <f>BG34*Products!$D$18*(1+Inputs!$C$28)*Timeline!BG$8*Scenarios!$G$9</f>
        <v/>
      </c>
      <c r="BH52" s="39">
        <f>BH34*Products!$D$18*(1+Inputs!$C$28)*Timeline!BH$8*Scenarios!$G$9</f>
        <v/>
      </c>
      <c r="BI52" s="39">
        <f>BI34*Products!$D$18*(1+Inputs!$C$28)*Timeline!BI$8*Scenarios!$G$9</f>
        <v/>
      </c>
      <c r="BJ52" s="39">
        <f>BJ34*Products!$D$18*(1+Inputs!$C$28)*Timeline!BJ$8*Scenarios!$G$9</f>
        <v/>
      </c>
      <c r="BK52" s="39">
        <f>BK34*Products!$D$18*(1+Inputs!$C$28)*Timeline!BK$8*Scenarios!$G$9</f>
        <v/>
      </c>
      <c r="BL52" s="39">
        <f>BL34*Products!$D$18*(1+Inputs!$C$28)*Timeline!BL$8*Scenarios!$G$9</f>
        <v/>
      </c>
    </row>
    <row r="53">
      <c r="A53" s="55" t="inlineStr">
        <is>
          <t>Installation &amp; logistics</t>
        </is>
      </c>
      <c r="B53" s="26" t="inlineStr">
        <is>
          <t>LCY</t>
        </is>
      </c>
      <c r="C53" s="58">
        <f>SUM(E53:BL53)</f>
        <v/>
      </c>
      <c r="E53" s="39">
        <f>E34*Products!$D$19*Timeline!E$9</f>
        <v/>
      </c>
      <c r="F53" s="39">
        <f>F34*Products!$D$19*Timeline!F$9</f>
        <v/>
      </c>
      <c r="G53" s="39">
        <f>G34*Products!$D$19*Timeline!G$9</f>
        <v/>
      </c>
      <c r="H53" s="39">
        <f>H34*Products!$D$19*Timeline!H$9</f>
        <v/>
      </c>
      <c r="I53" s="39">
        <f>I34*Products!$D$19*Timeline!I$9</f>
        <v/>
      </c>
      <c r="J53" s="39">
        <f>J34*Products!$D$19*Timeline!J$9</f>
        <v/>
      </c>
      <c r="K53" s="39">
        <f>K34*Products!$D$19*Timeline!K$9</f>
        <v/>
      </c>
      <c r="L53" s="39">
        <f>L34*Products!$D$19*Timeline!L$9</f>
        <v/>
      </c>
      <c r="M53" s="39">
        <f>M34*Products!$D$19*Timeline!M$9</f>
        <v/>
      </c>
      <c r="N53" s="39">
        <f>N34*Products!$D$19*Timeline!N$9</f>
        <v/>
      </c>
      <c r="O53" s="39">
        <f>O34*Products!$D$19*Timeline!O$9</f>
        <v/>
      </c>
      <c r="P53" s="39">
        <f>P34*Products!$D$19*Timeline!P$9</f>
        <v/>
      </c>
      <c r="Q53" s="39">
        <f>Q34*Products!$D$19*Timeline!Q$9</f>
        <v/>
      </c>
      <c r="R53" s="39">
        <f>R34*Products!$D$19*Timeline!R$9</f>
        <v/>
      </c>
      <c r="S53" s="39">
        <f>S34*Products!$D$19*Timeline!S$9</f>
        <v/>
      </c>
      <c r="T53" s="39">
        <f>T34*Products!$D$19*Timeline!T$9</f>
        <v/>
      </c>
      <c r="U53" s="39">
        <f>U34*Products!$D$19*Timeline!U$9</f>
        <v/>
      </c>
      <c r="V53" s="39">
        <f>V34*Products!$D$19*Timeline!V$9</f>
        <v/>
      </c>
      <c r="W53" s="39">
        <f>W34*Products!$D$19*Timeline!W$9</f>
        <v/>
      </c>
      <c r="X53" s="39">
        <f>X34*Products!$D$19*Timeline!X$9</f>
        <v/>
      </c>
      <c r="Y53" s="39">
        <f>Y34*Products!$D$19*Timeline!Y$9</f>
        <v/>
      </c>
      <c r="Z53" s="39">
        <f>Z34*Products!$D$19*Timeline!Z$9</f>
        <v/>
      </c>
      <c r="AA53" s="39">
        <f>AA34*Products!$D$19*Timeline!AA$9</f>
        <v/>
      </c>
      <c r="AB53" s="39">
        <f>AB34*Products!$D$19*Timeline!AB$9</f>
        <v/>
      </c>
      <c r="AC53" s="39">
        <f>AC34*Products!$D$19*Timeline!AC$9</f>
        <v/>
      </c>
      <c r="AD53" s="39">
        <f>AD34*Products!$D$19*Timeline!AD$9</f>
        <v/>
      </c>
      <c r="AE53" s="39">
        <f>AE34*Products!$D$19*Timeline!AE$9</f>
        <v/>
      </c>
      <c r="AF53" s="39">
        <f>AF34*Products!$D$19*Timeline!AF$9</f>
        <v/>
      </c>
      <c r="AG53" s="39">
        <f>AG34*Products!$D$19*Timeline!AG$9</f>
        <v/>
      </c>
      <c r="AH53" s="39">
        <f>AH34*Products!$D$19*Timeline!AH$9</f>
        <v/>
      </c>
      <c r="AI53" s="39">
        <f>AI34*Products!$D$19*Timeline!AI$9</f>
        <v/>
      </c>
      <c r="AJ53" s="39">
        <f>AJ34*Products!$D$19*Timeline!AJ$9</f>
        <v/>
      </c>
      <c r="AK53" s="39">
        <f>AK34*Products!$D$19*Timeline!AK$9</f>
        <v/>
      </c>
      <c r="AL53" s="39">
        <f>AL34*Products!$D$19*Timeline!AL$9</f>
        <v/>
      </c>
      <c r="AM53" s="39">
        <f>AM34*Products!$D$19*Timeline!AM$9</f>
        <v/>
      </c>
      <c r="AN53" s="39">
        <f>AN34*Products!$D$19*Timeline!AN$9</f>
        <v/>
      </c>
      <c r="AO53" s="39">
        <f>AO34*Products!$D$19*Timeline!AO$9</f>
        <v/>
      </c>
      <c r="AP53" s="39">
        <f>AP34*Products!$D$19*Timeline!AP$9</f>
        <v/>
      </c>
      <c r="AQ53" s="39">
        <f>AQ34*Products!$D$19*Timeline!AQ$9</f>
        <v/>
      </c>
      <c r="AR53" s="39">
        <f>AR34*Products!$D$19*Timeline!AR$9</f>
        <v/>
      </c>
      <c r="AS53" s="39">
        <f>AS34*Products!$D$19*Timeline!AS$9</f>
        <v/>
      </c>
      <c r="AT53" s="39">
        <f>AT34*Products!$D$19*Timeline!AT$9</f>
        <v/>
      </c>
      <c r="AU53" s="39">
        <f>AU34*Products!$D$19*Timeline!AU$9</f>
        <v/>
      </c>
      <c r="AV53" s="39">
        <f>AV34*Products!$D$19*Timeline!AV$9</f>
        <v/>
      </c>
      <c r="AW53" s="39">
        <f>AW34*Products!$D$19*Timeline!AW$9</f>
        <v/>
      </c>
      <c r="AX53" s="39">
        <f>AX34*Products!$D$19*Timeline!AX$9</f>
        <v/>
      </c>
      <c r="AY53" s="39">
        <f>AY34*Products!$D$19*Timeline!AY$9</f>
        <v/>
      </c>
      <c r="AZ53" s="39">
        <f>AZ34*Products!$D$19*Timeline!AZ$9</f>
        <v/>
      </c>
      <c r="BA53" s="39">
        <f>BA34*Products!$D$19*Timeline!BA$9</f>
        <v/>
      </c>
      <c r="BB53" s="39">
        <f>BB34*Products!$D$19*Timeline!BB$9</f>
        <v/>
      </c>
      <c r="BC53" s="39">
        <f>BC34*Products!$D$19*Timeline!BC$9</f>
        <v/>
      </c>
      <c r="BD53" s="39">
        <f>BD34*Products!$D$19*Timeline!BD$9</f>
        <v/>
      </c>
      <c r="BE53" s="39">
        <f>BE34*Products!$D$19*Timeline!BE$9</f>
        <v/>
      </c>
      <c r="BF53" s="39">
        <f>BF34*Products!$D$19*Timeline!BF$9</f>
        <v/>
      </c>
      <c r="BG53" s="39">
        <f>BG34*Products!$D$19*Timeline!BG$9</f>
        <v/>
      </c>
      <c r="BH53" s="39">
        <f>BH34*Products!$D$19*Timeline!BH$9</f>
        <v/>
      </c>
      <c r="BI53" s="39">
        <f>BI34*Products!$D$19*Timeline!BI$9</f>
        <v/>
      </c>
      <c r="BJ53" s="39">
        <f>BJ34*Products!$D$19*Timeline!BJ$9</f>
        <v/>
      </c>
      <c r="BK53" s="39">
        <f>BK34*Products!$D$19*Timeline!BK$9</f>
        <v/>
      </c>
      <c r="BL53" s="39">
        <f>BL34*Products!$D$19*Timeline!BL$9</f>
        <v/>
      </c>
    </row>
    <row r="54">
      <c r="A54" s="55" t="inlineStr">
        <is>
          <t>Warranty &amp; after-sales provision</t>
        </is>
      </c>
      <c r="B54" s="26" t="inlineStr">
        <is>
          <t>LCY</t>
        </is>
      </c>
      <c r="C54" s="58">
        <f>SUM(E54:BL54)</f>
        <v/>
      </c>
      <c r="E54" s="39">
        <f>E52*Products!$D$22</f>
        <v/>
      </c>
      <c r="F54" s="39">
        <f>F52*Products!$D$22</f>
        <v/>
      </c>
      <c r="G54" s="39">
        <f>G52*Products!$D$22</f>
        <v/>
      </c>
      <c r="H54" s="39">
        <f>H52*Products!$D$22</f>
        <v/>
      </c>
      <c r="I54" s="39">
        <f>I52*Products!$D$22</f>
        <v/>
      </c>
      <c r="J54" s="39">
        <f>J52*Products!$D$22</f>
        <v/>
      </c>
      <c r="K54" s="39">
        <f>K52*Products!$D$22</f>
        <v/>
      </c>
      <c r="L54" s="39">
        <f>L52*Products!$D$22</f>
        <v/>
      </c>
      <c r="M54" s="39">
        <f>M52*Products!$D$22</f>
        <v/>
      </c>
      <c r="N54" s="39">
        <f>N52*Products!$D$22</f>
        <v/>
      </c>
      <c r="O54" s="39">
        <f>O52*Products!$D$22</f>
        <v/>
      </c>
      <c r="P54" s="39">
        <f>P52*Products!$D$22</f>
        <v/>
      </c>
      <c r="Q54" s="39">
        <f>Q52*Products!$D$22</f>
        <v/>
      </c>
      <c r="R54" s="39">
        <f>R52*Products!$D$22</f>
        <v/>
      </c>
      <c r="S54" s="39">
        <f>S52*Products!$D$22</f>
        <v/>
      </c>
      <c r="T54" s="39">
        <f>T52*Products!$D$22</f>
        <v/>
      </c>
      <c r="U54" s="39">
        <f>U52*Products!$D$22</f>
        <v/>
      </c>
      <c r="V54" s="39">
        <f>V52*Products!$D$22</f>
        <v/>
      </c>
      <c r="W54" s="39">
        <f>W52*Products!$D$22</f>
        <v/>
      </c>
      <c r="X54" s="39">
        <f>X52*Products!$D$22</f>
        <v/>
      </c>
      <c r="Y54" s="39">
        <f>Y52*Products!$D$22</f>
        <v/>
      </c>
      <c r="Z54" s="39">
        <f>Z52*Products!$D$22</f>
        <v/>
      </c>
      <c r="AA54" s="39">
        <f>AA52*Products!$D$22</f>
        <v/>
      </c>
      <c r="AB54" s="39">
        <f>AB52*Products!$D$22</f>
        <v/>
      </c>
      <c r="AC54" s="39">
        <f>AC52*Products!$D$22</f>
        <v/>
      </c>
      <c r="AD54" s="39">
        <f>AD52*Products!$D$22</f>
        <v/>
      </c>
      <c r="AE54" s="39">
        <f>AE52*Products!$D$22</f>
        <v/>
      </c>
      <c r="AF54" s="39">
        <f>AF52*Products!$D$22</f>
        <v/>
      </c>
      <c r="AG54" s="39">
        <f>AG52*Products!$D$22</f>
        <v/>
      </c>
      <c r="AH54" s="39">
        <f>AH52*Products!$D$22</f>
        <v/>
      </c>
      <c r="AI54" s="39">
        <f>AI52*Products!$D$22</f>
        <v/>
      </c>
      <c r="AJ54" s="39">
        <f>AJ52*Products!$D$22</f>
        <v/>
      </c>
      <c r="AK54" s="39">
        <f>AK52*Products!$D$22</f>
        <v/>
      </c>
      <c r="AL54" s="39">
        <f>AL52*Products!$D$22</f>
        <v/>
      </c>
      <c r="AM54" s="39">
        <f>AM52*Products!$D$22</f>
        <v/>
      </c>
      <c r="AN54" s="39">
        <f>AN52*Products!$D$22</f>
        <v/>
      </c>
      <c r="AO54" s="39">
        <f>AO52*Products!$D$22</f>
        <v/>
      </c>
      <c r="AP54" s="39">
        <f>AP52*Products!$D$22</f>
        <v/>
      </c>
      <c r="AQ54" s="39">
        <f>AQ52*Products!$D$22</f>
        <v/>
      </c>
      <c r="AR54" s="39">
        <f>AR52*Products!$D$22</f>
        <v/>
      </c>
      <c r="AS54" s="39">
        <f>AS52*Products!$D$22</f>
        <v/>
      </c>
      <c r="AT54" s="39">
        <f>AT52*Products!$D$22</f>
        <v/>
      </c>
      <c r="AU54" s="39">
        <f>AU52*Products!$D$22</f>
        <v/>
      </c>
      <c r="AV54" s="39">
        <f>AV52*Products!$D$22</f>
        <v/>
      </c>
      <c r="AW54" s="39">
        <f>AW52*Products!$D$22</f>
        <v/>
      </c>
      <c r="AX54" s="39">
        <f>AX52*Products!$D$22</f>
        <v/>
      </c>
      <c r="AY54" s="39">
        <f>AY52*Products!$D$22</f>
        <v/>
      </c>
      <c r="AZ54" s="39">
        <f>AZ52*Products!$D$22</f>
        <v/>
      </c>
      <c r="BA54" s="39">
        <f>BA52*Products!$D$22</f>
        <v/>
      </c>
      <c r="BB54" s="39">
        <f>BB52*Products!$D$22</f>
        <v/>
      </c>
      <c r="BC54" s="39">
        <f>BC52*Products!$D$22</f>
        <v/>
      </c>
      <c r="BD54" s="39">
        <f>BD52*Products!$D$22</f>
        <v/>
      </c>
      <c r="BE54" s="39">
        <f>BE52*Products!$D$22</f>
        <v/>
      </c>
      <c r="BF54" s="39">
        <f>BF52*Products!$D$22</f>
        <v/>
      </c>
      <c r="BG54" s="39">
        <f>BG52*Products!$D$22</f>
        <v/>
      </c>
      <c r="BH54" s="39">
        <f>BH52*Products!$D$22</f>
        <v/>
      </c>
      <c r="BI54" s="39">
        <f>BI52*Products!$D$22</f>
        <v/>
      </c>
      <c r="BJ54" s="39">
        <f>BJ52*Products!$D$22</f>
        <v/>
      </c>
      <c r="BK54" s="39">
        <f>BK52*Products!$D$22</f>
        <v/>
      </c>
      <c r="BL54" s="39">
        <f>BL52*Products!$D$22</f>
        <v/>
      </c>
    </row>
    <row r="55">
      <c r="A55" s="55" t="inlineStr">
        <is>
          <t>Commissions</t>
        </is>
      </c>
      <c r="B55" s="26" t="inlineStr">
        <is>
          <t>LCY</t>
        </is>
      </c>
      <c r="C55" s="58">
        <f>SUM(E55:BL55)</f>
        <v/>
      </c>
      <c r="E55" s="39">
        <f>E34*Products!$D$20*Timeline!E$9</f>
        <v/>
      </c>
      <c r="F55" s="39">
        <f>F34*Products!$D$20*Timeline!F$9</f>
        <v/>
      </c>
      <c r="G55" s="39">
        <f>G34*Products!$D$20*Timeline!G$9</f>
        <v/>
      </c>
      <c r="H55" s="39">
        <f>H34*Products!$D$20*Timeline!H$9</f>
        <v/>
      </c>
      <c r="I55" s="39">
        <f>I34*Products!$D$20*Timeline!I$9</f>
        <v/>
      </c>
      <c r="J55" s="39">
        <f>J34*Products!$D$20*Timeline!J$9</f>
        <v/>
      </c>
      <c r="K55" s="39">
        <f>K34*Products!$D$20*Timeline!K$9</f>
        <v/>
      </c>
      <c r="L55" s="39">
        <f>L34*Products!$D$20*Timeline!L$9</f>
        <v/>
      </c>
      <c r="M55" s="39">
        <f>M34*Products!$D$20*Timeline!M$9</f>
        <v/>
      </c>
      <c r="N55" s="39">
        <f>N34*Products!$D$20*Timeline!N$9</f>
        <v/>
      </c>
      <c r="O55" s="39">
        <f>O34*Products!$D$20*Timeline!O$9</f>
        <v/>
      </c>
      <c r="P55" s="39">
        <f>P34*Products!$D$20*Timeline!P$9</f>
        <v/>
      </c>
      <c r="Q55" s="39">
        <f>Q34*Products!$D$20*Timeline!Q$9</f>
        <v/>
      </c>
      <c r="R55" s="39">
        <f>R34*Products!$D$20*Timeline!R$9</f>
        <v/>
      </c>
      <c r="S55" s="39">
        <f>S34*Products!$D$20*Timeline!S$9</f>
        <v/>
      </c>
      <c r="T55" s="39">
        <f>T34*Products!$D$20*Timeline!T$9</f>
        <v/>
      </c>
      <c r="U55" s="39">
        <f>U34*Products!$D$20*Timeline!U$9</f>
        <v/>
      </c>
      <c r="V55" s="39">
        <f>V34*Products!$D$20*Timeline!V$9</f>
        <v/>
      </c>
      <c r="W55" s="39">
        <f>W34*Products!$D$20*Timeline!W$9</f>
        <v/>
      </c>
      <c r="X55" s="39">
        <f>X34*Products!$D$20*Timeline!X$9</f>
        <v/>
      </c>
      <c r="Y55" s="39">
        <f>Y34*Products!$D$20*Timeline!Y$9</f>
        <v/>
      </c>
      <c r="Z55" s="39">
        <f>Z34*Products!$D$20*Timeline!Z$9</f>
        <v/>
      </c>
      <c r="AA55" s="39">
        <f>AA34*Products!$D$20*Timeline!AA$9</f>
        <v/>
      </c>
      <c r="AB55" s="39">
        <f>AB34*Products!$D$20*Timeline!AB$9</f>
        <v/>
      </c>
      <c r="AC55" s="39">
        <f>AC34*Products!$D$20*Timeline!AC$9</f>
        <v/>
      </c>
      <c r="AD55" s="39">
        <f>AD34*Products!$D$20*Timeline!AD$9</f>
        <v/>
      </c>
      <c r="AE55" s="39">
        <f>AE34*Products!$D$20*Timeline!AE$9</f>
        <v/>
      </c>
      <c r="AF55" s="39">
        <f>AF34*Products!$D$20*Timeline!AF$9</f>
        <v/>
      </c>
      <c r="AG55" s="39">
        <f>AG34*Products!$D$20*Timeline!AG$9</f>
        <v/>
      </c>
      <c r="AH55" s="39">
        <f>AH34*Products!$D$20*Timeline!AH$9</f>
        <v/>
      </c>
      <c r="AI55" s="39">
        <f>AI34*Products!$D$20*Timeline!AI$9</f>
        <v/>
      </c>
      <c r="AJ55" s="39">
        <f>AJ34*Products!$D$20*Timeline!AJ$9</f>
        <v/>
      </c>
      <c r="AK55" s="39">
        <f>AK34*Products!$D$20*Timeline!AK$9</f>
        <v/>
      </c>
      <c r="AL55" s="39">
        <f>AL34*Products!$D$20*Timeline!AL$9</f>
        <v/>
      </c>
      <c r="AM55" s="39">
        <f>AM34*Products!$D$20*Timeline!AM$9</f>
        <v/>
      </c>
      <c r="AN55" s="39">
        <f>AN34*Products!$D$20*Timeline!AN$9</f>
        <v/>
      </c>
      <c r="AO55" s="39">
        <f>AO34*Products!$D$20*Timeline!AO$9</f>
        <v/>
      </c>
      <c r="AP55" s="39">
        <f>AP34*Products!$D$20*Timeline!AP$9</f>
        <v/>
      </c>
      <c r="AQ55" s="39">
        <f>AQ34*Products!$D$20*Timeline!AQ$9</f>
        <v/>
      </c>
      <c r="AR55" s="39">
        <f>AR34*Products!$D$20*Timeline!AR$9</f>
        <v/>
      </c>
      <c r="AS55" s="39">
        <f>AS34*Products!$D$20*Timeline!AS$9</f>
        <v/>
      </c>
      <c r="AT55" s="39">
        <f>AT34*Products!$D$20*Timeline!AT$9</f>
        <v/>
      </c>
      <c r="AU55" s="39">
        <f>AU34*Products!$D$20*Timeline!AU$9</f>
        <v/>
      </c>
      <c r="AV55" s="39">
        <f>AV34*Products!$D$20*Timeline!AV$9</f>
        <v/>
      </c>
      <c r="AW55" s="39">
        <f>AW34*Products!$D$20*Timeline!AW$9</f>
        <v/>
      </c>
      <c r="AX55" s="39">
        <f>AX34*Products!$D$20*Timeline!AX$9</f>
        <v/>
      </c>
      <c r="AY55" s="39">
        <f>AY34*Products!$D$20*Timeline!AY$9</f>
        <v/>
      </c>
      <c r="AZ55" s="39">
        <f>AZ34*Products!$D$20*Timeline!AZ$9</f>
        <v/>
      </c>
      <c r="BA55" s="39">
        <f>BA34*Products!$D$20*Timeline!BA$9</f>
        <v/>
      </c>
      <c r="BB55" s="39">
        <f>BB34*Products!$D$20*Timeline!BB$9</f>
        <v/>
      </c>
      <c r="BC55" s="39">
        <f>BC34*Products!$D$20*Timeline!BC$9</f>
        <v/>
      </c>
      <c r="BD55" s="39">
        <f>BD34*Products!$D$20*Timeline!BD$9</f>
        <v/>
      </c>
      <c r="BE55" s="39">
        <f>BE34*Products!$D$20*Timeline!BE$9</f>
        <v/>
      </c>
      <c r="BF55" s="39">
        <f>BF34*Products!$D$20*Timeline!BF$9</f>
        <v/>
      </c>
      <c r="BG55" s="39">
        <f>BG34*Products!$D$20*Timeline!BG$9</f>
        <v/>
      </c>
      <c r="BH55" s="39">
        <f>BH34*Products!$D$20*Timeline!BH$9</f>
        <v/>
      </c>
      <c r="BI55" s="39">
        <f>BI34*Products!$D$20*Timeline!BI$9</f>
        <v/>
      </c>
      <c r="BJ55" s="39">
        <f>BJ34*Products!$D$20*Timeline!BJ$9</f>
        <v/>
      </c>
      <c r="BK55" s="39">
        <f>BK34*Products!$D$20*Timeline!BK$9</f>
        <v/>
      </c>
      <c r="BL55" s="39">
        <f>BL34*Products!$D$20*Timeline!BL$9</f>
        <v/>
      </c>
    </row>
    <row r="56">
      <c r="A56" s="55" t="inlineStr">
        <is>
          <t>Marketing &amp; acquisition</t>
        </is>
      </c>
      <c r="B56" s="26" t="inlineStr">
        <is>
          <t>LCY</t>
        </is>
      </c>
      <c r="C56" s="58">
        <f>SUM(E56:BL56)</f>
        <v/>
      </c>
      <c r="E56" s="39">
        <f>E34*Products!$D$21*Timeline!E$9</f>
        <v/>
      </c>
      <c r="F56" s="39">
        <f>F34*Products!$D$21*Timeline!F$9</f>
        <v/>
      </c>
      <c r="G56" s="39">
        <f>G34*Products!$D$21*Timeline!G$9</f>
        <v/>
      </c>
      <c r="H56" s="39">
        <f>H34*Products!$D$21*Timeline!H$9</f>
        <v/>
      </c>
      <c r="I56" s="39">
        <f>I34*Products!$D$21*Timeline!I$9</f>
        <v/>
      </c>
      <c r="J56" s="39">
        <f>J34*Products!$D$21*Timeline!J$9</f>
        <v/>
      </c>
      <c r="K56" s="39">
        <f>K34*Products!$D$21*Timeline!K$9</f>
        <v/>
      </c>
      <c r="L56" s="39">
        <f>L34*Products!$D$21*Timeline!L$9</f>
        <v/>
      </c>
      <c r="M56" s="39">
        <f>M34*Products!$D$21*Timeline!M$9</f>
        <v/>
      </c>
      <c r="N56" s="39">
        <f>N34*Products!$D$21*Timeline!N$9</f>
        <v/>
      </c>
      <c r="O56" s="39">
        <f>O34*Products!$D$21*Timeline!O$9</f>
        <v/>
      </c>
      <c r="P56" s="39">
        <f>P34*Products!$D$21*Timeline!P$9</f>
        <v/>
      </c>
      <c r="Q56" s="39">
        <f>Q34*Products!$D$21*Timeline!Q$9</f>
        <v/>
      </c>
      <c r="R56" s="39">
        <f>R34*Products!$D$21*Timeline!R$9</f>
        <v/>
      </c>
      <c r="S56" s="39">
        <f>S34*Products!$D$21*Timeline!S$9</f>
        <v/>
      </c>
      <c r="T56" s="39">
        <f>T34*Products!$D$21*Timeline!T$9</f>
        <v/>
      </c>
      <c r="U56" s="39">
        <f>U34*Products!$D$21*Timeline!U$9</f>
        <v/>
      </c>
      <c r="V56" s="39">
        <f>V34*Products!$D$21*Timeline!V$9</f>
        <v/>
      </c>
      <c r="W56" s="39">
        <f>W34*Products!$D$21*Timeline!W$9</f>
        <v/>
      </c>
      <c r="X56" s="39">
        <f>X34*Products!$D$21*Timeline!X$9</f>
        <v/>
      </c>
      <c r="Y56" s="39">
        <f>Y34*Products!$D$21*Timeline!Y$9</f>
        <v/>
      </c>
      <c r="Z56" s="39">
        <f>Z34*Products!$D$21*Timeline!Z$9</f>
        <v/>
      </c>
      <c r="AA56" s="39">
        <f>AA34*Products!$D$21*Timeline!AA$9</f>
        <v/>
      </c>
      <c r="AB56" s="39">
        <f>AB34*Products!$D$21*Timeline!AB$9</f>
        <v/>
      </c>
      <c r="AC56" s="39">
        <f>AC34*Products!$D$21*Timeline!AC$9</f>
        <v/>
      </c>
      <c r="AD56" s="39">
        <f>AD34*Products!$D$21*Timeline!AD$9</f>
        <v/>
      </c>
      <c r="AE56" s="39">
        <f>AE34*Products!$D$21*Timeline!AE$9</f>
        <v/>
      </c>
      <c r="AF56" s="39">
        <f>AF34*Products!$D$21*Timeline!AF$9</f>
        <v/>
      </c>
      <c r="AG56" s="39">
        <f>AG34*Products!$D$21*Timeline!AG$9</f>
        <v/>
      </c>
      <c r="AH56" s="39">
        <f>AH34*Products!$D$21*Timeline!AH$9</f>
        <v/>
      </c>
      <c r="AI56" s="39">
        <f>AI34*Products!$D$21*Timeline!AI$9</f>
        <v/>
      </c>
      <c r="AJ56" s="39">
        <f>AJ34*Products!$D$21*Timeline!AJ$9</f>
        <v/>
      </c>
      <c r="AK56" s="39">
        <f>AK34*Products!$D$21*Timeline!AK$9</f>
        <v/>
      </c>
      <c r="AL56" s="39">
        <f>AL34*Products!$D$21*Timeline!AL$9</f>
        <v/>
      </c>
      <c r="AM56" s="39">
        <f>AM34*Products!$D$21*Timeline!AM$9</f>
        <v/>
      </c>
      <c r="AN56" s="39">
        <f>AN34*Products!$D$21*Timeline!AN$9</f>
        <v/>
      </c>
      <c r="AO56" s="39">
        <f>AO34*Products!$D$21*Timeline!AO$9</f>
        <v/>
      </c>
      <c r="AP56" s="39">
        <f>AP34*Products!$D$21*Timeline!AP$9</f>
        <v/>
      </c>
      <c r="AQ56" s="39">
        <f>AQ34*Products!$D$21*Timeline!AQ$9</f>
        <v/>
      </c>
      <c r="AR56" s="39">
        <f>AR34*Products!$D$21*Timeline!AR$9</f>
        <v/>
      </c>
      <c r="AS56" s="39">
        <f>AS34*Products!$D$21*Timeline!AS$9</f>
        <v/>
      </c>
      <c r="AT56" s="39">
        <f>AT34*Products!$D$21*Timeline!AT$9</f>
        <v/>
      </c>
      <c r="AU56" s="39">
        <f>AU34*Products!$D$21*Timeline!AU$9</f>
        <v/>
      </c>
      <c r="AV56" s="39">
        <f>AV34*Products!$D$21*Timeline!AV$9</f>
        <v/>
      </c>
      <c r="AW56" s="39">
        <f>AW34*Products!$D$21*Timeline!AW$9</f>
        <v/>
      </c>
      <c r="AX56" s="39">
        <f>AX34*Products!$D$21*Timeline!AX$9</f>
        <v/>
      </c>
      <c r="AY56" s="39">
        <f>AY34*Products!$D$21*Timeline!AY$9</f>
        <v/>
      </c>
      <c r="AZ56" s="39">
        <f>AZ34*Products!$D$21*Timeline!AZ$9</f>
        <v/>
      </c>
      <c r="BA56" s="39">
        <f>BA34*Products!$D$21*Timeline!BA$9</f>
        <v/>
      </c>
      <c r="BB56" s="39">
        <f>BB34*Products!$D$21*Timeline!BB$9</f>
        <v/>
      </c>
      <c r="BC56" s="39">
        <f>BC34*Products!$D$21*Timeline!BC$9</f>
        <v/>
      </c>
      <c r="BD56" s="39">
        <f>BD34*Products!$D$21*Timeline!BD$9</f>
        <v/>
      </c>
      <c r="BE56" s="39">
        <f>BE34*Products!$D$21*Timeline!BE$9</f>
        <v/>
      </c>
      <c r="BF56" s="39">
        <f>BF34*Products!$D$21*Timeline!BF$9</f>
        <v/>
      </c>
      <c r="BG56" s="39">
        <f>BG34*Products!$D$21*Timeline!BG$9</f>
        <v/>
      </c>
      <c r="BH56" s="39">
        <f>BH34*Products!$D$21*Timeline!BH$9</f>
        <v/>
      </c>
      <c r="BI56" s="39">
        <f>BI34*Products!$D$21*Timeline!BI$9</f>
        <v/>
      </c>
      <c r="BJ56" s="39">
        <f>BJ34*Products!$D$21*Timeline!BJ$9</f>
        <v/>
      </c>
      <c r="BK56" s="39">
        <f>BK34*Products!$D$21*Timeline!BK$9</f>
        <v/>
      </c>
      <c r="BL56" s="39">
        <f>BL34*Products!$D$21*Timeline!BL$9</f>
        <v/>
      </c>
    </row>
    <row r="57"/>
    <row r="58">
      <c r="A58" s="14">
        <f>Products!$E$6</f>
        <v/>
      </c>
      <c r="B58" s="15" t="n"/>
      <c r="C58" s="15" t="n"/>
      <c r="D58" s="15" t="n"/>
      <c r="E58" s="15" t="n"/>
      <c r="F58" s="15" t="n"/>
      <c r="G58" s="15" t="n"/>
      <c r="H58" s="15" t="n"/>
      <c r="I58" s="15" t="n"/>
      <c r="J58" s="15" t="n"/>
      <c r="K58" s="15" t="n"/>
      <c r="L58" s="15" t="n"/>
      <c r="M58" s="15" t="n"/>
      <c r="N58" s="15" t="n"/>
      <c r="O58" s="15" t="n"/>
      <c r="P58" s="15" t="n"/>
      <c r="Q58" s="15" t="n"/>
      <c r="R58" s="15" t="n"/>
      <c r="S58" s="15" t="n"/>
      <c r="T58" s="15" t="n"/>
      <c r="U58" s="15" t="n"/>
      <c r="V58" s="15" t="n"/>
      <c r="W58" s="15" t="n"/>
      <c r="X58" s="15" t="n"/>
      <c r="Y58" s="15" t="n"/>
      <c r="Z58" s="15" t="n"/>
      <c r="AA58" s="15" t="n"/>
      <c r="AB58" s="15" t="n"/>
      <c r="AC58" s="15" t="n"/>
      <c r="AD58" s="15" t="n"/>
      <c r="AE58" s="15" t="n"/>
      <c r="AF58" s="15" t="n"/>
      <c r="AG58" s="15" t="n"/>
      <c r="AH58" s="15" t="n"/>
      <c r="AI58" s="15" t="n"/>
      <c r="AJ58" s="15" t="n"/>
      <c r="AK58" s="15" t="n"/>
      <c r="AL58" s="15" t="n"/>
      <c r="AM58" s="15" t="n"/>
      <c r="AN58" s="15" t="n"/>
      <c r="AO58" s="15" t="n"/>
      <c r="AP58" s="15" t="n"/>
      <c r="AQ58" s="15" t="n"/>
      <c r="AR58" s="15" t="n"/>
      <c r="AS58" s="15" t="n"/>
      <c r="AT58" s="15" t="n"/>
      <c r="AU58" s="15" t="n"/>
      <c r="AV58" s="15" t="n"/>
      <c r="AW58" s="15" t="n"/>
      <c r="AX58" s="15" t="n"/>
      <c r="AY58" s="15" t="n"/>
      <c r="AZ58" s="15" t="n"/>
      <c r="BA58" s="15" t="n"/>
      <c r="BB58" s="15" t="n"/>
      <c r="BC58" s="15" t="n"/>
      <c r="BD58" s="15" t="n"/>
      <c r="BE58" s="15" t="n"/>
      <c r="BF58" s="15" t="n"/>
      <c r="BG58" s="15" t="n"/>
      <c r="BH58" s="15" t="n"/>
      <c r="BI58" s="15" t="n"/>
      <c r="BJ58" s="15" t="n"/>
      <c r="BK58" s="15" t="n"/>
      <c r="BL58" s="15" t="n"/>
    </row>
    <row r="59">
      <c r="A59" s="55" t="inlineStr">
        <is>
          <t>Units sold</t>
        </is>
      </c>
      <c r="B59" s="26" t="inlineStr">
        <is>
          <t>units</t>
        </is>
      </c>
      <c r="C59" s="58">
        <f>SUM(E59:BL59)</f>
        <v/>
      </c>
      <c r="E59" s="39">
        <f>Timeline!E$11*Products!$E$23</f>
        <v/>
      </c>
      <c r="F59" s="39">
        <f>Timeline!F$11*Products!$E$23</f>
        <v/>
      </c>
      <c r="G59" s="39">
        <f>Timeline!G$11*Products!$E$23</f>
        <v/>
      </c>
      <c r="H59" s="39">
        <f>Timeline!H$11*Products!$E$23</f>
        <v/>
      </c>
      <c r="I59" s="39">
        <f>Timeline!I$11*Products!$E$23</f>
        <v/>
      </c>
      <c r="J59" s="39">
        <f>Timeline!J$11*Products!$E$23</f>
        <v/>
      </c>
      <c r="K59" s="39">
        <f>Timeline!K$11*Products!$E$23</f>
        <v/>
      </c>
      <c r="L59" s="39">
        <f>Timeline!L$11*Products!$E$23</f>
        <v/>
      </c>
      <c r="M59" s="39">
        <f>Timeline!M$11*Products!$E$23</f>
        <v/>
      </c>
      <c r="N59" s="39">
        <f>Timeline!N$11*Products!$E$23</f>
        <v/>
      </c>
      <c r="O59" s="39">
        <f>Timeline!O$11*Products!$E$23</f>
        <v/>
      </c>
      <c r="P59" s="39">
        <f>Timeline!P$11*Products!$E$23</f>
        <v/>
      </c>
      <c r="Q59" s="39">
        <f>Timeline!Q$11*Products!$E$23</f>
        <v/>
      </c>
      <c r="R59" s="39">
        <f>Timeline!R$11*Products!$E$23</f>
        <v/>
      </c>
      <c r="S59" s="39">
        <f>Timeline!S$11*Products!$E$23</f>
        <v/>
      </c>
      <c r="T59" s="39">
        <f>Timeline!T$11*Products!$E$23</f>
        <v/>
      </c>
      <c r="U59" s="39">
        <f>Timeline!U$11*Products!$E$23</f>
        <v/>
      </c>
      <c r="V59" s="39">
        <f>Timeline!V$11*Products!$E$23</f>
        <v/>
      </c>
      <c r="W59" s="39">
        <f>Timeline!W$11*Products!$E$23</f>
        <v/>
      </c>
      <c r="X59" s="39">
        <f>Timeline!X$11*Products!$E$23</f>
        <v/>
      </c>
      <c r="Y59" s="39">
        <f>Timeline!Y$11*Products!$E$23</f>
        <v/>
      </c>
      <c r="Z59" s="39">
        <f>Timeline!Z$11*Products!$E$23</f>
        <v/>
      </c>
      <c r="AA59" s="39">
        <f>Timeline!AA$11*Products!$E$23</f>
        <v/>
      </c>
      <c r="AB59" s="39">
        <f>Timeline!AB$11*Products!$E$23</f>
        <v/>
      </c>
      <c r="AC59" s="39">
        <f>Timeline!AC$11*Products!$E$23</f>
        <v/>
      </c>
      <c r="AD59" s="39">
        <f>Timeline!AD$11*Products!$E$23</f>
        <v/>
      </c>
      <c r="AE59" s="39">
        <f>Timeline!AE$11*Products!$E$23</f>
        <v/>
      </c>
      <c r="AF59" s="39">
        <f>Timeline!AF$11*Products!$E$23</f>
        <v/>
      </c>
      <c r="AG59" s="39">
        <f>Timeline!AG$11*Products!$E$23</f>
        <v/>
      </c>
      <c r="AH59" s="39">
        <f>Timeline!AH$11*Products!$E$23</f>
        <v/>
      </c>
      <c r="AI59" s="39">
        <f>Timeline!AI$11*Products!$E$23</f>
        <v/>
      </c>
      <c r="AJ59" s="39">
        <f>Timeline!AJ$11*Products!$E$23</f>
        <v/>
      </c>
      <c r="AK59" s="39">
        <f>Timeline!AK$11*Products!$E$23</f>
        <v/>
      </c>
      <c r="AL59" s="39">
        <f>Timeline!AL$11*Products!$E$23</f>
        <v/>
      </c>
      <c r="AM59" s="39">
        <f>Timeline!AM$11*Products!$E$23</f>
        <v/>
      </c>
      <c r="AN59" s="39">
        <f>Timeline!AN$11*Products!$E$23</f>
        <v/>
      </c>
      <c r="AO59" s="39">
        <f>Timeline!AO$11*Products!$E$23</f>
        <v/>
      </c>
      <c r="AP59" s="39">
        <f>Timeline!AP$11*Products!$E$23</f>
        <v/>
      </c>
      <c r="AQ59" s="39">
        <f>Timeline!AQ$11*Products!$E$23</f>
        <v/>
      </c>
      <c r="AR59" s="39">
        <f>Timeline!AR$11*Products!$E$23</f>
        <v/>
      </c>
      <c r="AS59" s="39">
        <f>Timeline!AS$11*Products!$E$23</f>
        <v/>
      </c>
      <c r="AT59" s="39">
        <f>Timeline!AT$11*Products!$E$23</f>
        <v/>
      </c>
      <c r="AU59" s="39">
        <f>Timeline!AU$11*Products!$E$23</f>
        <v/>
      </c>
      <c r="AV59" s="39">
        <f>Timeline!AV$11*Products!$E$23</f>
        <v/>
      </c>
      <c r="AW59" s="39">
        <f>Timeline!AW$11*Products!$E$23</f>
        <v/>
      </c>
      <c r="AX59" s="39">
        <f>Timeline!AX$11*Products!$E$23</f>
        <v/>
      </c>
      <c r="AY59" s="39">
        <f>Timeline!AY$11*Products!$E$23</f>
        <v/>
      </c>
      <c r="AZ59" s="39">
        <f>Timeline!AZ$11*Products!$E$23</f>
        <v/>
      </c>
      <c r="BA59" s="39">
        <f>Timeline!BA$11*Products!$E$23</f>
        <v/>
      </c>
      <c r="BB59" s="39">
        <f>Timeline!BB$11*Products!$E$23</f>
        <v/>
      </c>
      <c r="BC59" s="39">
        <f>Timeline!BC$11*Products!$E$23</f>
        <v/>
      </c>
      <c r="BD59" s="39">
        <f>Timeline!BD$11*Products!$E$23</f>
        <v/>
      </c>
      <c r="BE59" s="39">
        <f>Timeline!BE$11*Products!$E$23</f>
        <v/>
      </c>
      <c r="BF59" s="39">
        <f>Timeline!BF$11*Products!$E$23</f>
        <v/>
      </c>
      <c r="BG59" s="39">
        <f>Timeline!BG$11*Products!$E$23</f>
        <v/>
      </c>
      <c r="BH59" s="39">
        <f>Timeline!BH$11*Products!$E$23</f>
        <v/>
      </c>
      <c r="BI59" s="39">
        <f>Timeline!BI$11*Products!$E$23</f>
        <v/>
      </c>
      <c r="BJ59" s="39">
        <f>Timeline!BJ$11*Products!$E$23</f>
        <v/>
      </c>
      <c r="BK59" s="39">
        <f>Timeline!BK$11*Products!$E$23</f>
        <v/>
      </c>
      <c r="BL59" s="39">
        <f>Timeline!BL$11*Products!$E$23</f>
        <v/>
      </c>
    </row>
    <row r="60">
      <c r="A60" s="55" t="inlineStr">
        <is>
          <t>Price-indexed units (units x price index)</t>
        </is>
      </c>
      <c r="B60" s="26" t="inlineStr">
        <is>
          <t>units</t>
        </is>
      </c>
      <c r="C60" s="58">
        <f>SUM(E60:BL60)</f>
        <v/>
      </c>
      <c r="E60" s="39">
        <f>E59*Timeline!E$10</f>
        <v/>
      </c>
      <c r="F60" s="39">
        <f>F59*Timeline!F$10</f>
        <v/>
      </c>
      <c r="G60" s="39">
        <f>G59*Timeline!G$10</f>
        <v/>
      </c>
      <c r="H60" s="39">
        <f>H59*Timeline!H$10</f>
        <v/>
      </c>
      <c r="I60" s="39">
        <f>I59*Timeline!I$10</f>
        <v/>
      </c>
      <c r="J60" s="39">
        <f>J59*Timeline!J$10</f>
        <v/>
      </c>
      <c r="K60" s="39">
        <f>K59*Timeline!K$10</f>
        <v/>
      </c>
      <c r="L60" s="39">
        <f>L59*Timeline!L$10</f>
        <v/>
      </c>
      <c r="M60" s="39">
        <f>M59*Timeline!M$10</f>
        <v/>
      </c>
      <c r="N60" s="39">
        <f>N59*Timeline!N$10</f>
        <v/>
      </c>
      <c r="O60" s="39">
        <f>O59*Timeline!O$10</f>
        <v/>
      </c>
      <c r="P60" s="39">
        <f>P59*Timeline!P$10</f>
        <v/>
      </c>
      <c r="Q60" s="39">
        <f>Q59*Timeline!Q$10</f>
        <v/>
      </c>
      <c r="R60" s="39">
        <f>R59*Timeline!R$10</f>
        <v/>
      </c>
      <c r="S60" s="39">
        <f>S59*Timeline!S$10</f>
        <v/>
      </c>
      <c r="T60" s="39">
        <f>T59*Timeline!T$10</f>
        <v/>
      </c>
      <c r="U60" s="39">
        <f>U59*Timeline!U$10</f>
        <v/>
      </c>
      <c r="V60" s="39">
        <f>V59*Timeline!V$10</f>
        <v/>
      </c>
      <c r="W60" s="39">
        <f>W59*Timeline!W$10</f>
        <v/>
      </c>
      <c r="X60" s="39">
        <f>X59*Timeline!X$10</f>
        <v/>
      </c>
      <c r="Y60" s="39">
        <f>Y59*Timeline!Y$10</f>
        <v/>
      </c>
      <c r="Z60" s="39">
        <f>Z59*Timeline!Z$10</f>
        <v/>
      </c>
      <c r="AA60" s="39">
        <f>AA59*Timeline!AA$10</f>
        <v/>
      </c>
      <c r="AB60" s="39">
        <f>AB59*Timeline!AB$10</f>
        <v/>
      </c>
      <c r="AC60" s="39">
        <f>AC59*Timeline!AC$10</f>
        <v/>
      </c>
      <c r="AD60" s="39">
        <f>AD59*Timeline!AD$10</f>
        <v/>
      </c>
      <c r="AE60" s="39">
        <f>AE59*Timeline!AE$10</f>
        <v/>
      </c>
      <c r="AF60" s="39">
        <f>AF59*Timeline!AF$10</f>
        <v/>
      </c>
      <c r="AG60" s="39">
        <f>AG59*Timeline!AG$10</f>
        <v/>
      </c>
      <c r="AH60" s="39">
        <f>AH59*Timeline!AH$10</f>
        <v/>
      </c>
      <c r="AI60" s="39">
        <f>AI59*Timeline!AI$10</f>
        <v/>
      </c>
      <c r="AJ60" s="39">
        <f>AJ59*Timeline!AJ$10</f>
        <v/>
      </c>
      <c r="AK60" s="39">
        <f>AK59*Timeline!AK$10</f>
        <v/>
      </c>
      <c r="AL60" s="39">
        <f>AL59*Timeline!AL$10</f>
        <v/>
      </c>
      <c r="AM60" s="39">
        <f>AM59*Timeline!AM$10</f>
        <v/>
      </c>
      <c r="AN60" s="39">
        <f>AN59*Timeline!AN$10</f>
        <v/>
      </c>
      <c r="AO60" s="39">
        <f>AO59*Timeline!AO$10</f>
        <v/>
      </c>
      <c r="AP60" s="39">
        <f>AP59*Timeline!AP$10</f>
        <v/>
      </c>
      <c r="AQ60" s="39">
        <f>AQ59*Timeline!AQ$10</f>
        <v/>
      </c>
      <c r="AR60" s="39">
        <f>AR59*Timeline!AR$10</f>
        <v/>
      </c>
      <c r="AS60" s="39">
        <f>AS59*Timeline!AS$10</f>
        <v/>
      </c>
      <c r="AT60" s="39">
        <f>AT59*Timeline!AT$10</f>
        <v/>
      </c>
      <c r="AU60" s="39">
        <f>AU59*Timeline!AU$10</f>
        <v/>
      </c>
      <c r="AV60" s="39">
        <f>AV59*Timeline!AV$10</f>
        <v/>
      </c>
      <c r="AW60" s="39">
        <f>AW59*Timeline!AW$10</f>
        <v/>
      </c>
      <c r="AX60" s="39">
        <f>AX59*Timeline!AX$10</f>
        <v/>
      </c>
      <c r="AY60" s="39">
        <f>AY59*Timeline!AY$10</f>
        <v/>
      </c>
      <c r="AZ60" s="39">
        <f>AZ59*Timeline!AZ$10</f>
        <v/>
      </c>
      <c r="BA60" s="39">
        <f>BA59*Timeline!BA$10</f>
        <v/>
      </c>
      <c r="BB60" s="39">
        <f>BB59*Timeline!BB$10</f>
        <v/>
      </c>
      <c r="BC60" s="39">
        <f>BC59*Timeline!BC$10</f>
        <v/>
      </c>
      <c r="BD60" s="39">
        <f>BD59*Timeline!BD$10</f>
        <v/>
      </c>
      <c r="BE60" s="39">
        <f>BE59*Timeline!BE$10</f>
        <v/>
      </c>
      <c r="BF60" s="39">
        <f>BF59*Timeline!BF$10</f>
        <v/>
      </c>
      <c r="BG60" s="39">
        <f>BG59*Timeline!BG$10</f>
        <v/>
      </c>
      <c r="BH60" s="39">
        <f>BH59*Timeline!BH$10</f>
        <v/>
      </c>
      <c r="BI60" s="39">
        <f>BI59*Timeline!BI$10</f>
        <v/>
      </c>
      <c r="BJ60" s="39">
        <f>BJ59*Timeline!BJ$10</f>
        <v/>
      </c>
      <c r="BK60" s="39">
        <f>BK59*Timeline!BK$10</f>
        <v/>
      </c>
      <c r="BL60" s="39">
        <f>BL59*Timeline!BL$10</f>
        <v/>
      </c>
    </row>
    <row r="61">
      <c r="A61" s="55" t="inlineStr">
        <is>
          <t>Down payments collected</t>
        </is>
      </c>
      <c r="B61" s="26" t="inlineStr">
        <is>
          <t>LCY</t>
        </is>
      </c>
      <c r="C61" s="58">
        <f>SUM(E61:BL61)</f>
        <v/>
      </c>
      <c r="E61" s="39">
        <f>E60*Products!$E$14</f>
        <v/>
      </c>
      <c r="F61" s="39">
        <f>F60*Products!$E$14</f>
        <v/>
      </c>
      <c r="G61" s="39">
        <f>G60*Products!$E$14</f>
        <v/>
      </c>
      <c r="H61" s="39">
        <f>H60*Products!$E$14</f>
        <v/>
      </c>
      <c r="I61" s="39">
        <f>I60*Products!$E$14</f>
        <v/>
      </c>
      <c r="J61" s="39">
        <f>J60*Products!$E$14</f>
        <v/>
      </c>
      <c r="K61" s="39">
        <f>K60*Products!$E$14</f>
        <v/>
      </c>
      <c r="L61" s="39">
        <f>L60*Products!$E$14</f>
        <v/>
      </c>
      <c r="M61" s="39">
        <f>M60*Products!$E$14</f>
        <v/>
      </c>
      <c r="N61" s="39">
        <f>N60*Products!$E$14</f>
        <v/>
      </c>
      <c r="O61" s="39">
        <f>O60*Products!$E$14</f>
        <v/>
      </c>
      <c r="P61" s="39">
        <f>P60*Products!$E$14</f>
        <v/>
      </c>
      <c r="Q61" s="39">
        <f>Q60*Products!$E$14</f>
        <v/>
      </c>
      <c r="R61" s="39">
        <f>R60*Products!$E$14</f>
        <v/>
      </c>
      <c r="S61" s="39">
        <f>S60*Products!$E$14</f>
        <v/>
      </c>
      <c r="T61" s="39">
        <f>T60*Products!$E$14</f>
        <v/>
      </c>
      <c r="U61" s="39">
        <f>U60*Products!$E$14</f>
        <v/>
      </c>
      <c r="V61" s="39">
        <f>V60*Products!$E$14</f>
        <v/>
      </c>
      <c r="W61" s="39">
        <f>W60*Products!$E$14</f>
        <v/>
      </c>
      <c r="X61" s="39">
        <f>X60*Products!$E$14</f>
        <v/>
      </c>
      <c r="Y61" s="39">
        <f>Y60*Products!$E$14</f>
        <v/>
      </c>
      <c r="Z61" s="39">
        <f>Z60*Products!$E$14</f>
        <v/>
      </c>
      <c r="AA61" s="39">
        <f>AA60*Products!$E$14</f>
        <v/>
      </c>
      <c r="AB61" s="39">
        <f>AB60*Products!$E$14</f>
        <v/>
      </c>
      <c r="AC61" s="39">
        <f>AC60*Products!$E$14</f>
        <v/>
      </c>
      <c r="AD61" s="39">
        <f>AD60*Products!$E$14</f>
        <v/>
      </c>
      <c r="AE61" s="39">
        <f>AE60*Products!$E$14</f>
        <v/>
      </c>
      <c r="AF61" s="39">
        <f>AF60*Products!$E$14</f>
        <v/>
      </c>
      <c r="AG61" s="39">
        <f>AG60*Products!$E$14</f>
        <v/>
      </c>
      <c r="AH61" s="39">
        <f>AH60*Products!$E$14</f>
        <v/>
      </c>
      <c r="AI61" s="39">
        <f>AI60*Products!$E$14</f>
        <v/>
      </c>
      <c r="AJ61" s="39">
        <f>AJ60*Products!$E$14</f>
        <v/>
      </c>
      <c r="AK61" s="39">
        <f>AK60*Products!$E$14</f>
        <v/>
      </c>
      <c r="AL61" s="39">
        <f>AL60*Products!$E$14</f>
        <v/>
      </c>
      <c r="AM61" s="39">
        <f>AM60*Products!$E$14</f>
        <v/>
      </c>
      <c r="AN61" s="39">
        <f>AN60*Products!$E$14</f>
        <v/>
      </c>
      <c r="AO61" s="39">
        <f>AO60*Products!$E$14</f>
        <v/>
      </c>
      <c r="AP61" s="39">
        <f>AP60*Products!$E$14</f>
        <v/>
      </c>
      <c r="AQ61" s="39">
        <f>AQ60*Products!$E$14</f>
        <v/>
      </c>
      <c r="AR61" s="39">
        <f>AR60*Products!$E$14</f>
        <v/>
      </c>
      <c r="AS61" s="39">
        <f>AS60*Products!$E$14</f>
        <v/>
      </c>
      <c r="AT61" s="39">
        <f>AT60*Products!$E$14</f>
        <v/>
      </c>
      <c r="AU61" s="39">
        <f>AU60*Products!$E$14</f>
        <v/>
      </c>
      <c r="AV61" s="39">
        <f>AV60*Products!$E$14</f>
        <v/>
      </c>
      <c r="AW61" s="39">
        <f>AW60*Products!$E$14</f>
        <v/>
      </c>
      <c r="AX61" s="39">
        <f>AX60*Products!$E$14</f>
        <v/>
      </c>
      <c r="AY61" s="39">
        <f>AY60*Products!$E$14</f>
        <v/>
      </c>
      <c r="AZ61" s="39">
        <f>AZ60*Products!$E$14</f>
        <v/>
      </c>
      <c r="BA61" s="39">
        <f>BA60*Products!$E$14</f>
        <v/>
      </c>
      <c r="BB61" s="39">
        <f>BB60*Products!$E$14</f>
        <v/>
      </c>
      <c r="BC61" s="39">
        <f>BC60*Products!$E$14</f>
        <v/>
      </c>
      <c r="BD61" s="39">
        <f>BD60*Products!$E$14</f>
        <v/>
      </c>
      <c r="BE61" s="39">
        <f>BE60*Products!$E$14</f>
        <v/>
      </c>
      <c r="BF61" s="39">
        <f>BF60*Products!$E$14</f>
        <v/>
      </c>
      <c r="BG61" s="39">
        <f>BG60*Products!$E$14</f>
        <v/>
      </c>
      <c r="BH61" s="39">
        <f>BH60*Products!$E$14</f>
        <v/>
      </c>
      <c r="BI61" s="39">
        <f>BI60*Products!$E$14</f>
        <v/>
      </c>
      <c r="BJ61" s="39">
        <f>BJ60*Products!$E$14</f>
        <v/>
      </c>
      <c r="BK61" s="39">
        <f>BK60*Products!$E$14</f>
        <v/>
      </c>
      <c r="BL61" s="39">
        <f>BL60*Products!$E$14</f>
        <v/>
      </c>
    </row>
    <row r="62">
      <c r="A62" s="55" t="inlineStr">
        <is>
          <t>Hardware revenue (cash price)</t>
        </is>
      </c>
      <c r="B62" s="26" t="inlineStr">
        <is>
          <t>LCY</t>
        </is>
      </c>
      <c r="C62" s="58">
        <f>SUM(E62:BL62)</f>
        <v/>
      </c>
      <c r="E62" s="39">
        <f>E60*Products!$E$13</f>
        <v/>
      </c>
      <c r="F62" s="39">
        <f>F60*Products!$E$13</f>
        <v/>
      </c>
      <c r="G62" s="39">
        <f>G60*Products!$E$13</f>
        <v/>
      </c>
      <c r="H62" s="39">
        <f>H60*Products!$E$13</f>
        <v/>
      </c>
      <c r="I62" s="39">
        <f>I60*Products!$E$13</f>
        <v/>
      </c>
      <c r="J62" s="39">
        <f>J60*Products!$E$13</f>
        <v/>
      </c>
      <c r="K62" s="39">
        <f>K60*Products!$E$13</f>
        <v/>
      </c>
      <c r="L62" s="39">
        <f>L60*Products!$E$13</f>
        <v/>
      </c>
      <c r="M62" s="39">
        <f>M60*Products!$E$13</f>
        <v/>
      </c>
      <c r="N62" s="39">
        <f>N60*Products!$E$13</f>
        <v/>
      </c>
      <c r="O62" s="39">
        <f>O60*Products!$E$13</f>
        <v/>
      </c>
      <c r="P62" s="39">
        <f>P60*Products!$E$13</f>
        <v/>
      </c>
      <c r="Q62" s="39">
        <f>Q60*Products!$E$13</f>
        <v/>
      </c>
      <c r="R62" s="39">
        <f>R60*Products!$E$13</f>
        <v/>
      </c>
      <c r="S62" s="39">
        <f>S60*Products!$E$13</f>
        <v/>
      </c>
      <c r="T62" s="39">
        <f>T60*Products!$E$13</f>
        <v/>
      </c>
      <c r="U62" s="39">
        <f>U60*Products!$E$13</f>
        <v/>
      </c>
      <c r="V62" s="39">
        <f>V60*Products!$E$13</f>
        <v/>
      </c>
      <c r="W62" s="39">
        <f>W60*Products!$E$13</f>
        <v/>
      </c>
      <c r="X62" s="39">
        <f>X60*Products!$E$13</f>
        <v/>
      </c>
      <c r="Y62" s="39">
        <f>Y60*Products!$E$13</f>
        <v/>
      </c>
      <c r="Z62" s="39">
        <f>Z60*Products!$E$13</f>
        <v/>
      </c>
      <c r="AA62" s="39">
        <f>AA60*Products!$E$13</f>
        <v/>
      </c>
      <c r="AB62" s="39">
        <f>AB60*Products!$E$13</f>
        <v/>
      </c>
      <c r="AC62" s="39">
        <f>AC60*Products!$E$13</f>
        <v/>
      </c>
      <c r="AD62" s="39">
        <f>AD60*Products!$E$13</f>
        <v/>
      </c>
      <c r="AE62" s="39">
        <f>AE60*Products!$E$13</f>
        <v/>
      </c>
      <c r="AF62" s="39">
        <f>AF60*Products!$E$13</f>
        <v/>
      </c>
      <c r="AG62" s="39">
        <f>AG60*Products!$E$13</f>
        <v/>
      </c>
      <c r="AH62" s="39">
        <f>AH60*Products!$E$13</f>
        <v/>
      </c>
      <c r="AI62" s="39">
        <f>AI60*Products!$E$13</f>
        <v/>
      </c>
      <c r="AJ62" s="39">
        <f>AJ60*Products!$E$13</f>
        <v/>
      </c>
      <c r="AK62" s="39">
        <f>AK60*Products!$E$13</f>
        <v/>
      </c>
      <c r="AL62" s="39">
        <f>AL60*Products!$E$13</f>
        <v/>
      </c>
      <c r="AM62" s="39">
        <f>AM60*Products!$E$13</f>
        <v/>
      </c>
      <c r="AN62" s="39">
        <f>AN60*Products!$E$13</f>
        <v/>
      </c>
      <c r="AO62" s="39">
        <f>AO60*Products!$E$13</f>
        <v/>
      </c>
      <c r="AP62" s="39">
        <f>AP60*Products!$E$13</f>
        <v/>
      </c>
      <c r="AQ62" s="39">
        <f>AQ60*Products!$E$13</f>
        <v/>
      </c>
      <c r="AR62" s="39">
        <f>AR60*Products!$E$13</f>
        <v/>
      </c>
      <c r="AS62" s="39">
        <f>AS60*Products!$E$13</f>
        <v/>
      </c>
      <c r="AT62" s="39">
        <f>AT60*Products!$E$13</f>
        <v/>
      </c>
      <c r="AU62" s="39">
        <f>AU60*Products!$E$13</f>
        <v/>
      </c>
      <c r="AV62" s="39">
        <f>AV60*Products!$E$13</f>
        <v/>
      </c>
      <c r="AW62" s="39">
        <f>AW60*Products!$E$13</f>
        <v/>
      </c>
      <c r="AX62" s="39">
        <f>AX60*Products!$E$13</f>
        <v/>
      </c>
      <c r="AY62" s="39">
        <f>AY60*Products!$E$13</f>
        <v/>
      </c>
      <c r="AZ62" s="39">
        <f>AZ60*Products!$E$13</f>
        <v/>
      </c>
      <c r="BA62" s="39">
        <f>BA60*Products!$E$13</f>
        <v/>
      </c>
      <c r="BB62" s="39">
        <f>BB60*Products!$E$13</f>
        <v/>
      </c>
      <c r="BC62" s="39">
        <f>BC60*Products!$E$13</f>
        <v/>
      </c>
      <c r="BD62" s="39">
        <f>BD60*Products!$E$13</f>
        <v/>
      </c>
      <c r="BE62" s="39">
        <f>BE60*Products!$E$13</f>
        <v/>
      </c>
      <c r="BF62" s="39">
        <f>BF60*Products!$E$13</f>
        <v/>
      </c>
      <c r="BG62" s="39">
        <f>BG60*Products!$E$13</f>
        <v/>
      </c>
      <c r="BH62" s="39">
        <f>BH60*Products!$E$13</f>
        <v/>
      </c>
      <c r="BI62" s="39">
        <f>BI60*Products!$E$13</f>
        <v/>
      </c>
      <c r="BJ62" s="39">
        <f>BJ60*Products!$E$13</f>
        <v/>
      </c>
      <c r="BK62" s="39">
        <f>BK60*Products!$E$13</f>
        <v/>
      </c>
      <c r="BL62" s="39">
        <f>BL60*Products!$E$13</f>
        <v/>
      </c>
    </row>
    <row r="63">
      <c r="A63" s="55" t="inlineStr">
        <is>
          <t>New PAYGo receivables originated</t>
        </is>
      </c>
      <c r="B63" s="26" t="inlineStr">
        <is>
          <t>LCY</t>
        </is>
      </c>
      <c r="C63" s="58">
        <f>SUM(E63:BL63)</f>
        <v/>
      </c>
      <c r="E63" s="39">
        <f>E60*Products!$E$38</f>
        <v/>
      </c>
      <c r="F63" s="39">
        <f>F60*Products!$E$38</f>
        <v/>
      </c>
      <c r="G63" s="39">
        <f>G60*Products!$E$38</f>
        <v/>
      </c>
      <c r="H63" s="39">
        <f>H60*Products!$E$38</f>
        <v/>
      </c>
      <c r="I63" s="39">
        <f>I60*Products!$E$38</f>
        <v/>
      </c>
      <c r="J63" s="39">
        <f>J60*Products!$E$38</f>
        <v/>
      </c>
      <c r="K63" s="39">
        <f>K60*Products!$E$38</f>
        <v/>
      </c>
      <c r="L63" s="39">
        <f>L60*Products!$E$38</f>
        <v/>
      </c>
      <c r="M63" s="39">
        <f>M60*Products!$E$38</f>
        <v/>
      </c>
      <c r="N63" s="39">
        <f>N60*Products!$E$38</f>
        <v/>
      </c>
      <c r="O63" s="39">
        <f>O60*Products!$E$38</f>
        <v/>
      </c>
      <c r="P63" s="39">
        <f>P60*Products!$E$38</f>
        <v/>
      </c>
      <c r="Q63" s="39">
        <f>Q60*Products!$E$38</f>
        <v/>
      </c>
      <c r="R63" s="39">
        <f>R60*Products!$E$38</f>
        <v/>
      </c>
      <c r="S63" s="39">
        <f>S60*Products!$E$38</f>
        <v/>
      </c>
      <c r="T63" s="39">
        <f>T60*Products!$E$38</f>
        <v/>
      </c>
      <c r="U63" s="39">
        <f>U60*Products!$E$38</f>
        <v/>
      </c>
      <c r="V63" s="39">
        <f>V60*Products!$E$38</f>
        <v/>
      </c>
      <c r="W63" s="39">
        <f>W60*Products!$E$38</f>
        <v/>
      </c>
      <c r="X63" s="39">
        <f>X60*Products!$E$38</f>
        <v/>
      </c>
      <c r="Y63" s="39">
        <f>Y60*Products!$E$38</f>
        <v/>
      </c>
      <c r="Z63" s="39">
        <f>Z60*Products!$E$38</f>
        <v/>
      </c>
      <c r="AA63" s="39">
        <f>AA60*Products!$E$38</f>
        <v/>
      </c>
      <c r="AB63" s="39">
        <f>AB60*Products!$E$38</f>
        <v/>
      </c>
      <c r="AC63" s="39">
        <f>AC60*Products!$E$38</f>
        <v/>
      </c>
      <c r="AD63" s="39">
        <f>AD60*Products!$E$38</f>
        <v/>
      </c>
      <c r="AE63" s="39">
        <f>AE60*Products!$E$38</f>
        <v/>
      </c>
      <c r="AF63" s="39">
        <f>AF60*Products!$E$38</f>
        <v/>
      </c>
      <c r="AG63" s="39">
        <f>AG60*Products!$E$38</f>
        <v/>
      </c>
      <c r="AH63" s="39">
        <f>AH60*Products!$E$38</f>
        <v/>
      </c>
      <c r="AI63" s="39">
        <f>AI60*Products!$E$38</f>
        <v/>
      </c>
      <c r="AJ63" s="39">
        <f>AJ60*Products!$E$38</f>
        <v/>
      </c>
      <c r="AK63" s="39">
        <f>AK60*Products!$E$38</f>
        <v/>
      </c>
      <c r="AL63" s="39">
        <f>AL60*Products!$E$38</f>
        <v/>
      </c>
      <c r="AM63" s="39">
        <f>AM60*Products!$E$38</f>
        <v/>
      </c>
      <c r="AN63" s="39">
        <f>AN60*Products!$E$38</f>
        <v/>
      </c>
      <c r="AO63" s="39">
        <f>AO60*Products!$E$38</f>
        <v/>
      </c>
      <c r="AP63" s="39">
        <f>AP60*Products!$E$38</f>
        <v/>
      </c>
      <c r="AQ63" s="39">
        <f>AQ60*Products!$E$38</f>
        <v/>
      </c>
      <c r="AR63" s="39">
        <f>AR60*Products!$E$38</f>
        <v/>
      </c>
      <c r="AS63" s="39">
        <f>AS60*Products!$E$38</f>
        <v/>
      </c>
      <c r="AT63" s="39">
        <f>AT60*Products!$E$38</f>
        <v/>
      </c>
      <c r="AU63" s="39">
        <f>AU60*Products!$E$38</f>
        <v/>
      </c>
      <c r="AV63" s="39">
        <f>AV60*Products!$E$38</f>
        <v/>
      </c>
      <c r="AW63" s="39">
        <f>AW60*Products!$E$38</f>
        <v/>
      </c>
      <c r="AX63" s="39">
        <f>AX60*Products!$E$38</f>
        <v/>
      </c>
      <c r="AY63" s="39">
        <f>AY60*Products!$E$38</f>
        <v/>
      </c>
      <c r="AZ63" s="39">
        <f>AZ60*Products!$E$38</f>
        <v/>
      </c>
      <c r="BA63" s="39">
        <f>BA60*Products!$E$38</f>
        <v/>
      </c>
      <c r="BB63" s="39">
        <f>BB60*Products!$E$38</f>
        <v/>
      </c>
      <c r="BC63" s="39">
        <f>BC60*Products!$E$38</f>
        <v/>
      </c>
      <c r="BD63" s="39">
        <f>BD60*Products!$E$38</f>
        <v/>
      </c>
      <c r="BE63" s="39">
        <f>BE60*Products!$E$38</f>
        <v/>
      </c>
      <c r="BF63" s="39">
        <f>BF60*Products!$E$38</f>
        <v/>
      </c>
      <c r="BG63" s="39">
        <f>BG60*Products!$E$38</f>
        <v/>
      </c>
      <c r="BH63" s="39">
        <f>BH60*Products!$E$38</f>
        <v/>
      </c>
      <c r="BI63" s="39">
        <f>BI60*Products!$E$38</f>
        <v/>
      </c>
      <c r="BJ63" s="39">
        <f>BJ60*Products!$E$38</f>
        <v/>
      </c>
      <c r="BK63" s="39">
        <f>BK60*Products!$E$38</f>
        <v/>
      </c>
      <c r="BL63" s="39">
        <f>BL60*Products!$E$38</f>
        <v/>
      </c>
    </row>
    <row r="64">
      <c r="A64" s="55" t="inlineStr">
        <is>
          <t>Instalments due</t>
        </is>
      </c>
      <c r="B64" s="26" t="inlineStr">
        <is>
          <t>LCY</t>
        </is>
      </c>
      <c r="C64" s="58">
        <f>SUM(E64:BL64)</f>
        <v/>
      </c>
      <c r="E64" s="39">
        <f>Products!$E$33*SUMIFS($E$60:$BL$60,Timeline!$E$4:$BL$4,"&gt;="&amp;(E$4-Products!$E$16),Timeline!$E$4:$BL$4,"&lt;="&amp;(E$4-1))</f>
        <v/>
      </c>
      <c r="F64" s="39">
        <f>Products!$E$33*SUMIFS($E$60:$BL$60,Timeline!$E$4:$BL$4,"&gt;="&amp;(F$4-Products!$E$16),Timeline!$E$4:$BL$4,"&lt;="&amp;(F$4-1))</f>
        <v/>
      </c>
      <c r="G64" s="39">
        <f>Products!$E$33*SUMIFS($E$60:$BL$60,Timeline!$E$4:$BL$4,"&gt;="&amp;(G$4-Products!$E$16),Timeline!$E$4:$BL$4,"&lt;="&amp;(G$4-1))</f>
        <v/>
      </c>
      <c r="H64" s="39">
        <f>Products!$E$33*SUMIFS($E$60:$BL$60,Timeline!$E$4:$BL$4,"&gt;="&amp;(H$4-Products!$E$16),Timeline!$E$4:$BL$4,"&lt;="&amp;(H$4-1))</f>
        <v/>
      </c>
      <c r="I64" s="39">
        <f>Products!$E$33*SUMIFS($E$60:$BL$60,Timeline!$E$4:$BL$4,"&gt;="&amp;(I$4-Products!$E$16),Timeline!$E$4:$BL$4,"&lt;="&amp;(I$4-1))</f>
        <v/>
      </c>
      <c r="J64" s="39">
        <f>Products!$E$33*SUMIFS($E$60:$BL$60,Timeline!$E$4:$BL$4,"&gt;="&amp;(J$4-Products!$E$16),Timeline!$E$4:$BL$4,"&lt;="&amp;(J$4-1))</f>
        <v/>
      </c>
      <c r="K64" s="39">
        <f>Products!$E$33*SUMIFS($E$60:$BL$60,Timeline!$E$4:$BL$4,"&gt;="&amp;(K$4-Products!$E$16),Timeline!$E$4:$BL$4,"&lt;="&amp;(K$4-1))</f>
        <v/>
      </c>
      <c r="L64" s="39">
        <f>Products!$E$33*SUMIFS($E$60:$BL$60,Timeline!$E$4:$BL$4,"&gt;="&amp;(L$4-Products!$E$16),Timeline!$E$4:$BL$4,"&lt;="&amp;(L$4-1))</f>
        <v/>
      </c>
      <c r="M64" s="39">
        <f>Products!$E$33*SUMIFS($E$60:$BL$60,Timeline!$E$4:$BL$4,"&gt;="&amp;(M$4-Products!$E$16),Timeline!$E$4:$BL$4,"&lt;="&amp;(M$4-1))</f>
        <v/>
      </c>
      <c r="N64" s="39">
        <f>Products!$E$33*SUMIFS($E$60:$BL$60,Timeline!$E$4:$BL$4,"&gt;="&amp;(N$4-Products!$E$16),Timeline!$E$4:$BL$4,"&lt;="&amp;(N$4-1))</f>
        <v/>
      </c>
      <c r="O64" s="39">
        <f>Products!$E$33*SUMIFS($E$60:$BL$60,Timeline!$E$4:$BL$4,"&gt;="&amp;(O$4-Products!$E$16),Timeline!$E$4:$BL$4,"&lt;="&amp;(O$4-1))</f>
        <v/>
      </c>
      <c r="P64" s="39">
        <f>Products!$E$33*SUMIFS($E$60:$BL$60,Timeline!$E$4:$BL$4,"&gt;="&amp;(P$4-Products!$E$16),Timeline!$E$4:$BL$4,"&lt;="&amp;(P$4-1))</f>
        <v/>
      </c>
      <c r="Q64" s="39">
        <f>Products!$E$33*SUMIFS($E$60:$BL$60,Timeline!$E$4:$BL$4,"&gt;="&amp;(Q$4-Products!$E$16),Timeline!$E$4:$BL$4,"&lt;="&amp;(Q$4-1))</f>
        <v/>
      </c>
      <c r="R64" s="39">
        <f>Products!$E$33*SUMIFS($E$60:$BL$60,Timeline!$E$4:$BL$4,"&gt;="&amp;(R$4-Products!$E$16),Timeline!$E$4:$BL$4,"&lt;="&amp;(R$4-1))</f>
        <v/>
      </c>
      <c r="S64" s="39">
        <f>Products!$E$33*SUMIFS($E$60:$BL$60,Timeline!$E$4:$BL$4,"&gt;="&amp;(S$4-Products!$E$16),Timeline!$E$4:$BL$4,"&lt;="&amp;(S$4-1))</f>
        <v/>
      </c>
      <c r="T64" s="39">
        <f>Products!$E$33*SUMIFS($E$60:$BL$60,Timeline!$E$4:$BL$4,"&gt;="&amp;(T$4-Products!$E$16),Timeline!$E$4:$BL$4,"&lt;="&amp;(T$4-1))</f>
        <v/>
      </c>
      <c r="U64" s="39">
        <f>Products!$E$33*SUMIFS($E$60:$BL$60,Timeline!$E$4:$BL$4,"&gt;="&amp;(U$4-Products!$E$16),Timeline!$E$4:$BL$4,"&lt;="&amp;(U$4-1))</f>
        <v/>
      </c>
      <c r="V64" s="39">
        <f>Products!$E$33*SUMIFS($E$60:$BL$60,Timeline!$E$4:$BL$4,"&gt;="&amp;(V$4-Products!$E$16),Timeline!$E$4:$BL$4,"&lt;="&amp;(V$4-1))</f>
        <v/>
      </c>
      <c r="W64" s="39">
        <f>Products!$E$33*SUMIFS($E$60:$BL$60,Timeline!$E$4:$BL$4,"&gt;="&amp;(W$4-Products!$E$16),Timeline!$E$4:$BL$4,"&lt;="&amp;(W$4-1))</f>
        <v/>
      </c>
      <c r="X64" s="39">
        <f>Products!$E$33*SUMIFS($E$60:$BL$60,Timeline!$E$4:$BL$4,"&gt;="&amp;(X$4-Products!$E$16),Timeline!$E$4:$BL$4,"&lt;="&amp;(X$4-1))</f>
        <v/>
      </c>
      <c r="Y64" s="39">
        <f>Products!$E$33*SUMIFS($E$60:$BL$60,Timeline!$E$4:$BL$4,"&gt;="&amp;(Y$4-Products!$E$16),Timeline!$E$4:$BL$4,"&lt;="&amp;(Y$4-1))</f>
        <v/>
      </c>
      <c r="Z64" s="39">
        <f>Products!$E$33*SUMIFS($E$60:$BL$60,Timeline!$E$4:$BL$4,"&gt;="&amp;(Z$4-Products!$E$16),Timeline!$E$4:$BL$4,"&lt;="&amp;(Z$4-1))</f>
        <v/>
      </c>
      <c r="AA64" s="39">
        <f>Products!$E$33*SUMIFS($E$60:$BL$60,Timeline!$E$4:$BL$4,"&gt;="&amp;(AA$4-Products!$E$16),Timeline!$E$4:$BL$4,"&lt;="&amp;(AA$4-1))</f>
        <v/>
      </c>
      <c r="AB64" s="39">
        <f>Products!$E$33*SUMIFS($E$60:$BL$60,Timeline!$E$4:$BL$4,"&gt;="&amp;(AB$4-Products!$E$16),Timeline!$E$4:$BL$4,"&lt;="&amp;(AB$4-1))</f>
        <v/>
      </c>
      <c r="AC64" s="39">
        <f>Products!$E$33*SUMIFS($E$60:$BL$60,Timeline!$E$4:$BL$4,"&gt;="&amp;(AC$4-Products!$E$16),Timeline!$E$4:$BL$4,"&lt;="&amp;(AC$4-1))</f>
        <v/>
      </c>
      <c r="AD64" s="39">
        <f>Products!$E$33*SUMIFS($E$60:$BL$60,Timeline!$E$4:$BL$4,"&gt;="&amp;(AD$4-Products!$E$16),Timeline!$E$4:$BL$4,"&lt;="&amp;(AD$4-1))</f>
        <v/>
      </c>
      <c r="AE64" s="39">
        <f>Products!$E$33*SUMIFS($E$60:$BL$60,Timeline!$E$4:$BL$4,"&gt;="&amp;(AE$4-Products!$E$16),Timeline!$E$4:$BL$4,"&lt;="&amp;(AE$4-1))</f>
        <v/>
      </c>
      <c r="AF64" s="39">
        <f>Products!$E$33*SUMIFS($E$60:$BL$60,Timeline!$E$4:$BL$4,"&gt;="&amp;(AF$4-Products!$E$16),Timeline!$E$4:$BL$4,"&lt;="&amp;(AF$4-1))</f>
        <v/>
      </c>
      <c r="AG64" s="39">
        <f>Products!$E$33*SUMIFS($E$60:$BL$60,Timeline!$E$4:$BL$4,"&gt;="&amp;(AG$4-Products!$E$16),Timeline!$E$4:$BL$4,"&lt;="&amp;(AG$4-1))</f>
        <v/>
      </c>
      <c r="AH64" s="39">
        <f>Products!$E$33*SUMIFS($E$60:$BL$60,Timeline!$E$4:$BL$4,"&gt;="&amp;(AH$4-Products!$E$16),Timeline!$E$4:$BL$4,"&lt;="&amp;(AH$4-1))</f>
        <v/>
      </c>
      <c r="AI64" s="39">
        <f>Products!$E$33*SUMIFS($E$60:$BL$60,Timeline!$E$4:$BL$4,"&gt;="&amp;(AI$4-Products!$E$16),Timeline!$E$4:$BL$4,"&lt;="&amp;(AI$4-1))</f>
        <v/>
      </c>
      <c r="AJ64" s="39">
        <f>Products!$E$33*SUMIFS($E$60:$BL$60,Timeline!$E$4:$BL$4,"&gt;="&amp;(AJ$4-Products!$E$16),Timeline!$E$4:$BL$4,"&lt;="&amp;(AJ$4-1))</f>
        <v/>
      </c>
      <c r="AK64" s="39">
        <f>Products!$E$33*SUMIFS($E$60:$BL$60,Timeline!$E$4:$BL$4,"&gt;="&amp;(AK$4-Products!$E$16),Timeline!$E$4:$BL$4,"&lt;="&amp;(AK$4-1))</f>
        <v/>
      </c>
      <c r="AL64" s="39">
        <f>Products!$E$33*SUMIFS($E$60:$BL$60,Timeline!$E$4:$BL$4,"&gt;="&amp;(AL$4-Products!$E$16),Timeline!$E$4:$BL$4,"&lt;="&amp;(AL$4-1))</f>
        <v/>
      </c>
      <c r="AM64" s="39">
        <f>Products!$E$33*SUMIFS($E$60:$BL$60,Timeline!$E$4:$BL$4,"&gt;="&amp;(AM$4-Products!$E$16),Timeline!$E$4:$BL$4,"&lt;="&amp;(AM$4-1))</f>
        <v/>
      </c>
      <c r="AN64" s="39">
        <f>Products!$E$33*SUMIFS($E$60:$BL$60,Timeline!$E$4:$BL$4,"&gt;="&amp;(AN$4-Products!$E$16),Timeline!$E$4:$BL$4,"&lt;="&amp;(AN$4-1))</f>
        <v/>
      </c>
      <c r="AO64" s="39">
        <f>Products!$E$33*SUMIFS($E$60:$BL$60,Timeline!$E$4:$BL$4,"&gt;="&amp;(AO$4-Products!$E$16),Timeline!$E$4:$BL$4,"&lt;="&amp;(AO$4-1))</f>
        <v/>
      </c>
      <c r="AP64" s="39">
        <f>Products!$E$33*SUMIFS($E$60:$BL$60,Timeline!$E$4:$BL$4,"&gt;="&amp;(AP$4-Products!$E$16),Timeline!$E$4:$BL$4,"&lt;="&amp;(AP$4-1))</f>
        <v/>
      </c>
      <c r="AQ64" s="39">
        <f>Products!$E$33*SUMIFS($E$60:$BL$60,Timeline!$E$4:$BL$4,"&gt;="&amp;(AQ$4-Products!$E$16),Timeline!$E$4:$BL$4,"&lt;="&amp;(AQ$4-1))</f>
        <v/>
      </c>
      <c r="AR64" s="39">
        <f>Products!$E$33*SUMIFS($E$60:$BL$60,Timeline!$E$4:$BL$4,"&gt;="&amp;(AR$4-Products!$E$16),Timeline!$E$4:$BL$4,"&lt;="&amp;(AR$4-1))</f>
        <v/>
      </c>
      <c r="AS64" s="39">
        <f>Products!$E$33*SUMIFS($E$60:$BL$60,Timeline!$E$4:$BL$4,"&gt;="&amp;(AS$4-Products!$E$16),Timeline!$E$4:$BL$4,"&lt;="&amp;(AS$4-1))</f>
        <v/>
      </c>
      <c r="AT64" s="39">
        <f>Products!$E$33*SUMIFS($E$60:$BL$60,Timeline!$E$4:$BL$4,"&gt;="&amp;(AT$4-Products!$E$16),Timeline!$E$4:$BL$4,"&lt;="&amp;(AT$4-1))</f>
        <v/>
      </c>
      <c r="AU64" s="39">
        <f>Products!$E$33*SUMIFS($E$60:$BL$60,Timeline!$E$4:$BL$4,"&gt;="&amp;(AU$4-Products!$E$16),Timeline!$E$4:$BL$4,"&lt;="&amp;(AU$4-1))</f>
        <v/>
      </c>
      <c r="AV64" s="39">
        <f>Products!$E$33*SUMIFS($E$60:$BL$60,Timeline!$E$4:$BL$4,"&gt;="&amp;(AV$4-Products!$E$16),Timeline!$E$4:$BL$4,"&lt;="&amp;(AV$4-1))</f>
        <v/>
      </c>
      <c r="AW64" s="39">
        <f>Products!$E$33*SUMIFS($E$60:$BL$60,Timeline!$E$4:$BL$4,"&gt;="&amp;(AW$4-Products!$E$16),Timeline!$E$4:$BL$4,"&lt;="&amp;(AW$4-1))</f>
        <v/>
      </c>
      <c r="AX64" s="39">
        <f>Products!$E$33*SUMIFS($E$60:$BL$60,Timeline!$E$4:$BL$4,"&gt;="&amp;(AX$4-Products!$E$16),Timeline!$E$4:$BL$4,"&lt;="&amp;(AX$4-1))</f>
        <v/>
      </c>
      <c r="AY64" s="39">
        <f>Products!$E$33*SUMIFS($E$60:$BL$60,Timeline!$E$4:$BL$4,"&gt;="&amp;(AY$4-Products!$E$16),Timeline!$E$4:$BL$4,"&lt;="&amp;(AY$4-1))</f>
        <v/>
      </c>
      <c r="AZ64" s="39">
        <f>Products!$E$33*SUMIFS($E$60:$BL$60,Timeline!$E$4:$BL$4,"&gt;="&amp;(AZ$4-Products!$E$16),Timeline!$E$4:$BL$4,"&lt;="&amp;(AZ$4-1))</f>
        <v/>
      </c>
      <c r="BA64" s="39">
        <f>Products!$E$33*SUMIFS($E$60:$BL$60,Timeline!$E$4:$BL$4,"&gt;="&amp;(BA$4-Products!$E$16),Timeline!$E$4:$BL$4,"&lt;="&amp;(BA$4-1))</f>
        <v/>
      </c>
      <c r="BB64" s="39">
        <f>Products!$E$33*SUMIFS($E$60:$BL$60,Timeline!$E$4:$BL$4,"&gt;="&amp;(BB$4-Products!$E$16),Timeline!$E$4:$BL$4,"&lt;="&amp;(BB$4-1))</f>
        <v/>
      </c>
      <c r="BC64" s="39">
        <f>Products!$E$33*SUMIFS($E$60:$BL$60,Timeline!$E$4:$BL$4,"&gt;="&amp;(BC$4-Products!$E$16),Timeline!$E$4:$BL$4,"&lt;="&amp;(BC$4-1))</f>
        <v/>
      </c>
      <c r="BD64" s="39">
        <f>Products!$E$33*SUMIFS($E$60:$BL$60,Timeline!$E$4:$BL$4,"&gt;="&amp;(BD$4-Products!$E$16),Timeline!$E$4:$BL$4,"&lt;="&amp;(BD$4-1))</f>
        <v/>
      </c>
      <c r="BE64" s="39">
        <f>Products!$E$33*SUMIFS($E$60:$BL$60,Timeline!$E$4:$BL$4,"&gt;="&amp;(BE$4-Products!$E$16),Timeline!$E$4:$BL$4,"&lt;="&amp;(BE$4-1))</f>
        <v/>
      </c>
      <c r="BF64" s="39">
        <f>Products!$E$33*SUMIFS($E$60:$BL$60,Timeline!$E$4:$BL$4,"&gt;="&amp;(BF$4-Products!$E$16),Timeline!$E$4:$BL$4,"&lt;="&amp;(BF$4-1))</f>
        <v/>
      </c>
      <c r="BG64" s="39">
        <f>Products!$E$33*SUMIFS($E$60:$BL$60,Timeline!$E$4:$BL$4,"&gt;="&amp;(BG$4-Products!$E$16),Timeline!$E$4:$BL$4,"&lt;="&amp;(BG$4-1))</f>
        <v/>
      </c>
      <c r="BH64" s="39">
        <f>Products!$E$33*SUMIFS($E$60:$BL$60,Timeline!$E$4:$BL$4,"&gt;="&amp;(BH$4-Products!$E$16),Timeline!$E$4:$BL$4,"&lt;="&amp;(BH$4-1))</f>
        <v/>
      </c>
      <c r="BI64" s="39">
        <f>Products!$E$33*SUMIFS($E$60:$BL$60,Timeline!$E$4:$BL$4,"&gt;="&amp;(BI$4-Products!$E$16),Timeline!$E$4:$BL$4,"&lt;="&amp;(BI$4-1))</f>
        <v/>
      </c>
      <c r="BJ64" s="39">
        <f>Products!$E$33*SUMIFS($E$60:$BL$60,Timeline!$E$4:$BL$4,"&gt;="&amp;(BJ$4-Products!$E$16),Timeline!$E$4:$BL$4,"&lt;="&amp;(BJ$4-1))</f>
        <v/>
      </c>
      <c r="BK64" s="39">
        <f>Products!$E$33*SUMIFS($E$60:$BL$60,Timeline!$E$4:$BL$4,"&gt;="&amp;(BK$4-Products!$E$16),Timeline!$E$4:$BL$4,"&lt;="&amp;(BK$4-1))</f>
        <v/>
      </c>
      <c r="BL64" s="39">
        <f>Products!$E$33*SUMIFS($E$60:$BL$60,Timeline!$E$4:$BL$4,"&gt;="&amp;(BL$4-Products!$E$16),Timeline!$E$4:$BL$4,"&lt;="&amp;(BL$4-1))</f>
        <v/>
      </c>
    </row>
    <row r="65">
      <c r="A65" s="55" t="inlineStr">
        <is>
          <t>Instalments collected</t>
        </is>
      </c>
      <c r="B65" s="26" t="inlineStr">
        <is>
          <t>LCY</t>
        </is>
      </c>
      <c r="C65" s="58">
        <f>SUM(E65:BL65)</f>
        <v/>
      </c>
      <c r="E65" s="17">
        <f>Cohort_T3!E$9</f>
        <v/>
      </c>
      <c r="F65" s="17">
        <f>Cohort_T3!F$9</f>
        <v/>
      </c>
      <c r="G65" s="17">
        <f>Cohort_T3!G$9</f>
        <v/>
      </c>
      <c r="H65" s="17">
        <f>Cohort_T3!H$9</f>
        <v/>
      </c>
      <c r="I65" s="17">
        <f>Cohort_T3!I$9</f>
        <v/>
      </c>
      <c r="J65" s="17">
        <f>Cohort_T3!J$9</f>
        <v/>
      </c>
      <c r="K65" s="17">
        <f>Cohort_T3!K$9</f>
        <v/>
      </c>
      <c r="L65" s="17">
        <f>Cohort_T3!L$9</f>
        <v/>
      </c>
      <c r="M65" s="17">
        <f>Cohort_T3!M$9</f>
        <v/>
      </c>
      <c r="N65" s="17">
        <f>Cohort_T3!N$9</f>
        <v/>
      </c>
      <c r="O65" s="17">
        <f>Cohort_T3!O$9</f>
        <v/>
      </c>
      <c r="P65" s="17">
        <f>Cohort_T3!P$9</f>
        <v/>
      </c>
      <c r="Q65" s="17">
        <f>Cohort_T3!Q$9</f>
        <v/>
      </c>
      <c r="R65" s="17">
        <f>Cohort_T3!R$9</f>
        <v/>
      </c>
      <c r="S65" s="17">
        <f>Cohort_T3!S$9</f>
        <v/>
      </c>
      <c r="T65" s="17">
        <f>Cohort_T3!T$9</f>
        <v/>
      </c>
      <c r="U65" s="17">
        <f>Cohort_T3!U$9</f>
        <v/>
      </c>
      <c r="V65" s="17">
        <f>Cohort_T3!V$9</f>
        <v/>
      </c>
      <c r="W65" s="17">
        <f>Cohort_T3!W$9</f>
        <v/>
      </c>
      <c r="X65" s="17">
        <f>Cohort_T3!X$9</f>
        <v/>
      </c>
      <c r="Y65" s="17">
        <f>Cohort_T3!Y$9</f>
        <v/>
      </c>
      <c r="Z65" s="17">
        <f>Cohort_T3!Z$9</f>
        <v/>
      </c>
      <c r="AA65" s="17">
        <f>Cohort_T3!AA$9</f>
        <v/>
      </c>
      <c r="AB65" s="17">
        <f>Cohort_T3!AB$9</f>
        <v/>
      </c>
      <c r="AC65" s="17">
        <f>Cohort_T3!AC$9</f>
        <v/>
      </c>
      <c r="AD65" s="17">
        <f>Cohort_T3!AD$9</f>
        <v/>
      </c>
      <c r="AE65" s="17">
        <f>Cohort_T3!AE$9</f>
        <v/>
      </c>
      <c r="AF65" s="17">
        <f>Cohort_T3!AF$9</f>
        <v/>
      </c>
      <c r="AG65" s="17">
        <f>Cohort_T3!AG$9</f>
        <v/>
      </c>
      <c r="AH65" s="17">
        <f>Cohort_T3!AH$9</f>
        <v/>
      </c>
      <c r="AI65" s="17">
        <f>Cohort_T3!AI$9</f>
        <v/>
      </c>
      <c r="AJ65" s="17">
        <f>Cohort_T3!AJ$9</f>
        <v/>
      </c>
      <c r="AK65" s="17">
        <f>Cohort_T3!AK$9</f>
        <v/>
      </c>
      <c r="AL65" s="17">
        <f>Cohort_T3!AL$9</f>
        <v/>
      </c>
      <c r="AM65" s="17">
        <f>Cohort_T3!AM$9</f>
        <v/>
      </c>
      <c r="AN65" s="17">
        <f>Cohort_T3!AN$9</f>
        <v/>
      </c>
      <c r="AO65" s="17">
        <f>Cohort_T3!AO$9</f>
        <v/>
      </c>
      <c r="AP65" s="17">
        <f>Cohort_T3!AP$9</f>
        <v/>
      </c>
      <c r="AQ65" s="17">
        <f>Cohort_T3!AQ$9</f>
        <v/>
      </c>
      <c r="AR65" s="17">
        <f>Cohort_T3!AR$9</f>
        <v/>
      </c>
      <c r="AS65" s="17">
        <f>Cohort_T3!AS$9</f>
        <v/>
      </c>
      <c r="AT65" s="17">
        <f>Cohort_T3!AT$9</f>
        <v/>
      </c>
      <c r="AU65" s="17">
        <f>Cohort_T3!AU$9</f>
        <v/>
      </c>
      <c r="AV65" s="17">
        <f>Cohort_T3!AV$9</f>
        <v/>
      </c>
      <c r="AW65" s="17">
        <f>Cohort_T3!AW$9</f>
        <v/>
      </c>
      <c r="AX65" s="17">
        <f>Cohort_T3!AX$9</f>
        <v/>
      </c>
      <c r="AY65" s="17">
        <f>Cohort_T3!AY$9</f>
        <v/>
      </c>
      <c r="AZ65" s="17">
        <f>Cohort_T3!AZ$9</f>
        <v/>
      </c>
      <c r="BA65" s="17">
        <f>Cohort_T3!BA$9</f>
        <v/>
      </c>
      <c r="BB65" s="17">
        <f>Cohort_T3!BB$9</f>
        <v/>
      </c>
      <c r="BC65" s="17">
        <f>Cohort_T3!BC$9</f>
        <v/>
      </c>
      <c r="BD65" s="17">
        <f>Cohort_T3!BD$9</f>
        <v/>
      </c>
      <c r="BE65" s="17">
        <f>Cohort_T3!BE$9</f>
        <v/>
      </c>
      <c r="BF65" s="17">
        <f>Cohort_T3!BF$9</f>
        <v/>
      </c>
      <c r="BG65" s="17">
        <f>Cohort_T3!BG$9</f>
        <v/>
      </c>
      <c r="BH65" s="17">
        <f>Cohort_T3!BH$9</f>
        <v/>
      </c>
      <c r="BI65" s="17">
        <f>Cohort_T3!BI$9</f>
        <v/>
      </c>
      <c r="BJ65" s="17">
        <f>Cohort_T3!BJ$9</f>
        <v/>
      </c>
      <c r="BK65" s="17">
        <f>Cohort_T3!BK$9</f>
        <v/>
      </c>
      <c r="BL65" s="17">
        <f>Cohort_T3!BL$9</f>
        <v/>
      </c>
    </row>
    <row r="66">
      <c r="A66" s="55" t="inlineStr">
        <is>
          <t>Missed instalments written off</t>
        </is>
      </c>
      <c r="B66" s="26" t="inlineStr">
        <is>
          <t>LCY</t>
        </is>
      </c>
      <c r="C66" s="58">
        <f>SUM(E66:BL66)</f>
        <v/>
      </c>
      <c r="E66" s="39">
        <f>E64-E65</f>
        <v/>
      </c>
      <c r="F66" s="39">
        <f>F64-F65</f>
        <v/>
      </c>
      <c r="G66" s="39">
        <f>G64-G65</f>
        <v/>
      </c>
      <c r="H66" s="39">
        <f>H64-H65</f>
        <v/>
      </c>
      <c r="I66" s="39">
        <f>I64-I65</f>
        <v/>
      </c>
      <c r="J66" s="39">
        <f>J64-J65</f>
        <v/>
      </c>
      <c r="K66" s="39">
        <f>K64-K65</f>
        <v/>
      </c>
      <c r="L66" s="39">
        <f>L64-L65</f>
        <v/>
      </c>
      <c r="M66" s="39">
        <f>M64-M65</f>
        <v/>
      </c>
      <c r="N66" s="39">
        <f>N64-N65</f>
        <v/>
      </c>
      <c r="O66" s="39">
        <f>O64-O65</f>
        <v/>
      </c>
      <c r="P66" s="39">
        <f>P64-P65</f>
        <v/>
      </c>
      <c r="Q66" s="39">
        <f>Q64-Q65</f>
        <v/>
      </c>
      <c r="R66" s="39">
        <f>R64-R65</f>
        <v/>
      </c>
      <c r="S66" s="39">
        <f>S64-S65</f>
        <v/>
      </c>
      <c r="T66" s="39">
        <f>T64-T65</f>
        <v/>
      </c>
      <c r="U66" s="39">
        <f>U64-U65</f>
        <v/>
      </c>
      <c r="V66" s="39">
        <f>V64-V65</f>
        <v/>
      </c>
      <c r="W66" s="39">
        <f>W64-W65</f>
        <v/>
      </c>
      <c r="X66" s="39">
        <f>X64-X65</f>
        <v/>
      </c>
      <c r="Y66" s="39">
        <f>Y64-Y65</f>
        <v/>
      </c>
      <c r="Z66" s="39">
        <f>Z64-Z65</f>
        <v/>
      </c>
      <c r="AA66" s="39">
        <f>AA64-AA65</f>
        <v/>
      </c>
      <c r="AB66" s="39">
        <f>AB64-AB65</f>
        <v/>
      </c>
      <c r="AC66" s="39">
        <f>AC64-AC65</f>
        <v/>
      </c>
      <c r="AD66" s="39">
        <f>AD64-AD65</f>
        <v/>
      </c>
      <c r="AE66" s="39">
        <f>AE64-AE65</f>
        <v/>
      </c>
      <c r="AF66" s="39">
        <f>AF64-AF65</f>
        <v/>
      </c>
      <c r="AG66" s="39">
        <f>AG64-AG65</f>
        <v/>
      </c>
      <c r="AH66" s="39">
        <f>AH64-AH65</f>
        <v/>
      </c>
      <c r="AI66" s="39">
        <f>AI64-AI65</f>
        <v/>
      </c>
      <c r="AJ66" s="39">
        <f>AJ64-AJ65</f>
        <v/>
      </c>
      <c r="AK66" s="39">
        <f>AK64-AK65</f>
        <v/>
      </c>
      <c r="AL66" s="39">
        <f>AL64-AL65</f>
        <v/>
      </c>
      <c r="AM66" s="39">
        <f>AM64-AM65</f>
        <v/>
      </c>
      <c r="AN66" s="39">
        <f>AN64-AN65</f>
        <v/>
      </c>
      <c r="AO66" s="39">
        <f>AO64-AO65</f>
        <v/>
      </c>
      <c r="AP66" s="39">
        <f>AP64-AP65</f>
        <v/>
      </c>
      <c r="AQ66" s="39">
        <f>AQ64-AQ65</f>
        <v/>
      </c>
      <c r="AR66" s="39">
        <f>AR64-AR65</f>
        <v/>
      </c>
      <c r="AS66" s="39">
        <f>AS64-AS65</f>
        <v/>
      </c>
      <c r="AT66" s="39">
        <f>AT64-AT65</f>
        <v/>
      </c>
      <c r="AU66" s="39">
        <f>AU64-AU65</f>
        <v/>
      </c>
      <c r="AV66" s="39">
        <f>AV64-AV65</f>
        <v/>
      </c>
      <c r="AW66" s="39">
        <f>AW64-AW65</f>
        <v/>
      </c>
      <c r="AX66" s="39">
        <f>AX64-AX65</f>
        <v/>
      </c>
      <c r="AY66" s="39">
        <f>AY64-AY65</f>
        <v/>
      </c>
      <c r="AZ66" s="39">
        <f>AZ64-AZ65</f>
        <v/>
      </c>
      <c r="BA66" s="39">
        <f>BA64-BA65</f>
        <v/>
      </c>
      <c r="BB66" s="39">
        <f>BB64-BB65</f>
        <v/>
      </c>
      <c r="BC66" s="39">
        <f>BC64-BC65</f>
        <v/>
      </c>
      <c r="BD66" s="39">
        <f>BD64-BD65</f>
        <v/>
      </c>
      <c r="BE66" s="39">
        <f>BE64-BE65</f>
        <v/>
      </c>
      <c r="BF66" s="39">
        <f>BF64-BF65</f>
        <v/>
      </c>
      <c r="BG66" s="39">
        <f>BG64-BG65</f>
        <v/>
      </c>
      <c r="BH66" s="39">
        <f>BH64-BH65</f>
        <v/>
      </c>
      <c r="BI66" s="39">
        <f>BI64-BI65</f>
        <v/>
      </c>
      <c r="BJ66" s="39">
        <f>BJ64-BJ65</f>
        <v/>
      </c>
      <c r="BK66" s="39">
        <f>BK64-BK65</f>
        <v/>
      </c>
      <c r="BL66" s="39">
        <f>BL64-BL65</f>
        <v/>
      </c>
    </row>
    <row r="67">
      <c r="A67" s="55" t="inlineStr">
        <is>
          <t>PAYGo financing income (straight-line over tenor)</t>
        </is>
      </c>
      <c r="B67" s="26" t="inlineStr">
        <is>
          <t>LCY</t>
        </is>
      </c>
      <c r="C67" s="58">
        <f>SUM(E67:BL67)</f>
        <v/>
      </c>
      <c r="E67" s="39">
        <f>IF(Products!$E$16=0,0,Products!$E$35/Products!$E$16*SUMIFS($E$60:$BL$60,Timeline!$E$4:$BL$4,"&gt;="&amp;(E$4-Products!$E$16),Timeline!$E$4:$BL$4,"&lt;="&amp;(E$4-1)))</f>
        <v/>
      </c>
      <c r="F67" s="39">
        <f>IF(Products!$E$16=0,0,Products!$E$35/Products!$E$16*SUMIFS($E$60:$BL$60,Timeline!$E$4:$BL$4,"&gt;="&amp;(F$4-Products!$E$16),Timeline!$E$4:$BL$4,"&lt;="&amp;(F$4-1)))</f>
        <v/>
      </c>
      <c r="G67" s="39">
        <f>IF(Products!$E$16=0,0,Products!$E$35/Products!$E$16*SUMIFS($E$60:$BL$60,Timeline!$E$4:$BL$4,"&gt;="&amp;(G$4-Products!$E$16),Timeline!$E$4:$BL$4,"&lt;="&amp;(G$4-1)))</f>
        <v/>
      </c>
      <c r="H67" s="39">
        <f>IF(Products!$E$16=0,0,Products!$E$35/Products!$E$16*SUMIFS($E$60:$BL$60,Timeline!$E$4:$BL$4,"&gt;="&amp;(H$4-Products!$E$16),Timeline!$E$4:$BL$4,"&lt;="&amp;(H$4-1)))</f>
        <v/>
      </c>
      <c r="I67" s="39">
        <f>IF(Products!$E$16=0,0,Products!$E$35/Products!$E$16*SUMIFS($E$60:$BL$60,Timeline!$E$4:$BL$4,"&gt;="&amp;(I$4-Products!$E$16),Timeline!$E$4:$BL$4,"&lt;="&amp;(I$4-1)))</f>
        <v/>
      </c>
      <c r="J67" s="39">
        <f>IF(Products!$E$16=0,0,Products!$E$35/Products!$E$16*SUMIFS($E$60:$BL$60,Timeline!$E$4:$BL$4,"&gt;="&amp;(J$4-Products!$E$16),Timeline!$E$4:$BL$4,"&lt;="&amp;(J$4-1)))</f>
        <v/>
      </c>
      <c r="K67" s="39">
        <f>IF(Products!$E$16=0,0,Products!$E$35/Products!$E$16*SUMIFS($E$60:$BL$60,Timeline!$E$4:$BL$4,"&gt;="&amp;(K$4-Products!$E$16),Timeline!$E$4:$BL$4,"&lt;="&amp;(K$4-1)))</f>
        <v/>
      </c>
      <c r="L67" s="39">
        <f>IF(Products!$E$16=0,0,Products!$E$35/Products!$E$16*SUMIFS($E$60:$BL$60,Timeline!$E$4:$BL$4,"&gt;="&amp;(L$4-Products!$E$16),Timeline!$E$4:$BL$4,"&lt;="&amp;(L$4-1)))</f>
        <v/>
      </c>
      <c r="M67" s="39">
        <f>IF(Products!$E$16=0,0,Products!$E$35/Products!$E$16*SUMIFS($E$60:$BL$60,Timeline!$E$4:$BL$4,"&gt;="&amp;(M$4-Products!$E$16),Timeline!$E$4:$BL$4,"&lt;="&amp;(M$4-1)))</f>
        <v/>
      </c>
      <c r="N67" s="39">
        <f>IF(Products!$E$16=0,0,Products!$E$35/Products!$E$16*SUMIFS($E$60:$BL$60,Timeline!$E$4:$BL$4,"&gt;="&amp;(N$4-Products!$E$16),Timeline!$E$4:$BL$4,"&lt;="&amp;(N$4-1)))</f>
        <v/>
      </c>
      <c r="O67" s="39">
        <f>IF(Products!$E$16=0,0,Products!$E$35/Products!$E$16*SUMIFS($E$60:$BL$60,Timeline!$E$4:$BL$4,"&gt;="&amp;(O$4-Products!$E$16),Timeline!$E$4:$BL$4,"&lt;="&amp;(O$4-1)))</f>
        <v/>
      </c>
      <c r="P67" s="39">
        <f>IF(Products!$E$16=0,0,Products!$E$35/Products!$E$16*SUMIFS($E$60:$BL$60,Timeline!$E$4:$BL$4,"&gt;="&amp;(P$4-Products!$E$16),Timeline!$E$4:$BL$4,"&lt;="&amp;(P$4-1)))</f>
        <v/>
      </c>
      <c r="Q67" s="39">
        <f>IF(Products!$E$16=0,0,Products!$E$35/Products!$E$16*SUMIFS($E$60:$BL$60,Timeline!$E$4:$BL$4,"&gt;="&amp;(Q$4-Products!$E$16),Timeline!$E$4:$BL$4,"&lt;="&amp;(Q$4-1)))</f>
        <v/>
      </c>
      <c r="R67" s="39">
        <f>IF(Products!$E$16=0,0,Products!$E$35/Products!$E$16*SUMIFS($E$60:$BL$60,Timeline!$E$4:$BL$4,"&gt;="&amp;(R$4-Products!$E$16),Timeline!$E$4:$BL$4,"&lt;="&amp;(R$4-1)))</f>
        <v/>
      </c>
      <c r="S67" s="39">
        <f>IF(Products!$E$16=0,0,Products!$E$35/Products!$E$16*SUMIFS($E$60:$BL$60,Timeline!$E$4:$BL$4,"&gt;="&amp;(S$4-Products!$E$16),Timeline!$E$4:$BL$4,"&lt;="&amp;(S$4-1)))</f>
        <v/>
      </c>
      <c r="T67" s="39">
        <f>IF(Products!$E$16=0,0,Products!$E$35/Products!$E$16*SUMIFS($E$60:$BL$60,Timeline!$E$4:$BL$4,"&gt;="&amp;(T$4-Products!$E$16),Timeline!$E$4:$BL$4,"&lt;="&amp;(T$4-1)))</f>
        <v/>
      </c>
      <c r="U67" s="39">
        <f>IF(Products!$E$16=0,0,Products!$E$35/Products!$E$16*SUMIFS($E$60:$BL$60,Timeline!$E$4:$BL$4,"&gt;="&amp;(U$4-Products!$E$16),Timeline!$E$4:$BL$4,"&lt;="&amp;(U$4-1)))</f>
        <v/>
      </c>
      <c r="V67" s="39">
        <f>IF(Products!$E$16=0,0,Products!$E$35/Products!$E$16*SUMIFS($E$60:$BL$60,Timeline!$E$4:$BL$4,"&gt;="&amp;(V$4-Products!$E$16),Timeline!$E$4:$BL$4,"&lt;="&amp;(V$4-1)))</f>
        <v/>
      </c>
      <c r="W67" s="39">
        <f>IF(Products!$E$16=0,0,Products!$E$35/Products!$E$16*SUMIFS($E$60:$BL$60,Timeline!$E$4:$BL$4,"&gt;="&amp;(W$4-Products!$E$16),Timeline!$E$4:$BL$4,"&lt;="&amp;(W$4-1)))</f>
        <v/>
      </c>
      <c r="X67" s="39">
        <f>IF(Products!$E$16=0,0,Products!$E$35/Products!$E$16*SUMIFS($E$60:$BL$60,Timeline!$E$4:$BL$4,"&gt;="&amp;(X$4-Products!$E$16),Timeline!$E$4:$BL$4,"&lt;="&amp;(X$4-1)))</f>
        <v/>
      </c>
      <c r="Y67" s="39">
        <f>IF(Products!$E$16=0,0,Products!$E$35/Products!$E$16*SUMIFS($E$60:$BL$60,Timeline!$E$4:$BL$4,"&gt;="&amp;(Y$4-Products!$E$16),Timeline!$E$4:$BL$4,"&lt;="&amp;(Y$4-1)))</f>
        <v/>
      </c>
      <c r="Z67" s="39">
        <f>IF(Products!$E$16=0,0,Products!$E$35/Products!$E$16*SUMIFS($E$60:$BL$60,Timeline!$E$4:$BL$4,"&gt;="&amp;(Z$4-Products!$E$16),Timeline!$E$4:$BL$4,"&lt;="&amp;(Z$4-1)))</f>
        <v/>
      </c>
      <c r="AA67" s="39">
        <f>IF(Products!$E$16=0,0,Products!$E$35/Products!$E$16*SUMIFS($E$60:$BL$60,Timeline!$E$4:$BL$4,"&gt;="&amp;(AA$4-Products!$E$16),Timeline!$E$4:$BL$4,"&lt;="&amp;(AA$4-1)))</f>
        <v/>
      </c>
      <c r="AB67" s="39">
        <f>IF(Products!$E$16=0,0,Products!$E$35/Products!$E$16*SUMIFS($E$60:$BL$60,Timeline!$E$4:$BL$4,"&gt;="&amp;(AB$4-Products!$E$16),Timeline!$E$4:$BL$4,"&lt;="&amp;(AB$4-1)))</f>
        <v/>
      </c>
      <c r="AC67" s="39">
        <f>IF(Products!$E$16=0,0,Products!$E$35/Products!$E$16*SUMIFS($E$60:$BL$60,Timeline!$E$4:$BL$4,"&gt;="&amp;(AC$4-Products!$E$16),Timeline!$E$4:$BL$4,"&lt;="&amp;(AC$4-1)))</f>
        <v/>
      </c>
      <c r="AD67" s="39">
        <f>IF(Products!$E$16=0,0,Products!$E$35/Products!$E$16*SUMIFS($E$60:$BL$60,Timeline!$E$4:$BL$4,"&gt;="&amp;(AD$4-Products!$E$16),Timeline!$E$4:$BL$4,"&lt;="&amp;(AD$4-1)))</f>
        <v/>
      </c>
      <c r="AE67" s="39">
        <f>IF(Products!$E$16=0,0,Products!$E$35/Products!$E$16*SUMIFS($E$60:$BL$60,Timeline!$E$4:$BL$4,"&gt;="&amp;(AE$4-Products!$E$16),Timeline!$E$4:$BL$4,"&lt;="&amp;(AE$4-1)))</f>
        <v/>
      </c>
      <c r="AF67" s="39">
        <f>IF(Products!$E$16=0,0,Products!$E$35/Products!$E$16*SUMIFS($E$60:$BL$60,Timeline!$E$4:$BL$4,"&gt;="&amp;(AF$4-Products!$E$16),Timeline!$E$4:$BL$4,"&lt;="&amp;(AF$4-1)))</f>
        <v/>
      </c>
      <c r="AG67" s="39">
        <f>IF(Products!$E$16=0,0,Products!$E$35/Products!$E$16*SUMIFS($E$60:$BL$60,Timeline!$E$4:$BL$4,"&gt;="&amp;(AG$4-Products!$E$16),Timeline!$E$4:$BL$4,"&lt;="&amp;(AG$4-1)))</f>
        <v/>
      </c>
      <c r="AH67" s="39">
        <f>IF(Products!$E$16=0,0,Products!$E$35/Products!$E$16*SUMIFS($E$60:$BL$60,Timeline!$E$4:$BL$4,"&gt;="&amp;(AH$4-Products!$E$16),Timeline!$E$4:$BL$4,"&lt;="&amp;(AH$4-1)))</f>
        <v/>
      </c>
      <c r="AI67" s="39">
        <f>IF(Products!$E$16=0,0,Products!$E$35/Products!$E$16*SUMIFS($E$60:$BL$60,Timeline!$E$4:$BL$4,"&gt;="&amp;(AI$4-Products!$E$16),Timeline!$E$4:$BL$4,"&lt;="&amp;(AI$4-1)))</f>
        <v/>
      </c>
      <c r="AJ67" s="39">
        <f>IF(Products!$E$16=0,0,Products!$E$35/Products!$E$16*SUMIFS($E$60:$BL$60,Timeline!$E$4:$BL$4,"&gt;="&amp;(AJ$4-Products!$E$16),Timeline!$E$4:$BL$4,"&lt;="&amp;(AJ$4-1)))</f>
        <v/>
      </c>
      <c r="AK67" s="39">
        <f>IF(Products!$E$16=0,0,Products!$E$35/Products!$E$16*SUMIFS($E$60:$BL$60,Timeline!$E$4:$BL$4,"&gt;="&amp;(AK$4-Products!$E$16),Timeline!$E$4:$BL$4,"&lt;="&amp;(AK$4-1)))</f>
        <v/>
      </c>
      <c r="AL67" s="39">
        <f>IF(Products!$E$16=0,0,Products!$E$35/Products!$E$16*SUMIFS($E$60:$BL$60,Timeline!$E$4:$BL$4,"&gt;="&amp;(AL$4-Products!$E$16),Timeline!$E$4:$BL$4,"&lt;="&amp;(AL$4-1)))</f>
        <v/>
      </c>
      <c r="AM67" s="39">
        <f>IF(Products!$E$16=0,0,Products!$E$35/Products!$E$16*SUMIFS($E$60:$BL$60,Timeline!$E$4:$BL$4,"&gt;="&amp;(AM$4-Products!$E$16),Timeline!$E$4:$BL$4,"&lt;="&amp;(AM$4-1)))</f>
        <v/>
      </c>
      <c r="AN67" s="39">
        <f>IF(Products!$E$16=0,0,Products!$E$35/Products!$E$16*SUMIFS($E$60:$BL$60,Timeline!$E$4:$BL$4,"&gt;="&amp;(AN$4-Products!$E$16),Timeline!$E$4:$BL$4,"&lt;="&amp;(AN$4-1)))</f>
        <v/>
      </c>
      <c r="AO67" s="39">
        <f>IF(Products!$E$16=0,0,Products!$E$35/Products!$E$16*SUMIFS($E$60:$BL$60,Timeline!$E$4:$BL$4,"&gt;="&amp;(AO$4-Products!$E$16),Timeline!$E$4:$BL$4,"&lt;="&amp;(AO$4-1)))</f>
        <v/>
      </c>
      <c r="AP67" s="39">
        <f>IF(Products!$E$16=0,0,Products!$E$35/Products!$E$16*SUMIFS($E$60:$BL$60,Timeline!$E$4:$BL$4,"&gt;="&amp;(AP$4-Products!$E$16),Timeline!$E$4:$BL$4,"&lt;="&amp;(AP$4-1)))</f>
        <v/>
      </c>
      <c r="AQ67" s="39">
        <f>IF(Products!$E$16=0,0,Products!$E$35/Products!$E$16*SUMIFS($E$60:$BL$60,Timeline!$E$4:$BL$4,"&gt;="&amp;(AQ$4-Products!$E$16),Timeline!$E$4:$BL$4,"&lt;="&amp;(AQ$4-1)))</f>
        <v/>
      </c>
      <c r="AR67" s="39">
        <f>IF(Products!$E$16=0,0,Products!$E$35/Products!$E$16*SUMIFS($E$60:$BL$60,Timeline!$E$4:$BL$4,"&gt;="&amp;(AR$4-Products!$E$16),Timeline!$E$4:$BL$4,"&lt;="&amp;(AR$4-1)))</f>
        <v/>
      </c>
      <c r="AS67" s="39">
        <f>IF(Products!$E$16=0,0,Products!$E$35/Products!$E$16*SUMIFS($E$60:$BL$60,Timeline!$E$4:$BL$4,"&gt;="&amp;(AS$4-Products!$E$16),Timeline!$E$4:$BL$4,"&lt;="&amp;(AS$4-1)))</f>
        <v/>
      </c>
      <c r="AT67" s="39">
        <f>IF(Products!$E$16=0,0,Products!$E$35/Products!$E$16*SUMIFS($E$60:$BL$60,Timeline!$E$4:$BL$4,"&gt;="&amp;(AT$4-Products!$E$16),Timeline!$E$4:$BL$4,"&lt;="&amp;(AT$4-1)))</f>
        <v/>
      </c>
      <c r="AU67" s="39">
        <f>IF(Products!$E$16=0,0,Products!$E$35/Products!$E$16*SUMIFS($E$60:$BL$60,Timeline!$E$4:$BL$4,"&gt;="&amp;(AU$4-Products!$E$16),Timeline!$E$4:$BL$4,"&lt;="&amp;(AU$4-1)))</f>
        <v/>
      </c>
      <c r="AV67" s="39">
        <f>IF(Products!$E$16=0,0,Products!$E$35/Products!$E$16*SUMIFS($E$60:$BL$60,Timeline!$E$4:$BL$4,"&gt;="&amp;(AV$4-Products!$E$16),Timeline!$E$4:$BL$4,"&lt;="&amp;(AV$4-1)))</f>
        <v/>
      </c>
      <c r="AW67" s="39">
        <f>IF(Products!$E$16=0,0,Products!$E$35/Products!$E$16*SUMIFS($E$60:$BL$60,Timeline!$E$4:$BL$4,"&gt;="&amp;(AW$4-Products!$E$16),Timeline!$E$4:$BL$4,"&lt;="&amp;(AW$4-1)))</f>
        <v/>
      </c>
      <c r="AX67" s="39">
        <f>IF(Products!$E$16=0,0,Products!$E$35/Products!$E$16*SUMIFS($E$60:$BL$60,Timeline!$E$4:$BL$4,"&gt;="&amp;(AX$4-Products!$E$16),Timeline!$E$4:$BL$4,"&lt;="&amp;(AX$4-1)))</f>
        <v/>
      </c>
      <c r="AY67" s="39">
        <f>IF(Products!$E$16=0,0,Products!$E$35/Products!$E$16*SUMIFS($E$60:$BL$60,Timeline!$E$4:$BL$4,"&gt;="&amp;(AY$4-Products!$E$16),Timeline!$E$4:$BL$4,"&lt;="&amp;(AY$4-1)))</f>
        <v/>
      </c>
      <c r="AZ67" s="39">
        <f>IF(Products!$E$16=0,0,Products!$E$35/Products!$E$16*SUMIFS($E$60:$BL$60,Timeline!$E$4:$BL$4,"&gt;="&amp;(AZ$4-Products!$E$16),Timeline!$E$4:$BL$4,"&lt;="&amp;(AZ$4-1)))</f>
        <v/>
      </c>
      <c r="BA67" s="39">
        <f>IF(Products!$E$16=0,0,Products!$E$35/Products!$E$16*SUMIFS($E$60:$BL$60,Timeline!$E$4:$BL$4,"&gt;="&amp;(BA$4-Products!$E$16),Timeline!$E$4:$BL$4,"&lt;="&amp;(BA$4-1)))</f>
        <v/>
      </c>
      <c r="BB67" s="39">
        <f>IF(Products!$E$16=0,0,Products!$E$35/Products!$E$16*SUMIFS($E$60:$BL$60,Timeline!$E$4:$BL$4,"&gt;="&amp;(BB$4-Products!$E$16),Timeline!$E$4:$BL$4,"&lt;="&amp;(BB$4-1)))</f>
        <v/>
      </c>
      <c r="BC67" s="39">
        <f>IF(Products!$E$16=0,0,Products!$E$35/Products!$E$16*SUMIFS($E$60:$BL$60,Timeline!$E$4:$BL$4,"&gt;="&amp;(BC$4-Products!$E$16),Timeline!$E$4:$BL$4,"&lt;="&amp;(BC$4-1)))</f>
        <v/>
      </c>
      <c r="BD67" s="39">
        <f>IF(Products!$E$16=0,0,Products!$E$35/Products!$E$16*SUMIFS($E$60:$BL$60,Timeline!$E$4:$BL$4,"&gt;="&amp;(BD$4-Products!$E$16),Timeline!$E$4:$BL$4,"&lt;="&amp;(BD$4-1)))</f>
        <v/>
      </c>
      <c r="BE67" s="39">
        <f>IF(Products!$E$16=0,0,Products!$E$35/Products!$E$16*SUMIFS($E$60:$BL$60,Timeline!$E$4:$BL$4,"&gt;="&amp;(BE$4-Products!$E$16),Timeline!$E$4:$BL$4,"&lt;="&amp;(BE$4-1)))</f>
        <v/>
      </c>
      <c r="BF67" s="39">
        <f>IF(Products!$E$16=0,0,Products!$E$35/Products!$E$16*SUMIFS($E$60:$BL$60,Timeline!$E$4:$BL$4,"&gt;="&amp;(BF$4-Products!$E$16),Timeline!$E$4:$BL$4,"&lt;="&amp;(BF$4-1)))</f>
        <v/>
      </c>
      <c r="BG67" s="39">
        <f>IF(Products!$E$16=0,0,Products!$E$35/Products!$E$16*SUMIFS($E$60:$BL$60,Timeline!$E$4:$BL$4,"&gt;="&amp;(BG$4-Products!$E$16),Timeline!$E$4:$BL$4,"&lt;="&amp;(BG$4-1)))</f>
        <v/>
      </c>
      <c r="BH67" s="39">
        <f>IF(Products!$E$16=0,0,Products!$E$35/Products!$E$16*SUMIFS($E$60:$BL$60,Timeline!$E$4:$BL$4,"&gt;="&amp;(BH$4-Products!$E$16),Timeline!$E$4:$BL$4,"&lt;="&amp;(BH$4-1)))</f>
        <v/>
      </c>
      <c r="BI67" s="39">
        <f>IF(Products!$E$16=0,0,Products!$E$35/Products!$E$16*SUMIFS($E$60:$BL$60,Timeline!$E$4:$BL$4,"&gt;="&amp;(BI$4-Products!$E$16),Timeline!$E$4:$BL$4,"&lt;="&amp;(BI$4-1)))</f>
        <v/>
      </c>
      <c r="BJ67" s="39">
        <f>IF(Products!$E$16=0,0,Products!$E$35/Products!$E$16*SUMIFS($E$60:$BL$60,Timeline!$E$4:$BL$4,"&gt;="&amp;(BJ$4-Products!$E$16),Timeline!$E$4:$BL$4,"&lt;="&amp;(BJ$4-1)))</f>
        <v/>
      </c>
      <c r="BK67" s="39">
        <f>IF(Products!$E$16=0,0,Products!$E$35/Products!$E$16*SUMIFS($E$60:$BL$60,Timeline!$E$4:$BL$4,"&gt;="&amp;(BK$4-Products!$E$16),Timeline!$E$4:$BL$4,"&lt;="&amp;(BK$4-1)))</f>
        <v/>
      </c>
      <c r="BL67" s="39">
        <f>IF(Products!$E$16=0,0,Products!$E$35/Products!$E$16*SUMIFS($E$60:$BL$60,Timeline!$E$4:$BL$4,"&gt;="&amp;(BL$4-Products!$E$16),Timeline!$E$4:$BL$4,"&lt;="&amp;(BL$4-1)))</f>
        <v/>
      </c>
    </row>
    <row r="68">
      <c r="A68" s="55" t="inlineStr">
        <is>
          <t>Expected credit loss charged at origination</t>
        </is>
      </c>
      <c r="B68" s="26" t="inlineStr">
        <is>
          <t>LCY</t>
        </is>
      </c>
      <c r="C68" s="58">
        <f>SUM(E68:BL68)</f>
        <v/>
      </c>
      <c r="E68" s="39">
        <f>E60*Curves!$AC$70</f>
        <v/>
      </c>
      <c r="F68" s="39">
        <f>F60*Curves!$AC$70</f>
        <v/>
      </c>
      <c r="G68" s="39">
        <f>G60*Curves!$AC$70</f>
        <v/>
      </c>
      <c r="H68" s="39">
        <f>H60*Curves!$AC$70</f>
        <v/>
      </c>
      <c r="I68" s="39">
        <f>I60*Curves!$AC$70</f>
        <v/>
      </c>
      <c r="J68" s="39">
        <f>J60*Curves!$AC$70</f>
        <v/>
      </c>
      <c r="K68" s="39">
        <f>K60*Curves!$AC$70</f>
        <v/>
      </c>
      <c r="L68" s="39">
        <f>L60*Curves!$AC$70</f>
        <v/>
      </c>
      <c r="M68" s="39">
        <f>M60*Curves!$AC$70</f>
        <v/>
      </c>
      <c r="N68" s="39">
        <f>N60*Curves!$AC$70</f>
        <v/>
      </c>
      <c r="O68" s="39">
        <f>O60*Curves!$AC$70</f>
        <v/>
      </c>
      <c r="P68" s="39">
        <f>P60*Curves!$AC$70</f>
        <v/>
      </c>
      <c r="Q68" s="39">
        <f>Q60*Curves!$AC$70</f>
        <v/>
      </c>
      <c r="R68" s="39">
        <f>R60*Curves!$AC$70</f>
        <v/>
      </c>
      <c r="S68" s="39">
        <f>S60*Curves!$AC$70</f>
        <v/>
      </c>
      <c r="T68" s="39">
        <f>T60*Curves!$AC$70</f>
        <v/>
      </c>
      <c r="U68" s="39">
        <f>U60*Curves!$AC$70</f>
        <v/>
      </c>
      <c r="V68" s="39">
        <f>V60*Curves!$AC$70</f>
        <v/>
      </c>
      <c r="W68" s="39">
        <f>W60*Curves!$AC$70</f>
        <v/>
      </c>
      <c r="X68" s="39">
        <f>X60*Curves!$AC$70</f>
        <v/>
      </c>
      <c r="Y68" s="39">
        <f>Y60*Curves!$AC$70</f>
        <v/>
      </c>
      <c r="Z68" s="39">
        <f>Z60*Curves!$AC$70</f>
        <v/>
      </c>
      <c r="AA68" s="39">
        <f>AA60*Curves!$AC$70</f>
        <v/>
      </c>
      <c r="AB68" s="39">
        <f>AB60*Curves!$AC$70</f>
        <v/>
      </c>
      <c r="AC68" s="39">
        <f>AC60*Curves!$AC$70</f>
        <v/>
      </c>
      <c r="AD68" s="39">
        <f>AD60*Curves!$AC$70</f>
        <v/>
      </c>
      <c r="AE68" s="39">
        <f>AE60*Curves!$AC$70</f>
        <v/>
      </c>
      <c r="AF68" s="39">
        <f>AF60*Curves!$AC$70</f>
        <v/>
      </c>
      <c r="AG68" s="39">
        <f>AG60*Curves!$AC$70</f>
        <v/>
      </c>
      <c r="AH68" s="39">
        <f>AH60*Curves!$AC$70</f>
        <v/>
      </c>
      <c r="AI68" s="39">
        <f>AI60*Curves!$AC$70</f>
        <v/>
      </c>
      <c r="AJ68" s="39">
        <f>AJ60*Curves!$AC$70</f>
        <v/>
      </c>
      <c r="AK68" s="39">
        <f>AK60*Curves!$AC$70</f>
        <v/>
      </c>
      <c r="AL68" s="39">
        <f>AL60*Curves!$AC$70</f>
        <v/>
      </c>
      <c r="AM68" s="39">
        <f>AM60*Curves!$AC$70</f>
        <v/>
      </c>
      <c r="AN68" s="39">
        <f>AN60*Curves!$AC$70</f>
        <v/>
      </c>
      <c r="AO68" s="39">
        <f>AO60*Curves!$AC$70</f>
        <v/>
      </c>
      <c r="AP68" s="39">
        <f>AP60*Curves!$AC$70</f>
        <v/>
      </c>
      <c r="AQ68" s="39">
        <f>AQ60*Curves!$AC$70</f>
        <v/>
      </c>
      <c r="AR68" s="39">
        <f>AR60*Curves!$AC$70</f>
        <v/>
      </c>
      <c r="AS68" s="39">
        <f>AS60*Curves!$AC$70</f>
        <v/>
      </c>
      <c r="AT68" s="39">
        <f>AT60*Curves!$AC$70</f>
        <v/>
      </c>
      <c r="AU68" s="39">
        <f>AU60*Curves!$AC$70</f>
        <v/>
      </c>
      <c r="AV68" s="39">
        <f>AV60*Curves!$AC$70</f>
        <v/>
      </c>
      <c r="AW68" s="39">
        <f>AW60*Curves!$AC$70</f>
        <v/>
      </c>
      <c r="AX68" s="39">
        <f>AX60*Curves!$AC$70</f>
        <v/>
      </c>
      <c r="AY68" s="39">
        <f>AY60*Curves!$AC$70</f>
        <v/>
      </c>
      <c r="AZ68" s="39">
        <f>AZ60*Curves!$AC$70</f>
        <v/>
      </c>
      <c r="BA68" s="39">
        <f>BA60*Curves!$AC$70</f>
        <v/>
      </c>
      <c r="BB68" s="39">
        <f>BB60*Curves!$AC$70</f>
        <v/>
      </c>
      <c r="BC68" s="39">
        <f>BC60*Curves!$AC$70</f>
        <v/>
      </c>
      <c r="BD68" s="39">
        <f>BD60*Curves!$AC$70</f>
        <v/>
      </c>
      <c r="BE68" s="39">
        <f>BE60*Curves!$AC$70</f>
        <v/>
      </c>
      <c r="BF68" s="39">
        <f>BF60*Curves!$AC$70</f>
        <v/>
      </c>
      <c r="BG68" s="39">
        <f>BG60*Curves!$AC$70</f>
        <v/>
      </c>
      <c r="BH68" s="39">
        <f>BH60*Curves!$AC$70</f>
        <v/>
      </c>
      <c r="BI68" s="39">
        <f>BI60*Curves!$AC$70</f>
        <v/>
      </c>
      <c r="BJ68" s="39">
        <f>BJ60*Curves!$AC$70</f>
        <v/>
      </c>
      <c r="BK68" s="39">
        <f>BK60*Curves!$AC$70</f>
        <v/>
      </c>
      <c r="BL68" s="39">
        <f>BL60*Curves!$AC$70</f>
        <v/>
      </c>
    </row>
    <row r="69">
      <c r="A69" s="55" t="inlineStr">
        <is>
          <t>Recoveries from resale of repossessed units</t>
        </is>
      </c>
      <c r="B69" s="26" t="inlineStr">
        <is>
          <t>LCY</t>
        </is>
      </c>
      <c r="C69" s="58">
        <f>SUM(E69:BL69)</f>
        <v/>
      </c>
      <c r="E69" s="17">
        <f>Cohort_T3!E$198</f>
        <v/>
      </c>
      <c r="F69" s="17">
        <f>Cohort_T3!F$198</f>
        <v/>
      </c>
      <c r="G69" s="17">
        <f>Cohort_T3!G$198</f>
        <v/>
      </c>
      <c r="H69" s="17">
        <f>Cohort_T3!H$198</f>
        <v/>
      </c>
      <c r="I69" s="17">
        <f>Cohort_T3!I$198</f>
        <v/>
      </c>
      <c r="J69" s="17">
        <f>Cohort_T3!J$198</f>
        <v/>
      </c>
      <c r="K69" s="17">
        <f>Cohort_T3!K$198</f>
        <v/>
      </c>
      <c r="L69" s="17">
        <f>Cohort_T3!L$198</f>
        <v/>
      </c>
      <c r="M69" s="17">
        <f>Cohort_T3!M$198</f>
        <v/>
      </c>
      <c r="N69" s="17">
        <f>Cohort_T3!N$198</f>
        <v/>
      </c>
      <c r="O69" s="17">
        <f>Cohort_T3!O$198</f>
        <v/>
      </c>
      <c r="P69" s="17">
        <f>Cohort_T3!P$198</f>
        <v/>
      </c>
      <c r="Q69" s="17">
        <f>Cohort_T3!Q$198</f>
        <v/>
      </c>
      <c r="R69" s="17">
        <f>Cohort_T3!R$198</f>
        <v/>
      </c>
      <c r="S69" s="17">
        <f>Cohort_T3!S$198</f>
        <v/>
      </c>
      <c r="T69" s="17">
        <f>Cohort_T3!T$198</f>
        <v/>
      </c>
      <c r="U69" s="17">
        <f>Cohort_T3!U$198</f>
        <v/>
      </c>
      <c r="V69" s="17">
        <f>Cohort_T3!V$198</f>
        <v/>
      </c>
      <c r="W69" s="17">
        <f>Cohort_T3!W$198</f>
        <v/>
      </c>
      <c r="X69" s="17">
        <f>Cohort_T3!X$198</f>
        <v/>
      </c>
      <c r="Y69" s="17">
        <f>Cohort_T3!Y$198</f>
        <v/>
      </c>
      <c r="Z69" s="17">
        <f>Cohort_T3!Z$198</f>
        <v/>
      </c>
      <c r="AA69" s="17">
        <f>Cohort_T3!AA$198</f>
        <v/>
      </c>
      <c r="AB69" s="17">
        <f>Cohort_T3!AB$198</f>
        <v/>
      </c>
      <c r="AC69" s="17">
        <f>Cohort_T3!AC$198</f>
        <v/>
      </c>
      <c r="AD69" s="17">
        <f>Cohort_T3!AD$198</f>
        <v/>
      </c>
      <c r="AE69" s="17">
        <f>Cohort_T3!AE$198</f>
        <v/>
      </c>
      <c r="AF69" s="17">
        <f>Cohort_T3!AF$198</f>
        <v/>
      </c>
      <c r="AG69" s="17">
        <f>Cohort_T3!AG$198</f>
        <v/>
      </c>
      <c r="AH69" s="17">
        <f>Cohort_T3!AH$198</f>
        <v/>
      </c>
      <c r="AI69" s="17">
        <f>Cohort_T3!AI$198</f>
        <v/>
      </c>
      <c r="AJ69" s="17">
        <f>Cohort_T3!AJ$198</f>
        <v/>
      </c>
      <c r="AK69" s="17">
        <f>Cohort_T3!AK$198</f>
        <v/>
      </c>
      <c r="AL69" s="17">
        <f>Cohort_T3!AL$198</f>
        <v/>
      </c>
      <c r="AM69" s="17">
        <f>Cohort_T3!AM$198</f>
        <v/>
      </c>
      <c r="AN69" s="17">
        <f>Cohort_T3!AN$198</f>
        <v/>
      </c>
      <c r="AO69" s="17">
        <f>Cohort_T3!AO$198</f>
        <v/>
      </c>
      <c r="AP69" s="17">
        <f>Cohort_T3!AP$198</f>
        <v/>
      </c>
      <c r="AQ69" s="17">
        <f>Cohort_T3!AQ$198</f>
        <v/>
      </c>
      <c r="AR69" s="17">
        <f>Cohort_T3!AR$198</f>
        <v/>
      </c>
      <c r="AS69" s="17">
        <f>Cohort_T3!AS$198</f>
        <v/>
      </c>
      <c r="AT69" s="17">
        <f>Cohort_T3!AT$198</f>
        <v/>
      </c>
      <c r="AU69" s="17">
        <f>Cohort_T3!AU$198</f>
        <v/>
      </c>
      <c r="AV69" s="17">
        <f>Cohort_T3!AV$198</f>
        <v/>
      </c>
      <c r="AW69" s="17">
        <f>Cohort_T3!AW$198</f>
        <v/>
      </c>
      <c r="AX69" s="17">
        <f>Cohort_T3!AX$198</f>
        <v/>
      </c>
      <c r="AY69" s="17">
        <f>Cohort_T3!AY$198</f>
        <v/>
      </c>
      <c r="AZ69" s="17">
        <f>Cohort_T3!AZ$198</f>
        <v/>
      </c>
      <c r="BA69" s="17">
        <f>Cohort_T3!BA$198</f>
        <v/>
      </c>
      <c r="BB69" s="17">
        <f>Cohort_T3!BB$198</f>
        <v/>
      </c>
      <c r="BC69" s="17">
        <f>Cohort_T3!BC$198</f>
        <v/>
      </c>
      <c r="BD69" s="17">
        <f>Cohort_T3!BD$198</f>
        <v/>
      </c>
      <c r="BE69" s="17">
        <f>Cohort_T3!BE$198</f>
        <v/>
      </c>
      <c r="BF69" s="17">
        <f>Cohort_T3!BF$198</f>
        <v/>
      </c>
      <c r="BG69" s="17">
        <f>Cohort_T3!BG$198</f>
        <v/>
      </c>
      <c r="BH69" s="17">
        <f>Cohort_T3!BH$198</f>
        <v/>
      </c>
      <c r="BI69" s="17">
        <f>Cohort_T3!BI$198</f>
        <v/>
      </c>
      <c r="BJ69" s="17">
        <f>Cohort_T3!BJ$198</f>
        <v/>
      </c>
      <c r="BK69" s="17">
        <f>Cohort_T3!BK$198</f>
        <v/>
      </c>
      <c r="BL69" s="17">
        <f>Cohort_T3!BL$198</f>
        <v/>
      </c>
    </row>
    <row r="70">
      <c r="A70" s="55" t="inlineStr">
        <is>
          <t>RBF received</t>
        </is>
      </c>
      <c r="B70" s="26" t="inlineStr">
        <is>
          <t>LCY</t>
        </is>
      </c>
      <c r="C70" s="58">
        <f>SUM(E70:BL70)</f>
        <v/>
      </c>
      <c r="E70" s="39">
        <f>IF(E$4-Inputs!$C$33&gt;=1,INDEX($E$59:$BL$59,1,E$4-Inputs!$C$33),0)*Products!$E$30*Timeline!E$8*Inputs!$C$32</f>
        <v/>
      </c>
      <c r="F70" s="39">
        <f>IF(F$4-Inputs!$C$33&gt;=1,INDEX($E$59:$BL$59,1,F$4-Inputs!$C$33),0)*Products!$E$30*Timeline!F$8*Inputs!$C$32</f>
        <v/>
      </c>
      <c r="G70" s="39">
        <f>IF(G$4-Inputs!$C$33&gt;=1,INDEX($E$59:$BL$59,1,G$4-Inputs!$C$33),0)*Products!$E$30*Timeline!G$8*Inputs!$C$32</f>
        <v/>
      </c>
      <c r="H70" s="39">
        <f>IF(H$4-Inputs!$C$33&gt;=1,INDEX($E$59:$BL$59,1,H$4-Inputs!$C$33),0)*Products!$E$30*Timeline!H$8*Inputs!$C$32</f>
        <v/>
      </c>
      <c r="I70" s="39">
        <f>IF(I$4-Inputs!$C$33&gt;=1,INDEX($E$59:$BL$59,1,I$4-Inputs!$C$33),0)*Products!$E$30*Timeline!I$8*Inputs!$C$32</f>
        <v/>
      </c>
      <c r="J70" s="39">
        <f>IF(J$4-Inputs!$C$33&gt;=1,INDEX($E$59:$BL$59,1,J$4-Inputs!$C$33),0)*Products!$E$30*Timeline!J$8*Inputs!$C$32</f>
        <v/>
      </c>
      <c r="K70" s="39">
        <f>IF(K$4-Inputs!$C$33&gt;=1,INDEX($E$59:$BL$59,1,K$4-Inputs!$C$33),0)*Products!$E$30*Timeline!K$8*Inputs!$C$32</f>
        <v/>
      </c>
      <c r="L70" s="39">
        <f>IF(L$4-Inputs!$C$33&gt;=1,INDEX($E$59:$BL$59,1,L$4-Inputs!$C$33),0)*Products!$E$30*Timeline!L$8*Inputs!$C$32</f>
        <v/>
      </c>
      <c r="M70" s="39">
        <f>IF(M$4-Inputs!$C$33&gt;=1,INDEX($E$59:$BL$59,1,M$4-Inputs!$C$33),0)*Products!$E$30*Timeline!M$8*Inputs!$C$32</f>
        <v/>
      </c>
      <c r="N70" s="39">
        <f>IF(N$4-Inputs!$C$33&gt;=1,INDEX($E$59:$BL$59,1,N$4-Inputs!$C$33),0)*Products!$E$30*Timeline!N$8*Inputs!$C$32</f>
        <v/>
      </c>
      <c r="O70" s="39">
        <f>IF(O$4-Inputs!$C$33&gt;=1,INDEX($E$59:$BL$59,1,O$4-Inputs!$C$33),0)*Products!$E$30*Timeline!O$8*Inputs!$C$32</f>
        <v/>
      </c>
      <c r="P70" s="39">
        <f>IF(P$4-Inputs!$C$33&gt;=1,INDEX($E$59:$BL$59,1,P$4-Inputs!$C$33),0)*Products!$E$30*Timeline!P$8*Inputs!$C$32</f>
        <v/>
      </c>
      <c r="Q70" s="39">
        <f>IF(Q$4-Inputs!$C$33&gt;=1,INDEX($E$59:$BL$59,1,Q$4-Inputs!$C$33),0)*Products!$E$30*Timeline!Q$8*Inputs!$C$32</f>
        <v/>
      </c>
      <c r="R70" s="39">
        <f>IF(R$4-Inputs!$C$33&gt;=1,INDEX($E$59:$BL$59,1,R$4-Inputs!$C$33),0)*Products!$E$30*Timeline!R$8*Inputs!$C$32</f>
        <v/>
      </c>
      <c r="S70" s="39">
        <f>IF(S$4-Inputs!$C$33&gt;=1,INDEX($E$59:$BL$59,1,S$4-Inputs!$C$33),0)*Products!$E$30*Timeline!S$8*Inputs!$C$32</f>
        <v/>
      </c>
      <c r="T70" s="39">
        <f>IF(T$4-Inputs!$C$33&gt;=1,INDEX($E$59:$BL$59,1,T$4-Inputs!$C$33),0)*Products!$E$30*Timeline!T$8*Inputs!$C$32</f>
        <v/>
      </c>
      <c r="U70" s="39">
        <f>IF(U$4-Inputs!$C$33&gt;=1,INDEX($E$59:$BL$59,1,U$4-Inputs!$C$33),0)*Products!$E$30*Timeline!U$8*Inputs!$C$32</f>
        <v/>
      </c>
      <c r="V70" s="39">
        <f>IF(V$4-Inputs!$C$33&gt;=1,INDEX($E$59:$BL$59,1,V$4-Inputs!$C$33),0)*Products!$E$30*Timeline!V$8*Inputs!$C$32</f>
        <v/>
      </c>
      <c r="W70" s="39">
        <f>IF(W$4-Inputs!$C$33&gt;=1,INDEX($E$59:$BL$59,1,W$4-Inputs!$C$33),0)*Products!$E$30*Timeline!W$8*Inputs!$C$32</f>
        <v/>
      </c>
      <c r="X70" s="39">
        <f>IF(X$4-Inputs!$C$33&gt;=1,INDEX($E$59:$BL$59,1,X$4-Inputs!$C$33),0)*Products!$E$30*Timeline!X$8*Inputs!$C$32</f>
        <v/>
      </c>
      <c r="Y70" s="39">
        <f>IF(Y$4-Inputs!$C$33&gt;=1,INDEX($E$59:$BL$59,1,Y$4-Inputs!$C$33),0)*Products!$E$30*Timeline!Y$8*Inputs!$C$32</f>
        <v/>
      </c>
      <c r="Z70" s="39">
        <f>IF(Z$4-Inputs!$C$33&gt;=1,INDEX($E$59:$BL$59,1,Z$4-Inputs!$C$33),0)*Products!$E$30*Timeline!Z$8*Inputs!$C$32</f>
        <v/>
      </c>
      <c r="AA70" s="39">
        <f>IF(AA$4-Inputs!$C$33&gt;=1,INDEX($E$59:$BL$59,1,AA$4-Inputs!$C$33),0)*Products!$E$30*Timeline!AA$8*Inputs!$C$32</f>
        <v/>
      </c>
      <c r="AB70" s="39">
        <f>IF(AB$4-Inputs!$C$33&gt;=1,INDEX($E$59:$BL$59,1,AB$4-Inputs!$C$33),0)*Products!$E$30*Timeline!AB$8*Inputs!$C$32</f>
        <v/>
      </c>
      <c r="AC70" s="39">
        <f>IF(AC$4-Inputs!$C$33&gt;=1,INDEX($E$59:$BL$59,1,AC$4-Inputs!$C$33),0)*Products!$E$30*Timeline!AC$8*Inputs!$C$32</f>
        <v/>
      </c>
      <c r="AD70" s="39">
        <f>IF(AD$4-Inputs!$C$33&gt;=1,INDEX($E$59:$BL$59,1,AD$4-Inputs!$C$33),0)*Products!$E$30*Timeline!AD$8*Inputs!$C$32</f>
        <v/>
      </c>
      <c r="AE70" s="39">
        <f>IF(AE$4-Inputs!$C$33&gt;=1,INDEX($E$59:$BL$59,1,AE$4-Inputs!$C$33),0)*Products!$E$30*Timeline!AE$8*Inputs!$C$32</f>
        <v/>
      </c>
      <c r="AF70" s="39">
        <f>IF(AF$4-Inputs!$C$33&gt;=1,INDEX($E$59:$BL$59,1,AF$4-Inputs!$C$33),0)*Products!$E$30*Timeline!AF$8*Inputs!$C$32</f>
        <v/>
      </c>
      <c r="AG70" s="39">
        <f>IF(AG$4-Inputs!$C$33&gt;=1,INDEX($E$59:$BL$59,1,AG$4-Inputs!$C$33),0)*Products!$E$30*Timeline!AG$8*Inputs!$C$32</f>
        <v/>
      </c>
      <c r="AH70" s="39">
        <f>IF(AH$4-Inputs!$C$33&gt;=1,INDEX($E$59:$BL$59,1,AH$4-Inputs!$C$33),0)*Products!$E$30*Timeline!AH$8*Inputs!$C$32</f>
        <v/>
      </c>
      <c r="AI70" s="39">
        <f>IF(AI$4-Inputs!$C$33&gt;=1,INDEX($E$59:$BL$59,1,AI$4-Inputs!$C$33),0)*Products!$E$30*Timeline!AI$8*Inputs!$C$32</f>
        <v/>
      </c>
      <c r="AJ70" s="39">
        <f>IF(AJ$4-Inputs!$C$33&gt;=1,INDEX($E$59:$BL$59,1,AJ$4-Inputs!$C$33),0)*Products!$E$30*Timeline!AJ$8*Inputs!$C$32</f>
        <v/>
      </c>
      <c r="AK70" s="39">
        <f>IF(AK$4-Inputs!$C$33&gt;=1,INDEX($E$59:$BL$59,1,AK$4-Inputs!$C$33),0)*Products!$E$30*Timeline!AK$8*Inputs!$C$32</f>
        <v/>
      </c>
      <c r="AL70" s="39">
        <f>IF(AL$4-Inputs!$C$33&gt;=1,INDEX($E$59:$BL$59,1,AL$4-Inputs!$C$33),0)*Products!$E$30*Timeline!AL$8*Inputs!$C$32</f>
        <v/>
      </c>
      <c r="AM70" s="39">
        <f>IF(AM$4-Inputs!$C$33&gt;=1,INDEX($E$59:$BL$59,1,AM$4-Inputs!$C$33),0)*Products!$E$30*Timeline!AM$8*Inputs!$C$32</f>
        <v/>
      </c>
      <c r="AN70" s="39">
        <f>IF(AN$4-Inputs!$C$33&gt;=1,INDEX($E$59:$BL$59,1,AN$4-Inputs!$C$33),0)*Products!$E$30*Timeline!AN$8*Inputs!$C$32</f>
        <v/>
      </c>
      <c r="AO70" s="39">
        <f>IF(AO$4-Inputs!$C$33&gt;=1,INDEX($E$59:$BL$59,1,AO$4-Inputs!$C$33),0)*Products!$E$30*Timeline!AO$8*Inputs!$C$32</f>
        <v/>
      </c>
      <c r="AP70" s="39">
        <f>IF(AP$4-Inputs!$C$33&gt;=1,INDEX($E$59:$BL$59,1,AP$4-Inputs!$C$33),0)*Products!$E$30*Timeline!AP$8*Inputs!$C$32</f>
        <v/>
      </c>
      <c r="AQ70" s="39">
        <f>IF(AQ$4-Inputs!$C$33&gt;=1,INDEX($E$59:$BL$59,1,AQ$4-Inputs!$C$33),0)*Products!$E$30*Timeline!AQ$8*Inputs!$C$32</f>
        <v/>
      </c>
      <c r="AR70" s="39">
        <f>IF(AR$4-Inputs!$C$33&gt;=1,INDEX($E$59:$BL$59,1,AR$4-Inputs!$C$33),0)*Products!$E$30*Timeline!AR$8*Inputs!$C$32</f>
        <v/>
      </c>
      <c r="AS70" s="39">
        <f>IF(AS$4-Inputs!$C$33&gt;=1,INDEX($E$59:$BL$59,1,AS$4-Inputs!$C$33),0)*Products!$E$30*Timeline!AS$8*Inputs!$C$32</f>
        <v/>
      </c>
      <c r="AT70" s="39">
        <f>IF(AT$4-Inputs!$C$33&gt;=1,INDEX($E$59:$BL$59,1,AT$4-Inputs!$C$33),0)*Products!$E$30*Timeline!AT$8*Inputs!$C$32</f>
        <v/>
      </c>
      <c r="AU70" s="39">
        <f>IF(AU$4-Inputs!$C$33&gt;=1,INDEX($E$59:$BL$59,1,AU$4-Inputs!$C$33),0)*Products!$E$30*Timeline!AU$8*Inputs!$C$32</f>
        <v/>
      </c>
      <c r="AV70" s="39">
        <f>IF(AV$4-Inputs!$C$33&gt;=1,INDEX($E$59:$BL$59,1,AV$4-Inputs!$C$33),0)*Products!$E$30*Timeline!AV$8*Inputs!$C$32</f>
        <v/>
      </c>
      <c r="AW70" s="39">
        <f>IF(AW$4-Inputs!$C$33&gt;=1,INDEX($E$59:$BL$59,1,AW$4-Inputs!$C$33),0)*Products!$E$30*Timeline!AW$8*Inputs!$C$32</f>
        <v/>
      </c>
      <c r="AX70" s="39">
        <f>IF(AX$4-Inputs!$C$33&gt;=1,INDEX($E$59:$BL$59,1,AX$4-Inputs!$C$33),0)*Products!$E$30*Timeline!AX$8*Inputs!$C$32</f>
        <v/>
      </c>
      <c r="AY70" s="39">
        <f>IF(AY$4-Inputs!$C$33&gt;=1,INDEX($E$59:$BL$59,1,AY$4-Inputs!$C$33),0)*Products!$E$30*Timeline!AY$8*Inputs!$C$32</f>
        <v/>
      </c>
      <c r="AZ70" s="39">
        <f>IF(AZ$4-Inputs!$C$33&gt;=1,INDEX($E$59:$BL$59,1,AZ$4-Inputs!$C$33),0)*Products!$E$30*Timeline!AZ$8*Inputs!$C$32</f>
        <v/>
      </c>
      <c r="BA70" s="39">
        <f>IF(BA$4-Inputs!$C$33&gt;=1,INDEX($E$59:$BL$59,1,BA$4-Inputs!$C$33),0)*Products!$E$30*Timeline!BA$8*Inputs!$C$32</f>
        <v/>
      </c>
      <c r="BB70" s="39">
        <f>IF(BB$4-Inputs!$C$33&gt;=1,INDEX($E$59:$BL$59,1,BB$4-Inputs!$C$33),0)*Products!$E$30*Timeline!BB$8*Inputs!$C$32</f>
        <v/>
      </c>
      <c r="BC70" s="39">
        <f>IF(BC$4-Inputs!$C$33&gt;=1,INDEX($E$59:$BL$59,1,BC$4-Inputs!$C$33),0)*Products!$E$30*Timeline!BC$8*Inputs!$C$32</f>
        <v/>
      </c>
      <c r="BD70" s="39">
        <f>IF(BD$4-Inputs!$C$33&gt;=1,INDEX($E$59:$BL$59,1,BD$4-Inputs!$C$33),0)*Products!$E$30*Timeline!BD$8*Inputs!$C$32</f>
        <v/>
      </c>
      <c r="BE70" s="39">
        <f>IF(BE$4-Inputs!$C$33&gt;=1,INDEX($E$59:$BL$59,1,BE$4-Inputs!$C$33),0)*Products!$E$30*Timeline!BE$8*Inputs!$C$32</f>
        <v/>
      </c>
      <c r="BF70" s="39">
        <f>IF(BF$4-Inputs!$C$33&gt;=1,INDEX($E$59:$BL$59,1,BF$4-Inputs!$C$33),0)*Products!$E$30*Timeline!BF$8*Inputs!$C$32</f>
        <v/>
      </c>
      <c r="BG70" s="39">
        <f>IF(BG$4-Inputs!$C$33&gt;=1,INDEX($E$59:$BL$59,1,BG$4-Inputs!$C$33),0)*Products!$E$30*Timeline!BG$8*Inputs!$C$32</f>
        <v/>
      </c>
      <c r="BH70" s="39">
        <f>IF(BH$4-Inputs!$C$33&gt;=1,INDEX($E$59:$BL$59,1,BH$4-Inputs!$C$33),0)*Products!$E$30*Timeline!BH$8*Inputs!$C$32</f>
        <v/>
      </c>
      <c r="BI70" s="39">
        <f>IF(BI$4-Inputs!$C$33&gt;=1,INDEX($E$59:$BL$59,1,BI$4-Inputs!$C$33),0)*Products!$E$30*Timeline!BI$8*Inputs!$C$32</f>
        <v/>
      </c>
      <c r="BJ70" s="39">
        <f>IF(BJ$4-Inputs!$C$33&gt;=1,INDEX($E$59:$BL$59,1,BJ$4-Inputs!$C$33),0)*Products!$E$30*Timeline!BJ$8*Inputs!$C$32</f>
        <v/>
      </c>
      <c r="BK70" s="39">
        <f>IF(BK$4-Inputs!$C$33&gt;=1,INDEX($E$59:$BL$59,1,BK$4-Inputs!$C$33),0)*Products!$E$30*Timeline!BK$8*Inputs!$C$32</f>
        <v/>
      </c>
      <c r="BL70" s="39">
        <f>IF(BL$4-Inputs!$C$33&gt;=1,INDEX($E$59:$BL$59,1,BL$4-Inputs!$C$33),0)*Products!$E$30*Timeline!BL$8*Inputs!$C$32</f>
        <v/>
      </c>
    </row>
    <row r="71">
      <c r="A71" s="55" t="inlineStr">
        <is>
          <t>Active (paying, in-tenor) accounts</t>
        </is>
      </c>
      <c r="B71" s="26" t="inlineStr">
        <is>
          <t>accounts</t>
        </is>
      </c>
      <c r="C71" s="58">
        <f>BL71</f>
        <v/>
      </c>
      <c r="E71" s="17">
        <f>Cohort_T3!E$72</f>
        <v/>
      </c>
      <c r="F71" s="17">
        <f>Cohort_T3!F$72</f>
        <v/>
      </c>
      <c r="G71" s="17">
        <f>Cohort_T3!G$72</f>
        <v/>
      </c>
      <c r="H71" s="17">
        <f>Cohort_T3!H$72</f>
        <v/>
      </c>
      <c r="I71" s="17">
        <f>Cohort_T3!I$72</f>
        <v/>
      </c>
      <c r="J71" s="17">
        <f>Cohort_T3!J$72</f>
        <v/>
      </c>
      <c r="K71" s="17">
        <f>Cohort_T3!K$72</f>
        <v/>
      </c>
      <c r="L71" s="17">
        <f>Cohort_T3!L$72</f>
        <v/>
      </c>
      <c r="M71" s="17">
        <f>Cohort_T3!M$72</f>
        <v/>
      </c>
      <c r="N71" s="17">
        <f>Cohort_T3!N$72</f>
        <v/>
      </c>
      <c r="O71" s="17">
        <f>Cohort_T3!O$72</f>
        <v/>
      </c>
      <c r="P71" s="17">
        <f>Cohort_T3!P$72</f>
        <v/>
      </c>
      <c r="Q71" s="17">
        <f>Cohort_T3!Q$72</f>
        <v/>
      </c>
      <c r="R71" s="17">
        <f>Cohort_T3!R$72</f>
        <v/>
      </c>
      <c r="S71" s="17">
        <f>Cohort_T3!S$72</f>
        <v/>
      </c>
      <c r="T71" s="17">
        <f>Cohort_T3!T$72</f>
        <v/>
      </c>
      <c r="U71" s="17">
        <f>Cohort_T3!U$72</f>
        <v/>
      </c>
      <c r="V71" s="17">
        <f>Cohort_T3!V$72</f>
        <v/>
      </c>
      <c r="W71" s="17">
        <f>Cohort_T3!W$72</f>
        <v/>
      </c>
      <c r="X71" s="17">
        <f>Cohort_T3!X$72</f>
        <v/>
      </c>
      <c r="Y71" s="17">
        <f>Cohort_T3!Y$72</f>
        <v/>
      </c>
      <c r="Z71" s="17">
        <f>Cohort_T3!Z$72</f>
        <v/>
      </c>
      <c r="AA71" s="17">
        <f>Cohort_T3!AA$72</f>
        <v/>
      </c>
      <c r="AB71" s="17">
        <f>Cohort_T3!AB$72</f>
        <v/>
      </c>
      <c r="AC71" s="17">
        <f>Cohort_T3!AC$72</f>
        <v/>
      </c>
      <c r="AD71" s="17">
        <f>Cohort_T3!AD$72</f>
        <v/>
      </c>
      <c r="AE71" s="17">
        <f>Cohort_T3!AE$72</f>
        <v/>
      </c>
      <c r="AF71" s="17">
        <f>Cohort_T3!AF$72</f>
        <v/>
      </c>
      <c r="AG71" s="17">
        <f>Cohort_T3!AG$72</f>
        <v/>
      </c>
      <c r="AH71" s="17">
        <f>Cohort_T3!AH$72</f>
        <v/>
      </c>
      <c r="AI71" s="17">
        <f>Cohort_T3!AI$72</f>
        <v/>
      </c>
      <c r="AJ71" s="17">
        <f>Cohort_T3!AJ$72</f>
        <v/>
      </c>
      <c r="AK71" s="17">
        <f>Cohort_T3!AK$72</f>
        <v/>
      </c>
      <c r="AL71" s="17">
        <f>Cohort_T3!AL$72</f>
        <v/>
      </c>
      <c r="AM71" s="17">
        <f>Cohort_T3!AM$72</f>
        <v/>
      </c>
      <c r="AN71" s="17">
        <f>Cohort_T3!AN$72</f>
        <v/>
      </c>
      <c r="AO71" s="17">
        <f>Cohort_T3!AO$72</f>
        <v/>
      </c>
      <c r="AP71" s="17">
        <f>Cohort_T3!AP$72</f>
        <v/>
      </c>
      <c r="AQ71" s="17">
        <f>Cohort_T3!AQ$72</f>
        <v/>
      </c>
      <c r="AR71" s="17">
        <f>Cohort_T3!AR$72</f>
        <v/>
      </c>
      <c r="AS71" s="17">
        <f>Cohort_T3!AS$72</f>
        <v/>
      </c>
      <c r="AT71" s="17">
        <f>Cohort_T3!AT$72</f>
        <v/>
      </c>
      <c r="AU71" s="17">
        <f>Cohort_T3!AU$72</f>
        <v/>
      </c>
      <c r="AV71" s="17">
        <f>Cohort_T3!AV$72</f>
        <v/>
      </c>
      <c r="AW71" s="17">
        <f>Cohort_T3!AW$72</f>
        <v/>
      </c>
      <c r="AX71" s="17">
        <f>Cohort_T3!AX$72</f>
        <v/>
      </c>
      <c r="AY71" s="17">
        <f>Cohort_T3!AY$72</f>
        <v/>
      </c>
      <c r="AZ71" s="17">
        <f>Cohort_T3!AZ$72</f>
        <v/>
      </c>
      <c r="BA71" s="17">
        <f>Cohort_T3!BA$72</f>
        <v/>
      </c>
      <c r="BB71" s="17">
        <f>Cohort_T3!BB$72</f>
        <v/>
      </c>
      <c r="BC71" s="17">
        <f>Cohort_T3!BC$72</f>
        <v/>
      </c>
      <c r="BD71" s="17">
        <f>Cohort_T3!BD$72</f>
        <v/>
      </c>
      <c r="BE71" s="17">
        <f>Cohort_T3!BE$72</f>
        <v/>
      </c>
      <c r="BF71" s="17">
        <f>Cohort_T3!BF$72</f>
        <v/>
      </c>
      <c r="BG71" s="17">
        <f>Cohort_T3!BG$72</f>
        <v/>
      </c>
      <c r="BH71" s="17">
        <f>Cohort_T3!BH$72</f>
        <v/>
      </c>
      <c r="BI71" s="17">
        <f>Cohort_T3!BI$72</f>
        <v/>
      </c>
      <c r="BJ71" s="17">
        <f>Cohort_T3!BJ$72</f>
        <v/>
      </c>
      <c r="BK71" s="17">
        <f>Cohort_T3!BK$72</f>
        <v/>
      </c>
      <c r="BL71" s="17">
        <f>Cohort_T3!BL$72</f>
        <v/>
      </c>
    </row>
    <row r="72">
      <c r="A72" s="55" t="inlineStr">
        <is>
          <t>Accounts reaching end of tenor (unlocked)</t>
        </is>
      </c>
      <c r="B72" s="26" t="inlineStr">
        <is>
          <t>accounts</t>
        </is>
      </c>
      <c r="C72" s="58">
        <f>SUM(E72:BL72)</f>
        <v/>
      </c>
      <c r="E72" s="39">
        <f>IF(E$4&gt;Products!$E$16,INDEX($E$59:$BL$59,1,E$4-Products!$E$16)*INDEX(Curves!$Z$8:$Z$68,Products!$E$16+1),0)</f>
        <v/>
      </c>
      <c r="F72" s="39">
        <f>IF(F$4&gt;Products!$E$16,INDEX($E$59:$BL$59,1,F$4-Products!$E$16)*INDEX(Curves!$Z$8:$Z$68,Products!$E$16+1),0)</f>
        <v/>
      </c>
      <c r="G72" s="39">
        <f>IF(G$4&gt;Products!$E$16,INDEX($E$59:$BL$59,1,G$4-Products!$E$16)*INDEX(Curves!$Z$8:$Z$68,Products!$E$16+1),0)</f>
        <v/>
      </c>
      <c r="H72" s="39">
        <f>IF(H$4&gt;Products!$E$16,INDEX($E$59:$BL$59,1,H$4-Products!$E$16)*INDEX(Curves!$Z$8:$Z$68,Products!$E$16+1),0)</f>
        <v/>
      </c>
      <c r="I72" s="39">
        <f>IF(I$4&gt;Products!$E$16,INDEX($E$59:$BL$59,1,I$4-Products!$E$16)*INDEX(Curves!$Z$8:$Z$68,Products!$E$16+1),0)</f>
        <v/>
      </c>
      <c r="J72" s="39">
        <f>IF(J$4&gt;Products!$E$16,INDEX($E$59:$BL$59,1,J$4-Products!$E$16)*INDEX(Curves!$Z$8:$Z$68,Products!$E$16+1),0)</f>
        <v/>
      </c>
      <c r="K72" s="39">
        <f>IF(K$4&gt;Products!$E$16,INDEX($E$59:$BL$59,1,K$4-Products!$E$16)*INDEX(Curves!$Z$8:$Z$68,Products!$E$16+1),0)</f>
        <v/>
      </c>
      <c r="L72" s="39">
        <f>IF(L$4&gt;Products!$E$16,INDEX($E$59:$BL$59,1,L$4-Products!$E$16)*INDEX(Curves!$Z$8:$Z$68,Products!$E$16+1),0)</f>
        <v/>
      </c>
      <c r="M72" s="39">
        <f>IF(M$4&gt;Products!$E$16,INDEX($E$59:$BL$59,1,M$4-Products!$E$16)*INDEX(Curves!$Z$8:$Z$68,Products!$E$16+1),0)</f>
        <v/>
      </c>
      <c r="N72" s="39">
        <f>IF(N$4&gt;Products!$E$16,INDEX($E$59:$BL$59,1,N$4-Products!$E$16)*INDEX(Curves!$Z$8:$Z$68,Products!$E$16+1),0)</f>
        <v/>
      </c>
      <c r="O72" s="39">
        <f>IF(O$4&gt;Products!$E$16,INDEX($E$59:$BL$59,1,O$4-Products!$E$16)*INDEX(Curves!$Z$8:$Z$68,Products!$E$16+1),0)</f>
        <v/>
      </c>
      <c r="P72" s="39">
        <f>IF(P$4&gt;Products!$E$16,INDEX($E$59:$BL$59,1,P$4-Products!$E$16)*INDEX(Curves!$Z$8:$Z$68,Products!$E$16+1),0)</f>
        <v/>
      </c>
      <c r="Q72" s="39">
        <f>IF(Q$4&gt;Products!$E$16,INDEX($E$59:$BL$59,1,Q$4-Products!$E$16)*INDEX(Curves!$Z$8:$Z$68,Products!$E$16+1),0)</f>
        <v/>
      </c>
      <c r="R72" s="39">
        <f>IF(R$4&gt;Products!$E$16,INDEX($E$59:$BL$59,1,R$4-Products!$E$16)*INDEX(Curves!$Z$8:$Z$68,Products!$E$16+1),0)</f>
        <v/>
      </c>
      <c r="S72" s="39">
        <f>IF(S$4&gt;Products!$E$16,INDEX($E$59:$BL$59,1,S$4-Products!$E$16)*INDEX(Curves!$Z$8:$Z$68,Products!$E$16+1),0)</f>
        <v/>
      </c>
      <c r="T72" s="39">
        <f>IF(T$4&gt;Products!$E$16,INDEX($E$59:$BL$59,1,T$4-Products!$E$16)*INDEX(Curves!$Z$8:$Z$68,Products!$E$16+1),0)</f>
        <v/>
      </c>
      <c r="U72" s="39">
        <f>IF(U$4&gt;Products!$E$16,INDEX($E$59:$BL$59,1,U$4-Products!$E$16)*INDEX(Curves!$Z$8:$Z$68,Products!$E$16+1),0)</f>
        <v/>
      </c>
      <c r="V72" s="39">
        <f>IF(V$4&gt;Products!$E$16,INDEX($E$59:$BL$59,1,V$4-Products!$E$16)*INDEX(Curves!$Z$8:$Z$68,Products!$E$16+1),0)</f>
        <v/>
      </c>
      <c r="W72" s="39">
        <f>IF(W$4&gt;Products!$E$16,INDEX($E$59:$BL$59,1,W$4-Products!$E$16)*INDEX(Curves!$Z$8:$Z$68,Products!$E$16+1),0)</f>
        <v/>
      </c>
      <c r="X72" s="39">
        <f>IF(X$4&gt;Products!$E$16,INDEX($E$59:$BL$59,1,X$4-Products!$E$16)*INDEX(Curves!$Z$8:$Z$68,Products!$E$16+1),0)</f>
        <v/>
      </c>
      <c r="Y72" s="39">
        <f>IF(Y$4&gt;Products!$E$16,INDEX($E$59:$BL$59,1,Y$4-Products!$E$16)*INDEX(Curves!$Z$8:$Z$68,Products!$E$16+1),0)</f>
        <v/>
      </c>
      <c r="Z72" s="39">
        <f>IF(Z$4&gt;Products!$E$16,INDEX($E$59:$BL$59,1,Z$4-Products!$E$16)*INDEX(Curves!$Z$8:$Z$68,Products!$E$16+1),0)</f>
        <v/>
      </c>
      <c r="AA72" s="39">
        <f>IF(AA$4&gt;Products!$E$16,INDEX($E$59:$BL$59,1,AA$4-Products!$E$16)*INDEX(Curves!$Z$8:$Z$68,Products!$E$16+1),0)</f>
        <v/>
      </c>
      <c r="AB72" s="39">
        <f>IF(AB$4&gt;Products!$E$16,INDEX($E$59:$BL$59,1,AB$4-Products!$E$16)*INDEX(Curves!$Z$8:$Z$68,Products!$E$16+1),0)</f>
        <v/>
      </c>
      <c r="AC72" s="39">
        <f>IF(AC$4&gt;Products!$E$16,INDEX($E$59:$BL$59,1,AC$4-Products!$E$16)*INDEX(Curves!$Z$8:$Z$68,Products!$E$16+1),0)</f>
        <v/>
      </c>
      <c r="AD72" s="39">
        <f>IF(AD$4&gt;Products!$E$16,INDEX($E$59:$BL$59,1,AD$4-Products!$E$16)*INDEX(Curves!$Z$8:$Z$68,Products!$E$16+1),0)</f>
        <v/>
      </c>
      <c r="AE72" s="39">
        <f>IF(AE$4&gt;Products!$E$16,INDEX($E$59:$BL$59,1,AE$4-Products!$E$16)*INDEX(Curves!$Z$8:$Z$68,Products!$E$16+1),0)</f>
        <v/>
      </c>
      <c r="AF72" s="39">
        <f>IF(AF$4&gt;Products!$E$16,INDEX($E$59:$BL$59,1,AF$4-Products!$E$16)*INDEX(Curves!$Z$8:$Z$68,Products!$E$16+1),0)</f>
        <v/>
      </c>
      <c r="AG72" s="39">
        <f>IF(AG$4&gt;Products!$E$16,INDEX($E$59:$BL$59,1,AG$4-Products!$E$16)*INDEX(Curves!$Z$8:$Z$68,Products!$E$16+1),0)</f>
        <v/>
      </c>
      <c r="AH72" s="39">
        <f>IF(AH$4&gt;Products!$E$16,INDEX($E$59:$BL$59,1,AH$4-Products!$E$16)*INDEX(Curves!$Z$8:$Z$68,Products!$E$16+1),0)</f>
        <v/>
      </c>
      <c r="AI72" s="39">
        <f>IF(AI$4&gt;Products!$E$16,INDEX($E$59:$BL$59,1,AI$4-Products!$E$16)*INDEX(Curves!$Z$8:$Z$68,Products!$E$16+1),0)</f>
        <v/>
      </c>
      <c r="AJ72" s="39">
        <f>IF(AJ$4&gt;Products!$E$16,INDEX($E$59:$BL$59,1,AJ$4-Products!$E$16)*INDEX(Curves!$Z$8:$Z$68,Products!$E$16+1),0)</f>
        <v/>
      </c>
      <c r="AK72" s="39">
        <f>IF(AK$4&gt;Products!$E$16,INDEX($E$59:$BL$59,1,AK$4-Products!$E$16)*INDEX(Curves!$Z$8:$Z$68,Products!$E$16+1),0)</f>
        <v/>
      </c>
      <c r="AL72" s="39">
        <f>IF(AL$4&gt;Products!$E$16,INDEX($E$59:$BL$59,1,AL$4-Products!$E$16)*INDEX(Curves!$Z$8:$Z$68,Products!$E$16+1),0)</f>
        <v/>
      </c>
      <c r="AM72" s="39">
        <f>IF(AM$4&gt;Products!$E$16,INDEX($E$59:$BL$59,1,AM$4-Products!$E$16)*INDEX(Curves!$Z$8:$Z$68,Products!$E$16+1),0)</f>
        <v/>
      </c>
      <c r="AN72" s="39">
        <f>IF(AN$4&gt;Products!$E$16,INDEX($E$59:$BL$59,1,AN$4-Products!$E$16)*INDEX(Curves!$Z$8:$Z$68,Products!$E$16+1),0)</f>
        <v/>
      </c>
      <c r="AO72" s="39">
        <f>IF(AO$4&gt;Products!$E$16,INDEX($E$59:$BL$59,1,AO$4-Products!$E$16)*INDEX(Curves!$Z$8:$Z$68,Products!$E$16+1),0)</f>
        <v/>
      </c>
      <c r="AP72" s="39">
        <f>IF(AP$4&gt;Products!$E$16,INDEX($E$59:$BL$59,1,AP$4-Products!$E$16)*INDEX(Curves!$Z$8:$Z$68,Products!$E$16+1),0)</f>
        <v/>
      </c>
      <c r="AQ72" s="39">
        <f>IF(AQ$4&gt;Products!$E$16,INDEX($E$59:$BL$59,1,AQ$4-Products!$E$16)*INDEX(Curves!$Z$8:$Z$68,Products!$E$16+1),0)</f>
        <v/>
      </c>
      <c r="AR72" s="39">
        <f>IF(AR$4&gt;Products!$E$16,INDEX($E$59:$BL$59,1,AR$4-Products!$E$16)*INDEX(Curves!$Z$8:$Z$68,Products!$E$16+1),0)</f>
        <v/>
      </c>
      <c r="AS72" s="39">
        <f>IF(AS$4&gt;Products!$E$16,INDEX($E$59:$BL$59,1,AS$4-Products!$E$16)*INDEX(Curves!$Z$8:$Z$68,Products!$E$16+1),0)</f>
        <v/>
      </c>
      <c r="AT72" s="39">
        <f>IF(AT$4&gt;Products!$E$16,INDEX($E$59:$BL$59,1,AT$4-Products!$E$16)*INDEX(Curves!$Z$8:$Z$68,Products!$E$16+1),0)</f>
        <v/>
      </c>
      <c r="AU72" s="39">
        <f>IF(AU$4&gt;Products!$E$16,INDEX($E$59:$BL$59,1,AU$4-Products!$E$16)*INDEX(Curves!$Z$8:$Z$68,Products!$E$16+1),0)</f>
        <v/>
      </c>
      <c r="AV72" s="39">
        <f>IF(AV$4&gt;Products!$E$16,INDEX($E$59:$BL$59,1,AV$4-Products!$E$16)*INDEX(Curves!$Z$8:$Z$68,Products!$E$16+1),0)</f>
        <v/>
      </c>
      <c r="AW72" s="39">
        <f>IF(AW$4&gt;Products!$E$16,INDEX($E$59:$BL$59,1,AW$4-Products!$E$16)*INDEX(Curves!$Z$8:$Z$68,Products!$E$16+1),0)</f>
        <v/>
      </c>
      <c r="AX72" s="39">
        <f>IF(AX$4&gt;Products!$E$16,INDEX($E$59:$BL$59,1,AX$4-Products!$E$16)*INDEX(Curves!$Z$8:$Z$68,Products!$E$16+1),0)</f>
        <v/>
      </c>
      <c r="AY72" s="39">
        <f>IF(AY$4&gt;Products!$E$16,INDEX($E$59:$BL$59,1,AY$4-Products!$E$16)*INDEX(Curves!$Z$8:$Z$68,Products!$E$16+1),0)</f>
        <v/>
      </c>
      <c r="AZ72" s="39">
        <f>IF(AZ$4&gt;Products!$E$16,INDEX($E$59:$BL$59,1,AZ$4-Products!$E$16)*INDEX(Curves!$Z$8:$Z$68,Products!$E$16+1),0)</f>
        <v/>
      </c>
      <c r="BA72" s="39">
        <f>IF(BA$4&gt;Products!$E$16,INDEX($E$59:$BL$59,1,BA$4-Products!$E$16)*INDEX(Curves!$Z$8:$Z$68,Products!$E$16+1),0)</f>
        <v/>
      </c>
      <c r="BB72" s="39">
        <f>IF(BB$4&gt;Products!$E$16,INDEX($E$59:$BL$59,1,BB$4-Products!$E$16)*INDEX(Curves!$Z$8:$Z$68,Products!$E$16+1),0)</f>
        <v/>
      </c>
      <c r="BC72" s="39">
        <f>IF(BC$4&gt;Products!$E$16,INDEX($E$59:$BL$59,1,BC$4-Products!$E$16)*INDEX(Curves!$Z$8:$Z$68,Products!$E$16+1),0)</f>
        <v/>
      </c>
      <c r="BD72" s="39">
        <f>IF(BD$4&gt;Products!$E$16,INDEX($E$59:$BL$59,1,BD$4-Products!$E$16)*INDEX(Curves!$Z$8:$Z$68,Products!$E$16+1),0)</f>
        <v/>
      </c>
      <c r="BE72" s="39">
        <f>IF(BE$4&gt;Products!$E$16,INDEX($E$59:$BL$59,1,BE$4-Products!$E$16)*INDEX(Curves!$Z$8:$Z$68,Products!$E$16+1),0)</f>
        <v/>
      </c>
      <c r="BF72" s="39">
        <f>IF(BF$4&gt;Products!$E$16,INDEX($E$59:$BL$59,1,BF$4-Products!$E$16)*INDEX(Curves!$Z$8:$Z$68,Products!$E$16+1),0)</f>
        <v/>
      </c>
      <c r="BG72" s="39">
        <f>IF(BG$4&gt;Products!$E$16,INDEX($E$59:$BL$59,1,BG$4-Products!$E$16)*INDEX(Curves!$Z$8:$Z$68,Products!$E$16+1),0)</f>
        <v/>
      </c>
      <c r="BH72" s="39">
        <f>IF(BH$4&gt;Products!$E$16,INDEX($E$59:$BL$59,1,BH$4-Products!$E$16)*INDEX(Curves!$Z$8:$Z$68,Products!$E$16+1),0)</f>
        <v/>
      </c>
      <c r="BI72" s="39">
        <f>IF(BI$4&gt;Products!$E$16,INDEX($E$59:$BL$59,1,BI$4-Products!$E$16)*INDEX(Curves!$Z$8:$Z$68,Products!$E$16+1),0)</f>
        <v/>
      </c>
      <c r="BJ72" s="39">
        <f>IF(BJ$4&gt;Products!$E$16,INDEX($E$59:$BL$59,1,BJ$4-Products!$E$16)*INDEX(Curves!$Z$8:$Z$68,Products!$E$16+1),0)</f>
        <v/>
      </c>
      <c r="BK72" s="39">
        <f>IF(BK$4&gt;Products!$E$16,INDEX($E$59:$BL$59,1,BK$4-Products!$E$16)*INDEX(Curves!$Z$8:$Z$68,Products!$E$16+1),0)</f>
        <v/>
      </c>
      <c r="BL72" s="39">
        <f>IF(BL$4&gt;Products!$E$16,INDEX($E$59:$BL$59,1,BL$4-Products!$E$16)*INDEX(Curves!$Z$8:$Z$68,Products!$E$16+1),0)</f>
        <v/>
      </c>
    </row>
    <row r="73">
      <c r="A73" s="55" t="inlineStr">
        <is>
          <t>Receivables at risk (carrying amount, accounts that stopped paying)</t>
        </is>
      </c>
      <c r="B73" s="26" t="inlineStr">
        <is>
          <t>LCY</t>
        </is>
      </c>
      <c r="C73" s="58">
        <f>BL73</f>
        <v/>
      </c>
      <c r="E73" s="17">
        <f>Cohort_T3!E$135</f>
        <v/>
      </c>
      <c r="F73" s="17">
        <f>Cohort_T3!F$135</f>
        <v/>
      </c>
      <c r="G73" s="17">
        <f>Cohort_T3!G$135</f>
        <v/>
      </c>
      <c r="H73" s="17">
        <f>Cohort_T3!H$135</f>
        <v/>
      </c>
      <c r="I73" s="17">
        <f>Cohort_T3!I$135</f>
        <v/>
      </c>
      <c r="J73" s="17">
        <f>Cohort_T3!J$135</f>
        <v/>
      </c>
      <c r="K73" s="17">
        <f>Cohort_T3!K$135</f>
        <v/>
      </c>
      <c r="L73" s="17">
        <f>Cohort_T3!L$135</f>
        <v/>
      </c>
      <c r="M73" s="17">
        <f>Cohort_T3!M$135</f>
        <v/>
      </c>
      <c r="N73" s="17">
        <f>Cohort_T3!N$135</f>
        <v/>
      </c>
      <c r="O73" s="17">
        <f>Cohort_T3!O$135</f>
        <v/>
      </c>
      <c r="P73" s="17">
        <f>Cohort_T3!P$135</f>
        <v/>
      </c>
      <c r="Q73" s="17">
        <f>Cohort_T3!Q$135</f>
        <v/>
      </c>
      <c r="R73" s="17">
        <f>Cohort_T3!R$135</f>
        <v/>
      </c>
      <c r="S73" s="17">
        <f>Cohort_T3!S$135</f>
        <v/>
      </c>
      <c r="T73" s="17">
        <f>Cohort_T3!T$135</f>
        <v/>
      </c>
      <c r="U73" s="17">
        <f>Cohort_T3!U$135</f>
        <v/>
      </c>
      <c r="V73" s="17">
        <f>Cohort_T3!V$135</f>
        <v/>
      </c>
      <c r="W73" s="17">
        <f>Cohort_T3!W$135</f>
        <v/>
      </c>
      <c r="X73" s="17">
        <f>Cohort_T3!X$135</f>
        <v/>
      </c>
      <c r="Y73" s="17">
        <f>Cohort_T3!Y$135</f>
        <v/>
      </c>
      <c r="Z73" s="17">
        <f>Cohort_T3!Z$135</f>
        <v/>
      </c>
      <c r="AA73" s="17">
        <f>Cohort_T3!AA$135</f>
        <v/>
      </c>
      <c r="AB73" s="17">
        <f>Cohort_T3!AB$135</f>
        <v/>
      </c>
      <c r="AC73" s="17">
        <f>Cohort_T3!AC$135</f>
        <v/>
      </c>
      <c r="AD73" s="17">
        <f>Cohort_T3!AD$135</f>
        <v/>
      </c>
      <c r="AE73" s="17">
        <f>Cohort_T3!AE$135</f>
        <v/>
      </c>
      <c r="AF73" s="17">
        <f>Cohort_T3!AF$135</f>
        <v/>
      </c>
      <c r="AG73" s="17">
        <f>Cohort_T3!AG$135</f>
        <v/>
      </c>
      <c r="AH73" s="17">
        <f>Cohort_T3!AH$135</f>
        <v/>
      </c>
      <c r="AI73" s="17">
        <f>Cohort_T3!AI$135</f>
        <v/>
      </c>
      <c r="AJ73" s="17">
        <f>Cohort_T3!AJ$135</f>
        <v/>
      </c>
      <c r="AK73" s="17">
        <f>Cohort_T3!AK$135</f>
        <v/>
      </c>
      <c r="AL73" s="17">
        <f>Cohort_T3!AL$135</f>
        <v/>
      </c>
      <c r="AM73" s="17">
        <f>Cohort_T3!AM$135</f>
        <v/>
      </c>
      <c r="AN73" s="17">
        <f>Cohort_T3!AN$135</f>
        <v/>
      </c>
      <c r="AO73" s="17">
        <f>Cohort_T3!AO$135</f>
        <v/>
      </c>
      <c r="AP73" s="17">
        <f>Cohort_T3!AP$135</f>
        <v/>
      </c>
      <c r="AQ73" s="17">
        <f>Cohort_T3!AQ$135</f>
        <v/>
      </c>
      <c r="AR73" s="17">
        <f>Cohort_T3!AR$135</f>
        <v/>
      </c>
      <c r="AS73" s="17">
        <f>Cohort_T3!AS$135</f>
        <v/>
      </c>
      <c r="AT73" s="17">
        <f>Cohort_T3!AT$135</f>
        <v/>
      </c>
      <c r="AU73" s="17">
        <f>Cohort_T3!AU$135</f>
        <v/>
      </c>
      <c r="AV73" s="17">
        <f>Cohort_T3!AV$135</f>
        <v/>
      </c>
      <c r="AW73" s="17">
        <f>Cohort_T3!AW$135</f>
        <v/>
      </c>
      <c r="AX73" s="17">
        <f>Cohort_T3!AX$135</f>
        <v/>
      </c>
      <c r="AY73" s="17">
        <f>Cohort_T3!AY$135</f>
        <v/>
      </c>
      <c r="AZ73" s="17">
        <f>Cohort_T3!AZ$135</f>
        <v/>
      </c>
      <c r="BA73" s="17">
        <f>Cohort_T3!BA$135</f>
        <v/>
      </c>
      <c r="BB73" s="17">
        <f>Cohort_T3!BB$135</f>
        <v/>
      </c>
      <c r="BC73" s="17">
        <f>Cohort_T3!BC$135</f>
        <v/>
      </c>
      <c r="BD73" s="17">
        <f>Cohort_T3!BD$135</f>
        <v/>
      </c>
      <c r="BE73" s="17">
        <f>Cohort_T3!BE$135</f>
        <v/>
      </c>
      <c r="BF73" s="17">
        <f>Cohort_T3!BF$135</f>
        <v/>
      </c>
      <c r="BG73" s="17">
        <f>Cohort_T3!BG$135</f>
        <v/>
      </c>
      <c r="BH73" s="17">
        <f>Cohort_T3!BH$135</f>
        <v/>
      </c>
      <c r="BI73" s="17">
        <f>Cohort_T3!BI$135</f>
        <v/>
      </c>
      <c r="BJ73" s="17">
        <f>Cohort_T3!BJ$135</f>
        <v/>
      </c>
      <c r="BK73" s="17">
        <f>Cohort_T3!BK$135</f>
        <v/>
      </c>
      <c r="BL73" s="17">
        <f>Cohort_T3!BL$135</f>
        <v/>
      </c>
    </row>
    <row r="74">
      <c r="A74" s="55" t="inlineStr">
        <is>
          <t>Gross PAYGo receivables (closing)</t>
        </is>
      </c>
      <c r="B74" s="26" t="inlineStr">
        <is>
          <t>LCY</t>
        </is>
      </c>
      <c r="C74" s="58">
        <f>BL74</f>
        <v/>
      </c>
      <c r="E74" s="39">
        <f>D74+E63+E67-E65-E66</f>
        <v/>
      </c>
      <c r="F74" s="39">
        <f>E74+F63+F67-F65-F66</f>
        <v/>
      </c>
      <c r="G74" s="39">
        <f>F74+G63+G67-G65-G66</f>
        <v/>
      </c>
      <c r="H74" s="39">
        <f>G74+H63+H67-H65-H66</f>
        <v/>
      </c>
      <c r="I74" s="39">
        <f>H74+I63+I67-I65-I66</f>
        <v/>
      </c>
      <c r="J74" s="39">
        <f>I74+J63+J67-J65-J66</f>
        <v/>
      </c>
      <c r="K74" s="39">
        <f>J74+K63+K67-K65-K66</f>
        <v/>
      </c>
      <c r="L74" s="39">
        <f>K74+L63+L67-L65-L66</f>
        <v/>
      </c>
      <c r="M74" s="39">
        <f>L74+M63+M67-M65-M66</f>
        <v/>
      </c>
      <c r="N74" s="39">
        <f>M74+N63+N67-N65-N66</f>
        <v/>
      </c>
      <c r="O74" s="39">
        <f>N74+O63+O67-O65-O66</f>
        <v/>
      </c>
      <c r="P74" s="39">
        <f>O74+P63+P67-P65-P66</f>
        <v/>
      </c>
      <c r="Q74" s="39">
        <f>P74+Q63+Q67-Q65-Q66</f>
        <v/>
      </c>
      <c r="R74" s="39">
        <f>Q74+R63+R67-R65-R66</f>
        <v/>
      </c>
      <c r="S74" s="39">
        <f>R74+S63+S67-S65-S66</f>
        <v/>
      </c>
      <c r="T74" s="39">
        <f>S74+T63+T67-T65-T66</f>
        <v/>
      </c>
      <c r="U74" s="39">
        <f>T74+U63+U67-U65-U66</f>
        <v/>
      </c>
      <c r="V74" s="39">
        <f>U74+V63+V67-V65-V66</f>
        <v/>
      </c>
      <c r="W74" s="39">
        <f>V74+W63+W67-W65-W66</f>
        <v/>
      </c>
      <c r="X74" s="39">
        <f>W74+X63+X67-X65-X66</f>
        <v/>
      </c>
      <c r="Y74" s="39">
        <f>X74+Y63+Y67-Y65-Y66</f>
        <v/>
      </c>
      <c r="Z74" s="39">
        <f>Y74+Z63+Z67-Z65-Z66</f>
        <v/>
      </c>
      <c r="AA74" s="39">
        <f>Z74+AA63+AA67-AA65-AA66</f>
        <v/>
      </c>
      <c r="AB74" s="39">
        <f>AA74+AB63+AB67-AB65-AB66</f>
        <v/>
      </c>
      <c r="AC74" s="39">
        <f>AB74+AC63+AC67-AC65-AC66</f>
        <v/>
      </c>
      <c r="AD74" s="39">
        <f>AC74+AD63+AD67-AD65-AD66</f>
        <v/>
      </c>
      <c r="AE74" s="39">
        <f>AD74+AE63+AE67-AE65-AE66</f>
        <v/>
      </c>
      <c r="AF74" s="39">
        <f>AE74+AF63+AF67-AF65-AF66</f>
        <v/>
      </c>
      <c r="AG74" s="39">
        <f>AF74+AG63+AG67-AG65-AG66</f>
        <v/>
      </c>
      <c r="AH74" s="39">
        <f>AG74+AH63+AH67-AH65-AH66</f>
        <v/>
      </c>
      <c r="AI74" s="39">
        <f>AH74+AI63+AI67-AI65-AI66</f>
        <v/>
      </c>
      <c r="AJ74" s="39">
        <f>AI74+AJ63+AJ67-AJ65-AJ66</f>
        <v/>
      </c>
      <c r="AK74" s="39">
        <f>AJ74+AK63+AK67-AK65-AK66</f>
        <v/>
      </c>
      <c r="AL74" s="39">
        <f>AK74+AL63+AL67-AL65-AL66</f>
        <v/>
      </c>
      <c r="AM74" s="39">
        <f>AL74+AM63+AM67-AM65-AM66</f>
        <v/>
      </c>
      <c r="AN74" s="39">
        <f>AM74+AN63+AN67-AN65-AN66</f>
        <v/>
      </c>
      <c r="AO74" s="39">
        <f>AN74+AO63+AO67-AO65-AO66</f>
        <v/>
      </c>
      <c r="AP74" s="39">
        <f>AO74+AP63+AP67-AP65-AP66</f>
        <v/>
      </c>
      <c r="AQ74" s="39">
        <f>AP74+AQ63+AQ67-AQ65-AQ66</f>
        <v/>
      </c>
      <c r="AR74" s="39">
        <f>AQ74+AR63+AR67-AR65-AR66</f>
        <v/>
      </c>
      <c r="AS74" s="39">
        <f>AR74+AS63+AS67-AS65-AS66</f>
        <v/>
      </c>
      <c r="AT74" s="39">
        <f>AS74+AT63+AT67-AT65-AT66</f>
        <v/>
      </c>
      <c r="AU74" s="39">
        <f>AT74+AU63+AU67-AU65-AU66</f>
        <v/>
      </c>
      <c r="AV74" s="39">
        <f>AU74+AV63+AV67-AV65-AV66</f>
        <v/>
      </c>
      <c r="AW74" s="39">
        <f>AV74+AW63+AW67-AW65-AW66</f>
        <v/>
      </c>
      <c r="AX74" s="39">
        <f>AW74+AX63+AX67-AX65-AX66</f>
        <v/>
      </c>
      <c r="AY74" s="39">
        <f>AX74+AY63+AY67-AY65-AY66</f>
        <v/>
      </c>
      <c r="AZ74" s="39">
        <f>AY74+AZ63+AZ67-AZ65-AZ66</f>
        <v/>
      </c>
      <c r="BA74" s="39">
        <f>AZ74+BA63+BA67-BA65-BA66</f>
        <v/>
      </c>
      <c r="BB74" s="39">
        <f>BA74+BB63+BB67-BB65-BB66</f>
        <v/>
      </c>
      <c r="BC74" s="39">
        <f>BB74+BC63+BC67-BC65-BC66</f>
        <v/>
      </c>
      <c r="BD74" s="39">
        <f>BC74+BD63+BD67-BD65-BD66</f>
        <v/>
      </c>
      <c r="BE74" s="39">
        <f>BD74+BE63+BE67-BE65-BE66</f>
        <v/>
      </c>
      <c r="BF74" s="39">
        <f>BE74+BF63+BF67-BF65-BF66</f>
        <v/>
      </c>
      <c r="BG74" s="39">
        <f>BF74+BG63+BG67-BG65-BG66</f>
        <v/>
      </c>
      <c r="BH74" s="39">
        <f>BG74+BH63+BH67-BH65-BH66</f>
        <v/>
      </c>
      <c r="BI74" s="39">
        <f>BH74+BI63+BI67-BI65-BI66</f>
        <v/>
      </c>
      <c r="BJ74" s="39">
        <f>BI74+BJ63+BJ67-BJ65-BJ66</f>
        <v/>
      </c>
      <c r="BK74" s="39">
        <f>BJ74+BK63+BK67-BK65-BK66</f>
        <v/>
      </c>
      <c r="BL74" s="39">
        <f>BK74+BL63+BL67-BL65-BL66</f>
        <v/>
      </c>
    </row>
    <row r="75">
      <c r="A75" s="55" t="inlineStr">
        <is>
          <t>Eligible receivables (gross - at risk)</t>
        </is>
      </c>
      <c r="B75" s="26" t="inlineStr">
        <is>
          <t>LCY</t>
        </is>
      </c>
      <c r="C75" s="58">
        <f>BL75</f>
        <v/>
      </c>
      <c r="E75" s="39">
        <f>MAX(0,E74-E73)</f>
        <v/>
      </c>
      <c r="F75" s="39">
        <f>MAX(0,F74-F73)</f>
        <v/>
      </c>
      <c r="G75" s="39">
        <f>MAX(0,G74-G73)</f>
        <v/>
      </c>
      <c r="H75" s="39">
        <f>MAX(0,H74-H73)</f>
        <v/>
      </c>
      <c r="I75" s="39">
        <f>MAX(0,I74-I73)</f>
        <v/>
      </c>
      <c r="J75" s="39">
        <f>MAX(0,J74-J73)</f>
        <v/>
      </c>
      <c r="K75" s="39">
        <f>MAX(0,K74-K73)</f>
        <v/>
      </c>
      <c r="L75" s="39">
        <f>MAX(0,L74-L73)</f>
        <v/>
      </c>
      <c r="M75" s="39">
        <f>MAX(0,M74-M73)</f>
        <v/>
      </c>
      <c r="N75" s="39">
        <f>MAX(0,N74-N73)</f>
        <v/>
      </c>
      <c r="O75" s="39">
        <f>MAX(0,O74-O73)</f>
        <v/>
      </c>
      <c r="P75" s="39">
        <f>MAX(0,P74-P73)</f>
        <v/>
      </c>
      <c r="Q75" s="39">
        <f>MAX(0,Q74-Q73)</f>
        <v/>
      </c>
      <c r="R75" s="39">
        <f>MAX(0,R74-R73)</f>
        <v/>
      </c>
      <c r="S75" s="39">
        <f>MAX(0,S74-S73)</f>
        <v/>
      </c>
      <c r="T75" s="39">
        <f>MAX(0,T74-T73)</f>
        <v/>
      </c>
      <c r="U75" s="39">
        <f>MAX(0,U74-U73)</f>
        <v/>
      </c>
      <c r="V75" s="39">
        <f>MAX(0,V74-V73)</f>
        <v/>
      </c>
      <c r="W75" s="39">
        <f>MAX(0,W74-W73)</f>
        <v/>
      </c>
      <c r="X75" s="39">
        <f>MAX(0,X74-X73)</f>
        <v/>
      </c>
      <c r="Y75" s="39">
        <f>MAX(0,Y74-Y73)</f>
        <v/>
      </c>
      <c r="Z75" s="39">
        <f>MAX(0,Z74-Z73)</f>
        <v/>
      </c>
      <c r="AA75" s="39">
        <f>MAX(0,AA74-AA73)</f>
        <v/>
      </c>
      <c r="AB75" s="39">
        <f>MAX(0,AB74-AB73)</f>
        <v/>
      </c>
      <c r="AC75" s="39">
        <f>MAX(0,AC74-AC73)</f>
        <v/>
      </c>
      <c r="AD75" s="39">
        <f>MAX(0,AD74-AD73)</f>
        <v/>
      </c>
      <c r="AE75" s="39">
        <f>MAX(0,AE74-AE73)</f>
        <v/>
      </c>
      <c r="AF75" s="39">
        <f>MAX(0,AF74-AF73)</f>
        <v/>
      </c>
      <c r="AG75" s="39">
        <f>MAX(0,AG74-AG73)</f>
        <v/>
      </c>
      <c r="AH75" s="39">
        <f>MAX(0,AH74-AH73)</f>
        <v/>
      </c>
      <c r="AI75" s="39">
        <f>MAX(0,AI74-AI73)</f>
        <v/>
      </c>
      <c r="AJ75" s="39">
        <f>MAX(0,AJ74-AJ73)</f>
        <v/>
      </c>
      <c r="AK75" s="39">
        <f>MAX(0,AK74-AK73)</f>
        <v/>
      </c>
      <c r="AL75" s="39">
        <f>MAX(0,AL74-AL73)</f>
        <v/>
      </c>
      <c r="AM75" s="39">
        <f>MAX(0,AM74-AM73)</f>
        <v/>
      </c>
      <c r="AN75" s="39">
        <f>MAX(0,AN74-AN73)</f>
        <v/>
      </c>
      <c r="AO75" s="39">
        <f>MAX(0,AO74-AO73)</f>
        <v/>
      </c>
      <c r="AP75" s="39">
        <f>MAX(0,AP74-AP73)</f>
        <v/>
      </c>
      <c r="AQ75" s="39">
        <f>MAX(0,AQ74-AQ73)</f>
        <v/>
      </c>
      <c r="AR75" s="39">
        <f>MAX(0,AR74-AR73)</f>
        <v/>
      </c>
      <c r="AS75" s="39">
        <f>MAX(0,AS74-AS73)</f>
        <v/>
      </c>
      <c r="AT75" s="39">
        <f>MAX(0,AT74-AT73)</f>
        <v/>
      </c>
      <c r="AU75" s="39">
        <f>MAX(0,AU74-AU73)</f>
        <v/>
      </c>
      <c r="AV75" s="39">
        <f>MAX(0,AV74-AV73)</f>
        <v/>
      </c>
      <c r="AW75" s="39">
        <f>MAX(0,AW74-AW73)</f>
        <v/>
      </c>
      <c r="AX75" s="39">
        <f>MAX(0,AX74-AX73)</f>
        <v/>
      </c>
      <c r="AY75" s="39">
        <f>MAX(0,AY74-AY73)</f>
        <v/>
      </c>
      <c r="AZ75" s="39">
        <f>MAX(0,AZ74-AZ73)</f>
        <v/>
      </c>
      <c r="BA75" s="39">
        <f>MAX(0,BA74-BA73)</f>
        <v/>
      </c>
      <c r="BB75" s="39">
        <f>MAX(0,BB74-BB73)</f>
        <v/>
      </c>
      <c r="BC75" s="39">
        <f>MAX(0,BC74-BC73)</f>
        <v/>
      </c>
      <c r="BD75" s="39">
        <f>MAX(0,BD74-BD73)</f>
        <v/>
      </c>
      <c r="BE75" s="39">
        <f>MAX(0,BE74-BE73)</f>
        <v/>
      </c>
      <c r="BF75" s="39">
        <f>MAX(0,BF74-BF73)</f>
        <v/>
      </c>
      <c r="BG75" s="39">
        <f>MAX(0,BG74-BG73)</f>
        <v/>
      </c>
      <c r="BH75" s="39">
        <f>MAX(0,BH74-BH73)</f>
        <v/>
      </c>
      <c r="BI75" s="39">
        <f>MAX(0,BI74-BI73)</f>
        <v/>
      </c>
      <c r="BJ75" s="39">
        <f>MAX(0,BJ74-BJ73)</f>
        <v/>
      </c>
      <c r="BK75" s="39">
        <f>MAX(0,BK74-BK73)</f>
        <v/>
      </c>
      <c r="BL75" s="39">
        <f>MAX(0,BL74-BL73)</f>
        <v/>
      </c>
    </row>
    <row r="76">
      <c r="A76" s="55" t="inlineStr">
        <is>
          <t>Borrowing-base contribution (advance rate x eligible)</t>
        </is>
      </c>
      <c r="B76" s="26" t="inlineStr">
        <is>
          <t>LCY</t>
        </is>
      </c>
      <c r="C76" s="58">
        <f>BL76</f>
        <v/>
      </c>
      <c r="E76" s="39">
        <f>E75*Products!$E$31</f>
        <v/>
      </c>
      <c r="F76" s="39">
        <f>F75*Products!$E$31</f>
        <v/>
      </c>
      <c r="G76" s="39">
        <f>G75*Products!$E$31</f>
        <v/>
      </c>
      <c r="H76" s="39">
        <f>H75*Products!$E$31</f>
        <v/>
      </c>
      <c r="I76" s="39">
        <f>I75*Products!$E$31</f>
        <v/>
      </c>
      <c r="J76" s="39">
        <f>J75*Products!$E$31</f>
        <v/>
      </c>
      <c r="K76" s="39">
        <f>K75*Products!$E$31</f>
        <v/>
      </c>
      <c r="L76" s="39">
        <f>L75*Products!$E$31</f>
        <v/>
      </c>
      <c r="M76" s="39">
        <f>M75*Products!$E$31</f>
        <v/>
      </c>
      <c r="N76" s="39">
        <f>N75*Products!$E$31</f>
        <v/>
      </c>
      <c r="O76" s="39">
        <f>O75*Products!$E$31</f>
        <v/>
      </c>
      <c r="P76" s="39">
        <f>P75*Products!$E$31</f>
        <v/>
      </c>
      <c r="Q76" s="39">
        <f>Q75*Products!$E$31</f>
        <v/>
      </c>
      <c r="R76" s="39">
        <f>R75*Products!$E$31</f>
        <v/>
      </c>
      <c r="S76" s="39">
        <f>S75*Products!$E$31</f>
        <v/>
      </c>
      <c r="T76" s="39">
        <f>T75*Products!$E$31</f>
        <v/>
      </c>
      <c r="U76" s="39">
        <f>U75*Products!$E$31</f>
        <v/>
      </c>
      <c r="V76" s="39">
        <f>V75*Products!$E$31</f>
        <v/>
      </c>
      <c r="W76" s="39">
        <f>W75*Products!$E$31</f>
        <v/>
      </c>
      <c r="X76" s="39">
        <f>X75*Products!$E$31</f>
        <v/>
      </c>
      <c r="Y76" s="39">
        <f>Y75*Products!$E$31</f>
        <v/>
      </c>
      <c r="Z76" s="39">
        <f>Z75*Products!$E$31</f>
        <v/>
      </c>
      <c r="AA76" s="39">
        <f>AA75*Products!$E$31</f>
        <v/>
      </c>
      <c r="AB76" s="39">
        <f>AB75*Products!$E$31</f>
        <v/>
      </c>
      <c r="AC76" s="39">
        <f>AC75*Products!$E$31</f>
        <v/>
      </c>
      <c r="AD76" s="39">
        <f>AD75*Products!$E$31</f>
        <v/>
      </c>
      <c r="AE76" s="39">
        <f>AE75*Products!$E$31</f>
        <v/>
      </c>
      <c r="AF76" s="39">
        <f>AF75*Products!$E$31</f>
        <v/>
      </c>
      <c r="AG76" s="39">
        <f>AG75*Products!$E$31</f>
        <v/>
      </c>
      <c r="AH76" s="39">
        <f>AH75*Products!$E$31</f>
        <v/>
      </c>
      <c r="AI76" s="39">
        <f>AI75*Products!$E$31</f>
        <v/>
      </c>
      <c r="AJ76" s="39">
        <f>AJ75*Products!$E$31</f>
        <v/>
      </c>
      <c r="AK76" s="39">
        <f>AK75*Products!$E$31</f>
        <v/>
      </c>
      <c r="AL76" s="39">
        <f>AL75*Products!$E$31</f>
        <v/>
      </c>
      <c r="AM76" s="39">
        <f>AM75*Products!$E$31</f>
        <v/>
      </c>
      <c r="AN76" s="39">
        <f>AN75*Products!$E$31</f>
        <v/>
      </c>
      <c r="AO76" s="39">
        <f>AO75*Products!$E$31</f>
        <v/>
      </c>
      <c r="AP76" s="39">
        <f>AP75*Products!$E$31</f>
        <v/>
      </c>
      <c r="AQ76" s="39">
        <f>AQ75*Products!$E$31</f>
        <v/>
      </c>
      <c r="AR76" s="39">
        <f>AR75*Products!$E$31</f>
        <v/>
      </c>
      <c r="AS76" s="39">
        <f>AS75*Products!$E$31</f>
        <v/>
      </c>
      <c r="AT76" s="39">
        <f>AT75*Products!$E$31</f>
        <v/>
      </c>
      <c r="AU76" s="39">
        <f>AU75*Products!$E$31</f>
        <v/>
      </c>
      <c r="AV76" s="39">
        <f>AV75*Products!$E$31</f>
        <v/>
      </c>
      <c r="AW76" s="39">
        <f>AW75*Products!$E$31</f>
        <v/>
      </c>
      <c r="AX76" s="39">
        <f>AX75*Products!$E$31</f>
        <v/>
      </c>
      <c r="AY76" s="39">
        <f>AY75*Products!$E$31</f>
        <v/>
      </c>
      <c r="AZ76" s="39">
        <f>AZ75*Products!$E$31</f>
        <v/>
      </c>
      <c r="BA76" s="39">
        <f>BA75*Products!$E$31</f>
        <v/>
      </c>
      <c r="BB76" s="39">
        <f>BB75*Products!$E$31</f>
        <v/>
      </c>
      <c r="BC76" s="39">
        <f>BC75*Products!$E$31</f>
        <v/>
      </c>
      <c r="BD76" s="39">
        <f>BD75*Products!$E$31</f>
        <v/>
      </c>
      <c r="BE76" s="39">
        <f>BE75*Products!$E$31</f>
        <v/>
      </c>
      <c r="BF76" s="39">
        <f>BF75*Products!$E$31</f>
        <v/>
      </c>
      <c r="BG76" s="39">
        <f>BG75*Products!$E$31</f>
        <v/>
      </c>
      <c r="BH76" s="39">
        <f>BH75*Products!$E$31</f>
        <v/>
      </c>
      <c r="BI76" s="39">
        <f>BI75*Products!$E$31</f>
        <v/>
      </c>
      <c r="BJ76" s="39">
        <f>BJ75*Products!$E$31</f>
        <v/>
      </c>
      <c r="BK76" s="39">
        <f>BK75*Products!$E$31</f>
        <v/>
      </c>
      <c r="BL76" s="39">
        <f>BL75*Products!$E$31</f>
        <v/>
      </c>
    </row>
    <row r="77">
      <c r="A77" s="55" t="inlineStr">
        <is>
          <t>Landed hardware cost of units sold</t>
        </is>
      </c>
      <c r="B77" s="26" t="inlineStr">
        <is>
          <t>LCY</t>
        </is>
      </c>
      <c r="C77" s="58">
        <f>SUM(E77:BL77)</f>
        <v/>
      </c>
      <c r="E77" s="39">
        <f>E59*Products!$E$18*(1+Inputs!$C$28)*Timeline!E$8*Scenarios!$G$9</f>
        <v/>
      </c>
      <c r="F77" s="39">
        <f>F59*Products!$E$18*(1+Inputs!$C$28)*Timeline!F$8*Scenarios!$G$9</f>
        <v/>
      </c>
      <c r="G77" s="39">
        <f>G59*Products!$E$18*(1+Inputs!$C$28)*Timeline!G$8*Scenarios!$G$9</f>
        <v/>
      </c>
      <c r="H77" s="39">
        <f>H59*Products!$E$18*(1+Inputs!$C$28)*Timeline!H$8*Scenarios!$G$9</f>
        <v/>
      </c>
      <c r="I77" s="39">
        <f>I59*Products!$E$18*(1+Inputs!$C$28)*Timeline!I$8*Scenarios!$G$9</f>
        <v/>
      </c>
      <c r="J77" s="39">
        <f>J59*Products!$E$18*(1+Inputs!$C$28)*Timeline!J$8*Scenarios!$G$9</f>
        <v/>
      </c>
      <c r="K77" s="39">
        <f>K59*Products!$E$18*(1+Inputs!$C$28)*Timeline!K$8*Scenarios!$G$9</f>
        <v/>
      </c>
      <c r="L77" s="39">
        <f>L59*Products!$E$18*(1+Inputs!$C$28)*Timeline!L$8*Scenarios!$G$9</f>
        <v/>
      </c>
      <c r="M77" s="39">
        <f>M59*Products!$E$18*(1+Inputs!$C$28)*Timeline!M$8*Scenarios!$G$9</f>
        <v/>
      </c>
      <c r="N77" s="39">
        <f>N59*Products!$E$18*(1+Inputs!$C$28)*Timeline!N$8*Scenarios!$G$9</f>
        <v/>
      </c>
      <c r="O77" s="39">
        <f>O59*Products!$E$18*(1+Inputs!$C$28)*Timeline!O$8*Scenarios!$G$9</f>
        <v/>
      </c>
      <c r="P77" s="39">
        <f>P59*Products!$E$18*(1+Inputs!$C$28)*Timeline!P$8*Scenarios!$G$9</f>
        <v/>
      </c>
      <c r="Q77" s="39">
        <f>Q59*Products!$E$18*(1+Inputs!$C$28)*Timeline!Q$8*Scenarios!$G$9</f>
        <v/>
      </c>
      <c r="R77" s="39">
        <f>R59*Products!$E$18*(1+Inputs!$C$28)*Timeline!R$8*Scenarios!$G$9</f>
        <v/>
      </c>
      <c r="S77" s="39">
        <f>S59*Products!$E$18*(1+Inputs!$C$28)*Timeline!S$8*Scenarios!$G$9</f>
        <v/>
      </c>
      <c r="T77" s="39">
        <f>T59*Products!$E$18*(1+Inputs!$C$28)*Timeline!T$8*Scenarios!$G$9</f>
        <v/>
      </c>
      <c r="U77" s="39">
        <f>U59*Products!$E$18*(1+Inputs!$C$28)*Timeline!U$8*Scenarios!$G$9</f>
        <v/>
      </c>
      <c r="V77" s="39">
        <f>V59*Products!$E$18*(1+Inputs!$C$28)*Timeline!V$8*Scenarios!$G$9</f>
        <v/>
      </c>
      <c r="W77" s="39">
        <f>W59*Products!$E$18*(1+Inputs!$C$28)*Timeline!W$8*Scenarios!$G$9</f>
        <v/>
      </c>
      <c r="X77" s="39">
        <f>X59*Products!$E$18*(1+Inputs!$C$28)*Timeline!X$8*Scenarios!$G$9</f>
        <v/>
      </c>
      <c r="Y77" s="39">
        <f>Y59*Products!$E$18*(1+Inputs!$C$28)*Timeline!Y$8*Scenarios!$G$9</f>
        <v/>
      </c>
      <c r="Z77" s="39">
        <f>Z59*Products!$E$18*(1+Inputs!$C$28)*Timeline!Z$8*Scenarios!$G$9</f>
        <v/>
      </c>
      <c r="AA77" s="39">
        <f>AA59*Products!$E$18*(1+Inputs!$C$28)*Timeline!AA$8*Scenarios!$G$9</f>
        <v/>
      </c>
      <c r="AB77" s="39">
        <f>AB59*Products!$E$18*(1+Inputs!$C$28)*Timeline!AB$8*Scenarios!$G$9</f>
        <v/>
      </c>
      <c r="AC77" s="39">
        <f>AC59*Products!$E$18*(1+Inputs!$C$28)*Timeline!AC$8*Scenarios!$G$9</f>
        <v/>
      </c>
      <c r="AD77" s="39">
        <f>AD59*Products!$E$18*(1+Inputs!$C$28)*Timeline!AD$8*Scenarios!$G$9</f>
        <v/>
      </c>
      <c r="AE77" s="39">
        <f>AE59*Products!$E$18*(1+Inputs!$C$28)*Timeline!AE$8*Scenarios!$G$9</f>
        <v/>
      </c>
      <c r="AF77" s="39">
        <f>AF59*Products!$E$18*(1+Inputs!$C$28)*Timeline!AF$8*Scenarios!$G$9</f>
        <v/>
      </c>
      <c r="AG77" s="39">
        <f>AG59*Products!$E$18*(1+Inputs!$C$28)*Timeline!AG$8*Scenarios!$G$9</f>
        <v/>
      </c>
      <c r="AH77" s="39">
        <f>AH59*Products!$E$18*(1+Inputs!$C$28)*Timeline!AH$8*Scenarios!$G$9</f>
        <v/>
      </c>
      <c r="AI77" s="39">
        <f>AI59*Products!$E$18*(1+Inputs!$C$28)*Timeline!AI$8*Scenarios!$G$9</f>
        <v/>
      </c>
      <c r="AJ77" s="39">
        <f>AJ59*Products!$E$18*(1+Inputs!$C$28)*Timeline!AJ$8*Scenarios!$G$9</f>
        <v/>
      </c>
      <c r="AK77" s="39">
        <f>AK59*Products!$E$18*(1+Inputs!$C$28)*Timeline!AK$8*Scenarios!$G$9</f>
        <v/>
      </c>
      <c r="AL77" s="39">
        <f>AL59*Products!$E$18*(1+Inputs!$C$28)*Timeline!AL$8*Scenarios!$G$9</f>
        <v/>
      </c>
      <c r="AM77" s="39">
        <f>AM59*Products!$E$18*(1+Inputs!$C$28)*Timeline!AM$8*Scenarios!$G$9</f>
        <v/>
      </c>
      <c r="AN77" s="39">
        <f>AN59*Products!$E$18*(1+Inputs!$C$28)*Timeline!AN$8*Scenarios!$G$9</f>
        <v/>
      </c>
      <c r="AO77" s="39">
        <f>AO59*Products!$E$18*(1+Inputs!$C$28)*Timeline!AO$8*Scenarios!$G$9</f>
        <v/>
      </c>
      <c r="AP77" s="39">
        <f>AP59*Products!$E$18*(1+Inputs!$C$28)*Timeline!AP$8*Scenarios!$G$9</f>
        <v/>
      </c>
      <c r="AQ77" s="39">
        <f>AQ59*Products!$E$18*(1+Inputs!$C$28)*Timeline!AQ$8*Scenarios!$G$9</f>
        <v/>
      </c>
      <c r="AR77" s="39">
        <f>AR59*Products!$E$18*(1+Inputs!$C$28)*Timeline!AR$8*Scenarios!$G$9</f>
        <v/>
      </c>
      <c r="AS77" s="39">
        <f>AS59*Products!$E$18*(1+Inputs!$C$28)*Timeline!AS$8*Scenarios!$G$9</f>
        <v/>
      </c>
      <c r="AT77" s="39">
        <f>AT59*Products!$E$18*(1+Inputs!$C$28)*Timeline!AT$8*Scenarios!$G$9</f>
        <v/>
      </c>
      <c r="AU77" s="39">
        <f>AU59*Products!$E$18*(1+Inputs!$C$28)*Timeline!AU$8*Scenarios!$G$9</f>
        <v/>
      </c>
      <c r="AV77" s="39">
        <f>AV59*Products!$E$18*(1+Inputs!$C$28)*Timeline!AV$8*Scenarios!$G$9</f>
        <v/>
      </c>
      <c r="AW77" s="39">
        <f>AW59*Products!$E$18*(1+Inputs!$C$28)*Timeline!AW$8*Scenarios!$G$9</f>
        <v/>
      </c>
      <c r="AX77" s="39">
        <f>AX59*Products!$E$18*(1+Inputs!$C$28)*Timeline!AX$8*Scenarios!$G$9</f>
        <v/>
      </c>
      <c r="AY77" s="39">
        <f>AY59*Products!$E$18*(1+Inputs!$C$28)*Timeline!AY$8*Scenarios!$G$9</f>
        <v/>
      </c>
      <c r="AZ77" s="39">
        <f>AZ59*Products!$E$18*(1+Inputs!$C$28)*Timeline!AZ$8*Scenarios!$G$9</f>
        <v/>
      </c>
      <c r="BA77" s="39">
        <f>BA59*Products!$E$18*(1+Inputs!$C$28)*Timeline!BA$8*Scenarios!$G$9</f>
        <v/>
      </c>
      <c r="BB77" s="39">
        <f>BB59*Products!$E$18*(1+Inputs!$C$28)*Timeline!BB$8*Scenarios!$G$9</f>
        <v/>
      </c>
      <c r="BC77" s="39">
        <f>BC59*Products!$E$18*(1+Inputs!$C$28)*Timeline!BC$8*Scenarios!$G$9</f>
        <v/>
      </c>
      <c r="BD77" s="39">
        <f>BD59*Products!$E$18*(1+Inputs!$C$28)*Timeline!BD$8*Scenarios!$G$9</f>
        <v/>
      </c>
      <c r="BE77" s="39">
        <f>BE59*Products!$E$18*(1+Inputs!$C$28)*Timeline!BE$8*Scenarios!$G$9</f>
        <v/>
      </c>
      <c r="BF77" s="39">
        <f>BF59*Products!$E$18*(1+Inputs!$C$28)*Timeline!BF$8*Scenarios!$G$9</f>
        <v/>
      </c>
      <c r="BG77" s="39">
        <f>BG59*Products!$E$18*(1+Inputs!$C$28)*Timeline!BG$8*Scenarios!$G$9</f>
        <v/>
      </c>
      <c r="BH77" s="39">
        <f>BH59*Products!$E$18*(1+Inputs!$C$28)*Timeline!BH$8*Scenarios!$G$9</f>
        <v/>
      </c>
      <c r="BI77" s="39">
        <f>BI59*Products!$E$18*(1+Inputs!$C$28)*Timeline!BI$8*Scenarios!$G$9</f>
        <v/>
      </c>
      <c r="BJ77" s="39">
        <f>BJ59*Products!$E$18*(1+Inputs!$C$28)*Timeline!BJ$8*Scenarios!$G$9</f>
        <v/>
      </c>
      <c r="BK77" s="39">
        <f>BK59*Products!$E$18*(1+Inputs!$C$28)*Timeline!BK$8*Scenarios!$G$9</f>
        <v/>
      </c>
      <c r="BL77" s="39">
        <f>BL59*Products!$E$18*(1+Inputs!$C$28)*Timeline!BL$8*Scenarios!$G$9</f>
        <v/>
      </c>
    </row>
    <row r="78">
      <c r="A78" s="55" t="inlineStr">
        <is>
          <t>Installation &amp; logistics</t>
        </is>
      </c>
      <c r="B78" s="26" t="inlineStr">
        <is>
          <t>LCY</t>
        </is>
      </c>
      <c r="C78" s="58">
        <f>SUM(E78:BL78)</f>
        <v/>
      </c>
      <c r="E78" s="39">
        <f>E59*Products!$E$19*Timeline!E$9</f>
        <v/>
      </c>
      <c r="F78" s="39">
        <f>F59*Products!$E$19*Timeline!F$9</f>
        <v/>
      </c>
      <c r="G78" s="39">
        <f>G59*Products!$E$19*Timeline!G$9</f>
        <v/>
      </c>
      <c r="H78" s="39">
        <f>H59*Products!$E$19*Timeline!H$9</f>
        <v/>
      </c>
      <c r="I78" s="39">
        <f>I59*Products!$E$19*Timeline!I$9</f>
        <v/>
      </c>
      <c r="J78" s="39">
        <f>J59*Products!$E$19*Timeline!J$9</f>
        <v/>
      </c>
      <c r="K78" s="39">
        <f>K59*Products!$E$19*Timeline!K$9</f>
        <v/>
      </c>
      <c r="L78" s="39">
        <f>L59*Products!$E$19*Timeline!L$9</f>
        <v/>
      </c>
      <c r="M78" s="39">
        <f>M59*Products!$E$19*Timeline!M$9</f>
        <v/>
      </c>
      <c r="N78" s="39">
        <f>N59*Products!$E$19*Timeline!N$9</f>
        <v/>
      </c>
      <c r="O78" s="39">
        <f>O59*Products!$E$19*Timeline!O$9</f>
        <v/>
      </c>
      <c r="P78" s="39">
        <f>P59*Products!$E$19*Timeline!P$9</f>
        <v/>
      </c>
      <c r="Q78" s="39">
        <f>Q59*Products!$E$19*Timeline!Q$9</f>
        <v/>
      </c>
      <c r="R78" s="39">
        <f>R59*Products!$E$19*Timeline!R$9</f>
        <v/>
      </c>
      <c r="S78" s="39">
        <f>S59*Products!$E$19*Timeline!S$9</f>
        <v/>
      </c>
      <c r="T78" s="39">
        <f>T59*Products!$E$19*Timeline!T$9</f>
        <v/>
      </c>
      <c r="U78" s="39">
        <f>U59*Products!$E$19*Timeline!U$9</f>
        <v/>
      </c>
      <c r="V78" s="39">
        <f>V59*Products!$E$19*Timeline!V$9</f>
        <v/>
      </c>
      <c r="W78" s="39">
        <f>W59*Products!$E$19*Timeline!W$9</f>
        <v/>
      </c>
      <c r="X78" s="39">
        <f>X59*Products!$E$19*Timeline!X$9</f>
        <v/>
      </c>
      <c r="Y78" s="39">
        <f>Y59*Products!$E$19*Timeline!Y$9</f>
        <v/>
      </c>
      <c r="Z78" s="39">
        <f>Z59*Products!$E$19*Timeline!Z$9</f>
        <v/>
      </c>
      <c r="AA78" s="39">
        <f>AA59*Products!$E$19*Timeline!AA$9</f>
        <v/>
      </c>
      <c r="AB78" s="39">
        <f>AB59*Products!$E$19*Timeline!AB$9</f>
        <v/>
      </c>
      <c r="AC78" s="39">
        <f>AC59*Products!$E$19*Timeline!AC$9</f>
        <v/>
      </c>
      <c r="AD78" s="39">
        <f>AD59*Products!$E$19*Timeline!AD$9</f>
        <v/>
      </c>
      <c r="AE78" s="39">
        <f>AE59*Products!$E$19*Timeline!AE$9</f>
        <v/>
      </c>
      <c r="AF78" s="39">
        <f>AF59*Products!$E$19*Timeline!AF$9</f>
        <v/>
      </c>
      <c r="AG78" s="39">
        <f>AG59*Products!$E$19*Timeline!AG$9</f>
        <v/>
      </c>
      <c r="AH78" s="39">
        <f>AH59*Products!$E$19*Timeline!AH$9</f>
        <v/>
      </c>
      <c r="AI78" s="39">
        <f>AI59*Products!$E$19*Timeline!AI$9</f>
        <v/>
      </c>
      <c r="AJ78" s="39">
        <f>AJ59*Products!$E$19*Timeline!AJ$9</f>
        <v/>
      </c>
      <c r="AK78" s="39">
        <f>AK59*Products!$E$19*Timeline!AK$9</f>
        <v/>
      </c>
      <c r="AL78" s="39">
        <f>AL59*Products!$E$19*Timeline!AL$9</f>
        <v/>
      </c>
      <c r="AM78" s="39">
        <f>AM59*Products!$E$19*Timeline!AM$9</f>
        <v/>
      </c>
      <c r="AN78" s="39">
        <f>AN59*Products!$E$19*Timeline!AN$9</f>
        <v/>
      </c>
      <c r="AO78" s="39">
        <f>AO59*Products!$E$19*Timeline!AO$9</f>
        <v/>
      </c>
      <c r="AP78" s="39">
        <f>AP59*Products!$E$19*Timeline!AP$9</f>
        <v/>
      </c>
      <c r="AQ78" s="39">
        <f>AQ59*Products!$E$19*Timeline!AQ$9</f>
        <v/>
      </c>
      <c r="AR78" s="39">
        <f>AR59*Products!$E$19*Timeline!AR$9</f>
        <v/>
      </c>
      <c r="AS78" s="39">
        <f>AS59*Products!$E$19*Timeline!AS$9</f>
        <v/>
      </c>
      <c r="AT78" s="39">
        <f>AT59*Products!$E$19*Timeline!AT$9</f>
        <v/>
      </c>
      <c r="AU78" s="39">
        <f>AU59*Products!$E$19*Timeline!AU$9</f>
        <v/>
      </c>
      <c r="AV78" s="39">
        <f>AV59*Products!$E$19*Timeline!AV$9</f>
        <v/>
      </c>
      <c r="AW78" s="39">
        <f>AW59*Products!$E$19*Timeline!AW$9</f>
        <v/>
      </c>
      <c r="AX78" s="39">
        <f>AX59*Products!$E$19*Timeline!AX$9</f>
        <v/>
      </c>
      <c r="AY78" s="39">
        <f>AY59*Products!$E$19*Timeline!AY$9</f>
        <v/>
      </c>
      <c r="AZ78" s="39">
        <f>AZ59*Products!$E$19*Timeline!AZ$9</f>
        <v/>
      </c>
      <c r="BA78" s="39">
        <f>BA59*Products!$E$19*Timeline!BA$9</f>
        <v/>
      </c>
      <c r="BB78" s="39">
        <f>BB59*Products!$E$19*Timeline!BB$9</f>
        <v/>
      </c>
      <c r="BC78" s="39">
        <f>BC59*Products!$E$19*Timeline!BC$9</f>
        <v/>
      </c>
      <c r="BD78" s="39">
        <f>BD59*Products!$E$19*Timeline!BD$9</f>
        <v/>
      </c>
      <c r="BE78" s="39">
        <f>BE59*Products!$E$19*Timeline!BE$9</f>
        <v/>
      </c>
      <c r="BF78" s="39">
        <f>BF59*Products!$E$19*Timeline!BF$9</f>
        <v/>
      </c>
      <c r="BG78" s="39">
        <f>BG59*Products!$E$19*Timeline!BG$9</f>
        <v/>
      </c>
      <c r="BH78" s="39">
        <f>BH59*Products!$E$19*Timeline!BH$9</f>
        <v/>
      </c>
      <c r="BI78" s="39">
        <f>BI59*Products!$E$19*Timeline!BI$9</f>
        <v/>
      </c>
      <c r="BJ78" s="39">
        <f>BJ59*Products!$E$19*Timeline!BJ$9</f>
        <v/>
      </c>
      <c r="BK78" s="39">
        <f>BK59*Products!$E$19*Timeline!BK$9</f>
        <v/>
      </c>
      <c r="BL78" s="39">
        <f>BL59*Products!$E$19*Timeline!BL$9</f>
        <v/>
      </c>
    </row>
    <row r="79">
      <c r="A79" s="55" t="inlineStr">
        <is>
          <t>Warranty &amp; after-sales provision</t>
        </is>
      </c>
      <c r="B79" s="26" t="inlineStr">
        <is>
          <t>LCY</t>
        </is>
      </c>
      <c r="C79" s="58">
        <f>SUM(E79:BL79)</f>
        <v/>
      </c>
      <c r="E79" s="39">
        <f>E77*Products!$E$22</f>
        <v/>
      </c>
      <c r="F79" s="39">
        <f>F77*Products!$E$22</f>
        <v/>
      </c>
      <c r="G79" s="39">
        <f>G77*Products!$E$22</f>
        <v/>
      </c>
      <c r="H79" s="39">
        <f>H77*Products!$E$22</f>
        <v/>
      </c>
      <c r="I79" s="39">
        <f>I77*Products!$E$22</f>
        <v/>
      </c>
      <c r="J79" s="39">
        <f>J77*Products!$E$22</f>
        <v/>
      </c>
      <c r="K79" s="39">
        <f>K77*Products!$E$22</f>
        <v/>
      </c>
      <c r="L79" s="39">
        <f>L77*Products!$E$22</f>
        <v/>
      </c>
      <c r="M79" s="39">
        <f>M77*Products!$E$22</f>
        <v/>
      </c>
      <c r="N79" s="39">
        <f>N77*Products!$E$22</f>
        <v/>
      </c>
      <c r="O79" s="39">
        <f>O77*Products!$E$22</f>
        <v/>
      </c>
      <c r="P79" s="39">
        <f>P77*Products!$E$22</f>
        <v/>
      </c>
      <c r="Q79" s="39">
        <f>Q77*Products!$E$22</f>
        <v/>
      </c>
      <c r="R79" s="39">
        <f>R77*Products!$E$22</f>
        <v/>
      </c>
      <c r="S79" s="39">
        <f>S77*Products!$E$22</f>
        <v/>
      </c>
      <c r="T79" s="39">
        <f>T77*Products!$E$22</f>
        <v/>
      </c>
      <c r="U79" s="39">
        <f>U77*Products!$E$22</f>
        <v/>
      </c>
      <c r="V79" s="39">
        <f>V77*Products!$E$22</f>
        <v/>
      </c>
      <c r="W79" s="39">
        <f>W77*Products!$E$22</f>
        <v/>
      </c>
      <c r="X79" s="39">
        <f>X77*Products!$E$22</f>
        <v/>
      </c>
      <c r="Y79" s="39">
        <f>Y77*Products!$E$22</f>
        <v/>
      </c>
      <c r="Z79" s="39">
        <f>Z77*Products!$E$22</f>
        <v/>
      </c>
      <c r="AA79" s="39">
        <f>AA77*Products!$E$22</f>
        <v/>
      </c>
      <c r="AB79" s="39">
        <f>AB77*Products!$E$22</f>
        <v/>
      </c>
      <c r="AC79" s="39">
        <f>AC77*Products!$E$22</f>
        <v/>
      </c>
      <c r="AD79" s="39">
        <f>AD77*Products!$E$22</f>
        <v/>
      </c>
      <c r="AE79" s="39">
        <f>AE77*Products!$E$22</f>
        <v/>
      </c>
      <c r="AF79" s="39">
        <f>AF77*Products!$E$22</f>
        <v/>
      </c>
      <c r="AG79" s="39">
        <f>AG77*Products!$E$22</f>
        <v/>
      </c>
      <c r="AH79" s="39">
        <f>AH77*Products!$E$22</f>
        <v/>
      </c>
      <c r="AI79" s="39">
        <f>AI77*Products!$E$22</f>
        <v/>
      </c>
      <c r="AJ79" s="39">
        <f>AJ77*Products!$E$22</f>
        <v/>
      </c>
      <c r="AK79" s="39">
        <f>AK77*Products!$E$22</f>
        <v/>
      </c>
      <c r="AL79" s="39">
        <f>AL77*Products!$E$22</f>
        <v/>
      </c>
      <c r="AM79" s="39">
        <f>AM77*Products!$E$22</f>
        <v/>
      </c>
      <c r="AN79" s="39">
        <f>AN77*Products!$E$22</f>
        <v/>
      </c>
      <c r="AO79" s="39">
        <f>AO77*Products!$E$22</f>
        <v/>
      </c>
      <c r="AP79" s="39">
        <f>AP77*Products!$E$22</f>
        <v/>
      </c>
      <c r="AQ79" s="39">
        <f>AQ77*Products!$E$22</f>
        <v/>
      </c>
      <c r="AR79" s="39">
        <f>AR77*Products!$E$22</f>
        <v/>
      </c>
      <c r="AS79" s="39">
        <f>AS77*Products!$E$22</f>
        <v/>
      </c>
      <c r="AT79" s="39">
        <f>AT77*Products!$E$22</f>
        <v/>
      </c>
      <c r="AU79" s="39">
        <f>AU77*Products!$E$22</f>
        <v/>
      </c>
      <c r="AV79" s="39">
        <f>AV77*Products!$E$22</f>
        <v/>
      </c>
      <c r="AW79" s="39">
        <f>AW77*Products!$E$22</f>
        <v/>
      </c>
      <c r="AX79" s="39">
        <f>AX77*Products!$E$22</f>
        <v/>
      </c>
      <c r="AY79" s="39">
        <f>AY77*Products!$E$22</f>
        <v/>
      </c>
      <c r="AZ79" s="39">
        <f>AZ77*Products!$E$22</f>
        <v/>
      </c>
      <c r="BA79" s="39">
        <f>BA77*Products!$E$22</f>
        <v/>
      </c>
      <c r="BB79" s="39">
        <f>BB77*Products!$E$22</f>
        <v/>
      </c>
      <c r="BC79" s="39">
        <f>BC77*Products!$E$22</f>
        <v/>
      </c>
      <c r="BD79" s="39">
        <f>BD77*Products!$E$22</f>
        <v/>
      </c>
      <c r="BE79" s="39">
        <f>BE77*Products!$E$22</f>
        <v/>
      </c>
      <c r="BF79" s="39">
        <f>BF77*Products!$E$22</f>
        <v/>
      </c>
      <c r="BG79" s="39">
        <f>BG77*Products!$E$22</f>
        <v/>
      </c>
      <c r="BH79" s="39">
        <f>BH77*Products!$E$22</f>
        <v/>
      </c>
      <c r="BI79" s="39">
        <f>BI77*Products!$E$22</f>
        <v/>
      </c>
      <c r="BJ79" s="39">
        <f>BJ77*Products!$E$22</f>
        <v/>
      </c>
      <c r="BK79" s="39">
        <f>BK77*Products!$E$22</f>
        <v/>
      </c>
      <c r="BL79" s="39">
        <f>BL77*Products!$E$22</f>
        <v/>
      </c>
    </row>
    <row r="80">
      <c r="A80" s="55" t="inlineStr">
        <is>
          <t>Commissions</t>
        </is>
      </c>
      <c r="B80" s="26" t="inlineStr">
        <is>
          <t>LCY</t>
        </is>
      </c>
      <c r="C80" s="58">
        <f>SUM(E80:BL80)</f>
        <v/>
      </c>
      <c r="E80" s="39">
        <f>E59*Products!$E$20*Timeline!E$9</f>
        <v/>
      </c>
      <c r="F80" s="39">
        <f>F59*Products!$E$20*Timeline!F$9</f>
        <v/>
      </c>
      <c r="G80" s="39">
        <f>G59*Products!$E$20*Timeline!G$9</f>
        <v/>
      </c>
      <c r="H80" s="39">
        <f>H59*Products!$E$20*Timeline!H$9</f>
        <v/>
      </c>
      <c r="I80" s="39">
        <f>I59*Products!$E$20*Timeline!I$9</f>
        <v/>
      </c>
      <c r="J80" s="39">
        <f>J59*Products!$E$20*Timeline!J$9</f>
        <v/>
      </c>
      <c r="K80" s="39">
        <f>K59*Products!$E$20*Timeline!K$9</f>
        <v/>
      </c>
      <c r="L80" s="39">
        <f>L59*Products!$E$20*Timeline!L$9</f>
        <v/>
      </c>
      <c r="M80" s="39">
        <f>M59*Products!$E$20*Timeline!M$9</f>
        <v/>
      </c>
      <c r="N80" s="39">
        <f>N59*Products!$E$20*Timeline!N$9</f>
        <v/>
      </c>
      <c r="O80" s="39">
        <f>O59*Products!$E$20*Timeline!O$9</f>
        <v/>
      </c>
      <c r="P80" s="39">
        <f>P59*Products!$E$20*Timeline!P$9</f>
        <v/>
      </c>
      <c r="Q80" s="39">
        <f>Q59*Products!$E$20*Timeline!Q$9</f>
        <v/>
      </c>
      <c r="R80" s="39">
        <f>R59*Products!$E$20*Timeline!R$9</f>
        <v/>
      </c>
      <c r="S80" s="39">
        <f>S59*Products!$E$20*Timeline!S$9</f>
        <v/>
      </c>
      <c r="T80" s="39">
        <f>T59*Products!$E$20*Timeline!T$9</f>
        <v/>
      </c>
      <c r="U80" s="39">
        <f>U59*Products!$E$20*Timeline!U$9</f>
        <v/>
      </c>
      <c r="V80" s="39">
        <f>V59*Products!$E$20*Timeline!V$9</f>
        <v/>
      </c>
      <c r="W80" s="39">
        <f>W59*Products!$E$20*Timeline!W$9</f>
        <v/>
      </c>
      <c r="X80" s="39">
        <f>X59*Products!$E$20*Timeline!X$9</f>
        <v/>
      </c>
      <c r="Y80" s="39">
        <f>Y59*Products!$E$20*Timeline!Y$9</f>
        <v/>
      </c>
      <c r="Z80" s="39">
        <f>Z59*Products!$E$20*Timeline!Z$9</f>
        <v/>
      </c>
      <c r="AA80" s="39">
        <f>AA59*Products!$E$20*Timeline!AA$9</f>
        <v/>
      </c>
      <c r="AB80" s="39">
        <f>AB59*Products!$E$20*Timeline!AB$9</f>
        <v/>
      </c>
      <c r="AC80" s="39">
        <f>AC59*Products!$E$20*Timeline!AC$9</f>
        <v/>
      </c>
      <c r="AD80" s="39">
        <f>AD59*Products!$E$20*Timeline!AD$9</f>
        <v/>
      </c>
      <c r="AE80" s="39">
        <f>AE59*Products!$E$20*Timeline!AE$9</f>
        <v/>
      </c>
      <c r="AF80" s="39">
        <f>AF59*Products!$E$20*Timeline!AF$9</f>
        <v/>
      </c>
      <c r="AG80" s="39">
        <f>AG59*Products!$E$20*Timeline!AG$9</f>
        <v/>
      </c>
      <c r="AH80" s="39">
        <f>AH59*Products!$E$20*Timeline!AH$9</f>
        <v/>
      </c>
      <c r="AI80" s="39">
        <f>AI59*Products!$E$20*Timeline!AI$9</f>
        <v/>
      </c>
      <c r="AJ80" s="39">
        <f>AJ59*Products!$E$20*Timeline!AJ$9</f>
        <v/>
      </c>
      <c r="AK80" s="39">
        <f>AK59*Products!$E$20*Timeline!AK$9</f>
        <v/>
      </c>
      <c r="AL80" s="39">
        <f>AL59*Products!$E$20*Timeline!AL$9</f>
        <v/>
      </c>
      <c r="AM80" s="39">
        <f>AM59*Products!$E$20*Timeline!AM$9</f>
        <v/>
      </c>
      <c r="AN80" s="39">
        <f>AN59*Products!$E$20*Timeline!AN$9</f>
        <v/>
      </c>
      <c r="AO80" s="39">
        <f>AO59*Products!$E$20*Timeline!AO$9</f>
        <v/>
      </c>
      <c r="AP80" s="39">
        <f>AP59*Products!$E$20*Timeline!AP$9</f>
        <v/>
      </c>
      <c r="AQ80" s="39">
        <f>AQ59*Products!$E$20*Timeline!AQ$9</f>
        <v/>
      </c>
      <c r="AR80" s="39">
        <f>AR59*Products!$E$20*Timeline!AR$9</f>
        <v/>
      </c>
      <c r="AS80" s="39">
        <f>AS59*Products!$E$20*Timeline!AS$9</f>
        <v/>
      </c>
      <c r="AT80" s="39">
        <f>AT59*Products!$E$20*Timeline!AT$9</f>
        <v/>
      </c>
      <c r="AU80" s="39">
        <f>AU59*Products!$E$20*Timeline!AU$9</f>
        <v/>
      </c>
      <c r="AV80" s="39">
        <f>AV59*Products!$E$20*Timeline!AV$9</f>
        <v/>
      </c>
      <c r="AW80" s="39">
        <f>AW59*Products!$E$20*Timeline!AW$9</f>
        <v/>
      </c>
      <c r="AX80" s="39">
        <f>AX59*Products!$E$20*Timeline!AX$9</f>
        <v/>
      </c>
      <c r="AY80" s="39">
        <f>AY59*Products!$E$20*Timeline!AY$9</f>
        <v/>
      </c>
      <c r="AZ80" s="39">
        <f>AZ59*Products!$E$20*Timeline!AZ$9</f>
        <v/>
      </c>
      <c r="BA80" s="39">
        <f>BA59*Products!$E$20*Timeline!BA$9</f>
        <v/>
      </c>
      <c r="BB80" s="39">
        <f>BB59*Products!$E$20*Timeline!BB$9</f>
        <v/>
      </c>
      <c r="BC80" s="39">
        <f>BC59*Products!$E$20*Timeline!BC$9</f>
        <v/>
      </c>
      <c r="BD80" s="39">
        <f>BD59*Products!$E$20*Timeline!BD$9</f>
        <v/>
      </c>
      <c r="BE80" s="39">
        <f>BE59*Products!$E$20*Timeline!BE$9</f>
        <v/>
      </c>
      <c r="BF80" s="39">
        <f>BF59*Products!$E$20*Timeline!BF$9</f>
        <v/>
      </c>
      <c r="BG80" s="39">
        <f>BG59*Products!$E$20*Timeline!BG$9</f>
        <v/>
      </c>
      <c r="BH80" s="39">
        <f>BH59*Products!$E$20*Timeline!BH$9</f>
        <v/>
      </c>
      <c r="BI80" s="39">
        <f>BI59*Products!$E$20*Timeline!BI$9</f>
        <v/>
      </c>
      <c r="BJ80" s="39">
        <f>BJ59*Products!$E$20*Timeline!BJ$9</f>
        <v/>
      </c>
      <c r="BK80" s="39">
        <f>BK59*Products!$E$20*Timeline!BK$9</f>
        <v/>
      </c>
      <c r="BL80" s="39">
        <f>BL59*Products!$E$20*Timeline!BL$9</f>
        <v/>
      </c>
    </row>
    <row r="81">
      <c r="A81" s="55" t="inlineStr">
        <is>
          <t>Marketing &amp; acquisition</t>
        </is>
      </c>
      <c r="B81" s="26" t="inlineStr">
        <is>
          <t>LCY</t>
        </is>
      </c>
      <c r="C81" s="58">
        <f>SUM(E81:BL81)</f>
        <v/>
      </c>
      <c r="E81" s="39">
        <f>E59*Products!$E$21*Timeline!E$9</f>
        <v/>
      </c>
      <c r="F81" s="39">
        <f>F59*Products!$E$21*Timeline!F$9</f>
        <v/>
      </c>
      <c r="G81" s="39">
        <f>G59*Products!$E$21*Timeline!G$9</f>
        <v/>
      </c>
      <c r="H81" s="39">
        <f>H59*Products!$E$21*Timeline!H$9</f>
        <v/>
      </c>
      <c r="I81" s="39">
        <f>I59*Products!$E$21*Timeline!I$9</f>
        <v/>
      </c>
      <c r="J81" s="39">
        <f>J59*Products!$E$21*Timeline!J$9</f>
        <v/>
      </c>
      <c r="K81" s="39">
        <f>K59*Products!$E$21*Timeline!K$9</f>
        <v/>
      </c>
      <c r="L81" s="39">
        <f>L59*Products!$E$21*Timeline!L$9</f>
        <v/>
      </c>
      <c r="M81" s="39">
        <f>M59*Products!$E$21*Timeline!M$9</f>
        <v/>
      </c>
      <c r="N81" s="39">
        <f>N59*Products!$E$21*Timeline!N$9</f>
        <v/>
      </c>
      <c r="O81" s="39">
        <f>O59*Products!$E$21*Timeline!O$9</f>
        <v/>
      </c>
      <c r="P81" s="39">
        <f>P59*Products!$E$21*Timeline!P$9</f>
        <v/>
      </c>
      <c r="Q81" s="39">
        <f>Q59*Products!$E$21*Timeline!Q$9</f>
        <v/>
      </c>
      <c r="R81" s="39">
        <f>R59*Products!$E$21*Timeline!R$9</f>
        <v/>
      </c>
      <c r="S81" s="39">
        <f>S59*Products!$E$21*Timeline!S$9</f>
        <v/>
      </c>
      <c r="T81" s="39">
        <f>T59*Products!$E$21*Timeline!T$9</f>
        <v/>
      </c>
      <c r="U81" s="39">
        <f>U59*Products!$E$21*Timeline!U$9</f>
        <v/>
      </c>
      <c r="V81" s="39">
        <f>V59*Products!$E$21*Timeline!V$9</f>
        <v/>
      </c>
      <c r="W81" s="39">
        <f>W59*Products!$E$21*Timeline!W$9</f>
        <v/>
      </c>
      <c r="X81" s="39">
        <f>X59*Products!$E$21*Timeline!X$9</f>
        <v/>
      </c>
      <c r="Y81" s="39">
        <f>Y59*Products!$E$21*Timeline!Y$9</f>
        <v/>
      </c>
      <c r="Z81" s="39">
        <f>Z59*Products!$E$21*Timeline!Z$9</f>
        <v/>
      </c>
      <c r="AA81" s="39">
        <f>AA59*Products!$E$21*Timeline!AA$9</f>
        <v/>
      </c>
      <c r="AB81" s="39">
        <f>AB59*Products!$E$21*Timeline!AB$9</f>
        <v/>
      </c>
      <c r="AC81" s="39">
        <f>AC59*Products!$E$21*Timeline!AC$9</f>
        <v/>
      </c>
      <c r="AD81" s="39">
        <f>AD59*Products!$E$21*Timeline!AD$9</f>
        <v/>
      </c>
      <c r="AE81" s="39">
        <f>AE59*Products!$E$21*Timeline!AE$9</f>
        <v/>
      </c>
      <c r="AF81" s="39">
        <f>AF59*Products!$E$21*Timeline!AF$9</f>
        <v/>
      </c>
      <c r="AG81" s="39">
        <f>AG59*Products!$E$21*Timeline!AG$9</f>
        <v/>
      </c>
      <c r="AH81" s="39">
        <f>AH59*Products!$E$21*Timeline!AH$9</f>
        <v/>
      </c>
      <c r="AI81" s="39">
        <f>AI59*Products!$E$21*Timeline!AI$9</f>
        <v/>
      </c>
      <c r="AJ81" s="39">
        <f>AJ59*Products!$E$21*Timeline!AJ$9</f>
        <v/>
      </c>
      <c r="AK81" s="39">
        <f>AK59*Products!$E$21*Timeline!AK$9</f>
        <v/>
      </c>
      <c r="AL81" s="39">
        <f>AL59*Products!$E$21*Timeline!AL$9</f>
        <v/>
      </c>
      <c r="AM81" s="39">
        <f>AM59*Products!$E$21*Timeline!AM$9</f>
        <v/>
      </c>
      <c r="AN81" s="39">
        <f>AN59*Products!$E$21*Timeline!AN$9</f>
        <v/>
      </c>
      <c r="AO81" s="39">
        <f>AO59*Products!$E$21*Timeline!AO$9</f>
        <v/>
      </c>
      <c r="AP81" s="39">
        <f>AP59*Products!$E$21*Timeline!AP$9</f>
        <v/>
      </c>
      <c r="AQ81" s="39">
        <f>AQ59*Products!$E$21*Timeline!AQ$9</f>
        <v/>
      </c>
      <c r="AR81" s="39">
        <f>AR59*Products!$E$21*Timeline!AR$9</f>
        <v/>
      </c>
      <c r="AS81" s="39">
        <f>AS59*Products!$E$21*Timeline!AS$9</f>
        <v/>
      </c>
      <c r="AT81" s="39">
        <f>AT59*Products!$E$21*Timeline!AT$9</f>
        <v/>
      </c>
      <c r="AU81" s="39">
        <f>AU59*Products!$E$21*Timeline!AU$9</f>
        <v/>
      </c>
      <c r="AV81" s="39">
        <f>AV59*Products!$E$21*Timeline!AV$9</f>
        <v/>
      </c>
      <c r="AW81" s="39">
        <f>AW59*Products!$E$21*Timeline!AW$9</f>
        <v/>
      </c>
      <c r="AX81" s="39">
        <f>AX59*Products!$E$21*Timeline!AX$9</f>
        <v/>
      </c>
      <c r="AY81" s="39">
        <f>AY59*Products!$E$21*Timeline!AY$9</f>
        <v/>
      </c>
      <c r="AZ81" s="39">
        <f>AZ59*Products!$E$21*Timeline!AZ$9</f>
        <v/>
      </c>
      <c r="BA81" s="39">
        <f>BA59*Products!$E$21*Timeline!BA$9</f>
        <v/>
      </c>
      <c r="BB81" s="39">
        <f>BB59*Products!$E$21*Timeline!BB$9</f>
        <v/>
      </c>
      <c r="BC81" s="39">
        <f>BC59*Products!$E$21*Timeline!BC$9</f>
        <v/>
      </c>
      <c r="BD81" s="39">
        <f>BD59*Products!$E$21*Timeline!BD$9</f>
        <v/>
      </c>
      <c r="BE81" s="39">
        <f>BE59*Products!$E$21*Timeline!BE$9</f>
        <v/>
      </c>
      <c r="BF81" s="39">
        <f>BF59*Products!$E$21*Timeline!BF$9</f>
        <v/>
      </c>
      <c r="BG81" s="39">
        <f>BG59*Products!$E$21*Timeline!BG$9</f>
        <v/>
      </c>
      <c r="BH81" s="39">
        <f>BH59*Products!$E$21*Timeline!BH$9</f>
        <v/>
      </c>
      <c r="BI81" s="39">
        <f>BI59*Products!$E$21*Timeline!BI$9</f>
        <v/>
      </c>
      <c r="BJ81" s="39">
        <f>BJ59*Products!$E$21*Timeline!BJ$9</f>
        <v/>
      </c>
      <c r="BK81" s="39">
        <f>BK59*Products!$E$21*Timeline!BK$9</f>
        <v/>
      </c>
      <c r="BL81" s="39">
        <f>BL59*Products!$E$21*Timeline!BL$9</f>
        <v/>
      </c>
    </row>
    <row r="82"/>
    <row r="83">
      <c r="A83" s="14">
        <f>Products!$F$6</f>
        <v/>
      </c>
      <c r="B83" s="15" t="n"/>
      <c r="C83" s="15" t="n"/>
      <c r="D83" s="15" t="n"/>
      <c r="E83" s="15" t="n"/>
      <c r="F83" s="15" t="n"/>
      <c r="G83" s="15" t="n"/>
      <c r="H83" s="15" t="n"/>
      <c r="I83" s="15" t="n"/>
      <c r="J83" s="15" t="n"/>
      <c r="K83" s="15" t="n"/>
      <c r="L83" s="15" t="n"/>
      <c r="M83" s="15" t="n"/>
      <c r="N83" s="15" t="n"/>
      <c r="O83" s="15" t="n"/>
      <c r="P83" s="15" t="n"/>
      <c r="Q83" s="15" t="n"/>
      <c r="R83" s="15" t="n"/>
      <c r="S83" s="15" t="n"/>
      <c r="T83" s="15" t="n"/>
      <c r="U83" s="15" t="n"/>
      <c r="V83" s="15" t="n"/>
      <c r="W83" s="15" t="n"/>
      <c r="X83" s="15" t="n"/>
      <c r="Y83" s="15" t="n"/>
      <c r="Z83" s="15" t="n"/>
      <c r="AA83" s="15" t="n"/>
      <c r="AB83" s="15" t="n"/>
      <c r="AC83" s="15" t="n"/>
      <c r="AD83" s="15" t="n"/>
      <c r="AE83" s="15" t="n"/>
      <c r="AF83" s="15" t="n"/>
      <c r="AG83" s="15" t="n"/>
      <c r="AH83" s="15" t="n"/>
      <c r="AI83" s="15" t="n"/>
      <c r="AJ83" s="15" t="n"/>
      <c r="AK83" s="15" t="n"/>
      <c r="AL83" s="15" t="n"/>
      <c r="AM83" s="15" t="n"/>
      <c r="AN83" s="15" t="n"/>
      <c r="AO83" s="15" t="n"/>
      <c r="AP83" s="15" t="n"/>
      <c r="AQ83" s="15" t="n"/>
      <c r="AR83" s="15" t="n"/>
      <c r="AS83" s="15" t="n"/>
      <c r="AT83" s="15" t="n"/>
      <c r="AU83" s="15" t="n"/>
      <c r="AV83" s="15" t="n"/>
      <c r="AW83" s="15" t="n"/>
      <c r="AX83" s="15" t="n"/>
      <c r="AY83" s="15" t="n"/>
      <c r="AZ83" s="15" t="n"/>
      <c r="BA83" s="15" t="n"/>
      <c r="BB83" s="15" t="n"/>
      <c r="BC83" s="15" t="n"/>
      <c r="BD83" s="15" t="n"/>
      <c r="BE83" s="15" t="n"/>
      <c r="BF83" s="15" t="n"/>
      <c r="BG83" s="15" t="n"/>
      <c r="BH83" s="15" t="n"/>
      <c r="BI83" s="15" t="n"/>
      <c r="BJ83" s="15" t="n"/>
      <c r="BK83" s="15" t="n"/>
      <c r="BL83" s="15" t="n"/>
    </row>
    <row r="84">
      <c r="A84" s="55" t="inlineStr">
        <is>
          <t>Units sold</t>
        </is>
      </c>
      <c r="B84" s="26" t="inlineStr">
        <is>
          <t>units</t>
        </is>
      </c>
      <c r="C84" s="58">
        <f>SUM(E84:BL84)</f>
        <v/>
      </c>
      <c r="E84" s="39">
        <f>Timeline!E$11*Products!$F$23</f>
        <v/>
      </c>
      <c r="F84" s="39">
        <f>Timeline!F$11*Products!$F$23</f>
        <v/>
      </c>
      <c r="G84" s="39">
        <f>Timeline!G$11*Products!$F$23</f>
        <v/>
      </c>
      <c r="H84" s="39">
        <f>Timeline!H$11*Products!$F$23</f>
        <v/>
      </c>
      <c r="I84" s="39">
        <f>Timeline!I$11*Products!$F$23</f>
        <v/>
      </c>
      <c r="J84" s="39">
        <f>Timeline!J$11*Products!$F$23</f>
        <v/>
      </c>
      <c r="K84" s="39">
        <f>Timeline!K$11*Products!$F$23</f>
        <v/>
      </c>
      <c r="L84" s="39">
        <f>Timeline!L$11*Products!$F$23</f>
        <v/>
      </c>
      <c r="M84" s="39">
        <f>Timeline!M$11*Products!$F$23</f>
        <v/>
      </c>
      <c r="N84" s="39">
        <f>Timeline!N$11*Products!$F$23</f>
        <v/>
      </c>
      <c r="O84" s="39">
        <f>Timeline!O$11*Products!$F$23</f>
        <v/>
      </c>
      <c r="P84" s="39">
        <f>Timeline!P$11*Products!$F$23</f>
        <v/>
      </c>
      <c r="Q84" s="39">
        <f>Timeline!Q$11*Products!$F$23</f>
        <v/>
      </c>
      <c r="R84" s="39">
        <f>Timeline!R$11*Products!$F$23</f>
        <v/>
      </c>
      <c r="S84" s="39">
        <f>Timeline!S$11*Products!$F$23</f>
        <v/>
      </c>
      <c r="T84" s="39">
        <f>Timeline!T$11*Products!$F$23</f>
        <v/>
      </c>
      <c r="U84" s="39">
        <f>Timeline!U$11*Products!$F$23</f>
        <v/>
      </c>
      <c r="V84" s="39">
        <f>Timeline!V$11*Products!$F$23</f>
        <v/>
      </c>
      <c r="W84" s="39">
        <f>Timeline!W$11*Products!$F$23</f>
        <v/>
      </c>
      <c r="X84" s="39">
        <f>Timeline!X$11*Products!$F$23</f>
        <v/>
      </c>
      <c r="Y84" s="39">
        <f>Timeline!Y$11*Products!$F$23</f>
        <v/>
      </c>
      <c r="Z84" s="39">
        <f>Timeline!Z$11*Products!$F$23</f>
        <v/>
      </c>
      <c r="AA84" s="39">
        <f>Timeline!AA$11*Products!$F$23</f>
        <v/>
      </c>
      <c r="AB84" s="39">
        <f>Timeline!AB$11*Products!$F$23</f>
        <v/>
      </c>
      <c r="AC84" s="39">
        <f>Timeline!AC$11*Products!$F$23</f>
        <v/>
      </c>
      <c r="AD84" s="39">
        <f>Timeline!AD$11*Products!$F$23</f>
        <v/>
      </c>
      <c r="AE84" s="39">
        <f>Timeline!AE$11*Products!$F$23</f>
        <v/>
      </c>
      <c r="AF84" s="39">
        <f>Timeline!AF$11*Products!$F$23</f>
        <v/>
      </c>
      <c r="AG84" s="39">
        <f>Timeline!AG$11*Products!$F$23</f>
        <v/>
      </c>
      <c r="AH84" s="39">
        <f>Timeline!AH$11*Products!$F$23</f>
        <v/>
      </c>
      <c r="AI84" s="39">
        <f>Timeline!AI$11*Products!$F$23</f>
        <v/>
      </c>
      <c r="AJ84" s="39">
        <f>Timeline!AJ$11*Products!$F$23</f>
        <v/>
      </c>
      <c r="AK84" s="39">
        <f>Timeline!AK$11*Products!$F$23</f>
        <v/>
      </c>
      <c r="AL84" s="39">
        <f>Timeline!AL$11*Products!$F$23</f>
        <v/>
      </c>
      <c r="AM84" s="39">
        <f>Timeline!AM$11*Products!$F$23</f>
        <v/>
      </c>
      <c r="AN84" s="39">
        <f>Timeline!AN$11*Products!$F$23</f>
        <v/>
      </c>
      <c r="AO84" s="39">
        <f>Timeline!AO$11*Products!$F$23</f>
        <v/>
      </c>
      <c r="AP84" s="39">
        <f>Timeline!AP$11*Products!$F$23</f>
        <v/>
      </c>
      <c r="AQ84" s="39">
        <f>Timeline!AQ$11*Products!$F$23</f>
        <v/>
      </c>
      <c r="AR84" s="39">
        <f>Timeline!AR$11*Products!$F$23</f>
        <v/>
      </c>
      <c r="AS84" s="39">
        <f>Timeline!AS$11*Products!$F$23</f>
        <v/>
      </c>
      <c r="AT84" s="39">
        <f>Timeline!AT$11*Products!$F$23</f>
        <v/>
      </c>
      <c r="AU84" s="39">
        <f>Timeline!AU$11*Products!$F$23</f>
        <v/>
      </c>
      <c r="AV84" s="39">
        <f>Timeline!AV$11*Products!$F$23</f>
        <v/>
      </c>
      <c r="AW84" s="39">
        <f>Timeline!AW$11*Products!$F$23</f>
        <v/>
      </c>
      <c r="AX84" s="39">
        <f>Timeline!AX$11*Products!$F$23</f>
        <v/>
      </c>
      <c r="AY84" s="39">
        <f>Timeline!AY$11*Products!$F$23</f>
        <v/>
      </c>
      <c r="AZ84" s="39">
        <f>Timeline!AZ$11*Products!$F$23</f>
        <v/>
      </c>
      <c r="BA84" s="39">
        <f>Timeline!BA$11*Products!$F$23</f>
        <v/>
      </c>
      <c r="BB84" s="39">
        <f>Timeline!BB$11*Products!$F$23</f>
        <v/>
      </c>
      <c r="BC84" s="39">
        <f>Timeline!BC$11*Products!$F$23</f>
        <v/>
      </c>
      <c r="BD84" s="39">
        <f>Timeline!BD$11*Products!$F$23</f>
        <v/>
      </c>
      <c r="BE84" s="39">
        <f>Timeline!BE$11*Products!$F$23</f>
        <v/>
      </c>
      <c r="BF84" s="39">
        <f>Timeline!BF$11*Products!$F$23</f>
        <v/>
      </c>
      <c r="BG84" s="39">
        <f>Timeline!BG$11*Products!$F$23</f>
        <v/>
      </c>
      <c r="BH84" s="39">
        <f>Timeline!BH$11*Products!$F$23</f>
        <v/>
      </c>
      <c r="BI84" s="39">
        <f>Timeline!BI$11*Products!$F$23</f>
        <v/>
      </c>
      <c r="BJ84" s="39">
        <f>Timeline!BJ$11*Products!$F$23</f>
        <v/>
      </c>
      <c r="BK84" s="39">
        <f>Timeline!BK$11*Products!$F$23</f>
        <v/>
      </c>
      <c r="BL84" s="39">
        <f>Timeline!BL$11*Products!$F$23</f>
        <v/>
      </c>
    </row>
    <row r="85">
      <c r="A85" s="55" t="inlineStr">
        <is>
          <t>Price-indexed units (units x price index)</t>
        </is>
      </c>
      <c r="B85" s="26" t="inlineStr">
        <is>
          <t>units</t>
        </is>
      </c>
      <c r="C85" s="58">
        <f>SUM(E85:BL85)</f>
        <v/>
      </c>
      <c r="E85" s="39">
        <f>E84*Timeline!E$10</f>
        <v/>
      </c>
      <c r="F85" s="39">
        <f>F84*Timeline!F$10</f>
        <v/>
      </c>
      <c r="G85" s="39">
        <f>G84*Timeline!G$10</f>
        <v/>
      </c>
      <c r="H85" s="39">
        <f>H84*Timeline!H$10</f>
        <v/>
      </c>
      <c r="I85" s="39">
        <f>I84*Timeline!I$10</f>
        <v/>
      </c>
      <c r="J85" s="39">
        <f>J84*Timeline!J$10</f>
        <v/>
      </c>
      <c r="K85" s="39">
        <f>K84*Timeline!K$10</f>
        <v/>
      </c>
      <c r="L85" s="39">
        <f>L84*Timeline!L$10</f>
        <v/>
      </c>
      <c r="M85" s="39">
        <f>M84*Timeline!M$10</f>
        <v/>
      </c>
      <c r="N85" s="39">
        <f>N84*Timeline!N$10</f>
        <v/>
      </c>
      <c r="O85" s="39">
        <f>O84*Timeline!O$10</f>
        <v/>
      </c>
      <c r="P85" s="39">
        <f>P84*Timeline!P$10</f>
        <v/>
      </c>
      <c r="Q85" s="39">
        <f>Q84*Timeline!Q$10</f>
        <v/>
      </c>
      <c r="R85" s="39">
        <f>R84*Timeline!R$10</f>
        <v/>
      </c>
      <c r="S85" s="39">
        <f>S84*Timeline!S$10</f>
        <v/>
      </c>
      <c r="T85" s="39">
        <f>T84*Timeline!T$10</f>
        <v/>
      </c>
      <c r="U85" s="39">
        <f>U84*Timeline!U$10</f>
        <v/>
      </c>
      <c r="V85" s="39">
        <f>V84*Timeline!V$10</f>
        <v/>
      </c>
      <c r="W85" s="39">
        <f>W84*Timeline!W$10</f>
        <v/>
      </c>
      <c r="X85" s="39">
        <f>X84*Timeline!X$10</f>
        <v/>
      </c>
      <c r="Y85" s="39">
        <f>Y84*Timeline!Y$10</f>
        <v/>
      </c>
      <c r="Z85" s="39">
        <f>Z84*Timeline!Z$10</f>
        <v/>
      </c>
      <c r="AA85" s="39">
        <f>AA84*Timeline!AA$10</f>
        <v/>
      </c>
      <c r="AB85" s="39">
        <f>AB84*Timeline!AB$10</f>
        <v/>
      </c>
      <c r="AC85" s="39">
        <f>AC84*Timeline!AC$10</f>
        <v/>
      </c>
      <c r="AD85" s="39">
        <f>AD84*Timeline!AD$10</f>
        <v/>
      </c>
      <c r="AE85" s="39">
        <f>AE84*Timeline!AE$10</f>
        <v/>
      </c>
      <c r="AF85" s="39">
        <f>AF84*Timeline!AF$10</f>
        <v/>
      </c>
      <c r="AG85" s="39">
        <f>AG84*Timeline!AG$10</f>
        <v/>
      </c>
      <c r="AH85" s="39">
        <f>AH84*Timeline!AH$10</f>
        <v/>
      </c>
      <c r="AI85" s="39">
        <f>AI84*Timeline!AI$10</f>
        <v/>
      </c>
      <c r="AJ85" s="39">
        <f>AJ84*Timeline!AJ$10</f>
        <v/>
      </c>
      <c r="AK85" s="39">
        <f>AK84*Timeline!AK$10</f>
        <v/>
      </c>
      <c r="AL85" s="39">
        <f>AL84*Timeline!AL$10</f>
        <v/>
      </c>
      <c r="AM85" s="39">
        <f>AM84*Timeline!AM$10</f>
        <v/>
      </c>
      <c r="AN85" s="39">
        <f>AN84*Timeline!AN$10</f>
        <v/>
      </c>
      <c r="AO85" s="39">
        <f>AO84*Timeline!AO$10</f>
        <v/>
      </c>
      <c r="AP85" s="39">
        <f>AP84*Timeline!AP$10</f>
        <v/>
      </c>
      <c r="AQ85" s="39">
        <f>AQ84*Timeline!AQ$10</f>
        <v/>
      </c>
      <c r="AR85" s="39">
        <f>AR84*Timeline!AR$10</f>
        <v/>
      </c>
      <c r="AS85" s="39">
        <f>AS84*Timeline!AS$10</f>
        <v/>
      </c>
      <c r="AT85" s="39">
        <f>AT84*Timeline!AT$10</f>
        <v/>
      </c>
      <c r="AU85" s="39">
        <f>AU84*Timeline!AU$10</f>
        <v/>
      </c>
      <c r="AV85" s="39">
        <f>AV84*Timeline!AV$10</f>
        <v/>
      </c>
      <c r="AW85" s="39">
        <f>AW84*Timeline!AW$10</f>
        <v/>
      </c>
      <c r="AX85" s="39">
        <f>AX84*Timeline!AX$10</f>
        <v/>
      </c>
      <c r="AY85" s="39">
        <f>AY84*Timeline!AY$10</f>
        <v/>
      </c>
      <c r="AZ85" s="39">
        <f>AZ84*Timeline!AZ$10</f>
        <v/>
      </c>
      <c r="BA85" s="39">
        <f>BA84*Timeline!BA$10</f>
        <v/>
      </c>
      <c r="BB85" s="39">
        <f>BB84*Timeline!BB$10</f>
        <v/>
      </c>
      <c r="BC85" s="39">
        <f>BC84*Timeline!BC$10</f>
        <v/>
      </c>
      <c r="BD85" s="39">
        <f>BD84*Timeline!BD$10</f>
        <v/>
      </c>
      <c r="BE85" s="39">
        <f>BE84*Timeline!BE$10</f>
        <v/>
      </c>
      <c r="BF85" s="39">
        <f>BF84*Timeline!BF$10</f>
        <v/>
      </c>
      <c r="BG85" s="39">
        <f>BG84*Timeline!BG$10</f>
        <v/>
      </c>
      <c r="BH85" s="39">
        <f>BH84*Timeline!BH$10</f>
        <v/>
      </c>
      <c r="BI85" s="39">
        <f>BI84*Timeline!BI$10</f>
        <v/>
      </c>
      <c r="BJ85" s="39">
        <f>BJ84*Timeline!BJ$10</f>
        <v/>
      </c>
      <c r="BK85" s="39">
        <f>BK84*Timeline!BK$10</f>
        <v/>
      </c>
      <c r="BL85" s="39">
        <f>BL84*Timeline!BL$10</f>
        <v/>
      </c>
    </row>
    <row r="86">
      <c r="A86" s="55" t="inlineStr">
        <is>
          <t>Down payments collected</t>
        </is>
      </c>
      <c r="B86" s="26" t="inlineStr">
        <is>
          <t>LCY</t>
        </is>
      </c>
      <c r="C86" s="58">
        <f>SUM(E86:BL86)</f>
        <v/>
      </c>
      <c r="E86" s="39">
        <f>E85*Products!$F$14</f>
        <v/>
      </c>
      <c r="F86" s="39">
        <f>F85*Products!$F$14</f>
        <v/>
      </c>
      <c r="G86" s="39">
        <f>G85*Products!$F$14</f>
        <v/>
      </c>
      <c r="H86" s="39">
        <f>H85*Products!$F$14</f>
        <v/>
      </c>
      <c r="I86" s="39">
        <f>I85*Products!$F$14</f>
        <v/>
      </c>
      <c r="J86" s="39">
        <f>J85*Products!$F$14</f>
        <v/>
      </c>
      <c r="K86" s="39">
        <f>K85*Products!$F$14</f>
        <v/>
      </c>
      <c r="L86" s="39">
        <f>L85*Products!$F$14</f>
        <v/>
      </c>
      <c r="M86" s="39">
        <f>M85*Products!$F$14</f>
        <v/>
      </c>
      <c r="N86" s="39">
        <f>N85*Products!$F$14</f>
        <v/>
      </c>
      <c r="O86" s="39">
        <f>O85*Products!$F$14</f>
        <v/>
      </c>
      <c r="P86" s="39">
        <f>P85*Products!$F$14</f>
        <v/>
      </c>
      <c r="Q86" s="39">
        <f>Q85*Products!$F$14</f>
        <v/>
      </c>
      <c r="R86" s="39">
        <f>R85*Products!$F$14</f>
        <v/>
      </c>
      <c r="S86" s="39">
        <f>S85*Products!$F$14</f>
        <v/>
      </c>
      <c r="T86" s="39">
        <f>T85*Products!$F$14</f>
        <v/>
      </c>
      <c r="U86" s="39">
        <f>U85*Products!$F$14</f>
        <v/>
      </c>
      <c r="V86" s="39">
        <f>V85*Products!$F$14</f>
        <v/>
      </c>
      <c r="W86" s="39">
        <f>W85*Products!$F$14</f>
        <v/>
      </c>
      <c r="X86" s="39">
        <f>X85*Products!$F$14</f>
        <v/>
      </c>
      <c r="Y86" s="39">
        <f>Y85*Products!$F$14</f>
        <v/>
      </c>
      <c r="Z86" s="39">
        <f>Z85*Products!$F$14</f>
        <v/>
      </c>
      <c r="AA86" s="39">
        <f>AA85*Products!$F$14</f>
        <v/>
      </c>
      <c r="AB86" s="39">
        <f>AB85*Products!$F$14</f>
        <v/>
      </c>
      <c r="AC86" s="39">
        <f>AC85*Products!$F$14</f>
        <v/>
      </c>
      <c r="AD86" s="39">
        <f>AD85*Products!$F$14</f>
        <v/>
      </c>
      <c r="AE86" s="39">
        <f>AE85*Products!$F$14</f>
        <v/>
      </c>
      <c r="AF86" s="39">
        <f>AF85*Products!$F$14</f>
        <v/>
      </c>
      <c r="AG86" s="39">
        <f>AG85*Products!$F$14</f>
        <v/>
      </c>
      <c r="AH86" s="39">
        <f>AH85*Products!$F$14</f>
        <v/>
      </c>
      <c r="AI86" s="39">
        <f>AI85*Products!$F$14</f>
        <v/>
      </c>
      <c r="AJ86" s="39">
        <f>AJ85*Products!$F$14</f>
        <v/>
      </c>
      <c r="AK86" s="39">
        <f>AK85*Products!$F$14</f>
        <v/>
      </c>
      <c r="AL86" s="39">
        <f>AL85*Products!$F$14</f>
        <v/>
      </c>
      <c r="AM86" s="39">
        <f>AM85*Products!$F$14</f>
        <v/>
      </c>
      <c r="AN86" s="39">
        <f>AN85*Products!$F$14</f>
        <v/>
      </c>
      <c r="AO86" s="39">
        <f>AO85*Products!$F$14</f>
        <v/>
      </c>
      <c r="AP86" s="39">
        <f>AP85*Products!$F$14</f>
        <v/>
      </c>
      <c r="AQ86" s="39">
        <f>AQ85*Products!$F$14</f>
        <v/>
      </c>
      <c r="AR86" s="39">
        <f>AR85*Products!$F$14</f>
        <v/>
      </c>
      <c r="AS86" s="39">
        <f>AS85*Products!$F$14</f>
        <v/>
      </c>
      <c r="AT86" s="39">
        <f>AT85*Products!$F$14</f>
        <v/>
      </c>
      <c r="AU86" s="39">
        <f>AU85*Products!$F$14</f>
        <v/>
      </c>
      <c r="AV86" s="39">
        <f>AV85*Products!$F$14</f>
        <v/>
      </c>
      <c r="AW86" s="39">
        <f>AW85*Products!$F$14</f>
        <v/>
      </c>
      <c r="AX86" s="39">
        <f>AX85*Products!$F$14</f>
        <v/>
      </c>
      <c r="AY86" s="39">
        <f>AY85*Products!$F$14</f>
        <v/>
      </c>
      <c r="AZ86" s="39">
        <f>AZ85*Products!$F$14</f>
        <v/>
      </c>
      <c r="BA86" s="39">
        <f>BA85*Products!$F$14</f>
        <v/>
      </c>
      <c r="BB86" s="39">
        <f>BB85*Products!$F$14</f>
        <v/>
      </c>
      <c r="BC86" s="39">
        <f>BC85*Products!$F$14</f>
        <v/>
      </c>
      <c r="BD86" s="39">
        <f>BD85*Products!$F$14</f>
        <v/>
      </c>
      <c r="BE86" s="39">
        <f>BE85*Products!$F$14</f>
        <v/>
      </c>
      <c r="BF86" s="39">
        <f>BF85*Products!$F$14</f>
        <v/>
      </c>
      <c r="BG86" s="39">
        <f>BG85*Products!$F$14</f>
        <v/>
      </c>
      <c r="BH86" s="39">
        <f>BH85*Products!$F$14</f>
        <v/>
      </c>
      <c r="BI86" s="39">
        <f>BI85*Products!$F$14</f>
        <v/>
      </c>
      <c r="BJ86" s="39">
        <f>BJ85*Products!$F$14</f>
        <v/>
      </c>
      <c r="BK86" s="39">
        <f>BK85*Products!$F$14</f>
        <v/>
      </c>
      <c r="BL86" s="39">
        <f>BL85*Products!$F$14</f>
        <v/>
      </c>
    </row>
    <row r="87">
      <c r="A87" s="55" t="inlineStr">
        <is>
          <t>Hardware revenue (cash price)</t>
        </is>
      </c>
      <c r="B87" s="26" t="inlineStr">
        <is>
          <t>LCY</t>
        </is>
      </c>
      <c r="C87" s="58">
        <f>SUM(E87:BL87)</f>
        <v/>
      </c>
      <c r="E87" s="39">
        <f>E85*Products!$F$13</f>
        <v/>
      </c>
      <c r="F87" s="39">
        <f>F85*Products!$F$13</f>
        <v/>
      </c>
      <c r="G87" s="39">
        <f>G85*Products!$F$13</f>
        <v/>
      </c>
      <c r="H87" s="39">
        <f>H85*Products!$F$13</f>
        <v/>
      </c>
      <c r="I87" s="39">
        <f>I85*Products!$F$13</f>
        <v/>
      </c>
      <c r="J87" s="39">
        <f>J85*Products!$F$13</f>
        <v/>
      </c>
      <c r="K87" s="39">
        <f>K85*Products!$F$13</f>
        <v/>
      </c>
      <c r="L87" s="39">
        <f>L85*Products!$F$13</f>
        <v/>
      </c>
      <c r="M87" s="39">
        <f>M85*Products!$F$13</f>
        <v/>
      </c>
      <c r="N87" s="39">
        <f>N85*Products!$F$13</f>
        <v/>
      </c>
      <c r="O87" s="39">
        <f>O85*Products!$F$13</f>
        <v/>
      </c>
      <c r="P87" s="39">
        <f>P85*Products!$F$13</f>
        <v/>
      </c>
      <c r="Q87" s="39">
        <f>Q85*Products!$F$13</f>
        <v/>
      </c>
      <c r="R87" s="39">
        <f>R85*Products!$F$13</f>
        <v/>
      </c>
      <c r="S87" s="39">
        <f>S85*Products!$F$13</f>
        <v/>
      </c>
      <c r="T87" s="39">
        <f>T85*Products!$F$13</f>
        <v/>
      </c>
      <c r="U87" s="39">
        <f>U85*Products!$F$13</f>
        <v/>
      </c>
      <c r="V87" s="39">
        <f>V85*Products!$F$13</f>
        <v/>
      </c>
      <c r="W87" s="39">
        <f>W85*Products!$F$13</f>
        <v/>
      </c>
      <c r="X87" s="39">
        <f>X85*Products!$F$13</f>
        <v/>
      </c>
      <c r="Y87" s="39">
        <f>Y85*Products!$F$13</f>
        <v/>
      </c>
      <c r="Z87" s="39">
        <f>Z85*Products!$F$13</f>
        <v/>
      </c>
      <c r="AA87" s="39">
        <f>AA85*Products!$F$13</f>
        <v/>
      </c>
      <c r="AB87" s="39">
        <f>AB85*Products!$F$13</f>
        <v/>
      </c>
      <c r="AC87" s="39">
        <f>AC85*Products!$F$13</f>
        <v/>
      </c>
      <c r="AD87" s="39">
        <f>AD85*Products!$F$13</f>
        <v/>
      </c>
      <c r="AE87" s="39">
        <f>AE85*Products!$F$13</f>
        <v/>
      </c>
      <c r="AF87" s="39">
        <f>AF85*Products!$F$13</f>
        <v/>
      </c>
      <c r="AG87" s="39">
        <f>AG85*Products!$F$13</f>
        <v/>
      </c>
      <c r="AH87" s="39">
        <f>AH85*Products!$F$13</f>
        <v/>
      </c>
      <c r="AI87" s="39">
        <f>AI85*Products!$F$13</f>
        <v/>
      </c>
      <c r="AJ87" s="39">
        <f>AJ85*Products!$F$13</f>
        <v/>
      </c>
      <c r="AK87" s="39">
        <f>AK85*Products!$F$13</f>
        <v/>
      </c>
      <c r="AL87" s="39">
        <f>AL85*Products!$F$13</f>
        <v/>
      </c>
      <c r="AM87" s="39">
        <f>AM85*Products!$F$13</f>
        <v/>
      </c>
      <c r="AN87" s="39">
        <f>AN85*Products!$F$13</f>
        <v/>
      </c>
      <c r="AO87" s="39">
        <f>AO85*Products!$F$13</f>
        <v/>
      </c>
      <c r="AP87" s="39">
        <f>AP85*Products!$F$13</f>
        <v/>
      </c>
      <c r="AQ87" s="39">
        <f>AQ85*Products!$F$13</f>
        <v/>
      </c>
      <c r="AR87" s="39">
        <f>AR85*Products!$F$13</f>
        <v/>
      </c>
      <c r="AS87" s="39">
        <f>AS85*Products!$F$13</f>
        <v/>
      </c>
      <c r="AT87" s="39">
        <f>AT85*Products!$F$13</f>
        <v/>
      </c>
      <c r="AU87" s="39">
        <f>AU85*Products!$F$13</f>
        <v/>
      </c>
      <c r="AV87" s="39">
        <f>AV85*Products!$F$13</f>
        <v/>
      </c>
      <c r="AW87" s="39">
        <f>AW85*Products!$F$13</f>
        <v/>
      </c>
      <c r="AX87" s="39">
        <f>AX85*Products!$F$13</f>
        <v/>
      </c>
      <c r="AY87" s="39">
        <f>AY85*Products!$F$13</f>
        <v/>
      </c>
      <c r="AZ87" s="39">
        <f>AZ85*Products!$F$13</f>
        <v/>
      </c>
      <c r="BA87" s="39">
        <f>BA85*Products!$F$13</f>
        <v/>
      </c>
      <c r="BB87" s="39">
        <f>BB85*Products!$F$13</f>
        <v/>
      </c>
      <c r="BC87" s="39">
        <f>BC85*Products!$F$13</f>
        <v/>
      </c>
      <c r="BD87" s="39">
        <f>BD85*Products!$F$13</f>
        <v/>
      </c>
      <c r="BE87" s="39">
        <f>BE85*Products!$F$13</f>
        <v/>
      </c>
      <c r="BF87" s="39">
        <f>BF85*Products!$F$13</f>
        <v/>
      </c>
      <c r="BG87" s="39">
        <f>BG85*Products!$F$13</f>
        <v/>
      </c>
      <c r="BH87" s="39">
        <f>BH85*Products!$F$13</f>
        <v/>
      </c>
      <c r="BI87" s="39">
        <f>BI85*Products!$F$13</f>
        <v/>
      </c>
      <c r="BJ87" s="39">
        <f>BJ85*Products!$F$13</f>
        <v/>
      </c>
      <c r="BK87" s="39">
        <f>BK85*Products!$F$13</f>
        <v/>
      </c>
      <c r="BL87" s="39">
        <f>BL85*Products!$F$13</f>
        <v/>
      </c>
    </row>
    <row r="88">
      <c r="A88" s="55" t="inlineStr">
        <is>
          <t>New PAYGo receivables originated</t>
        </is>
      </c>
      <c r="B88" s="26" t="inlineStr">
        <is>
          <t>LCY</t>
        </is>
      </c>
      <c r="C88" s="58">
        <f>SUM(E88:BL88)</f>
        <v/>
      </c>
      <c r="E88" s="39">
        <f>E85*Products!$F$38</f>
        <v/>
      </c>
      <c r="F88" s="39">
        <f>F85*Products!$F$38</f>
        <v/>
      </c>
      <c r="G88" s="39">
        <f>G85*Products!$F$38</f>
        <v/>
      </c>
      <c r="H88" s="39">
        <f>H85*Products!$F$38</f>
        <v/>
      </c>
      <c r="I88" s="39">
        <f>I85*Products!$F$38</f>
        <v/>
      </c>
      <c r="J88" s="39">
        <f>J85*Products!$F$38</f>
        <v/>
      </c>
      <c r="K88" s="39">
        <f>K85*Products!$F$38</f>
        <v/>
      </c>
      <c r="L88" s="39">
        <f>L85*Products!$F$38</f>
        <v/>
      </c>
      <c r="M88" s="39">
        <f>M85*Products!$F$38</f>
        <v/>
      </c>
      <c r="N88" s="39">
        <f>N85*Products!$F$38</f>
        <v/>
      </c>
      <c r="O88" s="39">
        <f>O85*Products!$F$38</f>
        <v/>
      </c>
      <c r="P88" s="39">
        <f>P85*Products!$F$38</f>
        <v/>
      </c>
      <c r="Q88" s="39">
        <f>Q85*Products!$F$38</f>
        <v/>
      </c>
      <c r="R88" s="39">
        <f>R85*Products!$F$38</f>
        <v/>
      </c>
      <c r="S88" s="39">
        <f>S85*Products!$F$38</f>
        <v/>
      </c>
      <c r="T88" s="39">
        <f>T85*Products!$F$38</f>
        <v/>
      </c>
      <c r="U88" s="39">
        <f>U85*Products!$F$38</f>
        <v/>
      </c>
      <c r="V88" s="39">
        <f>V85*Products!$F$38</f>
        <v/>
      </c>
      <c r="W88" s="39">
        <f>W85*Products!$F$38</f>
        <v/>
      </c>
      <c r="X88" s="39">
        <f>X85*Products!$F$38</f>
        <v/>
      </c>
      <c r="Y88" s="39">
        <f>Y85*Products!$F$38</f>
        <v/>
      </c>
      <c r="Z88" s="39">
        <f>Z85*Products!$F$38</f>
        <v/>
      </c>
      <c r="AA88" s="39">
        <f>AA85*Products!$F$38</f>
        <v/>
      </c>
      <c r="AB88" s="39">
        <f>AB85*Products!$F$38</f>
        <v/>
      </c>
      <c r="AC88" s="39">
        <f>AC85*Products!$F$38</f>
        <v/>
      </c>
      <c r="AD88" s="39">
        <f>AD85*Products!$F$38</f>
        <v/>
      </c>
      <c r="AE88" s="39">
        <f>AE85*Products!$F$38</f>
        <v/>
      </c>
      <c r="AF88" s="39">
        <f>AF85*Products!$F$38</f>
        <v/>
      </c>
      <c r="AG88" s="39">
        <f>AG85*Products!$F$38</f>
        <v/>
      </c>
      <c r="AH88" s="39">
        <f>AH85*Products!$F$38</f>
        <v/>
      </c>
      <c r="AI88" s="39">
        <f>AI85*Products!$F$38</f>
        <v/>
      </c>
      <c r="AJ88" s="39">
        <f>AJ85*Products!$F$38</f>
        <v/>
      </c>
      <c r="AK88" s="39">
        <f>AK85*Products!$F$38</f>
        <v/>
      </c>
      <c r="AL88" s="39">
        <f>AL85*Products!$F$38</f>
        <v/>
      </c>
      <c r="AM88" s="39">
        <f>AM85*Products!$F$38</f>
        <v/>
      </c>
      <c r="AN88" s="39">
        <f>AN85*Products!$F$38</f>
        <v/>
      </c>
      <c r="AO88" s="39">
        <f>AO85*Products!$F$38</f>
        <v/>
      </c>
      <c r="AP88" s="39">
        <f>AP85*Products!$F$38</f>
        <v/>
      </c>
      <c r="AQ88" s="39">
        <f>AQ85*Products!$F$38</f>
        <v/>
      </c>
      <c r="AR88" s="39">
        <f>AR85*Products!$F$38</f>
        <v/>
      </c>
      <c r="AS88" s="39">
        <f>AS85*Products!$F$38</f>
        <v/>
      </c>
      <c r="AT88" s="39">
        <f>AT85*Products!$F$38</f>
        <v/>
      </c>
      <c r="AU88" s="39">
        <f>AU85*Products!$F$38</f>
        <v/>
      </c>
      <c r="AV88" s="39">
        <f>AV85*Products!$F$38</f>
        <v/>
      </c>
      <c r="AW88" s="39">
        <f>AW85*Products!$F$38</f>
        <v/>
      </c>
      <c r="AX88" s="39">
        <f>AX85*Products!$F$38</f>
        <v/>
      </c>
      <c r="AY88" s="39">
        <f>AY85*Products!$F$38</f>
        <v/>
      </c>
      <c r="AZ88" s="39">
        <f>AZ85*Products!$F$38</f>
        <v/>
      </c>
      <c r="BA88" s="39">
        <f>BA85*Products!$F$38</f>
        <v/>
      </c>
      <c r="BB88" s="39">
        <f>BB85*Products!$F$38</f>
        <v/>
      </c>
      <c r="BC88" s="39">
        <f>BC85*Products!$F$38</f>
        <v/>
      </c>
      <c r="BD88" s="39">
        <f>BD85*Products!$F$38</f>
        <v/>
      </c>
      <c r="BE88" s="39">
        <f>BE85*Products!$F$38</f>
        <v/>
      </c>
      <c r="BF88" s="39">
        <f>BF85*Products!$F$38</f>
        <v/>
      </c>
      <c r="BG88" s="39">
        <f>BG85*Products!$F$38</f>
        <v/>
      </c>
      <c r="BH88" s="39">
        <f>BH85*Products!$F$38</f>
        <v/>
      </c>
      <c r="BI88" s="39">
        <f>BI85*Products!$F$38</f>
        <v/>
      </c>
      <c r="BJ88" s="39">
        <f>BJ85*Products!$F$38</f>
        <v/>
      </c>
      <c r="BK88" s="39">
        <f>BK85*Products!$F$38</f>
        <v/>
      </c>
      <c r="BL88" s="39">
        <f>BL85*Products!$F$38</f>
        <v/>
      </c>
    </row>
    <row r="89">
      <c r="A89" s="55" t="inlineStr">
        <is>
          <t>Instalments due</t>
        </is>
      </c>
      <c r="B89" s="26" t="inlineStr">
        <is>
          <t>LCY</t>
        </is>
      </c>
      <c r="C89" s="58">
        <f>SUM(E89:BL89)</f>
        <v/>
      </c>
      <c r="E89" s="39">
        <f>Products!$F$33*SUMIFS($E$85:$BL$85,Timeline!$E$4:$BL$4,"&gt;="&amp;(E$4-Products!$F$16),Timeline!$E$4:$BL$4,"&lt;="&amp;(E$4-1))</f>
        <v/>
      </c>
      <c r="F89" s="39">
        <f>Products!$F$33*SUMIFS($E$85:$BL$85,Timeline!$E$4:$BL$4,"&gt;="&amp;(F$4-Products!$F$16),Timeline!$E$4:$BL$4,"&lt;="&amp;(F$4-1))</f>
        <v/>
      </c>
      <c r="G89" s="39">
        <f>Products!$F$33*SUMIFS($E$85:$BL$85,Timeline!$E$4:$BL$4,"&gt;="&amp;(G$4-Products!$F$16),Timeline!$E$4:$BL$4,"&lt;="&amp;(G$4-1))</f>
        <v/>
      </c>
      <c r="H89" s="39">
        <f>Products!$F$33*SUMIFS($E$85:$BL$85,Timeline!$E$4:$BL$4,"&gt;="&amp;(H$4-Products!$F$16),Timeline!$E$4:$BL$4,"&lt;="&amp;(H$4-1))</f>
        <v/>
      </c>
      <c r="I89" s="39">
        <f>Products!$F$33*SUMIFS($E$85:$BL$85,Timeline!$E$4:$BL$4,"&gt;="&amp;(I$4-Products!$F$16),Timeline!$E$4:$BL$4,"&lt;="&amp;(I$4-1))</f>
        <v/>
      </c>
      <c r="J89" s="39">
        <f>Products!$F$33*SUMIFS($E$85:$BL$85,Timeline!$E$4:$BL$4,"&gt;="&amp;(J$4-Products!$F$16),Timeline!$E$4:$BL$4,"&lt;="&amp;(J$4-1))</f>
        <v/>
      </c>
      <c r="K89" s="39">
        <f>Products!$F$33*SUMIFS($E$85:$BL$85,Timeline!$E$4:$BL$4,"&gt;="&amp;(K$4-Products!$F$16),Timeline!$E$4:$BL$4,"&lt;="&amp;(K$4-1))</f>
        <v/>
      </c>
      <c r="L89" s="39">
        <f>Products!$F$33*SUMIFS($E$85:$BL$85,Timeline!$E$4:$BL$4,"&gt;="&amp;(L$4-Products!$F$16),Timeline!$E$4:$BL$4,"&lt;="&amp;(L$4-1))</f>
        <v/>
      </c>
      <c r="M89" s="39">
        <f>Products!$F$33*SUMIFS($E$85:$BL$85,Timeline!$E$4:$BL$4,"&gt;="&amp;(M$4-Products!$F$16),Timeline!$E$4:$BL$4,"&lt;="&amp;(M$4-1))</f>
        <v/>
      </c>
      <c r="N89" s="39">
        <f>Products!$F$33*SUMIFS($E$85:$BL$85,Timeline!$E$4:$BL$4,"&gt;="&amp;(N$4-Products!$F$16),Timeline!$E$4:$BL$4,"&lt;="&amp;(N$4-1))</f>
        <v/>
      </c>
      <c r="O89" s="39">
        <f>Products!$F$33*SUMIFS($E$85:$BL$85,Timeline!$E$4:$BL$4,"&gt;="&amp;(O$4-Products!$F$16),Timeline!$E$4:$BL$4,"&lt;="&amp;(O$4-1))</f>
        <v/>
      </c>
      <c r="P89" s="39">
        <f>Products!$F$33*SUMIFS($E$85:$BL$85,Timeline!$E$4:$BL$4,"&gt;="&amp;(P$4-Products!$F$16),Timeline!$E$4:$BL$4,"&lt;="&amp;(P$4-1))</f>
        <v/>
      </c>
      <c r="Q89" s="39">
        <f>Products!$F$33*SUMIFS($E$85:$BL$85,Timeline!$E$4:$BL$4,"&gt;="&amp;(Q$4-Products!$F$16),Timeline!$E$4:$BL$4,"&lt;="&amp;(Q$4-1))</f>
        <v/>
      </c>
      <c r="R89" s="39">
        <f>Products!$F$33*SUMIFS($E$85:$BL$85,Timeline!$E$4:$BL$4,"&gt;="&amp;(R$4-Products!$F$16),Timeline!$E$4:$BL$4,"&lt;="&amp;(R$4-1))</f>
        <v/>
      </c>
      <c r="S89" s="39">
        <f>Products!$F$33*SUMIFS($E$85:$BL$85,Timeline!$E$4:$BL$4,"&gt;="&amp;(S$4-Products!$F$16),Timeline!$E$4:$BL$4,"&lt;="&amp;(S$4-1))</f>
        <v/>
      </c>
      <c r="T89" s="39">
        <f>Products!$F$33*SUMIFS($E$85:$BL$85,Timeline!$E$4:$BL$4,"&gt;="&amp;(T$4-Products!$F$16),Timeline!$E$4:$BL$4,"&lt;="&amp;(T$4-1))</f>
        <v/>
      </c>
      <c r="U89" s="39">
        <f>Products!$F$33*SUMIFS($E$85:$BL$85,Timeline!$E$4:$BL$4,"&gt;="&amp;(U$4-Products!$F$16),Timeline!$E$4:$BL$4,"&lt;="&amp;(U$4-1))</f>
        <v/>
      </c>
      <c r="V89" s="39">
        <f>Products!$F$33*SUMIFS($E$85:$BL$85,Timeline!$E$4:$BL$4,"&gt;="&amp;(V$4-Products!$F$16),Timeline!$E$4:$BL$4,"&lt;="&amp;(V$4-1))</f>
        <v/>
      </c>
      <c r="W89" s="39">
        <f>Products!$F$33*SUMIFS($E$85:$BL$85,Timeline!$E$4:$BL$4,"&gt;="&amp;(W$4-Products!$F$16),Timeline!$E$4:$BL$4,"&lt;="&amp;(W$4-1))</f>
        <v/>
      </c>
      <c r="X89" s="39">
        <f>Products!$F$33*SUMIFS($E$85:$BL$85,Timeline!$E$4:$BL$4,"&gt;="&amp;(X$4-Products!$F$16),Timeline!$E$4:$BL$4,"&lt;="&amp;(X$4-1))</f>
        <v/>
      </c>
      <c r="Y89" s="39">
        <f>Products!$F$33*SUMIFS($E$85:$BL$85,Timeline!$E$4:$BL$4,"&gt;="&amp;(Y$4-Products!$F$16),Timeline!$E$4:$BL$4,"&lt;="&amp;(Y$4-1))</f>
        <v/>
      </c>
      <c r="Z89" s="39">
        <f>Products!$F$33*SUMIFS($E$85:$BL$85,Timeline!$E$4:$BL$4,"&gt;="&amp;(Z$4-Products!$F$16),Timeline!$E$4:$BL$4,"&lt;="&amp;(Z$4-1))</f>
        <v/>
      </c>
      <c r="AA89" s="39">
        <f>Products!$F$33*SUMIFS($E$85:$BL$85,Timeline!$E$4:$BL$4,"&gt;="&amp;(AA$4-Products!$F$16),Timeline!$E$4:$BL$4,"&lt;="&amp;(AA$4-1))</f>
        <v/>
      </c>
      <c r="AB89" s="39">
        <f>Products!$F$33*SUMIFS($E$85:$BL$85,Timeline!$E$4:$BL$4,"&gt;="&amp;(AB$4-Products!$F$16),Timeline!$E$4:$BL$4,"&lt;="&amp;(AB$4-1))</f>
        <v/>
      </c>
      <c r="AC89" s="39">
        <f>Products!$F$33*SUMIFS($E$85:$BL$85,Timeline!$E$4:$BL$4,"&gt;="&amp;(AC$4-Products!$F$16),Timeline!$E$4:$BL$4,"&lt;="&amp;(AC$4-1))</f>
        <v/>
      </c>
      <c r="AD89" s="39">
        <f>Products!$F$33*SUMIFS($E$85:$BL$85,Timeline!$E$4:$BL$4,"&gt;="&amp;(AD$4-Products!$F$16),Timeline!$E$4:$BL$4,"&lt;="&amp;(AD$4-1))</f>
        <v/>
      </c>
      <c r="AE89" s="39">
        <f>Products!$F$33*SUMIFS($E$85:$BL$85,Timeline!$E$4:$BL$4,"&gt;="&amp;(AE$4-Products!$F$16),Timeline!$E$4:$BL$4,"&lt;="&amp;(AE$4-1))</f>
        <v/>
      </c>
      <c r="AF89" s="39">
        <f>Products!$F$33*SUMIFS($E$85:$BL$85,Timeline!$E$4:$BL$4,"&gt;="&amp;(AF$4-Products!$F$16),Timeline!$E$4:$BL$4,"&lt;="&amp;(AF$4-1))</f>
        <v/>
      </c>
      <c r="AG89" s="39">
        <f>Products!$F$33*SUMIFS($E$85:$BL$85,Timeline!$E$4:$BL$4,"&gt;="&amp;(AG$4-Products!$F$16),Timeline!$E$4:$BL$4,"&lt;="&amp;(AG$4-1))</f>
        <v/>
      </c>
      <c r="AH89" s="39">
        <f>Products!$F$33*SUMIFS($E$85:$BL$85,Timeline!$E$4:$BL$4,"&gt;="&amp;(AH$4-Products!$F$16),Timeline!$E$4:$BL$4,"&lt;="&amp;(AH$4-1))</f>
        <v/>
      </c>
      <c r="AI89" s="39">
        <f>Products!$F$33*SUMIFS($E$85:$BL$85,Timeline!$E$4:$BL$4,"&gt;="&amp;(AI$4-Products!$F$16),Timeline!$E$4:$BL$4,"&lt;="&amp;(AI$4-1))</f>
        <v/>
      </c>
      <c r="AJ89" s="39">
        <f>Products!$F$33*SUMIFS($E$85:$BL$85,Timeline!$E$4:$BL$4,"&gt;="&amp;(AJ$4-Products!$F$16),Timeline!$E$4:$BL$4,"&lt;="&amp;(AJ$4-1))</f>
        <v/>
      </c>
      <c r="AK89" s="39">
        <f>Products!$F$33*SUMIFS($E$85:$BL$85,Timeline!$E$4:$BL$4,"&gt;="&amp;(AK$4-Products!$F$16),Timeline!$E$4:$BL$4,"&lt;="&amp;(AK$4-1))</f>
        <v/>
      </c>
      <c r="AL89" s="39">
        <f>Products!$F$33*SUMIFS($E$85:$BL$85,Timeline!$E$4:$BL$4,"&gt;="&amp;(AL$4-Products!$F$16),Timeline!$E$4:$BL$4,"&lt;="&amp;(AL$4-1))</f>
        <v/>
      </c>
      <c r="AM89" s="39">
        <f>Products!$F$33*SUMIFS($E$85:$BL$85,Timeline!$E$4:$BL$4,"&gt;="&amp;(AM$4-Products!$F$16),Timeline!$E$4:$BL$4,"&lt;="&amp;(AM$4-1))</f>
        <v/>
      </c>
      <c r="AN89" s="39">
        <f>Products!$F$33*SUMIFS($E$85:$BL$85,Timeline!$E$4:$BL$4,"&gt;="&amp;(AN$4-Products!$F$16),Timeline!$E$4:$BL$4,"&lt;="&amp;(AN$4-1))</f>
        <v/>
      </c>
      <c r="AO89" s="39">
        <f>Products!$F$33*SUMIFS($E$85:$BL$85,Timeline!$E$4:$BL$4,"&gt;="&amp;(AO$4-Products!$F$16),Timeline!$E$4:$BL$4,"&lt;="&amp;(AO$4-1))</f>
        <v/>
      </c>
      <c r="AP89" s="39">
        <f>Products!$F$33*SUMIFS($E$85:$BL$85,Timeline!$E$4:$BL$4,"&gt;="&amp;(AP$4-Products!$F$16),Timeline!$E$4:$BL$4,"&lt;="&amp;(AP$4-1))</f>
        <v/>
      </c>
      <c r="AQ89" s="39">
        <f>Products!$F$33*SUMIFS($E$85:$BL$85,Timeline!$E$4:$BL$4,"&gt;="&amp;(AQ$4-Products!$F$16),Timeline!$E$4:$BL$4,"&lt;="&amp;(AQ$4-1))</f>
        <v/>
      </c>
      <c r="AR89" s="39">
        <f>Products!$F$33*SUMIFS($E$85:$BL$85,Timeline!$E$4:$BL$4,"&gt;="&amp;(AR$4-Products!$F$16),Timeline!$E$4:$BL$4,"&lt;="&amp;(AR$4-1))</f>
        <v/>
      </c>
      <c r="AS89" s="39">
        <f>Products!$F$33*SUMIFS($E$85:$BL$85,Timeline!$E$4:$BL$4,"&gt;="&amp;(AS$4-Products!$F$16),Timeline!$E$4:$BL$4,"&lt;="&amp;(AS$4-1))</f>
        <v/>
      </c>
      <c r="AT89" s="39">
        <f>Products!$F$33*SUMIFS($E$85:$BL$85,Timeline!$E$4:$BL$4,"&gt;="&amp;(AT$4-Products!$F$16),Timeline!$E$4:$BL$4,"&lt;="&amp;(AT$4-1))</f>
        <v/>
      </c>
      <c r="AU89" s="39">
        <f>Products!$F$33*SUMIFS($E$85:$BL$85,Timeline!$E$4:$BL$4,"&gt;="&amp;(AU$4-Products!$F$16),Timeline!$E$4:$BL$4,"&lt;="&amp;(AU$4-1))</f>
        <v/>
      </c>
      <c r="AV89" s="39">
        <f>Products!$F$33*SUMIFS($E$85:$BL$85,Timeline!$E$4:$BL$4,"&gt;="&amp;(AV$4-Products!$F$16),Timeline!$E$4:$BL$4,"&lt;="&amp;(AV$4-1))</f>
        <v/>
      </c>
      <c r="AW89" s="39">
        <f>Products!$F$33*SUMIFS($E$85:$BL$85,Timeline!$E$4:$BL$4,"&gt;="&amp;(AW$4-Products!$F$16),Timeline!$E$4:$BL$4,"&lt;="&amp;(AW$4-1))</f>
        <v/>
      </c>
      <c r="AX89" s="39">
        <f>Products!$F$33*SUMIFS($E$85:$BL$85,Timeline!$E$4:$BL$4,"&gt;="&amp;(AX$4-Products!$F$16),Timeline!$E$4:$BL$4,"&lt;="&amp;(AX$4-1))</f>
        <v/>
      </c>
      <c r="AY89" s="39">
        <f>Products!$F$33*SUMIFS($E$85:$BL$85,Timeline!$E$4:$BL$4,"&gt;="&amp;(AY$4-Products!$F$16),Timeline!$E$4:$BL$4,"&lt;="&amp;(AY$4-1))</f>
        <v/>
      </c>
      <c r="AZ89" s="39">
        <f>Products!$F$33*SUMIFS($E$85:$BL$85,Timeline!$E$4:$BL$4,"&gt;="&amp;(AZ$4-Products!$F$16),Timeline!$E$4:$BL$4,"&lt;="&amp;(AZ$4-1))</f>
        <v/>
      </c>
      <c r="BA89" s="39">
        <f>Products!$F$33*SUMIFS($E$85:$BL$85,Timeline!$E$4:$BL$4,"&gt;="&amp;(BA$4-Products!$F$16),Timeline!$E$4:$BL$4,"&lt;="&amp;(BA$4-1))</f>
        <v/>
      </c>
      <c r="BB89" s="39">
        <f>Products!$F$33*SUMIFS($E$85:$BL$85,Timeline!$E$4:$BL$4,"&gt;="&amp;(BB$4-Products!$F$16),Timeline!$E$4:$BL$4,"&lt;="&amp;(BB$4-1))</f>
        <v/>
      </c>
      <c r="BC89" s="39">
        <f>Products!$F$33*SUMIFS($E$85:$BL$85,Timeline!$E$4:$BL$4,"&gt;="&amp;(BC$4-Products!$F$16),Timeline!$E$4:$BL$4,"&lt;="&amp;(BC$4-1))</f>
        <v/>
      </c>
      <c r="BD89" s="39">
        <f>Products!$F$33*SUMIFS($E$85:$BL$85,Timeline!$E$4:$BL$4,"&gt;="&amp;(BD$4-Products!$F$16),Timeline!$E$4:$BL$4,"&lt;="&amp;(BD$4-1))</f>
        <v/>
      </c>
      <c r="BE89" s="39">
        <f>Products!$F$33*SUMIFS($E$85:$BL$85,Timeline!$E$4:$BL$4,"&gt;="&amp;(BE$4-Products!$F$16),Timeline!$E$4:$BL$4,"&lt;="&amp;(BE$4-1))</f>
        <v/>
      </c>
      <c r="BF89" s="39">
        <f>Products!$F$33*SUMIFS($E$85:$BL$85,Timeline!$E$4:$BL$4,"&gt;="&amp;(BF$4-Products!$F$16),Timeline!$E$4:$BL$4,"&lt;="&amp;(BF$4-1))</f>
        <v/>
      </c>
      <c r="BG89" s="39">
        <f>Products!$F$33*SUMIFS($E$85:$BL$85,Timeline!$E$4:$BL$4,"&gt;="&amp;(BG$4-Products!$F$16),Timeline!$E$4:$BL$4,"&lt;="&amp;(BG$4-1))</f>
        <v/>
      </c>
      <c r="BH89" s="39">
        <f>Products!$F$33*SUMIFS($E$85:$BL$85,Timeline!$E$4:$BL$4,"&gt;="&amp;(BH$4-Products!$F$16),Timeline!$E$4:$BL$4,"&lt;="&amp;(BH$4-1))</f>
        <v/>
      </c>
      <c r="BI89" s="39">
        <f>Products!$F$33*SUMIFS($E$85:$BL$85,Timeline!$E$4:$BL$4,"&gt;="&amp;(BI$4-Products!$F$16),Timeline!$E$4:$BL$4,"&lt;="&amp;(BI$4-1))</f>
        <v/>
      </c>
      <c r="BJ89" s="39">
        <f>Products!$F$33*SUMIFS($E$85:$BL$85,Timeline!$E$4:$BL$4,"&gt;="&amp;(BJ$4-Products!$F$16),Timeline!$E$4:$BL$4,"&lt;="&amp;(BJ$4-1))</f>
        <v/>
      </c>
      <c r="BK89" s="39">
        <f>Products!$F$33*SUMIFS($E$85:$BL$85,Timeline!$E$4:$BL$4,"&gt;="&amp;(BK$4-Products!$F$16),Timeline!$E$4:$BL$4,"&lt;="&amp;(BK$4-1))</f>
        <v/>
      </c>
      <c r="BL89" s="39">
        <f>Products!$F$33*SUMIFS($E$85:$BL$85,Timeline!$E$4:$BL$4,"&gt;="&amp;(BL$4-Products!$F$16),Timeline!$E$4:$BL$4,"&lt;="&amp;(BL$4-1))</f>
        <v/>
      </c>
    </row>
    <row r="90">
      <c r="A90" s="55" t="inlineStr">
        <is>
          <t>Instalments collected</t>
        </is>
      </c>
      <c r="B90" s="26" t="inlineStr">
        <is>
          <t>LCY</t>
        </is>
      </c>
      <c r="C90" s="58">
        <f>SUM(E90:BL90)</f>
        <v/>
      </c>
      <c r="E90" s="17">
        <f>Cohort_T4!E$9</f>
        <v/>
      </c>
      <c r="F90" s="17">
        <f>Cohort_T4!F$9</f>
        <v/>
      </c>
      <c r="G90" s="17">
        <f>Cohort_T4!G$9</f>
        <v/>
      </c>
      <c r="H90" s="17">
        <f>Cohort_T4!H$9</f>
        <v/>
      </c>
      <c r="I90" s="17">
        <f>Cohort_T4!I$9</f>
        <v/>
      </c>
      <c r="J90" s="17">
        <f>Cohort_T4!J$9</f>
        <v/>
      </c>
      <c r="K90" s="17">
        <f>Cohort_T4!K$9</f>
        <v/>
      </c>
      <c r="L90" s="17">
        <f>Cohort_T4!L$9</f>
        <v/>
      </c>
      <c r="M90" s="17">
        <f>Cohort_T4!M$9</f>
        <v/>
      </c>
      <c r="N90" s="17">
        <f>Cohort_T4!N$9</f>
        <v/>
      </c>
      <c r="O90" s="17">
        <f>Cohort_T4!O$9</f>
        <v/>
      </c>
      <c r="P90" s="17">
        <f>Cohort_T4!P$9</f>
        <v/>
      </c>
      <c r="Q90" s="17">
        <f>Cohort_T4!Q$9</f>
        <v/>
      </c>
      <c r="R90" s="17">
        <f>Cohort_T4!R$9</f>
        <v/>
      </c>
      <c r="S90" s="17">
        <f>Cohort_T4!S$9</f>
        <v/>
      </c>
      <c r="T90" s="17">
        <f>Cohort_T4!T$9</f>
        <v/>
      </c>
      <c r="U90" s="17">
        <f>Cohort_T4!U$9</f>
        <v/>
      </c>
      <c r="V90" s="17">
        <f>Cohort_T4!V$9</f>
        <v/>
      </c>
      <c r="W90" s="17">
        <f>Cohort_T4!W$9</f>
        <v/>
      </c>
      <c r="X90" s="17">
        <f>Cohort_T4!X$9</f>
        <v/>
      </c>
      <c r="Y90" s="17">
        <f>Cohort_T4!Y$9</f>
        <v/>
      </c>
      <c r="Z90" s="17">
        <f>Cohort_T4!Z$9</f>
        <v/>
      </c>
      <c r="AA90" s="17">
        <f>Cohort_T4!AA$9</f>
        <v/>
      </c>
      <c r="AB90" s="17">
        <f>Cohort_T4!AB$9</f>
        <v/>
      </c>
      <c r="AC90" s="17">
        <f>Cohort_T4!AC$9</f>
        <v/>
      </c>
      <c r="AD90" s="17">
        <f>Cohort_T4!AD$9</f>
        <v/>
      </c>
      <c r="AE90" s="17">
        <f>Cohort_T4!AE$9</f>
        <v/>
      </c>
      <c r="AF90" s="17">
        <f>Cohort_T4!AF$9</f>
        <v/>
      </c>
      <c r="AG90" s="17">
        <f>Cohort_T4!AG$9</f>
        <v/>
      </c>
      <c r="AH90" s="17">
        <f>Cohort_T4!AH$9</f>
        <v/>
      </c>
      <c r="AI90" s="17">
        <f>Cohort_T4!AI$9</f>
        <v/>
      </c>
      <c r="AJ90" s="17">
        <f>Cohort_T4!AJ$9</f>
        <v/>
      </c>
      <c r="AK90" s="17">
        <f>Cohort_T4!AK$9</f>
        <v/>
      </c>
      <c r="AL90" s="17">
        <f>Cohort_T4!AL$9</f>
        <v/>
      </c>
      <c r="AM90" s="17">
        <f>Cohort_T4!AM$9</f>
        <v/>
      </c>
      <c r="AN90" s="17">
        <f>Cohort_T4!AN$9</f>
        <v/>
      </c>
      <c r="AO90" s="17">
        <f>Cohort_T4!AO$9</f>
        <v/>
      </c>
      <c r="AP90" s="17">
        <f>Cohort_T4!AP$9</f>
        <v/>
      </c>
      <c r="AQ90" s="17">
        <f>Cohort_T4!AQ$9</f>
        <v/>
      </c>
      <c r="AR90" s="17">
        <f>Cohort_T4!AR$9</f>
        <v/>
      </c>
      <c r="AS90" s="17">
        <f>Cohort_T4!AS$9</f>
        <v/>
      </c>
      <c r="AT90" s="17">
        <f>Cohort_T4!AT$9</f>
        <v/>
      </c>
      <c r="AU90" s="17">
        <f>Cohort_T4!AU$9</f>
        <v/>
      </c>
      <c r="AV90" s="17">
        <f>Cohort_T4!AV$9</f>
        <v/>
      </c>
      <c r="AW90" s="17">
        <f>Cohort_T4!AW$9</f>
        <v/>
      </c>
      <c r="AX90" s="17">
        <f>Cohort_T4!AX$9</f>
        <v/>
      </c>
      <c r="AY90" s="17">
        <f>Cohort_T4!AY$9</f>
        <v/>
      </c>
      <c r="AZ90" s="17">
        <f>Cohort_T4!AZ$9</f>
        <v/>
      </c>
      <c r="BA90" s="17">
        <f>Cohort_T4!BA$9</f>
        <v/>
      </c>
      <c r="BB90" s="17">
        <f>Cohort_T4!BB$9</f>
        <v/>
      </c>
      <c r="BC90" s="17">
        <f>Cohort_T4!BC$9</f>
        <v/>
      </c>
      <c r="BD90" s="17">
        <f>Cohort_T4!BD$9</f>
        <v/>
      </c>
      <c r="BE90" s="17">
        <f>Cohort_T4!BE$9</f>
        <v/>
      </c>
      <c r="BF90" s="17">
        <f>Cohort_T4!BF$9</f>
        <v/>
      </c>
      <c r="BG90" s="17">
        <f>Cohort_T4!BG$9</f>
        <v/>
      </c>
      <c r="BH90" s="17">
        <f>Cohort_T4!BH$9</f>
        <v/>
      </c>
      <c r="BI90" s="17">
        <f>Cohort_T4!BI$9</f>
        <v/>
      </c>
      <c r="BJ90" s="17">
        <f>Cohort_T4!BJ$9</f>
        <v/>
      </c>
      <c r="BK90" s="17">
        <f>Cohort_T4!BK$9</f>
        <v/>
      </c>
      <c r="BL90" s="17">
        <f>Cohort_T4!BL$9</f>
        <v/>
      </c>
    </row>
    <row r="91">
      <c r="A91" s="55" t="inlineStr">
        <is>
          <t>Missed instalments written off</t>
        </is>
      </c>
      <c r="B91" s="26" t="inlineStr">
        <is>
          <t>LCY</t>
        </is>
      </c>
      <c r="C91" s="58">
        <f>SUM(E91:BL91)</f>
        <v/>
      </c>
      <c r="E91" s="39">
        <f>E89-E90</f>
        <v/>
      </c>
      <c r="F91" s="39">
        <f>F89-F90</f>
        <v/>
      </c>
      <c r="G91" s="39">
        <f>G89-G90</f>
        <v/>
      </c>
      <c r="H91" s="39">
        <f>H89-H90</f>
        <v/>
      </c>
      <c r="I91" s="39">
        <f>I89-I90</f>
        <v/>
      </c>
      <c r="J91" s="39">
        <f>J89-J90</f>
        <v/>
      </c>
      <c r="K91" s="39">
        <f>K89-K90</f>
        <v/>
      </c>
      <c r="L91" s="39">
        <f>L89-L90</f>
        <v/>
      </c>
      <c r="M91" s="39">
        <f>M89-M90</f>
        <v/>
      </c>
      <c r="N91" s="39">
        <f>N89-N90</f>
        <v/>
      </c>
      <c r="O91" s="39">
        <f>O89-O90</f>
        <v/>
      </c>
      <c r="P91" s="39">
        <f>P89-P90</f>
        <v/>
      </c>
      <c r="Q91" s="39">
        <f>Q89-Q90</f>
        <v/>
      </c>
      <c r="R91" s="39">
        <f>R89-R90</f>
        <v/>
      </c>
      <c r="S91" s="39">
        <f>S89-S90</f>
        <v/>
      </c>
      <c r="T91" s="39">
        <f>T89-T90</f>
        <v/>
      </c>
      <c r="U91" s="39">
        <f>U89-U90</f>
        <v/>
      </c>
      <c r="V91" s="39">
        <f>V89-V90</f>
        <v/>
      </c>
      <c r="W91" s="39">
        <f>W89-W90</f>
        <v/>
      </c>
      <c r="X91" s="39">
        <f>X89-X90</f>
        <v/>
      </c>
      <c r="Y91" s="39">
        <f>Y89-Y90</f>
        <v/>
      </c>
      <c r="Z91" s="39">
        <f>Z89-Z90</f>
        <v/>
      </c>
      <c r="AA91" s="39">
        <f>AA89-AA90</f>
        <v/>
      </c>
      <c r="AB91" s="39">
        <f>AB89-AB90</f>
        <v/>
      </c>
      <c r="AC91" s="39">
        <f>AC89-AC90</f>
        <v/>
      </c>
      <c r="AD91" s="39">
        <f>AD89-AD90</f>
        <v/>
      </c>
      <c r="AE91" s="39">
        <f>AE89-AE90</f>
        <v/>
      </c>
      <c r="AF91" s="39">
        <f>AF89-AF90</f>
        <v/>
      </c>
      <c r="AG91" s="39">
        <f>AG89-AG90</f>
        <v/>
      </c>
      <c r="AH91" s="39">
        <f>AH89-AH90</f>
        <v/>
      </c>
      <c r="AI91" s="39">
        <f>AI89-AI90</f>
        <v/>
      </c>
      <c r="AJ91" s="39">
        <f>AJ89-AJ90</f>
        <v/>
      </c>
      <c r="AK91" s="39">
        <f>AK89-AK90</f>
        <v/>
      </c>
      <c r="AL91" s="39">
        <f>AL89-AL90</f>
        <v/>
      </c>
      <c r="AM91" s="39">
        <f>AM89-AM90</f>
        <v/>
      </c>
      <c r="AN91" s="39">
        <f>AN89-AN90</f>
        <v/>
      </c>
      <c r="AO91" s="39">
        <f>AO89-AO90</f>
        <v/>
      </c>
      <c r="AP91" s="39">
        <f>AP89-AP90</f>
        <v/>
      </c>
      <c r="AQ91" s="39">
        <f>AQ89-AQ90</f>
        <v/>
      </c>
      <c r="AR91" s="39">
        <f>AR89-AR90</f>
        <v/>
      </c>
      <c r="AS91" s="39">
        <f>AS89-AS90</f>
        <v/>
      </c>
      <c r="AT91" s="39">
        <f>AT89-AT90</f>
        <v/>
      </c>
      <c r="AU91" s="39">
        <f>AU89-AU90</f>
        <v/>
      </c>
      <c r="AV91" s="39">
        <f>AV89-AV90</f>
        <v/>
      </c>
      <c r="AW91" s="39">
        <f>AW89-AW90</f>
        <v/>
      </c>
      <c r="AX91" s="39">
        <f>AX89-AX90</f>
        <v/>
      </c>
      <c r="AY91" s="39">
        <f>AY89-AY90</f>
        <v/>
      </c>
      <c r="AZ91" s="39">
        <f>AZ89-AZ90</f>
        <v/>
      </c>
      <c r="BA91" s="39">
        <f>BA89-BA90</f>
        <v/>
      </c>
      <c r="BB91" s="39">
        <f>BB89-BB90</f>
        <v/>
      </c>
      <c r="BC91" s="39">
        <f>BC89-BC90</f>
        <v/>
      </c>
      <c r="BD91" s="39">
        <f>BD89-BD90</f>
        <v/>
      </c>
      <c r="BE91" s="39">
        <f>BE89-BE90</f>
        <v/>
      </c>
      <c r="BF91" s="39">
        <f>BF89-BF90</f>
        <v/>
      </c>
      <c r="BG91" s="39">
        <f>BG89-BG90</f>
        <v/>
      </c>
      <c r="BH91" s="39">
        <f>BH89-BH90</f>
        <v/>
      </c>
      <c r="BI91" s="39">
        <f>BI89-BI90</f>
        <v/>
      </c>
      <c r="BJ91" s="39">
        <f>BJ89-BJ90</f>
        <v/>
      </c>
      <c r="BK91" s="39">
        <f>BK89-BK90</f>
        <v/>
      </c>
      <c r="BL91" s="39">
        <f>BL89-BL90</f>
        <v/>
      </c>
    </row>
    <row r="92">
      <c r="A92" s="55" t="inlineStr">
        <is>
          <t>PAYGo financing income (straight-line over tenor)</t>
        </is>
      </c>
      <c r="B92" s="26" t="inlineStr">
        <is>
          <t>LCY</t>
        </is>
      </c>
      <c r="C92" s="58">
        <f>SUM(E92:BL92)</f>
        <v/>
      </c>
      <c r="E92" s="39">
        <f>IF(Products!$F$16=0,0,Products!$F$35/Products!$F$16*SUMIFS($E$85:$BL$85,Timeline!$E$4:$BL$4,"&gt;="&amp;(E$4-Products!$F$16),Timeline!$E$4:$BL$4,"&lt;="&amp;(E$4-1)))</f>
        <v/>
      </c>
      <c r="F92" s="39">
        <f>IF(Products!$F$16=0,0,Products!$F$35/Products!$F$16*SUMIFS($E$85:$BL$85,Timeline!$E$4:$BL$4,"&gt;="&amp;(F$4-Products!$F$16),Timeline!$E$4:$BL$4,"&lt;="&amp;(F$4-1)))</f>
        <v/>
      </c>
      <c r="G92" s="39">
        <f>IF(Products!$F$16=0,0,Products!$F$35/Products!$F$16*SUMIFS($E$85:$BL$85,Timeline!$E$4:$BL$4,"&gt;="&amp;(G$4-Products!$F$16),Timeline!$E$4:$BL$4,"&lt;="&amp;(G$4-1)))</f>
        <v/>
      </c>
      <c r="H92" s="39">
        <f>IF(Products!$F$16=0,0,Products!$F$35/Products!$F$16*SUMIFS($E$85:$BL$85,Timeline!$E$4:$BL$4,"&gt;="&amp;(H$4-Products!$F$16),Timeline!$E$4:$BL$4,"&lt;="&amp;(H$4-1)))</f>
        <v/>
      </c>
      <c r="I92" s="39">
        <f>IF(Products!$F$16=0,0,Products!$F$35/Products!$F$16*SUMIFS($E$85:$BL$85,Timeline!$E$4:$BL$4,"&gt;="&amp;(I$4-Products!$F$16),Timeline!$E$4:$BL$4,"&lt;="&amp;(I$4-1)))</f>
        <v/>
      </c>
      <c r="J92" s="39">
        <f>IF(Products!$F$16=0,0,Products!$F$35/Products!$F$16*SUMIFS($E$85:$BL$85,Timeline!$E$4:$BL$4,"&gt;="&amp;(J$4-Products!$F$16),Timeline!$E$4:$BL$4,"&lt;="&amp;(J$4-1)))</f>
        <v/>
      </c>
      <c r="K92" s="39">
        <f>IF(Products!$F$16=0,0,Products!$F$35/Products!$F$16*SUMIFS($E$85:$BL$85,Timeline!$E$4:$BL$4,"&gt;="&amp;(K$4-Products!$F$16),Timeline!$E$4:$BL$4,"&lt;="&amp;(K$4-1)))</f>
        <v/>
      </c>
      <c r="L92" s="39">
        <f>IF(Products!$F$16=0,0,Products!$F$35/Products!$F$16*SUMIFS($E$85:$BL$85,Timeline!$E$4:$BL$4,"&gt;="&amp;(L$4-Products!$F$16),Timeline!$E$4:$BL$4,"&lt;="&amp;(L$4-1)))</f>
        <v/>
      </c>
      <c r="M92" s="39">
        <f>IF(Products!$F$16=0,0,Products!$F$35/Products!$F$16*SUMIFS($E$85:$BL$85,Timeline!$E$4:$BL$4,"&gt;="&amp;(M$4-Products!$F$16),Timeline!$E$4:$BL$4,"&lt;="&amp;(M$4-1)))</f>
        <v/>
      </c>
      <c r="N92" s="39">
        <f>IF(Products!$F$16=0,0,Products!$F$35/Products!$F$16*SUMIFS($E$85:$BL$85,Timeline!$E$4:$BL$4,"&gt;="&amp;(N$4-Products!$F$16),Timeline!$E$4:$BL$4,"&lt;="&amp;(N$4-1)))</f>
        <v/>
      </c>
      <c r="O92" s="39">
        <f>IF(Products!$F$16=0,0,Products!$F$35/Products!$F$16*SUMIFS($E$85:$BL$85,Timeline!$E$4:$BL$4,"&gt;="&amp;(O$4-Products!$F$16),Timeline!$E$4:$BL$4,"&lt;="&amp;(O$4-1)))</f>
        <v/>
      </c>
      <c r="P92" s="39">
        <f>IF(Products!$F$16=0,0,Products!$F$35/Products!$F$16*SUMIFS($E$85:$BL$85,Timeline!$E$4:$BL$4,"&gt;="&amp;(P$4-Products!$F$16),Timeline!$E$4:$BL$4,"&lt;="&amp;(P$4-1)))</f>
        <v/>
      </c>
      <c r="Q92" s="39">
        <f>IF(Products!$F$16=0,0,Products!$F$35/Products!$F$16*SUMIFS($E$85:$BL$85,Timeline!$E$4:$BL$4,"&gt;="&amp;(Q$4-Products!$F$16),Timeline!$E$4:$BL$4,"&lt;="&amp;(Q$4-1)))</f>
        <v/>
      </c>
      <c r="R92" s="39">
        <f>IF(Products!$F$16=0,0,Products!$F$35/Products!$F$16*SUMIFS($E$85:$BL$85,Timeline!$E$4:$BL$4,"&gt;="&amp;(R$4-Products!$F$16),Timeline!$E$4:$BL$4,"&lt;="&amp;(R$4-1)))</f>
        <v/>
      </c>
      <c r="S92" s="39">
        <f>IF(Products!$F$16=0,0,Products!$F$35/Products!$F$16*SUMIFS($E$85:$BL$85,Timeline!$E$4:$BL$4,"&gt;="&amp;(S$4-Products!$F$16),Timeline!$E$4:$BL$4,"&lt;="&amp;(S$4-1)))</f>
        <v/>
      </c>
      <c r="T92" s="39">
        <f>IF(Products!$F$16=0,0,Products!$F$35/Products!$F$16*SUMIFS($E$85:$BL$85,Timeline!$E$4:$BL$4,"&gt;="&amp;(T$4-Products!$F$16),Timeline!$E$4:$BL$4,"&lt;="&amp;(T$4-1)))</f>
        <v/>
      </c>
      <c r="U92" s="39">
        <f>IF(Products!$F$16=0,0,Products!$F$35/Products!$F$16*SUMIFS($E$85:$BL$85,Timeline!$E$4:$BL$4,"&gt;="&amp;(U$4-Products!$F$16),Timeline!$E$4:$BL$4,"&lt;="&amp;(U$4-1)))</f>
        <v/>
      </c>
      <c r="V92" s="39">
        <f>IF(Products!$F$16=0,0,Products!$F$35/Products!$F$16*SUMIFS($E$85:$BL$85,Timeline!$E$4:$BL$4,"&gt;="&amp;(V$4-Products!$F$16),Timeline!$E$4:$BL$4,"&lt;="&amp;(V$4-1)))</f>
        <v/>
      </c>
      <c r="W92" s="39">
        <f>IF(Products!$F$16=0,0,Products!$F$35/Products!$F$16*SUMIFS($E$85:$BL$85,Timeline!$E$4:$BL$4,"&gt;="&amp;(W$4-Products!$F$16),Timeline!$E$4:$BL$4,"&lt;="&amp;(W$4-1)))</f>
        <v/>
      </c>
      <c r="X92" s="39">
        <f>IF(Products!$F$16=0,0,Products!$F$35/Products!$F$16*SUMIFS($E$85:$BL$85,Timeline!$E$4:$BL$4,"&gt;="&amp;(X$4-Products!$F$16),Timeline!$E$4:$BL$4,"&lt;="&amp;(X$4-1)))</f>
        <v/>
      </c>
      <c r="Y92" s="39">
        <f>IF(Products!$F$16=0,0,Products!$F$35/Products!$F$16*SUMIFS($E$85:$BL$85,Timeline!$E$4:$BL$4,"&gt;="&amp;(Y$4-Products!$F$16),Timeline!$E$4:$BL$4,"&lt;="&amp;(Y$4-1)))</f>
        <v/>
      </c>
      <c r="Z92" s="39">
        <f>IF(Products!$F$16=0,0,Products!$F$35/Products!$F$16*SUMIFS($E$85:$BL$85,Timeline!$E$4:$BL$4,"&gt;="&amp;(Z$4-Products!$F$16),Timeline!$E$4:$BL$4,"&lt;="&amp;(Z$4-1)))</f>
        <v/>
      </c>
      <c r="AA92" s="39">
        <f>IF(Products!$F$16=0,0,Products!$F$35/Products!$F$16*SUMIFS($E$85:$BL$85,Timeline!$E$4:$BL$4,"&gt;="&amp;(AA$4-Products!$F$16),Timeline!$E$4:$BL$4,"&lt;="&amp;(AA$4-1)))</f>
        <v/>
      </c>
      <c r="AB92" s="39">
        <f>IF(Products!$F$16=0,0,Products!$F$35/Products!$F$16*SUMIFS($E$85:$BL$85,Timeline!$E$4:$BL$4,"&gt;="&amp;(AB$4-Products!$F$16),Timeline!$E$4:$BL$4,"&lt;="&amp;(AB$4-1)))</f>
        <v/>
      </c>
      <c r="AC92" s="39">
        <f>IF(Products!$F$16=0,0,Products!$F$35/Products!$F$16*SUMIFS($E$85:$BL$85,Timeline!$E$4:$BL$4,"&gt;="&amp;(AC$4-Products!$F$16),Timeline!$E$4:$BL$4,"&lt;="&amp;(AC$4-1)))</f>
        <v/>
      </c>
      <c r="AD92" s="39">
        <f>IF(Products!$F$16=0,0,Products!$F$35/Products!$F$16*SUMIFS($E$85:$BL$85,Timeline!$E$4:$BL$4,"&gt;="&amp;(AD$4-Products!$F$16),Timeline!$E$4:$BL$4,"&lt;="&amp;(AD$4-1)))</f>
        <v/>
      </c>
      <c r="AE92" s="39">
        <f>IF(Products!$F$16=0,0,Products!$F$35/Products!$F$16*SUMIFS($E$85:$BL$85,Timeline!$E$4:$BL$4,"&gt;="&amp;(AE$4-Products!$F$16),Timeline!$E$4:$BL$4,"&lt;="&amp;(AE$4-1)))</f>
        <v/>
      </c>
      <c r="AF92" s="39">
        <f>IF(Products!$F$16=0,0,Products!$F$35/Products!$F$16*SUMIFS($E$85:$BL$85,Timeline!$E$4:$BL$4,"&gt;="&amp;(AF$4-Products!$F$16),Timeline!$E$4:$BL$4,"&lt;="&amp;(AF$4-1)))</f>
        <v/>
      </c>
      <c r="AG92" s="39">
        <f>IF(Products!$F$16=0,0,Products!$F$35/Products!$F$16*SUMIFS($E$85:$BL$85,Timeline!$E$4:$BL$4,"&gt;="&amp;(AG$4-Products!$F$16),Timeline!$E$4:$BL$4,"&lt;="&amp;(AG$4-1)))</f>
        <v/>
      </c>
      <c r="AH92" s="39">
        <f>IF(Products!$F$16=0,0,Products!$F$35/Products!$F$16*SUMIFS($E$85:$BL$85,Timeline!$E$4:$BL$4,"&gt;="&amp;(AH$4-Products!$F$16),Timeline!$E$4:$BL$4,"&lt;="&amp;(AH$4-1)))</f>
        <v/>
      </c>
      <c r="AI92" s="39">
        <f>IF(Products!$F$16=0,0,Products!$F$35/Products!$F$16*SUMIFS($E$85:$BL$85,Timeline!$E$4:$BL$4,"&gt;="&amp;(AI$4-Products!$F$16),Timeline!$E$4:$BL$4,"&lt;="&amp;(AI$4-1)))</f>
        <v/>
      </c>
      <c r="AJ92" s="39">
        <f>IF(Products!$F$16=0,0,Products!$F$35/Products!$F$16*SUMIFS($E$85:$BL$85,Timeline!$E$4:$BL$4,"&gt;="&amp;(AJ$4-Products!$F$16),Timeline!$E$4:$BL$4,"&lt;="&amp;(AJ$4-1)))</f>
        <v/>
      </c>
      <c r="AK92" s="39">
        <f>IF(Products!$F$16=0,0,Products!$F$35/Products!$F$16*SUMIFS($E$85:$BL$85,Timeline!$E$4:$BL$4,"&gt;="&amp;(AK$4-Products!$F$16),Timeline!$E$4:$BL$4,"&lt;="&amp;(AK$4-1)))</f>
        <v/>
      </c>
      <c r="AL92" s="39">
        <f>IF(Products!$F$16=0,0,Products!$F$35/Products!$F$16*SUMIFS($E$85:$BL$85,Timeline!$E$4:$BL$4,"&gt;="&amp;(AL$4-Products!$F$16),Timeline!$E$4:$BL$4,"&lt;="&amp;(AL$4-1)))</f>
        <v/>
      </c>
      <c r="AM92" s="39">
        <f>IF(Products!$F$16=0,0,Products!$F$35/Products!$F$16*SUMIFS($E$85:$BL$85,Timeline!$E$4:$BL$4,"&gt;="&amp;(AM$4-Products!$F$16),Timeline!$E$4:$BL$4,"&lt;="&amp;(AM$4-1)))</f>
        <v/>
      </c>
      <c r="AN92" s="39">
        <f>IF(Products!$F$16=0,0,Products!$F$35/Products!$F$16*SUMIFS($E$85:$BL$85,Timeline!$E$4:$BL$4,"&gt;="&amp;(AN$4-Products!$F$16),Timeline!$E$4:$BL$4,"&lt;="&amp;(AN$4-1)))</f>
        <v/>
      </c>
      <c r="AO92" s="39">
        <f>IF(Products!$F$16=0,0,Products!$F$35/Products!$F$16*SUMIFS($E$85:$BL$85,Timeline!$E$4:$BL$4,"&gt;="&amp;(AO$4-Products!$F$16),Timeline!$E$4:$BL$4,"&lt;="&amp;(AO$4-1)))</f>
        <v/>
      </c>
      <c r="AP92" s="39">
        <f>IF(Products!$F$16=0,0,Products!$F$35/Products!$F$16*SUMIFS($E$85:$BL$85,Timeline!$E$4:$BL$4,"&gt;="&amp;(AP$4-Products!$F$16),Timeline!$E$4:$BL$4,"&lt;="&amp;(AP$4-1)))</f>
        <v/>
      </c>
      <c r="AQ92" s="39">
        <f>IF(Products!$F$16=0,0,Products!$F$35/Products!$F$16*SUMIFS($E$85:$BL$85,Timeline!$E$4:$BL$4,"&gt;="&amp;(AQ$4-Products!$F$16),Timeline!$E$4:$BL$4,"&lt;="&amp;(AQ$4-1)))</f>
        <v/>
      </c>
      <c r="AR92" s="39">
        <f>IF(Products!$F$16=0,0,Products!$F$35/Products!$F$16*SUMIFS($E$85:$BL$85,Timeline!$E$4:$BL$4,"&gt;="&amp;(AR$4-Products!$F$16),Timeline!$E$4:$BL$4,"&lt;="&amp;(AR$4-1)))</f>
        <v/>
      </c>
      <c r="AS92" s="39">
        <f>IF(Products!$F$16=0,0,Products!$F$35/Products!$F$16*SUMIFS($E$85:$BL$85,Timeline!$E$4:$BL$4,"&gt;="&amp;(AS$4-Products!$F$16),Timeline!$E$4:$BL$4,"&lt;="&amp;(AS$4-1)))</f>
        <v/>
      </c>
      <c r="AT92" s="39">
        <f>IF(Products!$F$16=0,0,Products!$F$35/Products!$F$16*SUMIFS($E$85:$BL$85,Timeline!$E$4:$BL$4,"&gt;="&amp;(AT$4-Products!$F$16),Timeline!$E$4:$BL$4,"&lt;="&amp;(AT$4-1)))</f>
        <v/>
      </c>
      <c r="AU92" s="39">
        <f>IF(Products!$F$16=0,0,Products!$F$35/Products!$F$16*SUMIFS($E$85:$BL$85,Timeline!$E$4:$BL$4,"&gt;="&amp;(AU$4-Products!$F$16),Timeline!$E$4:$BL$4,"&lt;="&amp;(AU$4-1)))</f>
        <v/>
      </c>
      <c r="AV92" s="39">
        <f>IF(Products!$F$16=0,0,Products!$F$35/Products!$F$16*SUMIFS($E$85:$BL$85,Timeline!$E$4:$BL$4,"&gt;="&amp;(AV$4-Products!$F$16),Timeline!$E$4:$BL$4,"&lt;="&amp;(AV$4-1)))</f>
        <v/>
      </c>
      <c r="AW92" s="39">
        <f>IF(Products!$F$16=0,0,Products!$F$35/Products!$F$16*SUMIFS($E$85:$BL$85,Timeline!$E$4:$BL$4,"&gt;="&amp;(AW$4-Products!$F$16),Timeline!$E$4:$BL$4,"&lt;="&amp;(AW$4-1)))</f>
        <v/>
      </c>
      <c r="AX92" s="39">
        <f>IF(Products!$F$16=0,0,Products!$F$35/Products!$F$16*SUMIFS($E$85:$BL$85,Timeline!$E$4:$BL$4,"&gt;="&amp;(AX$4-Products!$F$16),Timeline!$E$4:$BL$4,"&lt;="&amp;(AX$4-1)))</f>
        <v/>
      </c>
      <c r="AY92" s="39">
        <f>IF(Products!$F$16=0,0,Products!$F$35/Products!$F$16*SUMIFS($E$85:$BL$85,Timeline!$E$4:$BL$4,"&gt;="&amp;(AY$4-Products!$F$16),Timeline!$E$4:$BL$4,"&lt;="&amp;(AY$4-1)))</f>
        <v/>
      </c>
      <c r="AZ92" s="39">
        <f>IF(Products!$F$16=0,0,Products!$F$35/Products!$F$16*SUMIFS($E$85:$BL$85,Timeline!$E$4:$BL$4,"&gt;="&amp;(AZ$4-Products!$F$16),Timeline!$E$4:$BL$4,"&lt;="&amp;(AZ$4-1)))</f>
        <v/>
      </c>
      <c r="BA92" s="39">
        <f>IF(Products!$F$16=0,0,Products!$F$35/Products!$F$16*SUMIFS($E$85:$BL$85,Timeline!$E$4:$BL$4,"&gt;="&amp;(BA$4-Products!$F$16),Timeline!$E$4:$BL$4,"&lt;="&amp;(BA$4-1)))</f>
        <v/>
      </c>
      <c r="BB92" s="39">
        <f>IF(Products!$F$16=0,0,Products!$F$35/Products!$F$16*SUMIFS($E$85:$BL$85,Timeline!$E$4:$BL$4,"&gt;="&amp;(BB$4-Products!$F$16),Timeline!$E$4:$BL$4,"&lt;="&amp;(BB$4-1)))</f>
        <v/>
      </c>
      <c r="BC92" s="39">
        <f>IF(Products!$F$16=0,0,Products!$F$35/Products!$F$16*SUMIFS($E$85:$BL$85,Timeline!$E$4:$BL$4,"&gt;="&amp;(BC$4-Products!$F$16),Timeline!$E$4:$BL$4,"&lt;="&amp;(BC$4-1)))</f>
        <v/>
      </c>
      <c r="BD92" s="39">
        <f>IF(Products!$F$16=0,0,Products!$F$35/Products!$F$16*SUMIFS($E$85:$BL$85,Timeline!$E$4:$BL$4,"&gt;="&amp;(BD$4-Products!$F$16),Timeline!$E$4:$BL$4,"&lt;="&amp;(BD$4-1)))</f>
        <v/>
      </c>
      <c r="BE92" s="39">
        <f>IF(Products!$F$16=0,0,Products!$F$35/Products!$F$16*SUMIFS($E$85:$BL$85,Timeline!$E$4:$BL$4,"&gt;="&amp;(BE$4-Products!$F$16),Timeline!$E$4:$BL$4,"&lt;="&amp;(BE$4-1)))</f>
        <v/>
      </c>
      <c r="BF92" s="39">
        <f>IF(Products!$F$16=0,0,Products!$F$35/Products!$F$16*SUMIFS($E$85:$BL$85,Timeline!$E$4:$BL$4,"&gt;="&amp;(BF$4-Products!$F$16),Timeline!$E$4:$BL$4,"&lt;="&amp;(BF$4-1)))</f>
        <v/>
      </c>
      <c r="BG92" s="39">
        <f>IF(Products!$F$16=0,0,Products!$F$35/Products!$F$16*SUMIFS($E$85:$BL$85,Timeline!$E$4:$BL$4,"&gt;="&amp;(BG$4-Products!$F$16),Timeline!$E$4:$BL$4,"&lt;="&amp;(BG$4-1)))</f>
        <v/>
      </c>
      <c r="BH92" s="39">
        <f>IF(Products!$F$16=0,0,Products!$F$35/Products!$F$16*SUMIFS($E$85:$BL$85,Timeline!$E$4:$BL$4,"&gt;="&amp;(BH$4-Products!$F$16),Timeline!$E$4:$BL$4,"&lt;="&amp;(BH$4-1)))</f>
        <v/>
      </c>
      <c r="BI92" s="39">
        <f>IF(Products!$F$16=0,0,Products!$F$35/Products!$F$16*SUMIFS($E$85:$BL$85,Timeline!$E$4:$BL$4,"&gt;="&amp;(BI$4-Products!$F$16),Timeline!$E$4:$BL$4,"&lt;="&amp;(BI$4-1)))</f>
        <v/>
      </c>
      <c r="BJ92" s="39">
        <f>IF(Products!$F$16=0,0,Products!$F$35/Products!$F$16*SUMIFS($E$85:$BL$85,Timeline!$E$4:$BL$4,"&gt;="&amp;(BJ$4-Products!$F$16),Timeline!$E$4:$BL$4,"&lt;="&amp;(BJ$4-1)))</f>
        <v/>
      </c>
      <c r="BK92" s="39">
        <f>IF(Products!$F$16=0,0,Products!$F$35/Products!$F$16*SUMIFS($E$85:$BL$85,Timeline!$E$4:$BL$4,"&gt;="&amp;(BK$4-Products!$F$16),Timeline!$E$4:$BL$4,"&lt;="&amp;(BK$4-1)))</f>
        <v/>
      </c>
      <c r="BL92" s="39">
        <f>IF(Products!$F$16=0,0,Products!$F$35/Products!$F$16*SUMIFS($E$85:$BL$85,Timeline!$E$4:$BL$4,"&gt;="&amp;(BL$4-Products!$F$16),Timeline!$E$4:$BL$4,"&lt;="&amp;(BL$4-1)))</f>
        <v/>
      </c>
    </row>
    <row r="93">
      <c r="A93" s="55" t="inlineStr">
        <is>
          <t>Expected credit loss charged at origination</t>
        </is>
      </c>
      <c r="B93" s="26" t="inlineStr">
        <is>
          <t>LCY</t>
        </is>
      </c>
      <c r="C93" s="58">
        <f>SUM(E93:BL93)</f>
        <v/>
      </c>
      <c r="E93" s="39">
        <f>E85*Curves!$AO$70</f>
        <v/>
      </c>
      <c r="F93" s="39">
        <f>F85*Curves!$AO$70</f>
        <v/>
      </c>
      <c r="G93" s="39">
        <f>G85*Curves!$AO$70</f>
        <v/>
      </c>
      <c r="H93" s="39">
        <f>H85*Curves!$AO$70</f>
        <v/>
      </c>
      <c r="I93" s="39">
        <f>I85*Curves!$AO$70</f>
        <v/>
      </c>
      <c r="J93" s="39">
        <f>J85*Curves!$AO$70</f>
        <v/>
      </c>
      <c r="K93" s="39">
        <f>K85*Curves!$AO$70</f>
        <v/>
      </c>
      <c r="L93" s="39">
        <f>L85*Curves!$AO$70</f>
        <v/>
      </c>
      <c r="M93" s="39">
        <f>M85*Curves!$AO$70</f>
        <v/>
      </c>
      <c r="N93" s="39">
        <f>N85*Curves!$AO$70</f>
        <v/>
      </c>
      <c r="O93" s="39">
        <f>O85*Curves!$AO$70</f>
        <v/>
      </c>
      <c r="P93" s="39">
        <f>P85*Curves!$AO$70</f>
        <v/>
      </c>
      <c r="Q93" s="39">
        <f>Q85*Curves!$AO$70</f>
        <v/>
      </c>
      <c r="R93" s="39">
        <f>R85*Curves!$AO$70</f>
        <v/>
      </c>
      <c r="S93" s="39">
        <f>S85*Curves!$AO$70</f>
        <v/>
      </c>
      <c r="T93" s="39">
        <f>T85*Curves!$AO$70</f>
        <v/>
      </c>
      <c r="U93" s="39">
        <f>U85*Curves!$AO$70</f>
        <v/>
      </c>
      <c r="V93" s="39">
        <f>V85*Curves!$AO$70</f>
        <v/>
      </c>
      <c r="W93" s="39">
        <f>W85*Curves!$AO$70</f>
        <v/>
      </c>
      <c r="X93" s="39">
        <f>X85*Curves!$AO$70</f>
        <v/>
      </c>
      <c r="Y93" s="39">
        <f>Y85*Curves!$AO$70</f>
        <v/>
      </c>
      <c r="Z93" s="39">
        <f>Z85*Curves!$AO$70</f>
        <v/>
      </c>
      <c r="AA93" s="39">
        <f>AA85*Curves!$AO$70</f>
        <v/>
      </c>
      <c r="AB93" s="39">
        <f>AB85*Curves!$AO$70</f>
        <v/>
      </c>
      <c r="AC93" s="39">
        <f>AC85*Curves!$AO$70</f>
        <v/>
      </c>
      <c r="AD93" s="39">
        <f>AD85*Curves!$AO$70</f>
        <v/>
      </c>
      <c r="AE93" s="39">
        <f>AE85*Curves!$AO$70</f>
        <v/>
      </c>
      <c r="AF93" s="39">
        <f>AF85*Curves!$AO$70</f>
        <v/>
      </c>
      <c r="AG93" s="39">
        <f>AG85*Curves!$AO$70</f>
        <v/>
      </c>
      <c r="AH93" s="39">
        <f>AH85*Curves!$AO$70</f>
        <v/>
      </c>
      <c r="AI93" s="39">
        <f>AI85*Curves!$AO$70</f>
        <v/>
      </c>
      <c r="AJ93" s="39">
        <f>AJ85*Curves!$AO$70</f>
        <v/>
      </c>
      <c r="AK93" s="39">
        <f>AK85*Curves!$AO$70</f>
        <v/>
      </c>
      <c r="AL93" s="39">
        <f>AL85*Curves!$AO$70</f>
        <v/>
      </c>
      <c r="AM93" s="39">
        <f>AM85*Curves!$AO$70</f>
        <v/>
      </c>
      <c r="AN93" s="39">
        <f>AN85*Curves!$AO$70</f>
        <v/>
      </c>
      <c r="AO93" s="39">
        <f>AO85*Curves!$AO$70</f>
        <v/>
      </c>
      <c r="AP93" s="39">
        <f>AP85*Curves!$AO$70</f>
        <v/>
      </c>
      <c r="AQ93" s="39">
        <f>AQ85*Curves!$AO$70</f>
        <v/>
      </c>
      <c r="AR93" s="39">
        <f>AR85*Curves!$AO$70</f>
        <v/>
      </c>
      <c r="AS93" s="39">
        <f>AS85*Curves!$AO$70</f>
        <v/>
      </c>
      <c r="AT93" s="39">
        <f>AT85*Curves!$AO$70</f>
        <v/>
      </c>
      <c r="AU93" s="39">
        <f>AU85*Curves!$AO$70</f>
        <v/>
      </c>
      <c r="AV93" s="39">
        <f>AV85*Curves!$AO$70</f>
        <v/>
      </c>
      <c r="AW93" s="39">
        <f>AW85*Curves!$AO$70</f>
        <v/>
      </c>
      <c r="AX93" s="39">
        <f>AX85*Curves!$AO$70</f>
        <v/>
      </c>
      <c r="AY93" s="39">
        <f>AY85*Curves!$AO$70</f>
        <v/>
      </c>
      <c r="AZ93" s="39">
        <f>AZ85*Curves!$AO$70</f>
        <v/>
      </c>
      <c r="BA93" s="39">
        <f>BA85*Curves!$AO$70</f>
        <v/>
      </c>
      <c r="BB93" s="39">
        <f>BB85*Curves!$AO$70</f>
        <v/>
      </c>
      <c r="BC93" s="39">
        <f>BC85*Curves!$AO$70</f>
        <v/>
      </c>
      <c r="BD93" s="39">
        <f>BD85*Curves!$AO$70</f>
        <v/>
      </c>
      <c r="BE93" s="39">
        <f>BE85*Curves!$AO$70</f>
        <v/>
      </c>
      <c r="BF93" s="39">
        <f>BF85*Curves!$AO$70</f>
        <v/>
      </c>
      <c r="BG93" s="39">
        <f>BG85*Curves!$AO$70</f>
        <v/>
      </c>
      <c r="BH93" s="39">
        <f>BH85*Curves!$AO$70</f>
        <v/>
      </c>
      <c r="BI93" s="39">
        <f>BI85*Curves!$AO$70</f>
        <v/>
      </c>
      <c r="BJ93" s="39">
        <f>BJ85*Curves!$AO$70</f>
        <v/>
      </c>
      <c r="BK93" s="39">
        <f>BK85*Curves!$AO$70</f>
        <v/>
      </c>
      <c r="BL93" s="39">
        <f>BL85*Curves!$AO$70</f>
        <v/>
      </c>
    </row>
    <row r="94">
      <c r="A94" s="55" t="inlineStr">
        <is>
          <t>Recoveries from resale of repossessed units</t>
        </is>
      </c>
      <c r="B94" s="26" t="inlineStr">
        <is>
          <t>LCY</t>
        </is>
      </c>
      <c r="C94" s="58">
        <f>SUM(E94:BL94)</f>
        <v/>
      </c>
      <c r="E94" s="17">
        <f>Cohort_T4!E$198</f>
        <v/>
      </c>
      <c r="F94" s="17">
        <f>Cohort_T4!F$198</f>
        <v/>
      </c>
      <c r="G94" s="17">
        <f>Cohort_T4!G$198</f>
        <v/>
      </c>
      <c r="H94" s="17">
        <f>Cohort_T4!H$198</f>
        <v/>
      </c>
      <c r="I94" s="17">
        <f>Cohort_T4!I$198</f>
        <v/>
      </c>
      <c r="J94" s="17">
        <f>Cohort_T4!J$198</f>
        <v/>
      </c>
      <c r="K94" s="17">
        <f>Cohort_T4!K$198</f>
        <v/>
      </c>
      <c r="L94" s="17">
        <f>Cohort_T4!L$198</f>
        <v/>
      </c>
      <c r="M94" s="17">
        <f>Cohort_T4!M$198</f>
        <v/>
      </c>
      <c r="N94" s="17">
        <f>Cohort_T4!N$198</f>
        <v/>
      </c>
      <c r="O94" s="17">
        <f>Cohort_T4!O$198</f>
        <v/>
      </c>
      <c r="P94" s="17">
        <f>Cohort_T4!P$198</f>
        <v/>
      </c>
      <c r="Q94" s="17">
        <f>Cohort_T4!Q$198</f>
        <v/>
      </c>
      <c r="R94" s="17">
        <f>Cohort_T4!R$198</f>
        <v/>
      </c>
      <c r="S94" s="17">
        <f>Cohort_T4!S$198</f>
        <v/>
      </c>
      <c r="T94" s="17">
        <f>Cohort_T4!T$198</f>
        <v/>
      </c>
      <c r="U94" s="17">
        <f>Cohort_T4!U$198</f>
        <v/>
      </c>
      <c r="V94" s="17">
        <f>Cohort_T4!V$198</f>
        <v/>
      </c>
      <c r="W94" s="17">
        <f>Cohort_T4!W$198</f>
        <v/>
      </c>
      <c r="X94" s="17">
        <f>Cohort_T4!X$198</f>
        <v/>
      </c>
      <c r="Y94" s="17">
        <f>Cohort_T4!Y$198</f>
        <v/>
      </c>
      <c r="Z94" s="17">
        <f>Cohort_T4!Z$198</f>
        <v/>
      </c>
      <c r="AA94" s="17">
        <f>Cohort_T4!AA$198</f>
        <v/>
      </c>
      <c r="AB94" s="17">
        <f>Cohort_T4!AB$198</f>
        <v/>
      </c>
      <c r="AC94" s="17">
        <f>Cohort_T4!AC$198</f>
        <v/>
      </c>
      <c r="AD94" s="17">
        <f>Cohort_T4!AD$198</f>
        <v/>
      </c>
      <c r="AE94" s="17">
        <f>Cohort_T4!AE$198</f>
        <v/>
      </c>
      <c r="AF94" s="17">
        <f>Cohort_T4!AF$198</f>
        <v/>
      </c>
      <c r="AG94" s="17">
        <f>Cohort_T4!AG$198</f>
        <v/>
      </c>
      <c r="AH94" s="17">
        <f>Cohort_T4!AH$198</f>
        <v/>
      </c>
      <c r="AI94" s="17">
        <f>Cohort_T4!AI$198</f>
        <v/>
      </c>
      <c r="AJ94" s="17">
        <f>Cohort_T4!AJ$198</f>
        <v/>
      </c>
      <c r="AK94" s="17">
        <f>Cohort_T4!AK$198</f>
        <v/>
      </c>
      <c r="AL94" s="17">
        <f>Cohort_T4!AL$198</f>
        <v/>
      </c>
      <c r="AM94" s="17">
        <f>Cohort_T4!AM$198</f>
        <v/>
      </c>
      <c r="AN94" s="17">
        <f>Cohort_T4!AN$198</f>
        <v/>
      </c>
      <c r="AO94" s="17">
        <f>Cohort_T4!AO$198</f>
        <v/>
      </c>
      <c r="AP94" s="17">
        <f>Cohort_T4!AP$198</f>
        <v/>
      </c>
      <c r="AQ94" s="17">
        <f>Cohort_T4!AQ$198</f>
        <v/>
      </c>
      <c r="AR94" s="17">
        <f>Cohort_T4!AR$198</f>
        <v/>
      </c>
      <c r="AS94" s="17">
        <f>Cohort_T4!AS$198</f>
        <v/>
      </c>
      <c r="AT94" s="17">
        <f>Cohort_T4!AT$198</f>
        <v/>
      </c>
      <c r="AU94" s="17">
        <f>Cohort_T4!AU$198</f>
        <v/>
      </c>
      <c r="AV94" s="17">
        <f>Cohort_T4!AV$198</f>
        <v/>
      </c>
      <c r="AW94" s="17">
        <f>Cohort_T4!AW$198</f>
        <v/>
      </c>
      <c r="AX94" s="17">
        <f>Cohort_T4!AX$198</f>
        <v/>
      </c>
      <c r="AY94" s="17">
        <f>Cohort_T4!AY$198</f>
        <v/>
      </c>
      <c r="AZ94" s="17">
        <f>Cohort_T4!AZ$198</f>
        <v/>
      </c>
      <c r="BA94" s="17">
        <f>Cohort_T4!BA$198</f>
        <v/>
      </c>
      <c r="BB94" s="17">
        <f>Cohort_T4!BB$198</f>
        <v/>
      </c>
      <c r="BC94" s="17">
        <f>Cohort_T4!BC$198</f>
        <v/>
      </c>
      <c r="BD94" s="17">
        <f>Cohort_T4!BD$198</f>
        <v/>
      </c>
      <c r="BE94" s="17">
        <f>Cohort_T4!BE$198</f>
        <v/>
      </c>
      <c r="BF94" s="17">
        <f>Cohort_T4!BF$198</f>
        <v/>
      </c>
      <c r="BG94" s="17">
        <f>Cohort_T4!BG$198</f>
        <v/>
      </c>
      <c r="BH94" s="17">
        <f>Cohort_T4!BH$198</f>
        <v/>
      </c>
      <c r="BI94" s="17">
        <f>Cohort_T4!BI$198</f>
        <v/>
      </c>
      <c r="BJ94" s="17">
        <f>Cohort_T4!BJ$198</f>
        <v/>
      </c>
      <c r="BK94" s="17">
        <f>Cohort_T4!BK$198</f>
        <v/>
      </c>
      <c r="BL94" s="17">
        <f>Cohort_T4!BL$198</f>
        <v/>
      </c>
    </row>
    <row r="95">
      <c r="A95" s="55" t="inlineStr">
        <is>
          <t>RBF received</t>
        </is>
      </c>
      <c r="B95" s="26" t="inlineStr">
        <is>
          <t>LCY</t>
        </is>
      </c>
      <c r="C95" s="58">
        <f>SUM(E95:BL95)</f>
        <v/>
      </c>
      <c r="E95" s="39">
        <f>IF(E$4-Inputs!$C$33&gt;=1,INDEX($E$84:$BL$84,1,E$4-Inputs!$C$33),0)*Products!$F$30*Timeline!E$8*Inputs!$C$32</f>
        <v/>
      </c>
      <c r="F95" s="39">
        <f>IF(F$4-Inputs!$C$33&gt;=1,INDEX($E$84:$BL$84,1,F$4-Inputs!$C$33),0)*Products!$F$30*Timeline!F$8*Inputs!$C$32</f>
        <v/>
      </c>
      <c r="G95" s="39">
        <f>IF(G$4-Inputs!$C$33&gt;=1,INDEX($E$84:$BL$84,1,G$4-Inputs!$C$33),0)*Products!$F$30*Timeline!G$8*Inputs!$C$32</f>
        <v/>
      </c>
      <c r="H95" s="39">
        <f>IF(H$4-Inputs!$C$33&gt;=1,INDEX($E$84:$BL$84,1,H$4-Inputs!$C$33),0)*Products!$F$30*Timeline!H$8*Inputs!$C$32</f>
        <v/>
      </c>
      <c r="I95" s="39">
        <f>IF(I$4-Inputs!$C$33&gt;=1,INDEX($E$84:$BL$84,1,I$4-Inputs!$C$33),0)*Products!$F$30*Timeline!I$8*Inputs!$C$32</f>
        <v/>
      </c>
      <c r="J95" s="39">
        <f>IF(J$4-Inputs!$C$33&gt;=1,INDEX($E$84:$BL$84,1,J$4-Inputs!$C$33),0)*Products!$F$30*Timeline!J$8*Inputs!$C$32</f>
        <v/>
      </c>
      <c r="K95" s="39">
        <f>IF(K$4-Inputs!$C$33&gt;=1,INDEX($E$84:$BL$84,1,K$4-Inputs!$C$33),0)*Products!$F$30*Timeline!K$8*Inputs!$C$32</f>
        <v/>
      </c>
      <c r="L95" s="39">
        <f>IF(L$4-Inputs!$C$33&gt;=1,INDEX($E$84:$BL$84,1,L$4-Inputs!$C$33),0)*Products!$F$30*Timeline!L$8*Inputs!$C$32</f>
        <v/>
      </c>
      <c r="M95" s="39">
        <f>IF(M$4-Inputs!$C$33&gt;=1,INDEX($E$84:$BL$84,1,M$4-Inputs!$C$33),0)*Products!$F$30*Timeline!M$8*Inputs!$C$32</f>
        <v/>
      </c>
      <c r="N95" s="39">
        <f>IF(N$4-Inputs!$C$33&gt;=1,INDEX($E$84:$BL$84,1,N$4-Inputs!$C$33),0)*Products!$F$30*Timeline!N$8*Inputs!$C$32</f>
        <v/>
      </c>
      <c r="O95" s="39">
        <f>IF(O$4-Inputs!$C$33&gt;=1,INDEX($E$84:$BL$84,1,O$4-Inputs!$C$33),0)*Products!$F$30*Timeline!O$8*Inputs!$C$32</f>
        <v/>
      </c>
      <c r="P95" s="39">
        <f>IF(P$4-Inputs!$C$33&gt;=1,INDEX($E$84:$BL$84,1,P$4-Inputs!$C$33),0)*Products!$F$30*Timeline!P$8*Inputs!$C$32</f>
        <v/>
      </c>
      <c r="Q95" s="39">
        <f>IF(Q$4-Inputs!$C$33&gt;=1,INDEX($E$84:$BL$84,1,Q$4-Inputs!$C$33),0)*Products!$F$30*Timeline!Q$8*Inputs!$C$32</f>
        <v/>
      </c>
      <c r="R95" s="39">
        <f>IF(R$4-Inputs!$C$33&gt;=1,INDEX($E$84:$BL$84,1,R$4-Inputs!$C$33),0)*Products!$F$30*Timeline!R$8*Inputs!$C$32</f>
        <v/>
      </c>
      <c r="S95" s="39">
        <f>IF(S$4-Inputs!$C$33&gt;=1,INDEX($E$84:$BL$84,1,S$4-Inputs!$C$33),0)*Products!$F$30*Timeline!S$8*Inputs!$C$32</f>
        <v/>
      </c>
      <c r="T95" s="39">
        <f>IF(T$4-Inputs!$C$33&gt;=1,INDEX($E$84:$BL$84,1,T$4-Inputs!$C$33),0)*Products!$F$30*Timeline!T$8*Inputs!$C$32</f>
        <v/>
      </c>
      <c r="U95" s="39">
        <f>IF(U$4-Inputs!$C$33&gt;=1,INDEX($E$84:$BL$84,1,U$4-Inputs!$C$33),0)*Products!$F$30*Timeline!U$8*Inputs!$C$32</f>
        <v/>
      </c>
      <c r="V95" s="39">
        <f>IF(V$4-Inputs!$C$33&gt;=1,INDEX($E$84:$BL$84,1,V$4-Inputs!$C$33),0)*Products!$F$30*Timeline!V$8*Inputs!$C$32</f>
        <v/>
      </c>
      <c r="W95" s="39">
        <f>IF(W$4-Inputs!$C$33&gt;=1,INDEX($E$84:$BL$84,1,W$4-Inputs!$C$33),0)*Products!$F$30*Timeline!W$8*Inputs!$C$32</f>
        <v/>
      </c>
      <c r="X95" s="39">
        <f>IF(X$4-Inputs!$C$33&gt;=1,INDEX($E$84:$BL$84,1,X$4-Inputs!$C$33),0)*Products!$F$30*Timeline!X$8*Inputs!$C$32</f>
        <v/>
      </c>
      <c r="Y95" s="39">
        <f>IF(Y$4-Inputs!$C$33&gt;=1,INDEX($E$84:$BL$84,1,Y$4-Inputs!$C$33),0)*Products!$F$30*Timeline!Y$8*Inputs!$C$32</f>
        <v/>
      </c>
      <c r="Z95" s="39">
        <f>IF(Z$4-Inputs!$C$33&gt;=1,INDEX($E$84:$BL$84,1,Z$4-Inputs!$C$33),0)*Products!$F$30*Timeline!Z$8*Inputs!$C$32</f>
        <v/>
      </c>
      <c r="AA95" s="39">
        <f>IF(AA$4-Inputs!$C$33&gt;=1,INDEX($E$84:$BL$84,1,AA$4-Inputs!$C$33),0)*Products!$F$30*Timeline!AA$8*Inputs!$C$32</f>
        <v/>
      </c>
      <c r="AB95" s="39">
        <f>IF(AB$4-Inputs!$C$33&gt;=1,INDEX($E$84:$BL$84,1,AB$4-Inputs!$C$33),0)*Products!$F$30*Timeline!AB$8*Inputs!$C$32</f>
        <v/>
      </c>
      <c r="AC95" s="39">
        <f>IF(AC$4-Inputs!$C$33&gt;=1,INDEX($E$84:$BL$84,1,AC$4-Inputs!$C$33),0)*Products!$F$30*Timeline!AC$8*Inputs!$C$32</f>
        <v/>
      </c>
      <c r="AD95" s="39">
        <f>IF(AD$4-Inputs!$C$33&gt;=1,INDEX($E$84:$BL$84,1,AD$4-Inputs!$C$33),0)*Products!$F$30*Timeline!AD$8*Inputs!$C$32</f>
        <v/>
      </c>
      <c r="AE95" s="39">
        <f>IF(AE$4-Inputs!$C$33&gt;=1,INDEX($E$84:$BL$84,1,AE$4-Inputs!$C$33),0)*Products!$F$30*Timeline!AE$8*Inputs!$C$32</f>
        <v/>
      </c>
      <c r="AF95" s="39">
        <f>IF(AF$4-Inputs!$C$33&gt;=1,INDEX($E$84:$BL$84,1,AF$4-Inputs!$C$33),0)*Products!$F$30*Timeline!AF$8*Inputs!$C$32</f>
        <v/>
      </c>
      <c r="AG95" s="39">
        <f>IF(AG$4-Inputs!$C$33&gt;=1,INDEX($E$84:$BL$84,1,AG$4-Inputs!$C$33),0)*Products!$F$30*Timeline!AG$8*Inputs!$C$32</f>
        <v/>
      </c>
      <c r="AH95" s="39">
        <f>IF(AH$4-Inputs!$C$33&gt;=1,INDEX($E$84:$BL$84,1,AH$4-Inputs!$C$33),0)*Products!$F$30*Timeline!AH$8*Inputs!$C$32</f>
        <v/>
      </c>
      <c r="AI95" s="39">
        <f>IF(AI$4-Inputs!$C$33&gt;=1,INDEX($E$84:$BL$84,1,AI$4-Inputs!$C$33),0)*Products!$F$30*Timeline!AI$8*Inputs!$C$32</f>
        <v/>
      </c>
      <c r="AJ95" s="39">
        <f>IF(AJ$4-Inputs!$C$33&gt;=1,INDEX($E$84:$BL$84,1,AJ$4-Inputs!$C$33),0)*Products!$F$30*Timeline!AJ$8*Inputs!$C$32</f>
        <v/>
      </c>
      <c r="AK95" s="39">
        <f>IF(AK$4-Inputs!$C$33&gt;=1,INDEX($E$84:$BL$84,1,AK$4-Inputs!$C$33),0)*Products!$F$30*Timeline!AK$8*Inputs!$C$32</f>
        <v/>
      </c>
      <c r="AL95" s="39">
        <f>IF(AL$4-Inputs!$C$33&gt;=1,INDEX($E$84:$BL$84,1,AL$4-Inputs!$C$33),0)*Products!$F$30*Timeline!AL$8*Inputs!$C$32</f>
        <v/>
      </c>
      <c r="AM95" s="39">
        <f>IF(AM$4-Inputs!$C$33&gt;=1,INDEX($E$84:$BL$84,1,AM$4-Inputs!$C$33),0)*Products!$F$30*Timeline!AM$8*Inputs!$C$32</f>
        <v/>
      </c>
      <c r="AN95" s="39">
        <f>IF(AN$4-Inputs!$C$33&gt;=1,INDEX($E$84:$BL$84,1,AN$4-Inputs!$C$33),0)*Products!$F$30*Timeline!AN$8*Inputs!$C$32</f>
        <v/>
      </c>
      <c r="AO95" s="39">
        <f>IF(AO$4-Inputs!$C$33&gt;=1,INDEX($E$84:$BL$84,1,AO$4-Inputs!$C$33),0)*Products!$F$30*Timeline!AO$8*Inputs!$C$32</f>
        <v/>
      </c>
      <c r="AP95" s="39">
        <f>IF(AP$4-Inputs!$C$33&gt;=1,INDEX($E$84:$BL$84,1,AP$4-Inputs!$C$33),0)*Products!$F$30*Timeline!AP$8*Inputs!$C$32</f>
        <v/>
      </c>
      <c r="AQ95" s="39">
        <f>IF(AQ$4-Inputs!$C$33&gt;=1,INDEX($E$84:$BL$84,1,AQ$4-Inputs!$C$33),0)*Products!$F$30*Timeline!AQ$8*Inputs!$C$32</f>
        <v/>
      </c>
      <c r="AR95" s="39">
        <f>IF(AR$4-Inputs!$C$33&gt;=1,INDEX($E$84:$BL$84,1,AR$4-Inputs!$C$33),0)*Products!$F$30*Timeline!AR$8*Inputs!$C$32</f>
        <v/>
      </c>
      <c r="AS95" s="39">
        <f>IF(AS$4-Inputs!$C$33&gt;=1,INDEX($E$84:$BL$84,1,AS$4-Inputs!$C$33),0)*Products!$F$30*Timeline!AS$8*Inputs!$C$32</f>
        <v/>
      </c>
      <c r="AT95" s="39">
        <f>IF(AT$4-Inputs!$C$33&gt;=1,INDEX($E$84:$BL$84,1,AT$4-Inputs!$C$33),0)*Products!$F$30*Timeline!AT$8*Inputs!$C$32</f>
        <v/>
      </c>
      <c r="AU95" s="39">
        <f>IF(AU$4-Inputs!$C$33&gt;=1,INDEX($E$84:$BL$84,1,AU$4-Inputs!$C$33),0)*Products!$F$30*Timeline!AU$8*Inputs!$C$32</f>
        <v/>
      </c>
      <c r="AV95" s="39">
        <f>IF(AV$4-Inputs!$C$33&gt;=1,INDEX($E$84:$BL$84,1,AV$4-Inputs!$C$33),0)*Products!$F$30*Timeline!AV$8*Inputs!$C$32</f>
        <v/>
      </c>
      <c r="AW95" s="39">
        <f>IF(AW$4-Inputs!$C$33&gt;=1,INDEX($E$84:$BL$84,1,AW$4-Inputs!$C$33),0)*Products!$F$30*Timeline!AW$8*Inputs!$C$32</f>
        <v/>
      </c>
      <c r="AX95" s="39">
        <f>IF(AX$4-Inputs!$C$33&gt;=1,INDEX($E$84:$BL$84,1,AX$4-Inputs!$C$33),0)*Products!$F$30*Timeline!AX$8*Inputs!$C$32</f>
        <v/>
      </c>
      <c r="AY95" s="39">
        <f>IF(AY$4-Inputs!$C$33&gt;=1,INDEX($E$84:$BL$84,1,AY$4-Inputs!$C$33),0)*Products!$F$30*Timeline!AY$8*Inputs!$C$32</f>
        <v/>
      </c>
      <c r="AZ95" s="39">
        <f>IF(AZ$4-Inputs!$C$33&gt;=1,INDEX($E$84:$BL$84,1,AZ$4-Inputs!$C$33),0)*Products!$F$30*Timeline!AZ$8*Inputs!$C$32</f>
        <v/>
      </c>
      <c r="BA95" s="39">
        <f>IF(BA$4-Inputs!$C$33&gt;=1,INDEX($E$84:$BL$84,1,BA$4-Inputs!$C$33),0)*Products!$F$30*Timeline!BA$8*Inputs!$C$32</f>
        <v/>
      </c>
      <c r="BB95" s="39">
        <f>IF(BB$4-Inputs!$C$33&gt;=1,INDEX($E$84:$BL$84,1,BB$4-Inputs!$C$33),0)*Products!$F$30*Timeline!BB$8*Inputs!$C$32</f>
        <v/>
      </c>
      <c r="BC95" s="39">
        <f>IF(BC$4-Inputs!$C$33&gt;=1,INDEX($E$84:$BL$84,1,BC$4-Inputs!$C$33),0)*Products!$F$30*Timeline!BC$8*Inputs!$C$32</f>
        <v/>
      </c>
      <c r="BD95" s="39">
        <f>IF(BD$4-Inputs!$C$33&gt;=1,INDEX($E$84:$BL$84,1,BD$4-Inputs!$C$33),0)*Products!$F$30*Timeline!BD$8*Inputs!$C$32</f>
        <v/>
      </c>
      <c r="BE95" s="39">
        <f>IF(BE$4-Inputs!$C$33&gt;=1,INDEX($E$84:$BL$84,1,BE$4-Inputs!$C$33),0)*Products!$F$30*Timeline!BE$8*Inputs!$C$32</f>
        <v/>
      </c>
      <c r="BF95" s="39">
        <f>IF(BF$4-Inputs!$C$33&gt;=1,INDEX($E$84:$BL$84,1,BF$4-Inputs!$C$33),0)*Products!$F$30*Timeline!BF$8*Inputs!$C$32</f>
        <v/>
      </c>
      <c r="BG95" s="39">
        <f>IF(BG$4-Inputs!$C$33&gt;=1,INDEX($E$84:$BL$84,1,BG$4-Inputs!$C$33),0)*Products!$F$30*Timeline!BG$8*Inputs!$C$32</f>
        <v/>
      </c>
      <c r="BH95" s="39">
        <f>IF(BH$4-Inputs!$C$33&gt;=1,INDEX($E$84:$BL$84,1,BH$4-Inputs!$C$33),0)*Products!$F$30*Timeline!BH$8*Inputs!$C$32</f>
        <v/>
      </c>
      <c r="BI95" s="39">
        <f>IF(BI$4-Inputs!$C$33&gt;=1,INDEX($E$84:$BL$84,1,BI$4-Inputs!$C$33),0)*Products!$F$30*Timeline!BI$8*Inputs!$C$32</f>
        <v/>
      </c>
      <c r="BJ95" s="39">
        <f>IF(BJ$4-Inputs!$C$33&gt;=1,INDEX($E$84:$BL$84,1,BJ$4-Inputs!$C$33),0)*Products!$F$30*Timeline!BJ$8*Inputs!$C$32</f>
        <v/>
      </c>
      <c r="BK95" s="39">
        <f>IF(BK$4-Inputs!$C$33&gt;=1,INDEX($E$84:$BL$84,1,BK$4-Inputs!$C$33),0)*Products!$F$30*Timeline!BK$8*Inputs!$C$32</f>
        <v/>
      </c>
      <c r="BL95" s="39">
        <f>IF(BL$4-Inputs!$C$33&gt;=1,INDEX($E$84:$BL$84,1,BL$4-Inputs!$C$33),0)*Products!$F$30*Timeline!BL$8*Inputs!$C$32</f>
        <v/>
      </c>
    </row>
    <row r="96">
      <c r="A96" s="55" t="inlineStr">
        <is>
          <t>Active (paying, in-tenor) accounts</t>
        </is>
      </c>
      <c r="B96" s="26" t="inlineStr">
        <is>
          <t>accounts</t>
        </is>
      </c>
      <c r="C96" s="58">
        <f>BL96</f>
        <v/>
      </c>
      <c r="E96" s="17">
        <f>Cohort_T4!E$72</f>
        <v/>
      </c>
      <c r="F96" s="17">
        <f>Cohort_T4!F$72</f>
        <v/>
      </c>
      <c r="G96" s="17">
        <f>Cohort_T4!G$72</f>
        <v/>
      </c>
      <c r="H96" s="17">
        <f>Cohort_T4!H$72</f>
        <v/>
      </c>
      <c r="I96" s="17">
        <f>Cohort_T4!I$72</f>
        <v/>
      </c>
      <c r="J96" s="17">
        <f>Cohort_T4!J$72</f>
        <v/>
      </c>
      <c r="K96" s="17">
        <f>Cohort_T4!K$72</f>
        <v/>
      </c>
      <c r="L96" s="17">
        <f>Cohort_T4!L$72</f>
        <v/>
      </c>
      <c r="M96" s="17">
        <f>Cohort_T4!M$72</f>
        <v/>
      </c>
      <c r="N96" s="17">
        <f>Cohort_T4!N$72</f>
        <v/>
      </c>
      <c r="O96" s="17">
        <f>Cohort_T4!O$72</f>
        <v/>
      </c>
      <c r="P96" s="17">
        <f>Cohort_T4!P$72</f>
        <v/>
      </c>
      <c r="Q96" s="17">
        <f>Cohort_T4!Q$72</f>
        <v/>
      </c>
      <c r="R96" s="17">
        <f>Cohort_T4!R$72</f>
        <v/>
      </c>
      <c r="S96" s="17">
        <f>Cohort_T4!S$72</f>
        <v/>
      </c>
      <c r="T96" s="17">
        <f>Cohort_T4!T$72</f>
        <v/>
      </c>
      <c r="U96" s="17">
        <f>Cohort_T4!U$72</f>
        <v/>
      </c>
      <c r="V96" s="17">
        <f>Cohort_T4!V$72</f>
        <v/>
      </c>
      <c r="W96" s="17">
        <f>Cohort_T4!W$72</f>
        <v/>
      </c>
      <c r="X96" s="17">
        <f>Cohort_T4!X$72</f>
        <v/>
      </c>
      <c r="Y96" s="17">
        <f>Cohort_T4!Y$72</f>
        <v/>
      </c>
      <c r="Z96" s="17">
        <f>Cohort_T4!Z$72</f>
        <v/>
      </c>
      <c r="AA96" s="17">
        <f>Cohort_T4!AA$72</f>
        <v/>
      </c>
      <c r="AB96" s="17">
        <f>Cohort_T4!AB$72</f>
        <v/>
      </c>
      <c r="AC96" s="17">
        <f>Cohort_T4!AC$72</f>
        <v/>
      </c>
      <c r="AD96" s="17">
        <f>Cohort_T4!AD$72</f>
        <v/>
      </c>
      <c r="AE96" s="17">
        <f>Cohort_T4!AE$72</f>
        <v/>
      </c>
      <c r="AF96" s="17">
        <f>Cohort_T4!AF$72</f>
        <v/>
      </c>
      <c r="AG96" s="17">
        <f>Cohort_T4!AG$72</f>
        <v/>
      </c>
      <c r="AH96" s="17">
        <f>Cohort_T4!AH$72</f>
        <v/>
      </c>
      <c r="AI96" s="17">
        <f>Cohort_T4!AI$72</f>
        <v/>
      </c>
      <c r="AJ96" s="17">
        <f>Cohort_T4!AJ$72</f>
        <v/>
      </c>
      <c r="AK96" s="17">
        <f>Cohort_T4!AK$72</f>
        <v/>
      </c>
      <c r="AL96" s="17">
        <f>Cohort_T4!AL$72</f>
        <v/>
      </c>
      <c r="AM96" s="17">
        <f>Cohort_T4!AM$72</f>
        <v/>
      </c>
      <c r="AN96" s="17">
        <f>Cohort_T4!AN$72</f>
        <v/>
      </c>
      <c r="AO96" s="17">
        <f>Cohort_T4!AO$72</f>
        <v/>
      </c>
      <c r="AP96" s="17">
        <f>Cohort_T4!AP$72</f>
        <v/>
      </c>
      <c r="AQ96" s="17">
        <f>Cohort_T4!AQ$72</f>
        <v/>
      </c>
      <c r="AR96" s="17">
        <f>Cohort_T4!AR$72</f>
        <v/>
      </c>
      <c r="AS96" s="17">
        <f>Cohort_T4!AS$72</f>
        <v/>
      </c>
      <c r="AT96" s="17">
        <f>Cohort_T4!AT$72</f>
        <v/>
      </c>
      <c r="AU96" s="17">
        <f>Cohort_T4!AU$72</f>
        <v/>
      </c>
      <c r="AV96" s="17">
        <f>Cohort_T4!AV$72</f>
        <v/>
      </c>
      <c r="AW96" s="17">
        <f>Cohort_T4!AW$72</f>
        <v/>
      </c>
      <c r="AX96" s="17">
        <f>Cohort_T4!AX$72</f>
        <v/>
      </c>
      <c r="AY96" s="17">
        <f>Cohort_T4!AY$72</f>
        <v/>
      </c>
      <c r="AZ96" s="17">
        <f>Cohort_T4!AZ$72</f>
        <v/>
      </c>
      <c r="BA96" s="17">
        <f>Cohort_T4!BA$72</f>
        <v/>
      </c>
      <c r="BB96" s="17">
        <f>Cohort_T4!BB$72</f>
        <v/>
      </c>
      <c r="BC96" s="17">
        <f>Cohort_T4!BC$72</f>
        <v/>
      </c>
      <c r="BD96" s="17">
        <f>Cohort_T4!BD$72</f>
        <v/>
      </c>
      <c r="BE96" s="17">
        <f>Cohort_T4!BE$72</f>
        <v/>
      </c>
      <c r="BF96" s="17">
        <f>Cohort_T4!BF$72</f>
        <v/>
      </c>
      <c r="BG96" s="17">
        <f>Cohort_T4!BG$72</f>
        <v/>
      </c>
      <c r="BH96" s="17">
        <f>Cohort_T4!BH$72</f>
        <v/>
      </c>
      <c r="BI96" s="17">
        <f>Cohort_T4!BI$72</f>
        <v/>
      </c>
      <c r="BJ96" s="17">
        <f>Cohort_T4!BJ$72</f>
        <v/>
      </c>
      <c r="BK96" s="17">
        <f>Cohort_T4!BK$72</f>
        <v/>
      </c>
      <c r="BL96" s="17">
        <f>Cohort_T4!BL$72</f>
        <v/>
      </c>
    </row>
    <row r="97">
      <c r="A97" s="55" t="inlineStr">
        <is>
          <t>Accounts reaching end of tenor (unlocked)</t>
        </is>
      </c>
      <c r="B97" s="26" t="inlineStr">
        <is>
          <t>accounts</t>
        </is>
      </c>
      <c r="C97" s="58">
        <f>SUM(E97:BL97)</f>
        <v/>
      </c>
      <c r="E97" s="39">
        <f>IF(E$4&gt;Products!$F$16,INDEX($E$84:$BL$84,1,E$4-Products!$F$16)*INDEX(Curves!$AL$8:$AL$68,Products!$F$16+1),0)</f>
        <v/>
      </c>
      <c r="F97" s="39">
        <f>IF(F$4&gt;Products!$F$16,INDEX($E$84:$BL$84,1,F$4-Products!$F$16)*INDEX(Curves!$AL$8:$AL$68,Products!$F$16+1),0)</f>
        <v/>
      </c>
      <c r="G97" s="39">
        <f>IF(G$4&gt;Products!$F$16,INDEX($E$84:$BL$84,1,G$4-Products!$F$16)*INDEX(Curves!$AL$8:$AL$68,Products!$F$16+1),0)</f>
        <v/>
      </c>
      <c r="H97" s="39">
        <f>IF(H$4&gt;Products!$F$16,INDEX($E$84:$BL$84,1,H$4-Products!$F$16)*INDEX(Curves!$AL$8:$AL$68,Products!$F$16+1),0)</f>
        <v/>
      </c>
      <c r="I97" s="39">
        <f>IF(I$4&gt;Products!$F$16,INDEX($E$84:$BL$84,1,I$4-Products!$F$16)*INDEX(Curves!$AL$8:$AL$68,Products!$F$16+1),0)</f>
        <v/>
      </c>
      <c r="J97" s="39">
        <f>IF(J$4&gt;Products!$F$16,INDEX($E$84:$BL$84,1,J$4-Products!$F$16)*INDEX(Curves!$AL$8:$AL$68,Products!$F$16+1),0)</f>
        <v/>
      </c>
      <c r="K97" s="39">
        <f>IF(K$4&gt;Products!$F$16,INDEX($E$84:$BL$84,1,K$4-Products!$F$16)*INDEX(Curves!$AL$8:$AL$68,Products!$F$16+1),0)</f>
        <v/>
      </c>
      <c r="L97" s="39">
        <f>IF(L$4&gt;Products!$F$16,INDEX($E$84:$BL$84,1,L$4-Products!$F$16)*INDEX(Curves!$AL$8:$AL$68,Products!$F$16+1),0)</f>
        <v/>
      </c>
      <c r="M97" s="39">
        <f>IF(M$4&gt;Products!$F$16,INDEX($E$84:$BL$84,1,M$4-Products!$F$16)*INDEX(Curves!$AL$8:$AL$68,Products!$F$16+1),0)</f>
        <v/>
      </c>
      <c r="N97" s="39">
        <f>IF(N$4&gt;Products!$F$16,INDEX($E$84:$BL$84,1,N$4-Products!$F$16)*INDEX(Curves!$AL$8:$AL$68,Products!$F$16+1),0)</f>
        <v/>
      </c>
      <c r="O97" s="39">
        <f>IF(O$4&gt;Products!$F$16,INDEX($E$84:$BL$84,1,O$4-Products!$F$16)*INDEX(Curves!$AL$8:$AL$68,Products!$F$16+1),0)</f>
        <v/>
      </c>
      <c r="P97" s="39">
        <f>IF(P$4&gt;Products!$F$16,INDEX($E$84:$BL$84,1,P$4-Products!$F$16)*INDEX(Curves!$AL$8:$AL$68,Products!$F$16+1),0)</f>
        <v/>
      </c>
      <c r="Q97" s="39">
        <f>IF(Q$4&gt;Products!$F$16,INDEX($E$84:$BL$84,1,Q$4-Products!$F$16)*INDEX(Curves!$AL$8:$AL$68,Products!$F$16+1),0)</f>
        <v/>
      </c>
      <c r="R97" s="39">
        <f>IF(R$4&gt;Products!$F$16,INDEX($E$84:$BL$84,1,R$4-Products!$F$16)*INDEX(Curves!$AL$8:$AL$68,Products!$F$16+1),0)</f>
        <v/>
      </c>
      <c r="S97" s="39">
        <f>IF(S$4&gt;Products!$F$16,INDEX($E$84:$BL$84,1,S$4-Products!$F$16)*INDEX(Curves!$AL$8:$AL$68,Products!$F$16+1),0)</f>
        <v/>
      </c>
      <c r="T97" s="39">
        <f>IF(T$4&gt;Products!$F$16,INDEX($E$84:$BL$84,1,T$4-Products!$F$16)*INDEX(Curves!$AL$8:$AL$68,Products!$F$16+1),0)</f>
        <v/>
      </c>
      <c r="U97" s="39">
        <f>IF(U$4&gt;Products!$F$16,INDEX($E$84:$BL$84,1,U$4-Products!$F$16)*INDEX(Curves!$AL$8:$AL$68,Products!$F$16+1),0)</f>
        <v/>
      </c>
      <c r="V97" s="39">
        <f>IF(V$4&gt;Products!$F$16,INDEX($E$84:$BL$84,1,V$4-Products!$F$16)*INDEX(Curves!$AL$8:$AL$68,Products!$F$16+1),0)</f>
        <v/>
      </c>
      <c r="W97" s="39">
        <f>IF(W$4&gt;Products!$F$16,INDEX($E$84:$BL$84,1,W$4-Products!$F$16)*INDEX(Curves!$AL$8:$AL$68,Products!$F$16+1),0)</f>
        <v/>
      </c>
      <c r="X97" s="39">
        <f>IF(X$4&gt;Products!$F$16,INDEX($E$84:$BL$84,1,X$4-Products!$F$16)*INDEX(Curves!$AL$8:$AL$68,Products!$F$16+1),0)</f>
        <v/>
      </c>
      <c r="Y97" s="39">
        <f>IF(Y$4&gt;Products!$F$16,INDEX($E$84:$BL$84,1,Y$4-Products!$F$16)*INDEX(Curves!$AL$8:$AL$68,Products!$F$16+1),0)</f>
        <v/>
      </c>
      <c r="Z97" s="39">
        <f>IF(Z$4&gt;Products!$F$16,INDEX($E$84:$BL$84,1,Z$4-Products!$F$16)*INDEX(Curves!$AL$8:$AL$68,Products!$F$16+1),0)</f>
        <v/>
      </c>
      <c r="AA97" s="39">
        <f>IF(AA$4&gt;Products!$F$16,INDEX($E$84:$BL$84,1,AA$4-Products!$F$16)*INDEX(Curves!$AL$8:$AL$68,Products!$F$16+1),0)</f>
        <v/>
      </c>
      <c r="AB97" s="39">
        <f>IF(AB$4&gt;Products!$F$16,INDEX($E$84:$BL$84,1,AB$4-Products!$F$16)*INDEX(Curves!$AL$8:$AL$68,Products!$F$16+1),0)</f>
        <v/>
      </c>
      <c r="AC97" s="39">
        <f>IF(AC$4&gt;Products!$F$16,INDEX($E$84:$BL$84,1,AC$4-Products!$F$16)*INDEX(Curves!$AL$8:$AL$68,Products!$F$16+1),0)</f>
        <v/>
      </c>
      <c r="AD97" s="39">
        <f>IF(AD$4&gt;Products!$F$16,INDEX($E$84:$BL$84,1,AD$4-Products!$F$16)*INDEX(Curves!$AL$8:$AL$68,Products!$F$16+1),0)</f>
        <v/>
      </c>
      <c r="AE97" s="39">
        <f>IF(AE$4&gt;Products!$F$16,INDEX($E$84:$BL$84,1,AE$4-Products!$F$16)*INDEX(Curves!$AL$8:$AL$68,Products!$F$16+1),0)</f>
        <v/>
      </c>
      <c r="AF97" s="39">
        <f>IF(AF$4&gt;Products!$F$16,INDEX($E$84:$BL$84,1,AF$4-Products!$F$16)*INDEX(Curves!$AL$8:$AL$68,Products!$F$16+1),0)</f>
        <v/>
      </c>
      <c r="AG97" s="39">
        <f>IF(AG$4&gt;Products!$F$16,INDEX($E$84:$BL$84,1,AG$4-Products!$F$16)*INDEX(Curves!$AL$8:$AL$68,Products!$F$16+1),0)</f>
        <v/>
      </c>
      <c r="AH97" s="39">
        <f>IF(AH$4&gt;Products!$F$16,INDEX($E$84:$BL$84,1,AH$4-Products!$F$16)*INDEX(Curves!$AL$8:$AL$68,Products!$F$16+1),0)</f>
        <v/>
      </c>
      <c r="AI97" s="39">
        <f>IF(AI$4&gt;Products!$F$16,INDEX($E$84:$BL$84,1,AI$4-Products!$F$16)*INDEX(Curves!$AL$8:$AL$68,Products!$F$16+1),0)</f>
        <v/>
      </c>
      <c r="AJ97" s="39">
        <f>IF(AJ$4&gt;Products!$F$16,INDEX($E$84:$BL$84,1,AJ$4-Products!$F$16)*INDEX(Curves!$AL$8:$AL$68,Products!$F$16+1),0)</f>
        <v/>
      </c>
      <c r="AK97" s="39">
        <f>IF(AK$4&gt;Products!$F$16,INDEX($E$84:$BL$84,1,AK$4-Products!$F$16)*INDEX(Curves!$AL$8:$AL$68,Products!$F$16+1),0)</f>
        <v/>
      </c>
      <c r="AL97" s="39">
        <f>IF(AL$4&gt;Products!$F$16,INDEX($E$84:$BL$84,1,AL$4-Products!$F$16)*INDEX(Curves!$AL$8:$AL$68,Products!$F$16+1),0)</f>
        <v/>
      </c>
      <c r="AM97" s="39">
        <f>IF(AM$4&gt;Products!$F$16,INDEX($E$84:$BL$84,1,AM$4-Products!$F$16)*INDEX(Curves!$AL$8:$AL$68,Products!$F$16+1),0)</f>
        <v/>
      </c>
      <c r="AN97" s="39">
        <f>IF(AN$4&gt;Products!$F$16,INDEX($E$84:$BL$84,1,AN$4-Products!$F$16)*INDEX(Curves!$AL$8:$AL$68,Products!$F$16+1),0)</f>
        <v/>
      </c>
      <c r="AO97" s="39">
        <f>IF(AO$4&gt;Products!$F$16,INDEX($E$84:$BL$84,1,AO$4-Products!$F$16)*INDEX(Curves!$AL$8:$AL$68,Products!$F$16+1),0)</f>
        <v/>
      </c>
      <c r="AP97" s="39">
        <f>IF(AP$4&gt;Products!$F$16,INDEX($E$84:$BL$84,1,AP$4-Products!$F$16)*INDEX(Curves!$AL$8:$AL$68,Products!$F$16+1),0)</f>
        <v/>
      </c>
      <c r="AQ97" s="39">
        <f>IF(AQ$4&gt;Products!$F$16,INDEX($E$84:$BL$84,1,AQ$4-Products!$F$16)*INDEX(Curves!$AL$8:$AL$68,Products!$F$16+1),0)</f>
        <v/>
      </c>
      <c r="AR97" s="39">
        <f>IF(AR$4&gt;Products!$F$16,INDEX($E$84:$BL$84,1,AR$4-Products!$F$16)*INDEX(Curves!$AL$8:$AL$68,Products!$F$16+1),0)</f>
        <v/>
      </c>
      <c r="AS97" s="39">
        <f>IF(AS$4&gt;Products!$F$16,INDEX($E$84:$BL$84,1,AS$4-Products!$F$16)*INDEX(Curves!$AL$8:$AL$68,Products!$F$16+1),0)</f>
        <v/>
      </c>
      <c r="AT97" s="39">
        <f>IF(AT$4&gt;Products!$F$16,INDEX($E$84:$BL$84,1,AT$4-Products!$F$16)*INDEX(Curves!$AL$8:$AL$68,Products!$F$16+1),0)</f>
        <v/>
      </c>
      <c r="AU97" s="39">
        <f>IF(AU$4&gt;Products!$F$16,INDEX($E$84:$BL$84,1,AU$4-Products!$F$16)*INDEX(Curves!$AL$8:$AL$68,Products!$F$16+1),0)</f>
        <v/>
      </c>
      <c r="AV97" s="39">
        <f>IF(AV$4&gt;Products!$F$16,INDEX($E$84:$BL$84,1,AV$4-Products!$F$16)*INDEX(Curves!$AL$8:$AL$68,Products!$F$16+1),0)</f>
        <v/>
      </c>
      <c r="AW97" s="39">
        <f>IF(AW$4&gt;Products!$F$16,INDEX($E$84:$BL$84,1,AW$4-Products!$F$16)*INDEX(Curves!$AL$8:$AL$68,Products!$F$16+1),0)</f>
        <v/>
      </c>
      <c r="AX97" s="39">
        <f>IF(AX$4&gt;Products!$F$16,INDEX($E$84:$BL$84,1,AX$4-Products!$F$16)*INDEX(Curves!$AL$8:$AL$68,Products!$F$16+1),0)</f>
        <v/>
      </c>
      <c r="AY97" s="39">
        <f>IF(AY$4&gt;Products!$F$16,INDEX($E$84:$BL$84,1,AY$4-Products!$F$16)*INDEX(Curves!$AL$8:$AL$68,Products!$F$16+1),0)</f>
        <v/>
      </c>
      <c r="AZ97" s="39">
        <f>IF(AZ$4&gt;Products!$F$16,INDEX($E$84:$BL$84,1,AZ$4-Products!$F$16)*INDEX(Curves!$AL$8:$AL$68,Products!$F$16+1),0)</f>
        <v/>
      </c>
      <c r="BA97" s="39">
        <f>IF(BA$4&gt;Products!$F$16,INDEX($E$84:$BL$84,1,BA$4-Products!$F$16)*INDEX(Curves!$AL$8:$AL$68,Products!$F$16+1),0)</f>
        <v/>
      </c>
      <c r="BB97" s="39">
        <f>IF(BB$4&gt;Products!$F$16,INDEX($E$84:$BL$84,1,BB$4-Products!$F$16)*INDEX(Curves!$AL$8:$AL$68,Products!$F$16+1),0)</f>
        <v/>
      </c>
      <c r="BC97" s="39">
        <f>IF(BC$4&gt;Products!$F$16,INDEX($E$84:$BL$84,1,BC$4-Products!$F$16)*INDEX(Curves!$AL$8:$AL$68,Products!$F$16+1),0)</f>
        <v/>
      </c>
      <c r="BD97" s="39">
        <f>IF(BD$4&gt;Products!$F$16,INDEX($E$84:$BL$84,1,BD$4-Products!$F$16)*INDEX(Curves!$AL$8:$AL$68,Products!$F$16+1),0)</f>
        <v/>
      </c>
      <c r="BE97" s="39">
        <f>IF(BE$4&gt;Products!$F$16,INDEX($E$84:$BL$84,1,BE$4-Products!$F$16)*INDEX(Curves!$AL$8:$AL$68,Products!$F$16+1),0)</f>
        <v/>
      </c>
      <c r="BF97" s="39">
        <f>IF(BF$4&gt;Products!$F$16,INDEX($E$84:$BL$84,1,BF$4-Products!$F$16)*INDEX(Curves!$AL$8:$AL$68,Products!$F$16+1),0)</f>
        <v/>
      </c>
      <c r="BG97" s="39">
        <f>IF(BG$4&gt;Products!$F$16,INDEX($E$84:$BL$84,1,BG$4-Products!$F$16)*INDEX(Curves!$AL$8:$AL$68,Products!$F$16+1),0)</f>
        <v/>
      </c>
      <c r="BH97" s="39">
        <f>IF(BH$4&gt;Products!$F$16,INDEX($E$84:$BL$84,1,BH$4-Products!$F$16)*INDEX(Curves!$AL$8:$AL$68,Products!$F$16+1),0)</f>
        <v/>
      </c>
      <c r="BI97" s="39">
        <f>IF(BI$4&gt;Products!$F$16,INDEX($E$84:$BL$84,1,BI$4-Products!$F$16)*INDEX(Curves!$AL$8:$AL$68,Products!$F$16+1),0)</f>
        <v/>
      </c>
      <c r="BJ97" s="39">
        <f>IF(BJ$4&gt;Products!$F$16,INDEX($E$84:$BL$84,1,BJ$4-Products!$F$16)*INDEX(Curves!$AL$8:$AL$68,Products!$F$16+1),0)</f>
        <v/>
      </c>
      <c r="BK97" s="39">
        <f>IF(BK$4&gt;Products!$F$16,INDEX($E$84:$BL$84,1,BK$4-Products!$F$16)*INDEX(Curves!$AL$8:$AL$68,Products!$F$16+1),0)</f>
        <v/>
      </c>
      <c r="BL97" s="39">
        <f>IF(BL$4&gt;Products!$F$16,INDEX($E$84:$BL$84,1,BL$4-Products!$F$16)*INDEX(Curves!$AL$8:$AL$68,Products!$F$16+1),0)</f>
        <v/>
      </c>
    </row>
    <row r="98">
      <c r="A98" s="55" t="inlineStr">
        <is>
          <t>Receivables at risk (carrying amount, accounts that stopped paying)</t>
        </is>
      </c>
      <c r="B98" s="26" t="inlineStr">
        <is>
          <t>LCY</t>
        </is>
      </c>
      <c r="C98" s="58">
        <f>BL98</f>
        <v/>
      </c>
      <c r="E98" s="17">
        <f>Cohort_T4!E$135</f>
        <v/>
      </c>
      <c r="F98" s="17">
        <f>Cohort_T4!F$135</f>
        <v/>
      </c>
      <c r="G98" s="17">
        <f>Cohort_T4!G$135</f>
        <v/>
      </c>
      <c r="H98" s="17">
        <f>Cohort_T4!H$135</f>
        <v/>
      </c>
      <c r="I98" s="17">
        <f>Cohort_T4!I$135</f>
        <v/>
      </c>
      <c r="J98" s="17">
        <f>Cohort_T4!J$135</f>
        <v/>
      </c>
      <c r="K98" s="17">
        <f>Cohort_T4!K$135</f>
        <v/>
      </c>
      <c r="L98" s="17">
        <f>Cohort_T4!L$135</f>
        <v/>
      </c>
      <c r="M98" s="17">
        <f>Cohort_T4!M$135</f>
        <v/>
      </c>
      <c r="N98" s="17">
        <f>Cohort_T4!N$135</f>
        <v/>
      </c>
      <c r="O98" s="17">
        <f>Cohort_T4!O$135</f>
        <v/>
      </c>
      <c r="P98" s="17">
        <f>Cohort_T4!P$135</f>
        <v/>
      </c>
      <c r="Q98" s="17">
        <f>Cohort_T4!Q$135</f>
        <v/>
      </c>
      <c r="R98" s="17">
        <f>Cohort_T4!R$135</f>
        <v/>
      </c>
      <c r="S98" s="17">
        <f>Cohort_T4!S$135</f>
        <v/>
      </c>
      <c r="T98" s="17">
        <f>Cohort_T4!T$135</f>
        <v/>
      </c>
      <c r="U98" s="17">
        <f>Cohort_T4!U$135</f>
        <v/>
      </c>
      <c r="V98" s="17">
        <f>Cohort_T4!V$135</f>
        <v/>
      </c>
      <c r="W98" s="17">
        <f>Cohort_T4!W$135</f>
        <v/>
      </c>
      <c r="X98" s="17">
        <f>Cohort_T4!X$135</f>
        <v/>
      </c>
      <c r="Y98" s="17">
        <f>Cohort_T4!Y$135</f>
        <v/>
      </c>
      <c r="Z98" s="17">
        <f>Cohort_T4!Z$135</f>
        <v/>
      </c>
      <c r="AA98" s="17">
        <f>Cohort_T4!AA$135</f>
        <v/>
      </c>
      <c r="AB98" s="17">
        <f>Cohort_T4!AB$135</f>
        <v/>
      </c>
      <c r="AC98" s="17">
        <f>Cohort_T4!AC$135</f>
        <v/>
      </c>
      <c r="AD98" s="17">
        <f>Cohort_T4!AD$135</f>
        <v/>
      </c>
      <c r="AE98" s="17">
        <f>Cohort_T4!AE$135</f>
        <v/>
      </c>
      <c r="AF98" s="17">
        <f>Cohort_T4!AF$135</f>
        <v/>
      </c>
      <c r="AG98" s="17">
        <f>Cohort_T4!AG$135</f>
        <v/>
      </c>
      <c r="AH98" s="17">
        <f>Cohort_T4!AH$135</f>
        <v/>
      </c>
      <c r="AI98" s="17">
        <f>Cohort_T4!AI$135</f>
        <v/>
      </c>
      <c r="AJ98" s="17">
        <f>Cohort_T4!AJ$135</f>
        <v/>
      </c>
      <c r="AK98" s="17">
        <f>Cohort_T4!AK$135</f>
        <v/>
      </c>
      <c r="AL98" s="17">
        <f>Cohort_T4!AL$135</f>
        <v/>
      </c>
      <c r="AM98" s="17">
        <f>Cohort_T4!AM$135</f>
        <v/>
      </c>
      <c r="AN98" s="17">
        <f>Cohort_T4!AN$135</f>
        <v/>
      </c>
      <c r="AO98" s="17">
        <f>Cohort_T4!AO$135</f>
        <v/>
      </c>
      <c r="AP98" s="17">
        <f>Cohort_T4!AP$135</f>
        <v/>
      </c>
      <c r="AQ98" s="17">
        <f>Cohort_T4!AQ$135</f>
        <v/>
      </c>
      <c r="AR98" s="17">
        <f>Cohort_T4!AR$135</f>
        <v/>
      </c>
      <c r="AS98" s="17">
        <f>Cohort_T4!AS$135</f>
        <v/>
      </c>
      <c r="AT98" s="17">
        <f>Cohort_T4!AT$135</f>
        <v/>
      </c>
      <c r="AU98" s="17">
        <f>Cohort_T4!AU$135</f>
        <v/>
      </c>
      <c r="AV98" s="17">
        <f>Cohort_T4!AV$135</f>
        <v/>
      </c>
      <c r="AW98" s="17">
        <f>Cohort_T4!AW$135</f>
        <v/>
      </c>
      <c r="AX98" s="17">
        <f>Cohort_T4!AX$135</f>
        <v/>
      </c>
      <c r="AY98" s="17">
        <f>Cohort_T4!AY$135</f>
        <v/>
      </c>
      <c r="AZ98" s="17">
        <f>Cohort_T4!AZ$135</f>
        <v/>
      </c>
      <c r="BA98" s="17">
        <f>Cohort_T4!BA$135</f>
        <v/>
      </c>
      <c r="BB98" s="17">
        <f>Cohort_T4!BB$135</f>
        <v/>
      </c>
      <c r="BC98" s="17">
        <f>Cohort_T4!BC$135</f>
        <v/>
      </c>
      <c r="BD98" s="17">
        <f>Cohort_T4!BD$135</f>
        <v/>
      </c>
      <c r="BE98" s="17">
        <f>Cohort_T4!BE$135</f>
        <v/>
      </c>
      <c r="BF98" s="17">
        <f>Cohort_T4!BF$135</f>
        <v/>
      </c>
      <c r="BG98" s="17">
        <f>Cohort_T4!BG$135</f>
        <v/>
      </c>
      <c r="BH98" s="17">
        <f>Cohort_T4!BH$135</f>
        <v/>
      </c>
      <c r="BI98" s="17">
        <f>Cohort_T4!BI$135</f>
        <v/>
      </c>
      <c r="BJ98" s="17">
        <f>Cohort_T4!BJ$135</f>
        <v/>
      </c>
      <c r="BK98" s="17">
        <f>Cohort_T4!BK$135</f>
        <v/>
      </c>
      <c r="BL98" s="17">
        <f>Cohort_T4!BL$135</f>
        <v/>
      </c>
    </row>
    <row r="99">
      <c r="A99" s="55" t="inlineStr">
        <is>
          <t>Gross PAYGo receivables (closing)</t>
        </is>
      </c>
      <c r="B99" s="26" t="inlineStr">
        <is>
          <t>LCY</t>
        </is>
      </c>
      <c r="C99" s="58">
        <f>BL99</f>
        <v/>
      </c>
      <c r="E99" s="39">
        <f>D99+E88+E92-E90-E91</f>
        <v/>
      </c>
      <c r="F99" s="39">
        <f>E99+F88+F92-F90-F91</f>
        <v/>
      </c>
      <c r="G99" s="39">
        <f>F99+G88+G92-G90-G91</f>
        <v/>
      </c>
      <c r="H99" s="39">
        <f>G99+H88+H92-H90-H91</f>
        <v/>
      </c>
      <c r="I99" s="39">
        <f>H99+I88+I92-I90-I91</f>
        <v/>
      </c>
      <c r="J99" s="39">
        <f>I99+J88+J92-J90-J91</f>
        <v/>
      </c>
      <c r="K99" s="39">
        <f>J99+K88+K92-K90-K91</f>
        <v/>
      </c>
      <c r="L99" s="39">
        <f>K99+L88+L92-L90-L91</f>
        <v/>
      </c>
      <c r="M99" s="39">
        <f>L99+M88+M92-M90-M91</f>
        <v/>
      </c>
      <c r="N99" s="39">
        <f>M99+N88+N92-N90-N91</f>
        <v/>
      </c>
      <c r="O99" s="39">
        <f>N99+O88+O92-O90-O91</f>
        <v/>
      </c>
      <c r="P99" s="39">
        <f>O99+P88+P92-P90-P91</f>
        <v/>
      </c>
      <c r="Q99" s="39">
        <f>P99+Q88+Q92-Q90-Q91</f>
        <v/>
      </c>
      <c r="R99" s="39">
        <f>Q99+R88+R92-R90-R91</f>
        <v/>
      </c>
      <c r="S99" s="39">
        <f>R99+S88+S92-S90-S91</f>
        <v/>
      </c>
      <c r="T99" s="39">
        <f>S99+T88+T92-T90-T91</f>
        <v/>
      </c>
      <c r="U99" s="39">
        <f>T99+U88+U92-U90-U91</f>
        <v/>
      </c>
      <c r="V99" s="39">
        <f>U99+V88+V92-V90-V91</f>
        <v/>
      </c>
      <c r="W99" s="39">
        <f>V99+W88+W92-W90-W91</f>
        <v/>
      </c>
      <c r="X99" s="39">
        <f>W99+X88+X92-X90-X91</f>
        <v/>
      </c>
      <c r="Y99" s="39">
        <f>X99+Y88+Y92-Y90-Y91</f>
        <v/>
      </c>
      <c r="Z99" s="39">
        <f>Y99+Z88+Z92-Z90-Z91</f>
        <v/>
      </c>
      <c r="AA99" s="39">
        <f>Z99+AA88+AA92-AA90-AA91</f>
        <v/>
      </c>
      <c r="AB99" s="39">
        <f>AA99+AB88+AB92-AB90-AB91</f>
        <v/>
      </c>
      <c r="AC99" s="39">
        <f>AB99+AC88+AC92-AC90-AC91</f>
        <v/>
      </c>
      <c r="AD99" s="39">
        <f>AC99+AD88+AD92-AD90-AD91</f>
        <v/>
      </c>
      <c r="AE99" s="39">
        <f>AD99+AE88+AE92-AE90-AE91</f>
        <v/>
      </c>
      <c r="AF99" s="39">
        <f>AE99+AF88+AF92-AF90-AF91</f>
        <v/>
      </c>
      <c r="AG99" s="39">
        <f>AF99+AG88+AG92-AG90-AG91</f>
        <v/>
      </c>
      <c r="AH99" s="39">
        <f>AG99+AH88+AH92-AH90-AH91</f>
        <v/>
      </c>
      <c r="AI99" s="39">
        <f>AH99+AI88+AI92-AI90-AI91</f>
        <v/>
      </c>
      <c r="AJ99" s="39">
        <f>AI99+AJ88+AJ92-AJ90-AJ91</f>
        <v/>
      </c>
      <c r="AK99" s="39">
        <f>AJ99+AK88+AK92-AK90-AK91</f>
        <v/>
      </c>
      <c r="AL99" s="39">
        <f>AK99+AL88+AL92-AL90-AL91</f>
        <v/>
      </c>
      <c r="AM99" s="39">
        <f>AL99+AM88+AM92-AM90-AM91</f>
        <v/>
      </c>
      <c r="AN99" s="39">
        <f>AM99+AN88+AN92-AN90-AN91</f>
        <v/>
      </c>
      <c r="AO99" s="39">
        <f>AN99+AO88+AO92-AO90-AO91</f>
        <v/>
      </c>
      <c r="AP99" s="39">
        <f>AO99+AP88+AP92-AP90-AP91</f>
        <v/>
      </c>
      <c r="AQ99" s="39">
        <f>AP99+AQ88+AQ92-AQ90-AQ91</f>
        <v/>
      </c>
      <c r="AR99" s="39">
        <f>AQ99+AR88+AR92-AR90-AR91</f>
        <v/>
      </c>
      <c r="AS99" s="39">
        <f>AR99+AS88+AS92-AS90-AS91</f>
        <v/>
      </c>
      <c r="AT99" s="39">
        <f>AS99+AT88+AT92-AT90-AT91</f>
        <v/>
      </c>
      <c r="AU99" s="39">
        <f>AT99+AU88+AU92-AU90-AU91</f>
        <v/>
      </c>
      <c r="AV99" s="39">
        <f>AU99+AV88+AV92-AV90-AV91</f>
        <v/>
      </c>
      <c r="AW99" s="39">
        <f>AV99+AW88+AW92-AW90-AW91</f>
        <v/>
      </c>
      <c r="AX99" s="39">
        <f>AW99+AX88+AX92-AX90-AX91</f>
        <v/>
      </c>
      <c r="AY99" s="39">
        <f>AX99+AY88+AY92-AY90-AY91</f>
        <v/>
      </c>
      <c r="AZ99" s="39">
        <f>AY99+AZ88+AZ92-AZ90-AZ91</f>
        <v/>
      </c>
      <c r="BA99" s="39">
        <f>AZ99+BA88+BA92-BA90-BA91</f>
        <v/>
      </c>
      <c r="BB99" s="39">
        <f>BA99+BB88+BB92-BB90-BB91</f>
        <v/>
      </c>
      <c r="BC99" s="39">
        <f>BB99+BC88+BC92-BC90-BC91</f>
        <v/>
      </c>
      <c r="BD99" s="39">
        <f>BC99+BD88+BD92-BD90-BD91</f>
        <v/>
      </c>
      <c r="BE99" s="39">
        <f>BD99+BE88+BE92-BE90-BE91</f>
        <v/>
      </c>
      <c r="BF99" s="39">
        <f>BE99+BF88+BF92-BF90-BF91</f>
        <v/>
      </c>
      <c r="BG99" s="39">
        <f>BF99+BG88+BG92-BG90-BG91</f>
        <v/>
      </c>
      <c r="BH99" s="39">
        <f>BG99+BH88+BH92-BH90-BH91</f>
        <v/>
      </c>
      <c r="BI99" s="39">
        <f>BH99+BI88+BI92-BI90-BI91</f>
        <v/>
      </c>
      <c r="BJ99" s="39">
        <f>BI99+BJ88+BJ92-BJ90-BJ91</f>
        <v/>
      </c>
      <c r="BK99" s="39">
        <f>BJ99+BK88+BK92-BK90-BK91</f>
        <v/>
      </c>
      <c r="BL99" s="39">
        <f>BK99+BL88+BL92-BL90-BL91</f>
        <v/>
      </c>
    </row>
    <row r="100">
      <c r="A100" s="55" t="inlineStr">
        <is>
          <t>Eligible receivables (gross - at risk)</t>
        </is>
      </c>
      <c r="B100" s="26" t="inlineStr">
        <is>
          <t>LCY</t>
        </is>
      </c>
      <c r="C100" s="58">
        <f>BL100</f>
        <v/>
      </c>
      <c r="E100" s="39">
        <f>MAX(0,E99-E98)</f>
        <v/>
      </c>
      <c r="F100" s="39">
        <f>MAX(0,F99-F98)</f>
        <v/>
      </c>
      <c r="G100" s="39">
        <f>MAX(0,G99-G98)</f>
        <v/>
      </c>
      <c r="H100" s="39">
        <f>MAX(0,H99-H98)</f>
        <v/>
      </c>
      <c r="I100" s="39">
        <f>MAX(0,I99-I98)</f>
        <v/>
      </c>
      <c r="J100" s="39">
        <f>MAX(0,J99-J98)</f>
        <v/>
      </c>
      <c r="K100" s="39">
        <f>MAX(0,K99-K98)</f>
        <v/>
      </c>
      <c r="L100" s="39">
        <f>MAX(0,L99-L98)</f>
        <v/>
      </c>
      <c r="M100" s="39">
        <f>MAX(0,M99-M98)</f>
        <v/>
      </c>
      <c r="N100" s="39">
        <f>MAX(0,N99-N98)</f>
        <v/>
      </c>
      <c r="O100" s="39">
        <f>MAX(0,O99-O98)</f>
        <v/>
      </c>
      <c r="P100" s="39">
        <f>MAX(0,P99-P98)</f>
        <v/>
      </c>
      <c r="Q100" s="39">
        <f>MAX(0,Q99-Q98)</f>
        <v/>
      </c>
      <c r="R100" s="39">
        <f>MAX(0,R99-R98)</f>
        <v/>
      </c>
      <c r="S100" s="39">
        <f>MAX(0,S99-S98)</f>
        <v/>
      </c>
      <c r="T100" s="39">
        <f>MAX(0,T99-T98)</f>
        <v/>
      </c>
      <c r="U100" s="39">
        <f>MAX(0,U99-U98)</f>
        <v/>
      </c>
      <c r="V100" s="39">
        <f>MAX(0,V99-V98)</f>
        <v/>
      </c>
      <c r="W100" s="39">
        <f>MAX(0,W99-W98)</f>
        <v/>
      </c>
      <c r="X100" s="39">
        <f>MAX(0,X99-X98)</f>
        <v/>
      </c>
      <c r="Y100" s="39">
        <f>MAX(0,Y99-Y98)</f>
        <v/>
      </c>
      <c r="Z100" s="39">
        <f>MAX(0,Z99-Z98)</f>
        <v/>
      </c>
      <c r="AA100" s="39">
        <f>MAX(0,AA99-AA98)</f>
        <v/>
      </c>
      <c r="AB100" s="39">
        <f>MAX(0,AB99-AB98)</f>
        <v/>
      </c>
      <c r="AC100" s="39">
        <f>MAX(0,AC99-AC98)</f>
        <v/>
      </c>
      <c r="AD100" s="39">
        <f>MAX(0,AD99-AD98)</f>
        <v/>
      </c>
      <c r="AE100" s="39">
        <f>MAX(0,AE99-AE98)</f>
        <v/>
      </c>
      <c r="AF100" s="39">
        <f>MAX(0,AF99-AF98)</f>
        <v/>
      </c>
      <c r="AG100" s="39">
        <f>MAX(0,AG99-AG98)</f>
        <v/>
      </c>
      <c r="AH100" s="39">
        <f>MAX(0,AH99-AH98)</f>
        <v/>
      </c>
      <c r="AI100" s="39">
        <f>MAX(0,AI99-AI98)</f>
        <v/>
      </c>
      <c r="AJ100" s="39">
        <f>MAX(0,AJ99-AJ98)</f>
        <v/>
      </c>
      <c r="AK100" s="39">
        <f>MAX(0,AK99-AK98)</f>
        <v/>
      </c>
      <c r="AL100" s="39">
        <f>MAX(0,AL99-AL98)</f>
        <v/>
      </c>
      <c r="AM100" s="39">
        <f>MAX(0,AM99-AM98)</f>
        <v/>
      </c>
      <c r="AN100" s="39">
        <f>MAX(0,AN99-AN98)</f>
        <v/>
      </c>
      <c r="AO100" s="39">
        <f>MAX(0,AO99-AO98)</f>
        <v/>
      </c>
      <c r="AP100" s="39">
        <f>MAX(0,AP99-AP98)</f>
        <v/>
      </c>
      <c r="AQ100" s="39">
        <f>MAX(0,AQ99-AQ98)</f>
        <v/>
      </c>
      <c r="AR100" s="39">
        <f>MAX(0,AR99-AR98)</f>
        <v/>
      </c>
      <c r="AS100" s="39">
        <f>MAX(0,AS99-AS98)</f>
        <v/>
      </c>
      <c r="AT100" s="39">
        <f>MAX(0,AT99-AT98)</f>
        <v/>
      </c>
      <c r="AU100" s="39">
        <f>MAX(0,AU99-AU98)</f>
        <v/>
      </c>
      <c r="AV100" s="39">
        <f>MAX(0,AV99-AV98)</f>
        <v/>
      </c>
      <c r="AW100" s="39">
        <f>MAX(0,AW99-AW98)</f>
        <v/>
      </c>
      <c r="AX100" s="39">
        <f>MAX(0,AX99-AX98)</f>
        <v/>
      </c>
      <c r="AY100" s="39">
        <f>MAX(0,AY99-AY98)</f>
        <v/>
      </c>
      <c r="AZ100" s="39">
        <f>MAX(0,AZ99-AZ98)</f>
        <v/>
      </c>
      <c r="BA100" s="39">
        <f>MAX(0,BA99-BA98)</f>
        <v/>
      </c>
      <c r="BB100" s="39">
        <f>MAX(0,BB99-BB98)</f>
        <v/>
      </c>
      <c r="BC100" s="39">
        <f>MAX(0,BC99-BC98)</f>
        <v/>
      </c>
      <c r="BD100" s="39">
        <f>MAX(0,BD99-BD98)</f>
        <v/>
      </c>
      <c r="BE100" s="39">
        <f>MAX(0,BE99-BE98)</f>
        <v/>
      </c>
      <c r="BF100" s="39">
        <f>MAX(0,BF99-BF98)</f>
        <v/>
      </c>
      <c r="BG100" s="39">
        <f>MAX(0,BG99-BG98)</f>
        <v/>
      </c>
      <c r="BH100" s="39">
        <f>MAX(0,BH99-BH98)</f>
        <v/>
      </c>
      <c r="BI100" s="39">
        <f>MAX(0,BI99-BI98)</f>
        <v/>
      </c>
      <c r="BJ100" s="39">
        <f>MAX(0,BJ99-BJ98)</f>
        <v/>
      </c>
      <c r="BK100" s="39">
        <f>MAX(0,BK99-BK98)</f>
        <v/>
      </c>
      <c r="BL100" s="39">
        <f>MAX(0,BL99-BL98)</f>
        <v/>
      </c>
    </row>
    <row r="101">
      <c r="A101" s="55" t="inlineStr">
        <is>
          <t>Borrowing-base contribution (advance rate x eligible)</t>
        </is>
      </c>
      <c r="B101" s="26" t="inlineStr">
        <is>
          <t>LCY</t>
        </is>
      </c>
      <c r="C101" s="58">
        <f>BL101</f>
        <v/>
      </c>
      <c r="E101" s="39">
        <f>E100*Products!$F$31</f>
        <v/>
      </c>
      <c r="F101" s="39">
        <f>F100*Products!$F$31</f>
        <v/>
      </c>
      <c r="G101" s="39">
        <f>G100*Products!$F$31</f>
        <v/>
      </c>
      <c r="H101" s="39">
        <f>H100*Products!$F$31</f>
        <v/>
      </c>
      <c r="I101" s="39">
        <f>I100*Products!$F$31</f>
        <v/>
      </c>
      <c r="J101" s="39">
        <f>J100*Products!$F$31</f>
        <v/>
      </c>
      <c r="K101" s="39">
        <f>K100*Products!$F$31</f>
        <v/>
      </c>
      <c r="L101" s="39">
        <f>L100*Products!$F$31</f>
        <v/>
      </c>
      <c r="M101" s="39">
        <f>M100*Products!$F$31</f>
        <v/>
      </c>
      <c r="N101" s="39">
        <f>N100*Products!$F$31</f>
        <v/>
      </c>
      <c r="O101" s="39">
        <f>O100*Products!$F$31</f>
        <v/>
      </c>
      <c r="P101" s="39">
        <f>P100*Products!$F$31</f>
        <v/>
      </c>
      <c r="Q101" s="39">
        <f>Q100*Products!$F$31</f>
        <v/>
      </c>
      <c r="R101" s="39">
        <f>R100*Products!$F$31</f>
        <v/>
      </c>
      <c r="S101" s="39">
        <f>S100*Products!$F$31</f>
        <v/>
      </c>
      <c r="T101" s="39">
        <f>T100*Products!$F$31</f>
        <v/>
      </c>
      <c r="U101" s="39">
        <f>U100*Products!$F$31</f>
        <v/>
      </c>
      <c r="V101" s="39">
        <f>V100*Products!$F$31</f>
        <v/>
      </c>
      <c r="W101" s="39">
        <f>W100*Products!$F$31</f>
        <v/>
      </c>
      <c r="X101" s="39">
        <f>X100*Products!$F$31</f>
        <v/>
      </c>
      <c r="Y101" s="39">
        <f>Y100*Products!$F$31</f>
        <v/>
      </c>
      <c r="Z101" s="39">
        <f>Z100*Products!$F$31</f>
        <v/>
      </c>
      <c r="AA101" s="39">
        <f>AA100*Products!$F$31</f>
        <v/>
      </c>
      <c r="AB101" s="39">
        <f>AB100*Products!$F$31</f>
        <v/>
      </c>
      <c r="AC101" s="39">
        <f>AC100*Products!$F$31</f>
        <v/>
      </c>
      <c r="AD101" s="39">
        <f>AD100*Products!$F$31</f>
        <v/>
      </c>
      <c r="AE101" s="39">
        <f>AE100*Products!$F$31</f>
        <v/>
      </c>
      <c r="AF101" s="39">
        <f>AF100*Products!$F$31</f>
        <v/>
      </c>
      <c r="AG101" s="39">
        <f>AG100*Products!$F$31</f>
        <v/>
      </c>
      <c r="AH101" s="39">
        <f>AH100*Products!$F$31</f>
        <v/>
      </c>
      <c r="AI101" s="39">
        <f>AI100*Products!$F$31</f>
        <v/>
      </c>
      <c r="AJ101" s="39">
        <f>AJ100*Products!$F$31</f>
        <v/>
      </c>
      <c r="AK101" s="39">
        <f>AK100*Products!$F$31</f>
        <v/>
      </c>
      <c r="AL101" s="39">
        <f>AL100*Products!$F$31</f>
        <v/>
      </c>
      <c r="AM101" s="39">
        <f>AM100*Products!$F$31</f>
        <v/>
      </c>
      <c r="AN101" s="39">
        <f>AN100*Products!$F$31</f>
        <v/>
      </c>
      <c r="AO101" s="39">
        <f>AO100*Products!$F$31</f>
        <v/>
      </c>
      <c r="AP101" s="39">
        <f>AP100*Products!$F$31</f>
        <v/>
      </c>
      <c r="AQ101" s="39">
        <f>AQ100*Products!$F$31</f>
        <v/>
      </c>
      <c r="AR101" s="39">
        <f>AR100*Products!$F$31</f>
        <v/>
      </c>
      <c r="AS101" s="39">
        <f>AS100*Products!$F$31</f>
        <v/>
      </c>
      <c r="AT101" s="39">
        <f>AT100*Products!$F$31</f>
        <v/>
      </c>
      <c r="AU101" s="39">
        <f>AU100*Products!$F$31</f>
        <v/>
      </c>
      <c r="AV101" s="39">
        <f>AV100*Products!$F$31</f>
        <v/>
      </c>
      <c r="AW101" s="39">
        <f>AW100*Products!$F$31</f>
        <v/>
      </c>
      <c r="AX101" s="39">
        <f>AX100*Products!$F$31</f>
        <v/>
      </c>
      <c r="AY101" s="39">
        <f>AY100*Products!$F$31</f>
        <v/>
      </c>
      <c r="AZ101" s="39">
        <f>AZ100*Products!$F$31</f>
        <v/>
      </c>
      <c r="BA101" s="39">
        <f>BA100*Products!$F$31</f>
        <v/>
      </c>
      <c r="BB101" s="39">
        <f>BB100*Products!$F$31</f>
        <v/>
      </c>
      <c r="BC101" s="39">
        <f>BC100*Products!$F$31</f>
        <v/>
      </c>
      <c r="BD101" s="39">
        <f>BD100*Products!$F$31</f>
        <v/>
      </c>
      <c r="BE101" s="39">
        <f>BE100*Products!$F$31</f>
        <v/>
      </c>
      <c r="BF101" s="39">
        <f>BF100*Products!$F$31</f>
        <v/>
      </c>
      <c r="BG101" s="39">
        <f>BG100*Products!$F$31</f>
        <v/>
      </c>
      <c r="BH101" s="39">
        <f>BH100*Products!$F$31</f>
        <v/>
      </c>
      <c r="BI101" s="39">
        <f>BI100*Products!$F$31</f>
        <v/>
      </c>
      <c r="BJ101" s="39">
        <f>BJ100*Products!$F$31</f>
        <v/>
      </c>
      <c r="BK101" s="39">
        <f>BK100*Products!$F$31</f>
        <v/>
      </c>
      <c r="BL101" s="39">
        <f>BL100*Products!$F$31</f>
        <v/>
      </c>
    </row>
    <row r="102">
      <c r="A102" s="55" t="inlineStr">
        <is>
          <t>Landed hardware cost of units sold</t>
        </is>
      </c>
      <c r="B102" s="26" t="inlineStr">
        <is>
          <t>LCY</t>
        </is>
      </c>
      <c r="C102" s="58">
        <f>SUM(E102:BL102)</f>
        <v/>
      </c>
      <c r="E102" s="39">
        <f>E84*Products!$F$18*(1+Inputs!$C$28)*Timeline!E$8*Scenarios!$G$9</f>
        <v/>
      </c>
      <c r="F102" s="39">
        <f>F84*Products!$F$18*(1+Inputs!$C$28)*Timeline!F$8*Scenarios!$G$9</f>
        <v/>
      </c>
      <c r="G102" s="39">
        <f>G84*Products!$F$18*(1+Inputs!$C$28)*Timeline!G$8*Scenarios!$G$9</f>
        <v/>
      </c>
      <c r="H102" s="39">
        <f>H84*Products!$F$18*(1+Inputs!$C$28)*Timeline!H$8*Scenarios!$G$9</f>
        <v/>
      </c>
      <c r="I102" s="39">
        <f>I84*Products!$F$18*(1+Inputs!$C$28)*Timeline!I$8*Scenarios!$G$9</f>
        <v/>
      </c>
      <c r="J102" s="39">
        <f>J84*Products!$F$18*(1+Inputs!$C$28)*Timeline!J$8*Scenarios!$G$9</f>
        <v/>
      </c>
      <c r="K102" s="39">
        <f>K84*Products!$F$18*(1+Inputs!$C$28)*Timeline!K$8*Scenarios!$G$9</f>
        <v/>
      </c>
      <c r="L102" s="39">
        <f>L84*Products!$F$18*(1+Inputs!$C$28)*Timeline!L$8*Scenarios!$G$9</f>
        <v/>
      </c>
      <c r="M102" s="39">
        <f>M84*Products!$F$18*(1+Inputs!$C$28)*Timeline!M$8*Scenarios!$G$9</f>
        <v/>
      </c>
      <c r="N102" s="39">
        <f>N84*Products!$F$18*(1+Inputs!$C$28)*Timeline!N$8*Scenarios!$G$9</f>
        <v/>
      </c>
      <c r="O102" s="39">
        <f>O84*Products!$F$18*(1+Inputs!$C$28)*Timeline!O$8*Scenarios!$G$9</f>
        <v/>
      </c>
      <c r="P102" s="39">
        <f>P84*Products!$F$18*(1+Inputs!$C$28)*Timeline!P$8*Scenarios!$G$9</f>
        <v/>
      </c>
      <c r="Q102" s="39">
        <f>Q84*Products!$F$18*(1+Inputs!$C$28)*Timeline!Q$8*Scenarios!$G$9</f>
        <v/>
      </c>
      <c r="R102" s="39">
        <f>R84*Products!$F$18*(1+Inputs!$C$28)*Timeline!R$8*Scenarios!$G$9</f>
        <v/>
      </c>
      <c r="S102" s="39">
        <f>S84*Products!$F$18*(1+Inputs!$C$28)*Timeline!S$8*Scenarios!$G$9</f>
        <v/>
      </c>
      <c r="T102" s="39">
        <f>T84*Products!$F$18*(1+Inputs!$C$28)*Timeline!T$8*Scenarios!$G$9</f>
        <v/>
      </c>
      <c r="U102" s="39">
        <f>U84*Products!$F$18*(1+Inputs!$C$28)*Timeline!U$8*Scenarios!$G$9</f>
        <v/>
      </c>
      <c r="V102" s="39">
        <f>V84*Products!$F$18*(1+Inputs!$C$28)*Timeline!V$8*Scenarios!$G$9</f>
        <v/>
      </c>
      <c r="W102" s="39">
        <f>W84*Products!$F$18*(1+Inputs!$C$28)*Timeline!W$8*Scenarios!$G$9</f>
        <v/>
      </c>
      <c r="X102" s="39">
        <f>X84*Products!$F$18*(1+Inputs!$C$28)*Timeline!X$8*Scenarios!$G$9</f>
        <v/>
      </c>
      <c r="Y102" s="39">
        <f>Y84*Products!$F$18*(1+Inputs!$C$28)*Timeline!Y$8*Scenarios!$G$9</f>
        <v/>
      </c>
      <c r="Z102" s="39">
        <f>Z84*Products!$F$18*(1+Inputs!$C$28)*Timeline!Z$8*Scenarios!$G$9</f>
        <v/>
      </c>
      <c r="AA102" s="39">
        <f>AA84*Products!$F$18*(1+Inputs!$C$28)*Timeline!AA$8*Scenarios!$G$9</f>
        <v/>
      </c>
      <c r="AB102" s="39">
        <f>AB84*Products!$F$18*(1+Inputs!$C$28)*Timeline!AB$8*Scenarios!$G$9</f>
        <v/>
      </c>
      <c r="AC102" s="39">
        <f>AC84*Products!$F$18*(1+Inputs!$C$28)*Timeline!AC$8*Scenarios!$G$9</f>
        <v/>
      </c>
      <c r="AD102" s="39">
        <f>AD84*Products!$F$18*(1+Inputs!$C$28)*Timeline!AD$8*Scenarios!$G$9</f>
        <v/>
      </c>
      <c r="AE102" s="39">
        <f>AE84*Products!$F$18*(1+Inputs!$C$28)*Timeline!AE$8*Scenarios!$G$9</f>
        <v/>
      </c>
      <c r="AF102" s="39">
        <f>AF84*Products!$F$18*(1+Inputs!$C$28)*Timeline!AF$8*Scenarios!$G$9</f>
        <v/>
      </c>
      <c r="AG102" s="39">
        <f>AG84*Products!$F$18*(1+Inputs!$C$28)*Timeline!AG$8*Scenarios!$G$9</f>
        <v/>
      </c>
      <c r="AH102" s="39">
        <f>AH84*Products!$F$18*(1+Inputs!$C$28)*Timeline!AH$8*Scenarios!$G$9</f>
        <v/>
      </c>
      <c r="AI102" s="39">
        <f>AI84*Products!$F$18*(1+Inputs!$C$28)*Timeline!AI$8*Scenarios!$G$9</f>
        <v/>
      </c>
      <c r="AJ102" s="39">
        <f>AJ84*Products!$F$18*(1+Inputs!$C$28)*Timeline!AJ$8*Scenarios!$G$9</f>
        <v/>
      </c>
      <c r="AK102" s="39">
        <f>AK84*Products!$F$18*(1+Inputs!$C$28)*Timeline!AK$8*Scenarios!$G$9</f>
        <v/>
      </c>
      <c r="AL102" s="39">
        <f>AL84*Products!$F$18*(1+Inputs!$C$28)*Timeline!AL$8*Scenarios!$G$9</f>
        <v/>
      </c>
      <c r="AM102" s="39">
        <f>AM84*Products!$F$18*(1+Inputs!$C$28)*Timeline!AM$8*Scenarios!$G$9</f>
        <v/>
      </c>
      <c r="AN102" s="39">
        <f>AN84*Products!$F$18*(1+Inputs!$C$28)*Timeline!AN$8*Scenarios!$G$9</f>
        <v/>
      </c>
      <c r="AO102" s="39">
        <f>AO84*Products!$F$18*(1+Inputs!$C$28)*Timeline!AO$8*Scenarios!$G$9</f>
        <v/>
      </c>
      <c r="AP102" s="39">
        <f>AP84*Products!$F$18*(1+Inputs!$C$28)*Timeline!AP$8*Scenarios!$G$9</f>
        <v/>
      </c>
      <c r="AQ102" s="39">
        <f>AQ84*Products!$F$18*(1+Inputs!$C$28)*Timeline!AQ$8*Scenarios!$G$9</f>
        <v/>
      </c>
      <c r="AR102" s="39">
        <f>AR84*Products!$F$18*(1+Inputs!$C$28)*Timeline!AR$8*Scenarios!$G$9</f>
        <v/>
      </c>
      <c r="AS102" s="39">
        <f>AS84*Products!$F$18*(1+Inputs!$C$28)*Timeline!AS$8*Scenarios!$G$9</f>
        <v/>
      </c>
      <c r="AT102" s="39">
        <f>AT84*Products!$F$18*(1+Inputs!$C$28)*Timeline!AT$8*Scenarios!$G$9</f>
        <v/>
      </c>
      <c r="AU102" s="39">
        <f>AU84*Products!$F$18*(1+Inputs!$C$28)*Timeline!AU$8*Scenarios!$G$9</f>
        <v/>
      </c>
      <c r="AV102" s="39">
        <f>AV84*Products!$F$18*(1+Inputs!$C$28)*Timeline!AV$8*Scenarios!$G$9</f>
        <v/>
      </c>
      <c r="AW102" s="39">
        <f>AW84*Products!$F$18*(1+Inputs!$C$28)*Timeline!AW$8*Scenarios!$G$9</f>
        <v/>
      </c>
      <c r="AX102" s="39">
        <f>AX84*Products!$F$18*(1+Inputs!$C$28)*Timeline!AX$8*Scenarios!$G$9</f>
        <v/>
      </c>
      <c r="AY102" s="39">
        <f>AY84*Products!$F$18*(1+Inputs!$C$28)*Timeline!AY$8*Scenarios!$G$9</f>
        <v/>
      </c>
      <c r="AZ102" s="39">
        <f>AZ84*Products!$F$18*(1+Inputs!$C$28)*Timeline!AZ$8*Scenarios!$G$9</f>
        <v/>
      </c>
      <c r="BA102" s="39">
        <f>BA84*Products!$F$18*(1+Inputs!$C$28)*Timeline!BA$8*Scenarios!$G$9</f>
        <v/>
      </c>
      <c r="BB102" s="39">
        <f>BB84*Products!$F$18*(1+Inputs!$C$28)*Timeline!BB$8*Scenarios!$G$9</f>
        <v/>
      </c>
      <c r="BC102" s="39">
        <f>BC84*Products!$F$18*(1+Inputs!$C$28)*Timeline!BC$8*Scenarios!$G$9</f>
        <v/>
      </c>
      <c r="BD102" s="39">
        <f>BD84*Products!$F$18*(1+Inputs!$C$28)*Timeline!BD$8*Scenarios!$G$9</f>
        <v/>
      </c>
      <c r="BE102" s="39">
        <f>BE84*Products!$F$18*(1+Inputs!$C$28)*Timeline!BE$8*Scenarios!$G$9</f>
        <v/>
      </c>
      <c r="BF102" s="39">
        <f>BF84*Products!$F$18*(1+Inputs!$C$28)*Timeline!BF$8*Scenarios!$G$9</f>
        <v/>
      </c>
      <c r="BG102" s="39">
        <f>BG84*Products!$F$18*(1+Inputs!$C$28)*Timeline!BG$8*Scenarios!$G$9</f>
        <v/>
      </c>
      <c r="BH102" s="39">
        <f>BH84*Products!$F$18*(1+Inputs!$C$28)*Timeline!BH$8*Scenarios!$G$9</f>
        <v/>
      </c>
      <c r="BI102" s="39">
        <f>BI84*Products!$F$18*(1+Inputs!$C$28)*Timeline!BI$8*Scenarios!$G$9</f>
        <v/>
      </c>
      <c r="BJ102" s="39">
        <f>BJ84*Products!$F$18*(1+Inputs!$C$28)*Timeline!BJ$8*Scenarios!$G$9</f>
        <v/>
      </c>
      <c r="BK102" s="39">
        <f>BK84*Products!$F$18*(1+Inputs!$C$28)*Timeline!BK$8*Scenarios!$G$9</f>
        <v/>
      </c>
      <c r="BL102" s="39">
        <f>BL84*Products!$F$18*(1+Inputs!$C$28)*Timeline!BL$8*Scenarios!$G$9</f>
        <v/>
      </c>
    </row>
    <row r="103">
      <c r="A103" s="55" t="inlineStr">
        <is>
          <t>Installation &amp; logistics</t>
        </is>
      </c>
      <c r="B103" s="26" t="inlineStr">
        <is>
          <t>LCY</t>
        </is>
      </c>
      <c r="C103" s="58">
        <f>SUM(E103:BL103)</f>
        <v/>
      </c>
      <c r="E103" s="39">
        <f>E84*Products!$F$19*Timeline!E$9</f>
        <v/>
      </c>
      <c r="F103" s="39">
        <f>F84*Products!$F$19*Timeline!F$9</f>
        <v/>
      </c>
      <c r="G103" s="39">
        <f>G84*Products!$F$19*Timeline!G$9</f>
        <v/>
      </c>
      <c r="H103" s="39">
        <f>H84*Products!$F$19*Timeline!H$9</f>
        <v/>
      </c>
      <c r="I103" s="39">
        <f>I84*Products!$F$19*Timeline!I$9</f>
        <v/>
      </c>
      <c r="J103" s="39">
        <f>J84*Products!$F$19*Timeline!J$9</f>
        <v/>
      </c>
      <c r="K103" s="39">
        <f>K84*Products!$F$19*Timeline!K$9</f>
        <v/>
      </c>
      <c r="L103" s="39">
        <f>L84*Products!$F$19*Timeline!L$9</f>
        <v/>
      </c>
      <c r="M103" s="39">
        <f>M84*Products!$F$19*Timeline!M$9</f>
        <v/>
      </c>
      <c r="N103" s="39">
        <f>N84*Products!$F$19*Timeline!N$9</f>
        <v/>
      </c>
      <c r="O103" s="39">
        <f>O84*Products!$F$19*Timeline!O$9</f>
        <v/>
      </c>
      <c r="P103" s="39">
        <f>P84*Products!$F$19*Timeline!P$9</f>
        <v/>
      </c>
      <c r="Q103" s="39">
        <f>Q84*Products!$F$19*Timeline!Q$9</f>
        <v/>
      </c>
      <c r="R103" s="39">
        <f>R84*Products!$F$19*Timeline!R$9</f>
        <v/>
      </c>
      <c r="S103" s="39">
        <f>S84*Products!$F$19*Timeline!S$9</f>
        <v/>
      </c>
      <c r="T103" s="39">
        <f>T84*Products!$F$19*Timeline!T$9</f>
        <v/>
      </c>
      <c r="U103" s="39">
        <f>U84*Products!$F$19*Timeline!U$9</f>
        <v/>
      </c>
      <c r="V103" s="39">
        <f>V84*Products!$F$19*Timeline!V$9</f>
        <v/>
      </c>
      <c r="W103" s="39">
        <f>W84*Products!$F$19*Timeline!W$9</f>
        <v/>
      </c>
      <c r="X103" s="39">
        <f>X84*Products!$F$19*Timeline!X$9</f>
        <v/>
      </c>
      <c r="Y103" s="39">
        <f>Y84*Products!$F$19*Timeline!Y$9</f>
        <v/>
      </c>
      <c r="Z103" s="39">
        <f>Z84*Products!$F$19*Timeline!Z$9</f>
        <v/>
      </c>
      <c r="AA103" s="39">
        <f>AA84*Products!$F$19*Timeline!AA$9</f>
        <v/>
      </c>
      <c r="AB103" s="39">
        <f>AB84*Products!$F$19*Timeline!AB$9</f>
        <v/>
      </c>
      <c r="AC103" s="39">
        <f>AC84*Products!$F$19*Timeline!AC$9</f>
        <v/>
      </c>
      <c r="AD103" s="39">
        <f>AD84*Products!$F$19*Timeline!AD$9</f>
        <v/>
      </c>
      <c r="AE103" s="39">
        <f>AE84*Products!$F$19*Timeline!AE$9</f>
        <v/>
      </c>
      <c r="AF103" s="39">
        <f>AF84*Products!$F$19*Timeline!AF$9</f>
        <v/>
      </c>
      <c r="AG103" s="39">
        <f>AG84*Products!$F$19*Timeline!AG$9</f>
        <v/>
      </c>
      <c r="AH103" s="39">
        <f>AH84*Products!$F$19*Timeline!AH$9</f>
        <v/>
      </c>
      <c r="AI103" s="39">
        <f>AI84*Products!$F$19*Timeline!AI$9</f>
        <v/>
      </c>
      <c r="AJ103" s="39">
        <f>AJ84*Products!$F$19*Timeline!AJ$9</f>
        <v/>
      </c>
      <c r="AK103" s="39">
        <f>AK84*Products!$F$19*Timeline!AK$9</f>
        <v/>
      </c>
      <c r="AL103" s="39">
        <f>AL84*Products!$F$19*Timeline!AL$9</f>
        <v/>
      </c>
      <c r="AM103" s="39">
        <f>AM84*Products!$F$19*Timeline!AM$9</f>
        <v/>
      </c>
      <c r="AN103" s="39">
        <f>AN84*Products!$F$19*Timeline!AN$9</f>
        <v/>
      </c>
      <c r="AO103" s="39">
        <f>AO84*Products!$F$19*Timeline!AO$9</f>
        <v/>
      </c>
      <c r="AP103" s="39">
        <f>AP84*Products!$F$19*Timeline!AP$9</f>
        <v/>
      </c>
      <c r="AQ103" s="39">
        <f>AQ84*Products!$F$19*Timeline!AQ$9</f>
        <v/>
      </c>
      <c r="AR103" s="39">
        <f>AR84*Products!$F$19*Timeline!AR$9</f>
        <v/>
      </c>
      <c r="AS103" s="39">
        <f>AS84*Products!$F$19*Timeline!AS$9</f>
        <v/>
      </c>
      <c r="AT103" s="39">
        <f>AT84*Products!$F$19*Timeline!AT$9</f>
        <v/>
      </c>
      <c r="AU103" s="39">
        <f>AU84*Products!$F$19*Timeline!AU$9</f>
        <v/>
      </c>
      <c r="AV103" s="39">
        <f>AV84*Products!$F$19*Timeline!AV$9</f>
        <v/>
      </c>
      <c r="AW103" s="39">
        <f>AW84*Products!$F$19*Timeline!AW$9</f>
        <v/>
      </c>
      <c r="AX103" s="39">
        <f>AX84*Products!$F$19*Timeline!AX$9</f>
        <v/>
      </c>
      <c r="AY103" s="39">
        <f>AY84*Products!$F$19*Timeline!AY$9</f>
        <v/>
      </c>
      <c r="AZ103" s="39">
        <f>AZ84*Products!$F$19*Timeline!AZ$9</f>
        <v/>
      </c>
      <c r="BA103" s="39">
        <f>BA84*Products!$F$19*Timeline!BA$9</f>
        <v/>
      </c>
      <c r="BB103" s="39">
        <f>BB84*Products!$F$19*Timeline!BB$9</f>
        <v/>
      </c>
      <c r="BC103" s="39">
        <f>BC84*Products!$F$19*Timeline!BC$9</f>
        <v/>
      </c>
      <c r="BD103" s="39">
        <f>BD84*Products!$F$19*Timeline!BD$9</f>
        <v/>
      </c>
      <c r="BE103" s="39">
        <f>BE84*Products!$F$19*Timeline!BE$9</f>
        <v/>
      </c>
      <c r="BF103" s="39">
        <f>BF84*Products!$F$19*Timeline!BF$9</f>
        <v/>
      </c>
      <c r="BG103" s="39">
        <f>BG84*Products!$F$19*Timeline!BG$9</f>
        <v/>
      </c>
      <c r="BH103" s="39">
        <f>BH84*Products!$F$19*Timeline!BH$9</f>
        <v/>
      </c>
      <c r="BI103" s="39">
        <f>BI84*Products!$F$19*Timeline!BI$9</f>
        <v/>
      </c>
      <c r="BJ103" s="39">
        <f>BJ84*Products!$F$19*Timeline!BJ$9</f>
        <v/>
      </c>
      <c r="BK103" s="39">
        <f>BK84*Products!$F$19*Timeline!BK$9</f>
        <v/>
      </c>
      <c r="BL103" s="39">
        <f>BL84*Products!$F$19*Timeline!BL$9</f>
        <v/>
      </c>
    </row>
    <row r="104">
      <c r="A104" s="55" t="inlineStr">
        <is>
          <t>Warranty &amp; after-sales provision</t>
        </is>
      </c>
      <c r="B104" s="26" t="inlineStr">
        <is>
          <t>LCY</t>
        </is>
      </c>
      <c r="C104" s="58">
        <f>SUM(E104:BL104)</f>
        <v/>
      </c>
      <c r="E104" s="39">
        <f>E102*Products!$F$22</f>
        <v/>
      </c>
      <c r="F104" s="39">
        <f>F102*Products!$F$22</f>
        <v/>
      </c>
      <c r="G104" s="39">
        <f>G102*Products!$F$22</f>
        <v/>
      </c>
      <c r="H104" s="39">
        <f>H102*Products!$F$22</f>
        <v/>
      </c>
      <c r="I104" s="39">
        <f>I102*Products!$F$22</f>
        <v/>
      </c>
      <c r="J104" s="39">
        <f>J102*Products!$F$22</f>
        <v/>
      </c>
      <c r="K104" s="39">
        <f>K102*Products!$F$22</f>
        <v/>
      </c>
      <c r="L104" s="39">
        <f>L102*Products!$F$22</f>
        <v/>
      </c>
      <c r="M104" s="39">
        <f>M102*Products!$F$22</f>
        <v/>
      </c>
      <c r="N104" s="39">
        <f>N102*Products!$F$22</f>
        <v/>
      </c>
      <c r="O104" s="39">
        <f>O102*Products!$F$22</f>
        <v/>
      </c>
      <c r="P104" s="39">
        <f>P102*Products!$F$22</f>
        <v/>
      </c>
      <c r="Q104" s="39">
        <f>Q102*Products!$F$22</f>
        <v/>
      </c>
      <c r="R104" s="39">
        <f>R102*Products!$F$22</f>
        <v/>
      </c>
      <c r="S104" s="39">
        <f>S102*Products!$F$22</f>
        <v/>
      </c>
      <c r="T104" s="39">
        <f>T102*Products!$F$22</f>
        <v/>
      </c>
      <c r="U104" s="39">
        <f>U102*Products!$F$22</f>
        <v/>
      </c>
      <c r="V104" s="39">
        <f>V102*Products!$F$22</f>
        <v/>
      </c>
      <c r="W104" s="39">
        <f>W102*Products!$F$22</f>
        <v/>
      </c>
      <c r="X104" s="39">
        <f>X102*Products!$F$22</f>
        <v/>
      </c>
      <c r="Y104" s="39">
        <f>Y102*Products!$F$22</f>
        <v/>
      </c>
      <c r="Z104" s="39">
        <f>Z102*Products!$F$22</f>
        <v/>
      </c>
      <c r="AA104" s="39">
        <f>AA102*Products!$F$22</f>
        <v/>
      </c>
      <c r="AB104" s="39">
        <f>AB102*Products!$F$22</f>
        <v/>
      </c>
      <c r="AC104" s="39">
        <f>AC102*Products!$F$22</f>
        <v/>
      </c>
      <c r="AD104" s="39">
        <f>AD102*Products!$F$22</f>
        <v/>
      </c>
      <c r="AE104" s="39">
        <f>AE102*Products!$F$22</f>
        <v/>
      </c>
      <c r="AF104" s="39">
        <f>AF102*Products!$F$22</f>
        <v/>
      </c>
      <c r="AG104" s="39">
        <f>AG102*Products!$F$22</f>
        <v/>
      </c>
      <c r="AH104" s="39">
        <f>AH102*Products!$F$22</f>
        <v/>
      </c>
      <c r="AI104" s="39">
        <f>AI102*Products!$F$22</f>
        <v/>
      </c>
      <c r="AJ104" s="39">
        <f>AJ102*Products!$F$22</f>
        <v/>
      </c>
      <c r="AK104" s="39">
        <f>AK102*Products!$F$22</f>
        <v/>
      </c>
      <c r="AL104" s="39">
        <f>AL102*Products!$F$22</f>
        <v/>
      </c>
      <c r="AM104" s="39">
        <f>AM102*Products!$F$22</f>
        <v/>
      </c>
      <c r="AN104" s="39">
        <f>AN102*Products!$F$22</f>
        <v/>
      </c>
      <c r="AO104" s="39">
        <f>AO102*Products!$F$22</f>
        <v/>
      </c>
      <c r="AP104" s="39">
        <f>AP102*Products!$F$22</f>
        <v/>
      </c>
      <c r="AQ104" s="39">
        <f>AQ102*Products!$F$22</f>
        <v/>
      </c>
      <c r="AR104" s="39">
        <f>AR102*Products!$F$22</f>
        <v/>
      </c>
      <c r="AS104" s="39">
        <f>AS102*Products!$F$22</f>
        <v/>
      </c>
      <c r="AT104" s="39">
        <f>AT102*Products!$F$22</f>
        <v/>
      </c>
      <c r="AU104" s="39">
        <f>AU102*Products!$F$22</f>
        <v/>
      </c>
      <c r="AV104" s="39">
        <f>AV102*Products!$F$22</f>
        <v/>
      </c>
      <c r="AW104" s="39">
        <f>AW102*Products!$F$22</f>
        <v/>
      </c>
      <c r="AX104" s="39">
        <f>AX102*Products!$F$22</f>
        <v/>
      </c>
      <c r="AY104" s="39">
        <f>AY102*Products!$F$22</f>
        <v/>
      </c>
      <c r="AZ104" s="39">
        <f>AZ102*Products!$F$22</f>
        <v/>
      </c>
      <c r="BA104" s="39">
        <f>BA102*Products!$F$22</f>
        <v/>
      </c>
      <c r="BB104" s="39">
        <f>BB102*Products!$F$22</f>
        <v/>
      </c>
      <c r="BC104" s="39">
        <f>BC102*Products!$F$22</f>
        <v/>
      </c>
      <c r="BD104" s="39">
        <f>BD102*Products!$F$22</f>
        <v/>
      </c>
      <c r="BE104" s="39">
        <f>BE102*Products!$F$22</f>
        <v/>
      </c>
      <c r="BF104" s="39">
        <f>BF102*Products!$F$22</f>
        <v/>
      </c>
      <c r="BG104" s="39">
        <f>BG102*Products!$F$22</f>
        <v/>
      </c>
      <c r="BH104" s="39">
        <f>BH102*Products!$F$22</f>
        <v/>
      </c>
      <c r="BI104" s="39">
        <f>BI102*Products!$F$22</f>
        <v/>
      </c>
      <c r="BJ104" s="39">
        <f>BJ102*Products!$F$22</f>
        <v/>
      </c>
      <c r="BK104" s="39">
        <f>BK102*Products!$F$22</f>
        <v/>
      </c>
      <c r="BL104" s="39">
        <f>BL102*Products!$F$22</f>
        <v/>
      </c>
    </row>
    <row r="105">
      <c r="A105" s="55" t="inlineStr">
        <is>
          <t>Commissions</t>
        </is>
      </c>
      <c r="B105" s="26" t="inlineStr">
        <is>
          <t>LCY</t>
        </is>
      </c>
      <c r="C105" s="58">
        <f>SUM(E105:BL105)</f>
        <v/>
      </c>
      <c r="E105" s="39">
        <f>E84*Products!$F$20*Timeline!E$9</f>
        <v/>
      </c>
      <c r="F105" s="39">
        <f>F84*Products!$F$20*Timeline!F$9</f>
        <v/>
      </c>
      <c r="G105" s="39">
        <f>G84*Products!$F$20*Timeline!G$9</f>
        <v/>
      </c>
      <c r="H105" s="39">
        <f>H84*Products!$F$20*Timeline!H$9</f>
        <v/>
      </c>
      <c r="I105" s="39">
        <f>I84*Products!$F$20*Timeline!I$9</f>
        <v/>
      </c>
      <c r="J105" s="39">
        <f>J84*Products!$F$20*Timeline!J$9</f>
        <v/>
      </c>
      <c r="K105" s="39">
        <f>K84*Products!$F$20*Timeline!K$9</f>
        <v/>
      </c>
      <c r="L105" s="39">
        <f>L84*Products!$F$20*Timeline!L$9</f>
        <v/>
      </c>
      <c r="M105" s="39">
        <f>M84*Products!$F$20*Timeline!M$9</f>
        <v/>
      </c>
      <c r="N105" s="39">
        <f>N84*Products!$F$20*Timeline!N$9</f>
        <v/>
      </c>
      <c r="O105" s="39">
        <f>O84*Products!$F$20*Timeline!O$9</f>
        <v/>
      </c>
      <c r="P105" s="39">
        <f>P84*Products!$F$20*Timeline!P$9</f>
        <v/>
      </c>
      <c r="Q105" s="39">
        <f>Q84*Products!$F$20*Timeline!Q$9</f>
        <v/>
      </c>
      <c r="R105" s="39">
        <f>R84*Products!$F$20*Timeline!R$9</f>
        <v/>
      </c>
      <c r="S105" s="39">
        <f>S84*Products!$F$20*Timeline!S$9</f>
        <v/>
      </c>
      <c r="T105" s="39">
        <f>T84*Products!$F$20*Timeline!T$9</f>
        <v/>
      </c>
      <c r="U105" s="39">
        <f>U84*Products!$F$20*Timeline!U$9</f>
        <v/>
      </c>
      <c r="V105" s="39">
        <f>V84*Products!$F$20*Timeline!V$9</f>
        <v/>
      </c>
      <c r="W105" s="39">
        <f>W84*Products!$F$20*Timeline!W$9</f>
        <v/>
      </c>
      <c r="X105" s="39">
        <f>X84*Products!$F$20*Timeline!X$9</f>
        <v/>
      </c>
      <c r="Y105" s="39">
        <f>Y84*Products!$F$20*Timeline!Y$9</f>
        <v/>
      </c>
      <c r="Z105" s="39">
        <f>Z84*Products!$F$20*Timeline!Z$9</f>
        <v/>
      </c>
      <c r="AA105" s="39">
        <f>AA84*Products!$F$20*Timeline!AA$9</f>
        <v/>
      </c>
      <c r="AB105" s="39">
        <f>AB84*Products!$F$20*Timeline!AB$9</f>
        <v/>
      </c>
      <c r="AC105" s="39">
        <f>AC84*Products!$F$20*Timeline!AC$9</f>
        <v/>
      </c>
      <c r="AD105" s="39">
        <f>AD84*Products!$F$20*Timeline!AD$9</f>
        <v/>
      </c>
      <c r="AE105" s="39">
        <f>AE84*Products!$F$20*Timeline!AE$9</f>
        <v/>
      </c>
      <c r="AF105" s="39">
        <f>AF84*Products!$F$20*Timeline!AF$9</f>
        <v/>
      </c>
      <c r="AG105" s="39">
        <f>AG84*Products!$F$20*Timeline!AG$9</f>
        <v/>
      </c>
      <c r="AH105" s="39">
        <f>AH84*Products!$F$20*Timeline!AH$9</f>
        <v/>
      </c>
      <c r="AI105" s="39">
        <f>AI84*Products!$F$20*Timeline!AI$9</f>
        <v/>
      </c>
      <c r="AJ105" s="39">
        <f>AJ84*Products!$F$20*Timeline!AJ$9</f>
        <v/>
      </c>
      <c r="AK105" s="39">
        <f>AK84*Products!$F$20*Timeline!AK$9</f>
        <v/>
      </c>
      <c r="AL105" s="39">
        <f>AL84*Products!$F$20*Timeline!AL$9</f>
        <v/>
      </c>
      <c r="AM105" s="39">
        <f>AM84*Products!$F$20*Timeline!AM$9</f>
        <v/>
      </c>
      <c r="AN105" s="39">
        <f>AN84*Products!$F$20*Timeline!AN$9</f>
        <v/>
      </c>
      <c r="AO105" s="39">
        <f>AO84*Products!$F$20*Timeline!AO$9</f>
        <v/>
      </c>
      <c r="AP105" s="39">
        <f>AP84*Products!$F$20*Timeline!AP$9</f>
        <v/>
      </c>
      <c r="AQ105" s="39">
        <f>AQ84*Products!$F$20*Timeline!AQ$9</f>
        <v/>
      </c>
      <c r="AR105" s="39">
        <f>AR84*Products!$F$20*Timeline!AR$9</f>
        <v/>
      </c>
      <c r="AS105" s="39">
        <f>AS84*Products!$F$20*Timeline!AS$9</f>
        <v/>
      </c>
      <c r="AT105" s="39">
        <f>AT84*Products!$F$20*Timeline!AT$9</f>
        <v/>
      </c>
      <c r="AU105" s="39">
        <f>AU84*Products!$F$20*Timeline!AU$9</f>
        <v/>
      </c>
      <c r="AV105" s="39">
        <f>AV84*Products!$F$20*Timeline!AV$9</f>
        <v/>
      </c>
      <c r="AW105" s="39">
        <f>AW84*Products!$F$20*Timeline!AW$9</f>
        <v/>
      </c>
      <c r="AX105" s="39">
        <f>AX84*Products!$F$20*Timeline!AX$9</f>
        <v/>
      </c>
      <c r="AY105" s="39">
        <f>AY84*Products!$F$20*Timeline!AY$9</f>
        <v/>
      </c>
      <c r="AZ105" s="39">
        <f>AZ84*Products!$F$20*Timeline!AZ$9</f>
        <v/>
      </c>
      <c r="BA105" s="39">
        <f>BA84*Products!$F$20*Timeline!BA$9</f>
        <v/>
      </c>
      <c r="BB105" s="39">
        <f>BB84*Products!$F$20*Timeline!BB$9</f>
        <v/>
      </c>
      <c r="BC105" s="39">
        <f>BC84*Products!$F$20*Timeline!BC$9</f>
        <v/>
      </c>
      <c r="BD105" s="39">
        <f>BD84*Products!$F$20*Timeline!BD$9</f>
        <v/>
      </c>
      <c r="BE105" s="39">
        <f>BE84*Products!$F$20*Timeline!BE$9</f>
        <v/>
      </c>
      <c r="BF105" s="39">
        <f>BF84*Products!$F$20*Timeline!BF$9</f>
        <v/>
      </c>
      <c r="BG105" s="39">
        <f>BG84*Products!$F$20*Timeline!BG$9</f>
        <v/>
      </c>
      <c r="BH105" s="39">
        <f>BH84*Products!$F$20*Timeline!BH$9</f>
        <v/>
      </c>
      <c r="BI105" s="39">
        <f>BI84*Products!$F$20*Timeline!BI$9</f>
        <v/>
      </c>
      <c r="BJ105" s="39">
        <f>BJ84*Products!$F$20*Timeline!BJ$9</f>
        <v/>
      </c>
      <c r="BK105" s="39">
        <f>BK84*Products!$F$20*Timeline!BK$9</f>
        <v/>
      </c>
      <c r="BL105" s="39">
        <f>BL84*Products!$F$20*Timeline!BL$9</f>
        <v/>
      </c>
    </row>
    <row r="106">
      <c r="A106" s="55" t="inlineStr">
        <is>
          <t>Marketing &amp; acquisition</t>
        </is>
      </c>
      <c r="B106" s="26" t="inlineStr">
        <is>
          <t>LCY</t>
        </is>
      </c>
      <c r="C106" s="58">
        <f>SUM(E106:BL106)</f>
        <v/>
      </c>
      <c r="E106" s="39">
        <f>E84*Products!$F$21*Timeline!E$9</f>
        <v/>
      </c>
      <c r="F106" s="39">
        <f>F84*Products!$F$21*Timeline!F$9</f>
        <v/>
      </c>
      <c r="G106" s="39">
        <f>G84*Products!$F$21*Timeline!G$9</f>
        <v/>
      </c>
      <c r="H106" s="39">
        <f>H84*Products!$F$21*Timeline!H$9</f>
        <v/>
      </c>
      <c r="I106" s="39">
        <f>I84*Products!$F$21*Timeline!I$9</f>
        <v/>
      </c>
      <c r="J106" s="39">
        <f>J84*Products!$F$21*Timeline!J$9</f>
        <v/>
      </c>
      <c r="K106" s="39">
        <f>K84*Products!$F$21*Timeline!K$9</f>
        <v/>
      </c>
      <c r="L106" s="39">
        <f>L84*Products!$F$21*Timeline!L$9</f>
        <v/>
      </c>
      <c r="M106" s="39">
        <f>M84*Products!$F$21*Timeline!M$9</f>
        <v/>
      </c>
      <c r="N106" s="39">
        <f>N84*Products!$F$21*Timeline!N$9</f>
        <v/>
      </c>
      <c r="O106" s="39">
        <f>O84*Products!$F$21*Timeline!O$9</f>
        <v/>
      </c>
      <c r="P106" s="39">
        <f>P84*Products!$F$21*Timeline!P$9</f>
        <v/>
      </c>
      <c r="Q106" s="39">
        <f>Q84*Products!$F$21*Timeline!Q$9</f>
        <v/>
      </c>
      <c r="R106" s="39">
        <f>R84*Products!$F$21*Timeline!R$9</f>
        <v/>
      </c>
      <c r="S106" s="39">
        <f>S84*Products!$F$21*Timeline!S$9</f>
        <v/>
      </c>
      <c r="T106" s="39">
        <f>T84*Products!$F$21*Timeline!T$9</f>
        <v/>
      </c>
      <c r="U106" s="39">
        <f>U84*Products!$F$21*Timeline!U$9</f>
        <v/>
      </c>
      <c r="V106" s="39">
        <f>V84*Products!$F$21*Timeline!V$9</f>
        <v/>
      </c>
      <c r="W106" s="39">
        <f>W84*Products!$F$21*Timeline!W$9</f>
        <v/>
      </c>
      <c r="X106" s="39">
        <f>X84*Products!$F$21*Timeline!X$9</f>
        <v/>
      </c>
      <c r="Y106" s="39">
        <f>Y84*Products!$F$21*Timeline!Y$9</f>
        <v/>
      </c>
      <c r="Z106" s="39">
        <f>Z84*Products!$F$21*Timeline!Z$9</f>
        <v/>
      </c>
      <c r="AA106" s="39">
        <f>AA84*Products!$F$21*Timeline!AA$9</f>
        <v/>
      </c>
      <c r="AB106" s="39">
        <f>AB84*Products!$F$21*Timeline!AB$9</f>
        <v/>
      </c>
      <c r="AC106" s="39">
        <f>AC84*Products!$F$21*Timeline!AC$9</f>
        <v/>
      </c>
      <c r="AD106" s="39">
        <f>AD84*Products!$F$21*Timeline!AD$9</f>
        <v/>
      </c>
      <c r="AE106" s="39">
        <f>AE84*Products!$F$21*Timeline!AE$9</f>
        <v/>
      </c>
      <c r="AF106" s="39">
        <f>AF84*Products!$F$21*Timeline!AF$9</f>
        <v/>
      </c>
      <c r="AG106" s="39">
        <f>AG84*Products!$F$21*Timeline!AG$9</f>
        <v/>
      </c>
      <c r="AH106" s="39">
        <f>AH84*Products!$F$21*Timeline!AH$9</f>
        <v/>
      </c>
      <c r="AI106" s="39">
        <f>AI84*Products!$F$21*Timeline!AI$9</f>
        <v/>
      </c>
      <c r="AJ106" s="39">
        <f>AJ84*Products!$F$21*Timeline!AJ$9</f>
        <v/>
      </c>
      <c r="AK106" s="39">
        <f>AK84*Products!$F$21*Timeline!AK$9</f>
        <v/>
      </c>
      <c r="AL106" s="39">
        <f>AL84*Products!$F$21*Timeline!AL$9</f>
        <v/>
      </c>
      <c r="AM106" s="39">
        <f>AM84*Products!$F$21*Timeline!AM$9</f>
        <v/>
      </c>
      <c r="AN106" s="39">
        <f>AN84*Products!$F$21*Timeline!AN$9</f>
        <v/>
      </c>
      <c r="AO106" s="39">
        <f>AO84*Products!$F$21*Timeline!AO$9</f>
        <v/>
      </c>
      <c r="AP106" s="39">
        <f>AP84*Products!$F$21*Timeline!AP$9</f>
        <v/>
      </c>
      <c r="AQ106" s="39">
        <f>AQ84*Products!$F$21*Timeline!AQ$9</f>
        <v/>
      </c>
      <c r="AR106" s="39">
        <f>AR84*Products!$F$21*Timeline!AR$9</f>
        <v/>
      </c>
      <c r="AS106" s="39">
        <f>AS84*Products!$F$21*Timeline!AS$9</f>
        <v/>
      </c>
      <c r="AT106" s="39">
        <f>AT84*Products!$F$21*Timeline!AT$9</f>
        <v/>
      </c>
      <c r="AU106" s="39">
        <f>AU84*Products!$F$21*Timeline!AU$9</f>
        <v/>
      </c>
      <c r="AV106" s="39">
        <f>AV84*Products!$F$21*Timeline!AV$9</f>
        <v/>
      </c>
      <c r="AW106" s="39">
        <f>AW84*Products!$F$21*Timeline!AW$9</f>
        <v/>
      </c>
      <c r="AX106" s="39">
        <f>AX84*Products!$F$21*Timeline!AX$9</f>
        <v/>
      </c>
      <c r="AY106" s="39">
        <f>AY84*Products!$F$21*Timeline!AY$9</f>
        <v/>
      </c>
      <c r="AZ106" s="39">
        <f>AZ84*Products!$F$21*Timeline!AZ$9</f>
        <v/>
      </c>
      <c r="BA106" s="39">
        <f>BA84*Products!$F$21*Timeline!BA$9</f>
        <v/>
      </c>
      <c r="BB106" s="39">
        <f>BB84*Products!$F$21*Timeline!BB$9</f>
        <v/>
      </c>
      <c r="BC106" s="39">
        <f>BC84*Products!$F$21*Timeline!BC$9</f>
        <v/>
      </c>
      <c r="BD106" s="39">
        <f>BD84*Products!$F$21*Timeline!BD$9</f>
        <v/>
      </c>
      <c r="BE106" s="39">
        <f>BE84*Products!$F$21*Timeline!BE$9</f>
        <v/>
      </c>
      <c r="BF106" s="39">
        <f>BF84*Products!$F$21*Timeline!BF$9</f>
        <v/>
      </c>
      <c r="BG106" s="39">
        <f>BG84*Products!$F$21*Timeline!BG$9</f>
        <v/>
      </c>
      <c r="BH106" s="39">
        <f>BH84*Products!$F$21*Timeline!BH$9</f>
        <v/>
      </c>
      <c r="BI106" s="39">
        <f>BI84*Products!$F$21*Timeline!BI$9</f>
        <v/>
      </c>
      <c r="BJ106" s="39">
        <f>BJ84*Products!$F$21*Timeline!BJ$9</f>
        <v/>
      </c>
      <c r="BK106" s="39">
        <f>BK84*Products!$F$21*Timeline!BK$9</f>
        <v/>
      </c>
      <c r="BL106" s="39">
        <f>BL84*Products!$F$21*Timeline!BL$9</f>
        <v/>
      </c>
    </row>
    <row r="107"/>
    <row r="108">
      <c r="A108" s="14">
        <f>Products!$G$6</f>
        <v/>
      </c>
      <c r="B108" s="15" t="n"/>
      <c r="C108" s="15" t="n"/>
      <c r="D108" s="15" t="n"/>
      <c r="E108" s="15" t="n"/>
      <c r="F108" s="15" t="n"/>
      <c r="G108" s="15" t="n"/>
      <c r="H108" s="15" t="n"/>
      <c r="I108" s="15" t="n"/>
      <c r="J108" s="15" t="n"/>
      <c r="K108" s="15" t="n"/>
      <c r="L108" s="15" t="n"/>
      <c r="M108" s="15" t="n"/>
      <c r="N108" s="15" t="n"/>
      <c r="O108" s="15" t="n"/>
      <c r="P108" s="15" t="n"/>
      <c r="Q108" s="15" t="n"/>
      <c r="R108" s="15" t="n"/>
      <c r="S108" s="15" t="n"/>
      <c r="T108" s="15" t="n"/>
      <c r="U108" s="15" t="n"/>
      <c r="V108" s="15" t="n"/>
      <c r="W108" s="15" t="n"/>
      <c r="X108" s="15" t="n"/>
      <c r="Y108" s="15" t="n"/>
      <c r="Z108" s="15" t="n"/>
      <c r="AA108" s="15" t="n"/>
      <c r="AB108" s="15" t="n"/>
      <c r="AC108" s="15" t="n"/>
      <c r="AD108" s="15" t="n"/>
      <c r="AE108" s="15" t="n"/>
      <c r="AF108" s="15" t="n"/>
      <c r="AG108" s="15" t="n"/>
      <c r="AH108" s="15" t="n"/>
      <c r="AI108" s="15" t="n"/>
      <c r="AJ108" s="15" t="n"/>
      <c r="AK108" s="15" t="n"/>
      <c r="AL108" s="15" t="n"/>
      <c r="AM108" s="15" t="n"/>
      <c r="AN108" s="15" t="n"/>
      <c r="AO108" s="15" t="n"/>
      <c r="AP108" s="15" t="n"/>
      <c r="AQ108" s="15" t="n"/>
      <c r="AR108" s="15" t="n"/>
      <c r="AS108" s="15" t="n"/>
      <c r="AT108" s="15" t="n"/>
      <c r="AU108" s="15" t="n"/>
      <c r="AV108" s="15" t="n"/>
      <c r="AW108" s="15" t="n"/>
      <c r="AX108" s="15" t="n"/>
      <c r="AY108" s="15" t="n"/>
      <c r="AZ108" s="15" t="n"/>
      <c r="BA108" s="15" t="n"/>
      <c r="BB108" s="15" t="n"/>
      <c r="BC108" s="15" t="n"/>
      <c r="BD108" s="15" t="n"/>
      <c r="BE108" s="15" t="n"/>
      <c r="BF108" s="15" t="n"/>
      <c r="BG108" s="15" t="n"/>
      <c r="BH108" s="15" t="n"/>
      <c r="BI108" s="15" t="n"/>
      <c r="BJ108" s="15" t="n"/>
      <c r="BK108" s="15" t="n"/>
      <c r="BL108" s="15" t="n"/>
    </row>
    <row r="109">
      <c r="A109" s="55" t="inlineStr">
        <is>
          <t>Units sold</t>
        </is>
      </c>
      <c r="B109" s="26" t="inlineStr">
        <is>
          <t>units</t>
        </is>
      </c>
      <c r="C109" s="58">
        <f>SUM(E109:BL109)</f>
        <v/>
      </c>
      <c r="E109" s="39">
        <f>Timeline!E$11*Products!$G$23</f>
        <v/>
      </c>
      <c r="F109" s="39">
        <f>Timeline!F$11*Products!$G$23</f>
        <v/>
      </c>
      <c r="G109" s="39">
        <f>Timeline!G$11*Products!$G$23</f>
        <v/>
      </c>
      <c r="H109" s="39">
        <f>Timeline!H$11*Products!$G$23</f>
        <v/>
      </c>
      <c r="I109" s="39">
        <f>Timeline!I$11*Products!$G$23</f>
        <v/>
      </c>
      <c r="J109" s="39">
        <f>Timeline!J$11*Products!$G$23</f>
        <v/>
      </c>
      <c r="K109" s="39">
        <f>Timeline!K$11*Products!$G$23</f>
        <v/>
      </c>
      <c r="L109" s="39">
        <f>Timeline!L$11*Products!$G$23</f>
        <v/>
      </c>
      <c r="M109" s="39">
        <f>Timeline!M$11*Products!$G$23</f>
        <v/>
      </c>
      <c r="N109" s="39">
        <f>Timeline!N$11*Products!$G$23</f>
        <v/>
      </c>
      <c r="O109" s="39">
        <f>Timeline!O$11*Products!$G$23</f>
        <v/>
      </c>
      <c r="P109" s="39">
        <f>Timeline!P$11*Products!$G$23</f>
        <v/>
      </c>
      <c r="Q109" s="39">
        <f>Timeline!Q$11*Products!$G$23</f>
        <v/>
      </c>
      <c r="R109" s="39">
        <f>Timeline!R$11*Products!$G$23</f>
        <v/>
      </c>
      <c r="S109" s="39">
        <f>Timeline!S$11*Products!$G$23</f>
        <v/>
      </c>
      <c r="T109" s="39">
        <f>Timeline!T$11*Products!$G$23</f>
        <v/>
      </c>
      <c r="U109" s="39">
        <f>Timeline!U$11*Products!$G$23</f>
        <v/>
      </c>
      <c r="V109" s="39">
        <f>Timeline!V$11*Products!$G$23</f>
        <v/>
      </c>
      <c r="W109" s="39">
        <f>Timeline!W$11*Products!$G$23</f>
        <v/>
      </c>
      <c r="X109" s="39">
        <f>Timeline!X$11*Products!$G$23</f>
        <v/>
      </c>
      <c r="Y109" s="39">
        <f>Timeline!Y$11*Products!$G$23</f>
        <v/>
      </c>
      <c r="Z109" s="39">
        <f>Timeline!Z$11*Products!$G$23</f>
        <v/>
      </c>
      <c r="AA109" s="39">
        <f>Timeline!AA$11*Products!$G$23</f>
        <v/>
      </c>
      <c r="AB109" s="39">
        <f>Timeline!AB$11*Products!$G$23</f>
        <v/>
      </c>
      <c r="AC109" s="39">
        <f>Timeline!AC$11*Products!$G$23</f>
        <v/>
      </c>
      <c r="AD109" s="39">
        <f>Timeline!AD$11*Products!$G$23</f>
        <v/>
      </c>
      <c r="AE109" s="39">
        <f>Timeline!AE$11*Products!$G$23</f>
        <v/>
      </c>
      <c r="AF109" s="39">
        <f>Timeline!AF$11*Products!$G$23</f>
        <v/>
      </c>
      <c r="AG109" s="39">
        <f>Timeline!AG$11*Products!$G$23</f>
        <v/>
      </c>
      <c r="AH109" s="39">
        <f>Timeline!AH$11*Products!$G$23</f>
        <v/>
      </c>
      <c r="AI109" s="39">
        <f>Timeline!AI$11*Products!$G$23</f>
        <v/>
      </c>
      <c r="AJ109" s="39">
        <f>Timeline!AJ$11*Products!$G$23</f>
        <v/>
      </c>
      <c r="AK109" s="39">
        <f>Timeline!AK$11*Products!$G$23</f>
        <v/>
      </c>
      <c r="AL109" s="39">
        <f>Timeline!AL$11*Products!$G$23</f>
        <v/>
      </c>
      <c r="AM109" s="39">
        <f>Timeline!AM$11*Products!$G$23</f>
        <v/>
      </c>
      <c r="AN109" s="39">
        <f>Timeline!AN$11*Products!$G$23</f>
        <v/>
      </c>
      <c r="AO109" s="39">
        <f>Timeline!AO$11*Products!$G$23</f>
        <v/>
      </c>
      <c r="AP109" s="39">
        <f>Timeline!AP$11*Products!$G$23</f>
        <v/>
      </c>
      <c r="AQ109" s="39">
        <f>Timeline!AQ$11*Products!$G$23</f>
        <v/>
      </c>
      <c r="AR109" s="39">
        <f>Timeline!AR$11*Products!$G$23</f>
        <v/>
      </c>
      <c r="AS109" s="39">
        <f>Timeline!AS$11*Products!$G$23</f>
        <v/>
      </c>
      <c r="AT109" s="39">
        <f>Timeline!AT$11*Products!$G$23</f>
        <v/>
      </c>
      <c r="AU109" s="39">
        <f>Timeline!AU$11*Products!$G$23</f>
        <v/>
      </c>
      <c r="AV109" s="39">
        <f>Timeline!AV$11*Products!$G$23</f>
        <v/>
      </c>
      <c r="AW109" s="39">
        <f>Timeline!AW$11*Products!$G$23</f>
        <v/>
      </c>
      <c r="AX109" s="39">
        <f>Timeline!AX$11*Products!$G$23</f>
        <v/>
      </c>
      <c r="AY109" s="39">
        <f>Timeline!AY$11*Products!$G$23</f>
        <v/>
      </c>
      <c r="AZ109" s="39">
        <f>Timeline!AZ$11*Products!$G$23</f>
        <v/>
      </c>
      <c r="BA109" s="39">
        <f>Timeline!BA$11*Products!$G$23</f>
        <v/>
      </c>
      <c r="BB109" s="39">
        <f>Timeline!BB$11*Products!$G$23</f>
        <v/>
      </c>
      <c r="BC109" s="39">
        <f>Timeline!BC$11*Products!$G$23</f>
        <v/>
      </c>
      <c r="BD109" s="39">
        <f>Timeline!BD$11*Products!$G$23</f>
        <v/>
      </c>
      <c r="BE109" s="39">
        <f>Timeline!BE$11*Products!$G$23</f>
        <v/>
      </c>
      <c r="BF109" s="39">
        <f>Timeline!BF$11*Products!$G$23</f>
        <v/>
      </c>
      <c r="BG109" s="39">
        <f>Timeline!BG$11*Products!$G$23</f>
        <v/>
      </c>
      <c r="BH109" s="39">
        <f>Timeline!BH$11*Products!$G$23</f>
        <v/>
      </c>
      <c r="BI109" s="39">
        <f>Timeline!BI$11*Products!$G$23</f>
        <v/>
      </c>
      <c r="BJ109" s="39">
        <f>Timeline!BJ$11*Products!$G$23</f>
        <v/>
      </c>
      <c r="BK109" s="39">
        <f>Timeline!BK$11*Products!$G$23</f>
        <v/>
      </c>
      <c r="BL109" s="39">
        <f>Timeline!BL$11*Products!$G$23</f>
        <v/>
      </c>
    </row>
    <row r="110">
      <c r="A110" s="55" t="inlineStr">
        <is>
          <t>Price-indexed units (units x price index)</t>
        </is>
      </c>
      <c r="B110" s="26" t="inlineStr">
        <is>
          <t>units</t>
        </is>
      </c>
      <c r="C110" s="58">
        <f>SUM(E110:BL110)</f>
        <v/>
      </c>
      <c r="E110" s="39">
        <f>E109*Timeline!E$10</f>
        <v/>
      </c>
      <c r="F110" s="39">
        <f>F109*Timeline!F$10</f>
        <v/>
      </c>
      <c r="G110" s="39">
        <f>G109*Timeline!G$10</f>
        <v/>
      </c>
      <c r="H110" s="39">
        <f>H109*Timeline!H$10</f>
        <v/>
      </c>
      <c r="I110" s="39">
        <f>I109*Timeline!I$10</f>
        <v/>
      </c>
      <c r="J110" s="39">
        <f>J109*Timeline!J$10</f>
        <v/>
      </c>
      <c r="K110" s="39">
        <f>K109*Timeline!K$10</f>
        <v/>
      </c>
      <c r="L110" s="39">
        <f>L109*Timeline!L$10</f>
        <v/>
      </c>
      <c r="M110" s="39">
        <f>M109*Timeline!M$10</f>
        <v/>
      </c>
      <c r="N110" s="39">
        <f>N109*Timeline!N$10</f>
        <v/>
      </c>
      <c r="O110" s="39">
        <f>O109*Timeline!O$10</f>
        <v/>
      </c>
      <c r="P110" s="39">
        <f>P109*Timeline!P$10</f>
        <v/>
      </c>
      <c r="Q110" s="39">
        <f>Q109*Timeline!Q$10</f>
        <v/>
      </c>
      <c r="R110" s="39">
        <f>R109*Timeline!R$10</f>
        <v/>
      </c>
      <c r="S110" s="39">
        <f>S109*Timeline!S$10</f>
        <v/>
      </c>
      <c r="T110" s="39">
        <f>T109*Timeline!T$10</f>
        <v/>
      </c>
      <c r="U110" s="39">
        <f>U109*Timeline!U$10</f>
        <v/>
      </c>
      <c r="V110" s="39">
        <f>V109*Timeline!V$10</f>
        <v/>
      </c>
      <c r="W110" s="39">
        <f>W109*Timeline!W$10</f>
        <v/>
      </c>
      <c r="X110" s="39">
        <f>X109*Timeline!X$10</f>
        <v/>
      </c>
      <c r="Y110" s="39">
        <f>Y109*Timeline!Y$10</f>
        <v/>
      </c>
      <c r="Z110" s="39">
        <f>Z109*Timeline!Z$10</f>
        <v/>
      </c>
      <c r="AA110" s="39">
        <f>AA109*Timeline!AA$10</f>
        <v/>
      </c>
      <c r="AB110" s="39">
        <f>AB109*Timeline!AB$10</f>
        <v/>
      </c>
      <c r="AC110" s="39">
        <f>AC109*Timeline!AC$10</f>
        <v/>
      </c>
      <c r="AD110" s="39">
        <f>AD109*Timeline!AD$10</f>
        <v/>
      </c>
      <c r="AE110" s="39">
        <f>AE109*Timeline!AE$10</f>
        <v/>
      </c>
      <c r="AF110" s="39">
        <f>AF109*Timeline!AF$10</f>
        <v/>
      </c>
      <c r="AG110" s="39">
        <f>AG109*Timeline!AG$10</f>
        <v/>
      </c>
      <c r="AH110" s="39">
        <f>AH109*Timeline!AH$10</f>
        <v/>
      </c>
      <c r="AI110" s="39">
        <f>AI109*Timeline!AI$10</f>
        <v/>
      </c>
      <c r="AJ110" s="39">
        <f>AJ109*Timeline!AJ$10</f>
        <v/>
      </c>
      <c r="AK110" s="39">
        <f>AK109*Timeline!AK$10</f>
        <v/>
      </c>
      <c r="AL110" s="39">
        <f>AL109*Timeline!AL$10</f>
        <v/>
      </c>
      <c r="AM110" s="39">
        <f>AM109*Timeline!AM$10</f>
        <v/>
      </c>
      <c r="AN110" s="39">
        <f>AN109*Timeline!AN$10</f>
        <v/>
      </c>
      <c r="AO110" s="39">
        <f>AO109*Timeline!AO$10</f>
        <v/>
      </c>
      <c r="AP110" s="39">
        <f>AP109*Timeline!AP$10</f>
        <v/>
      </c>
      <c r="AQ110" s="39">
        <f>AQ109*Timeline!AQ$10</f>
        <v/>
      </c>
      <c r="AR110" s="39">
        <f>AR109*Timeline!AR$10</f>
        <v/>
      </c>
      <c r="AS110" s="39">
        <f>AS109*Timeline!AS$10</f>
        <v/>
      </c>
      <c r="AT110" s="39">
        <f>AT109*Timeline!AT$10</f>
        <v/>
      </c>
      <c r="AU110" s="39">
        <f>AU109*Timeline!AU$10</f>
        <v/>
      </c>
      <c r="AV110" s="39">
        <f>AV109*Timeline!AV$10</f>
        <v/>
      </c>
      <c r="AW110" s="39">
        <f>AW109*Timeline!AW$10</f>
        <v/>
      </c>
      <c r="AX110" s="39">
        <f>AX109*Timeline!AX$10</f>
        <v/>
      </c>
      <c r="AY110" s="39">
        <f>AY109*Timeline!AY$10</f>
        <v/>
      </c>
      <c r="AZ110" s="39">
        <f>AZ109*Timeline!AZ$10</f>
        <v/>
      </c>
      <c r="BA110" s="39">
        <f>BA109*Timeline!BA$10</f>
        <v/>
      </c>
      <c r="BB110" s="39">
        <f>BB109*Timeline!BB$10</f>
        <v/>
      </c>
      <c r="BC110" s="39">
        <f>BC109*Timeline!BC$10</f>
        <v/>
      </c>
      <c r="BD110" s="39">
        <f>BD109*Timeline!BD$10</f>
        <v/>
      </c>
      <c r="BE110" s="39">
        <f>BE109*Timeline!BE$10</f>
        <v/>
      </c>
      <c r="BF110" s="39">
        <f>BF109*Timeline!BF$10</f>
        <v/>
      </c>
      <c r="BG110" s="39">
        <f>BG109*Timeline!BG$10</f>
        <v/>
      </c>
      <c r="BH110" s="39">
        <f>BH109*Timeline!BH$10</f>
        <v/>
      </c>
      <c r="BI110" s="39">
        <f>BI109*Timeline!BI$10</f>
        <v/>
      </c>
      <c r="BJ110" s="39">
        <f>BJ109*Timeline!BJ$10</f>
        <v/>
      </c>
      <c r="BK110" s="39">
        <f>BK109*Timeline!BK$10</f>
        <v/>
      </c>
      <c r="BL110" s="39">
        <f>BL109*Timeline!BL$10</f>
        <v/>
      </c>
    </row>
    <row r="111">
      <c r="A111" s="55" t="inlineStr">
        <is>
          <t>Down payments collected</t>
        </is>
      </c>
      <c r="B111" s="26" t="inlineStr">
        <is>
          <t>LCY</t>
        </is>
      </c>
      <c r="C111" s="58">
        <f>SUM(E111:BL111)</f>
        <v/>
      </c>
      <c r="E111" s="39">
        <f>E110*Products!$G$14</f>
        <v/>
      </c>
      <c r="F111" s="39">
        <f>F110*Products!$G$14</f>
        <v/>
      </c>
      <c r="G111" s="39">
        <f>G110*Products!$G$14</f>
        <v/>
      </c>
      <c r="H111" s="39">
        <f>H110*Products!$G$14</f>
        <v/>
      </c>
      <c r="I111" s="39">
        <f>I110*Products!$G$14</f>
        <v/>
      </c>
      <c r="J111" s="39">
        <f>J110*Products!$G$14</f>
        <v/>
      </c>
      <c r="K111" s="39">
        <f>K110*Products!$G$14</f>
        <v/>
      </c>
      <c r="L111" s="39">
        <f>L110*Products!$G$14</f>
        <v/>
      </c>
      <c r="M111" s="39">
        <f>M110*Products!$G$14</f>
        <v/>
      </c>
      <c r="N111" s="39">
        <f>N110*Products!$G$14</f>
        <v/>
      </c>
      <c r="O111" s="39">
        <f>O110*Products!$G$14</f>
        <v/>
      </c>
      <c r="P111" s="39">
        <f>P110*Products!$G$14</f>
        <v/>
      </c>
      <c r="Q111" s="39">
        <f>Q110*Products!$G$14</f>
        <v/>
      </c>
      <c r="R111" s="39">
        <f>R110*Products!$G$14</f>
        <v/>
      </c>
      <c r="S111" s="39">
        <f>S110*Products!$G$14</f>
        <v/>
      </c>
      <c r="T111" s="39">
        <f>T110*Products!$G$14</f>
        <v/>
      </c>
      <c r="U111" s="39">
        <f>U110*Products!$G$14</f>
        <v/>
      </c>
      <c r="V111" s="39">
        <f>V110*Products!$G$14</f>
        <v/>
      </c>
      <c r="W111" s="39">
        <f>W110*Products!$G$14</f>
        <v/>
      </c>
      <c r="X111" s="39">
        <f>X110*Products!$G$14</f>
        <v/>
      </c>
      <c r="Y111" s="39">
        <f>Y110*Products!$G$14</f>
        <v/>
      </c>
      <c r="Z111" s="39">
        <f>Z110*Products!$G$14</f>
        <v/>
      </c>
      <c r="AA111" s="39">
        <f>AA110*Products!$G$14</f>
        <v/>
      </c>
      <c r="AB111" s="39">
        <f>AB110*Products!$G$14</f>
        <v/>
      </c>
      <c r="AC111" s="39">
        <f>AC110*Products!$G$14</f>
        <v/>
      </c>
      <c r="AD111" s="39">
        <f>AD110*Products!$G$14</f>
        <v/>
      </c>
      <c r="AE111" s="39">
        <f>AE110*Products!$G$14</f>
        <v/>
      </c>
      <c r="AF111" s="39">
        <f>AF110*Products!$G$14</f>
        <v/>
      </c>
      <c r="AG111" s="39">
        <f>AG110*Products!$G$14</f>
        <v/>
      </c>
      <c r="AH111" s="39">
        <f>AH110*Products!$G$14</f>
        <v/>
      </c>
      <c r="AI111" s="39">
        <f>AI110*Products!$G$14</f>
        <v/>
      </c>
      <c r="AJ111" s="39">
        <f>AJ110*Products!$G$14</f>
        <v/>
      </c>
      <c r="AK111" s="39">
        <f>AK110*Products!$G$14</f>
        <v/>
      </c>
      <c r="AL111" s="39">
        <f>AL110*Products!$G$14</f>
        <v/>
      </c>
      <c r="AM111" s="39">
        <f>AM110*Products!$G$14</f>
        <v/>
      </c>
      <c r="AN111" s="39">
        <f>AN110*Products!$G$14</f>
        <v/>
      </c>
      <c r="AO111" s="39">
        <f>AO110*Products!$G$14</f>
        <v/>
      </c>
      <c r="AP111" s="39">
        <f>AP110*Products!$G$14</f>
        <v/>
      </c>
      <c r="AQ111" s="39">
        <f>AQ110*Products!$G$14</f>
        <v/>
      </c>
      <c r="AR111" s="39">
        <f>AR110*Products!$G$14</f>
        <v/>
      </c>
      <c r="AS111" s="39">
        <f>AS110*Products!$G$14</f>
        <v/>
      </c>
      <c r="AT111" s="39">
        <f>AT110*Products!$G$14</f>
        <v/>
      </c>
      <c r="AU111" s="39">
        <f>AU110*Products!$G$14</f>
        <v/>
      </c>
      <c r="AV111" s="39">
        <f>AV110*Products!$G$14</f>
        <v/>
      </c>
      <c r="AW111" s="39">
        <f>AW110*Products!$G$14</f>
        <v/>
      </c>
      <c r="AX111" s="39">
        <f>AX110*Products!$G$14</f>
        <v/>
      </c>
      <c r="AY111" s="39">
        <f>AY110*Products!$G$14</f>
        <v/>
      </c>
      <c r="AZ111" s="39">
        <f>AZ110*Products!$G$14</f>
        <v/>
      </c>
      <c r="BA111" s="39">
        <f>BA110*Products!$G$14</f>
        <v/>
      </c>
      <c r="BB111" s="39">
        <f>BB110*Products!$G$14</f>
        <v/>
      </c>
      <c r="BC111" s="39">
        <f>BC110*Products!$G$14</f>
        <v/>
      </c>
      <c r="BD111" s="39">
        <f>BD110*Products!$G$14</f>
        <v/>
      </c>
      <c r="BE111" s="39">
        <f>BE110*Products!$G$14</f>
        <v/>
      </c>
      <c r="BF111" s="39">
        <f>BF110*Products!$G$14</f>
        <v/>
      </c>
      <c r="BG111" s="39">
        <f>BG110*Products!$G$14</f>
        <v/>
      </c>
      <c r="BH111" s="39">
        <f>BH110*Products!$G$14</f>
        <v/>
      </c>
      <c r="BI111" s="39">
        <f>BI110*Products!$G$14</f>
        <v/>
      </c>
      <c r="BJ111" s="39">
        <f>BJ110*Products!$G$14</f>
        <v/>
      </c>
      <c r="BK111" s="39">
        <f>BK110*Products!$G$14</f>
        <v/>
      </c>
      <c r="BL111" s="39">
        <f>BL110*Products!$G$14</f>
        <v/>
      </c>
    </row>
    <row r="112">
      <c r="A112" s="55" t="inlineStr">
        <is>
          <t>Hardware revenue (cash price)</t>
        </is>
      </c>
      <c r="B112" s="26" t="inlineStr">
        <is>
          <t>LCY</t>
        </is>
      </c>
      <c r="C112" s="58">
        <f>SUM(E112:BL112)</f>
        <v/>
      </c>
      <c r="E112" s="39">
        <f>E110*Products!$G$13</f>
        <v/>
      </c>
      <c r="F112" s="39">
        <f>F110*Products!$G$13</f>
        <v/>
      </c>
      <c r="G112" s="39">
        <f>G110*Products!$G$13</f>
        <v/>
      </c>
      <c r="H112" s="39">
        <f>H110*Products!$G$13</f>
        <v/>
      </c>
      <c r="I112" s="39">
        <f>I110*Products!$G$13</f>
        <v/>
      </c>
      <c r="J112" s="39">
        <f>J110*Products!$G$13</f>
        <v/>
      </c>
      <c r="K112" s="39">
        <f>K110*Products!$G$13</f>
        <v/>
      </c>
      <c r="L112" s="39">
        <f>L110*Products!$G$13</f>
        <v/>
      </c>
      <c r="M112" s="39">
        <f>M110*Products!$G$13</f>
        <v/>
      </c>
      <c r="N112" s="39">
        <f>N110*Products!$G$13</f>
        <v/>
      </c>
      <c r="O112" s="39">
        <f>O110*Products!$G$13</f>
        <v/>
      </c>
      <c r="P112" s="39">
        <f>P110*Products!$G$13</f>
        <v/>
      </c>
      <c r="Q112" s="39">
        <f>Q110*Products!$G$13</f>
        <v/>
      </c>
      <c r="R112" s="39">
        <f>R110*Products!$G$13</f>
        <v/>
      </c>
      <c r="S112" s="39">
        <f>S110*Products!$G$13</f>
        <v/>
      </c>
      <c r="T112" s="39">
        <f>T110*Products!$G$13</f>
        <v/>
      </c>
      <c r="U112" s="39">
        <f>U110*Products!$G$13</f>
        <v/>
      </c>
      <c r="V112" s="39">
        <f>V110*Products!$G$13</f>
        <v/>
      </c>
      <c r="W112" s="39">
        <f>W110*Products!$G$13</f>
        <v/>
      </c>
      <c r="X112" s="39">
        <f>X110*Products!$G$13</f>
        <v/>
      </c>
      <c r="Y112" s="39">
        <f>Y110*Products!$G$13</f>
        <v/>
      </c>
      <c r="Z112" s="39">
        <f>Z110*Products!$G$13</f>
        <v/>
      </c>
      <c r="AA112" s="39">
        <f>AA110*Products!$G$13</f>
        <v/>
      </c>
      <c r="AB112" s="39">
        <f>AB110*Products!$G$13</f>
        <v/>
      </c>
      <c r="AC112" s="39">
        <f>AC110*Products!$G$13</f>
        <v/>
      </c>
      <c r="AD112" s="39">
        <f>AD110*Products!$G$13</f>
        <v/>
      </c>
      <c r="AE112" s="39">
        <f>AE110*Products!$G$13</f>
        <v/>
      </c>
      <c r="AF112" s="39">
        <f>AF110*Products!$G$13</f>
        <v/>
      </c>
      <c r="AG112" s="39">
        <f>AG110*Products!$G$13</f>
        <v/>
      </c>
      <c r="AH112" s="39">
        <f>AH110*Products!$G$13</f>
        <v/>
      </c>
      <c r="AI112" s="39">
        <f>AI110*Products!$G$13</f>
        <v/>
      </c>
      <c r="AJ112" s="39">
        <f>AJ110*Products!$G$13</f>
        <v/>
      </c>
      <c r="AK112" s="39">
        <f>AK110*Products!$G$13</f>
        <v/>
      </c>
      <c r="AL112" s="39">
        <f>AL110*Products!$G$13</f>
        <v/>
      </c>
      <c r="AM112" s="39">
        <f>AM110*Products!$G$13</f>
        <v/>
      </c>
      <c r="AN112" s="39">
        <f>AN110*Products!$G$13</f>
        <v/>
      </c>
      <c r="AO112" s="39">
        <f>AO110*Products!$G$13</f>
        <v/>
      </c>
      <c r="AP112" s="39">
        <f>AP110*Products!$G$13</f>
        <v/>
      </c>
      <c r="AQ112" s="39">
        <f>AQ110*Products!$G$13</f>
        <v/>
      </c>
      <c r="AR112" s="39">
        <f>AR110*Products!$G$13</f>
        <v/>
      </c>
      <c r="AS112" s="39">
        <f>AS110*Products!$G$13</f>
        <v/>
      </c>
      <c r="AT112" s="39">
        <f>AT110*Products!$G$13</f>
        <v/>
      </c>
      <c r="AU112" s="39">
        <f>AU110*Products!$G$13</f>
        <v/>
      </c>
      <c r="AV112" s="39">
        <f>AV110*Products!$G$13</f>
        <v/>
      </c>
      <c r="AW112" s="39">
        <f>AW110*Products!$G$13</f>
        <v/>
      </c>
      <c r="AX112" s="39">
        <f>AX110*Products!$G$13</f>
        <v/>
      </c>
      <c r="AY112" s="39">
        <f>AY110*Products!$G$13</f>
        <v/>
      </c>
      <c r="AZ112" s="39">
        <f>AZ110*Products!$G$13</f>
        <v/>
      </c>
      <c r="BA112" s="39">
        <f>BA110*Products!$G$13</f>
        <v/>
      </c>
      <c r="BB112" s="39">
        <f>BB110*Products!$G$13</f>
        <v/>
      </c>
      <c r="BC112" s="39">
        <f>BC110*Products!$G$13</f>
        <v/>
      </c>
      <c r="BD112" s="39">
        <f>BD110*Products!$G$13</f>
        <v/>
      </c>
      <c r="BE112" s="39">
        <f>BE110*Products!$G$13</f>
        <v/>
      </c>
      <c r="BF112" s="39">
        <f>BF110*Products!$G$13</f>
        <v/>
      </c>
      <c r="BG112" s="39">
        <f>BG110*Products!$G$13</f>
        <v/>
      </c>
      <c r="BH112" s="39">
        <f>BH110*Products!$G$13</f>
        <v/>
      </c>
      <c r="BI112" s="39">
        <f>BI110*Products!$G$13</f>
        <v/>
      </c>
      <c r="BJ112" s="39">
        <f>BJ110*Products!$G$13</f>
        <v/>
      </c>
      <c r="BK112" s="39">
        <f>BK110*Products!$G$13</f>
        <v/>
      </c>
      <c r="BL112" s="39">
        <f>BL110*Products!$G$13</f>
        <v/>
      </c>
    </row>
    <row r="113">
      <c r="A113" s="55" t="inlineStr">
        <is>
          <t>New PAYGo receivables originated</t>
        </is>
      </c>
      <c r="B113" s="26" t="inlineStr">
        <is>
          <t>LCY</t>
        </is>
      </c>
      <c r="C113" s="58">
        <f>SUM(E113:BL113)</f>
        <v/>
      </c>
      <c r="E113" s="39">
        <f>E110*Products!$G$38</f>
        <v/>
      </c>
      <c r="F113" s="39">
        <f>F110*Products!$G$38</f>
        <v/>
      </c>
      <c r="G113" s="39">
        <f>G110*Products!$G$38</f>
        <v/>
      </c>
      <c r="H113" s="39">
        <f>H110*Products!$G$38</f>
        <v/>
      </c>
      <c r="I113" s="39">
        <f>I110*Products!$G$38</f>
        <v/>
      </c>
      <c r="J113" s="39">
        <f>J110*Products!$G$38</f>
        <v/>
      </c>
      <c r="K113" s="39">
        <f>K110*Products!$G$38</f>
        <v/>
      </c>
      <c r="L113" s="39">
        <f>L110*Products!$G$38</f>
        <v/>
      </c>
      <c r="M113" s="39">
        <f>M110*Products!$G$38</f>
        <v/>
      </c>
      <c r="N113" s="39">
        <f>N110*Products!$G$38</f>
        <v/>
      </c>
      <c r="O113" s="39">
        <f>O110*Products!$G$38</f>
        <v/>
      </c>
      <c r="P113" s="39">
        <f>P110*Products!$G$38</f>
        <v/>
      </c>
      <c r="Q113" s="39">
        <f>Q110*Products!$G$38</f>
        <v/>
      </c>
      <c r="R113" s="39">
        <f>R110*Products!$G$38</f>
        <v/>
      </c>
      <c r="S113" s="39">
        <f>S110*Products!$G$38</f>
        <v/>
      </c>
      <c r="T113" s="39">
        <f>T110*Products!$G$38</f>
        <v/>
      </c>
      <c r="U113" s="39">
        <f>U110*Products!$G$38</f>
        <v/>
      </c>
      <c r="V113" s="39">
        <f>V110*Products!$G$38</f>
        <v/>
      </c>
      <c r="W113" s="39">
        <f>W110*Products!$G$38</f>
        <v/>
      </c>
      <c r="X113" s="39">
        <f>X110*Products!$G$38</f>
        <v/>
      </c>
      <c r="Y113" s="39">
        <f>Y110*Products!$G$38</f>
        <v/>
      </c>
      <c r="Z113" s="39">
        <f>Z110*Products!$G$38</f>
        <v/>
      </c>
      <c r="AA113" s="39">
        <f>AA110*Products!$G$38</f>
        <v/>
      </c>
      <c r="AB113" s="39">
        <f>AB110*Products!$G$38</f>
        <v/>
      </c>
      <c r="AC113" s="39">
        <f>AC110*Products!$G$38</f>
        <v/>
      </c>
      <c r="AD113" s="39">
        <f>AD110*Products!$G$38</f>
        <v/>
      </c>
      <c r="AE113" s="39">
        <f>AE110*Products!$G$38</f>
        <v/>
      </c>
      <c r="AF113" s="39">
        <f>AF110*Products!$G$38</f>
        <v/>
      </c>
      <c r="AG113" s="39">
        <f>AG110*Products!$G$38</f>
        <v/>
      </c>
      <c r="AH113" s="39">
        <f>AH110*Products!$G$38</f>
        <v/>
      </c>
      <c r="AI113" s="39">
        <f>AI110*Products!$G$38</f>
        <v/>
      </c>
      <c r="AJ113" s="39">
        <f>AJ110*Products!$G$38</f>
        <v/>
      </c>
      <c r="AK113" s="39">
        <f>AK110*Products!$G$38</f>
        <v/>
      </c>
      <c r="AL113" s="39">
        <f>AL110*Products!$G$38</f>
        <v/>
      </c>
      <c r="AM113" s="39">
        <f>AM110*Products!$G$38</f>
        <v/>
      </c>
      <c r="AN113" s="39">
        <f>AN110*Products!$G$38</f>
        <v/>
      </c>
      <c r="AO113" s="39">
        <f>AO110*Products!$G$38</f>
        <v/>
      </c>
      <c r="AP113" s="39">
        <f>AP110*Products!$G$38</f>
        <v/>
      </c>
      <c r="AQ113" s="39">
        <f>AQ110*Products!$G$38</f>
        <v/>
      </c>
      <c r="AR113" s="39">
        <f>AR110*Products!$G$38</f>
        <v/>
      </c>
      <c r="AS113" s="39">
        <f>AS110*Products!$G$38</f>
        <v/>
      </c>
      <c r="AT113" s="39">
        <f>AT110*Products!$G$38</f>
        <v/>
      </c>
      <c r="AU113" s="39">
        <f>AU110*Products!$G$38</f>
        <v/>
      </c>
      <c r="AV113" s="39">
        <f>AV110*Products!$G$38</f>
        <v/>
      </c>
      <c r="AW113" s="39">
        <f>AW110*Products!$G$38</f>
        <v/>
      </c>
      <c r="AX113" s="39">
        <f>AX110*Products!$G$38</f>
        <v/>
      </c>
      <c r="AY113" s="39">
        <f>AY110*Products!$G$38</f>
        <v/>
      </c>
      <c r="AZ113" s="39">
        <f>AZ110*Products!$G$38</f>
        <v/>
      </c>
      <c r="BA113" s="39">
        <f>BA110*Products!$G$38</f>
        <v/>
      </c>
      <c r="BB113" s="39">
        <f>BB110*Products!$G$38</f>
        <v/>
      </c>
      <c r="BC113" s="39">
        <f>BC110*Products!$G$38</f>
        <v/>
      </c>
      <c r="BD113" s="39">
        <f>BD110*Products!$G$38</f>
        <v/>
      </c>
      <c r="BE113" s="39">
        <f>BE110*Products!$G$38</f>
        <v/>
      </c>
      <c r="BF113" s="39">
        <f>BF110*Products!$G$38</f>
        <v/>
      </c>
      <c r="BG113" s="39">
        <f>BG110*Products!$G$38</f>
        <v/>
      </c>
      <c r="BH113" s="39">
        <f>BH110*Products!$G$38</f>
        <v/>
      </c>
      <c r="BI113" s="39">
        <f>BI110*Products!$G$38</f>
        <v/>
      </c>
      <c r="BJ113" s="39">
        <f>BJ110*Products!$G$38</f>
        <v/>
      </c>
      <c r="BK113" s="39">
        <f>BK110*Products!$G$38</f>
        <v/>
      </c>
      <c r="BL113" s="39">
        <f>BL110*Products!$G$38</f>
        <v/>
      </c>
    </row>
    <row r="114">
      <c r="A114" s="55" t="inlineStr">
        <is>
          <t>Instalments due</t>
        </is>
      </c>
      <c r="B114" s="26" t="inlineStr">
        <is>
          <t>LCY</t>
        </is>
      </c>
      <c r="C114" s="58">
        <f>SUM(E114:BL114)</f>
        <v/>
      </c>
      <c r="E114" s="39">
        <f>Products!$G$33*SUMIFS($E$110:$BL$110,Timeline!$E$4:$BL$4,"&gt;="&amp;(E$4-Products!$G$16),Timeline!$E$4:$BL$4,"&lt;="&amp;(E$4-1))</f>
        <v/>
      </c>
      <c r="F114" s="39">
        <f>Products!$G$33*SUMIFS($E$110:$BL$110,Timeline!$E$4:$BL$4,"&gt;="&amp;(F$4-Products!$G$16),Timeline!$E$4:$BL$4,"&lt;="&amp;(F$4-1))</f>
        <v/>
      </c>
      <c r="G114" s="39">
        <f>Products!$G$33*SUMIFS($E$110:$BL$110,Timeline!$E$4:$BL$4,"&gt;="&amp;(G$4-Products!$G$16),Timeline!$E$4:$BL$4,"&lt;="&amp;(G$4-1))</f>
        <v/>
      </c>
      <c r="H114" s="39">
        <f>Products!$G$33*SUMIFS($E$110:$BL$110,Timeline!$E$4:$BL$4,"&gt;="&amp;(H$4-Products!$G$16),Timeline!$E$4:$BL$4,"&lt;="&amp;(H$4-1))</f>
        <v/>
      </c>
      <c r="I114" s="39">
        <f>Products!$G$33*SUMIFS($E$110:$BL$110,Timeline!$E$4:$BL$4,"&gt;="&amp;(I$4-Products!$G$16),Timeline!$E$4:$BL$4,"&lt;="&amp;(I$4-1))</f>
        <v/>
      </c>
      <c r="J114" s="39">
        <f>Products!$G$33*SUMIFS($E$110:$BL$110,Timeline!$E$4:$BL$4,"&gt;="&amp;(J$4-Products!$G$16),Timeline!$E$4:$BL$4,"&lt;="&amp;(J$4-1))</f>
        <v/>
      </c>
      <c r="K114" s="39">
        <f>Products!$G$33*SUMIFS($E$110:$BL$110,Timeline!$E$4:$BL$4,"&gt;="&amp;(K$4-Products!$G$16),Timeline!$E$4:$BL$4,"&lt;="&amp;(K$4-1))</f>
        <v/>
      </c>
      <c r="L114" s="39">
        <f>Products!$G$33*SUMIFS($E$110:$BL$110,Timeline!$E$4:$BL$4,"&gt;="&amp;(L$4-Products!$G$16),Timeline!$E$4:$BL$4,"&lt;="&amp;(L$4-1))</f>
        <v/>
      </c>
      <c r="M114" s="39">
        <f>Products!$G$33*SUMIFS($E$110:$BL$110,Timeline!$E$4:$BL$4,"&gt;="&amp;(M$4-Products!$G$16),Timeline!$E$4:$BL$4,"&lt;="&amp;(M$4-1))</f>
        <v/>
      </c>
      <c r="N114" s="39">
        <f>Products!$G$33*SUMIFS($E$110:$BL$110,Timeline!$E$4:$BL$4,"&gt;="&amp;(N$4-Products!$G$16),Timeline!$E$4:$BL$4,"&lt;="&amp;(N$4-1))</f>
        <v/>
      </c>
      <c r="O114" s="39">
        <f>Products!$G$33*SUMIFS($E$110:$BL$110,Timeline!$E$4:$BL$4,"&gt;="&amp;(O$4-Products!$G$16),Timeline!$E$4:$BL$4,"&lt;="&amp;(O$4-1))</f>
        <v/>
      </c>
      <c r="P114" s="39">
        <f>Products!$G$33*SUMIFS($E$110:$BL$110,Timeline!$E$4:$BL$4,"&gt;="&amp;(P$4-Products!$G$16),Timeline!$E$4:$BL$4,"&lt;="&amp;(P$4-1))</f>
        <v/>
      </c>
      <c r="Q114" s="39">
        <f>Products!$G$33*SUMIFS($E$110:$BL$110,Timeline!$E$4:$BL$4,"&gt;="&amp;(Q$4-Products!$G$16),Timeline!$E$4:$BL$4,"&lt;="&amp;(Q$4-1))</f>
        <v/>
      </c>
      <c r="R114" s="39">
        <f>Products!$G$33*SUMIFS($E$110:$BL$110,Timeline!$E$4:$BL$4,"&gt;="&amp;(R$4-Products!$G$16),Timeline!$E$4:$BL$4,"&lt;="&amp;(R$4-1))</f>
        <v/>
      </c>
      <c r="S114" s="39">
        <f>Products!$G$33*SUMIFS($E$110:$BL$110,Timeline!$E$4:$BL$4,"&gt;="&amp;(S$4-Products!$G$16),Timeline!$E$4:$BL$4,"&lt;="&amp;(S$4-1))</f>
        <v/>
      </c>
      <c r="T114" s="39">
        <f>Products!$G$33*SUMIFS($E$110:$BL$110,Timeline!$E$4:$BL$4,"&gt;="&amp;(T$4-Products!$G$16),Timeline!$E$4:$BL$4,"&lt;="&amp;(T$4-1))</f>
        <v/>
      </c>
      <c r="U114" s="39">
        <f>Products!$G$33*SUMIFS($E$110:$BL$110,Timeline!$E$4:$BL$4,"&gt;="&amp;(U$4-Products!$G$16),Timeline!$E$4:$BL$4,"&lt;="&amp;(U$4-1))</f>
        <v/>
      </c>
      <c r="V114" s="39">
        <f>Products!$G$33*SUMIFS($E$110:$BL$110,Timeline!$E$4:$BL$4,"&gt;="&amp;(V$4-Products!$G$16),Timeline!$E$4:$BL$4,"&lt;="&amp;(V$4-1))</f>
        <v/>
      </c>
      <c r="W114" s="39">
        <f>Products!$G$33*SUMIFS($E$110:$BL$110,Timeline!$E$4:$BL$4,"&gt;="&amp;(W$4-Products!$G$16),Timeline!$E$4:$BL$4,"&lt;="&amp;(W$4-1))</f>
        <v/>
      </c>
      <c r="X114" s="39">
        <f>Products!$G$33*SUMIFS($E$110:$BL$110,Timeline!$E$4:$BL$4,"&gt;="&amp;(X$4-Products!$G$16),Timeline!$E$4:$BL$4,"&lt;="&amp;(X$4-1))</f>
        <v/>
      </c>
      <c r="Y114" s="39">
        <f>Products!$G$33*SUMIFS($E$110:$BL$110,Timeline!$E$4:$BL$4,"&gt;="&amp;(Y$4-Products!$G$16),Timeline!$E$4:$BL$4,"&lt;="&amp;(Y$4-1))</f>
        <v/>
      </c>
      <c r="Z114" s="39">
        <f>Products!$G$33*SUMIFS($E$110:$BL$110,Timeline!$E$4:$BL$4,"&gt;="&amp;(Z$4-Products!$G$16),Timeline!$E$4:$BL$4,"&lt;="&amp;(Z$4-1))</f>
        <v/>
      </c>
      <c r="AA114" s="39">
        <f>Products!$G$33*SUMIFS($E$110:$BL$110,Timeline!$E$4:$BL$4,"&gt;="&amp;(AA$4-Products!$G$16),Timeline!$E$4:$BL$4,"&lt;="&amp;(AA$4-1))</f>
        <v/>
      </c>
      <c r="AB114" s="39">
        <f>Products!$G$33*SUMIFS($E$110:$BL$110,Timeline!$E$4:$BL$4,"&gt;="&amp;(AB$4-Products!$G$16),Timeline!$E$4:$BL$4,"&lt;="&amp;(AB$4-1))</f>
        <v/>
      </c>
      <c r="AC114" s="39">
        <f>Products!$G$33*SUMIFS($E$110:$BL$110,Timeline!$E$4:$BL$4,"&gt;="&amp;(AC$4-Products!$G$16),Timeline!$E$4:$BL$4,"&lt;="&amp;(AC$4-1))</f>
        <v/>
      </c>
      <c r="AD114" s="39">
        <f>Products!$G$33*SUMIFS($E$110:$BL$110,Timeline!$E$4:$BL$4,"&gt;="&amp;(AD$4-Products!$G$16),Timeline!$E$4:$BL$4,"&lt;="&amp;(AD$4-1))</f>
        <v/>
      </c>
      <c r="AE114" s="39">
        <f>Products!$G$33*SUMIFS($E$110:$BL$110,Timeline!$E$4:$BL$4,"&gt;="&amp;(AE$4-Products!$G$16),Timeline!$E$4:$BL$4,"&lt;="&amp;(AE$4-1))</f>
        <v/>
      </c>
      <c r="AF114" s="39">
        <f>Products!$G$33*SUMIFS($E$110:$BL$110,Timeline!$E$4:$BL$4,"&gt;="&amp;(AF$4-Products!$G$16),Timeline!$E$4:$BL$4,"&lt;="&amp;(AF$4-1))</f>
        <v/>
      </c>
      <c r="AG114" s="39">
        <f>Products!$G$33*SUMIFS($E$110:$BL$110,Timeline!$E$4:$BL$4,"&gt;="&amp;(AG$4-Products!$G$16),Timeline!$E$4:$BL$4,"&lt;="&amp;(AG$4-1))</f>
        <v/>
      </c>
      <c r="AH114" s="39">
        <f>Products!$G$33*SUMIFS($E$110:$BL$110,Timeline!$E$4:$BL$4,"&gt;="&amp;(AH$4-Products!$G$16),Timeline!$E$4:$BL$4,"&lt;="&amp;(AH$4-1))</f>
        <v/>
      </c>
      <c r="AI114" s="39">
        <f>Products!$G$33*SUMIFS($E$110:$BL$110,Timeline!$E$4:$BL$4,"&gt;="&amp;(AI$4-Products!$G$16),Timeline!$E$4:$BL$4,"&lt;="&amp;(AI$4-1))</f>
        <v/>
      </c>
      <c r="AJ114" s="39">
        <f>Products!$G$33*SUMIFS($E$110:$BL$110,Timeline!$E$4:$BL$4,"&gt;="&amp;(AJ$4-Products!$G$16),Timeline!$E$4:$BL$4,"&lt;="&amp;(AJ$4-1))</f>
        <v/>
      </c>
      <c r="AK114" s="39">
        <f>Products!$G$33*SUMIFS($E$110:$BL$110,Timeline!$E$4:$BL$4,"&gt;="&amp;(AK$4-Products!$G$16),Timeline!$E$4:$BL$4,"&lt;="&amp;(AK$4-1))</f>
        <v/>
      </c>
      <c r="AL114" s="39">
        <f>Products!$G$33*SUMIFS($E$110:$BL$110,Timeline!$E$4:$BL$4,"&gt;="&amp;(AL$4-Products!$G$16),Timeline!$E$4:$BL$4,"&lt;="&amp;(AL$4-1))</f>
        <v/>
      </c>
      <c r="AM114" s="39">
        <f>Products!$G$33*SUMIFS($E$110:$BL$110,Timeline!$E$4:$BL$4,"&gt;="&amp;(AM$4-Products!$G$16),Timeline!$E$4:$BL$4,"&lt;="&amp;(AM$4-1))</f>
        <v/>
      </c>
      <c r="AN114" s="39">
        <f>Products!$G$33*SUMIFS($E$110:$BL$110,Timeline!$E$4:$BL$4,"&gt;="&amp;(AN$4-Products!$G$16),Timeline!$E$4:$BL$4,"&lt;="&amp;(AN$4-1))</f>
        <v/>
      </c>
      <c r="AO114" s="39">
        <f>Products!$G$33*SUMIFS($E$110:$BL$110,Timeline!$E$4:$BL$4,"&gt;="&amp;(AO$4-Products!$G$16),Timeline!$E$4:$BL$4,"&lt;="&amp;(AO$4-1))</f>
        <v/>
      </c>
      <c r="AP114" s="39">
        <f>Products!$G$33*SUMIFS($E$110:$BL$110,Timeline!$E$4:$BL$4,"&gt;="&amp;(AP$4-Products!$G$16),Timeline!$E$4:$BL$4,"&lt;="&amp;(AP$4-1))</f>
        <v/>
      </c>
      <c r="AQ114" s="39">
        <f>Products!$G$33*SUMIFS($E$110:$BL$110,Timeline!$E$4:$BL$4,"&gt;="&amp;(AQ$4-Products!$G$16),Timeline!$E$4:$BL$4,"&lt;="&amp;(AQ$4-1))</f>
        <v/>
      </c>
      <c r="AR114" s="39">
        <f>Products!$G$33*SUMIFS($E$110:$BL$110,Timeline!$E$4:$BL$4,"&gt;="&amp;(AR$4-Products!$G$16),Timeline!$E$4:$BL$4,"&lt;="&amp;(AR$4-1))</f>
        <v/>
      </c>
      <c r="AS114" s="39">
        <f>Products!$G$33*SUMIFS($E$110:$BL$110,Timeline!$E$4:$BL$4,"&gt;="&amp;(AS$4-Products!$G$16),Timeline!$E$4:$BL$4,"&lt;="&amp;(AS$4-1))</f>
        <v/>
      </c>
      <c r="AT114" s="39">
        <f>Products!$G$33*SUMIFS($E$110:$BL$110,Timeline!$E$4:$BL$4,"&gt;="&amp;(AT$4-Products!$G$16),Timeline!$E$4:$BL$4,"&lt;="&amp;(AT$4-1))</f>
        <v/>
      </c>
      <c r="AU114" s="39">
        <f>Products!$G$33*SUMIFS($E$110:$BL$110,Timeline!$E$4:$BL$4,"&gt;="&amp;(AU$4-Products!$G$16),Timeline!$E$4:$BL$4,"&lt;="&amp;(AU$4-1))</f>
        <v/>
      </c>
      <c r="AV114" s="39">
        <f>Products!$G$33*SUMIFS($E$110:$BL$110,Timeline!$E$4:$BL$4,"&gt;="&amp;(AV$4-Products!$G$16),Timeline!$E$4:$BL$4,"&lt;="&amp;(AV$4-1))</f>
        <v/>
      </c>
      <c r="AW114" s="39">
        <f>Products!$G$33*SUMIFS($E$110:$BL$110,Timeline!$E$4:$BL$4,"&gt;="&amp;(AW$4-Products!$G$16),Timeline!$E$4:$BL$4,"&lt;="&amp;(AW$4-1))</f>
        <v/>
      </c>
      <c r="AX114" s="39">
        <f>Products!$G$33*SUMIFS($E$110:$BL$110,Timeline!$E$4:$BL$4,"&gt;="&amp;(AX$4-Products!$G$16),Timeline!$E$4:$BL$4,"&lt;="&amp;(AX$4-1))</f>
        <v/>
      </c>
      <c r="AY114" s="39">
        <f>Products!$G$33*SUMIFS($E$110:$BL$110,Timeline!$E$4:$BL$4,"&gt;="&amp;(AY$4-Products!$G$16),Timeline!$E$4:$BL$4,"&lt;="&amp;(AY$4-1))</f>
        <v/>
      </c>
      <c r="AZ114" s="39">
        <f>Products!$G$33*SUMIFS($E$110:$BL$110,Timeline!$E$4:$BL$4,"&gt;="&amp;(AZ$4-Products!$G$16),Timeline!$E$4:$BL$4,"&lt;="&amp;(AZ$4-1))</f>
        <v/>
      </c>
      <c r="BA114" s="39">
        <f>Products!$G$33*SUMIFS($E$110:$BL$110,Timeline!$E$4:$BL$4,"&gt;="&amp;(BA$4-Products!$G$16),Timeline!$E$4:$BL$4,"&lt;="&amp;(BA$4-1))</f>
        <v/>
      </c>
      <c r="BB114" s="39">
        <f>Products!$G$33*SUMIFS($E$110:$BL$110,Timeline!$E$4:$BL$4,"&gt;="&amp;(BB$4-Products!$G$16),Timeline!$E$4:$BL$4,"&lt;="&amp;(BB$4-1))</f>
        <v/>
      </c>
      <c r="BC114" s="39">
        <f>Products!$G$33*SUMIFS($E$110:$BL$110,Timeline!$E$4:$BL$4,"&gt;="&amp;(BC$4-Products!$G$16),Timeline!$E$4:$BL$4,"&lt;="&amp;(BC$4-1))</f>
        <v/>
      </c>
      <c r="BD114" s="39">
        <f>Products!$G$33*SUMIFS($E$110:$BL$110,Timeline!$E$4:$BL$4,"&gt;="&amp;(BD$4-Products!$G$16),Timeline!$E$4:$BL$4,"&lt;="&amp;(BD$4-1))</f>
        <v/>
      </c>
      <c r="BE114" s="39">
        <f>Products!$G$33*SUMIFS($E$110:$BL$110,Timeline!$E$4:$BL$4,"&gt;="&amp;(BE$4-Products!$G$16),Timeline!$E$4:$BL$4,"&lt;="&amp;(BE$4-1))</f>
        <v/>
      </c>
      <c r="BF114" s="39">
        <f>Products!$G$33*SUMIFS($E$110:$BL$110,Timeline!$E$4:$BL$4,"&gt;="&amp;(BF$4-Products!$G$16),Timeline!$E$4:$BL$4,"&lt;="&amp;(BF$4-1))</f>
        <v/>
      </c>
      <c r="BG114" s="39">
        <f>Products!$G$33*SUMIFS($E$110:$BL$110,Timeline!$E$4:$BL$4,"&gt;="&amp;(BG$4-Products!$G$16),Timeline!$E$4:$BL$4,"&lt;="&amp;(BG$4-1))</f>
        <v/>
      </c>
      <c r="BH114" s="39">
        <f>Products!$G$33*SUMIFS($E$110:$BL$110,Timeline!$E$4:$BL$4,"&gt;="&amp;(BH$4-Products!$G$16),Timeline!$E$4:$BL$4,"&lt;="&amp;(BH$4-1))</f>
        <v/>
      </c>
      <c r="BI114" s="39">
        <f>Products!$G$33*SUMIFS($E$110:$BL$110,Timeline!$E$4:$BL$4,"&gt;="&amp;(BI$4-Products!$G$16),Timeline!$E$4:$BL$4,"&lt;="&amp;(BI$4-1))</f>
        <v/>
      </c>
      <c r="BJ114" s="39">
        <f>Products!$G$33*SUMIFS($E$110:$BL$110,Timeline!$E$4:$BL$4,"&gt;="&amp;(BJ$4-Products!$G$16),Timeline!$E$4:$BL$4,"&lt;="&amp;(BJ$4-1))</f>
        <v/>
      </c>
      <c r="BK114" s="39">
        <f>Products!$G$33*SUMIFS($E$110:$BL$110,Timeline!$E$4:$BL$4,"&gt;="&amp;(BK$4-Products!$G$16),Timeline!$E$4:$BL$4,"&lt;="&amp;(BK$4-1))</f>
        <v/>
      </c>
      <c r="BL114" s="39">
        <f>Products!$G$33*SUMIFS($E$110:$BL$110,Timeline!$E$4:$BL$4,"&gt;="&amp;(BL$4-Products!$G$16),Timeline!$E$4:$BL$4,"&lt;="&amp;(BL$4-1))</f>
        <v/>
      </c>
    </row>
    <row r="115">
      <c r="A115" s="55" t="inlineStr">
        <is>
          <t>Instalments collected</t>
        </is>
      </c>
      <c r="B115" s="26" t="inlineStr">
        <is>
          <t>LCY</t>
        </is>
      </c>
      <c r="C115" s="58">
        <f>SUM(E115:BL115)</f>
        <v/>
      </c>
      <c r="E115" s="17">
        <f>Cohort_T5!E$9</f>
        <v/>
      </c>
      <c r="F115" s="17">
        <f>Cohort_T5!F$9</f>
        <v/>
      </c>
      <c r="G115" s="17">
        <f>Cohort_T5!G$9</f>
        <v/>
      </c>
      <c r="H115" s="17">
        <f>Cohort_T5!H$9</f>
        <v/>
      </c>
      <c r="I115" s="17">
        <f>Cohort_T5!I$9</f>
        <v/>
      </c>
      <c r="J115" s="17">
        <f>Cohort_T5!J$9</f>
        <v/>
      </c>
      <c r="K115" s="17">
        <f>Cohort_T5!K$9</f>
        <v/>
      </c>
      <c r="L115" s="17">
        <f>Cohort_T5!L$9</f>
        <v/>
      </c>
      <c r="M115" s="17">
        <f>Cohort_T5!M$9</f>
        <v/>
      </c>
      <c r="N115" s="17">
        <f>Cohort_T5!N$9</f>
        <v/>
      </c>
      <c r="O115" s="17">
        <f>Cohort_T5!O$9</f>
        <v/>
      </c>
      <c r="P115" s="17">
        <f>Cohort_T5!P$9</f>
        <v/>
      </c>
      <c r="Q115" s="17">
        <f>Cohort_T5!Q$9</f>
        <v/>
      </c>
      <c r="R115" s="17">
        <f>Cohort_T5!R$9</f>
        <v/>
      </c>
      <c r="S115" s="17">
        <f>Cohort_T5!S$9</f>
        <v/>
      </c>
      <c r="T115" s="17">
        <f>Cohort_T5!T$9</f>
        <v/>
      </c>
      <c r="U115" s="17">
        <f>Cohort_T5!U$9</f>
        <v/>
      </c>
      <c r="V115" s="17">
        <f>Cohort_T5!V$9</f>
        <v/>
      </c>
      <c r="W115" s="17">
        <f>Cohort_T5!W$9</f>
        <v/>
      </c>
      <c r="X115" s="17">
        <f>Cohort_T5!X$9</f>
        <v/>
      </c>
      <c r="Y115" s="17">
        <f>Cohort_T5!Y$9</f>
        <v/>
      </c>
      <c r="Z115" s="17">
        <f>Cohort_T5!Z$9</f>
        <v/>
      </c>
      <c r="AA115" s="17">
        <f>Cohort_T5!AA$9</f>
        <v/>
      </c>
      <c r="AB115" s="17">
        <f>Cohort_T5!AB$9</f>
        <v/>
      </c>
      <c r="AC115" s="17">
        <f>Cohort_T5!AC$9</f>
        <v/>
      </c>
      <c r="AD115" s="17">
        <f>Cohort_T5!AD$9</f>
        <v/>
      </c>
      <c r="AE115" s="17">
        <f>Cohort_T5!AE$9</f>
        <v/>
      </c>
      <c r="AF115" s="17">
        <f>Cohort_T5!AF$9</f>
        <v/>
      </c>
      <c r="AG115" s="17">
        <f>Cohort_T5!AG$9</f>
        <v/>
      </c>
      <c r="AH115" s="17">
        <f>Cohort_T5!AH$9</f>
        <v/>
      </c>
      <c r="AI115" s="17">
        <f>Cohort_T5!AI$9</f>
        <v/>
      </c>
      <c r="AJ115" s="17">
        <f>Cohort_T5!AJ$9</f>
        <v/>
      </c>
      <c r="AK115" s="17">
        <f>Cohort_T5!AK$9</f>
        <v/>
      </c>
      <c r="AL115" s="17">
        <f>Cohort_T5!AL$9</f>
        <v/>
      </c>
      <c r="AM115" s="17">
        <f>Cohort_T5!AM$9</f>
        <v/>
      </c>
      <c r="AN115" s="17">
        <f>Cohort_T5!AN$9</f>
        <v/>
      </c>
      <c r="AO115" s="17">
        <f>Cohort_T5!AO$9</f>
        <v/>
      </c>
      <c r="AP115" s="17">
        <f>Cohort_T5!AP$9</f>
        <v/>
      </c>
      <c r="AQ115" s="17">
        <f>Cohort_T5!AQ$9</f>
        <v/>
      </c>
      <c r="AR115" s="17">
        <f>Cohort_T5!AR$9</f>
        <v/>
      </c>
      <c r="AS115" s="17">
        <f>Cohort_T5!AS$9</f>
        <v/>
      </c>
      <c r="AT115" s="17">
        <f>Cohort_T5!AT$9</f>
        <v/>
      </c>
      <c r="AU115" s="17">
        <f>Cohort_T5!AU$9</f>
        <v/>
      </c>
      <c r="AV115" s="17">
        <f>Cohort_T5!AV$9</f>
        <v/>
      </c>
      <c r="AW115" s="17">
        <f>Cohort_T5!AW$9</f>
        <v/>
      </c>
      <c r="AX115" s="17">
        <f>Cohort_T5!AX$9</f>
        <v/>
      </c>
      <c r="AY115" s="17">
        <f>Cohort_T5!AY$9</f>
        <v/>
      </c>
      <c r="AZ115" s="17">
        <f>Cohort_T5!AZ$9</f>
        <v/>
      </c>
      <c r="BA115" s="17">
        <f>Cohort_T5!BA$9</f>
        <v/>
      </c>
      <c r="BB115" s="17">
        <f>Cohort_T5!BB$9</f>
        <v/>
      </c>
      <c r="BC115" s="17">
        <f>Cohort_T5!BC$9</f>
        <v/>
      </c>
      <c r="BD115" s="17">
        <f>Cohort_T5!BD$9</f>
        <v/>
      </c>
      <c r="BE115" s="17">
        <f>Cohort_T5!BE$9</f>
        <v/>
      </c>
      <c r="BF115" s="17">
        <f>Cohort_T5!BF$9</f>
        <v/>
      </c>
      <c r="BG115" s="17">
        <f>Cohort_T5!BG$9</f>
        <v/>
      </c>
      <c r="BH115" s="17">
        <f>Cohort_T5!BH$9</f>
        <v/>
      </c>
      <c r="BI115" s="17">
        <f>Cohort_T5!BI$9</f>
        <v/>
      </c>
      <c r="BJ115" s="17">
        <f>Cohort_T5!BJ$9</f>
        <v/>
      </c>
      <c r="BK115" s="17">
        <f>Cohort_T5!BK$9</f>
        <v/>
      </c>
      <c r="BL115" s="17">
        <f>Cohort_T5!BL$9</f>
        <v/>
      </c>
    </row>
    <row r="116">
      <c r="A116" s="55" t="inlineStr">
        <is>
          <t>Missed instalments written off</t>
        </is>
      </c>
      <c r="B116" s="26" t="inlineStr">
        <is>
          <t>LCY</t>
        </is>
      </c>
      <c r="C116" s="58">
        <f>SUM(E116:BL116)</f>
        <v/>
      </c>
      <c r="E116" s="39">
        <f>E114-E115</f>
        <v/>
      </c>
      <c r="F116" s="39">
        <f>F114-F115</f>
        <v/>
      </c>
      <c r="G116" s="39">
        <f>G114-G115</f>
        <v/>
      </c>
      <c r="H116" s="39">
        <f>H114-H115</f>
        <v/>
      </c>
      <c r="I116" s="39">
        <f>I114-I115</f>
        <v/>
      </c>
      <c r="J116" s="39">
        <f>J114-J115</f>
        <v/>
      </c>
      <c r="K116" s="39">
        <f>K114-K115</f>
        <v/>
      </c>
      <c r="L116" s="39">
        <f>L114-L115</f>
        <v/>
      </c>
      <c r="M116" s="39">
        <f>M114-M115</f>
        <v/>
      </c>
      <c r="N116" s="39">
        <f>N114-N115</f>
        <v/>
      </c>
      <c r="O116" s="39">
        <f>O114-O115</f>
        <v/>
      </c>
      <c r="P116" s="39">
        <f>P114-P115</f>
        <v/>
      </c>
      <c r="Q116" s="39">
        <f>Q114-Q115</f>
        <v/>
      </c>
      <c r="R116" s="39">
        <f>R114-R115</f>
        <v/>
      </c>
      <c r="S116" s="39">
        <f>S114-S115</f>
        <v/>
      </c>
      <c r="T116" s="39">
        <f>T114-T115</f>
        <v/>
      </c>
      <c r="U116" s="39">
        <f>U114-U115</f>
        <v/>
      </c>
      <c r="V116" s="39">
        <f>V114-V115</f>
        <v/>
      </c>
      <c r="W116" s="39">
        <f>W114-W115</f>
        <v/>
      </c>
      <c r="X116" s="39">
        <f>X114-X115</f>
        <v/>
      </c>
      <c r="Y116" s="39">
        <f>Y114-Y115</f>
        <v/>
      </c>
      <c r="Z116" s="39">
        <f>Z114-Z115</f>
        <v/>
      </c>
      <c r="AA116" s="39">
        <f>AA114-AA115</f>
        <v/>
      </c>
      <c r="AB116" s="39">
        <f>AB114-AB115</f>
        <v/>
      </c>
      <c r="AC116" s="39">
        <f>AC114-AC115</f>
        <v/>
      </c>
      <c r="AD116" s="39">
        <f>AD114-AD115</f>
        <v/>
      </c>
      <c r="AE116" s="39">
        <f>AE114-AE115</f>
        <v/>
      </c>
      <c r="AF116" s="39">
        <f>AF114-AF115</f>
        <v/>
      </c>
      <c r="AG116" s="39">
        <f>AG114-AG115</f>
        <v/>
      </c>
      <c r="AH116" s="39">
        <f>AH114-AH115</f>
        <v/>
      </c>
      <c r="AI116" s="39">
        <f>AI114-AI115</f>
        <v/>
      </c>
      <c r="AJ116" s="39">
        <f>AJ114-AJ115</f>
        <v/>
      </c>
      <c r="AK116" s="39">
        <f>AK114-AK115</f>
        <v/>
      </c>
      <c r="AL116" s="39">
        <f>AL114-AL115</f>
        <v/>
      </c>
      <c r="AM116" s="39">
        <f>AM114-AM115</f>
        <v/>
      </c>
      <c r="AN116" s="39">
        <f>AN114-AN115</f>
        <v/>
      </c>
      <c r="AO116" s="39">
        <f>AO114-AO115</f>
        <v/>
      </c>
      <c r="AP116" s="39">
        <f>AP114-AP115</f>
        <v/>
      </c>
      <c r="AQ116" s="39">
        <f>AQ114-AQ115</f>
        <v/>
      </c>
      <c r="AR116" s="39">
        <f>AR114-AR115</f>
        <v/>
      </c>
      <c r="AS116" s="39">
        <f>AS114-AS115</f>
        <v/>
      </c>
      <c r="AT116" s="39">
        <f>AT114-AT115</f>
        <v/>
      </c>
      <c r="AU116" s="39">
        <f>AU114-AU115</f>
        <v/>
      </c>
      <c r="AV116" s="39">
        <f>AV114-AV115</f>
        <v/>
      </c>
      <c r="AW116" s="39">
        <f>AW114-AW115</f>
        <v/>
      </c>
      <c r="AX116" s="39">
        <f>AX114-AX115</f>
        <v/>
      </c>
      <c r="AY116" s="39">
        <f>AY114-AY115</f>
        <v/>
      </c>
      <c r="AZ116" s="39">
        <f>AZ114-AZ115</f>
        <v/>
      </c>
      <c r="BA116" s="39">
        <f>BA114-BA115</f>
        <v/>
      </c>
      <c r="BB116" s="39">
        <f>BB114-BB115</f>
        <v/>
      </c>
      <c r="BC116" s="39">
        <f>BC114-BC115</f>
        <v/>
      </c>
      <c r="BD116" s="39">
        <f>BD114-BD115</f>
        <v/>
      </c>
      <c r="BE116" s="39">
        <f>BE114-BE115</f>
        <v/>
      </c>
      <c r="BF116" s="39">
        <f>BF114-BF115</f>
        <v/>
      </c>
      <c r="BG116" s="39">
        <f>BG114-BG115</f>
        <v/>
      </c>
      <c r="BH116" s="39">
        <f>BH114-BH115</f>
        <v/>
      </c>
      <c r="BI116" s="39">
        <f>BI114-BI115</f>
        <v/>
      </c>
      <c r="BJ116" s="39">
        <f>BJ114-BJ115</f>
        <v/>
      </c>
      <c r="BK116" s="39">
        <f>BK114-BK115</f>
        <v/>
      </c>
      <c r="BL116" s="39">
        <f>BL114-BL115</f>
        <v/>
      </c>
    </row>
    <row r="117">
      <c r="A117" s="55" t="inlineStr">
        <is>
          <t>PAYGo financing income (straight-line over tenor)</t>
        </is>
      </c>
      <c r="B117" s="26" t="inlineStr">
        <is>
          <t>LCY</t>
        </is>
      </c>
      <c r="C117" s="58">
        <f>SUM(E117:BL117)</f>
        <v/>
      </c>
      <c r="E117" s="39">
        <f>IF(Products!$G$16=0,0,Products!$G$35/Products!$G$16*SUMIFS($E$110:$BL$110,Timeline!$E$4:$BL$4,"&gt;="&amp;(E$4-Products!$G$16),Timeline!$E$4:$BL$4,"&lt;="&amp;(E$4-1)))</f>
        <v/>
      </c>
      <c r="F117" s="39">
        <f>IF(Products!$G$16=0,0,Products!$G$35/Products!$G$16*SUMIFS($E$110:$BL$110,Timeline!$E$4:$BL$4,"&gt;="&amp;(F$4-Products!$G$16),Timeline!$E$4:$BL$4,"&lt;="&amp;(F$4-1)))</f>
        <v/>
      </c>
      <c r="G117" s="39">
        <f>IF(Products!$G$16=0,0,Products!$G$35/Products!$G$16*SUMIFS($E$110:$BL$110,Timeline!$E$4:$BL$4,"&gt;="&amp;(G$4-Products!$G$16),Timeline!$E$4:$BL$4,"&lt;="&amp;(G$4-1)))</f>
        <v/>
      </c>
      <c r="H117" s="39">
        <f>IF(Products!$G$16=0,0,Products!$G$35/Products!$G$16*SUMIFS($E$110:$BL$110,Timeline!$E$4:$BL$4,"&gt;="&amp;(H$4-Products!$G$16),Timeline!$E$4:$BL$4,"&lt;="&amp;(H$4-1)))</f>
        <v/>
      </c>
      <c r="I117" s="39">
        <f>IF(Products!$G$16=0,0,Products!$G$35/Products!$G$16*SUMIFS($E$110:$BL$110,Timeline!$E$4:$BL$4,"&gt;="&amp;(I$4-Products!$G$16),Timeline!$E$4:$BL$4,"&lt;="&amp;(I$4-1)))</f>
        <v/>
      </c>
      <c r="J117" s="39">
        <f>IF(Products!$G$16=0,0,Products!$G$35/Products!$G$16*SUMIFS($E$110:$BL$110,Timeline!$E$4:$BL$4,"&gt;="&amp;(J$4-Products!$G$16),Timeline!$E$4:$BL$4,"&lt;="&amp;(J$4-1)))</f>
        <v/>
      </c>
      <c r="K117" s="39">
        <f>IF(Products!$G$16=0,0,Products!$G$35/Products!$G$16*SUMIFS($E$110:$BL$110,Timeline!$E$4:$BL$4,"&gt;="&amp;(K$4-Products!$G$16),Timeline!$E$4:$BL$4,"&lt;="&amp;(K$4-1)))</f>
        <v/>
      </c>
      <c r="L117" s="39">
        <f>IF(Products!$G$16=0,0,Products!$G$35/Products!$G$16*SUMIFS($E$110:$BL$110,Timeline!$E$4:$BL$4,"&gt;="&amp;(L$4-Products!$G$16),Timeline!$E$4:$BL$4,"&lt;="&amp;(L$4-1)))</f>
        <v/>
      </c>
      <c r="M117" s="39">
        <f>IF(Products!$G$16=0,0,Products!$G$35/Products!$G$16*SUMIFS($E$110:$BL$110,Timeline!$E$4:$BL$4,"&gt;="&amp;(M$4-Products!$G$16),Timeline!$E$4:$BL$4,"&lt;="&amp;(M$4-1)))</f>
        <v/>
      </c>
      <c r="N117" s="39">
        <f>IF(Products!$G$16=0,0,Products!$G$35/Products!$G$16*SUMIFS($E$110:$BL$110,Timeline!$E$4:$BL$4,"&gt;="&amp;(N$4-Products!$G$16),Timeline!$E$4:$BL$4,"&lt;="&amp;(N$4-1)))</f>
        <v/>
      </c>
      <c r="O117" s="39">
        <f>IF(Products!$G$16=0,0,Products!$G$35/Products!$G$16*SUMIFS($E$110:$BL$110,Timeline!$E$4:$BL$4,"&gt;="&amp;(O$4-Products!$G$16),Timeline!$E$4:$BL$4,"&lt;="&amp;(O$4-1)))</f>
        <v/>
      </c>
      <c r="P117" s="39">
        <f>IF(Products!$G$16=0,0,Products!$G$35/Products!$G$16*SUMIFS($E$110:$BL$110,Timeline!$E$4:$BL$4,"&gt;="&amp;(P$4-Products!$G$16),Timeline!$E$4:$BL$4,"&lt;="&amp;(P$4-1)))</f>
        <v/>
      </c>
      <c r="Q117" s="39">
        <f>IF(Products!$G$16=0,0,Products!$G$35/Products!$G$16*SUMIFS($E$110:$BL$110,Timeline!$E$4:$BL$4,"&gt;="&amp;(Q$4-Products!$G$16),Timeline!$E$4:$BL$4,"&lt;="&amp;(Q$4-1)))</f>
        <v/>
      </c>
      <c r="R117" s="39">
        <f>IF(Products!$G$16=0,0,Products!$G$35/Products!$G$16*SUMIFS($E$110:$BL$110,Timeline!$E$4:$BL$4,"&gt;="&amp;(R$4-Products!$G$16),Timeline!$E$4:$BL$4,"&lt;="&amp;(R$4-1)))</f>
        <v/>
      </c>
      <c r="S117" s="39">
        <f>IF(Products!$G$16=0,0,Products!$G$35/Products!$G$16*SUMIFS($E$110:$BL$110,Timeline!$E$4:$BL$4,"&gt;="&amp;(S$4-Products!$G$16),Timeline!$E$4:$BL$4,"&lt;="&amp;(S$4-1)))</f>
        <v/>
      </c>
      <c r="T117" s="39">
        <f>IF(Products!$G$16=0,0,Products!$G$35/Products!$G$16*SUMIFS($E$110:$BL$110,Timeline!$E$4:$BL$4,"&gt;="&amp;(T$4-Products!$G$16),Timeline!$E$4:$BL$4,"&lt;="&amp;(T$4-1)))</f>
        <v/>
      </c>
      <c r="U117" s="39">
        <f>IF(Products!$G$16=0,0,Products!$G$35/Products!$G$16*SUMIFS($E$110:$BL$110,Timeline!$E$4:$BL$4,"&gt;="&amp;(U$4-Products!$G$16),Timeline!$E$4:$BL$4,"&lt;="&amp;(U$4-1)))</f>
        <v/>
      </c>
      <c r="V117" s="39">
        <f>IF(Products!$G$16=0,0,Products!$G$35/Products!$G$16*SUMIFS($E$110:$BL$110,Timeline!$E$4:$BL$4,"&gt;="&amp;(V$4-Products!$G$16),Timeline!$E$4:$BL$4,"&lt;="&amp;(V$4-1)))</f>
        <v/>
      </c>
      <c r="W117" s="39">
        <f>IF(Products!$G$16=0,0,Products!$G$35/Products!$G$16*SUMIFS($E$110:$BL$110,Timeline!$E$4:$BL$4,"&gt;="&amp;(W$4-Products!$G$16),Timeline!$E$4:$BL$4,"&lt;="&amp;(W$4-1)))</f>
        <v/>
      </c>
      <c r="X117" s="39">
        <f>IF(Products!$G$16=0,0,Products!$G$35/Products!$G$16*SUMIFS($E$110:$BL$110,Timeline!$E$4:$BL$4,"&gt;="&amp;(X$4-Products!$G$16),Timeline!$E$4:$BL$4,"&lt;="&amp;(X$4-1)))</f>
        <v/>
      </c>
      <c r="Y117" s="39">
        <f>IF(Products!$G$16=0,0,Products!$G$35/Products!$G$16*SUMIFS($E$110:$BL$110,Timeline!$E$4:$BL$4,"&gt;="&amp;(Y$4-Products!$G$16),Timeline!$E$4:$BL$4,"&lt;="&amp;(Y$4-1)))</f>
        <v/>
      </c>
      <c r="Z117" s="39">
        <f>IF(Products!$G$16=0,0,Products!$G$35/Products!$G$16*SUMIFS($E$110:$BL$110,Timeline!$E$4:$BL$4,"&gt;="&amp;(Z$4-Products!$G$16),Timeline!$E$4:$BL$4,"&lt;="&amp;(Z$4-1)))</f>
        <v/>
      </c>
      <c r="AA117" s="39">
        <f>IF(Products!$G$16=0,0,Products!$G$35/Products!$G$16*SUMIFS($E$110:$BL$110,Timeline!$E$4:$BL$4,"&gt;="&amp;(AA$4-Products!$G$16),Timeline!$E$4:$BL$4,"&lt;="&amp;(AA$4-1)))</f>
        <v/>
      </c>
      <c r="AB117" s="39">
        <f>IF(Products!$G$16=0,0,Products!$G$35/Products!$G$16*SUMIFS($E$110:$BL$110,Timeline!$E$4:$BL$4,"&gt;="&amp;(AB$4-Products!$G$16),Timeline!$E$4:$BL$4,"&lt;="&amp;(AB$4-1)))</f>
        <v/>
      </c>
      <c r="AC117" s="39">
        <f>IF(Products!$G$16=0,0,Products!$G$35/Products!$G$16*SUMIFS($E$110:$BL$110,Timeline!$E$4:$BL$4,"&gt;="&amp;(AC$4-Products!$G$16),Timeline!$E$4:$BL$4,"&lt;="&amp;(AC$4-1)))</f>
        <v/>
      </c>
      <c r="AD117" s="39">
        <f>IF(Products!$G$16=0,0,Products!$G$35/Products!$G$16*SUMIFS($E$110:$BL$110,Timeline!$E$4:$BL$4,"&gt;="&amp;(AD$4-Products!$G$16),Timeline!$E$4:$BL$4,"&lt;="&amp;(AD$4-1)))</f>
        <v/>
      </c>
      <c r="AE117" s="39">
        <f>IF(Products!$G$16=0,0,Products!$G$35/Products!$G$16*SUMIFS($E$110:$BL$110,Timeline!$E$4:$BL$4,"&gt;="&amp;(AE$4-Products!$G$16),Timeline!$E$4:$BL$4,"&lt;="&amp;(AE$4-1)))</f>
        <v/>
      </c>
      <c r="AF117" s="39">
        <f>IF(Products!$G$16=0,0,Products!$G$35/Products!$G$16*SUMIFS($E$110:$BL$110,Timeline!$E$4:$BL$4,"&gt;="&amp;(AF$4-Products!$G$16),Timeline!$E$4:$BL$4,"&lt;="&amp;(AF$4-1)))</f>
        <v/>
      </c>
      <c r="AG117" s="39">
        <f>IF(Products!$G$16=0,0,Products!$G$35/Products!$G$16*SUMIFS($E$110:$BL$110,Timeline!$E$4:$BL$4,"&gt;="&amp;(AG$4-Products!$G$16),Timeline!$E$4:$BL$4,"&lt;="&amp;(AG$4-1)))</f>
        <v/>
      </c>
      <c r="AH117" s="39">
        <f>IF(Products!$G$16=0,0,Products!$G$35/Products!$G$16*SUMIFS($E$110:$BL$110,Timeline!$E$4:$BL$4,"&gt;="&amp;(AH$4-Products!$G$16),Timeline!$E$4:$BL$4,"&lt;="&amp;(AH$4-1)))</f>
        <v/>
      </c>
      <c r="AI117" s="39">
        <f>IF(Products!$G$16=0,0,Products!$G$35/Products!$G$16*SUMIFS($E$110:$BL$110,Timeline!$E$4:$BL$4,"&gt;="&amp;(AI$4-Products!$G$16),Timeline!$E$4:$BL$4,"&lt;="&amp;(AI$4-1)))</f>
        <v/>
      </c>
      <c r="AJ117" s="39">
        <f>IF(Products!$G$16=0,0,Products!$G$35/Products!$G$16*SUMIFS($E$110:$BL$110,Timeline!$E$4:$BL$4,"&gt;="&amp;(AJ$4-Products!$G$16),Timeline!$E$4:$BL$4,"&lt;="&amp;(AJ$4-1)))</f>
        <v/>
      </c>
      <c r="AK117" s="39">
        <f>IF(Products!$G$16=0,0,Products!$G$35/Products!$G$16*SUMIFS($E$110:$BL$110,Timeline!$E$4:$BL$4,"&gt;="&amp;(AK$4-Products!$G$16),Timeline!$E$4:$BL$4,"&lt;="&amp;(AK$4-1)))</f>
        <v/>
      </c>
      <c r="AL117" s="39">
        <f>IF(Products!$G$16=0,0,Products!$G$35/Products!$G$16*SUMIFS($E$110:$BL$110,Timeline!$E$4:$BL$4,"&gt;="&amp;(AL$4-Products!$G$16),Timeline!$E$4:$BL$4,"&lt;="&amp;(AL$4-1)))</f>
        <v/>
      </c>
      <c r="AM117" s="39">
        <f>IF(Products!$G$16=0,0,Products!$G$35/Products!$G$16*SUMIFS($E$110:$BL$110,Timeline!$E$4:$BL$4,"&gt;="&amp;(AM$4-Products!$G$16),Timeline!$E$4:$BL$4,"&lt;="&amp;(AM$4-1)))</f>
        <v/>
      </c>
      <c r="AN117" s="39">
        <f>IF(Products!$G$16=0,0,Products!$G$35/Products!$G$16*SUMIFS($E$110:$BL$110,Timeline!$E$4:$BL$4,"&gt;="&amp;(AN$4-Products!$G$16),Timeline!$E$4:$BL$4,"&lt;="&amp;(AN$4-1)))</f>
        <v/>
      </c>
      <c r="AO117" s="39">
        <f>IF(Products!$G$16=0,0,Products!$G$35/Products!$G$16*SUMIFS($E$110:$BL$110,Timeline!$E$4:$BL$4,"&gt;="&amp;(AO$4-Products!$G$16),Timeline!$E$4:$BL$4,"&lt;="&amp;(AO$4-1)))</f>
        <v/>
      </c>
      <c r="AP117" s="39">
        <f>IF(Products!$G$16=0,0,Products!$G$35/Products!$G$16*SUMIFS($E$110:$BL$110,Timeline!$E$4:$BL$4,"&gt;="&amp;(AP$4-Products!$G$16),Timeline!$E$4:$BL$4,"&lt;="&amp;(AP$4-1)))</f>
        <v/>
      </c>
      <c r="AQ117" s="39">
        <f>IF(Products!$G$16=0,0,Products!$G$35/Products!$G$16*SUMIFS($E$110:$BL$110,Timeline!$E$4:$BL$4,"&gt;="&amp;(AQ$4-Products!$G$16),Timeline!$E$4:$BL$4,"&lt;="&amp;(AQ$4-1)))</f>
        <v/>
      </c>
      <c r="AR117" s="39">
        <f>IF(Products!$G$16=0,0,Products!$G$35/Products!$G$16*SUMIFS($E$110:$BL$110,Timeline!$E$4:$BL$4,"&gt;="&amp;(AR$4-Products!$G$16),Timeline!$E$4:$BL$4,"&lt;="&amp;(AR$4-1)))</f>
        <v/>
      </c>
      <c r="AS117" s="39">
        <f>IF(Products!$G$16=0,0,Products!$G$35/Products!$G$16*SUMIFS($E$110:$BL$110,Timeline!$E$4:$BL$4,"&gt;="&amp;(AS$4-Products!$G$16),Timeline!$E$4:$BL$4,"&lt;="&amp;(AS$4-1)))</f>
        <v/>
      </c>
      <c r="AT117" s="39">
        <f>IF(Products!$G$16=0,0,Products!$G$35/Products!$G$16*SUMIFS($E$110:$BL$110,Timeline!$E$4:$BL$4,"&gt;="&amp;(AT$4-Products!$G$16),Timeline!$E$4:$BL$4,"&lt;="&amp;(AT$4-1)))</f>
        <v/>
      </c>
      <c r="AU117" s="39">
        <f>IF(Products!$G$16=0,0,Products!$G$35/Products!$G$16*SUMIFS($E$110:$BL$110,Timeline!$E$4:$BL$4,"&gt;="&amp;(AU$4-Products!$G$16),Timeline!$E$4:$BL$4,"&lt;="&amp;(AU$4-1)))</f>
        <v/>
      </c>
      <c r="AV117" s="39">
        <f>IF(Products!$G$16=0,0,Products!$G$35/Products!$G$16*SUMIFS($E$110:$BL$110,Timeline!$E$4:$BL$4,"&gt;="&amp;(AV$4-Products!$G$16),Timeline!$E$4:$BL$4,"&lt;="&amp;(AV$4-1)))</f>
        <v/>
      </c>
      <c r="AW117" s="39">
        <f>IF(Products!$G$16=0,0,Products!$G$35/Products!$G$16*SUMIFS($E$110:$BL$110,Timeline!$E$4:$BL$4,"&gt;="&amp;(AW$4-Products!$G$16),Timeline!$E$4:$BL$4,"&lt;="&amp;(AW$4-1)))</f>
        <v/>
      </c>
      <c r="AX117" s="39">
        <f>IF(Products!$G$16=0,0,Products!$G$35/Products!$G$16*SUMIFS($E$110:$BL$110,Timeline!$E$4:$BL$4,"&gt;="&amp;(AX$4-Products!$G$16),Timeline!$E$4:$BL$4,"&lt;="&amp;(AX$4-1)))</f>
        <v/>
      </c>
      <c r="AY117" s="39">
        <f>IF(Products!$G$16=0,0,Products!$G$35/Products!$G$16*SUMIFS($E$110:$BL$110,Timeline!$E$4:$BL$4,"&gt;="&amp;(AY$4-Products!$G$16),Timeline!$E$4:$BL$4,"&lt;="&amp;(AY$4-1)))</f>
        <v/>
      </c>
      <c r="AZ117" s="39">
        <f>IF(Products!$G$16=0,0,Products!$G$35/Products!$G$16*SUMIFS($E$110:$BL$110,Timeline!$E$4:$BL$4,"&gt;="&amp;(AZ$4-Products!$G$16),Timeline!$E$4:$BL$4,"&lt;="&amp;(AZ$4-1)))</f>
        <v/>
      </c>
      <c r="BA117" s="39">
        <f>IF(Products!$G$16=0,0,Products!$G$35/Products!$G$16*SUMIFS($E$110:$BL$110,Timeline!$E$4:$BL$4,"&gt;="&amp;(BA$4-Products!$G$16),Timeline!$E$4:$BL$4,"&lt;="&amp;(BA$4-1)))</f>
        <v/>
      </c>
      <c r="BB117" s="39">
        <f>IF(Products!$G$16=0,0,Products!$G$35/Products!$G$16*SUMIFS($E$110:$BL$110,Timeline!$E$4:$BL$4,"&gt;="&amp;(BB$4-Products!$G$16),Timeline!$E$4:$BL$4,"&lt;="&amp;(BB$4-1)))</f>
        <v/>
      </c>
      <c r="BC117" s="39">
        <f>IF(Products!$G$16=0,0,Products!$G$35/Products!$G$16*SUMIFS($E$110:$BL$110,Timeline!$E$4:$BL$4,"&gt;="&amp;(BC$4-Products!$G$16),Timeline!$E$4:$BL$4,"&lt;="&amp;(BC$4-1)))</f>
        <v/>
      </c>
      <c r="BD117" s="39">
        <f>IF(Products!$G$16=0,0,Products!$G$35/Products!$G$16*SUMIFS($E$110:$BL$110,Timeline!$E$4:$BL$4,"&gt;="&amp;(BD$4-Products!$G$16),Timeline!$E$4:$BL$4,"&lt;="&amp;(BD$4-1)))</f>
        <v/>
      </c>
      <c r="BE117" s="39">
        <f>IF(Products!$G$16=0,0,Products!$G$35/Products!$G$16*SUMIFS($E$110:$BL$110,Timeline!$E$4:$BL$4,"&gt;="&amp;(BE$4-Products!$G$16),Timeline!$E$4:$BL$4,"&lt;="&amp;(BE$4-1)))</f>
        <v/>
      </c>
      <c r="BF117" s="39">
        <f>IF(Products!$G$16=0,0,Products!$G$35/Products!$G$16*SUMIFS($E$110:$BL$110,Timeline!$E$4:$BL$4,"&gt;="&amp;(BF$4-Products!$G$16),Timeline!$E$4:$BL$4,"&lt;="&amp;(BF$4-1)))</f>
        <v/>
      </c>
      <c r="BG117" s="39">
        <f>IF(Products!$G$16=0,0,Products!$G$35/Products!$G$16*SUMIFS($E$110:$BL$110,Timeline!$E$4:$BL$4,"&gt;="&amp;(BG$4-Products!$G$16),Timeline!$E$4:$BL$4,"&lt;="&amp;(BG$4-1)))</f>
        <v/>
      </c>
      <c r="BH117" s="39">
        <f>IF(Products!$G$16=0,0,Products!$G$35/Products!$G$16*SUMIFS($E$110:$BL$110,Timeline!$E$4:$BL$4,"&gt;="&amp;(BH$4-Products!$G$16),Timeline!$E$4:$BL$4,"&lt;="&amp;(BH$4-1)))</f>
        <v/>
      </c>
      <c r="BI117" s="39">
        <f>IF(Products!$G$16=0,0,Products!$G$35/Products!$G$16*SUMIFS($E$110:$BL$110,Timeline!$E$4:$BL$4,"&gt;="&amp;(BI$4-Products!$G$16),Timeline!$E$4:$BL$4,"&lt;="&amp;(BI$4-1)))</f>
        <v/>
      </c>
      <c r="BJ117" s="39">
        <f>IF(Products!$G$16=0,0,Products!$G$35/Products!$G$16*SUMIFS($E$110:$BL$110,Timeline!$E$4:$BL$4,"&gt;="&amp;(BJ$4-Products!$G$16),Timeline!$E$4:$BL$4,"&lt;="&amp;(BJ$4-1)))</f>
        <v/>
      </c>
      <c r="BK117" s="39">
        <f>IF(Products!$G$16=0,0,Products!$G$35/Products!$G$16*SUMIFS($E$110:$BL$110,Timeline!$E$4:$BL$4,"&gt;="&amp;(BK$4-Products!$G$16),Timeline!$E$4:$BL$4,"&lt;="&amp;(BK$4-1)))</f>
        <v/>
      </c>
      <c r="BL117" s="39">
        <f>IF(Products!$G$16=0,0,Products!$G$35/Products!$G$16*SUMIFS($E$110:$BL$110,Timeline!$E$4:$BL$4,"&gt;="&amp;(BL$4-Products!$G$16),Timeline!$E$4:$BL$4,"&lt;="&amp;(BL$4-1)))</f>
        <v/>
      </c>
    </row>
    <row r="118">
      <c r="A118" s="55" t="inlineStr">
        <is>
          <t>Expected credit loss charged at origination</t>
        </is>
      </c>
      <c r="B118" s="26" t="inlineStr">
        <is>
          <t>LCY</t>
        </is>
      </c>
      <c r="C118" s="58">
        <f>SUM(E118:BL118)</f>
        <v/>
      </c>
      <c r="E118" s="39">
        <f>E110*Curves!$BA$70</f>
        <v/>
      </c>
      <c r="F118" s="39">
        <f>F110*Curves!$BA$70</f>
        <v/>
      </c>
      <c r="G118" s="39">
        <f>G110*Curves!$BA$70</f>
        <v/>
      </c>
      <c r="H118" s="39">
        <f>H110*Curves!$BA$70</f>
        <v/>
      </c>
      <c r="I118" s="39">
        <f>I110*Curves!$BA$70</f>
        <v/>
      </c>
      <c r="J118" s="39">
        <f>J110*Curves!$BA$70</f>
        <v/>
      </c>
      <c r="K118" s="39">
        <f>K110*Curves!$BA$70</f>
        <v/>
      </c>
      <c r="L118" s="39">
        <f>L110*Curves!$BA$70</f>
        <v/>
      </c>
      <c r="M118" s="39">
        <f>M110*Curves!$BA$70</f>
        <v/>
      </c>
      <c r="N118" s="39">
        <f>N110*Curves!$BA$70</f>
        <v/>
      </c>
      <c r="O118" s="39">
        <f>O110*Curves!$BA$70</f>
        <v/>
      </c>
      <c r="P118" s="39">
        <f>P110*Curves!$BA$70</f>
        <v/>
      </c>
      <c r="Q118" s="39">
        <f>Q110*Curves!$BA$70</f>
        <v/>
      </c>
      <c r="R118" s="39">
        <f>R110*Curves!$BA$70</f>
        <v/>
      </c>
      <c r="S118" s="39">
        <f>S110*Curves!$BA$70</f>
        <v/>
      </c>
      <c r="T118" s="39">
        <f>T110*Curves!$BA$70</f>
        <v/>
      </c>
      <c r="U118" s="39">
        <f>U110*Curves!$BA$70</f>
        <v/>
      </c>
      <c r="V118" s="39">
        <f>V110*Curves!$BA$70</f>
        <v/>
      </c>
      <c r="W118" s="39">
        <f>W110*Curves!$BA$70</f>
        <v/>
      </c>
      <c r="X118" s="39">
        <f>X110*Curves!$BA$70</f>
        <v/>
      </c>
      <c r="Y118" s="39">
        <f>Y110*Curves!$BA$70</f>
        <v/>
      </c>
      <c r="Z118" s="39">
        <f>Z110*Curves!$BA$70</f>
        <v/>
      </c>
      <c r="AA118" s="39">
        <f>AA110*Curves!$BA$70</f>
        <v/>
      </c>
      <c r="AB118" s="39">
        <f>AB110*Curves!$BA$70</f>
        <v/>
      </c>
      <c r="AC118" s="39">
        <f>AC110*Curves!$BA$70</f>
        <v/>
      </c>
      <c r="AD118" s="39">
        <f>AD110*Curves!$BA$70</f>
        <v/>
      </c>
      <c r="AE118" s="39">
        <f>AE110*Curves!$BA$70</f>
        <v/>
      </c>
      <c r="AF118" s="39">
        <f>AF110*Curves!$BA$70</f>
        <v/>
      </c>
      <c r="AG118" s="39">
        <f>AG110*Curves!$BA$70</f>
        <v/>
      </c>
      <c r="AH118" s="39">
        <f>AH110*Curves!$BA$70</f>
        <v/>
      </c>
      <c r="AI118" s="39">
        <f>AI110*Curves!$BA$70</f>
        <v/>
      </c>
      <c r="AJ118" s="39">
        <f>AJ110*Curves!$BA$70</f>
        <v/>
      </c>
      <c r="AK118" s="39">
        <f>AK110*Curves!$BA$70</f>
        <v/>
      </c>
      <c r="AL118" s="39">
        <f>AL110*Curves!$BA$70</f>
        <v/>
      </c>
      <c r="AM118" s="39">
        <f>AM110*Curves!$BA$70</f>
        <v/>
      </c>
      <c r="AN118" s="39">
        <f>AN110*Curves!$BA$70</f>
        <v/>
      </c>
      <c r="AO118" s="39">
        <f>AO110*Curves!$BA$70</f>
        <v/>
      </c>
      <c r="AP118" s="39">
        <f>AP110*Curves!$BA$70</f>
        <v/>
      </c>
      <c r="AQ118" s="39">
        <f>AQ110*Curves!$BA$70</f>
        <v/>
      </c>
      <c r="AR118" s="39">
        <f>AR110*Curves!$BA$70</f>
        <v/>
      </c>
      <c r="AS118" s="39">
        <f>AS110*Curves!$BA$70</f>
        <v/>
      </c>
      <c r="AT118" s="39">
        <f>AT110*Curves!$BA$70</f>
        <v/>
      </c>
      <c r="AU118" s="39">
        <f>AU110*Curves!$BA$70</f>
        <v/>
      </c>
      <c r="AV118" s="39">
        <f>AV110*Curves!$BA$70</f>
        <v/>
      </c>
      <c r="AW118" s="39">
        <f>AW110*Curves!$BA$70</f>
        <v/>
      </c>
      <c r="AX118" s="39">
        <f>AX110*Curves!$BA$70</f>
        <v/>
      </c>
      <c r="AY118" s="39">
        <f>AY110*Curves!$BA$70</f>
        <v/>
      </c>
      <c r="AZ118" s="39">
        <f>AZ110*Curves!$BA$70</f>
        <v/>
      </c>
      <c r="BA118" s="39">
        <f>BA110*Curves!$BA$70</f>
        <v/>
      </c>
      <c r="BB118" s="39">
        <f>BB110*Curves!$BA$70</f>
        <v/>
      </c>
      <c r="BC118" s="39">
        <f>BC110*Curves!$BA$70</f>
        <v/>
      </c>
      <c r="BD118" s="39">
        <f>BD110*Curves!$BA$70</f>
        <v/>
      </c>
      <c r="BE118" s="39">
        <f>BE110*Curves!$BA$70</f>
        <v/>
      </c>
      <c r="BF118" s="39">
        <f>BF110*Curves!$BA$70</f>
        <v/>
      </c>
      <c r="BG118" s="39">
        <f>BG110*Curves!$BA$70</f>
        <v/>
      </c>
      <c r="BH118" s="39">
        <f>BH110*Curves!$BA$70</f>
        <v/>
      </c>
      <c r="BI118" s="39">
        <f>BI110*Curves!$BA$70</f>
        <v/>
      </c>
      <c r="BJ118" s="39">
        <f>BJ110*Curves!$BA$70</f>
        <v/>
      </c>
      <c r="BK118" s="39">
        <f>BK110*Curves!$BA$70</f>
        <v/>
      </c>
      <c r="BL118" s="39">
        <f>BL110*Curves!$BA$70</f>
        <v/>
      </c>
    </row>
    <row r="119">
      <c r="A119" s="55" t="inlineStr">
        <is>
          <t>Recoveries from resale of repossessed units</t>
        </is>
      </c>
      <c r="B119" s="26" t="inlineStr">
        <is>
          <t>LCY</t>
        </is>
      </c>
      <c r="C119" s="58">
        <f>SUM(E119:BL119)</f>
        <v/>
      </c>
      <c r="E119" s="17">
        <f>Cohort_T5!E$198</f>
        <v/>
      </c>
      <c r="F119" s="17">
        <f>Cohort_T5!F$198</f>
        <v/>
      </c>
      <c r="G119" s="17">
        <f>Cohort_T5!G$198</f>
        <v/>
      </c>
      <c r="H119" s="17">
        <f>Cohort_T5!H$198</f>
        <v/>
      </c>
      <c r="I119" s="17">
        <f>Cohort_T5!I$198</f>
        <v/>
      </c>
      <c r="J119" s="17">
        <f>Cohort_T5!J$198</f>
        <v/>
      </c>
      <c r="K119" s="17">
        <f>Cohort_T5!K$198</f>
        <v/>
      </c>
      <c r="L119" s="17">
        <f>Cohort_T5!L$198</f>
        <v/>
      </c>
      <c r="M119" s="17">
        <f>Cohort_T5!M$198</f>
        <v/>
      </c>
      <c r="N119" s="17">
        <f>Cohort_T5!N$198</f>
        <v/>
      </c>
      <c r="O119" s="17">
        <f>Cohort_T5!O$198</f>
        <v/>
      </c>
      <c r="P119" s="17">
        <f>Cohort_T5!P$198</f>
        <v/>
      </c>
      <c r="Q119" s="17">
        <f>Cohort_T5!Q$198</f>
        <v/>
      </c>
      <c r="R119" s="17">
        <f>Cohort_T5!R$198</f>
        <v/>
      </c>
      <c r="S119" s="17">
        <f>Cohort_T5!S$198</f>
        <v/>
      </c>
      <c r="T119" s="17">
        <f>Cohort_T5!T$198</f>
        <v/>
      </c>
      <c r="U119" s="17">
        <f>Cohort_T5!U$198</f>
        <v/>
      </c>
      <c r="V119" s="17">
        <f>Cohort_T5!V$198</f>
        <v/>
      </c>
      <c r="W119" s="17">
        <f>Cohort_T5!W$198</f>
        <v/>
      </c>
      <c r="X119" s="17">
        <f>Cohort_T5!X$198</f>
        <v/>
      </c>
      <c r="Y119" s="17">
        <f>Cohort_T5!Y$198</f>
        <v/>
      </c>
      <c r="Z119" s="17">
        <f>Cohort_T5!Z$198</f>
        <v/>
      </c>
      <c r="AA119" s="17">
        <f>Cohort_T5!AA$198</f>
        <v/>
      </c>
      <c r="AB119" s="17">
        <f>Cohort_T5!AB$198</f>
        <v/>
      </c>
      <c r="AC119" s="17">
        <f>Cohort_T5!AC$198</f>
        <v/>
      </c>
      <c r="AD119" s="17">
        <f>Cohort_T5!AD$198</f>
        <v/>
      </c>
      <c r="AE119" s="17">
        <f>Cohort_T5!AE$198</f>
        <v/>
      </c>
      <c r="AF119" s="17">
        <f>Cohort_T5!AF$198</f>
        <v/>
      </c>
      <c r="AG119" s="17">
        <f>Cohort_T5!AG$198</f>
        <v/>
      </c>
      <c r="AH119" s="17">
        <f>Cohort_T5!AH$198</f>
        <v/>
      </c>
      <c r="AI119" s="17">
        <f>Cohort_T5!AI$198</f>
        <v/>
      </c>
      <c r="AJ119" s="17">
        <f>Cohort_T5!AJ$198</f>
        <v/>
      </c>
      <c r="AK119" s="17">
        <f>Cohort_T5!AK$198</f>
        <v/>
      </c>
      <c r="AL119" s="17">
        <f>Cohort_T5!AL$198</f>
        <v/>
      </c>
      <c r="AM119" s="17">
        <f>Cohort_T5!AM$198</f>
        <v/>
      </c>
      <c r="AN119" s="17">
        <f>Cohort_T5!AN$198</f>
        <v/>
      </c>
      <c r="AO119" s="17">
        <f>Cohort_T5!AO$198</f>
        <v/>
      </c>
      <c r="AP119" s="17">
        <f>Cohort_T5!AP$198</f>
        <v/>
      </c>
      <c r="AQ119" s="17">
        <f>Cohort_T5!AQ$198</f>
        <v/>
      </c>
      <c r="AR119" s="17">
        <f>Cohort_T5!AR$198</f>
        <v/>
      </c>
      <c r="AS119" s="17">
        <f>Cohort_T5!AS$198</f>
        <v/>
      </c>
      <c r="AT119" s="17">
        <f>Cohort_T5!AT$198</f>
        <v/>
      </c>
      <c r="AU119" s="17">
        <f>Cohort_T5!AU$198</f>
        <v/>
      </c>
      <c r="AV119" s="17">
        <f>Cohort_T5!AV$198</f>
        <v/>
      </c>
      <c r="AW119" s="17">
        <f>Cohort_T5!AW$198</f>
        <v/>
      </c>
      <c r="AX119" s="17">
        <f>Cohort_T5!AX$198</f>
        <v/>
      </c>
      <c r="AY119" s="17">
        <f>Cohort_T5!AY$198</f>
        <v/>
      </c>
      <c r="AZ119" s="17">
        <f>Cohort_T5!AZ$198</f>
        <v/>
      </c>
      <c r="BA119" s="17">
        <f>Cohort_T5!BA$198</f>
        <v/>
      </c>
      <c r="BB119" s="17">
        <f>Cohort_T5!BB$198</f>
        <v/>
      </c>
      <c r="BC119" s="17">
        <f>Cohort_T5!BC$198</f>
        <v/>
      </c>
      <c r="BD119" s="17">
        <f>Cohort_T5!BD$198</f>
        <v/>
      </c>
      <c r="BE119" s="17">
        <f>Cohort_T5!BE$198</f>
        <v/>
      </c>
      <c r="BF119" s="17">
        <f>Cohort_T5!BF$198</f>
        <v/>
      </c>
      <c r="BG119" s="17">
        <f>Cohort_T5!BG$198</f>
        <v/>
      </c>
      <c r="BH119" s="17">
        <f>Cohort_T5!BH$198</f>
        <v/>
      </c>
      <c r="BI119" s="17">
        <f>Cohort_T5!BI$198</f>
        <v/>
      </c>
      <c r="BJ119" s="17">
        <f>Cohort_T5!BJ$198</f>
        <v/>
      </c>
      <c r="BK119" s="17">
        <f>Cohort_T5!BK$198</f>
        <v/>
      </c>
      <c r="BL119" s="17">
        <f>Cohort_T5!BL$198</f>
        <v/>
      </c>
    </row>
    <row r="120">
      <c r="A120" s="55" t="inlineStr">
        <is>
          <t>RBF received</t>
        </is>
      </c>
      <c r="B120" s="26" t="inlineStr">
        <is>
          <t>LCY</t>
        </is>
      </c>
      <c r="C120" s="58">
        <f>SUM(E120:BL120)</f>
        <v/>
      </c>
      <c r="E120" s="39">
        <f>IF(E$4-Inputs!$C$33&gt;=1,INDEX($E$109:$BL$109,1,E$4-Inputs!$C$33),0)*Products!$G$30*Timeline!E$8*Inputs!$C$32</f>
        <v/>
      </c>
      <c r="F120" s="39">
        <f>IF(F$4-Inputs!$C$33&gt;=1,INDEX($E$109:$BL$109,1,F$4-Inputs!$C$33),0)*Products!$G$30*Timeline!F$8*Inputs!$C$32</f>
        <v/>
      </c>
      <c r="G120" s="39">
        <f>IF(G$4-Inputs!$C$33&gt;=1,INDEX($E$109:$BL$109,1,G$4-Inputs!$C$33),0)*Products!$G$30*Timeline!G$8*Inputs!$C$32</f>
        <v/>
      </c>
      <c r="H120" s="39">
        <f>IF(H$4-Inputs!$C$33&gt;=1,INDEX($E$109:$BL$109,1,H$4-Inputs!$C$33),0)*Products!$G$30*Timeline!H$8*Inputs!$C$32</f>
        <v/>
      </c>
      <c r="I120" s="39">
        <f>IF(I$4-Inputs!$C$33&gt;=1,INDEX($E$109:$BL$109,1,I$4-Inputs!$C$33),0)*Products!$G$30*Timeline!I$8*Inputs!$C$32</f>
        <v/>
      </c>
      <c r="J120" s="39">
        <f>IF(J$4-Inputs!$C$33&gt;=1,INDEX($E$109:$BL$109,1,J$4-Inputs!$C$33),0)*Products!$G$30*Timeline!J$8*Inputs!$C$32</f>
        <v/>
      </c>
      <c r="K120" s="39">
        <f>IF(K$4-Inputs!$C$33&gt;=1,INDEX($E$109:$BL$109,1,K$4-Inputs!$C$33),0)*Products!$G$30*Timeline!K$8*Inputs!$C$32</f>
        <v/>
      </c>
      <c r="L120" s="39">
        <f>IF(L$4-Inputs!$C$33&gt;=1,INDEX($E$109:$BL$109,1,L$4-Inputs!$C$33),0)*Products!$G$30*Timeline!L$8*Inputs!$C$32</f>
        <v/>
      </c>
      <c r="M120" s="39">
        <f>IF(M$4-Inputs!$C$33&gt;=1,INDEX($E$109:$BL$109,1,M$4-Inputs!$C$33),0)*Products!$G$30*Timeline!M$8*Inputs!$C$32</f>
        <v/>
      </c>
      <c r="N120" s="39">
        <f>IF(N$4-Inputs!$C$33&gt;=1,INDEX($E$109:$BL$109,1,N$4-Inputs!$C$33),0)*Products!$G$30*Timeline!N$8*Inputs!$C$32</f>
        <v/>
      </c>
      <c r="O120" s="39">
        <f>IF(O$4-Inputs!$C$33&gt;=1,INDEX($E$109:$BL$109,1,O$4-Inputs!$C$33),0)*Products!$G$30*Timeline!O$8*Inputs!$C$32</f>
        <v/>
      </c>
      <c r="P120" s="39">
        <f>IF(P$4-Inputs!$C$33&gt;=1,INDEX($E$109:$BL$109,1,P$4-Inputs!$C$33),0)*Products!$G$30*Timeline!P$8*Inputs!$C$32</f>
        <v/>
      </c>
      <c r="Q120" s="39">
        <f>IF(Q$4-Inputs!$C$33&gt;=1,INDEX($E$109:$BL$109,1,Q$4-Inputs!$C$33),0)*Products!$G$30*Timeline!Q$8*Inputs!$C$32</f>
        <v/>
      </c>
      <c r="R120" s="39">
        <f>IF(R$4-Inputs!$C$33&gt;=1,INDEX($E$109:$BL$109,1,R$4-Inputs!$C$33),0)*Products!$G$30*Timeline!R$8*Inputs!$C$32</f>
        <v/>
      </c>
      <c r="S120" s="39">
        <f>IF(S$4-Inputs!$C$33&gt;=1,INDEX($E$109:$BL$109,1,S$4-Inputs!$C$33),0)*Products!$G$30*Timeline!S$8*Inputs!$C$32</f>
        <v/>
      </c>
      <c r="T120" s="39">
        <f>IF(T$4-Inputs!$C$33&gt;=1,INDEX($E$109:$BL$109,1,T$4-Inputs!$C$33),0)*Products!$G$30*Timeline!T$8*Inputs!$C$32</f>
        <v/>
      </c>
      <c r="U120" s="39">
        <f>IF(U$4-Inputs!$C$33&gt;=1,INDEX($E$109:$BL$109,1,U$4-Inputs!$C$33),0)*Products!$G$30*Timeline!U$8*Inputs!$C$32</f>
        <v/>
      </c>
      <c r="V120" s="39">
        <f>IF(V$4-Inputs!$C$33&gt;=1,INDEX($E$109:$BL$109,1,V$4-Inputs!$C$33),0)*Products!$G$30*Timeline!V$8*Inputs!$C$32</f>
        <v/>
      </c>
      <c r="W120" s="39">
        <f>IF(W$4-Inputs!$C$33&gt;=1,INDEX($E$109:$BL$109,1,W$4-Inputs!$C$33),0)*Products!$G$30*Timeline!W$8*Inputs!$C$32</f>
        <v/>
      </c>
      <c r="X120" s="39">
        <f>IF(X$4-Inputs!$C$33&gt;=1,INDEX($E$109:$BL$109,1,X$4-Inputs!$C$33),0)*Products!$G$30*Timeline!X$8*Inputs!$C$32</f>
        <v/>
      </c>
      <c r="Y120" s="39">
        <f>IF(Y$4-Inputs!$C$33&gt;=1,INDEX($E$109:$BL$109,1,Y$4-Inputs!$C$33),0)*Products!$G$30*Timeline!Y$8*Inputs!$C$32</f>
        <v/>
      </c>
      <c r="Z120" s="39">
        <f>IF(Z$4-Inputs!$C$33&gt;=1,INDEX($E$109:$BL$109,1,Z$4-Inputs!$C$33),0)*Products!$G$30*Timeline!Z$8*Inputs!$C$32</f>
        <v/>
      </c>
      <c r="AA120" s="39">
        <f>IF(AA$4-Inputs!$C$33&gt;=1,INDEX($E$109:$BL$109,1,AA$4-Inputs!$C$33),0)*Products!$G$30*Timeline!AA$8*Inputs!$C$32</f>
        <v/>
      </c>
      <c r="AB120" s="39">
        <f>IF(AB$4-Inputs!$C$33&gt;=1,INDEX($E$109:$BL$109,1,AB$4-Inputs!$C$33),0)*Products!$G$30*Timeline!AB$8*Inputs!$C$32</f>
        <v/>
      </c>
      <c r="AC120" s="39">
        <f>IF(AC$4-Inputs!$C$33&gt;=1,INDEX($E$109:$BL$109,1,AC$4-Inputs!$C$33),0)*Products!$G$30*Timeline!AC$8*Inputs!$C$32</f>
        <v/>
      </c>
      <c r="AD120" s="39">
        <f>IF(AD$4-Inputs!$C$33&gt;=1,INDEX($E$109:$BL$109,1,AD$4-Inputs!$C$33),0)*Products!$G$30*Timeline!AD$8*Inputs!$C$32</f>
        <v/>
      </c>
      <c r="AE120" s="39">
        <f>IF(AE$4-Inputs!$C$33&gt;=1,INDEX($E$109:$BL$109,1,AE$4-Inputs!$C$33),0)*Products!$G$30*Timeline!AE$8*Inputs!$C$32</f>
        <v/>
      </c>
      <c r="AF120" s="39">
        <f>IF(AF$4-Inputs!$C$33&gt;=1,INDEX($E$109:$BL$109,1,AF$4-Inputs!$C$33),0)*Products!$G$30*Timeline!AF$8*Inputs!$C$32</f>
        <v/>
      </c>
      <c r="AG120" s="39">
        <f>IF(AG$4-Inputs!$C$33&gt;=1,INDEX($E$109:$BL$109,1,AG$4-Inputs!$C$33),0)*Products!$G$30*Timeline!AG$8*Inputs!$C$32</f>
        <v/>
      </c>
      <c r="AH120" s="39">
        <f>IF(AH$4-Inputs!$C$33&gt;=1,INDEX($E$109:$BL$109,1,AH$4-Inputs!$C$33),0)*Products!$G$30*Timeline!AH$8*Inputs!$C$32</f>
        <v/>
      </c>
      <c r="AI120" s="39">
        <f>IF(AI$4-Inputs!$C$33&gt;=1,INDEX($E$109:$BL$109,1,AI$4-Inputs!$C$33),0)*Products!$G$30*Timeline!AI$8*Inputs!$C$32</f>
        <v/>
      </c>
      <c r="AJ120" s="39">
        <f>IF(AJ$4-Inputs!$C$33&gt;=1,INDEX($E$109:$BL$109,1,AJ$4-Inputs!$C$33),0)*Products!$G$30*Timeline!AJ$8*Inputs!$C$32</f>
        <v/>
      </c>
      <c r="AK120" s="39">
        <f>IF(AK$4-Inputs!$C$33&gt;=1,INDEX($E$109:$BL$109,1,AK$4-Inputs!$C$33),0)*Products!$G$30*Timeline!AK$8*Inputs!$C$32</f>
        <v/>
      </c>
      <c r="AL120" s="39">
        <f>IF(AL$4-Inputs!$C$33&gt;=1,INDEX($E$109:$BL$109,1,AL$4-Inputs!$C$33),0)*Products!$G$30*Timeline!AL$8*Inputs!$C$32</f>
        <v/>
      </c>
      <c r="AM120" s="39">
        <f>IF(AM$4-Inputs!$C$33&gt;=1,INDEX($E$109:$BL$109,1,AM$4-Inputs!$C$33),0)*Products!$G$30*Timeline!AM$8*Inputs!$C$32</f>
        <v/>
      </c>
      <c r="AN120" s="39">
        <f>IF(AN$4-Inputs!$C$33&gt;=1,INDEX($E$109:$BL$109,1,AN$4-Inputs!$C$33),0)*Products!$G$30*Timeline!AN$8*Inputs!$C$32</f>
        <v/>
      </c>
      <c r="AO120" s="39">
        <f>IF(AO$4-Inputs!$C$33&gt;=1,INDEX($E$109:$BL$109,1,AO$4-Inputs!$C$33),0)*Products!$G$30*Timeline!AO$8*Inputs!$C$32</f>
        <v/>
      </c>
      <c r="AP120" s="39">
        <f>IF(AP$4-Inputs!$C$33&gt;=1,INDEX($E$109:$BL$109,1,AP$4-Inputs!$C$33),0)*Products!$G$30*Timeline!AP$8*Inputs!$C$32</f>
        <v/>
      </c>
      <c r="AQ120" s="39">
        <f>IF(AQ$4-Inputs!$C$33&gt;=1,INDEX($E$109:$BL$109,1,AQ$4-Inputs!$C$33),0)*Products!$G$30*Timeline!AQ$8*Inputs!$C$32</f>
        <v/>
      </c>
      <c r="AR120" s="39">
        <f>IF(AR$4-Inputs!$C$33&gt;=1,INDEX($E$109:$BL$109,1,AR$4-Inputs!$C$33),0)*Products!$G$30*Timeline!AR$8*Inputs!$C$32</f>
        <v/>
      </c>
      <c r="AS120" s="39">
        <f>IF(AS$4-Inputs!$C$33&gt;=1,INDEX($E$109:$BL$109,1,AS$4-Inputs!$C$33),0)*Products!$G$30*Timeline!AS$8*Inputs!$C$32</f>
        <v/>
      </c>
      <c r="AT120" s="39">
        <f>IF(AT$4-Inputs!$C$33&gt;=1,INDEX($E$109:$BL$109,1,AT$4-Inputs!$C$33),0)*Products!$G$30*Timeline!AT$8*Inputs!$C$32</f>
        <v/>
      </c>
      <c r="AU120" s="39">
        <f>IF(AU$4-Inputs!$C$33&gt;=1,INDEX($E$109:$BL$109,1,AU$4-Inputs!$C$33),0)*Products!$G$30*Timeline!AU$8*Inputs!$C$32</f>
        <v/>
      </c>
      <c r="AV120" s="39">
        <f>IF(AV$4-Inputs!$C$33&gt;=1,INDEX($E$109:$BL$109,1,AV$4-Inputs!$C$33),0)*Products!$G$30*Timeline!AV$8*Inputs!$C$32</f>
        <v/>
      </c>
      <c r="AW120" s="39">
        <f>IF(AW$4-Inputs!$C$33&gt;=1,INDEX($E$109:$BL$109,1,AW$4-Inputs!$C$33),0)*Products!$G$30*Timeline!AW$8*Inputs!$C$32</f>
        <v/>
      </c>
      <c r="AX120" s="39">
        <f>IF(AX$4-Inputs!$C$33&gt;=1,INDEX($E$109:$BL$109,1,AX$4-Inputs!$C$33),0)*Products!$G$30*Timeline!AX$8*Inputs!$C$32</f>
        <v/>
      </c>
      <c r="AY120" s="39">
        <f>IF(AY$4-Inputs!$C$33&gt;=1,INDEX($E$109:$BL$109,1,AY$4-Inputs!$C$33),0)*Products!$G$30*Timeline!AY$8*Inputs!$C$32</f>
        <v/>
      </c>
      <c r="AZ120" s="39">
        <f>IF(AZ$4-Inputs!$C$33&gt;=1,INDEX($E$109:$BL$109,1,AZ$4-Inputs!$C$33),0)*Products!$G$30*Timeline!AZ$8*Inputs!$C$32</f>
        <v/>
      </c>
      <c r="BA120" s="39">
        <f>IF(BA$4-Inputs!$C$33&gt;=1,INDEX($E$109:$BL$109,1,BA$4-Inputs!$C$33),0)*Products!$G$30*Timeline!BA$8*Inputs!$C$32</f>
        <v/>
      </c>
      <c r="BB120" s="39">
        <f>IF(BB$4-Inputs!$C$33&gt;=1,INDEX($E$109:$BL$109,1,BB$4-Inputs!$C$33),0)*Products!$G$30*Timeline!BB$8*Inputs!$C$32</f>
        <v/>
      </c>
      <c r="BC120" s="39">
        <f>IF(BC$4-Inputs!$C$33&gt;=1,INDEX($E$109:$BL$109,1,BC$4-Inputs!$C$33),0)*Products!$G$30*Timeline!BC$8*Inputs!$C$32</f>
        <v/>
      </c>
      <c r="BD120" s="39">
        <f>IF(BD$4-Inputs!$C$33&gt;=1,INDEX($E$109:$BL$109,1,BD$4-Inputs!$C$33),0)*Products!$G$30*Timeline!BD$8*Inputs!$C$32</f>
        <v/>
      </c>
      <c r="BE120" s="39">
        <f>IF(BE$4-Inputs!$C$33&gt;=1,INDEX($E$109:$BL$109,1,BE$4-Inputs!$C$33),0)*Products!$G$30*Timeline!BE$8*Inputs!$C$32</f>
        <v/>
      </c>
      <c r="BF120" s="39">
        <f>IF(BF$4-Inputs!$C$33&gt;=1,INDEX($E$109:$BL$109,1,BF$4-Inputs!$C$33),0)*Products!$G$30*Timeline!BF$8*Inputs!$C$32</f>
        <v/>
      </c>
      <c r="BG120" s="39">
        <f>IF(BG$4-Inputs!$C$33&gt;=1,INDEX($E$109:$BL$109,1,BG$4-Inputs!$C$33),0)*Products!$G$30*Timeline!BG$8*Inputs!$C$32</f>
        <v/>
      </c>
      <c r="BH120" s="39">
        <f>IF(BH$4-Inputs!$C$33&gt;=1,INDEX($E$109:$BL$109,1,BH$4-Inputs!$C$33),0)*Products!$G$30*Timeline!BH$8*Inputs!$C$32</f>
        <v/>
      </c>
      <c r="BI120" s="39">
        <f>IF(BI$4-Inputs!$C$33&gt;=1,INDEX($E$109:$BL$109,1,BI$4-Inputs!$C$33),0)*Products!$G$30*Timeline!BI$8*Inputs!$C$32</f>
        <v/>
      </c>
      <c r="BJ120" s="39">
        <f>IF(BJ$4-Inputs!$C$33&gt;=1,INDEX($E$109:$BL$109,1,BJ$4-Inputs!$C$33),0)*Products!$G$30*Timeline!BJ$8*Inputs!$C$32</f>
        <v/>
      </c>
      <c r="BK120" s="39">
        <f>IF(BK$4-Inputs!$C$33&gt;=1,INDEX($E$109:$BL$109,1,BK$4-Inputs!$C$33),0)*Products!$G$30*Timeline!BK$8*Inputs!$C$32</f>
        <v/>
      </c>
      <c r="BL120" s="39">
        <f>IF(BL$4-Inputs!$C$33&gt;=1,INDEX($E$109:$BL$109,1,BL$4-Inputs!$C$33),0)*Products!$G$30*Timeline!BL$8*Inputs!$C$32</f>
        <v/>
      </c>
    </row>
    <row r="121">
      <c r="A121" s="55" t="inlineStr">
        <is>
          <t>Active (paying, in-tenor) accounts</t>
        </is>
      </c>
      <c r="B121" s="26" t="inlineStr">
        <is>
          <t>accounts</t>
        </is>
      </c>
      <c r="C121" s="58">
        <f>BL121</f>
        <v/>
      </c>
      <c r="E121" s="17">
        <f>Cohort_T5!E$72</f>
        <v/>
      </c>
      <c r="F121" s="17">
        <f>Cohort_T5!F$72</f>
        <v/>
      </c>
      <c r="G121" s="17">
        <f>Cohort_T5!G$72</f>
        <v/>
      </c>
      <c r="H121" s="17">
        <f>Cohort_T5!H$72</f>
        <v/>
      </c>
      <c r="I121" s="17">
        <f>Cohort_T5!I$72</f>
        <v/>
      </c>
      <c r="J121" s="17">
        <f>Cohort_T5!J$72</f>
        <v/>
      </c>
      <c r="K121" s="17">
        <f>Cohort_T5!K$72</f>
        <v/>
      </c>
      <c r="L121" s="17">
        <f>Cohort_T5!L$72</f>
        <v/>
      </c>
      <c r="M121" s="17">
        <f>Cohort_T5!M$72</f>
        <v/>
      </c>
      <c r="N121" s="17">
        <f>Cohort_T5!N$72</f>
        <v/>
      </c>
      <c r="O121" s="17">
        <f>Cohort_T5!O$72</f>
        <v/>
      </c>
      <c r="P121" s="17">
        <f>Cohort_T5!P$72</f>
        <v/>
      </c>
      <c r="Q121" s="17">
        <f>Cohort_T5!Q$72</f>
        <v/>
      </c>
      <c r="R121" s="17">
        <f>Cohort_T5!R$72</f>
        <v/>
      </c>
      <c r="S121" s="17">
        <f>Cohort_T5!S$72</f>
        <v/>
      </c>
      <c r="T121" s="17">
        <f>Cohort_T5!T$72</f>
        <v/>
      </c>
      <c r="U121" s="17">
        <f>Cohort_T5!U$72</f>
        <v/>
      </c>
      <c r="V121" s="17">
        <f>Cohort_T5!V$72</f>
        <v/>
      </c>
      <c r="W121" s="17">
        <f>Cohort_T5!W$72</f>
        <v/>
      </c>
      <c r="X121" s="17">
        <f>Cohort_T5!X$72</f>
        <v/>
      </c>
      <c r="Y121" s="17">
        <f>Cohort_T5!Y$72</f>
        <v/>
      </c>
      <c r="Z121" s="17">
        <f>Cohort_T5!Z$72</f>
        <v/>
      </c>
      <c r="AA121" s="17">
        <f>Cohort_T5!AA$72</f>
        <v/>
      </c>
      <c r="AB121" s="17">
        <f>Cohort_T5!AB$72</f>
        <v/>
      </c>
      <c r="AC121" s="17">
        <f>Cohort_T5!AC$72</f>
        <v/>
      </c>
      <c r="AD121" s="17">
        <f>Cohort_T5!AD$72</f>
        <v/>
      </c>
      <c r="AE121" s="17">
        <f>Cohort_T5!AE$72</f>
        <v/>
      </c>
      <c r="AF121" s="17">
        <f>Cohort_T5!AF$72</f>
        <v/>
      </c>
      <c r="AG121" s="17">
        <f>Cohort_T5!AG$72</f>
        <v/>
      </c>
      <c r="AH121" s="17">
        <f>Cohort_T5!AH$72</f>
        <v/>
      </c>
      <c r="AI121" s="17">
        <f>Cohort_T5!AI$72</f>
        <v/>
      </c>
      <c r="AJ121" s="17">
        <f>Cohort_T5!AJ$72</f>
        <v/>
      </c>
      <c r="AK121" s="17">
        <f>Cohort_T5!AK$72</f>
        <v/>
      </c>
      <c r="AL121" s="17">
        <f>Cohort_T5!AL$72</f>
        <v/>
      </c>
      <c r="AM121" s="17">
        <f>Cohort_T5!AM$72</f>
        <v/>
      </c>
      <c r="AN121" s="17">
        <f>Cohort_T5!AN$72</f>
        <v/>
      </c>
      <c r="AO121" s="17">
        <f>Cohort_T5!AO$72</f>
        <v/>
      </c>
      <c r="AP121" s="17">
        <f>Cohort_T5!AP$72</f>
        <v/>
      </c>
      <c r="AQ121" s="17">
        <f>Cohort_T5!AQ$72</f>
        <v/>
      </c>
      <c r="AR121" s="17">
        <f>Cohort_T5!AR$72</f>
        <v/>
      </c>
      <c r="AS121" s="17">
        <f>Cohort_T5!AS$72</f>
        <v/>
      </c>
      <c r="AT121" s="17">
        <f>Cohort_T5!AT$72</f>
        <v/>
      </c>
      <c r="AU121" s="17">
        <f>Cohort_T5!AU$72</f>
        <v/>
      </c>
      <c r="AV121" s="17">
        <f>Cohort_T5!AV$72</f>
        <v/>
      </c>
      <c r="AW121" s="17">
        <f>Cohort_T5!AW$72</f>
        <v/>
      </c>
      <c r="AX121" s="17">
        <f>Cohort_T5!AX$72</f>
        <v/>
      </c>
      <c r="AY121" s="17">
        <f>Cohort_T5!AY$72</f>
        <v/>
      </c>
      <c r="AZ121" s="17">
        <f>Cohort_T5!AZ$72</f>
        <v/>
      </c>
      <c r="BA121" s="17">
        <f>Cohort_T5!BA$72</f>
        <v/>
      </c>
      <c r="BB121" s="17">
        <f>Cohort_T5!BB$72</f>
        <v/>
      </c>
      <c r="BC121" s="17">
        <f>Cohort_T5!BC$72</f>
        <v/>
      </c>
      <c r="BD121" s="17">
        <f>Cohort_T5!BD$72</f>
        <v/>
      </c>
      <c r="BE121" s="17">
        <f>Cohort_T5!BE$72</f>
        <v/>
      </c>
      <c r="BF121" s="17">
        <f>Cohort_T5!BF$72</f>
        <v/>
      </c>
      <c r="BG121" s="17">
        <f>Cohort_T5!BG$72</f>
        <v/>
      </c>
      <c r="BH121" s="17">
        <f>Cohort_T5!BH$72</f>
        <v/>
      </c>
      <c r="BI121" s="17">
        <f>Cohort_T5!BI$72</f>
        <v/>
      </c>
      <c r="BJ121" s="17">
        <f>Cohort_T5!BJ$72</f>
        <v/>
      </c>
      <c r="BK121" s="17">
        <f>Cohort_T5!BK$72</f>
        <v/>
      </c>
      <c r="BL121" s="17">
        <f>Cohort_T5!BL$72</f>
        <v/>
      </c>
    </row>
    <row r="122">
      <c r="A122" s="55" t="inlineStr">
        <is>
          <t>Accounts reaching end of tenor (unlocked)</t>
        </is>
      </c>
      <c r="B122" s="26" t="inlineStr">
        <is>
          <t>accounts</t>
        </is>
      </c>
      <c r="C122" s="58">
        <f>SUM(E122:BL122)</f>
        <v/>
      </c>
      <c r="E122" s="39">
        <f>IF(E$4&gt;Products!$G$16,INDEX($E$109:$BL$109,1,E$4-Products!$G$16)*INDEX(Curves!$AX$8:$AX$68,Products!$G$16+1),0)</f>
        <v/>
      </c>
      <c r="F122" s="39">
        <f>IF(F$4&gt;Products!$G$16,INDEX($E$109:$BL$109,1,F$4-Products!$G$16)*INDEX(Curves!$AX$8:$AX$68,Products!$G$16+1),0)</f>
        <v/>
      </c>
      <c r="G122" s="39">
        <f>IF(G$4&gt;Products!$G$16,INDEX($E$109:$BL$109,1,G$4-Products!$G$16)*INDEX(Curves!$AX$8:$AX$68,Products!$G$16+1),0)</f>
        <v/>
      </c>
      <c r="H122" s="39">
        <f>IF(H$4&gt;Products!$G$16,INDEX($E$109:$BL$109,1,H$4-Products!$G$16)*INDEX(Curves!$AX$8:$AX$68,Products!$G$16+1),0)</f>
        <v/>
      </c>
      <c r="I122" s="39">
        <f>IF(I$4&gt;Products!$G$16,INDEX($E$109:$BL$109,1,I$4-Products!$G$16)*INDEX(Curves!$AX$8:$AX$68,Products!$G$16+1),0)</f>
        <v/>
      </c>
      <c r="J122" s="39">
        <f>IF(J$4&gt;Products!$G$16,INDEX($E$109:$BL$109,1,J$4-Products!$G$16)*INDEX(Curves!$AX$8:$AX$68,Products!$G$16+1),0)</f>
        <v/>
      </c>
      <c r="K122" s="39">
        <f>IF(K$4&gt;Products!$G$16,INDEX($E$109:$BL$109,1,K$4-Products!$G$16)*INDEX(Curves!$AX$8:$AX$68,Products!$G$16+1),0)</f>
        <v/>
      </c>
      <c r="L122" s="39">
        <f>IF(L$4&gt;Products!$G$16,INDEX($E$109:$BL$109,1,L$4-Products!$G$16)*INDEX(Curves!$AX$8:$AX$68,Products!$G$16+1),0)</f>
        <v/>
      </c>
      <c r="M122" s="39">
        <f>IF(M$4&gt;Products!$G$16,INDEX($E$109:$BL$109,1,M$4-Products!$G$16)*INDEX(Curves!$AX$8:$AX$68,Products!$G$16+1),0)</f>
        <v/>
      </c>
      <c r="N122" s="39">
        <f>IF(N$4&gt;Products!$G$16,INDEX($E$109:$BL$109,1,N$4-Products!$G$16)*INDEX(Curves!$AX$8:$AX$68,Products!$G$16+1),0)</f>
        <v/>
      </c>
      <c r="O122" s="39">
        <f>IF(O$4&gt;Products!$G$16,INDEX($E$109:$BL$109,1,O$4-Products!$G$16)*INDEX(Curves!$AX$8:$AX$68,Products!$G$16+1),0)</f>
        <v/>
      </c>
      <c r="P122" s="39">
        <f>IF(P$4&gt;Products!$G$16,INDEX($E$109:$BL$109,1,P$4-Products!$G$16)*INDEX(Curves!$AX$8:$AX$68,Products!$G$16+1),0)</f>
        <v/>
      </c>
      <c r="Q122" s="39">
        <f>IF(Q$4&gt;Products!$G$16,INDEX($E$109:$BL$109,1,Q$4-Products!$G$16)*INDEX(Curves!$AX$8:$AX$68,Products!$G$16+1),0)</f>
        <v/>
      </c>
      <c r="R122" s="39">
        <f>IF(R$4&gt;Products!$G$16,INDEX($E$109:$BL$109,1,R$4-Products!$G$16)*INDEX(Curves!$AX$8:$AX$68,Products!$G$16+1),0)</f>
        <v/>
      </c>
      <c r="S122" s="39">
        <f>IF(S$4&gt;Products!$G$16,INDEX($E$109:$BL$109,1,S$4-Products!$G$16)*INDEX(Curves!$AX$8:$AX$68,Products!$G$16+1),0)</f>
        <v/>
      </c>
      <c r="T122" s="39">
        <f>IF(T$4&gt;Products!$G$16,INDEX($E$109:$BL$109,1,T$4-Products!$G$16)*INDEX(Curves!$AX$8:$AX$68,Products!$G$16+1),0)</f>
        <v/>
      </c>
      <c r="U122" s="39">
        <f>IF(U$4&gt;Products!$G$16,INDEX($E$109:$BL$109,1,U$4-Products!$G$16)*INDEX(Curves!$AX$8:$AX$68,Products!$G$16+1),0)</f>
        <v/>
      </c>
      <c r="V122" s="39">
        <f>IF(V$4&gt;Products!$G$16,INDEX($E$109:$BL$109,1,V$4-Products!$G$16)*INDEX(Curves!$AX$8:$AX$68,Products!$G$16+1),0)</f>
        <v/>
      </c>
      <c r="W122" s="39">
        <f>IF(W$4&gt;Products!$G$16,INDEX($E$109:$BL$109,1,W$4-Products!$G$16)*INDEX(Curves!$AX$8:$AX$68,Products!$G$16+1),0)</f>
        <v/>
      </c>
      <c r="X122" s="39">
        <f>IF(X$4&gt;Products!$G$16,INDEX($E$109:$BL$109,1,X$4-Products!$G$16)*INDEX(Curves!$AX$8:$AX$68,Products!$G$16+1),0)</f>
        <v/>
      </c>
      <c r="Y122" s="39">
        <f>IF(Y$4&gt;Products!$G$16,INDEX($E$109:$BL$109,1,Y$4-Products!$G$16)*INDEX(Curves!$AX$8:$AX$68,Products!$G$16+1),0)</f>
        <v/>
      </c>
      <c r="Z122" s="39">
        <f>IF(Z$4&gt;Products!$G$16,INDEX($E$109:$BL$109,1,Z$4-Products!$G$16)*INDEX(Curves!$AX$8:$AX$68,Products!$G$16+1),0)</f>
        <v/>
      </c>
      <c r="AA122" s="39">
        <f>IF(AA$4&gt;Products!$G$16,INDEX($E$109:$BL$109,1,AA$4-Products!$G$16)*INDEX(Curves!$AX$8:$AX$68,Products!$G$16+1),0)</f>
        <v/>
      </c>
      <c r="AB122" s="39">
        <f>IF(AB$4&gt;Products!$G$16,INDEX($E$109:$BL$109,1,AB$4-Products!$G$16)*INDEX(Curves!$AX$8:$AX$68,Products!$G$16+1),0)</f>
        <v/>
      </c>
      <c r="AC122" s="39">
        <f>IF(AC$4&gt;Products!$G$16,INDEX($E$109:$BL$109,1,AC$4-Products!$G$16)*INDEX(Curves!$AX$8:$AX$68,Products!$G$16+1),0)</f>
        <v/>
      </c>
      <c r="AD122" s="39">
        <f>IF(AD$4&gt;Products!$G$16,INDEX($E$109:$BL$109,1,AD$4-Products!$G$16)*INDEX(Curves!$AX$8:$AX$68,Products!$G$16+1),0)</f>
        <v/>
      </c>
      <c r="AE122" s="39">
        <f>IF(AE$4&gt;Products!$G$16,INDEX($E$109:$BL$109,1,AE$4-Products!$G$16)*INDEX(Curves!$AX$8:$AX$68,Products!$G$16+1),0)</f>
        <v/>
      </c>
      <c r="AF122" s="39">
        <f>IF(AF$4&gt;Products!$G$16,INDEX($E$109:$BL$109,1,AF$4-Products!$G$16)*INDEX(Curves!$AX$8:$AX$68,Products!$G$16+1),0)</f>
        <v/>
      </c>
      <c r="AG122" s="39">
        <f>IF(AG$4&gt;Products!$G$16,INDEX($E$109:$BL$109,1,AG$4-Products!$G$16)*INDEX(Curves!$AX$8:$AX$68,Products!$G$16+1),0)</f>
        <v/>
      </c>
      <c r="AH122" s="39">
        <f>IF(AH$4&gt;Products!$G$16,INDEX($E$109:$BL$109,1,AH$4-Products!$G$16)*INDEX(Curves!$AX$8:$AX$68,Products!$G$16+1),0)</f>
        <v/>
      </c>
      <c r="AI122" s="39">
        <f>IF(AI$4&gt;Products!$G$16,INDEX($E$109:$BL$109,1,AI$4-Products!$G$16)*INDEX(Curves!$AX$8:$AX$68,Products!$G$16+1),0)</f>
        <v/>
      </c>
      <c r="AJ122" s="39">
        <f>IF(AJ$4&gt;Products!$G$16,INDEX($E$109:$BL$109,1,AJ$4-Products!$G$16)*INDEX(Curves!$AX$8:$AX$68,Products!$G$16+1),0)</f>
        <v/>
      </c>
      <c r="AK122" s="39">
        <f>IF(AK$4&gt;Products!$G$16,INDEX($E$109:$BL$109,1,AK$4-Products!$G$16)*INDEX(Curves!$AX$8:$AX$68,Products!$G$16+1),0)</f>
        <v/>
      </c>
      <c r="AL122" s="39">
        <f>IF(AL$4&gt;Products!$G$16,INDEX($E$109:$BL$109,1,AL$4-Products!$G$16)*INDEX(Curves!$AX$8:$AX$68,Products!$G$16+1),0)</f>
        <v/>
      </c>
      <c r="AM122" s="39">
        <f>IF(AM$4&gt;Products!$G$16,INDEX($E$109:$BL$109,1,AM$4-Products!$G$16)*INDEX(Curves!$AX$8:$AX$68,Products!$G$16+1),0)</f>
        <v/>
      </c>
      <c r="AN122" s="39">
        <f>IF(AN$4&gt;Products!$G$16,INDEX($E$109:$BL$109,1,AN$4-Products!$G$16)*INDEX(Curves!$AX$8:$AX$68,Products!$G$16+1),0)</f>
        <v/>
      </c>
      <c r="AO122" s="39">
        <f>IF(AO$4&gt;Products!$G$16,INDEX($E$109:$BL$109,1,AO$4-Products!$G$16)*INDEX(Curves!$AX$8:$AX$68,Products!$G$16+1),0)</f>
        <v/>
      </c>
      <c r="AP122" s="39">
        <f>IF(AP$4&gt;Products!$G$16,INDEX($E$109:$BL$109,1,AP$4-Products!$G$16)*INDEX(Curves!$AX$8:$AX$68,Products!$G$16+1),0)</f>
        <v/>
      </c>
      <c r="AQ122" s="39">
        <f>IF(AQ$4&gt;Products!$G$16,INDEX($E$109:$BL$109,1,AQ$4-Products!$G$16)*INDEX(Curves!$AX$8:$AX$68,Products!$G$16+1),0)</f>
        <v/>
      </c>
      <c r="AR122" s="39">
        <f>IF(AR$4&gt;Products!$G$16,INDEX($E$109:$BL$109,1,AR$4-Products!$G$16)*INDEX(Curves!$AX$8:$AX$68,Products!$G$16+1),0)</f>
        <v/>
      </c>
      <c r="AS122" s="39">
        <f>IF(AS$4&gt;Products!$G$16,INDEX($E$109:$BL$109,1,AS$4-Products!$G$16)*INDEX(Curves!$AX$8:$AX$68,Products!$G$16+1),0)</f>
        <v/>
      </c>
      <c r="AT122" s="39">
        <f>IF(AT$4&gt;Products!$G$16,INDEX($E$109:$BL$109,1,AT$4-Products!$G$16)*INDEX(Curves!$AX$8:$AX$68,Products!$G$16+1),0)</f>
        <v/>
      </c>
      <c r="AU122" s="39">
        <f>IF(AU$4&gt;Products!$G$16,INDEX($E$109:$BL$109,1,AU$4-Products!$G$16)*INDEX(Curves!$AX$8:$AX$68,Products!$G$16+1),0)</f>
        <v/>
      </c>
      <c r="AV122" s="39">
        <f>IF(AV$4&gt;Products!$G$16,INDEX($E$109:$BL$109,1,AV$4-Products!$G$16)*INDEX(Curves!$AX$8:$AX$68,Products!$G$16+1),0)</f>
        <v/>
      </c>
      <c r="AW122" s="39">
        <f>IF(AW$4&gt;Products!$G$16,INDEX($E$109:$BL$109,1,AW$4-Products!$G$16)*INDEX(Curves!$AX$8:$AX$68,Products!$G$16+1),0)</f>
        <v/>
      </c>
      <c r="AX122" s="39">
        <f>IF(AX$4&gt;Products!$G$16,INDEX($E$109:$BL$109,1,AX$4-Products!$G$16)*INDEX(Curves!$AX$8:$AX$68,Products!$G$16+1),0)</f>
        <v/>
      </c>
      <c r="AY122" s="39">
        <f>IF(AY$4&gt;Products!$G$16,INDEX($E$109:$BL$109,1,AY$4-Products!$G$16)*INDEX(Curves!$AX$8:$AX$68,Products!$G$16+1),0)</f>
        <v/>
      </c>
      <c r="AZ122" s="39">
        <f>IF(AZ$4&gt;Products!$G$16,INDEX($E$109:$BL$109,1,AZ$4-Products!$G$16)*INDEX(Curves!$AX$8:$AX$68,Products!$G$16+1),0)</f>
        <v/>
      </c>
      <c r="BA122" s="39">
        <f>IF(BA$4&gt;Products!$G$16,INDEX($E$109:$BL$109,1,BA$4-Products!$G$16)*INDEX(Curves!$AX$8:$AX$68,Products!$G$16+1),0)</f>
        <v/>
      </c>
      <c r="BB122" s="39">
        <f>IF(BB$4&gt;Products!$G$16,INDEX($E$109:$BL$109,1,BB$4-Products!$G$16)*INDEX(Curves!$AX$8:$AX$68,Products!$G$16+1),0)</f>
        <v/>
      </c>
      <c r="BC122" s="39">
        <f>IF(BC$4&gt;Products!$G$16,INDEX($E$109:$BL$109,1,BC$4-Products!$G$16)*INDEX(Curves!$AX$8:$AX$68,Products!$G$16+1),0)</f>
        <v/>
      </c>
      <c r="BD122" s="39">
        <f>IF(BD$4&gt;Products!$G$16,INDEX($E$109:$BL$109,1,BD$4-Products!$G$16)*INDEX(Curves!$AX$8:$AX$68,Products!$G$16+1),0)</f>
        <v/>
      </c>
      <c r="BE122" s="39">
        <f>IF(BE$4&gt;Products!$G$16,INDEX($E$109:$BL$109,1,BE$4-Products!$G$16)*INDEX(Curves!$AX$8:$AX$68,Products!$G$16+1),0)</f>
        <v/>
      </c>
      <c r="BF122" s="39">
        <f>IF(BF$4&gt;Products!$G$16,INDEX($E$109:$BL$109,1,BF$4-Products!$G$16)*INDEX(Curves!$AX$8:$AX$68,Products!$G$16+1),0)</f>
        <v/>
      </c>
      <c r="BG122" s="39">
        <f>IF(BG$4&gt;Products!$G$16,INDEX($E$109:$BL$109,1,BG$4-Products!$G$16)*INDEX(Curves!$AX$8:$AX$68,Products!$G$16+1),0)</f>
        <v/>
      </c>
      <c r="BH122" s="39">
        <f>IF(BH$4&gt;Products!$G$16,INDEX($E$109:$BL$109,1,BH$4-Products!$G$16)*INDEX(Curves!$AX$8:$AX$68,Products!$G$16+1),0)</f>
        <v/>
      </c>
      <c r="BI122" s="39">
        <f>IF(BI$4&gt;Products!$G$16,INDEX($E$109:$BL$109,1,BI$4-Products!$G$16)*INDEX(Curves!$AX$8:$AX$68,Products!$G$16+1),0)</f>
        <v/>
      </c>
      <c r="BJ122" s="39">
        <f>IF(BJ$4&gt;Products!$G$16,INDEX($E$109:$BL$109,1,BJ$4-Products!$G$16)*INDEX(Curves!$AX$8:$AX$68,Products!$G$16+1),0)</f>
        <v/>
      </c>
      <c r="BK122" s="39">
        <f>IF(BK$4&gt;Products!$G$16,INDEX($E$109:$BL$109,1,BK$4-Products!$G$16)*INDEX(Curves!$AX$8:$AX$68,Products!$G$16+1),0)</f>
        <v/>
      </c>
      <c r="BL122" s="39">
        <f>IF(BL$4&gt;Products!$G$16,INDEX($E$109:$BL$109,1,BL$4-Products!$G$16)*INDEX(Curves!$AX$8:$AX$68,Products!$G$16+1),0)</f>
        <v/>
      </c>
    </row>
    <row r="123">
      <c r="A123" s="55" t="inlineStr">
        <is>
          <t>Receivables at risk (carrying amount, accounts that stopped paying)</t>
        </is>
      </c>
      <c r="B123" s="26" t="inlineStr">
        <is>
          <t>LCY</t>
        </is>
      </c>
      <c r="C123" s="58">
        <f>BL123</f>
        <v/>
      </c>
      <c r="E123" s="17">
        <f>Cohort_T5!E$135</f>
        <v/>
      </c>
      <c r="F123" s="17">
        <f>Cohort_T5!F$135</f>
        <v/>
      </c>
      <c r="G123" s="17">
        <f>Cohort_T5!G$135</f>
        <v/>
      </c>
      <c r="H123" s="17">
        <f>Cohort_T5!H$135</f>
        <v/>
      </c>
      <c r="I123" s="17">
        <f>Cohort_T5!I$135</f>
        <v/>
      </c>
      <c r="J123" s="17">
        <f>Cohort_T5!J$135</f>
        <v/>
      </c>
      <c r="K123" s="17">
        <f>Cohort_T5!K$135</f>
        <v/>
      </c>
      <c r="L123" s="17">
        <f>Cohort_T5!L$135</f>
        <v/>
      </c>
      <c r="M123" s="17">
        <f>Cohort_T5!M$135</f>
        <v/>
      </c>
      <c r="N123" s="17">
        <f>Cohort_T5!N$135</f>
        <v/>
      </c>
      <c r="O123" s="17">
        <f>Cohort_T5!O$135</f>
        <v/>
      </c>
      <c r="P123" s="17">
        <f>Cohort_T5!P$135</f>
        <v/>
      </c>
      <c r="Q123" s="17">
        <f>Cohort_T5!Q$135</f>
        <v/>
      </c>
      <c r="R123" s="17">
        <f>Cohort_T5!R$135</f>
        <v/>
      </c>
      <c r="S123" s="17">
        <f>Cohort_T5!S$135</f>
        <v/>
      </c>
      <c r="T123" s="17">
        <f>Cohort_T5!T$135</f>
        <v/>
      </c>
      <c r="U123" s="17">
        <f>Cohort_T5!U$135</f>
        <v/>
      </c>
      <c r="V123" s="17">
        <f>Cohort_T5!V$135</f>
        <v/>
      </c>
      <c r="W123" s="17">
        <f>Cohort_T5!W$135</f>
        <v/>
      </c>
      <c r="X123" s="17">
        <f>Cohort_T5!X$135</f>
        <v/>
      </c>
      <c r="Y123" s="17">
        <f>Cohort_T5!Y$135</f>
        <v/>
      </c>
      <c r="Z123" s="17">
        <f>Cohort_T5!Z$135</f>
        <v/>
      </c>
      <c r="AA123" s="17">
        <f>Cohort_T5!AA$135</f>
        <v/>
      </c>
      <c r="AB123" s="17">
        <f>Cohort_T5!AB$135</f>
        <v/>
      </c>
      <c r="AC123" s="17">
        <f>Cohort_T5!AC$135</f>
        <v/>
      </c>
      <c r="AD123" s="17">
        <f>Cohort_T5!AD$135</f>
        <v/>
      </c>
      <c r="AE123" s="17">
        <f>Cohort_T5!AE$135</f>
        <v/>
      </c>
      <c r="AF123" s="17">
        <f>Cohort_T5!AF$135</f>
        <v/>
      </c>
      <c r="AG123" s="17">
        <f>Cohort_T5!AG$135</f>
        <v/>
      </c>
      <c r="AH123" s="17">
        <f>Cohort_T5!AH$135</f>
        <v/>
      </c>
      <c r="AI123" s="17">
        <f>Cohort_T5!AI$135</f>
        <v/>
      </c>
      <c r="AJ123" s="17">
        <f>Cohort_T5!AJ$135</f>
        <v/>
      </c>
      <c r="AK123" s="17">
        <f>Cohort_T5!AK$135</f>
        <v/>
      </c>
      <c r="AL123" s="17">
        <f>Cohort_T5!AL$135</f>
        <v/>
      </c>
      <c r="AM123" s="17">
        <f>Cohort_T5!AM$135</f>
        <v/>
      </c>
      <c r="AN123" s="17">
        <f>Cohort_T5!AN$135</f>
        <v/>
      </c>
      <c r="AO123" s="17">
        <f>Cohort_T5!AO$135</f>
        <v/>
      </c>
      <c r="AP123" s="17">
        <f>Cohort_T5!AP$135</f>
        <v/>
      </c>
      <c r="AQ123" s="17">
        <f>Cohort_T5!AQ$135</f>
        <v/>
      </c>
      <c r="AR123" s="17">
        <f>Cohort_T5!AR$135</f>
        <v/>
      </c>
      <c r="AS123" s="17">
        <f>Cohort_T5!AS$135</f>
        <v/>
      </c>
      <c r="AT123" s="17">
        <f>Cohort_T5!AT$135</f>
        <v/>
      </c>
      <c r="AU123" s="17">
        <f>Cohort_T5!AU$135</f>
        <v/>
      </c>
      <c r="AV123" s="17">
        <f>Cohort_T5!AV$135</f>
        <v/>
      </c>
      <c r="AW123" s="17">
        <f>Cohort_T5!AW$135</f>
        <v/>
      </c>
      <c r="AX123" s="17">
        <f>Cohort_T5!AX$135</f>
        <v/>
      </c>
      <c r="AY123" s="17">
        <f>Cohort_T5!AY$135</f>
        <v/>
      </c>
      <c r="AZ123" s="17">
        <f>Cohort_T5!AZ$135</f>
        <v/>
      </c>
      <c r="BA123" s="17">
        <f>Cohort_T5!BA$135</f>
        <v/>
      </c>
      <c r="BB123" s="17">
        <f>Cohort_T5!BB$135</f>
        <v/>
      </c>
      <c r="BC123" s="17">
        <f>Cohort_T5!BC$135</f>
        <v/>
      </c>
      <c r="BD123" s="17">
        <f>Cohort_T5!BD$135</f>
        <v/>
      </c>
      <c r="BE123" s="17">
        <f>Cohort_T5!BE$135</f>
        <v/>
      </c>
      <c r="BF123" s="17">
        <f>Cohort_T5!BF$135</f>
        <v/>
      </c>
      <c r="BG123" s="17">
        <f>Cohort_T5!BG$135</f>
        <v/>
      </c>
      <c r="BH123" s="17">
        <f>Cohort_T5!BH$135</f>
        <v/>
      </c>
      <c r="BI123" s="17">
        <f>Cohort_T5!BI$135</f>
        <v/>
      </c>
      <c r="BJ123" s="17">
        <f>Cohort_T5!BJ$135</f>
        <v/>
      </c>
      <c r="BK123" s="17">
        <f>Cohort_T5!BK$135</f>
        <v/>
      </c>
      <c r="BL123" s="17">
        <f>Cohort_T5!BL$135</f>
        <v/>
      </c>
    </row>
    <row r="124">
      <c r="A124" s="55" t="inlineStr">
        <is>
          <t>Gross PAYGo receivables (closing)</t>
        </is>
      </c>
      <c r="B124" s="26" t="inlineStr">
        <is>
          <t>LCY</t>
        </is>
      </c>
      <c r="C124" s="58">
        <f>BL124</f>
        <v/>
      </c>
      <c r="E124" s="39">
        <f>D124+E113+E117-E115-E116</f>
        <v/>
      </c>
      <c r="F124" s="39">
        <f>E124+F113+F117-F115-F116</f>
        <v/>
      </c>
      <c r="G124" s="39">
        <f>F124+G113+G117-G115-G116</f>
        <v/>
      </c>
      <c r="H124" s="39">
        <f>G124+H113+H117-H115-H116</f>
        <v/>
      </c>
      <c r="I124" s="39">
        <f>H124+I113+I117-I115-I116</f>
        <v/>
      </c>
      <c r="J124" s="39">
        <f>I124+J113+J117-J115-J116</f>
        <v/>
      </c>
      <c r="K124" s="39">
        <f>J124+K113+K117-K115-K116</f>
        <v/>
      </c>
      <c r="L124" s="39">
        <f>K124+L113+L117-L115-L116</f>
        <v/>
      </c>
      <c r="M124" s="39">
        <f>L124+M113+M117-M115-M116</f>
        <v/>
      </c>
      <c r="N124" s="39">
        <f>M124+N113+N117-N115-N116</f>
        <v/>
      </c>
      <c r="O124" s="39">
        <f>N124+O113+O117-O115-O116</f>
        <v/>
      </c>
      <c r="P124" s="39">
        <f>O124+P113+P117-P115-P116</f>
        <v/>
      </c>
      <c r="Q124" s="39">
        <f>P124+Q113+Q117-Q115-Q116</f>
        <v/>
      </c>
      <c r="R124" s="39">
        <f>Q124+R113+R117-R115-R116</f>
        <v/>
      </c>
      <c r="S124" s="39">
        <f>R124+S113+S117-S115-S116</f>
        <v/>
      </c>
      <c r="T124" s="39">
        <f>S124+T113+T117-T115-T116</f>
        <v/>
      </c>
      <c r="U124" s="39">
        <f>T124+U113+U117-U115-U116</f>
        <v/>
      </c>
      <c r="V124" s="39">
        <f>U124+V113+V117-V115-V116</f>
        <v/>
      </c>
      <c r="W124" s="39">
        <f>V124+W113+W117-W115-W116</f>
        <v/>
      </c>
      <c r="X124" s="39">
        <f>W124+X113+X117-X115-X116</f>
        <v/>
      </c>
      <c r="Y124" s="39">
        <f>X124+Y113+Y117-Y115-Y116</f>
        <v/>
      </c>
      <c r="Z124" s="39">
        <f>Y124+Z113+Z117-Z115-Z116</f>
        <v/>
      </c>
      <c r="AA124" s="39">
        <f>Z124+AA113+AA117-AA115-AA116</f>
        <v/>
      </c>
      <c r="AB124" s="39">
        <f>AA124+AB113+AB117-AB115-AB116</f>
        <v/>
      </c>
      <c r="AC124" s="39">
        <f>AB124+AC113+AC117-AC115-AC116</f>
        <v/>
      </c>
      <c r="AD124" s="39">
        <f>AC124+AD113+AD117-AD115-AD116</f>
        <v/>
      </c>
      <c r="AE124" s="39">
        <f>AD124+AE113+AE117-AE115-AE116</f>
        <v/>
      </c>
      <c r="AF124" s="39">
        <f>AE124+AF113+AF117-AF115-AF116</f>
        <v/>
      </c>
      <c r="AG124" s="39">
        <f>AF124+AG113+AG117-AG115-AG116</f>
        <v/>
      </c>
      <c r="AH124" s="39">
        <f>AG124+AH113+AH117-AH115-AH116</f>
        <v/>
      </c>
      <c r="AI124" s="39">
        <f>AH124+AI113+AI117-AI115-AI116</f>
        <v/>
      </c>
      <c r="AJ124" s="39">
        <f>AI124+AJ113+AJ117-AJ115-AJ116</f>
        <v/>
      </c>
      <c r="AK124" s="39">
        <f>AJ124+AK113+AK117-AK115-AK116</f>
        <v/>
      </c>
      <c r="AL124" s="39">
        <f>AK124+AL113+AL117-AL115-AL116</f>
        <v/>
      </c>
      <c r="AM124" s="39">
        <f>AL124+AM113+AM117-AM115-AM116</f>
        <v/>
      </c>
      <c r="AN124" s="39">
        <f>AM124+AN113+AN117-AN115-AN116</f>
        <v/>
      </c>
      <c r="AO124" s="39">
        <f>AN124+AO113+AO117-AO115-AO116</f>
        <v/>
      </c>
      <c r="AP124" s="39">
        <f>AO124+AP113+AP117-AP115-AP116</f>
        <v/>
      </c>
      <c r="AQ124" s="39">
        <f>AP124+AQ113+AQ117-AQ115-AQ116</f>
        <v/>
      </c>
      <c r="AR124" s="39">
        <f>AQ124+AR113+AR117-AR115-AR116</f>
        <v/>
      </c>
      <c r="AS124" s="39">
        <f>AR124+AS113+AS117-AS115-AS116</f>
        <v/>
      </c>
      <c r="AT124" s="39">
        <f>AS124+AT113+AT117-AT115-AT116</f>
        <v/>
      </c>
      <c r="AU124" s="39">
        <f>AT124+AU113+AU117-AU115-AU116</f>
        <v/>
      </c>
      <c r="AV124" s="39">
        <f>AU124+AV113+AV117-AV115-AV116</f>
        <v/>
      </c>
      <c r="AW124" s="39">
        <f>AV124+AW113+AW117-AW115-AW116</f>
        <v/>
      </c>
      <c r="AX124" s="39">
        <f>AW124+AX113+AX117-AX115-AX116</f>
        <v/>
      </c>
      <c r="AY124" s="39">
        <f>AX124+AY113+AY117-AY115-AY116</f>
        <v/>
      </c>
      <c r="AZ124" s="39">
        <f>AY124+AZ113+AZ117-AZ115-AZ116</f>
        <v/>
      </c>
      <c r="BA124" s="39">
        <f>AZ124+BA113+BA117-BA115-BA116</f>
        <v/>
      </c>
      <c r="BB124" s="39">
        <f>BA124+BB113+BB117-BB115-BB116</f>
        <v/>
      </c>
      <c r="BC124" s="39">
        <f>BB124+BC113+BC117-BC115-BC116</f>
        <v/>
      </c>
      <c r="BD124" s="39">
        <f>BC124+BD113+BD117-BD115-BD116</f>
        <v/>
      </c>
      <c r="BE124" s="39">
        <f>BD124+BE113+BE117-BE115-BE116</f>
        <v/>
      </c>
      <c r="BF124" s="39">
        <f>BE124+BF113+BF117-BF115-BF116</f>
        <v/>
      </c>
      <c r="BG124" s="39">
        <f>BF124+BG113+BG117-BG115-BG116</f>
        <v/>
      </c>
      <c r="BH124" s="39">
        <f>BG124+BH113+BH117-BH115-BH116</f>
        <v/>
      </c>
      <c r="BI124" s="39">
        <f>BH124+BI113+BI117-BI115-BI116</f>
        <v/>
      </c>
      <c r="BJ124" s="39">
        <f>BI124+BJ113+BJ117-BJ115-BJ116</f>
        <v/>
      </c>
      <c r="BK124" s="39">
        <f>BJ124+BK113+BK117-BK115-BK116</f>
        <v/>
      </c>
      <c r="BL124" s="39">
        <f>BK124+BL113+BL117-BL115-BL116</f>
        <v/>
      </c>
    </row>
    <row r="125">
      <c r="A125" s="55" t="inlineStr">
        <is>
          <t>Eligible receivables (gross - at risk)</t>
        </is>
      </c>
      <c r="B125" s="26" t="inlineStr">
        <is>
          <t>LCY</t>
        </is>
      </c>
      <c r="C125" s="58">
        <f>BL125</f>
        <v/>
      </c>
      <c r="E125" s="39">
        <f>MAX(0,E124-E123)</f>
        <v/>
      </c>
      <c r="F125" s="39">
        <f>MAX(0,F124-F123)</f>
        <v/>
      </c>
      <c r="G125" s="39">
        <f>MAX(0,G124-G123)</f>
        <v/>
      </c>
      <c r="H125" s="39">
        <f>MAX(0,H124-H123)</f>
        <v/>
      </c>
      <c r="I125" s="39">
        <f>MAX(0,I124-I123)</f>
        <v/>
      </c>
      <c r="J125" s="39">
        <f>MAX(0,J124-J123)</f>
        <v/>
      </c>
      <c r="K125" s="39">
        <f>MAX(0,K124-K123)</f>
        <v/>
      </c>
      <c r="L125" s="39">
        <f>MAX(0,L124-L123)</f>
        <v/>
      </c>
      <c r="M125" s="39">
        <f>MAX(0,M124-M123)</f>
        <v/>
      </c>
      <c r="N125" s="39">
        <f>MAX(0,N124-N123)</f>
        <v/>
      </c>
      <c r="O125" s="39">
        <f>MAX(0,O124-O123)</f>
        <v/>
      </c>
      <c r="P125" s="39">
        <f>MAX(0,P124-P123)</f>
        <v/>
      </c>
      <c r="Q125" s="39">
        <f>MAX(0,Q124-Q123)</f>
        <v/>
      </c>
      <c r="R125" s="39">
        <f>MAX(0,R124-R123)</f>
        <v/>
      </c>
      <c r="S125" s="39">
        <f>MAX(0,S124-S123)</f>
        <v/>
      </c>
      <c r="T125" s="39">
        <f>MAX(0,T124-T123)</f>
        <v/>
      </c>
      <c r="U125" s="39">
        <f>MAX(0,U124-U123)</f>
        <v/>
      </c>
      <c r="V125" s="39">
        <f>MAX(0,V124-V123)</f>
        <v/>
      </c>
      <c r="W125" s="39">
        <f>MAX(0,W124-W123)</f>
        <v/>
      </c>
      <c r="X125" s="39">
        <f>MAX(0,X124-X123)</f>
        <v/>
      </c>
      <c r="Y125" s="39">
        <f>MAX(0,Y124-Y123)</f>
        <v/>
      </c>
      <c r="Z125" s="39">
        <f>MAX(0,Z124-Z123)</f>
        <v/>
      </c>
      <c r="AA125" s="39">
        <f>MAX(0,AA124-AA123)</f>
        <v/>
      </c>
      <c r="AB125" s="39">
        <f>MAX(0,AB124-AB123)</f>
        <v/>
      </c>
      <c r="AC125" s="39">
        <f>MAX(0,AC124-AC123)</f>
        <v/>
      </c>
      <c r="AD125" s="39">
        <f>MAX(0,AD124-AD123)</f>
        <v/>
      </c>
      <c r="AE125" s="39">
        <f>MAX(0,AE124-AE123)</f>
        <v/>
      </c>
      <c r="AF125" s="39">
        <f>MAX(0,AF124-AF123)</f>
        <v/>
      </c>
      <c r="AG125" s="39">
        <f>MAX(0,AG124-AG123)</f>
        <v/>
      </c>
      <c r="AH125" s="39">
        <f>MAX(0,AH124-AH123)</f>
        <v/>
      </c>
      <c r="AI125" s="39">
        <f>MAX(0,AI124-AI123)</f>
        <v/>
      </c>
      <c r="AJ125" s="39">
        <f>MAX(0,AJ124-AJ123)</f>
        <v/>
      </c>
      <c r="AK125" s="39">
        <f>MAX(0,AK124-AK123)</f>
        <v/>
      </c>
      <c r="AL125" s="39">
        <f>MAX(0,AL124-AL123)</f>
        <v/>
      </c>
      <c r="AM125" s="39">
        <f>MAX(0,AM124-AM123)</f>
        <v/>
      </c>
      <c r="AN125" s="39">
        <f>MAX(0,AN124-AN123)</f>
        <v/>
      </c>
      <c r="AO125" s="39">
        <f>MAX(0,AO124-AO123)</f>
        <v/>
      </c>
      <c r="AP125" s="39">
        <f>MAX(0,AP124-AP123)</f>
        <v/>
      </c>
      <c r="AQ125" s="39">
        <f>MAX(0,AQ124-AQ123)</f>
        <v/>
      </c>
      <c r="AR125" s="39">
        <f>MAX(0,AR124-AR123)</f>
        <v/>
      </c>
      <c r="AS125" s="39">
        <f>MAX(0,AS124-AS123)</f>
        <v/>
      </c>
      <c r="AT125" s="39">
        <f>MAX(0,AT124-AT123)</f>
        <v/>
      </c>
      <c r="AU125" s="39">
        <f>MAX(0,AU124-AU123)</f>
        <v/>
      </c>
      <c r="AV125" s="39">
        <f>MAX(0,AV124-AV123)</f>
        <v/>
      </c>
      <c r="AW125" s="39">
        <f>MAX(0,AW124-AW123)</f>
        <v/>
      </c>
      <c r="AX125" s="39">
        <f>MAX(0,AX124-AX123)</f>
        <v/>
      </c>
      <c r="AY125" s="39">
        <f>MAX(0,AY124-AY123)</f>
        <v/>
      </c>
      <c r="AZ125" s="39">
        <f>MAX(0,AZ124-AZ123)</f>
        <v/>
      </c>
      <c r="BA125" s="39">
        <f>MAX(0,BA124-BA123)</f>
        <v/>
      </c>
      <c r="BB125" s="39">
        <f>MAX(0,BB124-BB123)</f>
        <v/>
      </c>
      <c r="BC125" s="39">
        <f>MAX(0,BC124-BC123)</f>
        <v/>
      </c>
      <c r="BD125" s="39">
        <f>MAX(0,BD124-BD123)</f>
        <v/>
      </c>
      <c r="BE125" s="39">
        <f>MAX(0,BE124-BE123)</f>
        <v/>
      </c>
      <c r="BF125" s="39">
        <f>MAX(0,BF124-BF123)</f>
        <v/>
      </c>
      <c r="BG125" s="39">
        <f>MAX(0,BG124-BG123)</f>
        <v/>
      </c>
      <c r="BH125" s="39">
        <f>MAX(0,BH124-BH123)</f>
        <v/>
      </c>
      <c r="BI125" s="39">
        <f>MAX(0,BI124-BI123)</f>
        <v/>
      </c>
      <c r="BJ125" s="39">
        <f>MAX(0,BJ124-BJ123)</f>
        <v/>
      </c>
      <c r="BK125" s="39">
        <f>MAX(0,BK124-BK123)</f>
        <v/>
      </c>
      <c r="BL125" s="39">
        <f>MAX(0,BL124-BL123)</f>
        <v/>
      </c>
    </row>
    <row r="126">
      <c r="A126" s="55" t="inlineStr">
        <is>
          <t>Borrowing-base contribution (advance rate x eligible)</t>
        </is>
      </c>
      <c r="B126" s="26" t="inlineStr">
        <is>
          <t>LCY</t>
        </is>
      </c>
      <c r="C126" s="58">
        <f>BL126</f>
        <v/>
      </c>
      <c r="E126" s="39">
        <f>E125*Products!$G$31</f>
        <v/>
      </c>
      <c r="F126" s="39">
        <f>F125*Products!$G$31</f>
        <v/>
      </c>
      <c r="G126" s="39">
        <f>G125*Products!$G$31</f>
        <v/>
      </c>
      <c r="H126" s="39">
        <f>H125*Products!$G$31</f>
        <v/>
      </c>
      <c r="I126" s="39">
        <f>I125*Products!$G$31</f>
        <v/>
      </c>
      <c r="J126" s="39">
        <f>J125*Products!$G$31</f>
        <v/>
      </c>
      <c r="K126" s="39">
        <f>K125*Products!$G$31</f>
        <v/>
      </c>
      <c r="L126" s="39">
        <f>L125*Products!$G$31</f>
        <v/>
      </c>
      <c r="M126" s="39">
        <f>M125*Products!$G$31</f>
        <v/>
      </c>
      <c r="N126" s="39">
        <f>N125*Products!$G$31</f>
        <v/>
      </c>
      <c r="O126" s="39">
        <f>O125*Products!$G$31</f>
        <v/>
      </c>
      <c r="P126" s="39">
        <f>P125*Products!$G$31</f>
        <v/>
      </c>
      <c r="Q126" s="39">
        <f>Q125*Products!$G$31</f>
        <v/>
      </c>
      <c r="R126" s="39">
        <f>R125*Products!$G$31</f>
        <v/>
      </c>
      <c r="S126" s="39">
        <f>S125*Products!$G$31</f>
        <v/>
      </c>
      <c r="T126" s="39">
        <f>T125*Products!$G$31</f>
        <v/>
      </c>
      <c r="U126" s="39">
        <f>U125*Products!$G$31</f>
        <v/>
      </c>
      <c r="V126" s="39">
        <f>V125*Products!$G$31</f>
        <v/>
      </c>
      <c r="W126" s="39">
        <f>W125*Products!$G$31</f>
        <v/>
      </c>
      <c r="X126" s="39">
        <f>X125*Products!$G$31</f>
        <v/>
      </c>
      <c r="Y126" s="39">
        <f>Y125*Products!$G$31</f>
        <v/>
      </c>
      <c r="Z126" s="39">
        <f>Z125*Products!$G$31</f>
        <v/>
      </c>
      <c r="AA126" s="39">
        <f>AA125*Products!$G$31</f>
        <v/>
      </c>
      <c r="AB126" s="39">
        <f>AB125*Products!$G$31</f>
        <v/>
      </c>
      <c r="AC126" s="39">
        <f>AC125*Products!$G$31</f>
        <v/>
      </c>
      <c r="AD126" s="39">
        <f>AD125*Products!$G$31</f>
        <v/>
      </c>
      <c r="AE126" s="39">
        <f>AE125*Products!$G$31</f>
        <v/>
      </c>
      <c r="AF126" s="39">
        <f>AF125*Products!$G$31</f>
        <v/>
      </c>
      <c r="AG126" s="39">
        <f>AG125*Products!$G$31</f>
        <v/>
      </c>
      <c r="AH126" s="39">
        <f>AH125*Products!$G$31</f>
        <v/>
      </c>
      <c r="AI126" s="39">
        <f>AI125*Products!$G$31</f>
        <v/>
      </c>
      <c r="AJ126" s="39">
        <f>AJ125*Products!$G$31</f>
        <v/>
      </c>
      <c r="AK126" s="39">
        <f>AK125*Products!$G$31</f>
        <v/>
      </c>
      <c r="AL126" s="39">
        <f>AL125*Products!$G$31</f>
        <v/>
      </c>
      <c r="AM126" s="39">
        <f>AM125*Products!$G$31</f>
        <v/>
      </c>
      <c r="AN126" s="39">
        <f>AN125*Products!$G$31</f>
        <v/>
      </c>
      <c r="AO126" s="39">
        <f>AO125*Products!$G$31</f>
        <v/>
      </c>
      <c r="AP126" s="39">
        <f>AP125*Products!$G$31</f>
        <v/>
      </c>
      <c r="AQ126" s="39">
        <f>AQ125*Products!$G$31</f>
        <v/>
      </c>
      <c r="AR126" s="39">
        <f>AR125*Products!$G$31</f>
        <v/>
      </c>
      <c r="AS126" s="39">
        <f>AS125*Products!$G$31</f>
        <v/>
      </c>
      <c r="AT126" s="39">
        <f>AT125*Products!$G$31</f>
        <v/>
      </c>
      <c r="AU126" s="39">
        <f>AU125*Products!$G$31</f>
        <v/>
      </c>
      <c r="AV126" s="39">
        <f>AV125*Products!$G$31</f>
        <v/>
      </c>
      <c r="AW126" s="39">
        <f>AW125*Products!$G$31</f>
        <v/>
      </c>
      <c r="AX126" s="39">
        <f>AX125*Products!$G$31</f>
        <v/>
      </c>
      <c r="AY126" s="39">
        <f>AY125*Products!$G$31</f>
        <v/>
      </c>
      <c r="AZ126" s="39">
        <f>AZ125*Products!$G$31</f>
        <v/>
      </c>
      <c r="BA126" s="39">
        <f>BA125*Products!$G$31</f>
        <v/>
      </c>
      <c r="BB126" s="39">
        <f>BB125*Products!$G$31</f>
        <v/>
      </c>
      <c r="BC126" s="39">
        <f>BC125*Products!$G$31</f>
        <v/>
      </c>
      <c r="BD126" s="39">
        <f>BD125*Products!$G$31</f>
        <v/>
      </c>
      <c r="BE126" s="39">
        <f>BE125*Products!$G$31</f>
        <v/>
      </c>
      <c r="BF126" s="39">
        <f>BF125*Products!$G$31</f>
        <v/>
      </c>
      <c r="BG126" s="39">
        <f>BG125*Products!$G$31</f>
        <v/>
      </c>
      <c r="BH126" s="39">
        <f>BH125*Products!$G$31</f>
        <v/>
      </c>
      <c r="BI126" s="39">
        <f>BI125*Products!$G$31</f>
        <v/>
      </c>
      <c r="BJ126" s="39">
        <f>BJ125*Products!$G$31</f>
        <v/>
      </c>
      <c r="BK126" s="39">
        <f>BK125*Products!$G$31</f>
        <v/>
      </c>
      <c r="BL126" s="39">
        <f>BL125*Products!$G$31</f>
        <v/>
      </c>
    </row>
    <row r="127">
      <c r="A127" s="55" t="inlineStr">
        <is>
          <t>Landed hardware cost of units sold</t>
        </is>
      </c>
      <c r="B127" s="26" t="inlineStr">
        <is>
          <t>LCY</t>
        </is>
      </c>
      <c r="C127" s="58">
        <f>SUM(E127:BL127)</f>
        <v/>
      </c>
      <c r="E127" s="39">
        <f>E109*Products!$G$18*(1+Inputs!$C$28)*Timeline!E$8*Scenarios!$G$9</f>
        <v/>
      </c>
      <c r="F127" s="39">
        <f>F109*Products!$G$18*(1+Inputs!$C$28)*Timeline!F$8*Scenarios!$G$9</f>
        <v/>
      </c>
      <c r="G127" s="39">
        <f>G109*Products!$G$18*(1+Inputs!$C$28)*Timeline!G$8*Scenarios!$G$9</f>
        <v/>
      </c>
      <c r="H127" s="39">
        <f>H109*Products!$G$18*(1+Inputs!$C$28)*Timeline!H$8*Scenarios!$G$9</f>
        <v/>
      </c>
      <c r="I127" s="39">
        <f>I109*Products!$G$18*(1+Inputs!$C$28)*Timeline!I$8*Scenarios!$G$9</f>
        <v/>
      </c>
      <c r="J127" s="39">
        <f>J109*Products!$G$18*(1+Inputs!$C$28)*Timeline!J$8*Scenarios!$G$9</f>
        <v/>
      </c>
      <c r="K127" s="39">
        <f>K109*Products!$G$18*(1+Inputs!$C$28)*Timeline!K$8*Scenarios!$G$9</f>
        <v/>
      </c>
      <c r="L127" s="39">
        <f>L109*Products!$G$18*(1+Inputs!$C$28)*Timeline!L$8*Scenarios!$G$9</f>
        <v/>
      </c>
      <c r="M127" s="39">
        <f>M109*Products!$G$18*(1+Inputs!$C$28)*Timeline!M$8*Scenarios!$G$9</f>
        <v/>
      </c>
      <c r="N127" s="39">
        <f>N109*Products!$G$18*(1+Inputs!$C$28)*Timeline!N$8*Scenarios!$G$9</f>
        <v/>
      </c>
      <c r="O127" s="39">
        <f>O109*Products!$G$18*(1+Inputs!$C$28)*Timeline!O$8*Scenarios!$G$9</f>
        <v/>
      </c>
      <c r="P127" s="39">
        <f>P109*Products!$G$18*(1+Inputs!$C$28)*Timeline!P$8*Scenarios!$G$9</f>
        <v/>
      </c>
      <c r="Q127" s="39">
        <f>Q109*Products!$G$18*(1+Inputs!$C$28)*Timeline!Q$8*Scenarios!$G$9</f>
        <v/>
      </c>
      <c r="R127" s="39">
        <f>R109*Products!$G$18*(1+Inputs!$C$28)*Timeline!R$8*Scenarios!$G$9</f>
        <v/>
      </c>
      <c r="S127" s="39">
        <f>S109*Products!$G$18*(1+Inputs!$C$28)*Timeline!S$8*Scenarios!$G$9</f>
        <v/>
      </c>
      <c r="T127" s="39">
        <f>T109*Products!$G$18*(1+Inputs!$C$28)*Timeline!T$8*Scenarios!$G$9</f>
        <v/>
      </c>
      <c r="U127" s="39">
        <f>U109*Products!$G$18*(1+Inputs!$C$28)*Timeline!U$8*Scenarios!$G$9</f>
        <v/>
      </c>
      <c r="V127" s="39">
        <f>V109*Products!$G$18*(1+Inputs!$C$28)*Timeline!V$8*Scenarios!$G$9</f>
        <v/>
      </c>
      <c r="W127" s="39">
        <f>W109*Products!$G$18*(1+Inputs!$C$28)*Timeline!W$8*Scenarios!$G$9</f>
        <v/>
      </c>
      <c r="X127" s="39">
        <f>X109*Products!$G$18*(1+Inputs!$C$28)*Timeline!X$8*Scenarios!$G$9</f>
        <v/>
      </c>
      <c r="Y127" s="39">
        <f>Y109*Products!$G$18*(1+Inputs!$C$28)*Timeline!Y$8*Scenarios!$G$9</f>
        <v/>
      </c>
      <c r="Z127" s="39">
        <f>Z109*Products!$G$18*(1+Inputs!$C$28)*Timeline!Z$8*Scenarios!$G$9</f>
        <v/>
      </c>
      <c r="AA127" s="39">
        <f>AA109*Products!$G$18*(1+Inputs!$C$28)*Timeline!AA$8*Scenarios!$G$9</f>
        <v/>
      </c>
      <c r="AB127" s="39">
        <f>AB109*Products!$G$18*(1+Inputs!$C$28)*Timeline!AB$8*Scenarios!$G$9</f>
        <v/>
      </c>
      <c r="AC127" s="39">
        <f>AC109*Products!$G$18*(1+Inputs!$C$28)*Timeline!AC$8*Scenarios!$G$9</f>
        <v/>
      </c>
      <c r="AD127" s="39">
        <f>AD109*Products!$G$18*(1+Inputs!$C$28)*Timeline!AD$8*Scenarios!$G$9</f>
        <v/>
      </c>
      <c r="AE127" s="39">
        <f>AE109*Products!$G$18*(1+Inputs!$C$28)*Timeline!AE$8*Scenarios!$G$9</f>
        <v/>
      </c>
      <c r="AF127" s="39">
        <f>AF109*Products!$G$18*(1+Inputs!$C$28)*Timeline!AF$8*Scenarios!$G$9</f>
        <v/>
      </c>
      <c r="AG127" s="39">
        <f>AG109*Products!$G$18*(1+Inputs!$C$28)*Timeline!AG$8*Scenarios!$G$9</f>
        <v/>
      </c>
      <c r="AH127" s="39">
        <f>AH109*Products!$G$18*(1+Inputs!$C$28)*Timeline!AH$8*Scenarios!$G$9</f>
        <v/>
      </c>
      <c r="AI127" s="39">
        <f>AI109*Products!$G$18*(1+Inputs!$C$28)*Timeline!AI$8*Scenarios!$G$9</f>
        <v/>
      </c>
      <c r="AJ127" s="39">
        <f>AJ109*Products!$G$18*(1+Inputs!$C$28)*Timeline!AJ$8*Scenarios!$G$9</f>
        <v/>
      </c>
      <c r="AK127" s="39">
        <f>AK109*Products!$G$18*(1+Inputs!$C$28)*Timeline!AK$8*Scenarios!$G$9</f>
        <v/>
      </c>
      <c r="AL127" s="39">
        <f>AL109*Products!$G$18*(1+Inputs!$C$28)*Timeline!AL$8*Scenarios!$G$9</f>
        <v/>
      </c>
      <c r="AM127" s="39">
        <f>AM109*Products!$G$18*(1+Inputs!$C$28)*Timeline!AM$8*Scenarios!$G$9</f>
        <v/>
      </c>
      <c r="AN127" s="39">
        <f>AN109*Products!$G$18*(1+Inputs!$C$28)*Timeline!AN$8*Scenarios!$G$9</f>
        <v/>
      </c>
      <c r="AO127" s="39">
        <f>AO109*Products!$G$18*(1+Inputs!$C$28)*Timeline!AO$8*Scenarios!$G$9</f>
        <v/>
      </c>
      <c r="AP127" s="39">
        <f>AP109*Products!$G$18*(1+Inputs!$C$28)*Timeline!AP$8*Scenarios!$G$9</f>
        <v/>
      </c>
      <c r="AQ127" s="39">
        <f>AQ109*Products!$G$18*(1+Inputs!$C$28)*Timeline!AQ$8*Scenarios!$G$9</f>
        <v/>
      </c>
      <c r="AR127" s="39">
        <f>AR109*Products!$G$18*(1+Inputs!$C$28)*Timeline!AR$8*Scenarios!$G$9</f>
        <v/>
      </c>
      <c r="AS127" s="39">
        <f>AS109*Products!$G$18*(1+Inputs!$C$28)*Timeline!AS$8*Scenarios!$G$9</f>
        <v/>
      </c>
      <c r="AT127" s="39">
        <f>AT109*Products!$G$18*(1+Inputs!$C$28)*Timeline!AT$8*Scenarios!$G$9</f>
        <v/>
      </c>
      <c r="AU127" s="39">
        <f>AU109*Products!$G$18*(1+Inputs!$C$28)*Timeline!AU$8*Scenarios!$G$9</f>
        <v/>
      </c>
      <c r="AV127" s="39">
        <f>AV109*Products!$G$18*(1+Inputs!$C$28)*Timeline!AV$8*Scenarios!$G$9</f>
        <v/>
      </c>
      <c r="AW127" s="39">
        <f>AW109*Products!$G$18*(1+Inputs!$C$28)*Timeline!AW$8*Scenarios!$G$9</f>
        <v/>
      </c>
      <c r="AX127" s="39">
        <f>AX109*Products!$G$18*(1+Inputs!$C$28)*Timeline!AX$8*Scenarios!$G$9</f>
        <v/>
      </c>
      <c r="AY127" s="39">
        <f>AY109*Products!$G$18*(1+Inputs!$C$28)*Timeline!AY$8*Scenarios!$G$9</f>
        <v/>
      </c>
      <c r="AZ127" s="39">
        <f>AZ109*Products!$G$18*(1+Inputs!$C$28)*Timeline!AZ$8*Scenarios!$G$9</f>
        <v/>
      </c>
      <c r="BA127" s="39">
        <f>BA109*Products!$G$18*(1+Inputs!$C$28)*Timeline!BA$8*Scenarios!$G$9</f>
        <v/>
      </c>
      <c r="BB127" s="39">
        <f>BB109*Products!$G$18*(1+Inputs!$C$28)*Timeline!BB$8*Scenarios!$G$9</f>
        <v/>
      </c>
      <c r="BC127" s="39">
        <f>BC109*Products!$G$18*(1+Inputs!$C$28)*Timeline!BC$8*Scenarios!$G$9</f>
        <v/>
      </c>
      <c r="BD127" s="39">
        <f>BD109*Products!$G$18*(1+Inputs!$C$28)*Timeline!BD$8*Scenarios!$G$9</f>
        <v/>
      </c>
      <c r="BE127" s="39">
        <f>BE109*Products!$G$18*(1+Inputs!$C$28)*Timeline!BE$8*Scenarios!$G$9</f>
        <v/>
      </c>
      <c r="BF127" s="39">
        <f>BF109*Products!$G$18*(1+Inputs!$C$28)*Timeline!BF$8*Scenarios!$G$9</f>
        <v/>
      </c>
      <c r="BG127" s="39">
        <f>BG109*Products!$G$18*(1+Inputs!$C$28)*Timeline!BG$8*Scenarios!$G$9</f>
        <v/>
      </c>
      <c r="BH127" s="39">
        <f>BH109*Products!$G$18*(1+Inputs!$C$28)*Timeline!BH$8*Scenarios!$G$9</f>
        <v/>
      </c>
      <c r="BI127" s="39">
        <f>BI109*Products!$G$18*(1+Inputs!$C$28)*Timeline!BI$8*Scenarios!$G$9</f>
        <v/>
      </c>
      <c r="BJ127" s="39">
        <f>BJ109*Products!$G$18*(1+Inputs!$C$28)*Timeline!BJ$8*Scenarios!$G$9</f>
        <v/>
      </c>
      <c r="BK127" s="39">
        <f>BK109*Products!$G$18*(1+Inputs!$C$28)*Timeline!BK$8*Scenarios!$G$9</f>
        <v/>
      </c>
      <c r="BL127" s="39">
        <f>BL109*Products!$G$18*(1+Inputs!$C$28)*Timeline!BL$8*Scenarios!$G$9</f>
        <v/>
      </c>
    </row>
    <row r="128">
      <c r="A128" s="55" t="inlineStr">
        <is>
          <t>Installation &amp; logistics</t>
        </is>
      </c>
      <c r="B128" s="26" t="inlineStr">
        <is>
          <t>LCY</t>
        </is>
      </c>
      <c r="C128" s="58">
        <f>SUM(E128:BL128)</f>
        <v/>
      </c>
      <c r="E128" s="39">
        <f>E109*Products!$G$19*Timeline!E$9</f>
        <v/>
      </c>
      <c r="F128" s="39">
        <f>F109*Products!$G$19*Timeline!F$9</f>
        <v/>
      </c>
      <c r="G128" s="39">
        <f>G109*Products!$G$19*Timeline!G$9</f>
        <v/>
      </c>
      <c r="H128" s="39">
        <f>H109*Products!$G$19*Timeline!H$9</f>
        <v/>
      </c>
      <c r="I128" s="39">
        <f>I109*Products!$G$19*Timeline!I$9</f>
        <v/>
      </c>
      <c r="J128" s="39">
        <f>J109*Products!$G$19*Timeline!J$9</f>
        <v/>
      </c>
      <c r="K128" s="39">
        <f>K109*Products!$G$19*Timeline!K$9</f>
        <v/>
      </c>
      <c r="L128" s="39">
        <f>L109*Products!$G$19*Timeline!L$9</f>
        <v/>
      </c>
      <c r="M128" s="39">
        <f>M109*Products!$G$19*Timeline!M$9</f>
        <v/>
      </c>
      <c r="N128" s="39">
        <f>N109*Products!$G$19*Timeline!N$9</f>
        <v/>
      </c>
      <c r="O128" s="39">
        <f>O109*Products!$G$19*Timeline!O$9</f>
        <v/>
      </c>
      <c r="P128" s="39">
        <f>P109*Products!$G$19*Timeline!P$9</f>
        <v/>
      </c>
      <c r="Q128" s="39">
        <f>Q109*Products!$G$19*Timeline!Q$9</f>
        <v/>
      </c>
      <c r="R128" s="39">
        <f>R109*Products!$G$19*Timeline!R$9</f>
        <v/>
      </c>
      <c r="S128" s="39">
        <f>S109*Products!$G$19*Timeline!S$9</f>
        <v/>
      </c>
      <c r="T128" s="39">
        <f>T109*Products!$G$19*Timeline!T$9</f>
        <v/>
      </c>
      <c r="U128" s="39">
        <f>U109*Products!$G$19*Timeline!U$9</f>
        <v/>
      </c>
      <c r="V128" s="39">
        <f>V109*Products!$G$19*Timeline!V$9</f>
        <v/>
      </c>
      <c r="W128" s="39">
        <f>W109*Products!$G$19*Timeline!W$9</f>
        <v/>
      </c>
      <c r="X128" s="39">
        <f>X109*Products!$G$19*Timeline!X$9</f>
        <v/>
      </c>
      <c r="Y128" s="39">
        <f>Y109*Products!$G$19*Timeline!Y$9</f>
        <v/>
      </c>
      <c r="Z128" s="39">
        <f>Z109*Products!$G$19*Timeline!Z$9</f>
        <v/>
      </c>
      <c r="AA128" s="39">
        <f>AA109*Products!$G$19*Timeline!AA$9</f>
        <v/>
      </c>
      <c r="AB128" s="39">
        <f>AB109*Products!$G$19*Timeline!AB$9</f>
        <v/>
      </c>
      <c r="AC128" s="39">
        <f>AC109*Products!$G$19*Timeline!AC$9</f>
        <v/>
      </c>
      <c r="AD128" s="39">
        <f>AD109*Products!$G$19*Timeline!AD$9</f>
        <v/>
      </c>
      <c r="AE128" s="39">
        <f>AE109*Products!$G$19*Timeline!AE$9</f>
        <v/>
      </c>
      <c r="AF128" s="39">
        <f>AF109*Products!$G$19*Timeline!AF$9</f>
        <v/>
      </c>
      <c r="AG128" s="39">
        <f>AG109*Products!$G$19*Timeline!AG$9</f>
        <v/>
      </c>
      <c r="AH128" s="39">
        <f>AH109*Products!$G$19*Timeline!AH$9</f>
        <v/>
      </c>
      <c r="AI128" s="39">
        <f>AI109*Products!$G$19*Timeline!AI$9</f>
        <v/>
      </c>
      <c r="AJ128" s="39">
        <f>AJ109*Products!$G$19*Timeline!AJ$9</f>
        <v/>
      </c>
      <c r="AK128" s="39">
        <f>AK109*Products!$G$19*Timeline!AK$9</f>
        <v/>
      </c>
      <c r="AL128" s="39">
        <f>AL109*Products!$G$19*Timeline!AL$9</f>
        <v/>
      </c>
      <c r="AM128" s="39">
        <f>AM109*Products!$G$19*Timeline!AM$9</f>
        <v/>
      </c>
      <c r="AN128" s="39">
        <f>AN109*Products!$G$19*Timeline!AN$9</f>
        <v/>
      </c>
      <c r="AO128" s="39">
        <f>AO109*Products!$G$19*Timeline!AO$9</f>
        <v/>
      </c>
      <c r="AP128" s="39">
        <f>AP109*Products!$G$19*Timeline!AP$9</f>
        <v/>
      </c>
      <c r="AQ128" s="39">
        <f>AQ109*Products!$G$19*Timeline!AQ$9</f>
        <v/>
      </c>
      <c r="AR128" s="39">
        <f>AR109*Products!$G$19*Timeline!AR$9</f>
        <v/>
      </c>
      <c r="AS128" s="39">
        <f>AS109*Products!$G$19*Timeline!AS$9</f>
        <v/>
      </c>
      <c r="AT128" s="39">
        <f>AT109*Products!$G$19*Timeline!AT$9</f>
        <v/>
      </c>
      <c r="AU128" s="39">
        <f>AU109*Products!$G$19*Timeline!AU$9</f>
        <v/>
      </c>
      <c r="AV128" s="39">
        <f>AV109*Products!$G$19*Timeline!AV$9</f>
        <v/>
      </c>
      <c r="AW128" s="39">
        <f>AW109*Products!$G$19*Timeline!AW$9</f>
        <v/>
      </c>
      <c r="AX128" s="39">
        <f>AX109*Products!$G$19*Timeline!AX$9</f>
        <v/>
      </c>
      <c r="AY128" s="39">
        <f>AY109*Products!$G$19*Timeline!AY$9</f>
        <v/>
      </c>
      <c r="AZ128" s="39">
        <f>AZ109*Products!$G$19*Timeline!AZ$9</f>
        <v/>
      </c>
      <c r="BA128" s="39">
        <f>BA109*Products!$G$19*Timeline!BA$9</f>
        <v/>
      </c>
      <c r="BB128" s="39">
        <f>BB109*Products!$G$19*Timeline!BB$9</f>
        <v/>
      </c>
      <c r="BC128" s="39">
        <f>BC109*Products!$G$19*Timeline!BC$9</f>
        <v/>
      </c>
      <c r="BD128" s="39">
        <f>BD109*Products!$G$19*Timeline!BD$9</f>
        <v/>
      </c>
      <c r="BE128" s="39">
        <f>BE109*Products!$G$19*Timeline!BE$9</f>
        <v/>
      </c>
      <c r="BF128" s="39">
        <f>BF109*Products!$G$19*Timeline!BF$9</f>
        <v/>
      </c>
      <c r="BG128" s="39">
        <f>BG109*Products!$G$19*Timeline!BG$9</f>
        <v/>
      </c>
      <c r="BH128" s="39">
        <f>BH109*Products!$G$19*Timeline!BH$9</f>
        <v/>
      </c>
      <c r="BI128" s="39">
        <f>BI109*Products!$G$19*Timeline!BI$9</f>
        <v/>
      </c>
      <c r="BJ128" s="39">
        <f>BJ109*Products!$G$19*Timeline!BJ$9</f>
        <v/>
      </c>
      <c r="BK128" s="39">
        <f>BK109*Products!$G$19*Timeline!BK$9</f>
        <v/>
      </c>
      <c r="BL128" s="39">
        <f>BL109*Products!$G$19*Timeline!BL$9</f>
        <v/>
      </c>
    </row>
    <row r="129">
      <c r="A129" s="55" t="inlineStr">
        <is>
          <t>Warranty &amp; after-sales provision</t>
        </is>
      </c>
      <c r="B129" s="26" t="inlineStr">
        <is>
          <t>LCY</t>
        </is>
      </c>
      <c r="C129" s="58">
        <f>SUM(E129:BL129)</f>
        <v/>
      </c>
      <c r="E129" s="39">
        <f>E127*Products!$G$22</f>
        <v/>
      </c>
      <c r="F129" s="39">
        <f>F127*Products!$G$22</f>
        <v/>
      </c>
      <c r="G129" s="39">
        <f>G127*Products!$G$22</f>
        <v/>
      </c>
      <c r="H129" s="39">
        <f>H127*Products!$G$22</f>
        <v/>
      </c>
      <c r="I129" s="39">
        <f>I127*Products!$G$22</f>
        <v/>
      </c>
      <c r="J129" s="39">
        <f>J127*Products!$G$22</f>
        <v/>
      </c>
      <c r="K129" s="39">
        <f>K127*Products!$G$22</f>
        <v/>
      </c>
      <c r="L129" s="39">
        <f>L127*Products!$G$22</f>
        <v/>
      </c>
      <c r="M129" s="39">
        <f>M127*Products!$G$22</f>
        <v/>
      </c>
      <c r="N129" s="39">
        <f>N127*Products!$G$22</f>
        <v/>
      </c>
      <c r="O129" s="39">
        <f>O127*Products!$G$22</f>
        <v/>
      </c>
      <c r="P129" s="39">
        <f>P127*Products!$G$22</f>
        <v/>
      </c>
      <c r="Q129" s="39">
        <f>Q127*Products!$G$22</f>
        <v/>
      </c>
      <c r="R129" s="39">
        <f>R127*Products!$G$22</f>
        <v/>
      </c>
      <c r="S129" s="39">
        <f>S127*Products!$G$22</f>
        <v/>
      </c>
      <c r="T129" s="39">
        <f>T127*Products!$G$22</f>
        <v/>
      </c>
      <c r="U129" s="39">
        <f>U127*Products!$G$22</f>
        <v/>
      </c>
      <c r="V129" s="39">
        <f>V127*Products!$G$22</f>
        <v/>
      </c>
      <c r="W129" s="39">
        <f>W127*Products!$G$22</f>
        <v/>
      </c>
      <c r="X129" s="39">
        <f>X127*Products!$G$22</f>
        <v/>
      </c>
      <c r="Y129" s="39">
        <f>Y127*Products!$G$22</f>
        <v/>
      </c>
      <c r="Z129" s="39">
        <f>Z127*Products!$G$22</f>
        <v/>
      </c>
      <c r="AA129" s="39">
        <f>AA127*Products!$G$22</f>
        <v/>
      </c>
      <c r="AB129" s="39">
        <f>AB127*Products!$G$22</f>
        <v/>
      </c>
      <c r="AC129" s="39">
        <f>AC127*Products!$G$22</f>
        <v/>
      </c>
      <c r="AD129" s="39">
        <f>AD127*Products!$G$22</f>
        <v/>
      </c>
      <c r="AE129" s="39">
        <f>AE127*Products!$G$22</f>
        <v/>
      </c>
      <c r="AF129" s="39">
        <f>AF127*Products!$G$22</f>
        <v/>
      </c>
      <c r="AG129" s="39">
        <f>AG127*Products!$G$22</f>
        <v/>
      </c>
      <c r="AH129" s="39">
        <f>AH127*Products!$G$22</f>
        <v/>
      </c>
      <c r="AI129" s="39">
        <f>AI127*Products!$G$22</f>
        <v/>
      </c>
      <c r="AJ129" s="39">
        <f>AJ127*Products!$G$22</f>
        <v/>
      </c>
      <c r="AK129" s="39">
        <f>AK127*Products!$G$22</f>
        <v/>
      </c>
      <c r="AL129" s="39">
        <f>AL127*Products!$G$22</f>
        <v/>
      </c>
      <c r="AM129" s="39">
        <f>AM127*Products!$G$22</f>
        <v/>
      </c>
      <c r="AN129" s="39">
        <f>AN127*Products!$G$22</f>
        <v/>
      </c>
      <c r="AO129" s="39">
        <f>AO127*Products!$G$22</f>
        <v/>
      </c>
      <c r="AP129" s="39">
        <f>AP127*Products!$G$22</f>
        <v/>
      </c>
      <c r="AQ129" s="39">
        <f>AQ127*Products!$G$22</f>
        <v/>
      </c>
      <c r="AR129" s="39">
        <f>AR127*Products!$G$22</f>
        <v/>
      </c>
      <c r="AS129" s="39">
        <f>AS127*Products!$G$22</f>
        <v/>
      </c>
      <c r="AT129" s="39">
        <f>AT127*Products!$G$22</f>
        <v/>
      </c>
      <c r="AU129" s="39">
        <f>AU127*Products!$G$22</f>
        <v/>
      </c>
      <c r="AV129" s="39">
        <f>AV127*Products!$G$22</f>
        <v/>
      </c>
      <c r="AW129" s="39">
        <f>AW127*Products!$G$22</f>
        <v/>
      </c>
      <c r="AX129" s="39">
        <f>AX127*Products!$G$22</f>
        <v/>
      </c>
      <c r="AY129" s="39">
        <f>AY127*Products!$G$22</f>
        <v/>
      </c>
      <c r="AZ129" s="39">
        <f>AZ127*Products!$G$22</f>
        <v/>
      </c>
      <c r="BA129" s="39">
        <f>BA127*Products!$G$22</f>
        <v/>
      </c>
      <c r="BB129" s="39">
        <f>BB127*Products!$G$22</f>
        <v/>
      </c>
      <c r="BC129" s="39">
        <f>BC127*Products!$G$22</f>
        <v/>
      </c>
      <c r="BD129" s="39">
        <f>BD127*Products!$G$22</f>
        <v/>
      </c>
      <c r="BE129" s="39">
        <f>BE127*Products!$G$22</f>
        <v/>
      </c>
      <c r="BF129" s="39">
        <f>BF127*Products!$G$22</f>
        <v/>
      </c>
      <c r="BG129" s="39">
        <f>BG127*Products!$G$22</f>
        <v/>
      </c>
      <c r="BH129" s="39">
        <f>BH127*Products!$G$22</f>
        <v/>
      </c>
      <c r="BI129" s="39">
        <f>BI127*Products!$G$22</f>
        <v/>
      </c>
      <c r="BJ129" s="39">
        <f>BJ127*Products!$G$22</f>
        <v/>
      </c>
      <c r="BK129" s="39">
        <f>BK127*Products!$G$22</f>
        <v/>
      </c>
      <c r="BL129" s="39">
        <f>BL127*Products!$G$22</f>
        <v/>
      </c>
    </row>
    <row r="130">
      <c r="A130" s="55" t="inlineStr">
        <is>
          <t>Commissions</t>
        </is>
      </c>
      <c r="B130" s="26" t="inlineStr">
        <is>
          <t>LCY</t>
        </is>
      </c>
      <c r="C130" s="58">
        <f>SUM(E130:BL130)</f>
        <v/>
      </c>
      <c r="E130" s="39">
        <f>E109*Products!$G$20*Timeline!E$9</f>
        <v/>
      </c>
      <c r="F130" s="39">
        <f>F109*Products!$G$20*Timeline!F$9</f>
        <v/>
      </c>
      <c r="G130" s="39">
        <f>G109*Products!$G$20*Timeline!G$9</f>
        <v/>
      </c>
      <c r="H130" s="39">
        <f>H109*Products!$G$20*Timeline!H$9</f>
        <v/>
      </c>
      <c r="I130" s="39">
        <f>I109*Products!$G$20*Timeline!I$9</f>
        <v/>
      </c>
      <c r="J130" s="39">
        <f>J109*Products!$G$20*Timeline!J$9</f>
        <v/>
      </c>
      <c r="K130" s="39">
        <f>K109*Products!$G$20*Timeline!K$9</f>
        <v/>
      </c>
      <c r="L130" s="39">
        <f>L109*Products!$G$20*Timeline!L$9</f>
        <v/>
      </c>
      <c r="M130" s="39">
        <f>M109*Products!$G$20*Timeline!M$9</f>
        <v/>
      </c>
      <c r="N130" s="39">
        <f>N109*Products!$G$20*Timeline!N$9</f>
        <v/>
      </c>
      <c r="O130" s="39">
        <f>O109*Products!$G$20*Timeline!O$9</f>
        <v/>
      </c>
      <c r="P130" s="39">
        <f>P109*Products!$G$20*Timeline!P$9</f>
        <v/>
      </c>
      <c r="Q130" s="39">
        <f>Q109*Products!$G$20*Timeline!Q$9</f>
        <v/>
      </c>
      <c r="R130" s="39">
        <f>R109*Products!$G$20*Timeline!R$9</f>
        <v/>
      </c>
      <c r="S130" s="39">
        <f>S109*Products!$G$20*Timeline!S$9</f>
        <v/>
      </c>
      <c r="T130" s="39">
        <f>T109*Products!$G$20*Timeline!T$9</f>
        <v/>
      </c>
      <c r="U130" s="39">
        <f>U109*Products!$G$20*Timeline!U$9</f>
        <v/>
      </c>
      <c r="V130" s="39">
        <f>V109*Products!$G$20*Timeline!V$9</f>
        <v/>
      </c>
      <c r="W130" s="39">
        <f>W109*Products!$G$20*Timeline!W$9</f>
        <v/>
      </c>
      <c r="X130" s="39">
        <f>X109*Products!$G$20*Timeline!X$9</f>
        <v/>
      </c>
      <c r="Y130" s="39">
        <f>Y109*Products!$G$20*Timeline!Y$9</f>
        <v/>
      </c>
      <c r="Z130" s="39">
        <f>Z109*Products!$G$20*Timeline!Z$9</f>
        <v/>
      </c>
      <c r="AA130" s="39">
        <f>AA109*Products!$G$20*Timeline!AA$9</f>
        <v/>
      </c>
      <c r="AB130" s="39">
        <f>AB109*Products!$G$20*Timeline!AB$9</f>
        <v/>
      </c>
      <c r="AC130" s="39">
        <f>AC109*Products!$G$20*Timeline!AC$9</f>
        <v/>
      </c>
      <c r="AD130" s="39">
        <f>AD109*Products!$G$20*Timeline!AD$9</f>
        <v/>
      </c>
      <c r="AE130" s="39">
        <f>AE109*Products!$G$20*Timeline!AE$9</f>
        <v/>
      </c>
      <c r="AF130" s="39">
        <f>AF109*Products!$G$20*Timeline!AF$9</f>
        <v/>
      </c>
      <c r="AG130" s="39">
        <f>AG109*Products!$G$20*Timeline!AG$9</f>
        <v/>
      </c>
      <c r="AH130" s="39">
        <f>AH109*Products!$G$20*Timeline!AH$9</f>
        <v/>
      </c>
      <c r="AI130" s="39">
        <f>AI109*Products!$G$20*Timeline!AI$9</f>
        <v/>
      </c>
      <c r="AJ130" s="39">
        <f>AJ109*Products!$G$20*Timeline!AJ$9</f>
        <v/>
      </c>
      <c r="AK130" s="39">
        <f>AK109*Products!$G$20*Timeline!AK$9</f>
        <v/>
      </c>
      <c r="AL130" s="39">
        <f>AL109*Products!$G$20*Timeline!AL$9</f>
        <v/>
      </c>
      <c r="AM130" s="39">
        <f>AM109*Products!$G$20*Timeline!AM$9</f>
        <v/>
      </c>
      <c r="AN130" s="39">
        <f>AN109*Products!$G$20*Timeline!AN$9</f>
        <v/>
      </c>
      <c r="AO130" s="39">
        <f>AO109*Products!$G$20*Timeline!AO$9</f>
        <v/>
      </c>
      <c r="AP130" s="39">
        <f>AP109*Products!$G$20*Timeline!AP$9</f>
        <v/>
      </c>
      <c r="AQ130" s="39">
        <f>AQ109*Products!$G$20*Timeline!AQ$9</f>
        <v/>
      </c>
      <c r="AR130" s="39">
        <f>AR109*Products!$G$20*Timeline!AR$9</f>
        <v/>
      </c>
      <c r="AS130" s="39">
        <f>AS109*Products!$G$20*Timeline!AS$9</f>
        <v/>
      </c>
      <c r="AT130" s="39">
        <f>AT109*Products!$G$20*Timeline!AT$9</f>
        <v/>
      </c>
      <c r="AU130" s="39">
        <f>AU109*Products!$G$20*Timeline!AU$9</f>
        <v/>
      </c>
      <c r="AV130" s="39">
        <f>AV109*Products!$G$20*Timeline!AV$9</f>
        <v/>
      </c>
      <c r="AW130" s="39">
        <f>AW109*Products!$G$20*Timeline!AW$9</f>
        <v/>
      </c>
      <c r="AX130" s="39">
        <f>AX109*Products!$G$20*Timeline!AX$9</f>
        <v/>
      </c>
      <c r="AY130" s="39">
        <f>AY109*Products!$G$20*Timeline!AY$9</f>
        <v/>
      </c>
      <c r="AZ130" s="39">
        <f>AZ109*Products!$G$20*Timeline!AZ$9</f>
        <v/>
      </c>
      <c r="BA130" s="39">
        <f>BA109*Products!$G$20*Timeline!BA$9</f>
        <v/>
      </c>
      <c r="BB130" s="39">
        <f>BB109*Products!$G$20*Timeline!BB$9</f>
        <v/>
      </c>
      <c r="BC130" s="39">
        <f>BC109*Products!$G$20*Timeline!BC$9</f>
        <v/>
      </c>
      <c r="BD130" s="39">
        <f>BD109*Products!$G$20*Timeline!BD$9</f>
        <v/>
      </c>
      <c r="BE130" s="39">
        <f>BE109*Products!$G$20*Timeline!BE$9</f>
        <v/>
      </c>
      <c r="BF130" s="39">
        <f>BF109*Products!$G$20*Timeline!BF$9</f>
        <v/>
      </c>
      <c r="BG130" s="39">
        <f>BG109*Products!$G$20*Timeline!BG$9</f>
        <v/>
      </c>
      <c r="BH130" s="39">
        <f>BH109*Products!$G$20*Timeline!BH$9</f>
        <v/>
      </c>
      <c r="BI130" s="39">
        <f>BI109*Products!$G$20*Timeline!BI$9</f>
        <v/>
      </c>
      <c r="BJ130" s="39">
        <f>BJ109*Products!$G$20*Timeline!BJ$9</f>
        <v/>
      </c>
      <c r="BK130" s="39">
        <f>BK109*Products!$G$20*Timeline!BK$9</f>
        <v/>
      </c>
      <c r="BL130" s="39">
        <f>BL109*Products!$G$20*Timeline!BL$9</f>
        <v/>
      </c>
    </row>
    <row r="131">
      <c r="A131" s="55" t="inlineStr">
        <is>
          <t>Marketing &amp; acquisition</t>
        </is>
      </c>
      <c r="B131" s="26" t="inlineStr">
        <is>
          <t>LCY</t>
        </is>
      </c>
      <c r="C131" s="58">
        <f>SUM(E131:BL131)</f>
        <v/>
      </c>
      <c r="E131" s="39">
        <f>E109*Products!$G$21*Timeline!E$9</f>
        <v/>
      </c>
      <c r="F131" s="39">
        <f>F109*Products!$G$21*Timeline!F$9</f>
        <v/>
      </c>
      <c r="G131" s="39">
        <f>G109*Products!$G$21*Timeline!G$9</f>
        <v/>
      </c>
      <c r="H131" s="39">
        <f>H109*Products!$G$21*Timeline!H$9</f>
        <v/>
      </c>
      <c r="I131" s="39">
        <f>I109*Products!$G$21*Timeline!I$9</f>
        <v/>
      </c>
      <c r="J131" s="39">
        <f>J109*Products!$G$21*Timeline!J$9</f>
        <v/>
      </c>
      <c r="K131" s="39">
        <f>K109*Products!$G$21*Timeline!K$9</f>
        <v/>
      </c>
      <c r="L131" s="39">
        <f>L109*Products!$G$21*Timeline!L$9</f>
        <v/>
      </c>
      <c r="M131" s="39">
        <f>M109*Products!$G$21*Timeline!M$9</f>
        <v/>
      </c>
      <c r="N131" s="39">
        <f>N109*Products!$G$21*Timeline!N$9</f>
        <v/>
      </c>
      <c r="O131" s="39">
        <f>O109*Products!$G$21*Timeline!O$9</f>
        <v/>
      </c>
      <c r="P131" s="39">
        <f>P109*Products!$G$21*Timeline!P$9</f>
        <v/>
      </c>
      <c r="Q131" s="39">
        <f>Q109*Products!$G$21*Timeline!Q$9</f>
        <v/>
      </c>
      <c r="R131" s="39">
        <f>R109*Products!$G$21*Timeline!R$9</f>
        <v/>
      </c>
      <c r="S131" s="39">
        <f>S109*Products!$G$21*Timeline!S$9</f>
        <v/>
      </c>
      <c r="T131" s="39">
        <f>T109*Products!$G$21*Timeline!T$9</f>
        <v/>
      </c>
      <c r="U131" s="39">
        <f>U109*Products!$G$21*Timeline!U$9</f>
        <v/>
      </c>
      <c r="V131" s="39">
        <f>V109*Products!$G$21*Timeline!V$9</f>
        <v/>
      </c>
      <c r="W131" s="39">
        <f>W109*Products!$G$21*Timeline!W$9</f>
        <v/>
      </c>
      <c r="X131" s="39">
        <f>X109*Products!$G$21*Timeline!X$9</f>
        <v/>
      </c>
      <c r="Y131" s="39">
        <f>Y109*Products!$G$21*Timeline!Y$9</f>
        <v/>
      </c>
      <c r="Z131" s="39">
        <f>Z109*Products!$G$21*Timeline!Z$9</f>
        <v/>
      </c>
      <c r="AA131" s="39">
        <f>AA109*Products!$G$21*Timeline!AA$9</f>
        <v/>
      </c>
      <c r="AB131" s="39">
        <f>AB109*Products!$G$21*Timeline!AB$9</f>
        <v/>
      </c>
      <c r="AC131" s="39">
        <f>AC109*Products!$G$21*Timeline!AC$9</f>
        <v/>
      </c>
      <c r="AD131" s="39">
        <f>AD109*Products!$G$21*Timeline!AD$9</f>
        <v/>
      </c>
      <c r="AE131" s="39">
        <f>AE109*Products!$G$21*Timeline!AE$9</f>
        <v/>
      </c>
      <c r="AF131" s="39">
        <f>AF109*Products!$G$21*Timeline!AF$9</f>
        <v/>
      </c>
      <c r="AG131" s="39">
        <f>AG109*Products!$G$21*Timeline!AG$9</f>
        <v/>
      </c>
      <c r="AH131" s="39">
        <f>AH109*Products!$G$21*Timeline!AH$9</f>
        <v/>
      </c>
      <c r="AI131" s="39">
        <f>AI109*Products!$G$21*Timeline!AI$9</f>
        <v/>
      </c>
      <c r="AJ131" s="39">
        <f>AJ109*Products!$G$21*Timeline!AJ$9</f>
        <v/>
      </c>
      <c r="AK131" s="39">
        <f>AK109*Products!$G$21*Timeline!AK$9</f>
        <v/>
      </c>
      <c r="AL131" s="39">
        <f>AL109*Products!$G$21*Timeline!AL$9</f>
        <v/>
      </c>
      <c r="AM131" s="39">
        <f>AM109*Products!$G$21*Timeline!AM$9</f>
        <v/>
      </c>
      <c r="AN131" s="39">
        <f>AN109*Products!$G$21*Timeline!AN$9</f>
        <v/>
      </c>
      <c r="AO131" s="39">
        <f>AO109*Products!$G$21*Timeline!AO$9</f>
        <v/>
      </c>
      <c r="AP131" s="39">
        <f>AP109*Products!$G$21*Timeline!AP$9</f>
        <v/>
      </c>
      <c r="AQ131" s="39">
        <f>AQ109*Products!$G$21*Timeline!AQ$9</f>
        <v/>
      </c>
      <c r="AR131" s="39">
        <f>AR109*Products!$G$21*Timeline!AR$9</f>
        <v/>
      </c>
      <c r="AS131" s="39">
        <f>AS109*Products!$G$21*Timeline!AS$9</f>
        <v/>
      </c>
      <c r="AT131" s="39">
        <f>AT109*Products!$G$21*Timeline!AT$9</f>
        <v/>
      </c>
      <c r="AU131" s="39">
        <f>AU109*Products!$G$21*Timeline!AU$9</f>
        <v/>
      </c>
      <c r="AV131" s="39">
        <f>AV109*Products!$G$21*Timeline!AV$9</f>
        <v/>
      </c>
      <c r="AW131" s="39">
        <f>AW109*Products!$G$21*Timeline!AW$9</f>
        <v/>
      </c>
      <c r="AX131" s="39">
        <f>AX109*Products!$G$21*Timeline!AX$9</f>
        <v/>
      </c>
      <c r="AY131" s="39">
        <f>AY109*Products!$G$21*Timeline!AY$9</f>
        <v/>
      </c>
      <c r="AZ131" s="39">
        <f>AZ109*Products!$G$21*Timeline!AZ$9</f>
        <v/>
      </c>
      <c r="BA131" s="39">
        <f>BA109*Products!$G$21*Timeline!BA$9</f>
        <v/>
      </c>
      <c r="BB131" s="39">
        <f>BB109*Products!$G$21*Timeline!BB$9</f>
        <v/>
      </c>
      <c r="BC131" s="39">
        <f>BC109*Products!$G$21*Timeline!BC$9</f>
        <v/>
      </c>
      <c r="BD131" s="39">
        <f>BD109*Products!$G$21*Timeline!BD$9</f>
        <v/>
      </c>
      <c r="BE131" s="39">
        <f>BE109*Products!$G$21*Timeline!BE$9</f>
        <v/>
      </c>
      <c r="BF131" s="39">
        <f>BF109*Products!$G$21*Timeline!BF$9</f>
        <v/>
      </c>
      <c r="BG131" s="39">
        <f>BG109*Products!$G$21*Timeline!BG$9</f>
        <v/>
      </c>
      <c r="BH131" s="39">
        <f>BH109*Products!$G$21*Timeline!BH$9</f>
        <v/>
      </c>
      <c r="BI131" s="39">
        <f>BI109*Products!$G$21*Timeline!BI$9</f>
        <v/>
      </c>
      <c r="BJ131" s="39">
        <f>BJ109*Products!$G$21*Timeline!BJ$9</f>
        <v/>
      </c>
      <c r="BK131" s="39">
        <f>BK109*Products!$G$21*Timeline!BK$9</f>
        <v/>
      </c>
      <c r="BL131" s="39">
        <f>BL109*Products!$G$21*Timeline!BL$9</f>
        <v/>
      </c>
    </row>
    <row r="132"/>
    <row r="133">
      <c r="A133" s="14" t="inlineStr">
        <is>
          <t>TOTAL - all tiers</t>
        </is>
      </c>
      <c r="B133" s="15" t="n"/>
      <c r="C133" s="15" t="n"/>
      <c r="D133" s="15" t="n"/>
      <c r="E133" s="15" t="n"/>
      <c r="F133" s="15" t="n"/>
      <c r="G133" s="15" t="n"/>
      <c r="H133" s="15" t="n"/>
      <c r="I133" s="15" t="n"/>
      <c r="J133" s="15" t="n"/>
      <c r="K133" s="15" t="n"/>
      <c r="L133" s="15" t="n"/>
      <c r="M133" s="15" t="n"/>
      <c r="N133" s="15" t="n"/>
      <c r="O133" s="15" t="n"/>
      <c r="P133" s="15" t="n"/>
      <c r="Q133" s="15" t="n"/>
      <c r="R133" s="15" t="n"/>
      <c r="S133" s="15" t="n"/>
      <c r="T133" s="15" t="n"/>
      <c r="U133" s="15" t="n"/>
      <c r="V133" s="15" t="n"/>
      <c r="W133" s="15" t="n"/>
      <c r="X133" s="15" t="n"/>
      <c r="Y133" s="15" t="n"/>
      <c r="Z133" s="15" t="n"/>
      <c r="AA133" s="15" t="n"/>
      <c r="AB133" s="15" t="n"/>
      <c r="AC133" s="15" t="n"/>
      <c r="AD133" s="15" t="n"/>
      <c r="AE133" s="15" t="n"/>
      <c r="AF133" s="15" t="n"/>
      <c r="AG133" s="15" t="n"/>
      <c r="AH133" s="15" t="n"/>
      <c r="AI133" s="15" t="n"/>
      <c r="AJ133" s="15" t="n"/>
      <c r="AK133" s="15" t="n"/>
      <c r="AL133" s="15" t="n"/>
      <c r="AM133" s="15" t="n"/>
      <c r="AN133" s="15" t="n"/>
      <c r="AO133" s="15" t="n"/>
      <c r="AP133" s="15" t="n"/>
      <c r="AQ133" s="15" t="n"/>
      <c r="AR133" s="15" t="n"/>
      <c r="AS133" s="15" t="n"/>
      <c r="AT133" s="15" t="n"/>
      <c r="AU133" s="15" t="n"/>
      <c r="AV133" s="15" t="n"/>
      <c r="AW133" s="15" t="n"/>
      <c r="AX133" s="15" t="n"/>
      <c r="AY133" s="15" t="n"/>
      <c r="AZ133" s="15" t="n"/>
      <c r="BA133" s="15" t="n"/>
      <c r="BB133" s="15" t="n"/>
      <c r="BC133" s="15" t="n"/>
      <c r="BD133" s="15" t="n"/>
      <c r="BE133" s="15" t="n"/>
      <c r="BF133" s="15" t="n"/>
      <c r="BG133" s="15" t="n"/>
      <c r="BH133" s="15" t="n"/>
      <c r="BI133" s="15" t="n"/>
      <c r="BJ133" s="15" t="n"/>
      <c r="BK133" s="15" t="n"/>
      <c r="BL133" s="15" t="n"/>
    </row>
    <row r="134">
      <c r="A134" s="60" t="inlineStr">
        <is>
          <t>Units sold</t>
        </is>
      </c>
      <c r="B134" s="61" t="inlineStr">
        <is>
          <t>units</t>
        </is>
      </c>
      <c r="C134" s="70">
        <f>SUM(E134:BL134)</f>
        <v/>
      </c>
      <c r="D134" s="63" t="n"/>
      <c r="E134" s="71">
        <f>E9+E34+E59+E84+E109</f>
        <v/>
      </c>
      <c r="F134" s="71">
        <f>F9+F34+F59+F84+F109</f>
        <v/>
      </c>
      <c r="G134" s="71">
        <f>G9+G34+G59+G84+G109</f>
        <v/>
      </c>
      <c r="H134" s="71">
        <f>H9+H34+H59+H84+H109</f>
        <v/>
      </c>
      <c r="I134" s="71">
        <f>I9+I34+I59+I84+I109</f>
        <v/>
      </c>
      <c r="J134" s="71">
        <f>J9+J34+J59+J84+J109</f>
        <v/>
      </c>
      <c r="K134" s="71">
        <f>K9+K34+K59+K84+K109</f>
        <v/>
      </c>
      <c r="L134" s="71">
        <f>L9+L34+L59+L84+L109</f>
        <v/>
      </c>
      <c r="M134" s="71">
        <f>M9+M34+M59+M84+M109</f>
        <v/>
      </c>
      <c r="N134" s="71">
        <f>N9+N34+N59+N84+N109</f>
        <v/>
      </c>
      <c r="O134" s="71">
        <f>O9+O34+O59+O84+O109</f>
        <v/>
      </c>
      <c r="P134" s="71">
        <f>P9+P34+P59+P84+P109</f>
        <v/>
      </c>
      <c r="Q134" s="71">
        <f>Q9+Q34+Q59+Q84+Q109</f>
        <v/>
      </c>
      <c r="R134" s="71">
        <f>R9+R34+R59+R84+R109</f>
        <v/>
      </c>
      <c r="S134" s="71">
        <f>S9+S34+S59+S84+S109</f>
        <v/>
      </c>
      <c r="T134" s="71">
        <f>T9+T34+T59+T84+T109</f>
        <v/>
      </c>
      <c r="U134" s="71">
        <f>U9+U34+U59+U84+U109</f>
        <v/>
      </c>
      <c r="V134" s="71">
        <f>V9+V34+V59+V84+V109</f>
        <v/>
      </c>
      <c r="W134" s="71">
        <f>W9+W34+W59+W84+W109</f>
        <v/>
      </c>
      <c r="X134" s="71">
        <f>X9+X34+X59+X84+X109</f>
        <v/>
      </c>
      <c r="Y134" s="71">
        <f>Y9+Y34+Y59+Y84+Y109</f>
        <v/>
      </c>
      <c r="Z134" s="71">
        <f>Z9+Z34+Z59+Z84+Z109</f>
        <v/>
      </c>
      <c r="AA134" s="71">
        <f>AA9+AA34+AA59+AA84+AA109</f>
        <v/>
      </c>
      <c r="AB134" s="71">
        <f>AB9+AB34+AB59+AB84+AB109</f>
        <v/>
      </c>
      <c r="AC134" s="71">
        <f>AC9+AC34+AC59+AC84+AC109</f>
        <v/>
      </c>
      <c r="AD134" s="71">
        <f>AD9+AD34+AD59+AD84+AD109</f>
        <v/>
      </c>
      <c r="AE134" s="71">
        <f>AE9+AE34+AE59+AE84+AE109</f>
        <v/>
      </c>
      <c r="AF134" s="71">
        <f>AF9+AF34+AF59+AF84+AF109</f>
        <v/>
      </c>
      <c r="AG134" s="71">
        <f>AG9+AG34+AG59+AG84+AG109</f>
        <v/>
      </c>
      <c r="AH134" s="71">
        <f>AH9+AH34+AH59+AH84+AH109</f>
        <v/>
      </c>
      <c r="AI134" s="71">
        <f>AI9+AI34+AI59+AI84+AI109</f>
        <v/>
      </c>
      <c r="AJ134" s="71">
        <f>AJ9+AJ34+AJ59+AJ84+AJ109</f>
        <v/>
      </c>
      <c r="AK134" s="71">
        <f>AK9+AK34+AK59+AK84+AK109</f>
        <v/>
      </c>
      <c r="AL134" s="71">
        <f>AL9+AL34+AL59+AL84+AL109</f>
        <v/>
      </c>
      <c r="AM134" s="71">
        <f>AM9+AM34+AM59+AM84+AM109</f>
        <v/>
      </c>
      <c r="AN134" s="71">
        <f>AN9+AN34+AN59+AN84+AN109</f>
        <v/>
      </c>
      <c r="AO134" s="71">
        <f>AO9+AO34+AO59+AO84+AO109</f>
        <v/>
      </c>
      <c r="AP134" s="71">
        <f>AP9+AP34+AP59+AP84+AP109</f>
        <v/>
      </c>
      <c r="AQ134" s="71">
        <f>AQ9+AQ34+AQ59+AQ84+AQ109</f>
        <v/>
      </c>
      <c r="AR134" s="71">
        <f>AR9+AR34+AR59+AR84+AR109</f>
        <v/>
      </c>
      <c r="AS134" s="71">
        <f>AS9+AS34+AS59+AS84+AS109</f>
        <v/>
      </c>
      <c r="AT134" s="71">
        <f>AT9+AT34+AT59+AT84+AT109</f>
        <v/>
      </c>
      <c r="AU134" s="71">
        <f>AU9+AU34+AU59+AU84+AU109</f>
        <v/>
      </c>
      <c r="AV134" s="71">
        <f>AV9+AV34+AV59+AV84+AV109</f>
        <v/>
      </c>
      <c r="AW134" s="71">
        <f>AW9+AW34+AW59+AW84+AW109</f>
        <v/>
      </c>
      <c r="AX134" s="71">
        <f>AX9+AX34+AX59+AX84+AX109</f>
        <v/>
      </c>
      <c r="AY134" s="71">
        <f>AY9+AY34+AY59+AY84+AY109</f>
        <v/>
      </c>
      <c r="AZ134" s="71">
        <f>AZ9+AZ34+AZ59+AZ84+AZ109</f>
        <v/>
      </c>
      <c r="BA134" s="71">
        <f>BA9+BA34+BA59+BA84+BA109</f>
        <v/>
      </c>
      <c r="BB134" s="71">
        <f>BB9+BB34+BB59+BB84+BB109</f>
        <v/>
      </c>
      <c r="BC134" s="71">
        <f>BC9+BC34+BC59+BC84+BC109</f>
        <v/>
      </c>
      <c r="BD134" s="71">
        <f>BD9+BD34+BD59+BD84+BD109</f>
        <v/>
      </c>
      <c r="BE134" s="71">
        <f>BE9+BE34+BE59+BE84+BE109</f>
        <v/>
      </c>
      <c r="BF134" s="71">
        <f>BF9+BF34+BF59+BF84+BF109</f>
        <v/>
      </c>
      <c r="BG134" s="71">
        <f>BG9+BG34+BG59+BG84+BG109</f>
        <v/>
      </c>
      <c r="BH134" s="71">
        <f>BH9+BH34+BH59+BH84+BH109</f>
        <v/>
      </c>
      <c r="BI134" s="71">
        <f>BI9+BI34+BI59+BI84+BI109</f>
        <v/>
      </c>
      <c r="BJ134" s="71">
        <f>BJ9+BJ34+BJ59+BJ84+BJ109</f>
        <v/>
      </c>
      <c r="BK134" s="71">
        <f>BK9+BK34+BK59+BK84+BK109</f>
        <v/>
      </c>
      <c r="BL134" s="71">
        <f>BL9+BL34+BL59+BL84+BL109</f>
        <v/>
      </c>
    </row>
    <row r="135">
      <c r="A135" s="60" t="inlineStr">
        <is>
          <t>Price-indexed units (units x price index)</t>
        </is>
      </c>
      <c r="B135" s="61" t="inlineStr">
        <is>
          <t>units</t>
        </is>
      </c>
      <c r="C135" s="70">
        <f>SUM(E135:BL135)</f>
        <v/>
      </c>
      <c r="D135" s="63" t="n"/>
      <c r="E135" s="71">
        <f>E10+E35+E60+E85+E110</f>
        <v/>
      </c>
      <c r="F135" s="71">
        <f>F10+F35+F60+F85+F110</f>
        <v/>
      </c>
      <c r="G135" s="71">
        <f>G10+G35+G60+G85+G110</f>
        <v/>
      </c>
      <c r="H135" s="71">
        <f>H10+H35+H60+H85+H110</f>
        <v/>
      </c>
      <c r="I135" s="71">
        <f>I10+I35+I60+I85+I110</f>
        <v/>
      </c>
      <c r="J135" s="71">
        <f>J10+J35+J60+J85+J110</f>
        <v/>
      </c>
      <c r="K135" s="71">
        <f>K10+K35+K60+K85+K110</f>
        <v/>
      </c>
      <c r="L135" s="71">
        <f>L10+L35+L60+L85+L110</f>
        <v/>
      </c>
      <c r="M135" s="71">
        <f>M10+M35+M60+M85+M110</f>
        <v/>
      </c>
      <c r="N135" s="71">
        <f>N10+N35+N60+N85+N110</f>
        <v/>
      </c>
      <c r="O135" s="71">
        <f>O10+O35+O60+O85+O110</f>
        <v/>
      </c>
      <c r="P135" s="71">
        <f>P10+P35+P60+P85+P110</f>
        <v/>
      </c>
      <c r="Q135" s="71">
        <f>Q10+Q35+Q60+Q85+Q110</f>
        <v/>
      </c>
      <c r="R135" s="71">
        <f>R10+R35+R60+R85+R110</f>
        <v/>
      </c>
      <c r="S135" s="71">
        <f>S10+S35+S60+S85+S110</f>
        <v/>
      </c>
      <c r="T135" s="71">
        <f>T10+T35+T60+T85+T110</f>
        <v/>
      </c>
      <c r="U135" s="71">
        <f>U10+U35+U60+U85+U110</f>
        <v/>
      </c>
      <c r="V135" s="71">
        <f>V10+V35+V60+V85+V110</f>
        <v/>
      </c>
      <c r="W135" s="71">
        <f>W10+W35+W60+W85+W110</f>
        <v/>
      </c>
      <c r="X135" s="71">
        <f>X10+X35+X60+X85+X110</f>
        <v/>
      </c>
      <c r="Y135" s="71">
        <f>Y10+Y35+Y60+Y85+Y110</f>
        <v/>
      </c>
      <c r="Z135" s="71">
        <f>Z10+Z35+Z60+Z85+Z110</f>
        <v/>
      </c>
      <c r="AA135" s="71">
        <f>AA10+AA35+AA60+AA85+AA110</f>
        <v/>
      </c>
      <c r="AB135" s="71">
        <f>AB10+AB35+AB60+AB85+AB110</f>
        <v/>
      </c>
      <c r="AC135" s="71">
        <f>AC10+AC35+AC60+AC85+AC110</f>
        <v/>
      </c>
      <c r="AD135" s="71">
        <f>AD10+AD35+AD60+AD85+AD110</f>
        <v/>
      </c>
      <c r="AE135" s="71">
        <f>AE10+AE35+AE60+AE85+AE110</f>
        <v/>
      </c>
      <c r="AF135" s="71">
        <f>AF10+AF35+AF60+AF85+AF110</f>
        <v/>
      </c>
      <c r="AG135" s="71">
        <f>AG10+AG35+AG60+AG85+AG110</f>
        <v/>
      </c>
      <c r="AH135" s="71">
        <f>AH10+AH35+AH60+AH85+AH110</f>
        <v/>
      </c>
      <c r="AI135" s="71">
        <f>AI10+AI35+AI60+AI85+AI110</f>
        <v/>
      </c>
      <c r="AJ135" s="71">
        <f>AJ10+AJ35+AJ60+AJ85+AJ110</f>
        <v/>
      </c>
      <c r="AK135" s="71">
        <f>AK10+AK35+AK60+AK85+AK110</f>
        <v/>
      </c>
      <c r="AL135" s="71">
        <f>AL10+AL35+AL60+AL85+AL110</f>
        <v/>
      </c>
      <c r="AM135" s="71">
        <f>AM10+AM35+AM60+AM85+AM110</f>
        <v/>
      </c>
      <c r="AN135" s="71">
        <f>AN10+AN35+AN60+AN85+AN110</f>
        <v/>
      </c>
      <c r="AO135" s="71">
        <f>AO10+AO35+AO60+AO85+AO110</f>
        <v/>
      </c>
      <c r="AP135" s="71">
        <f>AP10+AP35+AP60+AP85+AP110</f>
        <v/>
      </c>
      <c r="AQ135" s="71">
        <f>AQ10+AQ35+AQ60+AQ85+AQ110</f>
        <v/>
      </c>
      <c r="AR135" s="71">
        <f>AR10+AR35+AR60+AR85+AR110</f>
        <v/>
      </c>
      <c r="AS135" s="71">
        <f>AS10+AS35+AS60+AS85+AS110</f>
        <v/>
      </c>
      <c r="AT135" s="71">
        <f>AT10+AT35+AT60+AT85+AT110</f>
        <v/>
      </c>
      <c r="AU135" s="71">
        <f>AU10+AU35+AU60+AU85+AU110</f>
        <v/>
      </c>
      <c r="AV135" s="71">
        <f>AV10+AV35+AV60+AV85+AV110</f>
        <v/>
      </c>
      <c r="AW135" s="71">
        <f>AW10+AW35+AW60+AW85+AW110</f>
        <v/>
      </c>
      <c r="AX135" s="71">
        <f>AX10+AX35+AX60+AX85+AX110</f>
        <v/>
      </c>
      <c r="AY135" s="71">
        <f>AY10+AY35+AY60+AY85+AY110</f>
        <v/>
      </c>
      <c r="AZ135" s="71">
        <f>AZ10+AZ35+AZ60+AZ85+AZ110</f>
        <v/>
      </c>
      <c r="BA135" s="71">
        <f>BA10+BA35+BA60+BA85+BA110</f>
        <v/>
      </c>
      <c r="BB135" s="71">
        <f>BB10+BB35+BB60+BB85+BB110</f>
        <v/>
      </c>
      <c r="BC135" s="71">
        <f>BC10+BC35+BC60+BC85+BC110</f>
        <v/>
      </c>
      <c r="BD135" s="71">
        <f>BD10+BD35+BD60+BD85+BD110</f>
        <v/>
      </c>
      <c r="BE135" s="71">
        <f>BE10+BE35+BE60+BE85+BE110</f>
        <v/>
      </c>
      <c r="BF135" s="71">
        <f>BF10+BF35+BF60+BF85+BF110</f>
        <v/>
      </c>
      <c r="BG135" s="71">
        <f>BG10+BG35+BG60+BG85+BG110</f>
        <v/>
      </c>
      <c r="BH135" s="71">
        <f>BH10+BH35+BH60+BH85+BH110</f>
        <v/>
      </c>
      <c r="BI135" s="71">
        <f>BI10+BI35+BI60+BI85+BI110</f>
        <v/>
      </c>
      <c r="BJ135" s="71">
        <f>BJ10+BJ35+BJ60+BJ85+BJ110</f>
        <v/>
      </c>
      <c r="BK135" s="71">
        <f>BK10+BK35+BK60+BK85+BK110</f>
        <v/>
      </c>
      <c r="BL135" s="71">
        <f>BL10+BL35+BL60+BL85+BL110</f>
        <v/>
      </c>
    </row>
    <row r="136">
      <c r="A136" s="60" t="inlineStr">
        <is>
          <t>Down payments collected</t>
        </is>
      </c>
      <c r="B136" s="61" t="inlineStr">
        <is>
          <t>LCY</t>
        </is>
      </c>
      <c r="C136" s="70">
        <f>SUM(E136:BL136)</f>
        <v/>
      </c>
      <c r="D136" s="63" t="n"/>
      <c r="E136" s="71">
        <f>E11+E36+E61+E86+E111</f>
        <v/>
      </c>
      <c r="F136" s="71">
        <f>F11+F36+F61+F86+F111</f>
        <v/>
      </c>
      <c r="G136" s="71">
        <f>G11+G36+G61+G86+G111</f>
        <v/>
      </c>
      <c r="H136" s="71">
        <f>H11+H36+H61+H86+H111</f>
        <v/>
      </c>
      <c r="I136" s="71">
        <f>I11+I36+I61+I86+I111</f>
        <v/>
      </c>
      <c r="J136" s="71">
        <f>J11+J36+J61+J86+J111</f>
        <v/>
      </c>
      <c r="K136" s="71">
        <f>K11+K36+K61+K86+K111</f>
        <v/>
      </c>
      <c r="L136" s="71">
        <f>L11+L36+L61+L86+L111</f>
        <v/>
      </c>
      <c r="M136" s="71">
        <f>M11+M36+M61+M86+M111</f>
        <v/>
      </c>
      <c r="N136" s="71">
        <f>N11+N36+N61+N86+N111</f>
        <v/>
      </c>
      <c r="O136" s="71">
        <f>O11+O36+O61+O86+O111</f>
        <v/>
      </c>
      <c r="P136" s="71">
        <f>P11+P36+P61+P86+P111</f>
        <v/>
      </c>
      <c r="Q136" s="71">
        <f>Q11+Q36+Q61+Q86+Q111</f>
        <v/>
      </c>
      <c r="R136" s="71">
        <f>R11+R36+R61+R86+R111</f>
        <v/>
      </c>
      <c r="S136" s="71">
        <f>S11+S36+S61+S86+S111</f>
        <v/>
      </c>
      <c r="T136" s="71">
        <f>T11+T36+T61+T86+T111</f>
        <v/>
      </c>
      <c r="U136" s="71">
        <f>U11+U36+U61+U86+U111</f>
        <v/>
      </c>
      <c r="V136" s="71">
        <f>V11+V36+V61+V86+V111</f>
        <v/>
      </c>
      <c r="W136" s="71">
        <f>W11+W36+W61+W86+W111</f>
        <v/>
      </c>
      <c r="X136" s="71">
        <f>X11+X36+X61+X86+X111</f>
        <v/>
      </c>
      <c r="Y136" s="71">
        <f>Y11+Y36+Y61+Y86+Y111</f>
        <v/>
      </c>
      <c r="Z136" s="71">
        <f>Z11+Z36+Z61+Z86+Z111</f>
        <v/>
      </c>
      <c r="AA136" s="71">
        <f>AA11+AA36+AA61+AA86+AA111</f>
        <v/>
      </c>
      <c r="AB136" s="71">
        <f>AB11+AB36+AB61+AB86+AB111</f>
        <v/>
      </c>
      <c r="AC136" s="71">
        <f>AC11+AC36+AC61+AC86+AC111</f>
        <v/>
      </c>
      <c r="AD136" s="71">
        <f>AD11+AD36+AD61+AD86+AD111</f>
        <v/>
      </c>
      <c r="AE136" s="71">
        <f>AE11+AE36+AE61+AE86+AE111</f>
        <v/>
      </c>
      <c r="AF136" s="71">
        <f>AF11+AF36+AF61+AF86+AF111</f>
        <v/>
      </c>
      <c r="AG136" s="71">
        <f>AG11+AG36+AG61+AG86+AG111</f>
        <v/>
      </c>
      <c r="AH136" s="71">
        <f>AH11+AH36+AH61+AH86+AH111</f>
        <v/>
      </c>
      <c r="AI136" s="71">
        <f>AI11+AI36+AI61+AI86+AI111</f>
        <v/>
      </c>
      <c r="AJ136" s="71">
        <f>AJ11+AJ36+AJ61+AJ86+AJ111</f>
        <v/>
      </c>
      <c r="AK136" s="71">
        <f>AK11+AK36+AK61+AK86+AK111</f>
        <v/>
      </c>
      <c r="AL136" s="71">
        <f>AL11+AL36+AL61+AL86+AL111</f>
        <v/>
      </c>
      <c r="AM136" s="71">
        <f>AM11+AM36+AM61+AM86+AM111</f>
        <v/>
      </c>
      <c r="AN136" s="71">
        <f>AN11+AN36+AN61+AN86+AN111</f>
        <v/>
      </c>
      <c r="AO136" s="71">
        <f>AO11+AO36+AO61+AO86+AO111</f>
        <v/>
      </c>
      <c r="AP136" s="71">
        <f>AP11+AP36+AP61+AP86+AP111</f>
        <v/>
      </c>
      <c r="AQ136" s="71">
        <f>AQ11+AQ36+AQ61+AQ86+AQ111</f>
        <v/>
      </c>
      <c r="AR136" s="71">
        <f>AR11+AR36+AR61+AR86+AR111</f>
        <v/>
      </c>
      <c r="AS136" s="71">
        <f>AS11+AS36+AS61+AS86+AS111</f>
        <v/>
      </c>
      <c r="AT136" s="71">
        <f>AT11+AT36+AT61+AT86+AT111</f>
        <v/>
      </c>
      <c r="AU136" s="71">
        <f>AU11+AU36+AU61+AU86+AU111</f>
        <v/>
      </c>
      <c r="AV136" s="71">
        <f>AV11+AV36+AV61+AV86+AV111</f>
        <v/>
      </c>
      <c r="AW136" s="71">
        <f>AW11+AW36+AW61+AW86+AW111</f>
        <v/>
      </c>
      <c r="AX136" s="71">
        <f>AX11+AX36+AX61+AX86+AX111</f>
        <v/>
      </c>
      <c r="AY136" s="71">
        <f>AY11+AY36+AY61+AY86+AY111</f>
        <v/>
      </c>
      <c r="AZ136" s="71">
        <f>AZ11+AZ36+AZ61+AZ86+AZ111</f>
        <v/>
      </c>
      <c r="BA136" s="71">
        <f>BA11+BA36+BA61+BA86+BA111</f>
        <v/>
      </c>
      <c r="BB136" s="71">
        <f>BB11+BB36+BB61+BB86+BB111</f>
        <v/>
      </c>
      <c r="BC136" s="71">
        <f>BC11+BC36+BC61+BC86+BC111</f>
        <v/>
      </c>
      <c r="BD136" s="71">
        <f>BD11+BD36+BD61+BD86+BD111</f>
        <v/>
      </c>
      <c r="BE136" s="71">
        <f>BE11+BE36+BE61+BE86+BE111</f>
        <v/>
      </c>
      <c r="BF136" s="71">
        <f>BF11+BF36+BF61+BF86+BF111</f>
        <v/>
      </c>
      <c r="BG136" s="71">
        <f>BG11+BG36+BG61+BG86+BG111</f>
        <v/>
      </c>
      <c r="BH136" s="71">
        <f>BH11+BH36+BH61+BH86+BH111</f>
        <v/>
      </c>
      <c r="BI136" s="71">
        <f>BI11+BI36+BI61+BI86+BI111</f>
        <v/>
      </c>
      <c r="BJ136" s="71">
        <f>BJ11+BJ36+BJ61+BJ86+BJ111</f>
        <v/>
      </c>
      <c r="BK136" s="71">
        <f>BK11+BK36+BK61+BK86+BK111</f>
        <v/>
      </c>
      <c r="BL136" s="71">
        <f>BL11+BL36+BL61+BL86+BL111</f>
        <v/>
      </c>
    </row>
    <row r="137">
      <c r="A137" s="60" t="inlineStr">
        <is>
          <t>Hardware revenue (cash price)</t>
        </is>
      </c>
      <c r="B137" s="61" t="inlineStr">
        <is>
          <t>LCY</t>
        </is>
      </c>
      <c r="C137" s="70">
        <f>SUM(E137:BL137)</f>
        <v/>
      </c>
      <c r="D137" s="63" t="n"/>
      <c r="E137" s="71">
        <f>E12+E37+E62+E87+E112</f>
        <v/>
      </c>
      <c r="F137" s="71">
        <f>F12+F37+F62+F87+F112</f>
        <v/>
      </c>
      <c r="G137" s="71">
        <f>G12+G37+G62+G87+G112</f>
        <v/>
      </c>
      <c r="H137" s="71">
        <f>H12+H37+H62+H87+H112</f>
        <v/>
      </c>
      <c r="I137" s="71">
        <f>I12+I37+I62+I87+I112</f>
        <v/>
      </c>
      <c r="J137" s="71">
        <f>J12+J37+J62+J87+J112</f>
        <v/>
      </c>
      <c r="K137" s="71">
        <f>K12+K37+K62+K87+K112</f>
        <v/>
      </c>
      <c r="L137" s="71">
        <f>L12+L37+L62+L87+L112</f>
        <v/>
      </c>
      <c r="M137" s="71">
        <f>M12+M37+M62+M87+M112</f>
        <v/>
      </c>
      <c r="N137" s="71">
        <f>N12+N37+N62+N87+N112</f>
        <v/>
      </c>
      <c r="O137" s="71">
        <f>O12+O37+O62+O87+O112</f>
        <v/>
      </c>
      <c r="P137" s="71">
        <f>P12+P37+P62+P87+P112</f>
        <v/>
      </c>
      <c r="Q137" s="71">
        <f>Q12+Q37+Q62+Q87+Q112</f>
        <v/>
      </c>
      <c r="R137" s="71">
        <f>R12+R37+R62+R87+R112</f>
        <v/>
      </c>
      <c r="S137" s="71">
        <f>S12+S37+S62+S87+S112</f>
        <v/>
      </c>
      <c r="T137" s="71">
        <f>T12+T37+T62+T87+T112</f>
        <v/>
      </c>
      <c r="U137" s="71">
        <f>U12+U37+U62+U87+U112</f>
        <v/>
      </c>
      <c r="V137" s="71">
        <f>V12+V37+V62+V87+V112</f>
        <v/>
      </c>
      <c r="W137" s="71">
        <f>W12+W37+W62+W87+W112</f>
        <v/>
      </c>
      <c r="X137" s="71">
        <f>X12+X37+X62+X87+X112</f>
        <v/>
      </c>
      <c r="Y137" s="71">
        <f>Y12+Y37+Y62+Y87+Y112</f>
        <v/>
      </c>
      <c r="Z137" s="71">
        <f>Z12+Z37+Z62+Z87+Z112</f>
        <v/>
      </c>
      <c r="AA137" s="71">
        <f>AA12+AA37+AA62+AA87+AA112</f>
        <v/>
      </c>
      <c r="AB137" s="71">
        <f>AB12+AB37+AB62+AB87+AB112</f>
        <v/>
      </c>
      <c r="AC137" s="71">
        <f>AC12+AC37+AC62+AC87+AC112</f>
        <v/>
      </c>
      <c r="AD137" s="71">
        <f>AD12+AD37+AD62+AD87+AD112</f>
        <v/>
      </c>
      <c r="AE137" s="71">
        <f>AE12+AE37+AE62+AE87+AE112</f>
        <v/>
      </c>
      <c r="AF137" s="71">
        <f>AF12+AF37+AF62+AF87+AF112</f>
        <v/>
      </c>
      <c r="AG137" s="71">
        <f>AG12+AG37+AG62+AG87+AG112</f>
        <v/>
      </c>
      <c r="AH137" s="71">
        <f>AH12+AH37+AH62+AH87+AH112</f>
        <v/>
      </c>
      <c r="AI137" s="71">
        <f>AI12+AI37+AI62+AI87+AI112</f>
        <v/>
      </c>
      <c r="AJ137" s="71">
        <f>AJ12+AJ37+AJ62+AJ87+AJ112</f>
        <v/>
      </c>
      <c r="AK137" s="71">
        <f>AK12+AK37+AK62+AK87+AK112</f>
        <v/>
      </c>
      <c r="AL137" s="71">
        <f>AL12+AL37+AL62+AL87+AL112</f>
        <v/>
      </c>
      <c r="AM137" s="71">
        <f>AM12+AM37+AM62+AM87+AM112</f>
        <v/>
      </c>
      <c r="AN137" s="71">
        <f>AN12+AN37+AN62+AN87+AN112</f>
        <v/>
      </c>
      <c r="AO137" s="71">
        <f>AO12+AO37+AO62+AO87+AO112</f>
        <v/>
      </c>
      <c r="AP137" s="71">
        <f>AP12+AP37+AP62+AP87+AP112</f>
        <v/>
      </c>
      <c r="AQ137" s="71">
        <f>AQ12+AQ37+AQ62+AQ87+AQ112</f>
        <v/>
      </c>
      <c r="AR137" s="71">
        <f>AR12+AR37+AR62+AR87+AR112</f>
        <v/>
      </c>
      <c r="AS137" s="71">
        <f>AS12+AS37+AS62+AS87+AS112</f>
        <v/>
      </c>
      <c r="AT137" s="71">
        <f>AT12+AT37+AT62+AT87+AT112</f>
        <v/>
      </c>
      <c r="AU137" s="71">
        <f>AU12+AU37+AU62+AU87+AU112</f>
        <v/>
      </c>
      <c r="AV137" s="71">
        <f>AV12+AV37+AV62+AV87+AV112</f>
        <v/>
      </c>
      <c r="AW137" s="71">
        <f>AW12+AW37+AW62+AW87+AW112</f>
        <v/>
      </c>
      <c r="AX137" s="71">
        <f>AX12+AX37+AX62+AX87+AX112</f>
        <v/>
      </c>
      <c r="AY137" s="71">
        <f>AY12+AY37+AY62+AY87+AY112</f>
        <v/>
      </c>
      <c r="AZ137" s="71">
        <f>AZ12+AZ37+AZ62+AZ87+AZ112</f>
        <v/>
      </c>
      <c r="BA137" s="71">
        <f>BA12+BA37+BA62+BA87+BA112</f>
        <v/>
      </c>
      <c r="BB137" s="71">
        <f>BB12+BB37+BB62+BB87+BB112</f>
        <v/>
      </c>
      <c r="BC137" s="71">
        <f>BC12+BC37+BC62+BC87+BC112</f>
        <v/>
      </c>
      <c r="BD137" s="71">
        <f>BD12+BD37+BD62+BD87+BD112</f>
        <v/>
      </c>
      <c r="BE137" s="71">
        <f>BE12+BE37+BE62+BE87+BE112</f>
        <v/>
      </c>
      <c r="BF137" s="71">
        <f>BF12+BF37+BF62+BF87+BF112</f>
        <v/>
      </c>
      <c r="BG137" s="71">
        <f>BG12+BG37+BG62+BG87+BG112</f>
        <v/>
      </c>
      <c r="BH137" s="71">
        <f>BH12+BH37+BH62+BH87+BH112</f>
        <v/>
      </c>
      <c r="BI137" s="71">
        <f>BI12+BI37+BI62+BI87+BI112</f>
        <v/>
      </c>
      <c r="BJ137" s="71">
        <f>BJ12+BJ37+BJ62+BJ87+BJ112</f>
        <v/>
      </c>
      <c r="BK137" s="71">
        <f>BK12+BK37+BK62+BK87+BK112</f>
        <v/>
      </c>
      <c r="BL137" s="71">
        <f>BL12+BL37+BL62+BL87+BL112</f>
        <v/>
      </c>
    </row>
    <row r="138">
      <c r="A138" s="60" t="inlineStr">
        <is>
          <t>New PAYGo receivables originated</t>
        </is>
      </c>
      <c r="B138" s="61" t="inlineStr">
        <is>
          <t>LCY</t>
        </is>
      </c>
      <c r="C138" s="70">
        <f>SUM(E138:BL138)</f>
        <v/>
      </c>
      <c r="D138" s="63" t="n"/>
      <c r="E138" s="71">
        <f>E13+E38+E63+E88+E113</f>
        <v/>
      </c>
      <c r="F138" s="71">
        <f>F13+F38+F63+F88+F113</f>
        <v/>
      </c>
      <c r="G138" s="71">
        <f>G13+G38+G63+G88+G113</f>
        <v/>
      </c>
      <c r="H138" s="71">
        <f>H13+H38+H63+H88+H113</f>
        <v/>
      </c>
      <c r="I138" s="71">
        <f>I13+I38+I63+I88+I113</f>
        <v/>
      </c>
      <c r="J138" s="71">
        <f>J13+J38+J63+J88+J113</f>
        <v/>
      </c>
      <c r="K138" s="71">
        <f>K13+K38+K63+K88+K113</f>
        <v/>
      </c>
      <c r="L138" s="71">
        <f>L13+L38+L63+L88+L113</f>
        <v/>
      </c>
      <c r="M138" s="71">
        <f>M13+M38+M63+M88+M113</f>
        <v/>
      </c>
      <c r="N138" s="71">
        <f>N13+N38+N63+N88+N113</f>
        <v/>
      </c>
      <c r="O138" s="71">
        <f>O13+O38+O63+O88+O113</f>
        <v/>
      </c>
      <c r="P138" s="71">
        <f>P13+P38+P63+P88+P113</f>
        <v/>
      </c>
      <c r="Q138" s="71">
        <f>Q13+Q38+Q63+Q88+Q113</f>
        <v/>
      </c>
      <c r="R138" s="71">
        <f>R13+R38+R63+R88+R113</f>
        <v/>
      </c>
      <c r="S138" s="71">
        <f>S13+S38+S63+S88+S113</f>
        <v/>
      </c>
      <c r="T138" s="71">
        <f>T13+T38+T63+T88+T113</f>
        <v/>
      </c>
      <c r="U138" s="71">
        <f>U13+U38+U63+U88+U113</f>
        <v/>
      </c>
      <c r="V138" s="71">
        <f>V13+V38+V63+V88+V113</f>
        <v/>
      </c>
      <c r="W138" s="71">
        <f>W13+W38+W63+W88+W113</f>
        <v/>
      </c>
      <c r="X138" s="71">
        <f>X13+X38+X63+X88+X113</f>
        <v/>
      </c>
      <c r="Y138" s="71">
        <f>Y13+Y38+Y63+Y88+Y113</f>
        <v/>
      </c>
      <c r="Z138" s="71">
        <f>Z13+Z38+Z63+Z88+Z113</f>
        <v/>
      </c>
      <c r="AA138" s="71">
        <f>AA13+AA38+AA63+AA88+AA113</f>
        <v/>
      </c>
      <c r="AB138" s="71">
        <f>AB13+AB38+AB63+AB88+AB113</f>
        <v/>
      </c>
      <c r="AC138" s="71">
        <f>AC13+AC38+AC63+AC88+AC113</f>
        <v/>
      </c>
      <c r="AD138" s="71">
        <f>AD13+AD38+AD63+AD88+AD113</f>
        <v/>
      </c>
      <c r="AE138" s="71">
        <f>AE13+AE38+AE63+AE88+AE113</f>
        <v/>
      </c>
      <c r="AF138" s="71">
        <f>AF13+AF38+AF63+AF88+AF113</f>
        <v/>
      </c>
      <c r="AG138" s="71">
        <f>AG13+AG38+AG63+AG88+AG113</f>
        <v/>
      </c>
      <c r="AH138" s="71">
        <f>AH13+AH38+AH63+AH88+AH113</f>
        <v/>
      </c>
      <c r="AI138" s="71">
        <f>AI13+AI38+AI63+AI88+AI113</f>
        <v/>
      </c>
      <c r="AJ138" s="71">
        <f>AJ13+AJ38+AJ63+AJ88+AJ113</f>
        <v/>
      </c>
      <c r="AK138" s="71">
        <f>AK13+AK38+AK63+AK88+AK113</f>
        <v/>
      </c>
      <c r="AL138" s="71">
        <f>AL13+AL38+AL63+AL88+AL113</f>
        <v/>
      </c>
      <c r="AM138" s="71">
        <f>AM13+AM38+AM63+AM88+AM113</f>
        <v/>
      </c>
      <c r="AN138" s="71">
        <f>AN13+AN38+AN63+AN88+AN113</f>
        <v/>
      </c>
      <c r="AO138" s="71">
        <f>AO13+AO38+AO63+AO88+AO113</f>
        <v/>
      </c>
      <c r="AP138" s="71">
        <f>AP13+AP38+AP63+AP88+AP113</f>
        <v/>
      </c>
      <c r="AQ138" s="71">
        <f>AQ13+AQ38+AQ63+AQ88+AQ113</f>
        <v/>
      </c>
      <c r="AR138" s="71">
        <f>AR13+AR38+AR63+AR88+AR113</f>
        <v/>
      </c>
      <c r="AS138" s="71">
        <f>AS13+AS38+AS63+AS88+AS113</f>
        <v/>
      </c>
      <c r="AT138" s="71">
        <f>AT13+AT38+AT63+AT88+AT113</f>
        <v/>
      </c>
      <c r="AU138" s="71">
        <f>AU13+AU38+AU63+AU88+AU113</f>
        <v/>
      </c>
      <c r="AV138" s="71">
        <f>AV13+AV38+AV63+AV88+AV113</f>
        <v/>
      </c>
      <c r="AW138" s="71">
        <f>AW13+AW38+AW63+AW88+AW113</f>
        <v/>
      </c>
      <c r="AX138" s="71">
        <f>AX13+AX38+AX63+AX88+AX113</f>
        <v/>
      </c>
      <c r="AY138" s="71">
        <f>AY13+AY38+AY63+AY88+AY113</f>
        <v/>
      </c>
      <c r="AZ138" s="71">
        <f>AZ13+AZ38+AZ63+AZ88+AZ113</f>
        <v/>
      </c>
      <c r="BA138" s="71">
        <f>BA13+BA38+BA63+BA88+BA113</f>
        <v/>
      </c>
      <c r="BB138" s="71">
        <f>BB13+BB38+BB63+BB88+BB113</f>
        <v/>
      </c>
      <c r="BC138" s="71">
        <f>BC13+BC38+BC63+BC88+BC113</f>
        <v/>
      </c>
      <c r="BD138" s="71">
        <f>BD13+BD38+BD63+BD88+BD113</f>
        <v/>
      </c>
      <c r="BE138" s="71">
        <f>BE13+BE38+BE63+BE88+BE113</f>
        <v/>
      </c>
      <c r="BF138" s="71">
        <f>BF13+BF38+BF63+BF88+BF113</f>
        <v/>
      </c>
      <c r="BG138" s="71">
        <f>BG13+BG38+BG63+BG88+BG113</f>
        <v/>
      </c>
      <c r="BH138" s="71">
        <f>BH13+BH38+BH63+BH88+BH113</f>
        <v/>
      </c>
      <c r="BI138" s="71">
        <f>BI13+BI38+BI63+BI88+BI113</f>
        <v/>
      </c>
      <c r="BJ138" s="71">
        <f>BJ13+BJ38+BJ63+BJ88+BJ113</f>
        <v/>
      </c>
      <c r="BK138" s="71">
        <f>BK13+BK38+BK63+BK88+BK113</f>
        <v/>
      </c>
      <c r="BL138" s="71">
        <f>BL13+BL38+BL63+BL88+BL113</f>
        <v/>
      </c>
    </row>
    <row r="139">
      <c r="A139" s="60" t="inlineStr">
        <is>
          <t>Instalments due</t>
        </is>
      </c>
      <c r="B139" s="61" t="inlineStr">
        <is>
          <t>LCY</t>
        </is>
      </c>
      <c r="C139" s="70">
        <f>SUM(E139:BL139)</f>
        <v/>
      </c>
      <c r="D139" s="63" t="n"/>
      <c r="E139" s="71">
        <f>E14+E39+E64+E89+E114</f>
        <v/>
      </c>
      <c r="F139" s="71">
        <f>F14+F39+F64+F89+F114</f>
        <v/>
      </c>
      <c r="G139" s="71">
        <f>G14+G39+G64+G89+G114</f>
        <v/>
      </c>
      <c r="H139" s="71">
        <f>H14+H39+H64+H89+H114</f>
        <v/>
      </c>
      <c r="I139" s="71">
        <f>I14+I39+I64+I89+I114</f>
        <v/>
      </c>
      <c r="J139" s="71">
        <f>J14+J39+J64+J89+J114</f>
        <v/>
      </c>
      <c r="K139" s="71">
        <f>K14+K39+K64+K89+K114</f>
        <v/>
      </c>
      <c r="L139" s="71">
        <f>L14+L39+L64+L89+L114</f>
        <v/>
      </c>
      <c r="M139" s="71">
        <f>M14+M39+M64+M89+M114</f>
        <v/>
      </c>
      <c r="N139" s="71">
        <f>N14+N39+N64+N89+N114</f>
        <v/>
      </c>
      <c r="O139" s="71">
        <f>O14+O39+O64+O89+O114</f>
        <v/>
      </c>
      <c r="P139" s="71">
        <f>P14+P39+P64+P89+P114</f>
        <v/>
      </c>
      <c r="Q139" s="71">
        <f>Q14+Q39+Q64+Q89+Q114</f>
        <v/>
      </c>
      <c r="R139" s="71">
        <f>R14+R39+R64+R89+R114</f>
        <v/>
      </c>
      <c r="S139" s="71">
        <f>S14+S39+S64+S89+S114</f>
        <v/>
      </c>
      <c r="T139" s="71">
        <f>T14+T39+T64+T89+T114</f>
        <v/>
      </c>
      <c r="U139" s="71">
        <f>U14+U39+U64+U89+U114</f>
        <v/>
      </c>
      <c r="V139" s="71">
        <f>V14+V39+V64+V89+V114</f>
        <v/>
      </c>
      <c r="W139" s="71">
        <f>W14+W39+W64+W89+W114</f>
        <v/>
      </c>
      <c r="X139" s="71">
        <f>X14+X39+X64+X89+X114</f>
        <v/>
      </c>
      <c r="Y139" s="71">
        <f>Y14+Y39+Y64+Y89+Y114</f>
        <v/>
      </c>
      <c r="Z139" s="71">
        <f>Z14+Z39+Z64+Z89+Z114</f>
        <v/>
      </c>
      <c r="AA139" s="71">
        <f>AA14+AA39+AA64+AA89+AA114</f>
        <v/>
      </c>
      <c r="AB139" s="71">
        <f>AB14+AB39+AB64+AB89+AB114</f>
        <v/>
      </c>
      <c r="AC139" s="71">
        <f>AC14+AC39+AC64+AC89+AC114</f>
        <v/>
      </c>
      <c r="AD139" s="71">
        <f>AD14+AD39+AD64+AD89+AD114</f>
        <v/>
      </c>
      <c r="AE139" s="71">
        <f>AE14+AE39+AE64+AE89+AE114</f>
        <v/>
      </c>
      <c r="AF139" s="71">
        <f>AF14+AF39+AF64+AF89+AF114</f>
        <v/>
      </c>
      <c r="AG139" s="71">
        <f>AG14+AG39+AG64+AG89+AG114</f>
        <v/>
      </c>
      <c r="AH139" s="71">
        <f>AH14+AH39+AH64+AH89+AH114</f>
        <v/>
      </c>
      <c r="AI139" s="71">
        <f>AI14+AI39+AI64+AI89+AI114</f>
        <v/>
      </c>
      <c r="AJ139" s="71">
        <f>AJ14+AJ39+AJ64+AJ89+AJ114</f>
        <v/>
      </c>
      <c r="AK139" s="71">
        <f>AK14+AK39+AK64+AK89+AK114</f>
        <v/>
      </c>
      <c r="AL139" s="71">
        <f>AL14+AL39+AL64+AL89+AL114</f>
        <v/>
      </c>
      <c r="AM139" s="71">
        <f>AM14+AM39+AM64+AM89+AM114</f>
        <v/>
      </c>
      <c r="AN139" s="71">
        <f>AN14+AN39+AN64+AN89+AN114</f>
        <v/>
      </c>
      <c r="AO139" s="71">
        <f>AO14+AO39+AO64+AO89+AO114</f>
        <v/>
      </c>
      <c r="AP139" s="71">
        <f>AP14+AP39+AP64+AP89+AP114</f>
        <v/>
      </c>
      <c r="AQ139" s="71">
        <f>AQ14+AQ39+AQ64+AQ89+AQ114</f>
        <v/>
      </c>
      <c r="AR139" s="71">
        <f>AR14+AR39+AR64+AR89+AR114</f>
        <v/>
      </c>
      <c r="AS139" s="71">
        <f>AS14+AS39+AS64+AS89+AS114</f>
        <v/>
      </c>
      <c r="AT139" s="71">
        <f>AT14+AT39+AT64+AT89+AT114</f>
        <v/>
      </c>
      <c r="AU139" s="71">
        <f>AU14+AU39+AU64+AU89+AU114</f>
        <v/>
      </c>
      <c r="AV139" s="71">
        <f>AV14+AV39+AV64+AV89+AV114</f>
        <v/>
      </c>
      <c r="AW139" s="71">
        <f>AW14+AW39+AW64+AW89+AW114</f>
        <v/>
      </c>
      <c r="AX139" s="71">
        <f>AX14+AX39+AX64+AX89+AX114</f>
        <v/>
      </c>
      <c r="AY139" s="71">
        <f>AY14+AY39+AY64+AY89+AY114</f>
        <v/>
      </c>
      <c r="AZ139" s="71">
        <f>AZ14+AZ39+AZ64+AZ89+AZ114</f>
        <v/>
      </c>
      <c r="BA139" s="71">
        <f>BA14+BA39+BA64+BA89+BA114</f>
        <v/>
      </c>
      <c r="BB139" s="71">
        <f>BB14+BB39+BB64+BB89+BB114</f>
        <v/>
      </c>
      <c r="BC139" s="71">
        <f>BC14+BC39+BC64+BC89+BC114</f>
        <v/>
      </c>
      <c r="BD139" s="71">
        <f>BD14+BD39+BD64+BD89+BD114</f>
        <v/>
      </c>
      <c r="BE139" s="71">
        <f>BE14+BE39+BE64+BE89+BE114</f>
        <v/>
      </c>
      <c r="BF139" s="71">
        <f>BF14+BF39+BF64+BF89+BF114</f>
        <v/>
      </c>
      <c r="BG139" s="71">
        <f>BG14+BG39+BG64+BG89+BG114</f>
        <v/>
      </c>
      <c r="BH139" s="71">
        <f>BH14+BH39+BH64+BH89+BH114</f>
        <v/>
      </c>
      <c r="BI139" s="71">
        <f>BI14+BI39+BI64+BI89+BI114</f>
        <v/>
      </c>
      <c r="BJ139" s="71">
        <f>BJ14+BJ39+BJ64+BJ89+BJ114</f>
        <v/>
      </c>
      <c r="BK139" s="71">
        <f>BK14+BK39+BK64+BK89+BK114</f>
        <v/>
      </c>
      <c r="BL139" s="71">
        <f>BL14+BL39+BL64+BL89+BL114</f>
        <v/>
      </c>
    </row>
    <row r="140">
      <c r="A140" s="60" t="inlineStr">
        <is>
          <t>Instalments collected</t>
        </is>
      </c>
      <c r="B140" s="61" t="inlineStr">
        <is>
          <t>LCY</t>
        </is>
      </c>
      <c r="C140" s="70">
        <f>SUM(E140:BL140)</f>
        <v/>
      </c>
      <c r="D140" s="63" t="n"/>
      <c r="E140" s="71">
        <f>E15+E40+E65+E90+E115</f>
        <v/>
      </c>
      <c r="F140" s="71">
        <f>F15+F40+F65+F90+F115</f>
        <v/>
      </c>
      <c r="G140" s="71">
        <f>G15+G40+G65+G90+G115</f>
        <v/>
      </c>
      <c r="H140" s="71">
        <f>H15+H40+H65+H90+H115</f>
        <v/>
      </c>
      <c r="I140" s="71">
        <f>I15+I40+I65+I90+I115</f>
        <v/>
      </c>
      <c r="J140" s="71">
        <f>J15+J40+J65+J90+J115</f>
        <v/>
      </c>
      <c r="K140" s="71">
        <f>K15+K40+K65+K90+K115</f>
        <v/>
      </c>
      <c r="L140" s="71">
        <f>L15+L40+L65+L90+L115</f>
        <v/>
      </c>
      <c r="M140" s="71">
        <f>M15+M40+M65+M90+M115</f>
        <v/>
      </c>
      <c r="N140" s="71">
        <f>N15+N40+N65+N90+N115</f>
        <v/>
      </c>
      <c r="O140" s="71">
        <f>O15+O40+O65+O90+O115</f>
        <v/>
      </c>
      <c r="P140" s="71">
        <f>P15+P40+P65+P90+P115</f>
        <v/>
      </c>
      <c r="Q140" s="71">
        <f>Q15+Q40+Q65+Q90+Q115</f>
        <v/>
      </c>
      <c r="R140" s="71">
        <f>R15+R40+R65+R90+R115</f>
        <v/>
      </c>
      <c r="S140" s="71">
        <f>S15+S40+S65+S90+S115</f>
        <v/>
      </c>
      <c r="T140" s="71">
        <f>T15+T40+T65+T90+T115</f>
        <v/>
      </c>
      <c r="U140" s="71">
        <f>U15+U40+U65+U90+U115</f>
        <v/>
      </c>
      <c r="V140" s="71">
        <f>V15+V40+V65+V90+V115</f>
        <v/>
      </c>
      <c r="W140" s="71">
        <f>W15+W40+W65+W90+W115</f>
        <v/>
      </c>
      <c r="X140" s="71">
        <f>X15+X40+X65+X90+X115</f>
        <v/>
      </c>
      <c r="Y140" s="71">
        <f>Y15+Y40+Y65+Y90+Y115</f>
        <v/>
      </c>
      <c r="Z140" s="71">
        <f>Z15+Z40+Z65+Z90+Z115</f>
        <v/>
      </c>
      <c r="AA140" s="71">
        <f>AA15+AA40+AA65+AA90+AA115</f>
        <v/>
      </c>
      <c r="AB140" s="71">
        <f>AB15+AB40+AB65+AB90+AB115</f>
        <v/>
      </c>
      <c r="AC140" s="71">
        <f>AC15+AC40+AC65+AC90+AC115</f>
        <v/>
      </c>
      <c r="AD140" s="71">
        <f>AD15+AD40+AD65+AD90+AD115</f>
        <v/>
      </c>
      <c r="AE140" s="71">
        <f>AE15+AE40+AE65+AE90+AE115</f>
        <v/>
      </c>
      <c r="AF140" s="71">
        <f>AF15+AF40+AF65+AF90+AF115</f>
        <v/>
      </c>
      <c r="AG140" s="71">
        <f>AG15+AG40+AG65+AG90+AG115</f>
        <v/>
      </c>
      <c r="AH140" s="71">
        <f>AH15+AH40+AH65+AH90+AH115</f>
        <v/>
      </c>
      <c r="AI140" s="71">
        <f>AI15+AI40+AI65+AI90+AI115</f>
        <v/>
      </c>
      <c r="AJ140" s="71">
        <f>AJ15+AJ40+AJ65+AJ90+AJ115</f>
        <v/>
      </c>
      <c r="AK140" s="71">
        <f>AK15+AK40+AK65+AK90+AK115</f>
        <v/>
      </c>
      <c r="AL140" s="71">
        <f>AL15+AL40+AL65+AL90+AL115</f>
        <v/>
      </c>
      <c r="AM140" s="71">
        <f>AM15+AM40+AM65+AM90+AM115</f>
        <v/>
      </c>
      <c r="AN140" s="71">
        <f>AN15+AN40+AN65+AN90+AN115</f>
        <v/>
      </c>
      <c r="AO140" s="71">
        <f>AO15+AO40+AO65+AO90+AO115</f>
        <v/>
      </c>
      <c r="AP140" s="71">
        <f>AP15+AP40+AP65+AP90+AP115</f>
        <v/>
      </c>
      <c r="AQ140" s="71">
        <f>AQ15+AQ40+AQ65+AQ90+AQ115</f>
        <v/>
      </c>
      <c r="AR140" s="71">
        <f>AR15+AR40+AR65+AR90+AR115</f>
        <v/>
      </c>
      <c r="AS140" s="71">
        <f>AS15+AS40+AS65+AS90+AS115</f>
        <v/>
      </c>
      <c r="AT140" s="71">
        <f>AT15+AT40+AT65+AT90+AT115</f>
        <v/>
      </c>
      <c r="AU140" s="71">
        <f>AU15+AU40+AU65+AU90+AU115</f>
        <v/>
      </c>
      <c r="AV140" s="71">
        <f>AV15+AV40+AV65+AV90+AV115</f>
        <v/>
      </c>
      <c r="AW140" s="71">
        <f>AW15+AW40+AW65+AW90+AW115</f>
        <v/>
      </c>
      <c r="AX140" s="71">
        <f>AX15+AX40+AX65+AX90+AX115</f>
        <v/>
      </c>
      <c r="AY140" s="71">
        <f>AY15+AY40+AY65+AY90+AY115</f>
        <v/>
      </c>
      <c r="AZ140" s="71">
        <f>AZ15+AZ40+AZ65+AZ90+AZ115</f>
        <v/>
      </c>
      <c r="BA140" s="71">
        <f>BA15+BA40+BA65+BA90+BA115</f>
        <v/>
      </c>
      <c r="BB140" s="71">
        <f>BB15+BB40+BB65+BB90+BB115</f>
        <v/>
      </c>
      <c r="BC140" s="71">
        <f>BC15+BC40+BC65+BC90+BC115</f>
        <v/>
      </c>
      <c r="BD140" s="71">
        <f>BD15+BD40+BD65+BD90+BD115</f>
        <v/>
      </c>
      <c r="BE140" s="71">
        <f>BE15+BE40+BE65+BE90+BE115</f>
        <v/>
      </c>
      <c r="BF140" s="71">
        <f>BF15+BF40+BF65+BF90+BF115</f>
        <v/>
      </c>
      <c r="BG140" s="71">
        <f>BG15+BG40+BG65+BG90+BG115</f>
        <v/>
      </c>
      <c r="BH140" s="71">
        <f>BH15+BH40+BH65+BH90+BH115</f>
        <v/>
      </c>
      <c r="BI140" s="71">
        <f>BI15+BI40+BI65+BI90+BI115</f>
        <v/>
      </c>
      <c r="BJ140" s="71">
        <f>BJ15+BJ40+BJ65+BJ90+BJ115</f>
        <v/>
      </c>
      <c r="BK140" s="71">
        <f>BK15+BK40+BK65+BK90+BK115</f>
        <v/>
      </c>
      <c r="BL140" s="71">
        <f>BL15+BL40+BL65+BL90+BL115</f>
        <v/>
      </c>
    </row>
    <row r="141">
      <c r="A141" s="60" t="inlineStr">
        <is>
          <t>Missed instalments written off</t>
        </is>
      </c>
      <c r="B141" s="61" t="inlineStr">
        <is>
          <t>LCY</t>
        </is>
      </c>
      <c r="C141" s="70">
        <f>SUM(E141:BL141)</f>
        <v/>
      </c>
      <c r="D141" s="63" t="n"/>
      <c r="E141" s="71">
        <f>E16+E41+E66+E91+E116</f>
        <v/>
      </c>
      <c r="F141" s="71">
        <f>F16+F41+F66+F91+F116</f>
        <v/>
      </c>
      <c r="G141" s="71">
        <f>G16+G41+G66+G91+G116</f>
        <v/>
      </c>
      <c r="H141" s="71">
        <f>H16+H41+H66+H91+H116</f>
        <v/>
      </c>
      <c r="I141" s="71">
        <f>I16+I41+I66+I91+I116</f>
        <v/>
      </c>
      <c r="J141" s="71">
        <f>J16+J41+J66+J91+J116</f>
        <v/>
      </c>
      <c r="K141" s="71">
        <f>K16+K41+K66+K91+K116</f>
        <v/>
      </c>
      <c r="L141" s="71">
        <f>L16+L41+L66+L91+L116</f>
        <v/>
      </c>
      <c r="M141" s="71">
        <f>M16+M41+M66+M91+M116</f>
        <v/>
      </c>
      <c r="N141" s="71">
        <f>N16+N41+N66+N91+N116</f>
        <v/>
      </c>
      <c r="O141" s="71">
        <f>O16+O41+O66+O91+O116</f>
        <v/>
      </c>
      <c r="P141" s="71">
        <f>P16+P41+P66+P91+P116</f>
        <v/>
      </c>
      <c r="Q141" s="71">
        <f>Q16+Q41+Q66+Q91+Q116</f>
        <v/>
      </c>
      <c r="R141" s="71">
        <f>R16+R41+R66+R91+R116</f>
        <v/>
      </c>
      <c r="S141" s="71">
        <f>S16+S41+S66+S91+S116</f>
        <v/>
      </c>
      <c r="T141" s="71">
        <f>T16+T41+T66+T91+T116</f>
        <v/>
      </c>
      <c r="U141" s="71">
        <f>U16+U41+U66+U91+U116</f>
        <v/>
      </c>
      <c r="V141" s="71">
        <f>V16+V41+V66+V91+V116</f>
        <v/>
      </c>
      <c r="W141" s="71">
        <f>W16+W41+W66+W91+W116</f>
        <v/>
      </c>
      <c r="X141" s="71">
        <f>X16+X41+X66+X91+X116</f>
        <v/>
      </c>
      <c r="Y141" s="71">
        <f>Y16+Y41+Y66+Y91+Y116</f>
        <v/>
      </c>
      <c r="Z141" s="71">
        <f>Z16+Z41+Z66+Z91+Z116</f>
        <v/>
      </c>
      <c r="AA141" s="71">
        <f>AA16+AA41+AA66+AA91+AA116</f>
        <v/>
      </c>
      <c r="AB141" s="71">
        <f>AB16+AB41+AB66+AB91+AB116</f>
        <v/>
      </c>
      <c r="AC141" s="71">
        <f>AC16+AC41+AC66+AC91+AC116</f>
        <v/>
      </c>
      <c r="AD141" s="71">
        <f>AD16+AD41+AD66+AD91+AD116</f>
        <v/>
      </c>
      <c r="AE141" s="71">
        <f>AE16+AE41+AE66+AE91+AE116</f>
        <v/>
      </c>
      <c r="AF141" s="71">
        <f>AF16+AF41+AF66+AF91+AF116</f>
        <v/>
      </c>
      <c r="AG141" s="71">
        <f>AG16+AG41+AG66+AG91+AG116</f>
        <v/>
      </c>
      <c r="AH141" s="71">
        <f>AH16+AH41+AH66+AH91+AH116</f>
        <v/>
      </c>
      <c r="AI141" s="71">
        <f>AI16+AI41+AI66+AI91+AI116</f>
        <v/>
      </c>
      <c r="AJ141" s="71">
        <f>AJ16+AJ41+AJ66+AJ91+AJ116</f>
        <v/>
      </c>
      <c r="AK141" s="71">
        <f>AK16+AK41+AK66+AK91+AK116</f>
        <v/>
      </c>
      <c r="AL141" s="71">
        <f>AL16+AL41+AL66+AL91+AL116</f>
        <v/>
      </c>
      <c r="AM141" s="71">
        <f>AM16+AM41+AM66+AM91+AM116</f>
        <v/>
      </c>
      <c r="AN141" s="71">
        <f>AN16+AN41+AN66+AN91+AN116</f>
        <v/>
      </c>
      <c r="AO141" s="71">
        <f>AO16+AO41+AO66+AO91+AO116</f>
        <v/>
      </c>
      <c r="AP141" s="71">
        <f>AP16+AP41+AP66+AP91+AP116</f>
        <v/>
      </c>
      <c r="AQ141" s="71">
        <f>AQ16+AQ41+AQ66+AQ91+AQ116</f>
        <v/>
      </c>
      <c r="AR141" s="71">
        <f>AR16+AR41+AR66+AR91+AR116</f>
        <v/>
      </c>
      <c r="AS141" s="71">
        <f>AS16+AS41+AS66+AS91+AS116</f>
        <v/>
      </c>
      <c r="AT141" s="71">
        <f>AT16+AT41+AT66+AT91+AT116</f>
        <v/>
      </c>
      <c r="AU141" s="71">
        <f>AU16+AU41+AU66+AU91+AU116</f>
        <v/>
      </c>
      <c r="AV141" s="71">
        <f>AV16+AV41+AV66+AV91+AV116</f>
        <v/>
      </c>
      <c r="AW141" s="71">
        <f>AW16+AW41+AW66+AW91+AW116</f>
        <v/>
      </c>
      <c r="AX141" s="71">
        <f>AX16+AX41+AX66+AX91+AX116</f>
        <v/>
      </c>
      <c r="AY141" s="71">
        <f>AY16+AY41+AY66+AY91+AY116</f>
        <v/>
      </c>
      <c r="AZ141" s="71">
        <f>AZ16+AZ41+AZ66+AZ91+AZ116</f>
        <v/>
      </c>
      <c r="BA141" s="71">
        <f>BA16+BA41+BA66+BA91+BA116</f>
        <v/>
      </c>
      <c r="BB141" s="71">
        <f>BB16+BB41+BB66+BB91+BB116</f>
        <v/>
      </c>
      <c r="BC141" s="71">
        <f>BC16+BC41+BC66+BC91+BC116</f>
        <v/>
      </c>
      <c r="BD141" s="71">
        <f>BD16+BD41+BD66+BD91+BD116</f>
        <v/>
      </c>
      <c r="BE141" s="71">
        <f>BE16+BE41+BE66+BE91+BE116</f>
        <v/>
      </c>
      <c r="BF141" s="71">
        <f>BF16+BF41+BF66+BF91+BF116</f>
        <v/>
      </c>
      <c r="BG141" s="71">
        <f>BG16+BG41+BG66+BG91+BG116</f>
        <v/>
      </c>
      <c r="BH141" s="71">
        <f>BH16+BH41+BH66+BH91+BH116</f>
        <v/>
      </c>
      <c r="BI141" s="71">
        <f>BI16+BI41+BI66+BI91+BI116</f>
        <v/>
      </c>
      <c r="BJ141" s="71">
        <f>BJ16+BJ41+BJ66+BJ91+BJ116</f>
        <v/>
      </c>
      <c r="BK141" s="71">
        <f>BK16+BK41+BK66+BK91+BK116</f>
        <v/>
      </c>
      <c r="BL141" s="71">
        <f>BL16+BL41+BL66+BL91+BL116</f>
        <v/>
      </c>
    </row>
    <row r="142">
      <c r="A142" s="60" t="inlineStr">
        <is>
          <t>PAYGo financing income (straight-line over tenor)</t>
        </is>
      </c>
      <c r="B142" s="61" t="inlineStr">
        <is>
          <t>LCY</t>
        </is>
      </c>
      <c r="C142" s="70">
        <f>SUM(E142:BL142)</f>
        <v/>
      </c>
      <c r="D142" s="63" t="n"/>
      <c r="E142" s="71">
        <f>E17+E42+E67+E92+E117</f>
        <v/>
      </c>
      <c r="F142" s="71">
        <f>F17+F42+F67+F92+F117</f>
        <v/>
      </c>
      <c r="G142" s="71">
        <f>G17+G42+G67+G92+G117</f>
        <v/>
      </c>
      <c r="H142" s="71">
        <f>H17+H42+H67+H92+H117</f>
        <v/>
      </c>
      <c r="I142" s="71">
        <f>I17+I42+I67+I92+I117</f>
        <v/>
      </c>
      <c r="J142" s="71">
        <f>J17+J42+J67+J92+J117</f>
        <v/>
      </c>
      <c r="K142" s="71">
        <f>K17+K42+K67+K92+K117</f>
        <v/>
      </c>
      <c r="L142" s="71">
        <f>L17+L42+L67+L92+L117</f>
        <v/>
      </c>
      <c r="M142" s="71">
        <f>M17+M42+M67+M92+M117</f>
        <v/>
      </c>
      <c r="N142" s="71">
        <f>N17+N42+N67+N92+N117</f>
        <v/>
      </c>
      <c r="O142" s="71">
        <f>O17+O42+O67+O92+O117</f>
        <v/>
      </c>
      <c r="P142" s="71">
        <f>P17+P42+P67+P92+P117</f>
        <v/>
      </c>
      <c r="Q142" s="71">
        <f>Q17+Q42+Q67+Q92+Q117</f>
        <v/>
      </c>
      <c r="R142" s="71">
        <f>R17+R42+R67+R92+R117</f>
        <v/>
      </c>
      <c r="S142" s="71">
        <f>S17+S42+S67+S92+S117</f>
        <v/>
      </c>
      <c r="T142" s="71">
        <f>T17+T42+T67+T92+T117</f>
        <v/>
      </c>
      <c r="U142" s="71">
        <f>U17+U42+U67+U92+U117</f>
        <v/>
      </c>
      <c r="V142" s="71">
        <f>V17+V42+V67+V92+V117</f>
        <v/>
      </c>
      <c r="W142" s="71">
        <f>W17+W42+W67+W92+W117</f>
        <v/>
      </c>
      <c r="X142" s="71">
        <f>X17+X42+X67+X92+X117</f>
        <v/>
      </c>
      <c r="Y142" s="71">
        <f>Y17+Y42+Y67+Y92+Y117</f>
        <v/>
      </c>
      <c r="Z142" s="71">
        <f>Z17+Z42+Z67+Z92+Z117</f>
        <v/>
      </c>
      <c r="AA142" s="71">
        <f>AA17+AA42+AA67+AA92+AA117</f>
        <v/>
      </c>
      <c r="AB142" s="71">
        <f>AB17+AB42+AB67+AB92+AB117</f>
        <v/>
      </c>
      <c r="AC142" s="71">
        <f>AC17+AC42+AC67+AC92+AC117</f>
        <v/>
      </c>
      <c r="AD142" s="71">
        <f>AD17+AD42+AD67+AD92+AD117</f>
        <v/>
      </c>
      <c r="AE142" s="71">
        <f>AE17+AE42+AE67+AE92+AE117</f>
        <v/>
      </c>
      <c r="AF142" s="71">
        <f>AF17+AF42+AF67+AF92+AF117</f>
        <v/>
      </c>
      <c r="AG142" s="71">
        <f>AG17+AG42+AG67+AG92+AG117</f>
        <v/>
      </c>
      <c r="AH142" s="71">
        <f>AH17+AH42+AH67+AH92+AH117</f>
        <v/>
      </c>
      <c r="AI142" s="71">
        <f>AI17+AI42+AI67+AI92+AI117</f>
        <v/>
      </c>
      <c r="AJ142" s="71">
        <f>AJ17+AJ42+AJ67+AJ92+AJ117</f>
        <v/>
      </c>
      <c r="AK142" s="71">
        <f>AK17+AK42+AK67+AK92+AK117</f>
        <v/>
      </c>
      <c r="AL142" s="71">
        <f>AL17+AL42+AL67+AL92+AL117</f>
        <v/>
      </c>
      <c r="AM142" s="71">
        <f>AM17+AM42+AM67+AM92+AM117</f>
        <v/>
      </c>
      <c r="AN142" s="71">
        <f>AN17+AN42+AN67+AN92+AN117</f>
        <v/>
      </c>
      <c r="AO142" s="71">
        <f>AO17+AO42+AO67+AO92+AO117</f>
        <v/>
      </c>
      <c r="AP142" s="71">
        <f>AP17+AP42+AP67+AP92+AP117</f>
        <v/>
      </c>
      <c r="AQ142" s="71">
        <f>AQ17+AQ42+AQ67+AQ92+AQ117</f>
        <v/>
      </c>
      <c r="AR142" s="71">
        <f>AR17+AR42+AR67+AR92+AR117</f>
        <v/>
      </c>
      <c r="AS142" s="71">
        <f>AS17+AS42+AS67+AS92+AS117</f>
        <v/>
      </c>
      <c r="AT142" s="71">
        <f>AT17+AT42+AT67+AT92+AT117</f>
        <v/>
      </c>
      <c r="AU142" s="71">
        <f>AU17+AU42+AU67+AU92+AU117</f>
        <v/>
      </c>
      <c r="AV142" s="71">
        <f>AV17+AV42+AV67+AV92+AV117</f>
        <v/>
      </c>
      <c r="AW142" s="71">
        <f>AW17+AW42+AW67+AW92+AW117</f>
        <v/>
      </c>
      <c r="AX142" s="71">
        <f>AX17+AX42+AX67+AX92+AX117</f>
        <v/>
      </c>
      <c r="AY142" s="71">
        <f>AY17+AY42+AY67+AY92+AY117</f>
        <v/>
      </c>
      <c r="AZ142" s="71">
        <f>AZ17+AZ42+AZ67+AZ92+AZ117</f>
        <v/>
      </c>
      <c r="BA142" s="71">
        <f>BA17+BA42+BA67+BA92+BA117</f>
        <v/>
      </c>
      <c r="BB142" s="71">
        <f>BB17+BB42+BB67+BB92+BB117</f>
        <v/>
      </c>
      <c r="BC142" s="71">
        <f>BC17+BC42+BC67+BC92+BC117</f>
        <v/>
      </c>
      <c r="BD142" s="71">
        <f>BD17+BD42+BD67+BD92+BD117</f>
        <v/>
      </c>
      <c r="BE142" s="71">
        <f>BE17+BE42+BE67+BE92+BE117</f>
        <v/>
      </c>
      <c r="BF142" s="71">
        <f>BF17+BF42+BF67+BF92+BF117</f>
        <v/>
      </c>
      <c r="BG142" s="71">
        <f>BG17+BG42+BG67+BG92+BG117</f>
        <v/>
      </c>
      <c r="BH142" s="71">
        <f>BH17+BH42+BH67+BH92+BH117</f>
        <v/>
      </c>
      <c r="BI142" s="71">
        <f>BI17+BI42+BI67+BI92+BI117</f>
        <v/>
      </c>
      <c r="BJ142" s="71">
        <f>BJ17+BJ42+BJ67+BJ92+BJ117</f>
        <v/>
      </c>
      <c r="BK142" s="71">
        <f>BK17+BK42+BK67+BK92+BK117</f>
        <v/>
      </c>
      <c r="BL142" s="71">
        <f>BL17+BL42+BL67+BL92+BL117</f>
        <v/>
      </c>
    </row>
    <row r="143">
      <c r="A143" s="60" t="inlineStr">
        <is>
          <t>Expected credit loss charged at origination</t>
        </is>
      </c>
      <c r="B143" s="61" t="inlineStr">
        <is>
          <t>LCY</t>
        </is>
      </c>
      <c r="C143" s="70">
        <f>SUM(E143:BL143)</f>
        <v/>
      </c>
      <c r="D143" s="63" t="n"/>
      <c r="E143" s="71">
        <f>E18+E43+E68+E93+E118</f>
        <v/>
      </c>
      <c r="F143" s="71">
        <f>F18+F43+F68+F93+F118</f>
        <v/>
      </c>
      <c r="G143" s="71">
        <f>G18+G43+G68+G93+G118</f>
        <v/>
      </c>
      <c r="H143" s="71">
        <f>H18+H43+H68+H93+H118</f>
        <v/>
      </c>
      <c r="I143" s="71">
        <f>I18+I43+I68+I93+I118</f>
        <v/>
      </c>
      <c r="J143" s="71">
        <f>J18+J43+J68+J93+J118</f>
        <v/>
      </c>
      <c r="K143" s="71">
        <f>K18+K43+K68+K93+K118</f>
        <v/>
      </c>
      <c r="L143" s="71">
        <f>L18+L43+L68+L93+L118</f>
        <v/>
      </c>
      <c r="M143" s="71">
        <f>M18+M43+M68+M93+M118</f>
        <v/>
      </c>
      <c r="N143" s="71">
        <f>N18+N43+N68+N93+N118</f>
        <v/>
      </c>
      <c r="O143" s="71">
        <f>O18+O43+O68+O93+O118</f>
        <v/>
      </c>
      <c r="P143" s="71">
        <f>P18+P43+P68+P93+P118</f>
        <v/>
      </c>
      <c r="Q143" s="71">
        <f>Q18+Q43+Q68+Q93+Q118</f>
        <v/>
      </c>
      <c r="R143" s="71">
        <f>R18+R43+R68+R93+R118</f>
        <v/>
      </c>
      <c r="S143" s="71">
        <f>S18+S43+S68+S93+S118</f>
        <v/>
      </c>
      <c r="T143" s="71">
        <f>T18+T43+T68+T93+T118</f>
        <v/>
      </c>
      <c r="U143" s="71">
        <f>U18+U43+U68+U93+U118</f>
        <v/>
      </c>
      <c r="V143" s="71">
        <f>V18+V43+V68+V93+V118</f>
        <v/>
      </c>
      <c r="W143" s="71">
        <f>W18+W43+W68+W93+W118</f>
        <v/>
      </c>
      <c r="X143" s="71">
        <f>X18+X43+X68+X93+X118</f>
        <v/>
      </c>
      <c r="Y143" s="71">
        <f>Y18+Y43+Y68+Y93+Y118</f>
        <v/>
      </c>
      <c r="Z143" s="71">
        <f>Z18+Z43+Z68+Z93+Z118</f>
        <v/>
      </c>
      <c r="AA143" s="71">
        <f>AA18+AA43+AA68+AA93+AA118</f>
        <v/>
      </c>
      <c r="AB143" s="71">
        <f>AB18+AB43+AB68+AB93+AB118</f>
        <v/>
      </c>
      <c r="AC143" s="71">
        <f>AC18+AC43+AC68+AC93+AC118</f>
        <v/>
      </c>
      <c r="AD143" s="71">
        <f>AD18+AD43+AD68+AD93+AD118</f>
        <v/>
      </c>
      <c r="AE143" s="71">
        <f>AE18+AE43+AE68+AE93+AE118</f>
        <v/>
      </c>
      <c r="AF143" s="71">
        <f>AF18+AF43+AF68+AF93+AF118</f>
        <v/>
      </c>
      <c r="AG143" s="71">
        <f>AG18+AG43+AG68+AG93+AG118</f>
        <v/>
      </c>
      <c r="AH143" s="71">
        <f>AH18+AH43+AH68+AH93+AH118</f>
        <v/>
      </c>
      <c r="AI143" s="71">
        <f>AI18+AI43+AI68+AI93+AI118</f>
        <v/>
      </c>
      <c r="AJ143" s="71">
        <f>AJ18+AJ43+AJ68+AJ93+AJ118</f>
        <v/>
      </c>
      <c r="AK143" s="71">
        <f>AK18+AK43+AK68+AK93+AK118</f>
        <v/>
      </c>
      <c r="AL143" s="71">
        <f>AL18+AL43+AL68+AL93+AL118</f>
        <v/>
      </c>
      <c r="AM143" s="71">
        <f>AM18+AM43+AM68+AM93+AM118</f>
        <v/>
      </c>
      <c r="AN143" s="71">
        <f>AN18+AN43+AN68+AN93+AN118</f>
        <v/>
      </c>
      <c r="AO143" s="71">
        <f>AO18+AO43+AO68+AO93+AO118</f>
        <v/>
      </c>
      <c r="AP143" s="71">
        <f>AP18+AP43+AP68+AP93+AP118</f>
        <v/>
      </c>
      <c r="AQ143" s="71">
        <f>AQ18+AQ43+AQ68+AQ93+AQ118</f>
        <v/>
      </c>
      <c r="AR143" s="71">
        <f>AR18+AR43+AR68+AR93+AR118</f>
        <v/>
      </c>
      <c r="AS143" s="71">
        <f>AS18+AS43+AS68+AS93+AS118</f>
        <v/>
      </c>
      <c r="AT143" s="71">
        <f>AT18+AT43+AT68+AT93+AT118</f>
        <v/>
      </c>
      <c r="AU143" s="71">
        <f>AU18+AU43+AU68+AU93+AU118</f>
        <v/>
      </c>
      <c r="AV143" s="71">
        <f>AV18+AV43+AV68+AV93+AV118</f>
        <v/>
      </c>
      <c r="AW143" s="71">
        <f>AW18+AW43+AW68+AW93+AW118</f>
        <v/>
      </c>
      <c r="AX143" s="71">
        <f>AX18+AX43+AX68+AX93+AX118</f>
        <v/>
      </c>
      <c r="AY143" s="71">
        <f>AY18+AY43+AY68+AY93+AY118</f>
        <v/>
      </c>
      <c r="AZ143" s="71">
        <f>AZ18+AZ43+AZ68+AZ93+AZ118</f>
        <v/>
      </c>
      <c r="BA143" s="71">
        <f>BA18+BA43+BA68+BA93+BA118</f>
        <v/>
      </c>
      <c r="BB143" s="71">
        <f>BB18+BB43+BB68+BB93+BB118</f>
        <v/>
      </c>
      <c r="BC143" s="71">
        <f>BC18+BC43+BC68+BC93+BC118</f>
        <v/>
      </c>
      <c r="BD143" s="71">
        <f>BD18+BD43+BD68+BD93+BD118</f>
        <v/>
      </c>
      <c r="BE143" s="71">
        <f>BE18+BE43+BE68+BE93+BE118</f>
        <v/>
      </c>
      <c r="BF143" s="71">
        <f>BF18+BF43+BF68+BF93+BF118</f>
        <v/>
      </c>
      <c r="BG143" s="71">
        <f>BG18+BG43+BG68+BG93+BG118</f>
        <v/>
      </c>
      <c r="BH143" s="71">
        <f>BH18+BH43+BH68+BH93+BH118</f>
        <v/>
      </c>
      <c r="BI143" s="71">
        <f>BI18+BI43+BI68+BI93+BI118</f>
        <v/>
      </c>
      <c r="BJ143" s="71">
        <f>BJ18+BJ43+BJ68+BJ93+BJ118</f>
        <v/>
      </c>
      <c r="BK143" s="71">
        <f>BK18+BK43+BK68+BK93+BK118</f>
        <v/>
      </c>
      <c r="BL143" s="71">
        <f>BL18+BL43+BL68+BL93+BL118</f>
        <v/>
      </c>
    </row>
    <row r="144">
      <c r="A144" s="60" t="inlineStr">
        <is>
          <t>Recoveries from resale of repossessed units</t>
        </is>
      </c>
      <c r="B144" s="61" t="inlineStr">
        <is>
          <t>LCY</t>
        </is>
      </c>
      <c r="C144" s="70">
        <f>SUM(E144:BL144)</f>
        <v/>
      </c>
      <c r="D144" s="63" t="n"/>
      <c r="E144" s="71">
        <f>E19+E44+E69+E94+E119</f>
        <v/>
      </c>
      <c r="F144" s="71">
        <f>F19+F44+F69+F94+F119</f>
        <v/>
      </c>
      <c r="G144" s="71">
        <f>G19+G44+G69+G94+G119</f>
        <v/>
      </c>
      <c r="H144" s="71">
        <f>H19+H44+H69+H94+H119</f>
        <v/>
      </c>
      <c r="I144" s="71">
        <f>I19+I44+I69+I94+I119</f>
        <v/>
      </c>
      <c r="J144" s="71">
        <f>J19+J44+J69+J94+J119</f>
        <v/>
      </c>
      <c r="K144" s="71">
        <f>K19+K44+K69+K94+K119</f>
        <v/>
      </c>
      <c r="L144" s="71">
        <f>L19+L44+L69+L94+L119</f>
        <v/>
      </c>
      <c r="M144" s="71">
        <f>M19+M44+M69+M94+M119</f>
        <v/>
      </c>
      <c r="N144" s="71">
        <f>N19+N44+N69+N94+N119</f>
        <v/>
      </c>
      <c r="O144" s="71">
        <f>O19+O44+O69+O94+O119</f>
        <v/>
      </c>
      <c r="P144" s="71">
        <f>P19+P44+P69+P94+P119</f>
        <v/>
      </c>
      <c r="Q144" s="71">
        <f>Q19+Q44+Q69+Q94+Q119</f>
        <v/>
      </c>
      <c r="R144" s="71">
        <f>R19+R44+R69+R94+R119</f>
        <v/>
      </c>
      <c r="S144" s="71">
        <f>S19+S44+S69+S94+S119</f>
        <v/>
      </c>
      <c r="T144" s="71">
        <f>T19+T44+T69+T94+T119</f>
        <v/>
      </c>
      <c r="U144" s="71">
        <f>U19+U44+U69+U94+U119</f>
        <v/>
      </c>
      <c r="V144" s="71">
        <f>V19+V44+V69+V94+V119</f>
        <v/>
      </c>
      <c r="W144" s="71">
        <f>W19+W44+W69+W94+W119</f>
        <v/>
      </c>
      <c r="X144" s="71">
        <f>X19+X44+X69+X94+X119</f>
        <v/>
      </c>
      <c r="Y144" s="71">
        <f>Y19+Y44+Y69+Y94+Y119</f>
        <v/>
      </c>
      <c r="Z144" s="71">
        <f>Z19+Z44+Z69+Z94+Z119</f>
        <v/>
      </c>
      <c r="AA144" s="71">
        <f>AA19+AA44+AA69+AA94+AA119</f>
        <v/>
      </c>
      <c r="AB144" s="71">
        <f>AB19+AB44+AB69+AB94+AB119</f>
        <v/>
      </c>
      <c r="AC144" s="71">
        <f>AC19+AC44+AC69+AC94+AC119</f>
        <v/>
      </c>
      <c r="AD144" s="71">
        <f>AD19+AD44+AD69+AD94+AD119</f>
        <v/>
      </c>
      <c r="AE144" s="71">
        <f>AE19+AE44+AE69+AE94+AE119</f>
        <v/>
      </c>
      <c r="AF144" s="71">
        <f>AF19+AF44+AF69+AF94+AF119</f>
        <v/>
      </c>
      <c r="AG144" s="71">
        <f>AG19+AG44+AG69+AG94+AG119</f>
        <v/>
      </c>
      <c r="AH144" s="71">
        <f>AH19+AH44+AH69+AH94+AH119</f>
        <v/>
      </c>
      <c r="AI144" s="71">
        <f>AI19+AI44+AI69+AI94+AI119</f>
        <v/>
      </c>
      <c r="AJ144" s="71">
        <f>AJ19+AJ44+AJ69+AJ94+AJ119</f>
        <v/>
      </c>
      <c r="AK144" s="71">
        <f>AK19+AK44+AK69+AK94+AK119</f>
        <v/>
      </c>
      <c r="AL144" s="71">
        <f>AL19+AL44+AL69+AL94+AL119</f>
        <v/>
      </c>
      <c r="AM144" s="71">
        <f>AM19+AM44+AM69+AM94+AM119</f>
        <v/>
      </c>
      <c r="AN144" s="71">
        <f>AN19+AN44+AN69+AN94+AN119</f>
        <v/>
      </c>
      <c r="AO144" s="71">
        <f>AO19+AO44+AO69+AO94+AO119</f>
        <v/>
      </c>
      <c r="AP144" s="71">
        <f>AP19+AP44+AP69+AP94+AP119</f>
        <v/>
      </c>
      <c r="AQ144" s="71">
        <f>AQ19+AQ44+AQ69+AQ94+AQ119</f>
        <v/>
      </c>
      <c r="AR144" s="71">
        <f>AR19+AR44+AR69+AR94+AR119</f>
        <v/>
      </c>
      <c r="AS144" s="71">
        <f>AS19+AS44+AS69+AS94+AS119</f>
        <v/>
      </c>
      <c r="AT144" s="71">
        <f>AT19+AT44+AT69+AT94+AT119</f>
        <v/>
      </c>
      <c r="AU144" s="71">
        <f>AU19+AU44+AU69+AU94+AU119</f>
        <v/>
      </c>
      <c r="AV144" s="71">
        <f>AV19+AV44+AV69+AV94+AV119</f>
        <v/>
      </c>
      <c r="AW144" s="71">
        <f>AW19+AW44+AW69+AW94+AW119</f>
        <v/>
      </c>
      <c r="AX144" s="71">
        <f>AX19+AX44+AX69+AX94+AX119</f>
        <v/>
      </c>
      <c r="AY144" s="71">
        <f>AY19+AY44+AY69+AY94+AY119</f>
        <v/>
      </c>
      <c r="AZ144" s="71">
        <f>AZ19+AZ44+AZ69+AZ94+AZ119</f>
        <v/>
      </c>
      <c r="BA144" s="71">
        <f>BA19+BA44+BA69+BA94+BA119</f>
        <v/>
      </c>
      <c r="BB144" s="71">
        <f>BB19+BB44+BB69+BB94+BB119</f>
        <v/>
      </c>
      <c r="BC144" s="71">
        <f>BC19+BC44+BC69+BC94+BC119</f>
        <v/>
      </c>
      <c r="BD144" s="71">
        <f>BD19+BD44+BD69+BD94+BD119</f>
        <v/>
      </c>
      <c r="BE144" s="71">
        <f>BE19+BE44+BE69+BE94+BE119</f>
        <v/>
      </c>
      <c r="BF144" s="71">
        <f>BF19+BF44+BF69+BF94+BF119</f>
        <v/>
      </c>
      <c r="BG144" s="71">
        <f>BG19+BG44+BG69+BG94+BG119</f>
        <v/>
      </c>
      <c r="BH144" s="71">
        <f>BH19+BH44+BH69+BH94+BH119</f>
        <v/>
      </c>
      <c r="BI144" s="71">
        <f>BI19+BI44+BI69+BI94+BI119</f>
        <v/>
      </c>
      <c r="BJ144" s="71">
        <f>BJ19+BJ44+BJ69+BJ94+BJ119</f>
        <v/>
      </c>
      <c r="BK144" s="71">
        <f>BK19+BK44+BK69+BK94+BK119</f>
        <v/>
      </c>
      <c r="BL144" s="71">
        <f>BL19+BL44+BL69+BL94+BL119</f>
        <v/>
      </c>
    </row>
    <row r="145">
      <c r="A145" s="60" t="inlineStr">
        <is>
          <t>RBF received</t>
        </is>
      </c>
      <c r="B145" s="61" t="inlineStr">
        <is>
          <t>LCY</t>
        </is>
      </c>
      <c r="C145" s="70">
        <f>SUM(E145:BL145)</f>
        <v/>
      </c>
      <c r="D145" s="63" t="n"/>
      <c r="E145" s="71">
        <f>E20+E45+E70+E95+E120</f>
        <v/>
      </c>
      <c r="F145" s="71">
        <f>F20+F45+F70+F95+F120</f>
        <v/>
      </c>
      <c r="G145" s="71">
        <f>G20+G45+G70+G95+G120</f>
        <v/>
      </c>
      <c r="H145" s="71">
        <f>H20+H45+H70+H95+H120</f>
        <v/>
      </c>
      <c r="I145" s="71">
        <f>I20+I45+I70+I95+I120</f>
        <v/>
      </c>
      <c r="J145" s="71">
        <f>J20+J45+J70+J95+J120</f>
        <v/>
      </c>
      <c r="K145" s="71">
        <f>K20+K45+K70+K95+K120</f>
        <v/>
      </c>
      <c r="L145" s="71">
        <f>L20+L45+L70+L95+L120</f>
        <v/>
      </c>
      <c r="M145" s="71">
        <f>M20+M45+M70+M95+M120</f>
        <v/>
      </c>
      <c r="N145" s="71">
        <f>N20+N45+N70+N95+N120</f>
        <v/>
      </c>
      <c r="O145" s="71">
        <f>O20+O45+O70+O95+O120</f>
        <v/>
      </c>
      <c r="P145" s="71">
        <f>P20+P45+P70+P95+P120</f>
        <v/>
      </c>
      <c r="Q145" s="71">
        <f>Q20+Q45+Q70+Q95+Q120</f>
        <v/>
      </c>
      <c r="R145" s="71">
        <f>R20+R45+R70+R95+R120</f>
        <v/>
      </c>
      <c r="S145" s="71">
        <f>S20+S45+S70+S95+S120</f>
        <v/>
      </c>
      <c r="T145" s="71">
        <f>T20+T45+T70+T95+T120</f>
        <v/>
      </c>
      <c r="U145" s="71">
        <f>U20+U45+U70+U95+U120</f>
        <v/>
      </c>
      <c r="V145" s="71">
        <f>V20+V45+V70+V95+V120</f>
        <v/>
      </c>
      <c r="W145" s="71">
        <f>W20+W45+W70+W95+W120</f>
        <v/>
      </c>
      <c r="X145" s="71">
        <f>X20+X45+X70+X95+X120</f>
        <v/>
      </c>
      <c r="Y145" s="71">
        <f>Y20+Y45+Y70+Y95+Y120</f>
        <v/>
      </c>
      <c r="Z145" s="71">
        <f>Z20+Z45+Z70+Z95+Z120</f>
        <v/>
      </c>
      <c r="AA145" s="71">
        <f>AA20+AA45+AA70+AA95+AA120</f>
        <v/>
      </c>
      <c r="AB145" s="71">
        <f>AB20+AB45+AB70+AB95+AB120</f>
        <v/>
      </c>
      <c r="AC145" s="71">
        <f>AC20+AC45+AC70+AC95+AC120</f>
        <v/>
      </c>
      <c r="AD145" s="71">
        <f>AD20+AD45+AD70+AD95+AD120</f>
        <v/>
      </c>
      <c r="AE145" s="71">
        <f>AE20+AE45+AE70+AE95+AE120</f>
        <v/>
      </c>
      <c r="AF145" s="71">
        <f>AF20+AF45+AF70+AF95+AF120</f>
        <v/>
      </c>
      <c r="AG145" s="71">
        <f>AG20+AG45+AG70+AG95+AG120</f>
        <v/>
      </c>
      <c r="AH145" s="71">
        <f>AH20+AH45+AH70+AH95+AH120</f>
        <v/>
      </c>
      <c r="AI145" s="71">
        <f>AI20+AI45+AI70+AI95+AI120</f>
        <v/>
      </c>
      <c r="AJ145" s="71">
        <f>AJ20+AJ45+AJ70+AJ95+AJ120</f>
        <v/>
      </c>
      <c r="AK145" s="71">
        <f>AK20+AK45+AK70+AK95+AK120</f>
        <v/>
      </c>
      <c r="AL145" s="71">
        <f>AL20+AL45+AL70+AL95+AL120</f>
        <v/>
      </c>
      <c r="AM145" s="71">
        <f>AM20+AM45+AM70+AM95+AM120</f>
        <v/>
      </c>
      <c r="AN145" s="71">
        <f>AN20+AN45+AN70+AN95+AN120</f>
        <v/>
      </c>
      <c r="AO145" s="71">
        <f>AO20+AO45+AO70+AO95+AO120</f>
        <v/>
      </c>
      <c r="AP145" s="71">
        <f>AP20+AP45+AP70+AP95+AP120</f>
        <v/>
      </c>
      <c r="AQ145" s="71">
        <f>AQ20+AQ45+AQ70+AQ95+AQ120</f>
        <v/>
      </c>
      <c r="AR145" s="71">
        <f>AR20+AR45+AR70+AR95+AR120</f>
        <v/>
      </c>
      <c r="AS145" s="71">
        <f>AS20+AS45+AS70+AS95+AS120</f>
        <v/>
      </c>
      <c r="AT145" s="71">
        <f>AT20+AT45+AT70+AT95+AT120</f>
        <v/>
      </c>
      <c r="AU145" s="71">
        <f>AU20+AU45+AU70+AU95+AU120</f>
        <v/>
      </c>
      <c r="AV145" s="71">
        <f>AV20+AV45+AV70+AV95+AV120</f>
        <v/>
      </c>
      <c r="AW145" s="71">
        <f>AW20+AW45+AW70+AW95+AW120</f>
        <v/>
      </c>
      <c r="AX145" s="71">
        <f>AX20+AX45+AX70+AX95+AX120</f>
        <v/>
      </c>
      <c r="AY145" s="71">
        <f>AY20+AY45+AY70+AY95+AY120</f>
        <v/>
      </c>
      <c r="AZ145" s="71">
        <f>AZ20+AZ45+AZ70+AZ95+AZ120</f>
        <v/>
      </c>
      <c r="BA145" s="71">
        <f>BA20+BA45+BA70+BA95+BA120</f>
        <v/>
      </c>
      <c r="BB145" s="71">
        <f>BB20+BB45+BB70+BB95+BB120</f>
        <v/>
      </c>
      <c r="BC145" s="71">
        <f>BC20+BC45+BC70+BC95+BC120</f>
        <v/>
      </c>
      <c r="BD145" s="71">
        <f>BD20+BD45+BD70+BD95+BD120</f>
        <v/>
      </c>
      <c r="BE145" s="71">
        <f>BE20+BE45+BE70+BE95+BE120</f>
        <v/>
      </c>
      <c r="BF145" s="71">
        <f>BF20+BF45+BF70+BF95+BF120</f>
        <v/>
      </c>
      <c r="BG145" s="71">
        <f>BG20+BG45+BG70+BG95+BG120</f>
        <v/>
      </c>
      <c r="BH145" s="71">
        <f>BH20+BH45+BH70+BH95+BH120</f>
        <v/>
      </c>
      <c r="BI145" s="71">
        <f>BI20+BI45+BI70+BI95+BI120</f>
        <v/>
      </c>
      <c r="BJ145" s="71">
        <f>BJ20+BJ45+BJ70+BJ95+BJ120</f>
        <v/>
      </c>
      <c r="BK145" s="71">
        <f>BK20+BK45+BK70+BK95+BK120</f>
        <v/>
      </c>
      <c r="BL145" s="71">
        <f>BL20+BL45+BL70+BL95+BL120</f>
        <v/>
      </c>
    </row>
    <row r="146">
      <c r="A146" s="60" t="inlineStr">
        <is>
          <t>Active (paying, in-tenor) accounts</t>
        </is>
      </c>
      <c r="B146" s="61" t="inlineStr">
        <is>
          <t>accounts</t>
        </is>
      </c>
      <c r="C146" s="70">
        <f>BL146</f>
        <v/>
      </c>
      <c r="D146" s="63" t="n"/>
      <c r="E146" s="71">
        <f>E21+E46+E71+E96+E121</f>
        <v/>
      </c>
      <c r="F146" s="71">
        <f>F21+F46+F71+F96+F121</f>
        <v/>
      </c>
      <c r="G146" s="71">
        <f>G21+G46+G71+G96+G121</f>
        <v/>
      </c>
      <c r="H146" s="71">
        <f>H21+H46+H71+H96+H121</f>
        <v/>
      </c>
      <c r="I146" s="71">
        <f>I21+I46+I71+I96+I121</f>
        <v/>
      </c>
      <c r="J146" s="71">
        <f>J21+J46+J71+J96+J121</f>
        <v/>
      </c>
      <c r="K146" s="71">
        <f>K21+K46+K71+K96+K121</f>
        <v/>
      </c>
      <c r="L146" s="71">
        <f>L21+L46+L71+L96+L121</f>
        <v/>
      </c>
      <c r="M146" s="71">
        <f>M21+M46+M71+M96+M121</f>
        <v/>
      </c>
      <c r="N146" s="71">
        <f>N21+N46+N71+N96+N121</f>
        <v/>
      </c>
      <c r="O146" s="71">
        <f>O21+O46+O71+O96+O121</f>
        <v/>
      </c>
      <c r="P146" s="71">
        <f>P21+P46+P71+P96+P121</f>
        <v/>
      </c>
      <c r="Q146" s="71">
        <f>Q21+Q46+Q71+Q96+Q121</f>
        <v/>
      </c>
      <c r="R146" s="71">
        <f>R21+R46+R71+R96+R121</f>
        <v/>
      </c>
      <c r="S146" s="71">
        <f>S21+S46+S71+S96+S121</f>
        <v/>
      </c>
      <c r="T146" s="71">
        <f>T21+T46+T71+T96+T121</f>
        <v/>
      </c>
      <c r="U146" s="71">
        <f>U21+U46+U71+U96+U121</f>
        <v/>
      </c>
      <c r="V146" s="71">
        <f>V21+V46+V71+V96+V121</f>
        <v/>
      </c>
      <c r="W146" s="71">
        <f>W21+W46+W71+W96+W121</f>
        <v/>
      </c>
      <c r="X146" s="71">
        <f>X21+X46+X71+X96+X121</f>
        <v/>
      </c>
      <c r="Y146" s="71">
        <f>Y21+Y46+Y71+Y96+Y121</f>
        <v/>
      </c>
      <c r="Z146" s="71">
        <f>Z21+Z46+Z71+Z96+Z121</f>
        <v/>
      </c>
      <c r="AA146" s="71">
        <f>AA21+AA46+AA71+AA96+AA121</f>
        <v/>
      </c>
      <c r="AB146" s="71">
        <f>AB21+AB46+AB71+AB96+AB121</f>
        <v/>
      </c>
      <c r="AC146" s="71">
        <f>AC21+AC46+AC71+AC96+AC121</f>
        <v/>
      </c>
      <c r="AD146" s="71">
        <f>AD21+AD46+AD71+AD96+AD121</f>
        <v/>
      </c>
      <c r="AE146" s="71">
        <f>AE21+AE46+AE71+AE96+AE121</f>
        <v/>
      </c>
      <c r="AF146" s="71">
        <f>AF21+AF46+AF71+AF96+AF121</f>
        <v/>
      </c>
      <c r="AG146" s="71">
        <f>AG21+AG46+AG71+AG96+AG121</f>
        <v/>
      </c>
      <c r="AH146" s="71">
        <f>AH21+AH46+AH71+AH96+AH121</f>
        <v/>
      </c>
      <c r="AI146" s="71">
        <f>AI21+AI46+AI71+AI96+AI121</f>
        <v/>
      </c>
      <c r="AJ146" s="71">
        <f>AJ21+AJ46+AJ71+AJ96+AJ121</f>
        <v/>
      </c>
      <c r="AK146" s="71">
        <f>AK21+AK46+AK71+AK96+AK121</f>
        <v/>
      </c>
      <c r="AL146" s="71">
        <f>AL21+AL46+AL71+AL96+AL121</f>
        <v/>
      </c>
      <c r="AM146" s="71">
        <f>AM21+AM46+AM71+AM96+AM121</f>
        <v/>
      </c>
      <c r="AN146" s="71">
        <f>AN21+AN46+AN71+AN96+AN121</f>
        <v/>
      </c>
      <c r="AO146" s="71">
        <f>AO21+AO46+AO71+AO96+AO121</f>
        <v/>
      </c>
      <c r="AP146" s="71">
        <f>AP21+AP46+AP71+AP96+AP121</f>
        <v/>
      </c>
      <c r="AQ146" s="71">
        <f>AQ21+AQ46+AQ71+AQ96+AQ121</f>
        <v/>
      </c>
      <c r="AR146" s="71">
        <f>AR21+AR46+AR71+AR96+AR121</f>
        <v/>
      </c>
      <c r="AS146" s="71">
        <f>AS21+AS46+AS71+AS96+AS121</f>
        <v/>
      </c>
      <c r="AT146" s="71">
        <f>AT21+AT46+AT71+AT96+AT121</f>
        <v/>
      </c>
      <c r="AU146" s="71">
        <f>AU21+AU46+AU71+AU96+AU121</f>
        <v/>
      </c>
      <c r="AV146" s="71">
        <f>AV21+AV46+AV71+AV96+AV121</f>
        <v/>
      </c>
      <c r="AW146" s="71">
        <f>AW21+AW46+AW71+AW96+AW121</f>
        <v/>
      </c>
      <c r="AX146" s="71">
        <f>AX21+AX46+AX71+AX96+AX121</f>
        <v/>
      </c>
      <c r="AY146" s="71">
        <f>AY21+AY46+AY71+AY96+AY121</f>
        <v/>
      </c>
      <c r="AZ146" s="71">
        <f>AZ21+AZ46+AZ71+AZ96+AZ121</f>
        <v/>
      </c>
      <c r="BA146" s="71">
        <f>BA21+BA46+BA71+BA96+BA121</f>
        <v/>
      </c>
      <c r="BB146" s="71">
        <f>BB21+BB46+BB71+BB96+BB121</f>
        <v/>
      </c>
      <c r="BC146" s="71">
        <f>BC21+BC46+BC71+BC96+BC121</f>
        <v/>
      </c>
      <c r="BD146" s="71">
        <f>BD21+BD46+BD71+BD96+BD121</f>
        <v/>
      </c>
      <c r="BE146" s="71">
        <f>BE21+BE46+BE71+BE96+BE121</f>
        <v/>
      </c>
      <c r="BF146" s="71">
        <f>BF21+BF46+BF71+BF96+BF121</f>
        <v/>
      </c>
      <c r="BG146" s="71">
        <f>BG21+BG46+BG71+BG96+BG121</f>
        <v/>
      </c>
      <c r="BH146" s="71">
        <f>BH21+BH46+BH71+BH96+BH121</f>
        <v/>
      </c>
      <c r="BI146" s="71">
        <f>BI21+BI46+BI71+BI96+BI121</f>
        <v/>
      </c>
      <c r="BJ146" s="71">
        <f>BJ21+BJ46+BJ71+BJ96+BJ121</f>
        <v/>
      </c>
      <c r="BK146" s="71">
        <f>BK21+BK46+BK71+BK96+BK121</f>
        <v/>
      </c>
      <c r="BL146" s="71">
        <f>BL21+BL46+BL71+BL96+BL121</f>
        <v/>
      </c>
    </row>
    <row r="147">
      <c r="A147" s="60" t="inlineStr">
        <is>
          <t>Accounts reaching end of tenor (unlocked)</t>
        </is>
      </c>
      <c r="B147" s="61" t="inlineStr">
        <is>
          <t>accounts</t>
        </is>
      </c>
      <c r="C147" s="70">
        <f>SUM(E147:BL147)</f>
        <v/>
      </c>
      <c r="D147" s="63" t="n"/>
      <c r="E147" s="71">
        <f>E22+E47+E72+E97+E122</f>
        <v/>
      </c>
      <c r="F147" s="71">
        <f>F22+F47+F72+F97+F122</f>
        <v/>
      </c>
      <c r="G147" s="71">
        <f>G22+G47+G72+G97+G122</f>
        <v/>
      </c>
      <c r="H147" s="71">
        <f>H22+H47+H72+H97+H122</f>
        <v/>
      </c>
      <c r="I147" s="71">
        <f>I22+I47+I72+I97+I122</f>
        <v/>
      </c>
      <c r="J147" s="71">
        <f>J22+J47+J72+J97+J122</f>
        <v/>
      </c>
      <c r="K147" s="71">
        <f>K22+K47+K72+K97+K122</f>
        <v/>
      </c>
      <c r="L147" s="71">
        <f>L22+L47+L72+L97+L122</f>
        <v/>
      </c>
      <c r="M147" s="71">
        <f>M22+M47+M72+M97+M122</f>
        <v/>
      </c>
      <c r="N147" s="71">
        <f>N22+N47+N72+N97+N122</f>
        <v/>
      </c>
      <c r="O147" s="71">
        <f>O22+O47+O72+O97+O122</f>
        <v/>
      </c>
      <c r="P147" s="71">
        <f>P22+P47+P72+P97+P122</f>
        <v/>
      </c>
      <c r="Q147" s="71">
        <f>Q22+Q47+Q72+Q97+Q122</f>
        <v/>
      </c>
      <c r="R147" s="71">
        <f>R22+R47+R72+R97+R122</f>
        <v/>
      </c>
      <c r="S147" s="71">
        <f>S22+S47+S72+S97+S122</f>
        <v/>
      </c>
      <c r="T147" s="71">
        <f>T22+T47+T72+T97+T122</f>
        <v/>
      </c>
      <c r="U147" s="71">
        <f>U22+U47+U72+U97+U122</f>
        <v/>
      </c>
      <c r="V147" s="71">
        <f>V22+V47+V72+V97+V122</f>
        <v/>
      </c>
      <c r="W147" s="71">
        <f>W22+W47+W72+W97+W122</f>
        <v/>
      </c>
      <c r="X147" s="71">
        <f>X22+X47+X72+X97+X122</f>
        <v/>
      </c>
      <c r="Y147" s="71">
        <f>Y22+Y47+Y72+Y97+Y122</f>
        <v/>
      </c>
      <c r="Z147" s="71">
        <f>Z22+Z47+Z72+Z97+Z122</f>
        <v/>
      </c>
      <c r="AA147" s="71">
        <f>AA22+AA47+AA72+AA97+AA122</f>
        <v/>
      </c>
      <c r="AB147" s="71">
        <f>AB22+AB47+AB72+AB97+AB122</f>
        <v/>
      </c>
      <c r="AC147" s="71">
        <f>AC22+AC47+AC72+AC97+AC122</f>
        <v/>
      </c>
      <c r="AD147" s="71">
        <f>AD22+AD47+AD72+AD97+AD122</f>
        <v/>
      </c>
      <c r="AE147" s="71">
        <f>AE22+AE47+AE72+AE97+AE122</f>
        <v/>
      </c>
      <c r="AF147" s="71">
        <f>AF22+AF47+AF72+AF97+AF122</f>
        <v/>
      </c>
      <c r="AG147" s="71">
        <f>AG22+AG47+AG72+AG97+AG122</f>
        <v/>
      </c>
      <c r="AH147" s="71">
        <f>AH22+AH47+AH72+AH97+AH122</f>
        <v/>
      </c>
      <c r="AI147" s="71">
        <f>AI22+AI47+AI72+AI97+AI122</f>
        <v/>
      </c>
      <c r="AJ147" s="71">
        <f>AJ22+AJ47+AJ72+AJ97+AJ122</f>
        <v/>
      </c>
      <c r="AK147" s="71">
        <f>AK22+AK47+AK72+AK97+AK122</f>
        <v/>
      </c>
      <c r="AL147" s="71">
        <f>AL22+AL47+AL72+AL97+AL122</f>
        <v/>
      </c>
      <c r="AM147" s="71">
        <f>AM22+AM47+AM72+AM97+AM122</f>
        <v/>
      </c>
      <c r="AN147" s="71">
        <f>AN22+AN47+AN72+AN97+AN122</f>
        <v/>
      </c>
      <c r="AO147" s="71">
        <f>AO22+AO47+AO72+AO97+AO122</f>
        <v/>
      </c>
      <c r="AP147" s="71">
        <f>AP22+AP47+AP72+AP97+AP122</f>
        <v/>
      </c>
      <c r="AQ147" s="71">
        <f>AQ22+AQ47+AQ72+AQ97+AQ122</f>
        <v/>
      </c>
      <c r="AR147" s="71">
        <f>AR22+AR47+AR72+AR97+AR122</f>
        <v/>
      </c>
      <c r="AS147" s="71">
        <f>AS22+AS47+AS72+AS97+AS122</f>
        <v/>
      </c>
      <c r="AT147" s="71">
        <f>AT22+AT47+AT72+AT97+AT122</f>
        <v/>
      </c>
      <c r="AU147" s="71">
        <f>AU22+AU47+AU72+AU97+AU122</f>
        <v/>
      </c>
      <c r="AV147" s="71">
        <f>AV22+AV47+AV72+AV97+AV122</f>
        <v/>
      </c>
      <c r="AW147" s="71">
        <f>AW22+AW47+AW72+AW97+AW122</f>
        <v/>
      </c>
      <c r="AX147" s="71">
        <f>AX22+AX47+AX72+AX97+AX122</f>
        <v/>
      </c>
      <c r="AY147" s="71">
        <f>AY22+AY47+AY72+AY97+AY122</f>
        <v/>
      </c>
      <c r="AZ147" s="71">
        <f>AZ22+AZ47+AZ72+AZ97+AZ122</f>
        <v/>
      </c>
      <c r="BA147" s="71">
        <f>BA22+BA47+BA72+BA97+BA122</f>
        <v/>
      </c>
      <c r="BB147" s="71">
        <f>BB22+BB47+BB72+BB97+BB122</f>
        <v/>
      </c>
      <c r="BC147" s="71">
        <f>BC22+BC47+BC72+BC97+BC122</f>
        <v/>
      </c>
      <c r="BD147" s="71">
        <f>BD22+BD47+BD72+BD97+BD122</f>
        <v/>
      </c>
      <c r="BE147" s="71">
        <f>BE22+BE47+BE72+BE97+BE122</f>
        <v/>
      </c>
      <c r="BF147" s="71">
        <f>BF22+BF47+BF72+BF97+BF122</f>
        <v/>
      </c>
      <c r="BG147" s="71">
        <f>BG22+BG47+BG72+BG97+BG122</f>
        <v/>
      </c>
      <c r="BH147" s="71">
        <f>BH22+BH47+BH72+BH97+BH122</f>
        <v/>
      </c>
      <c r="BI147" s="71">
        <f>BI22+BI47+BI72+BI97+BI122</f>
        <v/>
      </c>
      <c r="BJ147" s="71">
        <f>BJ22+BJ47+BJ72+BJ97+BJ122</f>
        <v/>
      </c>
      <c r="BK147" s="71">
        <f>BK22+BK47+BK72+BK97+BK122</f>
        <v/>
      </c>
      <c r="BL147" s="71">
        <f>BL22+BL47+BL72+BL97+BL122</f>
        <v/>
      </c>
    </row>
    <row r="148">
      <c r="A148" s="60" t="inlineStr">
        <is>
          <t>Receivables at risk (carrying amount, accounts that stopped paying)</t>
        </is>
      </c>
      <c r="B148" s="61" t="inlineStr">
        <is>
          <t>LCY</t>
        </is>
      </c>
      <c r="C148" s="70">
        <f>BL148</f>
        <v/>
      </c>
      <c r="D148" s="63" t="n"/>
      <c r="E148" s="71">
        <f>E23+E48+E73+E98+E123</f>
        <v/>
      </c>
      <c r="F148" s="71">
        <f>F23+F48+F73+F98+F123</f>
        <v/>
      </c>
      <c r="G148" s="71">
        <f>G23+G48+G73+G98+G123</f>
        <v/>
      </c>
      <c r="H148" s="71">
        <f>H23+H48+H73+H98+H123</f>
        <v/>
      </c>
      <c r="I148" s="71">
        <f>I23+I48+I73+I98+I123</f>
        <v/>
      </c>
      <c r="J148" s="71">
        <f>J23+J48+J73+J98+J123</f>
        <v/>
      </c>
      <c r="K148" s="71">
        <f>K23+K48+K73+K98+K123</f>
        <v/>
      </c>
      <c r="L148" s="71">
        <f>L23+L48+L73+L98+L123</f>
        <v/>
      </c>
      <c r="M148" s="71">
        <f>M23+M48+M73+M98+M123</f>
        <v/>
      </c>
      <c r="N148" s="71">
        <f>N23+N48+N73+N98+N123</f>
        <v/>
      </c>
      <c r="O148" s="71">
        <f>O23+O48+O73+O98+O123</f>
        <v/>
      </c>
      <c r="P148" s="71">
        <f>P23+P48+P73+P98+P123</f>
        <v/>
      </c>
      <c r="Q148" s="71">
        <f>Q23+Q48+Q73+Q98+Q123</f>
        <v/>
      </c>
      <c r="R148" s="71">
        <f>R23+R48+R73+R98+R123</f>
        <v/>
      </c>
      <c r="S148" s="71">
        <f>S23+S48+S73+S98+S123</f>
        <v/>
      </c>
      <c r="T148" s="71">
        <f>T23+T48+T73+T98+T123</f>
        <v/>
      </c>
      <c r="U148" s="71">
        <f>U23+U48+U73+U98+U123</f>
        <v/>
      </c>
      <c r="V148" s="71">
        <f>V23+V48+V73+V98+V123</f>
        <v/>
      </c>
      <c r="W148" s="71">
        <f>W23+W48+W73+W98+W123</f>
        <v/>
      </c>
      <c r="X148" s="71">
        <f>X23+X48+X73+X98+X123</f>
        <v/>
      </c>
      <c r="Y148" s="71">
        <f>Y23+Y48+Y73+Y98+Y123</f>
        <v/>
      </c>
      <c r="Z148" s="71">
        <f>Z23+Z48+Z73+Z98+Z123</f>
        <v/>
      </c>
      <c r="AA148" s="71">
        <f>AA23+AA48+AA73+AA98+AA123</f>
        <v/>
      </c>
      <c r="AB148" s="71">
        <f>AB23+AB48+AB73+AB98+AB123</f>
        <v/>
      </c>
      <c r="AC148" s="71">
        <f>AC23+AC48+AC73+AC98+AC123</f>
        <v/>
      </c>
      <c r="AD148" s="71">
        <f>AD23+AD48+AD73+AD98+AD123</f>
        <v/>
      </c>
      <c r="AE148" s="71">
        <f>AE23+AE48+AE73+AE98+AE123</f>
        <v/>
      </c>
      <c r="AF148" s="71">
        <f>AF23+AF48+AF73+AF98+AF123</f>
        <v/>
      </c>
      <c r="AG148" s="71">
        <f>AG23+AG48+AG73+AG98+AG123</f>
        <v/>
      </c>
      <c r="AH148" s="71">
        <f>AH23+AH48+AH73+AH98+AH123</f>
        <v/>
      </c>
      <c r="AI148" s="71">
        <f>AI23+AI48+AI73+AI98+AI123</f>
        <v/>
      </c>
      <c r="AJ148" s="71">
        <f>AJ23+AJ48+AJ73+AJ98+AJ123</f>
        <v/>
      </c>
      <c r="AK148" s="71">
        <f>AK23+AK48+AK73+AK98+AK123</f>
        <v/>
      </c>
      <c r="AL148" s="71">
        <f>AL23+AL48+AL73+AL98+AL123</f>
        <v/>
      </c>
      <c r="AM148" s="71">
        <f>AM23+AM48+AM73+AM98+AM123</f>
        <v/>
      </c>
      <c r="AN148" s="71">
        <f>AN23+AN48+AN73+AN98+AN123</f>
        <v/>
      </c>
      <c r="AO148" s="71">
        <f>AO23+AO48+AO73+AO98+AO123</f>
        <v/>
      </c>
      <c r="AP148" s="71">
        <f>AP23+AP48+AP73+AP98+AP123</f>
        <v/>
      </c>
      <c r="AQ148" s="71">
        <f>AQ23+AQ48+AQ73+AQ98+AQ123</f>
        <v/>
      </c>
      <c r="AR148" s="71">
        <f>AR23+AR48+AR73+AR98+AR123</f>
        <v/>
      </c>
      <c r="AS148" s="71">
        <f>AS23+AS48+AS73+AS98+AS123</f>
        <v/>
      </c>
      <c r="AT148" s="71">
        <f>AT23+AT48+AT73+AT98+AT123</f>
        <v/>
      </c>
      <c r="AU148" s="71">
        <f>AU23+AU48+AU73+AU98+AU123</f>
        <v/>
      </c>
      <c r="AV148" s="71">
        <f>AV23+AV48+AV73+AV98+AV123</f>
        <v/>
      </c>
      <c r="AW148" s="71">
        <f>AW23+AW48+AW73+AW98+AW123</f>
        <v/>
      </c>
      <c r="AX148" s="71">
        <f>AX23+AX48+AX73+AX98+AX123</f>
        <v/>
      </c>
      <c r="AY148" s="71">
        <f>AY23+AY48+AY73+AY98+AY123</f>
        <v/>
      </c>
      <c r="AZ148" s="71">
        <f>AZ23+AZ48+AZ73+AZ98+AZ123</f>
        <v/>
      </c>
      <c r="BA148" s="71">
        <f>BA23+BA48+BA73+BA98+BA123</f>
        <v/>
      </c>
      <c r="BB148" s="71">
        <f>BB23+BB48+BB73+BB98+BB123</f>
        <v/>
      </c>
      <c r="BC148" s="71">
        <f>BC23+BC48+BC73+BC98+BC123</f>
        <v/>
      </c>
      <c r="BD148" s="71">
        <f>BD23+BD48+BD73+BD98+BD123</f>
        <v/>
      </c>
      <c r="BE148" s="71">
        <f>BE23+BE48+BE73+BE98+BE123</f>
        <v/>
      </c>
      <c r="BF148" s="71">
        <f>BF23+BF48+BF73+BF98+BF123</f>
        <v/>
      </c>
      <c r="BG148" s="71">
        <f>BG23+BG48+BG73+BG98+BG123</f>
        <v/>
      </c>
      <c r="BH148" s="71">
        <f>BH23+BH48+BH73+BH98+BH123</f>
        <v/>
      </c>
      <c r="BI148" s="71">
        <f>BI23+BI48+BI73+BI98+BI123</f>
        <v/>
      </c>
      <c r="BJ148" s="71">
        <f>BJ23+BJ48+BJ73+BJ98+BJ123</f>
        <v/>
      </c>
      <c r="BK148" s="71">
        <f>BK23+BK48+BK73+BK98+BK123</f>
        <v/>
      </c>
      <c r="BL148" s="71">
        <f>BL23+BL48+BL73+BL98+BL123</f>
        <v/>
      </c>
    </row>
    <row r="149">
      <c r="A149" s="60" t="inlineStr">
        <is>
          <t>Gross PAYGo receivables (closing)</t>
        </is>
      </c>
      <c r="B149" s="61" t="inlineStr">
        <is>
          <t>LCY</t>
        </is>
      </c>
      <c r="C149" s="70">
        <f>BL149</f>
        <v/>
      </c>
      <c r="D149" s="63" t="n"/>
      <c r="E149" s="71">
        <f>E24+E49+E74+E99+E124</f>
        <v/>
      </c>
      <c r="F149" s="71">
        <f>F24+F49+F74+F99+F124</f>
        <v/>
      </c>
      <c r="G149" s="71">
        <f>G24+G49+G74+G99+G124</f>
        <v/>
      </c>
      <c r="H149" s="71">
        <f>H24+H49+H74+H99+H124</f>
        <v/>
      </c>
      <c r="I149" s="71">
        <f>I24+I49+I74+I99+I124</f>
        <v/>
      </c>
      <c r="J149" s="71">
        <f>J24+J49+J74+J99+J124</f>
        <v/>
      </c>
      <c r="K149" s="71">
        <f>K24+K49+K74+K99+K124</f>
        <v/>
      </c>
      <c r="L149" s="71">
        <f>L24+L49+L74+L99+L124</f>
        <v/>
      </c>
      <c r="M149" s="71">
        <f>M24+M49+M74+M99+M124</f>
        <v/>
      </c>
      <c r="N149" s="71">
        <f>N24+N49+N74+N99+N124</f>
        <v/>
      </c>
      <c r="O149" s="71">
        <f>O24+O49+O74+O99+O124</f>
        <v/>
      </c>
      <c r="P149" s="71">
        <f>P24+P49+P74+P99+P124</f>
        <v/>
      </c>
      <c r="Q149" s="71">
        <f>Q24+Q49+Q74+Q99+Q124</f>
        <v/>
      </c>
      <c r="R149" s="71">
        <f>R24+R49+R74+R99+R124</f>
        <v/>
      </c>
      <c r="S149" s="71">
        <f>S24+S49+S74+S99+S124</f>
        <v/>
      </c>
      <c r="T149" s="71">
        <f>T24+T49+T74+T99+T124</f>
        <v/>
      </c>
      <c r="U149" s="71">
        <f>U24+U49+U74+U99+U124</f>
        <v/>
      </c>
      <c r="V149" s="71">
        <f>V24+V49+V74+V99+V124</f>
        <v/>
      </c>
      <c r="W149" s="71">
        <f>W24+W49+W74+W99+W124</f>
        <v/>
      </c>
      <c r="X149" s="71">
        <f>X24+X49+X74+X99+X124</f>
        <v/>
      </c>
      <c r="Y149" s="71">
        <f>Y24+Y49+Y74+Y99+Y124</f>
        <v/>
      </c>
      <c r="Z149" s="71">
        <f>Z24+Z49+Z74+Z99+Z124</f>
        <v/>
      </c>
      <c r="AA149" s="71">
        <f>AA24+AA49+AA74+AA99+AA124</f>
        <v/>
      </c>
      <c r="AB149" s="71">
        <f>AB24+AB49+AB74+AB99+AB124</f>
        <v/>
      </c>
      <c r="AC149" s="71">
        <f>AC24+AC49+AC74+AC99+AC124</f>
        <v/>
      </c>
      <c r="AD149" s="71">
        <f>AD24+AD49+AD74+AD99+AD124</f>
        <v/>
      </c>
      <c r="AE149" s="71">
        <f>AE24+AE49+AE74+AE99+AE124</f>
        <v/>
      </c>
      <c r="AF149" s="71">
        <f>AF24+AF49+AF74+AF99+AF124</f>
        <v/>
      </c>
      <c r="AG149" s="71">
        <f>AG24+AG49+AG74+AG99+AG124</f>
        <v/>
      </c>
      <c r="AH149" s="71">
        <f>AH24+AH49+AH74+AH99+AH124</f>
        <v/>
      </c>
      <c r="AI149" s="71">
        <f>AI24+AI49+AI74+AI99+AI124</f>
        <v/>
      </c>
      <c r="AJ149" s="71">
        <f>AJ24+AJ49+AJ74+AJ99+AJ124</f>
        <v/>
      </c>
      <c r="AK149" s="71">
        <f>AK24+AK49+AK74+AK99+AK124</f>
        <v/>
      </c>
      <c r="AL149" s="71">
        <f>AL24+AL49+AL74+AL99+AL124</f>
        <v/>
      </c>
      <c r="AM149" s="71">
        <f>AM24+AM49+AM74+AM99+AM124</f>
        <v/>
      </c>
      <c r="AN149" s="71">
        <f>AN24+AN49+AN74+AN99+AN124</f>
        <v/>
      </c>
      <c r="AO149" s="71">
        <f>AO24+AO49+AO74+AO99+AO124</f>
        <v/>
      </c>
      <c r="AP149" s="71">
        <f>AP24+AP49+AP74+AP99+AP124</f>
        <v/>
      </c>
      <c r="AQ149" s="71">
        <f>AQ24+AQ49+AQ74+AQ99+AQ124</f>
        <v/>
      </c>
      <c r="AR149" s="71">
        <f>AR24+AR49+AR74+AR99+AR124</f>
        <v/>
      </c>
      <c r="AS149" s="71">
        <f>AS24+AS49+AS74+AS99+AS124</f>
        <v/>
      </c>
      <c r="AT149" s="71">
        <f>AT24+AT49+AT74+AT99+AT124</f>
        <v/>
      </c>
      <c r="AU149" s="71">
        <f>AU24+AU49+AU74+AU99+AU124</f>
        <v/>
      </c>
      <c r="AV149" s="71">
        <f>AV24+AV49+AV74+AV99+AV124</f>
        <v/>
      </c>
      <c r="AW149" s="71">
        <f>AW24+AW49+AW74+AW99+AW124</f>
        <v/>
      </c>
      <c r="AX149" s="71">
        <f>AX24+AX49+AX74+AX99+AX124</f>
        <v/>
      </c>
      <c r="AY149" s="71">
        <f>AY24+AY49+AY74+AY99+AY124</f>
        <v/>
      </c>
      <c r="AZ149" s="71">
        <f>AZ24+AZ49+AZ74+AZ99+AZ124</f>
        <v/>
      </c>
      <c r="BA149" s="71">
        <f>BA24+BA49+BA74+BA99+BA124</f>
        <v/>
      </c>
      <c r="BB149" s="71">
        <f>BB24+BB49+BB74+BB99+BB124</f>
        <v/>
      </c>
      <c r="BC149" s="71">
        <f>BC24+BC49+BC74+BC99+BC124</f>
        <v/>
      </c>
      <c r="BD149" s="71">
        <f>BD24+BD49+BD74+BD99+BD124</f>
        <v/>
      </c>
      <c r="BE149" s="71">
        <f>BE24+BE49+BE74+BE99+BE124</f>
        <v/>
      </c>
      <c r="BF149" s="71">
        <f>BF24+BF49+BF74+BF99+BF124</f>
        <v/>
      </c>
      <c r="BG149" s="71">
        <f>BG24+BG49+BG74+BG99+BG124</f>
        <v/>
      </c>
      <c r="BH149" s="71">
        <f>BH24+BH49+BH74+BH99+BH124</f>
        <v/>
      </c>
      <c r="BI149" s="71">
        <f>BI24+BI49+BI74+BI99+BI124</f>
        <v/>
      </c>
      <c r="BJ149" s="71">
        <f>BJ24+BJ49+BJ74+BJ99+BJ124</f>
        <v/>
      </c>
      <c r="BK149" s="71">
        <f>BK24+BK49+BK74+BK99+BK124</f>
        <v/>
      </c>
      <c r="BL149" s="71">
        <f>BL24+BL49+BL74+BL99+BL124</f>
        <v/>
      </c>
    </row>
    <row r="150">
      <c r="A150" s="60" t="inlineStr">
        <is>
          <t>Eligible receivables (gross - at risk)</t>
        </is>
      </c>
      <c r="B150" s="61" t="inlineStr">
        <is>
          <t>LCY</t>
        </is>
      </c>
      <c r="C150" s="70">
        <f>BL150</f>
        <v/>
      </c>
      <c r="D150" s="63" t="n"/>
      <c r="E150" s="71">
        <f>E25+E50+E75+E100+E125</f>
        <v/>
      </c>
      <c r="F150" s="71">
        <f>F25+F50+F75+F100+F125</f>
        <v/>
      </c>
      <c r="G150" s="71">
        <f>G25+G50+G75+G100+G125</f>
        <v/>
      </c>
      <c r="H150" s="71">
        <f>H25+H50+H75+H100+H125</f>
        <v/>
      </c>
      <c r="I150" s="71">
        <f>I25+I50+I75+I100+I125</f>
        <v/>
      </c>
      <c r="J150" s="71">
        <f>J25+J50+J75+J100+J125</f>
        <v/>
      </c>
      <c r="K150" s="71">
        <f>K25+K50+K75+K100+K125</f>
        <v/>
      </c>
      <c r="L150" s="71">
        <f>L25+L50+L75+L100+L125</f>
        <v/>
      </c>
      <c r="M150" s="71">
        <f>M25+M50+M75+M100+M125</f>
        <v/>
      </c>
      <c r="N150" s="71">
        <f>N25+N50+N75+N100+N125</f>
        <v/>
      </c>
      <c r="O150" s="71">
        <f>O25+O50+O75+O100+O125</f>
        <v/>
      </c>
      <c r="P150" s="71">
        <f>P25+P50+P75+P100+P125</f>
        <v/>
      </c>
      <c r="Q150" s="71">
        <f>Q25+Q50+Q75+Q100+Q125</f>
        <v/>
      </c>
      <c r="R150" s="71">
        <f>R25+R50+R75+R100+R125</f>
        <v/>
      </c>
      <c r="S150" s="71">
        <f>S25+S50+S75+S100+S125</f>
        <v/>
      </c>
      <c r="T150" s="71">
        <f>T25+T50+T75+T100+T125</f>
        <v/>
      </c>
      <c r="U150" s="71">
        <f>U25+U50+U75+U100+U125</f>
        <v/>
      </c>
      <c r="V150" s="71">
        <f>V25+V50+V75+V100+V125</f>
        <v/>
      </c>
      <c r="W150" s="71">
        <f>W25+W50+W75+W100+W125</f>
        <v/>
      </c>
      <c r="X150" s="71">
        <f>X25+X50+X75+X100+X125</f>
        <v/>
      </c>
      <c r="Y150" s="71">
        <f>Y25+Y50+Y75+Y100+Y125</f>
        <v/>
      </c>
      <c r="Z150" s="71">
        <f>Z25+Z50+Z75+Z100+Z125</f>
        <v/>
      </c>
      <c r="AA150" s="71">
        <f>AA25+AA50+AA75+AA100+AA125</f>
        <v/>
      </c>
      <c r="AB150" s="71">
        <f>AB25+AB50+AB75+AB100+AB125</f>
        <v/>
      </c>
      <c r="AC150" s="71">
        <f>AC25+AC50+AC75+AC100+AC125</f>
        <v/>
      </c>
      <c r="AD150" s="71">
        <f>AD25+AD50+AD75+AD100+AD125</f>
        <v/>
      </c>
      <c r="AE150" s="71">
        <f>AE25+AE50+AE75+AE100+AE125</f>
        <v/>
      </c>
      <c r="AF150" s="71">
        <f>AF25+AF50+AF75+AF100+AF125</f>
        <v/>
      </c>
      <c r="AG150" s="71">
        <f>AG25+AG50+AG75+AG100+AG125</f>
        <v/>
      </c>
      <c r="AH150" s="71">
        <f>AH25+AH50+AH75+AH100+AH125</f>
        <v/>
      </c>
      <c r="AI150" s="71">
        <f>AI25+AI50+AI75+AI100+AI125</f>
        <v/>
      </c>
      <c r="AJ150" s="71">
        <f>AJ25+AJ50+AJ75+AJ100+AJ125</f>
        <v/>
      </c>
      <c r="AK150" s="71">
        <f>AK25+AK50+AK75+AK100+AK125</f>
        <v/>
      </c>
      <c r="AL150" s="71">
        <f>AL25+AL50+AL75+AL100+AL125</f>
        <v/>
      </c>
      <c r="AM150" s="71">
        <f>AM25+AM50+AM75+AM100+AM125</f>
        <v/>
      </c>
      <c r="AN150" s="71">
        <f>AN25+AN50+AN75+AN100+AN125</f>
        <v/>
      </c>
      <c r="AO150" s="71">
        <f>AO25+AO50+AO75+AO100+AO125</f>
        <v/>
      </c>
      <c r="AP150" s="71">
        <f>AP25+AP50+AP75+AP100+AP125</f>
        <v/>
      </c>
      <c r="AQ150" s="71">
        <f>AQ25+AQ50+AQ75+AQ100+AQ125</f>
        <v/>
      </c>
      <c r="AR150" s="71">
        <f>AR25+AR50+AR75+AR100+AR125</f>
        <v/>
      </c>
      <c r="AS150" s="71">
        <f>AS25+AS50+AS75+AS100+AS125</f>
        <v/>
      </c>
      <c r="AT150" s="71">
        <f>AT25+AT50+AT75+AT100+AT125</f>
        <v/>
      </c>
      <c r="AU150" s="71">
        <f>AU25+AU50+AU75+AU100+AU125</f>
        <v/>
      </c>
      <c r="AV150" s="71">
        <f>AV25+AV50+AV75+AV100+AV125</f>
        <v/>
      </c>
      <c r="AW150" s="71">
        <f>AW25+AW50+AW75+AW100+AW125</f>
        <v/>
      </c>
      <c r="AX150" s="71">
        <f>AX25+AX50+AX75+AX100+AX125</f>
        <v/>
      </c>
      <c r="AY150" s="71">
        <f>AY25+AY50+AY75+AY100+AY125</f>
        <v/>
      </c>
      <c r="AZ150" s="71">
        <f>AZ25+AZ50+AZ75+AZ100+AZ125</f>
        <v/>
      </c>
      <c r="BA150" s="71">
        <f>BA25+BA50+BA75+BA100+BA125</f>
        <v/>
      </c>
      <c r="BB150" s="71">
        <f>BB25+BB50+BB75+BB100+BB125</f>
        <v/>
      </c>
      <c r="BC150" s="71">
        <f>BC25+BC50+BC75+BC100+BC125</f>
        <v/>
      </c>
      <c r="BD150" s="71">
        <f>BD25+BD50+BD75+BD100+BD125</f>
        <v/>
      </c>
      <c r="BE150" s="71">
        <f>BE25+BE50+BE75+BE100+BE125</f>
        <v/>
      </c>
      <c r="BF150" s="71">
        <f>BF25+BF50+BF75+BF100+BF125</f>
        <v/>
      </c>
      <c r="BG150" s="71">
        <f>BG25+BG50+BG75+BG100+BG125</f>
        <v/>
      </c>
      <c r="BH150" s="71">
        <f>BH25+BH50+BH75+BH100+BH125</f>
        <v/>
      </c>
      <c r="BI150" s="71">
        <f>BI25+BI50+BI75+BI100+BI125</f>
        <v/>
      </c>
      <c r="BJ150" s="71">
        <f>BJ25+BJ50+BJ75+BJ100+BJ125</f>
        <v/>
      </c>
      <c r="BK150" s="71">
        <f>BK25+BK50+BK75+BK100+BK125</f>
        <v/>
      </c>
      <c r="BL150" s="71">
        <f>BL25+BL50+BL75+BL100+BL125</f>
        <v/>
      </c>
    </row>
    <row r="151">
      <c r="A151" s="60" t="inlineStr">
        <is>
          <t>Borrowing-base contribution (advance rate x eligible)</t>
        </is>
      </c>
      <c r="B151" s="61" t="inlineStr">
        <is>
          <t>LCY</t>
        </is>
      </c>
      <c r="C151" s="70">
        <f>BL151</f>
        <v/>
      </c>
      <c r="D151" s="63" t="n"/>
      <c r="E151" s="71">
        <f>E26+E51+E76+E101+E126</f>
        <v/>
      </c>
      <c r="F151" s="71">
        <f>F26+F51+F76+F101+F126</f>
        <v/>
      </c>
      <c r="G151" s="71">
        <f>G26+G51+G76+G101+G126</f>
        <v/>
      </c>
      <c r="H151" s="71">
        <f>H26+H51+H76+H101+H126</f>
        <v/>
      </c>
      <c r="I151" s="71">
        <f>I26+I51+I76+I101+I126</f>
        <v/>
      </c>
      <c r="J151" s="71">
        <f>J26+J51+J76+J101+J126</f>
        <v/>
      </c>
      <c r="K151" s="71">
        <f>K26+K51+K76+K101+K126</f>
        <v/>
      </c>
      <c r="L151" s="71">
        <f>L26+L51+L76+L101+L126</f>
        <v/>
      </c>
      <c r="M151" s="71">
        <f>M26+M51+M76+M101+M126</f>
        <v/>
      </c>
      <c r="N151" s="71">
        <f>N26+N51+N76+N101+N126</f>
        <v/>
      </c>
      <c r="O151" s="71">
        <f>O26+O51+O76+O101+O126</f>
        <v/>
      </c>
      <c r="P151" s="71">
        <f>P26+P51+P76+P101+P126</f>
        <v/>
      </c>
      <c r="Q151" s="71">
        <f>Q26+Q51+Q76+Q101+Q126</f>
        <v/>
      </c>
      <c r="R151" s="71">
        <f>R26+R51+R76+R101+R126</f>
        <v/>
      </c>
      <c r="S151" s="71">
        <f>S26+S51+S76+S101+S126</f>
        <v/>
      </c>
      <c r="T151" s="71">
        <f>T26+T51+T76+T101+T126</f>
        <v/>
      </c>
      <c r="U151" s="71">
        <f>U26+U51+U76+U101+U126</f>
        <v/>
      </c>
      <c r="V151" s="71">
        <f>V26+V51+V76+V101+V126</f>
        <v/>
      </c>
      <c r="W151" s="71">
        <f>W26+W51+W76+W101+W126</f>
        <v/>
      </c>
      <c r="X151" s="71">
        <f>X26+X51+X76+X101+X126</f>
        <v/>
      </c>
      <c r="Y151" s="71">
        <f>Y26+Y51+Y76+Y101+Y126</f>
        <v/>
      </c>
      <c r="Z151" s="71">
        <f>Z26+Z51+Z76+Z101+Z126</f>
        <v/>
      </c>
      <c r="AA151" s="71">
        <f>AA26+AA51+AA76+AA101+AA126</f>
        <v/>
      </c>
      <c r="AB151" s="71">
        <f>AB26+AB51+AB76+AB101+AB126</f>
        <v/>
      </c>
      <c r="AC151" s="71">
        <f>AC26+AC51+AC76+AC101+AC126</f>
        <v/>
      </c>
      <c r="AD151" s="71">
        <f>AD26+AD51+AD76+AD101+AD126</f>
        <v/>
      </c>
      <c r="AE151" s="71">
        <f>AE26+AE51+AE76+AE101+AE126</f>
        <v/>
      </c>
      <c r="AF151" s="71">
        <f>AF26+AF51+AF76+AF101+AF126</f>
        <v/>
      </c>
      <c r="AG151" s="71">
        <f>AG26+AG51+AG76+AG101+AG126</f>
        <v/>
      </c>
      <c r="AH151" s="71">
        <f>AH26+AH51+AH76+AH101+AH126</f>
        <v/>
      </c>
      <c r="AI151" s="71">
        <f>AI26+AI51+AI76+AI101+AI126</f>
        <v/>
      </c>
      <c r="AJ151" s="71">
        <f>AJ26+AJ51+AJ76+AJ101+AJ126</f>
        <v/>
      </c>
      <c r="AK151" s="71">
        <f>AK26+AK51+AK76+AK101+AK126</f>
        <v/>
      </c>
      <c r="AL151" s="71">
        <f>AL26+AL51+AL76+AL101+AL126</f>
        <v/>
      </c>
      <c r="AM151" s="71">
        <f>AM26+AM51+AM76+AM101+AM126</f>
        <v/>
      </c>
      <c r="AN151" s="71">
        <f>AN26+AN51+AN76+AN101+AN126</f>
        <v/>
      </c>
      <c r="AO151" s="71">
        <f>AO26+AO51+AO76+AO101+AO126</f>
        <v/>
      </c>
      <c r="AP151" s="71">
        <f>AP26+AP51+AP76+AP101+AP126</f>
        <v/>
      </c>
      <c r="AQ151" s="71">
        <f>AQ26+AQ51+AQ76+AQ101+AQ126</f>
        <v/>
      </c>
      <c r="AR151" s="71">
        <f>AR26+AR51+AR76+AR101+AR126</f>
        <v/>
      </c>
      <c r="AS151" s="71">
        <f>AS26+AS51+AS76+AS101+AS126</f>
        <v/>
      </c>
      <c r="AT151" s="71">
        <f>AT26+AT51+AT76+AT101+AT126</f>
        <v/>
      </c>
      <c r="AU151" s="71">
        <f>AU26+AU51+AU76+AU101+AU126</f>
        <v/>
      </c>
      <c r="AV151" s="71">
        <f>AV26+AV51+AV76+AV101+AV126</f>
        <v/>
      </c>
      <c r="AW151" s="71">
        <f>AW26+AW51+AW76+AW101+AW126</f>
        <v/>
      </c>
      <c r="AX151" s="71">
        <f>AX26+AX51+AX76+AX101+AX126</f>
        <v/>
      </c>
      <c r="AY151" s="71">
        <f>AY26+AY51+AY76+AY101+AY126</f>
        <v/>
      </c>
      <c r="AZ151" s="71">
        <f>AZ26+AZ51+AZ76+AZ101+AZ126</f>
        <v/>
      </c>
      <c r="BA151" s="71">
        <f>BA26+BA51+BA76+BA101+BA126</f>
        <v/>
      </c>
      <c r="BB151" s="71">
        <f>BB26+BB51+BB76+BB101+BB126</f>
        <v/>
      </c>
      <c r="BC151" s="71">
        <f>BC26+BC51+BC76+BC101+BC126</f>
        <v/>
      </c>
      <c r="BD151" s="71">
        <f>BD26+BD51+BD76+BD101+BD126</f>
        <v/>
      </c>
      <c r="BE151" s="71">
        <f>BE26+BE51+BE76+BE101+BE126</f>
        <v/>
      </c>
      <c r="BF151" s="71">
        <f>BF26+BF51+BF76+BF101+BF126</f>
        <v/>
      </c>
      <c r="BG151" s="71">
        <f>BG26+BG51+BG76+BG101+BG126</f>
        <v/>
      </c>
      <c r="BH151" s="71">
        <f>BH26+BH51+BH76+BH101+BH126</f>
        <v/>
      </c>
      <c r="BI151" s="71">
        <f>BI26+BI51+BI76+BI101+BI126</f>
        <v/>
      </c>
      <c r="BJ151" s="71">
        <f>BJ26+BJ51+BJ76+BJ101+BJ126</f>
        <v/>
      </c>
      <c r="BK151" s="71">
        <f>BK26+BK51+BK76+BK101+BK126</f>
        <v/>
      </c>
      <c r="BL151" s="71">
        <f>BL26+BL51+BL76+BL101+BL126</f>
        <v/>
      </c>
    </row>
    <row r="152">
      <c r="A152" s="60" t="inlineStr">
        <is>
          <t>Landed hardware cost of units sold</t>
        </is>
      </c>
      <c r="B152" s="61" t="inlineStr">
        <is>
          <t>LCY</t>
        </is>
      </c>
      <c r="C152" s="70">
        <f>SUM(E152:BL152)</f>
        <v/>
      </c>
      <c r="D152" s="63" t="n"/>
      <c r="E152" s="71">
        <f>E27+E52+E77+E102+E127</f>
        <v/>
      </c>
      <c r="F152" s="71">
        <f>F27+F52+F77+F102+F127</f>
        <v/>
      </c>
      <c r="G152" s="71">
        <f>G27+G52+G77+G102+G127</f>
        <v/>
      </c>
      <c r="H152" s="71">
        <f>H27+H52+H77+H102+H127</f>
        <v/>
      </c>
      <c r="I152" s="71">
        <f>I27+I52+I77+I102+I127</f>
        <v/>
      </c>
      <c r="J152" s="71">
        <f>J27+J52+J77+J102+J127</f>
        <v/>
      </c>
      <c r="K152" s="71">
        <f>K27+K52+K77+K102+K127</f>
        <v/>
      </c>
      <c r="L152" s="71">
        <f>L27+L52+L77+L102+L127</f>
        <v/>
      </c>
      <c r="M152" s="71">
        <f>M27+M52+M77+M102+M127</f>
        <v/>
      </c>
      <c r="N152" s="71">
        <f>N27+N52+N77+N102+N127</f>
        <v/>
      </c>
      <c r="O152" s="71">
        <f>O27+O52+O77+O102+O127</f>
        <v/>
      </c>
      <c r="P152" s="71">
        <f>P27+P52+P77+P102+P127</f>
        <v/>
      </c>
      <c r="Q152" s="71">
        <f>Q27+Q52+Q77+Q102+Q127</f>
        <v/>
      </c>
      <c r="R152" s="71">
        <f>R27+R52+R77+R102+R127</f>
        <v/>
      </c>
      <c r="S152" s="71">
        <f>S27+S52+S77+S102+S127</f>
        <v/>
      </c>
      <c r="T152" s="71">
        <f>T27+T52+T77+T102+T127</f>
        <v/>
      </c>
      <c r="U152" s="71">
        <f>U27+U52+U77+U102+U127</f>
        <v/>
      </c>
      <c r="V152" s="71">
        <f>V27+V52+V77+V102+V127</f>
        <v/>
      </c>
      <c r="W152" s="71">
        <f>W27+W52+W77+W102+W127</f>
        <v/>
      </c>
      <c r="X152" s="71">
        <f>X27+X52+X77+X102+X127</f>
        <v/>
      </c>
      <c r="Y152" s="71">
        <f>Y27+Y52+Y77+Y102+Y127</f>
        <v/>
      </c>
      <c r="Z152" s="71">
        <f>Z27+Z52+Z77+Z102+Z127</f>
        <v/>
      </c>
      <c r="AA152" s="71">
        <f>AA27+AA52+AA77+AA102+AA127</f>
        <v/>
      </c>
      <c r="AB152" s="71">
        <f>AB27+AB52+AB77+AB102+AB127</f>
        <v/>
      </c>
      <c r="AC152" s="71">
        <f>AC27+AC52+AC77+AC102+AC127</f>
        <v/>
      </c>
      <c r="AD152" s="71">
        <f>AD27+AD52+AD77+AD102+AD127</f>
        <v/>
      </c>
      <c r="AE152" s="71">
        <f>AE27+AE52+AE77+AE102+AE127</f>
        <v/>
      </c>
      <c r="AF152" s="71">
        <f>AF27+AF52+AF77+AF102+AF127</f>
        <v/>
      </c>
      <c r="AG152" s="71">
        <f>AG27+AG52+AG77+AG102+AG127</f>
        <v/>
      </c>
      <c r="AH152" s="71">
        <f>AH27+AH52+AH77+AH102+AH127</f>
        <v/>
      </c>
      <c r="AI152" s="71">
        <f>AI27+AI52+AI77+AI102+AI127</f>
        <v/>
      </c>
      <c r="AJ152" s="71">
        <f>AJ27+AJ52+AJ77+AJ102+AJ127</f>
        <v/>
      </c>
      <c r="AK152" s="71">
        <f>AK27+AK52+AK77+AK102+AK127</f>
        <v/>
      </c>
      <c r="AL152" s="71">
        <f>AL27+AL52+AL77+AL102+AL127</f>
        <v/>
      </c>
      <c r="AM152" s="71">
        <f>AM27+AM52+AM77+AM102+AM127</f>
        <v/>
      </c>
      <c r="AN152" s="71">
        <f>AN27+AN52+AN77+AN102+AN127</f>
        <v/>
      </c>
      <c r="AO152" s="71">
        <f>AO27+AO52+AO77+AO102+AO127</f>
        <v/>
      </c>
      <c r="AP152" s="71">
        <f>AP27+AP52+AP77+AP102+AP127</f>
        <v/>
      </c>
      <c r="AQ152" s="71">
        <f>AQ27+AQ52+AQ77+AQ102+AQ127</f>
        <v/>
      </c>
      <c r="AR152" s="71">
        <f>AR27+AR52+AR77+AR102+AR127</f>
        <v/>
      </c>
      <c r="AS152" s="71">
        <f>AS27+AS52+AS77+AS102+AS127</f>
        <v/>
      </c>
      <c r="AT152" s="71">
        <f>AT27+AT52+AT77+AT102+AT127</f>
        <v/>
      </c>
      <c r="AU152" s="71">
        <f>AU27+AU52+AU77+AU102+AU127</f>
        <v/>
      </c>
      <c r="AV152" s="71">
        <f>AV27+AV52+AV77+AV102+AV127</f>
        <v/>
      </c>
      <c r="AW152" s="71">
        <f>AW27+AW52+AW77+AW102+AW127</f>
        <v/>
      </c>
      <c r="AX152" s="71">
        <f>AX27+AX52+AX77+AX102+AX127</f>
        <v/>
      </c>
      <c r="AY152" s="71">
        <f>AY27+AY52+AY77+AY102+AY127</f>
        <v/>
      </c>
      <c r="AZ152" s="71">
        <f>AZ27+AZ52+AZ77+AZ102+AZ127</f>
        <v/>
      </c>
      <c r="BA152" s="71">
        <f>BA27+BA52+BA77+BA102+BA127</f>
        <v/>
      </c>
      <c r="BB152" s="71">
        <f>BB27+BB52+BB77+BB102+BB127</f>
        <v/>
      </c>
      <c r="BC152" s="71">
        <f>BC27+BC52+BC77+BC102+BC127</f>
        <v/>
      </c>
      <c r="BD152" s="71">
        <f>BD27+BD52+BD77+BD102+BD127</f>
        <v/>
      </c>
      <c r="BE152" s="71">
        <f>BE27+BE52+BE77+BE102+BE127</f>
        <v/>
      </c>
      <c r="BF152" s="71">
        <f>BF27+BF52+BF77+BF102+BF127</f>
        <v/>
      </c>
      <c r="BG152" s="71">
        <f>BG27+BG52+BG77+BG102+BG127</f>
        <v/>
      </c>
      <c r="BH152" s="71">
        <f>BH27+BH52+BH77+BH102+BH127</f>
        <v/>
      </c>
      <c r="BI152" s="71">
        <f>BI27+BI52+BI77+BI102+BI127</f>
        <v/>
      </c>
      <c r="BJ152" s="71">
        <f>BJ27+BJ52+BJ77+BJ102+BJ127</f>
        <v/>
      </c>
      <c r="BK152" s="71">
        <f>BK27+BK52+BK77+BK102+BK127</f>
        <v/>
      </c>
      <c r="BL152" s="71">
        <f>BL27+BL52+BL77+BL102+BL127</f>
        <v/>
      </c>
    </row>
    <row r="153">
      <c r="A153" s="60" t="inlineStr">
        <is>
          <t>Installation &amp; logistics</t>
        </is>
      </c>
      <c r="B153" s="61" t="inlineStr">
        <is>
          <t>LCY</t>
        </is>
      </c>
      <c r="C153" s="70">
        <f>SUM(E153:BL153)</f>
        <v/>
      </c>
      <c r="D153" s="63" t="n"/>
      <c r="E153" s="71">
        <f>E28+E53+E78+E103+E128</f>
        <v/>
      </c>
      <c r="F153" s="71">
        <f>F28+F53+F78+F103+F128</f>
        <v/>
      </c>
      <c r="G153" s="71">
        <f>G28+G53+G78+G103+G128</f>
        <v/>
      </c>
      <c r="H153" s="71">
        <f>H28+H53+H78+H103+H128</f>
        <v/>
      </c>
      <c r="I153" s="71">
        <f>I28+I53+I78+I103+I128</f>
        <v/>
      </c>
      <c r="J153" s="71">
        <f>J28+J53+J78+J103+J128</f>
        <v/>
      </c>
      <c r="K153" s="71">
        <f>K28+K53+K78+K103+K128</f>
        <v/>
      </c>
      <c r="L153" s="71">
        <f>L28+L53+L78+L103+L128</f>
        <v/>
      </c>
      <c r="M153" s="71">
        <f>M28+M53+M78+M103+M128</f>
        <v/>
      </c>
      <c r="N153" s="71">
        <f>N28+N53+N78+N103+N128</f>
        <v/>
      </c>
      <c r="O153" s="71">
        <f>O28+O53+O78+O103+O128</f>
        <v/>
      </c>
      <c r="P153" s="71">
        <f>P28+P53+P78+P103+P128</f>
        <v/>
      </c>
      <c r="Q153" s="71">
        <f>Q28+Q53+Q78+Q103+Q128</f>
        <v/>
      </c>
      <c r="R153" s="71">
        <f>R28+R53+R78+R103+R128</f>
        <v/>
      </c>
      <c r="S153" s="71">
        <f>S28+S53+S78+S103+S128</f>
        <v/>
      </c>
      <c r="T153" s="71">
        <f>T28+T53+T78+T103+T128</f>
        <v/>
      </c>
      <c r="U153" s="71">
        <f>U28+U53+U78+U103+U128</f>
        <v/>
      </c>
      <c r="V153" s="71">
        <f>V28+V53+V78+V103+V128</f>
        <v/>
      </c>
      <c r="W153" s="71">
        <f>W28+W53+W78+W103+W128</f>
        <v/>
      </c>
      <c r="X153" s="71">
        <f>X28+X53+X78+X103+X128</f>
        <v/>
      </c>
      <c r="Y153" s="71">
        <f>Y28+Y53+Y78+Y103+Y128</f>
        <v/>
      </c>
      <c r="Z153" s="71">
        <f>Z28+Z53+Z78+Z103+Z128</f>
        <v/>
      </c>
      <c r="AA153" s="71">
        <f>AA28+AA53+AA78+AA103+AA128</f>
        <v/>
      </c>
      <c r="AB153" s="71">
        <f>AB28+AB53+AB78+AB103+AB128</f>
        <v/>
      </c>
      <c r="AC153" s="71">
        <f>AC28+AC53+AC78+AC103+AC128</f>
        <v/>
      </c>
      <c r="AD153" s="71">
        <f>AD28+AD53+AD78+AD103+AD128</f>
        <v/>
      </c>
      <c r="AE153" s="71">
        <f>AE28+AE53+AE78+AE103+AE128</f>
        <v/>
      </c>
      <c r="AF153" s="71">
        <f>AF28+AF53+AF78+AF103+AF128</f>
        <v/>
      </c>
      <c r="AG153" s="71">
        <f>AG28+AG53+AG78+AG103+AG128</f>
        <v/>
      </c>
      <c r="AH153" s="71">
        <f>AH28+AH53+AH78+AH103+AH128</f>
        <v/>
      </c>
      <c r="AI153" s="71">
        <f>AI28+AI53+AI78+AI103+AI128</f>
        <v/>
      </c>
      <c r="AJ153" s="71">
        <f>AJ28+AJ53+AJ78+AJ103+AJ128</f>
        <v/>
      </c>
      <c r="AK153" s="71">
        <f>AK28+AK53+AK78+AK103+AK128</f>
        <v/>
      </c>
      <c r="AL153" s="71">
        <f>AL28+AL53+AL78+AL103+AL128</f>
        <v/>
      </c>
      <c r="AM153" s="71">
        <f>AM28+AM53+AM78+AM103+AM128</f>
        <v/>
      </c>
      <c r="AN153" s="71">
        <f>AN28+AN53+AN78+AN103+AN128</f>
        <v/>
      </c>
      <c r="AO153" s="71">
        <f>AO28+AO53+AO78+AO103+AO128</f>
        <v/>
      </c>
      <c r="AP153" s="71">
        <f>AP28+AP53+AP78+AP103+AP128</f>
        <v/>
      </c>
      <c r="AQ153" s="71">
        <f>AQ28+AQ53+AQ78+AQ103+AQ128</f>
        <v/>
      </c>
      <c r="AR153" s="71">
        <f>AR28+AR53+AR78+AR103+AR128</f>
        <v/>
      </c>
      <c r="AS153" s="71">
        <f>AS28+AS53+AS78+AS103+AS128</f>
        <v/>
      </c>
      <c r="AT153" s="71">
        <f>AT28+AT53+AT78+AT103+AT128</f>
        <v/>
      </c>
      <c r="AU153" s="71">
        <f>AU28+AU53+AU78+AU103+AU128</f>
        <v/>
      </c>
      <c r="AV153" s="71">
        <f>AV28+AV53+AV78+AV103+AV128</f>
        <v/>
      </c>
      <c r="AW153" s="71">
        <f>AW28+AW53+AW78+AW103+AW128</f>
        <v/>
      </c>
      <c r="AX153" s="71">
        <f>AX28+AX53+AX78+AX103+AX128</f>
        <v/>
      </c>
      <c r="AY153" s="71">
        <f>AY28+AY53+AY78+AY103+AY128</f>
        <v/>
      </c>
      <c r="AZ153" s="71">
        <f>AZ28+AZ53+AZ78+AZ103+AZ128</f>
        <v/>
      </c>
      <c r="BA153" s="71">
        <f>BA28+BA53+BA78+BA103+BA128</f>
        <v/>
      </c>
      <c r="BB153" s="71">
        <f>BB28+BB53+BB78+BB103+BB128</f>
        <v/>
      </c>
      <c r="BC153" s="71">
        <f>BC28+BC53+BC78+BC103+BC128</f>
        <v/>
      </c>
      <c r="BD153" s="71">
        <f>BD28+BD53+BD78+BD103+BD128</f>
        <v/>
      </c>
      <c r="BE153" s="71">
        <f>BE28+BE53+BE78+BE103+BE128</f>
        <v/>
      </c>
      <c r="BF153" s="71">
        <f>BF28+BF53+BF78+BF103+BF128</f>
        <v/>
      </c>
      <c r="BG153" s="71">
        <f>BG28+BG53+BG78+BG103+BG128</f>
        <v/>
      </c>
      <c r="BH153" s="71">
        <f>BH28+BH53+BH78+BH103+BH128</f>
        <v/>
      </c>
      <c r="BI153" s="71">
        <f>BI28+BI53+BI78+BI103+BI128</f>
        <v/>
      </c>
      <c r="BJ153" s="71">
        <f>BJ28+BJ53+BJ78+BJ103+BJ128</f>
        <v/>
      </c>
      <c r="BK153" s="71">
        <f>BK28+BK53+BK78+BK103+BK128</f>
        <v/>
      </c>
      <c r="BL153" s="71">
        <f>BL28+BL53+BL78+BL103+BL128</f>
        <v/>
      </c>
    </row>
    <row r="154">
      <c r="A154" s="60" t="inlineStr">
        <is>
          <t>Warranty &amp; after-sales provision</t>
        </is>
      </c>
      <c r="B154" s="61" t="inlineStr">
        <is>
          <t>LCY</t>
        </is>
      </c>
      <c r="C154" s="70">
        <f>SUM(E154:BL154)</f>
        <v/>
      </c>
      <c r="D154" s="63" t="n"/>
      <c r="E154" s="71">
        <f>E29+E54+E79+E104+E129</f>
        <v/>
      </c>
      <c r="F154" s="71">
        <f>F29+F54+F79+F104+F129</f>
        <v/>
      </c>
      <c r="G154" s="71">
        <f>G29+G54+G79+G104+G129</f>
        <v/>
      </c>
      <c r="H154" s="71">
        <f>H29+H54+H79+H104+H129</f>
        <v/>
      </c>
      <c r="I154" s="71">
        <f>I29+I54+I79+I104+I129</f>
        <v/>
      </c>
      <c r="J154" s="71">
        <f>J29+J54+J79+J104+J129</f>
        <v/>
      </c>
      <c r="K154" s="71">
        <f>K29+K54+K79+K104+K129</f>
        <v/>
      </c>
      <c r="L154" s="71">
        <f>L29+L54+L79+L104+L129</f>
        <v/>
      </c>
      <c r="M154" s="71">
        <f>M29+M54+M79+M104+M129</f>
        <v/>
      </c>
      <c r="N154" s="71">
        <f>N29+N54+N79+N104+N129</f>
        <v/>
      </c>
      <c r="O154" s="71">
        <f>O29+O54+O79+O104+O129</f>
        <v/>
      </c>
      <c r="P154" s="71">
        <f>P29+P54+P79+P104+P129</f>
        <v/>
      </c>
      <c r="Q154" s="71">
        <f>Q29+Q54+Q79+Q104+Q129</f>
        <v/>
      </c>
      <c r="R154" s="71">
        <f>R29+R54+R79+R104+R129</f>
        <v/>
      </c>
      <c r="S154" s="71">
        <f>S29+S54+S79+S104+S129</f>
        <v/>
      </c>
      <c r="T154" s="71">
        <f>T29+T54+T79+T104+T129</f>
        <v/>
      </c>
      <c r="U154" s="71">
        <f>U29+U54+U79+U104+U129</f>
        <v/>
      </c>
      <c r="V154" s="71">
        <f>V29+V54+V79+V104+V129</f>
        <v/>
      </c>
      <c r="W154" s="71">
        <f>W29+W54+W79+W104+W129</f>
        <v/>
      </c>
      <c r="X154" s="71">
        <f>X29+X54+X79+X104+X129</f>
        <v/>
      </c>
      <c r="Y154" s="71">
        <f>Y29+Y54+Y79+Y104+Y129</f>
        <v/>
      </c>
      <c r="Z154" s="71">
        <f>Z29+Z54+Z79+Z104+Z129</f>
        <v/>
      </c>
      <c r="AA154" s="71">
        <f>AA29+AA54+AA79+AA104+AA129</f>
        <v/>
      </c>
      <c r="AB154" s="71">
        <f>AB29+AB54+AB79+AB104+AB129</f>
        <v/>
      </c>
      <c r="AC154" s="71">
        <f>AC29+AC54+AC79+AC104+AC129</f>
        <v/>
      </c>
      <c r="AD154" s="71">
        <f>AD29+AD54+AD79+AD104+AD129</f>
        <v/>
      </c>
      <c r="AE154" s="71">
        <f>AE29+AE54+AE79+AE104+AE129</f>
        <v/>
      </c>
      <c r="AF154" s="71">
        <f>AF29+AF54+AF79+AF104+AF129</f>
        <v/>
      </c>
      <c r="AG154" s="71">
        <f>AG29+AG54+AG79+AG104+AG129</f>
        <v/>
      </c>
      <c r="AH154" s="71">
        <f>AH29+AH54+AH79+AH104+AH129</f>
        <v/>
      </c>
      <c r="AI154" s="71">
        <f>AI29+AI54+AI79+AI104+AI129</f>
        <v/>
      </c>
      <c r="AJ154" s="71">
        <f>AJ29+AJ54+AJ79+AJ104+AJ129</f>
        <v/>
      </c>
      <c r="AK154" s="71">
        <f>AK29+AK54+AK79+AK104+AK129</f>
        <v/>
      </c>
      <c r="AL154" s="71">
        <f>AL29+AL54+AL79+AL104+AL129</f>
        <v/>
      </c>
      <c r="AM154" s="71">
        <f>AM29+AM54+AM79+AM104+AM129</f>
        <v/>
      </c>
      <c r="AN154" s="71">
        <f>AN29+AN54+AN79+AN104+AN129</f>
        <v/>
      </c>
      <c r="AO154" s="71">
        <f>AO29+AO54+AO79+AO104+AO129</f>
        <v/>
      </c>
      <c r="AP154" s="71">
        <f>AP29+AP54+AP79+AP104+AP129</f>
        <v/>
      </c>
      <c r="AQ154" s="71">
        <f>AQ29+AQ54+AQ79+AQ104+AQ129</f>
        <v/>
      </c>
      <c r="AR154" s="71">
        <f>AR29+AR54+AR79+AR104+AR129</f>
        <v/>
      </c>
      <c r="AS154" s="71">
        <f>AS29+AS54+AS79+AS104+AS129</f>
        <v/>
      </c>
      <c r="AT154" s="71">
        <f>AT29+AT54+AT79+AT104+AT129</f>
        <v/>
      </c>
      <c r="AU154" s="71">
        <f>AU29+AU54+AU79+AU104+AU129</f>
        <v/>
      </c>
      <c r="AV154" s="71">
        <f>AV29+AV54+AV79+AV104+AV129</f>
        <v/>
      </c>
      <c r="AW154" s="71">
        <f>AW29+AW54+AW79+AW104+AW129</f>
        <v/>
      </c>
      <c r="AX154" s="71">
        <f>AX29+AX54+AX79+AX104+AX129</f>
        <v/>
      </c>
      <c r="AY154" s="71">
        <f>AY29+AY54+AY79+AY104+AY129</f>
        <v/>
      </c>
      <c r="AZ154" s="71">
        <f>AZ29+AZ54+AZ79+AZ104+AZ129</f>
        <v/>
      </c>
      <c r="BA154" s="71">
        <f>BA29+BA54+BA79+BA104+BA129</f>
        <v/>
      </c>
      <c r="BB154" s="71">
        <f>BB29+BB54+BB79+BB104+BB129</f>
        <v/>
      </c>
      <c r="BC154" s="71">
        <f>BC29+BC54+BC79+BC104+BC129</f>
        <v/>
      </c>
      <c r="BD154" s="71">
        <f>BD29+BD54+BD79+BD104+BD129</f>
        <v/>
      </c>
      <c r="BE154" s="71">
        <f>BE29+BE54+BE79+BE104+BE129</f>
        <v/>
      </c>
      <c r="BF154" s="71">
        <f>BF29+BF54+BF79+BF104+BF129</f>
        <v/>
      </c>
      <c r="BG154" s="71">
        <f>BG29+BG54+BG79+BG104+BG129</f>
        <v/>
      </c>
      <c r="BH154" s="71">
        <f>BH29+BH54+BH79+BH104+BH129</f>
        <v/>
      </c>
      <c r="BI154" s="71">
        <f>BI29+BI54+BI79+BI104+BI129</f>
        <v/>
      </c>
      <c r="BJ154" s="71">
        <f>BJ29+BJ54+BJ79+BJ104+BJ129</f>
        <v/>
      </c>
      <c r="BK154" s="71">
        <f>BK29+BK54+BK79+BK104+BK129</f>
        <v/>
      </c>
      <c r="BL154" s="71">
        <f>BL29+BL54+BL79+BL104+BL129</f>
        <v/>
      </c>
    </row>
    <row r="155">
      <c r="A155" s="60" t="inlineStr">
        <is>
          <t>Commissions</t>
        </is>
      </c>
      <c r="B155" s="61" t="inlineStr">
        <is>
          <t>LCY</t>
        </is>
      </c>
      <c r="C155" s="70">
        <f>SUM(E155:BL155)</f>
        <v/>
      </c>
      <c r="D155" s="63" t="n"/>
      <c r="E155" s="71">
        <f>E30+E55+E80+E105+E130</f>
        <v/>
      </c>
      <c r="F155" s="71">
        <f>F30+F55+F80+F105+F130</f>
        <v/>
      </c>
      <c r="G155" s="71">
        <f>G30+G55+G80+G105+G130</f>
        <v/>
      </c>
      <c r="H155" s="71">
        <f>H30+H55+H80+H105+H130</f>
        <v/>
      </c>
      <c r="I155" s="71">
        <f>I30+I55+I80+I105+I130</f>
        <v/>
      </c>
      <c r="J155" s="71">
        <f>J30+J55+J80+J105+J130</f>
        <v/>
      </c>
      <c r="K155" s="71">
        <f>K30+K55+K80+K105+K130</f>
        <v/>
      </c>
      <c r="L155" s="71">
        <f>L30+L55+L80+L105+L130</f>
        <v/>
      </c>
      <c r="M155" s="71">
        <f>M30+M55+M80+M105+M130</f>
        <v/>
      </c>
      <c r="N155" s="71">
        <f>N30+N55+N80+N105+N130</f>
        <v/>
      </c>
      <c r="O155" s="71">
        <f>O30+O55+O80+O105+O130</f>
        <v/>
      </c>
      <c r="P155" s="71">
        <f>P30+P55+P80+P105+P130</f>
        <v/>
      </c>
      <c r="Q155" s="71">
        <f>Q30+Q55+Q80+Q105+Q130</f>
        <v/>
      </c>
      <c r="R155" s="71">
        <f>R30+R55+R80+R105+R130</f>
        <v/>
      </c>
      <c r="S155" s="71">
        <f>S30+S55+S80+S105+S130</f>
        <v/>
      </c>
      <c r="T155" s="71">
        <f>T30+T55+T80+T105+T130</f>
        <v/>
      </c>
      <c r="U155" s="71">
        <f>U30+U55+U80+U105+U130</f>
        <v/>
      </c>
      <c r="V155" s="71">
        <f>V30+V55+V80+V105+V130</f>
        <v/>
      </c>
      <c r="W155" s="71">
        <f>W30+W55+W80+W105+W130</f>
        <v/>
      </c>
      <c r="X155" s="71">
        <f>X30+X55+X80+X105+X130</f>
        <v/>
      </c>
      <c r="Y155" s="71">
        <f>Y30+Y55+Y80+Y105+Y130</f>
        <v/>
      </c>
      <c r="Z155" s="71">
        <f>Z30+Z55+Z80+Z105+Z130</f>
        <v/>
      </c>
      <c r="AA155" s="71">
        <f>AA30+AA55+AA80+AA105+AA130</f>
        <v/>
      </c>
      <c r="AB155" s="71">
        <f>AB30+AB55+AB80+AB105+AB130</f>
        <v/>
      </c>
      <c r="AC155" s="71">
        <f>AC30+AC55+AC80+AC105+AC130</f>
        <v/>
      </c>
      <c r="AD155" s="71">
        <f>AD30+AD55+AD80+AD105+AD130</f>
        <v/>
      </c>
      <c r="AE155" s="71">
        <f>AE30+AE55+AE80+AE105+AE130</f>
        <v/>
      </c>
      <c r="AF155" s="71">
        <f>AF30+AF55+AF80+AF105+AF130</f>
        <v/>
      </c>
      <c r="AG155" s="71">
        <f>AG30+AG55+AG80+AG105+AG130</f>
        <v/>
      </c>
      <c r="AH155" s="71">
        <f>AH30+AH55+AH80+AH105+AH130</f>
        <v/>
      </c>
      <c r="AI155" s="71">
        <f>AI30+AI55+AI80+AI105+AI130</f>
        <v/>
      </c>
      <c r="AJ155" s="71">
        <f>AJ30+AJ55+AJ80+AJ105+AJ130</f>
        <v/>
      </c>
      <c r="AK155" s="71">
        <f>AK30+AK55+AK80+AK105+AK130</f>
        <v/>
      </c>
      <c r="AL155" s="71">
        <f>AL30+AL55+AL80+AL105+AL130</f>
        <v/>
      </c>
      <c r="AM155" s="71">
        <f>AM30+AM55+AM80+AM105+AM130</f>
        <v/>
      </c>
      <c r="AN155" s="71">
        <f>AN30+AN55+AN80+AN105+AN130</f>
        <v/>
      </c>
      <c r="AO155" s="71">
        <f>AO30+AO55+AO80+AO105+AO130</f>
        <v/>
      </c>
      <c r="AP155" s="71">
        <f>AP30+AP55+AP80+AP105+AP130</f>
        <v/>
      </c>
      <c r="AQ155" s="71">
        <f>AQ30+AQ55+AQ80+AQ105+AQ130</f>
        <v/>
      </c>
      <c r="AR155" s="71">
        <f>AR30+AR55+AR80+AR105+AR130</f>
        <v/>
      </c>
      <c r="AS155" s="71">
        <f>AS30+AS55+AS80+AS105+AS130</f>
        <v/>
      </c>
      <c r="AT155" s="71">
        <f>AT30+AT55+AT80+AT105+AT130</f>
        <v/>
      </c>
      <c r="AU155" s="71">
        <f>AU30+AU55+AU80+AU105+AU130</f>
        <v/>
      </c>
      <c r="AV155" s="71">
        <f>AV30+AV55+AV80+AV105+AV130</f>
        <v/>
      </c>
      <c r="AW155" s="71">
        <f>AW30+AW55+AW80+AW105+AW130</f>
        <v/>
      </c>
      <c r="AX155" s="71">
        <f>AX30+AX55+AX80+AX105+AX130</f>
        <v/>
      </c>
      <c r="AY155" s="71">
        <f>AY30+AY55+AY80+AY105+AY130</f>
        <v/>
      </c>
      <c r="AZ155" s="71">
        <f>AZ30+AZ55+AZ80+AZ105+AZ130</f>
        <v/>
      </c>
      <c r="BA155" s="71">
        <f>BA30+BA55+BA80+BA105+BA130</f>
        <v/>
      </c>
      <c r="BB155" s="71">
        <f>BB30+BB55+BB80+BB105+BB130</f>
        <v/>
      </c>
      <c r="BC155" s="71">
        <f>BC30+BC55+BC80+BC105+BC130</f>
        <v/>
      </c>
      <c r="BD155" s="71">
        <f>BD30+BD55+BD80+BD105+BD130</f>
        <v/>
      </c>
      <c r="BE155" s="71">
        <f>BE30+BE55+BE80+BE105+BE130</f>
        <v/>
      </c>
      <c r="BF155" s="71">
        <f>BF30+BF55+BF80+BF105+BF130</f>
        <v/>
      </c>
      <c r="BG155" s="71">
        <f>BG30+BG55+BG80+BG105+BG130</f>
        <v/>
      </c>
      <c r="BH155" s="71">
        <f>BH30+BH55+BH80+BH105+BH130</f>
        <v/>
      </c>
      <c r="BI155" s="71">
        <f>BI30+BI55+BI80+BI105+BI130</f>
        <v/>
      </c>
      <c r="BJ155" s="71">
        <f>BJ30+BJ55+BJ80+BJ105+BJ130</f>
        <v/>
      </c>
      <c r="BK155" s="71">
        <f>BK30+BK55+BK80+BK105+BK130</f>
        <v/>
      </c>
      <c r="BL155" s="71">
        <f>BL30+BL55+BL80+BL105+BL130</f>
        <v/>
      </c>
    </row>
    <row r="156">
      <c r="A156" s="60" t="inlineStr">
        <is>
          <t>Marketing &amp; acquisition</t>
        </is>
      </c>
      <c r="B156" s="61" t="inlineStr">
        <is>
          <t>LCY</t>
        </is>
      </c>
      <c r="C156" s="70">
        <f>SUM(E156:BL156)</f>
        <v/>
      </c>
      <c r="D156" s="63" t="n"/>
      <c r="E156" s="71">
        <f>E31+E56+E81+E106+E131</f>
        <v/>
      </c>
      <c r="F156" s="71">
        <f>F31+F56+F81+F106+F131</f>
        <v/>
      </c>
      <c r="G156" s="71">
        <f>G31+G56+G81+G106+G131</f>
        <v/>
      </c>
      <c r="H156" s="71">
        <f>H31+H56+H81+H106+H131</f>
        <v/>
      </c>
      <c r="I156" s="71">
        <f>I31+I56+I81+I106+I131</f>
        <v/>
      </c>
      <c r="J156" s="71">
        <f>J31+J56+J81+J106+J131</f>
        <v/>
      </c>
      <c r="K156" s="71">
        <f>K31+K56+K81+K106+K131</f>
        <v/>
      </c>
      <c r="L156" s="71">
        <f>L31+L56+L81+L106+L131</f>
        <v/>
      </c>
      <c r="M156" s="71">
        <f>M31+M56+M81+M106+M131</f>
        <v/>
      </c>
      <c r="N156" s="71">
        <f>N31+N56+N81+N106+N131</f>
        <v/>
      </c>
      <c r="O156" s="71">
        <f>O31+O56+O81+O106+O131</f>
        <v/>
      </c>
      <c r="P156" s="71">
        <f>P31+P56+P81+P106+P131</f>
        <v/>
      </c>
      <c r="Q156" s="71">
        <f>Q31+Q56+Q81+Q106+Q131</f>
        <v/>
      </c>
      <c r="R156" s="71">
        <f>R31+R56+R81+R106+R131</f>
        <v/>
      </c>
      <c r="S156" s="71">
        <f>S31+S56+S81+S106+S131</f>
        <v/>
      </c>
      <c r="T156" s="71">
        <f>T31+T56+T81+T106+T131</f>
        <v/>
      </c>
      <c r="U156" s="71">
        <f>U31+U56+U81+U106+U131</f>
        <v/>
      </c>
      <c r="V156" s="71">
        <f>V31+V56+V81+V106+V131</f>
        <v/>
      </c>
      <c r="W156" s="71">
        <f>W31+W56+W81+W106+W131</f>
        <v/>
      </c>
      <c r="X156" s="71">
        <f>X31+X56+X81+X106+X131</f>
        <v/>
      </c>
      <c r="Y156" s="71">
        <f>Y31+Y56+Y81+Y106+Y131</f>
        <v/>
      </c>
      <c r="Z156" s="71">
        <f>Z31+Z56+Z81+Z106+Z131</f>
        <v/>
      </c>
      <c r="AA156" s="71">
        <f>AA31+AA56+AA81+AA106+AA131</f>
        <v/>
      </c>
      <c r="AB156" s="71">
        <f>AB31+AB56+AB81+AB106+AB131</f>
        <v/>
      </c>
      <c r="AC156" s="71">
        <f>AC31+AC56+AC81+AC106+AC131</f>
        <v/>
      </c>
      <c r="AD156" s="71">
        <f>AD31+AD56+AD81+AD106+AD131</f>
        <v/>
      </c>
      <c r="AE156" s="71">
        <f>AE31+AE56+AE81+AE106+AE131</f>
        <v/>
      </c>
      <c r="AF156" s="71">
        <f>AF31+AF56+AF81+AF106+AF131</f>
        <v/>
      </c>
      <c r="AG156" s="71">
        <f>AG31+AG56+AG81+AG106+AG131</f>
        <v/>
      </c>
      <c r="AH156" s="71">
        <f>AH31+AH56+AH81+AH106+AH131</f>
        <v/>
      </c>
      <c r="AI156" s="71">
        <f>AI31+AI56+AI81+AI106+AI131</f>
        <v/>
      </c>
      <c r="AJ156" s="71">
        <f>AJ31+AJ56+AJ81+AJ106+AJ131</f>
        <v/>
      </c>
      <c r="AK156" s="71">
        <f>AK31+AK56+AK81+AK106+AK131</f>
        <v/>
      </c>
      <c r="AL156" s="71">
        <f>AL31+AL56+AL81+AL106+AL131</f>
        <v/>
      </c>
      <c r="AM156" s="71">
        <f>AM31+AM56+AM81+AM106+AM131</f>
        <v/>
      </c>
      <c r="AN156" s="71">
        <f>AN31+AN56+AN81+AN106+AN131</f>
        <v/>
      </c>
      <c r="AO156" s="71">
        <f>AO31+AO56+AO81+AO106+AO131</f>
        <v/>
      </c>
      <c r="AP156" s="71">
        <f>AP31+AP56+AP81+AP106+AP131</f>
        <v/>
      </c>
      <c r="AQ156" s="71">
        <f>AQ31+AQ56+AQ81+AQ106+AQ131</f>
        <v/>
      </c>
      <c r="AR156" s="71">
        <f>AR31+AR56+AR81+AR106+AR131</f>
        <v/>
      </c>
      <c r="AS156" s="71">
        <f>AS31+AS56+AS81+AS106+AS131</f>
        <v/>
      </c>
      <c r="AT156" s="71">
        <f>AT31+AT56+AT81+AT106+AT131</f>
        <v/>
      </c>
      <c r="AU156" s="71">
        <f>AU31+AU56+AU81+AU106+AU131</f>
        <v/>
      </c>
      <c r="AV156" s="71">
        <f>AV31+AV56+AV81+AV106+AV131</f>
        <v/>
      </c>
      <c r="AW156" s="71">
        <f>AW31+AW56+AW81+AW106+AW131</f>
        <v/>
      </c>
      <c r="AX156" s="71">
        <f>AX31+AX56+AX81+AX106+AX131</f>
        <v/>
      </c>
      <c r="AY156" s="71">
        <f>AY31+AY56+AY81+AY106+AY131</f>
        <v/>
      </c>
      <c r="AZ156" s="71">
        <f>AZ31+AZ56+AZ81+AZ106+AZ131</f>
        <v/>
      </c>
      <c r="BA156" s="71">
        <f>BA31+BA56+BA81+BA106+BA131</f>
        <v/>
      </c>
      <c r="BB156" s="71">
        <f>BB31+BB56+BB81+BB106+BB131</f>
        <v/>
      </c>
      <c r="BC156" s="71">
        <f>BC31+BC56+BC81+BC106+BC131</f>
        <v/>
      </c>
      <c r="BD156" s="71">
        <f>BD31+BD56+BD81+BD106+BD131</f>
        <v/>
      </c>
      <c r="BE156" s="71">
        <f>BE31+BE56+BE81+BE106+BE131</f>
        <v/>
      </c>
      <c r="BF156" s="71">
        <f>BF31+BF56+BF81+BF106+BF131</f>
        <v/>
      </c>
      <c r="BG156" s="71">
        <f>BG31+BG56+BG81+BG106+BG131</f>
        <v/>
      </c>
      <c r="BH156" s="71">
        <f>BH31+BH56+BH81+BH106+BH131</f>
        <v/>
      </c>
      <c r="BI156" s="71">
        <f>BI31+BI56+BI81+BI106+BI131</f>
        <v/>
      </c>
      <c r="BJ156" s="71">
        <f>BJ31+BJ56+BJ81+BJ106+BJ131</f>
        <v/>
      </c>
      <c r="BK156" s="71">
        <f>BK31+BK56+BK81+BK106+BK131</f>
        <v/>
      </c>
      <c r="BL156" s="71">
        <f>BL31+BL56+BL81+BL106+BL131</f>
        <v/>
      </c>
    </row>
    <row r="157"/>
    <row r="158">
      <c r="A158" s="55" t="inlineStr">
        <is>
          <t>Cumulative unlocked accounts (customer ownership)</t>
        </is>
      </c>
      <c r="B158" s="26" t="inlineStr">
        <is>
          <t>accounts</t>
        </is>
      </c>
      <c r="C158" s="58">
        <f>BL158</f>
        <v/>
      </c>
      <c r="E158" s="39">
        <f>D158+E147</f>
        <v/>
      </c>
      <c r="F158" s="39">
        <f>E158+F147</f>
        <v/>
      </c>
      <c r="G158" s="39">
        <f>F158+G147</f>
        <v/>
      </c>
      <c r="H158" s="39">
        <f>G158+H147</f>
        <v/>
      </c>
      <c r="I158" s="39">
        <f>H158+I147</f>
        <v/>
      </c>
      <c r="J158" s="39">
        <f>I158+J147</f>
        <v/>
      </c>
      <c r="K158" s="39">
        <f>J158+K147</f>
        <v/>
      </c>
      <c r="L158" s="39">
        <f>K158+L147</f>
        <v/>
      </c>
      <c r="M158" s="39">
        <f>L158+M147</f>
        <v/>
      </c>
      <c r="N158" s="39">
        <f>M158+N147</f>
        <v/>
      </c>
      <c r="O158" s="39">
        <f>N158+O147</f>
        <v/>
      </c>
      <c r="P158" s="39">
        <f>O158+P147</f>
        <v/>
      </c>
      <c r="Q158" s="39">
        <f>P158+Q147</f>
        <v/>
      </c>
      <c r="R158" s="39">
        <f>Q158+R147</f>
        <v/>
      </c>
      <c r="S158" s="39">
        <f>R158+S147</f>
        <v/>
      </c>
      <c r="T158" s="39">
        <f>S158+T147</f>
        <v/>
      </c>
      <c r="U158" s="39">
        <f>T158+U147</f>
        <v/>
      </c>
      <c r="V158" s="39">
        <f>U158+V147</f>
        <v/>
      </c>
      <c r="W158" s="39">
        <f>V158+W147</f>
        <v/>
      </c>
      <c r="X158" s="39">
        <f>W158+X147</f>
        <v/>
      </c>
      <c r="Y158" s="39">
        <f>X158+Y147</f>
        <v/>
      </c>
      <c r="Z158" s="39">
        <f>Y158+Z147</f>
        <v/>
      </c>
      <c r="AA158" s="39">
        <f>Z158+AA147</f>
        <v/>
      </c>
      <c r="AB158" s="39">
        <f>AA158+AB147</f>
        <v/>
      </c>
      <c r="AC158" s="39">
        <f>AB158+AC147</f>
        <v/>
      </c>
      <c r="AD158" s="39">
        <f>AC158+AD147</f>
        <v/>
      </c>
      <c r="AE158" s="39">
        <f>AD158+AE147</f>
        <v/>
      </c>
      <c r="AF158" s="39">
        <f>AE158+AF147</f>
        <v/>
      </c>
      <c r="AG158" s="39">
        <f>AF158+AG147</f>
        <v/>
      </c>
      <c r="AH158" s="39">
        <f>AG158+AH147</f>
        <v/>
      </c>
      <c r="AI158" s="39">
        <f>AH158+AI147</f>
        <v/>
      </c>
      <c r="AJ158" s="39">
        <f>AI158+AJ147</f>
        <v/>
      </c>
      <c r="AK158" s="39">
        <f>AJ158+AK147</f>
        <v/>
      </c>
      <c r="AL158" s="39">
        <f>AK158+AL147</f>
        <v/>
      </c>
      <c r="AM158" s="39">
        <f>AL158+AM147</f>
        <v/>
      </c>
      <c r="AN158" s="39">
        <f>AM158+AN147</f>
        <v/>
      </c>
      <c r="AO158" s="39">
        <f>AN158+AO147</f>
        <v/>
      </c>
      <c r="AP158" s="39">
        <f>AO158+AP147</f>
        <v/>
      </c>
      <c r="AQ158" s="39">
        <f>AP158+AQ147</f>
        <v/>
      </c>
      <c r="AR158" s="39">
        <f>AQ158+AR147</f>
        <v/>
      </c>
      <c r="AS158" s="39">
        <f>AR158+AS147</f>
        <v/>
      </c>
      <c r="AT158" s="39">
        <f>AS158+AT147</f>
        <v/>
      </c>
      <c r="AU158" s="39">
        <f>AT158+AU147</f>
        <v/>
      </c>
      <c r="AV158" s="39">
        <f>AU158+AV147</f>
        <v/>
      </c>
      <c r="AW158" s="39">
        <f>AV158+AW147</f>
        <v/>
      </c>
      <c r="AX158" s="39">
        <f>AW158+AX147</f>
        <v/>
      </c>
      <c r="AY158" s="39">
        <f>AX158+AY147</f>
        <v/>
      </c>
      <c r="AZ158" s="39">
        <f>AY158+AZ147</f>
        <v/>
      </c>
      <c r="BA158" s="39">
        <f>AZ158+BA147</f>
        <v/>
      </c>
      <c r="BB158" s="39">
        <f>BA158+BB147</f>
        <v/>
      </c>
      <c r="BC158" s="39">
        <f>BB158+BC147</f>
        <v/>
      </c>
      <c r="BD158" s="39">
        <f>BC158+BD147</f>
        <v/>
      </c>
      <c r="BE158" s="39">
        <f>BD158+BE147</f>
        <v/>
      </c>
      <c r="BF158" s="39">
        <f>BE158+BF147</f>
        <v/>
      </c>
      <c r="BG158" s="39">
        <f>BF158+BG147</f>
        <v/>
      </c>
      <c r="BH158" s="39">
        <f>BG158+BH147</f>
        <v/>
      </c>
      <c r="BI158" s="39">
        <f>BH158+BI147</f>
        <v/>
      </c>
      <c r="BJ158" s="39">
        <f>BI158+BJ147</f>
        <v/>
      </c>
      <c r="BK158" s="39">
        <f>BJ158+BK147</f>
        <v/>
      </c>
      <c r="BL158" s="39">
        <f>BK158+BL147</f>
        <v/>
      </c>
    </row>
    <row r="159">
      <c r="A159" s="55" t="inlineStr">
        <is>
          <t>Collection rate (collected / due, excl. down payments)</t>
        </is>
      </c>
      <c r="B159" s="26" t="inlineStr">
        <is>
          <t>%</t>
        </is>
      </c>
      <c r="E159" s="40">
        <f>IF(E139=0,0,E140/E139)</f>
        <v/>
      </c>
      <c r="F159" s="40">
        <f>IF(F139=0,0,F140/F139)</f>
        <v/>
      </c>
      <c r="G159" s="40">
        <f>IF(G139=0,0,G140/G139)</f>
        <v/>
      </c>
      <c r="H159" s="40">
        <f>IF(H139=0,0,H140/H139)</f>
        <v/>
      </c>
      <c r="I159" s="40">
        <f>IF(I139=0,0,I140/I139)</f>
        <v/>
      </c>
      <c r="J159" s="40">
        <f>IF(J139=0,0,J140/J139)</f>
        <v/>
      </c>
      <c r="K159" s="40">
        <f>IF(K139=0,0,K140/K139)</f>
        <v/>
      </c>
      <c r="L159" s="40">
        <f>IF(L139=0,0,L140/L139)</f>
        <v/>
      </c>
      <c r="M159" s="40">
        <f>IF(M139=0,0,M140/M139)</f>
        <v/>
      </c>
      <c r="N159" s="40">
        <f>IF(N139=0,0,N140/N139)</f>
        <v/>
      </c>
      <c r="O159" s="40">
        <f>IF(O139=0,0,O140/O139)</f>
        <v/>
      </c>
      <c r="P159" s="40">
        <f>IF(P139=0,0,P140/P139)</f>
        <v/>
      </c>
      <c r="Q159" s="40">
        <f>IF(Q139=0,0,Q140/Q139)</f>
        <v/>
      </c>
      <c r="R159" s="40">
        <f>IF(R139=0,0,R140/R139)</f>
        <v/>
      </c>
      <c r="S159" s="40">
        <f>IF(S139=0,0,S140/S139)</f>
        <v/>
      </c>
      <c r="T159" s="40">
        <f>IF(T139=0,0,T140/T139)</f>
        <v/>
      </c>
      <c r="U159" s="40">
        <f>IF(U139=0,0,U140/U139)</f>
        <v/>
      </c>
      <c r="V159" s="40">
        <f>IF(V139=0,0,V140/V139)</f>
        <v/>
      </c>
      <c r="W159" s="40">
        <f>IF(W139=0,0,W140/W139)</f>
        <v/>
      </c>
      <c r="X159" s="40">
        <f>IF(X139=0,0,X140/X139)</f>
        <v/>
      </c>
      <c r="Y159" s="40">
        <f>IF(Y139=0,0,Y140/Y139)</f>
        <v/>
      </c>
      <c r="Z159" s="40">
        <f>IF(Z139=0,0,Z140/Z139)</f>
        <v/>
      </c>
      <c r="AA159" s="40">
        <f>IF(AA139=0,0,AA140/AA139)</f>
        <v/>
      </c>
      <c r="AB159" s="40">
        <f>IF(AB139=0,0,AB140/AB139)</f>
        <v/>
      </c>
      <c r="AC159" s="40">
        <f>IF(AC139=0,0,AC140/AC139)</f>
        <v/>
      </c>
      <c r="AD159" s="40">
        <f>IF(AD139=0,0,AD140/AD139)</f>
        <v/>
      </c>
      <c r="AE159" s="40">
        <f>IF(AE139=0,0,AE140/AE139)</f>
        <v/>
      </c>
      <c r="AF159" s="40">
        <f>IF(AF139=0,0,AF140/AF139)</f>
        <v/>
      </c>
      <c r="AG159" s="40">
        <f>IF(AG139=0,0,AG140/AG139)</f>
        <v/>
      </c>
      <c r="AH159" s="40">
        <f>IF(AH139=0,0,AH140/AH139)</f>
        <v/>
      </c>
      <c r="AI159" s="40">
        <f>IF(AI139=0,0,AI140/AI139)</f>
        <v/>
      </c>
      <c r="AJ159" s="40">
        <f>IF(AJ139=0,0,AJ140/AJ139)</f>
        <v/>
      </c>
      <c r="AK159" s="40">
        <f>IF(AK139=0,0,AK140/AK139)</f>
        <v/>
      </c>
      <c r="AL159" s="40">
        <f>IF(AL139=0,0,AL140/AL139)</f>
        <v/>
      </c>
      <c r="AM159" s="40">
        <f>IF(AM139=0,0,AM140/AM139)</f>
        <v/>
      </c>
      <c r="AN159" s="40">
        <f>IF(AN139=0,0,AN140/AN139)</f>
        <v/>
      </c>
      <c r="AO159" s="40">
        <f>IF(AO139=0,0,AO140/AO139)</f>
        <v/>
      </c>
      <c r="AP159" s="40">
        <f>IF(AP139=0,0,AP140/AP139)</f>
        <v/>
      </c>
      <c r="AQ159" s="40">
        <f>IF(AQ139=0,0,AQ140/AQ139)</f>
        <v/>
      </c>
      <c r="AR159" s="40">
        <f>IF(AR139=0,0,AR140/AR139)</f>
        <v/>
      </c>
      <c r="AS159" s="40">
        <f>IF(AS139=0,0,AS140/AS139)</f>
        <v/>
      </c>
      <c r="AT159" s="40">
        <f>IF(AT139=0,0,AT140/AT139)</f>
        <v/>
      </c>
      <c r="AU159" s="40">
        <f>IF(AU139=0,0,AU140/AU139)</f>
        <v/>
      </c>
      <c r="AV159" s="40">
        <f>IF(AV139=0,0,AV140/AV139)</f>
        <v/>
      </c>
      <c r="AW159" s="40">
        <f>IF(AW139=0,0,AW140/AW139)</f>
        <v/>
      </c>
      <c r="AX159" s="40">
        <f>IF(AX139=0,0,AX140/AX139)</f>
        <v/>
      </c>
      <c r="AY159" s="40">
        <f>IF(AY139=0,0,AY140/AY139)</f>
        <v/>
      </c>
      <c r="AZ159" s="40">
        <f>IF(AZ139=0,0,AZ140/AZ139)</f>
        <v/>
      </c>
      <c r="BA159" s="40">
        <f>IF(BA139=0,0,BA140/BA139)</f>
        <v/>
      </c>
      <c r="BB159" s="40">
        <f>IF(BB139=0,0,BB140/BB139)</f>
        <v/>
      </c>
      <c r="BC159" s="40">
        <f>IF(BC139=0,0,BC140/BC139)</f>
        <v/>
      </c>
      <c r="BD159" s="40">
        <f>IF(BD139=0,0,BD140/BD139)</f>
        <v/>
      </c>
      <c r="BE159" s="40">
        <f>IF(BE139=0,0,BE140/BE139)</f>
        <v/>
      </c>
      <c r="BF159" s="40">
        <f>IF(BF139=0,0,BF140/BF139)</f>
        <v/>
      </c>
      <c r="BG159" s="40">
        <f>IF(BG139=0,0,BG140/BG139)</f>
        <v/>
      </c>
      <c r="BH159" s="40">
        <f>IF(BH139=0,0,BH140/BH139)</f>
        <v/>
      </c>
      <c r="BI159" s="40">
        <f>IF(BI139=0,0,BI140/BI139)</f>
        <v/>
      </c>
      <c r="BJ159" s="40">
        <f>IF(BJ139=0,0,BJ140/BJ139)</f>
        <v/>
      </c>
      <c r="BK159" s="40">
        <f>IF(BK139=0,0,BK140/BK139)</f>
        <v/>
      </c>
      <c r="BL159" s="40">
        <f>IF(BL139=0,0,BL140/BL139)</f>
        <v/>
      </c>
    </row>
    <row r="160">
      <c r="A160" s="55" t="inlineStr">
        <is>
          <t>Write-off rate (missed / due)</t>
        </is>
      </c>
      <c r="B160" s="26" t="inlineStr">
        <is>
          <t>%</t>
        </is>
      </c>
      <c r="E160" s="40">
        <f>IF(E139=0,0,E141/E139)</f>
        <v/>
      </c>
      <c r="F160" s="40">
        <f>IF(F139=0,0,F141/F139)</f>
        <v/>
      </c>
      <c r="G160" s="40">
        <f>IF(G139=0,0,G141/G139)</f>
        <v/>
      </c>
      <c r="H160" s="40">
        <f>IF(H139=0,0,H141/H139)</f>
        <v/>
      </c>
      <c r="I160" s="40">
        <f>IF(I139=0,0,I141/I139)</f>
        <v/>
      </c>
      <c r="J160" s="40">
        <f>IF(J139=0,0,J141/J139)</f>
        <v/>
      </c>
      <c r="K160" s="40">
        <f>IF(K139=0,0,K141/K139)</f>
        <v/>
      </c>
      <c r="L160" s="40">
        <f>IF(L139=0,0,L141/L139)</f>
        <v/>
      </c>
      <c r="M160" s="40">
        <f>IF(M139=0,0,M141/M139)</f>
        <v/>
      </c>
      <c r="N160" s="40">
        <f>IF(N139=0,0,N141/N139)</f>
        <v/>
      </c>
      <c r="O160" s="40">
        <f>IF(O139=0,0,O141/O139)</f>
        <v/>
      </c>
      <c r="P160" s="40">
        <f>IF(P139=0,0,P141/P139)</f>
        <v/>
      </c>
      <c r="Q160" s="40">
        <f>IF(Q139=0,0,Q141/Q139)</f>
        <v/>
      </c>
      <c r="R160" s="40">
        <f>IF(R139=0,0,R141/R139)</f>
        <v/>
      </c>
      <c r="S160" s="40">
        <f>IF(S139=0,0,S141/S139)</f>
        <v/>
      </c>
      <c r="T160" s="40">
        <f>IF(T139=0,0,T141/T139)</f>
        <v/>
      </c>
      <c r="U160" s="40">
        <f>IF(U139=0,0,U141/U139)</f>
        <v/>
      </c>
      <c r="V160" s="40">
        <f>IF(V139=0,0,V141/V139)</f>
        <v/>
      </c>
      <c r="W160" s="40">
        <f>IF(W139=0,0,W141/W139)</f>
        <v/>
      </c>
      <c r="X160" s="40">
        <f>IF(X139=0,0,X141/X139)</f>
        <v/>
      </c>
      <c r="Y160" s="40">
        <f>IF(Y139=0,0,Y141/Y139)</f>
        <v/>
      </c>
      <c r="Z160" s="40">
        <f>IF(Z139=0,0,Z141/Z139)</f>
        <v/>
      </c>
      <c r="AA160" s="40">
        <f>IF(AA139=0,0,AA141/AA139)</f>
        <v/>
      </c>
      <c r="AB160" s="40">
        <f>IF(AB139=0,0,AB141/AB139)</f>
        <v/>
      </c>
      <c r="AC160" s="40">
        <f>IF(AC139=0,0,AC141/AC139)</f>
        <v/>
      </c>
      <c r="AD160" s="40">
        <f>IF(AD139=0,0,AD141/AD139)</f>
        <v/>
      </c>
      <c r="AE160" s="40">
        <f>IF(AE139=0,0,AE141/AE139)</f>
        <v/>
      </c>
      <c r="AF160" s="40">
        <f>IF(AF139=0,0,AF141/AF139)</f>
        <v/>
      </c>
      <c r="AG160" s="40">
        <f>IF(AG139=0,0,AG141/AG139)</f>
        <v/>
      </c>
      <c r="AH160" s="40">
        <f>IF(AH139=0,0,AH141/AH139)</f>
        <v/>
      </c>
      <c r="AI160" s="40">
        <f>IF(AI139=0,0,AI141/AI139)</f>
        <v/>
      </c>
      <c r="AJ160" s="40">
        <f>IF(AJ139=0,0,AJ141/AJ139)</f>
        <v/>
      </c>
      <c r="AK160" s="40">
        <f>IF(AK139=0,0,AK141/AK139)</f>
        <v/>
      </c>
      <c r="AL160" s="40">
        <f>IF(AL139=0,0,AL141/AL139)</f>
        <v/>
      </c>
      <c r="AM160" s="40">
        <f>IF(AM139=0,0,AM141/AM139)</f>
        <v/>
      </c>
      <c r="AN160" s="40">
        <f>IF(AN139=0,0,AN141/AN139)</f>
        <v/>
      </c>
      <c r="AO160" s="40">
        <f>IF(AO139=0,0,AO141/AO139)</f>
        <v/>
      </c>
      <c r="AP160" s="40">
        <f>IF(AP139=0,0,AP141/AP139)</f>
        <v/>
      </c>
      <c r="AQ160" s="40">
        <f>IF(AQ139=0,0,AQ141/AQ139)</f>
        <v/>
      </c>
      <c r="AR160" s="40">
        <f>IF(AR139=0,0,AR141/AR139)</f>
        <v/>
      </c>
      <c r="AS160" s="40">
        <f>IF(AS139=0,0,AS141/AS139)</f>
        <v/>
      </c>
      <c r="AT160" s="40">
        <f>IF(AT139=0,0,AT141/AT139)</f>
        <v/>
      </c>
      <c r="AU160" s="40">
        <f>IF(AU139=0,0,AU141/AU139)</f>
        <v/>
      </c>
      <c r="AV160" s="40">
        <f>IF(AV139=0,0,AV141/AV139)</f>
        <v/>
      </c>
      <c r="AW160" s="40">
        <f>IF(AW139=0,0,AW141/AW139)</f>
        <v/>
      </c>
      <c r="AX160" s="40">
        <f>IF(AX139=0,0,AX141/AX139)</f>
        <v/>
      </c>
      <c r="AY160" s="40">
        <f>IF(AY139=0,0,AY141/AY139)</f>
        <v/>
      </c>
      <c r="AZ160" s="40">
        <f>IF(AZ139=0,0,AZ141/AZ139)</f>
        <v/>
      </c>
      <c r="BA160" s="40">
        <f>IF(BA139=0,0,BA141/BA139)</f>
        <v/>
      </c>
      <c r="BB160" s="40">
        <f>IF(BB139=0,0,BB141/BB139)</f>
        <v/>
      </c>
      <c r="BC160" s="40">
        <f>IF(BC139=0,0,BC141/BC139)</f>
        <v/>
      </c>
      <c r="BD160" s="40">
        <f>IF(BD139=0,0,BD141/BD139)</f>
        <v/>
      </c>
      <c r="BE160" s="40">
        <f>IF(BE139=0,0,BE141/BE139)</f>
        <v/>
      </c>
      <c r="BF160" s="40">
        <f>IF(BF139=0,0,BF141/BF139)</f>
        <v/>
      </c>
      <c r="BG160" s="40">
        <f>IF(BG139=0,0,BG141/BG139)</f>
        <v/>
      </c>
      <c r="BH160" s="40">
        <f>IF(BH139=0,0,BH141/BH139)</f>
        <v/>
      </c>
      <c r="BI160" s="40">
        <f>IF(BI139=0,0,BI141/BI139)</f>
        <v/>
      </c>
      <c r="BJ160" s="40">
        <f>IF(BJ139=0,0,BJ141/BJ139)</f>
        <v/>
      </c>
      <c r="BK160" s="40">
        <f>IF(BK139=0,0,BK141/BK139)</f>
        <v/>
      </c>
      <c r="BL160" s="40">
        <f>IF(BL139=0,0,BL141/BL139)</f>
        <v/>
      </c>
    </row>
    <row r="161">
      <c r="A161" s="55" t="inlineStr">
        <is>
          <t>Receivables at risk / gross receivables</t>
        </is>
      </c>
      <c r="B161" s="26" t="inlineStr">
        <is>
          <t>%</t>
        </is>
      </c>
      <c r="E161" s="40">
        <f>IF(E149=0,0,E148/E149)</f>
        <v/>
      </c>
      <c r="F161" s="40">
        <f>IF(F149=0,0,F148/F149)</f>
        <v/>
      </c>
      <c r="G161" s="40">
        <f>IF(G149=0,0,G148/G149)</f>
        <v/>
      </c>
      <c r="H161" s="40">
        <f>IF(H149=0,0,H148/H149)</f>
        <v/>
      </c>
      <c r="I161" s="40">
        <f>IF(I149=0,0,I148/I149)</f>
        <v/>
      </c>
      <c r="J161" s="40">
        <f>IF(J149=0,0,J148/J149)</f>
        <v/>
      </c>
      <c r="K161" s="40">
        <f>IF(K149=0,0,K148/K149)</f>
        <v/>
      </c>
      <c r="L161" s="40">
        <f>IF(L149=0,0,L148/L149)</f>
        <v/>
      </c>
      <c r="M161" s="40">
        <f>IF(M149=0,0,M148/M149)</f>
        <v/>
      </c>
      <c r="N161" s="40">
        <f>IF(N149=0,0,N148/N149)</f>
        <v/>
      </c>
      <c r="O161" s="40">
        <f>IF(O149=0,0,O148/O149)</f>
        <v/>
      </c>
      <c r="P161" s="40">
        <f>IF(P149=0,0,P148/P149)</f>
        <v/>
      </c>
      <c r="Q161" s="40">
        <f>IF(Q149=0,0,Q148/Q149)</f>
        <v/>
      </c>
      <c r="R161" s="40">
        <f>IF(R149=0,0,R148/R149)</f>
        <v/>
      </c>
      <c r="S161" s="40">
        <f>IF(S149=0,0,S148/S149)</f>
        <v/>
      </c>
      <c r="T161" s="40">
        <f>IF(T149=0,0,T148/T149)</f>
        <v/>
      </c>
      <c r="U161" s="40">
        <f>IF(U149=0,0,U148/U149)</f>
        <v/>
      </c>
      <c r="V161" s="40">
        <f>IF(V149=0,0,V148/V149)</f>
        <v/>
      </c>
      <c r="W161" s="40">
        <f>IF(W149=0,0,W148/W149)</f>
        <v/>
      </c>
      <c r="X161" s="40">
        <f>IF(X149=0,0,X148/X149)</f>
        <v/>
      </c>
      <c r="Y161" s="40">
        <f>IF(Y149=0,0,Y148/Y149)</f>
        <v/>
      </c>
      <c r="Z161" s="40">
        <f>IF(Z149=0,0,Z148/Z149)</f>
        <v/>
      </c>
      <c r="AA161" s="40">
        <f>IF(AA149=0,0,AA148/AA149)</f>
        <v/>
      </c>
      <c r="AB161" s="40">
        <f>IF(AB149=0,0,AB148/AB149)</f>
        <v/>
      </c>
      <c r="AC161" s="40">
        <f>IF(AC149=0,0,AC148/AC149)</f>
        <v/>
      </c>
      <c r="AD161" s="40">
        <f>IF(AD149=0,0,AD148/AD149)</f>
        <v/>
      </c>
      <c r="AE161" s="40">
        <f>IF(AE149=0,0,AE148/AE149)</f>
        <v/>
      </c>
      <c r="AF161" s="40">
        <f>IF(AF149=0,0,AF148/AF149)</f>
        <v/>
      </c>
      <c r="AG161" s="40">
        <f>IF(AG149=0,0,AG148/AG149)</f>
        <v/>
      </c>
      <c r="AH161" s="40">
        <f>IF(AH149=0,0,AH148/AH149)</f>
        <v/>
      </c>
      <c r="AI161" s="40">
        <f>IF(AI149=0,0,AI148/AI149)</f>
        <v/>
      </c>
      <c r="AJ161" s="40">
        <f>IF(AJ149=0,0,AJ148/AJ149)</f>
        <v/>
      </c>
      <c r="AK161" s="40">
        <f>IF(AK149=0,0,AK148/AK149)</f>
        <v/>
      </c>
      <c r="AL161" s="40">
        <f>IF(AL149=0,0,AL148/AL149)</f>
        <v/>
      </c>
      <c r="AM161" s="40">
        <f>IF(AM149=0,0,AM148/AM149)</f>
        <v/>
      </c>
      <c r="AN161" s="40">
        <f>IF(AN149=0,0,AN148/AN149)</f>
        <v/>
      </c>
      <c r="AO161" s="40">
        <f>IF(AO149=0,0,AO148/AO149)</f>
        <v/>
      </c>
      <c r="AP161" s="40">
        <f>IF(AP149=0,0,AP148/AP149)</f>
        <v/>
      </c>
      <c r="AQ161" s="40">
        <f>IF(AQ149=0,0,AQ148/AQ149)</f>
        <v/>
      </c>
      <c r="AR161" s="40">
        <f>IF(AR149=0,0,AR148/AR149)</f>
        <v/>
      </c>
      <c r="AS161" s="40">
        <f>IF(AS149=0,0,AS148/AS149)</f>
        <v/>
      </c>
      <c r="AT161" s="40">
        <f>IF(AT149=0,0,AT148/AT149)</f>
        <v/>
      </c>
      <c r="AU161" s="40">
        <f>IF(AU149=0,0,AU148/AU149)</f>
        <v/>
      </c>
      <c r="AV161" s="40">
        <f>IF(AV149=0,0,AV148/AV149)</f>
        <v/>
      </c>
      <c r="AW161" s="40">
        <f>IF(AW149=0,0,AW148/AW149)</f>
        <v/>
      </c>
      <c r="AX161" s="40">
        <f>IF(AX149=0,0,AX148/AX149)</f>
        <v/>
      </c>
      <c r="AY161" s="40">
        <f>IF(AY149=0,0,AY148/AY149)</f>
        <v/>
      </c>
      <c r="AZ161" s="40">
        <f>IF(AZ149=0,0,AZ148/AZ149)</f>
        <v/>
      </c>
      <c r="BA161" s="40">
        <f>IF(BA149=0,0,BA148/BA149)</f>
        <v/>
      </c>
      <c r="BB161" s="40">
        <f>IF(BB149=0,0,BB148/BB149)</f>
        <v/>
      </c>
      <c r="BC161" s="40">
        <f>IF(BC149=0,0,BC148/BC149)</f>
        <v/>
      </c>
      <c r="BD161" s="40">
        <f>IF(BD149=0,0,BD148/BD149)</f>
        <v/>
      </c>
      <c r="BE161" s="40">
        <f>IF(BE149=0,0,BE148/BE149)</f>
        <v/>
      </c>
      <c r="BF161" s="40">
        <f>IF(BF149=0,0,BF148/BF149)</f>
        <v/>
      </c>
      <c r="BG161" s="40">
        <f>IF(BG149=0,0,BG148/BG149)</f>
        <v/>
      </c>
      <c r="BH161" s="40">
        <f>IF(BH149=0,0,BH148/BH149)</f>
        <v/>
      </c>
      <c r="BI161" s="40">
        <f>IF(BI149=0,0,BI148/BI149)</f>
        <v/>
      </c>
      <c r="BJ161" s="40">
        <f>IF(BJ149=0,0,BJ148/BJ149)</f>
        <v/>
      </c>
      <c r="BK161" s="40">
        <f>IF(BK149=0,0,BK148/BK149)</f>
        <v/>
      </c>
      <c r="BL161" s="40">
        <f>IF(BL149=0,0,BL148/BL149)</f>
        <v/>
      </c>
    </row>
  </sheetData>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BL27"/>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Operating costs, working capital &amp; capex</t>
        </is>
      </c>
    </row>
    <row r="2">
      <c r="A2" s="2" t="inlineStr">
        <is>
          <t>LCY</t>
        </is>
      </c>
    </row>
    <row r="3"/>
    <row r="4">
      <c r="A4" s="51" t="inlineStr">
        <is>
          <t>Month #</t>
        </is>
      </c>
      <c r="B4" s="52" t="n"/>
      <c r="C4" s="52" t="n"/>
      <c r="D4" s="51" t="inlineStr">
        <is>
          <t>Opening</t>
        </is>
      </c>
      <c r="E4" s="53">
        <f>Timeline!E4</f>
        <v/>
      </c>
      <c r="F4" s="53">
        <f>Timeline!F4</f>
        <v/>
      </c>
      <c r="G4" s="53">
        <f>Timeline!G4</f>
        <v/>
      </c>
      <c r="H4" s="53">
        <f>Timeline!H4</f>
        <v/>
      </c>
      <c r="I4" s="53">
        <f>Timeline!I4</f>
        <v/>
      </c>
      <c r="J4" s="53">
        <f>Timeline!J4</f>
        <v/>
      </c>
      <c r="K4" s="53">
        <f>Timeline!K4</f>
        <v/>
      </c>
      <c r="L4" s="53">
        <f>Timeline!L4</f>
        <v/>
      </c>
      <c r="M4" s="53">
        <f>Timeline!M4</f>
        <v/>
      </c>
      <c r="N4" s="53">
        <f>Timeline!N4</f>
        <v/>
      </c>
      <c r="O4" s="53">
        <f>Timeline!O4</f>
        <v/>
      </c>
      <c r="P4" s="53">
        <f>Timeline!P4</f>
        <v/>
      </c>
      <c r="Q4" s="53">
        <f>Timeline!Q4</f>
        <v/>
      </c>
      <c r="R4" s="53">
        <f>Timeline!R4</f>
        <v/>
      </c>
      <c r="S4" s="53">
        <f>Timeline!S4</f>
        <v/>
      </c>
      <c r="T4" s="53">
        <f>Timeline!T4</f>
        <v/>
      </c>
      <c r="U4" s="53">
        <f>Timeline!U4</f>
        <v/>
      </c>
      <c r="V4" s="53">
        <f>Timeline!V4</f>
        <v/>
      </c>
      <c r="W4" s="53">
        <f>Timeline!W4</f>
        <v/>
      </c>
      <c r="X4" s="53">
        <f>Timeline!X4</f>
        <v/>
      </c>
      <c r="Y4" s="53">
        <f>Timeline!Y4</f>
        <v/>
      </c>
      <c r="Z4" s="53">
        <f>Timeline!Z4</f>
        <v/>
      </c>
      <c r="AA4" s="53">
        <f>Timeline!AA4</f>
        <v/>
      </c>
      <c r="AB4" s="53">
        <f>Timeline!AB4</f>
        <v/>
      </c>
      <c r="AC4" s="53">
        <f>Timeline!AC4</f>
        <v/>
      </c>
      <c r="AD4" s="53">
        <f>Timeline!AD4</f>
        <v/>
      </c>
      <c r="AE4" s="53">
        <f>Timeline!AE4</f>
        <v/>
      </c>
      <c r="AF4" s="53">
        <f>Timeline!AF4</f>
        <v/>
      </c>
      <c r="AG4" s="53">
        <f>Timeline!AG4</f>
        <v/>
      </c>
      <c r="AH4" s="53">
        <f>Timeline!AH4</f>
        <v/>
      </c>
      <c r="AI4" s="53">
        <f>Timeline!AI4</f>
        <v/>
      </c>
      <c r="AJ4" s="53">
        <f>Timeline!AJ4</f>
        <v/>
      </c>
      <c r="AK4" s="53">
        <f>Timeline!AK4</f>
        <v/>
      </c>
      <c r="AL4" s="53">
        <f>Timeline!AL4</f>
        <v/>
      </c>
      <c r="AM4" s="53">
        <f>Timeline!AM4</f>
        <v/>
      </c>
      <c r="AN4" s="53">
        <f>Timeline!AN4</f>
        <v/>
      </c>
      <c r="AO4" s="53">
        <f>Timeline!AO4</f>
        <v/>
      </c>
      <c r="AP4" s="53">
        <f>Timeline!AP4</f>
        <v/>
      </c>
      <c r="AQ4" s="53">
        <f>Timeline!AQ4</f>
        <v/>
      </c>
      <c r="AR4" s="53">
        <f>Timeline!AR4</f>
        <v/>
      </c>
      <c r="AS4" s="53">
        <f>Timeline!AS4</f>
        <v/>
      </c>
      <c r="AT4" s="53">
        <f>Timeline!AT4</f>
        <v/>
      </c>
      <c r="AU4" s="53">
        <f>Timeline!AU4</f>
        <v/>
      </c>
      <c r="AV4" s="53">
        <f>Timeline!AV4</f>
        <v/>
      </c>
      <c r="AW4" s="53">
        <f>Timeline!AW4</f>
        <v/>
      </c>
      <c r="AX4" s="53">
        <f>Timeline!AX4</f>
        <v/>
      </c>
      <c r="AY4" s="53">
        <f>Timeline!AY4</f>
        <v/>
      </c>
      <c r="AZ4" s="53">
        <f>Timeline!AZ4</f>
        <v/>
      </c>
      <c r="BA4" s="53">
        <f>Timeline!BA4</f>
        <v/>
      </c>
      <c r="BB4" s="53">
        <f>Timeline!BB4</f>
        <v/>
      </c>
      <c r="BC4" s="53">
        <f>Timeline!BC4</f>
        <v/>
      </c>
      <c r="BD4" s="53">
        <f>Timeline!BD4</f>
        <v/>
      </c>
      <c r="BE4" s="53">
        <f>Timeline!BE4</f>
        <v/>
      </c>
      <c r="BF4" s="53">
        <f>Timeline!BF4</f>
        <v/>
      </c>
      <c r="BG4" s="53">
        <f>Timeline!BG4</f>
        <v/>
      </c>
      <c r="BH4" s="53">
        <f>Timeline!BH4</f>
        <v/>
      </c>
      <c r="BI4" s="53">
        <f>Timeline!BI4</f>
        <v/>
      </c>
      <c r="BJ4" s="53">
        <f>Timeline!BJ4</f>
        <v/>
      </c>
      <c r="BK4" s="53">
        <f>Timeline!BK4</f>
        <v/>
      </c>
      <c r="BL4" s="53">
        <f>Timeline!BL4</f>
        <v/>
      </c>
    </row>
    <row r="5">
      <c r="A5" s="51" t="inlineStr">
        <is>
          <t>Period end</t>
        </is>
      </c>
      <c r="B5" s="52" t="n"/>
      <c r="C5" s="52" t="n"/>
      <c r="D5" s="51" t="n"/>
      <c r="E5" s="54">
        <f>Timeline!E5</f>
        <v/>
      </c>
      <c r="F5" s="54">
        <f>Timeline!F5</f>
        <v/>
      </c>
      <c r="G5" s="54">
        <f>Timeline!G5</f>
        <v/>
      </c>
      <c r="H5" s="54">
        <f>Timeline!H5</f>
        <v/>
      </c>
      <c r="I5" s="54">
        <f>Timeline!I5</f>
        <v/>
      </c>
      <c r="J5" s="54">
        <f>Timeline!J5</f>
        <v/>
      </c>
      <c r="K5" s="54">
        <f>Timeline!K5</f>
        <v/>
      </c>
      <c r="L5" s="54">
        <f>Timeline!L5</f>
        <v/>
      </c>
      <c r="M5" s="54">
        <f>Timeline!M5</f>
        <v/>
      </c>
      <c r="N5" s="54">
        <f>Timeline!N5</f>
        <v/>
      </c>
      <c r="O5" s="54">
        <f>Timeline!O5</f>
        <v/>
      </c>
      <c r="P5" s="54">
        <f>Timeline!P5</f>
        <v/>
      </c>
      <c r="Q5" s="54">
        <f>Timeline!Q5</f>
        <v/>
      </c>
      <c r="R5" s="54">
        <f>Timeline!R5</f>
        <v/>
      </c>
      <c r="S5" s="54">
        <f>Timeline!S5</f>
        <v/>
      </c>
      <c r="T5" s="54">
        <f>Timeline!T5</f>
        <v/>
      </c>
      <c r="U5" s="54">
        <f>Timeline!U5</f>
        <v/>
      </c>
      <c r="V5" s="54">
        <f>Timeline!V5</f>
        <v/>
      </c>
      <c r="W5" s="54">
        <f>Timeline!W5</f>
        <v/>
      </c>
      <c r="X5" s="54">
        <f>Timeline!X5</f>
        <v/>
      </c>
      <c r="Y5" s="54">
        <f>Timeline!Y5</f>
        <v/>
      </c>
      <c r="Z5" s="54">
        <f>Timeline!Z5</f>
        <v/>
      </c>
      <c r="AA5" s="54">
        <f>Timeline!AA5</f>
        <v/>
      </c>
      <c r="AB5" s="54">
        <f>Timeline!AB5</f>
        <v/>
      </c>
      <c r="AC5" s="54">
        <f>Timeline!AC5</f>
        <v/>
      </c>
      <c r="AD5" s="54">
        <f>Timeline!AD5</f>
        <v/>
      </c>
      <c r="AE5" s="54">
        <f>Timeline!AE5</f>
        <v/>
      </c>
      <c r="AF5" s="54">
        <f>Timeline!AF5</f>
        <v/>
      </c>
      <c r="AG5" s="54">
        <f>Timeline!AG5</f>
        <v/>
      </c>
      <c r="AH5" s="54">
        <f>Timeline!AH5</f>
        <v/>
      </c>
      <c r="AI5" s="54">
        <f>Timeline!AI5</f>
        <v/>
      </c>
      <c r="AJ5" s="54">
        <f>Timeline!AJ5</f>
        <v/>
      </c>
      <c r="AK5" s="54">
        <f>Timeline!AK5</f>
        <v/>
      </c>
      <c r="AL5" s="54">
        <f>Timeline!AL5</f>
        <v/>
      </c>
      <c r="AM5" s="54">
        <f>Timeline!AM5</f>
        <v/>
      </c>
      <c r="AN5" s="54">
        <f>Timeline!AN5</f>
        <v/>
      </c>
      <c r="AO5" s="54">
        <f>Timeline!AO5</f>
        <v/>
      </c>
      <c r="AP5" s="54">
        <f>Timeline!AP5</f>
        <v/>
      </c>
      <c r="AQ5" s="54">
        <f>Timeline!AQ5</f>
        <v/>
      </c>
      <c r="AR5" s="54">
        <f>Timeline!AR5</f>
        <v/>
      </c>
      <c r="AS5" s="54">
        <f>Timeline!AS5</f>
        <v/>
      </c>
      <c r="AT5" s="54">
        <f>Timeline!AT5</f>
        <v/>
      </c>
      <c r="AU5" s="54">
        <f>Timeline!AU5</f>
        <v/>
      </c>
      <c r="AV5" s="54">
        <f>Timeline!AV5</f>
        <v/>
      </c>
      <c r="AW5" s="54">
        <f>Timeline!AW5</f>
        <v/>
      </c>
      <c r="AX5" s="54">
        <f>Timeline!AX5</f>
        <v/>
      </c>
      <c r="AY5" s="54">
        <f>Timeline!AY5</f>
        <v/>
      </c>
      <c r="AZ5" s="54">
        <f>Timeline!AZ5</f>
        <v/>
      </c>
      <c r="BA5" s="54">
        <f>Timeline!BA5</f>
        <v/>
      </c>
      <c r="BB5" s="54">
        <f>Timeline!BB5</f>
        <v/>
      </c>
      <c r="BC5" s="54">
        <f>Timeline!BC5</f>
        <v/>
      </c>
      <c r="BD5" s="54">
        <f>Timeline!BD5</f>
        <v/>
      </c>
      <c r="BE5" s="54">
        <f>Timeline!BE5</f>
        <v/>
      </c>
      <c r="BF5" s="54">
        <f>Timeline!BF5</f>
        <v/>
      </c>
      <c r="BG5" s="54">
        <f>Timeline!BG5</f>
        <v/>
      </c>
      <c r="BH5" s="54">
        <f>Timeline!BH5</f>
        <v/>
      </c>
      <c r="BI5" s="54">
        <f>Timeline!BI5</f>
        <v/>
      </c>
      <c r="BJ5" s="54">
        <f>Timeline!BJ5</f>
        <v/>
      </c>
      <c r="BK5" s="54">
        <f>Timeline!BK5</f>
        <v/>
      </c>
      <c r="BL5" s="54">
        <f>Timeline!BL5</f>
        <v/>
      </c>
    </row>
    <row r="6">
      <c r="A6" s="51" t="inlineStr">
        <is>
          <t>Year #</t>
        </is>
      </c>
      <c r="B6" s="52" t="n"/>
      <c r="C6" s="52" t="n"/>
      <c r="D6" s="51" t="n"/>
      <c r="E6" s="53">
        <f>Timeline!E6</f>
        <v/>
      </c>
      <c r="F6" s="53">
        <f>Timeline!F6</f>
        <v/>
      </c>
      <c r="G6" s="53">
        <f>Timeline!G6</f>
        <v/>
      </c>
      <c r="H6" s="53">
        <f>Timeline!H6</f>
        <v/>
      </c>
      <c r="I6" s="53">
        <f>Timeline!I6</f>
        <v/>
      </c>
      <c r="J6" s="53">
        <f>Timeline!J6</f>
        <v/>
      </c>
      <c r="K6" s="53">
        <f>Timeline!K6</f>
        <v/>
      </c>
      <c r="L6" s="53">
        <f>Timeline!L6</f>
        <v/>
      </c>
      <c r="M6" s="53">
        <f>Timeline!M6</f>
        <v/>
      </c>
      <c r="N6" s="53">
        <f>Timeline!N6</f>
        <v/>
      </c>
      <c r="O6" s="53">
        <f>Timeline!O6</f>
        <v/>
      </c>
      <c r="P6" s="53">
        <f>Timeline!P6</f>
        <v/>
      </c>
      <c r="Q6" s="53">
        <f>Timeline!Q6</f>
        <v/>
      </c>
      <c r="R6" s="53">
        <f>Timeline!R6</f>
        <v/>
      </c>
      <c r="S6" s="53">
        <f>Timeline!S6</f>
        <v/>
      </c>
      <c r="T6" s="53">
        <f>Timeline!T6</f>
        <v/>
      </c>
      <c r="U6" s="53">
        <f>Timeline!U6</f>
        <v/>
      </c>
      <c r="V6" s="53">
        <f>Timeline!V6</f>
        <v/>
      </c>
      <c r="W6" s="53">
        <f>Timeline!W6</f>
        <v/>
      </c>
      <c r="X6" s="53">
        <f>Timeline!X6</f>
        <v/>
      </c>
      <c r="Y6" s="53">
        <f>Timeline!Y6</f>
        <v/>
      </c>
      <c r="Z6" s="53">
        <f>Timeline!Z6</f>
        <v/>
      </c>
      <c r="AA6" s="53">
        <f>Timeline!AA6</f>
        <v/>
      </c>
      <c r="AB6" s="53">
        <f>Timeline!AB6</f>
        <v/>
      </c>
      <c r="AC6" s="53">
        <f>Timeline!AC6</f>
        <v/>
      </c>
      <c r="AD6" s="53">
        <f>Timeline!AD6</f>
        <v/>
      </c>
      <c r="AE6" s="53">
        <f>Timeline!AE6</f>
        <v/>
      </c>
      <c r="AF6" s="53">
        <f>Timeline!AF6</f>
        <v/>
      </c>
      <c r="AG6" s="53">
        <f>Timeline!AG6</f>
        <v/>
      </c>
      <c r="AH6" s="53">
        <f>Timeline!AH6</f>
        <v/>
      </c>
      <c r="AI6" s="53">
        <f>Timeline!AI6</f>
        <v/>
      </c>
      <c r="AJ6" s="53">
        <f>Timeline!AJ6</f>
        <v/>
      </c>
      <c r="AK6" s="53">
        <f>Timeline!AK6</f>
        <v/>
      </c>
      <c r="AL6" s="53">
        <f>Timeline!AL6</f>
        <v/>
      </c>
      <c r="AM6" s="53">
        <f>Timeline!AM6</f>
        <v/>
      </c>
      <c r="AN6" s="53">
        <f>Timeline!AN6</f>
        <v/>
      </c>
      <c r="AO6" s="53">
        <f>Timeline!AO6</f>
        <v/>
      </c>
      <c r="AP6" s="53">
        <f>Timeline!AP6</f>
        <v/>
      </c>
      <c r="AQ6" s="53">
        <f>Timeline!AQ6</f>
        <v/>
      </c>
      <c r="AR6" s="53">
        <f>Timeline!AR6</f>
        <v/>
      </c>
      <c r="AS6" s="53">
        <f>Timeline!AS6</f>
        <v/>
      </c>
      <c r="AT6" s="53">
        <f>Timeline!AT6</f>
        <v/>
      </c>
      <c r="AU6" s="53">
        <f>Timeline!AU6</f>
        <v/>
      </c>
      <c r="AV6" s="53">
        <f>Timeline!AV6</f>
        <v/>
      </c>
      <c r="AW6" s="53">
        <f>Timeline!AW6</f>
        <v/>
      </c>
      <c r="AX6" s="53">
        <f>Timeline!AX6</f>
        <v/>
      </c>
      <c r="AY6" s="53">
        <f>Timeline!AY6</f>
        <v/>
      </c>
      <c r="AZ6" s="53">
        <f>Timeline!AZ6</f>
        <v/>
      </c>
      <c r="BA6" s="53">
        <f>Timeline!BA6</f>
        <v/>
      </c>
      <c r="BB6" s="53">
        <f>Timeline!BB6</f>
        <v/>
      </c>
      <c r="BC6" s="53">
        <f>Timeline!BC6</f>
        <v/>
      </c>
      <c r="BD6" s="53">
        <f>Timeline!BD6</f>
        <v/>
      </c>
      <c r="BE6" s="53">
        <f>Timeline!BE6</f>
        <v/>
      </c>
      <c r="BF6" s="53">
        <f>Timeline!BF6</f>
        <v/>
      </c>
      <c r="BG6" s="53">
        <f>Timeline!BG6</f>
        <v/>
      </c>
      <c r="BH6" s="53">
        <f>Timeline!BH6</f>
        <v/>
      </c>
      <c r="BI6" s="53">
        <f>Timeline!BI6</f>
        <v/>
      </c>
      <c r="BJ6" s="53">
        <f>Timeline!BJ6</f>
        <v/>
      </c>
      <c r="BK6" s="53">
        <f>Timeline!BK6</f>
        <v/>
      </c>
      <c r="BL6" s="53">
        <f>Timeline!BL6</f>
        <v/>
      </c>
    </row>
    <row r="7"/>
    <row r="8">
      <c r="A8" s="55" t="inlineStr">
        <is>
          <t>Landed hardware cost (COGS)</t>
        </is>
      </c>
      <c r="B8" s="26" t="inlineStr">
        <is>
          <t>LCY</t>
        </is>
      </c>
      <c r="C8" s="58">
        <f>SUM(E8:BL8)</f>
        <v/>
      </c>
      <c r="E8" s="17">
        <f>Ops!E$152</f>
        <v/>
      </c>
      <c r="F8" s="17">
        <f>Ops!F$152</f>
        <v/>
      </c>
      <c r="G8" s="17">
        <f>Ops!G$152</f>
        <v/>
      </c>
      <c r="H8" s="17">
        <f>Ops!H$152</f>
        <v/>
      </c>
      <c r="I8" s="17">
        <f>Ops!I$152</f>
        <v/>
      </c>
      <c r="J8" s="17">
        <f>Ops!J$152</f>
        <v/>
      </c>
      <c r="K8" s="17">
        <f>Ops!K$152</f>
        <v/>
      </c>
      <c r="L8" s="17">
        <f>Ops!L$152</f>
        <v/>
      </c>
      <c r="M8" s="17">
        <f>Ops!M$152</f>
        <v/>
      </c>
      <c r="N8" s="17">
        <f>Ops!N$152</f>
        <v/>
      </c>
      <c r="O8" s="17">
        <f>Ops!O$152</f>
        <v/>
      </c>
      <c r="P8" s="17">
        <f>Ops!P$152</f>
        <v/>
      </c>
      <c r="Q8" s="17">
        <f>Ops!Q$152</f>
        <v/>
      </c>
      <c r="R8" s="17">
        <f>Ops!R$152</f>
        <v/>
      </c>
      <c r="S8" s="17">
        <f>Ops!S$152</f>
        <v/>
      </c>
      <c r="T8" s="17">
        <f>Ops!T$152</f>
        <v/>
      </c>
      <c r="U8" s="17">
        <f>Ops!U$152</f>
        <v/>
      </c>
      <c r="V8" s="17">
        <f>Ops!V$152</f>
        <v/>
      </c>
      <c r="W8" s="17">
        <f>Ops!W$152</f>
        <v/>
      </c>
      <c r="X8" s="17">
        <f>Ops!X$152</f>
        <v/>
      </c>
      <c r="Y8" s="17">
        <f>Ops!Y$152</f>
        <v/>
      </c>
      <c r="Z8" s="17">
        <f>Ops!Z$152</f>
        <v/>
      </c>
      <c r="AA8" s="17">
        <f>Ops!AA$152</f>
        <v/>
      </c>
      <c r="AB8" s="17">
        <f>Ops!AB$152</f>
        <v/>
      </c>
      <c r="AC8" s="17">
        <f>Ops!AC$152</f>
        <v/>
      </c>
      <c r="AD8" s="17">
        <f>Ops!AD$152</f>
        <v/>
      </c>
      <c r="AE8" s="17">
        <f>Ops!AE$152</f>
        <v/>
      </c>
      <c r="AF8" s="17">
        <f>Ops!AF$152</f>
        <v/>
      </c>
      <c r="AG8" s="17">
        <f>Ops!AG$152</f>
        <v/>
      </c>
      <c r="AH8" s="17">
        <f>Ops!AH$152</f>
        <v/>
      </c>
      <c r="AI8" s="17">
        <f>Ops!AI$152</f>
        <v/>
      </c>
      <c r="AJ8" s="17">
        <f>Ops!AJ$152</f>
        <v/>
      </c>
      <c r="AK8" s="17">
        <f>Ops!AK$152</f>
        <v/>
      </c>
      <c r="AL8" s="17">
        <f>Ops!AL$152</f>
        <v/>
      </c>
      <c r="AM8" s="17">
        <f>Ops!AM$152</f>
        <v/>
      </c>
      <c r="AN8" s="17">
        <f>Ops!AN$152</f>
        <v/>
      </c>
      <c r="AO8" s="17">
        <f>Ops!AO$152</f>
        <v/>
      </c>
      <c r="AP8" s="17">
        <f>Ops!AP$152</f>
        <v/>
      </c>
      <c r="AQ8" s="17">
        <f>Ops!AQ$152</f>
        <v/>
      </c>
      <c r="AR8" s="17">
        <f>Ops!AR$152</f>
        <v/>
      </c>
      <c r="AS8" s="17">
        <f>Ops!AS$152</f>
        <v/>
      </c>
      <c r="AT8" s="17">
        <f>Ops!AT$152</f>
        <v/>
      </c>
      <c r="AU8" s="17">
        <f>Ops!AU$152</f>
        <v/>
      </c>
      <c r="AV8" s="17">
        <f>Ops!AV$152</f>
        <v/>
      </c>
      <c r="AW8" s="17">
        <f>Ops!AW$152</f>
        <v/>
      </c>
      <c r="AX8" s="17">
        <f>Ops!AX$152</f>
        <v/>
      </c>
      <c r="AY8" s="17">
        <f>Ops!AY$152</f>
        <v/>
      </c>
      <c r="AZ8" s="17">
        <f>Ops!AZ$152</f>
        <v/>
      </c>
      <c r="BA8" s="17">
        <f>Ops!BA$152</f>
        <v/>
      </c>
      <c r="BB8" s="17">
        <f>Ops!BB$152</f>
        <v/>
      </c>
      <c r="BC8" s="17">
        <f>Ops!BC$152</f>
        <v/>
      </c>
      <c r="BD8" s="17">
        <f>Ops!BD$152</f>
        <v/>
      </c>
      <c r="BE8" s="17">
        <f>Ops!BE$152</f>
        <v/>
      </c>
      <c r="BF8" s="17">
        <f>Ops!BF$152</f>
        <v/>
      </c>
      <c r="BG8" s="17">
        <f>Ops!BG$152</f>
        <v/>
      </c>
      <c r="BH8" s="17">
        <f>Ops!BH$152</f>
        <v/>
      </c>
      <c r="BI8" s="17">
        <f>Ops!BI$152</f>
        <v/>
      </c>
      <c r="BJ8" s="17">
        <f>Ops!BJ$152</f>
        <v/>
      </c>
      <c r="BK8" s="17">
        <f>Ops!BK$152</f>
        <v/>
      </c>
      <c r="BL8" s="17">
        <f>Ops!BL$152</f>
        <v/>
      </c>
    </row>
    <row r="9">
      <c r="A9" s="55" t="inlineStr">
        <is>
          <t>Installation &amp; logistics (cost of sales)</t>
        </is>
      </c>
      <c r="B9" s="26" t="inlineStr">
        <is>
          <t>LCY</t>
        </is>
      </c>
      <c r="C9" s="58">
        <f>SUM(E9:BL9)</f>
        <v/>
      </c>
      <c r="E9" s="17">
        <f>Ops!E$153</f>
        <v/>
      </c>
      <c r="F9" s="17">
        <f>Ops!F$153</f>
        <v/>
      </c>
      <c r="G9" s="17">
        <f>Ops!G$153</f>
        <v/>
      </c>
      <c r="H9" s="17">
        <f>Ops!H$153</f>
        <v/>
      </c>
      <c r="I9" s="17">
        <f>Ops!I$153</f>
        <v/>
      </c>
      <c r="J9" s="17">
        <f>Ops!J$153</f>
        <v/>
      </c>
      <c r="K9" s="17">
        <f>Ops!K$153</f>
        <v/>
      </c>
      <c r="L9" s="17">
        <f>Ops!L$153</f>
        <v/>
      </c>
      <c r="M9" s="17">
        <f>Ops!M$153</f>
        <v/>
      </c>
      <c r="N9" s="17">
        <f>Ops!N$153</f>
        <v/>
      </c>
      <c r="O9" s="17">
        <f>Ops!O$153</f>
        <v/>
      </c>
      <c r="P9" s="17">
        <f>Ops!P$153</f>
        <v/>
      </c>
      <c r="Q9" s="17">
        <f>Ops!Q$153</f>
        <v/>
      </c>
      <c r="R9" s="17">
        <f>Ops!R$153</f>
        <v/>
      </c>
      <c r="S9" s="17">
        <f>Ops!S$153</f>
        <v/>
      </c>
      <c r="T9" s="17">
        <f>Ops!T$153</f>
        <v/>
      </c>
      <c r="U9" s="17">
        <f>Ops!U$153</f>
        <v/>
      </c>
      <c r="V9" s="17">
        <f>Ops!V$153</f>
        <v/>
      </c>
      <c r="W9" s="17">
        <f>Ops!W$153</f>
        <v/>
      </c>
      <c r="X9" s="17">
        <f>Ops!X$153</f>
        <v/>
      </c>
      <c r="Y9" s="17">
        <f>Ops!Y$153</f>
        <v/>
      </c>
      <c r="Z9" s="17">
        <f>Ops!Z$153</f>
        <v/>
      </c>
      <c r="AA9" s="17">
        <f>Ops!AA$153</f>
        <v/>
      </c>
      <c r="AB9" s="17">
        <f>Ops!AB$153</f>
        <v/>
      </c>
      <c r="AC9" s="17">
        <f>Ops!AC$153</f>
        <v/>
      </c>
      <c r="AD9" s="17">
        <f>Ops!AD$153</f>
        <v/>
      </c>
      <c r="AE9" s="17">
        <f>Ops!AE$153</f>
        <v/>
      </c>
      <c r="AF9" s="17">
        <f>Ops!AF$153</f>
        <v/>
      </c>
      <c r="AG9" s="17">
        <f>Ops!AG$153</f>
        <v/>
      </c>
      <c r="AH9" s="17">
        <f>Ops!AH$153</f>
        <v/>
      </c>
      <c r="AI9" s="17">
        <f>Ops!AI$153</f>
        <v/>
      </c>
      <c r="AJ9" s="17">
        <f>Ops!AJ$153</f>
        <v/>
      </c>
      <c r="AK9" s="17">
        <f>Ops!AK$153</f>
        <v/>
      </c>
      <c r="AL9" s="17">
        <f>Ops!AL$153</f>
        <v/>
      </c>
      <c r="AM9" s="17">
        <f>Ops!AM$153</f>
        <v/>
      </c>
      <c r="AN9" s="17">
        <f>Ops!AN$153</f>
        <v/>
      </c>
      <c r="AO9" s="17">
        <f>Ops!AO$153</f>
        <v/>
      </c>
      <c r="AP9" s="17">
        <f>Ops!AP$153</f>
        <v/>
      </c>
      <c r="AQ9" s="17">
        <f>Ops!AQ$153</f>
        <v/>
      </c>
      <c r="AR9" s="17">
        <f>Ops!AR$153</f>
        <v/>
      </c>
      <c r="AS9" s="17">
        <f>Ops!AS$153</f>
        <v/>
      </c>
      <c r="AT9" s="17">
        <f>Ops!AT$153</f>
        <v/>
      </c>
      <c r="AU9" s="17">
        <f>Ops!AU$153</f>
        <v/>
      </c>
      <c r="AV9" s="17">
        <f>Ops!AV$153</f>
        <v/>
      </c>
      <c r="AW9" s="17">
        <f>Ops!AW$153</f>
        <v/>
      </c>
      <c r="AX9" s="17">
        <f>Ops!AX$153</f>
        <v/>
      </c>
      <c r="AY9" s="17">
        <f>Ops!AY$153</f>
        <v/>
      </c>
      <c r="AZ9" s="17">
        <f>Ops!AZ$153</f>
        <v/>
      </c>
      <c r="BA9" s="17">
        <f>Ops!BA$153</f>
        <v/>
      </c>
      <c r="BB9" s="17">
        <f>Ops!BB$153</f>
        <v/>
      </c>
      <c r="BC9" s="17">
        <f>Ops!BC$153</f>
        <v/>
      </c>
      <c r="BD9" s="17">
        <f>Ops!BD$153</f>
        <v/>
      </c>
      <c r="BE9" s="17">
        <f>Ops!BE$153</f>
        <v/>
      </c>
      <c r="BF9" s="17">
        <f>Ops!BF$153</f>
        <v/>
      </c>
      <c r="BG9" s="17">
        <f>Ops!BG$153</f>
        <v/>
      </c>
      <c r="BH9" s="17">
        <f>Ops!BH$153</f>
        <v/>
      </c>
      <c r="BI9" s="17">
        <f>Ops!BI$153</f>
        <v/>
      </c>
      <c r="BJ9" s="17">
        <f>Ops!BJ$153</f>
        <v/>
      </c>
      <c r="BK9" s="17">
        <f>Ops!BK$153</f>
        <v/>
      </c>
      <c r="BL9" s="17">
        <f>Ops!BL$153</f>
        <v/>
      </c>
    </row>
    <row r="10">
      <c r="A10" s="60" t="inlineStr">
        <is>
          <t>Total cost of sales</t>
        </is>
      </c>
      <c r="B10" s="61" t="inlineStr">
        <is>
          <t>LCY</t>
        </is>
      </c>
      <c r="C10" s="70">
        <f>SUM(E10:BL10)</f>
        <v/>
      </c>
      <c r="D10" s="63" t="n"/>
      <c r="E10" s="71">
        <f>E8+E9</f>
        <v/>
      </c>
      <c r="F10" s="71">
        <f>F8+F9</f>
        <v/>
      </c>
      <c r="G10" s="71">
        <f>G8+G9</f>
        <v/>
      </c>
      <c r="H10" s="71">
        <f>H8+H9</f>
        <v/>
      </c>
      <c r="I10" s="71">
        <f>I8+I9</f>
        <v/>
      </c>
      <c r="J10" s="71">
        <f>J8+J9</f>
        <v/>
      </c>
      <c r="K10" s="71">
        <f>K8+K9</f>
        <v/>
      </c>
      <c r="L10" s="71">
        <f>L8+L9</f>
        <v/>
      </c>
      <c r="M10" s="71">
        <f>M8+M9</f>
        <v/>
      </c>
      <c r="N10" s="71">
        <f>N8+N9</f>
        <v/>
      </c>
      <c r="O10" s="71">
        <f>O8+O9</f>
        <v/>
      </c>
      <c r="P10" s="71">
        <f>P8+P9</f>
        <v/>
      </c>
      <c r="Q10" s="71">
        <f>Q8+Q9</f>
        <v/>
      </c>
      <c r="R10" s="71">
        <f>R8+R9</f>
        <v/>
      </c>
      <c r="S10" s="71">
        <f>S8+S9</f>
        <v/>
      </c>
      <c r="T10" s="71">
        <f>T8+T9</f>
        <v/>
      </c>
      <c r="U10" s="71">
        <f>U8+U9</f>
        <v/>
      </c>
      <c r="V10" s="71">
        <f>V8+V9</f>
        <v/>
      </c>
      <c r="W10" s="71">
        <f>W8+W9</f>
        <v/>
      </c>
      <c r="X10" s="71">
        <f>X8+X9</f>
        <v/>
      </c>
      <c r="Y10" s="71">
        <f>Y8+Y9</f>
        <v/>
      </c>
      <c r="Z10" s="71">
        <f>Z8+Z9</f>
        <v/>
      </c>
      <c r="AA10" s="71">
        <f>AA8+AA9</f>
        <v/>
      </c>
      <c r="AB10" s="71">
        <f>AB8+AB9</f>
        <v/>
      </c>
      <c r="AC10" s="71">
        <f>AC8+AC9</f>
        <v/>
      </c>
      <c r="AD10" s="71">
        <f>AD8+AD9</f>
        <v/>
      </c>
      <c r="AE10" s="71">
        <f>AE8+AE9</f>
        <v/>
      </c>
      <c r="AF10" s="71">
        <f>AF8+AF9</f>
        <v/>
      </c>
      <c r="AG10" s="71">
        <f>AG8+AG9</f>
        <v/>
      </c>
      <c r="AH10" s="71">
        <f>AH8+AH9</f>
        <v/>
      </c>
      <c r="AI10" s="71">
        <f>AI8+AI9</f>
        <v/>
      </c>
      <c r="AJ10" s="71">
        <f>AJ8+AJ9</f>
        <v/>
      </c>
      <c r="AK10" s="71">
        <f>AK8+AK9</f>
        <v/>
      </c>
      <c r="AL10" s="71">
        <f>AL8+AL9</f>
        <v/>
      </c>
      <c r="AM10" s="71">
        <f>AM8+AM9</f>
        <v/>
      </c>
      <c r="AN10" s="71">
        <f>AN8+AN9</f>
        <v/>
      </c>
      <c r="AO10" s="71">
        <f>AO8+AO9</f>
        <v/>
      </c>
      <c r="AP10" s="71">
        <f>AP8+AP9</f>
        <v/>
      </c>
      <c r="AQ10" s="71">
        <f>AQ8+AQ9</f>
        <v/>
      </c>
      <c r="AR10" s="71">
        <f>AR8+AR9</f>
        <v/>
      </c>
      <c r="AS10" s="71">
        <f>AS8+AS9</f>
        <v/>
      </c>
      <c r="AT10" s="71">
        <f>AT8+AT9</f>
        <v/>
      </c>
      <c r="AU10" s="71">
        <f>AU8+AU9</f>
        <v/>
      </c>
      <c r="AV10" s="71">
        <f>AV8+AV9</f>
        <v/>
      </c>
      <c r="AW10" s="71">
        <f>AW8+AW9</f>
        <v/>
      </c>
      <c r="AX10" s="71">
        <f>AX8+AX9</f>
        <v/>
      </c>
      <c r="AY10" s="71">
        <f>AY8+AY9</f>
        <v/>
      </c>
      <c r="AZ10" s="71">
        <f>AZ8+AZ9</f>
        <v/>
      </c>
      <c r="BA10" s="71">
        <f>BA8+BA9</f>
        <v/>
      </c>
      <c r="BB10" s="71">
        <f>BB8+BB9</f>
        <v/>
      </c>
      <c r="BC10" s="71">
        <f>BC8+BC9</f>
        <v/>
      </c>
      <c r="BD10" s="71">
        <f>BD8+BD9</f>
        <v/>
      </c>
      <c r="BE10" s="71">
        <f>BE8+BE9</f>
        <v/>
      </c>
      <c r="BF10" s="71">
        <f>BF8+BF9</f>
        <v/>
      </c>
      <c r="BG10" s="71">
        <f>BG8+BG9</f>
        <v/>
      </c>
      <c r="BH10" s="71">
        <f>BH8+BH9</f>
        <v/>
      </c>
      <c r="BI10" s="71">
        <f>BI8+BI9</f>
        <v/>
      </c>
      <c r="BJ10" s="71">
        <f>BJ8+BJ9</f>
        <v/>
      </c>
      <c r="BK10" s="71">
        <f>BK8+BK9</f>
        <v/>
      </c>
      <c r="BL10" s="71">
        <f>BL8+BL9</f>
        <v/>
      </c>
    </row>
    <row r="11"/>
    <row r="12">
      <c r="A12" s="55" t="inlineStr">
        <is>
          <t>Warranty &amp; after-sales</t>
        </is>
      </c>
      <c r="B12" s="26" t="inlineStr">
        <is>
          <t>LCY</t>
        </is>
      </c>
      <c r="C12" s="58">
        <f>SUM(E12:BL12)</f>
        <v/>
      </c>
      <c r="E12" s="17">
        <f>Ops!E$154</f>
        <v/>
      </c>
      <c r="F12" s="17">
        <f>Ops!F$154</f>
        <v/>
      </c>
      <c r="G12" s="17">
        <f>Ops!G$154</f>
        <v/>
      </c>
      <c r="H12" s="17">
        <f>Ops!H$154</f>
        <v/>
      </c>
      <c r="I12" s="17">
        <f>Ops!I$154</f>
        <v/>
      </c>
      <c r="J12" s="17">
        <f>Ops!J$154</f>
        <v/>
      </c>
      <c r="K12" s="17">
        <f>Ops!K$154</f>
        <v/>
      </c>
      <c r="L12" s="17">
        <f>Ops!L$154</f>
        <v/>
      </c>
      <c r="M12" s="17">
        <f>Ops!M$154</f>
        <v/>
      </c>
      <c r="N12" s="17">
        <f>Ops!N$154</f>
        <v/>
      </c>
      <c r="O12" s="17">
        <f>Ops!O$154</f>
        <v/>
      </c>
      <c r="P12" s="17">
        <f>Ops!P$154</f>
        <v/>
      </c>
      <c r="Q12" s="17">
        <f>Ops!Q$154</f>
        <v/>
      </c>
      <c r="R12" s="17">
        <f>Ops!R$154</f>
        <v/>
      </c>
      <c r="S12" s="17">
        <f>Ops!S$154</f>
        <v/>
      </c>
      <c r="T12" s="17">
        <f>Ops!T$154</f>
        <v/>
      </c>
      <c r="U12" s="17">
        <f>Ops!U$154</f>
        <v/>
      </c>
      <c r="V12" s="17">
        <f>Ops!V$154</f>
        <v/>
      </c>
      <c r="W12" s="17">
        <f>Ops!W$154</f>
        <v/>
      </c>
      <c r="X12" s="17">
        <f>Ops!X$154</f>
        <v/>
      </c>
      <c r="Y12" s="17">
        <f>Ops!Y$154</f>
        <v/>
      </c>
      <c r="Z12" s="17">
        <f>Ops!Z$154</f>
        <v/>
      </c>
      <c r="AA12" s="17">
        <f>Ops!AA$154</f>
        <v/>
      </c>
      <c r="AB12" s="17">
        <f>Ops!AB$154</f>
        <v/>
      </c>
      <c r="AC12" s="17">
        <f>Ops!AC$154</f>
        <v/>
      </c>
      <c r="AD12" s="17">
        <f>Ops!AD$154</f>
        <v/>
      </c>
      <c r="AE12" s="17">
        <f>Ops!AE$154</f>
        <v/>
      </c>
      <c r="AF12" s="17">
        <f>Ops!AF$154</f>
        <v/>
      </c>
      <c r="AG12" s="17">
        <f>Ops!AG$154</f>
        <v/>
      </c>
      <c r="AH12" s="17">
        <f>Ops!AH$154</f>
        <v/>
      </c>
      <c r="AI12" s="17">
        <f>Ops!AI$154</f>
        <v/>
      </c>
      <c r="AJ12" s="17">
        <f>Ops!AJ$154</f>
        <v/>
      </c>
      <c r="AK12" s="17">
        <f>Ops!AK$154</f>
        <v/>
      </c>
      <c r="AL12" s="17">
        <f>Ops!AL$154</f>
        <v/>
      </c>
      <c r="AM12" s="17">
        <f>Ops!AM$154</f>
        <v/>
      </c>
      <c r="AN12" s="17">
        <f>Ops!AN$154</f>
        <v/>
      </c>
      <c r="AO12" s="17">
        <f>Ops!AO$154</f>
        <v/>
      </c>
      <c r="AP12" s="17">
        <f>Ops!AP$154</f>
        <v/>
      </c>
      <c r="AQ12" s="17">
        <f>Ops!AQ$154</f>
        <v/>
      </c>
      <c r="AR12" s="17">
        <f>Ops!AR$154</f>
        <v/>
      </c>
      <c r="AS12" s="17">
        <f>Ops!AS$154</f>
        <v/>
      </c>
      <c r="AT12" s="17">
        <f>Ops!AT$154</f>
        <v/>
      </c>
      <c r="AU12" s="17">
        <f>Ops!AU$154</f>
        <v/>
      </c>
      <c r="AV12" s="17">
        <f>Ops!AV$154</f>
        <v/>
      </c>
      <c r="AW12" s="17">
        <f>Ops!AW$154</f>
        <v/>
      </c>
      <c r="AX12" s="17">
        <f>Ops!AX$154</f>
        <v/>
      </c>
      <c r="AY12" s="17">
        <f>Ops!AY$154</f>
        <v/>
      </c>
      <c r="AZ12" s="17">
        <f>Ops!AZ$154</f>
        <v/>
      </c>
      <c r="BA12" s="17">
        <f>Ops!BA$154</f>
        <v/>
      </c>
      <c r="BB12" s="17">
        <f>Ops!BB$154</f>
        <v/>
      </c>
      <c r="BC12" s="17">
        <f>Ops!BC$154</f>
        <v/>
      </c>
      <c r="BD12" s="17">
        <f>Ops!BD$154</f>
        <v/>
      </c>
      <c r="BE12" s="17">
        <f>Ops!BE$154</f>
        <v/>
      </c>
      <c r="BF12" s="17">
        <f>Ops!BF$154</f>
        <v/>
      </c>
      <c r="BG12" s="17">
        <f>Ops!BG$154</f>
        <v/>
      </c>
      <c r="BH12" s="17">
        <f>Ops!BH$154</f>
        <v/>
      </c>
      <c r="BI12" s="17">
        <f>Ops!BI$154</f>
        <v/>
      </c>
      <c r="BJ12" s="17">
        <f>Ops!BJ$154</f>
        <v/>
      </c>
      <c r="BK12" s="17">
        <f>Ops!BK$154</f>
        <v/>
      </c>
      <c r="BL12" s="17">
        <f>Ops!BL$154</f>
        <v/>
      </c>
    </row>
    <row r="13">
      <c r="A13" s="55" t="inlineStr">
        <is>
          <t>Agent / installer commissions</t>
        </is>
      </c>
      <c r="B13" s="26" t="inlineStr">
        <is>
          <t>LCY</t>
        </is>
      </c>
      <c r="C13" s="58">
        <f>SUM(E13:BL13)</f>
        <v/>
      </c>
      <c r="E13" s="17">
        <f>Ops!E$155</f>
        <v/>
      </c>
      <c r="F13" s="17">
        <f>Ops!F$155</f>
        <v/>
      </c>
      <c r="G13" s="17">
        <f>Ops!G$155</f>
        <v/>
      </c>
      <c r="H13" s="17">
        <f>Ops!H$155</f>
        <v/>
      </c>
      <c r="I13" s="17">
        <f>Ops!I$155</f>
        <v/>
      </c>
      <c r="J13" s="17">
        <f>Ops!J$155</f>
        <v/>
      </c>
      <c r="K13" s="17">
        <f>Ops!K$155</f>
        <v/>
      </c>
      <c r="L13" s="17">
        <f>Ops!L$155</f>
        <v/>
      </c>
      <c r="M13" s="17">
        <f>Ops!M$155</f>
        <v/>
      </c>
      <c r="N13" s="17">
        <f>Ops!N$155</f>
        <v/>
      </c>
      <c r="O13" s="17">
        <f>Ops!O$155</f>
        <v/>
      </c>
      <c r="P13" s="17">
        <f>Ops!P$155</f>
        <v/>
      </c>
      <c r="Q13" s="17">
        <f>Ops!Q$155</f>
        <v/>
      </c>
      <c r="R13" s="17">
        <f>Ops!R$155</f>
        <v/>
      </c>
      <c r="S13" s="17">
        <f>Ops!S$155</f>
        <v/>
      </c>
      <c r="T13" s="17">
        <f>Ops!T$155</f>
        <v/>
      </c>
      <c r="U13" s="17">
        <f>Ops!U$155</f>
        <v/>
      </c>
      <c r="V13" s="17">
        <f>Ops!V$155</f>
        <v/>
      </c>
      <c r="W13" s="17">
        <f>Ops!W$155</f>
        <v/>
      </c>
      <c r="X13" s="17">
        <f>Ops!X$155</f>
        <v/>
      </c>
      <c r="Y13" s="17">
        <f>Ops!Y$155</f>
        <v/>
      </c>
      <c r="Z13" s="17">
        <f>Ops!Z$155</f>
        <v/>
      </c>
      <c r="AA13" s="17">
        <f>Ops!AA$155</f>
        <v/>
      </c>
      <c r="AB13" s="17">
        <f>Ops!AB$155</f>
        <v/>
      </c>
      <c r="AC13" s="17">
        <f>Ops!AC$155</f>
        <v/>
      </c>
      <c r="AD13" s="17">
        <f>Ops!AD$155</f>
        <v/>
      </c>
      <c r="AE13" s="17">
        <f>Ops!AE$155</f>
        <v/>
      </c>
      <c r="AF13" s="17">
        <f>Ops!AF$155</f>
        <v/>
      </c>
      <c r="AG13" s="17">
        <f>Ops!AG$155</f>
        <v/>
      </c>
      <c r="AH13" s="17">
        <f>Ops!AH$155</f>
        <v/>
      </c>
      <c r="AI13" s="17">
        <f>Ops!AI$155</f>
        <v/>
      </c>
      <c r="AJ13" s="17">
        <f>Ops!AJ$155</f>
        <v/>
      </c>
      <c r="AK13" s="17">
        <f>Ops!AK$155</f>
        <v/>
      </c>
      <c r="AL13" s="17">
        <f>Ops!AL$155</f>
        <v/>
      </c>
      <c r="AM13" s="17">
        <f>Ops!AM$155</f>
        <v/>
      </c>
      <c r="AN13" s="17">
        <f>Ops!AN$155</f>
        <v/>
      </c>
      <c r="AO13" s="17">
        <f>Ops!AO$155</f>
        <v/>
      </c>
      <c r="AP13" s="17">
        <f>Ops!AP$155</f>
        <v/>
      </c>
      <c r="AQ13" s="17">
        <f>Ops!AQ$155</f>
        <v/>
      </c>
      <c r="AR13" s="17">
        <f>Ops!AR$155</f>
        <v/>
      </c>
      <c r="AS13" s="17">
        <f>Ops!AS$155</f>
        <v/>
      </c>
      <c r="AT13" s="17">
        <f>Ops!AT$155</f>
        <v/>
      </c>
      <c r="AU13" s="17">
        <f>Ops!AU$155</f>
        <v/>
      </c>
      <c r="AV13" s="17">
        <f>Ops!AV$155</f>
        <v/>
      </c>
      <c r="AW13" s="17">
        <f>Ops!AW$155</f>
        <v/>
      </c>
      <c r="AX13" s="17">
        <f>Ops!AX$155</f>
        <v/>
      </c>
      <c r="AY13" s="17">
        <f>Ops!AY$155</f>
        <v/>
      </c>
      <c r="AZ13" s="17">
        <f>Ops!AZ$155</f>
        <v/>
      </c>
      <c r="BA13" s="17">
        <f>Ops!BA$155</f>
        <v/>
      </c>
      <c r="BB13" s="17">
        <f>Ops!BB$155</f>
        <v/>
      </c>
      <c r="BC13" s="17">
        <f>Ops!BC$155</f>
        <v/>
      </c>
      <c r="BD13" s="17">
        <f>Ops!BD$155</f>
        <v/>
      </c>
      <c r="BE13" s="17">
        <f>Ops!BE$155</f>
        <v/>
      </c>
      <c r="BF13" s="17">
        <f>Ops!BF$155</f>
        <v/>
      </c>
      <c r="BG13" s="17">
        <f>Ops!BG$155</f>
        <v/>
      </c>
      <c r="BH13" s="17">
        <f>Ops!BH$155</f>
        <v/>
      </c>
      <c r="BI13" s="17">
        <f>Ops!BI$155</f>
        <v/>
      </c>
      <c r="BJ13" s="17">
        <f>Ops!BJ$155</f>
        <v/>
      </c>
      <c r="BK13" s="17">
        <f>Ops!BK$155</f>
        <v/>
      </c>
      <c r="BL13" s="17">
        <f>Ops!BL$155</f>
        <v/>
      </c>
    </row>
    <row r="14">
      <c r="A14" s="55" t="inlineStr">
        <is>
          <t>Marketing &amp; acquisition</t>
        </is>
      </c>
      <c r="B14" s="26" t="inlineStr">
        <is>
          <t>LCY</t>
        </is>
      </c>
      <c r="C14" s="58">
        <f>SUM(E14:BL14)</f>
        <v/>
      </c>
      <c r="E14" s="17">
        <f>Ops!E$156</f>
        <v/>
      </c>
      <c r="F14" s="17">
        <f>Ops!F$156</f>
        <v/>
      </c>
      <c r="G14" s="17">
        <f>Ops!G$156</f>
        <v/>
      </c>
      <c r="H14" s="17">
        <f>Ops!H$156</f>
        <v/>
      </c>
      <c r="I14" s="17">
        <f>Ops!I$156</f>
        <v/>
      </c>
      <c r="J14" s="17">
        <f>Ops!J$156</f>
        <v/>
      </c>
      <c r="K14" s="17">
        <f>Ops!K$156</f>
        <v/>
      </c>
      <c r="L14" s="17">
        <f>Ops!L$156</f>
        <v/>
      </c>
      <c r="M14" s="17">
        <f>Ops!M$156</f>
        <v/>
      </c>
      <c r="N14" s="17">
        <f>Ops!N$156</f>
        <v/>
      </c>
      <c r="O14" s="17">
        <f>Ops!O$156</f>
        <v/>
      </c>
      <c r="P14" s="17">
        <f>Ops!P$156</f>
        <v/>
      </c>
      <c r="Q14" s="17">
        <f>Ops!Q$156</f>
        <v/>
      </c>
      <c r="R14" s="17">
        <f>Ops!R$156</f>
        <v/>
      </c>
      <c r="S14" s="17">
        <f>Ops!S$156</f>
        <v/>
      </c>
      <c r="T14" s="17">
        <f>Ops!T$156</f>
        <v/>
      </c>
      <c r="U14" s="17">
        <f>Ops!U$156</f>
        <v/>
      </c>
      <c r="V14" s="17">
        <f>Ops!V$156</f>
        <v/>
      </c>
      <c r="W14" s="17">
        <f>Ops!W$156</f>
        <v/>
      </c>
      <c r="X14" s="17">
        <f>Ops!X$156</f>
        <v/>
      </c>
      <c r="Y14" s="17">
        <f>Ops!Y$156</f>
        <v/>
      </c>
      <c r="Z14" s="17">
        <f>Ops!Z$156</f>
        <v/>
      </c>
      <c r="AA14" s="17">
        <f>Ops!AA$156</f>
        <v/>
      </c>
      <c r="AB14" s="17">
        <f>Ops!AB$156</f>
        <v/>
      </c>
      <c r="AC14" s="17">
        <f>Ops!AC$156</f>
        <v/>
      </c>
      <c r="AD14" s="17">
        <f>Ops!AD$156</f>
        <v/>
      </c>
      <c r="AE14" s="17">
        <f>Ops!AE$156</f>
        <v/>
      </c>
      <c r="AF14" s="17">
        <f>Ops!AF$156</f>
        <v/>
      </c>
      <c r="AG14" s="17">
        <f>Ops!AG$156</f>
        <v/>
      </c>
      <c r="AH14" s="17">
        <f>Ops!AH$156</f>
        <v/>
      </c>
      <c r="AI14" s="17">
        <f>Ops!AI$156</f>
        <v/>
      </c>
      <c r="AJ14" s="17">
        <f>Ops!AJ$156</f>
        <v/>
      </c>
      <c r="AK14" s="17">
        <f>Ops!AK$156</f>
        <v/>
      </c>
      <c r="AL14" s="17">
        <f>Ops!AL$156</f>
        <v/>
      </c>
      <c r="AM14" s="17">
        <f>Ops!AM$156</f>
        <v/>
      </c>
      <c r="AN14" s="17">
        <f>Ops!AN$156</f>
        <v/>
      </c>
      <c r="AO14" s="17">
        <f>Ops!AO$156</f>
        <v/>
      </c>
      <c r="AP14" s="17">
        <f>Ops!AP$156</f>
        <v/>
      </c>
      <c r="AQ14" s="17">
        <f>Ops!AQ$156</f>
        <v/>
      </c>
      <c r="AR14" s="17">
        <f>Ops!AR$156</f>
        <v/>
      </c>
      <c r="AS14" s="17">
        <f>Ops!AS$156</f>
        <v/>
      </c>
      <c r="AT14" s="17">
        <f>Ops!AT$156</f>
        <v/>
      </c>
      <c r="AU14" s="17">
        <f>Ops!AU$156</f>
        <v/>
      </c>
      <c r="AV14" s="17">
        <f>Ops!AV$156</f>
        <v/>
      </c>
      <c r="AW14" s="17">
        <f>Ops!AW$156</f>
        <v/>
      </c>
      <c r="AX14" s="17">
        <f>Ops!AX$156</f>
        <v/>
      </c>
      <c r="AY14" s="17">
        <f>Ops!AY$156</f>
        <v/>
      </c>
      <c r="AZ14" s="17">
        <f>Ops!AZ$156</f>
        <v/>
      </c>
      <c r="BA14" s="17">
        <f>Ops!BA$156</f>
        <v/>
      </c>
      <c r="BB14" s="17">
        <f>Ops!BB$156</f>
        <v/>
      </c>
      <c r="BC14" s="17">
        <f>Ops!BC$156</f>
        <v/>
      </c>
      <c r="BD14" s="17">
        <f>Ops!BD$156</f>
        <v/>
      </c>
      <c r="BE14" s="17">
        <f>Ops!BE$156</f>
        <v/>
      </c>
      <c r="BF14" s="17">
        <f>Ops!BF$156</f>
        <v/>
      </c>
      <c r="BG14" s="17">
        <f>Ops!BG$156</f>
        <v/>
      </c>
      <c r="BH14" s="17">
        <f>Ops!BH$156</f>
        <v/>
      </c>
      <c r="BI14" s="17">
        <f>Ops!BI$156</f>
        <v/>
      </c>
      <c r="BJ14" s="17">
        <f>Ops!BJ$156</f>
        <v/>
      </c>
      <c r="BK14" s="17">
        <f>Ops!BK$156</f>
        <v/>
      </c>
      <c r="BL14" s="17">
        <f>Ops!BL$156</f>
        <v/>
      </c>
    </row>
    <row r="15">
      <c r="A15" s="55" t="inlineStr">
        <is>
          <t>Payment processing fees</t>
        </is>
      </c>
      <c r="B15" s="26" t="inlineStr">
        <is>
          <t>LCY</t>
        </is>
      </c>
      <c r="C15" s="58">
        <f>SUM(E15:BL15)</f>
        <v/>
      </c>
      <c r="E15" s="39">
        <f>(Ops!E$136+Ops!E$140)*Inputs!$C$24</f>
        <v/>
      </c>
      <c r="F15" s="39">
        <f>(Ops!F$136+Ops!F$140)*Inputs!$C$24</f>
        <v/>
      </c>
      <c r="G15" s="39">
        <f>(Ops!G$136+Ops!G$140)*Inputs!$C$24</f>
        <v/>
      </c>
      <c r="H15" s="39">
        <f>(Ops!H$136+Ops!H$140)*Inputs!$C$24</f>
        <v/>
      </c>
      <c r="I15" s="39">
        <f>(Ops!I$136+Ops!I$140)*Inputs!$C$24</f>
        <v/>
      </c>
      <c r="J15" s="39">
        <f>(Ops!J$136+Ops!J$140)*Inputs!$C$24</f>
        <v/>
      </c>
      <c r="K15" s="39">
        <f>(Ops!K$136+Ops!K$140)*Inputs!$C$24</f>
        <v/>
      </c>
      <c r="L15" s="39">
        <f>(Ops!L$136+Ops!L$140)*Inputs!$C$24</f>
        <v/>
      </c>
      <c r="M15" s="39">
        <f>(Ops!M$136+Ops!M$140)*Inputs!$C$24</f>
        <v/>
      </c>
      <c r="N15" s="39">
        <f>(Ops!N$136+Ops!N$140)*Inputs!$C$24</f>
        <v/>
      </c>
      <c r="O15" s="39">
        <f>(Ops!O$136+Ops!O$140)*Inputs!$C$24</f>
        <v/>
      </c>
      <c r="P15" s="39">
        <f>(Ops!P$136+Ops!P$140)*Inputs!$C$24</f>
        <v/>
      </c>
      <c r="Q15" s="39">
        <f>(Ops!Q$136+Ops!Q$140)*Inputs!$C$24</f>
        <v/>
      </c>
      <c r="R15" s="39">
        <f>(Ops!R$136+Ops!R$140)*Inputs!$C$24</f>
        <v/>
      </c>
      <c r="S15" s="39">
        <f>(Ops!S$136+Ops!S$140)*Inputs!$C$24</f>
        <v/>
      </c>
      <c r="T15" s="39">
        <f>(Ops!T$136+Ops!T$140)*Inputs!$C$24</f>
        <v/>
      </c>
      <c r="U15" s="39">
        <f>(Ops!U$136+Ops!U$140)*Inputs!$C$24</f>
        <v/>
      </c>
      <c r="V15" s="39">
        <f>(Ops!V$136+Ops!V$140)*Inputs!$C$24</f>
        <v/>
      </c>
      <c r="W15" s="39">
        <f>(Ops!W$136+Ops!W$140)*Inputs!$C$24</f>
        <v/>
      </c>
      <c r="X15" s="39">
        <f>(Ops!X$136+Ops!X$140)*Inputs!$C$24</f>
        <v/>
      </c>
      <c r="Y15" s="39">
        <f>(Ops!Y$136+Ops!Y$140)*Inputs!$C$24</f>
        <v/>
      </c>
      <c r="Z15" s="39">
        <f>(Ops!Z$136+Ops!Z$140)*Inputs!$C$24</f>
        <v/>
      </c>
      <c r="AA15" s="39">
        <f>(Ops!AA$136+Ops!AA$140)*Inputs!$C$24</f>
        <v/>
      </c>
      <c r="AB15" s="39">
        <f>(Ops!AB$136+Ops!AB$140)*Inputs!$C$24</f>
        <v/>
      </c>
      <c r="AC15" s="39">
        <f>(Ops!AC$136+Ops!AC$140)*Inputs!$C$24</f>
        <v/>
      </c>
      <c r="AD15" s="39">
        <f>(Ops!AD$136+Ops!AD$140)*Inputs!$C$24</f>
        <v/>
      </c>
      <c r="AE15" s="39">
        <f>(Ops!AE$136+Ops!AE$140)*Inputs!$C$24</f>
        <v/>
      </c>
      <c r="AF15" s="39">
        <f>(Ops!AF$136+Ops!AF$140)*Inputs!$C$24</f>
        <v/>
      </c>
      <c r="AG15" s="39">
        <f>(Ops!AG$136+Ops!AG$140)*Inputs!$C$24</f>
        <v/>
      </c>
      <c r="AH15" s="39">
        <f>(Ops!AH$136+Ops!AH$140)*Inputs!$C$24</f>
        <v/>
      </c>
      <c r="AI15" s="39">
        <f>(Ops!AI$136+Ops!AI$140)*Inputs!$C$24</f>
        <v/>
      </c>
      <c r="AJ15" s="39">
        <f>(Ops!AJ$136+Ops!AJ$140)*Inputs!$C$24</f>
        <v/>
      </c>
      <c r="AK15" s="39">
        <f>(Ops!AK$136+Ops!AK$140)*Inputs!$C$24</f>
        <v/>
      </c>
      <c r="AL15" s="39">
        <f>(Ops!AL$136+Ops!AL$140)*Inputs!$C$24</f>
        <v/>
      </c>
      <c r="AM15" s="39">
        <f>(Ops!AM$136+Ops!AM$140)*Inputs!$C$24</f>
        <v/>
      </c>
      <c r="AN15" s="39">
        <f>(Ops!AN$136+Ops!AN$140)*Inputs!$C$24</f>
        <v/>
      </c>
      <c r="AO15" s="39">
        <f>(Ops!AO$136+Ops!AO$140)*Inputs!$C$24</f>
        <v/>
      </c>
      <c r="AP15" s="39">
        <f>(Ops!AP$136+Ops!AP$140)*Inputs!$C$24</f>
        <v/>
      </c>
      <c r="AQ15" s="39">
        <f>(Ops!AQ$136+Ops!AQ$140)*Inputs!$C$24</f>
        <v/>
      </c>
      <c r="AR15" s="39">
        <f>(Ops!AR$136+Ops!AR$140)*Inputs!$C$24</f>
        <v/>
      </c>
      <c r="AS15" s="39">
        <f>(Ops!AS$136+Ops!AS$140)*Inputs!$C$24</f>
        <v/>
      </c>
      <c r="AT15" s="39">
        <f>(Ops!AT$136+Ops!AT$140)*Inputs!$C$24</f>
        <v/>
      </c>
      <c r="AU15" s="39">
        <f>(Ops!AU$136+Ops!AU$140)*Inputs!$C$24</f>
        <v/>
      </c>
      <c r="AV15" s="39">
        <f>(Ops!AV$136+Ops!AV$140)*Inputs!$C$24</f>
        <v/>
      </c>
      <c r="AW15" s="39">
        <f>(Ops!AW$136+Ops!AW$140)*Inputs!$C$24</f>
        <v/>
      </c>
      <c r="AX15" s="39">
        <f>(Ops!AX$136+Ops!AX$140)*Inputs!$C$24</f>
        <v/>
      </c>
      <c r="AY15" s="39">
        <f>(Ops!AY$136+Ops!AY$140)*Inputs!$C$24</f>
        <v/>
      </c>
      <c r="AZ15" s="39">
        <f>(Ops!AZ$136+Ops!AZ$140)*Inputs!$C$24</f>
        <v/>
      </c>
      <c r="BA15" s="39">
        <f>(Ops!BA$136+Ops!BA$140)*Inputs!$C$24</f>
        <v/>
      </c>
      <c r="BB15" s="39">
        <f>(Ops!BB$136+Ops!BB$140)*Inputs!$C$24</f>
        <v/>
      </c>
      <c r="BC15" s="39">
        <f>(Ops!BC$136+Ops!BC$140)*Inputs!$C$24</f>
        <v/>
      </c>
      <c r="BD15" s="39">
        <f>(Ops!BD$136+Ops!BD$140)*Inputs!$C$24</f>
        <v/>
      </c>
      <c r="BE15" s="39">
        <f>(Ops!BE$136+Ops!BE$140)*Inputs!$C$24</f>
        <v/>
      </c>
      <c r="BF15" s="39">
        <f>(Ops!BF$136+Ops!BF$140)*Inputs!$C$24</f>
        <v/>
      </c>
      <c r="BG15" s="39">
        <f>(Ops!BG$136+Ops!BG$140)*Inputs!$C$24</f>
        <v/>
      </c>
      <c r="BH15" s="39">
        <f>(Ops!BH$136+Ops!BH$140)*Inputs!$C$24</f>
        <v/>
      </c>
      <c r="BI15" s="39">
        <f>(Ops!BI$136+Ops!BI$140)*Inputs!$C$24</f>
        <v/>
      </c>
      <c r="BJ15" s="39">
        <f>(Ops!BJ$136+Ops!BJ$140)*Inputs!$C$24</f>
        <v/>
      </c>
      <c r="BK15" s="39">
        <f>(Ops!BK$136+Ops!BK$140)*Inputs!$C$24</f>
        <v/>
      </c>
      <c r="BL15" s="39">
        <f>(Ops!BL$136+Ops!BL$140)*Inputs!$C$24</f>
        <v/>
      </c>
    </row>
    <row r="16">
      <c r="A16" s="55" t="inlineStr">
        <is>
          <t>Customer service &amp; collections</t>
        </is>
      </c>
      <c r="B16" s="26" t="inlineStr">
        <is>
          <t>LCY</t>
        </is>
      </c>
      <c r="C16" s="58">
        <f>SUM(E16:BL16)</f>
        <v/>
      </c>
      <c r="E16" s="39">
        <f>Ops!E$146*Inputs!$C$25*Timeline!E$9</f>
        <v/>
      </c>
      <c r="F16" s="39">
        <f>Ops!F$146*Inputs!$C$25*Timeline!F$9</f>
        <v/>
      </c>
      <c r="G16" s="39">
        <f>Ops!G$146*Inputs!$C$25*Timeline!G$9</f>
        <v/>
      </c>
      <c r="H16" s="39">
        <f>Ops!H$146*Inputs!$C$25*Timeline!H$9</f>
        <v/>
      </c>
      <c r="I16" s="39">
        <f>Ops!I$146*Inputs!$C$25*Timeline!I$9</f>
        <v/>
      </c>
      <c r="J16" s="39">
        <f>Ops!J$146*Inputs!$C$25*Timeline!J$9</f>
        <v/>
      </c>
      <c r="K16" s="39">
        <f>Ops!K$146*Inputs!$C$25*Timeline!K$9</f>
        <v/>
      </c>
      <c r="L16" s="39">
        <f>Ops!L$146*Inputs!$C$25*Timeline!L$9</f>
        <v/>
      </c>
      <c r="M16" s="39">
        <f>Ops!M$146*Inputs!$C$25*Timeline!M$9</f>
        <v/>
      </c>
      <c r="N16" s="39">
        <f>Ops!N$146*Inputs!$C$25*Timeline!N$9</f>
        <v/>
      </c>
      <c r="O16" s="39">
        <f>Ops!O$146*Inputs!$C$25*Timeline!O$9</f>
        <v/>
      </c>
      <c r="P16" s="39">
        <f>Ops!P$146*Inputs!$C$25*Timeline!P$9</f>
        <v/>
      </c>
      <c r="Q16" s="39">
        <f>Ops!Q$146*Inputs!$C$25*Timeline!Q$9</f>
        <v/>
      </c>
      <c r="R16" s="39">
        <f>Ops!R$146*Inputs!$C$25*Timeline!R$9</f>
        <v/>
      </c>
      <c r="S16" s="39">
        <f>Ops!S$146*Inputs!$C$25*Timeline!S$9</f>
        <v/>
      </c>
      <c r="T16" s="39">
        <f>Ops!T$146*Inputs!$C$25*Timeline!T$9</f>
        <v/>
      </c>
      <c r="U16" s="39">
        <f>Ops!U$146*Inputs!$C$25*Timeline!U$9</f>
        <v/>
      </c>
      <c r="V16" s="39">
        <f>Ops!V$146*Inputs!$C$25*Timeline!V$9</f>
        <v/>
      </c>
      <c r="W16" s="39">
        <f>Ops!W$146*Inputs!$C$25*Timeline!W$9</f>
        <v/>
      </c>
      <c r="X16" s="39">
        <f>Ops!X$146*Inputs!$C$25*Timeline!X$9</f>
        <v/>
      </c>
      <c r="Y16" s="39">
        <f>Ops!Y$146*Inputs!$C$25*Timeline!Y$9</f>
        <v/>
      </c>
      <c r="Z16" s="39">
        <f>Ops!Z$146*Inputs!$C$25*Timeline!Z$9</f>
        <v/>
      </c>
      <c r="AA16" s="39">
        <f>Ops!AA$146*Inputs!$C$25*Timeline!AA$9</f>
        <v/>
      </c>
      <c r="AB16" s="39">
        <f>Ops!AB$146*Inputs!$C$25*Timeline!AB$9</f>
        <v/>
      </c>
      <c r="AC16" s="39">
        <f>Ops!AC$146*Inputs!$C$25*Timeline!AC$9</f>
        <v/>
      </c>
      <c r="AD16" s="39">
        <f>Ops!AD$146*Inputs!$C$25*Timeline!AD$9</f>
        <v/>
      </c>
      <c r="AE16" s="39">
        <f>Ops!AE$146*Inputs!$C$25*Timeline!AE$9</f>
        <v/>
      </c>
      <c r="AF16" s="39">
        <f>Ops!AF$146*Inputs!$C$25*Timeline!AF$9</f>
        <v/>
      </c>
      <c r="AG16" s="39">
        <f>Ops!AG$146*Inputs!$C$25*Timeline!AG$9</f>
        <v/>
      </c>
      <c r="AH16" s="39">
        <f>Ops!AH$146*Inputs!$C$25*Timeline!AH$9</f>
        <v/>
      </c>
      <c r="AI16" s="39">
        <f>Ops!AI$146*Inputs!$C$25*Timeline!AI$9</f>
        <v/>
      </c>
      <c r="AJ16" s="39">
        <f>Ops!AJ$146*Inputs!$C$25*Timeline!AJ$9</f>
        <v/>
      </c>
      <c r="AK16" s="39">
        <f>Ops!AK$146*Inputs!$C$25*Timeline!AK$9</f>
        <v/>
      </c>
      <c r="AL16" s="39">
        <f>Ops!AL$146*Inputs!$C$25*Timeline!AL$9</f>
        <v/>
      </c>
      <c r="AM16" s="39">
        <f>Ops!AM$146*Inputs!$C$25*Timeline!AM$9</f>
        <v/>
      </c>
      <c r="AN16" s="39">
        <f>Ops!AN$146*Inputs!$C$25*Timeline!AN$9</f>
        <v/>
      </c>
      <c r="AO16" s="39">
        <f>Ops!AO$146*Inputs!$C$25*Timeline!AO$9</f>
        <v/>
      </c>
      <c r="AP16" s="39">
        <f>Ops!AP$146*Inputs!$C$25*Timeline!AP$9</f>
        <v/>
      </c>
      <c r="AQ16" s="39">
        <f>Ops!AQ$146*Inputs!$C$25*Timeline!AQ$9</f>
        <v/>
      </c>
      <c r="AR16" s="39">
        <f>Ops!AR$146*Inputs!$C$25*Timeline!AR$9</f>
        <v/>
      </c>
      <c r="AS16" s="39">
        <f>Ops!AS$146*Inputs!$C$25*Timeline!AS$9</f>
        <v/>
      </c>
      <c r="AT16" s="39">
        <f>Ops!AT$146*Inputs!$C$25*Timeline!AT$9</f>
        <v/>
      </c>
      <c r="AU16" s="39">
        <f>Ops!AU$146*Inputs!$C$25*Timeline!AU$9</f>
        <v/>
      </c>
      <c r="AV16" s="39">
        <f>Ops!AV$146*Inputs!$C$25*Timeline!AV$9</f>
        <v/>
      </c>
      <c r="AW16" s="39">
        <f>Ops!AW$146*Inputs!$C$25*Timeline!AW$9</f>
        <v/>
      </c>
      <c r="AX16" s="39">
        <f>Ops!AX$146*Inputs!$C$25*Timeline!AX$9</f>
        <v/>
      </c>
      <c r="AY16" s="39">
        <f>Ops!AY$146*Inputs!$C$25*Timeline!AY$9</f>
        <v/>
      </c>
      <c r="AZ16" s="39">
        <f>Ops!AZ$146*Inputs!$C$25*Timeline!AZ$9</f>
        <v/>
      </c>
      <c r="BA16" s="39">
        <f>Ops!BA$146*Inputs!$C$25*Timeline!BA$9</f>
        <v/>
      </c>
      <c r="BB16" s="39">
        <f>Ops!BB$146*Inputs!$C$25*Timeline!BB$9</f>
        <v/>
      </c>
      <c r="BC16" s="39">
        <f>Ops!BC$146*Inputs!$C$25*Timeline!BC$9</f>
        <v/>
      </c>
      <c r="BD16" s="39">
        <f>Ops!BD$146*Inputs!$C$25*Timeline!BD$9</f>
        <v/>
      </c>
      <c r="BE16" s="39">
        <f>Ops!BE$146*Inputs!$C$25*Timeline!BE$9</f>
        <v/>
      </c>
      <c r="BF16" s="39">
        <f>Ops!BF$146*Inputs!$C$25*Timeline!BF$9</f>
        <v/>
      </c>
      <c r="BG16" s="39">
        <f>Ops!BG$146*Inputs!$C$25*Timeline!BG$9</f>
        <v/>
      </c>
      <c r="BH16" s="39">
        <f>Ops!BH$146*Inputs!$C$25*Timeline!BH$9</f>
        <v/>
      </c>
      <c r="BI16" s="39">
        <f>Ops!BI$146*Inputs!$C$25*Timeline!BI$9</f>
        <v/>
      </c>
      <c r="BJ16" s="39">
        <f>Ops!BJ$146*Inputs!$C$25*Timeline!BJ$9</f>
        <v/>
      </c>
      <c r="BK16" s="39">
        <f>Ops!BK$146*Inputs!$C$25*Timeline!BK$9</f>
        <v/>
      </c>
      <c r="BL16" s="39">
        <f>Ops!BL$146*Inputs!$C$25*Timeline!BL$9</f>
        <v/>
      </c>
    </row>
    <row r="17">
      <c r="A17" s="55" t="inlineStr">
        <is>
          <t>Staff</t>
        </is>
      </c>
      <c r="B17" s="26" t="inlineStr">
        <is>
          <t>LCY</t>
        </is>
      </c>
      <c r="C17" s="58">
        <f>SUM(E17:BL17)</f>
        <v/>
      </c>
      <c r="E17" s="39">
        <f>Inputs!$C$26*Timeline!E$9</f>
        <v/>
      </c>
      <c r="F17" s="39">
        <f>Inputs!$C$26*Timeline!F$9</f>
        <v/>
      </c>
      <c r="G17" s="39">
        <f>Inputs!$C$26*Timeline!G$9</f>
        <v/>
      </c>
      <c r="H17" s="39">
        <f>Inputs!$C$26*Timeline!H$9</f>
        <v/>
      </c>
      <c r="I17" s="39">
        <f>Inputs!$C$26*Timeline!I$9</f>
        <v/>
      </c>
      <c r="J17" s="39">
        <f>Inputs!$C$26*Timeline!J$9</f>
        <v/>
      </c>
      <c r="K17" s="39">
        <f>Inputs!$C$26*Timeline!K$9</f>
        <v/>
      </c>
      <c r="L17" s="39">
        <f>Inputs!$C$26*Timeline!L$9</f>
        <v/>
      </c>
      <c r="M17" s="39">
        <f>Inputs!$C$26*Timeline!M$9</f>
        <v/>
      </c>
      <c r="N17" s="39">
        <f>Inputs!$C$26*Timeline!N$9</f>
        <v/>
      </c>
      <c r="O17" s="39">
        <f>Inputs!$C$26*Timeline!O$9</f>
        <v/>
      </c>
      <c r="P17" s="39">
        <f>Inputs!$C$26*Timeline!P$9</f>
        <v/>
      </c>
      <c r="Q17" s="39">
        <f>Inputs!$C$26*Timeline!Q$9</f>
        <v/>
      </c>
      <c r="R17" s="39">
        <f>Inputs!$C$26*Timeline!R$9</f>
        <v/>
      </c>
      <c r="S17" s="39">
        <f>Inputs!$C$26*Timeline!S$9</f>
        <v/>
      </c>
      <c r="T17" s="39">
        <f>Inputs!$C$26*Timeline!T$9</f>
        <v/>
      </c>
      <c r="U17" s="39">
        <f>Inputs!$C$26*Timeline!U$9</f>
        <v/>
      </c>
      <c r="V17" s="39">
        <f>Inputs!$C$26*Timeline!V$9</f>
        <v/>
      </c>
      <c r="W17" s="39">
        <f>Inputs!$C$26*Timeline!W$9</f>
        <v/>
      </c>
      <c r="X17" s="39">
        <f>Inputs!$C$26*Timeline!X$9</f>
        <v/>
      </c>
      <c r="Y17" s="39">
        <f>Inputs!$C$26*Timeline!Y$9</f>
        <v/>
      </c>
      <c r="Z17" s="39">
        <f>Inputs!$C$26*Timeline!Z$9</f>
        <v/>
      </c>
      <c r="AA17" s="39">
        <f>Inputs!$C$26*Timeline!AA$9</f>
        <v/>
      </c>
      <c r="AB17" s="39">
        <f>Inputs!$C$26*Timeline!AB$9</f>
        <v/>
      </c>
      <c r="AC17" s="39">
        <f>Inputs!$C$26*Timeline!AC$9</f>
        <v/>
      </c>
      <c r="AD17" s="39">
        <f>Inputs!$C$26*Timeline!AD$9</f>
        <v/>
      </c>
      <c r="AE17" s="39">
        <f>Inputs!$C$26*Timeline!AE$9</f>
        <v/>
      </c>
      <c r="AF17" s="39">
        <f>Inputs!$C$26*Timeline!AF$9</f>
        <v/>
      </c>
      <c r="AG17" s="39">
        <f>Inputs!$C$26*Timeline!AG$9</f>
        <v/>
      </c>
      <c r="AH17" s="39">
        <f>Inputs!$C$26*Timeline!AH$9</f>
        <v/>
      </c>
      <c r="AI17" s="39">
        <f>Inputs!$C$26*Timeline!AI$9</f>
        <v/>
      </c>
      <c r="AJ17" s="39">
        <f>Inputs!$C$26*Timeline!AJ$9</f>
        <v/>
      </c>
      <c r="AK17" s="39">
        <f>Inputs!$C$26*Timeline!AK$9</f>
        <v/>
      </c>
      <c r="AL17" s="39">
        <f>Inputs!$C$26*Timeline!AL$9</f>
        <v/>
      </c>
      <c r="AM17" s="39">
        <f>Inputs!$C$26*Timeline!AM$9</f>
        <v/>
      </c>
      <c r="AN17" s="39">
        <f>Inputs!$C$26*Timeline!AN$9</f>
        <v/>
      </c>
      <c r="AO17" s="39">
        <f>Inputs!$C$26*Timeline!AO$9</f>
        <v/>
      </c>
      <c r="AP17" s="39">
        <f>Inputs!$C$26*Timeline!AP$9</f>
        <v/>
      </c>
      <c r="AQ17" s="39">
        <f>Inputs!$C$26*Timeline!AQ$9</f>
        <v/>
      </c>
      <c r="AR17" s="39">
        <f>Inputs!$C$26*Timeline!AR$9</f>
        <v/>
      </c>
      <c r="AS17" s="39">
        <f>Inputs!$C$26*Timeline!AS$9</f>
        <v/>
      </c>
      <c r="AT17" s="39">
        <f>Inputs!$C$26*Timeline!AT$9</f>
        <v/>
      </c>
      <c r="AU17" s="39">
        <f>Inputs!$C$26*Timeline!AU$9</f>
        <v/>
      </c>
      <c r="AV17" s="39">
        <f>Inputs!$C$26*Timeline!AV$9</f>
        <v/>
      </c>
      <c r="AW17" s="39">
        <f>Inputs!$C$26*Timeline!AW$9</f>
        <v/>
      </c>
      <c r="AX17" s="39">
        <f>Inputs!$C$26*Timeline!AX$9</f>
        <v/>
      </c>
      <c r="AY17" s="39">
        <f>Inputs!$C$26*Timeline!AY$9</f>
        <v/>
      </c>
      <c r="AZ17" s="39">
        <f>Inputs!$C$26*Timeline!AZ$9</f>
        <v/>
      </c>
      <c r="BA17" s="39">
        <f>Inputs!$C$26*Timeline!BA$9</f>
        <v/>
      </c>
      <c r="BB17" s="39">
        <f>Inputs!$C$26*Timeline!BB$9</f>
        <v/>
      </c>
      <c r="BC17" s="39">
        <f>Inputs!$C$26*Timeline!BC$9</f>
        <v/>
      </c>
      <c r="BD17" s="39">
        <f>Inputs!$C$26*Timeline!BD$9</f>
        <v/>
      </c>
      <c r="BE17" s="39">
        <f>Inputs!$C$26*Timeline!BE$9</f>
        <v/>
      </c>
      <c r="BF17" s="39">
        <f>Inputs!$C$26*Timeline!BF$9</f>
        <v/>
      </c>
      <c r="BG17" s="39">
        <f>Inputs!$C$26*Timeline!BG$9</f>
        <v/>
      </c>
      <c r="BH17" s="39">
        <f>Inputs!$C$26*Timeline!BH$9</f>
        <v/>
      </c>
      <c r="BI17" s="39">
        <f>Inputs!$C$26*Timeline!BI$9</f>
        <v/>
      </c>
      <c r="BJ17" s="39">
        <f>Inputs!$C$26*Timeline!BJ$9</f>
        <v/>
      </c>
      <c r="BK17" s="39">
        <f>Inputs!$C$26*Timeline!BK$9</f>
        <v/>
      </c>
      <c r="BL17" s="39">
        <f>Inputs!$C$26*Timeline!BL$9</f>
        <v/>
      </c>
    </row>
    <row r="18">
      <c r="A18" s="55" t="inlineStr">
        <is>
          <t>G&amp;A, rent, IT</t>
        </is>
      </c>
      <c r="B18" s="26" t="inlineStr">
        <is>
          <t>LCY</t>
        </is>
      </c>
      <c r="C18" s="58">
        <f>SUM(E18:BL18)</f>
        <v/>
      </c>
      <c r="E18" s="39">
        <f>Inputs!$C$27*Timeline!E$9</f>
        <v/>
      </c>
      <c r="F18" s="39">
        <f>Inputs!$C$27*Timeline!F$9</f>
        <v/>
      </c>
      <c r="G18" s="39">
        <f>Inputs!$C$27*Timeline!G$9</f>
        <v/>
      </c>
      <c r="H18" s="39">
        <f>Inputs!$C$27*Timeline!H$9</f>
        <v/>
      </c>
      <c r="I18" s="39">
        <f>Inputs!$C$27*Timeline!I$9</f>
        <v/>
      </c>
      <c r="J18" s="39">
        <f>Inputs!$C$27*Timeline!J$9</f>
        <v/>
      </c>
      <c r="K18" s="39">
        <f>Inputs!$C$27*Timeline!K$9</f>
        <v/>
      </c>
      <c r="L18" s="39">
        <f>Inputs!$C$27*Timeline!L$9</f>
        <v/>
      </c>
      <c r="M18" s="39">
        <f>Inputs!$C$27*Timeline!M$9</f>
        <v/>
      </c>
      <c r="N18" s="39">
        <f>Inputs!$C$27*Timeline!N$9</f>
        <v/>
      </c>
      <c r="O18" s="39">
        <f>Inputs!$C$27*Timeline!O$9</f>
        <v/>
      </c>
      <c r="P18" s="39">
        <f>Inputs!$C$27*Timeline!P$9</f>
        <v/>
      </c>
      <c r="Q18" s="39">
        <f>Inputs!$C$27*Timeline!Q$9</f>
        <v/>
      </c>
      <c r="R18" s="39">
        <f>Inputs!$C$27*Timeline!R$9</f>
        <v/>
      </c>
      <c r="S18" s="39">
        <f>Inputs!$C$27*Timeline!S$9</f>
        <v/>
      </c>
      <c r="T18" s="39">
        <f>Inputs!$C$27*Timeline!T$9</f>
        <v/>
      </c>
      <c r="U18" s="39">
        <f>Inputs!$C$27*Timeline!U$9</f>
        <v/>
      </c>
      <c r="V18" s="39">
        <f>Inputs!$C$27*Timeline!V$9</f>
        <v/>
      </c>
      <c r="W18" s="39">
        <f>Inputs!$C$27*Timeline!W$9</f>
        <v/>
      </c>
      <c r="X18" s="39">
        <f>Inputs!$C$27*Timeline!X$9</f>
        <v/>
      </c>
      <c r="Y18" s="39">
        <f>Inputs!$C$27*Timeline!Y$9</f>
        <v/>
      </c>
      <c r="Z18" s="39">
        <f>Inputs!$C$27*Timeline!Z$9</f>
        <v/>
      </c>
      <c r="AA18" s="39">
        <f>Inputs!$C$27*Timeline!AA$9</f>
        <v/>
      </c>
      <c r="AB18" s="39">
        <f>Inputs!$C$27*Timeline!AB$9</f>
        <v/>
      </c>
      <c r="AC18" s="39">
        <f>Inputs!$C$27*Timeline!AC$9</f>
        <v/>
      </c>
      <c r="AD18" s="39">
        <f>Inputs!$C$27*Timeline!AD$9</f>
        <v/>
      </c>
      <c r="AE18" s="39">
        <f>Inputs!$C$27*Timeline!AE$9</f>
        <v/>
      </c>
      <c r="AF18" s="39">
        <f>Inputs!$C$27*Timeline!AF$9</f>
        <v/>
      </c>
      <c r="AG18" s="39">
        <f>Inputs!$C$27*Timeline!AG$9</f>
        <v/>
      </c>
      <c r="AH18" s="39">
        <f>Inputs!$C$27*Timeline!AH$9</f>
        <v/>
      </c>
      <c r="AI18" s="39">
        <f>Inputs!$C$27*Timeline!AI$9</f>
        <v/>
      </c>
      <c r="AJ18" s="39">
        <f>Inputs!$C$27*Timeline!AJ$9</f>
        <v/>
      </c>
      <c r="AK18" s="39">
        <f>Inputs!$C$27*Timeline!AK$9</f>
        <v/>
      </c>
      <c r="AL18" s="39">
        <f>Inputs!$C$27*Timeline!AL$9</f>
        <v/>
      </c>
      <c r="AM18" s="39">
        <f>Inputs!$C$27*Timeline!AM$9</f>
        <v/>
      </c>
      <c r="AN18" s="39">
        <f>Inputs!$C$27*Timeline!AN$9</f>
        <v/>
      </c>
      <c r="AO18" s="39">
        <f>Inputs!$C$27*Timeline!AO$9</f>
        <v/>
      </c>
      <c r="AP18" s="39">
        <f>Inputs!$C$27*Timeline!AP$9</f>
        <v/>
      </c>
      <c r="AQ18" s="39">
        <f>Inputs!$C$27*Timeline!AQ$9</f>
        <v/>
      </c>
      <c r="AR18" s="39">
        <f>Inputs!$C$27*Timeline!AR$9</f>
        <v/>
      </c>
      <c r="AS18" s="39">
        <f>Inputs!$C$27*Timeline!AS$9</f>
        <v/>
      </c>
      <c r="AT18" s="39">
        <f>Inputs!$C$27*Timeline!AT$9</f>
        <v/>
      </c>
      <c r="AU18" s="39">
        <f>Inputs!$C$27*Timeline!AU$9</f>
        <v/>
      </c>
      <c r="AV18" s="39">
        <f>Inputs!$C$27*Timeline!AV$9</f>
        <v/>
      </c>
      <c r="AW18" s="39">
        <f>Inputs!$C$27*Timeline!AW$9</f>
        <v/>
      </c>
      <c r="AX18" s="39">
        <f>Inputs!$C$27*Timeline!AX$9</f>
        <v/>
      </c>
      <c r="AY18" s="39">
        <f>Inputs!$C$27*Timeline!AY$9</f>
        <v/>
      </c>
      <c r="AZ18" s="39">
        <f>Inputs!$C$27*Timeline!AZ$9</f>
        <v/>
      </c>
      <c r="BA18" s="39">
        <f>Inputs!$C$27*Timeline!BA$9</f>
        <v/>
      </c>
      <c r="BB18" s="39">
        <f>Inputs!$C$27*Timeline!BB$9</f>
        <v/>
      </c>
      <c r="BC18" s="39">
        <f>Inputs!$C$27*Timeline!BC$9</f>
        <v/>
      </c>
      <c r="BD18" s="39">
        <f>Inputs!$C$27*Timeline!BD$9</f>
        <v/>
      </c>
      <c r="BE18" s="39">
        <f>Inputs!$C$27*Timeline!BE$9</f>
        <v/>
      </c>
      <c r="BF18" s="39">
        <f>Inputs!$C$27*Timeline!BF$9</f>
        <v/>
      </c>
      <c r="BG18" s="39">
        <f>Inputs!$C$27*Timeline!BG$9</f>
        <v/>
      </c>
      <c r="BH18" s="39">
        <f>Inputs!$C$27*Timeline!BH$9</f>
        <v/>
      </c>
      <c r="BI18" s="39">
        <f>Inputs!$C$27*Timeline!BI$9</f>
        <v/>
      </c>
      <c r="BJ18" s="39">
        <f>Inputs!$C$27*Timeline!BJ$9</f>
        <v/>
      </c>
      <c r="BK18" s="39">
        <f>Inputs!$C$27*Timeline!BK$9</f>
        <v/>
      </c>
      <c r="BL18" s="39">
        <f>Inputs!$C$27*Timeline!BL$9</f>
        <v/>
      </c>
    </row>
    <row r="19">
      <c r="A19" s="60" t="inlineStr">
        <is>
          <t>Total operating expenses</t>
        </is>
      </c>
      <c r="B19" s="61" t="inlineStr">
        <is>
          <t>LCY</t>
        </is>
      </c>
      <c r="C19" s="70">
        <f>SUM(E19:BL19)</f>
        <v/>
      </c>
      <c r="D19" s="63" t="n"/>
      <c r="E19" s="71">
        <f>SUM(E12:E18)</f>
        <v/>
      </c>
      <c r="F19" s="71">
        <f>SUM(F12:F18)</f>
        <v/>
      </c>
      <c r="G19" s="71">
        <f>SUM(G12:G18)</f>
        <v/>
      </c>
      <c r="H19" s="71">
        <f>SUM(H12:H18)</f>
        <v/>
      </c>
      <c r="I19" s="71">
        <f>SUM(I12:I18)</f>
        <v/>
      </c>
      <c r="J19" s="71">
        <f>SUM(J12:J18)</f>
        <v/>
      </c>
      <c r="K19" s="71">
        <f>SUM(K12:K18)</f>
        <v/>
      </c>
      <c r="L19" s="71">
        <f>SUM(L12:L18)</f>
        <v/>
      </c>
      <c r="M19" s="71">
        <f>SUM(M12:M18)</f>
        <v/>
      </c>
      <c r="N19" s="71">
        <f>SUM(N12:N18)</f>
        <v/>
      </c>
      <c r="O19" s="71">
        <f>SUM(O12:O18)</f>
        <v/>
      </c>
      <c r="P19" s="71">
        <f>SUM(P12:P18)</f>
        <v/>
      </c>
      <c r="Q19" s="71">
        <f>SUM(Q12:Q18)</f>
        <v/>
      </c>
      <c r="R19" s="71">
        <f>SUM(R12:R18)</f>
        <v/>
      </c>
      <c r="S19" s="71">
        <f>SUM(S12:S18)</f>
        <v/>
      </c>
      <c r="T19" s="71">
        <f>SUM(T12:T18)</f>
        <v/>
      </c>
      <c r="U19" s="71">
        <f>SUM(U12:U18)</f>
        <v/>
      </c>
      <c r="V19" s="71">
        <f>SUM(V12:V18)</f>
        <v/>
      </c>
      <c r="W19" s="71">
        <f>SUM(W12:W18)</f>
        <v/>
      </c>
      <c r="X19" s="71">
        <f>SUM(X12:X18)</f>
        <v/>
      </c>
      <c r="Y19" s="71">
        <f>SUM(Y12:Y18)</f>
        <v/>
      </c>
      <c r="Z19" s="71">
        <f>SUM(Z12:Z18)</f>
        <v/>
      </c>
      <c r="AA19" s="71">
        <f>SUM(AA12:AA18)</f>
        <v/>
      </c>
      <c r="AB19" s="71">
        <f>SUM(AB12:AB18)</f>
        <v/>
      </c>
      <c r="AC19" s="71">
        <f>SUM(AC12:AC18)</f>
        <v/>
      </c>
      <c r="AD19" s="71">
        <f>SUM(AD12:AD18)</f>
        <v/>
      </c>
      <c r="AE19" s="71">
        <f>SUM(AE12:AE18)</f>
        <v/>
      </c>
      <c r="AF19" s="71">
        <f>SUM(AF12:AF18)</f>
        <v/>
      </c>
      <c r="AG19" s="71">
        <f>SUM(AG12:AG18)</f>
        <v/>
      </c>
      <c r="AH19" s="71">
        <f>SUM(AH12:AH18)</f>
        <v/>
      </c>
      <c r="AI19" s="71">
        <f>SUM(AI12:AI18)</f>
        <v/>
      </c>
      <c r="AJ19" s="71">
        <f>SUM(AJ12:AJ18)</f>
        <v/>
      </c>
      <c r="AK19" s="71">
        <f>SUM(AK12:AK18)</f>
        <v/>
      </c>
      <c r="AL19" s="71">
        <f>SUM(AL12:AL18)</f>
        <v/>
      </c>
      <c r="AM19" s="71">
        <f>SUM(AM12:AM18)</f>
        <v/>
      </c>
      <c r="AN19" s="71">
        <f>SUM(AN12:AN18)</f>
        <v/>
      </c>
      <c r="AO19" s="71">
        <f>SUM(AO12:AO18)</f>
        <v/>
      </c>
      <c r="AP19" s="71">
        <f>SUM(AP12:AP18)</f>
        <v/>
      </c>
      <c r="AQ19" s="71">
        <f>SUM(AQ12:AQ18)</f>
        <v/>
      </c>
      <c r="AR19" s="71">
        <f>SUM(AR12:AR18)</f>
        <v/>
      </c>
      <c r="AS19" s="71">
        <f>SUM(AS12:AS18)</f>
        <v/>
      </c>
      <c r="AT19" s="71">
        <f>SUM(AT12:AT18)</f>
        <v/>
      </c>
      <c r="AU19" s="71">
        <f>SUM(AU12:AU18)</f>
        <v/>
      </c>
      <c r="AV19" s="71">
        <f>SUM(AV12:AV18)</f>
        <v/>
      </c>
      <c r="AW19" s="71">
        <f>SUM(AW12:AW18)</f>
        <v/>
      </c>
      <c r="AX19" s="71">
        <f>SUM(AX12:AX18)</f>
        <v/>
      </c>
      <c r="AY19" s="71">
        <f>SUM(AY12:AY18)</f>
        <v/>
      </c>
      <c r="AZ19" s="71">
        <f>SUM(AZ12:AZ18)</f>
        <v/>
      </c>
      <c r="BA19" s="71">
        <f>SUM(BA12:BA18)</f>
        <v/>
      </c>
      <c r="BB19" s="71">
        <f>SUM(BB12:BB18)</f>
        <v/>
      </c>
      <c r="BC19" s="71">
        <f>SUM(BC12:BC18)</f>
        <v/>
      </c>
      <c r="BD19" s="71">
        <f>SUM(BD12:BD18)</f>
        <v/>
      </c>
      <c r="BE19" s="71">
        <f>SUM(BE12:BE18)</f>
        <v/>
      </c>
      <c r="BF19" s="71">
        <f>SUM(BF12:BF18)</f>
        <v/>
      </c>
      <c r="BG19" s="71">
        <f>SUM(BG12:BG18)</f>
        <v/>
      </c>
      <c r="BH19" s="71">
        <f>SUM(BH12:BH18)</f>
        <v/>
      </c>
      <c r="BI19" s="71">
        <f>SUM(BI12:BI18)</f>
        <v/>
      </c>
      <c r="BJ19" s="71">
        <f>SUM(BJ12:BJ18)</f>
        <v/>
      </c>
      <c r="BK19" s="71">
        <f>SUM(BK12:BK18)</f>
        <v/>
      </c>
      <c r="BL19" s="71">
        <f>SUM(BL12:BL18)</f>
        <v/>
      </c>
    </row>
    <row r="20"/>
    <row r="21">
      <c r="A21" s="55" t="inlineStr">
        <is>
          <t>Inventory (closing)</t>
        </is>
      </c>
      <c r="B21" s="26" t="inlineStr">
        <is>
          <t>LCY</t>
        </is>
      </c>
      <c r="C21" s="58">
        <f>BL21</f>
        <v/>
      </c>
      <c r="E21" s="39">
        <f>E8*Inputs!$C$36</f>
        <v/>
      </c>
      <c r="F21" s="39">
        <f>F8*Inputs!$C$36</f>
        <v/>
      </c>
      <c r="G21" s="39">
        <f>G8*Inputs!$C$36</f>
        <v/>
      </c>
      <c r="H21" s="39">
        <f>H8*Inputs!$C$36</f>
        <v/>
      </c>
      <c r="I21" s="39">
        <f>I8*Inputs!$C$36</f>
        <v/>
      </c>
      <c r="J21" s="39">
        <f>J8*Inputs!$C$36</f>
        <v/>
      </c>
      <c r="K21" s="39">
        <f>K8*Inputs!$C$36</f>
        <v/>
      </c>
      <c r="L21" s="39">
        <f>L8*Inputs!$C$36</f>
        <v/>
      </c>
      <c r="M21" s="39">
        <f>M8*Inputs!$C$36</f>
        <v/>
      </c>
      <c r="N21" s="39">
        <f>N8*Inputs!$C$36</f>
        <v/>
      </c>
      <c r="O21" s="39">
        <f>O8*Inputs!$C$36</f>
        <v/>
      </c>
      <c r="P21" s="39">
        <f>P8*Inputs!$C$36</f>
        <v/>
      </c>
      <c r="Q21" s="39">
        <f>Q8*Inputs!$C$36</f>
        <v/>
      </c>
      <c r="R21" s="39">
        <f>R8*Inputs!$C$36</f>
        <v/>
      </c>
      <c r="S21" s="39">
        <f>S8*Inputs!$C$36</f>
        <v/>
      </c>
      <c r="T21" s="39">
        <f>T8*Inputs!$C$36</f>
        <v/>
      </c>
      <c r="U21" s="39">
        <f>U8*Inputs!$C$36</f>
        <v/>
      </c>
      <c r="V21" s="39">
        <f>V8*Inputs!$C$36</f>
        <v/>
      </c>
      <c r="W21" s="39">
        <f>W8*Inputs!$C$36</f>
        <v/>
      </c>
      <c r="X21" s="39">
        <f>X8*Inputs!$C$36</f>
        <v/>
      </c>
      <c r="Y21" s="39">
        <f>Y8*Inputs!$C$36</f>
        <v/>
      </c>
      <c r="Z21" s="39">
        <f>Z8*Inputs!$C$36</f>
        <v/>
      </c>
      <c r="AA21" s="39">
        <f>AA8*Inputs!$C$36</f>
        <v/>
      </c>
      <c r="AB21" s="39">
        <f>AB8*Inputs!$C$36</f>
        <v/>
      </c>
      <c r="AC21" s="39">
        <f>AC8*Inputs!$C$36</f>
        <v/>
      </c>
      <c r="AD21" s="39">
        <f>AD8*Inputs!$C$36</f>
        <v/>
      </c>
      <c r="AE21" s="39">
        <f>AE8*Inputs!$C$36</f>
        <v/>
      </c>
      <c r="AF21" s="39">
        <f>AF8*Inputs!$C$36</f>
        <v/>
      </c>
      <c r="AG21" s="39">
        <f>AG8*Inputs!$C$36</f>
        <v/>
      </c>
      <c r="AH21" s="39">
        <f>AH8*Inputs!$C$36</f>
        <v/>
      </c>
      <c r="AI21" s="39">
        <f>AI8*Inputs!$C$36</f>
        <v/>
      </c>
      <c r="AJ21" s="39">
        <f>AJ8*Inputs!$C$36</f>
        <v/>
      </c>
      <c r="AK21" s="39">
        <f>AK8*Inputs!$C$36</f>
        <v/>
      </c>
      <c r="AL21" s="39">
        <f>AL8*Inputs!$C$36</f>
        <v/>
      </c>
      <c r="AM21" s="39">
        <f>AM8*Inputs!$C$36</f>
        <v/>
      </c>
      <c r="AN21" s="39">
        <f>AN8*Inputs!$C$36</f>
        <v/>
      </c>
      <c r="AO21" s="39">
        <f>AO8*Inputs!$C$36</f>
        <v/>
      </c>
      <c r="AP21" s="39">
        <f>AP8*Inputs!$C$36</f>
        <v/>
      </c>
      <c r="AQ21" s="39">
        <f>AQ8*Inputs!$C$36</f>
        <v/>
      </c>
      <c r="AR21" s="39">
        <f>AR8*Inputs!$C$36</f>
        <v/>
      </c>
      <c r="AS21" s="39">
        <f>AS8*Inputs!$C$36</f>
        <v/>
      </c>
      <c r="AT21" s="39">
        <f>AT8*Inputs!$C$36</f>
        <v/>
      </c>
      <c r="AU21" s="39">
        <f>AU8*Inputs!$C$36</f>
        <v/>
      </c>
      <c r="AV21" s="39">
        <f>AV8*Inputs!$C$36</f>
        <v/>
      </c>
      <c r="AW21" s="39">
        <f>AW8*Inputs!$C$36</f>
        <v/>
      </c>
      <c r="AX21" s="39">
        <f>AX8*Inputs!$C$36</f>
        <v/>
      </c>
      <c r="AY21" s="39">
        <f>AY8*Inputs!$C$36</f>
        <v/>
      </c>
      <c r="AZ21" s="39">
        <f>AZ8*Inputs!$C$36</f>
        <v/>
      </c>
      <c r="BA21" s="39">
        <f>BA8*Inputs!$C$36</f>
        <v/>
      </c>
      <c r="BB21" s="39">
        <f>BB8*Inputs!$C$36</f>
        <v/>
      </c>
      <c r="BC21" s="39">
        <f>BC8*Inputs!$C$36</f>
        <v/>
      </c>
      <c r="BD21" s="39">
        <f>BD8*Inputs!$C$36</f>
        <v/>
      </c>
      <c r="BE21" s="39">
        <f>BE8*Inputs!$C$36</f>
        <v/>
      </c>
      <c r="BF21" s="39">
        <f>BF8*Inputs!$C$36</f>
        <v/>
      </c>
      <c r="BG21" s="39">
        <f>BG8*Inputs!$C$36</f>
        <v/>
      </c>
      <c r="BH21" s="39">
        <f>BH8*Inputs!$C$36</f>
        <v/>
      </c>
      <c r="BI21" s="39">
        <f>BI8*Inputs!$C$36</f>
        <v/>
      </c>
      <c r="BJ21" s="39">
        <f>BJ8*Inputs!$C$36</f>
        <v/>
      </c>
      <c r="BK21" s="39">
        <f>BK8*Inputs!$C$36</f>
        <v/>
      </c>
      <c r="BL21" s="39">
        <f>BL8*Inputs!$C$36</f>
        <v/>
      </c>
    </row>
    <row r="22">
      <c r="A22" s="55" t="inlineStr">
        <is>
          <t>Hardware purchases</t>
        </is>
      </c>
      <c r="B22" s="26" t="inlineStr">
        <is>
          <t>LCY</t>
        </is>
      </c>
      <c r="C22" s="58">
        <f>SUM(E22:BL22)</f>
        <v/>
      </c>
      <c r="E22" s="39">
        <f>E8+E21-D21</f>
        <v/>
      </c>
      <c r="F22" s="39">
        <f>F8+F21-E21</f>
        <v/>
      </c>
      <c r="G22" s="39">
        <f>G8+G21-F21</f>
        <v/>
      </c>
      <c r="H22" s="39">
        <f>H8+H21-G21</f>
        <v/>
      </c>
      <c r="I22" s="39">
        <f>I8+I21-H21</f>
        <v/>
      </c>
      <c r="J22" s="39">
        <f>J8+J21-I21</f>
        <v/>
      </c>
      <c r="K22" s="39">
        <f>K8+K21-J21</f>
        <v/>
      </c>
      <c r="L22" s="39">
        <f>L8+L21-K21</f>
        <v/>
      </c>
      <c r="M22" s="39">
        <f>M8+M21-L21</f>
        <v/>
      </c>
      <c r="N22" s="39">
        <f>N8+N21-M21</f>
        <v/>
      </c>
      <c r="O22" s="39">
        <f>O8+O21-N21</f>
        <v/>
      </c>
      <c r="P22" s="39">
        <f>P8+P21-O21</f>
        <v/>
      </c>
      <c r="Q22" s="39">
        <f>Q8+Q21-P21</f>
        <v/>
      </c>
      <c r="R22" s="39">
        <f>R8+R21-Q21</f>
        <v/>
      </c>
      <c r="S22" s="39">
        <f>S8+S21-R21</f>
        <v/>
      </c>
      <c r="T22" s="39">
        <f>T8+T21-S21</f>
        <v/>
      </c>
      <c r="U22" s="39">
        <f>U8+U21-T21</f>
        <v/>
      </c>
      <c r="V22" s="39">
        <f>V8+V21-U21</f>
        <v/>
      </c>
      <c r="W22" s="39">
        <f>W8+W21-V21</f>
        <v/>
      </c>
      <c r="X22" s="39">
        <f>X8+X21-W21</f>
        <v/>
      </c>
      <c r="Y22" s="39">
        <f>Y8+Y21-X21</f>
        <v/>
      </c>
      <c r="Z22" s="39">
        <f>Z8+Z21-Y21</f>
        <v/>
      </c>
      <c r="AA22" s="39">
        <f>AA8+AA21-Z21</f>
        <v/>
      </c>
      <c r="AB22" s="39">
        <f>AB8+AB21-AA21</f>
        <v/>
      </c>
      <c r="AC22" s="39">
        <f>AC8+AC21-AB21</f>
        <v/>
      </c>
      <c r="AD22" s="39">
        <f>AD8+AD21-AC21</f>
        <v/>
      </c>
      <c r="AE22" s="39">
        <f>AE8+AE21-AD21</f>
        <v/>
      </c>
      <c r="AF22" s="39">
        <f>AF8+AF21-AE21</f>
        <v/>
      </c>
      <c r="AG22" s="39">
        <f>AG8+AG21-AF21</f>
        <v/>
      </c>
      <c r="AH22" s="39">
        <f>AH8+AH21-AG21</f>
        <v/>
      </c>
      <c r="AI22" s="39">
        <f>AI8+AI21-AH21</f>
        <v/>
      </c>
      <c r="AJ22" s="39">
        <f>AJ8+AJ21-AI21</f>
        <v/>
      </c>
      <c r="AK22" s="39">
        <f>AK8+AK21-AJ21</f>
        <v/>
      </c>
      <c r="AL22" s="39">
        <f>AL8+AL21-AK21</f>
        <v/>
      </c>
      <c r="AM22" s="39">
        <f>AM8+AM21-AL21</f>
        <v/>
      </c>
      <c r="AN22" s="39">
        <f>AN8+AN21-AM21</f>
        <v/>
      </c>
      <c r="AO22" s="39">
        <f>AO8+AO21-AN21</f>
        <v/>
      </c>
      <c r="AP22" s="39">
        <f>AP8+AP21-AO21</f>
        <v/>
      </c>
      <c r="AQ22" s="39">
        <f>AQ8+AQ21-AP21</f>
        <v/>
      </c>
      <c r="AR22" s="39">
        <f>AR8+AR21-AQ21</f>
        <v/>
      </c>
      <c r="AS22" s="39">
        <f>AS8+AS21-AR21</f>
        <v/>
      </c>
      <c r="AT22" s="39">
        <f>AT8+AT21-AS21</f>
        <v/>
      </c>
      <c r="AU22" s="39">
        <f>AU8+AU21-AT21</f>
        <v/>
      </c>
      <c r="AV22" s="39">
        <f>AV8+AV21-AU21</f>
        <v/>
      </c>
      <c r="AW22" s="39">
        <f>AW8+AW21-AV21</f>
        <v/>
      </c>
      <c r="AX22" s="39">
        <f>AX8+AX21-AW21</f>
        <v/>
      </c>
      <c r="AY22" s="39">
        <f>AY8+AY21-AX21</f>
        <v/>
      </c>
      <c r="AZ22" s="39">
        <f>AZ8+AZ21-AY21</f>
        <v/>
      </c>
      <c r="BA22" s="39">
        <f>BA8+BA21-AZ21</f>
        <v/>
      </c>
      <c r="BB22" s="39">
        <f>BB8+BB21-BA21</f>
        <v/>
      </c>
      <c r="BC22" s="39">
        <f>BC8+BC21-BB21</f>
        <v/>
      </c>
      <c r="BD22" s="39">
        <f>BD8+BD21-BC21</f>
        <v/>
      </c>
      <c r="BE22" s="39">
        <f>BE8+BE21-BD21</f>
        <v/>
      </c>
      <c r="BF22" s="39">
        <f>BF8+BF21-BE21</f>
        <v/>
      </c>
      <c r="BG22" s="39">
        <f>BG8+BG21-BF21</f>
        <v/>
      </c>
      <c r="BH22" s="39">
        <f>BH8+BH21-BG21</f>
        <v/>
      </c>
      <c r="BI22" s="39">
        <f>BI8+BI21-BH21</f>
        <v/>
      </c>
      <c r="BJ22" s="39">
        <f>BJ8+BJ21-BI21</f>
        <v/>
      </c>
      <c r="BK22" s="39">
        <f>BK8+BK21-BJ21</f>
        <v/>
      </c>
      <c r="BL22" s="39">
        <f>BL8+BL21-BK21</f>
        <v/>
      </c>
    </row>
    <row r="23">
      <c r="A23" s="55" t="inlineStr">
        <is>
          <t>Supplier payables (closing)</t>
        </is>
      </c>
      <c r="B23" s="26" t="inlineStr">
        <is>
          <t>LCY</t>
        </is>
      </c>
      <c r="C23" s="58">
        <f>BL23</f>
        <v/>
      </c>
      <c r="E23" s="39">
        <f>E22*Inputs!$C$37/(365/12)</f>
        <v/>
      </c>
      <c r="F23" s="39">
        <f>F22*Inputs!$C$37/(365/12)</f>
        <v/>
      </c>
      <c r="G23" s="39">
        <f>G22*Inputs!$C$37/(365/12)</f>
        <v/>
      </c>
      <c r="H23" s="39">
        <f>H22*Inputs!$C$37/(365/12)</f>
        <v/>
      </c>
      <c r="I23" s="39">
        <f>I22*Inputs!$C$37/(365/12)</f>
        <v/>
      </c>
      <c r="J23" s="39">
        <f>J22*Inputs!$C$37/(365/12)</f>
        <v/>
      </c>
      <c r="K23" s="39">
        <f>K22*Inputs!$C$37/(365/12)</f>
        <v/>
      </c>
      <c r="L23" s="39">
        <f>L22*Inputs!$C$37/(365/12)</f>
        <v/>
      </c>
      <c r="M23" s="39">
        <f>M22*Inputs!$C$37/(365/12)</f>
        <v/>
      </c>
      <c r="N23" s="39">
        <f>N22*Inputs!$C$37/(365/12)</f>
        <v/>
      </c>
      <c r="O23" s="39">
        <f>O22*Inputs!$C$37/(365/12)</f>
        <v/>
      </c>
      <c r="P23" s="39">
        <f>P22*Inputs!$C$37/(365/12)</f>
        <v/>
      </c>
      <c r="Q23" s="39">
        <f>Q22*Inputs!$C$37/(365/12)</f>
        <v/>
      </c>
      <c r="R23" s="39">
        <f>R22*Inputs!$C$37/(365/12)</f>
        <v/>
      </c>
      <c r="S23" s="39">
        <f>S22*Inputs!$C$37/(365/12)</f>
        <v/>
      </c>
      <c r="T23" s="39">
        <f>T22*Inputs!$C$37/(365/12)</f>
        <v/>
      </c>
      <c r="U23" s="39">
        <f>U22*Inputs!$C$37/(365/12)</f>
        <v/>
      </c>
      <c r="V23" s="39">
        <f>V22*Inputs!$C$37/(365/12)</f>
        <v/>
      </c>
      <c r="W23" s="39">
        <f>W22*Inputs!$C$37/(365/12)</f>
        <v/>
      </c>
      <c r="X23" s="39">
        <f>X22*Inputs!$C$37/(365/12)</f>
        <v/>
      </c>
      <c r="Y23" s="39">
        <f>Y22*Inputs!$C$37/(365/12)</f>
        <v/>
      </c>
      <c r="Z23" s="39">
        <f>Z22*Inputs!$C$37/(365/12)</f>
        <v/>
      </c>
      <c r="AA23" s="39">
        <f>AA22*Inputs!$C$37/(365/12)</f>
        <v/>
      </c>
      <c r="AB23" s="39">
        <f>AB22*Inputs!$C$37/(365/12)</f>
        <v/>
      </c>
      <c r="AC23" s="39">
        <f>AC22*Inputs!$C$37/(365/12)</f>
        <v/>
      </c>
      <c r="AD23" s="39">
        <f>AD22*Inputs!$C$37/(365/12)</f>
        <v/>
      </c>
      <c r="AE23" s="39">
        <f>AE22*Inputs!$C$37/(365/12)</f>
        <v/>
      </c>
      <c r="AF23" s="39">
        <f>AF22*Inputs!$C$37/(365/12)</f>
        <v/>
      </c>
      <c r="AG23" s="39">
        <f>AG22*Inputs!$C$37/(365/12)</f>
        <v/>
      </c>
      <c r="AH23" s="39">
        <f>AH22*Inputs!$C$37/(365/12)</f>
        <v/>
      </c>
      <c r="AI23" s="39">
        <f>AI22*Inputs!$C$37/(365/12)</f>
        <v/>
      </c>
      <c r="AJ23" s="39">
        <f>AJ22*Inputs!$C$37/(365/12)</f>
        <v/>
      </c>
      <c r="AK23" s="39">
        <f>AK22*Inputs!$C$37/(365/12)</f>
        <v/>
      </c>
      <c r="AL23" s="39">
        <f>AL22*Inputs!$C$37/(365/12)</f>
        <v/>
      </c>
      <c r="AM23" s="39">
        <f>AM22*Inputs!$C$37/(365/12)</f>
        <v/>
      </c>
      <c r="AN23" s="39">
        <f>AN22*Inputs!$C$37/(365/12)</f>
        <v/>
      </c>
      <c r="AO23" s="39">
        <f>AO22*Inputs!$C$37/(365/12)</f>
        <v/>
      </c>
      <c r="AP23" s="39">
        <f>AP22*Inputs!$C$37/(365/12)</f>
        <v/>
      </c>
      <c r="AQ23" s="39">
        <f>AQ22*Inputs!$C$37/(365/12)</f>
        <v/>
      </c>
      <c r="AR23" s="39">
        <f>AR22*Inputs!$C$37/(365/12)</f>
        <v/>
      </c>
      <c r="AS23" s="39">
        <f>AS22*Inputs!$C$37/(365/12)</f>
        <v/>
      </c>
      <c r="AT23" s="39">
        <f>AT22*Inputs!$C$37/(365/12)</f>
        <v/>
      </c>
      <c r="AU23" s="39">
        <f>AU22*Inputs!$C$37/(365/12)</f>
        <v/>
      </c>
      <c r="AV23" s="39">
        <f>AV22*Inputs!$C$37/(365/12)</f>
        <v/>
      </c>
      <c r="AW23" s="39">
        <f>AW22*Inputs!$C$37/(365/12)</f>
        <v/>
      </c>
      <c r="AX23" s="39">
        <f>AX22*Inputs!$C$37/(365/12)</f>
        <v/>
      </c>
      <c r="AY23" s="39">
        <f>AY22*Inputs!$C$37/(365/12)</f>
        <v/>
      </c>
      <c r="AZ23" s="39">
        <f>AZ22*Inputs!$C$37/(365/12)</f>
        <v/>
      </c>
      <c r="BA23" s="39">
        <f>BA22*Inputs!$C$37/(365/12)</f>
        <v/>
      </c>
      <c r="BB23" s="39">
        <f>BB22*Inputs!$C$37/(365/12)</f>
        <v/>
      </c>
      <c r="BC23" s="39">
        <f>BC22*Inputs!$C$37/(365/12)</f>
        <v/>
      </c>
      <c r="BD23" s="39">
        <f>BD22*Inputs!$C$37/(365/12)</f>
        <v/>
      </c>
      <c r="BE23" s="39">
        <f>BE22*Inputs!$C$37/(365/12)</f>
        <v/>
      </c>
      <c r="BF23" s="39">
        <f>BF22*Inputs!$C$37/(365/12)</f>
        <v/>
      </c>
      <c r="BG23" s="39">
        <f>BG22*Inputs!$C$37/(365/12)</f>
        <v/>
      </c>
      <c r="BH23" s="39">
        <f>BH22*Inputs!$C$37/(365/12)</f>
        <v/>
      </c>
      <c r="BI23" s="39">
        <f>BI22*Inputs!$C$37/(365/12)</f>
        <v/>
      </c>
      <c r="BJ23" s="39">
        <f>BJ22*Inputs!$C$37/(365/12)</f>
        <v/>
      </c>
      <c r="BK23" s="39">
        <f>BK22*Inputs!$C$37/(365/12)</f>
        <v/>
      </c>
      <c r="BL23" s="39">
        <f>BL22*Inputs!$C$37/(365/12)</f>
        <v/>
      </c>
    </row>
    <row r="24"/>
    <row r="25">
      <c r="A25" s="55" t="inlineStr">
        <is>
          <t>Fixed capex</t>
        </is>
      </c>
      <c r="B25" s="26" t="inlineStr">
        <is>
          <t>LCY</t>
        </is>
      </c>
      <c r="C25" s="58">
        <f>SUM(E25:BL25)</f>
        <v/>
      </c>
      <c r="E25" s="39">
        <f>Inputs!$C$38*Timeline!E$9</f>
        <v/>
      </c>
      <c r="F25" s="39">
        <f>Inputs!$C$38*Timeline!F$9</f>
        <v/>
      </c>
      <c r="G25" s="39">
        <f>Inputs!$C$38*Timeline!G$9</f>
        <v/>
      </c>
      <c r="H25" s="39">
        <f>Inputs!$C$38*Timeline!H$9</f>
        <v/>
      </c>
      <c r="I25" s="39">
        <f>Inputs!$C$38*Timeline!I$9</f>
        <v/>
      </c>
      <c r="J25" s="39">
        <f>Inputs!$C$38*Timeline!J$9</f>
        <v/>
      </c>
      <c r="K25" s="39">
        <f>Inputs!$C$38*Timeline!K$9</f>
        <v/>
      </c>
      <c r="L25" s="39">
        <f>Inputs!$C$38*Timeline!L$9</f>
        <v/>
      </c>
      <c r="M25" s="39">
        <f>Inputs!$C$38*Timeline!M$9</f>
        <v/>
      </c>
      <c r="N25" s="39">
        <f>Inputs!$C$38*Timeline!N$9</f>
        <v/>
      </c>
      <c r="O25" s="39">
        <f>Inputs!$C$38*Timeline!O$9</f>
        <v/>
      </c>
      <c r="P25" s="39">
        <f>Inputs!$C$38*Timeline!P$9</f>
        <v/>
      </c>
      <c r="Q25" s="39">
        <f>Inputs!$C$38*Timeline!Q$9</f>
        <v/>
      </c>
      <c r="R25" s="39">
        <f>Inputs!$C$38*Timeline!R$9</f>
        <v/>
      </c>
      <c r="S25" s="39">
        <f>Inputs!$C$38*Timeline!S$9</f>
        <v/>
      </c>
      <c r="T25" s="39">
        <f>Inputs!$C$38*Timeline!T$9</f>
        <v/>
      </c>
      <c r="U25" s="39">
        <f>Inputs!$C$38*Timeline!U$9</f>
        <v/>
      </c>
      <c r="V25" s="39">
        <f>Inputs!$C$38*Timeline!V$9</f>
        <v/>
      </c>
      <c r="W25" s="39">
        <f>Inputs!$C$38*Timeline!W$9</f>
        <v/>
      </c>
      <c r="X25" s="39">
        <f>Inputs!$C$38*Timeline!X$9</f>
        <v/>
      </c>
      <c r="Y25" s="39">
        <f>Inputs!$C$38*Timeline!Y$9</f>
        <v/>
      </c>
      <c r="Z25" s="39">
        <f>Inputs!$C$38*Timeline!Z$9</f>
        <v/>
      </c>
      <c r="AA25" s="39">
        <f>Inputs!$C$38*Timeline!AA$9</f>
        <v/>
      </c>
      <c r="AB25" s="39">
        <f>Inputs!$C$38*Timeline!AB$9</f>
        <v/>
      </c>
      <c r="AC25" s="39">
        <f>Inputs!$C$38*Timeline!AC$9</f>
        <v/>
      </c>
      <c r="AD25" s="39">
        <f>Inputs!$C$38*Timeline!AD$9</f>
        <v/>
      </c>
      <c r="AE25" s="39">
        <f>Inputs!$C$38*Timeline!AE$9</f>
        <v/>
      </c>
      <c r="AF25" s="39">
        <f>Inputs!$C$38*Timeline!AF$9</f>
        <v/>
      </c>
      <c r="AG25" s="39">
        <f>Inputs!$C$38*Timeline!AG$9</f>
        <v/>
      </c>
      <c r="AH25" s="39">
        <f>Inputs!$C$38*Timeline!AH$9</f>
        <v/>
      </c>
      <c r="AI25" s="39">
        <f>Inputs!$C$38*Timeline!AI$9</f>
        <v/>
      </c>
      <c r="AJ25" s="39">
        <f>Inputs!$C$38*Timeline!AJ$9</f>
        <v/>
      </c>
      <c r="AK25" s="39">
        <f>Inputs!$C$38*Timeline!AK$9</f>
        <v/>
      </c>
      <c r="AL25" s="39">
        <f>Inputs!$C$38*Timeline!AL$9</f>
        <v/>
      </c>
      <c r="AM25" s="39">
        <f>Inputs!$C$38*Timeline!AM$9</f>
        <v/>
      </c>
      <c r="AN25" s="39">
        <f>Inputs!$C$38*Timeline!AN$9</f>
        <v/>
      </c>
      <c r="AO25" s="39">
        <f>Inputs!$C$38*Timeline!AO$9</f>
        <v/>
      </c>
      <c r="AP25" s="39">
        <f>Inputs!$C$38*Timeline!AP$9</f>
        <v/>
      </c>
      <c r="AQ25" s="39">
        <f>Inputs!$C$38*Timeline!AQ$9</f>
        <v/>
      </c>
      <c r="AR25" s="39">
        <f>Inputs!$C$38*Timeline!AR$9</f>
        <v/>
      </c>
      <c r="AS25" s="39">
        <f>Inputs!$C$38*Timeline!AS$9</f>
        <v/>
      </c>
      <c r="AT25" s="39">
        <f>Inputs!$C$38*Timeline!AT$9</f>
        <v/>
      </c>
      <c r="AU25" s="39">
        <f>Inputs!$C$38*Timeline!AU$9</f>
        <v/>
      </c>
      <c r="AV25" s="39">
        <f>Inputs!$C$38*Timeline!AV$9</f>
        <v/>
      </c>
      <c r="AW25" s="39">
        <f>Inputs!$C$38*Timeline!AW$9</f>
        <v/>
      </c>
      <c r="AX25" s="39">
        <f>Inputs!$C$38*Timeline!AX$9</f>
        <v/>
      </c>
      <c r="AY25" s="39">
        <f>Inputs!$C$38*Timeline!AY$9</f>
        <v/>
      </c>
      <c r="AZ25" s="39">
        <f>Inputs!$C$38*Timeline!AZ$9</f>
        <v/>
      </c>
      <c r="BA25" s="39">
        <f>Inputs!$C$38*Timeline!BA$9</f>
        <v/>
      </c>
      <c r="BB25" s="39">
        <f>Inputs!$C$38*Timeline!BB$9</f>
        <v/>
      </c>
      <c r="BC25" s="39">
        <f>Inputs!$C$38*Timeline!BC$9</f>
        <v/>
      </c>
      <c r="BD25" s="39">
        <f>Inputs!$C$38*Timeline!BD$9</f>
        <v/>
      </c>
      <c r="BE25" s="39">
        <f>Inputs!$C$38*Timeline!BE$9</f>
        <v/>
      </c>
      <c r="BF25" s="39">
        <f>Inputs!$C$38*Timeline!BF$9</f>
        <v/>
      </c>
      <c r="BG25" s="39">
        <f>Inputs!$C$38*Timeline!BG$9</f>
        <v/>
      </c>
      <c r="BH25" s="39">
        <f>Inputs!$C$38*Timeline!BH$9</f>
        <v/>
      </c>
      <c r="BI25" s="39">
        <f>Inputs!$C$38*Timeline!BI$9</f>
        <v/>
      </c>
      <c r="BJ25" s="39">
        <f>Inputs!$C$38*Timeline!BJ$9</f>
        <v/>
      </c>
      <c r="BK25" s="39">
        <f>Inputs!$C$38*Timeline!BK$9</f>
        <v/>
      </c>
      <c r="BL25" s="39">
        <f>Inputs!$C$38*Timeline!BL$9</f>
        <v/>
      </c>
    </row>
    <row r="26">
      <c r="A26" s="55" t="inlineStr">
        <is>
          <t>Depreciation (straight-line by vintage)</t>
        </is>
      </c>
      <c r="B26" s="26" t="inlineStr">
        <is>
          <t>LCY</t>
        </is>
      </c>
      <c r="C26" s="58">
        <f>SUM(E26:BL26)</f>
        <v/>
      </c>
      <c r="E26" s="39">
        <f>SUMIFS($E25:E25,$E$4:E$4,"&gt;"&amp;(E$4-Inputs!$C$39))/Inputs!$C$39</f>
        <v/>
      </c>
      <c r="F26" s="39">
        <f>SUMIFS($E25:F25,$E$4:F$4,"&gt;"&amp;(F$4-Inputs!$C$39))/Inputs!$C$39</f>
        <v/>
      </c>
      <c r="G26" s="39">
        <f>SUMIFS($E25:G25,$E$4:G$4,"&gt;"&amp;(G$4-Inputs!$C$39))/Inputs!$C$39</f>
        <v/>
      </c>
      <c r="H26" s="39">
        <f>SUMIFS($E25:H25,$E$4:H$4,"&gt;"&amp;(H$4-Inputs!$C$39))/Inputs!$C$39</f>
        <v/>
      </c>
      <c r="I26" s="39">
        <f>SUMIFS($E25:I25,$E$4:I$4,"&gt;"&amp;(I$4-Inputs!$C$39))/Inputs!$C$39</f>
        <v/>
      </c>
      <c r="J26" s="39">
        <f>SUMIFS($E25:J25,$E$4:J$4,"&gt;"&amp;(J$4-Inputs!$C$39))/Inputs!$C$39</f>
        <v/>
      </c>
      <c r="K26" s="39">
        <f>SUMIFS($E25:K25,$E$4:K$4,"&gt;"&amp;(K$4-Inputs!$C$39))/Inputs!$C$39</f>
        <v/>
      </c>
      <c r="L26" s="39">
        <f>SUMIFS($E25:L25,$E$4:L$4,"&gt;"&amp;(L$4-Inputs!$C$39))/Inputs!$C$39</f>
        <v/>
      </c>
      <c r="M26" s="39">
        <f>SUMIFS($E25:M25,$E$4:M$4,"&gt;"&amp;(M$4-Inputs!$C$39))/Inputs!$C$39</f>
        <v/>
      </c>
      <c r="N26" s="39">
        <f>SUMIFS($E25:N25,$E$4:N$4,"&gt;"&amp;(N$4-Inputs!$C$39))/Inputs!$C$39</f>
        <v/>
      </c>
      <c r="O26" s="39">
        <f>SUMIFS($E25:O25,$E$4:O$4,"&gt;"&amp;(O$4-Inputs!$C$39))/Inputs!$C$39</f>
        <v/>
      </c>
      <c r="P26" s="39">
        <f>SUMIFS($E25:P25,$E$4:P$4,"&gt;"&amp;(P$4-Inputs!$C$39))/Inputs!$C$39</f>
        <v/>
      </c>
      <c r="Q26" s="39">
        <f>SUMIFS($E25:Q25,$E$4:Q$4,"&gt;"&amp;(Q$4-Inputs!$C$39))/Inputs!$C$39</f>
        <v/>
      </c>
      <c r="R26" s="39">
        <f>SUMIFS($E25:R25,$E$4:R$4,"&gt;"&amp;(R$4-Inputs!$C$39))/Inputs!$C$39</f>
        <v/>
      </c>
      <c r="S26" s="39">
        <f>SUMIFS($E25:S25,$E$4:S$4,"&gt;"&amp;(S$4-Inputs!$C$39))/Inputs!$C$39</f>
        <v/>
      </c>
      <c r="T26" s="39">
        <f>SUMIFS($E25:T25,$E$4:T$4,"&gt;"&amp;(T$4-Inputs!$C$39))/Inputs!$C$39</f>
        <v/>
      </c>
      <c r="U26" s="39">
        <f>SUMIFS($E25:U25,$E$4:U$4,"&gt;"&amp;(U$4-Inputs!$C$39))/Inputs!$C$39</f>
        <v/>
      </c>
      <c r="V26" s="39">
        <f>SUMIFS($E25:V25,$E$4:V$4,"&gt;"&amp;(V$4-Inputs!$C$39))/Inputs!$C$39</f>
        <v/>
      </c>
      <c r="W26" s="39">
        <f>SUMIFS($E25:W25,$E$4:W$4,"&gt;"&amp;(W$4-Inputs!$C$39))/Inputs!$C$39</f>
        <v/>
      </c>
      <c r="X26" s="39">
        <f>SUMIFS($E25:X25,$E$4:X$4,"&gt;"&amp;(X$4-Inputs!$C$39))/Inputs!$C$39</f>
        <v/>
      </c>
      <c r="Y26" s="39">
        <f>SUMIFS($E25:Y25,$E$4:Y$4,"&gt;"&amp;(Y$4-Inputs!$C$39))/Inputs!$C$39</f>
        <v/>
      </c>
      <c r="Z26" s="39">
        <f>SUMIFS($E25:Z25,$E$4:Z$4,"&gt;"&amp;(Z$4-Inputs!$C$39))/Inputs!$C$39</f>
        <v/>
      </c>
      <c r="AA26" s="39">
        <f>SUMIFS($E25:AA25,$E$4:AA$4,"&gt;"&amp;(AA$4-Inputs!$C$39))/Inputs!$C$39</f>
        <v/>
      </c>
      <c r="AB26" s="39">
        <f>SUMIFS($E25:AB25,$E$4:AB$4,"&gt;"&amp;(AB$4-Inputs!$C$39))/Inputs!$C$39</f>
        <v/>
      </c>
      <c r="AC26" s="39">
        <f>SUMIFS($E25:AC25,$E$4:AC$4,"&gt;"&amp;(AC$4-Inputs!$C$39))/Inputs!$C$39</f>
        <v/>
      </c>
      <c r="AD26" s="39">
        <f>SUMIFS($E25:AD25,$E$4:AD$4,"&gt;"&amp;(AD$4-Inputs!$C$39))/Inputs!$C$39</f>
        <v/>
      </c>
      <c r="AE26" s="39">
        <f>SUMIFS($E25:AE25,$E$4:AE$4,"&gt;"&amp;(AE$4-Inputs!$C$39))/Inputs!$C$39</f>
        <v/>
      </c>
      <c r="AF26" s="39">
        <f>SUMIFS($E25:AF25,$E$4:AF$4,"&gt;"&amp;(AF$4-Inputs!$C$39))/Inputs!$C$39</f>
        <v/>
      </c>
      <c r="AG26" s="39">
        <f>SUMIFS($E25:AG25,$E$4:AG$4,"&gt;"&amp;(AG$4-Inputs!$C$39))/Inputs!$C$39</f>
        <v/>
      </c>
      <c r="AH26" s="39">
        <f>SUMIFS($E25:AH25,$E$4:AH$4,"&gt;"&amp;(AH$4-Inputs!$C$39))/Inputs!$C$39</f>
        <v/>
      </c>
      <c r="AI26" s="39">
        <f>SUMIFS($E25:AI25,$E$4:AI$4,"&gt;"&amp;(AI$4-Inputs!$C$39))/Inputs!$C$39</f>
        <v/>
      </c>
      <c r="AJ26" s="39">
        <f>SUMIFS($E25:AJ25,$E$4:AJ$4,"&gt;"&amp;(AJ$4-Inputs!$C$39))/Inputs!$C$39</f>
        <v/>
      </c>
      <c r="AK26" s="39">
        <f>SUMIFS($E25:AK25,$E$4:AK$4,"&gt;"&amp;(AK$4-Inputs!$C$39))/Inputs!$C$39</f>
        <v/>
      </c>
      <c r="AL26" s="39">
        <f>SUMIFS($E25:AL25,$E$4:AL$4,"&gt;"&amp;(AL$4-Inputs!$C$39))/Inputs!$C$39</f>
        <v/>
      </c>
      <c r="AM26" s="39">
        <f>SUMIFS($E25:AM25,$E$4:AM$4,"&gt;"&amp;(AM$4-Inputs!$C$39))/Inputs!$C$39</f>
        <v/>
      </c>
      <c r="AN26" s="39">
        <f>SUMIFS($E25:AN25,$E$4:AN$4,"&gt;"&amp;(AN$4-Inputs!$C$39))/Inputs!$C$39</f>
        <v/>
      </c>
      <c r="AO26" s="39">
        <f>SUMIFS($E25:AO25,$E$4:AO$4,"&gt;"&amp;(AO$4-Inputs!$C$39))/Inputs!$C$39</f>
        <v/>
      </c>
      <c r="AP26" s="39">
        <f>SUMIFS($E25:AP25,$E$4:AP$4,"&gt;"&amp;(AP$4-Inputs!$C$39))/Inputs!$C$39</f>
        <v/>
      </c>
      <c r="AQ26" s="39">
        <f>SUMIFS($E25:AQ25,$E$4:AQ$4,"&gt;"&amp;(AQ$4-Inputs!$C$39))/Inputs!$C$39</f>
        <v/>
      </c>
      <c r="AR26" s="39">
        <f>SUMIFS($E25:AR25,$E$4:AR$4,"&gt;"&amp;(AR$4-Inputs!$C$39))/Inputs!$C$39</f>
        <v/>
      </c>
      <c r="AS26" s="39">
        <f>SUMIFS($E25:AS25,$E$4:AS$4,"&gt;"&amp;(AS$4-Inputs!$C$39))/Inputs!$C$39</f>
        <v/>
      </c>
      <c r="AT26" s="39">
        <f>SUMIFS($E25:AT25,$E$4:AT$4,"&gt;"&amp;(AT$4-Inputs!$C$39))/Inputs!$C$39</f>
        <v/>
      </c>
      <c r="AU26" s="39">
        <f>SUMIFS($E25:AU25,$E$4:AU$4,"&gt;"&amp;(AU$4-Inputs!$C$39))/Inputs!$C$39</f>
        <v/>
      </c>
      <c r="AV26" s="39">
        <f>SUMIFS($E25:AV25,$E$4:AV$4,"&gt;"&amp;(AV$4-Inputs!$C$39))/Inputs!$C$39</f>
        <v/>
      </c>
      <c r="AW26" s="39">
        <f>SUMIFS($E25:AW25,$E$4:AW$4,"&gt;"&amp;(AW$4-Inputs!$C$39))/Inputs!$C$39</f>
        <v/>
      </c>
      <c r="AX26" s="39">
        <f>SUMIFS($E25:AX25,$E$4:AX$4,"&gt;"&amp;(AX$4-Inputs!$C$39))/Inputs!$C$39</f>
        <v/>
      </c>
      <c r="AY26" s="39">
        <f>SUMIFS($E25:AY25,$E$4:AY$4,"&gt;"&amp;(AY$4-Inputs!$C$39))/Inputs!$C$39</f>
        <v/>
      </c>
      <c r="AZ26" s="39">
        <f>SUMIFS($E25:AZ25,$E$4:AZ$4,"&gt;"&amp;(AZ$4-Inputs!$C$39))/Inputs!$C$39</f>
        <v/>
      </c>
      <c r="BA26" s="39">
        <f>SUMIFS($E25:BA25,$E$4:BA$4,"&gt;"&amp;(BA$4-Inputs!$C$39))/Inputs!$C$39</f>
        <v/>
      </c>
      <c r="BB26" s="39">
        <f>SUMIFS($E25:BB25,$E$4:BB$4,"&gt;"&amp;(BB$4-Inputs!$C$39))/Inputs!$C$39</f>
        <v/>
      </c>
      <c r="BC26" s="39">
        <f>SUMIFS($E25:BC25,$E$4:BC$4,"&gt;"&amp;(BC$4-Inputs!$C$39))/Inputs!$C$39</f>
        <v/>
      </c>
      <c r="BD26" s="39">
        <f>SUMIFS($E25:BD25,$E$4:BD$4,"&gt;"&amp;(BD$4-Inputs!$C$39))/Inputs!$C$39</f>
        <v/>
      </c>
      <c r="BE26" s="39">
        <f>SUMIFS($E25:BE25,$E$4:BE$4,"&gt;"&amp;(BE$4-Inputs!$C$39))/Inputs!$C$39</f>
        <v/>
      </c>
      <c r="BF26" s="39">
        <f>SUMIFS($E25:BF25,$E$4:BF$4,"&gt;"&amp;(BF$4-Inputs!$C$39))/Inputs!$C$39</f>
        <v/>
      </c>
      <c r="BG26" s="39">
        <f>SUMIFS($E25:BG25,$E$4:BG$4,"&gt;"&amp;(BG$4-Inputs!$C$39))/Inputs!$C$39</f>
        <v/>
      </c>
      <c r="BH26" s="39">
        <f>SUMIFS($E25:BH25,$E$4:BH$4,"&gt;"&amp;(BH$4-Inputs!$C$39))/Inputs!$C$39</f>
        <v/>
      </c>
      <c r="BI26" s="39">
        <f>SUMIFS($E25:BI25,$E$4:BI$4,"&gt;"&amp;(BI$4-Inputs!$C$39))/Inputs!$C$39</f>
        <v/>
      </c>
      <c r="BJ26" s="39">
        <f>SUMIFS($E25:BJ25,$E$4:BJ$4,"&gt;"&amp;(BJ$4-Inputs!$C$39))/Inputs!$C$39</f>
        <v/>
      </c>
      <c r="BK26" s="39">
        <f>SUMIFS($E25:BK25,$E$4:BK$4,"&gt;"&amp;(BK$4-Inputs!$C$39))/Inputs!$C$39</f>
        <v/>
      </c>
      <c r="BL26" s="39">
        <f>SUMIFS($E25:BL25,$E$4:BL$4,"&gt;"&amp;(BL$4-Inputs!$C$39))/Inputs!$C$39</f>
        <v/>
      </c>
    </row>
    <row r="27">
      <c r="A27" s="55" t="inlineStr">
        <is>
          <t>Net fixed assets (closing)</t>
        </is>
      </c>
      <c r="B27" s="26" t="inlineStr">
        <is>
          <t>LCY</t>
        </is>
      </c>
      <c r="C27" s="58">
        <f>BL27</f>
        <v/>
      </c>
      <c r="E27" s="39">
        <f>D27+E25-E26</f>
        <v/>
      </c>
      <c r="F27" s="39">
        <f>E27+F25-F26</f>
        <v/>
      </c>
      <c r="G27" s="39">
        <f>F27+G25-G26</f>
        <v/>
      </c>
      <c r="H27" s="39">
        <f>G27+H25-H26</f>
        <v/>
      </c>
      <c r="I27" s="39">
        <f>H27+I25-I26</f>
        <v/>
      </c>
      <c r="J27" s="39">
        <f>I27+J25-J26</f>
        <v/>
      </c>
      <c r="K27" s="39">
        <f>J27+K25-K26</f>
        <v/>
      </c>
      <c r="L27" s="39">
        <f>K27+L25-L26</f>
        <v/>
      </c>
      <c r="M27" s="39">
        <f>L27+M25-M26</f>
        <v/>
      </c>
      <c r="N27" s="39">
        <f>M27+N25-N26</f>
        <v/>
      </c>
      <c r="O27" s="39">
        <f>N27+O25-O26</f>
        <v/>
      </c>
      <c r="P27" s="39">
        <f>O27+P25-P26</f>
        <v/>
      </c>
      <c r="Q27" s="39">
        <f>P27+Q25-Q26</f>
        <v/>
      </c>
      <c r="R27" s="39">
        <f>Q27+R25-R26</f>
        <v/>
      </c>
      <c r="S27" s="39">
        <f>R27+S25-S26</f>
        <v/>
      </c>
      <c r="T27" s="39">
        <f>S27+T25-T26</f>
        <v/>
      </c>
      <c r="U27" s="39">
        <f>T27+U25-U26</f>
        <v/>
      </c>
      <c r="V27" s="39">
        <f>U27+V25-V26</f>
        <v/>
      </c>
      <c r="W27" s="39">
        <f>V27+W25-W26</f>
        <v/>
      </c>
      <c r="X27" s="39">
        <f>W27+X25-X26</f>
        <v/>
      </c>
      <c r="Y27" s="39">
        <f>X27+Y25-Y26</f>
        <v/>
      </c>
      <c r="Z27" s="39">
        <f>Y27+Z25-Z26</f>
        <v/>
      </c>
      <c r="AA27" s="39">
        <f>Z27+AA25-AA26</f>
        <v/>
      </c>
      <c r="AB27" s="39">
        <f>AA27+AB25-AB26</f>
        <v/>
      </c>
      <c r="AC27" s="39">
        <f>AB27+AC25-AC26</f>
        <v/>
      </c>
      <c r="AD27" s="39">
        <f>AC27+AD25-AD26</f>
        <v/>
      </c>
      <c r="AE27" s="39">
        <f>AD27+AE25-AE26</f>
        <v/>
      </c>
      <c r="AF27" s="39">
        <f>AE27+AF25-AF26</f>
        <v/>
      </c>
      <c r="AG27" s="39">
        <f>AF27+AG25-AG26</f>
        <v/>
      </c>
      <c r="AH27" s="39">
        <f>AG27+AH25-AH26</f>
        <v/>
      </c>
      <c r="AI27" s="39">
        <f>AH27+AI25-AI26</f>
        <v/>
      </c>
      <c r="AJ27" s="39">
        <f>AI27+AJ25-AJ26</f>
        <v/>
      </c>
      <c r="AK27" s="39">
        <f>AJ27+AK25-AK26</f>
        <v/>
      </c>
      <c r="AL27" s="39">
        <f>AK27+AL25-AL26</f>
        <v/>
      </c>
      <c r="AM27" s="39">
        <f>AL27+AM25-AM26</f>
        <v/>
      </c>
      <c r="AN27" s="39">
        <f>AM27+AN25-AN26</f>
        <v/>
      </c>
      <c r="AO27" s="39">
        <f>AN27+AO25-AO26</f>
        <v/>
      </c>
      <c r="AP27" s="39">
        <f>AO27+AP25-AP26</f>
        <v/>
      </c>
      <c r="AQ27" s="39">
        <f>AP27+AQ25-AQ26</f>
        <v/>
      </c>
      <c r="AR27" s="39">
        <f>AQ27+AR25-AR26</f>
        <v/>
      </c>
      <c r="AS27" s="39">
        <f>AR27+AS25-AS26</f>
        <v/>
      </c>
      <c r="AT27" s="39">
        <f>AS27+AT25-AT26</f>
        <v/>
      </c>
      <c r="AU27" s="39">
        <f>AT27+AU25-AU26</f>
        <v/>
      </c>
      <c r="AV27" s="39">
        <f>AU27+AV25-AV26</f>
        <v/>
      </c>
      <c r="AW27" s="39">
        <f>AV27+AW25-AW26</f>
        <v/>
      </c>
      <c r="AX27" s="39">
        <f>AW27+AX25-AX26</f>
        <v/>
      </c>
      <c r="AY27" s="39">
        <f>AX27+AY25-AY26</f>
        <v/>
      </c>
      <c r="AZ27" s="39">
        <f>AY27+AZ25-AZ26</f>
        <v/>
      </c>
      <c r="BA27" s="39">
        <f>AZ27+BA25-BA26</f>
        <v/>
      </c>
      <c r="BB27" s="39">
        <f>BA27+BB25-BB26</f>
        <v/>
      </c>
      <c r="BC27" s="39">
        <f>BB27+BC25-BC26</f>
        <v/>
      </c>
      <c r="BD27" s="39">
        <f>BC27+BD25-BD26</f>
        <v/>
      </c>
      <c r="BE27" s="39">
        <f>BD27+BE25-BE26</f>
        <v/>
      </c>
      <c r="BF27" s="39">
        <f>BE27+BF25-BF26</f>
        <v/>
      </c>
      <c r="BG27" s="39">
        <f>BF27+BG25-BG26</f>
        <v/>
      </c>
      <c r="BH27" s="39">
        <f>BG27+BH25-BH26</f>
        <v/>
      </c>
      <c r="BI27" s="39">
        <f>BH27+BI25-BI26</f>
        <v/>
      </c>
      <c r="BJ27" s="39">
        <f>BI27+BJ25-BJ26</f>
        <v/>
      </c>
      <c r="BK27" s="39">
        <f>BJ27+BK25-BK26</f>
        <v/>
      </c>
      <c r="BL27" s="39">
        <f>BK27+BL25-BL26</f>
        <v/>
      </c>
    </row>
  </sheetData>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BL26"/>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Financing</t>
        </is>
      </c>
    </row>
    <row r="2">
      <c r="A2" s="2" t="inlineStr">
        <is>
          <t>Equity, USD term loan with FX translation, receivables-backed facility</t>
        </is>
      </c>
    </row>
    <row r="3"/>
    <row r="4">
      <c r="A4" s="51" t="inlineStr">
        <is>
          <t>Month #</t>
        </is>
      </c>
      <c r="B4" s="52" t="n"/>
      <c r="C4" s="52" t="n"/>
      <c r="D4" s="51" t="inlineStr">
        <is>
          <t>Opening</t>
        </is>
      </c>
      <c r="E4" s="53">
        <f>Timeline!E4</f>
        <v/>
      </c>
      <c r="F4" s="53">
        <f>Timeline!F4</f>
        <v/>
      </c>
      <c r="G4" s="53">
        <f>Timeline!G4</f>
        <v/>
      </c>
      <c r="H4" s="53">
        <f>Timeline!H4</f>
        <v/>
      </c>
      <c r="I4" s="53">
        <f>Timeline!I4</f>
        <v/>
      </c>
      <c r="J4" s="53">
        <f>Timeline!J4</f>
        <v/>
      </c>
      <c r="K4" s="53">
        <f>Timeline!K4</f>
        <v/>
      </c>
      <c r="L4" s="53">
        <f>Timeline!L4</f>
        <v/>
      </c>
      <c r="M4" s="53">
        <f>Timeline!M4</f>
        <v/>
      </c>
      <c r="N4" s="53">
        <f>Timeline!N4</f>
        <v/>
      </c>
      <c r="O4" s="53">
        <f>Timeline!O4</f>
        <v/>
      </c>
      <c r="P4" s="53">
        <f>Timeline!P4</f>
        <v/>
      </c>
      <c r="Q4" s="53">
        <f>Timeline!Q4</f>
        <v/>
      </c>
      <c r="R4" s="53">
        <f>Timeline!R4</f>
        <v/>
      </c>
      <c r="S4" s="53">
        <f>Timeline!S4</f>
        <v/>
      </c>
      <c r="T4" s="53">
        <f>Timeline!T4</f>
        <v/>
      </c>
      <c r="U4" s="53">
        <f>Timeline!U4</f>
        <v/>
      </c>
      <c r="V4" s="53">
        <f>Timeline!V4</f>
        <v/>
      </c>
      <c r="W4" s="53">
        <f>Timeline!W4</f>
        <v/>
      </c>
      <c r="X4" s="53">
        <f>Timeline!X4</f>
        <v/>
      </c>
      <c r="Y4" s="53">
        <f>Timeline!Y4</f>
        <v/>
      </c>
      <c r="Z4" s="53">
        <f>Timeline!Z4</f>
        <v/>
      </c>
      <c r="AA4" s="53">
        <f>Timeline!AA4</f>
        <v/>
      </c>
      <c r="AB4" s="53">
        <f>Timeline!AB4</f>
        <v/>
      </c>
      <c r="AC4" s="53">
        <f>Timeline!AC4</f>
        <v/>
      </c>
      <c r="AD4" s="53">
        <f>Timeline!AD4</f>
        <v/>
      </c>
      <c r="AE4" s="53">
        <f>Timeline!AE4</f>
        <v/>
      </c>
      <c r="AF4" s="53">
        <f>Timeline!AF4</f>
        <v/>
      </c>
      <c r="AG4" s="53">
        <f>Timeline!AG4</f>
        <v/>
      </c>
      <c r="AH4" s="53">
        <f>Timeline!AH4</f>
        <v/>
      </c>
      <c r="AI4" s="53">
        <f>Timeline!AI4</f>
        <v/>
      </c>
      <c r="AJ4" s="53">
        <f>Timeline!AJ4</f>
        <v/>
      </c>
      <c r="AK4" s="53">
        <f>Timeline!AK4</f>
        <v/>
      </c>
      <c r="AL4" s="53">
        <f>Timeline!AL4</f>
        <v/>
      </c>
      <c r="AM4" s="53">
        <f>Timeline!AM4</f>
        <v/>
      </c>
      <c r="AN4" s="53">
        <f>Timeline!AN4</f>
        <v/>
      </c>
      <c r="AO4" s="53">
        <f>Timeline!AO4</f>
        <v/>
      </c>
      <c r="AP4" s="53">
        <f>Timeline!AP4</f>
        <v/>
      </c>
      <c r="AQ4" s="53">
        <f>Timeline!AQ4</f>
        <v/>
      </c>
      <c r="AR4" s="53">
        <f>Timeline!AR4</f>
        <v/>
      </c>
      <c r="AS4" s="53">
        <f>Timeline!AS4</f>
        <v/>
      </c>
      <c r="AT4" s="53">
        <f>Timeline!AT4</f>
        <v/>
      </c>
      <c r="AU4" s="53">
        <f>Timeline!AU4</f>
        <v/>
      </c>
      <c r="AV4" s="53">
        <f>Timeline!AV4</f>
        <v/>
      </c>
      <c r="AW4" s="53">
        <f>Timeline!AW4</f>
        <v/>
      </c>
      <c r="AX4" s="53">
        <f>Timeline!AX4</f>
        <v/>
      </c>
      <c r="AY4" s="53">
        <f>Timeline!AY4</f>
        <v/>
      </c>
      <c r="AZ4" s="53">
        <f>Timeline!AZ4</f>
        <v/>
      </c>
      <c r="BA4" s="53">
        <f>Timeline!BA4</f>
        <v/>
      </c>
      <c r="BB4" s="53">
        <f>Timeline!BB4</f>
        <v/>
      </c>
      <c r="BC4" s="53">
        <f>Timeline!BC4</f>
        <v/>
      </c>
      <c r="BD4" s="53">
        <f>Timeline!BD4</f>
        <v/>
      </c>
      <c r="BE4" s="53">
        <f>Timeline!BE4</f>
        <v/>
      </c>
      <c r="BF4" s="53">
        <f>Timeline!BF4</f>
        <v/>
      </c>
      <c r="BG4" s="53">
        <f>Timeline!BG4</f>
        <v/>
      </c>
      <c r="BH4" s="53">
        <f>Timeline!BH4</f>
        <v/>
      </c>
      <c r="BI4" s="53">
        <f>Timeline!BI4</f>
        <v/>
      </c>
      <c r="BJ4" s="53">
        <f>Timeline!BJ4</f>
        <v/>
      </c>
      <c r="BK4" s="53">
        <f>Timeline!BK4</f>
        <v/>
      </c>
      <c r="BL4" s="53">
        <f>Timeline!BL4</f>
        <v/>
      </c>
    </row>
    <row r="5">
      <c r="A5" s="51" t="inlineStr">
        <is>
          <t>Period end</t>
        </is>
      </c>
      <c r="B5" s="52" t="n"/>
      <c r="C5" s="52" t="n"/>
      <c r="D5" s="51" t="n"/>
      <c r="E5" s="54">
        <f>Timeline!E5</f>
        <v/>
      </c>
      <c r="F5" s="54">
        <f>Timeline!F5</f>
        <v/>
      </c>
      <c r="G5" s="54">
        <f>Timeline!G5</f>
        <v/>
      </c>
      <c r="H5" s="54">
        <f>Timeline!H5</f>
        <v/>
      </c>
      <c r="I5" s="54">
        <f>Timeline!I5</f>
        <v/>
      </c>
      <c r="J5" s="54">
        <f>Timeline!J5</f>
        <v/>
      </c>
      <c r="K5" s="54">
        <f>Timeline!K5</f>
        <v/>
      </c>
      <c r="L5" s="54">
        <f>Timeline!L5</f>
        <v/>
      </c>
      <c r="M5" s="54">
        <f>Timeline!M5</f>
        <v/>
      </c>
      <c r="N5" s="54">
        <f>Timeline!N5</f>
        <v/>
      </c>
      <c r="O5" s="54">
        <f>Timeline!O5</f>
        <v/>
      </c>
      <c r="P5" s="54">
        <f>Timeline!P5</f>
        <v/>
      </c>
      <c r="Q5" s="54">
        <f>Timeline!Q5</f>
        <v/>
      </c>
      <c r="R5" s="54">
        <f>Timeline!R5</f>
        <v/>
      </c>
      <c r="S5" s="54">
        <f>Timeline!S5</f>
        <v/>
      </c>
      <c r="T5" s="54">
        <f>Timeline!T5</f>
        <v/>
      </c>
      <c r="U5" s="54">
        <f>Timeline!U5</f>
        <v/>
      </c>
      <c r="V5" s="54">
        <f>Timeline!V5</f>
        <v/>
      </c>
      <c r="W5" s="54">
        <f>Timeline!W5</f>
        <v/>
      </c>
      <c r="X5" s="54">
        <f>Timeline!X5</f>
        <v/>
      </c>
      <c r="Y5" s="54">
        <f>Timeline!Y5</f>
        <v/>
      </c>
      <c r="Z5" s="54">
        <f>Timeline!Z5</f>
        <v/>
      </c>
      <c r="AA5" s="54">
        <f>Timeline!AA5</f>
        <v/>
      </c>
      <c r="AB5" s="54">
        <f>Timeline!AB5</f>
        <v/>
      </c>
      <c r="AC5" s="54">
        <f>Timeline!AC5</f>
        <v/>
      </c>
      <c r="AD5" s="54">
        <f>Timeline!AD5</f>
        <v/>
      </c>
      <c r="AE5" s="54">
        <f>Timeline!AE5</f>
        <v/>
      </c>
      <c r="AF5" s="54">
        <f>Timeline!AF5</f>
        <v/>
      </c>
      <c r="AG5" s="54">
        <f>Timeline!AG5</f>
        <v/>
      </c>
      <c r="AH5" s="54">
        <f>Timeline!AH5</f>
        <v/>
      </c>
      <c r="AI5" s="54">
        <f>Timeline!AI5</f>
        <v/>
      </c>
      <c r="AJ5" s="54">
        <f>Timeline!AJ5</f>
        <v/>
      </c>
      <c r="AK5" s="54">
        <f>Timeline!AK5</f>
        <v/>
      </c>
      <c r="AL5" s="54">
        <f>Timeline!AL5</f>
        <v/>
      </c>
      <c r="AM5" s="54">
        <f>Timeline!AM5</f>
        <v/>
      </c>
      <c r="AN5" s="54">
        <f>Timeline!AN5</f>
        <v/>
      </c>
      <c r="AO5" s="54">
        <f>Timeline!AO5</f>
        <v/>
      </c>
      <c r="AP5" s="54">
        <f>Timeline!AP5</f>
        <v/>
      </c>
      <c r="AQ5" s="54">
        <f>Timeline!AQ5</f>
        <v/>
      </c>
      <c r="AR5" s="54">
        <f>Timeline!AR5</f>
        <v/>
      </c>
      <c r="AS5" s="54">
        <f>Timeline!AS5</f>
        <v/>
      </c>
      <c r="AT5" s="54">
        <f>Timeline!AT5</f>
        <v/>
      </c>
      <c r="AU5" s="54">
        <f>Timeline!AU5</f>
        <v/>
      </c>
      <c r="AV5" s="54">
        <f>Timeline!AV5</f>
        <v/>
      </c>
      <c r="AW5" s="54">
        <f>Timeline!AW5</f>
        <v/>
      </c>
      <c r="AX5" s="54">
        <f>Timeline!AX5</f>
        <v/>
      </c>
      <c r="AY5" s="54">
        <f>Timeline!AY5</f>
        <v/>
      </c>
      <c r="AZ5" s="54">
        <f>Timeline!AZ5</f>
        <v/>
      </c>
      <c r="BA5" s="54">
        <f>Timeline!BA5</f>
        <v/>
      </c>
      <c r="BB5" s="54">
        <f>Timeline!BB5</f>
        <v/>
      </c>
      <c r="BC5" s="54">
        <f>Timeline!BC5</f>
        <v/>
      </c>
      <c r="BD5" s="54">
        <f>Timeline!BD5</f>
        <v/>
      </c>
      <c r="BE5" s="54">
        <f>Timeline!BE5</f>
        <v/>
      </c>
      <c r="BF5" s="54">
        <f>Timeline!BF5</f>
        <v/>
      </c>
      <c r="BG5" s="54">
        <f>Timeline!BG5</f>
        <v/>
      </c>
      <c r="BH5" s="54">
        <f>Timeline!BH5</f>
        <v/>
      </c>
      <c r="BI5" s="54">
        <f>Timeline!BI5</f>
        <v/>
      </c>
      <c r="BJ5" s="54">
        <f>Timeline!BJ5</f>
        <v/>
      </c>
      <c r="BK5" s="54">
        <f>Timeline!BK5</f>
        <v/>
      </c>
      <c r="BL5" s="54">
        <f>Timeline!BL5</f>
        <v/>
      </c>
    </row>
    <row r="6">
      <c r="A6" s="51" t="inlineStr">
        <is>
          <t>Year #</t>
        </is>
      </c>
      <c r="B6" s="52" t="n"/>
      <c r="C6" s="52" t="n"/>
      <c r="D6" s="51" t="n"/>
      <c r="E6" s="53">
        <f>Timeline!E6</f>
        <v/>
      </c>
      <c r="F6" s="53">
        <f>Timeline!F6</f>
        <v/>
      </c>
      <c r="G6" s="53">
        <f>Timeline!G6</f>
        <v/>
      </c>
      <c r="H6" s="53">
        <f>Timeline!H6</f>
        <v/>
      </c>
      <c r="I6" s="53">
        <f>Timeline!I6</f>
        <v/>
      </c>
      <c r="J6" s="53">
        <f>Timeline!J6</f>
        <v/>
      </c>
      <c r="K6" s="53">
        <f>Timeline!K6</f>
        <v/>
      </c>
      <c r="L6" s="53">
        <f>Timeline!L6</f>
        <v/>
      </c>
      <c r="M6" s="53">
        <f>Timeline!M6</f>
        <v/>
      </c>
      <c r="N6" s="53">
        <f>Timeline!N6</f>
        <v/>
      </c>
      <c r="O6" s="53">
        <f>Timeline!O6</f>
        <v/>
      </c>
      <c r="P6" s="53">
        <f>Timeline!P6</f>
        <v/>
      </c>
      <c r="Q6" s="53">
        <f>Timeline!Q6</f>
        <v/>
      </c>
      <c r="R6" s="53">
        <f>Timeline!R6</f>
        <v/>
      </c>
      <c r="S6" s="53">
        <f>Timeline!S6</f>
        <v/>
      </c>
      <c r="T6" s="53">
        <f>Timeline!T6</f>
        <v/>
      </c>
      <c r="U6" s="53">
        <f>Timeline!U6</f>
        <v/>
      </c>
      <c r="V6" s="53">
        <f>Timeline!V6</f>
        <v/>
      </c>
      <c r="W6" s="53">
        <f>Timeline!W6</f>
        <v/>
      </c>
      <c r="X6" s="53">
        <f>Timeline!X6</f>
        <v/>
      </c>
      <c r="Y6" s="53">
        <f>Timeline!Y6</f>
        <v/>
      </c>
      <c r="Z6" s="53">
        <f>Timeline!Z6</f>
        <v/>
      </c>
      <c r="AA6" s="53">
        <f>Timeline!AA6</f>
        <v/>
      </c>
      <c r="AB6" s="53">
        <f>Timeline!AB6</f>
        <v/>
      </c>
      <c r="AC6" s="53">
        <f>Timeline!AC6</f>
        <v/>
      </c>
      <c r="AD6" s="53">
        <f>Timeline!AD6</f>
        <v/>
      </c>
      <c r="AE6" s="53">
        <f>Timeline!AE6</f>
        <v/>
      </c>
      <c r="AF6" s="53">
        <f>Timeline!AF6</f>
        <v/>
      </c>
      <c r="AG6" s="53">
        <f>Timeline!AG6</f>
        <v/>
      </c>
      <c r="AH6" s="53">
        <f>Timeline!AH6</f>
        <v/>
      </c>
      <c r="AI6" s="53">
        <f>Timeline!AI6</f>
        <v/>
      </c>
      <c r="AJ6" s="53">
        <f>Timeline!AJ6</f>
        <v/>
      </c>
      <c r="AK6" s="53">
        <f>Timeline!AK6</f>
        <v/>
      </c>
      <c r="AL6" s="53">
        <f>Timeline!AL6</f>
        <v/>
      </c>
      <c r="AM6" s="53">
        <f>Timeline!AM6</f>
        <v/>
      </c>
      <c r="AN6" s="53">
        <f>Timeline!AN6</f>
        <v/>
      </c>
      <c r="AO6" s="53">
        <f>Timeline!AO6</f>
        <v/>
      </c>
      <c r="AP6" s="53">
        <f>Timeline!AP6</f>
        <v/>
      </c>
      <c r="AQ6" s="53">
        <f>Timeline!AQ6</f>
        <v/>
      </c>
      <c r="AR6" s="53">
        <f>Timeline!AR6</f>
        <v/>
      </c>
      <c r="AS6" s="53">
        <f>Timeline!AS6</f>
        <v/>
      </c>
      <c r="AT6" s="53">
        <f>Timeline!AT6</f>
        <v/>
      </c>
      <c r="AU6" s="53">
        <f>Timeline!AU6</f>
        <v/>
      </c>
      <c r="AV6" s="53">
        <f>Timeline!AV6</f>
        <v/>
      </c>
      <c r="AW6" s="53">
        <f>Timeline!AW6</f>
        <v/>
      </c>
      <c r="AX6" s="53">
        <f>Timeline!AX6</f>
        <v/>
      </c>
      <c r="AY6" s="53">
        <f>Timeline!AY6</f>
        <v/>
      </c>
      <c r="AZ6" s="53">
        <f>Timeline!AZ6</f>
        <v/>
      </c>
      <c r="BA6" s="53">
        <f>Timeline!BA6</f>
        <v/>
      </c>
      <c r="BB6" s="53">
        <f>Timeline!BB6</f>
        <v/>
      </c>
      <c r="BC6" s="53">
        <f>Timeline!BC6</f>
        <v/>
      </c>
      <c r="BD6" s="53">
        <f>Timeline!BD6</f>
        <v/>
      </c>
      <c r="BE6" s="53">
        <f>Timeline!BE6</f>
        <v/>
      </c>
      <c r="BF6" s="53">
        <f>Timeline!BF6</f>
        <v/>
      </c>
      <c r="BG6" s="53">
        <f>Timeline!BG6</f>
        <v/>
      </c>
      <c r="BH6" s="53">
        <f>Timeline!BH6</f>
        <v/>
      </c>
      <c r="BI6" s="53">
        <f>Timeline!BI6</f>
        <v/>
      </c>
      <c r="BJ6" s="53">
        <f>Timeline!BJ6</f>
        <v/>
      </c>
      <c r="BK6" s="53">
        <f>Timeline!BK6</f>
        <v/>
      </c>
      <c r="BL6" s="53">
        <f>Timeline!BL6</f>
        <v/>
      </c>
    </row>
    <row r="7"/>
    <row r="8">
      <c r="A8" s="14" t="inlineStr">
        <is>
          <t>EQUITY</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55" t="inlineStr">
        <is>
          <t>Initial equity injection</t>
        </is>
      </c>
      <c r="B9" s="26" t="inlineStr">
        <is>
          <t>LCY</t>
        </is>
      </c>
      <c r="C9" s="58">
        <f>SUM(E9:BL9)</f>
        <v/>
      </c>
      <c r="E9" s="39">
        <f>IF(E$4=1,Inputs!$C$43,0)</f>
        <v/>
      </c>
      <c r="F9" s="39">
        <f>IF(F$4=1,Inputs!$C$43,0)</f>
        <v/>
      </c>
      <c r="G9" s="39">
        <f>IF(G$4=1,Inputs!$C$43,0)</f>
        <v/>
      </c>
      <c r="H9" s="39">
        <f>IF(H$4=1,Inputs!$C$43,0)</f>
        <v/>
      </c>
      <c r="I9" s="39">
        <f>IF(I$4=1,Inputs!$C$43,0)</f>
        <v/>
      </c>
      <c r="J9" s="39">
        <f>IF(J$4=1,Inputs!$C$43,0)</f>
        <v/>
      </c>
      <c r="K9" s="39">
        <f>IF(K$4=1,Inputs!$C$43,0)</f>
        <v/>
      </c>
      <c r="L9" s="39">
        <f>IF(L$4=1,Inputs!$C$43,0)</f>
        <v/>
      </c>
      <c r="M9" s="39">
        <f>IF(M$4=1,Inputs!$C$43,0)</f>
        <v/>
      </c>
      <c r="N9" s="39">
        <f>IF(N$4=1,Inputs!$C$43,0)</f>
        <v/>
      </c>
      <c r="O9" s="39">
        <f>IF(O$4=1,Inputs!$C$43,0)</f>
        <v/>
      </c>
      <c r="P9" s="39">
        <f>IF(P$4=1,Inputs!$C$43,0)</f>
        <v/>
      </c>
      <c r="Q9" s="39">
        <f>IF(Q$4=1,Inputs!$C$43,0)</f>
        <v/>
      </c>
      <c r="R9" s="39">
        <f>IF(R$4=1,Inputs!$C$43,0)</f>
        <v/>
      </c>
      <c r="S9" s="39">
        <f>IF(S$4=1,Inputs!$C$43,0)</f>
        <v/>
      </c>
      <c r="T9" s="39">
        <f>IF(T$4=1,Inputs!$C$43,0)</f>
        <v/>
      </c>
      <c r="U9" s="39">
        <f>IF(U$4=1,Inputs!$C$43,0)</f>
        <v/>
      </c>
      <c r="V9" s="39">
        <f>IF(V$4=1,Inputs!$C$43,0)</f>
        <v/>
      </c>
      <c r="W9" s="39">
        <f>IF(W$4=1,Inputs!$C$43,0)</f>
        <v/>
      </c>
      <c r="X9" s="39">
        <f>IF(X$4=1,Inputs!$C$43,0)</f>
        <v/>
      </c>
      <c r="Y9" s="39">
        <f>IF(Y$4=1,Inputs!$C$43,0)</f>
        <v/>
      </c>
      <c r="Z9" s="39">
        <f>IF(Z$4=1,Inputs!$C$43,0)</f>
        <v/>
      </c>
      <c r="AA9" s="39">
        <f>IF(AA$4=1,Inputs!$C$43,0)</f>
        <v/>
      </c>
      <c r="AB9" s="39">
        <f>IF(AB$4=1,Inputs!$C$43,0)</f>
        <v/>
      </c>
      <c r="AC9" s="39">
        <f>IF(AC$4=1,Inputs!$C$43,0)</f>
        <v/>
      </c>
      <c r="AD9" s="39">
        <f>IF(AD$4=1,Inputs!$C$43,0)</f>
        <v/>
      </c>
      <c r="AE9" s="39">
        <f>IF(AE$4=1,Inputs!$C$43,0)</f>
        <v/>
      </c>
      <c r="AF9" s="39">
        <f>IF(AF$4=1,Inputs!$C$43,0)</f>
        <v/>
      </c>
      <c r="AG9" s="39">
        <f>IF(AG$4=1,Inputs!$C$43,0)</f>
        <v/>
      </c>
      <c r="AH9" s="39">
        <f>IF(AH$4=1,Inputs!$C$43,0)</f>
        <v/>
      </c>
      <c r="AI9" s="39">
        <f>IF(AI$4=1,Inputs!$C$43,0)</f>
        <v/>
      </c>
      <c r="AJ9" s="39">
        <f>IF(AJ$4=1,Inputs!$C$43,0)</f>
        <v/>
      </c>
      <c r="AK9" s="39">
        <f>IF(AK$4=1,Inputs!$C$43,0)</f>
        <v/>
      </c>
      <c r="AL9" s="39">
        <f>IF(AL$4=1,Inputs!$C$43,0)</f>
        <v/>
      </c>
      <c r="AM9" s="39">
        <f>IF(AM$4=1,Inputs!$C$43,0)</f>
        <v/>
      </c>
      <c r="AN9" s="39">
        <f>IF(AN$4=1,Inputs!$C$43,0)</f>
        <v/>
      </c>
      <c r="AO9" s="39">
        <f>IF(AO$4=1,Inputs!$C$43,0)</f>
        <v/>
      </c>
      <c r="AP9" s="39">
        <f>IF(AP$4=1,Inputs!$C$43,0)</f>
        <v/>
      </c>
      <c r="AQ9" s="39">
        <f>IF(AQ$4=1,Inputs!$C$43,0)</f>
        <v/>
      </c>
      <c r="AR9" s="39">
        <f>IF(AR$4=1,Inputs!$C$43,0)</f>
        <v/>
      </c>
      <c r="AS9" s="39">
        <f>IF(AS$4=1,Inputs!$C$43,0)</f>
        <v/>
      </c>
      <c r="AT9" s="39">
        <f>IF(AT$4=1,Inputs!$C$43,0)</f>
        <v/>
      </c>
      <c r="AU9" s="39">
        <f>IF(AU$4=1,Inputs!$C$43,0)</f>
        <v/>
      </c>
      <c r="AV9" s="39">
        <f>IF(AV$4=1,Inputs!$C$43,0)</f>
        <v/>
      </c>
      <c r="AW9" s="39">
        <f>IF(AW$4=1,Inputs!$C$43,0)</f>
        <v/>
      </c>
      <c r="AX9" s="39">
        <f>IF(AX$4=1,Inputs!$C$43,0)</f>
        <v/>
      </c>
      <c r="AY9" s="39">
        <f>IF(AY$4=1,Inputs!$C$43,0)</f>
        <v/>
      </c>
      <c r="AZ9" s="39">
        <f>IF(AZ$4=1,Inputs!$C$43,0)</f>
        <v/>
      </c>
      <c r="BA9" s="39">
        <f>IF(BA$4=1,Inputs!$C$43,0)</f>
        <v/>
      </c>
      <c r="BB9" s="39">
        <f>IF(BB$4=1,Inputs!$C$43,0)</f>
        <v/>
      </c>
      <c r="BC9" s="39">
        <f>IF(BC$4=1,Inputs!$C$43,0)</f>
        <v/>
      </c>
      <c r="BD9" s="39">
        <f>IF(BD$4=1,Inputs!$C$43,0)</f>
        <v/>
      </c>
      <c r="BE9" s="39">
        <f>IF(BE$4=1,Inputs!$C$43,0)</f>
        <v/>
      </c>
      <c r="BF9" s="39">
        <f>IF(BF$4=1,Inputs!$C$43,0)</f>
        <v/>
      </c>
      <c r="BG9" s="39">
        <f>IF(BG$4=1,Inputs!$C$43,0)</f>
        <v/>
      </c>
      <c r="BH9" s="39">
        <f>IF(BH$4=1,Inputs!$C$43,0)</f>
        <v/>
      </c>
      <c r="BI9" s="39">
        <f>IF(BI$4=1,Inputs!$C$43,0)</f>
        <v/>
      </c>
      <c r="BJ9" s="39">
        <f>IF(BJ$4=1,Inputs!$C$43,0)</f>
        <v/>
      </c>
      <c r="BK9" s="39">
        <f>IF(BK$4=1,Inputs!$C$43,0)</f>
        <v/>
      </c>
      <c r="BL9" s="39">
        <f>IF(BL$4=1,Inputs!$C$43,0)</f>
        <v/>
      </c>
    </row>
    <row r="10">
      <c r="A10" s="55" t="inlineStr">
        <is>
          <t>Automatic equity top-up (funding requirement)</t>
        </is>
      </c>
      <c r="B10" s="26" t="inlineStr">
        <is>
          <t>LCY</t>
        </is>
      </c>
      <c r="C10" s="58">
        <f>SUM(E10:BL10)</f>
        <v/>
      </c>
      <c r="E10" s="39">
        <f>FS!E$62</f>
        <v/>
      </c>
      <c r="F10" s="39">
        <f>FS!F$62</f>
        <v/>
      </c>
      <c r="G10" s="39">
        <f>FS!G$62</f>
        <v/>
      </c>
      <c r="H10" s="39">
        <f>FS!H$62</f>
        <v/>
      </c>
      <c r="I10" s="39">
        <f>FS!I$62</f>
        <v/>
      </c>
      <c r="J10" s="39">
        <f>FS!J$62</f>
        <v/>
      </c>
      <c r="K10" s="39">
        <f>FS!K$62</f>
        <v/>
      </c>
      <c r="L10" s="39">
        <f>FS!L$62</f>
        <v/>
      </c>
      <c r="M10" s="39">
        <f>FS!M$62</f>
        <v/>
      </c>
      <c r="N10" s="39">
        <f>FS!N$62</f>
        <v/>
      </c>
      <c r="O10" s="39">
        <f>FS!O$62</f>
        <v/>
      </c>
      <c r="P10" s="39">
        <f>FS!P$62</f>
        <v/>
      </c>
      <c r="Q10" s="39">
        <f>FS!Q$62</f>
        <v/>
      </c>
      <c r="R10" s="39">
        <f>FS!R$62</f>
        <v/>
      </c>
      <c r="S10" s="39">
        <f>FS!S$62</f>
        <v/>
      </c>
      <c r="T10" s="39">
        <f>FS!T$62</f>
        <v/>
      </c>
      <c r="U10" s="39">
        <f>FS!U$62</f>
        <v/>
      </c>
      <c r="V10" s="39">
        <f>FS!V$62</f>
        <v/>
      </c>
      <c r="W10" s="39">
        <f>FS!W$62</f>
        <v/>
      </c>
      <c r="X10" s="39">
        <f>FS!X$62</f>
        <v/>
      </c>
      <c r="Y10" s="39">
        <f>FS!Y$62</f>
        <v/>
      </c>
      <c r="Z10" s="39">
        <f>FS!Z$62</f>
        <v/>
      </c>
      <c r="AA10" s="39">
        <f>FS!AA$62</f>
        <v/>
      </c>
      <c r="AB10" s="39">
        <f>FS!AB$62</f>
        <v/>
      </c>
      <c r="AC10" s="39">
        <f>FS!AC$62</f>
        <v/>
      </c>
      <c r="AD10" s="39">
        <f>FS!AD$62</f>
        <v/>
      </c>
      <c r="AE10" s="39">
        <f>FS!AE$62</f>
        <v/>
      </c>
      <c r="AF10" s="39">
        <f>FS!AF$62</f>
        <v/>
      </c>
      <c r="AG10" s="39">
        <f>FS!AG$62</f>
        <v/>
      </c>
      <c r="AH10" s="39">
        <f>FS!AH$62</f>
        <v/>
      </c>
      <c r="AI10" s="39">
        <f>FS!AI$62</f>
        <v/>
      </c>
      <c r="AJ10" s="39">
        <f>FS!AJ$62</f>
        <v/>
      </c>
      <c r="AK10" s="39">
        <f>FS!AK$62</f>
        <v/>
      </c>
      <c r="AL10" s="39">
        <f>FS!AL$62</f>
        <v/>
      </c>
      <c r="AM10" s="39">
        <f>FS!AM$62</f>
        <v/>
      </c>
      <c r="AN10" s="39">
        <f>FS!AN$62</f>
        <v/>
      </c>
      <c r="AO10" s="39">
        <f>FS!AO$62</f>
        <v/>
      </c>
      <c r="AP10" s="39">
        <f>FS!AP$62</f>
        <v/>
      </c>
      <c r="AQ10" s="39">
        <f>FS!AQ$62</f>
        <v/>
      </c>
      <c r="AR10" s="39">
        <f>FS!AR$62</f>
        <v/>
      </c>
      <c r="AS10" s="39">
        <f>FS!AS$62</f>
        <v/>
      </c>
      <c r="AT10" s="39">
        <f>FS!AT$62</f>
        <v/>
      </c>
      <c r="AU10" s="39">
        <f>FS!AU$62</f>
        <v/>
      </c>
      <c r="AV10" s="39">
        <f>FS!AV$62</f>
        <v/>
      </c>
      <c r="AW10" s="39">
        <f>FS!AW$62</f>
        <v/>
      </c>
      <c r="AX10" s="39">
        <f>FS!AX$62</f>
        <v/>
      </c>
      <c r="AY10" s="39">
        <f>FS!AY$62</f>
        <v/>
      </c>
      <c r="AZ10" s="39">
        <f>FS!AZ$62</f>
        <v/>
      </c>
      <c r="BA10" s="39">
        <f>FS!BA$62</f>
        <v/>
      </c>
      <c r="BB10" s="39">
        <f>FS!BB$62</f>
        <v/>
      </c>
      <c r="BC10" s="39">
        <f>FS!BC$62</f>
        <v/>
      </c>
      <c r="BD10" s="39">
        <f>FS!BD$62</f>
        <v/>
      </c>
      <c r="BE10" s="39">
        <f>FS!BE$62</f>
        <v/>
      </c>
      <c r="BF10" s="39">
        <f>FS!BF$62</f>
        <v/>
      </c>
      <c r="BG10" s="39">
        <f>FS!BG$62</f>
        <v/>
      </c>
      <c r="BH10" s="39">
        <f>FS!BH$62</f>
        <v/>
      </c>
      <c r="BI10" s="39">
        <f>FS!BI$62</f>
        <v/>
      </c>
      <c r="BJ10" s="39">
        <f>FS!BJ$62</f>
        <v/>
      </c>
      <c r="BK10" s="39">
        <f>FS!BK$62</f>
        <v/>
      </c>
      <c r="BL10" s="39">
        <f>FS!BL$62</f>
        <v/>
      </c>
    </row>
    <row r="11">
      <c r="A11" s="55" t="inlineStr">
        <is>
          <t>Cumulative equity invested</t>
        </is>
      </c>
      <c r="B11" s="26" t="inlineStr">
        <is>
          <t>LCY</t>
        </is>
      </c>
      <c r="C11" s="58">
        <f>BL11</f>
        <v/>
      </c>
      <c r="E11" s="39">
        <f>D11+E9+E10</f>
        <v/>
      </c>
      <c r="F11" s="39">
        <f>E11+F9+F10</f>
        <v/>
      </c>
      <c r="G11" s="39">
        <f>F11+G9+G10</f>
        <v/>
      </c>
      <c r="H11" s="39">
        <f>G11+H9+H10</f>
        <v/>
      </c>
      <c r="I11" s="39">
        <f>H11+I9+I10</f>
        <v/>
      </c>
      <c r="J11" s="39">
        <f>I11+J9+J10</f>
        <v/>
      </c>
      <c r="K11" s="39">
        <f>J11+K9+K10</f>
        <v/>
      </c>
      <c r="L11" s="39">
        <f>K11+L9+L10</f>
        <v/>
      </c>
      <c r="M11" s="39">
        <f>L11+M9+M10</f>
        <v/>
      </c>
      <c r="N11" s="39">
        <f>M11+N9+N10</f>
        <v/>
      </c>
      <c r="O11" s="39">
        <f>N11+O9+O10</f>
        <v/>
      </c>
      <c r="P11" s="39">
        <f>O11+P9+P10</f>
        <v/>
      </c>
      <c r="Q11" s="39">
        <f>P11+Q9+Q10</f>
        <v/>
      </c>
      <c r="R11" s="39">
        <f>Q11+R9+R10</f>
        <v/>
      </c>
      <c r="S11" s="39">
        <f>R11+S9+S10</f>
        <v/>
      </c>
      <c r="T11" s="39">
        <f>S11+T9+T10</f>
        <v/>
      </c>
      <c r="U11" s="39">
        <f>T11+U9+U10</f>
        <v/>
      </c>
      <c r="V11" s="39">
        <f>U11+V9+V10</f>
        <v/>
      </c>
      <c r="W11" s="39">
        <f>V11+W9+W10</f>
        <v/>
      </c>
      <c r="X11" s="39">
        <f>W11+X9+X10</f>
        <v/>
      </c>
      <c r="Y11" s="39">
        <f>X11+Y9+Y10</f>
        <v/>
      </c>
      <c r="Z11" s="39">
        <f>Y11+Z9+Z10</f>
        <v/>
      </c>
      <c r="AA11" s="39">
        <f>Z11+AA9+AA10</f>
        <v/>
      </c>
      <c r="AB11" s="39">
        <f>AA11+AB9+AB10</f>
        <v/>
      </c>
      <c r="AC11" s="39">
        <f>AB11+AC9+AC10</f>
        <v/>
      </c>
      <c r="AD11" s="39">
        <f>AC11+AD9+AD10</f>
        <v/>
      </c>
      <c r="AE11" s="39">
        <f>AD11+AE9+AE10</f>
        <v/>
      </c>
      <c r="AF11" s="39">
        <f>AE11+AF9+AF10</f>
        <v/>
      </c>
      <c r="AG11" s="39">
        <f>AF11+AG9+AG10</f>
        <v/>
      </c>
      <c r="AH11" s="39">
        <f>AG11+AH9+AH10</f>
        <v/>
      </c>
      <c r="AI11" s="39">
        <f>AH11+AI9+AI10</f>
        <v/>
      </c>
      <c r="AJ11" s="39">
        <f>AI11+AJ9+AJ10</f>
        <v/>
      </c>
      <c r="AK11" s="39">
        <f>AJ11+AK9+AK10</f>
        <v/>
      </c>
      <c r="AL11" s="39">
        <f>AK11+AL9+AL10</f>
        <v/>
      </c>
      <c r="AM11" s="39">
        <f>AL11+AM9+AM10</f>
        <v/>
      </c>
      <c r="AN11" s="39">
        <f>AM11+AN9+AN10</f>
        <v/>
      </c>
      <c r="AO11" s="39">
        <f>AN11+AO9+AO10</f>
        <v/>
      </c>
      <c r="AP11" s="39">
        <f>AO11+AP9+AP10</f>
        <v/>
      </c>
      <c r="AQ11" s="39">
        <f>AP11+AQ9+AQ10</f>
        <v/>
      </c>
      <c r="AR11" s="39">
        <f>AQ11+AR9+AR10</f>
        <v/>
      </c>
      <c r="AS11" s="39">
        <f>AR11+AS9+AS10</f>
        <v/>
      </c>
      <c r="AT11" s="39">
        <f>AS11+AT9+AT10</f>
        <v/>
      </c>
      <c r="AU11" s="39">
        <f>AT11+AU9+AU10</f>
        <v/>
      </c>
      <c r="AV11" s="39">
        <f>AU11+AV9+AV10</f>
        <v/>
      </c>
      <c r="AW11" s="39">
        <f>AV11+AW9+AW10</f>
        <v/>
      </c>
      <c r="AX11" s="39">
        <f>AW11+AX9+AX10</f>
        <v/>
      </c>
      <c r="AY11" s="39">
        <f>AX11+AY9+AY10</f>
        <v/>
      </c>
      <c r="AZ11" s="39">
        <f>AY11+AZ9+AZ10</f>
        <v/>
      </c>
      <c r="BA11" s="39">
        <f>AZ11+BA9+BA10</f>
        <v/>
      </c>
      <c r="BB11" s="39">
        <f>BA11+BB9+BB10</f>
        <v/>
      </c>
      <c r="BC11" s="39">
        <f>BB11+BC9+BC10</f>
        <v/>
      </c>
      <c r="BD11" s="39">
        <f>BC11+BD9+BD10</f>
        <v/>
      </c>
      <c r="BE11" s="39">
        <f>BD11+BE9+BE10</f>
        <v/>
      </c>
      <c r="BF11" s="39">
        <f>BE11+BF9+BF10</f>
        <v/>
      </c>
      <c r="BG11" s="39">
        <f>BF11+BG9+BG10</f>
        <v/>
      </c>
      <c r="BH11" s="39">
        <f>BG11+BH9+BH10</f>
        <v/>
      </c>
      <c r="BI11" s="39">
        <f>BH11+BI9+BI10</f>
        <v/>
      </c>
      <c r="BJ11" s="39">
        <f>BI11+BJ9+BJ10</f>
        <v/>
      </c>
      <c r="BK11" s="39">
        <f>BJ11+BK9+BK10</f>
        <v/>
      </c>
      <c r="BL11" s="39">
        <f>BK11+BL9+BL10</f>
        <v/>
      </c>
    </row>
    <row r="12">
      <c r="A12" s="14" t="inlineStr">
        <is>
          <t>USD TERM LOAN</t>
        </is>
      </c>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c r="AA12" s="15" t="n"/>
      <c r="AB12" s="15" t="n"/>
      <c r="AC12" s="15" t="n"/>
      <c r="AD12" s="15" t="n"/>
      <c r="AE12" s="15" t="n"/>
      <c r="AF12" s="15" t="n"/>
      <c r="AG12" s="15" t="n"/>
      <c r="AH12" s="15" t="n"/>
      <c r="AI12" s="15" t="n"/>
      <c r="AJ12" s="15" t="n"/>
      <c r="AK12" s="15" t="n"/>
      <c r="AL12" s="15" t="n"/>
      <c r="AM12" s="15" t="n"/>
      <c r="AN12" s="15" t="n"/>
      <c r="AO12" s="15" t="n"/>
      <c r="AP12" s="15" t="n"/>
      <c r="AQ12" s="15" t="n"/>
      <c r="AR12" s="15" t="n"/>
      <c r="AS12" s="15" t="n"/>
      <c r="AT12" s="15" t="n"/>
      <c r="AU12" s="15" t="n"/>
      <c r="AV12" s="15" t="n"/>
      <c r="AW12" s="15" t="n"/>
      <c r="AX12" s="15" t="n"/>
      <c r="AY12" s="15" t="n"/>
      <c r="AZ12" s="15" t="n"/>
      <c r="BA12" s="15" t="n"/>
      <c r="BB12" s="15" t="n"/>
      <c r="BC12" s="15" t="n"/>
      <c r="BD12" s="15" t="n"/>
      <c r="BE12" s="15" t="n"/>
      <c r="BF12" s="15" t="n"/>
      <c r="BG12" s="15" t="n"/>
      <c r="BH12" s="15" t="n"/>
      <c r="BI12" s="15" t="n"/>
      <c r="BJ12" s="15" t="n"/>
      <c r="BK12" s="15" t="n"/>
      <c r="BL12" s="15" t="n"/>
    </row>
    <row r="13">
      <c r="A13" s="55" t="inlineStr">
        <is>
          <t>Drawdown (USD)</t>
        </is>
      </c>
      <c r="B13" s="26" t="inlineStr">
        <is>
          <t>USD</t>
        </is>
      </c>
      <c r="C13" s="58">
        <f>SUM(E13:BL13)</f>
        <v/>
      </c>
      <c r="E13" s="39">
        <f>IF(E$4=Inputs!$C$45,Inputs!$C$44,0)</f>
        <v/>
      </c>
      <c r="F13" s="39">
        <f>IF(F$4=Inputs!$C$45,Inputs!$C$44,0)</f>
        <v/>
      </c>
      <c r="G13" s="39">
        <f>IF(G$4=Inputs!$C$45,Inputs!$C$44,0)</f>
        <v/>
      </c>
      <c r="H13" s="39">
        <f>IF(H$4=Inputs!$C$45,Inputs!$C$44,0)</f>
        <v/>
      </c>
      <c r="I13" s="39">
        <f>IF(I$4=Inputs!$C$45,Inputs!$C$44,0)</f>
        <v/>
      </c>
      <c r="J13" s="39">
        <f>IF(J$4=Inputs!$C$45,Inputs!$C$44,0)</f>
        <v/>
      </c>
      <c r="K13" s="39">
        <f>IF(K$4=Inputs!$C$45,Inputs!$C$44,0)</f>
        <v/>
      </c>
      <c r="L13" s="39">
        <f>IF(L$4=Inputs!$C$45,Inputs!$C$44,0)</f>
        <v/>
      </c>
      <c r="M13" s="39">
        <f>IF(M$4=Inputs!$C$45,Inputs!$C$44,0)</f>
        <v/>
      </c>
      <c r="N13" s="39">
        <f>IF(N$4=Inputs!$C$45,Inputs!$C$44,0)</f>
        <v/>
      </c>
      <c r="O13" s="39">
        <f>IF(O$4=Inputs!$C$45,Inputs!$C$44,0)</f>
        <v/>
      </c>
      <c r="P13" s="39">
        <f>IF(P$4=Inputs!$C$45,Inputs!$C$44,0)</f>
        <v/>
      </c>
      <c r="Q13" s="39">
        <f>IF(Q$4=Inputs!$C$45,Inputs!$C$44,0)</f>
        <v/>
      </c>
      <c r="R13" s="39">
        <f>IF(R$4=Inputs!$C$45,Inputs!$C$44,0)</f>
        <v/>
      </c>
      <c r="S13" s="39">
        <f>IF(S$4=Inputs!$C$45,Inputs!$C$44,0)</f>
        <v/>
      </c>
      <c r="T13" s="39">
        <f>IF(T$4=Inputs!$C$45,Inputs!$C$44,0)</f>
        <v/>
      </c>
      <c r="U13" s="39">
        <f>IF(U$4=Inputs!$C$45,Inputs!$C$44,0)</f>
        <v/>
      </c>
      <c r="V13" s="39">
        <f>IF(V$4=Inputs!$C$45,Inputs!$C$44,0)</f>
        <v/>
      </c>
      <c r="W13" s="39">
        <f>IF(W$4=Inputs!$C$45,Inputs!$C$44,0)</f>
        <v/>
      </c>
      <c r="X13" s="39">
        <f>IF(X$4=Inputs!$C$45,Inputs!$C$44,0)</f>
        <v/>
      </c>
      <c r="Y13" s="39">
        <f>IF(Y$4=Inputs!$C$45,Inputs!$C$44,0)</f>
        <v/>
      </c>
      <c r="Z13" s="39">
        <f>IF(Z$4=Inputs!$C$45,Inputs!$C$44,0)</f>
        <v/>
      </c>
      <c r="AA13" s="39">
        <f>IF(AA$4=Inputs!$C$45,Inputs!$C$44,0)</f>
        <v/>
      </c>
      <c r="AB13" s="39">
        <f>IF(AB$4=Inputs!$C$45,Inputs!$C$44,0)</f>
        <v/>
      </c>
      <c r="AC13" s="39">
        <f>IF(AC$4=Inputs!$C$45,Inputs!$C$44,0)</f>
        <v/>
      </c>
      <c r="AD13" s="39">
        <f>IF(AD$4=Inputs!$C$45,Inputs!$C$44,0)</f>
        <v/>
      </c>
      <c r="AE13" s="39">
        <f>IF(AE$4=Inputs!$C$45,Inputs!$C$44,0)</f>
        <v/>
      </c>
      <c r="AF13" s="39">
        <f>IF(AF$4=Inputs!$C$45,Inputs!$C$44,0)</f>
        <v/>
      </c>
      <c r="AG13" s="39">
        <f>IF(AG$4=Inputs!$C$45,Inputs!$C$44,0)</f>
        <v/>
      </c>
      <c r="AH13" s="39">
        <f>IF(AH$4=Inputs!$C$45,Inputs!$C$44,0)</f>
        <v/>
      </c>
      <c r="AI13" s="39">
        <f>IF(AI$4=Inputs!$C$45,Inputs!$C$44,0)</f>
        <v/>
      </c>
      <c r="AJ13" s="39">
        <f>IF(AJ$4=Inputs!$C$45,Inputs!$C$44,0)</f>
        <v/>
      </c>
      <c r="AK13" s="39">
        <f>IF(AK$4=Inputs!$C$45,Inputs!$C$44,0)</f>
        <v/>
      </c>
      <c r="AL13" s="39">
        <f>IF(AL$4=Inputs!$C$45,Inputs!$C$44,0)</f>
        <v/>
      </c>
      <c r="AM13" s="39">
        <f>IF(AM$4=Inputs!$C$45,Inputs!$C$44,0)</f>
        <v/>
      </c>
      <c r="AN13" s="39">
        <f>IF(AN$4=Inputs!$C$45,Inputs!$C$44,0)</f>
        <v/>
      </c>
      <c r="AO13" s="39">
        <f>IF(AO$4=Inputs!$C$45,Inputs!$C$44,0)</f>
        <v/>
      </c>
      <c r="AP13" s="39">
        <f>IF(AP$4=Inputs!$C$45,Inputs!$C$44,0)</f>
        <v/>
      </c>
      <c r="AQ13" s="39">
        <f>IF(AQ$4=Inputs!$C$45,Inputs!$C$44,0)</f>
        <v/>
      </c>
      <c r="AR13" s="39">
        <f>IF(AR$4=Inputs!$C$45,Inputs!$C$44,0)</f>
        <v/>
      </c>
      <c r="AS13" s="39">
        <f>IF(AS$4=Inputs!$C$45,Inputs!$C$44,0)</f>
        <v/>
      </c>
      <c r="AT13" s="39">
        <f>IF(AT$4=Inputs!$C$45,Inputs!$C$44,0)</f>
        <v/>
      </c>
      <c r="AU13" s="39">
        <f>IF(AU$4=Inputs!$C$45,Inputs!$C$44,0)</f>
        <v/>
      </c>
      <c r="AV13" s="39">
        <f>IF(AV$4=Inputs!$C$45,Inputs!$C$44,0)</f>
        <v/>
      </c>
      <c r="AW13" s="39">
        <f>IF(AW$4=Inputs!$C$45,Inputs!$C$44,0)</f>
        <v/>
      </c>
      <c r="AX13" s="39">
        <f>IF(AX$4=Inputs!$C$45,Inputs!$C$44,0)</f>
        <v/>
      </c>
      <c r="AY13" s="39">
        <f>IF(AY$4=Inputs!$C$45,Inputs!$C$44,0)</f>
        <v/>
      </c>
      <c r="AZ13" s="39">
        <f>IF(AZ$4=Inputs!$C$45,Inputs!$C$44,0)</f>
        <v/>
      </c>
      <c r="BA13" s="39">
        <f>IF(BA$4=Inputs!$C$45,Inputs!$C$44,0)</f>
        <v/>
      </c>
      <c r="BB13" s="39">
        <f>IF(BB$4=Inputs!$C$45,Inputs!$C$44,0)</f>
        <v/>
      </c>
      <c r="BC13" s="39">
        <f>IF(BC$4=Inputs!$C$45,Inputs!$C$44,0)</f>
        <v/>
      </c>
      <c r="BD13" s="39">
        <f>IF(BD$4=Inputs!$C$45,Inputs!$C$44,0)</f>
        <v/>
      </c>
      <c r="BE13" s="39">
        <f>IF(BE$4=Inputs!$C$45,Inputs!$C$44,0)</f>
        <v/>
      </c>
      <c r="BF13" s="39">
        <f>IF(BF$4=Inputs!$C$45,Inputs!$C$44,0)</f>
        <v/>
      </c>
      <c r="BG13" s="39">
        <f>IF(BG$4=Inputs!$C$45,Inputs!$C$44,0)</f>
        <v/>
      </c>
      <c r="BH13" s="39">
        <f>IF(BH$4=Inputs!$C$45,Inputs!$C$44,0)</f>
        <v/>
      </c>
      <c r="BI13" s="39">
        <f>IF(BI$4=Inputs!$C$45,Inputs!$C$44,0)</f>
        <v/>
      </c>
      <c r="BJ13" s="39">
        <f>IF(BJ$4=Inputs!$C$45,Inputs!$C$44,0)</f>
        <v/>
      </c>
      <c r="BK13" s="39">
        <f>IF(BK$4=Inputs!$C$45,Inputs!$C$44,0)</f>
        <v/>
      </c>
      <c r="BL13" s="39">
        <f>IF(BL$4=Inputs!$C$45,Inputs!$C$44,0)</f>
        <v/>
      </c>
    </row>
    <row r="14">
      <c r="A14" s="55" t="inlineStr">
        <is>
          <t>Repayment (USD)</t>
        </is>
      </c>
      <c r="B14" s="26" t="inlineStr">
        <is>
          <t>USD</t>
        </is>
      </c>
      <c r="C14" s="58">
        <f>SUM(E14:BL14)</f>
        <v/>
      </c>
      <c r="E14" s="39">
        <f>IF(AND(E$4&gt;Inputs!$C$45+Inputs!$C$47,E$4&lt;=Inputs!$C$45+Inputs!$C$47+Inputs!$C$48),MIN(D15,Inputs!$C$44/Inputs!$C$48),0)</f>
        <v/>
      </c>
      <c r="F14" s="39">
        <f>IF(AND(F$4&gt;Inputs!$C$45+Inputs!$C$47,F$4&lt;=Inputs!$C$45+Inputs!$C$47+Inputs!$C$48),MIN(E15,Inputs!$C$44/Inputs!$C$48),0)</f>
        <v/>
      </c>
      <c r="G14" s="39">
        <f>IF(AND(G$4&gt;Inputs!$C$45+Inputs!$C$47,G$4&lt;=Inputs!$C$45+Inputs!$C$47+Inputs!$C$48),MIN(F15,Inputs!$C$44/Inputs!$C$48),0)</f>
        <v/>
      </c>
      <c r="H14" s="39">
        <f>IF(AND(H$4&gt;Inputs!$C$45+Inputs!$C$47,H$4&lt;=Inputs!$C$45+Inputs!$C$47+Inputs!$C$48),MIN(G15,Inputs!$C$44/Inputs!$C$48),0)</f>
        <v/>
      </c>
      <c r="I14" s="39">
        <f>IF(AND(I$4&gt;Inputs!$C$45+Inputs!$C$47,I$4&lt;=Inputs!$C$45+Inputs!$C$47+Inputs!$C$48),MIN(H15,Inputs!$C$44/Inputs!$C$48),0)</f>
        <v/>
      </c>
      <c r="J14" s="39">
        <f>IF(AND(J$4&gt;Inputs!$C$45+Inputs!$C$47,J$4&lt;=Inputs!$C$45+Inputs!$C$47+Inputs!$C$48),MIN(I15,Inputs!$C$44/Inputs!$C$48),0)</f>
        <v/>
      </c>
      <c r="K14" s="39">
        <f>IF(AND(K$4&gt;Inputs!$C$45+Inputs!$C$47,K$4&lt;=Inputs!$C$45+Inputs!$C$47+Inputs!$C$48),MIN(J15,Inputs!$C$44/Inputs!$C$48),0)</f>
        <v/>
      </c>
      <c r="L14" s="39">
        <f>IF(AND(L$4&gt;Inputs!$C$45+Inputs!$C$47,L$4&lt;=Inputs!$C$45+Inputs!$C$47+Inputs!$C$48),MIN(K15,Inputs!$C$44/Inputs!$C$48),0)</f>
        <v/>
      </c>
      <c r="M14" s="39">
        <f>IF(AND(M$4&gt;Inputs!$C$45+Inputs!$C$47,M$4&lt;=Inputs!$C$45+Inputs!$C$47+Inputs!$C$48),MIN(L15,Inputs!$C$44/Inputs!$C$48),0)</f>
        <v/>
      </c>
      <c r="N14" s="39">
        <f>IF(AND(N$4&gt;Inputs!$C$45+Inputs!$C$47,N$4&lt;=Inputs!$C$45+Inputs!$C$47+Inputs!$C$48),MIN(M15,Inputs!$C$44/Inputs!$C$48),0)</f>
        <v/>
      </c>
      <c r="O14" s="39">
        <f>IF(AND(O$4&gt;Inputs!$C$45+Inputs!$C$47,O$4&lt;=Inputs!$C$45+Inputs!$C$47+Inputs!$C$48),MIN(N15,Inputs!$C$44/Inputs!$C$48),0)</f>
        <v/>
      </c>
      <c r="P14" s="39">
        <f>IF(AND(P$4&gt;Inputs!$C$45+Inputs!$C$47,P$4&lt;=Inputs!$C$45+Inputs!$C$47+Inputs!$C$48),MIN(O15,Inputs!$C$44/Inputs!$C$48),0)</f>
        <v/>
      </c>
      <c r="Q14" s="39">
        <f>IF(AND(Q$4&gt;Inputs!$C$45+Inputs!$C$47,Q$4&lt;=Inputs!$C$45+Inputs!$C$47+Inputs!$C$48),MIN(P15,Inputs!$C$44/Inputs!$C$48),0)</f>
        <v/>
      </c>
      <c r="R14" s="39">
        <f>IF(AND(R$4&gt;Inputs!$C$45+Inputs!$C$47,R$4&lt;=Inputs!$C$45+Inputs!$C$47+Inputs!$C$48),MIN(Q15,Inputs!$C$44/Inputs!$C$48),0)</f>
        <v/>
      </c>
      <c r="S14" s="39">
        <f>IF(AND(S$4&gt;Inputs!$C$45+Inputs!$C$47,S$4&lt;=Inputs!$C$45+Inputs!$C$47+Inputs!$C$48),MIN(R15,Inputs!$C$44/Inputs!$C$48),0)</f>
        <v/>
      </c>
      <c r="T14" s="39">
        <f>IF(AND(T$4&gt;Inputs!$C$45+Inputs!$C$47,T$4&lt;=Inputs!$C$45+Inputs!$C$47+Inputs!$C$48),MIN(S15,Inputs!$C$44/Inputs!$C$48),0)</f>
        <v/>
      </c>
      <c r="U14" s="39">
        <f>IF(AND(U$4&gt;Inputs!$C$45+Inputs!$C$47,U$4&lt;=Inputs!$C$45+Inputs!$C$47+Inputs!$C$48),MIN(T15,Inputs!$C$44/Inputs!$C$48),0)</f>
        <v/>
      </c>
      <c r="V14" s="39">
        <f>IF(AND(V$4&gt;Inputs!$C$45+Inputs!$C$47,V$4&lt;=Inputs!$C$45+Inputs!$C$47+Inputs!$C$48),MIN(U15,Inputs!$C$44/Inputs!$C$48),0)</f>
        <v/>
      </c>
      <c r="W14" s="39">
        <f>IF(AND(W$4&gt;Inputs!$C$45+Inputs!$C$47,W$4&lt;=Inputs!$C$45+Inputs!$C$47+Inputs!$C$48),MIN(V15,Inputs!$C$44/Inputs!$C$48),0)</f>
        <v/>
      </c>
      <c r="X14" s="39">
        <f>IF(AND(X$4&gt;Inputs!$C$45+Inputs!$C$47,X$4&lt;=Inputs!$C$45+Inputs!$C$47+Inputs!$C$48),MIN(W15,Inputs!$C$44/Inputs!$C$48),0)</f>
        <v/>
      </c>
      <c r="Y14" s="39">
        <f>IF(AND(Y$4&gt;Inputs!$C$45+Inputs!$C$47,Y$4&lt;=Inputs!$C$45+Inputs!$C$47+Inputs!$C$48),MIN(X15,Inputs!$C$44/Inputs!$C$48),0)</f>
        <v/>
      </c>
      <c r="Z14" s="39">
        <f>IF(AND(Z$4&gt;Inputs!$C$45+Inputs!$C$47,Z$4&lt;=Inputs!$C$45+Inputs!$C$47+Inputs!$C$48),MIN(Y15,Inputs!$C$44/Inputs!$C$48),0)</f>
        <v/>
      </c>
      <c r="AA14" s="39">
        <f>IF(AND(AA$4&gt;Inputs!$C$45+Inputs!$C$47,AA$4&lt;=Inputs!$C$45+Inputs!$C$47+Inputs!$C$48),MIN(Z15,Inputs!$C$44/Inputs!$C$48),0)</f>
        <v/>
      </c>
      <c r="AB14" s="39">
        <f>IF(AND(AB$4&gt;Inputs!$C$45+Inputs!$C$47,AB$4&lt;=Inputs!$C$45+Inputs!$C$47+Inputs!$C$48),MIN(AA15,Inputs!$C$44/Inputs!$C$48),0)</f>
        <v/>
      </c>
      <c r="AC14" s="39">
        <f>IF(AND(AC$4&gt;Inputs!$C$45+Inputs!$C$47,AC$4&lt;=Inputs!$C$45+Inputs!$C$47+Inputs!$C$48),MIN(AB15,Inputs!$C$44/Inputs!$C$48),0)</f>
        <v/>
      </c>
      <c r="AD14" s="39">
        <f>IF(AND(AD$4&gt;Inputs!$C$45+Inputs!$C$47,AD$4&lt;=Inputs!$C$45+Inputs!$C$47+Inputs!$C$48),MIN(AC15,Inputs!$C$44/Inputs!$C$48),0)</f>
        <v/>
      </c>
      <c r="AE14" s="39">
        <f>IF(AND(AE$4&gt;Inputs!$C$45+Inputs!$C$47,AE$4&lt;=Inputs!$C$45+Inputs!$C$47+Inputs!$C$48),MIN(AD15,Inputs!$C$44/Inputs!$C$48),0)</f>
        <v/>
      </c>
      <c r="AF14" s="39">
        <f>IF(AND(AF$4&gt;Inputs!$C$45+Inputs!$C$47,AF$4&lt;=Inputs!$C$45+Inputs!$C$47+Inputs!$C$48),MIN(AE15,Inputs!$C$44/Inputs!$C$48),0)</f>
        <v/>
      </c>
      <c r="AG14" s="39">
        <f>IF(AND(AG$4&gt;Inputs!$C$45+Inputs!$C$47,AG$4&lt;=Inputs!$C$45+Inputs!$C$47+Inputs!$C$48),MIN(AF15,Inputs!$C$44/Inputs!$C$48),0)</f>
        <v/>
      </c>
      <c r="AH14" s="39">
        <f>IF(AND(AH$4&gt;Inputs!$C$45+Inputs!$C$47,AH$4&lt;=Inputs!$C$45+Inputs!$C$47+Inputs!$C$48),MIN(AG15,Inputs!$C$44/Inputs!$C$48),0)</f>
        <v/>
      </c>
      <c r="AI14" s="39">
        <f>IF(AND(AI$4&gt;Inputs!$C$45+Inputs!$C$47,AI$4&lt;=Inputs!$C$45+Inputs!$C$47+Inputs!$C$48),MIN(AH15,Inputs!$C$44/Inputs!$C$48),0)</f>
        <v/>
      </c>
      <c r="AJ14" s="39">
        <f>IF(AND(AJ$4&gt;Inputs!$C$45+Inputs!$C$47,AJ$4&lt;=Inputs!$C$45+Inputs!$C$47+Inputs!$C$48),MIN(AI15,Inputs!$C$44/Inputs!$C$48),0)</f>
        <v/>
      </c>
      <c r="AK14" s="39">
        <f>IF(AND(AK$4&gt;Inputs!$C$45+Inputs!$C$47,AK$4&lt;=Inputs!$C$45+Inputs!$C$47+Inputs!$C$48),MIN(AJ15,Inputs!$C$44/Inputs!$C$48),0)</f>
        <v/>
      </c>
      <c r="AL14" s="39">
        <f>IF(AND(AL$4&gt;Inputs!$C$45+Inputs!$C$47,AL$4&lt;=Inputs!$C$45+Inputs!$C$47+Inputs!$C$48),MIN(AK15,Inputs!$C$44/Inputs!$C$48),0)</f>
        <v/>
      </c>
      <c r="AM14" s="39">
        <f>IF(AND(AM$4&gt;Inputs!$C$45+Inputs!$C$47,AM$4&lt;=Inputs!$C$45+Inputs!$C$47+Inputs!$C$48),MIN(AL15,Inputs!$C$44/Inputs!$C$48),0)</f>
        <v/>
      </c>
      <c r="AN14" s="39">
        <f>IF(AND(AN$4&gt;Inputs!$C$45+Inputs!$C$47,AN$4&lt;=Inputs!$C$45+Inputs!$C$47+Inputs!$C$48),MIN(AM15,Inputs!$C$44/Inputs!$C$48),0)</f>
        <v/>
      </c>
      <c r="AO14" s="39">
        <f>IF(AND(AO$4&gt;Inputs!$C$45+Inputs!$C$47,AO$4&lt;=Inputs!$C$45+Inputs!$C$47+Inputs!$C$48),MIN(AN15,Inputs!$C$44/Inputs!$C$48),0)</f>
        <v/>
      </c>
      <c r="AP14" s="39">
        <f>IF(AND(AP$4&gt;Inputs!$C$45+Inputs!$C$47,AP$4&lt;=Inputs!$C$45+Inputs!$C$47+Inputs!$C$48),MIN(AO15,Inputs!$C$44/Inputs!$C$48),0)</f>
        <v/>
      </c>
      <c r="AQ14" s="39">
        <f>IF(AND(AQ$4&gt;Inputs!$C$45+Inputs!$C$47,AQ$4&lt;=Inputs!$C$45+Inputs!$C$47+Inputs!$C$48),MIN(AP15,Inputs!$C$44/Inputs!$C$48),0)</f>
        <v/>
      </c>
      <c r="AR14" s="39">
        <f>IF(AND(AR$4&gt;Inputs!$C$45+Inputs!$C$47,AR$4&lt;=Inputs!$C$45+Inputs!$C$47+Inputs!$C$48),MIN(AQ15,Inputs!$C$44/Inputs!$C$48),0)</f>
        <v/>
      </c>
      <c r="AS14" s="39">
        <f>IF(AND(AS$4&gt;Inputs!$C$45+Inputs!$C$47,AS$4&lt;=Inputs!$C$45+Inputs!$C$47+Inputs!$C$48),MIN(AR15,Inputs!$C$44/Inputs!$C$48),0)</f>
        <v/>
      </c>
      <c r="AT14" s="39">
        <f>IF(AND(AT$4&gt;Inputs!$C$45+Inputs!$C$47,AT$4&lt;=Inputs!$C$45+Inputs!$C$47+Inputs!$C$48),MIN(AS15,Inputs!$C$44/Inputs!$C$48),0)</f>
        <v/>
      </c>
      <c r="AU14" s="39">
        <f>IF(AND(AU$4&gt;Inputs!$C$45+Inputs!$C$47,AU$4&lt;=Inputs!$C$45+Inputs!$C$47+Inputs!$C$48),MIN(AT15,Inputs!$C$44/Inputs!$C$48),0)</f>
        <v/>
      </c>
      <c r="AV14" s="39">
        <f>IF(AND(AV$4&gt;Inputs!$C$45+Inputs!$C$47,AV$4&lt;=Inputs!$C$45+Inputs!$C$47+Inputs!$C$48),MIN(AU15,Inputs!$C$44/Inputs!$C$48),0)</f>
        <v/>
      </c>
      <c r="AW14" s="39">
        <f>IF(AND(AW$4&gt;Inputs!$C$45+Inputs!$C$47,AW$4&lt;=Inputs!$C$45+Inputs!$C$47+Inputs!$C$48),MIN(AV15,Inputs!$C$44/Inputs!$C$48),0)</f>
        <v/>
      </c>
      <c r="AX14" s="39">
        <f>IF(AND(AX$4&gt;Inputs!$C$45+Inputs!$C$47,AX$4&lt;=Inputs!$C$45+Inputs!$C$47+Inputs!$C$48),MIN(AW15,Inputs!$C$44/Inputs!$C$48),0)</f>
        <v/>
      </c>
      <c r="AY14" s="39">
        <f>IF(AND(AY$4&gt;Inputs!$C$45+Inputs!$C$47,AY$4&lt;=Inputs!$C$45+Inputs!$C$47+Inputs!$C$48),MIN(AX15,Inputs!$C$44/Inputs!$C$48),0)</f>
        <v/>
      </c>
      <c r="AZ14" s="39">
        <f>IF(AND(AZ$4&gt;Inputs!$C$45+Inputs!$C$47,AZ$4&lt;=Inputs!$C$45+Inputs!$C$47+Inputs!$C$48),MIN(AY15,Inputs!$C$44/Inputs!$C$48),0)</f>
        <v/>
      </c>
      <c r="BA14" s="39">
        <f>IF(AND(BA$4&gt;Inputs!$C$45+Inputs!$C$47,BA$4&lt;=Inputs!$C$45+Inputs!$C$47+Inputs!$C$48),MIN(AZ15,Inputs!$C$44/Inputs!$C$48),0)</f>
        <v/>
      </c>
      <c r="BB14" s="39">
        <f>IF(AND(BB$4&gt;Inputs!$C$45+Inputs!$C$47,BB$4&lt;=Inputs!$C$45+Inputs!$C$47+Inputs!$C$48),MIN(BA15,Inputs!$C$44/Inputs!$C$48),0)</f>
        <v/>
      </c>
      <c r="BC14" s="39">
        <f>IF(AND(BC$4&gt;Inputs!$C$45+Inputs!$C$47,BC$4&lt;=Inputs!$C$45+Inputs!$C$47+Inputs!$C$48),MIN(BB15,Inputs!$C$44/Inputs!$C$48),0)</f>
        <v/>
      </c>
      <c r="BD14" s="39">
        <f>IF(AND(BD$4&gt;Inputs!$C$45+Inputs!$C$47,BD$4&lt;=Inputs!$C$45+Inputs!$C$47+Inputs!$C$48),MIN(BC15,Inputs!$C$44/Inputs!$C$48),0)</f>
        <v/>
      </c>
      <c r="BE14" s="39">
        <f>IF(AND(BE$4&gt;Inputs!$C$45+Inputs!$C$47,BE$4&lt;=Inputs!$C$45+Inputs!$C$47+Inputs!$C$48),MIN(BD15,Inputs!$C$44/Inputs!$C$48),0)</f>
        <v/>
      </c>
      <c r="BF14" s="39">
        <f>IF(AND(BF$4&gt;Inputs!$C$45+Inputs!$C$47,BF$4&lt;=Inputs!$C$45+Inputs!$C$47+Inputs!$C$48),MIN(BE15,Inputs!$C$44/Inputs!$C$48),0)</f>
        <v/>
      </c>
      <c r="BG14" s="39">
        <f>IF(AND(BG$4&gt;Inputs!$C$45+Inputs!$C$47,BG$4&lt;=Inputs!$C$45+Inputs!$C$47+Inputs!$C$48),MIN(BF15,Inputs!$C$44/Inputs!$C$48),0)</f>
        <v/>
      </c>
      <c r="BH14" s="39">
        <f>IF(AND(BH$4&gt;Inputs!$C$45+Inputs!$C$47,BH$4&lt;=Inputs!$C$45+Inputs!$C$47+Inputs!$C$48),MIN(BG15,Inputs!$C$44/Inputs!$C$48),0)</f>
        <v/>
      </c>
      <c r="BI14" s="39">
        <f>IF(AND(BI$4&gt;Inputs!$C$45+Inputs!$C$47,BI$4&lt;=Inputs!$C$45+Inputs!$C$47+Inputs!$C$48),MIN(BH15,Inputs!$C$44/Inputs!$C$48),0)</f>
        <v/>
      </c>
      <c r="BJ14" s="39">
        <f>IF(AND(BJ$4&gt;Inputs!$C$45+Inputs!$C$47,BJ$4&lt;=Inputs!$C$45+Inputs!$C$47+Inputs!$C$48),MIN(BI15,Inputs!$C$44/Inputs!$C$48),0)</f>
        <v/>
      </c>
      <c r="BK14" s="39">
        <f>IF(AND(BK$4&gt;Inputs!$C$45+Inputs!$C$47,BK$4&lt;=Inputs!$C$45+Inputs!$C$47+Inputs!$C$48),MIN(BJ15,Inputs!$C$44/Inputs!$C$48),0)</f>
        <v/>
      </c>
      <c r="BL14" s="39">
        <f>IF(AND(BL$4&gt;Inputs!$C$45+Inputs!$C$47,BL$4&lt;=Inputs!$C$45+Inputs!$C$47+Inputs!$C$48),MIN(BK15,Inputs!$C$44/Inputs!$C$48),0)</f>
        <v/>
      </c>
    </row>
    <row r="15">
      <c r="A15" s="55" t="inlineStr">
        <is>
          <t>Closing balance (USD)</t>
        </is>
      </c>
      <c r="B15" s="26" t="inlineStr">
        <is>
          <t>USD</t>
        </is>
      </c>
      <c r="C15" s="58">
        <f>BL15</f>
        <v/>
      </c>
      <c r="E15" s="39">
        <f>D15+E13-E14</f>
        <v/>
      </c>
      <c r="F15" s="39">
        <f>E15+F13-F14</f>
        <v/>
      </c>
      <c r="G15" s="39">
        <f>F15+G13-G14</f>
        <v/>
      </c>
      <c r="H15" s="39">
        <f>G15+H13-H14</f>
        <v/>
      </c>
      <c r="I15" s="39">
        <f>H15+I13-I14</f>
        <v/>
      </c>
      <c r="J15" s="39">
        <f>I15+J13-J14</f>
        <v/>
      </c>
      <c r="K15" s="39">
        <f>J15+K13-K14</f>
        <v/>
      </c>
      <c r="L15" s="39">
        <f>K15+L13-L14</f>
        <v/>
      </c>
      <c r="M15" s="39">
        <f>L15+M13-M14</f>
        <v/>
      </c>
      <c r="N15" s="39">
        <f>M15+N13-N14</f>
        <v/>
      </c>
      <c r="O15" s="39">
        <f>N15+O13-O14</f>
        <v/>
      </c>
      <c r="P15" s="39">
        <f>O15+P13-P14</f>
        <v/>
      </c>
      <c r="Q15" s="39">
        <f>P15+Q13-Q14</f>
        <v/>
      </c>
      <c r="R15" s="39">
        <f>Q15+R13-R14</f>
        <v/>
      </c>
      <c r="S15" s="39">
        <f>R15+S13-S14</f>
        <v/>
      </c>
      <c r="T15" s="39">
        <f>S15+T13-T14</f>
        <v/>
      </c>
      <c r="U15" s="39">
        <f>T15+U13-U14</f>
        <v/>
      </c>
      <c r="V15" s="39">
        <f>U15+V13-V14</f>
        <v/>
      </c>
      <c r="W15" s="39">
        <f>V15+W13-W14</f>
        <v/>
      </c>
      <c r="X15" s="39">
        <f>W15+X13-X14</f>
        <v/>
      </c>
      <c r="Y15" s="39">
        <f>X15+Y13-Y14</f>
        <v/>
      </c>
      <c r="Z15" s="39">
        <f>Y15+Z13-Z14</f>
        <v/>
      </c>
      <c r="AA15" s="39">
        <f>Z15+AA13-AA14</f>
        <v/>
      </c>
      <c r="AB15" s="39">
        <f>AA15+AB13-AB14</f>
        <v/>
      </c>
      <c r="AC15" s="39">
        <f>AB15+AC13-AC14</f>
        <v/>
      </c>
      <c r="AD15" s="39">
        <f>AC15+AD13-AD14</f>
        <v/>
      </c>
      <c r="AE15" s="39">
        <f>AD15+AE13-AE14</f>
        <v/>
      </c>
      <c r="AF15" s="39">
        <f>AE15+AF13-AF14</f>
        <v/>
      </c>
      <c r="AG15" s="39">
        <f>AF15+AG13-AG14</f>
        <v/>
      </c>
      <c r="AH15" s="39">
        <f>AG15+AH13-AH14</f>
        <v/>
      </c>
      <c r="AI15" s="39">
        <f>AH15+AI13-AI14</f>
        <v/>
      </c>
      <c r="AJ15" s="39">
        <f>AI15+AJ13-AJ14</f>
        <v/>
      </c>
      <c r="AK15" s="39">
        <f>AJ15+AK13-AK14</f>
        <v/>
      </c>
      <c r="AL15" s="39">
        <f>AK15+AL13-AL14</f>
        <v/>
      </c>
      <c r="AM15" s="39">
        <f>AL15+AM13-AM14</f>
        <v/>
      </c>
      <c r="AN15" s="39">
        <f>AM15+AN13-AN14</f>
        <v/>
      </c>
      <c r="AO15" s="39">
        <f>AN15+AO13-AO14</f>
        <v/>
      </c>
      <c r="AP15" s="39">
        <f>AO15+AP13-AP14</f>
        <v/>
      </c>
      <c r="AQ15" s="39">
        <f>AP15+AQ13-AQ14</f>
        <v/>
      </c>
      <c r="AR15" s="39">
        <f>AQ15+AR13-AR14</f>
        <v/>
      </c>
      <c r="AS15" s="39">
        <f>AR15+AS13-AS14</f>
        <v/>
      </c>
      <c r="AT15" s="39">
        <f>AS15+AT13-AT14</f>
        <v/>
      </c>
      <c r="AU15" s="39">
        <f>AT15+AU13-AU14</f>
        <v/>
      </c>
      <c r="AV15" s="39">
        <f>AU15+AV13-AV14</f>
        <v/>
      </c>
      <c r="AW15" s="39">
        <f>AV15+AW13-AW14</f>
        <v/>
      </c>
      <c r="AX15" s="39">
        <f>AW15+AX13-AX14</f>
        <v/>
      </c>
      <c r="AY15" s="39">
        <f>AX15+AY13-AY14</f>
        <v/>
      </c>
      <c r="AZ15" s="39">
        <f>AY15+AZ13-AZ14</f>
        <v/>
      </c>
      <c r="BA15" s="39">
        <f>AZ15+BA13-BA14</f>
        <v/>
      </c>
      <c r="BB15" s="39">
        <f>BA15+BB13-BB14</f>
        <v/>
      </c>
      <c r="BC15" s="39">
        <f>BB15+BC13-BC14</f>
        <v/>
      </c>
      <c r="BD15" s="39">
        <f>BC15+BD13-BD14</f>
        <v/>
      </c>
      <c r="BE15" s="39">
        <f>BD15+BE13-BE14</f>
        <v/>
      </c>
      <c r="BF15" s="39">
        <f>BE15+BF13-BF14</f>
        <v/>
      </c>
      <c r="BG15" s="39">
        <f>BF15+BG13-BG14</f>
        <v/>
      </c>
      <c r="BH15" s="39">
        <f>BG15+BH13-BH14</f>
        <v/>
      </c>
      <c r="BI15" s="39">
        <f>BH15+BI13-BI14</f>
        <v/>
      </c>
      <c r="BJ15" s="39">
        <f>BI15+BJ13-BJ14</f>
        <v/>
      </c>
      <c r="BK15" s="39">
        <f>BJ15+BK13-BK14</f>
        <v/>
      </c>
      <c r="BL15" s="39">
        <f>BK15+BL13-BL14</f>
        <v/>
      </c>
    </row>
    <row r="16">
      <c r="A16" s="55" t="inlineStr">
        <is>
          <t>Interest (LCY)</t>
        </is>
      </c>
      <c r="B16" s="26" t="inlineStr">
        <is>
          <t>LCY</t>
        </is>
      </c>
      <c r="C16" s="58">
        <f>SUM(E16:BL16)</f>
        <v/>
      </c>
      <c r="E16" s="39">
        <f>D15*Inputs!$C$46/12*Timeline!E$8</f>
        <v/>
      </c>
      <c r="F16" s="39">
        <f>E15*Inputs!$C$46/12*Timeline!F$8</f>
        <v/>
      </c>
      <c r="G16" s="39">
        <f>F15*Inputs!$C$46/12*Timeline!G$8</f>
        <v/>
      </c>
      <c r="H16" s="39">
        <f>G15*Inputs!$C$46/12*Timeline!H$8</f>
        <v/>
      </c>
      <c r="I16" s="39">
        <f>H15*Inputs!$C$46/12*Timeline!I$8</f>
        <v/>
      </c>
      <c r="J16" s="39">
        <f>I15*Inputs!$C$46/12*Timeline!J$8</f>
        <v/>
      </c>
      <c r="K16" s="39">
        <f>J15*Inputs!$C$46/12*Timeline!K$8</f>
        <v/>
      </c>
      <c r="L16" s="39">
        <f>K15*Inputs!$C$46/12*Timeline!L$8</f>
        <v/>
      </c>
      <c r="M16" s="39">
        <f>L15*Inputs!$C$46/12*Timeline!M$8</f>
        <v/>
      </c>
      <c r="N16" s="39">
        <f>M15*Inputs!$C$46/12*Timeline!N$8</f>
        <v/>
      </c>
      <c r="O16" s="39">
        <f>N15*Inputs!$C$46/12*Timeline!O$8</f>
        <v/>
      </c>
      <c r="P16" s="39">
        <f>O15*Inputs!$C$46/12*Timeline!P$8</f>
        <v/>
      </c>
      <c r="Q16" s="39">
        <f>P15*Inputs!$C$46/12*Timeline!Q$8</f>
        <v/>
      </c>
      <c r="R16" s="39">
        <f>Q15*Inputs!$C$46/12*Timeline!R$8</f>
        <v/>
      </c>
      <c r="S16" s="39">
        <f>R15*Inputs!$C$46/12*Timeline!S$8</f>
        <v/>
      </c>
      <c r="T16" s="39">
        <f>S15*Inputs!$C$46/12*Timeline!T$8</f>
        <v/>
      </c>
      <c r="U16" s="39">
        <f>T15*Inputs!$C$46/12*Timeline!U$8</f>
        <v/>
      </c>
      <c r="V16" s="39">
        <f>U15*Inputs!$C$46/12*Timeline!V$8</f>
        <v/>
      </c>
      <c r="W16" s="39">
        <f>V15*Inputs!$C$46/12*Timeline!W$8</f>
        <v/>
      </c>
      <c r="X16" s="39">
        <f>W15*Inputs!$C$46/12*Timeline!X$8</f>
        <v/>
      </c>
      <c r="Y16" s="39">
        <f>X15*Inputs!$C$46/12*Timeline!Y$8</f>
        <v/>
      </c>
      <c r="Z16" s="39">
        <f>Y15*Inputs!$C$46/12*Timeline!Z$8</f>
        <v/>
      </c>
      <c r="AA16" s="39">
        <f>Z15*Inputs!$C$46/12*Timeline!AA$8</f>
        <v/>
      </c>
      <c r="AB16" s="39">
        <f>AA15*Inputs!$C$46/12*Timeline!AB$8</f>
        <v/>
      </c>
      <c r="AC16" s="39">
        <f>AB15*Inputs!$C$46/12*Timeline!AC$8</f>
        <v/>
      </c>
      <c r="AD16" s="39">
        <f>AC15*Inputs!$C$46/12*Timeline!AD$8</f>
        <v/>
      </c>
      <c r="AE16" s="39">
        <f>AD15*Inputs!$C$46/12*Timeline!AE$8</f>
        <v/>
      </c>
      <c r="AF16" s="39">
        <f>AE15*Inputs!$C$46/12*Timeline!AF$8</f>
        <v/>
      </c>
      <c r="AG16" s="39">
        <f>AF15*Inputs!$C$46/12*Timeline!AG$8</f>
        <v/>
      </c>
      <c r="AH16" s="39">
        <f>AG15*Inputs!$C$46/12*Timeline!AH$8</f>
        <v/>
      </c>
      <c r="AI16" s="39">
        <f>AH15*Inputs!$C$46/12*Timeline!AI$8</f>
        <v/>
      </c>
      <c r="AJ16" s="39">
        <f>AI15*Inputs!$C$46/12*Timeline!AJ$8</f>
        <v/>
      </c>
      <c r="AK16" s="39">
        <f>AJ15*Inputs!$C$46/12*Timeline!AK$8</f>
        <v/>
      </c>
      <c r="AL16" s="39">
        <f>AK15*Inputs!$C$46/12*Timeline!AL$8</f>
        <v/>
      </c>
      <c r="AM16" s="39">
        <f>AL15*Inputs!$C$46/12*Timeline!AM$8</f>
        <v/>
      </c>
      <c r="AN16" s="39">
        <f>AM15*Inputs!$C$46/12*Timeline!AN$8</f>
        <v/>
      </c>
      <c r="AO16" s="39">
        <f>AN15*Inputs!$C$46/12*Timeline!AO$8</f>
        <v/>
      </c>
      <c r="AP16" s="39">
        <f>AO15*Inputs!$C$46/12*Timeline!AP$8</f>
        <v/>
      </c>
      <c r="AQ16" s="39">
        <f>AP15*Inputs!$C$46/12*Timeline!AQ$8</f>
        <v/>
      </c>
      <c r="AR16" s="39">
        <f>AQ15*Inputs!$C$46/12*Timeline!AR$8</f>
        <v/>
      </c>
      <c r="AS16" s="39">
        <f>AR15*Inputs!$C$46/12*Timeline!AS$8</f>
        <v/>
      </c>
      <c r="AT16" s="39">
        <f>AS15*Inputs!$C$46/12*Timeline!AT$8</f>
        <v/>
      </c>
      <c r="AU16" s="39">
        <f>AT15*Inputs!$C$46/12*Timeline!AU$8</f>
        <v/>
      </c>
      <c r="AV16" s="39">
        <f>AU15*Inputs!$C$46/12*Timeline!AV$8</f>
        <v/>
      </c>
      <c r="AW16" s="39">
        <f>AV15*Inputs!$C$46/12*Timeline!AW$8</f>
        <v/>
      </c>
      <c r="AX16" s="39">
        <f>AW15*Inputs!$C$46/12*Timeline!AX$8</f>
        <v/>
      </c>
      <c r="AY16" s="39">
        <f>AX15*Inputs!$C$46/12*Timeline!AY$8</f>
        <v/>
      </c>
      <c r="AZ16" s="39">
        <f>AY15*Inputs!$C$46/12*Timeline!AZ$8</f>
        <v/>
      </c>
      <c r="BA16" s="39">
        <f>AZ15*Inputs!$C$46/12*Timeline!BA$8</f>
        <v/>
      </c>
      <c r="BB16" s="39">
        <f>BA15*Inputs!$C$46/12*Timeline!BB$8</f>
        <v/>
      </c>
      <c r="BC16" s="39">
        <f>BB15*Inputs!$C$46/12*Timeline!BC$8</f>
        <v/>
      </c>
      <c r="BD16" s="39">
        <f>BC15*Inputs!$C$46/12*Timeline!BD$8</f>
        <v/>
      </c>
      <c r="BE16" s="39">
        <f>BD15*Inputs!$C$46/12*Timeline!BE$8</f>
        <v/>
      </c>
      <c r="BF16" s="39">
        <f>BE15*Inputs!$C$46/12*Timeline!BF$8</f>
        <v/>
      </c>
      <c r="BG16" s="39">
        <f>BF15*Inputs!$C$46/12*Timeline!BG$8</f>
        <v/>
      </c>
      <c r="BH16" s="39">
        <f>BG15*Inputs!$C$46/12*Timeline!BH$8</f>
        <v/>
      </c>
      <c r="BI16" s="39">
        <f>BH15*Inputs!$C$46/12*Timeline!BI$8</f>
        <v/>
      </c>
      <c r="BJ16" s="39">
        <f>BI15*Inputs!$C$46/12*Timeline!BJ$8</f>
        <v/>
      </c>
      <c r="BK16" s="39">
        <f>BJ15*Inputs!$C$46/12*Timeline!BK$8</f>
        <v/>
      </c>
      <c r="BL16" s="39">
        <f>BK15*Inputs!$C$46/12*Timeline!BL$8</f>
        <v/>
      </c>
    </row>
    <row r="17">
      <c r="A17" s="55" t="inlineStr">
        <is>
          <t>Drawdown (LCY)</t>
        </is>
      </c>
      <c r="B17" s="26" t="inlineStr">
        <is>
          <t>LCY</t>
        </is>
      </c>
      <c r="C17" s="58">
        <f>SUM(E17:BL17)</f>
        <v/>
      </c>
      <c r="E17" s="39">
        <f>E13*Timeline!E$8</f>
        <v/>
      </c>
      <c r="F17" s="39">
        <f>F13*Timeline!F$8</f>
        <v/>
      </c>
      <c r="G17" s="39">
        <f>G13*Timeline!G$8</f>
        <v/>
      </c>
      <c r="H17" s="39">
        <f>H13*Timeline!H$8</f>
        <v/>
      </c>
      <c r="I17" s="39">
        <f>I13*Timeline!I$8</f>
        <v/>
      </c>
      <c r="J17" s="39">
        <f>J13*Timeline!J$8</f>
        <v/>
      </c>
      <c r="K17" s="39">
        <f>K13*Timeline!K$8</f>
        <v/>
      </c>
      <c r="L17" s="39">
        <f>L13*Timeline!L$8</f>
        <v/>
      </c>
      <c r="M17" s="39">
        <f>M13*Timeline!M$8</f>
        <v/>
      </c>
      <c r="N17" s="39">
        <f>N13*Timeline!N$8</f>
        <v/>
      </c>
      <c r="O17" s="39">
        <f>O13*Timeline!O$8</f>
        <v/>
      </c>
      <c r="P17" s="39">
        <f>P13*Timeline!P$8</f>
        <v/>
      </c>
      <c r="Q17" s="39">
        <f>Q13*Timeline!Q$8</f>
        <v/>
      </c>
      <c r="R17" s="39">
        <f>R13*Timeline!R$8</f>
        <v/>
      </c>
      <c r="S17" s="39">
        <f>S13*Timeline!S$8</f>
        <v/>
      </c>
      <c r="T17" s="39">
        <f>T13*Timeline!T$8</f>
        <v/>
      </c>
      <c r="U17" s="39">
        <f>U13*Timeline!U$8</f>
        <v/>
      </c>
      <c r="V17" s="39">
        <f>V13*Timeline!V$8</f>
        <v/>
      </c>
      <c r="W17" s="39">
        <f>W13*Timeline!W$8</f>
        <v/>
      </c>
      <c r="X17" s="39">
        <f>X13*Timeline!X$8</f>
        <v/>
      </c>
      <c r="Y17" s="39">
        <f>Y13*Timeline!Y$8</f>
        <v/>
      </c>
      <c r="Z17" s="39">
        <f>Z13*Timeline!Z$8</f>
        <v/>
      </c>
      <c r="AA17" s="39">
        <f>AA13*Timeline!AA$8</f>
        <v/>
      </c>
      <c r="AB17" s="39">
        <f>AB13*Timeline!AB$8</f>
        <v/>
      </c>
      <c r="AC17" s="39">
        <f>AC13*Timeline!AC$8</f>
        <v/>
      </c>
      <c r="AD17" s="39">
        <f>AD13*Timeline!AD$8</f>
        <v/>
      </c>
      <c r="AE17" s="39">
        <f>AE13*Timeline!AE$8</f>
        <v/>
      </c>
      <c r="AF17" s="39">
        <f>AF13*Timeline!AF$8</f>
        <v/>
      </c>
      <c r="AG17" s="39">
        <f>AG13*Timeline!AG$8</f>
        <v/>
      </c>
      <c r="AH17" s="39">
        <f>AH13*Timeline!AH$8</f>
        <v/>
      </c>
      <c r="AI17" s="39">
        <f>AI13*Timeline!AI$8</f>
        <v/>
      </c>
      <c r="AJ17" s="39">
        <f>AJ13*Timeline!AJ$8</f>
        <v/>
      </c>
      <c r="AK17" s="39">
        <f>AK13*Timeline!AK$8</f>
        <v/>
      </c>
      <c r="AL17" s="39">
        <f>AL13*Timeline!AL$8</f>
        <v/>
      </c>
      <c r="AM17" s="39">
        <f>AM13*Timeline!AM$8</f>
        <v/>
      </c>
      <c r="AN17" s="39">
        <f>AN13*Timeline!AN$8</f>
        <v/>
      </c>
      <c r="AO17" s="39">
        <f>AO13*Timeline!AO$8</f>
        <v/>
      </c>
      <c r="AP17" s="39">
        <f>AP13*Timeline!AP$8</f>
        <v/>
      </c>
      <c r="AQ17" s="39">
        <f>AQ13*Timeline!AQ$8</f>
        <v/>
      </c>
      <c r="AR17" s="39">
        <f>AR13*Timeline!AR$8</f>
        <v/>
      </c>
      <c r="AS17" s="39">
        <f>AS13*Timeline!AS$8</f>
        <v/>
      </c>
      <c r="AT17" s="39">
        <f>AT13*Timeline!AT$8</f>
        <v/>
      </c>
      <c r="AU17" s="39">
        <f>AU13*Timeline!AU$8</f>
        <v/>
      </c>
      <c r="AV17" s="39">
        <f>AV13*Timeline!AV$8</f>
        <v/>
      </c>
      <c r="AW17" s="39">
        <f>AW13*Timeline!AW$8</f>
        <v/>
      </c>
      <c r="AX17" s="39">
        <f>AX13*Timeline!AX$8</f>
        <v/>
      </c>
      <c r="AY17" s="39">
        <f>AY13*Timeline!AY$8</f>
        <v/>
      </c>
      <c r="AZ17" s="39">
        <f>AZ13*Timeline!AZ$8</f>
        <v/>
      </c>
      <c r="BA17" s="39">
        <f>BA13*Timeline!BA$8</f>
        <v/>
      </c>
      <c r="BB17" s="39">
        <f>BB13*Timeline!BB$8</f>
        <v/>
      </c>
      <c r="BC17" s="39">
        <f>BC13*Timeline!BC$8</f>
        <v/>
      </c>
      <c r="BD17" s="39">
        <f>BD13*Timeline!BD$8</f>
        <v/>
      </c>
      <c r="BE17" s="39">
        <f>BE13*Timeline!BE$8</f>
        <v/>
      </c>
      <c r="BF17" s="39">
        <f>BF13*Timeline!BF$8</f>
        <v/>
      </c>
      <c r="BG17" s="39">
        <f>BG13*Timeline!BG$8</f>
        <v/>
      </c>
      <c r="BH17" s="39">
        <f>BH13*Timeline!BH$8</f>
        <v/>
      </c>
      <c r="BI17" s="39">
        <f>BI13*Timeline!BI$8</f>
        <v/>
      </c>
      <c r="BJ17" s="39">
        <f>BJ13*Timeline!BJ$8</f>
        <v/>
      </c>
      <c r="BK17" s="39">
        <f>BK13*Timeline!BK$8</f>
        <v/>
      </c>
      <c r="BL17" s="39">
        <f>BL13*Timeline!BL$8</f>
        <v/>
      </c>
    </row>
    <row r="18">
      <c r="A18" s="55" t="inlineStr">
        <is>
          <t>Repayment (LCY)</t>
        </is>
      </c>
      <c r="B18" s="26" t="inlineStr">
        <is>
          <t>LCY</t>
        </is>
      </c>
      <c r="C18" s="58">
        <f>SUM(E18:BL18)</f>
        <v/>
      </c>
      <c r="E18" s="39">
        <f>E14*Timeline!E$8</f>
        <v/>
      </c>
      <c r="F18" s="39">
        <f>F14*Timeline!F$8</f>
        <v/>
      </c>
      <c r="G18" s="39">
        <f>G14*Timeline!G$8</f>
        <v/>
      </c>
      <c r="H18" s="39">
        <f>H14*Timeline!H$8</f>
        <v/>
      </c>
      <c r="I18" s="39">
        <f>I14*Timeline!I$8</f>
        <v/>
      </c>
      <c r="J18" s="39">
        <f>J14*Timeline!J$8</f>
        <v/>
      </c>
      <c r="K18" s="39">
        <f>K14*Timeline!K$8</f>
        <v/>
      </c>
      <c r="L18" s="39">
        <f>L14*Timeline!L$8</f>
        <v/>
      </c>
      <c r="M18" s="39">
        <f>M14*Timeline!M$8</f>
        <v/>
      </c>
      <c r="N18" s="39">
        <f>N14*Timeline!N$8</f>
        <v/>
      </c>
      <c r="O18" s="39">
        <f>O14*Timeline!O$8</f>
        <v/>
      </c>
      <c r="P18" s="39">
        <f>P14*Timeline!P$8</f>
        <v/>
      </c>
      <c r="Q18" s="39">
        <f>Q14*Timeline!Q$8</f>
        <v/>
      </c>
      <c r="R18" s="39">
        <f>R14*Timeline!R$8</f>
        <v/>
      </c>
      <c r="S18" s="39">
        <f>S14*Timeline!S$8</f>
        <v/>
      </c>
      <c r="T18" s="39">
        <f>T14*Timeline!T$8</f>
        <v/>
      </c>
      <c r="U18" s="39">
        <f>U14*Timeline!U$8</f>
        <v/>
      </c>
      <c r="V18" s="39">
        <f>V14*Timeline!V$8</f>
        <v/>
      </c>
      <c r="W18" s="39">
        <f>W14*Timeline!W$8</f>
        <v/>
      </c>
      <c r="X18" s="39">
        <f>X14*Timeline!X$8</f>
        <v/>
      </c>
      <c r="Y18" s="39">
        <f>Y14*Timeline!Y$8</f>
        <v/>
      </c>
      <c r="Z18" s="39">
        <f>Z14*Timeline!Z$8</f>
        <v/>
      </c>
      <c r="AA18" s="39">
        <f>AA14*Timeline!AA$8</f>
        <v/>
      </c>
      <c r="AB18" s="39">
        <f>AB14*Timeline!AB$8</f>
        <v/>
      </c>
      <c r="AC18" s="39">
        <f>AC14*Timeline!AC$8</f>
        <v/>
      </c>
      <c r="AD18" s="39">
        <f>AD14*Timeline!AD$8</f>
        <v/>
      </c>
      <c r="AE18" s="39">
        <f>AE14*Timeline!AE$8</f>
        <v/>
      </c>
      <c r="AF18" s="39">
        <f>AF14*Timeline!AF$8</f>
        <v/>
      </c>
      <c r="AG18" s="39">
        <f>AG14*Timeline!AG$8</f>
        <v/>
      </c>
      <c r="AH18" s="39">
        <f>AH14*Timeline!AH$8</f>
        <v/>
      </c>
      <c r="AI18" s="39">
        <f>AI14*Timeline!AI$8</f>
        <v/>
      </c>
      <c r="AJ18" s="39">
        <f>AJ14*Timeline!AJ$8</f>
        <v/>
      </c>
      <c r="AK18" s="39">
        <f>AK14*Timeline!AK$8</f>
        <v/>
      </c>
      <c r="AL18" s="39">
        <f>AL14*Timeline!AL$8</f>
        <v/>
      </c>
      <c r="AM18" s="39">
        <f>AM14*Timeline!AM$8</f>
        <v/>
      </c>
      <c r="AN18" s="39">
        <f>AN14*Timeline!AN$8</f>
        <v/>
      </c>
      <c r="AO18" s="39">
        <f>AO14*Timeline!AO$8</f>
        <v/>
      </c>
      <c r="AP18" s="39">
        <f>AP14*Timeline!AP$8</f>
        <v/>
      </c>
      <c r="AQ18" s="39">
        <f>AQ14*Timeline!AQ$8</f>
        <v/>
      </c>
      <c r="AR18" s="39">
        <f>AR14*Timeline!AR$8</f>
        <v/>
      </c>
      <c r="AS18" s="39">
        <f>AS14*Timeline!AS$8</f>
        <v/>
      </c>
      <c r="AT18" s="39">
        <f>AT14*Timeline!AT$8</f>
        <v/>
      </c>
      <c r="AU18" s="39">
        <f>AU14*Timeline!AU$8</f>
        <v/>
      </c>
      <c r="AV18" s="39">
        <f>AV14*Timeline!AV$8</f>
        <v/>
      </c>
      <c r="AW18" s="39">
        <f>AW14*Timeline!AW$8</f>
        <v/>
      </c>
      <c r="AX18" s="39">
        <f>AX14*Timeline!AX$8</f>
        <v/>
      </c>
      <c r="AY18" s="39">
        <f>AY14*Timeline!AY$8</f>
        <v/>
      </c>
      <c r="AZ18" s="39">
        <f>AZ14*Timeline!AZ$8</f>
        <v/>
      </c>
      <c r="BA18" s="39">
        <f>BA14*Timeline!BA$8</f>
        <v/>
      </c>
      <c r="BB18" s="39">
        <f>BB14*Timeline!BB$8</f>
        <v/>
      </c>
      <c r="BC18" s="39">
        <f>BC14*Timeline!BC$8</f>
        <v/>
      </c>
      <c r="BD18" s="39">
        <f>BD14*Timeline!BD$8</f>
        <v/>
      </c>
      <c r="BE18" s="39">
        <f>BE14*Timeline!BE$8</f>
        <v/>
      </c>
      <c r="BF18" s="39">
        <f>BF14*Timeline!BF$8</f>
        <v/>
      </c>
      <c r="BG18" s="39">
        <f>BG14*Timeline!BG$8</f>
        <v/>
      </c>
      <c r="BH18" s="39">
        <f>BH14*Timeline!BH$8</f>
        <v/>
      </c>
      <c r="BI18" s="39">
        <f>BI14*Timeline!BI$8</f>
        <v/>
      </c>
      <c r="BJ18" s="39">
        <f>BJ14*Timeline!BJ$8</f>
        <v/>
      </c>
      <c r="BK18" s="39">
        <f>BK14*Timeline!BK$8</f>
        <v/>
      </c>
      <c r="BL18" s="39">
        <f>BL14*Timeline!BL$8</f>
        <v/>
      </c>
    </row>
    <row r="19">
      <c r="A19" s="55" t="inlineStr">
        <is>
          <t>Closing balance (LCY)</t>
        </is>
      </c>
      <c r="B19" s="26" t="inlineStr">
        <is>
          <t>LCY</t>
        </is>
      </c>
      <c r="C19" s="58">
        <f>BL19</f>
        <v/>
      </c>
      <c r="E19" s="39">
        <f>E15*Timeline!E$8</f>
        <v/>
      </c>
      <c r="F19" s="39">
        <f>F15*Timeline!F$8</f>
        <v/>
      </c>
      <c r="G19" s="39">
        <f>G15*Timeline!G$8</f>
        <v/>
      </c>
      <c r="H19" s="39">
        <f>H15*Timeline!H$8</f>
        <v/>
      </c>
      <c r="I19" s="39">
        <f>I15*Timeline!I$8</f>
        <v/>
      </c>
      <c r="J19" s="39">
        <f>J15*Timeline!J$8</f>
        <v/>
      </c>
      <c r="K19" s="39">
        <f>K15*Timeline!K$8</f>
        <v/>
      </c>
      <c r="L19" s="39">
        <f>L15*Timeline!L$8</f>
        <v/>
      </c>
      <c r="M19" s="39">
        <f>M15*Timeline!M$8</f>
        <v/>
      </c>
      <c r="N19" s="39">
        <f>N15*Timeline!N$8</f>
        <v/>
      </c>
      <c r="O19" s="39">
        <f>O15*Timeline!O$8</f>
        <v/>
      </c>
      <c r="P19" s="39">
        <f>P15*Timeline!P$8</f>
        <v/>
      </c>
      <c r="Q19" s="39">
        <f>Q15*Timeline!Q$8</f>
        <v/>
      </c>
      <c r="R19" s="39">
        <f>R15*Timeline!R$8</f>
        <v/>
      </c>
      <c r="S19" s="39">
        <f>S15*Timeline!S$8</f>
        <v/>
      </c>
      <c r="T19" s="39">
        <f>T15*Timeline!T$8</f>
        <v/>
      </c>
      <c r="U19" s="39">
        <f>U15*Timeline!U$8</f>
        <v/>
      </c>
      <c r="V19" s="39">
        <f>V15*Timeline!V$8</f>
        <v/>
      </c>
      <c r="W19" s="39">
        <f>W15*Timeline!W$8</f>
        <v/>
      </c>
      <c r="X19" s="39">
        <f>X15*Timeline!X$8</f>
        <v/>
      </c>
      <c r="Y19" s="39">
        <f>Y15*Timeline!Y$8</f>
        <v/>
      </c>
      <c r="Z19" s="39">
        <f>Z15*Timeline!Z$8</f>
        <v/>
      </c>
      <c r="AA19" s="39">
        <f>AA15*Timeline!AA$8</f>
        <v/>
      </c>
      <c r="AB19" s="39">
        <f>AB15*Timeline!AB$8</f>
        <v/>
      </c>
      <c r="AC19" s="39">
        <f>AC15*Timeline!AC$8</f>
        <v/>
      </c>
      <c r="AD19" s="39">
        <f>AD15*Timeline!AD$8</f>
        <v/>
      </c>
      <c r="AE19" s="39">
        <f>AE15*Timeline!AE$8</f>
        <v/>
      </c>
      <c r="AF19" s="39">
        <f>AF15*Timeline!AF$8</f>
        <v/>
      </c>
      <c r="AG19" s="39">
        <f>AG15*Timeline!AG$8</f>
        <v/>
      </c>
      <c r="AH19" s="39">
        <f>AH15*Timeline!AH$8</f>
        <v/>
      </c>
      <c r="AI19" s="39">
        <f>AI15*Timeline!AI$8</f>
        <v/>
      </c>
      <c r="AJ19" s="39">
        <f>AJ15*Timeline!AJ$8</f>
        <v/>
      </c>
      <c r="AK19" s="39">
        <f>AK15*Timeline!AK$8</f>
        <v/>
      </c>
      <c r="AL19" s="39">
        <f>AL15*Timeline!AL$8</f>
        <v/>
      </c>
      <c r="AM19" s="39">
        <f>AM15*Timeline!AM$8</f>
        <v/>
      </c>
      <c r="AN19" s="39">
        <f>AN15*Timeline!AN$8</f>
        <v/>
      </c>
      <c r="AO19" s="39">
        <f>AO15*Timeline!AO$8</f>
        <v/>
      </c>
      <c r="AP19" s="39">
        <f>AP15*Timeline!AP$8</f>
        <v/>
      </c>
      <c r="AQ19" s="39">
        <f>AQ15*Timeline!AQ$8</f>
        <v/>
      </c>
      <c r="AR19" s="39">
        <f>AR15*Timeline!AR$8</f>
        <v/>
      </c>
      <c r="AS19" s="39">
        <f>AS15*Timeline!AS$8</f>
        <v/>
      </c>
      <c r="AT19" s="39">
        <f>AT15*Timeline!AT$8</f>
        <v/>
      </c>
      <c r="AU19" s="39">
        <f>AU15*Timeline!AU$8</f>
        <v/>
      </c>
      <c r="AV19" s="39">
        <f>AV15*Timeline!AV$8</f>
        <v/>
      </c>
      <c r="AW19" s="39">
        <f>AW15*Timeline!AW$8</f>
        <v/>
      </c>
      <c r="AX19" s="39">
        <f>AX15*Timeline!AX$8</f>
        <v/>
      </c>
      <c r="AY19" s="39">
        <f>AY15*Timeline!AY$8</f>
        <v/>
      </c>
      <c r="AZ19" s="39">
        <f>AZ15*Timeline!AZ$8</f>
        <v/>
      </c>
      <c r="BA19" s="39">
        <f>BA15*Timeline!BA$8</f>
        <v/>
      </c>
      <c r="BB19" s="39">
        <f>BB15*Timeline!BB$8</f>
        <v/>
      </c>
      <c r="BC19" s="39">
        <f>BC15*Timeline!BC$8</f>
        <v/>
      </c>
      <c r="BD19" s="39">
        <f>BD15*Timeline!BD$8</f>
        <v/>
      </c>
      <c r="BE19" s="39">
        <f>BE15*Timeline!BE$8</f>
        <v/>
      </c>
      <c r="BF19" s="39">
        <f>BF15*Timeline!BF$8</f>
        <v/>
      </c>
      <c r="BG19" s="39">
        <f>BG15*Timeline!BG$8</f>
        <v/>
      </c>
      <c r="BH19" s="39">
        <f>BH15*Timeline!BH$8</f>
        <v/>
      </c>
      <c r="BI19" s="39">
        <f>BI15*Timeline!BI$8</f>
        <v/>
      </c>
      <c r="BJ19" s="39">
        <f>BJ15*Timeline!BJ$8</f>
        <v/>
      </c>
      <c r="BK19" s="39">
        <f>BK15*Timeline!BK$8</f>
        <v/>
      </c>
      <c r="BL19" s="39">
        <f>BL15*Timeline!BL$8</f>
        <v/>
      </c>
    </row>
    <row r="20">
      <c r="A20" s="55" t="inlineStr">
        <is>
          <t>Unrealised FX loss / (gain) on USD debt (LCY)</t>
        </is>
      </c>
      <c r="B20" s="26" t="inlineStr">
        <is>
          <t>LCY</t>
        </is>
      </c>
      <c r="C20" s="58">
        <f>SUM(E20:BL20)</f>
        <v/>
      </c>
      <c r="E20" s="39">
        <f>D15*(Timeline!E$8-Timeline!D$8)</f>
        <v/>
      </c>
      <c r="F20" s="39">
        <f>E15*(Timeline!F$8-Timeline!E$8)</f>
        <v/>
      </c>
      <c r="G20" s="39">
        <f>F15*(Timeline!G$8-Timeline!F$8)</f>
        <v/>
      </c>
      <c r="H20" s="39">
        <f>G15*(Timeline!H$8-Timeline!G$8)</f>
        <v/>
      </c>
      <c r="I20" s="39">
        <f>H15*(Timeline!I$8-Timeline!H$8)</f>
        <v/>
      </c>
      <c r="J20" s="39">
        <f>I15*(Timeline!J$8-Timeline!I$8)</f>
        <v/>
      </c>
      <c r="K20" s="39">
        <f>J15*(Timeline!K$8-Timeline!J$8)</f>
        <v/>
      </c>
      <c r="L20" s="39">
        <f>K15*(Timeline!L$8-Timeline!K$8)</f>
        <v/>
      </c>
      <c r="M20" s="39">
        <f>L15*(Timeline!M$8-Timeline!L$8)</f>
        <v/>
      </c>
      <c r="N20" s="39">
        <f>M15*(Timeline!N$8-Timeline!M$8)</f>
        <v/>
      </c>
      <c r="O20" s="39">
        <f>N15*(Timeline!O$8-Timeline!N$8)</f>
        <v/>
      </c>
      <c r="P20" s="39">
        <f>O15*(Timeline!P$8-Timeline!O$8)</f>
        <v/>
      </c>
      <c r="Q20" s="39">
        <f>P15*(Timeline!Q$8-Timeline!P$8)</f>
        <v/>
      </c>
      <c r="R20" s="39">
        <f>Q15*(Timeline!R$8-Timeline!Q$8)</f>
        <v/>
      </c>
      <c r="S20" s="39">
        <f>R15*(Timeline!S$8-Timeline!R$8)</f>
        <v/>
      </c>
      <c r="T20" s="39">
        <f>S15*(Timeline!T$8-Timeline!S$8)</f>
        <v/>
      </c>
      <c r="U20" s="39">
        <f>T15*(Timeline!U$8-Timeline!T$8)</f>
        <v/>
      </c>
      <c r="V20" s="39">
        <f>U15*(Timeline!V$8-Timeline!U$8)</f>
        <v/>
      </c>
      <c r="W20" s="39">
        <f>V15*(Timeline!W$8-Timeline!V$8)</f>
        <v/>
      </c>
      <c r="X20" s="39">
        <f>W15*(Timeline!X$8-Timeline!W$8)</f>
        <v/>
      </c>
      <c r="Y20" s="39">
        <f>X15*(Timeline!Y$8-Timeline!X$8)</f>
        <v/>
      </c>
      <c r="Z20" s="39">
        <f>Y15*(Timeline!Z$8-Timeline!Y$8)</f>
        <v/>
      </c>
      <c r="AA20" s="39">
        <f>Z15*(Timeline!AA$8-Timeline!Z$8)</f>
        <v/>
      </c>
      <c r="AB20" s="39">
        <f>AA15*(Timeline!AB$8-Timeline!AA$8)</f>
        <v/>
      </c>
      <c r="AC20" s="39">
        <f>AB15*(Timeline!AC$8-Timeline!AB$8)</f>
        <v/>
      </c>
      <c r="AD20" s="39">
        <f>AC15*(Timeline!AD$8-Timeline!AC$8)</f>
        <v/>
      </c>
      <c r="AE20" s="39">
        <f>AD15*(Timeline!AE$8-Timeline!AD$8)</f>
        <v/>
      </c>
      <c r="AF20" s="39">
        <f>AE15*(Timeline!AF$8-Timeline!AE$8)</f>
        <v/>
      </c>
      <c r="AG20" s="39">
        <f>AF15*(Timeline!AG$8-Timeline!AF$8)</f>
        <v/>
      </c>
      <c r="AH20" s="39">
        <f>AG15*(Timeline!AH$8-Timeline!AG$8)</f>
        <v/>
      </c>
      <c r="AI20" s="39">
        <f>AH15*(Timeline!AI$8-Timeline!AH$8)</f>
        <v/>
      </c>
      <c r="AJ20" s="39">
        <f>AI15*(Timeline!AJ$8-Timeline!AI$8)</f>
        <v/>
      </c>
      <c r="AK20" s="39">
        <f>AJ15*(Timeline!AK$8-Timeline!AJ$8)</f>
        <v/>
      </c>
      <c r="AL20" s="39">
        <f>AK15*(Timeline!AL$8-Timeline!AK$8)</f>
        <v/>
      </c>
      <c r="AM20" s="39">
        <f>AL15*(Timeline!AM$8-Timeline!AL$8)</f>
        <v/>
      </c>
      <c r="AN20" s="39">
        <f>AM15*(Timeline!AN$8-Timeline!AM$8)</f>
        <v/>
      </c>
      <c r="AO20" s="39">
        <f>AN15*(Timeline!AO$8-Timeline!AN$8)</f>
        <v/>
      </c>
      <c r="AP20" s="39">
        <f>AO15*(Timeline!AP$8-Timeline!AO$8)</f>
        <v/>
      </c>
      <c r="AQ20" s="39">
        <f>AP15*(Timeline!AQ$8-Timeline!AP$8)</f>
        <v/>
      </c>
      <c r="AR20" s="39">
        <f>AQ15*(Timeline!AR$8-Timeline!AQ$8)</f>
        <v/>
      </c>
      <c r="AS20" s="39">
        <f>AR15*(Timeline!AS$8-Timeline!AR$8)</f>
        <v/>
      </c>
      <c r="AT20" s="39">
        <f>AS15*(Timeline!AT$8-Timeline!AS$8)</f>
        <v/>
      </c>
      <c r="AU20" s="39">
        <f>AT15*(Timeline!AU$8-Timeline!AT$8)</f>
        <v/>
      </c>
      <c r="AV20" s="39">
        <f>AU15*(Timeline!AV$8-Timeline!AU$8)</f>
        <v/>
      </c>
      <c r="AW20" s="39">
        <f>AV15*(Timeline!AW$8-Timeline!AV$8)</f>
        <v/>
      </c>
      <c r="AX20" s="39">
        <f>AW15*(Timeline!AX$8-Timeline!AW$8)</f>
        <v/>
      </c>
      <c r="AY20" s="39">
        <f>AX15*(Timeline!AY$8-Timeline!AX$8)</f>
        <v/>
      </c>
      <c r="AZ20" s="39">
        <f>AY15*(Timeline!AZ$8-Timeline!AY$8)</f>
        <v/>
      </c>
      <c r="BA20" s="39">
        <f>AZ15*(Timeline!BA$8-Timeline!AZ$8)</f>
        <v/>
      </c>
      <c r="BB20" s="39">
        <f>BA15*(Timeline!BB$8-Timeline!BA$8)</f>
        <v/>
      </c>
      <c r="BC20" s="39">
        <f>BB15*(Timeline!BC$8-Timeline!BB$8)</f>
        <v/>
      </c>
      <c r="BD20" s="39">
        <f>BC15*(Timeline!BD$8-Timeline!BC$8)</f>
        <v/>
      </c>
      <c r="BE20" s="39">
        <f>BD15*(Timeline!BE$8-Timeline!BD$8)</f>
        <v/>
      </c>
      <c r="BF20" s="39">
        <f>BE15*(Timeline!BF$8-Timeline!BE$8)</f>
        <v/>
      </c>
      <c r="BG20" s="39">
        <f>BF15*(Timeline!BG$8-Timeline!BF$8)</f>
        <v/>
      </c>
      <c r="BH20" s="39">
        <f>BG15*(Timeline!BH$8-Timeline!BG$8)</f>
        <v/>
      </c>
      <c r="BI20" s="39">
        <f>BH15*(Timeline!BI$8-Timeline!BH$8)</f>
        <v/>
      </c>
      <c r="BJ20" s="39">
        <f>BI15*(Timeline!BJ$8-Timeline!BI$8)</f>
        <v/>
      </c>
      <c r="BK20" s="39">
        <f>BJ15*(Timeline!BK$8-Timeline!BJ$8)</f>
        <v/>
      </c>
      <c r="BL20" s="39">
        <f>BK15*(Timeline!BL$8-Timeline!BK$8)</f>
        <v/>
      </c>
    </row>
    <row r="21">
      <c r="A21" s="14" t="inlineStr">
        <is>
          <t>RECEIVABLES FACILITY (LCY)</t>
        </is>
      </c>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c r="AA21" s="15" t="n"/>
      <c r="AB21" s="15" t="n"/>
      <c r="AC21" s="15" t="n"/>
      <c r="AD21" s="15" t="n"/>
      <c r="AE21" s="15" t="n"/>
      <c r="AF21" s="15" t="n"/>
      <c r="AG21" s="15" t="n"/>
      <c r="AH21" s="15" t="n"/>
      <c r="AI21" s="15" t="n"/>
      <c r="AJ21" s="15" t="n"/>
      <c r="AK21" s="15" t="n"/>
      <c r="AL21" s="15" t="n"/>
      <c r="AM21" s="15" t="n"/>
      <c r="AN21" s="15" t="n"/>
      <c r="AO21" s="15" t="n"/>
      <c r="AP21" s="15" t="n"/>
      <c r="AQ21" s="15" t="n"/>
      <c r="AR21" s="15" t="n"/>
      <c r="AS21" s="15" t="n"/>
      <c r="AT21" s="15" t="n"/>
      <c r="AU21" s="15" t="n"/>
      <c r="AV21" s="15" t="n"/>
      <c r="AW21" s="15" t="n"/>
      <c r="AX21" s="15" t="n"/>
      <c r="AY21" s="15" t="n"/>
      <c r="AZ21" s="15" t="n"/>
      <c r="BA21" s="15" t="n"/>
      <c r="BB21" s="15" t="n"/>
      <c r="BC21" s="15" t="n"/>
      <c r="BD21" s="15" t="n"/>
      <c r="BE21" s="15" t="n"/>
      <c r="BF21" s="15" t="n"/>
      <c r="BG21" s="15" t="n"/>
      <c r="BH21" s="15" t="n"/>
      <c r="BI21" s="15" t="n"/>
      <c r="BJ21" s="15" t="n"/>
      <c r="BK21" s="15" t="n"/>
      <c r="BL21" s="15" t="n"/>
    </row>
    <row r="22">
      <c r="A22" s="55" t="inlineStr">
        <is>
          <t>Borrowing base (sum of tier contributions)</t>
        </is>
      </c>
      <c r="B22" s="26" t="inlineStr">
        <is>
          <t>LCY</t>
        </is>
      </c>
      <c r="C22" s="58">
        <f>BL22</f>
        <v/>
      </c>
      <c r="E22" s="39">
        <f>Ops!E$151</f>
        <v/>
      </c>
      <c r="F22" s="39">
        <f>Ops!F$151</f>
        <v/>
      </c>
      <c r="G22" s="39">
        <f>Ops!G$151</f>
        <v/>
      </c>
      <c r="H22" s="39">
        <f>Ops!H$151</f>
        <v/>
      </c>
      <c r="I22" s="39">
        <f>Ops!I$151</f>
        <v/>
      </c>
      <c r="J22" s="39">
        <f>Ops!J$151</f>
        <v/>
      </c>
      <c r="K22" s="39">
        <f>Ops!K$151</f>
        <v/>
      </c>
      <c r="L22" s="39">
        <f>Ops!L$151</f>
        <v/>
      </c>
      <c r="M22" s="39">
        <f>Ops!M$151</f>
        <v/>
      </c>
      <c r="N22" s="39">
        <f>Ops!N$151</f>
        <v/>
      </c>
      <c r="O22" s="39">
        <f>Ops!O$151</f>
        <v/>
      </c>
      <c r="P22" s="39">
        <f>Ops!P$151</f>
        <v/>
      </c>
      <c r="Q22" s="39">
        <f>Ops!Q$151</f>
        <v/>
      </c>
      <c r="R22" s="39">
        <f>Ops!R$151</f>
        <v/>
      </c>
      <c r="S22" s="39">
        <f>Ops!S$151</f>
        <v/>
      </c>
      <c r="T22" s="39">
        <f>Ops!T$151</f>
        <v/>
      </c>
      <c r="U22" s="39">
        <f>Ops!U$151</f>
        <v/>
      </c>
      <c r="V22" s="39">
        <f>Ops!V$151</f>
        <v/>
      </c>
      <c r="W22" s="39">
        <f>Ops!W$151</f>
        <v/>
      </c>
      <c r="X22" s="39">
        <f>Ops!X$151</f>
        <v/>
      </c>
      <c r="Y22" s="39">
        <f>Ops!Y$151</f>
        <v/>
      </c>
      <c r="Z22" s="39">
        <f>Ops!Z$151</f>
        <v/>
      </c>
      <c r="AA22" s="39">
        <f>Ops!AA$151</f>
        <v/>
      </c>
      <c r="AB22" s="39">
        <f>Ops!AB$151</f>
        <v/>
      </c>
      <c r="AC22" s="39">
        <f>Ops!AC$151</f>
        <v/>
      </c>
      <c r="AD22" s="39">
        <f>Ops!AD$151</f>
        <v/>
      </c>
      <c r="AE22" s="39">
        <f>Ops!AE$151</f>
        <v/>
      </c>
      <c r="AF22" s="39">
        <f>Ops!AF$151</f>
        <v/>
      </c>
      <c r="AG22" s="39">
        <f>Ops!AG$151</f>
        <v/>
      </c>
      <c r="AH22" s="39">
        <f>Ops!AH$151</f>
        <v/>
      </c>
      <c r="AI22" s="39">
        <f>Ops!AI$151</f>
        <v/>
      </c>
      <c r="AJ22" s="39">
        <f>Ops!AJ$151</f>
        <v/>
      </c>
      <c r="AK22" s="39">
        <f>Ops!AK$151</f>
        <v/>
      </c>
      <c r="AL22" s="39">
        <f>Ops!AL$151</f>
        <v/>
      </c>
      <c r="AM22" s="39">
        <f>Ops!AM$151</f>
        <v/>
      </c>
      <c r="AN22" s="39">
        <f>Ops!AN$151</f>
        <v/>
      </c>
      <c r="AO22" s="39">
        <f>Ops!AO$151</f>
        <v/>
      </c>
      <c r="AP22" s="39">
        <f>Ops!AP$151</f>
        <v/>
      </c>
      <c r="AQ22" s="39">
        <f>Ops!AQ$151</f>
        <v/>
      </c>
      <c r="AR22" s="39">
        <f>Ops!AR$151</f>
        <v/>
      </c>
      <c r="AS22" s="39">
        <f>Ops!AS$151</f>
        <v/>
      </c>
      <c r="AT22" s="39">
        <f>Ops!AT$151</f>
        <v/>
      </c>
      <c r="AU22" s="39">
        <f>Ops!AU$151</f>
        <v/>
      </c>
      <c r="AV22" s="39">
        <f>Ops!AV$151</f>
        <v/>
      </c>
      <c r="AW22" s="39">
        <f>Ops!AW$151</f>
        <v/>
      </c>
      <c r="AX22" s="39">
        <f>Ops!AX$151</f>
        <v/>
      </c>
      <c r="AY22" s="39">
        <f>Ops!AY$151</f>
        <v/>
      </c>
      <c r="AZ22" s="39">
        <f>Ops!AZ$151</f>
        <v/>
      </c>
      <c r="BA22" s="39">
        <f>Ops!BA$151</f>
        <v/>
      </c>
      <c r="BB22" s="39">
        <f>Ops!BB$151</f>
        <v/>
      </c>
      <c r="BC22" s="39">
        <f>Ops!BC$151</f>
        <v/>
      </c>
      <c r="BD22" s="39">
        <f>Ops!BD$151</f>
        <v/>
      </c>
      <c r="BE22" s="39">
        <f>Ops!BE$151</f>
        <v/>
      </c>
      <c r="BF22" s="39">
        <f>Ops!BF$151</f>
        <v/>
      </c>
      <c r="BG22" s="39">
        <f>Ops!BG$151</f>
        <v/>
      </c>
      <c r="BH22" s="39">
        <f>Ops!BH$151</f>
        <v/>
      </c>
      <c r="BI22" s="39">
        <f>Ops!BI$151</f>
        <v/>
      </c>
      <c r="BJ22" s="39">
        <f>Ops!BJ$151</f>
        <v/>
      </c>
      <c r="BK22" s="39">
        <f>Ops!BK$151</f>
        <v/>
      </c>
      <c r="BL22" s="39">
        <f>Ops!BL$151</f>
        <v/>
      </c>
    </row>
    <row r="23">
      <c r="A23" s="55" t="inlineStr">
        <is>
          <t>Facility drawn (closing; cash sweep within borrowing base)</t>
        </is>
      </c>
      <c r="B23" s="26" t="inlineStr">
        <is>
          <t>LCY</t>
        </is>
      </c>
      <c r="C23" s="58">
        <f>BL23</f>
        <v/>
      </c>
      <c r="E23" s="39">
        <f>IF(E$4&gt;=Inputs!$C$51,MAX(0,MIN(Inputs!$C$49,E22,D23+Inputs!$C$40-FS!E$60)),0)</f>
        <v/>
      </c>
      <c r="F23" s="39">
        <f>IF(F$4&gt;=Inputs!$C$51,MAX(0,MIN(Inputs!$C$49,F22,E23+Inputs!$C$40-FS!F$60)),0)</f>
        <v/>
      </c>
      <c r="G23" s="39">
        <f>IF(G$4&gt;=Inputs!$C$51,MAX(0,MIN(Inputs!$C$49,G22,F23+Inputs!$C$40-FS!G$60)),0)</f>
        <v/>
      </c>
      <c r="H23" s="39">
        <f>IF(H$4&gt;=Inputs!$C$51,MAX(0,MIN(Inputs!$C$49,H22,G23+Inputs!$C$40-FS!H$60)),0)</f>
        <v/>
      </c>
      <c r="I23" s="39">
        <f>IF(I$4&gt;=Inputs!$C$51,MAX(0,MIN(Inputs!$C$49,I22,H23+Inputs!$C$40-FS!I$60)),0)</f>
        <v/>
      </c>
      <c r="J23" s="39">
        <f>IF(J$4&gt;=Inputs!$C$51,MAX(0,MIN(Inputs!$C$49,J22,I23+Inputs!$C$40-FS!J$60)),0)</f>
        <v/>
      </c>
      <c r="K23" s="39">
        <f>IF(K$4&gt;=Inputs!$C$51,MAX(0,MIN(Inputs!$C$49,K22,J23+Inputs!$C$40-FS!K$60)),0)</f>
        <v/>
      </c>
      <c r="L23" s="39">
        <f>IF(L$4&gt;=Inputs!$C$51,MAX(0,MIN(Inputs!$C$49,L22,K23+Inputs!$C$40-FS!L$60)),0)</f>
        <v/>
      </c>
      <c r="M23" s="39">
        <f>IF(M$4&gt;=Inputs!$C$51,MAX(0,MIN(Inputs!$C$49,M22,L23+Inputs!$C$40-FS!M$60)),0)</f>
        <v/>
      </c>
      <c r="N23" s="39">
        <f>IF(N$4&gt;=Inputs!$C$51,MAX(0,MIN(Inputs!$C$49,N22,M23+Inputs!$C$40-FS!N$60)),0)</f>
        <v/>
      </c>
      <c r="O23" s="39">
        <f>IF(O$4&gt;=Inputs!$C$51,MAX(0,MIN(Inputs!$C$49,O22,N23+Inputs!$C$40-FS!O$60)),0)</f>
        <v/>
      </c>
      <c r="P23" s="39">
        <f>IF(P$4&gt;=Inputs!$C$51,MAX(0,MIN(Inputs!$C$49,P22,O23+Inputs!$C$40-FS!P$60)),0)</f>
        <v/>
      </c>
      <c r="Q23" s="39">
        <f>IF(Q$4&gt;=Inputs!$C$51,MAX(0,MIN(Inputs!$C$49,Q22,P23+Inputs!$C$40-FS!Q$60)),0)</f>
        <v/>
      </c>
      <c r="R23" s="39">
        <f>IF(R$4&gt;=Inputs!$C$51,MAX(0,MIN(Inputs!$C$49,R22,Q23+Inputs!$C$40-FS!R$60)),0)</f>
        <v/>
      </c>
      <c r="S23" s="39">
        <f>IF(S$4&gt;=Inputs!$C$51,MAX(0,MIN(Inputs!$C$49,S22,R23+Inputs!$C$40-FS!S$60)),0)</f>
        <v/>
      </c>
      <c r="T23" s="39">
        <f>IF(T$4&gt;=Inputs!$C$51,MAX(0,MIN(Inputs!$C$49,T22,S23+Inputs!$C$40-FS!T$60)),0)</f>
        <v/>
      </c>
      <c r="U23" s="39">
        <f>IF(U$4&gt;=Inputs!$C$51,MAX(0,MIN(Inputs!$C$49,U22,T23+Inputs!$C$40-FS!U$60)),0)</f>
        <v/>
      </c>
      <c r="V23" s="39">
        <f>IF(V$4&gt;=Inputs!$C$51,MAX(0,MIN(Inputs!$C$49,V22,U23+Inputs!$C$40-FS!V$60)),0)</f>
        <v/>
      </c>
      <c r="W23" s="39">
        <f>IF(W$4&gt;=Inputs!$C$51,MAX(0,MIN(Inputs!$C$49,W22,V23+Inputs!$C$40-FS!W$60)),0)</f>
        <v/>
      </c>
      <c r="X23" s="39">
        <f>IF(X$4&gt;=Inputs!$C$51,MAX(0,MIN(Inputs!$C$49,X22,W23+Inputs!$C$40-FS!X$60)),0)</f>
        <v/>
      </c>
      <c r="Y23" s="39">
        <f>IF(Y$4&gt;=Inputs!$C$51,MAX(0,MIN(Inputs!$C$49,Y22,X23+Inputs!$C$40-FS!Y$60)),0)</f>
        <v/>
      </c>
      <c r="Z23" s="39">
        <f>IF(Z$4&gt;=Inputs!$C$51,MAX(0,MIN(Inputs!$C$49,Z22,Y23+Inputs!$C$40-FS!Z$60)),0)</f>
        <v/>
      </c>
      <c r="AA23" s="39">
        <f>IF(AA$4&gt;=Inputs!$C$51,MAX(0,MIN(Inputs!$C$49,AA22,Z23+Inputs!$C$40-FS!AA$60)),0)</f>
        <v/>
      </c>
      <c r="AB23" s="39">
        <f>IF(AB$4&gt;=Inputs!$C$51,MAX(0,MIN(Inputs!$C$49,AB22,AA23+Inputs!$C$40-FS!AB$60)),0)</f>
        <v/>
      </c>
      <c r="AC23" s="39">
        <f>IF(AC$4&gt;=Inputs!$C$51,MAX(0,MIN(Inputs!$C$49,AC22,AB23+Inputs!$C$40-FS!AC$60)),0)</f>
        <v/>
      </c>
      <c r="AD23" s="39">
        <f>IF(AD$4&gt;=Inputs!$C$51,MAX(0,MIN(Inputs!$C$49,AD22,AC23+Inputs!$C$40-FS!AD$60)),0)</f>
        <v/>
      </c>
      <c r="AE23" s="39">
        <f>IF(AE$4&gt;=Inputs!$C$51,MAX(0,MIN(Inputs!$C$49,AE22,AD23+Inputs!$C$40-FS!AE$60)),0)</f>
        <v/>
      </c>
      <c r="AF23" s="39">
        <f>IF(AF$4&gt;=Inputs!$C$51,MAX(0,MIN(Inputs!$C$49,AF22,AE23+Inputs!$C$40-FS!AF$60)),0)</f>
        <v/>
      </c>
      <c r="AG23" s="39">
        <f>IF(AG$4&gt;=Inputs!$C$51,MAX(0,MIN(Inputs!$C$49,AG22,AF23+Inputs!$C$40-FS!AG$60)),0)</f>
        <v/>
      </c>
      <c r="AH23" s="39">
        <f>IF(AH$4&gt;=Inputs!$C$51,MAX(0,MIN(Inputs!$C$49,AH22,AG23+Inputs!$C$40-FS!AH$60)),0)</f>
        <v/>
      </c>
      <c r="AI23" s="39">
        <f>IF(AI$4&gt;=Inputs!$C$51,MAX(0,MIN(Inputs!$C$49,AI22,AH23+Inputs!$C$40-FS!AI$60)),0)</f>
        <v/>
      </c>
      <c r="AJ23" s="39">
        <f>IF(AJ$4&gt;=Inputs!$C$51,MAX(0,MIN(Inputs!$C$49,AJ22,AI23+Inputs!$C$40-FS!AJ$60)),0)</f>
        <v/>
      </c>
      <c r="AK23" s="39">
        <f>IF(AK$4&gt;=Inputs!$C$51,MAX(0,MIN(Inputs!$C$49,AK22,AJ23+Inputs!$C$40-FS!AK$60)),0)</f>
        <v/>
      </c>
      <c r="AL23" s="39">
        <f>IF(AL$4&gt;=Inputs!$C$51,MAX(0,MIN(Inputs!$C$49,AL22,AK23+Inputs!$C$40-FS!AL$60)),0)</f>
        <v/>
      </c>
      <c r="AM23" s="39">
        <f>IF(AM$4&gt;=Inputs!$C$51,MAX(0,MIN(Inputs!$C$49,AM22,AL23+Inputs!$C$40-FS!AM$60)),0)</f>
        <v/>
      </c>
      <c r="AN23" s="39">
        <f>IF(AN$4&gt;=Inputs!$C$51,MAX(0,MIN(Inputs!$C$49,AN22,AM23+Inputs!$C$40-FS!AN$60)),0)</f>
        <v/>
      </c>
      <c r="AO23" s="39">
        <f>IF(AO$4&gt;=Inputs!$C$51,MAX(0,MIN(Inputs!$C$49,AO22,AN23+Inputs!$C$40-FS!AO$60)),0)</f>
        <v/>
      </c>
      <c r="AP23" s="39">
        <f>IF(AP$4&gt;=Inputs!$C$51,MAX(0,MIN(Inputs!$C$49,AP22,AO23+Inputs!$C$40-FS!AP$60)),0)</f>
        <v/>
      </c>
      <c r="AQ23" s="39">
        <f>IF(AQ$4&gt;=Inputs!$C$51,MAX(0,MIN(Inputs!$C$49,AQ22,AP23+Inputs!$C$40-FS!AQ$60)),0)</f>
        <v/>
      </c>
      <c r="AR23" s="39">
        <f>IF(AR$4&gt;=Inputs!$C$51,MAX(0,MIN(Inputs!$C$49,AR22,AQ23+Inputs!$C$40-FS!AR$60)),0)</f>
        <v/>
      </c>
      <c r="AS23" s="39">
        <f>IF(AS$4&gt;=Inputs!$C$51,MAX(0,MIN(Inputs!$C$49,AS22,AR23+Inputs!$C$40-FS!AS$60)),0)</f>
        <v/>
      </c>
      <c r="AT23" s="39">
        <f>IF(AT$4&gt;=Inputs!$C$51,MAX(0,MIN(Inputs!$C$49,AT22,AS23+Inputs!$C$40-FS!AT$60)),0)</f>
        <v/>
      </c>
      <c r="AU23" s="39">
        <f>IF(AU$4&gt;=Inputs!$C$51,MAX(0,MIN(Inputs!$C$49,AU22,AT23+Inputs!$C$40-FS!AU$60)),0)</f>
        <v/>
      </c>
      <c r="AV23" s="39">
        <f>IF(AV$4&gt;=Inputs!$C$51,MAX(0,MIN(Inputs!$C$49,AV22,AU23+Inputs!$C$40-FS!AV$60)),0)</f>
        <v/>
      </c>
      <c r="AW23" s="39">
        <f>IF(AW$4&gt;=Inputs!$C$51,MAX(0,MIN(Inputs!$C$49,AW22,AV23+Inputs!$C$40-FS!AW$60)),0)</f>
        <v/>
      </c>
      <c r="AX23" s="39">
        <f>IF(AX$4&gt;=Inputs!$C$51,MAX(0,MIN(Inputs!$C$49,AX22,AW23+Inputs!$C$40-FS!AX$60)),0)</f>
        <v/>
      </c>
      <c r="AY23" s="39">
        <f>IF(AY$4&gt;=Inputs!$C$51,MAX(0,MIN(Inputs!$C$49,AY22,AX23+Inputs!$C$40-FS!AY$60)),0)</f>
        <v/>
      </c>
      <c r="AZ23" s="39">
        <f>IF(AZ$4&gt;=Inputs!$C$51,MAX(0,MIN(Inputs!$C$49,AZ22,AY23+Inputs!$C$40-FS!AZ$60)),0)</f>
        <v/>
      </c>
      <c r="BA23" s="39">
        <f>IF(BA$4&gt;=Inputs!$C$51,MAX(0,MIN(Inputs!$C$49,BA22,AZ23+Inputs!$C$40-FS!BA$60)),0)</f>
        <v/>
      </c>
      <c r="BB23" s="39">
        <f>IF(BB$4&gt;=Inputs!$C$51,MAX(0,MIN(Inputs!$C$49,BB22,BA23+Inputs!$C$40-FS!BB$60)),0)</f>
        <v/>
      </c>
      <c r="BC23" s="39">
        <f>IF(BC$4&gt;=Inputs!$C$51,MAX(0,MIN(Inputs!$C$49,BC22,BB23+Inputs!$C$40-FS!BC$60)),0)</f>
        <v/>
      </c>
      <c r="BD23" s="39">
        <f>IF(BD$4&gt;=Inputs!$C$51,MAX(0,MIN(Inputs!$C$49,BD22,BC23+Inputs!$C$40-FS!BD$60)),0)</f>
        <v/>
      </c>
      <c r="BE23" s="39">
        <f>IF(BE$4&gt;=Inputs!$C$51,MAX(0,MIN(Inputs!$C$49,BE22,BD23+Inputs!$C$40-FS!BE$60)),0)</f>
        <v/>
      </c>
      <c r="BF23" s="39">
        <f>IF(BF$4&gt;=Inputs!$C$51,MAX(0,MIN(Inputs!$C$49,BF22,BE23+Inputs!$C$40-FS!BF$60)),0)</f>
        <v/>
      </c>
      <c r="BG23" s="39">
        <f>IF(BG$4&gt;=Inputs!$C$51,MAX(0,MIN(Inputs!$C$49,BG22,BF23+Inputs!$C$40-FS!BG$60)),0)</f>
        <v/>
      </c>
      <c r="BH23" s="39">
        <f>IF(BH$4&gt;=Inputs!$C$51,MAX(0,MIN(Inputs!$C$49,BH22,BG23+Inputs!$C$40-FS!BH$60)),0)</f>
        <v/>
      </c>
      <c r="BI23" s="39">
        <f>IF(BI$4&gt;=Inputs!$C$51,MAX(0,MIN(Inputs!$C$49,BI22,BH23+Inputs!$C$40-FS!BI$60)),0)</f>
        <v/>
      </c>
      <c r="BJ23" s="39">
        <f>IF(BJ$4&gt;=Inputs!$C$51,MAX(0,MIN(Inputs!$C$49,BJ22,BI23+Inputs!$C$40-FS!BJ$60)),0)</f>
        <v/>
      </c>
      <c r="BK23" s="39">
        <f>IF(BK$4&gt;=Inputs!$C$51,MAX(0,MIN(Inputs!$C$49,BK22,BJ23+Inputs!$C$40-FS!BK$60)),0)</f>
        <v/>
      </c>
      <c r="BL23" s="39">
        <f>IF(BL$4&gt;=Inputs!$C$51,MAX(0,MIN(Inputs!$C$49,BL22,BK23+Inputs!$C$40-FS!BL$60)),0)</f>
        <v/>
      </c>
    </row>
    <row r="24">
      <c r="A24" s="55" t="inlineStr">
        <is>
          <t>Net drawdown / (repayment)</t>
        </is>
      </c>
      <c r="B24" s="26" t="inlineStr">
        <is>
          <t>LCY</t>
        </is>
      </c>
      <c r="C24" s="58">
        <f>SUM(E24:BL24)</f>
        <v/>
      </c>
      <c r="E24" s="39">
        <f>E23-D23</f>
        <v/>
      </c>
      <c r="F24" s="39">
        <f>F23-E23</f>
        <v/>
      </c>
      <c r="G24" s="39">
        <f>G23-F23</f>
        <v/>
      </c>
      <c r="H24" s="39">
        <f>H23-G23</f>
        <v/>
      </c>
      <c r="I24" s="39">
        <f>I23-H23</f>
        <v/>
      </c>
      <c r="J24" s="39">
        <f>J23-I23</f>
        <v/>
      </c>
      <c r="K24" s="39">
        <f>K23-J23</f>
        <v/>
      </c>
      <c r="L24" s="39">
        <f>L23-K23</f>
        <v/>
      </c>
      <c r="M24" s="39">
        <f>M23-L23</f>
        <v/>
      </c>
      <c r="N24" s="39">
        <f>N23-M23</f>
        <v/>
      </c>
      <c r="O24" s="39">
        <f>O23-N23</f>
        <v/>
      </c>
      <c r="P24" s="39">
        <f>P23-O23</f>
        <v/>
      </c>
      <c r="Q24" s="39">
        <f>Q23-P23</f>
        <v/>
      </c>
      <c r="R24" s="39">
        <f>R23-Q23</f>
        <v/>
      </c>
      <c r="S24" s="39">
        <f>S23-R23</f>
        <v/>
      </c>
      <c r="T24" s="39">
        <f>T23-S23</f>
        <v/>
      </c>
      <c r="U24" s="39">
        <f>U23-T23</f>
        <v/>
      </c>
      <c r="V24" s="39">
        <f>V23-U23</f>
        <v/>
      </c>
      <c r="W24" s="39">
        <f>W23-V23</f>
        <v/>
      </c>
      <c r="X24" s="39">
        <f>X23-W23</f>
        <v/>
      </c>
      <c r="Y24" s="39">
        <f>Y23-X23</f>
        <v/>
      </c>
      <c r="Z24" s="39">
        <f>Z23-Y23</f>
        <v/>
      </c>
      <c r="AA24" s="39">
        <f>AA23-Z23</f>
        <v/>
      </c>
      <c r="AB24" s="39">
        <f>AB23-AA23</f>
        <v/>
      </c>
      <c r="AC24" s="39">
        <f>AC23-AB23</f>
        <v/>
      </c>
      <c r="AD24" s="39">
        <f>AD23-AC23</f>
        <v/>
      </c>
      <c r="AE24" s="39">
        <f>AE23-AD23</f>
        <v/>
      </c>
      <c r="AF24" s="39">
        <f>AF23-AE23</f>
        <v/>
      </c>
      <c r="AG24" s="39">
        <f>AG23-AF23</f>
        <v/>
      </c>
      <c r="AH24" s="39">
        <f>AH23-AG23</f>
        <v/>
      </c>
      <c r="AI24" s="39">
        <f>AI23-AH23</f>
        <v/>
      </c>
      <c r="AJ24" s="39">
        <f>AJ23-AI23</f>
        <v/>
      </c>
      <c r="AK24" s="39">
        <f>AK23-AJ23</f>
        <v/>
      </c>
      <c r="AL24" s="39">
        <f>AL23-AK23</f>
        <v/>
      </c>
      <c r="AM24" s="39">
        <f>AM23-AL23</f>
        <v/>
      </c>
      <c r="AN24" s="39">
        <f>AN23-AM23</f>
        <v/>
      </c>
      <c r="AO24" s="39">
        <f>AO23-AN23</f>
        <v/>
      </c>
      <c r="AP24" s="39">
        <f>AP23-AO23</f>
        <v/>
      </c>
      <c r="AQ24" s="39">
        <f>AQ23-AP23</f>
        <v/>
      </c>
      <c r="AR24" s="39">
        <f>AR23-AQ23</f>
        <v/>
      </c>
      <c r="AS24" s="39">
        <f>AS23-AR23</f>
        <v/>
      </c>
      <c r="AT24" s="39">
        <f>AT23-AS23</f>
        <v/>
      </c>
      <c r="AU24" s="39">
        <f>AU23-AT23</f>
        <v/>
      </c>
      <c r="AV24" s="39">
        <f>AV23-AU23</f>
        <v/>
      </c>
      <c r="AW24" s="39">
        <f>AW23-AV23</f>
        <v/>
      </c>
      <c r="AX24" s="39">
        <f>AX23-AW23</f>
        <v/>
      </c>
      <c r="AY24" s="39">
        <f>AY23-AX23</f>
        <v/>
      </c>
      <c r="AZ24" s="39">
        <f>AZ23-AY23</f>
        <v/>
      </c>
      <c r="BA24" s="39">
        <f>BA23-AZ23</f>
        <v/>
      </c>
      <c r="BB24" s="39">
        <f>BB23-BA23</f>
        <v/>
      </c>
      <c r="BC24" s="39">
        <f>BC23-BB23</f>
        <v/>
      </c>
      <c r="BD24" s="39">
        <f>BD23-BC23</f>
        <v/>
      </c>
      <c r="BE24" s="39">
        <f>BE23-BD23</f>
        <v/>
      </c>
      <c r="BF24" s="39">
        <f>BF23-BE23</f>
        <v/>
      </c>
      <c r="BG24" s="39">
        <f>BG23-BF23</f>
        <v/>
      </c>
      <c r="BH24" s="39">
        <f>BH23-BG23</f>
        <v/>
      </c>
      <c r="BI24" s="39">
        <f>BI23-BH23</f>
        <v/>
      </c>
      <c r="BJ24" s="39">
        <f>BJ23-BI23</f>
        <v/>
      </c>
      <c r="BK24" s="39">
        <f>BK23-BJ23</f>
        <v/>
      </c>
      <c r="BL24" s="39">
        <f>BL23-BK23</f>
        <v/>
      </c>
    </row>
    <row r="25">
      <c r="A25" s="55" t="inlineStr">
        <is>
          <t>Interest</t>
        </is>
      </c>
      <c r="B25" s="26" t="inlineStr">
        <is>
          <t>LCY</t>
        </is>
      </c>
      <c r="C25" s="58">
        <f>SUM(E25:BL25)</f>
        <v/>
      </c>
      <c r="E25" s="39">
        <f>D23*Inputs!$C$50/12</f>
        <v/>
      </c>
      <c r="F25" s="39">
        <f>E23*Inputs!$C$50/12</f>
        <v/>
      </c>
      <c r="G25" s="39">
        <f>F23*Inputs!$C$50/12</f>
        <v/>
      </c>
      <c r="H25" s="39">
        <f>G23*Inputs!$C$50/12</f>
        <v/>
      </c>
      <c r="I25" s="39">
        <f>H23*Inputs!$C$50/12</f>
        <v/>
      </c>
      <c r="J25" s="39">
        <f>I23*Inputs!$C$50/12</f>
        <v/>
      </c>
      <c r="K25" s="39">
        <f>J23*Inputs!$C$50/12</f>
        <v/>
      </c>
      <c r="L25" s="39">
        <f>K23*Inputs!$C$50/12</f>
        <v/>
      </c>
      <c r="M25" s="39">
        <f>L23*Inputs!$C$50/12</f>
        <v/>
      </c>
      <c r="N25" s="39">
        <f>M23*Inputs!$C$50/12</f>
        <v/>
      </c>
      <c r="O25" s="39">
        <f>N23*Inputs!$C$50/12</f>
        <v/>
      </c>
      <c r="P25" s="39">
        <f>O23*Inputs!$C$50/12</f>
        <v/>
      </c>
      <c r="Q25" s="39">
        <f>P23*Inputs!$C$50/12</f>
        <v/>
      </c>
      <c r="R25" s="39">
        <f>Q23*Inputs!$C$50/12</f>
        <v/>
      </c>
      <c r="S25" s="39">
        <f>R23*Inputs!$C$50/12</f>
        <v/>
      </c>
      <c r="T25" s="39">
        <f>S23*Inputs!$C$50/12</f>
        <v/>
      </c>
      <c r="U25" s="39">
        <f>T23*Inputs!$C$50/12</f>
        <v/>
      </c>
      <c r="V25" s="39">
        <f>U23*Inputs!$C$50/12</f>
        <v/>
      </c>
      <c r="W25" s="39">
        <f>V23*Inputs!$C$50/12</f>
        <v/>
      </c>
      <c r="X25" s="39">
        <f>W23*Inputs!$C$50/12</f>
        <v/>
      </c>
      <c r="Y25" s="39">
        <f>X23*Inputs!$C$50/12</f>
        <v/>
      </c>
      <c r="Z25" s="39">
        <f>Y23*Inputs!$C$50/12</f>
        <v/>
      </c>
      <c r="AA25" s="39">
        <f>Z23*Inputs!$C$50/12</f>
        <v/>
      </c>
      <c r="AB25" s="39">
        <f>AA23*Inputs!$C$50/12</f>
        <v/>
      </c>
      <c r="AC25" s="39">
        <f>AB23*Inputs!$C$50/12</f>
        <v/>
      </c>
      <c r="AD25" s="39">
        <f>AC23*Inputs!$C$50/12</f>
        <v/>
      </c>
      <c r="AE25" s="39">
        <f>AD23*Inputs!$C$50/12</f>
        <v/>
      </c>
      <c r="AF25" s="39">
        <f>AE23*Inputs!$C$50/12</f>
        <v/>
      </c>
      <c r="AG25" s="39">
        <f>AF23*Inputs!$C$50/12</f>
        <v/>
      </c>
      <c r="AH25" s="39">
        <f>AG23*Inputs!$C$50/12</f>
        <v/>
      </c>
      <c r="AI25" s="39">
        <f>AH23*Inputs!$C$50/12</f>
        <v/>
      </c>
      <c r="AJ25" s="39">
        <f>AI23*Inputs!$C$50/12</f>
        <v/>
      </c>
      <c r="AK25" s="39">
        <f>AJ23*Inputs!$C$50/12</f>
        <v/>
      </c>
      <c r="AL25" s="39">
        <f>AK23*Inputs!$C$50/12</f>
        <v/>
      </c>
      <c r="AM25" s="39">
        <f>AL23*Inputs!$C$50/12</f>
        <v/>
      </c>
      <c r="AN25" s="39">
        <f>AM23*Inputs!$C$50/12</f>
        <v/>
      </c>
      <c r="AO25" s="39">
        <f>AN23*Inputs!$C$50/12</f>
        <v/>
      </c>
      <c r="AP25" s="39">
        <f>AO23*Inputs!$C$50/12</f>
        <v/>
      </c>
      <c r="AQ25" s="39">
        <f>AP23*Inputs!$C$50/12</f>
        <v/>
      </c>
      <c r="AR25" s="39">
        <f>AQ23*Inputs!$C$50/12</f>
        <v/>
      </c>
      <c r="AS25" s="39">
        <f>AR23*Inputs!$C$50/12</f>
        <v/>
      </c>
      <c r="AT25" s="39">
        <f>AS23*Inputs!$C$50/12</f>
        <v/>
      </c>
      <c r="AU25" s="39">
        <f>AT23*Inputs!$C$50/12</f>
        <v/>
      </c>
      <c r="AV25" s="39">
        <f>AU23*Inputs!$C$50/12</f>
        <v/>
      </c>
      <c r="AW25" s="39">
        <f>AV23*Inputs!$C$50/12</f>
        <v/>
      </c>
      <c r="AX25" s="39">
        <f>AW23*Inputs!$C$50/12</f>
        <v/>
      </c>
      <c r="AY25" s="39">
        <f>AX23*Inputs!$C$50/12</f>
        <v/>
      </c>
      <c r="AZ25" s="39">
        <f>AY23*Inputs!$C$50/12</f>
        <v/>
      </c>
      <c r="BA25" s="39">
        <f>AZ23*Inputs!$C$50/12</f>
        <v/>
      </c>
      <c r="BB25" s="39">
        <f>BA23*Inputs!$C$50/12</f>
        <v/>
      </c>
      <c r="BC25" s="39">
        <f>BB23*Inputs!$C$50/12</f>
        <v/>
      </c>
      <c r="BD25" s="39">
        <f>BC23*Inputs!$C$50/12</f>
        <v/>
      </c>
      <c r="BE25" s="39">
        <f>BD23*Inputs!$C$50/12</f>
        <v/>
      </c>
      <c r="BF25" s="39">
        <f>BE23*Inputs!$C$50/12</f>
        <v/>
      </c>
      <c r="BG25" s="39">
        <f>BF23*Inputs!$C$50/12</f>
        <v/>
      </c>
      <c r="BH25" s="39">
        <f>BG23*Inputs!$C$50/12</f>
        <v/>
      </c>
      <c r="BI25" s="39">
        <f>BH23*Inputs!$C$50/12</f>
        <v/>
      </c>
      <c r="BJ25" s="39">
        <f>BI23*Inputs!$C$50/12</f>
        <v/>
      </c>
      <c r="BK25" s="39">
        <f>BJ23*Inputs!$C$50/12</f>
        <v/>
      </c>
      <c r="BL25" s="39">
        <f>BK23*Inputs!$C$50/12</f>
        <v/>
      </c>
    </row>
    <row r="26">
      <c r="A26" s="55" t="inlineStr">
        <is>
          <t>Utilisation of limit</t>
        </is>
      </c>
      <c r="B26" s="26" t="inlineStr">
        <is>
          <t>%</t>
        </is>
      </c>
      <c r="C26" s="56">
        <f>MAX(E26:BL26)</f>
        <v/>
      </c>
      <c r="E26" s="40">
        <f>IF(Inputs!$C$49=0,0,E23/Inputs!$C$49)</f>
        <v/>
      </c>
      <c r="F26" s="40">
        <f>IF(Inputs!$C$49=0,0,F23/Inputs!$C$49)</f>
        <v/>
      </c>
      <c r="G26" s="40">
        <f>IF(Inputs!$C$49=0,0,G23/Inputs!$C$49)</f>
        <v/>
      </c>
      <c r="H26" s="40">
        <f>IF(Inputs!$C$49=0,0,H23/Inputs!$C$49)</f>
        <v/>
      </c>
      <c r="I26" s="40">
        <f>IF(Inputs!$C$49=0,0,I23/Inputs!$C$49)</f>
        <v/>
      </c>
      <c r="J26" s="40">
        <f>IF(Inputs!$C$49=0,0,J23/Inputs!$C$49)</f>
        <v/>
      </c>
      <c r="K26" s="40">
        <f>IF(Inputs!$C$49=0,0,K23/Inputs!$C$49)</f>
        <v/>
      </c>
      <c r="L26" s="40">
        <f>IF(Inputs!$C$49=0,0,L23/Inputs!$C$49)</f>
        <v/>
      </c>
      <c r="M26" s="40">
        <f>IF(Inputs!$C$49=0,0,M23/Inputs!$C$49)</f>
        <v/>
      </c>
      <c r="N26" s="40">
        <f>IF(Inputs!$C$49=0,0,N23/Inputs!$C$49)</f>
        <v/>
      </c>
      <c r="O26" s="40">
        <f>IF(Inputs!$C$49=0,0,O23/Inputs!$C$49)</f>
        <v/>
      </c>
      <c r="P26" s="40">
        <f>IF(Inputs!$C$49=0,0,P23/Inputs!$C$49)</f>
        <v/>
      </c>
      <c r="Q26" s="40">
        <f>IF(Inputs!$C$49=0,0,Q23/Inputs!$C$49)</f>
        <v/>
      </c>
      <c r="R26" s="40">
        <f>IF(Inputs!$C$49=0,0,R23/Inputs!$C$49)</f>
        <v/>
      </c>
      <c r="S26" s="40">
        <f>IF(Inputs!$C$49=0,0,S23/Inputs!$C$49)</f>
        <v/>
      </c>
      <c r="T26" s="40">
        <f>IF(Inputs!$C$49=0,0,T23/Inputs!$C$49)</f>
        <v/>
      </c>
      <c r="U26" s="40">
        <f>IF(Inputs!$C$49=0,0,U23/Inputs!$C$49)</f>
        <v/>
      </c>
      <c r="V26" s="40">
        <f>IF(Inputs!$C$49=0,0,V23/Inputs!$C$49)</f>
        <v/>
      </c>
      <c r="W26" s="40">
        <f>IF(Inputs!$C$49=0,0,W23/Inputs!$C$49)</f>
        <v/>
      </c>
      <c r="X26" s="40">
        <f>IF(Inputs!$C$49=0,0,X23/Inputs!$C$49)</f>
        <v/>
      </c>
      <c r="Y26" s="40">
        <f>IF(Inputs!$C$49=0,0,Y23/Inputs!$C$49)</f>
        <v/>
      </c>
      <c r="Z26" s="40">
        <f>IF(Inputs!$C$49=0,0,Z23/Inputs!$C$49)</f>
        <v/>
      </c>
      <c r="AA26" s="40">
        <f>IF(Inputs!$C$49=0,0,AA23/Inputs!$C$49)</f>
        <v/>
      </c>
      <c r="AB26" s="40">
        <f>IF(Inputs!$C$49=0,0,AB23/Inputs!$C$49)</f>
        <v/>
      </c>
      <c r="AC26" s="40">
        <f>IF(Inputs!$C$49=0,0,AC23/Inputs!$C$49)</f>
        <v/>
      </c>
      <c r="AD26" s="40">
        <f>IF(Inputs!$C$49=0,0,AD23/Inputs!$C$49)</f>
        <v/>
      </c>
      <c r="AE26" s="40">
        <f>IF(Inputs!$C$49=0,0,AE23/Inputs!$C$49)</f>
        <v/>
      </c>
      <c r="AF26" s="40">
        <f>IF(Inputs!$C$49=0,0,AF23/Inputs!$C$49)</f>
        <v/>
      </c>
      <c r="AG26" s="40">
        <f>IF(Inputs!$C$49=0,0,AG23/Inputs!$C$49)</f>
        <v/>
      </c>
      <c r="AH26" s="40">
        <f>IF(Inputs!$C$49=0,0,AH23/Inputs!$C$49)</f>
        <v/>
      </c>
      <c r="AI26" s="40">
        <f>IF(Inputs!$C$49=0,0,AI23/Inputs!$C$49)</f>
        <v/>
      </c>
      <c r="AJ26" s="40">
        <f>IF(Inputs!$C$49=0,0,AJ23/Inputs!$C$49)</f>
        <v/>
      </c>
      <c r="AK26" s="40">
        <f>IF(Inputs!$C$49=0,0,AK23/Inputs!$C$49)</f>
        <v/>
      </c>
      <c r="AL26" s="40">
        <f>IF(Inputs!$C$49=0,0,AL23/Inputs!$C$49)</f>
        <v/>
      </c>
      <c r="AM26" s="40">
        <f>IF(Inputs!$C$49=0,0,AM23/Inputs!$C$49)</f>
        <v/>
      </c>
      <c r="AN26" s="40">
        <f>IF(Inputs!$C$49=0,0,AN23/Inputs!$C$49)</f>
        <v/>
      </c>
      <c r="AO26" s="40">
        <f>IF(Inputs!$C$49=0,0,AO23/Inputs!$C$49)</f>
        <v/>
      </c>
      <c r="AP26" s="40">
        <f>IF(Inputs!$C$49=0,0,AP23/Inputs!$C$49)</f>
        <v/>
      </c>
      <c r="AQ26" s="40">
        <f>IF(Inputs!$C$49=0,0,AQ23/Inputs!$C$49)</f>
        <v/>
      </c>
      <c r="AR26" s="40">
        <f>IF(Inputs!$C$49=0,0,AR23/Inputs!$C$49)</f>
        <v/>
      </c>
      <c r="AS26" s="40">
        <f>IF(Inputs!$C$49=0,0,AS23/Inputs!$C$49)</f>
        <v/>
      </c>
      <c r="AT26" s="40">
        <f>IF(Inputs!$C$49=0,0,AT23/Inputs!$C$49)</f>
        <v/>
      </c>
      <c r="AU26" s="40">
        <f>IF(Inputs!$C$49=0,0,AU23/Inputs!$C$49)</f>
        <v/>
      </c>
      <c r="AV26" s="40">
        <f>IF(Inputs!$C$49=0,0,AV23/Inputs!$C$49)</f>
        <v/>
      </c>
      <c r="AW26" s="40">
        <f>IF(Inputs!$C$49=0,0,AW23/Inputs!$C$49)</f>
        <v/>
      </c>
      <c r="AX26" s="40">
        <f>IF(Inputs!$C$49=0,0,AX23/Inputs!$C$49)</f>
        <v/>
      </c>
      <c r="AY26" s="40">
        <f>IF(Inputs!$C$49=0,0,AY23/Inputs!$C$49)</f>
        <v/>
      </c>
      <c r="AZ26" s="40">
        <f>IF(Inputs!$C$49=0,0,AZ23/Inputs!$C$49)</f>
        <v/>
      </c>
      <c r="BA26" s="40">
        <f>IF(Inputs!$C$49=0,0,BA23/Inputs!$C$49)</f>
        <v/>
      </c>
      <c r="BB26" s="40">
        <f>IF(Inputs!$C$49=0,0,BB23/Inputs!$C$49)</f>
        <v/>
      </c>
      <c r="BC26" s="40">
        <f>IF(Inputs!$C$49=0,0,BC23/Inputs!$C$49)</f>
        <v/>
      </c>
      <c r="BD26" s="40">
        <f>IF(Inputs!$C$49=0,0,BD23/Inputs!$C$49)</f>
        <v/>
      </c>
      <c r="BE26" s="40">
        <f>IF(Inputs!$C$49=0,0,BE23/Inputs!$C$49)</f>
        <v/>
      </c>
      <c r="BF26" s="40">
        <f>IF(Inputs!$C$49=0,0,BF23/Inputs!$C$49)</f>
        <v/>
      </c>
      <c r="BG26" s="40">
        <f>IF(Inputs!$C$49=0,0,BG23/Inputs!$C$49)</f>
        <v/>
      </c>
      <c r="BH26" s="40">
        <f>IF(Inputs!$C$49=0,0,BH23/Inputs!$C$49)</f>
        <v/>
      </c>
      <c r="BI26" s="40">
        <f>IF(Inputs!$C$49=0,0,BI23/Inputs!$C$49)</f>
        <v/>
      </c>
      <c r="BJ26" s="40">
        <f>IF(Inputs!$C$49=0,0,BJ23/Inputs!$C$49)</f>
        <v/>
      </c>
      <c r="BK26" s="40">
        <f>IF(Inputs!$C$49=0,0,BK23/Inputs!$C$49)</f>
        <v/>
      </c>
      <c r="BL26" s="40">
        <f>IF(Inputs!$C$49=0,0,BL23/Inputs!$C$49)</f>
        <v/>
      </c>
    </row>
  </sheetData>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BH70"/>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8"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s>
  <sheetData>
    <row r="1">
      <c r="A1" s="1" t="inlineStr">
        <is>
          <t>Per-unit PAYGo behaviour by account age</t>
        </is>
      </c>
    </row>
    <row r="2">
      <c r="A2" s="2" t="inlineStr">
        <is>
          <t>Age 0 = month of sale. Per unit, month-1 prices; cohorts are scaled by the price index. RBF at opening FX.</t>
        </is>
      </c>
    </row>
    <row r="3"/>
    <row r="4"/>
    <row r="5">
      <c r="B5" s="72" t="inlineStr">
        <is>
          <t>Tier 1 - Pico solar kit</t>
        </is>
      </c>
      <c r="N5" s="72" t="inlineStr">
        <is>
          <t>Tier 2 - SHS with TV</t>
        </is>
      </c>
      <c r="Z5" s="72" t="inlineStr">
        <is>
          <t>Tier 3 - Large SHS + DC fridge</t>
        </is>
      </c>
      <c r="AL5" s="72" t="inlineStr">
        <is>
          <t>Tier 4 - Solar inverter + lithium (~1.2 kWp / 5 kWh)</t>
        </is>
      </c>
      <c r="AX5" s="72" t="inlineStr">
        <is>
          <t>Tier 5 - Solar inverter + lithium (~3 kWp / 10 kWh)</t>
        </is>
      </c>
    </row>
    <row r="6" ht="42" customHeight="1">
      <c r="A6" s="16" t="inlineStr">
        <is>
          <t>Age (m)</t>
        </is>
      </c>
      <c r="B6" s="16" t="inlineStr">
        <is>
          <t>Survival (still paying)</t>
        </is>
      </c>
      <c r="C6" s="16" t="inlineStr">
        <is>
          <t>Instalment due</t>
        </is>
      </c>
      <c r="D6" s="16" t="inlineStr">
        <is>
          <t>Collected</t>
        </is>
      </c>
      <c r="E6" s="16" t="inlineStr">
        <is>
          <t>Missed (written off)</t>
        </is>
      </c>
      <c r="F6" s="16" t="inlineStr">
        <is>
          <t>Receivable at risk</t>
        </is>
      </c>
      <c r="G6" s="16" t="inlineStr">
        <is>
          <t>Active account</t>
        </is>
      </c>
      <c r="H6" s="16" t="inlineStr">
        <is>
          <t>Defaults at this age</t>
        </is>
      </c>
      <c r="I6" s="16" t="inlineStr">
        <is>
          <t>Recovery (resale)</t>
        </is>
      </c>
      <c r="J6" s="16" t="inlineStr">
        <is>
          <t>RBF received</t>
        </is>
      </c>
      <c r="K6" s="16" t="inlineStr">
        <is>
          <t>Net cash flow / unit</t>
        </is>
      </c>
      <c r="L6" s="16" t="inlineStr">
        <is>
          <t>Cumulative cash flow</t>
        </is>
      </c>
      <c r="N6" s="16" t="inlineStr">
        <is>
          <t>Survival (still paying)</t>
        </is>
      </c>
      <c r="O6" s="16" t="inlineStr">
        <is>
          <t>Instalment due</t>
        </is>
      </c>
      <c r="P6" s="16" t="inlineStr">
        <is>
          <t>Collected</t>
        </is>
      </c>
      <c r="Q6" s="16" t="inlineStr">
        <is>
          <t>Missed (written off)</t>
        </is>
      </c>
      <c r="R6" s="16" t="inlineStr">
        <is>
          <t>Receivable at risk</t>
        </is>
      </c>
      <c r="S6" s="16" t="inlineStr">
        <is>
          <t>Active account</t>
        </is>
      </c>
      <c r="T6" s="16" t="inlineStr">
        <is>
          <t>Defaults at this age</t>
        </is>
      </c>
      <c r="U6" s="16" t="inlineStr">
        <is>
          <t>Recovery (resale)</t>
        </is>
      </c>
      <c r="V6" s="16" t="inlineStr">
        <is>
          <t>RBF received</t>
        </is>
      </c>
      <c r="W6" s="16" t="inlineStr">
        <is>
          <t>Net cash flow / unit</t>
        </is>
      </c>
      <c r="X6" s="16" t="inlineStr">
        <is>
          <t>Cumulative cash flow</t>
        </is>
      </c>
      <c r="Z6" s="16" t="inlineStr">
        <is>
          <t>Survival (still paying)</t>
        </is>
      </c>
      <c r="AA6" s="16" t="inlineStr">
        <is>
          <t>Instalment due</t>
        </is>
      </c>
      <c r="AB6" s="16" t="inlineStr">
        <is>
          <t>Collected</t>
        </is>
      </c>
      <c r="AC6" s="16" t="inlineStr">
        <is>
          <t>Missed (written off)</t>
        </is>
      </c>
      <c r="AD6" s="16" t="inlineStr">
        <is>
          <t>Receivable at risk</t>
        </is>
      </c>
      <c r="AE6" s="16" t="inlineStr">
        <is>
          <t>Active account</t>
        </is>
      </c>
      <c r="AF6" s="16" t="inlineStr">
        <is>
          <t>Defaults at this age</t>
        </is>
      </c>
      <c r="AG6" s="16" t="inlineStr">
        <is>
          <t>Recovery (resale)</t>
        </is>
      </c>
      <c r="AH6" s="16" t="inlineStr">
        <is>
          <t>RBF received</t>
        </is>
      </c>
      <c r="AI6" s="16" t="inlineStr">
        <is>
          <t>Net cash flow / unit</t>
        </is>
      </c>
      <c r="AJ6" s="16" t="inlineStr">
        <is>
          <t>Cumulative cash flow</t>
        </is>
      </c>
      <c r="AL6" s="16" t="inlineStr">
        <is>
          <t>Survival (still paying)</t>
        </is>
      </c>
      <c r="AM6" s="16" t="inlineStr">
        <is>
          <t>Instalment due</t>
        </is>
      </c>
      <c r="AN6" s="16" t="inlineStr">
        <is>
          <t>Collected</t>
        </is>
      </c>
      <c r="AO6" s="16" t="inlineStr">
        <is>
          <t>Missed (written off)</t>
        </is>
      </c>
      <c r="AP6" s="16" t="inlineStr">
        <is>
          <t>Receivable at risk</t>
        </is>
      </c>
      <c r="AQ6" s="16" t="inlineStr">
        <is>
          <t>Active account</t>
        </is>
      </c>
      <c r="AR6" s="16" t="inlineStr">
        <is>
          <t>Defaults at this age</t>
        </is>
      </c>
      <c r="AS6" s="16" t="inlineStr">
        <is>
          <t>Recovery (resale)</t>
        </is>
      </c>
      <c r="AT6" s="16" t="inlineStr">
        <is>
          <t>RBF received</t>
        </is>
      </c>
      <c r="AU6" s="16" t="inlineStr">
        <is>
          <t>Net cash flow / unit</t>
        </is>
      </c>
      <c r="AV6" s="16" t="inlineStr">
        <is>
          <t>Cumulative cash flow</t>
        </is>
      </c>
      <c r="AX6" s="16" t="inlineStr">
        <is>
          <t>Survival (still paying)</t>
        </is>
      </c>
      <c r="AY6" s="16" t="inlineStr">
        <is>
          <t>Instalment due</t>
        </is>
      </c>
      <c r="AZ6" s="16" t="inlineStr">
        <is>
          <t>Collected</t>
        </is>
      </c>
      <c r="BA6" s="16" t="inlineStr">
        <is>
          <t>Missed (written off)</t>
        </is>
      </c>
      <c r="BB6" s="16" t="inlineStr">
        <is>
          <t>Receivable at risk</t>
        </is>
      </c>
      <c r="BC6" s="16" t="inlineStr">
        <is>
          <t>Active account</t>
        </is>
      </c>
      <c r="BD6" s="16" t="inlineStr">
        <is>
          <t>Defaults at this age</t>
        </is>
      </c>
      <c r="BE6" s="16" t="inlineStr">
        <is>
          <t>Recovery (resale)</t>
        </is>
      </c>
      <c r="BF6" s="16" t="inlineStr">
        <is>
          <t>RBF received</t>
        </is>
      </c>
      <c r="BG6" s="16" t="inlineStr">
        <is>
          <t>Net cash flow / unit</t>
        </is>
      </c>
      <c r="BH6" s="16" t="inlineStr">
        <is>
          <t>Cumulative cash flow</t>
        </is>
      </c>
    </row>
    <row r="7"/>
    <row r="8">
      <c r="A8" s="46" t="n">
        <v>0</v>
      </c>
      <c r="B8" s="40">
        <f>1</f>
        <v/>
      </c>
      <c r="C8" s="39">
        <f>IF(AND($A8&gt;=1,$A8&lt;=Products!$C$16),Products!$C$33,0)</f>
        <v/>
      </c>
      <c r="D8" s="39">
        <f>C8*Products!$C$42*B8</f>
        <v/>
      </c>
      <c r="E8" s="39">
        <f>C8-D8</f>
        <v/>
      </c>
      <c r="F8" s="39">
        <f>(1-B8)*MAX(0,Products!$C$16-$A8)*(Products!$C$33-Products!$C$35/Products!$C$16)</f>
        <v/>
      </c>
      <c r="G8" s="40">
        <f>IF($A8&lt;=Products!$C$16,B8,0)</f>
        <v/>
      </c>
      <c r="H8" s="40">
        <f>0</f>
        <v/>
      </c>
      <c r="I8" s="39">
        <f>IF(AND($A8-Inputs!$C$31&gt;=1,$A8-Inputs!$C$31&lt;=Products!$C$16),INDEX(Curves!$H$8:$H$68,$A8-Inputs!$C$31+1),0)*Products!$C$27*Products!$C$28*Products!$C$13</f>
        <v/>
      </c>
      <c r="J8" s="39">
        <f>IF($A8=Inputs!$C$33,Products!$C$30*Inputs!$C$10*Inputs!$C$32,0)</f>
        <v/>
      </c>
      <c r="K8" s="39">
        <f>Products!$C$14*(1-Inputs!$C$24)-Products!$C$43*(1+Products!$C$22)-Products!$C$19-Products!$C$44+J8</f>
        <v/>
      </c>
      <c r="L8" s="39">
        <f>K8</f>
        <v/>
      </c>
      <c r="N8" s="40">
        <f>1</f>
        <v/>
      </c>
      <c r="O8" s="39">
        <f>IF(AND($A8&gt;=1,$A8&lt;=Products!$D$16),Products!$D$33,0)</f>
        <v/>
      </c>
      <c r="P8" s="39">
        <f>O8*Products!$D$42*N8</f>
        <v/>
      </c>
      <c r="Q8" s="39">
        <f>O8-P8</f>
        <v/>
      </c>
      <c r="R8" s="39">
        <f>(1-N8)*MAX(0,Products!$D$16-$A8)*(Products!$D$33-Products!$D$35/Products!$D$16)</f>
        <v/>
      </c>
      <c r="S8" s="40">
        <f>IF($A8&lt;=Products!$D$16,N8,0)</f>
        <v/>
      </c>
      <c r="T8" s="40">
        <f>0</f>
        <v/>
      </c>
      <c r="U8" s="39">
        <f>IF(AND($A8-Inputs!$C$31&gt;=1,$A8-Inputs!$C$31&lt;=Products!$D$16),INDEX(Curves!$T$8:$T$68,$A8-Inputs!$C$31+1),0)*Products!$D$27*Products!$D$28*Products!$D$13</f>
        <v/>
      </c>
      <c r="V8" s="39">
        <f>IF($A8=Inputs!$C$33,Products!$D$30*Inputs!$C$10*Inputs!$C$32,0)</f>
        <v/>
      </c>
      <c r="W8" s="39">
        <f>Products!$D$14*(1-Inputs!$C$24)-Products!$D$43*(1+Products!$D$22)-Products!$D$19-Products!$D$44+V8</f>
        <v/>
      </c>
      <c r="X8" s="39">
        <f>W8</f>
        <v/>
      </c>
      <c r="Z8" s="40">
        <f>1</f>
        <v/>
      </c>
      <c r="AA8" s="39">
        <f>IF(AND($A8&gt;=1,$A8&lt;=Products!$E$16),Products!$E$33,0)</f>
        <v/>
      </c>
      <c r="AB8" s="39">
        <f>AA8*Products!$E$42*Z8</f>
        <v/>
      </c>
      <c r="AC8" s="39">
        <f>AA8-AB8</f>
        <v/>
      </c>
      <c r="AD8" s="39">
        <f>(1-Z8)*MAX(0,Products!$E$16-$A8)*(Products!$E$33-Products!$E$35/Products!$E$16)</f>
        <v/>
      </c>
      <c r="AE8" s="40">
        <f>IF($A8&lt;=Products!$E$16,Z8,0)</f>
        <v/>
      </c>
      <c r="AF8" s="40">
        <f>0</f>
        <v/>
      </c>
      <c r="AG8" s="39">
        <f>IF(AND($A8-Inputs!$C$31&gt;=1,$A8-Inputs!$C$31&lt;=Products!$E$16),INDEX(Curves!$AF$8:$AF$68,$A8-Inputs!$C$31+1),0)*Products!$E$27*Products!$E$28*Products!$E$13</f>
        <v/>
      </c>
      <c r="AH8" s="39">
        <f>IF($A8=Inputs!$C$33,Products!$E$30*Inputs!$C$10*Inputs!$C$32,0)</f>
        <v/>
      </c>
      <c r="AI8" s="39">
        <f>Products!$E$14*(1-Inputs!$C$24)-Products!$E$43*(1+Products!$E$22)-Products!$E$19-Products!$E$44+AH8</f>
        <v/>
      </c>
      <c r="AJ8" s="39">
        <f>AI8</f>
        <v/>
      </c>
      <c r="AL8" s="40">
        <f>1</f>
        <v/>
      </c>
      <c r="AM8" s="39">
        <f>IF(AND($A8&gt;=1,$A8&lt;=Products!$F$16),Products!$F$33,0)</f>
        <v/>
      </c>
      <c r="AN8" s="39">
        <f>AM8*Products!$F$42*AL8</f>
        <v/>
      </c>
      <c r="AO8" s="39">
        <f>AM8-AN8</f>
        <v/>
      </c>
      <c r="AP8" s="39">
        <f>(1-AL8)*MAX(0,Products!$F$16-$A8)*(Products!$F$33-Products!$F$35/Products!$F$16)</f>
        <v/>
      </c>
      <c r="AQ8" s="40">
        <f>IF($A8&lt;=Products!$F$16,AL8,0)</f>
        <v/>
      </c>
      <c r="AR8" s="40">
        <f>0</f>
        <v/>
      </c>
      <c r="AS8" s="39">
        <f>IF(AND($A8-Inputs!$C$31&gt;=1,$A8-Inputs!$C$31&lt;=Products!$F$16),INDEX(Curves!$AR$8:$AR$68,$A8-Inputs!$C$31+1),0)*Products!$F$27*Products!$F$28*Products!$F$13</f>
        <v/>
      </c>
      <c r="AT8" s="39">
        <f>IF($A8=Inputs!$C$33,Products!$F$30*Inputs!$C$10*Inputs!$C$32,0)</f>
        <v/>
      </c>
      <c r="AU8" s="39">
        <f>Products!$F$14*(1-Inputs!$C$24)-Products!$F$43*(1+Products!$F$22)-Products!$F$19-Products!$F$44+AT8</f>
        <v/>
      </c>
      <c r="AV8" s="39">
        <f>AU8</f>
        <v/>
      </c>
      <c r="AX8" s="40">
        <f>1</f>
        <v/>
      </c>
      <c r="AY8" s="39">
        <f>IF(AND($A8&gt;=1,$A8&lt;=Products!$G$16),Products!$G$33,0)</f>
        <v/>
      </c>
      <c r="AZ8" s="39">
        <f>AY8*Products!$G$42*AX8</f>
        <v/>
      </c>
      <c r="BA8" s="39">
        <f>AY8-AZ8</f>
        <v/>
      </c>
      <c r="BB8" s="39">
        <f>(1-AX8)*MAX(0,Products!$G$16-$A8)*(Products!$G$33-Products!$G$35/Products!$G$16)</f>
        <v/>
      </c>
      <c r="BC8" s="40">
        <f>IF($A8&lt;=Products!$G$16,AX8,0)</f>
        <v/>
      </c>
      <c r="BD8" s="40">
        <f>0</f>
        <v/>
      </c>
      <c r="BE8" s="39">
        <f>IF(AND($A8-Inputs!$C$31&gt;=1,$A8-Inputs!$C$31&lt;=Products!$G$16),INDEX(Curves!$BD$8:$BD$68,$A8-Inputs!$C$31+1),0)*Products!$G$27*Products!$G$28*Products!$G$13</f>
        <v/>
      </c>
      <c r="BF8" s="39">
        <f>IF($A8=Inputs!$C$33,Products!$G$30*Inputs!$C$10*Inputs!$C$32,0)</f>
        <v/>
      </c>
      <c r="BG8" s="39">
        <f>Products!$G$14*(1-Inputs!$C$24)-Products!$G$43*(1+Products!$G$22)-Products!$G$19-Products!$G$44+BF8</f>
        <v/>
      </c>
      <c r="BH8" s="39">
        <f>BG8</f>
        <v/>
      </c>
    </row>
    <row r="9">
      <c r="A9" s="46" t="n">
        <v>1</v>
      </c>
      <c r="B9" s="40">
        <f>(1-Products!$C$41)^$A9</f>
        <v/>
      </c>
      <c r="C9" s="39">
        <f>IF(AND($A9&gt;=1,$A9&lt;=Products!$C$16),Products!$C$33,0)</f>
        <v/>
      </c>
      <c r="D9" s="39">
        <f>C9*Products!$C$42*B9</f>
        <v/>
      </c>
      <c r="E9" s="39">
        <f>C9-D9</f>
        <v/>
      </c>
      <c r="F9" s="39">
        <f>(1-B9)*MAX(0,Products!$C$16-$A9)*(Products!$C$33-Products!$C$35/Products!$C$16)</f>
        <v/>
      </c>
      <c r="G9" s="40">
        <f>IF($A9&lt;=Products!$C$16,B9,0)</f>
        <v/>
      </c>
      <c r="H9" s="40">
        <f>IF(AND($A9&gt;=1,$A9&lt;=Products!$C$16),B8-B9,0)</f>
        <v/>
      </c>
      <c r="I9" s="39">
        <f>IF(AND($A9-Inputs!$C$31&gt;=1,$A9-Inputs!$C$31&lt;=Products!$C$16),INDEX(Curves!$H$8:$H$68,$A9-Inputs!$C$31+1),0)*Products!$C$27*Products!$C$28*Products!$C$13</f>
        <v/>
      </c>
      <c r="J9" s="39">
        <f>IF($A9=Inputs!$C$33,Products!$C$30*Inputs!$C$10*Inputs!$C$32,0)</f>
        <v/>
      </c>
      <c r="K9" s="39">
        <f>D9*(1-Inputs!$C$24)-Inputs!$C$25*G9+I9+J9</f>
        <v/>
      </c>
      <c r="L9" s="39">
        <f>L8+K9</f>
        <v/>
      </c>
      <c r="N9" s="40">
        <f>(1-Products!$D$41)^$A9</f>
        <v/>
      </c>
      <c r="O9" s="39">
        <f>IF(AND($A9&gt;=1,$A9&lt;=Products!$D$16),Products!$D$33,0)</f>
        <v/>
      </c>
      <c r="P9" s="39">
        <f>O9*Products!$D$42*N9</f>
        <v/>
      </c>
      <c r="Q9" s="39">
        <f>O9-P9</f>
        <v/>
      </c>
      <c r="R9" s="39">
        <f>(1-N9)*MAX(0,Products!$D$16-$A9)*(Products!$D$33-Products!$D$35/Products!$D$16)</f>
        <v/>
      </c>
      <c r="S9" s="40">
        <f>IF($A9&lt;=Products!$D$16,N9,0)</f>
        <v/>
      </c>
      <c r="T9" s="40">
        <f>IF(AND($A9&gt;=1,$A9&lt;=Products!$D$16),N8-N9,0)</f>
        <v/>
      </c>
      <c r="U9" s="39">
        <f>IF(AND($A9-Inputs!$C$31&gt;=1,$A9-Inputs!$C$31&lt;=Products!$D$16),INDEX(Curves!$T$8:$T$68,$A9-Inputs!$C$31+1),0)*Products!$D$27*Products!$D$28*Products!$D$13</f>
        <v/>
      </c>
      <c r="V9" s="39">
        <f>IF($A9=Inputs!$C$33,Products!$D$30*Inputs!$C$10*Inputs!$C$32,0)</f>
        <v/>
      </c>
      <c r="W9" s="39">
        <f>P9*(1-Inputs!$C$24)-Inputs!$C$25*S9+U9+V9</f>
        <v/>
      </c>
      <c r="X9" s="39">
        <f>X8+W9</f>
        <v/>
      </c>
      <c r="Z9" s="40">
        <f>(1-Products!$E$41)^$A9</f>
        <v/>
      </c>
      <c r="AA9" s="39">
        <f>IF(AND($A9&gt;=1,$A9&lt;=Products!$E$16),Products!$E$33,0)</f>
        <v/>
      </c>
      <c r="AB9" s="39">
        <f>AA9*Products!$E$42*Z9</f>
        <v/>
      </c>
      <c r="AC9" s="39">
        <f>AA9-AB9</f>
        <v/>
      </c>
      <c r="AD9" s="39">
        <f>(1-Z9)*MAX(0,Products!$E$16-$A9)*(Products!$E$33-Products!$E$35/Products!$E$16)</f>
        <v/>
      </c>
      <c r="AE9" s="40">
        <f>IF($A9&lt;=Products!$E$16,Z9,0)</f>
        <v/>
      </c>
      <c r="AF9" s="40">
        <f>IF(AND($A9&gt;=1,$A9&lt;=Products!$E$16),Z8-Z9,0)</f>
        <v/>
      </c>
      <c r="AG9" s="39">
        <f>IF(AND($A9-Inputs!$C$31&gt;=1,$A9-Inputs!$C$31&lt;=Products!$E$16),INDEX(Curves!$AF$8:$AF$68,$A9-Inputs!$C$31+1),0)*Products!$E$27*Products!$E$28*Products!$E$13</f>
        <v/>
      </c>
      <c r="AH9" s="39">
        <f>IF($A9=Inputs!$C$33,Products!$E$30*Inputs!$C$10*Inputs!$C$32,0)</f>
        <v/>
      </c>
      <c r="AI9" s="39">
        <f>AB9*(1-Inputs!$C$24)-Inputs!$C$25*AE9+AG9+AH9</f>
        <v/>
      </c>
      <c r="AJ9" s="39">
        <f>AJ8+AI9</f>
        <v/>
      </c>
      <c r="AL9" s="40">
        <f>(1-Products!$F$41)^$A9</f>
        <v/>
      </c>
      <c r="AM9" s="39">
        <f>IF(AND($A9&gt;=1,$A9&lt;=Products!$F$16),Products!$F$33,0)</f>
        <v/>
      </c>
      <c r="AN9" s="39">
        <f>AM9*Products!$F$42*AL9</f>
        <v/>
      </c>
      <c r="AO9" s="39">
        <f>AM9-AN9</f>
        <v/>
      </c>
      <c r="AP9" s="39">
        <f>(1-AL9)*MAX(0,Products!$F$16-$A9)*(Products!$F$33-Products!$F$35/Products!$F$16)</f>
        <v/>
      </c>
      <c r="AQ9" s="40">
        <f>IF($A9&lt;=Products!$F$16,AL9,0)</f>
        <v/>
      </c>
      <c r="AR9" s="40">
        <f>IF(AND($A9&gt;=1,$A9&lt;=Products!$F$16),AL8-AL9,0)</f>
        <v/>
      </c>
      <c r="AS9" s="39">
        <f>IF(AND($A9-Inputs!$C$31&gt;=1,$A9-Inputs!$C$31&lt;=Products!$F$16),INDEX(Curves!$AR$8:$AR$68,$A9-Inputs!$C$31+1),0)*Products!$F$27*Products!$F$28*Products!$F$13</f>
        <v/>
      </c>
      <c r="AT9" s="39">
        <f>IF($A9=Inputs!$C$33,Products!$F$30*Inputs!$C$10*Inputs!$C$32,0)</f>
        <v/>
      </c>
      <c r="AU9" s="39">
        <f>AN9*(1-Inputs!$C$24)-Inputs!$C$25*AQ9+AS9+AT9</f>
        <v/>
      </c>
      <c r="AV9" s="39">
        <f>AV8+AU9</f>
        <v/>
      </c>
      <c r="AX9" s="40">
        <f>(1-Products!$G$41)^$A9</f>
        <v/>
      </c>
      <c r="AY9" s="39">
        <f>IF(AND($A9&gt;=1,$A9&lt;=Products!$G$16),Products!$G$33,0)</f>
        <v/>
      </c>
      <c r="AZ9" s="39">
        <f>AY9*Products!$G$42*AX9</f>
        <v/>
      </c>
      <c r="BA9" s="39">
        <f>AY9-AZ9</f>
        <v/>
      </c>
      <c r="BB9" s="39">
        <f>(1-AX9)*MAX(0,Products!$G$16-$A9)*(Products!$G$33-Products!$G$35/Products!$G$16)</f>
        <v/>
      </c>
      <c r="BC9" s="40">
        <f>IF($A9&lt;=Products!$G$16,AX9,0)</f>
        <v/>
      </c>
      <c r="BD9" s="40">
        <f>IF(AND($A9&gt;=1,$A9&lt;=Products!$G$16),AX8-AX9,0)</f>
        <v/>
      </c>
      <c r="BE9" s="39">
        <f>IF(AND($A9-Inputs!$C$31&gt;=1,$A9-Inputs!$C$31&lt;=Products!$G$16),INDEX(Curves!$BD$8:$BD$68,$A9-Inputs!$C$31+1),0)*Products!$G$27*Products!$G$28*Products!$G$13</f>
        <v/>
      </c>
      <c r="BF9" s="39">
        <f>IF($A9=Inputs!$C$33,Products!$G$30*Inputs!$C$10*Inputs!$C$32,0)</f>
        <v/>
      </c>
      <c r="BG9" s="39">
        <f>AZ9*(1-Inputs!$C$24)-Inputs!$C$25*BC9+BE9+BF9</f>
        <v/>
      </c>
      <c r="BH9" s="39">
        <f>BH8+BG9</f>
        <v/>
      </c>
    </row>
    <row r="10">
      <c r="A10" s="46" t="n">
        <v>2</v>
      </c>
      <c r="B10" s="40">
        <f>(1-Products!$C$41)^$A10</f>
        <v/>
      </c>
      <c r="C10" s="39">
        <f>IF(AND($A10&gt;=1,$A10&lt;=Products!$C$16),Products!$C$33,0)</f>
        <v/>
      </c>
      <c r="D10" s="39">
        <f>C10*Products!$C$42*B10</f>
        <v/>
      </c>
      <c r="E10" s="39">
        <f>C10-D10</f>
        <v/>
      </c>
      <c r="F10" s="39">
        <f>(1-B10)*MAX(0,Products!$C$16-$A10)*(Products!$C$33-Products!$C$35/Products!$C$16)</f>
        <v/>
      </c>
      <c r="G10" s="40">
        <f>IF($A10&lt;=Products!$C$16,B10,0)</f>
        <v/>
      </c>
      <c r="H10" s="40">
        <f>IF(AND($A10&gt;=1,$A10&lt;=Products!$C$16),B9-B10,0)</f>
        <v/>
      </c>
      <c r="I10" s="39">
        <f>IF(AND($A10-Inputs!$C$31&gt;=1,$A10-Inputs!$C$31&lt;=Products!$C$16),INDEX(Curves!$H$8:$H$68,$A10-Inputs!$C$31+1),0)*Products!$C$27*Products!$C$28*Products!$C$13</f>
        <v/>
      </c>
      <c r="J10" s="39">
        <f>IF($A10=Inputs!$C$33,Products!$C$30*Inputs!$C$10*Inputs!$C$32,0)</f>
        <v/>
      </c>
      <c r="K10" s="39">
        <f>D10*(1-Inputs!$C$24)-Inputs!$C$25*G10+I10+J10</f>
        <v/>
      </c>
      <c r="L10" s="39">
        <f>L9+K10</f>
        <v/>
      </c>
      <c r="N10" s="40">
        <f>(1-Products!$D$41)^$A10</f>
        <v/>
      </c>
      <c r="O10" s="39">
        <f>IF(AND($A10&gt;=1,$A10&lt;=Products!$D$16),Products!$D$33,0)</f>
        <v/>
      </c>
      <c r="P10" s="39">
        <f>O10*Products!$D$42*N10</f>
        <v/>
      </c>
      <c r="Q10" s="39">
        <f>O10-P10</f>
        <v/>
      </c>
      <c r="R10" s="39">
        <f>(1-N10)*MAX(0,Products!$D$16-$A10)*(Products!$D$33-Products!$D$35/Products!$D$16)</f>
        <v/>
      </c>
      <c r="S10" s="40">
        <f>IF($A10&lt;=Products!$D$16,N10,0)</f>
        <v/>
      </c>
      <c r="T10" s="40">
        <f>IF(AND($A10&gt;=1,$A10&lt;=Products!$D$16),N9-N10,0)</f>
        <v/>
      </c>
      <c r="U10" s="39">
        <f>IF(AND($A10-Inputs!$C$31&gt;=1,$A10-Inputs!$C$31&lt;=Products!$D$16),INDEX(Curves!$T$8:$T$68,$A10-Inputs!$C$31+1),0)*Products!$D$27*Products!$D$28*Products!$D$13</f>
        <v/>
      </c>
      <c r="V10" s="39">
        <f>IF($A10=Inputs!$C$33,Products!$D$30*Inputs!$C$10*Inputs!$C$32,0)</f>
        <v/>
      </c>
      <c r="W10" s="39">
        <f>P10*(1-Inputs!$C$24)-Inputs!$C$25*S10+U10+V10</f>
        <v/>
      </c>
      <c r="X10" s="39">
        <f>X9+W10</f>
        <v/>
      </c>
      <c r="Z10" s="40">
        <f>(1-Products!$E$41)^$A10</f>
        <v/>
      </c>
      <c r="AA10" s="39">
        <f>IF(AND($A10&gt;=1,$A10&lt;=Products!$E$16),Products!$E$33,0)</f>
        <v/>
      </c>
      <c r="AB10" s="39">
        <f>AA10*Products!$E$42*Z10</f>
        <v/>
      </c>
      <c r="AC10" s="39">
        <f>AA10-AB10</f>
        <v/>
      </c>
      <c r="AD10" s="39">
        <f>(1-Z10)*MAX(0,Products!$E$16-$A10)*(Products!$E$33-Products!$E$35/Products!$E$16)</f>
        <v/>
      </c>
      <c r="AE10" s="40">
        <f>IF($A10&lt;=Products!$E$16,Z10,0)</f>
        <v/>
      </c>
      <c r="AF10" s="40">
        <f>IF(AND($A10&gt;=1,$A10&lt;=Products!$E$16),Z9-Z10,0)</f>
        <v/>
      </c>
      <c r="AG10" s="39">
        <f>IF(AND($A10-Inputs!$C$31&gt;=1,$A10-Inputs!$C$31&lt;=Products!$E$16),INDEX(Curves!$AF$8:$AF$68,$A10-Inputs!$C$31+1),0)*Products!$E$27*Products!$E$28*Products!$E$13</f>
        <v/>
      </c>
      <c r="AH10" s="39">
        <f>IF($A10=Inputs!$C$33,Products!$E$30*Inputs!$C$10*Inputs!$C$32,0)</f>
        <v/>
      </c>
      <c r="AI10" s="39">
        <f>AB10*(1-Inputs!$C$24)-Inputs!$C$25*AE10+AG10+AH10</f>
        <v/>
      </c>
      <c r="AJ10" s="39">
        <f>AJ9+AI10</f>
        <v/>
      </c>
      <c r="AL10" s="40">
        <f>(1-Products!$F$41)^$A10</f>
        <v/>
      </c>
      <c r="AM10" s="39">
        <f>IF(AND($A10&gt;=1,$A10&lt;=Products!$F$16),Products!$F$33,0)</f>
        <v/>
      </c>
      <c r="AN10" s="39">
        <f>AM10*Products!$F$42*AL10</f>
        <v/>
      </c>
      <c r="AO10" s="39">
        <f>AM10-AN10</f>
        <v/>
      </c>
      <c r="AP10" s="39">
        <f>(1-AL10)*MAX(0,Products!$F$16-$A10)*(Products!$F$33-Products!$F$35/Products!$F$16)</f>
        <v/>
      </c>
      <c r="AQ10" s="40">
        <f>IF($A10&lt;=Products!$F$16,AL10,0)</f>
        <v/>
      </c>
      <c r="AR10" s="40">
        <f>IF(AND($A10&gt;=1,$A10&lt;=Products!$F$16),AL9-AL10,0)</f>
        <v/>
      </c>
      <c r="AS10" s="39">
        <f>IF(AND($A10-Inputs!$C$31&gt;=1,$A10-Inputs!$C$31&lt;=Products!$F$16),INDEX(Curves!$AR$8:$AR$68,$A10-Inputs!$C$31+1),0)*Products!$F$27*Products!$F$28*Products!$F$13</f>
        <v/>
      </c>
      <c r="AT10" s="39">
        <f>IF($A10=Inputs!$C$33,Products!$F$30*Inputs!$C$10*Inputs!$C$32,0)</f>
        <v/>
      </c>
      <c r="AU10" s="39">
        <f>AN10*(1-Inputs!$C$24)-Inputs!$C$25*AQ10+AS10+AT10</f>
        <v/>
      </c>
      <c r="AV10" s="39">
        <f>AV9+AU10</f>
        <v/>
      </c>
      <c r="AX10" s="40">
        <f>(1-Products!$G$41)^$A10</f>
        <v/>
      </c>
      <c r="AY10" s="39">
        <f>IF(AND($A10&gt;=1,$A10&lt;=Products!$G$16),Products!$G$33,0)</f>
        <v/>
      </c>
      <c r="AZ10" s="39">
        <f>AY10*Products!$G$42*AX10</f>
        <v/>
      </c>
      <c r="BA10" s="39">
        <f>AY10-AZ10</f>
        <v/>
      </c>
      <c r="BB10" s="39">
        <f>(1-AX10)*MAX(0,Products!$G$16-$A10)*(Products!$G$33-Products!$G$35/Products!$G$16)</f>
        <v/>
      </c>
      <c r="BC10" s="40">
        <f>IF($A10&lt;=Products!$G$16,AX10,0)</f>
        <v/>
      </c>
      <c r="BD10" s="40">
        <f>IF(AND($A10&gt;=1,$A10&lt;=Products!$G$16),AX9-AX10,0)</f>
        <v/>
      </c>
      <c r="BE10" s="39">
        <f>IF(AND($A10-Inputs!$C$31&gt;=1,$A10-Inputs!$C$31&lt;=Products!$G$16),INDEX(Curves!$BD$8:$BD$68,$A10-Inputs!$C$31+1),0)*Products!$G$27*Products!$G$28*Products!$G$13</f>
        <v/>
      </c>
      <c r="BF10" s="39">
        <f>IF($A10=Inputs!$C$33,Products!$G$30*Inputs!$C$10*Inputs!$C$32,0)</f>
        <v/>
      </c>
      <c r="BG10" s="39">
        <f>AZ10*(1-Inputs!$C$24)-Inputs!$C$25*BC10+BE10+BF10</f>
        <v/>
      </c>
      <c r="BH10" s="39">
        <f>BH9+BG10</f>
        <v/>
      </c>
    </row>
    <row r="11">
      <c r="A11" s="46" t="n">
        <v>3</v>
      </c>
      <c r="B11" s="40">
        <f>(1-Products!$C$41)^$A11</f>
        <v/>
      </c>
      <c r="C11" s="39">
        <f>IF(AND($A11&gt;=1,$A11&lt;=Products!$C$16),Products!$C$33,0)</f>
        <v/>
      </c>
      <c r="D11" s="39">
        <f>C11*Products!$C$42*B11</f>
        <v/>
      </c>
      <c r="E11" s="39">
        <f>C11-D11</f>
        <v/>
      </c>
      <c r="F11" s="39">
        <f>(1-B11)*MAX(0,Products!$C$16-$A11)*(Products!$C$33-Products!$C$35/Products!$C$16)</f>
        <v/>
      </c>
      <c r="G11" s="40">
        <f>IF($A11&lt;=Products!$C$16,B11,0)</f>
        <v/>
      </c>
      <c r="H11" s="40">
        <f>IF(AND($A11&gt;=1,$A11&lt;=Products!$C$16),B10-B11,0)</f>
        <v/>
      </c>
      <c r="I11" s="39">
        <f>IF(AND($A11-Inputs!$C$31&gt;=1,$A11-Inputs!$C$31&lt;=Products!$C$16),INDEX(Curves!$H$8:$H$68,$A11-Inputs!$C$31+1),0)*Products!$C$27*Products!$C$28*Products!$C$13</f>
        <v/>
      </c>
      <c r="J11" s="39">
        <f>IF($A11=Inputs!$C$33,Products!$C$30*Inputs!$C$10*Inputs!$C$32,0)</f>
        <v/>
      </c>
      <c r="K11" s="39">
        <f>D11*(1-Inputs!$C$24)-Inputs!$C$25*G11+I11+J11</f>
        <v/>
      </c>
      <c r="L11" s="39">
        <f>L10+K11</f>
        <v/>
      </c>
      <c r="N11" s="40">
        <f>(1-Products!$D$41)^$A11</f>
        <v/>
      </c>
      <c r="O11" s="39">
        <f>IF(AND($A11&gt;=1,$A11&lt;=Products!$D$16),Products!$D$33,0)</f>
        <v/>
      </c>
      <c r="P11" s="39">
        <f>O11*Products!$D$42*N11</f>
        <v/>
      </c>
      <c r="Q11" s="39">
        <f>O11-P11</f>
        <v/>
      </c>
      <c r="R11" s="39">
        <f>(1-N11)*MAX(0,Products!$D$16-$A11)*(Products!$D$33-Products!$D$35/Products!$D$16)</f>
        <v/>
      </c>
      <c r="S11" s="40">
        <f>IF($A11&lt;=Products!$D$16,N11,0)</f>
        <v/>
      </c>
      <c r="T11" s="40">
        <f>IF(AND($A11&gt;=1,$A11&lt;=Products!$D$16),N10-N11,0)</f>
        <v/>
      </c>
      <c r="U11" s="39">
        <f>IF(AND($A11-Inputs!$C$31&gt;=1,$A11-Inputs!$C$31&lt;=Products!$D$16),INDEX(Curves!$T$8:$T$68,$A11-Inputs!$C$31+1),0)*Products!$D$27*Products!$D$28*Products!$D$13</f>
        <v/>
      </c>
      <c r="V11" s="39">
        <f>IF($A11=Inputs!$C$33,Products!$D$30*Inputs!$C$10*Inputs!$C$32,0)</f>
        <v/>
      </c>
      <c r="W11" s="39">
        <f>P11*(1-Inputs!$C$24)-Inputs!$C$25*S11+U11+V11</f>
        <v/>
      </c>
      <c r="X11" s="39">
        <f>X10+W11</f>
        <v/>
      </c>
      <c r="Z11" s="40">
        <f>(1-Products!$E$41)^$A11</f>
        <v/>
      </c>
      <c r="AA11" s="39">
        <f>IF(AND($A11&gt;=1,$A11&lt;=Products!$E$16),Products!$E$33,0)</f>
        <v/>
      </c>
      <c r="AB11" s="39">
        <f>AA11*Products!$E$42*Z11</f>
        <v/>
      </c>
      <c r="AC11" s="39">
        <f>AA11-AB11</f>
        <v/>
      </c>
      <c r="AD11" s="39">
        <f>(1-Z11)*MAX(0,Products!$E$16-$A11)*(Products!$E$33-Products!$E$35/Products!$E$16)</f>
        <v/>
      </c>
      <c r="AE11" s="40">
        <f>IF($A11&lt;=Products!$E$16,Z11,0)</f>
        <v/>
      </c>
      <c r="AF11" s="40">
        <f>IF(AND($A11&gt;=1,$A11&lt;=Products!$E$16),Z10-Z11,0)</f>
        <v/>
      </c>
      <c r="AG11" s="39">
        <f>IF(AND($A11-Inputs!$C$31&gt;=1,$A11-Inputs!$C$31&lt;=Products!$E$16),INDEX(Curves!$AF$8:$AF$68,$A11-Inputs!$C$31+1),0)*Products!$E$27*Products!$E$28*Products!$E$13</f>
        <v/>
      </c>
      <c r="AH11" s="39">
        <f>IF($A11=Inputs!$C$33,Products!$E$30*Inputs!$C$10*Inputs!$C$32,0)</f>
        <v/>
      </c>
      <c r="AI11" s="39">
        <f>AB11*(1-Inputs!$C$24)-Inputs!$C$25*AE11+AG11+AH11</f>
        <v/>
      </c>
      <c r="AJ11" s="39">
        <f>AJ10+AI11</f>
        <v/>
      </c>
      <c r="AL11" s="40">
        <f>(1-Products!$F$41)^$A11</f>
        <v/>
      </c>
      <c r="AM11" s="39">
        <f>IF(AND($A11&gt;=1,$A11&lt;=Products!$F$16),Products!$F$33,0)</f>
        <v/>
      </c>
      <c r="AN11" s="39">
        <f>AM11*Products!$F$42*AL11</f>
        <v/>
      </c>
      <c r="AO11" s="39">
        <f>AM11-AN11</f>
        <v/>
      </c>
      <c r="AP11" s="39">
        <f>(1-AL11)*MAX(0,Products!$F$16-$A11)*(Products!$F$33-Products!$F$35/Products!$F$16)</f>
        <v/>
      </c>
      <c r="AQ11" s="40">
        <f>IF($A11&lt;=Products!$F$16,AL11,0)</f>
        <v/>
      </c>
      <c r="AR11" s="40">
        <f>IF(AND($A11&gt;=1,$A11&lt;=Products!$F$16),AL10-AL11,0)</f>
        <v/>
      </c>
      <c r="AS11" s="39">
        <f>IF(AND($A11-Inputs!$C$31&gt;=1,$A11-Inputs!$C$31&lt;=Products!$F$16),INDEX(Curves!$AR$8:$AR$68,$A11-Inputs!$C$31+1),0)*Products!$F$27*Products!$F$28*Products!$F$13</f>
        <v/>
      </c>
      <c r="AT11" s="39">
        <f>IF($A11=Inputs!$C$33,Products!$F$30*Inputs!$C$10*Inputs!$C$32,0)</f>
        <v/>
      </c>
      <c r="AU11" s="39">
        <f>AN11*(1-Inputs!$C$24)-Inputs!$C$25*AQ11+AS11+AT11</f>
        <v/>
      </c>
      <c r="AV11" s="39">
        <f>AV10+AU11</f>
        <v/>
      </c>
      <c r="AX11" s="40">
        <f>(1-Products!$G$41)^$A11</f>
        <v/>
      </c>
      <c r="AY11" s="39">
        <f>IF(AND($A11&gt;=1,$A11&lt;=Products!$G$16),Products!$G$33,0)</f>
        <v/>
      </c>
      <c r="AZ11" s="39">
        <f>AY11*Products!$G$42*AX11</f>
        <v/>
      </c>
      <c r="BA11" s="39">
        <f>AY11-AZ11</f>
        <v/>
      </c>
      <c r="BB11" s="39">
        <f>(1-AX11)*MAX(0,Products!$G$16-$A11)*(Products!$G$33-Products!$G$35/Products!$G$16)</f>
        <v/>
      </c>
      <c r="BC11" s="40">
        <f>IF($A11&lt;=Products!$G$16,AX11,0)</f>
        <v/>
      </c>
      <c r="BD11" s="40">
        <f>IF(AND($A11&gt;=1,$A11&lt;=Products!$G$16),AX10-AX11,0)</f>
        <v/>
      </c>
      <c r="BE11" s="39">
        <f>IF(AND($A11-Inputs!$C$31&gt;=1,$A11-Inputs!$C$31&lt;=Products!$G$16),INDEX(Curves!$BD$8:$BD$68,$A11-Inputs!$C$31+1),0)*Products!$G$27*Products!$G$28*Products!$G$13</f>
        <v/>
      </c>
      <c r="BF11" s="39">
        <f>IF($A11=Inputs!$C$33,Products!$G$30*Inputs!$C$10*Inputs!$C$32,0)</f>
        <v/>
      </c>
      <c r="BG11" s="39">
        <f>AZ11*(1-Inputs!$C$24)-Inputs!$C$25*BC11+BE11+BF11</f>
        <v/>
      </c>
      <c r="BH11" s="39">
        <f>BH10+BG11</f>
        <v/>
      </c>
    </row>
    <row r="12">
      <c r="A12" s="46" t="n">
        <v>4</v>
      </c>
      <c r="B12" s="40">
        <f>(1-Products!$C$41)^$A12</f>
        <v/>
      </c>
      <c r="C12" s="39">
        <f>IF(AND($A12&gt;=1,$A12&lt;=Products!$C$16),Products!$C$33,0)</f>
        <v/>
      </c>
      <c r="D12" s="39">
        <f>C12*Products!$C$42*B12</f>
        <v/>
      </c>
      <c r="E12" s="39">
        <f>C12-D12</f>
        <v/>
      </c>
      <c r="F12" s="39">
        <f>(1-B12)*MAX(0,Products!$C$16-$A12)*(Products!$C$33-Products!$C$35/Products!$C$16)</f>
        <v/>
      </c>
      <c r="G12" s="40">
        <f>IF($A12&lt;=Products!$C$16,B12,0)</f>
        <v/>
      </c>
      <c r="H12" s="40">
        <f>IF(AND($A12&gt;=1,$A12&lt;=Products!$C$16),B11-B12,0)</f>
        <v/>
      </c>
      <c r="I12" s="39">
        <f>IF(AND($A12-Inputs!$C$31&gt;=1,$A12-Inputs!$C$31&lt;=Products!$C$16),INDEX(Curves!$H$8:$H$68,$A12-Inputs!$C$31+1),0)*Products!$C$27*Products!$C$28*Products!$C$13</f>
        <v/>
      </c>
      <c r="J12" s="39">
        <f>IF($A12=Inputs!$C$33,Products!$C$30*Inputs!$C$10*Inputs!$C$32,0)</f>
        <v/>
      </c>
      <c r="K12" s="39">
        <f>D12*(1-Inputs!$C$24)-Inputs!$C$25*G12+I12+J12</f>
        <v/>
      </c>
      <c r="L12" s="39">
        <f>L11+K12</f>
        <v/>
      </c>
      <c r="N12" s="40">
        <f>(1-Products!$D$41)^$A12</f>
        <v/>
      </c>
      <c r="O12" s="39">
        <f>IF(AND($A12&gt;=1,$A12&lt;=Products!$D$16),Products!$D$33,0)</f>
        <v/>
      </c>
      <c r="P12" s="39">
        <f>O12*Products!$D$42*N12</f>
        <v/>
      </c>
      <c r="Q12" s="39">
        <f>O12-P12</f>
        <v/>
      </c>
      <c r="R12" s="39">
        <f>(1-N12)*MAX(0,Products!$D$16-$A12)*(Products!$D$33-Products!$D$35/Products!$D$16)</f>
        <v/>
      </c>
      <c r="S12" s="40">
        <f>IF($A12&lt;=Products!$D$16,N12,0)</f>
        <v/>
      </c>
      <c r="T12" s="40">
        <f>IF(AND($A12&gt;=1,$A12&lt;=Products!$D$16),N11-N12,0)</f>
        <v/>
      </c>
      <c r="U12" s="39">
        <f>IF(AND($A12-Inputs!$C$31&gt;=1,$A12-Inputs!$C$31&lt;=Products!$D$16),INDEX(Curves!$T$8:$T$68,$A12-Inputs!$C$31+1),0)*Products!$D$27*Products!$D$28*Products!$D$13</f>
        <v/>
      </c>
      <c r="V12" s="39">
        <f>IF($A12=Inputs!$C$33,Products!$D$30*Inputs!$C$10*Inputs!$C$32,0)</f>
        <v/>
      </c>
      <c r="W12" s="39">
        <f>P12*(1-Inputs!$C$24)-Inputs!$C$25*S12+U12+V12</f>
        <v/>
      </c>
      <c r="X12" s="39">
        <f>X11+W12</f>
        <v/>
      </c>
      <c r="Z12" s="40">
        <f>(1-Products!$E$41)^$A12</f>
        <v/>
      </c>
      <c r="AA12" s="39">
        <f>IF(AND($A12&gt;=1,$A12&lt;=Products!$E$16),Products!$E$33,0)</f>
        <v/>
      </c>
      <c r="AB12" s="39">
        <f>AA12*Products!$E$42*Z12</f>
        <v/>
      </c>
      <c r="AC12" s="39">
        <f>AA12-AB12</f>
        <v/>
      </c>
      <c r="AD12" s="39">
        <f>(1-Z12)*MAX(0,Products!$E$16-$A12)*(Products!$E$33-Products!$E$35/Products!$E$16)</f>
        <v/>
      </c>
      <c r="AE12" s="40">
        <f>IF($A12&lt;=Products!$E$16,Z12,0)</f>
        <v/>
      </c>
      <c r="AF12" s="40">
        <f>IF(AND($A12&gt;=1,$A12&lt;=Products!$E$16),Z11-Z12,0)</f>
        <v/>
      </c>
      <c r="AG12" s="39">
        <f>IF(AND($A12-Inputs!$C$31&gt;=1,$A12-Inputs!$C$31&lt;=Products!$E$16),INDEX(Curves!$AF$8:$AF$68,$A12-Inputs!$C$31+1),0)*Products!$E$27*Products!$E$28*Products!$E$13</f>
        <v/>
      </c>
      <c r="AH12" s="39">
        <f>IF($A12=Inputs!$C$33,Products!$E$30*Inputs!$C$10*Inputs!$C$32,0)</f>
        <v/>
      </c>
      <c r="AI12" s="39">
        <f>AB12*(1-Inputs!$C$24)-Inputs!$C$25*AE12+AG12+AH12</f>
        <v/>
      </c>
      <c r="AJ12" s="39">
        <f>AJ11+AI12</f>
        <v/>
      </c>
      <c r="AL12" s="40">
        <f>(1-Products!$F$41)^$A12</f>
        <v/>
      </c>
      <c r="AM12" s="39">
        <f>IF(AND($A12&gt;=1,$A12&lt;=Products!$F$16),Products!$F$33,0)</f>
        <v/>
      </c>
      <c r="AN12" s="39">
        <f>AM12*Products!$F$42*AL12</f>
        <v/>
      </c>
      <c r="AO12" s="39">
        <f>AM12-AN12</f>
        <v/>
      </c>
      <c r="AP12" s="39">
        <f>(1-AL12)*MAX(0,Products!$F$16-$A12)*(Products!$F$33-Products!$F$35/Products!$F$16)</f>
        <v/>
      </c>
      <c r="AQ12" s="40">
        <f>IF($A12&lt;=Products!$F$16,AL12,0)</f>
        <v/>
      </c>
      <c r="AR12" s="40">
        <f>IF(AND($A12&gt;=1,$A12&lt;=Products!$F$16),AL11-AL12,0)</f>
        <v/>
      </c>
      <c r="AS12" s="39">
        <f>IF(AND($A12-Inputs!$C$31&gt;=1,$A12-Inputs!$C$31&lt;=Products!$F$16),INDEX(Curves!$AR$8:$AR$68,$A12-Inputs!$C$31+1),0)*Products!$F$27*Products!$F$28*Products!$F$13</f>
        <v/>
      </c>
      <c r="AT12" s="39">
        <f>IF($A12=Inputs!$C$33,Products!$F$30*Inputs!$C$10*Inputs!$C$32,0)</f>
        <v/>
      </c>
      <c r="AU12" s="39">
        <f>AN12*(1-Inputs!$C$24)-Inputs!$C$25*AQ12+AS12+AT12</f>
        <v/>
      </c>
      <c r="AV12" s="39">
        <f>AV11+AU12</f>
        <v/>
      </c>
      <c r="AX12" s="40">
        <f>(1-Products!$G$41)^$A12</f>
        <v/>
      </c>
      <c r="AY12" s="39">
        <f>IF(AND($A12&gt;=1,$A12&lt;=Products!$G$16),Products!$G$33,0)</f>
        <v/>
      </c>
      <c r="AZ12" s="39">
        <f>AY12*Products!$G$42*AX12</f>
        <v/>
      </c>
      <c r="BA12" s="39">
        <f>AY12-AZ12</f>
        <v/>
      </c>
      <c r="BB12" s="39">
        <f>(1-AX12)*MAX(0,Products!$G$16-$A12)*(Products!$G$33-Products!$G$35/Products!$G$16)</f>
        <v/>
      </c>
      <c r="BC12" s="40">
        <f>IF($A12&lt;=Products!$G$16,AX12,0)</f>
        <v/>
      </c>
      <c r="BD12" s="40">
        <f>IF(AND($A12&gt;=1,$A12&lt;=Products!$G$16),AX11-AX12,0)</f>
        <v/>
      </c>
      <c r="BE12" s="39">
        <f>IF(AND($A12-Inputs!$C$31&gt;=1,$A12-Inputs!$C$31&lt;=Products!$G$16),INDEX(Curves!$BD$8:$BD$68,$A12-Inputs!$C$31+1),0)*Products!$G$27*Products!$G$28*Products!$G$13</f>
        <v/>
      </c>
      <c r="BF12" s="39">
        <f>IF($A12=Inputs!$C$33,Products!$G$30*Inputs!$C$10*Inputs!$C$32,0)</f>
        <v/>
      </c>
      <c r="BG12" s="39">
        <f>AZ12*(1-Inputs!$C$24)-Inputs!$C$25*BC12+BE12+BF12</f>
        <v/>
      </c>
      <c r="BH12" s="39">
        <f>BH11+BG12</f>
        <v/>
      </c>
    </row>
    <row r="13">
      <c r="A13" s="46" t="n">
        <v>5</v>
      </c>
      <c r="B13" s="40">
        <f>(1-Products!$C$41)^$A13</f>
        <v/>
      </c>
      <c r="C13" s="39">
        <f>IF(AND($A13&gt;=1,$A13&lt;=Products!$C$16),Products!$C$33,0)</f>
        <v/>
      </c>
      <c r="D13" s="39">
        <f>C13*Products!$C$42*B13</f>
        <v/>
      </c>
      <c r="E13" s="39">
        <f>C13-D13</f>
        <v/>
      </c>
      <c r="F13" s="39">
        <f>(1-B13)*MAX(0,Products!$C$16-$A13)*(Products!$C$33-Products!$C$35/Products!$C$16)</f>
        <v/>
      </c>
      <c r="G13" s="40">
        <f>IF($A13&lt;=Products!$C$16,B13,0)</f>
        <v/>
      </c>
      <c r="H13" s="40">
        <f>IF(AND($A13&gt;=1,$A13&lt;=Products!$C$16),B12-B13,0)</f>
        <v/>
      </c>
      <c r="I13" s="39">
        <f>IF(AND($A13-Inputs!$C$31&gt;=1,$A13-Inputs!$C$31&lt;=Products!$C$16),INDEX(Curves!$H$8:$H$68,$A13-Inputs!$C$31+1),0)*Products!$C$27*Products!$C$28*Products!$C$13</f>
        <v/>
      </c>
      <c r="J13" s="39">
        <f>IF($A13=Inputs!$C$33,Products!$C$30*Inputs!$C$10*Inputs!$C$32,0)</f>
        <v/>
      </c>
      <c r="K13" s="39">
        <f>D13*(1-Inputs!$C$24)-Inputs!$C$25*G13+I13+J13</f>
        <v/>
      </c>
      <c r="L13" s="39">
        <f>L12+K13</f>
        <v/>
      </c>
      <c r="N13" s="40">
        <f>(1-Products!$D$41)^$A13</f>
        <v/>
      </c>
      <c r="O13" s="39">
        <f>IF(AND($A13&gt;=1,$A13&lt;=Products!$D$16),Products!$D$33,0)</f>
        <v/>
      </c>
      <c r="P13" s="39">
        <f>O13*Products!$D$42*N13</f>
        <v/>
      </c>
      <c r="Q13" s="39">
        <f>O13-P13</f>
        <v/>
      </c>
      <c r="R13" s="39">
        <f>(1-N13)*MAX(0,Products!$D$16-$A13)*(Products!$D$33-Products!$D$35/Products!$D$16)</f>
        <v/>
      </c>
      <c r="S13" s="40">
        <f>IF($A13&lt;=Products!$D$16,N13,0)</f>
        <v/>
      </c>
      <c r="T13" s="40">
        <f>IF(AND($A13&gt;=1,$A13&lt;=Products!$D$16),N12-N13,0)</f>
        <v/>
      </c>
      <c r="U13" s="39">
        <f>IF(AND($A13-Inputs!$C$31&gt;=1,$A13-Inputs!$C$31&lt;=Products!$D$16),INDEX(Curves!$T$8:$T$68,$A13-Inputs!$C$31+1),0)*Products!$D$27*Products!$D$28*Products!$D$13</f>
        <v/>
      </c>
      <c r="V13" s="39">
        <f>IF($A13=Inputs!$C$33,Products!$D$30*Inputs!$C$10*Inputs!$C$32,0)</f>
        <v/>
      </c>
      <c r="W13" s="39">
        <f>P13*(1-Inputs!$C$24)-Inputs!$C$25*S13+U13+V13</f>
        <v/>
      </c>
      <c r="X13" s="39">
        <f>X12+W13</f>
        <v/>
      </c>
      <c r="Z13" s="40">
        <f>(1-Products!$E$41)^$A13</f>
        <v/>
      </c>
      <c r="AA13" s="39">
        <f>IF(AND($A13&gt;=1,$A13&lt;=Products!$E$16),Products!$E$33,0)</f>
        <v/>
      </c>
      <c r="AB13" s="39">
        <f>AA13*Products!$E$42*Z13</f>
        <v/>
      </c>
      <c r="AC13" s="39">
        <f>AA13-AB13</f>
        <v/>
      </c>
      <c r="AD13" s="39">
        <f>(1-Z13)*MAX(0,Products!$E$16-$A13)*(Products!$E$33-Products!$E$35/Products!$E$16)</f>
        <v/>
      </c>
      <c r="AE13" s="40">
        <f>IF($A13&lt;=Products!$E$16,Z13,0)</f>
        <v/>
      </c>
      <c r="AF13" s="40">
        <f>IF(AND($A13&gt;=1,$A13&lt;=Products!$E$16),Z12-Z13,0)</f>
        <v/>
      </c>
      <c r="AG13" s="39">
        <f>IF(AND($A13-Inputs!$C$31&gt;=1,$A13-Inputs!$C$31&lt;=Products!$E$16),INDEX(Curves!$AF$8:$AF$68,$A13-Inputs!$C$31+1),0)*Products!$E$27*Products!$E$28*Products!$E$13</f>
        <v/>
      </c>
      <c r="AH13" s="39">
        <f>IF($A13=Inputs!$C$33,Products!$E$30*Inputs!$C$10*Inputs!$C$32,0)</f>
        <v/>
      </c>
      <c r="AI13" s="39">
        <f>AB13*(1-Inputs!$C$24)-Inputs!$C$25*AE13+AG13+AH13</f>
        <v/>
      </c>
      <c r="AJ13" s="39">
        <f>AJ12+AI13</f>
        <v/>
      </c>
      <c r="AL13" s="40">
        <f>(1-Products!$F$41)^$A13</f>
        <v/>
      </c>
      <c r="AM13" s="39">
        <f>IF(AND($A13&gt;=1,$A13&lt;=Products!$F$16),Products!$F$33,0)</f>
        <v/>
      </c>
      <c r="AN13" s="39">
        <f>AM13*Products!$F$42*AL13</f>
        <v/>
      </c>
      <c r="AO13" s="39">
        <f>AM13-AN13</f>
        <v/>
      </c>
      <c r="AP13" s="39">
        <f>(1-AL13)*MAX(0,Products!$F$16-$A13)*(Products!$F$33-Products!$F$35/Products!$F$16)</f>
        <v/>
      </c>
      <c r="AQ13" s="40">
        <f>IF($A13&lt;=Products!$F$16,AL13,0)</f>
        <v/>
      </c>
      <c r="AR13" s="40">
        <f>IF(AND($A13&gt;=1,$A13&lt;=Products!$F$16),AL12-AL13,0)</f>
        <v/>
      </c>
      <c r="AS13" s="39">
        <f>IF(AND($A13-Inputs!$C$31&gt;=1,$A13-Inputs!$C$31&lt;=Products!$F$16),INDEX(Curves!$AR$8:$AR$68,$A13-Inputs!$C$31+1),0)*Products!$F$27*Products!$F$28*Products!$F$13</f>
        <v/>
      </c>
      <c r="AT13" s="39">
        <f>IF($A13=Inputs!$C$33,Products!$F$30*Inputs!$C$10*Inputs!$C$32,0)</f>
        <v/>
      </c>
      <c r="AU13" s="39">
        <f>AN13*(1-Inputs!$C$24)-Inputs!$C$25*AQ13+AS13+AT13</f>
        <v/>
      </c>
      <c r="AV13" s="39">
        <f>AV12+AU13</f>
        <v/>
      </c>
      <c r="AX13" s="40">
        <f>(1-Products!$G$41)^$A13</f>
        <v/>
      </c>
      <c r="AY13" s="39">
        <f>IF(AND($A13&gt;=1,$A13&lt;=Products!$G$16),Products!$G$33,0)</f>
        <v/>
      </c>
      <c r="AZ13" s="39">
        <f>AY13*Products!$G$42*AX13</f>
        <v/>
      </c>
      <c r="BA13" s="39">
        <f>AY13-AZ13</f>
        <v/>
      </c>
      <c r="BB13" s="39">
        <f>(1-AX13)*MAX(0,Products!$G$16-$A13)*(Products!$G$33-Products!$G$35/Products!$G$16)</f>
        <v/>
      </c>
      <c r="BC13" s="40">
        <f>IF($A13&lt;=Products!$G$16,AX13,0)</f>
        <v/>
      </c>
      <c r="BD13" s="40">
        <f>IF(AND($A13&gt;=1,$A13&lt;=Products!$G$16),AX12-AX13,0)</f>
        <v/>
      </c>
      <c r="BE13" s="39">
        <f>IF(AND($A13-Inputs!$C$31&gt;=1,$A13-Inputs!$C$31&lt;=Products!$G$16),INDEX(Curves!$BD$8:$BD$68,$A13-Inputs!$C$31+1),0)*Products!$G$27*Products!$G$28*Products!$G$13</f>
        <v/>
      </c>
      <c r="BF13" s="39">
        <f>IF($A13=Inputs!$C$33,Products!$G$30*Inputs!$C$10*Inputs!$C$32,0)</f>
        <v/>
      </c>
      <c r="BG13" s="39">
        <f>AZ13*(1-Inputs!$C$24)-Inputs!$C$25*BC13+BE13+BF13</f>
        <v/>
      </c>
      <c r="BH13" s="39">
        <f>BH12+BG13</f>
        <v/>
      </c>
    </row>
    <row r="14">
      <c r="A14" s="46" t="n">
        <v>6</v>
      </c>
      <c r="B14" s="40">
        <f>(1-Products!$C$41)^$A14</f>
        <v/>
      </c>
      <c r="C14" s="39">
        <f>IF(AND($A14&gt;=1,$A14&lt;=Products!$C$16),Products!$C$33,0)</f>
        <v/>
      </c>
      <c r="D14" s="39">
        <f>C14*Products!$C$42*B14</f>
        <v/>
      </c>
      <c r="E14" s="39">
        <f>C14-D14</f>
        <v/>
      </c>
      <c r="F14" s="39">
        <f>(1-B14)*MAX(0,Products!$C$16-$A14)*(Products!$C$33-Products!$C$35/Products!$C$16)</f>
        <v/>
      </c>
      <c r="G14" s="40">
        <f>IF($A14&lt;=Products!$C$16,B14,0)</f>
        <v/>
      </c>
      <c r="H14" s="40">
        <f>IF(AND($A14&gt;=1,$A14&lt;=Products!$C$16),B13-B14,0)</f>
        <v/>
      </c>
      <c r="I14" s="39">
        <f>IF(AND($A14-Inputs!$C$31&gt;=1,$A14-Inputs!$C$31&lt;=Products!$C$16),INDEX(Curves!$H$8:$H$68,$A14-Inputs!$C$31+1),0)*Products!$C$27*Products!$C$28*Products!$C$13</f>
        <v/>
      </c>
      <c r="J14" s="39">
        <f>IF($A14=Inputs!$C$33,Products!$C$30*Inputs!$C$10*Inputs!$C$32,0)</f>
        <v/>
      </c>
      <c r="K14" s="39">
        <f>D14*(1-Inputs!$C$24)-Inputs!$C$25*G14+I14+J14</f>
        <v/>
      </c>
      <c r="L14" s="39">
        <f>L13+K14</f>
        <v/>
      </c>
      <c r="N14" s="40">
        <f>(1-Products!$D$41)^$A14</f>
        <v/>
      </c>
      <c r="O14" s="39">
        <f>IF(AND($A14&gt;=1,$A14&lt;=Products!$D$16),Products!$D$33,0)</f>
        <v/>
      </c>
      <c r="P14" s="39">
        <f>O14*Products!$D$42*N14</f>
        <v/>
      </c>
      <c r="Q14" s="39">
        <f>O14-P14</f>
        <v/>
      </c>
      <c r="R14" s="39">
        <f>(1-N14)*MAX(0,Products!$D$16-$A14)*(Products!$D$33-Products!$D$35/Products!$D$16)</f>
        <v/>
      </c>
      <c r="S14" s="40">
        <f>IF($A14&lt;=Products!$D$16,N14,0)</f>
        <v/>
      </c>
      <c r="T14" s="40">
        <f>IF(AND($A14&gt;=1,$A14&lt;=Products!$D$16),N13-N14,0)</f>
        <v/>
      </c>
      <c r="U14" s="39">
        <f>IF(AND($A14-Inputs!$C$31&gt;=1,$A14-Inputs!$C$31&lt;=Products!$D$16),INDEX(Curves!$T$8:$T$68,$A14-Inputs!$C$31+1),0)*Products!$D$27*Products!$D$28*Products!$D$13</f>
        <v/>
      </c>
      <c r="V14" s="39">
        <f>IF($A14=Inputs!$C$33,Products!$D$30*Inputs!$C$10*Inputs!$C$32,0)</f>
        <v/>
      </c>
      <c r="W14" s="39">
        <f>P14*(1-Inputs!$C$24)-Inputs!$C$25*S14+U14+V14</f>
        <v/>
      </c>
      <c r="X14" s="39">
        <f>X13+W14</f>
        <v/>
      </c>
      <c r="Z14" s="40">
        <f>(1-Products!$E$41)^$A14</f>
        <v/>
      </c>
      <c r="AA14" s="39">
        <f>IF(AND($A14&gt;=1,$A14&lt;=Products!$E$16),Products!$E$33,0)</f>
        <v/>
      </c>
      <c r="AB14" s="39">
        <f>AA14*Products!$E$42*Z14</f>
        <v/>
      </c>
      <c r="AC14" s="39">
        <f>AA14-AB14</f>
        <v/>
      </c>
      <c r="AD14" s="39">
        <f>(1-Z14)*MAX(0,Products!$E$16-$A14)*(Products!$E$33-Products!$E$35/Products!$E$16)</f>
        <v/>
      </c>
      <c r="AE14" s="40">
        <f>IF($A14&lt;=Products!$E$16,Z14,0)</f>
        <v/>
      </c>
      <c r="AF14" s="40">
        <f>IF(AND($A14&gt;=1,$A14&lt;=Products!$E$16),Z13-Z14,0)</f>
        <v/>
      </c>
      <c r="AG14" s="39">
        <f>IF(AND($A14-Inputs!$C$31&gt;=1,$A14-Inputs!$C$31&lt;=Products!$E$16),INDEX(Curves!$AF$8:$AF$68,$A14-Inputs!$C$31+1),0)*Products!$E$27*Products!$E$28*Products!$E$13</f>
        <v/>
      </c>
      <c r="AH14" s="39">
        <f>IF($A14=Inputs!$C$33,Products!$E$30*Inputs!$C$10*Inputs!$C$32,0)</f>
        <v/>
      </c>
      <c r="AI14" s="39">
        <f>AB14*(1-Inputs!$C$24)-Inputs!$C$25*AE14+AG14+AH14</f>
        <v/>
      </c>
      <c r="AJ14" s="39">
        <f>AJ13+AI14</f>
        <v/>
      </c>
      <c r="AL14" s="40">
        <f>(1-Products!$F$41)^$A14</f>
        <v/>
      </c>
      <c r="AM14" s="39">
        <f>IF(AND($A14&gt;=1,$A14&lt;=Products!$F$16),Products!$F$33,0)</f>
        <v/>
      </c>
      <c r="AN14" s="39">
        <f>AM14*Products!$F$42*AL14</f>
        <v/>
      </c>
      <c r="AO14" s="39">
        <f>AM14-AN14</f>
        <v/>
      </c>
      <c r="AP14" s="39">
        <f>(1-AL14)*MAX(0,Products!$F$16-$A14)*(Products!$F$33-Products!$F$35/Products!$F$16)</f>
        <v/>
      </c>
      <c r="AQ14" s="40">
        <f>IF($A14&lt;=Products!$F$16,AL14,0)</f>
        <v/>
      </c>
      <c r="AR14" s="40">
        <f>IF(AND($A14&gt;=1,$A14&lt;=Products!$F$16),AL13-AL14,0)</f>
        <v/>
      </c>
      <c r="AS14" s="39">
        <f>IF(AND($A14-Inputs!$C$31&gt;=1,$A14-Inputs!$C$31&lt;=Products!$F$16),INDEX(Curves!$AR$8:$AR$68,$A14-Inputs!$C$31+1),0)*Products!$F$27*Products!$F$28*Products!$F$13</f>
        <v/>
      </c>
      <c r="AT14" s="39">
        <f>IF($A14=Inputs!$C$33,Products!$F$30*Inputs!$C$10*Inputs!$C$32,0)</f>
        <v/>
      </c>
      <c r="AU14" s="39">
        <f>AN14*(1-Inputs!$C$24)-Inputs!$C$25*AQ14+AS14+AT14</f>
        <v/>
      </c>
      <c r="AV14" s="39">
        <f>AV13+AU14</f>
        <v/>
      </c>
      <c r="AX14" s="40">
        <f>(1-Products!$G$41)^$A14</f>
        <v/>
      </c>
      <c r="AY14" s="39">
        <f>IF(AND($A14&gt;=1,$A14&lt;=Products!$G$16),Products!$G$33,0)</f>
        <v/>
      </c>
      <c r="AZ14" s="39">
        <f>AY14*Products!$G$42*AX14</f>
        <v/>
      </c>
      <c r="BA14" s="39">
        <f>AY14-AZ14</f>
        <v/>
      </c>
      <c r="BB14" s="39">
        <f>(1-AX14)*MAX(0,Products!$G$16-$A14)*(Products!$G$33-Products!$G$35/Products!$G$16)</f>
        <v/>
      </c>
      <c r="BC14" s="40">
        <f>IF($A14&lt;=Products!$G$16,AX14,0)</f>
        <v/>
      </c>
      <c r="BD14" s="40">
        <f>IF(AND($A14&gt;=1,$A14&lt;=Products!$G$16),AX13-AX14,0)</f>
        <v/>
      </c>
      <c r="BE14" s="39">
        <f>IF(AND($A14-Inputs!$C$31&gt;=1,$A14-Inputs!$C$31&lt;=Products!$G$16),INDEX(Curves!$BD$8:$BD$68,$A14-Inputs!$C$31+1),0)*Products!$G$27*Products!$G$28*Products!$G$13</f>
        <v/>
      </c>
      <c r="BF14" s="39">
        <f>IF($A14=Inputs!$C$33,Products!$G$30*Inputs!$C$10*Inputs!$C$32,0)</f>
        <v/>
      </c>
      <c r="BG14" s="39">
        <f>AZ14*(1-Inputs!$C$24)-Inputs!$C$25*BC14+BE14+BF14</f>
        <v/>
      </c>
      <c r="BH14" s="39">
        <f>BH13+BG14</f>
        <v/>
      </c>
    </row>
    <row r="15">
      <c r="A15" s="46" t="n">
        <v>7</v>
      </c>
      <c r="B15" s="40">
        <f>(1-Products!$C$41)^$A15</f>
        <v/>
      </c>
      <c r="C15" s="39">
        <f>IF(AND($A15&gt;=1,$A15&lt;=Products!$C$16),Products!$C$33,0)</f>
        <v/>
      </c>
      <c r="D15" s="39">
        <f>C15*Products!$C$42*B15</f>
        <v/>
      </c>
      <c r="E15" s="39">
        <f>C15-D15</f>
        <v/>
      </c>
      <c r="F15" s="39">
        <f>(1-B15)*MAX(0,Products!$C$16-$A15)*(Products!$C$33-Products!$C$35/Products!$C$16)</f>
        <v/>
      </c>
      <c r="G15" s="40">
        <f>IF($A15&lt;=Products!$C$16,B15,0)</f>
        <v/>
      </c>
      <c r="H15" s="40">
        <f>IF(AND($A15&gt;=1,$A15&lt;=Products!$C$16),B14-B15,0)</f>
        <v/>
      </c>
      <c r="I15" s="39">
        <f>IF(AND($A15-Inputs!$C$31&gt;=1,$A15-Inputs!$C$31&lt;=Products!$C$16),INDEX(Curves!$H$8:$H$68,$A15-Inputs!$C$31+1),0)*Products!$C$27*Products!$C$28*Products!$C$13</f>
        <v/>
      </c>
      <c r="J15" s="39">
        <f>IF($A15=Inputs!$C$33,Products!$C$30*Inputs!$C$10*Inputs!$C$32,0)</f>
        <v/>
      </c>
      <c r="K15" s="39">
        <f>D15*(1-Inputs!$C$24)-Inputs!$C$25*G15+I15+J15</f>
        <v/>
      </c>
      <c r="L15" s="39">
        <f>L14+K15</f>
        <v/>
      </c>
      <c r="N15" s="40">
        <f>(1-Products!$D$41)^$A15</f>
        <v/>
      </c>
      <c r="O15" s="39">
        <f>IF(AND($A15&gt;=1,$A15&lt;=Products!$D$16),Products!$D$33,0)</f>
        <v/>
      </c>
      <c r="P15" s="39">
        <f>O15*Products!$D$42*N15</f>
        <v/>
      </c>
      <c r="Q15" s="39">
        <f>O15-P15</f>
        <v/>
      </c>
      <c r="R15" s="39">
        <f>(1-N15)*MAX(0,Products!$D$16-$A15)*(Products!$D$33-Products!$D$35/Products!$D$16)</f>
        <v/>
      </c>
      <c r="S15" s="40">
        <f>IF($A15&lt;=Products!$D$16,N15,0)</f>
        <v/>
      </c>
      <c r="T15" s="40">
        <f>IF(AND($A15&gt;=1,$A15&lt;=Products!$D$16),N14-N15,0)</f>
        <v/>
      </c>
      <c r="U15" s="39">
        <f>IF(AND($A15-Inputs!$C$31&gt;=1,$A15-Inputs!$C$31&lt;=Products!$D$16),INDEX(Curves!$T$8:$T$68,$A15-Inputs!$C$31+1),0)*Products!$D$27*Products!$D$28*Products!$D$13</f>
        <v/>
      </c>
      <c r="V15" s="39">
        <f>IF($A15=Inputs!$C$33,Products!$D$30*Inputs!$C$10*Inputs!$C$32,0)</f>
        <v/>
      </c>
      <c r="W15" s="39">
        <f>P15*(1-Inputs!$C$24)-Inputs!$C$25*S15+U15+V15</f>
        <v/>
      </c>
      <c r="X15" s="39">
        <f>X14+W15</f>
        <v/>
      </c>
      <c r="Z15" s="40">
        <f>(1-Products!$E$41)^$A15</f>
        <v/>
      </c>
      <c r="AA15" s="39">
        <f>IF(AND($A15&gt;=1,$A15&lt;=Products!$E$16),Products!$E$33,0)</f>
        <v/>
      </c>
      <c r="AB15" s="39">
        <f>AA15*Products!$E$42*Z15</f>
        <v/>
      </c>
      <c r="AC15" s="39">
        <f>AA15-AB15</f>
        <v/>
      </c>
      <c r="AD15" s="39">
        <f>(1-Z15)*MAX(0,Products!$E$16-$A15)*(Products!$E$33-Products!$E$35/Products!$E$16)</f>
        <v/>
      </c>
      <c r="AE15" s="40">
        <f>IF($A15&lt;=Products!$E$16,Z15,0)</f>
        <v/>
      </c>
      <c r="AF15" s="40">
        <f>IF(AND($A15&gt;=1,$A15&lt;=Products!$E$16),Z14-Z15,0)</f>
        <v/>
      </c>
      <c r="AG15" s="39">
        <f>IF(AND($A15-Inputs!$C$31&gt;=1,$A15-Inputs!$C$31&lt;=Products!$E$16),INDEX(Curves!$AF$8:$AF$68,$A15-Inputs!$C$31+1),0)*Products!$E$27*Products!$E$28*Products!$E$13</f>
        <v/>
      </c>
      <c r="AH15" s="39">
        <f>IF($A15=Inputs!$C$33,Products!$E$30*Inputs!$C$10*Inputs!$C$32,0)</f>
        <v/>
      </c>
      <c r="AI15" s="39">
        <f>AB15*(1-Inputs!$C$24)-Inputs!$C$25*AE15+AG15+AH15</f>
        <v/>
      </c>
      <c r="AJ15" s="39">
        <f>AJ14+AI15</f>
        <v/>
      </c>
      <c r="AL15" s="40">
        <f>(1-Products!$F$41)^$A15</f>
        <v/>
      </c>
      <c r="AM15" s="39">
        <f>IF(AND($A15&gt;=1,$A15&lt;=Products!$F$16),Products!$F$33,0)</f>
        <v/>
      </c>
      <c r="AN15" s="39">
        <f>AM15*Products!$F$42*AL15</f>
        <v/>
      </c>
      <c r="AO15" s="39">
        <f>AM15-AN15</f>
        <v/>
      </c>
      <c r="AP15" s="39">
        <f>(1-AL15)*MAX(0,Products!$F$16-$A15)*(Products!$F$33-Products!$F$35/Products!$F$16)</f>
        <v/>
      </c>
      <c r="AQ15" s="40">
        <f>IF($A15&lt;=Products!$F$16,AL15,0)</f>
        <v/>
      </c>
      <c r="AR15" s="40">
        <f>IF(AND($A15&gt;=1,$A15&lt;=Products!$F$16),AL14-AL15,0)</f>
        <v/>
      </c>
      <c r="AS15" s="39">
        <f>IF(AND($A15-Inputs!$C$31&gt;=1,$A15-Inputs!$C$31&lt;=Products!$F$16),INDEX(Curves!$AR$8:$AR$68,$A15-Inputs!$C$31+1),0)*Products!$F$27*Products!$F$28*Products!$F$13</f>
        <v/>
      </c>
      <c r="AT15" s="39">
        <f>IF($A15=Inputs!$C$33,Products!$F$30*Inputs!$C$10*Inputs!$C$32,0)</f>
        <v/>
      </c>
      <c r="AU15" s="39">
        <f>AN15*(1-Inputs!$C$24)-Inputs!$C$25*AQ15+AS15+AT15</f>
        <v/>
      </c>
      <c r="AV15" s="39">
        <f>AV14+AU15</f>
        <v/>
      </c>
      <c r="AX15" s="40">
        <f>(1-Products!$G$41)^$A15</f>
        <v/>
      </c>
      <c r="AY15" s="39">
        <f>IF(AND($A15&gt;=1,$A15&lt;=Products!$G$16),Products!$G$33,0)</f>
        <v/>
      </c>
      <c r="AZ15" s="39">
        <f>AY15*Products!$G$42*AX15</f>
        <v/>
      </c>
      <c r="BA15" s="39">
        <f>AY15-AZ15</f>
        <v/>
      </c>
      <c r="BB15" s="39">
        <f>(1-AX15)*MAX(0,Products!$G$16-$A15)*(Products!$G$33-Products!$G$35/Products!$G$16)</f>
        <v/>
      </c>
      <c r="BC15" s="40">
        <f>IF($A15&lt;=Products!$G$16,AX15,0)</f>
        <v/>
      </c>
      <c r="BD15" s="40">
        <f>IF(AND($A15&gt;=1,$A15&lt;=Products!$G$16),AX14-AX15,0)</f>
        <v/>
      </c>
      <c r="BE15" s="39">
        <f>IF(AND($A15-Inputs!$C$31&gt;=1,$A15-Inputs!$C$31&lt;=Products!$G$16),INDEX(Curves!$BD$8:$BD$68,$A15-Inputs!$C$31+1),0)*Products!$G$27*Products!$G$28*Products!$G$13</f>
        <v/>
      </c>
      <c r="BF15" s="39">
        <f>IF($A15=Inputs!$C$33,Products!$G$30*Inputs!$C$10*Inputs!$C$32,0)</f>
        <v/>
      </c>
      <c r="BG15" s="39">
        <f>AZ15*(1-Inputs!$C$24)-Inputs!$C$25*BC15+BE15+BF15</f>
        <v/>
      </c>
      <c r="BH15" s="39">
        <f>BH14+BG15</f>
        <v/>
      </c>
    </row>
    <row r="16">
      <c r="A16" s="46" t="n">
        <v>8</v>
      </c>
      <c r="B16" s="40">
        <f>(1-Products!$C$41)^$A16</f>
        <v/>
      </c>
      <c r="C16" s="39">
        <f>IF(AND($A16&gt;=1,$A16&lt;=Products!$C$16),Products!$C$33,0)</f>
        <v/>
      </c>
      <c r="D16" s="39">
        <f>C16*Products!$C$42*B16</f>
        <v/>
      </c>
      <c r="E16" s="39">
        <f>C16-D16</f>
        <v/>
      </c>
      <c r="F16" s="39">
        <f>(1-B16)*MAX(0,Products!$C$16-$A16)*(Products!$C$33-Products!$C$35/Products!$C$16)</f>
        <v/>
      </c>
      <c r="G16" s="40">
        <f>IF($A16&lt;=Products!$C$16,B16,0)</f>
        <v/>
      </c>
      <c r="H16" s="40">
        <f>IF(AND($A16&gt;=1,$A16&lt;=Products!$C$16),B15-B16,0)</f>
        <v/>
      </c>
      <c r="I16" s="39">
        <f>IF(AND($A16-Inputs!$C$31&gt;=1,$A16-Inputs!$C$31&lt;=Products!$C$16),INDEX(Curves!$H$8:$H$68,$A16-Inputs!$C$31+1),0)*Products!$C$27*Products!$C$28*Products!$C$13</f>
        <v/>
      </c>
      <c r="J16" s="39">
        <f>IF($A16=Inputs!$C$33,Products!$C$30*Inputs!$C$10*Inputs!$C$32,0)</f>
        <v/>
      </c>
      <c r="K16" s="39">
        <f>D16*(1-Inputs!$C$24)-Inputs!$C$25*G16+I16+J16</f>
        <v/>
      </c>
      <c r="L16" s="39">
        <f>L15+K16</f>
        <v/>
      </c>
      <c r="N16" s="40">
        <f>(1-Products!$D$41)^$A16</f>
        <v/>
      </c>
      <c r="O16" s="39">
        <f>IF(AND($A16&gt;=1,$A16&lt;=Products!$D$16),Products!$D$33,0)</f>
        <v/>
      </c>
      <c r="P16" s="39">
        <f>O16*Products!$D$42*N16</f>
        <v/>
      </c>
      <c r="Q16" s="39">
        <f>O16-P16</f>
        <v/>
      </c>
      <c r="R16" s="39">
        <f>(1-N16)*MAX(0,Products!$D$16-$A16)*(Products!$D$33-Products!$D$35/Products!$D$16)</f>
        <v/>
      </c>
      <c r="S16" s="40">
        <f>IF($A16&lt;=Products!$D$16,N16,0)</f>
        <v/>
      </c>
      <c r="T16" s="40">
        <f>IF(AND($A16&gt;=1,$A16&lt;=Products!$D$16),N15-N16,0)</f>
        <v/>
      </c>
      <c r="U16" s="39">
        <f>IF(AND($A16-Inputs!$C$31&gt;=1,$A16-Inputs!$C$31&lt;=Products!$D$16),INDEX(Curves!$T$8:$T$68,$A16-Inputs!$C$31+1),0)*Products!$D$27*Products!$D$28*Products!$D$13</f>
        <v/>
      </c>
      <c r="V16" s="39">
        <f>IF($A16=Inputs!$C$33,Products!$D$30*Inputs!$C$10*Inputs!$C$32,0)</f>
        <v/>
      </c>
      <c r="W16" s="39">
        <f>P16*(1-Inputs!$C$24)-Inputs!$C$25*S16+U16+V16</f>
        <v/>
      </c>
      <c r="X16" s="39">
        <f>X15+W16</f>
        <v/>
      </c>
      <c r="Z16" s="40">
        <f>(1-Products!$E$41)^$A16</f>
        <v/>
      </c>
      <c r="AA16" s="39">
        <f>IF(AND($A16&gt;=1,$A16&lt;=Products!$E$16),Products!$E$33,0)</f>
        <v/>
      </c>
      <c r="AB16" s="39">
        <f>AA16*Products!$E$42*Z16</f>
        <v/>
      </c>
      <c r="AC16" s="39">
        <f>AA16-AB16</f>
        <v/>
      </c>
      <c r="AD16" s="39">
        <f>(1-Z16)*MAX(0,Products!$E$16-$A16)*(Products!$E$33-Products!$E$35/Products!$E$16)</f>
        <v/>
      </c>
      <c r="AE16" s="40">
        <f>IF($A16&lt;=Products!$E$16,Z16,0)</f>
        <v/>
      </c>
      <c r="AF16" s="40">
        <f>IF(AND($A16&gt;=1,$A16&lt;=Products!$E$16),Z15-Z16,0)</f>
        <v/>
      </c>
      <c r="AG16" s="39">
        <f>IF(AND($A16-Inputs!$C$31&gt;=1,$A16-Inputs!$C$31&lt;=Products!$E$16),INDEX(Curves!$AF$8:$AF$68,$A16-Inputs!$C$31+1),0)*Products!$E$27*Products!$E$28*Products!$E$13</f>
        <v/>
      </c>
      <c r="AH16" s="39">
        <f>IF($A16=Inputs!$C$33,Products!$E$30*Inputs!$C$10*Inputs!$C$32,0)</f>
        <v/>
      </c>
      <c r="AI16" s="39">
        <f>AB16*(1-Inputs!$C$24)-Inputs!$C$25*AE16+AG16+AH16</f>
        <v/>
      </c>
      <c r="AJ16" s="39">
        <f>AJ15+AI16</f>
        <v/>
      </c>
      <c r="AL16" s="40">
        <f>(1-Products!$F$41)^$A16</f>
        <v/>
      </c>
      <c r="AM16" s="39">
        <f>IF(AND($A16&gt;=1,$A16&lt;=Products!$F$16),Products!$F$33,0)</f>
        <v/>
      </c>
      <c r="AN16" s="39">
        <f>AM16*Products!$F$42*AL16</f>
        <v/>
      </c>
      <c r="AO16" s="39">
        <f>AM16-AN16</f>
        <v/>
      </c>
      <c r="AP16" s="39">
        <f>(1-AL16)*MAX(0,Products!$F$16-$A16)*(Products!$F$33-Products!$F$35/Products!$F$16)</f>
        <v/>
      </c>
      <c r="AQ16" s="40">
        <f>IF($A16&lt;=Products!$F$16,AL16,0)</f>
        <v/>
      </c>
      <c r="AR16" s="40">
        <f>IF(AND($A16&gt;=1,$A16&lt;=Products!$F$16),AL15-AL16,0)</f>
        <v/>
      </c>
      <c r="AS16" s="39">
        <f>IF(AND($A16-Inputs!$C$31&gt;=1,$A16-Inputs!$C$31&lt;=Products!$F$16),INDEX(Curves!$AR$8:$AR$68,$A16-Inputs!$C$31+1),0)*Products!$F$27*Products!$F$28*Products!$F$13</f>
        <v/>
      </c>
      <c r="AT16" s="39">
        <f>IF($A16=Inputs!$C$33,Products!$F$30*Inputs!$C$10*Inputs!$C$32,0)</f>
        <v/>
      </c>
      <c r="AU16" s="39">
        <f>AN16*(1-Inputs!$C$24)-Inputs!$C$25*AQ16+AS16+AT16</f>
        <v/>
      </c>
      <c r="AV16" s="39">
        <f>AV15+AU16</f>
        <v/>
      </c>
      <c r="AX16" s="40">
        <f>(1-Products!$G$41)^$A16</f>
        <v/>
      </c>
      <c r="AY16" s="39">
        <f>IF(AND($A16&gt;=1,$A16&lt;=Products!$G$16),Products!$G$33,0)</f>
        <v/>
      </c>
      <c r="AZ16" s="39">
        <f>AY16*Products!$G$42*AX16</f>
        <v/>
      </c>
      <c r="BA16" s="39">
        <f>AY16-AZ16</f>
        <v/>
      </c>
      <c r="BB16" s="39">
        <f>(1-AX16)*MAX(0,Products!$G$16-$A16)*(Products!$G$33-Products!$G$35/Products!$G$16)</f>
        <v/>
      </c>
      <c r="BC16" s="40">
        <f>IF($A16&lt;=Products!$G$16,AX16,0)</f>
        <v/>
      </c>
      <c r="BD16" s="40">
        <f>IF(AND($A16&gt;=1,$A16&lt;=Products!$G$16),AX15-AX16,0)</f>
        <v/>
      </c>
      <c r="BE16" s="39">
        <f>IF(AND($A16-Inputs!$C$31&gt;=1,$A16-Inputs!$C$31&lt;=Products!$G$16),INDEX(Curves!$BD$8:$BD$68,$A16-Inputs!$C$31+1),0)*Products!$G$27*Products!$G$28*Products!$G$13</f>
        <v/>
      </c>
      <c r="BF16" s="39">
        <f>IF($A16=Inputs!$C$33,Products!$G$30*Inputs!$C$10*Inputs!$C$32,0)</f>
        <v/>
      </c>
      <c r="BG16" s="39">
        <f>AZ16*(1-Inputs!$C$24)-Inputs!$C$25*BC16+BE16+BF16</f>
        <v/>
      </c>
      <c r="BH16" s="39">
        <f>BH15+BG16</f>
        <v/>
      </c>
    </row>
    <row r="17">
      <c r="A17" s="46" t="n">
        <v>9</v>
      </c>
      <c r="B17" s="40">
        <f>(1-Products!$C$41)^$A17</f>
        <v/>
      </c>
      <c r="C17" s="39">
        <f>IF(AND($A17&gt;=1,$A17&lt;=Products!$C$16),Products!$C$33,0)</f>
        <v/>
      </c>
      <c r="D17" s="39">
        <f>C17*Products!$C$42*B17</f>
        <v/>
      </c>
      <c r="E17" s="39">
        <f>C17-D17</f>
        <v/>
      </c>
      <c r="F17" s="39">
        <f>(1-B17)*MAX(0,Products!$C$16-$A17)*(Products!$C$33-Products!$C$35/Products!$C$16)</f>
        <v/>
      </c>
      <c r="G17" s="40">
        <f>IF($A17&lt;=Products!$C$16,B17,0)</f>
        <v/>
      </c>
      <c r="H17" s="40">
        <f>IF(AND($A17&gt;=1,$A17&lt;=Products!$C$16),B16-B17,0)</f>
        <v/>
      </c>
      <c r="I17" s="39">
        <f>IF(AND($A17-Inputs!$C$31&gt;=1,$A17-Inputs!$C$31&lt;=Products!$C$16),INDEX(Curves!$H$8:$H$68,$A17-Inputs!$C$31+1),0)*Products!$C$27*Products!$C$28*Products!$C$13</f>
        <v/>
      </c>
      <c r="J17" s="39">
        <f>IF($A17=Inputs!$C$33,Products!$C$30*Inputs!$C$10*Inputs!$C$32,0)</f>
        <v/>
      </c>
      <c r="K17" s="39">
        <f>D17*(1-Inputs!$C$24)-Inputs!$C$25*G17+I17+J17</f>
        <v/>
      </c>
      <c r="L17" s="39">
        <f>L16+K17</f>
        <v/>
      </c>
      <c r="N17" s="40">
        <f>(1-Products!$D$41)^$A17</f>
        <v/>
      </c>
      <c r="O17" s="39">
        <f>IF(AND($A17&gt;=1,$A17&lt;=Products!$D$16),Products!$D$33,0)</f>
        <v/>
      </c>
      <c r="P17" s="39">
        <f>O17*Products!$D$42*N17</f>
        <v/>
      </c>
      <c r="Q17" s="39">
        <f>O17-P17</f>
        <v/>
      </c>
      <c r="R17" s="39">
        <f>(1-N17)*MAX(0,Products!$D$16-$A17)*(Products!$D$33-Products!$D$35/Products!$D$16)</f>
        <v/>
      </c>
      <c r="S17" s="40">
        <f>IF($A17&lt;=Products!$D$16,N17,0)</f>
        <v/>
      </c>
      <c r="T17" s="40">
        <f>IF(AND($A17&gt;=1,$A17&lt;=Products!$D$16),N16-N17,0)</f>
        <v/>
      </c>
      <c r="U17" s="39">
        <f>IF(AND($A17-Inputs!$C$31&gt;=1,$A17-Inputs!$C$31&lt;=Products!$D$16),INDEX(Curves!$T$8:$T$68,$A17-Inputs!$C$31+1),0)*Products!$D$27*Products!$D$28*Products!$D$13</f>
        <v/>
      </c>
      <c r="V17" s="39">
        <f>IF($A17=Inputs!$C$33,Products!$D$30*Inputs!$C$10*Inputs!$C$32,0)</f>
        <v/>
      </c>
      <c r="W17" s="39">
        <f>P17*(1-Inputs!$C$24)-Inputs!$C$25*S17+U17+V17</f>
        <v/>
      </c>
      <c r="X17" s="39">
        <f>X16+W17</f>
        <v/>
      </c>
      <c r="Z17" s="40">
        <f>(1-Products!$E$41)^$A17</f>
        <v/>
      </c>
      <c r="AA17" s="39">
        <f>IF(AND($A17&gt;=1,$A17&lt;=Products!$E$16),Products!$E$33,0)</f>
        <v/>
      </c>
      <c r="AB17" s="39">
        <f>AA17*Products!$E$42*Z17</f>
        <v/>
      </c>
      <c r="AC17" s="39">
        <f>AA17-AB17</f>
        <v/>
      </c>
      <c r="AD17" s="39">
        <f>(1-Z17)*MAX(0,Products!$E$16-$A17)*(Products!$E$33-Products!$E$35/Products!$E$16)</f>
        <v/>
      </c>
      <c r="AE17" s="40">
        <f>IF($A17&lt;=Products!$E$16,Z17,0)</f>
        <v/>
      </c>
      <c r="AF17" s="40">
        <f>IF(AND($A17&gt;=1,$A17&lt;=Products!$E$16),Z16-Z17,0)</f>
        <v/>
      </c>
      <c r="AG17" s="39">
        <f>IF(AND($A17-Inputs!$C$31&gt;=1,$A17-Inputs!$C$31&lt;=Products!$E$16),INDEX(Curves!$AF$8:$AF$68,$A17-Inputs!$C$31+1),0)*Products!$E$27*Products!$E$28*Products!$E$13</f>
        <v/>
      </c>
      <c r="AH17" s="39">
        <f>IF($A17=Inputs!$C$33,Products!$E$30*Inputs!$C$10*Inputs!$C$32,0)</f>
        <v/>
      </c>
      <c r="AI17" s="39">
        <f>AB17*(1-Inputs!$C$24)-Inputs!$C$25*AE17+AG17+AH17</f>
        <v/>
      </c>
      <c r="AJ17" s="39">
        <f>AJ16+AI17</f>
        <v/>
      </c>
      <c r="AL17" s="40">
        <f>(1-Products!$F$41)^$A17</f>
        <v/>
      </c>
      <c r="AM17" s="39">
        <f>IF(AND($A17&gt;=1,$A17&lt;=Products!$F$16),Products!$F$33,0)</f>
        <v/>
      </c>
      <c r="AN17" s="39">
        <f>AM17*Products!$F$42*AL17</f>
        <v/>
      </c>
      <c r="AO17" s="39">
        <f>AM17-AN17</f>
        <v/>
      </c>
      <c r="AP17" s="39">
        <f>(1-AL17)*MAX(0,Products!$F$16-$A17)*(Products!$F$33-Products!$F$35/Products!$F$16)</f>
        <v/>
      </c>
      <c r="AQ17" s="40">
        <f>IF($A17&lt;=Products!$F$16,AL17,0)</f>
        <v/>
      </c>
      <c r="AR17" s="40">
        <f>IF(AND($A17&gt;=1,$A17&lt;=Products!$F$16),AL16-AL17,0)</f>
        <v/>
      </c>
      <c r="AS17" s="39">
        <f>IF(AND($A17-Inputs!$C$31&gt;=1,$A17-Inputs!$C$31&lt;=Products!$F$16),INDEX(Curves!$AR$8:$AR$68,$A17-Inputs!$C$31+1),0)*Products!$F$27*Products!$F$28*Products!$F$13</f>
        <v/>
      </c>
      <c r="AT17" s="39">
        <f>IF($A17=Inputs!$C$33,Products!$F$30*Inputs!$C$10*Inputs!$C$32,0)</f>
        <v/>
      </c>
      <c r="AU17" s="39">
        <f>AN17*(1-Inputs!$C$24)-Inputs!$C$25*AQ17+AS17+AT17</f>
        <v/>
      </c>
      <c r="AV17" s="39">
        <f>AV16+AU17</f>
        <v/>
      </c>
      <c r="AX17" s="40">
        <f>(1-Products!$G$41)^$A17</f>
        <v/>
      </c>
      <c r="AY17" s="39">
        <f>IF(AND($A17&gt;=1,$A17&lt;=Products!$G$16),Products!$G$33,0)</f>
        <v/>
      </c>
      <c r="AZ17" s="39">
        <f>AY17*Products!$G$42*AX17</f>
        <v/>
      </c>
      <c r="BA17" s="39">
        <f>AY17-AZ17</f>
        <v/>
      </c>
      <c r="BB17" s="39">
        <f>(1-AX17)*MAX(0,Products!$G$16-$A17)*(Products!$G$33-Products!$G$35/Products!$G$16)</f>
        <v/>
      </c>
      <c r="BC17" s="40">
        <f>IF($A17&lt;=Products!$G$16,AX17,0)</f>
        <v/>
      </c>
      <c r="BD17" s="40">
        <f>IF(AND($A17&gt;=1,$A17&lt;=Products!$G$16),AX16-AX17,0)</f>
        <v/>
      </c>
      <c r="BE17" s="39">
        <f>IF(AND($A17-Inputs!$C$31&gt;=1,$A17-Inputs!$C$31&lt;=Products!$G$16),INDEX(Curves!$BD$8:$BD$68,$A17-Inputs!$C$31+1),0)*Products!$G$27*Products!$G$28*Products!$G$13</f>
        <v/>
      </c>
      <c r="BF17" s="39">
        <f>IF($A17=Inputs!$C$33,Products!$G$30*Inputs!$C$10*Inputs!$C$32,0)</f>
        <v/>
      </c>
      <c r="BG17" s="39">
        <f>AZ17*(1-Inputs!$C$24)-Inputs!$C$25*BC17+BE17+BF17</f>
        <v/>
      </c>
      <c r="BH17" s="39">
        <f>BH16+BG17</f>
        <v/>
      </c>
    </row>
    <row r="18">
      <c r="A18" s="46" t="n">
        <v>10</v>
      </c>
      <c r="B18" s="40">
        <f>(1-Products!$C$41)^$A18</f>
        <v/>
      </c>
      <c r="C18" s="39">
        <f>IF(AND($A18&gt;=1,$A18&lt;=Products!$C$16),Products!$C$33,0)</f>
        <v/>
      </c>
      <c r="D18" s="39">
        <f>C18*Products!$C$42*B18</f>
        <v/>
      </c>
      <c r="E18" s="39">
        <f>C18-D18</f>
        <v/>
      </c>
      <c r="F18" s="39">
        <f>(1-B18)*MAX(0,Products!$C$16-$A18)*(Products!$C$33-Products!$C$35/Products!$C$16)</f>
        <v/>
      </c>
      <c r="G18" s="40">
        <f>IF($A18&lt;=Products!$C$16,B18,0)</f>
        <v/>
      </c>
      <c r="H18" s="40">
        <f>IF(AND($A18&gt;=1,$A18&lt;=Products!$C$16),B17-B18,0)</f>
        <v/>
      </c>
      <c r="I18" s="39">
        <f>IF(AND($A18-Inputs!$C$31&gt;=1,$A18-Inputs!$C$31&lt;=Products!$C$16),INDEX(Curves!$H$8:$H$68,$A18-Inputs!$C$31+1),0)*Products!$C$27*Products!$C$28*Products!$C$13</f>
        <v/>
      </c>
      <c r="J18" s="39">
        <f>IF($A18=Inputs!$C$33,Products!$C$30*Inputs!$C$10*Inputs!$C$32,0)</f>
        <v/>
      </c>
      <c r="K18" s="39">
        <f>D18*(1-Inputs!$C$24)-Inputs!$C$25*G18+I18+J18</f>
        <v/>
      </c>
      <c r="L18" s="39">
        <f>L17+K18</f>
        <v/>
      </c>
      <c r="N18" s="40">
        <f>(1-Products!$D$41)^$A18</f>
        <v/>
      </c>
      <c r="O18" s="39">
        <f>IF(AND($A18&gt;=1,$A18&lt;=Products!$D$16),Products!$D$33,0)</f>
        <v/>
      </c>
      <c r="P18" s="39">
        <f>O18*Products!$D$42*N18</f>
        <v/>
      </c>
      <c r="Q18" s="39">
        <f>O18-P18</f>
        <v/>
      </c>
      <c r="R18" s="39">
        <f>(1-N18)*MAX(0,Products!$D$16-$A18)*(Products!$D$33-Products!$D$35/Products!$D$16)</f>
        <v/>
      </c>
      <c r="S18" s="40">
        <f>IF($A18&lt;=Products!$D$16,N18,0)</f>
        <v/>
      </c>
      <c r="T18" s="40">
        <f>IF(AND($A18&gt;=1,$A18&lt;=Products!$D$16),N17-N18,0)</f>
        <v/>
      </c>
      <c r="U18" s="39">
        <f>IF(AND($A18-Inputs!$C$31&gt;=1,$A18-Inputs!$C$31&lt;=Products!$D$16),INDEX(Curves!$T$8:$T$68,$A18-Inputs!$C$31+1),0)*Products!$D$27*Products!$D$28*Products!$D$13</f>
        <v/>
      </c>
      <c r="V18" s="39">
        <f>IF($A18=Inputs!$C$33,Products!$D$30*Inputs!$C$10*Inputs!$C$32,0)</f>
        <v/>
      </c>
      <c r="W18" s="39">
        <f>P18*(1-Inputs!$C$24)-Inputs!$C$25*S18+U18+V18</f>
        <v/>
      </c>
      <c r="X18" s="39">
        <f>X17+W18</f>
        <v/>
      </c>
      <c r="Z18" s="40">
        <f>(1-Products!$E$41)^$A18</f>
        <v/>
      </c>
      <c r="AA18" s="39">
        <f>IF(AND($A18&gt;=1,$A18&lt;=Products!$E$16),Products!$E$33,0)</f>
        <v/>
      </c>
      <c r="AB18" s="39">
        <f>AA18*Products!$E$42*Z18</f>
        <v/>
      </c>
      <c r="AC18" s="39">
        <f>AA18-AB18</f>
        <v/>
      </c>
      <c r="AD18" s="39">
        <f>(1-Z18)*MAX(0,Products!$E$16-$A18)*(Products!$E$33-Products!$E$35/Products!$E$16)</f>
        <v/>
      </c>
      <c r="AE18" s="40">
        <f>IF($A18&lt;=Products!$E$16,Z18,0)</f>
        <v/>
      </c>
      <c r="AF18" s="40">
        <f>IF(AND($A18&gt;=1,$A18&lt;=Products!$E$16),Z17-Z18,0)</f>
        <v/>
      </c>
      <c r="AG18" s="39">
        <f>IF(AND($A18-Inputs!$C$31&gt;=1,$A18-Inputs!$C$31&lt;=Products!$E$16),INDEX(Curves!$AF$8:$AF$68,$A18-Inputs!$C$31+1),0)*Products!$E$27*Products!$E$28*Products!$E$13</f>
        <v/>
      </c>
      <c r="AH18" s="39">
        <f>IF($A18=Inputs!$C$33,Products!$E$30*Inputs!$C$10*Inputs!$C$32,0)</f>
        <v/>
      </c>
      <c r="AI18" s="39">
        <f>AB18*(1-Inputs!$C$24)-Inputs!$C$25*AE18+AG18+AH18</f>
        <v/>
      </c>
      <c r="AJ18" s="39">
        <f>AJ17+AI18</f>
        <v/>
      </c>
      <c r="AL18" s="40">
        <f>(1-Products!$F$41)^$A18</f>
        <v/>
      </c>
      <c r="AM18" s="39">
        <f>IF(AND($A18&gt;=1,$A18&lt;=Products!$F$16),Products!$F$33,0)</f>
        <v/>
      </c>
      <c r="AN18" s="39">
        <f>AM18*Products!$F$42*AL18</f>
        <v/>
      </c>
      <c r="AO18" s="39">
        <f>AM18-AN18</f>
        <v/>
      </c>
      <c r="AP18" s="39">
        <f>(1-AL18)*MAX(0,Products!$F$16-$A18)*(Products!$F$33-Products!$F$35/Products!$F$16)</f>
        <v/>
      </c>
      <c r="AQ18" s="40">
        <f>IF($A18&lt;=Products!$F$16,AL18,0)</f>
        <v/>
      </c>
      <c r="AR18" s="40">
        <f>IF(AND($A18&gt;=1,$A18&lt;=Products!$F$16),AL17-AL18,0)</f>
        <v/>
      </c>
      <c r="AS18" s="39">
        <f>IF(AND($A18-Inputs!$C$31&gt;=1,$A18-Inputs!$C$31&lt;=Products!$F$16),INDEX(Curves!$AR$8:$AR$68,$A18-Inputs!$C$31+1),0)*Products!$F$27*Products!$F$28*Products!$F$13</f>
        <v/>
      </c>
      <c r="AT18" s="39">
        <f>IF($A18=Inputs!$C$33,Products!$F$30*Inputs!$C$10*Inputs!$C$32,0)</f>
        <v/>
      </c>
      <c r="AU18" s="39">
        <f>AN18*(1-Inputs!$C$24)-Inputs!$C$25*AQ18+AS18+AT18</f>
        <v/>
      </c>
      <c r="AV18" s="39">
        <f>AV17+AU18</f>
        <v/>
      </c>
      <c r="AX18" s="40">
        <f>(1-Products!$G$41)^$A18</f>
        <v/>
      </c>
      <c r="AY18" s="39">
        <f>IF(AND($A18&gt;=1,$A18&lt;=Products!$G$16),Products!$G$33,0)</f>
        <v/>
      </c>
      <c r="AZ18" s="39">
        <f>AY18*Products!$G$42*AX18</f>
        <v/>
      </c>
      <c r="BA18" s="39">
        <f>AY18-AZ18</f>
        <v/>
      </c>
      <c r="BB18" s="39">
        <f>(1-AX18)*MAX(0,Products!$G$16-$A18)*(Products!$G$33-Products!$G$35/Products!$G$16)</f>
        <v/>
      </c>
      <c r="BC18" s="40">
        <f>IF($A18&lt;=Products!$G$16,AX18,0)</f>
        <v/>
      </c>
      <c r="BD18" s="40">
        <f>IF(AND($A18&gt;=1,$A18&lt;=Products!$G$16),AX17-AX18,0)</f>
        <v/>
      </c>
      <c r="BE18" s="39">
        <f>IF(AND($A18-Inputs!$C$31&gt;=1,$A18-Inputs!$C$31&lt;=Products!$G$16),INDEX(Curves!$BD$8:$BD$68,$A18-Inputs!$C$31+1),0)*Products!$G$27*Products!$G$28*Products!$G$13</f>
        <v/>
      </c>
      <c r="BF18" s="39">
        <f>IF($A18=Inputs!$C$33,Products!$G$30*Inputs!$C$10*Inputs!$C$32,0)</f>
        <v/>
      </c>
      <c r="BG18" s="39">
        <f>AZ18*(1-Inputs!$C$24)-Inputs!$C$25*BC18+BE18+BF18</f>
        <v/>
      </c>
      <c r="BH18" s="39">
        <f>BH17+BG18</f>
        <v/>
      </c>
    </row>
    <row r="19">
      <c r="A19" s="46" t="n">
        <v>11</v>
      </c>
      <c r="B19" s="40">
        <f>(1-Products!$C$41)^$A19</f>
        <v/>
      </c>
      <c r="C19" s="39">
        <f>IF(AND($A19&gt;=1,$A19&lt;=Products!$C$16),Products!$C$33,0)</f>
        <v/>
      </c>
      <c r="D19" s="39">
        <f>C19*Products!$C$42*B19</f>
        <v/>
      </c>
      <c r="E19" s="39">
        <f>C19-D19</f>
        <v/>
      </c>
      <c r="F19" s="39">
        <f>(1-B19)*MAX(0,Products!$C$16-$A19)*(Products!$C$33-Products!$C$35/Products!$C$16)</f>
        <v/>
      </c>
      <c r="G19" s="40">
        <f>IF($A19&lt;=Products!$C$16,B19,0)</f>
        <v/>
      </c>
      <c r="H19" s="40">
        <f>IF(AND($A19&gt;=1,$A19&lt;=Products!$C$16),B18-B19,0)</f>
        <v/>
      </c>
      <c r="I19" s="39">
        <f>IF(AND($A19-Inputs!$C$31&gt;=1,$A19-Inputs!$C$31&lt;=Products!$C$16),INDEX(Curves!$H$8:$H$68,$A19-Inputs!$C$31+1),0)*Products!$C$27*Products!$C$28*Products!$C$13</f>
        <v/>
      </c>
      <c r="J19" s="39">
        <f>IF($A19=Inputs!$C$33,Products!$C$30*Inputs!$C$10*Inputs!$C$32,0)</f>
        <v/>
      </c>
      <c r="K19" s="39">
        <f>D19*(1-Inputs!$C$24)-Inputs!$C$25*G19+I19+J19</f>
        <v/>
      </c>
      <c r="L19" s="39">
        <f>L18+K19</f>
        <v/>
      </c>
      <c r="N19" s="40">
        <f>(1-Products!$D$41)^$A19</f>
        <v/>
      </c>
      <c r="O19" s="39">
        <f>IF(AND($A19&gt;=1,$A19&lt;=Products!$D$16),Products!$D$33,0)</f>
        <v/>
      </c>
      <c r="P19" s="39">
        <f>O19*Products!$D$42*N19</f>
        <v/>
      </c>
      <c r="Q19" s="39">
        <f>O19-P19</f>
        <v/>
      </c>
      <c r="R19" s="39">
        <f>(1-N19)*MAX(0,Products!$D$16-$A19)*(Products!$D$33-Products!$D$35/Products!$D$16)</f>
        <v/>
      </c>
      <c r="S19" s="40">
        <f>IF($A19&lt;=Products!$D$16,N19,0)</f>
        <v/>
      </c>
      <c r="T19" s="40">
        <f>IF(AND($A19&gt;=1,$A19&lt;=Products!$D$16),N18-N19,0)</f>
        <v/>
      </c>
      <c r="U19" s="39">
        <f>IF(AND($A19-Inputs!$C$31&gt;=1,$A19-Inputs!$C$31&lt;=Products!$D$16),INDEX(Curves!$T$8:$T$68,$A19-Inputs!$C$31+1),0)*Products!$D$27*Products!$D$28*Products!$D$13</f>
        <v/>
      </c>
      <c r="V19" s="39">
        <f>IF($A19=Inputs!$C$33,Products!$D$30*Inputs!$C$10*Inputs!$C$32,0)</f>
        <v/>
      </c>
      <c r="W19" s="39">
        <f>P19*(1-Inputs!$C$24)-Inputs!$C$25*S19+U19+V19</f>
        <v/>
      </c>
      <c r="X19" s="39">
        <f>X18+W19</f>
        <v/>
      </c>
      <c r="Z19" s="40">
        <f>(1-Products!$E$41)^$A19</f>
        <v/>
      </c>
      <c r="AA19" s="39">
        <f>IF(AND($A19&gt;=1,$A19&lt;=Products!$E$16),Products!$E$33,0)</f>
        <v/>
      </c>
      <c r="AB19" s="39">
        <f>AA19*Products!$E$42*Z19</f>
        <v/>
      </c>
      <c r="AC19" s="39">
        <f>AA19-AB19</f>
        <v/>
      </c>
      <c r="AD19" s="39">
        <f>(1-Z19)*MAX(0,Products!$E$16-$A19)*(Products!$E$33-Products!$E$35/Products!$E$16)</f>
        <v/>
      </c>
      <c r="AE19" s="40">
        <f>IF($A19&lt;=Products!$E$16,Z19,0)</f>
        <v/>
      </c>
      <c r="AF19" s="40">
        <f>IF(AND($A19&gt;=1,$A19&lt;=Products!$E$16),Z18-Z19,0)</f>
        <v/>
      </c>
      <c r="AG19" s="39">
        <f>IF(AND($A19-Inputs!$C$31&gt;=1,$A19-Inputs!$C$31&lt;=Products!$E$16),INDEX(Curves!$AF$8:$AF$68,$A19-Inputs!$C$31+1),0)*Products!$E$27*Products!$E$28*Products!$E$13</f>
        <v/>
      </c>
      <c r="AH19" s="39">
        <f>IF($A19=Inputs!$C$33,Products!$E$30*Inputs!$C$10*Inputs!$C$32,0)</f>
        <v/>
      </c>
      <c r="AI19" s="39">
        <f>AB19*(1-Inputs!$C$24)-Inputs!$C$25*AE19+AG19+AH19</f>
        <v/>
      </c>
      <c r="AJ19" s="39">
        <f>AJ18+AI19</f>
        <v/>
      </c>
      <c r="AL19" s="40">
        <f>(1-Products!$F$41)^$A19</f>
        <v/>
      </c>
      <c r="AM19" s="39">
        <f>IF(AND($A19&gt;=1,$A19&lt;=Products!$F$16),Products!$F$33,0)</f>
        <v/>
      </c>
      <c r="AN19" s="39">
        <f>AM19*Products!$F$42*AL19</f>
        <v/>
      </c>
      <c r="AO19" s="39">
        <f>AM19-AN19</f>
        <v/>
      </c>
      <c r="AP19" s="39">
        <f>(1-AL19)*MAX(0,Products!$F$16-$A19)*(Products!$F$33-Products!$F$35/Products!$F$16)</f>
        <v/>
      </c>
      <c r="AQ19" s="40">
        <f>IF($A19&lt;=Products!$F$16,AL19,0)</f>
        <v/>
      </c>
      <c r="AR19" s="40">
        <f>IF(AND($A19&gt;=1,$A19&lt;=Products!$F$16),AL18-AL19,0)</f>
        <v/>
      </c>
      <c r="AS19" s="39">
        <f>IF(AND($A19-Inputs!$C$31&gt;=1,$A19-Inputs!$C$31&lt;=Products!$F$16),INDEX(Curves!$AR$8:$AR$68,$A19-Inputs!$C$31+1),0)*Products!$F$27*Products!$F$28*Products!$F$13</f>
        <v/>
      </c>
      <c r="AT19" s="39">
        <f>IF($A19=Inputs!$C$33,Products!$F$30*Inputs!$C$10*Inputs!$C$32,0)</f>
        <v/>
      </c>
      <c r="AU19" s="39">
        <f>AN19*(1-Inputs!$C$24)-Inputs!$C$25*AQ19+AS19+AT19</f>
        <v/>
      </c>
      <c r="AV19" s="39">
        <f>AV18+AU19</f>
        <v/>
      </c>
      <c r="AX19" s="40">
        <f>(1-Products!$G$41)^$A19</f>
        <v/>
      </c>
      <c r="AY19" s="39">
        <f>IF(AND($A19&gt;=1,$A19&lt;=Products!$G$16),Products!$G$33,0)</f>
        <v/>
      </c>
      <c r="AZ19" s="39">
        <f>AY19*Products!$G$42*AX19</f>
        <v/>
      </c>
      <c r="BA19" s="39">
        <f>AY19-AZ19</f>
        <v/>
      </c>
      <c r="BB19" s="39">
        <f>(1-AX19)*MAX(0,Products!$G$16-$A19)*(Products!$G$33-Products!$G$35/Products!$G$16)</f>
        <v/>
      </c>
      <c r="BC19" s="40">
        <f>IF($A19&lt;=Products!$G$16,AX19,0)</f>
        <v/>
      </c>
      <c r="BD19" s="40">
        <f>IF(AND($A19&gt;=1,$A19&lt;=Products!$G$16),AX18-AX19,0)</f>
        <v/>
      </c>
      <c r="BE19" s="39">
        <f>IF(AND($A19-Inputs!$C$31&gt;=1,$A19-Inputs!$C$31&lt;=Products!$G$16),INDEX(Curves!$BD$8:$BD$68,$A19-Inputs!$C$31+1),0)*Products!$G$27*Products!$G$28*Products!$G$13</f>
        <v/>
      </c>
      <c r="BF19" s="39">
        <f>IF($A19=Inputs!$C$33,Products!$G$30*Inputs!$C$10*Inputs!$C$32,0)</f>
        <v/>
      </c>
      <c r="BG19" s="39">
        <f>AZ19*(1-Inputs!$C$24)-Inputs!$C$25*BC19+BE19+BF19</f>
        <v/>
      </c>
      <c r="BH19" s="39">
        <f>BH18+BG19</f>
        <v/>
      </c>
    </row>
    <row r="20">
      <c r="A20" s="46" t="n">
        <v>12</v>
      </c>
      <c r="B20" s="40">
        <f>(1-Products!$C$41)^$A20</f>
        <v/>
      </c>
      <c r="C20" s="39">
        <f>IF(AND($A20&gt;=1,$A20&lt;=Products!$C$16),Products!$C$33,0)</f>
        <v/>
      </c>
      <c r="D20" s="39">
        <f>C20*Products!$C$42*B20</f>
        <v/>
      </c>
      <c r="E20" s="39">
        <f>C20-D20</f>
        <v/>
      </c>
      <c r="F20" s="39">
        <f>(1-B20)*MAX(0,Products!$C$16-$A20)*(Products!$C$33-Products!$C$35/Products!$C$16)</f>
        <v/>
      </c>
      <c r="G20" s="40">
        <f>IF($A20&lt;=Products!$C$16,B20,0)</f>
        <v/>
      </c>
      <c r="H20" s="40">
        <f>IF(AND($A20&gt;=1,$A20&lt;=Products!$C$16),B19-B20,0)</f>
        <v/>
      </c>
      <c r="I20" s="39">
        <f>IF(AND($A20-Inputs!$C$31&gt;=1,$A20-Inputs!$C$31&lt;=Products!$C$16),INDEX(Curves!$H$8:$H$68,$A20-Inputs!$C$31+1),0)*Products!$C$27*Products!$C$28*Products!$C$13</f>
        <v/>
      </c>
      <c r="J20" s="39">
        <f>IF($A20=Inputs!$C$33,Products!$C$30*Inputs!$C$10*Inputs!$C$32,0)</f>
        <v/>
      </c>
      <c r="K20" s="39">
        <f>D20*(1-Inputs!$C$24)-Inputs!$C$25*G20+I20+J20</f>
        <v/>
      </c>
      <c r="L20" s="39">
        <f>L19+K20</f>
        <v/>
      </c>
      <c r="N20" s="40">
        <f>(1-Products!$D$41)^$A20</f>
        <v/>
      </c>
      <c r="O20" s="39">
        <f>IF(AND($A20&gt;=1,$A20&lt;=Products!$D$16),Products!$D$33,0)</f>
        <v/>
      </c>
      <c r="P20" s="39">
        <f>O20*Products!$D$42*N20</f>
        <v/>
      </c>
      <c r="Q20" s="39">
        <f>O20-P20</f>
        <v/>
      </c>
      <c r="R20" s="39">
        <f>(1-N20)*MAX(0,Products!$D$16-$A20)*(Products!$D$33-Products!$D$35/Products!$D$16)</f>
        <v/>
      </c>
      <c r="S20" s="40">
        <f>IF($A20&lt;=Products!$D$16,N20,0)</f>
        <v/>
      </c>
      <c r="T20" s="40">
        <f>IF(AND($A20&gt;=1,$A20&lt;=Products!$D$16),N19-N20,0)</f>
        <v/>
      </c>
      <c r="U20" s="39">
        <f>IF(AND($A20-Inputs!$C$31&gt;=1,$A20-Inputs!$C$31&lt;=Products!$D$16),INDEX(Curves!$T$8:$T$68,$A20-Inputs!$C$31+1),0)*Products!$D$27*Products!$D$28*Products!$D$13</f>
        <v/>
      </c>
      <c r="V20" s="39">
        <f>IF($A20=Inputs!$C$33,Products!$D$30*Inputs!$C$10*Inputs!$C$32,0)</f>
        <v/>
      </c>
      <c r="W20" s="39">
        <f>P20*(1-Inputs!$C$24)-Inputs!$C$25*S20+U20+V20</f>
        <v/>
      </c>
      <c r="X20" s="39">
        <f>X19+W20</f>
        <v/>
      </c>
      <c r="Z20" s="40">
        <f>(1-Products!$E$41)^$A20</f>
        <v/>
      </c>
      <c r="AA20" s="39">
        <f>IF(AND($A20&gt;=1,$A20&lt;=Products!$E$16),Products!$E$33,0)</f>
        <v/>
      </c>
      <c r="AB20" s="39">
        <f>AA20*Products!$E$42*Z20</f>
        <v/>
      </c>
      <c r="AC20" s="39">
        <f>AA20-AB20</f>
        <v/>
      </c>
      <c r="AD20" s="39">
        <f>(1-Z20)*MAX(0,Products!$E$16-$A20)*(Products!$E$33-Products!$E$35/Products!$E$16)</f>
        <v/>
      </c>
      <c r="AE20" s="40">
        <f>IF($A20&lt;=Products!$E$16,Z20,0)</f>
        <v/>
      </c>
      <c r="AF20" s="40">
        <f>IF(AND($A20&gt;=1,$A20&lt;=Products!$E$16),Z19-Z20,0)</f>
        <v/>
      </c>
      <c r="AG20" s="39">
        <f>IF(AND($A20-Inputs!$C$31&gt;=1,$A20-Inputs!$C$31&lt;=Products!$E$16),INDEX(Curves!$AF$8:$AF$68,$A20-Inputs!$C$31+1),0)*Products!$E$27*Products!$E$28*Products!$E$13</f>
        <v/>
      </c>
      <c r="AH20" s="39">
        <f>IF($A20=Inputs!$C$33,Products!$E$30*Inputs!$C$10*Inputs!$C$32,0)</f>
        <v/>
      </c>
      <c r="AI20" s="39">
        <f>AB20*(1-Inputs!$C$24)-Inputs!$C$25*AE20+AG20+AH20</f>
        <v/>
      </c>
      <c r="AJ20" s="39">
        <f>AJ19+AI20</f>
        <v/>
      </c>
      <c r="AL20" s="40">
        <f>(1-Products!$F$41)^$A20</f>
        <v/>
      </c>
      <c r="AM20" s="39">
        <f>IF(AND($A20&gt;=1,$A20&lt;=Products!$F$16),Products!$F$33,0)</f>
        <v/>
      </c>
      <c r="AN20" s="39">
        <f>AM20*Products!$F$42*AL20</f>
        <v/>
      </c>
      <c r="AO20" s="39">
        <f>AM20-AN20</f>
        <v/>
      </c>
      <c r="AP20" s="39">
        <f>(1-AL20)*MAX(0,Products!$F$16-$A20)*(Products!$F$33-Products!$F$35/Products!$F$16)</f>
        <v/>
      </c>
      <c r="AQ20" s="40">
        <f>IF($A20&lt;=Products!$F$16,AL20,0)</f>
        <v/>
      </c>
      <c r="AR20" s="40">
        <f>IF(AND($A20&gt;=1,$A20&lt;=Products!$F$16),AL19-AL20,0)</f>
        <v/>
      </c>
      <c r="AS20" s="39">
        <f>IF(AND($A20-Inputs!$C$31&gt;=1,$A20-Inputs!$C$31&lt;=Products!$F$16),INDEX(Curves!$AR$8:$AR$68,$A20-Inputs!$C$31+1),0)*Products!$F$27*Products!$F$28*Products!$F$13</f>
        <v/>
      </c>
      <c r="AT20" s="39">
        <f>IF($A20=Inputs!$C$33,Products!$F$30*Inputs!$C$10*Inputs!$C$32,0)</f>
        <v/>
      </c>
      <c r="AU20" s="39">
        <f>AN20*(1-Inputs!$C$24)-Inputs!$C$25*AQ20+AS20+AT20</f>
        <v/>
      </c>
      <c r="AV20" s="39">
        <f>AV19+AU20</f>
        <v/>
      </c>
      <c r="AX20" s="40">
        <f>(1-Products!$G$41)^$A20</f>
        <v/>
      </c>
      <c r="AY20" s="39">
        <f>IF(AND($A20&gt;=1,$A20&lt;=Products!$G$16),Products!$G$33,0)</f>
        <v/>
      </c>
      <c r="AZ20" s="39">
        <f>AY20*Products!$G$42*AX20</f>
        <v/>
      </c>
      <c r="BA20" s="39">
        <f>AY20-AZ20</f>
        <v/>
      </c>
      <c r="BB20" s="39">
        <f>(1-AX20)*MAX(0,Products!$G$16-$A20)*(Products!$G$33-Products!$G$35/Products!$G$16)</f>
        <v/>
      </c>
      <c r="BC20" s="40">
        <f>IF($A20&lt;=Products!$G$16,AX20,0)</f>
        <v/>
      </c>
      <c r="BD20" s="40">
        <f>IF(AND($A20&gt;=1,$A20&lt;=Products!$G$16),AX19-AX20,0)</f>
        <v/>
      </c>
      <c r="BE20" s="39">
        <f>IF(AND($A20-Inputs!$C$31&gt;=1,$A20-Inputs!$C$31&lt;=Products!$G$16),INDEX(Curves!$BD$8:$BD$68,$A20-Inputs!$C$31+1),0)*Products!$G$27*Products!$G$28*Products!$G$13</f>
        <v/>
      </c>
      <c r="BF20" s="39">
        <f>IF($A20=Inputs!$C$33,Products!$G$30*Inputs!$C$10*Inputs!$C$32,0)</f>
        <v/>
      </c>
      <c r="BG20" s="39">
        <f>AZ20*(1-Inputs!$C$24)-Inputs!$C$25*BC20+BE20+BF20</f>
        <v/>
      </c>
      <c r="BH20" s="39">
        <f>BH19+BG20</f>
        <v/>
      </c>
    </row>
    <row r="21">
      <c r="A21" s="46" t="n">
        <v>13</v>
      </c>
      <c r="B21" s="40">
        <f>(1-Products!$C$41)^$A21</f>
        <v/>
      </c>
      <c r="C21" s="39">
        <f>IF(AND($A21&gt;=1,$A21&lt;=Products!$C$16),Products!$C$33,0)</f>
        <v/>
      </c>
      <c r="D21" s="39">
        <f>C21*Products!$C$42*B21</f>
        <v/>
      </c>
      <c r="E21" s="39">
        <f>C21-D21</f>
        <v/>
      </c>
      <c r="F21" s="39">
        <f>(1-B21)*MAX(0,Products!$C$16-$A21)*(Products!$C$33-Products!$C$35/Products!$C$16)</f>
        <v/>
      </c>
      <c r="G21" s="40">
        <f>IF($A21&lt;=Products!$C$16,B21,0)</f>
        <v/>
      </c>
      <c r="H21" s="40">
        <f>IF(AND($A21&gt;=1,$A21&lt;=Products!$C$16),B20-B21,0)</f>
        <v/>
      </c>
      <c r="I21" s="39">
        <f>IF(AND($A21-Inputs!$C$31&gt;=1,$A21-Inputs!$C$31&lt;=Products!$C$16),INDEX(Curves!$H$8:$H$68,$A21-Inputs!$C$31+1),0)*Products!$C$27*Products!$C$28*Products!$C$13</f>
        <v/>
      </c>
      <c r="J21" s="39">
        <f>IF($A21=Inputs!$C$33,Products!$C$30*Inputs!$C$10*Inputs!$C$32,0)</f>
        <v/>
      </c>
      <c r="K21" s="39">
        <f>D21*(1-Inputs!$C$24)-Inputs!$C$25*G21+I21+J21</f>
        <v/>
      </c>
      <c r="L21" s="39">
        <f>L20+K21</f>
        <v/>
      </c>
      <c r="N21" s="40">
        <f>(1-Products!$D$41)^$A21</f>
        <v/>
      </c>
      <c r="O21" s="39">
        <f>IF(AND($A21&gt;=1,$A21&lt;=Products!$D$16),Products!$D$33,0)</f>
        <v/>
      </c>
      <c r="P21" s="39">
        <f>O21*Products!$D$42*N21</f>
        <v/>
      </c>
      <c r="Q21" s="39">
        <f>O21-P21</f>
        <v/>
      </c>
      <c r="R21" s="39">
        <f>(1-N21)*MAX(0,Products!$D$16-$A21)*(Products!$D$33-Products!$D$35/Products!$D$16)</f>
        <v/>
      </c>
      <c r="S21" s="40">
        <f>IF($A21&lt;=Products!$D$16,N21,0)</f>
        <v/>
      </c>
      <c r="T21" s="40">
        <f>IF(AND($A21&gt;=1,$A21&lt;=Products!$D$16),N20-N21,0)</f>
        <v/>
      </c>
      <c r="U21" s="39">
        <f>IF(AND($A21-Inputs!$C$31&gt;=1,$A21-Inputs!$C$31&lt;=Products!$D$16),INDEX(Curves!$T$8:$T$68,$A21-Inputs!$C$31+1),0)*Products!$D$27*Products!$D$28*Products!$D$13</f>
        <v/>
      </c>
      <c r="V21" s="39">
        <f>IF($A21=Inputs!$C$33,Products!$D$30*Inputs!$C$10*Inputs!$C$32,0)</f>
        <v/>
      </c>
      <c r="W21" s="39">
        <f>P21*(1-Inputs!$C$24)-Inputs!$C$25*S21+U21+V21</f>
        <v/>
      </c>
      <c r="X21" s="39">
        <f>X20+W21</f>
        <v/>
      </c>
      <c r="Z21" s="40">
        <f>(1-Products!$E$41)^$A21</f>
        <v/>
      </c>
      <c r="AA21" s="39">
        <f>IF(AND($A21&gt;=1,$A21&lt;=Products!$E$16),Products!$E$33,0)</f>
        <v/>
      </c>
      <c r="AB21" s="39">
        <f>AA21*Products!$E$42*Z21</f>
        <v/>
      </c>
      <c r="AC21" s="39">
        <f>AA21-AB21</f>
        <v/>
      </c>
      <c r="AD21" s="39">
        <f>(1-Z21)*MAX(0,Products!$E$16-$A21)*(Products!$E$33-Products!$E$35/Products!$E$16)</f>
        <v/>
      </c>
      <c r="AE21" s="40">
        <f>IF($A21&lt;=Products!$E$16,Z21,0)</f>
        <v/>
      </c>
      <c r="AF21" s="40">
        <f>IF(AND($A21&gt;=1,$A21&lt;=Products!$E$16),Z20-Z21,0)</f>
        <v/>
      </c>
      <c r="AG21" s="39">
        <f>IF(AND($A21-Inputs!$C$31&gt;=1,$A21-Inputs!$C$31&lt;=Products!$E$16),INDEX(Curves!$AF$8:$AF$68,$A21-Inputs!$C$31+1),0)*Products!$E$27*Products!$E$28*Products!$E$13</f>
        <v/>
      </c>
      <c r="AH21" s="39">
        <f>IF($A21=Inputs!$C$33,Products!$E$30*Inputs!$C$10*Inputs!$C$32,0)</f>
        <v/>
      </c>
      <c r="AI21" s="39">
        <f>AB21*(1-Inputs!$C$24)-Inputs!$C$25*AE21+AG21+AH21</f>
        <v/>
      </c>
      <c r="AJ21" s="39">
        <f>AJ20+AI21</f>
        <v/>
      </c>
      <c r="AL21" s="40">
        <f>(1-Products!$F$41)^$A21</f>
        <v/>
      </c>
      <c r="AM21" s="39">
        <f>IF(AND($A21&gt;=1,$A21&lt;=Products!$F$16),Products!$F$33,0)</f>
        <v/>
      </c>
      <c r="AN21" s="39">
        <f>AM21*Products!$F$42*AL21</f>
        <v/>
      </c>
      <c r="AO21" s="39">
        <f>AM21-AN21</f>
        <v/>
      </c>
      <c r="AP21" s="39">
        <f>(1-AL21)*MAX(0,Products!$F$16-$A21)*(Products!$F$33-Products!$F$35/Products!$F$16)</f>
        <v/>
      </c>
      <c r="AQ21" s="40">
        <f>IF($A21&lt;=Products!$F$16,AL21,0)</f>
        <v/>
      </c>
      <c r="AR21" s="40">
        <f>IF(AND($A21&gt;=1,$A21&lt;=Products!$F$16),AL20-AL21,0)</f>
        <v/>
      </c>
      <c r="AS21" s="39">
        <f>IF(AND($A21-Inputs!$C$31&gt;=1,$A21-Inputs!$C$31&lt;=Products!$F$16),INDEX(Curves!$AR$8:$AR$68,$A21-Inputs!$C$31+1),0)*Products!$F$27*Products!$F$28*Products!$F$13</f>
        <v/>
      </c>
      <c r="AT21" s="39">
        <f>IF($A21=Inputs!$C$33,Products!$F$30*Inputs!$C$10*Inputs!$C$32,0)</f>
        <v/>
      </c>
      <c r="AU21" s="39">
        <f>AN21*(1-Inputs!$C$24)-Inputs!$C$25*AQ21+AS21+AT21</f>
        <v/>
      </c>
      <c r="AV21" s="39">
        <f>AV20+AU21</f>
        <v/>
      </c>
      <c r="AX21" s="40">
        <f>(1-Products!$G$41)^$A21</f>
        <v/>
      </c>
      <c r="AY21" s="39">
        <f>IF(AND($A21&gt;=1,$A21&lt;=Products!$G$16),Products!$G$33,0)</f>
        <v/>
      </c>
      <c r="AZ21" s="39">
        <f>AY21*Products!$G$42*AX21</f>
        <v/>
      </c>
      <c r="BA21" s="39">
        <f>AY21-AZ21</f>
        <v/>
      </c>
      <c r="BB21" s="39">
        <f>(1-AX21)*MAX(0,Products!$G$16-$A21)*(Products!$G$33-Products!$G$35/Products!$G$16)</f>
        <v/>
      </c>
      <c r="BC21" s="40">
        <f>IF($A21&lt;=Products!$G$16,AX21,0)</f>
        <v/>
      </c>
      <c r="BD21" s="40">
        <f>IF(AND($A21&gt;=1,$A21&lt;=Products!$G$16),AX20-AX21,0)</f>
        <v/>
      </c>
      <c r="BE21" s="39">
        <f>IF(AND($A21-Inputs!$C$31&gt;=1,$A21-Inputs!$C$31&lt;=Products!$G$16),INDEX(Curves!$BD$8:$BD$68,$A21-Inputs!$C$31+1),0)*Products!$G$27*Products!$G$28*Products!$G$13</f>
        <v/>
      </c>
      <c r="BF21" s="39">
        <f>IF($A21=Inputs!$C$33,Products!$G$30*Inputs!$C$10*Inputs!$C$32,0)</f>
        <v/>
      </c>
      <c r="BG21" s="39">
        <f>AZ21*(1-Inputs!$C$24)-Inputs!$C$25*BC21+BE21+BF21</f>
        <v/>
      </c>
      <c r="BH21" s="39">
        <f>BH20+BG21</f>
        <v/>
      </c>
    </row>
    <row r="22">
      <c r="A22" s="46" t="n">
        <v>14</v>
      </c>
      <c r="B22" s="40">
        <f>(1-Products!$C$41)^$A22</f>
        <v/>
      </c>
      <c r="C22" s="39">
        <f>IF(AND($A22&gt;=1,$A22&lt;=Products!$C$16),Products!$C$33,0)</f>
        <v/>
      </c>
      <c r="D22" s="39">
        <f>C22*Products!$C$42*B22</f>
        <v/>
      </c>
      <c r="E22" s="39">
        <f>C22-D22</f>
        <v/>
      </c>
      <c r="F22" s="39">
        <f>(1-B22)*MAX(0,Products!$C$16-$A22)*(Products!$C$33-Products!$C$35/Products!$C$16)</f>
        <v/>
      </c>
      <c r="G22" s="40">
        <f>IF($A22&lt;=Products!$C$16,B22,0)</f>
        <v/>
      </c>
      <c r="H22" s="40">
        <f>IF(AND($A22&gt;=1,$A22&lt;=Products!$C$16),B21-B22,0)</f>
        <v/>
      </c>
      <c r="I22" s="39">
        <f>IF(AND($A22-Inputs!$C$31&gt;=1,$A22-Inputs!$C$31&lt;=Products!$C$16),INDEX(Curves!$H$8:$H$68,$A22-Inputs!$C$31+1),0)*Products!$C$27*Products!$C$28*Products!$C$13</f>
        <v/>
      </c>
      <c r="J22" s="39">
        <f>IF($A22=Inputs!$C$33,Products!$C$30*Inputs!$C$10*Inputs!$C$32,0)</f>
        <v/>
      </c>
      <c r="K22" s="39">
        <f>D22*(1-Inputs!$C$24)-Inputs!$C$25*G22+I22+J22</f>
        <v/>
      </c>
      <c r="L22" s="39">
        <f>L21+K22</f>
        <v/>
      </c>
      <c r="N22" s="40">
        <f>(1-Products!$D$41)^$A22</f>
        <v/>
      </c>
      <c r="O22" s="39">
        <f>IF(AND($A22&gt;=1,$A22&lt;=Products!$D$16),Products!$D$33,0)</f>
        <v/>
      </c>
      <c r="P22" s="39">
        <f>O22*Products!$D$42*N22</f>
        <v/>
      </c>
      <c r="Q22" s="39">
        <f>O22-P22</f>
        <v/>
      </c>
      <c r="R22" s="39">
        <f>(1-N22)*MAX(0,Products!$D$16-$A22)*(Products!$D$33-Products!$D$35/Products!$D$16)</f>
        <v/>
      </c>
      <c r="S22" s="40">
        <f>IF($A22&lt;=Products!$D$16,N22,0)</f>
        <v/>
      </c>
      <c r="T22" s="40">
        <f>IF(AND($A22&gt;=1,$A22&lt;=Products!$D$16),N21-N22,0)</f>
        <v/>
      </c>
      <c r="U22" s="39">
        <f>IF(AND($A22-Inputs!$C$31&gt;=1,$A22-Inputs!$C$31&lt;=Products!$D$16),INDEX(Curves!$T$8:$T$68,$A22-Inputs!$C$31+1),0)*Products!$D$27*Products!$D$28*Products!$D$13</f>
        <v/>
      </c>
      <c r="V22" s="39">
        <f>IF($A22=Inputs!$C$33,Products!$D$30*Inputs!$C$10*Inputs!$C$32,0)</f>
        <v/>
      </c>
      <c r="W22" s="39">
        <f>P22*(1-Inputs!$C$24)-Inputs!$C$25*S22+U22+V22</f>
        <v/>
      </c>
      <c r="X22" s="39">
        <f>X21+W22</f>
        <v/>
      </c>
      <c r="Z22" s="40">
        <f>(1-Products!$E$41)^$A22</f>
        <v/>
      </c>
      <c r="AA22" s="39">
        <f>IF(AND($A22&gt;=1,$A22&lt;=Products!$E$16),Products!$E$33,0)</f>
        <v/>
      </c>
      <c r="AB22" s="39">
        <f>AA22*Products!$E$42*Z22</f>
        <v/>
      </c>
      <c r="AC22" s="39">
        <f>AA22-AB22</f>
        <v/>
      </c>
      <c r="AD22" s="39">
        <f>(1-Z22)*MAX(0,Products!$E$16-$A22)*(Products!$E$33-Products!$E$35/Products!$E$16)</f>
        <v/>
      </c>
      <c r="AE22" s="40">
        <f>IF($A22&lt;=Products!$E$16,Z22,0)</f>
        <v/>
      </c>
      <c r="AF22" s="40">
        <f>IF(AND($A22&gt;=1,$A22&lt;=Products!$E$16),Z21-Z22,0)</f>
        <v/>
      </c>
      <c r="AG22" s="39">
        <f>IF(AND($A22-Inputs!$C$31&gt;=1,$A22-Inputs!$C$31&lt;=Products!$E$16),INDEX(Curves!$AF$8:$AF$68,$A22-Inputs!$C$31+1),0)*Products!$E$27*Products!$E$28*Products!$E$13</f>
        <v/>
      </c>
      <c r="AH22" s="39">
        <f>IF($A22=Inputs!$C$33,Products!$E$30*Inputs!$C$10*Inputs!$C$32,0)</f>
        <v/>
      </c>
      <c r="AI22" s="39">
        <f>AB22*(1-Inputs!$C$24)-Inputs!$C$25*AE22+AG22+AH22</f>
        <v/>
      </c>
      <c r="AJ22" s="39">
        <f>AJ21+AI22</f>
        <v/>
      </c>
      <c r="AL22" s="40">
        <f>(1-Products!$F$41)^$A22</f>
        <v/>
      </c>
      <c r="AM22" s="39">
        <f>IF(AND($A22&gt;=1,$A22&lt;=Products!$F$16),Products!$F$33,0)</f>
        <v/>
      </c>
      <c r="AN22" s="39">
        <f>AM22*Products!$F$42*AL22</f>
        <v/>
      </c>
      <c r="AO22" s="39">
        <f>AM22-AN22</f>
        <v/>
      </c>
      <c r="AP22" s="39">
        <f>(1-AL22)*MAX(0,Products!$F$16-$A22)*(Products!$F$33-Products!$F$35/Products!$F$16)</f>
        <v/>
      </c>
      <c r="AQ22" s="40">
        <f>IF($A22&lt;=Products!$F$16,AL22,0)</f>
        <v/>
      </c>
      <c r="AR22" s="40">
        <f>IF(AND($A22&gt;=1,$A22&lt;=Products!$F$16),AL21-AL22,0)</f>
        <v/>
      </c>
      <c r="AS22" s="39">
        <f>IF(AND($A22-Inputs!$C$31&gt;=1,$A22-Inputs!$C$31&lt;=Products!$F$16),INDEX(Curves!$AR$8:$AR$68,$A22-Inputs!$C$31+1),0)*Products!$F$27*Products!$F$28*Products!$F$13</f>
        <v/>
      </c>
      <c r="AT22" s="39">
        <f>IF($A22=Inputs!$C$33,Products!$F$30*Inputs!$C$10*Inputs!$C$32,0)</f>
        <v/>
      </c>
      <c r="AU22" s="39">
        <f>AN22*(1-Inputs!$C$24)-Inputs!$C$25*AQ22+AS22+AT22</f>
        <v/>
      </c>
      <c r="AV22" s="39">
        <f>AV21+AU22</f>
        <v/>
      </c>
      <c r="AX22" s="40">
        <f>(1-Products!$G$41)^$A22</f>
        <v/>
      </c>
      <c r="AY22" s="39">
        <f>IF(AND($A22&gt;=1,$A22&lt;=Products!$G$16),Products!$G$33,0)</f>
        <v/>
      </c>
      <c r="AZ22" s="39">
        <f>AY22*Products!$G$42*AX22</f>
        <v/>
      </c>
      <c r="BA22" s="39">
        <f>AY22-AZ22</f>
        <v/>
      </c>
      <c r="BB22" s="39">
        <f>(1-AX22)*MAX(0,Products!$G$16-$A22)*(Products!$G$33-Products!$G$35/Products!$G$16)</f>
        <v/>
      </c>
      <c r="BC22" s="40">
        <f>IF($A22&lt;=Products!$G$16,AX22,0)</f>
        <v/>
      </c>
      <c r="BD22" s="40">
        <f>IF(AND($A22&gt;=1,$A22&lt;=Products!$G$16),AX21-AX22,0)</f>
        <v/>
      </c>
      <c r="BE22" s="39">
        <f>IF(AND($A22-Inputs!$C$31&gt;=1,$A22-Inputs!$C$31&lt;=Products!$G$16),INDEX(Curves!$BD$8:$BD$68,$A22-Inputs!$C$31+1),0)*Products!$G$27*Products!$G$28*Products!$G$13</f>
        <v/>
      </c>
      <c r="BF22" s="39">
        <f>IF($A22=Inputs!$C$33,Products!$G$30*Inputs!$C$10*Inputs!$C$32,0)</f>
        <v/>
      </c>
      <c r="BG22" s="39">
        <f>AZ22*(1-Inputs!$C$24)-Inputs!$C$25*BC22+BE22+BF22</f>
        <v/>
      </c>
      <c r="BH22" s="39">
        <f>BH21+BG22</f>
        <v/>
      </c>
    </row>
    <row r="23">
      <c r="A23" s="46" t="n">
        <v>15</v>
      </c>
      <c r="B23" s="40">
        <f>(1-Products!$C$41)^$A23</f>
        <v/>
      </c>
      <c r="C23" s="39">
        <f>IF(AND($A23&gt;=1,$A23&lt;=Products!$C$16),Products!$C$33,0)</f>
        <v/>
      </c>
      <c r="D23" s="39">
        <f>C23*Products!$C$42*B23</f>
        <v/>
      </c>
      <c r="E23" s="39">
        <f>C23-D23</f>
        <v/>
      </c>
      <c r="F23" s="39">
        <f>(1-B23)*MAX(0,Products!$C$16-$A23)*(Products!$C$33-Products!$C$35/Products!$C$16)</f>
        <v/>
      </c>
      <c r="G23" s="40">
        <f>IF($A23&lt;=Products!$C$16,B23,0)</f>
        <v/>
      </c>
      <c r="H23" s="40">
        <f>IF(AND($A23&gt;=1,$A23&lt;=Products!$C$16),B22-B23,0)</f>
        <v/>
      </c>
      <c r="I23" s="39">
        <f>IF(AND($A23-Inputs!$C$31&gt;=1,$A23-Inputs!$C$31&lt;=Products!$C$16),INDEX(Curves!$H$8:$H$68,$A23-Inputs!$C$31+1),0)*Products!$C$27*Products!$C$28*Products!$C$13</f>
        <v/>
      </c>
      <c r="J23" s="39">
        <f>IF($A23=Inputs!$C$33,Products!$C$30*Inputs!$C$10*Inputs!$C$32,0)</f>
        <v/>
      </c>
      <c r="K23" s="39">
        <f>D23*(1-Inputs!$C$24)-Inputs!$C$25*G23+I23+J23</f>
        <v/>
      </c>
      <c r="L23" s="39">
        <f>L22+K23</f>
        <v/>
      </c>
      <c r="N23" s="40">
        <f>(1-Products!$D$41)^$A23</f>
        <v/>
      </c>
      <c r="O23" s="39">
        <f>IF(AND($A23&gt;=1,$A23&lt;=Products!$D$16),Products!$D$33,0)</f>
        <v/>
      </c>
      <c r="P23" s="39">
        <f>O23*Products!$D$42*N23</f>
        <v/>
      </c>
      <c r="Q23" s="39">
        <f>O23-P23</f>
        <v/>
      </c>
      <c r="R23" s="39">
        <f>(1-N23)*MAX(0,Products!$D$16-$A23)*(Products!$D$33-Products!$D$35/Products!$D$16)</f>
        <v/>
      </c>
      <c r="S23" s="40">
        <f>IF($A23&lt;=Products!$D$16,N23,0)</f>
        <v/>
      </c>
      <c r="T23" s="40">
        <f>IF(AND($A23&gt;=1,$A23&lt;=Products!$D$16),N22-N23,0)</f>
        <v/>
      </c>
      <c r="U23" s="39">
        <f>IF(AND($A23-Inputs!$C$31&gt;=1,$A23-Inputs!$C$31&lt;=Products!$D$16),INDEX(Curves!$T$8:$T$68,$A23-Inputs!$C$31+1),0)*Products!$D$27*Products!$D$28*Products!$D$13</f>
        <v/>
      </c>
      <c r="V23" s="39">
        <f>IF($A23=Inputs!$C$33,Products!$D$30*Inputs!$C$10*Inputs!$C$32,0)</f>
        <v/>
      </c>
      <c r="W23" s="39">
        <f>P23*(1-Inputs!$C$24)-Inputs!$C$25*S23+U23+V23</f>
        <v/>
      </c>
      <c r="X23" s="39">
        <f>X22+W23</f>
        <v/>
      </c>
      <c r="Z23" s="40">
        <f>(1-Products!$E$41)^$A23</f>
        <v/>
      </c>
      <c r="AA23" s="39">
        <f>IF(AND($A23&gt;=1,$A23&lt;=Products!$E$16),Products!$E$33,0)</f>
        <v/>
      </c>
      <c r="AB23" s="39">
        <f>AA23*Products!$E$42*Z23</f>
        <v/>
      </c>
      <c r="AC23" s="39">
        <f>AA23-AB23</f>
        <v/>
      </c>
      <c r="AD23" s="39">
        <f>(1-Z23)*MAX(0,Products!$E$16-$A23)*(Products!$E$33-Products!$E$35/Products!$E$16)</f>
        <v/>
      </c>
      <c r="AE23" s="40">
        <f>IF($A23&lt;=Products!$E$16,Z23,0)</f>
        <v/>
      </c>
      <c r="AF23" s="40">
        <f>IF(AND($A23&gt;=1,$A23&lt;=Products!$E$16),Z22-Z23,0)</f>
        <v/>
      </c>
      <c r="AG23" s="39">
        <f>IF(AND($A23-Inputs!$C$31&gt;=1,$A23-Inputs!$C$31&lt;=Products!$E$16),INDEX(Curves!$AF$8:$AF$68,$A23-Inputs!$C$31+1),0)*Products!$E$27*Products!$E$28*Products!$E$13</f>
        <v/>
      </c>
      <c r="AH23" s="39">
        <f>IF($A23=Inputs!$C$33,Products!$E$30*Inputs!$C$10*Inputs!$C$32,0)</f>
        <v/>
      </c>
      <c r="AI23" s="39">
        <f>AB23*(1-Inputs!$C$24)-Inputs!$C$25*AE23+AG23+AH23</f>
        <v/>
      </c>
      <c r="AJ23" s="39">
        <f>AJ22+AI23</f>
        <v/>
      </c>
      <c r="AL23" s="40">
        <f>(1-Products!$F$41)^$A23</f>
        <v/>
      </c>
      <c r="AM23" s="39">
        <f>IF(AND($A23&gt;=1,$A23&lt;=Products!$F$16),Products!$F$33,0)</f>
        <v/>
      </c>
      <c r="AN23" s="39">
        <f>AM23*Products!$F$42*AL23</f>
        <v/>
      </c>
      <c r="AO23" s="39">
        <f>AM23-AN23</f>
        <v/>
      </c>
      <c r="AP23" s="39">
        <f>(1-AL23)*MAX(0,Products!$F$16-$A23)*(Products!$F$33-Products!$F$35/Products!$F$16)</f>
        <v/>
      </c>
      <c r="AQ23" s="40">
        <f>IF($A23&lt;=Products!$F$16,AL23,0)</f>
        <v/>
      </c>
      <c r="AR23" s="40">
        <f>IF(AND($A23&gt;=1,$A23&lt;=Products!$F$16),AL22-AL23,0)</f>
        <v/>
      </c>
      <c r="AS23" s="39">
        <f>IF(AND($A23-Inputs!$C$31&gt;=1,$A23-Inputs!$C$31&lt;=Products!$F$16),INDEX(Curves!$AR$8:$AR$68,$A23-Inputs!$C$31+1),0)*Products!$F$27*Products!$F$28*Products!$F$13</f>
        <v/>
      </c>
      <c r="AT23" s="39">
        <f>IF($A23=Inputs!$C$33,Products!$F$30*Inputs!$C$10*Inputs!$C$32,0)</f>
        <v/>
      </c>
      <c r="AU23" s="39">
        <f>AN23*(1-Inputs!$C$24)-Inputs!$C$25*AQ23+AS23+AT23</f>
        <v/>
      </c>
      <c r="AV23" s="39">
        <f>AV22+AU23</f>
        <v/>
      </c>
      <c r="AX23" s="40">
        <f>(1-Products!$G$41)^$A23</f>
        <v/>
      </c>
      <c r="AY23" s="39">
        <f>IF(AND($A23&gt;=1,$A23&lt;=Products!$G$16),Products!$G$33,0)</f>
        <v/>
      </c>
      <c r="AZ23" s="39">
        <f>AY23*Products!$G$42*AX23</f>
        <v/>
      </c>
      <c r="BA23" s="39">
        <f>AY23-AZ23</f>
        <v/>
      </c>
      <c r="BB23" s="39">
        <f>(1-AX23)*MAX(0,Products!$G$16-$A23)*(Products!$G$33-Products!$G$35/Products!$G$16)</f>
        <v/>
      </c>
      <c r="BC23" s="40">
        <f>IF($A23&lt;=Products!$G$16,AX23,0)</f>
        <v/>
      </c>
      <c r="BD23" s="40">
        <f>IF(AND($A23&gt;=1,$A23&lt;=Products!$G$16),AX22-AX23,0)</f>
        <v/>
      </c>
      <c r="BE23" s="39">
        <f>IF(AND($A23-Inputs!$C$31&gt;=1,$A23-Inputs!$C$31&lt;=Products!$G$16),INDEX(Curves!$BD$8:$BD$68,$A23-Inputs!$C$31+1),0)*Products!$G$27*Products!$G$28*Products!$G$13</f>
        <v/>
      </c>
      <c r="BF23" s="39">
        <f>IF($A23=Inputs!$C$33,Products!$G$30*Inputs!$C$10*Inputs!$C$32,0)</f>
        <v/>
      </c>
      <c r="BG23" s="39">
        <f>AZ23*(1-Inputs!$C$24)-Inputs!$C$25*BC23+BE23+BF23</f>
        <v/>
      </c>
      <c r="BH23" s="39">
        <f>BH22+BG23</f>
        <v/>
      </c>
    </row>
    <row r="24">
      <c r="A24" s="46" t="n">
        <v>16</v>
      </c>
      <c r="B24" s="40">
        <f>(1-Products!$C$41)^$A24</f>
        <v/>
      </c>
      <c r="C24" s="39">
        <f>IF(AND($A24&gt;=1,$A24&lt;=Products!$C$16),Products!$C$33,0)</f>
        <v/>
      </c>
      <c r="D24" s="39">
        <f>C24*Products!$C$42*B24</f>
        <v/>
      </c>
      <c r="E24" s="39">
        <f>C24-D24</f>
        <v/>
      </c>
      <c r="F24" s="39">
        <f>(1-B24)*MAX(0,Products!$C$16-$A24)*(Products!$C$33-Products!$C$35/Products!$C$16)</f>
        <v/>
      </c>
      <c r="G24" s="40">
        <f>IF($A24&lt;=Products!$C$16,B24,0)</f>
        <v/>
      </c>
      <c r="H24" s="40">
        <f>IF(AND($A24&gt;=1,$A24&lt;=Products!$C$16),B23-B24,0)</f>
        <v/>
      </c>
      <c r="I24" s="39">
        <f>IF(AND($A24-Inputs!$C$31&gt;=1,$A24-Inputs!$C$31&lt;=Products!$C$16),INDEX(Curves!$H$8:$H$68,$A24-Inputs!$C$31+1),0)*Products!$C$27*Products!$C$28*Products!$C$13</f>
        <v/>
      </c>
      <c r="J24" s="39">
        <f>IF($A24=Inputs!$C$33,Products!$C$30*Inputs!$C$10*Inputs!$C$32,0)</f>
        <v/>
      </c>
      <c r="K24" s="39">
        <f>D24*(1-Inputs!$C$24)-Inputs!$C$25*G24+I24+J24</f>
        <v/>
      </c>
      <c r="L24" s="39">
        <f>L23+K24</f>
        <v/>
      </c>
      <c r="N24" s="40">
        <f>(1-Products!$D$41)^$A24</f>
        <v/>
      </c>
      <c r="O24" s="39">
        <f>IF(AND($A24&gt;=1,$A24&lt;=Products!$D$16),Products!$D$33,0)</f>
        <v/>
      </c>
      <c r="P24" s="39">
        <f>O24*Products!$D$42*N24</f>
        <v/>
      </c>
      <c r="Q24" s="39">
        <f>O24-P24</f>
        <v/>
      </c>
      <c r="R24" s="39">
        <f>(1-N24)*MAX(0,Products!$D$16-$A24)*(Products!$D$33-Products!$D$35/Products!$D$16)</f>
        <v/>
      </c>
      <c r="S24" s="40">
        <f>IF($A24&lt;=Products!$D$16,N24,0)</f>
        <v/>
      </c>
      <c r="T24" s="40">
        <f>IF(AND($A24&gt;=1,$A24&lt;=Products!$D$16),N23-N24,0)</f>
        <v/>
      </c>
      <c r="U24" s="39">
        <f>IF(AND($A24-Inputs!$C$31&gt;=1,$A24-Inputs!$C$31&lt;=Products!$D$16),INDEX(Curves!$T$8:$T$68,$A24-Inputs!$C$31+1),0)*Products!$D$27*Products!$D$28*Products!$D$13</f>
        <v/>
      </c>
      <c r="V24" s="39">
        <f>IF($A24=Inputs!$C$33,Products!$D$30*Inputs!$C$10*Inputs!$C$32,0)</f>
        <v/>
      </c>
      <c r="W24" s="39">
        <f>P24*(1-Inputs!$C$24)-Inputs!$C$25*S24+U24+V24</f>
        <v/>
      </c>
      <c r="X24" s="39">
        <f>X23+W24</f>
        <v/>
      </c>
      <c r="Z24" s="40">
        <f>(1-Products!$E$41)^$A24</f>
        <v/>
      </c>
      <c r="AA24" s="39">
        <f>IF(AND($A24&gt;=1,$A24&lt;=Products!$E$16),Products!$E$33,0)</f>
        <v/>
      </c>
      <c r="AB24" s="39">
        <f>AA24*Products!$E$42*Z24</f>
        <v/>
      </c>
      <c r="AC24" s="39">
        <f>AA24-AB24</f>
        <v/>
      </c>
      <c r="AD24" s="39">
        <f>(1-Z24)*MAX(0,Products!$E$16-$A24)*(Products!$E$33-Products!$E$35/Products!$E$16)</f>
        <v/>
      </c>
      <c r="AE24" s="40">
        <f>IF($A24&lt;=Products!$E$16,Z24,0)</f>
        <v/>
      </c>
      <c r="AF24" s="40">
        <f>IF(AND($A24&gt;=1,$A24&lt;=Products!$E$16),Z23-Z24,0)</f>
        <v/>
      </c>
      <c r="AG24" s="39">
        <f>IF(AND($A24-Inputs!$C$31&gt;=1,$A24-Inputs!$C$31&lt;=Products!$E$16),INDEX(Curves!$AF$8:$AF$68,$A24-Inputs!$C$31+1),0)*Products!$E$27*Products!$E$28*Products!$E$13</f>
        <v/>
      </c>
      <c r="AH24" s="39">
        <f>IF($A24=Inputs!$C$33,Products!$E$30*Inputs!$C$10*Inputs!$C$32,0)</f>
        <v/>
      </c>
      <c r="AI24" s="39">
        <f>AB24*(1-Inputs!$C$24)-Inputs!$C$25*AE24+AG24+AH24</f>
        <v/>
      </c>
      <c r="AJ24" s="39">
        <f>AJ23+AI24</f>
        <v/>
      </c>
      <c r="AL24" s="40">
        <f>(1-Products!$F$41)^$A24</f>
        <v/>
      </c>
      <c r="AM24" s="39">
        <f>IF(AND($A24&gt;=1,$A24&lt;=Products!$F$16),Products!$F$33,0)</f>
        <v/>
      </c>
      <c r="AN24" s="39">
        <f>AM24*Products!$F$42*AL24</f>
        <v/>
      </c>
      <c r="AO24" s="39">
        <f>AM24-AN24</f>
        <v/>
      </c>
      <c r="AP24" s="39">
        <f>(1-AL24)*MAX(0,Products!$F$16-$A24)*(Products!$F$33-Products!$F$35/Products!$F$16)</f>
        <v/>
      </c>
      <c r="AQ24" s="40">
        <f>IF($A24&lt;=Products!$F$16,AL24,0)</f>
        <v/>
      </c>
      <c r="AR24" s="40">
        <f>IF(AND($A24&gt;=1,$A24&lt;=Products!$F$16),AL23-AL24,0)</f>
        <v/>
      </c>
      <c r="AS24" s="39">
        <f>IF(AND($A24-Inputs!$C$31&gt;=1,$A24-Inputs!$C$31&lt;=Products!$F$16),INDEX(Curves!$AR$8:$AR$68,$A24-Inputs!$C$31+1),0)*Products!$F$27*Products!$F$28*Products!$F$13</f>
        <v/>
      </c>
      <c r="AT24" s="39">
        <f>IF($A24=Inputs!$C$33,Products!$F$30*Inputs!$C$10*Inputs!$C$32,0)</f>
        <v/>
      </c>
      <c r="AU24" s="39">
        <f>AN24*(1-Inputs!$C$24)-Inputs!$C$25*AQ24+AS24+AT24</f>
        <v/>
      </c>
      <c r="AV24" s="39">
        <f>AV23+AU24</f>
        <v/>
      </c>
      <c r="AX24" s="40">
        <f>(1-Products!$G$41)^$A24</f>
        <v/>
      </c>
      <c r="AY24" s="39">
        <f>IF(AND($A24&gt;=1,$A24&lt;=Products!$G$16),Products!$G$33,0)</f>
        <v/>
      </c>
      <c r="AZ24" s="39">
        <f>AY24*Products!$G$42*AX24</f>
        <v/>
      </c>
      <c r="BA24" s="39">
        <f>AY24-AZ24</f>
        <v/>
      </c>
      <c r="BB24" s="39">
        <f>(1-AX24)*MAX(0,Products!$G$16-$A24)*(Products!$G$33-Products!$G$35/Products!$G$16)</f>
        <v/>
      </c>
      <c r="BC24" s="40">
        <f>IF($A24&lt;=Products!$G$16,AX24,0)</f>
        <v/>
      </c>
      <c r="BD24" s="40">
        <f>IF(AND($A24&gt;=1,$A24&lt;=Products!$G$16),AX23-AX24,0)</f>
        <v/>
      </c>
      <c r="BE24" s="39">
        <f>IF(AND($A24-Inputs!$C$31&gt;=1,$A24-Inputs!$C$31&lt;=Products!$G$16),INDEX(Curves!$BD$8:$BD$68,$A24-Inputs!$C$31+1),0)*Products!$G$27*Products!$G$28*Products!$G$13</f>
        <v/>
      </c>
      <c r="BF24" s="39">
        <f>IF($A24=Inputs!$C$33,Products!$G$30*Inputs!$C$10*Inputs!$C$32,0)</f>
        <v/>
      </c>
      <c r="BG24" s="39">
        <f>AZ24*(1-Inputs!$C$24)-Inputs!$C$25*BC24+BE24+BF24</f>
        <v/>
      </c>
      <c r="BH24" s="39">
        <f>BH23+BG24</f>
        <v/>
      </c>
    </row>
    <row r="25">
      <c r="A25" s="46" t="n">
        <v>17</v>
      </c>
      <c r="B25" s="40">
        <f>(1-Products!$C$41)^$A25</f>
        <v/>
      </c>
      <c r="C25" s="39">
        <f>IF(AND($A25&gt;=1,$A25&lt;=Products!$C$16),Products!$C$33,0)</f>
        <v/>
      </c>
      <c r="D25" s="39">
        <f>C25*Products!$C$42*B25</f>
        <v/>
      </c>
      <c r="E25" s="39">
        <f>C25-D25</f>
        <v/>
      </c>
      <c r="F25" s="39">
        <f>(1-B25)*MAX(0,Products!$C$16-$A25)*(Products!$C$33-Products!$C$35/Products!$C$16)</f>
        <v/>
      </c>
      <c r="G25" s="40">
        <f>IF($A25&lt;=Products!$C$16,B25,0)</f>
        <v/>
      </c>
      <c r="H25" s="40">
        <f>IF(AND($A25&gt;=1,$A25&lt;=Products!$C$16),B24-B25,0)</f>
        <v/>
      </c>
      <c r="I25" s="39">
        <f>IF(AND($A25-Inputs!$C$31&gt;=1,$A25-Inputs!$C$31&lt;=Products!$C$16),INDEX(Curves!$H$8:$H$68,$A25-Inputs!$C$31+1),0)*Products!$C$27*Products!$C$28*Products!$C$13</f>
        <v/>
      </c>
      <c r="J25" s="39">
        <f>IF($A25=Inputs!$C$33,Products!$C$30*Inputs!$C$10*Inputs!$C$32,0)</f>
        <v/>
      </c>
      <c r="K25" s="39">
        <f>D25*(1-Inputs!$C$24)-Inputs!$C$25*G25+I25+J25</f>
        <v/>
      </c>
      <c r="L25" s="39">
        <f>L24+K25</f>
        <v/>
      </c>
      <c r="N25" s="40">
        <f>(1-Products!$D$41)^$A25</f>
        <v/>
      </c>
      <c r="O25" s="39">
        <f>IF(AND($A25&gt;=1,$A25&lt;=Products!$D$16),Products!$D$33,0)</f>
        <v/>
      </c>
      <c r="P25" s="39">
        <f>O25*Products!$D$42*N25</f>
        <v/>
      </c>
      <c r="Q25" s="39">
        <f>O25-P25</f>
        <v/>
      </c>
      <c r="R25" s="39">
        <f>(1-N25)*MAX(0,Products!$D$16-$A25)*(Products!$D$33-Products!$D$35/Products!$D$16)</f>
        <v/>
      </c>
      <c r="S25" s="40">
        <f>IF($A25&lt;=Products!$D$16,N25,0)</f>
        <v/>
      </c>
      <c r="T25" s="40">
        <f>IF(AND($A25&gt;=1,$A25&lt;=Products!$D$16),N24-N25,0)</f>
        <v/>
      </c>
      <c r="U25" s="39">
        <f>IF(AND($A25-Inputs!$C$31&gt;=1,$A25-Inputs!$C$31&lt;=Products!$D$16),INDEX(Curves!$T$8:$T$68,$A25-Inputs!$C$31+1),0)*Products!$D$27*Products!$D$28*Products!$D$13</f>
        <v/>
      </c>
      <c r="V25" s="39">
        <f>IF($A25=Inputs!$C$33,Products!$D$30*Inputs!$C$10*Inputs!$C$32,0)</f>
        <v/>
      </c>
      <c r="W25" s="39">
        <f>P25*(1-Inputs!$C$24)-Inputs!$C$25*S25+U25+V25</f>
        <v/>
      </c>
      <c r="X25" s="39">
        <f>X24+W25</f>
        <v/>
      </c>
      <c r="Z25" s="40">
        <f>(1-Products!$E$41)^$A25</f>
        <v/>
      </c>
      <c r="AA25" s="39">
        <f>IF(AND($A25&gt;=1,$A25&lt;=Products!$E$16),Products!$E$33,0)</f>
        <v/>
      </c>
      <c r="AB25" s="39">
        <f>AA25*Products!$E$42*Z25</f>
        <v/>
      </c>
      <c r="AC25" s="39">
        <f>AA25-AB25</f>
        <v/>
      </c>
      <c r="AD25" s="39">
        <f>(1-Z25)*MAX(0,Products!$E$16-$A25)*(Products!$E$33-Products!$E$35/Products!$E$16)</f>
        <v/>
      </c>
      <c r="AE25" s="40">
        <f>IF($A25&lt;=Products!$E$16,Z25,0)</f>
        <v/>
      </c>
      <c r="AF25" s="40">
        <f>IF(AND($A25&gt;=1,$A25&lt;=Products!$E$16),Z24-Z25,0)</f>
        <v/>
      </c>
      <c r="AG25" s="39">
        <f>IF(AND($A25-Inputs!$C$31&gt;=1,$A25-Inputs!$C$31&lt;=Products!$E$16),INDEX(Curves!$AF$8:$AF$68,$A25-Inputs!$C$31+1),0)*Products!$E$27*Products!$E$28*Products!$E$13</f>
        <v/>
      </c>
      <c r="AH25" s="39">
        <f>IF($A25=Inputs!$C$33,Products!$E$30*Inputs!$C$10*Inputs!$C$32,0)</f>
        <v/>
      </c>
      <c r="AI25" s="39">
        <f>AB25*(1-Inputs!$C$24)-Inputs!$C$25*AE25+AG25+AH25</f>
        <v/>
      </c>
      <c r="AJ25" s="39">
        <f>AJ24+AI25</f>
        <v/>
      </c>
      <c r="AL25" s="40">
        <f>(1-Products!$F$41)^$A25</f>
        <v/>
      </c>
      <c r="AM25" s="39">
        <f>IF(AND($A25&gt;=1,$A25&lt;=Products!$F$16),Products!$F$33,0)</f>
        <v/>
      </c>
      <c r="AN25" s="39">
        <f>AM25*Products!$F$42*AL25</f>
        <v/>
      </c>
      <c r="AO25" s="39">
        <f>AM25-AN25</f>
        <v/>
      </c>
      <c r="AP25" s="39">
        <f>(1-AL25)*MAX(0,Products!$F$16-$A25)*(Products!$F$33-Products!$F$35/Products!$F$16)</f>
        <v/>
      </c>
      <c r="AQ25" s="40">
        <f>IF($A25&lt;=Products!$F$16,AL25,0)</f>
        <v/>
      </c>
      <c r="AR25" s="40">
        <f>IF(AND($A25&gt;=1,$A25&lt;=Products!$F$16),AL24-AL25,0)</f>
        <v/>
      </c>
      <c r="AS25" s="39">
        <f>IF(AND($A25-Inputs!$C$31&gt;=1,$A25-Inputs!$C$31&lt;=Products!$F$16),INDEX(Curves!$AR$8:$AR$68,$A25-Inputs!$C$31+1),0)*Products!$F$27*Products!$F$28*Products!$F$13</f>
        <v/>
      </c>
      <c r="AT25" s="39">
        <f>IF($A25=Inputs!$C$33,Products!$F$30*Inputs!$C$10*Inputs!$C$32,0)</f>
        <v/>
      </c>
      <c r="AU25" s="39">
        <f>AN25*(1-Inputs!$C$24)-Inputs!$C$25*AQ25+AS25+AT25</f>
        <v/>
      </c>
      <c r="AV25" s="39">
        <f>AV24+AU25</f>
        <v/>
      </c>
      <c r="AX25" s="40">
        <f>(1-Products!$G$41)^$A25</f>
        <v/>
      </c>
      <c r="AY25" s="39">
        <f>IF(AND($A25&gt;=1,$A25&lt;=Products!$G$16),Products!$G$33,0)</f>
        <v/>
      </c>
      <c r="AZ25" s="39">
        <f>AY25*Products!$G$42*AX25</f>
        <v/>
      </c>
      <c r="BA25" s="39">
        <f>AY25-AZ25</f>
        <v/>
      </c>
      <c r="BB25" s="39">
        <f>(1-AX25)*MAX(0,Products!$G$16-$A25)*(Products!$G$33-Products!$G$35/Products!$G$16)</f>
        <v/>
      </c>
      <c r="BC25" s="40">
        <f>IF($A25&lt;=Products!$G$16,AX25,0)</f>
        <v/>
      </c>
      <c r="BD25" s="40">
        <f>IF(AND($A25&gt;=1,$A25&lt;=Products!$G$16),AX24-AX25,0)</f>
        <v/>
      </c>
      <c r="BE25" s="39">
        <f>IF(AND($A25-Inputs!$C$31&gt;=1,$A25-Inputs!$C$31&lt;=Products!$G$16),INDEX(Curves!$BD$8:$BD$68,$A25-Inputs!$C$31+1),0)*Products!$G$27*Products!$G$28*Products!$G$13</f>
        <v/>
      </c>
      <c r="BF25" s="39">
        <f>IF($A25=Inputs!$C$33,Products!$G$30*Inputs!$C$10*Inputs!$C$32,0)</f>
        <v/>
      </c>
      <c r="BG25" s="39">
        <f>AZ25*(1-Inputs!$C$24)-Inputs!$C$25*BC25+BE25+BF25</f>
        <v/>
      </c>
      <c r="BH25" s="39">
        <f>BH24+BG25</f>
        <v/>
      </c>
    </row>
    <row r="26">
      <c r="A26" s="46" t="n">
        <v>18</v>
      </c>
      <c r="B26" s="40">
        <f>(1-Products!$C$41)^$A26</f>
        <v/>
      </c>
      <c r="C26" s="39">
        <f>IF(AND($A26&gt;=1,$A26&lt;=Products!$C$16),Products!$C$33,0)</f>
        <v/>
      </c>
      <c r="D26" s="39">
        <f>C26*Products!$C$42*B26</f>
        <v/>
      </c>
      <c r="E26" s="39">
        <f>C26-D26</f>
        <v/>
      </c>
      <c r="F26" s="39">
        <f>(1-B26)*MAX(0,Products!$C$16-$A26)*(Products!$C$33-Products!$C$35/Products!$C$16)</f>
        <v/>
      </c>
      <c r="G26" s="40">
        <f>IF($A26&lt;=Products!$C$16,B26,0)</f>
        <v/>
      </c>
      <c r="H26" s="40">
        <f>IF(AND($A26&gt;=1,$A26&lt;=Products!$C$16),B25-B26,0)</f>
        <v/>
      </c>
      <c r="I26" s="39">
        <f>IF(AND($A26-Inputs!$C$31&gt;=1,$A26-Inputs!$C$31&lt;=Products!$C$16),INDEX(Curves!$H$8:$H$68,$A26-Inputs!$C$31+1),0)*Products!$C$27*Products!$C$28*Products!$C$13</f>
        <v/>
      </c>
      <c r="J26" s="39">
        <f>IF($A26=Inputs!$C$33,Products!$C$30*Inputs!$C$10*Inputs!$C$32,0)</f>
        <v/>
      </c>
      <c r="K26" s="39">
        <f>D26*(1-Inputs!$C$24)-Inputs!$C$25*G26+I26+J26</f>
        <v/>
      </c>
      <c r="L26" s="39">
        <f>L25+K26</f>
        <v/>
      </c>
      <c r="N26" s="40">
        <f>(1-Products!$D$41)^$A26</f>
        <v/>
      </c>
      <c r="O26" s="39">
        <f>IF(AND($A26&gt;=1,$A26&lt;=Products!$D$16),Products!$D$33,0)</f>
        <v/>
      </c>
      <c r="P26" s="39">
        <f>O26*Products!$D$42*N26</f>
        <v/>
      </c>
      <c r="Q26" s="39">
        <f>O26-P26</f>
        <v/>
      </c>
      <c r="R26" s="39">
        <f>(1-N26)*MAX(0,Products!$D$16-$A26)*(Products!$D$33-Products!$D$35/Products!$D$16)</f>
        <v/>
      </c>
      <c r="S26" s="40">
        <f>IF($A26&lt;=Products!$D$16,N26,0)</f>
        <v/>
      </c>
      <c r="T26" s="40">
        <f>IF(AND($A26&gt;=1,$A26&lt;=Products!$D$16),N25-N26,0)</f>
        <v/>
      </c>
      <c r="U26" s="39">
        <f>IF(AND($A26-Inputs!$C$31&gt;=1,$A26-Inputs!$C$31&lt;=Products!$D$16),INDEX(Curves!$T$8:$T$68,$A26-Inputs!$C$31+1),0)*Products!$D$27*Products!$D$28*Products!$D$13</f>
        <v/>
      </c>
      <c r="V26" s="39">
        <f>IF($A26=Inputs!$C$33,Products!$D$30*Inputs!$C$10*Inputs!$C$32,0)</f>
        <v/>
      </c>
      <c r="W26" s="39">
        <f>P26*(1-Inputs!$C$24)-Inputs!$C$25*S26+U26+V26</f>
        <v/>
      </c>
      <c r="X26" s="39">
        <f>X25+W26</f>
        <v/>
      </c>
      <c r="Z26" s="40">
        <f>(1-Products!$E$41)^$A26</f>
        <v/>
      </c>
      <c r="AA26" s="39">
        <f>IF(AND($A26&gt;=1,$A26&lt;=Products!$E$16),Products!$E$33,0)</f>
        <v/>
      </c>
      <c r="AB26" s="39">
        <f>AA26*Products!$E$42*Z26</f>
        <v/>
      </c>
      <c r="AC26" s="39">
        <f>AA26-AB26</f>
        <v/>
      </c>
      <c r="AD26" s="39">
        <f>(1-Z26)*MAX(0,Products!$E$16-$A26)*(Products!$E$33-Products!$E$35/Products!$E$16)</f>
        <v/>
      </c>
      <c r="AE26" s="40">
        <f>IF($A26&lt;=Products!$E$16,Z26,0)</f>
        <v/>
      </c>
      <c r="AF26" s="40">
        <f>IF(AND($A26&gt;=1,$A26&lt;=Products!$E$16),Z25-Z26,0)</f>
        <v/>
      </c>
      <c r="AG26" s="39">
        <f>IF(AND($A26-Inputs!$C$31&gt;=1,$A26-Inputs!$C$31&lt;=Products!$E$16),INDEX(Curves!$AF$8:$AF$68,$A26-Inputs!$C$31+1),0)*Products!$E$27*Products!$E$28*Products!$E$13</f>
        <v/>
      </c>
      <c r="AH26" s="39">
        <f>IF($A26=Inputs!$C$33,Products!$E$30*Inputs!$C$10*Inputs!$C$32,0)</f>
        <v/>
      </c>
      <c r="AI26" s="39">
        <f>AB26*(1-Inputs!$C$24)-Inputs!$C$25*AE26+AG26+AH26</f>
        <v/>
      </c>
      <c r="AJ26" s="39">
        <f>AJ25+AI26</f>
        <v/>
      </c>
      <c r="AL26" s="40">
        <f>(1-Products!$F$41)^$A26</f>
        <v/>
      </c>
      <c r="AM26" s="39">
        <f>IF(AND($A26&gt;=1,$A26&lt;=Products!$F$16),Products!$F$33,0)</f>
        <v/>
      </c>
      <c r="AN26" s="39">
        <f>AM26*Products!$F$42*AL26</f>
        <v/>
      </c>
      <c r="AO26" s="39">
        <f>AM26-AN26</f>
        <v/>
      </c>
      <c r="AP26" s="39">
        <f>(1-AL26)*MAX(0,Products!$F$16-$A26)*(Products!$F$33-Products!$F$35/Products!$F$16)</f>
        <v/>
      </c>
      <c r="AQ26" s="40">
        <f>IF($A26&lt;=Products!$F$16,AL26,0)</f>
        <v/>
      </c>
      <c r="AR26" s="40">
        <f>IF(AND($A26&gt;=1,$A26&lt;=Products!$F$16),AL25-AL26,0)</f>
        <v/>
      </c>
      <c r="AS26" s="39">
        <f>IF(AND($A26-Inputs!$C$31&gt;=1,$A26-Inputs!$C$31&lt;=Products!$F$16),INDEX(Curves!$AR$8:$AR$68,$A26-Inputs!$C$31+1),0)*Products!$F$27*Products!$F$28*Products!$F$13</f>
        <v/>
      </c>
      <c r="AT26" s="39">
        <f>IF($A26=Inputs!$C$33,Products!$F$30*Inputs!$C$10*Inputs!$C$32,0)</f>
        <v/>
      </c>
      <c r="AU26" s="39">
        <f>AN26*(1-Inputs!$C$24)-Inputs!$C$25*AQ26+AS26+AT26</f>
        <v/>
      </c>
      <c r="AV26" s="39">
        <f>AV25+AU26</f>
        <v/>
      </c>
      <c r="AX26" s="40">
        <f>(1-Products!$G$41)^$A26</f>
        <v/>
      </c>
      <c r="AY26" s="39">
        <f>IF(AND($A26&gt;=1,$A26&lt;=Products!$G$16),Products!$G$33,0)</f>
        <v/>
      </c>
      <c r="AZ26" s="39">
        <f>AY26*Products!$G$42*AX26</f>
        <v/>
      </c>
      <c r="BA26" s="39">
        <f>AY26-AZ26</f>
        <v/>
      </c>
      <c r="BB26" s="39">
        <f>(1-AX26)*MAX(0,Products!$G$16-$A26)*(Products!$G$33-Products!$G$35/Products!$G$16)</f>
        <v/>
      </c>
      <c r="BC26" s="40">
        <f>IF($A26&lt;=Products!$G$16,AX26,0)</f>
        <v/>
      </c>
      <c r="BD26" s="40">
        <f>IF(AND($A26&gt;=1,$A26&lt;=Products!$G$16),AX25-AX26,0)</f>
        <v/>
      </c>
      <c r="BE26" s="39">
        <f>IF(AND($A26-Inputs!$C$31&gt;=1,$A26-Inputs!$C$31&lt;=Products!$G$16),INDEX(Curves!$BD$8:$BD$68,$A26-Inputs!$C$31+1),0)*Products!$G$27*Products!$G$28*Products!$G$13</f>
        <v/>
      </c>
      <c r="BF26" s="39">
        <f>IF($A26=Inputs!$C$33,Products!$G$30*Inputs!$C$10*Inputs!$C$32,0)</f>
        <v/>
      </c>
      <c r="BG26" s="39">
        <f>AZ26*(1-Inputs!$C$24)-Inputs!$C$25*BC26+BE26+BF26</f>
        <v/>
      </c>
      <c r="BH26" s="39">
        <f>BH25+BG26</f>
        <v/>
      </c>
    </row>
    <row r="27">
      <c r="A27" s="46" t="n">
        <v>19</v>
      </c>
      <c r="B27" s="40">
        <f>(1-Products!$C$41)^$A27</f>
        <v/>
      </c>
      <c r="C27" s="39">
        <f>IF(AND($A27&gt;=1,$A27&lt;=Products!$C$16),Products!$C$33,0)</f>
        <v/>
      </c>
      <c r="D27" s="39">
        <f>C27*Products!$C$42*B27</f>
        <v/>
      </c>
      <c r="E27" s="39">
        <f>C27-D27</f>
        <v/>
      </c>
      <c r="F27" s="39">
        <f>(1-B27)*MAX(0,Products!$C$16-$A27)*(Products!$C$33-Products!$C$35/Products!$C$16)</f>
        <v/>
      </c>
      <c r="G27" s="40">
        <f>IF($A27&lt;=Products!$C$16,B27,0)</f>
        <v/>
      </c>
      <c r="H27" s="40">
        <f>IF(AND($A27&gt;=1,$A27&lt;=Products!$C$16),B26-B27,0)</f>
        <v/>
      </c>
      <c r="I27" s="39">
        <f>IF(AND($A27-Inputs!$C$31&gt;=1,$A27-Inputs!$C$31&lt;=Products!$C$16),INDEX(Curves!$H$8:$H$68,$A27-Inputs!$C$31+1),0)*Products!$C$27*Products!$C$28*Products!$C$13</f>
        <v/>
      </c>
      <c r="J27" s="39">
        <f>IF($A27=Inputs!$C$33,Products!$C$30*Inputs!$C$10*Inputs!$C$32,0)</f>
        <v/>
      </c>
      <c r="K27" s="39">
        <f>D27*(1-Inputs!$C$24)-Inputs!$C$25*G27+I27+J27</f>
        <v/>
      </c>
      <c r="L27" s="39">
        <f>L26+K27</f>
        <v/>
      </c>
      <c r="N27" s="40">
        <f>(1-Products!$D$41)^$A27</f>
        <v/>
      </c>
      <c r="O27" s="39">
        <f>IF(AND($A27&gt;=1,$A27&lt;=Products!$D$16),Products!$D$33,0)</f>
        <v/>
      </c>
      <c r="P27" s="39">
        <f>O27*Products!$D$42*N27</f>
        <v/>
      </c>
      <c r="Q27" s="39">
        <f>O27-P27</f>
        <v/>
      </c>
      <c r="R27" s="39">
        <f>(1-N27)*MAX(0,Products!$D$16-$A27)*(Products!$D$33-Products!$D$35/Products!$D$16)</f>
        <v/>
      </c>
      <c r="S27" s="40">
        <f>IF($A27&lt;=Products!$D$16,N27,0)</f>
        <v/>
      </c>
      <c r="T27" s="40">
        <f>IF(AND($A27&gt;=1,$A27&lt;=Products!$D$16),N26-N27,0)</f>
        <v/>
      </c>
      <c r="U27" s="39">
        <f>IF(AND($A27-Inputs!$C$31&gt;=1,$A27-Inputs!$C$31&lt;=Products!$D$16),INDEX(Curves!$T$8:$T$68,$A27-Inputs!$C$31+1),0)*Products!$D$27*Products!$D$28*Products!$D$13</f>
        <v/>
      </c>
      <c r="V27" s="39">
        <f>IF($A27=Inputs!$C$33,Products!$D$30*Inputs!$C$10*Inputs!$C$32,0)</f>
        <v/>
      </c>
      <c r="W27" s="39">
        <f>P27*(1-Inputs!$C$24)-Inputs!$C$25*S27+U27+V27</f>
        <v/>
      </c>
      <c r="X27" s="39">
        <f>X26+W27</f>
        <v/>
      </c>
      <c r="Z27" s="40">
        <f>(1-Products!$E$41)^$A27</f>
        <v/>
      </c>
      <c r="AA27" s="39">
        <f>IF(AND($A27&gt;=1,$A27&lt;=Products!$E$16),Products!$E$33,0)</f>
        <v/>
      </c>
      <c r="AB27" s="39">
        <f>AA27*Products!$E$42*Z27</f>
        <v/>
      </c>
      <c r="AC27" s="39">
        <f>AA27-AB27</f>
        <v/>
      </c>
      <c r="AD27" s="39">
        <f>(1-Z27)*MAX(0,Products!$E$16-$A27)*(Products!$E$33-Products!$E$35/Products!$E$16)</f>
        <v/>
      </c>
      <c r="AE27" s="40">
        <f>IF($A27&lt;=Products!$E$16,Z27,0)</f>
        <v/>
      </c>
      <c r="AF27" s="40">
        <f>IF(AND($A27&gt;=1,$A27&lt;=Products!$E$16),Z26-Z27,0)</f>
        <v/>
      </c>
      <c r="AG27" s="39">
        <f>IF(AND($A27-Inputs!$C$31&gt;=1,$A27-Inputs!$C$31&lt;=Products!$E$16),INDEX(Curves!$AF$8:$AF$68,$A27-Inputs!$C$31+1),0)*Products!$E$27*Products!$E$28*Products!$E$13</f>
        <v/>
      </c>
      <c r="AH27" s="39">
        <f>IF($A27=Inputs!$C$33,Products!$E$30*Inputs!$C$10*Inputs!$C$32,0)</f>
        <v/>
      </c>
      <c r="AI27" s="39">
        <f>AB27*(1-Inputs!$C$24)-Inputs!$C$25*AE27+AG27+AH27</f>
        <v/>
      </c>
      <c r="AJ27" s="39">
        <f>AJ26+AI27</f>
        <v/>
      </c>
      <c r="AL27" s="40">
        <f>(1-Products!$F$41)^$A27</f>
        <v/>
      </c>
      <c r="AM27" s="39">
        <f>IF(AND($A27&gt;=1,$A27&lt;=Products!$F$16),Products!$F$33,0)</f>
        <v/>
      </c>
      <c r="AN27" s="39">
        <f>AM27*Products!$F$42*AL27</f>
        <v/>
      </c>
      <c r="AO27" s="39">
        <f>AM27-AN27</f>
        <v/>
      </c>
      <c r="AP27" s="39">
        <f>(1-AL27)*MAX(0,Products!$F$16-$A27)*(Products!$F$33-Products!$F$35/Products!$F$16)</f>
        <v/>
      </c>
      <c r="AQ27" s="40">
        <f>IF($A27&lt;=Products!$F$16,AL27,0)</f>
        <v/>
      </c>
      <c r="AR27" s="40">
        <f>IF(AND($A27&gt;=1,$A27&lt;=Products!$F$16),AL26-AL27,0)</f>
        <v/>
      </c>
      <c r="AS27" s="39">
        <f>IF(AND($A27-Inputs!$C$31&gt;=1,$A27-Inputs!$C$31&lt;=Products!$F$16),INDEX(Curves!$AR$8:$AR$68,$A27-Inputs!$C$31+1),0)*Products!$F$27*Products!$F$28*Products!$F$13</f>
        <v/>
      </c>
      <c r="AT27" s="39">
        <f>IF($A27=Inputs!$C$33,Products!$F$30*Inputs!$C$10*Inputs!$C$32,0)</f>
        <v/>
      </c>
      <c r="AU27" s="39">
        <f>AN27*(1-Inputs!$C$24)-Inputs!$C$25*AQ27+AS27+AT27</f>
        <v/>
      </c>
      <c r="AV27" s="39">
        <f>AV26+AU27</f>
        <v/>
      </c>
      <c r="AX27" s="40">
        <f>(1-Products!$G$41)^$A27</f>
        <v/>
      </c>
      <c r="AY27" s="39">
        <f>IF(AND($A27&gt;=1,$A27&lt;=Products!$G$16),Products!$G$33,0)</f>
        <v/>
      </c>
      <c r="AZ27" s="39">
        <f>AY27*Products!$G$42*AX27</f>
        <v/>
      </c>
      <c r="BA27" s="39">
        <f>AY27-AZ27</f>
        <v/>
      </c>
      <c r="BB27" s="39">
        <f>(1-AX27)*MAX(0,Products!$G$16-$A27)*(Products!$G$33-Products!$G$35/Products!$G$16)</f>
        <v/>
      </c>
      <c r="BC27" s="40">
        <f>IF($A27&lt;=Products!$G$16,AX27,0)</f>
        <v/>
      </c>
      <c r="BD27" s="40">
        <f>IF(AND($A27&gt;=1,$A27&lt;=Products!$G$16),AX26-AX27,0)</f>
        <v/>
      </c>
      <c r="BE27" s="39">
        <f>IF(AND($A27-Inputs!$C$31&gt;=1,$A27-Inputs!$C$31&lt;=Products!$G$16),INDEX(Curves!$BD$8:$BD$68,$A27-Inputs!$C$31+1),0)*Products!$G$27*Products!$G$28*Products!$G$13</f>
        <v/>
      </c>
      <c r="BF27" s="39">
        <f>IF($A27=Inputs!$C$33,Products!$G$30*Inputs!$C$10*Inputs!$C$32,0)</f>
        <v/>
      </c>
      <c r="BG27" s="39">
        <f>AZ27*(1-Inputs!$C$24)-Inputs!$C$25*BC27+BE27+BF27</f>
        <v/>
      </c>
      <c r="BH27" s="39">
        <f>BH26+BG27</f>
        <v/>
      </c>
    </row>
    <row r="28">
      <c r="A28" s="46" t="n">
        <v>20</v>
      </c>
      <c r="B28" s="40">
        <f>(1-Products!$C$41)^$A28</f>
        <v/>
      </c>
      <c r="C28" s="39">
        <f>IF(AND($A28&gt;=1,$A28&lt;=Products!$C$16),Products!$C$33,0)</f>
        <v/>
      </c>
      <c r="D28" s="39">
        <f>C28*Products!$C$42*B28</f>
        <v/>
      </c>
      <c r="E28" s="39">
        <f>C28-D28</f>
        <v/>
      </c>
      <c r="F28" s="39">
        <f>(1-B28)*MAX(0,Products!$C$16-$A28)*(Products!$C$33-Products!$C$35/Products!$C$16)</f>
        <v/>
      </c>
      <c r="G28" s="40">
        <f>IF($A28&lt;=Products!$C$16,B28,0)</f>
        <v/>
      </c>
      <c r="H28" s="40">
        <f>IF(AND($A28&gt;=1,$A28&lt;=Products!$C$16),B27-B28,0)</f>
        <v/>
      </c>
      <c r="I28" s="39">
        <f>IF(AND($A28-Inputs!$C$31&gt;=1,$A28-Inputs!$C$31&lt;=Products!$C$16),INDEX(Curves!$H$8:$H$68,$A28-Inputs!$C$31+1),0)*Products!$C$27*Products!$C$28*Products!$C$13</f>
        <v/>
      </c>
      <c r="J28" s="39">
        <f>IF($A28=Inputs!$C$33,Products!$C$30*Inputs!$C$10*Inputs!$C$32,0)</f>
        <v/>
      </c>
      <c r="K28" s="39">
        <f>D28*(1-Inputs!$C$24)-Inputs!$C$25*G28+I28+J28</f>
        <v/>
      </c>
      <c r="L28" s="39">
        <f>L27+K28</f>
        <v/>
      </c>
      <c r="N28" s="40">
        <f>(1-Products!$D$41)^$A28</f>
        <v/>
      </c>
      <c r="O28" s="39">
        <f>IF(AND($A28&gt;=1,$A28&lt;=Products!$D$16),Products!$D$33,0)</f>
        <v/>
      </c>
      <c r="P28" s="39">
        <f>O28*Products!$D$42*N28</f>
        <v/>
      </c>
      <c r="Q28" s="39">
        <f>O28-P28</f>
        <v/>
      </c>
      <c r="R28" s="39">
        <f>(1-N28)*MAX(0,Products!$D$16-$A28)*(Products!$D$33-Products!$D$35/Products!$D$16)</f>
        <v/>
      </c>
      <c r="S28" s="40">
        <f>IF($A28&lt;=Products!$D$16,N28,0)</f>
        <v/>
      </c>
      <c r="T28" s="40">
        <f>IF(AND($A28&gt;=1,$A28&lt;=Products!$D$16),N27-N28,0)</f>
        <v/>
      </c>
      <c r="U28" s="39">
        <f>IF(AND($A28-Inputs!$C$31&gt;=1,$A28-Inputs!$C$31&lt;=Products!$D$16),INDEX(Curves!$T$8:$T$68,$A28-Inputs!$C$31+1),0)*Products!$D$27*Products!$D$28*Products!$D$13</f>
        <v/>
      </c>
      <c r="V28" s="39">
        <f>IF($A28=Inputs!$C$33,Products!$D$30*Inputs!$C$10*Inputs!$C$32,0)</f>
        <v/>
      </c>
      <c r="W28" s="39">
        <f>P28*(1-Inputs!$C$24)-Inputs!$C$25*S28+U28+V28</f>
        <v/>
      </c>
      <c r="X28" s="39">
        <f>X27+W28</f>
        <v/>
      </c>
      <c r="Z28" s="40">
        <f>(1-Products!$E$41)^$A28</f>
        <v/>
      </c>
      <c r="AA28" s="39">
        <f>IF(AND($A28&gt;=1,$A28&lt;=Products!$E$16),Products!$E$33,0)</f>
        <v/>
      </c>
      <c r="AB28" s="39">
        <f>AA28*Products!$E$42*Z28</f>
        <v/>
      </c>
      <c r="AC28" s="39">
        <f>AA28-AB28</f>
        <v/>
      </c>
      <c r="AD28" s="39">
        <f>(1-Z28)*MAX(0,Products!$E$16-$A28)*(Products!$E$33-Products!$E$35/Products!$E$16)</f>
        <v/>
      </c>
      <c r="AE28" s="40">
        <f>IF($A28&lt;=Products!$E$16,Z28,0)</f>
        <v/>
      </c>
      <c r="AF28" s="40">
        <f>IF(AND($A28&gt;=1,$A28&lt;=Products!$E$16),Z27-Z28,0)</f>
        <v/>
      </c>
      <c r="AG28" s="39">
        <f>IF(AND($A28-Inputs!$C$31&gt;=1,$A28-Inputs!$C$31&lt;=Products!$E$16),INDEX(Curves!$AF$8:$AF$68,$A28-Inputs!$C$31+1),0)*Products!$E$27*Products!$E$28*Products!$E$13</f>
        <v/>
      </c>
      <c r="AH28" s="39">
        <f>IF($A28=Inputs!$C$33,Products!$E$30*Inputs!$C$10*Inputs!$C$32,0)</f>
        <v/>
      </c>
      <c r="AI28" s="39">
        <f>AB28*(1-Inputs!$C$24)-Inputs!$C$25*AE28+AG28+AH28</f>
        <v/>
      </c>
      <c r="AJ28" s="39">
        <f>AJ27+AI28</f>
        <v/>
      </c>
      <c r="AL28" s="40">
        <f>(1-Products!$F$41)^$A28</f>
        <v/>
      </c>
      <c r="AM28" s="39">
        <f>IF(AND($A28&gt;=1,$A28&lt;=Products!$F$16),Products!$F$33,0)</f>
        <v/>
      </c>
      <c r="AN28" s="39">
        <f>AM28*Products!$F$42*AL28</f>
        <v/>
      </c>
      <c r="AO28" s="39">
        <f>AM28-AN28</f>
        <v/>
      </c>
      <c r="AP28" s="39">
        <f>(1-AL28)*MAX(0,Products!$F$16-$A28)*(Products!$F$33-Products!$F$35/Products!$F$16)</f>
        <v/>
      </c>
      <c r="AQ28" s="40">
        <f>IF($A28&lt;=Products!$F$16,AL28,0)</f>
        <v/>
      </c>
      <c r="AR28" s="40">
        <f>IF(AND($A28&gt;=1,$A28&lt;=Products!$F$16),AL27-AL28,0)</f>
        <v/>
      </c>
      <c r="AS28" s="39">
        <f>IF(AND($A28-Inputs!$C$31&gt;=1,$A28-Inputs!$C$31&lt;=Products!$F$16),INDEX(Curves!$AR$8:$AR$68,$A28-Inputs!$C$31+1),0)*Products!$F$27*Products!$F$28*Products!$F$13</f>
        <v/>
      </c>
      <c r="AT28" s="39">
        <f>IF($A28=Inputs!$C$33,Products!$F$30*Inputs!$C$10*Inputs!$C$32,0)</f>
        <v/>
      </c>
      <c r="AU28" s="39">
        <f>AN28*(1-Inputs!$C$24)-Inputs!$C$25*AQ28+AS28+AT28</f>
        <v/>
      </c>
      <c r="AV28" s="39">
        <f>AV27+AU28</f>
        <v/>
      </c>
      <c r="AX28" s="40">
        <f>(1-Products!$G$41)^$A28</f>
        <v/>
      </c>
      <c r="AY28" s="39">
        <f>IF(AND($A28&gt;=1,$A28&lt;=Products!$G$16),Products!$G$33,0)</f>
        <v/>
      </c>
      <c r="AZ28" s="39">
        <f>AY28*Products!$G$42*AX28</f>
        <v/>
      </c>
      <c r="BA28" s="39">
        <f>AY28-AZ28</f>
        <v/>
      </c>
      <c r="BB28" s="39">
        <f>(1-AX28)*MAX(0,Products!$G$16-$A28)*(Products!$G$33-Products!$G$35/Products!$G$16)</f>
        <v/>
      </c>
      <c r="BC28" s="40">
        <f>IF($A28&lt;=Products!$G$16,AX28,0)</f>
        <v/>
      </c>
      <c r="BD28" s="40">
        <f>IF(AND($A28&gt;=1,$A28&lt;=Products!$G$16),AX27-AX28,0)</f>
        <v/>
      </c>
      <c r="BE28" s="39">
        <f>IF(AND($A28-Inputs!$C$31&gt;=1,$A28-Inputs!$C$31&lt;=Products!$G$16),INDEX(Curves!$BD$8:$BD$68,$A28-Inputs!$C$31+1),0)*Products!$G$27*Products!$G$28*Products!$G$13</f>
        <v/>
      </c>
      <c r="BF28" s="39">
        <f>IF($A28=Inputs!$C$33,Products!$G$30*Inputs!$C$10*Inputs!$C$32,0)</f>
        <v/>
      </c>
      <c r="BG28" s="39">
        <f>AZ28*(1-Inputs!$C$24)-Inputs!$C$25*BC28+BE28+BF28</f>
        <v/>
      </c>
      <c r="BH28" s="39">
        <f>BH27+BG28</f>
        <v/>
      </c>
    </row>
    <row r="29">
      <c r="A29" s="46" t="n">
        <v>21</v>
      </c>
      <c r="B29" s="40">
        <f>(1-Products!$C$41)^$A29</f>
        <v/>
      </c>
      <c r="C29" s="39">
        <f>IF(AND($A29&gt;=1,$A29&lt;=Products!$C$16),Products!$C$33,0)</f>
        <v/>
      </c>
      <c r="D29" s="39">
        <f>C29*Products!$C$42*B29</f>
        <v/>
      </c>
      <c r="E29" s="39">
        <f>C29-D29</f>
        <v/>
      </c>
      <c r="F29" s="39">
        <f>(1-B29)*MAX(0,Products!$C$16-$A29)*(Products!$C$33-Products!$C$35/Products!$C$16)</f>
        <v/>
      </c>
      <c r="G29" s="40">
        <f>IF($A29&lt;=Products!$C$16,B29,0)</f>
        <v/>
      </c>
      <c r="H29" s="40">
        <f>IF(AND($A29&gt;=1,$A29&lt;=Products!$C$16),B28-B29,0)</f>
        <v/>
      </c>
      <c r="I29" s="39">
        <f>IF(AND($A29-Inputs!$C$31&gt;=1,$A29-Inputs!$C$31&lt;=Products!$C$16),INDEX(Curves!$H$8:$H$68,$A29-Inputs!$C$31+1),0)*Products!$C$27*Products!$C$28*Products!$C$13</f>
        <v/>
      </c>
      <c r="J29" s="39">
        <f>IF($A29=Inputs!$C$33,Products!$C$30*Inputs!$C$10*Inputs!$C$32,0)</f>
        <v/>
      </c>
      <c r="K29" s="39">
        <f>D29*(1-Inputs!$C$24)-Inputs!$C$25*G29+I29+J29</f>
        <v/>
      </c>
      <c r="L29" s="39">
        <f>L28+K29</f>
        <v/>
      </c>
      <c r="N29" s="40">
        <f>(1-Products!$D$41)^$A29</f>
        <v/>
      </c>
      <c r="O29" s="39">
        <f>IF(AND($A29&gt;=1,$A29&lt;=Products!$D$16),Products!$D$33,0)</f>
        <v/>
      </c>
      <c r="P29" s="39">
        <f>O29*Products!$D$42*N29</f>
        <v/>
      </c>
      <c r="Q29" s="39">
        <f>O29-P29</f>
        <v/>
      </c>
      <c r="R29" s="39">
        <f>(1-N29)*MAX(0,Products!$D$16-$A29)*(Products!$D$33-Products!$D$35/Products!$D$16)</f>
        <v/>
      </c>
      <c r="S29" s="40">
        <f>IF($A29&lt;=Products!$D$16,N29,0)</f>
        <v/>
      </c>
      <c r="T29" s="40">
        <f>IF(AND($A29&gt;=1,$A29&lt;=Products!$D$16),N28-N29,0)</f>
        <v/>
      </c>
      <c r="U29" s="39">
        <f>IF(AND($A29-Inputs!$C$31&gt;=1,$A29-Inputs!$C$31&lt;=Products!$D$16),INDEX(Curves!$T$8:$T$68,$A29-Inputs!$C$31+1),0)*Products!$D$27*Products!$D$28*Products!$D$13</f>
        <v/>
      </c>
      <c r="V29" s="39">
        <f>IF($A29=Inputs!$C$33,Products!$D$30*Inputs!$C$10*Inputs!$C$32,0)</f>
        <v/>
      </c>
      <c r="W29" s="39">
        <f>P29*(1-Inputs!$C$24)-Inputs!$C$25*S29+U29+V29</f>
        <v/>
      </c>
      <c r="X29" s="39">
        <f>X28+W29</f>
        <v/>
      </c>
      <c r="Z29" s="40">
        <f>(1-Products!$E$41)^$A29</f>
        <v/>
      </c>
      <c r="AA29" s="39">
        <f>IF(AND($A29&gt;=1,$A29&lt;=Products!$E$16),Products!$E$33,0)</f>
        <v/>
      </c>
      <c r="AB29" s="39">
        <f>AA29*Products!$E$42*Z29</f>
        <v/>
      </c>
      <c r="AC29" s="39">
        <f>AA29-AB29</f>
        <v/>
      </c>
      <c r="AD29" s="39">
        <f>(1-Z29)*MAX(0,Products!$E$16-$A29)*(Products!$E$33-Products!$E$35/Products!$E$16)</f>
        <v/>
      </c>
      <c r="AE29" s="40">
        <f>IF($A29&lt;=Products!$E$16,Z29,0)</f>
        <v/>
      </c>
      <c r="AF29" s="40">
        <f>IF(AND($A29&gt;=1,$A29&lt;=Products!$E$16),Z28-Z29,0)</f>
        <v/>
      </c>
      <c r="AG29" s="39">
        <f>IF(AND($A29-Inputs!$C$31&gt;=1,$A29-Inputs!$C$31&lt;=Products!$E$16),INDEX(Curves!$AF$8:$AF$68,$A29-Inputs!$C$31+1),0)*Products!$E$27*Products!$E$28*Products!$E$13</f>
        <v/>
      </c>
      <c r="AH29" s="39">
        <f>IF($A29=Inputs!$C$33,Products!$E$30*Inputs!$C$10*Inputs!$C$32,0)</f>
        <v/>
      </c>
      <c r="AI29" s="39">
        <f>AB29*(1-Inputs!$C$24)-Inputs!$C$25*AE29+AG29+AH29</f>
        <v/>
      </c>
      <c r="AJ29" s="39">
        <f>AJ28+AI29</f>
        <v/>
      </c>
      <c r="AL29" s="40">
        <f>(1-Products!$F$41)^$A29</f>
        <v/>
      </c>
      <c r="AM29" s="39">
        <f>IF(AND($A29&gt;=1,$A29&lt;=Products!$F$16),Products!$F$33,0)</f>
        <v/>
      </c>
      <c r="AN29" s="39">
        <f>AM29*Products!$F$42*AL29</f>
        <v/>
      </c>
      <c r="AO29" s="39">
        <f>AM29-AN29</f>
        <v/>
      </c>
      <c r="AP29" s="39">
        <f>(1-AL29)*MAX(0,Products!$F$16-$A29)*(Products!$F$33-Products!$F$35/Products!$F$16)</f>
        <v/>
      </c>
      <c r="AQ29" s="40">
        <f>IF($A29&lt;=Products!$F$16,AL29,0)</f>
        <v/>
      </c>
      <c r="AR29" s="40">
        <f>IF(AND($A29&gt;=1,$A29&lt;=Products!$F$16),AL28-AL29,0)</f>
        <v/>
      </c>
      <c r="AS29" s="39">
        <f>IF(AND($A29-Inputs!$C$31&gt;=1,$A29-Inputs!$C$31&lt;=Products!$F$16),INDEX(Curves!$AR$8:$AR$68,$A29-Inputs!$C$31+1),0)*Products!$F$27*Products!$F$28*Products!$F$13</f>
        <v/>
      </c>
      <c r="AT29" s="39">
        <f>IF($A29=Inputs!$C$33,Products!$F$30*Inputs!$C$10*Inputs!$C$32,0)</f>
        <v/>
      </c>
      <c r="AU29" s="39">
        <f>AN29*(1-Inputs!$C$24)-Inputs!$C$25*AQ29+AS29+AT29</f>
        <v/>
      </c>
      <c r="AV29" s="39">
        <f>AV28+AU29</f>
        <v/>
      </c>
      <c r="AX29" s="40">
        <f>(1-Products!$G$41)^$A29</f>
        <v/>
      </c>
      <c r="AY29" s="39">
        <f>IF(AND($A29&gt;=1,$A29&lt;=Products!$G$16),Products!$G$33,0)</f>
        <v/>
      </c>
      <c r="AZ29" s="39">
        <f>AY29*Products!$G$42*AX29</f>
        <v/>
      </c>
      <c r="BA29" s="39">
        <f>AY29-AZ29</f>
        <v/>
      </c>
      <c r="BB29" s="39">
        <f>(1-AX29)*MAX(0,Products!$G$16-$A29)*(Products!$G$33-Products!$G$35/Products!$G$16)</f>
        <v/>
      </c>
      <c r="BC29" s="40">
        <f>IF($A29&lt;=Products!$G$16,AX29,0)</f>
        <v/>
      </c>
      <c r="BD29" s="40">
        <f>IF(AND($A29&gt;=1,$A29&lt;=Products!$G$16),AX28-AX29,0)</f>
        <v/>
      </c>
      <c r="BE29" s="39">
        <f>IF(AND($A29-Inputs!$C$31&gt;=1,$A29-Inputs!$C$31&lt;=Products!$G$16),INDEX(Curves!$BD$8:$BD$68,$A29-Inputs!$C$31+1),0)*Products!$G$27*Products!$G$28*Products!$G$13</f>
        <v/>
      </c>
      <c r="BF29" s="39">
        <f>IF($A29=Inputs!$C$33,Products!$G$30*Inputs!$C$10*Inputs!$C$32,0)</f>
        <v/>
      </c>
      <c r="BG29" s="39">
        <f>AZ29*(1-Inputs!$C$24)-Inputs!$C$25*BC29+BE29+BF29</f>
        <v/>
      </c>
      <c r="BH29" s="39">
        <f>BH28+BG29</f>
        <v/>
      </c>
    </row>
    <row r="30">
      <c r="A30" s="46" t="n">
        <v>22</v>
      </c>
      <c r="B30" s="40">
        <f>(1-Products!$C$41)^$A30</f>
        <v/>
      </c>
      <c r="C30" s="39">
        <f>IF(AND($A30&gt;=1,$A30&lt;=Products!$C$16),Products!$C$33,0)</f>
        <v/>
      </c>
      <c r="D30" s="39">
        <f>C30*Products!$C$42*B30</f>
        <v/>
      </c>
      <c r="E30" s="39">
        <f>C30-D30</f>
        <v/>
      </c>
      <c r="F30" s="39">
        <f>(1-B30)*MAX(0,Products!$C$16-$A30)*(Products!$C$33-Products!$C$35/Products!$C$16)</f>
        <v/>
      </c>
      <c r="G30" s="40">
        <f>IF($A30&lt;=Products!$C$16,B30,0)</f>
        <v/>
      </c>
      <c r="H30" s="40">
        <f>IF(AND($A30&gt;=1,$A30&lt;=Products!$C$16),B29-B30,0)</f>
        <v/>
      </c>
      <c r="I30" s="39">
        <f>IF(AND($A30-Inputs!$C$31&gt;=1,$A30-Inputs!$C$31&lt;=Products!$C$16),INDEX(Curves!$H$8:$H$68,$A30-Inputs!$C$31+1),0)*Products!$C$27*Products!$C$28*Products!$C$13</f>
        <v/>
      </c>
      <c r="J30" s="39">
        <f>IF($A30=Inputs!$C$33,Products!$C$30*Inputs!$C$10*Inputs!$C$32,0)</f>
        <v/>
      </c>
      <c r="K30" s="39">
        <f>D30*(1-Inputs!$C$24)-Inputs!$C$25*G30+I30+J30</f>
        <v/>
      </c>
      <c r="L30" s="39">
        <f>L29+K30</f>
        <v/>
      </c>
      <c r="N30" s="40">
        <f>(1-Products!$D$41)^$A30</f>
        <v/>
      </c>
      <c r="O30" s="39">
        <f>IF(AND($A30&gt;=1,$A30&lt;=Products!$D$16),Products!$D$33,0)</f>
        <v/>
      </c>
      <c r="P30" s="39">
        <f>O30*Products!$D$42*N30</f>
        <v/>
      </c>
      <c r="Q30" s="39">
        <f>O30-P30</f>
        <v/>
      </c>
      <c r="R30" s="39">
        <f>(1-N30)*MAX(0,Products!$D$16-$A30)*(Products!$D$33-Products!$D$35/Products!$D$16)</f>
        <v/>
      </c>
      <c r="S30" s="40">
        <f>IF($A30&lt;=Products!$D$16,N30,0)</f>
        <v/>
      </c>
      <c r="T30" s="40">
        <f>IF(AND($A30&gt;=1,$A30&lt;=Products!$D$16),N29-N30,0)</f>
        <v/>
      </c>
      <c r="U30" s="39">
        <f>IF(AND($A30-Inputs!$C$31&gt;=1,$A30-Inputs!$C$31&lt;=Products!$D$16),INDEX(Curves!$T$8:$T$68,$A30-Inputs!$C$31+1),0)*Products!$D$27*Products!$D$28*Products!$D$13</f>
        <v/>
      </c>
      <c r="V30" s="39">
        <f>IF($A30=Inputs!$C$33,Products!$D$30*Inputs!$C$10*Inputs!$C$32,0)</f>
        <v/>
      </c>
      <c r="W30" s="39">
        <f>P30*(1-Inputs!$C$24)-Inputs!$C$25*S30+U30+V30</f>
        <v/>
      </c>
      <c r="X30" s="39">
        <f>X29+W30</f>
        <v/>
      </c>
      <c r="Z30" s="40">
        <f>(1-Products!$E$41)^$A30</f>
        <v/>
      </c>
      <c r="AA30" s="39">
        <f>IF(AND($A30&gt;=1,$A30&lt;=Products!$E$16),Products!$E$33,0)</f>
        <v/>
      </c>
      <c r="AB30" s="39">
        <f>AA30*Products!$E$42*Z30</f>
        <v/>
      </c>
      <c r="AC30" s="39">
        <f>AA30-AB30</f>
        <v/>
      </c>
      <c r="AD30" s="39">
        <f>(1-Z30)*MAX(0,Products!$E$16-$A30)*(Products!$E$33-Products!$E$35/Products!$E$16)</f>
        <v/>
      </c>
      <c r="AE30" s="40">
        <f>IF($A30&lt;=Products!$E$16,Z30,0)</f>
        <v/>
      </c>
      <c r="AF30" s="40">
        <f>IF(AND($A30&gt;=1,$A30&lt;=Products!$E$16),Z29-Z30,0)</f>
        <v/>
      </c>
      <c r="AG30" s="39">
        <f>IF(AND($A30-Inputs!$C$31&gt;=1,$A30-Inputs!$C$31&lt;=Products!$E$16),INDEX(Curves!$AF$8:$AF$68,$A30-Inputs!$C$31+1),0)*Products!$E$27*Products!$E$28*Products!$E$13</f>
        <v/>
      </c>
      <c r="AH30" s="39">
        <f>IF($A30=Inputs!$C$33,Products!$E$30*Inputs!$C$10*Inputs!$C$32,0)</f>
        <v/>
      </c>
      <c r="AI30" s="39">
        <f>AB30*(1-Inputs!$C$24)-Inputs!$C$25*AE30+AG30+AH30</f>
        <v/>
      </c>
      <c r="AJ30" s="39">
        <f>AJ29+AI30</f>
        <v/>
      </c>
      <c r="AL30" s="40">
        <f>(1-Products!$F$41)^$A30</f>
        <v/>
      </c>
      <c r="AM30" s="39">
        <f>IF(AND($A30&gt;=1,$A30&lt;=Products!$F$16),Products!$F$33,0)</f>
        <v/>
      </c>
      <c r="AN30" s="39">
        <f>AM30*Products!$F$42*AL30</f>
        <v/>
      </c>
      <c r="AO30" s="39">
        <f>AM30-AN30</f>
        <v/>
      </c>
      <c r="AP30" s="39">
        <f>(1-AL30)*MAX(0,Products!$F$16-$A30)*(Products!$F$33-Products!$F$35/Products!$F$16)</f>
        <v/>
      </c>
      <c r="AQ30" s="40">
        <f>IF($A30&lt;=Products!$F$16,AL30,0)</f>
        <v/>
      </c>
      <c r="AR30" s="40">
        <f>IF(AND($A30&gt;=1,$A30&lt;=Products!$F$16),AL29-AL30,0)</f>
        <v/>
      </c>
      <c r="AS30" s="39">
        <f>IF(AND($A30-Inputs!$C$31&gt;=1,$A30-Inputs!$C$31&lt;=Products!$F$16),INDEX(Curves!$AR$8:$AR$68,$A30-Inputs!$C$31+1),0)*Products!$F$27*Products!$F$28*Products!$F$13</f>
        <v/>
      </c>
      <c r="AT30" s="39">
        <f>IF($A30=Inputs!$C$33,Products!$F$30*Inputs!$C$10*Inputs!$C$32,0)</f>
        <v/>
      </c>
      <c r="AU30" s="39">
        <f>AN30*(1-Inputs!$C$24)-Inputs!$C$25*AQ30+AS30+AT30</f>
        <v/>
      </c>
      <c r="AV30" s="39">
        <f>AV29+AU30</f>
        <v/>
      </c>
      <c r="AX30" s="40">
        <f>(1-Products!$G$41)^$A30</f>
        <v/>
      </c>
      <c r="AY30" s="39">
        <f>IF(AND($A30&gt;=1,$A30&lt;=Products!$G$16),Products!$G$33,0)</f>
        <v/>
      </c>
      <c r="AZ30" s="39">
        <f>AY30*Products!$G$42*AX30</f>
        <v/>
      </c>
      <c r="BA30" s="39">
        <f>AY30-AZ30</f>
        <v/>
      </c>
      <c r="BB30" s="39">
        <f>(1-AX30)*MAX(0,Products!$G$16-$A30)*(Products!$G$33-Products!$G$35/Products!$G$16)</f>
        <v/>
      </c>
      <c r="BC30" s="40">
        <f>IF($A30&lt;=Products!$G$16,AX30,0)</f>
        <v/>
      </c>
      <c r="BD30" s="40">
        <f>IF(AND($A30&gt;=1,$A30&lt;=Products!$G$16),AX29-AX30,0)</f>
        <v/>
      </c>
      <c r="BE30" s="39">
        <f>IF(AND($A30-Inputs!$C$31&gt;=1,$A30-Inputs!$C$31&lt;=Products!$G$16),INDEX(Curves!$BD$8:$BD$68,$A30-Inputs!$C$31+1),0)*Products!$G$27*Products!$G$28*Products!$G$13</f>
        <v/>
      </c>
      <c r="BF30" s="39">
        <f>IF($A30=Inputs!$C$33,Products!$G$30*Inputs!$C$10*Inputs!$C$32,0)</f>
        <v/>
      </c>
      <c r="BG30" s="39">
        <f>AZ30*(1-Inputs!$C$24)-Inputs!$C$25*BC30+BE30+BF30</f>
        <v/>
      </c>
      <c r="BH30" s="39">
        <f>BH29+BG30</f>
        <v/>
      </c>
    </row>
    <row r="31">
      <c r="A31" s="46" t="n">
        <v>23</v>
      </c>
      <c r="B31" s="40">
        <f>(1-Products!$C$41)^$A31</f>
        <v/>
      </c>
      <c r="C31" s="39">
        <f>IF(AND($A31&gt;=1,$A31&lt;=Products!$C$16),Products!$C$33,0)</f>
        <v/>
      </c>
      <c r="D31" s="39">
        <f>C31*Products!$C$42*B31</f>
        <v/>
      </c>
      <c r="E31" s="39">
        <f>C31-D31</f>
        <v/>
      </c>
      <c r="F31" s="39">
        <f>(1-B31)*MAX(0,Products!$C$16-$A31)*(Products!$C$33-Products!$C$35/Products!$C$16)</f>
        <v/>
      </c>
      <c r="G31" s="40">
        <f>IF($A31&lt;=Products!$C$16,B31,0)</f>
        <v/>
      </c>
      <c r="H31" s="40">
        <f>IF(AND($A31&gt;=1,$A31&lt;=Products!$C$16),B30-B31,0)</f>
        <v/>
      </c>
      <c r="I31" s="39">
        <f>IF(AND($A31-Inputs!$C$31&gt;=1,$A31-Inputs!$C$31&lt;=Products!$C$16),INDEX(Curves!$H$8:$H$68,$A31-Inputs!$C$31+1),0)*Products!$C$27*Products!$C$28*Products!$C$13</f>
        <v/>
      </c>
      <c r="J31" s="39">
        <f>IF($A31=Inputs!$C$33,Products!$C$30*Inputs!$C$10*Inputs!$C$32,0)</f>
        <v/>
      </c>
      <c r="K31" s="39">
        <f>D31*(1-Inputs!$C$24)-Inputs!$C$25*G31+I31+J31</f>
        <v/>
      </c>
      <c r="L31" s="39">
        <f>L30+K31</f>
        <v/>
      </c>
      <c r="N31" s="40">
        <f>(1-Products!$D$41)^$A31</f>
        <v/>
      </c>
      <c r="O31" s="39">
        <f>IF(AND($A31&gt;=1,$A31&lt;=Products!$D$16),Products!$D$33,0)</f>
        <v/>
      </c>
      <c r="P31" s="39">
        <f>O31*Products!$D$42*N31</f>
        <v/>
      </c>
      <c r="Q31" s="39">
        <f>O31-P31</f>
        <v/>
      </c>
      <c r="R31" s="39">
        <f>(1-N31)*MAX(0,Products!$D$16-$A31)*(Products!$D$33-Products!$D$35/Products!$D$16)</f>
        <v/>
      </c>
      <c r="S31" s="40">
        <f>IF($A31&lt;=Products!$D$16,N31,0)</f>
        <v/>
      </c>
      <c r="T31" s="40">
        <f>IF(AND($A31&gt;=1,$A31&lt;=Products!$D$16),N30-N31,0)</f>
        <v/>
      </c>
      <c r="U31" s="39">
        <f>IF(AND($A31-Inputs!$C$31&gt;=1,$A31-Inputs!$C$31&lt;=Products!$D$16),INDEX(Curves!$T$8:$T$68,$A31-Inputs!$C$31+1),0)*Products!$D$27*Products!$D$28*Products!$D$13</f>
        <v/>
      </c>
      <c r="V31" s="39">
        <f>IF($A31=Inputs!$C$33,Products!$D$30*Inputs!$C$10*Inputs!$C$32,0)</f>
        <v/>
      </c>
      <c r="W31" s="39">
        <f>P31*(1-Inputs!$C$24)-Inputs!$C$25*S31+U31+V31</f>
        <v/>
      </c>
      <c r="X31" s="39">
        <f>X30+W31</f>
        <v/>
      </c>
      <c r="Z31" s="40">
        <f>(1-Products!$E$41)^$A31</f>
        <v/>
      </c>
      <c r="AA31" s="39">
        <f>IF(AND($A31&gt;=1,$A31&lt;=Products!$E$16),Products!$E$33,0)</f>
        <v/>
      </c>
      <c r="AB31" s="39">
        <f>AA31*Products!$E$42*Z31</f>
        <v/>
      </c>
      <c r="AC31" s="39">
        <f>AA31-AB31</f>
        <v/>
      </c>
      <c r="AD31" s="39">
        <f>(1-Z31)*MAX(0,Products!$E$16-$A31)*(Products!$E$33-Products!$E$35/Products!$E$16)</f>
        <v/>
      </c>
      <c r="AE31" s="40">
        <f>IF($A31&lt;=Products!$E$16,Z31,0)</f>
        <v/>
      </c>
      <c r="AF31" s="40">
        <f>IF(AND($A31&gt;=1,$A31&lt;=Products!$E$16),Z30-Z31,0)</f>
        <v/>
      </c>
      <c r="AG31" s="39">
        <f>IF(AND($A31-Inputs!$C$31&gt;=1,$A31-Inputs!$C$31&lt;=Products!$E$16),INDEX(Curves!$AF$8:$AF$68,$A31-Inputs!$C$31+1),0)*Products!$E$27*Products!$E$28*Products!$E$13</f>
        <v/>
      </c>
      <c r="AH31" s="39">
        <f>IF($A31=Inputs!$C$33,Products!$E$30*Inputs!$C$10*Inputs!$C$32,0)</f>
        <v/>
      </c>
      <c r="AI31" s="39">
        <f>AB31*(1-Inputs!$C$24)-Inputs!$C$25*AE31+AG31+AH31</f>
        <v/>
      </c>
      <c r="AJ31" s="39">
        <f>AJ30+AI31</f>
        <v/>
      </c>
      <c r="AL31" s="40">
        <f>(1-Products!$F$41)^$A31</f>
        <v/>
      </c>
      <c r="AM31" s="39">
        <f>IF(AND($A31&gt;=1,$A31&lt;=Products!$F$16),Products!$F$33,0)</f>
        <v/>
      </c>
      <c r="AN31" s="39">
        <f>AM31*Products!$F$42*AL31</f>
        <v/>
      </c>
      <c r="AO31" s="39">
        <f>AM31-AN31</f>
        <v/>
      </c>
      <c r="AP31" s="39">
        <f>(1-AL31)*MAX(0,Products!$F$16-$A31)*(Products!$F$33-Products!$F$35/Products!$F$16)</f>
        <v/>
      </c>
      <c r="AQ31" s="40">
        <f>IF($A31&lt;=Products!$F$16,AL31,0)</f>
        <v/>
      </c>
      <c r="AR31" s="40">
        <f>IF(AND($A31&gt;=1,$A31&lt;=Products!$F$16),AL30-AL31,0)</f>
        <v/>
      </c>
      <c r="AS31" s="39">
        <f>IF(AND($A31-Inputs!$C$31&gt;=1,$A31-Inputs!$C$31&lt;=Products!$F$16),INDEX(Curves!$AR$8:$AR$68,$A31-Inputs!$C$31+1),0)*Products!$F$27*Products!$F$28*Products!$F$13</f>
        <v/>
      </c>
      <c r="AT31" s="39">
        <f>IF($A31=Inputs!$C$33,Products!$F$30*Inputs!$C$10*Inputs!$C$32,0)</f>
        <v/>
      </c>
      <c r="AU31" s="39">
        <f>AN31*(1-Inputs!$C$24)-Inputs!$C$25*AQ31+AS31+AT31</f>
        <v/>
      </c>
      <c r="AV31" s="39">
        <f>AV30+AU31</f>
        <v/>
      </c>
      <c r="AX31" s="40">
        <f>(1-Products!$G$41)^$A31</f>
        <v/>
      </c>
      <c r="AY31" s="39">
        <f>IF(AND($A31&gt;=1,$A31&lt;=Products!$G$16),Products!$G$33,0)</f>
        <v/>
      </c>
      <c r="AZ31" s="39">
        <f>AY31*Products!$G$42*AX31</f>
        <v/>
      </c>
      <c r="BA31" s="39">
        <f>AY31-AZ31</f>
        <v/>
      </c>
      <c r="BB31" s="39">
        <f>(1-AX31)*MAX(0,Products!$G$16-$A31)*(Products!$G$33-Products!$G$35/Products!$G$16)</f>
        <v/>
      </c>
      <c r="BC31" s="40">
        <f>IF($A31&lt;=Products!$G$16,AX31,0)</f>
        <v/>
      </c>
      <c r="BD31" s="40">
        <f>IF(AND($A31&gt;=1,$A31&lt;=Products!$G$16),AX30-AX31,0)</f>
        <v/>
      </c>
      <c r="BE31" s="39">
        <f>IF(AND($A31-Inputs!$C$31&gt;=1,$A31-Inputs!$C$31&lt;=Products!$G$16),INDEX(Curves!$BD$8:$BD$68,$A31-Inputs!$C$31+1),0)*Products!$G$27*Products!$G$28*Products!$G$13</f>
        <v/>
      </c>
      <c r="BF31" s="39">
        <f>IF($A31=Inputs!$C$33,Products!$G$30*Inputs!$C$10*Inputs!$C$32,0)</f>
        <v/>
      </c>
      <c r="BG31" s="39">
        <f>AZ31*(1-Inputs!$C$24)-Inputs!$C$25*BC31+BE31+BF31</f>
        <v/>
      </c>
      <c r="BH31" s="39">
        <f>BH30+BG31</f>
        <v/>
      </c>
    </row>
    <row r="32">
      <c r="A32" s="46" t="n">
        <v>24</v>
      </c>
      <c r="B32" s="40">
        <f>(1-Products!$C$41)^$A32</f>
        <v/>
      </c>
      <c r="C32" s="39">
        <f>IF(AND($A32&gt;=1,$A32&lt;=Products!$C$16),Products!$C$33,0)</f>
        <v/>
      </c>
      <c r="D32" s="39">
        <f>C32*Products!$C$42*B32</f>
        <v/>
      </c>
      <c r="E32" s="39">
        <f>C32-D32</f>
        <v/>
      </c>
      <c r="F32" s="39">
        <f>(1-B32)*MAX(0,Products!$C$16-$A32)*(Products!$C$33-Products!$C$35/Products!$C$16)</f>
        <v/>
      </c>
      <c r="G32" s="40">
        <f>IF($A32&lt;=Products!$C$16,B32,0)</f>
        <v/>
      </c>
      <c r="H32" s="40">
        <f>IF(AND($A32&gt;=1,$A32&lt;=Products!$C$16),B31-B32,0)</f>
        <v/>
      </c>
      <c r="I32" s="39">
        <f>IF(AND($A32-Inputs!$C$31&gt;=1,$A32-Inputs!$C$31&lt;=Products!$C$16),INDEX(Curves!$H$8:$H$68,$A32-Inputs!$C$31+1),0)*Products!$C$27*Products!$C$28*Products!$C$13</f>
        <v/>
      </c>
      <c r="J32" s="39">
        <f>IF($A32=Inputs!$C$33,Products!$C$30*Inputs!$C$10*Inputs!$C$32,0)</f>
        <v/>
      </c>
      <c r="K32" s="39">
        <f>D32*(1-Inputs!$C$24)-Inputs!$C$25*G32+I32+J32</f>
        <v/>
      </c>
      <c r="L32" s="39">
        <f>L31+K32</f>
        <v/>
      </c>
      <c r="N32" s="40">
        <f>(1-Products!$D$41)^$A32</f>
        <v/>
      </c>
      <c r="O32" s="39">
        <f>IF(AND($A32&gt;=1,$A32&lt;=Products!$D$16),Products!$D$33,0)</f>
        <v/>
      </c>
      <c r="P32" s="39">
        <f>O32*Products!$D$42*N32</f>
        <v/>
      </c>
      <c r="Q32" s="39">
        <f>O32-P32</f>
        <v/>
      </c>
      <c r="R32" s="39">
        <f>(1-N32)*MAX(0,Products!$D$16-$A32)*(Products!$D$33-Products!$D$35/Products!$D$16)</f>
        <v/>
      </c>
      <c r="S32" s="40">
        <f>IF($A32&lt;=Products!$D$16,N32,0)</f>
        <v/>
      </c>
      <c r="T32" s="40">
        <f>IF(AND($A32&gt;=1,$A32&lt;=Products!$D$16),N31-N32,0)</f>
        <v/>
      </c>
      <c r="U32" s="39">
        <f>IF(AND($A32-Inputs!$C$31&gt;=1,$A32-Inputs!$C$31&lt;=Products!$D$16),INDEX(Curves!$T$8:$T$68,$A32-Inputs!$C$31+1),0)*Products!$D$27*Products!$D$28*Products!$D$13</f>
        <v/>
      </c>
      <c r="V32" s="39">
        <f>IF($A32=Inputs!$C$33,Products!$D$30*Inputs!$C$10*Inputs!$C$32,0)</f>
        <v/>
      </c>
      <c r="W32" s="39">
        <f>P32*(1-Inputs!$C$24)-Inputs!$C$25*S32+U32+V32</f>
        <v/>
      </c>
      <c r="X32" s="39">
        <f>X31+W32</f>
        <v/>
      </c>
      <c r="Z32" s="40">
        <f>(1-Products!$E$41)^$A32</f>
        <v/>
      </c>
      <c r="AA32" s="39">
        <f>IF(AND($A32&gt;=1,$A32&lt;=Products!$E$16),Products!$E$33,0)</f>
        <v/>
      </c>
      <c r="AB32" s="39">
        <f>AA32*Products!$E$42*Z32</f>
        <v/>
      </c>
      <c r="AC32" s="39">
        <f>AA32-AB32</f>
        <v/>
      </c>
      <c r="AD32" s="39">
        <f>(1-Z32)*MAX(0,Products!$E$16-$A32)*(Products!$E$33-Products!$E$35/Products!$E$16)</f>
        <v/>
      </c>
      <c r="AE32" s="40">
        <f>IF($A32&lt;=Products!$E$16,Z32,0)</f>
        <v/>
      </c>
      <c r="AF32" s="40">
        <f>IF(AND($A32&gt;=1,$A32&lt;=Products!$E$16),Z31-Z32,0)</f>
        <v/>
      </c>
      <c r="AG32" s="39">
        <f>IF(AND($A32-Inputs!$C$31&gt;=1,$A32-Inputs!$C$31&lt;=Products!$E$16),INDEX(Curves!$AF$8:$AF$68,$A32-Inputs!$C$31+1),0)*Products!$E$27*Products!$E$28*Products!$E$13</f>
        <v/>
      </c>
      <c r="AH32" s="39">
        <f>IF($A32=Inputs!$C$33,Products!$E$30*Inputs!$C$10*Inputs!$C$32,0)</f>
        <v/>
      </c>
      <c r="AI32" s="39">
        <f>AB32*(1-Inputs!$C$24)-Inputs!$C$25*AE32+AG32+AH32</f>
        <v/>
      </c>
      <c r="AJ32" s="39">
        <f>AJ31+AI32</f>
        <v/>
      </c>
      <c r="AL32" s="40">
        <f>(1-Products!$F$41)^$A32</f>
        <v/>
      </c>
      <c r="AM32" s="39">
        <f>IF(AND($A32&gt;=1,$A32&lt;=Products!$F$16),Products!$F$33,0)</f>
        <v/>
      </c>
      <c r="AN32" s="39">
        <f>AM32*Products!$F$42*AL32</f>
        <v/>
      </c>
      <c r="AO32" s="39">
        <f>AM32-AN32</f>
        <v/>
      </c>
      <c r="AP32" s="39">
        <f>(1-AL32)*MAX(0,Products!$F$16-$A32)*(Products!$F$33-Products!$F$35/Products!$F$16)</f>
        <v/>
      </c>
      <c r="AQ32" s="40">
        <f>IF($A32&lt;=Products!$F$16,AL32,0)</f>
        <v/>
      </c>
      <c r="AR32" s="40">
        <f>IF(AND($A32&gt;=1,$A32&lt;=Products!$F$16),AL31-AL32,0)</f>
        <v/>
      </c>
      <c r="AS32" s="39">
        <f>IF(AND($A32-Inputs!$C$31&gt;=1,$A32-Inputs!$C$31&lt;=Products!$F$16),INDEX(Curves!$AR$8:$AR$68,$A32-Inputs!$C$31+1),0)*Products!$F$27*Products!$F$28*Products!$F$13</f>
        <v/>
      </c>
      <c r="AT32" s="39">
        <f>IF($A32=Inputs!$C$33,Products!$F$30*Inputs!$C$10*Inputs!$C$32,0)</f>
        <v/>
      </c>
      <c r="AU32" s="39">
        <f>AN32*(1-Inputs!$C$24)-Inputs!$C$25*AQ32+AS32+AT32</f>
        <v/>
      </c>
      <c r="AV32" s="39">
        <f>AV31+AU32</f>
        <v/>
      </c>
      <c r="AX32" s="40">
        <f>(1-Products!$G$41)^$A32</f>
        <v/>
      </c>
      <c r="AY32" s="39">
        <f>IF(AND($A32&gt;=1,$A32&lt;=Products!$G$16),Products!$G$33,0)</f>
        <v/>
      </c>
      <c r="AZ32" s="39">
        <f>AY32*Products!$G$42*AX32</f>
        <v/>
      </c>
      <c r="BA32" s="39">
        <f>AY32-AZ32</f>
        <v/>
      </c>
      <c r="BB32" s="39">
        <f>(1-AX32)*MAX(0,Products!$G$16-$A32)*(Products!$G$33-Products!$G$35/Products!$G$16)</f>
        <v/>
      </c>
      <c r="BC32" s="40">
        <f>IF($A32&lt;=Products!$G$16,AX32,0)</f>
        <v/>
      </c>
      <c r="BD32" s="40">
        <f>IF(AND($A32&gt;=1,$A32&lt;=Products!$G$16),AX31-AX32,0)</f>
        <v/>
      </c>
      <c r="BE32" s="39">
        <f>IF(AND($A32-Inputs!$C$31&gt;=1,$A32-Inputs!$C$31&lt;=Products!$G$16),INDEX(Curves!$BD$8:$BD$68,$A32-Inputs!$C$31+1),0)*Products!$G$27*Products!$G$28*Products!$G$13</f>
        <v/>
      </c>
      <c r="BF32" s="39">
        <f>IF($A32=Inputs!$C$33,Products!$G$30*Inputs!$C$10*Inputs!$C$32,0)</f>
        <v/>
      </c>
      <c r="BG32" s="39">
        <f>AZ32*(1-Inputs!$C$24)-Inputs!$C$25*BC32+BE32+BF32</f>
        <v/>
      </c>
      <c r="BH32" s="39">
        <f>BH31+BG32</f>
        <v/>
      </c>
    </row>
    <row r="33">
      <c r="A33" s="46" t="n">
        <v>25</v>
      </c>
      <c r="B33" s="40">
        <f>(1-Products!$C$41)^$A33</f>
        <v/>
      </c>
      <c r="C33" s="39">
        <f>IF(AND($A33&gt;=1,$A33&lt;=Products!$C$16),Products!$C$33,0)</f>
        <v/>
      </c>
      <c r="D33" s="39">
        <f>C33*Products!$C$42*B33</f>
        <v/>
      </c>
      <c r="E33" s="39">
        <f>C33-D33</f>
        <v/>
      </c>
      <c r="F33" s="39">
        <f>(1-B33)*MAX(0,Products!$C$16-$A33)*(Products!$C$33-Products!$C$35/Products!$C$16)</f>
        <v/>
      </c>
      <c r="G33" s="40">
        <f>IF($A33&lt;=Products!$C$16,B33,0)</f>
        <v/>
      </c>
      <c r="H33" s="40">
        <f>IF(AND($A33&gt;=1,$A33&lt;=Products!$C$16),B32-B33,0)</f>
        <v/>
      </c>
      <c r="I33" s="39">
        <f>IF(AND($A33-Inputs!$C$31&gt;=1,$A33-Inputs!$C$31&lt;=Products!$C$16),INDEX(Curves!$H$8:$H$68,$A33-Inputs!$C$31+1),0)*Products!$C$27*Products!$C$28*Products!$C$13</f>
        <v/>
      </c>
      <c r="J33" s="39">
        <f>IF($A33=Inputs!$C$33,Products!$C$30*Inputs!$C$10*Inputs!$C$32,0)</f>
        <v/>
      </c>
      <c r="K33" s="39">
        <f>D33*(1-Inputs!$C$24)-Inputs!$C$25*G33+I33+J33</f>
        <v/>
      </c>
      <c r="L33" s="39">
        <f>L32+K33</f>
        <v/>
      </c>
      <c r="N33" s="40">
        <f>(1-Products!$D$41)^$A33</f>
        <v/>
      </c>
      <c r="O33" s="39">
        <f>IF(AND($A33&gt;=1,$A33&lt;=Products!$D$16),Products!$D$33,0)</f>
        <v/>
      </c>
      <c r="P33" s="39">
        <f>O33*Products!$D$42*N33</f>
        <v/>
      </c>
      <c r="Q33" s="39">
        <f>O33-P33</f>
        <v/>
      </c>
      <c r="R33" s="39">
        <f>(1-N33)*MAX(0,Products!$D$16-$A33)*(Products!$D$33-Products!$D$35/Products!$D$16)</f>
        <v/>
      </c>
      <c r="S33" s="40">
        <f>IF($A33&lt;=Products!$D$16,N33,0)</f>
        <v/>
      </c>
      <c r="T33" s="40">
        <f>IF(AND($A33&gt;=1,$A33&lt;=Products!$D$16),N32-N33,0)</f>
        <v/>
      </c>
      <c r="U33" s="39">
        <f>IF(AND($A33-Inputs!$C$31&gt;=1,$A33-Inputs!$C$31&lt;=Products!$D$16),INDEX(Curves!$T$8:$T$68,$A33-Inputs!$C$31+1),0)*Products!$D$27*Products!$D$28*Products!$D$13</f>
        <v/>
      </c>
      <c r="V33" s="39">
        <f>IF($A33=Inputs!$C$33,Products!$D$30*Inputs!$C$10*Inputs!$C$32,0)</f>
        <v/>
      </c>
      <c r="W33" s="39">
        <f>P33*(1-Inputs!$C$24)-Inputs!$C$25*S33+U33+V33</f>
        <v/>
      </c>
      <c r="X33" s="39">
        <f>X32+W33</f>
        <v/>
      </c>
      <c r="Z33" s="40">
        <f>(1-Products!$E$41)^$A33</f>
        <v/>
      </c>
      <c r="AA33" s="39">
        <f>IF(AND($A33&gt;=1,$A33&lt;=Products!$E$16),Products!$E$33,0)</f>
        <v/>
      </c>
      <c r="AB33" s="39">
        <f>AA33*Products!$E$42*Z33</f>
        <v/>
      </c>
      <c r="AC33" s="39">
        <f>AA33-AB33</f>
        <v/>
      </c>
      <c r="AD33" s="39">
        <f>(1-Z33)*MAX(0,Products!$E$16-$A33)*(Products!$E$33-Products!$E$35/Products!$E$16)</f>
        <v/>
      </c>
      <c r="AE33" s="40">
        <f>IF($A33&lt;=Products!$E$16,Z33,0)</f>
        <v/>
      </c>
      <c r="AF33" s="40">
        <f>IF(AND($A33&gt;=1,$A33&lt;=Products!$E$16),Z32-Z33,0)</f>
        <v/>
      </c>
      <c r="AG33" s="39">
        <f>IF(AND($A33-Inputs!$C$31&gt;=1,$A33-Inputs!$C$31&lt;=Products!$E$16),INDEX(Curves!$AF$8:$AF$68,$A33-Inputs!$C$31+1),0)*Products!$E$27*Products!$E$28*Products!$E$13</f>
        <v/>
      </c>
      <c r="AH33" s="39">
        <f>IF($A33=Inputs!$C$33,Products!$E$30*Inputs!$C$10*Inputs!$C$32,0)</f>
        <v/>
      </c>
      <c r="AI33" s="39">
        <f>AB33*(1-Inputs!$C$24)-Inputs!$C$25*AE33+AG33+AH33</f>
        <v/>
      </c>
      <c r="AJ33" s="39">
        <f>AJ32+AI33</f>
        <v/>
      </c>
      <c r="AL33" s="40">
        <f>(1-Products!$F$41)^$A33</f>
        <v/>
      </c>
      <c r="AM33" s="39">
        <f>IF(AND($A33&gt;=1,$A33&lt;=Products!$F$16),Products!$F$33,0)</f>
        <v/>
      </c>
      <c r="AN33" s="39">
        <f>AM33*Products!$F$42*AL33</f>
        <v/>
      </c>
      <c r="AO33" s="39">
        <f>AM33-AN33</f>
        <v/>
      </c>
      <c r="AP33" s="39">
        <f>(1-AL33)*MAX(0,Products!$F$16-$A33)*(Products!$F$33-Products!$F$35/Products!$F$16)</f>
        <v/>
      </c>
      <c r="AQ33" s="40">
        <f>IF($A33&lt;=Products!$F$16,AL33,0)</f>
        <v/>
      </c>
      <c r="AR33" s="40">
        <f>IF(AND($A33&gt;=1,$A33&lt;=Products!$F$16),AL32-AL33,0)</f>
        <v/>
      </c>
      <c r="AS33" s="39">
        <f>IF(AND($A33-Inputs!$C$31&gt;=1,$A33-Inputs!$C$31&lt;=Products!$F$16),INDEX(Curves!$AR$8:$AR$68,$A33-Inputs!$C$31+1),0)*Products!$F$27*Products!$F$28*Products!$F$13</f>
        <v/>
      </c>
      <c r="AT33" s="39">
        <f>IF($A33=Inputs!$C$33,Products!$F$30*Inputs!$C$10*Inputs!$C$32,0)</f>
        <v/>
      </c>
      <c r="AU33" s="39">
        <f>AN33*(1-Inputs!$C$24)-Inputs!$C$25*AQ33+AS33+AT33</f>
        <v/>
      </c>
      <c r="AV33" s="39">
        <f>AV32+AU33</f>
        <v/>
      </c>
      <c r="AX33" s="40">
        <f>(1-Products!$G$41)^$A33</f>
        <v/>
      </c>
      <c r="AY33" s="39">
        <f>IF(AND($A33&gt;=1,$A33&lt;=Products!$G$16),Products!$G$33,0)</f>
        <v/>
      </c>
      <c r="AZ33" s="39">
        <f>AY33*Products!$G$42*AX33</f>
        <v/>
      </c>
      <c r="BA33" s="39">
        <f>AY33-AZ33</f>
        <v/>
      </c>
      <c r="BB33" s="39">
        <f>(1-AX33)*MAX(0,Products!$G$16-$A33)*(Products!$G$33-Products!$G$35/Products!$G$16)</f>
        <v/>
      </c>
      <c r="BC33" s="40">
        <f>IF($A33&lt;=Products!$G$16,AX33,0)</f>
        <v/>
      </c>
      <c r="BD33" s="40">
        <f>IF(AND($A33&gt;=1,$A33&lt;=Products!$G$16),AX32-AX33,0)</f>
        <v/>
      </c>
      <c r="BE33" s="39">
        <f>IF(AND($A33-Inputs!$C$31&gt;=1,$A33-Inputs!$C$31&lt;=Products!$G$16),INDEX(Curves!$BD$8:$BD$68,$A33-Inputs!$C$31+1),0)*Products!$G$27*Products!$G$28*Products!$G$13</f>
        <v/>
      </c>
      <c r="BF33" s="39">
        <f>IF($A33=Inputs!$C$33,Products!$G$30*Inputs!$C$10*Inputs!$C$32,0)</f>
        <v/>
      </c>
      <c r="BG33" s="39">
        <f>AZ33*(1-Inputs!$C$24)-Inputs!$C$25*BC33+BE33+BF33</f>
        <v/>
      </c>
      <c r="BH33" s="39">
        <f>BH32+BG33</f>
        <v/>
      </c>
    </row>
    <row r="34">
      <c r="A34" s="46" t="n">
        <v>26</v>
      </c>
      <c r="B34" s="40">
        <f>(1-Products!$C$41)^$A34</f>
        <v/>
      </c>
      <c r="C34" s="39">
        <f>IF(AND($A34&gt;=1,$A34&lt;=Products!$C$16),Products!$C$33,0)</f>
        <v/>
      </c>
      <c r="D34" s="39">
        <f>C34*Products!$C$42*B34</f>
        <v/>
      </c>
      <c r="E34" s="39">
        <f>C34-D34</f>
        <v/>
      </c>
      <c r="F34" s="39">
        <f>(1-B34)*MAX(0,Products!$C$16-$A34)*(Products!$C$33-Products!$C$35/Products!$C$16)</f>
        <v/>
      </c>
      <c r="G34" s="40">
        <f>IF($A34&lt;=Products!$C$16,B34,0)</f>
        <v/>
      </c>
      <c r="H34" s="40">
        <f>IF(AND($A34&gt;=1,$A34&lt;=Products!$C$16),B33-B34,0)</f>
        <v/>
      </c>
      <c r="I34" s="39">
        <f>IF(AND($A34-Inputs!$C$31&gt;=1,$A34-Inputs!$C$31&lt;=Products!$C$16),INDEX(Curves!$H$8:$H$68,$A34-Inputs!$C$31+1),0)*Products!$C$27*Products!$C$28*Products!$C$13</f>
        <v/>
      </c>
      <c r="J34" s="39">
        <f>IF($A34=Inputs!$C$33,Products!$C$30*Inputs!$C$10*Inputs!$C$32,0)</f>
        <v/>
      </c>
      <c r="K34" s="39">
        <f>D34*(1-Inputs!$C$24)-Inputs!$C$25*G34+I34+J34</f>
        <v/>
      </c>
      <c r="L34" s="39">
        <f>L33+K34</f>
        <v/>
      </c>
      <c r="N34" s="40">
        <f>(1-Products!$D$41)^$A34</f>
        <v/>
      </c>
      <c r="O34" s="39">
        <f>IF(AND($A34&gt;=1,$A34&lt;=Products!$D$16),Products!$D$33,0)</f>
        <v/>
      </c>
      <c r="P34" s="39">
        <f>O34*Products!$D$42*N34</f>
        <v/>
      </c>
      <c r="Q34" s="39">
        <f>O34-P34</f>
        <v/>
      </c>
      <c r="R34" s="39">
        <f>(1-N34)*MAX(0,Products!$D$16-$A34)*(Products!$D$33-Products!$D$35/Products!$D$16)</f>
        <v/>
      </c>
      <c r="S34" s="40">
        <f>IF($A34&lt;=Products!$D$16,N34,0)</f>
        <v/>
      </c>
      <c r="T34" s="40">
        <f>IF(AND($A34&gt;=1,$A34&lt;=Products!$D$16),N33-N34,0)</f>
        <v/>
      </c>
      <c r="U34" s="39">
        <f>IF(AND($A34-Inputs!$C$31&gt;=1,$A34-Inputs!$C$31&lt;=Products!$D$16),INDEX(Curves!$T$8:$T$68,$A34-Inputs!$C$31+1),0)*Products!$D$27*Products!$D$28*Products!$D$13</f>
        <v/>
      </c>
      <c r="V34" s="39">
        <f>IF($A34=Inputs!$C$33,Products!$D$30*Inputs!$C$10*Inputs!$C$32,0)</f>
        <v/>
      </c>
      <c r="W34" s="39">
        <f>P34*(1-Inputs!$C$24)-Inputs!$C$25*S34+U34+V34</f>
        <v/>
      </c>
      <c r="X34" s="39">
        <f>X33+W34</f>
        <v/>
      </c>
      <c r="Z34" s="40">
        <f>(1-Products!$E$41)^$A34</f>
        <v/>
      </c>
      <c r="AA34" s="39">
        <f>IF(AND($A34&gt;=1,$A34&lt;=Products!$E$16),Products!$E$33,0)</f>
        <v/>
      </c>
      <c r="AB34" s="39">
        <f>AA34*Products!$E$42*Z34</f>
        <v/>
      </c>
      <c r="AC34" s="39">
        <f>AA34-AB34</f>
        <v/>
      </c>
      <c r="AD34" s="39">
        <f>(1-Z34)*MAX(0,Products!$E$16-$A34)*(Products!$E$33-Products!$E$35/Products!$E$16)</f>
        <v/>
      </c>
      <c r="AE34" s="40">
        <f>IF($A34&lt;=Products!$E$16,Z34,0)</f>
        <v/>
      </c>
      <c r="AF34" s="40">
        <f>IF(AND($A34&gt;=1,$A34&lt;=Products!$E$16),Z33-Z34,0)</f>
        <v/>
      </c>
      <c r="AG34" s="39">
        <f>IF(AND($A34-Inputs!$C$31&gt;=1,$A34-Inputs!$C$31&lt;=Products!$E$16),INDEX(Curves!$AF$8:$AF$68,$A34-Inputs!$C$31+1),0)*Products!$E$27*Products!$E$28*Products!$E$13</f>
        <v/>
      </c>
      <c r="AH34" s="39">
        <f>IF($A34=Inputs!$C$33,Products!$E$30*Inputs!$C$10*Inputs!$C$32,0)</f>
        <v/>
      </c>
      <c r="AI34" s="39">
        <f>AB34*(1-Inputs!$C$24)-Inputs!$C$25*AE34+AG34+AH34</f>
        <v/>
      </c>
      <c r="AJ34" s="39">
        <f>AJ33+AI34</f>
        <v/>
      </c>
      <c r="AL34" s="40">
        <f>(1-Products!$F$41)^$A34</f>
        <v/>
      </c>
      <c r="AM34" s="39">
        <f>IF(AND($A34&gt;=1,$A34&lt;=Products!$F$16),Products!$F$33,0)</f>
        <v/>
      </c>
      <c r="AN34" s="39">
        <f>AM34*Products!$F$42*AL34</f>
        <v/>
      </c>
      <c r="AO34" s="39">
        <f>AM34-AN34</f>
        <v/>
      </c>
      <c r="AP34" s="39">
        <f>(1-AL34)*MAX(0,Products!$F$16-$A34)*(Products!$F$33-Products!$F$35/Products!$F$16)</f>
        <v/>
      </c>
      <c r="AQ34" s="40">
        <f>IF($A34&lt;=Products!$F$16,AL34,0)</f>
        <v/>
      </c>
      <c r="AR34" s="40">
        <f>IF(AND($A34&gt;=1,$A34&lt;=Products!$F$16),AL33-AL34,0)</f>
        <v/>
      </c>
      <c r="AS34" s="39">
        <f>IF(AND($A34-Inputs!$C$31&gt;=1,$A34-Inputs!$C$31&lt;=Products!$F$16),INDEX(Curves!$AR$8:$AR$68,$A34-Inputs!$C$31+1),0)*Products!$F$27*Products!$F$28*Products!$F$13</f>
        <v/>
      </c>
      <c r="AT34" s="39">
        <f>IF($A34=Inputs!$C$33,Products!$F$30*Inputs!$C$10*Inputs!$C$32,0)</f>
        <v/>
      </c>
      <c r="AU34" s="39">
        <f>AN34*(1-Inputs!$C$24)-Inputs!$C$25*AQ34+AS34+AT34</f>
        <v/>
      </c>
      <c r="AV34" s="39">
        <f>AV33+AU34</f>
        <v/>
      </c>
      <c r="AX34" s="40">
        <f>(1-Products!$G$41)^$A34</f>
        <v/>
      </c>
      <c r="AY34" s="39">
        <f>IF(AND($A34&gt;=1,$A34&lt;=Products!$G$16),Products!$G$33,0)</f>
        <v/>
      </c>
      <c r="AZ34" s="39">
        <f>AY34*Products!$G$42*AX34</f>
        <v/>
      </c>
      <c r="BA34" s="39">
        <f>AY34-AZ34</f>
        <v/>
      </c>
      <c r="BB34" s="39">
        <f>(1-AX34)*MAX(0,Products!$G$16-$A34)*(Products!$G$33-Products!$G$35/Products!$G$16)</f>
        <v/>
      </c>
      <c r="BC34" s="40">
        <f>IF($A34&lt;=Products!$G$16,AX34,0)</f>
        <v/>
      </c>
      <c r="BD34" s="40">
        <f>IF(AND($A34&gt;=1,$A34&lt;=Products!$G$16),AX33-AX34,0)</f>
        <v/>
      </c>
      <c r="BE34" s="39">
        <f>IF(AND($A34-Inputs!$C$31&gt;=1,$A34-Inputs!$C$31&lt;=Products!$G$16),INDEX(Curves!$BD$8:$BD$68,$A34-Inputs!$C$31+1),0)*Products!$G$27*Products!$G$28*Products!$G$13</f>
        <v/>
      </c>
      <c r="BF34" s="39">
        <f>IF($A34=Inputs!$C$33,Products!$G$30*Inputs!$C$10*Inputs!$C$32,0)</f>
        <v/>
      </c>
      <c r="BG34" s="39">
        <f>AZ34*(1-Inputs!$C$24)-Inputs!$C$25*BC34+BE34+BF34</f>
        <v/>
      </c>
      <c r="BH34" s="39">
        <f>BH33+BG34</f>
        <v/>
      </c>
    </row>
    <row r="35">
      <c r="A35" s="46" t="n">
        <v>27</v>
      </c>
      <c r="B35" s="40">
        <f>(1-Products!$C$41)^$A35</f>
        <v/>
      </c>
      <c r="C35" s="39">
        <f>IF(AND($A35&gt;=1,$A35&lt;=Products!$C$16),Products!$C$33,0)</f>
        <v/>
      </c>
      <c r="D35" s="39">
        <f>C35*Products!$C$42*B35</f>
        <v/>
      </c>
      <c r="E35" s="39">
        <f>C35-D35</f>
        <v/>
      </c>
      <c r="F35" s="39">
        <f>(1-B35)*MAX(0,Products!$C$16-$A35)*(Products!$C$33-Products!$C$35/Products!$C$16)</f>
        <v/>
      </c>
      <c r="G35" s="40">
        <f>IF($A35&lt;=Products!$C$16,B35,0)</f>
        <v/>
      </c>
      <c r="H35" s="40">
        <f>IF(AND($A35&gt;=1,$A35&lt;=Products!$C$16),B34-B35,0)</f>
        <v/>
      </c>
      <c r="I35" s="39">
        <f>IF(AND($A35-Inputs!$C$31&gt;=1,$A35-Inputs!$C$31&lt;=Products!$C$16),INDEX(Curves!$H$8:$H$68,$A35-Inputs!$C$31+1),0)*Products!$C$27*Products!$C$28*Products!$C$13</f>
        <v/>
      </c>
      <c r="J35" s="39">
        <f>IF($A35=Inputs!$C$33,Products!$C$30*Inputs!$C$10*Inputs!$C$32,0)</f>
        <v/>
      </c>
      <c r="K35" s="39">
        <f>D35*(1-Inputs!$C$24)-Inputs!$C$25*G35+I35+J35</f>
        <v/>
      </c>
      <c r="L35" s="39">
        <f>L34+K35</f>
        <v/>
      </c>
      <c r="N35" s="40">
        <f>(1-Products!$D$41)^$A35</f>
        <v/>
      </c>
      <c r="O35" s="39">
        <f>IF(AND($A35&gt;=1,$A35&lt;=Products!$D$16),Products!$D$33,0)</f>
        <v/>
      </c>
      <c r="P35" s="39">
        <f>O35*Products!$D$42*N35</f>
        <v/>
      </c>
      <c r="Q35" s="39">
        <f>O35-P35</f>
        <v/>
      </c>
      <c r="R35" s="39">
        <f>(1-N35)*MAX(0,Products!$D$16-$A35)*(Products!$D$33-Products!$D$35/Products!$D$16)</f>
        <v/>
      </c>
      <c r="S35" s="40">
        <f>IF($A35&lt;=Products!$D$16,N35,0)</f>
        <v/>
      </c>
      <c r="T35" s="40">
        <f>IF(AND($A35&gt;=1,$A35&lt;=Products!$D$16),N34-N35,0)</f>
        <v/>
      </c>
      <c r="U35" s="39">
        <f>IF(AND($A35-Inputs!$C$31&gt;=1,$A35-Inputs!$C$31&lt;=Products!$D$16),INDEX(Curves!$T$8:$T$68,$A35-Inputs!$C$31+1),0)*Products!$D$27*Products!$D$28*Products!$D$13</f>
        <v/>
      </c>
      <c r="V35" s="39">
        <f>IF($A35=Inputs!$C$33,Products!$D$30*Inputs!$C$10*Inputs!$C$32,0)</f>
        <v/>
      </c>
      <c r="W35" s="39">
        <f>P35*(1-Inputs!$C$24)-Inputs!$C$25*S35+U35+V35</f>
        <v/>
      </c>
      <c r="X35" s="39">
        <f>X34+W35</f>
        <v/>
      </c>
      <c r="Z35" s="40">
        <f>(1-Products!$E$41)^$A35</f>
        <v/>
      </c>
      <c r="AA35" s="39">
        <f>IF(AND($A35&gt;=1,$A35&lt;=Products!$E$16),Products!$E$33,0)</f>
        <v/>
      </c>
      <c r="AB35" s="39">
        <f>AA35*Products!$E$42*Z35</f>
        <v/>
      </c>
      <c r="AC35" s="39">
        <f>AA35-AB35</f>
        <v/>
      </c>
      <c r="AD35" s="39">
        <f>(1-Z35)*MAX(0,Products!$E$16-$A35)*(Products!$E$33-Products!$E$35/Products!$E$16)</f>
        <v/>
      </c>
      <c r="AE35" s="40">
        <f>IF($A35&lt;=Products!$E$16,Z35,0)</f>
        <v/>
      </c>
      <c r="AF35" s="40">
        <f>IF(AND($A35&gt;=1,$A35&lt;=Products!$E$16),Z34-Z35,0)</f>
        <v/>
      </c>
      <c r="AG35" s="39">
        <f>IF(AND($A35-Inputs!$C$31&gt;=1,$A35-Inputs!$C$31&lt;=Products!$E$16),INDEX(Curves!$AF$8:$AF$68,$A35-Inputs!$C$31+1),0)*Products!$E$27*Products!$E$28*Products!$E$13</f>
        <v/>
      </c>
      <c r="AH35" s="39">
        <f>IF($A35=Inputs!$C$33,Products!$E$30*Inputs!$C$10*Inputs!$C$32,0)</f>
        <v/>
      </c>
      <c r="AI35" s="39">
        <f>AB35*(1-Inputs!$C$24)-Inputs!$C$25*AE35+AG35+AH35</f>
        <v/>
      </c>
      <c r="AJ35" s="39">
        <f>AJ34+AI35</f>
        <v/>
      </c>
      <c r="AL35" s="40">
        <f>(1-Products!$F$41)^$A35</f>
        <v/>
      </c>
      <c r="AM35" s="39">
        <f>IF(AND($A35&gt;=1,$A35&lt;=Products!$F$16),Products!$F$33,0)</f>
        <v/>
      </c>
      <c r="AN35" s="39">
        <f>AM35*Products!$F$42*AL35</f>
        <v/>
      </c>
      <c r="AO35" s="39">
        <f>AM35-AN35</f>
        <v/>
      </c>
      <c r="AP35" s="39">
        <f>(1-AL35)*MAX(0,Products!$F$16-$A35)*(Products!$F$33-Products!$F$35/Products!$F$16)</f>
        <v/>
      </c>
      <c r="AQ35" s="40">
        <f>IF($A35&lt;=Products!$F$16,AL35,0)</f>
        <v/>
      </c>
      <c r="AR35" s="40">
        <f>IF(AND($A35&gt;=1,$A35&lt;=Products!$F$16),AL34-AL35,0)</f>
        <v/>
      </c>
      <c r="AS35" s="39">
        <f>IF(AND($A35-Inputs!$C$31&gt;=1,$A35-Inputs!$C$31&lt;=Products!$F$16),INDEX(Curves!$AR$8:$AR$68,$A35-Inputs!$C$31+1),0)*Products!$F$27*Products!$F$28*Products!$F$13</f>
        <v/>
      </c>
      <c r="AT35" s="39">
        <f>IF($A35=Inputs!$C$33,Products!$F$30*Inputs!$C$10*Inputs!$C$32,0)</f>
        <v/>
      </c>
      <c r="AU35" s="39">
        <f>AN35*(1-Inputs!$C$24)-Inputs!$C$25*AQ35+AS35+AT35</f>
        <v/>
      </c>
      <c r="AV35" s="39">
        <f>AV34+AU35</f>
        <v/>
      </c>
      <c r="AX35" s="40">
        <f>(1-Products!$G$41)^$A35</f>
        <v/>
      </c>
      <c r="AY35" s="39">
        <f>IF(AND($A35&gt;=1,$A35&lt;=Products!$G$16),Products!$G$33,0)</f>
        <v/>
      </c>
      <c r="AZ35" s="39">
        <f>AY35*Products!$G$42*AX35</f>
        <v/>
      </c>
      <c r="BA35" s="39">
        <f>AY35-AZ35</f>
        <v/>
      </c>
      <c r="BB35" s="39">
        <f>(1-AX35)*MAX(0,Products!$G$16-$A35)*(Products!$G$33-Products!$G$35/Products!$G$16)</f>
        <v/>
      </c>
      <c r="BC35" s="40">
        <f>IF($A35&lt;=Products!$G$16,AX35,0)</f>
        <v/>
      </c>
      <c r="BD35" s="40">
        <f>IF(AND($A35&gt;=1,$A35&lt;=Products!$G$16),AX34-AX35,0)</f>
        <v/>
      </c>
      <c r="BE35" s="39">
        <f>IF(AND($A35-Inputs!$C$31&gt;=1,$A35-Inputs!$C$31&lt;=Products!$G$16),INDEX(Curves!$BD$8:$BD$68,$A35-Inputs!$C$31+1),0)*Products!$G$27*Products!$G$28*Products!$G$13</f>
        <v/>
      </c>
      <c r="BF35" s="39">
        <f>IF($A35=Inputs!$C$33,Products!$G$30*Inputs!$C$10*Inputs!$C$32,0)</f>
        <v/>
      </c>
      <c r="BG35" s="39">
        <f>AZ35*(1-Inputs!$C$24)-Inputs!$C$25*BC35+BE35+BF35</f>
        <v/>
      </c>
      <c r="BH35" s="39">
        <f>BH34+BG35</f>
        <v/>
      </c>
    </row>
    <row r="36">
      <c r="A36" s="46" t="n">
        <v>28</v>
      </c>
      <c r="B36" s="40">
        <f>(1-Products!$C$41)^$A36</f>
        <v/>
      </c>
      <c r="C36" s="39">
        <f>IF(AND($A36&gt;=1,$A36&lt;=Products!$C$16),Products!$C$33,0)</f>
        <v/>
      </c>
      <c r="D36" s="39">
        <f>C36*Products!$C$42*B36</f>
        <v/>
      </c>
      <c r="E36" s="39">
        <f>C36-D36</f>
        <v/>
      </c>
      <c r="F36" s="39">
        <f>(1-B36)*MAX(0,Products!$C$16-$A36)*(Products!$C$33-Products!$C$35/Products!$C$16)</f>
        <v/>
      </c>
      <c r="G36" s="40">
        <f>IF($A36&lt;=Products!$C$16,B36,0)</f>
        <v/>
      </c>
      <c r="H36" s="40">
        <f>IF(AND($A36&gt;=1,$A36&lt;=Products!$C$16),B35-B36,0)</f>
        <v/>
      </c>
      <c r="I36" s="39">
        <f>IF(AND($A36-Inputs!$C$31&gt;=1,$A36-Inputs!$C$31&lt;=Products!$C$16),INDEX(Curves!$H$8:$H$68,$A36-Inputs!$C$31+1),0)*Products!$C$27*Products!$C$28*Products!$C$13</f>
        <v/>
      </c>
      <c r="J36" s="39">
        <f>IF($A36=Inputs!$C$33,Products!$C$30*Inputs!$C$10*Inputs!$C$32,0)</f>
        <v/>
      </c>
      <c r="K36" s="39">
        <f>D36*(1-Inputs!$C$24)-Inputs!$C$25*G36+I36+J36</f>
        <v/>
      </c>
      <c r="L36" s="39">
        <f>L35+K36</f>
        <v/>
      </c>
      <c r="N36" s="40">
        <f>(1-Products!$D$41)^$A36</f>
        <v/>
      </c>
      <c r="O36" s="39">
        <f>IF(AND($A36&gt;=1,$A36&lt;=Products!$D$16),Products!$D$33,0)</f>
        <v/>
      </c>
      <c r="P36" s="39">
        <f>O36*Products!$D$42*N36</f>
        <v/>
      </c>
      <c r="Q36" s="39">
        <f>O36-P36</f>
        <v/>
      </c>
      <c r="R36" s="39">
        <f>(1-N36)*MAX(0,Products!$D$16-$A36)*(Products!$D$33-Products!$D$35/Products!$D$16)</f>
        <v/>
      </c>
      <c r="S36" s="40">
        <f>IF($A36&lt;=Products!$D$16,N36,0)</f>
        <v/>
      </c>
      <c r="T36" s="40">
        <f>IF(AND($A36&gt;=1,$A36&lt;=Products!$D$16),N35-N36,0)</f>
        <v/>
      </c>
      <c r="U36" s="39">
        <f>IF(AND($A36-Inputs!$C$31&gt;=1,$A36-Inputs!$C$31&lt;=Products!$D$16),INDEX(Curves!$T$8:$T$68,$A36-Inputs!$C$31+1),0)*Products!$D$27*Products!$D$28*Products!$D$13</f>
        <v/>
      </c>
      <c r="V36" s="39">
        <f>IF($A36=Inputs!$C$33,Products!$D$30*Inputs!$C$10*Inputs!$C$32,0)</f>
        <v/>
      </c>
      <c r="W36" s="39">
        <f>P36*(1-Inputs!$C$24)-Inputs!$C$25*S36+U36+V36</f>
        <v/>
      </c>
      <c r="X36" s="39">
        <f>X35+W36</f>
        <v/>
      </c>
      <c r="Z36" s="40">
        <f>(1-Products!$E$41)^$A36</f>
        <v/>
      </c>
      <c r="AA36" s="39">
        <f>IF(AND($A36&gt;=1,$A36&lt;=Products!$E$16),Products!$E$33,0)</f>
        <v/>
      </c>
      <c r="AB36" s="39">
        <f>AA36*Products!$E$42*Z36</f>
        <v/>
      </c>
      <c r="AC36" s="39">
        <f>AA36-AB36</f>
        <v/>
      </c>
      <c r="AD36" s="39">
        <f>(1-Z36)*MAX(0,Products!$E$16-$A36)*(Products!$E$33-Products!$E$35/Products!$E$16)</f>
        <v/>
      </c>
      <c r="AE36" s="40">
        <f>IF($A36&lt;=Products!$E$16,Z36,0)</f>
        <v/>
      </c>
      <c r="AF36" s="40">
        <f>IF(AND($A36&gt;=1,$A36&lt;=Products!$E$16),Z35-Z36,0)</f>
        <v/>
      </c>
      <c r="AG36" s="39">
        <f>IF(AND($A36-Inputs!$C$31&gt;=1,$A36-Inputs!$C$31&lt;=Products!$E$16),INDEX(Curves!$AF$8:$AF$68,$A36-Inputs!$C$31+1),0)*Products!$E$27*Products!$E$28*Products!$E$13</f>
        <v/>
      </c>
      <c r="AH36" s="39">
        <f>IF($A36=Inputs!$C$33,Products!$E$30*Inputs!$C$10*Inputs!$C$32,0)</f>
        <v/>
      </c>
      <c r="AI36" s="39">
        <f>AB36*(1-Inputs!$C$24)-Inputs!$C$25*AE36+AG36+AH36</f>
        <v/>
      </c>
      <c r="AJ36" s="39">
        <f>AJ35+AI36</f>
        <v/>
      </c>
      <c r="AL36" s="40">
        <f>(1-Products!$F$41)^$A36</f>
        <v/>
      </c>
      <c r="AM36" s="39">
        <f>IF(AND($A36&gt;=1,$A36&lt;=Products!$F$16),Products!$F$33,0)</f>
        <v/>
      </c>
      <c r="AN36" s="39">
        <f>AM36*Products!$F$42*AL36</f>
        <v/>
      </c>
      <c r="AO36" s="39">
        <f>AM36-AN36</f>
        <v/>
      </c>
      <c r="AP36" s="39">
        <f>(1-AL36)*MAX(0,Products!$F$16-$A36)*(Products!$F$33-Products!$F$35/Products!$F$16)</f>
        <v/>
      </c>
      <c r="AQ36" s="40">
        <f>IF($A36&lt;=Products!$F$16,AL36,0)</f>
        <v/>
      </c>
      <c r="AR36" s="40">
        <f>IF(AND($A36&gt;=1,$A36&lt;=Products!$F$16),AL35-AL36,0)</f>
        <v/>
      </c>
      <c r="AS36" s="39">
        <f>IF(AND($A36-Inputs!$C$31&gt;=1,$A36-Inputs!$C$31&lt;=Products!$F$16),INDEX(Curves!$AR$8:$AR$68,$A36-Inputs!$C$31+1),0)*Products!$F$27*Products!$F$28*Products!$F$13</f>
        <v/>
      </c>
      <c r="AT36" s="39">
        <f>IF($A36=Inputs!$C$33,Products!$F$30*Inputs!$C$10*Inputs!$C$32,0)</f>
        <v/>
      </c>
      <c r="AU36" s="39">
        <f>AN36*(1-Inputs!$C$24)-Inputs!$C$25*AQ36+AS36+AT36</f>
        <v/>
      </c>
      <c r="AV36" s="39">
        <f>AV35+AU36</f>
        <v/>
      </c>
      <c r="AX36" s="40">
        <f>(1-Products!$G$41)^$A36</f>
        <v/>
      </c>
      <c r="AY36" s="39">
        <f>IF(AND($A36&gt;=1,$A36&lt;=Products!$G$16),Products!$G$33,0)</f>
        <v/>
      </c>
      <c r="AZ36" s="39">
        <f>AY36*Products!$G$42*AX36</f>
        <v/>
      </c>
      <c r="BA36" s="39">
        <f>AY36-AZ36</f>
        <v/>
      </c>
      <c r="BB36" s="39">
        <f>(1-AX36)*MAX(0,Products!$G$16-$A36)*(Products!$G$33-Products!$G$35/Products!$G$16)</f>
        <v/>
      </c>
      <c r="BC36" s="40">
        <f>IF($A36&lt;=Products!$G$16,AX36,0)</f>
        <v/>
      </c>
      <c r="BD36" s="40">
        <f>IF(AND($A36&gt;=1,$A36&lt;=Products!$G$16),AX35-AX36,0)</f>
        <v/>
      </c>
      <c r="BE36" s="39">
        <f>IF(AND($A36-Inputs!$C$31&gt;=1,$A36-Inputs!$C$31&lt;=Products!$G$16),INDEX(Curves!$BD$8:$BD$68,$A36-Inputs!$C$31+1),0)*Products!$G$27*Products!$G$28*Products!$G$13</f>
        <v/>
      </c>
      <c r="BF36" s="39">
        <f>IF($A36=Inputs!$C$33,Products!$G$30*Inputs!$C$10*Inputs!$C$32,0)</f>
        <v/>
      </c>
      <c r="BG36" s="39">
        <f>AZ36*(1-Inputs!$C$24)-Inputs!$C$25*BC36+BE36+BF36</f>
        <v/>
      </c>
      <c r="BH36" s="39">
        <f>BH35+BG36</f>
        <v/>
      </c>
    </row>
    <row r="37">
      <c r="A37" s="46" t="n">
        <v>29</v>
      </c>
      <c r="B37" s="40">
        <f>(1-Products!$C$41)^$A37</f>
        <v/>
      </c>
      <c r="C37" s="39">
        <f>IF(AND($A37&gt;=1,$A37&lt;=Products!$C$16),Products!$C$33,0)</f>
        <v/>
      </c>
      <c r="D37" s="39">
        <f>C37*Products!$C$42*B37</f>
        <v/>
      </c>
      <c r="E37" s="39">
        <f>C37-D37</f>
        <v/>
      </c>
      <c r="F37" s="39">
        <f>(1-B37)*MAX(0,Products!$C$16-$A37)*(Products!$C$33-Products!$C$35/Products!$C$16)</f>
        <v/>
      </c>
      <c r="G37" s="40">
        <f>IF($A37&lt;=Products!$C$16,B37,0)</f>
        <v/>
      </c>
      <c r="H37" s="40">
        <f>IF(AND($A37&gt;=1,$A37&lt;=Products!$C$16),B36-B37,0)</f>
        <v/>
      </c>
      <c r="I37" s="39">
        <f>IF(AND($A37-Inputs!$C$31&gt;=1,$A37-Inputs!$C$31&lt;=Products!$C$16),INDEX(Curves!$H$8:$H$68,$A37-Inputs!$C$31+1),0)*Products!$C$27*Products!$C$28*Products!$C$13</f>
        <v/>
      </c>
      <c r="J37" s="39">
        <f>IF($A37=Inputs!$C$33,Products!$C$30*Inputs!$C$10*Inputs!$C$32,0)</f>
        <v/>
      </c>
      <c r="K37" s="39">
        <f>D37*(1-Inputs!$C$24)-Inputs!$C$25*G37+I37+J37</f>
        <v/>
      </c>
      <c r="L37" s="39">
        <f>L36+K37</f>
        <v/>
      </c>
      <c r="N37" s="40">
        <f>(1-Products!$D$41)^$A37</f>
        <v/>
      </c>
      <c r="O37" s="39">
        <f>IF(AND($A37&gt;=1,$A37&lt;=Products!$D$16),Products!$D$33,0)</f>
        <v/>
      </c>
      <c r="P37" s="39">
        <f>O37*Products!$D$42*N37</f>
        <v/>
      </c>
      <c r="Q37" s="39">
        <f>O37-P37</f>
        <v/>
      </c>
      <c r="R37" s="39">
        <f>(1-N37)*MAX(0,Products!$D$16-$A37)*(Products!$D$33-Products!$D$35/Products!$D$16)</f>
        <v/>
      </c>
      <c r="S37" s="40">
        <f>IF($A37&lt;=Products!$D$16,N37,0)</f>
        <v/>
      </c>
      <c r="T37" s="40">
        <f>IF(AND($A37&gt;=1,$A37&lt;=Products!$D$16),N36-N37,0)</f>
        <v/>
      </c>
      <c r="U37" s="39">
        <f>IF(AND($A37-Inputs!$C$31&gt;=1,$A37-Inputs!$C$31&lt;=Products!$D$16),INDEX(Curves!$T$8:$T$68,$A37-Inputs!$C$31+1),0)*Products!$D$27*Products!$D$28*Products!$D$13</f>
        <v/>
      </c>
      <c r="V37" s="39">
        <f>IF($A37=Inputs!$C$33,Products!$D$30*Inputs!$C$10*Inputs!$C$32,0)</f>
        <v/>
      </c>
      <c r="W37" s="39">
        <f>P37*(1-Inputs!$C$24)-Inputs!$C$25*S37+U37+V37</f>
        <v/>
      </c>
      <c r="X37" s="39">
        <f>X36+W37</f>
        <v/>
      </c>
      <c r="Z37" s="40">
        <f>(1-Products!$E$41)^$A37</f>
        <v/>
      </c>
      <c r="AA37" s="39">
        <f>IF(AND($A37&gt;=1,$A37&lt;=Products!$E$16),Products!$E$33,0)</f>
        <v/>
      </c>
      <c r="AB37" s="39">
        <f>AA37*Products!$E$42*Z37</f>
        <v/>
      </c>
      <c r="AC37" s="39">
        <f>AA37-AB37</f>
        <v/>
      </c>
      <c r="AD37" s="39">
        <f>(1-Z37)*MAX(0,Products!$E$16-$A37)*(Products!$E$33-Products!$E$35/Products!$E$16)</f>
        <v/>
      </c>
      <c r="AE37" s="40">
        <f>IF($A37&lt;=Products!$E$16,Z37,0)</f>
        <v/>
      </c>
      <c r="AF37" s="40">
        <f>IF(AND($A37&gt;=1,$A37&lt;=Products!$E$16),Z36-Z37,0)</f>
        <v/>
      </c>
      <c r="AG37" s="39">
        <f>IF(AND($A37-Inputs!$C$31&gt;=1,$A37-Inputs!$C$31&lt;=Products!$E$16),INDEX(Curves!$AF$8:$AF$68,$A37-Inputs!$C$31+1),0)*Products!$E$27*Products!$E$28*Products!$E$13</f>
        <v/>
      </c>
      <c r="AH37" s="39">
        <f>IF($A37=Inputs!$C$33,Products!$E$30*Inputs!$C$10*Inputs!$C$32,0)</f>
        <v/>
      </c>
      <c r="AI37" s="39">
        <f>AB37*(1-Inputs!$C$24)-Inputs!$C$25*AE37+AG37+AH37</f>
        <v/>
      </c>
      <c r="AJ37" s="39">
        <f>AJ36+AI37</f>
        <v/>
      </c>
      <c r="AL37" s="40">
        <f>(1-Products!$F$41)^$A37</f>
        <v/>
      </c>
      <c r="AM37" s="39">
        <f>IF(AND($A37&gt;=1,$A37&lt;=Products!$F$16),Products!$F$33,0)</f>
        <v/>
      </c>
      <c r="AN37" s="39">
        <f>AM37*Products!$F$42*AL37</f>
        <v/>
      </c>
      <c r="AO37" s="39">
        <f>AM37-AN37</f>
        <v/>
      </c>
      <c r="AP37" s="39">
        <f>(1-AL37)*MAX(0,Products!$F$16-$A37)*(Products!$F$33-Products!$F$35/Products!$F$16)</f>
        <v/>
      </c>
      <c r="AQ37" s="40">
        <f>IF($A37&lt;=Products!$F$16,AL37,0)</f>
        <v/>
      </c>
      <c r="AR37" s="40">
        <f>IF(AND($A37&gt;=1,$A37&lt;=Products!$F$16),AL36-AL37,0)</f>
        <v/>
      </c>
      <c r="AS37" s="39">
        <f>IF(AND($A37-Inputs!$C$31&gt;=1,$A37-Inputs!$C$31&lt;=Products!$F$16),INDEX(Curves!$AR$8:$AR$68,$A37-Inputs!$C$31+1),0)*Products!$F$27*Products!$F$28*Products!$F$13</f>
        <v/>
      </c>
      <c r="AT37" s="39">
        <f>IF($A37=Inputs!$C$33,Products!$F$30*Inputs!$C$10*Inputs!$C$32,0)</f>
        <v/>
      </c>
      <c r="AU37" s="39">
        <f>AN37*(1-Inputs!$C$24)-Inputs!$C$25*AQ37+AS37+AT37</f>
        <v/>
      </c>
      <c r="AV37" s="39">
        <f>AV36+AU37</f>
        <v/>
      </c>
      <c r="AX37" s="40">
        <f>(1-Products!$G$41)^$A37</f>
        <v/>
      </c>
      <c r="AY37" s="39">
        <f>IF(AND($A37&gt;=1,$A37&lt;=Products!$G$16),Products!$G$33,0)</f>
        <v/>
      </c>
      <c r="AZ37" s="39">
        <f>AY37*Products!$G$42*AX37</f>
        <v/>
      </c>
      <c r="BA37" s="39">
        <f>AY37-AZ37</f>
        <v/>
      </c>
      <c r="BB37" s="39">
        <f>(1-AX37)*MAX(0,Products!$G$16-$A37)*(Products!$G$33-Products!$G$35/Products!$G$16)</f>
        <v/>
      </c>
      <c r="BC37" s="40">
        <f>IF($A37&lt;=Products!$G$16,AX37,0)</f>
        <v/>
      </c>
      <c r="BD37" s="40">
        <f>IF(AND($A37&gt;=1,$A37&lt;=Products!$G$16),AX36-AX37,0)</f>
        <v/>
      </c>
      <c r="BE37" s="39">
        <f>IF(AND($A37-Inputs!$C$31&gt;=1,$A37-Inputs!$C$31&lt;=Products!$G$16),INDEX(Curves!$BD$8:$BD$68,$A37-Inputs!$C$31+1),0)*Products!$G$27*Products!$G$28*Products!$G$13</f>
        <v/>
      </c>
      <c r="BF37" s="39">
        <f>IF($A37=Inputs!$C$33,Products!$G$30*Inputs!$C$10*Inputs!$C$32,0)</f>
        <v/>
      </c>
      <c r="BG37" s="39">
        <f>AZ37*(1-Inputs!$C$24)-Inputs!$C$25*BC37+BE37+BF37</f>
        <v/>
      </c>
      <c r="BH37" s="39">
        <f>BH36+BG37</f>
        <v/>
      </c>
    </row>
    <row r="38">
      <c r="A38" s="46" t="n">
        <v>30</v>
      </c>
      <c r="B38" s="40">
        <f>(1-Products!$C$41)^$A38</f>
        <v/>
      </c>
      <c r="C38" s="39">
        <f>IF(AND($A38&gt;=1,$A38&lt;=Products!$C$16),Products!$C$33,0)</f>
        <v/>
      </c>
      <c r="D38" s="39">
        <f>C38*Products!$C$42*B38</f>
        <v/>
      </c>
      <c r="E38" s="39">
        <f>C38-D38</f>
        <v/>
      </c>
      <c r="F38" s="39">
        <f>(1-B38)*MAX(0,Products!$C$16-$A38)*(Products!$C$33-Products!$C$35/Products!$C$16)</f>
        <v/>
      </c>
      <c r="G38" s="40">
        <f>IF($A38&lt;=Products!$C$16,B38,0)</f>
        <v/>
      </c>
      <c r="H38" s="40">
        <f>IF(AND($A38&gt;=1,$A38&lt;=Products!$C$16),B37-B38,0)</f>
        <v/>
      </c>
      <c r="I38" s="39">
        <f>IF(AND($A38-Inputs!$C$31&gt;=1,$A38-Inputs!$C$31&lt;=Products!$C$16),INDEX(Curves!$H$8:$H$68,$A38-Inputs!$C$31+1),0)*Products!$C$27*Products!$C$28*Products!$C$13</f>
        <v/>
      </c>
      <c r="J38" s="39">
        <f>IF($A38=Inputs!$C$33,Products!$C$30*Inputs!$C$10*Inputs!$C$32,0)</f>
        <v/>
      </c>
      <c r="K38" s="39">
        <f>D38*(1-Inputs!$C$24)-Inputs!$C$25*G38+I38+J38</f>
        <v/>
      </c>
      <c r="L38" s="39">
        <f>L37+K38</f>
        <v/>
      </c>
      <c r="N38" s="40">
        <f>(1-Products!$D$41)^$A38</f>
        <v/>
      </c>
      <c r="O38" s="39">
        <f>IF(AND($A38&gt;=1,$A38&lt;=Products!$D$16),Products!$D$33,0)</f>
        <v/>
      </c>
      <c r="P38" s="39">
        <f>O38*Products!$D$42*N38</f>
        <v/>
      </c>
      <c r="Q38" s="39">
        <f>O38-P38</f>
        <v/>
      </c>
      <c r="R38" s="39">
        <f>(1-N38)*MAX(0,Products!$D$16-$A38)*(Products!$D$33-Products!$D$35/Products!$D$16)</f>
        <v/>
      </c>
      <c r="S38" s="40">
        <f>IF($A38&lt;=Products!$D$16,N38,0)</f>
        <v/>
      </c>
      <c r="T38" s="40">
        <f>IF(AND($A38&gt;=1,$A38&lt;=Products!$D$16),N37-N38,0)</f>
        <v/>
      </c>
      <c r="U38" s="39">
        <f>IF(AND($A38-Inputs!$C$31&gt;=1,$A38-Inputs!$C$31&lt;=Products!$D$16),INDEX(Curves!$T$8:$T$68,$A38-Inputs!$C$31+1),0)*Products!$D$27*Products!$D$28*Products!$D$13</f>
        <v/>
      </c>
      <c r="V38" s="39">
        <f>IF($A38=Inputs!$C$33,Products!$D$30*Inputs!$C$10*Inputs!$C$32,0)</f>
        <v/>
      </c>
      <c r="W38" s="39">
        <f>P38*(1-Inputs!$C$24)-Inputs!$C$25*S38+U38+V38</f>
        <v/>
      </c>
      <c r="X38" s="39">
        <f>X37+W38</f>
        <v/>
      </c>
      <c r="Z38" s="40">
        <f>(1-Products!$E$41)^$A38</f>
        <v/>
      </c>
      <c r="AA38" s="39">
        <f>IF(AND($A38&gt;=1,$A38&lt;=Products!$E$16),Products!$E$33,0)</f>
        <v/>
      </c>
      <c r="AB38" s="39">
        <f>AA38*Products!$E$42*Z38</f>
        <v/>
      </c>
      <c r="AC38" s="39">
        <f>AA38-AB38</f>
        <v/>
      </c>
      <c r="AD38" s="39">
        <f>(1-Z38)*MAX(0,Products!$E$16-$A38)*(Products!$E$33-Products!$E$35/Products!$E$16)</f>
        <v/>
      </c>
      <c r="AE38" s="40">
        <f>IF($A38&lt;=Products!$E$16,Z38,0)</f>
        <v/>
      </c>
      <c r="AF38" s="40">
        <f>IF(AND($A38&gt;=1,$A38&lt;=Products!$E$16),Z37-Z38,0)</f>
        <v/>
      </c>
      <c r="AG38" s="39">
        <f>IF(AND($A38-Inputs!$C$31&gt;=1,$A38-Inputs!$C$31&lt;=Products!$E$16),INDEX(Curves!$AF$8:$AF$68,$A38-Inputs!$C$31+1),0)*Products!$E$27*Products!$E$28*Products!$E$13</f>
        <v/>
      </c>
      <c r="AH38" s="39">
        <f>IF($A38=Inputs!$C$33,Products!$E$30*Inputs!$C$10*Inputs!$C$32,0)</f>
        <v/>
      </c>
      <c r="AI38" s="39">
        <f>AB38*(1-Inputs!$C$24)-Inputs!$C$25*AE38+AG38+AH38</f>
        <v/>
      </c>
      <c r="AJ38" s="39">
        <f>AJ37+AI38</f>
        <v/>
      </c>
      <c r="AL38" s="40">
        <f>(1-Products!$F$41)^$A38</f>
        <v/>
      </c>
      <c r="AM38" s="39">
        <f>IF(AND($A38&gt;=1,$A38&lt;=Products!$F$16),Products!$F$33,0)</f>
        <v/>
      </c>
      <c r="AN38" s="39">
        <f>AM38*Products!$F$42*AL38</f>
        <v/>
      </c>
      <c r="AO38" s="39">
        <f>AM38-AN38</f>
        <v/>
      </c>
      <c r="AP38" s="39">
        <f>(1-AL38)*MAX(0,Products!$F$16-$A38)*(Products!$F$33-Products!$F$35/Products!$F$16)</f>
        <v/>
      </c>
      <c r="AQ38" s="40">
        <f>IF($A38&lt;=Products!$F$16,AL38,0)</f>
        <v/>
      </c>
      <c r="AR38" s="40">
        <f>IF(AND($A38&gt;=1,$A38&lt;=Products!$F$16),AL37-AL38,0)</f>
        <v/>
      </c>
      <c r="AS38" s="39">
        <f>IF(AND($A38-Inputs!$C$31&gt;=1,$A38-Inputs!$C$31&lt;=Products!$F$16),INDEX(Curves!$AR$8:$AR$68,$A38-Inputs!$C$31+1),0)*Products!$F$27*Products!$F$28*Products!$F$13</f>
        <v/>
      </c>
      <c r="AT38" s="39">
        <f>IF($A38=Inputs!$C$33,Products!$F$30*Inputs!$C$10*Inputs!$C$32,0)</f>
        <v/>
      </c>
      <c r="AU38" s="39">
        <f>AN38*(1-Inputs!$C$24)-Inputs!$C$25*AQ38+AS38+AT38</f>
        <v/>
      </c>
      <c r="AV38" s="39">
        <f>AV37+AU38</f>
        <v/>
      </c>
      <c r="AX38" s="40">
        <f>(1-Products!$G$41)^$A38</f>
        <v/>
      </c>
      <c r="AY38" s="39">
        <f>IF(AND($A38&gt;=1,$A38&lt;=Products!$G$16),Products!$G$33,0)</f>
        <v/>
      </c>
      <c r="AZ38" s="39">
        <f>AY38*Products!$G$42*AX38</f>
        <v/>
      </c>
      <c r="BA38" s="39">
        <f>AY38-AZ38</f>
        <v/>
      </c>
      <c r="BB38" s="39">
        <f>(1-AX38)*MAX(0,Products!$G$16-$A38)*(Products!$G$33-Products!$G$35/Products!$G$16)</f>
        <v/>
      </c>
      <c r="BC38" s="40">
        <f>IF($A38&lt;=Products!$G$16,AX38,0)</f>
        <v/>
      </c>
      <c r="BD38" s="40">
        <f>IF(AND($A38&gt;=1,$A38&lt;=Products!$G$16),AX37-AX38,0)</f>
        <v/>
      </c>
      <c r="BE38" s="39">
        <f>IF(AND($A38-Inputs!$C$31&gt;=1,$A38-Inputs!$C$31&lt;=Products!$G$16),INDEX(Curves!$BD$8:$BD$68,$A38-Inputs!$C$31+1),0)*Products!$G$27*Products!$G$28*Products!$G$13</f>
        <v/>
      </c>
      <c r="BF38" s="39">
        <f>IF($A38=Inputs!$C$33,Products!$G$30*Inputs!$C$10*Inputs!$C$32,0)</f>
        <v/>
      </c>
      <c r="BG38" s="39">
        <f>AZ38*(1-Inputs!$C$24)-Inputs!$C$25*BC38+BE38+BF38</f>
        <v/>
      </c>
      <c r="BH38" s="39">
        <f>BH37+BG38</f>
        <v/>
      </c>
    </row>
    <row r="39">
      <c r="A39" s="46" t="n">
        <v>31</v>
      </c>
      <c r="B39" s="40">
        <f>(1-Products!$C$41)^$A39</f>
        <v/>
      </c>
      <c r="C39" s="39">
        <f>IF(AND($A39&gt;=1,$A39&lt;=Products!$C$16),Products!$C$33,0)</f>
        <v/>
      </c>
      <c r="D39" s="39">
        <f>C39*Products!$C$42*B39</f>
        <v/>
      </c>
      <c r="E39" s="39">
        <f>C39-D39</f>
        <v/>
      </c>
      <c r="F39" s="39">
        <f>(1-B39)*MAX(0,Products!$C$16-$A39)*(Products!$C$33-Products!$C$35/Products!$C$16)</f>
        <v/>
      </c>
      <c r="G39" s="40">
        <f>IF($A39&lt;=Products!$C$16,B39,0)</f>
        <v/>
      </c>
      <c r="H39" s="40">
        <f>IF(AND($A39&gt;=1,$A39&lt;=Products!$C$16),B38-B39,0)</f>
        <v/>
      </c>
      <c r="I39" s="39">
        <f>IF(AND($A39-Inputs!$C$31&gt;=1,$A39-Inputs!$C$31&lt;=Products!$C$16),INDEX(Curves!$H$8:$H$68,$A39-Inputs!$C$31+1),0)*Products!$C$27*Products!$C$28*Products!$C$13</f>
        <v/>
      </c>
      <c r="J39" s="39">
        <f>IF($A39=Inputs!$C$33,Products!$C$30*Inputs!$C$10*Inputs!$C$32,0)</f>
        <v/>
      </c>
      <c r="K39" s="39">
        <f>D39*(1-Inputs!$C$24)-Inputs!$C$25*G39+I39+J39</f>
        <v/>
      </c>
      <c r="L39" s="39">
        <f>L38+K39</f>
        <v/>
      </c>
      <c r="N39" s="40">
        <f>(1-Products!$D$41)^$A39</f>
        <v/>
      </c>
      <c r="O39" s="39">
        <f>IF(AND($A39&gt;=1,$A39&lt;=Products!$D$16),Products!$D$33,0)</f>
        <v/>
      </c>
      <c r="P39" s="39">
        <f>O39*Products!$D$42*N39</f>
        <v/>
      </c>
      <c r="Q39" s="39">
        <f>O39-P39</f>
        <v/>
      </c>
      <c r="R39" s="39">
        <f>(1-N39)*MAX(0,Products!$D$16-$A39)*(Products!$D$33-Products!$D$35/Products!$D$16)</f>
        <v/>
      </c>
      <c r="S39" s="40">
        <f>IF($A39&lt;=Products!$D$16,N39,0)</f>
        <v/>
      </c>
      <c r="T39" s="40">
        <f>IF(AND($A39&gt;=1,$A39&lt;=Products!$D$16),N38-N39,0)</f>
        <v/>
      </c>
      <c r="U39" s="39">
        <f>IF(AND($A39-Inputs!$C$31&gt;=1,$A39-Inputs!$C$31&lt;=Products!$D$16),INDEX(Curves!$T$8:$T$68,$A39-Inputs!$C$31+1),0)*Products!$D$27*Products!$D$28*Products!$D$13</f>
        <v/>
      </c>
      <c r="V39" s="39">
        <f>IF($A39=Inputs!$C$33,Products!$D$30*Inputs!$C$10*Inputs!$C$32,0)</f>
        <v/>
      </c>
      <c r="W39" s="39">
        <f>P39*(1-Inputs!$C$24)-Inputs!$C$25*S39+U39+V39</f>
        <v/>
      </c>
      <c r="X39" s="39">
        <f>X38+W39</f>
        <v/>
      </c>
      <c r="Z39" s="40">
        <f>(1-Products!$E$41)^$A39</f>
        <v/>
      </c>
      <c r="AA39" s="39">
        <f>IF(AND($A39&gt;=1,$A39&lt;=Products!$E$16),Products!$E$33,0)</f>
        <v/>
      </c>
      <c r="AB39" s="39">
        <f>AA39*Products!$E$42*Z39</f>
        <v/>
      </c>
      <c r="AC39" s="39">
        <f>AA39-AB39</f>
        <v/>
      </c>
      <c r="AD39" s="39">
        <f>(1-Z39)*MAX(0,Products!$E$16-$A39)*(Products!$E$33-Products!$E$35/Products!$E$16)</f>
        <v/>
      </c>
      <c r="AE39" s="40">
        <f>IF($A39&lt;=Products!$E$16,Z39,0)</f>
        <v/>
      </c>
      <c r="AF39" s="40">
        <f>IF(AND($A39&gt;=1,$A39&lt;=Products!$E$16),Z38-Z39,0)</f>
        <v/>
      </c>
      <c r="AG39" s="39">
        <f>IF(AND($A39-Inputs!$C$31&gt;=1,$A39-Inputs!$C$31&lt;=Products!$E$16),INDEX(Curves!$AF$8:$AF$68,$A39-Inputs!$C$31+1),0)*Products!$E$27*Products!$E$28*Products!$E$13</f>
        <v/>
      </c>
      <c r="AH39" s="39">
        <f>IF($A39=Inputs!$C$33,Products!$E$30*Inputs!$C$10*Inputs!$C$32,0)</f>
        <v/>
      </c>
      <c r="AI39" s="39">
        <f>AB39*(1-Inputs!$C$24)-Inputs!$C$25*AE39+AG39+AH39</f>
        <v/>
      </c>
      <c r="AJ39" s="39">
        <f>AJ38+AI39</f>
        <v/>
      </c>
      <c r="AL39" s="40">
        <f>(1-Products!$F$41)^$A39</f>
        <v/>
      </c>
      <c r="AM39" s="39">
        <f>IF(AND($A39&gt;=1,$A39&lt;=Products!$F$16),Products!$F$33,0)</f>
        <v/>
      </c>
      <c r="AN39" s="39">
        <f>AM39*Products!$F$42*AL39</f>
        <v/>
      </c>
      <c r="AO39" s="39">
        <f>AM39-AN39</f>
        <v/>
      </c>
      <c r="AP39" s="39">
        <f>(1-AL39)*MAX(0,Products!$F$16-$A39)*(Products!$F$33-Products!$F$35/Products!$F$16)</f>
        <v/>
      </c>
      <c r="AQ39" s="40">
        <f>IF($A39&lt;=Products!$F$16,AL39,0)</f>
        <v/>
      </c>
      <c r="AR39" s="40">
        <f>IF(AND($A39&gt;=1,$A39&lt;=Products!$F$16),AL38-AL39,0)</f>
        <v/>
      </c>
      <c r="AS39" s="39">
        <f>IF(AND($A39-Inputs!$C$31&gt;=1,$A39-Inputs!$C$31&lt;=Products!$F$16),INDEX(Curves!$AR$8:$AR$68,$A39-Inputs!$C$31+1),0)*Products!$F$27*Products!$F$28*Products!$F$13</f>
        <v/>
      </c>
      <c r="AT39" s="39">
        <f>IF($A39=Inputs!$C$33,Products!$F$30*Inputs!$C$10*Inputs!$C$32,0)</f>
        <v/>
      </c>
      <c r="AU39" s="39">
        <f>AN39*(1-Inputs!$C$24)-Inputs!$C$25*AQ39+AS39+AT39</f>
        <v/>
      </c>
      <c r="AV39" s="39">
        <f>AV38+AU39</f>
        <v/>
      </c>
      <c r="AX39" s="40">
        <f>(1-Products!$G$41)^$A39</f>
        <v/>
      </c>
      <c r="AY39" s="39">
        <f>IF(AND($A39&gt;=1,$A39&lt;=Products!$G$16),Products!$G$33,0)</f>
        <v/>
      </c>
      <c r="AZ39" s="39">
        <f>AY39*Products!$G$42*AX39</f>
        <v/>
      </c>
      <c r="BA39" s="39">
        <f>AY39-AZ39</f>
        <v/>
      </c>
      <c r="BB39" s="39">
        <f>(1-AX39)*MAX(0,Products!$G$16-$A39)*(Products!$G$33-Products!$G$35/Products!$G$16)</f>
        <v/>
      </c>
      <c r="BC39" s="40">
        <f>IF($A39&lt;=Products!$G$16,AX39,0)</f>
        <v/>
      </c>
      <c r="BD39" s="40">
        <f>IF(AND($A39&gt;=1,$A39&lt;=Products!$G$16),AX38-AX39,0)</f>
        <v/>
      </c>
      <c r="BE39" s="39">
        <f>IF(AND($A39-Inputs!$C$31&gt;=1,$A39-Inputs!$C$31&lt;=Products!$G$16),INDEX(Curves!$BD$8:$BD$68,$A39-Inputs!$C$31+1),0)*Products!$G$27*Products!$G$28*Products!$G$13</f>
        <v/>
      </c>
      <c r="BF39" s="39">
        <f>IF($A39=Inputs!$C$33,Products!$G$30*Inputs!$C$10*Inputs!$C$32,0)</f>
        <v/>
      </c>
      <c r="BG39" s="39">
        <f>AZ39*(1-Inputs!$C$24)-Inputs!$C$25*BC39+BE39+BF39</f>
        <v/>
      </c>
      <c r="BH39" s="39">
        <f>BH38+BG39</f>
        <v/>
      </c>
    </row>
    <row r="40">
      <c r="A40" s="46" t="n">
        <v>32</v>
      </c>
      <c r="B40" s="40">
        <f>(1-Products!$C$41)^$A40</f>
        <v/>
      </c>
      <c r="C40" s="39">
        <f>IF(AND($A40&gt;=1,$A40&lt;=Products!$C$16),Products!$C$33,0)</f>
        <v/>
      </c>
      <c r="D40" s="39">
        <f>C40*Products!$C$42*B40</f>
        <v/>
      </c>
      <c r="E40" s="39">
        <f>C40-D40</f>
        <v/>
      </c>
      <c r="F40" s="39">
        <f>(1-B40)*MAX(0,Products!$C$16-$A40)*(Products!$C$33-Products!$C$35/Products!$C$16)</f>
        <v/>
      </c>
      <c r="G40" s="40">
        <f>IF($A40&lt;=Products!$C$16,B40,0)</f>
        <v/>
      </c>
      <c r="H40" s="40">
        <f>IF(AND($A40&gt;=1,$A40&lt;=Products!$C$16),B39-B40,0)</f>
        <v/>
      </c>
      <c r="I40" s="39">
        <f>IF(AND($A40-Inputs!$C$31&gt;=1,$A40-Inputs!$C$31&lt;=Products!$C$16),INDEX(Curves!$H$8:$H$68,$A40-Inputs!$C$31+1),0)*Products!$C$27*Products!$C$28*Products!$C$13</f>
        <v/>
      </c>
      <c r="J40" s="39">
        <f>IF($A40=Inputs!$C$33,Products!$C$30*Inputs!$C$10*Inputs!$C$32,0)</f>
        <v/>
      </c>
      <c r="K40" s="39">
        <f>D40*(1-Inputs!$C$24)-Inputs!$C$25*G40+I40+J40</f>
        <v/>
      </c>
      <c r="L40" s="39">
        <f>L39+K40</f>
        <v/>
      </c>
      <c r="N40" s="40">
        <f>(1-Products!$D$41)^$A40</f>
        <v/>
      </c>
      <c r="O40" s="39">
        <f>IF(AND($A40&gt;=1,$A40&lt;=Products!$D$16),Products!$D$33,0)</f>
        <v/>
      </c>
      <c r="P40" s="39">
        <f>O40*Products!$D$42*N40</f>
        <v/>
      </c>
      <c r="Q40" s="39">
        <f>O40-P40</f>
        <v/>
      </c>
      <c r="R40" s="39">
        <f>(1-N40)*MAX(0,Products!$D$16-$A40)*(Products!$D$33-Products!$D$35/Products!$D$16)</f>
        <v/>
      </c>
      <c r="S40" s="40">
        <f>IF($A40&lt;=Products!$D$16,N40,0)</f>
        <v/>
      </c>
      <c r="T40" s="40">
        <f>IF(AND($A40&gt;=1,$A40&lt;=Products!$D$16),N39-N40,0)</f>
        <v/>
      </c>
      <c r="U40" s="39">
        <f>IF(AND($A40-Inputs!$C$31&gt;=1,$A40-Inputs!$C$31&lt;=Products!$D$16),INDEX(Curves!$T$8:$T$68,$A40-Inputs!$C$31+1),0)*Products!$D$27*Products!$D$28*Products!$D$13</f>
        <v/>
      </c>
      <c r="V40" s="39">
        <f>IF($A40=Inputs!$C$33,Products!$D$30*Inputs!$C$10*Inputs!$C$32,0)</f>
        <v/>
      </c>
      <c r="W40" s="39">
        <f>P40*(1-Inputs!$C$24)-Inputs!$C$25*S40+U40+V40</f>
        <v/>
      </c>
      <c r="X40" s="39">
        <f>X39+W40</f>
        <v/>
      </c>
      <c r="Z40" s="40">
        <f>(1-Products!$E$41)^$A40</f>
        <v/>
      </c>
      <c r="AA40" s="39">
        <f>IF(AND($A40&gt;=1,$A40&lt;=Products!$E$16),Products!$E$33,0)</f>
        <v/>
      </c>
      <c r="AB40" s="39">
        <f>AA40*Products!$E$42*Z40</f>
        <v/>
      </c>
      <c r="AC40" s="39">
        <f>AA40-AB40</f>
        <v/>
      </c>
      <c r="AD40" s="39">
        <f>(1-Z40)*MAX(0,Products!$E$16-$A40)*(Products!$E$33-Products!$E$35/Products!$E$16)</f>
        <v/>
      </c>
      <c r="AE40" s="40">
        <f>IF($A40&lt;=Products!$E$16,Z40,0)</f>
        <v/>
      </c>
      <c r="AF40" s="40">
        <f>IF(AND($A40&gt;=1,$A40&lt;=Products!$E$16),Z39-Z40,0)</f>
        <v/>
      </c>
      <c r="AG40" s="39">
        <f>IF(AND($A40-Inputs!$C$31&gt;=1,$A40-Inputs!$C$31&lt;=Products!$E$16),INDEX(Curves!$AF$8:$AF$68,$A40-Inputs!$C$31+1),0)*Products!$E$27*Products!$E$28*Products!$E$13</f>
        <v/>
      </c>
      <c r="AH40" s="39">
        <f>IF($A40=Inputs!$C$33,Products!$E$30*Inputs!$C$10*Inputs!$C$32,0)</f>
        <v/>
      </c>
      <c r="AI40" s="39">
        <f>AB40*(1-Inputs!$C$24)-Inputs!$C$25*AE40+AG40+AH40</f>
        <v/>
      </c>
      <c r="AJ40" s="39">
        <f>AJ39+AI40</f>
        <v/>
      </c>
      <c r="AL40" s="40">
        <f>(1-Products!$F$41)^$A40</f>
        <v/>
      </c>
      <c r="AM40" s="39">
        <f>IF(AND($A40&gt;=1,$A40&lt;=Products!$F$16),Products!$F$33,0)</f>
        <v/>
      </c>
      <c r="AN40" s="39">
        <f>AM40*Products!$F$42*AL40</f>
        <v/>
      </c>
      <c r="AO40" s="39">
        <f>AM40-AN40</f>
        <v/>
      </c>
      <c r="AP40" s="39">
        <f>(1-AL40)*MAX(0,Products!$F$16-$A40)*(Products!$F$33-Products!$F$35/Products!$F$16)</f>
        <v/>
      </c>
      <c r="AQ40" s="40">
        <f>IF($A40&lt;=Products!$F$16,AL40,0)</f>
        <v/>
      </c>
      <c r="AR40" s="40">
        <f>IF(AND($A40&gt;=1,$A40&lt;=Products!$F$16),AL39-AL40,0)</f>
        <v/>
      </c>
      <c r="AS40" s="39">
        <f>IF(AND($A40-Inputs!$C$31&gt;=1,$A40-Inputs!$C$31&lt;=Products!$F$16),INDEX(Curves!$AR$8:$AR$68,$A40-Inputs!$C$31+1),0)*Products!$F$27*Products!$F$28*Products!$F$13</f>
        <v/>
      </c>
      <c r="AT40" s="39">
        <f>IF($A40=Inputs!$C$33,Products!$F$30*Inputs!$C$10*Inputs!$C$32,0)</f>
        <v/>
      </c>
      <c r="AU40" s="39">
        <f>AN40*(1-Inputs!$C$24)-Inputs!$C$25*AQ40+AS40+AT40</f>
        <v/>
      </c>
      <c r="AV40" s="39">
        <f>AV39+AU40</f>
        <v/>
      </c>
      <c r="AX40" s="40">
        <f>(1-Products!$G$41)^$A40</f>
        <v/>
      </c>
      <c r="AY40" s="39">
        <f>IF(AND($A40&gt;=1,$A40&lt;=Products!$G$16),Products!$G$33,0)</f>
        <v/>
      </c>
      <c r="AZ40" s="39">
        <f>AY40*Products!$G$42*AX40</f>
        <v/>
      </c>
      <c r="BA40" s="39">
        <f>AY40-AZ40</f>
        <v/>
      </c>
      <c r="BB40" s="39">
        <f>(1-AX40)*MAX(0,Products!$G$16-$A40)*(Products!$G$33-Products!$G$35/Products!$G$16)</f>
        <v/>
      </c>
      <c r="BC40" s="40">
        <f>IF($A40&lt;=Products!$G$16,AX40,0)</f>
        <v/>
      </c>
      <c r="BD40" s="40">
        <f>IF(AND($A40&gt;=1,$A40&lt;=Products!$G$16),AX39-AX40,0)</f>
        <v/>
      </c>
      <c r="BE40" s="39">
        <f>IF(AND($A40-Inputs!$C$31&gt;=1,$A40-Inputs!$C$31&lt;=Products!$G$16),INDEX(Curves!$BD$8:$BD$68,$A40-Inputs!$C$31+1),0)*Products!$G$27*Products!$G$28*Products!$G$13</f>
        <v/>
      </c>
      <c r="BF40" s="39">
        <f>IF($A40=Inputs!$C$33,Products!$G$30*Inputs!$C$10*Inputs!$C$32,0)</f>
        <v/>
      </c>
      <c r="BG40" s="39">
        <f>AZ40*(1-Inputs!$C$24)-Inputs!$C$25*BC40+BE40+BF40</f>
        <v/>
      </c>
      <c r="BH40" s="39">
        <f>BH39+BG40</f>
        <v/>
      </c>
    </row>
    <row r="41">
      <c r="A41" s="46" t="n">
        <v>33</v>
      </c>
      <c r="B41" s="40">
        <f>(1-Products!$C$41)^$A41</f>
        <v/>
      </c>
      <c r="C41" s="39">
        <f>IF(AND($A41&gt;=1,$A41&lt;=Products!$C$16),Products!$C$33,0)</f>
        <v/>
      </c>
      <c r="D41" s="39">
        <f>C41*Products!$C$42*B41</f>
        <v/>
      </c>
      <c r="E41" s="39">
        <f>C41-D41</f>
        <v/>
      </c>
      <c r="F41" s="39">
        <f>(1-B41)*MAX(0,Products!$C$16-$A41)*(Products!$C$33-Products!$C$35/Products!$C$16)</f>
        <v/>
      </c>
      <c r="G41" s="40">
        <f>IF($A41&lt;=Products!$C$16,B41,0)</f>
        <v/>
      </c>
      <c r="H41" s="40">
        <f>IF(AND($A41&gt;=1,$A41&lt;=Products!$C$16),B40-B41,0)</f>
        <v/>
      </c>
      <c r="I41" s="39">
        <f>IF(AND($A41-Inputs!$C$31&gt;=1,$A41-Inputs!$C$31&lt;=Products!$C$16),INDEX(Curves!$H$8:$H$68,$A41-Inputs!$C$31+1),0)*Products!$C$27*Products!$C$28*Products!$C$13</f>
        <v/>
      </c>
      <c r="J41" s="39">
        <f>IF($A41=Inputs!$C$33,Products!$C$30*Inputs!$C$10*Inputs!$C$32,0)</f>
        <v/>
      </c>
      <c r="K41" s="39">
        <f>D41*(1-Inputs!$C$24)-Inputs!$C$25*G41+I41+J41</f>
        <v/>
      </c>
      <c r="L41" s="39">
        <f>L40+K41</f>
        <v/>
      </c>
      <c r="N41" s="40">
        <f>(1-Products!$D$41)^$A41</f>
        <v/>
      </c>
      <c r="O41" s="39">
        <f>IF(AND($A41&gt;=1,$A41&lt;=Products!$D$16),Products!$D$33,0)</f>
        <v/>
      </c>
      <c r="P41" s="39">
        <f>O41*Products!$D$42*N41</f>
        <v/>
      </c>
      <c r="Q41" s="39">
        <f>O41-P41</f>
        <v/>
      </c>
      <c r="R41" s="39">
        <f>(1-N41)*MAX(0,Products!$D$16-$A41)*(Products!$D$33-Products!$D$35/Products!$D$16)</f>
        <v/>
      </c>
      <c r="S41" s="40">
        <f>IF($A41&lt;=Products!$D$16,N41,0)</f>
        <v/>
      </c>
      <c r="T41" s="40">
        <f>IF(AND($A41&gt;=1,$A41&lt;=Products!$D$16),N40-N41,0)</f>
        <v/>
      </c>
      <c r="U41" s="39">
        <f>IF(AND($A41-Inputs!$C$31&gt;=1,$A41-Inputs!$C$31&lt;=Products!$D$16),INDEX(Curves!$T$8:$T$68,$A41-Inputs!$C$31+1),0)*Products!$D$27*Products!$D$28*Products!$D$13</f>
        <v/>
      </c>
      <c r="V41" s="39">
        <f>IF($A41=Inputs!$C$33,Products!$D$30*Inputs!$C$10*Inputs!$C$32,0)</f>
        <v/>
      </c>
      <c r="W41" s="39">
        <f>P41*(1-Inputs!$C$24)-Inputs!$C$25*S41+U41+V41</f>
        <v/>
      </c>
      <c r="X41" s="39">
        <f>X40+W41</f>
        <v/>
      </c>
      <c r="Z41" s="40">
        <f>(1-Products!$E$41)^$A41</f>
        <v/>
      </c>
      <c r="AA41" s="39">
        <f>IF(AND($A41&gt;=1,$A41&lt;=Products!$E$16),Products!$E$33,0)</f>
        <v/>
      </c>
      <c r="AB41" s="39">
        <f>AA41*Products!$E$42*Z41</f>
        <v/>
      </c>
      <c r="AC41" s="39">
        <f>AA41-AB41</f>
        <v/>
      </c>
      <c r="AD41" s="39">
        <f>(1-Z41)*MAX(0,Products!$E$16-$A41)*(Products!$E$33-Products!$E$35/Products!$E$16)</f>
        <v/>
      </c>
      <c r="AE41" s="40">
        <f>IF($A41&lt;=Products!$E$16,Z41,0)</f>
        <v/>
      </c>
      <c r="AF41" s="40">
        <f>IF(AND($A41&gt;=1,$A41&lt;=Products!$E$16),Z40-Z41,0)</f>
        <v/>
      </c>
      <c r="AG41" s="39">
        <f>IF(AND($A41-Inputs!$C$31&gt;=1,$A41-Inputs!$C$31&lt;=Products!$E$16),INDEX(Curves!$AF$8:$AF$68,$A41-Inputs!$C$31+1),0)*Products!$E$27*Products!$E$28*Products!$E$13</f>
        <v/>
      </c>
      <c r="AH41" s="39">
        <f>IF($A41=Inputs!$C$33,Products!$E$30*Inputs!$C$10*Inputs!$C$32,0)</f>
        <v/>
      </c>
      <c r="AI41" s="39">
        <f>AB41*(1-Inputs!$C$24)-Inputs!$C$25*AE41+AG41+AH41</f>
        <v/>
      </c>
      <c r="AJ41" s="39">
        <f>AJ40+AI41</f>
        <v/>
      </c>
      <c r="AL41" s="40">
        <f>(1-Products!$F$41)^$A41</f>
        <v/>
      </c>
      <c r="AM41" s="39">
        <f>IF(AND($A41&gt;=1,$A41&lt;=Products!$F$16),Products!$F$33,0)</f>
        <v/>
      </c>
      <c r="AN41" s="39">
        <f>AM41*Products!$F$42*AL41</f>
        <v/>
      </c>
      <c r="AO41" s="39">
        <f>AM41-AN41</f>
        <v/>
      </c>
      <c r="AP41" s="39">
        <f>(1-AL41)*MAX(0,Products!$F$16-$A41)*(Products!$F$33-Products!$F$35/Products!$F$16)</f>
        <v/>
      </c>
      <c r="AQ41" s="40">
        <f>IF($A41&lt;=Products!$F$16,AL41,0)</f>
        <v/>
      </c>
      <c r="AR41" s="40">
        <f>IF(AND($A41&gt;=1,$A41&lt;=Products!$F$16),AL40-AL41,0)</f>
        <v/>
      </c>
      <c r="AS41" s="39">
        <f>IF(AND($A41-Inputs!$C$31&gt;=1,$A41-Inputs!$C$31&lt;=Products!$F$16),INDEX(Curves!$AR$8:$AR$68,$A41-Inputs!$C$31+1),0)*Products!$F$27*Products!$F$28*Products!$F$13</f>
        <v/>
      </c>
      <c r="AT41" s="39">
        <f>IF($A41=Inputs!$C$33,Products!$F$30*Inputs!$C$10*Inputs!$C$32,0)</f>
        <v/>
      </c>
      <c r="AU41" s="39">
        <f>AN41*(1-Inputs!$C$24)-Inputs!$C$25*AQ41+AS41+AT41</f>
        <v/>
      </c>
      <c r="AV41" s="39">
        <f>AV40+AU41</f>
        <v/>
      </c>
      <c r="AX41" s="40">
        <f>(1-Products!$G$41)^$A41</f>
        <v/>
      </c>
      <c r="AY41" s="39">
        <f>IF(AND($A41&gt;=1,$A41&lt;=Products!$G$16),Products!$G$33,0)</f>
        <v/>
      </c>
      <c r="AZ41" s="39">
        <f>AY41*Products!$G$42*AX41</f>
        <v/>
      </c>
      <c r="BA41" s="39">
        <f>AY41-AZ41</f>
        <v/>
      </c>
      <c r="BB41" s="39">
        <f>(1-AX41)*MAX(0,Products!$G$16-$A41)*(Products!$G$33-Products!$G$35/Products!$G$16)</f>
        <v/>
      </c>
      <c r="BC41" s="40">
        <f>IF($A41&lt;=Products!$G$16,AX41,0)</f>
        <v/>
      </c>
      <c r="BD41" s="40">
        <f>IF(AND($A41&gt;=1,$A41&lt;=Products!$G$16),AX40-AX41,0)</f>
        <v/>
      </c>
      <c r="BE41" s="39">
        <f>IF(AND($A41-Inputs!$C$31&gt;=1,$A41-Inputs!$C$31&lt;=Products!$G$16),INDEX(Curves!$BD$8:$BD$68,$A41-Inputs!$C$31+1),0)*Products!$G$27*Products!$G$28*Products!$G$13</f>
        <v/>
      </c>
      <c r="BF41" s="39">
        <f>IF($A41=Inputs!$C$33,Products!$G$30*Inputs!$C$10*Inputs!$C$32,0)</f>
        <v/>
      </c>
      <c r="BG41" s="39">
        <f>AZ41*(1-Inputs!$C$24)-Inputs!$C$25*BC41+BE41+BF41</f>
        <v/>
      </c>
      <c r="BH41" s="39">
        <f>BH40+BG41</f>
        <v/>
      </c>
    </row>
    <row r="42">
      <c r="A42" s="46" t="n">
        <v>34</v>
      </c>
      <c r="B42" s="40">
        <f>(1-Products!$C$41)^$A42</f>
        <v/>
      </c>
      <c r="C42" s="39">
        <f>IF(AND($A42&gt;=1,$A42&lt;=Products!$C$16),Products!$C$33,0)</f>
        <v/>
      </c>
      <c r="D42" s="39">
        <f>C42*Products!$C$42*B42</f>
        <v/>
      </c>
      <c r="E42" s="39">
        <f>C42-D42</f>
        <v/>
      </c>
      <c r="F42" s="39">
        <f>(1-B42)*MAX(0,Products!$C$16-$A42)*(Products!$C$33-Products!$C$35/Products!$C$16)</f>
        <v/>
      </c>
      <c r="G42" s="40">
        <f>IF($A42&lt;=Products!$C$16,B42,0)</f>
        <v/>
      </c>
      <c r="H42" s="40">
        <f>IF(AND($A42&gt;=1,$A42&lt;=Products!$C$16),B41-B42,0)</f>
        <v/>
      </c>
      <c r="I42" s="39">
        <f>IF(AND($A42-Inputs!$C$31&gt;=1,$A42-Inputs!$C$31&lt;=Products!$C$16),INDEX(Curves!$H$8:$H$68,$A42-Inputs!$C$31+1),0)*Products!$C$27*Products!$C$28*Products!$C$13</f>
        <v/>
      </c>
      <c r="J42" s="39">
        <f>IF($A42=Inputs!$C$33,Products!$C$30*Inputs!$C$10*Inputs!$C$32,0)</f>
        <v/>
      </c>
      <c r="K42" s="39">
        <f>D42*(1-Inputs!$C$24)-Inputs!$C$25*G42+I42+J42</f>
        <v/>
      </c>
      <c r="L42" s="39">
        <f>L41+K42</f>
        <v/>
      </c>
      <c r="N42" s="40">
        <f>(1-Products!$D$41)^$A42</f>
        <v/>
      </c>
      <c r="O42" s="39">
        <f>IF(AND($A42&gt;=1,$A42&lt;=Products!$D$16),Products!$D$33,0)</f>
        <v/>
      </c>
      <c r="P42" s="39">
        <f>O42*Products!$D$42*N42</f>
        <v/>
      </c>
      <c r="Q42" s="39">
        <f>O42-P42</f>
        <v/>
      </c>
      <c r="R42" s="39">
        <f>(1-N42)*MAX(0,Products!$D$16-$A42)*(Products!$D$33-Products!$D$35/Products!$D$16)</f>
        <v/>
      </c>
      <c r="S42" s="40">
        <f>IF($A42&lt;=Products!$D$16,N42,0)</f>
        <v/>
      </c>
      <c r="T42" s="40">
        <f>IF(AND($A42&gt;=1,$A42&lt;=Products!$D$16),N41-N42,0)</f>
        <v/>
      </c>
      <c r="U42" s="39">
        <f>IF(AND($A42-Inputs!$C$31&gt;=1,$A42-Inputs!$C$31&lt;=Products!$D$16),INDEX(Curves!$T$8:$T$68,$A42-Inputs!$C$31+1),0)*Products!$D$27*Products!$D$28*Products!$D$13</f>
        <v/>
      </c>
      <c r="V42" s="39">
        <f>IF($A42=Inputs!$C$33,Products!$D$30*Inputs!$C$10*Inputs!$C$32,0)</f>
        <v/>
      </c>
      <c r="W42" s="39">
        <f>P42*(1-Inputs!$C$24)-Inputs!$C$25*S42+U42+V42</f>
        <v/>
      </c>
      <c r="X42" s="39">
        <f>X41+W42</f>
        <v/>
      </c>
      <c r="Z42" s="40">
        <f>(1-Products!$E$41)^$A42</f>
        <v/>
      </c>
      <c r="AA42" s="39">
        <f>IF(AND($A42&gt;=1,$A42&lt;=Products!$E$16),Products!$E$33,0)</f>
        <v/>
      </c>
      <c r="AB42" s="39">
        <f>AA42*Products!$E$42*Z42</f>
        <v/>
      </c>
      <c r="AC42" s="39">
        <f>AA42-AB42</f>
        <v/>
      </c>
      <c r="AD42" s="39">
        <f>(1-Z42)*MAX(0,Products!$E$16-$A42)*(Products!$E$33-Products!$E$35/Products!$E$16)</f>
        <v/>
      </c>
      <c r="AE42" s="40">
        <f>IF($A42&lt;=Products!$E$16,Z42,0)</f>
        <v/>
      </c>
      <c r="AF42" s="40">
        <f>IF(AND($A42&gt;=1,$A42&lt;=Products!$E$16),Z41-Z42,0)</f>
        <v/>
      </c>
      <c r="AG42" s="39">
        <f>IF(AND($A42-Inputs!$C$31&gt;=1,$A42-Inputs!$C$31&lt;=Products!$E$16),INDEX(Curves!$AF$8:$AF$68,$A42-Inputs!$C$31+1),0)*Products!$E$27*Products!$E$28*Products!$E$13</f>
        <v/>
      </c>
      <c r="AH42" s="39">
        <f>IF($A42=Inputs!$C$33,Products!$E$30*Inputs!$C$10*Inputs!$C$32,0)</f>
        <v/>
      </c>
      <c r="AI42" s="39">
        <f>AB42*(1-Inputs!$C$24)-Inputs!$C$25*AE42+AG42+AH42</f>
        <v/>
      </c>
      <c r="AJ42" s="39">
        <f>AJ41+AI42</f>
        <v/>
      </c>
      <c r="AL42" s="40">
        <f>(1-Products!$F$41)^$A42</f>
        <v/>
      </c>
      <c r="AM42" s="39">
        <f>IF(AND($A42&gt;=1,$A42&lt;=Products!$F$16),Products!$F$33,0)</f>
        <v/>
      </c>
      <c r="AN42" s="39">
        <f>AM42*Products!$F$42*AL42</f>
        <v/>
      </c>
      <c r="AO42" s="39">
        <f>AM42-AN42</f>
        <v/>
      </c>
      <c r="AP42" s="39">
        <f>(1-AL42)*MAX(0,Products!$F$16-$A42)*(Products!$F$33-Products!$F$35/Products!$F$16)</f>
        <v/>
      </c>
      <c r="AQ42" s="40">
        <f>IF($A42&lt;=Products!$F$16,AL42,0)</f>
        <v/>
      </c>
      <c r="AR42" s="40">
        <f>IF(AND($A42&gt;=1,$A42&lt;=Products!$F$16),AL41-AL42,0)</f>
        <v/>
      </c>
      <c r="AS42" s="39">
        <f>IF(AND($A42-Inputs!$C$31&gt;=1,$A42-Inputs!$C$31&lt;=Products!$F$16),INDEX(Curves!$AR$8:$AR$68,$A42-Inputs!$C$31+1),0)*Products!$F$27*Products!$F$28*Products!$F$13</f>
        <v/>
      </c>
      <c r="AT42" s="39">
        <f>IF($A42=Inputs!$C$33,Products!$F$30*Inputs!$C$10*Inputs!$C$32,0)</f>
        <v/>
      </c>
      <c r="AU42" s="39">
        <f>AN42*(1-Inputs!$C$24)-Inputs!$C$25*AQ42+AS42+AT42</f>
        <v/>
      </c>
      <c r="AV42" s="39">
        <f>AV41+AU42</f>
        <v/>
      </c>
      <c r="AX42" s="40">
        <f>(1-Products!$G$41)^$A42</f>
        <v/>
      </c>
      <c r="AY42" s="39">
        <f>IF(AND($A42&gt;=1,$A42&lt;=Products!$G$16),Products!$G$33,0)</f>
        <v/>
      </c>
      <c r="AZ42" s="39">
        <f>AY42*Products!$G$42*AX42</f>
        <v/>
      </c>
      <c r="BA42" s="39">
        <f>AY42-AZ42</f>
        <v/>
      </c>
      <c r="BB42" s="39">
        <f>(1-AX42)*MAX(0,Products!$G$16-$A42)*(Products!$G$33-Products!$G$35/Products!$G$16)</f>
        <v/>
      </c>
      <c r="BC42" s="40">
        <f>IF($A42&lt;=Products!$G$16,AX42,0)</f>
        <v/>
      </c>
      <c r="BD42" s="40">
        <f>IF(AND($A42&gt;=1,$A42&lt;=Products!$G$16),AX41-AX42,0)</f>
        <v/>
      </c>
      <c r="BE42" s="39">
        <f>IF(AND($A42-Inputs!$C$31&gt;=1,$A42-Inputs!$C$31&lt;=Products!$G$16),INDEX(Curves!$BD$8:$BD$68,$A42-Inputs!$C$31+1),0)*Products!$G$27*Products!$G$28*Products!$G$13</f>
        <v/>
      </c>
      <c r="BF42" s="39">
        <f>IF($A42=Inputs!$C$33,Products!$G$30*Inputs!$C$10*Inputs!$C$32,0)</f>
        <v/>
      </c>
      <c r="BG42" s="39">
        <f>AZ42*(1-Inputs!$C$24)-Inputs!$C$25*BC42+BE42+BF42</f>
        <v/>
      </c>
      <c r="BH42" s="39">
        <f>BH41+BG42</f>
        <v/>
      </c>
    </row>
    <row r="43">
      <c r="A43" s="46" t="n">
        <v>35</v>
      </c>
      <c r="B43" s="40">
        <f>(1-Products!$C$41)^$A43</f>
        <v/>
      </c>
      <c r="C43" s="39">
        <f>IF(AND($A43&gt;=1,$A43&lt;=Products!$C$16),Products!$C$33,0)</f>
        <v/>
      </c>
      <c r="D43" s="39">
        <f>C43*Products!$C$42*B43</f>
        <v/>
      </c>
      <c r="E43" s="39">
        <f>C43-D43</f>
        <v/>
      </c>
      <c r="F43" s="39">
        <f>(1-B43)*MAX(0,Products!$C$16-$A43)*(Products!$C$33-Products!$C$35/Products!$C$16)</f>
        <v/>
      </c>
      <c r="G43" s="40">
        <f>IF($A43&lt;=Products!$C$16,B43,0)</f>
        <v/>
      </c>
      <c r="H43" s="40">
        <f>IF(AND($A43&gt;=1,$A43&lt;=Products!$C$16),B42-B43,0)</f>
        <v/>
      </c>
      <c r="I43" s="39">
        <f>IF(AND($A43-Inputs!$C$31&gt;=1,$A43-Inputs!$C$31&lt;=Products!$C$16),INDEX(Curves!$H$8:$H$68,$A43-Inputs!$C$31+1),0)*Products!$C$27*Products!$C$28*Products!$C$13</f>
        <v/>
      </c>
      <c r="J43" s="39">
        <f>IF($A43=Inputs!$C$33,Products!$C$30*Inputs!$C$10*Inputs!$C$32,0)</f>
        <v/>
      </c>
      <c r="K43" s="39">
        <f>D43*(1-Inputs!$C$24)-Inputs!$C$25*G43+I43+J43</f>
        <v/>
      </c>
      <c r="L43" s="39">
        <f>L42+K43</f>
        <v/>
      </c>
      <c r="N43" s="40">
        <f>(1-Products!$D$41)^$A43</f>
        <v/>
      </c>
      <c r="O43" s="39">
        <f>IF(AND($A43&gt;=1,$A43&lt;=Products!$D$16),Products!$D$33,0)</f>
        <v/>
      </c>
      <c r="P43" s="39">
        <f>O43*Products!$D$42*N43</f>
        <v/>
      </c>
      <c r="Q43" s="39">
        <f>O43-P43</f>
        <v/>
      </c>
      <c r="R43" s="39">
        <f>(1-N43)*MAX(0,Products!$D$16-$A43)*(Products!$D$33-Products!$D$35/Products!$D$16)</f>
        <v/>
      </c>
      <c r="S43" s="40">
        <f>IF($A43&lt;=Products!$D$16,N43,0)</f>
        <v/>
      </c>
      <c r="T43" s="40">
        <f>IF(AND($A43&gt;=1,$A43&lt;=Products!$D$16),N42-N43,0)</f>
        <v/>
      </c>
      <c r="U43" s="39">
        <f>IF(AND($A43-Inputs!$C$31&gt;=1,$A43-Inputs!$C$31&lt;=Products!$D$16),INDEX(Curves!$T$8:$T$68,$A43-Inputs!$C$31+1),0)*Products!$D$27*Products!$D$28*Products!$D$13</f>
        <v/>
      </c>
      <c r="V43" s="39">
        <f>IF($A43=Inputs!$C$33,Products!$D$30*Inputs!$C$10*Inputs!$C$32,0)</f>
        <v/>
      </c>
      <c r="W43" s="39">
        <f>P43*(1-Inputs!$C$24)-Inputs!$C$25*S43+U43+V43</f>
        <v/>
      </c>
      <c r="X43" s="39">
        <f>X42+W43</f>
        <v/>
      </c>
      <c r="Z43" s="40">
        <f>(1-Products!$E$41)^$A43</f>
        <v/>
      </c>
      <c r="AA43" s="39">
        <f>IF(AND($A43&gt;=1,$A43&lt;=Products!$E$16),Products!$E$33,0)</f>
        <v/>
      </c>
      <c r="AB43" s="39">
        <f>AA43*Products!$E$42*Z43</f>
        <v/>
      </c>
      <c r="AC43" s="39">
        <f>AA43-AB43</f>
        <v/>
      </c>
      <c r="AD43" s="39">
        <f>(1-Z43)*MAX(0,Products!$E$16-$A43)*(Products!$E$33-Products!$E$35/Products!$E$16)</f>
        <v/>
      </c>
      <c r="AE43" s="40">
        <f>IF($A43&lt;=Products!$E$16,Z43,0)</f>
        <v/>
      </c>
      <c r="AF43" s="40">
        <f>IF(AND($A43&gt;=1,$A43&lt;=Products!$E$16),Z42-Z43,0)</f>
        <v/>
      </c>
      <c r="AG43" s="39">
        <f>IF(AND($A43-Inputs!$C$31&gt;=1,$A43-Inputs!$C$31&lt;=Products!$E$16),INDEX(Curves!$AF$8:$AF$68,$A43-Inputs!$C$31+1),0)*Products!$E$27*Products!$E$28*Products!$E$13</f>
        <v/>
      </c>
      <c r="AH43" s="39">
        <f>IF($A43=Inputs!$C$33,Products!$E$30*Inputs!$C$10*Inputs!$C$32,0)</f>
        <v/>
      </c>
      <c r="AI43" s="39">
        <f>AB43*(1-Inputs!$C$24)-Inputs!$C$25*AE43+AG43+AH43</f>
        <v/>
      </c>
      <c r="AJ43" s="39">
        <f>AJ42+AI43</f>
        <v/>
      </c>
      <c r="AL43" s="40">
        <f>(1-Products!$F$41)^$A43</f>
        <v/>
      </c>
      <c r="AM43" s="39">
        <f>IF(AND($A43&gt;=1,$A43&lt;=Products!$F$16),Products!$F$33,0)</f>
        <v/>
      </c>
      <c r="AN43" s="39">
        <f>AM43*Products!$F$42*AL43</f>
        <v/>
      </c>
      <c r="AO43" s="39">
        <f>AM43-AN43</f>
        <v/>
      </c>
      <c r="AP43" s="39">
        <f>(1-AL43)*MAX(0,Products!$F$16-$A43)*(Products!$F$33-Products!$F$35/Products!$F$16)</f>
        <v/>
      </c>
      <c r="AQ43" s="40">
        <f>IF($A43&lt;=Products!$F$16,AL43,0)</f>
        <v/>
      </c>
      <c r="AR43" s="40">
        <f>IF(AND($A43&gt;=1,$A43&lt;=Products!$F$16),AL42-AL43,0)</f>
        <v/>
      </c>
      <c r="AS43" s="39">
        <f>IF(AND($A43-Inputs!$C$31&gt;=1,$A43-Inputs!$C$31&lt;=Products!$F$16),INDEX(Curves!$AR$8:$AR$68,$A43-Inputs!$C$31+1),0)*Products!$F$27*Products!$F$28*Products!$F$13</f>
        <v/>
      </c>
      <c r="AT43" s="39">
        <f>IF($A43=Inputs!$C$33,Products!$F$30*Inputs!$C$10*Inputs!$C$32,0)</f>
        <v/>
      </c>
      <c r="AU43" s="39">
        <f>AN43*(1-Inputs!$C$24)-Inputs!$C$25*AQ43+AS43+AT43</f>
        <v/>
      </c>
      <c r="AV43" s="39">
        <f>AV42+AU43</f>
        <v/>
      </c>
      <c r="AX43" s="40">
        <f>(1-Products!$G$41)^$A43</f>
        <v/>
      </c>
      <c r="AY43" s="39">
        <f>IF(AND($A43&gt;=1,$A43&lt;=Products!$G$16),Products!$G$33,0)</f>
        <v/>
      </c>
      <c r="AZ43" s="39">
        <f>AY43*Products!$G$42*AX43</f>
        <v/>
      </c>
      <c r="BA43" s="39">
        <f>AY43-AZ43</f>
        <v/>
      </c>
      <c r="BB43" s="39">
        <f>(1-AX43)*MAX(0,Products!$G$16-$A43)*(Products!$G$33-Products!$G$35/Products!$G$16)</f>
        <v/>
      </c>
      <c r="BC43" s="40">
        <f>IF($A43&lt;=Products!$G$16,AX43,0)</f>
        <v/>
      </c>
      <c r="BD43" s="40">
        <f>IF(AND($A43&gt;=1,$A43&lt;=Products!$G$16),AX42-AX43,0)</f>
        <v/>
      </c>
      <c r="BE43" s="39">
        <f>IF(AND($A43-Inputs!$C$31&gt;=1,$A43-Inputs!$C$31&lt;=Products!$G$16),INDEX(Curves!$BD$8:$BD$68,$A43-Inputs!$C$31+1),0)*Products!$G$27*Products!$G$28*Products!$G$13</f>
        <v/>
      </c>
      <c r="BF43" s="39">
        <f>IF($A43=Inputs!$C$33,Products!$G$30*Inputs!$C$10*Inputs!$C$32,0)</f>
        <v/>
      </c>
      <c r="BG43" s="39">
        <f>AZ43*(1-Inputs!$C$24)-Inputs!$C$25*BC43+BE43+BF43</f>
        <v/>
      </c>
      <c r="BH43" s="39">
        <f>BH42+BG43</f>
        <v/>
      </c>
    </row>
    <row r="44">
      <c r="A44" s="46" t="n">
        <v>36</v>
      </c>
      <c r="B44" s="40">
        <f>(1-Products!$C$41)^$A44</f>
        <v/>
      </c>
      <c r="C44" s="39">
        <f>IF(AND($A44&gt;=1,$A44&lt;=Products!$C$16),Products!$C$33,0)</f>
        <v/>
      </c>
      <c r="D44" s="39">
        <f>C44*Products!$C$42*B44</f>
        <v/>
      </c>
      <c r="E44" s="39">
        <f>C44-D44</f>
        <v/>
      </c>
      <c r="F44" s="39">
        <f>(1-B44)*MAX(0,Products!$C$16-$A44)*(Products!$C$33-Products!$C$35/Products!$C$16)</f>
        <v/>
      </c>
      <c r="G44" s="40">
        <f>IF($A44&lt;=Products!$C$16,B44,0)</f>
        <v/>
      </c>
      <c r="H44" s="40">
        <f>IF(AND($A44&gt;=1,$A44&lt;=Products!$C$16),B43-B44,0)</f>
        <v/>
      </c>
      <c r="I44" s="39">
        <f>IF(AND($A44-Inputs!$C$31&gt;=1,$A44-Inputs!$C$31&lt;=Products!$C$16),INDEX(Curves!$H$8:$H$68,$A44-Inputs!$C$31+1),0)*Products!$C$27*Products!$C$28*Products!$C$13</f>
        <v/>
      </c>
      <c r="J44" s="39">
        <f>IF($A44=Inputs!$C$33,Products!$C$30*Inputs!$C$10*Inputs!$C$32,0)</f>
        <v/>
      </c>
      <c r="K44" s="39">
        <f>D44*(1-Inputs!$C$24)-Inputs!$C$25*G44+I44+J44</f>
        <v/>
      </c>
      <c r="L44" s="39">
        <f>L43+K44</f>
        <v/>
      </c>
      <c r="N44" s="40">
        <f>(1-Products!$D$41)^$A44</f>
        <v/>
      </c>
      <c r="O44" s="39">
        <f>IF(AND($A44&gt;=1,$A44&lt;=Products!$D$16),Products!$D$33,0)</f>
        <v/>
      </c>
      <c r="P44" s="39">
        <f>O44*Products!$D$42*N44</f>
        <v/>
      </c>
      <c r="Q44" s="39">
        <f>O44-P44</f>
        <v/>
      </c>
      <c r="R44" s="39">
        <f>(1-N44)*MAX(0,Products!$D$16-$A44)*(Products!$D$33-Products!$D$35/Products!$D$16)</f>
        <v/>
      </c>
      <c r="S44" s="40">
        <f>IF($A44&lt;=Products!$D$16,N44,0)</f>
        <v/>
      </c>
      <c r="T44" s="40">
        <f>IF(AND($A44&gt;=1,$A44&lt;=Products!$D$16),N43-N44,0)</f>
        <v/>
      </c>
      <c r="U44" s="39">
        <f>IF(AND($A44-Inputs!$C$31&gt;=1,$A44-Inputs!$C$31&lt;=Products!$D$16),INDEX(Curves!$T$8:$T$68,$A44-Inputs!$C$31+1),0)*Products!$D$27*Products!$D$28*Products!$D$13</f>
        <v/>
      </c>
      <c r="V44" s="39">
        <f>IF($A44=Inputs!$C$33,Products!$D$30*Inputs!$C$10*Inputs!$C$32,0)</f>
        <v/>
      </c>
      <c r="W44" s="39">
        <f>P44*(1-Inputs!$C$24)-Inputs!$C$25*S44+U44+V44</f>
        <v/>
      </c>
      <c r="X44" s="39">
        <f>X43+W44</f>
        <v/>
      </c>
      <c r="Z44" s="40">
        <f>(1-Products!$E$41)^$A44</f>
        <v/>
      </c>
      <c r="AA44" s="39">
        <f>IF(AND($A44&gt;=1,$A44&lt;=Products!$E$16),Products!$E$33,0)</f>
        <v/>
      </c>
      <c r="AB44" s="39">
        <f>AA44*Products!$E$42*Z44</f>
        <v/>
      </c>
      <c r="AC44" s="39">
        <f>AA44-AB44</f>
        <v/>
      </c>
      <c r="AD44" s="39">
        <f>(1-Z44)*MAX(0,Products!$E$16-$A44)*(Products!$E$33-Products!$E$35/Products!$E$16)</f>
        <v/>
      </c>
      <c r="AE44" s="40">
        <f>IF($A44&lt;=Products!$E$16,Z44,0)</f>
        <v/>
      </c>
      <c r="AF44" s="40">
        <f>IF(AND($A44&gt;=1,$A44&lt;=Products!$E$16),Z43-Z44,0)</f>
        <v/>
      </c>
      <c r="AG44" s="39">
        <f>IF(AND($A44-Inputs!$C$31&gt;=1,$A44-Inputs!$C$31&lt;=Products!$E$16),INDEX(Curves!$AF$8:$AF$68,$A44-Inputs!$C$31+1),0)*Products!$E$27*Products!$E$28*Products!$E$13</f>
        <v/>
      </c>
      <c r="AH44" s="39">
        <f>IF($A44=Inputs!$C$33,Products!$E$30*Inputs!$C$10*Inputs!$C$32,0)</f>
        <v/>
      </c>
      <c r="AI44" s="39">
        <f>AB44*(1-Inputs!$C$24)-Inputs!$C$25*AE44+AG44+AH44</f>
        <v/>
      </c>
      <c r="AJ44" s="39">
        <f>AJ43+AI44</f>
        <v/>
      </c>
      <c r="AL44" s="40">
        <f>(1-Products!$F$41)^$A44</f>
        <v/>
      </c>
      <c r="AM44" s="39">
        <f>IF(AND($A44&gt;=1,$A44&lt;=Products!$F$16),Products!$F$33,0)</f>
        <v/>
      </c>
      <c r="AN44" s="39">
        <f>AM44*Products!$F$42*AL44</f>
        <v/>
      </c>
      <c r="AO44" s="39">
        <f>AM44-AN44</f>
        <v/>
      </c>
      <c r="AP44" s="39">
        <f>(1-AL44)*MAX(0,Products!$F$16-$A44)*(Products!$F$33-Products!$F$35/Products!$F$16)</f>
        <v/>
      </c>
      <c r="AQ44" s="40">
        <f>IF($A44&lt;=Products!$F$16,AL44,0)</f>
        <v/>
      </c>
      <c r="AR44" s="40">
        <f>IF(AND($A44&gt;=1,$A44&lt;=Products!$F$16),AL43-AL44,0)</f>
        <v/>
      </c>
      <c r="AS44" s="39">
        <f>IF(AND($A44-Inputs!$C$31&gt;=1,$A44-Inputs!$C$31&lt;=Products!$F$16),INDEX(Curves!$AR$8:$AR$68,$A44-Inputs!$C$31+1),0)*Products!$F$27*Products!$F$28*Products!$F$13</f>
        <v/>
      </c>
      <c r="AT44" s="39">
        <f>IF($A44=Inputs!$C$33,Products!$F$30*Inputs!$C$10*Inputs!$C$32,0)</f>
        <v/>
      </c>
      <c r="AU44" s="39">
        <f>AN44*(1-Inputs!$C$24)-Inputs!$C$25*AQ44+AS44+AT44</f>
        <v/>
      </c>
      <c r="AV44" s="39">
        <f>AV43+AU44</f>
        <v/>
      </c>
      <c r="AX44" s="40">
        <f>(1-Products!$G$41)^$A44</f>
        <v/>
      </c>
      <c r="AY44" s="39">
        <f>IF(AND($A44&gt;=1,$A44&lt;=Products!$G$16),Products!$G$33,0)</f>
        <v/>
      </c>
      <c r="AZ44" s="39">
        <f>AY44*Products!$G$42*AX44</f>
        <v/>
      </c>
      <c r="BA44" s="39">
        <f>AY44-AZ44</f>
        <v/>
      </c>
      <c r="BB44" s="39">
        <f>(1-AX44)*MAX(0,Products!$G$16-$A44)*(Products!$G$33-Products!$G$35/Products!$G$16)</f>
        <v/>
      </c>
      <c r="BC44" s="40">
        <f>IF($A44&lt;=Products!$G$16,AX44,0)</f>
        <v/>
      </c>
      <c r="BD44" s="40">
        <f>IF(AND($A44&gt;=1,$A44&lt;=Products!$G$16),AX43-AX44,0)</f>
        <v/>
      </c>
      <c r="BE44" s="39">
        <f>IF(AND($A44-Inputs!$C$31&gt;=1,$A44-Inputs!$C$31&lt;=Products!$G$16),INDEX(Curves!$BD$8:$BD$68,$A44-Inputs!$C$31+1),0)*Products!$G$27*Products!$G$28*Products!$G$13</f>
        <v/>
      </c>
      <c r="BF44" s="39">
        <f>IF($A44=Inputs!$C$33,Products!$G$30*Inputs!$C$10*Inputs!$C$32,0)</f>
        <v/>
      </c>
      <c r="BG44" s="39">
        <f>AZ44*(1-Inputs!$C$24)-Inputs!$C$25*BC44+BE44+BF44</f>
        <v/>
      </c>
      <c r="BH44" s="39">
        <f>BH43+BG44</f>
        <v/>
      </c>
    </row>
    <row r="45">
      <c r="A45" s="46" t="n">
        <v>37</v>
      </c>
      <c r="B45" s="40">
        <f>(1-Products!$C$41)^$A45</f>
        <v/>
      </c>
      <c r="C45" s="39">
        <f>IF(AND($A45&gt;=1,$A45&lt;=Products!$C$16),Products!$C$33,0)</f>
        <v/>
      </c>
      <c r="D45" s="39">
        <f>C45*Products!$C$42*B45</f>
        <v/>
      </c>
      <c r="E45" s="39">
        <f>C45-D45</f>
        <v/>
      </c>
      <c r="F45" s="39">
        <f>(1-B45)*MAX(0,Products!$C$16-$A45)*(Products!$C$33-Products!$C$35/Products!$C$16)</f>
        <v/>
      </c>
      <c r="G45" s="40">
        <f>IF($A45&lt;=Products!$C$16,B45,0)</f>
        <v/>
      </c>
      <c r="H45" s="40">
        <f>IF(AND($A45&gt;=1,$A45&lt;=Products!$C$16),B44-B45,0)</f>
        <v/>
      </c>
      <c r="I45" s="39">
        <f>IF(AND($A45-Inputs!$C$31&gt;=1,$A45-Inputs!$C$31&lt;=Products!$C$16),INDEX(Curves!$H$8:$H$68,$A45-Inputs!$C$31+1),0)*Products!$C$27*Products!$C$28*Products!$C$13</f>
        <v/>
      </c>
      <c r="J45" s="39">
        <f>IF($A45=Inputs!$C$33,Products!$C$30*Inputs!$C$10*Inputs!$C$32,0)</f>
        <v/>
      </c>
      <c r="K45" s="39">
        <f>D45*(1-Inputs!$C$24)-Inputs!$C$25*G45+I45+J45</f>
        <v/>
      </c>
      <c r="L45" s="39">
        <f>L44+K45</f>
        <v/>
      </c>
      <c r="N45" s="40">
        <f>(1-Products!$D$41)^$A45</f>
        <v/>
      </c>
      <c r="O45" s="39">
        <f>IF(AND($A45&gt;=1,$A45&lt;=Products!$D$16),Products!$D$33,0)</f>
        <v/>
      </c>
      <c r="P45" s="39">
        <f>O45*Products!$D$42*N45</f>
        <v/>
      </c>
      <c r="Q45" s="39">
        <f>O45-P45</f>
        <v/>
      </c>
      <c r="R45" s="39">
        <f>(1-N45)*MAX(0,Products!$D$16-$A45)*(Products!$D$33-Products!$D$35/Products!$D$16)</f>
        <v/>
      </c>
      <c r="S45" s="40">
        <f>IF($A45&lt;=Products!$D$16,N45,0)</f>
        <v/>
      </c>
      <c r="T45" s="40">
        <f>IF(AND($A45&gt;=1,$A45&lt;=Products!$D$16),N44-N45,0)</f>
        <v/>
      </c>
      <c r="U45" s="39">
        <f>IF(AND($A45-Inputs!$C$31&gt;=1,$A45-Inputs!$C$31&lt;=Products!$D$16),INDEX(Curves!$T$8:$T$68,$A45-Inputs!$C$31+1),0)*Products!$D$27*Products!$D$28*Products!$D$13</f>
        <v/>
      </c>
      <c r="V45" s="39">
        <f>IF($A45=Inputs!$C$33,Products!$D$30*Inputs!$C$10*Inputs!$C$32,0)</f>
        <v/>
      </c>
      <c r="W45" s="39">
        <f>P45*(1-Inputs!$C$24)-Inputs!$C$25*S45+U45+V45</f>
        <v/>
      </c>
      <c r="X45" s="39">
        <f>X44+W45</f>
        <v/>
      </c>
      <c r="Z45" s="40">
        <f>(1-Products!$E$41)^$A45</f>
        <v/>
      </c>
      <c r="AA45" s="39">
        <f>IF(AND($A45&gt;=1,$A45&lt;=Products!$E$16),Products!$E$33,0)</f>
        <v/>
      </c>
      <c r="AB45" s="39">
        <f>AA45*Products!$E$42*Z45</f>
        <v/>
      </c>
      <c r="AC45" s="39">
        <f>AA45-AB45</f>
        <v/>
      </c>
      <c r="AD45" s="39">
        <f>(1-Z45)*MAX(0,Products!$E$16-$A45)*(Products!$E$33-Products!$E$35/Products!$E$16)</f>
        <v/>
      </c>
      <c r="AE45" s="40">
        <f>IF($A45&lt;=Products!$E$16,Z45,0)</f>
        <v/>
      </c>
      <c r="AF45" s="40">
        <f>IF(AND($A45&gt;=1,$A45&lt;=Products!$E$16),Z44-Z45,0)</f>
        <v/>
      </c>
      <c r="AG45" s="39">
        <f>IF(AND($A45-Inputs!$C$31&gt;=1,$A45-Inputs!$C$31&lt;=Products!$E$16),INDEX(Curves!$AF$8:$AF$68,$A45-Inputs!$C$31+1),0)*Products!$E$27*Products!$E$28*Products!$E$13</f>
        <v/>
      </c>
      <c r="AH45" s="39">
        <f>IF($A45=Inputs!$C$33,Products!$E$30*Inputs!$C$10*Inputs!$C$32,0)</f>
        <v/>
      </c>
      <c r="AI45" s="39">
        <f>AB45*(1-Inputs!$C$24)-Inputs!$C$25*AE45+AG45+AH45</f>
        <v/>
      </c>
      <c r="AJ45" s="39">
        <f>AJ44+AI45</f>
        <v/>
      </c>
      <c r="AL45" s="40">
        <f>(1-Products!$F$41)^$A45</f>
        <v/>
      </c>
      <c r="AM45" s="39">
        <f>IF(AND($A45&gt;=1,$A45&lt;=Products!$F$16),Products!$F$33,0)</f>
        <v/>
      </c>
      <c r="AN45" s="39">
        <f>AM45*Products!$F$42*AL45</f>
        <v/>
      </c>
      <c r="AO45" s="39">
        <f>AM45-AN45</f>
        <v/>
      </c>
      <c r="AP45" s="39">
        <f>(1-AL45)*MAX(0,Products!$F$16-$A45)*(Products!$F$33-Products!$F$35/Products!$F$16)</f>
        <v/>
      </c>
      <c r="AQ45" s="40">
        <f>IF($A45&lt;=Products!$F$16,AL45,0)</f>
        <v/>
      </c>
      <c r="AR45" s="40">
        <f>IF(AND($A45&gt;=1,$A45&lt;=Products!$F$16),AL44-AL45,0)</f>
        <v/>
      </c>
      <c r="AS45" s="39">
        <f>IF(AND($A45-Inputs!$C$31&gt;=1,$A45-Inputs!$C$31&lt;=Products!$F$16),INDEX(Curves!$AR$8:$AR$68,$A45-Inputs!$C$31+1),0)*Products!$F$27*Products!$F$28*Products!$F$13</f>
        <v/>
      </c>
      <c r="AT45" s="39">
        <f>IF($A45=Inputs!$C$33,Products!$F$30*Inputs!$C$10*Inputs!$C$32,0)</f>
        <v/>
      </c>
      <c r="AU45" s="39">
        <f>AN45*(1-Inputs!$C$24)-Inputs!$C$25*AQ45+AS45+AT45</f>
        <v/>
      </c>
      <c r="AV45" s="39">
        <f>AV44+AU45</f>
        <v/>
      </c>
      <c r="AX45" s="40">
        <f>(1-Products!$G$41)^$A45</f>
        <v/>
      </c>
      <c r="AY45" s="39">
        <f>IF(AND($A45&gt;=1,$A45&lt;=Products!$G$16),Products!$G$33,0)</f>
        <v/>
      </c>
      <c r="AZ45" s="39">
        <f>AY45*Products!$G$42*AX45</f>
        <v/>
      </c>
      <c r="BA45" s="39">
        <f>AY45-AZ45</f>
        <v/>
      </c>
      <c r="BB45" s="39">
        <f>(1-AX45)*MAX(0,Products!$G$16-$A45)*(Products!$G$33-Products!$G$35/Products!$G$16)</f>
        <v/>
      </c>
      <c r="BC45" s="40">
        <f>IF($A45&lt;=Products!$G$16,AX45,0)</f>
        <v/>
      </c>
      <c r="BD45" s="40">
        <f>IF(AND($A45&gt;=1,$A45&lt;=Products!$G$16),AX44-AX45,0)</f>
        <v/>
      </c>
      <c r="BE45" s="39">
        <f>IF(AND($A45-Inputs!$C$31&gt;=1,$A45-Inputs!$C$31&lt;=Products!$G$16),INDEX(Curves!$BD$8:$BD$68,$A45-Inputs!$C$31+1),0)*Products!$G$27*Products!$G$28*Products!$G$13</f>
        <v/>
      </c>
      <c r="BF45" s="39">
        <f>IF($A45=Inputs!$C$33,Products!$G$30*Inputs!$C$10*Inputs!$C$32,0)</f>
        <v/>
      </c>
      <c r="BG45" s="39">
        <f>AZ45*(1-Inputs!$C$24)-Inputs!$C$25*BC45+BE45+BF45</f>
        <v/>
      </c>
      <c r="BH45" s="39">
        <f>BH44+BG45</f>
        <v/>
      </c>
    </row>
    <row r="46">
      <c r="A46" s="46" t="n">
        <v>38</v>
      </c>
      <c r="B46" s="40">
        <f>(1-Products!$C$41)^$A46</f>
        <v/>
      </c>
      <c r="C46" s="39">
        <f>IF(AND($A46&gt;=1,$A46&lt;=Products!$C$16),Products!$C$33,0)</f>
        <v/>
      </c>
      <c r="D46" s="39">
        <f>C46*Products!$C$42*B46</f>
        <v/>
      </c>
      <c r="E46" s="39">
        <f>C46-D46</f>
        <v/>
      </c>
      <c r="F46" s="39">
        <f>(1-B46)*MAX(0,Products!$C$16-$A46)*(Products!$C$33-Products!$C$35/Products!$C$16)</f>
        <v/>
      </c>
      <c r="G46" s="40">
        <f>IF($A46&lt;=Products!$C$16,B46,0)</f>
        <v/>
      </c>
      <c r="H46" s="40">
        <f>IF(AND($A46&gt;=1,$A46&lt;=Products!$C$16),B45-B46,0)</f>
        <v/>
      </c>
      <c r="I46" s="39">
        <f>IF(AND($A46-Inputs!$C$31&gt;=1,$A46-Inputs!$C$31&lt;=Products!$C$16),INDEX(Curves!$H$8:$H$68,$A46-Inputs!$C$31+1),0)*Products!$C$27*Products!$C$28*Products!$C$13</f>
        <v/>
      </c>
      <c r="J46" s="39">
        <f>IF($A46=Inputs!$C$33,Products!$C$30*Inputs!$C$10*Inputs!$C$32,0)</f>
        <v/>
      </c>
      <c r="K46" s="39">
        <f>D46*(1-Inputs!$C$24)-Inputs!$C$25*G46+I46+J46</f>
        <v/>
      </c>
      <c r="L46" s="39">
        <f>L45+K46</f>
        <v/>
      </c>
      <c r="N46" s="40">
        <f>(1-Products!$D$41)^$A46</f>
        <v/>
      </c>
      <c r="O46" s="39">
        <f>IF(AND($A46&gt;=1,$A46&lt;=Products!$D$16),Products!$D$33,0)</f>
        <v/>
      </c>
      <c r="P46" s="39">
        <f>O46*Products!$D$42*N46</f>
        <v/>
      </c>
      <c r="Q46" s="39">
        <f>O46-P46</f>
        <v/>
      </c>
      <c r="R46" s="39">
        <f>(1-N46)*MAX(0,Products!$D$16-$A46)*(Products!$D$33-Products!$D$35/Products!$D$16)</f>
        <v/>
      </c>
      <c r="S46" s="40">
        <f>IF($A46&lt;=Products!$D$16,N46,0)</f>
        <v/>
      </c>
      <c r="T46" s="40">
        <f>IF(AND($A46&gt;=1,$A46&lt;=Products!$D$16),N45-N46,0)</f>
        <v/>
      </c>
      <c r="U46" s="39">
        <f>IF(AND($A46-Inputs!$C$31&gt;=1,$A46-Inputs!$C$31&lt;=Products!$D$16),INDEX(Curves!$T$8:$T$68,$A46-Inputs!$C$31+1),0)*Products!$D$27*Products!$D$28*Products!$D$13</f>
        <v/>
      </c>
      <c r="V46" s="39">
        <f>IF($A46=Inputs!$C$33,Products!$D$30*Inputs!$C$10*Inputs!$C$32,0)</f>
        <v/>
      </c>
      <c r="W46" s="39">
        <f>P46*(1-Inputs!$C$24)-Inputs!$C$25*S46+U46+V46</f>
        <v/>
      </c>
      <c r="X46" s="39">
        <f>X45+W46</f>
        <v/>
      </c>
      <c r="Z46" s="40">
        <f>(1-Products!$E$41)^$A46</f>
        <v/>
      </c>
      <c r="AA46" s="39">
        <f>IF(AND($A46&gt;=1,$A46&lt;=Products!$E$16),Products!$E$33,0)</f>
        <v/>
      </c>
      <c r="AB46" s="39">
        <f>AA46*Products!$E$42*Z46</f>
        <v/>
      </c>
      <c r="AC46" s="39">
        <f>AA46-AB46</f>
        <v/>
      </c>
      <c r="AD46" s="39">
        <f>(1-Z46)*MAX(0,Products!$E$16-$A46)*(Products!$E$33-Products!$E$35/Products!$E$16)</f>
        <v/>
      </c>
      <c r="AE46" s="40">
        <f>IF($A46&lt;=Products!$E$16,Z46,0)</f>
        <v/>
      </c>
      <c r="AF46" s="40">
        <f>IF(AND($A46&gt;=1,$A46&lt;=Products!$E$16),Z45-Z46,0)</f>
        <v/>
      </c>
      <c r="AG46" s="39">
        <f>IF(AND($A46-Inputs!$C$31&gt;=1,$A46-Inputs!$C$31&lt;=Products!$E$16),INDEX(Curves!$AF$8:$AF$68,$A46-Inputs!$C$31+1),0)*Products!$E$27*Products!$E$28*Products!$E$13</f>
        <v/>
      </c>
      <c r="AH46" s="39">
        <f>IF($A46=Inputs!$C$33,Products!$E$30*Inputs!$C$10*Inputs!$C$32,0)</f>
        <v/>
      </c>
      <c r="AI46" s="39">
        <f>AB46*(1-Inputs!$C$24)-Inputs!$C$25*AE46+AG46+AH46</f>
        <v/>
      </c>
      <c r="AJ46" s="39">
        <f>AJ45+AI46</f>
        <v/>
      </c>
      <c r="AL46" s="40">
        <f>(1-Products!$F$41)^$A46</f>
        <v/>
      </c>
      <c r="AM46" s="39">
        <f>IF(AND($A46&gt;=1,$A46&lt;=Products!$F$16),Products!$F$33,0)</f>
        <v/>
      </c>
      <c r="AN46" s="39">
        <f>AM46*Products!$F$42*AL46</f>
        <v/>
      </c>
      <c r="AO46" s="39">
        <f>AM46-AN46</f>
        <v/>
      </c>
      <c r="AP46" s="39">
        <f>(1-AL46)*MAX(0,Products!$F$16-$A46)*(Products!$F$33-Products!$F$35/Products!$F$16)</f>
        <v/>
      </c>
      <c r="AQ46" s="40">
        <f>IF($A46&lt;=Products!$F$16,AL46,0)</f>
        <v/>
      </c>
      <c r="AR46" s="40">
        <f>IF(AND($A46&gt;=1,$A46&lt;=Products!$F$16),AL45-AL46,0)</f>
        <v/>
      </c>
      <c r="AS46" s="39">
        <f>IF(AND($A46-Inputs!$C$31&gt;=1,$A46-Inputs!$C$31&lt;=Products!$F$16),INDEX(Curves!$AR$8:$AR$68,$A46-Inputs!$C$31+1),0)*Products!$F$27*Products!$F$28*Products!$F$13</f>
        <v/>
      </c>
      <c r="AT46" s="39">
        <f>IF($A46=Inputs!$C$33,Products!$F$30*Inputs!$C$10*Inputs!$C$32,0)</f>
        <v/>
      </c>
      <c r="AU46" s="39">
        <f>AN46*(1-Inputs!$C$24)-Inputs!$C$25*AQ46+AS46+AT46</f>
        <v/>
      </c>
      <c r="AV46" s="39">
        <f>AV45+AU46</f>
        <v/>
      </c>
      <c r="AX46" s="40">
        <f>(1-Products!$G$41)^$A46</f>
        <v/>
      </c>
      <c r="AY46" s="39">
        <f>IF(AND($A46&gt;=1,$A46&lt;=Products!$G$16),Products!$G$33,0)</f>
        <v/>
      </c>
      <c r="AZ46" s="39">
        <f>AY46*Products!$G$42*AX46</f>
        <v/>
      </c>
      <c r="BA46" s="39">
        <f>AY46-AZ46</f>
        <v/>
      </c>
      <c r="BB46" s="39">
        <f>(1-AX46)*MAX(0,Products!$G$16-$A46)*(Products!$G$33-Products!$G$35/Products!$G$16)</f>
        <v/>
      </c>
      <c r="BC46" s="40">
        <f>IF($A46&lt;=Products!$G$16,AX46,0)</f>
        <v/>
      </c>
      <c r="BD46" s="40">
        <f>IF(AND($A46&gt;=1,$A46&lt;=Products!$G$16),AX45-AX46,0)</f>
        <v/>
      </c>
      <c r="BE46" s="39">
        <f>IF(AND($A46-Inputs!$C$31&gt;=1,$A46-Inputs!$C$31&lt;=Products!$G$16),INDEX(Curves!$BD$8:$BD$68,$A46-Inputs!$C$31+1),0)*Products!$G$27*Products!$G$28*Products!$G$13</f>
        <v/>
      </c>
      <c r="BF46" s="39">
        <f>IF($A46=Inputs!$C$33,Products!$G$30*Inputs!$C$10*Inputs!$C$32,0)</f>
        <v/>
      </c>
      <c r="BG46" s="39">
        <f>AZ46*(1-Inputs!$C$24)-Inputs!$C$25*BC46+BE46+BF46</f>
        <v/>
      </c>
      <c r="BH46" s="39">
        <f>BH45+BG46</f>
        <v/>
      </c>
    </row>
    <row r="47">
      <c r="A47" s="46" t="n">
        <v>39</v>
      </c>
      <c r="B47" s="40">
        <f>(1-Products!$C$41)^$A47</f>
        <v/>
      </c>
      <c r="C47" s="39">
        <f>IF(AND($A47&gt;=1,$A47&lt;=Products!$C$16),Products!$C$33,0)</f>
        <v/>
      </c>
      <c r="D47" s="39">
        <f>C47*Products!$C$42*B47</f>
        <v/>
      </c>
      <c r="E47" s="39">
        <f>C47-D47</f>
        <v/>
      </c>
      <c r="F47" s="39">
        <f>(1-B47)*MAX(0,Products!$C$16-$A47)*(Products!$C$33-Products!$C$35/Products!$C$16)</f>
        <v/>
      </c>
      <c r="G47" s="40">
        <f>IF($A47&lt;=Products!$C$16,B47,0)</f>
        <v/>
      </c>
      <c r="H47" s="40">
        <f>IF(AND($A47&gt;=1,$A47&lt;=Products!$C$16),B46-B47,0)</f>
        <v/>
      </c>
      <c r="I47" s="39">
        <f>IF(AND($A47-Inputs!$C$31&gt;=1,$A47-Inputs!$C$31&lt;=Products!$C$16),INDEX(Curves!$H$8:$H$68,$A47-Inputs!$C$31+1),0)*Products!$C$27*Products!$C$28*Products!$C$13</f>
        <v/>
      </c>
      <c r="J47" s="39">
        <f>IF($A47=Inputs!$C$33,Products!$C$30*Inputs!$C$10*Inputs!$C$32,0)</f>
        <v/>
      </c>
      <c r="K47" s="39">
        <f>D47*(1-Inputs!$C$24)-Inputs!$C$25*G47+I47+J47</f>
        <v/>
      </c>
      <c r="L47" s="39">
        <f>L46+K47</f>
        <v/>
      </c>
      <c r="N47" s="40">
        <f>(1-Products!$D$41)^$A47</f>
        <v/>
      </c>
      <c r="O47" s="39">
        <f>IF(AND($A47&gt;=1,$A47&lt;=Products!$D$16),Products!$D$33,0)</f>
        <v/>
      </c>
      <c r="P47" s="39">
        <f>O47*Products!$D$42*N47</f>
        <v/>
      </c>
      <c r="Q47" s="39">
        <f>O47-P47</f>
        <v/>
      </c>
      <c r="R47" s="39">
        <f>(1-N47)*MAX(0,Products!$D$16-$A47)*(Products!$D$33-Products!$D$35/Products!$D$16)</f>
        <v/>
      </c>
      <c r="S47" s="40">
        <f>IF($A47&lt;=Products!$D$16,N47,0)</f>
        <v/>
      </c>
      <c r="T47" s="40">
        <f>IF(AND($A47&gt;=1,$A47&lt;=Products!$D$16),N46-N47,0)</f>
        <v/>
      </c>
      <c r="U47" s="39">
        <f>IF(AND($A47-Inputs!$C$31&gt;=1,$A47-Inputs!$C$31&lt;=Products!$D$16),INDEX(Curves!$T$8:$T$68,$A47-Inputs!$C$31+1),0)*Products!$D$27*Products!$D$28*Products!$D$13</f>
        <v/>
      </c>
      <c r="V47" s="39">
        <f>IF($A47=Inputs!$C$33,Products!$D$30*Inputs!$C$10*Inputs!$C$32,0)</f>
        <v/>
      </c>
      <c r="W47" s="39">
        <f>P47*(1-Inputs!$C$24)-Inputs!$C$25*S47+U47+V47</f>
        <v/>
      </c>
      <c r="X47" s="39">
        <f>X46+W47</f>
        <v/>
      </c>
      <c r="Z47" s="40">
        <f>(1-Products!$E$41)^$A47</f>
        <v/>
      </c>
      <c r="AA47" s="39">
        <f>IF(AND($A47&gt;=1,$A47&lt;=Products!$E$16),Products!$E$33,0)</f>
        <v/>
      </c>
      <c r="AB47" s="39">
        <f>AA47*Products!$E$42*Z47</f>
        <v/>
      </c>
      <c r="AC47" s="39">
        <f>AA47-AB47</f>
        <v/>
      </c>
      <c r="AD47" s="39">
        <f>(1-Z47)*MAX(0,Products!$E$16-$A47)*(Products!$E$33-Products!$E$35/Products!$E$16)</f>
        <v/>
      </c>
      <c r="AE47" s="40">
        <f>IF($A47&lt;=Products!$E$16,Z47,0)</f>
        <v/>
      </c>
      <c r="AF47" s="40">
        <f>IF(AND($A47&gt;=1,$A47&lt;=Products!$E$16),Z46-Z47,0)</f>
        <v/>
      </c>
      <c r="AG47" s="39">
        <f>IF(AND($A47-Inputs!$C$31&gt;=1,$A47-Inputs!$C$31&lt;=Products!$E$16),INDEX(Curves!$AF$8:$AF$68,$A47-Inputs!$C$31+1),0)*Products!$E$27*Products!$E$28*Products!$E$13</f>
        <v/>
      </c>
      <c r="AH47" s="39">
        <f>IF($A47=Inputs!$C$33,Products!$E$30*Inputs!$C$10*Inputs!$C$32,0)</f>
        <v/>
      </c>
      <c r="AI47" s="39">
        <f>AB47*(1-Inputs!$C$24)-Inputs!$C$25*AE47+AG47+AH47</f>
        <v/>
      </c>
      <c r="AJ47" s="39">
        <f>AJ46+AI47</f>
        <v/>
      </c>
      <c r="AL47" s="40">
        <f>(1-Products!$F$41)^$A47</f>
        <v/>
      </c>
      <c r="AM47" s="39">
        <f>IF(AND($A47&gt;=1,$A47&lt;=Products!$F$16),Products!$F$33,0)</f>
        <v/>
      </c>
      <c r="AN47" s="39">
        <f>AM47*Products!$F$42*AL47</f>
        <v/>
      </c>
      <c r="AO47" s="39">
        <f>AM47-AN47</f>
        <v/>
      </c>
      <c r="AP47" s="39">
        <f>(1-AL47)*MAX(0,Products!$F$16-$A47)*(Products!$F$33-Products!$F$35/Products!$F$16)</f>
        <v/>
      </c>
      <c r="AQ47" s="40">
        <f>IF($A47&lt;=Products!$F$16,AL47,0)</f>
        <v/>
      </c>
      <c r="AR47" s="40">
        <f>IF(AND($A47&gt;=1,$A47&lt;=Products!$F$16),AL46-AL47,0)</f>
        <v/>
      </c>
      <c r="AS47" s="39">
        <f>IF(AND($A47-Inputs!$C$31&gt;=1,$A47-Inputs!$C$31&lt;=Products!$F$16),INDEX(Curves!$AR$8:$AR$68,$A47-Inputs!$C$31+1),0)*Products!$F$27*Products!$F$28*Products!$F$13</f>
        <v/>
      </c>
      <c r="AT47" s="39">
        <f>IF($A47=Inputs!$C$33,Products!$F$30*Inputs!$C$10*Inputs!$C$32,0)</f>
        <v/>
      </c>
      <c r="AU47" s="39">
        <f>AN47*(1-Inputs!$C$24)-Inputs!$C$25*AQ47+AS47+AT47</f>
        <v/>
      </c>
      <c r="AV47" s="39">
        <f>AV46+AU47</f>
        <v/>
      </c>
      <c r="AX47" s="40">
        <f>(1-Products!$G$41)^$A47</f>
        <v/>
      </c>
      <c r="AY47" s="39">
        <f>IF(AND($A47&gt;=1,$A47&lt;=Products!$G$16),Products!$G$33,0)</f>
        <v/>
      </c>
      <c r="AZ47" s="39">
        <f>AY47*Products!$G$42*AX47</f>
        <v/>
      </c>
      <c r="BA47" s="39">
        <f>AY47-AZ47</f>
        <v/>
      </c>
      <c r="BB47" s="39">
        <f>(1-AX47)*MAX(0,Products!$G$16-$A47)*(Products!$G$33-Products!$G$35/Products!$G$16)</f>
        <v/>
      </c>
      <c r="BC47" s="40">
        <f>IF($A47&lt;=Products!$G$16,AX47,0)</f>
        <v/>
      </c>
      <c r="BD47" s="40">
        <f>IF(AND($A47&gt;=1,$A47&lt;=Products!$G$16),AX46-AX47,0)</f>
        <v/>
      </c>
      <c r="BE47" s="39">
        <f>IF(AND($A47-Inputs!$C$31&gt;=1,$A47-Inputs!$C$31&lt;=Products!$G$16),INDEX(Curves!$BD$8:$BD$68,$A47-Inputs!$C$31+1),0)*Products!$G$27*Products!$G$28*Products!$G$13</f>
        <v/>
      </c>
      <c r="BF47" s="39">
        <f>IF($A47=Inputs!$C$33,Products!$G$30*Inputs!$C$10*Inputs!$C$32,0)</f>
        <v/>
      </c>
      <c r="BG47" s="39">
        <f>AZ47*(1-Inputs!$C$24)-Inputs!$C$25*BC47+BE47+BF47</f>
        <v/>
      </c>
      <c r="BH47" s="39">
        <f>BH46+BG47</f>
        <v/>
      </c>
    </row>
    <row r="48">
      <c r="A48" s="46" t="n">
        <v>40</v>
      </c>
      <c r="B48" s="40">
        <f>(1-Products!$C$41)^$A48</f>
        <v/>
      </c>
      <c r="C48" s="39">
        <f>IF(AND($A48&gt;=1,$A48&lt;=Products!$C$16),Products!$C$33,0)</f>
        <v/>
      </c>
      <c r="D48" s="39">
        <f>C48*Products!$C$42*B48</f>
        <v/>
      </c>
      <c r="E48" s="39">
        <f>C48-D48</f>
        <v/>
      </c>
      <c r="F48" s="39">
        <f>(1-B48)*MAX(0,Products!$C$16-$A48)*(Products!$C$33-Products!$C$35/Products!$C$16)</f>
        <v/>
      </c>
      <c r="G48" s="40">
        <f>IF($A48&lt;=Products!$C$16,B48,0)</f>
        <v/>
      </c>
      <c r="H48" s="40">
        <f>IF(AND($A48&gt;=1,$A48&lt;=Products!$C$16),B47-B48,0)</f>
        <v/>
      </c>
      <c r="I48" s="39">
        <f>IF(AND($A48-Inputs!$C$31&gt;=1,$A48-Inputs!$C$31&lt;=Products!$C$16),INDEX(Curves!$H$8:$H$68,$A48-Inputs!$C$31+1),0)*Products!$C$27*Products!$C$28*Products!$C$13</f>
        <v/>
      </c>
      <c r="J48" s="39">
        <f>IF($A48=Inputs!$C$33,Products!$C$30*Inputs!$C$10*Inputs!$C$32,0)</f>
        <v/>
      </c>
      <c r="K48" s="39">
        <f>D48*(1-Inputs!$C$24)-Inputs!$C$25*G48+I48+J48</f>
        <v/>
      </c>
      <c r="L48" s="39">
        <f>L47+K48</f>
        <v/>
      </c>
      <c r="N48" s="40">
        <f>(1-Products!$D$41)^$A48</f>
        <v/>
      </c>
      <c r="O48" s="39">
        <f>IF(AND($A48&gt;=1,$A48&lt;=Products!$D$16),Products!$D$33,0)</f>
        <v/>
      </c>
      <c r="P48" s="39">
        <f>O48*Products!$D$42*N48</f>
        <v/>
      </c>
      <c r="Q48" s="39">
        <f>O48-P48</f>
        <v/>
      </c>
      <c r="R48" s="39">
        <f>(1-N48)*MAX(0,Products!$D$16-$A48)*(Products!$D$33-Products!$D$35/Products!$D$16)</f>
        <v/>
      </c>
      <c r="S48" s="40">
        <f>IF($A48&lt;=Products!$D$16,N48,0)</f>
        <v/>
      </c>
      <c r="T48" s="40">
        <f>IF(AND($A48&gt;=1,$A48&lt;=Products!$D$16),N47-N48,0)</f>
        <v/>
      </c>
      <c r="U48" s="39">
        <f>IF(AND($A48-Inputs!$C$31&gt;=1,$A48-Inputs!$C$31&lt;=Products!$D$16),INDEX(Curves!$T$8:$T$68,$A48-Inputs!$C$31+1),0)*Products!$D$27*Products!$D$28*Products!$D$13</f>
        <v/>
      </c>
      <c r="V48" s="39">
        <f>IF($A48=Inputs!$C$33,Products!$D$30*Inputs!$C$10*Inputs!$C$32,0)</f>
        <v/>
      </c>
      <c r="W48" s="39">
        <f>P48*(1-Inputs!$C$24)-Inputs!$C$25*S48+U48+V48</f>
        <v/>
      </c>
      <c r="X48" s="39">
        <f>X47+W48</f>
        <v/>
      </c>
      <c r="Z48" s="40">
        <f>(1-Products!$E$41)^$A48</f>
        <v/>
      </c>
      <c r="AA48" s="39">
        <f>IF(AND($A48&gt;=1,$A48&lt;=Products!$E$16),Products!$E$33,0)</f>
        <v/>
      </c>
      <c r="AB48" s="39">
        <f>AA48*Products!$E$42*Z48</f>
        <v/>
      </c>
      <c r="AC48" s="39">
        <f>AA48-AB48</f>
        <v/>
      </c>
      <c r="AD48" s="39">
        <f>(1-Z48)*MAX(0,Products!$E$16-$A48)*(Products!$E$33-Products!$E$35/Products!$E$16)</f>
        <v/>
      </c>
      <c r="AE48" s="40">
        <f>IF($A48&lt;=Products!$E$16,Z48,0)</f>
        <v/>
      </c>
      <c r="AF48" s="40">
        <f>IF(AND($A48&gt;=1,$A48&lt;=Products!$E$16),Z47-Z48,0)</f>
        <v/>
      </c>
      <c r="AG48" s="39">
        <f>IF(AND($A48-Inputs!$C$31&gt;=1,$A48-Inputs!$C$31&lt;=Products!$E$16),INDEX(Curves!$AF$8:$AF$68,$A48-Inputs!$C$31+1),0)*Products!$E$27*Products!$E$28*Products!$E$13</f>
        <v/>
      </c>
      <c r="AH48" s="39">
        <f>IF($A48=Inputs!$C$33,Products!$E$30*Inputs!$C$10*Inputs!$C$32,0)</f>
        <v/>
      </c>
      <c r="AI48" s="39">
        <f>AB48*(1-Inputs!$C$24)-Inputs!$C$25*AE48+AG48+AH48</f>
        <v/>
      </c>
      <c r="AJ48" s="39">
        <f>AJ47+AI48</f>
        <v/>
      </c>
      <c r="AL48" s="40">
        <f>(1-Products!$F$41)^$A48</f>
        <v/>
      </c>
      <c r="AM48" s="39">
        <f>IF(AND($A48&gt;=1,$A48&lt;=Products!$F$16),Products!$F$33,0)</f>
        <v/>
      </c>
      <c r="AN48" s="39">
        <f>AM48*Products!$F$42*AL48</f>
        <v/>
      </c>
      <c r="AO48" s="39">
        <f>AM48-AN48</f>
        <v/>
      </c>
      <c r="AP48" s="39">
        <f>(1-AL48)*MAX(0,Products!$F$16-$A48)*(Products!$F$33-Products!$F$35/Products!$F$16)</f>
        <v/>
      </c>
      <c r="AQ48" s="40">
        <f>IF($A48&lt;=Products!$F$16,AL48,0)</f>
        <v/>
      </c>
      <c r="AR48" s="40">
        <f>IF(AND($A48&gt;=1,$A48&lt;=Products!$F$16),AL47-AL48,0)</f>
        <v/>
      </c>
      <c r="AS48" s="39">
        <f>IF(AND($A48-Inputs!$C$31&gt;=1,$A48-Inputs!$C$31&lt;=Products!$F$16),INDEX(Curves!$AR$8:$AR$68,$A48-Inputs!$C$31+1),0)*Products!$F$27*Products!$F$28*Products!$F$13</f>
        <v/>
      </c>
      <c r="AT48" s="39">
        <f>IF($A48=Inputs!$C$33,Products!$F$30*Inputs!$C$10*Inputs!$C$32,0)</f>
        <v/>
      </c>
      <c r="AU48" s="39">
        <f>AN48*(1-Inputs!$C$24)-Inputs!$C$25*AQ48+AS48+AT48</f>
        <v/>
      </c>
      <c r="AV48" s="39">
        <f>AV47+AU48</f>
        <v/>
      </c>
      <c r="AX48" s="40">
        <f>(1-Products!$G$41)^$A48</f>
        <v/>
      </c>
      <c r="AY48" s="39">
        <f>IF(AND($A48&gt;=1,$A48&lt;=Products!$G$16),Products!$G$33,0)</f>
        <v/>
      </c>
      <c r="AZ48" s="39">
        <f>AY48*Products!$G$42*AX48</f>
        <v/>
      </c>
      <c r="BA48" s="39">
        <f>AY48-AZ48</f>
        <v/>
      </c>
      <c r="BB48" s="39">
        <f>(1-AX48)*MAX(0,Products!$G$16-$A48)*(Products!$G$33-Products!$G$35/Products!$G$16)</f>
        <v/>
      </c>
      <c r="BC48" s="40">
        <f>IF($A48&lt;=Products!$G$16,AX48,0)</f>
        <v/>
      </c>
      <c r="BD48" s="40">
        <f>IF(AND($A48&gt;=1,$A48&lt;=Products!$G$16),AX47-AX48,0)</f>
        <v/>
      </c>
      <c r="BE48" s="39">
        <f>IF(AND($A48-Inputs!$C$31&gt;=1,$A48-Inputs!$C$31&lt;=Products!$G$16),INDEX(Curves!$BD$8:$BD$68,$A48-Inputs!$C$31+1),0)*Products!$G$27*Products!$G$28*Products!$G$13</f>
        <v/>
      </c>
      <c r="BF48" s="39">
        <f>IF($A48=Inputs!$C$33,Products!$G$30*Inputs!$C$10*Inputs!$C$32,0)</f>
        <v/>
      </c>
      <c r="BG48" s="39">
        <f>AZ48*(1-Inputs!$C$24)-Inputs!$C$25*BC48+BE48+BF48</f>
        <v/>
      </c>
      <c r="BH48" s="39">
        <f>BH47+BG48</f>
        <v/>
      </c>
    </row>
    <row r="49">
      <c r="A49" s="46" t="n">
        <v>41</v>
      </c>
      <c r="B49" s="40">
        <f>(1-Products!$C$41)^$A49</f>
        <v/>
      </c>
      <c r="C49" s="39">
        <f>IF(AND($A49&gt;=1,$A49&lt;=Products!$C$16),Products!$C$33,0)</f>
        <v/>
      </c>
      <c r="D49" s="39">
        <f>C49*Products!$C$42*B49</f>
        <v/>
      </c>
      <c r="E49" s="39">
        <f>C49-D49</f>
        <v/>
      </c>
      <c r="F49" s="39">
        <f>(1-B49)*MAX(0,Products!$C$16-$A49)*(Products!$C$33-Products!$C$35/Products!$C$16)</f>
        <v/>
      </c>
      <c r="G49" s="40">
        <f>IF($A49&lt;=Products!$C$16,B49,0)</f>
        <v/>
      </c>
      <c r="H49" s="40">
        <f>IF(AND($A49&gt;=1,$A49&lt;=Products!$C$16),B48-B49,0)</f>
        <v/>
      </c>
      <c r="I49" s="39">
        <f>IF(AND($A49-Inputs!$C$31&gt;=1,$A49-Inputs!$C$31&lt;=Products!$C$16),INDEX(Curves!$H$8:$H$68,$A49-Inputs!$C$31+1),0)*Products!$C$27*Products!$C$28*Products!$C$13</f>
        <v/>
      </c>
      <c r="J49" s="39">
        <f>IF($A49=Inputs!$C$33,Products!$C$30*Inputs!$C$10*Inputs!$C$32,0)</f>
        <v/>
      </c>
      <c r="K49" s="39">
        <f>D49*(1-Inputs!$C$24)-Inputs!$C$25*G49+I49+J49</f>
        <v/>
      </c>
      <c r="L49" s="39">
        <f>L48+K49</f>
        <v/>
      </c>
      <c r="N49" s="40">
        <f>(1-Products!$D$41)^$A49</f>
        <v/>
      </c>
      <c r="O49" s="39">
        <f>IF(AND($A49&gt;=1,$A49&lt;=Products!$D$16),Products!$D$33,0)</f>
        <v/>
      </c>
      <c r="P49" s="39">
        <f>O49*Products!$D$42*N49</f>
        <v/>
      </c>
      <c r="Q49" s="39">
        <f>O49-P49</f>
        <v/>
      </c>
      <c r="R49" s="39">
        <f>(1-N49)*MAX(0,Products!$D$16-$A49)*(Products!$D$33-Products!$D$35/Products!$D$16)</f>
        <v/>
      </c>
      <c r="S49" s="40">
        <f>IF($A49&lt;=Products!$D$16,N49,0)</f>
        <v/>
      </c>
      <c r="T49" s="40">
        <f>IF(AND($A49&gt;=1,$A49&lt;=Products!$D$16),N48-N49,0)</f>
        <v/>
      </c>
      <c r="U49" s="39">
        <f>IF(AND($A49-Inputs!$C$31&gt;=1,$A49-Inputs!$C$31&lt;=Products!$D$16),INDEX(Curves!$T$8:$T$68,$A49-Inputs!$C$31+1),0)*Products!$D$27*Products!$D$28*Products!$D$13</f>
        <v/>
      </c>
      <c r="V49" s="39">
        <f>IF($A49=Inputs!$C$33,Products!$D$30*Inputs!$C$10*Inputs!$C$32,0)</f>
        <v/>
      </c>
      <c r="W49" s="39">
        <f>P49*(1-Inputs!$C$24)-Inputs!$C$25*S49+U49+V49</f>
        <v/>
      </c>
      <c r="X49" s="39">
        <f>X48+W49</f>
        <v/>
      </c>
      <c r="Z49" s="40">
        <f>(1-Products!$E$41)^$A49</f>
        <v/>
      </c>
      <c r="AA49" s="39">
        <f>IF(AND($A49&gt;=1,$A49&lt;=Products!$E$16),Products!$E$33,0)</f>
        <v/>
      </c>
      <c r="AB49" s="39">
        <f>AA49*Products!$E$42*Z49</f>
        <v/>
      </c>
      <c r="AC49" s="39">
        <f>AA49-AB49</f>
        <v/>
      </c>
      <c r="AD49" s="39">
        <f>(1-Z49)*MAX(0,Products!$E$16-$A49)*(Products!$E$33-Products!$E$35/Products!$E$16)</f>
        <v/>
      </c>
      <c r="AE49" s="40">
        <f>IF($A49&lt;=Products!$E$16,Z49,0)</f>
        <v/>
      </c>
      <c r="AF49" s="40">
        <f>IF(AND($A49&gt;=1,$A49&lt;=Products!$E$16),Z48-Z49,0)</f>
        <v/>
      </c>
      <c r="AG49" s="39">
        <f>IF(AND($A49-Inputs!$C$31&gt;=1,$A49-Inputs!$C$31&lt;=Products!$E$16),INDEX(Curves!$AF$8:$AF$68,$A49-Inputs!$C$31+1),0)*Products!$E$27*Products!$E$28*Products!$E$13</f>
        <v/>
      </c>
      <c r="AH49" s="39">
        <f>IF($A49=Inputs!$C$33,Products!$E$30*Inputs!$C$10*Inputs!$C$32,0)</f>
        <v/>
      </c>
      <c r="AI49" s="39">
        <f>AB49*(1-Inputs!$C$24)-Inputs!$C$25*AE49+AG49+AH49</f>
        <v/>
      </c>
      <c r="AJ49" s="39">
        <f>AJ48+AI49</f>
        <v/>
      </c>
      <c r="AL49" s="40">
        <f>(1-Products!$F$41)^$A49</f>
        <v/>
      </c>
      <c r="AM49" s="39">
        <f>IF(AND($A49&gt;=1,$A49&lt;=Products!$F$16),Products!$F$33,0)</f>
        <v/>
      </c>
      <c r="AN49" s="39">
        <f>AM49*Products!$F$42*AL49</f>
        <v/>
      </c>
      <c r="AO49" s="39">
        <f>AM49-AN49</f>
        <v/>
      </c>
      <c r="AP49" s="39">
        <f>(1-AL49)*MAX(0,Products!$F$16-$A49)*(Products!$F$33-Products!$F$35/Products!$F$16)</f>
        <v/>
      </c>
      <c r="AQ49" s="40">
        <f>IF($A49&lt;=Products!$F$16,AL49,0)</f>
        <v/>
      </c>
      <c r="AR49" s="40">
        <f>IF(AND($A49&gt;=1,$A49&lt;=Products!$F$16),AL48-AL49,0)</f>
        <v/>
      </c>
      <c r="AS49" s="39">
        <f>IF(AND($A49-Inputs!$C$31&gt;=1,$A49-Inputs!$C$31&lt;=Products!$F$16),INDEX(Curves!$AR$8:$AR$68,$A49-Inputs!$C$31+1),0)*Products!$F$27*Products!$F$28*Products!$F$13</f>
        <v/>
      </c>
      <c r="AT49" s="39">
        <f>IF($A49=Inputs!$C$33,Products!$F$30*Inputs!$C$10*Inputs!$C$32,0)</f>
        <v/>
      </c>
      <c r="AU49" s="39">
        <f>AN49*(1-Inputs!$C$24)-Inputs!$C$25*AQ49+AS49+AT49</f>
        <v/>
      </c>
      <c r="AV49" s="39">
        <f>AV48+AU49</f>
        <v/>
      </c>
      <c r="AX49" s="40">
        <f>(1-Products!$G$41)^$A49</f>
        <v/>
      </c>
      <c r="AY49" s="39">
        <f>IF(AND($A49&gt;=1,$A49&lt;=Products!$G$16),Products!$G$33,0)</f>
        <v/>
      </c>
      <c r="AZ49" s="39">
        <f>AY49*Products!$G$42*AX49</f>
        <v/>
      </c>
      <c r="BA49" s="39">
        <f>AY49-AZ49</f>
        <v/>
      </c>
      <c r="BB49" s="39">
        <f>(1-AX49)*MAX(0,Products!$G$16-$A49)*(Products!$G$33-Products!$G$35/Products!$G$16)</f>
        <v/>
      </c>
      <c r="BC49" s="40">
        <f>IF($A49&lt;=Products!$G$16,AX49,0)</f>
        <v/>
      </c>
      <c r="BD49" s="40">
        <f>IF(AND($A49&gt;=1,$A49&lt;=Products!$G$16),AX48-AX49,0)</f>
        <v/>
      </c>
      <c r="BE49" s="39">
        <f>IF(AND($A49-Inputs!$C$31&gt;=1,$A49-Inputs!$C$31&lt;=Products!$G$16),INDEX(Curves!$BD$8:$BD$68,$A49-Inputs!$C$31+1),0)*Products!$G$27*Products!$G$28*Products!$G$13</f>
        <v/>
      </c>
      <c r="BF49" s="39">
        <f>IF($A49=Inputs!$C$33,Products!$G$30*Inputs!$C$10*Inputs!$C$32,0)</f>
        <v/>
      </c>
      <c r="BG49" s="39">
        <f>AZ49*(1-Inputs!$C$24)-Inputs!$C$25*BC49+BE49+BF49</f>
        <v/>
      </c>
      <c r="BH49" s="39">
        <f>BH48+BG49</f>
        <v/>
      </c>
    </row>
    <row r="50">
      <c r="A50" s="46" t="n">
        <v>42</v>
      </c>
      <c r="B50" s="40">
        <f>(1-Products!$C$41)^$A50</f>
        <v/>
      </c>
      <c r="C50" s="39">
        <f>IF(AND($A50&gt;=1,$A50&lt;=Products!$C$16),Products!$C$33,0)</f>
        <v/>
      </c>
      <c r="D50" s="39">
        <f>C50*Products!$C$42*B50</f>
        <v/>
      </c>
      <c r="E50" s="39">
        <f>C50-D50</f>
        <v/>
      </c>
      <c r="F50" s="39">
        <f>(1-B50)*MAX(0,Products!$C$16-$A50)*(Products!$C$33-Products!$C$35/Products!$C$16)</f>
        <v/>
      </c>
      <c r="G50" s="40">
        <f>IF($A50&lt;=Products!$C$16,B50,0)</f>
        <v/>
      </c>
      <c r="H50" s="40">
        <f>IF(AND($A50&gt;=1,$A50&lt;=Products!$C$16),B49-B50,0)</f>
        <v/>
      </c>
      <c r="I50" s="39">
        <f>IF(AND($A50-Inputs!$C$31&gt;=1,$A50-Inputs!$C$31&lt;=Products!$C$16),INDEX(Curves!$H$8:$H$68,$A50-Inputs!$C$31+1),0)*Products!$C$27*Products!$C$28*Products!$C$13</f>
        <v/>
      </c>
      <c r="J50" s="39">
        <f>IF($A50=Inputs!$C$33,Products!$C$30*Inputs!$C$10*Inputs!$C$32,0)</f>
        <v/>
      </c>
      <c r="K50" s="39">
        <f>D50*(1-Inputs!$C$24)-Inputs!$C$25*G50+I50+J50</f>
        <v/>
      </c>
      <c r="L50" s="39">
        <f>L49+K50</f>
        <v/>
      </c>
      <c r="N50" s="40">
        <f>(1-Products!$D$41)^$A50</f>
        <v/>
      </c>
      <c r="O50" s="39">
        <f>IF(AND($A50&gt;=1,$A50&lt;=Products!$D$16),Products!$D$33,0)</f>
        <v/>
      </c>
      <c r="P50" s="39">
        <f>O50*Products!$D$42*N50</f>
        <v/>
      </c>
      <c r="Q50" s="39">
        <f>O50-P50</f>
        <v/>
      </c>
      <c r="R50" s="39">
        <f>(1-N50)*MAX(0,Products!$D$16-$A50)*(Products!$D$33-Products!$D$35/Products!$D$16)</f>
        <v/>
      </c>
      <c r="S50" s="40">
        <f>IF($A50&lt;=Products!$D$16,N50,0)</f>
        <v/>
      </c>
      <c r="T50" s="40">
        <f>IF(AND($A50&gt;=1,$A50&lt;=Products!$D$16),N49-N50,0)</f>
        <v/>
      </c>
      <c r="U50" s="39">
        <f>IF(AND($A50-Inputs!$C$31&gt;=1,$A50-Inputs!$C$31&lt;=Products!$D$16),INDEX(Curves!$T$8:$T$68,$A50-Inputs!$C$31+1),0)*Products!$D$27*Products!$D$28*Products!$D$13</f>
        <v/>
      </c>
      <c r="V50" s="39">
        <f>IF($A50=Inputs!$C$33,Products!$D$30*Inputs!$C$10*Inputs!$C$32,0)</f>
        <v/>
      </c>
      <c r="W50" s="39">
        <f>P50*(1-Inputs!$C$24)-Inputs!$C$25*S50+U50+V50</f>
        <v/>
      </c>
      <c r="X50" s="39">
        <f>X49+W50</f>
        <v/>
      </c>
      <c r="Z50" s="40">
        <f>(1-Products!$E$41)^$A50</f>
        <v/>
      </c>
      <c r="AA50" s="39">
        <f>IF(AND($A50&gt;=1,$A50&lt;=Products!$E$16),Products!$E$33,0)</f>
        <v/>
      </c>
      <c r="AB50" s="39">
        <f>AA50*Products!$E$42*Z50</f>
        <v/>
      </c>
      <c r="AC50" s="39">
        <f>AA50-AB50</f>
        <v/>
      </c>
      <c r="AD50" s="39">
        <f>(1-Z50)*MAX(0,Products!$E$16-$A50)*(Products!$E$33-Products!$E$35/Products!$E$16)</f>
        <v/>
      </c>
      <c r="AE50" s="40">
        <f>IF($A50&lt;=Products!$E$16,Z50,0)</f>
        <v/>
      </c>
      <c r="AF50" s="40">
        <f>IF(AND($A50&gt;=1,$A50&lt;=Products!$E$16),Z49-Z50,0)</f>
        <v/>
      </c>
      <c r="AG50" s="39">
        <f>IF(AND($A50-Inputs!$C$31&gt;=1,$A50-Inputs!$C$31&lt;=Products!$E$16),INDEX(Curves!$AF$8:$AF$68,$A50-Inputs!$C$31+1),0)*Products!$E$27*Products!$E$28*Products!$E$13</f>
        <v/>
      </c>
      <c r="AH50" s="39">
        <f>IF($A50=Inputs!$C$33,Products!$E$30*Inputs!$C$10*Inputs!$C$32,0)</f>
        <v/>
      </c>
      <c r="AI50" s="39">
        <f>AB50*(1-Inputs!$C$24)-Inputs!$C$25*AE50+AG50+AH50</f>
        <v/>
      </c>
      <c r="AJ50" s="39">
        <f>AJ49+AI50</f>
        <v/>
      </c>
      <c r="AL50" s="40">
        <f>(1-Products!$F$41)^$A50</f>
        <v/>
      </c>
      <c r="AM50" s="39">
        <f>IF(AND($A50&gt;=1,$A50&lt;=Products!$F$16),Products!$F$33,0)</f>
        <v/>
      </c>
      <c r="AN50" s="39">
        <f>AM50*Products!$F$42*AL50</f>
        <v/>
      </c>
      <c r="AO50" s="39">
        <f>AM50-AN50</f>
        <v/>
      </c>
      <c r="AP50" s="39">
        <f>(1-AL50)*MAX(0,Products!$F$16-$A50)*(Products!$F$33-Products!$F$35/Products!$F$16)</f>
        <v/>
      </c>
      <c r="AQ50" s="40">
        <f>IF($A50&lt;=Products!$F$16,AL50,0)</f>
        <v/>
      </c>
      <c r="AR50" s="40">
        <f>IF(AND($A50&gt;=1,$A50&lt;=Products!$F$16),AL49-AL50,0)</f>
        <v/>
      </c>
      <c r="AS50" s="39">
        <f>IF(AND($A50-Inputs!$C$31&gt;=1,$A50-Inputs!$C$31&lt;=Products!$F$16),INDEX(Curves!$AR$8:$AR$68,$A50-Inputs!$C$31+1),0)*Products!$F$27*Products!$F$28*Products!$F$13</f>
        <v/>
      </c>
      <c r="AT50" s="39">
        <f>IF($A50=Inputs!$C$33,Products!$F$30*Inputs!$C$10*Inputs!$C$32,0)</f>
        <v/>
      </c>
      <c r="AU50" s="39">
        <f>AN50*(1-Inputs!$C$24)-Inputs!$C$25*AQ50+AS50+AT50</f>
        <v/>
      </c>
      <c r="AV50" s="39">
        <f>AV49+AU50</f>
        <v/>
      </c>
      <c r="AX50" s="40">
        <f>(1-Products!$G$41)^$A50</f>
        <v/>
      </c>
      <c r="AY50" s="39">
        <f>IF(AND($A50&gt;=1,$A50&lt;=Products!$G$16),Products!$G$33,0)</f>
        <v/>
      </c>
      <c r="AZ50" s="39">
        <f>AY50*Products!$G$42*AX50</f>
        <v/>
      </c>
      <c r="BA50" s="39">
        <f>AY50-AZ50</f>
        <v/>
      </c>
      <c r="BB50" s="39">
        <f>(1-AX50)*MAX(0,Products!$G$16-$A50)*(Products!$G$33-Products!$G$35/Products!$G$16)</f>
        <v/>
      </c>
      <c r="BC50" s="40">
        <f>IF($A50&lt;=Products!$G$16,AX50,0)</f>
        <v/>
      </c>
      <c r="BD50" s="40">
        <f>IF(AND($A50&gt;=1,$A50&lt;=Products!$G$16),AX49-AX50,0)</f>
        <v/>
      </c>
      <c r="BE50" s="39">
        <f>IF(AND($A50-Inputs!$C$31&gt;=1,$A50-Inputs!$C$31&lt;=Products!$G$16),INDEX(Curves!$BD$8:$BD$68,$A50-Inputs!$C$31+1),0)*Products!$G$27*Products!$G$28*Products!$G$13</f>
        <v/>
      </c>
      <c r="BF50" s="39">
        <f>IF($A50=Inputs!$C$33,Products!$G$30*Inputs!$C$10*Inputs!$C$32,0)</f>
        <v/>
      </c>
      <c r="BG50" s="39">
        <f>AZ50*(1-Inputs!$C$24)-Inputs!$C$25*BC50+BE50+BF50</f>
        <v/>
      </c>
      <c r="BH50" s="39">
        <f>BH49+BG50</f>
        <v/>
      </c>
    </row>
    <row r="51">
      <c r="A51" s="46" t="n">
        <v>43</v>
      </c>
      <c r="B51" s="40">
        <f>(1-Products!$C$41)^$A51</f>
        <v/>
      </c>
      <c r="C51" s="39">
        <f>IF(AND($A51&gt;=1,$A51&lt;=Products!$C$16),Products!$C$33,0)</f>
        <v/>
      </c>
      <c r="D51" s="39">
        <f>C51*Products!$C$42*B51</f>
        <v/>
      </c>
      <c r="E51" s="39">
        <f>C51-D51</f>
        <v/>
      </c>
      <c r="F51" s="39">
        <f>(1-B51)*MAX(0,Products!$C$16-$A51)*(Products!$C$33-Products!$C$35/Products!$C$16)</f>
        <v/>
      </c>
      <c r="G51" s="40">
        <f>IF($A51&lt;=Products!$C$16,B51,0)</f>
        <v/>
      </c>
      <c r="H51" s="40">
        <f>IF(AND($A51&gt;=1,$A51&lt;=Products!$C$16),B50-B51,0)</f>
        <v/>
      </c>
      <c r="I51" s="39">
        <f>IF(AND($A51-Inputs!$C$31&gt;=1,$A51-Inputs!$C$31&lt;=Products!$C$16),INDEX(Curves!$H$8:$H$68,$A51-Inputs!$C$31+1),0)*Products!$C$27*Products!$C$28*Products!$C$13</f>
        <v/>
      </c>
      <c r="J51" s="39">
        <f>IF($A51=Inputs!$C$33,Products!$C$30*Inputs!$C$10*Inputs!$C$32,0)</f>
        <v/>
      </c>
      <c r="K51" s="39">
        <f>D51*(1-Inputs!$C$24)-Inputs!$C$25*G51+I51+J51</f>
        <v/>
      </c>
      <c r="L51" s="39">
        <f>L50+K51</f>
        <v/>
      </c>
      <c r="N51" s="40">
        <f>(1-Products!$D$41)^$A51</f>
        <v/>
      </c>
      <c r="O51" s="39">
        <f>IF(AND($A51&gt;=1,$A51&lt;=Products!$D$16),Products!$D$33,0)</f>
        <v/>
      </c>
      <c r="P51" s="39">
        <f>O51*Products!$D$42*N51</f>
        <v/>
      </c>
      <c r="Q51" s="39">
        <f>O51-P51</f>
        <v/>
      </c>
      <c r="R51" s="39">
        <f>(1-N51)*MAX(0,Products!$D$16-$A51)*(Products!$D$33-Products!$D$35/Products!$D$16)</f>
        <v/>
      </c>
      <c r="S51" s="40">
        <f>IF($A51&lt;=Products!$D$16,N51,0)</f>
        <v/>
      </c>
      <c r="T51" s="40">
        <f>IF(AND($A51&gt;=1,$A51&lt;=Products!$D$16),N50-N51,0)</f>
        <v/>
      </c>
      <c r="U51" s="39">
        <f>IF(AND($A51-Inputs!$C$31&gt;=1,$A51-Inputs!$C$31&lt;=Products!$D$16),INDEX(Curves!$T$8:$T$68,$A51-Inputs!$C$31+1),0)*Products!$D$27*Products!$D$28*Products!$D$13</f>
        <v/>
      </c>
      <c r="V51" s="39">
        <f>IF($A51=Inputs!$C$33,Products!$D$30*Inputs!$C$10*Inputs!$C$32,0)</f>
        <v/>
      </c>
      <c r="W51" s="39">
        <f>P51*(1-Inputs!$C$24)-Inputs!$C$25*S51+U51+V51</f>
        <v/>
      </c>
      <c r="X51" s="39">
        <f>X50+W51</f>
        <v/>
      </c>
      <c r="Z51" s="40">
        <f>(1-Products!$E$41)^$A51</f>
        <v/>
      </c>
      <c r="AA51" s="39">
        <f>IF(AND($A51&gt;=1,$A51&lt;=Products!$E$16),Products!$E$33,0)</f>
        <v/>
      </c>
      <c r="AB51" s="39">
        <f>AA51*Products!$E$42*Z51</f>
        <v/>
      </c>
      <c r="AC51" s="39">
        <f>AA51-AB51</f>
        <v/>
      </c>
      <c r="AD51" s="39">
        <f>(1-Z51)*MAX(0,Products!$E$16-$A51)*(Products!$E$33-Products!$E$35/Products!$E$16)</f>
        <v/>
      </c>
      <c r="AE51" s="40">
        <f>IF($A51&lt;=Products!$E$16,Z51,0)</f>
        <v/>
      </c>
      <c r="AF51" s="40">
        <f>IF(AND($A51&gt;=1,$A51&lt;=Products!$E$16),Z50-Z51,0)</f>
        <v/>
      </c>
      <c r="AG51" s="39">
        <f>IF(AND($A51-Inputs!$C$31&gt;=1,$A51-Inputs!$C$31&lt;=Products!$E$16),INDEX(Curves!$AF$8:$AF$68,$A51-Inputs!$C$31+1),0)*Products!$E$27*Products!$E$28*Products!$E$13</f>
        <v/>
      </c>
      <c r="AH51" s="39">
        <f>IF($A51=Inputs!$C$33,Products!$E$30*Inputs!$C$10*Inputs!$C$32,0)</f>
        <v/>
      </c>
      <c r="AI51" s="39">
        <f>AB51*(1-Inputs!$C$24)-Inputs!$C$25*AE51+AG51+AH51</f>
        <v/>
      </c>
      <c r="AJ51" s="39">
        <f>AJ50+AI51</f>
        <v/>
      </c>
      <c r="AL51" s="40">
        <f>(1-Products!$F$41)^$A51</f>
        <v/>
      </c>
      <c r="AM51" s="39">
        <f>IF(AND($A51&gt;=1,$A51&lt;=Products!$F$16),Products!$F$33,0)</f>
        <v/>
      </c>
      <c r="AN51" s="39">
        <f>AM51*Products!$F$42*AL51</f>
        <v/>
      </c>
      <c r="AO51" s="39">
        <f>AM51-AN51</f>
        <v/>
      </c>
      <c r="AP51" s="39">
        <f>(1-AL51)*MAX(0,Products!$F$16-$A51)*(Products!$F$33-Products!$F$35/Products!$F$16)</f>
        <v/>
      </c>
      <c r="AQ51" s="40">
        <f>IF($A51&lt;=Products!$F$16,AL51,0)</f>
        <v/>
      </c>
      <c r="AR51" s="40">
        <f>IF(AND($A51&gt;=1,$A51&lt;=Products!$F$16),AL50-AL51,0)</f>
        <v/>
      </c>
      <c r="AS51" s="39">
        <f>IF(AND($A51-Inputs!$C$31&gt;=1,$A51-Inputs!$C$31&lt;=Products!$F$16),INDEX(Curves!$AR$8:$AR$68,$A51-Inputs!$C$31+1),0)*Products!$F$27*Products!$F$28*Products!$F$13</f>
        <v/>
      </c>
      <c r="AT51" s="39">
        <f>IF($A51=Inputs!$C$33,Products!$F$30*Inputs!$C$10*Inputs!$C$32,0)</f>
        <v/>
      </c>
      <c r="AU51" s="39">
        <f>AN51*(1-Inputs!$C$24)-Inputs!$C$25*AQ51+AS51+AT51</f>
        <v/>
      </c>
      <c r="AV51" s="39">
        <f>AV50+AU51</f>
        <v/>
      </c>
      <c r="AX51" s="40">
        <f>(1-Products!$G$41)^$A51</f>
        <v/>
      </c>
      <c r="AY51" s="39">
        <f>IF(AND($A51&gt;=1,$A51&lt;=Products!$G$16),Products!$G$33,0)</f>
        <v/>
      </c>
      <c r="AZ51" s="39">
        <f>AY51*Products!$G$42*AX51</f>
        <v/>
      </c>
      <c r="BA51" s="39">
        <f>AY51-AZ51</f>
        <v/>
      </c>
      <c r="BB51" s="39">
        <f>(1-AX51)*MAX(0,Products!$G$16-$A51)*(Products!$G$33-Products!$G$35/Products!$G$16)</f>
        <v/>
      </c>
      <c r="BC51" s="40">
        <f>IF($A51&lt;=Products!$G$16,AX51,0)</f>
        <v/>
      </c>
      <c r="BD51" s="40">
        <f>IF(AND($A51&gt;=1,$A51&lt;=Products!$G$16),AX50-AX51,0)</f>
        <v/>
      </c>
      <c r="BE51" s="39">
        <f>IF(AND($A51-Inputs!$C$31&gt;=1,$A51-Inputs!$C$31&lt;=Products!$G$16),INDEX(Curves!$BD$8:$BD$68,$A51-Inputs!$C$31+1),0)*Products!$G$27*Products!$G$28*Products!$G$13</f>
        <v/>
      </c>
      <c r="BF51" s="39">
        <f>IF($A51=Inputs!$C$33,Products!$G$30*Inputs!$C$10*Inputs!$C$32,0)</f>
        <v/>
      </c>
      <c r="BG51" s="39">
        <f>AZ51*(1-Inputs!$C$24)-Inputs!$C$25*BC51+BE51+BF51</f>
        <v/>
      </c>
      <c r="BH51" s="39">
        <f>BH50+BG51</f>
        <v/>
      </c>
    </row>
    <row r="52">
      <c r="A52" s="46" t="n">
        <v>44</v>
      </c>
      <c r="B52" s="40">
        <f>(1-Products!$C$41)^$A52</f>
        <v/>
      </c>
      <c r="C52" s="39">
        <f>IF(AND($A52&gt;=1,$A52&lt;=Products!$C$16),Products!$C$33,0)</f>
        <v/>
      </c>
      <c r="D52" s="39">
        <f>C52*Products!$C$42*B52</f>
        <v/>
      </c>
      <c r="E52" s="39">
        <f>C52-D52</f>
        <v/>
      </c>
      <c r="F52" s="39">
        <f>(1-B52)*MAX(0,Products!$C$16-$A52)*(Products!$C$33-Products!$C$35/Products!$C$16)</f>
        <v/>
      </c>
      <c r="G52" s="40">
        <f>IF($A52&lt;=Products!$C$16,B52,0)</f>
        <v/>
      </c>
      <c r="H52" s="40">
        <f>IF(AND($A52&gt;=1,$A52&lt;=Products!$C$16),B51-B52,0)</f>
        <v/>
      </c>
      <c r="I52" s="39">
        <f>IF(AND($A52-Inputs!$C$31&gt;=1,$A52-Inputs!$C$31&lt;=Products!$C$16),INDEX(Curves!$H$8:$H$68,$A52-Inputs!$C$31+1),0)*Products!$C$27*Products!$C$28*Products!$C$13</f>
        <v/>
      </c>
      <c r="J52" s="39">
        <f>IF($A52=Inputs!$C$33,Products!$C$30*Inputs!$C$10*Inputs!$C$32,0)</f>
        <v/>
      </c>
      <c r="K52" s="39">
        <f>D52*(1-Inputs!$C$24)-Inputs!$C$25*G52+I52+J52</f>
        <v/>
      </c>
      <c r="L52" s="39">
        <f>L51+K52</f>
        <v/>
      </c>
      <c r="N52" s="40">
        <f>(1-Products!$D$41)^$A52</f>
        <v/>
      </c>
      <c r="O52" s="39">
        <f>IF(AND($A52&gt;=1,$A52&lt;=Products!$D$16),Products!$D$33,0)</f>
        <v/>
      </c>
      <c r="P52" s="39">
        <f>O52*Products!$D$42*N52</f>
        <v/>
      </c>
      <c r="Q52" s="39">
        <f>O52-P52</f>
        <v/>
      </c>
      <c r="R52" s="39">
        <f>(1-N52)*MAX(0,Products!$D$16-$A52)*(Products!$D$33-Products!$D$35/Products!$D$16)</f>
        <v/>
      </c>
      <c r="S52" s="40">
        <f>IF($A52&lt;=Products!$D$16,N52,0)</f>
        <v/>
      </c>
      <c r="T52" s="40">
        <f>IF(AND($A52&gt;=1,$A52&lt;=Products!$D$16),N51-N52,0)</f>
        <v/>
      </c>
      <c r="U52" s="39">
        <f>IF(AND($A52-Inputs!$C$31&gt;=1,$A52-Inputs!$C$31&lt;=Products!$D$16),INDEX(Curves!$T$8:$T$68,$A52-Inputs!$C$31+1),0)*Products!$D$27*Products!$D$28*Products!$D$13</f>
        <v/>
      </c>
      <c r="V52" s="39">
        <f>IF($A52=Inputs!$C$33,Products!$D$30*Inputs!$C$10*Inputs!$C$32,0)</f>
        <v/>
      </c>
      <c r="W52" s="39">
        <f>P52*(1-Inputs!$C$24)-Inputs!$C$25*S52+U52+V52</f>
        <v/>
      </c>
      <c r="X52" s="39">
        <f>X51+W52</f>
        <v/>
      </c>
      <c r="Z52" s="40">
        <f>(1-Products!$E$41)^$A52</f>
        <v/>
      </c>
      <c r="AA52" s="39">
        <f>IF(AND($A52&gt;=1,$A52&lt;=Products!$E$16),Products!$E$33,0)</f>
        <v/>
      </c>
      <c r="AB52" s="39">
        <f>AA52*Products!$E$42*Z52</f>
        <v/>
      </c>
      <c r="AC52" s="39">
        <f>AA52-AB52</f>
        <v/>
      </c>
      <c r="AD52" s="39">
        <f>(1-Z52)*MAX(0,Products!$E$16-$A52)*(Products!$E$33-Products!$E$35/Products!$E$16)</f>
        <v/>
      </c>
      <c r="AE52" s="40">
        <f>IF($A52&lt;=Products!$E$16,Z52,0)</f>
        <v/>
      </c>
      <c r="AF52" s="40">
        <f>IF(AND($A52&gt;=1,$A52&lt;=Products!$E$16),Z51-Z52,0)</f>
        <v/>
      </c>
      <c r="AG52" s="39">
        <f>IF(AND($A52-Inputs!$C$31&gt;=1,$A52-Inputs!$C$31&lt;=Products!$E$16),INDEX(Curves!$AF$8:$AF$68,$A52-Inputs!$C$31+1),0)*Products!$E$27*Products!$E$28*Products!$E$13</f>
        <v/>
      </c>
      <c r="AH52" s="39">
        <f>IF($A52=Inputs!$C$33,Products!$E$30*Inputs!$C$10*Inputs!$C$32,0)</f>
        <v/>
      </c>
      <c r="AI52" s="39">
        <f>AB52*(1-Inputs!$C$24)-Inputs!$C$25*AE52+AG52+AH52</f>
        <v/>
      </c>
      <c r="AJ52" s="39">
        <f>AJ51+AI52</f>
        <v/>
      </c>
      <c r="AL52" s="40">
        <f>(1-Products!$F$41)^$A52</f>
        <v/>
      </c>
      <c r="AM52" s="39">
        <f>IF(AND($A52&gt;=1,$A52&lt;=Products!$F$16),Products!$F$33,0)</f>
        <v/>
      </c>
      <c r="AN52" s="39">
        <f>AM52*Products!$F$42*AL52</f>
        <v/>
      </c>
      <c r="AO52" s="39">
        <f>AM52-AN52</f>
        <v/>
      </c>
      <c r="AP52" s="39">
        <f>(1-AL52)*MAX(0,Products!$F$16-$A52)*(Products!$F$33-Products!$F$35/Products!$F$16)</f>
        <v/>
      </c>
      <c r="AQ52" s="40">
        <f>IF($A52&lt;=Products!$F$16,AL52,0)</f>
        <v/>
      </c>
      <c r="AR52" s="40">
        <f>IF(AND($A52&gt;=1,$A52&lt;=Products!$F$16),AL51-AL52,0)</f>
        <v/>
      </c>
      <c r="AS52" s="39">
        <f>IF(AND($A52-Inputs!$C$31&gt;=1,$A52-Inputs!$C$31&lt;=Products!$F$16),INDEX(Curves!$AR$8:$AR$68,$A52-Inputs!$C$31+1),0)*Products!$F$27*Products!$F$28*Products!$F$13</f>
        <v/>
      </c>
      <c r="AT52" s="39">
        <f>IF($A52=Inputs!$C$33,Products!$F$30*Inputs!$C$10*Inputs!$C$32,0)</f>
        <v/>
      </c>
      <c r="AU52" s="39">
        <f>AN52*(1-Inputs!$C$24)-Inputs!$C$25*AQ52+AS52+AT52</f>
        <v/>
      </c>
      <c r="AV52" s="39">
        <f>AV51+AU52</f>
        <v/>
      </c>
      <c r="AX52" s="40">
        <f>(1-Products!$G$41)^$A52</f>
        <v/>
      </c>
      <c r="AY52" s="39">
        <f>IF(AND($A52&gt;=1,$A52&lt;=Products!$G$16),Products!$G$33,0)</f>
        <v/>
      </c>
      <c r="AZ52" s="39">
        <f>AY52*Products!$G$42*AX52</f>
        <v/>
      </c>
      <c r="BA52" s="39">
        <f>AY52-AZ52</f>
        <v/>
      </c>
      <c r="BB52" s="39">
        <f>(1-AX52)*MAX(0,Products!$G$16-$A52)*(Products!$G$33-Products!$G$35/Products!$G$16)</f>
        <v/>
      </c>
      <c r="BC52" s="40">
        <f>IF($A52&lt;=Products!$G$16,AX52,0)</f>
        <v/>
      </c>
      <c r="BD52" s="40">
        <f>IF(AND($A52&gt;=1,$A52&lt;=Products!$G$16),AX51-AX52,0)</f>
        <v/>
      </c>
      <c r="BE52" s="39">
        <f>IF(AND($A52-Inputs!$C$31&gt;=1,$A52-Inputs!$C$31&lt;=Products!$G$16),INDEX(Curves!$BD$8:$BD$68,$A52-Inputs!$C$31+1),0)*Products!$G$27*Products!$G$28*Products!$G$13</f>
        <v/>
      </c>
      <c r="BF52" s="39">
        <f>IF($A52=Inputs!$C$33,Products!$G$30*Inputs!$C$10*Inputs!$C$32,0)</f>
        <v/>
      </c>
      <c r="BG52" s="39">
        <f>AZ52*(1-Inputs!$C$24)-Inputs!$C$25*BC52+BE52+BF52</f>
        <v/>
      </c>
      <c r="BH52" s="39">
        <f>BH51+BG52</f>
        <v/>
      </c>
    </row>
    <row r="53">
      <c r="A53" s="46" t="n">
        <v>45</v>
      </c>
      <c r="B53" s="40">
        <f>(1-Products!$C$41)^$A53</f>
        <v/>
      </c>
      <c r="C53" s="39">
        <f>IF(AND($A53&gt;=1,$A53&lt;=Products!$C$16),Products!$C$33,0)</f>
        <v/>
      </c>
      <c r="D53" s="39">
        <f>C53*Products!$C$42*B53</f>
        <v/>
      </c>
      <c r="E53" s="39">
        <f>C53-D53</f>
        <v/>
      </c>
      <c r="F53" s="39">
        <f>(1-B53)*MAX(0,Products!$C$16-$A53)*(Products!$C$33-Products!$C$35/Products!$C$16)</f>
        <v/>
      </c>
      <c r="G53" s="40">
        <f>IF($A53&lt;=Products!$C$16,B53,0)</f>
        <v/>
      </c>
      <c r="H53" s="40">
        <f>IF(AND($A53&gt;=1,$A53&lt;=Products!$C$16),B52-B53,0)</f>
        <v/>
      </c>
      <c r="I53" s="39">
        <f>IF(AND($A53-Inputs!$C$31&gt;=1,$A53-Inputs!$C$31&lt;=Products!$C$16),INDEX(Curves!$H$8:$H$68,$A53-Inputs!$C$31+1),0)*Products!$C$27*Products!$C$28*Products!$C$13</f>
        <v/>
      </c>
      <c r="J53" s="39">
        <f>IF($A53=Inputs!$C$33,Products!$C$30*Inputs!$C$10*Inputs!$C$32,0)</f>
        <v/>
      </c>
      <c r="K53" s="39">
        <f>D53*(1-Inputs!$C$24)-Inputs!$C$25*G53+I53+J53</f>
        <v/>
      </c>
      <c r="L53" s="39">
        <f>L52+K53</f>
        <v/>
      </c>
      <c r="N53" s="40">
        <f>(1-Products!$D$41)^$A53</f>
        <v/>
      </c>
      <c r="O53" s="39">
        <f>IF(AND($A53&gt;=1,$A53&lt;=Products!$D$16),Products!$D$33,0)</f>
        <v/>
      </c>
      <c r="P53" s="39">
        <f>O53*Products!$D$42*N53</f>
        <v/>
      </c>
      <c r="Q53" s="39">
        <f>O53-P53</f>
        <v/>
      </c>
      <c r="R53" s="39">
        <f>(1-N53)*MAX(0,Products!$D$16-$A53)*(Products!$D$33-Products!$D$35/Products!$D$16)</f>
        <v/>
      </c>
      <c r="S53" s="40">
        <f>IF($A53&lt;=Products!$D$16,N53,0)</f>
        <v/>
      </c>
      <c r="T53" s="40">
        <f>IF(AND($A53&gt;=1,$A53&lt;=Products!$D$16),N52-N53,0)</f>
        <v/>
      </c>
      <c r="U53" s="39">
        <f>IF(AND($A53-Inputs!$C$31&gt;=1,$A53-Inputs!$C$31&lt;=Products!$D$16),INDEX(Curves!$T$8:$T$68,$A53-Inputs!$C$31+1),0)*Products!$D$27*Products!$D$28*Products!$D$13</f>
        <v/>
      </c>
      <c r="V53" s="39">
        <f>IF($A53=Inputs!$C$33,Products!$D$30*Inputs!$C$10*Inputs!$C$32,0)</f>
        <v/>
      </c>
      <c r="W53" s="39">
        <f>P53*(1-Inputs!$C$24)-Inputs!$C$25*S53+U53+V53</f>
        <v/>
      </c>
      <c r="X53" s="39">
        <f>X52+W53</f>
        <v/>
      </c>
      <c r="Z53" s="40">
        <f>(1-Products!$E$41)^$A53</f>
        <v/>
      </c>
      <c r="AA53" s="39">
        <f>IF(AND($A53&gt;=1,$A53&lt;=Products!$E$16),Products!$E$33,0)</f>
        <v/>
      </c>
      <c r="AB53" s="39">
        <f>AA53*Products!$E$42*Z53</f>
        <v/>
      </c>
      <c r="AC53" s="39">
        <f>AA53-AB53</f>
        <v/>
      </c>
      <c r="AD53" s="39">
        <f>(1-Z53)*MAX(0,Products!$E$16-$A53)*(Products!$E$33-Products!$E$35/Products!$E$16)</f>
        <v/>
      </c>
      <c r="AE53" s="40">
        <f>IF($A53&lt;=Products!$E$16,Z53,0)</f>
        <v/>
      </c>
      <c r="AF53" s="40">
        <f>IF(AND($A53&gt;=1,$A53&lt;=Products!$E$16),Z52-Z53,0)</f>
        <v/>
      </c>
      <c r="AG53" s="39">
        <f>IF(AND($A53-Inputs!$C$31&gt;=1,$A53-Inputs!$C$31&lt;=Products!$E$16),INDEX(Curves!$AF$8:$AF$68,$A53-Inputs!$C$31+1),0)*Products!$E$27*Products!$E$28*Products!$E$13</f>
        <v/>
      </c>
      <c r="AH53" s="39">
        <f>IF($A53=Inputs!$C$33,Products!$E$30*Inputs!$C$10*Inputs!$C$32,0)</f>
        <v/>
      </c>
      <c r="AI53" s="39">
        <f>AB53*(1-Inputs!$C$24)-Inputs!$C$25*AE53+AG53+AH53</f>
        <v/>
      </c>
      <c r="AJ53" s="39">
        <f>AJ52+AI53</f>
        <v/>
      </c>
      <c r="AL53" s="40">
        <f>(1-Products!$F$41)^$A53</f>
        <v/>
      </c>
      <c r="AM53" s="39">
        <f>IF(AND($A53&gt;=1,$A53&lt;=Products!$F$16),Products!$F$33,0)</f>
        <v/>
      </c>
      <c r="AN53" s="39">
        <f>AM53*Products!$F$42*AL53</f>
        <v/>
      </c>
      <c r="AO53" s="39">
        <f>AM53-AN53</f>
        <v/>
      </c>
      <c r="AP53" s="39">
        <f>(1-AL53)*MAX(0,Products!$F$16-$A53)*(Products!$F$33-Products!$F$35/Products!$F$16)</f>
        <v/>
      </c>
      <c r="AQ53" s="40">
        <f>IF($A53&lt;=Products!$F$16,AL53,0)</f>
        <v/>
      </c>
      <c r="AR53" s="40">
        <f>IF(AND($A53&gt;=1,$A53&lt;=Products!$F$16),AL52-AL53,0)</f>
        <v/>
      </c>
      <c r="AS53" s="39">
        <f>IF(AND($A53-Inputs!$C$31&gt;=1,$A53-Inputs!$C$31&lt;=Products!$F$16),INDEX(Curves!$AR$8:$AR$68,$A53-Inputs!$C$31+1),0)*Products!$F$27*Products!$F$28*Products!$F$13</f>
        <v/>
      </c>
      <c r="AT53" s="39">
        <f>IF($A53=Inputs!$C$33,Products!$F$30*Inputs!$C$10*Inputs!$C$32,0)</f>
        <v/>
      </c>
      <c r="AU53" s="39">
        <f>AN53*(1-Inputs!$C$24)-Inputs!$C$25*AQ53+AS53+AT53</f>
        <v/>
      </c>
      <c r="AV53" s="39">
        <f>AV52+AU53</f>
        <v/>
      </c>
      <c r="AX53" s="40">
        <f>(1-Products!$G$41)^$A53</f>
        <v/>
      </c>
      <c r="AY53" s="39">
        <f>IF(AND($A53&gt;=1,$A53&lt;=Products!$G$16),Products!$G$33,0)</f>
        <v/>
      </c>
      <c r="AZ53" s="39">
        <f>AY53*Products!$G$42*AX53</f>
        <v/>
      </c>
      <c r="BA53" s="39">
        <f>AY53-AZ53</f>
        <v/>
      </c>
      <c r="BB53" s="39">
        <f>(1-AX53)*MAX(0,Products!$G$16-$A53)*(Products!$G$33-Products!$G$35/Products!$G$16)</f>
        <v/>
      </c>
      <c r="BC53" s="40">
        <f>IF($A53&lt;=Products!$G$16,AX53,0)</f>
        <v/>
      </c>
      <c r="BD53" s="40">
        <f>IF(AND($A53&gt;=1,$A53&lt;=Products!$G$16),AX52-AX53,0)</f>
        <v/>
      </c>
      <c r="BE53" s="39">
        <f>IF(AND($A53-Inputs!$C$31&gt;=1,$A53-Inputs!$C$31&lt;=Products!$G$16),INDEX(Curves!$BD$8:$BD$68,$A53-Inputs!$C$31+1),0)*Products!$G$27*Products!$G$28*Products!$G$13</f>
        <v/>
      </c>
      <c r="BF53" s="39">
        <f>IF($A53=Inputs!$C$33,Products!$G$30*Inputs!$C$10*Inputs!$C$32,0)</f>
        <v/>
      </c>
      <c r="BG53" s="39">
        <f>AZ53*(1-Inputs!$C$24)-Inputs!$C$25*BC53+BE53+BF53</f>
        <v/>
      </c>
      <c r="BH53" s="39">
        <f>BH52+BG53</f>
        <v/>
      </c>
    </row>
    <row r="54">
      <c r="A54" s="46" t="n">
        <v>46</v>
      </c>
      <c r="B54" s="40">
        <f>(1-Products!$C$41)^$A54</f>
        <v/>
      </c>
      <c r="C54" s="39">
        <f>IF(AND($A54&gt;=1,$A54&lt;=Products!$C$16),Products!$C$33,0)</f>
        <v/>
      </c>
      <c r="D54" s="39">
        <f>C54*Products!$C$42*B54</f>
        <v/>
      </c>
      <c r="E54" s="39">
        <f>C54-D54</f>
        <v/>
      </c>
      <c r="F54" s="39">
        <f>(1-B54)*MAX(0,Products!$C$16-$A54)*(Products!$C$33-Products!$C$35/Products!$C$16)</f>
        <v/>
      </c>
      <c r="G54" s="40">
        <f>IF($A54&lt;=Products!$C$16,B54,0)</f>
        <v/>
      </c>
      <c r="H54" s="40">
        <f>IF(AND($A54&gt;=1,$A54&lt;=Products!$C$16),B53-B54,0)</f>
        <v/>
      </c>
      <c r="I54" s="39">
        <f>IF(AND($A54-Inputs!$C$31&gt;=1,$A54-Inputs!$C$31&lt;=Products!$C$16),INDEX(Curves!$H$8:$H$68,$A54-Inputs!$C$31+1),0)*Products!$C$27*Products!$C$28*Products!$C$13</f>
        <v/>
      </c>
      <c r="J54" s="39">
        <f>IF($A54=Inputs!$C$33,Products!$C$30*Inputs!$C$10*Inputs!$C$32,0)</f>
        <v/>
      </c>
      <c r="K54" s="39">
        <f>D54*(1-Inputs!$C$24)-Inputs!$C$25*G54+I54+J54</f>
        <v/>
      </c>
      <c r="L54" s="39">
        <f>L53+K54</f>
        <v/>
      </c>
      <c r="N54" s="40">
        <f>(1-Products!$D$41)^$A54</f>
        <v/>
      </c>
      <c r="O54" s="39">
        <f>IF(AND($A54&gt;=1,$A54&lt;=Products!$D$16),Products!$D$33,0)</f>
        <v/>
      </c>
      <c r="P54" s="39">
        <f>O54*Products!$D$42*N54</f>
        <v/>
      </c>
      <c r="Q54" s="39">
        <f>O54-P54</f>
        <v/>
      </c>
      <c r="R54" s="39">
        <f>(1-N54)*MAX(0,Products!$D$16-$A54)*(Products!$D$33-Products!$D$35/Products!$D$16)</f>
        <v/>
      </c>
      <c r="S54" s="40">
        <f>IF($A54&lt;=Products!$D$16,N54,0)</f>
        <v/>
      </c>
      <c r="T54" s="40">
        <f>IF(AND($A54&gt;=1,$A54&lt;=Products!$D$16),N53-N54,0)</f>
        <v/>
      </c>
      <c r="U54" s="39">
        <f>IF(AND($A54-Inputs!$C$31&gt;=1,$A54-Inputs!$C$31&lt;=Products!$D$16),INDEX(Curves!$T$8:$T$68,$A54-Inputs!$C$31+1),0)*Products!$D$27*Products!$D$28*Products!$D$13</f>
        <v/>
      </c>
      <c r="V54" s="39">
        <f>IF($A54=Inputs!$C$33,Products!$D$30*Inputs!$C$10*Inputs!$C$32,0)</f>
        <v/>
      </c>
      <c r="W54" s="39">
        <f>P54*(1-Inputs!$C$24)-Inputs!$C$25*S54+U54+V54</f>
        <v/>
      </c>
      <c r="X54" s="39">
        <f>X53+W54</f>
        <v/>
      </c>
      <c r="Z54" s="40">
        <f>(1-Products!$E$41)^$A54</f>
        <v/>
      </c>
      <c r="AA54" s="39">
        <f>IF(AND($A54&gt;=1,$A54&lt;=Products!$E$16),Products!$E$33,0)</f>
        <v/>
      </c>
      <c r="AB54" s="39">
        <f>AA54*Products!$E$42*Z54</f>
        <v/>
      </c>
      <c r="AC54" s="39">
        <f>AA54-AB54</f>
        <v/>
      </c>
      <c r="AD54" s="39">
        <f>(1-Z54)*MAX(0,Products!$E$16-$A54)*(Products!$E$33-Products!$E$35/Products!$E$16)</f>
        <v/>
      </c>
      <c r="AE54" s="40">
        <f>IF($A54&lt;=Products!$E$16,Z54,0)</f>
        <v/>
      </c>
      <c r="AF54" s="40">
        <f>IF(AND($A54&gt;=1,$A54&lt;=Products!$E$16),Z53-Z54,0)</f>
        <v/>
      </c>
      <c r="AG54" s="39">
        <f>IF(AND($A54-Inputs!$C$31&gt;=1,$A54-Inputs!$C$31&lt;=Products!$E$16),INDEX(Curves!$AF$8:$AF$68,$A54-Inputs!$C$31+1),0)*Products!$E$27*Products!$E$28*Products!$E$13</f>
        <v/>
      </c>
      <c r="AH54" s="39">
        <f>IF($A54=Inputs!$C$33,Products!$E$30*Inputs!$C$10*Inputs!$C$32,0)</f>
        <v/>
      </c>
      <c r="AI54" s="39">
        <f>AB54*(1-Inputs!$C$24)-Inputs!$C$25*AE54+AG54+AH54</f>
        <v/>
      </c>
      <c r="AJ54" s="39">
        <f>AJ53+AI54</f>
        <v/>
      </c>
      <c r="AL54" s="40">
        <f>(1-Products!$F$41)^$A54</f>
        <v/>
      </c>
      <c r="AM54" s="39">
        <f>IF(AND($A54&gt;=1,$A54&lt;=Products!$F$16),Products!$F$33,0)</f>
        <v/>
      </c>
      <c r="AN54" s="39">
        <f>AM54*Products!$F$42*AL54</f>
        <v/>
      </c>
      <c r="AO54" s="39">
        <f>AM54-AN54</f>
        <v/>
      </c>
      <c r="AP54" s="39">
        <f>(1-AL54)*MAX(0,Products!$F$16-$A54)*(Products!$F$33-Products!$F$35/Products!$F$16)</f>
        <v/>
      </c>
      <c r="AQ54" s="40">
        <f>IF($A54&lt;=Products!$F$16,AL54,0)</f>
        <v/>
      </c>
      <c r="AR54" s="40">
        <f>IF(AND($A54&gt;=1,$A54&lt;=Products!$F$16),AL53-AL54,0)</f>
        <v/>
      </c>
      <c r="AS54" s="39">
        <f>IF(AND($A54-Inputs!$C$31&gt;=1,$A54-Inputs!$C$31&lt;=Products!$F$16),INDEX(Curves!$AR$8:$AR$68,$A54-Inputs!$C$31+1),0)*Products!$F$27*Products!$F$28*Products!$F$13</f>
        <v/>
      </c>
      <c r="AT54" s="39">
        <f>IF($A54=Inputs!$C$33,Products!$F$30*Inputs!$C$10*Inputs!$C$32,0)</f>
        <v/>
      </c>
      <c r="AU54" s="39">
        <f>AN54*(1-Inputs!$C$24)-Inputs!$C$25*AQ54+AS54+AT54</f>
        <v/>
      </c>
      <c r="AV54" s="39">
        <f>AV53+AU54</f>
        <v/>
      </c>
      <c r="AX54" s="40">
        <f>(1-Products!$G$41)^$A54</f>
        <v/>
      </c>
      <c r="AY54" s="39">
        <f>IF(AND($A54&gt;=1,$A54&lt;=Products!$G$16),Products!$G$33,0)</f>
        <v/>
      </c>
      <c r="AZ54" s="39">
        <f>AY54*Products!$G$42*AX54</f>
        <v/>
      </c>
      <c r="BA54" s="39">
        <f>AY54-AZ54</f>
        <v/>
      </c>
      <c r="BB54" s="39">
        <f>(1-AX54)*MAX(0,Products!$G$16-$A54)*(Products!$G$33-Products!$G$35/Products!$G$16)</f>
        <v/>
      </c>
      <c r="BC54" s="40">
        <f>IF($A54&lt;=Products!$G$16,AX54,0)</f>
        <v/>
      </c>
      <c r="BD54" s="40">
        <f>IF(AND($A54&gt;=1,$A54&lt;=Products!$G$16),AX53-AX54,0)</f>
        <v/>
      </c>
      <c r="BE54" s="39">
        <f>IF(AND($A54-Inputs!$C$31&gt;=1,$A54-Inputs!$C$31&lt;=Products!$G$16),INDEX(Curves!$BD$8:$BD$68,$A54-Inputs!$C$31+1),0)*Products!$G$27*Products!$G$28*Products!$G$13</f>
        <v/>
      </c>
      <c r="BF54" s="39">
        <f>IF($A54=Inputs!$C$33,Products!$G$30*Inputs!$C$10*Inputs!$C$32,0)</f>
        <v/>
      </c>
      <c r="BG54" s="39">
        <f>AZ54*(1-Inputs!$C$24)-Inputs!$C$25*BC54+BE54+BF54</f>
        <v/>
      </c>
      <c r="BH54" s="39">
        <f>BH53+BG54</f>
        <v/>
      </c>
    </row>
    <row r="55">
      <c r="A55" s="46" t="n">
        <v>47</v>
      </c>
      <c r="B55" s="40">
        <f>(1-Products!$C$41)^$A55</f>
        <v/>
      </c>
      <c r="C55" s="39">
        <f>IF(AND($A55&gt;=1,$A55&lt;=Products!$C$16),Products!$C$33,0)</f>
        <v/>
      </c>
      <c r="D55" s="39">
        <f>C55*Products!$C$42*B55</f>
        <v/>
      </c>
      <c r="E55" s="39">
        <f>C55-D55</f>
        <v/>
      </c>
      <c r="F55" s="39">
        <f>(1-B55)*MAX(0,Products!$C$16-$A55)*(Products!$C$33-Products!$C$35/Products!$C$16)</f>
        <v/>
      </c>
      <c r="G55" s="40">
        <f>IF($A55&lt;=Products!$C$16,B55,0)</f>
        <v/>
      </c>
      <c r="H55" s="40">
        <f>IF(AND($A55&gt;=1,$A55&lt;=Products!$C$16),B54-B55,0)</f>
        <v/>
      </c>
      <c r="I55" s="39">
        <f>IF(AND($A55-Inputs!$C$31&gt;=1,$A55-Inputs!$C$31&lt;=Products!$C$16),INDEX(Curves!$H$8:$H$68,$A55-Inputs!$C$31+1),0)*Products!$C$27*Products!$C$28*Products!$C$13</f>
        <v/>
      </c>
      <c r="J55" s="39">
        <f>IF($A55=Inputs!$C$33,Products!$C$30*Inputs!$C$10*Inputs!$C$32,0)</f>
        <v/>
      </c>
      <c r="K55" s="39">
        <f>D55*(1-Inputs!$C$24)-Inputs!$C$25*G55+I55+J55</f>
        <v/>
      </c>
      <c r="L55" s="39">
        <f>L54+K55</f>
        <v/>
      </c>
      <c r="N55" s="40">
        <f>(1-Products!$D$41)^$A55</f>
        <v/>
      </c>
      <c r="O55" s="39">
        <f>IF(AND($A55&gt;=1,$A55&lt;=Products!$D$16),Products!$D$33,0)</f>
        <v/>
      </c>
      <c r="P55" s="39">
        <f>O55*Products!$D$42*N55</f>
        <v/>
      </c>
      <c r="Q55" s="39">
        <f>O55-P55</f>
        <v/>
      </c>
      <c r="R55" s="39">
        <f>(1-N55)*MAX(0,Products!$D$16-$A55)*(Products!$D$33-Products!$D$35/Products!$D$16)</f>
        <v/>
      </c>
      <c r="S55" s="40">
        <f>IF($A55&lt;=Products!$D$16,N55,0)</f>
        <v/>
      </c>
      <c r="T55" s="40">
        <f>IF(AND($A55&gt;=1,$A55&lt;=Products!$D$16),N54-N55,0)</f>
        <v/>
      </c>
      <c r="U55" s="39">
        <f>IF(AND($A55-Inputs!$C$31&gt;=1,$A55-Inputs!$C$31&lt;=Products!$D$16),INDEX(Curves!$T$8:$T$68,$A55-Inputs!$C$31+1),0)*Products!$D$27*Products!$D$28*Products!$D$13</f>
        <v/>
      </c>
      <c r="V55" s="39">
        <f>IF($A55=Inputs!$C$33,Products!$D$30*Inputs!$C$10*Inputs!$C$32,0)</f>
        <v/>
      </c>
      <c r="W55" s="39">
        <f>P55*(1-Inputs!$C$24)-Inputs!$C$25*S55+U55+V55</f>
        <v/>
      </c>
      <c r="X55" s="39">
        <f>X54+W55</f>
        <v/>
      </c>
      <c r="Z55" s="40">
        <f>(1-Products!$E$41)^$A55</f>
        <v/>
      </c>
      <c r="AA55" s="39">
        <f>IF(AND($A55&gt;=1,$A55&lt;=Products!$E$16),Products!$E$33,0)</f>
        <v/>
      </c>
      <c r="AB55" s="39">
        <f>AA55*Products!$E$42*Z55</f>
        <v/>
      </c>
      <c r="AC55" s="39">
        <f>AA55-AB55</f>
        <v/>
      </c>
      <c r="AD55" s="39">
        <f>(1-Z55)*MAX(0,Products!$E$16-$A55)*(Products!$E$33-Products!$E$35/Products!$E$16)</f>
        <v/>
      </c>
      <c r="AE55" s="40">
        <f>IF($A55&lt;=Products!$E$16,Z55,0)</f>
        <v/>
      </c>
      <c r="AF55" s="40">
        <f>IF(AND($A55&gt;=1,$A55&lt;=Products!$E$16),Z54-Z55,0)</f>
        <v/>
      </c>
      <c r="AG55" s="39">
        <f>IF(AND($A55-Inputs!$C$31&gt;=1,$A55-Inputs!$C$31&lt;=Products!$E$16),INDEX(Curves!$AF$8:$AF$68,$A55-Inputs!$C$31+1),0)*Products!$E$27*Products!$E$28*Products!$E$13</f>
        <v/>
      </c>
      <c r="AH55" s="39">
        <f>IF($A55=Inputs!$C$33,Products!$E$30*Inputs!$C$10*Inputs!$C$32,0)</f>
        <v/>
      </c>
      <c r="AI55" s="39">
        <f>AB55*(1-Inputs!$C$24)-Inputs!$C$25*AE55+AG55+AH55</f>
        <v/>
      </c>
      <c r="AJ55" s="39">
        <f>AJ54+AI55</f>
        <v/>
      </c>
      <c r="AL55" s="40">
        <f>(1-Products!$F$41)^$A55</f>
        <v/>
      </c>
      <c r="AM55" s="39">
        <f>IF(AND($A55&gt;=1,$A55&lt;=Products!$F$16),Products!$F$33,0)</f>
        <v/>
      </c>
      <c r="AN55" s="39">
        <f>AM55*Products!$F$42*AL55</f>
        <v/>
      </c>
      <c r="AO55" s="39">
        <f>AM55-AN55</f>
        <v/>
      </c>
      <c r="AP55" s="39">
        <f>(1-AL55)*MAX(0,Products!$F$16-$A55)*(Products!$F$33-Products!$F$35/Products!$F$16)</f>
        <v/>
      </c>
      <c r="AQ55" s="40">
        <f>IF($A55&lt;=Products!$F$16,AL55,0)</f>
        <v/>
      </c>
      <c r="AR55" s="40">
        <f>IF(AND($A55&gt;=1,$A55&lt;=Products!$F$16),AL54-AL55,0)</f>
        <v/>
      </c>
      <c r="AS55" s="39">
        <f>IF(AND($A55-Inputs!$C$31&gt;=1,$A55-Inputs!$C$31&lt;=Products!$F$16),INDEX(Curves!$AR$8:$AR$68,$A55-Inputs!$C$31+1),0)*Products!$F$27*Products!$F$28*Products!$F$13</f>
        <v/>
      </c>
      <c r="AT55" s="39">
        <f>IF($A55=Inputs!$C$33,Products!$F$30*Inputs!$C$10*Inputs!$C$32,0)</f>
        <v/>
      </c>
      <c r="AU55" s="39">
        <f>AN55*(1-Inputs!$C$24)-Inputs!$C$25*AQ55+AS55+AT55</f>
        <v/>
      </c>
      <c r="AV55" s="39">
        <f>AV54+AU55</f>
        <v/>
      </c>
      <c r="AX55" s="40">
        <f>(1-Products!$G$41)^$A55</f>
        <v/>
      </c>
      <c r="AY55" s="39">
        <f>IF(AND($A55&gt;=1,$A55&lt;=Products!$G$16),Products!$G$33,0)</f>
        <v/>
      </c>
      <c r="AZ55" s="39">
        <f>AY55*Products!$G$42*AX55</f>
        <v/>
      </c>
      <c r="BA55" s="39">
        <f>AY55-AZ55</f>
        <v/>
      </c>
      <c r="BB55" s="39">
        <f>(1-AX55)*MAX(0,Products!$G$16-$A55)*(Products!$G$33-Products!$G$35/Products!$G$16)</f>
        <v/>
      </c>
      <c r="BC55" s="40">
        <f>IF($A55&lt;=Products!$G$16,AX55,0)</f>
        <v/>
      </c>
      <c r="BD55" s="40">
        <f>IF(AND($A55&gt;=1,$A55&lt;=Products!$G$16),AX54-AX55,0)</f>
        <v/>
      </c>
      <c r="BE55" s="39">
        <f>IF(AND($A55-Inputs!$C$31&gt;=1,$A55-Inputs!$C$31&lt;=Products!$G$16),INDEX(Curves!$BD$8:$BD$68,$A55-Inputs!$C$31+1),0)*Products!$G$27*Products!$G$28*Products!$G$13</f>
        <v/>
      </c>
      <c r="BF55" s="39">
        <f>IF($A55=Inputs!$C$33,Products!$G$30*Inputs!$C$10*Inputs!$C$32,0)</f>
        <v/>
      </c>
      <c r="BG55" s="39">
        <f>AZ55*(1-Inputs!$C$24)-Inputs!$C$25*BC55+BE55+BF55</f>
        <v/>
      </c>
      <c r="BH55" s="39">
        <f>BH54+BG55</f>
        <v/>
      </c>
    </row>
    <row r="56">
      <c r="A56" s="46" t="n">
        <v>48</v>
      </c>
      <c r="B56" s="40">
        <f>(1-Products!$C$41)^$A56</f>
        <v/>
      </c>
      <c r="C56" s="39">
        <f>IF(AND($A56&gt;=1,$A56&lt;=Products!$C$16),Products!$C$33,0)</f>
        <v/>
      </c>
      <c r="D56" s="39">
        <f>C56*Products!$C$42*B56</f>
        <v/>
      </c>
      <c r="E56" s="39">
        <f>C56-D56</f>
        <v/>
      </c>
      <c r="F56" s="39">
        <f>(1-B56)*MAX(0,Products!$C$16-$A56)*(Products!$C$33-Products!$C$35/Products!$C$16)</f>
        <v/>
      </c>
      <c r="G56" s="40">
        <f>IF($A56&lt;=Products!$C$16,B56,0)</f>
        <v/>
      </c>
      <c r="H56" s="40">
        <f>IF(AND($A56&gt;=1,$A56&lt;=Products!$C$16),B55-B56,0)</f>
        <v/>
      </c>
      <c r="I56" s="39">
        <f>IF(AND($A56-Inputs!$C$31&gt;=1,$A56-Inputs!$C$31&lt;=Products!$C$16),INDEX(Curves!$H$8:$H$68,$A56-Inputs!$C$31+1),0)*Products!$C$27*Products!$C$28*Products!$C$13</f>
        <v/>
      </c>
      <c r="J56" s="39">
        <f>IF($A56=Inputs!$C$33,Products!$C$30*Inputs!$C$10*Inputs!$C$32,0)</f>
        <v/>
      </c>
      <c r="K56" s="39">
        <f>D56*(1-Inputs!$C$24)-Inputs!$C$25*G56+I56+J56</f>
        <v/>
      </c>
      <c r="L56" s="39">
        <f>L55+K56</f>
        <v/>
      </c>
      <c r="N56" s="40">
        <f>(1-Products!$D$41)^$A56</f>
        <v/>
      </c>
      <c r="O56" s="39">
        <f>IF(AND($A56&gt;=1,$A56&lt;=Products!$D$16),Products!$D$33,0)</f>
        <v/>
      </c>
      <c r="P56" s="39">
        <f>O56*Products!$D$42*N56</f>
        <v/>
      </c>
      <c r="Q56" s="39">
        <f>O56-P56</f>
        <v/>
      </c>
      <c r="R56" s="39">
        <f>(1-N56)*MAX(0,Products!$D$16-$A56)*(Products!$D$33-Products!$D$35/Products!$D$16)</f>
        <v/>
      </c>
      <c r="S56" s="40">
        <f>IF($A56&lt;=Products!$D$16,N56,0)</f>
        <v/>
      </c>
      <c r="T56" s="40">
        <f>IF(AND($A56&gt;=1,$A56&lt;=Products!$D$16),N55-N56,0)</f>
        <v/>
      </c>
      <c r="U56" s="39">
        <f>IF(AND($A56-Inputs!$C$31&gt;=1,$A56-Inputs!$C$31&lt;=Products!$D$16),INDEX(Curves!$T$8:$T$68,$A56-Inputs!$C$31+1),0)*Products!$D$27*Products!$D$28*Products!$D$13</f>
        <v/>
      </c>
      <c r="V56" s="39">
        <f>IF($A56=Inputs!$C$33,Products!$D$30*Inputs!$C$10*Inputs!$C$32,0)</f>
        <v/>
      </c>
      <c r="W56" s="39">
        <f>P56*(1-Inputs!$C$24)-Inputs!$C$25*S56+U56+V56</f>
        <v/>
      </c>
      <c r="X56" s="39">
        <f>X55+W56</f>
        <v/>
      </c>
      <c r="Z56" s="40">
        <f>(1-Products!$E$41)^$A56</f>
        <v/>
      </c>
      <c r="AA56" s="39">
        <f>IF(AND($A56&gt;=1,$A56&lt;=Products!$E$16),Products!$E$33,0)</f>
        <v/>
      </c>
      <c r="AB56" s="39">
        <f>AA56*Products!$E$42*Z56</f>
        <v/>
      </c>
      <c r="AC56" s="39">
        <f>AA56-AB56</f>
        <v/>
      </c>
      <c r="AD56" s="39">
        <f>(1-Z56)*MAX(0,Products!$E$16-$A56)*(Products!$E$33-Products!$E$35/Products!$E$16)</f>
        <v/>
      </c>
      <c r="AE56" s="40">
        <f>IF($A56&lt;=Products!$E$16,Z56,0)</f>
        <v/>
      </c>
      <c r="AF56" s="40">
        <f>IF(AND($A56&gt;=1,$A56&lt;=Products!$E$16),Z55-Z56,0)</f>
        <v/>
      </c>
      <c r="AG56" s="39">
        <f>IF(AND($A56-Inputs!$C$31&gt;=1,$A56-Inputs!$C$31&lt;=Products!$E$16),INDEX(Curves!$AF$8:$AF$68,$A56-Inputs!$C$31+1),0)*Products!$E$27*Products!$E$28*Products!$E$13</f>
        <v/>
      </c>
      <c r="AH56" s="39">
        <f>IF($A56=Inputs!$C$33,Products!$E$30*Inputs!$C$10*Inputs!$C$32,0)</f>
        <v/>
      </c>
      <c r="AI56" s="39">
        <f>AB56*(1-Inputs!$C$24)-Inputs!$C$25*AE56+AG56+AH56</f>
        <v/>
      </c>
      <c r="AJ56" s="39">
        <f>AJ55+AI56</f>
        <v/>
      </c>
      <c r="AL56" s="40">
        <f>(1-Products!$F$41)^$A56</f>
        <v/>
      </c>
      <c r="AM56" s="39">
        <f>IF(AND($A56&gt;=1,$A56&lt;=Products!$F$16),Products!$F$33,0)</f>
        <v/>
      </c>
      <c r="AN56" s="39">
        <f>AM56*Products!$F$42*AL56</f>
        <v/>
      </c>
      <c r="AO56" s="39">
        <f>AM56-AN56</f>
        <v/>
      </c>
      <c r="AP56" s="39">
        <f>(1-AL56)*MAX(0,Products!$F$16-$A56)*(Products!$F$33-Products!$F$35/Products!$F$16)</f>
        <v/>
      </c>
      <c r="AQ56" s="40">
        <f>IF($A56&lt;=Products!$F$16,AL56,0)</f>
        <v/>
      </c>
      <c r="AR56" s="40">
        <f>IF(AND($A56&gt;=1,$A56&lt;=Products!$F$16),AL55-AL56,0)</f>
        <v/>
      </c>
      <c r="AS56" s="39">
        <f>IF(AND($A56-Inputs!$C$31&gt;=1,$A56-Inputs!$C$31&lt;=Products!$F$16),INDEX(Curves!$AR$8:$AR$68,$A56-Inputs!$C$31+1),0)*Products!$F$27*Products!$F$28*Products!$F$13</f>
        <v/>
      </c>
      <c r="AT56" s="39">
        <f>IF($A56=Inputs!$C$33,Products!$F$30*Inputs!$C$10*Inputs!$C$32,0)</f>
        <v/>
      </c>
      <c r="AU56" s="39">
        <f>AN56*(1-Inputs!$C$24)-Inputs!$C$25*AQ56+AS56+AT56</f>
        <v/>
      </c>
      <c r="AV56" s="39">
        <f>AV55+AU56</f>
        <v/>
      </c>
      <c r="AX56" s="40">
        <f>(1-Products!$G$41)^$A56</f>
        <v/>
      </c>
      <c r="AY56" s="39">
        <f>IF(AND($A56&gt;=1,$A56&lt;=Products!$G$16),Products!$G$33,0)</f>
        <v/>
      </c>
      <c r="AZ56" s="39">
        <f>AY56*Products!$G$42*AX56</f>
        <v/>
      </c>
      <c r="BA56" s="39">
        <f>AY56-AZ56</f>
        <v/>
      </c>
      <c r="BB56" s="39">
        <f>(1-AX56)*MAX(0,Products!$G$16-$A56)*(Products!$G$33-Products!$G$35/Products!$G$16)</f>
        <v/>
      </c>
      <c r="BC56" s="40">
        <f>IF($A56&lt;=Products!$G$16,AX56,0)</f>
        <v/>
      </c>
      <c r="BD56" s="40">
        <f>IF(AND($A56&gt;=1,$A56&lt;=Products!$G$16),AX55-AX56,0)</f>
        <v/>
      </c>
      <c r="BE56" s="39">
        <f>IF(AND($A56-Inputs!$C$31&gt;=1,$A56-Inputs!$C$31&lt;=Products!$G$16),INDEX(Curves!$BD$8:$BD$68,$A56-Inputs!$C$31+1),0)*Products!$G$27*Products!$G$28*Products!$G$13</f>
        <v/>
      </c>
      <c r="BF56" s="39">
        <f>IF($A56=Inputs!$C$33,Products!$G$30*Inputs!$C$10*Inputs!$C$32,0)</f>
        <v/>
      </c>
      <c r="BG56" s="39">
        <f>AZ56*(1-Inputs!$C$24)-Inputs!$C$25*BC56+BE56+BF56</f>
        <v/>
      </c>
      <c r="BH56" s="39">
        <f>BH55+BG56</f>
        <v/>
      </c>
    </row>
    <row r="57">
      <c r="A57" s="46" t="n">
        <v>49</v>
      </c>
      <c r="B57" s="40">
        <f>(1-Products!$C$41)^$A57</f>
        <v/>
      </c>
      <c r="C57" s="39">
        <f>IF(AND($A57&gt;=1,$A57&lt;=Products!$C$16),Products!$C$33,0)</f>
        <v/>
      </c>
      <c r="D57" s="39">
        <f>C57*Products!$C$42*B57</f>
        <v/>
      </c>
      <c r="E57" s="39">
        <f>C57-D57</f>
        <v/>
      </c>
      <c r="F57" s="39">
        <f>(1-B57)*MAX(0,Products!$C$16-$A57)*(Products!$C$33-Products!$C$35/Products!$C$16)</f>
        <v/>
      </c>
      <c r="G57" s="40">
        <f>IF($A57&lt;=Products!$C$16,B57,0)</f>
        <v/>
      </c>
      <c r="H57" s="40">
        <f>IF(AND($A57&gt;=1,$A57&lt;=Products!$C$16),B56-B57,0)</f>
        <v/>
      </c>
      <c r="I57" s="39">
        <f>IF(AND($A57-Inputs!$C$31&gt;=1,$A57-Inputs!$C$31&lt;=Products!$C$16),INDEX(Curves!$H$8:$H$68,$A57-Inputs!$C$31+1),0)*Products!$C$27*Products!$C$28*Products!$C$13</f>
        <v/>
      </c>
      <c r="J57" s="39">
        <f>IF($A57=Inputs!$C$33,Products!$C$30*Inputs!$C$10*Inputs!$C$32,0)</f>
        <v/>
      </c>
      <c r="K57" s="39">
        <f>D57*(1-Inputs!$C$24)-Inputs!$C$25*G57+I57+J57</f>
        <v/>
      </c>
      <c r="L57" s="39">
        <f>L56+K57</f>
        <v/>
      </c>
      <c r="N57" s="40">
        <f>(1-Products!$D$41)^$A57</f>
        <v/>
      </c>
      <c r="O57" s="39">
        <f>IF(AND($A57&gt;=1,$A57&lt;=Products!$D$16),Products!$D$33,0)</f>
        <v/>
      </c>
      <c r="P57" s="39">
        <f>O57*Products!$D$42*N57</f>
        <v/>
      </c>
      <c r="Q57" s="39">
        <f>O57-P57</f>
        <v/>
      </c>
      <c r="R57" s="39">
        <f>(1-N57)*MAX(0,Products!$D$16-$A57)*(Products!$D$33-Products!$D$35/Products!$D$16)</f>
        <v/>
      </c>
      <c r="S57" s="40">
        <f>IF($A57&lt;=Products!$D$16,N57,0)</f>
        <v/>
      </c>
      <c r="T57" s="40">
        <f>IF(AND($A57&gt;=1,$A57&lt;=Products!$D$16),N56-N57,0)</f>
        <v/>
      </c>
      <c r="U57" s="39">
        <f>IF(AND($A57-Inputs!$C$31&gt;=1,$A57-Inputs!$C$31&lt;=Products!$D$16),INDEX(Curves!$T$8:$T$68,$A57-Inputs!$C$31+1),0)*Products!$D$27*Products!$D$28*Products!$D$13</f>
        <v/>
      </c>
      <c r="V57" s="39">
        <f>IF($A57=Inputs!$C$33,Products!$D$30*Inputs!$C$10*Inputs!$C$32,0)</f>
        <v/>
      </c>
      <c r="W57" s="39">
        <f>P57*(1-Inputs!$C$24)-Inputs!$C$25*S57+U57+V57</f>
        <v/>
      </c>
      <c r="X57" s="39">
        <f>X56+W57</f>
        <v/>
      </c>
      <c r="Z57" s="40">
        <f>(1-Products!$E$41)^$A57</f>
        <v/>
      </c>
      <c r="AA57" s="39">
        <f>IF(AND($A57&gt;=1,$A57&lt;=Products!$E$16),Products!$E$33,0)</f>
        <v/>
      </c>
      <c r="AB57" s="39">
        <f>AA57*Products!$E$42*Z57</f>
        <v/>
      </c>
      <c r="AC57" s="39">
        <f>AA57-AB57</f>
        <v/>
      </c>
      <c r="AD57" s="39">
        <f>(1-Z57)*MAX(0,Products!$E$16-$A57)*(Products!$E$33-Products!$E$35/Products!$E$16)</f>
        <v/>
      </c>
      <c r="AE57" s="40">
        <f>IF($A57&lt;=Products!$E$16,Z57,0)</f>
        <v/>
      </c>
      <c r="AF57" s="40">
        <f>IF(AND($A57&gt;=1,$A57&lt;=Products!$E$16),Z56-Z57,0)</f>
        <v/>
      </c>
      <c r="AG57" s="39">
        <f>IF(AND($A57-Inputs!$C$31&gt;=1,$A57-Inputs!$C$31&lt;=Products!$E$16),INDEX(Curves!$AF$8:$AF$68,$A57-Inputs!$C$31+1),0)*Products!$E$27*Products!$E$28*Products!$E$13</f>
        <v/>
      </c>
      <c r="AH57" s="39">
        <f>IF($A57=Inputs!$C$33,Products!$E$30*Inputs!$C$10*Inputs!$C$32,0)</f>
        <v/>
      </c>
      <c r="AI57" s="39">
        <f>AB57*(1-Inputs!$C$24)-Inputs!$C$25*AE57+AG57+AH57</f>
        <v/>
      </c>
      <c r="AJ57" s="39">
        <f>AJ56+AI57</f>
        <v/>
      </c>
      <c r="AL57" s="40">
        <f>(1-Products!$F$41)^$A57</f>
        <v/>
      </c>
      <c r="AM57" s="39">
        <f>IF(AND($A57&gt;=1,$A57&lt;=Products!$F$16),Products!$F$33,0)</f>
        <v/>
      </c>
      <c r="AN57" s="39">
        <f>AM57*Products!$F$42*AL57</f>
        <v/>
      </c>
      <c r="AO57" s="39">
        <f>AM57-AN57</f>
        <v/>
      </c>
      <c r="AP57" s="39">
        <f>(1-AL57)*MAX(0,Products!$F$16-$A57)*(Products!$F$33-Products!$F$35/Products!$F$16)</f>
        <v/>
      </c>
      <c r="AQ57" s="40">
        <f>IF($A57&lt;=Products!$F$16,AL57,0)</f>
        <v/>
      </c>
      <c r="AR57" s="40">
        <f>IF(AND($A57&gt;=1,$A57&lt;=Products!$F$16),AL56-AL57,0)</f>
        <v/>
      </c>
      <c r="AS57" s="39">
        <f>IF(AND($A57-Inputs!$C$31&gt;=1,$A57-Inputs!$C$31&lt;=Products!$F$16),INDEX(Curves!$AR$8:$AR$68,$A57-Inputs!$C$31+1),0)*Products!$F$27*Products!$F$28*Products!$F$13</f>
        <v/>
      </c>
      <c r="AT57" s="39">
        <f>IF($A57=Inputs!$C$33,Products!$F$30*Inputs!$C$10*Inputs!$C$32,0)</f>
        <v/>
      </c>
      <c r="AU57" s="39">
        <f>AN57*(1-Inputs!$C$24)-Inputs!$C$25*AQ57+AS57+AT57</f>
        <v/>
      </c>
      <c r="AV57" s="39">
        <f>AV56+AU57</f>
        <v/>
      </c>
      <c r="AX57" s="40">
        <f>(1-Products!$G$41)^$A57</f>
        <v/>
      </c>
      <c r="AY57" s="39">
        <f>IF(AND($A57&gt;=1,$A57&lt;=Products!$G$16),Products!$G$33,0)</f>
        <v/>
      </c>
      <c r="AZ57" s="39">
        <f>AY57*Products!$G$42*AX57</f>
        <v/>
      </c>
      <c r="BA57" s="39">
        <f>AY57-AZ57</f>
        <v/>
      </c>
      <c r="BB57" s="39">
        <f>(1-AX57)*MAX(0,Products!$G$16-$A57)*(Products!$G$33-Products!$G$35/Products!$G$16)</f>
        <v/>
      </c>
      <c r="BC57" s="40">
        <f>IF($A57&lt;=Products!$G$16,AX57,0)</f>
        <v/>
      </c>
      <c r="BD57" s="40">
        <f>IF(AND($A57&gt;=1,$A57&lt;=Products!$G$16),AX56-AX57,0)</f>
        <v/>
      </c>
      <c r="BE57" s="39">
        <f>IF(AND($A57-Inputs!$C$31&gt;=1,$A57-Inputs!$C$31&lt;=Products!$G$16),INDEX(Curves!$BD$8:$BD$68,$A57-Inputs!$C$31+1),0)*Products!$G$27*Products!$G$28*Products!$G$13</f>
        <v/>
      </c>
      <c r="BF57" s="39">
        <f>IF($A57=Inputs!$C$33,Products!$G$30*Inputs!$C$10*Inputs!$C$32,0)</f>
        <v/>
      </c>
      <c r="BG57" s="39">
        <f>AZ57*(1-Inputs!$C$24)-Inputs!$C$25*BC57+BE57+BF57</f>
        <v/>
      </c>
      <c r="BH57" s="39">
        <f>BH56+BG57</f>
        <v/>
      </c>
    </row>
    <row r="58">
      <c r="A58" s="46" t="n">
        <v>50</v>
      </c>
      <c r="B58" s="40">
        <f>(1-Products!$C$41)^$A58</f>
        <v/>
      </c>
      <c r="C58" s="39">
        <f>IF(AND($A58&gt;=1,$A58&lt;=Products!$C$16),Products!$C$33,0)</f>
        <v/>
      </c>
      <c r="D58" s="39">
        <f>C58*Products!$C$42*B58</f>
        <v/>
      </c>
      <c r="E58" s="39">
        <f>C58-D58</f>
        <v/>
      </c>
      <c r="F58" s="39">
        <f>(1-B58)*MAX(0,Products!$C$16-$A58)*(Products!$C$33-Products!$C$35/Products!$C$16)</f>
        <v/>
      </c>
      <c r="G58" s="40">
        <f>IF($A58&lt;=Products!$C$16,B58,0)</f>
        <v/>
      </c>
      <c r="H58" s="40">
        <f>IF(AND($A58&gt;=1,$A58&lt;=Products!$C$16),B57-B58,0)</f>
        <v/>
      </c>
      <c r="I58" s="39">
        <f>IF(AND($A58-Inputs!$C$31&gt;=1,$A58-Inputs!$C$31&lt;=Products!$C$16),INDEX(Curves!$H$8:$H$68,$A58-Inputs!$C$31+1),0)*Products!$C$27*Products!$C$28*Products!$C$13</f>
        <v/>
      </c>
      <c r="J58" s="39">
        <f>IF($A58=Inputs!$C$33,Products!$C$30*Inputs!$C$10*Inputs!$C$32,0)</f>
        <v/>
      </c>
      <c r="K58" s="39">
        <f>D58*(1-Inputs!$C$24)-Inputs!$C$25*G58+I58+J58</f>
        <v/>
      </c>
      <c r="L58" s="39">
        <f>L57+K58</f>
        <v/>
      </c>
      <c r="N58" s="40">
        <f>(1-Products!$D$41)^$A58</f>
        <v/>
      </c>
      <c r="O58" s="39">
        <f>IF(AND($A58&gt;=1,$A58&lt;=Products!$D$16),Products!$D$33,0)</f>
        <v/>
      </c>
      <c r="P58" s="39">
        <f>O58*Products!$D$42*N58</f>
        <v/>
      </c>
      <c r="Q58" s="39">
        <f>O58-P58</f>
        <v/>
      </c>
      <c r="R58" s="39">
        <f>(1-N58)*MAX(0,Products!$D$16-$A58)*(Products!$D$33-Products!$D$35/Products!$D$16)</f>
        <v/>
      </c>
      <c r="S58" s="40">
        <f>IF($A58&lt;=Products!$D$16,N58,0)</f>
        <v/>
      </c>
      <c r="T58" s="40">
        <f>IF(AND($A58&gt;=1,$A58&lt;=Products!$D$16),N57-N58,0)</f>
        <v/>
      </c>
      <c r="U58" s="39">
        <f>IF(AND($A58-Inputs!$C$31&gt;=1,$A58-Inputs!$C$31&lt;=Products!$D$16),INDEX(Curves!$T$8:$T$68,$A58-Inputs!$C$31+1),0)*Products!$D$27*Products!$D$28*Products!$D$13</f>
        <v/>
      </c>
      <c r="V58" s="39">
        <f>IF($A58=Inputs!$C$33,Products!$D$30*Inputs!$C$10*Inputs!$C$32,0)</f>
        <v/>
      </c>
      <c r="W58" s="39">
        <f>P58*(1-Inputs!$C$24)-Inputs!$C$25*S58+U58+V58</f>
        <v/>
      </c>
      <c r="X58" s="39">
        <f>X57+W58</f>
        <v/>
      </c>
      <c r="Z58" s="40">
        <f>(1-Products!$E$41)^$A58</f>
        <v/>
      </c>
      <c r="AA58" s="39">
        <f>IF(AND($A58&gt;=1,$A58&lt;=Products!$E$16),Products!$E$33,0)</f>
        <v/>
      </c>
      <c r="AB58" s="39">
        <f>AA58*Products!$E$42*Z58</f>
        <v/>
      </c>
      <c r="AC58" s="39">
        <f>AA58-AB58</f>
        <v/>
      </c>
      <c r="AD58" s="39">
        <f>(1-Z58)*MAX(0,Products!$E$16-$A58)*(Products!$E$33-Products!$E$35/Products!$E$16)</f>
        <v/>
      </c>
      <c r="AE58" s="40">
        <f>IF($A58&lt;=Products!$E$16,Z58,0)</f>
        <v/>
      </c>
      <c r="AF58" s="40">
        <f>IF(AND($A58&gt;=1,$A58&lt;=Products!$E$16),Z57-Z58,0)</f>
        <v/>
      </c>
      <c r="AG58" s="39">
        <f>IF(AND($A58-Inputs!$C$31&gt;=1,$A58-Inputs!$C$31&lt;=Products!$E$16),INDEX(Curves!$AF$8:$AF$68,$A58-Inputs!$C$31+1),0)*Products!$E$27*Products!$E$28*Products!$E$13</f>
        <v/>
      </c>
      <c r="AH58" s="39">
        <f>IF($A58=Inputs!$C$33,Products!$E$30*Inputs!$C$10*Inputs!$C$32,0)</f>
        <v/>
      </c>
      <c r="AI58" s="39">
        <f>AB58*(1-Inputs!$C$24)-Inputs!$C$25*AE58+AG58+AH58</f>
        <v/>
      </c>
      <c r="AJ58" s="39">
        <f>AJ57+AI58</f>
        <v/>
      </c>
      <c r="AL58" s="40">
        <f>(1-Products!$F$41)^$A58</f>
        <v/>
      </c>
      <c r="AM58" s="39">
        <f>IF(AND($A58&gt;=1,$A58&lt;=Products!$F$16),Products!$F$33,0)</f>
        <v/>
      </c>
      <c r="AN58" s="39">
        <f>AM58*Products!$F$42*AL58</f>
        <v/>
      </c>
      <c r="AO58" s="39">
        <f>AM58-AN58</f>
        <v/>
      </c>
      <c r="AP58" s="39">
        <f>(1-AL58)*MAX(0,Products!$F$16-$A58)*(Products!$F$33-Products!$F$35/Products!$F$16)</f>
        <v/>
      </c>
      <c r="AQ58" s="40">
        <f>IF($A58&lt;=Products!$F$16,AL58,0)</f>
        <v/>
      </c>
      <c r="AR58" s="40">
        <f>IF(AND($A58&gt;=1,$A58&lt;=Products!$F$16),AL57-AL58,0)</f>
        <v/>
      </c>
      <c r="AS58" s="39">
        <f>IF(AND($A58-Inputs!$C$31&gt;=1,$A58-Inputs!$C$31&lt;=Products!$F$16),INDEX(Curves!$AR$8:$AR$68,$A58-Inputs!$C$31+1),0)*Products!$F$27*Products!$F$28*Products!$F$13</f>
        <v/>
      </c>
      <c r="AT58" s="39">
        <f>IF($A58=Inputs!$C$33,Products!$F$30*Inputs!$C$10*Inputs!$C$32,0)</f>
        <v/>
      </c>
      <c r="AU58" s="39">
        <f>AN58*(1-Inputs!$C$24)-Inputs!$C$25*AQ58+AS58+AT58</f>
        <v/>
      </c>
      <c r="AV58" s="39">
        <f>AV57+AU58</f>
        <v/>
      </c>
      <c r="AX58" s="40">
        <f>(1-Products!$G$41)^$A58</f>
        <v/>
      </c>
      <c r="AY58" s="39">
        <f>IF(AND($A58&gt;=1,$A58&lt;=Products!$G$16),Products!$G$33,0)</f>
        <v/>
      </c>
      <c r="AZ58" s="39">
        <f>AY58*Products!$G$42*AX58</f>
        <v/>
      </c>
      <c r="BA58" s="39">
        <f>AY58-AZ58</f>
        <v/>
      </c>
      <c r="BB58" s="39">
        <f>(1-AX58)*MAX(0,Products!$G$16-$A58)*(Products!$G$33-Products!$G$35/Products!$G$16)</f>
        <v/>
      </c>
      <c r="BC58" s="40">
        <f>IF($A58&lt;=Products!$G$16,AX58,0)</f>
        <v/>
      </c>
      <c r="BD58" s="40">
        <f>IF(AND($A58&gt;=1,$A58&lt;=Products!$G$16),AX57-AX58,0)</f>
        <v/>
      </c>
      <c r="BE58" s="39">
        <f>IF(AND($A58-Inputs!$C$31&gt;=1,$A58-Inputs!$C$31&lt;=Products!$G$16),INDEX(Curves!$BD$8:$BD$68,$A58-Inputs!$C$31+1),0)*Products!$G$27*Products!$G$28*Products!$G$13</f>
        <v/>
      </c>
      <c r="BF58" s="39">
        <f>IF($A58=Inputs!$C$33,Products!$G$30*Inputs!$C$10*Inputs!$C$32,0)</f>
        <v/>
      </c>
      <c r="BG58" s="39">
        <f>AZ58*(1-Inputs!$C$24)-Inputs!$C$25*BC58+BE58+BF58</f>
        <v/>
      </c>
      <c r="BH58" s="39">
        <f>BH57+BG58</f>
        <v/>
      </c>
    </row>
    <row r="59">
      <c r="A59" s="46" t="n">
        <v>51</v>
      </c>
      <c r="B59" s="40">
        <f>(1-Products!$C$41)^$A59</f>
        <v/>
      </c>
      <c r="C59" s="39">
        <f>IF(AND($A59&gt;=1,$A59&lt;=Products!$C$16),Products!$C$33,0)</f>
        <v/>
      </c>
      <c r="D59" s="39">
        <f>C59*Products!$C$42*B59</f>
        <v/>
      </c>
      <c r="E59" s="39">
        <f>C59-D59</f>
        <v/>
      </c>
      <c r="F59" s="39">
        <f>(1-B59)*MAX(0,Products!$C$16-$A59)*(Products!$C$33-Products!$C$35/Products!$C$16)</f>
        <v/>
      </c>
      <c r="G59" s="40">
        <f>IF($A59&lt;=Products!$C$16,B59,0)</f>
        <v/>
      </c>
      <c r="H59" s="40">
        <f>IF(AND($A59&gt;=1,$A59&lt;=Products!$C$16),B58-B59,0)</f>
        <v/>
      </c>
      <c r="I59" s="39">
        <f>IF(AND($A59-Inputs!$C$31&gt;=1,$A59-Inputs!$C$31&lt;=Products!$C$16),INDEX(Curves!$H$8:$H$68,$A59-Inputs!$C$31+1),0)*Products!$C$27*Products!$C$28*Products!$C$13</f>
        <v/>
      </c>
      <c r="J59" s="39">
        <f>IF($A59=Inputs!$C$33,Products!$C$30*Inputs!$C$10*Inputs!$C$32,0)</f>
        <v/>
      </c>
      <c r="K59" s="39">
        <f>D59*(1-Inputs!$C$24)-Inputs!$C$25*G59+I59+J59</f>
        <v/>
      </c>
      <c r="L59" s="39">
        <f>L58+K59</f>
        <v/>
      </c>
      <c r="N59" s="40">
        <f>(1-Products!$D$41)^$A59</f>
        <v/>
      </c>
      <c r="O59" s="39">
        <f>IF(AND($A59&gt;=1,$A59&lt;=Products!$D$16),Products!$D$33,0)</f>
        <v/>
      </c>
      <c r="P59" s="39">
        <f>O59*Products!$D$42*N59</f>
        <v/>
      </c>
      <c r="Q59" s="39">
        <f>O59-P59</f>
        <v/>
      </c>
      <c r="R59" s="39">
        <f>(1-N59)*MAX(0,Products!$D$16-$A59)*(Products!$D$33-Products!$D$35/Products!$D$16)</f>
        <v/>
      </c>
      <c r="S59" s="40">
        <f>IF($A59&lt;=Products!$D$16,N59,0)</f>
        <v/>
      </c>
      <c r="T59" s="40">
        <f>IF(AND($A59&gt;=1,$A59&lt;=Products!$D$16),N58-N59,0)</f>
        <v/>
      </c>
      <c r="U59" s="39">
        <f>IF(AND($A59-Inputs!$C$31&gt;=1,$A59-Inputs!$C$31&lt;=Products!$D$16),INDEX(Curves!$T$8:$T$68,$A59-Inputs!$C$31+1),0)*Products!$D$27*Products!$D$28*Products!$D$13</f>
        <v/>
      </c>
      <c r="V59" s="39">
        <f>IF($A59=Inputs!$C$33,Products!$D$30*Inputs!$C$10*Inputs!$C$32,0)</f>
        <v/>
      </c>
      <c r="W59" s="39">
        <f>P59*(1-Inputs!$C$24)-Inputs!$C$25*S59+U59+V59</f>
        <v/>
      </c>
      <c r="X59" s="39">
        <f>X58+W59</f>
        <v/>
      </c>
      <c r="Z59" s="40">
        <f>(1-Products!$E$41)^$A59</f>
        <v/>
      </c>
      <c r="AA59" s="39">
        <f>IF(AND($A59&gt;=1,$A59&lt;=Products!$E$16),Products!$E$33,0)</f>
        <v/>
      </c>
      <c r="AB59" s="39">
        <f>AA59*Products!$E$42*Z59</f>
        <v/>
      </c>
      <c r="AC59" s="39">
        <f>AA59-AB59</f>
        <v/>
      </c>
      <c r="AD59" s="39">
        <f>(1-Z59)*MAX(0,Products!$E$16-$A59)*(Products!$E$33-Products!$E$35/Products!$E$16)</f>
        <v/>
      </c>
      <c r="AE59" s="40">
        <f>IF($A59&lt;=Products!$E$16,Z59,0)</f>
        <v/>
      </c>
      <c r="AF59" s="40">
        <f>IF(AND($A59&gt;=1,$A59&lt;=Products!$E$16),Z58-Z59,0)</f>
        <v/>
      </c>
      <c r="AG59" s="39">
        <f>IF(AND($A59-Inputs!$C$31&gt;=1,$A59-Inputs!$C$31&lt;=Products!$E$16),INDEX(Curves!$AF$8:$AF$68,$A59-Inputs!$C$31+1),0)*Products!$E$27*Products!$E$28*Products!$E$13</f>
        <v/>
      </c>
      <c r="AH59" s="39">
        <f>IF($A59=Inputs!$C$33,Products!$E$30*Inputs!$C$10*Inputs!$C$32,0)</f>
        <v/>
      </c>
      <c r="AI59" s="39">
        <f>AB59*(1-Inputs!$C$24)-Inputs!$C$25*AE59+AG59+AH59</f>
        <v/>
      </c>
      <c r="AJ59" s="39">
        <f>AJ58+AI59</f>
        <v/>
      </c>
      <c r="AL59" s="40">
        <f>(1-Products!$F$41)^$A59</f>
        <v/>
      </c>
      <c r="AM59" s="39">
        <f>IF(AND($A59&gt;=1,$A59&lt;=Products!$F$16),Products!$F$33,0)</f>
        <v/>
      </c>
      <c r="AN59" s="39">
        <f>AM59*Products!$F$42*AL59</f>
        <v/>
      </c>
      <c r="AO59" s="39">
        <f>AM59-AN59</f>
        <v/>
      </c>
      <c r="AP59" s="39">
        <f>(1-AL59)*MAX(0,Products!$F$16-$A59)*(Products!$F$33-Products!$F$35/Products!$F$16)</f>
        <v/>
      </c>
      <c r="AQ59" s="40">
        <f>IF($A59&lt;=Products!$F$16,AL59,0)</f>
        <v/>
      </c>
      <c r="AR59" s="40">
        <f>IF(AND($A59&gt;=1,$A59&lt;=Products!$F$16),AL58-AL59,0)</f>
        <v/>
      </c>
      <c r="AS59" s="39">
        <f>IF(AND($A59-Inputs!$C$31&gt;=1,$A59-Inputs!$C$31&lt;=Products!$F$16),INDEX(Curves!$AR$8:$AR$68,$A59-Inputs!$C$31+1),0)*Products!$F$27*Products!$F$28*Products!$F$13</f>
        <v/>
      </c>
      <c r="AT59" s="39">
        <f>IF($A59=Inputs!$C$33,Products!$F$30*Inputs!$C$10*Inputs!$C$32,0)</f>
        <v/>
      </c>
      <c r="AU59" s="39">
        <f>AN59*(1-Inputs!$C$24)-Inputs!$C$25*AQ59+AS59+AT59</f>
        <v/>
      </c>
      <c r="AV59" s="39">
        <f>AV58+AU59</f>
        <v/>
      </c>
      <c r="AX59" s="40">
        <f>(1-Products!$G$41)^$A59</f>
        <v/>
      </c>
      <c r="AY59" s="39">
        <f>IF(AND($A59&gt;=1,$A59&lt;=Products!$G$16),Products!$G$33,0)</f>
        <v/>
      </c>
      <c r="AZ59" s="39">
        <f>AY59*Products!$G$42*AX59</f>
        <v/>
      </c>
      <c r="BA59" s="39">
        <f>AY59-AZ59</f>
        <v/>
      </c>
      <c r="BB59" s="39">
        <f>(1-AX59)*MAX(0,Products!$G$16-$A59)*(Products!$G$33-Products!$G$35/Products!$G$16)</f>
        <v/>
      </c>
      <c r="BC59" s="40">
        <f>IF($A59&lt;=Products!$G$16,AX59,0)</f>
        <v/>
      </c>
      <c r="BD59" s="40">
        <f>IF(AND($A59&gt;=1,$A59&lt;=Products!$G$16),AX58-AX59,0)</f>
        <v/>
      </c>
      <c r="BE59" s="39">
        <f>IF(AND($A59-Inputs!$C$31&gt;=1,$A59-Inputs!$C$31&lt;=Products!$G$16),INDEX(Curves!$BD$8:$BD$68,$A59-Inputs!$C$31+1),0)*Products!$G$27*Products!$G$28*Products!$G$13</f>
        <v/>
      </c>
      <c r="BF59" s="39">
        <f>IF($A59=Inputs!$C$33,Products!$G$30*Inputs!$C$10*Inputs!$C$32,0)</f>
        <v/>
      </c>
      <c r="BG59" s="39">
        <f>AZ59*(1-Inputs!$C$24)-Inputs!$C$25*BC59+BE59+BF59</f>
        <v/>
      </c>
      <c r="BH59" s="39">
        <f>BH58+BG59</f>
        <v/>
      </c>
    </row>
    <row r="60">
      <c r="A60" s="46" t="n">
        <v>52</v>
      </c>
      <c r="B60" s="40">
        <f>(1-Products!$C$41)^$A60</f>
        <v/>
      </c>
      <c r="C60" s="39">
        <f>IF(AND($A60&gt;=1,$A60&lt;=Products!$C$16),Products!$C$33,0)</f>
        <v/>
      </c>
      <c r="D60" s="39">
        <f>C60*Products!$C$42*B60</f>
        <v/>
      </c>
      <c r="E60" s="39">
        <f>C60-D60</f>
        <v/>
      </c>
      <c r="F60" s="39">
        <f>(1-B60)*MAX(0,Products!$C$16-$A60)*(Products!$C$33-Products!$C$35/Products!$C$16)</f>
        <v/>
      </c>
      <c r="G60" s="40">
        <f>IF($A60&lt;=Products!$C$16,B60,0)</f>
        <v/>
      </c>
      <c r="H60" s="40">
        <f>IF(AND($A60&gt;=1,$A60&lt;=Products!$C$16),B59-B60,0)</f>
        <v/>
      </c>
      <c r="I60" s="39">
        <f>IF(AND($A60-Inputs!$C$31&gt;=1,$A60-Inputs!$C$31&lt;=Products!$C$16),INDEX(Curves!$H$8:$H$68,$A60-Inputs!$C$31+1),0)*Products!$C$27*Products!$C$28*Products!$C$13</f>
        <v/>
      </c>
      <c r="J60" s="39">
        <f>IF($A60=Inputs!$C$33,Products!$C$30*Inputs!$C$10*Inputs!$C$32,0)</f>
        <v/>
      </c>
      <c r="K60" s="39">
        <f>D60*(1-Inputs!$C$24)-Inputs!$C$25*G60+I60+J60</f>
        <v/>
      </c>
      <c r="L60" s="39">
        <f>L59+K60</f>
        <v/>
      </c>
      <c r="N60" s="40">
        <f>(1-Products!$D$41)^$A60</f>
        <v/>
      </c>
      <c r="O60" s="39">
        <f>IF(AND($A60&gt;=1,$A60&lt;=Products!$D$16),Products!$D$33,0)</f>
        <v/>
      </c>
      <c r="P60" s="39">
        <f>O60*Products!$D$42*N60</f>
        <v/>
      </c>
      <c r="Q60" s="39">
        <f>O60-P60</f>
        <v/>
      </c>
      <c r="R60" s="39">
        <f>(1-N60)*MAX(0,Products!$D$16-$A60)*(Products!$D$33-Products!$D$35/Products!$D$16)</f>
        <v/>
      </c>
      <c r="S60" s="40">
        <f>IF($A60&lt;=Products!$D$16,N60,0)</f>
        <v/>
      </c>
      <c r="T60" s="40">
        <f>IF(AND($A60&gt;=1,$A60&lt;=Products!$D$16),N59-N60,0)</f>
        <v/>
      </c>
      <c r="U60" s="39">
        <f>IF(AND($A60-Inputs!$C$31&gt;=1,$A60-Inputs!$C$31&lt;=Products!$D$16),INDEX(Curves!$T$8:$T$68,$A60-Inputs!$C$31+1),0)*Products!$D$27*Products!$D$28*Products!$D$13</f>
        <v/>
      </c>
      <c r="V60" s="39">
        <f>IF($A60=Inputs!$C$33,Products!$D$30*Inputs!$C$10*Inputs!$C$32,0)</f>
        <v/>
      </c>
      <c r="W60" s="39">
        <f>P60*(1-Inputs!$C$24)-Inputs!$C$25*S60+U60+V60</f>
        <v/>
      </c>
      <c r="X60" s="39">
        <f>X59+W60</f>
        <v/>
      </c>
      <c r="Z60" s="40">
        <f>(1-Products!$E$41)^$A60</f>
        <v/>
      </c>
      <c r="AA60" s="39">
        <f>IF(AND($A60&gt;=1,$A60&lt;=Products!$E$16),Products!$E$33,0)</f>
        <v/>
      </c>
      <c r="AB60" s="39">
        <f>AA60*Products!$E$42*Z60</f>
        <v/>
      </c>
      <c r="AC60" s="39">
        <f>AA60-AB60</f>
        <v/>
      </c>
      <c r="AD60" s="39">
        <f>(1-Z60)*MAX(0,Products!$E$16-$A60)*(Products!$E$33-Products!$E$35/Products!$E$16)</f>
        <v/>
      </c>
      <c r="AE60" s="40">
        <f>IF($A60&lt;=Products!$E$16,Z60,0)</f>
        <v/>
      </c>
      <c r="AF60" s="40">
        <f>IF(AND($A60&gt;=1,$A60&lt;=Products!$E$16),Z59-Z60,0)</f>
        <v/>
      </c>
      <c r="AG60" s="39">
        <f>IF(AND($A60-Inputs!$C$31&gt;=1,$A60-Inputs!$C$31&lt;=Products!$E$16),INDEX(Curves!$AF$8:$AF$68,$A60-Inputs!$C$31+1),0)*Products!$E$27*Products!$E$28*Products!$E$13</f>
        <v/>
      </c>
      <c r="AH60" s="39">
        <f>IF($A60=Inputs!$C$33,Products!$E$30*Inputs!$C$10*Inputs!$C$32,0)</f>
        <v/>
      </c>
      <c r="AI60" s="39">
        <f>AB60*(1-Inputs!$C$24)-Inputs!$C$25*AE60+AG60+AH60</f>
        <v/>
      </c>
      <c r="AJ60" s="39">
        <f>AJ59+AI60</f>
        <v/>
      </c>
      <c r="AL60" s="40">
        <f>(1-Products!$F$41)^$A60</f>
        <v/>
      </c>
      <c r="AM60" s="39">
        <f>IF(AND($A60&gt;=1,$A60&lt;=Products!$F$16),Products!$F$33,0)</f>
        <v/>
      </c>
      <c r="AN60" s="39">
        <f>AM60*Products!$F$42*AL60</f>
        <v/>
      </c>
      <c r="AO60" s="39">
        <f>AM60-AN60</f>
        <v/>
      </c>
      <c r="AP60" s="39">
        <f>(1-AL60)*MAX(0,Products!$F$16-$A60)*(Products!$F$33-Products!$F$35/Products!$F$16)</f>
        <v/>
      </c>
      <c r="AQ60" s="40">
        <f>IF($A60&lt;=Products!$F$16,AL60,0)</f>
        <v/>
      </c>
      <c r="AR60" s="40">
        <f>IF(AND($A60&gt;=1,$A60&lt;=Products!$F$16),AL59-AL60,0)</f>
        <v/>
      </c>
      <c r="AS60" s="39">
        <f>IF(AND($A60-Inputs!$C$31&gt;=1,$A60-Inputs!$C$31&lt;=Products!$F$16),INDEX(Curves!$AR$8:$AR$68,$A60-Inputs!$C$31+1),0)*Products!$F$27*Products!$F$28*Products!$F$13</f>
        <v/>
      </c>
      <c r="AT60" s="39">
        <f>IF($A60=Inputs!$C$33,Products!$F$30*Inputs!$C$10*Inputs!$C$32,0)</f>
        <v/>
      </c>
      <c r="AU60" s="39">
        <f>AN60*(1-Inputs!$C$24)-Inputs!$C$25*AQ60+AS60+AT60</f>
        <v/>
      </c>
      <c r="AV60" s="39">
        <f>AV59+AU60</f>
        <v/>
      </c>
      <c r="AX60" s="40">
        <f>(1-Products!$G$41)^$A60</f>
        <v/>
      </c>
      <c r="AY60" s="39">
        <f>IF(AND($A60&gt;=1,$A60&lt;=Products!$G$16),Products!$G$33,0)</f>
        <v/>
      </c>
      <c r="AZ60" s="39">
        <f>AY60*Products!$G$42*AX60</f>
        <v/>
      </c>
      <c r="BA60" s="39">
        <f>AY60-AZ60</f>
        <v/>
      </c>
      <c r="BB60" s="39">
        <f>(1-AX60)*MAX(0,Products!$G$16-$A60)*(Products!$G$33-Products!$G$35/Products!$G$16)</f>
        <v/>
      </c>
      <c r="BC60" s="40">
        <f>IF($A60&lt;=Products!$G$16,AX60,0)</f>
        <v/>
      </c>
      <c r="BD60" s="40">
        <f>IF(AND($A60&gt;=1,$A60&lt;=Products!$G$16),AX59-AX60,0)</f>
        <v/>
      </c>
      <c r="BE60" s="39">
        <f>IF(AND($A60-Inputs!$C$31&gt;=1,$A60-Inputs!$C$31&lt;=Products!$G$16),INDEX(Curves!$BD$8:$BD$68,$A60-Inputs!$C$31+1),0)*Products!$G$27*Products!$G$28*Products!$G$13</f>
        <v/>
      </c>
      <c r="BF60" s="39">
        <f>IF($A60=Inputs!$C$33,Products!$G$30*Inputs!$C$10*Inputs!$C$32,0)</f>
        <v/>
      </c>
      <c r="BG60" s="39">
        <f>AZ60*(1-Inputs!$C$24)-Inputs!$C$25*BC60+BE60+BF60</f>
        <v/>
      </c>
      <c r="BH60" s="39">
        <f>BH59+BG60</f>
        <v/>
      </c>
    </row>
    <row r="61">
      <c r="A61" s="46" t="n">
        <v>53</v>
      </c>
      <c r="B61" s="40">
        <f>(1-Products!$C$41)^$A61</f>
        <v/>
      </c>
      <c r="C61" s="39">
        <f>IF(AND($A61&gt;=1,$A61&lt;=Products!$C$16),Products!$C$33,0)</f>
        <v/>
      </c>
      <c r="D61" s="39">
        <f>C61*Products!$C$42*B61</f>
        <v/>
      </c>
      <c r="E61" s="39">
        <f>C61-D61</f>
        <v/>
      </c>
      <c r="F61" s="39">
        <f>(1-B61)*MAX(0,Products!$C$16-$A61)*(Products!$C$33-Products!$C$35/Products!$C$16)</f>
        <v/>
      </c>
      <c r="G61" s="40">
        <f>IF($A61&lt;=Products!$C$16,B61,0)</f>
        <v/>
      </c>
      <c r="H61" s="40">
        <f>IF(AND($A61&gt;=1,$A61&lt;=Products!$C$16),B60-B61,0)</f>
        <v/>
      </c>
      <c r="I61" s="39">
        <f>IF(AND($A61-Inputs!$C$31&gt;=1,$A61-Inputs!$C$31&lt;=Products!$C$16),INDEX(Curves!$H$8:$H$68,$A61-Inputs!$C$31+1),0)*Products!$C$27*Products!$C$28*Products!$C$13</f>
        <v/>
      </c>
      <c r="J61" s="39">
        <f>IF($A61=Inputs!$C$33,Products!$C$30*Inputs!$C$10*Inputs!$C$32,0)</f>
        <v/>
      </c>
      <c r="K61" s="39">
        <f>D61*(1-Inputs!$C$24)-Inputs!$C$25*G61+I61+J61</f>
        <v/>
      </c>
      <c r="L61" s="39">
        <f>L60+K61</f>
        <v/>
      </c>
      <c r="N61" s="40">
        <f>(1-Products!$D$41)^$A61</f>
        <v/>
      </c>
      <c r="O61" s="39">
        <f>IF(AND($A61&gt;=1,$A61&lt;=Products!$D$16),Products!$D$33,0)</f>
        <v/>
      </c>
      <c r="P61" s="39">
        <f>O61*Products!$D$42*N61</f>
        <v/>
      </c>
      <c r="Q61" s="39">
        <f>O61-P61</f>
        <v/>
      </c>
      <c r="R61" s="39">
        <f>(1-N61)*MAX(0,Products!$D$16-$A61)*(Products!$D$33-Products!$D$35/Products!$D$16)</f>
        <v/>
      </c>
      <c r="S61" s="40">
        <f>IF($A61&lt;=Products!$D$16,N61,0)</f>
        <v/>
      </c>
      <c r="T61" s="40">
        <f>IF(AND($A61&gt;=1,$A61&lt;=Products!$D$16),N60-N61,0)</f>
        <v/>
      </c>
      <c r="U61" s="39">
        <f>IF(AND($A61-Inputs!$C$31&gt;=1,$A61-Inputs!$C$31&lt;=Products!$D$16),INDEX(Curves!$T$8:$T$68,$A61-Inputs!$C$31+1),0)*Products!$D$27*Products!$D$28*Products!$D$13</f>
        <v/>
      </c>
      <c r="V61" s="39">
        <f>IF($A61=Inputs!$C$33,Products!$D$30*Inputs!$C$10*Inputs!$C$32,0)</f>
        <v/>
      </c>
      <c r="W61" s="39">
        <f>P61*(1-Inputs!$C$24)-Inputs!$C$25*S61+U61+V61</f>
        <v/>
      </c>
      <c r="X61" s="39">
        <f>X60+W61</f>
        <v/>
      </c>
      <c r="Z61" s="40">
        <f>(1-Products!$E$41)^$A61</f>
        <v/>
      </c>
      <c r="AA61" s="39">
        <f>IF(AND($A61&gt;=1,$A61&lt;=Products!$E$16),Products!$E$33,0)</f>
        <v/>
      </c>
      <c r="AB61" s="39">
        <f>AA61*Products!$E$42*Z61</f>
        <v/>
      </c>
      <c r="AC61" s="39">
        <f>AA61-AB61</f>
        <v/>
      </c>
      <c r="AD61" s="39">
        <f>(1-Z61)*MAX(0,Products!$E$16-$A61)*(Products!$E$33-Products!$E$35/Products!$E$16)</f>
        <v/>
      </c>
      <c r="AE61" s="40">
        <f>IF($A61&lt;=Products!$E$16,Z61,0)</f>
        <v/>
      </c>
      <c r="AF61" s="40">
        <f>IF(AND($A61&gt;=1,$A61&lt;=Products!$E$16),Z60-Z61,0)</f>
        <v/>
      </c>
      <c r="AG61" s="39">
        <f>IF(AND($A61-Inputs!$C$31&gt;=1,$A61-Inputs!$C$31&lt;=Products!$E$16),INDEX(Curves!$AF$8:$AF$68,$A61-Inputs!$C$31+1),0)*Products!$E$27*Products!$E$28*Products!$E$13</f>
        <v/>
      </c>
      <c r="AH61" s="39">
        <f>IF($A61=Inputs!$C$33,Products!$E$30*Inputs!$C$10*Inputs!$C$32,0)</f>
        <v/>
      </c>
      <c r="AI61" s="39">
        <f>AB61*(1-Inputs!$C$24)-Inputs!$C$25*AE61+AG61+AH61</f>
        <v/>
      </c>
      <c r="AJ61" s="39">
        <f>AJ60+AI61</f>
        <v/>
      </c>
      <c r="AL61" s="40">
        <f>(1-Products!$F$41)^$A61</f>
        <v/>
      </c>
      <c r="AM61" s="39">
        <f>IF(AND($A61&gt;=1,$A61&lt;=Products!$F$16),Products!$F$33,0)</f>
        <v/>
      </c>
      <c r="AN61" s="39">
        <f>AM61*Products!$F$42*AL61</f>
        <v/>
      </c>
      <c r="AO61" s="39">
        <f>AM61-AN61</f>
        <v/>
      </c>
      <c r="AP61" s="39">
        <f>(1-AL61)*MAX(0,Products!$F$16-$A61)*(Products!$F$33-Products!$F$35/Products!$F$16)</f>
        <v/>
      </c>
      <c r="AQ61" s="40">
        <f>IF($A61&lt;=Products!$F$16,AL61,0)</f>
        <v/>
      </c>
      <c r="AR61" s="40">
        <f>IF(AND($A61&gt;=1,$A61&lt;=Products!$F$16),AL60-AL61,0)</f>
        <v/>
      </c>
      <c r="AS61" s="39">
        <f>IF(AND($A61-Inputs!$C$31&gt;=1,$A61-Inputs!$C$31&lt;=Products!$F$16),INDEX(Curves!$AR$8:$AR$68,$A61-Inputs!$C$31+1),0)*Products!$F$27*Products!$F$28*Products!$F$13</f>
        <v/>
      </c>
      <c r="AT61" s="39">
        <f>IF($A61=Inputs!$C$33,Products!$F$30*Inputs!$C$10*Inputs!$C$32,0)</f>
        <v/>
      </c>
      <c r="AU61" s="39">
        <f>AN61*(1-Inputs!$C$24)-Inputs!$C$25*AQ61+AS61+AT61</f>
        <v/>
      </c>
      <c r="AV61" s="39">
        <f>AV60+AU61</f>
        <v/>
      </c>
      <c r="AX61" s="40">
        <f>(1-Products!$G$41)^$A61</f>
        <v/>
      </c>
      <c r="AY61" s="39">
        <f>IF(AND($A61&gt;=1,$A61&lt;=Products!$G$16),Products!$G$33,0)</f>
        <v/>
      </c>
      <c r="AZ61" s="39">
        <f>AY61*Products!$G$42*AX61</f>
        <v/>
      </c>
      <c r="BA61" s="39">
        <f>AY61-AZ61</f>
        <v/>
      </c>
      <c r="BB61" s="39">
        <f>(1-AX61)*MAX(0,Products!$G$16-$A61)*(Products!$G$33-Products!$G$35/Products!$G$16)</f>
        <v/>
      </c>
      <c r="BC61" s="40">
        <f>IF($A61&lt;=Products!$G$16,AX61,0)</f>
        <v/>
      </c>
      <c r="BD61" s="40">
        <f>IF(AND($A61&gt;=1,$A61&lt;=Products!$G$16),AX60-AX61,0)</f>
        <v/>
      </c>
      <c r="BE61" s="39">
        <f>IF(AND($A61-Inputs!$C$31&gt;=1,$A61-Inputs!$C$31&lt;=Products!$G$16),INDEX(Curves!$BD$8:$BD$68,$A61-Inputs!$C$31+1),0)*Products!$G$27*Products!$G$28*Products!$G$13</f>
        <v/>
      </c>
      <c r="BF61" s="39">
        <f>IF($A61=Inputs!$C$33,Products!$G$30*Inputs!$C$10*Inputs!$C$32,0)</f>
        <v/>
      </c>
      <c r="BG61" s="39">
        <f>AZ61*(1-Inputs!$C$24)-Inputs!$C$25*BC61+BE61+BF61</f>
        <v/>
      </c>
      <c r="BH61" s="39">
        <f>BH60+BG61</f>
        <v/>
      </c>
    </row>
    <row r="62">
      <c r="A62" s="46" t="n">
        <v>54</v>
      </c>
      <c r="B62" s="40">
        <f>(1-Products!$C$41)^$A62</f>
        <v/>
      </c>
      <c r="C62" s="39">
        <f>IF(AND($A62&gt;=1,$A62&lt;=Products!$C$16),Products!$C$33,0)</f>
        <v/>
      </c>
      <c r="D62" s="39">
        <f>C62*Products!$C$42*B62</f>
        <v/>
      </c>
      <c r="E62" s="39">
        <f>C62-D62</f>
        <v/>
      </c>
      <c r="F62" s="39">
        <f>(1-B62)*MAX(0,Products!$C$16-$A62)*(Products!$C$33-Products!$C$35/Products!$C$16)</f>
        <v/>
      </c>
      <c r="G62" s="40">
        <f>IF($A62&lt;=Products!$C$16,B62,0)</f>
        <v/>
      </c>
      <c r="H62" s="40">
        <f>IF(AND($A62&gt;=1,$A62&lt;=Products!$C$16),B61-B62,0)</f>
        <v/>
      </c>
      <c r="I62" s="39">
        <f>IF(AND($A62-Inputs!$C$31&gt;=1,$A62-Inputs!$C$31&lt;=Products!$C$16),INDEX(Curves!$H$8:$H$68,$A62-Inputs!$C$31+1),0)*Products!$C$27*Products!$C$28*Products!$C$13</f>
        <v/>
      </c>
      <c r="J62" s="39">
        <f>IF($A62=Inputs!$C$33,Products!$C$30*Inputs!$C$10*Inputs!$C$32,0)</f>
        <v/>
      </c>
      <c r="K62" s="39">
        <f>D62*(1-Inputs!$C$24)-Inputs!$C$25*G62+I62+J62</f>
        <v/>
      </c>
      <c r="L62" s="39">
        <f>L61+K62</f>
        <v/>
      </c>
      <c r="N62" s="40">
        <f>(1-Products!$D$41)^$A62</f>
        <v/>
      </c>
      <c r="O62" s="39">
        <f>IF(AND($A62&gt;=1,$A62&lt;=Products!$D$16),Products!$D$33,0)</f>
        <v/>
      </c>
      <c r="P62" s="39">
        <f>O62*Products!$D$42*N62</f>
        <v/>
      </c>
      <c r="Q62" s="39">
        <f>O62-P62</f>
        <v/>
      </c>
      <c r="R62" s="39">
        <f>(1-N62)*MAX(0,Products!$D$16-$A62)*(Products!$D$33-Products!$D$35/Products!$D$16)</f>
        <v/>
      </c>
      <c r="S62" s="40">
        <f>IF($A62&lt;=Products!$D$16,N62,0)</f>
        <v/>
      </c>
      <c r="T62" s="40">
        <f>IF(AND($A62&gt;=1,$A62&lt;=Products!$D$16),N61-N62,0)</f>
        <v/>
      </c>
      <c r="U62" s="39">
        <f>IF(AND($A62-Inputs!$C$31&gt;=1,$A62-Inputs!$C$31&lt;=Products!$D$16),INDEX(Curves!$T$8:$T$68,$A62-Inputs!$C$31+1),0)*Products!$D$27*Products!$D$28*Products!$D$13</f>
        <v/>
      </c>
      <c r="V62" s="39">
        <f>IF($A62=Inputs!$C$33,Products!$D$30*Inputs!$C$10*Inputs!$C$32,0)</f>
        <v/>
      </c>
      <c r="W62" s="39">
        <f>P62*(1-Inputs!$C$24)-Inputs!$C$25*S62+U62+V62</f>
        <v/>
      </c>
      <c r="X62" s="39">
        <f>X61+W62</f>
        <v/>
      </c>
      <c r="Z62" s="40">
        <f>(1-Products!$E$41)^$A62</f>
        <v/>
      </c>
      <c r="AA62" s="39">
        <f>IF(AND($A62&gt;=1,$A62&lt;=Products!$E$16),Products!$E$33,0)</f>
        <v/>
      </c>
      <c r="AB62" s="39">
        <f>AA62*Products!$E$42*Z62</f>
        <v/>
      </c>
      <c r="AC62" s="39">
        <f>AA62-AB62</f>
        <v/>
      </c>
      <c r="AD62" s="39">
        <f>(1-Z62)*MAX(0,Products!$E$16-$A62)*(Products!$E$33-Products!$E$35/Products!$E$16)</f>
        <v/>
      </c>
      <c r="AE62" s="40">
        <f>IF($A62&lt;=Products!$E$16,Z62,0)</f>
        <v/>
      </c>
      <c r="AF62" s="40">
        <f>IF(AND($A62&gt;=1,$A62&lt;=Products!$E$16),Z61-Z62,0)</f>
        <v/>
      </c>
      <c r="AG62" s="39">
        <f>IF(AND($A62-Inputs!$C$31&gt;=1,$A62-Inputs!$C$31&lt;=Products!$E$16),INDEX(Curves!$AF$8:$AF$68,$A62-Inputs!$C$31+1),0)*Products!$E$27*Products!$E$28*Products!$E$13</f>
        <v/>
      </c>
      <c r="AH62" s="39">
        <f>IF($A62=Inputs!$C$33,Products!$E$30*Inputs!$C$10*Inputs!$C$32,0)</f>
        <v/>
      </c>
      <c r="AI62" s="39">
        <f>AB62*(1-Inputs!$C$24)-Inputs!$C$25*AE62+AG62+AH62</f>
        <v/>
      </c>
      <c r="AJ62" s="39">
        <f>AJ61+AI62</f>
        <v/>
      </c>
      <c r="AL62" s="40">
        <f>(1-Products!$F$41)^$A62</f>
        <v/>
      </c>
      <c r="AM62" s="39">
        <f>IF(AND($A62&gt;=1,$A62&lt;=Products!$F$16),Products!$F$33,0)</f>
        <v/>
      </c>
      <c r="AN62" s="39">
        <f>AM62*Products!$F$42*AL62</f>
        <v/>
      </c>
      <c r="AO62" s="39">
        <f>AM62-AN62</f>
        <v/>
      </c>
      <c r="AP62" s="39">
        <f>(1-AL62)*MAX(0,Products!$F$16-$A62)*(Products!$F$33-Products!$F$35/Products!$F$16)</f>
        <v/>
      </c>
      <c r="AQ62" s="40">
        <f>IF($A62&lt;=Products!$F$16,AL62,0)</f>
        <v/>
      </c>
      <c r="AR62" s="40">
        <f>IF(AND($A62&gt;=1,$A62&lt;=Products!$F$16),AL61-AL62,0)</f>
        <v/>
      </c>
      <c r="AS62" s="39">
        <f>IF(AND($A62-Inputs!$C$31&gt;=1,$A62-Inputs!$C$31&lt;=Products!$F$16),INDEX(Curves!$AR$8:$AR$68,$A62-Inputs!$C$31+1),0)*Products!$F$27*Products!$F$28*Products!$F$13</f>
        <v/>
      </c>
      <c r="AT62" s="39">
        <f>IF($A62=Inputs!$C$33,Products!$F$30*Inputs!$C$10*Inputs!$C$32,0)</f>
        <v/>
      </c>
      <c r="AU62" s="39">
        <f>AN62*(1-Inputs!$C$24)-Inputs!$C$25*AQ62+AS62+AT62</f>
        <v/>
      </c>
      <c r="AV62" s="39">
        <f>AV61+AU62</f>
        <v/>
      </c>
      <c r="AX62" s="40">
        <f>(1-Products!$G$41)^$A62</f>
        <v/>
      </c>
      <c r="AY62" s="39">
        <f>IF(AND($A62&gt;=1,$A62&lt;=Products!$G$16),Products!$G$33,0)</f>
        <v/>
      </c>
      <c r="AZ62" s="39">
        <f>AY62*Products!$G$42*AX62</f>
        <v/>
      </c>
      <c r="BA62" s="39">
        <f>AY62-AZ62</f>
        <v/>
      </c>
      <c r="BB62" s="39">
        <f>(1-AX62)*MAX(0,Products!$G$16-$A62)*(Products!$G$33-Products!$G$35/Products!$G$16)</f>
        <v/>
      </c>
      <c r="BC62" s="40">
        <f>IF($A62&lt;=Products!$G$16,AX62,0)</f>
        <v/>
      </c>
      <c r="BD62" s="40">
        <f>IF(AND($A62&gt;=1,$A62&lt;=Products!$G$16),AX61-AX62,0)</f>
        <v/>
      </c>
      <c r="BE62" s="39">
        <f>IF(AND($A62-Inputs!$C$31&gt;=1,$A62-Inputs!$C$31&lt;=Products!$G$16),INDEX(Curves!$BD$8:$BD$68,$A62-Inputs!$C$31+1),0)*Products!$G$27*Products!$G$28*Products!$G$13</f>
        <v/>
      </c>
      <c r="BF62" s="39">
        <f>IF($A62=Inputs!$C$33,Products!$G$30*Inputs!$C$10*Inputs!$C$32,0)</f>
        <v/>
      </c>
      <c r="BG62" s="39">
        <f>AZ62*(1-Inputs!$C$24)-Inputs!$C$25*BC62+BE62+BF62</f>
        <v/>
      </c>
      <c r="BH62" s="39">
        <f>BH61+BG62</f>
        <v/>
      </c>
    </row>
    <row r="63">
      <c r="A63" s="46" t="n">
        <v>55</v>
      </c>
      <c r="B63" s="40">
        <f>(1-Products!$C$41)^$A63</f>
        <v/>
      </c>
      <c r="C63" s="39">
        <f>IF(AND($A63&gt;=1,$A63&lt;=Products!$C$16),Products!$C$33,0)</f>
        <v/>
      </c>
      <c r="D63" s="39">
        <f>C63*Products!$C$42*B63</f>
        <v/>
      </c>
      <c r="E63" s="39">
        <f>C63-D63</f>
        <v/>
      </c>
      <c r="F63" s="39">
        <f>(1-B63)*MAX(0,Products!$C$16-$A63)*(Products!$C$33-Products!$C$35/Products!$C$16)</f>
        <v/>
      </c>
      <c r="G63" s="40">
        <f>IF($A63&lt;=Products!$C$16,B63,0)</f>
        <v/>
      </c>
      <c r="H63" s="40">
        <f>IF(AND($A63&gt;=1,$A63&lt;=Products!$C$16),B62-B63,0)</f>
        <v/>
      </c>
      <c r="I63" s="39">
        <f>IF(AND($A63-Inputs!$C$31&gt;=1,$A63-Inputs!$C$31&lt;=Products!$C$16),INDEX(Curves!$H$8:$H$68,$A63-Inputs!$C$31+1),0)*Products!$C$27*Products!$C$28*Products!$C$13</f>
        <v/>
      </c>
      <c r="J63" s="39">
        <f>IF($A63=Inputs!$C$33,Products!$C$30*Inputs!$C$10*Inputs!$C$32,0)</f>
        <v/>
      </c>
      <c r="K63" s="39">
        <f>D63*(1-Inputs!$C$24)-Inputs!$C$25*G63+I63+J63</f>
        <v/>
      </c>
      <c r="L63" s="39">
        <f>L62+K63</f>
        <v/>
      </c>
      <c r="N63" s="40">
        <f>(1-Products!$D$41)^$A63</f>
        <v/>
      </c>
      <c r="O63" s="39">
        <f>IF(AND($A63&gt;=1,$A63&lt;=Products!$D$16),Products!$D$33,0)</f>
        <v/>
      </c>
      <c r="P63" s="39">
        <f>O63*Products!$D$42*N63</f>
        <v/>
      </c>
      <c r="Q63" s="39">
        <f>O63-P63</f>
        <v/>
      </c>
      <c r="R63" s="39">
        <f>(1-N63)*MAX(0,Products!$D$16-$A63)*(Products!$D$33-Products!$D$35/Products!$D$16)</f>
        <v/>
      </c>
      <c r="S63" s="40">
        <f>IF($A63&lt;=Products!$D$16,N63,0)</f>
        <v/>
      </c>
      <c r="T63" s="40">
        <f>IF(AND($A63&gt;=1,$A63&lt;=Products!$D$16),N62-N63,0)</f>
        <v/>
      </c>
      <c r="U63" s="39">
        <f>IF(AND($A63-Inputs!$C$31&gt;=1,$A63-Inputs!$C$31&lt;=Products!$D$16),INDEX(Curves!$T$8:$T$68,$A63-Inputs!$C$31+1),0)*Products!$D$27*Products!$D$28*Products!$D$13</f>
        <v/>
      </c>
      <c r="V63" s="39">
        <f>IF($A63=Inputs!$C$33,Products!$D$30*Inputs!$C$10*Inputs!$C$32,0)</f>
        <v/>
      </c>
      <c r="W63" s="39">
        <f>P63*(1-Inputs!$C$24)-Inputs!$C$25*S63+U63+V63</f>
        <v/>
      </c>
      <c r="X63" s="39">
        <f>X62+W63</f>
        <v/>
      </c>
      <c r="Z63" s="40">
        <f>(1-Products!$E$41)^$A63</f>
        <v/>
      </c>
      <c r="AA63" s="39">
        <f>IF(AND($A63&gt;=1,$A63&lt;=Products!$E$16),Products!$E$33,0)</f>
        <v/>
      </c>
      <c r="AB63" s="39">
        <f>AA63*Products!$E$42*Z63</f>
        <v/>
      </c>
      <c r="AC63" s="39">
        <f>AA63-AB63</f>
        <v/>
      </c>
      <c r="AD63" s="39">
        <f>(1-Z63)*MAX(0,Products!$E$16-$A63)*(Products!$E$33-Products!$E$35/Products!$E$16)</f>
        <v/>
      </c>
      <c r="AE63" s="40">
        <f>IF($A63&lt;=Products!$E$16,Z63,0)</f>
        <v/>
      </c>
      <c r="AF63" s="40">
        <f>IF(AND($A63&gt;=1,$A63&lt;=Products!$E$16),Z62-Z63,0)</f>
        <v/>
      </c>
      <c r="AG63" s="39">
        <f>IF(AND($A63-Inputs!$C$31&gt;=1,$A63-Inputs!$C$31&lt;=Products!$E$16),INDEX(Curves!$AF$8:$AF$68,$A63-Inputs!$C$31+1),0)*Products!$E$27*Products!$E$28*Products!$E$13</f>
        <v/>
      </c>
      <c r="AH63" s="39">
        <f>IF($A63=Inputs!$C$33,Products!$E$30*Inputs!$C$10*Inputs!$C$32,0)</f>
        <v/>
      </c>
      <c r="AI63" s="39">
        <f>AB63*(1-Inputs!$C$24)-Inputs!$C$25*AE63+AG63+AH63</f>
        <v/>
      </c>
      <c r="AJ63" s="39">
        <f>AJ62+AI63</f>
        <v/>
      </c>
      <c r="AL63" s="40">
        <f>(1-Products!$F$41)^$A63</f>
        <v/>
      </c>
      <c r="AM63" s="39">
        <f>IF(AND($A63&gt;=1,$A63&lt;=Products!$F$16),Products!$F$33,0)</f>
        <v/>
      </c>
      <c r="AN63" s="39">
        <f>AM63*Products!$F$42*AL63</f>
        <v/>
      </c>
      <c r="AO63" s="39">
        <f>AM63-AN63</f>
        <v/>
      </c>
      <c r="AP63" s="39">
        <f>(1-AL63)*MAX(0,Products!$F$16-$A63)*(Products!$F$33-Products!$F$35/Products!$F$16)</f>
        <v/>
      </c>
      <c r="AQ63" s="40">
        <f>IF($A63&lt;=Products!$F$16,AL63,0)</f>
        <v/>
      </c>
      <c r="AR63" s="40">
        <f>IF(AND($A63&gt;=1,$A63&lt;=Products!$F$16),AL62-AL63,0)</f>
        <v/>
      </c>
      <c r="AS63" s="39">
        <f>IF(AND($A63-Inputs!$C$31&gt;=1,$A63-Inputs!$C$31&lt;=Products!$F$16),INDEX(Curves!$AR$8:$AR$68,$A63-Inputs!$C$31+1),0)*Products!$F$27*Products!$F$28*Products!$F$13</f>
        <v/>
      </c>
      <c r="AT63" s="39">
        <f>IF($A63=Inputs!$C$33,Products!$F$30*Inputs!$C$10*Inputs!$C$32,0)</f>
        <v/>
      </c>
      <c r="AU63" s="39">
        <f>AN63*(1-Inputs!$C$24)-Inputs!$C$25*AQ63+AS63+AT63</f>
        <v/>
      </c>
      <c r="AV63" s="39">
        <f>AV62+AU63</f>
        <v/>
      </c>
      <c r="AX63" s="40">
        <f>(1-Products!$G$41)^$A63</f>
        <v/>
      </c>
      <c r="AY63" s="39">
        <f>IF(AND($A63&gt;=1,$A63&lt;=Products!$G$16),Products!$G$33,0)</f>
        <v/>
      </c>
      <c r="AZ63" s="39">
        <f>AY63*Products!$G$42*AX63</f>
        <v/>
      </c>
      <c r="BA63" s="39">
        <f>AY63-AZ63</f>
        <v/>
      </c>
      <c r="BB63" s="39">
        <f>(1-AX63)*MAX(0,Products!$G$16-$A63)*(Products!$G$33-Products!$G$35/Products!$G$16)</f>
        <v/>
      </c>
      <c r="BC63" s="40">
        <f>IF($A63&lt;=Products!$G$16,AX63,0)</f>
        <v/>
      </c>
      <c r="BD63" s="40">
        <f>IF(AND($A63&gt;=1,$A63&lt;=Products!$G$16),AX62-AX63,0)</f>
        <v/>
      </c>
      <c r="BE63" s="39">
        <f>IF(AND($A63-Inputs!$C$31&gt;=1,$A63-Inputs!$C$31&lt;=Products!$G$16),INDEX(Curves!$BD$8:$BD$68,$A63-Inputs!$C$31+1),0)*Products!$G$27*Products!$G$28*Products!$G$13</f>
        <v/>
      </c>
      <c r="BF63" s="39">
        <f>IF($A63=Inputs!$C$33,Products!$G$30*Inputs!$C$10*Inputs!$C$32,0)</f>
        <v/>
      </c>
      <c r="BG63" s="39">
        <f>AZ63*(1-Inputs!$C$24)-Inputs!$C$25*BC63+BE63+BF63</f>
        <v/>
      </c>
      <c r="BH63" s="39">
        <f>BH62+BG63</f>
        <v/>
      </c>
    </row>
    <row r="64">
      <c r="A64" s="46" t="n">
        <v>56</v>
      </c>
      <c r="B64" s="40">
        <f>(1-Products!$C$41)^$A64</f>
        <v/>
      </c>
      <c r="C64" s="39">
        <f>IF(AND($A64&gt;=1,$A64&lt;=Products!$C$16),Products!$C$33,0)</f>
        <v/>
      </c>
      <c r="D64" s="39">
        <f>C64*Products!$C$42*B64</f>
        <v/>
      </c>
      <c r="E64" s="39">
        <f>C64-D64</f>
        <v/>
      </c>
      <c r="F64" s="39">
        <f>(1-B64)*MAX(0,Products!$C$16-$A64)*(Products!$C$33-Products!$C$35/Products!$C$16)</f>
        <v/>
      </c>
      <c r="G64" s="40">
        <f>IF($A64&lt;=Products!$C$16,B64,0)</f>
        <v/>
      </c>
      <c r="H64" s="40">
        <f>IF(AND($A64&gt;=1,$A64&lt;=Products!$C$16),B63-B64,0)</f>
        <v/>
      </c>
      <c r="I64" s="39">
        <f>IF(AND($A64-Inputs!$C$31&gt;=1,$A64-Inputs!$C$31&lt;=Products!$C$16),INDEX(Curves!$H$8:$H$68,$A64-Inputs!$C$31+1),0)*Products!$C$27*Products!$C$28*Products!$C$13</f>
        <v/>
      </c>
      <c r="J64" s="39">
        <f>IF($A64=Inputs!$C$33,Products!$C$30*Inputs!$C$10*Inputs!$C$32,0)</f>
        <v/>
      </c>
      <c r="K64" s="39">
        <f>D64*(1-Inputs!$C$24)-Inputs!$C$25*G64+I64+J64</f>
        <v/>
      </c>
      <c r="L64" s="39">
        <f>L63+K64</f>
        <v/>
      </c>
      <c r="N64" s="40">
        <f>(1-Products!$D$41)^$A64</f>
        <v/>
      </c>
      <c r="O64" s="39">
        <f>IF(AND($A64&gt;=1,$A64&lt;=Products!$D$16),Products!$D$33,0)</f>
        <v/>
      </c>
      <c r="P64" s="39">
        <f>O64*Products!$D$42*N64</f>
        <v/>
      </c>
      <c r="Q64" s="39">
        <f>O64-P64</f>
        <v/>
      </c>
      <c r="R64" s="39">
        <f>(1-N64)*MAX(0,Products!$D$16-$A64)*(Products!$D$33-Products!$D$35/Products!$D$16)</f>
        <v/>
      </c>
      <c r="S64" s="40">
        <f>IF($A64&lt;=Products!$D$16,N64,0)</f>
        <v/>
      </c>
      <c r="T64" s="40">
        <f>IF(AND($A64&gt;=1,$A64&lt;=Products!$D$16),N63-N64,0)</f>
        <v/>
      </c>
      <c r="U64" s="39">
        <f>IF(AND($A64-Inputs!$C$31&gt;=1,$A64-Inputs!$C$31&lt;=Products!$D$16),INDEX(Curves!$T$8:$T$68,$A64-Inputs!$C$31+1),0)*Products!$D$27*Products!$D$28*Products!$D$13</f>
        <v/>
      </c>
      <c r="V64" s="39">
        <f>IF($A64=Inputs!$C$33,Products!$D$30*Inputs!$C$10*Inputs!$C$32,0)</f>
        <v/>
      </c>
      <c r="W64" s="39">
        <f>P64*(1-Inputs!$C$24)-Inputs!$C$25*S64+U64+V64</f>
        <v/>
      </c>
      <c r="X64" s="39">
        <f>X63+W64</f>
        <v/>
      </c>
      <c r="Z64" s="40">
        <f>(1-Products!$E$41)^$A64</f>
        <v/>
      </c>
      <c r="AA64" s="39">
        <f>IF(AND($A64&gt;=1,$A64&lt;=Products!$E$16),Products!$E$33,0)</f>
        <v/>
      </c>
      <c r="AB64" s="39">
        <f>AA64*Products!$E$42*Z64</f>
        <v/>
      </c>
      <c r="AC64" s="39">
        <f>AA64-AB64</f>
        <v/>
      </c>
      <c r="AD64" s="39">
        <f>(1-Z64)*MAX(0,Products!$E$16-$A64)*(Products!$E$33-Products!$E$35/Products!$E$16)</f>
        <v/>
      </c>
      <c r="AE64" s="40">
        <f>IF($A64&lt;=Products!$E$16,Z64,0)</f>
        <v/>
      </c>
      <c r="AF64" s="40">
        <f>IF(AND($A64&gt;=1,$A64&lt;=Products!$E$16),Z63-Z64,0)</f>
        <v/>
      </c>
      <c r="AG64" s="39">
        <f>IF(AND($A64-Inputs!$C$31&gt;=1,$A64-Inputs!$C$31&lt;=Products!$E$16),INDEX(Curves!$AF$8:$AF$68,$A64-Inputs!$C$31+1),0)*Products!$E$27*Products!$E$28*Products!$E$13</f>
        <v/>
      </c>
      <c r="AH64" s="39">
        <f>IF($A64=Inputs!$C$33,Products!$E$30*Inputs!$C$10*Inputs!$C$32,0)</f>
        <v/>
      </c>
      <c r="AI64" s="39">
        <f>AB64*(1-Inputs!$C$24)-Inputs!$C$25*AE64+AG64+AH64</f>
        <v/>
      </c>
      <c r="AJ64" s="39">
        <f>AJ63+AI64</f>
        <v/>
      </c>
      <c r="AL64" s="40">
        <f>(1-Products!$F$41)^$A64</f>
        <v/>
      </c>
      <c r="AM64" s="39">
        <f>IF(AND($A64&gt;=1,$A64&lt;=Products!$F$16),Products!$F$33,0)</f>
        <v/>
      </c>
      <c r="AN64" s="39">
        <f>AM64*Products!$F$42*AL64</f>
        <v/>
      </c>
      <c r="AO64" s="39">
        <f>AM64-AN64</f>
        <v/>
      </c>
      <c r="AP64" s="39">
        <f>(1-AL64)*MAX(0,Products!$F$16-$A64)*(Products!$F$33-Products!$F$35/Products!$F$16)</f>
        <v/>
      </c>
      <c r="AQ64" s="40">
        <f>IF($A64&lt;=Products!$F$16,AL64,0)</f>
        <v/>
      </c>
      <c r="AR64" s="40">
        <f>IF(AND($A64&gt;=1,$A64&lt;=Products!$F$16),AL63-AL64,0)</f>
        <v/>
      </c>
      <c r="AS64" s="39">
        <f>IF(AND($A64-Inputs!$C$31&gt;=1,$A64-Inputs!$C$31&lt;=Products!$F$16),INDEX(Curves!$AR$8:$AR$68,$A64-Inputs!$C$31+1),0)*Products!$F$27*Products!$F$28*Products!$F$13</f>
        <v/>
      </c>
      <c r="AT64" s="39">
        <f>IF($A64=Inputs!$C$33,Products!$F$30*Inputs!$C$10*Inputs!$C$32,0)</f>
        <v/>
      </c>
      <c r="AU64" s="39">
        <f>AN64*(1-Inputs!$C$24)-Inputs!$C$25*AQ64+AS64+AT64</f>
        <v/>
      </c>
      <c r="AV64" s="39">
        <f>AV63+AU64</f>
        <v/>
      </c>
      <c r="AX64" s="40">
        <f>(1-Products!$G$41)^$A64</f>
        <v/>
      </c>
      <c r="AY64" s="39">
        <f>IF(AND($A64&gt;=1,$A64&lt;=Products!$G$16),Products!$G$33,0)</f>
        <v/>
      </c>
      <c r="AZ64" s="39">
        <f>AY64*Products!$G$42*AX64</f>
        <v/>
      </c>
      <c r="BA64" s="39">
        <f>AY64-AZ64</f>
        <v/>
      </c>
      <c r="BB64" s="39">
        <f>(1-AX64)*MAX(0,Products!$G$16-$A64)*(Products!$G$33-Products!$G$35/Products!$G$16)</f>
        <v/>
      </c>
      <c r="BC64" s="40">
        <f>IF($A64&lt;=Products!$G$16,AX64,0)</f>
        <v/>
      </c>
      <c r="BD64" s="40">
        <f>IF(AND($A64&gt;=1,$A64&lt;=Products!$G$16),AX63-AX64,0)</f>
        <v/>
      </c>
      <c r="BE64" s="39">
        <f>IF(AND($A64-Inputs!$C$31&gt;=1,$A64-Inputs!$C$31&lt;=Products!$G$16),INDEX(Curves!$BD$8:$BD$68,$A64-Inputs!$C$31+1),0)*Products!$G$27*Products!$G$28*Products!$G$13</f>
        <v/>
      </c>
      <c r="BF64" s="39">
        <f>IF($A64=Inputs!$C$33,Products!$G$30*Inputs!$C$10*Inputs!$C$32,0)</f>
        <v/>
      </c>
      <c r="BG64" s="39">
        <f>AZ64*(1-Inputs!$C$24)-Inputs!$C$25*BC64+BE64+BF64</f>
        <v/>
      </c>
      <c r="BH64" s="39">
        <f>BH63+BG64</f>
        <v/>
      </c>
    </row>
    <row r="65">
      <c r="A65" s="46" t="n">
        <v>57</v>
      </c>
      <c r="B65" s="40">
        <f>(1-Products!$C$41)^$A65</f>
        <v/>
      </c>
      <c r="C65" s="39">
        <f>IF(AND($A65&gt;=1,$A65&lt;=Products!$C$16),Products!$C$33,0)</f>
        <v/>
      </c>
      <c r="D65" s="39">
        <f>C65*Products!$C$42*B65</f>
        <v/>
      </c>
      <c r="E65" s="39">
        <f>C65-D65</f>
        <v/>
      </c>
      <c r="F65" s="39">
        <f>(1-B65)*MAX(0,Products!$C$16-$A65)*(Products!$C$33-Products!$C$35/Products!$C$16)</f>
        <v/>
      </c>
      <c r="G65" s="40">
        <f>IF($A65&lt;=Products!$C$16,B65,0)</f>
        <v/>
      </c>
      <c r="H65" s="40">
        <f>IF(AND($A65&gt;=1,$A65&lt;=Products!$C$16),B64-B65,0)</f>
        <v/>
      </c>
      <c r="I65" s="39">
        <f>IF(AND($A65-Inputs!$C$31&gt;=1,$A65-Inputs!$C$31&lt;=Products!$C$16),INDEX(Curves!$H$8:$H$68,$A65-Inputs!$C$31+1),0)*Products!$C$27*Products!$C$28*Products!$C$13</f>
        <v/>
      </c>
      <c r="J65" s="39">
        <f>IF($A65=Inputs!$C$33,Products!$C$30*Inputs!$C$10*Inputs!$C$32,0)</f>
        <v/>
      </c>
      <c r="K65" s="39">
        <f>D65*(1-Inputs!$C$24)-Inputs!$C$25*G65+I65+J65</f>
        <v/>
      </c>
      <c r="L65" s="39">
        <f>L64+K65</f>
        <v/>
      </c>
      <c r="N65" s="40">
        <f>(1-Products!$D$41)^$A65</f>
        <v/>
      </c>
      <c r="O65" s="39">
        <f>IF(AND($A65&gt;=1,$A65&lt;=Products!$D$16),Products!$D$33,0)</f>
        <v/>
      </c>
      <c r="P65" s="39">
        <f>O65*Products!$D$42*N65</f>
        <v/>
      </c>
      <c r="Q65" s="39">
        <f>O65-P65</f>
        <v/>
      </c>
      <c r="R65" s="39">
        <f>(1-N65)*MAX(0,Products!$D$16-$A65)*(Products!$D$33-Products!$D$35/Products!$D$16)</f>
        <v/>
      </c>
      <c r="S65" s="40">
        <f>IF($A65&lt;=Products!$D$16,N65,0)</f>
        <v/>
      </c>
      <c r="T65" s="40">
        <f>IF(AND($A65&gt;=1,$A65&lt;=Products!$D$16),N64-N65,0)</f>
        <v/>
      </c>
      <c r="U65" s="39">
        <f>IF(AND($A65-Inputs!$C$31&gt;=1,$A65-Inputs!$C$31&lt;=Products!$D$16),INDEX(Curves!$T$8:$T$68,$A65-Inputs!$C$31+1),0)*Products!$D$27*Products!$D$28*Products!$D$13</f>
        <v/>
      </c>
      <c r="V65" s="39">
        <f>IF($A65=Inputs!$C$33,Products!$D$30*Inputs!$C$10*Inputs!$C$32,0)</f>
        <v/>
      </c>
      <c r="W65" s="39">
        <f>P65*(1-Inputs!$C$24)-Inputs!$C$25*S65+U65+V65</f>
        <v/>
      </c>
      <c r="X65" s="39">
        <f>X64+W65</f>
        <v/>
      </c>
      <c r="Z65" s="40">
        <f>(1-Products!$E$41)^$A65</f>
        <v/>
      </c>
      <c r="AA65" s="39">
        <f>IF(AND($A65&gt;=1,$A65&lt;=Products!$E$16),Products!$E$33,0)</f>
        <v/>
      </c>
      <c r="AB65" s="39">
        <f>AA65*Products!$E$42*Z65</f>
        <v/>
      </c>
      <c r="AC65" s="39">
        <f>AA65-AB65</f>
        <v/>
      </c>
      <c r="AD65" s="39">
        <f>(1-Z65)*MAX(0,Products!$E$16-$A65)*(Products!$E$33-Products!$E$35/Products!$E$16)</f>
        <v/>
      </c>
      <c r="AE65" s="40">
        <f>IF($A65&lt;=Products!$E$16,Z65,0)</f>
        <v/>
      </c>
      <c r="AF65" s="40">
        <f>IF(AND($A65&gt;=1,$A65&lt;=Products!$E$16),Z64-Z65,0)</f>
        <v/>
      </c>
      <c r="AG65" s="39">
        <f>IF(AND($A65-Inputs!$C$31&gt;=1,$A65-Inputs!$C$31&lt;=Products!$E$16),INDEX(Curves!$AF$8:$AF$68,$A65-Inputs!$C$31+1),0)*Products!$E$27*Products!$E$28*Products!$E$13</f>
        <v/>
      </c>
      <c r="AH65" s="39">
        <f>IF($A65=Inputs!$C$33,Products!$E$30*Inputs!$C$10*Inputs!$C$32,0)</f>
        <v/>
      </c>
      <c r="AI65" s="39">
        <f>AB65*(1-Inputs!$C$24)-Inputs!$C$25*AE65+AG65+AH65</f>
        <v/>
      </c>
      <c r="AJ65" s="39">
        <f>AJ64+AI65</f>
        <v/>
      </c>
      <c r="AL65" s="40">
        <f>(1-Products!$F$41)^$A65</f>
        <v/>
      </c>
      <c r="AM65" s="39">
        <f>IF(AND($A65&gt;=1,$A65&lt;=Products!$F$16),Products!$F$33,0)</f>
        <v/>
      </c>
      <c r="AN65" s="39">
        <f>AM65*Products!$F$42*AL65</f>
        <v/>
      </c>
      <c r="AO65" s="39">
        <f>AM65-AN65</f>
        <v/>
      </c>
      <c r="AP65" s="39">
        <f>(1-AL65)*MAX(0,Products!$F$16-$A65)*(Products!$F$33-Products!$F$35/Products!$F$16)</f>
        <v/>
      </c>
      <c r="AQ65" s="40">
        <f>IF($A65&lt;=Products!$F$16,AL65,0)</f>
        <v/>
      </c>
      <c r="AR65" s="40">
        <f>IF(AND($A65&gt;=1,$A65&lt;=Products!$F$16),AL64-AL65,0)</f>
        <v/>
      </c>
      <c r="AS65" s="39">
        <f>IF(AND($A65-Inputs!$C$31&gt;=1,$A65-Inputs!$C$31&lt;=Products!$F$16),INDEX(Curves!$AR$8:$AR$68,$A65-Inputs!$C$31+1),0)*Products!$F$27*Products!$F$28*Products!$F$13</f>
        <v/>
      </c>
      <c r="AT65" s="39">
        <f>IF($A65=Inputs!$C$33,Products!$F$30*Inputs!$C$10*Inputs!$C$32,0)</f>
        <v/>
      </c>
      <c r="AU65" s="39">
        <f>AN65*(1-Inputs!$C$24)-Inputs!$C$25*AQ65+AS65+AT65</f>
        <v/>
      </c>
      <c r="AV65" s="39">
        <f>AV64+AU65</f>
        <v/>
      </c>
      <c r="AX65" s="40">
        <f>(1-Products!$G$41)^$A65</f>
        <v/>
      </c>
      <c r="AY65" s="39">
        <f>IF(AND($A65&gt;=1,$A65&lt;=Products!$G$16),Products!$G$33,0)</f>
        <v/>
      </c>
      <c r="AZ65" s="39">
        <f>AY65*Products!$G$42*AX65</f>
        <v/>
      </c>
      <c r="BA65" s="39">
        <f>AY65-AZ65</f>
        <v/>
      </c>
      <c r="BB65" s="39">
        <f>(1-AX65)*MAX(0,Products!$G$16-$A65)*(Products!$G$33-Products!$G$35/Products!$G$16)</f>
        <v/>
      </c>
      <c r="BC65" s="40">
        <f>IF($A65&lt;=Products!$G$16,AX65,0)</f>
        <v/>
      </c>
      <c r="BD65" s="40">
        <f>IF(AND($A65&gt;=1,$A65&lt;=Products!$G$16),AX64-AX65,0)</f>
        <v/>
      </c>
      <c r="BE65" s="39">
        <f>IF(AND($A65-Inputs!$C$31&gt;=1,$A65-Inputs!$C$31&lt;=Products!$G$16),INDEX(Curves!$BD$8:$BD$68,$A65-Inputs!$C$31+1),0)*Products!$G$27*Products!$G$28*Products!$G$13</f>
        <v/>
      </c>
      <c r="BF65" s="39">
        <f>IF($A65=Inputs!$C$33,Products!$G$30*Inputs!$C$10*Inputs!$C$32,0)</f>
        <v/>
      </c>
      <c r="BG65" s="39">
        <f>AZ65*(1-Inputs!$C$24)-Inputs!$C$25*BC65+BE65+BF65</f>
        <v/>
      </c>
      <c r="BH65" s="39">
        <f>BH64+BG65</f>
        <v/>
      </c>
    </row>
    <row r="66">
      <c r="A66" s="46" t="n">
        <v>58</v>
      </c>
      <c r="B66" s="40">
        <f>(1-Products!$C$41)^$A66</f>
        <v/>
      </c>
      <c r="C66" s="39">
        <f>IF(AND($A66&gt;=1,$A66&lt;=Products!$C$16),Products!$C$33,0)</f>
        <v/>
      </c>
      <c r="D66" s="39">
        <f>C66*Products!$C$42*B66</f>
        <v/>
      </c>
      <c r="E66" s="39">
        <f>C66-D66</f>
        <v/>
      </c>
      <c r="F66" s="39">
        <f>(1-B66)*MAX(0,Products!$C$16-$A66)*(Products!$C$33-Products!$C$35/Products!$C$16)</f>
        <v/>
      </c>
      <c r="G66" s="40">
        <f>IF($A66&lt;=Products!$C$16,B66,0)</f>
        <v/>
      </c>
      <c r="H66" s="40">
        <f>IF(AND($A66&gt;=1,$A66&lt;=Products!$C$16),B65-B66,0)</f>
        <v/>
      </c>
      <c r="I66" s="39">
        <f>IF(AND($A66-Inputs!$C$31&gt;=1,$A66-Inputs!$C$31&lt;=Products!$C$16),INDEX(Curves!$H$8:$H$68,$A66-Inputs!$C$31+1),0)*Products!$C$27*Products!$C$28*Products!$C$13</f>
        <v/>
      </c>
      <c r="J66" s="39">
        <f>IF($A66=Inputs!$C$33,Products!$C$30*Inputs!$C$10*Inputs!$C$32,0)</f>
        <v/>
      </c>
      <c r="K66" s="39">
        <f>D66*(1-Inputs!$C$24)-Inputs!$C$25*G66+I66+J66</f>
        <v/>
      </c>
      <c r="L66" s="39">
        <f>L65+K66</f>
        <v/>
      </c>
      <c r="N66" s="40">
        <f>(1-Products!$D$41)^$A66</f>
        <v/>
      </c>
      <c r="O66" s="39">
        <f>IF(AND($A66&gt;=1,$A66&lt;=Products!$D$16),Products!$D$33,0)</f>
        <v/>
      </c>
      <c r="P66" s="39">
        <f>O66*Products!$D$42*N66</f>
        <v/>
      </c>
      <c r="Q66" s="39">
        <f>O66-P66</f>
        <v/>
      </c>
      <c r="R66" s="39">
        <f>(1-N66)*MAX(0,Products!$D$16-$A66)*(Products!$D$33-Products!$D$35/Products!$D$16)</f>
        <v/>
      </c>
      <c r="S66" s="40">
        <f>IF($A66&lt;=Products!$D$16,N66,0)</f>
        <v/>
      </c>
      <c r="T66" s="40">
        <f>IF(AND($A66&gt;=1,$A66&lt;=Products!$D$16),N65-N66,0)</f>
        <v/>
      </c>
      <c r="U66" s="39">
        <f>IF(AND($A66-Inputs!$C$31&gt;=1,$A66-Inputs!$C$31&lt;=Products!$D$16),INDEX(Curves!$T$8:$T$68,$A66-Inputs!$C$31+1),0)*Products!$D$27*Products!$D$28*Products!$D$13</f>
        <v/>
      </c>
      <c r="V66" s="39">
        <f>IF($A66=Inputs!$C$33,Products!$D$30*Inputs!$C$10*Inputs!$C$32,0)</f>
        <v/>
      </c>
      <c r="W66" s="39">
        <f>P66*(1-Inputs!$C$24)-Inputs!$C$25*S66+U66+V66</f>
        <v/>
      </c>
      <c r="X66" s="39">
        <f>X65+W66</f>
        <v/>
      </c>
      <c r="Z66" s="40">
        <f>(1-Products!$E$41)^$A66</f>
        <v/>
      </c>
      <c r="AA66" s="39">
        <f>IF(AND($A66&gt;=1,$A66&lt;=Products!$E$16),Products!$E$33,0)</f>
        <v/>
      </c>
      <c r="AB66" s="39">
        <f>AA66*Products!$E$42*Z66</f>
        <v/>
      </c>
      <c r="AC66" s="39">
        <f>AA66-AB66</f>
        <v/>
      </c>
      <c r="AD66" s="39">
        <f>(1-Z66)*MAX(0,Products!$E$16-$A66)*(Products!$E$33-Products!$E$35/Products!$E$16)</f>
        <v/>
      </c>
      <c r="AE66" s="40">
        <f>IF($A66&lt;=Products!$E$16,Z66,0)</f>
        <v/>
      </c>
      <c r="AF66" s="40">
        <f>IF(AND($A66&gt;=1,$A66&lt;=Products!$E$16),Z65-Z66,0)</f>
        <v/>
      </c>
      <c r="AG66" s="39">
        <f>IF(AND($A66-Inputs!$C$31&gt;=1,$A66-Inputs!$C$31&lt;=Products!$E$16),INDEX(Curves!$AF$8:$AF$68,$A66-Inputs!$C$31+1),0)*Products!$E$27*Products!$E$28*Products!$E$13</f>
        <v/>
      </c>
      <c r="AH66" s="39">
        <f>IF($A66=Inputs!$C$33,Products!$E$30*Inputs!$C$10*Inputs!$C$32,0)</f>
        <v/>
      </c>
      <c r="AI66" s="39">
        <f>AB66*(1-Inputs!$C$24)-Inputs!$C$25*AE66+AG66+AH66</f>
        <v/>
      </c>
      <c r="AJ66" s="39">
        <f>AJ65+AI66</f>
        <v/>
      </c>
      <c r="AL66" s="40">
        <f>(1-Products!$F$41)^$A66</f>
        <v/>
      </c>
      <c r="AM66" s="39">
        <f>IF(AND($A66&gt;=1,$A66&lt;=Products!$F$16),Products!$F$33,0)</f>
        <v/>
      </c>
      <c r="AN66" s="39">
        <f>AM66*Products!$F$42*AL66</f>
        <v/>
      </c>
      <c r="AO66" s="39">
        <f>AM66-AN66</f>
        <v/>
      </c>
      <c r="AP66" s="39">
        <f>(1-AL66)*MAX(0,Products!$F$16-$A66)*(Products!$F$33-Products!$F$35/Products!$F$16)</f>
        <v/>
      </c>
      <c r="AQ66" s="40">
        <f>IF($A66&lt;=Products!$F$16,AL66,0)</f>
        <v/>
      </c>
      <c r="AR66" s="40">
        <f>IF(AND($A66&gt;=1,$A66&lt;=Products!$F$16),AL65-AL66,0)</f>
        <v/>
      </c>
      <c r="AS66" s="39">
        <f>IF(AND($A66-Inputs!$C$31&gt;=1,$A66-Inputs!$C$31&lt;=Products!$F$16),INDEX(Curves!$AR$8:$AR$68,$A66-Inputs!$C$31+1),0)*Products!$F$27*Products!$F$28*Products!$F$13</f>
        <v/>
      </c>
      <c r="AT66" s="39">
        <f>IF($A66=Inputs!$C$33,Products!$F$30*Inputs!$C$10*Inputs!$C$32,0)</f>
        <v/>
      </c>
      <c r="AU66" s="39">
        <f>AN66*(1-Inputs!$C$24)-Inputs!$C$25*AQ66+AS66+AT66</f>
        <v/>
      </c>
      <c r="AV66" s="39">
        <f>AV65+AU66</f>
        <v/>
      </c>
      <c r="AX66" s="40">
        <f>(1-Products!$G$41)^$A66</f>
        <v/>
      </c>
      <c r="AY66" s="39">
        <f>IF(AND($A66&gt;=1,$A66&lt;=Products!$G$16),Products!$G$33,0)</f>
        <v/>
      </c>
      <c r="AZ66" s="39">
        <f>AY66*Products!$G$42*AX66</f>
        <v/>
      </c>
      <c r="BA66" s="39">
        <f>AY66-AZ66</f>
        <v/>
      </c>
      <c r="BB66" s="39">
        <f>(1-AX66)*MAX(0,Products!$G$16-$A66)*(Products!$G$33-Products!$G$35/Products!$G$16)</f>
        <v/>
      </c>
      <c r="BC66" s="40">
        <f>IF($A66&lt;=Products!$G$16,AX66,0)</f>
        <v/>
      </c>
      <c r="BD66" s="40">
        <f>IF(AND($A66&gt;=1,$A66&lt;=Products!$G$16),AX65-AX66,0)</f>
        <v/>
      </c>
      <c r="BE66" s="39">
        <f>IF(AND($A66-Inputs!$C$31&gt;=1,$A66-Inputs!$C$31&lt;=Products!$G$16),INDEX(Curves!$BD$8:$BD$68,$A66-Inputs!$C$31+1),0)*Products!$G$27*Products!$G$28*Products!$G$13</f>
        <v/>
      </c>
      <c r="BF66" s="39">
        <f>IF($A66=Inputs!$C$33,Products!$G$30*Inputs!$C$10*Inputs!$C$32,0)</f>
        <v/>
      </c>
      <c r="BG66" s="39">
        <f>AZ66*(1-Inputs!$C$24)-Inputs!$C$25*BC66+BE66+BF66</f>
        <v/>
      </c>
      <c r="BH66" s="39">
        <f>BH65+BG66</f>
        <v/>
      </c>
    </row>
    <row r="67">
      <c r="A67" s="46" t="n">
        <v>59</v>
      </c>
      <c r="B67" s="40">
        <f>(1-Products!$C$41)^$A67</f>
        <v/>
      </c>
      <c r="C67" s="39">
        <f>IF(AND($A67&gt;=1,$A67&lt;=Products!$C$16),Products!$C$33,0)</f>
        <v/>
      </c>
      <c r="D67" s="39">
        <f>C67*Products!$C$42*B67</f>
        <v/>
      </c>
      <c r="E67" s="39">
        <f>C67-D67</f>
        <v/>
      </c>
      <c r="F67" s="39">
        <f>(1-B67)*MAX(0,Products!$C$16-$A67)*(Products!$C$33-Products!$C$35/Products!$C$16)</f>
        <v/>
      </c>
      <c r="G67" s="40">
        <f>IF($A67&lt;=Products!$C$16,B67,0)</f>
        <v/>
      </c>
      <c r="H67" s="40">
        <f>IF(AND($A67&gt;=1,$A67&lt;=Products!$C$16),B66-B67,0)</f>
        <v/>
      </c>
      <c r="I67" s="39">
        <f>IF(AND($A67-Inputs!$C$31&gt;=1,$A67-Inputs!$C$31&lt;=Products!$C$16),INDEX(Curves!$H$8:$H$68,$A67-Inputs!$C$31+1),0)*Products!$C$27*Products!$C$28*Products!$C$13</f>
        <v/>
      </c>
      <c r="J67" s="39">
        <f>IF($A67=Inputs!$C$33,Products!$C$30*Inputs!$C$10*Inputs!$C$32,0)</f>
        <v/>
      </c>
      <c r="K67" s="39">
        <f>D67*(1-Inputs!$C$24)-Inputs!$C$25*G67+I67+J67</f>
        <v/>
      </c>
      <c r="L67" s="39">
        <f>L66+K67</f>
        <v/>
      </c>
      <c r="N67" s="40">
        <f>(1-Products!$D$41)^$A67</f>
        <v/>
      </c>
      <c r="O67" s="39">
        <f>IF(AND($A67&gt;=1,$A67&lt;=Products!$D$16),Products!$D$33,0)</f>
        <v/>
      </c>
      <c r="P67" s="39">
        <f>O67*Products!$D$42*N67</f>
        <v/>
      </c>
      <c r="Q67" s="39">
        <f>O67-P67</f>
        <v/>
      </c>
      <c r="R67" s="39">
        <f>(1-N67)*MAX(0,Products!$D$16-$A67)*(Products!$D$33-Products!$D$35/Products!$D$16)</f>
        <v/>
      </c>
      <c r="S67" s="40">
        <f>IF($A67&lt;=Products!$D$16,N67,0)</f>
        <v/>
      </c>
      <c r="T67" s="40">
        <f>IF(AND($A67&gt;=1,$A67&lt;=Products!$D$16),N66-N67,0)</f>
        <v/>
      </c>
      <c r="U67" s="39">
        <f>IF(AND($A67-Inputs!$C$31&gt;=1,$A67-Inputs!$C$31&lt;=Products!$D$16),INDEX(Curves!$T$8:$T$68,$A67-Inputs!$C$31+1),0)*Products!$D$27*Products!$D$28*Products!$D$13</f>
        <v/>
      </c>
      <c r="V67" s="39">
        <f>IF($A67=Inputs!$C$33,Products!$D$30*Inputs!$C$10*Inputs!$C$32,0)</f>
        <v/>
      </c>
      <c r="W67" s="39">
        <f>P67*(1-Inputs!$C$24)-Inputs!$C$25*S67+U67+V67</f>
        <v/>
      </c>
      <c r="X67" s="39">
        <f>X66+W67</f>
        <v/>
      </c>
      <c r="Z67" s="40">
        <f>(1-Products!$E$41)^$A67</f>
        <v/>
      </c>
      <c r="AA67" s="39">
        <f>IF(AND($A67&gt;=1,$A67&lt;=Products!$E$16),Products!$E$33,0)</f>
        <v/>
      </c>
      <c r="AB67" s="39">
        <f>AA67*Products!$E$42*Z67</f>
        <v/>
      </c>
      <c r="AC67" s="39">
        <f>AA67-AB67</f>
        <v/>
      </c>
      <c r="AD67" s="39">
        <f>(1-Z67)*MAX(0,Products!$E$16-$A67)*(Products!$E$33-Products!$E$35/Products!$E$16)</f>
        <v/>
      </c>
      <c r="AE67" s="40">
        <f>IF($A67&lt;=Products!$E$16,Z67,0)</f>
        <v/>
      </c>
      <c r="AF67" s="40">
        <f>IF(AND($A67&gt;=1,$A67&lt;=Products!$E$16),Z66-Z67,0)</f>
        <v/>
      </c>
      <c r="AG67" s="39">
        <f>IF(AND($A67-Inputs!$C$31&gt;=1,$A67-Inputs!$C$31&lt;=Products!$E$16),INDEX(Curves!$AF$8:$AF$68,$A67-Inputs!$C$31+1),0)*Products!$E$27*Products!$E$28*Products!$E$13</f>
        <v/>
      </c>
      <c r="AH67" s="39">
        <f>IF($A67=Inputs!$C$33,Products!$E$30*Inputs!$C$10*Inputs!$C$32,0)</f>
        <v/>
      </c>
      <c r="AI67" s="39">
        <f>AB67*(1-Inputs!$C$24)-Inputs!$C$25*AE67+AG67+AH67</f>
        <v/>
      </c>
      <c r="AJ67" s="39">
        <f>AJ66+AI67</f>
        <v/>
      </c>
      <c r="AL67" s="40">
        <f>(1-Products!$F$41)^$A67</f>
        <v/>
      </c>
      <c r="AM67" s="39">
        <f>IF(AND($A67&gt;=1,$A67&lt;=Products!$F$16),Products!$F$33,0)</f>
        <v/>
      </c>
      <c r="AN67" s="39">
        <f>AM67*Products!$F$42*AL67</f>
        <v/>
      </c>
      <c r="AO67" s="39">
        <f>AM67-AN67</f>
        <v/>
      </c>
      <c r="AP67" s="39">
        <f>(1-AL67)*MAX(0,Products!$F$16-$A67)*(Products!$F$33-Products!$F$35/Products!$F$16)</f>
        <v/>
      </c>
      <c r="AQ67" s="40">
        <f>IF($A67&lt;=Products!$F$16,AL67,0)</f>
        <v/>
      </c>
      <c r="AR67" s="40">
        <f>IF(AND($A67&gt;=1,$A67&lt;=Products!$F$16),AL66-AL67,0)</f>
        <v/>
      </c>
      <c r="AS67" s="39">
        <f>IF(AND($A67-Inputs!$C$31&gt;=1,$A67-Inputs!$C$31&lt;=Products!$F$16),INDEX(Curves!$AR$8:$AR$68,$A67-Inputs!$C$31+1),0)*Products!$F$27*Products!$F$28*Products!$F$13</f>
        <v/>
      </c>
      <c r="AT67" s="39">
        <f>IF($A67=Inputs!$C$33,Products!$F$30*Inputs!$C$10*Inputs!$C$32,0)</f>
        <v/>
      </c>
      <c r="AU67" s="39">
        <f>AN67*(1-Inputs!$C$24)-Inputs!$C$25*AQ67+AS67+AT67</f>
        <v/>
      </c>
      <c r="AV67" s="39">
        <f>AV66+AU67</f>
        <v/>
      </c>
      <c r="AX67" s="40">
        <f>(1-Products!$G$41)^$A67</f>
        <v/>
      </c>
      <c r="AY67" s="39">
        <f>IF(AND($A67&gt;=1,$A67&lt;=Products!$G$16),Products!$G$33,0)</f>
        <v/>
      </c>
      <c r="AZ67" s="39">
        <f>AY67*Products!$G$42*AX67</f>
        <v/>
      </c>
      <c r="BA67" s="39">
        <f>AY67-AZ67</f>
        <v/>
      </c>
      <c r="BB67" s="39">
        <f>(1-AX67)*MAX(0,Products!$G$16-$A67)*(Products!$G$33-Products!$G$35/Products!$G$16)</f>
        <v/>
      </c>
      <c r="BC67" s="40">
        <f>IF($A67&lt;=Products!$G$16,AX67,0)</f>
        <v/>
      </c>
      <c r="BD67" s="40">
        <f>IF(AND($A67&gt;=1,$A67&lt;=Products!$G$16),AX66-AX67,0)</f>
        <v/>
      </c>
      <c r="BE67" s="39">
        <f>IF(AND($A67-Inputs!$C$31&gt;=1,$A67-Inputs!$C$31&lt;=Products!$G$16),INDEX(Curves!$BD$8:$BD$68,$A67-Inputs!$C$31+1),0)*Products!$G$27*Products!$G$28*Products!$G$13</f>
        <v/>
      </c>
      <c r="BF67" s="39">
        <f>IF($A67=Inputs!$C$33,Products!$G$30*Inputs!$C$10*Inputs!$C$32,0)</f>
        <v/>
      </c>
      <c r="BG67" s="39">
        <f>AZ67*(1-Inputs!$C$24)-Inputs!$C$25*BC67+BE67+BF67</f>
        <v/>
      </c>
      <c r="BH67" s="39">
        <f>BH66+BG67</f>
        <v/>
      </c>
    </row>
    <row r="68">
      <c r="A68" s="46" t="n">
        <v>60</v>
      </c>
      <c r="B68" s="40">
        <f>(1-Products!$C$41)^$A68</f>
        <v/>
      </c>
      <c r="C68" s="39">
        <f>IF(AND($A68&gt;=1,$A68&lt;=Products!$C$16),Products!$C$33,0)</f>
        <v/>
      </c>
      <c r="D68" s="39">
        <f>C68*Products!$C$42*B68</f>
        <v/>
      </c>
      <c r="E68" s="39">
        <f>C68-D68</f>
        <v/>
      </c>
      <c r="F68" s="39">
        <f>(1-B68)*MAX(0,Products!$C$16-$A68)*(Products!$C$33-Products!$C$35/Products!$C$16)</f>
        <v/>
      </c>
      <c r="G68" s="40">
        <f>IF($A68&lt;=Products!$C$16,B68,0)</f>
        <v/>
      </c>
      <c r="H68" s="40">
        <f>IF(AND($A68&gt;=1,$A68&lt;=Products!$C$16),B67-B68,0)</f>
        <v/>
      </c>
      <c r="I68" s="39">
        <f>IF(AND($A68-Inputs!$C$31&gt;=1,$A68-Inputs!$C$31&lt;=Products!$C$16),INDEX(Curves!$H$8:$H$68,$A68-Inputs!$C$31+1),0)*Products!$C$27*Products!$C$28*Products!$C$13</f>
        <v/>
      </c>
      <c r="J68" s="39">
        <f>IF($A68=Inputs!$C$33,Products!$C$30*Inputs!$C$10*Inputs!$C$32,0)</f>
        <v/>
      </c>
      <c r="K68" s="39">
        <f>D68*(1-Inputs!$C$24)-Inputs!$C$25*G68+I68+J68</f>
        <v/>
      </c>
      <c r="L68" s="39">
        <f>L67+K68</f>
        <v/>
      </c>
      <c r="N68" s="40">
        <f>(1-Products!$D$41)^$A68</f>
        <v/>
      </c>
      <c r="O68" s="39">
        <f>IF(AND($A68&gt;=1,$A68&lt;=Products!$D$16),Products!$D$33,0)</f>
        <v/>
      </c>
      <c r="P68" s="39">
        <f>O68*Products!$D$42*N68</f>
        <v/>
      </c>
      <c r="Q68" s="39">
        <f>O68-P68</f>
        <v/>
      </c>
      <c r="R68" s="39">
        <f>(1-N68)*MAX(0,Products!$D$16-$A68)*(Products!$D$33-Products!$D$35/Products!$D$16)</f>
        <v/>
      </c>
      <c r="S68" s="40">
        <f>IF($A68&lt;=Products!$D$16,N68,0)</f>
        <v/>
      </c>
      <c r="T68" s="40">
        <f>IF(AND($A68&gt;=1,$A68&lt;=Products!$D$16),N67-N68,0)</f>
        <v/>
      </c>
      <c r="U68" s="39">
        <f>IF(AND($A68-Inputs!$C$31&gt;=1,$A68-Inputs!$C$31&lt;=Products!$D$16),INDEX(Curves!$T$8:$T$68,$A68-Inputs!$C$31+1),0)*Products!$D$27*Products!$D$28*Products!$D$13</f>
        <v/>
      </c>
      <c r="V68" s="39">
        <f>IF($A68=Inputs!$C$33,Products!$D$30*Inputs!$C$10*Inputs!$C$32,0)</f>
        <v/>
      </c>
      <c r="W68" s="39">
        <f>P68*(1-Inputs!$C$24)-Inputs!$C$25*S68+U68+V68</f>
        <v/>
      </c>
      <c r="X68" s="39">
        <f>X67+W68</f>
        <v/>
      </c>
      <c r="Z68" s="40">
        <f>(1-Products!$E$41)^$A68</f>
        <v/>
      </c>
      <c r="AA68" s="39">
        <f>IF(AND($A68&gt;=1,$A68&lt;=Products!$E$16),Products!$E$33,0)</f>
        <v/>
      </c>
      <c r="AB68" s="39">
        <f>AA68*Products!$E$42*Z68</f>
        <v/>
      </c>
      <c r="AC68" s="39">
        <f>AA68-AB68</f>
        <v/>
      </c>
      <c r="AD68" s="39">
        <f>(1-Z68)*MAX(0,Products!$E$16-$A68)*(Products!$E$33-Products!$E$35/Products!$E$16)</f>
        <v/>
      </c>
      <c r="AE68" s="40">
        <f>IF($A68&lt;=Products!$E$16,Z68,0)</f>
        <v/>
      </c>
      <c r="AF68" s="40">
        <f>IF(AND($A68&gt;=1,$A68&lt;=Products!$E$16),Z67-Z68,0)</f>
        <v/>
      </c>
      <c r="AG68" s="39">
        <f>IF(AND($A68-Inputs!$C$31&gt;=1,$A68-Inputs!$C$31&lt;=Products!$E$16),INDEX(Curves!$AF$8:$AF$68,$A68-Inputs!$C$31+1),0)*Products!$E$27*Products!$E$28*Products!$E$13</f>
        <v/>
      </c>
      <c r="AH68" s="39">
        <f>IF($A68=Inputs!$C$33,Products!$E$30*Inputs!$C$10*Inputs!$C$32,0)</f>
        <v/>
      </c>
      <c r="AI68" s="39">
        <f>AB68*(1-Inputs!$C$24)-Inputs!$C$25*AE68+AG68+AH68</f>
        <v/>
      </c>
      <c r="AJ68" s="39">
        <f>AJ67+AI68</f>
        <v/>
      </c>
      <c r="AL68" s="40">
        <f>(1-Products!$F$41)^$A68</f>
        <v/>
      </c>
      <c r="AM68" s="39">
        <f>IF(AND($A68&gt;=1,$A68&lt;=Products!$F$16),Products!$F$33,0)</f>
        <v/>
      </c>
      <c r="AN68" s="39">
        <f>AM68*Products!$F$42*AL68</f>
        <v/>
      </c>
      <c r="AO68" s="39">
        <f>AM68-AN68</f>
        <v/>
      </c>
      <c r="AP68" s="39">
        <f>(1-AL68)*MAX(0,Products!$F$16-$A68)*(Products!$F$33-Products!$F$35/Products!$F$16)</f>
        <v/>
      </c>
      <c r="AQ68" s="40">
        <f>IF($A68&lt;=Products!$F$16,AL68,0)</f>
        <v/>
      </c>
      <c r="AR68" s="40">
        <f>IF(AND($A68&gt;=1,$A68&lt;=Products!$F$16),AL67-AL68,0)</f>
        <v/>
      </c>
      <c r="AS68" s="39">
        <f>IF(AND($A68-Inputs!$C$31&gt;=1,$A68-Inputs!$C$31&lt;=Products!$F$16),INDEX(Curves!$AR$8:$AR$68,$A68-Inputs!$C$31+1),0)*Products!$F$27*Products!$F$28*Products!$F$13</f>
        <v/>
      </c>
      <c r="AT68" s="39">
        <f>IF($A68=Inputs!$C$33,Products!$F$30*Inputs!$C$10*Inputs!$C$32,0)</f>
        <v/>
      </c>
      <c r="AU68" s="39">
        <f>AN68*(1-Inputs!$C$24)-Inputs!$C$25*AQ68+AS68+AT68</f>
        <v/>
      </c>
      <c r="AV68" s="39">
        <f>AV67+AU68</f>
        <v/>
      </c>
      <c r="AX68" s="40">
        <f>(1-Products!$G$41)^$A68</f>
        <v/>
      </c>
      <c r="AY68" s="39">
        <f>IF(AND($A68&gt;=1,$A68&lt;=Products!$G$16),Products!$G$33,0)</f>
        <v/>
      </c>
      <c r="AZ68" s="39">
        <f>AY68*Products!$G$42*AX68</f>
        <v/>
      </c>
      <c r="BA68" s="39">
        <f>AY68-AZ68</f>
        <v/>
      </c>
      <c r="BB68" s="39">
        <f>(1-AX68)*MAX(0,Products!$G$16-$A68)*(Products!$G$33-Products!$G$35/Products!$G$16)</f>
        <v/>
      </c>
      <c r="BC68" s="40">
        <f>IF($A68&lt;=Products!$G$16,AX68,0)</f>
        <v/>
      </c>
      <c r="BD68" s="40">
        <f>IF(AND($A68&gt;=1,$A68&lt;=Products!$G$16),AX67-AX68,0)</f>
        <v/>
      </c>
      <c r="BE68" s="39">
        <f>IF(AND($A68-Inputs!$C$31&gt;=1,$A68-Inputs!$C$31&lt;=Products!$G$16),INDEX(Curves!$BD$8:$BD$68,$A68-Inputs!$C$31+1),0)*Products!$G$27*Products!$G$28*Products!$G$13</f>
        <v/>
      </c>
      <c r="BF68" s="39">
        <f>IF($A68=Inputs!$C$33,Products!$G$30*Inputs!$C$10*Inputs!$C$32,0)</f>
        <v/>
      </c>
      <c r="BG68" s="39">
        <f>AZ68*(1-Inputs!$C$24)-Inputs!$C$25*BC68+BE68+BF68</f>
        <v/>
      </c>
      <c r="BH68" s="39">
        <f>BH67+BG68</f>
        <v/>
      </c>
    </row>
    <row r="69"/>
    <row r="70">
      <c r="A70" s="73" t="inlineStr">
        <is>
          <t>Totals per unit</t>
        </is>
      </c>
      <c r="C70" s="48">
        <f>SUM(C8:C68)</f>
        <v/>
      </c>
      <c r="D70" s="48">
        <f>SUM(D8:D68)</f>
        <v/>
      </c>
      <c r="E70" s="48">
        <f>SUM(E8:E68)</f>
        <v/>
      </c>
      <c r="I70" s="48">
        <f>SUM(I8:I68)</f>
        <v/>
      </c>
      <c r="J70" s="48">
        <f>SUM(J8:J68)</f>
        <v/>
      </c>
      <c r="O70" s="48">
        <f>SUM(O8:O68)</f>
        <v/>
      </c>
      <c r="P70" s="48">
        <f>SUM(P8:P68)</f>
        <v/>
      </c>
      <c r="Q70" s="48">
        <f>SUM(Q8:Q68)</f>
        <v/>
      </c>
      <c r="U70" s="48">
        <f>SUM(U8:U68)</f>
        <v/>
      </c>
      <c r="V70" s="48">
        <f>SUM(V8:V68)</f>
        <v/>
      </c>
      <c r="AA70" s="48">
        <f>SUM(AA8:AA68)</f>
        <v/>
      </c>
      <c r="AB70" s="48">
        <f>SUM(AB8:AB68)</f>
        <v/>
      </c>
      <c r="AC70" s="48">
        <f>SUM(AC8:AC68)</f>
        <v/>
      </c>
      <c r="AG70" s="48">
        <f>SUM(AG8:AG68)</f>
        <v/>
      </c>
      <c r="AH70" s="48">
        <f>SUM(AH8:AH68)</f>
        <v/>
      </c>
      <c r="AM70" s="48">
        <f>SUM(AM8:AM68)</f>
        <v/>
      </c>
      <c r="AN70" s="48">
        <f>SUM(AN8:AN68)</f>
        <v/>
      </c>
      <c r="AO70" s="48">
        <f>SUM(AO8:AO68)</f>
        <v/>
      </c>
      <c r="AS70" s="48">
        <f>SUM(AS8:AS68)</f>
        <v/>
      </c>
      <c r="AT70" s="48">
        <f>SUM(AT8:AT68)</f>
        <v/>
      </c>
      <c r="AY70" s="48">
        <f>SUM(AY8:AY68)</f>
        <v/>
      </c>
      <c r="AZ70" s="48">
        <f>SUM(AZ8:AZ68)</f>
        <v/>
      </c>
      <c r="BA70" s="48">
        <f>SUM(BA8:BA68)</f>
        <v/>
      </c>
      <c r="BE70" s="48">
        <f>SUM(BE8:BE68)</f>
        <v/>
      </c>
      <c r="BF70" s="48">
        <f>SUM(BF8:BF68)</f>
        <v/>
      </c>
    </row>
  </sheetData>
  <pageMargins left="0.75" right="0.75" top="1" bottom="1" header="0.5" footer="0.5"/>
  <pageSetup orientation="landscape" fitToHeight="0" fitToWidth="1"/>
</worksheet>
</file>

<file path=xl/worksheets/sheet18.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Cohort (vintage) analysis - Tier 1 - Pico solar kit</t>
        </is>
      </c>
    </row>
    <row r="2">
      <c r="A2" s="2" t="inlineStr">
        <is>
          <t>Rows = sales cohort (month of sale); columns = calendar month. Cohort size in column C.</t>
        </is>
      </c>
    </row>
    <row r="3"/>
    <row r="4">
      <c r="A4" s="51" t="inlineStr">
        <is>
          <t>Month #</t>
        </is>
      </c>
      <c r="B4" s="52" t="n"/>
      <c r="C4" s="52" t="n"/>
      <c r="D4" s="51" t="inlineStr">
        <is>
          <t>Opening</t>
        </is>
      </c>
      <c r="E4" s="53">
        <f>Timeline!E4</f>
        <v/>
      </c>
      <c r="F4" s="53">
        <f>Timeline!F4</f>
        <v/>
      </c>
      <c r="G4" s="53">
        <f>Timeline!G4</f>
        <v/>
      </c>
      <c r="H4" s="53">
        <f>Timeline!H4</f>
        <v/>
      </c>
      <c r="I4" s="53">
        <f>Timeline!I4</f>
        <v/>
      </c>
      <c r="J4" s="53">
        <f>Timeline!J4</f>
        <v/>
      </c>
      <c r="K4" s="53">
        <f>Timeline!K4</f>
        <v/>
      </c>
      <c r="L4" s="53">
        <f>Timeline!L4</f>
        <v/>
      </c>
      <c r="M4" s="53">
        <f>Timeline!M4</f>
        <v/>
      </c>
      <c r="N4" s="53">
        <f>Timeline!N4</f>
        <v/>
      </c>
      <c r="O4" s="53">
        <f>Timeline!O4</f>
        <v/>
      </c>
      <c r="P4" s="53">
        <f>Timeline!P4</f>
        <v/>
      </c>
      <c r="Q4" s="53">
        <f>Timeline!Q4</f>
        <v/>
      </c>
      <c r="R4" s="53">
        <f>Timeline!R4</f>
        <v/>
      </c>
      <c r="S4" s="53">
        <f>Timeline!S4</f>
        <v/>
      </c>
      <c r="T4" s="53">
        <f>Timeline!T4</f>
        <v/>
      </c>
      <c r="U4" s="53">
        <f>Timeline!U4</f>
        <v/>
      </c>
      <c r="V4" s="53">
        <f>Timeline!V4</f>
        <v/>
      </c>
      <c r="W4" s="53">
        <f>Timeline!W4</f>
        <v/>
      </c>
      <c r="X4" s="53">
        <f>Timeline!X4</f>
        <v/>
      </c>
      <c r="Y4" s="53">
        <f>Timeline!Y4</f>
        <v/>
      </c>
      <c r="Z4" s="53">
        <f>Timeline!Z4</f>
        <v/>
      </c>
      <c r="AA4" s="53">
        <f>Timeline!AA4</f>
        <v/>
      </c>
      <c r="AB4" s="53">
        <f>Timeline!AB4</f>
        <v/>
      </c>
      <c r="AC4" s="53">
        <f>Timeline!AC4</f>
        <v/>
      </c>
      <c r="AD4" s="53">
        <f>Timeline!AD4</f>
        <v/>
      </c>
      <c r="AE4" s="53">
        <f>Timeline!AE4</f>
        <v/>
      </c>
      <c r="AF4" s="53">
        <f>Timeline!AF4</f>
        <v/>
      </c>
      <c r="AG4" s="53">
        <f>Timeline!AG4</f>
        <v/>
      </c>
      <c r="AH4" s="53">
        <f>Timeline!AH4</f>
        <v/>
      </c>
      <c r="AI4" s="53">
        <f>Timeline!AI4</f>
        <v/>
      </c>
      <c r="AJ4" s="53">
        <f>Timeline!AJ4</f>
        <v/>
      </c>
      <c r="AK4" s="53">
        <f>Timeline!AK4</f>
        <v/>
      </c>
      <c r="AL4" s="53">
        <f>Timeline!AL4</f>
        <v/>
      </c>
      <c r="AM4" s="53">
        <f>Timeline!AM4</f>
        <v/>
      </c>
      <c r="AN4" s="53">
        <f>Timeline!AN4</f>
        <v/>
      </c>
      <c r="AO4" s="53">
        <f>Timeline!AO4</f>
        <v/>
      </c>
      <c r="AP4" s="53">
        <f>Timeline!AP4</f>
        <v/>
      </c>
      <c r="AQ4" s="53">
        <f>Timeline!AQ4</f>
        <v/>
      </c>
      <c r="AR4" s="53">
        <f>Timeline!AR4</f>
        <v/>
      </c>
      <c r="AS4" s="53">
        <f>Timeline!AS4</f>
        <v/>
      </c>
      <c r="AT4" s="53">
        <f>Timeline!AT4</f>
        <v/>
      </c>
      <c r="AU4" s="53">
        <f>Timeline!AU4</f>
        <v/>
      </c>
      <c r="AV4" s="53">
        <f>Timeline!AV4</f>
        <v/>
      </c>
      <c r="AW4" s="53">
        <f>Timeline!AW4</f>
        <v/>
      </c>
      <c r="AX4" s="53">
        <f>Timeline!AX4</f>
        <v/>
      </c>
      <c r="AY4" s="53">
        <f>Timeline!AY4</f>
        <v/>
      </c>
      <c r="AZ4" s="53">
        <f>Timeline!AZ4</f>
        <v/>
      </c>
      <c r="BA4" s="53">
        <f>Timeline!BA4</f>
        <v/>
      </c>
      <c r="BB4" s="53">
        <f>Timeline!BB4</f>
        <v/>
      </c>
      <c r="BC4" s="53">
        <f>Timeline!BC4</f>
        <v/>
      </c>
      <c r="BD4" s="53">
        <f>Timeline!BD4</f>
        <v/>
      </c>
      <c r="BE4" s="53">
        <f>Timeline!BE4</f>
        <v/>
      </c>
      <c r="BF4" s="53">
        <f>Timeline!BF4</f>
        <v/>
      </c>
      <c r="BG4" s="53">
        <f>Timeline!BG4</f>
        <v/>
      </c>
      <c r="BH4" s="53">
        <f>Timeline!BH4</f>
        <v/>
      </c>
      <c r="BI4" s="53">
        <f>Timeline!BI4</f>
        <v/>
      </c>
      <c r="BJ4" s="53">
        <f>Timeline!BJ4</f>
        <v/>
      </c>
      <c r="BK4" s="53">
        <f>Timeline!BK4</f>
        <v/>
      </c>
      <c r="BL4" s="53">
        <f>Timeline!BL4</f>
        <v/>
      </c>
    </row>
    <row r="5">
      <c r="A5" s="51" t="inlineStr">
        <is>
          <t>Period end</t>
        </is>
      </c>
      <c r="B5" s="52" t="n"/>
      <c r="C5" s="52" t="n"/>
      <c r="D5" s="51" t="n"/>
      <c r="E5" s="54">
        <f>Timeline!E5</f>
        <v/>
      </c>
      <c r="F5" s="54">
        <f>Timeline!F5</f>
        <v/>
      </c>
      <c r="G5" s="54">
        <f>Timeline!G5</f>
        <v/>
      </c>
      <c r="H5" s="54">
        <f>Timeline!H5</f>
        <v/>
      </c>
      <c r="I5" s="54">
        <f>Timeline!I5</f>
        <v/>
      </c>
      <c r="J5" s="54">
        <f>Timeline!J5</f>
        <v/>
      </c>
      <c r="K5" s="54">
        <f>Timeline!K5</f>
        <v/>
      </c>
      <c r="L5" s="54">
        <f>Timeline!L5</f>
        <v/>
      </c>
      <c r="M5" s="54">
        <f>Timeline!M5</f>
        <v/>
      </c>
      <c r="N5" s="54">
        <f>Timeline!N5</f>
        <v/>
      </c>
      <c r="O5" s="54">
        <f>Timeline!O5</f>
        <v/>
      </c>
      <c r="P5" s="54">
        <f>Timeline!P5</f>
        <v/>
      </c>
      <c r="Q5" s="54">
        <f>Timeline!Q5</f>
        <v/>
      </c>
      <c r="R5" s="54">
        <f>Timeline!R5</f>
        <v/>
      </c>
      <c r="S5" s="54">
        <f>Timeline!S5</f>
        <v/>
      </c>
      <c r="T5" s="54">
        <f>Timeline!T5</f>
        <v/>
      </c>
      <c r="U5" s="54">
        <f>Timeline!U5</f>
        <v/>
      </c>
      <c r="V5" s="54">
        <f>Timeline!V5</f>
        <v/>
      </c>
      <c r="W5" s="54">
        <f>Timeline!W5</f>
        <v/>
      </c>
      <c r="X5" s="54">
        <f>Timeline!X5</f>
        <v/>
      </c>
      <c r="Y5" s="54">
        <f>Timeline!Y5</f>
        <v/>
      </c>
      <c r="Z5" s="54">
        <f>Timeline!Z5</f>
        <v/>
      </c>
      <c r="AA5" s="54">
        <f>Timeline!AA5</f>
        <v/>
      </c>
      <c r="AB5" s="54">
        <f>Timeline!AB5</f>
        <v/>
      </c>
      <c r="AC5" s="54">
        <f>Timeline!AC5</f>
        <v/>
      </c>
      <c r="AD5" s="54">
        <f>Timeline!AD5</f>
        <v/>
      </c>
      <c r="AE5" s="54">
        <f>Timeline!AE5</f>
        <v/>
      </c>
      <c r="AF5" s="54">
        <f>Timeline!AF5</f>
        <v/>
      </c>
      <c r="AG5" s="54">
        <f>Timeline!AG5</f>
        <v/>
      </c>
      <c r="AH5" s="54">
        <f>Timeline!AH5</f>
        <v/>
      </c>
      <c r="AI5" s="54">
        <f>Timeline!AI5</f>
        <v/>
      </c>
      <c r="AJ5" s="54">
        <f>Timeline!AJ5</f>
        <v/>
      </c>
      <c r="AK5" s="54">
        <f>Timeline!AK5</f>
        <v/>
      </c>
      <c r="AL5" s="54">
        <f>Timeline!AL5</f>
        <v/>
      </c>
      <c r="AM5" s="54">
        <f>Timeline!AM5</f>
        <v/>
      </c>
      <c r="AN5" s="54">
        <f>Timeline!AN5</f>
        <v/>
      </c>
      <c r="AO5" s="54">
        <f>Timeline!AO5</f>
        <v/>
      </c>
      <c r="AP5" s="54">
        <f>Timeline!AP5</f>
        <v/>
      </c>
      <c r="AQ5" s="54">
        <f>Timeline!AQ5</f>
        <v/>
      </c>
      <c r="AR5" s="54">
        <f>Timeline!AR5</f>
        <v/>
      </c>
      <c r="AS5" s="54">
        <f>Timeline!AS5</f>
        <v/>
      </c>
      <c r="AT5" s="54">
        <f>Timeline!AT5</f>
        <v/>
      </c>
      <c r="AU5" s="54">
        <f>Timeline!AU5</f>
        <v/>
      </c>
      <c r="AV5" s="54">
        <f>Timeline!AV5</f>
        <v/>
      </c>
      <c r="AW5" s="54">
        <f>Timeline!AW5</f>
        <v/>
      </c>
      <c r="AX5" s="54">
        <f>Timeline!AX5</f>
        <v/>
      </c>
      <c r="AY5" s="54">
        <f>Timeline!AY5</f>
        <v/>
      </c>
      <c r="AZ5" s="54">
        <f>Timeline!AZ5</f>
        <v/>
      </c>
      <c r="BA5" s="54">
        <f>Timeline!BA5</f>
        <v/>
      </c>
      <c r="BB5" s="54">
        <f>Timeline!BB5</f>
        <v/>
      </c>
      <c r="BC5" s="54">
        <f>Timeline!BC5</f>
        <v/>
      </c>
      <c r="BD5" s="54">
        <f>Timeline!BD5</f>
        <v/>
      </c>
      <c r="BE5" s="54">
        <f>Timeline!BE5</f>
        <v/>
      </c>
      <c r="BF5" s="54">
        <f>Timeline!BF5</f>
        <v/>
      </c>
      <c r="BG5" s="54">
        <f>Timeline!BG5</f>
        <v/>
      </c>
      <c r="BH5" s="54">
        <f>Timeline!BH5</f>
        <v/>
      </c>
      <c r="BI5" s="54">
        <f>Timeline!BI5</f>
        <v/>
      </c>
      <c r="BJ5" s="54">
        <f>Timeline!BJ5</f>
        <v/>
      </c>
      <c r="BK5" s="54">
        <f>Timeline!BK5</f>
        <v/>
      </c>
      <c r="BL5" s="54">
        <f>Timeline!BL5</f>
        <v/>
      </c>
    </row>
    <row r="6">
      <c r="A6" s="51" t="inlineStr">
        <is>
          <t>Year #</t>
        </is>
      </c>
      <c r="B6" s="52" t="n"/>
      <c r="C6" s="52" t="n"/>
      <c r="D6" s="51" t="n"/>
      <c r="E6" s="53">
        <f>Timeline!E6</f>
        <v/>
      </c>
      <c r="F6" s="53">
        <f>Timeline!F6</f>
        <v/>
      </c>
      <c r="G6" s="53">
        <f>Timeline!G6</f>
        <v/>
      </c>
      <c r="H6" s="53">
        <f>Timeline!H6</f>
        <v/>
      </c>
      <c r="I6" s="53">
        <f>Timeline!I6</f>
        <v/>
      </c>
      <c r="J6" s="53">
        <f>Timeline!J6</f>
        <v/>
      </c>
      <c r="K6" s="53">
        <f>Timeline!K6</f>
        <v/>
      </c>
      <c r="L6" s="53">
        <f>Timeline!L6</f>
        <v/>
      </c>
      <c r="M6" s="53">
        <f>Timeline!M6</f>
        <v/>
      </c>
      <c r="N6" s="53">
        <f>Timeline!N6</f>
        <v/>
      </c>
      <c r="O6" s="53">
        <f>Timeline!O6</f>
        <v/>
      </c>
      <c r="P6" s="53">
        <f>Timeline!P6</f>
        <v/>
      </c>
      <c r="Q6" s="53">
        <f>Timeline!Q6</f>
        <v/>
      </c>
      <c r="R6" s="53">
        <f>Timeline!R6</f>
        <v/>
      </c>
      <c r="S6" s="53">
        <f>Timeline!S6</f>
        <v/>
      </c>
      <c r="T6" s="53">
        <f>Timeline!T6</f>
        <v/>
      </c>
      <c r="U6" s="53">
        <f>Timeline!U6</f>
        <v/>
      </c>
      <c r="V6" s="53">
        <f>Timeline!V6</f>
        <v/>
      </c>
      <c r="W6" s="53">
        <f>Timeline!W6</f>
        <v/>
      </c>
      <c r="X6" s="53">
        <f>Timeline!X6</f>
        <v/>
      </c>
      <c r="Y6" s="53">
        <f>Timeline!Y6</f>
        <v/>
      </c>
      <c r="Z6" s="53">
        <f>Timeline!Z6</f>
        <v/>
      </c>
      <c r="AA6" s="53">
        <f>Timeline!AA6</f>
        <v/>
      </c>
      <c r="AB6" s="53">
        <f>Timeline!AB6</f>
        <v/>
      </c>
      <c r="AC6" s="53">
        <f>Timeline!AC6</f>
        <v/>
      </c>
      <c r="AD6" s="53">
        <f>Timeline!AD6</f>
        <v/>
      </c>
      <c r="AE6" s="53">
        <f>Timeline!AE6</f>
        <v/>
      </c>
      <c r="AF6" s="53">
        <f>Timeline!AF6</f>
        <v/>
      </c>
      <c r="AG6" s="53">
        <f>Timeline!AG6</f>
        <v/>
      </c>
      <c r="AH6" s="53">
        <f>Timeline!AH6</f>
        <v/>
      </c>
      <c r="AI6" s="53">
        <f>Timeline!AI6</f>
        <v/>
      </c>
      <c r="AJ6" s="53">
        <f>Timeline!AJ6</f>
        <v/>
      </c>
      <c r="AK6" s="53">
        <f>Timeline!AK6</f>
        <v/>
      </c>
      <c r="AL6" s="53">
        <f>Timeline!AL6</f>
        <v/>
      </c>
      <c r="AM6" s="53">
        <f>Timeline!AM6</f>
        <v/>
      </c>
      <c r="AN6" s="53">
        <f>Timeline!AN6</f>
        <v/>
      </c>
      <c r="AO6" s="53">
        <f>Timeline!AO6</f>
        <v/>
      </c>
      <c r="AP6" s="53">
        <f>Timeline!AP6</f>
        <v/>
      </c>
      <c r="AQ6" s="53">
        <f>Timeline!AQ6</f>
        <v/>
      </c>
      <c r="AR6" s="53">
        <f>Timeline!AR6</f>
        <v/>
      </c>
      <c r="AS6" s="53">
        <f>Timeline!AS6</f>
        <v/>
      </c>
      <c r="AT6" s="53">
        <f>Timeline!AT6</f>
        <v/>
      </c>
      <c r="AU6" s="53">
        <f>Timeline!AU6</f>
        <v/>
      </c>
      <c r="AV6" s="53">
        <f>Timeline!AV6</f>
        <v/>
      </c>
      <c r="AW6" s="53">
        <f>Timeline!AW6</f>
        <v/>
      </c>
      <c r="AX6" s="53">
        <f>Timeline!AX6</f>
        <v/>
      </c>
      <c r="AY6" s="53">
        <f>Timeline!AY6</f>
        <v/>
      </c>
      <c r="AZ6" s="53">
        <f>Timeline!AZ6</f>
        <v/>
      </c>
      <c r="BA6" s="53">
        <f>Timeline!BA6</f>
        <v/>
      </c>
      <c r="BB6" s="53">
        <f>Timeline!BB6</f>
        <v/>
      </c>
      <c r="BC6" s="53">
        <f>Timeline!BC6</f>
        <v/>
      </c>
      <c r="BD6" s="53">
        <f>Timeline!BD6</f>
        <v/>
      </c>
      <c r="BE6" s="53">
        <f>Timeline!BE6</f>
        <v/>
      </c>
      <c r="BF6" s="53">
        <f>Timeline!BF6</f>
        <v/>
      </c>
      <c r="BG6" s="53">
        <f>Timeline!BG6</f>
        <v/>
      </c>
      <c r="BH6" s="53">
        <f>Timeline!BH6</f>
        <v/>
      </c>
      <c r="BI6" s="53">
        <f>Timeline!BI6</f>
        <v/>
      </c>
      <c r="BJ6" s="53">
        <f>Timeline!BJ6</f>
        <v/>
      </c>
      <c r="BK6" s="53">
        <f>Timeline!BK6</f>
        <v/>
      </c>
      <c r="BL6" s="53">
        <f>Timeline!BL6</f>
        <v/>
      </c>
    </row>
    <row r="7"/>
    <row r="8">
      <c r="A8" s="14" t="inlineStr">
        <is>
          <t>Instalments collected by cohort (LCY)</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60" t="inlineStr">
        <is>
          <t>Total</t>
        </is>
      </c>
      <c r="B9" s="61" t="inlineStr"/>
      <c r="C9" s="63" t="n"/>
      <c r="D9" s="63" t="n"/>
      <c r="E9" s="71">
        <f>SUM(E10:E69)</f>
        <v/>
      </c>
      <c r="F9" s="71">
        <f>SUM(F10:F69)</f>
        <v/>
      </c>
      <c r="G9" s="71">
        <f>SUM(G10:G69)</f>
        <v/>
      </c>
      <c r="H9" s="71">
        <f>SUM(H10:H69)</f>
        <v/>
      </c>
      <c r="I9" s="71">
        <f>SUM(I10:I69)</f>
        <v/>
      </c>
      <c r="J9" s="71">
        <f>SUM(J10:J69)</f>
        <v/>
      </c>
      <c r="K9" s="71">
        <f>SUM(K10:K69)</f>
        <v/>
      </c>
      <c r="L9" s="71">
        <f>SUM(L10:L69)</f>
        <v/>
      </c>
      <c r="M9" s="71">
        <f>SUM(M10:M69)</f>
        <v/>
      </c>
      <c r="N9" s="71">
        <f>SUM(N10:N69)</f>
        <v/>
      </c>
      <c r="O9" s="71">
        <f>SUM(O10:O69)</f>
        <v/>
      </c>
      <c r="P9" s="71">
        <f>SUM(P10:P69)</f>
        <v/>
      </c>
      <c r="Q9" s="71">
        <f>SUM(Q10:Q69)</f>
        <v/>
      </c>
      <c r="R9" s="71">
        <f>SUM(R10:R69)</f>
        <v/>
      </c>
      <c r="S9" s="71">
        <f>SUM(S10:S69)</f>
        <v/>
      </c>
      <c r="T9" s="71">
        <f>SUM(T10:T69)</f>
        <v/>
      </c>
      <c r="U9" s="71">
        <f>SUM(U10:U69)</f>
        <v/>
      </c>
      <c r="V9" s="71">
        <f>SUM(V10:V69)</f>
        <v/>
      </c>
      <c r="W9" s="71">
        <f>SUM(W10:W69)</f>
        <v/>
      </c>
      <c r="X9" s="71">
        <f>SUM(X10:X69)</f>
        <v/>
      </c>
      <c r="Y9" s="71">
        <f>SUM(Y10:Y69)</f>
        <v/>
      </c>
      <c r="Z9" s="71">
        <f>SUM(Z10:Z69)</f>
        <v/>
      </c>
      <c r="AA9" s="71">
        <f>SUM(AA10:AA69)</f>
        <v/>
      </c>
      <c r="AB9" s="71">
        <f>SUM(AB10:AB69)</f>
        <v/>
      </c>
      <c r="AC9" s="71">
        <f>SUM(AC10:AC69)</f>
        <v/>
      </c>
      <c r="AD9" s="71">
        <f>SUM(AD10:AD69)</f>
        <v/>
      </c>
      <c r="AE9" s="71">
        <f>SUM(AE10:AE69)</f>
        <v/>
      </c>
      <c r="AF9" s="71">
        <f>SUM(AF10:AF69)</f>
        <v/>
      </c>
      <c r="AG9" s="71">
        <f>SUM(AG10:AG69)</f>
        <v/>
      </c>
      <c r="AH9" s="71">
        <f>SUM(AH10:AH69)</f>
        <v/>
      </c>
      <c r="AI9" s="71">
        <f>SUM(AI10:AI69)</f>
        <v/>
      </c>
      <c r="AJ9" s="71">
        <f>SUM(AJ10:AJ69)</f>
        <v/>
      </c>
      <c r="AK9" s="71">
        <f>SUM(AK10:AK69)</f>
        <v/>
      </c>
      <c r="AL9" s="71">
        <f>SUM(AL10:AL69)</f>
        <v/>
      </c>
      <c r="AM9" s="71">
        <f>SUM(AM10:AM69)</f>
        <v/>
      </c>
      <c r="AN9" s="71">
        <f>SUM(AN10:AN69)</f>
        <v/>
      </c>
      <c r="AO9" s="71">
        <f>SUM(AO10:AO69)</f>
        <v/>
      </c>
      <c r="AP9" s="71">
        <f>SUM(AP10:AP69)</f>
        <v/>
      </c>
      <c r="AQ9" s="71">
        <f>SUM(AQ10:AQ69)</f>
        <v/>
      </c>
      <c r="AR9" s="71">
        <f>SUM(AR10:AR69)</f>
        <v/>
      </c>
      <c r="AS9" s="71">
        <f>SUM(AS10:AS69)</f>
        <v/>
      </c>
      <c r="AT9" s="71">
        <f>SUM(AT10:AT69)</f>
        <v/>
      </c>
      <c r="AU9" s="71">
        <f>SUM(AU10:AU69)</f>
        <v/>
      </c>
      <c r="AV9" s="71">
        <f>SUM(AV10:AV69)</f>
        <v/>
      </c>
      <c r="AW9" s="71">
        <f>SUM(AW10:AW69)</f>
        <v/>
      </c>
      <c r="AX9" s="71">
        <f>SUM(AX10:AX69)</f>
        <v/>
      </c>
      <c r="AY9" s="71">
        <f>SUM(AY10:AY69)</f>
        <v/>
      </c>
      <c r="AZ9" s="71">
        <f>SUM(AZ10:AZ69)</f>
        <v/>
      </c>
      <c r="BA9" s="71">
        <f>SUM(BA10:BA69)</f>
        <v/>
      </c>
      <c r="BB9" s="71">
        <f>SUM(BB10:BB69)</f>
        <v/>
      </c>
      <c r="BC9" s="71">
        <f>SUM(BC10:BC69)</f>
        <v/>
      </c>
      <c r="BD9" s="71">
        <f>SUM(BD10:BD69)</f>
        <v/>
      </c>
      <c r="BE9" s="71">
        <f>SUM(BE10:BE69)</f>
        <v/>
      </c>
      <c r="BF9" s="71">
        <f>SUM(BF10:BF69)</f>
        <v/>
      </c>
      <c r="BG9" s="71">
        <f>SUM(BG10:BG69)</f>
        <v/>
      </c>
      <c r="BH9" s="71">
        <f>SUM(BH10:BH69)</f>
        <v/>
      </c>
      <c r="BI9" s="71">
        <f>SUM(BI10:BI69)</f>
        <v/>
      </c>
      <c r="BJ9" s="71">
        <f>SUM(BJ10:BJ69)</f>
        <v/>
      </c>
      <c r="BK9" s="71">
        <f>SUM(BK10:BK69)</f>
        <v/>
      </c>
      <c r="BL9" s="71">
        <f>SUM(BL10:BL69)</f>
        <v/>
      </c>
    </row>
    <row r="10">
      <c r="A10" s="74" t="inlineStr">
        <is>
          <t>Cohort month 1</t>
        </is>
      </c>
      <c r="B10" s="74" t="n">
        <v>1</v>
      </c>
      <c r="C10" s="17">
        <f>INDEX(Ops!$E$10:$BL$10,1,$B10)</f>
        <v/>
      </c>
      <c r="F10" s="75">
        <f>$C10*INDEX(Curves!$D$8:$D$68,F$4-$B10+1)</f>
        <v/>
      </c>
      <c r="G10" s="75">
        <f>$C10*INDEX(Curves!$D$8:$D$68,G$4-$B10+1)</f>
        <v/>
      </c>
      <c r="H10" s="75">
        <f>$C10*INDEX(Curves!$D$8:$D$68,H$4-$B10+1)</f>
        <v/>
      </c>
      <c r="I10" s="75">
        <f>$C10*INDEX(Curves!$D$8:$D$68,I$4-$B10+1)</f>
        <v/>
      </c>
      <c r="J10" s="75">
        <f>$C10*INDEX(Curves!$D$8:$D$68,J$4-$B10+1)</f>
        <v/>
      </c>
      <c r="K10" s="75">
        <f>$C10*INDEX(Curves!$D$8:$D$68,K$4-$B10+1)</f>
        <v/>
      </c>
      <c r="L10" s="75">
        <f>$C10*INDEX(Curves!$D$8:$D$68,L$4-$B10+1)</f>
        <v/>
      </c>
      <c r="M10" s="75">
        <f>$C10*INDEX(Curves!$D$8:$D$68,M$4-$B10+1)</f>
        <v/>
      </c>
      <c r="N10" s="75">
        <f>$C10*INDEX(Curves!$D$8:$D$68,N$4-$B10+1)</f>
        <v/>
      </c>
      <c r="O10" s="75">
        <f>$C10*INDEX(Curves!$D$8:$D$68,O$4-$B10+1)</f>
        <v/>
      </c>
      <c r="P10" s="75">
        <f>$C10*INDEX(Curves!$D$8:$D$68,P$4-$B10+1)</f>
        <v/>
      </c>
      <c r="Q10" s="75">
        <f>$C10*INDEX(Curves!$D$8:$D$68,Q$4-$B10+1)</f>
        <v/>
      </c>
      <c r="R10" s="75">
        <f>$C10*INDEX(Curves!$D$8:$D$68,R$4-$B10+1)</f>
        <v/>
      </c>
      <c r="S10" s="75">
        <f>$C10*INDEX(Curves!$D$8:$D$68,S$4-$B10+1)</f>
        <v/>
      </c>
      <c r="T10" s="75">
        <f>$C10*INDEX(Curves!$D$8:$D$68,T$4-$B10+1)</f>
        <v/>
      </c>
      <c r="U10" s="75">
        <f>$C10*INDEX(Curves!$D$8:$D$68,U$4-$B10+1)</f>
        <v/>
      </c>
      <c r="V10" s="75">
        <f>$C10*INDEX(Curves!$D$8:$D$68,V$4-$B10+1)</f>
        <v/>
      </c>
      <c r="W10" s="75">
        <f>$C10*INDEX(Curves!$D$8:$D$68,W$4-$B10+1)</f>
        <v/>
      </c>
      <c r="X10" s="75">
        <f>$C10*INDEX(Curves!$D$8:$D$68,X$4-$B10+1)</f>
        <v/>
      </c>
      <c r="Y10" s="75">
        <f>$C10*INDEX(Curves!$D$8:$D$68,Y$4-$B10+1)</f>
        <v/>
      </c>
      <c r="Z10" s="75">
        <f>$C10*INDEX(Curves!$D$8:$D$68,Z$4-$B10+1)</f>
        <v/>
      </c>
      <c r="AA10" s="75">
        <f>$C10*INDEX(Curves!$D$8:$D$68,AA$4-$B10+1)</f>
        <v/>
      </c>
      <c r="AB10" s="75">
        <f>$C10*INDEX(Curves!$D$8:$D$68,AB$4-$B10+1)</f>
        <v/>
      </c>
      <c r="AC10" s="75">
        <f>$C10*INDEX(Curves!$D$8:$D$68,AC$4-$B10+1)</f>
        <v/>
      </c>
      <c r="AD10" s="75">
        <f>$C10*INDEX(Curves!$D$8:$D$68,AD$4-$B10+1)</f>
        <v/>
      </c>
      <c r="AE10" s="75">
        <f>$C10*INDEX(Curves!$D$8:$D$68,AE$4-$B10+1)</f>
        <v/>
      </c>
      <c r="AF10" s="75">
        <f>$C10*INDEX(Curves!$D$8:$D$68,AF$4-$B10+1)</f>
        <v/>
      </c>
      <c r="AG10" s="75">
        <f>$C10*INDEX(Curves!$D$8:$D$68,AG$4-$B10+1)</f>
        <v/>
      </c>
      <c r="AH10" s="75">
        <f>$C10*INDEX(Curves!$D$8:$D$68,AH$4-$B10+1)</f>
        <v/>
      </c>
      <c r="AI10" s="75">
        <f>$C10*INDEX(Curves!$D$8:$D$68,AI$4-$B10+1)</f>
        <v/>
      </c>
      <c r="AJ10" s="75">
        <f>$C10*INDEX(Curves!$D$8:$D$68,AJ$4-$B10+1)</f>
        <v/>
      </c>
      <c r="AK10" s="75">
        <f>$C10*INDEX(Curves!$D$8:$D$68,AK$4-$B10+1)</f>
        <v/>
      </c>
      <c r="AL10" s="75">
        <f>$C10*INDEX(Curves!$D$8:$D$68,AL$4-$B10+1)</f>
        <v/>
      </c>
      <c r="AM10" s="75">
        <f>$C10*INDEX(Curves!$D$8:$D$68,AM$4-$B10+1)</f>
        <v/>
      </c>
      <c r="AN10" s="75">
        <f>$C10*INDEX(Curves!$D$8:$D$68,AN$4-$B10+1)</f>
        <v/>
      </c>
      <c r="AO10" s="75">
        <f>$C10*INDEX(Curves!$D$8:$D$68,AO$4-$B10+1)</f>
        <v/>
      </c>
      <c r="AP10" s="75">
        <f>$C10*INDEX(Curves!$D$8:$D$68,AP$4-$B10+1)</f>
        <v/>
      </c>
      <c r="AQ10" s="75">
        <f>$C10*INDEX(Curves!$D$8:$D$68,AQ$4-$B10+1)</f>
        <v/>
      </c>
      <c r="AR10" s="75">
        <f>$C10*INDEX(Curves!$D$8:$D$68,AR$4-$B10+1)</f>
        <v/>
      </c>
      <c r="AS10" s="75">
        <f>$C10*INDEX(Curves!$D$8:$D$68,AS$4-$B10+1)</f>
        <v/>
      </c>
      <c r="AT10" s="75">
        <f>$C10*INDEX(Curves!$D$8:$D$68,AT$4-$B10+1)</f>
        <v/>
      </c>
      <c r="AU10" s="75">
        <f>$C10*INDEX(Curves!$D$8:$D$68,AU$4-$B10+1)</f>
        <v/>
      </c>
      <c r="AV10" s="75">
        <f>$C10*INDEX(Curves!$D$8:$D$68,AV$4-$B10+1)</f>
        <v/>
      </c>
      <c r="AW10" s="75">
        <f>$C10*INDEX(Curves!$D$8:$D$68,AW$4-$B10+1)</f>
        <v/>
      </c>
      <c r="AX10" s="75">
        <f>$C10*INDEX(Curves!$D$8:$D$68,AX$4-$B10+1)</f>
        <v/>
      </c>
      <c r="AY10" s="75">
        <f>$C10*INDEX(Curves!$D$8:$D$68,AY$4-$B10+1)</f>
        <v/>
      </c>
      <c r="AZ10" s="75">
        <f>$C10*INDEX(Curves!$D$8:$D$68,AZ$4-$B10+1)</f>
        <v/>
      </c>
      <c r="BA10" s="75">
        <f>$C10*INDEX(Curves!$D$8:$D$68,BA$4-$B10+1)</f>
        <v/>
      </c>
      <c r="BB10" s="75">
        <f>$C10*INDEX(Curves!$D$8:$D$68,BB$4-$B10+1)</f>
        <v/>
      </c>
      <c r="BC10" s="75">
        <f>$C10*INDEX(Curves!$D$8:$D$68,BC$4-$B10+1)</f>
        <v/>
      </c>
      <c r="BD10" s="75">
        <f>$C10*INDEX(Curves!$D$8:$D$68,BD$4-$B10+1)</f>
        <v/>
      </c>
      <c r="BE10" s="75">
        <f>$C10*INDEX(Curves!$D$8:$D$68,BE$4-$B10+1)</f>
        <v/>
      </c>
      <c r="BF10" s="75">
        <f>$C10*INDEX(Curves!$D$8:$D$68,BF$4-$B10+1)</f>
        <v/>
      </c>
      <c r="BG10" s="75">
        <f>$C10*INDEX(Curves!$D$8:$D$68,BG$4-$B10+1)</f>
        <v/>
      </c>
      <c r="BH10" s="75">
        <f>$C10*INDEX(Curves!$D$8:$D$68,BH$4-$B10+1)</f>
        <v/>
      </c>
      <c r="BI10" s="75">
        <f>$C10*INDEX(Curves!$D$8:$D$68,BI$4-$B10+1)</f>
        <v/>
      </c>
      <c r="BJ10" s="75">
        <f>$C10*INDEX(Curves!$D$8:$D$68,BJ$4-$B10+1)</f>
        <v/>
      </c>
      <c r="BK10" s="75">
        <f>$C10*INDEX(Curves!$D$8:$D$68,BK$4-$B10+1)</f>
        <v/>
      </c>
      <c r="BL10" s="75">
        <f>$C10*INDEX(Curves!$D$8:$D$68,BL$4-$B10+1)</f>
        <v/>
      </c>
    </row>
    <row r="11">
      <c r="A11" s="74" t="inlineStr">
        <is>
          <t>Cohort month 2</t>
        </is>
      </c>
      <c r="B11" s="74" t="n">
        <v>2</v>
      </c>
      <c r="C11" s="17">
        <f>INDEX(Ops!$E$10:$BL$10,1,$B11)</f>
        <v/>
      </c>
      <c r="G11" s="75">
        <f>$C11*INDEX(Curves!$D$8:$D$68,G$4-$B11+1)</f>
        <v/>
      </c>
      <c r="H11" s="75">
        <f>$C11*INDEX(Curves!$D$8:$D$68,H$4-$B11+1)</f>
        <v/>
      </c>
      <c r="I11" s="75">
        <f>$C11*INDEX(Curves!$D$8:$D$68,I$4-$B11+1)</f>
        <v/>
      </c>
      <c r="J11" s="75">
        <f>$C11*INDEX(Curves!$D$8:$D$68,J$4-$B11+1)</f>
        <v/>
      </c>
      <c r="K11" s="75">
        <f>$C11*INDEX(Curves!$D$8:$D$68,K$4-$B11+1)</f>
        <v/>
      </c>
      <c r="L11" s="75">
        <f>$C11*INDEX(Curves!$D$8:$D$68,L$4-$B11+1)</f>
        <v/>
      </c>
      <c r="M11" s="75">
        <f>$C11*INDEX(Curves!$D$8:$D$68,M$4-$B11+1)</f>
        <v/>
      </c>
      <c r="N11" s="75">
        <f>$C11*INDEX(Curves!$D$8:$D$68,N$4-$B11+1)</f>
        <v/>
      </c>
      <c r="O11" s="75">
        <f>$C11*INDEX(Curves!$D$8:$D$68,O$4-$B11+1)</f>
        <v/>
      </c>
      <c r="P11" s="75">
        <f>$C11*INDEX(Curves!$D$8:$D$68,P$4-$B11+1)</f>
        <v/>
      </c>
      <c r="Q11" s="75">
        <f>$C11*INDEX(Curves!$D$8:$D$68,Q$4-$B11+1)</f>
        <v/>
      </c>
      <c r="R11" s="75">
        <f>$C11*INDEX(Curves!$D$8:$D$68,R$4-$B11+1)</f>
        <v/>
      </c>
      <c r="S11" s="75">
        <f>$C11*INDEX(Curves!$D$8:$D$68,S$4-$B11+1)</f>
        <v/>
      </c>
      <c r="T11" s="75">
        <f>$C11*INDEX(Curves!$D$8:$D$68,T$4-$B11+1)</f>
        <v/>
      </c>
      <c r="U11" s="75">
        <f>$C11*INDEX(Curves!$D$8:$D$68,U$4-$B11+1)</f>
        <v/>
      </c>
      <c r="V11" s="75">
        <f>$C11*INDEX(Curves!$D$8:$D$68,V$4-$B11+1)</f>
        <v/>
      </c>
      <c r="W11" s="75">
        <f>$C11*INDEX(Curves!$D$8:$D$68,W$4-$B11+1)</f>
        <v/>
      </c>
      <c r="X11" s="75">
        <f>$C11*INDEX(Curves!$D$8:$D$68,X$4-$B11+1)</f>
        <v/>
      </c>
      <c r="Y11" s="75">
        <f>$C11*INDEX(Curves!$D$8:$D$68,Y$4-$B11+1)</f>
        <v/>
      </c>
      <c r="Z11" s="75">
        <f>$C11*INDEX(Curves!$D$8:$D$68,Z$4-$B11+1)</f>
        <v/>
      </c>
      <c r="AA11" s="75">
        <f>$C11*INDEX(Curves!$D$8:$D$68,AA$4-$B11+1)</f>
        <v/>
      </c>
      <c r="AB11" s="75">
        <f>$C11*INDEX(Curves!$D$8:$D$68,AB$4-$B11+1)</f>
        <v/>
      </c>
      <c r="AC11" s="75">
        <f>$C11*INDEX(Curves!$D$8:$D$68,AC$4-$B11+1)</f>
        <v/>
      </c>
      <c r="AD11" s="75">
        <f>$C11*INDEX(Curves!$D$8:$D$68,AD$4-$B11+1)</f>
        <v/>
      </c>
      <c r="AE11" s="75">
        <f>$C11*INDEX(Curves!$D$8:$D$68,AE$4-$B11+1)</f>
        <v/>
      </c>
      <c r="AF11" s="75">
        <f>$C11*INDEX(Curves!$D$8:$D$68,AF$4-$B11+1)</f>
        <v/>
      </c>
      <c r="AG11" s="75">
        <f>$C11*INDEX(Curves!$D$8:$D$68,AG$4-$B11+1)</f>
        <v/>
      </c>
      <c r="AH11" s="75">
        <f>$C11*INDEX(Curves!$D$8:$D$68,AH$4-$B11+1)</f>
        <v/>
      </c>
      <c r="AI11" s="75">
        <f>$C11*INDEX(Curves!$D$8:$D$68,AI$4-$B11+1)</f>
        <v/>
      </c>
      <c r="AJ11" s="75">
        <f>$C11*INDEX(Curves!$D$8:$D$68,AJ$4-$B11+1)</f>
        <v/>
      </c>
      <c r="AK11" s="75">
        <f>$C11*INDEX(Curves!$D$8:$D$68,AK$4-$B11+1)</f>
        <v/>
      </c>
      <c r="AL11" s="75">
        <f>$C11*INDEX(Curves!$D$8:$D$68,AL$4-$B11+1)</f>
        <v/>
      </c>
      <c r="AM11" s="75">
        <f>$C11*INDEX(Curves!$D$8:$D$68,AM$4-$B11+1)</f>
        <v/>
      </c>
      <c r="AN11" s="75">
        <f>$C11*INDEX(Curves!$D$8:$D$68,AN$4-$B11+1)</f>
        <v/>
      </c>
      <c r="AO11" s="75">
        <f>$C11*INDEX(Curves!$D$8:$D$68,AO$4-$B11+1)</f>
        <v/>
      </c>
      <c r="AP11" s="75">
        <f>$C11*INDEX(Curves!$D$8:$D$68,AP$4-$B11+1)</f>
        <v/>
      </c>
      <c r="AQ11" s="75">
        <f>$C11*INDEX(Curves!$D$8:$D$68,AQ$4-$B11+1)</f>
        <v/>
      </c>
      <c r="AR11" s="75">
        <f>$C11*INDEX(Curves!$D$8:$D$68,AR$4-$B11+1)</f>
        <v/>
      </c>
      <c r="AS11" s="75">
        <f>$C11*INDEX(Curves!$D$8:$D$68,AS$4-$B11+1)</f>
        <v/>
      </c>
      <c r="AT11" s="75">
        <f>$C11*INDEX(Curves!$D$8:$D$68,AT$4-$B11+1)</f>
        <v/>
      </c>
      <c r="AU11" s="75">
        <f>$C11*INDEX(Curves!$D$8:$D$68,AU$4-$B11+1)</f>
        <v/>
      </c>
      <c r="AV11" s="75">
        <f>$C11*INDEX(Curves!$D$8:$D$68,AV$4-$B11+1)</f>
        <v/>
      </c>
      <c r="AW11" s="75">
        <f>$C11*INDEX(Curves!$D$8:$D$68,AW$4-$B11+1)</f>
        <v/>
      </c>
      <c r="AX11" s="75">
        <f>$C11*INDEX(Curves!$D$8:$D$68,AX$4-$B11+1)</f>
        <v/>
      </c>
      <c r="AY11" s="75">
        <f>$C11*INDEX(Curves!$D$8:$D$68,AY$4-$B11+1)</f>
        <v/>
      </c>
      <c r="AZ11" s="75">
        <f>$C11*INDEX(Curves!$D$8:$D$68,AZ$4-$B11+1)</f>
        <v/>
      </c>
      <c r="BA11" s="75">
        <f>$C11*INDEX(Curves!$D$8:$D$68,BA$4-$B11+1)</f>
        <v/>
      </c>
      <c r="BB11" s="75">
        <f>$C11*INDEX(Curves!$D$8:$D$68,BB$4-$B11+1)</f>
        <v/>
      </c>
      <c r="BC11" s="75">
        <f>$C11*INDEX(Curves!$D$8:$D$68,BC$4-$B11+1)</f>
        <v/>
      </c>
      <c r="BD11" s="75">
        <f>$C11*INDEX(Curves!$D$8:$D$68,BD$4-$B11+1)</f>
        <v/>
      </c>
      <c r="BE11" s="75">
        <f>$C11*INDEX(Curves!$D$8:$D$68,BE$4-$B11+1)</f>
        <v/>
      </c>
      <c r="BF11" s="75">
        <f>$C11*INDEX(Curves!$D$8:$D$68,BF$4-$B11+1)</f>
        <v/>
      </c>
      <c r="BG11" s="75">
        <f>$C11*INDEX(Curves!$D$8:$D$68,BG$4-$B11+1)</f>
        <v/>
      </c>
      <c r="BH11" s="75">
        <f>$C11*INDEX(Curves!$D$8:$D$68,BH$4-$B11+1)</f>
        <v/>
      </c>
      <c r="BI11" s="75">
        <f>$C11*INDEX(Curves!$D$8:$D$68,BI$4-$B11+1)</f>
        <v/>
      </c>
      <c r="BJ11" s="75">
        <f>$C11*INDEX(Curves!$D$8:$D$68,BJ$4-$B11+1)</f>
        <v/>
      </c>
      <c r="BK11" s="75">
        <f>$C11*INDEX(Curves!$D$8:$D$68,BK$4-$B11+1)</f>
        <v/>
      </c>
      <c r="BL11" s="75">
        <f>$C11*INDEX(Curves!$D$8:$D$68,BL$4-$B11+1)</f>
        <v/>
      </c>
    </row>
    <row r="12">
      <c r="A12" s="74" t="inlineStr">
        <is>
          <t>Cohort month 3</t>
        </is>
      </c>
      <c r="B12" s="74" t="n">
        <v>3</v>
      </c>
      <c r="C12" s="17">
        <f>INDEX(Ops!$E$10:$BL$10,1,$B12)</f>
        <v/>
      </c>
      <c r="H12" s="75">
        <f>$C12*INDEX(Curves!$D$8:$D$68,H$4-$B12+1)</f>
        <v/>
      </c>
      <c r="I12" s="75">
        <f>$C12*INDEX(Curves!$D$8:$D$68,I$4-$B12+1)</f>
        <v/>
      </c>
      <c r="J12" s="75">
        <f>$C12*INDEX(Curves!$D$8:$D$68,J$4-$B12+1)</f>
        <v/>
      </c>
      <c r="K12" s="75">
        <f>$C12*INDEX(Curves!$D$8:$D$68,K$4-$B12+1)</f>
        <v/>
      </c>
      <c r="L12" s="75">
        <f>$C12*INDEX(Curves!$D$8:$D$68,L$4-$B12+1)</f>
        <v/>
      </c>
      <c r="M12" s="75">
        <f>$C12*INDEX(Curves!$D$8:$D$68,M$4-$B12+1)</f>
        <v/>
      </c>
      <c r="N12" s="75">
        <f>$C12*INDEX(Curves!$D$8:$D$68,N$4-$B12+1)</f>
        <v/>
      </c>
      <c r="O12" s="75">
        <f>$C12*INDEX(Curves!$D$8:$D$68,O$4-$B12+1)</f>
        <v/>
      </c>
      <c r="P12" s="75">
        <f>$C12*INDEX(Curves!$D$8:$D$68,P$4-$B12+1)</f>
        <v/>
      </c>
      <c r="Q12" s="75">
        <f>$C12*INDEX(Curves!$D$8:$D$68,Q$4-$B12+1)</f>
        <v/>
      </c>
      <c r="R12" s="75">
        <f>$C12*INDEX(Curves!$D$8:$D$68,R$4-$B12+1)</f>
        <v/>
      </c>
      <c r="S12" s="75">
        <f>$C12*INDEX(Curves!$D$8:$D$68,S$4-$B12+1)</f>
        <v/>
      </c>
      <c r="T12" s="75">
        <f>$C12*INDEX(Curves!$D$8:$D$68,T$4-$B12+1)</f>
        <v/>
      </c>
      <c r="U12" s="75">
        <f>$C12*INDEX(Curves!$D$8:$D$68,U$4-$B12+1)</f>
        <v/>
      </c>
      <c r="V12" s="75">
        <f>$C12*INDEX(Curves!$D$8:$D$68,V$4-$B12+1)</f>
        <v/>
      </c>
      <c r="W12" s="75">
        <f>$C12*INDEX(Curves!$D$8:$D$68,W$4-$B12+1)</f>
        <v/>
      </c>
      <c r="X12" s="75">
        <f>$C12*INDEX(Curves!$D$8:$D$68,X$4-$B12+1)</f>
        <v/>
      </c>
      <c r="Y12" s="75">
        <f>$C12*INDEX(Curves!$D$8:$D$68,Y$4-$B12+1)</f>
        <v/>
      </c>
      <c r="Z12" s="75">
        <f>$C12*INDEX(Curves!$D$8:$D$68,Z$4-$B12+1)</f>
        <v/>
      </c>
      <c r="AA12" s="75">
        <f>$C12*INDEX(Curves!$D$8:$D$68,AA$4-$B12+1)</f>
        <v/>
      </c>
      <c r="AB12" s="75">
        <f>$C12*INDEX(Curves!$D$8:$D$68,AB$4-$B12+1)</f>
        <v/>
      </c>
      <c r="AC12" s="75">
        <f>$C12*INDEX(Curves!$D$8:$D$68,AC$4-$B12+1)</f>
        <v/>
      </c>
      <c r="AD12" s="75">
        <f>$C12*INDEX(Curves!$D$8:$D$68,AD$4-$B12+1)</f>
        <v/>
      </c>
      <c r="AE12" s="75">
        <f>$C12*INDEX(Curves!$D$8:$D$68,AE$4-$B12+1)</f>
        <v/>
      </c>
      <c r="AF12" s="75">
        <f>$C12*INDEX(Curves!$D$8:$D$68,AF$4-$B12+1)</f>
        <v/>
      </c>
      <c r="AG12" s="75">
        <f>$C12*INDEX(Curves!$D$8:$D$68,AG$4-$B12+1)</f>
        <v/>
      </c>
      <c r="AH12" s="75">
        <f>$C12*INDEX(Curves!$D$8:$D$68,AH$4-$B12+1)</f>
        <v/>
      </c>
      <c r="AI12" s="75">
        <f>$C12*INDEX(Curves!$D$8:$D$68,AI$4-$B12+1)</f>
        <v/>
      </c>
      <c r="AJ12" s="75">
        <f>$C12*INDEX(Curves!$D$8:$D$68,AJ$4-$B12+1)</f>
        <v/>
      </c>
      <c r="AK12" s="75">
        <f>$C12*INDEX(Curves!$D$8:$D$68,AK$4-$B12+1)</f>
        <v/>
      </c>
      <c r="AL12" s="75">
        <f>$C12*INDEX(Curves!$D$8:$D$68,AL$4-$B12+1)</f>
        <v/>
      </c>
      <c r="AM12" s="75">
        <f>$C12*INDEX(Curves!$D$8:$D$68,AM$4-$B12+1)</f>
        <v/>
      </c>
      <c r="AN12" s="75">
        <f>$C12*INDEX(Curves!$D$8:$D$68,AN$4-$B12+1)</f>
        <v/>
      </c>
      <c r="AO12" s="75">
        <f>$C12*INDEX(Curves!$D$8:$D$68,AO$4-$B12+1)</f>
        <v/>
      </c>
      <c r="AP12" s="75">
        <f>$C12*INDEX(Curves!$D$8:$D$68,AP$4-$B12+1)</f>
        <v/>
      </c>
      <c r="AQ12" s="75">
        <f>$C12*INDEX(Curves!$D$8:$D$68,AQ$4-$B12+1)</f>
        <v/>
      </c>
      <c r="AR12" s="75">
        <f>$C12*INDEX(Curves!$D$8:$D$68,AR$4-$B12+1)</f>
        <v/>
      </c>
      <c r="AS12" s="75">
        <f>$C12*INDEX(Curves!$D$8:$D$68,AS$4-$B12+1)</f>
        <v/>
      </c>
      <c r="AT12" s="75">
        <f>$C12*INDEX(Curves!$D$8:$D$68,AT$4-$B12+1)</f>
        <v/>
      </c>
      <c r="AU12" s="75">
        <f>$C12*INDEX(Curves!$D$8:$D$68,AU$4-$B12+1)</f>
        <v/>
      </c>
      <c r="AV12" s="75">
        <f>$C12*INDEX(Curves!$D$8:$D$68,AV$4-$B12+1)</f>
        <v/>
      </c>
      <c r="AW12" s="75">
        <f>$C12*INDEX(Curves!$D$8:$D$68,AW$4-$B12+1)</f>
        <v/>
      </c>
      <c r="AX12" s="75">
        <f>$C12*INDEX(Curves!$D$8:$D$68,AX$4-$B12+1)</f>
        <v/>
      </c>
      <c r="AY12" s="75">
        <f>$C12*INDEX(Curves!$D$8:$D$68,AY$4-$B12+1)</f>
        <v/>
      </c>
      <c r="AZ12" s="75">
        <f>$C12*INDEX(Curves!$D$8:$D$68,AZ$4-$B12+1)</f>
        <v/>
      </c>
      <c r="BA12" s="75">
        <f>$C12*INDEX(Curves!$D$8:$D$68,BA$4-$B12+1)</f>
        <v/>
      </c>
      <c r="BB12" s="75">
        <f>$C12*INDEX(Curves!$D$8:$D$68,BB$4-$B12+1)</f>
        <v/>
      </c>
      <c r="BC12" s="75">
        <f>$C12*INDEX(Curves!$D$8:$D$68,BC$4-$B12+1)</f>
        <v/>
      </c>
      <c r="BD12" s="75">
        <f>$C12*INDEX(Curves!$D$8:$D$68,BD$4-$B12+1)</f>
        <v/>
      </c>
      <c r="BE12" s="75">
        <f>$C12*INDEX(Curves!$D$8:$D$68,BE$4-$B12+1)</f>
        <v/>
      </c>
      <c r="BF12" s="75">
        <f>$C12*INDEX(Curves!$D$8:$D$68,BF$4-$B12+1)</f>
        <v/>
      </c>
      <c r="BG12" s="75">
        <f>$C12*INDEX(Curves!$D$8:$D$68,BG$4-$B12+1)</f>
        <v/>
      </c>
      <c r="BH12" s="75">
        <f>$C12*INDEX(Curves!$D$8:$D$68,BH$4-$B12+1)</f>
        <v/>
      </c>
      <c r="BI12" s="75">
        <f>$C12*INDEX(Curves!$D$8:$D$68,BI$4-$B12+1)</f>
        <v/>
      </c>
      <c r="BJ12" s="75">
        <f>$C12*INDEX(Curves!$D$8:$D$68,BJ$4-$B12+1)</f>
        <v/>
      </c>
      <c r="BK12" s="75">
        <f>$C12*INDEX(Curves!$D$8:$D$68,BK$4-$B12+1)</f>
        <v/>
      </c>
      <c r="BL12" s="75">
        <f>$C12*INDEX(Curves!$D$8:$D$68,BL$4-$B12+1)</f>
        <v/>
      </c>
    </row>
    <row r="13">
      <c r="A13" s="74" t="inlineStr">
        <is>
          <t>Cohort month 4</t>
        </is>
      </c>
      <c r="B13" s="74" t="n">
        <v>4</v>
      </c>
      <c r="C13" s="17">
        <f>INDEX(Ops!$E$10:$BL$10,1,$B13)</f>
        <v/>
      </c>
      <c r="I13" s="75">
        <f>$C13*INDEX(Curves!$D$8:$D$68,I$4-$B13+1)</f>
        <v/>
      </c>
      <c r="J13" s="75">
        <f>$C13*INDEX(Curves!$D$8:$D$68,J$4-$B13+1)</f>
        <v/>
      </c>
      <c r="K13" s="75">
        <f>$C13*INDEX(Curves!$D$8:$D$68,K$4-$B13+1)</f>
        <v/>
      </c>
      <c r="L13" s="75">
        <f>$C13*INDEX(Curves!$D$8:$D$68,L$4-$B13+1)</f>
        <v/>
      </c>
      <c r="M13" s="75">
        <f>$C13*INDEX(Curves!$D$8:$D$68,M$4-$B13+1)</f>
        <v/>
      </c>
      <c r="N13" s="75">
        <f>$C13*INDEX(Curves!$D$8:$D$68,N$4-$B13+1)</f>
        <v/>
      </c>
      <c r="O13" s="75">
        <f>$C13*INDEX(Curves!$D$8:$D$68,O$4-$B13+1)</f>
        <v/>
      </c>
      <c r="P13" s="75">
        <f>$C13*INDEX(Curves!$D$8:$D$68,P$4-$B13+1)</f>
        <v/>
      </c>
      <c r="Q13" s="75">
        <f>$C13*INDEX(Curves!$D$8:$D$68,Q$4-$B13+1)</f>
        <v/>
      </c>
      <c r="R13" s="75">
        <f>$C13*INDEX(Curves!$D$8:$D$68,R$4-$B13+1)</f>
        <v/>
      </c>
      <c r="S13" s="75">
        <f>$C13*INDEX(Curves!$D$8:$D$68,S$4-$B13+1)</f>
        <v/>
      </c>
      <c r="T13" s="75">
        <f>$C13*INDEX(Curves!$D$8:$D$68,T$4-$B13+1)</f>
        <v/>
      </c>
      <c r="U13" s="75">
        <f>$C13*INDEX(Curves!$D$8:$D$68,U$4-$B13+1)</f>
        <v/>
      </c>
      <c r="V13" s="75">
        <f>$C13*INDEX(Curves!$D$8:$D$68,V$4-$B13+1)</f>
        <v/>
      </c>
      <c r="W13" s="75">
        <f>$C13*INDEX(Curves!$D$8:$D$68,W$4-$B13+1)</f>
        <v/>
      </c>
      <c r="X13" s="75">
        <f>$C13*INDEX(Curves!$D$8:$D$68,X$4-$B13+1)</f>
        <v/>
      </c>
      <c r="Y13" s="75">
        <f>$C13*INDEX(Curves!$D$8:$D$68,Y$4-$B13+1)</f>
        <v/>
      </c>
      <c r="Z13" s="75">
        <f>$C13*INDEX(Curves!$D$8:$D$68,Z$4-$B13+1)</f>
        <v/>
      </c>
      <c r="AA13" s="75">
        <f>$C13*INDEX(Curves!$D$8:$D$68,AA$4-$B13+1)</f>
        <v/>
      </c>
      <c r="AB13" s="75">
        <f>$C13*INDEX(Curves!$D$8:$D$68,AB$4-$B13+1)</f>
        <v/>
      </c>
      <c r="AC13" s="75">
        <f>$C13*INDEX(Curves!$D$8:$D$68,AC$4-$B13+1)</f>
        <v/>
      </c>
      <c r="AD13" s="75">
        <f>$C13*INDEX(Curves!$D$8:$D$68,AD$4-$B13+1)</f>
        <v/>
      </c>
      <c r="AE13" s="75">
        <f>$C13*INDEX(Curves!$D$8:$D$68,AE$4-$B13+1)</f>
        <v/>
      </c>
      <c r="AF13" s="75">
        <f>$C13*INDEX(Curves!$D$8:$D$68,AF$4-$B13+1)</f>
        <v/>
      </c>
      <c r="AG13" s="75">
        <f>$C13*INDEX(Curves!$D$8:$D$68,AG$4-$B13+1)</f>
        <v/>
      </c>
      <c r="AH13" s="75">
        <f>$C13*INDEX(Curves!$D$8:$D$68,AH$4-$B13+1)</f>
        <v/>
      </c>
      <c r="AI13" s="75">
        <f>$C13*INDEX(Curves!$D$8:$D$68,AI$4-$B13+1)</f>
        <v/>
      </c>
      <c r="AJ13" s="75">
        <f>$C13*INDEX(Curves!$D$8:$D$68,AJ$4-$B13+1)</f>
        <v/>
      </c>
      <c r="AK13" s="75">
        <f>$C13*INDEX(Curves!$D$8:$D$68,AK$4-$B13+1)</f>
        <v/>
      </c>
      <c r="AL13" s="75">
        <f>$C13*INDEX(Curves!$D$8:$D$68,AL$4-$B13+1)</f>
        <v/>
      </c>
      <c r="AM13" s="75">
        <f>$C13*INDEX(Curves!$D$8:$D$68,AM$4-$B13+1)</f>
        <v/>
      </c>
      <c r="AN13" s="75">
        <f>$C13*INDEX(Curves!$D$8:$D$68,AN$4-$B13+1)</f>
        <v/>
      </c>
      <c r="AO13" s="75">
        <f>$C13*INDEX(Curves!$D$8:$D$68,AO$4-$B13+1)</f>
        <v/>
      </c>
      <c r="AP13" s="75">
        <f>$C13*INDEX(Curves!$D$8:$D$68,AP$4-$B13+1)</f>
        <v/>
      </c>
      <c r="AQ13" s="75">
        <f>$C13*INDEX(Curves!$D$8:$D$68,AQ$4-$B13+1)</f>
        <v/>
      </c>
      <c r="AR13" s="75">
        <f>$C13*INDEX(Curves!$D$8:$D$68,AR$4-$B13+1)</f>
        <v/>
      </c>
      <c r="AS13" s="75">
        <f>$C13*INDEX(Curves!$D$8:$D$68,AS$4-$B13+1)</f>
        <v/>
      </c>
      <c r="AT13" s="75">
        <f>$C13*INDEX(Curves!$D$8:$D$68,AT$4-$B13+1)</f>
        <v/>
      </c>
      <c r="AU13" s="75">
        <f>$C13*INDEX(Curves!$D$8:$D$68,AU$4-$B13+1)</f>
        <v/>
      </c>
      <c r="AV13" s="75">
        <f>$C13*INDEX(Curves!$D$8:$D$68,AV$4-$B13+1)</f>
        <v/>
      </c>
      <c r="AW13" s="75">
        <f>$C13*INDEX(Curves!$D$8:$D$68,AW$4-$B13+1)</f>
        <v/>
      </c>
      <c r="AX13" s="75">
        <f>$C13*INDEX(Curves!$D$8:$D$68,AX$4-$B13+1)</f>
        <v/>
      </c>
      <c r="AY13" s="75">
        <f>$C13*INDEX(Curves!$D$8:$D$68,AY$4-$B13+1)</f>
        <v/>
      </c>
      <c r="AZ13" s="75">
        <f>$C13*INDEX(Curves!$D$8:$D$68,AZ$4-$B13+1)</f>
        <v/>
      </c>
      <c r="BA13" s="75">
        <f>$C13*INDEX(Curves!$D$8:$D$68,BA$4-$B13+1)</f>
        <v/>
      </c>
      <c r="BB13" s="75">
        <f>$C13*INDEX(Curves!$D$8:$D$68,BB$4-$B13+1)</f>
        <v/>
      </c>
      <c r="BC13" s="75">
        <f>$C13*INDEX(Curves!$D$8:$D$68,BC$4-$B13+1)</f>
        <v/>
      </c>
      <c r="BD13" s="75">
        <f>$C13*INDEX(Curves!$D$8:$D$68,BD$4-$B13+1)</f>
        <v/>
      </c>
      <c r="BE13" s="75">
        <f>$C13*INDEX(Curves!$D$8:$D$68,BE$4-$B13+1)</f>
        <v/>
      </c>
      <c r="BF13" s="75">
        <f>$C13*INDEX(Curves!$D$8:$D$68,BF$4-$B13+1)</f>
        <v/>
      </c>
      <c r="BG13" s="75">
        <f>$C13*INDEX(Curves!$D$8:$D$68,BG$4-$B13+1)</f>
        <v/>
      </c>
      <c r="BH13" s="75">
        <f>$C13*INDEX(Curves!$D$8:$D$68,BH$4-$B13+1)</f>
        <v/>
      </c>
      <c r="BI13" s="75">
        <f>$C13*INDEX(Curves!$D$8:$D$68,BI$4-$B13+1)</f>
        <v/>
      </c>
      <c r="BJ13" s="75">
        <f>$C13*INDEX(Curves!$D$8:$D$68,BJ$4-$B13+1)</f>
        <v/>
      </c>
      <c r="BK13" s="75">
        <f>$C13*INDEX(Curves!$D$8:$D$68,BK$4-$B13+1)</f>
        <v/>
      </c>
      <c r="BL13" s="75">
        <f>$C13*INDEX(Curves!$D$8:$D$68,BL$4-$B13+1)</f>
        <v/>
      </c>
    </row>
    <row r="14">
      <c r="A14" s="74" t="inlineStr">
        <is>
          <t>Cohort month 5</t>
        </is>
      </c>
      <c r="B14" s="74" t="n">
        <v>5</v>
      </c>
      <c r="C14" s="17">
        <f>INDEX(Ops!$E$10:$BL$10,1,$B14)</f>
        <v/>
      </c>
      <c r="J14" s="75">
        <f>$C14*INDEX(Curves!$D$8:$D$68,J$4-$B14+1)</f>
        <v/>
      </c>
      <c r="K14" s="75">
        <f>$C14*INDEX(Curves!$D$8:$D$68,K$4-$B14+1)</f>
        <v/>
      </c>
      <c r="L14" s="75">
        <f>$C14*INDEX(Curves!$D$8:$D$68,L$4-$B14+1)</f>
        <v/>
      </c>
      <c r="M14" s="75">
        <f>$C14*INDEX(Curves!$D$8:$D$68,M$4-$B14+1)</f>
        <v/>
      </c>
      <c r="N14" s="75">
        <f>$C14*INDEX(Curves!$D$8:$D$68,N$4-$B14+1)</f>
        <v/>
      </c>
      <c r="O14" s="75">
        <f>$C14*INDEX(Curves!$D$8:$D$68,O$4-$B14+1)</f>
        <v/>
      </c>
      <c r="P14" s="75">
        <f>$C14*INDEX(Curves!$D$8:$D$68,P$4-$B14+1)</f>
        <v/>
      </c>
      <c r="Q14" s="75">
        <f>$C14*INDEX(Curves!$D$8:$D$68,Q$4-$B14+1)</f>
        <v/>
      </c>
      <c r="R14" s="75">
        <f>$C14*INDEX(Curves!$D$8:$D$68,R$4-$B14+1)</f>
        <v/>
      </c>
      <c r="S14" s="75">
        <f>$C14*INDEX(Curves!$D$8:$D$68,S$4-$B14+1)</f>
        <v/>
      </c>
      <c r="T14" s="75">
        <f>$C14*INDEX(Curves!$D$8:$D$68,T$4-$B14+1)</f>
        <v/>
      </c>
      <c r="U14" s="75">
        <f>$C14*INDEX(Curves!$D$8:$D$68,U$4-$B14+1)</f>
        <v/>
      </c>
      <c r="V14" s="75">
        <f>$C14*INDEX(Curves!$D$8:$D$68,V$4-$B14+1)</f>
        <v/>
      </c>
      <c r="W14" s="75">
        <f>$C14*INDEX(Curves!$D$8:$D$68,W$4-$B14+1)</f>
        <v/>
      </c>
      <c r="X14" s="75">
        <f>$C14*INDEX(Curves!$D$8:$D$68,X$4-$B14+1)</f>
        <v/>
      </c>
      <c r="Y14" s="75">
        <f>$C14*INDEX(Curves!$D$8:$D$68,Y$4-$B14+1)</f>
        <v/>
      </c>
      <c r="Z14" s="75">
        <f>$C14*INDEX(Curves!$D$8:$D$68,Z$4-$B14+1)</f>
        <v/>
      </c>
      <c r="AA14" s="75">
        <f>$C14*INDEX(Curves!$D$8:$D$68,AA$4-$B14+1)</f>
        <v/>
      </c>
      <c r="AB14" s="75">
        <f>$C14*INDEX(Curves!$D$8:$D$68,AB$4-$B14+1)</f>
        <v/>
      </c>
      <c r="AC14" s="75">
        <f>$C14*INDEX(Curves!$D$8:$D$68,AC$4-$B14+1)</f>
        <v/>
      </c>
      <c r="AD14" s="75">
        <f>$C14*INDEX(Curves!$D$8:$D$68,AD$4-$B14+1)</f>
        <v/>
      </c>
      <c r="AE14" s="75">
        <f>$C14*INDEX(Curves!$D$8:$D$68,AE$4-$B14+1)</f>
        <v/>
      </c>
      <c r="AF14" s="75">
        <f>$C14*INDEX(Curves!$D$8:$D$68,AF$4-$B14+1)</f>
        <v/>
      </c>
      <c r="AG14" s="75">
        <f>$C14*INDEX(Curves!$D$8:$D$68,AG$4-$B14+1)</f>
        <v/>
      </c>
      <c r="AH14" s="75">
        <f>$C14*INDEX(Curves!$D$8:$D$68,AH$4-$B14+1)</f>
        <v/>
      </c>
      <c r="AI14" s="75">
        <f>$C14*INDEX(Curves!$D$8:$D$68,AI$4-$B14+1)</f>
        <v/>
      </c>
      <c r="AJ14" s="75">
        <f>$C14*INDEX(Curves!$D$8:$D$68,AJ$4-$B14+1)</f>
        <v/>
      </c>
      <c r="AK14" s="75">
        <f>$C14*INDEX(Curves!$D$8:$D$68,AK$4-$B14+1)</f>
        <v/>
      </c>
      <c r="AL14" s="75">
        <f>$C14*INDEX(Curves!$D$8:$D$68,AL$4-$B14+1)</f>
        <v/>
      </c>
      <c r="AM14" s="75">
        <f>$C14*INDEX(Curves!$D$8:$D$68,AM$4-$B14+1)</f>
        <v/>
      </c>
      <c r="AN14" s="75">
        <f>$C14*INDEX(Curves!$D$8:$D$68,AN$4-$B14+1)</f>
        <v/>
      </c>
      <c r="AO14" s="75">
        <f>$C14*INDEX(Curves!$D$8:$D$68,AO$4-$B14+1)</f>
        <v/>
      </c>
      <c r="AP14" s="75">
        <f>$C14*INDEX(Curves!$D$8:$D$68,AP$4-$B14+1)</f>
        <v/>
      </c>
      <c r="AQ14" s="75">
        <f>$C14*INDEX(Curves!$D$8:$D$68,AQ$4-$B14+1)</f>
        <v/>
      </c>
      <c r="AR14" s="75">
        <f>$C14*INDEX(Curves!$D$8:$D$68,AR$4-$B14+1)</f>
        <v/>
      </c>
      <c r="AS14" s="75">
        <f>$C14*INDEX(Curves!$D$8:$D$68,AS$4-$B14+1)</f>
        <v/>
      </c>
      <c r="AT14" s="75">
        <f>$C14*INDEX(Curves!$D$8:$D$68,AT$4-$B14+1)</f>
        <v/>
      </c>
      <c r="AU14" s="75">
        <f>$C14*INDEX(Curves!$D$8:$D$68,AU$4-$B14+1)</f>
        <v/>
      </c>
      <c r="AV14" s="75">
        <f>$C14*INDEX(Curves!$D$8:$D$68,AV$4-$B14+1)</f>
        <v/>
      </c>
      <c r="AW14" s="75">
        <f>$C14*INDEX(Curves!$D$8:$D$68,AW$4-$B14+1)</f>
        <v/>
      </c>
      <c r="AX14" s="75">
        <f>$C14*INDEX(Curves!$D$8:$D$68,AX$4-$B14+1)</f>
        <v/>
      </c>
      <c r="AY14" s="75">
        <f>$C14*INDEX(Curves!$D$8:$D$68,AY$4-$B14+1)</f>
        <v/>
      </c>
      <c r="AZ14" s="75">
        <f>$C14*INDEX(Curves!$D$8:$D$68,AZ$4-$B14+1)</f>
        <v/>
      </c>
      <c r="BA14" s="75">
        <f>$C14*INDEX(Curves!$D$8:$D$68,BA$4-$B14+1)</f>
        <v/>
      </c>
      <c r="BB14" s="75">
        <f>$C14*INDEX(Curves!$D$8:$D$68,BB$4-$B14+1)</f>
        <v/>
      </c>
      <c r="BC14" s="75">
        <f>$C14*INDEX(Curves!$D$8:$D$68,BC$4-$B14+1)</f>
        <v/>
      </c>
      <c r="BD14" s="75">
        <f>$C14*INDEX(Curves!$D$8:$D$68,BD$4-$B14+1)</f>
        <v/>
      </c>
      <c r="BE14" s="75">
        <f>$C14*INDEX(Curves!$D$8:$D$68,BE$4-$B14+1)</f>
        <v/>
      </c>
      <c r="BF14" s="75">
        <f>$C14*INDEX(Curves!$D$8:$D$68,BF$4-$B14+1)</f>
        <v/>
      </c>
      <c r="BG14" s="75">
        <f>$C14*INDEX(Curves!$D$8:$D$68,BG$4-$B14+1)</f>
        <v/>
      </c>
      <c r="BH14" s="75">
        <f>$C14*INDEX(Curves!$D$8:$D$68,BH$4-$B14+1)</f>
        <v/>
      </c>
      <c r="BI14" s="75">
        <f>$C14*INDEX(Curves!$D$8:$D$68,BI$4-$B14+1)</f>
        <v/>
      </c>
      <c r="BJ14" s="75">
        <f>$C14*INDEX(Curves!$D$8:$D$68,BJ$4-$B14+1)</f>
        <v/>
      </c>
      <c r="BK14" s="75">
        <f>$C14*INDEX(Curves!$D$8:$D$68,BK$4-$B14+1)</f>
        <v/>
      </c>
      <c r="BL14" s="75">
        <f>$C14*INDEX(Curves!$D$8:$D$68,BL$4-$B14+1)</f>
        <v/>
      </c>
    </row>
    <row r="15">
      <c r="A15" s="74" t="inlineStr">
        <is>
          <t>Cohort month 6</t>
        </is>
      </c>
      <c r="B15" s="74" t="n">
        <v>6</v>
      </c>
      <c r="C15" s="17">
        <f>INDEX(Ops!$E$10:$BL$10,1,$B15)</f>
        <v/>
      </c>
      <c r="K15" s="75">
        <f>$C15*INDEX(Curves!$D$8:$D$68,K$4-$B15+1)</f>
        <v/>
      </c>
      <c r="L15" s="75">
        <f>$C15*INDEX(Curves!$D$8:$D$68,L$4-$B15+1)</f>
        <v/>
      </c>
      <c r="M15" s="75">
        <f>$C15*INDEX(Curves!$D$8:$D$68,M$4-$B15+1)</f>
        <v/>
      </c>
      <c r="N15" s="75">
        <f>$C15*INDEX(Curves!$D$8:$D$68,N$4-$B15+1)</f>
        <v/>
      </c>
      <c r="O15" s="75">
        <f>$C15*INDEX(Curves!$D$8:$D$68,O$4-$B15+1)</f>
        <v/>
      </c>
      <c r="P15" s="75">
        <f>$C15*INDEX(Curves!$D$8:$D$68,P$4-$B15+1)</f>
        <v/>
      </c>
      <c r="Q15" s="75">
        <f>$C15*INDEX(Curves!$D$8:$D$68,Q$4-$B15+1)</f>
        <v/>
      </c>
      <c r="R15" s="75">
        <f>$C15*INDEX(Curves!$D$8:$D$68,R$4-$B15+1)</f>
        <v/>
      </c>
      <c r="S15" s="75">
        <f>$C15*INDEX(Curves!$D$8:$D$68,S$4-$B15+1)</f>
        <v/>
      </c>
      <c r="T15" s="75">
        <f>$C15*INDEX(Curves!$D$8:$D$68,T$4-$B15+1)</f>
        <v/>
      </c>
      <c r="U15" s="75">
        <f>$C15*INDEX(Curves!$D$8:$D$68,U$4-$B15+1)</f>
        <v/>
      </c>
      <c r="V15" s="75">
        <f>$C15*INDEX(Curves!$D$8:$D$68,V$4-$B15+1)</f>
        <v/>
      </c>
      <c r="W15" s="75">
        <f>$C15*INDEX(Curves!$D$8:$D$68,W$4-$B15+1)</f>
        <v/>
      </c>
      <c r="X15" s="75">
        <f>$C15*INDEX(Curves!$D$8:$D$68,X$4-$B15+1)</f>
        <v/>
      </c>
      <c r="Y15" s="75">
        <f>$C15*INDEX(Curves!$D$8:$D$68,Y$4-$B15+1)</f>
        <v/>
      </c>
      <c r="Z15" s="75">
        <f>$C15*INDEX(Curves!$D$8:$D$68,Z$4-$B15+1)</f>
        <v/>
      </c>
      <c r="AA15" s="75">
        <f>$C15*INDEX(Curves!$D$8:$D$68,AA$4-$B15+1)</f>
        <v/>
      </c>
      <c r="AB15" s="75">
        <f>$C15*INDEX(Curves!$D$8:$D$68,AB$4-$B15+1)</f>
        <v/>
      </c>
      <c r="AC15" s="75">
        <f>$C15*INDEX(Curves!$D$8:$D$68,AC$4-$B15+1)</f>
        <v/>
      </c>
      <c r="AD15" s="75">
        <f>$C15*INDEX(Curves!$D$8:$D$68,AD$4-$B15+1)</f>
        <v/>
      </c>
      <c r="AE15" s="75">
        <f>$C15*INDEX(Curves!$D$8:$D$68,AE$4-$B15+1)</f>
        <v/>
      </c>
      <c r="AF15" s="75">
        <f>$C15*INDEX(Curves!$D$8:$D$68,AF$4-$B15+1)</f>
        <v/>
      </c>
      <c r="AG15" s="75">
        <f>$C15*INDEX(Curves!$D$8:$D$68,AG$4-$B15+1)</f>
        <v/>
      </c>
      <c r="AH15" s="75">
        <f>$C15*INDEX(Curves!$D$8:$D$68,AH$4-$B15+1)</f>
        <v/>
      </c>
      <c r="AI15" s="75">
        <f>$C15*INDEX(Curves!$D$8:$D$68,AI$4-$B15+1)</f>
        <v/>
      </c>
      <c r="AJ15" s="75">
        <f>$C15*INDEX(Curves!$D$8:$D$68,AJ$4-$B15+1)</f>
        <v/>
      </c>
      <c r="AK15" s="75">
        <f>$C15*INDEX(Curves!$D$8:$D$68,AK$4-$B15+1)</f>
        <v/>
      </c>
      <c r="AL15" s="75">
        <f>$C15*INDEX(Curves!$D$8:$D$68,AL$4-$B15+1)</f>
        <v/>
      </c>
      <c r="AM15" s="75">
        <f>$C15*INDEX(Curves!$D$8:$D$68,AM$4-$B15+1)</f>
        <v/>
      </c>
      <c r="AN15" s="75">
        <f>$C15*INDEX(Curves!$D$8:$D$68,AN$4-$B15+1)</f>
        <v/>
      </c>
      <c r="AO15" s="75">
        <f>$C15*INDEX(Curves!$D$8:$D$68,AO$4-$B15+1)</f>
        <v/>
      </c>
      <c r="AP15" s="75">
        <f>$C15*INDEX(Curves!$D$8:$D$68,AP$4-$B15+1)</f>
        <v/>
      </c>
      <c r="AQ15" s="75">
        <f>$C15*INDEX(Curves!$D$8:$D$68,AQ$4-$B15+1)</f>
        <v/>
      </c>
      <c r="AR15" s="75">
        <f>$C15*INDEX(Curves!$D$8:$D$68,AR$4-$B15+1)</f>
        <v/>
      </c>
      <c r="AS15" s="75">
        <f>$C15*INDEX(Curves!$D$8:$D$68,AS$4-$B15+1)</f>
        <v/>
      </c>
      <c r="AT15" s="75">
        <f>$C15*INDEX(Curves!$D$8:$D$68,AT$4-$B15+1)</f>
        <v/>
      </c>
      <c r="AU15" s="75">
        <f>$C15*INDEX(Curves!$D$8:$D$68,AU$4-$B15+1)</f>
        <v/>
      </c>
      <c r="AV15" s="75">
        <f>$C15*INDEX(Curves!$D$8:$D$68,AV$4-$B15+1)</f>
        <v/>
      </c>
      <c r="AW15" s="75">
        <f>$C15*INDEX(Curves!$D$8:$D$68,AW$4-$B15+1)</f>
        <v/>
      </c>
      <c r="AX15" s="75">
        <f>$C15*INDEX(Curves!$D$8:$D$68,AX$4-$B15+1)</f>
        <v/>
      </c>
      <c r="AY15" s="75">
        <f>$C15*INDEX(Curves!$D$8:$D$68,AY$4-$B15+1)</f>
        <v/>
      </c>
      <c r="AZ15" s="75">
        <f>$C15*INDEX(Curves!$D$8:$D$68,AZ$4-$B15+1)</f>
        <v/>
      </c>
      <c r="BA15" s="75">
        <f>$C15*INDEX(Curves!$D$8:$D$68,BA$4-$B15+1)</f>
        <v/>
      </c>
      <c r="BB15" s="75">
        <f>$C15*INDEX(Curves!$D$8:$D$68,BB$4-$B15+1)</f>
        <v/>
      </c>
      <c r="BC15" s="75">
        <f>$C15*INDEX(Curves!$D$8:$D$68,BC$4-$B15+1)</f>
        <v/>
      </c>
      <c r="BD15" s="75">
        <f>$C15*INDEX(Curves!$D$8:$D$68,BD$4-$B15+1)</f>
        <v/>
      </c>
      <c r="BE15" s="75">
        <f>$C15*INDEX(Curves!$D$8:$D$68,BE$4-$B15+1)</f>
        <v/>
      </c>
      <c r="BF15" s="75">
        <f>$C15*INDEX(Curves!$D$8:$D$68,BF$4-$B15+1)</f>
        <v/>
      </c>
      <c r="BG15" s="75">
        <f>$C15*INDEX(Curves!$D$8:$D$68,BG$4-$B15+1)</f>
        <v/>
      </c>
      <c r="BH15" s="75">
        <f>$C15*INDEX(Curves!$D$8:$D$68,BH$4-$B15+1)</f>
        <v/>
      </c>
      <c r="BI15" s="75">
        <f>$C15*INDEX(Curves!$D$8:$D$68,BI$4-$B15+1)</f>
        <v/>
      </c>
      <c r="BJ15" s="75">
        <f>$C15*INDEX(Curves!$D$8:$D$68,BJ$4-$B15+1)</f>
        <v/>
      </c>
      <c r="BK15" s="75">
        <f>$C15*INDEX(Curves!$D$8:$D$68,BK$4-$B15+1)</f>
        <v/>
      </c>
      <c r="BL15" s="75">
        <f>$C15*INDEX(Curves!$D$8:$D$68,BL$4-$B15+1)</f>
        <v/>
      </c>
    </row>
    <row r="16">
      <c r="A16" s="74" t="inlineStr">
        <is>
          <t>Cohort month 7</t>
        </is>
      </c>
      <c r="B16" s="74" t="n">
        <v>7</v>
      </c>
      <c r="C16" s="17">
        <f>INDEX(Ops!$E$10:$BL$10,1,$B16)</f>
        <v/>
      </c>
      <c r="L16" s="75">
        <f>$C16*INDEX(Curves!$D$8:$D$68,L$4-$B16+1)</f>
        <v/>
      </c>
      <c r="M16" s="75">
        <f>$C16*INDEX(Curves!$D$8:$D$68,M$4-$B16+1)</f>
        <v/>
      </c>
      <c r="N16" s="75">
        <f>$C16*INDEX(Curves!$D$8:$D$68,N$4-$B16+1)</f>
        <v/>
      </c>
      <c r="O16" s="75">
        <f>$C16*INDEX(Curves!$D$8:$D$68,O$4-$B16+1)</f>
        <v/>
      </c>
      <c r="P16" s="75">
        <f>$C16*INDEX(Curves!$D$8:$D$68,P$4-$B16+1)</f>
        <v/>
      </c>
      <c r="Q16" s="75">
        <f>$C16*INDEX(Curves!$D$8:$D$68,Q$4-$B16+1)</f>
        <v/>
      </c>
      <c r="R16" s="75">
        <f>$C16*INDEX(Curves!$D$8:$D$68,R$4-$B16+1)</f>
        <v/>
      </c>
      <c r="S16" s="75">
        <f>$C16*INDEX(Curves!$D$8:$D$68,S$4-$B16+1)</f>
        <v/>
      </c>
      <c r="T16" s="75">
        <f>$C16*INDEX(Curves!$D$8:$D$68,T$4-$B16+1)</f>
        <v/>
      </c>
      <c r="U16" s="75">
        <f>$C16*INDEX(Curves!$D$8:$D$68,U$4-$B16+1)</f>
        <v/>
      </c>
      <c r="V16" s="75">
        <f>$C16*INDEX(Curves!$D$8:$D$68,V$4-$B16+1)</f>
        <v/>
      </c>
      <c r="W16" s="75">
        <f>$C16*INDEX(Curves!$D$8:$D$68,W$4-$B16+1)</f>
        <v/>
      </c>
      <c r="X16" s="75">
        <f>$C16*INDEX(Curves!$D$8:$D$68,X$4-$B16+1)</f>
        <v/>
      </c>
      <c r="Y16" s="75">
        <f>$C16*INDEX(Curves!$D$8:$D$68,Y$4-$B16+1)</f>
        <v/>
      </c>
      <c r="Z16" s="75">
        <f>$C16*INDEX(Curves!$D$8:$D$68,Z$4-$B16+1)</f>
        <v/>
      </c>
      <c r="AA16" s="75">
        <f>$C16*INDEX(Curves!$D$8:$D$68,AA$4-$B16+1)</f>
        <v/>
      </c>
      <c r="AB16" s="75">
        <f>$C16*INDEX(Curves!$D$8:$D$68,AB$4-$B16+1)</f>
        <v/>
      </c>
      <c r="AC16" s="75">
        <f>$C16*INDEX(Curves!$D$8:$D$68,AC$4-$B16+1)</f>
        <v/>
      </c>
      <c r="AD16" s="75">
        <f>$C16*INDEX(Curves!$D$8:$D$68,AD$4-$B16+1)</f>
        <v/>
      </c>
      <c r="AE16" s="75">
        <f>$C16*INDEX(Curves!$D$8:$D$68,AE$4-$B16+1)</f>
        <v/>
      </c>
      <c r="AF16" s="75">
        <f>$C16*INDEX(Curves!$D$8:$D$68,AF$4-$B16+1)</f>
        <v/>
      </c>
      <c r="AG16" s="75">
        <f>$C16*INDEX(Curves!$D$8:$D$68,AG$4-$B16+1)</f>
        <v/>
      </c>
      <c r="AH16" s="75">
        <f>$C16*INDEX(Curves!$D$8:$D$68,AH$4-$B16+1)</f>
        <v/>
      </c>
      <c r="AI16" s="75">
        <f>$C16*INDEX(Curves!$D$8:$D$68,AI$4-$B16+1)</f>
        <v/>
      </c>
      <c r="AJ16" s="75">
        <f>$C16*INDEX(Curves!$D$8:$D$68,AJ$4-$B16+1)</f>
        <v/>
      </c>
      <c r="AK16" s="75">
        <f>$C16*INDEX(Curves!$D$8:$D$68,AK$4-$B16+1)</f>
        <v/>
      </c>
      <c r="AL16" s="75">
        <f>$C16*INDEX(Curves!$D$8:$D$68,AL$4-$B16+1)</f>
        <v/>
      </c>
      <c r="AM16" s="75">
        <f>$C16*INDEX(Curves!$D$8:$D$68,AM$4-$B16+1)</f>
        <v/>
      </c>
      <c r="AN16" s="75">
        <f>$C16*INDEX(Curves!$D$8:$D$68,AN$4-$B16+1)</f>
        <v/>
      </c>
      <c r="AO16" s="75">
        <f>$C16*INDEX(Curves!$D$8:$D$68,AO$4-$B16+1)</f>
        <v/>
      </c>
      <c r="AP16" s="75">
        <f>$C16*INDEX(Curves!$D$8:$D$68,AP$4-$B16+1)</f>
        <v/>
      </c>
      <c r="AQ16" s="75">
        <f>$C16*INDEX(Curves!$D$8:$D$68,AQ$4-$B16+1)</f>
        <v/>
      </c>
      <c r="AR16" s="75">
        <f>$C16*INDEX(Curves!$D$8:$D$68,AR$4-$B16+1)</f>
        <v/>
      </c>
      <c r="AS16" s="75">
        <f>$C16*INDEX(Curves!$D$8:$D$68,AS$4-$B16+1)</f>
        <v/>
      </c>
      <c r="AT16" s="75">
        <f>$C16*INDEX(Curves!$D$8:$D$68,AT$4-$B16+1)</f>
        <v/>
      </c>
      <c r="AU16" s="75">
        <f>$C16*INDEX(Curves!$D$8:$D$68,AU$4-$B16+1)</f>
        <v/>
      </c>
      <c r="AV16" s="75">
        <f>$C16*INDEX(Curves!$D$8:$D$68,AV$4-$B16+1)</f>
        <v/>
      </c>
      <c r="AW16" s="75">
        <f>$C16*INDEX(Curves!$D$8:$D$68,AW$4-$B16+1)</f>
        <v/>
      </c>
      <c r="AX16" s="75">
        <f>$C16*INDEX(Curves!$D$8:$D$68,AX$4-$B16+1)</f>
        <v/>
      </c>
      <c r="AY16" s="75">
        <f>$C16*INDEX(Curves!$D$8:$D$68,AY$4-$B16+1)</f>
        <v/>
      </c>
      <c r="AZ16" s="75">
        <f>$C16*INDEX(Curves!$D$8:$D$68,AZ$4-$B16+1)</f>
        <v/>
      </c>
      <c r="BA16" s="75">
        <f>$C16*INDEX(Curves!$D$8:$D$68,BA$4-$B16+1)</f>
        <v/>
      </c>
      <c r="BB16" s="75">
        <f>$C16*INDEX(Curves!$D$8:$D$68,BB$4-$B16+1)</f>
        <v/>
      </c>
      <c r="BC16" s="75">
        <f>$C16*INDEX(Curves!$D$8:$D$68,BC$4-$B16+1)</f>
        <v/>
      </c>
      <c r="BD16" s="75">
        <f>$C16*INDEX(Curves!$D$8:$D$68,BD$4-$B16+1)</f>
        <v/>
      </c>
      <c r="BE16" s="75">
        <f>$C16*INDEX(Curves!$D$8:$D$68,BE$4-$B16+1)</f>
        <v/>
      </c>
      <c r="BF16" s="75">
        <f>$C16*INDEX(Curves!$D$8:$D$68,BF$4-$B16+1)</f>
        <v/>
      </c>
      <c r="BG16" s="75">
        <f>$C16*INDEX(Curves!$D$8:$D$68,BG$4-$B16+1)</f>
        <v/>
      </c>
      <c r="BH16" s="75">
        <f>$C16*INDEX(Curves!$D$8:$D$68,BH$4-$B16+1)</f>
        <v/>
      </c>
      <c r="BI16" s="75">
        <f>$C16*INDEX(Curves!$D$8:$D$68,BI$4-$B16+1)</f>
        <v/>
      </c>
      <c r="BJ16" s="75">
        <f>$C16*INDEX(Curves!$D$8:$D$68,BJ$4-$B16+1)</f>
        <v/>
      </c>
      <c r="BK16" s="75">
        <f>$C16*INDEX(Curves!$D$8:$D$68,BK$4-$B16+1)</f>
        <v/>
      </c>
      <c r="BL16" s="75">
        <f>$C16*INDEX(Curves!$D$8:$D$68,BL$4-$B16+1)</f>
        <v/>
      </c>
    </row>
    <row r="17">
      <c r="A17" s="74" t="inlineStr">
        <is>
          <t>Cohort month 8</t>
        </is>
      </c>
      <c r="B17" s="74" t="n">
        <v>8</v>
      </c>
      <c r="C17" s="17">
        <f>INDEX(Ops!$E$10:$BL$10,1,$B17)</f>
        <v/>
      </c>
      <c r="M17" s="75">
        <f>$C17*INDEX(Curves!$D$8:$D$68,M$4-$B17+1)</f>
        <v/>
      </c>
      <c r="N17" s="75">
        <f>$C17*INDEX(Curves!$D$8:$D$68,N$4-$B17+1)</f>
        <v/>
      </c>
      <c r="O17" s="75">
        <f>$C17*INDEX(Curves!$D$8:$D$68,O$4-$B17+1)</f>
        <v/>
      </c>
      <c r="P17" s="75">
        <f>$C17*INDEX(Curves!$D$8:$D$68,P$4-$B17+1)</f>
        <v/>
      </c>
      <c r="Q17" s="75">
        <f>$C17*INDEX(Curves!$D$8:$D$68,Q$4-$B17+1)</f>
        <v/>
      </c>
      <c r="R17" s="75">
        <f>$C17*INDEX(Curves!$D$8:$D$68,R$4-$B17+1)</f>
        <v/>
      </c>
      <c r="S17" s="75">
        <f>$C17*INDEX(Curves!$D$8:$D$68,S$4-$B17+1)</f>
        <v/>
      </c>
      <c r="T17" s="75">
        <f>$C17*INDEX(Curves!$D$8:$D$68,T$4-$B17+1)</f>
        <v/>
      </c>
      <c r="U17" s="75">
        <f>$C17*INDEX(Curves!$D$8:$D$68,U$4-$B17+1)</f>
        <v/>
      </c>
      <c r="V17" s="75">
        <f>$C17*INDEX(Curves!$D$8:$D$68,V$4-$B17+1)</f>
        <v/>
      </c>
      <c r="W17" s="75">
        <f>$C17*INDEX(Curves!$D$8:$D$68,W$4-$B17+1)</f>
        <v/>
      </c>
      <c r="X17" s="75">
        <f>$C17*INDEX(Curves!$D$8:$D$68,X$4-$B17+1)</f>
        <v/>
      </c>
      <c r="Y17" s="75">
        <f>$C17*INDEX(Curves!$D$8:$D$68,Y$4-$B17+1)</f>
        <v/>
      </c>
      <c r="Z17" s="75">
        <f>$C17*INDEX(Curves!$D$8:$D$68,Z$4-$B17+1)</f>
        <v/>
      </c>
      <c r="AA17" s="75">
        <f>$C17*INDEX(Curves!$D$8:$D$68,AA$4-$B17+1)</f>
        <v/>
      </c>
      <c r="AB17" s="75">
        <f>$C17*INDEX(Curves!$D$8:$D$68,AB$4-$B17+1)</f>
        <v/>
      </c>
      <c r="AC17" s="75">
        <f>$C17*INDEX(Curves!$D$8:$D$68,AC$4-$B17+1)</f>
        <v/>
      </c>
      <c r="AD17" s="75">
        <f>$C17*INDEX(Curves!$D$8:$D$68,AD$4-$B17+1)</f>
        <v/>
      </c>
      <c r="AE17" s="75">
        <f>$C17*INDEX(Curves!$D$8:$D$68,AE$4-$B17+1)</f>
        <v/>
      </c>
      <c r="AF17" s="75">
        <f>$C17*INDEX(Curves!$D$8:$D$68,AF$4-$B17+1)</f>
        <v/>
      </c>
      <c r="AG17" s="75">
        <f>$C17*INDEX(Curves!$D$8:$D$68,AG$4-$B17+1)</f>
        <v/>
      </c>
      <c r="AH17" s="75">
        <f>$C17*INDEX(Curves!$D$8:$D$68,AH$4-$B17+1)</f>
        <v/>
      </c>
      <c r="AI17" s="75">
        <f>$C17*INDEX(Curves!$D$8:$D$68,AI$4-$B17+1)</f>
        <v/>
      </c>
      <c r="AJ17" s="75">
        <f>$C17*INDEX(Curves!$D$8:$D$68,AJ$4-$B17+1)</f>
        <v/>
      </c>
      <c r="AK17" s="75">
        <f>$C17*INDEX(Curves!$D$8:$D$68,AK$4-$B17+1)</f>
        <v/>
      </c>
      <c r="AL17" s="75">
        <f>$C17*INDEX(Curves!$D$8:$D$68,AL$4-$B17+1)</f>
        <v/>
      </c>
      <c r="AM17" s="75">
        <f>$C17*INDEX(Curves!$D$8:$D$68,AM$4-$B17+1)</f>
        <v/>
      </c>
      <c r="AN17" s="75">
        <f>$C17*INDEX(Curves!$D$8:$D$68,AN$4-$B17+1)</f>
        <v/>
      </c>
      <c r="AO17" s="75">
        <f>$C17*INDEX(Curves!$D$8:$D$68,AO$4-$B17+1)</f>
        <v/>
      </c>
      <c r="AP17" s="75">
        <f>$C17*INDEX(Curves!$D$8:$D$68,AP$4-$B17+1)</f>
        <v/>
      </c>
      <c r="AQ17" s="75">
        <f>$C17*INDEX(Curves!$D$8:$D$68,AQ$4-$B17+1)</f>
        <v/>
      </c>
      <c r="AR17" s="75">
        <f>$C17*INDEX(Curves!$D$8:$D$68,AR$4-$B17+1)</f>
        <v/>
      </c>
      <c r="AS17" s="75">
        <f>$C17*INDEX(Curves!$D$8:$D$68,AS$4-$B17+1)</f>
        <v/>
      </c>
      <c r="AT17" s="75">
        <f>$C17*INDEX(Curves!$D$8:$D$68,AT$4-$B17+1)</f>
        <v/>
      </c>
      <c r="AU17" s="75">
        <f>$C17*INDEX(Curves!$D$8:$D$68,AU$4-$B17+1)</f>
        <v/>
      </c>
      <c r="AV17" s="75">
        <f>$C17*INDEX(Curves!$D$8:$D$68,AV$4-$B17+1)</f>
        <v/>
      </c>
      <c r="AW17" s="75">
        <f>$C17*INDEX(Curves!$D$8:$D$68,AW$4-$B17+1)</f>
        <v/>
      </c>
      <c r="AX17" s="75">
        <f>$C17*INDEX(Curves!$D$8:$D$68,AX$4-$B17+1)</f>
        <v/>
      </c>
      <c r="AY17" s="75">
        <f>$C17*INDEX(Curves!$D$8:$D$68,AY$4-$B17+1)</f>
        <v/>
      </c>
      <c r="AZ17" s="75">
        <f>$C17*INDEX(Curves!$D$8:$D$68,AZ$4-$B17+1)</f>
        <v/>
      </c>
      <c r="BA17" s="75">
        <f>$C17*INDEX(Curves!$D$8:$D$68,BA$4-$B17+1)</f>
        <v/>
      </c>
      <c r="BB17" s="75">
        <f>$C17*INDEX(Curves!$D$8:$D$68,BB$4-$B17+1)</f>
        <v/>
      </c>
      <c r="BC17" s="75">
        <f>$C17*INDEX(Curves!$D$8:$D$68,BC$4-$B17+1)</f>
        <v/>
      </c>
      <c r="BD17" s="75">
        <f>$C17*INDEX(Curves!$D$8:$D$68,BD$4-$B17+1)</f>
        <v/>
      </c>
      <c r="BE17" s="75">
        <f>$C17*INDEX(Curves!$D$8:$D$68,BE$4-$B17+1)</f>
        <v/>
      </c>
      <c r="BF17" s="75">
        <f>$C17*INDEX(Curves!$D$8:$D$68,BF$4-$B17+1)</f>
        <v/>
      </c>
      <c r="BG17" s="75">
        <f>$C17*INDEX(Curves!$D$8:$D$68,BG$4-$B17+1)</f>
        <v/>
      </c>
      <c r="BH17" s="75">
        <f>$C17*INDEX(Curves!$D$8:$D$68,BH$4-$B17+1)</f>
        <v/>
      </c>
      <c r="BI17" s="75">
        <f>$C17*INDEX(Curves!$D$8:$D$68,BI$4-$B17+1)</f>
        <v/>
      </c>
      <c r="BJ17" s="75">
        <f>$C17*INDEX(Curves!$D$8:$D$68,BJ$4-$B17+1)</f>
        <v/>
      </c>
      <c r="BK17" s="75">
        <f>$C17*INDEX(Curves!$D$8:$D$68,BK$4-$B17+1)</f>
        <v/>
      </c>
      <c r="BL17" s="75">
        <f>$C17*INDEX(Curves!$D$8:$D$68,BL$4-$B17+1)</f>
        <v/>
      </c>
    </row>
    <row r="18">
      <c r="A18" s="74" t="inlineStr">
        <is>
          <t>Cohort month 9</t>
        </is>
      </c>
      <c r="B18" s="74" t="n">
        <v>9</v>
      </c>
      <c r="C18" s="17">
        <f>INDEX(Ops!$E$10:$BL$10,1,$B18)</f>
        <v/>
      </c>
      <c r="N18" s="75">
        <f>$C18*INDEX(Curves!$D$8:$D$68,N$4-$B18+1)</f>
        <v/>
      </c>
      <c r="O18" s="75">
        <f>$C18*INDEX(Curves!$D$8:$D$68,O$4-$B18+1)</f>
        <v/>
      </c>
      <c r="P18" s="75">
        <f>$C18*INDEX(Curves!$D$8:$D$68,P$4-$B18+1)</f>
        <v/>
      </c>
      <c r="Q18" s="75">
        <f>$C18*INDEX(Curves!$D$8:$D$68,Q$4-$B18+1)</f>
        <v/>
      </c>
      <c r="R18" s="75">
        <f>$C18*INDEX(Curves!$D$8:$D$68,R$4-$B18+1)</f>
        <v/>
      </c>
      <c r="S18" s="75">
        <f>$C18*INDEX(Curves!$D$8:$D$68,S$4-$B18+1)</f>
        <v/>
      </c>
      <c r="T18" s="75">
        <f>$C18*INDEX(Curves!$D$8:$D$68,T$4-$B18+1)</f>
        <v/>
      </c>
      <c r="U18" s="75">
        <f>$C18*INDEX(Curves!$D$8:$D$68,U$4-$B18+1)</f>
        <v/>
      </c>
      <c r="V18" s="75">
        <f>$C18*INDEX(Curves!$D$8:$D$68,V$4-$B18+1)</f>
        <v/>
      </c>
      <c r="W18" s="75">
        <f>$C18*INDEX(Curves!$D$8:$D$68,W$4-$B18+1)</f>
        <v/>
      </c>
      <c r="X18" s="75">
        <f>$C18*INDEX(Curves!$D$8:$D$68,X$4-$B18+1)</f>
        <v/>
      </c>
      <c r="Y18" s="75">
        <f>$C18*INDEX(Curves!$D$8:$D$68,Y$4-$B18+1)</f>
        <v/>
      </c>
      <c r="Z18" s="75">
        <f>$C18*INDEX(Curves!$D$8:$D$68,Z$4-$B18+1)</f>
        <v/>
      </c>
      <c r="AA18" s="75">
        <f>$C18*INDEX(Curves!$D$8:$D$68,AA$4-$B18+1)</f>
        <v/>
      </c>
      <c r="AB18" s="75">
        <f>$C18*INDEX(Curves!$D$8:$D$68,AB$4-$B18+1)</f>
        <v/>
      </c>
      <c r="AC18" s="75">
        <f>$C18*INDEX(Curves!$D$8:$D$68,AC$4-$B18+1)</f>
        <v/>
      </c>
      <c r="AD18" s="75">
        <f>$C18*INDEX(Curves!$D$8:$D$68,AD$4-$B18+1)</f>
        <v/>
      </c>
      <c r="AE18" s="75">
        <f>$C18*INDEX(Curves!$D$8:$D$68,AE$4-$B18+1)</f>
        <v/>
      </c>
      <c r="AF18" s="75">
        <f>$C18*INDEX(Curves!$D$8:$D$68,AF$4-$B18+1)</f>
        <v/>
      </c>
      <c r="AG18" s="75">
        <f>$C18*INDEX(Curves!$D$8:$D$68,AG$4-$B18+1)</f>
        <v/>
      </c>
      <c r="AH18" s="75">
        <f>$C18*INDEX(Curves!$D$8:$D$68,AH$4-$B18+1)</f>
        <v/>
      </c>
      <c r="AI18" s="75">
        <f>$C18*INDEX(Curves!$D$8:$D$68,AI$4-$B18+1)</f>
        <v/>
      </c>
      <c r="AJ18" s="75">
        <f>$C18*INDEX(Curves!$D$8:$D$68,AJ$4-$B18+1)</f>
        <v/>
      </c>
      <c r="AK18" s="75">
        <f>$C18*INDEX(Curves!$D$8:$D$68,AK$4-$B18+1)</f>
        <v/>
      </c>
      <c r="AL18" s="75">
        <f>$C18*INDEX(Curves!$D$8:$D$68,AL$4-$B18+1)</f>
        <v/>
      </c>
      <c r="AM18" s="75">
        <f>$C18*INDEX(Curves!$D$8:$D$68,AM$4-$B18+1)</f>
        <v/>
      </c>
      <c r="AN18" s="75">
        <f>$C18*INDEX(Curves!$D$8:$D$68,AN$4-$B18+1)</f>
        <v/>
      </c>
      <c r="AO18" s="75">
        <f>$C18*INDEX(Curves!$D$8:$D$68,AO$4-$B18+1)</f>
        <v/>
      </c>
      <c r="AP18" s="75">
        <f>$C18*INDEX(Curves!$D$8:$D$68,AP$4-$B18+1)</f>
        <v/>
      </c>
      <c r="AQ18" s="75">
        <f>$C18*INDEX(Curves!$D$8:$D$68,AQ$4-$B18+1)</f>
        <v/>
      </c>
      <c r="AR18" s="75">
        <f>$C18*INDEX(Curves!$D$8:$D$68,AR$4-$B18+1)</f>
        <v/>
      </c>
      <c r="AS18" s="75">
        <f>$C18*INDEX(Curves!$D$8:$D$68,AS$4-$B18+1)</f>
        <v/>
      </c>
      <c r="AT18" s="75">
        <f>$C18*INDEX(Curves!$D$8:$D$68,AT$4-$B18+1)</f>
        <v/>
      </c>
      <c r="AU18" s="75">
        <f>$C18*INDEX(Curves!$D$8:$D$68,AU$4-$B18+1)</f>
        <v/>
      </c>
      <c r="AV18" s="75">
        <f>$C18*INDEX(Curves!$D$8:$D$68,AV$4-$B18+1)</f>
        <v/>
      </c>
      <c r="AW18" s="75">
        <f>$C18*INDEX(Curves!$D$8:$D$68,AW$4-$B18+1)</f>
        <v/>
      </c>
      <c r="AX18" s="75">
        <f>$C18*INDEX(Curves!$D$8:$D$68,AX$4-$B18+1)</f>
        <v/>
      </c>
      <c r="AY18" s="75">
        <f>$C18*INDEX(Curves!$D$8:$D$68,AY$4-$B18+1)</f>
        <v/>
      </c>
      <c r="AZ18" s="75">
        <f>$C18*INDEX(Curves!$D$8:$D$68,AZ$4-$B18+1)</f>
        <v/>
      </c>
      <c r="BA18" s="75">
        <f>$C18*INDEX(Curves!$D$8:$D$68,BA$4-$B18+1)</f>
        <v/>
      </c>
      <c r="BB18" s="75">
        <f>$C18*INDEX(Curves!$D$8:$D$68,BB$4-$B18+1)</f>
        <v/>
      </c>
      <c r="BC18" s="75">
        <f>$C18*INDEX(Curves!$D$8:$D$68,BC$4-$B18+1)</f>
        <v/>
      </c>
      <c r="BD18" s="75">
        <f>$C18*INDEX(Curves!$D$8:$D$68,BD$4-$B18+1)</f>
        <v/>
      </c>
      <c r="BE18" s="75">
        <f>$C18*INDEX(Curves!$D$8:$D$68,BE$4-$B18+1)</f>
        <v/>
      </c>
      <c r="BF18" s="75">
        <f>$C18*INDEX(Curves!$D$8:$D$68,BF$4-$B18+1)</f>
        <v/>
      </c>
      <c r="BG18" s="75">
        <f>$C18*INDEX(Curves!$D$8:$D$68,BG$4-$B18+1)</f>
        <v/>
      </c>
      <c r="BH18" s="75">
        <f>$C18*INDEX(Curves!$D$8:$D$68,BH$4-$B18+1)</f>
        <v/>
      </c>
      <c r="BI18" s="75">
        <f>$C18*INDEX(Curves!$D$8:$D$68,BI$4-$B18+1)</f>
        <v/>
      </c>
      <c r="BJ18" s="75">
        <f>$C18*INDEX(Curves!$D$8:$D$68,BJ$4-$B18+1)</f>
        <v/>
      </c>
      <c r="BK18" s="75">
        <f>$C18*INDEX(Curves!$D$8:$D$68,BK$4-$B18+1)</f>
        <v/>
      </c>
      <c r="BL18" s="75">
        <f>$C18*INDEX(Curves!$D$8:$D$68,BL$4-$B18+1)</f>
        <v/>
      </c>
    </row>
    <row r="19">
      <c r="A19" s="74" t="inlineStr">
        <is>
          <t>Cohort month 10</t>
        </is>
      </c>
      <c r="B19" s="74" t="n">
        <v>10</v>
      </c>
      <c r="C19" s="17">
        <f>INDEX(Ops!$E$10:$BL$10,1,$B19)</f>
        <v/>
      </c>
      <c r="O19" s="75">
        <f>$C19*INDEX(Curves!$D$8:$D$68,O$4-$B19+1)</f>
        <v/>
      </c>
      <c r="P19" s="75">
        <f>$C19*INDEX(Curves!$D$8:$D$68,P$4-$B19+1)</f>
        <v/>
      </c>
      <c r="Q19" s="75">
        <f>$C19*INDEX(Curves!$D$8:$D$68,Q$4-$B19+1)</f>
        <v/>
      </c>
      <c r="R19" s="75">
        <f>$C19*INDEX(Curves!$D$8:$D$68,R$4-$B19+1)</f>
        <v/>
      </c>
      <c r="S19" s="75">
        <f>$C19*INDEX(Curves!$D$8:$D$68,S$4-$B19+1)</f>
        <v/>
      </c>
      <c r="T19" s="75">
        <f>$C19*INDEX(Curves!$D$8:$D$68,T$4-$B19+1)</f>
        <v/>
      </c>
      <c r="U19" s="75">
        <f>$C19*INDEX(Curves!$D$8:$D$68,U$4-$B19+1)</f>
        <v/>
      </c>
      <c r="V19" s="75">
        <f>$C19*INDEX(Curves!$D$8:$D$68,V$4-$B19+1)</f>
        <v/>
      </c>
      <c r="W19" s="75">
        <f>$C19*INDEX(Curves!$D$8:$D$68,W$4-$B19+1)</f>
        <v/>
      </c>
      <c r="X19" s="75">
        <f>$C19*INDEX(Curves!$D$8:$D$68,X$4-$B19+1)</f>
        <v/>
      </c>
      <c r="Y19" s="75">
        <f>$C19*INDEX(Curves!$D$8:$D$68,Y$4-$B19+1)</f>
        <v/>
      </c>
      <c r="Z19" s="75">
        <f>$C19*INDEX(Curves!$D$8:$D$68,Z$4-$B19+1)</f>
        <v/>
      </c>
      <c r="AA19" s="75">
        <f>$C19*INDEX(Curves!$D$8:$D$68,AA$4-$B19+1)</f>
        <v/>
      </c>
      <c r="AB19" s="75">
        <f>$C19*INDEX(Curves!$D$8:$D$68,AB$4-$B19+1)</f>
        <v/>
      </c>
      <c r="AC19" s="75">
        <f>$C19*INDEX(Curves!$D$8:$D$68,AC$4-$B19+1)</f>
        <v/>
      </c>
      <c r="AD19" s="75">
        <f>$C19*INDEX(Curves!$D$8:$D$68,AD$4-$B19+1)</f>
        <v/>
      </c>
      <c r="AE19" s="75">
        <f>$C19*INDEX(Curves!$D$8:$D$68,AE$4-$B19+1)</f>
        <v/>
      </c>
      <c r="AF19" s="75">
        <f>$C19*INDEX(Curves!$D$8:$D$68,AF$4-$B19+1)</f>
        <v/>
      </c>
      <c r="AG19" s="75">
        <f>$C19*INDEX(Curves!$D$8:$D$68,AG$4-$B19+1)</f>
        <v/>
      </c>
      <c r="AH19" s="75">
        <f>$C19*INDEX(Curves!$D$8:$D$68,AH$4-$B19+1)</f>
        <v/>
      </c>
      <c r="AI19" s="75">
        <f>$C19*INDEX(Curves!$D$8:$D$68,AI$4-$B19+1)</f>
        <v/>
      </c>
      <c r="AJ19" s="75">
        <f>$C19*INDEX(Curves!$D$8:$D$68,AJ$4-$B19+1)</f>
        <v/>
      </c>
      <c r="AK19" s="75">
        <f>$C19*INDEX(Curves!$D$8:$D$68,AK$4-$B19+1)</f>
        <v/>
      </c>
      <c r="AL19" s="75">
        <f>$C19*INDEX(Curves!$D$8:$D$68,AL$4-$B19+1)</f>
        <v/>
      </c>
      <c r="AM19" s="75">
        <f>$C19*INDEX(Curves!$D$8:$D$68,AM$4-$B19+1)</f>
        <v/>
      </c>
      <c r="AN19" s="75">
        <f>$C19*INDEX(Curves!$D$8:$D$68,AN$4-$B19+1)</f>
        <v/>
      </c>
      <c r="AO19" s="75">
        <f>$C19*INDEX(Curves!$D$8:$D$68,AO$4-$B19+1)</f>
        <v/>
      </c>
      <c r="AP19" s="75">
        <f>$C19*INDEX(Curves!$D$8:$D$68,AP$4-$B19+1)</f>
        <v/>
      </c>
      <c r="AQ19" s="75">
        <f>$C19*INDEX(Curves!$D$8:$D$68,AQ$4-$B19+1)</f>
        <v/>
      </c>
      <c r="AR19" s="75">
        <f>$C19*INDEX(Curves!$D$8:$D$68,AR$4-$B19+1)</f>
        <v/>
      </c>
      <c r="AS19" s="75">
        <f>$C19*INDEX(Curves!$D$8:$D$68,AS$4-$B19+1)</f>
        <v/>
      </c>
      <c r="AT19" s="75">
        <f>$C19*INDEX(Curves!$D$8:$D$68,AT$4-$B19+1)</f>
        <v/>
      </c>
      <c r="AU19" s="75">
        <f>$C19*INDEX(Curves!$D$8:$D$68,AU$4-$B19+1)</f>
        <v/>
      </c>
      <c r="AV19" s="75">
        <f>$C19*INDEX(Curves!$D$8:$D$68,AV$4-$B19+1)</f>
        <v/>
      </c>
      <c r="AW19" s="75">
        <f>$C19*INDEX(Curves!$D$8:$D$68,AW$4-$B19+1)</f>
        <v/>
      </c>
      <c r="AX19" s="75">
        <f>$C19*INDEX(Curves!$D$8:$D$68,AX$4-$B19+1)</f>
        <v/>
      </c>
      <c r="AY19" s="75">
        <f>$C19*INDEX(Curves!$D$8:$D$68,AY$4-$B19+1)</f>
        <v/>
      </c>
      <c r="AZ19" s="75">
        <f>$C19*INDEX(Curves!$D$8:$D$68,AZ$4-$B19+1)</f>
        <v/>
      </c>
      <c r="BA19" s="75">
        <f>$C19*INDEX(Curves!$D$8:$D$68,BA$4-$B19+1)</f>
        <v/>
      </c>
      <c r="BB19" s="75">
        <f>$C19*INDEX(Curves!$D$8:$D$68,BB$4-$B19+1)</f>
        <v/>
      </c>
      <c r="BC19" s="75">
        <f>$C19*INDEX(Curves!$D$8:$D$68,BC$4-$B19+1)</f>
        <v/>
      </c>
      <c r="BD19" s="75">
        <f>$C19*INDEX(Curves!$D$8:$D$68,BD$4-$B19+1)</f>
        <v/>
      </c>
      <c r="BE19" s="75">
        <f>$C19*INDEX(Curves!$D$8:$D$68,BE$4-$B19+1)</f>
        <v/>
      </c>
      <c r="BF19" s="75">
        <f>$C19*INDEX(Curves!$D$8:$D$68,BF$4-$B19+1)</f>
        <v/>
      </c>
      <c r="BG19" s="75">
        <f>$C19*INDEX(Curves!$D$8:$D$68,BG$4-$B19+1)</f>
        <v/>
      </c>
      <c r="BH19" s="75">
        <f>$C19*INDEX(Curves!$D$8:$D$68,BH$4-$B19+1)</f>
        <v/>
      </c>
      <c r="BI19" s="75">
        <f>$C19*INDEX(Curves!$D$8:$D$68,BI$4-$B19+1)</f>
        <v/>
      </c>
      <c r="BJ19" s="75">
        <f>$C19*INDEX(Curves!$D$8:$D$68,BJ$4-$B19+1)</f>
        <v/>
      </c>
      <c r="BK19" s="75">
        <f>$C19*INDEX(Curves!$D$8:$D$68,BK$4-$B19+1)</f>
        <v/>
      </c>
      <c r="BL19" s="75">
        <f>$C19*INDEX(Curves!$D$8:$D$68,BL$4-$B19+1)</f>
        <v/>
      </c>
    </row>
    <row r="20">
      <c r="A20" s="74" t="inlineStr">
        <is>
          <t>Cohort month 11</t>
        </is>
      </c>
      <c r="B20" s="74" t="n">
        <v>11</v>
      </c>
      <c r="C20" s="17">
        <f>INDEX(Ops!$E$10:$BL$10,1,$B20)</f>
        <v/>
      </c>
      <c r="P20" s="75">
        <f>$C20*INDEX(Curves!$D$8:$D$68,P$4-$B20+1)</f>
        <v/>
      </c>
      <c r="Q20" s="75">
        <f>$C20*INDEX(Curves!$D$8:$D$68,Q$4-$B20+1)</f>
        <v/>
      </c>
      <c r="R20" s="75">
        <f>$C20*INDEX(Curves!$D$8:$D$68,R$4-$B20+1)</f>
        <v/>
      </c>
      <c r="S20" s="75">
        <f>$C20*INDEX(Curves!$D$8:$D$68,S$4-$B20+1)</f>
        <v/>
      </c>
      <c r="T20" s="75">
        <f>$C20*INDEX(Curves!$D$8:$D$68,T$4-$B20+1)</f>
        <v/>
      </c>
      <c r="U20" s="75">
        <f>$C20*INDEX(Curves!$D$8:$D$68,U$4-$B20+1)</f>
        <v/>
      </c>
      <c r="V20" s="75">
        <f>$C20*INDEX(Curves!$D$8:$D$68,V$4-$B20+1)</f>
        <v/>
      </c>
      <c r="W20" s="75">
        <f>$C20*INDEX(Curves!$D$8:$D$68,W$4-$B20+1)</f>
        <v/>
      </c>
      <c r="X20" s="75">
        <f>$C20*INDEX(Curves!$D$8:$D$68,X$4-$B20+1)</f>
        <v/>
      </c>
      <c r="Y20" s="75">
        <f>$C20*INDEX(Curves!$D$8:$D$68,Y$4-$B20+1)</f>
        <v/>
      </c>
      <c r="Z20" s="75">
        <f>$C20*INDEX(Curves!$D$8:$D$68,Z$4-$B20+1)</f>
        <v/>
      </c>
      <c r="AA20" s="75">
        <f>$C20*INDEX(Curves!$D$8:$D$68,AA$4-$B20+1)</f>
        <v/>
      </c>
      <c r="AB20" s="75">
        <f>$C20*INDEX(Curves!$D$8:$D$68,AB$4-$B20+1)</f>
        <v/>
      </c>
      <c r="AC20" s="75">
        <f>$C20*INDEX(Curves!$D$8:$D$68,AC$4-$B20+1)</f>
        <v/>
      </c>
      <c r="AD20" s="75">
        <f>$C20*INDEX(Curves!$D$8:$D$68,AD$4-$B20+1)</f>
        <v/>
      </c>
      <c r="AE20" s="75">
        <f>$C20*INDEX(Curves!$D$8:$D$68,AE$4-$B20+1)</f>
        <v/>
      </c>
      <c r="AF20" s="75">
        <f>$C20*INDEX(Curves!$D$8:$D$68,AF$4-$B20+1)</f>
        <v/>
      </c>
      <c r="AG20" s="75">
        <f>$C20*INDEX(Curves!$D$8:$D$68,AG$4-$B20+1)</f>
        <v/>
      </c>
      <c r="AH20" s="75">
        <f>$C20*INDEX(Curves!$D$8:$D$68,AH$4-$B20+1)</f>
        <v/>
      </c>
      <c r="AI20" s="75">
        <f>$C20*INDEX(Curves!$D$8:$D$68,AI$4-$B20+1)</f>
        <v/>
      </c>
      <c r="AJ20" s="75">
        <f>$C20*INDEX(Curves!$D$8:$D$68,AJ$4-$B20+1)</f>
        <v/>
      </c>
      <c r="AK20" s="75">
        <f>$C20*INDEX(Curves!$D$8:$D$68,AK$4-$B20+1)</f>
        <v/>
      </c>
      <c r="AL20" s="75">
        <f>$C20*INDEX(Curves!$D$8:$D$68,AL$4-$B20+1)</f>
        <v/>
      </c>
      <c r="AM20" s="75">
        <f>$C20*INDEX(Curves!$D$8:$D$68,AM$4-$B20+1)</f>
        <v/>
      </c>
      <c r="AN20" s="75">
        <f>$C20*INDEX(Curves!$D$8:$D$68,AN$4-$B20+1)</f>
        <v/>
      </c>
      <c r="AO20" s="75">
        <f>$C20*INDEX(Curves!$D$8:$D$68,AO$4-$B20+1)</f>
        <v/>
      </c>
      <c r="AP20" s="75">
        <f>$C20*INDEX(Curves!$D$8:$D$68,AP$4-$B20+1)</f>
        <v/>
      </c>
      <c r="AQ20" s="75">
        <f>$C20*INDEX(Curves!$D$8:$D$68,AQ$4-$B20+1)</f>
        <v/>
      </c>
      <c r="AR20" s="75">
        <f>$C20*INDEX(Curves!$D$8:$D$68,AR$4-$B20+1)</f>
        <v/>
      </c>
      <c r="AS20" s="75">
        <f>$C20*INDEX(Curves!$D$8:$D$68,AS$4-$B20+1)</f>
        <v/>
      </c>
      <c r="AT20" s="75">
        <f>$C20*INDEX(Curves!$D$8:$D$68,AT$4-$B20+1)</f>
        <v/>
      </c>
      <c r="AU20" s="75">
        <f>$C20*INDEX(Curves!$D$8:$D$68,AU$4-$B20+1)</f>
        <v/>
      </c>
      <c r="AV20" s="75">
        <f>$C20*INDEX(Curves!$D$8:$D$68,AV$4-$B20+1)</f>
        <v/>
      </c>
      <c r="AW20" s="75">
        <f>$C20*INDEX(Curves!$D$8:$D$68,AW$4-$B20+1)</f>
        <v/>
      </c>
      <c r="AX20" s="75">
        <f>$C20*INDEX(Curves!$D$8:$D$68,AX$4-$B20+1)</f>
        <v/>
      </c>
      <c r="AY20" s="75">
        <f>$C20*INDEX(Curves!$D$8:$D$68,AY$4-$B20+1)</f>
        <v/>
      </c>
      <c r="AZ20" s="75">
        <f>$C20*INDEX(Curves!$D$8:$D$68,AZ$4-$B20+1)</f>
        <v/>
      </c>
      <c r="BA20" s="75">
        <f>$C20*INDEX(Curves!$D$8:$D$68,BA$4-$B20+1)</f>
        <v/>
      </c>
      <c r="BB20" s="75">
        <f>$C20*INDEX(Curves!$D$8:$D$68,BB$4-$B20+1)</f>
        <v/>
      </c>
      <c r="BC20" s="75">
        <f>$C20*INDEX(Curves!$D$8:$D$68,BC$4-$B20+1)</f>
        <v/>
      </c>
      <c r="BD20" s="75">
        <f>$C20*INDEX(Curves!$D$8:$D$68,BD$4-$B20+1)</f>
        <v/>
      </c>
      <c r="BE20" s="75">
        <f>$C20*INDEX(Curves!$D$8:$D$68,BE$4-$B20+1)</f>
        <v/>
      </c>
      <c r="BF20" s="75">
        <f>$C20*INDEX(Curves!$D$8:$D$68,BF$4-$B20+1)</f>
        <v/>
      </c>
      <c r="BG20" s="75">
        <f>$C20*INDEX(Curves!$D$8:$D$68,BG$4-$B20+1)</f>
        <v/>
      </c>
      <c r="BH20" s="75">
        <f>$C20*INDEX(Curves!$D$8:$D$68,BH$4-$B20+1)</f>
        <v/>
      </c>
      <c r="BI20" s="75">
        <f>$C20*INDEX(Curves!$D$8:$D$68,BI$4-$B20+1)</f>
        <v/>
      </c>
      <c r="BJ20" s="75">
        <f>$C20*INDEX(Curves!$D$8:$D$68,BJ$4-$B20+1)</f>
        <v/>
      </c>
      <c r="BK20" s="75">
        <f>$C20*INDEX(Curves!$D$8:$D$68,BK$4-$B20+1)</f>
        <v/>
      </c>
      <c r="BL20" s="75">
        <f>$C20*INDEX(Curves!$D$8:$D$68,BL$4-$B20+1)</f>
        <v/>
      </c>
    </row>
    <row r="21">
      <c r="A21" s="74" t="inlineStr">
        <is>
          <t>Cohort month 12</t>
        </is>
      </c>
      <c r="B21" s="74" t="n">
        <v>12</v>
      </c>
      <c r="C21" s="17">
        <f>INDEX(Ops!$E$10:$BL$10,1,$B21)</f>
        <v/>
      </c>
      <c r="Q21" s="75">
        <f>$C21*INDEX(Curves!$D$8:$D$68,Q$4-$B21+1)</f>
        <v/>
      </c>
      <c r="R21" s="75">
        <f>$C21*INDEX(Curves!$D$8:$D$68,R$4-$B21+1)</f>
        <v/>
      </c>
      <c r="S21" s="75">
        <f>$C21*INDEX(Curves!$D$8:$D$68,S$4-$B21+1)</f>
        <v/>
      </c>
      <c r="T21" s="75">
        <f>$C21*INDEX(Curves!$D$8:$D$68,T$4-$B21+1)</f>
        <v/>
      </c>
      <c r="U21" s="75">
        <f>$C21*INDEX(Curves!$D$8:$D$68,U$4-$B21+1)</f>
        <v/>
      </c>
      <c r="V21" s="75">
        <f>$C21*INDEX(Curves!$D$8:$D$68,V$4-$B21+1)</f>
        <v/>
      </c>
      <c r="W21" s="75">
        <f>$C21*INDEX(Curves!$D$8:$D$68,W$4-$B21+1)</f>
        <v/>
      </c>
      <c r="X21" s="75">
        <f>$C21*INDEX(Curves!$D$8:$D$68,X$4-$B21+1)</f>
        <v/>
      </c>
      <c r="Y21" s="75">
        <f>$C21*INDEX(Curves!$D$8:$D$68,Y$4-$B21+1)</f>
        <v/>
      </c>
      <c r="Z21" s="75">
        <f>$C21*INDEX(Curves!$D$8:$D$68,Z$4-$B21+1)</f>
        <v/>
      </c>
      <c r="AA21" s="75">
        <f>$C21*INDEX(Curves!$D$8:$D$68,AA$4-$B21+1)</f>
        <v/>
      </c>
      <c r="AB21" s="75">
        <f>$C21*INDEX(Curves!$D$8:$D$68,AB$4-$B21+1)</f>
        <v/>
      </c>
      <c r="AC21" s="75">
        <f>$C21*INDEX(Curves!$D$8:$D$68,AC$4-$B21+1)</f>
        <v/>
      </c>
      <c r="AD21" s="75">
        <f>$C21*INDEX(Curves!$D$8:$D$68,AD$4-$B21+1)</f>
        <v/>
      </c>
      <c r="AE21" s="75">
        <f>$C21*INDEX(Curves!$D$8:$D$68,AE$4-$B21+1)</f>
        <v/>
      </c>
      <c r="AF21" s="75">
        <f>$C21*INDEX(Curves!$D$8:$D$68,AF$4-$B21+1)</f>
        <v/>
      </c>
      <c r="AG21" s="75">
        <f>$C21*INDEX(Curves!$D$8:$D$68,AG$4-$B21+1)</f>
        <v/>
      </c>
      <c r="AH21" s="75">
        <f>$C21*INDEX(Curves!$D$8:$D$68,AH$4-$B21+1)</f>
        <v/>
      </c>
      <c r="AI21" s="75">
        <f>$C21*INDEX(Curves!$D$8:$D$68,AI$4-$B21+1)</f>
        <v/>
      </c>
      <c r="AJ21" s="75">
        <f>$C21*INDEX(Curves!$D$8:$D$68,AJ$4-$B21+1)</f>
        <v/>
      </c>
      <c r="AK21" s="75">
        <f>$C21*INDEX(Curves!$D$8:$D$68,AK$4-$B21+1)</f>
        <v/>
      </c>
      <c r="AL21" s="75">
        <f>$C21*INDEX(Curves!$D$8:$D$68,AL$4-$B21+1)</f>
        <v/>
      </c>
      <c r="AM21" s="75">
        <f>$C21*INDEX(Curves!$D$8:$D$68,AM$4-$B21+1)</f>
        <v/>
      </c>
      <c r="AN21" s="75">
        <f>$C21*INDEX(Curves!$D$8:$D$68,AN$4-$B21+1)</f>
        <v/>
      </c>
      <c r="AO21" s="75">
        <f>$C21*INDEX(Curves!$D$8:$D$68,AO$4-$B21+1)</f>
        <v/>
      </c>
      <c r="AP21" s="75">
        <f>$C21*INDEX(Curves!$D$8:$D$68,AP$4-$B21+1)</f>
        <v/>
      </c>
      <c r="AQ21" s="75">
        <f>$C21*INDEX(Curves!$D$8:$D$68,AQ$4-$B21+1)</f>
        <v/>
      </c>
      <c r="AR21" s="75">
        <f>$C21*INDEX(Curves!$D$8:$D$68,AR$4-$B21+1)</f>
        <v/>
      </c>
      <c r="AS21" s="75">
        <f>$C21*INDEX(Curves!$D$8:$D$68,AS$4-$B21+1)</f>
        <v/>
      </c>
      <c r="AT21" s="75">
        <f>$C21*INDEX(Curves!$D$8:$D$68,AT$4-$B21+1)</f>
        <v/>
      </c>
      <c r="AU21" s="75">
        <f>$C21*INDEX(Curves!$D$8:$D$68,AU$4-$B21+1)</f>
        <v/>
      </c>
      <c r="AV21" s="75">
        <f>$C21*INDEX(Curves!$D$8:$D$68,AV$4-$B21+1)</f>
        <v/>
      </c>
      <c r="AW21" s="75">
        <f>$C21*INDEX(Curves!$D$8:$D$68,AW$4-$B21+1)</f>
        <v/>
      </c>
      <c r="AX21" s="75">
        <f>$C21*INDEX(Curves!$D$8:$D$68,AX$4-$B21+1)</f>
        <v/>
      </c>
      <c r="AY21" s="75">
        <f>$C21*INDEX(Curves!$D$8:$D$68,AY$4-$B21+1)</f>
        <v/>
      </c>
      <c r="AZ21" s="75">
        <f>$C21*INDEX(Curves!$D$8:$D$68,AZ$4-$B21+1)</f>
        <v/>
      </c>
      <c r="BA21" s="75">
        <f>$C21*INDEX(Curves!$D$8:$D$68,BA$4-$B21+1)</f>
        <v/>
      </c>
      <c r="BB21" s="75">
        <f>$C21*INDEX(Curves!$D$8:$D$68,BB$4-$B21+1)</f>
        <v/>
      </c>
      <c r="BC21" s="75">
        <f>$C21*INDEX(Curves!$D$8:$D$68,BC$4-$B21+1)</f>
        <v/>
      </c>
      <c r="BD21" s="75">
        <f>$C21*INDEX(Curves!$D$8:$D$68,BD$4-$B21+1)</f>
        <v/>
      </c>
      <c r="BE21" s="75">
        <f>$C21*INDEX(Curves!$D$8:$D$68,BE$4-$B21+1)</f>
        <v/>
      </c>
      <c r="BF21" s="75">
        <f>$C21*INDEX(Curves!$D$8:$D$68,BF$4-$B21+1)</f>
        <v/>
      </c>
      <c r="BG21" s="75">
        <f>$C21*INDEX(Curves!$D$8:$D$68,BG$4-$B21+1)</f>
        <v/>
      </c>
      <c r="BH21" s="75">
        <f>$C21*INDEX(Curves!$D$8:$D$68,BH$4-$B21+1)</f>
        <v/>
      </c>
      <c r="BI21" s="75">
        <f>$C21*INDEX(Curves!$D$8:$D$68,BI$4-$B21+1)</f>
        <v/>
      </c>
      <c r="BJ21" s="75">
        <f>$C21*INDEX(Curves!$D$8:$D$68,BJ$4-$B21+1)</f>
        <v/>
      </c>
      <c r="BK21" s="75">
        <f>$C21*INDEX(Curves!$D$8:$D$68,BK$4-$B21+1)</f>
        <v/>
      </c>
      <c r="BL21" s="75">
        <f>$C21*INDEX(Curves!$D$8:$D$68,BL$4-$B21+1)</f>
        <v/>
      </c>
    </row>
    <row r="22">
      <c r="A22" s="74" t="inlineStr">
        <is>
          <t>Cohort month 13</t>
        </is>
      </c>
      <c r="B22" s="74" t="n">
        <v>13</v>
      </c>
      <c r="C22" s="17">
        <f>INDEX(Ops!$E$10:$BL$10,1,$B22)</f>
        <v/>
      </c>
      <c r="R22" s="75">
        <f>$C22*INDEX(Curves!$D$8:$D$68,R$4-$B22+1)</f>
        <v/>
      </c>
      <c r="S22" s="75">
        <f>$C22*INDEX(Curves!$D$8:$D$68,S$4-$B22+1)</f>
        <v/>
      </c>
      <c r="T22" s="75">
        <f>$C22*INDEX(Curves!$D$8:$D$68,T$4-$B22+1)</f>
        <v/>
      </c>
      <c r="U22" s="75">
        <f>$C22*INDEX(Curves!$D$8:$D$68,U$4-$B22+1)</f>
        <v/>
      </c>
      <c r="V22" s="75">
        <f>$C22*INDEX(Curves!$D$8:$D$68,V$4-$B22+1)</f>
        <v/>
      </c>
      <c r="W22" s="75">
        <f>$C22*INDEX(Curves!$D$8:$D$68,W$4-$B22+1)</f>
        <v/>
      </c>
      <c r="X22" s="75">
        <f>$C22*INDEX(Curves!$D$8:$D$68,X$4-$B22+1)</f>
        <v/>
      </c>
      <c r="Y22" s="75">
        <f>$C22*INDEX(Curves!$D$8:$D$68,Y$4-$B22+1)</f>
        <v/>
      </c>
      <c r="Z22" s="75">
        <f>$C22*INDEX(Curves!$D$8:$D$68,Z$4-$B22+1)</f>
        <v/>
      </c>
      <c r="AA22" s="75">
        <f>$C22*INDEX(Curves!$D$8:$D$68,AA$4-$B22+1)</f>
        <v/>
      </c>
      <c r="AB22" s="75">
        <f>$C22*INDEX(Curves!$D$8:$D$68,AB$4-$B22+1)</f>
        <v/>
      </c>
      <c r="AC22" s="75">
        <f>$C22*INDEX(Curves!$D$8:$D$68,AC$4-$B22+1)</f>
        <v/>
      </c>
      <c r="AD22" s="75">
        <f>$C22*INDEX(Curves!$D$8:$D$68,AD$4-$B22+1)</f>
        <v/>
      </c>
      <c r="AE22" s="75">
        <f>$C22*INDEX(Curves!$D$8:$D$68,AE$4-$B22+1)</f>
        <v/>
      </c>
      <c r="AF22" s="75">
        <f>$C22*INDEX(Curves!$D$8:$D$68,AF$4-$B22+1)</f>
        <v/>
      </c>
      <c r="AG22" s="75">
        <f>$C22*INDEX(Curves!$D$8:$D$68,AG$4-$B22+1)</f>
        <v/>
      </c>
      <c r="AH22" s="75">
        <f>$C22*INDEX(Curves!$D$8:$D$68,AH$4-$B22+1)</f>
        <v/>
      </c>
      <c r="AI22" s="75">
        <f>$C22*INDEX(Curves!$D$8:$D$68,AI$4-$B22+1)</f>
        <v/>
      </c>
      <c r="AJ22" s="75">
        <f>$C22*INDEX(Curves!$D$8:$D$68,AJ$4-$B22+1)</f>
        <v/>
      </c>
      <c r="AK22" s="75">
        <f>$C22*INDEX(Curves!$D$8:$D$68,AK$4-$B22+1)</f>
        <v/>
      </c>
      <c r="AL22" s="75">
        <f>$C22*INDEX(Curves!$D$8:$D$68,AL$4-$B22+1)</f>
        <v/>
      </c>
      <c r="AM22" s="75">
        <f>$C22*INDEX(Curves!$D$8:$D$68,AM$4-$B22+1)</f>
        <v/>
      </c>
      <c r="AN22" s="75">
        <f>$C22*INDEX(Curves!$D$8:$D$68,AN$4-$B22+1)</f>
        <v/>
      </c>
      <c r="AO22" s="75">
        <f>$C22*INDEX(Curves!$D$8:$D$68,AO$4-$B22+1)</f>
        <v/>
      </c>
      <c r="AP22" s="75">
        <f>$C22*INDEX(Curves!$D$8:$D$68,AP$4-$B22+1)</f>
        <v/>
      </c>
      <c r="AQ22" s="75">
        <f>$C22*INDEX(Curves!$D$8:$D$68,AQ$4-$B22+1)</f>
        <v/>
      </c>
      <c r="AR22" s="75">
        <f>$C22*INDEX(Curves!$D$8:$D$68,AR$4-$B22+1)</f>
        <v/>
      </c>
      <c r="AS22" s="75">
        <f>$C22*INDEX(Curves!$D$8:$D$68,AS$4-$B22+1)</f>
        <v/>
      </c>
      <c r="AT22" s="75">
        <f>$C22*INDEX(Curves!$D$8:$D$68,AT$4-$B22+1)</f>
        <v/>
      </c>
      <c r="AU22" s="75">
        <f>$C22*INDEX(Curves!$D$8:$D$68,AU$4-$B22+1)</f>
        <v/>
      </c>
      <c r="AV22" s="75">
        <f>$C22*INDEX(Curves!$D$8:$D$68,AV$4-$B22+1)</f>
        <v/>
      </c>
      <c r="AW22" s="75">
        <f>$C22*INDEX(Curves!$D$8:$D$68,AW$4-$B22+1)</f>
        <v/>
      </c>
      <c r="AX22" s="75">
        <f>$C22*INDEX(Curves!$D$8:$D$68,AX$4-$B22+1)</f>
        <v/>
      </c>
      <c r="AY22" s="75">
        <f>$C22*INDEX(Curves!$D$8:$D$68,AY$4-$B22+1)</f>
        <v/>
      </c>
      <c r="AZ22" s="75">
        <f>$C22*INDEX(Curves!$D$8:$D$68,AZ$4-$B22+1)</f>
        <v/>
      </c>
      <c r="BA22" s="75">
        <f>$C22*INDEX(Curves!$D$8:$D$68,BA$4-$B22+1)</f>
        <v/>
      </c>
      <c r="BB22" s="75">
        <f>$C22*INDEX(Curves!$D$8:$D$68,BB$4-$B22+1)</f>
        <v/>
      </c>
      <c r="BC22" s="75">
        <f>$C22*INDEX(Curves!$D$8:$D$68,BC$4-$B22+1)</f>
        <v/>
      </c>
      <c r="BD22" s="75">
        <f>$C22*INDEX(Curves!$D$8:$D$68,BD$4-$B22+1)</f>
        <v/>
      </c>
      <c r="BE22" s="75">
        <f>$C22*INDEX(Curves!$D$8:$D$68,BE$4-$B22+1)</f>
        <v/>
      </c>
      <c r="BF22" s="75">
        <f>$C22*INDEX(Curves!$D$8:$D$68,BF$4-$B22+1)</f>
        <v/>
      </c>
      <c r="BG22" s="75">
        <f>$C22*INDEX(Curves!$D$8:$D$68,BG$4-$B22+1)</f>
        <v/>
      </c>
      <c r="BH22" s="75">
        <f>$C22*INDEX(Curves!$D$8:$D$68,BH$4-$B22+1)</f>
        <v/>
      </c>
      <c r="BI22" s="75">
        <f>$C22*INDEX(Curves!$D$8:$D$68,BI$4-$B22+1)</f>
        <v/>
      </c>
      <c r="BJ22" s="75">
        <f>$C22*INDEX(Curves!$D$8:$D$68,BJ$4-$B22+1)</f>
        <v/>
      </c>
      <c r="BK22" s="75">
        <f>$C22*INDEX(Curves!$D$8:$D$68,BK$4-$B22+1)</f>
        <v/>
      </c>
      <c r="BL22" s="75">
        <f>$C22*INDEX(Curves!$D$8:$D$68,BL$4-$B22+1)</f>
        <v/>
      </c>
    </row>
    <row r="23">
      <c r="A23" s="74" t="inlineStr">
        <is>
          <t>Cohort month 14</t>
        </is>
      </c>
      <c r="B23" s="74" t="n">
        <v>14</v>
      </c>
      <c r="C23" s="17">
        <f>INDEX(Ops!$E$10:$BL$10,1,$B23)</f>
        <v/>
      </c>
      <c r="S23" s="75">
        <f>$C23*INDEX(Curves!$D$8:$D$68,S$4-$B23+1)</f>
        <v/>
      </c>
      <c r="T23" s="75">
        <f>$C23*INDEX(Curves!$D$8:$D$68,T$4-$B23+1)</f>
        <v/>
      </c>
      <c r="U23" s="75">
        <f>$C23*INDEX(Curves!$D$8:$D$68,U$4-$B23+1)</f>
        <v/>
      </c>
      <c r="V23" s="75">
        <f>$C23*INDEX(Curves!$D$8:$D$68,V$4-$B23+1)</f>
        <v/>
      </c>
      <c r="W23" s="75">
        <f>$C23*INDEX(Curves!$D$8:$D$68,W$4-$B23+1)</f>
        <v/>
      </c>
      <c r="X23" s="75">
        <f>$C23*INDEX(Curves!$D$8:$D$68,X$4-$B23+1)</f>
        <v/>
      </c>
      <c r="Y23" s="75">
        <f>$C23*INDEX(Curves!$D$8:$D$68,Y$4-$B23+1)</f>
        <v/>
      </c>
      <c r="Z23" s="75">
        <f>$C23*INDEX(Curves!$D$8:$D$68,Z$4-$B23+1)</f>
        <v/>
      </c>
      <c r="AA23" s="75">
        <f>$C23*INDEX(Curves!$D$8:$D$68,AA$4-$B23+1)</f>
        <v/>
      </c>
      <c r="AB23" s="75">
        <f>$C23*INDEX(Curves!$D$8:$D$68,AB$4-$B23+1)</f>
        <v/>
      </c>
      <c r="AC23" s="75">
        <f>$C23*INDEX(Curves!$D$8:$D$68,AC$4-$B23+1)</f>
        <v/>
      </c>
      <c r="AD23" s="75">
        <f>$C23*INDEX(Curves!$D$8:$D$68,AD$4-$B23+1)</f>
        <v/>
      </c>
      <c r="AE23" s="75">
        <f>$C23*INDEX(Curves!$D$8:$D$68,AE$4-$B23+1)</f>
        <v/>
      </c>
      <c r="AF23" s="75">
        <f>$C23*INDEX(Curves!$D$8:$D$68,AF$4-$B23+1)</f>
        <v/>
      </c>
      <c r="AG23" s="75">
        <f>$C23*INDEX(Curves!$D$8:$D$68,AG$4-$B23+1)</f>
        <v/>
      </c>
      <c r="AH23" s="75">
        <f>$C23*INDEX(Curves!$D$8:$D$68,AH$4-$B23+1)</f>
        <v/>
      </c>
      <c r="AI23" s="75">
        <f>$C23*INDEX(Curves!$D$8:$D$68,AI$4-$B23+1)</f>
        <v/>
      </c>
      <c r="AJ23" s="75">
        <f>$C23*INDEX(Curves!$D$8:$D$68,AJ$4-$B23+1)</f>
        <v/>
      </c>
      <c r="AK23" s="75">
        <f>$C23*INDEX(Curves!$D$8:$D$68,AK$4-$B23+1)</f>
        <v/>
      </c>
      <c r="AL23" s="75">
        <f>$C23*INDEX(Curves!$D$8:$D$68,AL$4-$B23+1)</f>
        <v/>
      </c>
      <c r="AM23" s="75">
        <f>$C23*INDEX(Curves!$D$8:$D$68,AM$4-$B23+1)</f>
        <v/>
      </c>
      <c r="AN23" s="75">
        <f>$C23*INDEX(Curves!$D$8:$D$68,AN$4-$B23+1)</f>
        <v/>
      </c>
      <c r="AO23" s="75">
        <f>$C23*INDEX(Curves!$D$8:$D$68,AO$4-$B23+1)</f>
        <v/>
      </c>
      <c r="AP23" s="75">
        <f>$C23*INDEX(Curves!$D$8:$D$68,AP$4-$B23+1)</f>
        <v/>
      </c>
      <c r="AQ23" s="75">
        <f>$C23*INDEX(Curves!$D$8:$D$68,AQ$4-$B23+1)</f>
        <v/>
      </c>
      <c r="AR23" s="75">
        <f>$C23*INDEX(Curves!$D$8:$D$68,AR$4-$B23+1)</f>
        <v/>
      </c>
      <c r="AS23" s="75">
        <f>$C23*INDEX(Curves!$D$8:$D$68,AS$4-$B23+1)</f>
        <v/>
      </c>
      <c r="AT23" s="75">
        <f>$C23*INDEX(Curves!$D$8:$D$68,AT$4-$B23+1)</f>
        <v/>
      </c>
      <c r="AU23" s="75">
        <f>$C23*INDEX(Curves!$D$8:$D$68,AU$4-$B23+1)</f>
        <v/>
      </c>
      <c r="AV23" s="75">
        <f>$C23*INDEX(Curves!$D$8:$D$68,AV$4-$B23+1)</f>
        <v/>
      </c>
      <c r="AW23" s="75">
        <f>$C23*INDEX(Curves!$D$8:$D$68,AW$4-$B23+1)</f>
        <v/>
      </c>
      <c r="AX23" s="75">
        <f>$C23*INDEX(Curves!$D$8:$D$68,AX$4-$B23+1)</f>
        <v/>
      </c>
      <c r="AY23" s="75">
        <f>$C23*INDEX(Curves!$D$8:$D$68,AY$4-$B23+1)</f>
        <v/>
      </c>
      <c r="AZ23" s="75">
        <f>$C23*INDEX(Curves!$D$8:$D$68,AZ$4-$B23+1)</f>
        <v/>
      </c>
      <c r="BA23" s="75">
        <f>$C23*INDEX(Curves!$D$8:$D$68,BA$4-$B23+1)</f>
        <v/>
      </c>
      <c r="BB23" s="75">
        <f>$C23*INDEX(Curves!$D$8:$D$68,BB$4-$B23+1)</f>
        <v/>
      </c>
      <c r="BC23" s="75">
        <f>$C23*INDEX(Curves!$D$8:$D$68,BC$4-$B23+1)</f>
        <v/>
      </c>
      <c r="BD23" s="75">
        <f>$C23*INDEX(Curves!$D$8:$D$68,BD$4-$B23+1)</f>
        <v/>
      </c>
      <c r="BE23" s="75">
        <f>$C23*INDEX(Curves!$D$8:$D$68,BE$4-$B23+1)</f>
        <v/>
      </c>
      <c r="BF23" s="75">
        <f>$C23*INDEX(Curves!$D$8:$D$68,BF$4-$B23+1)</f>
        <v/>
      </c>
      <c r="BG23" s="75">
        <f>$C23*INDEX(Curves!$D$8:$D$68,BG$4-$B23+1)</f>
        <v/>
      </c>
      <c r="BH23" s="75">
        <f>$C23*INDEX(Curves!$D$8:$D$68,BH$4-$B23+1)</f>
        <v/>
      </c>
      <c r="BI23" s="75">
        <f>$C23*INDEX(Curves!$D$8:$D$68,BI$4-$B23+1)</f>
        <v/>
      </c>
      <c r="BJ23" s="75">
        <f>$C23*INDEX(Curves!$D$8:$D$68,BJ$4-$B23+1)</f>
        <v/>
      </c>
      <c r="BK23" s="75">
        <f>$C23*INDEX(Curves!$D$8:$D$68,BK$4-$B23+1)</f>
        <v/>
      </c>
      <c r="BL23" s="75">
        <f>$C23*INDEX(Curves!$D$8:$D$68,BL$4-$B23+1)</f>
        <v/>
      </c>
    </row>
    <row r="24">
      <c r="A24" s="74" t="inlineStr">
        <is>
          <t>Cohort month 15</t>
        </is>
      </c>
      <c r="B24" s="74" t="n">
        <v>15</v>
      </c>
      <c r="C24" s="17">
        <f>INDEX(Ops!$E$10:$BL$10,1,$B24)</f>
        <v/>
      </c>
      <c r="T24" s="75">
        <f>$C24*INDEX(Curves!$D$8:$D$68,T$4-$B24+1)</f>
        <v/>
      </c>
      <c r="U24" s="75">
        <f>$C24*INDEX(Curves!$D$8:$D$68,U$4-$B24+1)</f>
        <v/>
      </c>
      <c r="V24" s="75">
        <f>$C24*INDEX(Curves!$D$8:$D$68,V$4-$B24+1)</f>
        <v/>
      </c>
      <c r="W24" s="75">
        <f>$C24*INDEX(Curves!$D$8:$D$68,W$4-$B24+1)</f>
        <v/>
      </c>
      <c r="X24" s="75">
        <f>$C24*INDEX(Curves!$D$8:$D$68,X$4-$B24+1)</f>
        <v/>
      </c>
      <c r="Y24" s="75">
        <f>$C24*INDEX(Curves!$D$8:$D$68,Y$4-$B24+1)</f>
        <v/>
      </c>
      <c r="Z24" s="75">
        <f>$C24*INDEX(Curves!$D$8:$D$68,Z$4-$B24+1)</f>
        <v/>
      </c>
      <c r="AA24" s="75">
        <f>$C24*INDEX(Curves!$D$8:$D$68,AA$4-$B24+1)</f>
        <v/>
      </c>
      <c r="AB24" s="75">
        <f>$C24*INDEX(Curves!$D$8:$D$68,AB$4-$B24+1)</f>
        <v/>
      </c>
      <c r="AC24" s="75">
        <f>$C24*INDEX(Curves!$D$8:$D$68,AC$4-$B24+1)</f>
        <v/>
      </c>
      <c r="AD24" s="75">
        <f>$C24*INDEX(Curves!$D$8:$D$68,AD$4-$B24+1)</f>
        <v/>
      </c>
      <c r="AE24" s="75">
        <f>$C24*INDEX(Curves!$D$8:$D$68,AE$4-$B24+1)</f>
        <v/>
      </c>
      <c r="AF24" s="75">
        <f>$C24*INDEX(Curves!$D$8:$D$68,AF$4-$B24+1)</f>
        <v/>
      </c>
      <c r="AG24" s="75">
        <f>$C24*INDEX(Curves!$D$8:$D$68,AG$4-$B24+1)</f>
        <v/>
      </c>
      <c r="AH24" s="75">
        <f>$C24*INDEX(Curves!$D$8:$D$68,AH$4-$B24+1)</f>
        <v/>
      </c>
      <c r="AI24" s="75">
        <f>$C24*INDEX(Curves!$D$8:$D$68,AI$4-$B24+1)</f>
        <v/>
      </c>
      <c r="AJ24" s="75">
        <f>$C24*INDEX(Curves!$D$8:$D$68,AJ$4-$B24+1)</f>
        <v/>
      </c>
      <c r="AK24" s="75">
        <f>$C24*INDEX(Curves!$D$8:$D$68,AK$4-$B24+1)</f>
        <v/>
      </c>
      <c r="AL24" s="75">
        <f>$C24*INDEX(Curves!$D$8:$D$68,AL$4-$B24+1)</f>
        <v/>
      </c>
      <c r="AM24" s="75">
        <f>$C24*INDEX(Curves!$D$8:$D$68,AM$4-$B24+1)</f>
        <v/>
      </c>
      <c r="AN24" s="75">
        <f>$C24*INDEX(Curves!$D$8:$D$68,AN$4-$B24+1)</f>
        <v/>
      </c>
      <c r="AO24" s="75">
        <f>$C24*INDEX(Curves!$D$8:$D$68,AO$4-$B24+1)</f>
        <v/>
      </c>
      <c r="AP24" s="75">
        <f>$C24*INDEX(Curves!$D$8:$D$68,AP$4-$B24+1)</f>
        <v/>
      </c>
      <c r="AQ24" s="75">
        <f>$C24*INDEX(Curves!$D$8:$D$68,AQ$4-$B24+1)</f>
        <v/>
      </c>
      <c r="AR24" s="75">
        <f>$C24*INDEX(Curves!$D$8:$D$68,AR$4-$B24+1)</f>
        <v/>
      </c>
      <c r="AS24" s="75">
        <f>$C24*INDEX(Curves!$D$8:$D$68,AS$4-$B24+1)</f>
        <v/>
      </c>
      <c r="AT24" s="75">
        <f>$C24*INDEX(Curves!$D$8:$D$68,AT$4-$B24+1)</f>
        <v/>
      </c>
      <c r="AU24" s="75">
        <f>$C24*INDEX(Curves!$D$8:$D$68,AU$4-$B24+1)</f>
        <v/>
      </c>
      <c r="AV24" s="75">
        <f>$C24*INDEX(Curves!$D$8:$D$68,AV$4-$B24+1)</f>
        <v/>
      </c>
      <c r="AW24" s="75">
        <f>$C24*INDEX(Curves!$D$8:$D$68,AW$4-$B24+1)</f>
        <v/>
      </c>
      <c r="AX24" s="75">
        <f>$C24*INDEX(Curves!$D$8:$D$68,AX$4-$B24+1)</f>
        <v/>
      </c>
      <c r="AY24" s="75">
        <f>$C24*INDEX(Curves!$D$8:$D$68,AY$4-$B24+1)</f>
        <v/>
      </c>
      <c r="AZ24" s="75">
        <f>$C24*INDEX(Curves!$D$8:$D$68,AZ$4-$B24+1)</f>
        <v/>
      </c>
      <c r="BA24" s="75">
        <f>$C24*INDEX(Curves!$D$8:$D$68,BA$4-$B24+1)</f>
        <v/>
      </c>
      <c r="BB24" s="75">
        <f>$C24*INDEX(Curves!$D$8:$D$68,BB$4-$B24+1)</f>
        <v/>
      </c>
      <c r="BC24" s="75">
        <f>$C24*INDEX(Curves!$D$8:$D$68,BC$4-$B24+1)</f>
        <v/>
      </c>
      <c r="BD24" s="75">
        <f>$C24*INDEX(Curves!$D$8:$D$68,BD$4-$B24+1)</f>
        <v/>
      </c>
      <c r="BE24" s="75">
        <f>$C24*INDEX(Curves!$D$8:$D$68,BE$4-$B24+1)</f>
        <v/>
      </c>
      <c r="BF24" s="75">
        <f>$C24*INDEX(Curves!$D$8:$D$68,BF$4-$B24+1)</f>
        <v/>
      </c>
      <c r="BG24" s="75">
        <f>$C24*INDEX(Curves!$D$8:$D$68,BG$4-$B24+1)</f>
        <v/>
      </c>
      <c r="BH24" s="75">
        <f>$C24*INDEX(Curves!$D$8:$D$68,BH$4-$B24+1)</f>
        <v/>
      </c>
      <c r="BI24" s="75">
        <f>$C24*INDEX(Curves!$D$8:$D$68,BI$4-$B24+1)</f>
        <v/>
      </c>
      <c r="BJ24" s="75">
        <f>$C24*INDEX(Curves!$D$8:$D$68,BJ$4-$B24+1)</f>
        <v/>
      </c>
      <c r="BK24" s="75">
        <f>$C24*INDEX(Curves!$D$8:$D$68,BK$4-$B24+1)</f>
        <v/>
      </c>
      <c r="BL24" s="75">
        <f>$C24*INDEX(Curves!$D$8:$D$68,BL$4-$B24+1)</f>
        <v/>
      </c>
    </row>
    <row r="25">
      <c r="A25" s="74" t="inlineStr">
        <is>
          <t>Cohort month 16</t>
        </is>
      </c>
      <c r="B25" s="74" t="n">
        <v>16</v>
      </c>
      <c r="C25" s="17">
        <f>INDEX(Ops!$E$10:$BL$10,1,$B25)</f>
        <v/>
      </c>
      <c r="U25" s="75">
        <f>$C25*INDEX(Curves!$D$8:$D$68,U$4-$B25+1)</f>
        <v/>
      </c>
      <c r="V25" s="75">
        <f>$C25*INDEX(Curves!$D$8:$D$68,V$4-$B25+1)</f>
        <v/>
      </c>
      <c r="W25" s="75">
        <f>$C25*INDEX(Curves!$D$8:$D$68,W$4-$B25+1)</f>
        <v/>
      </c>
      <c r="X25" s="75">
        <f>$C25*INDEX(Curves!$D$8:$D$68,X$4-$B25+1)</f>
        <v/>
      </c>
      <c r="Y25" s="75">
        <f>$C25*INDEX(Curves!$D$8:$D$68,Y$4-$B25+1)</f>
        <v/>
      </c>
      <c r="Z25" s="75">
        <f>$C25*INDEX(Curves!$D$8:$D$68,Z$4-$B25+1)</f>
        <v/>
      </c>
      <c r="AA25" s="75">
        <f>$C25*INDEX(Curves!$D$8:$D$68,AA$4-$B25+1)</f>
        <v/>
      </c>
      <c r="AB25" s="75">
        <f>$C25*INDEX(Curves!$D$8:$D$68,AB$4-$B25+1)</f>
        <v/>
      </c>
      <c r="AC25" s="75">
        <f>$C25*INDEX(Curves!$D$8:$D$68,AC$4-$B25+1)</f>
        <v/>
      </c>
      <c r="AD25" s="75">
        <f>$C25*INDEX(Curves!$D$8:$D$68,AD$4-$B25+1)</f>
        <v/>
      </c>
      <c r="AE25" s="75">
        <f>$C25*INDEX(Curves!$D$8:$D$68,AE$4-$B25+1)</f>
        <v/>
      </c>
      <c r="AF25" s="75">
        <f>$C25*INDEX(Curves!$D$8:$D$68,AF$4-$B25+1)</f>
        <v/>
      </c>
      <c r="AG25" s="75">
        <f>$C25*INDEX(Curves!$D$8:$D$68,AG$4-$B25+1)</f>
        <v/>
      </c>
      <c r="AH25" s="75">
        <f>$C25*INDEX(Curves!$D$8:$D$68,AH$4-$B25+1)</f>
        <v/>
      </c>
      <c r="AI25" s="75">
        <f>$C25*INDEX(Curves!$D$8:$D$68,AI$4-$B25+1)</f>
        <v/>
      </c>
      <c r="AJ25" s="75">
        <f>$C25*INDEX(Curves!$D$8:$D$68,AJ$4-$B25+1)</f>
        <v/>
      </c>
      <c r="AK25" s="75">
        <f>$C25*INDEX(Curves!$D$8:$D$68,AK$4-$B25+1)</f>
        <v/>
      </c>
      <c r="AL25" s="75">
        <f>$C25*INDEX(Curves!$D$8:$D$68,AL$4-$B25+1)</f>
        <v/>
      </c>
      <c r="AM25" s="75">
        <f>$C25*INDEX(Curves!$D$8:$D$68,AM$4-$B25+1)</f>
        <v/>
      </c>
      <c r="AN25" s="75">
        <f>$C25*INDEX(Curves!$D$8:$D$68,AN$4-$B25+1)</f>
        <v/>
      </c>
      <c r="AO25" s="75">
        <f>$C25*INDEX(Curves!$D$8:$D$68,AO$4-$B25+1)</f>
        <v/>
      </c>
      <c r="AP25" s="75">
        <f>$C25*INDEX(Curves!$D$8:$D$68,AP$4-$B25+1)</f>
        <v/>
      </c>
      <c r="AQ25" s="75">
        <f>$C25*INDEX(Curves!$D$8:$D$68,AQ$4-$B25+1)</f>
        <v/>
      </c>
      <c r="AR25" s="75">
        <f>$C25*INDEX(Curves!$D$8:$D$68,AR$4-$B25+1)</f>
        <v/>
      </c>
      <c r="AS25" s="75">
        <f>$C25*INDEX(Curves!$D$8:$D$68,AS$4-$B25+1)</f>
        <v/>
      </c>
      <c r="AT25" s="75">
        <f>$C25*INDEX(Curves!$D$8:$D$68,AT$4-$B25+1)</f>
        <v/>
      </c>
      <c r="AU25" s="75">
        <f>$C25*INDEX(Curves!$D$8:$D$68,AU$4-$B25+1)</f>
        <v/>
      </c>
      <c r="AV25" s="75">
        <f>$C25*INDEX(Curves!$D$8:$D$68,AV$4-$B25+1)</f>
        <v/>
      </c>
      <c r="AW25" s="75">
        <f>$C25*INDEX(Curves!$D$8:$D$68,AW$4-$B25+1)</f>
        <v/>
      </c>
      <c r="AX25" s="75">
        <f>$C25*INDEX(Curves!$D$8:$D$68,AX$4-$B25+1)</f>
        <v/>
      </c>
      <c r="AY25" s="75">
        <f>$C25*INDEX(Curves!$D$8:$D$68,AY$4-$B25+1)</f>
        <v/>
      </c>
      <c r="AZ25" s="75">
        <f>$C25*INDEX(Curves!$D$8:$D$68,AZ$4-$B25+1)</f>
        <v/>
      </c>
      <c r="BA25" s="75">
        <f>$C25*INDEX(Curves!$D$8:$D$68,BA$4-$B25+1)</f>
        <v/>
      </c>
      <c r="BB25" s="75">
        <f>$C25*INDEX(Curves!$D$8:$D$68,BB$4-$B25+1)</f>
        <v/>
      </c>
      <c r="BC25" s="75">
        <f>$C25*INDEX(Curves!$D$8:$D$68,BC$4-$B25+1)</f>
        <v/>
      </c>
      <c r="BD25" s="75">
        <f>$C25*INDEX(Curves!$D$8:$D$68,BD$4-$B25+1)</f>
        <v/>
      </c>
      <c r="BE25" s="75">
        <f>$C25*INDEX(Curves!$D$8:$D$68,BE$4-$B25+1)</f>
        <v/>
      </c>
      <c r="BF25" s="75">
        <f>$C25*INDEX(Curves!$D$8:$D$68,BF$4-$B25+1)</f>
        <v/>
      </c>
      <c r="BG25" s="75">
        <f>$C25*INDEX(Curves!$D$8:$D$68,BG$4-$B25+1)</f>
        <v/>
      </c>
      <c r="BH25" s="75">
        <f>$C25*INDEX(Curves!$D$8:$D$68,BH$4-$B25+1)</f>
        <v/>
      </c>
      <c r="BI25" s="75">
        <f>$C25*INDEX(Curves!$D$8:$D$68,BI$4-$B25+1)</f>
        <v/>
      </c>
      <c r="BJ25" s="75">
        <f>$C25*INDEX(Curves!$D$8:$D$68,BJ$4-$B25+1)</f>
        <v/>
      </c>
      <c r="BK25" s="75">
        <f>$C25*INDEX(Curves!$D$8:$D$68,BK$4-$B25+1)</f>
        <v/>
      </c>
      <c r="BL25" s="75">
        <f>$C25*INDEX(Curves!$D$8:$D$68,BL$4-$B25+1)</f>
        <v/>
      </c>
    </row>
    <row r="26">
      <c r="A26" s="74" t="inlineStr">
        <is>
          <t>Cohort month 17</t>
        </is>
      </c>
      <c r="B26" s="74" t="n">
        <v>17</v>
      </c>
      <c r="C26" s="17">
        <f>INDEX(Ops!$E$10:$BL$10,1,$B26)</f>
        <v/>
      </c>
      <c r="V26" s="75">
        <f>$C26*INDEX(Curves!$D$8:$D$68,V$4-$B26+1)</f>
        <v/>
      </c>
      <c r="W26" s="75">
        <f>$C26*INDEX(Curves!$D$8:$D$68,W$4-$B26+1)</f>
        <v/>
      </c>
      <c r="X26" s="75">
        <f>$C26*INDEX(Curves!$D$8:$D$68,X$4-$B26+1)</f>
        <v/>
      </c>
      <c r="Y26" s="75">
        <f>$C26*INDEX(Curves!$D$8:$D$68,Y$4-$B26+1)</f>
        <v/>
      </c>
      <c r="Z26" s="75">
        <f>$C26*INDEX(Curves!$D$8:$D$68,Z$4-$B26+1)</f>
        <v/>
      </c>
      <c r="AA26" s="75">
        <f>$C26*INDEX(Curves!$D$8:$D$68,AA$4-$B26+1)</f>
        <v/>
      </c>
      <c r="AB26" s="75">
        <f>$C26*INDEX(Curves!$D$8:$D$68,AB$4-$B26+1)</f>
        <v/>
      </c>
      <c r="AC26" s="75">
        <f>$C26*INDEX(Curves!$D$8:$D$68,AC$4-$B26+1)</f>
        <v/>
      </c>
      <c r="AD26" s="75">
        <f>$C26*INDEX(Curves!$D$8:$D$68,AD$4-$B26+1)</f>
        <v/>
      </c>
      <c r="AE26" s="75">
        <f>$C26*INDEX(Curves!$D$8:$D$68,AE$4-$B26+1)</f>
        <v/>
      </c>
      <c r="AF26" s="75">
        <f>$C26*INDEX(Curves!$D$8:$D$68,AF$4-$B26+1)</f>
        <v/>
      </c>
      <c r="AG26" s="75">
        <f>$C26*INDEX(Curves!$D$8:$D$68,AG$4-$B26+1)</f>
        <v/>
      </c>
      <c r="AH26" s="75">
        <f>$C26*INDEX(Curves!$D$8:$D$68,AH$4-$B26+1)</f>
        <v/>
      </c>
      <c r="AI26" s="75">
        <f>$C26*INDEX(Curves!$D$8:$D$68,AI$4-$B26+1)</f>
        <v/>
      </c>
      <c r="AJ26" s="75">
        <f>$C26*INDEX(Curves!$D$8:$D$68,AJ$4-$B26+1)</f>
        <v/>
      </c>
      <c r="AK26" s="75">
        <f>$C26*INDEX(Curves!$D$8:$D$68,AK$4-$B26+1)</f>
        <v/>
      </c>
      <c r="AL26" s="75">
        <f>$C26*INDEX(Curves!$D$8:$D$68,AL$4-$B26+1)</f>
        <v/>
      </c>
      <c r="AM26" s="75">
        <f>$C26*INDEX(Curves!$D$8:$D$68,AM$4-$B26+1)</f>
        <v/>
      </c>
      <c r="AN26" s="75">
        <f>$C26*INDEX(Curves!$D$8:$D$68,AN$4-$B26+1)</f>
        <v/>
      </c>
      <c r="AO26" s="75">
        <f>$C26*INDEX(Curves!$D$8:$D$68,AO$4-$B26+1)</f>
        <v/>
      </c>
      <c r="AP26" s="75">
        <f>$C26*INDEX(Curves!$D$8:$D$68,AP$4-$B26+1)</f>
        <v/>
      </c>
      <c r="AQ26" s="75">
        <f>$C26*INDEX(Curves!$D$8:$D$68,AQ$4-$B26+1)</f>
        <v/>
      </c>
      <c r="AR26" s="75">
        <f>$C26*INDEX(Curves!$D$8:$D$68,AR$4-$B26+1)</f>
        <v/>
      </c>
      <c r="AS26" s="75">
        <f>$C26*INDEX(Curves!$D$8:$D$68,AS$4-$B26+1)</f>
        <v/>
      </c>
      <c r="AT26" s="75">
        <f>$C26*INDEX(Curves!$D$8:$D$68,AT$4-$B26+1)</f>
        <v/>
      </c>
      <c r="AU26" s="75">
        <f>$C26*INDEX(Curves!$D$8:$D$68,AU$4-$B26+1)</f>
        <v/>
      </c>
      <c r="AV26" s="75">
        <f>$C26*INDEX(Curves!$D$8:$D$68,AV$4-$B26+1)</f>
        <v/>
      </c>
      <c r="AW26" s="75">
        <f>$C26*INDEX(Curves!$D$8:$D$68,AW$4-$B26+1)</f>
        <v/>
      </c>
      <c r="AX26" s="75">
        <f>$C26*INDEX(Curves!$D$8:$D$68,AX$4-$B26+1)</f>
        <v/>
      </c>
      <c r="AY26" s="75">
        <f>$C26*INDEX(Curves!$D$8:$D$68,AY$4-$B26+1)</f>
        <v/>
      </c>
      <c r="AZ26" s="75">
        <f>$C26*INDEX(Curves!$D$8:$D$68,AZ$4-$B26+1)</f>
        <v/>
      </c>
      <c r="BA26" s="75">
        <f>$C26*INDEX(Curves!$D$8:$D$68,BA$4-$B26+1)</f>
        <v/>
      </c>
      <c r="BB26" s="75">
        <f>$C26*INDEX(Curves!$D$8:$D$68,BB$4-$B26+1)</f>
        <v/>
      </c>
      <c r="BC26" s="75">
        <f>$C26*INDEX(Curves!$D$8:$D$68,BC$4-$B26+1)</f>
        <v/>
      </c>
      <c r="BD26" s="75">
        <f>$C26*INDEX(Curves!$D$8:$D$68,BD$4-$B26+1)</f>
        <v/>
      </c>
      <c r="BE26" s="75">
        <f>$C26*INDEX(Curves!$D$8:$D$68,BE$4-$B26+1)</f>
        <v/>
      </c>
      <c r="BF26" s="75">
        <f>$C26*INDEX(Curves!$D$8:$D$68,BF$4-$B26+1)</f>
        <v/>
      </c>
      <c r="BG26" s="75">
        <f>$C26*INDEX(Curves!$D$8:$D$68,BG$4-$B26+1)</f>
        <v/>
      </c>
      <c r="BH26" s="75">
        <f>$C26*INDEX(Curves!$D$8:$D$68,BH$4-$B26+1)</f>
        <v/>
      </c>
      <c r="BI26" s="75">
        <f>$C26*INDEX(Curves!$D$8:$D$68,BI$4-$B26+1)</f>
        <v/>
      </c>
      <c r="BJ26" s="75">
        <f>$C26*INDEX(Curves!$D$8:$D$68,BJ$4-$B26+1)</f>
        <v/>
      </c>
      <c r="BK26" s="75">
        <f>$C26*INDEX(Curves!$D$8:$D$68,BK$4-$B26+1)</f>
        <v/>
      </c>
      <c r="BL26" s="75">
        <f>$C26*INDEX(Curves!$D$8:$D$68,BL$4-$B26+1)</f>
        <v/>
      </c>
    </row>
    <row r="27">
      <c r="A27" s="74" t="inlineStr">
        <is>
          <t>Cohort month 18</t>
        </is>
      </c>
      <c r="B27" s="74" t="n">
        <v>18</v>
      </c>
      <c r="C27" s="17">
        <f>INDEX(Ops!$E$10:$BL$10,1,$B27)</f>
        <v/>
      </c>
      <c r="W27" s="75">
        <f>$C27*INDEX(Curves!$D$8:$D$68,W$4-$B27+1)</f>
        <v/>
      </c>
      <c r="X27" s="75">
        <f>$C27*INDEX(Curves!$D$8:$D$68,X$4-$B27+1)</f>
        <v/>
      </c>
      <c r="Y27" s="75">
        <f>$C27*INDEX(Curves!$D$8:$D$68,Y$4-$B27+1)</f>
        <v/>
      </c>
      <c r="Z27" s="75">
        <f>$C27*INDEX(Curves!$D$8:$D$68,Z$4-$B27+1)</f>
        <v/>
      </c>
      <c r="AA27" s="75">
        <f>$C27*INDEX(Curves!$D$8:$D$68,AA$4-$B27+1)</f>
        <v/>
      </c>
      <c r="AB27" s="75">
        <f>$C27*INDEX(Curves!$D$8:$D$68,AB$4-$B27+1)</f>
        <v/>
      </c>
      <c r="AC27" s="75">
        <f>$C27*INDEX(Curves!$D$8:$D$68,AC$4-$B27+1)</f>
        <v/>
      </c>
      <c r="AD27" s="75">
        <f>$C27*INDEX(Curves!$D$8:$D$68,AD$4-$B27+1)</f>
        <v/>
      </c>
      <c r="AE27" s="75">
        <f>$C27*INDEX(Curves!$D$8:$D$68,AE$4-$B27+1)</f>
        <v/>
      </c>
      <c r="AF27" s="75">
        <f>$C27*INDEX(Curves!$D$8:$D$68,AF$4-$B27+1)</f>
        <v/>
      </c>
      <c r="AG27" s="75">
        <f>$C27*INDEX(Curves!$D$8:$D$68,AG$4-$B27+1)</f>
        <v/>
      </c>
      <c r="AH27" s="75">
        <f>$C27*INDEX(Curves!$D$8:$D$68,AH$4-$B27+1)</f>
        <v/>
      </c>
      <c r="AI27" s="75">
        <f>$C27*INDEX(Curves!$D$8:$D$68,AI$4-$B27+1)</f>
        <v/>
      </c>
      <c r="AJ27" s="75">
        <f>$C27*INDEX(Curves!$D$8:$D$68,AJ$4-$B27+1)</f>
        <v/>
      </c>
      <c r="AK27" s="75">
        <f>$C27*INDEX(Curves!$D$8:$D$68,AK$4-$B27+1)</f>
        <v/>
      </c>
      <c r="AL27" s="75">
        <f>$C27*INDEX(Curves!$D$8:$D$68,AL$4-$B27+1)</f>
        <v/>
      </c>
      <c r="AM27" s="75">
        <f>$C27*INDEX(Curves!$D$8:$D$68,AM$4-$B27+1)</f>
        <v/>
      </c>
      <c r="AN27" s="75">
        <f>$C27*INDEX(Curves!$D$8:$D$68,AN$4-$B27+1)</f>
        <v/>
      </c>
      <c r="AO27" s="75">
        <f>$C27*INDEX(Curves!$D$8:$D$68,AO$4-$B27+1)</f>
        <v/>
      </c>
      <c r="AP27" s="75">
        <f>$C27*INDEX(Curves!$D$8:$D$68,AP$4-$B27+1)</f>
        <v/>
      </c>
      <c r="AQ27" s="75">
        <f>$C27*INDEX(Curves!$D$8:$D$68,AQ$4-$B27+1)</f>
        <v/>
      </c>
      <c r="AR27" s="75">
        <f>$C27*INDEX(Curves!$D$8:$D$68,AR$4-$B27+1)</f>
        <v/>
      </c>
      <c r="AS27" s="75">
        <f>$C27*INDEX(Curves!$D$8:$D$68,AS$4-$B27+1)</f>
        <v/>
      </c>
      <c r="AT27" s="75">
        <f>$C27*INDEX(Curves!$D$8:$D$68,AT$4-$B27+1)</f>
        <v/>
      </c>
      <c r="AU27" s="75">
        <f>$C27*INDEX(Curves!$D$8:$D$68,AU$4-$B27+1)</f>
        <v/>
      </c>
      <c r="AV27" s="75">
        <f>$C27*INDEX(Curves!$D$8:$D$68,AV$4-$B27+1)</f>
        <v/>
      </c>
      <c r="AW27" s="75">
        <f>$C27*INDEX(Curves!$D$8:$D$68,AW$4-$B27+1)</f>
        <v/>
      </c>
      <c r="AX27" s="75">
        <f>$C27*INDEX(Curves!$D$8:$D$68,AX$4-$B27+1)</f>
        <v/>
      </c>
      <c r="AY27" s="75">
        <f>$C27*INDEX(Curves!$D$8:$D$68,AY$4-$B27+1)</f>
        <v/>
      </c>
      <c r="AZ27" s="75">
        <f>$C27*INDEX(Curves!$D$8:$D$68,AZ$4-$B27+1)</f>
        <v/>
      </c>
      <c r="BA27" s="75">
        <f>$C27*INDEX(Curves!$D$8:$D$68,BA$4-$B27+1)</f>
        <v/>
      </c>
      <c r="BB27" s="75">
        <f>$C27*INDEX(Curves!$D$8:$D$68,BB$4-$B27+1)</f>
        <v/>
      </c>
      <c r="BC27" s="75">
        <f>$C27*INDEX(Curves!$D$8:$D$68,BC$4-$B27+1)</f>
        <v/>
      </c>
      <c r="BD27" s="75">
        <f>$C27*INDEX(Curves!$D$8:$D$68,BD$4-$B27+1)</f>
        <v/>
      </c>
      <c r="BE27" s="75">
        <f>$C27*INDEX(Curves!$D$8:$D$68,BE$4-$B27+1)</f>
        <v/>
      </c>
      <c r="BF27" s="75">
        <f>$C27*INDEX(Curves!$D$8:$D$68,BF$4-$B27+1)</f>
        <v/>
      </c>
      <c r="BG27" s="75">
        <f>$C27*INDEX(Curves!$D$8:$D$68,BG$4-$B27+1)</f>
        <v/>
      </c>
      <c r="BH27" s="75">
        <f>$C27*INDEX(Curves!$D$8:$D$68,BH$4-$B27+1)</f>
        <v/>
      </c>
      <c r="BI27" s="75">
        <f>$C27*INDEX(Curves!$D$8:$D$68,BI$4-$B27+1)</f>
        <v/>
      </c>
      <c r="BJ27" s="75">
        <f>$C27*INDEX(Curves!$D$8:$D$68,BJ$4-$B27+1)</f>
        <v/>
      </c>
      <c r="BK27" s="75">
        <f>$C27*INDEX(Curves!$D$8:$D$68,BK$4-$B27+1)</f>
        <v/>
      </c>
      <c r="BL27" s="75">
        <f>$C27*INDEX(Curves!$D$8:$D$68,BL$4-$B27+1)</f>
        <v/>
      </c>
    </row>
    <row r="28">
      <c r="A28" s="74" t="inlineStr">
        <is>
          <t>Cohort month 19</t>
        </is>
      </c>
      <c r="B28" s="74" t="n">
        <v>19</v>
      </c>
      <c r="C28" s="17">
        <f>INDEX(Ops!$E$10:$BL$10,1,$B28)</f>
        <v/>
      </c>
      <c r="X28" s="75">
        <f>$C28*INDEX(Curves!$D$8:$D$68,X$4-$B28+1)</f>
        <v/>
      </c>
      <c r="Y28" s="75">
        <f>$C28*INDEX(Curves!$D$8:$D$68,Y$4-$B28+1)</f>
        <v/>
      </c>
      <c r="Z28" s="75">
        <f>$C28*INDEX(Curves!$D$8:$D$68,Z$4-$B28+1)</f>
        <v/>
      </c>
      <c r="AA28" s="75">
        <f>$C28*INDEX(Curves!$D$8:$D$68,AA$4-$B28+1)</f>
        <v/>
      </c>
      <c r="AB28" s="75">
        <f>$C28*INDEX(Curves!$D$8:$D$68,AB$4-$B28+1)</f>
        <v/>
      </c>
      <c r="AC28" s="75">
        <f>$C28*INDEX(Curves!$D$8:$D$68,AC$4-$B28+1)</f>
        <v/>
      </c>
      <c r="AD28" s="75">
        <f>$C28*INDEX(Curves!$D$8:$D$68,AD$4-$B28+1)</f>
        <v/>
      </c>
      <c r="AE28" s="75">
        <f>$C28*INDEX(Curves!$D$8:$D$68,AE$4-$B28+1)</f>
        <v/>
      </c>
      <c r="AF28" s="75">
        <f>$C28*INDEX(Curves!$D$8:$D$68,AF$4-$B28+1)</f>
        <v/>
      </c>
      <c r="AG28" s="75">
        <f>$C28*INDEX(Curves!$D$8:$D$68,AG$4-$B28+1)</f>
        <v/>
      </c>
      <c r="AH28" s="75">
        <f>$C28*INDEX(Curves!$D$8:$D$68,AH$4-$B28+1)</f>
        <v/>
      </c>
      <c r="AI28" s="75">
        <f>$C28*INDEX(Curves!$D$8:$D$68,AI$4-$B28+1)</f>
        <v/>
      </c>
      <c r="AJ28" s="75">
        <f>$C28*INDEX(Curves!$D$8:$D$68,AJ$4-$B28+1)</f>
        <v/>
      </c>
      <c r="AK28" s="75">
        <f>$C28*INDEX(Curves!$D$8:$D$68,AK$4-$B28+1)</f>
        <v/>
      </c>
      <c r="AL28" s="75">
        <f>$C28*INDEX(Curves!$D$8:$D$68,AL$4-$B28+1)</f>
        <v/>
      </c>
      <c r="AM28" s="75">
        <f>$C28*INDEX(Curves!$D$8:$D$68,AM$4-$B28+1)</f>
        <v/>
      </c>
      <c r="AN28" s="75">
        <f>$C28*INDEX(Curves!$D$8:$D$68,AN$4-$B28+1)</f>
        <v/>
      </c>
      <c r="AO28" s="75">
        <f>$C28*INDEX(Curves!$D$8:$D$68,AO$4-$B28+1)</f>
        <v/>
      </c>
      <c r="AP28" s="75">
        <f>$C28*INDEX(Curves!$D$8:$D$68,AP$4-$B28+1)</f>
        <v/>
      </c>
      <c r="AQ28" s="75">
        <f>$C28*INDEX(Curves!$D$8:$D$68,AQ$4-$B28+1)</f>
        <v/>
      </c>
      <c r="AR28" s="75">
        <f>$C28*INDEX(Curves!$D$8:$D$68,AR$4-$B28+1)</f>
        <v/>
      </c>
      <c r="AS28" s="75">
        <f>$C28*INDEX(Curves!$D$8:$D$68,AS$4-$B28+1)</f>
        <v/>
      </c>
      <c r="AT28" s="75">
        <f>$C28*INDEX(Curves!$D$8:$D$68,AT$4-$B28+1)</f>
        <v/>
      </c>
      <c r="AU28" s="75">
        <f>$C28*INDEX(Curves!$D$8:$D$68,AU$4-$B28+1)</f>
        <v/>
      </c>
      <c r="AV28" s="75">
        <f>$C28*INDEX(Curves!$D$8:$D$68,AV$4-$B28+1)</f>
        <v/>
      </c>
      <c r="AW28" s="75">
        <f>$C28*INDEX(Curves!$D$8:$D$68,AW$4-$B28+1)</f>
        <v/>
      </c>
      <c r="AX28" s="75">
        <f>$C28*INDEX(Curves!$D$8:$D$68,AX$4-$B28+1)</f>
        <v/>
      </c>
      <c r="AY28" s="75">
        <f>$C28*INDEX(Curves!$D$8:$D$68,AY$4-$B28+1)</f>
        <v/>
      </c>
      <c r="AZ28" s="75">
        <f>$C28*INDEX(Curves!$D$8:$D$68,AZ$4-$B28+1)</f>
        <v/>
      </c>
      <c r="BA28" s="75">
        <f>$C28*INDEX(Curves!$D$8:$D$68,BA$4-$B28+1)</f>
        <v/>
      </c>
      <c r="BB28" s="75">
        <f>$C28*INDEX(Curves!$D$8:$D$68,BB$4-$B28+1)</f>
        <v/>
      </c>
      <c r="BC28" s="75">
        <f>$C28*INDEX(Curves!$D$8:$D$68,BC$4-$B28+1)</f>
        <v/>
      </c>
      <c r="BD28" s="75">
        <f>$C28*INDEX(Curves!$D$8:$D$68,BD$4-$B28+1)</f>
        <v/>
      </c>
      <c r="BE28" s="75">
        <f>$C28*INDEX(Curves!$D$8:$D$68,BE$4-$B28+1)</f>
        <v/>
      </c>
      <c r="BF28" s="75">
        <f>$C28*INDEX(Curves!$D$8:$D$68,BF$4-$B28+1)</f>
        <v/>
      </c>
      <c r="BG28" s="75">
        <f>$C28*INDEX(Curves!$D$8:$D$68,BG$4-$B28+1)</f>
        <v/>
      </c>
      <c r="BH28" s="75">
        <f>$C28*INDEX(Curves!$D$8:$D$68,BH$4-$B28+1)</f>
        <v/>
      </c>
      <c r="BI28" s="75">
        <f>$C28*INDEX(Curves!$D$8:$D$68,BI$4-$B28+1)</f>
        <v/>
      </c>
      <c r="BJ28" s="75">
        <f>$C28*INDEX(Curves!$D$8:$D$68,BJ$4-$B28+1)</f>
        <v/>
      </c>
      <c r="BK28" s="75">
        <f>$C28*INDEX(Curves!$D$8:$D$68,BK$4-$B28+1)</f>
        <v/>
      </c>
      <c r="BL28" s="75">
        <f>$C28*INDEX(Curves!$D$8:$D$68,BL$4-$B28+1)</f>
        <v/>
      </c>
    </row>
    <row r="29">
      <c r="A29" s="74" t="inlineStr">
        <is>
          <t>Cohort month 20</t>
        </is>
      </c>
      <c r="B29" s="74" t="n">
        <v>20</v>
      </c>
      <c r="C29" s="17">
        <f>INDEX(Ops!$E$10:$BL$10,1,$B29)</f>
        <v/>
      </c>
      <c r="Y29" s="75">
        <f>$C29*INDEX(Curves!$D$8:$D$68,Y$4-$B29+1)</f>
        <v/>
      </c>
      <c r="Z29" s="75">
        <f>$C29*INDEX(Curves!$D$8:$D$68,Z$4-$B29+1)</f>
        <v/>
      </c>
      <c r="AA29" s="75">
        <f>$C29*INDEX(Curves!$D$8:$D$68,AA$4-$B29+1)</f>
        <v/>
      </c>
      <c r="AB29" s="75">
        <f>$C29*INDEX(Curves!$D$8:$D$68,AB$4-$B29+1)</f>
        <v/>
      </c>
      <c r="AC29" s="75">
        <f>$C29*INDEX(Curves!$D$8:$D$68,AC$4-$B29+1)</f>
        <v/>
      </c>
      <c r="AD29" s="75">
        <f>$C29*INDEX(Curves!$D$8:$D$68,AD$4-$B29+1)</f>
        <v/>
      </c>
      <c r="AE29" s="75">
        <f>$C29*INDEX(Curves!$D$8:$D$68,AE$4-$B29+1)</f>
        <v/>
      </c>
      <c r="AF29" s="75">
        <f>$C29*INDEX(Curves!$D$8:$D$68,AF$4-$B29+1)</f>
        <v/>
      </c>
      <c r="AG29" s="75">
        <f>$C29*INDEX(Curves!$D$8:$D$68,AG$4-$B29+1)</f>
        <v/>
      </c>
      <c r="AH29" s="75">
        <f>$C29*INDEX(Curves!$D$8:$D$68,AH$4-$B29+1)</f>
        <v/>
      </c>
      <c r="AI29" s="75">
        <f>$C29*INDEX(Curves!$D$8:$D$68,AI$4-$B29+1)</f>
        <v/>
      </c>
      <c r="AJ29" s="75">
        <f>$C29*INDEX(Curves!$D$8:$D$68,AJ$4-$B29+1)</f>
        <v/>
      </c>
      <c r="AK29" s="75">
        <f>$C29*INDEX(Curves!$D$8:$D$68,AK$4-$B29+1)</f>
        <v/>
      </c>
      <c r="AL29" s="75">
        <f>$C29*INDEX(Curves!$D$8:$D$68,AL$4-$B29+1)</f>
        <v/>
      </c>
      <c r="AM29" s="75">
        <f>$C29*INDEX(Curves!$D$8:$D$68,AM$4-$B29+1)</f>
        <v/>
      </c>
      <c r="AN29" s="75">
        <f>$C29*INDEX(Curves!$D$8:$D$68,AN$4-$B29+1)</f>
        <v/>
      </c>
      <c r="AO29" s="75">
        <f>$C29*INDEX(Curves!$D$8:$D$68,AO$4-$B29+1)</f>
        <v/>
      </c>
      <c r="AP29" s="75">
        <f>$C29*INDEX(Curves!$D$8:$D$68,AP$4-$B29+1)</f>
        <v/>
      </c>
      <c r="AQ29" s="75">
        <f>$C29*INDEX(Curves!$D$8:$D$68,AQ$4-$B29+1)</f>
        <v/>
      </c>
      <c r="AR29" s="75">
        <f>$C29*INDEX(Curves!$D$8:$D$68,AR$4-$B29+1)</f>
        <v/>
      </c>
      <c r="AS29" s="75">
        <f>$C29*INDEX(Curves!$D$8:$D$68,AS$4-$B29+1)</f>
        <v/>
      </c>
      <c r="AT29" s="75">
        <f>$C29*INDEX(Curves!$D$8:$D$68,AT$4-$B29+1)</f>
        <v/>
      </c>
      <c r="AU29" s="75">
        <f>$C29*INDEX(Curves!$D$8:$D$68,AU$4-$B29+1)</f>
        <v/>
      </c>
      <c r="AV29" s="75">
        <f>$C29*INDEX(Curves!$D$8:$D$68,AV$4-$B29+1)</f>
        <v/>
      </c>
      <c r="AW29" s="75">
        <f>$C29*INDEX(Curves!$D$8:$D$68,AW$4-$B29+1)</f>
        <v/>
      </c>
      <c r="AX29" s="75">
        <f>$C29*INDEX(Curves!$D$8:$D$68,AX$4-$B29+1)</f>
        <v/>
      </c>
      <c r="AY29" s="75">
        <f>$C29*INDEX(Curves!$D$8:$D$68,AY$4-$B29+1)</f>
        <v/>
      </c>
      <c r="AZ29" s="75">
        <f>$C29*INDEX(Curves!$D$8:$D$68,AZ$4-$B29+1)</f>
        <v/>
      </c>
      <c r="BA29" s="75">
        <f>$C29*INDEX(Curves!$D$8:$D$68,BA$4-$B29+1)</f>
        <v/>
      </c>
      <c r="BB29" s="75">
        <f>$C29*INDEX(Curves!$D$8:$D$68,BB$4-$B29+1)</f>
        <v/>
      </c>
      <c r="BC29" s="75">
        <f>$C29*INDEX(Curves!$D$8:$D$68,BC$4-$B29+1)</f>
        <v/>
      </c>
      <c r="BD29" s="75">
        <f>$C29*INDEX(Curves!$D$8:$D$68,BD$4-$B29+1)</f>
        <v/>
      </c>
      <c r="BE29" s="75">
        <f>$C29*INDEX(Curves!$D$8:$D$68,BE$4-$B29+1)</f>
        <v/>
      </c>
      <c r="BF29" s="75">
        <f>$C29*INDEX(Curves!$D$8:$D$68,BF$4-$B29+1)</f>
        <v/>
      </c>
      <c r="BG29" s="75">
        <f>$C29*INDEX(Curves!$D$8:$D$68,BG$4-$B29+1)</f>
        <v/>
      </c>
      <c r="BH29" s="75">
        <f>$C29*INDEX(Curves!$D$8:$D$68,BH$4-$B29+1)</f>
        <v/>
      </c>
      <c r="BI29" s="75">
        <f>$C29*INDEX(Curves!$D$8:$D$68,BI$4-$B29+1)</f>
        <v/>
      </c>
      <c r="BJ29" s="75">
        <f>$C29*INDEX(Curves!$D$8:$D$68,BJ$4-$B29+1)</f>
        <v/>
      </c>
      <c r="BK29" s="75">
        <f>$C29*INDEX(Curves!$D$8:$D$68,BK$4-$B29+1)</f>
        <v/>
      </c>
      <c r="BL29" s="75">
        <f>$C29*INDEX(Curves!$D$8:$D$68,BL$4-$B29+1)</f>
        <v/>
      </c>
    </row>
    <row r="30">
      <c r="A30" s="74" t="inlineStr">
        <is>
          <t>Cohort month 21</t>
        </is>
      </c>
      <c r="B30" s="74" t="n">
        <v>21</v>
      </c>
      <c r="C30" s="17">
        <f>INDEX(Ops!$E$10:$BL$10,1,$B30)</f>
        <v/>
      </c>
      <c r="Z30" s="75">
        <f>$C30*INDEX(Curves!$D$8:$D$68,Z$4-$B30+1)</f>
        <v/>
      </c>
      <c r="AA30" s="75">
        <f>$C30*INDEX(Curves!$D$8:$D$68,AA$4-$B30+1)</f>
        <v/>
      </c>
      <c r="AB30" s="75">
        <f>$C30*INDEX(Curves!$D$8:$D$68,AB$4-$B30+1)</f>
        <v/>
      </c>
      <c r="AC30" s="75">
        <f>$C30*INDEX(Curves!$D$8:$D$68,AC$4-$B30+1)</f>
        <v/>
      </c>
      <c r="AD30" s="75">
        <f>$C30*INDEX(Curves!$D$8:$D$68,AD$4-$B30+1)</f>
        <v/>
      </c>
      <c r="AE30" s="75">
        <f>$C30*INDEX(Curves!$D$8:$D$68,AE$4-$B30+1)</f>
        <v/>
      </c>
      <c r="AF30" s="75">
        <f>$C30*INDEX(Curves!$D$8:$D$68,AF$4-$B30+1)</f>
        <v/>
      </c>
      <c r="AG30" s="75">
        <f>$C30*INDEX(Curves!$D$8:$D$68,AG$4-$B30+1)</f>
        <v/>
      </c>
      <c r="AH30" s="75">
        <f>$C30*INDEX(Curves!$D$8:$D$68,AH$4-$B30+1)</f>
        <v/>
      </c>
      <c r="AI30" s="75">
        <f>$C30*INDEX(Curves!$D$8:$D$68,AI$4-$B30+1)</f>
        <v/>
      </c>
      <c r="AJ30" s="75">
        <f>$C30*INDEX(Curves!$D$8:$D$68,AJ$4-$B30+1)</f>
        <v/>
      </c>
      <c r="AK30" s="75">
        <f>$C30*INDEX(Curves!$D$8:$D$68,AK$4-$B30+1)</f>
        <v/>
      </c>
      <c r="AL30" s="75">
        <f>$C30*INDEX(Curves!$D$8:$D$68,AL$4-$B30+1)</f>
        <v/>
      </c>
      <c r="AM30" s="75">
        <f>$C30*INDEX(Curves!$D$8:$D$68,AM$4-$B30+1)</f>
        <v/>
      </c>
      <c r="AN30" s="75">
        <f>$C30*INDEX(Curves!$D$8:$D$68,AN$4-$B30+1)</f>
        <v/>
      </c>
      <c r="AO30" s="75">
        <f>$C30*INDEX(Curves!$D$8:$D$68,AO$4-$B30+1)</f>
        <v/>
      </c>
      <c r="AP30" s="75">
        <f>$C30*INDEX(Curves!$D$8:$D$68,AP$4-$B30+1)</f>
        <v/>
      </c>
      <c r="AQ30" s="75">
        <f>$C30*INDEX(Curves!$D$8:$D$68,AQ$4-$B30+1)</f>
        <v/>
      </c>
      <c r="AR30" s="75">
        <f>$C30*INDEX(Curves!$D$8:$D$68,AR$4-$B30+1)</f>
        <v/>
      </c>
      <c r="AS30" s="75">
        <f>$C30*INDEX(Curves!$D$8:$D$68,AS$4-$B30+1)</f>
        <v/>
      </c>
      <c r="AT30" s="75">
        <f>$C30*INDEX(Curves!$D$8:$D$68,AT$4-$B30+1)</f>
        <v/>
      </c>
      <c r="AU30" s="75">
        <f>$C30*INDEX(Curves!$D$8:$D$68,AU$4-$B30+1)</f>
        <v/>
      </c>
      <c r="AV30" s="75">
        <f>$C30*INDEX(Curves!$D$8:$D$68,AV$4-$B30+1)</f>
        <v/>
      </c>
      <c r="AW30" s="75">
        <f>$C30*INDEX(Curves!$D$8:$D$68,AW$4-$B30+1)</f>
        <v/>
      </c>
      <c r="AX30" s="75">
        <f>$C30*INDEX(Curves!$D$8:$D$68,AX$4-$B30+1)</f>
        <v/>
      </c>
      <c r="AY30" s="75">
        <f>$C30*INDEX(Curves!$D$8:$D$68,AY$4-$B30+1)</f>
        <v/>
      </c>
      <c r="AZ30" s="75">
        <f>$C30*INDEX(Curves!$D$8:$D$68,AZ$4-$B30+1)</f>
        <v/>
      </c>
      <c r="BA30" s="75">
        <f>$C30*INDEX(Curves!$D$8:$D$68,BA$4-$B30+1)</f>
        <v/>
      </c>
      <c r="BB30" s="75">
        <f>$C30*INDEX(Curves!$D$8:$D$68,BB$4-$B30+1)</f>
        <v/>
      </c>
      <c r="BC30" s="75">
        <f>$C30*INDEX(Curves!$D$8:$D$68,BC$4-$B30+1)</f>
        <v/>
      </c>
      <c r="BD30" s="75">
        <f>$C30*INDEX(Curves!$D$8:$D$68,BD$4-$B30+1)</f>
        <v/>
      </c>
      <c r="BE30" s="75">
        <f>$C30*INDEX(Curves!$D$8:$D$68,BE$4-$B30+1)</f>
        <v/>
      </c>
      <c r="BF30" s="75">
        <f>$C30*INDEX(Curves!$D$8:$D$68,BF$4-$B30+1)</f>
        <v/>
      </c>
      <c r="BG30" s="75">
        <f>$C30*INDEX(Curves!$D$8:$D$68,BG$4-$B30+1)</f>
        <v/>
      </c>
      <c r="BH30" s="75">
        <f>$C30*INDEX(Curves!$D$8:$D$68,BH$4-$B30+1)</f>
        <v/>
      </c>
      <c r="BI30" s="75">
        <f>$C30*INDEX(Curves!$D$8:$D$68,BI$4-$B30+1)</f>
        <v/>
      </c>
      <c r="BJ30" s="75">
        <f>$C30*INDEX(Curves!$D$8:$D$68,BJ$4-$B30+1)</f>
        <v/>
      </c>
      <c r="BK30" s="75">
        <f>$C30*INDEX(Curves!$D$8:$D$68,BK$4-$B30+1)</f>
        <v/>
      </c>
      <c r="BL30" s="75">
        <f>$C30*INDEX(Curves!$D$8:$D$68,BL$4-$B30+1)</f>
        <v/>
      </c>
    </row>
    <row r="31">
      <c r="A31" s="74" t="inlineStr">
        <is>
          <t>Cohort month 22</t>
        </is>
      </c>
      <c r="B31" s="74" t="n">
        <v>22</v>
      </c>
      <c r="C31" s="17">
        <f>INDEX(Ops!$E$10:$BL$10,1,$B31)</f>
        <v/>
      </c>
      <c r="AA31" s="75">
        <f>$C31*INDEX(Curves!$D$8:$D$68,AA$4-$B31+1)</f>
        <v/>
      </c>
      <c r="AB31" s="75">
        <f>$C31*INDEX(Curves!$D$8:$D$68,AB$4-$B31+1)</f>
        <v/>
      </c>
      <c r="AC31" s="75">
        <f>$C31*INDEX(Curves!$D$8:$D$68,AC$4-$B31+1)</f>
        <v/>
      </c>
      <c r="AD31" s="75">
        <f>$C31*INDEX(Curves!$D$8:$D$68,AD$4-$B31+1)</f>
        <v/>
      </c>
      <c r="AE31" s="75">
        <f>$C31*INDEX(Curves!$D$8:$D$68,AE$4-$B31+1)</f>
        <v/>
      </c>
      <c r="AF31" s="75">
        <f>$C31*INDEX(Curves!$D$8:$D$68,AF$4-$B31+1)</f>
        <v/>
      </c>
      <c r="AG31" s="75">
        <f>$C31*INDEX(Curves!$D$8:$D$68,AG$4-$B31+1)</f>
        <v/>
      </c>
      <c r="AH31" s="75">
        <f>$C31*INDEX(Curves!$D$8:$D$68,AH$4-$B31+1)</f>
        <v/>
      </c>
      <c r="AI31" s="75">
        <f>$C31*INDEX(Curves!$D$8:$D$68,AI$4-$B31+1)</f>
        <v/>
      </c>
      <c r="AJ31" s="75">
        <f>$C31*INDEX(Curves!$D$8:$D$68,AJ$4-$B31+1)</f>
        <v/>
      </c>
      <c r="AK31" s="75">
        <f>$C31*INDEX(Curves!$D$8:$D$68,AK$4-$B31+1)</f>
        <v/>
      </c>
      <c r="AL31" s="75">
        <f>$C31*INDEX(Curves!$D$8:$D$68,AL$4-$B31+1)</f>
        <v/>
      </c>
      <c r="AM31" s="75">
        <f>$C31*INDEX(Curves!$D$8:$D$68,AM$4-$B31+1)</f>
        <v/>
      </c>
      <c r="AN31" s="75">
        <f>$C31*INDEX(Curves!$D$8:$D$68,AN$4-$B31+1)</f>
        <v/>
      </c>
      <c r="AO31" s="75">
        <f>$C31*INDEX(Curves!$D$8:$D$68,AO$4-$B31+1)</f>
        <v/>
      </c>
      <c r="AP31" s="75">
        <f>$C31*INDEX(Curves!$D$8:$D$68,AP$4-$B31+1)</f>
        <v/>
      </c>
      <c r="AQ31" s="75">
        <f>$C31*INDEX(Curves!$D$8:$D$68,AQ$4-$B31+1)</f>
        <v/>
      </c>
      <c r="AR31" s="75">
        <f>$C31*INDEX(Curves!$D$8:$D$68,AR$4-$B31+1)</f>
        <v/>
      </c>
      <c r="AS31" s="75">
        <f>$C31*INDEX(Curves!$D$8:$D$68,AS$4-$B31+1)</f>
        <v/>
      </c>
      <c r="AT31" s="75">
        <f>$C31*INDEX(Curves!$D$8:$D$68,AT$4-$B31+1)</f>
        <v/>
      </c>
      <c r="AU31" s="75">
        <f>$C31*INDEX(Curves!$D$8:$D$68,AU$4-$B31+1)</f>
        <v/>
      </c>
      <c r="AV31" s="75">
        <f>$C31*INDEX(Curves!$D$8:$D$68,AV$4-$B31+1)</f>
        <v/>
      </c>
      <c r="AW31" s="75">
        <f>$C31*INDEX(Curves!$D$8:$D$68,AW$4-$B31+1)</f>
        <v/>
      </c>
      <c r="AX31" s="75">
        <f>$C31*INDEX(Curves!$D$8:$D$68,AX$4-$B31+1)</f>
        <v/>
      </c>
      <c r="AY31" s="75">
        <f>$C31*INDEX(Curves!$D$8:$D$68,AY$4-$B31+1)</f>
        <v/>
      </c>
      <c r="AZ31" s="75">
        <f>$C31*INDEX(Curves!$D$8:$D$68,AZ$4-$B31+1)</f>
        <v/>
      </c>
      <c r="BA31" s="75">
        <f>$C31*INDEX(Curves!$D$8:$D$68,BA$4-$B31+1)</f>
        <v/>
      </c>
      <c r="BB31" s="75">
        <f>$C31*INDEX(Curves!$D$8:$D$68,BB$4-$B31+1)</f>
        <v/>
      </c>
      <c r="BC31" s="75">
        <f>$C31*INDEX(Curves!$D$8:$D$68,BC$4-$B31+1)</f>
        <v/>
      </c>
      <c r="BD31" s="75">
        <f>$C31*INDEX(Curves!$D$8:$D$68,BD$4-$B31+1)</f>
        <v/>
      </c>
      <c r="BE31" s="75">
        <f>$C31*INDEX(Curves!$D$8:$D$68,BE$4-$B31+1)</f>
        <v/>
      </c>
      <c r="BF31" s="75">
        <f>$C31*INDEX(Curves!$D$8:$D$68,BF$4-$B31+1)</f>
        <v/>
      </c>
      <c r="BG31" s="75">
        <f>$C31*INDEX(Curves!$D$8:$D$68,BG$4-$B31+1)</f>
        <v/>
      </c>
      <c r="BH31" s="75">
        <f>$C31*INDEX(Curves!$D$8:$D$68,BH$4-$B31+1)</f>
        <v/>
      </c>
      <c r="BI31" s="75">
        <f>$C31*INDEX(Curves!$D$8:$D$68,BI$4-$B31+1)</f>
        <v/>
      </c>
      <c r="BJ31" s="75">
        <f>$C31*INDEX(Curves!$D$8:$D$68,BJ$4-$B31+1)</f>
        <v/>
      </c>
      <c r="BK31" s="75">
        <f>$C31*INDEX(Curves!$D$8:$D$68,BK$4-$B31+1)</f>
        <v/>
      </c>
      <c r="BL31" s="75">
        <f>$C31*INDEX(Curves!$D$8:$D$68,BL$4-$B31+1)</f>
        <v/>
      </c>
    </row>
    <row r="32">
      <c r="A32" s="74" t="inlineStr">
        <is>
          <t>Cohort month 23</t>
        </is>
      </c>
      <c r="B32" s="74" t="n">
        <v>23</v>
      </c>
      <c r="C32" s="17">
        <f>INDEX(Ops!$E$10:$BL$10,1,$B32)</f>
        <v/>
      </c>
      <c r="AB32" s="75">
        <f>$C32*INDEX(Curves!$D$8:$D$68,AB$4-$B32+1)</f>
        <v/>
      </c>
      <c r="AC32" s="75">
        <f>$C32*INDEX(Curves!$D$8:$D$68,AC$4-$B32+1)</f>
        <v/>
      </c>
      <c r="AD32" s="75">
        <f>$C32*INDEX(Curves!$D$8:$D$68,AD$4-$B32+1)</f>
        <v/>
      </c>
      <c r="AE32" s="75">
        <f>$C32*INDEX(Curves!$D$8:$D$68,AE$4-$B32+1)</f>
        <v/>
      </c>
      <c r="AF32" s="75">
        <f>$C32*INDEX(Curves!$D$8:$D$68,AF$4-$B32+1)</f>
        <v/>
      </c>
      <c r="AG32" s="75">
        <f>$C32*INDEX(Curves!$D$8:$D$68,AG$4-$B32+1)</f>
        <v/>
      </c>
      <c r="AH32" s="75">
        <f>$C32*INDEX(Curves!$D$8:$D$68,AH$4-$B32+1)</f>
        <v/>
      </c>
      <c r="AI32" s="75">
        <f>$C32*INDEX(Curves!$D$8:$D$68,AI$4-$B32+1)</f>
        <v/>
      </c>
      <c r="AJ32" s="75">
        <f>$C32*INDEX(Curves!$D$8:$D$68,AJ$4-$B32+1)</f>
        <v/>
      </c>
      <c r="AK32" s="75">
        <f>$C32*INDEX(Curves!$D$8:$D$68,AK$4-$B32+1)</f>
        <v/>
      </c>
      <c r="AL32" s="75">
        <f>$C32*INDEX(Curves!$D$8:$D$68,AL$4-$B32+1)</f>
        <v/>
      </c>
      <c r="AM32" s="75">
        <f>$C32*INDEX(Curves!$D$8:$D$68,AM$4-$B32+1)</f>
        <v/>
      </c>
      <c r="AN32" s="75">
        <f>$C32*INDEX(Curves!$D$8:$D$68,AN$4-$B32+1)</f>
        <v/>
      </c>
      <c r="AO32" s="75">
        <f>$C32*INDEX(Curves!$D$8:$D$68,AO$4-$B32+1)</f>
        <v/>
      </c>
      <c r="AP32" s="75">
        <f>$C32*INDEX(Curves!$D$8:$D$68,AP$4-$B32+1)</f>
        <v/>
      </c>
      <c r="AQ32" s="75">
        <f>$C32*INDEX(Curves!$D$8:$D$68,AQ$4-$B32+1)</f>
        <v/>
      </c>
      <c r="AR32" s="75">
        <f>$C32*INDEX(Curves!$D$8:$D$68,AR$4-$B32+1)</f>
        <v/>
      </c>
      <c r="AS32" s="75">
        <f>$C32*INDEX(Curves!$D$8:$D$68,AS$4-$B32+1)</f>
        <v/>
      </c>
      <c r="AT32" s="75">
        <f>$C32*INDEX(Curves!$D$8:$D$68,AT$4-$B32+1)</f>
        <v/>
      </c>
      <c r="AU32" s="75">
        <f>$C32*INDEX(Curves!$D$8:$D$68,AU$4-$B32+1)</f>
        <v/>
      </c>
      <c r="AV32" s="75">
        <f>$C32*INDEX(Curves!$D$8:$D$68,AV$4-$B32+1)</f>
        <v/>
      </c>
      <c r="AW32" s="75">
        <f>$C32*INDEX(Curves!$D$8:$D$68,AW$4-$B32+1)</f>
        <v/>
      </c>
      <c r="AX32" s="75">
        <f>$C32*INDEX(Curves!$D$8:$D$68,AX$4-$B32+1)</f>
        <v/>
      </c>
      <c r="AY32" s="75">
        <f>$C32*INDEX(Curves!$D$8:$D$68,AY$4-$B32+1)</f>
        <v/>
      </c>
      <c r="AZ32" s="75">
        <f>$C32*INDEX(Curves!$D$8:$D$68,AZ$4-$B32+1)</f>
        <v/>
      </c>
      <c r="BA32" s="75">
        <f>$C32*INDEX(Curves!$D$8:$D$68,BA$4-$B32+1)</f>
        <v/>
      </c>
      <c r="BB32" s="75">
        <f>$C32*INDEX(Curves!$D$8:$D$68,BB$4-$B32+1)</f>
        <v/>
      </c>
      <c r="BC32" s="75">
        <f>$C32*INDEX(Curves!$D$8:$D$68,BC$4-$B32+1)</f>
        <v/>
      </c>
      <c r="BD32" s="75">
        <f>$C32*INDEX(Curves!$D$8:$D$68,BD$4-$B32+1)</f>
        <v/>
      </c>
      <c r="BE32" s="75">
        <f>$C32*INDEX(Curves!$D$8:$D$68,BE$4-$B32+1)</f>
        <v/>
      </c>
      <c r="BF32" s="75">
        <f>$C32*INDEX(Curves!$D$8:$D$68,BF$4-$B32+1)</f>
        <v/>
      </c>
      <c r="BG32" s="75">
        <f>$C32*INDEX(Curves!$D$8:$D$68,BG$4-$B32+1)</f>
        <v/>
      </c>
      <c r="BH32" s="75">
        <f>$C32*INDEX(Curves!$D$8:$D$68,BH$4-$B32+1)</f>
        <v/>
      </c>
      <c r="BI32" s="75">
        <f>$C32*INDEX(Curves!$D$8:$D$68,BI$4-$B32+1)</f>
        <v/>
      </c>
      <c r="BJ32" s="75">
        <f>$C32*INDEX(Curves!$D$8:$D$68,BJ$4-$B32+1)</f>
        <v/>
      </c>
      <c r="BK32" s="75">
        <f>$C32*INDEX(Curves!$D$8:$D$68,BK$4-$B32+1)</f>
        <v/>
      </c>
      <c r="BL32" s="75">
        <f>$C32*INDEX(Curves!$D$8:$D$68,BL$4-$B32+1)</f>
        <v/>
      </c>
    </row>
    <row r="33">
      <c r="A33" s="74" t="inlineStr">
        <is>
          <t>Cohort month 24</t>
        </is>
      </c>
      <c r="B33" s="74" t="n">
        <v>24</v>
      </c>
      <c r="C33" s="17">
        <f>INDEX(Ops!$E$10:$BL$10,1,$B33)</f>
        <v/>
      </c>
      <c r="AC33" s="75">
        <f>$C33*INDEX(Curves!$D$8:$D$68,AC$4-$B33+1)</f>
        <v/>
      </c>
      <c r="AD33" s="75">
        <f>$C33*INDEX(Curves!$D$8:$D$68,AD$4-$B33+1)</f>
        <v/>
      </c>
      <c r="AE33" s="75">
        <f>$C33*INDEX(Curves!$D$8:$D$68,AE$4-$B33+1)</f>
        <v/>
      </c>
      <c r="AF33" s="75">
        <f>$C33*INDEX(Curves!$D$8:$D$68,AF$4-$B33+1)</f>
        <v/>
      </c>
      <c r="AG33" s="75">
        <f>$C33*INDEX(Curves!$D$8:$D$68,AG$4-$B33+1)</f>
        <v/>
      </c>
      <c r="AH33" s="75">
        <f>$C33*INDEX(Curves!$D$8:$D$68,AH$4-$B33+1)</f>
        <v/>
      </c>
      <c r="AI33" s="75">
        <f>$C33*INDEX(Curves!$D$8:$D$68,AI$4-$B33+1)</f>
        <v/>
      </c>
      <c r="AJ33" s="75">
        <f>$C33*INDEX(Curves!$D$8:$D$68,AJ$4-$B33+1)</f>
        <v/>
      </c>
      <c r="AK33" s="75">
        <f>$C33*INDEX(Curves!$D$8:$D$68,AK$4-$B33+1)</f>
        <v/>
      </c>
      <c r="AL33" s="75">
        <f>$C33*INDEX(Curves!$D$8:$D$68,AL$4-$B33+1)</f>
        <v/>
      </c>
      <c r="AM33" s="75">
        <f>$C33*INDEX(Curves!$D$8:$D$68,AM$4-$B33+1)</f>
        <v/>
      </c>
      <c r="AN33" s="75">
        <f>$C33*INDEX(Curves!$D$8:$D$68,AN$4-$B33+1)</f>
        <v/>
      </c>
      <c r="AO33" s="75">
        <f>$C33*INDEX(Curves!$D$8:$D$68,AO$4-$B33+1)</f>
        <v/>
      </c>
      <c r="AP33" s="75">
        <f>$C33*INDEX(Curves!$D$8:$D$68,AP$4-$B33+1)</f>
        <v/>
      </c>
      <c r="AQ33" s="75">
        <f>$C33*INDEX(Curves!$D$8:$D$68,AQ$4-$B33+1)</f>
        <v/>
      </c>
      <c r="AR33" s="75">
        <f>$C33*INDEX(Curves!$D$8:$D$68,AR$4-$B33+1)</f>
        <v/>
      </c>
      <c r="AS33" s="75">
        <f>$C33*INDEX(Curves!$D$8:$D$68,AS$4-$B33+1)</f>
        <v/>
      </c>
      <c r="AT33" s="75">
        <f>$C33*INDEX(Curves!$D$8:$D$68,AT$4-$B33+1)</f>
        <v/>
      </c>
      <c r="AU33" s="75">
        <f>$C33*INDEX(Curves!$D$8:$D$68,AU$4-$B33+1)</f>
        <v/>
      </c>
      <c r="AV33" s="75">
        <f>$C33*INDEX(Curves!$D$8:$D$68,AV$4-$B33+1)</f>
        <v/>
      </c>
      <c r="AW33" s="75">
        <f>$C33*INDEX(Curves!$D$8:$D$68,AW$4-$B33+1)</f>
        <v/>
      </c>
      <c r="AX33" s="75">
        <f>$C33*INDEX(Curves!$D$8:$D$68,AX$4-$B33+1)</f>
        <v/>
      </c>
      <c r="AY33" s="75">
        <f>$C33*INDEX(Curves!$D$8:$D$68,AY$4-$B33+1)</f>
        <v/>
      </c>
      <c r="AZ33" s="75">
        <f>$C33*INDEX(Curves!$D$8:$D$68,AZ$4-$B33+1)</f>
        <v/>
      </c>
      <c r="BA33" s="75">
        <f>$C33*INDEX(Curves!$D$8:$D$68,BA$4-$B33+1)</f>
        <v/>
      </c>
      <c r="BB33" s="75">
        <f>$C33*INDEX(Curves!$D$8:$D$68,BB$4-$B33+1)</f>
        <v/>
      </c>
      <c r="BC33" s="75">
        <f>$C33*INDEX(Curves!$D$8:$D$68,BC$4-$B33+1)</f>
        <v/>
      </c>
      <c r="BD33" s="75">
        <f>$C33*INDEX(Curves!$D$8:$D$68,BD$4-$B33+1)</f>
        <v/>
      </c>
      <c r="BE33" s="75">
        <f>$C33*INDEX(Curves!$D$8:$D$68,BE$4-$B33+1)</f>
        <v/>
      </c>
      <c r="BF33" s="75">
        <f>$C33*INDEX(Curves!$D$8:$D$68,BF$4-$B33+1)</f>
        <v/>
      </c>
      <c r="BG33" s="75">
        <f>$C33*INDEX(Curves!$D$8:$D$68,BG$4-$B33+1)</f>
        <v/>
      </c>
      <c r="BH33" s="75">
        <f>$C33*INDEX(Curves!$D$8:$D$68,BH$4-$B33+1)</f>
        <v/>
      </c>
      <c r="BI33" s="75">
        <f>$C33*INDEX(Curves!$D$8:$D$68,BI$4-$B33+1)</f>
        <v/>
      </c>
      <c r="BJ33" s="75">
        <f>$C33*INDEX(Curves!$D$8:$D$68,BJ$4-$B33+1)</f>
        <v/>
      </c>
      <c r="BK33" s="75">
        <f>$C33*INDEX(Curves!$D$8:$D$68,BK$4-$B33+1)</f>
        <v/>
      </c>
      <c r="BL33" s="75">
        <f>$C33*INDEX(Curves!$D$8:$D$68,BL$4-$B33+1)</f>
        <v/>
      </c>
    </row>
    <row r="34">
      <c r="A34" s="74" t="inlineStr">
        <is>
          <t>Cohort month 25</t>
        </is>
      </c>
      <c r="B34" s="74" t="n">
        <v>25</v>
      </c>
      <c r="C34" s="17">
        <f>INDEX(Ops!$E$10:$BL$10,1,$B34)</f>
        <v/>
      </c>
      <c r="AD34" s="75">
        <f>$C34*INDEX(Curves!$D$8:$D$68,AD$4-$B34+1)</f>
        <v/>
      </c>
      <c r="AE34" s="75">
        <f>$C34*INDEX(Curves!$D$8:$D$68,AE$4-$B34+1)</f>
        <v/>
      </c>
      <c r="AF34" s="75">
        <f>$C34*INDEX(Curves!$D$8:$D$68,AF$4-$B34+1)</f>
        <v/>
      </c>
      <c r="AG34" s="75">
        <f>$C34*INDEX(Curves!$D$8:$D$68,AG$4-$B34+1)</f>
        <v/>
      </c>
      <c r="AH34" s="75">
        <f>$C34*INDEX(Curves!$D$8:$D$68,AH$4-$B34+1)</f>
        <v/>
      </c>
      <c r="AI34" s="75">
        <f>$C34*INDEX(Curves!$D$8:$D$68,AI$4-$B34+1)</f>
        <v/>
      </c>
      <c r="AJ34" s="75">
        <f>$C34*INDEX(Curves!$D$8:$D$68,AJ$4-$B34+1)</f>
        <v/>
      </c>
      <c r="AK34" s="75">
        <f>$C34*INDEX(Curves!$D$8:$D$68,AK$4-$B34+1)</f>
        <v/>
      </c>
      <c r="AL34" s="75">
        <f>$C34*INDEX(Curves!$D$8:$D$68,AL$4-$B34+1)</f>
        <v/>
      </c>
      <c r="AM34" s="75">
        <f>$C34*INDEX(Curves!$D$8:$D$68,AM$4-$B34+1)</f>
        <v/>
      </c>
      <c r="AN34" s="75">
        <f>$C34*INDEX(Curves!$D$8:$D$68,AN$4-$B34+1)</f>
        <v/>
      </c>
      <c r="AO34" s="75">
        <f>$C34*INDEX(Curves!$D$8:$D$68,AO$4-$B34+1)</f>
        <v/>
      </c>
      <c r="AP34" s="75">
        <f>$C34*INDEX(Curves!$D$8:$D$68,AP$4-$B34+1)</f>
        <v/>
      </c>
      <c r="AQ34" s="75">
        <f>$C34*INDEX(Curves!$D$8:$D$68,AQ$4-$B34+1)</f>
        <v/>
      </c>
      <c r="AR34" s="75">
        <f>$C34*INDEX(Curves!$D$8:$D$68,AR$4-$B34+1)</f>
        <v/>
      </c>
      <c r="AS34" s="75">
        <f>$C34*INDEX(Curves!$D$8:$D$68,AS$4-$B34+1)</f>
        <v/>
      </c>
      <c r="AT34" s="75">
        <f>$C34*INDEX(Curves!$D$8:$D$68,AT$4-$B34+1)</f>
        <v/>
      </c>
      <c r="AU34" s="75">
        <f>$C34*INDEX(Curves!$D$8:$D$68,AU$4-$B34+1)</f>
        <v/>
      </c>
      <c r="AV34" s="75">
        <f>$C34*INDEX(Curves!$D$8:$D$68,AV$4-$B34+1)</f>
        <v/>
      </c>
      <c r="AW34" s="75">
        <f>$C34*INDEX(Curves!$D$8:$D$68,AW$4-$B34+1)</f>
        <v/>
      </c>
      <c r="AX34" s="75">
        <f>$C34*INDEX(Curves!$D$8:$D$68,AX$4-$B34+1)</f>
        <v/>
      </c>
      <c r="AY34" s="75">
        <f>$C34*INDEX(Curves!$D$8:$D$68,AY$4-$B34+1)</f>
        <v/>
      </c>
      <c r="AZ34" s="75">
        <f>$C34*INDEX(Curves!$D$8:$D$68,AZ$4-$B34+1)</f>
        <v/>
      </c>
      <c r="BA34" s="75">
        <f>$C34*INDEX(Curves!$D$8:$D$68,BA$4-$B34+1)</f>
        <v/>
      </c>
      <c r="BB34" s="75">
        <f>$C34*INDEX(Curves!$D$8:$D$68,BB$4-$B34+1)</f>
        <v/>
      </c>
      <c r="BC34" s="75">
        <f>$C34*INDEX(Curves!$D$8:$D$68,BC$4-$B34+1)</f>
        <v/>
      </c>
      <c r="BD34" s="75">
        <f>$C34*INDEX(Curves!$D$8:$D$68,BD$4-$B34+1)</f>
        <v/>
      </c>
      <c r="BE34" s="75">
        <f>$C34*INDEX(Curves!$D$8:$D$68,BE$4-$B34+1)</f>
        <v/>
      </c>
      <c r="BF34" s="75">
        <f>$C34*INDEX(Curves!$D$8:$D$68,BF$4-$B34+1)</f>
        <v/>
      </c>
      <c r="BG34" s="75">
        <f>$C34*INDEX(Curves!$D$8:$D$68,BG$4-$B34+1)</f>
        <v/>
      </c>
      <c r="BH34" s="75">
        <f>$C34*INDEX(Curves!$D$8:$D$68,BH$4-$B34+1)</f>
        <v/>
      </c>
      <c r="BI34" s="75">
        <f>$C34*INDEX(Curves!$D$8:$D$68,BI$4-$B34+1)</f>
        <v/>
      </c>
      <c r="BJ34" s="75">
        <f>$C34*INDEX(Curves!$D$8:$D$68,BJ$4-$B34+1)</f>
        <v/>
      </c>
      <c r="BK34" s="75">
        <f>$C34*INDEX(Curves!$D$8:$D$68,BK$4-$B34+1)</f>
        <v/>
      </c>
      <c r="BL34" s="75">
        <f>$C34*INDEX(Curves!$D$8:$D$68,BL$4-$B34+1)</f>
        <v/>
      </c>
    </row>
    <row r="35">
      <c r="A35" s="74" t="inlineStr">
        <is>
          <t>Cohort month 26</t>
        </is>
      </c>
      <c r="B35" s="74" t="n">
        <v>26</v>
      </c>
      <c r="C35" s="17">
        <f>INDEX(Ops!$E$10:$BL$10,1,$B35)</f>
        <v/>
      </c>
      <c r="AE35" s="75">
        <f>$C35*INDEX(Curves!$D$8:$D$68,AE$4-$B35+1)</f>
        <v/>
      </c>
      <c r="AF35" s="75">
        <f>$C35*INDEX(Curves!$D$8:$D$68,AF$4-$B35+1)</f>
        <v/>
      </c>
      <c r="AG35" s="75">
        <f>$C35*INDEX(Curves!$D$8:$D$68,AG$4-$B35+1)</f>
        <v/>
      </c>
      <c r="AH35" s="75">
        <f>$C35*INDEX(Curves!$D$8:$D$68,AH$4-$B35+1)</f>
        <v/>
      </c>
      <c r="AI35" s="75">
        <f>$C35*INDEX(Curves!$D$8:$D$68,AI$4-$B35+1)</f>
        <v/>
      </c>
      <c r="AJ35" s="75">
        <f>$C35*INDEX(Curves!$D$8:$D$68,AJ$4-$B35+1)</f>
        <v/>
      </c>
      <c r="AK35" s="75">
        <f>$C35*INDEX(Curves!$D$8:$D$68,AK$4-$B35+1)</f>
        <v/>
      </c>
      <c r="AL35" s="75">
        <f>$C35*INDEX(Curves!$D$8:$D$68,AL$4-$B35+1)</f>
        <v/>
      </c>
      <c r="AM35" s="75">
        <f>$C35*INDEX(Curves!$D$8:$D$68,AM$4-$B35+1)</f>
        <v/>
      </c>
      <c r="AN35" s="75">
        <f>$C35*INDEX(Curves!$D$8:$D$68,AN$4-$B35+1)</f>
        <v/>
      </c>
      <c r="AO35" s="75">
        <f>$C35*INDEX(Curves!$D$8:$D$68,AO$4-$B35+1)</f>
        <v/>
      </c>
      <c r="AP35" s="75">
        <f>$C35*INDEX(Curves!$D$8:$D$68,AP$4-$B35+1)</f>
        <v/>
      </c>
      <c r="AQ35" s="75">
        <f>$C35*INDEX(Curves!$D$8:$D$68,AQ$4-$B35+1)</f>
        <v/>
      </c>
      <c r="AR35" s="75">
        <f>$C35*INDEX(Curves!$D$8:$D$68,AR$4-$B35+1)</f>
        <v/>
      </c>
      <c r="AS35" s="75">
        <f>$C35*INDEX(Curves!$D$8:$D$68,AS$4-$B35+1)</f>
        <v/>
      </c>
      <c r="AT35" s="75">
        <f>$C35*INDEX(Curves!$D$8:$D$68,AT$4-$B35+1)</f>
        <v/>
      </c>
      <c r="AU35" s="75">
        <f>$C35*INDEX(Curves!$D$8:$D$68,AU$4-$B35+1)</f>
        <v/>
      </c>
      <c r="AV35" s="75">
        <f>$C35*INDEX(Curves!$D$8:$D$68,AV$4-$B35+1)</f>
        <v/>
      </c>
      <c r="AW35" s="75">
        <f>$C35*INDEX(Curves!$D$8:$D$68,AW$4-$B35+1)</f>
        <v/>
      </c>
      <c r="AX35" s="75">
        <f>$C35*INDEX(Curves!$D$8:$D$68,AX$4-$B35+1)</f>
        <v/>
      </c>
      <c r="AY35" s="75">
        <f>$C35*INDEX(Curves!$D$8:$D$68,AY$4-$B35+1)</f>
        <v/>
      </c>
      <c r="AZ35" s="75">
        <f>$C35*INDEX(Curves!$D$8:$D$68,AZ$4-$B35+1)</f>
        <v/>
      </c>
      <c r="BA35" s="75">
        <f>$C35*INDEX(Curves!$D$8:$D$68,BA$4-$B35+1)</f>
        <v/>
      </c>
      <c r="BB35" s="75">
        <f>$C35*INDEX(Curves!$D$8:$D$68,BB$4-$B35+1)</f>
        <v/>
      </c>
      <c r="BC35" s="75">
        <f>$C35*INDEX(Curves!$D$8:$D$68,BC$4-$B35+1)</f>
        <v/>
      </c>
      <c r="BD35" s="75">
        <f>$C35*INDEX(Curves!$D$8:$D$68,BD$4-$B35+1)</f>
        <v/>
      </c>
      <c r="BE35" s="75">
        <f>$C35*INDEX(Curves!$D$8:$D$68,BE$4-$B35+1)</f>
        <v/>
      </c>
      <c r="BF35" s="75">
        <f>$C35*INDEX(Curves!$D$8:$D$68,BF$4-$B35+1)</f>
        <v/>
      </c>
      <c r="BG35" s="75">
        <f>$C35*INDEX(Curves!$D$8:$D$68,BG$4-$B35+1)</f>
        <v/>
      </c>
      <c r="BH35" s="75">
        <f>$C35*INDEX(Curves!$D$8:$D$68,BH$4-$B35+1)</f>
        <v/>
      </c>
      <c r="BI35" s="75">
        <f>$C35*INDEX(Curves!$D$8:$D$68,BI$4-$B35+1)</f>
        <v/>
      </c>
      <c r="BJ35" s="75">
        <f>$C35*INDEX(Curves!$D$8:$D$68,BJ$4-$B35+1)</f>
        <v/>
      </c>
      <c r="BK35" s="75">
        <f>$C35*INDEX(Curves!$D$8:$D$68,BK$4-$B35+1)</f>
        <v/>
      </c>
      <c r="BL35" s="75">
        <f>$C35*INDEX(Curves!$D$8:$D$68,BL$4-$B35+1)</f>
        <v/>
      </c>
    </row>
    <row r="36">
      <c r="A36" s="74" t="inlineStr">
        <is>
          <t>Cohort month 27</t>
        </is>
      </c>
      <c r="B36" s="74" t="n">
        <v>27</v>
      </c>
      <c r="C36" s="17">
        <f>INDEX(Ops!$E$10:$BL$10,1,$B36)</f>
        <v/>
      </c>
      <c r="AF36" s="75">
        <f>$C36*INDEX(Curves!$D$8:$D$68,AF$4-$B36+1)</f>
        <v/>
      </c>
      <c r="AG36" s="75">
        <f>$C36*INDEX(Curves!$D$8:$D$68,AG$4-$B36+1)</f>
        <v/>
      </c>
      <c r="AH36" s="75">
        <f>$C36*INDEX(Curves!$D$8:$D$68,AH$4-$B36+1)</f>
        <v/>
      </c>
      <c r="AI36" s="75">
        <f>$C36*INDEX(Curves!$D$8:$D$68,AI$4-$B36+1)</f>
        <v/>
      </c>
      <c r="AJ36" s="75">
        <f>$C36*INDEX(Curves!$D$8:$D$68,AJ$4-$B36+1)</f>
        <v/>
      </c>
      <c r="AK36" s="75">
        <f>$C36*INDEX(Curves!$D$8:$D$68,AK$4-$B36+1)</f>
        <v/>
      </c>
      <c r="AL36" s="75">
        <f>$C36*INDEX(Curves!$D$8:$D$68,AL$4-$B36+1)</f>
        <v/>
      </c>
      <c r="AM36" s="75">
        <f>$C36*INDEX(Curves!$D$8:$D$68,AM$4-$B36+1)</f>
        <v/>
      </c>
      <c r="AN36" s="75">
        <f>$C36*INDEX(Curves!$D$8:$D$68,AN$4-$B36+1)</f>
        <v/>
      </c>
      <c r="AO36" s="75">
        <f>$C36*INDEX(Curves!$D$8:$D$68,AO$4-$B36+1)</f>
        <v/>
      </c>
      <c r="AP36" s="75">
        <f>$C36*INDEX(Curves!$D$8:$D$68,AP$4-$B36+1)</f>
        <v/>
      </c>
      <c r="AQ36" s="75">
        <f>$C36*INDEX(Curves!$D$8:$D$68,AQ$4-$B36+1)</f>
        <v/>
      </c>
      <c r="AR36" s="75">
        <f>$C36*INDEX(Curves!$D$8:$D$68,AR$4-$B36+1)</f>
        <v/>
      </c>
      <c r="AS36" s="75">
        <f>$C36*INDEX(Curves!$D$8:$D$68,AS$4-$B36+1)</f>
        <v/>
      </c>
      <c r="AT36" s="75">
        <f>$C36*INDEX(Curves!$D$8:$D$68,AT$4-$B36+1)</f>
        <v/>
      </c>
      <c r="AU36" s="75">
        <f>$C36*INDEX(Curves!$D$8:$D$68,AU$4-$B36+1)</f>
        <v/>
      </c>
      <c r="AV36" s="75">
        <f>$C36*INDEX(Curves!$D$8:$D$68,AV$4-$B36+1)</f>
        <v/>
      </c>
      <c r="AW36" s="75">
        <f>$C36*INDEX(Curves!$D$8:$D$68,AW$4-$B36+1)</f>
        <v/>
      </c>
      <c r="AX36" s="75">
        <f>$C36*INDEX(Curves!$D$8:$D$68,AX$4-$B36+1)</f>
        <v/>
      </c>
      <c r="AY36" s="75">
        <f>$C36*INDEX(Curves!$D$8:$D$68,AY$4-$B36+1)</f>
        <v/>
      </c>
      <c r="AZ36" s="75">
        <f>$C36*INDEX(Curves!$D$8:$D$68,AZ$4-$B36+1)</f>
        <v/>
      </c>
      <c r="BA36" s="75">
        <f>$C36*INDEX(Curves!$D$8:$D$68,BA$4-$B36+1)</f>
        <v/>
      </c>
      <c r="BB36" s="75">
        <f>$C36*INDEX(Curves!$D$8:$D$68,BB$4-$B36+1)</f>
        <v/>
      </c>
      <c r="BC36" s="75">
        <f>$C36*INDEX(Curves!$D$8:$D$68,BC$4-$B36+1)</f>
        <v/>
      </c>
      <c r="BD36" s="75">
        <f>$C36*INDEX(Curves!$D$8:$D$68,BD$4-$B36+1)</f>
        <v/>
      </c>
      <c r="BE36" s="75">
        <f>$C36*INDEX(Curves!$D$8:$D$68,BE$4-$B36+1)</f>
        <v/>
      </c>
      <c r="BF36" s="75">
        <f>$C36*INDEX(Curves!$D$8:$D$68,BF$4-$B36+1)</f>
        <v/>
      </c>
      <c r="BG36" s="75">
        <f>$C36*INDEX(Curves!$D$8:$D$68,BG$4-$B36+1)</f>
        <v/>
      </c>
      <c r="BH36" s="75">
        <f>$C36*INDEX(Curves!$D$8:$D$68,BH$4-$B36+1)</f>
        <v/>
      </c>
      <c r="BI36" s="75">
        <f>$C36*INDEX(Curves!$D$8:$D$68,BI$4-$B36+1)</f>
        <v/>
      </c>
      <c r="BJ36" s="75">
        <f>$C36*INDEX(Curves!$D$8:$D$68,BJ$4-$B36+1)</f>
        <v/>
      </c>
      <c r="BK36" s="75">
        <f>$C36*INDEX(Curves!$D$8:$D$68,BK$4-$B36+1)</f>
        <v/>
      </c>
      <c r="BL36" s="75">
        <f>$C36*INDEX(Curves!$D$8:$D$68,BL$4-$B36+1)</f>
        <v/>
      </c>
    </row>
    <row r="37">
      <c r="A37" s="74" t="inlineStr">
        <is>
          <t>Cohort month 28</t>
        </is>
      </c>
      <c r="B37" s="74" t="n">
        <v>28</v>
      </c>
      <c r="C37" s="17">
        <f>INDEX(Ops!$E$10:$BL$10,1,$B37)</f>
        <v/>
      </c>
      <c r="AG37" s="75">
        <f>$C37*INDEX(Curves!$D$8:$D$68,AG$4-$B37+1)</f>
        <v/>
      </c>
      <c r="AH37" s="75">
        <f>$C37*INDEX(Curves!$D$8:$D$68,AH$4-$B37+1)</f>
        <v/>
      </c>
      <c r="AI37" s="75">
        <f>$C37*INDEX(Curves!$D$8:$D$68,AI$4-$B37+1)</f>
        <v/>
      </c>
      <c r="AJ37" s="75">
        <f>$C37*INDEX(Curves!$D$8:$D$68,AJ$4-$B37+1)</f>
        <v/>
      </c>
      <c r="AK37" s="75">
        <f>$C37*INDEX(Curves!$D$8:$D$68,AK$4-$B37+1)</f>
        <v/>
      </c>
      <c r="AL37" s="75">
        <f>$C37*INDEX(Curves!$D$8:$D$68,AL$4-$B37+1)</f>
        <v/>
      </c>
      <c r="AM37" s="75">
        <f>$C37*INDEX(Curves!$D$8:$D$68,AM$4-$B37+1)</f>
        <v/>
      </c>
      <c r="AN37" s="75">
        <f>$C37*INDEX(Curves!$D$8:$D$68,AN$4-$B37+1)</f>
        <v/>
      </c>
      <c r="AO37" s="75">
        <f>$C37*INDEX(Curves!$D$8:$D$68,AO$4-$B37+1)</f>
        <v/>
      </c>
      <c r="AP37" s="75">
        <f>$C37*INDEX(Curves!$D$8:$D$68,AP$4-$B37+1)</f>
        <v/>
      </c>
      <c r="AQ37" s="75">
        <f>$C37*INDEX(Curves!$D$8:$D$68,AQ$4-$B37+1)</f>
        <v/>
      </c>
      <c r="AR37" s="75">
        <f>$C37*INDEX(Curves!$D$8:$D$68,AR$4-$B37+1)</f>
        <v/>
      </c>
      <c r="AS37" s="75">
        <f>$C37*INDEX(Curves!$D$8:$D$68,AS$4-$B37+1)</f>
        <v/>
      </c>
      <c r="AT37" s="75">
        <f>$C37*INDEX(Curves!$D$8:$D$68,AT$4-$B37+1)</f>
        <v/>
      </c>
      <c r="AU37" s="75">
        <f>$C37*INDEX(Curves!$D$8:$D$68,AU$4-$B37+1)</f>
        <v/>
      </c>
      <c r="AV37" s="75">
        <f>$C37*INDEX(Curves!$D$8:$D$68,AV$4-$B37+1)</f>
        <v/>
      </c>
      <c r="AW37" s="75">
        <f>$C37*INDEX(Curves!$D$8:$D$68,AW$4-$B37+1)</f>
        <v/>
      </c>
      <c r="AX37" s="75">
        <f>$C37*INDEX(Curves!$D$8:$D$68,AX$4-$B37+1)</f>
        <v/>
      </c>
      <c r="AY37" s="75">
        <f>$C37*INDEX(Curves!$D$8:$D$68,AY$4-$B37+1)</f>
        <v/>
      </c>
      <c r="AZ37" s="75">
        <f>$C37*INDEX(Curves!$D$8:$D$68,AZ$4-$B37+1)</f>
        <v/>
      </c>
      <c r="BA37" s="75">
        <f>$C37*INDEX(Curves!$D$8:$D$68,BA$4-$B37+1)</f>
        <v/>
      </c>
      <c r="BB37" s="75">
        <f>$C37*INDEX(Curves!$D$8:$D$68,BB$4-$B37+1)</f>
        <v/>
      </c>
      <c r="BC37" s="75">
        <f>$C37*INDEX(Curves!$D$8:$D$68,BC$4-$B37+1)</f>
        <v/>
      </c>
      <c r="BD37" s="75">
        <f>$C37*INDEX(Curves!$D$8:$D$68,BD$4-$B37+1)</f>
        <v/>
      </c>
      <c r="BE37" s="75">
        <f>$C37*INDEX(Curves!$D$8:$D$68,BE$4-$B37+1)</f>
        <v/>
      </c>
      <c r="BF37" s="75">
        <f>$C37*INDEX(Curves!$D$8:$D$68,BF$4-$B37+1)</f>
        <v/>
      </c>
      <c r="BG37" s="75">
        <f>$C37*INDEX(Curves!$D$8:$D$68,BG$4-$B37+1)</f>
        <v/>
      </c>
      <c r="BH37" s="75">
        <f>$C37*INDEX(Curves!$D$8:$D$68,BH$4-$B37+1)</f>
        <v/>
      </c>
      <c r="BI37" s="75">
        <f>$C37*INDEX(Curves!$D$8:$D$68,BI$4-$B37+1)</f>
        <v/>
      </c>
      <c r="BJ37" s="75">
        <f>$C37*INDEX(Curves!$D$8:$D$68,BJ$4-$B37+1)</f>
        <v/>
      </c>
      <c r="BK37" s="75">
        <f>$C37*INDEX(Curves!$D$8:$D$68,BK$4-$B37+1)</f>
        <v/>
      </c>
      <c r="BL37" s="75">
        <f>$C37*INDEX(Curves!$D$8:$D$68,BL$4-$B37+1)</f>
        <v/>
      </c>
    </row>
    <row r="38">
      <c r="A38" s="74" t="inlineStr">
        <is>
          <t>Cohort month 29</t>
        </is>
      </c>
      <c r="B38" s="74" t="n">
        <v>29</v>
      </c>
      <c r="C38" s="17">
        <f>INDEX(Ops!$E$10:$BL$10,1,$B38)</f>
        <v/>
      </c>
      <c r="AH38" s="75">
        <f>$C38*INDEX(Curves!$D$8:$D$68,AH$4-$B38+1)</f>
        <v/>
      </c>
      <c r="AI38" s="75">
        <f>$C38*INDEX(Curves!$D$8:$D$68,AI$4-$B38+1)</f>
        <v/>
      </c>
      <c r="AJ38" s="75">
        <f>$C38*INDEX(Curves!$D$8:$D$68,AJ$4-$B38+1)</f>
        <v/>
      </c>
      <c r="AK38" s="75">
        <f>$C38*INDEX(Curves!$D$8:$D$68,AK$4-$B38+1)</f>
        <v/>
      </c>
      <c r="AL38" s="75">
        <f>$C38*INDEX(Curves!$D$8:$D$68,AL$4-$B38+1)</f>
        <v/>
      </c>
      <c r="AM38" s="75">
        <f>$C38*INDEX(Curves!$D$8:$D$68,AM$4-$B38+1)</f>
        <v/>
      </c>
      <c r="AN38" s="75">
        <f>$C38*INDEX(Curves!$D$8:$D$68,AN$4-$B38+1)</f>
        <v/>
      </c>
      <c r="AO38" s="75">
        <f>$C38*INDEX(Curves!$D$8:$D$68,AO$4-$B38+1)</f>
        <v/>
      </c>
      <c r="AP38" s="75">
        <f>$C38*INDEX(Curves!$D$8:$D$68,AP$4-$B38+1)</f>
        <v/>
      </c>
      <c r="AQ38" s="75">
        <f>$C38*INDEX(Curves!$D$8:$D$68,AQ$4-$B38+1)</f>
        <v/>
      </c>
      <c r="AR38" s="75">
        <f>$C38*INDEX(Curves!$D$8:$D$68,AR$4-$B38+1)</f>
        <v/>
      </c>
      <c r="AS38" s="75">
        <f>$C38*INDEX(Curves!$D$8:$D$68,AS$4-$B38+1)</f>
        <v/>
      </c>
      <c r="AT38" s="75">
        <f>$C38*INDEX(Curves!$D$8:$D$68,AT$4-$B38+1)</f>
        <v/>
      </c>
      <c r="AU38" s="75">
        <f>$C38*INDEX(Curves!$D$8:$D$68,AU$4-$B38+1)</f>
        <v/>
      </c>
      <c r="AV38" s="75">
        <f>$C38*INDEX(Curves!$D$8:$D$68,AV$4-$B38+1)</f>
        <v/>
      </c>
      <c r="AW38" s="75">
        <f>$C38*INDEX(Curves!$D$8:$D$68,AW$4-$B38+1)</f>
        <v/>
      </c>
      <c r="AX38" s="75">
        <f>$C38*INDEX(Curves!$D$8:$D$68,AX$4-$B38+1)</f>
        <v/>
      </c>
      <c r="AY38" s="75">
        <f>$C38*INDEX(Curves!$D$8:$D$68,AY$4-$B38+1)</f>
        <v/>
      </c>
      <c r="AZ38" s="75">
        <f>$C38*INDEX(Curves!$D$8:$D$68,AZ$4-$B38+1)</f>
        <v/>
      </c>
      <c r="BA38" s="75">
        <f>$C38*INDEX(Curves!$D$8:$D$68,BA$4-$B38+1)</f>
        <v/>
      </c>
      <c r="BB38" s="75">
        <f>$C38*INDEX(Curves!$D$8:$D$68,BB$4-$B38+1)</f>
        <v/>
      </c>
      <c r="BC38" s="75">
        <f>$C38*INDEX(Curves!$D$8:$D$68,BC$4-$B38+1)</f>
        <v/>
      </c>
      <c r="BD38" s="75">
        <f>$C38*INDEX(Curves!$D$8:$D$68,BD$4-$B38+1)</f>
        <v/>
      </c>
      <c r="BE38" s="75">
        <f>$C38*INDEX(Curves!$D$8:$D$68,BE$4-$B38+1)</f>
        <v/>
      </c>
      <c r="BF38" s="75">
        <f>$C38*INDEX(Curves!$D$8:$D$68,BF$4-$B38+1)</f>
        <v/>
      </c>
      <c r="BG38" s="75">
        <f>$C38*INDEX(Curves!$D$8:$D$68,BG$4-$B38+1)</f>
        <v/>
      </c>
      <c r="BH38" s="75">
        <f>$C38*INDEX(Curves!$D$8:$D$68,BH$4-$B38+1)</f>
        <v/>
      </c>
      <c r="BI38" s="75">
        <f>$C38*INDEX(Curves!$D$8:$D$68,BI$4-$B38+1)</f>
        <v/>
      </c>
      <c r="BJ38" s="75">
        <f>$C38*INDEX(Curves!$D$8:$D$68,BJ$4-$B38+1)</f>
        <v/>
      </c>
      <c r="BK38" s="75">
        <f>$C38*INDEX(Curves!$D$8:$D$68,BK$4-$B38+1)</f>
        <v/>
      </c>
      <c r="BL38" s="75">
        <f>$C38*INDEX(Curves!$D$8:$D$68,BL$4-$B38+1)</f>
        <v/>
      </c>
    </row>
    <row r="39">
      <c r="A39" s="74" t="inlineStr">
        <is>
          <t>Cohort month 30</t>
        </is>
      </c>
      <c r="B39" s="74" t="n">
        <v>30</v>
      </c>
      <c r="C39" s="17">
        <f>INDEX(Ops!$E$10:$BL$10,1,$B39)</f>
        <v/>
      </c>
      <c r="AI39" s="75">
        <f>$C39*INDEX(Curves!$D$8:$D$68,AI$4-$B39+1)</f>
        <v/>
      </c>
      <c r="AJ39" s="75">
        <f>$C39*INDEX(Curves!$D$8:$D$68,AJ$4-$B39+1)</f>
        <v/>
      </c>
      <c r="AK39" s="75">
        <f>$C39*INDEX(Curves!$D$8:$D$68,AK$4-$B39+1)</f>
        <v/>
      </c>
      <c r="AL39" s="75">
        <f>$C39*INDEX(Curves!$D$8:$D$68,AL$4-$B39+1)</f>
        <v/>
      </c>
      <c r="AM39" s="75">
        <f>$C39*INDEX(Curves!$D$8:$D$68,AM$4-$B39+1)</f>
        <v/>
      </c>
      <c r="AN39" s="75">
        <f>$C39*INDEX(Curves!$D$8:$D$68,AN$4-$B39+1)</f>
        <v/>
      </c>
      <c r="AO39" s="75">
        <f>$C39*INDEX(Curves!$D$8:$D$68,AO$4-$B39+1)</f>
        <v/>
      </c>
      <c r="AP39" s="75">
        <f>$C39*INDEX(Curves!$D$8:$D$68,AP$4-$B39+1)</f>
        <v/>
      </c>
      <c r="AQ39" s="75">
        <f>$C39*INDEX(Curves!$D$8:$D$68,AQ$4-$B39+1)</f>
        <v/>
      </c>
      <c r="AR39" s="75">
        <f>$C39*INDEX(Curves!$D$8:$D$68,AR$4-$B39+1)</f>
        <v/>
      </c>
      <c r="AS39" s="75">
        <f>$C39*INDEX(Curves!$D$8:$D$68,AS$4-$B39+1)</f>
        <v/>
      </c>
      <c r="AT39" s="75">
        <f>$C39*INDEX(Curves!$D$8:$D$68,AT$4-$B39+1)</f>
        <v/>
      </c>
      <c r="AU39" s="75">
        <f>$C39*INDEX(Curves!$D$8:$D$68,AU$4-$B39+1)</f>
        <v/>
      </c>
      <c r="AV39" s="75">
        <f>$C39*INDEX(Curves!$D$8:$D$68,AV$4-$B39+1)</f>
        <v/>
      </c>
      <c r="AW39" s="75">
        <f>$C39*INDEX(Curves!$D$8:$D$68,AW$4-$B39+1)</f>
        <v/>
      </c>
      <c r="AX39" s="75">
        <f>$C39*INDEX(Curves!$D$8:$D$68,AX$4-$B39+1)</f>
        <v/>
      </c>
      <c r="AY39" s="75">
        <f>$C39*INDEX(Curves!$D$8:$D$68,AY$4-$B39+1)</f>
        <v/>
      </c>
      <c r="AZ39" s="75">
        <f>$C39*INDEX(Curves!$D$8:$D$68,AZ$4-$B39+1)</f>
        <v/>
      </c>
      <c r="BA39" s="75">
        <f>$C39*INDEX(Curves!$D$8:$D$68,BA$4-$B39+1)</f>
        <v/>
      </c>
      <c r="BB39" s="75">
        <f>$C39*INDEX(Curves!$D$8:$D$68,BB$4-$B39+1)</f>
        <v/>
      </c>
      <c r="BC39" s="75">
        <f>$C39*INDEX(Curves!$D$8:$D$68,BC$4-$B39+1)</f>
        <v/>
      </c>
      <c r="BD39" s="75">
        <f>$C39*INDEX(Curves!$D$8:$D$68,BD$4-$B39+1)</f>
        <v/>
      </c>
      <c r="BE39" s="75">
        <f>$C39*INDEX(Curves!$D$8:$D$68,BE$4-$B39+1)</f>
        <v/>
      </c>
      <c r="BF39" s="75">
        <f>$C39*INDEX(Curves!$D$8:$D$68,BF$4-$B39+1)</f>
        <v/>
      </c>
      <c r="BG39" s="75">
        <f>$C39*INDEX(Curves!$D$8:$D$68,BG$4-$B39+1)</f>
        <v/>
      </c>
      <c r="BH39" s="75">
        <f>$C39*INDEX(Curves!$D$8:$D$68,BH$4-$B39+1)</f>
        <v/>
      </c>
      <c r="BI39" s="75">
        <f>$C39*INDEX(Curves!$D$8:$D$68,BI$4-$B39+1)</f>
        <v/>
      </c>
      <c r="BJ39" s="75">
        <f>$C39*INDEX(Curves!$D$8:$D$68,BJ$4-$B39+1)</f>
        <v/>
      </c>
      <c r="BK39" s="75">
        <f>$C39*INDEX(Curves!$D$8:$D$68,BK$4-$B39+1)</f>
        <v/>
      </c>
      <c r="BL39" s="75">
        <f>$C39*INDEX(Curves!$D$8:$D$68,BL$4-$B39+1)</f>
        <v/>
      </c>
    </row>
    <row r="40">
      <c r="A40" s="74" t="inlineStr">
        <is>
          <t>Cohort month 31</t>
        </is>
      </c>
      <c r="B40" s="74" t="n">
        <v>31</v>
      </c>
      <c r="C40" s="17">
        <f>INDEX(Ops!$E$10:$BL$10,1,$B40)</f>
        <v/>
      </c>
      <c r="AJ40" s="75">
        <f>$C40*INDEX(Curves!$D$8:$D$68,AJ$4-$B40+1)</f>
        <v/>
      </c>
      <c r="AK40" s="75">
        <f>$C40*INDEX(Curves!$D$8:$D$68,AK$4-$B40+1)</f>
        <v/>
      </c>
      <c r="AL40" s="75">
        <f>$C40*INDEX(Curves!$D$8:$D$68,AL$4-$B40+1)</f>
        <v/>
      </c>
      <c r="AM40" s="75">
        <f>$C40*INDEX(Curves!$D$8:$D$68,AM$4-$B40+1)</f>
        <v/>
      </c>
      <c r="AN40" s="75">
        <f>$C40*INDEX(Curves!$D$8:$D$68,AN$4-$B40+1)</f>
        <v/>
      </c>
      <c r="AO40" s="75">
        <f>$C40*INDEX(Curves!$D$8:$D$68,AO$4-$B40+1)</f>
        <v/>
      </c>
      <c r="AP40" s="75">
        <f>$C40*INDEX(Curves!$D$8:$D$68,AP$4-$B40+1)</f>
        <v/>
      </c>
      <c r="AQ40" s="75">
        <f>$C40*INDEX(Curves!$D$8:$D$68,AQ$4-$B40+1)</f>
        <v/>
      </c>
      <c r="AR40" s="75">
        <f>$C40*INDEX(Curves!$D$8:$D$68,AR$4-$B40+1)</f>
        <v/>
      </c>
      <c r="AS40" s="75">
        <f>$C40*INDEX(Curves!$D$8:$D$68,AS$4-$B40+1)</f>
        <v/>
      </c>
      <c r="AT40" s="75">
        <f>$C40*INDEX(Curves!$D$8:$D$68,AT$4-$B40+1)</f>
        <v/>
      </c>
      <c r="AU40" s="75">
        <f>$C40*INDEX(Curves!$D$8:$D$68,AU$4-$B40+1)</f>
        <v/>
      </c>
      <c r="AV40" s="75">
        <f>$C40*INDEX(Curves!$D$8:$D$68,AV$4-$B40+1)</f>
        <v/>
      </c>
      <c r="AW40" s="75">
        <f>$C40*INDEX(Curves!$D$8:$D$68,AW$4-$B40+1)</f>
        <v/>
      </c>
      <c r="AX40" s="75">
        <f>$C40*INDEX(Curves!$D$8:$D$68,AX$4-$B40+1)</f>
        <v/>
      </c>
      <c r="AY40" s="75">
        <f>$C40*INDEX(Curves!$D$8:$D$68,AY$4-$B40+1)</f>
        <v/>
      </c>
      <c r="AZ40" s="75">
        <f>$C40*INDEX(Curves!$D$8:$D$68,AZ$4-$B40+1)</f>
        <v/>
      </c>
      <c r="BA40" s="75">
        <f>$C40*INDEX(Curves!$D$8:$D$68,BA$4-$B40+1)</f>
        <v/>
      </c>
      <c r="BB40" s="75">
        <f>$C40*INDEX(Curves!$D$8:$D$68,BB$4-$B40+1)</f>
        <v/>
      </c>
      <c r="BC40" s="75">
        <f>$C40*INDEX(Curves!$D$8:$D$68,BC$4-$B40+1)</f>
        <v/>
      </c>
      <c r="BD40" s="75">
        <f>$C40*INDEX(Curves!$D$8:$D$68,BD$4-$B40+1)</f>
        <v/>
      </c>
      <c r="BE40" s="75">
        <f>$C40*INDEX(Curves!$D$8:$D$68,BE$4-$B40+1)</f>
        <v/>
      </c>
      <c r="BF40" s="75">
        <f>$C40*INDEX(Curves!$D$8:$D$68,BF$4-$B40+1)</f>
        <v/>
      </c>
      <c r="BG40" s="75">
        <f>$C40*INDEX(Curves!$D$8:$D$68,BG$4-$B40+1)</f>
        <v/>
      </c>
      <c r="BH40" s="75">
        <f>$C40*INDEX(Curves!$D$8:$D$68,BH$4-$B40+1)</f>
        <v/>
      </c>
      <c r="BI40" s="75">
        <f>$C40*INDEX(Curves!$D$8:$D$68,BI$4-$B40+1)</f>
        <v/>
      </c>
      <c r="BJ40" s="75">
        <f>$C40*INDEX(Curves!$D$8:$D$68,BJ$4-$B40+1)</f>
        <v/>
      </c>
      <c r="BK40" s="75">
        <f>$C40*INDEX(Curves!$D$8:$D$68,BK$4-$B40+1)</f>
        <v/>
      </c>
      <c r="BL40" s="75">
        <f>$C40*INDEX(Curves!$D$8:$D$68,BL$4-$B40+1)</f>
        <v/>
      </c>
    </row>
    <row r="41">
      <c r="A41" s="74" t="inlineStr">
        <is>
          <t>Cohort month 32</t>
        </is>
      </c>
      <c r="B41" s="74" t="n">
        <v>32</v>
      </c>
      <c r="C41" s="17">
        <f>INDEX(Ops!$E$10:$BL$10,1,$B41)</f>
        <v/>
      </c>
      <c r="AK41" s="75">
        <f>$C41*INDEX(Curves!$D$8:$D$68,AK$4-$B41+1)</f>
        <v/>
      </c>
      <c r="AL41" s="75">
        <f>$C41*INDEX(Curves!$D$8:$D$68,AL$4-$B41+1)</f>
        <v/>
      </c>
      <c r="AM41" s="75">
        <f>$C41*INDEX(Curves!$D$8:$D$68,AM$4-$B41+1)</f>
        <v/>
      </c>
      <c r="AN41" s="75">
        <f>$C41*INDEX(Curves!$D$8:$D$68,AN$4-$B41+1)</f>
        <v/>
      </c>
      <c r="AO41" s="75">
        <f>$C41*INDEX(Curves!$D$8:$D$68,AO$4-$B41+1)</f>
        <v/>
      </c>
      <c r="AP41" s="75">
        <f>$C41*INDEX(Curves!$D$8:$D$68,AP$4-$B41+1)</f>
        <v/>
      </c>
      <c r="AQ41" s="75">
        <f>$C41*INDEX(Curves!$D$8:$D$68,AQ$4-$B41+1)</f>
        <v/>
      </c>
      <c r="AR41" s="75">
        <f>$C41*INDEX(Curves!$D$8:$D$68,AR$4-$B41+1)</f>
        <v/>
      </c>
      <c r="AS41" s="75">
        <f>$C41*INDEX(Curves!$D$8:$D$68,AS$4-$B41+1)</f>
        <v/>
      </c>
      <c r="AT41" s="75">
        <f>$C41*INDEX(Curves!$D$8:$D$68,AT$4-$B41+1)</f>
        <v/>
      </c>
      <c r="AU41" s="75">
        <f>$C41*INDEX(Curves!$D$8:$D$68,AU$4-$B41+1)</f>
        <v/>
      </c>
      <c r="AV41" s="75">
        <f>$C41*INDEX(Curves!$D$8:$D$68,AV$4-$B41+1)</f>
        <v/>
      </c>
      <c r="AW41" s="75">
        <f>$C41*INDEX(Curves!$D$8:$D$68,AW$4-$B41+1)</f>
        <v/>
      </c>
      <c r="AX41" s="75">
        <f>$C41*INDEX(Curves!$D$8:$D$68,AX$4-$B41+1)</f>
        <v/>
      </c>
      <c r="AY41" s="75">
        <f>$C41*INDEX(Curves!$D$8:$D$68,AY$4-$B41+1)</f>
        <v/>
      </c>
      <c r="AZ41" s="75">
        <f>$C41*INDEX(Curves!$D$8:$D$68,AZ$4-$B41+1)</f>
        <v/>
      </c>
      <c r="BA41" s="75">
        <f>$C41*INDEX(Curves!$D$8:$D$68,BA$4-$B41+1)</f>
        <v/>
      </c>
      <c r="BB41" s="75">
        <f>$C41*INDEX(Curves!$D$8:$D$68,BB$4-$B41+1)</f>
        <v/>
      </c>
      <c r="BC41" s="75">
        <f>$C41*INDEX(Curves!$D$8:$D$68,BC$4-$B41+1)</f>
        <v/>
      </c>
      <c r="BD41" s="75">
        <f>$C41*INDEX(Curves!$D$8:$D$68,BD$4-$B41+1)</f>
        <v/>
      </c>
      <c r="BE41" s="75">
        <f>$C41*INDEX(Curves!$D$8:$D$68,BE$4-$B41+1)</f>
        <v/>
      </c>
      <c r="BF41" s="75">
        <f>$C41*INDEX(Curves!$D$8:$D$68,BF$4-$B41+1)</f>
        <v/>
      </c>
      <c r="BG41" s="75">
        <f>$C41*INDEX(Curves!$D$8:$D$68,BG$4-$B41+1)</f>
        <v/>
      </c>
      <c r="BH41" s="75">
        <f>$C41*INDEX(Curves!$D$8:$D$68,BH$4-$B41+1)</f>
        <v/>
      </c>
      <c r="BI41" s="75">
        <f>$C41*INDEX(Curves!$D$8:$D$68,BI$4-$B41+1)</f>
        <v/>
      </c>
      <c r="BJ41" s="75">
        <f>$C41*INDEX(Curves!$D$8:$D$68,BJ$4-$B41+1)</f>
        <v/>
      </c>
      <c r="BK41" s="75">
        <f>$C41*INDEX(Curves!$D$8:$D$68,BK$4-$B41+1)</f>
        <v/>
      </c>
      <c r="BL41" s="75">
        <f>$C41*INDEX(Curves!$D$8:$D$68,BL$4-$B41+1)</f>
        <v/>
      </c>
    </row>
    <row r="42">
      <c r="A42" s="74" t="inlineStr">
        <is>
          <t>Cohort month 33</t>
        </is>
      </c>
      <c r="B42" s="74" t="n">
        <v>33</v>
      </c>
      <c r="C42" s="17">
        <f>INDEX(Ops!$E$10:$BL$10,1,$B42)</f>
        <v/>
      </c>
      <c r="AL42" s="75">
        <f>$C42*INDEX(Curves!$D$8:$D$68,AL$4-$B42+1)</f>
        <v/>
      </c>
      <c r="AM42" s="75">
        <f>$C42*INDEX(Curves!$D$8:$D$68,AM$4-$B42+1)</f>
        <v/>
      </c>
      <c r="AN42" s="75">
        <f>$C42*INDEX(Curves!$D$8:$D$68,AN$4-$B42+1)</f>
        <v/>
      </c>
      <c r="AO42" s="75">
        <f>$C42*INDEX(Curves!$D$8:$D$68,AO$4-$B42+1)</f>
        <v/>
      </c>
      <c r="AP42" s="75">
        <f>$C42*INDEX(Curves!$D$8:$D$68,AP$4-$B42+1)</f>
        <v/>
      </c>
      <c r="AQ42" s="75">
        <f>$C42*INDEX(Curves!$D$8:$D$68,AQ$4-$B42+1)</f>
        <v/>
      </c>
      <c r="AR42" s="75">
        <f>$C42*INDEX(Curves!$D$8:$D$68,AR$4-$B42+1)</f>
        <v/>
      </c>
      <c r="AS42" s="75">
        <f>$C42*INDEX(Curves!$D$8:$D$68,AS$4-$B42+1)</f>
        <v/>
      </c>
      <c r="AT42" s="75">
        <f>$C42*INDEX(Curves!$D$8:$D$68,AT$4-$B42+1)</f>
        <v/>
      </c>
      <c r="AU42" s="75">
        <f>$C42*INDEX(Curves!$D$8:$D$68,AU$4-$B42+1)</f>
        <v/>
      </c>
      <c r="AV42" s="75">
        <f>$C42*INDEX(Curves!$D$8:$D$68,AV$4-$B42+1)</f>
        <v/>
      </c>
      <c r="AW42" s="75">
        <f>$C42*INDEX(Curves!$D$8:$D$68,AW$4-$B42+1)</f>
        <v/>
      </c>
      <c r="AX42" s="75">
        <f>$C42*INDEX(Curves!$D$8:$D$68,AX$4-$B42+1)</f>
        <v/>
      </c>
      <c r="AY42" s="75">
        <f>$C42*INDEX(Curves!$D$8:$D$68,AY$4-$B42+1)</f>
        <v/>
      </c>
      <c r="AZ42" s="75">
        <f>$C42*INDEX(Curves!$D$8:$D$68,AZ$4-$B42+1)</f>
        <v/>
      </c>
      <c r="BA42" s="75">
        <f>$C42*INDEX(Curves!$D$8:$D$68,BA$4-$B42+1)</f>
        <v/>
      </c>
      <c r="BB42" s="75">
        <f>$C42*INDEX(Curves!$D$8:$D$68,BB$4-$B42+1)</f>
        <v/>
      </c>
      <c r="BC42" s="75">
        <f>$C42*INDEX(Curves!$D$8:$D$68,BC$4-$B42+1)</f>
        <v/>
      </c>
      <c r="BD42" s="75">
        <f>$C42*INDEX(Curves!$D$8:$D$68,BD$4-$B42+1)</f>
        <v/>
      </c>
      <c r="BE42" s="75">
        <f>$C42*INDEX(Curves!$D$8:$D$68,BE$4-$B42+1)</f>
        <v/>
      </c>
      <c r="BF42" s="75">
        <f>$C42*INDEX(Curves!$D$8:$D$68,BF$4-$B42+1)</f>
        <v/>
      </c>
      <c r="BG42" s="75">
        <f>$C42*INDEX(Curves!$D$8:$D$68,BG$4-$B42+1)</f>
        <v/>
      </c>
      <c r="BH42" s="75">
        <f>$C42*INDEX(Curves!$D$8:$D$68,BH$4-$B42+1)</f>
        <v/>
      </c>
      <c r="BI42" s="75">
        <f>$C42*INDEX(Curves!$D$8:$D$68,BI$4-$B42+1)</f>
        <v/>
      </c>
      <c r="BJ42" s="75">
        <f>$C42*INDEX(Curves!$D$8:$D$68,BJ$4-$B42+1)</f>
        <v/>
      </c>
      <c r="BK42" s="75">
        <f>$C42*INDEX(Curves!$D$8:$D$68,BK$4-$B42+1)</f>
        <v/>
      </c>
      <c r="BL42" s="75">
        <f>$C42*INDEX(Curves!$D$8:$D$68,BL$4-$B42+1)</f>
        <v/>
      </c>
    </row>
    <row r="43">
      <c r="A43" s="74" t="inlineStr">
        <is>
          <t>Cohort month 34</t>
        </is>
      </c>
      <c r="B43" s="74" t="n">
        <v>34</v>
      </c>
      <c r="C43" s="17">
        <f>INDEX(Ops!$E$10:$BL$10,1,$B43)</f>
        <v/>
      </c>
      <c r="AM43" s="75">
        <f>$C43*INDEX(Curves!$D$8:$D$68,AM$4-$B43+1)</f>
        <v/>
      </c>
      <c r="AN43" s="75">
        <f>$C43*INDEX(Curves!$D$8:$D$68,AN$4-$B43+1)</f>
        <v/>
      </c>
      <c r="AO43" s="75">
        <f>$C43*INDEX(Curves!$D$8:$D$68,AO$4-$B43+1)</f>
        <v/>
      </c>
      <c r="AP43" s="75">
        <f>$C43*INDEX(Curves!$D$8:$D$68,AP$4-$B43+1)</f>
        <v/>
      </c>
      <c r="AQ43" s="75">
        <f>$C43*INDEX(Curves!$D$8:$D$68,AQ$4-$B43+1)</f>
        <v/>
      </c>
      <c r="AR43" s="75">
        <f>$C43*INDEX(Curves!$D$8:$D$68,AR$4-$B43+1)</f>
        <v/>
      </c>
      <c r="AS43" s="75">
        <f>$C43*INDEX(Curves!$D$8:$D$68,AS$4-$B43+1)</f>
        <v/>
      </c>
      <c r="AT43" s="75">
        <f>$C43*INDEX(Curves!$D$8:$D$68,AT$4-$B43+1)</f>
        <v/>
      </c>
      <c r="AU43" s="75">
        <f>$C43*INDEX(Curves!$D$8:$D$68,AU$4-$B43+1)</f>
        <v/>
      </c>
      <c r="AV43" s="75">
        <f>$C43*INDEX(Curves!$D$8:$D$68,AV$4-$B43+1)</f>
        <v/>
      </c>
      <c r="AW43" s="75">
        <f>$C43*INDEX(Curves!$D$8:$D$68,AW$4-$B43+1)</f>
        <v/>
      </c>
      <c r="AX43" s="75">
        <f>$C43*INDEX(Curves!$D$8:$D$68,AX$4-$B43+1)</f>
        <v/>
      </c>
      <c r="AY43" s="75">
        <f>$C43*INDEX(Curves!$D$8:$D$68,AY$4-$B43+1)</f>
        <v/>
      </c>
      <c r="AZ43" s="75">
        <f>$C43*INDEX(Curves!$D$8:$D$68,AZ$4-$B43+1)</f>
        <v/>
      </c>
      <c r="BA43" s="75">
        <f>$C43*INDEX(Curves!$D$8:$D$68,BA$4-$B43+1)</f>
        <v/>
      </c>
      <c r="BB43" s="75">
        <f>$C43*INDEX(Curves!$D$8:$D$68,BB$4-$B43+1)</f>
        <v/>
      </c>
      <c r="BC43" s="75">
        <f>$C43*INDEX(Curves!$D$8:$D$68,BC$4-$B43+1)</f>
        <v/>
      </c>
      <c r="BD43" s="75">
        <f>$C43*INDEX(Curves!$D$8:$D$68,BD$4-$B43+1)</f>
        <v/>
      </c>
      <c r="BE43" s="75">
        <f>$C43*INDEX(Curves!$D$8:$D$68,BE$4-$B43+1)</f>
        <v/>
      </c>
      <c r="BF43" s="75">
        <f>$C43*INDEX(Curves!$D$8:$D$68,BF$4-$B43+1)</f>
        <v/>
      </c>
      <c r="BG43" s="75">
        <f>$C43*INDEX(Curves!$D$8:$D$68,BG$4-$B43+1)</f>
        <v/>
      </c>
      <c r="BH43" s="75">
        <f>$C43*INDEX(Curves!$D$8:$D$68,BH$4-$B43+1)</f>
        <v/>
      </c>
      <c r="BI43" s="75">
        <f>$C43*INDEX(Curves!$D$8:$D$68,BI$4-$B43+1)</f>
        <v/>
      </c>
      <c r="BJ43" s="75">
        <f>$C43*INDEX(Curves!$D$8:$D$68,BJ$4-$B43+1)</f>
        <v/>
      </c>
      <c r="BK43" s="75">
        <f>$C43*INDEX(Curves!$D$8:$D$68,BK$4-$B43+1)</f>
        <v/>
      </c>
      <c r="BL43" s="75">
        <f>$C43*INDEX(Curves!$D$8:$D$68,BL$4-$B43+1)</f>
        <v/>
      </c>
    </row>
    <row r="44">
      <c r="A44" s="74" t="inlineStr">
        <is>
          <t>Cohort month 35</t>
        </is>
      </c>
      <c r="B44" s="74" t="n">
        <v>35</v>
      </c>
      <c r="C44" s="17">
        <f>INDEX(Ops!$E$10:$BL$10,1,$B44)</f>
        <v/>
      </c>
      <c r="AN44" s="75">
        <f>$C44*INDEX(Curves!$D$8:$D$68,AN$4-$B44+1)</f>
        <v/>
      </c>
      <c r="AO44" s="75">
        <f>$C44*INDEX(Curves!$D$8:$D$68,AO$4-$B44+1)</f>
        <v/>
      </c>
      <c r="AP44" s="75">
        <f>$C44*INDEX(Curves!$D$8:$D$68,AP$4-$B44+1)</f>
        <v/>
      </c>
      <c r="AQ44" s="75">
        <f>$C44*INDEX(Curves!$D$8:$D$68,AQ$4-$B44+1)</f>
        <v/>
      </c>
      <c r="AR44" s="75">
        <f>$C44*INDEX(Curves!$D$8:$D$68,AR$4-$B44+1)</f>
        <v/>
      </c>
      <c r="AS44" s="75">
        <f>$C44*INDEX(Curves!$D$8:$D$68,AS$4-$B44+1)</f>
        <v/>
      </c>
      <c r="AT44" s="75">
        <f>$C44*INDEX(Curves!$D$8:$D$68,AT$4-$B44+1)</f>
        <v/>
      </c>
      <c r="AU44" s="75">
        <f>$C44*INDEX(Curves!$D$8:$D$68,AU$4-$B44+1)</f>
        <v/>
      </c>
      <c r="AV44" s="75">
        <f>$C44*INDEX(Curves!$D$8:$D$68,AV$4-$B44+1)</f>
        <v/>
      </c>
      <c r="AW44" s="75">
        <f>$C44*INDEX(Curves!$D$8:$D$68,AW$4-$B44+1)</f>
        <v/>
      </c>
      <c r="AX44" s="75">
        <f>$C44*INDEX(Curves!$D$8:$D$68,AX$4-$B44+1)</f>
        <v/>
      </c>
      <c r="AY44" s="75">
        <f>$C44*INDEX(Curves!$D$8:$D$68,AY$4-$B44+1)</f>
        <v/>
      </c>
      <c r="AZ44" s="75">
        <f>$C44*INDEX(Curves!$D$8:$D$68,AZ$4-$B44+1)</f>
        <v/>
      </c>
      <c r="BA44" s="75">
        <f>$C44*INDEX(Curves!$D$8:$D$68,BA$4-$B44+1)</f>
        <v/>
      </c>
      <c r="BB44" s="75">
        <f>$C44*INDEX(Curves!$D$8:$D$68,BB$4-$B44+1)</f>
        <v/>
      </c>
      <c r="BC44" s="75">
        <f>$C44*INDEX(Curves!$D$8:$D$68,BC$4-$B44+1)</f>
        <v/>
      </c>
      <c r="BD44" s="75">
        <f>$C44*INDEX(Curves!$D$8:$D$68,BD$4-$B44+1)</f>
        <v/>
      </c>
      <c r="BE44" s="75">
        <f>$C44*INDEX(Curves!$D$8:$D$68,BE$4-$B44+1)</f>
        <v/>
      </c>
      <c r="BF44" s="75">
        <f>$C44*INDEX(Curves!$D$8:$D$68,BF$4-$B44+1)</f>
        <v/>
      </c>
      <c r="BG44" s="75">
        <f>$C44*INDEX(Curves!$D$8:$D$68,BG$4-$B44+1)</f>
        <v/>
      </c>
      <c r="BH44" s="75">
        <f>$C44*INDEX(Curves!$D$8:$D$68,BH$4-$B44+1)</f>
        <v/>
      </c>
      <c r="BI44" s="75">
        <f>$C44*INDEX(Curves!$D$8:$D$68,BI$4-$B44+1)</f>
        <v/>
      </c>
      <c r="BJ44" s="75">
        <f>$C44*INDEX(Curves!$D$8:$D$68,BJ$4-$B44+1)</f>
        <v/>
      </c>
      <c r="BK44" s="75">
        <f>$C44*INDEX(Curves!$D$8:$D$68,BK$4-$B44+1)</f>
        <v/>
      </c>
      <c r="BL44" s="75">
        <f>$C44*INDEX(Curves!$D$8:$D$68,BL$4-$B44+1)</f>
        <v/>
      </c>
    </row>
    <row r="45">
      <c r="A45" s="74" t="inlineStr">
        <is>
          <t>Cohort month 36</t>
        </is>
      </c>
      <c r="B45" s="74" t="n">
        <v>36</v>
      </c>
      <c r="C45" s="17">
        <f>INDEX(Ops!$E$10:$BL$10,1,$B45)</f>
        <v/>
      </c>
      <c r="AO45" s="75">
        <f>$C45*INDEX(Curves!$D$8:$D$68,AO$4-$B45+1)</f>
        <v/>
      </c>
      <c r="AP45" s="75">
        <f>$C45*INDEX(Curves!$D$8:$D$68,AP$4-$B45+1)</f>
        <v/>
      </c>
      <c r="AQ45" s="75">
        <f>$C45*INDEX(Curves!$D$8:$D$68,AQ$4-$B45+1)</f>
        <v/>
      </c>
      <c r="AR45" s="75">
        <f>$C45*INDEX(Curves!$D$8:$D$68,AR$4-$B45+1)</f>
        <v/>
      </c>
      <c r="AS45" s="75">
        <f>$C45*INDEX(Curves!$D$8:$D$68,AS$4-$B45+1)</f>
        <v/>
      </c>
      <c r="AT45" s="75">
        <f>$C45*INDEX(Curves!$D$8:$D$68,AT$4-$B45+1)</f>
        <v/>
      </c>
      <c r="AU45" s="75">
        <f>$C45*INDEX(Curves!$D$8:$D$68,AU$4-$B45+1)</f>
        <v/>
      </c>
      <c r="AV45" s="75">
        <f>$C45*INDEX(Curves!$D$8:$D$68,AV$4-$B45+1)</f>
        <v/>
      </c>
      <c r="AW45" s="75">
        <f>$C45*INDEX(Curves!$D$8:$D$68,AW$4-$B45+1)</f>
        <v/>
      </c>
      <c r="AX45" s="75">
        <f>$C45*INDEX(Curves!$D$8:$D$68,AX$4-$B45+1)</f>
        <v/>
      </c>
      <c r="AY45" s="75">
        <f>$C45*INDEX(Curves!$D$8:$D$68,AY$4-$B45+1)</f>
        <v/>
      </c>
      <c r="AZ45" s="75">
        <f>$C45*INDEX(Curves!$D$8:$D$68,AZ$4-$B45+1)</f>
        <v/>
      </c>
      <c r="BA45" s="75">
        <f>$C45*INDEX(Curves!$D$8:$D$68,BA$4-$B45+1)</f>
        <v/>
      </c>
      <c r="BB45" s="75">
        <f>$C45*INDEX(Curves!$D$8:$D$68,BB$4-$B45+1)</f>
        <v/>
      </c>
      <c r="BC45" s="75">
        <f>$C45*INDEX(Curves!$D$8:$D$68,BC$4-$B45+1)</f>
        <v/>
      </c>
      <c r="BD45" s="75">
        <f>$C45*INDEX(Curves!$D$8:$D$68,BD$4-$B45+1)</f>
        <v/>
      </c>
      <c r="BE45" s="75">
        <f>$C45*INDEX(Curves!$D$8:$D$68,BE$4-$B45+1)</f>
        <v/>
      </c>
      <c r="BF45" s="75">
        <f>$C45*INDEX(Curves!$D$8:$D$68,BF$4-$B45+1)</f>
        <v/>
      </c>
      <c r="BG45" s="75">
        <f>$C45*INDEX(Curves!$D$8:$D$68,BG$4-$B45+1)</f>
        <v/>
      </c>
      <c r="BH45" s="75">
        <f>$C45*INDEX(Curves!$D$8:$D$68,BH$4-$B45+1)</f>
        <v/>
      </c>
      <c r="BI45" s="75">
        <f>$C45*INDEX(Curves!$D$8:$D$68,BI$4-$B45+1)</f>
        <v/>
      </c>
      <c r="BJ45" s="75">
        <f>$C45*INDEX(Curves!$D$8:$D$68,BJ$4-$B45+1)</f>
        <v/>
      </c>
      <c r="BK45" s="75">
        <f>$C45*INDEX(Curves!$D$8:$D$68,BK$4-$B45+1)</f>
        <v/>
      </c>
      <c r="BL45" s="75">
        <f>$C45*INDEX(Curves!$D$8:$D$68,BL$4-$B45+1)</f>
        <v/>
      </c>
    </row>
    <row r="46">
      <c r="A46" s="74" t="inlineStr">
        <is>
          <t>Cohort month 37</t>
        </is>
      </c>
      <c r="B46" s="74" t="n">
        <v>37</v>
      </c>
      <c r="C46" s="17">
        <f>INDEX(Ops!$E$10:$BL$10,1,$B46)</f>
        <v/>
      </c>
      <c r="AP46" s="75">
        <f>$C46*INDEX(Curves!$D$8:$D$68,AP$4-$B46+1)</f>
        <v/>
      </c>
      <c r="AQ46" s="75">
        <f>$C46*INDEX(Curves!$D$8:$D$68,AQ$4-$B46+1)</f>
        <v/>
      </c>
      <c r="AR46" s="75">
        <f>$C46*INDEX(Curves!$D$8:$D$68,AR$4-$B46+1)</f>
        <v/>
      </c>
      <c r="AS46" s="75">
        <f>$C46*INDEX(Curves!$D$8:$D$68,AS$4-$B46+1)</f>
        <v/>
      </c>
      <c r="AT46" s="75">
        <f>$C46*INDEX(Curves!$D$8:$D$68,AT$4-$B46+1)</f>
        <v/>
      </c>
      <c r="AU46" s="75">
        <f>$C46*INDEX(Curves!$D$8:$D$68,AU$4-$B46+1)</f>
        <v/>
      </c>
      <c r="AV46" s="75">
        <f>$C46*INDEX(Curves!$D$8:$D$68,AV$4-$B46+1)</f>
        <v/>
      </c>
      <c r="AW46" s="75">
        <f>$C46*INDEX(Curves!$D$8:$D$68,AW$4-$B46+1)</f>
        <v/>
      </c>
      <c r="AX46" s="75">
        <f>$C46*INDEX(Curves!$D$8:$D$68,AX$4-$B46+1)</f>
        <v/>
      </c>
      <c r="AY46" s="75">
        <f>$C46*INDEX(Curves!$D$8:$D$68,AY$4-$B46+1)</f>
        <v/>
      </c>
      <c r="AZ46" s="75">
        <f>$C46*INDEX(Curves!$D$8:$D$68,AZ$4-$B46+1)</f>
        <v/>
      </c>
      <c r="BA46" s="75">
        <f>$C46*INDEX(Curves!$D$8:$D$68,BA$4-$B46+1)</f>
        <v/>
      </c>
      <c r="BB46" s="75">
        <f>$C46*INDEX(Curves!$D$8:$D$68,BB$4-$B46+1)</f>
        <v/>
      </c>
      <c r="BC46" s="75">
        <f>$C46*INDEX(Curves!$D$8:$D$68,BC$4-$B46+1)</f>
        <v/>
      </c>
      <c r="BD46" s="75">
        <f>$C46*INDEX(Curves!$D$8:$D$68,BD$4-$B46+1)</f>
        <v/>
      </c>
      <c r="BE46" s="75">
        <f>$C46*INDEX(Curves!$D$8:$D$68,BE$4-$B46+1)</f>
        <v/>
      </c>
      <c r="BF46" s="75">
        <f>$C46*INDEX(Curves!$D$8:$D$68,BF$4-$B46+1)</f>
        <v/>
      </c>
      <c r="BG46" s="75">
        <f>$C46*INDEX(Curves!$D$8:$D$68,BG$4-$B46+1)</f>
        <v/>
      </c>
      <c r="BH46" s="75">
        <f>$C46*INDEX(Curves!$D$8:$D$68,BH$4-$B46+1)</f>
        <v/>
      </c>
      <c r="BI46" s="75">
        <f>$C46*INDEX(Curves!$D$8:$D$68,BI$4-$B46+1)</f>
        <v/>
      </c>
      <c r="BJ46" s="75">
        <f>$C46*INDEX(Curves!$D$8:$D$68,BJ$4-$B46+1)</f>
        <v/>
      </c>
      <c r="BK46" s="75">
        <f>$C46*INDEX(Curves!$D$8:$D$68,BK$4-$B46+1)</f>
        <v/>
      </c>
      <c r="BL46" s="75">
        <f>$C46*INDEX(Curves!$D$8:$D$68,BL$4-$B46+1)</f>
        <v/>
      </c>
    </row>
    <row r="47">
      <c r="A47" s="74" t="inlineStr">
        <is>
          <t>Cohort month 38</t>
        </is>
      </c>
      <c r="B47" s="74" t="n">
        <v>38</v>
      </c>
      <c r="C47" s="17">
        <f>INDEX(Ops!$E$10:$BL$10,1,$B47)</f>
        <v/>
      </c>
      <c r="AQ47" s="75">
        <f>$C47*INDEX(Curves!$D$8:$D$68,AQ$4-$B47+1)</f>
        <v/>
      </c>
      <c r="AR47" s="75">
        <f>$C47*INDEX(Curves!$D$8:$D$68,AR$4-$B47+1)</f>
        <v/>
      </c>
      <c r="AS47" s="75">
        <f>$C47*INDEX(Curves!$D$8:$D$68,AS$4-$B47+1)</f>
        <v/>
      </c>
      <c r="AT47" s="75">
        <f>$C47*INDEX(Curves!$D$8:$D$68,AT$4-$B47+1)</f>
        <v/>
      </c>
      <c r="AU47" s="75">
        <f>$C47*INDEX(Curves!$D$8:$D$68,AU$4-$B47+1)</f>
        <v/>
      </c>
      <c r="AV47" s="75">
        <f>$C47*INDEX(Curves!$D$8:$D$68,AV$4-$B47+1)</f>
        <v/>
      </c>
      <c r="AW47" s="75">
        <f>$C47*INDEX(Curves!$D$8:$D$68,AW$4-$B47+1)</f>
        <v/>
      </c>
      <c r="AX47" s="75">
        <f>$C47*INDEX(Curves!$D$8:$D$68,AX$4-$B47+1)</f>
        <v/>
      </c>
      <c r="AY47" s="75">
        <f>$C47*INDEX(Curves!$D$8:$D$68,AY$4-$B47+1)</f>
        <v/>
      </c>
      <c r="AZ47" s="75">
        <f>$C47*INDEX(Curves!$D$8:$D$68,AZ$4-$B47+1)</f>
        <v/>
      </c>
      <c r="BA47" s="75">
        <f>$C47*INDEX(Curves!$D$8:$D$68,BA$4-$B47+1)</f>
        <v/>
      </c>
      <c r="BB47" s="75">
        <f>$C47*INDEX(Curves!$D$8:$D$68,BB$4-$B47+1)</f>
        <v/>
      </c>
      <c r="BC47" s="75">
        <f>$C47*INDEX(Curves!$D$8:$D$68,BC$4-$B47+1)</f>
        <v/>
      </c>
      <c r="BD47" s="75">
        <f>$C47*INDEX(Curves!$D$8:$D$68,BD$4-$B47+1)</f>
        <v/>
      </c>
      <c r="BE47" s="75">
        <f>$C47*INDEX(Curves!$D$8:$D$68,BE$4-$B47+1)</f>
        <v/>
      </c>
      <c r="BF47" s="75">
        <f>$C47*INDEX(Curves!$D$8:$D$68,BF$4-$B47+1)</f>
        <v/>
      </c>
      <c r="BG47" s="75">
        <f>$C47*INDEX(Curves!$D$8:$D$68,BG$4-$B47+1)</f>
        <v/>
      </c>
      <c r="BH47" s="75">
        <f>$C47*INDEX(Curves!$D$8:$D$68,BH$4-$B47+1)</f>
        <v/>
      </c>
      <c r="BI47" s="75">
        <f>$C47*INDEX(Curves!$D$8:$D$68,BI$4-$B47+1)</f>
        <v/>
      </c>
      <c r="BJ47" s="75">
        <f>$C47*INDEX(Curves!$D$8:$D$68,BJ$4-$B47+1)</f>
        <v/>
      </c>
      <c r="BK47" s="75">
        <f>$C47*INDEX(Curves!$D$8:$D$68,BK$4-$B47+1)</f>
        <v/>
      </c>
      <c r="BL47" s="75">
        <f>$C47*INDEX(Curves!$D$8:$D$68,BL$4-$B47+1)</f>
        <v/>
      </c>
    </row>
    <row r="48">
      <c r="A48" s="74" t="inlineStr">
        <is>
          <t>Cohort month 39</t>
        </is>
      </c>
      <c r="B48" s="74" t="n">
        <v>39</v>
      </c>
      <c r="C48" s="17">
        <f>INDEX(Ops!$E$10:$BL$10,1,$B48)</f>
        <v/>
      </c>
      <c r="AR48" s="75">
        <f>$C48*INDEX(Curves!$D$8:$D$68,AR$4-$B48+1)</f>
        <v/>
      </c>
      <c r="AS48" s="75">
        <f>$C48*INDEX(Curves!$D$8:$D$68,AS$4-$B48+1)</f>
        <v/>
      </c>
      <c r="AT48" s="75">
        <f>$C48*INDEX(Curves!$D$8:$D$68,AT$4-$B48+1)</f>
        <v/>
      </c>
      <c r="AU48" s="75">
        <f>$C48*INDEX(Curves!$D$8:$D$68,AU$4-$B48+1)</f>
        <v/>
      </c>
      <c r="AV48" s="75">
        <f>$C48*INDEX(Curves!$D$8:$D$68,AV$4-$B48+1)</f>
        <v/>
      </c>
      <c r="AW48" s="75">
        <f>$C48*INDEX(Curves!$D$8:$D$68,AW$4-$B48+1)</f>
        <v/>
      </c>
      <c r="AX48" s="75">
        <f>$C48*INDEX(Curves!$D$8:$D$68,AX$4-$B48+1)</f>
        <v/>
      </c>
      <c r="AY48" s="75">
        <f>$C48*INDEX(Curves!$D$8:$D$68,AY$4-$B48+1)</f>
        <v/>
      </c>
      <c r="AZ48" s="75">
        <f>$C48*INDEX(Curves!$D$8:$D$68,AZ$4-$B48+1)</f>
        <v/>
      </c>
      <c r="BA48" s="75">
        <f>$C48*INDEX(Curves!$D$8:$D$68,BA$4-$B48+1)</f>
        <v/>
      </c>
      <c r="BB48" s="75">
        <f>$C48*INDEX(Curves!$D$8:$D$68,BB$4-$B48+1)</f>
        <v/>
      </c>
      <c r="BC48" s="75">
        <f>$C48*INDEX(Curves!$D$8:$D$68,BC$4-$B48+1)</f>
        <v/>
      </c>
      <c r="BD48" s="75">
        <f>$C48*INDEX(Curves!$D$8:$D$68,BD$4-$B48+1)</f>
        <v/>
      </c>
      <c r="BE48" s="75">
        <f>$C48*INDEX(Curves!$D$8:$D$68,BE$4-$B48+1)</f>
        <v/>
      </c>
      <c r="BF48" s="75">
        <f>$C48*INDEX(Curves!$D$8:$D$68,BF$4-$B48+1)</f>
        <v/>
      </c>
      <c r="BG48" s="75">
        <f>$C48*INDEX(Curves!$D$8:$D$68,BG$4-$B48+1)</f>
        <v/>
      </c>
      <c r="BH48" s="75">
        <f>$C48*INDEX(Curves!$D$8:$D$68,BH$4-$B48+1)</f>
        <v/>
      </c>
      <c r="BI48" s="75">
        <f>$C48*INDEX(Curves!$D$8:$D$68,BI$4-$B48+1)</f>
        <v/>
      </c>
      <c r="BJ48" s="75">
        <f>$C48*INDEX(Curves!$D$8:$D$68,BJ$4-$B48+1)</f>
        <v/>
      </c>
      <c r="BK48" s="75">
        <f>$C48*INDEX(Curves!$D$8:$D$68,BK$4-$B48+1)</f>
        <v/>
      </c>
      <c r="BL48" s="75">
        <f>$C48*INDEX(Curves!$D$8:$D$68,BL$4-$B48+1)</f>
        <v/>
      </c>
    </row>
    <row r="49">
      <c r="A49" s="74" t="inlineStr">
        <is>
          <t>Cohort month 40</t>
        </is>
      </c>
      <c r="B49" s="74" t="n">
        <v>40</v>
      </c>
      <c r="C49" s="17">
        <f>INDEX(Ops!$E$10:$BL$10,1,$B49)</f>
        <v/>
      </c>
      <c r="AS49" s="75">
        <f>$C49*INDEX(Curves!$D$8:$D$68,AS$4-$B49+1)</f>
        <v/>
      </c>
      <c r="AT49" s="75">
        <f>$C49*INDEX(Curves!$D$8:$D$68,AT$4-$B49+1)</f>
        <v/>
      </c>
      <c r="AU49" s="75">
        <f>$C49*INDEX(Curves!$D$8:$D$68,AU$4-$B49+1)</f>
        <v/>
      </c>
      <c r="AV49" s="75">
        <f>$C49*INDEX(Curves!$D$8:$D$68,AV$4-$B49+1)</f>
        <v/>
      </c>
      <c r="AW49" s="75">
        <f>$C49*INDEX(Curves!$D$8:$D$68,AW$4-$B49+1)</f>
        <v/>
      </c>
      <c r="AX49" s="75">
        <f>$C49*INDEX(Curves!$D$8:$D$68,AX$4-$B49+1)</f>
        <v/>
      </c>
      <c r="AY49" s="75">
        <f>$C49*INDEX(Curves!$D$8:$D$68,AY$4-$B49+1)</f>
        <v/>
      </c>
      <c r="AZ49" s="75">
        <f>$C49*INDEX(Curves!$D$8:$D$68,AZ$4-$B49+1)</f>
        <v/>
      </c>
      <c r="BA49" s="75">
        <f>$C49*INDEX(Curves!$D$8:$D$68,BA$4-$B49+1)</f>
        <v/>
      </c>
      <c r="BB49" s="75">
        <f>$C49*INDEX(Curves!$D$8:$D$68,BB$4-$B49+1)</f>
        <v/>
      </c>
      <c r="BC49" s="75">
        <f>$C49*INDEX(Curves!$D$8:$D$68,BC$4-$B49+1)</f>
        <v/>
      </c>
      <c r="BD49" s="75">
        <f>$C49*INDEX(Curves!$D$8:$D$68,BD$4-$B49+1)</f>
        <v/>
      </c>
      <c r="BE49" s="75">
        <f>$C49*INDEX(Curves!$D$8:$D$68,BE$4-$B49+1)</f>
        <v/>
      </c>
      <c r="BF49" s="75">
        <f>$C49*INDEX(Curves!$D$8:$D$68,BF$4-$B49+1)</f>
        <v/>
      </c>
      <c r="BG49" s="75">
        <f>$C49*INDEX(Curves!$D$8:$D$68,BG$4-$B49+1)</f>
        <v/>
      </c>
      <c r="BH49" s="75">
        <f>$C49*INDEX(Curves!$D$8:$D$68,BH$4-$B49+1)</f>
        <v/>
      </c>
      <c r="BI49" s="75">
        <f>$C49*INDEX(Curves!$D$8:$D$68,BI$4-$B49+1)</f>
        <v/>
      </c>
      <c r="BJ49" s="75">
        <f>$C49*INDEX(Curves!$D$8:$D$68,BJ$4-$B49+1)</f>
        <v/>
      </c>
      <c r="BK49" s="75">
        <f>$C49*INDEX(Curves!$D$8:$D$68,BK$4-$B49+1)</f>
        <v/>
      </c>
      <c r="BL49" s="75">
        <f>$C49*INDEX(Curves!$D$8:$D$68,BL$4-$B49+1)</f>
        <v/>
      </c>
    </row>
    <row r="50">
      <c r="A50" s="74" t="inlineStr">
        <is>
          <t>Cohort month 41</t>
        </is>
      </c>
      <c r="B50" s="74" t="n">
        <v>41</v>
      </c>
      <c r="C50" s="17">
        <f>INDEX(Ops!$E$10:$BL$10,1,$B50)</f>
        <v/>
      </c>
      <c r="AT50" s="75">
        <f>$C50*INDEX(Curves!$D$8:$D$68,AT$4-$B50+1)</f>
        <v/>
      </c>
      <c r="AU50" s="75">
        <f>$C50*INDEX(Curves!$D$8:$D$68,AU$4-$B50+1)</f>
        <v/>
      </c>
      <c r="AV50" s="75">
        <f>$C50*INDEX(Curves!$D$8:$D$68,AV$4-$B50+1)</f>
        <v/>
      </c>
      <c r="AW50" s="75">
        <f>$C50*INDEX(Curves!$D$8:$D$68,AW$4-$B50+1)</f>
        <v/>
      </c>
      <c r="AX50" s="75">
        <f>$C50*INDEX(Curves!$D$8:$D$68,AX$4-$B50+1)</f>
        <v/>
      </c>
      <c r="AY50" s="75">
        <f>$C50*INDEX(Curves!$D$8:$D$68,AY$4-$B50+1)</f>
        <v/>
      </c>
      <c r="AZ50" s="75">
        <f>$C50*INDEX(Curves!$D$8:$D$68,AZ$4-$B50+1)</f>
        <v/>
      </c>
      <c r="BA50" s="75">
        <f>$C50*INDEX(Curves!$D$8:$D$68,BA$4-$B50+1)</f>
        <v/>
      </c>
      <c r="BB50" s="75">
        <f>$C50*INDEX(Curves!$D$8:$D$68,BB$4-$B50+1)</f>
        <v/>
      </c>
      <c r="BC50" s="75">
        <f>$C50*INDEX(Curves!$D$8:$D$68,BC$4-$B50+1)</f>
        <v/>
      </c>
      <c r="BD50" s="75">
        <f>$C50*INDEX(Curves!$D$8:$D$68,BD$4-$B50+1)</f>
        <v/>
      </c>
      <c r="BE50" s="75">
        <f>$C50*INDEX(Curves!$D$8:$D$68,BE$4-$B50+1)</f>
        <v/>
      </c>
      <c r="BF50" s="75">
        <f>$C50*INDEX(Curves!$D$8:$D$68,BF$4-$B50+1)</f>
        <v/>
      </c>
      <c r="BG50" s="75">
        <f>$C50*INDEX(Curves!$D$8:$D$68,BG$4-$B50+1)</f>
        <v/>
      </c>
      <c r="BH50" s="75">
        <f>$C50*INDEX(Curves!$D$8:$D$68,BH$4-$B50+1)</f>
        <v/>
      </c>
      <c r="BI50" s="75">
        <f>$C50*INDEX(Curves!$D$8:$D$68,BI$4-$B50+1)</f>
        <v/>
      </c>
      <c r="BJ50" s="75">
        <f>$C50*INDEX(Curves!$D$8:$D$68,BJ$4-$B50+1)</f>
        <v/>
      </c>
      <c r="BK50" s="75">
        <f>$C50*INDEX(Curves!$D$8:$D$68,BK$4-$B50+1)</f>
        <v/>
      </c>
      <c r="BL50" s="75">
        <f>$C50*INDEX(Curves!$D$8:$D$68,BL$4-$B50+1)</f>
        <v/>
      </c>
    </row>
    <row r="51">
      <c r="A51" s="74" t="inlineStr">
        <is>
          <t>Cohort month 42</t>
        </is>
      </c>
      <c r="B51" s="74" t="n">
        <v>42</v>
      </c>
      <c r="C51" s="17">
        <f>INDEX(Ops!$E$10:$BL$10,1,$B51)</f>
        <v/>
      </c>
      <c r="AU51" s="75">
        <f>$C51*INDEX(Curves!$D$8:$D$68,AU$4-$B51+1)</f>
        <v/>
      </c>
      <c r="AV51" s="75">
        <f>$C51*INDEX(Curves!$D$8:$D$68,AV$4-$B51+1)</f>
        <v/>
      </c>
      <c r="AW51" s="75">
        <f>$C51*INDEX(Curves!$D$8:$D$68,AW$4-$B51+1)</f>
        <v/>
      </c>
      <c r="AX51" s="75">
        <f>$C51*INDEX(Curves!$D$8:$D$68,AX$4-$B51+1)</f>
        <v/>
      </c>
      <c r="AY51" s="75">
        <f>$C51*INDEX(Curves!$D$8:$D$68,AY$4-$B51+1)</f>
        <v/>
      </c>
      <c r="AZ51" s="75">
        <f>$C51*INDEX(Curves!$D$8:$D$68,AZ$4-$B51+1)</f>
        <v/>
      </c>
      <c r="BA51" s="75">
        <f>$C51*INDEX(Curves!$D$8:$D$68,BA$4-$B51+1)</f>
        <v/>
      </c>
      <c r="BB51" s="75">
        <f>$C51*INDEX(Curves!$D$8:$D$68,BB$4-$B51+1)</f>
        <v/>
      </c>
      <c r="BC51" s="75">
        <f>$C51*INDEX(Curves!$D$8:$D$68,BC$4-$B51+1)</f>
        <v/>
      </c>
      <c r="BD51" s="75">
        <f>$C51*INDEX(Curves!$D$8:$D$68,BD$4-$B51+1)</f>
        <v/>
      </c>
      <c r="BE51" s="75">
        <f>$C51*INDEX(Curves!$D$8:$D$68,BE$4-$B51+1)</f>
        <v/>
      </c>
      <c r="BF51" s="75">
        <f>$C51*INDEX(Curves!$D$8:$D$68,BF$4-$B51+1)</f>
        <v/>
      </c>
      <c r="BG51" s="75">
        <f>$C51*INDEX(Curves!$D$8:$D$68,BG$4-$B51+1)</f>
        <v/>
      </c>
      <c r="BH51" s="75">
        <f>$C51*INDEX(Curves!$D$8:$D$68,BH$4-$B51+1)</f>
        <v/>
      </c>
      <c r="BI51" s="75">
        <f>$C51*INDEX(Curves!$D$8:$D$68,BI$4-$B51+1)</f>
        <v/>
      </c>
      <c r="BJ51" s="75">
        <f>$C51*INDEX(Curves!$D$8:$D$68,BJ$4-$B51+1)</f>
        <v/>
      </c>
      <c r="BK51" s="75">
        <f>$C51*INDEX(Curves!$D$8:$D$68,BK$4-$B51+1)</f>
        <v/>
      </c>
      <c r="BL51" s="75">
        <f>$C51*INDEX(Curves!$D$8:$D$68,BL$4-$B51+1)</f>
        <v/>
      </c>
    </row>
    <row r="52">
      <c r="A52" s="74" t="inlineStr">
        <is>
          <t>Cohort month 43</t>
        </is>
      </c>
      <c r="B52" s="74" t="n">
        <v>43</v>
      </c>
      <c r="C52" s="17">
        <f>INDEX(Ops!$E$10:$BL$10,1,$B52)</f>
        <v/>
      </c>
      <c r="AV52" s="75">
        <f>$C52*INDEX(Curves!$D$8:$D$68,AV$4-$B52+1)</f>
        <v/>
      </c>
      <c r="AW52" s="75">
        <f>$C52*INDEX(Curves!$D$8:$D$68,AW$4-$B52+1)</f>
        <v/>
      </c>
      <c r="AX52" s="75">
        <f>$C52*INDEX(Curves!$D$8:$D$68,AX$4-$B52+1)</f>
        <v/>
      </c>
      <c r="AY52" s="75">
        <f>$C52*INDEX(Curves!$D$8:$D$68,AY$4-$B52+1)</f>
        <v/>
      </c>
      <c r="AZ52" s="75">
        <f>$C52*INDEX(Curves!$D$8:$D$68,AZ$4-$B52+1)</f>
        <v/>
      </c>
      <c r="BA52" s="75">
        <f>$C52*INDEX(Curves!$D$8:$D$68,BA$4-$B52+1)</f>
        <v/>
      </c>
      <c r="BB52" s="75">
        <f>$C52*INDEX(Curves!$D$8:$D$68,BB$4-$B52+1)</f>
        <v/>
      </c>
      <c r="BC52" s="75">
        <f>$C52*INDEX(Curves!$D$8:$D$68,BC$4-$B52+1)</f>
        <v/>
      </c>
      <c r="BD52" s="75">
        <f>$C52*INDEX(Curves!$D$8:$D$68,BD$4-$B52+1)</f>
        <v/>
      </c>
      <c r="BE52" s="75">
        <f>$C52*INDEX(Curves!$D$8:$D$68,BE$4-$B52+1)</f>
        <v/>
      </c>
      <c r="BF52" s="75">
        <f>$C52*INDEX(Curves!$D$8:$D$68,BF$4-$B52+1)</f>
        <v/>
      </c>
      <c r="BG52" s="75">
        <f>$C52*INDEX(Curves!$D$8:$D$68,BG$4-$B52+1)</f>
        <v/>
      </c>
      <c r="BH52" s="75">
        <f>$C52*INDEX(Curves!$D$8:$D$68,BH$4-$B52+1)</f>
        <v/>
      </c>
      <c r="BI52" s="75">
        <f>$C52*INDEX(Curves!$D$8:$D$68,BI$4-$B52+1)</f>
        <v/>
      </c>
      <c r="BJ52" s="75">
        <f>$C52*INDEX(Curves!$D$8:$D$68,BJ$4-$B52+1)</f>
        <v/>
      </c>
      <c r="BK52" s="75">
        <f>$C52*INDEX(Curves!$D$8:$D$68,BK$4-$B52+1)</f>
        <v/>
      </c>
      <c r="BL52" s="75">
        <f>$C52*INDEX(Curves!$D$8:$D$68,BL$4-$B52+1)</f>
        <v/>
      </c>
    </row>
    <row r="53">
      <c r="A53" s="74" t="inlineStr">
        <is>
          <t>Cohort month 44</t>
        </is>
      </c>
      <c r="B53" s="74" t="n">
        <v>44</v>
      </c>
      <c r="C53" s="17">
        <f>INDEX(Ops!$E$10:$BL$10,1,$B53)</f>
        <v/>
      </c>
      <c r="AW53" s="75">
        <f>$C53*INDEX(Curves!$D$8:$D$68,AW$4-$B53+1)</f>
        <v/>
      </c>
      <c r="AX53" s="75">
        <f>$C53*INDEX(Curves!$D$8:$D$68,AX$4-$B53+1)</f>
        <v/>
      </c>
      <c r="AY53" s="75">
        <f>$C53*INDEX(Curves!$D$8:$D$68,AY$4-$B53+1)</f>
        <v/>
      </c>
      <c r="AZ53" s="75">
        <f>$C53*INDEX(Curves!$D$8:$D$68,AZ$4-$B53+1)</f>
        <v/>
      </c>
      <c r="BA53" s="75">
        <f>$C53*INDEX(Curves!$D$8:$D$68,BA$4-$B53+1)</f>
        <v/>
      </c>
      <c r="BB53" s="75">
        <f>$C53*INDEX(Curves!$D$8:$D$68,BB$4-$B53+1)</f>
        <v/>
      </c>
      <c r="BC53" s="75">
        <f>$C53*INDEX(Curves!$D$8:$D$68,BC$4-$B53+1)</f>
        <v/>
      </c>
      <c r="BD53" s="75">
        <f>$C53*INDEX(Curves!$D$8:$D$68,BD$4-$B53+1)</f>
        <v/>
      </c>
      <c r="BE53" s="75">
        <f>$C53*INDEX(Curves!$D$8:$D$68,BE$4-$B53+1)</f>
        <v/>
      </c>
      <c r="BF53" s="75">
        <f>$C53*INDEX(Curves!$D$8:$D$68,BF$4-$B53+1)</f>
        <v/>
      </c>
      <c r="BG53" s="75">
        <f>$C53*INDEX(Curves!$D$8:$D$68,BG$4-$B53+1)</f>
        <v/>
      </c>
      <c r="BH53" s="75">
        <f>$C53*INDEX(Curves!$D$8:$D$68,BH$4-$B53+1)</f>
        <v/>
      </c>
      <c r="BI53" s="75">
        <f>$C53*INDEX(Curves!$D$8:$D$68,BI$4-$B53+1)</f>
        <v/>
      </c>
      <c r="BJ53" s="75">
        <f>$C53*INDEX(Curves!$D$8:$D$68,BJ$4-$B53+1)</f>
        <v/>
      </c>
      <c r="BK53" s="75">
        <f>$C53*INDEX(Curves!$D$8:$D$68,BK$4-$B53+1)</f>
        <v/>
      </c>
      <c r="BL53" s="75">
        <f>$C53*INDEX(Curves!$D$8:$D$68,BL$4-$B53+1)</f>
        <v/>
      </c>
    </row>
    <row r="54">
      <c r="A54" s="74" t="inlineStr">
        <is>
          <t>Cohort month 45</t>
        </is>
      </c>
      <c r="B54" s="74" t="n">
        <v>45</v>
      </c>
      <c r="C54" s="17">
        <f>INDEX(Ops!$E$10:$BL$10,1,$B54)</f>
        <v/>
      </c>
      <c r="AX54" s="75">
        <f>$C54*INDEX(Curves!$D$8:$D$68,AX$4-$B54+1)</f>
        <v/>
      </c>
      <c r="AY54" s="75">
        <f>$C54*INDEX(Curves!$D$8:$D$68,AY$4-$B54+1)</f>
        <v/>
      </c>
      <c r="AZ54" s="75">
        <f>$C54*INDEX(Curves!$D$8:$D$68,AZ$4-$B54+1)</f>
        <v/>
      </c>
      <c r="BA54" s="75">
        <f>$C54*INDEX(Curves!$D$8:$D$68,BA$4-$B54+1)</f>
        <v/>
      </c>
      <c r="BB54" s="75">
        <f>$C54*INDEX(Curves!$D$8:$D$68,BB$4-$B54+1)</f>
        <v/>
      </c>
      <c r="BC54" s="75">
        <f>$C54*INDEX(Curves!$D$8:$D$68,BC$4-$B54+1)</f>
        <v/>
      </c>
      <c r="BD54" s="75">
        <f>$C54*INDEX(Curves!$D$8:$D$68,BD$4-$B54+1)</f>
        <v/>
      </c>
      <c r="BE54" s="75">
        <f>$C54*INDEX(Curves!$D$8:$D$68,BE$4-$B54+1)</f>
        <v/>
      </c>
      <c r="BF54" s="75">
        <f>$C54*INDEX(Curves!$D$8:$D$68,BF$4-$B54+1)</f>
        <v/>
      </c>
      <c r="BG54" s="75">
        <f>$C54*INDEX(Curves!$D$8:$D$68,BG$4-$B54+1)</f>
        <v/>
      </c>
      <c r="BH54" s="75">
        <f>$C54*INDEX(Curves!$D$8:$D$68,BH$4-$B54+1)</f>
        <v/>
      </c>
      <c r="BI54" s="75">
        <f>$C54*INDEX(Curves!$D$8:$D$68,BI$4-$B54+1)</f>
        <v/>
      </c>
      <c r="BJ54" s="75">
        <f>$C54*INDEX(Curves!$D$8:$D$68,BJ$4-$B54+1)</f>
        <v/>
      </c>
      <c r="BK54" s="75">
        <f>$C54*INDEX(Curves!$D$8:$D$68,BK$4-$B54+1)</f>
        <v/>
      </c>
      <c r="BL54" s="75">
        <f>$C54*INDEX(Curves!$D$8:$D$68,BL$4-$B54+1)</f>
        <v/>
      </c>
    </row>
    <row r="55">
      <c r="A55" s="74" t="inlineStr">
        <is>
          <t>Cohort month 46</t>
        </is>
      </c>
      <c r="B55" s="74" t="n">
        <v>46</v>
      </c>
      <c r="C55" s="17">
        <f>INDEX(Ops!$E$10:$BL$10,1,$B55)</f>
        <v/>
      </c>
      <c r="AY55" s="75">
        <f>$C55*INDEX(Curves!$D$8:$D$68,AY$4-$B55+1)</f>
        <v/>
      </c>
      <c r="AZ55" s="75">
        <f>$C55*INDEX(Curves!$D$8:$D$68,AZ$4-$B55+1)</f>
        <v/>
      </c>
      <c r="BA55" s="75">
        <f>$C55*INDEX(Curves!$D$8:$D$68,BA$4-$B55+1)</f>
        <v/>
      </c>
      <c r="BB55" s="75">
        <f>$C55*INDEX(Curves!$D$8:$D$68,BB$4-$B55+1)</f>
        <v/>
      </c>
      <c r="BC55" s="75">
        <f>$C55*INDEX(Curves!$D$8:$D$68,BC$4-$B55+1)</f>
        <v/>
      </c>
      <c r="BD55" s="75">
        <f>$C55*INDEX(Curves!$D$8:$D$68,BD$4-$B55+1)</f>
        <v/>
      </c>
      <c r="BE55" s="75">
        <f>$C55*INDEX(Curves!$D$8:$D$68,BE$4-$B55+1)</f>
        <v/>
      </c>
      <c r="BF55" s="75">
        <f>$C55*INDEX(Curves!$D$8:$D$68,BF$4-$B55+1)</f>
        <v/>
      </c>
      <c r="BG55" s="75">
        <f>$C55*INDEX(Curves!$D$8:$D$68,BG$4-$B55+1)</f>
        <v/>
      </c>
      <c r="BH55" s="75">
        <f>$C55*INDEX(Curves!$D$8:$D$68,BH$4-$B55+1)</f>
        <v/>
      </c>
      <c r="BI55" s="75">
        <f>$C55*INDEX(Curves!$D$8:$D$68,BI$4-$B55+1)</f>
        <v/>
      </c>
      <c r="BJ55" s="75">
        <f>$C55*INDEX(Curves!$D$8:$D$68,BJ$4-$B55+1)</f>
        <v/>
      </c>
      <c r="BK55" s="75">
        <f>$C55*INDEX(Curves!$D$8:$D$68,BK$4-$B55+1)</f>
        <v/>
      </c>
      <c r="BL55" s="75">
        <f>$C55*INDEX(Curves!$D$8:$D$68,BL$4-$B55+1)</f>
        <v/>
      </c>
    </row>
    <row r="56">
      <c r="A56" s="74" t="inlineStr">
        <is>
          <t>Cohort month 47</t>
        </is>
      </c>
      <c r="B56" s="74" t="n">
        <v>47</v>
      </c>
      <c r="C56" s="17">
        <f>INDEX(Ops!$E$10:$BL$10,1,$B56)</f>
        <v/>
      </c>
      <c r="AZ56" s="75">
        <f>$C56*INDEX(Curves!$D$8:$D$68,AZ$4-$B56+1)</f>
        <v/>
      </c>
      <c r="BA56" s="75">
        <f>$C56*INDEX(Curves!$D$8:$D$68,BA$4-$B56+1)</f>
        <v/>
      </c>
      <c r="BB56" s="75">
        <f>$C56*INDEX(Curves!$D$8:$D$68,BB$4-$B56+1)</f>
        <v/>
      </c>
      <c r="BC56" s="75">
        <f>$C56*INDEX(Curves!$D$8:$D$68,BC$4-$B56+1)</f>
        <v/>
      </c>
      <c r="BD56" s="75">
        <f>$C56*INDEX(Curves!$D$8:$D$68,BD$4-$B56+1)</f>
        <v/>
      </c>
      <c r="BE56" s="75">
        <f>$C56*INDEX(Curves!$D$8:$D$68,BE$4-$B56+1)</f>
        <v/>
      </c>
      <c r="BF56" s="75">
        <f>$C56*INDEX(Curves!$D$8:$D$68,BF$4-$B56+1)</f>
        <v/>
      </c>
      <c r="BG56" s="75">
        <f>$C56*INDEX(Curves!$D$8:$D$68,BG$4-$B56+1)</f>
        <v/>
      </c>
      <c r="BH56" s="75">
        <f>$C56*INDEX(Curves!$D$8:$D$68,BH$4-$B56+1)</f>
        <v/>
      </c>
      <c r="BI56" s="75">
        <f>$C56*INDEX(Curves!$D$8:$D$68,BI$4-$B56+1)</f>
        <v/>
      </c>
      <c r="BJ56" s="75">
        <f>$C56*INDEX(Curves!$D$8:$D$68,BJ$4-$B56+1)</f>
        <v/>
      </c>
      <c r="BK56" s="75">
        <f>$C56*INDEX(Curves!$D$8:$D$68,BK$4-$B56+1)</f>
        <v/>
      </c>
      <c r="BL56" s="75">
        <f>$C56*INDEX(Curves!$D$8:$D$68,BL$4-$B56+1)</f>
        <v/>
      </c>
    </row>
    <row r="57">
      <c r="A57" s="74" t="inlineStr">
        <is>
          <t>Cohort month 48</t>
        </is>
      </c>
      <c r="B57" s="74" t="n">
        <v>48</v>
      </c>
      <c r="C57" s="17">
        <f>INDEX(Ops!$E$10:$BL$10,1,$B57)</f>
        <v/>
      </c>
      <c r="BA57" s="75">
        <f>$C57*INDEX(Curves!$D$8:$D$68,BA$4-$B57+1)</f>
        <v/>
      </c>
      <c r="BB57" s="75">
        <f>$C57*INDEX(Curves!$D$8:$D$68,BB$4-$B57+1)</f>
        <v/>
      </c>
      <c r="BC57" s="75">
        <f>$C57*INDEX(Curves!$D$8:$D$68,BC$4-$B57+1)</f>
        <v/>
      </c>
      <c r="BD57" s="75">
        <f>$C57*INDEX(Curves!$D$8:$D$68,BD$4-$B57+1)</f>
        <v/>
      </c>
      <c r="BE57" s="75">
        <f>$C57*INDEX(Curves!$D$8:$D$68,BE$4-$B57+1)</f>
        <v/>
      </c>
      <c r="BF57" s="75">
        <f>$C57*INDEX(Curves!$D$8:$D$68,BF$4-$B57+1)</f>
        <v/>
      </c>
      <c r="BG57" s="75">
        <f>$C57*INDEX(Curves!$D$8:$D$68,BG$4-$B57+1)</f>
        <v/>
      </c>
      <c r="BH57" s="75">
        <f>$C57*INDEX(Curves!$D$8:$D$68,BH$4-$B57+1)</f>
        <v/>
      </c>
      <c r="BI57" s="75">
        <f>$C57*INDEX(Curves!$D$8:$D$68,BI$4-$B57+1)</f>
        <v/>
      </c>
      <c r="BJ57" s="75">
        <f>$C57*INDEX(Curves!$D$8:$D$68,BJ$4-$B57+1)</f>
        <v/>
      </c>
      <c r="BK57" s="75">
        <f>$C57*INDEX(Curves!$D$8:$D$68,BK$4-$B57+1)</f>
        <v/>
      </c>
      <c r="BL57" s="75">
        <f>$C57*INDEX(Curves!$D$8:$D$68,BL$4-$B57+1)</f>
        <v/>
      </c>
    </row>
    <row r="58">
      <c r="A58" s="74" t="inlineStr">
        <is>
          <t>Cohort month 49</t>
        </is>
      </c>
      <c r="B58" s="74" t="n">
        <v>49</v>
      </c>
      <c r="C58" s="17">
        <f>INDEX(Ops!$E$10:$BL$10,1,$B58)</f>
        <v/>
      </c>
      <c r="BB58" s="75">
        <f>$C58*INDEX(Curves!$D$8:$D$68,BB$4-$B58+1)</f>
        <v/>
      </c>
      <c r="BC58" s="75">
        <f>$C58*INDEX(Curves!$D$8:$D$68,BC$4-$B58+1)</f>
        <v/>
      </c>
      <c r="BD58" s="75">
        <f>$C58*INDEX(Curves!$D$8:$D$68,BD$4-$B58+1)</f>
        <v/>
      </c>
      <c r="BE58" s="75">
        <f>$C58*INDEX(Curves!$D$8:$D$68,BE$4-$B58+1)</f>
        <v/>
      </c>
      <c r="BF58" s="75">
        <f>$C58*INDEX(Curves!$D$8:$D$68,BF$4-$B58+1)</f>
        <v/>
      </c>
      <c r="BG58" s="75">
        <f>$C58*INDEX(Curves!$D$8:$D$68,BG$4-$B58+1)</f>
        <v/>
      </c>
      <c r="BH58" s="75">
        <f>$C58*INDEX(Curves!$D$8:$D$68,BH$4-$B58+1)</f>
        <v/>
      </c>
      <c r="BI58" s="75">
        <f>$C58*INDEX(Curves!$D$8:$D$68,BI$4-$B58+1)</f>
        <v/>
      </c>
      <c r="BJ58" s="75">
        <f>$C58*INDEX(Curves!$D$8:$D$68,BJ$4-$B58+1)</f>
        <v/>
      </c>
      <c r="BK58" s="75">
        <f>$C58*INDEX(Curves!$D$8:$D$68,BK$4-$B58+1)</f>
        <v/>
      </c>
      <c r="BL58" s="75">
        <f>$C58*INDEX(Curves!$D$8:$D$68,BL$4-$B58+1)</f>
        <v/>
      </c>
    </row>
    <row r="59">
      <c r="A59" s="74" t="inlineStr">
        <is>
          <t>Cohort month 50</t>
        </is>
      </c>
      <c r="B59" s="74" t="n">
        <v>50</v>
      </c>
      <c r="C59" s="17">
        <f>INDEX(Ops!$E$10:$BL$10,1,$B59)</f>
        <v/>
      </c>
      <c r="BC59" s="75">
        <f>$C59*INDEX(Curves!$D$8:$D$68,BC$4-$B59+1)</f>
        <v/>
      </c>
      <c r="BD59" s="75">
        <f>$C59*INDEX(Curves!$D$8:$D$68,BD$4-$B59+1)</f>
        <v/>
      </c>
      <c r="BE59" s="75">
        <f>$C59*INDEX(Curves!$D$8:$D$68,BE$4-$B59+1)</f>
        <v/>
      </c>
      <c r="BF59" s="75">
        <f>$C59*INDEX(Curves!$D$8:$D$68,BF$4-$B59+1)</f>
        <v/>
      </c>
      <c r="BG59" s="75">
        <f>$C59*INDEX(Curves!$D$8:$D$68,BG$4-$B59+1)</f>
        <v/>
      </c>
      <c r="BH59" s="75">
        <f>$C59*INDEX(Curves!$D$8:$D$68,BH$4-$B59+1)</f>
        <v/>
      </c>
      <c r="BI59" s="75">
        <f>$C59*INDEX(Curves!$D$8:$D$68,BI$4-$B59+1)</f>
        <v/>
      </c>
      <c r="BJ59" s="75">
        <f>$C59*INDEX(Curves!$D$8:$D$68,BJ$4-$B59+1)</f>
        <v/>
      </c>
      <c r="BK59" s="75">
        <f>$C59*INDEX(Curves!$D$8:$D$68,BK$4-$B59+1)</f>
        <v/>
      </c>
      <c r="BL59" s="75">
        <f>$C59*INDEX(Curves!$D$8:$D$68,BL$4-$B59+1)</f>
        <v/>
      </c>
    </row>
    <row r="60">
      <c r="A60" s="74" t="inlineStr">
        <is>
          <t>Cohort month 51</t>
        </is>
      </c>
      <c r="B60" s="74" t="n">
        <v>51</v>
      </c>
      <c r="C60" s="17">
        <f>INDEX(Ops!$E$10:$BL$10,1,$B60)</f>
        <v/>
      </c>
      <c r="BD60" s="75">
        <f>$C60*INDEX(Curves!$D$8:$D$68,BD$4-$B60+1)</f>
        <v/>
      </c>
      <c r="BE60" s="75">
        <f>$C60*INDEX(Curves!$D$8:$D$68,BE$4-$B60+1)</f>
        <v/>
      </c>
      <c r="BF60" s="75">
        <f>$C60*INDEX(Curves!$D$8:$D$68,BF$4-$B60+1)</f>
        <v/>
      </c>
      <c r="BG60" s="75">
        <f>$C60*INDEX(Curves!$D$8:$D$68,BG$4-$B60+1)</f>
        <v/>
      </c>
      <c r="BH60" s="75">
        <f>$C60*INDEX(Curves!$D$8:$D$68,BH$4-$B60+1)</f>
        <v/>
      </c>
      <c r="BI60" s="75">
        <f>$C60*INDEX(Curves!$D$8:$D$68,BI$4-$B60+1)</f>
        <v/>
      </c>
      <c r="BJ60" s="75">
        <f>$C60*INDEX(Curves!$D$8:$D$68,BJ$4-$B60+1)</f>
        <v/>
      </c>
      <c r="BK60" s="75">
        <f>$C60*INDEX(Curves!$D$8:$D$68,BK$4-$B60+1)</f>
        <v/>
      </c>
      <c r="BL60" s="75">
        <f>$C60*INDEX(Curves!$D$8:$D$68,BL$4-$B60+1)</f>
        <v/>
      </c>
    </row>
    <row r="61">
      <c r="A61" s="74" t="inlineStr">
        <is>
          <t>Cohort month 52</t>
        </is>
      </c>
      <c r="B61" s="74" t="n">
        <v>52</v>
      </c>
      <c r="C61" s="17">
        <f>INDEX(Ops!$E$10:$BL$10,1,$B61)</f>
        <v/>
      </c>
      <c r="BE61" s="75">
        <f>$C61*INDEX(Curves!$D$8:$D$68,BE$4-$B61+1)</f>
        <v/>
      </c>
      <c r="BF61" s="75">
        <f>$C61*INDEX(Curves!$D$8:$D$68,BF$4-$B61+1)</f>
        <v/>
      </c>
      <c r="BG61" s="75">
        <f>$C61*INDEX(Curves!$D$8:$D$68,BG$4-$B61+1)</f>
        <v/>
      </c>
      <c r="BH61" s="75">
        <f>$C61*INDEX(Curves!$D$8:$D$68,BH$4-$B61+1)</f>
        <v/>
      </c>
      <c r="BI61" s="75">
        <f>$C61*INDEX(Curves!$D$8:$D$68,BI$4-$B61+1)</f>
        <v/>
      </c>
      <c r="BJ61" s="75">
        <f>$C61*INDEX(Curves!$D$8:$D$68,BJ$4-$B61+1)</f>
        <v/>
      </c>
      <c r="BK61" s="75">
        <f>$C61*INDEX(Curves!$D$8:$D$68,BK$4-$B61+1)</f>
        <v/>
      </c>
      <c r="BL61" s="75">
        <f>$C61*INDEX(Curves!$D$8:$D$68,BL$4-$B61+1)</f>
        <v/>
      </c>
    </row>
    <row r="62">
      <c r="A62" s="74" t="inlineStr">
        <is>
          <t>Cohort month 53</t>
        </is>
      </c>
      <c r="B62" s="74" t="n">
        <v>53</v>
      </c>
      <c r="C62" s="17">
        <f>INDEX(Ops!$E$10:$BL$10,1,$B62)</f>
        <v/>
      </c>
      <c r="BF62" s="75">
        <f>$C62*INDEX(Curves!$D$8:$D$68,BF$4-$B62+1)</f>
        <v/>
      </c>
      <c r="BG62" s="75">
        <f>$C62*INDEX(Curves!$D$8:$D$68,BG$4-$B62+1)</f>
        <v/>
      </c>
      <c r="BH62" s="75">
        <f>$C62*INDEX(Curves!$D$8:$D$68,BH$4-$B62+1)</f>
        <v/>
      </c>
      <c r="BI62" s="75">
        <f>$C62*INDEX(Curves!$D$8:$D$68,BI$4-$B62+1)</f>
        <v/>
      </c>
      <c r="BJ62" s="75">
        <f>$C62*INDEX(Curves!$D$8:$D$68,BJ$4-$B62+1)</f>
        <v/>
      </c>
      <c r="BK62" s="75">
        <f>$C62*INDEX(Curves!$D$8:$D$68,BK$4-$B62+1)</f>
        <v/>
      </c>
      <c r="BL62" s="75">
        <f>$C62*INDEX(Curves!$D$8:$D$68,BL$4-$B62+1)</f>
        <v/>
      </c>
    </row>
    <row r="63">
      <c r="A63" s="74" t="inlineStr">
        <is>
          <t>Cohort month 54</t>
        </is>
      </c>
      <c r="B63" s="74" t="n">
        <v>54</v>
      </c>
      <c r="C63" s="17">
        <f>INDEX(Ops!$E$10:$BL$10,1,$B63)</f>
        <v/>
      </c>
      <c r="BG63" s="75">
        <f>$C63*INDEX(Curves!$D$8:$D$68,BG$4-$B63+1)</f>
        <v/>
      </c>
      <c r="BH63" s="75">
        <f>$C63*INDEX(Curves!$D$8:$D$68,BH$4-$B63+1)</f>
        <v/>
      </c>
      <c r="BI63" s="75">
        <f>$C63*INDEX(Curves!$D$8:$D$68,BI$4-$B63+1)</f>
        <v/>
      </c>
      <c r="BJ63" s="75">
        <f>$C63*INDEX(Curves!$D$8:$D$68,BJ$4-$B63+1)</f>
        <v/>
      </c>
      <c r="BK63" s="75">
        <f>$C63*INDEX(Curves!$D$8:$D$68,BK$4-$B63+1)</f>
        <v/>
      </c>
      <c r="BL63" s="75">
        <f>$C63*INDEX(Curves!$D$8:$D$68,BL$4-$B63+1)</f>
        <v/>
      </c>
    </row>
    <row r="64">
      <c r="A64" s="74" t="inlineStr">
        <is>
          <t>Cohort month 55</t>
        </is>
      </c>
      <c r="B64" s="74" t="n">
        <v>55</v>
      </c>
      <c r="C64" s="17">
        <f>INDEX(Ops!$E$10:$BL$10,1,$B64)</f>
        <v/>
      </c>
      <c r="BH64" s="75">
        <f>$C64*INDEX(Curves!$D$8:$D$68,BH$4-$B64+1)</f>
        <v/>
      </c>
      <c r="BI64" s="75">
        <f>$C64*INDEX(Curves!$D$8:$D$68,BI$4-$B64+1)</f>
        <v/>
      </c>
      <c r="BJ64" s="75">
        <f>$C64*INDEX(Curves!$D$8:$D$68,BJ$4-$B64+1)</f>
        <v/>
      </c>
      <c r="BK64" s="75">
        <f>$C64*INDEX(Curves!$D$8:$D$68,BK$4-$B64+1)</f>
        <v/>
      </c>
      <c r="BL64" s="75">
        <f>$C64*INDEX(Curves!$D$8:$D$68,BL$4-$B64+1)</f>
        <v/>
      </c>
    </row>
    <row r="65">
      <c r="A65" s="74" t="inlineStr">
        <is>
          <t>Cohort month 56</t>
        </is>
      </c>
      <c r="B65" s="74" t="n">
        <v>56</v>
      </c>
      <c r="C65" s="17">
        <f>INDEX(Ops!$E$10:$BL$10,1,$B65)</f>
        <v/>
      </c>
      <c r="BI65" s="75">
        <f>$C65*INDEX(Curves!$D$8:$D$68,BI$4-$B65+1)</f>
        <v/>
      </c>
      <c r="BJ65" s="75">
        <f>$C65*INDEX(Curves!$D$8:$D$68,BJ$4-$B65+1)</f>
        <v/>
      </c>
      <c r="BK65" s="75">
        <f>$C65*INDEX(Curves!$D$8:$D$68,BK$4-$B65+1)</f>
        <v/>
      </c>
      <c r="BL65" s="75">
        <f>$C65*INDEX(Curves!$D$8:$D$68,BL$4-$B65+1)</f>
        <v/>
      </c>
    </row>
    <row r="66">
      <c r="A66" s="74" t="inlineStr">
        <is>
          <t>Cohort month 57</t>
        </is>
      </c>
      <c r="B66" s="74" t="n">
        <v>57</v>
      </c>
      <c r="C66" s="17">
        <f>INDEX(Ops!$E$10:$BL$10,1,$B66)</f>
        <v/>
      </c>
      <c r="BJ66" s="75">
        <f>$C66*INDEX(Curves!$D$8:$D$68,BJ$4-$B66+1)</f>
        <v/>
      </c>
      <c r="BK66" s="75">
        <f>$C66*INDEX(Curves!$D$8:$D$68,BK$4-$B66+1)</f>
        <v/>
      </c>
      <c r="BL66" s="75">
        <f>$C66*INDEX(Curves!$D$8:$D$68,BL$4-$B66+1)</f>
        <v/>
      </c>
    </row>
    <row r="67">
      <c r="A67" s="74" t="inlineStr">
        <is>
          <t>Cohort month 58</t>
        </is>
      </c>
      <c r="B67" s="74" t="n">
        <v>58</v>
      </c>
      <c r="C67" s="17">
        <f>INDEX(Ops!$E$10:$BL$10,1,$B67)</f>
        <v/>
      </c>
      <c r="BK67" s="75">
        <f>$C67*INDEX(Curves!$D$8:$D$68,BK$4-$B67+1)</f>
        <v/>
      </c>
      <c r="BL67" s="75">
        <f>$C67*INDEX(Curves!$D$8:$D$68,BL$4-$B67+1)</f>
        <v/>
      </c>
    </row>
    <row r="68">
      <c r="A68" s="74" t="inlineStr">
        <is>
          <t>Cohort month 59</t>
        </is>
      </c>
      <c r="B68" s="74" t="n">
        <v>59</v>
      </c>
      <c r="C68" s="17">
        <f>INDEX(Ops!$E$10:$BL$10,1,$B68)</f>
        <v/>
      </c>
      <c r="BL68" s="75">
        <f>$C68*INDEX(Curves!$D$8:$D$68,BL$4-$B68+1)</f>
        <v/>
      </c>
    </row>
    <row r="69">
      <c r="A69" s="74" t="inlineStr">
        <is>
          <t>Cohort month 60</t>
        </is>
      </c>
      <c r="B69" s="74" t="n">
        <v>60</v>
      </c>
      <c r="C69" s="17">
        <f>INDEX(Ops!$E$10:$BL$10,1,$B69)</f>
        <v/>
      </c>
    </row>
    <row r="70"/>
    <row r="71">
      <c r="A71" s="14" t="inlineStr">
        <is>
          <t>Active accounts by cohort</t>
        </is>
      </c>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5" t="n"/>
      <c r="AG71" s="15" t="n"/>
      <c r="AH71" s="15" t="n"/>
      <c r="AI71" s="15" t="n"/>
      <c r="AJ71" s="15" t="n"/>
      <c r="AK71" s="15" t="n"/>
      <c r="AL71" s="15" t="n"/>
      <c r="AM71" s="15" t="n"/>
      <c r="AN71" s="15" t="n"/>
      <c r="AO71" s="15" t="n"/>
      <c r="AP71" s="15" t="n"/>
      <c r="AQ71" s="15" t="n"/>
      <c r="AR71" s="15" t="n"/>
      <c r="AS71" s="15" t="n"/>
      <c r="AT71" s="15" t="n"/>
      <c r="AU71" s="15" t="n"/>
      <c r="AV71" s="15" t="n"/>
      <c r="AW71" s="15" t="n"/>
      <c r="AX71" s="15" t="n"/>
      <c r="AY71" s="15" t="n"/>
      <c r="AZ71" s="15" t="n"/>
      <c r="BA71" s="15" t="n"/>
      <c r="BB71" s="15" t="n"/>
      <c r="BC71" s="15" t="n"/>
      <c r="BD71" s="15" t="n"/>
      <c r="BE71" s="15" t="n"/>
      <c r="BF71" s="15" t="n"/>
      <c r="BG71" s="15" t="n"/>
      <c r="BH71" s="15" t="n"/>
      <c r="BI71" s="15" t="n"/>
      <c r="BJ71" s="15" t="n"/>
      <c r="BK71" s="15" t="n"/>
      <c r="BL71" s="15" t="n"/>
    </row>
    <row r="72">
      <c r="A72" s="60" t="inlineStr">
        <is>
          <t>Total</t>
        </is>
      </c>
      <c r="B72" s="61" t="inlineStr"/>
      <c r="C72" s="63" t="n"/>
      <c r="D72" s="63" t="n"/>
      <c r="E72" s="71">
        <f>SUM(E73:E132)</f>
        <v/>
      </c>
      <c r="F72" s="71">
        <f>SUM(F73:F132)</f>
        <v/>
      </c>
      <c r="G72" s="71">
        <f>SUM(G73:G132)</f>
        <v/>
      </c>
      <c r="H72" s="71">
        <f>SUM(H73:H132)</f>
        <v/>
      </c>
      <c r="I72" s="71">
        <f>SUM(I73:I132)</f>
        <v/>
      </c>
      <c r="J72" s="71">
        <f>SUM(J73:J132)</f>
        <v/>
      </c>
      <c r="K72" s="71">
        <f>SUM(K73:K132)</f>
        <v/>
      </c>
      <c r="L72" s="71">
        <f>SUM(L73:L132)</f>
        <v/>
      </c>
      <c r="M72" s="71">
        <f>SUM(M73:M132)</f>
        <v/>
      </c>
      <c r="N72" s="71">
        <f>SUM(N73:N132)</f>
        <v/>
      </c>
      <c r="O72" s="71">
        <f>SUM(O73:O132)</f>
        <v/>
      </c>
      <c r="P72" s="71">
        <f>SUM(P73:P132)</f>
        <v/>
      </c>
      <c r="Q72" s="71">
        <f>SUM(Q73:Q132)</f>
        <v/>
      </c>
      <c r="R72" s="71">
        <f>SUM(R73:R132)</f>
        <v/>
      </c>
      <c r="S72" s="71">
        <f>SUM(S73:S132)</f>
        <v/>
      </c>
      <c r="T72" s="71">
        <f>SUM(T73:T132)</f>
        <v/>
      </c>
      <c r="U72" s="71">
        <f>SUM(U73:U132)</f>
        <v/>
      </c>
      <c r="V72" s="71">
        <f>SUM(V73:V132)</f>
        <v/>
      </c>
      <c r="W72" s="71">
        <f>SUM(W73:W132)</f>
        <v/>
      </c>
      <c r="X72" s="71">
        <f>SUM(X73:X132)</f>
        <v/>
      </c>
      <c r="Y72" s="71">
        <f>SUM(Y73:Y132)</f>
        <v/>
      </c>
      <c r="Z72" s="71">
        <f>SUM(Z73:Z132)</f>
        <v/>
      </c>
      <c r="AA72" s="71">
        <f>SUM(AA73:AA132)</f>
        <v/>
      </c>
      <c r="AB72" s="71">
        <f>SUM(AB73:AB132)</f>
        <v/>
      </c>
      <c r="AC72" s="71">
        <f>SUM(AC73:AC132)</f>
        <v/>
      </c>
      <c r="AD72" s="71">
        <f>SUM(AD73:AD132)</f>
        <v/>
      </c>
      <c r="AE72" s="71">
        <f>SUM(AE73:AE132)</f>
        <v/>
      </c>
      <c r="AF72" s="71">
        <f>SUM(AF73:AF132)</f>
        <v/>
      </c>
      <c r="AG72" s="71">
        <f>SUM(AG73:AG132)</f>
        <v/>
      </c>
      <c r="AH72" s="71">
        <f>SUM(AH73:AH132)</f>
        <v/>
      </c>
      <c r="AI72" s="71">
        <f>SUM(AI73:AI132)</f>
        <v/>
      </c>
      <c r="AJ72" s="71">
        <f>SUM(AJ73:AJ132)</f>
        <v/>
      </c>
      <c r="AK72" s="71">
        <f>SUM(AK73:AK132)</f>
        <v/>
      </c>
      <c r="AL72" s="71">
        <f>SUM(AL73:AL132)</f>
        <v/>
      </c>
      <c r="AM72" s="71">
        <f>SUM(AM73:AM132)</f>
        <v/>
      </c>
      <c r="AN72" s="71">
        <f>SUM(AN73:AN132)</f>
        <v/>
      </c>
      <c r="AO72" s="71">
        <f>SUM(AO73:AO132)</f>
        <v/>
      </c>
      <c r="AP72" s="71">
        <f>SUM(AP73:AP132)</f>
        <v/>
      </c>
      <c r="AQ72" s="71">
        <f>SUM(AQ73:AQ132)</f>
        <v/>
      </c>
      <c r="AR72" s="71">
        <f>SUM(AR73:AR132)</f>
        <v/>
      </c>
      <c r="AS72" s="71">
        <f>SUM(AS73:AS132)</f>
        <v/>
      </c>
      <c r="AT72" s="71">
        <f>SUM(AT73:AT132)</f>
        <v/>
      </c>
      <c r="AU72" s="71">
        <f>SUM(AU73:AU132)</f>
        <v/>
      </c>
      <c r="AV72" s="71">
        <f>SUM(AV73:AV132)</f>
        <v/>
      </c>
      <c r="AW72" s="71">
        <f>SUM(AW73:AW132)</f>
        <v/>
      </c>
      <c r="AX72" s="71">
        <f>SUM(AX73:AX132)</f>
        <v/>
      </c>
      <c r="AY72" s="71">
        <f>SUM(AY73:AY132)</f>
        <v/>
      </c>
      <c r="AZ72" s="71">
        <f>SUM(AZ73:AZ132)</f>
        <v/>
      </c>
      <c r="BA72" s="71">
        <f>SUM(BA73:BA132)</f>
        <v/>
      </c>
      <c r="BB72" s="71">
        <f>SUM(BB73:BB132)</f>
        <v/>
      </c>
      <c r="BC72" s="71">
        <f>SUM(BC73:BC132)</f>
        <v/>
      </c>
      <c r="BD72" s="71">
        <f>SUM(BD73:BD132)</f>
        <v/>
      </c>
      <c r="BE72" s="71">
        <f>SUM(BE73:BE132)</f>
        <v/>
      </c>
      <c r="BF72" s="71">
        <f>SUM(BF73:BF132)</f>
        <v/>
      </c>
      <c r="BG72" s="71">
        <f>SUM(BG73:BG132)</f>
        <v/>
      </c>
      <c r="BH72" s="71">
        <f>SUM(BH73:BH132)</f>
        <v/>
      </c>
      <c r="BI72" s="71">
        <f>SUM(BI73:BI132)</f>
        <v/>
      </c>
      <c r="BJ72" s="71">
        <f>SUM(BJ73:BJ132)</f>
        <v/>
      </c>
      <c r="BK72" s="71">
        <f>SUM(BK73:BK132)</f>
        <v/>
      </c>
      <c r="BL72" s="71">
        <f>SUM(BL73:BL132)</f>
        <v/>
      </c>
    </row>
    <row r="73">
      <c r="A73" s="74" t="inlineStr">
        <is>
          <t>Cohort month 1</t>
        </is>
      </c>
      <c r="B73" s="74" t="n">
        <v>1</v>
      </c>
      <c r="C73" s="17">
        <f>INDEX(Ops!$E$9:$BL$9,1,$B73)</f>
        <v/>
      </c>
      <c r="F73" s="75">
        <f>$C73*INDEX(Curves!$G$8:$G$68,F$4-$B73+1)</f>
        <v/>
      </c>
      <c r="G73" s="75">
        <f>$C73*INDEX(Curves!$G$8:$G$68,G$4-$B73+1)</f>
        <v/>
      </c>
      <c r="H73" s="75">
        <f>$C73*INDEX(Curves!$G$8:$G$68,H$4-$B73+1)</f>
        <v/>
      </c>
      <c r="I73" s="75">
        <f>$C73*INDEX(Curves!$G$8:$G$68,I$4-$B73+1)</f>
        <v/>
      </c>
      <c r="J73" s="75">
        <f>$C73*INDEX(Curves!$G$8:$G$68,J$4-$B73+1)</f>
        <v/>
      </c>
      <c r="K73" s="75">
        <f>$C73*INDEX(Curves!$G$8:$G$68,K$4-$B73+1)</f>
        <v/>
      </c>
      <c r="L73" s="75">
        <f>$C73*INDEX(Curves!$G$8:$G$68,L$4-$B73+1)</f>
        <v/>
      </c>
      <c r="M73" s="75">
        <f>$C73*INDEX(Curves!$G$8:$G$68,M$4-$B73+1)</f>
        <v/>
      </c>
      <c r="N73" s="75">
        <f>$C73*INDEX(Curves!$G$8:$G$68,N$4-$B73+1)</f>
        <v/>
      </c>
      <c r="O73" s="75">
        <f>$C73*INDEX(Curves!$G$8:$G$68,O$4-$B73+1)</f>
        <v/>
      </c>
      <c r="P73" s="75">
        <f>$C73*INDEX(Curves!$G$8:$G$68,P$4-$B73+1)</f>
        <v/>
      </c>
      <c r="Q73" s="75">
        <f>$C73*INDEX(Curves!$G$8:$G$68,Q$4-$B73+1)</f>
        <v/>
      </c>
      <c r="R73" s="75">
        <f>$C73*INDEX(Curves!$G$8:$G$68,R$4-$B73+1)</f>
        <v/>
      </c>
      <c r="S73" s="75">
        <f>$C73*INDEX(Curves!$G$8:$G$68,S$4-$B73+1)</f>
        <v/>
      </c>
      <c r="T73" s="75">
        <f>$C73*INDEX(Curves!$G$8:$G$68,T$4-$B73+1)</f>
        <v/>
      </c>
      <c r="U73" s="75">
        <f>$C73*INDEX(Curves!$G$8:$G$68,U$4-$B73+1)</f>
        <v/>
      </c>
      <c r="V73" s="75">
        <f>$C73*INDEX(Curves!$G$8:$G$68,V$4-$B73+1)</f>
        <v/>
      </c>
      <c r="W73" s="75">
        <f>$C73*INDEX(Curves!$G$8:$G$68,W$4-$B73+1)</f>
        <v/>
      </c>
      <c r="X73" s="75">
        <f>$C73*INDEX(Curves!$G$8:$G$68,X$4-$B73+1)</f>
        <v/>
      </c>
      <c r="Y73" s="75">
        <f>$C73*INDEX(Curves!$G$8:$G$68,Y$4-$B73+1)</f>
        <v/>
      </c>
      <c r="Z73" s="75">
        <f>$C73*INDEX(Curves!$G$8:$G$68,Z$4-$B73+1)</f>
        <v/>
      </c>
      <c r="AA73" s="75">
        <f>$C73*INDEX(Curves!$G$8:$G$68,AA$4-$B73+1)</f>
        <v/>
      </c>
      <c r="AB73" s="75">
        <f>$C73*INDEX(Curves!$G$8:$G$68,AB$4-$B73+1)</f>
        <v/>
      </c>
      <c r="AC73" s="75">
        <f>$C73*INDEX(Curves!$G$8:$G$68,AC$4-$B73+1)</f>
        <v/>
      </c>
      <c r="AD73" s="75">
        <f>$C73*INDEX(Curves!$G$8:$G$68,AD$4-$B73+1)</f>
        <v/>
      </c>
      <c r="AE73" s="75">
        <f>$C73*INDEX(Curves!$G$8:$G$68,AE$4-$B73+1)</f>
        <v/>
      </c>
      <c r="AF73" s="75">
        <f>$C73*INDEX(Curves!$G$8:$G$68,AF$4-$B73+1)</f>
        <v/>
      </c>
      <c r="AG73" s="75">
        <f>$C73*INDEX(Curves!$G$8:$G$68,AG$4-$B73+1)</f>
        <v/>
      </c>
      <c r="AH73" s="75">
        <f>$C73*INDEX(Curves!$G$8:$G$68,AH$4-$B73+1)</f>
        <v/>
      </c>
      <c r="AI73" s="75">
        <f>$C73*INDEX(Curves!$G$8:$G$68,AI$4-$B73+1)</f>
        <v/>
      </c>
      <c r="AJ73" s="75">
        <f>$C73*INDEX(Curves!$G$8:$G$68,AJ$4-$B73+1)</f>
        <v/>
      </c>
      <c r="AK73" s="75">
        <f>$C73*INDEX(Curves!$G$8:$G$68,AK$4-$B73+1)</f>
        <v/>
      </c>
      <c r="AL73" s="75">
        <f>$C73*INDEX(Curves!$G$8:$G$68,AL$4-$B73+1)</f>
        <v/>
      </c>
      <c r="AM73" s="75">
        <f>$C73*INDEX(Curves!$G$8:$G$68,AM$4-$B73+1)</f>
        <v/>
      </c>
      <c r="AN73" s="75">
        <f>$C73*INDEX(Curves!$G$8:$G$68,AN$4-$B73+1)</f>
        <v/>
      </c>
      <c r="AO73" s="75">
        <f>$C73*INDEX(Curves!$G$8:$G$68,AO$4-$B73+1)</f>
        <v/>
      </c>
      <c r="AP73" s="75">
        <f>$C73*INDEX(Curves!$G$8:$G$68,AP$4-$B73+1)</f>
        <v/>
      </c>
      <c r="AQ73" s="75">
        <f>$C73*INDEX(Curves!$G$8:$G$68,AQ$4-$B73+1)</f>
        <v/>
      </c>
      <c r="AR73" s="75">
        <f>$C73*INDEX(Curves!$G$8:$G$68,AR$4-$B73+1)</f>
        <v/>
      </c>
      <c r="AS73" s="75">
        <f>$C73*INDEX(Curves!$G$8:$G$68,AS$4-$B73+1)</f>
        <v/>
      </c>
      <c r="AT73" s="75">
        <f>$C73*INDEX(Curves!$G$8:$G$68,AT$4-$B73+1)</f>
        <v/>
      </c>
      <c r="AU73" s="75">
        <f>$C73*INDEX(Curves!$G$8:$G$68,AU$4-$B73+1)</f>
        <v/>
      </c>
      <c r="AV73" s="75">
        <f>$C73*INDEX(Curves!$G$8:$G$68,AV$4-$B73+1)</f>
        <v/>
      </c>
      <c r="AW73" s="75">
        <f>$C73*INDEX(Curves!$G$8:$G$68,AW$4-$B73+1)</f>
        <v/>
      </c>
      <c r="AX73" s="75">
        <f>$C73*INDEX(Curves!$G$8:$G$68,AX$4-$B73+1)</f>
        <v/>
      </c>
      <c r="AY73" s="75">
        <f>$C73*INDEX(Curves!$G$8:$G$68,AY$4-$B73+1)</f>
        <v/>
      </c>
      <c r="AZ73" s="75">
        <f>$C73*INDEX(Curves!$G$8:$G$68,AZ$4-$B73+1)</f>
        <v/>
      </c>
      <c r="BA73" s="75">
        <f>$C73*INDEX(Curves!$G$8:$G$68,BA$4-$B73+1)</f>
        <v/>
      </c>
      <c r="BB73" s="75">
        <f>$C73*INDEX(Curves!$G$8:$G$68,BB$4-$B73+1)</f>
        <v/>
      </c>
      <c r="BC73" s="75">
        <f>$C73*INDEX(Curves!$G$8:$G$68,BC$4-$B73+1)</f>
        <v/>
      </c>
      <c r="BD73" s="75">
        <f>$C73*INDEX(Curves!$G$8:$G$68,BD$4-$B73+1)</f>
        <v/>
      </c>
      <c r="BE73" s="75">
        <f>$C73*INDEX(Curves!$G$8:$G$68,BE$4-$B73+1)</f>
        <v/>
      </c>
      <c r="BF73" s="75">
        <f>$C73*INDEX(Curves!$G$8:$G$68,BF$4-$B73+1)</f>
        <v/>
      </c>
      <c r="BG73" s="75">
        <f>$C73*INDEX(Curves!$G$8:$G$68,BG$4-$B73+1)</f>
        <v/>
      </c>
      <c r="BH73" s="75">
        <f>$C73*INDEX(Curves!$G$8:$G$68,BH$4-$B73+1)</f>
        <v/>
      </c>
      <c r="BI73" s="75">
        <f>$C73*INDEX(Curves!$G$8:$G$68,BI$4-$B73+1)</f>
        <v/>
      </c>
      <c r="BJ73" s="75">
        <f>$C73*INDEX(Curves!$G$8:$G$68,BJ$4-$B73+1)</f>
        <v/>
      </c>
      <c r="BK73" s="75">
        <f>$C73*INDEX(Curves!$G$8:$G$68,BK$4-$B73+1)</f>
        <v/>
      </c>
      <c r="BL73" s="75">
        <f>$C73*INDEX(Curves!$G$8:$G$68,BL$4-$B73+1)</f>
        <v/>
      </c>
    </row>
    <row r="74">
      <c r="A74" s="74" t="inlineStr">
        <is>
          <t>Cohort month 2</t>
        </is>
      </c>
      <c r="B74" s="74" t="n">
        <v>2</v>
      </c>
      <c r="C74" s="17">
        <f>INDEX(Ops!$E$9:$BL$9,1,$B74)</f>
        <v/>
      </c>
      <c r="G74" s="75">
        <f>$C74*INDEX(Curves!$G$8:$G$68,G$4-$B74+1)</f>
        <v/>
      </c>
      <c r="H74" s="75">
        <f>$C74*INDEX(Curves!$G$8:$G$68,H$4-$B74+1)</f>
        <v/>
      </c>
      <c r="I74" s="75">
        <f>$C74*INDEX(Curves!$G$8:$G$68,I$4-$B74+1)</f>
        <v/>
      </c>
      <c r="J74" s="75">
        <f>$C74*INDEX(Curves!$G$8:$G$68,J$4-$B74+1)</f>
        <v/>
      </c>
      <c r="K74" s="75">
        <f>$C74*INDEX(Curves!$G$8:$G$68,K$4-$B74+1)</f>
        <v/>
      </c>
      <c r="L74" s="75">
        <f>$C74*INDEX(Curves!$G$8:$G$68,L$4-$B74+1)</f>
        <v/>
      </c>
      <c r="M74" s="75">
        <f>$C74*INDEX(Curves!$G$8:$G$68,M$4-$B74+1)</f>
        <v/>
      </c>
      <c r="N74" s="75">
        <f>$C74*INDEX(Curves!$G$8:$G$68,N$4-$B74+1)</f>
        <v/>
      </c>
      <c r="O74" s="75">
        <f>$C74*INDEX(Curves!$G$8:$G$68,O$4-$B74+1)</f>
        <v/>
      </c>
      <c r="P74" s="75">
        <f>$C74*INDEX(Curves!$G$8:$G$68,P$4-$B74+1)</f>
        <v/>
      </c>
      <c r="Q74" s="75">
        <f>$C74*INDEX(Curves!$G$8:$G$68,Q$4-$B74+1)</f>
        <v/>
      </c>
      <c r="R74" s="75">
        <f>$C74*INDEX(Curves!$G$8:$G$68,R$4-$B74+1)</f>
        <v/>
      </c>
      <c r="S74" s="75">
        <f>$C74*INDEX(Curves!$G$8:$G$68,S$4-$B74+1)</f>
        <v/>
      </c>
      <c r="T74" s="75">
        <f>$C74*INDEX(Curves!$G$8:$G$68,T$4-$B74+1)</f>
        <v/>
      </c>
      <c r="U74" s="75">
        <f>$C74*INDEX(Curves!$G$8:$G$68,U$4-$B74+1)</f>
        <v/>
      </c>
      <c r="V74" s="75">
        <f>$C74*INDEX(Curves!$G$8:$G$68,V$4-$B74+1)</f>
        <v/>
      </c>
      <c r="W74" s="75">
        <f>$C74*INDEX(Curves!$G$8:$G$68,W$4-$B74+1)</f>
        <v/>
      </c>
      <c r="X74" s="75">
        <f>$C74*INDEX(Curves!$G$8:$G$68,X$4-$B74+1)</f>
        <v/>
      </c>
      <c r="Y74" s="75">
        <f>$C74*INDEX(Curves!$G$8:$G$68,Y$4-$B74+1)</f>
        <v/>
      </c>
      <c r="Z74" s="75">
        <f>$C74*INDEX(Curves!$G$8:$G$68,Z$4-$B74+1)</f>
        <v/>
      </c>
      <c r="AA74" s="75">
        <f>$C74*INDEX(Curves!$G$8:$G$68,AA$4-$B74+1)</f>
        <v/>
      </c>
      <c r="AB74" s="75">
        <f>$C74*INDEX(Curves!$G$8:$G$68,AB$4-$B74+1)</f>
        <v/>
      </c>
      <c r="AC74" s="75">
        <f>$C74*INDEX(Curves!$G$8:$G$68,AC$4-$B74+1)</f>
        <v/>
      </c>
      <c r="AD74" s="75">
        <f>$C74*INDEX(Curves!$G$8:$G$68,AD$4-$B74+1)</f>
        <v/>
      </c>
      <c r="AE74" s="75">
        <f>$C74*INDEX(Curves!$G$8:$G$68,AE$4-$B74+1)</f>
        <v/>
      </c>
      <c r="AF74" s="75">
        <f>$C74*INDEX(Curves!$G$8:$G$68,AF$4-$B74+1)</f>
        <v/>
      </c>
      <c r="AG74" s="75">
        <f>$C74*INDEX(Curves!$G$8:$G$68,AG$4-$B74+1)</f>
        <v/>
      </c>
      <c r="AH74" s="75">
        <f>$C74*INDEX(Curves!$G$8:$G$68,AH$4-$B74+1)</f>
        <v/>
      </c>
      <c r="AI74" s="75">
        <f>$C74*INDEX(Curves!$G$8:$G$68,AI$4-$B74+1)</f>
        <v/>
      </c>
      <c r="AJ74" s="75">
        <f>$C74*INDEX(Curves!$G$8:$G$68,AJ$4-$B74+1)</f>
        <v/>
      </c>
      <c r="AK74" s="75">
        <f>$C74*INDEX(Curves!$G$8:$G$68,AK$4-$B74+1)</f>
        <v/>
      </c>
      <c r="AL74" s="75">
        <f>$C74*INDEX(Curves!$G$8:$G$68,AL$4-$B74+1)</f>
        <v/>
      </c>
      <c r="AM74" s="75">
        <f>$C74*INDEX(Curves!$G$8:$G$68,AM$4-$B74+1)</f>
        <v/>
      </c>
      <c r="AN74" s="75">
        <f>$C74*INDEX(Curves!$G$8:$G$68,AN$4-$B74+1)</f>
        <v/>
      </c>
      <c r="AO74" s="75">
        <f>$C74*INDEX(Curves!$G$8:$G$68,AO$4-$B74+1)</f>
        <v/>
      </c>
      <c r="AP74" s="75">
        <f>$C74*INDEX(Curves!$G$8:$G$68,AP$4-$B74+1)</f>
        <v/>
      </c>
      <c r="AQ74" s="75">
        <f>$C74*INDEX(Curves!$G$8:$G$68,AQ$4-$B74+1)</f>
        <v/>
      </c>
      <c r="AR74" s="75">
        <f>$C74*INDEX(Curves!$G$8:$G$68,AR$4-$B74+1)</f>
        <v/>
      </c>
      <c r="AS74" s="75">
        <f>$C74*INDEX(Curves!$G$8:$G$68,AS$4-$B74+1)</f>
        <v/>
      </c>
      <c r="AT74" s="75">
        <f>$C74*INDEX(Curves!$G$8:$G$68,AT$4-$B74+1)</f>
        <v/>
      </c>
      <c r="AU74" s="75">
        <f>$C74*INDEX(Curves!$G$8:$G$68,AU$4-$B74+1)</f>
        <v/>
      </c>
      <c r="AV74" s="75">
        <f>$C74*INDEX(Curves!$G$8:$G$68,AV$4-$B74+1)</f>
        <v/>
      </c>
      <c r="AW74" s="75">
        <f>$C74*INDEX(Curves!$G$8:$G$68,AW$4-$B74+1)</f>
        <v/>
      </c>
      <c r="AX74" s="75">
        <f>$C74*INDEX(Curves!$G$8:$G$68,AX$4-$B74+1)</f>
        <v/>
      </c>
      <c r="AY74" s="75">
        <f>$C74*INDEX(Curves!$G$8:$G$68,AY$4-$B74+1)</f>
        <v/>
      </c>
      <c r="AZ74" s="75">
        <f>$C74*INDEX(Curves!$G$8:$G$68,AZ$4-$B74+1)</f>
        <v/>
      </c>
      <c r="BA74" s="75">
        <f>$C74*INDEX(Curves!$G$8:$G$68,BA$4-$B74+1)</f>
        <v/>
      </c>
      <c r="BB74" s="75">
        <f>$C74*INDEX(Curves!$G$8:$G$68,BB$4-$B74+1)</f>
        <v/>
      </c>
      <c r="BC74" s="75">
        <f>$C74*INDEX(Curves!$G$8:$G$68,BC$4-$B74+1)</f>
        <v/>
      </c>
      <c r="BD74" s="75">
        <f>$C74*INDEX(Curves!$G$8:$G$68,BD$4-$B74+1)</f>
        <v/>
      </c>
      <c r="BE74" s="75">
        <f>$C74*INDEX(Curves!$G$8:$G$68,BE$4-$B74+1)</f>
        <v/>
      </c>
      <c r="BF74" s="75">
        <f>$C74*INDEX(Curves!$G$8:$G$68,BF$4-$B74+1)</f>
        <v/>
      </c>
      <c r="BG74" s="75">
        <f>$C74*INDEX(Curves!$G$8:$G$68,BG$4-$B74+1)</f>
        <v/>
      </c>
      <c r="BH74" s="75">
        <f>$C74*INDEX(Curves!$G$8:$G$68,BH$4-$B74+1)</f>
        <v/>
      </c>
      <c r="BI74" s="75">
        <f>$C74*INDEX(Curves!$G$8:$G$68,BI$4-$B74+1)</f>
        <v/>
      </c>
      <c r="BJ74" s="75">
        <f>$C74*INDEX(Curves!$G$8:$G$68,BJ$4-$B74+1)</f>
        <v/>
      </c>
      <c r="BK74" s="75">
        <f>$C74*INDEX(Curves!$G$8:$G$68,BK$4-$B74+1)</f>
        <v/>
      </c>
      <c r="BL74" s="75">
        <f>$C74*INDEX(Curves!$G$8:$G$68,BL$4-$B74+1)</f>
        <v/>
      </c>
    </row>
    <row r="75">
      <c r="A75" s="74" t="inlineStr">
        <is>
          <t>Cohort month 3</t>
        </is>
      </c>
      <c r="B75" s="74" t="n">
        <v>3</v>
      </c>
      <c r="C75" s="17">
        <f>INDEX(Ops!$E$9:$BL$9,1,$B75)</f>
        <v/>
      </c>
      <c r="H75" s="75">
        <f>$C75*INDEX(Curves!$G$8:$G$68,H$4-$B75+1)</f>
        <v/>
      </c>
      <c r="I75" s="75">
        <f>$C75*INDEX(Curves!$G$8:$G$68,I$4-$B75+1)</f>
        <v/>
      </c>
      <c r="J75" s="75">
        <f>$C75*INDEX(Curves!$G$8:$G$68,J$4-$B75+1)</f>
        <v/>
      </c>
      <c r="K75" s="75">
        <f>$C75*INDEX(Curves!$G$8:$G$68,K$4-$B75+1)</f>
        <v/>
      </c>
      <c r="L75" s="75">
        <f>$C75*INDEX(Curves!$G$8:$G$68,L$4-$B75+1)</f>
        <v/>
      </c>
      <c r="M75" s="75">
        <f>$C75*INDEX(Curves!$G$8:$G$68,M$4-$B75+1)</f>
        <v/>
      </c>
      <c r="N75" s="75">
        <f>$C75*INDEX(Curves!$G$8:$G$68,N$4-$B75+1)</f>
        <v/>
      </c>
      <c r="O75" s="75">
        <f>$C75*INDEX(Curves!$G$8:$G$68,O$4-$B75+1)</f>
        <v/>
      </c>
      <c r="P75" s="75">
        <f>$C75*INDEX(Curves!$G$8:$G$68,P$4-$B75+1)</f>
        <v/>
      </c>
      <c r="Q75" s="75">
        <f>$C75*INDEX(Curves!$G$8:$G$68,Q$4-$B75+1)</f>
        <v/>
      </c>
      <c r="R75" s="75">
        <f>$C75*INDEX(Curves!$G$8:$G$68,R$4-$B75+1)</f>
        <v/>
      </c>
      <c r="S75" s="75">
        <f>$C75*INDEX(Curves!$G$8:$G$68,S$4-$B75+1)</f>
        <v/>
      </c>
      <c r="T75" s="75">
        <f>$C75*INDEX(Curves!$G$8:$G$68,T$4-$B75+1)</f>
        <v/>
      </c>
      <c r="U75" s="75">
        <f>$C75*INDEX(Curves!$G$8:$G$68,U$4-$B75+1)</f>
        <v/>
      </c>
      <c r="V75" s="75">
        <f>$C75*INDEX(Curves!$G$8:$G$68,V$4-$B75+1)</f>
        <v/>
      </c>
      <c r="W75" s="75">
        <f>$C75*INDEX(Curves!$G$8:$G$68,W$4-$B75+1)</f>
        <v/>
      </c>
      <c r="X75" s="75">
        <f>$C75*INDEX(Curves!$G$8:$G$68,X$4-$B75+1)</f>
        <v/>
      </c>
      <c r="Y75" s="75">
        <f>$C75*INDEX(Curves!$G$8:$G$68,Y$4-$B75+1)</f>
        <v/>
      </c>
      <c r="Z75" s="75">
        <f>$C75*INDEX(Curves!$G$8:$G$68,Z$4-$B75+1)</f>
        <v/>
      </c>
      <c r="AA75" s="75">
        <f>$C75*INDEX(Curves!$G$8:$G$68,AA$4-$B75+1)</f>
        <v/>
      </c>
      <c r="AB75" s="75">
        <f>$C75*INDEX(Curves!$G$8:$G$68,AB$4-$B75+1)</f>
        <v/>
      </c>
      <c r="AC75" s="75">
        <f>$C75*INDEX(Curves!$G$8:$G$68,AC$4-$B75+1)</f>
        <v/>
      </c>
      <c r="AD75" s="75">
        <f>$C75*INDEX(Curves!$G$8:$G$68,AD$4-$B75+1)</f>
        <v/>
      </c>
      <c r="AE75" s="75">
        <f>$C75*INDEX(Curves!$G$8:$G$68,AE$4-$B75+1)</f>
        <v/>
      </c>
      <c r="AF75" s="75">
        <f>$C75*INDEX(Curves!$G$8:$G$68,AF$4-$B75+1)</f>
        <v/>
      </c>
      <c r="AG75" s="75">
        <f>$C75*INDEX(Curves!$G$8:$G$68,AG$4-$B75+1)</f>
        <v/>
      </c>
      <c r="AH75" s="75">
        <f>$C75*INDEX(Curves!$G$8:$G$68,AH$4-$B75+1)</f>
        <v/>
      </c>
      <c r="AI75" s="75">
        <f>$C75*INDEX(Curves!$G$8:$G$68,AI$4-$B75+1)</f>
        <v/>
      </c>
      <c r="AJ75" s="75">
        <f>$C75*INDEX(Curves!$G$8:$G$68,AJ$4-$B75+1)</f>
        <v/>
      </c>
      <c r="AK75" s="75">
        <f>$C75*INDEX(Curves!$G$8:$G$68,AK$4-$B75+1)</f>
        <v/>
      </c>
      <c r="AL75" s="75">
        <f>$C75*INDEX(Curves!$G$8:$G$68,AL$4-$B75+1)</f>
        <v/>
      </c>
      <c r="AM75" s="75">
        <f>$C75*INDEX(Curves!$G$8:$G$68,AM$4-$B75+1)</f>
        <v/>
      </c>
      <c r="AN75" s="75">
        <f>$C75*INDEX(Curves!$G$8:$G$68,AN$4-$B75+1)</f>
        <v/>
      </c>
      <c r="AO75" s="75">
        <f>$C75*INDEX(Curves!$G$8:$G$68,AO$4-$B75+1)</f>
        <v/>
      </c>
      <c r="AP75" s="75">
        <f>$C75*INDEX(Curves!$G$8:$G$68,AP$4-$B75+1)</f>
        <v/>
      </c>
      <c r="AQ75" s="75">
        <f>$C75*INDEX(Curves!$G$8:$G$68,AQ$4-$B75+1)</f>
        <v/>
      </c>
      <c r="AR75" s="75">
        <f>$C75*INDEX(Curves!$G$8:$G$68,AR$4-$B75+1)</f>
        <v/>
      </c>
      <c r="AS75" s="75">
        <f>$C75*INDEX(Curves!$G$8:$G$68,AS$4-$B75+1)</f>
        <v/>
      </c>
      <c r="AT75" s="75">
        <f>$C75*INDEX(Curves!$G$8:$G$68,AT$4-$B75+1)</f>
        <v/>
      </c>
      <c r="AU75" s="75">
        <f>$C75*INDEX(Curves!$G$8:$G$68,AU$4-$B75+1)</f>
        <v/>
      </c>
      <c r="AV75" s="75">
        <f>$C75*INDEX(Curves!$G$8:$G$68,AV$4-$B75+1)</f>
        <v/>
      </c>
      <c r="AW75" s="75">
        <f>$C75*INDEX(Curves!$G$8:$G$68,AW$4-$B75+1)</f>
        <v/>
      </c>
      <c r="AX75" s="75">
        <f>$C75*INDEX(Curves!$G$8:$G$68,AX$4-$B75+1)</f>
        <v/>
      </c>
      <c r="AY75" s="75">
        <f>$C75*INDEX(Curves!$G$8:$G$68,AY$4-$B75+1)</f>
        <v/>
      </c>
      <c r="AZ75" s="75">
        <f>$C75*INDEX(Curves!$G$8:$G$68,AZ$4-$B75+1)</f>
        <v/>
      </c>
      <c r="BA75" s="75">
        <f>$C75*INDEX(Curves!$G$8:$G$68,BA$4-$B75+1)</f>
        <v/>
      </c>
      <c r="BB75" s="75">
        <f>$C75*INDEX(Curves!$G$8:$G$68,BB$4-$B75+1)</f>
        <v/>
      </c>
      <c r="BC75" s="75">
        <f>$C75*INDEX(Curves!$G$8:$G$68,BC$4-$B75+1)</f>
        <v/>
      </c>
      <c r="BD75" s="75">
        <f>$C75*INDEX(Curves!$G$8:$G$68,BD$4-$B75+1)</f>
        <v/>
      </c>
      <c r="BE75" s="75">
        <f>$C75*INDEX(Curves!$G$8:$G$68,BE$4-$B75+1)</f>
        <v/>
      </c>
      <c r="BF75" s="75">
        <f>$C75*INDEX(Curves!$G$8:$G$68,BF$4-$B75+1)</f>
        <v/>
      </c>
      <c r="BG75" s="75">
        <f>$C75*INDEX(Curves!$G$8:$G$68,BG$4-$B75+1)</f>
        <v/>
      </c>
      <c r="BH75" s="75">
        <f>$C75*INDEX(Curves!$G$8:$G$68,BH$4-$B75+1)</f>
        <v/>
      </c>
      <c r="BI75" s="75">
        <f>$C75*INDEX(Curves!$G$8:$G$68,BI$4-$B75+1)</f>
        <v/>
      </c>
      <c r="BJ75" s="75">
        <f>$C75*INDEX(Curves!$G$8:$G$68,BJ$4-$B75+1)</f>
        <v/>
      </c>
      <c r="BK75" s="75">
        <f>$C75*INDEX(Curves!$G$8:$G$68,BK$4-$B75+1)</f>
        <v/>
      </c>
      <c r="BL75" s="75">
        <f>$C75*INDEX(Curves!$G$8:$G$68,BL$4-$B75+1)</f>
        <v/>
      </c>
    </row>
    <row r="76">
      <c r="A76" s="74" t="inlineStr">
        <is>
          <t>Cohort month 4</t>
        </is>
      </c>
      <c r="B76" s="74" t="n">
        <v>4</v>
      </c>
      <c r="C76" s="17">
        <f>INDEX(Ops!$E$9:$BL$9,1,$B76)</f>
        <v/>
      </c>
      <c r="I76" s="75">
        <f>$C76*INDEX(Curves!$G$8:$G$68,I$4-$B76+1)</f>
        <v/>
      </c>
      <c r="J76" s="75">
        <f>$C76*INDEX(Curves!$G$8:$G$68,J$4-$B76+1)</f>
        <v/>
      </c>
      <c r="K76" s="75">
        <f>$C76*INDEX(Curves!$G$8:$G$68,K$4-$B76+1)</f>
        <v/>
      </c>
      <c r="L76" s="75">
        <f>$C76*INDEX(Curves!$G$8:$G$68,L$4-$B76+1)</f>
        <v/>
      </c>
      <c r="M76" s="75">
        <f>$C76*INDEX(Curves!$G$8:$G$68,M$4-$B76+1)</f>
        <v/>
      </c>
      <c r="N76" s="75">
        <f>$C76*INDEX(Curves!$G$8:$G$68,N$4-$B76+1)</f>
        <v/>
      </c>
      <c r="O76" s="75">
        <f>$C76*INDEX(Curves!$G$8:$G$68,O$4-$B76+1)</f>
        <v/>
      </c>
      <c r="P76" s="75">
        <f>$C76*INDEX(Curves!$G$8:$G$68,P$4-$B76+1)</f>
        <v/>
      </c>
      <c r="Q76" s="75">
        <f>$C76*INDEX(Curves!$G$8:$G$68,Q$4-$B76+1)</f>
        <v/>
      </c>
      <c r="R76" s="75">
        <f>$C76*INDEX(Curves!$G$8:$G$68,R$4-$B76+1)</f>
        <v/>
      </c>
      <c r="S76" s="75">
        <f>$C76*INDEX(Curves!$G$8:$G$68,S$4-$B76+1)</f>
        <v/>
      </c>
      <c r="T76" s="75">
        <f>$C76*INDEX(Curves!$G$8:$G$68,T$4-$B76+1)</f>
        <v/>
      </c>
      <c r="U76" s="75">
        <f>$C76*INDEX(Curves!$G$8:$G$68,U$4-$B76+1)</f>
        <v/>
      </c>
      <c r="V76" s="75">
        <f>$C76*INDEX(Curves!$G$8:$G$68,V$4-$B76+1)</f>
        <v/>
      </c>
      <c r="W76" s="75">
        <f>$C76*INDEX(Curves!$G$8:$G$68,W$4-$B76+1)</f>
        <v/>
      </c>
      <c r="X76" s="75">
        <f>$C76*INDEX(Curves!$G$8:$G$68,X$4-$B76+1)</f>
        <v/>
      </c>
      <c r="Y76" s="75">
        <f>$C76*INDEX(Curves!$G$8:$G$68,Y$4-$B76+1)</f>
        <v/>
      </c>
      <c r="Z76" s="75">
        <f>$C76*INDEX(Curves!$G$8:$G$68,Z$4-$B76+1)</f>
        <v/>
      </c>
      <c r="AA76" s="75">
        <f>$C76*INDEX(Curves!$G$8:$G$68,AA$4-$B76+1)</f>
        <v/>
      </c>
      <c r="AB76" s="75">
        <f>$C76*INDEX(Curves!$G$8:$G$68,AB$4-$B76+1)</f>
        <v/>
      </c>
      <c r="AC76" s="75">
        <f>$C76*INDEX(Curves!$G$8:$G$68,AC$4-$B76+1)</f>
        <v/>
      </c>
      <c r="AD76" s="75">
        <f>$C76*INDEX(Curves!$G$8:$G$68,AD$4-$B76+1)</f>
        <v/>
      </c>
      <c r="AE76" s="75">
        <f>$C76*INDEX(Curves!$G$8:$G$68,AE$4-$B76+1)</f>
        <v/>
      </c>
      <c r="AF76" s="75">
        <f>$C76*INDEX(Curves!$G$8:$G$68,AF$4-$B76+1)</f>
        <v/>
      </c>
      <c r="AG76" s="75">
        <f>$C76*INDEX(Curves!$G$8:$G$68,AG$4-$B76+1)</f>
        <v/>
      </c>
      <c r="AH76" s="75">
        <f>$C76*INDEX(Curves!$G$8:$G$68,AH$4-$B76+1)</f>
        <v/>
      </c>
      <c r="AI76" s="75">
        <f>$C76*INDEX(Curves!$G$8:$G$68,AI$4-$B76+1)</f>
        <v/>
      </c>
      <c r="AJ76" s="75">
        <f>$C76*INDEX(Curves!$G$8:$G$68,AJ$4-$B76+1)</f>
        <v/>
      </c>
      <c r="AK76" s="75">
        <f>$C76*INDEX(Curves!$G$8:$G$68,AK$4-$B76+1)</f>
        <v/>
      </c>
      <c r="AL76" s="75">
        <f>$C76*INDEX(Curves!$G$8:$G$68,AL$4-$B76+1)</f>
        <v/>
      </c>
      <c r="AM76" s="75">
        <f>$C76*INDEX(Curves!$G$8:$G$68,AM$4-$B76+1)</f>
        <v/>
      </c>
      <c r="AN76" s="75">
        <f>$C76*INDEX(Curves!$G$8:$G$68,AN$4-$B76+1)</f>
        <v/>
      </c>
      <c r="AO76" s="75">
        <f>$C76*INDEX(Curves!$G$8:$G$68,AO$4-$B76+1)</f>
        <v/>
      </c>
      <c r="AP76" s="75">
        <f>$C76*INDEX(Curves!$G$8:$G$68,AP$4-$B76+1)</f>
        <v/>
      </c>
      <c r="AQ76" s="75">
        <f>$C76*INDEX(Curves!$G$8:$G$68,AQ$4-$B76+1)</f>
        <v/>
      </c>
      <c r="AR76" s="75">
        <f>$C76*INDEX(Curves!$G$8:$G$68,AR$4-$B76+1)</f>
        <v/>
      </c>
      <c r="AS76" s="75">
        <f>$C76*INDEX(Curves!$G$8:$G$68,AS$4-$B76+1)</f>
        <v/>
      </c>
      <c r="AT76" s="75">
        <f>$C76*INDEX(Curves!$G$8:$G$68,AT$4-$B76+1)</f>
        <v/>
      </c>
      <c r="AU76" s="75">
        <f>$C76*INDEX(Curves!$G$8:$G$68,AU$4-$B76+1)</f>
        <v/>
      </c>
      <c r="AV76" s="75">
        <f>$C76*INDEX(Curves!$G$8:$G$68,AV$4-$B76+1)</f>
        <v/>
      </c>
      <c r="AW76" s="75">
        <f>$C76*INDEX(Curves!$G$8:$G$68,AW$4-$B76+1)</f>
        <v/>
      </c>
      <c r="AX76" s="75">
        <f>$C76*INDEX(Curves!$G$8:$G$68,AX$4-$B76+1)</f>
        <v/>
      </c>
      <c r="AY76" s="75">
        <f>$C76*INDEX(Curves!$G$8:$G$68,AY$4-$B76+1)</f>
        <v/>
      </c>
      <c r="AZ76" s="75">
        <f>$C76*INDEX(Curves!$G$8:$G$68,AZ$4-$B76+1)</f>
        <v/>
      </c>
      <c r="BA76" s="75">
        <f>$C76*INDEX(Curves!$G$8:$G$68,BA$4-$B76+1)</f>
        <v/>
      </c>
      <c r="BB76" s="75">
        <f>$C76*INDEX(Curves!$G$8:$G$68,BB$4-$B76+1)</f>
        <v/>
      </c>
      <c r="BC76" s="75">
        <f>$C76*INDEX(Curves!$G$8:$G$68,BC$4-$B76+1)</f>
        <v/>
      </c>
      <c r="BD76" s="75">
        <f>$C76*INDEX(Curves!$G$8:$G$68,BD$4-$B76+1)</f>
        <v/>
      </c>
      <c r="BE76" s="75">
        <f>$C76*INDEX(Curves!$G$8:$G$68,BE$4-$B76+1)</f>
        <v/>
      </c>
      <c r="BF76" s="75">
        <f>$C76*INDEX(Curves!$G$8:$G$68,BF$4-$B76+1)</f>
        <v/>
      </c>
      <c r="BG76" s="75">
        <f>$C76*INDEX(Curves!$G$8:$G$68,BG$4-$B76+1)</f>
        <v/>
      </c>
      <c r="BH76" s="75">
        <f>$C76*INDEX(Curves!$G$8:$G$68,BH$4-$B76+1)</f>
        <v/>
      </c>
      <c r="BI76" s="75">
        <f>$C76*INDEX(Curves!$G$8:$G$68,BI$4-$B76+1)</f>
        <v/>
      </c>
      <c r="BJ76" s="75">
        <f>$C76*INDEX(Curves!$G$8:$G$68,BJ$4-$B76+1)</f>
        <v/>
      </c>
      <c r="BK76" s="75">
        <f>$C76*INDEX(Curves!$G$8:$G$68,BK$4-$B76+1)</f>
        <v/>
      </c>
      <c r="BL76" s="75">
        <f>$C76*INDEX(Curves!$G$8:$G$68,BL$4-$B76+1)</f>
        <v/>
      </c>
    </row>
    <row r="77">
      <c r="A77" s="74" t="inlineStr">
        <is>
          <t>Cohort month 5</t>
        </is>
      </c>
      <c r="B77" s="74" t="n">
        <v>5</v>
      </c>
      <c r="C77" s="17">
        <f>INDEX(Ops!$E$9:$BL$9,1,$B77)</f>
        <v/>
      </c>
      <c r="J77" s="75">
        <f>$C77*INDEX(Curves!$G$8:$G$68,J$4-$B77+1)</f>
        <v/>
      </c>
      <c r="K77" s="75">
        <f>$C77*INDEX(Curves!$G$8:$G$68,K$4-$B77+1)</f>
        <v/>
      </c>
      <c r="L77" s="75">
        <f>$C77*INDEX(Curves!$G$8:$G$68,L$4-$B77+1)</f>
        <v/>
      </c>
      <c r="M77" s="75">
        <f>$C77*INDEX(Curves!$G$8:$G$68,M$4-$B77+1)</f>
        <v/>
      </c>
      <c r="N77" s="75">
        <f>$C77*INDEX(Curves!$G$8:$G$68,N$4-$B77+1)</f>
        <v/>
      </c>
      <c r="O77" s="75">
        <f>$C77*INDEX(Curves!$G$8:$G$68,O$4-$B77+1)</f>
        <v/>
      </c>
      <c r="P77" s="75">
        <f>$C77*INDEX(Curves!$G$8:$G$68,P$4-$B77+1)</f>
        <v/>
      </c>
      <c r="Q77" s="75">
        <f>$C77*INDEX(Curves!$G$8:$G$68,Q$4-$B77+1)</f>
        <v/>
      </c>
      <c r="R77" s="75">
        <f>$C77*INDEX(Curves!$G$8:$G$68,R$4-$B77+1)</f>
        <v/>
      </c>
      <c r="S77" s="75">
        <f>$C77*INDEX(Curves!$G$8:$G$68,S$4-$B77+1)</f>
        <v/>
      </c>
      <c r="T77" s="75">
        <f>$C77*INDEX(Curves!$G$8:$G$68,T$4-$B77+1)</f>
        <v/>
      </c>
      <c r="U77" s="75">
        <f>$C77*INDEX(Curves!$G$8:$G$68,U$4-$B77+1)</f>
        <v/>
      </c>
      <c r="V77" s="75">
        <f>$C77*INDEX(Curves!$G$8:$G$68,V$4-$B77+1)</f>
        <v/>
      </c>
      <c r="W77" s="75">
        <f>$C77*INDEX(Curves!$G$8:$G$68,W$4-$B77+1)</f>
        <v/>
      </c>
      <c r="X77" s="75">
        <f>$C77*INDEX(Curves!$G$8:$G$68,X$4-$B77+1)</f>
        <v/>
      </c>
      <c r="Y77" s="75">
        <f>$C77*INDEX(Curves!$G$8:$G$68,Y$4-$B77+1)</f>
        <v/>
      </c>
      <c r="Z77" s="75">
        <f>$C77*INDEX(Curves!$G$8:$G$68,Z$4-$B77+1)</f>
        <v/>
      </c>
      <c r="AA77" s="75">
        <f>$C77*INDEX(Curves!$G$8:$G$68,AA$4-$B77+1)</f>
        <v/>
      </c>
      <c r="AB77" s="75">
        <f>$C77*INDEX(Curves!$G$8:$G$68,AB$4-$B77+1)</f>
        <v/>
      </c>
      <c r="AC77" s="75">
        <f>$C77*INDEX(Curves!$G$8:$G$68,AC$4-$B77+1)</f>
        <v/>
      </c>
      <c r="AD77" s="75">
        <f>$C77*INDEX(Curves!$G$8:$G$68,AD$4-$B77+1)</f>
        <v/>
      </c>
      <c r="AE77" s="75">
        <f>$C77*INDEX(Curves!$G$8:$G$68,AE$4-$B77+1)</f>
        <v/>
      </c>
      <c r="AF77" s="75">
        <f>$C77*INDEX(Curves!$G$8:$G$68,AF$4-$B77+1)</f>
        <v/>
      </c>
      <c r="AG77" s="75">
        <f>$C77*INDEX(Curves!$G$8:$G$68,AG$4-$B77+1)</f>
        <v/>
      </c>
      <c r="AH77" s="75">
        <f>$C77*INDEX(Curves!$G$8:$G$68,AH$4-$B77+1)</f>
        <v/>
      </c>
      <c r="AI77" s="75">
        <f>$C77*INDEX(Curves!$G$8:$G$68,AI$4-$B77+1)</f>
        <v/>
      </c>
      <c r="AJ77" s="75">
        <f>$C77*INDEX(Curves!$G$8:$G$68,AJ$4-$B77+1)</f>
        <v/>
      </c>
      <c r="AK77" s="75">
        <f>$C77*INDEX(Curves!$G$8:$G$68,AK$4-$B77+1)</f>
        <v/>
      </c>
      <c r="AL77" s="75">
        <f>$C77*INDEX(Curves!$G$8:$G$68,AL$4-$B77+1)</f>
        <v/>
      </c>
      <c r="AM77" s="75">
        <f>$C77*INDEX(Curves!$G$8:$G$68,AM$4-$B77+1)</f>
        <v/>
      </c>
      <c r="AN77" s="75">
        <f>$C77*INDEX(Curves!$G$8:$G$68,AN$4-$B77+1)</f>
        <v/>
      </c>
      <c r="AO77" s="75">
        <f>$C77*INDEX(Curves!$G$8:$G$68,AO$4-$B77+1)</f>
        <v/>
      </c>
      <c r="AP77" s="75">
        <f>$C77*INDEX(Curves!$G$8:$G$68,AP$4-$B77+1)</f>
        <v/>
      </c>
      <c r="AQ77" s="75">
        <f>$C77*INDEX(Curves!$G$8:$G$68,AQ$4-$B77+1)</f>
        <v/>
      </c>
      <c r="AR77" s="75">
        <f>$C77*INDEX(Curves!$G$8:$G$68,AR$4-$B77+1)</f>
        <v/>
      </c>
      <c r="AS77" s="75">
        <f>$C77*INDEX(Curves!$G$8:$G$68,AS$4-$B77+1)</f>
        <v/>
      </c>
      <c r="AT77" s="75">
        <f>$C77*INDEX(Curves!$G$8:$G$68,AT$4-$B77+1)</f>
        <v/>
      </c>
      <c r="AU77" s="75">
        <f>$C77*INDEX(Curves!$G$8:$G$68,AU$4-$B77+1)</f>
        <v/>
      </c>
      <c r="AV77" s="75">
        <f>$C77*INDEX(Curves!$G$8:$G$68,AV$4-$B77+1)</f>
        <v/>
      </c>
      <c r="AW77" s="75">
        <f>$C77*INDEX(Curves!$G$8:$G$68,AW$4-$B77+1)</f>
        <v/>
      </c>
      <c r="AX77" s="75">
        <f>$C77*INDEX(Curves!$G$8:$G$68,AX$4-$B77+1)</f>
        <v/>
      </c>
      <c r="AY77" s="75">
        <f>$C77*INDEX(Curves!$G$8:$G$68,AY$4-$B77+1)</f>
        <v/>
      </c>
      <c r="AZ77" s="75">
        <f>$C77*INDEX(Curves!$G$8:$G$68,AZ$4-$B77+1)</f>
        <v/>
      </c>
      <c r="BA77" s="75">
        <f>$C77*INDEX(Curves!$G$8:$G$68,BA$4-$B77+1)</f>
        <v/>
      </c>
      <c r="BB77" s="75">
        <f>$C77*INDEX(Curves!$G$8:$G$68,BB$4-$B77+1)</f>
        <v/>
      </c>
      <c r="BC77" s="75">
        <f>$C77*INDEX(Curves!$G$8:$G$68,BC$4-$B77+1)</f>
        <v/>
      </c>
      <c r="BD77" s="75">
        <f>$C77*INDEX(Curves!$G$8:$G$68,BD$4-$B77+1)</f>
        <v/>
      </c>
      <c r="BE77" s="75">
        <f>$C77*INDEX(Curves!$G$8:$G$68,BE$4-$B77+1)</f>
        <v/>
      </c>
      <c r="BF77" s="75">
        <f>$C77*INDEX(Curves!$G$8:$G$68,BF$4-$B77+1)</f>
        <v/>
      </c>
      <c r="BG77" s="75">
        <f>$C77*INDEX(Curves!$G$8:$G$68,BG$4-$B77+1)</f>
        <v/>
      </c>
      <c r="BH77" s="75">
        <f>$C77*INDEX(Curves!$G$8:$G$68,BH$4-$B77+1)</f>
        <v/>
      </c>
      <c r="BI77" s="75">
        <f>$C77*INDEX(Curves!$G$8:$G$68,BI$4-$B77+1)</f>
        <v/>
      </c>
      <c r="BJ77" s="75">
        <f>$C77*INDEX(Curves!$G$8:$G$68,BJ$4-$B77+1)</f>
        <v/>
      </c>
      <c r="BK77" s="75">
        <f>$C77*INDEX(Curves!$G$8:$G$68,BK$4-$B77+1)</f>
        <v/>
      </c>
      <c r="BL77" s="75">
        <f>$C77*INDEX(Curves!$G$8:$G$68,BL$4-$B77+1)</f>
        <v/>
      </c>
    </row>
    <row r="78">
      <c r="A78" s="74" t="inlineStr">
        <is>
          <t>Cohort month 6</t>
        </is>
      </c>
      <c r="B78" s="74" t="n">
        <v>6</v>
      </c>
      <c r="C78" s="17">
        <f>INDEX(Ops!$E$9:$BL$9,1,$B78)</f>
        <v/>
      </c>
      <c r="K78" s="75">
        <f>$C78*INDEX(Curves!$G$8:$G$68,K$4-$B78+1)</f>
        <v/>
      </c>
      <c r="L78" s="75">
        <f>$C78*INDEX(Curves!$G$8:$G$68,L$4-$B78+1)</f>
        <v/>
      </c>
      <c r="M78" s="75">
        <f>$C78*INDEX(Curves!$G$8:$G$68,M$4-$B78+1)</f>
        <v/>
      </c>
      <c r="N78" s="75">
        <f>$C78*INDEX(Curves!$G$8:$G$68,N$4-$B78+1)</f>
        <v/>
      </c>
      <c r="O78" s="75">
        <f>$C78*INDEX(Curves!$G$8:$G$68,O$4-$B78+1)</f>
        <v/>
      </c>
      <c r="P78" s="75">
        <f>$C78*INDEX(Curves!$G$8:$G$68,P$4-$B78+1)</f>
        <v/>
      </c>
      <c r="Q78" s="75">
        <f>$C78*INDEX(Curves!$G$8:$G$68,Q$4-$B78+1)</f>
        <v/>
      </c>
      <c r="R78" s="75">
        <f>$C78*INDEX(Curves!$G$8:$G$68,R$4-$B78+1)</f>
        <v/>
      </c>
      <c r="S78" s="75">
        <f>$C78*INDEX(Curves!$G$8:$G$68,S$4-$B78+1)</f>
        <v/>
      </c>
      <c r="T78" s="75">
        <f>$C78*INDEX(Curves!$G$8:$G$68,T$4-$B78+1)</f>
        <v/>
      </c>
      <c r="U78" s="75">
        <f>$C78*INDEX(Curves!$G$8:$G$68,U$4-$B78+1)</f>
        <v/>
      </c>
      <c r="V78" s="75">
        <f>$C78*INDEX(Curves!$G$8:$G$68,V$4-$B78+1)</f>
        <v/>
      </c>
      <c r="W78" s="75">
        <f>$C78*INDEX(Curves!$G$8:$G$68,W$4-$B78+1)</f>
        <v/>
      </c>
      <c r="X78" s="75">
        <f>$C78*INDEX(Curves!$G$8:$G$68,X$4-$B78+1)</f>
        <v/>
      </c>
      <c r="Y78" s="75">
        <f>$C78*INDEX(Curves!$G$8:$G$68,Y$4-$B78+1)</f>
        <v/>
      </c>
      <c r="Z78" s="75">
        <f>$C78*INDEX(Curves!$G$8:$G$68,Z$4-$B78+1)</f>
        <v/>
      </c>
      <c r="AA78" s="75">
        <f>$C78*INDEX(Curves!$G$8:$G$68,AA$4-$B78+1)</f>
        <v/>
      </c>
      <c r="AB78" s="75">
        <f>$C78*INDEX(Curves!$G$8:$G$68,AB$4-$B78+1)</f>
        <v/>
      </c>
      <c r="AC78" s="75">
        <f>$C78*INDEX(Curves!$G$8:$G$68,AC$4-$B78+1)</f>
        <v/>
      </c>
      <c r="AD78" s="75">
        <f>$C78*INDEX(Curves!$G$8:$G$68,AD$4-$B78+1)</f>
        <v/>
      </c>
      <c r="AE78" s="75">
        <f>$C78*INDEX(Curves!$G$8:$G$68,AE$4-$B78+1)</f>
        <v/>
      </c>
      <c r="AF78" s="75">
        <f>$C78*INDEX(Curves!$G$8:$G$68,AF$4-$B78+1)</f>
        <v/>
      </c>
      <c r="AG78" s="75">
        <f>$C78*INDEX(Curves!$G$8:$G$68,AG$4-$B78+1)</f>
        <v/>
      </c>
      <c r="AH78" s="75">
        <f>$C78*INDEX(Curves!$G$8:$G$68,AH$4-$B78+1)</f>
        <v/>
      </c>
      <c r="AI78" s="75">
        <f>$C78*INDEX(Curves!$G$8:$G$68,AI$4-$B78+1)</f>
        <v/>
      </c>
      <c r="AJ78" s="75">
        <f>$C78*INDEX(Curves!$G$8:$G$68,AJ$4-$B78+1)</f>
        <v/>
      </c>
      <c r="AK78" s="75">
        <f>$C78*INDEX(Curves!$G$8:$G$68,AK$4-$B78+1)</f>
        <v/>
      </c>
      <c r="AL78" s="75">
        <f>$C78*INDEX(Curves!$G$8:$G$68,AL$4-$B78+1)</f>
        <v/>
      </c>
      <c r="AM78" s="75">
        <f>$C78*INDEX(Curves!$G$8:$G$68,AM$4-$B78+1)</f>
        <v/>
      </c>
      <c r="AN78" s="75">
        <f>$C78*INDEX(Curves!$G$8:$G$68,AN$4-$B78+1)</f>
        <v/>
      </c>
      <c r="AO78" s="75">
        <f>$C78*INDEX(Curves!$G$8:$G$68,AO$4-$B78+1)</f>
        <v/>
      </c>
      <c r="AP78" s="75">
        <f>$C78*INDEX(Curves!$G$8:$G$68,AP$4-$B78+1)</f>
        <v/>
      </c>
      <c r="AQ78" s="75">
        <f>$C78*INDEX(Curves!$G$8:$G$68,AQ$4-$B78+1)</f>
        <v/>
      </c>
      <c r="AR78" s="75">
        <f>$C78*INDEX(Curves!$G$8:$G$68,AR$4-$B78+1)</f>
        <v/>
      </c>
      <c r="AS78" s="75">
        <f>$C78*INDEX(Curves!$G$8:$G$68,AS$4-$B78+1)</f>
        <v/>
      </c>
      <c r="AT78" s="75">
        <f>$C78*INDEX(Curves!$G$8:$G$68,AT$4-$B78+1)</f>
        <v/>
      </c>
      <c r="AU78" s="75">
        <f>$C78*INDEX(Curves!$G$8:$G$68,AU$4-$B78+1)</f>
        <v/>
      </c>
      <c r="AV78" s="75">
        <f>$C78*INDEX(Curves!$G$8:$G$68,AV$4-$B78+1)</f>
        <v/>
      </c>
      <c r="AW78" s="75">
        <f>$C78*INDEX(Curves!$G$8:$G$68,AW$4-$B78+1)</f>
        <v/>
      </c>
      <c r="AX78" s="75">
        <f>$C78*INDEX(Curves!$G$8:$G$68,AX$4-$B78+1)</f>
        <v/>
      </c>
      <c r="AY78" s="75">
        <f>$C78*INDEX(Curves!$G$8:$G$68,AY$4-$B78+1)</f>
        <v/>
      </c>
      <c r="AZ78" s="75">
        <f>$C78*INDEX(Curves!$G$8:$G$68,AZ$4-$B78+1)</f>
        <v/>
      </c>
      <c r="BA78" s="75">
        <f>$C78*INDEX(Curves!$G$8:$G$68,BA$4-$B78+1)</f>
        <v/>
      </c>
      <c r="BB78" s="75">
        <f>$C78*INDEX(Curves!$G$8:$G$68,BB$4-$B78+1)</f>
        <v/>
      </c>
      <c r="BC78" s="75">
        <f>$C78*INDEX(Curves!$G$8:$G$68,BC$4-$B78+1)</f>
        <v/>
      </c>
      <c r="BD78" s="75">
        <f>$C78*INDEX(Curves!$G$8:$G$68,BD$4-$B78+1)</f>
        <v/>
      </c>
      <c r="BE78" s="75">
        <f>$C78*INDEX(Curves!$G$8:$G$68,BE$4-$B78+1)</f>
        <v/>
      </c>
      <c r="BF78" s="75">
        <f>$C78*INDEX(Curves!$G$8:$G$68,BF$4-$B78+1)</f>
        <v/>
      </c>
      <c r="BG78" s="75">
        <f>$C78*INDEX(Curves!$G$8:$G$68,BG$4-$B78+1)</f>
        <v/>
      </c>
      <c r="BH78" s="75">
        <f>$C78*INDEX(Curves!$G$8:$G$68,BH$4-$B78+1)</f>
        <v/>
      </c>
      <c r="BI78" s="75">
        <f>$C78*INDEX(Curves!$G$8:$G$68,BI$4-$B78+1)</f>
        <v/>
      </c>
      <c r="BJ78" s="75">
        <f>$C78*INDEX(Curves!$G$8:$G$68,BJ$4-$B78+1)</f>
        <v/>
      </c>
      <c r="BK78" s="75">
        <f>$C78*INDEX(Curves!$G$8:$G$68,BK$4-$B78+1)</f>
        <v/>
      </c>
      <c r="BL78" s="75">
        <f>$C78*INDEX(Curves!$G$8:$G$68,BL$4-$B78+1)</f>
        <v/>
      </c>
    </row>
    <row r="79">
      <c r="A79" s="74" t="inlineStr">
        <is>
          <t>Cohort month 7</t>
        </is>
      </c>
      <c r="B79" s="74" t="n">
        <v>7</v>
      </c>
      <c r="C79" s="17">
        <f>INDEX(Ops!$E$9:$BL$9,1,$B79)</f>
        <v/>
      </c>
      <c r="L79" s="75">
        <f>$C79*INDEX(Curves!$G$8:$G$68,L$4-$B79+1)</f>
        <v/>
      </c>
      <c r="M79" s="75">
        <f>$C79*INDEX(Curves!$G$8:$G$68,M$4-$B79+1)</f>
        <v/>
      </c>
      <c r="N79" s="75">
        <f>$C79*INDEX(Curves!$G$8:$G$68,N$4-$B79+1)</f>
        <v/>
      </c>
      <c r="O79" s="75">
        <f>$C79*INDEX(Curves!$G$8:$G$68,O$4-$B79+1)</f>
        <v/>
      </c>
      <c r="P79" s="75">
        <f>$C79*INDEX(Curves!$G$8:$G$68,P$4-$B79+1)</f>
        <v/>
      </c>
      <c r="Q79" s="75">
        <f>$C79*INDEX(Curves!$G$8:$G$68,Q$4-$B79+1)</f>
        <v/>
      </c>
      <c r="R79" s="75">
        <f>$C79*INDEX(Curves!$G$8:$G$68,R$4-$B79+1)</f>
        <v/>
      </c>
      <c r="S79" s="75">
        <f>$C79*INDEX(Curves!$G$8:$G$68,S$4-$B79+1)</f>
        <v/>
      </c>
      <c r="T79" s="75">
        <f>$C79*INDEX(Curves!$G$8:$G$68,T$4-$B79+1)</f>
        <v/>
      </c>
      <c r="U79" s="75">
        <f>$C79*INDEX(Curves!$G$8:$G$68,U$4-$B79+1)</f>
        <v/>
      </c>
      <c r="V79" s="75">
        <f>$C79*INDEX(Curves!$G$8:$G$68,V$4-$B79+1)</f>
        <v/>
      </c>
      <c r="W79" s="75">
        <f>$C79*INDEX(Curves!$G$8:$G$68,W$4-$B79+1)</f>
        <v/>
      </c>
      <c r="X79" s="75">
        <f>$C79*INDEX(Curves!$G$8:$G$68,X$4-$B79+1)</f>
        <v/>
      </c>
      <c r="Y79" s="75">
        <f>$C79*INDEX(Curves!$G$8:$G$68,Y$4-$B79+1)</f>
        <v/>
      </c>
      <c r="Z79" s="75">
        <f>$C79*INDEX(Curves!$G$8:$G$68,Z$4-$B79+1)</f>
        <v/>
      </c>
      <c r="AA79" s="75">
        <f>$C79*INDEX(Curves!$G$8:$G$68,AA$4-$B79+1)</f>
        <v/>
      </c>
      <c r="AB79" s="75">
        <f>$C79*INDEX(Curves!$G$8:$G$68,AB$4-$B79+1)</f>
        <v/>
      </c>
      <c r="AC79" s="75">
        <f>$C79*INDEX(Curves!$G$8:$G$68,AC$4-$B79+1)</f>
        <v/>
      </c>
      <c r="AD79" s="75">
        <f>$C79*INDEX(Curves!$G$8:$G$68,AD$4-$B79+1)</f>
        <v/>
      </c>
      <c r="AE79" s="75">
        <f>$C79*INDEX(Curves!$G$8:$G$68,AE$4-$B79+1)</f>
        <v/>
      </c>
      <c r="AF79" s="75">
        <f>$C79*INDEX(Curves!$G$8:$G$68,AF$4-$B79+1)</f>
        <v/>
      </c>
      <c r="AG79" s="75">
        <f>$C79*INDEX(Curves!$G$8:$G$68,AG$4-$B79+1)</f>
        <v/>
      </c>
      <c r="AH79" s="75">
        <f>$C79*INDEX(Curves!$G$8:$G$68,AH$4-$B79+1)</f>
        <v/>
      </c>
      <c r="AI79" s="75">
        <f>$C79*INDEX(Curves!$G$8:$G$68,AI$4-$B79+1)</f>
        <v/>
      </c>
      <c r="AJ79" s="75">
        <f>$C79*INDEX(Curves!$G$8:$G$68,AJ$4-$B79+1)</f>
        <v/>
      </c>
      <c r="AK79" s="75">
        <f>$C79*INDEX(Curves!$G$8:$G$68,AK$4-$B79+1)</f>
        <v/>
      </c>
      <c r="AL79" s="75">
        <f>$C79*INDEX(Curves!$G$8:$G$68,AL$4-$B79+1)</f>
        <v/>
      </c>
      <c r="AM79" s="75">
        <f>$C79*INDEX(Curves!$G$8:$G$68,AM$4-$B79+1)</f>
        <v/>
      </c>
      <c r="AN79" s="75">
        <f>$C79*INDEX(Curves!$G$8:$G$68,AN$4-$B79+1)</f>
        <v/>
      </c>
      <c r="AO79" s="75">
        <f>$C79*INDEX(Curves!$G$8:$G$68,AO$4-$B79+1)</f>
        <v/>
      </c>
      <c r="AP79" s="75">
        <f>$C79*INDEX(Curves!$G$8:$G$68,AP$4-$B79+1)</f>
        <v/>
      </c>
      <c r="AQ79" s="75">
        <f>$C79*INDEX(Curves!$G$8:$G$68,AQ$4-$B79+1)</f>
        <v/>
      </c>
      <c r="AR79" s="75">
        <f>$C79*INDEX(Curves!$G$8:$G$68,AR$4-$B79+1)</f>
        <v/>
      </c>
      <c r="AS79" s="75">
        <f>$C79*INDEX(Curves!$G$8:$G$68,AS$4-$B79+1)</f>
        <v/>
      </c>
      <c r="AT79" s="75">
        <f>$C79*INDEX(Curves!$G$8:$G$68,AT$4-$B79+1)</f>
        <v/>
      </c>
      <c r="AU79" s="75">
        <f>$C79*INDEX(Curves!$G$8:$G$68,AU$4-$B79+1)</f>
        <v/>
      </c>
      <c r="AV79" s="75">
        <f>$C79*INDEX(Curves!$G$8:$G$68,AV$4-$B79+1)</f>
        <v/>
      </c>
      <c r="AW79" s="75">
        <f>$C79*INDEX(Curves!$G$8:$G$68,AW$4-$B79+1)</f>
        <v/>
      </c>
      <c r="AX79" s="75">
        <f>$C79*INDEX(Curves!$G$8:$G$68,AX$4-$B79+1)</f>
        <v/>
      </c>
      <c r="AY79" s="75">
        <f>$C79*INDEX(Curves!$G$8:$G$68,AY$4-$B79+1)</f>
        <v/>
      </c>
      <c r="AZ79" s="75">
        <f>$C79*INDEX(Curves!$G$8:$G$68,AZ$4-$B79+1)</f>
        <v/>
      </c>
      <c r="BA79" s="75">
        <f>$C79*INDEX(Curves!$G$8:$G$68,BA$4-$B79+1)</f>
        <v/>
      </c>
      <c r="BB79" s="75">
        <f>$C79*INDEX(Curves!$G$8:$G$68,BB$4-$B79+1)</f>
        <v/>
      </c>
      <c r="BC79" s="75">
        <f>$C79*INDEX(Curves!$G$8:$G$68,BC$4-$B79+1)</f>
        <v/>
      </c>
      <c r="BD79" s="75">
        <f>$C79*INDEX(Curves!$G$8:$G$68,BD$4-$B79+1)</f>
        <v/>
      </c>
      <c r="BE79" s="75">
        <f>$C79*INDEX(Curves!$G$8:$G$68,BE$4-$B79+1)</f>
        <v/>
      </c>
      <c r="BF79" s="75">
        <f>$C79*INDEX(Curves!$G$8:$G$68,BF$4-$B79+1)</f>
        <v/>
      </c>
      <c r="BG79" s="75">
        <f>$C79*INDEX(Curves!$G$8:$G$68,BG$4-$B79+1)</f>
        <v/>
      </c>
      <c r="BH79" s="75">
        <f>$C79*INDEX(Curves!$G$8:$G$68,BH$4-$B79+1)</f>
        <v/>
      </c>
      <c r="BI79" s="75">
        <f>$C79*INDEX(Curves!$G$8:$G$68,BI$4-$B79+1)</f>
        <v/>
      </c>
      <c r="BJ79" s="75">
        <f>$C79*INDEX(Curves!$G$8:$G$68,BJ$4-$B79+1)</f>
        <v/>
      </c>
      <c r="BK79" s="75">
        <f>$C79*INDEX(Curves!$G$8:$G$68,BK$4-$B79+1)</f>
        <v/>
      </c>
      <c r="BL79" s="75">
        <f>$C79*INDEX(Curves!$G$8:$G$68,BL$4-$B79+1)</f>
        <v/>
      </c>
    </row>
    <row r="80">
      <c r="A80" s="74" t="inlineStr">
        <is>
          <t>Cohort month 8</t>
        </is>
      </c>
      <c r="B80" s="74" t="n">
        <v>8</v>
      </c>
      <c r="C80" s="17">
        <f>INDEX(Ops!$E$9:$BL$9,1,$B80)</f>
        <v/>
      </c>
      <c r="M80" s="75">
        <f>$C80*INDEX(Curves!$G$8:$G$68,M$4-$B80+1)</f>
        <v/>
      </c>
      <c r="N80" s="75">
        <f>$C80*INDEX(Curves!$G$8:$G$68,N$4-$B80+1)</f>
        <v/>
      </c>
      <c r="O80" s="75">
        <f>$C80*INDEX(Curves!$G$8:$G$68,O$4-$B80+1)</f>
        <v/>
      </c>
      <c r="P80" s="75">
        <f>$C80*INDEX(Curves!$G$8:$G$68,P$4-$B80+1)</f>
        <v/>
      </c>
      <c r="Q80" s="75">
        <f>$C80*INDEX(Curves!$G$8:$G$68,Q$4-$B80+1)</f>
        <v/>
      </c>
      <c r="R80" s="75">
        <f>$C80*INDEX(Curves!$G$8:$G$68,R$4-$B80+1)</f>
        <v/>
      </c>
      <c r="S80" s="75">
        <f>$C80*INDEX(Curves!$G$8:$G$68,S$4-$B80+1)</f>
        <v/>
      </c>
      <c r="T80" s="75">
        <f>$C80*INDEX(Curves!$G$8:$G$68,T$4-$B80+1)</f>
        <v/>
      </c>
      <c r="U80" s="75">
        <f>$C80*INDEX(Curves!$G$8:$G$68,U$4-$B80+1)</f>
        <v/>
      </c>
      <c r="V80" s="75">
        <f>$C80*INDEX(Curves!$G$8:$G$68,V$4-$B80+1)</f>
        <v/>
      </c>
      <c r="W80" s="75">
        <f>$C80*INDEX(Curves!$G$8:$G$68,W$4-$B80+1)</f>
        <v/>
      </c>
      <c r="X80" s="75">
        <f>$C80*INDEX(Curves!$G$8:$G$68,X$4-$B80+1)</f>
        <v/>
      </c>
      <c r="Y80" s="75">
        <f>$C80*INDEX(Curves!$G$8:$G$68,Y$4-$B80+1)</f>
        <v/>
      </c>
      <c r="Z80" s="75">
        <f>$C80*INDEX(Curves!$G$8:$G$68,Z$4-$B80+1)</f>
        <v/>
      </c>
      <c r="AA80" s="75">
        <f>$C80*INDEX(Curves!$G$8:$G$68,AA$4-$B80+1)</f>
        <v/>
      </c>
      <c r="AB80" s="75">
        <f>$C80*INDEX(Curves!$G$8:$G$68,AB$4-$B80+1)</f>
        <v/>
      </c>
      <c r="AC80" s="75">
        <f>$C80*INDEX(Curves!$G$8:$G$68,AC$4-$B80+1)</f>
        <v/>
      </c>
      <c r="AD80" s="75">
        <f>$C80*INDEX(Curves!$G$8:$G$68,AD$4-$B80+1)</f>
        <v/>
      </c>
      <c r="AE80" s="75">
        <f>$C80*INDEX(Curves!$G$8:$G$68,AE$4-$B80+1)</f>
        <v/>
      </c>
      <c r="AF80" s="75">
        <f>$C80*INDEX(Curves!$G$8:$G$68,AF$4-$B80+1)</f>
        <v/>
      </c>
      <c r="AG80" s="75">
        <f>$C80*INDEX(Curves!$G$8:$G$68,AG$4-$B80+1)</f>
        <v/>
      </c>
      <c r="AH80" s="75">
        <f>$C80*INDEX(Curves!$G$8:$G$68,AH$4-$B80+1)</f>
        <v/>
      </c>
      <c r="AI80" s="75">
        <f>$C80*INDEX(Curves!$G$8:$G$68,AI$4-$B80+1)</f>
        <v/>
      </c>
      <c r="AJ80" s="75">
        <f>$C80*INDEX(Curves!$G$8:$G$68,AJ$4-$B80+1)</f>
        <v/>
      </c>
      <c r="AK80" s="75">
        <f>$C80*INDEX(Curves!$G$8:$G$68,AK$4-$B80+1)</f>
        <v/>
      </c>
      <c r="AL80" s="75">
        <f>$C80*INDEX(Curves!$G$8:$G$68,AL$4-$B80+1)</f>
        <v/>
      </c>
      <c r="AM80" s="75">
        <f>$C80*INDEX(Curves!$G$8:$G$68,AM$4-$B80+1)</f>
        <v/>
      </c>
      <c r="AN80" s="75">
        <f>$C80*INDEX(Curves!$G$8:$G$68,AN$4-$B80+1)</f>
        <v/>
      </c>
      <c r="AO80" s="75">
        <f>$C80*INDEX(Curves!$G$8:$G$68,AO$4-$B80+1)</f>
        <v/>
      </c>
      <c r="AP80" s="75">
        <f>$C80*INDEX(Curves!$G$8:$G$68,AP$4-$B80+1)</f>
        <v/>
      </c>
      <c r="AQ80" s="75">
        <f>$C80*INDEX(Curves!$G$8:$G$68,AQ$4-$B80+1)</f>
        <v/>
      </c>
      <c r="AR80" s="75">
        <f>$C80*INDEX(Curves!$G$8:$G$68,AR$4-$B80+1)</f>
        <v/>
      </c>
      <c r="AS80" s="75">
        <f>$C80*INDEX(Curves!$G$8:$G$68,AS$4-$B80+1)</f>
        <v/>
      </c>
      <c r="AT80" s="75">
        <f>$C80*INDEX(Curves!$G$8:$G$68,AT$4-$B80+1)</f>
        <v/>
      </c>
      <c r="AU80" s="75">
        <f>$C80*INDEX(Curves!$G$8:$G$68,AU$4-$B80+1)</f>
        <v/>
      </c>
      <c r="AV80" s="75">
        <f>$C80*INDEX(Curves!$G$8:$G$68,AV$4-$B80+1)</f>
        <v/>
      </c>
      <c r="AW80" s="75">
        <f>$C80*INDEX(Curves!$G$8:$G$68,AW$4-$B80+1)</f>
        <v/>
      </c>
      <c r="AX80" s="75">
        <f>$C80*INDEX(Curves!$G$8:$G$68,AX$4-$B80+1)</f>
        <v/>
      </c>
      <c r="AY80" s="75">
        <f>$C80*INDEX(Curves!$G$8:$G$68,AY$4-$B80+1)</f>
        <v/>
      </c>
      <c r="AZ80" s="75">
        <f>$C80*INDEX(Curves!$G$8:$G$68,AZ$4-$B80+1)</f>
        <v/>
      </c>
      <c r="BA80" s="75">
        <f>$C80*INDEX(Curves!$G$8:$G$68,BA$4-$B80+1)</f>
        <v/>
      </c>
      <c r="BB80" s="75">
        <f>$C80*INDEX(Curves!$G$8:$G$68,BB$4-$B80+1)</f>
        <v/>
      </c>
      <c r="BC80" s="75">
        <f>$C80*INDEX(Curves!$G$8:$G$68,BC$4-$B80+1)</f>
        <v/>
      </c>
      <c r="BD80" s="75">
        <f>$C80*INDEX(Curves!$G$8:$G$68,BD$4-$B80+1)</f>
        <v/>
      </c>
      <c r="BE80" s="75">
        <f>$C80*INDEX(Curves!$G$8:$G$68,BE$4-$B80+1)</f>
        <v/>
      </c>
      <c r="BF80" s="75">
        <f>$C80*INDEX(Curves!$G$8:$G$68,BF$4-$B80+1)</f>
        <v/>
      </c>
      <c r="BG80" s="75">
        <f>$C80*INDEX(Curves!$G$8:$G$68,BG$4-$B80+1)</f>
        <v/>
      </c>
      <c r="BH80" s="75">
        <f>$C80*INDEX(Curves!$G$8:$G$68,BH$4-$B80+1)</f>
        <v/>
      </c>
      <c r="BI80" s="75">
        <f>$C80*INDEX(Curves!$G$8:$G$68,BI$4-$B80+1)</f>
        <v/>
      </c>
      <c r="BJ80" s="75">
        <f>$C80*INDEX(Curves!$G$8:$G$68,BJ$4-$B80+1)</f>
        <v/>
      </c>
      <c r="BK80" s="75">
        <f>$C80*INDEX(Curves!$G$8:$G$68,BK$4-$B80+1)</f>
        <v/>
      </c>
      <c r="BL80" s="75">
        <f>$C80*INDEX(Curves!$G$8:$G$68,BL$4-$B80+1)</f>
        <v/>
      </c>
    </row>
    <row r="81">
      <c r="A81" s="74" t="inlineStr">
        <is>
          <t>Cohort month 9</t>
        </is>
      </c>
      <c r="B81" s="74" t="n">
        <v>9</v>
      </c>
      <c r="C81" s="17">
        <f>INDEX(Ops!$E$9:$BL$9,1,$B81)</f>
        <v/>
      </c>
      <c r="N81" s="75">
        <f>$C81*INDEX(Curves!$G$8:$G$68,N$4-$B81+1)</f>
        <v/>
      </c>
      <c r="O81" s="75">
        <f>$C81*INDEX(Curves!$G$8:$G$68,O$4-$B81+1)</f>
        <v/>
      </c>
      <c r="P81" s="75">
        <f>$C81*INDEX(Curves!$G$8:$G$68,P$4-$B81+1)</f>
        <v/>
      </c>
      <c r="Q81" s="75">
        <f>$C81*INDEX(Curves!$G$8:$G$68,Q$4-$B81+1)</f>
        <v/>
      </c>
      <c r="R81" s="75">
        <f>$C81*INDEX(Curves!$G$8:$G$68,R$4-$B81+1)</f>
        <v/>
      </c>
      <c r="S81" s="75">
        <f>$C81*INDEX(Curves!$G$8:$G$68,S$4-$B81+1)</f>
        <v/>
      </c>
      <c r="T81" s="75">
        <f>$C81*INDEX(Curves!$G$8:$G$68,T$4-$B81+1)</f>
        <v/>
      </c>
      <c r="U81" s="75">
        <f>$C81*INDEX(Curves!$G$8:$G$68,U$4-$B81+1)</f>
        <v/>
      </c>
      <c r="V81" s="75">
        <f>$C81*INDEX(Curves!$G$8:$G$68,V$4-$B81+1)</f>
        <v/>
      </c>
      <c r="W81" s="75">
        <f>$C81*INDEX(Curves!$G$8:$G$68,W$4-$B81+1)</f>
        <v/>
      </c>
      <c r="X81" s="75">
        <f>$C81*INDEX(Curves!$G$8:$G$68,X$4-$B81+1)</f>
        <v/>
      </c>
      <c r="Y81" s="75">
        <f>$C81*INDEX(Curves!$G$8:$G$68,Y$4-$B81+1)</f>
        <v/>
      </c>
      <c r="Z81" s="75">
        <f>$C81*INDEX(Curves!$G$8:$G$68,Z$4-$B81+1)</f>
        <v/>
      </c>
      <c r="AA81" s="75">
        <f>$C81*INDEX(Curves!$G$8:$G$68,AA$4-$B81+1)</f>
        <v/>
      </c>
      <c r="AB81" s="75">
        <f>$C81*INDEX(Curves!$G$8:$G$68,AB$4-$B81+1)</f>
        <v/>
      </c>
      <c r="AC81" s="75">
        <f>$C81*INDEX(Curves!$G$8:$G$68,AC$4-$B81+1)</f>
        <v/>
      </c>
      <c r="AD81" s="75">
        <f>$C81*INDEX(Curves!$G$8:$G$68,AD$4-$B81+1)</f>
        <v/>
      </c>
      <c r="AE81" s="75">
        <f>$C81*INDEX(Curves!$G$8:$G$68,AE$4-$B81+1)</f>
        <v/>
      </c>
      <c r="AF81" s="75">
        <f>$C81*INDEX(Curves!$G$8:$G$68,AF$4-$B81+1)</f>
        <v/>
      </c>
      <c r="AG81" s="75">
        <f>$C81*INDEX(Curves!$G$8:$G$68,AG$4-$B81+1)</f>
        <v/>
      </c>
      <c r="AH81" s="75">
        <f>$C81*INDEX(Curves!$G$8:$G$68,AH$4-$B81+1)</f>
        <v/>
      </c>
      <c r="AI81" s="75">
        <f>$C81*INDEX(Curves!$G$8:$G$68,AI$4-$B81+1)</f>
        <v/>
      </c>
      <c r="AJ81" s="75">
        <f>$C81*INDEX(Curves!$G$8:$G$68,AJ$4-$B81+1)</f>
        <v/>
      </c>
      <c r="AK81" s="75">
        <f>$C81*INDEX(Curves!$G$8:$G$68,AK$4-$B81+1)</f>
        <v/>
      </c>
      <c r="AL81" s="75">
        <f>$C81*INDEX(Curves!$G$8:$G$68,AL$4-$B81+1)</f>
        <v/>
      </c>
      <c r="AM81" s="75">
        <f>$C81*INDEX(Curves!$G$8:$G$68,AM$4-$B81+1)</f>
        <v/>
      </c>
      <c r="AN81" s="75">
        <f>$C81*INDEX(Curves!$G$8:$G$68,AN$4-$B81+1)</f>
        <v/>
      </c>
      <c r="AO81" s="75">
        <f>$C81*INDEX(Curves!$G$8:$G$68,AO$4-$B81+1)</f>
        <v/>
      </c>
      <c r="AP81" s="75">
        <f>$C81*INDEX(Curves!$G$8:$G$68,AP$4-$B81+1)</f>
        <v/>
      </c>
      <c r="AQ81" s="75">
        <f>$C81*INDEX(Curves!$G$8:$G$68,AQ$4-$B81+1)</f>
        <v/>
      </c>
      <c r="AR81" s="75">
        <f>$C81*INDEX(Curves!$G$8:$G$68,AR$4-$B81+1)</f>
        <v/>
      </c>
      <c r="AS81" s="75">
        <f>$C81*INDEX(Curves!$G$8:$G$68,AS$4-$B81+1)</f>
        <v/>
      </c>
      <c r="AT81" s="75">
        <f>$C81*INDEX(Curves!$G$8:$G$68,AT$4-$B81+1)</f>
        <v/>
      </c>
      <c r="AU81" s="75">
        <f>$C81*INDEX(Curves!$G$8:$G$68,AU$4-$B81+1)</f>
        <v/>
      </c>
      <c r="AV81" s="75">
        <f>$C81*INDEX(Curves!$G$8:$G$68,AV$4-$B81+1)</f>
        <v/>
      </c>
      <c r="AW81" s="75">
        <f>$C81*INDEX(Curves!$G$8:$G$68,AW$4-$B81+1)</f>
        <v/>
      </c>
      <c r="AX81" s="75">
        <f>$C81*INDEX(Curves!$G$8:$G$68,AX$4-$B81+1)</f>
        <v/>
      </c>
      <c r="AY81" s="75">
        <f>$C81*INDEX(Curves!$G$8:$G$68,AY$4-$B81+1)</f>
        <v/>
      </c>
      <c r="AZ81" s="75">
        <f>$C81*INDEX(Curves!$G$8:$G$68,AZ$4-$B81+1)</f>
        <v/>
      </c>
      <c r="BA81" s="75">
        <f>$C81*INDEX(Curves!$G$8:$G$68,BA$4-$B81+1)</f>
        <v/>
      </c>
      <c r="BB81" s="75">
        <f>$C81*INDEX(Curves!$G$8:$G$68,BB$4-$B81+1)</f>
        <v/>
      </c>
      <c r="BC81" s="75">
        <f>$C81*INDEX(Curves!$G$8:$G$68,BC$4-$B81+1)</f>
        <v/>
      </c>
      <c r="BD81" s="75">
        <f>$C81*INDEX(Curves!$G$8:$G$68,BD$4-$B81+1)</f>
        <v/>
      </c>
      <c r="BE81" s="75">
        <f>$C81*INDEX(Curves!$G$8:$G$68,BE$4-$B81+1)</f>
        <v/>
      </c>
      <c r="BF81" s="75">
        <f>$C81*INDEX(Curves!$G$8:$G$68,BF$4-$B81+1)</f>
        <v/>
      </c>
      <c r="BG81" s="75">
        <f>$C81*INDEX(Curves!$G$8:$G$68,BG$4-$B81+1)</f>
        <v/>
      </c>
      <c r="BH81" s="75">
        <f>$C81*INDEX(Curves!$G$8:$G$68,BH$4-$B81+1)</f>
        <v/>
      </c>
      <c r="BI81" s="75">
        <f>$C81*INDEX(Curves!$G$8:$G$68,BI$4-$B81+1)</f>
        <v/>
      </c>
      <c r="BJ81" s="75">
        <f>$C81*INDEX(Curves!$G$8:$G$68,BJ$4-$B81+1)</f>
        <v/>
      </c>
      <c r="BK81" s="75">
        <f>$C81*INDEX(Curves!$G$8:$G$68,BK$4-$B81+1)</f>
        <v/>
      </c>
      <c r="BL81" s="75">
        <f>$C81*INDEX(Curves!$G$8:$G$68,BL$4-$B81+1)</f>
        <v/>
      </c>
    </row>
    <row r="82">
      <c r="A82" s="74" t="inlineStr">
        <is>
          <t>Cohort month 10</t>
        </is>
      </c>
      <c r="B82" s="74" t="n">
        <v>10</v>
      </c>
      <c r="C82" s="17">
        <f>INDEX(Ops!$E$9:$BL$9,1,$B82)</f>
        <v/>
      </c>
      <c r="O82" s="75">
        <f>$C82*INDEX(Curves!$G$8:$G$68,O$4-$B82+1)</f>
        <v/>
      </c>
      <c r="P82" s="75">
        <f>$C82*INDEX(Curves!$G$8:$G$68,P$4-$B82+1)</f>
        <v/>
      </c>
      <c r="Q82" s="75">
        <f>$C82*INDEX(Curves!$G$8:$G$68,Q$4-$B82+1)</f>
        <v/>
      </c>
      <c r="R82" s="75">
        <f>$C82*INDEX(Curves!$G$8:$G$68,R$4-$B82+1)</f>
        <v/>
      </c>
      <c r="S82" s="75">
        <f>$C82*INDEX(Curves!$G$8:$G$68,S$4-$B82+1)</f>
        <v/>
      </c>
      <c r="T82" s="75">
        <f>$C82*INDEX(Curves!$G$8:$G$68,T$4-$B82+1)</f>
        <v/>
      </c>
      <c r="U82" s="75">
        <f>$C82*INDEX(Curves!$G$8:$G$68,U$4-$B82+1)</f>
        <v/>
      </c>
      <c r="V82" s="75">
        <f>$C82*INDEX(Curves!$G$8:$G$68,V$4-$B82+1)</f>
        <v/>
      </c>
      <c r="W82" s="75">
        <f>$C82*INDEX(Curves!$G$8:$G$68,W$4-$B82+1)</f>
        <v/>
      </c>
      <c r="X82" s="75">
        <f>$C82*INDEX(Curves!$G$8:$G$68,X$4-$B82+1)</f>
        <v/>
      </c>
      <c r="Y82" s="75">
        <f>$C82*INDEX(Curves!$G$8:$G$68,Y$4-$B82+1)</f>
        <v/>
      </c>
      <c r="Z82" s="75">
        <f>$C82*INDEX(Curves!$G$8:$G$68,Z$4-$B82+1)</f>
        <v/>
      </c>
      <c r="AA82" s="75">
        <f>$C82*INDEX(Curves!$G$8:$G$68,AA$4-$B82+1)</f>
        <v/>
      </c>
      <c r="AB82" s="75">
        <f>$C82*INDEX(Curves!$G$8:$G$68,AB$4-$B82+1)</f>
        <v/>
      </c>
      <c r="AC82" s="75">
        <f>$C82*INDEX(Curves!$G$8:$G$68,AC$4-$B82+1)</f>
        <v/>
      </c>
      <c r="AD82" s="75">
        <f>$C82*INDEX(Curves!$G$8:$G$68,AD$4-$B82+1)</f>
        <v/>
      </c>
      <c r="AE82" s="75">
        <f>$C82*INDEX(Curves!$G$8:$G$68,AE$4-$B82+1)</f>
        <v/>
      </c>
      <c r="AF82" s="75">
        <f>$C82*INDEX(Curves!$G$8:$G$68,AF$4-$B82+1)</f>
        <v/>
      </c>
      <c r="AG82" s="75">
        <f>$C82*INDEX(Curves!$G$8:$G$68,AG$4-$B82+1)</f>
        <v/>
      </c>
      <c r="AH82" s="75">
        <f>$C82*INDEX(Curves!$G$8:$G$68,AH$4-$B82+1)</f>
        <v/>
      </c>
      <c r="AI82" s="75">
        <f>$C82*INDEX(Curves!$G$8:$G$68,AI$4-$B82+1)</f>
        <v/>
      </c>
      <c r="AJ82" s="75">
        <f>$C82*INDEX(Curves!$G$8:$G$68,AJ$4-$B82+1)</f>
        <v/>
      </c>
      <c r="AK82" s="75">
        <f>$C82*INDEX(Curves!$G$8:$G$68,AK$4-$B82+1)</f>
        <v/>
      </c>
      <c r="AL82" s="75">
        <f>$C82*INDEX(Curves!$G$8:$G$68,AL$4-$B82+1)</f>
        <v/>
      </c>
      <c r="AM82" s="75">
        <f>$C82*INDEX(Curves!$G$8:$G$68,AM$4-$B82+1)</f>
        <v/>
      </c>
      <c r="AN82" s="75">
        <f>$C82*INDEX(Curves!$G$8:$G$68,AN$4-$B82+1)</f>
        <v/>
      </c>
      <c r="AO82" s="75">
        <f>$C82*INDEX(Curves!$G$8:$G$68,AO$4-$B82+1)</f>
        <v/>
      </c>
      <c r="AP82" s="75">
        <f>$C82*INDEX(Curves!$G$8:$G$68,AP$4-$B82+1)</f>
        <v/>
      </c>
      <c r="AQ82" s="75">
        <f>$C82*INDEX(Curves!$G$8:$G$68,AQ$4-$B82+1)</f>
        <v/>
      </c>
      <c r="AR82" s="75">
        <f>$C82*INDEX(Curves!$G$8:$G$68,AR$4-$B82+1)</f>
        <v/>
      </c>
      <c r="AS82" s="75">
        <f>$C82*INDEX(Curves!$G$8:$G$68,AS$4-$B82+1)</f>
        <v/>
      </c>
      <c r="AT82" s="75">
        <f>$C82*INDEX(Curves!$G$8:$G$68,AT$4-$B82+1)</f>
        <v/>
      </c>
      <c r="AU82" s="75">
        <f>$C82*INDEX(Curves!$G$8:$G$68,AU$4-$B82+1)</f>
        <v/>
      </c>
      <c r="AV82" s="75">
        <f>$C82*INDEX(Curves!$G$8:$G$68,AV$4-$B82+1)</f>
        <v/>
      </c>
      <c r="AW82" s="75">
        <f>$C82*INDEX(Curves!$G$8:$G$68,AW$4-$B82+1)</f>
        <v/>
      </c>
      <c r="AX82" s="75">
        <f>$C82*INDEX(Curves!$G$8:$G$68,AX$4-$B82+1)</f>
        <v/>
      </c>
      <c r="AY82" s="75">
        <f>$C82*INDEX(Curves!$G$8:$G$68,AY$4-$B82+1)</f>
        <v/>
      </c>
      <c r="AZ82" s="75">
        <f>$C82*INDEX(Curves!$G$8:$G$68,AZ$4-$B82+1)</f>
        <v/>
      </c>
      <c r="BA82" s="75">
        <f>$C82*INDEX(Curves!$G$8:$G$68,BA$4-$B82+1)</f>
        <v/>
      </c>
      <c r="BB82" s="75">
        <f>$C82*INDEX(Curves!$G$8:$G$68,BB$4-$B82+1)</f>
        <v/>
      </c>
      <c r="BC82" s="75">
        <f>$C82*INDEX(Curves!$G$8:$G$68,BC$4-$B82+1)</f>
        <v/>
      </c>
      <c r="BD82" s="75">
        <f>$C82*INDEX(Curves!$G$8:$G$68,BD$4-$B82+1)</f>
        <v/>
      </c>
      <c r="BE82" s="75">
        <f>$C82*INDEX(Curves!$G$8:$G$68,BE$4-$B82+1)</f>
        <v/>
      </c>
      <c r="BF82" s="75">
        <f>$C82*INDEX(Curves!$G$8:$G$68,BF$4-$B82+1)</f>
        <v/>
      </c>
      <c r="BG82" s="75">
        <f>$C82*INDEX(Curves!$G$8:$G$68,BG$4-$B82+1)</f>
        <v/>
      </c>
      <c r="BH82" s="75">
        <f>$C82*INDEX(Curves!$G$8:$G$68,BH$4-$B82+1)</f>
        <v/>
      </c>
      <c r="BI82" s="75">
        <f>$C82*INDEX(Curves!$G$8:$G$68,BI$4-$B82+1)</f>
        <v/>
      </c>
      <c r="BJ82" s="75">
        <f>$C82*INDEX(Curves!$G$8:$G$68,BJ$4-$B82+1)</f>
        <v/>
      </c>
      <c r="BK82" s="75">
        <f>$C82*INDEX(Curves!$G$8:$G$68,BK$4-$B82+1)</f>
        <v/>
      </c>
      <c r="BL82" s="75">
        <f>$C82*INDEX(Curves!$G$8:$G$68,BL$4-$B82+1)</f>
        <v/>
      </c>
    </row>
    <row r="83">
      <c r="A83" s="74" t="inlineStr">
        <is>
          <t>Cohort month 11</t>
        </is>
      </c>
      <c r="B83" s="74" t="n">
        <v>11</v>
      </c>
      <c r="C83" s="17">
        <f>INDEX(Ops!$E$9:$BL$9,1,$B83)</f>
        <v/>
      </c>
      <c r="P83" s="75">
        <f>$C83*INDEX(Curves!$G$8:$G$68,P$4-$B83+1)</f>
        <v/>
      </c>
      <c r="Q83" s="75">
        <f>$C83*INDEX(Curves!$G$8:$G$68,Q$4-$B83+1)</f>
        <v/>
      </c>
      <c r="R83" s="75">
        <f>$C83*INDEX(Curves!$G$8:$G$68,R$4-$B83+1)</f>
        <v/>
      </c>
      <c r="S83" s="75">
        <f>$C83*INDEX(Curves!$G$8:$G$68,S$4-$B83+1)</f>
        <v/>
      </c>
      <c r="T83" s="75">
        <f>$C83*INDEX(Curves!$G$8:$G$68,T$4-$B83+1)</f>
        <v/>
      </c>
      <c r="U83" s="75">
        <f>$C83*INDEX(Curves!$G$8:$G$68,U$4-$B83+1)</f>
        <v/>
      </c>
      <c r="V83" s="75">
        <f>$C83*INDEX(Curves!$G$8:$G$68,V$4-$B83+1)</f>
        <v/>
      </c>
      <c r="W83" s="75">
        <f>$C83*INDEX(Curves!$G$8:$G$68,W$4-$B83+1)</f>
        <v/>
      </c>
      <c r="X83" s="75">
        <f>$C83*INDEX(Curves!$G$8:$G$68,X$4-$B83+1)</f>
        <v/>
      </c>
      <c r="Y83" s="75">
        <f>$C83*INDEX(Curves!$G$8:$G$68,Y$4-$B83+1)</f>
        <v/>
      </c>
      <c r="Z83" s="75">
        <f>$C83*INDEX(Curves!$G$8:$G$68,Z$4-$B83+1)</f>
        <v/>
      </c>
      <c r="AA83" s="75">
        <f>$C83*INDEX(Curves!$G$8:$G$68,AA$4-$B83+1)</f>
        <v/>
      </c>
      <c r="AB83" s="75">
        <f>$C83*INDEX(Curves!$G$8:$G$68,AB$4-$B83+1)</f>
        <v/>
      </c>
      <c r="AC83" s="75">
        <f>$C83*INDEX(Curves!$G$8:$G$68,AC$4-$B83+1)</f>
        <v/>
      </c>
      <c r="AD83" s="75">
        <f>$C83*INDEX(Curves!$G$8:$G$68,AD$4-$B83+1)</f>
        <v/>
      </c>
      <c r="AE83" s="75">
        <f>$C83*INDEX(Curves!$G$8:$G$68,AE$4-$B83+1)</f>
        <v/>
      </c>
      <c r="AF83" s="75">
        <f>$C83*INDEX(Curves!$G$8:$G$68,AF$4-$B83+1)</f>
        <v/>
      </c>
      <c r="AG83" s="75">
        <f>$C83*INDEX(Curves!$G$8:$G$68,AG$4-$B83+1)</f>
        <v/>
      </c>
      <c r="AH83" s="75">
        <f>$C83*INDEX(Curves!$G$8:$G$68,AH$4-$B83+1)</f>
        <v/>
      </c>
      <c r="AI83" s="75">
        <f>$C83*INDEX(Curves!$G$8:$G$68,AI$4-$B83+1)</f>
        <v/>
      </c>
      <c r="AJ83" s="75">
        <f>$C83*INDEX(Curves!$G$8:$G$68,AJ$4-$B83+1)</f>
        <v/>
      </c>
      <c r="AK83" s="75">
        <f>$C83*INDEX(Curves!$G$8:$G$68,AK$4-$B83+1)</f>
        <v/>
      </c>
      <c r="AL83" s="75">
        <f>$C83*INDEX(Curves!$G$8:$G$68,AL$4-$B83+1)</f>
        <v/>
      </c>
      <c r="AM83" s="75">
        <f>$C83*INDEX(Curves!$G$8:$G$68,AM$4-$B83+1)</f>
        <v/>
      </c>
      <c r="AN83" s="75">
        <f>$C83*INDEX(Curves!$G$8:$G$68,AN$4-$B83+1)</f>
        <v/>
      </c>
      <c r="AO83" s="75">
        <f>$C83*INDEX(Curves!$G$8:$G$68,AO$4-$B83+1)</f>
        <v/>
      </c>
      <c r="AP83" s="75">
        <f>$C83*INDEX(Curves!$G$8:$G$68,AP$4-$B83+1)</f>
        <v/>
      </c>
      <c r="AQ83" s="75">
        <f>$C83*INDEX(Curves!$G$8:$G$68,AQ$4-$B83+1)</f>
        <v/>
      </c>
      <c r="AR83" s="75">
        <f>$C83*INDEX(Curves!$G$8:$G$68,AR$4-$B83+1)</f>
        <v/>
      </c>
      <c r="AS83" s="75">
        <f>$C83*INDEX(Curves!$G$8:$G$68,AS$4-$B83+1)</f>
        <v/>
      </c>
      <c r="AT83" s="75">
        <f>$C83*INDEX(Curves!$G$8:$G$68,AT$4-$B83+1)</f>
        <v/>
      </c>
      <c r="AU83" s="75">
        <f>$C83*INDEX(Curves!$G$8:$G$68,AU$4-$B83+1)</f>
        <v/>
      </c>
      <c r="AV83" s="75">
        <f>$C83*INDEX(Curves!$G$8:$G$68,AV$4-$B83+1)</f>
        <v/>
      </c>
      <c r="AW83" s="75">
        <f>$C83*INDEX(Curves!$G$8:$G$68,AW$4-$B83+1)</f>
        <v/>
      </c>
      <c r="AX83" s="75">
        <f>$C83*INDEX(Curves!$G$8:$G$68,AX$4-$B83+1)</f>
        <v/>
      </c>
      <c r="AY83" s="75">
        <f>$C83*INDEX(Curves!$G$8:$G$68,AY$4-$B83+1)</f>
        <v/>
      </c>
      <c r="AZ83" s="75">
        <f>$C83*INDEX(Curves!$G$8:$G$68,AZ$4-$B83+1)</f>
        <v/>
      </c>
      <c r="BA83" s="75">
        <f>$C83*INDEX(Curves!$G$8:$G$68,BA$4-$B83+1)</f>
        <v/>
      </c>
      <c r="BB83" s="75">
        <f>$C83*INDEX(Curves!$G$8:$G$68,BB$4-$B83+1)</f>
        <v/>
      </c>
      <c r="BC83" s="75">
        <f>$C83*INDEX(Curves!$G$8:$G$68,BC$4-$B83+1)</f>
        <v/>
      </c>
      <c r="BD83" s="75">
        <f>$C83*INDEX(Curves!$G$8:$G$68,BD$4-$B83+1)</f>
        <v/>
      </c>
      <c r="BE83" s="75">
        <f>$C83*INDEX(Curves!$G$8:$G$68,BE$4-$B83+1)</f>
        <v/>
      </c>
      <c r="BF83" s="75">
        <f>$C83*INDEX(Curves!$G$8:$G$68,BF$4-$B83+1)</f>
        <v/>
      </c>
      <c r="BG83" s="75">
        <f>$C83*INDEX(Curves!$G$8:$G$68,BG$4-$B83+1)</f>
        <v/>
      </c>
      <c r="BH83" s="75">
        <f>$C83*INDEX(Curves!$G$8:$G$68,BH$4-$B83+1)</f>
        <v/>
      </c>
      <c r="BI83" s="75">
        <f>$C83*INDEX(Curves!$G$8:$G$68,BI$4-$B83+1)</f>
        <v/>
      </c>
      <c r="BJ83" s="75">
        <f>$C83*INDEX(Curves!$G$8:$G$68,BJ$4-$B83+1)</f>
        <v/>
      </c>
      <c r="BK83" s="75">
        <f>$C83*INDEX(Curves!$G$8:$G$68,BK$4-$B83+1)</f>
        <v/>
      </c>
      <c r="BL83" s="75">
        <f>$C83*INDEX(Curves!$G$8:$G$68,BL$4-$B83+1)</f>
        <v/>
      </c>
    </row>
    <row r="84">
      <c r="A84" s="74" t="inlineStr">
        <is>
          <t>Cohort month 12</t>
        </is>
      </c>
      <c r="B84" s="74" t="n">
        <v>12</v>
      </c>
      <c r="C84" s="17">
        <f>INDEX(Ops!$E$9:$BL$9,1,$B84)</f>
        <v/>
      </c>
      <c r="Q84" s="75">
        <f>$C84*INDEX(Curves!$G$8:$G$68,Q$4-$B84+1)</f>
        <v/>
      </c>
      <c r="R84" s="75">
        <f>$C84*INDEX(Curves!$G$8:$G$68,R$4-$B84+1)</f>
        <v/>
      </c>
      <c r="S84" s="75">
        <f>$C84*INDEX(Curves!$G$8:$G$68,S$4-$B84+1)</f>
        <v/>
      </c>
      <c r="T84" s="75">
        <f>$C84*INDEX(Curves!$G$8:$G$68,T$4-$B84+1)</f>
        <v/>
      </c>
      <c r="U84" s="75">
        <f>$C84*INDEX(Curves!$G$8:$G$68,U$4-$B84+1)</f>
        <v/>
      </c>
      <c r="V84" s="75">
        <f>$C84*INDEX(Curves!$G$8:$G$68,V$4-$B84+1)</f>
        <v/>
      </c>
      <c r="W84" s="75">
        <f>$C84*INDEX(Curves!$G$8:$G$68,W$4-$B84+1)</f>
        <v/>
      </c>
      <c r="X84" s="75">
        <f>$C84*INDEX(Curves!$G$8:$G$68,X$4-$B84+1)</f>
        <v/>
      </c>
      <c r="Y84" s="75">
        <f>$C84*INDEX(Curves!$G$8:$G$68,Y$4-$B84+1)</f>
        <v/>
      </c>
      <c r="Z84" s="75">
        <f>$C84*INDEX(Curves!$G$8:$G$68,Z$4-$B84+1)</f>
        <v/>
      </c>
      <c r="AA84" s="75">
        <f>$C84*INDEX(Curves!$G$8:$G$68,AA$4-$B84+1)</f>
        <v/>
      </c>
      <c r="AB84" s="75">
        <f>$C84*INDEX(Curves!$G$8:$G$68,AB$4-$B84+1)</f>
        <v/>
      </c>
      <c r="AC84" s="75">
        <f>$C84*INDEX(Curves!$G$8:$G$68,AC$4-$B84+1)</f>
        <v/>
      </c>
      <c r="AD84" s="75">
        <f>$C84*INDEX(Curves!$G$8:$G$68,AD$4-$B84+1)</f>
        <v/>
      </c>
      <c r="AE84" s="75">
        <f>$C84*INDEX(Curves!$G$8:$G$68,AE$4-$B84+1)</f>
        <v/>
      </c>
      <c r="AF84" s="75">
        <f>$C84*INDEX(Curves!$G$8:$G$68,AF$4-$B84+1)</f>
        <v/>
      </c>
      <c r="AG84" s="75">
        <f>$C84*INDEX(Curves!$G$8:$G$68,AG$4-$B84+1)</f>
        <v/>
      </c>
      <c r="AH84" s="75">
        <f>$C84*INDEX(Curves!$G$8:$G$68,AH$4-$B84+1)</f>
        <v/>
      </c>
      <c r="AI84" s="75">
        <f>$C84*INDEX(Curves!$G$8:$G$68,AI$4-$B84+1)</f>
        <v/>
      </c>
      <c r="AJ84" s="75">
        <f>$C84*INDEX(Curves!$G$8:$G$68,AJ$4-$B84+1)</f>
        <v/>
      </c>
      <c r="AK84" s="75">
        <f>$C84*INDEX(Curves!$G$8:$G$68,AK$4-$B84+1)</f>
        <v/>
      </c>
      <c r="AL84" s="75">
        <f>$C84*INDEX(Curves!$G$8:$G$68,AL$4-$B84+1)</f>
        <v/>
      </c>
      <c r="AM84" s="75">
        <f>$C84*INDEX(Curves!$G$8:$G$68,AM$4-$B84+1)</f>
        <v/>
      </c>
      <c r="AN84" s="75">
        <f>$C84*INDEX(Curves!$G$8:$G$68,AN$4-$B84+1)</f>
        <v/>
      </c>
      <c r="AO84" s="75">
        <f>$C84*INDEX(Curves!$G$8:$G$68,AO$4-$B84+1)</f>
        <v/>
      </c>
      <c r="AP84" s="75">
        <f>$C84*INDEX(Curves!$G$8:$G$68,AP$4-$B84+1)</f>
        <v/>
      </c>
      <c r="AQ84" s="75">
        <f>$C84*INDEX(Curves!$G$8:$G$68,AQ$4-$B84+1)</f>
        <v/>
      </c>
      <c r="AR84" s="75">
        <f>$C84*INDEX(Curves!$G$8:$G$68,AR$4-$B84+1)</f>
        <v/>
      </c>
      <c r="AS84" s="75">
        <f>$C84*INDEX(Curves!$G$8:$G$68,AS$4-$B84+1)</f>
        <v/>
      </c>
      <c r="AT84" s="75">
        <f>$C84*INDEX(Curves!$G$8:$G$68,AT$4-$B84+1)</f>
        <v/>
      </c>
      <c r="AU84" s="75">
        <f>$C84*INDEX(Curves!$G$8:$G$68,AU$4-$B84+1)</f>
        <v/>
      </c>
      <c r="AV84" s="75">
        <f>$C84*INDEX(Curves!$G$8:$G$68,AV$4-$B84+1)</f>
        <v/>
      </c>
      <c r="AW84" s="75">
        <f>$C84*INDEX(Curves!$G$8:$G$68,AW$4-$B84+1)</f>
        <v/>
      </c>
      <c r="AX84" s="75">
        <f>$C84*INDEX(Curves!$G$8:$G$68,AX$4-$B84+1)</f>
        <v/>
      </c>
      <c r="AY84" s="75">
        <f>$C84*INDEX(Curves!$G$8:$G$68,AY$4-$B84+1)</f>
        <v/>
      </c>
      <c r="AZ84" s="75">
        <f>$C84*INDEX(Curves!$G$8:$G$68,AZ$4-$B84+1)</f>
        <v/>
      </c>
      <c r="BA84" s="75">
        <f>$C84*INDEX(Curves!$G$8:$G$68,BA$4-$B84+1)</f>
        <v/>
      </c>
      <c r="BB84" s="75">
        <f>$C84*INDEX(Curves!$G$8:$G$68,BB$4-$B84+1)</f>
        <v/>
      </c>
      <c r="BC84" s="75">
        <f>$C84*INDEX(Curves!$G$8:$G$68,BC$4-$B84+1)</f>
        <v/>
      </c>
      <c r="BD84" s="75">
        <f>$C84*INDEX(Curves!$G$8:$G$68,BD$4-$B84+1)</f>
        <v/>
      </c>
      <c r="BE84" s="75">
        <f>$C84*INDEX(Curves!$G$8:$G$68,BE$4-$B84+1)</f>
        <v/>
      </c>
      <c r="BF84" s="75">
        <f>$C84*INDEX(Curves!$G$8:$G$68,BF$4-$B84+1)</f>
        <v/>
      </c>
      <c r="BG84" s="75">
        <f>$C84*INDEX(Curves!$G$8:$G$68,BG$4-$B84+1)</f>
        <v/>
      </c>
      <c r="BH84" s="75">
        <f>$C84*INDEX(Curves!$G$8:$G$68,BH$4-$B84+1)</f>
        <v/>
      </c>
      <c r="BI84" s="75">
        <f>$C84*INDEX(Curves!$G$8:$G$68,BI$4-$B84+1)</f>
        <v/>
      </c>
      <c r="BJ84" s="75">
        <f>$C84*INDEX(Curves!$G$8:$G$68,BJ$4-$B84+1)</f>
        <v/>
      </c>
      <c r="BK84" s="75">
        <f>$C84*INDEX(Curves!$G$8:$G$68,BK$4-$B84+1)</f>
        <v/>
      </c>
      <c r="BL84" s="75">
        <f>$C84*INDEX(Curves!$G$8:$G$68,BL$4-$B84+1)</f>
        <v/>
      </c>
    </row>
    <row r="85">
      <c r="A85" s="74" t="inlineStr">
        <is>
          <t>Cohort month 13</t>
        </is>
      </c>
      <c r="B85" s="74" t="n">
        <v>13</v>
      </c>
      <c r="C85" s="17">
        <f>INDEX(Ops!$E$9:$BL$9,1,$B85)</f>
        <v/>
      </c>
      <c r="R85" s="75">
        <f>$C85*INDEX(Curves!$G$8:$G$68,R$4-$B85+1)</f>
        <v/>
      </c>
      <c r="S85" s="75">
        <f>$C85*INDEX(Curves!$G$8:$G$68,S$4-$B85+1)</f>
        <v/>
      </c>
      <c r="T85" s="75">
        <f>$C85*INDEX(Curves!$G$8:$G$68,T$4-$B85+1)</f>
        <v/>
      </c>
      <c r="U85" s="75">
        <f>$C85*INDEX(Curves!$G$8:$G$68,U$4-$B85+1)</f>
        <v/>
      </c>
      <c r="V85" s="75">
        <f>$C85*INDEX(Curves!$G$8:$G$68,V$4-$B85+1)</f>
        <v/>
      </c>
      <c r="W85" s="75">
        <f>$C85*INDEX(Curves!$G$8:$G$68,W$4-$B85+1)</f>
        <v/>
      </c>
      <c r="X85" s="75">
        <f>$C85*INDEX(Curves!$G$8:$G$68,X$4-$B85+1)</f>
        <v/>
      </c>
      <c r="Y85" s="75">
        <f>$C85*INDEX(Curves!$G$8:$G$68,Y$4-$B85+1)</f>
        <v/>
      </c>
      <c r="Z85" s="75">
        <f>$C85*INDEX(Curves!$G$8:$G$68,Z$4-$B85+1)</f>
        <v/>
      </c>
      <c r="AA85" s="75">
        <f>$C85*INDEX(Curves!$G$8:$G$68,AA$4-$B85+1)</f>
        <v/>
      </c>
      <c r="AB85" s="75">
        <f>$C85*INDEX(Curves!$G$8:$G$68,AB$4-$B85+1)</f>
        <v/>
      </c>
      <c r="AC85" s="75">
        <f>$C85*INDEX(Curves!$G$8:$G$68,AC$4-$B85+1)</f>
        <v/>
      </c>
      <c r="AD85" s="75">
        <f>$C85*INDEX(Curves!$G$8:$G$68,AD$4-$B85+1)</f>
        <v/>
      </c>
      <c r="AE85" s="75">
        <f>$C85*INDEX(Curves!$G$8:$G$68,AE$4-$B85+1)</f>
        <v/>
      </c>
      <c r="AF85" s="75">
        <f>$C85*INDEX(Curves!$G$8:$G$68,AF$4-$B85+1)</f>
        <v/>
      </c>
      <c r="AG85" s="75">
        <f>$C85*INDEX(Curves!$G$8:$G$68,AG$4-$B85+1)</f>
        <v/>
      </c>
      <c r="AH85" s="75">
        <f>$C85*INDEX(Curves!$G$8:$G$68,AH$4-$B85+1)</f>
        <v/>
      </c>
      <c r="AI85" s="75">
        <f>$C85*INDEX(Curves!$G$8:$G$68,AI$4-$B85+1)</f>
        <v/>
      </c>
      <c r="AJ85" s="75">
        <f>$C85*INDEX(Curves!$G$8:$G$68,AJ$4-$B85+1)</f>
        <v/>
      </c>
      <c r="AK85" s="75">
        <f>$C85*INDEX(Curves!$G$8:$G$68,AK$4-$B85+1)</f>
        <v/>
      </c>
      <c r="AL85" s="75">
        <f>$C85*INDEX(Curves!$G$8:$G$68,AL$4-$B85+1)</f>
        <v/>
      </c>
      <c r="AM85" s="75">
        <f>$C85*INDEX(Curves!$G$8:$G$68,AM$4-$B85+1)</f>
        <v/>
      </c>
      <c r="AN85" s="75">
        <f>$C85*INDEX(Curves!$G$8:$G$68,AN$4-$B85+1)</f>
        <v/>
      </c>
      <c r="AO85" s="75">
        <f>$C85*INDEX(Curves!$G$8:$G$68,AO$4-$B85+1)</f>
        <v/>
      </c>
      <c r="AP85" s="75">
        <f>$C85*INDEX(Curves!$G$8:$G$68,AP$4-$B85+1)</f>
        <v/>
      </c>
      <c r="AQ85" s="75">
        <f>$C85*INDEX(Curves!$G$8:$G$68,AQ$4-$B85+1)</f>
        <v/>
      </c>
      <c r="AR85" s="75">
        <f>$C85*INDEX(Curves!$G$8:$G$68,AR$4-$B85+1)</f>
        <v/>
      </c>
      <c r="AS85" s="75">
        <f>$C85*INDEX(Curves!$G$8:$G$68,AS$4-$B85+1)</f>
        <v/>
      </c>
      <c r="AT85" s="75">
        <f>$C85*INDEX(Curves!$G$8:$G$68,AT$4-$B85+1)</f>
        <v/>
      </c>
      <c r="AU85" s="75">
        <f>$C85*INDEX(Curves!$G$8:$G$68,AU$4-$B85+1)</f>
        <v/>
      </c>
      <c r="AV85" s="75">
        <f>$C85*INDEX(Curves!$G$8:$G$68,AV$4-$B85+1)</f>
        <v/>
      </c>
      <c r="AW85" s="75">
        <f>$C85*INDEX(Curves!$G$8:$G$68,AW$4-$B85+1)</f>
        <v/>
      </c>
      <c r="AX85" s="75">
        <f>$C85*INDEX(Curves!$G$8:$G$68,AX$4-$B85+1)</f>
        <v/>
      </c>
      <c r="AY85" s="75">
        <f>$C85*INDEX(Curves!$G$8:$G$68,AY$4-$B85+1)</f>
        <v/>
      </c>
      <c r="AZ85" s="75">
        <f>$C85*INDEX(Curves!$G$8:$G$68,AZ$4-$B85+1)</f>
        <v/>
      </c>
      <c r="BA85" s="75">
        <f>$C85*INDEX(Curves!$G$8:$G$68,BA$4-$B85+1)</f>
        <v/>
      </c>
      <c r="BB85" s="75">
        <f>$C85*INDEX(Curves!$G$8:$G$68,BB$4-$B85+1)</f>
        <v/>
      </c>
      <c r="BC85" s="75">
        <f>$C85*INDEX(Curves!$G$8:$G$68,BC$4-$B85+1)</f>
        <v/>
      </c>
      <c r="BD85" s="75">
        <f>$C85*INDEX(Curves!$G$8:$G$68,BD$4-$B85+1)</f>
        <v/>
      </c>
      <c r="BE85" s="75">
        <f>$C85*INDEX(Curves!$G$8:$G$68,BE$4-$B85+1)</f>
        <v/>
      </c>
      <c r="BF85" s="75">
        <f>$C85*INDEX(Curves!$G$8:$G$68,BF$4-$B85+1)</f>
        <v/>
      </c>
      <c r="BG85" s="75">
        <f>$C85*INDEX(Curves!$G$8:$G$68,BG$4-$B85+1)</f>
        <v/>
      </c>
      <c r="BH85" s="75">
        <f>$C85*INDEX(Curves!$G$8:$G$68,BH$4-$B85+1)</f>
        <v/>
      </c>
      <c r="BI85" s="75">
        <f>$C85*INDEX(Curves!$G$8:$G$68,BI$4-$B85+1)</f>
        <v/>
      </c>
      <c r="BJ85" s="75">
        <f>$C85*INDEX(Curves!$G$8:$G$68,BJ$4-$B85+1)</f>
        <v/>
      </c>
      <c r="BK85" s="75">
        <f>$C85*INDEX(Curves!$G$8:$G$68,BK$4-$B85+1)</f>
        <v/>
      </c>
      <c r="BL85" s="75">
        <f>$C85*INDEX(Curves!$G$8:$G$68,BL$4-$B85+1)</f>
        <v/>
      </c>
    </row>
    <row r="86">
      <c r="A86" s="74" t="inlineStr">
        <is>
          <t>Cohort month 14</t>
        </is>
      </c>
      <c r="B86" s="74" t="n">
        <v>14</v>
      </c>
      <c r="C86" s="17">
        <f>INDEX(Ops!$E$9:$BL$9,1,$B86)</f>
        <v/>
      </c>
      <c r="S86" s="75">
        <f>$C86*INDEX(Curves!$G$8:$G$68,S$4-$B86+1)</f>
        <v/>
      </c>
      <c r="T86" s="75">
        <f>$C86*INDEX(Curves!$G$8:$G$68,T$4-$B86+1)</f>
        <v/>
      </c>
      <c r="U86" s="75">
        <f>$C86*INDEX(Curves!$G$8:$G$68,U$4-$B86+1)</f>
        <v/>
      </c>
      <c r="V86" s="75">
        <f>$C86*INDEX(Curves!$G$8:$G$68,V$4-$B86+1)</f>
        <v/>
      </c>
      <c r="W86" s="75">
        <f>$C86*INDEX(Curves!$G$8:$G$68,W$4-$B86+1)</f>
        <v/>
      </c>
      <c r="X86" s="75">
        <f>$C86*INDEX(Curves!$G$8:$G$68,X$4-$B86+1)</f>
        <v/>
      </c>
      <c r="Y86" s="75">
        <f>$C86*INDEX(Curves!$G$8:$G$68,Y$4-$B86+1)</f>
        <v/>
      </c>
      <c r="Z86" s="75">
        <f>$C86*INDEX(Curves!$G$8:$G$68,Z$4-$B86+1)</f>
        <v/>
      </c>
      <c r="AA86" s="75">
        <f>$C86*INDEX(Curves!$G$8:$G$68,AA$4-$B86+1)</f>
        <v/>
      </c>
      <c r="AB86" s="75">
        <f>$C86*INDEX(Curves!$G$8:$G$68,AB$4-$B86+1)</f>
        <v/>
      </c>
      <c r="AC86" s="75">
        <f>$C86*INDEX(Curves!$G$8:$G$68,AC$4-$B86+1)</f>
        <v/>
      </c>
      <c r="AD86" s="75">
        <f>$C86*INDEX(Curves!$G$8:$G$68,AD$4-$B86+1)</f>
        <v/>
      </c>
      <c r="AE86" s="75">
        <f>$C86*INDEX(Curves!$G$8:$G$68,AE$4-$B86+1)</f>
        <v/>
      </c>
      <c r="AF86" s="75">
        <f>$C86*INDEX(Curves!$G$8:$G$68,AF$4-$B86+1)</f>
        <v/>
      </c>
      <c r="AG86" s="75">
        <f>$C86*INDEX(Curves!$G$8:$G$68,AG$4-$B86+1)</f>
        <v/>
      </c>
      <c r="AH86" s="75">
        <f>$C86*INDEX(Curves!$G$8:$G$68,AH$4-$B86+1)</f>
        <v/>
      </c>
      <c r="AI86" s="75">
        <f>$C86*INDEX(Curves!$G$8:$G$68,AI$4-$B86+1)</f>
        <v/>
      </c>
      <c r="AJ86" s="75">
        <f>$C86*INDEX(Curves!$G$8:$G$68,AJ$4-$B86+1)</f>
        <v/>
      </c>
      <c r="AK86" s="75">
        <f>$C86*INDEX(Curves!$G$8:$G$68,AK$4-$B86+1)</f>
        <v/>
      </c>
      <c r="AL86" s="75">
        <f>$C86*INDEX(Curves!$G$8:$G$68,AL$4-$B86+1)</f>
        <v/>
      </c>
      <c r="AM86" s="75">
        <f>$C86*INDEX(Curves!$G$8:$G$68,AM$4-$B86+1)</f>
        <v/>
      </c>
      <c r="AN86" s="75">
        <f>$C86*INDEX(Curves!$G$8:$G$68,AN$4-$B86+1)</f>
        <v/>
      </c>
      <c r="AO86" s="75">
        <f>$C86*INDEX(Curves!$G$8:$G$68,AO$4-$B86+1)</f>
        <v/>
      </c>
      <c r="AP86" s="75">
        <f>$C86*INDEX(Curves!$G$8:$G$68,AP$4-$B86+1)</f>
        <v/>
      </c>
      <c r="AQ86" s="75">
        <f>$C86*INDEX(Curves!$G$8:$G$68,AQ$4-$B86+1)</f>
        <v/>
      </c>
      <c r="AR86" s="75">
        <f>$C86*INDEX(Curves!$G$8:$G$68,AR$4-$B86+1)</f>
        <v/>
      </c>
      <c r="AS86" s="75">
        <f>$C86*INDEX(Curves!$G$8:$G$68,AS$4-$B86+1)</f>
        <v/>
      </c>
      <c r="AT86" s="75">
        <f>$C86*INDEX(Curves!$G$8:$G$68,AT$4-$B86+1)</f>
        <v/>
      </c>
      <c r="AU86" s="75">
        <f>$C86*INDEX(Curves!$G$8:$G$68,AU$4-$B86+1)</f>
        <v/>
      </c>
      <c r="AV86" s="75">
        <f>$C86*INDEX(Curves!$G$8:$G$68,AV$4-$B86+1)</f>
        <v/>
      </c>
      <c r="AW86" s="75">
        <f>$C86*INDEX(Curves!$G$8:$G$68,AW$4-$B86+1)</f>
        <v/>
      </c>
      <c r="AX86" s="75">
        <f>$C86*INDEX(Curves!$G$8:$G$68,AX$4-$B86+1)</f>
        <v/>
      </c>
      <c r="AY86" s="75">
        <f>$C86*INDEX(Curves!$G$8:$G$68,AY$4-$B86+1)</f>
        <v/>
      </c>
      <c r="AZ86" s="75">
        <f>$C86*INDEX(Curves!$G$8:$G$68,AZ$4-$B86+1)</f>
        <v/>
      </c>
      <c r="BA86" s="75">
        <f>$C86*INDEX(Curves!$G$8:$G$68,BA$4-$B86+1)</f>
        <v/>
      </c>
      <c r="BB86" s="75">
        <f>$C86*INDEX(Curves!$G$8:$G$68,BB$4-$B86+1)</f>
        <v/>
      </c>
      <c r="BC86" s="75">
        <f>$C86*INDEX(Curves!$G$8:$G$68,BC$4-$B86+1)</f>
        <v/>
      </c>
      <c r="BD86" s="75">
        <f>$C86*INDEX(Curves!$G$8:$G$68,BD$4-$B86+1)</f>
        <v/>
      </c>
      <c r="BE86" s="75">
        <f>$C86*INDEX(Curves!$G$8:$G$68,BE$4-$B86+1)</f>
        <v/>
      </c>
      <c r="BF86" s="75">
        <f>$C86*INDEX(Curves!$G$8:$G$68,BF$4-$B86+1)</f>
        <v/>
      </c>
      <c r="BG86" s="75">
        <f>$C86*INDEX(Curves!$G$8:$G$68,BG$4-$B86+1)</f>
        <v/>
      </c>
      <c r="BH86" s="75">
        <f>$C86*INDEX(Curves!$G$8:$G$68,BH$4-$B86+1)</f>
        <v/>
      </c>
      <c r="BI86" s="75">
        <f>$C86*INDEX(Curves!$G$8:$G$68,BI$4-$B86+1)</f>
        <v/>
      </c>
      <c r="BJ86" s="75">
        <f>$C86*INDEX(Curves!$G$8:$G$68,BJ$4-$B86+1)</f>
        <v/>
      </c>
      <c r="BK86" s="75">
        <f>$C86*INDEX(Curves!$G$8:$G$68,BK$4-$B86+1)</f>
        <v/>
      </c>
      <c r="BL86" s="75">
        <f>$C86*INDEX(Curves!$G$8:$G$68,BL$4-$B86+1)</f>
        <v/>
      </c>
    </row>
    <row r="87">
      <c r="A87" s="74" t="inlineStr">
        <is>
          <t>Cohort month 15</t>
        </is>
      </c>
      <c r="B87" s="74" t="n">
        <v>15</v>
      </c>
      <c r="C87" s="17">
        <f>INDEX(Ops!$E$9:$BL$9,1,$B87)</f>
        <v/>
      </c>
      <c r="T87" s="75">
        <f>$C87*INDEX(Curves!$G$8:$G$68,T$4-$B87+1)</f>
        <v/>
      </c>
      <c r="U87" s="75">
        <f>$C87*INDEX(Curves!$G$8:$G$68,U$4-$B87+1)</f>
        <v/>
      </c>
      <c r="V87" s="75">
        <f>$C87*INDEX(Curves!$G$8:$G$68,V$4-$B87+1)</f>
        <v/>
      </c>
      <c r="W87" s="75">
        <f>$C87*INDEX(Curves!$G$8:$G$68,W$4-$B87+1)</f>
        <v/>
      </c>
      <c r="X87" s="75">
        <f>$C87*INDEX(Curves!$G$8:$G$68,X$4-$B87+1)</f>
        <v/>
      </c>
      <c r="Y87" s="75">
        <f>$C87*INDEX(Curves!$G$8:$G$68,Y$4-$B87+1)</f>
        <v/>
      </c>
      <c r="Z87" s="75">
        <f>$C87*INDEX(Curves!$G$8:$G$68,Z$4-$B87+1)</f>
        <v/>
      </c>
      <c r="AA87" s="75">
        <f>$C87*INDEX(Curves!$G$8:$G$68,AA$4-$B87+1)</f>
        <v/>
      </c>
      <c r="AB87" s="75">
        <f>$C87*INDEX(Curves!$G$8:$G$68,AB$4-$B87+1)</f>
        <v/>
      </c>
      <c r="AC87" s="75">
        <f>$C87*INDEX(Curves!$G$8:$G$68,AC$4-$B87+1)</f>
        <v/>
      </c>
      <c r="AD87" s="75">
        <f>$C87*INDEX(Curves!$G$8:$G$68,AD$4-$B87+1)</f>
        <v/>
      </c>
      <c r="AE87" s="75">
        <f>$C87*INDEX(Curves!$G$8:$G$68,AE$4-$B87+1)</f>
        <v/>
      </c>
      <c r="AF87" s="75">
        <f>$C87*INDEX(Curves!$G$8:$G$68,AF$4-$B87+1)</f>
        <v/>
      </c>
      <c r="AG87" s="75">
        <f>$C87*INDEX(Curves!$G$8:$G$68,AG$4-$B87+1)</f>
        <v/>
      </c>
      <c r="AH87" s="75">
        <f>$C87*INDEX(Curves!$G$8:$G$68,AH$4-$B87+1)</f>
        <v/>
      </c>
      <c r="AI87" s="75">
        <f>$C87*INDEX(Curves!$G$8:$G$68,AI$4-$B87+1)</f>
        <v/>
      </c>
      <c r="AJ87" s="75">
        <f>$C87*INDEX(Curves!$G$8:$G$68,AJ$4-$B87+1)</f>
        <v/>
      </c>
      <c r="AK87" s="75">
        <f>$C87*INDEX(Curves!$G$8:$G$68,AK$4-$B87+1)</f>
        <v/>
      </c>
      <c r="AL87" s="75">
        <f>$C87*INDEX(Curves!$G$8:$G$68,AL$4-$B87+1)</f>
        <v/>
      </c>
      <c r="AM87" s="75">
        <f>$C87*INDEX(Curves!$G$8:$G$68,AM$4-$B87+1)</f>
        <v/>
      </c>
      <c r="AN87" s="75">
        <f>$C87*INDEX(Curves!$G$8:$G$68,AN$4-$B87+1)</f>
        <v/>
      </c>
      <c r="AO87" s="75">
        <f>$C87*INDEX(Curves!$G$8:$G$68,AO$4-$B87+1)</f>
        <v/>
      </c>
      <c r="AP87" s="75">
        <f>$C87*INDEX(Curves!$G$8:$G$68,AP$4-$B87+1)</f>
        <v/>
      </c>
      <c r="AQ87" s="75">
        <f>$C87*INDEX(Curves!$G$8:$G$68,AQ$4-$B87+1)</f>
        <v/>
      </c>
      <c r="AR87" s="75">
        <f>$C87*INDEX(Curves!$G$8:$G$68,AR$4-$B87+1)</f>
        <v/>
      </c>
      <c r="AS87" s="75">
        <f>$C87*INDEX(Curves!$G$8:$G$68,AS$4-$B87+1)</f>
        <v/>
      </c>
      <c r="AT87" s="75">
        <f>$C87*INDEX(Curves!$G$8:$G$68,AT$4-$B87+1)</f>
        <v/>
      </c>
      <c r="AU87" s="75">
        <f>$C87*INDEX(Curves!$G$8:$G$68,AU$4-$B87+1)</f>
        <v/>
      </c>
      <c r="AV87" s="75">
        <f>$C87*INDEX(Curves!$G$8:$G$68,AV$4-$B87+1)</f>
        <v/>
      </c>
      <c r="AW87" s="75">
        <f>$C87*INDEX(Curves!$G$8:$G$68,AW$4-$B87+1)</f>
        <v/>
      </c>
      <c r="AX87" s="75">
        <f>$C87*INDEX(Curves!$G$8:$G$68,AX$4-$B87+1)</f>
        <v/>
      </c>
      <c r="AY87" s="75">
        <f>$C87*INDEX(Curves!$G$8:$G$68,AY$4-$B87+1)</f>
        <v/>
      </c>
      <c r="AZ87" s="75">
        <f>$C87*INDEX(Curves!$G$8:$G$68,AZ$4-$B87+1)</f>
        <v/>
      </c>
      <c r="BA87" s="75">
        <f>$C87*INDEX(Curves!$G$8:$G$68,BA$4-$B87+1)</f>
        <v/>
      </c>
      <c r="BB87" s="75">
        <f>$C87*INDEX(Curves!$G$8:$G$68,BB$4-$B87+1)</f>
        <v/>
      </c>
      <c r="BC87" s="75">
        <f>$C87*INDEX(Curves!$G$8:$G$68,BC$4-$B87+1)</f>
        <v/>
      </c>
      <c r="BD87" s="75">
        <f>$C87*INDEX(Curves!$G$8:$G$68,BD$4-$B87+1)</f>
        <v/>
      </c>
      <c r="BE87" s="75">
        <f>$C87*INDEX(Curves!$G$8:$G$68,BE$4-$B87+1)</f>
        <v/>
      </c>
      <c r="BF87" s="75">
        <f>$C87*INDEX(Curves!$G$8:$G$68,BF$4-$B87+1)</f>
        <v/>
      </c>
      <c r="BG87" s="75">
        <f>$C87*INDEX(Curves!$G$8:$G$68,BG$4-$B87+1)</f>
        <v/>
      </c>
      <c r="BH87" s="75">
        <f>$C87*INDEX(Curves!$G$8:$G$68,BH$4-$B87+1)</f>
        <v/>
      </c>
      <c r="BI87" s="75">
        <f>$C87*INDEX(Curves!$G$8:$G$68,BI$4-$B87+1)</f>
        <v/>
      </c>
      <c r="BJ87" s="75">
        <f>$C87*INDEX(Curves!$G$8:$G$68,BJ$4-$B87+1)</f>
        <v/>
      </c>
      <c r="BK87" s="75">
        <f>$C87*INDEX(Curves!$G$8:$G$68,BK$4-$B87+1)</f>
        <v/>
      </c>
      <c r="BL87" s="75">
        <f>$C87*INDEX(Curves!$G$8:$G$68,BL$4-$B87+1)</f>
        <v/>
      </c>
    </row>
    <row r="88">
      <c r="A88" s="74" t="inlineStr">
        <is>
          <t>Cohort month 16</t>
        </is>
      </c>
      <c r="B88" s="74" t="n">
        <v>16</v>
      </c>
      <c r="C88" s="17">
        <f>INDEX(Ops!$E$9:$BL$9,1,$B88)</f>
        <v/>
      </c>
      <c r="U88" s="75">
        <f>$C88*INDEX(Curves!$G$8:$G$68,U$4-$B88+1)</f>
        <v/>
      </c>
      <c r="V88" s="75">
        <f>$C88*INDEX(Curves!$G$8:$G$68,V$4-$B88+1)</f>
        <v/>
      </c>
      <c r="W88" s="75">
        <f>$C88*INDEX(Curves!$G$8:$G$68,W$4-$B88+1)</f>
        <v/>
      </c>
      <c r="X88" s="75">
        <f>$C88*INDEX(Curves!$G$8:$G$68,X$4-$B88+1)</f>
        <v/>
      </c>
      <c r="Y88" s="75">
        <f>$C88*INDEX(Curves!$G$8:$G$68,Y$4-$B88+1)</f>
        <v/>
      </c>
      <c r="Z88" s="75">
        <f>$C88*INDEX(Curves!$G$8:$G$68,Z$4-$B88+1)</f>
        <v/>
      </c>
      <c r="AA88" s="75">
        <f>$C88*INDEX(Curves!$G$8:$G$68,AA$4-$B88+1)</f>
        <v/>
      </c>
      <c r="AB88" s="75">
        <f>$C88*INDEX(Curves!$G$8:$G$68,AB$4-$B88+1)</f>
        <v/>
      </c>
      <c r="AC88" s="75">
        <f>$C88*INDEX(Curves!$G$8:$G$68,AC$4-$B88+1)</f>
        <v/>
      </c>
      <c r="AD88" s="75">
        <f>$C88*INDEX(Curves!$G$8:$G$68,AD$4-$B88+1)</f>
        <v/>
      </c>
      <c r="AE88" s="75">
        <f>$C88*INDEX(Curves!$G$8:$G$68,AE$4-$B88+1)</f>
        <v/>
      </c>
      <c r="AF88" s="75">
        <f>$C88*INDEX(Curves!$G$8:$G$68,AF$4-$B88+1)</f>
        <v/>
      </c>
      <c r="AG88" s="75">
        <f>$C88*INDEX(Curves!$G$8:$G$68,AG$4-$B88+1)</f>
        <v/>
      </c>
      <c r="AH88" s="75">
        <f>$C88*INDEX(Curves!$G$8:$G$68,AH$4-$B88+1)</f>
        <v/>
      </c>
      <c r="AI88" s="75">
        <f>$C88*INDEX(Curves!$G$8:$G$68,AI$4-$B88+1)</f>
        <v/>
      </c>
      <c r="AJ88" s="75">
        <f>$C88*INDEX(Curves!$G$8:$G$68,AJ$4-$B88+1)</f>
        <v/>
      </c>
      <c r="AK88" s="75">
        <f>$C88*INDEX(Curves!$G$8:$G$68,AK$4-$B88+1)</f>
        <v/>
      </c>
      <c r="AL88" s="75">
        <f>$C88*INDEX(Curves!$G$8:$G$68,AL$4-$B88+1)</f>
        <v/>
      </c>
      <c r="AM88" s="75">
        <f>$C88*INDEX(Curves!$G$8:$G$68,AM$4-$B88+1)</f>
        <v/>
      </c>
      <c r="AN88" s="75">
        <f>$C88*INDEX(Curves!$G$8:$G$68,AN$4-$B88+1)</f>
        <v/>
      </c>
      <c r="AO88" s="75">
        <f>$C88*INDEX(Curves!$G$8:$G$68,AO$4-$B88+1)</f>
        <v/>
      </c>
      <c r="AP88" s="75">
        <f>$C88*INDEX(Curves!$G$8:$G$68,AP$4-$B88+1)</f>
        <v/>
      </c>
      <c r="AQ88" s="75">
        <f>$C88*INDEX(Curves!$G$8:$G$68,AQ$4-$B88+1)</f>
        <v/>
      </c>
      <c r="AR88" s="75">
        <f>$C88*INDEX(Curves!$G$8:$G$68,AR$4-$B88+1)</f>
        <v/>
      </c>
      <c r="AS88" s="75">
        <f>$C88*INDEX(Curves!$G$8:$G$68,AS$4-$B88+1)</f>
        <v/>
      </c>
      <c r="AT88" s="75">
        <f>$C88*INDEX(Curves!$G$8:$G$68,AT$4-$B88+1)</f>
        <v/>
      </c>
      <c r="AU88" s="75">
        <f>$C88*INDEX(Curves!$G$8:$G$68,AU$4-$B88+1)</f>
        <v/>
      </c>
      <c r="AV88" s="75">
        <f>$C88*INDEX(Curves!$G$8:$G$68,AV$4-$B88+1)</f>
        <v/>
      </c>
      <c r="AW88" s="75">
        <f>$C88*INDEX(Curves!$G$8:$G$68,AW$4-$B88+1)</f>
        <v/>
      </c>
      <c r="AX88" s="75">
        <f>$C88*INDEX(Curves!$G$8:$G$68,AX$4-$B88+1)</f>
        <v/>
      </c>
      <c r="AY88" s="75">
        <f>$C88*INDEX(Curves!$G$8:$G$68,AY$4-$B88+1)</f>
        <v/>
      </c>
      <c r="AZ88" s="75">
        <f>$C88*INDEX(Curves!$G$8:$G$68,AZ$4-$B88+1)</f>
        <v/>
      </c>
      <c r="BA88" s="75">
        <f>$C88*INDEX(Curves!$G$8:$G$68,BA$4-$B88+1)</f>
        <v/>
      </c>
      <c r="BB88" s="75">
        <f>$C88*INDEX(Curves!$G$8:$G$68,BB$4-$B88+1)</f>
        <v/>
      </c>
      <c r="BC88" s="75">
        <f>$C88*INDEX(Curves!$G$8:$G$68,BC$4-$B88+1)</f>
        <v/>
      </c>
      <c r="BD88" s="75">
        <f>$C88*INDEX(Curves!$G$8:$G$68,BD$4-$B88+1)</f>
        <v/>
      </c>
      <c r="BE88" s="75">
        <f>$C88*INDEX(Curves!$G$8:$G$68,BE$4-$B88+1)</f>
        <v/>
      </c>
      <c r="BF88" s="75">
        <f>$C88*INDEX(Curves!$G$8:$G$68,BF$4-$B88+1)</f>
        <v/>
      </c>
      <c r="BG88" s="75">
        <f>$C88*INDEX(Curves!$G$8:$G$68,BG$4-$B88+1)</f>
        <v/>
      </c>
      <c r="BH88" s="75">
        <f>$C88*INDEX(Curves!$G$8:$G$68,BH$4-$B88+1)</f>
        <v/>
      </c>
      <c r="BI88" s="75">
        <f>$C88*INDEX(Curves!$G$8:$G$68,BI$4-$B88+1)</f>
        <v/>
      </c>
      <c r="BJ88" s="75">
        <f>$C88*INDEX(Curves!$G$8:$G$68,BJ$4-$B88+1)</f>
        <v/>
      </c>
      <c r="BK88" s="75">
        <f>$C88*INDEX(Curves!$G$8:$G$68,BK$4-$B88+1)</f>
        <v/>
      </c>
      <c r="BL88" s="75">
        <f>$C88*INDEX(Curves!$G$8:$G$68,BL$4-$B88+1)</f>
        <v/>
      </c>
    </row>
    <row r="89">
      <c r="A89" s="74" t="inlineStr">
        <is>
          <t>Cohort month 17</t>
        </is>
      </c>
      <c r="B89" s="74" t="n">
        <v>17</v>
      </c>
      <c r="C89" s="17">
        <f>INDEX(Ops!$E$9:$BL$9,1,$B89)</f>
        <v/>
      </c>
      <c r="V89" s="75">
        <f>$C89*INDEX(Curves!$G$8:$G$68,V$4-$B89+1)</f>
        <v/>
      </c>
      <c r="W89" s="75">
        <f>$C89*INDEX(Curves!$G$8:$G$68,W$4-$B89+1)</f>
        <v/>
      </c>
      <c r="X89" s="75">
        <f>$C89*INDEX(Curves!$G$8:$G$68,X$4-$B89+1)</f>
        <v/>
      </c>
      <c r="Y89" s="75">
        <f>$C89*INDEX(Curves!$G$8:$G$68,Y$4-$B89+1)</f>
        <v/>
      </c>
      <c r="Z89" s="75">
        <f>$C89*INDEX(Curves!$G$8:$G$68,Z$4-$B89+1)</f>
        <v/>
      </c>
      <c r="AA89" s="75">
        <f>$C89*INDEX(Curves!$G$8:$G$68,AA$4-$B89+1)</f>
        <v/>
      </c>
      <c r="AB89" s="75">
        <f>$C89*INDEX(Curves!$G$8:$G$68,AB$4-$B89+1)</f>
        <v/>
      </c>
      <c r="AC89" s="75">
        <f>$C89*INDEX(Curves!$G$8:$G$68,AC$4-$B89+1)</f>
        <v/>
      </c>
      <c r="AD89" s="75">
        <f>$C89*INDEX(Curves!$G$8:$G$68,AD$4-$B89+1)</f>
        <v/>
      </c>
      <c r="AE89" s="75">
        <f>$C89*INDEX(Curves!$G$8:$G$68,AE$4-$B89+1)</f>
        <v/>
      </c>
      <c r="AF89" s="75">
        <f>$C89*INDEX(Curves!$G$8:$G$68,AF$4-$B89+1)</f>
        <v/>
      </c>
      <c r="AG89" s="75">
        <f>$C89*INDEX(Curves!$G$8:$G$68,AG$4-$B89+1)</f>
        <v/>
      </c>
      <c r="AH89" s="75">
        <f>$C89*INDEX(Curves!$G$8:$G$68,AH$4-$B89+1)</f>
        <v/>
      </c>
      <c r="AI89" s="75">
        <f>$C89*INDEX(Curves!$G$8:$G$68,AI$4-$B89+1)</f>
        <v/>
      </c>
      <c r="AJ89" s="75">
        <f>$C89*INDEX(Curves!$G$8:$G$68,AJ$4-$B89+1)</f>
        <v/>
      </c>
      <c r="AK89" s="75">
        <f>$C89*INDEX(Curves!$G$8:$G$68,AK$4-$B89+1)</f>
        <v/>
      </c>
      <c r="AL89" s="75">
        <f>$C89*INDEX(Curves!$G$8:$G$68,AL$4-$B89+1)</f>
        <v/>
      </c>
      <c r="AM89" s="75">
        <f>$C89*INDEX(Curves!$G$8:$G$68,AM$4-$B89+1)</f>
        <v/>
      </c>
      <c r="AN89" s="75">
        <f>$C89*INDEX(Curves!$G$8:$G$68,AN$4-$B89+1)</f>
        <v/>
      </c>
      <c r="AO89" s="75">
        <f>$C89*INDEX(Curves!$G$8:$G$68,AO$4-$B89+1)</f>
        <v/>
      </c>
      <c r="AP89" s="75">
        <f>$C89*INDEX(Curves!$G$8:$G$68,AP$4-$B89+1)</f>
        <v/>
      </c>
      <c r="AQ89" s="75">
        <f>$C89*INDEX(Curves!$G$8:$G$68,AQ$4-$B89+1)</f>
        <v/>
      </c>
      <c r="AR89" s="75">
        <f>$C89*INDEX(Curves!$G$8:$G$68,AR$4-$B89+1)</f>
        <v/>
      </c>
      <c r="AS89" s="75">
        <f>$C89*INDEX(Curves!$G$8:$G$68,AS$4-$B89+1)</f>
        <v/>
      </c>
      <c r="AT89" s="75">
        <f>$C89*INDEX(Curves!$G$8:$G$68,AT$4-$B89+1)</f>
        <v/>
      </c>
      <c r="AU89" s="75">
        <f>$C89*INDEX(Curves!$G$8:$G$68,AU$4-$B89+1)</f>
        <v/>
      </c>
      <c r="AV89" s="75">
        <f>$C89*INDEX(Curves!$G$8:$G$68,AV$4-$B89+1)</f>
        <v/>
      </c>
      <c r="AW89" s="75">
        <f>$C89*INDEX(Curves!$G$8:$G$68,AW$4-$B89+1)</f>
        <v/>
      </c>
      <c r="AX89" s="75">
        <f>$C89*INDEX(Curves!$G$8:$G$68,AX$4-$B89+1)</f>
        <v/>
      </c>
      <c r="AY89" s="75">
        <f>$C89*INDEX(Curves!$G$8:$G$68,AY$4-$B89+1)</f>
        <v/>
      </c>
      <c r="AZ89" s="75">
        <f>$C89*INDEX(Curves!$G$8:$G$68,AZ$4-$B89+1)</f>
        <v/>
      </c>
      <c r="BA89" s="75">
        <f>$C89*INDEX(Curves!$G$8:$G$68,BA$4-$B89+1)</f>
        <v/>
      </c>
      <c r="BB89" s="75">
        <f>$C89*INDEX(Curves!$G$8:$G$68,BB$4-$B89+1)</f>
        <v/>
      </c>
      <c r="BC89" s="75">
        <f>$C89*INDEX(Curves!$G$8:$G$68,BC$4-$B89+1)</f>
        <v/>
      </c>
      <c r="BD89" s="75">
        <f>$C89*INDEX(Curves!$G$8:$G$68,BD$4-$B89+1)</f>
        <v/>
      </c>
      <c r="BE89" s="75">
        <f>$C89*INDEX(Curves!$G$8:$G$68,BE$4-$B89+1)</f>
        <v/>
      </c>
      <c r="BF89" s="75">
        <f>$C89*INDEX(Curves!$G$8:$G$68,BF$4-$B89+1)</f>
        <v/>
      </c>
      <c r="BG89" s="75">
        <f>$C89*INDEX(Curves!$G$8:$G$68,BG$4-$B89+1)</f>
        <v/>
      </c>
      <c r="BH89" s="75">
        <f>$C89*INDEX(Curves!$G$8:$G$68,BH$4-$B89+1)</f>
        <v/>
      </c>
      <c r="BI89" s="75">
        <f>$C89*INDEX(Curves!$G$8:$G$68,BI$4-$B89+1)</f>
        <v/>
      </c>
      <c r="BJ89" s="75">
        <f>$C89*INDEX(Curves!$G$8:$G$68,BJ$4-$B89+1)</f>
        <v/>
      </c>
      <c r="BK89" s="75">
        <f>$C89*INDEX(Curves!$G$8:$G$68,BK$4-$B89+1)</f>
        <v/>
      </c>
      <c r="BL89" s="75">
        <f>$C89*INDEX(Curves!$G$8:$G$68,BL$4-$B89+1)</f>
        <v/>
      </c>
    </row>
    <row r="90">
      <c r="A90" s="74" t="inlineStr">
        <is>
          <t>Cohort month 18</t>
        </is>
      </c>
      <c r="B90" s="74" t="n">
        <v>18</v>
      </c>
      <c r="C90" s="17">
        <f>INDEX(Ops!$E$9:$BL$9,1,$B90)</f>
        <v/>
      </c>
      <c r="W90" s="75">
        <f>$C90*INDEX(Curves!$G$8:$G$68,W$4-$B90+1)</f>
        <v/>
      </c>
      <c r="X90" s="75">
        <f>$C90*INDEX(Curves!$G$8:$G$68,X$4-$B90+1)</f>
        <v/>
      </c>
      <c r="Y90" s="75">
        <f>$C90*INDEX(Curves!$G$8:$G$68,Y$4-$B90+1)</f>
        <v/>
      </c>
      <c r="Z90" s="75">
        <f>$C90*INDEX(Curves!$G$8:$G$68,Z$4-$B90+1)</f>
        <v/>
      </c>
      <c r="AA90" s="75">
        <f>$C90*INDEX(Curves!$G$8:$G$68,AA$4-$B90+1)</f>
        <v/>
      </c>
      <c r="AB90" s="75">
        <f>$C90*INDEX(Curves!$G$8:$G$68,AB$4-$B90+1)</f>
        <v/>
      </c>
      <c r="AC90" s="75">
        <f>$C90*INDEX(Curves!$G$8:$G$68,AC$4-$B90+1)</f>
        <v/>
      </c>
      <c r="AD90" s="75">
        <f>$C90*INDEX(Curves!$G$8:$G$68,AD$4-$B90+1)</f>
        <v/>
      </c>
      <c r="AE90" s="75">
        <f>$C90*INDEX(Curves!$G$8:$G$68,AE$4-$B90+1)</f>
        <v/>
      </c>
      <c r="AF90" s="75">
        <f>$C90*INDEX(Curves!$G$8:$G$68,AF$4-$B90+1)</f>
        <v/>
      </c>
      <c r="AG90" s="75">
        <f>$C90*INDEX(Curves!$G$8:$G$68,AG$4-$B90+1)</f>
        <v/>
      </c>
      <c r="AH90" s="75">
        <f>$C90*INDEX(Curves!$G$8:$G$68,AH$4-$B90+1)</f>
        <v/>
      </c>
      <c r="AI90" s="75">
        <f>$C90*INDEX(Curves!$G$8:$G$68,AI$4-$B90+1)</f>
        <v/>
      </c>
      <c r="AJ90" s="75">
        <f>$C90*INDEX(Curves!$G$8:$G$68,AJ$4-$B90+1)</f>
        <v/>
      </c>
      <c r="AK90" s="75">
        <f>$C90*INDEX(Curves!$G$8:$G$68,AK$4-$B90+1)</f>
        <v/>
      </c>
      <c r="AL90" s="75">
        <f>$C90*INDEX(Curves!$G$8:$G$68,AL$4-$B90+1)</f>
        <v/>
      </c>
      <c r="AM90" s="75">
        <f>$C90*INDEX(Curves!$G$8:$G$68,AM$4-$B90+1)</f>
        <v/>
      </c>
      <c r="AN90" s="75">
        <f>$C90*INDEX(Curves!$G$8:$G$68,AN$4-$B90+1)</f>
        <v/>
      </c>
      <c r="AO90" s="75">
        <f>$C90*INDEX(Curves!$G$8:$G$68,AO$4-$B90+1)</f>
        <v/>
      </c>
      <c r="AP90" s="75">
        <f>$C90*INDEX(Curves!$G$8:$G$68,AP$4-$B90+1)</f>
        <v/>
      </c>
      <c r="AQ90" s="75">
        <f>$C90*INDEX(Curves!$G$8:$G$68,AQ$4-$B90+1)</f>
        <v/>
      </c>
      <c r="AR90" s="75">
        <f>$C90*INDEX(Curves!$G$8:$G$68,AR$4-$B90+1)</f>
        <v/>
      </c>
      <c r="AS90" s="75">
        <f>$C90*INDEX(Curves!$G$8:$G$68,AS$4-$B90+1)</f>
        <v/>
      </c>
      <c r="AT90" s="75">
        <f>$C90*INDEX(Curves!$G$8:$G$68,AT$4-$B90+1)</f>
        <v/>
      </c>
      <c r="AU90" s="75">
        <f>$C90*INDEX(Curves!$G$8:$G$68,AU$4-$B90+1)</f>
        <v/>
      </c>
      <c r="AV90" s="75">
        <f>$C90*INDEX(Curves!$G$8:$G$68,AV$4-$B90+1)</f>
        <v/>
      </c>
      <c r="AW90" s="75">
        <f>$C90*INDEX(Curves!$G$8:$G$68,AW$4-$B90+1)</f>
        <v/>
      </c>
      <c r="AX90" s="75">
        <f>$C90*INDEX(Curves!$G$8:$G$68,AX$4-$B90+1)</f>
        <v/>
      </c>
      <c r="AY90" s="75">
        <f>$C90*INDEX(Curves!$G$8:$G$68,AY$4-$B90+1)</f>
        <v/>
      </c>
      <c r="AZ90" s="75">
        <f>$C90*INDEX(Curves!$G$8:$G$68,AZ$4-$B90+1)</f>
        <v/>
      </c>
      <c r="BA90" s="75">
        <f>$C90*INDEX(Curves!$G$8:$G$68,BA$4-$B90+1)</f>
        <v/>
      </c>
      <c r="BB90" s="75">
        <f>$C90*INDEX(Curves!$G$8:$G$68,BB$4-$B90+1)</f>
        <v/>
      </c>
      <c r="BC90" s="75">
        <f>$C90*INDEX(Curves!$G$8:$G$68,BC$4-$B90+1)</f>
        <v/>
      </c>
      <c r="BD90" s="75">
        <f>$C90*INDEX(Curves!$G$8:$G$68,BD$4-$B90+1)</f>
        <v/>
      </c>
      <c r="BE90" s="75">
        <f>$C90*INDEX(Curves!$G$8:$G$68,BE$4-$B90+1)</f>
        <v/>
      </c>
      <c r="BF90" s="75">
        <f>$C90*INDEX(Curves!$G$8:$G$68,BF$4-$B90+1)</f>
        <v/>
      </c>
      <c r="BG90" s="75">
        <f>$C90*INDEX(Curves!$G$8:$G$68,BG$4-$B90+1)</f>
        <v/>
      </c>
      <c r="BH90" s="75">
        <f>$C90*INDEX(Curves!$G$8:$G$68,BH$4-$B90+1)</f>
        <v/>
      </c>
      <c r="BI90" s="75">
        <f>$C90*INDEX(Curves!$G$8:$G$68,BI$4-$B90+1)</f>
        <v/>
      </c>
      <c r="BJ90" s="75">
        <f>$C90*INDEX(Curves!$G$8:$G$68,BJ$4-$B90+1)</f>
        <v/>
      </c>
      <c r="BK90" s="75">
        <f>$C90*INDEX(Curves!$G$8:$G$68,BK$4-$B90+1)</f>
        <v/>
      </c>
      <c r="BL90" s="75">
        <f>$C90*INDEX(Curves!$G$8:$G$68,BL$4-$B90+1)</f>
        <v/>
      </c>
    </row>
    <row r="91">
      <c r="A91" s="74" t="inlineStr">
        <is>
          <t>Cohort month 19</t>
        </is>
      </c>
      <c r="B91" s="74" t="n">
        <v>19</v>
      </c>
      <c r="C91" s="17">
        <f>INDEX(Ops!$E$9:$BL$9,1,$B91)</f>
        <v/>
      </c>
      <c r="X91" s="75">
        <f>$C91*INDEX(Curves!$G$8:$G$68,X$4-$B91+1)</f>
        <v/>
      </c>
      <c r="Y91" s="75">
        <f>$C91*INDEX(Curves!$G$8:$G$68,Y$4-$B91+1)</f>
        <v/>
      </c>
      <c r="Z91" s="75">
        <f>$C91*INDEX(Curves!$G$8:$G$68,Z$4-$B91+1)</f>
        <v/>
      </c>
      <c r="AA91" s="75">
        <f>$C91*INDEX(Curves!$G$8:$G$68,AA$4-$B91+1)</f>
        <v/>
      </c>
      <c r="AB91" s="75">
        <f>$C91*INDEX(Curves!$G$8:$G$68,AB$4-$B91+1)</f>
        <v/>
      </c>
      <c r="AC91" s="75">
        <f>$C91*INDEX(Curves!$G$8:$G$68,AC$4-$B91+1)</f>
        <v/>
      </c>
      <c r="AD91" s="75">
        <f>$C91*INDEX(Curves!$G$8:$G$68,AD$4-$B91+1)</f>
        <v/>
      </c>
      <c r="AE91" s="75">
        <f>$C91*INDEX(Curves!$G$8:$G$68,AE$4-$B91+1)</f>
        <v/>
      </c>
      <c r="AF91" s="75">
        <f>$C91*INDEX(Curves!$G$8:$G$68,AF$4-$B91+1)</f>
        <v/>
      </c>
      <c r="AG91" s="75">
        <f>$C91*INDEX(Curves!$G$8:$G$68,AG$4-$B91+1)</f>
        <v/>
      </c>
      <c r="AH91" s="75">
        <f>$C91*INDEX(Curves!$G$8:$G$68,AH$4-$B91+1)</f>
        <v/>
      </c>
      <c r="AI91" s="75">
        <f>$C91*INDEX(Curves!$G$8:$G$68,AI$4-$B91+1)</f>
        <v/>
      </c>
      <c r="AJ91" s="75">
        <f>$C91*INDEX(Curves!$G$8:$G$68,AJ$4-$B91+1)</f>
        <v/>
      </c>
      <c r="AK91" s="75">
        <f>$C91*INDEX(Curves!$G$8:$G$68,AK$4-$B91+1)</f>
        <v/>
      </c>
      <c r="AL91" s="75">
        <f>$C91*INDEX(Curves!$G$8:$G$68,AL$4-$B91+1)</f>
        <v/>
      </c>
      <c r="AM91" s="75">
        <f>$C91*INDEX(Curves!$G$8:$G$68,AM$4-$B91+1)</f>
        <v/>
      </c>
      <c r="AN91" s="75">
        <f>$C91*INDEX(Curves!$G$8:$G$68,AN$4-$B91+1)</f>
        <v/>
      </c>
      <c r="AO91" s="75">
        <f>$C91*INDEX(Curves!$G$8:$G$68,AO$4-$B91+1)</f>
        <v/>
      </c>
      <c r="AP91" s="75">
        <f>$C91*INDEX(Curves!$G$8:$G$68,AP$4-$B91+1)</f>
        <v/>
      </c>
      <c r="AQ91" s="75">
        <f>$C91*INDEX(Curves!$G$8:$G$68,AQ$4-$B91+1)</f>
        <v/>
      </c>
      <c r="AR91" s="75">
        <f>$C91*INDEX(Curves!$G$8:$G$68,AR$4-$B91+1)</f>
        <v/>
      </c>
      <c r="AS91" s="75">
        <f>$C91*INDEX(Curves!$G$8:$G$68,AS$4-$B91+1)</f>
        <v/>
      </c>
      <c r="AT91" s="75">
        <f>$C91*INDEX(Curves!$G$8:$G$68,AT$4-$B91+1)</f>
        <v/>
      </c>
      <c r="AU91" s="75">
        <f>$C91*INDEX(Curves!$G$8:$G$68,AU$4-$B91+1)</f>
        <v/>
      </c>
      <c r="AV91" s="75">
        <f>$C91*INDEX(Curves!$G$8:$G$68,AV$4-$B91+1)</f>
        <v/>
      </c>
      <c r="AW91" s="75">
        <f>$C91*INDEX(Curves!$G$8:$G$68,AW$4-$B91+1)</f>
        <v/>
      </c>
      <c r="AX91" s="75">
        <f>$C91*INDEX(Curves!$G$8:$G$68,AX$4-$B91+1)</f>
        <v/>
      </c>
      <c r="AY91" s="75">
        <f>$C91*INDEX(Curves!$G$8:$G$68,AY$4-$B91+1)</f>
        <v/>
      </c>
      <c r="AZ91" s="75">
        <f>$C91*INDEX(Curves!$G$8:$G$68,AZ$4-$B91+1)</f>
        <v/>
      </c>
      <c r="BA91" s="75">
        <f>$C91*INDEX(Curves!$G$8:$G$68,BA$4-$B91+1)</f>
        <v/>
      </c>
      <c r="BB91" s="75">
        <f>$C91*INDEX(Curves!$G$8:$G$68,BB$4-$B91+1)</f>
        <v/>
      </c>
      <c r="BC91" s="75">
        <f>$C91*INDEX(Curves!$G$8:$G$68,BC$4-$B91+1)</f>
        <v/>
      </c>
      <c r="BD91" s="75">
        <f>$C91*INDEX(Curves!$G$8:$G$68,BD$4-$B91+1)</f>
        <v/>
      </c>
      <c r="BE91" s="75">
        <f>$C91*INDEX(Curves!$G$8:$G$68,BE$4-$B91+1)</f>
        <v/>
      </c>
      <c r="BF91" s="75">
        <f>$C91*INDEX(Curves!$G$8:$G$68,BF$4-$B91+1)</f>
        <v/>
      </c>
      <c r="BG91" s="75">
        <f>$C91*INDEX(Curves!$G$8:$G$68,BG$4-$B91+1)</f>
        <v/>
      </c>
      <c r="BH91" s="75">
        <f>$C91*INDEX(Curves!$G$8:$G$68,BH$4-$B91+1)</f>
        <v/>
      </c>
      <c r="BI91" s="75">
        <f>$C91*INDEX(Curves!$G$8:$G$68,BI$4-$B91+1)</f>
        <v/>
      </c>
      <c r="BJ91" s="75">
        <f>$C91*INDEX(Curves!$G$8:$G$68,BJ$4-$B91+1)</f>
        <v/>
      </c>
      <c r="BK91" s="75">
        <f>$C91*INDEX(Curves!$G$8:$G$68,BK$4-$B91+1)</f>
        <v/>
      </c>
      <c r="BL91" s="75">
        <f>$C91*INDEX(Curves!$G$8:$G$68,BL$4-$B91+1)</f>
        <v/>
      </c>
    </row>
    <row r="92">
      <c r="A92" s="74" t="inlineStr">
        <is>
          <t>Cohort month 20</t>
        </is>
      </c>
      <c r="B92" s="74" t="n">
        <v>20</v>
      </c>
      <c r="C92" s="17">
        <f>INDEX(Ops!$E$9:$BL$9,1,$B92)</f>
        <v/>
      </c>
      <c r="Y92" s="75">
        <f>$C92*INDEX(Curves!$G$8:$G$68,Y$4-$B92+1)</f>
        <v/>
      </c>
      <c r="Z92" s="75">
        <f>$C92*INDEX(Curves!$G$8:$G$68,Z$4-$B92+1)</f>
        <v/>
      </c>
      <c r="AA92" s="75">
        <f>$C92*INDEX(Curves!$G$8:$G$68,AA$4-$B92+1)</f>
        <v/>
      </c>
      <c r="AB92" s="75">
        <f>$C92*INDEX(Curves!$G$8:$G$68,AB$4-$B92+1)</f>
        <v/>
      </c>
      <c r="AC92" s="75">
        <f>$C92*INDEX(Curves!$G$8:$G$68,AC$4-$B92+1)</f>
        <v/>
      </c>
      <c r="AD92" s="75">
        <f>$C92*INDEX(Curves!$G$8:$G$68,AD$4-$B92+1)</f>
        <v/>
      </c>
      <c r="AE92" s="75">
        <f>$C92*INDEX(Curves!$G$8:$G$68,AE$4-$B92+1)</f>
        <v/>
      </c>
      <c r="AF92" s="75">
        <f>$C92*INDEX(Curves!$G$8:$G$68,AF$4-$B92+1)</f>
        <v/>
      </c>
      <c r="AG92" s="75">
        <f>$C92*INDEX(Curves!$G$8:$G$68,AG$4-$B92+1)</f>
        <v/>
      </c>
      <c r="AH92" s="75">
        <f>$C92*INDEX(Curves!$G$8:$G$68,AH$4-$B92+1)</f>
        <v/>
      </c>
      <c r="AI92" s="75">
        <f>$C92*INDEX(Curves!$G$8:$G$68,AI$4-$B92+1)</f>
        <v/>
      </c>
      <c r="AJ92" s="75">
        <f>$C92*INDEX(Curves!$G$8:$G$68,AJ$4-$B92+1)</f>
        <v/>
      </c>
      <c r="AK92" s="75">
        <f>$C92*INDEX(Curves!$G$8:$G$68,AK$4-$B92+1)</f>
        <v/>
      </c>
      <c r="AL92" s="75">
        <f>$C92*INDEX(Curves!$G$8:$G$68,AL$4-$B92+1)</f>
        <v/>
      </c>
      <c r="AM92" s="75">
        <f>$C92*INDEX(Curves!$G$8:$G$68,AM$4-$B92+1)</f>
        <v/>
      </c>
      <c r="AN92" s="75">
        <f>$C92*INDEX(Curves!$G$8:$G$68,AN$4-$B92+1)</f>
        <v/>
      </c>
      <c r="AO92" s="75">
        <f>$C92*INDEX(Curves!$G$8:$G$68,AO$4-$B92+1)</f>
        <v/>
      </c>
      <c r="AP92" s="75">
        <f>$C92*INDEX(Curves!$G$8:$G$68,AP$4-$B92+1)</f>
        <v/>
      </c>
      <c r="AQ92" s="75">
        <f>$C92*INDEX(Curves!$G$8:$G$68,AQ$4-$B92+1)</f>
        <v/>
      </c>
      <c r="AR92" s="75">
        <f>$C92*INDEX(Curves!$G$8:$G$68,AR$4-$B92+1)</f>
        <v/>
      </c>
      <c r="AS92" s="75">
        <f>$C92*INDEX(Curves!$G$8:$G$68,AS$4-$B92+1)</f>
        <v/>
      </c>
      <c r="AT92" s="75">
        <f>$C92*INDEX(Curves!$G$8:$G$68,AT$4-$B92+1)</f>
        <v/>
      </c>
      <c r="AU92" s="75">
        <f>$C92*INDEX(Curves!$G$8:$G$68,AU$4-$B92+1)</f>
        <v/>
      </c>
      <c r="AV92" s="75">
        <f>$C92*INDEX(Curves!$G$8:$G$68,AV$4-$B92+1)</f>
        <v/>
      </c>
      <c r="AW92" s="75">
        <f>$C92*INDEX(Curves!$G$8:$G$68,AW$4-$B92+1)</f>
        <v/>
      </c>
      <c r="AX92" s="75">
        <f>$C92*INDEX(Curves!$G$8:$G$68,AX$4-$B92+1)</f>
        <v/>
      </c>
      <c r="AY92" s="75">
        <f>$C92*INDEX(Curves!$G$8:$G$68,AY$4-$B92+1)</f>
        <v/>
      </c>
      <c r="AZ92" s="75">
        <f>$C92*INDEX(Curves!$G$8:$G$68,AZ$4-$B92+1)</f>
        <v/>
      </c>
      <c r="BA92" s="75">
        <f>$C92*INDEX(Curves!$G$8:$G$68,BA$4-$B92+1)</f>
        <v/>
      </c>
      <c r="BB92" s="75">
        <f>$C92*INDEX(Curves!$G$8:$G$68,BB$4-$B92+1)</f>
        <v/>
      </c>
      <c r="BC92" s="75">
        <f>$C92*INDEX(Curves!$G$8:$G$68,BC$4-$B92+1)</f>
        <v/>
      </c>
      <c r="BD92" s="75">
        <f>$C92*INDEX(Curves!$G$8:$G$68,BD$4-$B92+1)</f>
        <v/>
      </c>
      <c r="BE92" s="75">
        <f>$C92*INDEX(Curves!$G$8:$G$68,BE$4-$B92+1)</f>
        <v/>
      </c>
      <c r="BF92" s="75">
        <f>$C92*INDEX(Curves!$G$8:$G$68,BF$4-$B92+1)</f>
        <v/>
      </c>
      <c r="BG92" s="75">
        <f>$C92*INDEX(Curves!$G$8:$G$68,BG$4-$B92+1)</f>
        <v/>
      </c>
      <c r="BH92" s="75">
        <f>$C92*INDEX(Curves!$G$8:$G$68,BH$4-$B92+1)</f>
        <v/>
      </c>
      <c r="BI92" s="75">
        <f>$C92*INDEX(Curves!$G$8:$G$68,BI$4-$B92+1)</f>
        <v/>
      </c>
      <c r="BJ92" s="75">
        <f>$C92*INDEX(Curves!$G$8:$G$68,BJ$4-$B92+1)</f>
        <v/>
      </c>
      <c r="BK92" s="75">
        <f>$C92*INDEX(Curves!$G$8:$G$68,BK$4-$B92+1)</f>
        <v/>
      </c>
      <c r="BL92" s="75">
        <f>$C92*INDEX(Curves!$G$8:$G$68,BL$4-$B92+1)</f>
        <v/>
      </c>
    </row>
    <row r="93">
      <c r="A93" s="74" t="inlineStr">
        <is>
          <t>Cohort month 21</t>
        </is>
      </c>
      <c r="B93" s="74" t="n">
        <v>21</v>
      </c>
      <c r="C93" s="17">
        <f>INDEX(Ops!$E$9:$BL$9,1,$B93)</f>
        <v/>
      </c>
      <c r="Z93" s="75">
        <f>$C93*INDEX(Curves!$G$8:$G$68,Z$4-$B93+1)</f>
        <v/>
      </c>
      <c r="AA93" s="75">
        <f>$C93*INDEX(Curves!$G$8:$G$68,AA$4-$B93+1)</f>
        <v/>
      </c>
      <c r="AB93" s="75">
        <f>$C93*INDEX(Curves!$G$8:$G$68,AB$4-$B93+1)</f>
        <v/>
      </c>
      <c r="AC93" s="75">
        <f>$C93*INDEX(Curves!$G$8:$G$68,AC$4-$B93+1)</f>
        <v/>
      </c>
      <c r="AD93" s="75">
        <f>$C93*INDEX(Curves!$G$8:$G$68,AD$4-$B93+1)</f>
        <v/>
      </c>
      <c r="AE93" s="75">
        <f>$C93*INDEX(Curves!$G$8:$G$68,AE$4-$B93+1)</f>
        <v/>
      </c>
      <c r="AF93" s="75">
        <f>$C93*INDEX(Curves!$G$8:$G$68,AF$4-$B93+1)</f>
        <v/>
      </c>
      <c r="AG93" s="75">
        <f>$C93*INDEX(Curves!$G$8:$G$68,AG$4-$B93+1)</f>
        <v/>
      </c>
      <c r="AH93" s="75">
        <f>$C93*INDEX(Curves!$G$8:$G$68,AH$4-$B93+1)</f>
        <v/>
      </c>
      <c r="AI93" s="75">
        <f>$C93*INDEX(Curves!$G$8:$G$68,AI$4-$B93+1)</f>
        <v/>
      </c>
      <c r="AJ93" s="75">
        <f>$C93*INDEX(Curves!$G$8:$G$68,AJ$4-$B93+1)</f>
        <v/>
      </c>
      <c r="AK93" s="75">
        <f>$C93*INDEX(Curves!$G$8:$G$68,AK$4-$B93+1)</f>
        <v/>
      </c>
      <c r="AL93" s="75">
        <f>$C93*INDEX(Curves!$G$8:$G$68,AL$4-$B93+1)</f>
        <v/>
      </c>
      <c r="AM93" s="75">
        <f>$C93*INDEX(Curves!$G$8:$G$68,AM$4-$B93+1)</f>
        <v/>
      </c>
      <c r="AN93" s="75">
        <f>$C93*INDEX(Curves!$G$8:$G$68,AN$4-$B93+1)</f>
        <v/>
      </c>
      <c r="AO93" s="75">
        <f>$C93*INDEX(Curves!$G$8:$G$68,AO$4-$B93+1)</f>
        <v/>
      </c>
      <c r="AP93" s="75">
        <f>$C93*INDEX(Curves!$G$8:$G$68,AP$4-$B93+1)</f>
        <v/>
      </c>
      <c r="AQ93" s="75">
        <f>$C93*INDEX(Curves!$G$8:$G$68,AQ$4-$B93+1)</f>
        <v/>
      </c>
      <c r="AR93" s="75">
        <f>$C93*INDEX(Curves!$G$8:$G$68,AR$4-$B93+1)</f>
        <v/>
      </c>
      <c r="AS93" s="75">
        <f>$C93*INDEX(Curves!$G$8:$G$68,AS$4-$B93+1)</f>
        <v/>
      </c>
      <c r="AT93" s="75">
        <f>$C93*INDEX(Curves!$G$8:$G$68,AT$4-$B93+1)</f>
        <v/>
      </c>
      <c r="AU93" s="75">
        <f>$C93*INDEX(Curves!$G$8:$G$68,AU$4-$B93+1)</f>
        <v/>
      </c>
      <c r="AV93" s="75">
        <f>$C93*INDEX(Curves!$G$8:$G$68,AV$4-$B93+1)</f>
        <v/>
      </c>
      <c r="AW93" s="75">
        <f>$C93*INDEX(Curves!$G$8:$G$68,AW$4-$B93+1)</f>
        <v/>
      </c>
      <c r="AX93" s="75">
        <f>$C93*INDEX(Curves!$G$8:$G$68,AX$4-$B93+1)</f>
        <v/>
      </c>
      <c r="AY93" s="75">
        <f>$C93*INDEX(Curves!$G$8:$G$68,AY$4-$B93+1)</f>
        <v/>
      </c>
      <c r="AZ93" s="75">
        <f>$C93*INDEX(Curves!$G$8:$G$68,AZ$4-$B93+1)</f>
        <v/>
      </c>
      <c r="BA93" s="75">
        <f>$C93*INDEX(Curves!$G$8:$G$68,BA$4-$B93+1)</f>
        <v/>
      </c>
      <c r="BB93" s="75">
        <f>$C93*INDEX(Curves!$G$8:$G$68,BB$4-$B93+1)</f>
        <v/>
      </c>
      <c r="BC93" s="75">
        <f>$C93*INDEX(Curves!$G$8:$G$68,BC$4-$B93+1)</f>
        <v/>
      </c>
      <c r="BD93" s="75">
        <f>$C93*INDEX(Curves!$G$8:$G$68,BD$4-$B93+1)</f>
        <v/>
      </c>
      <c r="BE93" s="75">
        <f>$C93*INDEX(Curves!$G$8:$G$68,BE$4-$B93+1)</f>
        <v/>
      </c>
      <c r="BF93" s="75">
        <f>$C93*INDEX(Curves!$G$8:$G$68,BF$4-$B93+1)</f>
        <v/>
      </c>
      <c r="BG93" s="75">
        <f>$C93*INDEX(Curves!$G$8:$G$68,BG$4-$B93+1)</f>
        <v/>
      </c>
      <c r="BH93" s="75">
        <f>$C93*INDEX(Curves!$G$8:$G$68,BH$4-$B93+1)</f>
        <v/>
      </c>
      <c r="BI93" s="75">
        <f>$C93*INDEX(Curves!$G$8:$G$68,BI$4-$B93+1)</f>
        <v/>
      </c>
      <c r="BJ93" s="75">
        <f>$C93*INDEX(Curves!$G$8:$G$68,BJ$4-$B93+1)</f>
        <v/>
      </c>
      <c r="BK93" s="75">
        <f>$C93*INDEX(Curves!$G$8:$G$68,BK$4-$B93+1)</f>
        <v/>
      </c>
      <c r="BL93" s="75">
        <f>$C93*INDEX(Curves!$G$8:$G$68,BL$4-$B93+1)</f>
        <v/>
      </c>
    </row>
    <row r="94">
      <c r="A94" s="74" t="inlineStr">
        <is>
          <t>Cohort month 22</t>
        </is>
      </c>
      <c r="B94" s="74" t="n">
        <v>22</v>
      </c>
      <c r="C94" s="17">
        <f>INDEX(Ops!$E$9:$BL$9,1,$B94)</f>
        <v/>
      </c>
      <c r="AA94" s="75">
        <f>$C94*INDEX(Curves!$G$8:$G$68,AA$4-$B94+1)</f>
        <v/>
      </c>
      <c r="AB94" s="75">
        <f>$C94*INDEX(Curves!$G$8:$G$68,AB$4-$B94+1)</f>
        <v/>
      </c>
      <c r="AC94" s="75">
        <f>$C94*INDEX(Curves!$G$8:$G$68,AC$4-$B94+1)</f>
        <v/>
      </c>
      <c r="AD94" s="75">
        <f>$C94*INDEX(Curves!$G$8:$G$68,AD$4-$B94+1)</f>
        <v/>
      </c>
      <c r="AE94" s="75">
        <f>$C94*INDEX(Curves!$G$8:$G$68,AE$4-$B94+1)</f>
        <v/>
      </c>
      <c r="AF94" s="75">
        <f>$C94*INDEX(Curves!$G$8:$G$68,AF$4-$B94+1)</f>
        <v/>
      </c>
      <c r="AG94" s="75">
        <f>$C94*INDEX(Curves!$G$8:$G$68,AG$4-$B94+1)</f>
        <v/>
      </c>
      <c r="AH94" s="75">
        <f>$C94*INDEX(Curves!$G$8:$G$68,AH$4-$B94+1)</f>
        <v/>
      </c>
      <c r="AI94" s="75">
        <f>$C94*INDEX(Curves!$G$8:$G$68,AI$4-$B94+1)</f>
        <v/>
      </c>
      <c r="AJ94" s="75">
        <f>$C94*INDEX(Curves!$G$8:$G$68,AJ$4-$B94+1)</f>
        <v/>
      </c>
      <c r="AK94" s="75">
        <f>$C94*INDEX(Curves!$G$8:$G$68,AK$4-$B94+1)</f>
        <v/>
      </c>
      <c r="AL94" s="75">
        <f>$C94*INDEX(Curves!$G$8:$G$68,AL$4-$B94+1)</f>
        <v/>
      </c>
      <c r="AM94" s="75">
        <f>$C94*INDEX(Curves!$G$8:$G$68,AM$4-$B94+1)</f>
        <v/>
      </c>
      <c r="AN94" s="75">
        <f>$C94*INDEX(Curves!$G$8:$G$68,AN$4-$B94+1)</f>
        <v/>
      </c>
      <c r="AO94" s="75">
        <f>$C94*INDEX(Curves!$G$8:$G$68,AO$4-$B94+1)</f>
        <v/>
      </c>
      <c r="AP94" s="75">
        <f>$C94*INDEX(Curves!$G$8:$G$68,AP$4-$B94+1)</f>
        <v/>
      </c>
      <c r="AQ94" s="75">
        <f>$C94*INDEX(Curves!$G$8:$G$68,AQ$4-$B94+1)</f>
        <v/>
      </c>
      <c r="AR94" s="75">
        <f>$C94*INDEX(Curves!$G$8:$G$68,AR$4-$B94+1)</f>
        <v/>
      </c>
      <c r="AS94" s="75">
        <f>$C94*INDEX(Curves!$G$8:$G$68,AS$4-$B94+1)</f>
        <v/>
      </c>
      <c r="AT94" s="75">
        <f>$C94*INDEX(Curves!$G$8:$G$68,AT$4-$B94+1)</f>
        <v/>
      </c>
      <c r="AU94" s="75">
        <f>$C94*INDEX(Curves!$G$8:$G$68,AU$4-$B94+1)</f>
        <v/>
      </c>
      <c r="AV94" s="75">
        <f>$C94*INDEX(Curves!$G$8:$G$68,AV$4-$B94+1)</f>
        <v/>
      </c>
      <c r="AW94" s="75">
        <f>$C94*INDEX(Curves!$G$8:$G$68,AW$4-$B94+1)</f>
        <v/>
      </c>
      <c r="AX94" s="75">
        <f>$C94*INDEX(Curves!$G$8:$G$68,AX$4-$B94+1)</f>
        <v/>
      </c>
      <c r="AY94" s="75">
        <f>$C94*INDEX(Curves!$G$8:$G$68,AY$4-$B94+1)</f>
        <v/>
      </c>
      <c r="AZ94" s="75">
        <f>$C94*INDEX(Curves!$G$8:$G$68,AZ$4-$B94+1)</f>
        <v/>
      </c>
      <c r="BA94" s="75">
        <f>$C94*INDEX(Curves!$G$8:$G$68,BA$4-$B94+1)</f>
        <v/>
      </c>
      <c r="BB94" s="75">
        <f>$C94*INDEX(Curves!$G$8:$G$68,BB$4-$B94+1)</f>
        <v/>
      </c>
      <c r="BC94" s="75">
        <f>$C94*INDEX(Curves!$G$8:$G$68,BC$4-$B94+1)</f>
        <v/>
      </c>
      <c r="BD94" s="75">
        <f>$C94*INDEX(Curves!$G$8:$G$68,BD$4-$B94+1)</f>
        <v/>
      </c>
      <c r="BE94" s="75">
        <f>$C94*INDEX(Curves!$G$8:$G$68,BE$4-$B94+1)</f>
        <v/>
      </c>
      <c r="BF94" s="75">
        <f>$C94*INDEX(Curves!$G$8:$G$68,BF$4-$B94+1)</f>
        <v/>
      </c>
      <c r="BG94" s="75">
        <f>$C94*INDEX(Curves!$G$8:$G$68,BG$4-$B94+1)</f>
        <v/>
      </c>
      <c r="BH94" s="75">
        <f>$C94*INDEX(Curves!$G$8:$G$68,BH$4-$B94+1)</f>
        <v/>
      </c>
      <c r="BI94" s="75">
        <f>$C94*INDEX(Curves!$G$8:$G$68,BI$4-$B94+1)</f>
        <v/>
      </c>
      <c r="BJ94" s="75">
        <f>$C94*INDEX(Curves!$G$8:$G$68,BJ$4-$B94+1)</f>
        <v/>
      </c>
      <c r="BK94" s="75">
        <f>$C94*INDEX(Curves!$G$8:$G$68,BK$4-$B94+1)</f>
        <v/>
      </c>
      <c r="BL94" s="75">
        <f>$C94*INDEX(Curves!$G$8:$G$68,BL$4-$B94+1)</f>
        <v/>
      </c>
    </row>
    <row r="95">
      <c r="A95" s="74" t="inlineStr">
        <is>
          <t>Cohort month 23</t>
        </is>
      </c>
      <c r="B95" s="74" t="n">
        <v>23</v>
      </c>
      <c r="C95" s="17">
        <f>INDEX(Ops!$E$9:$BL$9,1,$B95)</f>
        <v/>
      </c>
      <c r="AB95" s="75">
        <f>$C95*INDEX(Curves!$G$8:$G$68,AB$4-$B95+1)</f>
        <v/>
      </c>
      <c r="AC95" s="75">
        <f>$C95*INDEX(Curves!$G$8:$G$68,AC$4-$B95+1)</f>
        <v/>
      </c>
      <c r="AD95" s="75">
        <f>$C95*INDEX(Curves!$G$8:$G$68,AD$4-$B95+1)</f>
        <v/>
      </c>
      <c r="AE95" s="75">
        <f>$C95*INDEX(Curves!$G$8:$G$68,AE$4-$B95+1)</f>
        <v/>
      </c>
      <c r="AF95" s="75">
        <f>$C95*INDEX(Curves!$G$8:$G$68,AF$4-$B95+1)</f>
        <v/>
      </c>
      <c r="AG95" s="75">
        <f>$C95*INDEX(Curves!$G$8:$G$68,AG$4-$B95+1)</f>
        <v/>
      </c>
      <c r="AH95" s="75">
        <f>$C95*INDEX(Curves!$G$8:$G$68,AH$4-$B95+1)</f>
        <v/>
      </c>
      <c r="AI95" s="75">
        <f>$C95*INDEX(Curves!$G$8:$G$68,AI$4-$B95+1)</f>
        <v/>
      </c>
      <c r="AJ95" s="75">
        <f>$C95*INDEX(Curves!$G$8:$G$68,AJ$4-$B95+1)</f>
        <v/>
      </c>
      <c r="AK95" s="75">
        <f>$C95*INDEX(Curves!$G$8:$G$68,AK$4-$B95+1)</f>
        <v/>
      </c>
      <c r="AL95" s="75">
        <f>$C95*INDEX(Curves!$G$8:$G$68,AL$4-$B95+1)</f>
        <v/>
      </c>
      <c r="AM95" s="75">
        <f>$C95*INDEX(Curves!$G$8:$G$68,AM$4-$B95+1)</f>
        <v/>
      </c>
      <c r="AN95" s="75">
        <f>$C95*INDEX(Curves!$G$8:$G$68,AN$4-$B95+1)</f>
        <v/>
      </c>
      <c r="AO95" s="75">
        <f>$C95*INDEX(Curves!$G$8:$G$68,AO$4-$B95+1)</f>
        <v/>
      </c>
      <c r="AP95" s="75">
        <f>$C95*INDEX(Curves!$G$8:$G$68,AP$4-$B95+1)</f>
        <v/>
      </c>
      <c r="AQ95" s="75">
        <f>$C95*INDEX(Curves!$G$8:$G$68,AQ$4-$B95+1)</f>
        <v/>
      </c>
      <c r="AR95" s="75">
        <f>$C95*INDEX(Curves!$G$8:$G$68,AR$4-$B95+1)</f>
        <v/>
      </c>
      <c r="AS95" s="75">
        <f>$C95*INDEX(Curves!$G$8:$G$68,AS$4-$B95+1)</f>
        <v/>
      </c>
      <c r="AT95" s="75">
        <f>$C95*INDEX(Curves!$G$8:$G$68,AT$4-$B95+1)</f>
        <v/>
      </c>
      <c r="AU95" s="75">
        <f>$C95*INDEX(Curves!$G$8:$G$68,AU$4-$B95+1)</f>
        <v/>
      </c>
      <c r="AV95" s="75">
        <f>$C95*INDEX(Curves!$G$8:$G$68,AV$4-$B95+1)</f>
        <v/>
      </c>
      <c r="AW95" s="75">
        <f>$C95*INDEX(Curves!$G$8:$G$68,AW$4-$B95+1)</f>
        <v/>
      </c>
      <c r="AX95" s="75">
        <f>$C95*INDEX(Curves!$G$8:$G$68,AX$4-$B95+1)</f>
        <v/>
      </c>
      <c r="AY95" s="75">
        <f>$C95*INDEX(Curves!$G$8:$G$68,AY$4-$B95+1)</f>
        <v/>
      </c>
      <c r="AZ95" s="75">
        <f>$C95*INDEX(Curves!$G$8:$G$68,AZ$4-$B95+1)</f>
        <v/>
      </c>
      <c r="BA95" s="75">
        <f>$C95*INDEX(Curves!$G$8:$G$68,BA$4-$B95+1)</f>
        <v/>
      </c>
      <c r="BB95" s="75">
        <f>$C95*INDEX(Curves!$G$8:$G$68,BB$4-$B95+1)</f>
        <v/>
      </c>
      <c r="BC95" s="75">
        <f>$C95*INDEX(Curves!$G$8:$G$68,BC$4-$B95+1)</f>
        <v/>
      </c>
      <c r="BD95" s="75">
        <f>$C95*INDEX(Curves!$G$8:$G$68,BD$4-$B95+1)</f>
        <v/>
      </c>
      <c r="BE95" s="75">
        <f>$C95*INDEX(Curves!$G$8:$G$68,BE$4-$B95+1)</f>
        <v/>
      </c>
      <c r="BF95" s="75">
        <f>$C95*INDEX(Curves!$G$8:$G$68,BF$4-$B95+1)</f>
        <v/>
      </c>
      <c r="BG95" s="75">
        <f>$C95*INDEX(Curves!$G$8:$G$68,BG$4-$B95+1)</f>
        <v/>
      </c>
      <c r="BH95" s="75">
        <f>$C95*INDEX(Curves!$G$8:$G$68,BH$4-$B95+1)</f>
        <v/>
      </c>
      <c r="BI95" s="75">
        <f>$C95*INDEX(Curves!$G$8:$G$68,BI$4-$B95+1)</f>
        <v/>
      </c>
      <c r="BJ95" s="75">
        <f>$C95*INDEX(Curves!$G$8:$G$68,BJ$4-$B95+1)</f>
        <v/>
      </c>
      <c r="BK95" s="75">
        <f>$C95*INDEX(Curves!$G$8:$G$68,BK$4-$B95+1)</f>
        <v/>
      </c>
      <c r="BL95" s="75">
        <f>$C95*INDEX(Curves!$G$8:$G$68,BL$4-$B95+1)</f>
        <v/>
      </c>
    </row>
    <row r="96">
      <c r="A96" s="74" t="inlineStr">
        <is>
          <t>Cohort month 24</t>
        </is>
      </c>
      <c r="B96" s="74" t="n">
        <v>24</v>
      </c>
      <c r="C96" s="17">
        <f>INDEX(Ops!$E$9:$BL$9,1,$B96)</f>
        <v/>
      </c>
      <c r="AC96" s="75">
        <f>$C96*INDEX(Curves!$G$8:$G$68,AC$4-$B96+1)</f>
        <v/>
      </c>
      <c r="AD96" s="75">
        <f>$C96*INDEX(Curves!$G$8:$G$68,AD$4-$B96+1)</f>
        <v/>
      </c>
      <c r="AE96" s="75">
        <f>$C96*INDEX(Curves!$G$8:$G$68,AE$4-$B96+1)</f>
        <v/>
      </c>
      <c r="AF96" s="75">
        <f>$C96*INDEX(Curves!$G$8:$G$68,AF$4-$B96+1)</f>
        <v/>
      </c>
      <c r="AG96" s="75">
        <f>$C96*INDEX(Curves!$G$8:$G$68,AG$4-$B96+1)</f>
        <v/>
      </c>
      <c r="AH96" s="75">
        <f>$C96*INDEX(Curves!$G$8:$G$68,AH$4-$B96+1)</f>
        <v/>
      </c>
      <c r="AI96" s="75">
        <f>$C96*INDEX(Curves!$G$8:$G$68,AI$4-$B96+1)</f>
        <v/>
      </c>
      <c r="AJ96" s="75">
        <f>$C96*INDEX(Curves!$G$8:$G$68,AJ$4-$B96+1)</f>
        <v/>
      </c>
      <c r="AK96" s="75">
        <f>$C96*INDEX(Curves!$G$8:$G$68,AK$4-$B96+1)</f>
        <v/>
      </c>
      <c r="AL96" s="75">
        <f>$C96*INDEX(Curves!$G$8:$G$68,AL$4-$B96+1)</f>
        <v/>
      </c>
      <c r="AM96" s="75">
        <f>$C96*INDEX(Curves!$G$8:$G$68,AM$4-$B96+1)</f>
        <v/>
      </c>
      <c r="AN96" s="75">
        <f>$C96*INDEX(Curves!$G$8:$G$68,AN$4-$B96+1)</f>
        <v/>
      </c>
      <c r="AO96" s="75">
        <f>$C96*INDEX(Curves!$G$8:$G$68,AO$4-$B96+1)</f>
        <v/>
      </c>
      <c r="AP96" s="75">
        <f>$C96*INDEX(Curves!$G$8:$G$68,AP$4-$B96+1)</f>
        <v/>
      </c>
      <c r="AQ96" s="75">
        <f>$C96*INDEX(Curves!$G$8:$G$68,AQ$4-$B96+1)</f>
        <v/>
      </c>
      <c r="AR96" s="75">
        <f>$C96*INDEX(Curves!$G$8:$G$68,AR$4-$B96+1)</f>
        <v/>
      </c>
      <c r="AS96" s="75">
        <f>$C96*INDEX(Curves!$G$8:$G$68,AS$4-$B96+1)</f>
        <v/>
      </c>
      <c r="AT96" s="75">
        <f>$C96*INDEX(Curves!$G$8:$G$68,AT$4-$B96+1)</f>
        <v/>
      </c>
      <c r="AU96" s="75">
        <f>$C96*INDEX(Curves!$G$8:$G$68,AU$4-$B96+1)</f>
        <v/>
      </c>
      <c r="AV96" s="75">
        <f>$C96*INDEX(Curves!$G$8:$G$68,AV$4-$B96+1)</f>
        <v/>
      </c>
      <c r="AW96" s="75">
        <f>$C96*INDEX(Curves!$G$8:$G$68,AW$4-$B96+1)</f>
        <v/>
      </c>
      <c r="AX96" s="75">
        <f>$C96*INDEX(Curves!$G$8:$G$68,AX$4-$B96+1)</f>
        <v/>
      </c>
      <c r="AY96" s="75">
        <f>$C96*INDEX(Curves!$G$8:$G$68,AY$4-$B96+1)</f>
        <v/>
      </c>
      <c r="AZ96" s="75">
        <f>$C96*INDEX(Curves!$G$8:$G$68,AZ$4-$B96+1)</f>
        <v/>
      </c>
      <c r="BA96" s="75">
        <f>$C96*INDEX(Curves!$G$8:$G$68,BA$4-$B96+1)</f>
        <v/>
      </c>
      <c r="BB96" s="75">
        <f>$C96*INDEX(Curves!$G$8:$G$68,BB$4-$B96+1)</f>
        <v/>
      </c>
      <c r="BC96" s="75">
        <f>$C96*INDEX(Curves!$G$8:$G$68,BC$4-$B96+1)</f>
        <v/>
      </c>
      <c r="BD96" s="75">
        <f>$C96*INDEX(Curves!$G$8:$G$68,BD$4-$B96+1)</f>
        <v/>
      </c>
      <c r="BE96" s="75">
        <f>$C96*INDEX(Curves!$G$8:$G$68,BE$4-$B96+1)</f>
        <v/>
      </c>
      <c r="BF96" s="75">
        <f>$C96*INDEX(Curves!$G$8:$G$68,BF$4-$B96+1)</f>
        <v/>
      </c>
      <c r="BG96" s="75">
        <f>$C96*INDEX(Curves!$G$8:$G$68,BG$4-$B96+1)</f>
        <v/>
      </c>
      <c r="BH96" s="75">
        <f>$C96*INDEX(Curves!$G$8:$G$68,BH$4-$B96+1)</f>
        <v/>
      </c>
      <c r="BI96" s="75">
        <f>$C96*INDEX(Curves!$G$8:$G$68,BI$4-$B96+1)</f>
        <v/>
      </c>
      <c r="BJ96" s="75">
        <f>$C96*INDEX(Curves!$G$8:$G$68,BJ$4-$B96+1)</f>
        <v/>
      </c>
      <c r="BK96" s="75">
        <f>$C96*INDEX(Curves!$G$8:$G$68,BK$4-$B96+1)</f>
        <v/>
      </c>
      <c r="BL96" s="75">
        <f>$C96*INDEX(Curves!$G$8:$G$68,BL$4-$B96+1)</f>
        <v/>
      </c>
    </row>
    <row r="97">
      <c r="A97" s="74" t="inlineStr">
        <is>
          <t>Cohort month 25</t>
        </is>
      </c>
      <c r="B97" s="74" t="n">
        <v>25</v>
      </c>
      <c r="C97" s="17">
        <f>INDEX(Ops!$E$9:$BL$9,1,$B97)</f>
        <v/>
      </c>
      <c r="AD97" s="75">
        <f>$C97*INDEX(Curves!$G$8:$G$68,AD$4-$B97+1)</f>
        <v/>
      </c>
      <c r="AE97" s="75">
        <f>$C97*INDEX(Curves!$G$8:$G$68,AE$4-$B97+1)</f>
        <v/>
      </c>
      <c r="AF97" s="75">
        <f>$C97*INDEX(Curves!$G$8:$G$68,AF$4-$B97+1)</f>
        <v/>
      </c>
      <c r="AG97" s="75">
        <f>$C97*INDEX(Curves!$G$8:$G$68,AG$4-$B97+1)</f>
        <v/>
      </c>
      <c r="AH97" s="75">
        <f>$C97*INDEX(Curves!$G$8:$G$68,AH$4-$B97+1)</f>
        <v/>
      </c>
      <c r="AI97" s="75">
        <f>$C97*INDEX(Curves!$G$8:$G$68,AI$4-$B97+1)</f>
        <v/>
      </c>
      <c r="AJ97" s="75">
        <f>$C97*INDEX(Curves!$G$8:$G$68,AJ$4-$B97+1)</f>
        <v/>
      </c>
      <c r="AK97" s="75">
        <f>$C97*INDEX(Curves!$G$8:$G$68,AK$4-$B97+1)</f>
        <v/>
      </c>
      <c r="AL97" s="75">
        <f>$C97*INDEX(Curves!$G$8:$G$68,AL$4-$B97+1)</f>
        <v/>
      </c>
      <c r="AM97" s="75">
        <f>$C97*INDEX(Curves!$G$8:$G$68,AM$4-$B97+1)</f>
        <v/>
      </c>
      <c r="AN97" s="75">
        <f>$C97*INDEX(Curves!$G$8:$G$68,AN$4-$B97+1)</f>
        <v/>
      </c>
      <c r="AO97" s="75">
        <f>$C97*INDEX(Curves!$G$8:$G$68,AO$4-$B97+1)</f>
        <v/>
      </c>
      <c r="AP97" s="75">
        <f>$C97*INDEX(Curves!$G$8:$G$68,AP$4-$B97+1)</f>
        <v/>
      </c>
      <c r="AQ97" s="75">
        <f>$C97*INDEX(Curves!$G$8:$G$68,AQ$4-$B97+1)</f>
        <v/>
      </c>
      <c r="AR97" s="75">
        <f>$C97*INDEX(Curves!$G$8:$G$68,AR$4-$B97+1)</f>
        <v/>
      </c>
      <c r="AS97" s="75">
        <f>$C97*INDEX(Curves!$G$8:$G$68,AS$4-$B97+1)</f>
        <v/>
      </c>
      <c r="AT97" s="75">
        <f>$C97*INDEX(Curves!$G$8:$G$68,AT$4-$B97+1)</f>
        <v/>
      </c>
      <c r="AU97" s="75">
        <f>$C97*INDEX(Curves!$G$8:$G$68,AU$4-$B97+1)</f>
        <v/>
      </c>
      <c r="AV97" s="75">
        <f>$C97*INDEX(Curves!$G$8:$G$68,AV$4-$B97+1)</f>
        <v/>
      </c>
      <c r="AW97" s="75">
        <f>$C97*INDEX(Curves!$G$8:$G$68,AW$4-$B97+1)</f>
        <v/>
      </c>
      <c r="AX97" s="75">
        <f>$C97*INDEX(Curves!$G$8:$G$68,AX$4-$B97+1)</f>
        <v/>
      </c>
      <c r="AY97" s="75">
        <f>$C97*INDEX(Curves!$G$8:$G$68,AY$4-$B97+1)</f>
        <v/>
      </c>
      <c r="AZ97" s="75">
        <f>$C97*INDEX(Curves!$G$8:$G$68,AZ$4-$B97+1)</f>
        <v/>
      </c>
      <c r="BA97" s="75">
        <f>$C97*INDEX(Curves!$G$8:$G$68,BA$4-$B97+1)</f>
        <v/>
      </c>
      <c r="BB97" s="75">
        <f>$C97*INDEX(Curves!$G$8:$G$68,BB$4-$B97+1)</f>
        <v/>
      </c>
      <c r="BC97" s="75">
        <f>$C97*INDEX(Curves!$G$8:$G$68,BC$4-$B97+1)</f>
        <v/>
      </c>
      <c r="BD97" s="75">
        <f>$C97*INDEX(Curves!$G$8:$G$68,BD$4-$B97+1)</f>
        <v/>
      </c>
      <c r="BE97" s="75">
        <f>$C97*INDEX(Curves!$G$8:$G$68,BE$4-$B97+1)</f>
        <v/>
      </c>
      <c r="BF97" s="75">
        <f>$C97*INDEX(Curves!$G$8:$G$68,BF$4-$B97+1)</f>
        <v/>
      </c>
      <c r="BG97" s="75">
        <f>$C97*INDEX(Curves!$G$8:$G$68,BG$4-$B97+1)</f>
        <v/>
      </c>
      <c r="BH97" s="75">
        <f>$C97*INDEX(Curves!$G$8:$G$68,BH$4-$B97+1)</f>
        <v/>
      </c>
      <c r="BI97" s="75">
        <f>$C97*INDEX(Curves!$G$8:$G$68,BI$4-$B97+1)</f>
        <v/>
      </c>
      <c r="BJ97" s="75">
        <f>$C97*INDEX(Curves!$G$8:$G$68,BJ$4-$B97+1)</f>
        <v/>
      </c>
      <c r="BK97" s="75">
        <f>$C97*INDEX(Curves!$G$8:$G$68,BK$4-$B97+1)</f>
        <v/>
      </c>
      <c r="BL97" s="75">
        <f>$C97*INDEX(Curves!$G$8:$G$68,BL$4-$B97+1)</f>
        <v/>
      </c>
    </row>
    <row r="98">
      <c r="A98" s="74" t="inlineStr">
        <is>
          <t>Cohort month 26</t>
        </is>
      </c>
      <c r="B98" s="74" t="n">
        <v>26</v>
      </c>
      <c r="C98" s="17">
        <f>INDEX(Ops!$E$9:$BL$9,1,$B98)</f>
        <v/>
      </c>
      <c r="AE98" s="75">
        <f>$C98*INDEX(Curves!$G$8:$G$68,AE$4-$B98+1)</f>
        <v/>
      </c>
      <c r="AF98" s="75">
        <f>$C98*INDEX(Curves!$G$8:$G$68,AF$4-$B98+1)</f>
        <v/>
      </c>
      <c r="AG98" s="75">
        <f>$C98*INDEX(Curves!$G$8:$G$68,AG$4-$B98+1)</f>
        <v/>
      </c>
      <c r="AH98" s="75">
        <f>$C98*INDEX(Curves!$G$8:$G$68,AH$4-$B98+1)</f>
        <v/>
      </c>
      <c r="AI98" s="75">
        <f>$C98*INDEX(Curves!$G$8:$G$68,AI$4-$B98+1)</f>
        <v/>
      </c>
      <c r="AJ98" s="75">
        <f>$C98*INDEX(Curves!$G$8:$G$68,AJ$4-$B98+1)</f>
        <v/>
      </c>
      <c r="AK98" s="75">
        <f>$C98*INDEX(Curves!$G$8:$G$68,AK$4-$B98+1)</f>
        <v/>
      </c>
      <c r="AL98" s="75">
        <f>$C98*INDEX(Curves!$G$8:$G$68,AL$4-$B98+1)</f>
        <v/>
      </c>
      <c r="AM98" s="75">
        <f>$C98*INDEX(Curves!$G$8:$G$68,AM$4-$B98+1)</f>
        <v/>
      </c>
      <c r="AN98" s="75">
        <f>$C98*INDEX(Curves!$G$8:$G$68,AN$4-$B98+1)</f>
        <v/>
      </c>
      <c r="AO98" s="75">
        <f>$C98*INDEX(Curves!$G$8:$G$68,AO$4-$B98+1)</f>
        <v/>
      </c>
      <c r="AP98" s="75">
        <f>$C98*INDEX(Curves!$G$8:$G$68,AP$4-$B98+1)</f>
        <v/>
      </c>
      <c r="AQ98" s="75">
        <f>$C98*INDEX(Curves!$G$8:$G$68,AQ$4-$B98+1)</f>
        <v/>
      </c>
      <c r="AR98" s="75">
        <f>$C98*INDEX(Curves!$G$8:$G$68,AR$4-$B98+1)</f>
        <v/>
      </c>
      <c r="AS98" s="75">
        <f>$C98*INDEX(Curves!$G$8:$G$68,AS$4-$B98+1)</f>
        <v/>
      </c>
      <c r="AT98" s="75">
        <f>$C98*INDEX(Curves!$G$8:$G$68,AT$4-$B98+1)</f>
        <v/>
      </c>
      <c r="AU98" s="75">
        <f>$C98*INDEX(Curves!$G$8:$G$68,AU$4-$B98+1)</f>
        <v/>
      </c>
      <c r="AV98" s="75">
        <f>$C98*INDEX(Curves!$G$8:$G$68,AV$4-$B98+1)</f>
        <v/>
      </c>
      <c r="AW98" s="75">
        <f>$C98*INDEX(Curves!$G$8:$G$68,AW$4-$B98+1)</f>
        <v/>
      </c>
      <c r="AX98" s="75">
        <f>$C98*INDEX(Curves!$G$8:$G$68,AX$4-$B98+1)</f>
        <v/>
      </c>
      <c r="AY98" s="75">
        <f>$C98*INDEX(Curves!$G$8:$G$68,AY$4-$B98+1)</f>
        <v/>
      </c>
      <c r="AZ98" s="75">
        <f>$C98*INDEX(Curves!$G$8:$G$68,AZ$4-$B98+1)</f>
        <v/>
      </c>
      <c r="BA98" s="75">
        <f>$C98*INDEX(Curves!$G$8:$G$68,BA$4-$B98+1)</f>
        <v/>
      </c>
      <c r="BB98" s="75">
        <f>$C98*INDEX(Curves!$G$8:$G$68,BB$4-$B98+1)</f>
        <v/>
      </c>
      <c r="BC98" s="75">
        <f>$C98*INDEX(Curves!$G$8:$G$68,BC$4-$B98+1)</f>
        <v/>
      </c>
      <c r="BD98" s="75">
        <f>$C98*INDEX(Curves!$G$8:$G$68,BD$4-$B98+1)</f>
        <v/>
      </c>
      <c r="BE98" s="75">
        <f>$C98*INDEX(Curves!$G$8:$G$68,BE$4-$B98+1)</f>
        <v/>
      </c>
      <c r="BF98" s="75">
        <f>$C98*INDEX(Curves!$G$8:$G$68,BF$4-$B98+1)</f>
        <v/>
      </c>
      <c r="BG98" s="75">
        <f>$C98*INDEX(Curves!$G$8:$G$68,BG$4-$B98+1)</f>
        <v/>
      </c>
      <c r="BH98" s="75">
        <f>$C98*INDEX(Curves!$G$8:$G$68,BH$4-$B98+1)</f>
        <v/>
      </c>
      <c r="BI98" s="75">
        <f>$C98*INDEX(Curves!$G$8:$G$68,BI$4-$B98+1)</f>
        <v/>
      </c>
      <c r="BJ98" s="75">
        <f>$C98*INDEX(Curves!$G$8:$G$68,BJ$4-$B98+1)</f>
        <v/>
      </c>
      <c r="BK98" s="75">
        <f>$C98*INDEX(Curves!$G$8:$G$68,BK$4-$B98+1)</f>
        <v/>
      </c>
      <c r="BL98" s="75">
        <f>$C98*INDEX(Curves!$G$8:$G$68,BL$4-$B98+1)</f>
        <v/>
      </c>
    </row>
    <row r="99">
      <c r="A99" s="74" t="inlineStr">
        <is>
          <t>Cohort month 27</t>
        </is>
      </c>
      <c r="B99" s="74" t="n">
        <v>27</v>
      </c>
      <c r="C99" s="17">
        <f>INDEX(Ops!$E$9:$BL$9,1,$B99)</f>
        <v/>
      </c>
      <c r="AF99" s="75">
        <f>$C99*INDEX(Curves!$G$8:$G$68,AF$4-$B99+1)</f>
        <v/>
      </c>
      <c r="AG99" s="75">
        <f>$C99*INDEX(Curves!$G$8:$G$68,AG$4-$B99+1)</f>
        <v/>
      </c>
      <c r="AH99" s="75">
        <f>$C99*INDEX(Curves!$G$8:$G$68,AH$4-$B99+1)</f>
        <v/>
      </c>
      <c r="AI99" s="75">
        <f>$C99*INDEX(Curves!$G$8:$G$68,AI$4-$B99+1)</f>
        <v/>
      </c>
      <c r="AJ99" s="75">
        <f>$C99*INDEX(Curves!$G$8:$G$68,AJ$4-$B99+1)</f>
        <v/>
      </c>
      <c r="AK99" s="75">
        <f>$C99*INDEX(Curves!$G$8:$G$68,AK$4-$B99+1)</f>
        <v/>
      </c>
      <c r="AL99" s="75">
        <f>$C99*INDEX(Curves!$G$8:$G$68,AL$4-$B99+1)</f>
        <v/>
      </c>
      <c r="AM99" s="75">
        <f>$C99*INDEX(Curves!$G$8:$G$68,AM$4-$B99+1)</f>
        <v/>
      </c>
      <c r="AN99" s="75">
        <f>$C99*INDEX(Curves!$G$8:$G$68,AN$4-$B99+1)</f>
        <v/>
      </c>
      <c r="AO99" s="75">
        <f>$C99*INDEX(Curves!$G$8:$G$68,AO$4-$B99+1)</f>
        <v/>
      </c>
      <c r="AP99" s="75">
        <f>$C99*INDEX(Curves!$G$8:$G$68,AP$4-$B99+1)</f>
        <v/>
      </c>
      <c r="AQ99" s="75">
        <f>$C99*INDEX(Curves!$G$8:$G$68,AQ$4-$B99+1)</f>
        <v/>
      </c>
      <c r="AR99" s="75">
        <f>$C99*INDEX(Curves!$G$8:$G$68,AR$4-$B99+1)</f>
        <v/>
      </c>
      <c r="AS99" s="75">
        <f>$C99*INDEX(Curves!$G$8:$G$68,AS$4-$B99+1)</f>
        <v/>
      </c>
      <c r="AT99" s="75">
        <f>$C99*INDEX(Curves!$G$8:$G$68,AT$4-$B99+1)</f>
        <v/>
      </c>
      <c r="AU99" s="75">
        <f>$C99*INDEX(Curves!$G$8:$G$68,AU$4-$B99+1)</f>
        <v/>
      </c>
      <c r="AV99" s="75">
        <f>$C99*INDEX(Curves!$G$8:$G$68,AV$4-$B99+1)</f>
        <v/>
      </c>
      <c r="AW99" s="75">
        <f>$C99*INDEX(Curves!$G$8:$G$68,AW$4-$B99+1)</f>
        <v/>
      </c>
      <c r="AX99" s="75">
        <f>$C99*INDEX(Curves!$G$8:$G$68,AX$4-$B99+1)</f>
        <v/>
      </c>
      <c r="AY99" s="75">
        <f>$C99*INDEX(Curves!$G$8:$G$68,AY$4-$B99+1)</f>
        <v/>
      </c>
      <c r="AZ99" s="75">
        <f>$C99*INDEX(Curves!$G$8:$G$68,AZ$4-$B99+1)</f>
        <v/>
      </c>
      <c r="BA99" s="75">
        <f>$C99*INDEX(Curves!$G$8:$G$68,BA$4-$B99+1)</f>
        <v/>
      </c>
      <c r="BB99" s="75">
        <f>$C99*INDEX(Curves!$G$8:$G$68,BB$4-$B99+1)</f>
        <v/>
      </c>
      <c r="BC99" s="75">
        <f>$C99*INDEX(Curves!$G$8:$G$68,BC$4-$B99+1)</f>
        <v/>
      </c>
      <c r="BD99" s="75">
        <f>$C99*INDEX(Curves!$G$8:$G$68,BD$4-$B99+1)</f>
        <v/>
      </c>
      <c r="BE99" s="75">
        <f>$C99*INDEX(Curves!$G$8:$G$68,BE$4-$B99+1)</f>
        <v/>
      </c>
      <c r="BF99" s="75">
        <f>$C99*INDEX(Curves!$G$8:$G$68,BF$4-$B99+1)</f>
        <v/>
      </c>
      <c r="BG99" s="75">
        <f>$C99*INDEX(Curves!$G$8:$G$68,BG$4-$B99+1)</f>
        <v/>
      </c>
      <c r="BH99" s="75">
        <f>$C99*INDEX(Curves!$G$8:$G$68,BH$4-$B99+1)</f>
        <v/>
      </c>
      <c r="BI99" s="75">
        <f>$C99*INDEX(Curves!$G$8:$G$68,BI$4-$B99+1)</f>
        <v/>
      </c>
      <c r="BJ99" s="75">
        <f>$C99*INDEX(Curves!$G$8:$G$68,BJ$4-$B99+1)</f>
        <v/>
      </c>
      <c r="BK99" s="75">
        <f>$C99*INDEX(Curves!$G$8:$G$68,BK$4-$B99+1)</f>
        <v/>
      </c>
      <c r="BL99" s="75">
        <f>$C99*INDEX(Curves!$G$8:$G$68,BL$4-$B99+1)</f>
        <v/>
      </c>
    </row>
    <row r="100">
      <c r="A100" s="74" t="inlineStr">
        <is>
          <t>Cohort month 28</t>
        </is>
      </c>
      <c r="B100" s="74" t="n">
        <v>28</v>
      </c>
      <c r="C100" s="17">
        <f>INDEX(Ops!$E$9:$BL$9,1,$B100)</f>
        <v/>
      </c>
      <c r="AG100" s="75">
        <f>$C100*INDEX(Curves!$G$8:$G$68,AG$4-$B100+1)</f>
        <v/>
      </c>
      <c r="AH100" s="75">
        <f>$C100*INDEX(Curves!$G$8:$G$68,AH$4-$B100+1)</f>
        <v/>
      </c>
      <c r="AI100" s="75">
        <f>$C100*INDEX(Curves!$G$8:$G$68,AI$4-$B100+1)</f>
        <v/>
      </c>
      <c r="AJ100" s="75">
        <f>$C100*INDEX(Curves!$G$8:$G$68,AJ$4-$B100+1)</f>
        <v/>
      </c>
      <c r="AK100" s="75">
        <f>$C100*INDEX(Curves!$G$8:$G$68,AK$4-$B100+1)</f>
        <v/>
      </c>
      <c r="AL100" s="75">
        <f>$C100*INDEX(Curves!$G$8:$G$68,AL$4-$B100+1)</f>
        <v/>
      </c>
      <c r="AM100" s="75">
        <f>$C100*INDEX(Curves!$G$8:$G$68,AM$4-$B100+1)</f>
        <v/>
      </c>
      <c r="AN100" s="75">
        <f>$C100*INDEX(Curves!$G$8:$G$68,AN$4-$B100+1)</f>
        <v/>
      </c>
      <c r="AO100" s="75">
        <f>$C100*INDEX(Curves!$G$8:$G$68,AO$4-$B100+1)</f>
        <v/>
      </c>
      <c r="AP100" s="75">
        <f>$C100*INDEX(Curves!$G$8:$G$68,AP$4-$B100+1)</f>
        <v/>
      </c>
      <c r="AQ100" s="75">
        <f>$C100*INDEX(Curves!$G$8:$G$68,AQ$4-$B100+1)</f>
        <v/>
      </c>
      <c r="AR100" s="75">
        <f>$C100*INDEX(Curves!$G$8:$G$68,AR$4-$B100+1)</f>
        <v/>
      </c>
      <c r="AS100" s="75">
        <f>$C100*INDEX(Curves!$G$8:$G$68,AS$4-$B100+1)</f>
        <v/>
      </c>
      <c r="AT100" s="75">
        <f>$C100*INDEX(Curves!$G$8:$G$68,AT$4-$B100+1)</f>
        <v/>
      </c>
      <c r="AU100" s="75">
        <f>$C100*INDEX(Curves!$G$8:$G$68,AU$4-$B100+1)</f>
        <v/>
      </c>
      <c r="AV100" s="75">
        <f>$C100*INDEX(Curves!$G$8:$G$68,AV$4-$B100+1)</f>
        <v/>
      </c>
      <c r="AW100" s="75">
        <f>$C100*INDEX(Curves!$G$8:$G$68,AW$4-$B100+1)</f>
        <v/>
      </c>
      <c r="AX100" s="75">
        <f>$C100*INDEX(Curves!$G$8:$G$68,AX$4-$B100+1)</f>
        <v/>
      </c>
      <c r="AY100" s="75">
        <f>$C100*INDEX(Curves!$G$8:$G$68,AY$4-$B100+1)</f>
        <v/>
      </c>
      <c r="AZ100" s="75">
        <f>$C100*INDEX(Curves!$G$8:$G$68,AZ$4-$B100+1)</f>
        <v/>
      </c>
      <c r="BA100" s="75">
        <f>$C100*INDEX(Curves!$G$8:$G$68,BA$4-$B100+1)</f>
        <v/>
      </c>
      <c r="BB100" s="75">
        <f>$C100*INDEX(Curves!$G$8:$G$68,BB$4-$B100+1)</f>
        <v/>
      </c>
      <c r="BC100" s="75">
        <f>$C100*INDEX(Curves!$G$8:$G$68,BC$4-$B100+1)</f>
        <v/>
      </c>
      <c r="BD100" s="75">
        <f>$C100*INDEX(Curves!$G$8:$G$68,BD$4-$B100+1)</f>
        <v/>
      </c>
      <c r="BE100" s="75">
        <f>$C100*INDEX(Curves!$G$8:$G$68,BE$4-$B100+1)</f>
        <v/>
      </c>
      <c r="BF100" s="75">
        <f>$C100*INDEX(Curves!$G$8:$G$68,BF$4-$B100+1)</f>
        <v/>
      </c>
      <c r="BG100" s="75">
        <f>$C100*INDEX(Curves!$G$8:$G$68,BG$4-$B100+1)</f>
        <v/>
      </c>
      <c r="BH100" s="75">
        <f>$C100*INDEX(Curves!$G$8:$G$68,BH$4-$B100+1)</f>
        <v/>
      </c>
      <c r="BI100" s="75">
        <f>$C100*INDEX(Curves!$G$8:$G$68,BI$4-$B100+1)</f>
        <v/>
      </c>
      <c r="BJ100" s="75">
        <f>$C100*INDEX(Curves!$G$8:$G$68,BJ$4-$B100+1)</f>
        <v/>
      </c>
      <c r="BK100" s="75">
        <f>$C100*INDEX(Curves!$G$8:$G$68,BK$4-$B100+1)</f>
        <v/>
      </c>
      <c r="BL100" s="75">
        <f>$C100*INDEX(Curves!$G$8:$G$68,BL$4-$B100+1)</f>
        <v/>
      </c>
    </row>
    <row r="101">
      <c r="A101" s="74" t="inlineStr">
        <is>
          <t>Cohort month 29</t>
        </is>
      </c>
      <c r="B101" s="74" t="n">
        <v>29</v>
      </c>
      <c r="C101" s="17">
        <f>INDEX(Ops!$E$9:$BL$9,1,$B101)</f>
        <v/>
      </c>
      <c r="AH101" s="75">
        <f>$C101*INDEX(Curves!$G$8:$G$68,AH$4-$B101+1)</f>
        <v/>
      </c>
      <c r="AI101" s="75">
        <f>$C101*INDEX(Curves!$G$8:$G$68,AI$4-$B101+1)</f>
        <v/>
      </c>
      <c r="AJ101" s="75">
        <f>$C101*INDEX(Curves!$G$8:$G$68,AJ$4-$B101+1)</f>
        <v/>
      </c>
      <c r="AK101" s="75">
        <f>$C101*INDEX(Curves!$G$8:$G$68,AK$4-$B101+1)</f>
        <v/>
      </c>
      <c r="AL101" s="75">
        <f>$C101*INDEX(Curves!$G$8:$G$68,AL$4-$B101+1)</f>
        <v/>
      </c>
      <c r="AM101" s="75">
        <f>$C101*INDEX(Curves!$G$8:$G$68,AM$4-$B101+1)</f>
        <v/>
      </c>
      <c r="AN101" s="75">
        <f>$C101*INDEX(Curves!$G$8:$G$68,AN$4-$B101+1)</f>
        <v/>
      </c>
      <c r="AO101" s="75">
        <f>$C101*INDEX(Curves!$G$8:$G$68,AO$4-$B101+1)</f>
        <v/>
      </c>
      <c r="AP101" s="75">
        <f>$C101*INDEX(Curves!$G$8:$G$68,AP$4-$B101+1)</f>
        <v/>
      </c>
      <c r="AQ101" s="75">
        <f>$C101*INDEX(Curves!$G$8:$G$68,AQ$4-$B101+1)</f>
        <v/>
      </c>
      <c r="AR101" s="75">
        <f>$C101*INDEX(Curves!$G$8:$G$68,AR$4-$B101+1)</f>
        <v/>
      </c>
      <c r="AS101" s="75">
        <f>$C101*INDEX(Curves!$G$8:$G$68,AS$4-$B101+1)</f>
        <v/>
      </c>
      <c r="AT101" s="75">
        <f>$C101*INDEX(Curves!$G$8:$G$68,AT$4-$B101+1)</f>
        <v/>
      </c>
      <c r="AU101" s="75">
        <f>$C101*INDEX(Curves!$G$8:$G$68,AU$4-$B101+1)</f>
        <v/>
      </c>
      <c r="AV101" s="75">
        <f>$C101*INDEX(Curves!$G$8:$G$68,AV$4-$B101+1)</f>
        <v/>
      </c>
      <c r="AW101" s="75">
        <f>$C101*INDEX(Curves!$G$8:$G$68,AW$4-$B101+1)</f>
        <v/>
      </c>
      <c r="AX101" s="75">
        <f>$C101*INDEX(Curves!$G$8:$G$68,AX$4-$B101+1)</f>
        <v/>
      </c>
      <c r="AY101" s="75">
        <f>$C101*INDEX(Curves!$G$8:$G$68,AY$4-$B101+1)</f>
        <v/>
      </c>
      <c r="AZ101" s="75">
        <f>$C101*INDEX(Curves!$G$8:$G$68,AZ$4-$B101+1)</f>
        <v/>
      </c>
      <c r="BA101" s="75">
        <f>$C101*INDEX(Curves!$G$8:$G$68,BA$4-$B101+1)</f>
        <v/>
      </c>
      <c r="BB101" s="75">
        <f>$C101*INDEX(Curves!$G$8:$G$68,BB$4-$B101+1)</f>
        <v/>
      </c>
      <c r="BC101" s="75">
        <f>$C101*INDEX(Curves!$G$8:$G$68,BC$4-$B101+1)</f>
        <v/>
      </c>
      <c r="BD101" s="75">
        <f>$C101*INDEX(Curves!$G$8:$G$68,BD$4-$B101+1)</f>
        <v/>
      </c>
      <c r="BE101" s="75">
        <f>$C101*INDEX(Curves!$G$8:$G$68,BE$4-$B101+1)</f>
        <v/>
      </c>
      <c r="BF101" s="75">
        <f>$C101*INDEX(Curves!$G$8:$G$68,BF$4-$B101+1)</f>
        <v/>
      </c>
      <c r="BG101" s="75">
        <f>$C101*INDEX(Curves!$G$8:$G$68,BG$4-$B101+1)</f>
        <v/>
      </c>
      <c r="BH101" s="75">
        <f>$C101*INDEX(Curves!$G$8:$G$68,BH$4-$B101+1)</f>
        <v/>
      </c>
      <c r="BI101" s="75">
        <f>$C101*INDEX(Curves!$G$8:$G$68,BI$4-$B101+1)</f>
        <v/>
      </c>
      <c r="BJ101" s="75">
        <f>$C101*INDEX(Curves!$G$8:$G$68,BJ$4-$B101+1)</f>
        <v/>
      </c>
      <c r="BK101" s="75">
        <f>$C101*INDEX(Curves!$G$8:$G$68,BK$4-$B101+1)</f>
        <v/>
      </c>
      <c r="BL101" s="75">
        <f>$C101*INDEX(Curves!$G$8:$G$68,BL$4-$B101+1)</f>
        <v/>
      </c>
    </row>
    <row r="102">
      <c r="A102" s="74" t="inlineStr">
        <is>
          <t>Cohort month 30</t>
        </is>
      </c>
      <c r="B102" s="74" t="n">
        <v>30</v>
      </c>
      <c r="C102" s="17">
        <f>INDEX(Ops!$E$9:$BL$9,1,$B102)</f>
        <v/>
      </c>
      <c r="AI102" s="75">
        <f>$C102*INDEX(Curves!$G$8:$G$68,AI$4-$B102+1)</f>
        <v/>
      </c>
      <c r="AJ102" s="75">
        <f>$C102*INDEX(Curves!$G$8:$G$68,AJ$4-$B102+1)</f>
        <v/>
      </c>
      <c r="AK102" s="75">
        <f>$C102*INDEX(Curves!$G$8:$G$68,AK$4-$B102+1)</f>
        <v/>
      </c>
      <c r="AL102" s="75">
        <f>$C102*INDEX(Curves!$G$8:$G$68,AL$4-$B102+1)</f>
        <v/>
      </c>
      <c r="AM102" s="75">
        <f>$C102*INDEX(Curves!$G$8:$G$68,AM$4-$B102+1)</f>
        <v/>
      </c>
      <c r="AN102" s="75">
        <f>$C102*INDEX(Curves!$G$8:$G$68,AN$4-$B102+1)</f>
        <v/>
      </c>
      <c r="AO102" s="75">
        <f>$C102*INDEX(Curves!$G$8:$G$68,AO$4-$B102+1)</f>
        <v/>
      </c>
      <c r="AP102" s="75">
        <f>$C102*INDEX(Curves!$G$8:$G$68,AP$4-$B102+1)</f>
        <v/>
      </c>
      <c r="AQ102" s="75">
        <f>$C102*INDEX(Curves!$G$8:$G$68,AQ$4-$B102+1)</f>
        <v/>
      </c>
      <c r="AR102" s="75">
        <f>$C102*INDEX(Curves!$G$8:$G$68,AR$4-$B102+1)</f>
        <v/>
      </c>
      <c r="AS102" s="75">
        <f>$C102*INDEX(Curves!$G$8:$G$68,AS$4-$B102+1)</f>
        <v/>
      </c>
      <c r="AT102" s="75">
        <f>$C102*INDEX(Curves!$G$8:$G$68,AT$4-$B102+1)</f>
        <v/>
      </c>
      <c r="AU102" s="75">
        <f>$C102*INDEX(Curves!$G$8:$G$68,AU$4-$B102+1)</f>
        <v/>
      </c>
      <c r="AV102" s="75">
        <f>$C102*INDEX(Curves!$G$8:$G$68,AV$4-$B102+1)</f>
        <v/>
      </c>
      <c r="AW102" s="75">
        <f>$C102*INDEX(Curves!$G$8:$G$68,AW$4-$B102+1)</f>
        <v/>
      </c>
      <c r="AX102" s="75">
        <f>$C102*INDEX(Curves!$G$8:$G$68,AX$4-$B102+1)</f>
        <v/>
      </c>
      <c r="AY102" s="75">
        <f>$C102*INDEX(Curves!$G$8:$G$68,AY$4-$B102+1)</f>
        <v/>
      </c>
      <c r="AZ102" s="75">
        <f>$C102*INDEX(Curves!$G$8:$G$68,AZ$4-$B102+1)</f>
        <v/>
      </c>
      <c r="BA102" s="75">
        <f>$C102*INDEX(Curves!$G$8:$G$68,BA$4-$B102+1)</f>
        <v/>
      </c>
      <c r="BB102" s="75">
        <f>$C102*INDEX(Curves!$G$8:$G$68,BB$4-$B102+1)</f>
        <v/>
      </c>
      <c r="BC102" s="75">
        <f>$C102*INDEX(Curves!$G$8:$G$68,BC$4-$B102+1)</f>
        <v/>
      </c>
      <c r="BD102" s="75">
        <f>$C102*INDEX(Curves!$G$8:$G$68,BD$4-$B102+1)</f>
        <v/>
      </c>
      <c r="BE102" s="75">
        <f>$C102*INDEX(Curves!$G$8:$G$68,BE$4-$B102+1)</f>
        <v/>
      </c>
      <c r="BF102" s="75">
        <f>$C102*INDEX(Curves!$G$8:$G$68,BF$4-$B102+1)</f>
        <v/>
      </c>
      <c r="BG102" s="75">
        <f>$C102*INDEX(Curves!$G$8:$G$68,BG$4-$B102+1)</f>
        <v/>
      </c>
      <c r="BH102" s="75">
        <f>$C102*INDEX(Curves!$G$8:$G$68,BH$4-$B102+1)</f>
        <v/>
      </c>
      <c r="BI102" s="75">
        <f>$C102*INDEX(Curves!$G$8:$G$68,BI$4-$B102+1)</f>
        <v/>
      </c>
      <c r="BJ102" s="75">
        <f>$C102*INDEX(Curves!$G$8:$G$68,BJ$4-$B102+1)</f>
        <v/>
      </c>
      <c r="BK102" s="75">
        <f>$C102*INDEX(Curves!$G$8:$G$68,BK$4-$B102+1)</f>
        <v/>
      </c>
      <c r="BL102" s="75">
        <f>$C102*INDEX(Curves!$G$8:$G$68,BL$4-$B102+1)</f>
        <v/>
      </c>
    </row>
    <row r="103">
      <c r="A103" s="74" t="inlineStr">
        <is>
          <t>Cohort month 31</t>
        </is>
      </c>
      <c r="B103" s="74" t="n">
        <v>31</v>
      </c>
      <c r="C103" s="17">
        <f>INDEX(Ops!$E$9:$BL$9,1,$B103)</f>
        <v/>
      </c>
      <c r="AJ103" s="75">
        <f>$C103*INDEX(Curves!$G$8:$G$68,AJ$4-$B103+1)</f>
        <v/>
      </c>
      <c r="AK103" s="75">
        <f>$C103*INDEX(Curves!$G$8:$G$68,AK$4-$B103+1)</f>
        <v/>
      </c>
      <c r="AL103" s="75">
        <f>$C103*INDEX(Curves!$G$8:$G$68,AL$4-$B103+1)</f>
        <v/>
      </c>
      <c r="AM103" s="75">
        <f>$C103*INDEX(Curves!$G$8:$G$68,AM$4-$B103+1)</f>
        <v/>
      </c>
      <c r="AN103" s="75">
        <f>$C103*INDEX(Curves!$G$8:$G$68,AN$4-$B103+1)</f>
        <v/>
      </c>
      <c r="AO103" s="75">
        <f>$C103*INDEX(Curves!$G$8:$G$68,AO$4-$B103+1)</f>
        <v/>
      </c>
      <c r="AP103" s="75">
        <f>$C103*INDEX(Curves!$G$8:$G$68,AP$4-$B103+1)</f>
        <v/>
      </c>
      <c r="AQ103" s="75">
        <f>$C103*INDEX(Curves!$G$8:$G$68,AQ$4-$B103+1)</f>
        <v/>
      </c>
      <c r="AR103" s="75">
        <f>$C103*INDEX(Curves!$G$8:$G$68,AR$4-$B103+1)</f>
        <v/>
      </c>
      <c r="AS103" s="75">
        <f>$C103*INDEX(Curves!$G$8:$G$68,AS$4-$B103+1)</f>
        <v/>
      </c>
      <c r="AT103" s="75">
        <f>$C103*INDEX(Curves!$G$8:$G$68,AT$4-$B103+1)</f>
        <v/>
      </c>
      <c r="AU103" s="75">
        <f>$C103*INDEX(Curves!$G$8:$G$68,AU$4-$B103+1)</f>
        <v/>
      </c>
      <c r="AV103" s="75">
        <f>$C103*INDEX(Curves!$G$8:$G$68,AV$4-$B103+1)</f>
        <v/>
      </c>
      <c r="AW103" s="75">
        <f>$C103*INDEX(Curves!$G$8:$G$68,AW$4-$B103+1)</f>
        <v/>
      </c>
      <c r="AX103" s="75">
        <f>$C103*INDEX(Curves!$G$8:$G$68,AX$4-$B103+1)</f>
        <v/>
      </c>
      <c r="AY103" s="75">
        <f>$C103*INDEX(Curves!$G$8:$G$68,AY$4-$B103+1)</f>
        <v/>
      </c>
      <c r="AZ103" s="75">
        <f>$C103*INDEX(Curves!$G$8:$G$68,AZ$4-$B103+1)</f>
        <v/>
      </c>
      <c r="BA103" s="75">
        <f>$C103*INDEX(Curves!$G$8:$G$68,BA$4-$B103+1)</f>
        <v/>
      </c>
      <c r="BB103" s="75">
        <f>$C103*INDEX(Curves!$G$8:$G$68,BB$4-$B103+1)</f>
        <v/>
      </c>
      <c r="BC103" s="75">
        <f>$C103*INDEX(Curves!$G$8:$G$68,BC$4-$B103+1)</f>
        <v/>
      </c>
      <c r="BD103" s="75">
        <f>$C103*INDEX(Curves!$G$8:$G$68,BD$4-$B103+1)</f>
        <v/>
      </c>
      <c r="BE103" s="75">
        <f>$C103*INDEX(Curves!$G$8:$G$68,BE$4-$B103+1)</f>
        <v/>
      </c>
      <c r="BF103" s="75">
        <f>$C103*INDEX(Curves!$G$8:$G$68,BF$4-$B103+1)</f>
        <v/>
      </c>
      <c r="BG103" s="75">
        <f>$C103*INDEX(Curves!$G$8:$G$68,BG$4-$B103+1)</f>
        <v/>
      </c>
      <c r="BH103" s="75">
        <f>$C103*INDEX(Curves!$G$8:$G$68,BH$4-$B103+1)</f>
        <v/>
      </c>
      <c r="BI103" s="75">
        <f>$C103*INDEX(Curves!$G$8:$G$68,BI$4-$B103+1)</f>
        <v/>
      </c>
      <c r="BJ103" s="75">
        <f>$C103*INDEX(Curves!$G$8:$G$68,BJ$4-$B103+1)</f>
        <v/>
      </c>
      <c r="BK103" s="75">
        <f>$C103*INDEX(Curves!$G$8:$G$68,BK$4-$B103+1)</f>
        <v/>
      </c>
      <c r="BL103" s="75">
        <f>$C103*INDEX(Curves!$G$8:$G$68,BL$4-$B103+1)</f>
        <v/>
      </c>
    </row>
    <row r="104">
      <c r="A104" s="74" t="inlineStr">
        <is>
          <t>Cohort month 32</t>
        </is>
      </c>
      <c r="B104" s="74" t="n">
        <v>32</v>
      </c>
      <c r="C104" s="17">
        <f>INDEX(Ops!$E$9:$BL$9,1,$B104)</f>
        <v/>
      </c>
      <c r="AK104" s="75">
        <f>$C104*INDEX(Curves!$G$8:$G$68,AK$4-$B104+1)</f>
        <v/>
      </c>
      <c r="AL104" s="75">
        <f>$C104*INDEX(Curves!$G$8:$G$68,AL$4-$B104+1)</f>
        <v/>
      </c>
      <c r="AM104" s="75">
        <f>$C104*INDEX(Curves!$G$8:$G$68,AM$4-$B104+1)</f>
        <v/>
      </c>
      <c r="AN104" s="75">
        <f>$C104*INDEX(Curves!$G$8:$G$68,AN$4-$B104+1)</f>
        <v/>
      </c>
      <c r="AO104" s="75">
        <f>$C104*INDEX(Curves!$G$8:$G$68,AO$4-$B104+1)</f>
        <v/>
      </c>
      <c r="AP104" s="75">
        <f>$C104*INDEX(Curves!$G$8:$G$68,AP$4-$B104+1)</f>
        <v/>
      </c>
      <c r="AQ104" s="75">
        <f>$C104*INDEX(Curves!$G$8:$G$68,AQ$4-$B104+1)</f>
        <v/>
      </c>
      <c r="AR104" s="75">
        <f>$C104*INDEX(Curves!$G$8:$G$68,AR$4-$B104+1)</f>
        <v/>
      </c>
      <c r="AS104" s="75">
        <f>$C104*INDEX(Curves!$G$8:$G$68,AS$4-$B104+1)</f>
        <v/>
      </c>
      <c r="AT104" s="75">
        <f>$C104*INDEX(Curves!$G$8:$G$68,AT$4-$B104+1)</f>
        <v/>
      </c>
      <c r="AU104" s="75">
        <f>$C104*INDEX(Curves!$G$8:$G$68,AU$4-$B104+1)</f>
        <v/>
      </c>
      <c r="AV104" s="75">
        <f>$C104*INDEX(Curves!$G$8:$G$68,AV$4-$B104+1)</f>
        <v/>
      </c>
      <c r="AW104" s="75">
        <f>$C104*INDEX(Curves!$G$8:$G$68,AW$4-$B104+1)</f>
        <v/>
      </c>
      <c r="AX104" s="75">
        <f>$C104*INDEX(Curves!$G$8:$G$68,AX$4-$B104+1)</f>
        <v/>
      </c>
      <c r="AY104" s="75">
        <f>$C104*INDEX(Curves!$G$8:$G$68,AY$4-$B104+1)</f>
        <v/>
      </c>
      <c r="AZ104" s="75">
        <f>$C104*INDEX(Curves!$G$8:$G$68,AZ$4-$B104+1)</f>
        <v/>
      </c>
      <c r="BA104" s="75">
        <f>$C104*INDEX(Curves!$G$8:$G$68,BA$4-$B104+1)</f>
        <v/>
      </c>
      <c r="BB104" s="75">
        <f>$C104*INDEX(Curves!$G$8:$G$68,BB$4-$B104+1)</f>
        <v/>
      </c>
      <c r="BC104" s="75">
        <f>$C104*INDEX(Curves!$G$8:$G$68,BC$4-$B104+1)</f>
        <v/>
      </c>
      <c r="BD104" s="75">
        <f>$C104*INDEX(Curves!$G$8:$G$68,BD$4-$B104+1)</f>
        <v/>
      </c>
      <c r="BE104" s="75">
        <f>$C104*INDEX(Curves!$G$8:$G$68,BE$4-$B104+1)</f>
        <v/>
      </c>
      <c r="BF104" s="75">
        <f>$C104*INDEX(Curves!$G$8:$G$68,BF$4-$B104+1)</f>
        <v/>
      </c>
      <c r="BG104" s="75">
        <f>$C104*INDEX(Curves!$G$8:$G$68,BG$4-$B104+1)</f>
        <v/>
      </c>
      <c r="BH104" s="75">
        <f>$C104*INDEX(Curves!$G$8:$G$68,BH$4-$B104+1)</f>
        <v/>
      </c>
      <c r="BI104" s="75">
        <f>$C104*INDEX(Curves!$G$8:$G$68,BI$4-$B104+1)</f>
        <v/>
      </c>
      <c r="BJ104" s="75">
        <f>$C104*INDEX(Curves!$G$8:$G$68,BJ$4-$B104+1)</f>
        <v/>
      </c>
      <c r="BK104" s="75">
        <f>$C104*INDEX(Curves!$G$8:$G$68,BK$4-$B104+1)</f>
        <v/>
      </c>
      <c r="BL104" s="75">
        <f>$C104*INDEX(Curves!$G$8:$G$68,BL$4-$B104+1)</f>
        <v/>
      </c>
    </row>
    <row r="105">
      <c r="A105" s="74" t="inlineStr">
        <is>
          <t>Cohort month 33</t>
        </is>
      </c>
      <c r="B105" s="74" t="n">
        <v>33</v>
      </c>
      <c r="C105" s="17">
        <f>INDEX(Ops!$E$9:$BL$9,1,$B105)</f>
        <v/>
      </c>
      <c r="AL105" s="75">
        <f>$C105*INDEX(Curves!$G$8:$G$68,AL$4-$B105+1)</f>
        <v/>
      </c>
      <c r="AM105" s="75">
        <f>$C105*INDEX(Curves!$G$8:$G$68,AM$4-$B105+1)</f>
        <v/>
      </c>
      <c r="AN105" s="75">
        <f>$C105*INDEX(Curves!$G$8:$G$68,AN$4-$B105+1)</f>
        <v/>
      </c>
      <c r="AO105" s="75">
        <f>$C105*INDEX(Curves!$G$8:$G$68,AO$4-$B105+1)</f>
        <v/>
      </c>
      <c r="AP105" s="75">
        <f>$C105*INDEX(Curves!$G$8:$G$68,AP$4-$B105+1)</f>
        <v/>
      </c>
      <c r="AQ105" s="75">
        <f>$C105*INDEX(Curves!$G$8:$G$68,AQ$4-$B105+1)</f>
        <v/>
      </c>
      <c r="AR105" s="75">
        <f>$C105*INDEX(Curves!$G$8:$G$68,AR$4-$B105+1)</f>
        <v/>
      </c>
      <c r="AS105" s="75">
        <f>$C105*INDEX(Curves!$G$8:$G$68,AS$4-$B105+1)</f>
        <v/>
      </c>
      <c r="AT105" s="75">
        <f>$C105*INDEX(Curves!$G$8:$G$68,AT$4-$B105+1)</f>
        <v/>
      </c>
      <c r="AU105" s="75">
        <f>$C105*INDEX(Curves!$G$8:$G$68,AU$4-$B105+1)</f>
        <v/>
      </c>
      <c r="AV105" s="75">
        <f>$C105*INDEX(Curves!$G$8:$G$68,AV$4-$B105+1)</f>
        <v/>
      </c>
      <c r="AW105" s="75">
        <f>$C105*INDEX(Curves!$G$8:$G$68,AW$4-$B105+1)</f>
        <v/>
      </c>
      <c r="AX105" s="75">
        <f>$C105*INDEX(Curves!$G$8:$G$68,AX$4-$B105+1)</f>
        <v/>
      </c>
      <c r="AY105" s="75">
        <f>$C105*INDEX(Curves!$G$8:$G$68,AY$4-$B105+1)</f>
        <v/>
      </c>
      <c r="AZ105" s="75">
        <f>$C105*INDEX(Curves!$G$8:$G$68,AZ$4-$B105+1)</f>
        <v/>
      </c>
      <c r="BA105" s="75">
        <f>$C105*INDEX(Curves!$G$8:$G$68,BA$4-$B105+1)</f>
        <v/>
      </c>
      <c r="BB105" s="75">
        <f>$C105*INDEX(Curves!$G$8:$G$68,BB$4-$B105+1)</f>
        <v/>
      </c>
      <c r="BC105" s="75">
        <f>$C105*INDEX(Curves!$G$8:$G$68,BC$4-$B105+1)</f>
        <v/>
      </c>
      <c r="BD105" s="75">
        <f>$C105*INDEX(Curves!$G$8:$G$68,BD$4-$B105+1)</f>
        <v/>
      </c>
      <c r="BE105" s="75">
        <f>$C105*INDEX(Curves!$G$8:$G$68,BE$4-$B105+1)</f>
        <v/>
      </c>
      <c r="BF105" s="75">
        <f>$C105*INDEX(Curves!$G$8:$G$68,BF$4-$B105+1)</f>
        <v/>
      </c>
      <c r="BG105" s="75">
        <f>$C105*INDEX(Curves!$G$8:$G$68,BG$4-$B105+1)</f>
        <v/>
      </c>
      <c r="BH105" s="75">
        <f>$C105*INDEX(Curves!$G$8:$G$68,BH$4-$B105+1)</f>
        <v/>
      </c>
      <c r="BI105" s="75">
        <f>$C105*INDEX(Curves!$G$8:$G$68,BI$4-$B105+1)</f>
        <v/>
      </c>
      <c r="BJ105" s="75">
        <f>$C105*INDEX(Curves!$G$8:$G$68,BJ$4-$B105+1)</f>
        <v/>
      </c>
      <c r="BK105" s="75">
        <f>$C105*INDEX(Curves!$G$8:$G$68,BK$4-$B105+1)</f>
        <v/>
      </c>
      <c r="BL105" s="75">
        <f>$C105*INDEX(Curves!$G$8:$G$68,BL$4-$B105+1)</f>
        <v/>
      </c>
    </row>
    <row r="106">
      <c r="A106" s="74" t="inlineStr">
        <is>
          <t>Cohort month 34</t>
        </is>
      </c>
      <c r="B106" s="74" t="n">
        <v>34</v>
      </c>
      <c r="C106" s="17">
        <f>INDEX(Ops!$E$9:$BL$9,1,$B106)</f>
        <v/>
      </c>
      <c r="AM106" s="75">
        <f>$C106*INDEX(Curves!$G$8:$G$68,AM$4-$B106+1)</f>
        <v/>
      </c>
      <c r="AN106" s="75">
        <f>$C106*INDEX(Curves!$G$8:$G$68,AN$4-$B106+1)</f>
        <v/>
      </c>
      <c r="AO106" s="75">
        <f>$C106*INDEX(Curves!$G$8:$G$68,AO$4-$B106+1)</f>
        <v/>
      </c>
      <c r="AP106" s="75">
        <f>$C106*INDEX(Curves!$G$8:$G$68,AP$4-$B106+1)</f>
        <v/>
      </c>
      <c r="AQ106" s="75">
        <f>$C106*INDEX(Curves!$G$8:$G$68,AQ$4-$B106+1)</f>
        <v/>
      </c>
      <c r="AR106" s="75">
        <f>$C106*INDEX(Curves!$G$8:$G$68,AR$4-$B106+1)</f>
        <v/>
      </c>
      <c r="AS106" s="75">
        <f>$C106*INDEX(Curves!$G$8:$G$68,AS$4-$B106+1)</f>
        <v/>
      </c>
      <c r="AT106" s="75">
        <f>$C106*INDEX(Curves!$G$8:$G$68,AT$4-$B106+1)</f>
        <v/>
      </c>
      <c r="AU106" s="75">
        <f>$C106*INDEX(Curves!$G$8:$G$68,AU$4-$B106+1)</f>
        <v/>
      </c>
      <c r="AV106" s="75">
        <f>$C106*INDEX(Curves!$G$8:$G$68,AV$4-$B106+1)</f>
        <v/>
      </c>
      <c r="AW106" s="75">
        <f>$C106*INDEX(Curves!$G$8:$G$68,AW$4-$B106+1)</f>
        <v/>
      </c>
      <c r="AX106" s="75">
        <f>$C106*INDEX(Curves!$G$8:$G$68,AX$4-$B106+1)</f>
        <v/>
      </c>
      <c r="AY106" s="75">
        <f>$C106*INDEX(Curves!$G$8:$G$68,AY$4-$B106+1)</f>
        <v/>
      </c>
      <c r="AZ106" s="75">
        <f>$C106*INDEX(Curves!$G$8:$G$68,AZ$4-$B106+1)</f>
        <v/>
      </c>
      <c r="BA106" s="75">
        <f>$C106*INDEX(Curves!$G$8:$G$68,BA$4-$B106+1)</f>
        <v/>
      </c>
      <c r="BB106" s="75">
        <f>$C106*INDEX(Curves!$G$8:$G$68,BB$4-$B106+1)</f>
        <v/>
      </c>
      <c r="BC106" s="75">
        <f>$C106*INDEX(Curves!$G$8:$G$68,BC$4-$B106+1)</f>
        <v/>
      </c>
      <c r="BD106" s="75">
        <f>$C106*INDEX(Curves!$G$8:$G$68,BD$4-$B106+1)</f>
        <v/>
      </c>
      <c r="BE106" s="75">
        <f>$C106*INDEX(Curves!$G$8:$G$68,BE$4-$B106+1)</f>
        <v/>
      </c>
      <c r="BF106" s="75">
        <f>$C106*INDEX(Curves!$G$8:$G$68,BF$4-$B106+1)</f>
        <v/>
      </c>
      <c r="BG106" s="75">
        <f>$C106*INDEX(Curves!$G$8:$G$68,BG$4-$B106+1)</f>
        <v/>
      </c>
      <c r="BH106" s="75">
        <f>$C106*INDEX(Curves!$G$8:$G$68,BH$4-$B106+1)</f>
        <v/>
      </c>
      <c r="BI106" s="75">
        <f>$C106*INDEX(Curves!$G$8:$G$68,BI$4-$B106+1)</f>
        <v/>
      </c>
      <c r="BJ106" s="75">
        <f>$C106*INDEX(Curves!$G$8:$G$68,BJ$4-$B106+1)</f>
        <v/>
      </c>
      <c r="BK106" s="75">
        <f>$C106*INDEX(Curves!$G$8:$G$68,BK$4-$B106+1)</f>
        <v/>
      </c>
      <c r="BL106" s="75">
        <f>$C106*INDEX(Curves!$G$8:$G$68,BL$4-$B106+1)</f>
        <v/>
      </c>
    </row>
    <row r="107">
      <c r="A107" s="74" t="inlineStr">
        <is>
          <t>Cohort month 35</t>
        </is>
      </c>
      <c r="B107" s="74" t="n">
        <v>35</v>
      </c>
      <c r="C107" s="17">
        <f>INDEX(Ops!$E$9:$BL$9,1,$B107)</f>
        <v/>
      </c>
      <c r="AN107" s="75">
        <f>$C107*INDEX(Curves!$G$8:$G$68,AN$4-$B107+1)</f>
        <v/>
      </c>
      <c r="AO107" s="75">
        <f>$C107*INDEX(Curves!$G$8:$G$68,AO$4-$B107+1)</f>
        <v/>
      </c>
      <c r="AP107" s="75">
        <f>$C107*INDEX(Curves!$G$8:$G$68,AP$4-$B107+1)</f>
        <v/>
      </c>
      <c r="AQ107" s="75">
        <f>$C107*INDEX(Curves!$G$8:$G$68,AQ$4-$B107+1)</f>
        <v/>
      </c>
      <c r="AR107" s="75">
        <f>$C107*INDEX(Curves!$G$8:$G$68,AR$4-$B107+1)</f>
        <v/>
      </c>
      <c r="AS107" s="75">
        <f>$C107*INDEX(Curves!$G$8:$G$68,AS$4-$B107+1)</f>
        <v/>
      </c>
      <c r="AT107" s="75">
        <f>$C107*INDEX(Curves!$G$8:$G$68,AT$4-$B107+1)</f>
        <v/>
      </c>
      <c r="AU107" s="75">
        <f>$C107*INDEX(Curves!$G$8:$G$68,AU$4-$B107+1)</f>
        <v/>
      </c>
      <c r="AV107" s="75">
        <f>$C107*INDEX(Curves!$G$8:$G$68,AV$4-$B107+1)</f>
        <v/>
      </c>
      <c r="AW107" s="75">
        <f>$C107*INDEX(Curves!$G$8:$G$68,AW$4-$B107+1)</f>
        <v/>
      </c>
      <c r="AX107" s="75">
        <f>$C107*INDEX(Curves!$G$8:$G$68,AX$4-$B107+1)</f>
        <v/>
      </c>
      <c r="AY107" s="75">
        <f>$C107*INDEX(Curves!$G$8:$G$68,AY$4-$B107+1)</f>
        <v/>
      </c>
      <c r="AZ107" s="75">
        <f>$C107*INDEX(Curves!$G$8:$G$68,AZ$4-$B107+1)</f>
        <v/>
      </c>
      <c r="BA107" s="75">
        <f>$C107*INDEX(Curves!$G$8:$G$68,BA$4-$B107+1)</f>
        <v/>
      </c>
      <c r="BB107" s="75">
        <f>$C107*INDEX(Curves!$G$8:$G$68,BB$4-$B107+1)</f>
        <v/>
      </c>
      <c r="BC107" s="75">
        <f>$C107*INDEX(Curves!$G$8:$G$68,BC$4-$B107+1)</f>
        <v/>
      </c>
      <c r="BD107" s="75">
        <f>$C107*INDEX(Curves!$G$8:$G$68,BD$4-$B107+1)</f>
        <v/>
      </c>
      <c r="BE107" s="75">
        <f>$C107*INDEX(Curves!$G$8:$G$68,BE$4-$B107+1)</f>
        <v/>
      </c>
      <c r="BF107" s="75">
        <f>$C107*INDEX(Curves!$G$8:$G$68,BF$4-$B107+1)</f>
        <v/>
      </c>
      <c r="BG107" s="75">
        <f>$C107*INDEX(Curves!$G$8:$G$68,BG$4-$B107+1)</f>
        <v/>
      </c>
      <c r="BH107" s="75">
        <f>$C107*INDEX(Curves!$G$8:$G$68,BH$4-$B107+1)</f>
        <v/>
      </c>
      <c r="BI107" s="75">
        <f>$C107*INDEX(Curves!$G$8:$G$68,BI$4-$B107+1)</f>
        <v/>
      </c>
      <c r="BJ107" s="75">
        <f>$C107*INDEX(Curves!$G$8:$G$68,BJ$4-$B107+1)</f>
        <v/>
      </c>
      <c r="BK107" s="75">
        <f>$C107*INDEX(Curves!$G$8:$G$68,BK$4-$B107+1)</f>
        <v/>
      </c>
      <c r="BL107" s="75">
        <f>$C107*INDEX(Curves!$G$8:$G$68,BL$4-$B107+1)</f>
        <v/>
      </c>
    </row>
    <row r="108">
      <c r="A108" s="74" t="inlineStr">
        <is>
          <t>Cohort month 36</t>
        </is>
      </c>
      <c r="B108" s="74" t="n">
        <v>36</v>
      </c>
      <c r="C108" s="17">
        <f>INDEX(Ops!$E$9:$BL$9,1,$B108)</f>
        <v/>
      </c>
      <c r="AO108" s="75">
        <f>$C108*INDEX(Curves!$G$8:$G$68,AO$4-$B108+1)</f>
        <v/>
      </c>
      <c r="AP108" s="75">
        <f>$C108*INDEX(Curves!$G$8:$G$68,AP$4-$B108+1)</f>
        <v/>
      </c>
      <c r="AQ108" s="75">
        <f>$C108*INDEX(Curves!$G$8:$G$68,AQ$4-$B108+1)</f>
        <v/>
      </c>
      <c r="AR108" s="75">
        <f>$C108*INDEX(Curves!$G$8:$G$68,AR$4-$B108+1)</f>
        <v/>
      </c>
      <c r="AS108" s="75">
        <f>$C108*INDEX(Curves!$G$8:$G$68,AS$4-$B108+1)</f>
        <v/>
      </c>
      <c r="AT108" s="75">
        <f>$C108*INDEX(Curves!$G$8:$G$68,AT$4-$B108+1)</f>
        <v/>
      </c>
      <c r="AU108" s="75">
        <f>$C108*INDEX(Curves!$G$8:$G$68,AU$4-$B108+1)</f>
        <v/>
      </c>
      <c r="AV108" s="75">
        <f>$C108*INDEX(Curves!$G$8:$G$68,AV$4-$B108+1)</f>
        <v/>
      </c>
      <c r="AW108" s="75">
        <f>$C108*INDEX(Curves!$G$8:$G$68,AW$4-$B108+1)</f>
        <v/>
      </c>
      <c r="AX108" s="75">
        <f>$C108*INDEX(Curves!$G$8:$G$68,AX$4-$B108+1)</f>
        <v/>
      </c>
      <c r="AY108" s="75">
        <f>$C108*INDEX(Curves!$G$8:$G$68,AY$4-$B108+1)</f>
        <v/>
      </c>
      <c r="AZ108" s="75">
        <f>$C108*INDEX(Curves!$G$8:$G$68,AZ$4-$B108+1)</f>
        <v/>
      </c>
      <c r="BA108" s="75">
        <f>$C108*INDEX(Curves!$G$8:$G$68,BA$4-$B108+1)</f>
        <v/>
      </c>
      <c r="BB108" s="75">
        <f>$C108*INDEX(Curves!$G$8:$G$68,BB$4-$B108+1)</f>
        <v/>
      </c>
      <c r="BC108" s="75">
        <f>$C108*INDEX(Curves!$G$8:$G$68,BC$4-$B108+1)</f>
        <v/>
      </c>
      <c r="BD108" s="75">
        <f>$C108*INDEX(Curves!$G$8:$G$68,BD$4-$B108+1)</f>
        <v/>
      </c>
      <c r="BE108" s="75">
        <f>$C108*INDEX(Curves!$G$8:$G$68,BE$4-$B108+1)</f>
        <v/>
      </c>
      <c r="BF108" s="75">
        <f>$C108*INDEX(Curves!$G$8:$G$68,BF$4-$B108+1)</f>
        <v/>
      </c>
      <c r="BG108" s="75">
        <f>$C108*INDEX(Curves!$G$8:$G$68,BG$4-$B108+1)</f>
        <v/>
      </c>
      <c r="BH108" s="75">
        <f>$C108*INDEX(Curves!$G$8:$G$68,BH$4-$B108+1)</f>
        <v/>
      </c>
      <c r="BI108" s="75">
        <f>$C108*INDEX(Curves!$G$8:$G$68,BI$4-$B108+1)</f>
        <v/>
      </c>
      <c r="BJ108" s="75">
        <f>$C108*INDEX(Curves!$G$8:$G$68,BJ$4-$B108+1)</f>
        <v/>
      </c>
      <c r="BK108" s="75">
        <f>$C108*INDEX(Curves!$G$8:$G$68,BK$4-$B108+1)</f>
        <v/>
      </c>
      <c r="BL108" s="75">
        <f>$C108*INDEX(Curves!$G$8:$G$68,BL$4-$B108+1)</f>
        <v/>
      </c>
    </row>
    <row r="109">
      <c r="A109" s="74" t="inlineStr">
        <is>
          <t>Cohort month 37</t>
        </is>
      </c>
      <c r="B109" s="74" t="n">
        <v>37</v>
      </c>
      <c r="C109" s="17">
        <f>INDEX(Ops!$E$9:$BL$9,1,$B109)</f>
        <v/>
      </c>
      <c r="AP109" s="75">
        <f>$C109*INDEX(Curves!$G$8:$G$68,AP$4-$B109+1)</f>
        <v/>
      </c>
      <c r="AQ109" s="75">
        <f>$C109*INDEX(Curves!$G$8:$G$68,AQ$4-$B109+1)</f>
        <v/>
      </c>
      <c r="AR109" s="75">
        <f>$C109*INDEX(Curves!$G$8:$G$68,AR$4-$B109+1)</f>
        <v/>
      </c>
      <c r="AS109" s="75">
        <f>$C109*INDEX(Curves!$G$8:$G$68,AS$4-$B109+1)</f>
        <v/>
      </c>
      <c r="AT109" s="75">
        <f>$C109*INDEX(Curves!$G$8:$G$68,AT$4-$B109+1)</f>
        <v/>
      </c>
      <c r="AU109" s="75">
        <f>$C109*INDEX(Curves!$G$8:$G$68,AU$4-$B109+1)</f>
        <v/>
      </c>
      <c r="AV109" s="75">
        <f>$C109*INDEX(Curves!$G$8:$G$68,AV$4-$B109+1)</f>
        <v/>
      </c>
      <c r="AW109" s="75">
        <f>$C109*INDEX(Curves!$G$8:$G$68,AW$4-$B109+1)</f>
        <v/>
      </c>
      <c r="AX109" s="75">
        <f>$C109*INDEX(Curves!$G$8:$G$68,AX$4-$B109+1)</f>
        <v/>
      </c>
      <c r="AY109" s="75">
        <f>$C109*INDEX(Curves!$G$8:$G$68,AY$4-$B109+1)</f>
        <v/>
      </c>
      <c r="AZ109" s="75">
        <f>$C109*INDEX(Curves!$G$8:$G$68,AZ$4-$B109+1)</f>
        <v/>
      </c>
      <c r="BA109" s="75">
        <f>$C109*INDEX(Curves!$G$8:$G$68,BA$4-$B109+1)</f>
        <v/>
      </c>
      <c r="BB109" s="75">
        <f>$C109*INDEX(Curves!$G$8:$G$68,BB$4-$B109+1)</f>
        <v/>
      </c>
      <c r="BC109" s="75">
        <f>$C109*INDEX(Curves!$G$8:$G$68,BC$4-$B109+1)</f>
        <v/>
      </c>
      <c r="BD109" s="75">
        <f>$C109*INDEX(Curves!$G$8:$G$68,BD$4-$B109+1)</f>
        <v/>
      </c>
      <c r="BE109" s="75">
        <f>$C109*INDEX(Curves!$G$8:$G$68,BE$4-$B109+1)</f>
        <v/>
      </c>
      <c r="BF109" s="75">
        <f>$C109*INDEX(Curves!$G$8:$G$68,BF$4-$B109+1)</f>
        <v/>
      </c>
      <c r="BG109" s="75">
        <f>$C109*INDEX(Curves!$G$8:$G$68,BG$4-$B109+1)</f>
        <v/>
      </c>
      <c r="BH109" s="75">
        <f>$C109*INDEX(Curves!$G$8:$G$68,BH$4-$B109+1)</f>
        <v/>
      </c>
      <c r="BI109" s="75">
        <f>$C109*INDEX(Curves!$G$8:$G$68,BI$4-$B109+1)</f>
        <v/>
      </c>
      <c r="BJ109" s="75">
        <f>$C109*INDEX(Curves!$G$8:$G$68,BJ$4-$B109+1)</f>
        <v/>
      </c>
      <c r="BK109" s="75">
        <f>$C109*INDEX(Curves!$G$8:$G$68,BK$4-$B109+1)</f>
        <v/>
      </c>
      <c r="BL109" s="75">
        <f>$C109*INDEX(Curves!$G$8:$G$68,BL$4-$B109+1)</f>
        <v/>
      </c>
    </row>
    <row r="110">
      <c r="A110" s="74" t="inlineStr">
        <is>
          <t>Cohort month 38</t>
        </is>
      </c>
      <c r="B110" s="74" t="n">
        <v>38</v>
      </c>
      <c r="C110" s="17">
        <f>INDEX(Ops!$E$9:$BL$9,1,$B110)</f>
        <v/>
      </c>
      <c r="AQ110" s="75">
        <f>$C110*INDEX(Curves!$G$8:$G$68,AQ$4-$B110+1)</f>
        <v/>
      </c>
      <c r="AR110" s="75">
        <f>$C110*INDEX(Curves!$G$8:$G$68,AR$4-$B110+1)</f>
        <v/>
      </c>
      <c r="AS110" s="75">
        <f>$C110*INDEX(Curves!$G$8:$G$68,AS$4-$B110+1)</f>
        <v/>
      </c>
      <c r="AT110" s="75">
        <f>$C110*INDEX(Curves!$G$8:$G$68,AT$4-$B110+1)</f>
        <v/>
      </c>
      <c r="AU110" s="75">
        <f>$C110*INDEX(Curves!$G$8:$G$68,AU$4-$B110+1)</f>
        <v/>
      </c>
      <c r="AV110" s="75">
        <f>$C110*INDEX(Curves!$G$8:$G$68,AV$4-$B110+1)</f>
        <v/>
      </c>
      <c r="AW110" s="75">
        <f>$C110*INDEX(Curves!$G$8:$G$68,AW$4-$B110+1)</f>
        <v/>
      </c>
      <c r="AX110" s="75">
        <f>$C110*INDEX(Curves!$G$8:$G$68,AX$4-$B110+1)</f>
        <v/>
      </c>
      <c r="AY110" s="75">
        <f>$C110*INDEX(Curves!$G$8:$G$68,AY$4-$B110+1)</f>
        <v/>
      </c>
      <c r="AZ110" s="75">
        <f>$C110*INDEX(Curves!$G$8:$G$68,AZ$4-$B110+1)</f>
        <v/>
      </c>
      <c r="BA110" s="75">
        <f>$C110*INDEX(Curves!$G$8:$G$68,BA$4-$B110+1)</f>
        <v/>
      </c>
      <c r="BB110" s="75">
        <f>$C110*INDEX(Curves!$G$8:$G$68,BB$4-$B110+1)</f>
        <v/>
      </c>
      <c r="BC110" s="75">
        <f>$C110*INDEX(Curves!$G$8:$G$68,BC$4-$B110+1)</f>
        <v/>
      </c>
      <c r="BD110" s="75">
        <f>$C110*INDEX(Curves!$G$8:$G$68,BD$4-$B110+1)</f>
        <v/>
      </c>
      <c r="BE110" s="75">
        <f>$C110*INDEX(Curves!$G$8:$G$68,BE$4-$B110+1)</f>
        <v/>
      </c>
      <c r="BF110" s="75">
        <f>$C110*INDEX(Curves!$G$8:$G$68,BF$4-$B110+1)</f>
        <v/>
      </c>
      <c r="BG110" s="75">
        <f>$C110*INDEX(Curves!$G$8:$G$68,BG$4-$B110+1)</f>
        <v/>
      </c>
      <c r="BH110" s="75">
        <f>$C110*INDEX(Curves!$G$8:$G$68,BH$4-$B110+1)</f>
        <v/>
      </c>
      <c r="BI110" s="75">
        <f>$C110*INDEX(Curves!$G$8:$G$68,BI$4-$B110+1)</f>
        <v/>
      </c>
      <c r="BJ110" s="75">
        <f>$C110*INDEX(Curves!$G$8:$G$68,BJ$4-$B110+1)</f>
        <v/>
      </c>
      <c r="BK110" s="75">
        <f>$C110*INDEX(Curves!$G$8:$G$68,BK$4-$B110+1)</f>
        <v/>
      </c>
      <c r="BL110" s="75">
        <f>$C110*INDEX(Curves!$G$8:$G$68,BL$4-$B110+1)</f>
        <v/>
      </c>
    </row>
    <row r="111">
      <c r="A111" s="74" t="inlineStr">
        <is>
          <t>Cohort month 39</t>
        </is>
      </c>
      <c r="B111" s="74" t="n">
        <v>39</v>
      </c>
      <c r="C111" s="17">
        <f>INDEX(Ops!$E$9:$BL$9,1,$B111)</f>
        <v/>
      </c>
      <c r="AR111" s="75">
        <f>$C111*INDEX(Curves!$G$8:$G$68,AR$4-$B111+1)</f>
        <v/>
      </c>
      <c r="AS111" s="75">
        <f>$C111*INDEX(Curves!$G$8:$G$68,AS$4-$B111+1)</f>
        <v/>
      </c>
      <c r="AT111" s="75">
        <f>$C111*INDEX(Curves!$G$8:$G$68,AT$4-$B111+1)</f>
        <v/>
      </c>
      <c r="AU111" s="75">
        <f>$C111*INDEX(Curves!$G$8:$G$68,AU$4-$B111+1)</f>
        <v/>
      </c>
      <c r="AV111" s="75">
        <f>$C111*INDEX(Curves!$G$8:$G$68,AV$4-$B111+1)</f>
        <v/>
      </c>
      <c r="AW111" s="75">
        <f>$C111*INDEX(Curves!$G$8:$G$68,AW$4-$B111+1)</f>
        <v/>
      </c>
      <c r="AX111" s="75">
        <f>$C111*INDEX(Curves!$G$8:$G$68,AX$4-$B111+1)</f>
        <v/>
      </c>
      <c r="AY111" s="75">
        <f>$C111*INDEX(Curves!$G$8:$G$68,AY$4-$B111+1)</f>
        <v/>
      </c>
      <c r="AZ111" s="75">
        <f>$C111*INDEX(Curves!$G$8:$G$68,AZ$4-$B111+1)</f>
        <v/>
      </c>
      <c r="BA111" s="75">
        <f>$C111*INDEX(Curves!$G$8:$G$68,BA$4-$B111+1)</f>
        <v/>
      </c>
      <c r="BB111" s="75">
        <f>$C111*INDEX(Curves!$G$8:$G$68,BB$4-$B111+1)</f>
        <v/>
      </c>
      <c r="BC111" s="75">
        <f>$C111*INDEX(Curves!$G$8:$G$68,BC$4-$B111+1)</f>
        <v/>
      </c>
      <c r="BD111" s="75">
        <f>$C111*INDEX(Curves!$G$8:$G$68,BD$4-$B111+1)</f>
        <v/>
      </c>
      <c r="BE111" s="75">
        <f>$C111*INDEX(Curves!$G$8:$G$68,BE$4-$B111+1)</f>
        <v/>
      </c>
      <c r="BF111" s="75">
        <f>$C111*INDEX(Curves!$G$8:$G$68,BF$4-$B111+1)</f>
        <v/>
      </c>
      <c r="BG111" s="75">
        <f>$C111*INDEX(Curves!$G$8:$G$68,BG$4-$B111+1)</f>
        <v/>
      </c>
      <c r="BH111" s="75">
        <f>$C111*INDEX(Curves!$G$8:$G$68,BH$4-$B111+1)</f>
        <v/>
      </c>
      <c r="BI111" s="75">
        <f>$C111*INDEX(Curves!$G$8:$G$68,BI$4-$B111+1)</f>
        <v/>
      </c>
      <c r="BJ111" s="75">
        <f>$C111*INDEX(Curves!$G$8:$G$68,BJ$4-$B111+1)</f>
        <v/>
      </c>
      <c r="BK111" s="75">
        <f>$C111*INDEX(Curves!$G$8:$G$68,BK$4-$B111+1)</f>
        <v/>
      </c>
      <c r="BL111" s="75">
        <f>$C111*INDEX(Curves!$G$8:$G$68,BL$4-$B111+1)</f>
        <v/>
      </c>
    </row>
    <row r="112">
      <c r="A112" s="74" t="inlineStr">
        <is>
          <t>Cohort month 40</t>
        </is>
      </c>
      <c r="B112" s="74" t="n">
        <v>40</v>
      </c>
      <c r="C112" s="17">
        <f>INDEX(Ops!$E$9:$BL$9,1,$B112)</f>
        <v/>
      </c>
      <c r="AS112" s="75">
        <f>$C112*INDEX(Curves!$G$8:$G$68,AS$4-$B112+1)</f>
        <v/>
      </c>
      <c r="AT112" s="75">
        <f>$C112*INDEX(Curves!$G$8:$G$68,AT$4-$B112+1)</f>
        <v/>
      </c>
      <c r="AU112" s="75">
        <f>$C112*INDEX(Curves!$G$8:$G$68,AU$4-$B112+1)</f>
        <v/>
      </c>
      <c r="AV112" s="75">
        <f>$C112*INDEX(Curves!$G$8:$G$68,AV$4-$B112+1)</f>
        <v/>
      </c>
      <c r="AW112" s="75">
        <f>$C112*INDEX(Curves!$G$8:$G$68,AW$4-$B112+1)</f>
        <v/>
      </c>
      <c r="AX112" s="75">
        <f>$C112*INDEX(Curves!$G$8:$G$68,AX$4-$B112+1)</f>
        <v/>
      </c>
      <c r="AY112" s="75">
        <f>$C112*INDEX(Curves!$G$8:$G$68,AY$4-$B112+1)</f>
        <v/>
      </c>
      <c r="AZ112" s="75">
        <f>$C112*INDEX(Curves!$G$8:$G$68,AZ$4-$B112+1)</f>
        <v/>
      </c>
      <c r="BA112" s="75">
        <f>$C112*INDEX(Curves!$G$8:$G$68,BA$4-$B112+1)</f>
        <v/>
      </c>
      <c r="BB112" s="75">
        <f>$C112*INDEX(Curves!$G$8:$G$68,BB$4-$B112+1)</f>
        <v/>
      </c>
      <c r="BC112" s="75">
        <f>$C112*INDEX(Curves!$G$8:$G$68,BC$4-$B112+1)</f>
        <v/>
      </c>
      <c r="BD112" s="75">
        <f>$C112*INDEX(Curves!$G$8:$G$68,BD$4-$B112+1)</f>
        <v/>
      </c>
      <c r="BE112" s="75">
        <f>$C112*INDEX(Curves!$G$8:$G$68,BE$4-$B112+1)</f>
        <v/>
      </c>
      <c r="BF112" s="75">
        <f>$C112*INDEX(Curves!$G$8:$G$68,BF$4-$B112+1)</f>
        <v/>
      </c>
      <c r="BG112" s="75">
        <f>$C112*INDEX(Curves!$G$8:$G$68,BG$4-$B112+1)</f>
        <v/>
      </c>
      <c r="BH112" s="75">
        <f>$C112*INDEX(Curves!$G$8:$G$68,BH$4-$B112+1)</f>
        <v/>
      </c>
      <c r="BI112" s="75">
        <f>$C112*INDEX(Curves!$G$8:$G$68,BI$4-$B112+1)</f>
        <v/>
      </c>
      <c r="BJ112" s="75">
        <f>$C112*INDEX(Curves!$G$8:$G$68,BJ$4-$B112+1)</f>
        <v/>
      </c>
      <c r="BK112" s="75">
        <f>$C112*INDEX(Curves!$G$8:$G$68,BK$4-$B112+1)</f>
        <v/>
      </c>
      <c r="BL112" s="75">
        <f>$C112*INDEX(Curves!$G$8:$G$68,BL$4-$B112+1)</f>
        <v/>
      </c>
    </row>
    <row r="113">
      <c r="A113" s="74" t="inlineStr">
        <is>
          <t>Cohort month 41</t>
        </is>
      </c>
      <c r="B113" s="74" t="n">
        <v>41</v>
      </c>
      <c r="C113" s="17">
        <f>INDEX(Ops!$E$9:$BL$9,1,$B113)</f>
        <v/>
      </c>
      <c r="AT113" s="75">
        <f>$C113*INDEX(Curves!$G$8:$G$68,AT$4-$B113+1)</f>
        <v/>
      </c>
      <c r="AU113" s="75">
        <f>$C113*INDEX(Curves!$G$8:$G$68,AU$4-$B113+1)</f>
        <v/>
      </c>
      <c r="AV113" s="75">
        <f>$C113*INDEX(Curves!$G$8:$G$68,AV$4-$B113+1)</f>
        <v/>
      </c>
      <c r="AW113" s="75">
        <f>$C113*INDEX(Curves!$G$8:$G$68,AW$4-$B113+1)</f>
        <v/>
      </c>
      <c r="AX113" s="75">
        <f>$C113*INDEX(Curves!$G$8:$G$68,AX$4-$B113+1)</f>
        <v/>
      </c>
      <c r="AY113" s="75">
        <f>$C113*INDEX(Curves!$G$8:$G$68,AY$4-$B113+1)</f>
        <v/>
      </c>
      <c r="AZ113" s="75">
        <f>$C113*INDEX(Curves!$G$8:$G$68,AZ$4-$B113+1)</f>
        <v/>
      </c>
      <c r="BA113" s="75">
        <f>$C113*INDEX(Curves!$G$8:$G$68,BA$4-$B113+1)</f>
        <v/>
      </c>
      <c r="BB113" s="75">
        <f>$C113*INDEX(Curves!$G$8:$G$68,BB$4-$B113+1)</f>
        <v/>
      </c>
      <c r="BC113" s="75">
        <f>$C113*INDEX(Curves!$G$8:$G$68,BC$4-$B113+1)</f>
        <v/>
      </c>
      <c r="BD113" s="75">
        <f>$C113*INDEX(Curves!$G$8:$G$68,BD$4-$B113+1)</f>
        <v/>
      </c>
      <c r="BE113" s="75">
        <f>$C113*INDEX(Curves!$G$8:$G$68,BE$4-$B113+1)</f>
        <v/>
      </c>
      <c r="BF113" s="75">
        <f>$C113*INDEX(Curves!$G$8:$G$68,BF$4-$B113+1)</f>
        <v/>
      </c>
      <c r="BG113" s="75">
        <f>$C113*INDEX(Curves!$G$8:$G$68,BG$4-$B113+1)</f>
        <v/>
      </c>
      <c r="BH113" s="75">
        <f>$C113*INDEX(Curves!$G$8:$G$68,BH$4-$B113+1)</f>
        <v/>
      </c>
      <c r="BI113" s="75">
        <f>$C113*INDEX(Curves!$G$8:$G$68,BI$4-$B113+1)</f>
        <v/>
      </c>
      <c r="BJ113" s="75">
        <f>$C113*INDEX(Curves!$G$8:$G$68,BJ$4-$B113+1)</f>
        <v/>
      </c>
      <c r="BK113" s="75">
        <f>$C113*INDEX(Curves!$G$8:$G$68,BK$4-$B113+1)</f>
        <v/>
      </c>
      <c r="BL113" s="75">
        <f>$C113*INDEX(Curves!$G$8:$G$68,BL$4-$B113+1)</f>
        <v/>
      </c>
    </row>
    <row r="114">
      <c r="A114" s="74" t="inlineStr">
        <is>
          <t>Cohort month 42</t>
        </is>
      </c>
      <c r="B114" s="74" t="n">
        <v>42</v>
      </c>
      <c r="C114" s="17">
        <f>INDEX(Ops!$E$9:$BL$9,1,$B114)</f>
        <v/>
      </c>
      <c r="AU114" s="75">
        <f>$C114*INDEX(Curves!$G$8:$G$68,AU$4-$B114+1)</f>
        <v/>
      </c>
      <c r="AV114" s="75">
        <f>$C114*INDEX(Curves!$G$8:$G$68,AV$4-$B114+1)</f>
        <v/>
      </c>
      <c r="AW114" s="75">
        <f>$C114*INDEX(Curves!$G$8:$G$68,AW$4-$B114+1)</f>
        <v/>
      </c>
      <c r="AX114" s="75">
        <f>$C114*INDEX(Curves!$G$8:$G$68,AX$4-$B114+1)</f>
        <v/>
      </c>
      <c r="AY114" s="75">
        <f>$C114*INDEX(Curves!$G$8:$G$68,AY$4-$B114+1)</f>
        <v/>
      </c>
      <c r="AZ114" s="75">
        <f>$C114*INDEX(Curves!$G$8:$G$68,AZ$4-$B114+1)</f>
        <v/>
      </c>
      <c r="BA114" s="75">
        <f>$C114*INDEX(Curves!$G$8:$G$68,BA$4-$B114+1)</f>
        <v/>
      </c>
      <c r="BB114" s="75">
        <f>$C114*INDEX(Curves!$G$8:$G$68,BB$4-$B114+1)</f>
        <v/>
      </c>
      <c r="BC114" s="75">
        <f>$C114*INDEX(Curves!$G$8:$G$68,BC$4-$B114+1)</f>
        <v/>
      </c>
      <c r="BD114" s="75">
        <f>$C114*INDEX(Curves!$G$8:$G$68,BD$4-$B114+1)</f>
        <v/>
      </c>
      <c r="BE114" s="75">
        <f>$C114*INDEX(Curves!$G$8:$G$68,BE$4-$B114+1)</f>
        <v/>
      </c>
      <c r="BF114" s="75">
        <f>$C114*INDEX(Curves!$G$8:$G$68,BF$4-$B114+1)</f>
        <v/>
      </c>
      <c r="BG114" s="75">
        <f>$C114*INDEX(Curves!$G$8:$G$68,BG$4-$B114+1)</f>
        <v/>
      </c>
      <c r="BH114" s="75">
        <f>$C114*INDEX(Curves!$G$8:$G$68,BH$4-$B114+1)</f>
        <v/>
      </c>
      <c r="BI114" s="75">
        <f>$C114*INDEX(Curves!$G$8:$G$68,BI$4-$B114+1)</f>
        <v/>
      </c>
      <c r="BJ114" s="75">
        <f>$C114*INDEX(Curves!$G$8:$G$68,BJ$4-$B114+1)</f>
        <v/>
      </c>
      <c r="BK114" s="75">
        <f>$C114*INDEX(Curves!$G$8:$G$68,BK$4-$B114+1)</f>
        <v/>
      </c>
      <c r="BL114" s="75">
        <f>$C114*INDEX(Curves!$G$8:$G$68,BL$4-$B114+1)</f>
        <v/>
      </c>
    </row>
    <row r="115">
      <c r="A115" s="74" t="inlineStr">
        <is>
          <t>Cohort month 43</t>
        </is>
      </c>
      <c r="B115" s="74" t="n">
        <v>43</v>
      </c>
      <c r="C115" s="17">
        <f>INDEX(Ops!$E$9:$BL$9,1,$B115)</f>
        <v/>
      </c>
      <c r="AV115" s="75">
        <f>$C115*INDEX(Curves!$G$8:$G$68,AV$4-$B115+1)</f>
        <v/>
      </c>
      <c r="AW115" s="75">
        <f>$C115*INDEX(Curves!$G$8:$G$68,AW$4-$B115+1)</f>
        <v/>
      </c>
      <c r="AX115" s="75">
        <f>$C115*INDEX(Curves!$G$8:$G$68,AX$4-$B115+1)</f>
        <v/>
      </c>
      <c r="AY115" s="75">
        <f>$C115*INDEX(Curves!$G$8:$G$68,AY$4-$B115+1)</f>
        <v/>
      </c>
      <c r="AZ115" s="75">
        <f>$C115*INDEX(Curves!$G$8:$G$68,AZ$4-$B115+1)</f>
        <v/>
      </c>
      <c r="BA115" s="75">
        <f>$C115*INDEX(Curves!$G$8:$G$68,BA$4-$B115+1)</f>
        <v/>
      </c>
      <c r="BB115" s="75">
        <f>$C115*INDEX(Curves!$G$8:$G$68,BB$4-$B115+1)</f>
        <v/>
      </c>
      <c r="BC115" s="75">
        <f>$C115*INDEX(Curves!$G$8:$G$68,BC$4-$B115+1)</f>
        <v/>
      </c>
      <c r="BD115" s="75">
        <f>$C115*INDEX(Curves!$G$8:$G$68,BD$4-$B115+1)</f>
        <v/>
      </c>
      <c r="BE115" s="75">
        <f>$C115*INDEX(Curves!$G$8:$G$68,BE$4-$B115+1)</f>
        <v/>
      </c>
      <c r="BF115" s="75">
        <f>$C115*INDEX(Curves!$G$8:$G$68,BF$4-$B115+1)</f>
        <v/>
      </c>
      <c r="BG115" s="75">
        <f>$C115*INDEX(Curves!$G$8:$G$68,BG$4-$B115+1)</f>
        <v/>
      </c>
      <c r="BH115" s="75">
        <f>$C115*INDEX(Curves!$G$8:$G$68,BH$4-$B115+1)</f>
        <v/>
      </c>
      <c r="BI115" s="75">
        <f>$C115*INDEX(Curves!$G$8:$G$68,BI$4-$B115+1)</f>
        <v/>
      </c>
      <c r="BJ115" s="75">
        <f>$C115*INDEX(Curves!$G$8:$G$68,BJ$4-$B115+1)</f>
        <v/>
      </c>
      <c r="BK115" s="75">
        <f>$C115*INDEX(Curves!$G$8:$G$68,BK$4-$B115+1)</f>
        <v/>
      </c>
      <c r="BL115" s="75">
        <f>$C115*INDEX(Curves!$G$8:$G$68,BL$4-$B115+1)</f>
        <v/>
      </c>
    </row>
    <row r="116">
      <c r="A116" s="74" t="inlineStr">
        <is>
          <t>Cohort month 44</t>
        </is>
      </c>
      <c r="B116" s="74" t="n">
        <v>44</v>
      </c>
      <c r="C116" s="17">
        <f>INDEX(Ops!$E$9:$BL$9,1,$B116)</f>
        <v/>
      </c>
      <c r="AW116" s="75">
        <f>$C116*INDEX(Curves!$G$8:$G$68,AW$4-$B116+1)</f>
        <v/>
      </c>
      <c r="AX116" s="75">
        <f>$C116*INDEX(Curves!$G$8:$G$68,AX$4-$B116+1)</f>
        <v/>
      </c>
      <c r="AY116" s="75">
        <f>$C116*INDEX(Curves!$G$8:$G$68,AY$4-$B116+1)</f>
        <v/>
      </c>
      <c r="AZ116" s="75">
        <f>$C116*INDEX(Curves!$G$8:$G$68,AZ$4-$B116+1)</f>
        <v/>
      </c>
      <c r="BA116" s="75">
        <f>$C116*INDEX(Curves!$G$8:$G$68,BA$4-$B116+1)</f>
        <v/>
      </c>
      <c r="BB116" s="75">
        <f>$C116*INDEX(Curves!$G$8:$G$68,BB$4-$B116+1)</f>
        <v/>
      </c>
      <c r="BC116" s="75">
        <f>$C116*INDEX(Curves!$G$8:$G$68,BC$4-$B116+1)</f>
        <v/>
      </c>
      <c r="BD116" s="75">
        <f>$C116*INDEX(Curves!$G$8:$G$68,BD$4-$B116+1)</f>
        <v/>
      </c>
      <c r="BE116" s="75">
        <f>$C116*INDEX(Curves!$G$8:$G$68,BE$4-$B116+1)</f>
        <v/>
      </c>
      <c r="BF116" s="75">
        <f>$C116*INDEX(Curves!$G$8:$G$68,BF$4-$B116+1)</f>
        <v/>
      </c>
      <c r="BG116" s="75">
        <f>$C116*INDEX(Curves!$G$8:$G$68,BG$4-$B116+1)</f>
        <v/>
      </c>
      <c r="BH116" s="75">
        <f>$C116*INDEX(Curves!$G$8:$G$68,BH$4-$B116+1)</f>
        <v/>
      </c>
      <c r="BI116" s="75">
        <f>$C116*INDEX(Curves!$G$8:$G$68,BI$4-$B116+1)</f>
        <v/>
      </c>
      <c r="BJ116" s="75">
        <f>$C116*INDEX(Curves!$G$8:$G$68,BJ$4-$B116+1)</f>
        <v/>
      </c>
      <c r="BK116" s="75">
        <f>$C116*INDEX(Curves!$G$8:$G$68,BK$4-$B116+1)</f>
        <v/>
      </c>
      <c r="BL116" s="75">
        <f>$C116*INDEX(Curves!$G$8:$G$68,BL$4-$B116+1)</f>
        <v/>
      </c>
    </row>
    <row r="117">
      <c r="A117" s="74" t="inlineStr">
        <is>
          <t>Cohort month 45</t>
        </is>
      </c>
      <c r="B117" s="74" t="n">
        <v>45</v>
      </c>
      <c r="C117" s="17">
        <f>INDEX(Ops!$E$9:$BL$9,1,$B117)</f>
        <v/>
      </c>
      <c r="AX117" s="75">
        <f>$C117*INDEX(Curves!$G$8:$G$68,AX$4-$B117+1)</f>
        <v/>
      </c>
      <c r="AY117" s="75">
        <f>$C117*INDEX(Curves!$G$8:$G$68,AY$4-$B117+1)</f>
        <v/>
      </c>
      <c r="AZ117" s="75">
        <f>$C117*INDEX(Curves!$G$8:$G$68,AZ$4-$B117+1)</f>
        <v/>
      </c>
      <c r="BA117" s="75">
        <f>$C117*INDEX(Curves!$G$8:$G$68,BA$4-$B117+1)</f>
        <v/>
      </c>
      <c r="BB117" s="75">
        <f>$C117*INDEX(Curves!$G$8:$G$68,BB$4-$B117+1)</f>
        <v/>
      </c>
      <c r="BC117" s="75">
        <f>$C117*INDEX(Curves!$G$8:$G$68,BC$4-$B117+1)</f>
        <v/>
      </c>
      <c r="BD117" s="75">
        <f>$C117*INDEX(Curves!$G$8:$G$68,BD$4-$B117+1)</f>
        <v/>
      </c>
      <c r="BE117" s="75">
        <f>$C117*INDEX(Curves!$G$8:$G$68,BE$4-$B117+1)</f>
        <v/>
      </c>
      <c r="BF117" s="75">
        <f>$C117*INDEX(Curves!$G$8:$G$68,BF$4-$B117+1)</f>
        <v/>
      </c>
      <c r="BG117" s="75">
        <f>$C117*INDEX(Curves!$G$8:$G$68,BG$4-$B117+1)</f>
        <v/>
      </c>
      <c r="BH117" s="75">
        <f>$C117*INDEX(Curves!$G$8:$G$68,BH$4-$B117+1)</f>
        <v/>
      </c>
      <c r="BI117" s="75">
        <f>$C117*INDEX(Curves!$G$8:$G$68,BI$4-$B117+1)</f>
        <v/>
      </c>
      <c r="BJ117" s="75">
        <f>$C117*INDEX(Curves!$G$8:$G$68,BJ$4-$B117+1)</f>
        <v/>
      </c>
      <c r="BK117" s="75">
        <f>$C117*INDEX(Curves!$G$8:$G$68,BK$4-$B117+1)</f>
        <v/>
      </c>
      <c r="BL117" s="75">
        <f>$C117*INDEX(Curves!$G$8:$G$68,BL$4-$B117+1)</f>
        <v/>
      </c>
    </row>
    <row r="118">
      <c r="A118" s="74" t="inlineStr">
        <is>
          <t>Cohort month 46</t>
        </is>
      </c>
      <c r="B118" s="74" t="n">
        <v>46</v>
      </c>
      <c r="C118" s="17">
        <f>INDEX(Ops!$E$9:$BL$9,1,$B118)</f>
        <v/>
      </c>
      <c r="AY118" s="75">
        <f>$C118*INDEX(Curves!$G$8:$G$68,AY$4-$B118+1)</f>
        <v/>
      </c>
      <c r="AZ118" s="75">
        <f>$C118*INDEX(Curves!$G$8:$G$68,AZ$4-$B118+1)</f>
        <v/>
      </c>
      <c r="BA118" s="75">
        <f>$C118*INDEX(Curves!$G$8:$G$68,BA$4-$B118+1)</f>
        <v/>
      </c>
      <c r="BB118" s="75">
        <f>$C118*INDEX(Curves!$G$8:$G$68,BB$4-$B118+1)</f>
        <v/>
      </c>
      <c r="BC118" s="75">
        <f>$C118*INDEX(Curves!$G$8:$G$68,BC$4-$B118+1)</f>
        <v/>
      </c>
      <c r="BD118" s="75">
        <f>$C118*INDEX(Curves!$G$8:$G$68,BD$4-$B118+1)</f>
        <v/>
      </c>
      <c r="BE118" s="75">
        <f>$C118*INDEX(Curves!$G$8:$G$68,BE$4-$B118+1)</f>
        <v/>
      </c>
      <c r="BF118" s="75">
        <f>$C118*INDEX(Curves!$G$8:$G$68,BF$4-$B118+1)</f>
        <v/>
      </c>
      <c r="BG118" s="75">
        <f>$C118*INDEX(Curves!$G$8:$G$68,BG$4-$B118+1)</f>
        <v/>
      </c>
      <c r="BH118" s="75">
        <f>$C118*INDEX(Curves!$G$8:$G$68,BH$4-$B118+1)</f>
        <v/>
      </c>
      <c r="BI118" s="75">
        <f>$C118*INDEX(Curves!$G$8:$G$68,BI$4-$B118+1)</f>
        <v/>
      </c>
      <c r="BJ118" s="75">
        <f>$C118*INDEX(Curves!$G$8:$G$68,BJ$4-$B118+1)</f>
        <v/>
      </c>
      <c r="BK118" s="75">
        <f>$C118*INDEX(Curves!$G$8:$G$68,BK$4-$B118+1)</f>
        <v/>
      </c>
      <c r="BL118" s="75">
        <f>$C118*INDEX(Curves!$G$8:$G$68,BL$4-$B118+1)</f>
        <v/>
      </c>
    </row>
    <row r="119">
      <c r="A119" s="74" t="inlineStr">
        <is>
          <t>Cohort month 47</t>
        </is>
      </c>
      <c r="B119" s="74" t="n">
        <v>47</v>
      </c>
      <c r="C119" s="17">
        <f>INDEX(Ops!$E$9:$BL$9,1,$B119)</f>
        <v/>
      </c>
      <c r="AZ119" s="75">
        <f>$C119*INDEX(Curves!$G$8:$G$68,AZ$4-$B119+1)</f>
        <v/>
      </c>
      <c r="BA119" s="75">
        <f>$C119*INDEX(Curves!$G$8:$G$68,BA$4-$B119+1)</f>
        <v/>
      </c>
      <c r="BB119" s="75">
        <f>$C119*INDEX(Curves!$G$8:$G$68,BB$4-$B119+1)</f>
        <v/>
      </c>
      <c r="BC119" s="75">
        <f>$C119*INDEX(Curves!$G$8:$G$68,BC$4-$B119+1)</f>
        <v/>
      </c>
      <c r="BD119" s="75">
        <f>$C119*INDEX(Curves!$G$8:$G$68,BD$4-$B119+1)</f>
        <v/>
      </c>
      <c r="BE119" s="75">
        <f>$C119*INDEX(Curves!$G$8:$G$68,BE$4-$B119+1)</f>
        <v/>
      </c>
      <c r="BF119" s="75">
        <f>$C119*INDEX(Curves!$G$8:$G$68,BF$4-$B119+1)</f>
        <v/>
      </c>
      <c r="BG119" s="75">
        <f>$C119*INDEX(Curves!$G$8:$G$68,BG$4-$B119+1)</f>
        <v/>
      </c>
      <c r="BH119" s="75">
        <f>$C119*INDEX(Curves!$G$8:$G$68,BH$4-$B119+1)</f>
        <v/>
      </c>
      <c r="BI119" s="75">
        <f>$C119*INDEX(Curves!$G$8:$G$68,BI$4-$B119+1)</f>
        <v/>
      </c>
      <c r="BJ119" s="75">
        <f>$C119*INDEX(Curves!$G$8:$G$68,BJ$4-$B119+1)</f>
        <v/>
      </c>
      <c r="BK119" s="75">
        <f>$C119*INDEX(Curves!$G$8:$G$68,BK$4-$B119+1)</f>
        <v/>
      </c>
      <c r="BL119" s="75">
        <f>$C119*INDEX(Curves!$G$8:$G$68,BL$4-$B119+1)</f>
        <v/>
      </c>
    </row>
    <row r="120">
      <c r="A120" s="74" t="inlineStr">
        <is>
          <t>Cohort month 48</t>
        </is>
      </c>
      <c r="B120" s="74" t="n">
        <v>48</v>
      </c>
      <c r="C120" s="17">
        <f>INDEX(Ops!$E$9:$BL$9,1,$B120)</f>
        <v/>
      </c>
      <c r="BA120" s="75">
        <f>$C120*INDEX(Curves!$G$8:$G$68,BA$4-$B120+1)</f>
        <v/>
      </c>
      <c r="BB120" s="75">
        <f>$C120*INDEX(Curves!$G$8:$G$68,BB$4-$B120+1)</f>
        <v/>
      </c>
      <c r="BC120" s="75">
        <f>$C120*INDEX(Curves!$G$8:$G$68,BC$4-$B120+1)</f>
        <v/>
      </c>
      <c r="BD120" s="75">
        <f>$C120*INDEX(Curves!$G$8:$G$68,BD$4-$B120+1)</f>
        <v/>
      </c>
      <c r="BE120" s="75">
        <f>$C120*INDEX(Curves!$G$8:$G$68,BE$4-$B120+1)</f>
        <v/>
      </c>
      <c r="BF120" s="75">
        <f>$C120*INDEX(Curves!$G$8:$G$68,BF$4-$B120+1)</f>
        <v/>
      </c>
      <c r="BG120" s="75">
        <f>$C120*INDEX(Curves!$G$8:$G$68,BG$4-$B120+1)</f>
        <v/>
      </c>
      <c r="BH120" s="75">
        <f>$C120*INDEX(Curves!$G$8:$G$68,BH$4-$B120+1)</f>
        <v/>
      </c>
      <c r="BI120" s="75">
        <f>$C120*INDEX(Curves!$G$8:$G$68,BI$4-$B120+1)</f>
        <v/>
      </c>
      <c r="BJ120" s="75">
        <f>$C120*INDEX(Curves!$G$8:$G$68,BJ$4-$B120+1)</f>
        <v/>
      </c>
      <c r="BK120" s="75">
        <f>$C120*INDEX(Curves!$G$8:$G$68,BK$4-$B120+1)</f>
        <v/>
      </c>
      <c r="BL120" s="75">
        <f>$C120*INDEX(Curves!$G$8:$G$68,BL$4-$B120+1)</f>
        <v/>
      </c>
    </row>
    <row r="121">
      <c r="A121" s="74" t="inlineStr">
        <is>
          <t>Cohort month 49</t>
        </is>
      </c>
      <c r="B121" s="74" t="n">
        <v>49</v>
      </c>
      <c r="C121" s="17">
        <f>INDEX(Ops!$E$9:$BL$9,1,$B121)</f>
        <v/>
      </c>
      <c r="BB121" s="75">
        <f>$C121*INDEX(Curves!$G$8:$G$68,BB$4-$B121+1)</f>
        <v/>
      </c>
      <c r="BC121" s="75">
        <f>$C121*INDEX(Curves!$G$8:$G$68,BC$4-$B121+1)</f>
        <v/>
      </c>
      <c r="BD121" s="75">
        <f>$C121*INDEX(Curves!$G$8:$G$68,BD$4-$B121+1)</f>
        <v/>
      </c>
      <c r="BE121" s="75">
        <f>$C121*INDEX(Curves!$G$8:$G$68,BE$4-$B121+1)</f>
        <v/>
      </c>
      <c r="BF121" s="75">
        <f>$C121*INDEX(Curves!$G$8:$G$68,BF$4-$B121+1)</f>
        <v/>
      </c>
      <c r="BG121" s="75">
        <f>$C121*INDEX(Curves!$G$8:$G$68,BG$4-$B121+1)</f>
        <v/>
      </c>
      <c r="BH121" s="75">
        <f>$C121*INDEX(Curves!$G$8:$G$68,BH$4-$B121+1)</f>
        <v/>
      </c>
      <c r="BI121" s="75">
        <f>$C121*INDEX(Curves!$G$8:$G$68,BI$4-$B121+1)</f>
        <v/>
      </c>
      <c r="BJ121" s="75">
        <f>$C121*INDEX(Curves!$G$8:$G$68,BJ$4-$B121+1)</f>
        <v/>
      </c>
      <c r="BK121" s="75">
        <f>$C121*INDEX(Curves!$G$8:$G$68,BK$4-$B121+1)</f>
        <v/>
      </c>
      <c r="BL121" s="75">
        <f>$C121*INDEX(Curves!$G$8:$G$68,BL$4-$B121+1)</f>
        <v/>
      </c>
    </row>
    <row r="122">
      <c r="A122" s="74" t="inlineStr">
        <is>
          <t>Cohort month 50</t>
        </is>
      </c>
      <c r="B122" s="74" t="n">
        <v>50</v>
      </c>
      <c r="C122" s="17">
        <f>INDEX(Ops!$E$9:$BL$9,1,$B122)</f>
        <v/>
      </c>
      <c r="BC122" s="75">
        <f>$C122*INDEX(Curves!$G$8:$G$68,BC$4-$B122+1)</f>
        <v/>
      </c>
      <c r="BD122" s="75">
        <f>$C122*INDEX(Curves!$G$8:$G$68,BD$4-$B122+1)</f>
        <v/>
      </c>
      <c r="BE122" s="75">
        <f>$C122*INDEX(Curves!$G$8:$G$68,BE$4-$B122+1)</f>
        <v/>
      </c>
      <c r="BF122" s="75">
        <f>$C122*INDEX(Curves!$G$8:$G$68,BF$4-$B122+1)</f>
        <v/>
      </c>
      <c r="BG122" s="75">
        <f>$C122*INDEX(Curves!$G$8:$G$68,BG$4-$B122+1)</f>
        <v/>
      </c>
      <c r="BH122" s="75">
        <f>$C122*INDEX(Curves!$G$8:$G$68,BH$4-$B122+1)</f>
        <v/>
      </c>
      <c r="BI122" s="75">
        <f>$C122*INDEX(Curves!$G$8:$G$68,BI$4-$B122+1)</f>
        <v/>
      </c>
      <c r="BJ122" s="75">
        <f>$C122*INDEX(Curves!$G$8:$G$68,BJ$4-$B122+1)</f>
        <v/>
      </c>
      <c r="BK122" s="75">
        <f>$C122*INDEX(Curves!$G$8:$G$68,BK$4-$B122+1)</f>
        <v/>
      </c>
      <c r="BL122" s="75">
        <f>$C122*INDEX(Curves!$G$8:$G$68,BL$4-$B122+1)</f>
        <v/>
      </c>
    </row>
    <row r="123">
      <c r="A123" s="74" t="inlineStr">
        <is>
          <t>Cohort month 51</t>
        </is>
      </c>
      <c r="B123" s="74" t="n">
        <v>51</v>
      </c>
      <c r="C123" s="17">
        <f>INDEX(Ops!$E$9:$BL$9,1,$B123)</f>
        <v/>
      </c>
      <c r="BD123" s="75">
        <f>$C123*INDEX(Curves!$G$8:$G$68,BD$4-$B123+1)</f>
        <v/>
      </c>
      <c r="BE123" s="75">
        <f>$C123*INDEX(Curves!$G$8:$G$68,BE$4-$B123+1)</f>
        <v/>
      </c>
      <c r="BF123" s="75">
        <f>$C123*INDEX(Curves!$G$8:$G$68,BF$4-$B123+1)</f>
        <v/>
      </c>
      <c r="BG123" s="75">
        <f>$C123*INDEX(Curves!$G$8:$G$68,BG$4-$B123+1)</f>
        <v/>
      </c>
      <c r="BH123" s="75">
        <f>$C123*INDEX(Curves!$G$8:$G$68,BH$4-$B123+1)</f>
        <v/>
      </c>
      <c r="BI123" s="75">
        <f>$C123*INDEX(Curves!$G$8:$G$68,BI$4-$B123+1)</f>
        <v/>
      </c>
      <c r="BJ123" s="75">
        <f>$C123*INDEX(Curves!$G$8:$G$68,BJ$4-$B123+1)</f>
        <v/>
      </c>
      <c r="BK123" s="75">
        <f>$C123*INDEX(Curves!$G$8:$G$68,BK$4-$B123+1)</f>
        <v/>
      </c>
      <c r="BL123" s="75">
        <f>$C123*INDEX(Curves!$G$8:$G$68,BL$4-$B123+1)</f>
        <v/>
      </c>
    </row>
    <row r="124">
      <c r="A124" s="74" t="inlineStr">
        <is>
          <t>Cohort month 52</t>
        </is>
      </c>
      <c r="B124" s="74" t="n">
        <v>52</v>
      </c>
      <c r="C124" s="17">
        <f>INDEX(Ops!$E$9:$BL$9,1,$B124)</f>
        <v/>
      </c>
      <c r="BE124" s="75">
        <f>$C124*INDEX(Curves!$G$8:$G$68,BE$4-$B124+1)</f>
        <v/>
      </c>
      <c r="BF124" s="75">
        <f>$C124*INDEX(Curves!$G$8:$G$68,BF$4-$B124+1)</f>
        <v/>
      </c>
      <c r="BG124" s="75">
        <f>$C124*INDEX(Curves!$G$8:$G$68,BG$4-$B124+1)</f>
        <v/>
      </c>
      <c r="BH124" s="75">
        <f>$C124*INDEX(Curves!$G$8:$G$68,BH$4-$B124+1)</f>
        <v/>
      </c>
      <c r="BI124" s="75">
        <f>$C124*INDEX(Curves!$G$8:$G$68,BI$4-$B124+1)</f>
        <v/>
      </c>
      <c r="BJ124" s="75">
        <f>$C124*INDEX(Curves!$G$8:$G$68,BJ$4-$B124+1)</f>
        <v/>
      </c>
      <c r="BK124" s="75">
        <f>$C124*INDEX(Curves!$G$8:$G$68,BK$4-$B124+1)</f>
        <v/>
      </c>
      <c r="BL124" s="75">
        <f>$C124*INDEX(Curves!$G$8:$G$68,BL$4-$B124+1)</f>
        <v/>
      </c>
    </row>
    <row r="125">
      <c r="A125" s="74" t="inlineStr">
        <is>
          <t>Cohort month 53</t>
        </is>
      </c>
      <c r="B125" s="74" t="n">
        <v>53</v>
      </c>
      <c r="C125" s="17">
        <f>INDEX(Ops!$E$9:$BL$9,1,$B125)</f>
        <v/>
      </c>
      <c r="BF125" s="75">
        <f>$C125*INDEX(Curves!$G$8:$G$68,BF$4-$B125+1)</f>
        <v/>
      </c>
      <c r="BG125" s="75">
        <f>$C125*INDEX(Curves!$G$8:$G$68,BG$4-$B125+1)</f>
        <v/>
      </c>
      <c r="BH125" s="75">
        <f>$C125*INDEX(Curves!$G$8:$G$68,BH$4-$B125+1)</f>
        <v/>
      </c>
      <c r="BI125" s="75">
        <f>$C125*INDEX(Curves!$G$8:$G$68,BI$4-$B125+1)</f>
        <v/>
      </c>
      <c r="BJ125" s="75">
        <f>$C125*INDEX(Curves!$G$8:$G$68,BJ$4-$B125+1)</f>
        <v/>
      </c>
      <c r="BK125" s="75">
        <f>$C125*INDEX(Curves!$G$8:$G$68,BK$4-$B125+1)</f>
        <v/>
      </c>
      <c r="BL125" s="75">
        <f>$C125*INDEX(Curves!$G$8:$G$68,BL$4-$B125+1)</f>
        <v/>
      </c>
    </row>
    <row r="126">
      <c r="A126" s="74" t="inlineStr">
        <is>
          <t>Cohort month 54</t>
        </is>
      </c>
      <c r="B126" s="74" t="n">
        <v>54</v>
      </c>
      <c r="C126" s="17">
        <f>INDEX(Ops!$E$9:$BL$9,1,$B126)</f>
        <v/>
      </c>
      <c r="BG126" s="75">
        <f>$C126*INDEX(Curves!$G$8:$G$68,BG$4-$B126+1)</f>
        <v/>
      </c>
      <c r="BH126" s="75">
        <f>$C126*INDEX(Curves!$G$8:$G$68,BH$4-$B126+1)</f>
        <v/>
      </c>
      <c r="BI126" s="75">
        <f>$C126*INDEX(Curves!$G$8:$G$68,BI$4-$B126+1)</f>
        <v/>
      </c>
      <c r="BJ126" s="75">
        <f>$C126*INDEX(Curves!$G$8:$G$68,BJ$4-$B126+1)</f>
        <v/>
      </c>
      <c r="BK126" s="75">
        <f>$C126*INDEX(Curves!$G$8:$G$68,BK$4-$B126+1)</f>
        <v/>
      </c>
      <c r="BL126" s="75">
        <f>$C126*INDEX(Curves!$G$8:$G$68,BL$4-$B126+1)</f>
        <v/>
      </c>
    </row>
    <row r="127">
      <c r="A127" s="74" t="inlineStr">
        <is>
          <t>Cohort month 55</t>
        </is>
      </c>
      <c r="B127" s="74" t="n">
        <v>55</v>
      </c>
      <c r="C127" s="17">
        <f>INDEX(Ops!$E$9:$BL$9,1,$B127)</f>
        <v/>
      </c>
      <c r="BH127" s="75">
        <f>$C127*INDEX(Curves!$G$8:$G$68,BH$4-$B127+1)</f>
        <v/>
      </c>
      <c r="BI127" s="75">
        <f>$C127*INDEX(Curves!$G$8:$G$68,BI$4-$B127+1)</f>
        <v/>
      </c>
      <c r="BJ127" s="75">
        <f>$C127*INDEX(Curves!$G$8:$G$68,BJ$4-$B127+1)</f>
        <v/>
      </c>
      <c r="BK127" s="75">
        <f>$C127*INDEX(Curves!$G$8:$G$68,BK$4-$B127+1)</f>
        <v/>
      </c>
      <c r="BL127" s="75">
        <f>$C127*INDEX(Curves!$G$8:$G$68,BL$4-$B127+1)</f>
        <v/>
      </c>
    </row>
    <row r="128">
      <c r="A128" s="74" t="inlineStr">
        <is>
          <t>Cohort month 56</t>
        </is>
      </c>
      <c r="B128" s="74" t="n">
        <v>56</v>
      </c>
      <c r="C128" s="17">
        <f>INDEX(Ops!$E$9:$BL$9,1,$B128)</f>
        <v/>
      </c>
      <c r="BI128" s="75">
        <f>$C128*INDEX(Curves!$G$8:$G$68,BI$4-$B128+1)</f>
        <v/>
      </c>
      <c r="BJ128" s="75">
        <f>$C128*INDEX(Curves!$G$8:$G$68,BJ$4-$B128+1)</f>
        <v/>
      </c>
      <c r="BK128" s="75">
        <f>$C128*INDEX(Curves!$G$8:$G$68,BK$4-$B128+1)</f>
        <v/>
      </c>
      <c r="BL128" s="75">
        <f>$C128*INDEX(Curves!$G$8:$G$68,BL$4-$B128+1)</f>
        <v/>
      </c>
    </row>
    <row r="129">
      <c r="A129" s="74" t="inlineStr">
        <is>
          <t>Cohort month 57</t>
        </is>
      </c>
      <c r="B129" s="74" t="n">
        <v>57</v>
      </c>
      <c r="C129" s="17">
        <f>INDEX(Ops!$E$9:$BL$9,1,$B129)</f>
        <v/>
      </c>
      <c r="BJ129" s="75">
        <f>$C129*INDEX(Curves!$G$8:$G$68,BJ$4-$B129+1)</f>
        <v/>
      </c>
      <c r="BK129" s="75">
        <f>$C129*INDEX(Curves!$G$8:$G$68,BK$4-$B129+1)</f>
        <v/>
      </c>
      <c r="BL129" s="75">
        <f>$C129*INDEX(Curves!$G$8:$G$68,BL$4-$B129+1)</f>
        <v/>
      </c>
    </row>
    <row r="130">
      <c r="A130" s="74" t="inlineStr">
        <is>
          <t>Cohort month 58</t>
        </is>
      </c>
      <c r="B130" s="74" t="n">
        <v>58</v>
      </c>
      <c r="C130" s="17">
        <f>INDEX(Ops!$E$9:$BL$9,1,$B130)</f>
        <v/>
      </c>
      <c r="BK130" s="75">
        <f>$C130*INDEX(Curves!$G$8:$G$68,BK$4-$B130+1)</f>
        <v/>
      </c>
      <c r="BL130" s="75">
        <f>$C130*INDEX(Curves!$G$8:$G$68,BL$4-$B130+1)</f>
        <v/>
      </c>
    </row>
    <row r="131">
      <c r="A131" s="74" t="inlineStr">
        <is>
          <t>Cohort month 59</t>
        </is>
      </c>
      <c r="B131" s="74" t="n">
        <v>59</v>
      </c>
      <c r="C131" s="17">
        <f>INDEX(Ops!$E$9:$BL$9,1,$B131)</f>
        <v/>
      </c>
      <c r="BL131" s="75">
        <f>$C131*INDEX(Curves!$G$8:$G$68,BL$4-$B131+1)</f>
        <v/>
      </c>
    </row>
    <row r="132">
      <c r="A132" s="74" t="inlineStr">
        <is>
          <t>Cohort month 60</t>
        </is>
      </c>
      <c r="B132" s="74" t="n">
        <v>60</v>
      </c>
      <c r="C132" s="17">
        <f>INDEX(Ops!$E$9:$BL$9,1,$B132)</f>
        <v/>
      </c>
    </row>
    <row r="133"/>
    <row r="134">
      <c r="A134" s="14" t="inlineStr">
        <is>
          <t>Receivables at risk by cohort (LCY)</t>
        </is>
      </c>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c r="AL134" s="15" t="n"/>
      <c r="AM134" s="15" t="n"/>
      <c r="AN134" s="15" t="n"/>
      <c r="AO134" s="15" t="n"/>
      <c r="AP134" s="15" t="n"/>
      <c r="AQ134" s="15" t="n"/>
      <c r="AR134" s="15" t="n"/>
      <c r="AS134" s="15" t="n"/>
      <c r="AT134" s="15" t="n"/>
      <c r="AU134" s="15" t="n"/>
      <c r="AV134" s="15" t="n"/>
      <c r="AW134" s="15" t="n"/>
      <c r="AX134" s="15" t="n"/>
      <c r="AY134" s="15" t="n"/>
      <c r="AZ134" s="15" t="n"/>
      <c r="BA134" s="15" t="n"/>
      <c r="BB134" s="15" t="n"/>
      <c r="BC134" s="15" t="n"/>
      <c r="BD134" s="15" t="n"/>
      <c r="BE134" s="15" t="n"/>
      <c r="BF134" s="15" t="n"/>
      <c r="BG134" s="15" t="n"/>
      <c r="BH134" s="15" t="n"/>
      <c r="BI134" s="15" t="n"/>
      <c r="BJ134" s="15" t="n"/>
      <c r="BK134" s="15" t="n"/>
      <c r="BL134" s="15" t="n"/>
    </row>
    <row r="135">
      <c r="A135" s="60" t="inlineStr">
        <is>
          <t>Total</t>
        </is>
      </c>
      <c r="B135" s="61" t="inlineStr"/>
      <c r="C135" s="63" t="n"/>
      <c r="D135" s="63" t="n"/>
      <c r="E135" s="71">
        <f>SUM(E136:E195)</f>
        <v/>
      </c>
      <c r="F135" s="71">
        <f>SUM(F136:F195)</f>
        <v/>
      </c>
      <c r="G135" s="71">
        <f>SUM(G136:G195)</f>
        <v/>
      </c>
      <c r="H135" s="71">
        <f>SUM(H136:H195)</f>
        <v/>
      </c>
      <c r="I135" s="71">
        <f>SUM(I136:I195)</f>
        <v/>
      </c>
      <c r="J135" s="71">
        <f>SUM(J136:J195)</f>
        <v/>
      </c>
      <c r="K135" s="71">
        <f>SUM(K136:K195)</f>
        <v/>
      </c>
      <c r="L135" s="71">
        <f>SUM(L136:L195)</f>
        <v/>
      </c>
      <c r="M135" s="71">
        <f>SUM(M136:M195)</f>
        <v/>
      </c>
      <c r="N135" s="71">
        <f>SUM(N136:N195)</f>
        <v/>
      </c>
      <c r="O135" s="71">
        <f>SUM(O136:O195)</f>
        <v/>
      </c>
      <c r="P135" s="71">
        <f>SUM(P136:P195)</f>
        <v/>
      </c>
      <c r="Q135" s="71">
        <f>SUM(Q136:Q195)</f>
        <v/>
      </c>
      <c r="R135" s="71">
        <f>SUM(R136:R195)</f>
        <v/>
      </c>
      <c r="S135" s="71">
        <f>SUM(S136:S195)</f>
        <v/>
      </c>
      <c r="T135" s="71">
        <f>SUM(T136:T195)</f>
        <v/>
      </c>
      <c r="U135" s="71">
        <f>SUM(U136:U195)</f>
        <v/>
      </c>
      <c r="V135" s="71">
        <f>SUM(V136:V195)</f>
        <v/>
      </c>
      <c r="W135" s="71">
        <f>SUM(W136:W195)</f>
        <v/>
      </c>
      <c r="X135" s="71">
        <f>SUM(X136:X195)</f>
        <v/>
      </c>
      <c r="Y135" s="71">
        <f>SUM(Y136:Y195)</f>
        <v/>
      </c>
      <c r="Z135" s="71">
        <f>SUM(Z136:Z195)</f>
        <v/>
      </c>
      <c r="AA135" s="71">
        <f>SUM(AA136:AA195)</f>
        <v/>
      </c>
      <c r="AB135" s="71">
        <f>SUM(AB136:AB195)</f>
        <v/>
      </c>
      <c r="AC135" s="71">
        <f>SUM(AC136:AC195)</f>
        <v/>
      </c>
      <c r="AD135" s="71">
        <f>SUM(AD136:AD195)</f>
        <v/>
      </c>
      <c r="AE135" s="71">
        <f>SUM(AE136:AE195)</f>
        <v/>
      </c>
      <c r="AF135" s="71">
        <f>SUM(AF136:AF195)</f>
        <v/>
      </c>
      <c r="AG135" s="71">
        <f>SUM(AG136:AG195)</f>
        <v/>
      </c>
      <c r="AH135" s="71">
        <f>SUM(AH136:AH195)</f>
        <v/>
      </c>
      <c r="AI135" s="71">
        <f>SUM(AI136:AI195)</f>
        <v/>
      </c>
      <c r="AJ135" s="71">
        <f>SUM(AJ136:AJ195)</f>
        <v/>
      </c>
      <c r="AK135" s="71">
        <f>SUM(AK136:AK195)</f>
        <v/>
      </c>
      <c r="AL135" s="71">
        <f>SUM(AL136:AL195)</f>
        <v/>
      </c>
      <c r="AM135" s="71">
        <f>SUM(AM136:AM195)</f>
        <v/>
      </c>
      <c r="AN135" s="71">
        <f>SUM(AN136:AN195)</f>
        <v/>
      </c>
      <c r="AO135" s="71">
        <f>SUM(AO136:AO195)</f>
        <v/>
      </c>
      <c r="AP135" s="71">
        <f>SUM(AP136:AP195)</f>
        <v/>
      </c>
      <c r="AQ135" s="71">
        <f>SUM(AQ136:AQ195)</f>
        <v/>
      </c>
      <c r="AR135" s="71">
        <f>SUM(AR136:AR195)</f>
        <v/>
      </c>
      <c r="AS135" s="71">
        <f>SUM(AS136:AS195)</f>
        <v/>
      </c>
      <c r="AT135" s="71">
        <f>SUM(AT136:AT195)</f>
        <v/>
      </c>
      <c r="AU135" s="71">
        <f>SUM(AU136:AU195)</f>
        <v/>
      </c>
      <c r="AV135" s="71">
        <f>SUM(AV136:AV195)</f>
        <v/>
      </c>
      <c r="AW135" s="71">
        <f>SUM(AW136:AW195)</f>
        <v/>
      </c>
      <c r="AX135" s="71">
        <f>SUM(AX136:AX195)</f>
        <v/>
      </c>
      <c r="AY135" s="71">
        <f>SUM(AY136:AY195)</f>
        <v/>
      </c>
      <c r="AZ135" s="71">
        <f>SUM(AZ136:AZ195)</f>
        <v/>
      </c>
      <c r="BA135" s="71">
        <f>SUM(BA136:BA195)</f>
        <v/>
      </c>
      <c r="BB135" s="71">
        <f>SUM(BB136:BB195)</f>
        <v/>
      </c>
      <c r="BC135" s="71">
        <f>SUM(BC136:BC195)</f>
        <v/>
      </c>
      <c r="BD135" s="71">
        <f>SUM(BD136:BD195)</f>
        <v/>
      </c>
      <c r="BE135" s="71">
        <f>SUM(BE136:BE195)</f>
        <v/>
      </c>
      <c r="BF135" s="71">
        <f>SUM(BF136:BF195)</f>
        <v/>
      </c>
      <c r="BG135" s="71">
        <f>SUM(BG136:BG195)</f>
        <v/>
      </c>
      <c r="BH135" s="71">
        <f>SUM(BH136:BH195)</f>
        <v/>
      </c>
      <c r="BI135" s="71">
        <f>SUM(BI136:BI195)</f>
        <v/>
      </c>
      <c r="BJ135" s="71">
        <f>SUM(BJ136:BJ195)</f>
        <v/>
      </c>
      <c r="BK135" s="71">
        <f>SUM(BK136:BK195)</f>
        <v/>
      </c>
      <c r="BL135" s="71">
        <f>SUM(BL136:BL195)</f>
        <v/>
      </c>
    </row>
    <row r="136">
      <c r="A136" s="74" t="inlineStr">
        <is>
          <t>Cohort month 1</t>
        </is>
      </c>
      <c r="B136" s="74" t="n">
        <v>1</v>
      </c>
      <c r="C136" s="17">
        <f>INDEX(Ops!$E$10:$BL$10,1,$B136)</f>
        <v/>
      </c>
      <c r="F136" s="75">
        <f>$C136*INDEX(Curves!$F$8:$F$68,F$4-$B136+1)</f>
        <v/>
      </c>
      <c r="G136" s="75">
        <f>$C136*INDEX(Curves!$F$8:$F$68,G$4-$B136+1)</f>
        <v/>
      </c>
      <c r="H136" s="75">
        <f>$C136*INDEX(Curves!$F$8:$F$68,H$4-$B136+1)</f>
        <v/>
      </c>
      <c r="I136" s="75">
        <f>$C136*INDEX(Curves!$F$8:$F$68,I$4-$B136+1)</f>
        <v/>
      </c>
      <c r="J136" s="75">
        <f>$C136*INDEX(Curves!$F$8:$F$68,J$4-$B136+1)</f>
        <v/>
      </c>
      <c r="K136" s="75">
        <f>$C136*INDEX(Curves!$F$8:$F$68,K$4-$B136+1)</f>
        <v/>
      </c>
      <c r="L136" s="75">
        <f>$C136*INDEX(Curves!$F$8:$F$68,L$4-$B136+1)</f>
        <v/>
      </c>
      <c r="M136" s="75">
        <f>$C136*INDEX(Curves!$F$8:$F$68,M$4-$B136+1)</f>
        <v/>
      </c>
      <c r="N136" s="75">
        <f>$C136*INDEX(Curves!$F$8:$F$68,N$4-$B136+1)</f>
        <v/>
      </c>
      <c r="O136" s="75">
        <f>$C136*INDEX(Curves!$F$8:$F$68,O$4-$B136+1)</f>
        <v/>
      </c>
      <c r="P136" s="75">
        <f>$C136*INDEX(Curves!$F$8:$F$68,P$4-$B136+1)</f>
        <v/>
      </c>
      <c r="Q136" s="75">
        <f>$C136*INDEX(Curves!$F$8:$F$68,Q$4-$B136+1)</f>
        <v/>
      </c>
      <c r="R136" s="75">
        <f>$C136*INDEX(Curves!$F$8:$F$68,R$4-$B136+1)</f>
        <v/>
      </c>
      <c r="S136" s="75">
        <f>$C136*INDEX(Curves!$F$8:$F$68,S$4-$B136+1)</f>
        <v/>
      </c>
      <c r="T136" s="75">
        <f>$C136*INDEX(Curves!$F$8:$F$68,T$4-$B136+1)</f>
        <v/>
      </c>
      <c r="U136" s="75">
        <f>$C136*INDEX(Curves!$F$8:$F$68,U$4-$B136+1)</f>
        <v/>
      </c>
      <c r="V136" s="75">
        <f>$C136*INDEX(Curves!$F$8:$F$68,V$4-$B136+1)</f>
        <v/>
      </c>
      <c r="W136" s="75">
        <f>$C136*INDEX(Curves!$F$8:$F$68,W$4-$B136+1)</f>
        <v/>
      </c>
      <c r="X136" s="75">
        <f>$C136*INDEX(Curves!$F$8:$F$68,X$4-$B136+1)</f>
        <v/>
      </c>
      <c r="Y136" s="75">
        <f>$C136*INDEX(Curves!$F$8:$F$68,Y$4-$B136+1)</f>
        <v/>
      </c>
      <c r="Z136" s="75">
        <f>$C136*INDEX(Curves!$F$8:$F$68,Z$4-$B136+1)</f>
        <v/>
      </c>
      <c r="AA136" s="75">
        <f>$C136*INDEX(Curves!$F$8:$F$68,AA$4-$B136+1)</f>
        <v/>
      </c>
      <c r="AB136" s="75">
        <f>$C136*INDEX(Curves!$F$8:$F$68,AB$4-$B136+1)</f>
        <v/>
      </c>
      <c r="AC136" s="75">
        <f>$C136*INDEX(Curves!$F$8:$F$68,AC$4-$B136+1)</f>
        <v/>
      </c>
      <c r="AD136" s="75">
        <f>$C136*INDEX(Curves!$F$8:$F$68,AD$4-$B136+1)</f>
        <v/>
      </c>
      <c r="AE136" s="75">
        <f>$C136*INDEX(Curves!$F$8:$F$68,AE$4-$B136+1)</f>
        <v/>
      </c>
      <c r="AF136" s="75">
        <f>$C136*INDEX(Curves!$F$8:$F$68,AF$4-$B136+1)</f>
        <v/>
      </c>
      <c r="AG136" s="75">
        <f>$C136*INDEX(Curves!$F$8:$F$68,AG$4-$B136+1)</f>
        <v/>
      </c>
      <c r="AH136" s="75">
        <f>$C136*INDEX(Curves!$F$8:$F$68,AH$4-$B136+1)</f>
        <v/>
      </c>
      <c r="AI136" s="75">
        <f>$C136*INDEX(Curves!$F$8:$F$68,AI$4-$B136+1)</f>
        <v/>
      </c>
      <c r="AJ136" s="75">
        <f>$C136*INDEX(Curves!$F$8:$F$68,AJ$4-$B136+1)</f>
        <v/>
      </c>
      <c r="AK136" s="75">
        <f>$C136*INDEX(Curves!$F$8:$F$68,AK$4-$B136+1)</f>
        <v/>
      </c>
      <c r="AL136" s="75">
        <f>$C136*INDEX(Curves!$F$8:$F$68,AL$4-$B136+1)</f>
        <v/>
      </c>
      <c r="AM136" s="75">
        <f>$C136*INDEX(Curves!$F$8:$F$68,AM$4-$B136+1)</f>
        <v/>
      </c>
      <c r="AN136" s="75">
        <f>$C136*INDEX(Curves!$F$8:$F$68,AN$4-$B136+1)</f>
        <v/>
      </c>
      <c r="AO136" s="75">
        <f>$C136*INDEX(Curves!$F$8:$F$68,AO$4-$B136+1)</f>
        <v/>
      </c>
      <c r="AP136" s="75">
        <f>$C136*INDEX(Curves!$F$8:$F$68,AP$4-$B136+1)</f>
        <v/>
      </c>
      <c r="AQ136" s="75">
        <f>$C136*INDEX(Curves!$F$8:$F$68,AQ$4-$B136+1)</f>
        <v/>
      </c>
      <c r="AR136" s="75">
        <f>$C136*INDEX(Curves!$F$8:$F$68,AR$4-$B136+1)</f>
        <v/>
      </c>
      <c r="AS136" s="75">
        <f>$C136*INDEX(Curves!$F$8:$F$68,AS$4-$B136+1)</f>
        <v/>
      </c>
      <c r="AT136" s="75">
        <f>$C136*INDEX(Curves!$F$8:$F$68,AT$4-$B136+1)</f>
        <v/>
      </c>
      <c r="AU136" s="75">
        <f>$C136*INDEX(Curves!$F$8:$F$68,AU$4-$B136+1)</f>
        <v/>
      </c>
      <c r="AV136" s="75">
        <f>$C136*INDEX(Curves!$F$8:$F$68,AV$4-$B136+1)</f>
        <v/>
      </c>
      <c r="AW136" s="75">
        <f>$C136*INDEX(Curves!$F$8:$F$68,AW$4-$B136+1)</f>
        <v/>
      </c>
      <c r="AX136" s="75">
        <f>$C136*INDEX(Curves!$F$8:$F$68,AX$4-$B136+1)</f>
        <v/>
      </c>
      <c r="AY136" s="75">
        <f>$C136*INDEX(Curves!$F$8:$F$68,AY$4-$B136+1)</f>
        <v/>
      </c>
      <c r="AZ136" s="75">
        <f>$C136*INDEX(Curves!$F$8:$F$68,AZ$4-$B136+1)</f>
        <v/>
      </c>
      <c r="BA136" s="75">
        <f>$C136*INDEX(Curves!$F$8:$F$68,BA$4-$B136+1)</f>
        <v/>
      </c>
      <c r="BB136" s="75">
        <f>$C136*INDEX(Curves!$F$8:$F$68,BB$4-$B136+1)</f>
        <v/>
      </c>
      <c r="BC136" s="75">
        <f>$C136*INDEX(Curves!$F$8:$F$68,BC$4-$B136+1)</f>
        <v/>
      </c>
      <c r="BD136" s="75">
        <f>$C136*INDEX(Curves!$F$8:$F$68,BD$4-$B136+1)</f>
        <v/>
      </c>
      <c r="BE136" s="75">
        <f>$C136*INDEX(Curves!$F$8:$F$68,BE$4-$B136+1)</f>
        <v/>
      </c>
      <c r="BF136" s="75">
        <f>$C136*INDEX(Curves!$F$8:$F$68,BF$4-$B136+1)</f>
        <v/>
      </c>
      <c r="BG136" s="75">
        <f>$C136*INDEX(Curves!$F$8:$F$68,BG$4-$B136+1)</f>
        <v/>
      </c>
      <c r="BH136" s="75">
        <f>$C136*INDEX(Curves!$F$8:$F$68,BH$4-$B136+1)</f>
        <v/>
      </c>
      <c r="BI136" s="75">
        <f>$C136*INDEX(Curves!$F$8:$F$68,BI$4-$B136+1)</f>
        <v/>
      </c>
      <c r="BJ136" s="75">
        <f>$C136*INDEX(Curves!$F$8:$F$68,BJ$4-$B136+1)</f>
        <v/>
      </c>
      <c r="BK136" s="75">
        <f>$C136*INDEX(Curves!$F$8:$F$68,BK$4-$B136+1)</f>
        <v/>
      </c>
      <c r="BL136" s="75">
        <f>$C136*INDEX(Curves!$F$8:$F$68,BL$4-$B136+1)</f>
        <v/>
      </c>
    </row>
    <row r="137">
      <c r="A137" s="74" t="inlineStr">
        <is>
          <t>Cohort month 2</t>
        </is>
      </c>
      <c r="B137" s="74" t="n">
        <v>2</v>
      </c>
      <c r="C137" s="17">
        <f>INDEX(Ops!$E$10:$BL$10,1,$B137)</f>
        <v/>
      </c>
      <c r="G137" s="75">
        <f>$C137*INDEX(Curves!$F$8:$F$68,G$4-$B137+1)</f>
        <v/>
      </c>
      <c r="H137" s="75">
        <f>$C137*INDEX(Curves!$F$8:$F$68,H$4-$B137+1)</f>
        <v/>
      </c>
      <c r="I137" s="75">
        <f>$C137*INDEX(Curves!$F$8:$F$68,I$4-$B137+1)</f>
        <v/>
      </c>
      <c r="J137" s="75">
        <f>$C137*INDEX(Curves!$F$8:$F$68,J$4-$B137+1)</f>
        <v/>
      </c>
      <c r="K137" s="75">
        <f>$C137*INDEX(Curves!$F$8:$F$68,K$4-$B137+1)</f>
        <v/>
      </c>
      <c r="L137" s="75">
        <f>$C137*INDEX(Curves!$F$8:$F$68,L$4-$B137+1)</f>
        <v/>
      </c>
      <c r="M137" s="75">
        <f>$C137*INDEX(Curves!$F$8:$F$68,M$4-$B137+1)</f>
        <v/>
      </c>
      <c r="N137" s="75">
        <f>$C137*INDEX(Curves!$F$8:$F$68,N$4-$B137+1)</f>
        <v/>
      </c>
      <c r="O137" s="75">
        <f>$C137*INDEX(Curves!$F$8:$F$68,O$4-$B137+1)</f>
        <v/>
      </c>
      <c r="P137" s="75">
        <f>$C137*INDEX(Curves!$F$8:$F$68,P$4-$B137+1)</f>
        <v/>
      </c>
      <c r="Q137" s="75">
        <f>$C137*INDEX(Curves!$F$8:$F$68,Q$4-$B137+1)</f>
        <v/>
      </c>
      <c r="R137" s="75">
        <f>$C137*INDEX(Curves!$F$8:$F$68,R$4-$B137+1)</f>
        <v/>
      </c>
      <c r="S137" s="75">
        <f>$C137*INDEX(Curves!$F$8:$F$68,S$4-$B137+1)</f>
        <v/>
      </c>
      <c r="T137" s="75">
        <f>$C137*INDEX(Curves!$F$8:$F$68,T$4-$B137+1)</f>
        <v/>
      </c>
      <c r="U137" s="75">
        <f>$C137*INDEX(Curves!$F$8:$F$68,U$4-$B137+1)</f>
        <v/>
      </c>
      <c r="V137" s="75">
        <f>$C137*INDEX(Curves!$F$8:$F$68,V$4-$B137+1)</f>
        <v/>
      </c>
      <c r="W137" s="75">
        <f>$C137*INDEX(Curves!$F$8:$F$68,W$4-$B137+1)</f>
        <v/>
      </c>
      <c r="X137" s="75">
        <f>$C137*INDEX(Curves!$F$8:$F$68,X$4-$B137+1)</f>
        <v/>
      </c>
      <c r="Y137" s="75">
        <f>$C137*INDEX(Curves!$F$8:$F$68,Y$4-$B137+1)</f>
        <v/>
      </c>
      <c r="Z137" s="75">
        <f>$C137*INDEX(Curves!$F$8:$F$68,Z$4-$B137+1)</f>
        <v/>
      </c>
      <c r="AA137" s="75">
        <f>$C137*INDEX(Curves!$F$8:$F$68,AA$4-$B137+1)</f>
        <v/>
      </c>
      <c r="AB137" s="75">
        <f>$C137*INDEX(Curves!$F$8:$F$68,AB$4-$B137+1)</f>
        <v/>
      </c>
      <c r="AC137" s="75">
        <f>$C137*INDEX(Curves!$F$8:$F$68,AC$4-$B137+1)</f>
        <v/>
      </c>
      <c r="AD137" s="75">
        <f>$C137*INDEX(Curves!$F$8:$F$68,AD$4-$B137+1)</f>
        <v/>
      </c>
      <c r="AE137" s="75">
        <f>$C137*INDEX(Curves!$F$8:$F$68,AE$4-$B137+1)</f>
        <v/>
      </c>
      <c r="AF137" s="75">
        <f>$C137*INDEX(Curves!$F$8:$F$68,AF$4-$B137+1)</f>
        <v/>
      </c>
      <c r="AG137" s="75">
        <f>$C137*INDEX(Curves!$F$8:$F$68,AG$4-$B137+1)</f>
        <v/>
      </c>
      <c r="AH137" s="75">
        <f>$C137*INDEX(Curves!$F$8:$F$68,AH$4-$B137+1)</f>
        <v/>
      </c>
      <c r="AI137" s="75">
        <f>$C137*INDEX(Curves!$F$8:$F$68,AI$4-$B137+1)</f>
        <v/>
      </c>
      <c r="AJ137" s="75">
        <f>$C137*INDEX(Curves!$F$8:$F$68,AJ$4-$B137+1)</f>
        <v/>
      </c>
      <c r="AK137" s="75">
        <f>$C137*INDEX(Curves!$F$8:$F$68,AK$4-$B137+1)</f>
        <v/>
      </c>
      <c r="AL137" s="75">
        <f>$C137*INDEX(Curves!$F$8:$F$68,AL$4-$B137+1)</f>
        <v/>
      </c>
      <c r="AM137" s="75">
        <f>$C137*INDEX(Curves!$F$8:$F$68,AM$4-$B137+1)</f>
        <v/>
      </c>
      <c r="AN137" s="75">
        <f>$C137*INDEX(Curves!$F$8:$F$68,AN$4-$B137+1)</f>
        <v/>
      </c>
      <c r="AO137" s="75">
        <f>$C137*INDEX(Curves!$F$8:$F$68,AO$4-$B137+1)</f>
        <v/>
      </c>
      <c r="AP137" s="75">
        <f>$C137*INDEX(Curves!$F$8:$F$68,AP$4-$B137+1)</f>
        <v/>
      </c>
      <c r="AQ137" s="75">
        <f>$C137*INDEX(Curves!$F$8:$F$68,AQ$4-$B137+1)</f>
        <v/>
      </c>
      <c r="AR137" s="75">
        <f>$C137*INDEX(Curves!$F$8:$F$68,AR$4-$B137+1)</f>
        <v/>
      </c>
      <c r="AS137" s="75">
        <f>$C137*INDEX(Curves!$F$8:$F$68,AS$4-$B137+1)</f>
        <v/>
      </c>
      <c r="AT137" s="75">
        <f>$C137*INDEX(Curves!$F$8:$F$68,AT$4-$B137+1)</f>
        <v/>
      </c>
      <c r="AU137" s="75">
        <f>$C137*INDEX(Curves!$F$8:$F$68,AU$4-$B137+1)</f>
        <v/>
      </c>
      <c r="AV137" s="75">
        <f>$C137*INDEX(Curves!$F$8:$F$68,AV$4-$B137+1)</f>
        <v/>
      </c>
      <c r="AW137" s="75">
        <f>$C137*INDEX(Curves!$F$8:$F$68,AW$4-$B137+1)</f>
        <v/>
      </c>
      <c r="AX137" s="75">
        <f>$C137*INDEX(Curves!$F$8:$F$68,AX$4-$B137+1)</f>
        <v/>
      </c>
      <c r="AY137" s="75">
        <f>$C137*INDEX(Curves!$F$8:$F$68,AY$4-$B137+1)</f>
        <v/>
      </c>
      <c r="AZ137" s="75">
        <f>$C137*INDEX(Curves!$F$8:$F$68,AZ$4-$B137+1)</f>
        <v/>
      </c>
      <c r="BA137" s="75">
        <f>$C137*INDEX(Curves!$F$8:$F$68,BA$4-$B137+1)</f>
        <v/>
      </c>
      <c r="BB137" s="75">
        <f>$C137*INDEX(Curves!$F$8:$F$68,BB$4-$B137+1)</f>
        <v/>
      </c>
      <c r="BC137" s="75">
        <f>$C137*INDEX(Curves!$F$8:$F$68,BC$4-$B137+1)</f>
        <v/>
      </c>
      <c r="BD137" s="75">
        <f>$C137*INDEX(Curves!$F$8:$F$68,BD$4-$B137+1)</f>
        <v/>
      </c>
      <c r="BE137" s="75">
        <f>$C137*INDEX(Curves!$F$8:$F$68,BE$4-$B137+1)</f>
        <v/>
      </c>
      <c r="BF137" s="75">
        <f>$C137*INDEX(Curves!$F$8:$F$68,BF$4-$B137+1)</f>
        <v/>
      </c>
      <c r="BG137" s="75">
        <f>$C137*INDEX(Curves!$F$8:$F$68,BG$4-$B137+1)</f>
        <v/>
      </c>
      <c r="BH137" s="75">
        <f>$C137*INDEX(Curves!$F$8:$F$68,BH$4-$B137+1)</f>
        <v/>
      </c>
      <c r="BI137" s="75">
        <f>$C137*INDEX(Curves!$F$8:$F$68,BI$4-$B137+1)</f>
        <v/>
      </c>
      <c r="BJ137" s="75">
        <f>$C137*INDEX(Curves!$F$8:$F$68,BJ$4-$B137+1)</f>
        <v/>
      </c>
      <c r="BK137" s="75">
        <f>$C137*INDEX(Curves!$F$8:$F$68,BK$4-$B137+1)</f>
        <v/>
      </c>
      <c r="BL137" s="75">
        <f>$C137*INDEX(Curves!$F$8:$F$68,BL$4-$B137+1)</f>
        <v/>
      </c>
    </row>
    <row r="138">
      <c r="A138" s="74" t="inlineStr">
        <is>
          <t>Cohort month 3</t>
        </is>
      </c>
      <c r="B138" s="74" t="n">
        <v>3</v>
      </c>
      <c r="C138" s="17">
        <f>INDEX(Ops!$E$10:$BL$10,1,$B138)</f>
        <v/>
      </c>
      <c r="H138" s="75">
        <f>$C138*INDEX(Curves!$F$8:$F$68,H$4-$B138+1)</f>
        <v/>
      </c>
      <c r="I138" s="75">
        <f>$C138*INDEX(Curves!$F$8:$F$68,I$4-$B138+1)</f>
        <v/>
      </c>
      <c r="J138" s="75">
        <f>$C138*INDEX(Curves!$F$8:$F$68,J$4-$B138+1)</f>
        <v/>
      </c>
      <c r="K138" s="75">
        <f>$C138*INDEX(Curves!$F$8:$F$68,K$4-$B138+1)</f>
        <v/>
      </c>
      <c r="L138" s="75">
        <f>$C138*INDEX(Curves!$F$8:$F$68,L$4-$B138+1)</f>
        <v/>
      </c>
      <c r="M138" s="75">
        <f>$C138*INDEX(Curves!$F$8:$F$68,M$4-$B138+1)</f>
        <v/>
      </c>
      <c r="N138" s="75">
        <f>$C138*INDEX(Curves!$F$8:$F$68,N$4-$B138+1)</f>
        <v/>
      </c>
      <c r="O138" s="75">
        <f>$C138*INDEX(Curves!$F$8:$F$68,O$4-$B138+1)</f>
        <v/>
      </c>
      <c r="P138" s="75">
        <f>$C138*INDEX(Curves!$F$8:$F$68,P$4-$B138+1)</f>
        <v/>
      </c>
      <c r="Q138" s="75">
        <f>$C138*INDEX(Curves!$F$8:$F$68,Q$4-$B138+1)</f>
        <v/>
      </c>
      <c r="R138" s="75">
        <f>$C138*INDEX(Curves!$F$8:$F$68,R$4-$B138+1)</f>
        <v/>
      </c>
      <c r="S138" s="75">
        <f>$C138*INDEX(Curves!$F$8:$F$68,S$4-$B138+1)</f>
        <v/>
      </c>
      <c r="T138" s="75">
        <f>$C138*INDEX(Curves!$F$8:$F$68,T$4-$B138+1)</f>
        <v/>
      </c>
      <c r="U138" s="75">
        <f>$C138*INDEX(Curves!$F$8:$F$68,U$4-$B138+1)</f>
        <v/>
      </c>
      <c r="V138" s="75">
        <f>$C138*INDEX(Curves!$F$8:$F$68,V$4-$B138+1)</f>
        <v/>
      </c>
      <c r="W138" s="75">
        <f>$C138*INDEX(Curves!$F$8:$F$68,W$4-$B138+1)</f>
        <v/>
      </c>
      <c r="X138" s="75">
        <f>$C138*INDEX(Curves!$F$8:$F$68,X$4-$B138+1)</f>
        <v/>
      </c>
      <c r="Y138" s="75">
        <f>$C138*INDEX(Curves!$F$8:$F$68,Y$4-$B138+1)</f>
        <v/>
      </c>
      <c r="Z138" s="75">
        <f>$C138*INDEX(Curves!$F$8:$F$68,Z$4-$B138+1)</f>
        <v/>
      </c>
      <c r="AA138" s="75">
        <f>$C138*INDEX(Curves!$F$8:$F$68,AA$4-$B138+1)</f>
        <v/>
      </c>
      <c r="AB138" s="75">
        <f>$C138*INDEX(Curves!$F$8:$F$68,AB$4-$B138+1)</f>
        <v/>
      </c>
      <c r="AC138" s="75">
        <f>$C138*INDEX(Curves!$F$8:$F$68,AC$4-$B138+1)</f>
        <v/>
      </c>
      <c r="AD138" s="75">
        <f>$C138*INDEX(Curves!$F$8:$F$68,AD$4-$B138+1)</f>
        <v/>
      </c>
      <c r="AE138" s="75">
        <f>$C138*INDEX(Curves!$F$8:$F$68,AE$4-$B138+1)</f>
        <v/>
      </c>
      <c r="AF138" s="75">
        <f>$C138*INDEX(Curves!$F$8:$F$68,AF$4-$B138+1)</f>
        <v/>
      </c>
      <c r="AG138" s="75">
        <f>$C138*INDEX(Curves!$F$8:$F$68,AG$4-$B138+1)</f>
        <v/>
      </c>
      <c r="AH138" s="75">
        <f>$C138*INDEX(Curves!$F$8:$F$68,AH$4-$B138+1)</f>
        <v/>
      </c>
      <c r="AI138" s="75">
        <f>$C138*INDEX(Curves!$F$8:$F$68,AI$4-$B138+1)</f>
        <v/>
      </c>
      <c r="AJ138" s="75">
        <f>$C138*INDEX(Curves!$F$8:$F$68,AJ$4-$B138+1)</f>
        <v/>
      </c>
      <c r="AK138" s="75">
        <f>$C138*INDEX(Curves!$F$8:$F$68,AK$4-$B138+1)</f>
        <v/>
      </c>
      <c r="AL138" s="75">
        <f>$C138*INDEX(Curves!$F$8:$F$68,AL$4-$B138+1)</f>
        <v/>
      </c>
      <c r="AM138" s="75">
        <f>$C138*INDEX(Curves!$F$8:$F$68,AM$4-$B138+1)</f>
        <v/>
      </c>
      <c r="AN138" s="75">
        <f>$C138*INDEX(Curves!$F$8:$F$68,AN$4-$B138+1)</f>
        <v/>
      </c>
      <c r="AO138" s="75">
        <f>$C138*INDEX(Curves!$F$8:$F$68,AO$4-$B138+1)</f>
        <v/>
      </c>
      <c r="AP138" s="75">
        <f>$C138*INDEX(Curves!$F$8:$F$68,AP$4-$B138+1)</f>
        <v/>
      </c>
      <c r="AQ138" s="75">
        <f>$C138*INDEX(Curves!$F$8:$F$68,AQ$4-$B138+1)</f>
        <v/>
      </c>
      <c r="AR138" s="75">
        <f>$C138*INDEX(Curves!$F$8:$F$68,AR$4-$B138+1)</f>
        <v/>
      </c>
      <c r="AS138" s="75">
        <f>$C138*INDEX(Curves!$F$8:$F$68,AS$4-$B138+1)</f>
        <v/>
      </c>
      <c r="AT138" s="75">
        <f>$C138*INDEX(Curves!$F$8:$F$68,AT$4-$B138+1)</f>
        <v/>
      </c>
      <c r="AU138" s="75">
        <f>$C138*INDEX(Curves!$F$8:$F$68,AU$4-$B138+1)</f>
        <v/>
      </c>
      <c r="AV138" s="75">
        <f>$C138*INDEX(Curves!$F$8:$F$68,AV$4-$B138+1)</f>
        <v/>
      </c>
      <c r="AW138" s="75">
        <f>$C138*INDEX(Curves!$F$8:$F$68,AW$4-$B138+1)</f>
        <v/>
      </c>
      <c r="AX138" s="75">
        <f>$C138*INDEX(Curves!$F$8:$F$68,AX$4-$B138+1)</f>
        <v/>
      </c>
      <c r="AY138" s="75">
        <f>$C138*INDEX(Curves!$F$8:$F$68,AY$4-$B138+1)</f>
        <v/>
      </c>
      <c r="AZ138" s="75">
        <f>$C138*INDEX(Curves!$F$8:$F$68,AZ$4-$B138+1)</f>
        <v/>
      </c>
      <c r="BA138" s="75">
        <f>$C138*INDEX(Curves!$F$8:$F$68,BA$4-$B138+1)</f>
        <v/>
      </c>
      <c r="BB138" s="75">
        <f>$C138*INDEX(Curves!$F$8:$F$68,BB$4-$B138+1)</f>
        <v/>
      </c>
      <c r="BC138" s="75">
        <f>$C138*INDEX(Curves!$F$8:$F$68,BC$4-$B138+1)</f>
        <v/>
      </c>
      <c r="BD138" s="75">
        <f>$C138*INDEX(Curves!$F$8:$F$68,BD$4-$B138+1)</f>
        <v/>
      </c>
      <c r="BE138" s="75">
        <f>$C138*INDEX(Curves!$F$8:$F$68,BE$4-$B138+1)</f>
        <v/>
      </c>
      <c r="BF138" s="75">
        <f>$C138*INDEX(Curves!$F$8:$F$68,BF$4-$B138+1)</f>
        <v/>
      </c>
      <c r="BG138" s="75">
        <f>$C138*INDEX(Curves!$F$8:$F$68,BG$4-$B138+1)</f>
        <v/>
      </c>
      <c r="BH138" s="75">
        <f>$C138*INDEX(Curves!$F$8:$F$68,BH$4-$B138+1)</f>
        <v/>
      </c>
      <c r="BI138" s="75">
        <f>$C138*INDEX(Curves!$F$8:$F$68,BI$4-$B138+1)</f>
        <v/>
      </c>
      <c r="BJ138" s="75">
        <f>$C138*INDEX(Curves!$F$8:$F$68,BJ$4-$B138+1)</f>
        <v/>
      </c>
      <c r="BK138" s="75">
        <f>$C138*INDEX(Curves!$F$8:$F$68,BK$4-$B138+1)</f>
        <v/>
      </c>
      <c r="BL138" s="75">
        <f>$C138*INDEX(Curves!$F$8:$F$68,BL$4-$B138+1)</f>
        <v/>
      </c>
    </row>
    <row r="139">
      <c r="A139" s="74" t="inlineStr">
        <is>
          <t>Cohort month 4</t>
        </is>
      </c>
      <c r="B139" s="74" t="n">
        <v>4</v>
      </c>
      <c r="C139" s="17">
        <f>INDEX(Ops!$E$10:$BL$10,1,$B139)</f>
        <v/>
      </c>
      <c r="I139" s="75">
        <f>$C139*INDEX(Curves!$F$8:$F$68,I$4-$B139+1)</f>
        <v/>
      </c>
      <c r="J139" s="75">
        <f>$C139*INDEX(Curves!$F$8:$F$68,J$4-$B139+1)</f>
        <v/>
      </c>
      <c r="K139" s="75">
        <f>$C139*INDEX(Curves!$F$8:$F$68,K$4-$B139+1)</f>
        <v/>
      </c>
      <c r="L139" s="75">
        <f>$C139*INDEX(Curves!$F$8:$F$68,L$4-$B139+1)</f>
        <v/>
      </c>
      <c r="M139" s="75">
        <f>$C139*INDEX(Curves!$F$8:$F$68,M$4-$B139+1)</f>
        <v/>
      </c>
      <c r="N139" s="75">
        <f>$C139*INDEX(Curves!$F$8:$F$68,N$4-$B139+1)</f>
        <v/>
      </c>
      <c r="O139" s="75">
        <f>$C139*INDEX(Curves!$F$8:$F$68,O$4-$B139+1)</f>
        <v/>
      </c>
      <c r="P139" s="75">
        <f>$C139*INDEX(Curves!$F$8:$F$68,P$4-$B139+1)</f>
        <v/>
      </c>
      <c r="Q139" s="75">
        <f>$C139*INDEX(Curves!$F$8:$F$68,Q$4-$B139+1)</f>
        <v/>
      </c>
      <c r="R139" s="75">
        <f>$C139*INDEX(Curves!$F$8:$F$68,R$4-$B139+1)</f>
        <v/>
      </c>
      <c r="S139" s="75">
        <f>$C139*INDEX(Curves!$F$8:$F$68,S$4-$B139+1)</f>
        <v/>
      </c>
      <c r="T139" s="75">
        <f>$C139*INDEX(Curves!$F$8:$F$68,T$4-$B139+1)</f>
        <v/>
      </c>
      <c r="U139" s="75">
        <f>$C139*INDEX(Curves!$F$8:$F$68,U$4-$B139+1)</f>
        <v/>
      </c>
      <c r="V139" s="75">
        <f>$C139*INDEX(Curves!$F$8:$F$68,V$4-$B139+1)</f>
        <v/>
      </c>
      <c r="W139" s="75">
        <f>$C139*INDEX(Curves!$F$8:$F$68,W$4-$B139+1)</f>
        <v/>
      </c>
      <c r="X139" s="75">
        <f>$C139*INDEX(Curves!$F$8:$F$68,X$4-$B139+1)</f>
        <v/>
      </c>
      <c r="Y139" s="75">
        <f>$C139*INDEX(Curves!$F$8:$F$68,Y$4-$B139+1)</f>
        <v/>
      </c>
      <c r="Z139" s="75">
        <f>$C139*INDEX(Curves!$F$8:$F$68,Z$4-$B139+1)</f>
        <v/>
      </c>
      <c r="AA139" s="75">
        <f>$C139*INDEX(Curves!$F$8:$F$68,AA$4-$B139+1)</f>
        <v/>
      </c>
      <c r="AB139" s="75">
        <f>$C139*INDEX(Curves!$F$8:$F$68,AB$4-$B139+1)</f>
        <v/>
      </c>
      <c r="AC139" s="75">
        <f>$C139*INDEX(Curves!$F$8:$F$68,AC$4-$B139+1)</f>
        <v/>
      </c>
      <c r="AD139" s="75">
        <f>$C139*INDEX(Curves!$F$8:$F$68,AD$4-$B139+1)</f>
        <v/>
      </c>
      <c r="AE139" s="75">
        <f>$C139*INDEX(Curves!$F$8:$F$68,AE$4-$B139+1)</f>
        <v/>
      </c>
      <c r="AF139" s="75">
        <f>$C139*INDEX(Curves!$F$8:$F$68,AF$4-$B139+1)</f>
        <v/>
      </c>
      <c r="AG139" s="75">
        <f>$C139*INDEX(Curves!$F$8:$F$68,AG$4-$B139+1)</f>
        <v/>
      </c>
      <c r="AH139" s="75">
        <f>$C139*INDEX(Curves!$F$8:$F$68,AH$4-$B139+1)</f>
        <v/>
      </c>
      <c r="AI139" s="75">
        <f>$C139*INDEX(Curves!$F$8:$F$68,AI$4-$B139+1)</f>
        <v/>
      </c>
      <c r="AJ139" s="75">
        <f>$C139*INDEX(Curves!$F$8:$F$68,AJ$4-$B139+1)</f>
        <v/>
      </c>
      <c r="AK139" s="75">
        <f>$C139*INDEX(Curves!$F$8:$F$68,AK$4-$B139+1)</f>
        <v/>
      </c>
      <c r="AL139" s="75">
        <f>$C139*INDEX(Curves!$F$8:$F$68,AL$4-$B139+1)</f>
        <v/>
      </c>
      <c r="AM139" s="75">
        <f>$C139*INDEX(Curves!$F$8:$F$68,AM$4-$B139+1)</f>
        <v/>
      </c>
      <c r="AN139" s="75">
        <f>$C139*INDEX(Curves!$F$8:$F$68,AN$4-$B139+1)</f>
        <v/>
      </c>
      <c r="AO139" s="75">
        <f>$C139*INDEX(Curves!$F$8:$F$68,AO$4-$B139+1)</f>
        <v/>
      </c>
      <c r="AP139" s="75">
        <f>$C139*INDEX(Curves!$F$8:$F$68,AP$4-$B139+1)</f>
        <v/>
      </c>
      <c r="AQ139" s="75">
        <f>$C139*INDEX(Curves!$F$8:$F$68,AQ$4-$B139+1)</f>
        <v/>
      </c>
      <c r="AR139" s="75">
        <f>$C139*INDEX(Curves!$F$8:$F$68,AR$4-$B139+1)</f>
        <v/>
      </c>
      <c r="AS139" s="75">
        <f>$C139*INDEX(Curves!$F$8:$F$68,AS$4-$B139+1)</f>
        <v/>
      </c>
      <c r="AT139" s="75">
        <f>$C139*INDEX(Curves!$F$8:$F$68,AT$4-$B139+1)</f>
        <v/>
      </c>
      <c r="AU139" s="75">
        <f>$C139*INDEX(Curves!$F$8:$F$68,AU$4-$B139+1)</f>
        <v/>
      </c>
      <c r="AV139" s="75">
        <f>$C139*INDEX(Curves!$F$8:$F$68,AV$4-$B139+1)</f>
        <v/>
      </c>
      <c r="AW139" s="75">
        <f>$C139*INDEX(Curves!$F$8:$F$68,AW$4-$B139+1)</f>
        <v/>
      </c>
      <c r="AX139" s="75">
        <f>$C139*INDEX(Curves!$F$8:$F$68,AX$4-$B139+1)</f>
        <v/>
      </c>
      <c r="AY139" s="75">
        <f>$C139*INDEX(Curves!$F$8:$F$68,AY$4-$B139+1)</f>
        <v/>
      </c>
      <c r="AZ139" s="75">
        <f>$C139*INDEX(Curves!$F$8:$F$68,AZ$4-$B139+1)</f>
        <v/>
      </c>
      <c r="BA139" s="75">
        <f>$C139*INDEX(Curves!$F$8:$F$68,BA$4-$B139+1)</f>
        <v/>
      </c>
      <c r="BB139" s="75">
        <f>$C139*INDEX(Curves!$F$8:$F$68,BB$4-$B139+1)</f>
        <v/>
      </c>
      <c r="BC139" s="75">
        <f>$C139*INDEX(Curves!$F$8:$F$68,BC$4-$B139+1)</f>
        <v/>
      </c>
      <c r="BD139" s="75">
        <f>$C139*INDEX(Curves!$F$8:$F$68,BD$4-$B139+1)</f>
        <v/>
      </c>
      <c r="BE139" s="75">
        <f>$C139*INDEX(Curves!$F$8:$F$68,BE$4-$B139+1)</f>
        <v/>
      </c>
      <c r="BF139" s="75">
        <f>$C139*INDEX(Curves!$F$8:$F$68,BF$4-$B139+1)</f>
        <v/>
      </c>
      <c r="BG139" s="75">
        <f>$C139*INDEX(Curves!$F$8:$F$68,BG$4-$B139+1)</f>
        <v/>
      </c>
      <c r="BH139" s="75">
        <f>$C139*INDEX(Curves!$F$8:$F$68,BH$4-$B139+1)</f>
        <v/>
      </c>
      <c r="BI139" s="75">
        <f>$C139*INDEX(Curves!$F$8:$F$68,BI$4-$B139+1)</f>
        <v/>
      </c>
      <c r="BJ139" s="75">
        <f>$C139*INDEX(Curves!$F$8:$F$68,BJ$4-$B139+1)</f>
        <v/>
      </c>
      <c r="BK139" s="75">
        <f>$C139*INDEX(Curves!$F$8:$F$68,BK$4-$B139+1)</f>
        <v/>
      </c>
      <c r="BL139" s="75">
        <f>$C139*INDEX(Curves!$F$8:$F$68,BL$4-$B139+1)</f>
        <v/>
      </c>
    </row>
    <row r="140">
      <c r="A140" s="74" t="inlineStr">
        <is>
          <t>Cohort month 5</t>
        </is>
      </c>
      <c r="B140" s="74" t="n">
        <v>5</v>
      </c>
      <c r="C140" s="17">
        <f>INDEX(Ops!$E$10:$BL$10,1,$B140)</f>
        <v/>
      </c>
      <c r="J140" s="75">
        <f>$C140*INDEX(Curves!$F$8:$F$68,J$4-$B140+1)</f>
        <v/>
      </c>
      <c r="K140" s="75">
        <f>$C140*INDEX(Curves!$F$8:$F$68,K$4-$B140+1)</f>
        <v/>
      </c>
      <c r="L140" s="75">
        <f>$C140*INDEX(Curves!$F$8:$F$68,L$4-$B140+1)</f>
        <v/>
      </c>
      <c r="M140" s="75">
        <f>$C140*INDEX(Curves!$F$8:$F$68,M$4-$B140+1)</f>
        <v/>
      </c>
      <c r="N140" s="75">
        <f>$C140*INDEX(Curves!$F$8:$F$68,N$4-$B140+1)</f>
        <v/>
      </c>
      <c r="O140" s="75">
        <f>$C140*INDEX(Curves!$F$8:$F$68,O$4-$B140+1)</f>
        <v/>
      </c>
      <c r="P140" s="75">
        <f>$C140*INDEX(Curves!$F$8:$F$68,P$4-$B140+1)</f>
        <v/>
      </c>
      <c r="Q140" s="75">
        <f>$C140*INDEX(Curves!$F$8:$F$68,Q$4-$B140+1)</f>
        <v/>
      </c>
      <c r="R140" s="75">
        <f>$C140*INDEX(Curves!$F$8:$F$68,R$4-$B140+1)</f>
        <v/>
      </c>
      <c r="S140" s="75">
        <f>$C140*INDEX(Curves!$F$8:$F$68,S$4-$B140+1)</f>
        <v/>
      </c>
      <c r="T140" s="75">
        <f>$C140*INDEX(Curves!$F$8:$F$68,T$4-$B140+1)</f>
        <v/>
      </c>
      <c r="U140" s="75">
        <f>$C140*INDEX(Curves!$F$8:$F$68,U$4-$B140+1)</f>
        <v/>
      </c>
      <c r="V140" s="75">
        <f>$C140*INDEX(Curves!$F$8:$F$68,V$4-$B140+1)</f>
        <v/>
      </c>
      <c r="W140" s="75">
        <f>$C140*INDEX(Curves!$F$8:$F$68,W$4-$B140+1)</f>
        <v/>
      </c>
      <c r="X140" s="75">
        <f>$C140*INDEX(Curves!$F$8:$F$68,X$4-$B140+1)</f>
        <v/>
      </c>
      <c r="Y140" s="75">
        <f>$C140*INDEX(Curves!$F$8:$F$68,Y$4-$B140+1)</f>
        <v/>
      </c>
      <c r="Z140" s="75">
        <f>$C140*INDEX(Curves!$F$8:$F$68,Z$4-$B140+1)</f>
        <v/>
      </c>
      <c r="AA140" s="75">
        <f>$C140*INDEX(Curves!$F$8:$F$68,AA$4-$B140+1)</f>
        <v/>
      </c>
      <c r="AB140" s="75">
        <f>$C140*INDEX(Curves!$F$8:$F$68,AB$4-$B140+1)</f>
        <v/>
      </c>
      <c r="AC140" s="75">
        <f>$C140*INDEX(Curves!$F$8:$F$68,AC$4-$B140+1)</f>
        <v/>
      </c>
      <c r="AD140" s="75">
        <f>$C140*INDEX(Curves!$F$8:$F$68,AD$4-$B140+1)</f>
        <v/>
      </c>
      <c r="AE140" s="75">
        <f>$C140*INDEX(Curves!$F$8:$F$68,AE$4-$B140+1)</f>
        <v/>
      </c>
      <c r="AF140" s="75">
        <f>$C140*INDEX(Curves!$F$8:$F$68,AF$4-$B140+1)</f>
        <v/>
      </c>
      <c r="AG140" s="75">
        <f>$C140*INDEX(Curves!$F$8:$F$68,AG$4-$B140+1)</f>
        <v/>
      </c>
      <c r="AH140" s="75">
        <f>$C140*INDEX(Curves!$F$8:$F$68,AH$4-$B140+1)</f>
        <v/>
      </c>
      <c r="AI140" s="75">
        <f>$C140*INDEX(Curves!$F$8:$F$68,AI$4-$B140+1)</f>
        <v/>
      </c>
      <c r="AJ140" s="75">
        <f>$C140*INDEX(Curves!$F$8:$F$68,AJ$4-$B140+1)</f>
        <v/>
      </c>
      <c r="AK140" s="75">
        <f>$C140*INDEX(Curves!$F$8:$F$68,AK$4-$B140+1)</f>
        <v/>
      </c>
      <c r="AL140" s="75">
        <f>$C140*INDEX(Curves!$F$8:$F$68,AL$4-$B140+1)</f>
        <v/>
      </c>
      <c r="AM140" s="75">
        <f>$C140*INDEX(Curves!$F$8:$F$68,AM$4-$B140+1)</f>
        <v/>
      </c>
      <c r="AN140" s="75">
        <f>$C140*INDEX(Curves!$F$8:$F$68,AN$4-$B140+1)</f>
        <v/>
      </c>
      <c r="AO140" s="75">
        <f>$C140*INDEX(Curves!$F$8:$F$68,AO$4-$B140+1)</f>
        <v/>
      </c>
      <c r="AP140" s="75">
        <f>$C140*INDEX(Curves!$F$8:$F$68,AP$4-$B140+1)</f>
        <v/>
      </c>
      <c r="AQ140" s="75">
        <f>$C140*INDEX(Curves!$F$8:$F$68,AQ$4-$B140+1)</f>
        <v/>
      </c>
      <c r="AR140" s="75">
        <f>$C140*INDEX(Curves!$F$8:$F$68,AR$4-$B140+1)</f>
        <v/>
      </c>
      <c r="AS140" s="75">
        <f>$C140*INDEX(Curves!$F$8:$F$68,AS$4-$B140+1)</f>
        <v/>
      </c>
      <c r="AT140" s="75">
        <f>$C140*INDEX(Curves!$F$8:$F$68,AT$4-$B140+1)</f>
        <v/>
      </c>
      <c r="AU140" s="75">
        <f>$C140*INDEX(Curves!$F$8:$F$68,AU$4-$B140+1)</f>
        <v/>
      </c>
      <c r="AV140" s="75">
        <f>$C140*INDEX(Curves!$F$8:$F$68,AV$4-$B140+1)</f>
        <v/>
      </c>
      <c r="AW140" s="75">
        <f>$C140*INDEX(Curves!$F$8:$F$68,AW$4-$B140+1)</f>
        <v/>
      </c>
      <c r="AX140" s="75">
        <f>$C140*INDEX(Curves!$F$8:$F$68,AX$4-$B140+1)</f>
        <v/>
      </c>
      <c r="AY140" s="75">
        <f>$C140*INDEX(Curves!$F$8:$F$68,AY$4-$B140+1)</f>
        <v/>
      </c>
      <c r="AZ140" s="75">
        <f>$C140*INDEX(Curves!$F$8:$F$68,AZ$4-$B140+1)</f>
        <v/>
      </c>
      <c r="BA140" s="75">
        <f>$C140*INDEX(Curves!$F$8:$F$68,BA$4-$B140+1)</f>
        <v/>
      </c>
      <c r="BB140" s="75">
        <f>$C140*INDEX(Curves!$F$8:$F$68,BB$4-$B140+1)</f>
        <v/>
      </c>
      <c r="BC140" s="75">
        <f>$C140*INDEX(Curves!$F$8:$F$68,BC$4-$B140+1)</f>
        <v/>
      </c>
      <c r="BD140" s="75">
        <f>$C140*INDEX(Curves!$F$8:$F$68,BD$4-$B140+1)</f>
        <v/>
      </c>
      <c r="BE140" s="75">
        <f>$C140*INDEX(Curves!$F$8:$F$68,BE$4-$B140+1)</f>
        <v/>
      </c>
      <c r="BF140" s="75">
        <f>$C140*INDEX(Curves!$F$8:$F$68,BF$4-$B140+1)</f>
        <v/>
      </c>
      <c r="BG140" s="75">
        <f>$C140*INDEX(Curves!$F$8:$F$68,BG$4-$B140+1)</f>
        <v/>
      </c>
      <c r="BH140" s="75">
        <f>$C140*INDEX(Curves!$F$8:$F$68,BH$4-$B140+1)</f>
        <v/>
      </c>
      <c r="BI140" s="75">
        <f>$C140*INDEX(Curves!$F$8:$F$68,BI$4-$B140+1)</f>
        <v/>
      </c>
      <c r="BJ140" s="75">
        <f>$C140*INDEX(Curves!$F$8:$F$68,BJ$4-$B140+1)</f>
        <v/>
      </c>
      <c r="BK140" s="75">
        <f>$C140*INDEX(Curves!$F$8:$F$68,BK$4-$B140+1)</f>
        <v/>
      </c>
      <c r="BL140" s="75">
        <f>$C140*INDEX(Curves!$F$8:$F$68,BL$4-$B140+1)</f>
        <v/>
      </c>
    </row>
    <row r="141">
      <c r="A141" s="74" t="inlineStr">
        <is>
          <t>Cohort month 6</t>
        </is>
      </c>
      <c r="B141" s="74" t="n">
        <v>6</v>
      </c>
      <c r="C141" s="17">
        <f>INDEX(Ops!$E$10:$BL$10,1,$B141)</f>
        <v/>
      </c>
      <c r="K141" s="75">
        <f>$C141*INDEX(Curves!$F$8:$F$68,K$4-$B141+1)</f>
        <v/>
      </c>
      <c r="L141" s="75">
        <f>$C141*INDEX(Curves!$F$8:$F$68,L$4-$B141+1)</f>
        <v/>
      </c>
      <c r="M141" s="75">
        <f>$C141*INDEX(Curves!$F$8:$F$68,M$4-$B141+1)</f>
        <v/>
      </c>
      <c r="N141" s="75">
        <f>$C141*INDEX(Curves!$F$8:$F$68,N$4-$B141+1)</f>
        <v/>
      </c>
      <c r="O141" s="75">
        <f>$C141*INDEX(Curves!$F$8:$F$68,O$4-$B141+1)</f>
        <v/>
      </c>
      <c r="P141" s="75">
        <f>$C141*INDEX(Curves!$F$8:$F$68,P$4-$B141+1)</f>
        <v/>
      </c>
      <c r="Q141" s="75">
        <f>$C141*INDEX(Curves!$F$8:$F$68,Q$4-$B141+1)</f>
        <v/>
      </c>
      <c r="R141" s="75">
        <f>$C141*INDEX(Curves!$F$8:$F$68,R$4-$B141+1)</f>
        <v/>
      </c>
      <c r="S141" s="75">
        <f>$C141*INDEX(Curves!$F$8:$F$68,S$4-$B141+1)</f>
        <v/>
      </c>
      <c r="T141" s="75">
        <f>$C141*INDEX(Curves!$F$8:$F$68,T$4-$B141+1)</f>
        <v/>
      </c>
      <c r="U141" s="75">
        <f>$C141*INDEX(Curves!$F$8:$F$68,U$4-$B141+1)</f>
        <v/>
      </c>
      <c r="V141" s="75">
        <f>$C141*INDEX(Curves!$F$8:$F$68,V$4-$B141+1)</f>
        <v/>
      </c>
      <c r="W141" s="75">
        <f>$C141*INDEX(Curves!$F$8:$F$68,W$4-$B141+1)</f>
        <v/>
      </c>
      <c r="X141" s="75">
        <f>$C141*INDEX(Curves!$F$8:$F$68,X$4-$B141+1)</f>
        <v/>
      </c>
      <c r="Y141" s="75">
        <f>$C141*INDEX(Curves!$F$8:$F$68,Y$4-$B141+1)</f>
        <v/>
      </c>
      <c r="Z141" s="75">
        <f>$C141*INDEX(Curves!$F$8:$F$68,Z$4-$B141+1)</f>
        <v/>
      </c>
      <c r="AA141" s="75">
        <f>$C141*INDEX(Curves!$F$8:$F$68,AA$4-$B141+1)</f>
        <v/>
      </c>
      <c r="AB141" s="75">
        <f>$C141*INDEX(Curves!$F$8:$F$68,AB$4-$B141+1)</f>
        <v/>
      </c>
      <c r="AC141" s="75">
        <f>$C141*INDEX(Curves!$F$8:$F$68,AC$4-$B141+1)</f>
        <v/>
      </c>
      <c r="AD141" s="75">
        <f>$C141*INDEX(Curves!$F$8:$F$68,AD$4-$B141+1)</f>
        <v/>
      </c>
      <c r="AE141" s="75">
        <f>$C141*INDEX(Curves!$F$8:$F$68,AE$4-$B141+1)</f>
        <v/>
      </c>
      <c r="AF141" s="75">
        <f>$C141*INDEX(Curves!$F$8:$F$68,AF$4-$B141+1)</f>
        <v/>
      </c>
      <c r="AG141" s="75">
        <f>$C141*INDEX(Curves!$F$8:$F$68,AG$4-$B141+1)</f>
        <v/>
      </c>
      <c r="AH141" s="75">
        <f>$C141*INDEX(Curves!$F$8:$F$68,AH$4-$B141+1)</f>
        <v/>
      </c>
      <c r="AI141" s="75">
        <f>$C141*INDEX(Curves!$F$8:$F$68,AI$4-$B141+1)</f>
        <v/>
      </c>
      <c r="AJ141" s="75">
        <f>$C141*INDEX(Curves!$F$8:$F$68,AJ$4-$B141+1)</f>
        <v/>
      </c>
      <c r="AK141" s="75">
        <f>$C141*INDEX(Curves!$F$8:$F$68,AK$4-$B141+1)</f>
        <v/>
      </c>
      <c r="AL141" s="75">
        <f>$C141*INDEX(Curves!$F$8:$F$68,AL$4-$B141+1)</f>
        <v/>
      </c>
      <c r="AM141" s="75">
        <f>$C141*INDEX(Curves!$F$8:$F$68,AM$4-$B141+1)</f>
        <v/>
      </c>
      <c r="AN141" s="75">
        <f>$C141*INDEX(Curves!$F$8:$F$68,AN$4-$B141+1)</f>
        <v/>
      </c>
      <c r="AO141" s="75">
        <f>$C141*INDEX(Curves!$F$8:$F$68,AO$4-$B141+1)</f>
        <v/>
      </c>
      <c r="AP141" s="75">
        <f>$C141*INDEX(Curves!$F$8:$F$68,AP$4-$B141+1)</f>
        <v/>
      </c>
      <c r="AQ141" s="75">
        <f>$C141*INDEX(Curves!$F$8:$F$68,AQ$4-$B141+1)</f>
        <v/>
      </c>
      <c r="AR141" s="75">
        <f>$C141*INDEX(Curves!$F$8:$F$68,AR$4-$B141+1)</f>
        <v/>
      </c>
      <c r="AS141" s="75">
        <f>$C141*INDEX(Curves!$F$8:$F$68,AS$4-$B141+1)</f>
        <v/>
      </c>
      <c r="AT141" s="75">
        <f>$C141*INDEX(Curves!$F$8:$F$68,AT$4-$B141+1)</f>
        <v/>
      </c>
      <c r="AU141" s="75">
        <f>$C141*INDEX(Curves!$F$8:$F$68,AU$4-$B141+1)</f>
        <v/>
      </c>
      <c r="AV141" s="75">
        <f>$C141*INDEX(Curves!$F$8:$F$68,AV$4-$B141+1)</f>
        <v/>
      </c>
      <c r="AW141" s="75">
        <f>$C141*INDEX(Curves!$F$8:$F$68,AW$4-$B141+1)</f>
        <v/>
      </c>
      <c r="AX141" s="75">
        <f>$C141*INDEX(Curves!$F$8:$F$68,AX$4-$B141+1)</f>
        <v/>
      </c>
      <c r="AY141" s="75">
        <f>$C141*INDEX(Curves!$F$8:$F$68,AY$4-$B141+1)</f>
        <v/>
      </c>
      <c r="AZ141" s="75">
        <f>$C141*INDEX(Curves!$F$8:$F$68,AZ$4-$B141+1)</f>
        <v/>
      </c>
      <c r="BA141" s="75">
        <f>$C141*INDEX(Curves!$F$8:$F$68,BA$4-$B141+1)</f>
        <v/>
      </c>
      <c r="BB141" s="75">
        <f>$C141*INDEX(Curves!$F$8:$F$68,BB$4-$B141+1)</f>
        <v/>
      </c>
      <c r="BC141" s="75">
        <f>$C141*INDEX(Curves!$F$8:$F$68,BC$4-$B141+1)</f>
        <v/>
      </c>
      <c r="BD141" s="75">
        <f>$C141*INDEX(Curves!$F$8:$F$68,BD$4-$B141+1)</f>
        <v/>
      </c>
      <c r="BE141" s="75">
        <f>$C141*INDEX(Curves!$F$8:$F$68,BE$4-$B141+1)</f>
        <v/>
      </c>
      <c r="BF141" s="75">
        <f>$C141*INDEX(Curves!$F$8:$F$68,BF$4-$B141+1)</f>
        <v/>
      </c>
      <c r="BG141" s="75">
        <f>$C141*INDEX(Curves!$F$8:$F$68,BG$4-$B141+1)</f>
        <v/>
      </c>
      <c r="BH141" s="75">
        <f>$C141*INDEX(Curves!$F$8:$F$68,BH$4-$B141+1)</f>
        <v/>
      </c>
      <c r="BI141" s="75">
        <f>$C141*INDEX(Curves!$F$8:$F$68,BI$4-$B141+1)</f>
        <v/>
      </c>
      <c r="BJ141" s="75">
        <f>$C141*INDEX(Curves!$F$8:$F$68,BJ$4-$B141+1)</f>
        <v/>
      </c>
      <c r="BK141" s="75">
        <f>$C141*INDEX(Curves!$F$8:$F$68,BK$4-$B141+1)</f>
        <v/>
      </c>
      <c r="BL141" s="75">
        <f>$C141*INDEX(Curves!$F$8:$F$68,BL$4-$B141+1)</f>
        <v/>
      </c>
    </row>
    <row r="142">
      <c r="A142" s="74" t="inlineStr">
        <is>
          <t>Cohort month 7</t>
        </is>
      </c>
      <c r="B142" s="74" t="n">
        <v>7</v>
      </c>
      <c r="C142" s="17">
        <f>INDEX(Ops!$E$10:$BL$10,1,$B142)</f>
        <v/>
      </c>
      <c r="L142" s="75">
        <f>$C142*INDEX(Curves!$F$8:$F$68,L$4-$B142+1)</f>
        <v/>
      </c>
      <c r="M142" s="75">
        <f>$C142*INDEX(Curves!$F$8:$F$68,M$4-$B142+1)</f>
        <v/>
      </c>
      <c r="N142" s="75">
        <f>$C142*INDEX(Curves!$F$8:$F$68,N$4-$B142+1)</f>
        <v/>
      </c>
      <c r="O142" s="75">
        <f>$C142*INDEX(Curves!$F$8:$F$68,O$4-$B142+1)</f>
        <v/>
      </c>
      <c r="P142" s="75">
        <f>$C142*INDEX(Curves!$F$8:$F$68,P$4-$B142+1)</f>
        <v/>
      </c>
      <c r="Q142" s="75">
        <f>$C142*INDEX(Curves!$F$8:$F$68,Q$4-$B142+1)</f>
        <v/>
      </c>
      <c r="R142" s="75">
        <f>$C142*INDEX(Curves!$F$8:$F$68,R$4-$B142+1)</f>
        <v/>
      </c>
      <c r="S142" s="75">
        <f>$C142*INDEX(Curves!$F$8:$F$68,S$4-$B142+1)</f>
        <v/>
      </c>
      <c r="T142" s="75">
        <f>$C142*INDEX(Curves!$F$8:$F$68,T$4-$B142+1)</f>
        <v/>
      </c>
      <c r="U142" s="75">
        <f>$C142*INDEX(Curves!$F$8:$F$68,U$4-$B142+1)</f>
        <v/>
      </c>
      <c r="V142" s="75">
        <f>$C142*INDEX(Curves!$F$8:$F$68,V$4-$B142+1)</f>
        <v/>
      </c>
      <c r="W142" s="75">
        <f>$C142*INDEX(Curves!$F$8:$F$68,W$4-$B142+1)</f>
        <v/>
      </c>
      <c r="X142" s="75">
        <f>$C142*INDEX(Curves!$F$8:$F$68,X$4-$B142+1)</f>
        <v/>
      </c>
      <c r="Y142" s="75">
        <f>$C142*INDEX(Curves!$F$8:$F$68,Y$4-$B142+1)</f>
        <v/>
      </c>
      <c r="Z142" s="75">
        <f>$C142*INDEX(Curves!$F$8:$F$68,Z$4-$B142+1)</f>
        <v/>
      </c>
      <c r="AA142" s="75">
        <f>$C142*INDEX(Curves!$F$8:$F$68,AA$4-$B142+1)</f>
        <v/>
      </c>
      <c r="AB142" s="75">
        <f>$C142*INDEX(Curves!$F$8:$F$68,AB$4-$B142+1)</f>
        <v/>
      </c>
      <c r="AC142" s="75">
        <f>$C142*INDEX(Curves!$F$8:$F$68,AC$4-$B142+1)</f>
        <v/>
      </c>
      <c r="AD142" s="75">
        <f>$C142*INDEX(Curves!$F$8:$F$68,AD$4-$B142+1)</f>
        <v/>
      </c>
      <c r="AE142" s="75">
        <f>$C142*INDEX(Curves!$F$8:$F$68,AE$4-$B142+1)</f>
        <v/>
      </c>
      <c r="AF142" s="75">
        <f>$C142*INDEX(Curves!$F$8:$F$68,AF$4-$B142+1)</f>
        <v/>
      </c>
      <c r="AG142" s="75">
        <f>$C142*INDEX(Curves!$F$8:$F$68,AG$4-$B142+1)</f>
        <v/>
      </c>
      <c r="AH142" s="75">
        <f>$C142*INDEX(Curves!$F$8:$F$68,AH$4-$B142+1)</f>
        <v/>
      </c>
      <c r="AI142" s="75">
        <f>$C142*INDEX(Curves!$F$8:$F$68,AI$4-$B142+1)</f>
        <v/>
      </c>
      <c r="AJ142" s="75">
        <f>$C142*INDEX(Curves!$F$8:$F$68,AJ$4-$B142+1)</f>
        <v/>
      </c>
      <c r="AK142" s="75">
        <f>$C142*INDEX(Curves!$F$8:$F$68,AK$4-$B142+1)</f>
        <v/>
      </c>
      <c r="AL142" s="75">
        <f>$C142*INDEX(Curves!$F$8:$F$68,AL$4-$B142+1)</f>
        <v/>
      </c>
      <c r="AM142" s="75">
        <f>$C142*INDEX(Curves!$F$8:$F$68,AM$4-$B142+1)</f>
        <v/>
      </c>
      <c r="AN142" s="75">
        <f>$C142*INDEX(Curves!$F$8:$F$68,AN$4-$B142+1)</f>
        <v/>
      </c>
      <c r="AO142" s="75">
        <f>$C142*INDEX(Curves!$F$8:$F$68,AO$4-$B142+1)</f>
        <v/>
      </c>
      <c r="AP142" s="75">
        <f>$C142*INDEX(Curves!$F$8:$F$68,AP$4-$B142+1)</f>
        <v/>
      </c>
      <c r="AQ142" s="75">
        <f>$C142*INDEX(Curves!$F$8:$F$68,AQ$4-$B142+1)</f>
        <v/>
      </c>
      <c r="AR142" s="75">
        <f>$C142*INDEX(Curves!$F$8:$F$68,AR$4-$B142+1)</f>
        <v/>
      </c>
      <c r="AS142" s="75">
        <f>$C142*INDEX(Curves!$F$8:$F$68,AS$4-$B142+1)</f>
        <v/>
      </c>
      <c r="AT142" s="75">
        <f>$C142*INDEX(Curves!$F$8:$F$68,AT$4-$B142+1)</f>
        <v/>
      </c>
      <c r="AU142" s="75">
        <f>$C142*INDEX(Curves!$F$8:$F$68,AU$4-$B142+1)</f>
        <v/>
      </c>
      <c r="AV142" s="75">
        <f>$C142*INDEX(Curves!$F$8:$F$68,AV$4-$B142+1)</f>
        <v/>
      </c>
      <c r="AW142" s="75">
        <f>$C142*INDEX(Curves!$F$8:$F$68,AW$4-$B142+1)</f>
        <v/>
      </c>
      <c r="AX142" s="75">
        <f>$C142*INDEX(Curves!$F$8:$F$68,AX$4-$B142+1)</f>
        <v/>
      </c>
      <c r="AY142" s="75">
        <f>$C142*INDEX(Curves!$F$8:$F$68,AY$4-$B142+1)</f>
        <v/>
      </c>
      <c r="AZ142" s="75">
        <f>$C142*INDEX(Curves!$F$8:$F$68,AZ$4-$B142+1)</f>
        <v/>
      </c>
      <c r="BA142" s="75">
        <f>$C142*INDEX(Curves!$F$8:$F$68,BA$4-$B142+1)</f>
        <v/>
      </c>
      <c r="BB142" s="75">
        <f>$C142*INDEX(Curves!$F$8:$F$68,BB$4-$B142+1)</f>
        <v/>
      </c>
      <c r="BC142" s="75">
        <f>$C142*INDEX(Curves!$F$8:$F$68,BC$4-$B142+1)</f>
        <v/>
      </c>
      <c r="BD142" s="75">
        <f>$C142*INDEX(Curves!$F$8:$F$68,BD$4-$B142+1)</f>
        <v/>
      </c>
      <c r="BE142" s="75">
        <f>$C142*INDEX(Curves!$F$8:$F$68,BE$4-$B142+1)</f>
        <v/>
      </c>
      <c r="BF142" s="75">
        <f>$C142*INDEX(Curves!$F$8:$F$68,BF$4-$B142+1)</f>
        <v/>
      </c>
      <c r="BG142" s="75">
        <f>$C142*INDEX(Curves!$F$8:$F$68,BG$4-$B142+1)</f>
        <v/>
      </c>
      <c r="BH142" s="75">
        <f>$C142*INDEX(Curves!$F$8:$F$68,BH$4-$B142+1)</f>
        <v/>
      </c>
      <c r="BI142" s="75">
        <f>$C142*INDEX(Curves!$F$8:$F$68,BI$4-$B142+1)</f>
        <v/>
      </c>
      <c r="BJ142" s="75">
        <f>$C142*INDEX(Curves!$F$8:$F$68,BJ$4-$B142+1)</f>
        <v/>
      </c>
      <c r="BK142" s="75">
        <f>$C142*INDEX(Curves!$F$8:$F$68,BK$4-$B142+1)</f>
        <v/>
      </c>
      <c r="BL142" s="75">
        <f>$C142*INDEX(Curves!$F$8:$F$68,BL$4-$B142+1)</f>
        <v/>
      </c>
    </row>
    <row r="143">
      <c r="A143" s="74" t="inlineStr">
        <is>
          <t>Cohort month 8</t>
        </is>
      </c>
      <c r="B143" s="74" t="n">
        <v>8</v>
      </c>
      <c r="C143" s="17">
        <f>INDEX(Ops!$E$10:$BL$10,1,$B143)</f>
        <v/>
      </c>
      <c r="M143" s="75">
        <f>$C143*INDEX(Curves!$F$8:$F$68,M$4-$B143+1)</f>
        <v/>
      </c>
      <c r="N143" s="75">
        <f>$C143*INDEX(Curves!$F$8:$F$68,N$4-$B143+1)</f>
        <v/>
      </c>
      <c r="O143" s="75">
        <f>$C143*INDEX(Curves!$F$8:$F$68,O$4-$B143+1)</f>
        <v/>
      </c>
      <c r="P143" s="75">
        <f>$C143*INDEX(Curves!$F$8:$F$68,P$4-$B143+1)</f>
        <v/>
      </c>
      <c r="Q143" s="75">
        <f>$C143*INDEX(Curves!$F$8:$F$68,Q$4-$B143+1)</f>
        <v/>
      </c>
      <c r="R143" s="75">
        <f>$C143*INDEX(Curves!$F$8:$F$68,R$4-$B143+1)</f>
        <v/>
      </c>
      <c r="S143" s="75">
        <f>$C143*INDEX(Curves!$F$8:$F$68,S$4-$B143+1)</f>
        <v/>
      </c>
      <c r="T143" s="75">
        <f>$C143*INDEX(Curves!$F$8:$F$68,T$4-$B143+1)</f>
        <v/>
      </c>
      <c r="U143" s="75">
        <f>$C143*INDEX(Curves!$F$8:$F$68,U$4-$B143+1)</f>
        <v/>
      </c>
      <c r="V143" s="75">
        <f>$C143*INDEX(Curves!$F$8:$F$68,V$4-$B143+1)</f>
        <v/>
      </c>
      <c r="W143" s="75">
        <f>$C143*INDEX(Curves!$F$8:$F$68,W$4-$B143+1)</f>
        <v/>
      </c>
      <c r="X143" s="75">
        <f>$C143*INDEX(Curves!$F$8:$F$68,X$4-$B143+1)</f>
        <v/>
      </c>
      <c r="Y143" s="75">
        <f>$C143*INDEX(Curves!$F$8:$F$68,Y$4-$B143+1)</f>
        <v/>
      </c>
      <c r="Z143" s="75">
        <f>$C143*INDEX(Curves!$F$8:$F$68,Z$4-$B143+1)</f>
        <v/>
      </c>
      <c r="AA143" s="75">
        <f>$C143*INDEX(Curves!$F$8:$F$68,AA$4-$B143+1)</f>
        <v/>
      </c>
      <c r="AB143" s="75">
        <f>$C143*INDEX(Curves!$F$8:$F$68,AB$4-$B143+1)</f>
        <v/>
      </c>
      <c r="AC143" s="75">
        <f>$C143*INDEX(Curves!$F$8:$F$68,AC$4-$B143+1)</f>
        <v/>
      </c>
      <c r="AD143" s="75">
        <f>$C143*INDEX(Curves!$F$8:$F$68,AD$4-$B143+1)</f>
        <v/>
      </c>
      <c r="AE143" s="75">
        <f>$C143*INDEX(Curves!$F$8:$F$68,AE$4-$B143+1)</f>
        <v/>
      </c>
      <c r="AF143" s="75">
        <f>$C143*INDEX(Curves!$F$8:$F$68,AF$4-$B143+1)</f>
        <v/>
      </c>
      <c r="AG143" s="75">
        <f>$C143*INDEX(Curves!$F$8:$F$68,AG$4-$B143+1)</f>
        <v/>
      </c>
      <c r="AH143" s="75">
        <f>$C143*INDEX(Curves!$F$8:$F$68,AH$4-$B143+1)</f>
        <v/>
      </c>
      <c r="AI143" s="75">
        <f>$C143*INDEX(Curves!$F$8:$F$68,AI$4-$B143+1)</f>
        <v/>
      </c>
      <c r="AJ143" s="75">
        <f>$C143*INDEX(Curves!$F$8:$F$68,AJ$4-$B143+1)</f>
        <v/>
      </c>
      <c r="AK143" s="75">
        <f>$C143*INDEX(Curves!$F$8:$F$68,AK$4-$B143+1)</f>
        <v/>
      </c>
      <c r="AL143" s="75">
        <f>$C143*INDEX(Curves!$F$8:$F$68,AL$4-$B143+1)</f>
        <v/>
      </c>
      <c r="AM143" s="75">
        <f>$C143*INDEX(Curves!$F$8:$F$68,AM$4-$B143+1)</f>
        <v/>
      </c>
      <c r="AN143" s="75">
        <f>$C143*INDEX(Curves!$F$8:$F$68,AN$4-$B143+1)</f>
        <v/>
      </c>
      <c r="AO143" s="75">
        <f>$C143*INDEX(Curves!$F$8:$F$68,AO$4-$B143+1)</f>
        <v/>
      </c>
      <c r="AP143" s="75">
        <f>$C143*INDEX(Curves!$F$8:$F$68,AP$4-$B143+1)</f>
        <v/>
      </c>
      <c r="AQ143" s="75">
        <f>$C143*INDEX(Curves!$F$8:$F$68,AQ$4-$B143+1)</f>
        <v/>
      </c>
      <c r="AR143" s="75">
        <f>$C143*INDEX(Curves!$F$8:$F$68,AR$4-$B143+1)</f>
        <v/>
      </c>
      <c r="AS143" s="75">
        <f>$C143*INDEX(Curves!$F$8:$F$68,AS$4-$B143+1)</f>
        <v/>
      </c>
      <c r="AT143" s="75">
        <f>$C143*INDEX(Curves!$F$8:$F$68,AT$4-$B143+1)</f>
        <v/>
      </c>
      <c r="AU143" s="75">
        <f>$C143*INDEX(Curves!$F$8:$F$68,AU$4-$B143+1)</f>
        <v/>
      </c>
      <c r="AV143" s="75">
        <f>$C143*INDEX(Curves!$F$8:$F$68,AV$4-$B143+1)</f>
        <v/>
      </c>
      <c r="AW143" s="75">
        <f>$C143*INDEX(Curves!$F$8:$F$68,AW$4-$B143+1)</f>
        <v/>
      </c>
      <c r="AX143" s="75">
        <f>$C143*INDEX(Curves!$F$8:$F$68,AX$4-$B143+1)</f>
        <v/>
      </c>
      <c r="AY143" s="75">
        <f>$C143*INDEX(Curves!$F$8:$F$68,AY$4-$B143+1)</f>
        <v/>
      </c>
      <c r="AZ143" s="75">
        <f>$C143*INDEX(Curves!$F$8:$F$68,AZ$4-$B143+1)</f>
        <v/>
      </c>
      <c r="BA143" s="75">
        <f>$C143*INDEX(Curves!$F$8:$F$68,BA$4-$B143+1)</f>
        <v/>
      </c>
      <c r="BB143" s="75">
        <f>$C143*INDEX(Curves!$F$8:$F$68,BB$4-$B143+1)</f>
        <v/>
      </c>
      <c r="BC143" s="75">
        <f>$C143*INDEX(Curves!$F$8:$F$68,BC$4-$B143+1)</f>
        <v/>
      </c>
      <c r="BD143" s="75">
        <f>$C143*INDEX(Curves!$F$8:$F$68,BD$4-$B143+1)</f>
        <v/>
      </c>
      <c r="BE143" s="75">
        <f>$C143*INDEX(Curves!$F$8:$F$68,BE$4-$B143+1)</f>
        <v/>
      </c>
      <c r="BF143" s="75">
        <f>$C143*INDEX(Curves!$F$8:$F$68,BF$4-$B143+1)</f>
        <v/>
      </c>
      <c r="BG143" s="75">
        <f>$C143*INDEX(Curves!$F$8:$F$68,BG$4-$B143+1)</f>
        <v/>
      </c>
      <c r="BH143" s="75">
        <f>$C143*INDEX(Curves!$F$8:$F$68,BH$4-$B143+1)</f>
        <v/>
      </c>
      <c r="BI143" s="75">
        <f>$C143*INDEX(Curves!$F$8:$F$68,BI$4-$B143+1)</f>
        <v/>
      </c>
      <c r="BJ143" s="75">
        <f>$C143*INDEX(Curves!$F$8:$F$68,BJ$4-$B143+1)</f>
        <v/>
      </c>
      <c r="BK143" s="75">
        <f>$C143*INDEX(Curves!$F$8:$F$68,BK$4-$B143+1)</f>
        <v/>
      </c>
      <c r="BL143" s="75">
        <f>$C143*INDEX(Curves!$F$8:$F$68,BL$4-$B143+1)</f>
        <v/>
      </c>
    </row>
    <row r="144">
      <c r="A144" s="74" t="inlineStr">
        <is>
          <t>Cohort month 9</t>
        </is>
      </c>
      <c r="B144" s="74" t="n">
        <v>9</v>
      </c>
      <c r="C144" s="17">
        <f>INDEX(Ops!$E$10:$BL$10,1,$B144)</f>
        <v/>
      </c>
      <c r="N144" s="75">
        <f>$C144*INDEX(Curves!$F$8:$F$68,N$4-$B144+1)</f>
        <v/>
      </c>
      <c r="O144" s="75">
        <f>$C144*INDEX(Curves!$F$8:$F$68,O$4-$B144+1)</f>
        <v/>
      </c>
      <c r="P144" s="75">
        <f>$C144*INDEX(Curves!$F$8:$F$68,P$4-$B144+1)</f>
        <v/>
      </c>
      <c r="Q144" s="75">
        <f>$C144*INDEX(Curves!$F$8:$F$68,Q$4-$B144+1)</f>
        <v/>
      </c>
      <c r="R144" s="75">
        <f>$C144*INDEX(Curves!$F$8:$F$68,R$4-$B144+1)</f>
        <v/>
      </c>
      <c r="S144" s="75">
        <f>$C144*INDEX(Curves!$F$8:$F$68,S$4-$B144+1)</f>
        <v/>
      </c>
      <c r="T144" s="75">
        <f>$C144*INDEX(Curves!$F$8:$F$68,T$4-$B144+1)</f>
        <v/>
      </c>
      <c r="U144" s="75">
        <f>$C144*INDEX(Curves!$F$8:$F$68,U$4-$B144+1)</f>
        <v/>
      </c>
      <c r="V144" s="75">
        <f>$C144*INDEX(Curves!$F$8:$F$68,V$4-$B144+1)</f>
        <v/>
      </c>
      <c r="W144" s="75">
        <f>$C144*INDEX(Curves!$F$8:$F$68,W$4-$B144+1)</f>
        <v/>
      </c>
      <c r="X144" s="75">
        <f>$C144*INDEX(Curves!$F$8:$F$68,X$4-$B144+1)</f>
        <v/>
      </c>
      <c r="Y144" s="75">
        <f>$C144*INDEX(Curves!$F$8:$F$68,Y$4-$B144+1)</f>
        <v/>
      </c>
      <c r="Z144" s="75">
        <f>$C144*INDEX(Curves!$F$8:$F$68,Z$4-$B144+1)</f>
        <v/>
      </c>
      <c r="AA144" s="75">
        <f>$C144*INDEX(Curves!$F$8:$F$68,AA$4-$B144+1)</f>
        <v/>
      </c>
      <c r="AB144" s="75">
        <f>$C144*INDEX(Curves!$F$8:$F$68,AB$4-$B144+1)</f>
        <v/>
      </c>
      <c r="AC144" s="75">
        <f>$C144*INDEX(Curves!$F$8:$F$68,AC$4-$B144+1)</f>
        <v/>
      </c>
      <c r="AD144" s="75">
        <f>$C144*INDEX(Curves!$F$8:$F$68,AD$4-$B144+1)</f>
        <v/>
      </c>
      <c r="AE144" s="75">
        <f>$C144*INDEX(Curves!$F$8:$F$68,AE$4-$B144+1)</f>
        <v/>
      </c>
      <c r="AF144" s="75">
        <f>$C144*INDEX(Curves!$F$8:$F$68,AF$4-$B144+1)</f>
        <v/>
      </c>
      <c r="AG144" s="75">
        <f>$C144*INDEX(Curves!$F$8:$F$68,AG$4-$B144+1)</f>
        <v/>
      </c>
      <c r="AH144" s="75">
        <f>$C144*INDEX(Curves!$F$8:$F$68,AH$4-$B144+1)</f>
        <v/>
      </c>
      <c r="AI144" s="75">
        <f>$C144*INDEX(Curves!$F$8:$F$68,AI$4-$B144+1)</f>
        <v/>
      </c>
      <c r="AJ144" s="75">
        <f>$C144*INDEX(Curves!$F$8:$F$68,AJ$4-$B144+1)</f>
        <v/>
      </c>
      <c r="AK144" s="75">
        <f>$C144*INDEX(Curves!$F$8:$F$68,AK$4-$B144+1)</f>
        <v/>
      </c>
      <c r="AL144" s="75">
        <f>$C144*INDEX(Curves!$F$8:$F$68,AL$4-$B144+1)</f>
        <v/>
      </c>
      <c r="AM144" s="75">
        <f>$C144*INDEX(Curves!$F$8:$F$68,AM$4-$B144+1)</f>
        <v/>
      </c>
      <c r="AN144" s="75">
        <f>$C144*INDEX(Curves!$F$8:$F$68,AN$4-$B144+1)</f>
        <v/>
      </c>
      <c r="AO144" s="75">
        <f>$C144*INDEX(Curves!$F$8:$F$68,AO$4-$B144+1)</f>
        <v/>
      </c>
      <c r="AP144" s="75">
        <f>$C144*INDEX(Curves!$F$8:$F$68,AP$4-$B144+1)</f>
        <v/>
      </c>
      <c r="AQ144" s="75">
        <f>$C144*INDEX(Curves!$F$8:$F$68,AQ$4-$B144+1)</f>
        <v/>
      </c>
      <c r="AR144" s="75">
        <f>$C144*INDEX(Curves!$F$8:$F$68,AR$4-$B144+1)</f>
        <v/>
      </c>
      <c r="AS144" s="75">
        <f>$C144*INDEX(Curves!$F$8:$F$68,AS$4-$B144+1)</f>
        <v/>
      </c>
      <c r="AT144" s="75">
        <f>$C144*INDEX(Curves!$F$8:$F$68,AT$4-$B144+1)</f>
        <v/>
      </c>
      <c r="AU144" s="75">
        <f>$C144*INDEX(Curves!$F$8:$F$68,AU$4-$B144+1)</f>
        <v/>
      </c>
      <c r="AV144" s="75">
        <f>$C144*INDEX(Curves!$F$8:$F$68,AV$4-$B144+1)</f>
        <v/>
      </c>
      <c r="AW144" s="75">
        <f>$C144*INDEX(Curves!$F$8:$F$68,AW$4-$B144+1)</f>
        <v/>
      </c>
      <c r="AX144" s="75">
        <f>$C144*INDEX(Curves!$F$8:$F$68,AX$4-$B144+1)</f>
        <v/>
      </c>
      <c r="AY144" s="75">
        <f>$C144*INDEX(Curves!$F$8:$F$68,AY$4-$B144+1)</f>
        <v/>
      </c>
      <c r="AZ144" s="75">
        <f>$C144*INDEX(Curves!$F$8:$F$68,AZ$4-$B144+1)</f>
        <v/>
      </c>
      <c r="BA144" s="75">
        <f>$C144*INDEX(Curves!$F$8:$F$68,BA$4-$B144+1)</f>
        <v/>
      </c>
      <c r="BB144" s="75">
        <f>$C144*INDEX(Curves!$F$8:$F$68,BB$4-$B144+1)</f>
        <v/>
      </c>
      <c r="BC144" s="75">
        <f>$C144*INDEX(Curves!$F$8:$F$68,BC$4-$B144+1)</f>
        <v/>
      </c>
      <c r="BD144" s="75">
        <f>$C144*INDEX(Curves!$F$8:$F$68,BD$4-$B144+1)</f>
        <v/>
      </c>
      <c r="BE144" s="75">
        <f>$C144*INDEX(Curves!$F$8:$F$68,BE$4-$B144+1)</f>
        <v/>
      </c>
      <c r="BF144" s="75">
        <f>$C144*INDEX(Curves!$F$8:$F$68,BF$4-$B144+1)</f>
        <v/>
      </c>
      <c r="BG144" s="75">
        <f>$C144*INDEX(Curves!$F$8:$F$68,BG$4-$B144+1)</f>
        <v/>
      </c>
      <c r="BH144" s="75">
        <f>$C144*INDEX(Curves!$F$8:$F$68,BH$4-$B144+1)</f>
        <v/>
      </c>
      <c r="BI144" s="75">
        <f>$C144*INDEX(Curves!$F$8:$F$68,BI$4-$B144+1)</f>
        <v/>
      </c>
      <c r="BJ144" s="75">
        <f>$C144*INDEX(Curves!$F$8:$F$68,BJ$4-$B144+1)</f>
        <v/>
      </c>
      <c r="BK144" s="75">
        <f>$C144*INDEX(Curves!$F$8:$F$68,BK$4-$B144+1)</f>
        <v/>
      </c>
      <c r="BL144" s="75">
        <f>$C144*INDEX(Curves!$F$8:$F$68,BL$4-$B144+1)</f>
        <v/>
      </c>
    </row>
    <row r="145">
      <c r="A145" s="74" t="inlineStr">
        <is>
          <t>Cohort month 10</t>
        </is>
      </c>
      <c r="B145" s="74" t="n">
        <v>10</v>
      </c>
      <c r="C145" s="17">
        <f>INDEX(Ops!$E$10:$BL$10,1,$B145)</f>
        <v/>
      </c>
      <c r="O145" s="75">
        <f>$C145*INDEX(Curves!$F$8:$F$68,O$4-$B145+1)</f>
        <v/>
      </c>
      <c r="P145" s="75">
        <f>$C145*INDEX(Curves!$F$8:$F$68,P$4-$B145+1)</f>
        <v/>
      </c>
      <c r="Q145" s="75">
        <f>$C145*INDEX(Curves!$F$8:$F$68,Q$4-$B145+1)</f>
        <v/>
      </c>
      <c r="R145" s="75">
        <f>$C145*INDEX(Curves!$F$8:$F$68,R$4-$B145+1)</f>
        <v/>
      </c>
      <c r="S145" s="75">
        <f>$C145*INDEX(Curves!$F$8:$F$68,S$4-$B145+1)</f>
        <v/>
      </c>
      <c r="T145" s="75">
        <f>$C145*INDEX(Curves!$F$8:$F$68,T$4-$B145+1)</f>
        <v/>
      </c>
      <c r="U145" s="75">
        <f>$C145*INDEX(Curves!$F$8:$F$68,U$4-$B145+1)</f>
        <v/>
      </c>
      <c r="V145" s="75">
        <f>$C145*INDEX(Curves!$F$8:$F$68,V$4-$B145+1)</f>
        <v/>
      </c>
      <c r="W145" s="75">
        <f>$C145*INDEX(Curves!$F$8:$F$68,W$4-$B145+1)</f>
        <v/>
      </c>
      <c r="X145" s="75">
        <f>$C145*INDEX(Curves!$F$8:$F$68,X$4-$B145+1)</f>
        <v/>
      </c>
      <c r="Y145" s="75">
        <f>$C145*INDEX(Curves!$F$8:$F$68,Y$4-$B145+1)</f>
        <v/>
      </c>
      <c r="Z145" s="75">
        <f>$C145*INDEX(Curves!$F$8:$F$68,Z$4-$B145+1)</f>
        <v/>
      </c>
      <c r="AA145" s="75">
        <f>$C145*INDEX(Curves!$F$8:$F$68,AA$4-$B145+1)</f>
        <v/>
      </c>
      <c r="AB145" s="75">
        <f>$C145*INDEX(Curves!$F$8:$F$68,AB$4-$B145+1)</f>
        <v/>
      </c>
      <c r="AC145" s="75">
        <f>$C145*INDEX(Curves!$F$8:$F$68,AC$4-$B145+1)</f>
        <v/>
      </c>
      <c r="AD145" s="75">
        <f>$C145*INDEX(Curves!$F$8:$F$68,AD$4-$B145+1)</f>
        <v/>
      </c>
      <c r="AE145" s="75">
        <f>$C145*INDEX(Curves!$F$8:$F$68,AE$4-$B145+1)</f>
        <v/>
      </c>
      <c r="AF145" s="75">
        <f>$C145*INDEX(Curves!$F$8:$F$68,AF$4-$B145+1)</f>
        <v/>
      </c>
      <c r="AG145" s="75">
        <f>$C145*INDEX(Curves!$F$8:$F$68,AG$4-$B145+1)</f>
        <v/>
      </c>
      <c r="AH145" s="75">
        <f>$C145*INDEX(Curves!$F$8:$F$68,AH$4-$B145+1)</f>
        <v/>
      </c>
      <c r="AI145" s="75">
        <f>$C145*INDEX(Curves!$F$8:$F$68,AI$4-$B145+1)</f>
        <v/>
      </c>
      <c r="AJ145" s="75">
        <f>$C145*INDEX(Curves!$F$8:$F$68,AJ$4-$B145+1)</f>
        <v/>
      </c>
      <c r="AK145" s="75">
        <f>$C145*INDEX(Curves!$F$8:$F$68,AK$4-$B145+1)</f>
        <v/>
      </c>
      <c r="AL145" s="75">
        <f>$C145*INDEX(Curves!$F$8:$F$68,AL$4-$B145+1)</f>
        <v/>
      </c>
      <c r="AM145" s="75">
        <f>$C145*INDEX(Curves!$F$8:$F$68,AM$4-$B145+1)</f>
        <v/>
      </c>
      <c r="AN145" s="75">
        <f>$C145*INDEX(Curves!$F$8:$F$68,AN$4-$B145+1)</f>
        <v/>
      </c>
      <c r="AO145" s="75">
        <f>$C145*INDEX(Curves!$F$8:$F$68,AO$4-$B145+1)</f>
        <v/>
      </c>
      <c r="AP145" s="75">
        <f>$C145*INDEX(Curves!$F$8:$F$68,AP$4-$B145+1)</f>
        <v/>
      </c>
      <c r="AQ145" s="75">
        <f>$C145*INDEX(Curves!$F$8:$F$68,AQ$4-$B145+1)</f>
        <v/>
      </c>
      <c r="AR145" s="75">
        <f>$C145*INDEX(Curves!$F$8:$F$68,AR$4-$B145+1)</f>
        <v/>
      </c>
      <c r="AS145" s="75">
        <f>$C145*INDEX(Curves!$F$8:$F$68,AS$4-$B145+1)</f>
        <v/>
      </c>
      <c r="AT145" s="75">
        <f>$C145*INDEX(Curves!$F$8:$F$68,AT$4-$B145+1)</f>
        <v/>
      </c>
      <c r="AU145" s="75">
        <f>$C145*INDEX(Curves!$F$8:$F$68,AU$4-$B145+1)</f>
        <v/>
      </c>
      <c r="AV145" s="75">
        <f>$C145*INDEX(Curves!$F$8:$F$68,AV$4-$B145+1)</f>
        <v/>
      </c>
      <c r="AW145" s="75">
        <f>$C145*INDEX(Curves!$F$8:$F$68,AW$4-$B145+1)</f>
        <v/>
      </c>
      <c r="AX145" s="75">
        <f>$C145*INDEX(Curves!$F$8:$F$68,AX$4-$B145+1)</f>
        <v/>
      </c>
      <c r="AY145" s="75">
        <f>$C145*INDEX(Curves!$F$8:$F$68,AY$4-$B145+1)</f>
        <v/>
      </c>
      <c r="AZ145" s="75">
        <f>$C145*INDEX(Curves!$F$8:$F$68,AZ$4-$B145+1)</f>
        <v/>
      </c>
      <c r="BA145" s="75">
        <f>$C145*INDEX(Curves!$F$8:$F$68,BA$4-$B145+1)</f>
        <v/>
      </c>
      <c r="BB145" s="75">
        <f>$C145*INDEX(Curves!$F$8:$F$68,BB$4-$B145+1)</f>
        <v/>
      </c>
      <c r="BC145" s="75">
        <f>$C145*INDEX(Curves!$F$8:$F$68,BC$4-$B145+1)</f>
        <v/>
      </c>
      <c r="BD145" s="75">
        <f>$C145*INDEX(Curves!$F$8:$F$68,BD$4-$B145+1)</f>
        <v/>
      </c>
      <c r="BE145" s="75">
        <f>$C145*INDEX(Curves!$F$8:$F$68,BE$4-$B145+1)</f>
        <v/>
      </c>
      <c r="BF145" s="75">
        <f>$C145*INDEX(Curves!$F$8:$F$68,BF$4-$B145+1)</f>
        <v/>
      </c>
      <c r="BG145" s="75">
        <f>$C145*INDEX(Curves!$F$8:$F$68,BG$4-$B145+1)</f>
        <v/>
      </c>
      <c r="BH145" s="75">
        <f>$C145*INDEX(Curves!$F$8:$F$68,BH$4-$B145+1)</f>
        <v/>
      </c>
      <c r="BI145" s="75">
        <f>$C145*INDEX(Curves!$F$8:$F$68,BI$4-$B145+1)</f>
        <v/>
      </c>
      <c r="BJ145" s="75">
        <f>$C145*INDEX(Curves!$F$8:$F$68,BJ$4-$B145+1)</f>
        <v/>
      </c>
      <c r="BK145" s="75">
        <f>$C145*INDEX(Curves!$F$8:$F$68,BK$4-$B145+1)</f>
        <v/>
      </c>
      <c r="BL145" s="75">
        <f>$C145*INDEX(Curves!$F$8:$F$68,BL$4-$B145+1)</f>
        <v/>
      </c>
    </row>
    <row r="146">
      <c r="A146" s="74" t="inlineStr">
        <is>
          <t>Cohort month 11</t>
        </is>
      </c>
      <c r="B146" s="74" t="n">
        <v>11</v>
      </c>
      <c r="C146" s="17">
        <f>INDEX(Ops!$E$10:$BL$10,1,$B146)</f>
        <v/>
      </c>
      <c r="P146" s="75">
        <f>$C146*INDEX(Curves!$F$8:$F$68,P$4-$B146+1)</f>
        <v/>
      </c>
      <c r="Q146" s="75">
        <f>$C146*INDEX(Curves!$F$8:$F$68,Q$4-$B146+1)</f>
        <v/>
      </c>
      <c r="R146" s="75">
        <f>$C146*INDEX(Curves!$F$8:$F$68,R$4-$B146+1)</f>
        <v/>
      </c>
      <c r="S146" s="75">
        <f>$C146*INDEX(Curves!$F$8:$F$68,S$4-$B146+1)</f>
        <v/>
      </c>
      <c r="T146" s="75">
        <f>$C146*INDEX(Curves!$F$8:$F$68,T$4-$B146+1)</f>
        <v/>
      </c>
      <c r="U146" s="75">
        <f>$C146*INDEX(Curves!$F$8:$F$68,U$4-$B146+1)</f>
        <v/>
      </c>
      <c r="V146" s="75">
        <f>$C146*INDEX(Curves!$F$8:$F$68,V$4-$B146+1)</f>
        <v/>
      </c>
      <c r="W146" s="75">
        <f>$C146*INDEX(Curves!$F$8:$F$68,W$4-$B146+1)</f>
        <v/>
      </c>
      <c r="X146" s="75">
        <f>$C146*INDEX(Curves!$F$8:$F$68,X$4-$B146+1)</f>
        <v/>
      </c>
      <c r="Y146" s="75">
        <f>$C146*INDEX(Curves!$F$8:$F$68,Y$4-$B146+1)</f>
        <v/>
      </c>
      <c r="Z146" s="75">
        <f>$C146*INDEX(Curves!$F$8:$F$68,Z$4-$B146+1)</f>
        <v/>
      </c>
      <c r="AA146" s="75">
        <f>$C146*INDEX(Curves!$F$8:$F$68,AA$4-$B146+1)</f>
        <v/>
      </c>
      <c r="AB146" s="75">
        <f>$C146*INDEX(Curves!$F$8:$F$68,AB$4-$B146+1)</f>
        <v/>
      </c>
      <c r="AC146" s="75">
        <f>$C146*INDEX(Curves!$F$8:$F$68,AC$4-$B146+1)</f>
        <v/>
      </c>
      <c r="AD146" s="75">
        <f>$C146*INDEX(Curves!$F$8:$F$68,AD$4-$B146+1)</f>
        <v/>
      </c>
      <c r="AE146" s="75">
        <f>$C146*INDEX(Curves!$F$8:$F$68,AE$4-$B146+1)</f>
        <v/>
      </c>
      <c r="AF146" s="75">
        <f>$C146*INDEX(Curves!$F$8:$F$68,AF$4-$B146+1)</f>
        <v/>
      </c>
      <c r="AG146" s="75">
        <f>$C146*INDEX(Curves!$F$8:$F$68,AG$4-$B146+1)</f>
        <v/>
      </c>
      <c r="AH146" s="75">
        <f>$C146*INDEX(Curves!$F$8:$F$68,AH$4-$B146+1)</f>
        <v/>
      </c>
      <c r="AI146" s="75">
        <f>$C146*INDEX(Curves!$F$8:$F$68,AI$4-$B146+1)</f>
        <v/>
      </c>
      <c r="AJ146" s="75">
        <f>$C146*INDEX(Curves!$F$8:$F$68,AJ$4-$B146+1)</f>
        <v/>
      </c>
      <c r="AK146" s="75">
        <f>$C146*INDEX(Curves!$F$8:$F$68,AK$4-$B146+1)</f>
        <v/>
      </c>
      <c r="AL146" s="75">
        <f>$C146*INDEX(Curves!$F$8:$F$68,AL$4-$B146+1)</f>
        <v/>
      </c>
      <c r="AM146" s="75">
        <f>$C146*INDEX(Curves!$F$8:$F$68,AM$4-$B146+1)</f>
        <v/>
      </c>
      <c r="AN146" s="75">
        <f>$C146*INDEX(Curves!$F$8:$F$68,AN$4-$B146+1)</f>
        <v/>
      </c>
      <c r="AO146" s="75">
        <f>$C146*INDEX(Curves!$F$8:$F$68,AO$4-$B146+1)</f>
        <v/>
      </c>
      <c r="AP146" s="75">
        <f>$C146*INDEX(Curves!$F$8:$F$68,AP$4-$B146+1)</f>
        <v/>
      </c>
      <c r="AQ146" s="75">
        <f>$C146*INDEX(Curves!$F$8:$F$68,AQ$4-$B146+1)</f>
        <v/>
      </c>
      <c r="AR146" s="75">
        <f>$C146*INDEX(Curves!$F$8:$F$68,AR$4-$B146+1)</f>
        <v/>
      </c>
      <c r="AS146" s="75">
        <f>$C146*INDEX(Curves!$F$8:$F$68,AS$4-$B146+1)</f>
        <v/>
      </c>
      <c r="AT146" s="75">
        <f>$C146*INDEX(Curves!$F$8:$F$68,AT$4-$B146+1)</f>
        <v/>
      </c>
      <c r="AU146" s="75">
        <f>$C146*INDEX(Curves!$F$8:$F$68,AU$4-$B146+1)</f>
        <v/>
      </c>
      <c r="AV146" s="75">
        <f>$C146*INDEX(Curves!$F$8:$F$68,AV$4-$B146+1)</f>
        <v/>
      </c>
      <c r="AW146" s="75">
        <f>$C146*INDEX(Curves!$F$8:$F$68,AW$4-$B146+1)</f>
        <v/>
      </c>
      <c r="AX146" s="75">
        <f>$C146*INDEX(Curves!$F$8:$F$68,AX$4-$B146+1)</f>
        <v/>
      </c>
      <c r="AY146" s="75">
        <f>$C146*INDEX(Curves!$F$8:$F$68,AY$4-$B146+1)</f>
        <v/>
      </c>
      <c r="AZ146" s="75">
        <f>$C146*INDEX(Curves!$F$8:$F$68,AZ$4-$B146+1)</f>
        <v/>
      </c>
      <c r="BA146" s="75">
        <f>$C146*INDEX(Curves!$F$8:$F$68,BA$4-$B146+1)</f>
        <v/>
      </c>
      <c r="BB146" s="75">
        <f>$C146*INDEX(Curves!$F$8:$F$68,BB$4-$B146+1)</f>
        <v/>
      </c>
      <c r="BC146" s="75">
        <f>$C146*INDEX(Curves!$F$8:$F$68,BC$4-$B146+1)</f>
        <v/>
      </c>
      <c r="BD146" s="75">
        <f>$C146*INDEX(Curves!$F$8:$F$68,BD$4-$B146+1)</f>
        <v/>
      </c>
      <c r="BE146" s="75">
        <f>$C146*INDEX(Curves!$F$8:$F$68,BE$4-$B146+1)</f>
        <v/>
      </c>
      <c r="BF146" s="75">
        <f>$C146*INDEX(Curves!$F$8:$F$68,BF$4-$B146+1)</f>
        <v/>
      </c>
      <c r="BG146" s="75">
        <f>$C146*INDEX(Curves!$F$8:$F$68,BG$4-$B146+1)</f>
        <v/>
      </c>
      <c r="BH146" s="75">
        <f>$C146*INDEX(Curves!$F$8:$F$68,BH$4-$B146+1)</f>
        <v/>
      </c>
      <c r="BI146" s="75">
        <f>$C146*INDEX(Curves!$F$8:$F$68,BI$4-$B146+1)</f>
        <v/>
      </c>
      <c r="BJ146" s="75">
        <f>$C146*INDEX(Curves!$F$8:$F$68,BJ$4-$B146+1)</f>
        <v/>
      </c>
      <c r="BK146" s="75">
        <f>$C146*INDEX(Curves!$F$8:$F$68,BK$4-$B146+1)</f>
        <v/>
      </c>
      <c r="BL146" s="75">
        <f>$C146*INDEX(Curves!$F$8:$F$68,BL$4-$B146+1)</f>
        <v/>
      </c>
    </row>
    <row r="147">
      <c r="A147" s="74" t="inlineStr">
        <is>
          <t>Cohort month 12</t>
        </is>
      </c>
      <c r="B147" s="74" t="n">
        <v>12</v>
      </c>
      <c r="C147" s="17">
        <f>INDEX(Ops!$E$10:$BL$10,1,$B147)</f>
        <v/>
      </c>
      <c r="Q147" s="75">
        <f>$C147*INDEX(Curves!$F$8:$F$68,Q$4-$B147+1)</f>
        <v/>
      </c>
      <c r="R147" s="75">
        <f>$C147*INDEX(Curves!$F$8:$F$68,R$4-$B147+1)</f>
        <v/>
      </c>
      <c r="S147" s="75">
        <f>$C147*INDEX(Curves!$F$8:$F$68,S$4-$B147+1)</f>
        <v/>
      </c>
      <c r="T147" s="75">
        <f>$C147*INDEX(Curves!$F$8:$F$68,T$4-$B147+1)</f>
        <v/>
      </c>
      <c r="U147" s="75">
        <f>$C147*INDEX(Curves!$F$8:$F$68,U$4-$B147+1)</f>
        <v/>
      </c>
      <c r="V147" s="75">
        <f>$C147*INDEX(Curves!$F$8:$F$68,V$4-$B147+1)</f>
        <v/>
      </c>
      <c r="W147" s="75">
        <f>$C147*INDEX(Curves!$F$8:$F$68,W$4-$B147+1)</f>
        <v/>
      </c>
      <c r="X147" s="75">
        <f>$C147*INDEX(Curves!$F$8:$F$68,X$4-$B147+1)</f>
        <v/>
      </c>
      <c r="Y147" s="75">
        <f>$C147*INDEX(Curves!$F$8:$F$68,Y$4-$B147+1)</f>
        <v/>
      </c>
      <c r="Z147" s="75">
        <f>$C147*INDEX(Curves!$F$8:$F$68,Z$4-$B147+1)</f>
        <v/>
      </c>
      <c r="AA147" s="75">
        <f>$C147*INDEX(Curves!$F$8:$F$68,AA$4-$B147+1)</f>
        <v/>
      </c>
      <c r="AB147" s="75">
        <f>$C147*INDEX(Curves!$F$8:$F$68,AB$4-$B147+1)</f>
        <v/>
      </c>
      <c r="AC147" s="75">
        <f>$C147*INDEX(Curves!$F$8:$F$68,AC$4-$B147+1)</f>
        <v/>
      </c>
      <c r="AD147" s="75">
        <f>$C147*INDEX(Curves!$F$8:$F$68,AD$4-$B147+1)</f>
        <v/>
      </c>
      <c r="AE147" s="75">
        <f>$C147*INDEX(Curves!$F$8:$F$68,AE$4-$B147+1)</f>
        <v/>
      </c>
      <c r="AF147" s="75">
        <f>$C147*INDEX(Curves!$F$8:$F$68,AF$4-$B147+1)</f>
        <v/>
      </c>
      <c r="AG147" s="75">
        <f>$C147*INDEX(Curves!$F$8:$F$68,AG$4-$B147+1)</f>
        <v/>
      </c>
      <c r="AH147" s="75">
        <f>$C147*INDEX(Curves!$F$8:$F$68,AH$4-$B147+1)</f>
        <v/>
      </c>
      <c r="AI147" s="75">
        <f>$C147*INDEX(Curves!$F$8:$F$68,AI$4-$B147+1)</f>
        <v/>
      </c>
      <c r="AJ147" s="75">
        <f>$C147*INDEX(Curves!$F$8:$F$68,AJ$4-$B147+1)</f>
        <v/>
      </c>
      <c r="AK147" s="75">
        <f>$C147*INDEX(Curves!$F$8:$F$68,AK$4-$B147+1)</f>
        <v/>
      </c>
      <c r="AL147" s="75">
        <f>$C147*INDEX(Curves!$F$8:$F$68,AL$4-$B147+1)</f>
        <v/>
      </c>
      <c r="AM147" s="75">
        <f>$C147*INDEX(Curves!$F$8:$F$68,AM$4-$B147+1)</f>
        <v/>
      </c>
      <c r="AN147" s="75">
        <f>$C147*INDEX(Curves!$F$8:$F$68,AN$4-$B147+1)</f>
        <v/>
      </c>
      <c r="AO147" s="75">
        <f>$C147*INDEX(Curves!$F$8:$F$68,AO$4-$B147+1)</f>
        <v/>
      </c>
      <c r="AP147" s="75">
        <f>$C147*INDEX(Curves!$F$8:$F$68,AP$4-$B147+1)</f>
        <v/>
      </c>
      <c r="AQ147" s="75">
        <f>$C147*INDEX(Curves!$F$8:$F$68,AQ$4-$B147+1)</f>
        <v/>
      </c>
      <c r="AR147" s="75">
        <f>$C147*INDEX(Curves!$F$8:$F$68,AR$4-$B147+1)</f>
        <v/>
      </c>
      <c r="AS147" s="75">
        <f>$C147*INDEX(Curves!$F$8:$F$68,AS$4-$B147+1)</f>
        <v/>
      </c>
      <c r="AT147" s="75">
        <f>$C147*INDEX(Curves!$F$8:$F$68,AT$4-$B147+1)</f>
        <v/>
      </c>
      <c r="AU147" s="75">
        <f>$C147*INDEX(Curves!$F$8:$F$68,AU$4-$B147+1)</f>
        <v/>
      </c>
      <c r="AV147" s="75">
        <f>$C147*INDEX(Curves!$F$8:$F$68,AV$4-$B147+1)</f>
        <v/>
      </c>
      <c r="AW147" s="75">
        <f>$C147*INDEX(Curves!$F$8:$F$68,AW$4-$B147+1)</f>
        <v/>
      </c>
      <c r="AX147" s="75">
        <f>$C147*INDEX(Curves!$F$8:$F$68,AX$4-$B147+1)</f>
        <v/>
      </c>
      <c r="AY147" s="75">
        <f>$C147*INDEX(Curves!$F$8:$F$68,AY$4-$B147+1)</f>
        <v/>
      </c>
      <c r="AZ147" s="75">
        <f>$C147*INDEX(Curves!$F$8:$F$68,AZ$4-$B147+1)</f>
        <v/>
      </c>
      <c r="BA147" s="75">
        <f>$C147*INDEX(Curves!$F$8:$F$68,BA$4-$B147+1)</f>
        <v/>
      </c>
      <c r="BB147" s="75">
        <f>$C147*INDEX(Curves!$F$8:$F$68,BB$4-$B147+1)</f>
        <v/>
      </c>
      <c r="BC147" s="75">
        <f>$C147*INDEX(Curves!$F$8:$F$68,BC$4-$B147+1)</f>
        <v/>
      </c>
      <c r="BD147" s="75">
        <f>$C147*INDEX(Curves!$F$8:$F$68,BD$4-$B147+1)</f>
        <v/>
      </c>
      <c r="BE147" s="75">
        <f>$C147*INDEX(Curves!$F$8:$F$68,BE$4-$B147+1)</f>
        <v/>
      </c>
      <c r="BF147" s="75">
        <f>$C147*INDEX(Curves!$F$8:$F$68,BF$4-$B147+1)</f>
        <v/>
      </c>
      <c r="BG147" s="75">
        <f>$C147*INDEX(Curves!$F$8:$F$68,BG$4-$B147+1)</f>
        <v/>
      </c>
      <c r="BH147" s="75">
        <f>$C147*INDEX(Curves!$F$8:$F$68,BH$4-$B147+1)</f>
        <v/>
      </c>
      <c r="BI147" s="75">
        <f>$C147*INDEX(Curves!$F$8:$F$68,BI$4-$B147+1)</f>
        <v/>
      </c>
      <c r="BJ147" s="75">
        <f>$C147*INDEX(Curves!$F$8:$F$68,BJ$4-$B147+1)</f>
        <v/>
      </c>
      <c r="BK147" s="75">
        <f>$C147*INDEX(Curves!$F$8:$F$68,BK$4-$B147+1)</f>
        <v/>
      </c>
      <c r="BL147" s="75">
        <f>$C147*INDEX(Curves!$F$8:$F$68,BL$4-$B147+1)</f>
        <v/>
      </c>
    </row>
    <row r="148">
      <c r="A148" s="74" t="inlineStr">
        <is>
          <t>Cohort month 13</t>
        </is>
      </c>
      <c r="B148" s="74" t="n">
        <v>13</v>
      </c>
      <c r="C148" s="17">
        <f>INDEX(Ops!$E$10:$BL$10,1,$B148)</f>
        <v/>
      </c>
      <c r="R148" s="75">
        <f>$C148*INDEX(Curves!$F$8:$F$68,R$4-$B148+1)</f>
        <v/>
      </c>
      <c r="S148" s="75">
        <f>$C148*INDEX(Curves!$F$8:$F$68,S$4-$B148+1)</f>
        <v/>
      </c>
      <c r="T148" s="75">
        <f>$C148*INDEX(Curves!$F$8:$F$68,T$4-$B148+1)</f>
        <v/>
      </c>
      <c r="U148" s="75">
        <f>$C148*INDEX(Curves!$F$8:$F$68,U$4-$B148+1)</f>
        <v/>
      </c>
      <c r="V148" s="75">
        <f>$C148*INDEX(Curves!$F$8:$F$68,V$4-$B148+1)</f>
        <v/>
      </c>
      <c r="W148" s="75">
        <f>$C148*INDEX(Curves!$F$8:$F$68,W$4-$B148+1)</f>
        <v/>
      </c>
      <c r="X148" s="75">
        <f>$C148*INDEX(Curves!$F$8:$F$68,X$4-$B148+1)</f>
        <v/>
      </c>
      <c r="Y148" s="75">
        <f>$C148*INDEX(Curves!$F$8:$F$68,Y$4-$B148+1)</f>
        <v/>
      </c>
      <c r="Z148" s="75">
        <f>$C148*INDEX(Curves!$F$8:$F$68,Z$4-$B148+1)</f>
        <v/>
      </c>
      <c r="AA148" s="75">
        <f>$C148*INDEX(Curves!$F$8:$F$68,AA$4-$B148+1)</f>
        <v/>
      </c>
      <c r="AB148" s="75">
        <f>$C148*INDEX(Curves!$F$8:$F$68,AB$4-$B148+1)</f>
        <v/>
      </c>
      <c r="AC148" s="75">
        <f>$C148*INDEX(Curves!$F$8:$F$68,AC$4-$B148+1)</f>
        <v/>
      </c>
      <c r="AD148" s="75">
        <f>$C148*INDEX(Curves!$F$8:$F$68,AD$4-$B148+1)</f>
        <v/>
      </c>
      <c r="AE148" s="75">
        <f>$C148*INDEX(Curves!$F$8:$F$68,AE$4-$B148+1)</f>
        <v/>
      </c>
      <c r="AF148" s="75">
        <f>$C148*INDEX(Curves!$F$8:$F$68,AF$4-$B148+1)</f>
        <v/>
      </c>
      <c r="AG148" s="75">
        <f>$C148*INDEX(Curves!$F$8:$F$68,AG$4-$B148+1)</f>
        <v/>
      </c>
      <c r="AH148" s="75">
        <f>$C148*INDEX(Curves!$F$8:$F$68,AH$4-$B148+1)</f>
        <v/>
      </c>
      <c r="AI148" s="75">
        <f>$C148*INDEX(Curves!$F$8:$F$68,AI$4-$B148+1)</f>
        <v/>
      </c>
      <c r="AJ148" s="75">
        <f>$C148*INDEX(Curves!$F$8:$F$68,AJ$4-$B148+1)</f>
        <v/>
      </c>
      <c r="AK148" s="75">
        <f>$C148*INDEX(Curves!$F$8:$F$68,AK$4-$B148+1)</f>
        <v/>
      </c>
      <c r="AL148" s="75">
        <f>$C148*INDEX(Curves!$F$8:$F$68,AL$4-$B148+1)</f>
        <v/>
      </c>
      <c r="AM148" s="75">
        <f>$C148*INDEX(Curves!$F$8:$F$68,AM$4-$B148+1)</f>
        <v/>
      </c>
      <c r="AN148" s="75">
        <f>$C148*INDEX(Curves!$F$8:$F$68,AN$4-$B148+1)</f>
        <v/>
      </c>
      <c r="AO148" s="75">
        <f>$C148*INDEX(Curves!$F$8:$F$68,AO$4-$B148+1)</f>
        <v/>
      </c>
      <c r="AP148" s="75">
        <f>$C148*INDEX(Curves!$F$8:$F$68,AP$4-$B148+1)</f>
        <v/>
      </c>
      <c r="AQ148" s="75">
        <f>$C148*INDEX(Curves!$F$8:$F$68,AQ$4-$B148+1)</f>
        <v/>
      </c>
      <c r="AR148" s="75">
        <f>$C148*INDEX(Curves!$F$8:$F$68,AR$4-$B148+1)</f>
        <v/>
      </c>
      <c r="AS148" s="75">
        <f>$C148*INDEX(Curves!$F$8:$F$68,AS$4-$B148+1)</f>
        <v/>
      </c>
      <c r="AT148" s="75">
        <f>$C148*INDEX(Curves!$F$8:$F$68,AT$4-$B148+1)</f>
        <v/>
      </c>
      <c r="AU148" s="75">
        <f>$C148*INDEX(Curves!$F$8:$F$68,AU$4-$B148+1)</f>
        <v/>
      </c>
      <c r="AV148" s="75">
        <f>$C148*INDEX(Curves!$F$8:$F$68,AV$4-$B148+1)</f>
        <v/>
      </c>
      <c r="AW148" s="75">
        <f>$C148*INDEX(Curves!$F$8:$F$68,AW$4-$B148+1)</f>
        <v/>
      </c>
      <c r="AX148" s="75">
        <f>$C148*INDEX(Curves!$F$8:$F$68,AX$4-$B148+1)</f>
        <v/>
      </c>
      <c r="AY148" s="75">
        <f>$C148*INDEX(Curves!$F$8:$F$68,AY$4-$B148+1)</f>
        <v/>
      </c>
      <c r="AZ148" s="75">
        <f>$C148*INDEX(Curves!$F$8:$F$68,AZ$4-$B148+1)</f>
        <v/>
      </c>
      <c r="BA148" s="75">
        <f>$C148*INDEX(Curves!$F$8:$F$68,BA$4-$B148+1)</f>
        <v/>
      </c>
      <c r="BB148" s="75">
        <f>$C148*INDEX(Curves!$F$8:$F$68,BB$4-$B148+1)</f>
        <v/>
      </c>
      <c r="BC148" s="75">
        <f>$C148*INDEX(Curves!$F$8:$F$68,BC$4-$B148+1)</f>
        <v/>
      </c>
      <c r="BD148" s="75">
        <f>$C148*INDEX(Curves!$F$8:$F$68,BD$4-$B148+1)</f>
        <v/>
      </c>
      <c r="BE148" s="75">
        <f>$C148*INDEX(Curves!$F$8:$F$68,BE$4-$B148+1)</f>
        <v/>
      </c>
      <c r="BF148" s="75">
        <f>$C148*INDEX(Curves!$F$8:$F$68,BF$4-$B148+1)</f>
        <v/>
      </c>
      <c r="BG148" s="75">
        <f>$C148*INDEX(Curves!$F$8:$F$68,BG$4-$B148+1)</f>
        <v/>
      </c>
      <c r="BH148" s="75">
        <f>$C148*INDEX(Curves!$F$8:$F$68,BH$4-$B148+1)</f>
        <v/>
      </c>
      <c r="BI148" s="75">
        <f>$C148*INDEX(Curves!$F$8:$F$68,BI$4-$B148+1)</f>
        <v/>
      </c>
      <c r="BJ148" s="75">
        <f>$C148*INDEX(Curves!$F$8:$F$68,BJ$4-$B148+1)</f>
        <v/>
      </c>
      <c r="BK148" s="75">
        <f>$C148*INDEX(Curves!$F$8:$F$68,BK$4-$B148+1)</f>
        <v/>
      </c>
      <c r="BL148" s="75">
        <f>$C148*INDEX(Curves!$F$8:$F$68,BL$4-$B148+1)</f>
        <v/>
      </c>
    </row>
    <row r="149">
      <c r="A149" s="74" t="inlineStr">
        <is>
          <t>Cohort month 14</t>
        </is>
      </c>
      <c r="B149" s="74" t="n">
        <v>14</v>
      </c>
      <c r="C149" s="17">
        <f>INDEX(Ops!$E$10:$BL$10,1,$B149)</f>
        <v/>
      </c>
      <c r="S149" s="75">
        <f>$C149*INDEX(Curves!$F$8:$F$68,S$4-$B149+1)</f>
        <v/>
      </c>
      <c r="T149" s="75">
        <f>$C149*INDEX(Curves!$F$8:$F$68,T$4-$B149+1)</f>
        <v/>
      </c>
      <c r="U149" s="75">
        <f>$C149*INDEX(Curves!$F$8:$F$68,U$4-$B149+1)</f>
        <v/>
      </c>
      <c r="V149" s="75">
        <f>$C149*INDEX(Curves!$F$8:$F$68,V$4-$B149+1)</f>
        <v/>
      </c>
      <c r="W149" s="75">
        <f>$C149*INDEX(Curves!$F$8:$F$68,W$4-$B149+1)</f>
        <v/>
      </c>
      <c r="X149" s="75">
        <f>$C149*INDEX(Curves!$F$8:$F$68,X$4-$B149+1)</f>
        <v/>
      </c>
      <c r="Y149" s="75">
        <f>$C149*INDEX(Curves!$F$8:$F$68,Y$4-$B149+1)</f>
        <v/>
      </c>
      <c r="Z149" s="75">
        <f>$C149*INDEX(Curves!$F$8:$F$68,Z$4-$B149+1)</f>
        <v/>
      </c>
      <c r="AA149" s="75">
        <f>$C149*INDEX(Curves!$F$8:$F$68,AA$4-$B149+1)</f>
        <v/>
      </c>
      <c r="AB149" s="75">
        <f>$C149*INDEX(Curves!$F$8:$F$68,AB$4-$B149+1)</f>
        <v/>
      </c>
      <c r="AC149" s="75">
        <f>$C149*INDEX(Curves!$F$8:$F$68,AC$4-$B149+1)</f>
        <v/>
      </c>
      <c r="AD149" s="75">
        <f>$C149*INDEX(Curves!$F$8:$F$68,AD$4-$B149+1)</f>
        <v/>
      </c>
      <c r="AE149" s="75">
        <f>$C149*INDEX(Curves!$F$8:$F$68,AE$4-$B149+1)</f>
        <v/>
      </c>
      <c r="AF149" s="75">
        <f>$C149*INDEX(Curves!$F$8:$F$68,AF$4-$B149+1)</f>
        <v/>
      </c>
      <c r="AG149" s="75">
        <f>$C149*INDEX(Curves!$F$8:$F$68,AG$4-$B149+1)</f>
        <v/>
      </c>
      <c r="AH149" s="75">
        <f>$C149*INDEX(Curves!$F$8:$F$68,AH$4-$B149+1)</f>
        <v/>
      </c>
      <c r="AI149" s="75">
        <f>$C149*INDEX(Curves!$F$8:$F$68,AI$4-$B149+1)</f>
        <v/>
      </c>
      <c r="AJ149" s="75">
        <f>$C149*INDEX(Curves!$F$8:$F$68,AJ$4-$B149+1)</f>
        <v/>
      </c>
      <c r="AK149" s="75">
        <f>$C149*INDEX(Curves!$F$8:$F$68,AK$4-$B149+1)</f>
        <v/>
      </c>
      <c r="AL149" s="75">
        <f>$C149*INDEX(Curves!$F$8:$F$68,AL$4-$B149+1)</f>
        <v/>
      </c>
      <c r="AM149" s="75">
        <f>$C149*INDEX(Curves!$F$8:$F$68,AM$4-$B149+1)</f>
        <v/>
      </c>
      <c r="AN149" s="75">
        <f>$C149*INDEX(Curves!$F$8:$F$68,AN$4-$B149+1)</f>
        <v/>
      </c>
      <c r="AO149" s="75">
        <f>$C149*INDEX(Curves!$F$8:$F$68,AO$4-$B149+1)</f>
        <v/>
      </c>
      <c r="AP149" s="75">
        <f>$C149*INDEX(Curves!$F$8:$F$68,AP$4-$B149+1)</f>
        <v/>
      </c>
      <c r="AQ149" s="75">
        <f>$C149*INDEX(Curves!$F$8:$F$68,AQ$4-$B149+1)</f>
        <v/>
      </c>
      <c r="AR149" s="75">
        <f>$C149*INDEX(Curves!$F$8:$F$68,AR$4-$B149+1)</f>
        <v/>
      </c>
      <c r="AS149" s="75">
        <f>$C149*INDEX(Curves!$F$8:$F$68,AS$4-$B149+1)</f>
        <v/>
      </c>
      <c r="AT149" s="75">
        <f>$C149*INDEX(Curves!$F$8:$F$68,AT$4-$B149+1)</f>
        <v/>
      </c>
      <c r="AU149" s="75">
        <f>$C149*INDEX(Curves!$F$8:$F$68,AU$4-$B149+1)</f>
        <v/>
      </c>
      <c r="AV149" s="75">
        <f>$C149*INDEX(Curves!$F$8:$F$68,AV$4-$B149+1)</f>
        <v/>
      </c>
      <c r="AW149" s="75">
        <f>$C149*INDEX(Curves!$F$8:$F$68,AW$4-$B149+1)</f>
        <v/>
      </c>
      <c r="AX149" s="75">
        <f>$C149*INDEX(Curves!$F$8:$F$68,AX$4-$B149+1)</f>
        <v/>
      </c>
      <c r="AY149" s="75">
        <f>$C149*INDEX(Curves!$F$8:$F$68,AY$4-$B149+1)</f>
        <v/>
      </c>
      <c r="AZ149" s="75">
        <f>$C149*INDEX(Curves!$F$8:$F$68,AZ$4-$B149+1)</f>
        <v/>
      </c>
      <c r="BA149" s="75">
        <f>$C149*INDEX(Curves!$F$8:$F$68,BA$4-$B149+1)</f>
        <v/>
      </c>
      <c r="BB149" s="75">
        <f>$C149*INDEX(Curves!$F$8:$F$68,BB$4-$B149+1)</f>
        <v/>
      </c>
      <c r="BC149" s="75">
        <f>$C149*INDEX(Curves!$F$8:$F$68,BC$4-$B149+1)</f>
        <v/>
      </c>
      <c r="BD149" s="75">
        <f>$C149*INDEX(Curves!$F$8:$F$68,BD$4-$B149+1)</f>
        <v/>
      </c>
      <c r="BE149" s="75">
        <f>$C149*INDEX(Curves!$F$8:$F$68,BE$4-$B149+1)</f>
        <v/>
      </c>
      <c r="BF149" s="75">
        <f>$C149*INDEX(Curves!$F$8:$F$68,BF$4-$B149+1)</f>
        <v/>
      </c>
      <c r="BG149" s="75">
        <f>$C149*INDEX(Curves!$F$8:$F$68,BG$4-$B149+1)</f>
        <v/>
      </c>
      <c r="BH149" s="75">
        <f>$C149*INDEX(Curves!$F$8:$F$68,BH$4-$B149+1)</f>
        <v/>
      </c>
      <c r="BI149" s="75">
        <f>$C149*INDEX(Curves!$F$8:$F$68,BI$4-$B149+1)</f>
        <v/>
      </c>
      <c r="BJ149" s="75">
        <f>$C149*INDEX(Curves!$F$8:$F$68,BJ$4-$B149+1)</f>
        <v/>
      </c>
      <c r="BK149" s="75">
        <f>$C149*INDEX(Curves!$F$8:$F$68,BK$4-$B149+1)</f>
        <v/>
      </c>
      <c r="BL149" s="75">
        <f>$C149*INDEX(Curves!$F$8:$F$68,BL$4-$B149+1)</f>
        <v/>
      </c>
    </row>
    <row r="150">
      <c r="A150" s="74" t="inlineStr">
        <is>
          <t>Cohort month 15</t>
        </is>
      </c>
      <c r="B150" s="74" t="n">
        <v>15</v>
      </c>
      <c r="C150" s="17">
        <f>INDEX(Ops!$E$10:$BL$10,1,$B150)</f>
        <v/>
      </c>
      <c r="T150" s="75">
        <f>$C150*INDEX(Curves!$F$8:$F$68,T$4-$B150+1)</f>
        <v/>
      </c>
      <c r="U150" s="75">
        <f>$C150*INDEX(Curves!$F$8:$F$68,U$4-$B150+1)</f>
        <v/>
      </c>
      <c r="V150" s="75">
        <f>$C150*INDEX(Curves!$F$8:$F$68,V$4-$B150+1)</f>
        <v/>
      </c>
      <c r="W150" s="75">
        <f>$C150*INDEX(Curves!$F$8:$F$68,W$4-$B150+1)</f>
        <v/>
      </c>
      <c r="X150" s="75">
        <f>$C150*INDEX(Curves!$F$8:$F$68,X$4-$B150+1)</f>
        <v/>
      </c>
      <c r="Y150" s="75">
        <f>$C150*INDEX(Curves!$F$8:$F$68,Y$4-$B150+1)</f>
        <v/>
      </c>
      <c r="Z150" s="75">
        <f>$C150*INDEX(Curves!$F$8:$F$68,Z$4-$B150+1)</f>
        <v/>
      </c>
      <c r="AA150" s="75">
        <f>$C150*INDEX(Curves!$F$8:$F$68,AA$4-$B150+1)</f>
        <v/>
      </c>
      <c r="AB150" s="75">
        <f>$C150*INDEX(Curves!$F$8:$F$68,AB$4-$B150+1)</f>
        <v/>
      </c>
      <c r="AC150" s="75">
        <f>$C150*INDEX(Curves!$F$8:$F$68,AC$4-$B150+1)</f>
        <v/>
      </c>
      <c r="AD150" s="75">
        <f>$C150*INDEX(Curves!$F$8:$F$68,AD$4-$B150+1)</f>
        <v/>
      </c>
      <c r="AE150" s="75">
        <f>$C150*INDEX(Curves!$F$8:$F$68,AE$4-$B150+1)</f>
        <v/>
      </c>
      <c r="AF150" s="75">
        <f>$C150*INDEX(Curves!$F$8:$F$68,AF$4-$B150+1)</f>
        <v/>
      </c>
      <c r="AG150" s="75">
        <f>$C150*INDEX(Curves!$F$8:$F$68,AG$4-$B150+1)</f>
        <v/>
      </c>
      <c r="AH150" s="75">
        <f>$C150*INDEX(Curves!$F$8:$F$68,AH$4-$B150+1)</f>
        <v/>
      </c>
      <c r="AI150" s="75">
        <f>$C150*INDEX(Curves!$F$8:$F$68,AI$4-$B150+1)</f>
        <v/>
      </c>
      <c r="AJ150" s="75">
        <f>$C150*INDEX(Curves!$F$8:$F$68,AJ$4-$B150+1)</f>
        <v/>
      </c>
      <c r="AK150" s="75">
        <f>$C150*INDEX(Curves!$F$8:$F$68,AK$4-$B150+1)</f>
        <v/>
      </c>
      <c r="AL150" s="75">
        <f>$C150*INDEX(Curves!$F$8:$F$68,AL$4-$B150+1)</f>
        <v/>
      </c>
      <c r="AM150" s="75">
        <f>$C150*INDEX(Curves!$F$8:$F$68,AM$4-$B150+1)</f>
        <v/>
      </c>
      <c r="AN150" s="75">
        <f>$C150*INDEX(Curves!$F$8:$F$68,AN$4-$B150+1)</f>
        <v/>
      </c>
      <c r="AO150" s="75">
        <f>$C150*INDEX(Curves!$F$8:$F$68,AO$4-$B150+1)</f>
        <v/>
      </c>
      <c r="AP150" s="75">
        <f>$C150*INDEX(Curves!$F$8:$F$68,AP$4-$B150+1)</f>
        <v/>
      </c>
      <c r="AQ150" s="75">
        <f>$C150*INDEX(Curves!$F$8:$F$68,AQ$4-$B150+1)</f>
        <v/>
      </c>
      <c r="AR150" s="75">
        <f>$C150*INDEX(Curves!$F$8:$F$68,AR$4-$B150+1)</f>
        <v/>
      </c>
      <c r="AS150" s="75">
        <f>$C150*INDEX(Curves!$F$8:$F$68,AS$4-$B150+1)</f>
        <v/>
      </c>
      <c r="AT150" s="75">
        <f>$C150*INDEX(Curves!$F$8:$F$68,AT$4-$B150+1)</f>
        <v/>
      </c>
      <c r="AU150" s="75">
        <f>$C150*INDEX(Curves!$F$8:$F$68,AU$4-$B150+1)</f>
        <v/>
      </c>
      <c r="AV150" s="75">
        <f>$C150*INDEX(Curves!$F$8:$F$68,AV$4-$B150+1)</f>
        <v/>
      </c>
      <c r="AW150" s="75">
        <f>$C150*INDEX(Curves!$F$8:$F$68,AW$4-$B150+1)</f>
        <v/>
      </c>
      <c r="AX150" s="75">
        <f>$C150*INDEX(Curves!$F$8:$F$68,AX$4-$B150+1)</f>
        <v/>
      </c>
      <c r="AY150" s="75">
        <f>$C150*INDEX(Curves!$F$8:$F$68,AY$4-$B150+1)</f>
        <v/>
      </c>
      <c r="AZ150" s="75">
        <f>$C150*INDEX(Curves!$F$8:$F$68,AZ$4-$B150+1)</f>
        <v/>
      </c>
      <c r="BA150" s="75">
        <f>$C150*INDEX(Curves!$F$8:$F$68,BA$4-$B150+1)</f>
        <v/>
      </c>
      <c r="BB150" s="75">
        <f>$C150*INDEX(Curves!$F$8:$F$68,BB$4-$B150+1)</f>
        <v/>
      </c>
      <c r="BC150" s="75">
        <f>$C150*INDEX(Curves!$F$8:$F$68,BC$4-$B150+1)</f>
        <v/>
      </c>
      <c r="BD150" s="75">
        <f>$C150*INDEX(Curves!$F$8:$F$68,BD$4-$B150+1)</f>
        <v/>
      </c>
      <c r="BE150" s="75">
        <f>$C150*INDEX(Curves!$F$8:$F$68,BE$4-$B150+1)</f>
        <v/>
      </c>
      <c r="BF150" s="75">
        <f>$C150*INDEX(Curves!$F$8:$F$68,BF$4-$B150+1)</f>
        <v/>
      </c>
      <c r="BG150" s="75">
        <f>$C150*INDEX(Curves!$F$8:$F$68,BG$4-$B150+1)</f>
        <v/>
      </c>
      <c r="BH150" s="75">
        <f>$C150*INDEX(Curves!$F$8:$F$68,BH$4-$B150+1)</f>
        <v/>
      </c>
      <c r="BI150" s="75">
        <f>$C150*INDEX(Curves!$F$8:$F$68,BI$4-$B150+1)</f>
        <v/>
      </c>
      <c r="BJ150" s="75">
        <f>$C150*INDEX(Curves!$F$8:$F$68,BJ$4-$B150+1)</f>
        <v/>
      </c>
      <c r="BK150" s="75">
        <f>$C150*INDEX(Curves!$F$8:$F$68,BK$4-$B150+1)</f>
        <v/>
      </c>
      <c r="BL150" s="75">
        <f>$C150*INDEX(Curves!$F$8:$F$68,BL$4-$B150+1)</f>
        <v/>
      </c>
    </row>
    <row r="151">
      <c r="A151" s="74" t="inlineStr">
        <is>
          <t>Cohort month 16</t>
        </is>
      </c>
      <c r="B151" s="74" t="n">
        <v>16</v>
      </c>
      <c r="C151" s="17">
        <f>INDEX(Ops!$E$10:$BL$10,1,$B151)</f>
        <v/>
      </c>
      <c r="U151" s="75">
        <f>$C151*INDEX(Curves!$F$8:$F$68,U$4-$B151+1)</f>
        <v/>
      </c>
      <c r="V151" s="75">
        <f>$C151*INDEX(Curves!$F$8:$F$68,V$4-$B151+1)</f>
        <v/>
      </c>
      <c r="W151" s="75">
        <f>$C151*INDEX(Curves!$F$8:$F$68,W$4-$B151+1)</f>
        <v/>
      </c>
      <c r="X151" s="75">
        <f>$C151*INDEX(Curves!$F$8:$F$68,X$4-$B151+1)</f>
        <v/>
      </c>
      <c r="Y151" s="75">
        <f>$C151*INDEX(Curves!$F$8:$F$68,Y$4-$B151+1)</f>
        <v/>
      </c>
      <c r="Z151" s="75">
        <f>$C151*INDEX(Curves!$F$8:$F$68,Z$4-$B151+1)</f>
        <v/>
      </c>
      <c r="AA151" s="75">
        <f>$C151*INDEX(Curves!$F$8:$F$68,AA$4-$B151+1)</f>
        <v/>
      </c>
      <c r="AB151" s="75">
        <f>$C151*INDEX(Curves!$F$8:$F$68,AB$4-$B151+1)</f>
        <v/>
      </c>
      <c r="AC151" s="75">
        <f>$C151*INDEX(Curves!$F$8:$F$68,AC$4-$B151+1)</f>
        <v/>
      </c>
      <c r="AD151" s="75">
        <f>$C151*INDEX(Curves!$F$8:$F$68,AD$4-$B151+1)</f>
        <v/>
      </c>
      <c r="AE151" s="75">
        <f>$C151*INDEX(Curves!$F$8:$F$68,AE$4-$B151+1)</f>
        <v/>
      </c>
      <c r="AF151" s="75">
        <f>$C151*INDEX(Curves!$F$8:$F$68,AF$4-$B151+1)</f>
        <v/>
      </c>
      <c r="AG151" s="75">
        <f>$C151*INDEX(Curves!$F$8:$F$68,AG$4-$B151+1)</f>
        <v/>
      </c>
      <c r="AH151" s="75">
        <f>$C151*INDEX(Curves!$F$8:$F$68,AH$4-$B151+1)</f>
        <v/>
      </c>
      <c r="AI151" s="75">
        <f>$C151*INDEX(Curves!$F$8:$F$68,AI$4-$B151+1)</f>
        <v/>
      </c>
      <c r="AJ151" s="75">
        <f>$C151*INDEX(Curves!$F$8:$F$68,AJ$4-$B151+1)</f>
        <v/>
      </c>
      <c r="AK151" s="75">
        <f>$C151*INDEX(Curves!$F$8:$F$68,AK$4-$B151+1)</f>
        <v/>
      </c>
      <c r="AL151" s="75">
        <f>$C151*INDEX(Curves!$F$8:$F$68,AL$4-$B151+1)</f>
        <v/>
      </c>
      <c r="AM151" s="75">
        <f>$C151*INDEX(Curves!$F$8:$F$68,AM$4-$B151+1)</f>
        <v/>
      </c>
      <c r="AN151" s="75">
        <f>$C151*INDEX(Curves!$F$8:$F$68,AN$4-$B151+1)</f>
        <v/>
      </c>
      <c r="AO151" s="75">
        <f>$C151*INDEX(Curves!$F$8:$F$68,AO$4-$B151+1)</f>
        <v/>
      </c>
      <c r="AP151" s="75">
        <f>$C151*INDEX(Curves!$F$8:$F$68,AP$4-$B151+1)</f>
        <v/>
      </c>
      <c r="AQ151" s="75">
        <f>$C151*INDEX(Curves!$F$8:$F$68,AQ$4-$B151+1)</f>
        <v/>
      </c>
      <c r="AR151" s="75">
        <f>$C151*INDEX(Curves!$F$8:$F$68,AR$4-$B151+1)</f>
        <v/>
      </c>
      <c r="AS151" s="75">
        <f>$C151*INDEX(Curves!$F$8:$F$68,AS$4-$B151+1)</f>
        <v/>
      </c>
      <c r="AT151" s="75">
        <f>$C151*INDEX(Curves!$F$8:$F$68,AT$4-$B151+1)</f>
        <v/>
      </c>
      <c r="AU151" s="75">
        <f>$C151*INDEX(Curves!$F$8:$F$68,AU$4-$B151+1)</f>
        <v/>
      </c>
      <c r="AV151" s="75">
        <f>$C151*INDEX(Curves!$F$8:$F$68,AV$4-$B151+1)</f>
        <v/>
      </c>
      <c r="AW151" s="75">
        <f>$C151*INDEX(Curves!$F$8:$F$68,AW$4-$B151+1)</f>
        <v/>
      </c>
      <c r="AX151" s="75">
        <f>$C151*INDEX(Curves!$F$8:$F$68,AX$4-$B151+1)</f>
        <v/>
      </c>
      <c r="AY151" s="75">
        <f>$C151*INDEX(Curves!$F$8:$F$68,AY$4-$B151+1)</f>
        <v/>
      </c>
      <c r="AZ151" s="75">
        <f>$C151*INDEX(Curves!$F$8:$F$68,AZ$4-$B151+1)</f>
        <v/>
      </c>
      <c r="BA151" s="75">
        <f>$C151*INDEX(Curves!$F$8:$F$68,BA$4-$B151+1)</f>
        <v/>
      </c>
      <c r="BB151" s="75">
        <f>$C151*INDEX(Curves!$F$8:$F$68,BB$4-$B151+1)</f>
        <v/>
      </c>
      <c r="BC151" s="75">
        <f>$C151*INDEX(Curves!$F$8:$F$68,BC$4-$B151+1)</f>
        <v/>
      </c>
      <c r="BD151" s="75">
        <f>$C151*INDEX(Curves!$F$8:$F$68,BD$4-$B151+1)</f>
        <v/>
      </c>
      <c r="BE151" s="75">
        <f>$C151*INDEX(Curves!$F$8:$F$68,BE$4-$B151+1)</f>
        <v/>
      </c>
      <c r="BF151" s="75">
        <f>$C151*INDEX(Curves!$F$8:$F$68,BF$4-$B151+1)</f>
        <v/>
      </c>
      <c r="BG151" s="75">
        <f>$C151*INDEX(Curves!$F$8:$F$68,BG$4-$B151+1)</f>
        <v/>
      </c>
      <c r="BH151" s="75">
        <f>$C151*INDEX(Curves!$F$8:$F$68,BH$4-$B151+1)</f>
        <v/>
      </c>
      <c r="BI151" s="75">
        <f>$C151*INDEX(Curves!$F$8:$F$68,BI$4-$B151+1)</f>
        <v/>
      </c>
      <c r="BJ151" s="75">
        <f>$C151*INDEX(Curves!$F$8:$F$68,BJ$4-$B151+1)</f>
        <v/>
      </c>
      <c r="BK151" s="75">
        <f>$C151*INDEX(Curves!$F$8:$F$68,BK$4-$B151+1)</f>
        <v/>
      </c>
      <c r="BL151" s="75">
        <f>$C151*INDEX(Curves!$F$8:$F$68,BL$4-$B151+1)</f>
        <v/>
      </c>
    </row>
    <row r="152">
      <c r="A152" s="74" t="inlineStr">
        <is>
          <t>Cohort month 17</t>
        </is>
      </c>
      <c r="B152" s="74" t="n">
        <v>17</v>
      </c>
      <c r="C152" s="17">
        <f>INDEX(Ops!$E$10:$BL$10,1,$B152)</f>
        <v/>
      </c>
      <c r="V152" s="75">
        <f>$C152*INDEX(Curves!$F$8:$F$68,V$4-$B152+1)</f>
        <v/>
      </c>
      <c r="W152" s="75">
        <f>$C152*INDEX(Curves!$F$8:$F$68,W$4-$B152+1)</f>
        <v/>
      </c>
      <c r="X152" s="75">
        <f>$C152*INDEX(Curves!$F$8:$F$68,X$4-$B152+1)</f>
        <v/>
      </c>
      <c r="Y152" s="75">
        <f>$C152*INDEX(Curves!$F$8:$F$68,Y$4-$B152+1)</f>
        <v/>
      </c>
      <c r="Z152" s="75">
        <f>$C152*INDEX(Curves!$F$8:$F$68,Z$4-$B152+1)</f>
        <v/>
      </c>
      <c r="AA152" s="75">
        <f>$C152*INDEX(Curves!$F$8:$F$68,AA$4-$B152+1)</f>
        <v/>
      </c>
      <c r="AB152" s="75">
        <f>$C152*INDEX(Curves!$F$8:$F$68,AB$4-$B152+1)</f>
        <v/>
      </c>
      <c r="AC152" s="75">
        <f>$C152*INDEX(Curves!$F$8:$F$68,AC$4-$B152+1)</f>
        <v/>
      </c>
      <c r="AD152" s="75">
        <f>$C152*INDEX(Curves!$F$8:$F$68,AD$4-$B152+1)</f>
        <v/>
      </c>
      <c r="AE152" s="75">
        <f>$C152*INDEX(Curves!$F$8:$F$68,AE$4-$B152+1)</f>
        <v/>
      </c>
      <c r="AF152" s="75">
        <f>$C152*INDEX(Curves!$F$8:$F$68,AF$4-$B152+1)</f>
        <v/>
      </c>
      <c r="AG152" s="75">
        <f>$C152*INDEX(Curves!$F$8:$F$68,AG$4-$B152+1)</f>
        <v/>
      </c>
      <c r="AH152" s="75">
        <f>$C152*INDEX(Curves!$F$8:$F$68,AH$4-$B152+1)</f>
        <v/>
      </c>
      <c r="AI152" s="75">
        <f>$C152*INDEX(Curves!$F$8:$F$68,AI$4-$B152+1)</f>
        <v/>
      </c>
      <c r="AJ152" s="75">
        <f>$C152*INDEX(Curves!$F$8:$F$68,AJ$4-$B152+1)</f>
        <v/>
      </c>
      <c r="AK152" s="75">
        <f>$C152*INDEX(Curves!$F$8:$F$68,AK$4-$B152+1)</f>
        <v/>
      </c>
      <c r="AL152" s="75">
        <f>$C152*INDEX(Curves!$F$8:$F$68,AL$4-$B152+1)</f>
        <v/>
      </c>
      <c r="AM152" s="75">
        <f>$C152*INDEX(Curves!$F$8:$F$68,AM$4-$B152+1)</f>
        <v/>
      </c>
      <c r="AN152" s="75">
        <f>$C152*INDEX(Curves!$F$8:$F$68,AN$4-$B152+1)</f>
        <v/>
      </c>
      <c r="AO152" s="75">
        <f>$C152*INDEX(Curves!$F$8:$F$68,AO$4-$B152+1)</f>
        <v/>
      </c>
      <c r="AP152" s="75">
        <f>$C152*INDEX(Curves!$F$8:$F$68,AP$4-$B152+1)</f>
        <v/>
      </c>
      <c r="AQ152" s="75">
        <f>$C152*INDEX(Curves!$F$8:$F$68,AQ$4-$B152+1)</f>
        <v/>
      </c>
      <c r="AR152" s="75">
        <f>$C152*INDEX(Curves!$F$8:$F$68,AR$4-$B152+1)</f>
        <v/>
      </c>
      <c r="AS152" s="75">
        <f>$C152*INDEX(Curves!$F$8:$F$68,AS$4-$B152+1)</f>
        <v/>
      </c>
      <c r="AT152" s="75">
        <f>$C152*INDEX(Curves!$F$8:$F$68,AT$4-$B152+1)</f>
        <v/>
      </c>
      <c r="AU152" s="75">
        <f>$C152*INDEX(Curves!$F$8:$F$68,AU$4-$B152+1)</f>
        <v/>
      </c>
      <c r="AV152" s="75">
        <f>$C152*INDEX(Curves!$F$8:$F$68,AV$4-$B152+1)</f>
        <v/>
      </c>
      <c r="AW152" s="75">
        <f>$C152*INDEX(Curves!$F$8:$F$68,AW$4-$B152+1)</f>
        <v/>
      </c>
      <c r="AX152" s="75">
        <f>$C152*INDEX(Curves!$F$8:$F$68,AX$4-$B152+1)</f>
        <v/>
      </c>
      <c r="AY152" s="75">
        <f>$C152*INDEX(Curves!$F$8:$F$68,AY$4-$B152+1)</f>
        <v/>
      </c>
      <c r="AZ152" s="75">
        <f>$C152*INDEX(Curves!$F$8:$F$68,AZ$4-$B152+1)</f>
        <v/>
      </c>
      <c r="BA152" s="75">
        <f>$C152*INDEX(Curves!$F$8:$F$68,BA$4-$B152+1)</f>
        <v/>
      </c>
      <c r="BB152" s="75">
        <f>$C152*INDEX(Curves!$F$8:$F$68,BB$4-$B152+1)</f>
        <v/>
      </c>
      <c r="BC152" s="75">
        <f>$C152*INDEX(Curves!$F$8:$F$68,BC$4-$B152+1)</f>
        <v/>
      </c>
      <c r="BD152" s="75">
        <f>$C152*INDEX(Curves!$F$8:$F$68,BD$4-$B152+1)</f>
        <v/>
      </c>
      <c r="BE152" s="75">
        <f>$C152*INDEX(Curves!$F$8:$F$68,BE$4-$B152+1)</f>
        <v/>
      </c>
      <c r="BF152" s="75">
        <f>$C152*INDEX(Curves!$F$8:$F$68,BF$4-$B152+1)</f>
        <v/>
      </c>
      <c r="BG152" s="75">
        <f>$C152*INDEX(Curves!$F$8:$F$68,BG$4-$B152+1)</f>
        <v/>
      </c>
      <c r="BH152" s="75">
        <f>$C152*INDEX(Curves!$F$8:$F$68,BH$4-$B152+1)</f>
        <v/>
      </c>
      <c r="BI152" s="75">
        <f>$C152*INDEX(Curves!$F$8:$F$68,BI$4-$B152+1)</f>
        <v/>
      </c>
      <c r="BJ152" s="75">
        <f>$C152*INDEX(Curves!$F$8:$F$68,BJ$4-$B152+1)</f>
        <v/>
      </c>
      <c r="BK152" s="75">
        <f>$C152*INDEX(Curves!$F$8:$F$68,BK$4-$B152+1)</f>
        <v/>
      </c>
      <c r="BL152" s="75">
        <f>$C152*INDEX(Curves!$F$8:$F$68,BL$4-$B152+1)</f>
        <v/>
      </c>
    </row>
    <row r="153">
      <c r="A153" s="74" t="inlineStr">
        <is>
          <t>Cohort month 18</t>
        </is>
      </c>
      <c r="B153" s="74" t="n">
        <v>18</v>
      </c>
      <c r="C153" s="17">
        <f>INDEX(Ops!$E$10:$BL$10,1,$B153)</f>
        <v/>
      </c>
      <c r="W153" s="75">
        <f>$C153*INDEX(Curves!$F$8:$F$68,W$4-$B153+1)</f>
        <v/>
      </c>
      <c r="X153" s="75">
        <f>$C153*INDEX(Curves!$F$8:$F$68,X$4-$B153+1)</f>
        <v/>
      </c>
      <c r="Y153" s="75">
        <f>$C153*INDEX(Curves!$F$8:$F$68,Y$4-$B153+1)</f>
        <v/>
      </c>
      <c r="Z153" s="75">
        <f>$C153*INDEX(Curves!$F$8:$F$68,Z$4-$B153+1)</f>
        <v/>
      </c>
      <c r="AA153" s="75">
        <f>$C153*INDEX(Curves!$F$8:$F$68,AA$4-$B153+1)</f>
        <v/>
      </c>
      <c r="AB153" s="75">
        <f>$C153*INDEX(Curves!$F$8:$F$68,AB$4-$B153+1)</f>
        <v/>
      </c>
      <c r="AC153" s="75">
        <f>$C153*INDEX(Curves!$F$8:$F$68,AC$4-$B153+1)</f>
        <v/>
      </c>
      <c r="AD153" s="75">
        <f>$C153*INDEX(Curves!$F$8:$F$68,AD$4-$B153+1)</f>
        <v/>
      </c>
      <c r="AE153" s="75">
        <f>$C153*INDEX(Curves!$F$8:$F$68,AE$4-$B153+1)</f>
        <v/>
      </c>
      <c r="AF153" s="75">
        <f>$C153*INDEX(Curves!$F$8:$F$68,AF$4-$B153+1)</f>
        <v/>
      </c>
      <c r="AG153" s="75">
        <f>$C153*INDEX(Curves!$F$8:$F$68,AG$4-$B153+1)</f>
        <v/>
      </c>
      <c r="AH153" s="75">
        <f>$C153*INDEX(Curves!$F$8:$F$68,AH$4-$B153+1)</f>
        <v/>
      </c>
      <c r="AI153" s="75">
        <f>$C153*INDEX(Curves!$F$8:$F$68,AI$4-$B153+1)</f>
        <v/>
      </c>
      <c r="AJ153" s="75">
        <f>$C153*INDEX(Curves!$F$8:$F$68,AJ$4-$B153+1)</f>
        <v/>
      </c>
      <c r="AK153" s="75">
        <f>$C153*INDEX(Curves!$F$8:$F$68,AK$4-$B153+1)</f>
        <v/>
      </c>
      <c r="AL153" s="75">
        <f>$C153*INDEX(Curves!$F$8:$F$68,AL$4-$B153+1)</f>
        <v/>
      </c>
      <c r="AM153" s="75">
        <f>$C153*INDEX(Curves!$F$8:$F$68,AM$4-$B153+1)</f>
        <v/>
      </c>
      <c r="AN153" s="75">
        <f>$C153*INDEX(Curves!$F$8:$F$68,AN$4-$B153+1)</f>
        <v/>
      </c>
      <c r="AO153" s="75">
        <f>$C153*INDEX(Curves!$F$8:$F$68,AO$4-$B153+1)</f>
        <v/>
      </c>
      <c r="AP153" s="75">
        <f>$C153*INDEX(Curves!$F$8:$F$68,AP$4-$B153+1)</f>
        <v/>
      </c>
      <c r="AQ153" s="75">
        <f>$C153*INDEX(Curves!$F$8:$F$68,AQ$4-$B153+1)</f>
        <v/>
      </c>
      <c r="AR153" s="75">
        <f>$C153*INDEX(Curves!$F$8:$F$68,AR$4-$B153+1)</f>
        <v/>
      </c>
      <c r="AS153" s="75">
        <f>$C153*INDEX(Curves!$F$8:$F$68,AS$4-$B153+1)</f>
        <v/>
      </c>
      <c r="AT153" s="75">
        <f>$C153*INDEX(Curves!$F$8:$F$68,AT$4-$B153+1)</f>
        <v/>
      </c>
      <c r="AU153" s="75">
        <f>$C153*INDEX(Curves!$F$8:$F$68,AU$4-$B153+1)</f>
        <v/>
      </c>
      <c r="AV153" s="75">
        <f>$C153*INDEX(Curves!$F$8:$F$68,AV$4-$B153+1)</f>
        <v/>
      </c>
      <c r="AW153" s="75">
        <f>$C153*INDEX(Curves!$F$8:$F$68,AW$4-$B153+1)</f>
        <v/>
      </c>
      <c r="AX153" s="75">
        <f>$C153*INDEX(Curves!$F$8:$F$68,AX$4-$B153+1)</f>
        <v/>
      </c>
      <c r="AY153" s="75">
        <f>$C153*INDEX(Curves!$F$8:$F$68,AY$4-$B153+1)</f>
        <v/>
      </c>
      <c r="AZ153" s="75">
        <f>$C153*INDEX(Curves!$F$8:$F$68,AZ$4-$B153+1)</f>
        <v/>
      </c>
      <c r="BA153" s="75">
        <f>$C153*INDEX(Curves!$F$8:$F$68,BA$4-$B153+1)</f>
        <v/>
      </c>
      <c r="BB153" s="75">
        <f>$C153*INDEX(Curves!$F$8:$F$68,BB$4-$B153+1)</f>
        <v/>
      </c>
      <c r="BC153" s="75">
        <f>$C153*INDEX(Curves!$F$8:$F$68,BC$4-$B153+1)</f>
        <v/>
      </c>
      <c r="BD153" s="75">
        <f>$C153*INDEX(Curves!$F$8:$F$68,BD$4-$B153+1)</f>
        <v/>
      </c>
      <c r="BE153" s="75">
        <f>$C153*INDEX(Curves!$F$8:$F$68,BE$4-$B153+1)</f>
        <v/>
      </c>
      <c r="BF153" s="75">
        <f>$C153*INDEX(Curves!$F$8:$F$68,BF$4-$B153+1)</f>
        <v/>
      </c>
      <c r="BG153" s="75">
        <f>$C153*INDEX(Curves!$F$8:$F$68,BG$4-$B153+1)</f>
        <v/>
      </c>
      <c r="BH153" s="75">
        <f>$C153*INDEX(Curves!$F$8:$F$68,BH$4-$B153+1)</f>
        <v/>
      </c>
      <c r="BI153" s="75">
        <f>$C153*INDEX(Curves!$F$8:$F$68,BI$4-$B153+1)</f>
        <v/>
      </c>
      <c r="BJ153" s="75">
        <f>$C153*INDEX(Curves!$F$8:$F$68,BJ$4-$B153+1)</f>
        <v/>
      </c>
      <c r="BK153" s="75">
        <f>$C153*INDEX(Curves!$F$8:$F$68,BK$4-$B153+1)</f>
        <v/>
      </c>
      <c r="BL153" s="75">
        <f>$C153*INDEX(Curves!$F$8:$F$68,BL$4-$B153+1)</f>
        <v/>
      </c>
    </row>
    <row r="154">
      <c r="A154" s="74" t="inlineStr">
        <is>
          <t>Cohort month 19</t>
        </is>
      </c>
      <c r="B154" s="74" t="n">
        <v>19</v>
      </c>
      <c r="C154" s="17">
        <f>INDEX(Ops!$E$10:$BL$10,1,$B154)</f>
        <v/>
      </c>
      <c r="X154" s="75">
        <f>$C154*INDEX(Curves!$F$8:$F$68,X$4-$B154+1)</f>
        <v/>
      </c>
      <c r="Y154" s="75">
        <f>$C154*INDEX(Curves!$F$8:$F$68,Y$4-$B154+1)</f>
        <v/>
      </c>
      <c r="Z154" s="75">
        <f>$C154*INDEX(Curves!$F$8:$F$68,Z$4-$B154+1)</f>
        <v/>
      </c>
      <c r="AA154" s="75">
        <f>$C154*INDEX(Curves!$F$8:$F$68,AA$4-$B154+1)</f>
        <v/>
      </c>
      <c r="AB154" s="75">
        <f>$C154*INDEX(Curves!$F$8:$F$68,AB$4-$B154+1)</f>
        <v/>
      </c>
      <c r="AC154" s="75">
        <f>$C154*INDEX(Curves!$F$8:$F$68,AC$4-$B154+1)</f>
        <v/>
      </c>
      <c r="AD154" s="75">
        <f>$C154*INDEX(Curves!$F$8:$F$68,AD$4-$B154+1)</f>
        <v/>
      </c>
      <c r="AE154" s="75">
        <f>$C154*INDEX(Curves!$F$8:$F$68,AE$4-$B154+1)</f>
        <v/>
      </c>
      <c r="AF154" s="75">
        <f>$C154*INDEX(Curves!$F$8:$F$68,AF$4-$B154+1)</f>
        <v/>
      </c>
      <c r="AG154" s="75">
        <f>$C154*INDEX(Curves!$F$8:$F$68,AG$4-$B154+1)</f>
        <v/>
      </c>
      <c r="AH154" s="75">
        <f>$C154*INDEX(Curves!$F$8:$F$68,AH$4-$B154+1)</f>
        <v/>
      </c>
      <c r="AI154" s="75">
        <f>$C154*INDEX(Curves!$F$8:$F$68,AI$4-$B154+1)</f>
        <v/>
      </c>
      <c r="AJ154" s="75">
        <f>$C154*INDEX(Curves!$F$8:$F$68,AJ$4-$B154+1)</f>
        <v/>
      </c>
      <c r="AK154" s="75">
        <f>$C154*INDEX(Curves!$F$8:$F$68,AK$4-$B154+1)</f>
        <v/>
      </c>
      <c r="AL154" s="75">
        <f>$C154*INDEX(Curves!$F$8:$F$68,AL$4-$B154+1)</f>
        <v/>
      </c>
      <c r="AM154" s="75">
        <f>$C154*INDEX(Curves!$F$8:$F$68,AM$4-$B154+1)</f>
        <v/>
      </c>
      <c r="AN154" s="75">
        <f>$C154*INDEX(Curves!$F$8:$F$68,AN$4-$B154+1)</f>
        <v/>
      </c>
      <c r="AO154" s="75">
        <f>$C154*INDEX(Curves!$F$8:$F$68,AO$4-$B154+1)</f>
        <v/>
      </c>
      <c r="AP154" s="75">
        <f>$C154*INDEX(Curves!$F$8:$F$68,AP$4-$B154+1)</f>
        <v/>
      </c>
      <c r="AQ154" s="75">
        <f>$C154*INDEX(Curves!$F$8:$F$68,AQ$4-$B154+1)</f>
        <v/>
      </c>
      <c r="AR154" s="75">
        <f>$C154*INDEX(Curves!$F$8:$F$68,AR$4-$B154+1)</f>
        <v/>
      </c>
      <c r="AS154" s="75">
        <f>$C154*INDEX(Curves!$F$8:$F$68,AS$4-$B154+1)</f>
        <v/>
      </c>
      <c r="AT154" s="75">
        <f>$C154*INDEX(Curves!$F$8:$F$68,AT$4-$B154+1)</f>
        <v/>
      </c>
      <c r="AU154" s="75">
        <f>$C154*INDEX(Curves!$F$8:$F$68,AU$4-$B154+1)</f>
        <v/>
      </c>
      <c r="AV154" s="75">
        <f>$C154*INDEX(Curves!$F$8:$F$68,AV$4-$B154+1)</f>
        <v/>
      </c>
      <c r="AW154" s="75">
        <f>$C154*INDEX(Curves!$F$8:$F$68,AW$4-$B154+1)</f>
        <v/>
      </c>
      <c r="AX154" s="75">
        <f>$C154*INDEX(Curves!$F$8:$F$68,AX$4-$B154+1)</f>
        <v/>
      </c>
      <c r="AY154" s="75">
        <f>$C154*INDEX(Curves!$F$8:$F$68,AY$4-$B154+1)</f>
        <v/>
      </c>
      <c r="AZ154" s="75">
        <f>$C154*INDEX(Curves!$F$8:$F$68,AZ$4-$B154+1)</f>
        <v/>
      </c>
      <c r="BA154" s="75">
        <f>$C154*INDEX(Curves!$F$8:$F$68,BA$4-$B154+1)</f>
        <v/>
      </c>
      <c r="BB154" s="75">
        <f>$C154*INDEX(Curves!$F$8:$F$68,BB$4-$B154+1)</f>
        <v/>
      </c>
      <c r="BC154" s="75">
        <f>$C154*INDEX(Curves!$F$8:$F$68,BC$4-$B154+1)</f>
        <v/>
      </c>
      <c r="BD154" s="75">
        <f>$C154*INDEX(Curves!$F$8:$F$68,BD$4-$B154+1)</f>
        <v/>
      </c>
      <c r="BE154" s="75">
        <f>$C154*INDEX(Curves!$F$8:$F$68,BE$4-$B154+1)</f>
        <v/>
      </c>
      <c r="BF154" s="75">
        <f>$C154*INDEX(Curves!$F$8:$F$68,BF$4-$B154+1)</f>
        <v/>
      </c>
      <c r="BG154" s="75">
        <f>$C154*INDEX(Curves!$F$8:$F$68,BG$4-$B154+1)</f>
        <v/>
      </c>
      <c r="BH154" s="75">
        <f>$C154*INDEX(Curves!$F$8:$F$68,BH$4-$B154+1)</f>
        <v/>
      </c>
      <c r="BI154" s="75">
        <f>$C154*INDEX(Curves!$F$8:$F$68,BI$4-$B154+1)</f>
        <v/>
      </c>
      <c r="BJ154" s="75">
        <f>$C154*INDEX(Curves!$F$8:$F$68,BJ$4-$B154+1)</f>
        <v/>
      </c>
      <c r="BK154" s="75">
        <f>$C154*INDEX(Curves!$F$8:$F$68,BK$4-$B154+1)</f>
        <v/>
      </c>
      <c r="BL154" s="75">
        <f>$C154*INDEX(Curves!$F$8:$F$68,BL$4-$B154+1)</f>
        <v/>
      </c>
    </row>
    <row r="155">
      <c r="A155" s="74" t="inlineStr">
        <is>
          <t>Cohort month 20</t>
        </is>
      </c>
      <c r="B155" s="74" t="n">
        <v>20</v>
      </c>
      <c r="C155" s="17">
        <f>INDEX(Ops!$E$10:$BL$10,1,$B155)</f>
        <v/>
      </c>
      <c r="Y155" s="75">
        <f>$C155*INDEX(Curves!$F$8:$F$68,Y$4-$B155+1)</f>
        <v/>
      </c>
      <c r="Z155" s="75">
        <f>$C155*INDEX(Curves!$F$8:$F$68,Z$4-$B155+1)</f>
        <v/>
      </c>
      <c r="AA155" s="75">
        <f>$C155*INDEX(Curves!$F$8:$F$68,AA$4-$B155+1)</f>
        <v/>
      </c>
      <c r="AB155" s="75">
        <f>$C155*INDEX(Curves!$F$8:$F$68,AB$4-$B155+1)</f>
        <v/>
      </c>
      <c r="AC155" s="75">
        <f>$C155*INDEX(Curves!$F$8:$F$68,AC$4-$B155+1)</f>
        <v/>
      </c>
      <c r="AD155" s="75">
        <f>$C155*INDEX(Curves!$F$8:$F$68,AD$4-$B155+1)</f>
        <v/>
      </c>
      <c r="AE155" s="75">
        <f>$C155*INDEX(Curves!$F$8:$F$68,AE$4-$B155+1)</f>
        <v/>
      </c>
      <c r="AF155" s="75">
        <f>$C155*INDEX(Curves!$F$8:$F$68,AF$4-$B155+1)</f>
        <v/>
      </c>
      <c r="AG155" s="75">
        <f>$C155*INDEX(Curves!$F$8:$F$68,AG$4-$B155+1)</f>
        <v/>
      </c>
      <c r="AH155" s="75">
        <f>$C155*INDEX(Curves!$F$8:$F$68,AH$4-$B155+1)</f>
        <v/>
      </c>
      <c r="AI155" s="75">
        <f>$C155*INDEX(Curves!$F$8:$F$68,AI$4-$B155+1)</f>
        <v/>
      </c>
      <c r="AJ155" s="75">
        <f>$C155*INDEX(Curves!$F$8:$F$68,AJ$4-$B155+1)</f>
        <v/>
      </c>
      <c r="AK155" s="75">
        <f>$C155*INDEX(Curves!$F$8:$F$68,AK$4-$B155+1)</f>
        <v/>
      </c>
      <c r="AL155" s="75">
        <f>$C155*INDEX(Curves!$F$8:$F$68,AL$4-$B155+1)</f>
        <v/>
      </c>
      <c r="AM155" s="75">
        <f>$C155*INDEX(Curves!$F$8:$F$68,AM$4-$B155+1)</f>
        <v/>
      </c>
      <c r="AN155" s="75">
        <f>$C155*INDEX(Curves!$F$8:$F$68,AN$4-$B155+1)</f>
        <v/>
      </c>
      <c r="AO155" s="75">
        <f>$C155*INDEX(Curves!$F$8:$F$68,AO$4-$B155+1)</f>
        <v/>
      </c>
      <c r="AP155" s="75">
        <f>$C155*INDEX(Curves!$F$8:$F$68,AP$4-$B155+1)</f>
        <v/>
      </c>
      <c r="AQ155" s="75">
        <f>$C155*INDEX(Curves!$F$8:$F$68,AQ$4-$B155+1)</f>
        <v/>
      </c>
      <c r="AR155" s="75">
        <f>$C155*INDEX(Curves!$F$8:$F$68,AR$4-$B155+1)</f>
        <v/>
      </c>
      <c r="AS155" s="75">
        <f>$C155*INDEX(Curves!$F$8:$F$68,AS$4-$B155+1)</f>
        <v/>
      </c>
      <c r="AT155" s="75">
        <f>$C155*INDEX(Curves!$F$8:$F$68,AT$4-$B155+1)</f>
        <v/>
      </c>
      <c r="AU155" s="75">
        <f>$C155*INDEX(Curves!$F$8:$F$68,AU$4-$B155+1)</f>
        <v/>
      </c>
      <c r="AV155" s="75">
        <f>$C155*INDEX(Curves!$F$8:$F$68,AV$4-$B155+1)</f>
        <v/>
      </c>
      <c r="AW155" s="75">
        <f>$C155*INDEX(Curves!$F$8:$F$68,AW$4-$B155+1)</f>
        <v/>
      </c>
      <c r="AX155" s="75">
        <f>$C155*INDEX(Curves!$F$8:$F$68,AX$4-$B155+1)</f>
        <v/>
      </c>
      <c r="AY155" s="75">
        <f>$C155*INDEX(Curves!$F$8:$F$68,AY$4-$B155+1)</f>
        <v/>
      </c>
      <c r="AZ155" s="75">
        <f>$C155*INDEX(Curves!$F$8:$F$68,AZ$4-$B155+1)</f>
        <v/>
      </c>
      <c r="BA155" s="75">
        <f>$C155*INDEX(Curves!$F$8:$F$68,BA$4-$B155+1)</f>
        <v/>
      </c>
      <c r="BB155" s="75">
        <f>$C155*INDEX(Curves!$F$8:$F$68,BB$4-$B155+1)</f>
        <v/>
      </c>
      <c r="BC155" s="75">
        <f>$C155*INDEX(Curves!$F$8:$F$68,BC$4-$B155+1)</f>
        <v/>
      </c>
      <c r="BD155" s="75">
        <f>$C155*INDEX(Curves!$F$8:$F$68,BD$4-$B155+1)</f>
        <v/>
      </c>
      <c r="BE155" s="75">
        <f>$C155*INDEX(Curves!$F$8:$F$68,BE$4-$B155+1)</f>
        <v/>
      </c>
      <c r="BF155" s="75">
        <f>$C155*INDEX(Curves!$F$8:$F$68,BF$4-$B155+1)</f>
        <v/>
      </c>
      <c r="BG155" s="75">
        <f>$C155*INDEX(Curves!$F$8:$F$68,BG$4-$B155+1)</f>
        <v/>
      </c>
      <c r="BH155" s="75">
        <f>$C155*INDEX(Curves!$F$8:$F$68,BH$4-$B155+1)</f>
        <v/>
      </c>
      <c r="BI155" s="75">
        <f>$C155*INDEX(Curves!$F$8:$F$68,BI$4-$B155+1)</f>
        <v/>
      </c>
      <c r="BJ155" s="75">
        <f>$C155*INDEX(Curves!$F$8:$F$68,BJ$4-$B155+1)</f>
        <v/>
      </c>
      <c r="BK155" s="75">
        <f>$C155*INDEX(Curves!$F$8:$F$68,BK$4-$B155+1)</f>
        <v/>
      </c>
      <c r="BL155" s="75">
        <f>$C155*INDEX(Curves!$F$8:$F$68,BL$4-$B155+1)</f>
        <v/>
      </c>
    </row>
    <row r="156">
      <c r="A156" s="74" t="inlineStr">
        <is>
          <t>Cohort month 21</t>
        </is>
      </c>
      <c r="B156" s="74" t="n">
        <v>21</v>
      </c>
      <c r="C156" s="17">
        <f>INDEX(Ops!$E$10:$BL$10,1,$B156)</f>
        <v/>
      </c>
      <c r="Z156" s="75">
        <f>$C156*INDEX(Curves!$F$8:$F$68,Z$4-$B156+1)</f>
        <v/>
      </c>
      <c r="AA156" s="75">
        <f>$C156*INDEX(Curves!$F$8:$F$68,AA$4-$B156+1)</f>
        <v/>
      </c>
      <c r="AB156" s="75">
        <f>$C156*INDEX(Curves!$F$8:$F$68,AB$4-$B156+1)</f>
        <v/>
      </c>
      <c r="AC156" s="75">
        <f>$C156*INDEX(Curves!$F$8:$F$68,AC$4-$B156+1)</f>
        <v/>
      </c>
      <c r="AD156" s="75">
        <f>$C156*INDEX(Curves!$F$8:$F$68,AD$4-$B156+1)</f>
        <v/>
      </c>
      <c r="AE156" s="75">
        <f>$C156*INDEX(Curves!$F$8:$F$68,AE$4-$B156+1)</f>
        <v/>
      </c>
      <c r="AF156" s="75">
        <f>$C156*INDEX(Curves!$F$8:$F$68,AF$4-$B156+1)</f>
        <v/>
      </c>
      <c r="AG156" s="75">
        <f>$C156*INDEX(Curves!$F$8:$F$68,AG$4-$B156+1)</f>
        <v/>
      </c>
      <c r="AH156" s="75">
        <f>$C156*INDEX(Curves!$F$8:$F$68,AH$4-$B156+1)</f>
        <v/>
      </c>
      <c r="AI156" s="75">
        <f>$C156*INDEX(Curves!$F$8:$F$68,AI$4-$B156+1)</f>
        <v/>
      </c>
      <c r="AJ156" s="75">
        <f>$C156*INDEX(Curves!$F$8:$F$68,AJ$4-$B156+1)</f>
        <v/>
      </c>
      <c r="AK156" s="75">
        <f>$C156*INDEX(Curves!$F$8:$F$68,AK$4-$B156+1)</f>
        <v/>
      </c>
      <c r="AL156" s="75">
        <f>$C156*INDEX(Curves!$F$8:$F$68,AL$4-$B156+1)</f>
        <v/>
      </c>
      <c r="AM156" s="75">
        <f>$C156*INDEX(Curves!$F$8:$F$68,AM$4-$B156+1)</f>
        <v/>
      </c>
      <c r="AN156" s="75">
        <f>$C156*INDEX(Curves!$F$8:$F$68,AN$4-$B156+1)</f>
        <v/>
      </c>
      <c r="AO156" s="75">
        <f>$C156*INDEX(Curves!$F$8:$F$68,AO$4-$B156+1)</f>
        <v/>
      </c>
      <c r="AP156" s="75">
        <f>$C156*INDEX(Curves!$F$8:$F$68,AP$4-$B156+1)</f>
        <v/>
      </c>
      <c r="AQ156" s="75">
        <f>$C156*INDEX(Curves!$F$8:$F$68,AQ$4-$B156+1)</f>
        <v/>
      </c>
      <c r="AR156" s="75">
        <f>$C156*INDEX(Curves!$F$8:$F$68,AR$4-$B156+1)</f>
        <v/>
      </c>
      <c r="AS156" s="75">
        <f>$C156*INDEX(Curves!$F$8:$F$68,AS$4-$B156+1)</f>
        <v/>
      </c>
      <c r="AT156" s="75">
        <f>$C156*INDEX(Curves!$F$8:$F$68,AT$4-$B156+1)</f>
        <v/>
      </c>
      <c r="AU156" s="75">
        <f>$C156*INDEX(Curves!$F$8:$F$68,AU$4-$B156+1)</f>
        <v/>
      </c>
      <c r="AV156" s="75">
        <f>$C156*INDEX(Curves!$F$8:$F$68,AV$4-$B156+1)</f>
        <v/>
      </c>
      <c r="AW156" s="75">
        <f>$C156*INDEX(Curves!$F$8:$F$68,AW$4-$B156+1)</f>
        <v/>
      </c>
      <c r="AX156" s="75">
        <f>$C156*INDEX(Curves!$F$8:$F$68,AX$4-$B156+1)</f>
        <v/>
      </c>
      <c r="AY156" s="75">
        <f>$C156*INDEX(Curves!$F$8:$F$68,AY$4-$B156+1)</f>
        <v/>
      </c>
      <c r="AZ156" s="75">
        <f>$C156*INDEX(Curves!$F$8:$F$68,AZ$4-$B156+1)</f>
        <v/>
      </c>
      <c r="BA156" s="75">
        <f>$C156*INDEX(Curves!$F$8:$F$68,BA$4-$B156+1)</f>
        <v/>
      </c>
      <c r="BB156" s="75">
        <f>$C156*INDEX(Curves!$F$8:$F$68,BB$4-$B156+1)</f>
        <v/>
      </c>
      <c r="BC156" s="75">
        <f>$C156*INDEX(Curves!$F$8:$F$68,BC$4-$B156+1)</f>
        <v/>
      </c>
      <c r="BD156" s="75">
        <f>$C156*INDEX(Curves!$F$8:$F$68,BD$4-$B156+1)</f>
        <v/>
      </c>
      <c r="BE156" s="75">
        <f>$C156*INDEX(Curves!$F$8:$F$68,BE$4-$B156+1)</f>
        <v/>
      </c>
      <c r="BF156" s="75">
        <f>$C156*INDEX(Curves!$F$8:$F$68,BF$4-$B156+1)</f>
        <v/>
      </c>
      <c r="BG156" s="75">
        <f>$C156*INDEX(Curves!$F$8:$F$68,BG$4-$B156+1)</f>
        <v/>
      </c>
      <c r="BH156" s="75">
        <f>$C156*INDEX(Curves!$F$8:$F$68,BH$4-$B156+1)</f>
        <v/>
      </c>
      <c r="BI156" s="75">
        <f>$C156*INDEX(Curves!$F$8:$F$68,BI$4-$B156+1)</f>
        <v/>
      </c>
      <c r="BJ156" s="75">
        <f>$C156*INDEX(Curves!$F$8:$F$68,BJ$4-$B156+1)</f>
        <v/>
      </c>
      <c r="BK156" s="75">
        <f>$C156*INDEX(Curves!$F$8:$F$68,BK$4-$B156+1)</f>
        <v/>
      </c>
      <c r="BL156" s="75">
        <f>$C156*INDEX(Curves!$F$8:$F$68,BL$4-$B156+1)</f>
        <v/>
      </c>
    </row>
    <row r="157">
      <c r="A157" s="74" t="inlineStr">
        <is>
          <t>Cohort month 22</t>
        </is>
      </c>
      <c r="B157" s="74" t="n">
        <v>22</v>
      </c>
      <c r="C157" s="17">
        <f>INDEX(Ops!$E$10:$BL$10,1,$B157)</f>
        <v/>
      </c>
      <c r="AA157" s="75">
        <f>$C157*INDEX(Curves!$F$8:$F$68,AA$4-$B157+1)</f>
        <v/>
      </c>
      <c r="AB157" s="75">
        <f>$C157*INDEX(Curves!$F$8:$F$68,AB$4-$B157+1)</f>
        <v/>
      </c>
      <c r="AC157" s="75">
        <f>$C157*INDEX(Curves!$F$8:$F$68,AC$4-$B157+1)</f>
        <v/>
      </c>
      <c r="AD157" s="75">
        <f>$C157*INDEX(Curves!$F$8:$F$68,AD$4-$B157+1)</f>
        <v/>
      </c>
      <c r="AE157" s="75">
        <f>$C157*INDEX(Curves!$F$8:$F$68,AE$4-$B157+1)</f>
        <v/>
      </c>
      <c r="AF157" s="75">
        <f>$C157*INDEX(Curves!$F$8:$F$68,AF$4-$B157+1)</f>
        <v/>
      </c>
      <c r="AG157" s="75">
        <f>$C157*INDEX(Curves!$F$8:$F$68,AG$4-$B157+1)</f>
        <v/>
      </c>
      <c r="AH157" s="75">
        <f>$C157*INDEX(Curves!$F$8:$F$68,AH$4-$B157+1)</f>
        <v/>
      </c>
      <c r="AI157" s="75">
        <f>$C157*INDEX(Curves!$F$8:$F$68,AI$4-$B157+1)</f>
        <v/>
      </c>
      <c r="AJ157" s="75">
        <f>$C157*INDEX(Curves!$F$8:$F$68,AJ$4-$B157+1)</f>
        <v/>
      </c>
      <c r="AK157" s="75">
        <f>$C157*INDEX(Curves!$F$8:$F$68,AK$4-$B157+1)</f>
        <v/>
      </c>
      <c r="AL157" s="75">
        <f>$C157*INDEX(Curves!$F$8:$F$68,AL$4-$B157+1)</f>
        <v/>
      </c>
      <c r="AM157" s="75">
        <f>$C157*INDEX(Curves!$F$8:$F$68,AM$4-$B157+1)</f>
        <v/>
      </c>
      <c r="AN157" s="75">
        <f>$C157*INDEX(Curves!$F$8:$F$68,AN$4-$B157+1)</f>
        <v/>
      </c>
      <c r="AO157" s="75">
        <f>$C157*INDEX(Curves!$F$8:$F$68,AO$4-$B157+1)</f>
        <v/>
      </c>
      <c r="AP157" s="75">
        <f>$C157*INDEX(Curves!$F$8:$F$68,AP$4-$B157+1)</f>
        <v/>
      </c>
      <c r="AQ157" s="75">
        <f>$C157*INDEX(Curves!$F$8:$F$68,AQ$4-$B157+1)</f>
        <v/>
      </c>
      <c r="AR157" s="75">
        <f>$C157*INDEX(Curves!$F$8:$F$68,AR$4-$B157+1)</f>
        <v/>
      </c>
      <c r="AS157" s="75">
        <f>$C157*INDEX(Curves!$F$8:$F$68,AS$4-$B157+1)</f>
        <v/>
      </c>
      <c r="AT157" s="75">
        <f>$C157*INDEX(Curves!$F$8:$F$68,AT$4-$B157+1)</f>
        <v/>
      </c>
      <c r="AU157" s="75">
        <f>$C157*INDEX(Curves!$F$8:$F$68,AU$4-$B157+1)</f>
        <v/>
      </c>
      <c r="AV157" s="75">
        <f>$C157*INDEX(Curves!$F$8:$F$68,AV$4-$B157+1)</f>
        <v/>
      </c>
      <c r="AW157" s="75">
        <f>$C157*INDEX(Curves!$F$8:$F$68,AW$4-$B157+1)</f>
        <v/>
      </c>
      <c r="AX157" s="75">
        <f>$C157*INDEX(Curves!$F$8:$F$68,AX$4-$B157+1)</f>
        <v/>
      </c>
      <c r="AY157" s="75">
        <f>$C157*INDEX(Curves!$F$8:$F$68,AY$4-$B157+1)</f>
        <v/>
      </c>
      <c r="AZ157" s="75">
        <f>$C157*INDEX(Curves!$F$8:$F$68,AZ$4-$B157+1)</f>
        <v/>
      </c>
      <c r="BA157" s="75">
        <f>$C157*INDEX(Curves!$F$8:$F$68,BA$4-$B157+1)</f>
        <v/>
      </c>
      <c r="BB157" s="75">
        <f>$C157*INDEX(Curves!$F$8:$F$68,BB$4-$B157+1)</f>
        <v/>
      </c>
      <c r="BC157" s="75">
        <f>$C157*INDEX(Curves!$F$8:$F$68,BC$4-$B157+1)</f>
        <v/>
      </c>
      <c r="BD157" s="75">
        <f>$C157*INDEX(Curves!$F$8:$F$68,BD$4-$B157+1)</f>
        <v/>
      </c>
      <c r="BE157" s="75">
        <f>$C157*INDEX(Curves!$F$8:$F$68,BE$4-$B157+1)</f>
        <v/>
      </c>
      <c r="BF157" s="75">
        <f>$C157*INDEX(Curves!$F$8:$F$68,BF$4-$B157+1)</f>
        <v/>
      </c>
      <c r="BG157" s="75">
        <f>$C157*INDEX(Curves!$F$8:$F$68,BG$4-$B157+1)</f>
        <v/>
      </c>
      <c r="BH157" s="75">
        <f>$C157*INDEX(Curves!$F$8:$F$68,BH$4-$B157+1)</f>
        <v/>
      </c>
      <c r="BI157" s="75">
        <f>$C157*INDEX(Curves!$F$8:$F$68,BI$4-$B157+1)</f>
        <v/>
      </c>
      <c r="BJ157" s="75">
        <f>$C157*INDEX(Curves!$F$8:$F$68,BJ$4-$B157+1)</f>
        <v/>
      </c>
      <c r="BK157" s="75">
        <f>$C157*INDEX(Curves!$F$8:$F$68,BK$4-$B157+1)</f>
        <v/>
      </c>
      <c r="BL157" s="75">
        <f>$C157*INDEX(Curves!$F$8:$F$68,BL$4-$B157+1)</f>
        <v/>
      </c>
    </row>
    <row r="158">
      <c r="A158" s="74" t="inlineStr">
        <is>
          <t>Cohort month 23</t>
        </is>
      </c>
      <c r="B158" s="74" t="n">
        <v>23</v>
      </c>
      <c r="C158" s="17">
        <f>INDEX(Ops!$E$10:$BL$10,1,$B158)</f>
        <v/>
      </c>
      <c r="AB158" s="75">
        <f>$C158*INDEX(Curves!$F$8:$F$68,AB$4-$B158+1)</f>
        <v/>
      </c>
      <c r="AC158" s="75">
        <f>$C158*INDEX(Curves!$F$8:$F$68,AC$4-$B158+1)</f>
        <v/>
      </c>
      <c r="AD158" s="75">
        <f>$C158*INDEX(Curves!$F$8:$F$68,AD$4-$B158+1)</f>
        <v/>
      </c>
      <c r="AE158" s="75">
        <f>$C158*INDEX(Curves!$F$8:$F$68,AE$4-$B158+1)</f>
        <v/>
      </c>
      <c r="AF158" s="75">
        <f>$C158*INDEX(Curves!$F$8:$F$68,AF$4-$B158+1)</f>
        <v/>
      </c>
      <c r="AG158" s="75">
        <f>$C158*INDEX(Curves!$F$8:$F$68,AG$4-$B158+1)</f>
        <v/>
      </c>
      <c r="AH158" s="75">
        <f>$C158*INDEX(Curves!$F$8:$F$68,AH$4-$B158+1)</f>
        <v/>
      </c>
      <c r="AI158" s="75">
        <f>$C158*INDEX(Curves!$F$8:$F$68,AI$4-$B158+1)</f>
        <v/>
      </c>
      <c r="AJ158" s="75">
        <f>$C158*INDEX(Curves!$F$8:$F$68,AJ$4-$B158+1)</f>
        <v/>
      </c>
      <c r="AK158" s="75">
        <f>$C158*INDEX(Curves!$F$8:$F$68,AK$4-$B158+1)</f>
        <v/>
      </c>
      <c r="AL158" s="75">
        <f>$C158*INDEX(Curves!$F$8:$F$68,AL$4-$B158+1)</f>
        <v/>
      </c>
      <c r="AM158" s="75">
        <f>$C158*INDEX(Curves!$F$8:$F$68,AM$4-$B158+1)</f>
        <v/>
      </c>
      <c r="AN158" s="75">
        <f>$C158*INDEX(Curves!$F$8:$F$68,AN$4-$B158+1)</f>
        <v/>
      </c>
      <c r="AO158" s="75">
        <f>$C158*INDEX(Curves!$F$8:$F$68,AO$4-$B158+1)</f>
        <v/>
      </c>
      <c r="AP158" s="75">
        <f>$C158*INDEX(Curves!$F$8:$F$68,AP$4-$B158+1)</f>
        <v/>
      </c>
      <c r="AQ158" s="75">
        <f>$C158*INDEX(Curves!$F$8:$F$68,AQ$4-$B158+1)</f>
        <v/>
      </c>
      <c r="AR158" s="75">
        <f>$C158*INDEX(Curves!$F$8:$F$68,AR$4-$B158+1)</f>
        <v/>
      </c>
      <c r="AS158" s="75">
        <f>$C158*INDEX(Curves!$F$8:$F$68,AS$4-$B158+1)</f>
        <v/>
      </c>
      <c r="AT158" s="75">
        <f>$C158*INDEX(Curves!$F$8:$F$68,AT$4-$B158+1)</f>
        <v/>
      </c>
      <c r="AU158" s="75">
        <f>$C158*INDEX(Curves!$F$8:$F$68,AU$4-$B158+1)</f>
        <v/>
      </c>
      <c r="AV158" s="75">
        <f>$C158*INDEX(Curves!$F$8:$F$68,AV$4-$B158+1)</f>
        <v/>
      </c>
      <c r="AW158" s="75">
        <f>$C158*INDEX(Curves!$F$8:$F$68,AW$4-$B158+1)</f>
        <v/>
      </c>
      <c r="AX158" s="75">
        <f>$C158*INDEX(Curves!$F$8:$F$68,AX$4-$B158+1)</f>
        <v/>
      </c>
      <c r="AY158" s="75">
        <f>$C158*INDEX(Curves!$F$8:$F$68,AY$4-$B158+1)</f>
        <v/>
      </c>
      <c r="AZ158" s="75">
        <f>$C158*INDEX(Curves!$F$8:$F$68,AZ$4-$B158+1)</f>
        <v/>
      </c>
      <c r="BA158" s="75">
        <f>$C158*INDEX(Curves!$F$8:$F$68,BA$4-$B158+1)</f>
        <v/>
      </c>
      <c r="BB158" s="75">
        <f>$C158*INDEX(Curves!$F$8:$F$68,BB$4-$B158+1)</f>
        <v/>
      </c>
      <c r="BC158" s="75">
        <f>$C158*INDEX(Curves!$F$8:$F$68,BC$4-$B158+1)</f>
        <v/>
      </c>
      <c r="BD158" s="75">
        <f>$C158*INDEX(Curves!$F$8:$F$68,BD$4-$B158+1)</f>
        <v/>
      </c>
      <c r="BE158" s="75">
        <f>$C158*INDEX(Curves!$F$8:$F$68,BE$4-$B158+1)</f>
        <v/>
      </c>
      <c r="BF158" s="75">
        <f>$C158*INDEX(Curves!$F$8:$F$68,BF$4-$B158+1)</f>
        <v/>
      </c>
      <c r="BG158" s="75">
        <f>$C158*INDEX(Curves!$F$8:$F$68,BG$4-$B158+1)</f>
        <v/>
      </c>
      <c r="BH158" s="75">
        <f>$C158*INDEX(Curves!$F$8:$F$68,BH$4-$B158+1)</f>
        <v/>
      </c>
      <c r="BI158" s="75">
        <f>$C158*INDEX(Curves!$F$8:$F$68,BI$4-$B158+1)</f>
        <v/>
      </c>
      <c r="BJ158" s="75">
        <f>$C158*INDEX(Curves!$F$8:$F$68,BJ$4-$B158+1)</f>
        <v/>
      </c>
      <c r="BK158" s="75">
        <f>$C158*INDEX(Curves!$F$8:$F$68,BK$4-$B158+1)</f>
        <v/>
      </c>
      <c r="BL158" s="75">
        <f>$C158*INDEX(Curves!$F$8:$F$68,BL$4-$B158+1)</f>
        <v/>
      </c>
    </row>
    <row r="159">
      <c r="A159" s="74" t="inlineStr">
        <is>
          <t>Cohort month 24</t>
        </is>
      </c>
      <c r="B159" s="74" t="n">
        <v>24</v>
      </c>
      <c r="C159" s="17">
        <f>INDEX(Ops!$E$10:$BL$10,1,$B159)</f>
        <v/>
      </c>
      <c r="AC159" s="75">
        <f>$C159*INDEX(Curves!$F$8:$F$68,AC$4-$B159+1)</f>
        <v/>
      </c>
      <c r="AD159" s="75">
        <f>$C159*INDEX(Curves!$F$8:$F$68,AD$4-$B159+1)</f>
        <v/>
      </c>
      <c r="AE159" s="75">
        <f>$C159*INDEX(Curves!$F$8:$F$68,AE$4-$B159+1)</f>
        <v/>
      </c>
      <c r="AF159" s="75">
        <f>$C159*INDEX(Curves!$F$8:$F$68,AF$4-$B159+1)</f>
        <v/>
      </c>
      <c r="AG159" s="75">
        <f>$C159*INDEX(Curves!$F$8:$F$68,AG$4-$B159+1)</f>
        <v/>
      </c>
      <c r="AH159" s="75">
        <f>$C159*INDEX(Curves!$F$8:$F$68,AH$4-$B159+1)</f>
        <v/>
      </c>
      <c r="AI159" s="75">
        <f>$C159*INDEX(Curves!$F$8:$F$68,AI$4-$B159+1)</f>
        <v/>
      </c>
      <c r="AJ159" s="75">
        <f>$C159*INDEX(Curves!$F$8:$F$68,AJ$4-$B159+1)</f>
        <v/>
      </c>
      <c r="AK159" s="75">
        <f>$C159*INDEX(Curves!$F$8:$F$68,AK$4-$B159+1)</f>
        <v/>
      </c>
      <c r="AL159" s="75">
        <f>$C159*INDEX(Curves!$F$8:$F$68,AL$4-$B159+1)</f>
        <v/>
      </c>
      <c r="AM159" s="75">
        <f>$C159*INDEX(Curves!$F$8:$F$68,AM$4-$B159+1)</f>
        <v/>
      </c>
      <c r="AN159" s="75">
        <f>$C159*INDEX(Curves!$F$8:$F$68,AN$4-$B159+1)</f>
        <v/>
      </c>
      <c r="AO159" s="75">
        <f>$C159*INDEX(Curves!$F$8:$F$68,AO$4-$B159+1)</f>
        <v/>
      </c>
      <c r="AP159" s="75">
        <f>$C159*INDEX(Curves!$F$8:$F$68,AP$4-$B159+1)</f>
        <v/>
      </c>
      <c r="AQ159" s="75">
        <f>$C159*INDEX(Curves!$F$8:$F$68,AQ$4-$B159+1)</f>
        <v/>
      </c>
      <c r="AR159" s="75">
        <f>$C159*INDEX(Curves!$F$8:$F$68,AR$4-$B159+1)</f>
        <v/>
      </c>
      <c r="AS159" s="75">
        <f>$C159*INDEX(Curves!$F$8:$F$68,AS$4-$B159+1)</f>
        <v/>
      </c>
      <c r="AT159" s="75">
        <f>$C159*INDEX(Curves!$F$8:$F$68,AT$4-$B159+1)</f>
        <v/>
      </c>
      <c r="AU159" s="75">
        <f>$C159*INDEX(Curves!$F$8:$F$68,AU$4-$B159+1)</f>
        <v/>
      </c>
      <c r="AV159" s="75">
        <f>$C159*INDEX(Curves!$F$8:$F$68,AV$4-$B159+1)</f>
        <v/>
      </c>
      <c r="AW159" s="75">
        <f>$C159*INDEX(Curves!$F$8:$F$68,AW$4-$B159+1)</f>
        <v/>
      </c>
      <c r="AX159" s="75">
        <f>$C159*INDEX(Curves!$F$8:$F$68,AX$4-$B159+1)</f>
        <v/>
      </c>
      <c r="AY159" s="75">
        <f>$C159*INDEX(Curves!$F$8:$F$68,AY$4-$B159+1)</f>
        <v/>
      </c>
      <c r="AZ159" s="75">
        <f>$C159*INDEX(Curves!$F$8:$F$68,AZ$4-$B159+1)</f>
        <v/>
      </c>
      <c r="BA159" s="75">
        <f>$C159*INDEX(Curves!$F$8:$F$68,BA$4-$B159+1)</f>
        <v/>
      </c>
      <c r="BB159" s="75">
        <f>$C159*INDEX(Curves!$F$8:$F$68,BB$4-$B159+1)</f>
        <v/>
      </c>
      <c r="BC159" s="75">
        <f>$C159*INDEX(Curves!$F$8:$F$68,BC$4-$B159+1)</f>
        <v/>
      </c>
      <c r="BD159" s="75">
        <f>$C159*INDEX(Curves!$F$8:$F$68,BD$4-$B159+1)</f>
        <v/>
      </c>
      <c r="BE159" s="75">
        <f>$C159*INDEX(Curves!$F$8:$F$68,BE$4-$B159+1)</f>
        <v/>
      </c>
      <c r="BF159" s="75">
        <f>$C159*INDEX(Curves!$F$8:$F$68,BF$4-$B159+1)</f>
        <v/>
      </c>
      <c r="BG159" s="75">
        <f>$C159*INDEX(Curves!$F$8:$F$68,BG$4-$B159+1)</f>
        <v/>
      </c>
      <c r="BH159" s="75">
        <f>$C159*INDEX(Curves!$F$8:$F$68,BH$4-$B159+1)</f>
        <v/>
      </c>
      <c r="BI159" s="75">
        <f>$C159*INDEX(Curves!$F$8:$F$68,BI$4-$B159+1)</f>
        <v/>
      </c>
      <c r="BJ159" s="75">
        <f>$C159*INDEX(Curves!$F$8:$F$68,BJ$4-$B159+1)</f>
        <v/>
      </c>
      <c r="BK159" s="75">
        <f>$C159*INDEX(Curves!$F$8:$F$68,BK$4-$B159+1)</f>
        <v/>
      </c>
      <c r="BL159" s="75">
        <f>$C159*INDEX(Curves!$F$8:$F$68,BL$4-$B159+1)</f>
        <v/>
      </c>
    </row>
    <row r="160">
      <c r="A160" s="74" t="inlineStr">
        <is>
          <t>Cohort month 25</t>
        </is>
      </c>
      <c r="B160" s="74" t="n">
        <v>25</v>
      </c>
      <c r="C160" s="17">
        <f>INDEX(Ops!$E$10:$BL$10,1,$B160)</f>
        <v/>
      </c>
      <c r="AD160" s="75">
        <f>$C160*INDEX(Curves!$F$8:$F$68,AD$4-$B160+1)</f>
        <v/>
      </c>
      <c r="AE160" s="75">
        <f>$C160*INDEX(Curves!$F$8:$F$68,AE$4-$B160+1)</f>
        <v/>
      </c>
      <c r="AF160" s="75">
        <f>$C160*INDEX(Curves!$F$8:$F$68,AF$4-$B160+1)</f>
        <v/>
      </c>
      <c r="AG160" s="75">
        <f>$C160*INDEX(Curves!$F$8:$F$68,AG$4-$B160+1)</f>
        <v/>
      </c>
      <c r="AH160" s="75">
        <f>$C160*INDEX(Curves!$F$8:$F$68,AH$4-$B160+1)</f>
        <v/>
      </c>
      <c r="AI160" s="75">
        <f>$C160*INDEX(Curves!$F$8:$F$68,AI$4-$B160+1)</f>
        <v/>
      </c>
      <c r="AJ160" s="75">
        <f>$C160*INDEX(Curves!$F$8:$F$68,AJ$4-$B160+1)</f>
        <v/>
      </c>
      <c r="AK160" s="75">
        <f>$C160*INDEX(Curves!$F$8:$F$68,AK$4-$B160+1)</f>
        <v/>
      </c>
      <c r="AL160" s="75">
        <f>$C160*INDEX(Curves!$F$8:$F$68,AL$4-$B160+1)</f>
        <v/>
      </c>
      <c r="AM160" s="75">
        <f>$C160*INDEX(Curves!$F$8:$F$68,AM$4-$B160+1)</f>
        <v/>
      </c>
      <c r="AN160" s="75">
        <f>$C160*INDEX(Curves!$F$8:$F$68,AN$4-$B160+1)</f>
        <v/>
      </c>
      <c r="AO160" s="75">
        <f>$C160*INDEX(Curves!$F$8:$F$68,AO$4-$B160+1)</f>
        <v/>
      </c>
      <c r="AP160" s="75">
        <f>$C160*INDEX(Curves!$F$8:$F$68,AP$4-$B160+1)</f>
        <v/>
      </c>
      <c r="AQ160" s="75">
        <f>$C160*INDEX(Curves!$F$8:$F$68,AQ$4-$B160+1)</f>
        <v/>
      </c>
      <c r="AR160" s="75">
        <f>$C160*INDEX(Curves!$F$8:$F$68,AR$4-$B160+1)</f>
        <v/>
      </c>
      <c r="AS160" s="75">
        <f>$C160*INDEX(Curves!$F$8:$F$68,AS$4-$B160+1)</f>
        <v/>
      </c>
      <c r="AT160" s="75">
        <f>$C160*INDEX(Curves!$F$8:$F$68,AT$4-$B160+1)</f>
        <v/>
      </c>
      <c r="AU160" s="75">
        <f>$C160*INDEX(Curves!$F$8:$F$68,AU$4-$B160+1)</f>
        <v/>
      </c>
      <c r="AV160" s="75">
        <f>$C160*INDEX(Curves!$F$8:$F$68,AV$4-$B160+1)</f>
        <v/>
      </c>
      <c r="AW160" s="75">
        <f>$C160*INDEX(Curves!$F$8:$F$68,AW$4-$B160+1)</f>
        <v/>
      </c>
      <c r="AX160" s="75">
        <f>$C160*INDEX(Curves!$F$8:$F$68,AX$4-$B160+1)</f>
        <v/>
      </c>
      <c r="AY160" s="75">
        <f>$C160*INDEX(Curves!$F$8:$F$68,AY$4-$B160+1)</f>
        <v/>
      </c>
      <c r="AZ160" s="75">
        <f>$C160*INDEX(Curves!$F$8:$F$68,AZ$4-$B160+1)</f>
        <v/>
      </c>
      <c r="BA160" s="75">
        <f>$C160*INDEX(Curves!$F$8:$F$68,BA$4-$B160+1)</f>
        <v/>
      </c>
      <c r="BB160" s="75">
        <f>$C160*INDEX(Curves!$F$8:$F$68,BB$4-$B160+1)</f>
        <v/>
      </c>
      <c r="BC160" s="75">
        <f>$C160*INDEX(Curves!$F$8:$F$68,BC$4-$B160+1)</f>
        <v/>
      </c>
      <c r="BD160" s="75">
        <f>$C160*INDEX(Curves!$F$8:$F$68,BD$4-$B160+1)</f>
        <v/>
      </c>
      <c r="BE160" s="75">
        <f>$C160*INDEX(Curves!$F$8:$F$68,BE$4-$B160+1)</f>
        <v/>
      </c>
      <c r="BF160" s="75">
        <f>$C160*INDEX(Curves!$F$8:$F$68,BF$4-$B160+1)</f>
        <v/>
      </c>
      <c r="BG160" s="75">
        <f>$C160*INDEX(Curves!$F$8:$F$68,BG$4-$B160+1)</f>
        <v/>
      </c>
      <c r="BH160" s="75">
        <f>$C160*INDEX(Curves!$F$8:$F$68,BH$4-$B160+1)</f>
        <v/>
      </c>
      <c r="BI160" s="75">
        <f>$C160*INDEX(Curves!$F$8:$F$68,BI$4-$B160+1)</f>
        <v/>
      </c>
      <c r="BJ160" s="75">
        <f>$C160*INDEX(Curves!$F$8:$F$68,BJ$4-$B160+1)</f>
        <v/>
      </c>
      <c r="BK160" s="75">
        <f>$C160*INDEX(Curves!$F$8:$F$68,BK$4-$B160+1)</f>
        <v/>
      </c>
      <c r="BL160" s="75">
        <f>$C160*INDEX(Curves!$F$8:$F$68,BL$4-$B160+1)</f>
        <v/>
      </c>
    </row>
    <row r="161">
      <c r="A161" s="74" t="inlineStr">
        <is>
          <t>Cohort month 26</t>
        </is>
      </c>
      <c r="B161" s="74" t="n">
        <v>26</v>
      </c>
      <c r="C161" s="17">
        <f>INDEX(Ops!$E$10:$BL$10,1,$B161)</f>
        <v/>
      </c>
      <c r="AE161" s="75">
        <f>$C161*INDEX(Curves!$F$8:$F$68,AE$4-$B161+1)</f>
        <v/>
      </c>
      <c r="AF161" s="75">
        <f>$C161*INDEX(Curves!$F$8:$F$68,AF$4-$B161+1)</f>
        <v/>
      </c>
      <c r="AG161" s="75">
        <f>$C161*INDEX(Curves!$F$8:$F$68,AG$4-$B161+1)</f>
        <v/>
      </c>
      <c r="AH161" s="75">
        <f>$C161*INDEX(Curves!$F$8:$F$68,AH$4-$B161+1)</f>
        <v/>
      </c>
      <c r="AI161" s="75">
        <f>$C161*INDEX(Curves!$F$8:$F$68,AI$4-$B161+1)</f>
        <v/>
      </c>
      <c r="AJ161" s="75">
        <f>$C161*INDEX(Curves!$F$8:$F$68,AJ$4-$B161+1)</f>
        <v/>
      </c>
      <c r="AK161" s="75">
        <f>$C161*INDEX(Curves!$F$8:$F$68,AK$4-$B161+1)</f>
        <v/>
      </c>
      <c r="AL161" s="75">
        <f>$C161*INDEX(Curves!$F$8:$F$68,AL$4-$B161+1)</f>
        <v/>
      </c>
      <c r="AM161" s="75">
        <f>$C161*INDEX(Curves!$F$8:$F$68,AM$4-$B161+1)</f>
        <v/>
      </c>
      <c r="AN161" s="75">
        <f>$C161*INDEX(Curves!$F$8:$F$68,AN$4-$B161+1)</f>
        <v/>
      </c>
      <c r="AO161" s="75">
        <f>$C161*INDEX(Curves!$F$8:$F$68,AO$4-$B161+1)</f>
        <v/>
      </c>
      <c r="AP161" s="75">
        <f>$C161*INDEX(Curves!$F$8:$F$68,AP$4-$B161+1)</f>
        <v/>
      </c>
      <c r="AQ161" s="75">
        <f>$C161*INDEX(Curves!$F$8:$F$68,AQ$4-$B161+1)</f>
        <v/>
      </c>
      <c r="AR161" s="75">
        <f>$C161*INDEX(Curves!$F$8:$F$68,AR$4-$B161+1)</f>
        <v/>
      </c>
      <c r="AS161" s="75">
        <f>$C161*INDEX(Curves!$F$8:$F$68,AS$4-$B161+1)</f>
        <v/>
      </c>
      <c r="AT161" s="75">
        <f>$C161*INDEX(Curves!$F$8:$F$68,AT$4-$B161+1)</f>
        <v/>
      </c>
      <c r="AU161" s="75">
        <f>$C161*INDEX(Curves!$F$8:$F$68,AU$4-$B161+1)</f>
        <v/>
      </c>
      <c r="AV161" s="75">
        <f>$C161*INDEX(Curves!$F$8:$F$68,AV$4-$B161+1)</f>
        <v/>
      </c>
      <c r="AW161" s="75">
        <f>$C161*INDEX(Curves!$F$8:$F$68,AW$4-$B161+1)</f>
        <v/>
      </c>
      <c r="AX161" s="75">
        <f>$C161*INDEX(Curves!$F$8:$F$68,AX$4-$B161+1)</f>
        <v/>
      </c>
      <c r="AY161" s="75">
        <f>$C161*INDEX(Curves!$F$8:$F$68,AY$4-$B161+1)</f>
        <v/>
      </c>
      <c r="AZ161" s="75">
        <f>$C161*INDEX(Curves!$F$8:$F$68,AZ$4-$B161+1)</f>
        <v/>
      </c>
      <c r="BA161" s="75">
        <f>$C161*INDEX(Curves!$F$8:$F$68,BA$4-$B161+1)</f>
        <v/>
      </c>
      <c r="BB161" s="75">
        <f>$C161*INDEX(Curves!$F$8:$F$68,BB$4-$B161+1)</f>
        <v/>
      </c>
      <c r="BC161" s="75">
        <f>$C161*INDEX(Curves!$F$8:$F$68,BC$4-$B161+1)</f>
        <v/>
      </c>
      <c r="BD161" s="75">
        <f>$C161*INDEX(Curves!$F$8:$F$68,BD$4-$B161+1)</f>
        <v/>
      </c>
      <c r="BE161" s="75">
        <f>$C161*INDEX(Curves!$F$8:$F$68,BE$4-$B161+1)</f>
        <v/>
      </c>
      <c r="BF161" s="75">
        <f>$C161*INDEX(Curves!$F$8:$F$68,BF$4-$B161+1)</f>
        <v/>
      </c>
      <c r="BG161" s="75">
        <f>$C161*INDEX(Curves!$F$8:$F$68,BG$4-$B161+1)</f>
        <v/>
      </c>
      <c r="BH161" s="75">
        <f>$C161*INDEX(Curves!$F$8:$F$68,BH$4-$B161+1)</f>
        <v/>
      </c>
      <c r="BI161" s="75">
        <f>$C161*INDEX(Curves!$F$8:$F$68,BI$4-$B161+1)</f>
        <v/>
      </c>
      <c r="BJ161" s="75">
        <f>$C161*INDEX(Curves!$F$8:$F$68,BJ$4-$B161+1)</f>
        <v/>
      </c>
      <c r="BK161" s="75">
        <f>$C161*INDEX(Curves!$F$8:$F$68,BK$4-$B161+1)</f>
        <v/>
      </c>
      <c r="BL161" s="75">
        <f>$C161*INDEX(Curves!$F$8:$F$68,BL$4-$B161+1)</f>
        <v/>
      </c>
    </row>
    <row r="162">
      <c r="A162" s="74" t="inlineStr">
        <is>
          <t>Cohort month 27</t>
        </is>
      </c>
      <c r="B162" s="74" t="n">
        <v>27</v>
      </c>
      <c r="C162" s="17">
        <f>INDEX(Ops!$E$10:$BL$10,1,$B162)</f>
        <v/>
      </c>
      <c r="AF162" s="75">
        <f>$C162*INDEX(Curves!$F$8:$F$68,AF$4-$B162+1)</f>
        <v/>
      </c>
      <c r="AG162" s="75">
        <f>$C162*INDEX(Curves!$F$8:$F$68,AG$4-$B162+1)</f>
        <v/>
      </c>
      <c r="AH162" s="75">
        <f>$C162*INDEX(Curves!$F$8:$F$68,AH$4-$B162+1)</f>
        <v/>
      </c>
      <c r="AI162" s="75">
        <f>$C162*INDEX(Curves!$F$8:$F$68,AI$4-$B162+1)</f>
        <v/>
      </c>
      <c r="AJ162" s="75">
        <f>$C162*INDEX(Curves!$F$8:$F$68,AJ$4-$B162+1)</f>
        <v/>
      </c>
      <c r="AK162" s="75">
        <f>$C162*INDEX(Curves!$F$8:$F$68,AK$4-$B162+1)</f>
        <v/>
      </c>
      <c r="AL162" s="75">
        <f>$C162*INDEX(Curves!$F$8:$F$68,AL$4-$B162+1)</f>
        <v/>
      </c>
      <c r="AM162" s="75">
        <f>$C162*INDEX(Curves!$F$8:$F$68,AM$4-$B162+1)</f>
        <v/>
      </c>
      <c r="AN162" s="75">
        <f>$C162*INDEX(Curves!$F$8:$F$68,AN$4-$B162+1)</f>
        <v/>
      </c>
      <c r="AO162" s="75">
        <f>$C162*INDEX(Curves!$F$8:$F$68,AO$4-$B162+1)</f>
        <v/>
      </c>
      <c r="AP162" s="75">
        <f>$C162*INDEX(Curves!$F$8:$F$68,AP$4-$B162+1)</f>
        <v/>
      </c>
      <c r="AQ162" s="75">
        <f>$C162*INDEX(Curves!$F$8:$F$68,AQ$4-$B162+1)</f>
        <v/>
      </c>
      <c r="AR162" s="75">
        <f>$C162*INDEX(Curves!$F$8:$F$68,AR$4-$B162+1)</f>
        <v/>
      </c>
      <c r="AS162" s="75">
        <f>$C162*INDEX(Curves!$F$8:$F$68,AS$4-$B162+1)</f>
        <v/>
      </c>
      <c r="AT162" s="75">
        <f>$C162*INDEX(Curves!$F$8:$F$68,AT$4-$B162+1)</f>
        <v/>
      </c>
      <c r="AU162" s="75">
        <f>$C162*INDEX(Curves!$F$8:$F$68,AU$4-$B162+1)</f>
        <v/>
      </c>
      <c r="AV162" s="75">
        <f>$C162*INDEX(Curves!$F$8:$F$68,AV$4-$B162+1)</f>
        <v/>
      </c>
      <c r="AW162" s="75">
        <f>$C162*INDEX(Curves!$F$8:$F$68,AW$4-$B162+1)</f>
        <v/>
      </c>
      <c r="AX162" s="75">
        <f>$C162*INDEX(Curves!$F$8:$F$68,AX$4-$B162+1)</f>
        <v/>
      </c>
      <c r="AY162" s="75">
        <f>$C162*INDEX(Curves!$F$8:$F$68,AY$4-$B162+1)</f>
        <v/>
      </c>
      <c r="AZ162" s="75">
        <f>$C162*INDEX(Curves!$F$8:$F$68,AZ$4-$B162+1)</f>
        <v/>
      </c>
      <c r="BA162" s="75">
        <f>$C162*INDEX(Curves!$F$8:$F$68,BA$4-$B162+1)</f>
        <v/>
      </c>
      <c r="BB162" s="75">
        <f>$C162*INDEX(Curves!$F$8:$F$68,BB$4-$B162+1)</f>
        <v/>
      </c>
      <c r="BC162" s="75">
        <f>$C162*INDEX(Curves!$F$8:$F$68,BC$4-$B162+1)</f>
        <v/>
      </c>
      <c r="BD162" s="75">
        <f>$C162*INDEX(Curves!$F$8:$F$68,BD$4-$B162+1)</f>
        <v/>
      </c>
      <c r="BE162" s="75">
        <f>$C162*INDEX(Curves!$F$8:$F$68,BE$4-$B162+1)</f>
        <v/>
      </c>
      <c r="BF162" s="75">
        <f>$C162*INDEX(Curves!$F$8:$F$68,BF$4-$B162+1)</f>
        <v/>
      </c>
      <c r="BG162" s="75">
        <f>$C162*INDEX(Curves!$F$8:$F$68,BG$4-$B162+1)</f>
        <v/>
      </c>
      <c r="BH162" s="75">
        <f>$C162*INDEX(Curves!$F$8:$F$68,BH$4-$B162+1)</f>
        <v/>
      </c>
      <c r="BI162" s="75">
        <f>$C162*INDEX(Curves!$F$8:$F$68,BI$4-$B162+1)</f>
        <v/>
      </c>
      <c r="BJ162" s="75">
        <f>$C162*INDEX(Curves!$F$8:$F$68,BJ$4-$B162+1)</f>
        <v/>
      </c>
      <c r="BK162" s="75">
        <f>$C162*INDEX(Curves!$F$8:$F$68,BK$4-$B162+1)</f>
        <v/>
      </c>
      <c r="BL162" s="75">
        <f>$C162*INDEX(Curves!$F$8:$F$68,BL$4-$B162+1)</f>
        <v/>
      </c>
    </row>
    <row r="163">
      <c r="A163" s="74" t="inlineStr">
        <is>
          <t>Cohort month 28</t>
        </is>
      </c>
      <c r="B163" s="74" t="n">
        <v>28</v>
      </c>
      <c r="C163" s="17">
        <f>INDEX(Ops!$E$10:$BL$10,1,$B163)</f>
        <v/>
      </c>
      <c r="AG163" s="75">
        <f>$C163*INDEX(Curves!$F$8:$F$68,AG$4-$B163+1)</f>
        <v/>
      </c>
      <c r="AH163" s="75">
        <f>$C163*INDEX(Curves!$F$8:$F$68,AH$4-$B163+1)</f>
        <v/>
      </c>
      <c r="AI163" s="75">
        <f>$C163*INDEX(Curves!$F$8:$F$68,AI$4-$B163+1)</f>
        <v/>
      </c>
      <c r="AJ163" s="75">
        <f>$C163*INDEX(Curves!$F$8:$F$68,AJ$4-$B163+1)</f>
        <v/>
      </c>
      <c r="AK163" s="75">
        <f>$C163*INDEX(Curves!$F$8:$F$68,AK$4-$B163+1)</f>
        <v/>
      </c>
      <c r="AL163" s="75">
        <f>$C163*INDEX(Curves!$F$8:$F$68,AL$4-$B163+1)</f>
        <v/>
      </c>
      <c r="AM163" s="75">
        <f>$C163*INDEX(Curves!$F$8:$F$68,AM$4-$B163+1)</f>
        <v/>
      </c>
      <c r="AN163" s="75">
        <f>$C163*INDEX(Curves!$F$8:$F$68,AN$4-$B163+1)</f>
        <v/>
      </c>
      <c r="AO163" s="75">
        <f>$C163*INDEX(Curves!$F$8:$F$68,AO$4-$B163+1)</f>
        <v/>
      </c>
      <c r="AP163" s="75">
        <f>$C163*INDEX(Curves!$F$8:$F$68,AP$4-$B163+1)</f>
        <v/>
      </c>
      <c r="AQ163" s="75">
        <f>$C163*INDEX(Curves!$F$8:$F$68,AQ$4-$B163+1)</f>
        <v/>
      </c>
      <c r="AR163" s="75">
        <f>$C163*INDEX(Curves!$F$8:$F$68,AR$4-$B163+1)</f>
        <v/>
      </c>
      <c r="AS163" s="75">
        <f>$C163*INDEX(Curves!$F$8:$F$68,AS$4-$B163+1)</f>
        <v/>
      </c>
      <c r="AT163" s="75">
        <f>$C163*INDEX(Curves!$F$8:$F$68,AT$4-$B163+1)</f>
        <v/>
      </c>
      <c r="AU163" s="75">
        <f>$C163*INDEX(Curves!$F$8:$F$68,AU$4-$B163+1)</f>
        <v/>
      </c>
      <c r="AV163" s="75">
        <f>$C163*INDEX(Curves!$F$8:$F$68,AV$4-$B163+1)</f>
        <v/>
      </c>
      <c r="AW163" s="75">
        <f>$C163*INDEX(Curves!$F$8:$F$68,AW$4-$B163+1)</f>
        <v/>
      </c>
      <c r="AX163" s="75">
        <f>$C163*INDEX(Curves!$F$8:$F$68,AX$4-$B163+1)</f>
        <v/>
      </c>
      <c r="AY163" s="75">
        <f>$C163*INDEX(Curves!$F$8:$F$68,AY$4-$B163+1)</f>
        <v/>
      </c>
      <c r="AZ163" s="75">
        <f>$C163*INDEX(Curves!$F$8:$F$68,AZ$4-$B163+1)</f>
        <v/>
      </c>
      <c r="BA163" s="75">
        <f>$C163*INDEX(Curves!$F$8:$F$68,BA$4-$B163+1)</f>
        <v/>
      </c>
      <c r="BB163" s="75">
        <f>$C163*INDEX(Curves!$F$8:$F$68,BB$4-$B163+1)</f>
        <v/>
      </c>
      <c r="BC163" s="75">
        <f>$C163*INDEX(Curves!$F$8:$F$68,BC$4-$B163+1)</f>
        <v/>
      </c>
      <c r="BD163" s="75">
        <f>$C163*INDEX(Curves!$F$8:$F$68,BD$4-$B163+1)</f>
        <v/>
      </c>
      <c r="BE163" s="75">
        <f>$C163*INDEX(Curves!$F$8:$F$68,BE$4-$B163+1)</f>
        <v/>
      </c>
      <c r="BF163" s="75">
        <f>$C163*INDEX(Curves!$F$8:$F$68,BF$4-$B163+1)</f>
        <v/>
      </c>
      <c r="BG163" s="75">
        <f>$C163*INDEX(Curves!$F$8:$F$68,BG$4-$B163+1)</f>
        <v/>
      </c>
      <c r="BH163" s="75">
        <f>$C163*INDEX(Curves!$F$8:$F$68,BH$4-$B163+1)</f>
        <v/>
      </c>
      <c r="BI163" s="75">
        <f>$C163*INDEX(Curves!$F$8:$F$68,BI$4-$B163+1)</f>
        <v/>
      </c>
      <c r="BJ163" s="75">
        <f>$C163*INDEX(Curves!$F$8:$F$68,BJ$4-$B163+1)</f>
        <v/>
      </c>
      <c r="BK163" s="75">
        <f>$C163*INDEX(Curves!$F$8:$F$68,BK$4-$B163+1)</f>
        <v/>
      </c>
      <c r="BL163" s="75">
        <f>$C163*INDEX(Curves!$F$8:$F$68,BL$4-$B163+1)</f>
        <v/>
      </c>
    </row>
    <row r="164">
      <c r="A164" s="74" t="inlineStr">
        <is>
          <t>Cohort month 29</t>
        </is>
      </c>
      <c r="B164" s="74" t="n">
        <v>29</v>
      </c>
      <c r="C164" s="17">
        <f>INDEX(Ops!$E$10:$BL$10,1,$B164)</f>
        <v/>
      </c>
      <c r="AH164" s="75">
        <f>$C164*INDEX(Curves!$F$8:$F$68,AH$4-$B164+1)</f>
        <v/>
      </c>
      <c r="AI164" s="75">
        <f>$C164*INDEX(Curves!$F$8:$F$68,AI$4-$B164+1)</f>
        <v/>
      </c>
      <c r="AJ164" s="75">
        <f>$C164*INDEX(Curves!$F$8:$F$68,AJ$4-$B164+1)</f>
        <v/>
      </c>
      <c r="AK164" s="75">
        <f>$C164*INDEX(Curves!$F$8:$F$68,AK$4-$B164+1)</f>
        <v/>
      </c>
      <c r="AL164" s="75">
        <f>$C164*INDEX(Curves!$F$8:$F$68,AL$4-$B164+1)</f>
        <v/>
      </c>
      <c r="AM164" s="75">
        <f>$C164*INDEX(Curves!$F$8:$F$68,AM$4-$B164+1)</f>
        <v/>
      </c>
      <c r="AN164" s="75">
        <f>$C164*INDEX(Curves!$F$8:$F$68,AN$4-$B164+1)</f>
        <v/>
      </c>
      <c r="AO164" s="75">
        <f>$C164*INDEX(Curves!$F$8:$F$68,AO$4-$B164+1)</f>
        <v/>
      </c>
      <c r="AP164" s="75">
        <f>$C164*INDEX(Curves!$F$8:$F$68,AP$4-$B164+1)</f>
        <v/>
      </c>
      <c r="AQ164" s="75">
        <f>$C164*INDEX(Curves!$F$8:$F$68,AQ$4-$B164+1)</f>
        <v/>
      </c>
      <c r="AR164" s="75">
        <f>$C164*INDEX(Curves!$F$8:$F$68,AR$4-$B164+1)</f>
        <v/>
      </c>
      <c r="AS164" s="75">
        <f>$C164*INDEX(Curves!$F$8:$F$68,AS$4-$B164+1)</f>
        <v/>
      </c>
      <c r="AT164" s="75">
        <f>$C164*INDEX(Curves!$F$8:$F$68,AT$4-$B164+1)</f>
        <v/>
      </c>
      <c r="AU164" s="75">
        <f>$C164*INDEX(Curves!$F$8:$F$68,AU$4-$B164+1)</f>
        <v/>
      </c>
      <c r="AV164" s="75">
        <f>$C164*INDEX(Curves!$F$8:$F$68,AV$4-$B164+1)</f>
        <v/>
      </c>
      <c r="AW164" s="75">
        <f>$C164*INDEX(Curves!$F$8:$F$68,AW$4-$B164+1)</f>
        <v/>
      </c>
      <c r="AX164" s="75">
        <f>$C164*INDEX(Curves!$F$8:$F$68,AX$4-$B164+1)</f>
        <v/>
      </c>
      <c r="AY164" s="75">
        <f>$C164*INDEX(Curves!$F$8:$F$68,AY$4-$B164+1)</f>
        <v/>
      </c>
      <c r="AZ164" s="75">
        <f>$C164*INDEX(Curves!$F$8:$F$68,AZ$4-$B164+1)</f>
        <v/>
      </c>
      <c r="BA164" s="75">
        <f>$C164*INDEX(Curves!$F$8:$F$68,BA$4-$B164+1)</f>
        <v/>
      </c>
      <c r="BB164" s="75">
        <f>$C164*INDEX(Curves!$F$8:$F$68,BB$4-$B164+1)</f>
        <v/>
      </c>
      <c r="BC164" s="75">
        <f>$C164*INDEX(Curves!$F$8:$F$68,BC$4-$B164+1)</f>
        <v/>
      </c>
      <c r="BD164" s="75">
        <f>$C164*INDEX(Curves!$F$8:$F$68,BD$4-$B164+1)</f>
        <v/>
      </c>
      <c r="BE164" s="75">
        <f>$C164*INDEX(Curves!$F$8:$F$68,BE$4-$B164+1)</f>
        <v/>
      </c>
      <c r="BF164" s="75">
        <f>$C164*INDEX(Curves!$F$8:$F$68,BF$4-$B164+1)</f>
        <v/>
      </c>
      <c r="BG164" s="75">
        <f>$C164*INDEX(Curves!$F$8:$F$68,BG$4-$B164+1)</f>
        <v/>
      </c>
      <c r="BH164" s="75">
        <f>$C164*INDEX(Curves!$F$8:$F$68,BH$4-$B164+1)</f>
        <v/>
      </c>
      <c r="BI164" s="75">
        <f>$C164*INDEX(Curves!$F$8:$F$68,BI$4-$B164+1)</f>
        <v/>
      </c>
      <c r="BJ164" s="75">
        <f>$C164*INDEX(Curves!$F$8:$F$68,BJ$4-$B164+1)</f>
        <v/>
      </c>
      <c r="BK164" s="75">
        <f>$C164*INDEX(Curves!$F$8:$F$68,BK$4-$B164+1)</f>
        <v/>
      </c>
      <c r="BL164" s="75">
        <f>$C164*INDEX(Curves!$F$8:$F$68,BL$4-$B164+1)</f>
        <v/>
      </c>
    </row>
    <row r="165">
      <c r="A165" s="74" t="inlineStr">
        <is>
          <t>Cohort month 30</t>
        </is>
      </c>
      <c r="B165" s="74" t="n">
        <v>30</v>
      </c>
      <c r="C165" s="17">
        <f>INDEX(Ops!$E$10:$BL$10,1,$B165)</f>
        <v/>
      </c>
      <c r="AI165" s="75">
        <f>$C165*INDEX(Curves!$F$8:$F$68,AI$4-$B165+1)</f>
        <v/>
      </c>
      <c r="AJ165" s="75">
        <f>$C165*INDEX(Curves!$F$8:$F$68,AJ$4-$B165+1)</f>
        <v/>
      </c>
      <c r="AK165" s="75">
        <f>$C165*INDEX(Curves!$F$8:$F$68,AK$4-$B165+1)</f>
        <v/>
      </c>
      <c r="AL165" s="75">
        <f>$C165*INDEX(Curves!$F$8:$F$68,AL$4-$B165+1)</f>
        <v/>
      </c>
      <c r="AM165" s="75">
        <f>$C165*INDEX(Curves!$F$8:$F$68,AM$4-$B165+1)</f>
        <v/>
      </c>
      <c r="AN165" s="75">
        <f>$C165*INDEX(Curves!$F$8:$F$68,AN$4-$B165+1)</f>
        <v/>
      </c>
      <c r="AO165" s="75">
        <f>$C165*INDEX(Curves!$F$8:$F$68,AO$4-$B165+1)</f>
        <v/>
      </c>
      <c r="AP165" s="75">
        <f>$C165*INDEX(Curves!$F$8:$F$68,AP$4-$B165+1)</f>
        <v/>
      </c>
      <c r="AQ165" s="75">
        <f>$C165*INDEX(Curves!$F$8:$F$68,AQ$4-$B165+1)</f>
        <v/>
      </c>
      <c r="AR165" s="75">
        <f>$C165*INDEX(Curves!$F$8:$F$68,AR$4-$B165+1)</f>
        <v/>
      </c>
      <c r="AS165" s="75">
        <f>$C165*INDEX(Curves!$F$8:$F$68,AS$4-$B165+1)</f>
        <v/>
      </c>
      <c r="AT165" s="75">
        <f>$C165*INDEX(Curves!$F$8:$F$68,AT$4-$B165+1)</f>
        <v/>
      </c>
      <c r="AU165" s="75">
        <f>$C165*INDEX(Curves!$F$8:$F$68,AU$4-$B165+1)</f>
        <v/>
      </c>
      <c r="AV165" s="75">
        <f>$C165*INDEX(Curves!$F$8:$F$68,AV$4-$B165+1)</f>
        <v/>
      </c>
      <c r="AW165" s="75">
        <f>$C165*INDEX(Curves!$F$8:$F$68,AW$4-$B165+1)</f>
        <v/>
      </c>
      <c r="AX165" s="75">
        <f>$C165*INDEX(Curves!$F$8:$F$68,AX$4-$B165+1)</f>
        <v/>
      </c>
      <c r="AY165" s="75">
        <f>$C165*INDEX(Curves!$F$8:$F$68,AY$4-$B165+1)</f>
        <v/>
      </c>
      <c r="AZ165" s="75">
        <f>$C165*INDEX(Curves!$F$8:$F$68,AZ$4-$B165+1)</f>
        <v/>
      </c>
      <c r="BA165" s="75">
        <f>$C165*INDEX(Curves!$F$8:$F$68,BA$4-$B165+1)</f>
        <v/>
      </c>
      <c r="BB165" s="75">
        <f>$C165*INDEX(Curves!$F$8:$F$68,BB$4-$B165+1)</f>
        <v/>
      </c>
      <c r="BC165" s="75">
        <f>$C165*INDEX(Curves!$F$8:$F$68,BC$4-$B165+1)</f>
        <v/>
      </c>
      <c r="BD165" s="75">
        <f>$C165*INDEX(Curves!$F$8:$F$68,BD$4-$B165+1)</f>
        <v/>
      </c>
      <c r="BE165" s="75">
        <f>$C165*INDEX(Curves!$F$8:$F$68,BE$4-$B165+1)</f>
        <v/>
      </c>
      <c r="BF165" s="75">
        <f>$C165*INDEX(Curves!$F$8:$F$68,BF$4-$B165+1)</f>
        <v/>
      </c>
      <c r="BG165" s="75">
        <f>$C165*INDEX(Curves!$F$8:$F$68,BG$4-$B165+1)</f>
        <v/>
      </c>
      <c r="BH165" s="75">
        <f>$C165*INDEX(Curves!$F$8:$F$68,BH$4-$B165+1)</f>
        <v/>
      </c>
      <c r="BI165" s="75">
        <f>$C165*INDEX(Curves!$F$8:$F$68,BI$4-$B165+1)</f>
        <v/>
      </c>
      <c r="BJ165" s="75">
        <f>$C165*INDEX(Curves!$F$8:$F$68,BJ$4-$B165+1)</f>
        <v/>
      </c>
      <c r="BK165" s="75">
        <f>$C165*INDEX(Curves!$F$8:$F$68,BK$4-$B165+1)</f>
        <v/>
      </c>
      <c r="BL165" s="75">
        <f>$C165*INDEX(Curves!$F$8:$F$68,BL$4-$B165+1)</f>
        <v/>
      </c>
    </row>
    <row r="166">
      <c r="A166" s="74" t="inlineStr">
        <is>
          <t>Cohort month 31</t>
        </is>
      </c>
      <c r="B166" s="74" t="n">
        <v>31</v>
      </c>
      <c r="C166" s="17">
        <f>INDEX(Ops!$E$10:$BL$10,1,$B166)</f>
        <v/>
      </c>
      <c r="AJ166" s="75">
        <f>$C166*INDEX(Curves!$F$8:$F$68,AJ$4-$B166+1)</f>
        <v/>
      </c>
      <c r="AK166" s="75">
        <f>$C166*INDEX(Curves!$F$8:$F$68,AK$4-$B166+1)</f>
        <v/>
      </c>
      <c r="AL166" s="75">
        <f>$C166*INDEX(Curves!$F$8:$F$68,AL$4-$B166+1)</f>
        <v/>
      </c>
      <c r="AM166" s="75">
        <f>$C166*INDEX(Curves!$F$8:$F$68,AM$4-$B166+1)</f>
        <v/>
      </c>
      <c r="AN166" s="75">
        <f>$C166*INDEX(Curves!$F$8:$F$68,AN$4-$B166+1)</f>
        <v/>
      </c>
      <c r="AO166" s="75">
        <f>$C166*INDEX(Curves!$F$8:$F$68,AO$4-$B166+1)</f>
        <v/>
      </c>
      <c r="AP166" s="75">
        <f>$C166*INDEX(Curves!$F$8:$F$68,AP$4-$B166+1)</f>
        <v/>
      </c>
      <c r="AQ166" s="75">
        <f>$C166*INDEX(Curves!$F$8:$F$68,AQ$4-$B166+1)</f>
        <v/>
      </c>
      <c r="AR166" s="75">
        <f>$C166*INDEX(Curves!$F$8:$F$68,AR$4-$B166+1)</f>
        <v/>
      </c>
      <c r="AS166" s="75">
        <f>$C166*INDEX(Curves!$F$8:$F$68,AS$4-$B166+1)</f>
        <v/>
      </c>
      <c r="AT166" s="75">
        <f>$C166*INDEX(Curves!$F$8:$F$68,AT$4-$B166+1)</f>
        <v/>
      </c>
      <c r="AU166" s="75">
        <f>$C166*INDEX(Curves!$F$8:$F$68,AU$4-$B166+1)</f>
        <v/>
      </c>
      <c r="AV166" s="75">
        <f>$C166*INDEX(Curves!$F$8:$F$68,AV$4-$B166+1)</f>
        <v/>
      </c>
      <c r="AW166" s="75">
        <f>$C166*INDEX(Curves!$F$8:$F$68,AW$4-$B166+1)</f>
        <v/>
      </c>
      <c r="AX166" s="75">
        <f>$C166*INDEX(Curves!$F$8:$F$68,AX$4-$B166+1)</f>
        <v/>
      </c>
      <c r="AY166" s="75">
        <f>$C166*INDEX(Curves!$F$8:$F$68,AY$4-$B166+1)</f>
        <v/>
      </c>
      <c r="AZ166" s="75">
        <f>$C166*INDEX(Curves!$F$8:$F$68,AZ$4-$B166+1)</f>
        <v/>
      </c>
      <c r="BA166" s="75">
        <f>$C166*INDEX(Curves!$F$8:$F$68,BA$4-$B166+1)</f>
        <v/>
      </c>
      <c r="BB166" s="75">
        <f>$C166*INDEX(Curves!$F$8:$F$68,BB$4-$B166+1)</f>
        <v/>
      </c>
      <c r="BC166" s="75">
        <f>$C166*INDEX(Curves!$F$8:$F$68,BC$4-$B166+1)</f>
        <v/>
      </c>
      <c r="BD166" s="75">
        <f>$C166*INDEX(Curves!$F$8:$F$68,BD$4-$B166+1)</f>
        <v/>
      </c>
      <c r="BE166" s="75">
        <f>$C166*INDEX(Curves!$F$8:$F$68,BE$4-$B166+1)</f>
        <v/>
      </c>
      <c r="BF166" s="75">
        <f>$C166*INDEX(Curves!$F$8:$F$68,BF$4-$B166+1)</f>
        <v/>
      </c>
      <c r="BG166" s="75">
        <f>$C166*INDEX(Curves!$F$8:$F$68,BG$4-$B166+1)</f>
        <v/>
      </c>
      <c r="BH166" s="75">
        <f>$C166*INDEX(Curves!$F$8:$F$68,BH$4-$B166+1)</f>
        <v/>
      </c>
      <c r="BI166" s="75">
        <f>$C166*INDEX(Curves!$F$8:$F$68,BI$4-$B166+1)</f>
        <v/>
      </c>
      <c r="BJ166" s="75">
        <f>$C166*INDEX(Curves!$F$8:$F$68,BJ$4-$B166+1)</f>
        <v/>
      </c>
      <c r="BK166" s="75">
        <f>$C166*INDEX(Curves!$F$8:$F$68,BK$4-$B166+1)</f>
        <v/>
      </c>
      <c r="BL166" s="75">
        <f>$C166*INDEX(Curves!$F$8:$F$68,BL$4-$B166+1)</f>
        <v/>
      </c>
    </row>
    <row r="167">
      <c r="A167" s="74" t="inlineStr">
        <is>
          <t>Cohort month 32</t>
        </is>
      </c>
      <c r="B167" s="74" t="n">
        <v>32</v>
      </c>
      <c r="C167" s="17">
        <f>INDEX(Ops!$E$10:$BL$10,1,$B167)</f>
        <v/>
      </c>
      <c r="AK167" s="75">
        <f>$C167*INDEX(Curves!$F$8:$F$68,AK$4-$B167+1)</f>
        <v/>
      </c>
      <c r="AL167" s="75">
        <f>$C167*INDEX(Curves!$F$8:$F$68,AL$4-$B167+1)</f>
        <v/>
      </c>
      <c r="AM167" s="75">
        <f>$C167*INDEX(Curves!$F$8:$F$68,AM$4-$B167+1)</f>
        <v/>
      </c>
      <c r="AN167" s="75">
        <f>$C167*INDEX(Curves!$F$8:$F$68,AN$4-$B167+1)</f>
        <v/>
      </c>
      <c r="AO167" s="75">
        <f>$C167*INDEX(Curves!$F$8:$F$68,AO$4-$B167+1)</f>
        <v/>
      </c>
      <c r="AP167" s="75">
        <f>$C167*INDEX(Curves!$F$8:$F$68,AP$4-$B167+1)</f>
        <v/>
      </c>
      <c r="AQ167" s="75">
        <f>$C167*INDEX(Curves!$F$8:$F$68,AQ$4-$B167+1)</f>
        <v/>
      </c>
      <c r="AR167" s="75">
        <f>$C167*INDEX(Curves!$F$8:$F$68,AR$4-$B167+1)</f>
        <v/>
      </c>
      <c r="AS167" s="75">
        <f>$C167*INDEX(Curves!$F$8:$F$68,AS$4-$B167+1)</f>
        <v/>
      </c>
      <c r="AT167" s="75">
        <f>$C167*INDEX(Curves!$F$8:$F$68,AT$4-$B167+1)</f>
        <v/>
      </c>
      <c r="AU167" s="75">
        <f>$C167*INDEX(Curves!$F$8:$F$68,AU$4-$B167+1)</f>
        <v/>
      </c>
      <c r="AV167" s="75">
        <f>$C167*INDEX(Curves!$F$8:$F$68,AV$4-$B167+1)</f>
        <v/>
      </c>
      <c r="AW167" s="75">
        <f>$C167*INDEX(Curves!$F$8:$F$68,AW$4-$B167+1)</f>
        <v/>
      </c>
      <c r="AX167" s="75">
        <f>$C167*INDEX(Curves!$F$8:$F$68,AX$4-$B167+1)</f>
        <v/>
      </c>
      <c r="AY167" s="75">
        <f>$C167*INDEX(Curves!$F$8:$F$68,AY$4-$B167+1)</f>
        <v/>
      </c>
      <c r="AZ167" s="75">
        <f>$C167*INDEX(Curves!$F$8:$F$68,AZ$4-$B167+1)</f>
        <v/>
      </c>
      <c r="BA167" s="75">
        <f>$C167*INDEX(Curves!$F$8:$F$68,BA$4-$B167+1)</f>
        <v/>
      </c>
      <c r="BB167" s="75">
        <f>$C167*INDEX(Curves!$F$8:$F$68,BB$4-$B167+1)</f>
        <v/>
      </c>
      <c r="BC167" s="75">
        <f>$C167*INDEX(Curves!$F$8:$F$68,BC$4-$B167+1)</f>
        <v/>
      </c>
      <c r="BD167" s="75">
        <f>$C167*INDEX(Curves!$F$8:$F$68,BD$4-$B167+1)</f>
        <v/>
      </c>
      <c r="BE167" s="75">
        <f>$C167*INDEX(Curves!$F$8:$F$68,BE$4-$B167+1)</f>
        <v/>
      </c>
      <c r="BF167" s="75">
        <f>$C167*INDEX(Curves!$F$8:$F$68,BF$4-$B167+1)</f>
        <v/>
      </c>
      <c r="BG167" s="75">
        <f>$C167*INDEX(Curves!$F$8:$F$68,BG$4-$B167+1)</f>
        <v/>
      </c>
      <c r="BH167" s="75">
        <f>$C167*INDEX(Curves!$F$8:$F$68,BH$4-$B167+1)</f>
        <v/>
      </c>
      <c r="BI167" s="75">
        <f>$C167*INDEX(Curves!$F$8:$F$68,BI$4-$B167+1)</f>
        <v/>
      </c>
      <c r="BJ167" s="75">
        <f>$C167*INDEX(Curves!$F$8:$F$68,BJ$4-$B167+1)</f>
        <v/>
      </c>
      <c r="BK167" s="75">
        <f>$C167*INDEX(Curves!$F$8:$F$68,BK$4-$B167+1)</f>
        <v/>
      </c>
      <c r="BL167" s="75">
        <f>$C167*INDEX(Curves!$F$8:$F$68,BL$4-$B167+1)</f>
        <v/>
      </c>
    </row>
    <row r="168">
      <c r="A168" s="74" t="inlineStr">
        <is>
          <t>Cohort month 33</t>
        </is>
      </c>
      <c r="B168" s="74" t="n">
        <v>33</v>
      </c>
      <c r="C168" s="17">
        <f>INDEX(Ops!$E$10:$BL$10,1,$B168)</f>
        <v/>
      </c>
      <c r="AL168" s="75">
        <f>$C168*INDEX(Curves!$F$8:$F$68,AL$4-$B168+1)</f>
        <v/>
      </c>
      <c r="AM168" s="75">
        <f>$C168*INDEX(Curves!$F$8:$F$68,AM$4-$B168+1)</f>
        <v/>
      </c>
      <c r="AN168" s="75">
        <f>$C168*INDEX(Curves!$F$8:$F$68,AN$4-$B168+1)</f>
        <v/>
      </c>
      <c r="AO168" s="75">
        <f>$C168*INDEX(Curves!$F$8:$F$68,AO$4-$B168+1)</f>
        <v/>
      </c>
      <c r="AP168" s="75">
        <f>$C168*INDEX(Curves!$F$8:$F$68,AP$4-$B168+1)</f>
        <v/>
      </c>
      <c r="AQ168" s="75">
        <f>$C168*INDEX(Curves!$F$8:$F$68,AQ$4-$B168+1)</f>
        <v/>
      </c>
      <c r="AR168" s="75">
        <f>$C168*INDEX(Curves!$F$8:$F$68,AR$4-$B168+1)</f>
        <v/>
      </c>
      <c r="AS168" s="75">
        <f>$C168*INDEX(Curves!$F$8:$F$68,AS$4-$B168+1)</f>
        <v/>
      </c>
      <c r="AT168" s="75">
        <f>$C168*INDEX(Curves!$F$8:$F$68,AT$4-$B168+1)</f>
        <v/>
      </c>
      <c r="AU168" s="75">
        <f>$C168*INDEX(Curves!$F$8:$F$68,AU$4-$B168+1)</f>
        <v/>
      </c>
      <c r="AV168" s="75">
        <f>$C168*INDEX(Curves!$F$8:$F$68,AV$4-$B168+1)</f>
        <v/>
      </c>
      <c r="AW168" s="75">
        <f>$C168*INDEX(Curves!$F$8:$F$68,AW$4-$B168+1)</f>
        <v/>
      </c>
      <c r="AX168" s="75">
        <f>$C168*INDEX(Curves!$F$8:$F$68,AX$4-$B168+1)</f>
        <v/>
      </c>
      <c r="AY168" s="75">
        <f>$C168*INDEX(Curves!$F$8:$F$68,AY$4-$B168+1)</f>
        <v/>
      </c>
      <c r="AZ168" s="75">
        <f>$C168*INDEX(Curves!$F$8:$F$68,AZ$4-$B168+1)</f>
        <v/>
      </c>
      <c r="BA168" s="75">
        <f>$C168*INDEX(Curves!$F$8:$F$68,BA$4-$B168+1)</f>
        <v/>
      </c>
      <c r="BB168" s="75">
        <f>$C168*INDEX(Curves!$F$8:$F$68,BB$4-$B168+1)</f>
        <v/>
      </c>
      <c r="BC168" s="75">
        <f>$C168*INDEX(Curves!$F$8:$F$68,BC$4-$B168+1)</f>
        <v/>
      </c>
      <c r="BD168" s="75">
        <f>$C168*INDEX(Curves!$F$8:$F$68,BD$4-$B168+1)</f>
        <v/>
      </c>
      <c r="BE168" s="75">
        <f>$C168*INDEX(Curves!$F$8:$F$68,BE$4-$B168+1)</f>
        <v/>
      </c>
      <c r="BF168" s="75">
        <f>$C168*INDEX(Curves!$F$8:$F$68,BF$4-$B168+1)</f>
        <v/>
      </c>
      <c r="BG168" s="75">
        <f>$C168*INDEX(Curves!$F$8:$F$68,BG$4-$B168+1)</f>
        <v/>
      </c>
      <c r="BH168" s="75">
        <f>$C168*INDEX(Curves!$F$8:$F$68,BH$4-$B168+1)</f>
        <v/>
      </c>
      <c r="BI168" s="75">
        <f>$C168*INDEX(Curves!$F$8:$F$68,BI$4-$B168+1)</f>
        <v/>
      </c>
      <c r="BJ168" s="75">
        <f>$C168*INDEX(Curves!$F$8:$F$68,BJ$4-$B168+1)</f>
        <v/>
      </c>
      <c r="BK168" s="75">
        <f>$C168*INDEX(Curves!$F$8:$F$68,BK$4-$B168+1)</f>
        <v/>
      </c>
      <c r="BL168" s="75">
        <f>$C168*INDEX(Curves!$F$8:$F$68,BL$4-$B168+1)</f>
        <v/>
      </c>
    </row>
    <row r="169">
      <c r="A169" s="74" t="inlineStr">
        <is>
          <t>Cohort month 34</t>
        </is>
      </c>
      <c r="B169" s="74" t="n">
        <v>34</v>
      </c>
      <c r="C169" s="17">
        <f>INDEX(Ops!$E$10:$BL$10,1,$B169)</f>
        <v/>
      </c>
      <c r="AM169" s="75">
        <f>$C169*INDEX(Curves!$F$8:$F$68,AM$4-$B169+1)</f>
        <v/>
      </c>
      <c r="AN169" s="75">
        <f>$C169*INDEX(Curves!$F$8:$F$68,AN$4-$B169+1)</f>
        <v/>
      </c>
      <c r="AO169" s="75">
        <f>$C169*INDEX(Curves!$F$8:$F$68,AO$4-$B169+1)</f>
        <v/>
      </c>
      <c r="AP169" s="75">
        <f>$C169*INDEX(Curves!$F$8:$F$68,AP$4-$B169+1)</f>
        <v/>
      </c>
      <c r="AQ169" s="75">
        <f>$C169*INDEX(Curves!$F$8:$F$68,AQ$4-$B169+1)</f>
        <v/>
      </c>
      <c r="AR169" s="75">
        <f>$C169*INDEX(Curves!$F$8:$F$68,AR$4-$B169+1)</f>
        <v/>
      </c>
      <c r="AS169" s="75">
        <f>$C169*INDEX(Curves!$F$8:$F$68,AS$4-$B169+1)</f>
        <v/>
      </c>
      <c r="AT169" s="75">
        <f>$C169*INDEX(Curves!$F$8:$F$68,AT$4-$B169+1)</f>
        <v/>
      </c>
      <c r="AU169" s="75">
        <f>$C169*INDEX(Curves!$F$8:$F$68,AU$4-$B169+1)</f>
        <v/>
      </c>
      <c r="AV169" s="75">
        <f>$C169*INDEX(Curves!$F$8:$F$68,AV$4-$B169+1)</f>
        <v/>
      </c>
      <c r="AW169" s="75">
        <f>$C169*INDEX(Curves!$F$8:$F$68,AW$4-$B169+1)</f>
        <v/>
      </c>
      <c r="AX169" s="75">
        <f>$C169*INDEX(Curves!$F$8:$F$68,AX$4-$B169+1)</f>
        <v/>
      </c>
      <c r="AY169" s="75">
        <f>$C169*INDEX(Curves!$F$8:$F$68,AY$4-$B169+1)</f>
        <v/>
      </c>
      <c r="AZ169" s="75">
        <f>$C169*INDEX(Curves!$F$8:$F$68,AZ$4-$B169+1)</f>
        <v/>
      </c>
      <c r="BA169" s="75">
        <f>$C169*INDEX(Curves!$F$8:$F$68,BA$4-$B169+1)</f>
        <v/>
      </c>
      <c r="BB169" s="75">
        <f>$C169*INDEX(Curves!$F$8:$F$68,BB$4-$B169+1)</f>
        <v/>
      </c>
      <c r="BC169" s="75">
        <f>$C169*INDEX(Curves!$F$8:$F$68,BC$4-$B169+1)</f>
        <v/>
      </c>
      <c r="BD169" s="75">
        <f>$C169*INDEX(Curves!$F$8:$F$68,BD$4-$B169+1)</f>
        <v/>
      </c>
      <c r="BE169" s="75">
        <f>$C169*INDEX(Curves!$F$8:$F$68,BE$4-$B169+1)</f>
        <v/>
      </c>
      <c r="BF169" s="75">
        <f>$C169*INDEX(Curves!$F$8:$F$68,BF$4-$B169+1)</f>
        <v/>
      </c>
      <c r="BG169" s="75">
        <f>$C169*INDEX(Curves!$F$8:$F$68,BG$4-$B169+1)</f>
        <v/>
      </c>
      <c r="BH169" s="75">
        <f>$C169*INDEX(Curves!$F$8:$F$68,BH$4-$B169+1)</f>
        <v/>
      </c>
      <c r="BI169" s="75">
        <f>$C169*INDEX(Curves!$F$8:$F$68,BI$4-$B169+1)</f>
        <v/>
      </c>
      <c r="BJ169" s="75">
        <f>$C169*INDEX(Curves!$F$8:$F$68,BJ$4-$B169+1)</f>
        <v/>
      </c>
      <c r="BK169" s="75">
        <f>$C169*INDEX(Curves!$F$8:$F$68,BK$4-$B169+1)</f>
        <v/>
      </c>
      <c r="BL169" s="75">
        <f>$C169*INDEX(Curves!$F$8:$F$68,BL$4-$B169+1)</f>
        <v/>
      </c>
    </row>
    <row r="170">
      <c r="A170" s="74" t="inlineStr">
        <is>
          <t>Cohort month 35</t>
        </is>
      </c>
      <c r="B170" s="74" t="n">
        <v>35</v>
      </c>
      <c r="C170" s="17">
        <f>INDEX(Ops!$E$10:$BL$10,1,$B170)</f>
        <v/>
      </c>
      <c r="AN170" s="75">
        <f>$C170*INDEX(Curves!$F$8:$F$68,AN$4-$B170+1)</f>
        <v/>
      </c>
      <c r="AO170" s="75">
        <f>$C170*INDEX(Curves!$F$8:$F$68,AO$4-$B170+1)</f>
        <v/>
      </c>
      <c r="AP170" s="75">
        <f>$C170*INDEX(Curves!$F$8:$F$68,AP$4-$B170+1)</f>
        <v/>
      </c>
      <c r="AQ170" s="75">
        <f>$C170*INDEX(Curves!$F$8:$F$68,AQ$4-$B170+1)</f>
        <v/>
      </c>
      <c r="AR170" s="75">
        <f>$C170*INDEX(Curves!$F$8:$F$68,AR$4-$B170+1)</f>
        <v/>
      </c>
      <c r="AS170" s="75">
        <f>$C170*INDEX(Curves!$F$8:$F$68,AS$4-$B170+1)</f>
        <v/>
      </c>
      <c r="AT170" s="75">
        <f>$C170*INDEX(Curves!$F$8:$F$68,AT$4-$B170+1)</f>
        <v/>
      </c>
      <c r="AU170" s="75">
        <f>$C170*INDEX(Curves!$F$8:$F$68,AU$4-$B170+1)</f>
        <v/>
      </c>
      <c r="AV170" s="75">
        <f>$C170*INDEX(Curves!$F$8:$F$68,AV$4-$B170+1)</f>
        <v/>
      </c>
      <c r="AW170" s="75">
        <f>$C170*INDEX(Curves!$F$8:$F$68,AW$4-$B170+1)</f>
        <v/>
      </c>
      <c r="AX170" s="75">
        <f>$C170*INDEX(Curves!$F$8:$F$68,AX$4-$B170+1)</f>
        <v/>
      </c>
      <c r="AY170" s="75">
        <f>$C170*INDEX(Curves!$F$8:$F$68,AY$4-$B170+1)</f>
        <v/>
      </c>
      <c r="AZ170" s="75">
        <f>$C170*INDEX(Curves!$F$8:$F$68,AZ$4-$B170+1)</f>
        <v/>
      </c>
      <c r="BA170" s="75">
        <f>$C170*INDEX(Curves!$F$8:$F$68,BA$4-$B170+1)</f>
        <v/>
      </c>
      <c r="BB170" s="75">
        <f>$C170*INDEX(Curves!$F$8:$F$68,BB$4-$B170+1)</f>
        <v/>
      </c>
      <c r="BC170" s="75">
        <f>$C170*INDEX(Curves!$F$8:$F$68,BC$4-$B170+1)</f>
        <v/>
      </c>
      <c r="BD170" s="75">
        <f>$C170*INDEX(Curves!$F$8:$F$68,BD$4-$B170+1)</f>
        <v/>
      </c>
      <c r="BE170" s="75">
        <f>$C170*INDEX(Curves!$F$8:$F$68,BE$4-$B170+1)</f>
        <v/>
      </c>
      <c r="BF170" s="75">
        <f>$C170*INDEX(Curves!$F$8:$F$68,BF$4-$B170+1)</f>
        <v/>
      </c>
      <c r="BG170" s="75">
        <f>$C170*INDEX(Curves!$F$8:$F$68,BG$4-$B170+1)</f>
        <v/>
      </c>
      <c r="BH170" s="75">
        <f>$C170*INDEX(Curves!$F$8:$F$68,BH$4-$B170+1)</f>
        <v/>
      </c>
      <c r="BI170" s="75">
        <f>$C170*INDEX(Curves!$F$8:$F$68,BI$4-$B170+1)</f>
        <v/>
      </c>
      <c r="BJ170" s="75">
        <f>$C170*INDEX(Curves!$F$8:$F$68,BJ$4-$B170+1)</f>
        <v/>
      </c>
      <c r="BK170" s="75">
        <f>$C170*INDEX(Curves!$F$8:$F$68,BK$4-$B170+1)</f>
        <v/>
      </c>
      <c r="BL170" s="75">
        <f>$C170*INDEX(Curves!$F$8:$F$68,BL$4-$B170+1)</f>
        <v/>
      </c>
    </row>
    <row r="171">
      <c r="A171" s="74" t="inlineStr">
        <is>
          <t>Cohort month 36</t>
        </is>
      </c>
      <c r="B171" s="74" t="n">
        <v>36</v>
      </c>
      <c r="C171" s="17">
        <f>INDEX(Ops!$E$10:$BL$10,1,$B171)</f>
        <v/>
      </c>
      <c r="AO171" s="75">
        <f>$C171*INDEX(Curves!$F$8:$F$68,AO$4-$B171+1)</f>
        <v/>
      </c>
      <c r="AP171" s="75">
        <f>$C171*INDEX(Curves!$F$8:$F$68,AP$4-$B171+1)</f>
        <v/>
      </c>
      <c r="AQ171" s="75">
        <f>$C171*INDEX(Curves!$F$8:$F$68,AQ$4-$B171+1)</f>
        <v/>
      </c>
      <c r="AR171" s="75">
        <f>$C171*INDEX(Curves!$F$8:$F$68,AR$4-$B171+1)</f>
        <v/>
      </c>
      <c r="AS171" s="75">
        <f>$C171*INDEX(Curves!$F$8:$F$68,AS$4-$B171+1)</f>
        <v/>
      </c>
      <c r="AT171" s="75">
        <f>$C171*INDEX(Curves!$F$8:$F$68,AT$4-$B171+1)</f>
        <v/>
      </c>
      <c r="AU171" s="75">
        <f>$C171*INDEX(Curves!$F$8:$F$68,AU$4-$B171+1)</f>
        <v/>
      </c>
      <c r="AV171" s="75">
        <f>$C171*INDEX(Curves!$F$8:$F$68,AV$4-$B171+1)</f>
        <v/>
      </c>
      <c r="AW171" s="75">
        <f>$C171*INDEX(Curves!$F$8:$F$68,AW$4-$B171+1)</f>
        <v/>
      </c>
      <c r="AX171" s="75">
        <f>$C171*INDEX(Curves!$F$8:$F$68,AX$4-$B171+1)</f>
        <v/>
      </c>
      <c r="AY171" s="75">
        <f>$C171*INDEX(Curves!$F$8:$F$68,AY$4-$B171+1)</f>
        <v/>
      </c>
      <c r="AZ171" s="75">
        <f>$C171*INDEX(Curves!$F$8:$F$68,AZ$4-$B171+1)</f>
        <v/>
      </c>
      <c r="BA171" s="75">
        <f>$C171*INDEX(Curves!$F$8:$F$68,BA$4-$B171+1)</f>
        <v/>
      </c>
      <c r="BB171" s="75">
        <f>$C171*INDEX(Curves!$F$8:$F$68,BB$4-$B171+1)</f>
        <v/>
      </c>
      <c r="BC171" s="75">
        <f>$C171*INDEX(Curves!$F$8:$F$68,BC$4-$B171+1)</f>
        <v/>
      </c>
      <c r="BD171" s="75">
        <f>$C171*INDEX(Curves!$F$8:$F$68,BD$4-$B171+1)</f>
        <v/>
      </c>
      <c r="BE171" s="75">
        <f>$C171*INDEX(Curves!$F$8:$F$68,BE$4-$B171+1)</f>
        <v/>
      </c>
      <c r="BF171" s="75">
        <f>$C171*INDEX(Curves!$F$8:$F$68,BF$4-$B171+1)</f>
        <v/>
      </c>
      <c r="BG171" s="75">
        <f>$C171*INDEX(Curves!$F$8:$F$68,BG$4-$B171+1)</f>
        <v/>
      </c>
      <c r="BH171" s="75">
        <f>$C171*INDEX(Curves!$F$8:$F$68,BH$4-$B171+1)</f>
        <v/>
      </c>
      <c r="BI171" s="75">
        <f>$C171*INDEX(Curves!$F$8:$F$68,BI$4-$B171+1)</f>
        <v/>
      </c>
      <c r="BJ171" s="75">
        <f>$C171*INDEX(Curves!$F$8:$F$68,BJ$4-$B171+1)</f>
        <v/>
      </c>
      <c r="BK171" s="75">
        <f>$C171*INDEX(Curves!$F$8:$F$68,BK$4-$B171+1)</f>
        <v/>
      </c>
      <c r="BL171" s="75">
        <f>$C171*INDEX(Curves!$F$8:$F$68,BL$4-$B171+1)</f>
        <v/>
      </c>
    </row>
    <row r="172">
      <c r="A172" s="74" t="inlineStr">
        <is>
          <t>Cohort month 37</t>
        </is>
      </c>
      <c r="B172" s="74" t="n">
        <v>37</v>
      </c>
      <c r="C172" s="17">
        <f>INDEX(Ops!$E$10:$BL$10,1,$B172)</f>
        <v/>
      </c>
      <c r="AP172" s="75">
        <f>$C172*INDEX(Curves!$F$8:$F$68,AP$4-$B172+1)</f>
        <v/>
      </c>
      <c r="AQ172" s="75">
        <f>$C172*INDEX(Curves!$F$8:$F$68,AQ$4-$B172+1)</f>
        <v/>
      </c>
      <c r="AR172" s="75">
        <f>$C172*INDEX(Curves!$F$8:$F$68,AR$4-$B172+1)</f>
        <v/>
      </c>
      <c r="AS172" s="75">
        <f>$C172*INDEX(Curves!$F$8:$F$68,AS$4-$B172+1)</f>
        <v/>
      </c>
      <c r="AT172" s="75">
        <f>$C172*INDEX(Curves!$F$8:$F$68,AT$4-$B172+1)</f>
        <v/>
      </c>
      <c r="AU172" s="75">
        <f>$C172*INDEX(Curves!$F$8:$F$68,AU$4-$B172+1)</f>
        <v/>
      </c>
      <c r="AV172" s="75">
        <f>$C172*INDEX(Curves!$F$8:$F$68,AV$4-$B172+1)</f>
        <v/>
      </c>
      <c r="AW172" s="75">
        <f>$C172*INDEX(Curves!$F$8:$F$68,AW$4-$B172+1)</f>
        <v/>
      </c>
      <c r="AX172" s="75">
        <f>$C172*INDEX(Curves!$F$8:$F$68,AX$4-$B172+1)</f>
        <v/>
      </c>
      <c r="AY172" s="75">
        <f>$C172*INDEX(Curves!$F$8:$F$68,AY$4-$B172+1)</f>
        <v/>
      </c>
      <c r="AZ172" s="75">
        <f>$C172*INDEX(Curves!$F$8:$F$68,AZ$4-$B172+1)</f>
        <v/>
      </c>
      <c r="BA172" s="75">
        <f>$C172*INDEX(Curves!$F$8:$F$68,BA$4-$B172+1)</f>
        <v/>
      </c>
      <c r="BB172" s="75">
        <f>$C172*INDEX(Curves!$F$8:$F$68,BB$4-$B172+1)</f>
        <v/>
      </c>
      <c r="BC172" s="75">
        <f>$C172*INDEX(Curves!$F$8:$F$68,BC$4-$B172+1)</f>
        <v/>
      </c>
      <c r="BD172" s="75">
        <f>$C172*INDEX(Curves!$F$8:$F$68,BD$4-$B172+1)</f>
        <v/>
      </c>
      <c r="BE172" s="75">
        <f>$C172*INDEX(Curves!$F$8:$F$68,BE$4-$B172+1)</f>
        <v/>
      </c>
      <c r="BF172" s="75">
        <f>$C172*INDEX(Curves!$F$8:$F$68,BF$4-$B172+1)</f>
        <v/>
      </c>
      <c r="BG172" s="75">
        <f>$C172*INDEX(Curves!$F$8:$F$68,BG$4-$B172+1)</f>
        <v/>
      </c>
      <c r="BH172" s="75">
        <f>$C172*INDEX(Curves!$F$8:$F$68,BH$4-$B172+1)</f>
        <v/>
      </c>
      <c r="BI172" s="75">
        <f>$C172*INDEX(Curves!$F$8:$F$68,BI$4-$B172+1)</f>
        <v/>
      </c>
      <c r="BJ172" s="75">
        <f>$C172*INDEX(Curves!$F$8:$F$68,BJ$4-$B172+1)</f>
        <v/>
      </c>
      <c r="BK172" s="75">
        <f>$C172*INDEX(Curves!$F$8:$F$68,BK$4-$B172+1)</f>
        <v/>
      </c>
      <c r="BL172" s="75">
        <f>$C172*INDEX(Curves!$F$8:$F$68,BL$4-$B172+1)</f>
        <v/>
      </c>
    </row>
    <row r="173">
      <c r="A173" s="74" t="inlineStr">
        <is>
          <t>Cohort month 38</t>
        </is>
      </c>
      <c r="B173" s="74" t="n">
        <v>38</v>
      </c>
      <c r="C173" s="17">
        <f>INDEX(Ops!$E$10:$BL$10,1,$B173)</f>
        <v/>
      </c>
      <c r="AQ173" s="75">
        <f>$C173*INDEX(Curves!$F$8:$F$68,AQ$4-$B173+1)</f>
        <v/>
      </c>
      <c r="AR173" s="75">
        <f>$C173*INDEX(Curves!$F$8:$F$68,AR$4-$B173+1)</f>
        <v/>
      </c>
      <c r="AS173" s="75">
        <f>$C173*INDEX(Curves!$F$8:$F$68,AS$4-$B173+1)</f>
        <v/>
      </c>
      <c r="AT173" s="75">
        <f>$C173*INDEX(Curves!$F$8:$F$68,AT$4-$B173+1)</f>
        <v/>
      </c>
      <c r="AU173" s="75">
        <f>$C173*INDEX(Curves!$F$8:$F$68,AU$4-$B173+1)</f>
        <v/>
      </c>
      <c r="AV173" s="75">
        <f>$C173*INDEX(Curves!$F$8:$F$68,AV$4-$B173+1)</f>
        <v/>
      </c>
      <c r="AW173" s="75">
        <f>$C173*INDEX(Curves!$F$8:$F$68,AW$4-$B173+1)</f>
        <v/>
      </c>
      <c r="AX173" s="75">
        <f>$C173*INDEX(Curves!$F$8:$F$68,AX$4-$B173+1)</f>
        <v/>
      </c>
      <c r="AY173" s="75">
        <f>$C173*INDEX(Curves!$F$8:$F$68,AY$4-$B173+1)</f>
        <v/>
      </c>
      <c r="AZ173" s="75">
        <f>$C173*INDEX(Curves!$F$8:$F$68,AZ$4-$B173+1)</f>
        <v/>
      </c>
      <c r="BA173" s="75">
        <f>$C173*INDEX(Curves!$F$8:$F$68,BA$4-$B173+1)</f>
        <v/>
      </c>
      <c r="BB173" s="75">
        <f>$C173*INDEX(Curves!$F$8:$F$68,BB$4-$B173+1)</f>
        <v/>
      </c>
      <c r="BC173" s="75">
        <f>$C173*INDEX(Curves!$F$8:$F$68,BC$4-$B173+1)</f>
        <v/>
      </c>
      <c r="BD173" s="75">
        <f>$C173*INDEX(Curves!$F$8:$F$68,BD$4-$B173+1)</f>
        <v/>
      </c>
      <c r="BE173" s="75">
        <f>$C173*INDEX(Curves!$F$8:$F$68,BE$4-$B173+1)</f>
        <v/>
      </c>
      <c r="BF173" s="75">
        <f>$C173*INDEX(Curves!$F$8:$F$68,BF$4-$B173+1)</f>
        <v/>
      </c>
      <c r="BG173" s="75">
        <f>$C173*INDEX(Curves!$F$8:$F$68,BG$4-$B173+1)</f>
        <v/>
      </c>
      <c r="BH173" s="75">
        <f>$C173*INDEX(Curves!$F$8:$F$68,BH$4-$B173+1)</f>
        <v/>
      </c>
      <c r="BI173" s="75">
        <f>$C173*INDEX(Curves!$F$8:$F$68,BI$4-$B173+1)</f>
        <v/>
      </c>
      <c r="BJ173" s="75">
        <f>$C173*INDEX(Curves!$F$8:$F$68,BJ$4-$B173+1)</f>
        <v/>
      </c>
      <c r="BK173" s="75">
        <f>$C173*INDEX(Curves!$F$8:$F$68,BK$4-$B173+1)</f>
        <v/>
      </c>
      <c r="BL173" s="75">
        <f>$C173*INDEX(Curves!$F$8:$F$68,BL$4-$B173+1)</f>
        <v/>
      </c>
    </row>
    <row r="174">
      <c r="A174" s="74" t="inlineStr">
        <is>
          <t>Cohort month 39</t>
        </is>
      </c>
      <c r="B174" s="74" t="n">
        <v>39</v>
      </c>
      <c r="C174" s="17">
        <f>INDEX(Ops!$E$10:$BL$10,1,$B174)</f>
        <v/>
      </c>
      <c r="AR174" s="75">
        <f>$C174*INDEX(Curves!$F$8:$F$68,AR$4-$B174+1)</f>
        <v/>
      </c>
      <c r="AS174" s="75">
        <f>$C174*INDEX(Curves!$F$8:$F$68,AS$4-$B174+1)</f>
        <v/>
      </c>
      <c r="AT174" s="75">
        <f>$C174*INDEX(Curves!$F$8:$F$68,AT$4-$B174+1)</f>
        <v/>
      </c>
      <c r="AU174" s="75">
        <f>$C174*INDEX(Curves!$F$8:$F$68,AU$4-$B174+1)</f>
        <v/>
      </c>
      <c r="AV174" s="75">
        <f>$C174*INDEX(Curves!$F$8:$F$68,AV$4-$B174+1)</f>
        <v/>
      </c>
      <c r="AW174" s="75">
        <f>$C174*INDEX(Curves!$F$8:$F$68,AW$4-$B174+1)</f>
        <v/>
      </c>
      <c r="AX174" s="75">
        <f>$C174*INDEX(Curves!$F$8:$F$68,AX$4-$B174+1)</f>
        <v/>
      </c>
      <c r="AY174" s="75">
        <f>$C174*INDEX(Curves!$F$8:$F$68,AY$4-$B174+1)</f>
        <v/>
      </c>
      <c r="AZ174" s="75">
        <f>$C174*INDEX(Curves!$F$8:$F$68,AZ$4-$B174+1)</f>
        <v/>
      </c>
      <c r="BA174" s="75">
        <f>$C174*INDEX(Curves!$F$8:$F$68,BA$4-$B174+1)</f>
        <v/>
      </c>
      <c r="BB174" s="75">
        <f>$C174*INDEX(Curves!$F$8:$F$68,BB$4-$B174+1)</f>
        <v/>
      </c>
      <c r="BC174" s="75">
        <f>$C174*INDEX(Curves!$F$8:$F$68,BC$4-$B174+1)</f>
        <v/>
      </c>
      <c r="BD174" s="75">
        <f>$C174*INDEX(Curves!$F$8:$F$68,BD$4-$B174+1)</f>
        <v/>
      </c>
      <c r="BE174" s="75">
        <f>$C174*INDEX(Curves!$F$8:$F$68,BE$4-$B174+1)</f>
        <v/>
      </c>
      <c r="BF174" s="75">
        <f>$C174*INDEX(Curves!$F$8:$F$68,BF$4-$B174+1)</f>
        <v/>
      </c>
      <c r="BG174" s="75">
        <f>$C174*INDEX(Curves!$F$8:$F$68,BG$4-$B174+1)</f>
        <v/>
      </c>
      <c r="BH174" s="75">
        <f>$C174*INDEX(Curves!$F$8:$F$68,BH$4-$B174+1)</f>
        <v/>
      </c>
      <c r="BI174" s="75">
        <f>$C174*INDEX(Curves!$F$8:$F$68,BI$4-$B174+1)</f>
        <v/>
      </c>
      <c r="BJ174" s="75">
        <f>$C174*INDEX(Curves!$F$8:$F$68,BJ$4-$B174+1)</f>
        <v/>
      </c>
      <c r="BK174" s="75">
        <f>$C174*INDEX(Curves!$F$8:$F$68,BK$4-$B174+1)</f>
        <v/>
      </c>
      <c r="BL174" s="75">
        <f>$C174*INDEX(Curves!$F$8:$F$68,BL$4-$B174+1)</f>
        <v/>
      </c>
    </row>
    <row r="175">
      <c r="A175" s="74" t="inlineStr">
        <is>
          <t>Cohort month 40</t>
        </is>
      </c>
      <c r="B175" s="74" t="n">
        <v>40</v>
      </c>
      <c r="C175" s="17">
        <f>INDEX(Ops!$E$10:$BL$10,1,$B175)</f>
        <v/>
      </c>
      <c r="AS175" s="75">
        <f>$C175*INDEX(Curves!$F$8:$F$68,AS$4-$B175+1)</f>
        <v/>
      </c>
      <c r="AT175" s="75">
        <f>$C175*INDEX(Curves!$F$8:$F$68,AT$4-$B175+1)</f>
        <v/>
      </c>
      <c r="AU175" s="75">
        <f>$C175*INDEX(Curves!$F$8:$F$68,AU$4-$B175+1)</f>
        <v/>
      </c>
      <c r="AV175" s="75">
        <f>$C175*INDEX(Curves!$F$8:$F$68,AV$4-$B175+1)</f>
        <v/>
      </c>
      <c r="AW175" s="75">
        <f>$C175*INDEX(Curves!$F$8:$F$68,AW$4-$B175+1)</f>
        <v/>
      </c>
      <c r="AX175" s="75">
        <f>$C175*INDEX(Curves!$F$8:$F$68,AX$4-$B175+1)</f>
        <v/>
      </c>
      <c r="AY175" s="75">
        <f>$C175*INDEX(Curves!$F$8:$F$68,AY$4-$B175+1)</f>
        <v/>
      </c>
      <c r="AZ175" s="75">
        <f>$C175*INDEX(Curves!$F$8:$F$68,AZ$4-$B175+1)</f>
        <v/>
      </c>
      <c r="BA175" s="75">
        <f>$C175*INDEX(Curves!$F$8:$F$68,BA$4-$B175+1)</f>
        <v/>
      </c>
      <c r="BB175" s="75">
        <f>$C175*INDEX(Curves!$F$8:$F$68,BB$4-$B175+1)</f>
        <v/>
      </c>
      <c r="BC175" s="75">
        <f>$C175*INDEX(Curves!$F$8:$F$68,BC$4-$B175+1)</f>
        <v/>
      </c>
      <c r="BD175" s="75">
        <f>$C175*INDEX(Curves!$F$8:$F$68,BD$4-$B175+1)</f>
        <v/>
      </c>
      <c r="BE175" s="75">
        <f>$C175*INDEX(Curves!$F$8:$F$68,BE$4-$B175+1)</f>
        <v/>
      </c>
      <c r="BF175" s="75">
        <f>$C175*INDEX(Curves!$F$8:$F$68,BF$4-$B175+1)</f>
        <v/>
      </c>
      <c r="BG175" s="75">
        <f>$C175*INDEX(Curves!$F$8:$F$68,BG$4-$B175+1)</f>
        <v/>
      </c>
      <c r="BH175" s="75">
        <f>$C175*INDEX(Curves!$F$8:$F$68,BH$4-$B175+1)</f>
        <v/>
      </c>
      <c r="BI175" s="75">
        <f>$C175*INDEX(Curves!$F$8:$F$68,BI$4-$B175+1)</f>
        <v/>
      </c>
      <c r="BJ175" s="75">
        <f>$C175*INDEX(Curves!$F$8:$F$68,BJ$4-$B175+1)</f>
        <v/>
      </c>
      <c r="BK175" s="75">
        <f>$C175*INDEX(Curves!$F$8:$F$68,BK$4-$B175+1)</f>
        <v/>
      </c>
      <c r="BL175" s="75">
        <f>$C175*INDEX(Curves!$F$8:$F$68,BL$4-$B175+1)</f>
        <v/>
      </c>
    </row>
    <row r="176">
      <c r="A176" s="74" t="inlineStr">
        <is>
          <t>Cohort month 41</t>
        </is>
      </c>
      <c r="B176" s="74" t="n">
        <v>41</v>
      </c>
      <c r="C176" s="17">
        <f>INDEX(Ops!$E$10:$BL$10,1,$B176)</f>
        <v/>
      </c>
      <c r="AT176" s="75">
        <f>$C176*INDEX(Curves!$F$8:$F$68,AT$4-$B176+1)</f>
        <v/>
      </c>
      <c r="AU176" s="75">
        <f>$C176*INDEX(Curves!$F$8:$F$68,AU$4-$B176+1)</f>
        <v/>
      </c>
      <c r="AV176" s="75">
        <f>$C176*INDEX(Curves!$F$8:$F$68,AV$4-$B176+1)</f>
        <v/>
      </c>
      <c r="AW176" s="75">
        <f>$C176*INDEX(Curves!$F$8:$F$68,AW$4-$B176+1)</f>
        <v/>
      </c>
      <c r="AX176" s="75">
        <f>$C176*INDEX(Curves!$F$8:$F$68,AX$4-$B176+1)</f>
        <v/>
      </c>
      <c r="AY176" s="75">
        <f>$C176*INDEX(Curves!$F$8:$F$68,AY$4-$B176+1)</f>
        <v/>
      </c>
      <c r="AZ176" s="75">
        <f>$C176*INDEX(Curves!$F$8:$F$68,AZ$4-$B176+1)</f>
        <v/>
      </c>
      <c r="BA176" s="75">
        <f>$C176*INDEX(Curves!$F$8:$F$68,BA$4-$B176+1)</f>
        <v/>
      </c>
      <c r="BB176" s="75">
        <f>$C176*INDEX(Curves!$F$8:$F$68,BB$4-$B176+1)</f>
        <v/>
      </c>
      <c r="BC176" s="75">
        <f>$C176*INDEX(Curves!$F$8:$F$68,BC$4-$B176+1)</f>
        <v/>
      </c>
      <c r="BD176" s="75">
        <f>$C176*INDEX(Curves!$F$8:$F$68,BD$4-$B176+1)</f>
        <v/>
      </c>
      <c r="BE176" s="75">
        <f>$C176*INDEX(Curves!$F$8:$F$68,BE$4-$B176+1)</f>
        <v/>
      </c>
      <c r="BF176" s="75">
        <f>$C176*INDEX(Curves!$F$8:$F$68,BF$4-$B176+1)</f>
        <v/>
      </c>
      <c r="BG176" s="75">
        <f>$C176*INDEX(Curves!$F$8:$F$68,BG$4-$B176+1)</f>
        <v/>
      </c>
      <c r="BH176" s="75">
        <f>$C176*INDEX(Curves!$F$8:$F$68,BH$4-$B176+1)</f>
        <v/>
      </c>
      <c r="BI176" s="75">
        <f>$C176*INDEX(Curves!$F$8:$F$68,BI$4-$B176+1)</f>
        <v/>
      </c>
      <c r="BJ176" s="75">
        <f>$C176*INDEX(Curves!$F$8:$F$68,BJ$4-$B176+1)</f>
        <v/>
      </c>
      <c r="BK176" s="75">
        <f>$C176*INDEX(Curves!$F$8:$F$68,BK$4-$B176+1)</f>
        <v/>
      </c>
      <c r="BL176" s="75">
        <f>$C176*INDEX(Curves!$F$8:$F$68,BL$4-$B176+1)</f>
        <v/>
      </c>
    </row>
    <row r="177">
      <c r="A177" s="74" t="inlineStr">
        <is>
          <t>Cohort month 42</t>
        </is>
      </c>
      <c r="B177" s="74" t="n">
        <v>42</v>
      </c>
      <c r="C177" s="17">
        <f>INDEX(Ops!$E$10:$BL$10,1,$B177)</f>
        <v/>
      </c>
      <c r="AU177" s="75">
        <f>$C177*INDEX(Curves!$F$8:$F$68,AU$4-$B177+1)</f>
        <v/>
      </c>
      <c r="AV177" s="75">
        <f>$C177*INDEX(Curves!$F$8:$F$68,AV$4-$B177+1)</f>
        <v/>
      </c>
      <c r="AW177" s="75">
        <f>$C177*INDEX(Curves!$F$8:$F$68,AW$4-$B177+1)</f>
        <v/>
      </c>
      <c r="AX177" s="75">
        <f>$C177*INDEX(Curves!$F$8:$F$68,AX$4-$B177+1)</f>
        <v/>
      </c>
      <c r="AY177" s="75">
        <f>$C177*INDEX(Curves!$F$8:$F$68,AY$4-$B177+1)</f>
        <v/>
      </c>
      <c r="AZ177" s="75">
        <f>$C177*INDEX(Curves!$F$8:$F$68,AZ$4-$B177+1)</f>
        <v/>
      </c>
      <c r="BA177" s="75">
        <f>$C177*INDEX(Curves!$F$8:$F$68,BA$4-$B177+1)</f>
        <v/>
      </c>
      <c r="BB177" s="75">
        <f>$C177*INDEX(Curves!$F$8:$F$68,BB$4-$B177+1)</f>
        <v/>
      </c>
      <c r="BC177" s="75">
        <f>$C177*INDEX(Curves!$F$8:$F$68,BC$4-$B177+1)</f>
        <v/>
      </c>
      <c r="BD177" s="75">
        <f>$C177*INDEX(Curves!$F$8:$F$68,BD$4-$B177+1)</f>
        <v/>
      </c>
      <c r="BE177" s="75">
        <f>$C177*INDEX(Curves!$F$8:$F$68,BE$4-$B177+1)</f>
        <v/>
      </c>
      <c r="BF177" s="75">
        <f>$C177*INDEX(Curves!$F$8:$F$68,BF$4-$B177+1)</f>
        <v/>
      </c>
      <c r="BG177" s="75">
        <f>$C177*INDEX(Curves!$F$8:$F$68,BG$4-$B177+1)</f>
        <v/>
      </c>
      <c r="BH177" s="75">
        <f>$C177*INDEX(Curves!$F$8:$F$68,BH$4-$B177+1)</f>
        <v/>
      </c>
      <c r="BI177" s="75">
        <f>$C177*INDEX(Curves!$F$8:$F$68,BI$4-$B177+1)</f>
        <v/>
      </c>
      <c r="BJ177" s="75">
        <f>$C177*INDEX(Curves!$F$8:$F$68,BJ$4-$B177+1)</f>
        <v/>
      </c>
      <c r="BK177" s="75">
        <f>$C177*INDEX(Curves!$F$8:$F$68,BK$4-$B177+1)</f>
        <v/>
      </c>
      <c r="BL177" s="75">
        <f>$C177*INDEX(Curves!$F$8:$F$68,BL$4-$B177+1)</f>
        <v/>
      </c>
    </row>
    <row r="178">
      <c r="A178" s="74" t="inlineStr">
        <is>
          <t>Cohort month 43</t>
        </is>
      </c>
      <c r="B178" s="74" t="n">
        <v>43</v>
      </c>
      <c r="C178" s="17">
        <f>INDEX(Ops!$E$10:$BL$10,1,$B178)</f>
        <v/>
      </c>
      <c r="AV178" s="75">
        <f>$C178*INDEX(Curves!$F$8:$F$68,AV$4-$B178+1)</f>
        <v/>
      </c>
      <c r="AW178" s="75">
        <f>$C178*INDEX(Curves!$F$8:$F$68,AW$4-$B178+1)</f>
        <v/>
      </c>
      <c r="AX178" s="75">
        <f>$C178*INDEX(Curves!$F$8:$F$68,AX$4-$B178+1)</f>
        <v/>
      </c>
      <c r="AY178" s="75">
        <f>$C178*INDEX(Curves!$F$8:$F$68,AY$4-$B178+1)</f>
        <v/>
      </c>
      <c r="AZ178" s="75">
        <f>$C178*INDEX(Curves!$F$8:$F$68,AZ$4-$B178+1)</f>
        <v/>
      </c>
      <c r="BA178" s="75">
        <f>$C178*INDEX(Curves!$F$8:$F$68,BA$4-$B178+1)</f>
        <v/>
      </c>
      <c r="BB178" s="75">
        <f>$C178*INDEX(Curves!$F$8:$F$68,BB$4-$B178+1)</f>
        <v/>
      </c>
      <c r="BC178" s="75">
        <f>$C178*INDEX(Curves!$F$8:$F$68,BC$4-$B178+1)</f>
        <v/>
      </c>
      <c r="BD178" s="75">
        <f>$C178*INDEX(Curves!$F$8:$F$68,BD$4-$B178+1)</f>
        <v/>
      </c>
      <c r="BE178" s="75">
        <f>$C178*INDEX(Curves!$F$8:$F$68,BE$4-$B178+1)</f>
        <v/>
      </c>
      <c r="BF178" s="75">
        <f>$C178*INDEX(Curves!$F$8:$F$68,BF$4-$B178+1)</f>
        <v/>
      </c>
      <c r="BG178" s="75">
        <f>$C178*INDEX(Curves!$F$8:$F$68,BG$4-$B178+1)</f>
        <v/>
      </c>
      <c r="BH178" s="75">
        <f>$C178*INDEX(Curves!$F$8:$F$68,BH$4-$B178+1)</f>
        <v/>
      </c>
      <c r="BI178" s="75">
        <f>$C178*INDEX(Curves!$F$8:$F$68,BI$4-$B178+1)</f>
        <v/>
      </c>
      <c r="BJ178" s="75">
        <f>$C178*INDEX(Curves!$F$8:$F$68,BJ$4-$B178+1)</f>
        <v/>
      </c>
      <c r="BK178" s="75">
        <f>$C178*INDEX(Curves!$F$8:$F$68,BK$4-$B178+1)</f>
        <v/>
      </c>
      <c r="BL178" s="75">
        <f>$C178*INDEX(Curves!$F$8:$F$68,BL$4-$B178+1)</f>
        <v/>
      </c>
    </row>
    <row r="179">
      <c r="A179" s="74" t="inlineStr">
        <is>
          <t>Cohort month 44</t>
        </is>
      </c>
      <c r="B179" s="74" t="n">
        <v>44</v>
      </c>
      <c r="C179" s="17">
        <f>INDEX(Ops!$E$10:$BL$10,1,$B179)</f>
        <v/>
      </c>
      <c r="AW179" s="75">
        <f>$C179*INDEX(Curves!$F$8:$F$68,AW$4-$B179+1)</f>
        <v/>
      </c>
      <c r="AX179" s="75">
        <f>$C179*INDEX(Curves!$F$8:$F$68,AX$4-$B179+1)</f>
        <v/>
      </c>
      <c r="AY179" s="75">
        <f>$C179*INDEX(Curves!$F$8:$F$68,AY$4-$B179+1)</f>
        <v/>
      </c>
      <c r="AZ179" s="75">
        <f>$C179*INDEX(Curves!$F$8:$F$68,AZ$4-$B179+1)</f>
        <v/>
      </c>
      <c r="BA179" s="75">
        <f>$C179*INDEX(Curves!$F$8:$F$68,BA$4-$B179+1)</f>
        <v/>
      </c>
      <c r="BB179" s="75">
        <f>$C179*INDEX(Curves!$F$8:$F$68,BB$4-$B179+1)</f>
        <v/>
      </c>
      <c r="BC179" s="75">
        <f>$C179*INDEX(Curves!$F$8:$F$68,BC$4-$B179+1)</f>
        <v/>
      </c>
      <c r="BD179" s="75">
        <f>$C179*INDEX(Curves!$F$8:$F$68,BD$4-$B179+1)</f>
        <v/>
      </c>
      <c r="BE179" s="75">
        <f>$C179*INDEX(Curves!$F$8:$F$68,BE$4-$B179+1)</f>
        <v/>
      </c>
      <c r="BF179" s="75">
        <f>$C179*INDEX(Curves!$F$8:$F$68,BF$4-$B179+1)</f>
        <v/>
      </c>
      <c r="BG179" s="75">
        <f>$C179*INDEX(Curves!$F$8:$F$68,BG$4-$B179+1)</f>
        <v/>
      </c>
      <c r="BH179" s="75">
        <f>$C179*INDEX(Curves!$F$8:$F$68,BH$4-$B179+1)</f>
        <v/>
      </c>
      <c r="BI179" s="75">
        <f>$C179*INDEX(Curves!$F$8:$F$68,BI$4-$B179+1)</f>
        <v/>
      </c>
      <c r="BJ179" s="75">
        <f>$C179*INDEX(Curves!$F$8:$F$68,BJ$4-$B179+1)</f>
        <v/>
      </c>
      <c r="BK179" s="75">
        <f>$C179*INDEX(Curves!$F$8:$F$68,BK$4-$B179+1)</f>
        <v/>
      </c>
      <c r="BL179" s="75">
        <f>$C179*INDEX(Curves!$F$8:$F$68,BL$4-$B179+1)</f>
        <v/>
      </c>
    </row>
    <row r="180">
      <c r="A180" s="74" t="inlineStr">
        <is>
          <t>Cohort month 45</t>
        </is>
      </c>
      <c r="B180" s="74" t="n">
        <v>45</v>
      </c>
      <c r="C180" s="17">
        <f>INDEX(Ops!$E$10:$BL$10,1,$B180)</f>
        <v/>
      </c>
      <c r="AX180" s="75">
        <f>$C180*INDEX(Curves!$F$8:$F$68,AX$4-$B180+1)</f>
        <v/>
      </c>
      <c r="AY180" s="75">
        <f>$C180*INDEX(Curves!$F$8:$F$68,AY$4-$B180+1)</f>
        <v/>
      </c>
      <c r="AZ180" s="75">
        <f>$C180*INDEX(Curves!$F$8:$F$68,AZ$4-$B180+1)</f>
        <v/>
      </c>
      <c r="BA180" s="75">
        <f>$C180*INDEX(Curves!$F$8:$F$68,BA$4-$B180+1)</f>
        <v/>
      </c>
      <c r="BB180" s="75">
        <f>$C180*INDEX(Curves!$F$8:$F$68,BB$4-$B180+1)</f>
        <v/>
      </c>
      <c r="BC180" s="75">
        <f>$C180*INDEX(Curves!$F$8:$F$68,BC$4-$B180+1)</f>
        <v/>
      </c>
      <c r="BD180" s="75">
        <f>$C180*INDEX(Curves!$F$8:$F$68,BD$4-$B180+1)</f>
        <v/>
      </c>
      <c r="BE180" s="75">
        <f>$C180*INDEX(Curves!$F$8:$F$68,BE$4-$B180+1)</f>
        <v/>
      </c>
      <c r="BF180" s="75">
        <f>$C180*INDEX(Curves!$F$8:$F$68,BF$4-$B180+1)</f>
        <v/>
      </c>
      <c r="BG180" s="75">
        <f>$C180*INDEX(Curves!$F$8:$F$68,BG$4-$B180+1)</f>
        <v/>
      </c>
      <c r="BH180" s="75">
        <f>$C180*INDEX(Curves!$F$8:$F$68,BH$4-$B180+1)</f>
        <v/>
      </c>
      <c r="BI180" s="75">
        <f>$C180*INDEX(Curves!$F$8:$F$68,BI$4-$B180+1)</f>
        <v/>
      </c>
      <c r="BJ180" s="75">
        <f>$C180*INDEX(Curves!$F$8:$F$68,BJ$4-$B180+1)</f>
        <v/>
      </c>
      <c r="BK180" s="75">
        <f>$C180*INDEX(Curves!$F$8:$F$68,BK$4-$B180+1)</f>
        <v/>
      </c>
      <c r="BL180" s="75">
        <f>$C180*INDEX(Curves!$F$8:$F$68,BL$4-$B180+1)</f>
        <v/>
      </c>
    </row>
    <row r="181">
      <c r="A181" s="74" t="inlineStr">
        <is>
          <t>Cohort month 46</t>
        </is>
      </c>
      <c r="B181" s="74" t="n">
        <v>46</v>
      </c>
      <c r="C181" s="17">
        <f>INDEX(Ops!$E$10:$BL$10,1,$B181)</f>
        <v/>
      </c>
      <c r="AY181" s="75">
        <f>$C181*INDEX(Curves!$F$8:$F$68,AY$4-$B181+1)</f>
        <v/>
      </c>
      <c r="AZ181" s="75">
        <f>$C181*INDEX(Curves!$F$8:$F$68,AZ$4-$B181+1)</f>
        <v/>
      </c>
      <c r="BA181" s="75">
        <f>$C181*INDEX(Curves!$F$8:$F$68,BA$4-$B181+1)</f>
        <v/>
      </c>
      <c r="BB181" s="75">
        <f>$C181*INDEX(Curves!$F$8:$F$68,BB$4-$B181+1)</f>
        <v/>
      </c>
      <c r="BC181" s="75">
        <f>$C181*INDEX(Curves!$F$8:$F$68,BC$4-$B181+1)</f>
        <v/>
      </c>
      <c r="BD181" s="75">
        <f>$C181*INDEX(Curves!$F$8:$F$68,BD$4-$B181+1)</f>
        <v/>
      </c>
      <c r="BE181" s="75">
        <f>$C181*INDEX(Curves!$F$8:$F$68,BE$4-$B181+1)</f>
        <v/>
      </c>
      <c r="BF181" s="75">
        <f>$C181*INDEX(Curves!$F$8:$F$68,BF$4-$B181+1)</f>
        <v/>
      </c>
      <c r="BG181" s="75">
        <f>$C181*INDEX(Curves!$F$8:$F$68,BG$4-$B181+1)</f>
        <v/>
      </c>
      <c r="BH181" s="75">
        <f>$C181*INDEX(Curves!$F$8:$F$68,BH$4-$B181+1)</f>
        <v/>
      </c>
      <c r="BI181" s="75">
        <f>$C181*INDEX(Curves!$F$8:$F$68,BI$4-$B181+1)</f>
        <v/>
      </c>
      <c r="BJ181" s="75">
        <f>$C181*INDEX(Curves!$F$8:$F$68,BJ$4-$B181+1)</f>
        <v/>
      </c>
      <c r="BK181" s="75">
        <f>$C181*INDEX(Curves!$F$8:$F$68,BK$4-$B181+1)</f>
        <v/>
      </c>
      <c r="BL181" s="75">
        <f>$C181*INDEX(Curves!$F$8:$F$68,BL$4-$B181+1)</f>
        <v/>
      </c>
    </row>
    <row r="182">
      <c r="A182" s="74" t="inlineStr">
        <is>
          <t>Cohort month 47</t>
        </is>
      </c>
      <c r="B182" s="74" t="n">
        <v>47</v>
      </c>
      <c r="C182" s="17">
        <f>INDEX(Ops!$E$10:$BL$10,1,$B182)</f>
        <v/>
      </c>
      <c r="AZ182" s="75">
        <f>$C182*INDEX(Curves!$F$8:$F$68,AZ$4-$B182+1)</f>
        <v/>
      </c>
      <c r="BA182" s="75">
        <f>$C182*INDEX(Curves!$F$8:$F$68,BA$4-$B182+1)</f>
        <v/>
      </c>
      <c r="BB182" s="75">
        <f>$C182*INDEX(Curves!$F$8:$F$68,BB$4-$B182+1)</f>
        <v/>
      </c>
      <c r="BC182" s="75">
        <f>$C182*INDEX(Curves!$F$8:$F$68,BC$4-$B182+1)</f>
        <v/>
      </c>
      <c r="BD182" s="75">
        <f>$C182*INDEX(Curves!$F$8:$F$68,BD$4-$B182+1)</f>
        <v/>
      </c>
      <c r="BE182" s="75">
        <f>$C182*INDEX(Curves!$F$8:$F$68,BE$4-$B182+1)</f>
        <v/>
      </c>
      <c r="BF182" s="75">
        <f>$C182*INDEX(Curves!$F$8:$F$68,BF$4-$B182+1)</f>
        <v/>
      </c>
      <c r="BG182" s="75">
        <f>$C182*INDEX(Curves!$F$8:$F$68,BG$4-$B182+1)</f>
        <v/>
      </c>
      <c r="BH182" s="75">
        <f>$C182*INDEX(Curves!$F$8:$F$68,BH$4-$B182+1)</f>
        <v/>
      </c>
      <c r="BI182" s="75">
        <f>$C182*INDEX(Curves!$F$8:$F$68,BI$4-$B182+1)</f>
        <v/>
      </c>
      <c r="BJ182" s="75">
        <f>$C182*INDEX(Curves!$F$8:$F$68,BJ$4-$B182+1)</f>
        <v/>
      </c>
      <c r="BK182" s="75">
        <f>$C182*INDEX(Curves!$F$8:$F$68,BK$4-$B182+1)</f>
        <v/>
      </c>
      <c r="BL182" s="75">
        <f>$C182*INDEX(Curves!$F$8:$F$68,BL$4-$B182+1)</f>
        <v/>
      </c>
    </row>
    <row r="183">
      <c r="A183" s="74" t="inlineStr">
        <is>
          <t>Cohort month 48</t>
        </is>
      </c>
      <c r="B183" s="74" t="n">
        <v>48</v>
      </c>
      <c r="C183" s="17">
        <f>INDEX(Ops!$E$10:$BL$10,1,$B183)</f>
        <v/>
      </c>
      <c r="BA183" s="75">
        <f>$C183*INDEX(Curves!$F$8:$F$68,BA$4-$B183+1)</f>
        <v/>
      </c>
      <c r="BB183" s="75">
        <f>$C183*INDEX(Curves!$F$8:$F$68,BB$4-$B183+1)</f>
        <v/>
      </c>
      <c r="BC183" s="75">
        <f>$C183*INDEX(Curves!$F$8:$F$68,BC$4-$B183+1)</f>
        <v/>
      </c>
      <c r="BD183" s="75">
        <f>$C183*INDEX(Curves!$F$8:$F$68,BD$4-$B183+1)</f>
        <v/>
      </c>
      <c r="BE183" s="75">
        <f>$C183*INDEX(Curves!$F$8:$F$68,BE$4-$B183+1)</f>
        <v/>
      </c>
      <c r="BF183" s="75">
        <f>$C183*INDEX(Curves!$F$8:$F$68,BF$4-$B183+1)</f>
        <v/>
      </c>
      <c r="BG183" s="75">
        <f>$C183*INDEX(Curves!$F$8:$F$68,BG$4-$B183+1)</f>
        <v/>
      </c>
      <c r="BH183" s="75">
        <f>$C183*INDEX(Curves!$F$8:$F$68,BH$4-$B183+1)</f>
        <v/>
      </c>
      <c r="BI183" s="75">
        <f>$C183*INDEX(Curves!$F$8:$F$68,BI$4-$B183+1)</f>
        <v/>
      </c>
      <c r="BJ183" s="75">
        <f>$C183*INDEX(Curves!$F$8:$F$68,BJ$4-$B183+1)</f>
        <v/>
      </c>
      <c r="BK183" s="75">
        <f>$C183*INDEX(Curves!$F$8:$F$68,BK$4-$B183+1)</f>
        <v/>
      </c>
      <c r="BL183" s="75">
        <f>$C183*INDEX(Curves!$F$8:$F$68,BL$4-$B183+1)</f>
        <v/>
      </c>
    </row>
    <row r="184">
      <c r="A184" s="74" t="inlineStr">
        <is>
          <t>Cohort month 49</t>
        </is>
      </c>
      <c r="B184" s="74" t="n">
        <v>49</v>
      </c>
      <c r="C184" s="17">
        <f>INDEX(Ops!$E$10:$BL$10,1,$B184)</f>
        <v/>
      </c>
      <c r="BB184" s="75">
        <f>$C184*INDEX(Curves!$F$8:$F$68,BB$4-$B184+1)</f>
        <v/>
      </c>
      <c r="BC184" s="75">
        <f>$C184*INDEX(Curves!$F$8:$F$68,BC$4-$B184+1)</f>
        <v/>
      </c>
      <c r="BD184" s="75">
        <f>$C184*INDEX(Curves!$F$8:$F$68,BD$4-$B184+1)</f>
        <v/>
      </c>
      <c r="BE184" s="75">
        <f>$C184*INDEX(Curves!$F$8:$F$68,BE$4-$B184+1)</f>
        <v/>
      </c>
      <c r="BF184" s="75">
        <f>$C184*INDEX(Curves!$F$8:$F$68,BF$4-$B184+1)</f>
        <v/>
      </c>
      <c r="BG184" s="75">
        <f>$C184*INDEX(Curves!$F$8:$F$68,BG$4-$B184+1)</f>
        <v/>
      </c>
      <c r="BH184" s="75">
        <f>$C184*INDEX(Curves!$F$8:$F$68,BH$4-$B184+1)</f>
        <v/>
      </c>
      <c r="BI184" s="75">
        <f>$C184*INDEX(Curves!$F$8:$F$68,BI$4-$B184+1)</f>
        <v/>
      </c>
      <c r="BJ184" s="75">
        <f>$C184*INDEX(Curves!$F$8:$F$68,BJ$4-$B184+1)</f>
        <v/>
      </c>
      <c r="BK184" s="75">
        <f>$C184*INDEX(Curves!$F$8:$F$68,BK$4-$B184+1)</f>
        <v/>
      </c>
      <c r="BL184" s="75">
        <f>$C184*INDEX(Curves!$F$8:$F$68,BL$4-$B184+1)</f>
        <v/>
      </c>
    </row>
    <row r="185">
      <c r="A185" s="74" t="inlineStr">
        <is>
          <t>Cohort month 50</t>
        </is>
      </c>
      <c r="B185" s="74" t="n">
        <v>50</v>
      </c>
      <c r="C185" s="17">
        <f>INDEX(Ops!$E$10:$BL$10,1,$B185)</f>
        <v/>
      </c>
      <c r="BC185" s="75">
        <f>$C185*INDEX(Curves!$F$8:$F$68,BC$4-$B185+1)</f>
        <v/>
      </c>
      <c r="BD185" s="75">
        <f>$C185*INDEX(Curves!$F$8:$F$68,BD$4-$B185+1)</f>
        <v/>
      </c>
      <c r="BE185" s="75">
        <f>$C185*INDEX(Curves!$F$8:$F$68,BE$4-$B185+1)</f>
        <v/>
      </c>
      <c r="BF185" s="75">
        <f>$C185*INDEX(Curves!$F$8:$F$68,BF$4-$B185+1)</f>
        <v/>
      </c>
      <c r="BG185" s="75">
        <f>$C185*INDEX(Curves!$F$8:$F$68,BG$4-$B185+1)</f>
        <v/>
      </c>
      <c r="BH185" s="75">
        <f>$C185*INDEX(Curves!$F$8:$F$68,BH$4-$B185+1)</f>
        <v/>
      </c>
      <c r="BI185" s="75">
        <f>$C185*INDEX(Curves!$F$8:$F$68,BI$4-$B185+1)</f>
        <v/>
      </c>
      <c r="BJ185" s="75">
        <f>$C185*INDEX(Curves!$F$8:$F$68,BJ$4-$B185+1)</f>
        <v/>
      </c>
      <c r="BK185" s="75">
        <f>$C185*INDEX(Curves!$F$8:$F$68,BK$4-$B185+1)</f>
        <v/>
      </c>
      <c r="BL185" s="75">
        <f>$C185*INDEX(Curves!$F$8:$F$68,BL$4-$B185+1)</f>
        <v/>
      </c>
    </row>
    <row r="186">
      <c r="A186" s="74" t="inlineStr">
        <is>
          <t>Cohort month 51</t>
        </is>
      </c>
      <c r="B186" s="74" t="n">
        <v>51</v>
      </c>
      <c r="C186" s="17">
        <f>INDEX(Ops!$E$10:$BL$10,1,$B186)</f>
        <v/>
      </c>
      <c r="BD186" s="75">
        <f>$C186*INDEX(Curves!$F$8:$F$68,BD$4-$B186+1)</f>
        <v/>
      </c>
      <c r="BE186" s="75">
        <f>$C186*INDEX(Curves!$F$8:$F$68,BE$4-$B186+1)</f>
        <v/>
      </c>
      <c r="BF186" s="75">
        <f>$C186*INDEX(Curves!$F$8:$F$68,BF$4-$B186+1)</f>
        <v/>
      </c>
      <c r="BG186" s="75">
        <f>$C186*INDEX(Curves!$F$8:$F$68,BG$4-$B186+1)</f>
        <v/>
      </c>
      <c r="BH186" s="75">
        <f>$C186*INDEX(Curves!$F$8:$F$68,BH$4-$B186+1)</f>
        <v/>
      </c>
      <c r="BI186" s="75">
        <f>$C186*INDEX(Curves!$F$8:$F$68,BI$4-$B186+1)</f>
        <v/>
      </c>
      <c r="BJ186" s="75">
        <f>$C186*INDEX(Curves!$F$8:$F$68,BJ$4-$B186+1)</f>
        <v/>
      </c>
      <c r="BK186" s="75">
        <f>$C186*INDEX(Curves!$F$8:$F$68,BK$4-$B186+1)</f>
        <v/>
      </c>
      <c r="BL186" s="75">
        <f>$C186*INDEX(Curves!$F$8:$F$68,BL$4-$B186+1)</f>
        <v/>
      </c>
    </row>
    <row r="187">
      <c r="A187" s="74" t="inlineStr">
        <is>
          <t>Cohort month 52</t>
        </is>
      </c>
      <c r="B187" s="74" t="n">
        <v>52</v>
      </c>
      <c r="C187" s="17">
        <f>INDEX(Ops!$E$10:$BL$10,1,$B187)</f>
        <v/>
      </c>
      <c r="BE187" s="75">
        <f>$C187*INDEX(Curves!$F$8:$F$68,BE$4-$B187+1)</f>
        <v/>
      </c>
      <c r="BF187" s="75">
        <f>$C187*INDEX(Curves!$F$8:$F$68,BF$4-$B187+1)</f>
        <v/>
      </c>
      <c r="BG187" s="75">
        <f>$C187*INDEX(Curves!$F$8:$F$68,BG$4-$B187+1)</f>
        <v/>
      </c>
      <c r="BH187" s="75">
        <f>$C187*INDEX(Curves!$F$8:$F$68,BH$4-$B187+1)</f>
        <v/>
      </c>
      <c r="BI187" s="75">
        <f>$C187*INDEX(Curves!$F$8:$F$68,BI$4-$B187+1)</f>
        <v/>
      </c>
      <c r="BJ187" s="75">
        <f>$C187*INDEX(Curves!$F$8:$F$68,BJ$4-$B187+1)</f>
        <v/>
      </c>
      <c r="BK187" s="75">
        <f>$C187*INDEX(Curves!$F$8:$F$68,BK$4-$B187+1)</f>
        <v/>
      </c>
      <c r="BL187" s="75">
        <f>$C187*INDEX(Curves!$F$8:$F$68,BL$4-$B187+1)</f>
        <v/>
      </c>
    </row>
    <row r="188">
      <c r="A188" s="74" t="inlineStr">
        <is>
          <t>Cohort month 53</t>
        </is>
      </c>
      <c r="B188" s="74" t="n">
        <v>53</v>
      </c>
      <c r="C188" s="17">
        <f>INDEX(Ops!$E$10:$BL$10,1,$B188)</f>
        <v/>
      </c>
      <c r="BF188" s="75">
        <f>$C188*INDEX(Curves!$F$8:$F$68,BF$4-$B188+1)</f>
        <v/>
      </c>
      <c r="BG188" s="75">
        <f>$C188*INDEX(Curves!$F$8:$F$68,BG$4-$B188+1)</f>
        <v/>
      </c>
      <c r="BH188" s="75">
        <f>$C188*INDEX(Curves!$F$8:$F$68,BH$4-$B188+1)</f>
        <v/>
      </c>
      <c r="BI188" s="75">
        <f>$C188*INDEX(Curves!$F$8:$F$68,BI$4-$B188+1)</f>
        <v/>
      </c>
      <c r="BJ188" s="75">
        <f>$C188*INDEX(Curves!$F$8:$F$68,BJ$4-$B188+1)</f>
        <v/>
      </c>
      <c r="BK188" s="75">
        <f>$C188*INDEX(Curves!$F$8:$F$68,BK$4-$B188+1)</f>
        <v/>
      </c>
      <c r="BL188" s="75">
        <f>$C188*INDEX(Curves!$F$8:$F$68,BL$4-$B188+1)</f>
        <v/>
      </c>
    </row>
    <row r="189">
      <c r="A189" s="74" t="inlineStr">
        <is>
          <t>Cohort month 54</t>
        </is>
      </c>
      <c r="B189" s="74" t="n">
        <v>54</v>
      </c>
      <c r="C189" s="17">
        <f>INDEX(Ops!$E$10:$BL$10,1,$B189)</f>
        <v/>
      </c>
      <c r="BG189" s="75">
        <f>$C189*INDEX(Curves!$F$8:$F$68,BG$4-$B189+1)</f>
        <v/>
      </c>
      <c r="BH189" s="75">
        <f>$C189*INDEX(Curves!$F$8:$F$68,BH$4-$B189+1)</f>
        <v/>
      </c>
      <c r="BI189" s="75">
        <f>$C189*INDEX(Curves!$F$8:$F$68,BI$4-$B189+1)</f>
        <v/>
      </c>
      <c r="BJ189" s="75">
        <f>$C189*INDEX(Curves!$F$8:$F$68,BJ$4-$B189+1)</f>
        <v/>
      </c>
      <c r="BK189" s="75">
        <f>$C189*INDEX(Curves!$F$8:$F$68,BK$4-$B189+1)</f>
        <v/>
      </c>
      <c r="BL189" s="75">
        <f>$C189*INDEX(Curves!$F$8:$F$68,BL$4-$B189+1)</f>
        <v/>
      </c>
    </row>
    <row r="190">
      <c r="A190" s="74" t="inlineStr">
        <is>
          <t>Cohort month 55</t>
        </is>
      </c>
      <c r="B190" s="74" t="n">
        <v>55</v>
      </c>
      <c r="C190" s="17">
        <f>INDEX(Ops!$E$10:$BL$10,1,$B190)</f>
        <v/>
      </c>
      <c r="BH190" s="75">
        <f>$C190*INDEX(Curves!$F$8:$F$68,BH$4-$B190+1)</f>
        <v/>
      </c>
      <c r="BI190" s="75">
        <f>$C190*INDEX(Curves!$F$8:$F$68,BI$4-$B190+1)</f>
        <v/>
      </c>
      <c r="BJ190" s="75">
        <f>$C190*INDEX(Curves!$F$8:$F$68,BJ$4-$B190+1)</f>
        <v/>
      </c>
      <c r="BK190" s="75">
        <f>$C190*INDEX(Curves!$F$8:$F$68,BK$4-$B190+1)</f>
        <v/>
      </c>
      <c r="BL190" s="75">
        <f>$C190*INDEX(Curves!$F$8:$F$68,BL$4-$B190+1)</f>
        <v/>
      </c>
    </row>
    <row r="191">
      <c r="A191" s="74" t="inlineStr">
        <is>
          <t>Cohort month 56</t>
        </is>
      </c>
      <c r="B191" s="74" t="n">
        <v>56</v>
      </c>
      <c r="C191" s="17">
        <f>INDEX(Ops!$E$10:$BL$10,1,$B191)</f>
        <v/>
      </c>
      <c r="BI191" s="75">
        <f>$C191*INDEX(Curves!$F$8:$F$68,BI$4-$B191+1)</f>
        <v/>
      </c>
      <c r="BJ191" s="75">
        <f>$C191*INDEX(Curves!$F$8:$F$68,BJ$4-$B191+1)</f>
        <v/>
      </c>
      <c r="BK191" s="75">
        <f>$C191*INDEX(Curves!$F$8:$F$68,BK$4-$B191+1)</f>
        <v/>
      </c>
      <c r="BL191" s="75">
        <f>$C191*INDEX(Curves!$F$8:$F$68,BL$4-$B191+1)</f>
        <v/>
      </c>
    </row>
    <row r="192">
      <c r="A192" s="74" t="inlineStr">
        <is>
          <t>Cohort month 57</t>
        </is>
      </c>
      <c r="B192" s="74" t="n">
        <v>57</v>
      </c>
      <c r="C192" s="17">
        <f>INDEX(Ops!$E$10:$BL$10,1,$B192)</f>
        <v/>
      </c>
      <c r="BJ192" s="75">
        <f>$C192*INDEX(Curves!$F$8:$F$68,BJ$4-$B192+1)</f>
        <v/>
      </c>
      <c r="BK192" s="75">
        <f>$C192*INDEX(Curves!$F$8:$F$68,BK$4-$B192+1)</f>
        <v/>
      </c>
      <c r="BL192" s="75">
        <f>$C192*INDEX(Curves!$F$8:$F$68,BL$4-$B192+1)</f>
        <v/>
      </c>
    </row>
    <row r="193">
      <c r="A193" s="74" t="inlineStr">
        <is>
          <t>Cohort month 58</t>
        </is>
      </c>
      <c r="B193" s="74" t="n">
        <v>58</v>
      </c>
      <c r="C193" s="17">
        <f>INDEX(Ops!$E$10:$BL$10,1,$B193)</f>
        <v/>
      </c>
      <c r="BK193" s="75">
        <f>$C193*INDEX(Curves!$F$8:$F$68,BK$4-$B193+1)</f>
        <v/>
      </c>
      <c r="BL193" s="75">
        <f>$C193*INDEX(Curves!$F$8:$F$68,BL$4-$B193+1)</f>
        <v/>
      </c>
    </row>
    <row r="194">
      <c r="A194" s="74" t="inlineStr">
        <is>
          <t>Cohort month 59</t>
        </is>
      </c>
      <c r="B194" s="74" t="n">
        <v>59</v>
      </c>
      <c r="C194" s="17">
        <f>INDEX(Ops!$E$10:$BL$10,1,$B194)</f>
        <v/>
      </c>
      <c r="BL194" s="75">
        <f>$C194*INDEX(Curves!$F$8:$F$68,BL$4-$B194+1)</f>
        <v/>
      </c>
    </row>
    <row r="195">
      <c r="A195" s="74" t="inlineStr">
        <is>
          <t>Cohort month 60</t>
        </is>
      </c>
      <c r="B195" s="74" t="n">
        <v>60</v>
      </c>
      <c r="C195" s="17">
        <f>INDEX(Ops!$E$10:$BL$10,1,$B195)</f>
        <v/>
      </c>
    </row>
    <row r="196"/>
    <row r="197">
      <c r="A197" s="14" t="inlineStr">
        <is>
          <t>Recoveries by cohort (LCY)</t>
        </is>
      </c>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c r="AJ197" s="15" t="n"/>
      <c r="AK197" s="15" t="n"/>
      <c r="AL197" s="15" t="n"/>
      <c r="AM197" s="15" t="n"/>
      <c r="AN197" s="15" t="n"/>
      <c r="AO197" s="15" t="n"/>
      <c r="AP197" s="15" t="n"/>
      <c r="AQ197" s="15" t="n"/>
      <c r="AR197" s="15" t="n"/>
      <c r="AS197" s="15" t="n"/>
      <c r="AT197" s="15" t="n"/>
      <c r="AU197" s="15" t="n"/>
      <c r="AV197" s="15" t="n"/>
      <c r="AW197" s="15" t="n"/>
      <c r="AX197" s="15" t="n"/>
      <c r="AY197" s="15" t="n"/>
      <c r="AZ197" s="15" t="n"/>
      <c r="BA197" s="15" t="n"/>
      <c r="BB197" s="15" t="n"/>
      <c r="BC197" s="15" t="n"/>
      <c r="BD197" s="15" t="n"/>
      <c r="BE197" s="15" t="n"/>
      <c r="BF197" s="15" t="n"/>
      <c r="BG197" s="15" t="n"/>
      <c r="BH197" s="15" t="n"/>
      <c r="BI197" s="15" t="n"/>
      <c r="BJ197" s="15" t="n"/>
      <c r="BK197" s="15" t="n"/>
      <c r="BL197" s="15" t="n"/>
    </row>
    <row r="198">
      <c r="A198" s="60" t="inlineStr">
        <is>
          <t>Total</t>
        </is>
      </c>
      <c r="B198" s="61" t="inlineStr"/>
      <c r="C198" s="63" t="n"/>
      <c r="D198" s="63" t="n"/>
      <c r="E198" s="71">
        <f>SUM(E199:E258)</f>
        <v/>
      </c>
      <c r="F198" s="71">
        <f>SUM(F199:F258)</f>
        <v/>
      </c>
      <c r="G198" s="71">
        <f>SUM(G199:G258)</f>
        <v/>
      </c>
      <c r="H198" s="71">
        <f>SUM(H199:H258)</f>
        <v/>
      </c>
      <c r="I198" s="71">
        <f>SUM(I199:I258)</f>
        <v/>
      </c>
      <c r="J198" s="71">
        <f>SUM(J199:J258)</f>
        <v/>
      </c>
      <c r="K198" s="71">
        <f>SUM(K199:K258)</f>
        <v/>
      </c>
      <c r="L198" s="71">
        <f>SUM(L199:L258)</f>
        <v/>
      </c>
      <c r="M198" s="71">
        <f>SUM(M199:M258)</f>
        <v/>
      </c>
      <c r="N198" s="71">
        <f>SUM(N199:N258)</f>
        <v/>
      </c>
      <c r="O198" s="71">
        <f>SUM(O199:O258)</f>
        <v/>
      </c>
      <c r="P198" s="71">
        <f>SUM(P199:P258)</f>
        <v/>
      </c>
      <c r="Q198" s="71">
        <f>SUM(Q199:Q258)</f>
        <v/>
      </c>
      <c r="R198" s="71">
        <f>SUM(R199:R258)</f>
        <v/>
      </c>
      <c r="S198" s="71">
        <f>SUM(S199:S258)</f>
        <v/>
      </c>
      <c r="T198" s="71">
        <f>SUM(T199:T258)</f>
        <v/>
      </c>
      <c r="U198" s="71">
        <f>SUM(U199:U258)</f>
        <v/>
      </c>
      <c r="V198" s="71">
        <f>SUM(V199:V258)</f>
        <v/>
      </c>
      <c r="W198" s="71">
        <f>SUM(W199:W258)</f>
        <v/>
      </c>
      <c r="X198" s="71">
        <f>SUM(X199:X258)</f>
        <v/>
      </c>
      <c r="Y198" s="71">
        <f>SUM(Y199:Y258)</f>
        <v/>
      </c>
      <c r="Z198" s="71">
        <f>SUM(Z199:Z258)</f>
        <v/>
      </c>
      <c r="AA198" s="71">
        <f>SUM(AA199:AA258)</f>
        <v/>
      </c>
      <c r="AB198" s="71">
        <f>SUM(AB199:AB258)</f>
        <v/>
      </c>
      <c r="AC198" s="71">
        <f>SUM(AC199:AC258)</f>
        <v/>
      </c>
      <c r="AD198" s="71">
        <f>SUM(AD199:AD258)</f>
        <v/>
      </c>
      <c r="AE198" s="71">
        <f>SUM(AE199:AE258)</f>
        <v/>
      </c>
      <c r="AF198" s="71">
        <f>SUM(AF199:AF258)</f>
        <v/>
      </c>
      <c r="AG198" s="71">
        <f>SUM(AG199:AG258)</f>
        <v/>
      </c>
      <c r="AH198" s="71">
        <f>SUM(AH199:AH258)</f>
        <v/>
      </c>
      <c r="AI198" s="71">
        <f>SUM(AI199:AI258)</f>
        <v/>
      </c>
      <c r="AJ198" s="71">
        <f>SUM(AJ199:AJ258)</f>
        <v/>
      </c>
      <c r="AK198" s="71">
        <f>SUM(AK199:AK258)</f>
        <v/>
      </c>
      <c r="AL198" s="71">
        <f>SUM(AL199:AL258)</f>
        <v/>
      </c>
      <c r="AM198" s="71">
        <f>SUM(AM199:AM258)</f>
        <v/>
      </c>
      <c r="AN198" s="71">
        <f>SUM(AN199:AN258)</f>
        <v/>
      </c>
      <c r="AO198" s="71">
        <f>SUM(AO199:AO258)</f>
        <v/>
      </c>
      <c r="AP198" s="71">
        <f>SUM(AP199:AP258)</f>
        <v/>
      </c>
      <c r="AQ198" s="71">
        <f>SUM(AQ199:AQ258)</f>
        <v/>
      </c>
      <c r="AR198" s="71">
        <f>SUM(AR199:AR258)</f>
        <v/>
      </c>
      <c r="AS198" s="71">
        <f>SUM(AS199:AS258)</f>
        <v/>
      </c>
      <c r="AT198" s="71">
        <f>SUM(AT199:AT258)</f>
        <v/>
      </c>
      <c r="AU198" s="71">
        <f>SUM(AU199:AU258)</f>
        <v/>
      </c>
      <c r="AV198" s="71">
        <f>SUM(AV199:AV258)</f>
        <v/>
      </c>
      <c r="AW198" s="71">
        <f>SUM(AW199:AW258)</f>
        <v/>
      </c>
      <c r="AX198" s="71">
        <f>SUM(AX199:AX258)</f>
        <v/>
      </c>
      <c r="AY198" s="71">
        <f>SUM(AY199:AY258)</f>
        <v/>
      </c>
      <c r="AZ198" s="71">
        <f>SUM(AZ199:AZ258)</f>
        <v/>
      </c>
      <c r="BA198" s="71">
        <f>SUM(BA199:BA258)</f>
        <v/>
      </c>
      <c r="BB198" s="71">
        <f>SUM(BB199:BB258)</f>
        <v/>
      </c>
      <c r="BC198" s="71">
        <f>SUM(BC199:BC258)</f>
        <v/>
      </c>
      <c r="BD198" s="71">
        <f>SUM(BD199:BD258)</f>
        <v/>
      </c>
      <c r="BE198" s="71">
        <f>SUM(BE199:BE258)</f>
        <v/>
      </c>
      <c r="BF198" s="71">
        <f>SUM(BF199:BF258)</f>
        <v/>
      </c>
      <c r="BG198" s="71">
        <f>SUM(BG199:BG258)</f>
        <v/>
      </c>
      <c r="BH198" s="71">
        <f>SUM(BH199:BH258)</f>
        <v/>
      </c>
      <c r="BI198" s="71">
        <f>SUM(BI199:BI258)</f>
        <v/>
      </c>
      <c r="BJ198" s="71">
        <f>SUM(BJ199:BJ258)</f>
        <v/>
      </c>
      <c r="BK198" s="71">
        <f>SUM(BK199:BK258)</f>
        <v/>
      </c>
      <c r="BL198" s="71">
        <f>SUM(BL199:BL258)</f>
        <v/>
      </c>
    </row>
    <row r="199">
      <c r="A199" s="74" t="inlineStr">
        <is>
          <t>Cohort month 1</t>
        </is>
      </c>
      <c r="B199" s="74" t="n">
        <v>1</v>
      </c>
      <c r="C199" s="17">
        <f>INDEX(Ops!$E$10:$BL$10,1,$B199)</f>
        <v/>
      </c>
      <c r="F199" s="75">
        <f>$C199*INDEX(Curves!$I$8:$I$68,F$4-$B199+1)</f>
        <v/>
      </c>
      <c r="G199" s="75">
        <f>$C199*INDEX(Curves!$I$8:$I$68,G$4-$B199+1)</f>
        <v/>
      </c>
      <c r="H199" s="75">
        <f>$C199*INDEX(Curves!$I$8:$I$68,H$4-$B199+1)</f>
        <v/>
      </c>
      <c r="I199" s="75">
        <f>$C199*INDEX(Curves!$I$8:$I$68,I$4-$B199+1)</f>
        <v/>
      </c>
      <c r="J199" s="75">
        <f>$C199*INDEX(Curves!$I$8:$I$68,J$4-$B199+1)</f>
        <v/>
      </c>
      <c r="K199" s="75">
        <f>$C199*INDEX(Curves!$I$8:$I$68,K$4-$B199+1)</f>
        <v/>
      </c>
      <c r="L199" s="75">
        <f>$C199*INDEX(Curves!$I$8:$I$68,L$4-$B199+1)</f>
        <v/>
      </c>
      <c r="M199" s="75">
        <f>$C199*INDEX(Curves!$I$8:$I$68,M$4-$B199+1)</f>
        <v/>
      </c>
      <c r="N199" s="75">
        <f>$C199*INDEX(Curves!$I$8:$I$68,N$4-$B199+1)</f>
        <v/>
      </c>
      <c r="O199" s="75">
        <f>$C199*INDEX(Curves!$I$8:$I$68,O$4-$B199+1)</f>
        <v/>
      </c>
      <c r="P199" s="75">
        <f>$C199*INDEX(Curves!$I$8:$I$68,P$4-$B199+1)</f>
        <v/>
      </c>
      <c r="Q199" s="75">
        <f>$C199*INDEX(Curves!$I$8:$I$68,Q$4-$B199+1)</f>
        <v/>
      </c>
      <c r="R199" s="75">
        <f>$C199*INDEX(Curves!$I$8:$I$68,R$4-$B199+1)</f>
        <v/>
      </c>
      <c r="S199" s="75">
        <f>$C199*INDEX(Curves!$I$8:$I$68,S$4-$B199+1)</f>
        <v/>
      </c>
      <c r="T199" s="75">
        <f>$C199*INDEX(Curves!$I$8:$I$68,T$4-$B199+1)</f>
        <v/>
      </c>
      <c r="U199" s="75">
        <f>$C199*INDEX(Curves!$I$8:$I$68,U$4-$B199+1)</f>
        <v/>
      </c>
      <c r="V199" s="75">
        <f>$C199*INDEX(Curves!$I$8:$I$68,V$4-$B199+1)</f>
        <v/>
      </c>
      <c r="W199" s="75">
        <f>$C199*INDEX(Curves!$I$8:$I$68,W$4-$B199+1)</f>
        <v/>
      </c>
      <c r="X199" s="75">
        <f>$C199*INDEX(Curves!$I$8:$I$68,X$4-$B199+1)</f>
        <v/>
      </c>
      <c r="Y199" s="75">
        <f>$C199*INDEX(Curves!$I$8:$I$68,Y$4-$B199+1)</f>
        <v/>
      </c>
      <c r="Z199" s="75">
        <f>$C199*INDEX(Curves!$I$8:$I$68,Z$4-$B199+1)</f>
        <v/>
      </c>
      <c r="AA199" s="75">
        <f>$C199*INDEX(Curves!$I$8:$I$68,AA$4-$B199+1)</f>
        <v/>
      </c>
      <c r="AB199" s="75">
        <f>$C199*INDEX(Curves!$I$8:$I$68,AB$4-$B199+1)</f>
        <v/>
      </c>
      <c r="AC199" s="75">
        <f>$C199*INDEX(Curves!$I$8:$I$68,AC$4-$B199+1)</f>
        <v/>
      </c>
      <c r="AD199" s="75">
        <f>$C199*INDEX(Curves!$I$8:$I$68,AD$4-$B199+1)</f>
        <v/>
      </c>
      <c r="AE199" s="75">
        <f>$C199*INDEX(Curves!$I$8:$I$68,AE$4-$B199+1)</f>
        <v/>
      </c>
      <c r="AF199" s="75">
        <f>$C199*INDEX(Curves!$I$8:$I$68,AF$4-$B199+1)</f>
        <v/>
      </c>
      <c r="AG199" s="75">
        <f>$C199*INDEX(Curves!$I$8:$I$68,AG$4-$B199+1)</f>
        <v/>
      </c>
      <c r="AH199" s="75">
        <f>$C199*INDEX(Curves!$I$8:$I$68,AH$4-$B199+1)</f>
        <v/>
      </c>
      <c r="AI199" s="75">
        <f>$C199*INDEX(Curves!$I$8:$I$68,AI$4-$B199+1)</f>
        <v/>
      </c>
      <c r="AJ199" s="75">
        <f>$C199*INDEX(Curves!$I$8:$I$68,AJ$4-$B199+1)</f>
        <v/>
      </c>
      <c r="AK199" s="75">
        <f>$C199*INDEX(Curves!$I$8:$I$68,AK$4-$B199+1)</f>
        <v/>
      </c>
      <c r="AL199" s="75">
        <f>$C199*INDEX(Curves!$I$8:$I$68,AL$4-$B199+1)</f>
        <v/>
      </c>
      <c r="AM199" s="75">
        <f>$C199*INDEX(Curves!$I$8:$I$68,AM$4-$B199+1)</f>
        <v/>
      </c>
      <c r="AN199" s="75">
        <f>$C199*INDEX(Curves!$I$8:$I$68,AN$4-$B199+1)</f>
        <v/>
      </c>
      <c r="AO199" s="75">
        <f>$C199*INDEX(Curves!$I$8:$I$68,AO$4-$B199+1)</f>
        <v/>
      </c>
      <c r="AP199" s="75">
        <f>$C199*INDEX(Curves!$I$8:$I$68,AP$4-$B199+1)</f>
        <v/>
      </c>
      <c r="AQ199" s="75">
        <f>$C199*INDEX(Curves!$I$8:$I$68,AQ$4-$B199+1)</f>
        <v/>
      </c>
      <c r="AR199" s="75">
        <f>$C199*INDEX(Curves!$I$8:$I$68,AR$4-$B199+1)</f>
        <v/>
      </c>
      <c r="AS199" s="75">
        <f>$C199*INDEX(Curves!$I$8:$I$68,AS$4-$B199+1)</f>
        <v/>
      </c>
      <c r="AT199" s="75">
        <f>$C199*INDEX(Curves!$I$8:$I$68,AT$4-$B199+1)</f>
        <v/>
      </c>
      <c r="AU199" s="75">
        <f>$C199*INDEX(Curves!$I$8:$I$68,AU$4-$B199+1)</f>
        <v/>
      </c>
      <c r="AV199" s="75">
        <f>$C199*INDEX(Curves!$I$8:$I$68,AV$4-$B199+1)</f>
        <v/>
      </c>
      <c r="AW199" s="75">
        <f>$C199*INDEX(Curves!$I$8:$I$68,AW$4-$B199+1)</f>
        <v/>
      </c>
      <c r="AX199" s="75">
        <f>$C199*INDEX(Curves!$I$8:$I$68,AX$4-$B199+1)</f>
        <v/>
      </c>
      <c r="AY199" s="75">
        <f>$C199*INDEX(Curves!$I$8:$I$68,AY$4-$B199+1)</f>
        <v/>
      </c>
      <c r="AZ199" s="75">
        <f>$C199*INDEX(Curves!$I$8:$I$68,AZ$4-$B199+1)</f>
        <v/>
      </c>
      <c r="BA199" s="75">
        <f>$C199*INDEX(Curves!$I$8:$I$68,BA$4-$B199+1)</f>
        <v/>
      </c>
      <c r="BB199" s="75">
        <f>$C199*INDEX(Curves!$I$8:$I$68,BB$4-$B199+1)</f>
        <v/>
      </c>
      <c r="BC199" s="75">
        <f>$C199*INDEX(Curves!$I$8:$I$68,BC$4-$B199+1)</f>
        <v/>
      </c>
      <c r="BD199" s="75">
        <f>$C199*INDEX(Curves!$I$8:$I$68,BD$4-$B199+1)</f>
        <v/>
      </c>
      <c r="BE199" s="75">
        <f>$C199*INDEX(Curves!$I$8:$I$68,BE$4-$B199+1)</f>
        <v/>
      </c>
      <c r="BF199" s="75">
        <f>$C199*INDEX(Curves!$I$8:$I$68,BF$4-$B199+1)</f>
        <v/>
      </c>
      <c r="BG199" s="75">
        <f>$C199*INDEX(Curves!$I$8:$I$68,BG$4-$B199+1)</f>
        <v/>
      </c>
      <c r="BH199" s="75">
        <f>$C199*INDEX(Curves!$I$8:$I$68,BH$4-$B199+1)</f>
        <v/>
      </c>
      <c r="BI199" s="75">
        <f>$C199*INDEX(Curves!$I$8:$I$68,BI$4-$B199+1)</f>
        <v/>
      </c>
      <c r="BJ199" s="75">
        <f>$C199*INDEX(Curves!$I$8:$I$68,BJ$4-$B199+1)</f>
        <v/>
      </c>
      <c r="BK199" s="75">
        <f>$C199*INDEX(Curves!$I$8:$I$68,BK$4-$B199+1)</f>
        <v/>
      </c>
      <c r="BL199" s="75">
        <f>$C199*INDEX(Curves!$I$8:$I$68,BL$4-$B199+1)</f>
        <v/>
      </c>
    </row>
    <row r="200">
      <c r="A200" s="74" t="inlineStr">
        <is>
          <t>Cohort month 2</t>
        </is>
      </c>
      <c r="B200" s="74" t="n">
        <v>2</v>
      </c>
      <c r="C200" s="17">
        <f>INDEX(Ops!$E$10:$BL$10,1,$B200)</f>
        <v/>
      </c>
      <c r="G200" s="75">
        <f>$C200*INDEX(Curves!$I$8:$I$68,G$4-$B200+1)</f>
        <v/>
      </c>
      <c r="H200" s="75">
        <f>$C200*INDEX(Curves!$I$8:$I$68,H$4-$B200+1)</f>
        <v/>
      </c>
      <c r="I200" s="75">
        <f>$C200*INDEX(Curves!$I$8:$I$68,I$4-$B200+1)</f>
        <v/>
      </c>
      <c r="J200" s="75">
        <f>$C200*INDEX(Curves!$I$8:$I$68,J$4-$B200+1)</f>
        <v/>
      </c>
      <c r="K200" s="75">
        <f>$C200*INDEX(Curves!$I$8:$I$68,K$4-$B200+1)</f>
        <v/>
      </c>
      <c r="L200" s="75">
        <f>$C200*INDEX(Curves!$I$8:$I$68,L$4-$B200+1)</f>
        <v/>
      </c>
      <c r="M200" s="75">
        <f>$C200*INDEX(Curves!$I$8:$I$68,M$4-$B200+1)</f>
        <v/>
      </c>
      <c r="N200" s="75">
        <f>$C200*INDEX(Curves!$I$8:$I$68,N$4-$B200+1)</f>
        <v/>
      </c>
      <c r="O200" s="75">
        <f>$C200*INDEX(Curves!$I$8:$I$68,O$4-$B200+1)</f>
        <v/>
      </c>
      <c r="P200" s="75">
        <f>$C200*INDEX(Curves!$I$8:$I$68,P$4-$B200+1)</f>
        <v/>
      </c>
      <c r="Q200" s="75">
        <f>$C200*INDEX(Curves!$I$8:$I$68,Q$4-$B200+1)</f>
        <v/>
      </c>
      <c r="R200" s="75">
        <f>$C200*INDEX(Curves!$I$8:$I$68,R$4-$B200+1)</f>
        <v/>
      </c>
      <c r="S200" s="75">
        <f>$C200*INDEX(Curves!$I$8:$I$68,S$4-$B200+1)</f>
        <v/>
      </c>
      <c r="T200" s="75">
        <f>$C200*INDEX(Curves!$I$8:$I$68,T$4-$B200+1)</f>
        <v/>
      </c>
      <c r="U200" s="75">
        <f>$C200*INDEX(Curves!$I$8:$I$68,U$4-$B200+1)</f>
        <v/>
      </c>
      <c r="V200" s="75">
        <f>$C200*INDEX(Curves!$I$8:$I$68,V$4-$B200+1)</f>
        <v/>
      </c>
      <c r="W200" s="75">
        <f>$C200*INDEX(Curves!$I$8:$I$68,W$4-$B200+1)</f>
        <v/>
      </c>
      <c r="X200" s="75">
        <f>$C200*INDEX(Curves!$I$8:$I$68,X$4-$B200+1)</f>
        <v/>
      </c>
      <c r="Y200" s="75">
        <f>$C200*INDEX(Curves!$I$8:$I$68,Y$4-$B200+1)</f>
        <v/>
      </c>
      <c r="Z200" s="75">
        <f>$C200*INDEX(Curves!$I$8:$I$68,Z$4-$B200+1)</f>
        <v/>
      </c>
      <c r="AA200" s="75">
        <f>$C200*INDEX(Curves!$I$8:$I$68,AA$4-$B200+1)</f>
        <v/>
      </c>
      <c r="AB200" s="75">
        <f>$C200*INDEX(Curves!$I$8:$I$68,AB$4-$B200+1)</f>
        <v/>
      </c>
      <c r="AC200" s="75">
        <f>$C200*INDEX(Curves!$I$8:$I$68,AC$4-$B200+1)</f>
        <v/>
      </c>
      <c r="AD200" s="75">
        <f>$C200*INDEX(Curves!$I$8:$I$68,AD$4-$B200+1)</f>
        <v/>
      </c>
      <c r="AE200" s="75">
        <f>$C200*INDEX(Curves!$I$8:$I$68,AE$4-$B200+1)</f>
        <v/>
      </c>
      <c r="AF200" s="75">
        <f>$C200*INDEX(Curves!$I$8:$I$68,AF$4-$B200+1)</f>
        <v/>
      </c>
      <c r="AG200" s="75">
        <f>$C200*INDEX(Curves!$I$8:$I$68,AG$4-$B200+1)</f>
        <v/>
      </c>
      <c r="AH200" s="75">
        <f>$C200*INDEX(Curves!$I$8:$I$68,AH$4-$B200+1)</f>
        <v/>
      </c>
      <c r="AI200" s="75">
        <f>$C200*INDEX(Curves!$I$8:$I$68,AI$4-$B200+1)</f>
        <v/>
      </c>
      <c r="AJ200" s="75">
        <f>$C200*INDEX(Curves!$I$8:$I$68,AJ$4-$B200+1)</f>
        <v/>
      </c>
      <c r="AK200" s="75">
        <f>$C200*INDEX(Curves!$I$8:$I$68,AK$4-$B200+1)</f>
        <v/>
      </c>
      <c r="AL200" s="75">
        <f>$C200*INDEX(Curves!$I$8:$I$68,AL$4-$B200+1)</f>
        <v/>
      </c>
      <c r="AM200" s="75">
        <f>$C200*INDEX(Curves!$I$8:$I$68,AM$4-$B200+1)</f>
        <v/>
      </c>
      <c r="AN200" s="75">
        <f>$C200*INDEX(Curves!$I$8:$I$68,AN$4-$B200+1)</f>
        <v/>
      </c>
      <c r="AO200" s="75">
        <f>$C200*INDEX(Curves!$I$8:$I$68,AO$4-$B200+1)</f>
        <v/>
      </c>
      <c r="AP200" s="75">
        <f>$C200*INDEX(Curves!$I$8:$I$68,AP$4-$B200+1)</f>
        <v/>
      </c>
      <c r="AQ200" s="75">
        <f>$C200*INDEX(Curves!$I$8:$I$68,AQ$4-$B200+1)</f>
        <v/>
      </c>
      <c r="AR200" s="75">
        <f>$C200*INDEX(Curves!$I$8:$I$68,AR$4-$B200+1)</f>
        <v/>
      </c>
      <c r="AS200" s="75">
        <f>$C200*INDEX(Curves!$I$8:$I$68,AS$4-$B200+1)</f>
        <v/>
      </c>
      <c r="AT200" s="75">
        <f>$C200*INDEX(Curves!$I$8:$I$68,AT$4-$B200+1)</f>
        <v/>
      </c>
      <c r="AU200" s="75">
        <f>$C200*INDEX(Curves!$I$8:$I$68,AU$4-$B200+1)</f>
        <v/>
      </c>
      <c r="AV200" s="75">
        <f>$C200*INDEX(Curves!$I$8:$I$68,AV$4-$B200+1)</f>
        <v/>
      </c>
      <c r="AW200" s="75">
        <f>$C200*INDEX(Curves!$I$8:$I$68,AW$4-$B200+1)</f>
        <v/>
      </c>
      <c r="AX200" s="75">
        <f>$C200*INDEX(Curves!$I$8:$I$68,AX$4-$B200+1)</f>
        <v/>
      </c>
      <c r="AY200" s="75">
        <f>$C200*INDEX(Curves!$I$8:$I$68,AY$4-$B200+1)</f>
        <v/>
      </c>
      <c r="AZ200" s="75">
        <f>$C200*INDEX(Curves!$I$8:$I$68,AZ$4-$B200+1)</f>
        <v/>
      </c>
      <c r="BA200" s="75">
        <f>$C200*INDEX(Curves!$I$8:$I$68,BA$4-$B200+1)</f>
        <v/>
      </c>
      <c r="BB200" s="75">
        <f>$C200*INDEX(Curves!$I$8:$I$68,BB$4-$B200+1)</f>
        <v/>
      </c>
      <c r="BC200" s="75">
        <f>$C200*INDEX(Curves!$I$8:$I$68,BC$4-$B200+1)</f>
        <v/>
      </c>
      <c r="BD200" s="75">
        <f>$C200*INDEX(Curves!$I$8:$I$68,BD$4-$B200+1)</f>
        <v/>
      </c>
      <c r="BE200" s="75">
        <f>$C200*INDEX(Curves!$I$8:$I$68,BE$4-$B200+1)</f>
        <v/>
      </c>
      <c r="BF200" s="75">
        <f>$C200*INDEX(Curves!$I$8:$I$68,BF$4-$B200+1)</f>
        <v/>
      </c>
      <c r="BG200" s="75">
        <f>$C200*INDEX(Curves!$I$8:$I$68,BG$4-$B200+1)</f>
        <v/>
      </c>
      <c r="BH200" s="75">
        <f>$C200*INDEX(Curves!$I$8:$I$68,BH$4-$B200+1)</f>
        <v/>
      </c>
      <c r="BI200" s="75">
        <f>$C200*INDEX(Curves!$I$8:$I$68,BI$4-$B200+1)</f>
        <v/>
      </c>
      <c r="BJ200" s="75">
        <f>$C200*INDEX(Curves!$I$8:$I$68,BJ$4-$B200+1)</f>
        <v/>
      </c>
      <c r="BK200" s="75">
        <f>$C200*INDEX(Curves!$I$8:$I$68,BK$4-$B200+1)</f>
        <v/>
      </c>
      <c r="BL200" s="75">
        <f>$C200*INDEX(Curves!$I$8:$I$68,BL$4-$B200+1)</f>
        <v/>
      </c>
    </row>
    <row r="201">
      <c r="A201" s="74" t="inlineStr">
        <is>
          <t>Cohort month 3</t>
        </is>
      </c>
      <c r="B201" s="74" t="n">
        <v>3</v>
      </c>
      <c r="C201" s="17">
        <f>INDEX(Ops!$E$10:$BL$10,1,$B201)</f>
        <v/>
      </c>
      <c r="H201" s="75">
        <f>$C201*INDEX(Curves!$I$8:$I$68,H$4-$B201+1)</f>
        <v/>
      </c>
      <c r="I201" s="75">
        <f>$C201*INDEX(Curves!$I$8:$I$68,I$4-$B201+1)</f>
        <v/>
      </c>
      <c r="J201" s="75">
        <f>$C201*INDEX(Curves!$I$8:$I$68,J$4-$B201+1)</f>
        <v/>
      </c>
      <c r="K201" s="75">
        <f>$C201*INDEX(Curves!$I$8:$I$68,K$4-$B201+1)</f>
        <v/>
      </c>
      <c r="L201" s="75">
        <f>$C201*INDEX(Curves!$I$8:$I$68,L$4-$B201+1)</f>
        <v/>
      </c>
      <c r="M201" s="75">
        <f>$C201*INDEX(Curves!$I$8:$I$68,M$4-$B201+1)</f>
        <v/>
      </c>
      <c r="N201" s="75">
        <f>$C201*INDEX(Curves!$I$8:$I$68,N$4-$B201+1)</f>
        <v/>
      </c>
      <c r="O201" s="75">
        <f>$C201*INDEX(Curves!$I$8:$I$68,O$4-$B201+1)</f>
        <v/>
      </c>
      <c r="P201" s="75">
        <f>$C201*INDEX(Curves!$I$8:$I$68,P$4-$B201+1)</f>
        <v/>
      </c>
      <c r="Q201" s="75">
        <f>$C201*INDEX(Curves!$I$8:$I$68,Q$4-$B201+1)</f>
        <v/>
      </c>
      <c r="R201" s="75">
        <f>$C201*INDEX(Curves!$I$8:$I$68,R$4-$B201+1)</f>
        <v/>
      </c>
      <c r="S201" s="75">
        <f>$C201*INDEX(Curves!$I$8:$I$68,S$4-$B201+1)</f>
        <v/>
      </c>
      <c r="T201" s="75">
        <f>$C201*INDEX(Curves!$I$8:$I$68,T$4-$B201+1)</f>
        <v/>
      </c>
      <c r="U201" s="75">
        <f>$C201*INDEX(Curves!$I$8:$I$68,U$4-$B201+1)</f>
        <v/>
      </c>
      <c r="V201" s="75">
        <f>$C201*INDEX(Curves!$I$8:$I$68,V$4-$B201+1)</f>
        <v/>
      </c>
      <c r="W201" s="75">
        <f>$C201*INDEX(Curves!$I$8:$I$68,W$4-$B201+1)</f>
        <v/>
      </c>
      <c r="X201" s="75">
        <f>$C201*INDEX(Curves!$I$8:$I$68,X$4-$B201+1)</f>
        <v/>
      </c>
      <c r="Y201" s="75">
        <f>$C201*INDEX(Curves!$I$8:$I$68,Y$4-$B201+1)</f>
        <v/>
      </c>
      <c r="Z201" s="75">
        <f>$C201*INDEX(Curves!$I$8:$I$68,Z$4-$B201+1)</f>
        <v/>
      </c>
      <c r="AA201" s="75">
        <f>$C201*INDEX(Curves!$I$8:$I$68,AA$4-$B201+1)</f>
        <v/>
      </c>
      <c r="AB201" s="75">
        <f>$C201*INDEX(Curves!$I$8:$I$68,AB$4-$B201+1)</f>
        <v/>
      </c>
      <c r="AC201" s="75">
        <f>$C201*INDEX(Curves!$I$8:$I$68,AC$4-$B201+1)</f>
        <v/>
      </c>
      <c r="AD201" s="75">
        <f>$C201*INDEX(Curves!$I$8:$I$68,AD$4-$B201+1)</f>
        <v/>
      </c>
      <c r="AE201" s="75">
        <f>$C201*INDEX(Curves!$I$8:$I$68,AE$4-$B201+1)</f>
        <v/>
      </c>
      <c r="AF201" s="75">
        <f>$C201*INDEX(Curves!$I$8:$I$68,AF$4-$B201+1)</f>
        <v/>
      </c>
      <c r="AG201" s="75">
        <f>$C201*INDEX(Curves!$I$8:$I$68,AG$4-$B201+1)</f>
        <v/>
      </c>
      <c r="AH201" s="75">
        <f>$C201*INDEX(Curves!$I$8:$I$68,AH$4-$B201+1)</f>
        <v/>
      </c>
      <c r="AI201" s="75">
        <f>$C201*INDEX(Curves!$I$8:$I$68,AI$4-$B201+1)</f>
        <v/>
      </c>
      <c r="AJ201" s="75">
        <f>$C201*INDEX(Curves!$I$8:$I$68,AJ$4-$B201+1)</f>
        <v/>
      </c>
      <c r="AK201" s="75">
        <f>$C201*INDEX(Curves!$I$8:$I$68,AK$4-$B201+1)</f>
        <v/>
      </c>
      <c r="AL201" s="75">
        <f>$C201*INDEX(Curves!$I$8:$I$68,AL$4-$B201+1)</f>
        <v/>
      </c>
      <c r="AM201" s="75">
        <f>$C201*INDEX(Curves!$I$8:$I$68,AM$4-$B201+1)</f>
        <v/>
      </c>
      <c r="AN201" s="75">
        <f>$C201*INDEX(Curves!$I$8:$I$68,AN$4-$B201+1)</f>
        <v/>
      </c>
      <c r="AO201" s="75">
        <f>$C201*INDEX(Curves!$I$8:$I$68,AO$4-$B201+1)</f>
        <v/>
      </c>
      <c r="AP201" s="75">
        <f>$C201*INDEX(Curves!$I$8:$I$68,AP$4-$B201+1)</f>
        <v/>
      </c>
      <c r="AQ201" s="75">
        <f>$C201*INDEX(Curves!$I$8:$I$68,AQ$4-$B201+1)</f>
        <v/>
      </c>
      <c r="AR201" s="75">
        <f>$C201*INDEX(Curves!$I$8:$I$68,AR$4-$B201+1)</f>
        <v/>
      </c>
      <c r="AS201" s="75">
        <f>$C201*INDEX(Curves!$I$8:$I$68,AS$4-$B201+1)</f>
        <v/>
      </c>
      <c r="AT201" s="75">
        <f>$C201*INDEX(Curves!$I$8:$I$68,AT$4-$B201+1)</f>
        <v/>
      </c>
      <c r="AU201" s="75">
        <f>$C201*INDEX(Curves!$I$8:$I$68,AU$4-$B201+1)</f>
        <v/>
      </c>
      <c r="AV201" s="75">
        <f>$C201*INDEX(Curves!$I$8:$I$68,AV$4-$B201+1)</f>
        <v/>
      </c>
      <c r="AW201" s="75">
        <f>$C201*INDEX(Curves!$I$8:$I$68,AW$4-$B201+1)</f>
        <v/>
      </c>
      <c r="AX201" s="75">
        <f>$C201*INDEX(Curves!$I$8:$I$68,AX$4-$B201+1)</f>
        <v/>
      </c>
      <c r="AY201" s="75">
        <f>$C201*INDEX(Curves!$I$8:$I$68,AY$4-$B201+1)</f>
        <v/>
      </c>
      <c r="AZ201" s="75">
        <f>$C201*INDEX(Curves!$I$8:$I$68,AZ$4-$B201+1)</f>
        <v/>
      </c>
      <c r="BA201" s="75">
        <f>$C201*INDEX(Curves!$I$8:$I$68,BA$4-$B201+1)</f>
        <v/>
      </c>
      <c r="BB201" s="75">
        <f>$C201*INDEX(Curves!$I$8:$I$68,BB$4-$B201+1)</f>
        <v/>
      </c>
      <c r="BC201" s="75">
        <f>$C201*INDEX(Curves!$I$8:$I$68,BC$4-$B201+1)</f>
        <v/>
      </c>
      <c r="BD201" s="75">
        <f>$C201*INDEX(Curves!$I$8:$I$68,BD$4-$B201+1)</f>
        <v/>
      </c>
      <c r="BE201" s="75">
        <f>$C201*INDEX(Curves!$I$8:$I$68,BE$4-$B201+1)</f>
        <v/>
      </c>
      <c r="BF201" s="75">
        <f>$C201*INDEX(Curves!$I$8:$I$68,BF$4-$B201+1)</f>
        <v/>
      </c>
      <c r="BG201" s="75">
        <f>$C201*INDEX(Curves!$I$8:$I$68,BG$4-$B201+1)</f>
        <v/>
      </c>
      <c r="BH201" s="75">
        <f>$C201*INDEX(Curves!$I$8:$I$68,BH$4-$B201+1)</f>
        <v/>
      </c>
      <c r="BI201" s="75">
        <f>$C201*INDEX(Curves!$I$8:$I$68,BI$4-$B201+1)</f>
        <v/>
      </c>
      <c r="BJ201" s="75">
        <f>$C201*INDEX(Curves!$I$8:$I$68,BJ$4-$B201+1)</f>
        <v/>
      </c>
      <c r="BK201" s="75">
        <f>$C201*INDEX(Curves!$I$8:$I$68,BK$4-$B201+1)</f>
        <v/>
      </c>
      <c r="BL201" s="75">
        <f>$C201*INDEX(Curves!$I$8:$I$68,BL$4-$B201+1)</f>
        <v/>
      </c>
    </row>
    <row r="202">
      <c r="A202" s="74" t="inlineStr">
        <is>
          <t>Cohort month 4</t>
        </is>
      </c>
      <c r="B202" s="74" t="n">
        <v>4</v>
      </c>
      <c r="C202" s="17">
        <f>INDEX(Ops!$E$10:$BL$10,1,$B202)</f>
        <v/>
      </c>
      <c r="I202" s="75">
        <f>$C202*INDEX(Curves!$I$8:$I$68,I$4-$B202+1)</f>
        <v/>
      </c>
      <c r="J202" s="75">
        <f>$C202*INDEX(Curves!$I$8:$I$68,J$4-$B202+1)</f>
        <v/>
      </c>
      <c r="K202" s="75">
        <f>$C202*INDEX(Curves!$I$8:$I$68,K$4-$B202+1)</f>
        <v/>
      </c>
      <c r="L202" s="75">
        <f>$C202*INDEX(Curves!$I$8:$I$68,L$4-$B202+1)</f>
        <v/>
      </c>
      <c r="M202" s="75">
        <f>$C202*INDEX(Curves!$I$8:$I$68,M$4-$B202+1)</f>
        <v/>
      </c>
      <c r="N202" s="75">
        <f>$C202*INDEX(Curves!$I$8:$I$68,N$4-$B202+1)</f>
        <v/>
      </c>
      <c r="O202" s="75">
        <f>$C202*INDEX(Curves!$I$8:$I$68,O$4-$B202+1)</f>
        <v/>
      </c>
      <c r="P202" s="75">
        <f>$C202*INDEX(Curves!$I$8:$I$68,P$4-$B202+1)</f>
        <v/>
      </c>
      <c r="Q202" s="75">
        <f>$C202*INDEX(Curves!$I$8:$I$68,Q$4-$B202+1)</f>
        <v/>
      </c>
      <c r="R202" s="75">
        <f>$C202*INDEX(Curves!$I$8:$I$68,R$4-$B202+1)</f>
        <v/>
      </c>
      <c r="S202" s="75">
        <f>$C202*INDEX(Curves!$I$8:$I$68,S$4-$B202+1)</f>
        <v/>
      </c>
      <c r="T202" s="75">
        <f>$C202*INDEX(Curves!$I$8:$I$68,T$4-$B202+1)</f>
        <v/>
      </c>
      <c r="U202" s="75">
        <f>$C202*INDEX(Curves!$I$8:$I$68,U$4-$B202+1)</f>
        <v/>
      </c>
      <c r="V202" s="75">
        <f>$C202*INDEX(Curves!$I$8:$I$68,V$4-$B202+1)</f>
        <v/>
      </c>
      <c r="W202" s="75">
        <f>$C202*INDEX(Curves!$I$8:$I$68,W$4-$B202+1)</f>
        <v/>
      </c>
      <c r="X202" s="75">
        <f>$C202*INDEX(Curves!$I$8:$I$68,X$4-$B202+1)</f>
        <v/>
      </c>
      <c r="Y202" s="75">
        <f>$C202*INDEX(Curves!$I$8:$I$68,Y$4-$B202+1)</f>
        <v/>
      </c>
      <c r="Z202" s="75">
        <f>$C202*INDEX(Curves!$I$8:$I$68,Z$4-$B202+1)</f>
        <v/>
      </c>
      <c r="AA202" s="75">
        <f>$C202*INDEX(Curves!$I$8:$I$68,AA$4-$B202+1)</f>
        <v/>
      </c>
      <c r="AB202" s="75">
        <f>$C202*INDEX(Curves!$I$8:$I$68,AB$4-$B202+1)</f>
        <v/>
      </c>
      <c r="AC202" s="75">
        <f>$C202*INDEX(Curves!$I$8:$I$68,AC$4-$B202+1)</f>
        <v/>
      </c>
      <c r="AD202" s="75">
        <f>$C202*INDEX(Curves!$I$8:$I$68,AD$4-$B202+1)</f>
        <v/>
      </c>
      <c r="AE202" s="75">
        <f>$C202*INDEX(Curves!$I$8:$I$68,AE$4-$B202+1)</f>
        <v/>
      </c>
      <c r="AF202" s="75">
        <f>$C202*INDEX(Curves!$I$8:$I$68,AF$4-$B202+1)</f>
        <v/>
      </c>
      <c r="AG202" s="75">
        <f>$C202*INDEX(Curves!$I$8:$I$68,AG$4-$B202+1)</f>
        <v/>
      </c>
      <c r="AH202" s="75">
        <f>$C202*INDEX(Curves!$I$8:$I$68,AH$4-$B202+1)</f>
        <v/>
      </c>
      <c r="AI202" s="75">
        <f>$C202*INDEX(Curves!$I$8:$I$68,AI$4-$B202+1)</f>
        <v/>
      </c>
      <c r="AJ202" s="75">
        <f>$C202*INDEX(Curves!$I$8:$I$68,AJ$4-$B202+1)</f>
        <v/>
      </c>
      <c r="AK202" s="75">
        <f>$C202*INDEX(Curves!$I$8:$I$68,AK$4-$B202+1)</f>
        <v/>
      </c>
      <c r="AL202" s="75">
        <f>$C202*INDEX(Curves!$I$8:$I$68,AL$4-$B202+1)</f>
        <v/>
      </c>
      <c r="AM202" s="75">
        <f>$C202*INDEX(Curves!$I$8:$I$68,AM$4-$B202+1)</f>
        <v/>
      </c>
      <c r="AN202" s="75">
        <f>$C202*INDEX(Curves!$I$8:$I$68,AN$4-$B202+1)</f>
        <v/>
      </c>
      <c r="AO202" s="75">
        <f>$C202*INDEX(Curves!$I$8:$I$68,AO$4-$B202+1)</f>
        <v/>
      </c>
      <c r="AP202" s="75">
        <f>$C202*INDEX(Curves!$I$8:$I$68,AP$4-$B202+1)</f>
        <v/>
      </c>
      <c r="AQ202" s="75">
        <f>$C202*INDEX(Curves!$I$8:$I$68,AQ$4-$B202+1)</f>
        <v/>
      </c>
      <c r="AR202" s="75">
        <f>$C202*INDEX(Curves!$I$8:$I$68,AR$4-$B202+1)</f>
        <v/>
      </c>
      <c r="AS202" s="75">
        <f>$C202*INDEX(Curves!$I$8:$I$68,AS$4-$B202+1)</f>
        <v/>
      </c>
      <c r="AT202" s="75">
        <f>$C202*INDEX(Curves!$I$8:$I$68,AT$4-$B202+1)</f>
        <v/>
      </c>
      <c r="AU202" s="75">
        <f>$C202*INDEX(Curves!$I$8:$I$68,AU$4-$B202+1)</f>
        <v/>
      </c>
      <c r="AV202" s="75">
        <f>$C202*INDEX(Curves!$I$8:$I$68,AV$4-$B202+1)</f>
        <v/>
      </c>
      <c r="AW202" s="75">
        <f>$C202*INDEX(Curves!$I$8:$I$68,AW$4-$B202+1)</f>
        <v/>
      </c>
      <c r="AX202" s="75">
        <f>$C202*INDEX(Curves!$I$8:$I$68,AX$4-$B202+1)</f>
        <v/>
      </c>
      <c r="AY202" s="75">
        <f>$C202*INDEX(Curves!$I$8:$I$68,AY$4-$B202+1)</f>
        <v/>
      </c>
      <c r="AZ202" s="75">
        <f>$C202*INDEX(Curves!$I$8:$I$68,AZ$4-$B202+1)</f>
        <v/>
      </c>
      <c r="BA202" s="75">
        <f>$C202*INDEX(Curves!$I$8:$I$68,BA$4-$B202+1)</f>
        <v/>
      </c>
      <c r="BB202" s="75">
        <f>$C202*INDEX(Curves!$I$8:$I$68,BB$4-$B202+1)</f>
        <v/>
      </c>
      <c r="BC202" s="75">
        <f>$C202*INDEX(Curves!$I$8:$I$68,BC$4-$B202+1)</f>
        <v/>
      </c>
      <c r="BD202" s="75">
        <f>$C202*INDEX(Curves!$I$8:$I$68,BD$4-$B202+1)</f>
        <v/>
      </c>
      <c r="BE202" s="75">
        <f>$C202*INDEX(Curves!$I$8:$I$68,BE$4-$B202+1)</f>
        <v/>
      </c>
      <c r="BF202" s="75">
        <f>$C202*INDEX(Curves!$I$8:$I$68,BF$4-$B202+1)</f>
        <v/>
      </c>
      <c r="BG202" s="75">
        <f>$C202*INDEX(Curves!$I$8:$I$68,BG$4-$B202+1)</f>
        <v/>
      </c>
      <c r="BH202" s="75">
        <f>$C202*INDEX(Curves!$I$8:$I$68,BH$4-$B202+1)</f>
        <v/>
      </c>
      <c r="BI202" s="75">
        <f>$C202*INDEX(Curves!$I$8:$I$68,BI$4-$B202+1)</f>
        <v/>
      </c>
      <c r="BJ202" s="75">
        <f>$C202*INDEX(Curves!$I$8:$I$68,BJ$4-$B202+1)</f>
        <v/>
      </c>
      <c r="BK202" s="75">
        <f>$C202*INDEX(Curves!$I$8:$I$68,BK$4-$B202+1)</f>
        <v/>
      </c>
      <c r="BL202" s="75">
        <f>$C202*INDEX(Curves!$I$8:$I$68,BL$4-$B202+1)</f>
        <v/>
      </c>
    </row>
    <row r="203">
      <c r="A203" s="74" t="inlineStr">
        <is>
          <t>Cohort month 5</t>
        </is>
      </c>
      <c r="B203" s="74" t="n">
        <v>5</v>
      </c>
      <c r="C203" s="17">
        <f>INDEX(Ops!$E$10:$BL$10,1,$B203)</f>
        <v/>
      </c>
      <c r="J203" s="75">
        <f>$C203*INDEX(Curves!$I$8:$I$68,J$4-$B203+1)</f>
        <v/>
      </c>
      <c r="K203" s="75">
        <f>$C203*INDEX(Curves!$I$8:$I$68,K$4-$B203+1)</f>
        <v/>
      </c>
      <c r="L203" s="75">
        <f>$C203*INDEX(Curves!$I$8:$I$68,L$4-$B203+1)</f>
        <v/>
      </c>
      <c r="M203" s="75">
        <f>$C203*INDEX(Curves!$I$8:$I$68,M$4-$B203+1)</f>
        <v/>
      </c>
      <c r="N203" s="75">
        <f>$C203*INDEX(Curves!$I$8:$I$68,N$4-$B203+1)</f>
        <v/>
      </c>
      <c r="O203" s="75">
        <f>$C203*INDEX(Curves!$I$8:$I$68,O$4-$B203+1)</f>
        <v/>
      </c>
      <c r="P203" s="75">
        <f>$C203*INDEX(Curves!$I$8:$I$68,P$4-$B203+1)</f>
        <v/>
      </c>
      <c r="Q203" s="75">
        <f>$C203*INDEX(Curves!$I$8:$I$68,Q$4-$B203+1)</f>
        <v/>
      </c>
      <c r="R203" s="75">
        <f>$C203*INDEX(Curves!$I$8:$I$68,R$4-$B203+1)</f>
        <v/>
      </c>
      <c r="S203" s="75">
        <f>$C203*INDEX(Curves!$I$8:$I$68,S$4-$B203+1)</f>
        <v/>
      </c>
      <c r="T203" s="75">
        <f>$C203*INDEX(Curves!$I$8:$I$68,T$4-$B203+1)</f>
        <v/>
      </c>
      <c r="U203" s="75">
        <f>$C203*INDEX(Curves!$I$8:$I$68,U$4-$B203+1)</f>
        <v/>
      </c>
      <c r="V203" s="75">
        <f>$C203*INDEX(Curves!$I$8:$I$68,V$4-$B203+1)</f>
        <v/>
      </c>
      <c r="W203" s="75">
        <f>$C203*INDEX(Curves!$I$8:$I$68,W$4-$B203+1)</f>
        <v/>
      </c>
      <c r="X203" s="75">
        <f>$C203*INDEX(Curves!$I$8:$I$68,X$4-$B203+1)</f>
        <v/>
      </c>
      <c r="Y203" s="75">
        <f>$C203*INDEX(Curves!$I$8:$I$68,Y$4-$B203+1)</f>
        <v/>
      </c>
      <c r="Z203" s="75">
        <f>$C203*INDEX(Curves!$I$8:$I$68,Z$4-$B203+1)</f>
        <v/>
      </c>
      <c r="AA203" s="75">
        <f>$C203*INDEX(Curves!$I$8:$I$68,AA$4-$B203+1)</f>
        <v/>
      </c>
      <c r="AB203" s="75">
        <f>$C203*INDEX(Curves!$I$8:$I$68,AB$4-$B203+1)</f>
        <v/>
      </c>
      <c r="AC203" s="75">
        <f>$C203*INDEX(Curves!$I$8:$I$68,AC$4-$B203+1)</f>
        <v/>
      </c>
      <c r="AD203" s="75">
        <f>$C203*INDEX(Curves!$I$8:$I$68,AD$4-$B203+1)</f>
        <v/>
      </c>
      <c r="AE203" s="75">
        <f>$C203*INDEX(Curves!$I$8:$I$68,AE$4-$B203+1)</f>
        <v/>
      </c>
      <c r="AF203" s="75">
        <f>$C203*INDEX(Curves!$I$8:$I$68,AF$4-$B203+1)</f>
        <v/>
      </c>
      <c r="AG203" s="75">
        <f>$C203*INDEX(Curves!$I$8:$I$68,AG$4-$B203+1)</f>
        <v/>
      </c>
      <c r="AH203" s="75">
        <f>$C203*INDEX(Curves!$I$8:$I$68,AH$4-$B203+1)</f>
        <v/>
      </c>
      <c r="AI203" s="75">
        <f>$C203*INDEX(Curves!$I$8:$I$68,AI$4-$B203+1)</f>
        <v/>
      </c>
      <c r="AJ203" s="75">
        <f>$C203*INDEX(Curves!$I$8:$I$68,AJ$4-$B203+1)</f>
        <v/>
      </c>
      <c r="AK203" s="75">
        <f>$C203*INDEX(Curves!$I$8:$I$68,AK$4-$B203+1)</f>
        <v/>
      </c>
      <c r="AL203" s="75">
        <f>$C203*INDEX(Curves!$I$8:$I$68,AL$4-$B203+1)</f>
        <v/>
      </c>
      <c r="AM203" s="75">
        <f>$C203*INDEX(Curves!$I$8:$I$68,AM$4-$B203+1)</f>
        <v/>
      </c>
      <c r="AN203" s="75">
        <f>$C203*INDEX(Curves!$I$8:$I$68,AN$4-$B203+1)</f>
        <v/>
      </c>
      <c r="AO203" s="75">
        <f>$C203*INDEX(Curves!$I$8:$I$68,AO$4-$B203+1)</f>
        <v/>
      </c>
      <c r="AP203" s="75">
        <f>$C203*INDEX(Curves!$I$8:$I$68,AP$4-$B203+1)</f>
        <v/>
      </c>
      <c r="AQ203" s="75">
        <f>$C203*INDEX(Curves!$I$8:$I$68,AQ$4-$B203+1)</f>
        <v/>
      </c>
      <c r="AR203" s="75">
        <f>$C203*INDEX(Curves!$I$8:$I$68,AR$4-$B203+1)</f>
        <v/>
      </c>
      <c r="AS203" s="75">
        <f>$C203*INDEX(Curves!$I$8:$I$68,AS$4-$B203+1)</f>
        <v/>
      </c>
      <c r="AT203" s="75">
        <f>$C203*INDEX(Curves!$I$8:$I$68,AT$4-$B203+1)</f>
        <v/>
      </c>
      <c r="AU203" s="75">
        <f>$C203*INDEX(Curves!$I$8:$I$68,AU$4-$B203+1)</f>
        <v/>
      </c>
      <c r="AV203" s="75">
        <f>$C203*INDEX(Curves!$I$8:$I$68,AV$4-$B203+1)</f>
        <v/>
      </c>
      <c r="AW203" s="75">
        <f>$C203*INDEX(Curves!$I$8:$I$68,AW$4-$B203+1)</f>
        <v/>
      </c>
      <c r="AX203" s="75">
        <f>$C203*INDEX(Curves!$I$8:$I$68,AX$4-$B203+1)</f>
        <v/>
      </c>
      <c r="AY203" s="75">
        <f>$C203*INDEX(Curves!$I$8:$I$68,AY$4-$B203+1)</f>
        <v/>
      </c>
      <c r="AZ203" s="75">
        <f>$C203*INDEX(Curves!$I$8:$I$68,AZ$4-$B203+1)</f>
        <v/>
      </c>
      <c r="BA203" s="75">
        <f>$C203*INDEX(Curves!$I$8:$I$68,BA$4-$B203+1)</f>
        <v/>
      </c>
      <c r="BB203" s="75">
        <f>$C203*INDEX(Curves!$I$8:$I$68,BB$4-$B203+1)</f>
        <v/>
      </c>
      <c r="BC203" s="75">
        <f>$C203*INDEX(Curves!$I$8:$I$68,BC$4-$B203+1)</f>
        <v/>
      </c>
      <c r="BD203" s="75">
        <f>$C203*INDEX(Curves!$I$8:$I$68,BD$4-$B203+1)</f>
        <v/>
      </c>
      <c r="BE203" s="75">
        <f>$C203*INDEX(Curves!$I$8:$I$68,BE$4-$B203+1)</f>
        <v/>
      </c>
      <c r="BF203" s="75">
        <f>$C203*INDEX(Curves!$I$8:$I$68,BF$4-$B203+1)</f>
        <v/>
      </c>
      <c r="BG203" s="75">
        <f>$C203*INDEX(Curves!$I$8:$I$68,BG$4-$B203+1)</f>
        <v/>
      </c>
      <c r="BH203" s="75">
        <f>$C203*INDEX(Curves!$I$8:$I$68,BH$4-$B203+1)</f>
        <v/>
      </c>
      <c r="BI203" s="75">
        <f>$C203*INDEX(Curves!$I$8:$I$68,BI$4-$B203+1)</f>
        <v/>
      </c>
      <c r="BJ203" s="75">
        <f>$C203*INDEX(Curves!$I$8:$I$68,BJ$4-$B203+1)</f>
        <v/>
      </c>
      <c r="BK203" s="75">
        <f>$C203*INDEX(Curves!$I$8:$I$68,BK$4-$B203+1)</f>
        <v/>
      </c>
      <c r="BL203" s="75">
        <f>$C203*INDEX(Curves!$I$8:$I$68,BL$4-$B203+1)</f>
        <v/>
      </c>
    </row>
    <row r="204">
      <c r="A204" s="74" t="inlineStr">
        <is>
          <t>Cohort month 6</t>
        </is>
      </c>
      <c r="B204" s="74" t="n">
        <v>6</v>
      </c>
      <c r="C204" s="17">
        <f>INDEX(Ops!$E$10:$BL$10,1,$B204)</f>
        <v/>
      </c>
      <c r="K204" s="75">
        <f>$C204*INDEX(Curves!$I$8:$I$68,K$4-$B204+1)</f>
        <v/>
      </c>
      <c r="L204" s="75">
        <f>$C204*INDEX(Curves!$I$8:$I$68,L$4-$B204+1)</f>
        <v/>
      </c>
      <c r="M204" s="75">
        <f>$C204*INDEX(Curves!$I$8:$I$68,M$4-$B204+1)</f>
        <v/>
      </c>
      <c r="N204" s="75">
        <f>$C204*INDEX(Curves!$I$8:$I$68,N$4-$B204+1)</f>
        <v/>
      </c>
      <c r="O204" s="75">
        <f>$C204*INDEX(Curves!$I$8:$I$68,O$4-$B204+1)</f>
        <v/>
      </c>
      <c r="P204" s="75">
        <f>$C204*INDEX(Curves!$I$8:$I$68,P$4-$B204+1)</f>
        <v/>
      </c>
      <c r="Q204" s="75">
        <f>$C204*INDEX(Curves!$I$8:$I$68,Q$4-$B204+1)</f>
        <v/>
      </c>
      <c r="R204" s="75">
        <f>$C204*INDEX(Curves!$I$8:$I$68,R$4-$B204+1)</f>
        <v/>
      </c>
      <c r="S204" s="75">
        <f>$C204*INDEX(Curves!$I$8:$I$68,S$4-$B204+1)</f>
        <v/>
      </c>
      <c r="T204" s="75">
        <f>$C204*INDEX(Curves!$I$8:$I$68,T$4-$B204+1)</f>
        <v/>
      </c>
      <c r="U204" s="75">
        <f>$C204*INDEX(Curves!$I$8:$I$68,U$4-$B204+1)</f>
        <v/>
      </c>
      <c r="V204" s="75">
        <f>$C204*INDEX(Curves!$I$8:$I$68,V$4-$B204+1)</f>
        <v/>
      </c>
      <c r="W204" s="75">
        <f>$C204*INDEX(Curves!$I$8:$I$68,W$4-$B204+1)</f>
        <v/>
      </c>
      <c r="X204" s="75">
        <f>$C204*INDEX(Curves!$I$8:$I$68,X$4-$B204+1)</f>
        <v/>
      </c>
      <c r="Y204" s="75">
        <f>$C204*INDEX(Curves!$I$8:$I$68,Y$4-$B204+1)</f>
        <v/>
      </c>
      <c r="Z204" s="75">
        <f>$C204*INDEX(Curves!$I$8:$I$68,Z$4-$B204+1)</f>
        <v/>
      </c>
      <c r="AA204" s="75">
        <f>$C204*INDEX(Curves!$I$8:$I$68,AA$4-$B204+1)</f>
        <v/>
      </c>
      <c r="AB204" s="75">
        <f>$C204*INDEX(Curves!$I$8:$I$68,AB$4-$B204+1)</f>
        <v/>
      </c>
      <c r="AC204" s="75">
        <f>$C204*INDEX(Curves!$I$8:$I$68,AC$4-$B204+1)</f>
        <v/>
      </c>
      <c r="AD204" s="75">
        <f>$C204*INDEX(Curves!$I$8:$I$68,AD$4-$B204+1)</f>
        <v/>
      </c>
      <c r="AE204" s="75">
        <f>$C204*INDEX(Curves!$I$8:$I$68,AE$4-$B204+1)</f>
        <v/>
      </c>
      <c r="AF204" s="75">
        <f>$C204*INDEX(Curves!$I$8:$I$68,AF$4-$B204+1)</f>
        <v/>
      </c>
      <c r="AG204" s="75">
        <f>$C204*INDEX(Curves!$I$8:$I$68,AG$4-$B204+1)</f>
        <v/>
      </c>
      <c r="AH204" s="75">
        <f>$C204*INDEX(Curves!$I$8:$I$68,AH$4-$B204+1)</f>
        <v/>
      </c>
      <c r="AI204" s="75">
        <f>$C204*INDEX(Curves!$I$8:$I$68,AI$4-$B204+1)</f>
        <v/>
      </c>
      <c r="AJ204" s="75">
        <f>$C204*INDEX(Curves!$I$8:$I$68,AJ$4-$B204+1)</f>
        <v/>
      </c>
      <c r="AK204" s="75">
        <f>$C204*INDEX(Curves!$I$8:$I$68,AK$4-$B204+1)</f>
        <v/>
      </c>
      <c r="AL204" s="75">
        <f>$C204*INDEX(Curves!$I$8:$I$68,AL$4-$B204+1)</f>
        <v/>
      </c>
      <c r="AM204" s="75">
        <f>$C204*INDEX(Curves!$I$8:$I$68,AM$4-$B204+1)</f>
        <v/>
      </c>
      <c r="AN204" s="75">
        <f>$C204*INDEX(Curves!$I$8:$I$68,AN$4-$B204+1)</f>
        <v/>
      </c>
      <c r="AO204" s="75">
        <f>$C204*INDEX(Curves!$I$8:$I$68,AO$4-$B204+1)</f>
        <v/>
      </c>
      <c r="AP204" s="75">
        <f>$C204*INDEX(Curves!$I$8:$I$68,AP$4-$B204+1)</f>
        <v/>
      </c>
      <c r="AQ204" s="75">
        <f>$C204*INDEX(Curves!$I$8:$I$68,AQ$4-$B204+1)</f>
        <v/>
      </c>
      <c r="AR204" s="75">
        <f>$C204*INDEX(Curves!$I$8:$I$68,AR$4-$B204+1)</f>
        <v/>
      </c>
      <c r="AS204" s="75">
        <f>$C204*INDEX(Curves!$I$8:$I$68,AS$4-$B204+1)</f>
        <v/>
      </c>
      <c r="AT204" s="75">
        <f>$C204*INDEX(Curves!$I$8:$I$68,AT$4-$B204+1)</f>
        <v/>
      </c>
      <c r="AU204" s="75">
        <f>$C204*INDEX(Curves!$I$8:$I$68,AU$4-$B204+1)</f>
        <v/>
      </c>
      <c r="AV204" s="75">
        <f>$C204*INDEX(Curves!$I$8:$I$68,AV$4-$B204+1)</f>
        <v/>
      </c>
      <c r="AW204" s="75">
        <f>$C204*INDEX(Curves!$I$8:$I$68,AW$4-$B204+1)</f>
        <v/>
      </c>
      <c r="AX204" s="75">
        <f>$C204*INDEX(Curves!$I$8:$I$68,AX$4-$B204+1)</f>
        <v/>
      </c>
      <c r="AY204" s="75">
        <f>$C204*INDEX(Curves!$I$8:$I$68,AY$4-$B204+1)</f>
        <v/>
      </c>
      <c r="AZ204" s="75">
        <f>$C204*INDEX(Curves!$I$8:$I$68,AZ$4-$B204+1)</f>
        <v/>
      </c>
      <c r="BA204" s="75">
        <f>$C204*INDEX(Curves!$I$8:$I$68,BA$4-$B204+1)</f>
        <v/>
      </c>
      <c r="BB204" s="75">
        <f>$C204*INDEX(Curves!$I$8:$I$68,BB$4-$B204+1)</f>
        <v/>
      </c>
      <c r="BC204" s="75">
        <f>$C204*INDEX(Curves!$I$8:$I$68,BC$4-$B204+1)</f>
        <v/>
      </c>
      <c r="BD204" s="75">
        <f>$C204*INDEX(Curves!$I$8:$I$68,BD$4-$B204+1)</f>
        <v/>
      </c>
      <c r="BE204" s="75">
        <f>$C204*INDEX(Curves!$I$8:$I$68,BE$4-$B204+1)</f>
        <v/>
      </c>
      <c r="BF204" s="75">
        <f>$C204*INDEX(Curves!$I$8:$I$68,BF$4-$B204+1)</f>
        <v/>
      </c>
      <c r="BG204" s="75">
        <f>$C204*INDEX(Curves!$I$8:$I$68,BG$4-$B204+1)</f>
        <v/>
      </c>
      <c r="BH204" s="75">
        <f>$C204*INDEX(Curves!$I$8:$I$68,BH$4-$B204+1)</f>
        <v/>
      </c>
      <c r="BI204" s="75">
        <f>$C204*INDEX(Curves!$I$8:$I$68,BI$4-$B204+1)</f>
        <v/>
      </c>
      <c r="BJ204" s="75">
        <f>$C204*INDEX(Curves!$I$8:$I$68,BJ$4-$B204+1)</f>
        <v/>
      </c>
      <c r="BK204" s="75">
        <f>$C204*INDEX(Curves!$I$8:$I$68,BK$4-$B204+1)</f>
        <v/>
      </c>
      <c r="BL204" s="75">
        <f>$C204*INDEX(Curves!$I$8:$I$68,BL$4-$B204+1)</f>
        <v/>
      </c>
    </row>
    <row r="205">
      <c r="A205" s="74" t="inlineStr">
        <is>
          <t>Cohort month 7</t>
        </is>
      </c>
      <c r="B205" s="74" t="n">
        <v>7</v>
      </c>
      <c r="C205" s="17">
        <f>INDEX(Ops!$E$10:$BL$10,1,$B205)</f>
        <v/>
      </c>
      <c r="L205" s="75">
        <f>$C205*INDEX(Curves!$I$8:$I$68,L$4-$B205+1)</f>
        <v/>
      </c>
      <c r="M205" s="75">
        <f>$C205*INDEX(Curves!$I$8:$I$68,M$4-$B205+1)</f>
        <v/>
      </c>
      <c r="N205" s="75">
        <f>$C205*INDEX(Curves!$I$8:$I$68,N$4-$B205+1)</f>
        <v/>
      </c>
      <c r="O205" s="75">
        <f>$C205*INDEX(Curves!$I$8:$I$68,O$4-$B205+1)</f>
        <v/>
      </c>
      <c r="P205" s="75">
        <f>$C205*INDEX(Curves!$I$8:$I$68,P$4-$B205+1)</f>
        <v/>
      </c>
      <c r="Q205" s="75">
        <f>$C205*INDEX(Curves!$I$8:$I$68,Q$4-$B205+1)</f>
        <v/>
      </c>
      <c r="R205" s="75">
        <f>$C205*INDEX(Curves!$I$8:$I$68,R$4-$B205+1)</f>
        <v/>
      </c>
      <c r="S205" s="75">
        <f>$C205*INDEX(Curves!$I$8:$I$68,S$4-$B205+1)</f>
        <v/>
      </c>
      <c r="T205" s="75">
        <f>$C205*INDEX(Curves!$I$8:$I$68,T$4-$B205+1)</f>
        <v/>
      </c>
      <c r="U205" s="75">
        <f>$C205*INDEX(Curves!$I$8:$I$68,U$4-$B205+1)</f>
        <v/>
      </c>
      <c r="V205" s="75">
        <f>$C205*INDEX(Curves!$I$8:$I$68,V$4-$B205+1)</f>
        <v/>
      </c>
      <c r="W205" s="75">
        <f>$C205*INDEX(Curves!$I$8:$I$68,W$4-$B205+1)</f>
        <v/>
      </c>
      <c r="X205" s="75">
        <f>$C205*INDEX(Curves!$I$8:$I$68,X$4-$B205+1)</f>
        <v/>
      </c>
      <c r="Y205" s="75">
        <f>$C205*INDEX(Curves!$I$8:$I$68,Y$4-$B205+1)</f>
        <v/>
      </c>
      <c r="Z205" s="75">
        <f>$C205*INDEX(Curves!$I$8:$I$68,Z$4-$B205+1)</f>
        <v/>
      </c>
      <c r="AA205" s="75">
        <f>$C205*INDEX(Curves!$I$8:$I$68,AA$4-$B205+1)</f>
        <v/>
      </c>
      <c r="AB205" s="75">
        <f>$C205*INDEX(Curves!$I$8:$I$68,AB$4-$B205+1)</f>
        <v/>
      </c>
      <c r="AC205" s="75">
        <f>$C205*INDEX(Curves!$I$8:$I$68,AC$4-$B205+1)</f>
        <v/>
      </c>
      <c r="AD205" s="75">
        <f>$C205*INDEX(Curves!$I$8:$I$68,AD$4-$B205+1)</f>
        <v/>
      </c>
      <c r="AE205" s="75">
        <f>$C205*INDEX(Curves!$I$8:$I$68,AE$4-$B205+1)</f>
        <v/>
      </c>
      <c r="AF205" s="75">
        <f>$C205*INDEX(Curves!$I$8:$I$68,AF$4-$B205+1)</f>
        <v/>
      </c>
      <c r="AG205" s="75">
        <f>$C205*INDEX(Curves!$I$8:$I$68,AG$4-$B205+1)</f>
        <v/>
      </c>
      <c r="AH205" s="75">
        <f>$C205*INDEX(Curves!$I$8:$I$68,AH$4-$B205+1)</f>
        <v/>
      </c>
      <c r="AI205" s="75">
        <f>$C205*INDEX(Curves!$I$8:$I$68,AI$4-$B205+1)</f>
        <v/>
      </c>
      <c r="AJ205" s="75">
        <f>$C205*INDEX(Curves!$I$8:$I$68,AJ$4-$B205+1)</f>
        <v/>
      </c>
      <c r="AK205" s="75">
        <f>$C205*INDEX(Curves!$I$8:$I$68,AK$4-$B205+1)</f>
        <v/>
      </c>
      <c r="AL205" s="75">
        <f>$C205*INDEX(Curves!$I$8:$I$68,AL$4-$B205+1)</f>
        <v/>
      </c>
      <c r="AM205" s="75">
        <f>$C205*INDEX(Curves!$I$8:$I$68,AM$4-$B205+1)</f>
        <v/>
      </c>
      <c r="AN205" s="75">
        <f>$C205*INDEX(Curves!$I$8:$I$68,AN$4-$B205+1)</f>
        <v/>
      </c>
      <c r="AO205" s="75">
        <f>$C205*INDEX(Curves!$I$8:$I$68,AO$4-$B205+1)</f>
        <v/>
      </c>
      <c r="AP205" s="75">
        <f>$C205*INDEX(Curves!$I$8:$I$68,AP$4-$B205+1)</f>
        <v/>
      </c>
      <c r="AQ205" s="75">
        <f>$C205*INDEX(Curves!$I$8:$I$68,AQ$4-$B205+1)</f>
        <v/>
      </c>
      <c r="AR205" s="75">
        <f>$C205*INDEX(Curves!$I$8:$I$68,AR$4-$B205+1)</f>
        <v/>
      </c>
      <c r="AS205" s="75">
        <f>$C205*INDEX(Curves!$I$8:$I$68,AS$4-$B205+1)</f>
        <v/>
      </c>
      <c r="AT205" s="75">
        <f>$C205*INDEX(Curves!$I$8:$I$68,AT$4-$B205+1)</f>
        <v/>
      </c>
      <c r="AU205" s="75">
        <f>$C205*INDEX(Curves!$I$8:$I$68,AU$4-$B205+1)</f>
        <v/>
      </c>
      <c r="AV205" s="75">
        <f>$C205*INDEX(Curves!$I$8:$I$68,AV$4-$B205+1)</f>
        <v/>
      </c>
      <c r="AW205" s="75">
        <f>$C205*INDEX(Curves!$I$8:$I$68,AW$4-$B205+1)</f>
        <v/>
      </c>
      <c r="AX205" s="75">
        <f>$C205*INDEX(Curves!$I$8:$I$68,AX$4-$B205+1)</f>
        <v/>
      </c>
      <c r="AY205" s="75">
        <f>$C205*INDEX(Curves!$I$8:$I$68,AY$4-$B205+1)</f>
        <v/>
      </c>
      <c r="AZ205" s="75">
        <f>$C205*INDEX(Curves!$I$8:$I$68,AZ$4-$B205+1)</f>
        <v/>
      </c>
      <c r="BA205" s="75">
        <f>$C205*INDEX(Curves!$I$8:$I$68,BA$4-$B205+1)</f>
        <v/>
      </c>
      <c r="BB205" s="75">
        <f>$C205*INDEX(Curves!$I$8:$I$68,BB$4-$B205+1)</f>
        <v/>
      </c>
      <c r="BC205" s="75">
        <f>$C205*INDEX(Curves!$I$8:$I$68,BC$4-$B205+1)</f>
        <v/>
      </c>
      <c r="BD205" s="75">
        <f>$C205*INDEX(Curves!$I$8:$I$68,BD$4-$B205+1)</f>
        <v/>
      </c>
      <c r="BE205" s="75">
        <f>$C205*INDEX(Curves!$I$8:$I$68,BE$4-$B205+1)</f>
        <v/>
      </c>
      <c r="BF205" s="75">
        <f>$C205*INDEX(Curves!$I$8:$I$68,BF$4-$B205+1)</f>
        <v/>
      </c>
      <c r="BG205" s="75">
        <f>$C205*INDEX(Curves!$I$8:$I$68,BG$4-$B205+1)</f>
        <v/>
      </c>
      <c r="BH205" s="75">
        <f>$C205*INDEX(Curves!$I$8:$I$68,BH$4-$B205+1)</f>
        <v/>
      </c>
      <c r="BI205" s="75">
        <f>$C205*INDEX(Curves!$I$8:$I$68,BI$4-$B205+1)</f>
        <v/>
      </c>
      <c r="BJ205" s="75">
        <f>$C205*INDEX(Curves!$I$8:$I$68,BJ$4-$B205+1)</f>
        <v/>
      </c>
      <c r="BK205" s="75">
        <f>$C205*INDEX(Curves!$I$8:$I$68,BK$4-$B205+1)</f>
        <v/>
      </c>
      <c r="BL205" s="75">
        <f>$C205*INDEX(Curves!$I$8:$I$68,BL$4-$B205+1)</f>
        <v/>
      </c>
    </row>
    <row r="206">
      <c r="A206" s="74" t="inlineStr">
        <is>
          <t>Cohort month 8</t>
        </is>
      </c>
      <c r="B206" s="74" t="n">
        <v>8</v>
      </c>
      <c r="C206" s="17">
        <f>INDEX(Ops!$E$10:$BL$10,1,$B206)</f>
        <v/>
      </c>
      <c r="M206" s="75">
        <f>$C206*INDEX(Curves!$I$8:$I$68,M$4-$B206+1)</f>
        <v/>
      </c>
      <c r="N206" s="75">
        <f>$C206*INDEX(Curves!$I$8:$I$68,N$4-$B206+1)</f>
        <v/>
      </c>
      <c r="O206" s="75">
        <f>$C206*INDEX(Curves!$I$8:$I$68,O$4-$B206+1)</f>
        <v/>
      </c>
      <c r="P206" s="75">
        <f>$C206*INDEX(Curves!$I$8:$I$68,P$4-$B206+1)</f>
        <v/>
      </c>
      <c r="Q206" s="75">
        <f>$C206*INDEX(Curves!$I$8:$I$68,Q$4-$B206+1)</f>
        <v/>
      </c>
      <c r="R206" s="75">
        <f>$C206*INDEX(Curves!$I$8:$I$68,R$4-$B206+1)</f>
        <v/>
      </c>
      <c r="S206" s="75">
        <f>$C206*INDEX(Curves!$I$8:$I$68,S$4-$B206+1)</f>
        <v/>
      </c>
      <c r="T206" s="75">
        <f>$C206*INDEX(Curves!$I$8:$I$68,T$4-$B206+1)</f>
        <v/>
      </c>
      <c r="U206" s="75">
        <f>$C206*INDEX(Curves!$I$8:$I$68,U$4-$B206+1)</f>
        <v/>
      </c>
      <c r="V206" s="75">
        <f>$C206*INDEX(Curves!$I$8:$I$68,V$4-$B206+1)</f>
        <v/>
      </c>
      <c r="W206" s="75">
        <f>$C206*INDEX(Curves!$I$8:$I$68,W$4-$B206+1)</f>
        <v/>
      </c>
      <c r="X206" s="75">
        <f>$C206*INDEX(Curves!$I$8:$I$68,X$4-$B206+1)</f>
        <v/>
      </c>
      <c r="Y206" s="75">
        <f>$C206*INDEX(Curves!$I$8:$I$68,Y$4-$B206+1)</f>
        <v/>
      </c>
      <c r="Z206" s="75">
        <f>$C206*INDEX(Curves!$I$8:$I$68,Z$4-$B206+1)</f>
        <v/>
      </c>
      <c r="AA206" s="75">
        <f>$C206*INDEX(Curves!$I$8:$I$68,AA$4-$B206+1)</f>
        <v/>
      </c>
      <c r="AB206" s="75">
        <f>$C206*INDEX(Curves!$I$8:$I$68,AB$4-$B206+1)</f>
        <v/>
      </c>
      <c r="AC206" s="75">
        <f>$C206*INDEX(Curves!$I$8:$I$68,AC$4-$B206+1)</f>
        <v/>
      </c>
      <c r="AD206" s="75">
        <f>$C206*INDEX(Curves!$I$8:$I$68,AD$4-$B206+1)</f>
        <v/>
      </c>
      <c r="AE206" s="75">
        <f>$C206*INDEX(Curves!$I$8:$I$68,AE$4-$B206+1)</f>
        <v/>
      </c>
      <c r="AF206" s="75">
        <f>$C206*INDEX(Curves!$I$8:$I$68,AF$4-$B206+1)</f>
        <v/>
      </c>
      <c r="AG206" s="75">
        <f>$C206*INDEX(Curves!$I$8:$I$68,AG$4-$B206+1)</f>
        <v/>
      </c>
      <c r="AH206" s="75">
        <f>$C206*INDEX(Curves!$I$8:$I$68,AH$4-$B206+1)</f>
        <v/>
      </c>
      <c r="AI206" s="75">
        <f>$C206*INDEX(Curves!$I$8:$I$68,AI$4-$B206+1)</f>
        <v/>
      </c>
      <c r="AJ206" s="75">
        <f>$C206*INDEX(Curves!$I$8:$I$68,AJ$4-$B206+1)</f>
        <v/>
      </c>
      <c r="AK206" s="75">
        <f>$C206*INDEX(Curves!$I$8:$I$68,AK$4-$B206+1)</f>
        <v/>
      </c>
      <c r="AL206" s="75">
        <f>$C206*INDEX(Curves!$I$8:$I$68,AL$4-$B206+1)</f>
        <v/>
      </c>
      <c r="AM206" s="75">
        <f>$C206*INDEX(Curves!$I$8:$I$68,AM$4-$B206+1)</f>
        <v/>
      </c>
      <c r="AN206" s="75">
        <f>$C206*INDEX(Curves!$I$8:$I$68,AN$4-$B206+1)</f>
        <v/>
      </c>
      <c r="AO206" s="75">
        <f>$C206*INDEX(Curves!$I$8:$I$68,AO$4-$B206+1)</f>
        <v/>
      </c>
      <c r="AP206" s="75">
        <f>$C206*INDEX(Curves!$I$8:$I$68,AP$4-$B206+1)</f>
        <v/>
      </c>
      <c r="AQ206" s="75">
        <f>$C206*INDEX(Curves!$I$8:$I$68,AQ$4-$B206+1)</f>
        <v/>
      </c>
      <c r="AR206" s="75">
        <f>$C206*INDEX(Curves!$I$8:$I$68,AR$4-$B206+1)</f>
        <v/>
      </c>
      <c r="AS206" s="75">
        <f>$C206*INDEX(Curves!$I$8:$I$68,AS$4-$B206+1)</f>
        <v/>
      </c>
      <c r="AT206" s="75">
        <f>$C206*INDEX(Curves!$I$8:$I$68,AT$4-$B206+1)</f>
        <v/>
      </c>
      <c r="AU206" s="75">
        <f>$C206*INDEX(Curves!$I$8:$I$68,AU$4-$B206+1)</f>
        <v/>
      </c>
      <c r="AV206" s="75">
        <f>$C206*INDEX(Curves!$I$8:$I$68,AV$4-$B206+1)</f>
        <v/>
      </c>
      <c r="AW206" s="75">
        <f>$C206*INDEX(Curves!$I$8:$I$68,AW$4-$B206+1)</f>
        <v/>
      </c>
      <c r="AX206" s="75">
        <f>$C206*INDEX(Curves!$I$8:$I$68,AX$4-$B206+1)</f>
        <v/>
      </c>
      <c r="AY206" s="75">
        <f>$C206*INDEX(Curves!$I$8:$I$68,AY$4-$B206+1)</f>
        <v/>
      </c>
      <c r="AZ206" s="75">
        <f>$C206*INDEX(Curves!$I$8:$I$68,AZ$4-$B206+1)</f>
        <v/>
      </c>
      <c r="BA206" s="75">
        <f>$C206*INDEX(Curves!$I$8:$I$68,BA$4-$B206+1)</f>
        <v/>
      </c>
      <c r="BB206" s="75">
        <f>$C206*INDEX(Curves!$I$8:$I$68,BB$4-$B206+1)</f>
        <v/>
      </c>
      <c r="BC206" s="75">
        <f>$C206*INDEX(Curves!$I$8:$I$68,BC$4-$B206+1)</f>
        <v/>
      </c>
      <c r="BD206" s="75">
        <f>$C206*INDEX(Curves!$I$8:$I$68,BD$4-$B206+1)</f>
        <v/>
      </c>
      <c r="BE206" s="75">
        <f>$C206*INDEX(Curves!$I$8:$I$68,BE$4-$B206+1)</f>
        <v/>
      </c>
      <c r="BF206" s="75">
        <f>$C206*INDEX(Curves!$I$8:$I$68,BF$4-$B206+1)</f>
        <v/>
      </c>
      <c r="BG206" s="75">
        <f>$C206*INDEX(Curves!$I$8:$I$68,BG$4-$B206+1)</f>
        <v/>
      </c>
      <c r="BH206" s="75">
        <f>$C206*INDEX(Curves!$I$8:$I$68,BH$4-$B206+1)</f>
        <v/>
      </c>
      <c r="BI206" s="75">
        <f>$C206*INDEX(Curves!$I$8:$I$68,BI$4-$B206+1)</f>
        <v/>
      </c>
      <c r="BJ206" s="75">
        <f>$C206*INDEX(Curves!$I$8:$I$68,BJ$4-$B206+1)</f>
        <v/>
      </c>
      <c r="BK206" s="75">
        <f>$C206*INDEX(Curves!$I$8:$I$68,BK$4-$B206+1)</f>
        <v/>
      </c>
      <c r="BL206" s="75">
        <f>$C206*INDEX(Curves!$I$8:$I$68,BL$4-$B206+1)</f>
        <v/>
      </c>
    </row>
    <row r="207">
      <c r="A207" s="74" t="inlineStr">
        <is>
          <t>Cohort month 9</t>
        </is>
      </c>
      <c r="B207" s="74" t="n">
        <v>9</v>
      </c>
      <c r="C207" s="17">
        <f>INDEX(Ops!$E$10:$BL$10,1,$B207)</f>
        <v/>
      </c>
      <c r="N207" s="75">
        <f>$C207*INDEX(Curves!$I$8:$I$68,N$4-$B207+1)</f>
        <v/>
      </c>
      <c r="O207" s="75">
        <f>$C207*INDEX(Curves!$I$8:$I$68,O$4-$B207+1)</f>
        <v/>
      </c>
      <c r="P207" s="75">
        <f>$C207*INDEX(Curves!$I$8:$I$68,P$4-$B207+1)</f>
        <v/>
      </c>
      <c r="Q207" s="75">
        <f>$C207*INDEX(Curves!$I$8:$I$68,Q$4-$B207+1)</f>
        <v/>
      </c>
      <c r="R207" s="75">
        <f>$C207*INDEX(Curves!$I$8:$I$68,R$4-$B207+1)</f>
        <v/>
      </c>
      <c r="S207" s="75">
        <f>$C207*INDEX(Curves!$I$8:$I$68,S$4-$B207+1)</f>
        <v/>
      </c>
      <c r="T207" s="75">
        <f>$C207*INDEX(Curves!$I$8:$I$68,T$4-$B207+1)</f>
        <v/>
      </c>
      <c r="U207" s="75">
        <f>$C207*INDEX(Curves!$I$8:$I$68,U$4-$B207+1)</f>
        <v/>
      </c>
      <c r="V207" s="75">
        <f>$C207*INDEX(Curves!$I$8:$I$68,V$4-$B207+1)</f>
        <v/>
      </c>
      <c r="W207" s="75">
        <f>$C207*INDEX(Curves!$I$8:$I$68,W$4-$B207+1)</f>
        <v/>
      </c>
      <c r="X207" s="75">
        <f>$C207*INDEX(Curves!$I$8:$I$68,X$4-$B207+1)</f>
        <v/>
      </c>
      <c r="Y207" s="75">
        <f>$C207*INDEX(Curves!$I$8:$I$68,Y$4-$B207+1)</f>
        <v/>
      </c>
      <c r="Z207" s="75">
        <f>$C207*INDEX(Curves!$I$8:$I$68,Z$4-$B207+1)</f>
        <v/>
      </c>
      <c r="AA207" s="75">
        <f>$C207*INDEX(Curves!$I$8:$I$68,AA$4-$B207+1)</f>
        <v/>
      </c>
      <c r="AB207" s="75">
        <f>$C207*INDEX(Curves!$I$8:$I$68,AB$4-$B207+1)</f>
        <v/>
      </c>
      <c r="AC207" s="75">
        <f>$C207*INDEX(Curves!$I$8:$I$68,AC$4-$B207+1)</f>
        <v/>
      </c>
      <c r="AD207" s="75">
        <f>$C207*INDEX(Curves!$I$8:$I$68,AD$4-$B207+1)</f>
        <v/>
      </c>
      <c r="AE207" s="75">
        <f>$C207*INDEX(Curves!$I$8:$I$68,AE$4-$B207+1)</f>
        <v/>
      </c>
      <c r="AF207" s="75">
        <f>$C207*INDEX(Curves!$I$8:$I$68,AF$4-$B207+1)</f>
        <v/>
      </c>
      <c r="AG207" s="75">
        <f>$C207*INDEX(Curves!$I$8:$I$68,AG$4-$B207+1)</f>
        <v/>
      </c>
      <c r="AH207" s="75">
        <f>$C207*INDEX(Curves!$I$8:$I$68,AH$4-$B207+1)</f>
        <v/>
      </c>
      <c r="AI207" s="75">
        <f>$C207*INDEX(Curves!$I$8:$I$68,AI$4-$B207+1)</f>
        <v/>
      </c>
      <c r="AJ207" s="75">
        <f>$C207*INDEX(Curves!$I$8:$I$68,AJ$4-$B207+1)</f>
        <v/>
      </c>
      <c r="AK207" s="75">
        <f>$C207*INDEX(Curves!$I$8:$I$68,AK$4-$B207+1)</f>
        <v/>
      </c>
      <c r="AL207" s="75">
        <f>$C207*INDEX(Curves!$I$8:$I$68,AL$4-$B207+1)</f>
        <v/>
      </c>
      <c r="AM207" s="75">
        <f>$C207*INDEX(Curves!$I$8:$I$68,AM$4-$B207+1)</f>
        <v/>
      </c>
      <c r="AN207" s="75">
        <f>$C207*INDEX(Curves!$I$8:$I$68,AN$4-$B207+1)</f>
        <v/>
      </c>
      <c r="AO207" s="75">
        <f>$C207*INDEX(Curves!$I$8:$I$68,AO$4-$B207+1)</f>
        <v/>
      </c>
      <c r="AP207" s="75">
        <f>$C207*INDEX(Curves!$I$8:$I$68,AP$4-$B207+1)</f>
        <v/>
      </c>
      <c r="AQ207" s="75">
        <f>$C207*INDEX(Curves!$I$8:$I$68,AQ$4-$B207+1)</f>
        <v/>
      </c>
      <c r="AR207" s="75">
        <f>$C207*INDEX(Curves!$I$8:$I$68,AR$4-$B207+1)</f>
        <v/>
      </c>
      <c r="AS207" s="75">
        <f>$C207*INDEX(Curves!$I$8:$I$68,AS$4-$B207+1)</f>
        <v/>
      </c>
      <c r="AT207" s="75">
        <f>$C207*INDEX(Curves!$I$8:$I$68,AT$4-$B207+1)</f>
        <v/>
      </c>
      <c r="AU207" s="75">
        <f>$C207*INDEX(Curves!$I$8:$I$68,AU$4-$B207+1)</f>
        <v/>
      </c>
      <c r="AV207" s="75">
        <f>$C207*INDEX(Curves!$I$8:$I$68,AV$4-$B207+1)</f>
        <v/>
      </c>
      <c r="AW207" s="75">
        <f>$C207*INDEX(Curves!$I$8:$I$68,AW$4-$B207+1)</f>
        <v/>
      </c>
      <c r="AX207" s="75">
        <f>$C207*INDEX(Curves!$I$8:$I$68,AX$4-$B207+1)</f>
        <v/>
      </c>
      <c r="AY207" s="75">
        <f>$C207*INDEX(Curves!$I$8:$I$68,AY$4-$B207+1)</f>
        <v/>
      </c>
      <c r="AZ207" s="75">
        <f>$C207*INDEX(Curves!$I$8:$I$68,AZ$4-$B207+1)</f>
        <v/>
      </c>
      <c r="BA207" s="75">
        <f>$C207*INDEX(Curves!$I$8:$I$68,BA$4-$B207+1)</f>
        <v/>
      </c>
      <c r="BB207" s="75">
        <f>$C207*INDEX(Curves!$I$8:$I$68,BB$4-$B207+1)</f>
        <v/>
      </c>
      <c r="BC207" s="75">
        <f>$C207*INDEX(Curves!$I$8:$I$68,BC$4-$B207+1)</f>
        <v/>
      </c>
      <c r="BD207" s="75">
        <f>$C207*INDEX(Curves!$I$8:$I$68,BD$4-$B207+1)</f>
        <v/>
      </c>
      <c r="BE207" s="75">
        <f>$C207*INDEX(Curves!$I$8:$I$68,BE$4-$B207+1)</f>
        <v/>
      </c>
      <c r="BF207" s="75">
        <f>$C207*INDEX(Curves!$I$8:$I$68,BF$4-$B207+1)</f>
        <v/>
      </c>
      <c r="BG207" s="75">
        <f>$C207*INDEX(Curves!$I$8:$I$68,BG$4-$B207+1)</f>
        <v/>
      </c>
      <c r="BH207" s="75">
        <f>$C207*INDEX(Curves!$I$8:$I$68,BH$4-$B207+1)</f>
        <v/>
      </c>
      <c r="BI207" s="75">
        <f>$C207*INDEX(Curves!$I$8:$I$68,BI$4-$B207+1)</f>
        <v/>
      </c>
      <c r="BJ207" s="75">
        <f>$C207*INDEX(Curves!$I$8:$I$68,BJ$4-$B207+1)</f>
        <v/>
      </c>
      <c r="BK207" s="75">
        <f>$C207*INDEX(Curves!$I$8:$I$68,BK$4-$B207+1)</f>
        <v/>
      </c>
      <c r="BL207" s="75">
        <f>$C207*INDEX(Curves!$I$8:$I$68,BL$4-$B207+1)</f>
        <v/>
      </c>
    </row>
    <row r="208">
      <c r="A208" s="74" t="inlineStr">
        <is>
          <t>Cohort month 10</t>
        </is>
      </c>
      <c r="B208" s="74" t="n">
        <v>10</v>
      </c>
      <c r="C208" s="17">
        <f>INDEX(Ops!$E$10:$BL$10,1,$B208)</f>
        <v/>
      </c>
      <c r="O208" s="75">
        <f>$C208*INDEX(Curves!$I$8:$I$68,O$4-$B208+1)</f>
        <v/>
      </c>
      <c r="P208" s="75">
        <f>$C208*INDEX(Curves!$I$8:$I$68,P$4-$B208+1)</f>
        <v/>
      </c>
      <c r="Q208" s="75">
        <f>$C208*INDEX(Curves!$I$8:$I$68,Q$4-$B208+1)</f>
        <v/>
      </c>
      <c r="R208" s="75">
        <f>$C208*INDEX(Curves!$I$8:$I$68,R$4-$B208+1)</f>
        <v/>
      </c>
      <c r="S208" s="75">
        <f>$C208*INDEX(Curves!$I$8:$I$68,S$4-$B208+1)</f>
        <v/>
      </c>
      <c r="T208" s="75">
        <f>$C208*INDEX(Curves!$I$8:$I$68,T$4-$B208+1)</f>
        <v/>
      </c>
      <c r="U208" s="75">
        <f>$C208*INDEX(Curves!$I$8:$I$68,U$4-$B208+1)</f>
        <v/>
      </c>
      <c r="V208" s="75">
        <f>$C208*INDEX(Curves!$I$8:$I$68,V$4-$B208+1)</f>
        <v/>
      </c>
      <c r="W208" s="75">
        <f>$C208*INDEX(Curves!$I$8:$I$68,W$4-$B208+1)</f>
        <v/>
      </c>
      <c r="X208" s="75">
        <f>$C208*INDEX(Curves!$I$8:$I$68,X$4-$B208+1)</f>
        <v/>
      </c>
      <c r="Y208" s="75">
        <f>$C208*INDEX(Curves!$I$8:$I$68,Y$4-$B208+1)</f>
        <v/>
      </c>
      <c r="Z208" s="75">
        <f>$C208*INDEX(Curves!$I$8:$I$68,Z$4-$B208+1)</f>
        <v/>
      </c>
      <c r="AA208" s="75">
        <f>$C208*INDEX(Curves!$I$8:$I$68,AA$4-$B208+1)</f>
        <v/>
      </c>
      <c r="AB208" s="75">
        <f>$C208*INDEX(Curves!$I$8:$I$68,AB$4-$B208+1)</f>
        <v/>
      </c>
      <c r="AC208" s="75">
        <f>$C208*INDEX(Curves!$I$8:$I$68,AC$4-$B208+1)</f>
        <v/>
      </c>
      <c r="AD208" s="75">
        <f>$C208*INDEX(Curves!$I$8:$I$68,AD$4-$B208+1)</f>
        <v/>
      </c>
      <c r="AE208" s="75">
        <f>$C208*INDEX(Curves!$I$8:$I$68,AE$4-$B208+1)</f>
        <v/>
      </c>
      <c r="AF208" s="75">
        <f>$C208*INDEX(Curves!$I$8:$I$68,AF$4-$B208+1)</f>
        <v/>
      </c>
      <c r="AG208" s="75">
        <f>$C208*INDEX(Curves!$I$8:$I$68,AG$4-$B208+1)</f>
        <v/>
      </c>
      <c r="AH208" s="75">
        <f>$C208*INDEX(Curves!$I$8:$I$68,AH$4-$B208+1)</f>
        <v/>
      </c>
      <c r="AI208" s="75">
        <f>$C208*INDEX(Curves!$I$8:$I$68,AI$4-$B208+1)</f>
        <v/>
      </c>
      <c r="AJ208" s="75">
        <f>$C208*INDEX(Curves!$I$8:$I$68,AJ$4-$B208+1)</f>
        <v/>
      </c>
      <c r="AK208" s="75">
        <f>$C208*INDEX(Curves!$I$8:$I$68,AK$4-$B208+1)</f>
        <v/>
      </c>
      <c r="AL208" s="75">
        <f>$C208*INDEX(Curves!$I$8:$I$68,AL$4-$B208+1)</f>
        <v/>
      </c>
      <c r="AM208" s="75">
        <f>$C208*INDEX(Curves!$I$8:$I$68,AM$4-$B208+1)</f>
        <v/>
      </c>
      <c r="AN208" s="75">
        <f>$C208*INDEX(Curves!$I$8:$I$68,AN$4-$B208+1)</f>
        <v/>
      </c>
      <c r="AO208" s="75">
        <f>$C208*INDEX(Curves!$I$8:$I$68,AO$4-$B208+1)</f>
        <v/>
      </c>
      <c r="AP208" s="75">
        <f>$C208*INDEX(Curves!$I$8:$I$68,AP$4-$B208+1)</f>
        <v/>
      </c>
      <c r="AQ208" s="75">
        <f>$C208*INDEX(Curves!$I$8:$I$68,AQ$4-$B208+1)</f>
        <v/>
      </c>
      <c r="AR208" s="75">
        <f>$C208*INDEX(Curves!$I$8:$I$68,AR$4-$B208+1)</f>
        <v/>
      </c>
      <c r="AS208" s="75">
        <f>$C208*INDEX(Curves!$I$8:$I$68,AS$4-$B208+1)</f>
        <v/>
      </c>
      <c r="AT208" s="75">
        <f>$C208*INDEX(Curves!$I$8:$I$68,AT$4-$B208+1)</f>
        <v/>
      </c>
      <c r="AU208" s="75">
        <f>$C208*INDEX(Curves!$I$8:$I$68,AU$4-$B208+1)</f>
        <v/>
      </c>
      <c r="AV208" s="75">
        <f>$C208*INDEX(Curves!$I$8:$I$68,AV$4-$B208+1)</f>
        <v/>
      </c>
      <c r="AW208" s="75">
        <f>$C208*INDEX(Curves!$I$8:$I$68,AW$4-$B208+1)</f>
        <v/>
      </c>
      <c r="AX208" s="75">
        <f>$C208*INDEX(Curves!$I$8:$I$68,AX$4-$B208+1)</f>
        <v/>
      </c>
      <c r="AY208" s="75">
        <f>$C208*INDEX(Curves!$I$8:$I$68,AY$4-$B208+1)</f>
        <v/>
      </c>
      <c r="AZ208" s="75">
        <f>$C208*INDEX(Curves!$I$8:$I$68,AZ$4-$B208+1)</f>
        <v/>
      </c>
      <c r="BA208" s="75">
        <f>$C208*INDEX(Curves!$I$8:$I$68,BA$4-$B208+1)</f>
        <v/>
      </c>
      <c r="BB208" s="75">
        <f>$C208*INDEX(Curves!$I$8:$I$68,BB$4-$B208+1)</f>
        <v/>
      </c>
      <c r="BC208" s="75">
        <f>$C208*INDEX(Curves!$I$8:$I$68,BC$4-$B208+1)</f>
        <v/>
      </c>
      <c r="BD208" s="75">
        <f>$C208*INDEX(Curves!$I$8:$I$68,BD$4-$B208+1)</f>
        <v/>
      </c>
      <c r="BE208" s="75">
        <f>$C208*INDEX(Curves!$I$8:$I$68,BE$4-$B208+1)</f>
        <v/>
      </c>
      <c r="BF208" s="75">
        <f>$C208*INDEX(Curves!$I$8:$I$68,BF$4-$B208+1)</f>
        <v/>
      </c>
      <c r="BG208" s="75">
        <f>$C208*INDEX(Curves!$I$8:$I$68,BG$4-$B208+1)</f>
        <v/>
      </c>
      <c r="BH208" s="75">
        <f>$C208*INDEX(Curves!$I$8:$I$68,BH$4-$B208+1)</f>
        <v/>
      </c>
      <c r="BI208" s="75">
        <f>$C208*INDEX(Curves!$I$8:$I$68,BI$4-$B208+1)</f>
        <v/>
      </c>
      <c r="BJ208" s="75">
        <f>$C208*INDEX(Curves!$I$8:$I$68,BJ$4-$B208+1)</f>
        <v/>
      </c>
      <c r="BK208" s="75">
        <f>$C208*INDEX(Curves!$I$8:$I$68,BK$4-$B208+1)</f>
        <v/>
      </c>
      <c r="BL208" s="75">
        <f>$C208*INDEX(Curves!$I$8:$I$68,BL$4-$B208+1)</f>
        <v/>
      </c>
    </row>
    <row r="209">
      <c r="A209" s="74" t="inlineStr">
        <is>
          <t>Cohort month 11</t>
        </is>
      </c>
      <c r="B209" s="74" t="n">
        <v>11</v>
      </c>
      <c r="C209" s="17">
        <f>INDEX(Ops!$E$10:$BL$10,1,$B209)</f>
        <v/>
      </c>
      <c r="P209" s="75">
        <f>$C209*INDEX(Curves!$I$8:$I$68,P$4-$B209+1)</f>
        <v/>
      </c>
      <c r="Q209" s="75">
        <f>$C209*INDEX(Curves!$I$8:$I$68,Q$4-$B209+1)</f>
        <v/>
      </c>
      <c r="R209" s="75">
        <f>$C209*INDEX(Curves!$I$8:$I$68,R$4-$B209+1)</f>
        <v/>
      </c>
      <c r="S209" s="75">
        <f>$C209*INDEX(Curves!$I$8:$I$68,S$4-$B209+1)</f>
        <v/>
      </c>
      <c r="T209" s="75">
        <f>$C209*INDEX(Curves!$I$8:$I$68,T$4-$B209+1)</f>
        <v/>
      </c>
      <c r="U209" s="75">
        <f>$C209*INDEX(Curves!$I$8:$I$68,U$4-$B209+1)</f>
        <v/>
      </c>
      <c r="V209" s="75">
        <f>$C209*INDEX(Curves!$I$8:$I$68,V$4-$B209+1)</f>
        <v/>
      </c>
      <c r="W209" s="75">
        <f>$C209*INDEX(Curves!$I$8:$I$68,W$4-$B209+1)</f>
        <v/>
      </c>
      <c r="X209" s="75">
        <f>$C209*INDEX(Curves!$I$8:$I$68,X$4-$B209+1)</f>
        <v/>
      </c>
      <c r="Y209" s="75">
        <f>$C209*INDEX(Curves!$I$8:$I$68,Y$4-$B209+1)</f>
        <v/>
      </c>
      <c r="Z209" s="75">
        <f>$C209*INDEX(Curves!$I$8:$I$68,Z$4-$B209+1)</f>
        <v/>
      </c>
      <c r="AA209" s="75">
        <f>$C209*INDEX(Curves!$I$8:$I$68,AA$4-$B209+1)</f>
        <v/>
      </c>
      <c r="AB209" s="75">
        <f>$C209*INDEX(Curves!$I$8:$I$68,AB$4-$B209+1)</f>
        <v/>
      </c>
      <c r="AC209" s="75">
        <f>$C209*INDEX(Curves!$I$8:$I$68,AC$4-$B209+1)</f>
        <v/>
      </c>
      <c r="AD209" s="75">
        <f>$C209*INDEX(Curves!$I$8:$I$68,AD$4-$B209+1)</f>
        <v/>
      </c>
      <c r="AE209" s="75">
        <f>$C209*INDEX(Curves!$I$8:$I$68,AE$4-$B209+1)</f>
        <v/>
      </c>
      <c r="AF209" s="75">
        <f>$C209*INDEX(Curves!$I$8:$I$68,AF$4-$B209+1)</f>
        <v/>
      </c>
      <c r="AG209" s="75">
        <f>$C209*INDEX(Curves!$I$8:$I$68,AG$4-$B209+1)</f>
        <v/>
      </c>
      <c r="AH209" s="75">
        <f>$C209*INDEX(Curves!$I$8:$I$68,AH$4-$B209+1)</f>
        <v/>
      </c>
      <c r="AI209" s="75">
        <f>$C209*INDEX(Curves!$I$8:$I$68,AI$4-$B209+1)</f>
        <v/>
      </c>
      <c r="AJ209" s="75">
        <f>$C209*INDEX(Curves!$I$8:$I$68,AJ$4-$B209+1)</f>
        <v/>
      </c>
      <c r="AK209" s="75">
        <f>$C209*INDEX(Curves!$I$8:$I$68,AK$4-$B209+1)</f>
        <v/>
      </c>
      <c r="AL209" s="75">
        <f>$C209*INDEX(Curves!$I$8:$I$68,AL$4-$B209+1)</f>
        <v/>
      </c>
      <c r="AM209" s="75">
        <f>$C209*INDEX(Curves!$I$8:$I$68,AM$4-$B209+1)</f>
        <v/>
      </c>
      <c r="AN209" s="75">
        <f>$C209*INDEX(Curves!$I$8:$I$68,AN$4-$B209+1)</f>
        <v/>
      </c>
      <c r="AO209" s="75">
        <f>$C209*INDEX(Curves!$I$8:$I$68,AO$4-$B209+1)</f>
        <v/>
      </c>
      <c r="AP209" s="75">
        <f>$C209*INDEX(Curves!$I$8:$I$68,AP$4-$B209+1)</f>
        <v/>
      </c>
      <c r="AQ209" s="75">
        <f>$C209*INDEX(Curves!$I$8:$I$68,AQ$4-$B209+1)</f>
        <v/>
      </c>
      <c r="AR209" s="75">
        <f>$C209*INDEX(Curves!$I$8:$I$68,AR$4-$B209+1)</f>
        <v/>
      </c>
      <c r="AS209" s="75">
        <f>$C209*INDEX(Curves!$I$8:$I$68,AS$4-$B209+1)</f>
        <v/>
      </c>
      <c r="AT209" s="75">
        <f>$C209*INDEX(Curves!$I$8:$I$68,AT$4-$B209+1)</f>
        <v/>
      </c>
      <c r="AU209" s="75">
        <f>$C209*INDEX(Curves!$I$8:$I$68,AU$4-$B209+1)</f>
        <v/>
      </c>
      <c r="AV209" s="75">
        <f>$C209*INDEX(Curves!$I$8:$I$68,AV$4-$B209+1)</f>
        <v/>
      </c>
      <c r="AW209" s="75">
        <f>$C209*INDEX(Curves!$I$8:$I$68,AW$4-$B209+1)</f>
        <v/>
      </c>
      <c r="AX209" s="75">
        <f>$C209*INDEX(Curves!$I$8:$I$68,AX$4-$B209+1)</f>
        <v/>
      </c>
      <c r="AY209" s="75">
        <f>$C209*INDEX(Curves!$I$8:$I$68,AY$4-$B209+1)</f>
        <v/>
      </c>
      <c r="AZ209" s="75">
        <f>$C209*INDEX(Curves!$I$8:$I$68,AZ$4-$B209+1)</f>
        <v/>
      </c>
      <c r="BA209" s="75">
        <f>$C209*INDEX(Curves!$I$8:$I$68,BA$4-$B209+1)</f>
        <v/>
      </c>
      <c r="BB209" s="75">
        <f>$C209*INDEX(Curves!$I$8:$I$68,BB$4-$B209+1)</f>
        <v/>
      </c>
      <c r="BC209" s="75">
        <f>$C209*INDEX(Curves!$I$8:$I$68,BC$4-$B209+1)</f>
        <v/>
      </c>
      <c r="BD209" s="75">
        <f>$C209*INDEX(Curves!$I$8:$I$68,BD$4-$B209+1)</f>
        <v/>
      </c>
      <c r="BE209" s="75">
        <f>$C209*INDEX(Curves!$I$8:$I$68,BE$4-$B209+1)</f>
        <v/>
      </c>
      <c r="BF209" s="75">
        <f>$C209*INDEX(Curves!$I$8:$I$68,BF$4-$B209+1)</f>
        <v/>
      </c>
      <c r="BG209" s="75">
        <f>$C209*INDEX(Curves!$I$8:$I$68,BG$4-$B209+1)</f>
        <v/>
      </c>
      <c r="BH209" s="75">
        <f>$C209*INDEX(Curves!$I$8:$I$68,BH$4-$B209+1)</f>
        <v/>
      </c>
      <c r="BI209" s="75">
        <f>$C209*INDEX(Curves!$I$8:$I$68,BI$4-$B209+1)</f>
        <v/>
      </c>
      <c r="BJ209" s="75">
        <f>$C209*INDEX(Curves!$I$8:$I$68,BJ$4-$B209+1)</f>
        <v/>
      </c>
      <c r="BK209" s="75">
        <f>$C209*INDEX(Curves!$I$8:$I$68,BK$4-$B209+1)</f>
        <v/>
      </c>
      <c r="BL209" s="75">
        <f>$C209*INDEX(Curves!$I$8:$I$68,BL$4-$B209+1)</f>
        <v/>
      </c>
    </row>
    <row r="210">
      <c r="A210" s="74" t="inlineStr">
        <is>
          <t>Cohort month 12</t>
        </is>
      </c>
      <c r="B210" s="74" t="n">
        <v>12</v>
      </c>
      <c r="C210" s="17">
        <f>INDEX(Ops!$E$10:$BL$10,1,$B210)</f>
        <v/>
      </c>
      <c r="Q210" s="75">
        <f>$C210*INDEX(Curves!$I$8:$I$68,Q$4-$B210+1)</f>
        <v/>
      </c>
      <c r="R210" s="75">
        <f>$C210*INDEX(Curves!$I$8:$I$68,R$4-$B210+1)</f>
        <v/>
      </c>
      <c r="S210" s="75">
        <f>$C210*INDEX(Curves!$I$8:$I$68,S$4-$B210+1)</f>
        <v/>
      </c>
      <c r="T210" s="75">
        <f>$C210*INDEX(Curves!$I$8:$I$68,T$4-$B210+1)</f>
        <v/>
      </c>
      <c r="U210" s="75">
        <f>$C210*INDEX(Curves!$I$8:$I$68,U$4-$B210+1)</f>
        <v/>
      </c>
      <c r="V210" s="75">
        <f>$C210*INDEX(Curves!$I$8:$I$68,V$4-$B210+1)</f>
        <v/>
      </c>
      <c r="W210" s="75">
        <f>$C210*INDEX(Curves!$I$8:$I$68,W$4-$B210+1)</f>
        <v/>
      </c>
      <c r="X210" s="75">
        <f>$C210*INDEX(Curves!$I$8:$I$68,X$4-$B210+1)</f>
        <v/>
      </c>
      <c r="Y210" s="75">
        <f>$C210*INDEX(Curves!$I$8:$I$68,Y$4-$B210+1)</f>
        <v/>
      </c>
      <c r="Z210" s="75">
        <f>$C210*INDEX(Curves!$I$8:$I$68,Z$4-$B210+1)</f>
        <v/>
      </c>
      <c r="AA210" s="75">
        <f>$C210*INDEX(Curves!$I$8:$I$68,AA$4-$B210+1)</f>
        <v/>
      </c>
      <c r="AB210" s="75">
        <f>$C210*INDEX(Curves!$I$8:$I$68,AB$4-$B210+1)</f>
        <v/>
      </c>
      <c r="AC210" s="75">
        <f>$C210*INDEX(Curves!$I$8:$I$68,AC$4-$B210+1)</f>
        <v/>
      </c>
      <c r="AD210" s="75">
        <f>$C210*INDEX(Curves!$I$8:$I$68,AD$4-$B210+1)</f>
        <v/>
      </c>
      <c r="AE210" s="75">
        <f>$C210*INDEX(Curves!$I$8:$I$68,AE$4-$B210+1)</f>
        <v/>
      </c>
      <c r="AF210" s="75">
        <f>$C210*INDEX(Curves!$I$8:$I$68,AF$4-$B210+1)</f>
        <v/>
      </c>
      <c r="AG210" s="75">
        <f>$C210*INDEX(Curves!$I$8:$I$68,AG$4-$B210+1)</f>
        <v/>
      </c>
      <c r="AH210" s="75">
        <f>$C210*INDEX(Curves!$I$8:$I$68,AH$4-$B210+1)</f>
        <v/>
      </c>
      <c r="AI210" s="75">
        <f>$C210*INDEX(Curves!$I$8:$I$68,AI$4-$B210+1)</f>
        <v/>
      </c>
      <c r="AJ210" s="75">
        <f>$C210*INDEX(Curves!$I$8:$I$68,AJ$4-$B210+1)</f>
        <v/>
      </c>
      <c r="AK210" s="75">
        <f>$C210*INDEX(Curves!$I$8:$I$68,AK$4-$B210+1)</f>
        <v/>
      </c>
      <c r="AL210" s="75">
        <f>$C210*INDEX(Curves!$I$8:$I$68,AL$4-$B210+1)</f>
        <v/>
      </c>
      <c r="AM210" s="75">
        <f>$C210*INDEX(Curves!$I$8:$I$68,AM$4-$B210+1)</f>
        <v/>
      </c>
      <c r="AN210" s="75">
        <f>$C210*INDEX(Curves!$I$8:$I$68,AN$4-$B210+1)</f>
        <v/>
      </c>
      <c r="AO210" s="75">
        <f>$C210*INDEX(Curves!$I$8:$I$68,AO$4-$B210+1)</f>
        <v/>
      </c>
      <c r="AP210" s="75">
        <f>$C210*INDEX(Curves!$I$8:$I$68,AP$4-$B210+1)</f>
        <v/>
      </c>
      <c r="AQ210" s="75">
        <f>$C210*INDEX(Curves!$I$8:$I$68,AQ$4-$B210+1)</f>
        <v/>
      </c>
      <c r="AR210" s="75">
        <f>$C210*INDEX(Curves!$I$8:$I$68,AR$4-$B210+1)</f>
        <v/>
      </c>
      <c r="AS210" s="75">
        <f>$C210*INDEX(Curves!$I$8:$I$68,AS$4-$B210+1)</f>
        <v/>
      </c>
      <c r="AT210" s="75">
        <f>$C210*INDEX(Curves!$I$8:$I$68,AT$4-$B210+1)</f>
        <v/>
      </c>
      <c r="AU210" s="75">
        <f>$C210*INDEX(Curves!$I$8:$I$68,AU$4-$B210+1)</f>
        <v/>
      </c>
      <c r="AV210" s="75">
        <f>$C210*INDEX(Curves!$I$8:$I$68,AV$4-$B210+1)</f>
        <v/>
      </c>
      <c r="AW210" s="75">
        <f>$C210*INDEX(Curves!$I$8:$I$68,AW$4-$B210+1)</f>
        <v/>
      </c>
      <c r="AX210" s="75">
        <f>$C210*INDEX(Curves!$I$8:$I$68,AX$4-$B210+1)</f>
        <v/>
      </c>
      <c r="AY210" s="75">
        <f>$C210*INDEX(Curves!$I$8:$I$68,AY$4-$B210+1)</f>
        <v/>
      </c>
      <c r="AZ210" s="75">
        <f>$C210*INDEX(Curves!$I$8:$I$68,AZ$4-$B210+1)</f>
        <v/>
      </c>
      <c r="BA210" s="75">
        <f>$C210*INDEX(Curves!$I$8:$I$68,BA$4-$B210+1)</f>
        <v/>
      </c>
      <c r="BB210" s="75">
        <f>$C210*INDEX(Curves!$I$8:$I$68,BB$4-$B210+1)</f>
        <v/>
      </c>
      <c r="BC210" s="75">
        <f>$C210*INDEX(Curves!$I$8:$I$68,BC$4-$B210+1)</f>
        <v/>
      </c>
      <c r="BD210" s="75">
        <f>$C210*INDEX(Curves!$I$8:$I$68,BD$4-$B210+1)</f>
        <v/>
      </c>
      <c r="BE210" s="75">
        <f>$C210*INDEX(Curves!$I$8:$I$68,BE$4-$B210+1)</f>
        <v/>
      </c>
      <c r="BF210" s="75">
        <f>$C210*INDEX(Curves!$I$8:$I$68,BF$4-$B210+1)</f>
        <v/>
      </c>
      <c r="BG210" s="75">
        <f>$C210*INDEX(Curves!$I$8:$I$68,BG$4-$B210+1)</f>
        <v/>
      </c>
      <c r="BH210" s="75">
        <f>$C210*INDEX(Curves!$I$8:$I$68,BH$4-$B210+1)</f>
        <v/>
      </c>
      <c r="BI210" s="75">
        <f>$C210*INDEX(Curves!$I$8:$I$68,BI$4-$B210+1)</f>
        <v/>
      </c>
      <c r="BJ210" s="75">
        <f>$C210*INDEX(Curves!$I$8:$I$68,BJ$4-$B210+1)</f>
        <v/>
      </c>
      <c r="BK210" s="75">
        <f>$C210*INDEX(Curves!$I$8:$I$68,BK$4-$B210+1)</f>
        <v/>
      </c>
      <c r="BL210" s="75">
        <f>$C210*INDEX(Curves!$I$8:$I$68,BL$4-$B210+1)</f>
        <v/>
      </c>
    </row>
    <row r="211">
      <c r="A211" s="74" t="inlineStr">
        <is>
          <t>Cohort month 13</t>
        </is>
      </c>
      <c r="B211" s="74" t="n">
        <v>13</v>
      </c>
      <c r="C211" s="17">
        <f>INDEX(Ops!$E$10:$BL$10,1,$B211)</f>
        <v/>
      </c>
      <c r="R211" s="75">
        <f>$C211*INDEX(Curves!$I$8:$I$68,R$4-$B211+1)</f>
        <v/>
      </c>
      <c r="S211" s="75">
        <f>$C211*INDEX(Curves!$I$8:$I$68,S$4-$B211+1)</f>
        <v/>
      </c>
      <c r="T211" s="75">
        <f>$C211*INDEX(Curves!$I$8:$I$68,T$4-$B211+1)</f>
        <v/>
      </c>
      <c r="U211" s="75">
        <f>$C211*INDEX(Curves!$I$8:$I$68,U$4-$B211+1)</f>
        <v/>
      </c>
      <c r="V211" s="75">
        <f>$C211*INDEX(Curves!$I$8:$I$68,V$4-$B211+1)</f>
        <v/>
      </c>
      <c r="W211" s="75">
        <f>$C211*INDEX(Curves!$I$8:$I$68,W$4-$B211+1)</f>
        <v/>
      </c>
      <c r="X211" s="75">
        <f>$C211*INDEX(Curves!$I$8:$I$68,X$4-$B211+1)</f>
        <v/>
      </c>
      <c r="Y211" s="75">
        <f>$C211*INDEX(Curves!$I$8:$I$68,Y$4-$B211+1)</f>
        <v/>
      </c>
      <c r="Z211" s="75">
        <f>$C211*INDEX(Curves!$I$8:$I$68,Z$4-$B211+1)</f>
        <v/>
      </c>
      <c r="AA211" s="75">
        <f>$C211*INDEX(Curves!$I$8:$I$68,AA$4-$B211+1)</f>
        <v/>
      </c>
      <c r="AB211" s="75">
        <f>$C211*INDEX(Curves!$I$8:$I$68,AB$4-$B211+1)</f>
        <v/>
      </c>
      <c r="AC211" s="75">
        <f>$C211*INDEX(Curves!$I$8:$I$68,AC$4-$B211+1)</f>
        <v/>
      </c>
      <c r="AD211" s="75">
        <f>$C211*INDEX(Curves!$I$8:$I$68,AD$4-$B211+1)</f>
        <v/>
      </c>
      <c r="AE211" s="75">
        <f>$C211*INDEX(Curves!$I$8:$I$68,AE$4-$B211+1)</f>
        <v/>
      </c>
      <c r="AF211" s="75">
        <f>$C211*INDEX(Curves!$I$8:$I$68,AF$4-$B211+1)</f>
        <v/>
      </c>
      <c r="AG211" s="75">
        <f>$C211*INDEX(Curves!$I$8:$I$68,AG$4-$B211+1)</f>
        <v/>
      </c>
      <c r="AH211" s="75">
        <f>$C211*INDEX(Curves!$I$8:$I$68,AH$4-$B211+1)</f>
        <v/>
      </c>
      <c r="AI211" s="75">
        <f>$C211*INDEX(Curves!$I$8:$I$68,AI$4-$B211+1)</f>
        <v/>
      </c>
      <c r="AJ211" s="75">
        <f>$C211*INDEX(Curves!$I$8:$I$68,AJ$4-$B211+1)</f>
        <v/>
      </c>
      <c r="AK211" s="75">
        <f>$C211*INDEX(Curves!$I$8:$I$68,AK$4-$B211+1)</f>
        <v/>
      </c>
      <c r="AL211" s="75">
        <f>$C211*INDEX(Curves!$I$8:$I$68,AL$4-$B211+1)</f>
        <v/>
      </c>
      <c r="AM211" s="75">
        <f>$C211*INDEX(Curves!$I$8:$I$68,AM$4-$B211+1)</f>
        <v/>
      </c>
      <c r="AN211" s="75">
        <f>$C211*INDEX(Curves!$I$8:$I$68,AN$4-$B211+1)</f>
        <v/>
      </c>
      <c r="AO211" s="75">
        <f>$C211*INDEX(Curves!$I$8:$I$68,AO$4-$B211+1)</f>
        <v/>
      </c>
      <c r="AP211" s="75">
        <f>$C211*INDEX(Curves!$I$8:$I$68,AP$4-$B211+1)</f>
        <v/>
      </c>
      <c r="AQ211" s="75">
        <f>$C211*INDEX(Curves!$I$8:$I$68,AQ$4-$B211+1)</f>
        <v/>
      </c>
      <c r="AR211" s="75">
        <f>$C211*INDEX(Curves!$I$8:$I$68,AR$4-$B211+1)</f>
        <v/>
      </c>
      <c r="AS211" s="75">
        <f>$C211*INDEX(Curves!$I$8:$I$68,AS$4-$B211+1)</f>
        <v/>
      </c>
      <c r="AT211" s="75">
        <f>$C211*INDEX(Curves!$I$8:$I$68,AT$4-$B211+1)</f>
        <v/>
      </c>
      <c r="AU211" s="75">
        <f>$C211*INDEX(Curves!$I$8:$I$68,AU$4-$B211+1)</f>
        <v/>
      </c>
      <c r="AV211" s="75">
        <f>$C211*INDEX(Curves!$I$8:$I$68,AV$4-$B211+1)</f>
        <v/>
      </c>
      <c r="AW211" s="75">
        <f>$C211*INDEX(Curves!$I$8:$I$68,AW$4-$B211+1)</f>
        <v/>
      </c>
      <c r="AX211" s="75">
        <f>$C211*INDEX(Curves!$I$8:$I$68,AX$4-$B211+1)</f>
        <v/>
      </c>
      <c r="AY211" s="75">
        <f>$C211*INDEX(Curves!$I$8:$I$68,AY$4-$B211+1)</f>
        <v/>
      </c>
      <c r="AZ211" s="75">
        <f>$C211*INDEX(Curves!$I$8:$I$68,AZ$4-$B211+1)</f>
        <v/>
      </c>
      <c r="BA211" s="75">
        <f>$C211*INDEX(Curves!$I$8:$I$68,BA$4-$B211+1)</f>
        <v/>
      </c>
      <c r="BB211" s="75">
        <f>$C211*INDEX(Curves!$I$8:$I$68,BB$4-$B211+1)</f>
        <v/>
      </c>
      <c r="BC211" s="75">
        <f>$C211*INDEX(Curves!$I$8:$I$68,BC$4-$B211+1)</f>
        <v/>
      </c>
      <c r="BD211" s="75">
        <f>$C211*INDEX(Curves!$I$8:$I$68,BD$4-$B211+1)</f>
        <v/>
      </c>
      <c r="BE211" s="75">
        <f>$C211*INDEX(Curves!$I$8:$I$68,BE$4-$B211+1)</f>
        <v/>
      </c>
      <c r="BF211" s="75">
        <f>$C211*INDEX(Curves!$I$8:$I$68,BF$4-$B211+1)</f>
        <v/>
      </c>
      <c r="BG211" s="75">
        <f>$C211*INDEX(Curves!$I$8:$I$68,BG$4-$B211+1)</f>
        <v/>
      </c>
      <c r="BH211" s="75">
        <f>$C211*INDEX(Curves!$I$8:$I$68,BH$4-$B211+1)</f>
        <v/>
      </c>
      <c r="BI211" s="75">
        <f>$C211*INDEX(Curves!$I$8:$I$68,BI$4-$B211+1)</f>
        <v/>
      </c>
      <c r="BJ211" s="75">
        <f>$C211*INDEX(Curves!$I$8:$I$68,BJ$4-$B211+1)</f>
        <v/>
      </c>
      <c r="BK211" s="75">
        <f>$C211*INDEX(Curves!$I$8:$I$68,BK$4-$B211+1)</f>
        <v/>
      </c>
      <c r="BL211" s="75">
        <f>$C211*INDEX(Curves!$I$8:$I$68,BL$4-$B211+1)</f>
        <v/>
      </c>
    </row>
    <row r="212">
      <c r="A212" s="74" t="inlineStr">
        <is>
          <t>Cohort month 14</t>
        </is>
      </c>
      <c r="B212" s="74" t="n">
        <v>14</v>
      </c>
      <c r="C212" s="17">
        <f>INDEX(Ops!$E$10:$BL$10,1,$B212)</f>
        <v/>
      </c>
      <c r="S212" s="75">
        <f>$C212*INDEX(Curves!$I$8:$I$68,S$4-$B212+1)</f>
        <v/>
      </c>
      <c r="T212" s="75">
        <f>$C212*INDEX(Curves!$I$8:$I$68,T$4-$B212+1)</f>
        <v/>
      </c>
      <c r="U212" s="75">
        <f>$C212*INDEX(Curves!$I$8:$I$68,U$4-$B212+1)</f>
        <v/>
      </c>
      <c r="V212" s="75">
        <f>$C212*INDEX(Curves!$I$8:$I$68,V$4-$B212+1)</f>
        <v/>
      </c>
      <c r="W212" s="75">
        <f>$C212*INDEX(Curves!$I$8:$I$68,W$4-$B212+1)</f>
        <v/>
      </c>
      <c r="X212" s="75">
        <f>$C212*INDEX(Curves!$I$8:$I$68,X$4-$B212+1)</f>
        <v/>
      </c>
      <c r="Y212" s="75">
        <f>$C212*INDEX(Curves!$I$8:$I$68,Y$4-$B212+1)</f>
        <v/>
      </c>
      <c r="Z212" s="75">
        <f>$C212*INDEX(Curves!$I$8:$I$68,Z$4-$B212+1)</f>
        <v/>
      </c>
      <c r="AA212" s="75">
        <f>$C212*INDEX(Curves!$I$8:$I$68,AA$4-$B212+1)</f>
        <v/>
      </c>
      <c r="AB212" s="75">
        <f>$C212*INDEX(Curves!$I$8:$I$68,AB$4-$B212+1)</f>
        <v/>
      </c>
      <c r="AC212" s="75">
        <f>$C212*INDEX(Curves!$I$8:$I$68,AC$4-$B212+1)</f>
        <v/>
      </c>
      <c r="AD212" s="75">
        <f>$C212*INDEX(Curves!$I$8:$I$68,AD$4-$B212+1)</f>
        <v/>
      </c>
      <c r="AE212" s="75">
        <f>$C212*INDEX(Curves!$I$8:$I$68,AE$4-$B212+1)</f>
        <v/>
      </c>
      <c r="AF212" s="75">
        <f>$C212*INDEX(Curves!$I$8:$I$68,AF$4-$B212+1)</f>
        <v/>
      </c>
      <c r="AG212" s="75">
        <f>$C212*INDEX(Curves!$I$8:$I$68,AG$4-$B212+1)</f>
        <v/>
      </c>
      <c r="AH212" s="75">
        <f>$C212*INDEX(Curves!$I$8:$I$68,AH$4-$B212+1)</f>
        <v/>
      </c>
      <c r="AI212" s="75">
        <f>$C212*INDEX(Curves!$I$8:$I$68,AI$4-$B212+1)</f>
        <v/>
      </c>
      <c r="AJ212" s="75">
        <f>$C212*INDEX(Curves!$I$8:$I$68,AJ$4-$B212+1)</f>
        <v/>
      </c>
      <c r="AK212" s="75">
        <f>$C212*INDEX(Curves!$I$8:$I$68,AK$4-$B212+1)</f>
        <v/>
      </c>
      <c r="AL212" s="75">
        <f>$C212*INDEX(Curves!$I$8:$I$68,AL$4-$B212+1)</f>
        <v/>
      </c>
      <c r="AM212" s="75">
        <f>$C212*INDEX(Curves!$I$8:$I$68,AM$4-$B212+1)</f>
        <v/>
      </c>
      <c r="AN212" s="75">
        <f>$C212*INDEX(Curves!$I$8:$I$68,AN$4-$B212+1)</f>
        <v/>
      </c>
      <c r="AO212" s="75">
        <f>$C212*INDEX(Curves!$I$8:$I$68,AO$4-$B212+1)</f>
        <v/>
      </c>
      <c r="AP212" s="75">
        <f>$C212*INDEX(Curves!$I$8:$I$68,AP$4-$B212+1)</f>
        <v/>
      </c>
      <c r="AQ212" s="75">
        <f>$C212*INDEX(Curves!$I$8:$I$68,AQ$4-$B212+1)</f>
        <v/>
      </c>
      <c r="AR212" s="75">
        <f>$C212*INDEX(Curves!$I$8:$I$68,AR$4-$B212+1)</f>
        <v/>
      </c>
      <c r="AS212" s="75">
        <f>$C212*INDEX(Curves!$I$8:$I$68,AS$4-$B212+1)</f>
        <v/>
      </c>
      <c r="AT212" s="75">
        <f>$C212*INDEX(Curves!$I$8:$I$68,AT$4-$B212+1)</f>
        <v/>
      </c>
      <c r="AU212" s="75">
        <f>$C212*INDEX(Curves!$I$8:$I$68,AU$4-$B212+1)</f>
        <v/>
      </c>
      <c r="AV212" s="75">
        <f>$C212*INDEX(Curves!$I$8:$I$68,AV$4-$B212+1)</f>
        <v/>
      </c>
      <c r="AW212" s="75">
        <f>$C212*INDEX(Curves!$I$8:$I$68,AW$4-$B212+1)</f>
        <v/>
      </c>
      <c r="AX212" s="75">
        <f>$C212*INDEX(Curves!$I$8:$I$68,AX$4-$B212+1)</f>
        <v/>
      </c>
      <c r="AY212" s="75">
        <f>$C212*INDEX(Curves!$I$8:$I$68,AY$4-$B212+1)</f>
        <v/>
      </c>
      <c r="AZ212" s="75">
        <f>$C212*INDEX(Curves!$I$8:$I$68,AZ$4-$B212+1)</f>
        <v/>
      </c>
      <c r="BA212" s="75">
        <f>$C212*INDEX(Curves!$I$8:$I$68,BA$4-$B212+1)</f>
        <v/>
      </c>
      <c r="BB212" s="75">
        <f>$C212*INDEX(Curves!$I$8:$I$68,BB$4-$B212+1)</f>
        <v/>
      </c>
      <c r="BC212" s="75">
        <f>$C212*INDEX(Curves!$I$8:$I$68,BC$4-$B212+1)</f>
        <v/>
      </c>
      <c r="BD212" s="75">
        <f>$C212*INDEX(Curves!$I$8:$I$68,BD$4-$B212+1)</f>
        <v/>
      </c>
      <c r="BE212" s="75">
        <f>$C212*INDEX(Curves!$I$8:$I$68,BE$4-$B212+1)</f>
        <v/>
      </c>
      <c r="BF212" s="75">
        <f>$C212*INDEX(Curves!$I$8:$I$68,BF$4-$B212+1)</f>
        <v/>
      </c>
      <c r="BG212" s="75">
        <f>$C212*INDEX(Curves!$I$8:$I$68,BG$4-$B212+1)</f>
        <v/>
      </c>
      <c r="BH212" s="75">
        <f>$C212*INDEX(Curves!$I$8:$I$68,BH$4-$B212+1)</f>
        <v/>
      </c>
      <c r="BI212" s="75">
        <f>$C212*INDEX(Curves!$I$8:$I$68,BI$4-$B212+1)</f>
        <v/>
      </c>
      <c r="BJ212" s="75">
        <f>$C212*INDEX(Curves!$I$8:$I$68,BJ$4-$B212+1)</f>
        <v/>
      </c>
      <c r="BK212" s="75">
        <f>$C212*INDEX(Curves!$I$8:$I$68,BK$4-$B212+1)</f>
        <v/>
      </c>
      <c r="BL212" s="75">
        <f>$C212*INDEX(Curves!$I$8:$I$68,BL$4-$B212+1)</f>
        <v/>
      </c>
    </row>
    <row r="213">
      <c r="A213" s="74" t="inlineStr">
        <is>
          <t>Cohort month 15</t>
        </is>
      </c>
      <c r="B213" s="74" t="n">
        <v>15</v>
      </c>
      <c r="C213" s="17">
        <f>INDEX(Ops!$E$10:$BL$10,1,$B213)</f>
        <v/>
      </c>
      <c r="T213" s="75">
        <f>$C213*INDEX(Curves!$I$8:$I$68,T$4-$B213+1)</f>
        <v/>
      </c>
      <c r="U213" s="75">
        <f>$C213*INDEX(Curves!$I$8:$I$68,U$4-$B213+1)</f>
        <v/>
      </c>
      <c r="V213" s="75">
        <f>$C213*INDEX(Curves!$I$8:$I$68,V$4-$B213+1)</f>
        <v/>
      </c>
      <c r="W213" s="75">
        <f>$C213*INDEX(Curves!$I$8:$I$68,W$4-$B213+1)</f>
        <v/>
      </c>
      <c r="X213" s="75">
        <f>$C213*INDEX(Curves!$I$8:$I$68,X$4-$B213+1)</f>
        <v/>
      </c>
      <c r="Y213" s="75">
        <f>$C213*INDEX(Curves!$I$8:$I$68,Y$4-$B213+1)</f>
        <v/>
      </c>
      <c r="Z213" s="75">
        <f>$C213*INDEX(Curves!$I$8:$I$68,Z$4-$B213+1)</f>
        <v/>
      </c>
      <c r="AA213" s="75">
        <f>$C213*INDEX(Curves!$I$8:$I$68,AA$4-$B213+1)</f>
        <v/>
      </c>
      <c r="AB213" s="75">
        <f>$C213*INDEX(Curves!$I$8:$I$68,AB$4-$B213+1)</f>
        <v/>
      </c>
      <c r="AC213" s="75">
        <f>$C213*INDEX(Curves!$I$8:$I$68,AC$4-$B213+1)</f>
        <v/>
      </c>
      <c r="AD213" s="75">
        <f>$C213*INDEX(Curves!$I$8:$I$68,AD$4-$B213+1)</f>
        <v/>
      </c>
      <c r="AE213" s="75">
        <f>$C213*INDEX(Curves!$I$8:$I$68,AE$4-$B213+1)</f>
        <v/>
      </c>
      <c r="AF213" s="75">
        <f>$C213*INDEX(Curves!$I$8:$I$68,AF$4-$B213+1)</f>
        <v/>
      </c>
      <c r="AG213" s="75">
        <f>$C213*INDEX(Curves!$I$8:$I$68,AG$4-$B213+1)</f>
        <v/>
      </c>
      <c r="AH213" s="75">
        <f>$C213*INDEX(Curves!$I$8:$I$68,AH$4-$B213+1)</f>
        <v/>
      </c>
      <c r="AI213" s="75">
        <f>$C213*INDEX(Curves!$I$8:$I$68,AI$4-$B213+1)</f>
        <v/>
      </c>
      <c r="AJ213" s="75">
        <f>$C213*INDEX(Curves!$I$8:$I$68,AJ$4-$B213+1)</f>
        <v/>
      </c>
      <c r="AK213" s="75">
        <f>$C213*INDEX(Curves!$I$8:$I$68,AK$4-$B213+1)</f>
        <v/>
      </c>
      <c r="AL213" s="75">
        <f>$C213*INDEX(Curves!$I$8:$I$68,AL$4-$B213+1)</f>
        <v/>
      </c>
      <c r="AM213" s="75">
        <f>$C213*INDEX(Curves!$I$8:$I$68,AM$4-$B213+1)</f>
        <v/>
      </c>
      <c r="AN213" s="75">
        <f>$C213*INDEX(Curves!$I$8:$I$68,AN$4-$B213+1)</f>
        <v/>
      </c>
      <c r="AO213" s="75">
        <f>$C213*INDEX(Curves!$I$8:$I$68,AO$4-$B213+1)</f>
        <v/>
      </c>
      <c r="AP213" s="75">
        <f>$C213*INDEX(Curves!$I$8:$I$68,AP$4-$B213+1)</f>
        <v/>
      </c>
      <c r="AQ213" s="75">
        <f>$C213*INDEX(Curves!$I$8:$I$68,AQ$4-$B213+1)</f>
        <v/>
      </c>
      <c r="AR213" s="75">
        <f>$C213*INDEX(Curves!$I$8:$I$68,AR$4-$B213+1)</f>
        <v/>
      </c>
      <c r="AS213" s="75">
        <f>$C213*INDEX(Curves!$I$8:$I$68,AS$4-$B213+1)</f>
        <v/>
      </c>
      <c r="AT213" s="75">
        <f>$C213*INDEX(Curves!$I$8:$I$68,AT$4-$B213+1)</f>
        <v/>
      </c>
      <c r="AU213" s="75">
        <f>$C213*INDEX(Curves!$I$8:$I$68,AU$4-$B213+1)</f>
        <v/>
      </c>
      <c r="AV213" s="75">
        <f>$C213*INDEX(Curves!$I$8:$I$68,AV$4-$B213+1)</f>
        <v/>
      </c>
      <c r="AW213" s="75">
        <f>$C213*INDEX(Curves!$I$8:$I$68,AW$4-$B213+1)</f>
        <v/>
      </c>
      <c r="AX213" s="75">
        <f>$C213*INDEX(Curves!$I$8:$I$68,AX$4-$B213+1)</f>
        <v/>
      </c>
      <c r="AY213" s="75">
        <f>$C213*INDEX(Curves!$I$8:$I$68,AY$4-$B213+1)</f>
        <v/>
      </c>
      <c r="AZ213" s="75">
        <f>$C213*INDEX(Curves!$I$8:$I$68,AZ$4-$B213+1)</f>
        <v/>
      </c>
      <c r="BA213" s="75">
        <f>$C213*INDEX(Curves!$I$8:$I$68,BA$4-$B213+1)</f>
        <v/>
      </c>
      <c r="BB213" s="75">
        <f>$C213*INDEX(Curves!$I$8:$I$68,BB$4-$B213+1)</f>
        <v/>
      </c>
      <c r="BC213" s="75">
        <f>$C213*INDEX(Curves!$I$8:$I$68,BC$4-$B213+1)</f>
        <v/>
      </c>
      <c r="BD213" s="75">
        <f>$C213*INDEX(Curves!$I$8:$I$68,BD$4-$B213+1)</f>
        <v/>
      </c>
      <c r="BE213" s="75">
        <f>$C213*INDEX(Curves!$I$8:$I$68,BE$4-$B213+1)</f>
        <v/>
      </c>
      <c r="BF213" s="75">
        <f>$C213*INDEX(Curves!$I$8:$I$68,BF$4-$B213+1)</f>
        <v/>
      </c>
      <c r="BG213" s="75">
        <f>$C213*INDEX(Curves!$I$8:$I$68,BG$4-$B213+1)</f>
        <v/>
      </c>
      <c r="BH213" s="75">
        <f>$C213*INDEX(Curves!$I$8:$I$68,BH$4-$B213+1)</f>
        <v/>
      </c>
      <c r="BI213" s="75">
        <f>$C213*INDEX(Curves!$I$8:$I$68,BI$4-$B213+1)</f>
        <v/>
      </c>
      <c r="BJ213" s="75">
        <f>$C213*INDEX(Curves!$I$8:$I$68,BJ$4-$B213+1)</f>
        <v/>
      </c>
      <c r="BK213" s="75">
        <f>$C213*INDEX(Curves!$I$8:$I$68,BK$4-$B213+1)</f>
        <v/>
      </c>
      <c r="BL213" s="75">
        <f>$C213*INDEX(Curves!$I$8:$I$68,BL$4-$B213+1)</f>
        <v/>
      </c>
    </row>
    <row r="214">
      <c r="A214" s="74" t="inlineStr">
        <is>
          <t>Cohort month 16</t>
        </is>
      </c>
      <c r="B214" s="74" t="n">
        <v>16</v>
      </c>
      <c r="C214" s="17">
        <f>INDEX(Ops!$E$10:$BL$10,1,$B214)</f>
        <v/>
      </c>
      <c r="U214" s="75">
        <f>$C214*INDEX(Curves!$I$8:$I$68,U$4-$B214+1)</f>
        <v/>
      </c>
      <c r="V214" s="75">
        <f>$C214*INDEX(Curves!$I$8:$I$68,V$4-$B214+1)</f>
        <v/>
      </c>
      <c r="W214" s="75">
        <f>$C214*INDEX(Curves!$I$8:$I$68,W$4-$B214+1)</f>
        <v/>
      </c>
      <c r="X214" s="75">
        <f>$C214*INDEX(Curves!$I$8:$I$68,X$4-$B214+1)</f>
        <v/>
      </c>
      <c r="Y214" s="75">
        <f>$C214*INDEX(Curves!$I$8:$I$68,Y$4-$B214+1)</f>
        <v/>
      </c>
      <c r="Z214" s="75">
        <f>$C214*INDEX(Curves!$I$8:$I$68,Z$4-$B214+1)</f>
        <v/>
      </c>
      <c r="AA214" s="75">
        <f>$C214*INDEX(Curves!$I$8:$I$68,AA$4-$B214+1)</f>
        <v/>
      </c>
      <c r="AB214" s="75">
        <f>$C214*INDEX(Curves!$I$8:$I$68,AB$4-$B214+1)</f>
        <v/>
      </c>
      <c r="AC214" s="75">
        <f>$C214*INDEX(Curves!$I$8:$I$68,AC$4-$B214+1)</f>
        <v/>
      </c>
      <c r="AD214" s="75">
        <f>$C214*INDEX(Curves!$I$8:$I$68,AD$4-$B214+1)</f>
        <v/>
      </c>
      <c r="AE214" s="75">
        <f>$C214*INDEX(Curves!$I$8:$I$68,AE$4-$B214+1)</f>
        <v/>
      </c>
      <c r="AF214" s="75">
        <f>$C214*INDEX(Curves!$I$8:$I$68,AF$4-$B214+1)</f>
        <v/>
      </c>
      <c r="AG214" s="75">
        <f>$C214*INDEX(Curves!$I$8:$I$68,AG$4-$B214+1)</f>
        <v/>
      </c>
      <c r="AH214" s="75">
        <f>$C214*INDEX(Curves!$I$8:$I$68,AH$4-$B214+1)</f>
        <v/>
      </c>
      <c r="AI214" s="75">
        <f>$C214*INDEX(Curves!$I$8:$I$68,AI$4-$B214+1)</f>
        <v/>
      </c>
      <c r="AJ214" s="75">
        <f>$C214*INDEX(Curves!$I$8:$I$68,AJ$4-$B214+1)</f>
        <v/>
      </c>
      <c r="AK214" s="75">
        <f>$C214*INDEX(Curves!$I$8:$I$68,AK$4-$B214+1)</f>
        <v/>
      </c>
      <c r="AL214" s="75">
        <f>$C214*INDEX(Curves!$I$8:$I$68,AL$4-$B214+1)</f>
        <v/>
      </c>
      <c r="AM214" s="75">
        <f>$C214*INDEX(Curves!$I$8:$I$68,AM$4-$B214+1)</f>
        <v/>
      </c>
      <c r="AN214" s="75">
        <f>$C214*INDEX(Curves!$I$8:$I$68,AN$4-$B214+1)</f>
        <v/>
      </c>
      <c r="AO214" s="75">
        <f>$C214*INDEX(Curves!$I$8:$I$68,AO$4-$B214+1)</f>
        <v/>
      </c>
      <c r="AP214" s="75">
        <f>$C214*INDEX(Curves!$I$8:$I$68,AP$4-$B214+1)</f>
        <v/>
      </c>
      <c r="AQ214" s="75">
        <f>$C214*INDEX(Curves!$I$8:$I$68,AQ$4-$B214+1)</f>
        <v/>
      </c>
      <c r="AR214" s="75">
        <f>$C214*INDEX(Curves!$I$8:$I$68,AR$4-$B214+1)</f>
        <v/>
      </c>
      <c r="AS214" s="75">
        <f>$C214*INDEX(Curves!$I$8:$I$68,AS$4-$B214+1)</f>
        <v/>
      </c>
      <c r="AT214" s="75">
        <f>$C214*INDEX(Curves!$I$8:$I$68,AT$4-$B214+1)</f>
        <v/>
      </c>
      <c r="AU214" s="75">
        <f>$C214*INDEX(Curves!$I$8:$I$68,AU$4-$B214+1)</f>
        <v/>
      </c>
      <c r="AV214" s="75">
        <f>$C214*INDEX(Curves!$I$8:$I$68,AV$4-$B214+1)</f>
        <v/>
      </c>
      <c r="AW214" s="75">
        <f>$C214*INDEX(Curves!$I$8:$I$68,AW$4-$B214+1)</f>
        <v/>
      </c>
      <c r="AX214" s="75">
        <f>$C214*INDEX(Curves!$I$8:$I$68,AX$4-$B214+1)</f>
        <v/>
      </c>
      <c r="AY214" s="75">
        <f>$C214*INDEX(Curves!$I$8:$I$68,AY$4-$B214+1)</f>
        <v/>
      </c>
      <c r="AZ214" s="75">
        <f>$C214*INDEX(Curves!$I$8:$I$68,AZ$4-$B214+1)</f>
        <v/>
      </c>
      <c r="BA214" s="75">
        <f>$C214*INDEX(Curves!$I$8:$I$68,BA$4-$B214+1)</f>
        <v/>
      </c>
      <c r="BB214" s="75">
        <f>$C214*INDEX(Curves!$I$8:$I$68,BB$4-$B214+1)</f>
        <v/>
      </c>
      <c r="BC214" s="75">
        <f>$C214*INDEX(Curves!$I$8:$I$68,BC$4-$B214+1)</f>
        <v/>
      </c>
      <c r="BD214" s="75">
        <f>$C214*INDEX(Curves!$I$8:$I$68,BD$4-$B214+1)</f>
        <v/>
      </c>
      <c r="BE214" s="75">
        <f>$C214*INDEX(Curves!$I$8:$I$68,BE$4-$B214+1)</f>
        <v/>
      </c>
      <c r="BF214" s="75">
        <f>$C214*INDEX(Curves!$I$8:$I$68,BF$4-$B214+1)</f>
        <v/>
      </c>
      <c r="BG214" s="75">
        <f>$C214*INDEX(Curves!$I$8:$I$68,BG$4-$B214+1)</f>
        <v/>
      </c>
      <c r="BH214" s="75">
        <f>$C214*INDEX(Curves!$I$8:$I$68,BH$4-$B214+1)</f>
        <v/>
      </c>
      <c r="BI214" s="75">
        <f>$C214*INDEX(Curves!$I$8:$I$68,BI$4-$B214+1)</f>
        <v/>
      </c>
      <c r="BJ214" s="75">
        <f>$C214*INDEX(Curves!$I$8:$I$68,BJ$4-$B214+1)</f>
        <v/>
      </c>
      <c r="BK214" s="75">
        <f>$C214*INDEX(Curves!$I$8:$I$68,BK$4-$B214+1)</f>
        <v/>
      </c>
      <c r="BL214" s="75">
        <f>$C214*INDEX(Curves!$I$8:$I$68,BL$4-$B214+1)</f>
        <v/>
      </c>
    </row>
    <row r="215">
      <c r="A215" s="74" t="inlineStr">
        <is>
          <t>Cohort month 17</t>
        </is>
      </c>
      <c r="B215" s="74" t="n">
        <v>17</v>
      </c>
      <c r="C215" s="17">
        <f>INDEX(Ops!$E$10:$BL$10,1,$B215)</f>
        <v/>
      </c>
      <c r="V215" s="75">
        <f>$C215*INDEX(Curves!$I$8:$I$68,V$4-$B215+1)</f>
        <v/>
      </c>
      <c r="W215" s="75">
        <f>$C215*INDEX(Curves!$I$8:$I$68,W$4-$B215+1)</f>
        <v/>
      </c>
      <c r="X215" s="75">
        <f>$C215*INDEX(Curves!$I$8:$I$68,X$4-$B215+1)</f>
        <v/>
      </c>
      <c r="Y215" s="75">
        <f>$C215*INDEX(Curves!$I$8:$I$68,Y$4-$B215+1)</f>
        <v/>
      </c>
      <c r="Z215" s="75">
        <f>$C215*INDEX(Curves!$I$8:$I$68,Z$4-$B215+1)</f>
        <v/>
      </c>
      <c r="AA215" s="75">
        <f>$C215*INDEX(Curves!$I$8:$I$68,AA$4-$B215+1)</f>
        <v/>
      </c>
      <c r="AB215" s="75">
        <f>$C215*INDEX(Curves!$I$8:$I$68,AB$4-$B215+1)</f>
        <v/>
      </c>
      <c r="AC215" s="75">
        <f>$C215*INDEX(Curves!$I$8:$I$68,AC$4-$B215+1)</f>
        <v/>
      </c>
      <c r="AD215" s="75">
        <f>$C215*INDEX(Curves!$I$8:$I$68,AD$4-$B215+1)</f>
        <v/>
      </c>
      <c r="AE215" s="75">
        <f>$C215*INDEX(Curves!$I$8:$I$68,AE$4-$B215+1)</f>
        <v/>
      </c>
      <c r="AF215" s="75">
        <f>$C215*INDEX(Curves!$I$8:$I$68,AF$4-$B215+1)</f>
        <v/>
      </c>
      <c r="AG215" s="75">
        <f>$C215*INDEX(Curves!$I$8:$I$68,AG$4-$B215+1)</f>
        <v/>
      </c>
      <c r="AH215" s="75">
        <f>$C215*INDEX(Curves!$I$8:$I$68,AH$4-$B215+1)</f>
        <v/>
      </c>
      <c r="AI215" s="75">
        <f>$C215*INDEX(Curves!$I$8:$I$68,AI$4-$B215+1)</f>
        <v/>
      </c>
      <c r="AJ215" s="75">
        <f>$C215*INDEX(Curves!$I$8:$I$68,AJ$4-$B215+1)</f>
        <v/>
      </c>
      <c r="AK215" s="75">
        <f>$C215*INDEX(Curves!$I$8:$I$68,AK$4-$B215+1)</f>
        <v/>
      </c>
      <c r="AL215" s="75">
        <f>$C215*INDEX(Curves!$I$8:$I$68,AL$4-$B215+1)</f>
        <v/>
      </c>
      <c r="AM215" s="75">
        <f>$C215*INDEX(Curves!$I$8:$I$68,AM$4-$B215+1)</f>
        <v/>
      </c>
      <c r="AN215" s="75">
        <f>$C215*INDEX(Curves!$I$8:$I$68,AN$4-$B215+1)</f>
        <v/>
      </c>
      <c r="AO215" s="75">
        <f>$C215*INDEX(Curves!$I$8:$I$68,AO$4-$B215+1)</f>
        <v/>
      </c>
      <c r="AP215" s="75">
        <f>$C215*INDEX(Curves!$I$8:$I$68,AP$4-$B215+1)</f>
        <v/>
      </c>
      <c r="AQ215" s="75">
        <f>$C215*INDEX(Curves!$I$8:$I$68,AQ$4-$B215+1)</f>
        <v/>
      </c>
      <c r="AR215" s="75">
        <f>$C215*INDEX(Curves!$I$8:$I$68,AR$4-$B215+1)</f>
        <v/>
      </c>
      <c r="AS215" s="75">
        <f>$C215*INDEX(Curves!$I$8:$I$68,AS$4-$B215+1)</f>
        <v/>
      </c>
      <c r="AT215" s="75">
        <f>$C215*INDEX(Curves!$I$8:$I$68,AT$4-$B215+1)</f>
        <v/>
      </c>
      <c r="AU215" s="75">
        <f>$C215*INDEX(Curves!$I$8:$I$68,AU$4-$B215+1)</f>
        <v/>
      </c>
      <c r="AV215" s="75">
        <f>$C215*INDEX(Curves!$I$8:$I$68,AV$4-$B215+1)</f>
        <v/>
      </c>
      <c r="AW215" s="75">
        <f>$C215*INDEX(Curves!$I$8:$I$68,AW$4-$B215+1)</f>
        <v/>
      </c>
      <c r="AX215" s="75">
        <f>$C215*INDEX(Curves!$I$8:$I$68,AX$4-$B215+1)</f>
        <v/>
      </c>
      <c r="AY215" s="75">
        <f>$C215*INDEX(Curves!$I$8:$I$68,AY$4-$B215+1)</f>
        <v/>
      </c>
      <c r="AZ215" s="75">
        <f>$C215*INDEX(Curves!$I$8:$I$68,AZ$4-$B215+1)</f>
        <v/>
      </c>
      <c r="BA215" s="75">
        <f>$C215*INDEX(Curves!$I$8:$I$68,BA$4-$B215+1)</f>
        <v/>
      </c>
      <c r="BB215" s="75">
        <f>$C215*INDEX(Curves!$I$8:$I$68,BB$4-$B215+1)</f>
        <v/>
      </c>
      <c r="BC215" s="75">
        <f>$C215*INDEX(Curves!$I$8:$I$68,BC$4-$B215+1)</f>
        <v/>
      </c>
      <c r="BD215" s="75">
        <f>$C215*INDEX(Curves!$I$8:$I$68,BD$4-$B215+1)</f>
        <v/>
      </c>
      <c r="BE215" s="75">
        <f>$C215*INDEX(Curves!$I$8:$I$68,BE$4-$B215+1)</f>
        <v/>
      </c>
      <c r="BF215" s="75">
        <f>$C215*INDEX(Curves!$I$8:$I$68,BF$4-$B215+1)</f>
        <v/>
      </c>
      <c r="BG215" s="75">
        <f>$C215*INDEX(Curves!$I$8:$I$68,BG$4-$B215+1)</f>
        <v/>
      </c>
      <c r="BH215" s="75">
        <f>$C215*INDEX(Curves!$I$8:$I$68,BH$4-$B215+1)</f>
        <v/>
      </c>
      <c r="BI215" s="75">
        <f>$C215*INDEX(Curves!$I$8:$I$68,BI$4-$B215+1)</f>
        <v/>
      </c>
      <c r="BJ215" s="75">
        <f>$C215*INDEX(Curves!$I$8:$I$68,BJ$4-$B215+1)</f>
        <v/>
      </c>
      <c r="BK215" s="75">
        <f>$C215*INDEX(Curves!$I$8:$I$68,BK$4-$B215+1)</f>
        <v/>
      </c>
      <c r="BL215" s="75">
        <f>$C215*INDEX(Curves!$I$8:$I$68,BL$4-$B215+1)</f>
        <v/>
      </c>
    </row>
    <row r="216">
      <c r="A216" s="74" t="inlineStr">
        <is>
          <t>Cohort month 18</t>
        </is>
      </c>
      <c r="B216" s="74" t="n">
        <v>18</v>
      </c>
      <c r="C216" s="17">
        <f>INDEX(Ops!$E$10:$BL$10,1,$B216)</f>
        <v/>
      </c>
      <c r="W216" s="75">
        <f>$C216*INDEX(Curves!$I$8:$I$68,W$4-$B216+1)</f>
        <v/>
      </c>
      <c r="X216" s="75">
        <f>$C216*INDEX(Curves!$I$8:$I$68,X$4-$B216+1)</f>
        <v/>
      </c>
      <c r="Y216" s="75">
        <f>$C216*INDEX(Curves!$I$8:$I$68,Y$4-$B216+1)</f>
        <v/>
      </c>
      <c r="Z216" s="75">
        <f>$C216*INDEX(Curves!$I$8:$I$68,Z$4-$B216+1)</f>
        <v/>
      </c>
      <c r="AA216" s="75">
        <f>$C216*INDEX(Curves!$I$8:$I$68,AA$4-$B216+1)</f>
        <v/>
      </c>
      <c r="AB216" s="75">
        <f>$C216*INDEX(Curves!$I$8:$I$68,AB$4-$B216+1)</f>
        <v/>
      </c>
      <c r="AC216" s="75">
        <f>$C216*INDEX(Curves!$I$8:$I$68,AC$4-$B216+1)</f>
        <v/>
      </c>
      <c r="AD216" s="75">
        <f>$C216*INDEX(Curves!$I$8:$I$68,AD$4-$B216+1)</f>
        <v/>
      </c>
      <c r="AE216" s="75">
        <f>$C216*INDEX(Curves!$I$8:$I$68,AE$4-$B216+1)</f>
        <v/>
      </c>
      <c r="AF216" s="75">
        <f>$C216*INDEX(Curves!$I$8:$I$68,AF$4-$B216+1)</f>
        <v/>
      </c>
      <c r="AG216" s="75">
        <f>$C216*INDEX(Curves!$I$8:$I$68,AG$4-$B216+1)</f>
        <v/>
      </c>
      <c r="AH216" s="75">
        <f>$C216*INDEX(Curves!$I$8:$I$68,AH$4-$B216+1)</f>
        <v/>
      </c>
      <c r="AI216" s="75">
        <f>$C216*INDEX(Curves!$I$8:$I$68,AI$4-$B216+1)</f>
        <v/>
      </c>
      <c r="AJ216" s="75">
        <f>$C216*INDEX(Curves!$I$8:$I$68,AJ$4-$B216+1)</f>
        <v/>
      </c>
      <c r="AK216" s="75">
        <f>$C216*INDEX(Curves!$I$8:$I$68,AK$4-$B216+1)</f>
        <v/>
      </c>
      <c r="AL216" s="75">
        <f>$C216*INDEX(Curves!$I$8:$I$68,AL$4-$B216+1)</f>
        <v/>
      </c>
      <c r="AM216" s="75">
        <f>$C216*INDEX(Curves!$I$8:$I$68,AM$4-$B216+1)</f>
        <v/>
      </c>
      <c r="AN216" s="75">
        <f>$C216*INDEX(Curves!$I$8:$I$68,AN$4-$B216+1)</f>
        <v/>
      </c>
      <c r="AO216" s="75">
        <f>$C216*INDEX(Curves!$I$8:$I$68,AO$4-$B216+1)</f>
        <v/>
      </c>
      <c r="AP216" s="75">
        <f>$C216*INDEX(Curves!$I$8:$I$68,AP$4-$B216+1)</f>
        <v/>
      </c>
      <c r="AQ216" s="75">
        <f>$C216*INDEX(Curves!$I$8:$I$68,AQ$4-$B216+1)</f>
        <v/>
      </c>
      <c r="AR216" s="75">
        <f>$C216*INDEX(Curves!$I$8:$I$68,AR$4-$B216+1)</f>
        <v/>
      </c>
      <c r="AS216" s="75">
        <f>$C216*INDEX(Curves!$I$8:$I$68,AS$4-$B216+1)</f>
        <v/>
      </c>
      <c r="AT216" s="75">
        <f>$C216*INDEX(Curves!$I$8:$I$68,AT$4-$B216+1)</f>
        <v/>
      </c>
      <c r="AU216" s="75">
        <f>$C216*INDEX(Curves!$I$8:$I$68,AU$4-$B216+1)</f>
        <v/>
      </c>
      <c r="AV216" s="75">
        <f>$C216*INDEX(Curves!$I$8:$I$68,AV$4-$B216+1)</f>
        <v/>
      </c>
      <c r="AW216" s="75">
        <f>$C216*INDEX(Curves!$I$8:$I$68,AW$4-$B216+1)</f>
        <v/>
      </c>
      <c r="AX216" s="75">
        <f>$C216*INDEX(Curves!$I$8:$I$68,AX$4-$B216+1)</f>
        <v/>
      </c>
      <c r="AY216" s="75">
        <f>$C216*INDEX(Curves!$I$8:$I$68,AY$4-$B216+1)</f>
        <v/>
      </c>
      <c r="AZ216" s="75">
        <f>$C216*INDEX(Curves!$I$8:$I$68,AZ$4-$B216+1)</f>
        <v/>
      </c>
      <c r="BA216" s="75">
        <f>$C216*INDEX(Curves!$I$8:$I$68,BA$4-$B216+1)</f>
        <v/>
      </c>
      <c r="BB216" s="75">
        <f>$C216*INDEX(Curves!$I$8:$I$68,BB$4-$B216+1)</f>
        <v/>
      </c>
      <c r="BC216" s="75">
        <f>$C216*INDEX(Curves!$I$8:$I$68,BC$4-$B216+1)</f>
        <v/>
      </c>
      <c r="BD216" s="75">
        <f>$C216*INDEX(Curves!$I$8:$I$68,BD$4-$B216+1)</f>
        <v/>
      </c>
      <c r="BE216" s="75">
        <f>$C216*INDEX(Curves!$I$8:$I$68,BE$4-$B216+1)</f>
        <v/>
      </c>
      <c r="BF216" s="75">
        <f>$C216*INDEX(Curves!$I$8:$I$68,BF$4-$B216+1)</f>
        <v/>
      </c>
      <c r="BG216" s="75">
        <f>$C216*INDEX(Curves!$I$8:$I$68,BG$4-$B216+1)</f>
        <v/>
      </c>
      <c r="BH216" s="75">
        <f>$C216*INDEX(Curves!$I$8:$I$68,BH$4-$B216+1)</f>
        <v/>
      </c>
      <c r="BI216" s="75">
        <f>$C216*INDEX(Curves!$I$8:$I$68,BI$4-$B216+1)</f>
        <v/>
      </c>
      <c r="BJ216" s="75">
        <f>$C216*INDEX(Curves!$I$8:$I$68,BJ$4-$B216+1)</f>
        <v/>
      </c>
      <c r="BK216" s="75">
        <f>$C216*INDEX(Curves!$I$8:$I$68,BK$4-$B216+1)</f>
        <v/>
      </c>
      <c r="BL216" s="75">
        <f>$C216*INDEX(Curves!$I$8:$I$68,BL$4-$B216+1)</f>
        <v/>
      </c>
    </row>
    <row r="217">
      <c r="A217" s="74" t="inlineStr">
        <is>
          <t>Cohort month 19</t>
        </is>
      </c>
      <c r="B217" s="74" t="n">
        <v>19</v>
      </c>
      <c r="C217" s="17">
        <f>INDEX(Ops!$E$10:$BL$10,1,$B217)</f>
        <v/>
      </c>
      <c r="X217" s="75">
        <f>$C217*INDEX(Curves!$I$8:$I$68,X$4-$B217+1)</f>
        <v/>
      </c>
      <c r="Y217" s="75">
        <f>$C217*INDEX(Curves!$I$8:$I$68,Y$4-$B217+1)</f>
        <v/>
      </c>
      <c r="Z217" s="75">
        <f>$C217*INDEX(Curves!$I$8:$I$68,Z$4-$B217+1)</f>
        <v/>
      </c>
      <c r="AA217" s="75">
        <f>$C217*INDEX(Curves!$I$8:$I$68,AA$4-$B217+1)</f>
        <v/>
      </c>
      <c r="AB217" s="75">
        <f>$C217*INDEX(Curves!$I$8:$I$68,AB$4-$B217+1)</f>
        <v/>
      </c>
      <c r="AC217" s="75">
        <f>$C217*INDEX(Curves!$I$8:$I$68,AC$4-$B217+1)</f>
        <v/>
      </c>
      <c r="AD217" s="75">
        <f>$C217*INDEX(Curves!$I$8:$I$68,AD$4-$B217+1)</f>
        <v/>
      </c>
      <c r="AE217" s="75">
        <f>$C217*INDEX(Curves!$I$8:$I$68,AE$4-$B217+1)</f>
        <v/>
      </c>
      <c r="AF217" s="75">
        <f>$C217*INDEX(Curves!$I$8:$I$68,AF$4-$B217+1)</f>
        <v/>
      </c>
      <c r="AG217" s="75">
        <f>$C217*INDEX(Curves!$I$8:$I$68,AG$4-$B217+1)</f>
        <v/>
      </c>
      <c r="AH217" s="75">
        <f>$C217*INDEX(Curves!$I$8:$I$68,AH$4-$B217+1)</f>
        <v/>
      </c>
      <c r="AI217" s="75">
        <f>$C217*INDEX(Curves!$I$8:$I$68,AI$4-$B217+1)</f>
        <v/>
      </c>
      <c r="AJ217" s="75">
        <f>$C217*INDEX(Curves!$I$8:$I$68,AJ$4-$B217+1)</f>
        <v/>
      </c>
      <c r="AK217" s="75">
        <f>$C217*INDEX(Curves!$I$8:$I$68,AK$4-$B217+1)</f>
        <v/>
      </c>
      <c r="AL217" s="75">
        <f>$C217*INDEX(Curves!$I$8:$I$68,AL$4-$B217+1)</f>
        <v/>
      </c>
      <c r="AM217" s="75">
        <f>$C217*INDEX(Curves!$I$8:$I$68,AM$4-$B217+1)</f>
        <v/>
      </c>
      <c r="AN217" s="75">
        <f>$C217*INDEX(Curves!$I$8:$I$68,AN$4-$B217+1)</f>
        <v/>
      </c>
      <c r="AO217" s="75">
        <f>$C217*INDEX(Curves!$I$8:$I$68,AO$4-$B217+1)</f>
        <v/>
      </c>
      <c r="AP217" s="75">
        <f>$C217*INDEX(Curves!$I$8:$I$68,AP$4-$B217+1)</f>
        <v/>
      </c>
      <c r="AQ217" s="75">
        <f>$C217*INDEX(Curves!$I$8:$I$68,AQ$4-$B217+1)</f>
        <v/>
      </c>
      <c r="AR217" s="75">
        <f>$C217*INDEX(Curves!$I$8:$I$68,AR$4-$B217+1)</f>
        <v/>
      </c>
      <c r="AS217" s="75">
        <f>$C217*INDEX(Curves!$I$8:$I$68,AS$4-$B217+1)</f>
        <v/>
      </c>
      <c r="AT217" s="75">
        <f>$C217*INDEX(Curves!$I$8:$I$68,AT$4-$B217+1)</f>
        <v/>
      </c>
      <c r="AU217" s="75">
        <f>$C217*INDEX(Curves!$I$8:$I$68,AU$4-$B217+1)</f>
        <v/>
      </c>
      <c r="AV217" s="75">
        <f>$C217*INDEX(Curves!$I$8:$I$68,AV$4-$B217+1)</f>
        <v/>
      </c>
      <c r="AW217" s="75">
        <f>$C217*INDEX(Curves!$I$8:$I$68,AW$4-$B217+1)</f>
        <v/>
      </c>
      <c r="AX217" s="75">
        <f>$C217*INDEX(Curves!$I$8:$I$68,AX$4-$B217+1)</f>
        <v/>
      </c>
      <c r="AY217" s="75">
        <f>$C217*INDEX(Curves!$I$8:$I$68,AY$4-$B217+1)</f>
        <v/>
      </c>
      <c r="AZ217" s="75">
        <f>$C217*INDEX(Curves!$I$8:$I$68,AZ$4-$B217+1)</f>
        <v/>
      </c>
      <c r="BA217" s="75">
        <f>$C217*INDEX(Curves!$I$8:$I$68,BA$4-$B217+1)</f>
        <v/>
      </c>
      <c r="BB217" s="75">
        <f>$C217*INDEX(Curves!$I$8:$I$68,BB$4-$B217+1)</f>
        <v/>
      </c>
      <c r="BC217" s="75">
        <f>$C217*INDEX(Curves!$I$8:$I$68,BC$4-$B217+1)</f>
        <v/>
      </c>
      <c r="BD217" s="75">
        <f>$C217*INDEX(Curves!$I$8:$I$68,BD$4-$B217+1)</f>
        <v/>
      </c>
      <c r="BE217" s="75">
        <f>$C217*INDEX(Curves!$I$8:$I$68,BE$4-$B217+1)</f>
        <v/>
      </c>
      <c r="BF217" s="75">
        <f>$C217*INDEX(Curves!$I$8:$I$68,BF$4-$B217+1)</f>
        <v/>
      </c>
      <c r="BG217" s="75">
        <f>$C217*INDEX(Curves!$I$8:$I$68,BG$4-$B217+1)</f>
        <v/>
      </c>
      <c r="BH217" s="75">
        <f>$C217*INDEX(Curves!$I$8:$I$68,BH$4-$B217+1)</f>
        <v/>
      </c>
      <c r="BI217" s="75">
        <f>$C217*INDEX(Curves!$I$8:$I$68,BI$4-$B217+1)</f>
        <v/>
      </c>
      <c r="BJ217" s="75">
        <f>$C217*INDEX(Curves!$I$8:$I$68,BJ$4-$B217+1)</f>
        <v/>
      </c>
      <c r="BK217" s="75">
        <f>$C217*INDEX(Curves!$I$8:$I$68,BK$4-$B217+1)</f>
        <v/>
      </c>
      <c r="BL217" s="75">
        <f>$C217*INDEX(Curves!$I$8:$I$68,BL$4-$B217+1)</f>
        <v/>
      </c>
    </row>
    <row r="218">
      <c r="A218" s="74" t="inlineStr">
        <is>
          <t>Cohort month 20</t>
        </is>
      </c>
      <c r="B218" s="74" t="n">
        <v>20</v>
      </c>
      <c r="C218" s="17">
        <f>INDEX(Ops!$E$10:$BL$10,1,$B218)</f>
        <v/>
      </c>
      <c r="Y218" s="75">
        <f>$C218*INDEX(Curves!$I$8:$I$68,Y$4-$B218+1)</f>
        <v/>
      </c>
      <c r="Z218" s="75">
        <f>$C218*INDEX(Curves!$I$8:$I$68,Z$4-$B218+1)</f>
        <v/>
      </c>
      <c r="AA218" s="75">
        <f>$C218*INDEX(Curves!$I$8:$I$68,AA$4-$B218+1)</f>
        <v/>
      </c>
      <c r="AB218" s="75">
        <f>$C218*INDEX(Curves!$I$8:$I$68,AB$4-$B218+1)</f>
        <v/>
      </c>
      <c r="AC218" s="75">
        <f>$C218*INDEX(Curves!$I$8:$I$68,AC$4-$B218+1)</f>
        <v/>
      </c>
      <c r="AD218" s="75">
        <f>$C218*INDEX(Curves!$I$8:$I$68,AD$4-$B218+1)</f>
        <v/>
      </c>
      <c r="AE218" s="75">
        <f>$C218*INDEX(Curves!$I$8:$I$68,AE$4-$B218+1)</f>
        <v/>
      </c>
      <c r="AF218" s="75">
        <f>$C218*INDEX(Curves!$I$8:$I$68,AF$4-$B218+1)</f>
        <v/>
      </c>
      <c r="AG218" s="75">
        <f>$C218*INDEX(Curves!$I$8:$I$68,AG$4-$B218+1)</f>
        <v/>
      </c>
      <c r="AH218" s="75">
        <f>$C218*INDEX(Curves!$I$8:$I$68,AH$4-$B218+1)</f>
        <v/>
      </c>
      <c r="AI218" s="75">
        <f>$C218*INDEX(Curves!$I$8:$I$68,AI$4-$B218+1)</f>
        <v/>
      </c>
      <c r="AJ218" s="75">
        <f>$C218*INDEX(Curves!$I$8:$I$68,AJ$4-$B218+1)</f>
        <v/>
      </c>
      <c r="AK218" s="75">
        <f>$C218*INDEX(Curves!$I$8:$I$68,AK$4-$B218+1)</f>
        <v/>
      </c>
      <c r="AL218" s="75">
        <f>$C218*INDEX(Curves!$I$8:$I$68,AL$4-$B218+1)</f>
        <v/>
      </c>
      <c r="AM218" s="75">
        <f>$C218*INDEX(Curves!$I$8:$I$68,AM$4-$B218+1)</f>
        <v/>
      </c>
      <c r="AN218" s="75">
        <f>$C218*INDEX(Curves!$I$8:$I$68,AN$4-$B218+1)</f>
        <v/>
      </c>
      <c r="AO218" s="75">
        <f>$C218*INDEX(Curves!$I$8:$I$68,AO$4-$B218+1)</f>
        <v/>
      </c>
      <c r="AP218" s="75">
        <f>$C218*INDEX(Curves!$I$8:$I$68,AP$4-$B218+1)</f>
        <v/>
      </c>
      <c r="AQ218" s="75">
        <f>$C218*INDEX(Curves!$I$8:$I$68,AQ$4-$B218+1)</f>
        <v/>
      </c>
      <c r="AR218" s="75">
        <f>$C218*INDEX(Curves!$I$8:$I$68,AR$4-$B218+1)</f>
        <v/>
      </c>
      <c r="AS218" s="75">
        <f>$C218*INDEX(Curves!$I$8:$I$68,AS$4-$B218+1)</f>
        <v/>
      </c>
      <c r="AT218" s="75">
        <f>$C218*INDEX(Curves!$I$8:$I$68,AT$4-$B218+1)</f>
        <v/>
      </c>
      <c r="AU218" s="75">
        <f>$C218*INDEX(Curves!$I$8:$I$68,AU$4-$B218+1)</f>
        <v/>
      </c>
      <c r="AV218" s="75">
        <f>$C218*INDEX(Curves!$I$8:$I$68,AV$4-$B218+1)</f>
        <v/>
      </c>
      <c r="AW218" s="75">
        <f>$C218*INDEX(Curves!$I$8:$I$68,AW$4-$B218+1)</f>
        <v/>
      </c>
      <c r="AX218" s="75">
        <f>$C218*INDEX(Curves!$I$8:$I$68,AX$4-$B218+1)</f>
        <v/>
      </c>
      <c r="AY218" s="75">
        <f>$C218*INDEX(Curves!$I$8:$I$68,AY$4-$B218+1)</f>
        <v/>
      </c>
      <c r="AZ218" s="75">
        <f>$C218*INDEX(Curves!$I$8:$I$68,AZ$4-$B218+1)</f>
        <v/>
      </c>
      <c r="BA218" s="75">
        <f>$C218*INDEX(Curves!$I$8:$I$68,BA$4-$B218+1)</f>
        <v/>
      </c>
      <c r="BB218" s="75">
        <f>$C218*INDEX(Curves!$I$8:$I$68,BB$4-$B218+1)</f>
        <v/>
      </c>
      <c r="BC218" s="75">
        <f>$C218*INDEX(Curves!$I$8:$I$68,BC$4-$B218+1)</f>
        <v/>
      </c>
      <c r="BD218" s="75">
        <f>$C218*INDEX(Curves!$I$8:$I$68,BD$4-$B218+1)</f>
        <v/>
      </c>
      <c r="BE218" s="75">
        <f>$C218*INDEX(Curves!$I$8:$I$68,BE$4-$B218+1)</f>
        <v/>
      </c>
      <c r="BF218" s="75">
        <f>$C218*INDEX(Curves!$I$8:$I$68,BF$4-$B218+1)</f>
        <v/>
      </c>
      <c r="BG218" s="75">
        <f>$C218*INDEX(Curves!$I$8:$I$68,BG$4-$B218+1)</f>
        <v/>
      </c>
      <c r="BH218" s="75">
        <f>$C218*INDEX(Curves!$I$8:$I$68,BH$4-$B218+1)</f>
        <v/>
      </c>
      <c r="BI218" s="75">
        <f>$C218*INDEX(Curves!$I$8:$I$68,BI$4-$B218+1)</f>
        <v/>
      </c>
      <c r="BJ218" s="75">
        <f>$C218*INDEX(Curves!$I$8:$I$68,BJ$4-$B218+1)</f>
        <v/>
      </c>
      <c r="BK218" s="75">
        <f>$C218*INDEX(Curves!$I$8:$I$68,BK$4-$B218+1)</f>
        <v/>
      </c>
      <c r="BL218" s="75">
        <f>$C218*INDEX(Curves!$I$8:$I$68,BL$4-$B218+1)</f>
        <v/>
      </c>
    </row>
    <row r="219">
      <c r="A219" s="74" t="inlineStr">
        <is>
          <t>Cohort month 21</t>
        </is>
      </c>
      <c r="B219" s="74" t="n">
        <v>21</v>
      </c>
      <c r="C219" s="17">
        <f>INDEX(Ops!$E$10:$BL$10,1,$B219)</f>
        <v/>
      </c>
      <c r="Z219" s="75">
        <f>$C219*INDEX(Curves!$I$8:$I$68,Z$4-$B219+1)</f>
        <v/>
      </c>
      <c r="AA219" s="75">
        <f>$C219*INDEX(Curves!$I$8:$I$68,AA$4-$B219+1)</f>
        <v/>
      </c>
      <c r="AB219" s="75">
        <f>$C219*INDEX(Curves!$I$8:$I$68,AB$4-$B219+1)</f>
        <v/>
      </c>
      <c r="AC219" s="75">
        <f>$C219*INDEX(Curves!$I$8:$I$68,AC$4-$B219+1)</f>
        <v/>
      </c>
      <c r="AD219" s="75">
        <f>$C219*INDEX(Curves!$I$8:$I$68,AD$4-$B219+1)</f>
        <v/>
      </c>
      <c r="AE219" s="75">
        <f>$C219*INDEX(Curves!$I$8:$I$68,AE$4-$B219+1)</f>
        <v/>
      </c>
      <c r="AF219" s="75">
        <f>$C219*INDEX(Curves!$I$8:$I$68,AF$4-$B219+1)</f>
        <v/>
      </c>
      <c r="AG219" s="75">
        <f>$C219*INDEX(Curves!$I$8:$I$68,AG$4-$B219+1)</f>
        <v/>
      </c>
      <c r="AH219" s="75">
        <f>$C219*INDEX(Curves!$I$8:$I$68,AH$4-$B219+1)</f>
        <v/>
      </c>
      <c r="AI219" s="75">
        <f>$C219*INDEX(Curves!$I$8:$I$68,AI$4-$B219+1)</f>
        <v/>
      </c>
      <c r="AJ219" s="75">
        <f>$C219*INDEX(Curves!$I$8:$I$68,AJ$4-$B219+1)</f>
        <v/>
      </c>
      <c r="AK219" s="75">
        <f>$C219*INDEX(Curves!$I$8:$I$68,AK$4-$B219+1)</f>
        <v/>
      </c>
      <c r="AL219" s="75">
        <f>$C219*INDEX(Curves!$I$8:$I$68,AL$4-$B219+1)</f>
        <v/>
      </c>
      <c r="AM219" s="75">
        <f>$C219*INDEX(Curves!$I$8:$I$68,AM$4-$B219+1)</f>
        <v/>
      </c>
      <c r="AN219" s="75">
        <f>$C219*INDEX(Curves!$I$8:$I$68,AN$4-$B219+1)</f>
        <v/>
      </c>
      <c r="AO219" s="75">
        <f>$C219*INDEX(Curves!$I$8:$I$68,AO$4-$B219+1)</f>
        <v/>
      </c>
      <c r="AP219" s="75">
        <f>$C219*INDEX(Curves!$I$8:$I$68,AP$4-$B219+1)</f>
        <v/>
      </c>
      <c r="AQ219" s="75">
        <f>$C219*INDEX(Curves!$I$8:$I$68,AQ$4-$B219+1)</f>
        <v/>
      </c>
      <c r="AR219" s="75">
        <f>$C219*INDEX(Curves!$I$8:$I$68,AR$4-$B219+1)</f>
        <v/>
      </c>
      <c r="AS219" s="75">
        <f>$C219*INDEX(Curves!$I$8:$I$68,AS$4-$B219+1)</f>
        <v/>
      </c>
      <c r="AT219" s="75">
        <f>$C219*INDEX(Curves!$I$8:$I$68,AT$4-$B219+1)</f>
        <v/>
      </c>
      <c r="AU219" s="75">
        <f>$C219*INDEX(Curves!$I$8:$I$68,AU$4-$B219+1)</f>
        <v/>
      </c>
      <c r="AV219" s="75">
        <f>$C219*INDEX(Curves!$I$8:$I$68,AV$4-$B219+1)</f>
        <v/>
      </c>
      <c r="AW219" s="75">
        <f>$C219*INDEX(Curves!$I$8:$I$68,AW$4-$B219+1)</f>
        <v/>
      </c>
      <c r="AX219" s="75">
        <f>$C219*INDEX(Curves!$I$8:$I$68,AX$4-$B219+1)</f>
        <v/>
      </c>
      <c r="AY219" s="75">
        <f>$C219*INDEX(Curves!$I$8:$I$68,AY$4-$B219+1)</f>
        <v/>
      </c>
      <c r="AZ219" s="75">
        <f>$C219*INDEX(Curves!$I$8:$I$68,AZ$4-$B219+1)</f>
        <v/>
      </c>
      <c r="BA219" s="75">
        <f>$C219*INDEX(Curves!$I$8:$I$68,BA$4-$B219+1)</f>
        <v/>
      </c>
      <c r="BB219" s="75">
        <f>$C219*INDEX(Curves!$I$8:$I$68,BB$4-$B219+1)</f>
        <v/>
      </c>
      <c r="BC219" s="75">
        <f>$C219*INDEX(Curves!$I$8:$I$68,BC$4-$B219+1)</f>
        <v/>
      </c>
      <c r="BD219" s="75">
        <f>$C219*INDEX(Curves!$I$8:$I$68,BD$4-$B219+1)</f>
        <v/>
      </c>
      <c r="BE219" s="75">
        <f>$C219*INDEX(Curves!$I$8:$I$68,BE$4-$B219+1)</f>
        <v/>
      </c>
      <c r="BF219" s="75">
        <f>$C219*INDEX(Curves!$I$8:$I$68,BF$4-$B219+1)</f>
        <v/>
      </c>
      <c r="BG219" s="75">
        <f>$C219*INDEX(Curves!$I$8:$I$68,BG$4-$B219+1)</f>
        <v/>
      </c>
      <c r="BH219" s="75">
        <f>$C219*INDEX(Curves!$I$8:$I$68,BH$4-$B219+1)</f>
        <v/>
      </c>
      <c r="BI219" s="75">
        <f>$C219*INDEX(Curves!$I$8:$I$68,BI$4-$B219+1)</f>
        <v/>
      </c>
      <c r="BJ219" s="75">
        <f>$C219*INDEX(Curves!$I$8:$I$68,BJ$4-$B219+1)</f>
        <v/>
      </c>
      <c r="BK219" s="75">
        <f>$C219*INDEX(Curves!$I$8:$I$68,BK$4-$B219+1)</f>
        <v/>
      </c>
      <c r="BL219" s="75">
        <f>$C219*INDEX(Curves!$I$8:$I$68,BL$4-$B219+1)</f>
        <v/>
      </c>
    </row>
    <row r="220">
      <c r="A220" s="74" t="inlineStr">
        <is>
          <t>Cohort month 22</t>
        </is>
      </c>
      <c r="B220" s="74" t="n">
        <v>22</v>
      </c>
      <c r="C220" s="17">
        <f>INDEX(Ops!$E$10:$BL$10,1,$B220)</f>
        <v/>
      </c>
      <c r="AA220" s="75">
        <f>$C220*INDEX(Curves!$I$8:$I$68,AA$4-$B220+1)</f>
        <v/>
      </c>
      <c r="AB220" s="75">
        <f>$C220*INDEX(Curves!$I$8:$I$68,AB$4-$B220+1)</f>
        <v/>
      </c>
      <c r="AC220" s="75">
        <f>$C220*INDEX(Curves!$I$8:$I$68,AC$4-$B220+1)</f>
        <v/>
      </c>
      <c r="AD220" s="75">
        <f>$C220*INDEX(Curves!$I$8:$I$68,AD$4-$B220+1)</f>
        <v/>
      </c>
      <c r="AE220" s="75">
        <f>$C220*INDEX(Curves!$I$8:$I$68,AE$4-$B220+1)</f>
        <v/>
      </c>
      <c r="AF220" s="75">
        <f>$C220*INDEX(Curves!$I$8:$I$68,AF$4-$B220+1)</f>
        <v/>
      </c>
      <c r="AG220" s="75">
        <f>$C220*INDEX(Curves!$I$8:$I$68,AG$4-$B220+1)</f>
        <v/>
      </c>
      <c r="AH220" s="75">
        <f>$C220*INDEX(Curves!$I$8:$I$68,AH$4-$B220+1)</f>
        <v/>
      </c>
      <c r="AI220" s="75">
        <f>$C220*INDEX(Curves!$I$8:$I$68,AI$4-$B220+1)</f>
        <v/>
      </c>
      <c r="AJ220" s="75">
        <f>$C220*INDEX(Curves!$I$8:$I$68,AJ$4-$B220+1)</f>
        <v/>
      </c>
      <c r="AK220" s="75">
        <f>$C220*INDEX(Curves!$I$8:$I$68,AK$4-$B220+1)</f>
        <v/>
      </c>
      <c r="AL220" s="75">
        <f>$C220*INDEX(Curves!$I$8:$I$68,AL$4-$B220+1)</f>
        <v/>
      </c>
      <c r="AM220" s="75">
        <f>$C220*INDEX(Curves!$I$8:$I$68,AM$4-$B220+1)</f>
        <v/>
      </c>
      <c r="AN220" s="75">
        <f>$C220*INDEX(Curves!$I$8:$I$68,AN$4-$B220+1)</f>
        <v/>
      </c>
      <c r="AO220" s="75">
        <f>$C220*INDEX(Curves!$I$8:$I$68,AO$4-$B220+1)</f>
        <v/>
      </c>
      <c r="AP220" s="75">
        <f>$C220*INDEX(Curves!$I$8:$I$68,AP$4-$B220+1)</f>
        <v/>
      </c>
      <c r="AQ220" s="75">
        <f>$C220*INDEX(Curves!$I$8:$I$68,AQ$4-$B220+1)</f>
        <v/>
      </c>
      <c r="AR220" s="75">
        <f>$C220*INDEX(Curves!$I$8:$I$68,AR$4-$B220+1)</f>
        <v/>
      </c>
      <c r="AS220" s="75">
        <f>$C220*INDEX(Curves!$I$8:$I$68,AS$4-$B220+1)</f>
        <v/>
      </c>
      <c r="AT220" s="75">
        <f>$C220*INDEX(Curves!$I$8:$I$68,AT$4-$B220+1)</f>
        <v/>
      </c>
      <c r="AU220" s="75">
        <f>$C220*INDEX(Curves!$I$8:$I$68,AU$4-$B220+1)</f>
        <v/>
      </c>
      <c r="AV220" s="75">
        <f>$C220*INDEX(Curves!$I$8:$I$68,AV$4-$B220+1)</f>
        <v/>
      </c>
      <c r="AW220" s="75">
        <f>$C220*INDEX(Curves!$I$8:$I$68,AW$4-$B220+1)</f>
        <v/>
      </c>
      <c r="AX220" s="75">
        <f>$C220*INDEX(Curves!$I$8:$I$68,AX$4-$B220+1)</f>
        <v/>
      </c>
      <c r="AY220" s="75">
        <f>$C220*INDEX(Curves!$I$8:$I$68,AY$4-$B220+1)</f>
        <v/>
      </c>
      <c r="AZ220" s="75">
        <f>$C220*INDEX(Curves!$I$8:$I$68,AZ$4-$B220+1)</f>
        <v/>
      </c>
      <c r="BA220" s="75">
        <f>$C220*INDEX(Curves!$I$8:$I$68,BA$4-$B220+1)</f>
        <v/>
      </c>
      <c r="BB220" s="75">
        <f>$C220*INDEX(Curves!$I$8:$I$68,BB$4-$B220+1)</f>
        <v/>
      </c>
      <c r="BC220" s="75">
        <f>$C220*INDEX(Curves!$I$8:$I$68,BC$4-$B220+1)</f>
        <v/>
      </c>
      <c r="BD220" s="75">
        <f>$C220*INDEX(Curves!$I$8:$I$68,BD$4-$B220+1)</f>
        <v/>
      </c>
      <c r="BE220" s="75">
        <f>$C220*INDEX(Curves!$I$8:$I$68,BE$4-$B220+1)</f>
        <v/>
      </c>
      <c r="BF220" s="75">
        <f>$C220*INDEX(Curves!$I$8:$I$68,BF$4-$B220+1)</f>
        <v/>
      </c>
      <c r="BG220" s="75">
        <f>$C220*INDEX(Curves!$I$8:$I$68,BG$4-$B220+1)</f>
        <v/>
      </c>
      <c r="BH220" s="75">
        <f>$C220*INDEX(Curves!$I$8:$I$68,BH$4-$B220+1)</f>
        <v/>
      </c>
      <c r="BI220" s="75">
        <f>$C220*INDEX(Curves!$I$8:$I$68,BI$4-$B220+1)</f>
        <v/>
      </c>
      <c r="BJ220" s="75">
        <f>$C220*INDEX(Curves!$I$8:$I$68,BJ$4-$B220+1)</f>
        <v/>
      </c>
      <c r="BK220" s="75">
        <f>$C220*INDEX(Curves!$I$8:$I$68,BK$4-$B220+1)</f>
        <v/>
      </c>
      <c r="BL220" s="75">
        <f>$C220*INDEX(Curves!$I$8:$I$68,BL$4-$B220+1)</f>
        <v/>
      </c>
    </row>
    <row r="221">
      <c r="A221" s="74" t="inlineStr">
        <is>
          <t>Cohort month 23</t>
        </is>
      </c>
      <c r="B221" s="74" t="n">
        <v>23</v>
      </c>
      <c r="C221" s="17">
        <f>INDEX(Ops!$E$10:$BL$10,1,$B221)</f>
        <v/>
      </c>
      <c r="AB221" s="75">
        <f>$C221*INDEX(Curves!$I$8:$I$68,AB$4-$B221+1)</f>
        <v/>
      </c>
      <c r="AC221" s="75">
        <f>$C221*INDEX(Curves!$I$8:$I$68,AC$4-$B221+1)</f>
        <v/>
      </c>
      <c r="AD221" s="75">
        <f>$C221*INDEX(Curves!$I$8:$I$68,AD$4-$B221+1)</f>
        <v/>
      </c>
      <c r="AE221" s="75">
        <f>$C221*INDEX(Curves!$I$8:$I$68,AE$4-$B221+1)</f>
        <v/>
      </c>
      <c r="AF221" s="75">
        <f>$C221*INDEX(Curves!$I$8:$I$68,AF$4-$B221+1)</f>
        <v/>
      </c>
      <c r="AG221" s="75">
        <f>$C221*INDEX(Curves!$I$8:$I$68,AG$4-$B221+1)</f>
        <v/>
      </c>
      <c r="AH221" s="75">
        <f>$C221*INDEX(Curves!$I$8:$I$68,AH$4-$B221+1)</f>
        <v/>
      </c>
      <c r="AI221" s="75">
        <f>$C221*INDEX(Curves!$I$8:$I$68,AI$4-$B221+1)</f>
        <v/>
      </c>
      <c r="AJ221" s="75">
        <f>$C221*INDEX(Curves!$I$8:$I$68,AJ$4-$B221+1)</f>
        <v/>
      </c>
      <c r="AK221" s="75">
        <f>$C221*INDEX(Curves!$I$8:$I$68,AK$4-$B221+1)</f>
        <v/>
      </c>
      <c r="AL221" s="75">
        <f>$C221*INDEX(Curves!$I$8:$I$68,AL$4-$B221+1)</f>
        <v/>
      </c>
      <c r="AM221" s="75">
        <f>$C221*INDEX(Curves!$I$8:$I$68,AM$4-$B221+1)</f>
        <v/>
      </c>
      <c r="AN221" s="75">
        <f>$C221*INDEX(Curves!$I$8:$I$68,AN$4-$B221+1)</f>
        <v/>
      </c>
      <c r="AO221" s="75">
        <f>$C221*INDEX(Curves!$I$8:$I$68,AO$4-$B221+1)</f>
        <v/>
      </c>
      <c r="AP221" s="75">
        <f>$C221*INDEX(Curves!$I$8:$I$68,AP$4-$B221+1)</f>
        <v/>
      </c>
      <c r="AQ221" s="75">
        <f>$C221*INDEX(Curves!$I$8:$I$68,AQ$4-$B221+1)</f>
        <v/>
      </c>
      <c r="AR221" s="75">
        <f>$C221*INDEX(Curves!$I$8:$I$68,AR$4-$B221+1)</f>
        <v/>
      </c>
      <c r="AS221" s="75">
        <f>$C221*INDEX(Curves!$I$8:$I$68,AS$4-$B221+1)</f>
        <v/>
      </c>
      <c r="AT221" s="75">
        <f>$C221*INDEX(Curves!$I$8:$I$68,AT$4-$B221+1)</f>
        <v/>
      </c>
      <c r="AU221" s="75">
        <f>$C221*INDEX(Curves!$I$8:$I$68,AU$4-$B221+1)</f>
        <v/>
      </c>
      <c r="AV221" s="75">
        <f>$C221*INDEX(Curves!$I$8:$I$68,AV$4-$B221+1)</f>
        <v/>
      </c>
      <c r="AW221" s="75">
        <f>$C221*INDEX(Curves!$I$8:$I$68,AW$4-$B221+1)</f>
        <v/>
      </c>
      <c r="AX221" s="75">
        <f>$C221*INDEX(Curves!$I$8:$I$68,AX$4-$B221+1)</f>
        <v/>
      </c>
      <c r="AY221" s="75">
        <f>$C221*INDEX(Curves!$I$8:$I$68,AY$4-$B221+1)</f>
        <v/>
      </c>
      <c r="AZ221" s="75">
        <f>$C221*INDEX(Curves!$I$8:$I$68,AZ$4-$B221+1)</f>
        <v/>
      </c>
      <c r="BA221" s="75">
        <f>$C221*INDEX(Curves!$I$8:$I$68,BA$4-$B221+1)</f>
        <v/>
      </c>
      <c r="BB221" s="75">
        <f>$C221*INDEX(Curves!$I$8:$I$68,BB$4-$B221+1)</f>
        <v/>
      </c>
      <c r="BC221" s="75">
        <f>$C221*INDEX(Curves!$I$8:$I$68,BC$4-$B221+1)</f>
        <v/>
      </c>
      <c r="BD221" s="75">
        <f>$C221*INDEX(Curves!$I$8:$I$68,BD$4-$B221+1)</f>
        <v/>
      </c>
      <c r="BE221" s="75">
        <f>$C221*INDEX(Curves!$I$8:$I$68,BE$4-$B221+1)</f>
        <v/>
      </c>
      <c r="BF221" s="75">
        <f>$C221*INDEX(Curves!$I$8:$I$68,BF$4-$B221+1)</f>
        <v/>
      </c>
      <c r="BG221" s="75">
        <f>$C221*INDEX(Curves!$I$8:$I$68,BG$4-$B221+1)</f>
        <v/>
      </c>
      <c r="BH221" s="75">
        <f>$C221*INDEX(Curves!$I$8:$I$68,BH$4-$B221+1)</f>
        <v/>
      </c>
      <c r="BI221" s="75">
        <f>$C221*INDEX(Curves!$I$8:$I$68,BI$4-$B221+1)</f>
        <v/>
      </c>
      <c r="BJ221" s="75">
        <f>$C221*INDEX(Curves!$I$8:$I$68,BJ$4-$B221+1)</f>
        <v/>
      </c>
      <c r="BK221" s="75">
        <f>$C221*INDEX(Curves!$I$8:$I$68,BK$4-$B221+1)</f>
        <v/>
      </c>
      <c r="BL221" s="75">
        <f>$C221*INDEX(Curves!$I$8:$I$68,BL$4-$B221+1)</f>
        <v/>
      </c>
    </row>
    <row r="222">
      <c r="A222" s="74" t="inlineStr">
        <is>
          <t>Cohort month 24</t>
        </is>
      </c>
      <c r="B222" s="74" t="n">
        <v>24</v>
      </c>
      <c r="C222" s="17">
        <f>INDEX(Ops!$E$10:$BL$10,1,$B222)</f>
        <v/>
      </c>
      <c r="AC222" s="75">
        <f>$C222*INDEX(Curves!$I$8:$I$68,AC$4-$B222+1)</f>
        <v/>
      </c>
      <c r="AD222" s="75">
        <f>$C222*INDEX(Curves!$I$8:$I$68,AD$4-$B222+1)</f>
        <v/>
      </c>
      <c r="AE222" s="75">
        <f>$C222*INDEX(Curves!$I$8:$I$68,AE$4-$B222+1)</f>
        <v/>
      </c>
      <c r="AF222" s="75">
        <f>$C222*INDEX(Curves!$I$8:$I$68,AF$4-$B222+1)</f>
        <v/>
      </c>
      <c r="AG222" s="75">
        <f>$C222*INDEX(Curves!$I$8:$I$68,AG$4-$B222+1)</f>
        <v/>
      </c>
      <c r="AH222" s="75">
        <f>$C222*INDEX(Curves!$I$8:$I$68,AH$4-$B222+1)</f>
        <v/>
      </c>
      <c r="AI222" s="75">
        <f>$C222*INDEX(Curves!$I$8:$I$68,AI$4-$B222+1)</f>
        <v/>
      </c>
      <c r="AJ222" s="75">
        <f>$C222*INDEX(Curves!$I$8:$I$68,AJ$4-$B222+1)</f>
        <v/>
      </c>
      <c r="AK222" s="75">
        <f>$C222*INDEX(Curves!$I$8:$I$68,AK$4-$B222+1)</f>
        <v/>
      </c>
      <c r="AL222" s="75">
        <f>$C222*INDEX(Curves!$I$8:$I$68,AL$4-$B222+1)</f>
        <v/>
      </c>
      <c r="AM222" s="75">
        <f>$C222*INDEX(Curves!$I$8:$I$68,AM$4-$B222+1)</f>
        <v/>
      </c>
      <c r="AN222" s="75">
        <f>$C222*INDEX(Curves!$I$8:$I$68,AN$4-$B222+1)</f>
        <v/>
      </c>
      <c r="AO222" s="75">
        <f>$C222*INDEX(Curves!$I$8:$I$68,AO$4-$B222+1)</f>
        <v/>
      </c>
      <c r="AP222" s="75">
        <f>$C222*INDEX(Curves!$I$8:$I$68,AP$4-$B222+1)</f>
        <v/>
      </c>
      <c r="AQ222" s="75">
        <f>$C222*INDEX(Curves!$I$8:$I$68,AQ$4-$B222+1)</f>
        <v/>
      </c>
      <c r="AR222" s="75">
        <f>$C222*INDEX(Curves!$I$8:$I$68,AR$4-$B222+1)</f>
        <v/>
      </c>
      <c r="AS222" s="75">
        <f>$C222*INDEX(Curves!$I$8:$I$68,AS$4-$B222+1)</f>
        <v/>
      </c>
      <c r="AT222" s="75">
        <f>$C222*INDEX(Curves!$I$8:$I$68,AT$4-$B222+1)</f>
        <v/>
      </c>
      <c r="AU222" s="75">
        <f>$C222*INDEX(Curves!$I$8:$I$68,AU$4-$B222+1)</f>
        <v/>
      </c>
      <c r="AV222" s="75">
        <f>$C222*INDEX(Curves!$I$8:$I$68,AV$4-$B222+1)</f>
        <v/>
      </c>
      <c r="AW222" s="75">
        <f>$C222*INDEX(Curves!$I$8:$I$68,AW$4-$B222+1)</f>
        <v/>
      </c>
      <c r="AX222" s="75">
        <f>$C222*INDEX(Curves!$I$8:$I$68,AX$4-$B222+1)</f>
        <v/>
      </c>
      <c r="AY222" s="75">
        <f>$C222*INDEX(Curves!$I$8:$I$68,AY$4-$B222+1)</f>
        <v/>
      </c>
      <c r="AZ222" s="75">
        <f>$C222*INDEX(Curves!$I$8:$I$68,AZ$4-$B222+1)</f>
        <v/>
      </c>
      <c r="BA222" s="75">
        <f>$C222*INDEX(Curves!$I$8:$I$68,BA$4-$B222+1)</f>
        <v/>
      </c>
      <c r="BB222" s="75">
        <f>$C222*INDEX(Curves!$I$8:$I$68,BB$4-$B222+1)</f>
        <v/>
      </c>
      <c r="BC222" s="75">
        <f>$C222*INDEX(Curves!$I$8:$I$68,BC$4-$B222+1)</f>
        <v/>
      </c>
      <c r="BD222" s="75">
        <f>$C222*INDEX(Curves!$I$8:$I$68,BD$4-$B222+1)</f>
        <v/>
      </c>
      <c r="BE222" s="75">
        <f>$C222*INDEX(Curves!$I$8:$I$68,BE$4-$B222+1)</f>
        <v/>
      </c>
      <c r="BF222" s="75">
        <f>$C222*INDEX(Curves!$I$8:$I$68,BF$4-$B222+1)</f>
        <v/>
      </c>
      <c r="BG222" s="75">
        <f>$C222*INDEX(Curves!$I$8:$I$68,BG$4-$B222+1)</f>
        <v/>
      </c>
      <c r="BH222" s="75">
        <f>$C222*INDEX(Curves!$I$8:$I$68,BH$4-$B222+1)</f>
        <v/>
      </c>
      <c r="BI222" s="75">
        <f>$C222*INDEX(Curves!$I$8:$I$68,BI$4-$B222+1)</f>
        <v/>
      </c>
      <c r="BJ222" s="75">
        <f>$C222*INDEX(Curves!$I$8:$I$68,BJ$4-$B222+1)</f>
        <v/>
      </c>
      <c r="BK222" s="75">
        <f>$C222*INDEX(Curves!$I$8:$I$68,BK$4-$B222+1)</f>
        <v/>
      </c>
      <c r="BL222" s="75">
        <f>$C222*INDEX(Curves!$I$8:$I$68,BL$4-$B222+1)</f>
        <v/>
      </c>
    </row>
    <row r="223">
      <c r="A223" s="74" t="inlineStr">
        <is>
          <t>Cohort month 25</t>
        </is>
      </c>
      <c r="B223" s="74" t="n">
        <v>25</v>
      </c>
      <c r="C223" s="17">
        <f>INDEX(Ops!$E$10:$BL$10,1,$B223)</f>
        <v/>
      </c>
      <c r="AD223" s="75">
        <f>$C223*INDEX(Curves!$I$8:$I$68,AD$4-$B223+1)</f>
        <v/>
      </c>
      <c r="AE223" s="75">
        <f>$C223*INDEX(Curves!$I$8:$I$68,AE$4-$B223+1)</f>
        <v/>
      </c>
      <c r="AF223" s="75">
        <f>$C223*INDEX(Curves!$I$8:$I$68,AF$4-$B223+1)</f>
        <v/>
      </c>
      <c r="AG223" s="75">
        <f>$C223*INDEX(Curves!$I$8:$I$68,AG$4-$B223+1)</f>
        <v/>
      </c>
      <c r="AH223" s="75">
        <f>$C223*INDEX(Curves!$I$8:$I$68,AH$4-$B223+1)</f>
        <v/>
      </c>
      <c r="AI223" s="75">
        <f>$C223*INDEX(Curves!$I$8:$I$68,AI$4-$B223+1)</f>
        <v/>
      </c>
      <c r="AJ223" s="75">
        <f>$C223*INDEX(Curves!$I$8:$I$68,AJ$4-$B223+1)</f>
        <v/>
      </c>
      <c r="AK223" s="75">
        <f>$C223*INDEX(Curves!$I$8:$I$68,AK$4-$B223+1)</f>
        <v/>
      </c>
      <c r="AL223" s="75">
        <f>$C223*INDEX(Curves!$I$8:$I$68,AL$4-$B223+1)</f>
        <v/>
      </c>
      <c r="AM223" s="75">
        <f>$C223*INDEX(Curves!$I$8:$I$68,AM$4-$B223+1)</f>
        <v/>
      </c>
      <c r="AN223" s="75">
        <f>$C223*INDEX(Curves!$I$8:$I$68,AN$4-$B223+1)</f>
        <v/>
      </c>
      <c r="AO223" s="75">
        <f>$C223*INDEX(Curves!$I$8:$I$68,AO$4-$B223+1)</f>
        <v/>
      </c>
      <c r="AP223" s="75">
        <f>$C223*INDEX(Curves!$I$8:$I$68,AP$4-$B223+1)</f>
        <v/>
      </c>
      <c r="AQ223" s="75">
        <f>$C223*INDEX(Curves!$I$8:$I$68,AQ$4-$B223+1)</f>
        <v/>
      </c>
      <c r="AR223" s="75">
        <f>$C223*INDEX(Curves!$I$8:$I$68,AR$4-$B223+1)</f>
        <v/>
      </c>
      <c r="AS223" s="75">
        <f>$C223*INDEX(Curves!$I$8:$I$68,AS$4-$B223+1)</f>
        <v/>
      </c>
      <c r="AT223" s="75">
        <f>$C223*INDEX(Curves!$I$8:$I$68,AT$4-$B223+1)</f>
        <v/>
      </c>
      <c r="AU223" s="75">
        <f>$C223*INDEX(Curves!$I$8:$I$68,AU$4-$B223+1)</f>
        <v/>
      </c>
      <c r="AV223" s="75">
        <f>$C223*INDEX(Curves!$I$8:$I$68,AV$4-$B223+1)</f>
        <v/>
      </c>
      <c r="AW223" s="75">
        <f>$C223*INDEX(Curves!$I$8:$I$68,AW$4-$B223+1)</f>
        <v/>
      </c>
      <c r="AX223" s="75">
        <f>$C223*INDEX(Curves!$I$8:$I$68,AX$4-$B223+1)</f>
        <v/>
      </c>
      <c r="AY223" s="75">
        <f>$C223*INDEX(Curves!$I$8:$I$68,AY$4-$B223+1)</f>
        <v/>
      </c>
      <c r="AZ223" s="75">
        <f>$C223*INDEX(Curves!$I$8:$I$68,AZ$4-$B223+1)</f>
        <v/>
      </c>
      <c r="BA223" s="75">
        <f>$C223*INDEX(Curves!$I$8:$I$68,BA$4-$B223+1)</f>
        <v/>
      </c>
      <c r="BB223" s="75">
        <f>$C223*INDEX(Curves!$I$8:$I$68,BB$4-$B223+1)</f>
        <v/>
      </c>
      <c r="BC223" s="75">
        <f>$C223*INDEX(Curves!$I$8:$I$68,BC$4-$B223+1)</f>
        <v/>
      </c>
      <c r="BD223" s="75">
        <f>$C223*INDEX(Curves!$I$8:$I$68,BD$4-$B223+1)</f>
        <v/>
      </c>
      <c r="BE223" s="75">
        <f>$C223*INDEX(Curves!$I$8:$I$68,BE$4-$B223+1)</f>
        <v/>
      </c>
      <c r="BF223" s="75">
        <f>$C223*INDEX(Curves!$I$8:$I$68,BF$4-$B223+1)</f>
        <v/>
      </c>
      <c r="BG223" s="75">
        <f>$C223*INDEX(Curves!$I$8:$I$68,BG$4-$B223+1)</f>
        <v/>
      </c>
      <c r="BH223" s="75">
        <f>$C223*INDEX(Curves!$I$8:$I$68,BH$4-$B223+1)</f>
        <v/>
      </c>
      <c r="BI223" s="75">
        <f>$C223*INDEX(Curves!$I$8:$I$68,BI$4-$B223+1)</f>
        <v/>
      </c>
      <c r="BJ223" s="75">
        <f>$C223*INDEX(Curves!$I$8:$I$68,BJ$4-$B223+1)</f>
        <v/>
      </c>
      <c r="BK223" s="75">
        <f>$C223*INDEX(Curves!$I$8:$I$68,BK$4-$B223+1)</f>
        <v/>
      </c>
      <c r="BL223" s="75">
        <f>$C223*INDEX(Curves!$I$8:$I$68,BL$4-$B223+1)</f>
        <v/>
      </c>
    </row>
    <row r="224">
      <c r="A224" s="74" t="inlineStr">
        <is>
          <t>Cohort month 26</t>
        </is>
      </c>
      <c r="B224" s="74" t="n">
        <v>26</v>
      </c>
      <c r="C224" s="17">
        <f>INDEX(Ops!$E$10:$BL$10,1,$B224)</f>
        <v/>
      </c>
      <c r="AE224" s="75">
        <f>$C224*INDEX(Curves!$I$8:$I$68,AE$4-$B224+1)</f>
        <v/>
      </c>
      <c r="AF224" s="75">
        <f>$C224*INDEX(Curves!$I$8:$I$68,AF$4-$B224+1)</f>
        <v/>
      </c>
      <c r="AG224" s="75">
        <f>$C224*INDEX(Curves!$I$8:$I$68,AG$4-$B224+1)</f>
        <v/>
      </c>
      <c r="AH224" s="75">
        <f>$C224*INDEX(Curves!$I$8:$I$68,AH$4-$B224+1)</f>
        <v/>
      </c>
      <c r="AI224" s="75">
        <f>$C224*INDEX(Curves!$I$8:$I$68,AI$4-$B224+1)</f>
        <v/>
      </c>
      <c r="AJ224" s="75">
        <f>$C224*INDEX(Curves!$I$8:$I$68,AJ$4-$B224+1)</f>
        <v/>
      </c>
      <c r="AK224" s="75">
        <f>$C224*INDEX(Curves!$I$8:$I$68,AK$4-$B224+1)</f>
        <v/>
      </c>
      <c r="AL224" s="75">
        <f>$C224*INDEX(Curves!$I$8:$I$68,AL$4-$B224+1)</f>
        <v/>
      </c>
      <c r="AM224" s="75">
        <f>$C224*INDEX(Curves!$I$8:$I$68,AM$4-$B224+1)</f>
        <v/>
      </c>
      <c r="AN224" s="75">
        <f>$C224*INDEX(Curves!$I$8:$I$68,AN$4-$B224+1)</f>
        <v/>
      </c>
      <c r="AO224" s="75">
        <f>$C224*INDEX(Curves!$I$8:$I$68,AO$4-$B224+1)</f>
        <v/>
      </c>
      <c r="AP224" s="75">
        <f>$C224*INDEX(Curves!$I$8:$I$68,AP$4-$B224+1)</f>
        <v/>
      </c>
      <c r="AQ224" s="75">
        <f>$C224*INDEX(Curves!$I$8:$I$68,AQ$4-$B224+1)</f>
        <v/>
      </c>
      <c r="AR224" s="75">
        <f>$C224*INDEX(Curves!$I$8:$I$68,AR$4-$B224+1)</f>
        <v/>
      </c>
      <c r="AS224" s="75">
        <f>$C224*INDEX(Curves!$I$8:$I$68,AS$4-$B224+1)</f>
        <v/>
      </c>
      <c r="AT224" s="75">
        <f>$C224*INDEX(Curves!$I$8:$I$68,AT$4-$B224+1)</f>
        <v/>
      </c>
      <c r="AU224" s="75">
        <f>$C224*INDEX(Curves!$I$8:$I$68,AU$4-$B224+1)</f>
        <v/>
      </c>
      <c r="AV224" s="75">
        <f>$C224*INDEX(Curves!$I$8:$I$68,AV$4-$B224+1)</f>
        <v/>
      </c>
      <c r="AW224" s="75">
        <f>$C224*INDEX(Curves!$I$8:$I$68,AW$4-$B224+1)</f>
        <v/>
      </c>
      <c r="AX224" s="75">
        <f>$C224*INDEX(Curves!$I$8:$I$68,AX$4-$B224+1)</f>
        <v/>
      </c>
      <c r="AY224" s="75">
        <f>$C224*INDEX(Curves!$I$8:$I$68,AY$4-$B224+1)</f>
        <v/>
      </c>
      <c r="AZ224" s="75">
        <f>$C224*INDEX(Curves!$I$8:$I$68,AZ$4-$B224+1)</f>
        <v/>
      </c>
      <c r="BA224" s="75">
        <f>$C224*INDEX(Curves!$I$8:$I$68,BA$4-$B224+1)</f>
        <v/>
      </c>
      <c r="BB224" s="75">
        <f>$C224*INDEX(Curves!$I$8:$I$68,BB$4-$B224+1)</f>
        <v/>
      </c>
      <c r="BC224" s="75">
        <f>$C224*INDEX(Curves!$I$8:$I$68,BC$4-$B224+1)</f>
        <v/>
      </c>
      <c r="BD224" s="75">
        <f>$C224*INDEX(Curves!$I$8:$I$68,BD$4-$B224+1)</f>
        <v/>
      </c>
      <c r="BE224" s="75">
        <f>$C224*INDEX(Curves!$I$8:$I$68,BE$4-$B224+1)</f>
        <v/>
      </c>
      <c r="BF224" s="75">
        <f>$C224*INDEX(Curves!$I$8:$I$68,BF$4-$B224+1)</f>
        <v/>
      </c>
      <c r="BG224" s="75">
        <f>$C224*INDEX(Curves!$I$8:$I$68,BG$4-$B224+1)</f>
        <v/>
      </c>
      <c r="BH224" s="75">
        <f>$C224*INDEX(Curves!$I$8:$I$68,BH$4-$B224+1)</f>
        <v/>
      </c>
      <c r="BI224" s="75">
        <f>$C224*INDEX(Curves!$I$8:$I$68,BI$4-$B224+1)</f>
        <v/>
      </c>
      <c r="BJ224" s="75">
        <f>$C224*INDEX(Curves!$I$8:$I$68,BJ$4-$B224+1)</f>
        <v/>
      </c>
      <c r="BK224" s="75">
        <f>$C224*INDEX(Curves!$I$8:$I$68,BK$4-$B224+1)</f>
        <v/>
      </c>
      <c r="BL224" s="75">
        <f>$C224*INDEX(Curves!$I$8:$I$68,BL$4-$B224+1)</f>
        <v/>
      </c>
    </row>
    <row r="225">
      <c r="A225" s="74" t="inlineStr">
        <is>
          <t>Cohort month 27</t>
        </is>
      </c>
      <c r="B225" s="74" t="n">
        <v>27</v>
      </c>
      <c r="C225" s="17">
        <f>INDEX(Ops!$E$10:$BL$10,1,$B225)</f>
        <v/>
      </c>
      <c r="AF225" s="75">
        <f>$C225*INDEX(Curves!$I$8:$I$68,AF$4-$B225+1)</f>
        <v/>
      </c>
      <c r="AG225" s="75">
        <f>$C225*INDEX(Curves!$I$8:$I$68,AG$4-$B225+1)</f>
        <v/>
      </c>
      <c r="AH225" s="75">
        <f>$C225*INDEX(Curves!$I$8:$I$68,AH$4-$B225+1)</f>
        <v/>
      </c>
      <c r="AI225" s="75">
        <f>$C225*INDEX(Curves!$I$8:$I$68,AI$4-$B225+1)</f>
        <v/>
      </c>
      <c r="AJ225" s="75">
        <f>$C225*INDEX(Curves!$I$8:$I$68,AJ$4-$B225+1)</f>
        <v/>
      </c>
      <c r="AK225" s="75">
        <f>$C225*INDEX(Curves!$I$8:$I$68,AK$4-$B225+1)</f>
        <v/>
      </c>
      <c r="AL225" s="75">
        <f>$C225*INDEX(Curves!$I$8:$I$68,AL$4-$B225+1)</f>
        <v/>
      </c>
      <c r="AM225" s="75">
        <f>$C225*INDEX(Curves!$I$8:$I$68,AM$4-$B225+1)</f>
        <v/>
      </c>
      <c r="AN225" s="75">
        <f>$C225*INDEX(Curves!$I$8:$I$68,AN$4-$B225+1)</f>
        <v/>
      </c>
      <c r="AO225" s="75">
        <f>$C225*INDEX(Curves!$I$8:$I$68,AO$4-$B225+1)</f>
        <v/>
      </c>
      <c r="AP225" s="75">
        <f>$C225*INDEX(Curves!$I$8:$I$68,AP$4-$B225+1)</f>
        <v/>
      </c>
      <c r="AQ225" s="75">
        <f>$C225*INDEX(Curves!$I$8:$I$68,AQ$4-$B225+1)</f>
        <v/>
      </c>
      <c r="AR225" s="75">
        <f>$C225*INDEX(Curves!$I$8:$I$68,AR$4-$B225+1)</f>
        <v/>
      </c>
      <c r="AS225" s="75">
        <f>$C225*INDEX(Curves!$I$8:$I$68,AS$4-$B225+1)</f>
        <v/>
      </c>
      <c r="AT225" s="75">
        <f>$C225*INDEX(Curves!$I$8:$I$68,AT$4-$B225+1)</f>
        <v/>
      </c>
      <c r="AU225" s="75">
        <f>$C225*INDEX(Curves!$I$8:$I$68,AU$4-$B225+1)</f>
        <v/>
      </c>
      <c r="AV225" s="75">
        <f>$C225*INDEX(Curves!$I$8:$I$68,AV$4-$B225+1)</f>
        <v/>
      </c>
      <c r="AW225" s="75">
        <f>$C225*INDEX(Curves!$I$8:$I$68,AW$4-$B225+1)</f>
        <v/>
      </c>
      <c r="AX225" s="75">
        <f>$C225*INDEX(Curves!$I$8:$I$68,AX$4-$B225+1)</f>
        <v/>
      </c>
      <c r="AY225" s="75">
        <f>$C225*INDEX(Curves!$I$8:$I$68,AY$4-$B225+1)</f>
        <v/>
      </c>
      <c r="AZ225" s="75">
        <f>$C225*INDEX(Curves!$I$8:$I$68,AZ$4-$B225+1)</f>
        <v/>
      </c>
      <c r="BA225" s="75">
        <f>$C225*INDEX(Curves!$I$8:$I$68,BA$4-$B225+1)</f>
        <v/>
      </c>
      <c r="BB225" s="75">
        <f>$C225*INDEX(Curves!$I$8:$I$68,BB$4-$B225+1)</f>
        <v/>
      </c>
      <c r="BC225" s="75">
        <f>$C225*INDEX(Curves!$I$8:$I$68,BC$4-$B225+1)</f>
        <v/>
      </c>
      <c r="BD225" s="75">
        <f>$C225*INDEX(Curves!$I$8:$I$68,BD$4-$B225+1)</f>
        <v/>
      </c>
      <c r="BE225" s="75">
        <f>$C225*INDEX(Curves!$I$8:$I$68,BE$4-$B225+1)</f>
        <v/>
      </c>
      <c r="BF225" s="75">
        <f>$C225*INDEX(Curves!$I$8:$I$68,BF$4-$B225+1)</f>
        <v/>
      </c>
      <c r="BG225" s="75">
        <f>$C225*INDEX(Curves!$I$8:$I$68,BG$4-$B225+1)</f>
        <v/>
      </c>
      <c r="BH225" s="75">
        <f>$C225*INDEX(Curves!$I$8:$I$68,BH$4-$B225+1)</f>
        <v/>
      </c>
      <c r="BI225" s="75">
        <f>$C225*INDEX(Curves!$I$8:$I$68,BI$4-$B225+1)</f>
        <v/>
      </c>
      <c r="BJ225" s="75">
        <f>$C225*INDEX(Curves!$I$8:$I$68,BJ$4-$B225+1)</f>
        <v/>
      </c>
      <c r="BK225" s="75">
        <f>$C225*INDEX(Curves!$I$8:$I$68,BK$4-$B225+1)</f>
        <v/>
      </c>
      <c r="BL225" s="75">
        <f>$C225*INDEX(Curves!$I$8:$I$68,BL$4-$B225+1)</f>
        <v/>
      </c>
    </row>
    <row r="226">
      <c r="A226" s="74" t="inlineStr">
        <is>
          <t>Cohort month 28</t>
        </is>
      </c>
      <c r="B226" s="74" t="n">
        <v>28</v>
      </c>
      <c r="C226" s="17">
        <f>INDEX(Ops!$E$10:$BL$10,1,$B226)</f>
        <v/>
      </c>
      <c r="AG226" s="75">
        <f>$C226*INDEX(Curves!$I$8:$I$68,AG$4-$B226+1)</f>
        <v/>
      </c>
      <c r="AH226" s="75">
        <f>$C226*INDEX(Curves!$I$8:$I$68,AH$4-$B226+1)</f>
        <v/>
      </c>
      <c r="AI226" s="75">
        <f>$C226*INDEX(Curves!$I$8:$I$68,AI$4-$B226+1)</f>
        <v/>
      </c>
      <c r="AJ226" s="75">
        <f>$C226*INDEX(Curves!$I$8:$I$68,AJ$4-$B226+1)</f>
        <v/>
      </c>
      <c r="AK226" s="75">
        <f>$C226*INDEX(Curves!$I$8:$I$68,AK$4-$B226+1)</f>
        <v/>
      </c>
      <c r="AL226" s="75">
        <f>$C226*INDEX(Curves!$I$8:$I$68,AL$4-$B226+1)</f>
        <v/>
      </c>
      <c r="AM226" s="75">
        <f>$C226*INDEX(Curves!$I$8:$I$68,AM$4-$B226+1)</f>
        <v/>
      </c>
      <c r="AN226" s="75">
        <f>$C226*INDEX(Curves!$I$8:$I$68,AN$4-$B226+1)</f>
        <v/>
      </c>
      <c r="AO226" s="75">
        <f>$C226*INDEX(Curves!$I$8:$I$68,AO$4-$B226+1)</f>
        <v/>
      </c>
      <c r="AP226" s="75">
        <f>$C226*INDEX(Curves!$I$8:$I$68,AP$4-$B226+1)</f>
        <v/>
      </c>
      <c r="AQ226" s="75">
        <f>$C226*INDEX(Curves!$I$8:$I$68,AQ$4-$B226+1)</f>
        <v/>
      </c>
      <c r="AR226" s="75">
        <f>$C226*INDEX(Curves!$I$8:$I$68,AR$4-$B226+1)</f>
        <v/>
      </c>
      <c r="AS226" s="75">
        <f>$C226*INDEX(Curves!$I$8:$I$68,AS$4-$B226+1)</f>
        <v/>
      </c>
      <c r="AT226" s="75">
        <f>$C226*INDEX(Curves!$I$8:$I$68,AT$4-$B226+1)</f>
        <v/>
      </c>
      <c r="AU226" s="75">
        <f>$C226*INDEX(Curves!$I$8:$I$68,AU$4-$B226+1)</f>
        <v/>
      </c>
      <c r="AV226" s="75">
        <f>$C226*INDEX(Curves!$I$8:$I$68,AV$4-$B226+1)</f>
        <v/>
      </c>
      <c r="AW226" s="75">
        <f>$C226*INDEX(Curves!$I$8:$I$68,AW$4-$B226+1)</f>
        <v/>
      </c>
      <c r="AX226" s="75">
        <f>$C226*INDEX(Curves!$I$8:$I$68,AX$4-$B226+1)</f>
        <v/>
      </c>
      <c r="AY226" s="75">
        <f>$C226*INDEX(Curves!$I$8:$I$68,AY$4-$B226+1)</f>
        <v/>
      </c>
      <c r="AZ226" s="75">
        <f>$C226*INDEX(Curves!$I$8:$I$68,AZ$4-$B226+1)</f>
        <v/>
      </c>
      <c r="BA226" s="75">
        <f>$C226*INDEX(Curves!$I$8:$I$68,BA$4-$B226+1)</f>
        <v/>
      </c>
      <c r="BB226" s="75">
        <f>$C226*INDEX(Curves!$I$8:$I$68,BB$4-$B226+1)</f>
        <v/>
      </c>
      <c r="BC226" s="75">
        <f>$C226*INDEX(Curves!$I$8:$I$68,BC$4-$B226+1)</f>
        <v/>
      </c>
      <c r="BD226" s="75">
        <f>$C226*INDEX(Curves!$I$8:$I$68,BD$4-$B226+1)</f>
        <v/>
      </c>
      <c r="BE226" s="75">
        <f>$C226*INDEX(Curves!$I$8:$I$68,BE$4-$B226+1)</f>
        <v/>
      </c>
      <c r="BF226" s="75">
        <f>$C226*INDEX(Curves!$I$8:$I$68,BF$4-$B226+1)</f>
        <v/>
      </c>
      <c r="BG226" s="75">
        <f>$C226*INDEX(Curves!$I$8:$I$68,BG$4-$B226+1)</f>
        <v/>
      </c>
      <c r="BH226" s="75">
        <f>$C226*INDEX(Curves!$I$8:$I$68,BH$4-$B226+1)</f>
        <v/>
      </c>
      <c r="BI226" s="75">
        <f>$C226*INDEX(Curves!$I$8:$I$68,BI$4-$B226+1)</f>
        <v/>
      </c>
      <c r="BJ226" s="75">
        <f>$C226*INDEX(Curves!$I$8:$I$68,BJ$4-$B226+1)</f>
        <v/>
      </c>
      <c r="BK226" s="75">
        <f>$C226*INDEX(Curves!$I$8:$I$68,BK$4-$B226+1)</f>
        <v/>
      </c>
      <c r="BL226" s="75">
        <f>$C226*INDEX(Curves!$I$8:$I$68,BL$4-$B226+1)</f>
        <v/>
      </c>
    </row>
    <row r="227">
      <c r="A227" s="74" t="inlineStr">
        <is>
          <t>Cohort month 29</t>
        </is>
      </c>
      <c r="B227" s="74" t="n">
        <v>29</v>
      </c>
      <c r="C227" s="17">
        <f>INDEX(Ops!$E$10:$BL$10,1,$B227)</f>
        <v/>
      </c>
      <c r="AH227" s="75">
        <f>$C227*INDEX(Curves!$I$8:$I$68,AH$4-$B227+1)</f>
        <v/>
      </c>
      <c r="AI227" s="75">
        <f>$C227*INDEX(Curves!$I$8:$I$68,AI$4-$B227+1)</f>
        <v/>
      </c>
      <c r="AJ227" s="75">
        <f>$C227*INDEX(Curves!$I$8:$I$68,AJ$4-$B227+1)</f>
        <v/>
      </c>
      <c r="AK227" s="75">
        <f>$C227*INDEX(Curves!$I$8:$I$68,AK$4-$B227+1)</f>
        <v/>
      </c>
      <c r="AL227" s="75">
        <f>$C227*INDEX(Curves!$I$8:$I$68,AL$4-$B227+1)</f>
        <v/>
      </c>
      <c r="AM227" s="75">
        <f>$C227*INDEX(Curves!$I$8:$I$68,AM$4-$B227+1)</f>
        <v/>
      </c>
      <c r="AN227" s="75">
        <f>$C227*INDEX(Curves!$I$8:$I$68,AN$4-$B227+1)</f>
        <v/>
      </c>
      <c r="AO227" s="75">
        <f>$C227*INDEX(Curves!$I$8:$I$68,AO$4-$B227+1)</f>
        <v/>
      </c>
      <c r="AP227" s="75">
        <f>$C227*INDEX(Curves!$I$8:$I$68,AP$4-$B227+1)</f>
        <v/>
      </c>
      <c r="AQ227" s="75">
        <f>$C227*INDEX(Curves!$I$8:$I$68,AQ$4-$B227+1)</f>
        <v/>
      </c>
      <c r="AR227" s="75">
        <f>$C227*INDEX(Curves!$I$8:$I$68,AR$4-$B227+1)</f>
        <v/>
      </c>
      <c r="AS227" s="75">
        <f>$C227*INDEX(Curves!$I$8:$I$68,AS$4-$B227+1)</f>
        <v/>
      </c>
      <c r="AT227" s="75">
        <f>$C227*INDEX(Curves!$I$8:$I$68,AT$4-$B227+1)</f>
        <v/>
      </c>
      <c r="AU227" s="75">
        <f>$C227*INDEX(Curves!$I$8:$I$68,AU$4-$B227+1)</f>
        <v/>
      </c>
      <c r="AV227" s="75">
        <f>$C227*INDEX(Curves!$I$8:$I$68,AV$4-$B227+1)</f>
        <v/>
      </c>
      <c r="AW227" s="75">
        <f>$C227*INDEX(Curves!$I$8:$I$68,AW$4-$B227+1)</f>
        <v/>
      </c>
      <c r="AX227" s="75">
        <f>$C227*INDEX(Curves!$I$8:$I$68,AX$4-$B227+1)</f>
        <v/>
      </c>
      <c r="AY227" s="75">
        <f>$C227*INDEX(Curves!$I$8:$I$68,AY$4-$B227+1)</f>
        <v/>
      </c>
      <c r="AZ227" s="75">
        <f>$C227*INDEX(Curves!$I$8:$I$68,AZ$4-$B227+1)</f>
        <v/>
      </c>
      <c r="BA227" s="75">
        <f>$C227*INDEX(Curves!$I$8:$I$68,BA$4-$B227+1)</f>
        <v/>
      </c>
      <c r="BB227" s="75">
        <f>$C227*INDEX(Curves!$I$8:$I$68,BB$4-$B227+1)</f>
        <v/>
      </c>
      <c r="BC227" s="75">
        <f>$C227*INDEX(Curves!$I$8:$I$68,BC$4-$B227+1)</f>
        <v/>
      </c>
      <c r="BD227" s="75">
        <f>$C227*INDEX(Curves!$I$8:$I$68,BD$4-$B227+1)</f>
        <v/>
      </c>
      <c r="BE227" s="75">
        <f>$C227*INDEX(Curves!$I$8:$I$68,BE$4-$B227+1)</f>
        <v/>
      </c>
      <c r="BF227" s="75">
        <f>$C227*INDEX(Curves!$I$8:$I$68,BF$4-$B227+1)</f>
        <v/>
      </c>
      <c r="BG227" s="75">
        <f>$C227*INDEX(Curves!$I$8:$I$68,BG$4-$B227+1)</f>
        <v/>
      </c>
      <c r="BH227" s="75">
        <f>$C227*INDEX(Curves!$I$8:$I$68,BH$4-$B227+1)</f>
        <v/>
      </c>
      <c r="BI227" s="75">
        <f>$C227*INDEX(Curves!$I$8:$I$68,BI$4-$B227+1)</f>
        <v/>
      </c>
      <c r="BJ227" s="75">
        <f>$C227*INDEX(Curves!$I$8:$I$68,BJ$4-$B227+1)</f>
        <v/>
      </c>
      <c r="BK227" s="75">
        <f>$C227*INDEX(Curves!$I$8:$I$68,BK$4-$B227+1)</f>
        <v/>
      </c>
      <c r="BL227" s="75">
        <f>$C227*INDEX(Curves!$I$8:$I$68,BL$4-$B227+1)</f>
        <v/>
      </c>
    </row>
    <row r="228">
      <c r="A228" s="74" t="inlineStr">
        <is>
          <t>Cohort month 30</t>
        </is>
      </c>
      <c r="B228" s="74" t="n">
        <v>30</v>
      </c>
      <c r="C228" s="17">
        <f>INDEX(Ops!$E$10:$BL$10,1,$B228)</f>
        <v/>
      </c>
      <c r="AI228" s="75">
        <f>$C228*INDEX(Curves!$I$8:$I$68,AI$4-$B228+1)</f>
        <v/>
      </c>
      <c r="AJ228" s="75">
        <f>$C228*INDEX(Curves!$I$8:$I$68,AJ$4-$B228+1)</f>
        <v/>
      </c>
      <c r="AK228" s="75">
        <f>$C228*INDEX(Curves!$I$8:$I$68,AK$4-$B228+1)</f>
        <v/>
      </c>
      <c r="AL228" s="75">
        <f>$C228*INDEX(Curves!$I$8:$I$68,AL$4-$B228+1)</f>
        <v/>
      </c>
      <c r="AM228" s="75">
        <f>$C228*INDEX(Curves!$I$8:$I$68,AM$4-$B228+1)</f>
        <v/>
      </c>
      <c r="AN228" s="75">
        <f>$C228*INDEX(Curves!$I$8:$I$68,AN$4-$B228+1)</f>
        <v/>
      </c>
      <c r="AO228" s="75">
        <f>$C228*INDEX(Curves!$I$8:$I$68,AO$4-$B228+1)</f>
        <v/>
      </c>
      <c r="AP228" s="75">
        <f>$C228*INDEX(Curves!$I$8:$I$68,AP$4-$B228+1)</f>
        <v/>
      </c>
      <c r="AQ228" s="75">
        <f>$C228*INDEX(Curves!$I$8:$I$68,AQ$4-$B228+1)</f>
        <v/>
      </c>
      <c r="AR228" s="75">
        <f>$C228*INDEX(Curves!$I$8:$I$68,AR$4-$B228+1)</f>
        <v/>
      </c>
      <c r="AS228" s="75">
        <f>$C228*INDEX(Curves!$I$8:$I$68,AS$4-$B228+1)</f>
        <v/>
      </c>
      <c r="AT228" s="75">
        <f>$C228*INDEX(Curves!$I$8:$I$68,AT$4-$B228+1)</f>
        <v/>
      </c>
      <c r="AU228" s="75">
        <f>$C228*INDEX(Curves!$I$8:$I$68,AU$4-$B228+1)</f>
        <v/>
      </c>
      <c r="AV228" s="75">
        <f>$C228*INDEX(Curves!$I$8:$I$68,AV$4-$B228+1)</f>
        <v/>
      </c>
      <c r="AW228" s="75">
        <f>$C228*INDEX(Curves!$I$8:$I$68,AW$4-$B228+1)</f>
        <v/>
      </c>
      <c r="AX228" s="75">
        <f>$C228*INDEX(Curves!$I$8:$I$68,AX$4-$B228+1)</f>
        <v/>
      </c>
      <c r="AY228" s="75">
        <f>$C228*INDEX(Curves!$I$8:$I$68,AY$4-$B228+1)</f>
        <v/>
      </c>
      <c r="AZ228" s="75">
        <f>$C228*INDEX(Curves!$I$8:$I$68,AZ$4-$B228+1)</f>
        <v/>
      </c>
      <c r="BA228" s="75">
        <f>$C228*INDEX(Curves!$I$8:$I$68,BA$4-$B228+1)</f>
        <v/>
      </c>
      <c r="BB228" s="75">
        <f>$C228*INDEX(Curves!$I$8:$I$68,BB$4-$B228+1)</f>
        <v/>
      </c>
      <c r="BC228" s="75">
        <f>$C228*INDEX(Curves!$I$8:$I$68,BC$4-$B228+1)</f>
        <v/>
      </c>
      <c r="BD228" s="75">
        <f>$C228*INDEX(Curves!$I$8:$I$68,BD$4-$B228+1)</f>
        <v/>
      </c>
      <c r="BE228" s="75">
        <f>$C228*INDEX(Curves!$I$8:$I$68,BE$4-$B228+1)</f>
        <v/>
      </c>
      <c r="BF228" s="75">
        <f>$C228*INDEX(Curves!$I$8:$I$68,BF$4-$B228+1)</f>
        <v/>
      </c>
      <c r="BG228" s="75">
        <f>$C228*INDEX(Curves!$I$8:$I$68,BG$4-$B228+1)</f>
        <v/>
      </c>
      <c r="BH228" s="75">
        <f>$C228*INDEX(Curves!$I$8:$I$68,BH$4-$B228+1)</f>
        <v/>
      </c>
      <c r="BI228" s="75">
        <f>$C228*INDEX(Curves!$I$8:$I$68,BI$4-$B228+1)</f>
        <v/>
      </c>
      <c r="BJ228" s="75">
        <f>$C228*INDEX(Curves!$I$8:$I$68,BJ$4-$B228+1)</f>
        <v/>
      </c>
      <c r="BK228" s="75">
        <f>$C228*INDEX(Curves!$I$8:$I$68,BK$4-$B228+1)</f>
        <v/>
      </c>
      <c r="BL228" s="75">
        <f>$C228*INDEX(Curves!$I$8:$I$68,BL$4-$B228+1)</f>
        <v/>
      </c>
    </row>
    <row r="229">
      <c r="A229" s="74" t="inlineStr">
        <is>
          <t>Cohort month 31</t>
        </is>
      </c>
      <c r="B229" s="74" t="n">
        <v>31</v>
      </c>
      <c r="C229" s="17">
        <f>INDEX(Ops!$E$10:$BL$10,1,$B229)</f>
        <v/>
      </c>
      <c r="AJ229" s="75">
        <f>$C229*INDEX(Curves!$I$8:$I$68,AJ$4-$B229+1)</f>
        <v/>
      </c>
      <c r="AK229" s="75">
        <f>$C229*INDEX(Curves!$I$8:$I$68,AK$4-$B229+1)</f>
        <v/>
      </c>
      <c r="AL229" s="75">
        <f>$C229*INDEX(Curves!$I$8:$I$68,AL$4-$B229+1)</f>
        <v/>
      </c>
      <c r="AM229" s="75">
        <f>$C229*INDEX(Curves!$I$8:$I$68,AM$4-$B229+1)</f>
        <v/>
      </c>
      <c r="AN229" s="75">
        <f>$C229*INDEX(Curves!$I$8:$I$68,AN$4-$B229+1)</f>
        <v/>
      </c>
      <c r="AO229" s="75">
        <f>$C229*INDEX(Curves!$I$8:$I$68,AO$4-$B229+1)</f>
        <v/>
      </c>
      <c r="AP229" s="75">
        <f>$C229*INDEX(Curves!$I$8:$I$68,AP$4-$B229+1)</f>
        <v/>
      </c>
      <c r="AQ229" s="75">
        <f>$C229*INDEX(Curves!$I$8:$I$68,AQ$4-$B229+1)</f>
        <v/>
      </c>
      <c r="AR229" s="75">
        <f>$C229*INDEX(Curves!$I$8:$I$68,AR$4-$B229+1)</f>
        <v/>
      </c>
      <c r="AS229" s="75">
        <f>$C229*INDEX(Curves!$I$8:$I$68,AS$4-$B229+1)</f>
        <v/>
      </c>
      <c r="AT229" s="75">
        <f>$C229*INDEX(Curves!$I$8:$I$68,AT$4-$B229+1)</f>
        <v/>
      </c>
      <c r="AU229" s="75">
        <f>$C229*INDEX(Curves!$I$8:$I$68,AU$4-$B229+1)</f>
        <v/>
      </c>
      <c r="AV229" s="75">
        <f>$C229*INDEX(Curves!$I$8:$I$68,AV$4-$B229+1)</f>
        <v/>
      </c>
      <c r="AW229" s="75">
        <f>$C229*INDEX(Curves!$I$8:$I$68,AW$4-$B229+1)</f>
        <v/>
      </c>
      <c r="AX229" s="75">
        <f>$C229*INDEX(Curves!$I$8:$I$68,AX$4-$B229+1)</f>
        <v/>
      </c>
      <c r="AY229" s="75">
        <f>$C229*INDEX(Curves!$I$8:$I$68,AY$4-$B229+1)</f>
        <v/>
      </c>
      <c r="AZ229" s="75">
        <f>$C229*INDEX(Curves!$I$8:$I$68,AZ$4-$B229+1)</f>
        <v/>
      </c>
      <c r="BA229" s="75">
        <f>$C229*INDEX(Curves!$I$8:$I$68,BA$4-$B229+1)</f>
        <v/>
      </c>
      <c r="BB229" s="75">
        <f>$C229*INDEX(Curves!$I$8:$I$68,BB$4-$B229+1)</f>
        <v/>
      </c>
      <c r="BC229" s="75">
        <f>$C229*INDEX(Curves!$I$8:$I$68,BC$4-$B229+1)</f>
        <v/>
      </c>
      <c r="BD229" s="75">
        <f>$C229*INDEX(Curves!$I$8:$I$68,BD$4-$B229+1)</f>
        <v/>
      </c>
      <c r="BE229" s="75">
        <f>$C229*INDEX(Curves!$I$8:$I$68,BE$4-$B229+1)</f>
        <v/>
      </c>
      <c r="BF229" s="75">
        <f>$C229*INDEX(Curves!$I$8:$I$68,BF$4-$B229+1)</f>
        <v/>
      </c>
      <c r="BG229" s="75">
        <f>$C229*INDEX(Curves!$I$8:$I$68,BG$4-$B229+1)</f>
        <v/>
      </c>
      <c r="BH229" s="75">
        <f>$C229*INDEX(Curves!$I$8:$I$68,BH$4-$B229+1)</f>
        <v/>
      </c>
      <c r="BI229" s="75">
        <f>$C229*INDEX(Curves!$I$8:$I$68,BI$4-$B229+1)</f>
        <v/>
      </c>
      <c r="BJ229" s="75">
        <f>$C229*INDEX(Curves!$I$8:$I$68,BJ$4-$B229+1)</f>
        <v/>
      </c>
      <c r="BK229" s="75">
        <f>$C229*INDEX(Curves!$I$8:$I$68,BK$4-$B229+1)</f>
        <v/>
      </c>
      <c r="BL229" s="75">
        <f>$C229*INDEX(Curves!$I$8:$I$68,BL$4-$B229+1)</f>
        <v/>
      </c>
    </row>
    <row r="230">
      <c r="A230" s="74" t="inlineStr">
        <is>
          <t>Cohort month 32</t>
        </is>
      </c>
      <c r="B230" s="74" t="n">
        <v>32</v>
      </c>
      <c r="C230" s="17">
        <f>INDEX(Ops!$E$10:$BL$10,1,$B230)</f>
        <v/>
      </c>
      <c r="AK230" s="75">
        <f>$C230*INDEX(Curves!$I$8:$I$68,AK$4-$B230+1)</f>
        <v/>
      </c>
      <c r="AL230" s="75">
        <f>$C230*INDEX(Curves!$I$8:$I$68,AL$4-$B230+1)</f>
        <v/>
      </c>
      <c r="AM230" s="75">
        <f>$C230*INDEX(Curves!$I$8:$I$68,AM$4-$B230+1)</f>
        <v/>
      </c>
      <c r="AN230" s="75">
        <f>$C230*INDEX(Curves!$I$8:$I$68,AN$4-$B230+1)</f>
        <v/>
      </c>
      <c r="AO230" s="75">
        <f>$C230*INDEX(Curves!$I$8:$I$68,AO$4-$B230+1)</f>
        <v/>
      </c>
      <c r="AP230" s="75">
        <f>$C230*INDEX(Curves!$I$8:$I$68,AP$4-$B230+1)</f>
        <v/>
      </c>
      <c r="AQ230" s="75">
        <f>$C230*INDEX(Curves!$I$8:$I$68,AQ$4-$B230+1)</f>
        <v/>
      </c>
      <c r="AR230" s="75">
        <f>$C230*INDEX(Curves!$I$8:$I$68,AR$4-$B230+1)</f>
        <v/>
      </c>
      <c r="AS230" s="75">
        <f>$C230*INDEX(Curves!$I$8:$I$68,AS$4-$B230+1)</f>
        <v/>
      </c>
      <c r="AT230" s="75">
        <f>$C230*INDEX(Curves!$I$8:$I$68,AT$4-$B230+1)</f>
        <v/>
      </c>
      <c r="AU230" s="75">
        <f>$C230*INDEX(Curves!$I$8:$I$68,AU$4-$B230+1)</f>
        <v/>
      </c>
      <c r="AV230" s="75">
        <f>$C230*INDEX(Curves!$I$8:$I$68,AV$4-$B230+1)</f>
        <v/>
      </c>
      <c r="AW230" s="75">
        <f>$C230*INDEX(Curves!$I$8:$I$68,AW$4-$B230+1)</f>
        <v/>
      </c>
      <c r="AX230" s="75">
        <f>$C230*INDEX(Curves!$I$8:$I$68,AX$4-$B230+1)</f>
        <v/>
      </c>
      <c r="AY230" s="75">
        <f>$C230*INDEX(Curves!$I$8:$I$68,AY$4-$B230+1)</f>
        <v/>
      </c>
      <c r="AZ230" s="75">
        <f>$C230*INDEX(Curves!$I$8:$I$68,AZ$4-$B230+1)</f>
        <v/>
      </c>
      <c r="BA230" s="75">
        <f>$C230*INDEX(Curves!$I$8:$I$68,BA$4-$B230+1)</f>
        <v/>
      </c>
      <c r="BB230" s="75">
        <f>$C230*INDEX(Curves!$I$8:$I$68,BB$4-$B230+1)</f>
        <v/>
      </c>
      <c r="BC230" s="75">
        <f>$C230*INDEX(Curves!$I$8:$I$68,BC$4-$B230+1)</f>
        <v/>
      </c>
      <c r="BD230" s="75">
        <f>$C230*INDEX(Curves!$I$8:$I$68,BD$4-$B230+1)</f>
        <v/>
      </c>
      <c r="BE230" s="75">
        <f>$C230*INDEX(Curves!$I$8:$I$68,BE$4-$B230+1)</f>
        <v/>
      </c>
      <c r="BF230" s="75">
        <f>$C230*INDEX(Curves!$I$8:$I$68,BF$4-$B230+1)</f>
        <v/>
      </c>
      <c r="BG230" s="75">
        <f>$C230*INDEX(Curves!$I$8:$I$68,BG$4-$B230+1)</f>
        <v/>
      </c>
      <c r="BH230" s="75">
        <f>$C230*INDEX(Curves!$I$8:$I$68,BH$4-$B230+1)</f>
        <v/>
      </c>
      <c r="BI230" s="75">
        <f>$C230*INDEX(Curves!$I$8:$I$68,BI$4-$B230+1)</f>
        <v/>
      </c>
      <c r="BJ230" s="75">
        <f>$C230*INDEX(Curves!$I$8:$I$68,BJ$4-$B230+1)</f>
        <v/>
      </c>
      <c r="BK230" s="75">
        <f>$C230*INDEX(Curves!$I$8:$I$68,BK$4-$B230+1)</f>
        <v/>
      </c>
      <c r="BL230" s="75">
        <f>$C230*INDEX(Curves!$I$8:$I$68,BL$4-$B230+1)</f>
        <v/>
      </c>
    </row>
    <row r="231">
      <c r="A231" s="74" t="inlineStr">
        <is>
          <t>Cohort month 33</t>
        </is>
      </c>
      <c r="B231" s="74" t="n">
        <v>33</v>
      </c>
      <c r="C231" s="17">
        <f>INDEX(Ops!$E$10:$BL$10,1,$B231)</f>
        <v/>
      </c>
      <c r="AL231" s="75">
        <f>$C231*INDEX(Curves!$I$8:$I$68,AL$4-$B231+1)</f>
        <v/>
      </c>
      <c r="AM231" s="75">
        <f>$C231*INDEX(Curves!$I$8:$I$68,AM$4-$B231+1)</f>
        <v/>
      </c>
      <c r="AN231" s="75">
        <f>$C231*INDEX(Curves!$I$8:$I$68,AN$4-$B231+1)</f>
        <v/>
      </c>
      <c r="AO231" s="75">
        <f>$C231*INDEX(Curves!$I$8:$I$68,AO$4-$B231+1)</f>
        <v/>
      </c>
      <c r="AP231" s="75">
        <f>$C231*INDEX(Curves!$I$8:$I$68,AP$4-$B231+1)</f>
        <v/>
      </c>
      <c r="AQ231" s="75">
        <f>$C231*INDEX(Curves!$I$8:$I$68,AQ$4-$B231+1)</f>
        <v/>
      </c>
      <c r="AR231" s="75">
        <f>$C231*INDEX(Curves!$I$8:$I$68,AR$4-$B231+1)</f>
        <v/>
      </c>
      <c r="AS231" s="75">
        <f>$C231*INDEX(Curves!$I$8:$I$68,AS$4-$B231+1)</f>
        <v/>
      </c>
      <c r="AT231" s="75">
        <f>$C231*INDEX(Curves!$I$8:$I$68,AT$4-$B231+1)</f>
        <v/>
      </c>
      <c r="AU231" s="75">
        <f>$C231*INDEX(Curves!$I$8:$I$68,AU$4-$B231+1)</f>
        <v/>
      </c>
      <c r="AV231" s="75">
        <f>$C231*INDEX(Curves!$I$8:$I$68,AV$4-$B231+1)</f>
        <v/>
      </c>
      <c r="AW231" s="75">
        <f>$C231*INDEX(Curves!$I$8:$I$68,AW$4-$B231+1)</f>
        <v/>
      </c>
      <c r="AX231" s="75">
        <f>$C231*INDEX(Curves!$I$8:$I$68,AX$4-$B231+1)</f>
        <v/>
      </c>
      <c r="AY231" s="75">
        <f>$C231*INDEX(Curves!$I$8:$I$68,AY$4-$B231+1)</f>
        <v/>
      </c>
      <c r="AZ231" s="75">
        <f>$C231*INDEX(Curves!$I$8:$I$68,AZ$4-$B231+1)</f>
        <v/>
      </c>
      <c r="BA231" s="75">
        <f>$C231*INDEX(Curves!$I$8:$I$68,BA$4-$B231+1)</f>
        <v/>
      </c>
      <c r="BB231" s="75">
        <f>$C231*INDEX(Curves!$I$8:$I$68,BB$4-$B231+1)</f>
        <v/>
      </c>
      <c r="BC231" s="75">
        <f>$C231*INDEX(Curves!$I$8:$I$68,BC$4-$B231+1)</f>
        <v/>
      </c>
      <c r="BD231" s="75">
        <f>$C231*INDEX(Curves!$I$8:$I$68,BD$4-$B231+1)</f>
        <v/>
      </c>
      <c r="BE231" s="75">
        <f>$C231*INDEX(Curves!$I$8:$I$68,BE$4-$B231+1)</f>
        <v/>
      </c>
      <c r="BF231" s="75">
        <f>$C231*INDEX(Curves!$I$8:$I$68,BF$4-$B231+1)</f>
        <v/>
      </c>
      <c r="BG231" s="75">
        <f>$C231*INDEX(Curves!$I$8:$I$68,BG$4-$B231+1)</f>
        <v/>
      </c>
      <c r="BH231" s="75">
        <f>$C231*INDEX(Curves!$I$8:$I$68,BH$4-$B231+1)</f>
        <v/>
      </c>
      <c r="BI231" s="75">
        <f>$C231*INDEX(Curves!$I$8:$I$68,BI$4-$B231+1)</f>
        <v/>
      </c>
      <c r="BJ231" s="75">
        <f>$C231*INDEX(Curves!$I$8:$I$68,BJ$4-$B231+1)</f>
        <v/>
      </c>
      <c r="BK231" s="75">
        <f>$C231*INDEX(Curves!$I$8:$I$68,BK$4-$B231+1)</f>
        <v/>
      </c>
      <c r="BL231" s="75">
        <f>$C231*INDEX(Curves!$I$8:$I$68,BL$4-$B231+1)</f>
        <v/>
      </c>
    </row>
    <row r="232">
      <c r="A232" s="74" t="inlineStr">
        <is>
          <t>Cohort month 34</t>
        </is>
      </c>
      <c r="B232" s="74" t="n">
        <v>34</v>
      </c>
      <c r="C232" s="17">
        <f>INDEX(Ops!$E$10:$BL$10,1,$B232)</f>
        <v/>
      </c>
      <c r="AM232" s="75">
        <f>$C232*INDEX(Curves!$I$8:$I$68,AM$4-$B232+1)</f>
        <v/>
      </c>
      <c r="AN232" s="75">
        <f>$C232*INDEX(Curves!$I$8:$I$68,AN$4-$B232+1)</f>
        <v/>
      </c>
      <c r="AO232" s="75">
        <f>$C232*INDEX(Curves!$I$8:$I$68,AO$4-$B232+1)</f>
        <v/>
      </c>
      <c r="AP232" s="75">
        <f>$C232*INDEX(Curves!$I$8:$I$68,AP$4-$B232+1)</f>
        <v/>
      </c>
      <c r="AQ232" s="75">
        <f>$C232*INDEX(Curves!$I$8:$I$68,AQ$4-$B232+1)</f>
        <v/>
      </c>
      <c r="AR232" s="75">
        <f>$C232*INDEX(Curves!$I$8:$I$68,AR$4-$B232+1)</f>
        <v/>
      </c>
      <c r="AS232" s="75">
        <f>$C232*INDEX(Curves!$I$8:$I$68,AS$4-$B232+1)</f>
        <v/>
      </c>
      <c r="AT232" s="75">
        <f>$C232*INDEX(Curves!$I$8:$I$68,AT$4-$B232+1)</f>
        <v/>
      </c>
      <c r="AU232" s="75">
        <f>$C232*INDEX(Curves!$I$8:$I$68,AU$4-$B232+1)</f>
        <v/>
      </c>
      <c r="AV232" s="75">
        <f>$C232*INDEX(Curves!$I$8:$I$68,AV$4-$B232+1)</f>
        <v/>
      </c>
      <c r="AW232" s="75">
        <f>$C232*INDEX(Curves!$I$8:$I$68,AW$4-$B232+1)</f>
        <v/>
      </c>
      <c r="AX232" s="75">
        <f>$C232*INDEX(Curves!$I$8:$I$68,AX$4-$B232+1)</f>
        <v/>
      </c>
      <c r="AY232" s="75">
        <f>$C232*INDEX(Curves!$I$8:$I$68,AY$4-$B232+1)</f>
        <v/>
      </c>
      <c r="AZ232" s="75">
        <f>$C232*INDEX(Curves!$I$8:$I$68,AZ$4-$B232+1)</f>
        <v/>
      </c>
      <c r="BA232" s="75">
        <f>$C232*INDEX(Curves!$I$8:$I$68,BA$4-$B232+1)</f>
        <v/>
      </c>
      <c r="BB232" s="75">
        <f>$C232*INDEX(Curves!$I$8:$I$68,BB$4-$B232+1)</f>
        <v/>
      </c>
      <c r="BC232" s="75">
        <f>$C232*INDEX(Curves!$I$8:$I$68,BC$4-$B232+1)</f>
        <v/>
      </c>
      <c r="BD232" s="75">
        <f>$C232*INDEX(Curves!$I$8:$I$68,BD$4-$B232+1)</f>
        <v/>
      </c>
      <c r="BE232" s="75">
        <f>$C232*INDEX(Curves!$I$8:$I$68,BE$4-$B232+1)</f>
        <v/>
      </c>
      <c r="BF232" s="75">
        <f>$C232*INDEX(Curves!$I$8:$I$68,BF$4-$B232+1)</f>
        <v/>
      </c>
      <c r="BG232" s="75">
        <f>$C232*INDEX(Curves!$I$8:$I$68,BG$4-$B232+1)</f>
        <v/>
      </c>
      <c r="BH232" s="75">
        <f>$C232*INDEX(Curves!$I$8:$I$68,BH$4-$B232+1)</f>
        <v/>
      </c>
      <c r="BI232" s="75">
        <f>$C232*INDEX(Curves!$I$8:$I$68,BI$4-$B232+1)</f>
        <v/>
      </c>
      <c r="BJ232" s="75">
        <f>$C232*INDEX(Curves!$I$8:$I$68,BJ$4-$B232+1)</f>
        <v/>
      </c>
      <c r="BK232" s="75">
        <f>$C232*INDEX(Curves!$I$8:$I$68,BK$4-$B232+1)</f>
        <v/>
      </c>
      <c r="BL232" s="75">
        <f>$C232*INDEX(Curves!$I$8:$I$68,BL$4-$B232+1)</f>
        <v/>
      </c>
    </row>
    <row r="233">
      <c r="A233" s="74" t="inlineStr">
        <is>
          <t>Cohort month 35</t>
        </is>
      </c>
      <c r="B233" s="74" t="n">
        <v>35</v>
      </c>
      <c r="C233" s="17">
        <f>INDEX(Ops!$E$10:$BL$10,1,$B233)</f>
        <v/>
      </c>
      <c r="AN233" s="75">
        <f>$C233*INDEX(Curves!$I$8:$I$68,AN$4-$B233+1)</f>
        <v/>
      </c>
      <c r="AO233" s="75">
        <f>$C233*INDEX(Curves!$I$8:$I$68,AO$4-$B233+1)</f>
        <v/>
      </c>
      <c r="AP233" s="75">
        <f>$C233*INDEX(Curves!$I$8:$I$68,AP$4-$B233+1)</f>
        <v/>
      </c>
      <c r="AQ233" s="75">
        <f>$C233*INDEX(Curves!$I$8:$I$68,AQ$4-$B233+1)</f>
        <v/>
      </c>
      <c r="AR233" s="75">
        <f>$C233*INDEX(Curves!$I$8:$I$68,AR$4-$B233+1)</f>
        <v/>
      </c>
      <c r="AS233" s="75">
        <f>$C233*INDEX(Curves!$I$8:$I$68,AS$4-$B233+1)</f>
        <v/>
      </c>
      <c r="AT233" s="75">
        <f>$C233*INDEX(Curves!$I$8:$I$68,AT$4-$B233+1)</f>
        <v/>
      </c>
      <c r="AU233" s="75">
        <f>$C233*INDEX(Curves!$I$8:$I$68,AU$4-$B233+1)</f>
        <v/>
      </c>
      <c r="AV233" s="75">
        <f>$C233*INDEX(Curves!$I$8:$I$68,AV$4-$B233+1)</f>
        <v/>
      </c>
      <c r="AW233" s="75">
        <f>$C233*INDEX(Curves!$I$8:$I$68,AW$4-$B233+1)</f>
        <v/>
      </c>
      <c r="AX233" s="75">
        <f>$C233*INDEX(Curves!$I$8:$I$68,AX$4-$B233+1)</f>
        <v/>
      </c>
      <c r="AY233" s="75">
        <f>$C233*INDEX(Curves!$I$8:$I$68,AY$4-$B233+1)</f>
        <v/>
      </c>
      <c r="AZ233" s="75">
        <f>$C233*INDEX(Curves!$I$8:$I$68,AZ$4-$B233+1)</f>
        <v/>
      </c>
      <c r="BA233" s="75">
        <f>$C233*INDEX(Curves!$I$8:$I$68,BA$4-$B233+1)</f>
        <v/>
      </c>
      <c r="BB233" s="75">
        <f>$C233*INDEX(Curves!$I$8:$I$68,BB$4-$B233+1)</f>
        <v/>
      </c>
      <c r="BC233" s="75">
        <f>$C233*INDEX(Curves!$I$8:$I$68,BC$4-$B233+1)</f>
        <v/>
      </c>
      <c r="BD233" s="75">
        <f>$C233*INDEX(Curves!$I$8:$I$68,BD$4-$B233+1)</f>
        <v/>
      </c>
      <c r="BE233" s="75">
        <f>$C233*INDEX(Curves!$I$8:$I$68,BE$4-$B233+1)</f>
        <v/>
      </c>
      <c r="BF233" s="75">
        <f>$C233*INDEX(Curves!$I$8:$I$68,BF$4-$B233+1)</f>
        <v/>
      </c>
      <c r="BG233" s="75">
        <f>$C233*INDEX(Curves!$I$8:$I$68,BG$4-$B233+1)</f>
        <v/>
      </c>
      <c r="BH233" s="75">
        <f>$C233*INDEX(Curves!$I$8:$I$68,BH$4-$B233+1)</f>
        <v/>
      </c>
      <c r="BI233" s="75">
        <f>$C233*INDEX(Curves!$I$8:$I$68,BI$4-$B233+1)</f>
        <v/>
      </c>
      <c r="BJ233" s="75">
        <f>$C233*INDEX(Curves!$I$8:$I$68,BJ$4-$B233+1)</f>
        <v/>
      </c>
      <c r="BK233" s="75">
        <f>$C233*INDEX(Curves!$I$8:$I$68,BK$4-$B233+1)</f>
        <v/>
      </c>
      <c r="BL233" s="75">
        <f>$C233*INDEX(Curves!$I$8:$I$68,BL$4-$B233+1)</f>
        <v/>
      </c>
    </row>
    <row r="234">
      <c r="A234" s="74" t="inlineStr">
        <is>
          <t>Cohort month 36</t>
        </is>
      </c>
      <c r="B234" s="74" t="n">
        <v>36</v>
      </c>
      <c r="C234" s="17">
        <f>INDEX(Ops!$E$10:$BL$10,1,$B234)</f>
        <v/>
      </c>
      <c r="AO234" s="75">
        <f>$C234*INDEX(Curves!$I$8:$I$68,AO$4-$B234+1)</f>
        <v/>
      </c>
      <c r="AP234" s="75">
        <f>$C234*INDEX(Curves!$I$8:$I$68,AP$4-$B234+1)</f>
        <v/>
      </c>
      <c r="AQ234" s="75">
        <f>$C234*INDEX(Curves!$I$8:$I$68,AQ$4-$B234+1)</f>
        <v/>
      </c>
      <c r="AR234" s="75">
        <f>$C234*INDEX(Curves!$I$8:$I$68,AR$4-$B234+1)</f>
        <v/>
      </c>
      <c r="AS234" s="75">
        <f>$C234*INDEX(Curves!$I$8:$I$68,AS$4-$B234+1)</f>
        <v/>
      </c>
      <c r="AT234" s="75">
        <f>$C234*INDEX(Curves!$I$8:$I$68,AT$4-$B234+1)</f>
        <v/>
      </c>
      <c r="AU234" s="75">
        <f>$C234*INDEX(Curves!$I$8:$I$68,AU$4-$B234+1)</f>
        <v/>
      </c>
      <c r="AV234" s="75">
        <f>$C234*INDEX(Curves!$I$8:$I$68,AV$4-$B234+1)</f>
        <v/>
      </c>
      <c r="AW234" s="75">
        <f>$C234*INDEX(Curves!$I$8:$I$68,AW$4-$B234+1)</f>
        <v/>
      </c>
      <c r="AX234" s="75">
        <f>$C234*INDEX(Curves!$I$8:$I$68,AX$4-$B234+1)</f>
        <v/>
      </c>
      <c r="AY234" s="75">
        <f>$C234*INDEX(Curves!$I$8:$I$68,AY$4-$B234+1)</f>
        <v/>
      </c>
      <c r="AZ234" s="75">
        <f>$C234*INDEX(Curves!$I$8:$I$68,AZ$4-$B234+1)</f>
        <v/>
      </c>
      <c r="BA234" s="75">
        <f>$C234*INDEX(Curves!$I$8:$I$68,BA$4-$B234+1)</f>
        <v/>
      </c>
      <c r="BB234" s="75">
        <f>$C234*INDEX(Curves!$I$8:$I$68,BB$4-$B234+1)</f>
        <v/>
      </c>
      <c r="BC234" s="75">
        <f>$C234*INDEX(Curves!$I$8:$I$68,BC$4-$B234+1)</f>
        <v/>
      </c>
      <c r="BD234" s="75">
        <f>$C234*INDEX(Curves!$I$8:$I$68,BD$4-$B234+1)</f>
        <v/>
      </c>
      <c r="BE234" s="75">
        <f>$C234*INDEX(Curves!$I$8:$I$68,BE$4-$B234+1)</f>
        <v/>
      </c>
      <c r="BF234" s="75">
        <f>$C234*INDEX(Curves!$I$8:$I$68,BF$4-$B234+1)</f>
        <v/>
      </c>
      <c r="BG234" s="75">
        <f>$C234*INDEX(Curves!$I$8:$I$68,BG$4-$B234+1)</f>
        <v/>
      </c>
      <c r="BH234" s="75">
        <f>$C234*INDEX(Curves!$I$8:$I$68,BH$4-$B234+1)</f>
        <v/>
      </c>
      <c r="BI234" s="75">
        <f>$C234*INDEX(Curves!$I$8:$I$68,BI$4-$B234+1)</f>
        <v/>
      </c>
      <c r="BJ234" s="75">
        <f>$C234*INDEX(Curves!$I$8:$I$68,BJ$4-$B234+1)</f>
        <v/>
      </c>
      <c r="BK234" s="75">
        <f>$C234*INDEX(Curves!$I$8:$I$68,BK$4-$B234+1)</f>
        <v/>
      </c>
      <c r="BL234" s="75">
        <f>$C234*INDEX(Curves!$I$8:$I$68,BL$4-$B234+1)</f>
        <v/>
      </c>
    </row>
    <row r="235">
      <c r="A235" s="74" t="inlineStr">
        <is>
          <t>Cohort month 37</t>
        </is>
      </c>
      <c r="B235" s="74" t="n">
        <v>37</v>
      </c>
      <c r="C235" s="17">
        <f>INDEX(Ops!$E$10:$BL$10,1,$B235)</f>
        <v/>
      </c>
      <c r="AP235" s="75">
        <f>$C235*INDEX(Curves!$I$8:$I$68,AP$4-$B235+1)</f>
        <v/>
      </c>
      <c r="AQ235" s="75">
        <f>$C235*INDEX(Curves!$I$8:$I$68,AQ$4-$B235+1)</f>
        <v/>
      </c>
      <c r="AR235" s="75">
        <f>$C235*INDEX(Curves!$I$8:$I$68,AR$4-$B235+1)</f>
        <v/>
      </c>
      <c r="AS235" s="75">
        <f>$C235*INDEX(Curves!$I$8:$I$68,AS$4-$B235+1)</f>
        <v/>
      </c>
      <c r="AT235" s="75">
        <f>$C235*INDEX(Curves!$I$8:$I$68,AT$4-$B235+1)</f>
        <v/>
      </c>
      <c r="AU235" s="75">
        <f>$C235*INDEX(Curves!$I$8:$I$68,AU$4-$B235+1)</f>
        <v/>
      </c>
      <c r="AV235" s="75">
        <f>$C235*INDEX(Curves!$I$8:$I$68,AV$4-$B235+1)</f>
        <v/>
      </c>
      <c r="AW235" s="75">
        <f>$C235*INDEX(Curves!$I$8:$I$68,AW$4-$B235+1)</f>
        <v/>
      </c>
      <c r="AX235" s="75">
        <f>$C235*INDEX(Curves!$I$8:$I$68,AX$4-$B235+1)</f>
        <v/>
      </c>
      <c r="AY235" s="75">
        <f>$C235*INDEX(Curves!$I$8:$I$68,AY$4-$B235+1)</f>
        <v/>
      </c>
      <c r="AZ235" s="75">
        <f>$C235*INDEX(Curves!$I$8:$I$68,AZ$4-$B235+1)</f>
        <v/>
      </c>
      <c r="BA235" s="75">
        <f>$C235*INDEX(Curves!$I$8:$I$68,BA$4-$B235+1)</f>
        <v/>
      </c>
      <c r="BB235" s="75">
        <f>$C235*INDEX(Curves!$I$8:$I$68,BB$4-$B235+1)</f>
        <v/>
      </c>
      <c r="BC235" s="75">
        <f>$C235*INDEX(Curves!$I$8:$I$68,BC$4-$B235+1)</f>
        <v/>
      </c>
      <c r="BD235" s="75">
        <f>$C235*INDEX(Curves!$I$8:$I$68,BD$4-$B235+1)</f>
        <v/>
      </c>
      <c r="BE235" s="75">
        <f>$C235*INDEX(Curves!$I$8:$I$68,BE$4-$B235+1)</f>
        <v/>
      </c>
      <c r="BF235" s="75">
        <f>$C235*INDEX(Curves!$I$8:$I$68,BF$4-$B235+1)</f>
        <v/>
      </c>
      <c r="BG235" s="75">
        <f>$C235*INDEX(Curves!$I$8:$I$68,BG$4-$B235+1)</f>
        <v/>
      </c>
      <c r="BH235" s="75">
        <f>$C235*INDEX(Curves!$I$8:$I$68,BH$4-$B235+1)</f>
        <v/>
      </c>
      <c r="BI235" s="75">
        <f>$C235*INDEX(Curves!$I$8:$I$68,BI$4-$B235+1)</f>
        <v/>
      </c>
      <c r="BJ235" s="75">
        <f>$C235*INDEX(Curves!$I$8:$I$68,BJ$4-$B235+1)</f>
        <v/>
      </c>
      <c r="BK235" s="75">
        <f>$C235*INDEX(Curves!$I$8:$I$68,BK$4-$B235+1)</f>
        <v/>
      </c>
      <c r="BL235" s="75">
        <f>$C235*INDEX(Curves!$I$8:$I$68,BL$4-$B235+1)</f>
        <v/>
      </c>
    </row>
    <row r="236">
      <c r="A236" s="74" t="inlineStr">
        <is>
          <t>Cohort month 38</t>
        </is>
      </c>
      <c r="B236" s="74" t="n">
        <v>38</v>
      </c>
      <c r="C236" s="17">
        <f>INDEX(Ops!$E$10:$BL$10,1,$B236)</f>
        <v/>
      </c>
      <c r="AQ236" s="75">
        <f>$C236*INDEX(Curves!$I$8:$I$68,AQ$4-$B236+1)</f>
        <v/>
      </c>
      <c r="AR236" s="75">
        <f>$C236*INDEX(Curves!$I$8:$I$68,AR$4-$B236+1)</f>
        <v/>
      </c>
      <c r="AS236" s="75">
        <f>$C236*INDEX(Curves!$I$8:$I$68,AS$4-$B236+1)</f>
        <v/>
      </c>
      <c r="AT236" s="75">
        <f>$C236*INDEX(Curves!$I$8:$I$68,AT$4-$B236+1)</f>
        <v/>
      </c>
      <c r="AU236" s="75">
        <f>$C236*INDEX(Curves!$I$8:$I$68,AU$4-$B236+1)</f>
        <v/>
      </c>
      <c r="AV236" s="75">
        <f>$C236*INDEX(Curves!$I$8:$I$68,AV$4-$B236+1)</f>
        <v/>
      </c>
      <c r="AW236" s="75">
        <f>$C236*INDEX(Curves!$I$8:$I$68,AW$4-$B236+1)</f>
        <v/>
      </c>
      <c r="AX236" s="75">
        <f>$C236*INDEX(Curves!$I$8:$I$68,AX$4-$B236+1)</f>
        <v/>
      </c>
      <c r="AY236" s="75">
        <f>$C236*INDEX(Curves!$I$8:$I$68,AY$4-$B236+1)</f>
        <v/>
      </c>
      <c r="AZ236" s="75">
        <f>$C236*INDEX(Curves!$I$8:$I$68,AZ$4-$B236+1)</f>
        <v/>
      </c>
      <c r="BA236" s="75">
        <f>$C236*INDEX(Curves!$I$8:$I$68,BA$4-$B236+1)</f>
        <v/>
      </c>
      <c r="BB236" s="75">
        <f>$C236*INDEX(Curves!$I$8:$I$68,BB$4-$B236+1)</f>
        <v/>
      </c>
      <c r="BC236" s="75">
        <f>$C236*INDEX(Curves!$I$8:$I$68,BC$4-$B236+1)</f>
        <v/>
      </c>
      <c r="BD236" s="75">
        <f>$C236*INDEX(Curves!$I$8:$I$68,BD$4-$B236+1)</f>
        <v/>
      </c>
      <c r="BE236" s="75">
        <f>$C236*INDEX(Curves!$I$8:$I$68,BE$4-$B236+1)</f>
        <v/>
      </c>
      <c r="BF236" s="75">
        <f>$C236*INDEX(Curves!$I$8:$I$68,BF$4-$B236+1)</f>
        <v/>
      </c>
      <c r="BG236" s="75">
        <f>$C236*INDEX(Curves!$I$8:$I$68,BG$4-$B236+1)</f>
        <v/>
      </c>
      <c r="BH236" s="75">
        <f>$C236*INDEX(Curves!$I$8:$I$68,BH$4-$B236+1)</f>
        <v/>
      </c>
      <c r="BI236" s="75">
        <f>$C236*INDEX(Curves!$I$8:$I$68,BI$4-$B236+1)</f>
        <v/>
      </c>
      <c r="BJ236" s="75">
        <f>$C236*INDEX(Curves!$I$8:$I$68,BJ$4-$B236+1)</f>
        <v/>
      </c>
      <c r="BK236" s="75">
        <f>$C236*INDEX(Curves!$I$8:$I$68,BK$4-$B236+1)</f>
        <v/>
      </c>
      <c r="BL236" s="75">
        <f>$C236*INDEX(Curves!$I$8:$I$68,BL$4-$B236+1)</f>
        <v/>
      </c>
    </row>
    <row r="237">
      <c r="A237" s="74" t="inlineStr">
        <is>
          <t>Cohort month 39</t>
        </is>
      </c>
      <c r="B237" s="74" t="n">
        <v>39</v>
      </c>
      <c r="C237" s="17">
        <f>INDEX(Ops!$E$10:$BL$10,1,$B237)</f>
        <v/>
      </c>
      <c r="AR237" s="75">
        <f>$C237*INDEX(Curves!$I$8:$I$68,AR$4-$B237+1)</f>
        <v/>
      </c>
      <c r="AS237" s="75">
        <f>$C237*INDEX(Curves!$I$8:$I$68,AS$4-$B237+1)</f>
        <v/>
      </c>
      <c r="AT237" s="75">
        <f>$C237*INDEX(Curves!$I$8:$I$68,AT$4-$B237+1)</f>
        <v/>
      </c>
      <c r="AU237" s="75">
        <f>$C237*INDEX(Curves!$I$8:$I$68,AU$4-$B237+1)</f>
        <v/>
      </c>
      <c r="AV237" s="75">
        <f>$C237*INDEX(Curves!$I$8:$I$68,AV$4-$B237+1)</f>
        <v/>
      </c>
      <c r="AW237" s="75">
        <f>$C237*INDEX(Curves!$I$8:$I$68,AW$4-$B237+1)</f>
        <v/>
      </c>
      <c r="AX237" s="75">
        <f>$C237*INDEX(Curves!$I$8:$I$68,AX$4-$B237+1)</f>
        <v/>
      </c>
      <c r="AY237" s="75">
        <f>$C237*INDEX(Curves!$I$8:$I$68,AY$4-$B237+1)</f>
        <v/>
      </c>
      <c r="AZ237" s="75">
        <f>$C237*INDEX(Curves!$I$8:$I$68,AZ$4-$B237+1)</f>
        <v/>
      </c>
      <c r="BA237" s="75">
        <f>$C237*INDEX(Curves!$I$8:$I$68,BA$4-$B237+1)</f>
        <v/>
      </c>
      <c r="BB237" s="75">
        <f>$C237*INDEX(Curves!$I$8:$I$68,BB$4-$B237+1)</f>
        <v/>
      </c>
      <c r="BC237" s="75">
        <f>$C237*INDEX(Curves!$I$8:$I$68,BC$4-$B237+1)</f>
        <v/>
      </c>
      <c r="BD237" s="75">
        <f>$C237*INDEX(Curves!$I$8:$I$68,BD$4-$B237+1)</f>
        <v/>
      </c>
      <c r="BE237" s="75">
        <f>$C237*INDEX(Curves!$I$8:$I$68,BE$4-$B237+1)</f>
        <v/>
      </c>
      <c r="BF237" s="75">
        <f>$C237*INDEX(Curves!$I$8:$I$68,BF$4-$B237+1)</f>
        <v/>
      </c>
      <c r="BG237" s="75">
        <f>$C237*INDEX(Curves!$I$8:$I$68,BG$4-$B237+1)</f>
        <v/>
      </c>
      <c r="BH237" s="75">
        <f>$C237*INDEX(Curves!$I$8:$I$68,BH$4-$B237+1)</f>
        <v/>
      </c>
      <c r="BI237" s="75">
        <f>$C237*INDEX(Curves!$I$8:$I$68,BI$4-$B237+1)</f>
        <v/>
      </c>
      <c r="BJ237" s="75">
        <f>$C237*INDEX(Curves!$I$8:$I$68,BJ$4-$B237+1)</f>
        <v/>
      </c>
      <c r="BK237" s="75">
        <f>$C237*INDEX(Curves!$I$8:$I$68,BK$4-$B237+1)</f>
        <v/>
      </c>
      <c r="BL237" s="75">
        <f>$C237*INDEX(Curves!$I$8:$I$68,BL$4-$B237+1)</f>
        <v/>
      </c>
    </row>
    <row r="238">
      <c r="A238" s="74" t="inlineStr">
        <is>
          <t>Cohort month 40</t>
        </is>
      </c>
      <c r="B238" s="74" t="n">
        <v>40</v>
      </c>
      <c r="C238" s="17">
        <f>INDEX(Ops!$E$10:$BL$10,1,$B238)</f>
        <v/>
      </c>
      <c r="AS238" s="75">
        <f>$C238*INDEX(Curves!$I$8:$I$68,AS$4-$B238+1)</f>
        <v/>
      </c>
      <c r="AT238" s="75">
        <f>$C238*INDEX(Curves!$I$8:$I$68,AT$4-$B238+1)</f>
        <v/>
      </c>
      <c r="AU238" s="75">
        <f>$C238*INDEX(Curves!$I$8:$I$68,AU$4-$B238+1)</f>
        <v/>
      </c>
      <c r="AV238" s="75">
        <f>$C238*INDEX(Curves!$I$8:$I$68,AV$4-$B238+1)</f>
        <v/>
      </c>
      <c r="AW238" s="75">
        <f>$C238*INDEX(Curves!$I$8:$I$68,AW$4-$B238+1)</f>
        <v/>
      </c>
      <c r="AX238" s="75">
        <f>$C238*INDEX(Curves!$I$8:$I$68,AX$4-$B238+1)</f>
        <v/>
      </c>
      <c r="AY238" s="75">
        <f>$C238*INDEX(Curves!$I$8:$I$68,AY$4-$B238+1)</f>
        <v/>
      </c>
      <c r="AZ238" s="75">
        <f>$C238*INDEX(Curves!$I$8:$I$68,AZ$4-$B238+1)</f>
        <v/>
      </c>
      <c r="BA238" s="75">
        <f>$C238*INDEX(Curves!$I$8:$I$68,BA$4-$B238+1)</f>
        <v/>
      </c>
      <c r="BB238" s="75">
        <f>$C238*INDEX(Curves!$I$8:$I$68,BB$4-$B238+1)</f>
        <v/>
      </c>
      <c r="BC238" s="75">
        <f>$C238*INDEX(Curves!$I$8:$I$68,BC$4-$B238+1)</f>
        <v/>
      </c>
      <c r="BD238" s="75">
        <f>$C238*INDEX(Curves!$I$8:$I$68,BD$4-$B238+1)</f>
        <v/>
      </c>
      <c r="BE238" s="75">
        <f>$C238*INDEX(Curves!$I$8:$I$68,BE$4-$B238+1)</f>
        <v/>
      </c>
      <c r="BF238" s="75">
        <f>$C238*INDEX(Curves!$I$8:$I$68,BF$4-$B238+1)</f>
        <v/>
      </c>
      <c r="BG238" s="75">
        <f>$C238*INDEX(Curves!$I$8:$I$68,BG$4-$B238+1)</f>
        <v/>
      </c>
      <c r="BH238" s="75">
        <f>$C238*INDEX(Curves!$I$8:$I$68,BH$4-$B238+1)</f>
        <v/>
      </c>
      <c r="BI238" s="75">
        <f>$C238*INDEX(Curves!$I$8:$I$68,BI$4-$B238+1)</f>
        <v/>
      </c>
      <c r="BJ238" s="75">
        <f>$C238*INDEX(Curves!$I$8:$I$68,BJ$4-$B238+1)</f>
        <v/>
      </c>
      <c r="BK238" s="75">
        <f>$C238*INDEX(Curves!$I$8:$I$68,BK$4-$B238+1)</f>
        <v/>
      </c>
      <c r="BL238" s="75">
        <f>$C238*INDEX(Curves!$I$8:$I$68,BL$4-$B238+1)</f>
        <v/>
      </c>
    </row>
    <row r="239">
      <c r="A239" s="74" t="inlineStr">
        <is>
          <t>Cohort month 41</t>
        </is>
      </c>
      <c r="B239" s="74" t="n">
        <v>41</v>
      </c>
      <c r="C239" s="17">
        <f>INDEX(Ops!$E$10:$BL$10,1,$B239)</f>
        <v/>
      </c>
      <c r="AT239" s="75">
        <f>$C239*INDEX(Curves!$I$8:$I$68,AT$4-$B239+1)</f>
        <v/>
      </c>
      <c r="AU239" s="75">
        <f>$C239*INDEX(Curves!$I$8:$I$68,AU$4-$B239+1)</f>
        <v/>
      </c>
      <c r="AV239" s="75">
        <f>$C239*INDEX(Curves!$I$8:$I$68,AV$4-$B239+1)</f>
        <v/>
      </c>
      <c r="AW239" s="75">
        <f>$C239*INDEX(Curves!$I$8:$I$68,AW$4-$B239+1)</f>
        <v/>
      </c>
      <c r="AX239" s="75">
        <f>$C239*INDEX(Curves!$I$8:$I$68,AX$4-$B239+1)</f>
        <v/>
      </c>
      <c r="AY239" s="75">
        <f>$C239*INDEX(Curves!$I$8:$I$68,AY$4-$B239+1)</f>
        <v/>
      </c>
      <c r="AZ239" s="75">
        <f>$C239*INDEX(Curves!$I$8:$I$68,AZ$4-$B239+1)</f>
        <v/>
      </c>
      <c r="BA239" s="75">
        <f>$C239*INDEX(Curves!$I$8:$I$68,BA$4-$B239+1)</f>
        <v/>
      </c>
      <c r="BB239" s="75">
        <f>$C239*INDEX(Curves!$I$8:$I$68,BB$4-$B239+1)</f>
        <v/>
      </c>
      <c r="BC239" s="75">
        <f>$C239*INDEX(Curves!$I$8:$I$68,BC$4-$B239+1)</f>
        <v/>
      </c>
      <c r="BD239" s="75">
        <f>$C239*INDEX(Curves!$I$8:$I$68,BD$4-$B239+1)</f>
        <v/>
      </c>
      <c r="BE239" s="75">
        <f>$C239*INDEX(Curves!$I$8:$I$68,BE$4-$B239+1)</f>
        <v/>
      </c>
      <c r="BF239" s="75">
        <f>$C239*INDEX(Curves!$I$8:$I$68,BF$4-$B239+1)</f>
        <v/>
      </c>
      <c r="BG239" s="75">
        <f>$C239*INDEX(Curves!$I$8:$I$68,BG$4-$B239+1)</f>
        <v/>
      </c>
      <c r="BH239" s="75">
        <f>$C239*INDEX(Curves!$I$8:$I$68,BH$4-$B239+1)</f>
        <v/>
      </c>
      <c r="BI239" s="75">
        <f>$C239*INDEX(Curves!$I$8:$I$68,BI$4-$B239+1)</f>
        <v/>
      </c>
      <c r="BJ239" s="75">
        <f>$C239*INDEX(Curves!$I$8:$I$68,BJ$4-$B239+1)</f>
        <v/>
      </c>
      <c r="BK239" s="75">
        <f>$C239*INDEX(Curves!$I$8:$I$68,BK$4-$B239+1)</f>
        <v/>
      </c>
      <c r="BL239" s="75">
        <f>$C239*INDEX(Curves!$I$8:$I$68,BL$4-$B239+1)</f>
        <v/>
      </c>
    </row>
    <row r="240">
      <c r="A240" s="74" t="inlineStr">
        <is>
          <t>Cohort month 42</t>
        </is>
      </c>
      <c r="B240" s="74" t="n">
        <v>42</v>
      </c>
      <c r="C240" s="17">
        <f>INDEX(Ops!$E$10:$BL$10,1,$B240)</f>
        <v/>
      </c>
      <c r="AU240" s="75">
        <f>$C240*INDEX(Curves!$I$8:$I$68,AU$4-$B240+1)</f>
        <v/>
      </c>
      <c r="AV240" s="75">
        <f>$C240*INDEX(Curves!$I$8:$I$68,AV$4-$B240+1)</f>
        <v/>
      </c>
      <c r="AW240" s="75">
        <f>$C240*INDEX(Curves!$I$8:$I$68,AW$4-$B240+1)</f>
        <v/>
      </c>
      <c r="AX240" s="75">
        <f>$C240*INDEX(Curves!$I$8:$I$68,AX$4-$B240+1)</f>
        <v/>
      </c>
      <c r="AY240" s="75">
        <f>$C240*INDEX(Curves!$I$8:$I$68,AY$4-$B240+1)</f>
        <v/>
      </c>
      <c r="AZ240" s="75">
        <f>$C240*INDEX(Curves!$I$8:$I$68,AZ$4-$B240+1)</f>
        <v/>
      </c>
      <c r="BA240" s="75">
        <f>$C240*INDEX(Curves!$I$8:$I$68,BA$4-$B240+1)</f>
        <v/>
      </c>
      <c r="BB240" s="75">
        <f>$C240*INDEX(Curves!$I$8:$I$68,BB$4-$B240+1)</f>
        <v/>
      </c>
      <c r="BC240" s="75">
        <f>$C240*INDEX(Curves!$I$8:$I$68,BC$4-$B240+1)</f>
        <v/>
      </c>
      <c r="BD240" s="75">
        <f>$C240*INDEX(Curves!$I$8:$I$68,BD$4-$B240+1)</f>
        <v/>
      </c>
      <c r="BE240" s="75">
        <f>$C240*INDEX(Curves!$I$8:$I$68,BE$4-$B240+1)</f>
        <v/>
      </c>
      <c r="BF240" s="75">
        <f>$C240*INDEX(Curves!$I$8:$I$68,BF$4-$B240+1)</f>
        <v/>
      </c>
      <c r="BG240" s="75">
        <f>$C240*INDEX(Curves!$I$8:$I$68,BG$4-$B240+1)</f>
        <v/>
      </c>
      <c r="BH240" s="75">
        <f>$C240*INDEX(Curves!$I$8:$I$68,BH$4-$B240+1)</f>
        <v/>
      </c>
      <c r="BI240" s="75">
        <f>$C240*INDEX(Curves!$I$8:$I$68,BI$4-$B240+1)</f>
        <v/>
      </c>
      <c r="BJ240" s="75">
        <f>$C240*INDEX(Curves!$I$8:$I$68,BJ$4-$B240+1)</f>
        <v/>
      </c>
      <c r="BK240" s="75">
        <f>$C240*INDEX(Curves!$I$8:$I$68,BK$4-$B240+1)</f>
        <v/>
      </c>
      <c r="BL240" s="75">
        <f>$C240*INDEX(Curves!$I$8:$I$68,BL$4-$B240+1)</f>
        <v/>
      </c>
    </row>
    <row r="241">
      <c r="A241" s="74" t="inlineStr">
        <is>
          <t>Cohort month 43</t>
        </is>
      </c>
      <c r="B241" s="74" t="n">
        <v>43</v>
      </c>
      <c r="C241" s="17">
        <f>INDEX(Ops!$E$10:$BL$10,1,$B241)</f>
        <v/>
      </c>
      <c r="AV241" s="75">
        <f>$C241*INDEX(Curves!$I$8:$I$68,AV$4-$B241+1)</f>
        <v/>
      </c>
      <c r="AW241" s="75">
        <f>$C241*INDEX(Curves!$I$8:$I$68,AW$4-$B241+1)</f>
        <v/>
      </c>
      <c r="AX241" s="75">
        <f>$C241*INDEX(Curves!$I$8:$I$68,AX$4-$B241+1)</f>
        <v/>
      </c>
      <c r="AY241" s="75">
        <f>$C241*INDEX(Curves!$I$8:$I$68,AY$4-$B241+1)</f>
        <v/>
      </c>
      <c r="AZ241" s="75">
        <f>$C241*INDEX(Curves!$I$8:$I$68,AZ$4-$B241+1)</f>
        <v/>
      </c>
      <c r="BA241" s="75">
        <f>$C241*INDEX(Curves!$I$8:$I$68,BA$4-$B241+1)</f>
        <v/>
      </c>
      <c r="BB241" s="75">
        <f>$C241*INDEX(Curves!$I$8:$I$68,BB$4-$B241+1)</f>
        <v/>
      </c>
      <c r="BC241" s="75">
        <f>$C241*INDEX(Curves!$I$8:$I$68,BC$4-$B241+1)</f>
        <v/>
      </c>
      <c r="BD241" s="75">
        <f>$C241*INDEX(Curves!$I$8:$I$68,BD$4-$B241+1)</f>
        <v/>
      </c>
      <c r="BE241" s="75">
        <f>$C241*INDEX(Curves!$I$8:$I$68,BE$4-$B241+1)</f>
        <v/>
      </c>
      <c r="BF241" s="75">
        <f>$C241*INDEX(Curves!$I$8:$I$68,BF$4-$B241+1)</f>
        <v/>
      </c>
      <c r="BG241" s="75">
        <f>$C241*INDEX(Curves!$I$8:$I$68,BG$4-$B241+1)</f>
        <v/>
      </c>
      <c r="BH241" s="75">
        <f>$C241*INDEX(Curves!$I$8:$I$68,BH$4-$B241+1)</f>
        <v/>
      </c>
      <c r="BI241" s="75">
        <f>$C241*INDEX(Curves!$I$8:$I$68,BI$4-$B241+1)</f>
        <v/>
      </c>
      <c r="BJ241" s="75">
        <f>$C241*INDEX(Curves!$I$8:$I$68,BJ$4-$B241+1)</f>
        <v/>
      </c>
      <c r="BK241" s="75">
        <f>$C241*INDEX(Curves!$I$8:$I$68,BK$4-$B241+1)</f>
        <v/>
      </c>
      <c r="BL241" s="75">
        <f>$C241*INDEX(Curves!$I$8:$I$68,BL$4-$B241+1)</f>
        <v/>
      </c>
    </row>
    <row r="242">
      <c r="A242" s="74" t="inlineStr">
        <is>
          <t>Cohort month 44</t>
        </is>
      </c>
      <c r="B242" s="74" t="n">
        <v>44</v>
      </c>
      <c r="C242" s="17">
        <f>INDEX(Ops!$E$10:$BL$10,1,$B242)</f>
        <v/>
      </c>
      <c r="AW242" s="75">
        <f>$C242*INDEX(Curves!$I$8:$I$68,AW$4-$B242+1)</f>
        <v/>
      </c>
      <c r="AX242" s="75">
        <f>$C242*INDEX(Curves!$I$8:$I$68,AX$4-$B242+1)</f>
        <v/>
      </c>
      <c r="AY242" s="75">
        <f>$C242*INDEX(Curves!$I$8:$I$68,AY$4-$B242+1)</f>
        <v/>
      </c>
      <c r="AZ242" s="75">
        <f>$C242*INDEX(Curves!$I$8:$I$68,AZ$4-$B242+1)</f>
        <v/>
      </c>
      <c r="BA242" s="75">
        <f>$C242*INDEX(Curves!$I$8:$I$68,BA$4-$B242+1)</f>
        <v/>
      </c>
      <c r="BB242" s="75">
        <f>$C242*INDEX(Curves!$I$8:$I$68,BB$4-$B242+1)</f>
        <v/>
      </c>
      <c r="BC242" s="75">
        <f>$C242*INDEX(Curves!$I$8:$I$68,BC$4-$B242+1)</f>
        <v/>
      </c>
      <c r="BD242" s="75">
        <f>$C242*INDEX(Curves!$I$8:$I$68,BD$4-$B242+1)</f>
        <v/>
      </c>
      <c r="BE242" s="75">
        <f>$C242*INDEX(Curves!$I$8:$I$68,BE$4-$B242+1)</f>
        <v/>
      </c>
      <c r="BF242" s="75">
        <f>$C242*INDEX(Curves!$I$8:$I$68,BF$4-$B242+1)</f>
        <v/>
      </c>
      <c r="BG242" s="75">
        <f>$C242*INDEX(Curves!$I$8:$I$68,BG$4-$B242+1)</f>
        <v/>
      </c>
      <c r="BH242" s="75">
        <f>$C242*INDEX(Curves!$I$8:$I$68,BH$4-$B242+1)</f>
        <v/>
      </c>
      <c r="BI242" s="75">
        <f>$C242*INDEX(Curves!$I$8:$I$68,BI$4-$B242+1)</f>
        <v/>
      </c>
      <c r="BJ242" s="75">
        <f>$C242*INDEX(Curves!$I$8:$I$68,BJ$4-$B242+1)</f>
        <v/>
      </c>
      <c r="BK242" s="75">
        <f>$C242*INDEX(Curves!$I$8:$I$68,BK$4-$B242+1)</f>
        <v/>
      </c>
      <c r="BL242" s="75">
        <f>$C242*INDEX(Curves!$I$8:$I$68,BL$4-$B242+1)</f>
        <v/>
      </c>
    </row>
    <row r="243">
      <c r="A243" s="74" t="inlineStr">
        <is>
          <t>Cohort month 45</t>
        </is>
      </c>
      <c r="B243" s="74" t="n">
        <v>45</v>
      </c>
      <c r="C243" s="17">
        <f>INDEX(Ops!$E$10:$BL$10,1,$B243)</f>
        <v/>
      </c>
      <c r="AX243" s="75">
        <f>$C243*INDEX(Curves!$I$8:$I$68,AX$4-$B243+1)</f>
        <v/>
      </c>
      <c r="AY243" s="75">
        <f>$C243*INDEX(Curves!$I$8:$I$68,AY$4-$B243+1)</f>
        <v/>
      </c>
      <c r="AZ243" s="75">
        <f>$C243*INDEX(Curves!$I$8:$I$68,AZ$4-$B243+1)</f>
        <v/>
      </c>
      <c r="BA243" s="75">
        <f>$C243*INDEX(Curves!$I$8:$I$68,BA$4-$B243+1)</f>
        <v/>
      </c>
      <c r="BB243" s="75">
        <f>$C243*INDEX(Curves!$I$8:$I$68,BB$4-$B243+1)</f>
        <v/>
      </c>
      <c r="BC243" s="75">
        <f>$C243*INDEX(Curves!$I$8:$I$68,BC$4-$B243+1)</f>
        <v/>
      </c>
      <c r="BD243" s="75">
        <f>$C243*INDEX(Curves!$I$8:$I$68,BD$4-$B243+1)</f>
        <v/>
      </c>
      <c r="BE243" s="75">
        <f>$C243*INDEX(Curves!$I$8:$I$68,BE$4-$B243+1)</f>
        <v/>
      </c>
      <c r="BF243" s="75">
        <f>$C243*INDEX(Curves!$I$8:$I$68,BF$4-$B243+1)</f>
        <v/>
      </c>
      <c r="BG243" s="75">
        <f>$C243*INDEX(Curves!$I$8:$I$68,BG$4-$B243+1)</f>
        <v/>
      </c>
      <c r="BH243" s="75">
        <f>$C243*INDEX(Curves!$I$8:$I$68,BH$4-$B243+1)</f>
        <v/>
      </c>
      <c r="BI243" s="75">
        <f>$C243*INDEX(Curves!$I$8:$I$68,BI$4-$B243+1)</f>
        <v/>
      </c>
      <c r="BJ243" s="75">
        <f>$C243*INDEX(Curves!$I$8:$I$68,BJ$4-$B243+1)</f>
        <v/>
      </c>
      <c r="BK243" s="75">
        <f>$C243*INDEX(Curves!$I$8:$I$68,BK$4-$B243+1)</f>
        <v/>
      </c>
      <c r="BL243" s="75">
        <f>$C243*INDEX(Curves!$I$8:$I$68,BL$4-$B243+1)</f>
        <v/>
      </c>
    </row>
    <row r="244">
      <c r="A244" s="74" t="inlineStr">
        <is>
          <t>Cohort month 46</t>
        </is>
      </c>
      <c r="B244" s="74" t="n">
        <v>46</v>
      </c>
      <c r="C244" s="17">
        <f>INDEX(Ops!$E$10:$BL$10,1,$B244)</f>
        <v/>
      </c>
      <c r="AY244" s="75">
        <f>$C244*INDEX(Curves!$I$8:$I$68,AY$4-$B244+1)</f>
        <v/>
      </c>
      <c r="AZ244" s="75">
        <f>$C244*INDEX(Curves!$I$8:$I$68,AZ$4-$B244+1)</f>
        <v/>
      </c>
      <c r="BA244" s="75">
        <f>$C244*INDEX(Curves!$I$8:$I$68,BA$4-$B244+1)</f>
        <v/>
      </c>
      <c r="BB244" s="75">
        <f>$C244*INDEX(Curves!$I$8:$I$68,BB$4-$B244+1)</f>
        <v/>
      </c>
      <c r="BC244" s="75">
        <f>$C244*INDEX(Curves!$I$8:$I$68,BC$4-$B244+1)</f>
        <v/>
      </c>
      <c r="BD244" s="75">
        <f>$C244*INDEX(Curves!$I$8:$I$68,BD$4-$B244+1)</f>
        <v/>
      </c>
      <c r="BE244" s="75">
        <f>$C244*INDEX(Curves!$I$8:$I$68,BE$4-$B244+1)</f>
        <v/>
      </c>
      <c r="BF244" s="75">
        <f>$C244*INDEX(Curves!$I$8:$I$68,BF$4-$B244+1)</f>
        <v/>
      </c>
      <c r="BG244" s="75">
        <f>$C244*INDEX(Curves!$I$8:$I$68,BG$4-$B244+1)</f>
        <v/>
      </c>
      <c r="BH244" s="75">
        <f>$C244*INDEX(Curves!$I$8:$I$68,BH$4-$B244+1)</f>
        <v/>
      </c>
      <c r="BI244" s="75">
        <f>$C244*INDEX(Curves!$I$8:$I$68,BI$4-$B244+1)</f>
        <v/>
      </c>
      <c r="BJ244" s="75">
        <f>$C244*INDEX(Curves!$I$8:$I$68,BJ$4-$B244+1)</f>
        <v/>
      </c>
      <c r="BK244" s="75">
        <f>$C244*INDEX(Curves!$I$8:$I$68,BK$4-$B244+1)</f>
        <v/>
      </c>
      <c r="BL244" s="75">
        <f>$C244*INDEX(Curves!$I$8:$I$68,BL$4-$B244+1)</f>
        <v/>
      </c>
    </row>
    <row r="245">
      <c r="A245" s="74" t="inlineStr">
        <is>
          <t>Cohort month 47</t>
        </is>
      </c>
      <c r="B245" s="74" t="n">
        <v>47</v>
      </c>
      <c r="C245" s="17">
        <f>INDEX(Ops!$E$10:$BL$10,1,$B245)</f>
        <v/>
      </c>
      <c r="AZ245" s="75">
        <f>$C245*INDEX(Curves!$I$8:$I$68,AZ$4-$B245+1)</f>
        <v/>
      </c>
      <c r="BA245" s="75">
        <f>$C245*INDEX(Curves!$I$8:$I$68,BA$4-$B245+1)</f>
        <v/>
      </c>
      <c r="BB245" s="75">
        <f>$C245*INDEX(Curves!$I$8:$I$68,BB$4-$B245+1)</f>
        <v/>
      </c>
      <c r="BC245" s="75">
        <f>$C245*INDEX(Curves!$I$8:$I$68,BC$4-$B245+1)</f>
        <v/>
      </c>
      <c r="BD245" s="75">
        <f>$C245*INDEX(Curves!$I$8:$I$68,BD$4-$B245+1)</f>
        <v/>
      </c>
      <c r="BE245" s="75">
        <f>$C245*INDEX(Curves!$I$8:$I$68,BE$4-$B245+1)</f>
        <v/>
      </c>
      <c r="BF245" s="75">
        <f>$C245*INDEX(Curves!$I$8:$I$68,BF$4-$B245+1)</f>
        <v/>
      </c>
      <c r="BG245" s="75">
        <f>$C245*INDEX(Curves!$I$8:$I$68,BG$4-$B245+1)</f>
        <v/>
      </c>
      <c r="BH245" s="75">
        <f>$C245*INDEX(Curves!$I$8:$I$68,BH$4-$B245+1)</f>
        <v/>
      </c>
      <c r="BI245" s="75">
        <f>$C245*INDEX(Curves!$I$8:$I$68,BI$4-$B245+1)</f>
        <v/>
      </c>
      <c r="BJ245" s="75">
        <f>$C245*INDEX(Curves!$I$8:$I$68,BJ$4-$B245+1)</f>
        <v/>
      </c>
      <c r="BK245" s="75">
        <f>$C245*INDEX(Curves!$I$8:$I$68,BK$4-$B245+1)</f>
        <v/>
      </c>
      <c r="BL245" s="75">
        <f>$C245*INDEX(Curves!$I$8:$I$68,BL$4-$B245+1)</f>
        <v/>
      </c>
    </row>
    <row r="246">
      <c r="A246" s="74" t="inlineStr">
        <is>
          <t>Cohort month 48</t>
        </is>
      </c>
      <c r="B246" s="74" t="n">
        <v>48</v>
      </c>
      <c r="C246" s="17">
        <f>INDEX(Ops!$E$10:$BL$10,1,$B246)</f>
        <v/>
      </c>
      <c r="BA246" s="75">
        <f>$C246*INDEX(Curves!$I$8:$I$68,BA$4-$B246+1)</f>
        <v/>
      </c>
      <c r="BB246" s="75">
        <f>$C246*INDEX(Curves!$I$8:$I$68,BB$4-$B246+1)</f>
        <v/>
      </c>
      <c r="BC246" s="75">
        <f>$C246*INDEX(Curves!$I$8:$I$68,BC$4-$B246+1)</f>
        <v/>
      </c>
      <c r="BD246" s="75">
        <f>$C246*INDEX(Curves!$I$8:$I$68,BD$4-$B246+1)</f>
        <v/>
      </c>
      <c r="BE246" s="75">
        <f>$C246*INDEX(Curves!$I$8:$I$68,BE$4-$B246+1)</f>
        <v/>
      </c>
      <c r="BF246" s="75">
        <f>$C246*INDEX(Curves!$I$8:$I$68,BF$4-$B246+1)</f>
        <v/>
      </c>
      <c r="BG246" s="75">
        <f>$C246*INDEX(Curves!$I$8:$I$68,BG$4-$B246+1)</f>
        <v/>
      </c>
      <c r="BH246" s="75">
        <f>$C246*INDEX(Curves!$I$8:$I$68,BH$4-$B246+1)</f>
        <v/>
      </c>
      <c r="BI246" s="75">
        <f>$C246*INDEX(Curves!$I$8:$I$68,BI$4-$B246+1)</f>
        <v/>
      </c>
      <c r="BJ246" s="75">
        <f>$C246*INDEX(Curves!$I$8:$I$68,BJ$4-$B246+1)</f>
        <v/>
      </c>
      <c r="BK246" s="75">
        <f>$C246*INDEX(Curves!$I$8:$I$68,BK$4-$B246+1)</f>
        <v/>
      </c>
      <c r="BL246" s="75">
        <f>$C246*INDEX(Curves!$I$8:$I$68,BL$4-$B246+1)</f>
        <v/>
      </c>
    </row>
    <row r="247">
      <c r="A247" s="74" t="inlineStr">
        <is>
          <t>Cohort month 49</t>
        </is>
      </c>
      <c r="B247" s="74" t="n">
        <v>49</v>
      </c>
      <c r="C247" s="17">
        <f>INDEX(Ops!$E$10:$BL$10,1,$B247)</f>
        <v/>
      </c>
      <c r="BB247" s="75">
        <f>$C247*INDEX(Curves!$I$8:$I$68,BB$4-$B247+1)</f>
        <v/>
      </c>
      <c r="BC247" s="75">
        <f>$C247*INDEX(Curves!$I$8:$I$68,BC$4-$B247+1)</f>
        <v/>
      </c>
      <c r="BD247" s="75">
        <f>$C247*INDEX(Curves!$I$8:$I$68,BD$4-$B247+1)</f>
        <v/>
      </c>
      <c r="BE247" s="75">
        <f>$C247*INDEX(Curves!$I$8:$I$68,BE$4-$B247+1)</f>
        <v/>
      </c>
      <c r="BF247" s="75">
        <f>$C247*INDEX(Curves!$I$8:$I$68,BF$4-$B247+1)</f>
        <v/>
      </c>
      <c r="BG247" s="75">
        <f>$C247*INDEX(Curves!$I$8:$I$68,BG$4-$B247+1)</f>
        <v/>
      </c>
      <c r="BH247" s="75">
        <f>$C247*INDEX(Curves!$I$8:$I$68,BH$4-$B247+1)</f>
        <v/>
      </c>
      <c r="BI247" s="75">
        <f>$C247*INDEX(Curves!$I$8:$I$68,BI$4-$B247+1)</f>
        <v/>
      </c>
      <c r="BJ247" s="75">
        <f>$C247*INDEX(Curves!$I$8:$I$68,BJ$4-$B247+1)</f>
        <v/>
      </c>
      <c r="BK247" s="75">
        <f>$C247*INDEX(Curves!$I$8:$I$68,BK$4-$B247+1)</f>
        <v/>
      </c>
      <c r="BL247" s="75">
        <f>$C247*INDEX(Curves!$I$8:$I$68,BL$4-$B247+1)</f>
        <v/>
      </c>
    </row>
    <row r="248">
      <c r="A248" s="74" t="inlineStr">
        <is>
          <t>Cohort month 50</t>
        </is>
      </c>
      <c r="B248" s="74" t="n">
        <v>50</v>
      </c>
      <c r="C248" s="17">
        <f>INDEX(Ops!$E$10:$BL$10,1,$B248)</f>
        <v/>
      </c>
      <c r="BC248" s="75">
        <f>$C248*INDEX(Curves!$I$8:$I$68,BC$4-$B248+1)</f>
        <v/>
      </c>
      <c r="BD248" s="75">
        <f>$C248*INDEX(Curves!$I$8:$I$68,BD$4-$B248+1)</f>
        <v/>
      </c>
      <c r="BE248" s="75">
        <f>$C248*INDEX(Curves!$I$8:$I$68,BE$4-$B248+1)</f>
        <v/>
      </c>
      <c r="BF248" s="75">
        <f>$C248*INDEX(Curves!$I$8:$I$68,BF$4-$B248+1)</f>
        <v/>
      </c>
      <c r="BG248" s="75">
        <f>$C248*INDEX(Curves!$I$8:$I$68,BG$4-$B248+1)</f>
        <v/>
      </c>
      <c r="BH248" s="75">
        <f>$C248*INDEX(Curves!$I$8:$I$68,BH$4-$B248+1)</f>
        <v/>
      </c>
      <c r="BI248" s="75">
        <f>$C248*INDEX(Curves!$I$8:$I$68,BI$4-$B248+1)</f>
        <v/>
      </c>
      <c r="BJ248" s="75">
        <f>$C248*INDEX(Curves!$I$8:$I$68,BJ$4-$B248+1)</f>
        <v/>
      </c>
      <c r="BK248" s="75">
        <f>$C248*INDEX(Curves!$I$8:$I$68,BK$4-$B248+1)</f>
        <v/>
      </c>
      <c r="BL248" s="75">
        <f>$C248*INDEX(Curves!$I$8:$I$68,BL$4-$B248+1)</f>
        <v/>
      </c>
    </row>
    <row r="249">
      <c r="A249" s="74" t="inlineStr">
        <is>
          <t>Cohort month 51</t>
        </is>
      </c>
      <c r="B249" s="74" t="n">
        <v>51</v>
      </c>
      <c r="C249" s="17">
        <f>INDEX(Ops!$E$10:$BL$10,1,$B249)</f>
        <v/>
      </c>
      <c r="BD249" s="75">
        <f>$C249*INDEX(Curves!$I$8:$I$68,BD$4-$B249+1)</f>
        <v/>
      </c>
      <c r="BE249" s="75">
        <f>$C249*INDEX(Curves!$I$8:$I$68,BE$4-$B249+1)</f>
        <v/>
      </c>
      <c r="BF249" s="75">
        <f>$C249*INDEX(Curves!$I$8:$I$68,BF$4-$B249+1)</f>
        <v/>
      </c>
      <c r="BG249" s="75">
        <f>$C249*INDEX(Curves!$I$8:$I$68,BG$4-$B249+1)</f>
        <v/>
      </c>
      <c r="BH249" s="75">
        <f>$C249*INDEX(Curves!$I$8:$I$68,BH$4-$B249+1)</f>
        <v/>
      </c>
      <c r="BI249" s="75">
        <f>$C249*INDEX(Curves!$I$8:$I$68,BI$4-$B249+1)</f>
        <v/>
      </c>
      <c r="BJ249" s="75">
        <f>$C249*INDEX(Curves!$I$8:$I$68,BJ$4-$B249+1)</f>
        <v/>
      </c>
      <c r="BK249" s="75">
        <f>$C249*INDEX(Curves!$I$8:$I$68,BK$4-$B249+1)</f>
        <v/>
      </c>
      <c r="BL249" s="75">
        <f>$C249*INDEX(Curves!$I$8:$I$68,BL$4-$B249+1)</f>
        <v/>
      </c>
    </row>
    <row r="250">
      <c r="A250" s="74" t="inlineStr">
        <is>
          <t>Cohort month 52</t>
        </is>
      </c>
      <c r="B250" s="74" t="n">
        <v>52</v>
      </c>
      <c r="C250" s="17">
        <f>INDEX(Ops!$E$10:$BL$10,1,$B250)</f>
        <v/>
      </c>
      <c r="BE250" s="75">
        <f>$C250*INDEX(Curves!$I$8:$I$68,BE$4-$B250+1)</f>
        <v/>
      </c>
      <c r="BF250" s="75">
        <f>$C250*INDEX(Curves!$I$8:$I$68,BF$4-$B250+1)</f>
        <v/>
      </c>
      <c r="BG250" s="75">
        <f>$C250*INDEX(Curves!$I$8:$I$68,BG$4-$B250+1)</f>
        <v/>
      </c>
      <c r="BH250" s="75">
        <f>$C250*INDEX(Curves!$I$8:$I$68,BH$4-$B250+1)</f>
        <v/>
      </c>
      <c r="BI250" s="75">
        <f>$C250*INDEX(Curves!$I$8:$I$68,BI$4-$B250+1)</f>
        <v/>
      </c>
      <c r="BJ250" s="75">
        <f>$C250*INDEX(Curves!$I$8:$I$68,BJ$4-$B250+1)</f>
        <v/>
      </c>
      <c r="BK250" s="75">
        <f>$C250*INDEX(Curves!$I$8:$I$68,BK$4-$B250+1)</f>
        <v/>
      </c>
      <c r="BL250" s="75">
        <f>$C250*INDEX(Curves!$I$8:$I$68,BL$4-$B250+1)</f>
        <v/>
      </c>
    </row>
    <row r="251">
      <c r="A251" s="74" t="inlineStr">
        <is>
          <t>Cohort month 53</t>
        </is>
      </c>
      <c r="B251" s="74" t="n">
        <v>53</v>
      </c>
      <c r="C251" s="17">
        <f>INDEX(Ops!$E$10:$BL$10,1,$B251)</f>
        <v/>
      </c>
      <c r="BF251" s="75">
        <f>$C251*INDEX(Curves!$I$8:$I$68,BF$4-$B251+1)</f>
        <v/>
      </c>
      <c r="BG251" s="75">
        <f>$C251*INDEX(Curves!$I$8:$I$68,BG$4-$B251+1)</f>
        <v/>
      </c>
      <c r="BH251" s="75">
        <f>$C251*INDEX(Curves!$I$8:$I$68,BH$4-$B251+1)</f>
        <v/>
      </c>
      <c r="BI251" s="75">
        <f>$C251*INDEX(Curves!$I$8:$I$68,BI$4-$B251+1)</f>
        <v/>
      </c>
      <c r="BJ251" s="75">
        <f>$C251*INDEX(Curves!$I$8:$I$68,BJ$4-$B251+1)</f>
        <v/>
      </c>
      <c r="BK251" s="75">
        <f>$C251*INDEX(Curves!$I$8:$I$68,BK$4-$B251+1)</f>
        <v/>
      </c>
      <c r="BL251" s="75">
        <f>$C251*INDEX(Curves!$I$8:$I$68,BL$4-$B251+1)</f>
        <v/>
      </c>
    </row>
    <row r="252">
      <c r="A252" s="74" t="inlineStr">
        <is>
          <t>Cohort month 54</t>
        </is>
      </c>
      <c r="B252" s="74" t="n">
        <v>54</v>
      </c>
      <c r="C252" s="17">
        <f>INDEX(Ops!$E$10:$BL$10,1,$B252)</f>
        <v/>
      </c>
      <c r="BG252" s="75">
        <f>$C252*INDEX(Curves!$I$8:$I$68,BG$4-$B252+1)</f>
        <v/>
      </c>
      <c r="BH252" s="75">
        <f>$C252*INDEX(Curves!$I$8:$I$68,BH$4-$B252+1)</f>
        <v/>
      </c>
      <c r="BI252" s="75">
        <f>$C252*INDEX(Curves!$I$8:$I$68,BI$4-$B252+1)</f>
        <v/>
      </c>
      <c r="BJ252" s="75">
        <f>$C252*INDEX(Curves!$I$8:$I$68,BJ$4-$B252+1)</f>
        <v/>
      </c>
      <c r="BK252" s="75">
        <f>$C252*INDEX(Curves!$I$8:$I$68,BK$4-$B252+1)</f>
        <v/>
      </c>
      <c r="BL252" s="75">
        <f>$C252*INDEX(Curves!$I$8:$I$68,BL$4-$B252+1)</f>
        <v/>
      </c>
    </row>
    <row r="253">
      <c r="A253" s="74" t="inlineStr">
        <is>
          <t>Cohort month 55</t>
        </is>
      </c>
      <c r="B253" s="74" t="n">
        <v>55</v>
      </c>
      <c r="C253" s="17">
        <f>INDEX(Ops!$E$10:$BL$10,1,$B253)</f>
        <v/>
      </c>
      <c r="BH253" s="75">
        <f>$C253*INDEX(Curves!$I$8:$I$68,BH$4-$B253+1)</f>
        <v/>
      </c>
      <c r="BI253" s="75">
        <f>$C253*INDEX(Curves!$I$8:$I$68,BI$4-$B253+1)</f>
        <v/>
      </c>
      <c r="BJ253" s="75">
        <f>$C253*INDEX(Curves!$I$8:$I$68,BJ$4-$B253+1)</f>
        <v/>
      </c>
      <c r="BK253" s="75">
        <f>$C253*INDEX(Curves!$I$8:$I$68,BK$4-$B253+1)</f>
        <v/>
      </c>
      <c r="BL253" s="75">
        <f>$C253*INDEX(Curves!$I$8:$I$68,BL$4-$B253+1)</f>
        <v/>
      </c>
    </row>
    <row r="254">
      <c r="A254" s="74" t="inlineStr">
        <is>
          <t>Cohort month 56</t>
        </is>
      </c>
      <c r="B254" s="74" t="n">
        <v>56</v>
      </c>
      <c r="C254" s="17">
        <f>INDEX(Ops!$E$10:$BL$10,1,$B254)</f>
        <v/>
      </c>
      <c r="BI254" s="75">
        <f>$C254*INDEX(Curves!$I$8:$I$68,BI$4-$B254+1)</f>
        <v/>
      </c>
      <c r="BJ254" s="75">
        <f>$C254*INDEX(Curves!$I$8:$I$68,BJ$4-$B254+1)</f>
        <v/>
      </c>
      <c r="BK254" s="75">
        <f>$C254*INDEX(Curves!$I$8:$I$68,BK$4-$B254+1)</f>
        <v/>
      </c>
      <c r="BL254" s="75">
        <f>$C254*INDEX(Curves!$I$8:$I$68,BL$4-$B254+1)</f>
        <v/>
      </c>
    </row>
    <row r="255">
      <c r="A255" s="74" t="inlineStr">
        <is>
          <t>Cohort month 57</t>
        </is>
      </c>
      <c r="B255" s="74" t="n">
        <v>57</v>
      </c>
      <c r="C255" s="17">
        <f>INDEX(Ops!$E$10:$BL$10,1,$B255)</f>
        <v/>
      </c>
      <c r="BJ255" s="75">
        <f>$C255*INDEX(Curves!$I$8:$I$68,BJ$4-$B255+1)</f>
        <v/>
      </c>
      <c r="BK255" s="75">
        <f>$C255*INDEX(Curves!$I$8:$I$68,BK$4-$B255+1)</f>
        <v/>
      </c>
      <c r="BL255" s="75">
        <f>$C255*INDEX(Curves!$I$8:$I$68,BL$4-$B255+1)</f>
        <v/>
      </c>
    </row>
    <row r="256">
      <c r="A256" s="74" t="inlineStr">
        <is>
          <t>Cohort month 58</t>
        </is>
      </c>
      <c r="B256" s="74" t="n">
        <v>58</v>
      </c>
      <c r="C256" s="17">
        <f>INDEX(Ops!$E$10:$BL$10,1,$B256)</f>
        <v/>
      </c>
      <c r="BK256" s="75">
        <f>$C256*INDEX(Curves!$I$8:$I$68,BK$4-$B256+1)</f>
        <v/>
      </c>
      <c r="BL256" s="75">
        <f>$C256*INDEX(Curves!$I$8:$I$68,BL$4-$B256+1)</f>
        <v/>
      </c>
    </row>
    <row r="257">
      <c r="A257" s="74" t="inlineStr">
        <is>
          <t>Cohort month 59</t>
        </is>
      </c>
      <c r="B257" s="74" t="n">
        <v>59</v>
      </c>
      <c r="C257" s="17">
        <f>INDEX(Ops!$E$10:$BL$10,1,$B257)</f>
        <v/>
      </c>
      <c r="BL257" s="75">
        <f>$C257*INDEX(Curves!$I$8:$I$68,BL$4-$B257+1)</f>
        <v/>
      </c>
    </row>
    <row r="258">
      <c r="A258" s="74" t="inlineStr">
        <is>
          <t>Cohort month 60</t>
        </is>
      </c>
      <c r="B258" s="74" t="n">
        <v>60</v>
      </c>
      <c r="C258" s="17">
        <f>INDEX(Ops!$E$10:$BL$10,1,$B258)</f>
        <v/>
      </c>
    </row>
  </sheetData>
  <pageMargins left="0.75" right="0.75" top="1" bottom="1" header="0.5" footer="0.5"/>
  <pageSetup orientation="landscape" fitToHeight="0" fitToWidth="1"/>
</worksheet>
</file>

<file path=xl/worksheets/sheet19.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Cohort (vintage) analysis - Tier 2 - SHS with TV</t>
        </is>
      </c>
    </row>
    <row r="2">
      <c r="A2" s="2" t="inlineStr">
        <is>
          <t>Rows = sales cohort (month of sale); columns = calendar month. Cohort size in column C.</t>
        </is>
      </c>
    </row>
    <row r="3"/>
    <row r="4">
      <c r="A4" s="51" t="inlineStr">
        <is>
          <t>Month #</t>
        </is>
      </c>
      <c r="B4" s="52" t="n"/>
      <c r="C4" s="52" t="n"/>
      <c r="D4" s="51" t="inlineStr">
        <is>
          <t>Opening</t>
        </is>
      </c>
      <c r="E4" s="53">
        <f>Timeline!E4</f>
        <v/>
      </c>
      <c r="F4" s="53">
        <f>Timeline!F4</f>
        <v/>
      </c>
      <c r="G4" s="53">
        <f>Timeline!G4</f>
        <v/>
      </c>
      <c r="H4" s="53">
        <f>Timeline!H4</f>
        <v/>
      </c>
      <c r="I4" s="53">
        <f>Timeline!I4</f>
        <v/>
      </c>
      <c r="J4" s="53">
        <f>Timeline!J4</f>
        <v/>
      </c>
      <c r="K4" s="53">
        <f>Timeline!K4</f>
        <v/>
      </c>
      <c r="L4" s="53">
        <f>Timeline!L4</f>
        <v/>
      </c>
      <c r="M4" s="53">
        <f>Timeline!M4</f>
        <v/>
      </c>
      <c r="N4" s="53">
        <f>Timeline!N4</f>
        <v/>
      </c>
      <c r="O4" s="53">
        <f>Timeline!O4</f>
        <v/>
      </c>
      <c r="P4" s="53">
        <f>Timeline!P4</f>
        <v/>
      </c>
      <c r="Q4" s="53">
        <f>Timeline!Q4</f>
        <v/>
      </c>
      <c r="R4" s="53">
        <f>Timeline!R4</f>
        <v/>
      </c>
      <c r="S4" s="53">
        <f>Timeline!S4</f>
        <v/>
      </c>
      <c r="T4" s="53">
        <f>Timeline!T4</f>
        <v/>
      </c>
      <c r="U4" s="53">
        <f>Timeline!U4</f>
        <v/>
      </c>
      <c r="V4" s="53">
        <f>Timeline!V4</f>
        <v/>
      </c>
      <c r="W4" s="53">
        <f>Timeline!W4</f>
        <v/>
      </c>
      <c r="X4" s="53">
        <f>Timeline!X4</f>
        <v/>
      </c>
      <c r="Y4" s="53">
        <f>Timeline!Y4</f>
        <v/>
      </c>
      <c r="Z4" s="53">
        <f>Timeline!Z4</f>
        <v/>
      </c>
      <c r="AA4" s="53">
        <f>Timeline!AA4</f>
        <v/>
      </c>
      <c r="AB4" s="53">
        <f>Timeline!AB4</f>
        <v/>
      </c>
      <c r="AC4" s="53">
        <f>Timeline!AC4</f>
        <v/>
      </c>
      <c r="AD4" s="53">
        <f>Timeline!AD4</f>
        <v/>
      </c>
      <c r="AE4" s="53">
        <f>Timeline!AE4</f>
        <v/>
      </c>
      <c r="AF4" s="53">
        <f>Timeline!AF4</f>
        <v/>
      </c>
      <c r="AG4" s="53">
        <f>Timeline!AG4</f>
        <v/>
      </c>
      <c r="AH4" s="53">
        <f>Timeline!AH4</f>
        <v/>
      </c>
      <c r="AI4" s="53">
        <f>Timeline!AI4</f>
        <v/>
      </c>
      <c r="AJ4" s="53">
        <f>Timeline!AJ4</f>
        <v/>
      </c>
      <c r="AK4" s="53">
        <f>Timeline!AK4</f>
        <v/>
      </c>
      <c r="AL4" s="53">
        <f>Timeline!AL4</f>
        <v/>
      </c>
      <c r="AM4" s="53">
        <f>Timeline!AM4</f>
        <v/>
      </c>
      <c r="AN4" s="53">
        <f>Timeline!AN4</f>
        <v/>
      </c>
      <c r="AO4" s="53">
        <f>Timeline!AO4</f>
        <v/>
      </c>
      <c r="AP4" s="53">
        <f>Timeline!AP4</f>
        <v/>
      </c>
      <c r="AQ4" s="53">
        <f>Timeline!AQ4</f>
        <v/>
      </c>
      <c r="AR4" s="53">
        <f>Timeline!AR4</f>
        <v/>
      </c>
      <c r="AS4" s="53">
        <f>Timeline!AS4</f>
        <v/>
      </c>
      <c r="AT4" s="53">
        <f>Timeline!AT4</f>
        <v/>
      </c>
      <c r="AU4" s="53">
        <f>Timeline!AU4</f>
        <v/>
      </c>
      <c r="AV4" s="53">
        <f>Timeline!AV4</f>
        <v/>
      </c>
      <c r="AW4" s="53">
        <f>Timeline!AW4</f>
        <v/>
      </c>
      <c r="AX4" s="53">
        <f>Timeline!AX4</f>
        <v/>
      </c>
      <c r="AY4" s="53">
        <f>Timeline!AY4</f>
        <v/>
      </c>
      <c r="AZ4" s="53">
        <f>Timeline!AZ4</f>
        <v/>
      </c>
      <c r="BA4" s="53">
        <f>Timeline!BA4</f>
        <v/>
      </c>
      <c r="BB4" s="53">
        <f>Timeline!BB4</f>
        <v/>
      </c>
      <c r="BC4" s="53">
        <f>Timeline!BC4</f>
        <v/>
      </c>
      <c r="BD4" s="53">
        <f>Timeline!BD4</f>
        <v/>
      </c>
      <c r="BE4" s="53">
        <f>Timeline!BE4</f>
        <v/>
      </c>
      <c r="BF4" s="53">
        <f>Timeline!BF4</f>
        <v/>
      </c>
      <c r="BG4" s="53">
        <f>Timeline!BG4</f>
        <v/>
      </c>
      <c r="BH4" s="53">
        <f>Timeline!BH4</f>
        <v/>
      </c>
      <c r="BI4" s="53">
        <f>Timeline!BI4</f>
        <v/>
      </c>
      <c r="BJ4" s="53">
        <f>Timeline!BJ4</f>
        <v/>
      </c>
      <c r="BK4" s="53">
        <f>Timeline!BK4</f>
        <v/>
      </c>
      <c r="BL4" s="53">
        <f>Timeline!BL4</f>
        <v/>
      </c>
    </row>
    <row r="5">
      <c r="A5" s="51" t="inlineStr">
        <is>
          <t>Period end</t>
        </is>
      </c>
      <c r="B5" s="52" t="n"/>
      <c r="C5" s="52" t="n"/>
      <c r="D5" s="51" t="n"/>
      <c r="E5" s="54">
        <f>Timeline!E5</f>
        <v/>
      </c>
      <c r="F5" s="54">
        <f>Timeline!F5</f>
        <v/>
      </c>
      <c r="G5" s="54">
        <f>Timeline!G5</f>
        <v/>
      </c>
      <c r="H5" s="54">
        <f>Timeline!H5</f>
        <v/>
      </c>
      <c r="I5" s="54">
        <f>Timeline!I5</f>
        <v/>
      </c>
      <c r="J5" s="54">
        <f>Timeline!J5</f>
        <v/>
      </c>
      <c r="K5" s="54">
        <f>Timeline!K5</f>
        <v/>
      </c>
      <c r="L5" s="54">
        <f>Timeline!L5</f>
        <v/>
      </c>
      <c r="M5" s="54">
        <f>Timeline!M5</f>
        <v/>
      </c>
      <c r="N5" s="54">
        <f>Timeline!N5</f>
        <v/>
      </c>
      <c r="O5" s="54">
        <f>Timeline!O5</f>
        <v/>
      </c>
      <c r="P5" s="54">
        <f>Timeline!P5</f>
        <v/>
      </c>
      <c r="Q5" s="54">
        <f>Timeline!Q5</f>
        <v/>
      </c>
      <c r="R5" s="54">
        <f>Timeline!R5</f>
        <v/>
      </c>
      <c r="S5" s="54">
        <f>Timeline!S5</f>
        <v/>
      </c>
      <c r="T5" s="54">
        <f>Timeline!T5</f>
        <v/>
      </c>
      <c r="U5" s="54">
        <f>Timeline!U5</f>
        <v/>
      </c>
      <c r="V5" s="54">
        <f>Timeline!V5</f>
        <v/>
      </c>
      <c r="W5" s="54">
        <f>Timeline!W5</f>
        <v/>
      </c>
      <c r="X5" s="54">
        <f>Timeline!X5</f>
        <v/>
      </c>
      <c r="Y5" s="54">
        <f>Timeline!Y5</f>
        <v/>
      </c>
      <c r="Z5" s="54">
        <f>Timeline!Z5</f>
        <v/>
      </c>
      <c r="AA5" s="54">
        <f>Timeline!AA5</f>
        <v/>
      </c>
      <c r="AB5" s="54">
        <f>Timeline!AB5</f>
        <v/>
      </c>
      <c r="AC5" s="54">
        <f>Timeline!AC5</f>
        <v/>
      </c>
      <c r="AD5" s="54">
        <f>Timeline!AD5</f>
        <v/>
      </c>
      <c r="AE5" s="54">
        <f>Timeline!AE5</f>
        <v/>
      </c>
      <c r="AF5" s="54">
        <f>Timeline!AF5</f>
        <v/>
      </c>
      <c r="AG5" s="54">
        <f>Timeline!AG5</f>
        <v/>
      </c>
      <c r="AH5" s="54">
        <f>Timeline!AH5</f>
        <v/>
      </c>
      <c r="AI5" s="54">
        <f>Timeline!AI5</f>
        <v/>
      </c>
      <c r="AJ5" s="54">
        <f>Timeline!AJ5</f>
        <v/>
      </c>
      <c r="AK5" s="54">
        <f>Timeline!AK5</f>
        <v/>
      </c>
      <c r="AL5" s="54">
        <f>Timeline!AL5</f>
        <v/>
      </c>
      <c r="AM5" s="54">
        <f>Timeline!AM5</f>
        <v/>
      </c>
      <c r="AN5" s="54">
        <f>Timeline!AN5</f>
        <v/>
      </c>
      <c r="AO5" s="54">
        <f>Timeline!AO5</f>
        <v/>
      </c>
      <c r="AP5" s="54">
        <f>Timeline!AP5</f>
        <v/>
      </c>
      <c r="AQ5" s="54">
        <f>Timeline!AQ5</f>
        <v/>
      </c>
      <c r="AR5" s="54">
        <f>Timeline!AR5</f>
        <v/>
      </c>
      <c r="AS5" s="54">
        <f>Timeline!AS5</f>
        <v/>
      </c>
      <c r="AT5" s="54">
        <f>Timeline!AT5</f>
        <v/>
      </c>
      <c r="AU5" s="54">
        <f>Timeline!AU5</f>
        <v/>
      </c>
      <c r="AV5" s="54">
        <f>Timeline!AV5</f>
        <v/>
      </c>
      <c r="AW5" s="54">
        <f>Timeline!AW5</f>
        <v/>
      </c>
      <c r="AX5" s="54">
        <f>Timeline!AX5</f>
        <v/>
      </c>
      <c r="AY5" s="54">
        <f>Timeline!AY5</f>
        <v/>
      </c>
      <c r="AZ5" s="54">
        <f>Timeline!AZ5</f>
        <v/>
      </c>
      <c r="BA5" s="54">
        <f>Timeline!BA5</f>
        <v/>
      </c>
      <c r="BB5" s="54">
        <f>Timeline!BB5</f>
        <v/>
      </c>
      <c r="BC5" s="54">
        <f>Timeline!BC5</f>
        <v/>
      </c>
      <c r="BD5" s="54">
        <f>Timeline!BD5</f>
        <v/>
      </c>
      <c r="BE5" s="54">
        <f>Timeline!BE5</f>
        <v/>
      </c>
      <c r="BF5" s="54">
        <f>Timeline!BF5</f>
        <v/>
      </c>
      <c r="BG5" s="54">
        <f>Timeline!BG5</f>
        <v/>
      </c>
      <c r="BH5" s="54">
        <f>Timeline!BH5</f>
        <v/>
      </c>
      <c r="BI5" s="54">
        <f>Timeline!BI5</f>
        <v/>
      </c>
      <c r="BJ5" s="54">
        <f>Timeline!BJ5</f>
        <v/>
      </c>
      <c r="BK5" s="54">
        <f>Timeline!BK5</f>
        <v/>
      </c>
      <c r="BL5" s="54">
        <f>Timeline!BL5</f>
        <v/>
      </c>
    </row>
    <row r="6">
      <c r="A6" s="51" t="inlineStr">
        <is>
          <t>Year #</t>
        </is>
      </c>
      <c r="B6" s="52" t="n"/>
      <c r="C6" s="52" t="n"/>
      <c r="D6" s="51" t="n"/>
      <c r="E6" s="53">
        <f>Timeline!E6</f>
        <v/>
      </c>
      <c r="F6" s="53">
        <f>Timeline!F6</f>
        <v/>
      </c>
      <c r="G6" s="53">
        <f>Timeline!G6</f>
        <v/>
      </c>
      <c r="H6" s="53">
        <f>Timeline!H6</f>
        <v/>
      </c>
      <c r="I6" s="53">
        <f>Timeline!I6</f>
        <v/>
      </c>
      <c r="J6" s="53">
        <f>Timeline!J6</f>
        <v/>
      </c>
      <c r="K6" s="53">
        <f>Timeline!K6</f>
        <v/>
      </c>
      <c r="L6" s="53">
        <f>Timeline!L6</f>
        <v/>
      </c>
      <c r="M6" s="53">
        <f>Timeline!M6</f>
        <v/>
      </c>
      <c r="N6" s="53">
        <f>Timeline!N6</f>
        <v/>
      </c>
      <c r="O6" s="53">
        <f>Timeline!O6</f>
        <v/>
      </c>
      <c r="P6" s="53">
        <f>Timeline!P6</f>
        <v/>
      </c>
      <c r="Q6" s="53">
        <f>Timeline!Q6</f>
        <v/>
      </c>
      <c r="R6" s="53">
        <f>Timeline!R6</f>
        <v/>
      </c>
      <c r="S6" s="53">
        <f>Timeline!S6</f>
        <v/>
      </c>
      <c r="T6" s="53">
        <f>Timeline!T6</f>
        <v/>
      </c>
      <c r="U6" s="53">
        <f>Timeline!U6</f>
        <v/>
      </c>
      <c r="V6" s="53">
        <f>Timeline!V6</f>
        <v/>
      </c>
      <c r="W6" s="53">
        <f>Timeline!W6</f>
        <v/>
      </c>
      <c r="X6" s="53">
        <f>Timeline!X6</f>
        <v/>
      </c>
      <c r="Y6" s="53">
        <f>Timeline!Y6</f>
        <v/>
      </c>
      <c r="Z6" s="53">
        <f>Timeline!Z6</f>
        <v/>
      </c>
      <c r="AA6" s="53">
        <f>Timeline!AA6</f>
        <v/>
      </c>
      <c r="AB6" s="53">
        <f>Timeline!AB6</f>
        <v/>
      </c>
      <c r="AC6" s="53">
        <f>Timeline!AC6</f>
        <v/>
      </c>
      <c r="AD6" s="53">
        <f>Timeline!AD6</f>
        <v/>
      </c>
      <c r="AE6" s="53">
        <f>Timeline!AE6</f>
        <v/>
      </c>
      <c r="AF6" s="53">
        <f>Timeline!AF6</f>
        <v/>
      </c>
      <c r="AG6" s="53">
        <f>Timeline!AG6</f>
        <v/>
      </c>
      <c r="AH6" s="53">
        <f>Timeline!AH6</f>
        <v/>
      </c>
      <c r="AI6" s="53">
        <f>Timeline!AI6</f>
        <v/>
      </c>
      <c r="AJ6" s="53">
        <f>Timeline!AJ6</f>
        <v/>
      </c>
      <c r="AK6" s="53">
        <f>Timeline!AK6</f>
        <v/>
      </c>
      <c r="AL6" s="53">
        <f>Timeline!AL6</f>
        <v/>
      </c>
      <c r="AM6" s="53">
        <f>Timeline!AM6</f>
        <v/>
      </c>
      <c r="AN6" s="53">
        <f>Timeline!AN6</f>
        <v/>
      </c>
      <c r="AO6" s="53">
        <f>Timeline!AO6</f>
        <v/>
      </c>
      <c r="AP6" s="53">
        <f>Timeline!AP6</f>
        <v/>
      </c>
      <c r="AQ6" s="53">
        <f>Timeline!AQ6</f>
        <v/>
      </c>
      <c r="AR6" s="53">
        <f>Timeline!AR6</f>
        <v/>
      </c>
      <c r="AS6" s="53">
        <f>Timeline!AS6</f>
        <v/>
      </c>
      <c r="AT6" s="53">
        <f>Timeline!AT6</f>
        <v/>
      </c>
      <c r="AU6" s="53">
        <f>Timeline!AU6</f>
        <v/>
      </c>
      <c r="AV6" s="53">
        <f>Timeline!AV6</f>
        <v/>
      </c>
      <c r="AW6" s="53">
        <f>Timeline!AW6</f>
        <v/>
      </c>
      <c r="AX6" s="53">
        <f>Timeline!AX6</f>
        <v/>
      </c>
      <c r="AY6" s="53">
        <f>Timeline!AY6</f>
        <v/>
      </c>
      <c r="AZ6" s="53">
        <f>Timeline!AZ6</f>
        <v/>
      </c>
      <c r="BA6" s="53">
        <f>Timeline!BA6</f>
        <v/>
      </c>
      <c r="BB6" s="53">
        <f>Timeline!BB6</f>
        <v/>
      </c>
      <c r="BC6" s="53">
        <f>Timeline!BC6</f>
        <v/>
      </c>
      <c r="BD6" s="53">
        <f>Timeline!BD6</f>
        <v/>
      </c>
      <c r="BE6" s="53">
        <f>Timeline!BE6</f>
        <v/>
      </c>
      <c r="BF6" s="53">
        <f>Timeline!BF6</f>
        <v/>
      </c>
      <c r="BG6" s="53">
        <f>Timeline!BG6</f>
        <v/>
      </c>
      <c r="BH6" s="53">
        <f>Timeline!BH6</f>
        <v/>
      </c>
      <c r="BI6" s="53">
        <f>Timeline!BI6</f>
        <v/>
      </c>
      <c r="BJ6" s="53">
        <f>Timeline!BJ6</f>
        <v/>
      </c>
      <c r="BK6" s="53">
        <f>Timeline!BK6</f>
        <v/>
      </c>
      <c r="BL6" s="53">
        <f>Timeline!BL6</f>
        <v/>
      </c>
    </row>
    <row r="7"/>
    <row r="8">
      <c r="A8" s="14" t="inlineStr">
        <is>
          <t>Instalments collected by cohort (LCY)</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60" t="inlineStr">
        <is>
          <t>Total</t>
        </is>
      </c>
      <c r="B9" s="61" t="inlineStr"/>
      <c r="C9" s="63" t="n"/>
      <c r="D9" s="63" t="n"/>
      <c r="E9" s="71">
        <f>SUM(E10:E69)</f>
        <v/>
      </c>
      <c r="F9" s="71">
        <f>SUM(F10:F69)</f>
        <v/>
      </c>
      <c r="G9" s="71">
        <f>SUM(G10:G69)</f>
        <v/>
      </c>
      <c r="H9" s="71">
        <f>SUM(H10:H69)</f>
        <v/>
      </c>
      <c r="I9" s="71">
        <f>SUM(I10:I69)</f>
        <v/>
      </c>
      <c r="J9" s="71">
        <f>SUM(J10:J69)</f>
        <v/>
      </c>
      <c r="K9" s="71">
        <f>SUM(K10:K69)</f>
        <v/>
      </c>
      <c r="L9" s="71">
        <f>SUM(L10:L69)</f>
        <v/>
      </c>
      <c r="M9" s="71">
        <f>SUM(M10:M69)</f>
        <v/>
      </c>
      <c r="N9" s="71">
        <f>SUM(N10:N69)</f>
        <v/>
      </c>
      <c r="O9" s="71">
        <f>SUM(O10:O69)</f>
        <v/>
      </c>
      <c r="P9" s="71">
        <f>SUM(P10:P69)</f>
        <v/>
      </c>
      <c r="Q9" s="71">
        <f>SUM(Q10:Q69)</f>
        <v/>
      </c>
      <c r="R9" s="71">
        <f>SUM(R10:R69)</f>
        <v/>
      </c>
      <c r="S9" s="71">
        <f>SUM(S10:S69)</f>
        <v/>
      </c>
      <c r="T9" s="71">
        <f>SUM(T10:T69)</f>
        <v/>
      </c>
      <c r="U9" s="71">
        <f>SUM(U10:U69)</f>
        <v/>
      </c>
      <c r="V9" s="71">
        <f>SUM(V10:V69)</f>
        <v/>
      </c>
      <c r="W9" s="71">
        <f>SUM(W10:W69)</f>
        <v/>
      </c>
      <c r="X9" s="71">
        <f>SUM(X10:X69)</f>
        <v/>
      </c>
      <c r="Y9" s="71">
        <f>SUM(Y10:Y69)</f>
        <v/>
      </c>
      <c r="Z9" s="71">
        <f>SUM(Z10:Z69)</f>
        <v/>
      </c>
      <c r="AA9" s="71">
        <f>SUM(AA10:AA69)</f>
        <v/>
      </c>
      <c r="AB9" s="71">
        <f>SUM(AB10:AB69)</f>
        <v/>
      </c>
      <c r="AC9" s="71">
        <f>SUM(AC10:AC69)</f>
        <v/>
      </c>
      <c r="AD9" s="71">
        <f>SUM(AD10:AD69)</f>
        <v/>
      </c>
      <c r="AE9" s="71">
        <f>SUM(AE10:AE69)</f>
        <v/>
      </c>
      <c r="AF9" s="71">
        <f>SUM(AF10:AF69)</f>
        <v/>
      </c>
      <c r="AG9" s="71">
        <f>SUM(AG10:AG69)</f>
        <v/>
      </c>
      <c r="AH9" s="71">
        <f>SUM(AH10:AH69)</f>
        <v/>
      </c>
      <c r="AI9" s="71">
        <f>SUM(AI10:AI69)</f>
        <v/>
      </c>
      <c r="AJ9" s="71">
        <f>SUM(AJ10:AJ69)</f>
        <v/>
      </c>
      <c r="AK9" s="71">
        <f>SUM(AK10:AK69)</f>
        <v/>
      </c>
      <c r="AL9" s="71">
        <f>SUM(AL10:AL69)</f>
        <v/>
      </c>
      <c r="AM9" s="71">
        <f>SUM(AM10:AM69)</f>
        <v/>
      </c>
      <c r="AN9" s="71">
        <f>SUM(AN10:AN69)</f>
        <v/>
      </c>
      <c r="AO9" s="71">
        <f>SUM(AO10:AO69)</f>
        <v/>
      </c>
      <c r="AP9" s="71">
        <f>SUM(AP10:AP69)</f>
        <v/>
      </c>
      <c r="AQ9" s="71">
        <f>SUM(AQ10:AQ69)</f>
        <v/>
      </c>
      <c r="AR9" s="71">
        <f>SUM(AR10:AR69)</f>
        <v/>
      </c>
      <c r="AS9" s="71">
        <f>SUM(AS10:AS69)</f>
        <v/>
      </c>
      <c r="AT9" s="71">
        <f>SUM(AT10:AT69)</f>
        <v/>
      </c>
      <c r="AU9" s="71">
        <f>SUM(AU10:AU69)</f>
        <v/>
      </c>
      <c r="AV9" s="71">
        <f>SUM(AV10:AV69)</f>
        <v/>
      </c>
      <c r="AW9" s="71">
        <f>SUM(AW10:AW69)</f>
        <v/>
      </c>
      <c r="AX9" s="71">
        <f>SUM(AX10:AX69)</f>
        <v/>
      </c>
      <c r="AY9" s="71">
        <f>SUM(AY10:AY69)</f>
        <v/>
      </c>
      <c r="AZ9" s="71">
        <f>SUM(AZ10:AZ69)</f>
        <v/>
      </c>
      <c r="BA9" s="71">
        <f>SUM(BA10:BA69)</f>
        <v/>
      </c>
      <c r="BB9" s="71">
        <f>SUM(BB10:BB69)</f>
        <v/>
      </c>
      <c r="BC9" s="71">
        <f>SUM(BC10:BC69)</f>
        <v/>
      </c>
      <c r="BD9" s="71">
        <f>SUM(BD10:BD69)</f>
        <v/>
      </c>
      <c r="BE9" s="71">
        <f>SUM(BE10:BE69)</f>
        <v/>
      </c>
      <c r="BF9" s="71">
        <f>SUM(BF10:BF69)</f>
        <v/>
      </c>
      <c r="BG9" s="71">
        <f>SUM(BG10:BG69)</f>
        <v/>
      </c>
      <c r="BH9" s="71">
        <f>SUM(BH10:BH69)</f>
        <v/>
      </c>
      <c r="BI9" s="71">
        <f>SUM(BI10:BI69)</f>
        <v/>
      </c>
      <c r="BJ9" s="71">
        <f>SUM(BJ10:BJ69)</f>
        <v/>
      </c>
      <c r="BK9" s="71">
        <f>SUM(BK10:BK69)</f>
        <v/>
      </c>
      <c r="BL9" s="71">
        <f>SUM(BL10:BL69)</f>
        <v/>
      </c>
    </row>
    <row r="10">
      <c r="A10" s="74" t="inlineStr">
        <is>
          <t>Cohort month 1</t>
        </is>
      </c>
      <c r="B10" s="74" t="n">
        <v>1</v>
      </c>
      <c r="C10" s="17">
        <f>INDEX(Ops!$E$35:$BL$35,1,$B10)</f>
        <v/>
      </c>
      <c r="F10" s="75">
        <f>$C10*INDEX(Curves!$P$8:$P$68,F$4-$B10+1)</f>
        <v/>
      </c>
      <c r="G10" s="75">
        <f>$C10*INDEX(Curves!$P$8:$P$68,G$4-$B10+1)</f>
        <v/>
      </c>
      <c r="H10" s="75">
        <f>$C10*INDEX(Curves!$P$8:$P$68,H$4-$B10+1)</f>
        <v/>
      </c>
      <c r="I10" s="75">
        <f>$C10*INDEX(Curves!$P$8:$P$68,I$4-$B10+1)</f>
        <v/>
      </c>
      <c r="J10" s="75">
        <f>$C10*INDEX(Curves!$P$8:$P$68,J$4-$B10+1)</f>
        <v/>
      </c>
      <c r="K10" s="75">
        <f>$C10*INDEX(Curves!$P$8:$P$68,K$4-$B10+1)</f>
        <v/>
      </c>
      <c r="L10" s="75">
        <f>$C10*INDEX(Curves!$P$8:$P$68,L$4-$B10+1)</f>
        <v/>
      </c>
      <c r="M10" s="75">
        <f>$C10*INDEX(Curves!$P$8:$P$68,M$4-$B10+1)</f>
        <v/>
      </c>
      <c r="N10" s="75">
        <f>$C10*INDEX(Curves!$P$8:$P$68,N$4-$B10+1)</f>
        <v/>
      </c>
      <c r="O10" s="75">
        <f>$C10*INDEX(Curves!$P$8:$P$68,O$4-$B10+1)</f>
        <v/>
      </c>
      <c r="P10" s="75">
        <f>$C10*INDEX(Curves!$P$8:$P$68,P$4-$B10+1)</f>
        <v/>
      </c>
      <c r="Q10" s="75">
        <f>$C10*INDEX(Curves!$P$8:$P$68,Q$4-$B10+1)</f>
        <v/>
      </c>
      <c r="R10" s="75">
        <f>$C10*INDEX(Curves!$P$8:$P$68,R$4-$B10+1)</f>
        <v/>
      </c>
      <c r="S10" s="75">
        <f>$C10*INDEX(Curves!$P$8:$P$68,S$4-$B10+1)</f>
        <v/>
      </c>
      <c r="T10" s="75">
        <f>$C10*INDEX(Curves!$P$8:$P$68,T$4-$B10+1)</f>
        <v/>
      </c>
      <c r="U10" s="75">
        <f>$C10*INDEX(Curves!$P$8:$P$68,U$4-$B10+1)</f>
        <v/>
      </c>
      <c r="V10" s="75">
        <f>$C10*INDEX(Curves!$P$8:$P$68,V$4-$B10+1)</f>
        <v/>
      </c>
      <c r="W10" s="75">
        <f>$C10*INDEX(Curves!$P$8:$P$68,W$4-$B10+1)</f>
        <v/>
      </c>
      <c r="X10" s="75">
        <f>$C10*INDEX(Curves!$P$8:$P$68,X$4-$B10+1)</f>
        <v/>
      </c>
      <c r="Y10" s="75">
        <f>$C10*INDEX(Curves!$P$8:$P$68,Y$4-$B10+1)</f>
        <v/>
      </c>
      <c r="Z10" s="75">
        <f>$C10*INDEX(Curves!$P$8:$P$68,Z$4-$B10+1)</f>
        <v/>
      </c>
      <c r="AA10" s="75">
        <f>$C10*INDEX(Curves!$P$8:$P$68,AA$4-$B10+1)</f>
        <v/>
      </c>
      <c r="AB10" s="75">
        <f>$C10*INDEX(Curves!$P$8:$P$68,AB$4-$B10+1)</f>
        <v/>
      </c>
      <c r="AC10" s="75">
        <f>$C10*INDEX(Curves!$P$8:$P$68,AC$4-$B10+1)</f>
        <v/>
      </c>
      <c r="AD10" s="75">
        <f>$C10*INDEX(Curves!$P$8:$P$68,AD$4-$B10+1)</f>
        <v/>
      </c>
      <c r="AE10" s="75">
        <f>$C10*INDEX(Curves!$P$8:$P$68,AE$4-$B10+1)</f>
        <v/>
      </c>
      <c r="AF10" s="75">
        <f>$C10*INDEX(Curves!$P$8:$P$68,AF$4-$B10+1)</f>
        <v/>
      </c>
      <c r="AG10" s="75">
        <f>$C10*INDEX(Curves!$P$8:$P$68,AG$4-$B10+1)</f>
        <v/>
      </c>
      <c r="AH10" s="75">
        <f>$C10*INDEX(Curves!$P$8:$P$68,AH$4-$B10+1)</f>
        <v/>
      </c>
      <c r="AI10" s="75">
        <f>$C10*INDEX(Curves!$P$8:$P$68,AI$4-$B10+1)</f>
        <v/>
      </c>
      <c r="AJ10" s="75">
        <f>$C10*INDEX(Curves!$P$8:$P$68,AJ$4-$B10+1)</f>
        <v/>
      </c>
      <c r="AK10" s="75">
        <f>$C10*INDEX(Curves!$P$8:$P$68,AK$4-$B10+1)</f>
        <v/>
      </c>
      <c r="AL10" s="75">
        <f>$C10*INDEX(Curves!$P$8:$P$68,AL$4-$B10+1)</f>
        <v/>
      </c>
      <c r="AM10" s="75">
        <f>$C10*INDEX(Curves!$P$8:$P$68,AM$4-$B10+1)</f>
        <v/>
      </c>
      <c r="AN10" s="75">
        <f>$C10*INDEX(Curves!$P$8:$P$68,AN$4-$B10+1)</f>
        <v/>
      </c>
      <c r="AO10" s="75">
        <f>$C10*INDEX(Curves!$P$8:$P$68,AO$4-$B10+1)</f>
        <v/>
      </c>
      <c r="AP10" s="75">
        <f>$C10*INDEX(Curves!$P$8:$P$68,AP$4-$B10+1)</f>
        <v/>
      </c>
      <c r="AQ10" s="75">
        <f>$C10*INDEX(Curves!$P$8:$P$68,AQ$4-$B10+1)</f>
        <v/>
      </c>
      <c r="AR10" s="75">
        <f>$C10*INDEX(Curves!$P$8:$P$68,AR$4-$B10+1)</f>
        <v/>
      </c>
      <c r="AS10" s="75">
        <f>$C10*INDEX(Curves!$P$8:$P$68,AS$4-$B10+1)</f>
        <v/>
      </c>
      <c r="AT10" s="75">
        <f>$C10*INDEX(Curves!$P$8:$P$68,AT$4-$B10+1)</f>
        <v/>
      </c>
      <c r="AU10" s="75">
        <f>$C10*INDEX(Curves!$P$8:$P$68,AU$4-$B10+1)</f>
        <v/>
      </c>
      <c r="AV10" s="75">
        <f>$C10*INDEX(Curves!$P$8:$P$68,AV$4-$B10+1)</f>
        <v/>
      </c>
      <c r="AW10" s="75">
        <f>$C10*INDEX(Curves!$P$8:$P$68,AW$4-$B10+1)</f>
        <v/>
      </c>
      <c r="AX10" s="75">
        <f>$C10*INDEX(Curves!$P$8:$P$68,AX$4-$B10+1)</f>
        <v/>
      </c>
      <c r="AY10" s="75">
        <f>$C10*INDEX(Curves!$P$8:$P$68,AY$4-$B10+1)</f>
        <v/>
      </c>
      <c r="AZ10" s="75">
        <f>$C10*INDEX(Curves!$P$8:$P$68,AZ$4-$B10+1)</f>
        <v/>
      </c>
      <c r="BA10" s="75">
        <f>$C10*INDEX(Curves!$P$8:$P$68,BA$4-$B10+1)</f>
        <v/>
      </c>
      <c r="BB10" s="75">
        <f>$C10*INDEX(Curves!$P$8:$P$68,BB$4-$B10+1)</f>
        <v/>
      </c>
      <c r="BC10" s="75">
        <f>$C10*INDEX(Curves!$P$8:$P$68,BC$4-$B10+1)</f>
        <v/>
      </c>
      <c r="BD10" s="75">
        <f>$C10*INDEX(Curves!$P$8:$P$68,BD$4-$B10+1)</f>
        <v/>
      </c>
      <c r="BE10" s="75">
        <f>$C10*INDEX(Curves!$P$8:$P$68,BE$4-$B10+1)</f>
        <v/>
      </c>
      <c r="BF10" s="75">
        <f>$C10*INDEX(Curves!$P$8:$P$68,BF$4-$B10+1)</f>
        <v/>
      </c>
      <c r="BG10" s="75">
        <f>$C10*INDEX(Curves!$P$8:$P$68,BG$4-$B10+1)</f>
        <v/>
      </c>
      <c r="BH10" s="75">
        <f>$C10*INDEX(Curves!$P$8:$P$68,BH$4-$B10+1)</f>
        <v/>
      </c>
      <c r="BI10" s="75">
        <f>$C10*INDEX(Curves!$P$8:$P$68,BI$4-$B10+1)</f>
        <v/>
      </c>
      <c r="BJ10" s="75">
        <f>$C10*INDEX(Curves!$P$8:$P$68,BJ$4-$B10+1)</f>
        <v/>
      </c>
      <c r="BK10" s="75">
        <f>$C10*INDEX(Curves!$P$8:$P$68,BK$4-$B10+1)</f>
        <v/>
      </c>
      <c r="BL10" s="75">
        <f>$C10*INDEX(Curves!$P$8:$P$68,BL$4-$B10+1)</f>
        <v/>
      </c>
    </row>
    <row r="11">
      <c r="A11" s="74" t="inlineStr">
        <is>
          <t>Cohort month 2</t>
        </is>
      </c>
      <c r="B11" s="74" t="n">
        <v>2</v>
      </c>
      <c r="C11" s="17">
        <f>INDEX(Ops!$E$35:$BL$35,1,$B11)</f>
        <v/>
      </c>
      <c r="G11" s="75">
        <f>$C11*INDEX(Curves!$P$8:$P$68,G$4-$B11+1)</f>
        <v/>
      </c>
      <c r="H11" s="75">
        <f>$C11*INDEX(Curves!$P$8:$P$68,H$4-$B11+1)</f>
        <v/>
      </c>
      <c r="I11" s="75">
        <f>$C11*INDEX(Curves!$P$8:$P$68,I$4-$B11+1)</f>
        <v/>
      </c>
      <c r="J11" s="75">
        <f>$C11*INDEX(Curves!$P$8:$P$68,J$4-$B11+1)</f>
        <v/>
      </c>
      <c r="K11" s="75">
        <f>$C11*INDEX(Curves!$P$8:$P$68,K$4-$B11+1)</f>
        <v/>
      </c>
      <c r="L11" s="75">
        <f>$C11*INDEX(Curves!$P$8:$P$68,L$4-$B11+1)</f>
        <v/>
      </c>
      <c r="M11" s="75">
        <f>$C11*INDEX(Curves!$P$8:$P$68,M$4-$B11+1)</f>
        <v/>
      </c>
      <c r="N11" s="75">
        <f>$C11*INDEX(Curves!$P$8:$P$68,N$4-$B11+1)</f>
        <v/>
      </c>
      <c r="O11" s="75">
        <f>$C11*INDEX(Curves!$P$8:$P$68,O$4-$B11+1)</f>
        <v/>
      </c>
      <c r="P11" s="75">
        <f>$C11*INDEX(Curves!$P$8:$P$68,P$4-$B11+1)</f>
        <v/>
      </c>
      <c r="Q11" s="75">
        <f>$C11*INDEX(Curves!$P$8:$P$68,Q$4-$B11+1)</f>
        <v/>
      </c>
      <c r="R11" s="75">
        <f>$C11*INDEX(Curves!$P$8:$P$68,R$4-$B11+1)</f>
        <v/>
      </c>
      <c r="S11" s="75">
        <f>$C11*INDEX(Curves!$P$8:$P$68,S$4-$B11+1)</f>
        <v/>
      </c>
      <c r="T11" s="75">
        <f>$C11*INDEX(Curves!$P$8:$P$68,T$4-$B11+1)</f>
        <v/>
      </c>
      <c r="U11" s="75">
        <f>$C11*INDEX(Curves!$P$8:$P$68,U$4-$B11+1)</f>
        <v/>
      </c>
      <c r="V11" s="75">
        <f>$C11*INDEX(Curves!$P$8:$P$68,V$4-$B11+1)</f>
        <v/>
      </c>
      <c r="W11" s="75">
        <f>$C11*INDEX(Curves!$P$8:$P$68,W$4-$B11+1)</f>
        <v/>
      </c>
      <c r="X11" s="75">
        <f>$C11*INDEX(Curves!$P$8:$P$68,X$4-$B11+1)</f>
        <v/>
      </c>
      <c r="Y11" s="75">
        <f>$C11*INDEX(Curves!$P$8:$P$68,Y$4-$B11+1)</f>
        <v/>
      </c>
      <c r="Z11" s="75">
        <f>$C11*INDEX(Curves!$P$8:$P$68,Z$4-$B11+1)</f>
        <v/>
      </c>
      <c r="AA11" s="75">
        <f>$C11*INDEX(Curves!$P$8:$P$68,AA$4-$B11+1)</f>
        <v/>
      </c>
      <c r="AB11" s="75">
        <f>$C11*INDEX(Curves!$P$8:$P$68,AB$4-$B11+1)</f>
        <v/>
      </c>
      <c r="AC11" s="75">
        <f>$C11*INDEX(Curves!$P$8:$P$68,AC$4-$B11+1)</f>
        <v/>
      </c>
      <c r="AD11" s="75">
        <f>$C11*INDEX(Curves!$P$8:$P$68,AD$4-$B11+1)</f>
        <v/>
      </c>
      <c r="AE11" s="75">
        <f>$C11*INDEX(Curves!$P$8:$P$68,AE$4-$B11+1)</f>
        <v/>
      </c>
      <c r="AF11" s="75">
        <f>$C11*INDEX(Curves!$P$8:$P$68,AF$4-$B11+1)</f>
        <v/>
      </c>
      <c r="AG11" s="75">
        <f>$C11*INDEX(Curves!$P$8:$P$68,AG$4-$B11+1)</f>
        <v/>
      </c>
      <c r="AH11" s="75">
        <f>$C11*INDEX(Curves!$P$8:$P$68,AH$4-$B11+1)</f>
        <v/>
      </c>
      <c r="AI11" s="75">
        <f>$C11*INDEX(Curves!$P$8:$P$68,AI$4-$B11+1)</f>
        <v/>
      </c>
      <c r="AJ11" s="75">
        <f>$C11*INDEX(Curves!$P$8:$P$68,AJ$4-$B11+1)</f>
        <v/>
      </c>
      <c r="AK11" s="75">
        <f>$C11*INDEX(Curves!$P$8:$P$68,AK$4-$B11+1)</f>
        <v/>
      </c>
      <c r="AL11" s="75">
        <f>$C11*INDEX(Curves!$P$8:$P$68,AL$4-$B11+1)</f>
        <v/>
      </c>
      <c r="AM11" s="75">
        <f>$C11*INDEX(Curves!$P$8:$P$68,AM$4-$B11+1)</f>
        <v/>
      </c>
      <c r="AN11" s="75">
        <f>$C11*INDEX(Curves!$P$8:$P$68,AN$4-$B11+1)</f>
        <v/>
      </c>
      <c r="AO11" s="75">
        <f>$C11*INDEX(Curves!$P$8:$P$68,AO$4-$B11+1)</f>
        <v/>
      </c>
      <c r="AP11" s="75">
        <f>$C11*INDEX(Curves!$P$8:$P$68,AP$4-$B11+1)</f>
        <v/>
      </c>
      <c r="AQ11" s="75">
        <f>$C11*INDEX(Curves!$P$8:$P$68,AQ$4-$B11+1)</f>
        <v/>
      </c>
      <c r="AR11" s="75">
        <f>$C11*INDEX(Curves!$P$8:$P$68,AR$4-$B11+1)</f>
        <v/>
      </c>
      <c r="AS11" s="75">
        <f>$C11*INDEX(Curves!$P$8:$P$68,AS$4-$B11+1)</f>
        <v/>
      </c>
      <c r="AT11" s="75">
        <f>$C11*INDEX(Curves!$P$8:$P$68,AT$4-$B11+1)</f>
        <v/>
      </c>
      <c r="AU11" s="75">
        <f>$C11*INDEX(Curves!$P$8:$P$68,AU$4-$B11+1)</f>
        <v/>
      </c>
      <c r="AV11" s="75">
        <f>$C11*INDEX(Curves!$P$8:$P$68,AV$4-$B11+1)</f>
        <v/>
      </c>
      <c r="AW11" s="75">
        <f>$C11*INDEX(Curves!$P$8:$P$68,AW$4-$B11+1)</f>
        <v/>
      </c>
      <c r="AX11" s="75">
        <f>$C11*INDEX(Curves!$P$8:$P$68,AX$4-$B11+1)</f>
        <v/>
      </c>
      <c r="AY11" s="75">
        <f>$C11*INDEX(Curves!$P$8:$P$68,AY$4-$B11+1)</f>
        <v/>
      </c>
      <c r="AZ11" s="75">
        <f>$C11*INDEX(Curves!$P$8:$P$68,AZ$4-$B11+1)</f>
        <v/>
      </c>
      <c r="BA11" s="75">
        <f>$C11*INDEX(Curves!$P$8:$P$68,BA$4-$B11+1)</f>
        <v/>
      </c>
      <c r="BB11" s="75">
        <f>$C11*INDEX(Curves!$P$8:$P$68,BB$4-$B11+1)</f>
        <v/>
      </c>
      <c r="BC11" s="75">
        <f>$C11*INDEX(Curves!$P$8:$P$68,BC$4-$B11+1)</f>
        <v/>
      </c>
      <c r="BD11" s="75">
        <f>$C11*INDEX(Curves!$P$8:$P$68,BD$4-$B11+1)</f>
        <v/>
      </c>
      <c r="BE11" s="75">
        <f>$C11*INDEX(Curves!$P$8:$P$68,BE$4-$B11+1)</f>
        <v/>
      </c>
      <c r="BF11" s="75">
        <f>$C11*INDEX(Curves!$P$8:$P$68,BF$4-$B11+1)</f>
        <v/>
      </c>
      <c r="BG11" s="75">
        <f>$C11*INDEX(Curves!$P$8:$P$68,BG$4-$B11+1)</f>
        <v/>
      </c>
      <c r="BH11" s="75">
        <f>$C11*INDEX(Curves!$P$8:$P$68,BH$4-$B11+1)</f>
        <v/>
      </c>
      <c r="BI11" s="75">
        <f>$C11*INDEX(Curves!$P$8:$P$68,BI$4-$B11+1)</f>
        <v/>
      </c>
      <c r="BJ11" s="75">
        <f>$C11*INDEX(Curves!$P$8:$P$68,BJ$4-$B11+1)</f>
        <v/>
      </c>
      <c r="BK11" s="75">
        <f>$C11*INDEX(Curves!$P$8:$P$68,BK$4-$B11+1)</f>
        <v/>
      </c>
      <c r="BL11" s="75">
        <f>$C11*INDEX(Curves!$P$8:$P$68,BL$4-$B11+1)</f>
        <v/>
      </c>
    </row>
    <row r="12">
      <c r="A12" s="74" t="inlineStr">
        <is>
          <t>Cohort month 3</t>
        </is>
      </c>
      <c r="B12" s="74" t="n">
        <v>3</v>
      </c>
      <c r="C12" s="17">
        <f>INDEX(Ops!$E$35:$BL$35,1,$B12)</f>
        <v/>
      </c>
      <c r="H12" s="75">
        <f>$C12*INDEX(Curves!$P$8:$P$68,H$4-$B12+1)</f>
        <v/>
      </c>
      <c r="I12" s="75">
        <f>$C12*INDEX(Curves!$P$8:$P$68,I$4-$B12+1)</f>
        <v/>
      </c>
      <c r="J12" s="75">
        <f>$C12*INDEX(Curves!$P$8:$P$68,J$4-$B12+1)</f>
        <v/>
      </c>
      <c r="K12" s="75">
        <f>$C12*INDEX(Curves!$P$8:$P$68,K$4-$B12+1)</f>
        <v/>
      </c>
      <c r="L12" s="75">
        <f>$C12*INDEX(Curves!$P$8:$P$68,L$4-$B12+1)</f>
        <v/>
      </c>
      <c r="M12" s="75">
        <f>$C12*INDEX(Curves!$P$8:$P$68,M$4-$B12+1)</f>
        <v/>
      </c>
      <c r="N12" s="75">
        <f>$C12*INDEX(Curves!$P$8:$P$68,N$4-$B12+1)</f>
        <v/>
      </c>
      <c r="O12" s="75">
        <f>$C12*INDEX(Curves!$P$8:$P$68,O$4-$B12+1)</f>
        <v/>
      </c>
      <c r="P12" s="75">
        <f>$C12*INDEX(Curves!$P$8:$P$68,P$4-$B12+1)</f>
        <v/>
      </c>
      <c r="Q12" s="75">
        <f>$C12*INDEX(Curves!$P$8:$P$68,Q$4-$B12+1)</f>
        <v/>
      </c>
      <c r="R12" s="75">
        <f>$C12*INDEX(Curves!$P$8:$P$68,R$4-$B12+1)</f>
        <v/>
      </c>
      <c r="S12" s="75">
        <f>$C12*INDEX(Curves!$P$8:$P$68,S$4-$B12+1)</f>
        <v/>
      </c>
      <c r="T12" s="75">
        <f>$C12*INDEX(Curves!$P$8:$P$68,T$4-$B12+1)</f>
        <v/>
      </c>
      <c r="U12" s="75">
        <f>$C12*INDEX(Curves!$P$8:$P$68,U$4-$B12+1)</f>
        <v/>
      </c>
      <c r="V12" s="75">
        <f>$C12*INDEX(Curves!$P$8:$P$68,V$4-$B12+1)</f>
        <v/>
      </c>
      <c r="W12" s="75">
        <f>$C12*INDEX(Curves!$P$8:$P$68,W$4-$B12+1)</f>
        <v/>
      </c>
      <c r="X12" s="75">
        <f>$C12*INDEX(Curves!$P$8:$P$68,X$4-$B12+1)</f>
        <v/>
      </c>
      <c r="Y12" s="75">
        <f>$C12*INDEX(Curves!$P$8:$P$68,Y$4-$B12+1)</f>
        <v/>
      </c>
      <c r="Z12" s="75">
        <f>$C12*INDEX(Curves!$P$8:$P$68,Z$4-$B12+1)</f>
        <v/>
      </c>
      <c r="AA12" s="75">
        <f>$C12*INDEX(Curves!$P$8:$P$68,AA$4-$B12+1)</f>
        <v/>
      </c>
      <c r="AB12" s="75">
        <f>$C12*INDEX(Curves!$P$8:$P$68,AB$4-$B12+1)</f>
        <v/>
      </c>
      <c r="AC12" s="75">
        <f>$C12*INDEX(Curves!$P$8:$P$68,AC$4-$B12+1)</f>
        <v/>
      </c>
      <c r="AD12" s="75">
        <f>$C12*INDEX(Curves!$P$8:$P$68,AD$4-$B12+1)</f>
        <v/>
      </c>
      <c r="AE12" s="75">
        <f>$C12*INDEX(Curves!$P$8:$P$68,AE$4-$B12+1)</f>
        <v/>
      </c>
      <c r="AF12" s="75">
        <f>$C12*INDEX(Curves!$P$8:$P$68,AF$4-$B12+1)</f>
        <v/>
      </c>
      <c r="AG12" s="75">
        <f>$C12*INDEX(Curves!$P$8:$P$68,AG$4-$B12+1)</f>
        <v/>
      </c>
      <c r="AH12" s="75">
        <f>$C12*INDEX(Curves!$P$8:$P$68,AH$4-$B12+1)</f>
        <v/>
      </c>
      <c r="AI12" s="75">
        <f>$C12*INDEX(Curves!$P$8:$P$68,AI$4-$B12+1)</f>
        <v/>
      </c>
      <c r="AJ12" s="75">
        <f>$C12*INDEX(Curves!$P$8:$P$68,AJ$4-$B12+1)</f>
        <v/>
      </c>
      <c r="AK12" s="75">
        <f>$C12*INDEX(Curves!$P$8:$P$68,AK$4-$B12+1)</f>
        <v/>
      </c>
      <c r="AL12" s="75">
        <f>$C12*INDEX(Curves!$P$8:$P$68,AL$4-$B12+1)</f>
        <v/>
      </c>
      <c r="AM12" s="75">
        <f>$C12*INDEX(Curves!$P$8:$P$68,AM$4-$B12+1)</f>
        <v/>
      </c>
      <c r="AN12" s="75">
        <f>$C12*INDEX(Curves!$P$8:$P$68,AN$4-$B12+1)</f>
        <v/>
      </c>
      <c r="AO12" s="75">
        <f>$C12*INDEX(Curves!$P$8:$P$68,AO$4-$B12+1)</f>
        <v/>
      </c>
      <c r="AP12" s="75">
        <f>$C12*INDEX(Curves!$P$8:$P$68,AP$4-$B12+1)</f>
        <v/>
      </c>
      <c r="AQ12" s="75">
        <f>$C12*INDEX(Curves!$P$8:$P$68,AQ$4-$B12+1)</f>
        <v/>
      </c>
      <c r="AR12" s="75">
        <f>$C12*INDEX(Curves!$P$8:$P$68,AR$4-$B12+1)</f>
        <v/>
      </c>
      <c r="AS12" s="75">
        <f>$C12*INDEX(Curves!$P$8:$P$68,AS$4-$B12+1)</f>
        <v/>
      </c>
      <c r="AT12" s="75">
        <f>$C12*INDEX(Curves!$P$8:$P$68,AT$4-$B12+1)</f>
        <v/>
      </c>
      <c r="AU12" s="75">
        <f>$C12*INDEX(Curves!$P$8:$P$68,AU$4-$B12+1)</f>
        <v/>
      </c>
      <c r="AV12" s="75">
        <f>$C12*INDEX(Curves!$P$8:$P$68,AV$4-$B12+1)</f>
        <v/>
      </c>
      <c r="AW12" s="75">
        <f>$C12*INDEX(Curves!$P$8:$P$68,AW$4-$B12+1)</f>
        <v/>
      </c>
      <c r="AX12" s="75">
        <f>$C12*INDEX(Curves!$P$8:$P$68,AX$4-$B12+1)</f>
        <v/>
      </c>
      <c r="AY12" s="75">
        <f>$C12*INDEX(Curves!$P$8:$P$68,AY$4-$B12+1)</f>
        <v/>
      </c>
      <c r="AZ12" s="75">
        <f>$C12*INDEX(Curves!$P$8:$P$68,AZ$4-$B12+1)</f>
        <v/>
      </c>
      <c r="BA12" s="75">
        <f>$C12*INDEX(Curves!$P$8:$P$68,BA$4-$B12+1)</f>
        <v/>
      </c>
      <c r="BB12" s="75">
        <f>$C12*INDEX(Curves!$P$8:$P$68,BB$4-$B12+1)</f>
        <v/>
      </c>
      <c r="BC12" s="75">
        <f>$C12*INDEX(Curves!$P$8:$P$68,BC$4-$B12+1)</f>
        <v/>
      </c>
      <c r="BD12" s="75">
        <f>$C12*INDEX(Curves!$P$8:$P$68,BD$4-$B12+1)</f>
        <v/>
      </c>
      <c r="BE12" s="75">
        <f>$C12*INDEX(Curves!$P$8:$P$68,BE$4-$B12+1)</f>
        <v/>
      </c>
      <c r="BF12" s="75">
        <f>$C12*INDEX(Curves!$P$8:$P$68,BF$4-$B12+1)</f>
        <v/>
      </c>
      <c r="BG12" s="75">
        <f>$C12*INDEX(Curves!$P$8:$P$68,BG$4-$B12+1)</f>
        <v/>
      </c>
      <c r="BH12" s="75">
        <f>$C12*INDEX(Curves!$P$8:$P$68,BH$4-$B12+1)</f>
        <v/>
      </c>
      <c r="BI12" s="75">
        <f>$C12*INDEX(Curves!$P$8:$P$68,BI$4-$B12+1)</f>
        <v/>
      </c>
      <c r="BJ12" s="75">
        <f>$C12*INDEX(Curves!$P$8:$P$68,BJ$4-$B12+1)</f>
        <v/>
      </c>
      <c r="BK12" s="75">
        <f>$C12*INDEX(Curves!$P$8:$P$68,BK$4-$B12+1)</f>
        <v/>
      </c>
      <c r="BL12" s="75">
        <f>$C12*INDEX(Curves!$P$8:$P$68,BL$4-$B12+1)</f>
        <v/>
      </c>
    </row>
    <row r="13">
      <c r="A13" s="74" t="inlineStr">
        <is>
          <t>Cohort month 4</t>
        </is>
      </c>
      <c r="B13" s="74" t="n">
        <v>4</v>
      </c>
      <c r="C13" s="17">
        <f>INDEX(Ops!$E$35:$BL$35,1,$B13)</f>
        <v/>
      </c>
      <c r="I13" s="75">
        <f>$C13*INDEX(Curves!$P$8:$P$68,I$4-$B13+1)</f>
        <v/>
      </c>
      <c r="J13" s="75">
        <f>$C13*INDEX(Curves!$P$8:$P$68,J$4-$B13+1)</f>
        <v/>
      </c>
      <c r="K13" s="75">
        <f>$C13*INDEX(Curves!$P$8:$P$68,K$4-$B13+1)</f>
        <v/>
      </c>
      <c r="L13" s="75">
        <f>$C13*INDEX(Curves!$P$8:$P$68,L$4-$B13+1)</f>
        <v/>
      </c>
      <c r="M13" s="75">
        <f>$C13*INDEX(Curves!$P$8:$P$68,M$4-$B13+1)</f>
        <v/>
      </c>
      <c r="N13" s="75">
        <f>$C13*INDEX(Curves!$P$8:$P$68,N$4-$B13+1)</f>
        <v/>
      </c>
      <c r="O13" s="75">
        <f>$C13*INDEX(Curves!$P$8:$P$68,O$4-$B13+1)</f>
        <v/>
      </c>
      <c r="P13" s="75">
        <f>$C13*INDEX(Curves!$P$8:$P$68,P$4-$B13+1)</f>
        <v/>
      </c>
      <c r="Q13" s="75">
        <f>$C13*INDEX(Curves!$P$8:$P$68,Q$4-$B13+1)</f>
        <v/>
      </c>
      <c r="R13" s="75">
        <f>$C13*INDEX(Curves!$P$8:$P$68,R$4-$B13+1)</f>
        <v/>
      </c>
      <c r="S13" s="75">
        <f>$C13*INDEX(Curves!$P$8:$P$68,S$4-$B13+1)</f>
        <v/>
      </c>
      <c r="T13" s="75">
        <f>$C13*INDEX(Curves!$P$8:$P$68,T$4-$B13+1)</f>
        <v/>
      </c>
      <c r="U13" s="75">
        <f>$C13*INDEX(Curves!$P$8:$P$68,U$4-$B13+1)</f>
        <v/>
      </c>
      <c r="V13" s="75">
        <f>$C13*INDEX(Curves!$P$8:$P$68,V$4-$B13+1)</f>
        <v/>
      </c>
      <c r="W13" s="75">
        <f>$C13*INDEX(Curves!$P$8:$P$68,W$4-$B13+1)</f>
        <v/>
      </c>
      <c r="X13" s="75">
        <f>$C13*INDEX(Curves!$P$8:$P$68,X$4-$B13+1)</f>
        <v/>
      </c>
      <c r="Y13" s="75">
        <f>$C13*INDEX(Curves!$P$8:$P$68,Y$4-$B13+1)</f>
        <v/>
      </c>
      <c r="Z13" s="75">
        <f>$C13*INDEX(Curves!$P$8:$P$68,Z$4-$B13+1)</f>
        <v/>
      </c>
      <c r="AA13" s="75">
        <f>$C13*INDEX(Curves!$P$8:$P$68,AA$4-$B13+1)</f>
        <v/>
      </c>
      <c r="AB13" s="75">
        <f>$C13*INDEX(Curves!$P$8:$P$68,AB$4-$B13+1)</f>
        <v/>
      </c>
      <c r="AC13" s="75">
        <f>$C13*INDEX(Curves!$P$8:$P$68,AC$4-$B13+1)</f>
        <v/>
      </c>
      <c r="AD13" s="75">
        <f>$C13*INDEX(Curves!$P$8:$P$68,AD$4-$B13+1)</f>
        <v/>
      </c>
      <c r="AE13" s="75">
        <f>$C13*INDEX(Curves!$P$8:$P$68,AE$4-$B13+1)</f>
        <v/>
      </c>
      <c r="AF13" s="75">
        <f>$C13*INDEX(Curves!$P$8:$P$68,AF$4-$B13+1)</f>
        <v/>
      </c>
      <c r="AG13" s="75">
        <f>$C13*INDEX(Curves!$P$8:$P$68,AG$4-$B13+1)</f>
        <v/>
      </c>
      <c r="AH13" s="75">
        <f>$C13*INDEX(Curves!$P$8:$P$68,AH$4-$B13+1)</f>
        <v/>
      </c>
      <c r="AI13" s="75">
        <f>$C13*INDEX(Curves!$P$8:$P$68,AI$4-$B13+1)</f>
        <v/>
      </c>
      <c r="AJ13" s="75">
        <f>$C13*INDEX(Curves!$P$8:$P$68,AJ$4-$B13+1)</f>
        <v/>
      </c>
      <c r="AK13" s="75">
        <f>$C13*INDEX(Curves!$P$8:$P$68,AK$4-$B13+1)</f>
        <v/>
      </c>
      <c r="AL13" s="75">
        <f>$C13*INDEX(Curves!$P$8:$P$68,AL$4-$B13+1)</f>
        <v/>
      </c>
      <c r="AM13" s="75">
        <f>$C13*INDEX(Curves!$P$8:$P$68,AM$4-$B13+1)</f>
        <v/>
      </c>
      <c r="AN13" s="75">
        <f>$C13*INDEX(Curves!$P$8:$P$68,AN$4-$B13+1)</f>
        <v/>
      </c>
      <c r="AO13" s="75">
        <f>$C13*INDEX(Curves!$P$8:$P$68,AO$4-$B13+1)</f>
        <v/>
      </c>
      <c r="AP13" s="75">
        <f>$C13*INDEX(Curves!$P$8:$P$68,AP$4-$B13+1)</f>
        <v/>
      </c>
      <c r="AQ13" s="75">
        <f>$C13*INDEX(Curves!$P$8:$P$68,AQ$4-$B13+1)</f>
        <v/>
      </c>
      <c r="AR13" s="75">
        <f>$C13*INDEX(Curves!$P$8:$P$68,AR$4-$B13+1)</f>
        <v/>
      </c>
      <c r="AS13" s="75">
        <f>$C13*INDEX(Curves!$P$8:$P$68,AS$4-$B13+1)</f>
        <v/>
      </c>
      <c r="AT13" s="75">
        <f>$C13*INDEX(Curves!$P$8:$P$68,AT$4-$B13+1)</f>
        <v/>
      </c>
      <c r="AU13" s="75">
        <f>$C13*INDEX(Curves!$P$8:$P$68,AU$4-$B13+1)</f>
        <v/>
      </c>
      <c r="AV13" s="75">
        <f>$C13*INDEX(Curves!$P$8:$P$68,AV$4-$B13+1)</f>
        <v/>
      </c>
      <c r="AW13" s="75">
        <f>$C13*INDEX(Curves!$P$8:$P$68,AW$4-$B13+1)</f>
        <v/>
      </c>
      <c r="AX13" s="75">
        <f>$C13*INDEX(Curves!$P$8:$P$68,AX$4-$B13+1)</f>
        <v/>
      </c>
      <c r="AY13" s="75">
        <f>$C13*INDEX(Curves!$P$8:$P$68,AY$4-$B13+1)</f>
        <v/>
      </c>
      <c r="AZ13" s="75">
        <f>$C13*INDEX(Curves!$P$8:$P$68,AZ$4-$B13+1)</f>
        <v/>
      </c>
      <c r="BA13" s="75">
        <f>$C13*INDEX(Curves!$P$8:$P$68,BA$4-$B13+1)</f>
        <v/>
      </c>
      <c r="BB13" s="75">
        <f>$C13*INDEX(Curves!$P$8:$P$68,BB$4-$B13+1)</f>
        <v/>
      </c>
      <c r="BC13" s="75">
        <f>$C13*INDEX(Curves!$P$8:$P$68,BC$4-$B13+1)</f>
        <v/>
      </c>
      <c r="BD13" s="75">
        <f>$C13*INDEX(Curves!$P$8:$P$68,BD$4-$B13+1)</f>
        <v/>
      </c>
      <c r="BE13" s="75">
        <f>$C13*INDEX(Curves!$P$8:$P$68,BE$4-$B13+1)</f>
        <v/>
      </c>
      <c r="BF13" s="75">
        <f>$C13*INDEX(Curves!$P$8:$P$68,BF$4-$B13+1)</f>
        <v/>
      </c>
      <c r="BG13" s="75">
        <f>$C13*INDEX(Curves!$P$8:$P$68,BG$4-$B13+1)</f>
        <v/>
      </c>
      <c r="BH13" s="75">
        <f>$C13*INDEX(Curves!$P$8:$P$68,BH$4-$B13+1)</f>
        <v/>
      </c>
      <c r="BI13" s="75">
        <f>$C13*INDEX(Curves!$P$8:$P$68,BI$4-$B13+1)</f>
        <v/>
      </c>
      <c r="BJ13" s="75">
        <f>$C13*INDEX(Curves!$P$8:$P$68,BJ$4-$B13+1)</f>
        <v/>
      </c>
      <c r="BK13" s="75">
        <f>$C13*INDEX(Curves!$P$8:$P$68,BK$4-$B13+1)</f>
        <v/>
      </c>
      <c r="BL13" s="75">
        <f>$C13*INDEX(Curves!$P$8:$P$68,BL$4-$B13+1)</f>
        <v/>
      </c>
    </row>
    <row r="14">
      <c r="A14" s="74" t="inlineStr">
        <is>
          <t>Cohort month 5</t>
        </is>
      </c>
      <c r="B14" s="74" t="n">
        <v>5</v>
      </c>
      <c r="C14" s="17">
        <f>INDEX(Ops!$E$35:$BL$35,1,$B14)</f>
        <v/>
      </c>
      <c r="J14" s="75">
        <f>$C14*INDEX(Curves!$P$8:$P$68,J$4-$B14+1)</f>
        <v/>
      </c>
      <c r="K14" s="75">
        <f>$C14*INDEX(Curves!$P$8:$P$68,K$4-$B14+1)</f>
        <v/>
      </c>
      <c r="L14" s="75">
        <f>$C14*INDEX(Curves!$P$8:$P$68,L$4-$B14+1)</f>
        <v/>
      </c>
      <c r="M14" s="75">
        <f>$C14*INDEX(Curves!$P$8:$P$68,M$4-$B14+1)</f>
        <v/>
      </c>
      <c r="N14" s="75">
        <f>$C14*INDEX(Curves!$P$8:$P$68,N$4-$B14+1)</f>
        <v/>
      </c>
      <c r="O14" s="75">
        <f>$C14*INDEX(Curves!$P$8:$P$68,O$4-$B14+1)</f>
        <v/>
      </c>
      <c r="P14" s="75">
        <f>$C14*INDEX(Curves!$P$8:$P$68,P$4-$B14+1)</f>
        <v/>
      </c>
      <c r="Q14" s="75">
        <f>$C14*INDEX(Curves!$P$8:$P$68,Q$4-$B14+1)</f>
        <v/>
      </c>
      <c r="R14" s="75">
        <f>$C14*INDEX(Curves!$P$8:$P$68,R$4-$B14+1)</f>
        <v/>
      </c>
      <c r="S14" s="75">
        <f>$C14*INDEX(Curves!$P$8:$P$68,S$4-$B14+1)</f>
        <v/>
      </c>
      <c r="T14" s="75">
        <f>$C14*INDEX(Curves!$P$8:$P$68,T$4-$B14+1)</f>
        <v/>
      </c>
      <c r="U14" s="75">
        <f>$C14*INDEX(Curves!$P$8:$P$68,U$4-$B14+1)</f>
        <v/>
      </c>
      <c r="V14" s="75">
        <f>$C14*INDEX(Curves!$P$8:$P$68,V$4-$B14+1)</f>
        <v/>
      </c>
      <c r="W14" s="75">
        <f>$C14*INDEX(Curves!$P$8:$P$68,W$4-$B14+1)</f>
        <v/>
      </c>
      <c r="X14" s="75">
        <f>$C14*INDEX(Curves!$P$8:$P$68,X$4-$B14+1)</f>
        <v/>
      </c>
      <c r="Y14" s="75">
        <f>$C14*INDEX(Curves!$P$8:$P$68,Y$4-$B14+1)</f>
        <v/>
      </c>
      <c r="Z14" s="75">
        <f>$C14*INDEX(Curves!$P$8:$P$68,Z$4-$B14+1)</f>
        <v/>
      </c>
      <c r="AA14" s="75">
        <f>$C14*INDEX(Curves!$P$8:$P$68,AA$4-$B14+1)</f>
        <v/>
      </c>
      <c r="AB14" s="75">
        <f>$C14*INDEX(Curves!$P$8:$P$68,AB$4-$B14+1)</f>
        <v/>
      </c>
      <c r="AC14" s="75">
        <f>$C14*INDEX(Curves!$P$8:$P$68,AC$4-$B14+1)</f>
        <v/>
      </c>
      <c r="AD14" s="75">
        <f>$C14*INDEX(Curves!$P$8:$P$68,AD$4-$B14+1)</f>
        <v/>
      </c>
      <c r="AE14" s="75">
        <f>$C14*INDEX(Curves!$P$8:$P$68,AE$4-$B14+1)</f>
        <v/>
      </c>
      <c r="AF14" s="75">
        <f>$C14*INDEX(Curves!$P$8:$P$68,AF$4-$B14+1)</f>
        <v/>
      </c>
      <c r="AG14" s="75">
        <f>$C14*INDEX(Curves!$P$8:$P$68,AG$4-$B14+1)</f>
        <v/>
      </c>
      <c r="AH14" s="75">
        <f>$C14*INDEX(Curves!$P$8:$P$68,AH$4-$B14+1)</f>
        <v/>
      </c>
      <c r="AI14" s="75">
        <f>$C14*INDEX(Curves!$P$8:$P$68,AI$4-$B14+1)</f>
        <v/>
      </c>
      <c r="AJ14" s="75">
        <f>$C14*INDEX(Curves!$P$8:$P$68,AJ$4-$B14+1)</f>
        <v/>
      </c>
      <c r="AK14" s="75">
        <f>$C14*INDEX(Curves!$P$8:$P$68,AK$4-$B14+1)</f>
        <v/>
      </c>
      <c r="AL14" s="75">
        <f>$C14*INDEX(Curves!$P$8:$P$68,AL$4-$B14+1)</f>
        <v/>
      </c>
      <c r="AM14" s="75">
        <f>$C14*INDEX(Curves!$P$8:$P$68,AM$4-$B14+1)</f>
        <v/>
      </c>
      <c r="AN14" s="75">
        <f>$C14*INDEX(Curves!$P$8:$P$68,AN$4-$B14+1)</f>
        <v/>
      </c>
      <c r="AO14" s="75">
        <f>$C14*INDEX(Curves!$P$8:$P$68,AO$4-$B14+1)</f>
        <v/>
      </c>
      <c r="AP14" s="75">
        <f>$C14*INDEX(Curves!$P$8:$P$68,AP$4-$B14+1)</f>
        <v/>
      </c>
      <c r="AQ14" s="75">
        <f>$C14*INDEX(Curves!$P$8:$P$68,AQ$4-$B14+1)</f>
        <v/>
      </c>
      <c r="AR14" s="75">
        <f>$C14*INDEX(Curves!$P$8:$P$68,AR$4-$B14+1)</f>
        <v/>
      </c>
      <c r="AS14" s="75">
        <f>$C14*INDEX(Curves!$P$8:$P$68,AS$4-$B14+1)</f>
        <v/>
      </c>
      <c r="AT14" s="75">
        <f>$C14*INDEX(Curves!$P$8:$P$68,AT$4-$B14+1)</f>
        <v/>
      </c>
      <c r="AU14" s="75">
        <f>$C14*INDEX(Curves!$P$8:$P$68,AU$4-$B14+1)</f>
        <v/>
      </c>
      <c r="AV14" s="75">
        <f>$C14*INDEX(Curves!$P$8:$P$68,AV$4-$B14+1)</f>
        <v/>
      </c>
      <c r="AW14" s="75">
        <f>$C14*INDEX(Curves!$P$8:$P$68,AW$4-$B14+1)</f>
        <v/>
      </c>
      <c r="AX14" s="75">
        <f>$C14*INDEX(Curves!$P$8:$P$68,AX$4-$B14+1)</f>
        <v/>
      </c>
      <c r="AY14" s="75">
        <f>$C14*INDEX(Curves!$P$8:$P$68,AY$4-$B14+1)</f>
        <v/>
      </c>
      <c r="AZ14" s="75">
        <f>$C14*INDEX(Curves!$P$8:$P$68,AZ$4-$B14+1)</f>
        <v/>
      </c>
      <c r="BA14" s="75">
        <f>$C14*INDEX(Curves!$P$8:$P$68,BA$4-$B14+1)</f>
        <v/>
      </c>
      <c r="BB14" s="75">
        <f>$C14*INDEX(Curves!$P$8:$P$68,BB$4-$B14+1)</f>
        <v/>
      </c>
      <c r="BC14" s="75">
        <f>$C14*INDEX(Curves!$P$8:$P$68,BC$4-$B14+1)</f>
        <v/>
      </c>
      <c r="BD14" s="75">
        <f>$C14*INDEX(Curves!$P$8:$P$68,BD$4-$B14+1)</f>
        <v/>
      </c>
      <c r="BE14" s="75">
        <f>$C14*INDEX(Curves!$P$8:$P$68,BE$4-$B14+1)</f>
        <v/>
      </c>
      <c r="BF14" s="75">
        <f>$C14*INDEX(Curves!$P$8:$P$68,BF$4-$B14+1)</f>
        <v/>
      </c>
      <c r="BG14" s="75">
        <f>$C14*INDEX(Curves!$P$8:$P$68,BG$4-$B14+1)</f>
        <v/>
      </c>
      <c r="BH14" s="75">
        <f>$C14*INDEX(Curves!$P$8:$P$68,BH$4-$B14+1)</f>
        <v/>
      </c>
      <c r="BI14" s="75">
        <f>$C14*INDEX(Curves!$P$8:$P$68,BI$4-$B14+1)</f>
        <v/>
      </c>
      <c r="BJ14" s="75">
        <f>$C14*INDEX(Curves!$P$8:$P$68,BJ$4-$B14+1)</f>
        <v/>
      </c>
      <c r="BK14" s="75">
        <f>$C14*INDEX(Curves!$P$8:$P$68,BK$4-$B14+1)</f>
        <v/>
      </c>
      <c r="BL14" s="75">
        <f>$C14*INDEX(Curves!$P$8:$P$68,BL$4-$B14+1)</f>
        <v/>
      </c>
    </row>
    <row r="15">
      <c r="A15" s="74" t="inlineStr">
        <is>
          <t>Cohort month 6</t>
        </is>
      </c>
      <c r="B15" s="74" t="n">
        <v>6</v>
      </c>
      <c r="C15" s="17">
        <f>INDEX(Ops!$E$35:$BL$35,1,$B15)</f>
        <v/>
      </c>
      <c r="K15" s="75">
        <f>$C15*INDEX(Curves!$P$8:$P$68,K$4-$B15+1)</f>
        <v/>
      </c>
      <c r="L15" s="75">
        <f>$C15*INDEX(Curves!$P$8:$P$68,L$4-$B15+1)</f>
        <v/>
      </c>
      <c r="M15" s="75">
        <f>$C15*INDEX(Curves!$P$8:$P$68,M$4-$B15+1)</f>
        <v/>
      </c>
      <c r="N15" s="75">
        <f>$C15*INDEX(Curves!$P$8:$P$68,N$4-$B15+1)</f>
        <v/>
      </c>
      <c r="O15" s="75">
        <f>$C15*INDEX(Curves!$P$8:$P$68,O$4-$B15+1)</f>
        <v/>
      </c>
      <c r="P15" s="75">
        <f>$C15*INDEX(Curves!$P$8:$P$68,P$4-$B15+1)</f>
        <v/>
      </c>
      <c r="Q15" s="75">
        <f>$C15*INDEX(Curves!$P$8:$P$68,Q$4-$B15+1)</f>
        <v/>
      </c>
      <c r="R15" s="75">
        <f>$C15*INDEX(Curves!$P$8:$P$68,R$4-$B15+1)</f>
        <v/>
      </c>
      <c r="S15" s="75">
        <f>$C15*INDEX(Curves!$P$8:$P$68,S$4-$B15+1)</f>
        <v/>
      </c>
      <c r="T15" s="75">
        <f>$C15*INDEX(Curves!$P$8:$P$68,T$4-$B15+1)</f>
        <v/>
      </c>
      <c r="U15" s="75">
        <f>$C15*INDEX(Curves!$P$8:$P$68,U$4-$B15+1)</f>
        <v/>
      </c>
      <c r="V15" s="75">
        <f>$C15*INDEX(Curves!$P$8:$P$68,V$4-$B15+1)</f>
        <v/>
      </c>
      <c r="W15" s="75">
        <f>$C15*INDEX(Curves!$P$8:$P$68,W$4-$B15+1)</f>
        <v/>
      </c>
      <c r="X15" s="75">
        <f>$C15*INDEX(Curves!$P$8:$P$68,X$4-$B15+1)</f>
        <v/>
      </c>
      <c r="Y15" s="75">
        <f>$C15*INDEX(Curves!$P$8:$P$68,Y$4-$B15+1)</f>
        <v/>
      </c>
      <c r="Z15" s="75">
        <f>$C15*INDEX(Curves!$P$8:$P$68,Z$4-$B15+1)</f>
        <v/>
      </c>
      <c r="AA15" s="75">
        <f>$C15*INDEX(Curves!$P$8:$P$68,AA$4-$B15+1)</f>
        <v/>
      </c>
      <c r="AB15" s="75">
        <f>$C15*INDEX(Curves!$P$8:$P$68,AB$4-$B15+1)</f>
        <v/>
      </c>
      <c r="AC15" s="75">
        <f>$C15*INDEX(Curves!$P$8:$P$68,AC$4-$B15+1)</f>
        <v/>
      </c>
      <c r="AD15" s="75">
        <f>$C15*INDEX(Curves!$P$8:$P$68,AD$4-$B15+1)</f>
        <v/>
      </c>
      <c r="AE15" s="75">
        <f>$C15*INDEX(Curves!$P$8:$P$68,AE$4-$B15+1)</f>
        <v/>
      </c>
      <c r="AF15" s="75">
        <f>$C15*INDEX(Curves!$P$8:$P$68,AF$4-$B15+1)</f>
        <v/>
      </c>
      <c r="AG15" s="75">
        <f>$C15*INDEX(Curves!$P$8:$P$68,AG$4-$B15+1)</f>
        <v/>
      </c>
      <c r="AH15" s="75">
        <f>$C15*INDEX(Curves!$P$8:$P$68,AH$4-$B15+1)</f>
        <v/>
      </c>
      <c r="AI15" s="75">
        <f>$C15*INDEX(Curves!$P$8:$P$68,AI$4-$B15+1)</f>
        <v/>
      </c>
      <c r="AJ15" s="75">
        <f>$C15*INDEX(Curves!$P$8:$P$68,AJ$4-$B15+1)</f>
        <v/>
      </c>
      <c r="AK15" s="75">
        <f>$C15*INDEX(Curves!$P$8:$P$68,AK$4-$B15+1)</f>
        <v/>
      </c>
      <c r="AL15" s="75">
        <f>$C15*INDEX(Curves!$P$8:$P$68,AL$4-$B15+1)</f>
        <v/>
      </c>
      <c r="AM15" s="75">
        <f>$C15*INDEX(Curves!$P$8:$P$68,AM$4-$B15+1)</f>
        <v/>
      </c>
      <c r="AN15" s="75">
        <f>$C15*INDEX(Curves!$P$8:$P$68,AN$4-$B15+1)</f>
        <v/>
      </c>
      <c r="AO15" s="75">
        <f>$C15*INDEX(Curves!$P$8:$P$68,AO$4-$B15+1)</f>
        <v/>
      </c>
      <c r="AP15" s="75">
        <f>$C15*INDEX(Curves!$P$8:$P$68,AP$4-$B15+1)</f>
        <v/>
      </c>
      <c r="AQ15" s="75">
        <f>$C15*INDEX(Curves!$P$8:$P$68,AQ$4-$B15+1)</f>
        <v/>
      </c>
      <c r="AR15" s="75">
        <f>$C15*INDEX(Curves!$P$8:$P$68,AR$4-$B15+1)</f>
        <v/>
      </c>
      <c r="AS15" s="75">
        <f>$C15*INDEX(Curves!$P$8:$P$68,AS$4-$B15+1)</f>
        <v/>
      </c>
      <c r="AT15" s="75">
        <f>$C15*INDEX(Curves!$P$8:$P$68,AT$4-$B15+1)</f>
        <v/>
      </c>
      <c r="AU15" s="75">
        <f>$C15*INDEX(Curves!$P$8:$P$68,AU$4-$B15+1)</f>
        <v/>
      </c>
      <c r="AV15" s="75">
        <f>$C15*INDEX(Curves!$P$8:$P$68,AV$4-$B15+1)</f>
        <v/>
      </c>
      <c r="AW15" s="75">
        <f>$C15*INDEX(Curves!$P$8:$P$68,AW$4-$B15+1)</f>
        <v/>
      </c>
      <c r="AX15" s="75">
        <f>$C15*INDEX(Curves!$P$8:$P$68,AX$4-$B15+1)</f>
        <v/>
      </c>
      <c r="AY15" s="75">
        <f>$C15*INDEX(Curves!$P$8:$P$68,AY$4-$B15+1)</f>
        <v/>
      </c>
      <c r="AZ15" s="75">
        <f>$C15*INDEX(Curves!$P$8:$P$68,AZ$4-$B15+1)</f>
        <v/>
      </c>
      <c r="BA15" s="75">
        <f>$C15*INDEX(Curves!$P$8:$P$68,BA$4-$B15+1)</f>
        <v/>
      </c>
      <c r="BB15" s="75">
        <f>$C15*INDEX(Curves!$P$8:$P$68,BB$4-$B15+1)</f>
        <v/>
      </c>
      <c r="BC15" s="75">
        <f>$C15*INDEX(Curves!$P$8:$P$68,BC$4-$B15+1)</f>
        <v/>
      </c>
      <c r="BD15" s="75">
        <f>$C15*INDEX(Curves!$P$8:$P$68,BD$4-$B15+1)</f>
        <v/>
      </c>
      <c r="BE15" s="75">
        <f>$C15*INDEX(Curves!$P$8:$P$68,BE$4-$B15+1)</f>
        <v/>
      </c>
      <c r="BF15" s="75">
        <f>$C15*INDEX(Curves!$P$8:$P$68,BF$4-$B15+1)</f>
        <v/>
      </c>
      <c r="BG15" s="75">
        <f>$C15*INDEX(Curves!$P$8:$P$68,BG$4-$B15+1)</f>
        <v/>
      </c>
      <c r="BH15" s="75">
        <f>$C15*INDEX(Curves!$P$8:$P$68,BH$4-$B15+1)</f>
        <v/>
      </c>
      <c r="BI15" s="75">
        <f>$C15*INDEX(Curves!$P$8:$P$68,BI$4-$B15+1)</f>
        <v/>
      </c>
      <c r="BJ15" s="75">
        <f>$C15*INDEX(Curves!$P$8:$P$68,BJ$4-$B15+1)</f>
        <v/>
      </c>
      <c r="BK15" s="75">
        <f>$C15*INDEX(Curves!$P$8:$P$68,BK$4-$B15+1)</f>
        <v/>
      </c>
      <c r="BL15" s="75">
        <f>$C15*INDEX(Curves!$P$8:$P$68,BL$4-$B15+1)</f>
        <v/>
      </c>
    </row>
    <row r="16">
      <c r="A16" s="74" t="inlineStr">
        <is>
          <t>Cohort month 7</t>
        </is>
      </c>
      <c r="B16" s="74" t="n">
        <v>7</v>
      </c>
      <c r="C16" s="17">
        <f>INDEX(Ops!$E$35:$BL$35,1,$B16)</f>
        <v/>
      </c>
      <c r="L16" s="75">
        <f>$C16*INDEX(Curves!$P$8:$P$68,L$4-$B16+1)</f>
        <v/>
      </c>
      <c r="M16" s="75">
        <f>$C16*INDEX(Curves!$P$8:$P$68,M$4-$B16+1)</f>
        <v/>
      </c>
      <c r="N16" s="75">
        <f>$C16*INDEX(Curves!$P$8:$P$68,N$4-$B16+1)</f>
        <v/>
      </c>
      <c r="O16" s="75">
        <f>$C16*INDEX(Curves!$P$8:$P$68,O$4-$B16+1)</f>
        <v/>
      </c>
      <c r="P16" s="75">
        <f>$C16*INDEX(Curves!$P$8:$P$68,P$4-$B16+1)</f>
        <v/>
      </c>
      <c r="Q16" s="75">
        <f>$C16*INDEX(Curves!$P$8:$P$68,Q$4-$B16+1)</f>
        <v/>
      </c>
      <c r="R16" s="75">
        <f>$C16*INDEX(Curves!$P$8:$P$68,R$4-$B16+1)</f>
        <v/>
      </c>
      <c r="S16" s="75">
        <f>$C16*INDEX(Curves!$P$8:$P$68,S$4-$B16+1)</f>
        <v/>
      </c>
      <c r="T16" s="75">
        <f>$C16*INDEX(Curves!$P$8:$P$68,T$4-$B16+1)</f>
        <v/>
      </c>
      <c r="U16" s="75">
        <f>$C16*INDEX(Curves!$P$8:$P$68,U$4-$B16+1)</f>
        <v/>
      </c>
      <c r="V16" s="75">
        <f>$C16*INDEX(Curves!$P$8:$P$68,V$4-$B16+1)</f>
        <v/>
      </c>
      <c r="W16" s="75">
        <f>$C16*INDEX(Curves!$P$8:$P$68,W$4-$B16+1)</f>
        <v/>
      </c>
      <c r="X16" s="75">
        <f>$C16*INDEX(Curves!$P$8:$P$68,X$4-$B16+1)</f>
        <v/>
      </c>
      <c r="Y16" s="75">
        <f>$C16*INDEX(Curves!$P$8:$P$68,Y$4-$B16+1)</f>
        <v/>
      </c>
      <c r="Z16" s="75">
        <f>$C16*INDEX(Curves!$P$8:$P$68,Z$4-$B16+1)</f>
        <v/>
      </c>
      <c r="AA16" s="75">
        <f>$C16*INDEX(Curves!$P$8:$P$68,AA$4-$B16+1)</f>
        <v/>
      </c>
      <c r="AB16" s="75">
        <f>$C16*INDEX(Curves!$P$8:$P$68,AB$4-$B16+1)</f>
        <v/>
      </c>
      <c r="AC16" s="75">
        <f>$C16*INDEX(Curves!$P$8:$P$68,AC$4-$B16+1)</f>
        <v/>
      </c>
      <c r="AD16" s="75">
        <f>$C16*INDEX(Curves!$P$8:$P$68,AD$4-$B16+1)</f>
        <v/>
      </c>
      <c r="AE16" s="75">
        <f>$C16*INDEX(Curves!$P$8:$P$68,AE$4-$B16+1)</f>
        <v/>
      </c>
      <c r="AF16" s="75">
        <f>$C16*INDEX(Curves!$P$8:$P$68,AF$4-$B16+1)</f>
        <v/>
      </c>
      <c r="AG16" s="75">
        <f>$C16*INDEX(Curves!$P$8:$P$68,AG$4-$B16+1)</f>
        <v/>
      </c>
      <c r="AH16" s="75">
        <f>$C16*INDEX(Curves!$P$8:$P$68,AH$4-$B16+1)</f>
        <v/>
      </c>
      <c r="AI16" s="75">
        <f>$C16*INDEX(Curves!$P$8:$P$68,AI$4-$B16+1)</f>
        <v/>
      </c>
      <c r="AJ16" s="75">
        <f>$C16*INDEX(Curves!$P$8:$P$68,AJ$4-$B16+1)</f>
        <v/>
      </c>
      <c r="AK16" s="75">
        <f>$C16*INDEX(Curves!$P$8:$P$68,AK$4-$B16+1)</f>
        <v/>
      </c>
      <c r="AL16" s="75">
        <f>$C16*INDEX(Curves!$P$8:$P$68,AL$4-$B16+1)</f>
        <v/>
      </c>
      <c r="AM16" s="75">
        <f>$C16*INDEX(Curves!$P$8:$P$68,AM$4-$B16+1)</f>
        <v/>
      </c>
      <c r="AN16" s="75">
        <f>$C16*INDEX(Curves!$P$8:$P$68,AN$4-$B16+1)</f>
        <v/>
      </c>
      <c r="AO16" s="75">
        <f>$C16*INDEX(Curves!$P$8:$P$68,AO$4-$B16+1)</f>
        <v/>
      </c>
      <c r="AP16" s="75">
        <f>$C16*INDEX(Curves!$P$8:$P$68,AP$4-$B16+1)</f>
        <v/>
      </c>
      <c r="AQ16" s="75">
        <f>$C16*INDEX(Curves!$P$8:$P$68,AQ$4-$B16+1)</f>
        <v/>
      </c>
      <c r="AR16" s="75">
        <f>$C16*INDEX(Curves!$P$8:$P$68,AR$4-$B16+1)</f>
        <v/>
      </c>
      <c r="AS16" s="75">
        <f>$C16*INDEX(Curves!$P$8:$P$68,AS$4-$B16+1)</f>
        <v/>
      </c>
      <c r="AT16" s="75">
        <f>$C16*INDEX(Curves!$P$8:$P$68,AT$4-$B16+1)</f>
        <v/>
      </c>
      <c r="AU16" s="75">
        <f>$C16*INDEX(Curves!$P$8:$P$68,AU$4-$B16+1)</f>
        <v/>
      </c>
      <c r="AV16" s="75">
        <f>$C16*INDEX(Curves!$P$8:$P$68,AV$4-$B16+1)</f>
        <v/>
      </c>
      <c r="AW16" s="75">
        <f>$C16*INDEX(Curves!$P$8:$P$68,AW$4-$B16+1)</f>
        <v/>
      </c>
      <c r="AX16" s="75">
        <f>$C16*INDEX(Curves!$P$8:$P$68,AX$4-$B16+1)</f>
        <v/>
      </c>
      <c r="AY16" s="75">
        <f>$C16*INDEX(Curves!$P$8:$P$68,AY$4-$B16+1)</f>
        <v/>
      </c>
      <c r="AZ16" s="75">
        <f>$C16*INDEX(Curves!$P$8:$P$68,AZ$4-$B16+1)</f>
        <v/>
      </c>
      <c r="BA16" s="75">
        <f>$C16*INDEX(Curves!$P$8:$P$68,BA$4-$B16+1)</f>
        <v/>
      </c>
      <c r="BB16" s="75">
        <f>$C16*INDEX(Curves!$P$8:$P$68,BB$4-$B16+1)</f>
        <v/>
      </c>
      <c r="BC16" s="75">
        <f>$C16*INDEX(Curves!$P$8:$P$68,BC$4-$B16+1)</f>
        <v/>
      </c>
      <c r="BD16" s="75">
        <f>$C16*INDEX(Curves!$P$8:$P$68,BD$4-$B16+1)</f>
        <v/>
      </c>
      <c r="BE16" s="75">
        <f>$C16*INDEX(Curves!$P$8:$P$68,BE$4-$B16+1)</f>
        <v/>
      </c>
      <c r="BF16" s="75">
        <f>$C16*INDEX(Curves!$P$8:$P$68,BF$4-$B16+1)</f>
        <v/>
      </c>
      <c r="BG16" s="75">
        <f>$C16*INDEX(Curves!$P$8:$P$68,BG$4-$B16+1)</f>
        <v/>
      </c>
      <c r="BH16" s="75">
        <f>$C16*INDEX(Curves!$P$8:$P$68,BH$4-$B16+1)</f>
        <v/>
      </c>
      <c r="BI16" s="75">
        <f>$C16*INDEX(Curves!$P$8:$P$68,BI$4-$B16+1)</f>
        <v/>
      </c>
      <c r="BJ16" s="75">
        <f>$C16*INDEX(Curves!$P$8:$P$68,BJ$4-$B16+1)</f>
        <v/>
      </c>
      <c r="BK16" s="75">
        <f>$C16*INDEX(Curves!$P$8:$P$68,BK$4-$B16+1)</f>
        <v/>
      </c>
      <c r="BL16" s="75">
        <f>$C16*INDEX(Curves!$P$8:$P$68,BL$4-$B16+1)</f>
        <v/>
      </c>
    </row>
    <row r="17">
      <c r="A17" s="74" t="inlineStr">
        <is>
          <t>Cohort month 8</t>
        </is>
      </c>
      <c r="B17" s="74" t="n">
        <v>8</v>
      </c>
      <c r="C17" s="17">
        <f>INDEX(Ops!$E$35:$BL$35,1,$B17)</f>
        <v/>
      </c>
      <c r="M17" s="75">
        <f>$C17*INDEX(Curves!$P$8:$P$68,M$4-$B17+1)</f>
        <v/>
      </c>
      <c r="N17" s="75">
        <f>$C17*INDEX(Curves!$P$8:$P$68,N$4-$B17+1)</f>
        <v/>
      </c>
      <c r="O17" s="75">
        <f>$C17*INDEX(Curves!$P$8:$P$68,O$4-$B17+1)</f>
        <v/>
      </c>
      <c r="P17" s="75">
        <f>$C17*INDEX(Curves!$P$8:$P$68,P$4-$B17+1)</f>
        <v/>
      </c>
      <c r="Q17" s="75">
        <f>$C17*INDEX(Curves!$P$8:$P$68,Q$4-$B17+1)</f>
        <v/>
      </c>
      <c r="R17" s="75">
        <f>$C17*INDEX(Curves!$P$8:$P$68,R$4-$B17+1)</f>
        <v/>
      </c>
      <c r="S17" s="75">
        <f>$C17*INDEX(Curves!$P$8:$P$68,S$4-$B17+1)</f>
        <v/>
      </c>
      <c r="T17" s="75">
        <f>$C17*INDEX(Curves!$P$8:$P$68,T$4-$B17+1)</f>
        <v/>
      </c>
      <c r="U17" s="75">
        <f>$C17*INDEX(Curves!$P$8:$P$68,U$4-$B17+1)</f>
        <v/>
      </c>
      <c r="V17" s="75">
        <f>$C17*INDEX(Curves!$P$8:$P$68,V$4-$B17+1)</f>
        <v/>
      </c>
      <c r="W17" s="75">
        <f>$C17*INDEX(Curves!$P$8:$P$68,W$4-$B17+1)</f>
        <v/>
      </c>
      <c r="X17" s="75">
        <f>$C17*INDEX(Curves!$P$8:$P$68,X$4-$B17+1)</f>
        <v/>
      </c>
      <c r="Y17" s="75">
        <f>$C17*INDEX(Curves!$P$8:$P$68,Y$4-$B17+1)</f>
        <v/>
      </c>
      <c r="Z17" s="75">
        <f>$C17*INDEX(Curves!$P$8:$P$68,Z$4-$B17+1)</f>
        <v/>
      </c>
      <c r="AA17" s="75">
        <f>$C17*INDEX(Curves!$P$8:$P$68,AA$4-$B17+1)</f>
        <v/>
      </c>
      <c r="AB17" s="75">
        <f>$C17*INDEX(Curves!$P$8:$P$68,AB$4-$B17+1)</f>
        <v/>
      </c>
      <c r="AC17" s="75">
        <f>$C17*INDEX(Curves!$P$8:$P$68,AC$4-$B17+1)</f>
        <v/>
      </c>
      <c r="AD17" s="75">
        <f>$C17*INDEX(Curves!$P$8:$P$68,AD$4-$B17+1)</f>
        <v/>
      </c>
      <c r="AE17" s="75">
        <f>$C17*INDEX(Curves!$P$8:$P$68,AE$4-$B17+1)</f>
        <v/>
      </c>
      <c r="AF17" s="75">
        <f>$C17*INDEX(Curves!$P$8:$P$68,AF$4-$B17+1)</f>
        <v/>
      </c>
      <c r="AG17" s="75">
        <f>$C17*INDEX(Curves!$P$8:$P$68,AG$4-$B17+1)</f>
        <v/>
      </c>
      <c r="AH17" s="75">
        <f>$C17*INDEX(Curves!$P$8:$P$68,AH$4-$B17+1)</f>
        <v/>
      </c>
      <c r="AI17" s="75">
        <f>$C17*INDEX(Curves!$P$8:$P$68,AI$4-$B17+1)</f>
        <v/>
      </c>
      <c r="AJ17" s="75">
        <f>$C17*INDEX(Curves!$P$8:$P$68,AJ$4-$B17+1)</f>
        <v/>
      </c>
      <c r="AK17" s="75">
        <f>$C17*INDEX(Curves!$P$8:$P$68,AK$4-$B17+1)</f>
        <v/>
      </c>
      <c r="AL17" s="75">
        <f>$C17*INDEX(Curves!$P$8:$P$68,AL$4-$B17+1)</f>
        <v/>
      </c>
      <c r="AM17" s="75">
        <f>$C17*INDEX(Curves!$P$8:$P$68,AM$4-$B17+1)</f>
        <v/>
      </c>
      <c r="AN17" s="75">
        <f>$C17*INDEX(Curves!$P$8:$P$68,AN$4-$B17+1)</f>
        <v/>
      </c>
      <c r="AO17" s="75">
        <f>$C17*INDEX(Curves!$P$8:$P$68,AO$4-$B17+1)</f>
        <v/>
      </c>
      <c r="AP17" s="75">
        <f>$C17*INDEX(Curves!$P$8:$P$68,AP$4-$B17+1)</f>
        <v/>
      </c>
      <c r="AQ17" s="75">
        <f>$C17*INDEX(Curves!$P$8:$P$68,AQ$4-$B17+1)</f>
        <v/>
      </c>
      <c r="AR17" s="75">
        <f>$C17*INDEX(Curves!$P$8:$P$68,AR$4-$B17+1)</f>
        <v/>
      </c>
      <c r="AS17" s="75">
        <f>$C17*INDEX(Curves!$P$8:$P$68,AS$4-$B17+1)</f>
        <v/>
      </c>
      <c r="AT17" s="75">
        <f>$C17*INDEX(Curves!$P$8:$P$68,AT$4-$B17+1)</f>
        <v/>
      </c>
      <c r="AU17" s="75">
        <f>$C17*INDEX(Curves!$P$8:$P$68,AU$4-$B17+1)</f>
        <v/>
      </c>
      <c r="AV17" s="75">
        <f>$C17*INDEX(Curves!$P$8:$P$68,AV$4-$B17+1)</f>
        <v/>
      </c>
      <c r="AW17" s="75">
        <f>$C17*INDEX(Curves!$P$8:$P$68,AW$4-$B17+1)</f>
        <v/>
      </c>
      <c r="AX17" s="75">
        <f>$C17*INDEX(Curves!$P$8:$P$68,AX$4-$B17+1)</f>
        <v/>
      </c>
      <c r="AY17" s="75">
        <f>$C17*INDEX(Curves!$P$8:$P$68,AY$4-$B17+1)</f>
        <v/>
      </c>
      <c r="AZ17" s="75">
        <f>$C17*INDEX(Curves!$P$8:$P$68,AZ$4-$B17+1)</f>
        <v/>
      </c>
      <c r="BA17" s="75">
        <f>$C17*INDEX(Curves!$P$8:$P$68,BA$4-$B17+1)</f>
        <v/>
      </c>
      <c r="BB17" s="75">
        <f>$C17*INDEX(Curves!$P$8:$P$68,BB$4-$B17+1)</f>
        <v/>
      </c>
      <c r="BC17" s="75">
        <f>$C17*INDEX(Curves!$P$8:$P$68,BC$4-$B17+1)</f>
        <v/>
      </c>
      <c r="BD17" s="75">
        <f>$C17*INDEX(Curves!$P$8:$P$68,BD$4-$B17+1)</f>
        <v/>
      </c>
      <c r="BE17" s="75">
        <f>$C17*INDEX(Curves!$P$8:$P$68,BE$4-$B17+1)</f>
        <v/>
      </c>
      <c r="BF17" s="75">
        <f>$C17*INDEX(Curves!$P$8:$P$68,BF$4-$B17+1)</f>
        <v/>
      </c>
      <c r="BG17" s="75">
        <f>$C17*INDEX(Curves!$P$8:$P$68,BG$4-$B17+1)</f>
        <v/>
      </c>
      <c r="BH17" s="75">
        <f>$C17*INDEX(Curves!$P$8:$P$68,BH$4-$B17+1)</f>
        <v/>
      </c>
      <c r="BI17" s="75">
        <f>$C17*INDEX(Curves!$P$8:$P$68,BI$4-$B17+1)</f>
        <v/>
      </c>
      <c r="BJ17" s="75">
        <f>$C17*INDEX(Curves!$P$8:$P$68,BJ$4-$B17+1)</f>
        <v/>
      </c>
      <c r="BK17" s="75">
        <f>$C17*INDEX(Curves!$P$8:$P$68,BK$4-$B17+1)</f>
        <v/>
      </c>
      <c r="BL17" s="75">
        <f>$C17*INDEX(Curves!$P$8:$P$68,BL$4-$B17+1)</f>
        <v/>
      </c>
    </row>
    <row r="18">
      <c r="A18" s="74" t="inlineStr">
        <is>
          <t>Cohort month 9</t>
        </is>
      </c>
      <c r="B18" s="74" t="n">
        <v>9</v>
      </c>
      <c r="C18" s="17">
        <f>INDEX(Ops!$E$35:$BL$35,1,$B18)</f>
        <v/>
      </c>
      <c r="N18" s="75">
        <f>$C18*INDEX(Curves!$P$8:$P$68,N$4-$B18+1)</f>
        <v/>
      </c>
      <c r="O18" s="75">
        <f>$C18*INDEX(Curves!$P$8:$P$68,O$4-$B18+1)</f>
        <v/>
      </c>
      <c r="P18" s="75">
        <f>$C18*INDEX(Curves!$P$8:$P$68,P$4-$B18+1)</f>
        <v/>
      </c>
      <c r="Q18" s="75">
        <f>$C18*INDEX(Curves!$P$8:$P$68,Q$4-$B18+1)</f>
        <v/>
      </c>
      <c r="R18" s="75">
        <f>$C18*INDEX(Curves!$P$8:$P$68,R$4-$B18+1)</f>
        <v/>
      </c>
      <c r="S18" s="75">
        <f>$C18*INDEX(Curves!$P$8:$P$68,S$4-$B18+1)</f>
        <v/>
      </c>
      <c r="T18" s="75">
        <f>$C18*INDEX(Curves!$P$8:$P$68,T$4-$B18+1)</f>
        <v/>
      </c>
      <c r="U18" s="75">
        <f>$C18*INDEX(Curves!$P$8:$P$68,U$4-$B18+1)</f>
        <v/>
      </c>
      <c r="V18" s="75">
        <f>$C18*INDEX(Curves!$P$8:$P$68,V$4-$B18+1)</f>
        <v/>
      </c>
      <c r="W18" s="75">
        <f>$C18*INDEX(Curves!$P$8:$P$68,W$4-$B18+1)</f>
        <v/>
      </c>
      <c r="X18" s="75">
        <f>$C18*INDEX(Curves!$P$8:$P$68,X$4-$B18+1)</f>
        <v/>
      </c>
      <c r="Y18" s="75">
        <f>$C18*INDEX(Curves!$P$8:$P$68,Y$4-$B18+1)</f>
        <v/>
      </c>
      <c r="Z18" s="75">
        <f>$C18*INDEX(Curves!$P$8:$P$68,Z$4-$B18+1)</f>
        <v/>
      </c>
      <c r="AA18" s="75">
        <f>$C18*INDEX(Curves!$P$8:$P$68,AA$4-$B18+1)</f>
        <v/>
      </c>
      <c r="AB18" s="75">
        <f>$C18*INDEX(Curves!$P$8:$P$68,AB$4-$B18+1)</f>
        <v/>
      </c>
      <c r="AC18" s="75">
        <f>$C18*INDEX(Curves!$P$8:$P$68,AC$4-$B18+1)</f>
        <v/>
      </c>
      <c r="AD18" s="75">
        <f>$C18*INDEX(Curves!$P$8:$P$68,AD$4-$B18+1)</f>
        <v/>
      </c>
      <c r="AE18" s="75">
        <f>$C18*INDEX(Curves!$P$8:$P$68,AE$4-$B18+1)</f>
        <v/>
      </c>
      <c r="AF18" s="75">
        <f>$C18*INDEX(Curves!$P$8:$P$68,AF$4-$B18+1)</f>
        <v/>
      </c>
      <c r="AG18" s="75">
        <f>$C18*INDEX(Curves!$P$8:$P$68,AG$4-$B18+1)</f>
        <v/>
      </c>
      <c r="AH18" s="75">
        <f>$C18*INDEX(Curves!$P$8:$P$68,AH$4-$B18+1)</f>
        <v/>
      </c>
      <c r="AI18" s="75">
        <f>$C18*INDEX(Curves!$P$8:$P$68,AI$4-$B18+1)</f>
        <v/>
      </c>
      <c r="AJ18" s="75">
        <f>$C18*INDEX(Curves!$P$8:$P$68,AJ$4-$B18+1)</f>
        <v/>
      </c>
      <c r="AK18" s="75">
        <f>$C18*INDEX(Curves!$P$8:$P$68,AK$4-$B18+1)</f>
        <v/>
      </c>
      <c r="AL18" s="75">
        <f>$C18*INDEX(Curves!$P$8:$P$68,AL$4-$B18+1)</f>
        <v/>
      </c>
      <c r="AM18" s="75">
        <f>$C18*INDEX(Curves!$P$8:$P$68,AM$4-$B18+1)</f>
        <v/>
      </c>
      <c r="AN18" s="75">
        <f>$C18*INDEX(Curves!$P$8:$P$68,AN$4-$B18+1)</f>
        <v/>
      </c>
      <c r="AO18" s="75">
        <f>$C18*INDEX(Curves!$P$8:$P$68,AO$4-$B18+1)</f>
        <v/>
      </c>
      <c r="AP18" s="75">
        <f>$C18*INDEX(Curves!$P$8:$P$68,AP$4-$B18+1)</f>
        <v/>
      </c>
      <c r="AQ18" s="75">
        <f>$C18*INDEX(Curves!$P$8:$P$68,AQ$4-$B18+1)</f>
        <v/>
      </c>
      <c r="AR18" s="75">
        <f>$C18*INDEX(Curves!$P$8:$P$68,AR$4-$B18+1)</f>
        <v/>
      </c>
      <c r="AS18" s="75">
        <f>$C18*INDEX(Curves!$P$8:$P$68,AS$4-$B18+1)</f>
        <v/>
      </c>
      <c r="AT18" s="75">
        <f>$C18*INDEX(Curves!$P$8:$P$68,AT$4-$B18+1)</f>
        <v/>
      </c>
      <c r="AU18" s="75">
        <f>$C18*INDEX(Curves!$P$8:$P$68,AU$4-$B18+1)</f>
        <v/>
      </c>
      <c r="AV18" s="75">
        <f>$C18*INDEX(Curves!$P$8:$P$68,AV$4-$B18+1)</f>
        <v/>
      </c>
      <c r="AW18" s="75">
        <f>$C18*INDEX(Curves!$P$8:$P$68,AW$4-$B18+1)</f>
        <v/>
      </c>
      <c r="AX18" s="75">
        <f>$C18*INDEX(Curves!$P$8:$P$68,AX$4-$B18+1)</f>
        <v/>
      </c>
      <c r="AY18" s="75">
        <f>$C18*INDEX(Curves!$P$8:$P$68,AY$4-$B18+1)</f>
        <v/>
      </c>
      <c r="AZ18" s="75">
        <f>$C18*INDEX(Curves!$P$8:$P$68,AZ$4-$B18+1)</f>
        <v/>
      </c>
      <c r="BA18" s="75">
        <f>$C18*INDEX(Curves!$P$8:$P$68,BA$4-$B18+1)</f>
        <v/>
      </c>
      <c r="BB18" s="75">
        <f>$C18*INDEX(Curves!$P$8:$P$68,BB$4-$B18+1)</f>
        <v/>
      </c>
      <c r="BC18" s="75">
        <f>$C18*INDEX(Curves!$P$8:$P$68,BC$4-$B18+1)</f>
        <v/>
      </c>
      <c r="BD18" s="75">
        <f>$C18*INDEX(Curves!$P$8:$P$68,BD$4-$B18+1)</f>
        <v/>
      </c>
      <c r="BE18" s="75">
        <f>$C18*INDEX(Curves!$P$8:$P$68,BE$4-$B18+1)</f>
        <v/>
      </c>
      <c r="BF18" s="75">
        <f>$C18*INDEX(Curves!$P$8:$P$68,BF$4-$B18+1)</f>
        <v/>
      </c>
      <c r="BG18" s="75">
        <f>$C18*INDEX(Curves!$P$8:$P$68,BG$4-$B18+1)</f>
        <v/>
      </c>
      <c r="BH18" s="75">
        <f>$C18*INDEX(Curves!$P$8:$P$68,BH$4-$B18+1)</f>
        <v/>
      </c>
      <c r="BI18" s="75">
        <f>$C18*INDEX(Curves!$P$8:$P$68,BI$4-$B18+1)</f>
        <v/>
      </c>
      <c r="BJ18" s="75">
        <f>$C18*INDEX(Curves!$P$8:$P$68,BJ$4-$B18+1)</f>
        <v/>
      </c>
      <c r="BK18" s="75">
        <f>$C18*INDEX(Curves!$P$8:$P$68,BK$4-$B18+1)</f>
        <v/>
      </c>
      <c r="BL18" s="75">
        <f>$C18*INDEX(Curves!$P$8:$P$68,BL$4-$B18+1)</f>
        <v/>
      </c>
    </row>
    <row r="19">
      <c r="A19" s="74" t="inlineStr">
        <is>
          <t>Cohort month 10</t>
        </is>
      </c>
      <c r="B19" s="74" t="n">
        <v>10</v>
      </c>
      <c r="C19" s="17">
        <f>INDEX(Ops!$E$35:$BL$35,1,$B19)</f>
        <v/>
      </c>
      <c r="O19" s="75">
        <f>$C19*INDEX(Curves!$P$8:$P$68,O$4-$B19+1)</f>
        <v/>
      </c>
      <c r="P19" s="75">
        <f>$C19*INDEX(Curves!$P$8:$P$68,P$4-$B19+1)</f>
        <v/>
      </c>
      <c r="Q19" s="75">
        <f>$C19*INDEX(Curves!$P$8:$P$68,Q$4-$B19+1)</f>
        <v/>
      </c>
      <c r="R19" s="75">
        <f>$C19*INDEX(Curves!$P$8:$P$68,R$4-$B19+1)</f>
        <v/>
      </c>
      <c r="S19" s="75">
        <f>$C19*INDEX(Curves!$P$8:$P$68,S$4-$B19+1)</f>
        <v/>
      </c>
      <c r="T19" s="75">
        <f>$C19*INDEX(Curves!$P$8:$P$68,T$4-$B19+1)</f>
        <v/>
      </c>
      <c r="U19" s="75">
        <f>$C19*INDEX(Curves!$P$8:$P$68,U$4-$B19+1)</f>
        <v/>
      </c>
      <c r="V19" s="75">
        <f>$C19*INDEX(Curves!$P$8:$P$68,V$4-$B19+1)</f>
        <v/>
      </c>
      <c r="W19" s="75">
        <f>$C19*INDEX(Curves!$P$8:$P$68,W$4-$B19+1)</f>
        <v/>
      </c>
      <c r="X19" s="75">
        <f>$C19*INDEX(Curves!$P$8:$P$68,X$4-$B19+1)</f>
        <v/>
      </c>
      <c r="Y19" s="75">
        <f>$C19*INDEX(Curves!$P$8:$P$68,Y$4-$B19+1)</f>
        <v/>
      </c>
      <c r="Z19" s="75">
        <f>$C19*INDEX(Curves!$P$8:$P$68,Z$4-$B19+1)</f>
        <v/>
      </c>
      <c r="AA19" s="75">
        <f>$C19*INDEX(Curves!$P$8:$P$68,AA$4-$B19+1)</f>
        <v/>
      </c>
      <c r="AB19" s="75">
        <f>$C19*INDEX(Curves!$P$8:$P$68,AB$4-$B19+1)</f>
        <v/>
      </c>
      <c r="AC19" s="75">
        <f>$C19*INDEX(Curves!$P$8:$P$68,AC$4-$B19+1)</f>
        <v/>
      </c>
      <c r="AD19" s="75">
        <f>$C19*INDEX(Curves!$P$8:$P$68,AD$4-$B19+1)</f>
        <v/>
      </c>
      <c r="AE19" s="75">
        <f>$C19*INDEX(Curves!$P$8:$P$68,AE$4-$B19+1)</f>
        <v/>
      </c>
      <c r="AF19" s="75">
        <f>$C19*INDEX(Curves!$P$8:$P$68,AF$4-$B19+1)</f>
        <v/>
      </c>
      <c r="AG19" s="75">
        <f>$C19*INDEX(Curves!$P$8:$P$68,AG$4-$B19+1)</f>
        <v/>
      </c>
      <c r="AH19" s="75">
        <f>$C19*INDEX(Curves!$P$8:$P$68,AH$4-$B19+1)</f>
        <v/>
      </c>
      <c r="AI19" s="75">
        <f>$C19*INDEX(Curves!$P$8:$P$68,AI$4-$B19+1)</f>
        <v/>
      </c>
      <c r="AJ19" s="75">
        <f>$C19*INDEX(Curves!$P$8:$P$68,AJ$4-$B19+1)</f>
        <v/>
      </c>
      <c r="AK19" s="75">
        <f>$C19*INDEX(Curves!$P$8:$P$68,AK$4-$B19+1)</f>
        <v/>
      </c>
      <c r="AL19" s="75">
        <f>$C19*INDEX(Curves!$P$8:$P$68,AL$4-$B19+1)</f>
        <v/>
      </c>
      <c r="AM19" s="75">
        <f>$C19*INDEX(Curves!$P$8:$P$68,AM$4-$B19+1)</f>
        <v/>
      </c>
      <c r="AN19" s="75">
        <f>$C19*INDEX(Curves!$P$8:$P$68,AN$4-$B19+1)</f>
        <v/>
      </c>
      <c r="AO19" s="75">
        <f>$C19*INDEX(Curves!$P$8:$P$68,AO$4-$B19+1)</f>
        <v/>
      </c>
      <c r="AP19" s="75">
        <f>$C19*INDEX(Curves!$P$8:$P$68,AP$4-$B19+1)</f>
        <v/>
      </c>
      <c r="AQ19" s="75">
        <f>$C19*INDEX(Curves!$P$8:$P$68,AQ$4-$B19+1)</f>
        <v/>
      </c>
      <c r="AR19" s="75">
        <f>$C19*INDEX(Curves!$P$8:$P$68,AR$4-$B19+1)</f>
        <v/>
      </c>
      <c r="AS19" s="75">
        <f>$C19*INDEX(Curves!$P$8:$P$68,AS$4-$B19+1)</f>
        <v/>
      </c>
      <c r="AT19" s="75">
        <f>$C19*INDEX(Curves!$P$8:$P$68,AT$4-$B19+1)</f>
        <v/>
      </c>
      <c r="AU19" s="75">
        <f>$C19*INDEX(Curves!$P$8:$P$68,AU$4-$B19+1)</f>
        <v/>
      </c>
      <c r="AV19" s="75">
        <f>$C19*INDEX(Curves!$P$8:$P$68,AV$4-$B19+1)</f>
        <v/>
      </c>
      <c r="AW19" s="75">
        <f>$C19*INDEX(Curves!$P$8:$P$68,AW$4-$B19+1)</f>
        <v/>
      </c>
      <c r="AX19" s="75">
        <f>$C19*INDEX(Curves!$P$8:$P$68,AX$4-$B19+1)</f>
        <v/>
      </c>
      <c r="AY19" s="75">
        <f>$C19*INDEX(Curves!$P$8:$P$68,AY$4-$B19+1)</f>
        <v/>
      </c>
      <c r="AZ19" s="75">
        <f>$C19*INDEX(Curves!$P$8:$P$68,AZ$4-$B19+1)</f>
        <v/>
      </c>
      <c r="BA19" s="75">
        <f>$C19*INDEX(Curves!$P$8:$P$68,BA$4-$B19+1)</f>
        <v/>
      </c>
      <c r="BB19" s="75">
        <f>$C19*INDEX(Curves!$P$8:$P$68,BB$4-$B19+1)</f>
        <v/>
      </c>
      <c r="BC19" s="75">
        <f>$C19*INDEX(Curves!$P$8:$P$68,BC$4-$B19+1)</f>
        <v/>
      </c>
      <c r="BD19" s="75">
        <f>$C19*INDEX(Curves!$P$8:$P$68,BD$4-$B19+1)</f>
        <v/>
      </c>
      <c r="BE19" s="75">
        <f>$C19*INDEX(Curves!$P$8:$P$68,BE$4-$B19+1)</f>
        <v/>
      </c>
      <c r="BF19" s="75">
        <f>$C19*INDEX(Curves!$P$8:$P$68,BF$4-$B19+1)</f>
        <v/>
      </c>
      <c r="BG19" s="75">
        <f>$C19*INDEX(Curves!$P$8:$P$68,BG$4-$B19+1)</f>
        <v/>
      </c>
      <c r="BH19" s="75">
        <f>$C19*INDEX(Curves!$P$8:$P$68,BH$4-$B19+1)</f>
        <v/>
      </c>
      <c r="BI19" s="75">
        <f>$C19*INDEX(Curves!$P$8:$P$68,BI$4-$B19+1)</f>
        <v/>
      </c>
      <c r="BJ19" s="75">
        <f>$C19*INDEX(Curves!$P$8:$P$68,BJ$4-$B19+1)</f>
        <v/>
      </c>
      <c r="BK19" s="75">
        <f>$C19*INDEX(Curves!$P$8:$P$68,BK$4-$B19+1)</f>
        <v/>
      </c>
      <c r="BL19" s="75">
        <f>$C19*INDEX(Curves!$P$8:$P$68,BL$4-$B19+1)</f>
        <v/>
      </c>
    </row>
    <row r="20">
      <c r="A20" s="74" t="inlineStr">
        <is>
          <t>Cohort month 11</t>
        </is>
      </c>
      <c r="B20" s="74" t="n">
        <v>11</v>
      </c>
      <c r="C20" s="17">
        <f>INDEX(Ops!$E$35:$BL$35,1,$B20)</f>
        <v/>
      </c>
      <c r="P20" s="75">
        <f>$C20*INDEX(Curves!$P$8:$P$68,P$4-$B20+1)</f>
        <v/>
      </c>
      <c r="Q20" s="75">
        <f>$C20*INDEX(Curves!$P$8:$P$68,Q$4-$B20+1)</f>
        <v/>
      </c>
      <c r="R20" s="75">
        <f>$C20*INDEX(Curves!$P$8:$P$68,R$4-$B20+1)</f>
        <v/>
      </c>
      <c r="S20" s="75">
        <f>$C20*INDEX(Curves!$P$8:$P$68,S$4-$B20+1)</f>
        <v/>
      </c>
      <c r="T20" s="75">
        <f>$C20*INDEX(Curves!$P$8:$P$68,T$4-$B20+1)</f>
        <v/>
      </c>
      <c r="U20" s="75">
        <f>$C20*INDEX(Curves!$P$8:$P$68,U$4-$B20+1)</f>
        <v/>
      </c>
      <c r="V20" s="75">
        <f>$C20*INDEX(Curves!$P$8:$P$68,V$4-$B20+1)</f>
        <v/>
      </c>
      <c r="W20" s="75">
        <f>$C20*INDEX(Curves!$P$8:$P$68,W$4-$B20+1)</f>
        <v/>
      </c>
      <c r="X20" s="75">
        <f>$C20*INDEX(Curves!$P$8:$P$68,X$4-$B20+1)</f>
        <v/>
      </c>
      <c r="Y20" s="75">
        <f>$C20*INDEX(Curves!$P$8:$P$68,Y$4-$B20+1)</f>
        <v/>
      </c>
      <c r="Z20" s="75">
        <f>$C20*INDEX(Curves!$P$8:$P$68,Z$4-$B20+1)</f>
        <v/>
      </c>
      <c r="AA20" s="75">
        <f>$C20*INDEX(Curves!$P$8:$P$68,AA$4-$B20+1)</f>
        <v/>
      </c>
      <c r="AB20" s="75">
        <f>$C20*INDEX(Curves!$P$8:$P$68,AB$4-$B20+1)</f>
        <v/>
      </c>
      <c r="AC20" s="75">
        <f>$C20*INDEX(Curves!$P$8:$P$68,AC$4-$B20+1)</f>
        <v/>
      </c>
      <c r="AD20" s="75">
        <f>$C20*INDEX(Curves!$P$8:$P$68,AD$4-$B20+1)</f>
        <v/>
      </c>
      <c r="AE20" s="75">
        <f>$C20*INDEX(Curves!$P$8:$P$68,AE$4-$B20+1)</f>
        <v/>
      </c>
      <c r="AF20" s="75">
        <f>$C20*INDEX(Curves!$P$8:$P$68,AF$4-$B20+1)</f>
        <v/>
      </c>
      <c r="AG20" s="75">
        <f>$C20*INDEX(Curves!$P$8:$P$68,AG$4-$B20+1)</f>
        <v/>
      </c>
      <c r="AH20" s="75">
        <f>$C20*INDEX(Curves!$P$8:$P$68,AH$4-$B20+1)</f>
        <v/>
      </c>
      <c r="AI20" s="75">
        <f>$C20*INDEX(Curves!$P$8:$P$68,AI$4-$B20+1)</f>
        <v/>
      </c>
      <c r="AJ20" s="75">
        <f>$C20*INDEX(Curves!$P$8:$P$68,AJ$4-$B20+1)</f>
        <v/>
      </c>
      <c r="AK20" s="75">
        <f>$C20*INDEX(Curves!$P$8:$P$68,AK$4-$B20+1)</f>
        <v/>
      </c>
      <c r="AL20" s="75">
        <f>$C20*INDEX(Curves!$P$8:$P$68,AL$4-$B20+1)</f>
        <v/>
      </c>
      <c r="AM20" s="75">
        <f>$C20*INDEX(Curves!$P$8:$P$68,AM$4-$B20+1)</f>
        <v/>
      </c>
      <c r="AN20" s="75">
        <f>$C20*INDEX(Curves!$P$8:$P$68,AN$4-$B20+1)</f>
        <v/>
      </c>
      <c r="AO20" s="75">
        <f>$C20*INDEX(Curves!$P$8:$P$68,AO$4-$B20+1)</f>
        <v/>
      </c>
      <c r="AP20" s="75">
        <f>$C20*INDEX(Curves!$P$8:$P$68,AP$4-$B20+1)</f>
        <v/>
      </c>
      <c r="AQ20" s="75">
        <f>$C20*INDEX(Curves!$P$8:$P$68,AQ$4-$B20+1)</f>
        <v/>
      </c>
      <c r="AR20" s="75">
        <f>$C20*INDEX(Curves!$P$8:$P$68,AR$4-$B20+1)</f>
        <v/>
      </c>
      <c r="AS20" s="75">
        <f>$C20*INDEX(Curves!$P$8:$P$68,AS$4-$B20+1)</f>
        <v/>
      </c>
      <c r="AT20" s="75">
        <f>$C20*INDEX(Curves!$P$8:$P$68,AT$4-$B20+1)</f>
        <v/>
      </c>
      <c r="AU20" s="75">
        <f>$C20*INDEX(Curves!$P$8:$P$68,AU$4-$B20+1)</f>
        <v/>
      </c>
      <c r="AV20" s="75">
        <f>$C20*INDEX(Curves!$P$8:$P$68,AV$4-$B20+1)</f>
        <v/>
      </c>
      <c r="AW20" s="75">
        <f>$C20*INDEX(Curves!$P$8:$P$68,AW$4-$B20+1)</f>
        <v/>
      </c>
      <c r="AX20" s="75">
        <f>$C20*INDEX(Curves!$P$8:$P$68,AX$4-$B20+1)</f>
        <v/>
      </c>
      <c r="AY20" s="75">
        <f>$C20*INDEX(Curves!$P$8:$P$68,AY$4-$B20+1)</f>
        <v/>
      </c>
      <c r="AZ20" s="75">
        <f>$C20*INDEX(Curves!$P$8:$P$68,AZ$4-$B20+1)</f>
        <v/>
      </c>
      <c r="BA20" s="75">
        <f>$C20*INDEX(Curves!$P$8:$P$68,BA$4-$B20+1)</f>
        <v/>
      </c>
      <c r="BB20" s="75">
        <f>$C20*INDEX(Curves!$P$8:$P$68,BB$4-$B20+1)</f>
        <v/>
      </c>
      <c r="BC20" s="75">
        <f>$C20*INDEX(Curves!$P$8:$P$68,BC$4-$B20+1)</f>
        <v/>
      </c>
      <c r="BD20" s="75">
        <f>$C20*INDEX(Curves!$P$8:$P$68,BD$4-$B20+1)</f>
        <v/>
      </c>
      <c r="BE20" s="75">
        <f>$C20*INDEX(Curves!$P$8:$P$68,BE$4-$B20+1)</f>
        <v/>
      </c>
      <c r="BF20" s="75">
        <f>$C20*INDEX(Curves!$P$8:$P$68,BF$4-$B20+1)</f>
        <v/>
      </c>
      <c r="BG20" s="75">
        <f>$C20*INDEX(Curves!$P$8:$P$68,BG$4-$B20+1)</f>
        <v/>
      </c>
      <c r="BH20" s="75">
        <f>$C20*INDEX(Curves!$P$8:$P$68,BH$4-$B20+1)</f>
        <v/>
      </c>
      <c r="BI20" s="75">
        <f>$C20*INDEX(Curves!$P$8:$P$68,BI$4-$B20+1)</f>
        <v/>
      </c>
      <c r="BJ20" s="75">
        <f>$C20*INDEX(Curves!$P$8:$P$68,BJ$4-$B20+1)</f>
        <v/>
      </c>
      <c r="BK20" s="75">
        <f>$C20*INDEX(Curves!$P$8:$P$68,BK$4-$B20+1)</f>
        <v/>
      </c>
      <c r="BL20" s="75">
        <f>$C20*INDEX(Curves!$P$8:$P$68,BL$4-$B20+1)</f>
        <v/>
      </c>
    </row>
    <row r="21">
      <c r="A21" s="74" t="inlineStr">
        <is>
          <t>Cohort month 12</t>
        </is>
      </c>
      <c r="B21" s="74" t="n">
        <v>12</v>
      </c>
      <c r="C21" s="17">
        <f>INDEX(Ops!$E$35:$BL$35,1,$B21)</f>
        <v/>
      </c>
      <c r="Q21" s="75">
        <f>$C21*INDEX(Curves!$P$8:$P$68,Q$4-$B21+1)</f>
        <v/>
      </c>
      <c r="R21" s="75">
        <f>$C21*INDEX(Curves!$P$8:$P$68,R$4-$B21+1)</f>
        <v/>
      </c>
      <c r="S21" s="75">
        <f>$C21*INDEX(Curves!$P$8:$P$68,S$4-$B21+1)</f>
        <v/>
      </c>
      <c r="T21" s="75">
        <f>$C21*INDEX(Curves!$P$8:$P$68,T$4-$B21+1)</f>
        <v/>
      </c>
      <c r="U21" s="75">
        <f>$C21*INDEX(Curves!$P$8:$P$68,U$4-$B21+1)</f>
        <v/>
      </c>
      <c r="V21" s="75">
        <f>$C21*INDEX(Curves!$P$8:$P$68,V$4-$B21+1)</f>
        <v/>
      </c>
      <c r="W21" s="75">
        <f>$C21*INDEX(Curves!$P$8:$P$68,W$4-$B21+1)</f>
        <v/>
      </c>
      <c r="X21" s="75">
        <f>$C21*INDEX(Curves!$P$8:$P$68,X$4-$B21+1)</f>
        <v/>
      </c>
      <c r="Y21" s="75">
        <f>$C21*INDEX(Curves!$P$8:$P$68,Y$4-$B21+1)</f>
        <v/>
      </c>
      <c r="Z21" s="75">
        <f>$C21*INDEX(Curves!$P$8:$P$68,Z$4-$B21+1)</f>
        <v/>
      </c>
      <c r="AA21" s="75">
        <f>$C21*INDEX(Curves!$P$8:$P$68,AA$4-$B21+1)</f>
        <v/>
      </c>
      <c r="AB21" s="75">
        <f>$C21*INDEX(Curves!$P$8:$P$68,AB$4-$B21+1)</f>
        <v/>
      </c>
      <c r="AC21" s="75">
        <f>$C21*INDEX(Curves!$P$8:$P$68,AC$4-$B21+1)</f>
        <v/>
      </c>
      <c r="AD21" s="75">
        <f>$C21*INDEX(Curves!$P$8:$P$68,AD$4-$B21+1)</f>
        <v/>
      </c>
      <c r="AE21" s="75">
        <f>$C21*INDEX(Curves!$P$8:$P$68,AE$4-$B21+1)</f>
        <v/>
      </c>
      <c r="AF21" s="75">
        <f>$C21*INDEX(Curves!$P$8:$P$68,AF$4-$B21+1)</f>
        <v/>
      </c>
      <c r="AG21" s="75">
        <f>$C21*INDEX(Curves!$P$8:$P$68,AG$4-$B21+1)</f>
        <v/>
      </c>
      <c r="AH21" s="75">
        <f>$C21*INDEX(Curves!$P$8:$P$68,AH$4-$B21+1)</f>
        <v/>
      </c>
      <c r="AI21" s="75">
        <f>$C21*INDEX(Curves!$P$8:$P$68,AI$4-$B21+1)</f>
        <v/>
      </c>
      <c r="AJ21" s="75">
        <f>$C21*INDEX(Curves!$P$8:$P$68,AJ$4-$B21+1)</f>
        <v/>
      </c>
      <c r="AK21" s="75">
        <f>$C21*INDEX(Curves!$P$8:$P$68,AK$4-$B21+1)</f>
        <v/>
      </c>
      <c r="AL21" s="75">
        <f>$C21*INDEX(Curves!$P$8:$P$68,AL$4-$B21+1)</f>
        <v/>
      </c>
      <c r="AM21" s="75">
        <f>$C21*INDEX(Curves!$P$8:$P$68,AM$4-$B21+1)</f>
        <v/>
      </c>
      <c r="AN21" s="75">
        <f>$C21*INDEX(Curves!$P$8:$P$68,AN$4-$B21+1)</f>
        <v/>
      </c>
      <c r="AO21" s="75">
        <f>$C21*INDEX(Curves!$P$8:$P$68,AO$4-$B21+1)</f>
        <v/>
      </c>
      <c r="AP21" s="75">
        <f>$C21*INDEX(Curves!$P$8:$P$68,AP$4-$B21+1)</f>
        <v/>
      </c>
      <c r="AQ21" s="75">
        <f>$C21*INDEX(Curves!$P$8:$P$68,AQ$4-$B21+1)</f>
        <v/>
      </c>
      <c r="AR21" s="75">
        <f>$C21*INDEX(Curves!$P$8:$P$68,AR$4-$B21+1)</f>
        <v/>
      </c>
      <c r="AS21" s="75">
        <f>$C21*INDEX(Curves!$P$8:$P$68,AS$4-$B21+1)</f>
        <v/>
      </c>
      <c r="AT21" s="75">
        <f>$C21*INDEX(Curves!$P$8:$P$68,AT$4-$B21+1)</f>
        <v/>
      </c>
      <c r="AU21" s="75">
        <f>$C21*INDEX(Curves!$P$8:$P$68,AU$4-$B21+1)</f>
        <v/>
      </c>
      <c r="AV21" s="75">
        <f>$C21*INDEX(Curves!$P$8:$P$68,AV$4-$B21+1)</f>
        <v/>
      </c>
      <c r="AW21" s="75">
        <f>$C21*INDEX(Curves!$P$8:$P$68,AW$4-$B21+1)</f>
        <v/>
      </c>
      <c r="AX21" s="75">
        <f>$C21*INDEX(Curves!$P$8:$P$68,AX$4-$B21+1)</f>
        <v/>
      </c>
      <c r="AY21" s="75">
        <f>$C21*INDEX(Curves!$P$8:$P$68,AY$4-$B21+1)</f>
        <v/>
      </c>
      <c r="AZ21" s="75">
        <f>$C21*INDEX(Curves!$P$8:$P$68,AZ$4-$B21+1)</f>
        <v/>
      </c>
      <c r="BA21" s="75">
        <f>$C21*INDEX(Curves!$P$8:$P$68,BA$4-$B21+1)</f>
        <v/>
      </c>
      <c r="BB21" s="75">
        <f>$C21*INDEX(Curves!$P$8:$P$68,BB$4-$B21+1)</f>
        <v/>
      </c>
      <c r="BC21" s="75">
        <f>$C21*INDEX(Curves!$P$8:$P$68,BC$4-$B21+1)</f>
        <v/>
      </c>
      <c r="BD21" s="75">
        <f>$C21*INDEX(Curves!$P$8:$P$68,BD$4-$B21+1)</f>
        <v/>
      </c>
      <c r="BE21" s="75">
        <f>$C21*INDEX(Curves!$P$8:$P$68,BE$4-$B21+1)</f>
        <v/>
      </c>
      <c r="BF21" s="75">
        <f>$C21*INDEX(Curves!$P$8:$P$68,BF$4-$B21+1)</f>
        <v/>
      </c>
      <c r="BG21" s="75">
        <f>$C21*INDEX(Curves!$P$8:$P$68,BG$4-$B21+1)</f>
        <v/>
      </c>
      <c r="BH21" s="75">
        <f>$C21*INDEX(Curves!$P$8:$P$68,BH$4-$B21+1)</f>
        <v/>
      </c>
      <c r="BI21" s="75">
        <f>$C21*INDEX(Curves!$P$8:$P$68,BI$4-$B21+1)</f>
        <v/>
      </c>
      <c r="BJ21" s="75">
        <f>$C21*INDEX(Curves!$P$8:$P$68,BJ$4-$B21+1)</f>
        <v/>
      </c>
      <c r="BK21" s="75">
        <f>$C21*INDEX(Curves!$P$8:$P$68,BK$4-$B21+1)</f>
        <v/>
      </c>
      <c r="BL21" s="75">
        <f>$C21*INDEX(Curves!$P$8:$P$68,BL$4-$B21+1)</f>
        <v/>
      </c>
    </row>
    <row r="22">
      <c r="A22" s="74" t="inlineStr">
        <is>
          <t>Cohort month 13</t>
        </is>
      </c>
      <c r="B22" s="74" t="n">
        <v>13</v>
      </c>
      <c r="C22" s="17">
        <f>INDEX(Ops!$E$35:$BL$35,1,$B22)</f>
        <v/>
      </c>
      <c r="R22" s="75">
        <f>$C22*INDEX(Curves!$P$8:$P$68,R$4-$B22+1)</f>
        <v/>
      </c>
      <c r="S22" s="75">
        <f>$C22*INDEX(Curves!$P$8:$P$68,S$4-$B22+1)</f>
        <v/>
      </c>
      <c r="T22" s="75">
        <f>$C22*INDEX(Curves!$P$8:$P$68,T$4-$B22+1)</f>
        <v/>
      </c>
      <c r="U22" s="75">
        <f>$C22*INDEX(Curves!$P$8:$P$68,U$4-$B22+1)</f>
        <v/>
      </c>
      <c r="V22" s="75">
        <f>$C22*INDEX(Curves!$P$8:$P$68,V$4-$B22+1)</f>
        <v/>
      </c>
      <c r="W22" s="75">
        <f>$C22*INDEX(Curves!$P$8:$P$68,W$4-$B22+1)</f>
        <v/>
      </c>
      <c r="X22" s="75">
        <f>$C22*INDEX(Curves!$P$8:$P$68,X$4-$B22+1)</f>
        <v/>
      </c>
      <c r="Y22" s="75">
        <f>$C22*INDEX(Curves!$P$8:$P$68,Y$4-$B22+1)</f>
        <v/>
      </c>
      <c r="Z22" s="75">
        <f>$C22*INDEX(Curves!$P$8:$P$68,Z$4-$B22+1)</f>
        <v/>
      </c>
      <c r="AA22" s="75">
        <f>$C22*INDEX(Curves!$P$8:$P$68,AA$4-$B22+1)</f>
        <v/>
      </c>
      <c r="AB22" s="75">
        <f>$C22*INDEX(Curves!$P$8:$P$68,AB$4-$B22+1)</f>
        <v/>
      </c>
      <c r="AC22" s="75">
        <f>$C22*INDEX(Curves!$P$8:$P$68,AC$4-$B22+1)</f>
        <v/>
      </c>
      <c r="AD22" s="75">
        <f>$C22*INDEX(Curves!$P$8:$P$68,AD$4-$B22+1)</f>
        <v/>
      </c>
      <c r="AE22" s="75">
        <f>$C22*INDEX(Curves!$P$8:$P$68,AE$4-$B22+1)</f>
        <v/>
      </c>
      <c r="AF22" s="75">
        <f>$C22*INDEX(Curves!$P$8:$P$68,AF$4-$B22+1)</f>
        <v/>
      </c>
      <c r="AG22" s="75">
        <f>$C22*INDEX(Curves!$P$8:$P$68,AG$4-$B22+1)</f>
        <v/>
      </c>
      <c r="AH22" s="75">
        <f>$C22*INDEX(Curves!$P$8:$P$68,AH$4-$B22+1)</f>
        <v/>
      </c>
      <c r="AI22" s="75">
        <f>$C22*INDEX(Curves!$P$8:$P$68,AI$4-$B22+1)</f>
        <v/>
      </c>
      <c r="AJ22" s="75">
        <f>$C22*INDEX(Curves!$P$8:$P$68,AJ$4-$B22+1)</f>
        <v/>
      </c>
      <c r="AK22" s="75">
        <f>$C22*INDEX(Curves!$P$8:$P$68,AK$4-$B22+1)</f>
        <v/>
      </c>
      <c r="AL22" s="75">
        <f>$C22*INDEX(Curves!$P$8:$P$68,AL$4-$B22+1)</f>
        <v/>
      </c>
      <c r="AM22" s="75">
        <f>$C22*INDEX(Curves!$P$8:$P$68,AM$4-$B22+1)</f>
        <v/>
      </c>
      <c r="AN22" s="75">
        <f>$C22*INDEX(Curves!$P$8:$P$68,AN$4-$B22+1)</f>
        <v/>
      </c>
      <c r="AO22" s="75">
        <f>$C22*INDEX(Curves!$P$8:$P$68,AO$4-$B22+1)</f>
        <v/>
      </c>
      <c r="AP22" s="75">
        <f>$C22*INDEX(Curves!$P$8:$P$68,AP$4-$B22+1)</f>
        <v/>
      </c>
      <c r="AQ22" s="75">
        <f>$C22*INDEX(Curves!$P$8:$P$68,AQ$4-$B22+1)</f>
        <v/>
      </c>
      <c r="AR22" s="75">
        <f>$C22*INDEX(Curves!$P$8:$P$68,AR$4-$B22+1)</f>
        <v/>
      </c>
      <c r="AS22" s="75">
        <f>$C22*INDEX(Curves!$P$8:$P$68,AS$4-$B22+1)</f>
        <v/>
      </c>
      <c r="AT22" s="75">
        <f>$C22*INDEX(Curves!$P$8:$P$68,AT$4-$B22+1)</f>
        <v/>
      </c>
      <c r="AU22" s="75">
        <f>$C22*INDEX(Curves!$P$8:$P$68,AU$4-$B22+1)</f>
        <v/>
      </c>
      <c r="AV22" s="75">
        <f>$C22*INDEX(Curves!$P$8:$P$68,AV$4-$B22+1)</f>
        <v/>
      </c>
      <c r="AW22" s="75">
        <f>$C22*INDEX(Curves!$P$8:$P$68,AW$4-$B22+1)</f>
        <v/>
      </c>
      <c r="AX22" s="75">
        <f>$C22*INDEX(Curves!$P$8:$P$68,AX$4-$B22+1)</f>
        <v/>
      </c>
      <c r="AY22" s="75">
        <f>$C22*INDEX(Curves!$P$8:$P$68,AY$4-$B22+1)</f>
        <v/>
      </c>
      <c r="AZ22" s="75">
        <f>$C22*INDEX(Curves!$P$8:$P$68,AZ$4-$B22+1)</f>
        <v/>
      </c>
      <c r="BA22" s="75">
        <f>$C22*INDEX(Curves!$P$8:$P$68,BA$4-$B22+1)</f>
        <v/>
      </c>
      <c r="BB22" s="75">
        <f>$C22*INDEX(Curves!$P$8:$P$68,BB$4-$B22+1)</f>
        <v/>
      </c>
      <c r="BC22" s="75">
        <f>$C22*INDEX(Curves!$P$8:$P$68,BC$4-$B22+1)</f>
        <v/>
      </c>
      <c r="BD22" s="75">
        <f>$C22*INDEX(Curves!$P$8:$P$68,BD$4-$B22+1)</f>
        <v/>
      </c>
      <c r="BE22" s="75">
        <f>$C22*INDEX(Curves!$P$8:$P$68,BE$4-$B22+1)</f>
        <v/>
      </c>
      <c r="BF22" s="75">
        <f>$C22*INDEX(Curves!$P$8:$P$68,BF$4-$B22+1)</f>
        <v/>
      </c>
      <c r="BG22" s="75">
        <f>$C22*INDEX(Curves!$P$8:$P$68,BG$4-$B22+1)</f>
        <v/>
      </c>
      <c r="BH22" s="75">
        <f>$C22*INDEX(Curves!$P$8:$P$68,BH$4-$B22+1)</f>
        <v/>
      </c>
      <c r="BI22" s="75">
        <f>$C22*INDEX(Curves!$P$8:$P$68,BI$4-$B22+1)</f>
        <v/>
      </c>
      <c r="BJ22" s="75">
        <f>$C22*INDEX(Curves!$P$8:$P$68,BJ$4-$B22+1)</f>
        <v/>
      </c>
      <c r="BK22" s="75">
        <f>$C22*INDEX(Curves!$P$8:$P$68,BK$4-$B22+1)</f>
        <v/>
      </c>
      <c r="BL22" s="75">
        <f>$C22*INDEX(Curves!$P$8:$P$68,BL$4-$B22+1)</f>
        <v/>
      </c>
    </row>
    <row r="23">
      <c r="A23" s="74" t="inlineStr">
        <is>
          <t>Cohort month 14</t>
        </is>
      </c>
      <c r="B23" s="74" t="n">
        <v>14</v>
      </c>
      <c r="C23" s="17">
        <f>INDEX(Ops!$E$35:$BL$35,1,$B23)</f>
        <v/>
      </c>
      <c r="S23" s="75">
        <f>$C23*INDEX(Curves!$P$8:$P$68,S$4-$B23+1)</f>
        <v/>
      </c>
      <c r="T23" s="75">
        <f>$C23*INDEX(Curves!$P$8:$P$68,T$4-$B23+1)</f>
        <v/>
      </c>
      <c r="U23" s="75">
        <f>$C23*INDEX(Curves!$P$8:$P$68,U$4-$B23+1)</f>
        <v/>
      </c>
      <c r="V23" s="75">
        <f>$C23*INDEX(Curves!$P$8:$P$68,V$4-$B23+1)</f>
        <v/>
      </c>
      <c r="W23" s="75">
        <f>$C23*INDEX(Curves!$P$8:$P$68,W$4-$B23+1)</f>
        <v/>
      </c>
      <c r="X23" s="75">
        <f>$C23*INDEX(Curves!$P$8:$P$68,X$4-$B23+1)</f>
        <v/>
      </c>
      <c r="Y23" s="75">
        <f>$C23*INDEX(Curves!$P$8:$P$68,Y$4-$B23+1)</f>
        <v/>
      </c>
      <c r="Z23" s="75">
        <f>$C23*INDEX(Curves!$P$8:$P$68,Z$4-$B23+1)</f>
        <v/>
      </c>
      <c r="AA23" s="75">
        <f>$C23*INDEX(Curves!$P$8:$P$68,AA$4-$B23+1)</f>
        <v/>
      </c>
      <c r="AB23" s="75">
        <f>$C23*INDEX(Curves!$P$8:$P$68,AB$4-$B23+1)</f>
        <v/>
      </c>
      <c r="AC23" s="75">
        <f>$C23*INDEX(Curves!$P$8:$P$68,AC$4-$B23+1)</f>
        <v/>
      </c>
      <c r="AD23" s="75">
        <f>$C23*INDEX(Curves!$P$8:$P$68,AD$4-$B23+1)</f>
        <v/>
      </c>
      <c r="AE23" s="75">
        <f>$C23*INDEX(Curves!$P$8:$P$68,AE$4-$B23+1)</f>
        <v/>
      </c>
      <c r="AF23" s="75">
        <f>$C23*INDEX(Curves!$P$8:$P$68,AF$4-$B23+1)</f>
        <v/>
      </c>
      <c r="AG23" s="75">
        <f>$C23*INDEX(Curves!$P$8:$P$68,AG$4-$B23+1)</f>
        <v/>
      </c>
      <c r="AH23" s="75">
        <f>$C23*INDEX(Curves!$P$8:$P$68,AH$4-$B23+1)</f>
        <v/>
      </c>
      <c r="AI23" s="75">
        <f>$C23*INDEX(Curves!$P$8:$P$68,AI$4-$B23+1)</f>
        <v/>
      </c>
      <c r="AJ23" s="75">
        <f>$C23*INDEX(Curves!$P$8:$P$68,AJ$4-$B23+1)</f>
        <v/>
      </c>
      <c r="AK23" s="75">
        <f>$C23*INDEX(Curves!$P$8:$P$68,AK$4-$B23+1)</f>
        <v/>
      </c>
      <c r="AL23" s="75">
        <f>$C23*INDEX(Curves!$P$8:$P$68,AL$4-$B23+1)</f>
        <v/>
      </c>
      <c r="AM23" s="75">
        <f>$C23*INDEX(Curves!$P$8:$P$68,AM$4-$B23+1)</f>
        <v/>
      </c>
      <c r="AN23" s="75">
        <f>$C23*INDEX(Curves!$P$8:$P$68,AN$4-$B23+1)</f>
        <v/>
      </c>
      <c r="AO23" s="75">
        <f>$C23*INDEX(Curves!$P$8:$P$68,AO$4-$B23+1)</f>
        <v/>
      </c>
      <c r="AP23" s="75">
        <f>$C23*INDEX(Curves!$P$8:$P$68,AP$4-$B23+1)</f>
        <v/>
      </c>
      <c r="AQ23" s="75">
        <f>$C23*INDEX(Curves!$P$8:$P$68,AQ$4-$B23+1)</f>
        <v/>
      </c>
      <c r="AR23" s="75">
        <f>$C23*INDEX(Curves!$P$8:$P$68,AR$4-$B23+1)</f>
        <v/>
      </c>
      <c r="AS23" s="75">
        <f>$C23*INDEX(Curves!$P$8:$P$68,AS$4-$B23+1)</f>
        <v/>
      </c>
      <c r="AT23" s="75">
        <f>$C23*INDEX(Curves!$P$8:$P$68,AT$4-$B23+1)</f>
        <v/>
      </c>
      <c r="AU23" s="75">
        <f>$C23*INDEX(Curves!$P$8:$P$68,AU$4-$B23+1)</f>
        <v/>
      </c>
      <c r="AV23" s="75">
        <f>$C23*INDEX(Curves!$P$8:$P$68,AV$4-$B23+1)</f>
        <v/>
      </c>
      <c r="AW23" s="75">
        <f>$C23*INDEX(Curves!$P$8:$P$68,AW$4-$B23+1)</f>
        <v/>
      </c>
      <c r="AX23" s="75">
        <f>$C23*INDEX(Curves!$P$8:$P$68,AX$4-$B23+1)</f>
        <v/>
      </c>
      <c r="AY23" s="75">
        <f>$C23*INDEX(Curves!$P$8:$P$68,AY$4-$B23+1)</f>
        <v/>
      </c>
      <c r="AZ23" s="75">
        <f>$C23*INDEX(Curves!$P$8:$P$68,AZ$4-$B23+1)</f>
        <v/>
      </c>
      <c r="BA23" s="75">
        <f>$C23*INDEX(Curves!$P$8:$P$68,BA$4-$B23+1)</f>
        <v/>
      </c>
      <c r="BB23" s="75">
        <f>$C23*INDEX(Curves!$P$8:$P$68,BB$4-$B23+1)</f>
        <v/>
      </c>
      <c r="BC23" s="75">
        <f>$C23*INDEX(Curves!$P$8:$P$68,BC$4-$B23+1)</f>
        <v/>
      </c>
      <c r="BD23" s="75">
        <f>$C23*INDEX(Curves!$P$8:$P$68,BD$4-$B23+1)</f>
        <v/>
      </c>
      <c r="BE23" s="75">
        <f>$C23*INDEX(Curves!$P$8:$P$68,BE$4-$B23+1)</f>
        <v/>
      </c>
      <c r="BF23" s="75">
        <f>$C23*INDEX(Curves!$P$8:$P$68,BF$4-$B23+1)</f>
        <v/>
      </c>
      <c r="BG23" s="75">
        <f>$C23*INDEX(Curves!$P$8:$P$68,BG$4-$B23+1)</f>
        <v/>
      </c>
      <c r="BH23" s="75">
        <f>$C23*INDEX(Curves!$P$8:$P$68,BH$4-$B23+1)</f>
        <v/>
      </c>
      <c r="BI23" s="75">
        <f>$C23*INDEX(Curves!$P$8:$P$68,BI$4-$B23+1)</f>
        <v/>
      </c>
      <c r="BJ23" s="75">
        <f>$C23*INDEX(Curves!$P$8:$P$68,BJ$4-$B23+1)</f>
        <v/>
      </c>
      <c r="BK23" s="75">
        <f>$C23*INDEX(Curves!$P$8:$P$68,BK$4-$B23+1)</f>
        <v/>
      </c>
      <c r="BL23" s="75">
        <f>$C23*INDEX(Curves!$P$8:$P$68,BL$4-$B23+1)</f>
        <v/>
      </c>
    </row>
    <row r="24">
      <c r="A24" s="74" t="inlineStr">
        <is>
          <t>Cohort month 15</t>
        </is>
      </c>
      <c r="B24" s="74" t="n">
        <v>15</v>
      </c>
      <c r="C24" s="17">
        <f>INDEX(Ops!$E$35:$BL$35,1,$B24)</f>
        <v/>
      </c>
      <c r="T24" s="75">
        <f>$C24*INDEX(Curves!$P$8:$P$68,T$4-$B24+1)</f>
        <v/>
      </c>
      <c r="U24" s="75">
        <f>$C24*INDEX(Curves!$P$8:$P$68,U$4-$B24+1)</f>
        <v/>
      </c>
      <c r="V24" s="75">
        <f>$C24*INDEX(Curves!$P$8:$P$68,V$4-$B24+1)</f>
        <v/>
      </c>
      <c r="W24" s="75">
        <f>$C24*INDEX(Curves!$P$8:$P$68,W$4-$B24+1)</f>
        <v/>
      </c>
      <c r="X24" s="75">
        <f>$C24*INDEX(Curves!$P$8:$P$68,X$4-$B24+1)</f>
        <v/>
      </c>
      <c r="Y24" s="75">
        <f>$C24*INDEX(Curves!$P$8:$P$68,Y$4-$B24+1)</f>
        <v/>
      </c>
      <c r="Z24" s="75">
        <f>$C24*INDEX(Curves!$P$8:$P$68,Z$4-$B24+1)</f>
        <v/>
      </c>
      <c r="AA24" s="75">
        <f>$C24*INDEX(Curves!$P$8:$P$68,AA$4-$B24+1)</f>
        <v/>
      </c>
      <c r="AB24" s="75">
        <f>$C24*INDEX(Curves!$P$8:$P$68,AB$4-$B24+1)</f>
        <v/>
      </c>
      <c r="AC24" s="75">
        <f>$C24*INDEX(Curves!$P$8:$P$68,AC$4-$B24+1)</f>
        <v/>
      </c>
      <c r="AD24" s="75">
        <f>$C24*INDEX(Curves!$P$8:$P$68,AD$4-$B24+1)</f>
        <v/>
      </c>
      <c r="AE24" s="75">
        <f>$C24*INDEX(Curves!$P$8:$P$68,AE$4-$B24+1)</f>
        <v/>
      </c>
      <c r="AF24" s="75">
        <f>$C24*INDEX(Curves!$P$8:$P$68,AF$4-$B24+1)</f>
        <v/>
      </c>
      <c r="AG24" s="75">
        <f>$C24*INDEX(Curves!$P$8:$P$68,AG$4-$B24+1)</f>
        <v/>
      </c>
      <c r="AH24" s="75">
        <f>$C24*INDEX(Curves!$P$8:$P$68,AH$4-$B24+1)</f>
        <v/>
      </c>
      <c r="AI24" s="75">
        <f>$C24*INDEX(Curves!$P$8:$P$68,AI$4-$B24+1)</f>
        <v/>
      </c>
      <c r="AJ24" s="75">
        <f>$C24*INDEX(Curves!$P$8:$P$68,AJ$4-$B24+1)</f>
        <v/>
      </c>
      <c r="AK24" s="75">
        <f>$C24*INDEX(Curves!$P$8:$P$68,AK$4-$B24+1)</f>
        <v/>
      </c>
      <c r="AL24" s="75">
        <f>$C24*INDEX(Curves!$P$8:$P$68,AL$4-$B24+1)</f>
        <v/>
      </c>
      <c r="AM24" s="75">
        <f>$C24*INDEX(Curves!$P$8:$P$68,AM$4-$B24+1)</f>
        <v/>
      </c>
      <c r="AN24" s="75">
        <f>$C24*INDEX(Curves!$P$8:$P$68,AN$4-$B24+1)</f>
        <v/>
      </c>
      <c r="AO24" s="75">
        <f>$C24*INDEX(Curves!$P$8:$P$68,AO$4-$B24+1)</f>
        <v/>
      </c>
      <c r="AP24" s="75">
        <f>$C24*INDEX(Curves!$P$8:$P$68,AP$4-$B24+1)</f>
        <v/>
      </c>
      <c r="AQ24" s="75">
        <f>$C24*INDEX(Curves!$P$8:$P$68,AQ$4-$B24+1)</f>
        <v/>
      </c>
      <c r="AR24" s="75">
        <f>$C24*INDEX(Curves!$P$8:$P$68,AR$4-$B24+1)</f>
        <v/>
      </c>
      <c r="AS24" s="75">
        <f>$C24*INDEX(Curves!$P$8:$P$68,AS$4-$B24+1)</f>
        <v/>
      </c>
      <c r="AT24" s="75">
        <f>$C24*INDEX(Curves!$P$8:$P$68,AT$4-$B24+1)</f>
        <v/>
      </c>
      <c r="AU24" s="75">
        <f>$C24*INDEX(Curves!$P$8:$P$68,AU$4-$B24+1)</f>
        <v/>
      </c>
      <c r="AV24" s="75">
        <f>$C24*INDEX(Curves!$P$8:$P$68,AV$4-$B24+1)</f>
        <v/>
      </c>
      <c r="AW24" s="75">
        <f>$C24*INDEX(Curves!$P$8:$P$68,AW$4-$B24+1)</f>
        <v/>
      </c>
      <c r="AX24" s="75">
        <f>$C24*INDEX(Curves!$P$8:$P$68,AX$4-$B24+1)</f>
        <v/>
      </c>
      <c r="AY24" s="75">
        <f>$C24*INDEX(Curves!$P$8:$P$68,AY$4-$B24+1)</f>
        <v/>
      </c>
      <c r="AZ24" s="75">
        <f>$C24*INDEX(Curves!$P$8:$P$68,AZ$4-$B24+1)</f>
        <v/>
      </c>
      <c r="BA24" s="75">
        <f>$C24*INDEX(Curves!$P$8:$P$68,BA$4-$B24+1)</f>
        <v/>
      </c>
      <c r="BB24" s="75">
        <f>$C24*INDEX(Curves!$P$8:$P$68,BB$4-$B24+1)</f>
        <v/>
      </c>
      <c r="BC24" s="75">
        <f>$C24*INDEX(Curves!$P$8:$P$68,BC$4-$B24+1)</f>
        <v/>
      </c>
      <c r="BD24" s="75">
        <f>$C24*INDEX(Curves!$P$8:$P$68,BD$4-$B24+1)</f>
        <v/>
      </c>
      <c r="BE24" s="75">
        <f>$C24*INDEX(Curves!$P$8:$P$68,BE$4-$B24+1)</f>
        <v/>
      </c>
      <c r="BF24" s="75">
        <f>$C24*INDEX(Curves!$P$8:$P$68,BF$4-$B24+1)</f>
        <v/>
      </c>
      <c r="BG24" s="75">
        <f>$C24*INDEX(Curves!$P$8:$P$68,BG$4-$B24+1)</f>
        <v/>
      </c>
      <c r="BH24" s="75">
        <f>$C24*INDEX(Curves!$P$8:$P$68,BH$4-$B24+1)</f>
        <v/>
      </c>
      <c r="BI24" s="75">
        <f>$C24*INDEX(Curves!$P$8:$P$68,BI$4-$B24+1)</f>
        <v/>
      </c>
      <c r="BJ24" s="75">
        <f>$C24*INDEX(Curves!$P$8:$P$68,BJ$4-$B24+1)</f>
        <v/>
      </c>
      <c r="BK24" s="75">
        <f>$C24*INDEX(Curves!$P$8:$P$68,BK$4-$B24+1)</f>
        <v/>
      </c>
      <c r="BL24" s="75">
        <f>$C24*INDEX(Curves!$P$8:$P$68,BL$4-$B24+1)</f>
        <v/>
      </c>
    </row>
    <row r="25">
      <c r="A25" s="74" t="inlineStr">
        <is>
          <t>Cohort month 16</t>
        </is>
      </c>
      <c r="B25" s="74" t="n">
        <v>16</v>
      </c>
      <c r="C25" s="17">
        <f>INDEX(Ops!$E$35:$BL$35,1,$B25)</f>
        <v/>
      </c>
      <c r="U25" s="75">
        <f>$C25*INDEX(Curves!$P$8:$P$68,U$4-$B25+1)</f>
        <v/>
      </c>
      <c r="V25" s="75">
        <f>$C25*INDEX(Curves!$P$8:$P$68,V$4-$B25+1)</f>
        <v/>
      </c>
      <c r="W25" s="75">
        <f>$C25*INDEX(Curves!$P$8:$P$68,W$4-$B25+1)</f>
        <v/>
      </c>
      <c r="X25" s="75">
        <f>$C25*INDEX(Curves!$P$8:$P$68,X$4-$B25+1)</f>
        <v/>
      </c>
      <c r="Y25" s="75">
        <f>$C25*INDEX(Curves!$P$8:$P$68,Y$4-$B25+1)</f>
        <v/>
      </c>
      <c r="Z25" s="75">
        <f>$C25*INDEX(Curves!$P$8:$P$68,Z$4-$B25+1)</f>
        <v/>
      </c>
      <c r="AA25" s="75">
        <f>$C25*INDEX(Curves!$P$8:$P$68,AA$4-$B25+1)</f>
        <v/>
      </c>
      <c r="AB25" s="75">
        <f>$C25*INDEX(Curves!$P$8:$P$68,AB$4-$B25+1)</f>
        <v/>
      </c>
      <c r="AC25" s="75">
        <f>$C25*INDEX(Curves!$P$8:$P$68,AC$4-$B25+1)</f>
        <v/>
      </c>
      <c r="AD25" s="75">
        <f>$C25*INDEX(Curves!$P$8:$P$68,AD$4-$B25+1)</f>
        <v/>
      </c>
      <c r="AE25" s="75">
        <f>$C25*INDEX(Curves!$P$8:$P$68,AE$4-$B25+1)</f>
        <v/>
      </c>
      <c r="AF25" s="75">
        <f>$C25*INDEX(Curves!$P$8:$P$68,AF$4-$B25+1)</f>
        <v/>
      </c>
      <c r="AG25" s="75">
        <f>$C25*INDEX(Curves!$P$8:$P$68,AG$4-$B25+1)</f>
        <v/>
      </c>
      <c r="AH25" s="75">
        <f>$C25*INDEX(Curves!$P$8:$P$68,AH$4-$B25+1)</f>
        <v/>
      </c>
      <c r="AI25" s="75">
        <f>$C25*INDEX(Curves!$P$8:$P$68,AI$4-$B25+1)</f>
        <v/>
      </c>
      <c r="AJ25" s="75">
        <f>$C25*INDEX(Curves!$P$8:$P$68,AJ$4-$B25+1)</f>
        <v/>
      </c>
      <c r="AK25" s="75">
        <f>$C25*INDEX(Curves!$P$8:$P$68,AK$4-$B25+1)</f>
        <v/>
      </c>
      <c r="AL25" s="75">
        <f>$C25*INDEX(Curves!$P$8:$P$68,AL$4-$B25+1)</f>
        <v/>
      </c>
      <c r="AM25" s="75">
        <f>$C25*INDEX(Curves!$P$8:$P$68,AM$4-$B25+1)</f>
        <v/>
      </c>
      <c r="AN25" s="75">
        <f>$C25*INDEX(Curves!$P$8:$P$68,AN$4-$B25+1)</f>
        <v/>
      </c>
      <c r="AO25" s="75">
        <f>$C25*INDEX(Curves!$P$8:$P$68,AO$4-$B25+1)</f>
        <v/>
      </c>
      <c r="AP25" s="75">
        <f>$C25*INDEX(Curves!$P$8:$P$68,AP$4-$B25+1)</f>
        <v/>
      </c>
      <c r="AQ25" s="75">
        <f>$C25*INDEX(Curves!$P$8:$P$68,AQ$4-$B25+1)</f>
        <v/>
      </c>
      <c r="AR25" s="75">
        <f>$C25*INDEX(Curves!$P$8:$P$68,AR$4-$B25+1)</f>
        <v/>
      </c>
      <c r="AS25" s="75">
        <f>$C25*INDEX(Curves!$P$8:$P$68,AS$4-$B25+1)</f>
        <v/>
      </c>
      <c r="AT25" s="75">
        <f>$C25*INDEX(Curves!$P$8:$P$68,AT$4-$B25+1)</f>
        <v/>
      </c>
      <c r="AU25" s="75">
        <f>$C25*INDEX(Curves!$P$8:$P$68,AU$4-$B25+1)</f>
        <v/>
      </c>
      <c r="AV25" s="75">
        <f>$C25*INDEX(Curves!$P$8:$P$68,AV$4-$B25+1)</f>
        <v/>
      </c>
      <c r="AW25" s="75">
        <f>$C25*INDEX(Curves!$P$8:$P$68,AW$4-$B25+1)</f>
        <v/>
      </c>
      <c r="AX25" s="75">
        <f>$C25*INDEX(Curves!$P$8:$P$68,AX$4-$B25+1)</f>
        <v/>
      </c>
      <c r="AY25" s="75">
        <f>$C25*INDEX(Curves!$P$8:$P$68,AY$4-$B25+1)</f>
        <v/>
      </c>
      <c r="AZ25" s="75">
        <f>$C25*INDEX(Curves!$P$8:$P$68,AZ$4-$B25+1)</f>
        <v/>
      </c>
      <c r="BA25" s="75">
        <f>$C25*INDEX(Curves!$P$8:$P$68,BA$4-$B25+1)</f>
        <v/>
      </c>
      <c r="BB25" s="75">
        <f>$C25*INDEX(Curves!$P$8:$P$68,BB$4-$B25+1)</f>
        <v/>
      </c>
      <c r="BC25" s="75">
        <f>$C25*INDEX(Curves!$P$8:$P$68,BC$4-$B25+1)</f>
        <v/>
      </c>
      <c r="BD25" s="75">
        <f>$C25*INDEX(Curves!$P$8:$P$68,BD$4-$B25+1)</f>
        <v/>
      </c>
      <c r="BE25" s="75">
        <f>$C25*INDEX(Curves!$P$8:$P$68,BE$4-$B25+1)</f>
        <v/>
      </c>
      <c r="BF25" s="75">
        <f>$C25*INDEX(Curves!$P$8:$P$68,BF$4-$B25+1)</f>
        <v/>
      </c>
      <c r="BG25" s="75">
        <f>$C25*INDEX(Curves!$P$8:$P$68,BG$4-$B25+1)</f>
        <v/>
      </c>
      <c r="BH25" s="75">
        <f>$C25*INDEX(Curves!$P$8:$P$68,BH$4-$B25+1)</f>
        <v/>
      </c>
      <c r="BI25" s="75">
        <f>$C25*INDEX(Curves!$P$8:$P$68,BI$4-$B25+1)</f>
        <v/>
      </c>
      <c r="BJ25" s="75">
        <f>$C25*INDEX(Curves!$P$8:$P$68,BJ$4-$B25+1)</f>
        <v/>
      </c>
      <c r="BK25" s="75">
        <f>$C25*INDEX(Curves!$P$8:$P$68,BK$4-$B25+1)</f>
        <v/>
      </c>
      <c r="BL25" s="75">
        <f>$C25*INDEX(Curves!$P$8:$P$68,BL$4-$B25+1)</f>
        <v/>
      </c>
    </row>
    <row r="26">
      <c r="A26" s="74" t="inlineStr">
        <is>
          <t>Cohort month 17</t>
        </is>
      </c>
      <c r="B26" s="74" t="n">
        <v>17</v>
      </c>
      <c r="C26" s="17">
        <f>INDEX(Ops!$E$35:$BL$35,1,$B26)</f>
        <v/>
      </c>
      <c r="V26" s="75">
        <f>$C26*INDEX(Curves!$P$8:$P$68,V$4-$B26+1)</f>
        <v/>
      </c>
      <c r="W26" s="75">
        <f>$C26*INDEX(Curves!$P$8:$P$68,W$4-$B26+1)</f>
        <v/>
      </c>
      <c r="X26" s="75">
        <f>$C26*INDEX(Curves!$P$8:$P$68,X$4-$B26+1)</f>
        <v/>
      </c>
      <c r="Y26" s="75">
        <f>$C26*INDEX(Curves!$P$8:$P$68,Y$4-$B26+1)</f>
        <v/>
      </c>
      <c r="Z26" s="75">
        <f>$C26*INDEX(Curves!$P$8:$P$68,Z$4-$B26+1)</f>
        <v/>
      </c>
      <c r="AA26" s="75">
        <f>$C26*INDEX(Curves!$P$8:$P$68,AA$4-$B26+1)</f>
        <v/>
      </c>
      <c r="AB26" s="75">
        <f>$C26*INDEX(Curves!$P$8:$P$68,AB$4-$B26+1)</f>
        <v/>
      </c>
      <c r="AC26" s="75">
        <f>$C26*INDEX(Curves!$P$8:$P$68,AC$4-$B26+1)</f>
        <v/>
      </c>
      <c r="AD26" s="75">
        <f>$C26*INDEX(Curves!$P$8:$P$68,AD$4-$B26+1)</f>
        <v/>
      </c>
      <c r="AE26" s="75">
        <f>$C26*INDEX(Curves!$P$8:$P$68,AE$4-$B26+1)</f>
        <v/>
      </c>
      <c r="AF26" s="75">
        <f>$C26*INDEX(Curves!$P$8:$P$68,AF$4-$B26+1)</f>
        <v/>
      </c>
      <c r="AG26" s="75">
        <f>$C26*INDEX(Curves!$P$8:$P$68,AG$4-$B26+1)</f>
        <v/>
      </c>
      <c r="AH26" s="75">
        <f>$C26*INDEX(Curves!$P$8:$P$68,AH$4-$B26+1)</f>
        <v/>
      </c>
      <c r="AI26" s="75">
        <f>$C26*INDEX(Curves!$P$8:$P$68,AI$4-$B26+1)</f>
        <v/>
      </c>
      <c r="AJ26" s="75">
        <f>$C26*INDEX(Curves!$P$8:$P$68,AJ$4-$B26+1)</f>
        <v/>
      </c>
      <c r="AK26" s="75">
        <f>$C26*INDEX(Curves!$P$8:$P$68,AK$4-$B26+1)</f>
        <v/>
      </c>
      <c r="AL26" s="75">
        <f>$C26*INDEX(Curves!$P$8:$P$68,AL$4-$B26+1)</f>
        <v/>
      </c>
      <c r="AM26" s="75">
        <f>$C26*INDEX(Curves!$P$8:$P$68,AM$4-$B26+1)</f>
        <v/>
      </c>
      <c r="AN26" s="75">
        <f>$C26*INDEX(Curves!$P$8:$P$68,AN$4-$B26+1)</f>
        <v/>
      </c>
      <c r="AO26" s="75">
        <f>$C26*INDEX(Curves!$P$8:$P$68,AO$4-$B26+1)</f>
        <v/>
      </c>
      <c r="AP26" s="75">
        <f>$C26*INDEX(Curves!$P$8:$P$68,AP$4-$B26+1)</f>
        <v/>
      </c>
      <c r="AQ26" s="75">
        <f>$C26*INDEX(Curves!$P$8:$P$68,AQ$4-$B26+1)</f>
        <v/>
      </c>
      <c r="AR26" s="75">
        <f>$C26*INDEX(Curves!$P$8:$P$68,AR$4-$B26+1)</f>
        <v/>
      </c>
      <c r="AS26" s="75">
        <f>$C26*INDEX(Curves!$P$8:$P$68,AS$4-$B26+1)</f>
        <v/>
      </c>
      <c r="AT26" s="75">
        <f>$C26*INDEX(Curves!$P$8:$P$68,AT$4-$B26+1)</f>
        <v/>
      </c>
      <c r="AU26" s="75">
        <f>$C26*INDEX(Curves!$P$8:$P$68,AU$4-$B26+1)</f>
        <v/>
      </c>
      <c r="AV26" s="75">
        <f>$C26*INDEX(Curves!$P$8:$P$68,AV$4-$B26+1)</f>
        <v/>
      </c>
      <c r="AW26" s="75">
        <f>$C26*INDEX(Curves!$P$8:$P$68,AW$4-$B26+1)</f>
        <v/>
      </c>
      <c r="AX26" s="75">
        <f>$C26*INDEX(Curves!$P$8:$P$68,AX$4-$B26+1)</f>
        <v/>
      </c>
      <c r="AY26" s="75">
        <f>$C26*INDEX(Curves!$P$8:$P$68,AY$4-$B26+1)</f>
        <v/>
      </c>
      <c r="AZ26" s="75">
        <f>$C26*INDEX(Curves!$P$8:$P$68,AZ$4-$B26+1)</f>
        <v/>
      </c>
      <c r="BA26" s="75">
        <f>$C26*INDEX(Curves!$P$8:$P$68,BA$4-$B26+1)</f>
        <v/>
      </c>
      <c r="BB26" s="75">
        <f>$C26*INDEX(Curves!$P$8:$P$68,BB$4-$B26+1)</f>
        <v/>
      </c>
      <c r="BC26" s="75">
        <f>$C26*INDEX(Curves!$P$8:$P$68,BC$4-$B26+1)</f>
        <v/>
      </c>
      <c r="BD26" s="75">
        <f>$C26*INDEX(Curves!$P$8:$P$68,BD$4-$B26+1)</f>
        <v/>
      </c>
      <c r="BE26" s="75">
        <f>$C26*INDEX(Curves!$P$8:$P$68,BE$4-$B26+1)</f>
        <v/>
      </c>
      <c r="BF26" s="75">
        <f>$C26*INDEX(Curves!$P$8:$P$68,BF$4-$B26+1)</f>
        <v/>
      </c>
      <c r="BG26" s="75">
        <f>$C26*INDEX(Curves!$P$8:$P$68,BG$4-$B26+1)</f>
        <v/>
      </c>
      <c r="BH26" s="75">
        <f>$C26*INDEX(Curves!$P$8:$P$68,BH$4-$B26+1)</f>
        <v/>
      </c>
      <c r="BI26" s="75">
        <f>$C26*INDEX(Curves!$P$8:$P$68,BI$4-$B26+1)</f>
        <v/>
      </c>
      <c r="BJ26" s="75">
        <f>$C26*INDEX(Curves!$P$8:$P$68,BJ$4-$B26+1)</f>
        <v/>
      </c>
      <c r="BK26" s="75">
        <f>$C26*INDEX(Curves!$P$8:$P$68,BK$4-$B26+1)</f>
        <v/>
      </c>
      <c r="BL26" s="75">
        <f>$C26*INDEX(Curves!$P$8:$P$68,BL$4-$B26+1)</f>
        <v/>
      </c>
    </row>
    <row r="27">
      <c r="A27" s="74" t="inlineStr">
        <is>
          <t>Cohort month 18</t>
        </is>
      </c>
      <c r="B27" s="74" t="n">
        <v>18</v>
      </c>
      <c r="C27" s="17">
        <f>INDEX(Ops!$E$35:$BL$35,1,$B27)</f>
        <v/>
      </c>
      <c r="W27" s="75">
        <f>$C27*INDEX(Curves!$P$8:$P$68,W$4-$B27+1)</f>
        <v/>
      </c>
      <c r="X27" s="75">
        <f>$C27*INDEX(Curves!$P$8:$P$68,X$4-$B27+1)</f>
        <v/>
      </c>
      <c r="Y27" s="75">
        <f>$C27*INDEX(Curves!$P$8:$P$68,Y$4-$B27+1)</f>
        <v/>
      </c>
      <c r="Z27" s="75">
        <f>$C27*INDEX(Curves!$P$8:$P$68,Z$4-$B27+1)</f>
        <v/>
      </c>
      <c r="AA27" s="75">
        <f>$C27*INDEX(Curves!$P$8:$P$68,AA$4-$B27+1)</f>
        <v/>
      </c>
      <c r="AB27" s="75">
        <f>$C27*INDEX(Curves!$P$8:$P$68,AB$4-$B27+1)</f>
        <v/>
      </c>
      <c r="AC27" s="75">
        <f>$C27*INDEX(Curves!$P$8:$P$68,AC$4-$B27+1)</f>
        <v/>
      </c>
      <c r="AD27" s="75">
        <f>$C27*INDEX(Curves!$P$8:$P$68,AD$4-$B27+1)</f>
        <v/>
      </c>
      <c r="AE27" s="75">
        <f>$C27*INDEX(Curves!$P$8:$P$68,AE$4-$B27+1)</f>
        <v/>
      </c>
      <c r="AF27" s="75">
        <f>$C27*INDEX(Curves!$P$8:$P$68,AF$4-$B27+1)</f>
        <v/>
      </c>
      <c r="AG27" s="75">
        <f>$C27*INDEX(Curves!$P$8:$P$68,AG$4-$B27+1)</f>
        <v/>
      </c>
      <c r="AH27" s="75">
        <f>$C27*INDEX(Curves!$P$8:$P$68,AH$4-$B27+1)</f>
        <v/>
      </c>
      <c r="AI27" s="75">
        <f>$C27*INDEX(Curves!$P$8:$P$68,AI$4-$B27+1)</f>
        <v/>
      </c>
      <c r="AJ27" s="75">
        <f>$C27*INDEX(Curves!$P$8:$P$68,AJ$4-$B27+1)</f>
        <v/>
      </c>
      <c r="AK27" s="75">
        <f>$C27*INDEX(Curves!$P$8:$P$68,AK$4-$B27+1)</f>
        <v/>
      </c>
      <c r="AL27" s="75">
        <f>$C27*INDEX(Curves!$P$8:$P$68,AL$4-$B27+1)</f>
        <v/>
      </c>
      <c r="AM27" s="75">
        <f>$C27*INDEX(Curves!$P$8:$P$68,AM$4-$B27+1)</f>
        <v/>
      </c>
      <c r="AN27" s="75">
        <f>$C27*INDEX(Curves!$P$8:$P$68,AN$4-$B27+1)</f>
        <v/>
      </c>
      <c r="AO27" s="75">
        <f>$C27*INDEX(Curves!$P$8:$P$68,AO$4-$B27+1)</f>
        <v/>
      </c>
      <c r="AP27" s="75">
        <f>$C27*INDEX(Curves!$P$8:$P$68,AP$4-$B27+1)</f>
        <v/>
      </c>
      <c r="AQ27" s="75">
        <f>$C27*INDEX(Curves!$P$8:$P$68,AQ$4-$B27+1)</f>
        <v/>
      </c>
      <c r="AR27" s="75">
        <f>$C27*INDEX(Curves!$P$8:$P$68,AR$4-$B27+1)</f>
        <v/>
      </c>
      <c r="AS27" s="75">
        <f>$C27*INDEX(Curves!$P$8:$P$68,AS$4-$B27+1)</f>
        <v/>
      </c>
      <c r="AT27" s="75">
        <f>$C27*INDEX(Curves!$P$8:$P$68,AT$4-$B27+1)</f>
        <v/>
      </c>
      <c r="AU27" s="75">
        <f>$C27*INDEX(Curves!$P$8:$P$68,AU$4-$B27+1)</f>
        <v/>
      </c>
      <c r="AV27" s="75">
        <f>$C27*INDEX(Curves!$P$8:$P$68,AV$4-$B27+1)</f>
        <v/>
      </c>
      <c r="AW27" s="75">
        <f>$C27*INDEX(Curves!$P$8:$P$68,AW$4-$B27+1)</f>
        <v/>
      </c>
      <c r="AX27" s="75">
        <f>$C27*INDEX(Curves!$P$8:$P$68,AX$4-$B27+1)</f>
        <v/>
      </c>
      <c r="AY27" s="75">
        <f>$C27*INDEX(Curves!$P$8:$P$68,AY$4-$B27+1)</f>
        <v/>
      </c>
      <c r="AZ27" s="75">
        <f>$C27*INDEX(Curves!$P$8:$P$68,AZ$4-$B27+1)</f>
        <v/>
      </c>
      <c r="BA27" s="75">
        <f>$C27*INDEX(Curves!$P$8:$P$68,BA$4-$B27+1)</f>
        <v/>
      </c>
      <c r="BB27" s="75">
        <f>$C27*INDEX(Curves!$P$8:$P$68,BB$4-$B27+1)</f>
        <v/>
      </c>
      <c r="BC27" s="75">
        <f>$C27*INDEX(Curves!$P$8:$P$68,BC$4-$B27+1)</f>
        <v/>
      </c>
      <c r="BD27" s="75">
        <f>$C27*INDEX(Curves!$P$8:$P$68,BD$4-$B27+1)</f>
        <v/>
      </c>
      <c r="BE27" s="75">
        <f>$C27*INDEX(Curves!$P$8:$P$68,BE$4-$B27+1)</f>
        <v/>
      </c>
      <c r="BF27" s="75">
        <f>$C27*INDEX(Curves!$P$8:$P$68,BF$4-$B27+1)</f>
        <v/>
      </c>
      <c r="BG27" s="75">
        <f>$C27*INDEX(Curves!$P$8:$P$68,BG$4-$B27+1)</f>
        <v/>
      </c>
      <c r="BH27" s="75">
        <f>$C27*INDEX(Curves!$P$8:$P$68,BH$4-$B27+1)</f>
        <v/>
      </c>
      <c r="BI27" s="75">
        <f>$C27*INDEX(Curves!$P$8:$P$68,BI$4-$B27+1)</f>
        <v/>
      </c>
      <c r="BJ27" s="75">
        <f>$C27*INDEX(Curves!$P$8:$P$68,BJ$4-$B27+1)</f>
        <v/>
      </c>
      <c r="BK27" s="75">
        <f>$C27*INDEX(Curves!$P$8:$P$68,BK$4-$B27+1)</f>
        <v/>
      </c>
      <c r="BL27" s="75">
        <f>$C27*INDEX(Curves!$P$8:$P$68,BL$4-$B27+1)</f>
        <v/>
      </c>
    </row>
    <row r="28">
      <c r="A28" s="74" t="inlineStr">
        <is>
          <t>Cohort month 19</t>
        </is>
      </c>
      <c r="B28" s="74" t="n">
        <v>19</v>
      </c>
      <c r="C28" s="17">
        <f>INDEX(Ops!$E$35:$BL$35,1,$B28)</f>
        <v/>
      </c>
      <c r="X28" s="75">
        <f>$C28*INDEX(Curves!$P$8:$P$68,X$4-$B28+1)</f>
        <v/>
      </c>
      <c r="Y28" s="75">
        <f>$C28*INDEX(Curves!$P$8:$P$68,Y$4-$B28+1)</f>
        <v/>
      </c>
      <c r="Z28" s="75">
        <f>$C28*INDEX(Curves!$P$8:$P$68,Z$4-$B28+1)</f>
        <v/>
      </c>
      <c r="AA28" s="75">
        <f>$C28*INDEX(Curves!$P$8:$P$68,AA$4-$B28+1)</f>
        <v/>
      </c>
      <c r="AB28" s="75">
        <f>$C28*INDEX(Curves!$P$8:$P$68,AB$4-$B28+1)</f>
        <v/>
      </c>
      <c r="AC28" s="75">
        <f>$C28*INDEX(Curves!$P$8:$P$68,AC$4-$B28+1)</f>
        <v/>
      </c>
      <c r="AD28" s="75">
        <f>$C28*INDEX(Curves!$P$8:$P$68,AD$4-$B28+1)</f>
        <v/>
      </c>
      <c r="AE28" s="75">
        <f>$C28*INDEX(Curves!$P$8:$P$68,AE$4-$B28+1)</f>
        <v/>
      </c>
      <c r="AF28" s="75">
        <f>$C28*INDEX(Curves!$P$8:$P$68,AF$4-$B28+1)</f>
        <v/>
      </c>
      <c r="AG28" s="75">
        <f>$C28*INDEX(Curves!$P$8:$P$68,AG$4-$B28+1)</f>
        <v/>
      </c>
      <c r="AH28" s="75">
        <f>$C28*INDEX(Curves!$P$8:$P$68,AH$4-$B28+1)</f>
        <v/>
      </c>
      <c r="AI28" s="75">
        <f>$C28*INDEX(Curves!$P$8:$P$68,AI$4-$B28+1)</f>
        <v/>
      </c>
      <c r="AJ28" s="75">
        <f>$C28*INDEX(Curves!$P$8:$P$68,AJ$4-$B28+1)</f>
        <v/>
      </c>
      <c r="AK28" s="75">
        <f>$C28*INDEX(Curves!$P$8:$P$68,AK$4-$B28+1)</f>
        <v/>
      </c>
      <c r="AL28" s="75">
        <f>$C28*INDEX(Curves!$P$8:$P$68,AL$4-$B28+1)</f>
        <v/>
      </c>
      <c r="AM28" s="75">
        <f>$C28*INDEX(Curves!$P$8:$P$68,AM$4-$B28+1)</f>
        <v/>
      </c>
      <c r="AN28" s="75">
        <f>$C28*INDEX(Curves!$P$8:$P$68,AN$4-$B28+1)</f>
        <v/>
      </c>
      <c r="AO28" s="75">
        <f>$C28*INDEX(Curves!$P$8:$P$68,AO$4-$B28+1)</f>
        <v/>
      </c>
      <c r="AP28" s="75">
        <f>$C28*INDEX(Curves!$P$8:$P$68,AP$4-$B28+1)</f>
        <v/>
      </c>
      <c r="AQ28" s="75">
        <f>$C28*INDEX(Curves!$P$8:$P$68,AQ$4-$B28+1)</f>
        <v/>
      </c>
      <c r="AR28" s="75">
        <f>$C28*INDEX(Curves!$P$8:$P$68,AR$4-$B28+1)</f>
        <v/>
      </c>
      <c r="AS28" s="75">
        <f>$C28*INDEX(Curves!$P$8:$P$68,AS$4-$B28+1)</f>
        <v/>
      </c>
      <c r="AT28" s="75">
        <f>$C28*INDEX(Curves!$P$8:$P$68,AT$4-$B28+1)</f>
        <v/>
      </c>
      <c r="AU28" s="75">
        <f>$C28*INDEX(Curves!$P$8:$P$68,AU$4-$B28+1)</f>
        <v/>
      </c>
      <c r="AV28" s="75">
        <f>$C28*INDEX(Curves!$P$8:$P$68,AV$4-$B28+1)</f>
        <v/>
      </c>
      <c r="AW28" s="75">
        <f>$C28*INDEX(Curves!$P$8:$P$68,AW$4-$B28+1)</f>
        <v/>
      </c>
      <c r="AX28" s="75">
        <f>$C28*INDEX(Curves!$P$8:$P$68,AX$4-$B28+1)</f>
        <v/>
      </c>
      <c r="AY28" s="75">
        <f>$C28*INDEX(Curves!$P$8:$P$68,AY$4-$B28+1)</f>
        <v/>
      </c>
      <c r="AZ28" s="75">
        <f>$C28*INDEX(Curves!$P$8:$P$68,AZ$4-$B28+1)</f>
        <v/>
      </c>
      <c r="BA28" s="75">
        <f>$C28*INDEX(Curves!$P$8:$P$68,BA$4-$B28+1)</f>
        <v/>
      </c>
      <c r="BB28" s="75">
        <f>$C28*INDEX(Curves!$P$8:$P$68,BB$4-$B28+1)</f>
        <v/>
      </c>
      <c r="BC28" s="75">
        <f>$C28*INDEX(Curves!$P$8:$P$68,BC$4-$B28+1)</f>
        <v/>
      </c>
      <c r="BD28" s="75">
        <f>$C28*INDEX(Curves!$P$8:$P$68,BD$4-$B28+1)</f>
        <v/>
      </c>
      <c r="BE28" s="75">
        <f>$C28*INDEX(Curves!$P$8:$P$68,BE$4-$B28+1)</f>
        <v/>
      </c>
      <c r="BF28" s="75">
        <f>$C28*INDEX(Curves!$P$8:$P$68,BF$4-$B28+1)</f>
        <v/>
      </c>
      <c r="BG28" s="75">
        <f>$C28*INDEX(Curves!$P$8:$P$68,BG$4-$B28+1)</f>
        <v/>
      </c>
      <c r="BH28" s="75">
        <f>$C28*INDEX(Curves!$P$8:$P$68,BH$4-$B28+1)</f>
        <v/>
      </c>
      <c r="BI28" s="75">
        <f>$C28*INDEX(Curves!$P$8:$P$68,BI$4-$B28+1)</f>
        <v/>
      </c>
      <c r="BJ28" s="75">
        <f>$C28*INDEX(Curves!$P$8:$P$68,BJ$4-$B28+1)</f>
        <v/>
      </c>
      <c r="BK28" s="75">
        <f>$C28*INDEX(Curves!$P$8:$P$68,BK$4-$B28+1)</f>
        <v/>
      </c>
      <c r="BL28" s="75">
        <f>$C28*INDEX(Curves!$P$8:$P$68,BL$4-$B28+1)</f>
        <v/>
      </c>
    </row>
    <row r="29">
      <c r="A29" s="74" t="inlineStr">
        <is>
          <t>Cohort month 20</t>
        </is>
      </c>
      <c r="B29" s="74" t="n">
        <v>20</v>
      </c>
      <c r="C29" s="17">
        <f>INDEX(Ops!$E$35:$BL$35,1,$B29)</f>
        <v/>
      </c>
      <c r="Y29" s="75">
        <f>$C29*INDEX(Curves!$P$8:$P$68,Y$4-$B29+1)</f>
        <v/>
      </c>
      <c r="Z29" s="75">
        <f>$C29*INDEX(Curves!$P$8:$P$68,Z$4-$B29+1)</f>
        <v/>
      </c>
      <c r="AA29" s="75">
        <f>$C29*INDEX(Curves!$P$8:$P$68,AA$4-$B29+1)</f>
        <v/>
      </c>
      <c r="AB29" s="75">
        <f>$C29*INDEX(Curves!$P$8:$P$68,AB$4-$B29+1)</f>
        <v/>
      </c>
      <c r="AC29" s="75">
        <f>$C29*INDEX(Curves!$P$8:$P$68,AC$4-$B29+1)</f>
        <v/>
      </c>
      <c r="AD29" s="75">
        <f>$C29*INDEX(Curves!$P$8:$P$68,AD$4-$B29+1)</f>
        <v/>
      </c>
      <c r="AE29" s="75">
        <f>$C29*INDEX(Curves!$P$8:$P$68,AE$4-$B29+1)</f>
        <v/>
      </c>
      <c r="AF29" s="75">
        <f>$C29*INDEX(Curves!$P$8:$P$68,AF$4-$B29+1)</f>
        <v/>
      </c>
      <c r="AG29" s="75">
        <f>$C29*INDEX(Curves!$P$8:$P$68,AG$4-$B29+1)</f>
        <v/>
      </c>
      <c r="AH29" s="75">
        <f>$C29*INDEX(Curves!$P$8:$P$68,AH$4-$B29+1)</f>
        <v/>
      </c>
      <c r="AI29" s="75">
        <f>$C29*INDEX(Curves!$P$8:$P$68,AI$4-$B29+1)</f>
        <v/>
      </c>
      <c r="AJ29" s="75">
        <f>$C29*INDEX(Curves!$P$8:$P$68,AJ$4-$B29+1)</f>
        <v/>
      </c>
      <c r="AK29" s="75">
        <f>$C29*INDEX(Curves!$P$8:$P$68,AK$4-$B29+1)</f>
        <v/>
      </c>
      <c r="AL29" s="75">
        <f>$C29*INDEX(Curves!$P$8:$P$68,AL$4-$B29+1)</f>
        <v/>
      </c>
      <c r="AM29" s="75">
        <f>$C29*INDEX(Curves!$P$8:$P$68,AM$4-$B29+1)</f>
        <v/>
      </c>
      <c r="AN29" s="75">
        <f>$C29*INDEX(Curves!$P$8:$P$68,AN$4-$B29+1)</f>
        <v/>
      </c>
      <c r="AO29" s="75">
        <f>$C29*INDEX(Curves!$P$8:$P$68,AO$4-$B29+1)</f>
        <v/>
      </c>
      <c r="AP29" s="75">
        <f>$C29*INDEX(Curves!$P$8:$P$68,AP$4-$B29+1)</f>
        <v/>
      </c>
      <c r="AQ29" s="75">
        <f>$C29*INDEX(Curves!$P$8:$P$68,AQ$4-$B29+1)</f>
        <v/>
      </c>
      <c r="AR29" s="75">
        <f>$C29*INDEX(Curves!$P$8:$P$68,AR$4-$B29+1)</f>
        <v/>
      </c>
      <c r="AS29" s="75">
        <f>$C29*INDEX(Curves!$P$8:$P$68,AS$4-$B29+1)</f>
        <v/>
      </c>
      <c r="AT29" s="75">
        <f>$C29*INDEX(Curves!$P$8:$P$68,AT$4-$B29+1)</f>
        <v/>
      </c>
      <c r="AU29" s="75">
        <f>$C29*INDEX(Curves!$P$8:$P$68,AU$4-$B29+1)</f>
        <v/>
      </c>
      <c r="AV29" s="75">
        <f>$C29*INDEX(Curves!$P$8:$P$68,AV$4-$B29+1)</f>
        <v/>
      </c>
      <c r="AW29" s="75">
        <f>$C29*INDEX(Curves!$P$8:$P$68,AW$4-$B29+1)</f>
        <v/>
      </c>
      <c r="AX29" s="75">
        <f>$C29*INDEX(Curves!$P$8:$P$68,AX$4-$B29+1)</f>
        <v/>
      </c>
      <c r="AY29" s="75">
        <f>$C29*INDEX(Curves!$P$8:$P$68,AY$4-$B29+1)</f>
        <v/>
      </c>
      <c r="AZ29" s="75">
        <f>$C29*INDEX(Curves!$P$8:$P$68,AZ$4-$B29+1)</f>
        <v/>
      </c>
      <c r="BA29" s="75">
        <f>$C29*INDEX(Curves!$P$8:$P$68,BA$4-$B29+1)</f>
        <v/>
      </c>
      <c r="BB29" s="75">
        <f>$C29*INDEX(Curves!$P$8:$P$68,BB$4-$B29+1)</f>
        <v/>
      </c>
      <c r="BC29" s="75">
        <f>$C29*INDEX(Curves!$P$8:$P$68,BC$4-$B29+1)</f>
        <v/>
      </c>
      <c r="BD29" s="75">
        <f>$C29*INDEX(Curves!$P$8:$P$68,BD$4-$B29+1)</f>
        <v/>
      </c>
      <c r="BE29" s="75">
        <f>$C29*INDEX(Curves!$P$8:$P$68,BE$4-$B29+1)</f>
        <v/>
      </c>
      <c r="BF29" s="75">
        <f>$C29*INDEX(Curves!$P$8:$P$68,BF$4-$B29+1)</f>
        <v/>
      </c>
      <c r="BG29" s="75">
        <f>$C29*INDEX(Curves!$P$8:$P$68,BG$4-$B29+1)</f>
        <v/>
      </c>
      <c r="BH29" s="75">
        <f>$C29*INDEX(Curves!$P$8:$P$68,BH$4-$B29+1)</f>
        <v/>
      </c>
      <c r="BI29" s="75">
        <f>$C29*INDEX(Curves!$P$8:$P$68,BI$4-$B29+1)</f>
        <v/>
      </c>
      <c r="BJ29" s="75">
        <f>$C29*INDEX(Curves!$P$8:$P$68,BJ$4-$B29+1)</f>
        <v/>
      </c>
      <c r="BK29" s="75">
        <f>$C29*INDEX(Curves!$P$8:$P$68,BK$4-$B29+1)</f>
        <v/>
      </c>
      <c r="BL29" s="75">
        <f>$C29*INDEX(Curves!$P$8:$P$68,BL$4-$B29+1)</f>
        <v/>
      </c>
    </row>
    <row r="30">
      <c r="A30" s="74" t="inlineStr">
        <is>
          <t>Cohort month 21</t>
        </is>
      </c>
      <c r="B30" s="74" t="n">
        <v>21</v>
      </c>
      <c r="C30" s="17">
        <f>INDEX(Ops!$E$35:$BL$35,1,$B30)</f>
        <v/>
      </c>
      <c r="Z30" s="75">
        <f>$C30*INDEX(Curves!$P$8:$P$68,Z$4-$B30+1)</f>
        <v/>
      </c>
      <c r="AA30" s="75">
        <f>$C30*INDEX(Curves!$P$8:$P$68,AA$4-$B30+1)</f>
        <v/>
      </c>
      <c r="AB30" s="75">
        <f>$C30*INDEX(Curves!$P$8:$P$68,AB$4-$B30+1)</f>
        <v/>
      </c>
      <c r="AC30" s="75">
        <f>$C30*INDEX(Curves!$P$8:$P$68,AC$4-$B30+1)</f>
        <v/>
      </c>
      <c r="AD30" s="75">
        <f>$C30*INDEX(Curves!$P$8:$P$68,AD$4-$B30+1)</f>
        <v/>
      </c>
      <c r="AE30" s="75">
        <f>$C30*INDEX(Curves!$P$8:$P$68,AE$4-$B30+1)</f>
        <v/>
      </c>
      <c r="AF30" s="75">
        <f>$C30*INDEX(Curves!$P$8:$P$68,AF$4-$B30+1)</f>
        <v/>
      </c>
      <c r="AG30" s="75">
        <f>$C30*INDEX(Curves!$P$8:$P$68,AG$4-$B30+1)</f>
        <v/>
      </c>
      <c r="AH30" s="75">
        <f>$C30*INDEX(Curves!$P$8:$P$68,AH$4-$B30+1)</f>
        <v/>
      </c>
      <c r="AI30" s="75">
        <f>$C30*INDEX(Curves!$P$8:$P$68,AI$4-$B30+1)</f>
        <v/>
      </c>
      <c r="AJ30" s="75">
        <f>$C30*INDEX(Curves!$P$8:$P$68,AJ$4-$B30+1)</f>
        <v/>
      </c>
      <c r="AK30" s="75">
        <f>$C30*INDEX(Curves!$P$8:$P$68,AK$4-$B30+1)</f>
        <v/>
      </c>
      <c r="AL30" s="75">
        <f>$C30*INDEX(Curves!$P$8:$P$68,AL$4-$B30+1)</f>
        <v/>
      </c>
      <c r="AM30" s="75">
        <f>$C30*INDEX(Curves!$P$8:$P$68,AM$4-$B30+1)</f>
        <v/>
      </c>
      <c r="AN30" s="75">
        <f>$C30*INDEX(Curves!$P$8:$P$68,AN$4-$B30+1)</f>
        <v/>
      </c>
      <c r="AO30" s="75">
        <f>$C30*INDEX(Curves!$P$8:$P$68,AO$4-$B30+1)</f>
        <v/>
      </c>
      <c r="AP30" s="75">
        <f>$C30*INDEX(Curves!$P$8:$P$68,AP$4-$B30+1)</f>
        <v/>
      </c>
      <c r="AQ30" s="75">
        <f>$C30*INDEX(Curves!$P$8:$P$68,AQ$4-$B30+1)</f>
        <v/>
      </c>
      <c r="AR30" s="75">
        <f>$C30*INDEX(Curves!$P$8:$P$68,AR$4-$B30+1)</f>
        <v/>
      </c>
      <c r="AS30" s="75">
        <f>$C30*INDEX(Curves!$P$8:$P$68,AS$4-$B30+1)</f>
        <v/>
      </c>
      <c r="AT30" s="75">
        <f>$C30*INDEX(Curves!$P$8:$P$68,AT$4-$B30+1)</f>
        <v/>
      </c>
      <c r="AU30" s="75">
        <f>$C30*INDEX(Curves!$P$8:$P$68,AU$4-$B30+1)</f>
        <v/>
      </c>
      <c r="AV30" s="75">
        <f>$C30*INDEX(Curves!$P$8:$P$68,AV$4-$B30+1)</f>
        <v/>
      </c>
      <c r="AW30" s="75">
        <f>$C30*INDEX(Curves!$P$8:$P$68,AW$4-$B30+1)</f>
        <v/>
      </c>
      <c r="AX30" s="75">
        <f>$C30*INDEX(Curves!$P$8:$P$68,AX$4-$B30+1)</f>
        <v/>
      </c>
      <c r="AY30" s="75">
        <f>$C30*INDEX(Curves!$P$8:$P$68,AY$4-$B30+1)</f>
        <v/>
      </c>
      <c r="AZ30" s="75">
        <f>$C30*INDEX(Curves!$P$8:$P$68,AZ$4-$B30+1)</f>
        <v/>
      </c>
      <c r="BA30" s="75">
        <f>$C30*INDEX(Curves!$P$8:$P$68,BA$4-$B30+1)</f>
        <v/>
      </c>
      <c r="BB30" s="75">
        <f>$C30*INDEX(Curves!$P$8:$P$68,BB$4-$B30+1)</f>
        <v/>
      </c>
      <c r="BC30" s="75">
        <f>$C30*INDEX(Curves!$P$8:$P$68,BC$4-$B30+1)</f>
        <v/>
      </c>
      <c r="BD30" s="75">
        <f>$C30*INDEX(Curves!$P$8:$P$68,BD$4-$B30+1)</f>
        <v/>
      </c>
      <c r="BE30" s="75">
        <f>$C30*INDEX(Curves!$P$8:$P$68,BE$4-$B30+1)</f>
        <v/>
      </c>
      <c r="BF30" s="75">
        <f>$C30*INDEX(Curves!$P$8:$P$68,BF$4-$B30+1)</f>
        <v/>
      </c>
      <c r="BG30" s="75">
        <f>$C30*INDEX(Curves!$P$8:$P$68,BG$4-$B30+1)</f>
        <v/>
      </c>
      <c r="BH30" s="75">
        <f>$C30*INDEX(Curves!$P$8:$P$68,BH$4-$B30+1)</f>
        <v/>
      </c>
      <c r="BI30" s="75">
        <f>$C30*INDEX(Curves!$P$8:$P$68,BI$4-$B30+1)</f>
        <v/>
      </c>
      <c r="BJ30" s="75">
        <f>$C30*INDEX(Curves!$P$8:$P$68,BJ$4-$B30+1)</f>
        <v/>
      </c>
      <c r="BK30" s="75">
        <f>$C30*INDEX(Curves!$P$8:$P$68,BK$4-$B30+1)</f>
        <v/>
      </c>
      <c r="BL30" s="75">
        <f>$C30*INDEX(Curves!$P$8:$P$68,BL$4-$B30+1)</f>
        <v/>
      </c>
    </row>
    <row r="31">
      <c r="A31" s="74" t="inlineStr">
        <is>
          <t>Cohort month 22</t>
        </is>
      </c>
      <c r="B31" s="74" t="n">
        <v>22</v>
      </c>
      <c r="C31" s="17">
        <f>INDEX(Ops!$E$35:$BL$35,1,$B31)</f>
        <v/>
      </c>
      <c r="AA31" s="75">
        <f>$C31*INDEX(Curves!$P$8:$P$68,AA$4-$B31+1)</f>
        <v/>
      </c>
      <c r="AB31" s="75">
        <f>$C31*INDEX(Curves!$P$8:$P$68,AB$4-$B31+1)</f>
        <v/>
      </c>
      <c r="AC31" s="75">
        <f>$C31*INDEX(Curves!$P$8:$P$68,AC$4-$B31+1)</f>
        <v/>
      </c>
      <c r="AD31" s="75">
        <f>$C31*INDEX(Curves!$P$8:$P$68,AD$4-$B31+1)</f>
        <v/>
      </c>
      <c r="AE31" s="75">
        <f>$C31*INDEX(Curves!$P$8:$P$68,AE$4-$B31+1)</f>
        <v/>
      </c>
      <c r="AF31" s="75">
        <f>$C31*INDEX(Curves!$P$8:$P$68,AF$4-$B31+1)</f>
        <v/>
      </c>
      <c r="AG31" s="75">
        <f>$C31*INDEX(Curves!$P$8:$P$68,AG$4-$B31+1)</f>
        <v/>
      </c>
      <c r="AH31" s="75">
        <f>$C31*INDEX(Curves!$P$8:$P$68,AH$4-$B31+1)</f>
        <v/>
      </c>
      <c r="AI31" s="75">
        <f>$C31*INDEX(Curves!$P$8:$P$68,AI$4-$B31+1)</f>
        <v/>
      </c>
      <c r="AJ31" s="75">
        <f>$C31*INDEX(Curves!$P$8:$P$68,AJ$4-$B31+1)</f>
        <v/>
      </c>
      <c r="AK31" s="75">
        <f>$C31*INDEX(Curves!$P$8:$P$68,AK$4-$B31+1)</f>
        <v/>
      </c>
      <c r="AL31" s="75">
        <f>$C31*INDEX(Curves!$P$8:$P$68,AL$4-$B31+1)</f>
        <v/>
      </c>
      <c r="AM31" s="75">
        <f>$C31*INDEX(Curves!$P$8:$P$68,AM$4-$B31+1)</f>
        <v/>
      </c>
      <c r="AN31" s="75">
        <f>$C31*INDEX(Curves!$P$8:$P$68,AN$4-$B31+1)</f>
        <v/>
      </c>
      <c r="AO31" s="75">
        <f>$C31*INDEX(Curves!$P$8:$P$68,AO$4-$B31+1)</f>
        <v/>
      </c>
      <c r="AP31" s="75">
        <f>$C31*INDEX(Curves!$P$8:$P$68,AP$4-$B31+1)</f>
        <v/>
      </c>
      <c r="AQ31" s="75">
        <f>$C31*INDEX(Curves!$P$8:$P$68,AQ$4-$B31+1)</f>
        <v/>
      </c>
      <c r="AR31" s="75">
        <f>$C31*INDEX(Curves!$P$8:$P$68,AR$4-$B31+1)</f>
        <v/>
      </c>
      <c r="AS31" s="75">
        <f>$C31*INDEX(Curves!$P$8:$P$68,AS$4-$B31+1)</f>
        <v/>
      </c>
      <c r="AT31" s="75">
        <f>$C31*INDEX(Curves!$P$8:$P$68,AT$4-$B31+1)</f>
        <v/>
      </c>
      <c r="AU31" s="75">
        <f>$C31*INDEX(Curves!$P$8:$P$68,AU$4-$B31+1)</f>
        <v/>
      </c>
      <c r="AV31" s="75">
        <f>$C31*INDEX(Curves!$P$8:$P$68,AV$4-$B31+1)</f>
        <v/>
      </c>
      <c r="AW31" s="75">
        <f>$C31*INDEX(Curves!$P$8:$P$68,AW$4-$B31+1)</f>
        <v/>
      </c>
      <c r="AX31" s="75">
        <f>$C31*INDEX(Curves!$P$8:$P$68,AX$4-$B31+1)</f>
        <v/>
      </c>
      <c r="AY31" s="75">
        <f>$C31*INDEX(Curves!$P$8:$P$68,AY$4-$B31+1)</f>
        <v/>
      </c>
      <c r="AZ31" s="75">
        <f>$C31*INDEX(Curves!$P$8:$P$68,AZ$4-$B31+1)</f>
        <v/>
      </c>
      <c r="BA31" s="75">
        <f>$C31*INDEX(Curves!$P$8:$P$68,BA$4-$B31+1)</f>
        <v/>
      </c>
      <c r="BB31" s="75">
        <f>$C31*INDEX(Curves!$P$8:$P$68,BB$4-$B31+1)</f>
        <v/>
      </c>
      <c r="BC31" s="75">
        <f>$C31*INDEX(Curves!$P$8:$P$68,BC$4-$B31+1)</f>
        <v/>
      </c>
      <c r="BD31" s="75">
        <f>$C31*INDEX(Curves!$P$8:$P$68,BD$4-$B31+1)</f>
        <v/>
      </c>
      <c r="BE31" s="75">
        <f>$C31*INDEX(Curves!$P$8:$P$68,BE$4-$B31+1)</f>
        <v/>
      </c>
      <c r="BF31" s="75">
        <f>$C31*INDEX(Curves!$P$8:$P$68,BF$4-$B31+1)</f>
        <v/>
      </c>
      <c r="BG31" s="75">
        <f>$C31*INDEX(Curves!$P$8:$P$68,BG$4-$B31+1)</f>
        <v/>
      </c>
      <c r="BH31" s="75">
        <f>$C31*INDEX(Curves!$P$8:$P$68,BH$4-$B31+1)</f>
        <v/>
      </c>
      <c r="BI31" s="75">
        <f>$C31*INDEX(Curves!$P$8:$P$68,BI$4-$B31+1)</f>
        <v/>
      </c>
      <c r="BJ31" s="75">
        <f>$C31*INDEX(Curves!$P$8:$P$68,BJ$4-$B31+1)</f>
        <v/>
      </c>
      <c r="BK31" s="75">
        <f>$C31*INDEX(Curves!$P$8:$P$68,BK$4-$B31+1)</f>
        <v/>
      </c>
      <c r="BL31" s="75">
        <f>$C31*INDEX(Curves!$P$8:$P$68,BL$4-$B31+1)</f>
        <v/>
      </c>
    </row>
    <row r="32">
      <c r="A32" s="74" t="inlineStr">
        <is>
          <t>Cohort month 23</t>
        </is>
      </c>
      <c r="B32" s="74" t="n">
        <v>23</v>
      </c>
      <c r="C32" s="17">
        <f>INDEX(Ops!$E$35:$BL$35,1,$B32)</f>
        <v/>
      </c>
      <c r="AB32" s="75">
        <f>$C32*INDEX(Curves!$P$8:$P$68,AB$4-$B32+1)</f>
        <v/>
      </c>
      <c r="AC32" s="75">
        <f>$C32*INDEX(Curves!$P$8:$P$68,AC$4-$B32+1)</f>
        <v/>
      </c>
      <c r="AD32" s="75">
        <f>$C32*INDEX(Curves!$P$8:$P$68,AD$4-$B32+1)</f>
        <v/>
      </c>
      <c r="AE32" s="75">
        <f>$C32*INDEX(Curves!$P$8:$P$68,AE$4-$B32+1)</f>
        <v/>
      </c>
      <c r="AF32" s="75">
        <f>$C32*INDEX(Curves!$P$8:$P$68,AF$4-$B32+1)</f>
        <v/>
      </c>
      <c r="AG32" s="75">
        <f>$C32*INDEX(Curves!$P$8:$P$68,AG$4-$B32+1)</f>
        <v/>
      </c>
      <c r="AH32" s="75">
        <f>$C32*INDEX(Curves!$P$8:$P$68,AH$4-$B32+1)</f>
        <v/>
      </c>
      <c r="AI32" s="75">
        <f>$C32*INDEX(Curves!$P$8:$P$68,AI$4-$B32+1)</f>
        <v/>
      </c>
      <c r="AJ32" s="75">
        <f>$C32*INDEX(Curves!$P$8:$P$68,AJ$4-$B32+1)</f>
        <v/>
      </c>
      <c r="AK32" s="75">
        <f>$C32*INDEX(Curves!$P$8:$P$68,AK$4-$B32+1)</f>
        <v/>
      </c>
      <c r="AL32" s="75">
        <f>$C32*INDEX(Curves!$P$8:$P$68,AL$4-$B32+1)</f>
        <v/>
      </c>
      <c r="AM32" s="75">
        <f>$C32*INDEX(Curves!$P$8:$P$68,AM$4-$B32+1)</f>
        <v/>
      </c>
      <c r="AN32" s="75">
        <f>$C32*INDEX(Curves!$P$8:$P$68,AN$4-$B32+1)</f>
        <v/>
      </c>
      <c r="AO32" s="75">
        <f>$C32*INDEX(Curves!$P$8:$P$68,AO$4-$B32+1)</f>
        <v/>
      </c>
      <c r="AP32" s="75">
        <f>$C32*INDEX(Curves!$P$8:$P$68,AP$4-$B32+1)</f>
        <v/>
      </c>
      <c r="AQ32" s="75">
        <f>$C32*INDEX(Curves!$P$8:$P$68,AQ$4-$B32+1)</f>
        <v/>
      </c>
      <c r="AR32" s="75">
        <f>$C32*INDEX(Curves!$P$8:$P$68,AR$4-$B32+1)</f>
        <v/>
      </c>
      <c r="AS32" s="75">
        <f>$C32*INDEX(Curves!$P$8:$P$68,AS$4-$B32+1)</f>
        <v/>
      </c>
      <c r="AT32" s="75">
        <f>$C32*INDEX(Curves!$P$8:$P$68,AT$4-$B32+1)</f>
        <v/>
      </c>
      <c r="AU32" s="75">
        <f>$C32*INDEX(Curves!$P$8:$P$68,AU$4-$B32+1)</f>
        <v/>
      </c>
      <c r="AV32" s="75">
        <f>$C32*INDEX(Curves!$P$8:$P$68,AV$4-$B32+1)</f>
        <v/>
      </c>
      <c r="AW32" s="75">
        <f>$C32*INDEX(Curves!$P$8:$P$68,AW$4-$B32+1)</f>
        <v/>
      </c>
      <c r="AX32" s="75">
        <f>$C32*INDEX(Curves!$P$8:$P$68,AX$4-$B32+1)</f>
        <v/>
      </c>
      <c r="AY32" s="75">
        <f>$C32*INDEX(Curves!$P$8:$P$68,AY$4-$B32+1)</f>
        <v/>
      </c>
      <c r="AZ32" s="75">
        <f>$C32*INDEX(Curves!$P$8:$P$68,AZ$4-$B32+1)</f>
        <v/>
      </c>
      <c r="BA32" s="75">
        <f>$C32*INDEX(Curves!$P$8:$P$68,BA$4-$B32+1)</f>
        <v/>
      </c>
      <c r="BB32" s="75">
        <f>$C32*INDEX(Curves!$P$8:$P$68,BB$4-$B32+1)</f>
        <v/>
      </c>
      <c r="BC32" s="75">
        <f>$C32*INDEX(Curves!$P$8:$P$68,BC$4-$B32+1)</f>
        <v/>
      </c>
      <c r="BD32" s="75">
        <f>$C32*INDEX(Curves!$P$8:$P$68,BD$4-$B32+1)</f>
        <v/>
      </c>
      <c r="BE32" s="75">
        <f>$C32*INDEX(Curves!$P$8:$P$68,BE$4-$B32+1)</f>
        <v/>
      </c>
      <c r="BF32" s="75">
        <f>$C32*INDEX(Curves!$P$8:$P$68,BF$4-$B32+1)</f>
        <v/>
      </c>
      <c r="BG32" s="75">
        <f>$C32*INDEX(Curves!$P$8:$P$68,BG$4-$B32+1)</f>
        <v/>
      </c>
      <c r="BH32" s="75">
        <f>$C32*INDEX(Curves!$P$8:$P$68,BH$4-$B32+1)</f>
        <v/>
      </c>
      <c r="BI32" s="75">
        <f>$C32*INDEX(Curves!$P$8:$P$68,BI$4-$B32+1)</f>
        <v/>
      </c>
      <c r="BJ32" s="75">
        <f>$C32*INDEX(Curves!$P$8:$P$68,BJ$4-$B32+1)</f>
        <v/>
      </c>
      <c r="BK32" s="75">
        <f>$C32*INDEX(Curves!$P$8:$P$68,BK$4-$B32+1)</f>
        <v/>
      </c>
      <c r="BL32" s="75">
        <f>$C32*INDEX(Curves!$P$8:$P$68,BL$4-$B32+1)</f>
        <v/>
      </c>
    </row>
    <row r="33">
      <c r="A33" s="74" t="inlineStr">
        <is>
          <t>Cohort month 24</t>
        </is>
      </c>
      <c r="B33" s="74" t="n">
        <v>24</v>
      </c>
      <c r="C33" s="17">
        <f>INDEX(Ops!$E$35:$BL$35,1,$B33)</f>
        <v/>
      </c>
      <c r="AC33" s="75">
        <f>$C33*INDEX(Curves!$P$8:$P$68,AC$4-$B33+1)</f>
        <v/>
      </c>
      <c r="AD33" s="75">
        <f>$C33*INDEX(Curves!$P$8:$P$68,AD$4-$B33+1)</f>
        <v/>
      </c>
      <c r="AE33" s="75">
        <f>$C33*INDEX(Curves!$P$8:$P$68,AE$4-$B33+1)</f>
        <v/>
      </c>
      <c r="AF33" s="75">
        <f>$C33*INDEX(Curves!$P$8:$P$68,AF$4-$B33+1)</f>
        <v/>
      </c>
      <c r="AG33" s="75">
        <f>$C33*INDEX(Curves!$P$8:$P$68,AG$4-$B33+1)</f>
        <v/>
      </c>
      <c r="AH33" s="75">
        <f>$C33*INDEX(Curves!$P$8:$P$68,AH$4-$B33+1)</f>
        <v/>
      </c>
      <c r="AI33" s="75">
        <f>$C33*INDEX(Curves!$P$8:$P$68,AI$4-$B33+1)</f>
        <v/>
      </c>
      <c r="AJ33" s="75">
        <f>$C33*INDEX(Curves!$P$8:$P$68,AJ$4-$B33+1)</f>
        <v/>
      </c>
      <c r="AK33" s="75">
        <f>$C33*INDEX(Curves!$P$8:$P$68,AK$4-$B33+1)</f>
        <v/>
      </c>
      <c r="AL33" s="75">
        <f>$C33*INDEX(Curves!$P$8:$P$68,AL$4-$B33+1)</f>
        <v/>
      </c>
      <c r="AM33" s="75">
        <f>$C33*INDEX(Curves!$P$8:$P$68,AM$4-$B33+1)</f>
        <v/>
      </c>
      <c r="AN33" s="75">
        <f>$C33*INDEX(Curves!$P$8:$P$68,AN$4-$B33+1)</f>
        <v/>
      </c>
      <c r="AO33" s="75">
        <f>$C33*INDEX(Curves!$P$8:$P$68,AO$4-$B33+1)</f>
        <v/>
      </c>
      <c r="AP33" s="75">
        <f>$C33*INDEX(Curves!$P$8:$P$68,AP$4-$B33+1)</f>
        <v/>
      </c>
      <c r="AQ33" s="75">
        <f>$C33*INDEX(Curves!$P$8:$P$68,AQ$4-$B33+1)</f>
        <v/>
      </c>
      <c r="AR33" s="75">
        <f>$C33*INDEX(Curves!$P$8:$P$68,AR$4-$B33+1)</f>
        <v/>
      </c>
      <c r="AS33" s="75">
        <f>$C33*INDEX(Curves!$P$8:$P$68,AS$4-$B33+1)</f>
        <v/>
      </c>
      <c r="AT33" s="75">
        <f>$C33*INDEX(Curves!$P$8:$P$68,AT$4-$B33+1)</f>
        <v/>
      </c>
      <c r="AU33" s="75">
        <f>$C33*INDEX(Curves!$P$8:$P$68,AU$4-$B33+1)</f>
        <v/>
      </c>
      <c r="AV33" s="75">
        <f>$C33*INDEX(Curves!$P$8:$P$68,AV$4-$B33+1)</f>
        <v/>
      </c>
      <c r="AW33" s="75">
        <f>$C33*INDEX(Curves!$P$8:$P$68,AW$4-$B33+1)</f>
        <v/>
      </c>
      <c r="AX33" s="75">
        <f>$C33*INDEX(Curves!$P$8:$P$68,AX$4-$B33+1)</f>
        <v/>
      </c>
      <c r="AY33" s="75">
        <f>$C33*INDEX(Curves!$P$8:$P$68,AY$4-$B33+1)</f>
        <v/>
      </c>
      <c r="AZ33" s="75">
        <f>$C33*INDEX(Curves!$P$8:$P$68,AZ$4-$B33+1)</f>
        <v/>
      </c>
      <c r="BA33" s="75">
        <f>$C33*INDEX(Curves!$P$8:$P$68,BA$4-$B33+1)</f>
        <v/>
      </c>
      <c r="BB33" s="75">
        <f>$C33*INDEX(Curves!$P$8:$P$68,BB$4-$B33+1)</f>
        <v/>
      </c>
      <c r="BC33" s="75">
        <f>$C33*INDEX(Curves!$P$8:$P$68,BC$4-$B33+1)</f>
        <v/>
      </c>
      <c r="BD33" s="75">
        <f>$C33*INDEX(Curves!$P$8:$P$68,BD$4-$B33+1)</f>
        <v/>
      </c>
      <c r="BE33" s="75">
        <f>$C33*INDEX(Curves!$P$8:$P$68,BE$4-$B33+1)</f>
        <v/>
      </c>
      <c r="BF33" s="75">
        <f>$C33*INDEX(Curves!$P$8:$P$68,BF$4-$B33+1)</f>
        <v/>
      </c>
      <c r="BG33" s="75">
        <f>$C33*INDEX(Curves!$P$8:$P$68,BG$4-$B33+1)</f>
        <v/>
      </c>
      <c r="BH33" s="75">
        <f>$C33*INDEX(Curves!$P$8:$P$68,BH$4-$B33+1)</f>
        <v/>
      </c>
      <c r="BI33" s="75">
        <f>$C33*INDEX(Curves!$P$8:$P$68,BI$4-$B33+1)</f>
        <v/>
      </c>
      <c r="BJ33" s="75">
        <f>$C33*INDEX(Curves!$P$8:$P$68,BJ$4-$B33+1)</f>
        <v/>
      </c>
      <c r="BK33" s="75">
        <f>$C33*INDEX(Curves!$P$8:$P$68,BK$4-$B33+1)</f>
        <v/>
      </c>
      <c r="BL33" s="75">
        <f>$C33*INDEX(Curves!$P$8:$P$68,BL$4-$B33+1)</f>
        <v/>
      </c>
    </row>
    <row r="34">
      <c r="A34" s="74" t="inlineStr">
        <is>
          <t>Cohort month 25</t>
        </is>
      </c>
      <c r="B34" s="74" t="n">
        <v>25</v>
      </c>
      <c r="C34" s="17">
        <f>INDEX(Ops!$E$35:$BL$35,1,$B34)</f>
        <v/>
      </c>
      <c r="AD34" s="75">
        <f>$C34*INDEX(Curves!$P$8:$P$68,AD$4-$B34+1)</f>
        <v/>
      </c>
      <c r="AE34" s="75">
        <f>$C34*INDEX(Curves!$P$8:$P$68,AE$4-$B34+1)</f>
        <v/>
      </c>
      <c r="AF34" s="75">
        <f>$C34*INDEX(Curves!$P$8:$P$68,AF$4-$B34+1)</f>
        <v/>
      </c>
      <c r="AG34" s="75">
        <f>$C34*INDEX(Curves!$P$8:$P$68,AG$4-$B34+1)</f>
        <v/>
      </c>
      <c r="AH34" s="75">
        <f>$C34*INDEX(Curves!$P$8:$P$68,AH$4-$B34+1)</f>
        <v/>
      </c>
      <c r="AI34" s="75">
        <f>$C34*INDEX(Curves!$P$8:$P$68,AI$4-$B34+1)</f>
        <v/>
      </c>
      <c r="AJ34" s="75">
        <f>$C34*INDEX(Curves!$P$8:$P$68,AJ$4-$B34+1)</f>
        <v/>
      </c>
      <c r="AK34" s="75">
        <f>$C34*INDEX(Curves!$P$8:$P$68,AK$4-$B34+1)</f>
        <v/>
      </c>
      <c r="AL34" s="75">
        <f>$C34*INDEX(Curves!$P$8:$P$68,AL$4-$B34+1)</f>
        <v/>
      </c>
      <c r="AM34" s="75">
        <f>$C34*INDEX(Curves!$P$8:$P$68,AM$4-$B34+1)</f>
        <v/>
      </c>
      <c r="AN34" s="75">
        <f>$C34*INDEX(Curves!$P$8:$P$68,AN$4-$B34+1)</f>
        <v/>
      </c>
      <c r="AO34" s="75">
        <f>$C34*INDEX(Curves!$P$8:$P$68,AO$4-$B34+1)</f>
        <v/>
      </c>
      <c r="AP34" s="75">
        <f>$C34*INDEX(Curves!$P$8:$P$68,AP$4-$B34+1)</f>
        <v/>
      </c>
      <c r="AQ34" s="75">
        <f>$C34*INDEX(Curves!$P$8:$P$68,AQ$4-$B34+1)</f>
        <v/>
      </c>
      <c r="AR34" s="75">
        <f>$C34*INDEX(Curves!$P$8:$P$68,AR$4-$B34+1)</f>
        <v/>
      </c>
      <c r="AS34" s="75">
        <f>$C34*INDEX(Curves!$P$8:$P$68,AS$4-$B34+1)</f>
        <v/>
      </c>
      <c r="AT34" s="75">
        <f>$C34*INDEX(Curves!$P$8:$P$68,AT$4-$B34+1)</f>
        <v/>
      </c>
      <c r="AU34" s="75">
        <f>$C34*INDEX(Curves!$P$8:$P$68,AU$4-$B34+1)</f>
        <v/>
      </c>
      <c r="AV34" s="75">
        <f>$C34*INDEX(Curves!$P$8:$P$68,AV$4-$B34+1)</f>
        <v/>
      </c>
      <c r="AW34" s="75">
        <f>$C34*INDEX(Curves!$P$8:$P$68,AW$4-$B34+1)</f>
        <v/>
      </c>
      <c r="AX34" s="75">
        <f>$C34*INDEX(Curves!$P$8:$P$68,AX$4-$B34+1)</f>
        <v/>
      </c>
      <c r="AY34" s="75">
        <f>$C34*INDEX(Curves!$P$8:$P$68,AY$4-$B34+1)</f>
        <v/>
      </c>
      <c r="AZ34" s="75">
        <f>$C34*INDEX(Curves!$P$8:$P$68,AZ$4-$B34+1)</f>
        <v/>
      </c>
      <c r="BA34" s="75">
        <f>$C34*INDEX(Curves!$P$8:$P$68,BA$4-$B34+1)</f>
        <v/>
      </c>
      <c r="BB34" s="75">
        <f>$C34*INDEX(Curves!$P$8:$P$68,BB$4-$B34+1)</f>
        <v/>
      </c>
      <c r="BC34" s="75">
        <f>$C34*INDEX(Curves!$P$8:$P$68,BC$4-$B34+1)</f>
        <v/>
      </c>
      <c r="BD34" s="75">
        <f>$C34*INDEX(Curves!$P$8:$P$68,BD$4-$B34+1)</f>
        <v/>
      </c>
      <c r="BE34" s="75">
        <f>$C34*INDEX(Curves!$P$8:$P$68,BE$4-$B34+1)</f>
        <v/>
      </c>
      <c r="BF34" s="75">
        <f>$C34*INDEX(Curves!$P$8:$P$68,BF$4-$B34+1)</f>
        <v/>
      </c>
      <c r="BG34" s="75">
        <f>$C34*INDEX(Curves!$P$8:$P$68,BG$4-$B34+1)</f>
        <v/>
      </c>
      <c r="BH34" s="75">
        <f>$C34*INDEX(Curves!$P$8:$P$68,BH$4-$B34+1)</f>
        <v/>
      </c>
      <c r="BI34" s="75">
        <f>$C34*INDEX(Curves!$P$8:$P$68,BI$4-$B34+1)</f>
        <v/>
      </c>
      <c r="BJ34" s="75">
        <f>$C34*INDEX(Curves!$P$8:$P$68,BJ$4-$B34+1)</f>
        <v/>
      </c>
      <c r="BK34" s="75">
        <f>$C34*INDEX(Curves!$P$8:$P$68,BK$4-$B34+1)</f>
        <v/>
      </c>
      <c r="BL34" s="75">
        <f>$C34*INDEX(Curves!$P$8:$P$68,BL$4-$B34+1)</f>
        <v/>
      </c>
    </row>
    <row r="35">
      <c r="A35" s="74" t="inlineStr">
        <is>
          <t>Cohort month 26</t>
        </is>
      </c>
      <c r="B35" s="74" t="n">
        <v>26</v>
      </c>
      <c r="C35" s="17">
        <f>INDEX(Ops!$E$35:$BL$35,1,$B35)</f>
        <v/>
      </c>
      <c r="AE35" s="75">
        <f>$C35*INDEX(Curves!$P$8:$P$68,AE$4-$B35+1)</f>
        <v/>
      </c>
      <c r="AF35" s="75">
        <f>$C35*INDEX(Curves!$P$8:$P$68,AF$4-$B35+1)</f>
        <v/>
      </c>
      <c r="AG35" s="75">
        <f>$C35*INDEX(Curves!$P$8:$P$68,AG$4-$B35+1)</f>
        <v/>
      </c>
      <c r="AH35" s="75">
        <f>$C35*INDEX(Curves!$P$8:$P$68,AH$4-$B35+1)</f>
        <v/>
      </c>
      <c r="AI35" s="75">
        <f>$C35*INDEX(Curves!$P$8:$P$68,AI$4-$B35+1)</f>
        <v/>
      </c>
      <c r="AJ35" s="75">
        <f>$C35*INDEX(Curves!$P$8:$P$68,AJ$4-$B35+1)</f>
        <v/>
      </c>
      <c r="AK35" s="75">
        <f>$C35*INDEX(Curves!$P$8:$P$68,AK$4-$B35+1)</f>
        <v/>
      </c>
      <c r="AL35" s="75">
        <f>$C35*INDEX(Curves!$P$8:$P$68,AL$4-$B35+1)</f>
        <v/>
      </c>
      <c r="AM35" s="75">
        <f>$C35*INDEX(Curves!$P$8:$P$68,AM$4-$B35+1)</f>
        <v/>
      </c>
      <c r="AN35" s="75">
        <f>$C35*INDEX(Curves!$P$8:$P$68,AN$4-$B35+1)</f>
        <v/>
      </c>
      <c r="AO35" s="75">
        <f>$C35*INDEX(Curves!$P$8:$P$68,AO$4-$B35+1)</f>
        <v/>
      </c>
      <c r="AP35" s="75">
        <f>$C35*INDEX(Curves!$P$8:$P$68,AP$4-$B35+1)</f>
        <v/>
      </c>
      <c r="AQ35" s="75">
        <f>$C35*INDEX(Curves!$P$8:$P$68,AQ$4-$B35+1)</f>
        <v/>
      </c>
      <c r="AR35" s="75">
        <f>$C35*INDEX(Curves!$P$8:$P$68,AR$4-$B35+1)</f>
        <v/>
      </c>
      <c r="AS35" s="75">
        <f>$C35*INDEX(Curves!$P$8:$P$68,AS$4-$B35+1)</f>
        <v/>
      </c>
      <c r="AT35" s="75">
        <f>$C35*INDEX(Curves!$P$8:$P$68,AT$4-$B35+1)</f>
        <v/>
      </c>
      <c r="AU35" s="75">
        <f>$C35*INDEX(Curves!$P$8:$P$68,AU$4-$B35+1)</f>
        <v/>
      </c>
      <c r="AV35" s="75">
        <f>$C35*INDEX(Curves!$P$8:$P$68,AV$4-$B35+1)</f>
        <v/>
      </c>
      <c r="AW35" s="75">
        <f>$C35*INDEX(Curves!$P$8:$P$68,AW$4-$B35+1)</f>
        <v/>
      </c>
      <c r="AX35" s="75">
        <f>$C35*INDEX(Curves!$P$8:$P$68,AX$4-$B35+1)</f>
        <v/>
      </c>
      <c r="AY35" s="75">
        <f>$C35*INDEX(Curves!$P$8:$P$68,AY$4-$B35+1)</f>
        <v/>
      </c>
      <c r="AZ35" s="75">
        <f>$C35*INDEX(Curves!$P$8:$P$68,AZ$4-$B35+1)</f>
        <v/>
      </c>
      <c r="BA35" s="75">
        <f>$C35*INDEX(Curves!$P$8:$P$68,BA$4-$B35+1)</f>
        <v/>
      </c>
      <c r="BB35" s="75">
        <f>$C35*INDEX(Curves!$P$8:$P$68,BB$4-$B35+1)</f>
        <v/>
      </c>
      <c r="BC35" s="75">
        <f>$C35*INDEX(Curves!$P$8:$P$68,BC$4-$B35+1)</f>
        <v/>
      </c>
      <c r="BD35" s="75">
        <f>$C35*INDEX(Curves!$P$8:$P$68,BD$4-$B35+1)</f>
        <v/>
      </c>
      <c r="BE35" s="75">
        <f>$C35*INDEX(Curves!$P$8:$P$68,BE$4-$B35+1)</f>
        <v/>
      </c>
      <c r="BF35" s="75">
        <f>$C35*INDEX(Curves!$P$8:$P$68,BF$4-$B35+1)</f>
        <v/>
      </c>
      <c r="BG35" s="75">
        <f>$C35*INDEX(Curves!$P$8:$P$68,BG$4-$B35+1)</f>
        <v/>
      </c>
      <c r="BH35" s="75">
        <f>$C35*INDEX(Curves!$P$8:$P$68,BH$4-$B35+1)</f>
        <v/>
      </c>
      <c r="BI35" s="75">
        <f>$C35*INDEX(Curves!$P$8:$P$68,BI$4-$B35+1)</f>
        <v/>
      </c>
      <c r="BJ35" s="75">
        <f>$C35*INDEX(Curves!$P$8:$P$68,BJ$4-$B35+1)</f>
        <v/>
      </c>
      <c r="BK35" s="75">
        <f>$C35*INDEX(Curves!$P$8:$P$68,BK$4-$B35+1)</f>
        <v/>
      </c>
      <c r="BL35" s="75">
        <f>$C35*INDEX(Curves!$P$8:$P$68,BL$4-$B35+1)</f>
        <v/>
      </c>
    </row>
    <row r="36">
      <c r="A36" s="74" t="inlineStr">
        <is>
          <t>Cohort month 27</t>
        </is>
      </c>
      <c r="B36" s="74" t="n">
        <v>27</v>
      </c>
      <c r="C36" s="17">
        <f>INDEX(Ops!$E$35:$BL$35,1,$B36)</f>
        <v/>
      </c>
      <c r="AF36" s="75">
        <f>$C36*INDEX(Curves!$P$8:$P$68,AF$4-$B36+1)</f>
        <v/>
      </c>
      <c r="AG36" s="75">
        <f>$C36*INDEX(Curves!$P$8:$P$68,AG$4-$B36+1)</f>
        <v/>
      </c>
      <c r="AH36" s="75">
        <f>$C36*INDEX(Curves!$P$8:$P$68,AH$4-$B36+1)</f>
        <v/>
      </c>
      <c r="AI36" s="75">
        <f>$C36*INDEX(Curves!$P$8:$P$68,AI$4-$B36+1)</f>
        <v/>
      </c>
      <c r="AJ36" s="75">
        <f>$C36*INDEX(Curves!$P$8:$P$68,AJ$4-$B36+1)</f>
        <v/>
      </c>
      <c r="AK36" s="75">
        <f>$C36*INDEX(Curves!$P$8:$P$68,AK$4-$B36+1)</f>
        <v/>
      </c>
      <c r="AL36" s="75">
        <f>$C36*INDEX(Curves!$P$8:$P$68,AL$4-$B36+1)</f>
        <v/>
      </c>
      <c r="AM36" s="75">
        <f>$C36*INDEX(Curves!$P$8:$P$68,AM$4-$B36+1)</f>
        <v/>
      </c>
      <c r="AN36" s="75">
        <f>$C36*INDEX(Curves!$P$8:$P$68,AN$4-$B36+1)</f>
        <v/>
      </c>
      <c r="AO36" s="75">
        <f>$C36*INDEX(Curves!$P$8:$P$68,AO$4-$B36+1)</f>
        <v/>
      </c>
      <c r="AP36" s="75">
        <f>$C36*INDEX(Curves!$P$8:$P$68,AP$4-$B36+1)</f>
        <v/>
      </c>
      <c r="AQ36" s="75">
        <f>$C36*INDEX(Curves!$P$8:$P$68,AQ$4-$B36+1)</f>
        <v/>
      </c>
      <c r="AR36" s="75">
        <f>$C36*INDEX(Curves!$P$8:$P$68,AR$4-$B36+1)</f>
        <v/>
      </c>
      <c r="AS36" s="75">
        <f>$C36*INDEX(Curves!$P$8:$P$68,AS$4-$B36+1)</f>
        <v/>
      </c>
      <c r="AT36" s="75">
        <f>$C36*INDEX(Curves!$P$8:$P$68,AT$4-$B36+1)</f>
        <v/>
      </c>
      <c r="AU36" s="75">
        <f>$C36*INDEX(Curves!$P$8:$P$68,AU$4-$B36+1)</f>
        <v/>
      </c>
      <c r="AV36" s="75">
        <f>$C36*INDEX(Curves!$P$8:$P$68,AV$4-$B36+1)</f>
        <v/>
      </c>
      <c r="AW36" s="75">
        <f>$C36*INDEX(Curves!$P$8:$P$68,AW$4-$B36+1)</f>
        <v/>
      </c>
      <c r="AX36" s="75">
        <f>$C36*INDEX(Curves!$P$8:$P$68,AX$4-$B36+1)</f>
        <v/>
      </c>
      <c r="AY36" s="75">
        <f>$C36*INDEX(Curves!$P$8:$P$68,AY$4-$B36+1)</f>
        <v/>
      </c>
      <c r="AZ36" s="75">
        <f>$C36*INDEX(Curves!$P$8:$P$68,AZ$4-$B36+1)</f>
        <v/>
      </c>
      <c r="BA36" s="75">
        <f>$C36*INDEX(Curves!$P$8:$P$68,BA$4-$B36+1)</f>
        <v/>
      </c>
      <c r="BB36" s="75">
        <f>$C36*INDEX(Curves!$P$8:$P$68,BB$4-$B36+1)</f>
        <v/>
      </c>
      <c r="BC36" s="75">
        <f>$C36*INDEX(Curves!$P$8:$P$68,BC$4-$B36+1)</f>
        <v/>
      </c>
      <c r="BD36" s="75">
        <f>$C36*INDEX(Curves!$P$8:$P$68,BD$4-$B36+1)</f>
        <v/>
      </c>
      <c r="BE36" s="75">
        <f>$C36*INDEX(Curves!$P$8:$P$68,BE$4-$B36+1)</f>
        <v/>
      </c>
      <c r="BF36" s="75">
        <f>$C36*INDEX(Curves!$P$8:$P$68,BF$4-$B36+1)</f>
        <v/>
      </c>
      <c r="BG36" s="75">
        <f>$C36*INDEX(Curves!$P$8:$P$68,BG$4-$B36+1)</f>
        <v/>
      </c>
      <c r="BH36" s="75">
        <f>$C36*INDEX(Curves!$P$8:$P$68,BH$4-$B36+1)</f>
        <v/>
      </c>
      <c r="BI36" s="75">
        <f>$C36*INDEX(Curves!$P$8:$P$68,BI$4-$B36+1)</f>
        <v/>
      </c>
      <c r="BJ36" s="75">
        <f>$C36*INDEX(Curves!$P$8:$P$68,BJ$4-$B36+1)</f>
        <v/>
      </c>
      <c r="BK36" s="75">
        <f>$C36*INDEX(Curves!$P$8:$P$68,BK$4-$B36+1)</f>
        <v/>
      </c>
      <c r="BL36" s="75">
        <f>$C36*INDEX(Curves!$P$8:$P$68,BL$4-$B36+1)</f>
        <v/>
      </c>
    </row>
    <row r="37">
      <c r="A37" s="74" t="inlineStr">
        <is>
          <t>Cohort month 28</t>
        </is>
      </c>
      <c r="B37" s="74" t="n">
        <v>28</v>
      </c>
      <c r="C37" s="17">
        <f>INDEX(Ops!$E$35:$BL$35,1,$B37)</f>
        <v/>
      </c>
      <c r="AG37" s="75">
        <f>$C37*INDEX(Curves!$P$8:$P$68,AG$4-$B37+1)</f>
        <v/>
      </c>
      <c r="AH37" s="75">
        <f>$C37*INDEX(Curves!$P$8:$P$68,AH$4-$B37+1)</f>
        <v/>
      </c>
      <c r="AI37" s="75">
        <f>$C37*INDEX(Curves!$P$8:$P$68,AI$4-$B37+1)</f>
        <v/>
      </c>
      <c r="AJ37" s="75">
        <f>$C37*INDEX(Curves!$P$8:$P$68,AJ$4-$B37+1)</f>
        <v/>
      </c>
      <c r="AK37" s="75">
        <f>$C37*INDEX(Curves!$P$8:$P$68,AK$4-$B37+1)</f>
        <v/>
      </c>
      <c r="AL37" s="75">
        <f>$C37*INDEX(Curves!$P$8:$P$68,AL$4-$B37+1)</f>
        <v/>
      </c>
      <c r="AM37" s="75">
        <f>$C37*INDEX(Curves!$P$8:$P$68,AM$4-$B37+1)</f>
        <v/>
      </c>
      <c r="AN37" s="75">
        <f>$C37*INDEX(Curves!$P$8:$P$68,AN$4-$B37+1)</f>
        <v/>
      </c>
      <c r="AO37" s="75">
        <f>$C37*INDEX(Curves!$P$8:$P$68,AO$4-$B37+1)</f>
        <v/>
      </c>
      <c r="AP37" s="75">
        <f>$C37*INDEX(Curves!$P$8:$P$68,AP$4-$B37+1)</f>
        <v/>
      </c>
      <c r="AQ37" s="75">
        <f>$C37*INDEX(Curves!$P$8:$P$68,AQ$4-$B37+1)</f>
        <v/>
      </c>
      <c r="AR37" s="75">
        <f>$C37*INDEX(Curves!$P$8:$P$68,AR$4-$B37+1)</f>
        <v/>
      </c>
      <c r="AS37" s="75">
        <f>$C37*INDEX(Curves!$P$8:$P$68,AS$4-$B37+1)</f>
        <v/>
      </c>
      <c r="AT37" s="75">
        <f>$C37*INDEX(Curves!$P$8:$P$68,AT$4-$B37+1)</f>
        <v/>
      </c>
      <c r="AU37" s="75">
        <f>$C37*INDEX(Curves!$P$8:$P$68,AU$4-$B37+1)</f>
        <v/>
      </c>
      <c r="AV37" s="75">
        <f>$C37*INDEX(Curves!$P$8:$P$68,AV$4-$B37+1)</f>
        <v/>
      </c>
      <c r="AW37" s="75">
        <f>$C37*INDEX(Curves!$P$8:$P$68,AW$4-$B37+1)</f>
        <v/>
      </c>
      <c r="AX37" s="75">
        <f>$C37*INDEX(Curves!$P$8:$P$68,AX$4-$B37+1)</f>
        <v/>
      </c>
      <c r="AY37" s="75">
        <f>$C37*INDEX(Curves!$P$8:$P$68,AY$4-$B37+1)</f>
        <v/>
      </c>
      <c r="AZ37" s="75">
        <f>$C37*INDEX(Curves!$P$8:$P$68,AZ$4-$B37+1)</f>
        <v/>
      </c>
      <c r="BA37" s="75">
        <f>$C37*INDEX(Curves!$P$8:$P$68,BA$4-$B37+1)</f>
        <v/>
      </c>
      <c r="BB37" s="75">
        <f>$C37*INDEX(Curves!$P$8:$P$68,BB$4-$B37+1)</f>
        <v/>
      </c>
      <c r="BC37" s="75">
        <f>$C37*INDEX(Curves!$P$8:$P$68,BC$4-$B37+1)</f>
        <v/>
      </c>
      <c r="BD37" s="75">
        <f>$C37*INDEX(Curves!$P$8:$P$68,BD$4-$B37+1)</f>
        <v/>
      </c>
      <c r="BE37" s="75">
        <f>$C37*INDEX(Curves!$P$8:$P$68,BE$4-$B37+1)</f>
        <v/>
      </c>
      <c r="BF37" s="75">
        <f>$C37*INDEX(Curves!$P$8:$P$68,BF$4-$B37+1)</f>
        <v/>
      </c>
      <c r="BG37" s="75">
        <f>$C37*INDEX(Curves!$P$8:$P$68,BG$4-$B37+1)</f>
        <v/>
      </c>
      <c r="BH37" s="75">
        <f>$C37*INDEX(Curves!$P$8:$P$68,BH$4-$B37+1)</f>
        <v/>
      </c>
      <c r="BI37" s="75">
        <f>$C37*INDEX(Curves!$P$8:$P$68,BI$4-$B37+1)</f>
        <v/>
      </c>
      <c r="BJ37" s="75">
        <f>$C37*INDEX(Curves!$P$8:$P$68,BJ$4-$B37+1)</f>
        <v/>
      </c>
      <c r="BK37" s="75">
        <f>$C37*INDEX(Curves!$P$8:$P$68,BK$4-$B37+1)</f>
        <v/>
      </c>
      <c r="BL37" s="75">
        <f>$C37*INDEX(Curves!$P$8:$P$68,BL$4-$B37+1)</f>
        <v/>
      </c>
    </row>
    <row r="38">
      <c r="A38" s="74" t="inlineStr">
        <is>
          <t>Cohort month 29</t>
        </is>
      </c>
      <c r="B38" s="74" t="n">
        <v>29</v>
      </c>
      <c r="C38" s="17">
        <f>INDEX(Ops!$E$35:$BL$35,1,$B38)</f>
        <v/>
      </c>
      <c r="AH38" s="75">
        <f>$C38*INDEX(Curves!$P$8:$P$68,AH$4-$B38+1)</f>
        <v/>
      </c>
      <c r="AI38" s="75">
        <f>$C38*INDEX(Curves!$P$8:$P$68,AI$4-$B38+1)</f>
        <v/>
      </c>
      <c r="AJ38" s="75">
        <f>$C38*INDEX(Curves!$P$8:$P$68,AJ$4-$B38+1)</f>
        <v/>
      </c>
      <c r="AK38" s="75">
        <f>$C38*INDEX(Curves!$P$8:$P$68,AK$4-$B38+1)</f>
        <v/>
      </c>
      <c r="AL38" s="75">
        <f>$C38*INDEX(Curves!$P$8:$P$68,AL$4-$B38+1)</f>
        <v/>
      </c>
      <c r="AM38" s="75">
        <f>$C38*INDEX(Curves!$P$8:$P$68,AM$4-$B38+1)</f>
        <v/>
      </c>
      <c r="AN38" s="75">
        <f>$C38*INDEX(Curves!$P$8:$P$68,AN$4-$B38+1)</f>
        <v/>
      </c>
      <c r="AO38" s="75">
        <f>$C38*INDEX(Curves!$P$8:$P$68,AO$4-$B38+1)</f>
        <v/>
      </c>
      <c r="AP38" s="75">
        <f>$C38*INDEX(Curves!$P$8:$P$68,AP$4-$B38+1)</f>
        <v/>
      </c>
      <c r="AQ38" s="75">
        <f>$C38*INDEX(Curves!$P$8:$P$68,AQ$4-$B38+1)</f>
        <v/>
      </c>
      <c r="AR38" s="75">
        <f>$C38*INDEX(Curves!$P$8:$P$68,AR$4-$B38+1)</f>
        <v/>
      </c>
      <c r="AS38" s="75">
        <f>$C38*INDEX(Curves!$P$8:$P$68,AS$4-$B38+1)</f>
        <v/>
      </c>
      <c r="AT38" s="75">
        <f>$C38*INDEX(Curves!$P$8:$P$68,AT$4-$B38+1)</f>
        <v/>
      </c>
      <c r="AU38" s="75">
        <f>$C38*INDEX(Curves!$P$8:$P$68,AU$4-$B38+1)</f>
        <v/>
      </c>
      <c r="AV38" s="75">
        <f>$C38*INDEX(Curves!$P$8:$P$68,AV$4-$B38+1)</f>
        <v/>
      </c>
      <c r="AW38" s="75">
        <f>$C38*INDEX(Curves!$P$8:$P$68,AW$4-$B38+1)</f>
        <v/>
      </c>
      <c r="AX38" s="75">
        <f>$C38*INDEX(Curves!$P$8:$P$68,AX$4-$B38+1)</f>
        <v/>
      </c>
      <c r="AY38" s="75">
        <f>$C38*INDEX(Curves!$P$8:$P$68,AY$4-$B38+1)</f>
        <v/>
      </c>
      <c r="AZ38" s="75">
        <f>$C38*INDEX(Curves!$P$8:$P$68,AZ$4-$B38+1)</f>
        <v/>
      </c>
      <c r="BA38" s="75">
        <f>$C38*INDEX(Curves!$P$8:$P$68,BA$4-$B38+1)</f>
        <v/>
      </c>
      <c r="BB38" s="75">
        <f>$C38*INDEX(Curves!$P$8:$P$68,BB$4-$B38+1)</f>
        <v/>
      </c>
      <c r="BC38" s="75">
        <f>$C38*INDEX(Curves!$P$8:$P$68,BC$4-$B38+1)</f>
        <v/>
      </c>
      <c r="BD38" s="75">
        <f>$C38*INDEX(Curves!$P$8:$P$68,BD$4-$B38+1)</f>
        <v/>
      </c>
      <c r="BE38" s="75">
        <f>$C38*INDEX(Curves!$P$8:$P$68,BE$4-$B38+1)</f>
        <v/>
      </c>
      <c r="BF38" s="75">
        <f>$C38*INDEX(Curves!$P$8:$P$68,BF$4-$B38+1)</f>
        <v/>
      </c>
      <c r="BG38" s="75">
        <f>$C38*INDEX(Curves!$P$8:$P$68,BG$4-$B38+1)</f>
        <v/>
      </c>
      <c r="BH38" s="75">
        <f>$C38*INDEX(Curves!$P$8:$P$68,BH$4-$B38+1)</f>
        <v/>
      </c>
      <c r="BI38" s="75">
        <f>$C38*INDEX(Curves!$P$8:$P$68,BI$4-$B38+1)</f>
        <v/>
      </c>
      <c r="BJ38" s="75">
        <f>$C38*INDEX(Curves!$P$8:$P$68,BJ$4-$B38+1)</f>
        <v/>
      </c>
      <c r="BK38" s="75">
        <f>$C38*INDEX(Curves!$P$8:$P$68,BK$4-$B38+1)</f>
        <v/>
      </c>
      <c r="BL38" s="75">
        <f>$C38*INDEX(Curves!$P$8:$P$68,BL$4-$B38+1)</f>
        <v/>
      </c>
    </row>
    <row r="39">
      <c r="A39" s="74" t="inlineStr">
        <is>
          <t>Cohort month 30</t>
        </is>
      </c>
      <c r="B39" s="74" t="n">
        <v>30</v>
      </c>
      <c r="C39" s="17">
        <f>INDEX(Ops!$E$35:$BL$35,1,$B39)</f>
        <v/>
      </c>
      <c r="AI39" s="75">
        <f>$C39*INDEX(Curves!$P$8:$P$68,AI$4-$B39+1)</f>
        <v/>
      </c>
      <c r="AJ39" s="75">
        <f>$C39*INDEX(Curves!$P$8:$P$68,AJ$4-$B39+1)</f>
        <v/>
      </c>
      <c r="AK39" s="75">
        <f>$C39*INDEX(Curves!$P$8:$P$68,AK$4-$B39+1)</f>
        <v/>
      </c>
      <c r="AL39" s="75">
        <f>$C39*INDEX(Curves!$P$8:$P$68,AL$4-$B39+1)</f>
        <v/>
      </c>
      <c r="AM39" s="75">
        <f>$C39*INDEX(Curves!$P$8:$P$68,AM$4-$B39+1)</f>
        <v/>
      </c>
      <c r="AN39" s="75">
        <f>$C39*INDEX(Curves!$P$8:$P$68,AN$4-$B39+1)</f>
        <v/>
      </c>
      <c r="AO39" s="75">
        <f>$C39*INDEX(Curves!$P$8:$P$68,AO$4-$B39+1)</f>
        <v/>
      </c>
      <c r="AP39" s="75">
        <f>$C39*INDEX(Curves!$P$8:$P$68,AP$4-$B39+1)</f>
        <v/>
      </c>
      <c r="AQ39" s="75">
        <f>$C39*INDEX(Curves!$P$8:$P$68,AQ$4-$B39+1)</f>
        <v/>
      </c>
      <c r="AR39" s="75">
        <f>$C39*INDEX(Curves!$P$8:$P$68,AR$4-$B39+1)</f>
        <v/>
      </c>
      <c r="AS39" s="75">
        <f>$C39*INDEX(Curves!$P$8:$P$68,AS$4-$B39+1)</f>
        <v/>
      </c>
      <c r="AT39" s="75">
        <f>$C39*INDEX(Curves!$P$8:$P$68,AT$4-$B39+1)</f>
        <v/>
      </c>
      <c r="AU39" s="75">
        <f>$C39*INDEX(Curves!$P$8:$P$68,AU$4-$B39+1)</f>
        <v/>
      </c>
      <c r="AV39" s="75">
        <f>$C39*INDEX(Curves!$P$8:$P$68,AV$4-$B39+1)</f>
        <v/>
      </c>
      <c r="AW39" s="75">
        <f>$C39*INDEX(Curves!$P$8:$P$68,AW$4-$B39+1)</f>
        <v/>
      </c>
      <c r="AX39" s="75">
        <f>$C39*INDEX(Curves!$P$8:$P$68,AX$4-$B39+1)</f>
        <v/>
      </c>
      <c r="AY39" s="75">
        <f>$C39*INDEX(Curves!$P$8:$P$68,AY$4-$B39+1)</f>
        <v/>
      </c>
      <c r="AZ39" s="75">
        <f>$C39*INDEX(Curves!$P$8:$P$68,AZ$4-$B39+1)</f>
        <v/>
      </c>
      <c r="BA39" s="75">
        <f>$C39*INDEX(Curves!$P$8:$P$68,BA$4-$B39+1)</f>
        <v/>
      </c>
      <c r="BB39" s="75">
        <f>$C39*INDEX(Curves!$P$8:$P$68,BB$4-$B39+1)</f>
        <v/>
      </c>
      <c r="BC39" s="75">
        <f>$C39*INDEX(Curves!$P$8:$P$68,BC$4-$B39+1)</f>
        <v/>
      </c>
      <c r="BD39" s="75">
        <f>$C39*INDEX(Curves!$P$8:$P$68,BD$4-$B39+1)</f>
        <v/>
      </c>
      <c r="BE39" s="75">
        <f>$C39*INDEX(Curves!$P$8:$P$68,BE$4-$B39+1)</f>
        <v/>
      </c>
      <c r="BF39" s="75">
        <f>$C39*INDEX(Curves!$P$8:$P$68,BF$4-$B39+1)</f>
        <v/>
      </c>
      <c r="BG39" s="75">
        <f>$C39*INDEX(Curves!$P$8:$P$68,BG$4-$B39+1)</f>
        <v/>
      </c>
      <c r="BH39" s="75">
        <f>$C39*INDEX(Curves!$P$8:$P$68,BH$4-$B39+1)</f>
        <v/>
      </c>
      <c r="BI39" s="75">
        <f>$C39*INDEX(Curves!$P$8:$P$68,BI$4-$B39+1)</f>
        <v/>
      </c>
      <c r="BJ39" s="75">
        <f>$C39*INDEX(Curves!$P$8:$P$68,BJ$4-$B39+1)</f>
        <v/>
      </c>
      <c r="BK39" s="75">
        <f>$C39*INDEX(Curves!$P$8:$P$68,BK$4-$B39+1)</f>
        <v/>
      </c>
      <c r="BL39" s="75">
        <f>$C39*INDEX(Curves!$P$8:$P$68,BL$4-$B39+1)</f>
        <v/>
      </c>
    </row>
    <row r="40">
      <c r="A40" s="74" t="inlineStr">
        <is>
          <t>Cohort month 31</t>
        </is>
      </c>
      <c r="B40" s="74" t="n">
        <v>31</v>
      </c>
      <c r="C40" s="17">
        <f>INDEX(Ops!$E$35:$BL$35,1,$B40)</f>
        <v/>
      </c>
      <c r="AJ40" s="75">
        <f>$C40*INDEX(Curves!$P$8:$P$68,AJ$4-$B40+1)</f>
        <v/>
      </c>
      <c r="AK40" s="75">
        <f>$C40*INDEX(Curves!$P$8:$P$68,AK$4-$B40+1)</f>
        <v/>
      </c>
      <c r="AL40" s="75">
        <f>$C40*INDEX(Curves!$P$8:$P$68,AL$4-$B40+1)</f>
        <v/>
      </c>
      <c r="AM40" s="75">
        <f>$C40*INDEX(Curves!$P$8:$P$68,AM$4-$B40+1)</f>
        <v/>
      </c>
      <c r="AN40" s="75">
        <f>$C40*INDEX(Curves!$P$8:$P$68,AN$4-$B40+1)</f>
        <v/>
      </c>
      <c r="AO40" s="75">
        <f>$C40*INDEX(Curves!$P$8:$P$68,AO$4-$B40+1)</f>
        <v/>
      </c>
      <c r="AP40" s="75">
        <f>$C40*INDEX(Curves!$P$8:$P$68,AP$4-$B40+1)</f>
        <v/>
      </c>
      <c r="AQ40" s="75">
        <f>$C40*INDEX(Curves!$P$8:$P$68,AQ$4-$B40+1)</f>
        <v/>
      </c>
      <c r="AR40" s="75">
        <f>$C40*INDEX(Curves!$P$8:$P$68,AR$4-$B40+1)</f>
        <v/>
      </c>
      <c r="AS40" s="75">
        <f>$C40*INDEX(Curves!$P$8:$P$68,AS$4-$B40+1)</f>
        <v/>
      </c>
      <c r="AT40" s="75">
        <f>$C40*INDEX(Curves!$P$8:$P$68,AT$4-$B40+1)</f>
        <v/>
      </c>
      <c r="AU40" s="75">
        <f>$C40*INDEX(Curves!$P$8:$P$68,AU$4-$B40+1)</f>
        <v/>
      </c>
      <c r="AV40" s="75">
        <f>$C40*INDEX(Curves!$P$8:$P$68,AV$4-$B40+1)</f>
        <v/>
      </c>
      <c r="AW40" s="75">
        <f>$C40*INDEX(Curves!$P$8:$P$68,AW$4-$B40+1)</f>
        <v/>
      </c>
      <c r="AX40" s="75">
        <f>$C40*INDEX(Curves!$P$8:$P$68,AX$4-$B40+1)</f>
        <v/>
      </c>
      <c r="AY40" s="75">
        <f>$C40*INDEX(Curves!$P$8:$P$68,AY$4-$B40+1)</f>
        <v/>
      </c>
      <c r="AZ40" s="75">
        <f>$C40*INDEX(Curves!$P$8:$P$68,AZ$4-$B40+1)</f>
        <v/>
      </c>
      <c r="BA40" s="75">
        <f>$C40*INDEX(Curves!$P$8:$P$68,BA$4-$B40+1)</f>
        <v/>
      </c>
      <c r="BB40" s="75">
        <f>$C40*INDEX(Curves!$P$8:$P$68,BB$4-$B40+1)</f>
        <v/>
      </c>
      <c r="BC40" s="75">
        <f>$C40*INDEX(Curves!$P$8:$P$68,BC$4-$B40+1)</f>
        <v/>
      </c>
      <c r="BD40" s="75">
        <f>$C40*INDEX(Curves!$P$8:$P$68,BD$4-$B40+1)</f>
        <v/>
      </c>
      <c r="BE40" s="75">
        <f>$C40*INDEX(Curves!$P$8:$P$68,BE$4-$B40+1)</f>
        <v/>
      </c>
      <c r="BF40" s="75">
        <f>$C40*INDEX(Curves!$P$8:$P$68,BF$4-$B40+1)</f>
        <v/>
      </c>
      <c r="BG40" s="75">
        <f>$C40*INDEX(Curves!$P$8:$P$68,BG$4-$B40+1)</f>
        <v/>
      </c>
      <c r="BH40" s="75">
        <f>$C40*INDEX(Curves!$P$8:$P$68,BH$4-$B40+1)</f>
        <v/>
      </c>
      <c r="BI40" s="75">
        <f>$C40*INDEX(Curves!$P$8:$P$68,BI$4-$B40+1)</f>
        <v/>
      </c>
      <c r="BJ40" s="75">
        <f>$C40*INDEX(Curves!$P$8:$P$68,BJ$4-$B40+1)</f>
        <v/>
      </c>
      <c r="BK40" s="75">
        <f>$C40*INDEX(Curves!$P$8:$P$68,BK$4-$B40+1)</f>
        <v/>
      </c>
      <c r="BL40" s="75">
        <f>$C40*INDEX(Curves!$P$8:$P$68,BL$4-$B40+1)</f>
        <v/>
      </c>
    </row>
    <row r="41">
      <c r="A41" s="74" t="inlineStr">
        <is>
          <t>Cohort month 32</t>
        </is>
      </c>
      <c r="B41" s="74" t="n">
        <v>32</v>
      </c>
      <c r="C41" s="17">
        <f>INDEX(Ops!$E$35:$BL$35,1,$B41)</f>
        <v/>
      </c>
      <c r="AK41" s="75">
        <f>$C41*INDEX(Curves!$P$8:$P$68,AK$4-$B41+1)</f>
        <v/>
      </c>
      <c r="AL41" s="75">
        <f>$C41*INDEX(Curves!$P$8:$P$68,AL$4-$B41+1)</f>
        <v/>
      </c>
      <c r="AM41" s="75">
        <f>$C41*INDEX(Curves!$P$8:$P$68,AM$4-$B41+1)</f>
        <v/>
      </c>
      <c r="AN41" s="75">
        <f>$C41*INDEX(Curves!$P$8:$P$68,AN$4-$B41+1)</f>
        <v/>
      </c>
      <c r="AO41" s="75">
        <f>$C41*INDEX(Curves!$P$8:$P$68,AO$4-$B41+1)</f>
        <v/>
      </c>
      <c r="AP41" s="75">
        <f>$C41*INDEX(Curves!$P$8:$P$68,AP$4-$B41+1)</f>
        <v/>
      </c>
      <c r="AQ41" s="75">
        <f>$C41*INDEX(Curves!$P$8:$P$68,AQ$4-$B41+1)</f>
        <v/>
      </c>
      <c r="AR41" s="75">
        <f>$C41*INDEX(Curves!$P$8:$P$68,AR$4-$B41+1)</f>
        <v/>
      </c>
      <c r="AS41" s="75">
        <f>$C41*INDEX(Curves!$P$8:$P$68,AS$4-$B41+1)</f>
        <v/>
      </c>
      <c r="AT41" s="75">
        <f>$C41*INDEX(Curves!$P$8:$P$68,AT$4-$B41+1)</f>
        <v/>
      </c>
      <c r="AU41" s="75">
        <f>$C41*INDEX(Curves!$P$8:$P$68,AU$4-$B41+1)</f>
        <v/>
      </c>
      <c r="AV41" s="75">
        <f>$C41*INDEX(Curves!$P$8:$P$68,AV$4-$B41+1)</f>
        <v/>
      </c>
      <c r="AW41" s="75">
        <f>$C41*INDEX(Curves!$P$8:$P$68,AW$4-$B41+1)</f>
        <v/>
      </c>
      <c r="AX41" s="75">
        <f>$C41*INDEX(Curves!$P$8:$P$68,AX$4-$B41+1)</f>
        <v/>
      </c>
      <c r="AY41" s="75">
        <f>$C41*INDEX(Curves!$P$8:$P$68,AY$4-$B41+1)</f>
        <v/>
      </c>
      <c r="AZ41" s="75">
        <f>$C41*INDEX(Curves!$P$8:$P$68,AZ$4-$B41+1)</f>
        <v/>
      </c>
      <c r="BA41" s="75">
        <f>$C41*INDEX(Curves!$P$8:$P$68,BA$4-$B41+1)</f>
        <v/>
      </c>
      <c r="BB41" s="75">
        <f>$C41*INDEX(Curves!$P$8:$P$68,BB$4-$B41+1)</f>
        <v/>
      </c>
      <c r="BC41" s="75">
        <f>$C41*INDEX(Curves!$P$8:$P$68,BC$4-$B41+1)</f>
        <v/>
      </c>
      <c r="BD41" s="75">
        <f>$C41*INDEX(Curves!$P$8:$P$68,BD$4-$B41+1)</f>
        <v/>
      </c>
      <c r="BE41" s="75">
        <f>$C41*INDEX(Curves!$P$8:$P$68,BE$4-$B41+1)</f>
        <v/>
      </c>
      <c r="BF41" s="75">
        <f>$C41*INDEX(Curves!$P$8:$P$68,BF$4-$B41+1)</f>
        <v/>
      </c>
      <c r="BG41" s="75">
        <f>$C41*INDEX(Curves!$P$8:$P$68,BG$4-$B41+1)</f>
        <v/>
      </c>
      <c r="BH41" s="75">
        <f>$C41*INDEX(Curves!$P$8:$P$68,BH$4-$B41+1)</f>
        <v/>
      </c>
      <c r="BI41" s="75">
        <f>$C41*INDEX(Curves!$P$8:$P$68,BI$4-$B41+1)</f>
        <v/>
      </c>
      <c r="BJ41" s="75">
        <f>$C41*INDEX(Curves!$P$8:$P$68,BJ$4-$B41+1)</f>
        <v/>
      </c>
      <c r="BK41" s="75">
        <f>$C41*INDEX(Curves!$P$8:$P$68,BK$4-$B41+1)</f>
        <v/>
      </c>
      <c r="BL41" s="75">
        <f>$C41*INDEX(Curves!$P$8:$P$68,BL$4-$B41+1)</f>
        <v/>
      </c>
    </row>
    <row r="42">
      <c r="A42" s="74" t="inlineStr">
        <is>
          <t>Cohort month 33</t>
        </is>
      </c>
      <c r="B42" s="74" t="n">
        <v>33</v>
      </c>
      <c r="C42" s="17">
        <f>INDEX(Ops!$E$35:$BL$35,1,$B42)</f>
        <v/>
      </c>
      <c r="AL42" s="75">
        <f>$C42*INDEX(Curves!$P$8:$P$68,AL$4-$B42+1)</f>
        <v/>
      </c>
      <c r="AM42" s="75">
        <f>$C42*INDEX(Curves!$P$8:$P$68,AM$4-$B42+1)</f>
        <v/>
      </c>
      <c r="AN42" s="75">
        <f>$C42*INDEX(Curves!$P$8:$P$68,AN$4-$B42+1)</f>
        <v/>
      </c>
      <c r="AO42" s="75">
        <f>$C42*INDEX(Curves!$P$8:$P$68,AO$4-$B42+1)</f>
        <v/>
      </c>
      <c r="AP42" s="75">
        <f>$C42*INDEX(Curves!$P$8:$P$68,AP$4-$B42+1)</f>
        <v/>
      </c>
      <c r="AQ42" s="75">
        <f>$C42*INDEX(Curves!$P$8:$P$68,AQ$4-$B42+1)</f>
        <v/>
      </c>
      <c r="AR42" s="75">
        <f>$C42*INDEX(Curves!$P$8:$P$68,AR$4-$B42+1)</f>
        <v/>
      </c>
      <c r="AS42" s="75">
        <f>$C42*INDEX(Curves!$P$8:$P$68,AS$4-$B42+1)</f>
        <v/>
      </c>
      <c r="AT42" s="75">
        <f>$C42*INDEX(Curves!$P$8:$P$68,AT$4-$B42+1)</f>
        <v/>
      </c>
      <c r="AU42" s="75">
        <f>$C42*INDEX(Curves!$P$8:$P$68,AU$4-$B42+1)</f>
        <v/>
      </c>
      <c r="AV42" s="75">
        <f>$C42*INDEX(Curves!$P$8:$P$68,AV$4-$B42+1)</f>
        <v/>
      </c>
      <c r="AW42" s="75">
        <f>$C42*INDEX(Curves!$P$8:$P$68,AW$4-$B42+1)</f>
        <v/>
      </c>
      <c r="AX42" s="75">
        <f>$C42*INDEX(Curves!$P$8:$P$68,AX$4-$B42+1)</f>
        <v/>
      </c>
      <c r="AY42" s="75">
        <f>$C42*INDEX(Curves!$P$8:$P$68,AY$4-$B42+1)</f>
        <v/>
      </c>
      <c r="AZ42" s="75">
        <f>$C42*INDEX(Curves!$P$8:$P$68,AZ$4-$B42+1)</f>
        <v/>
      </c>
      <c r="BA42" s="75">
        <f>$C42*INDEX(Curves!$P$8:$P$68,BA$4-$B42+1)</f>
        <v/>
      </c>
      <c r="BB42" s="75">
        <f>$C42*INDEX(Curves!$P$8:$P$68,BB$4-$B42+1)</f>
        <v/>
      </c>
      <c r="BC42" s="75">
        <f>$C42*INDEX(Curves!$P$8:$P$68,BC$4-$B42+1)</f>
        <v/>
      </c>
      <c r="BD42" s="75">
        <f>$C42*INDEX(Curves!$P$8:$P$68,BD$4-$B42+1)</f>
        <v/>
      </c>
      <c r="BE42" s="75">
        <f>$C42*INDEX(Curves!$P$8:$P$68,BE$4-$B42+1)</f>
        <v/>
      </c>
      <c r="BF42" s="75">
        <f>$C42*INDEX(Curves!$P$8:$P$68,BF$4-$B42+1)</f>
        <v/>
      </c>
      <c r="BG42" s="75">
        <f>$C42*INDEX(Curves!$P$8:$P$68,BG$4-$B42+1)</f>
        <v/>
      </c>
      <c r="BH42" s="75">
        <f>$C42*INDEX(Curves!$P$8:$P$68,BH$4-$B42+1)</f>
        <v/>
      </c>
      <c r="BI42" s="75">
        <f>$C42*INDEX(Curves!$P$8:$P$68,BI$4-$B42+1)</f>
        <v/>
      </c>
      <c r="BJ42" s="75">
        <f>$C42*INDEX(Curves!$P$8:$P$68,BJ$4-$B42+1)</f>
        <v/>
      </c>
      <c r="BK42" s="75">
        <f>$C42*INDEX(Curves!$P$8:$P$68,BK$4-$B42+1)</f>
        <v/>
      </c>
      <c r="BL42" s="75">
        <f>$C42*INDEX(Curves!$P$8:$P$68,BL$4-$B42+1)</f>
        <v/>
      </c>
    </row>
    <row r="43">
      <c r="A43" s="74" t="inlineStr">
        <is>
          <t>Cohort month 34</t>
        </is>
      </c>
      <c r="B43" s="74" t="n">
        <v>34</v>
      </c>
      <c r="C43" s="17">
        <f>INDEX(Ops!$E$35:$BL$35,1,$B43)</f>
        <v/>
      </c>
      <c r="AM43" s="75">
        <f>$C43*INDEX(Curves!$P$8:$P$68,AM$4-$B43+1)</f>
        <v/>
      </c>
      <c r="AN43" s="75">
        <f>$C43*INDEX(Curves!$P$8:$P$68,AN$4-$B43+1)</f>
        <v/>
      </c>
      <c r="AO43" s="75">
        <f>$C43*INDEX(Curves!$P$8:$P$68,AO$4-$B43+1)</f>
        <v/>
      </c>
      <c r="AP43" s="75">
        <f>$C43*INDEX(Curves!$P$8:$P$68,AP$4-$B43+1)</f>
        <v/>
      </c>
      <c r="AQ43" s="75">
        <f>$C43*INDEX(Curves!$P$8:$P$68,AQ$4-$B43+1)</f>
        <v/>
      </c>
      <c r="AR43" s="75">
        <f>$C43*INDEX(Curves!$P$8:$P$68,AR$4-$B43+1)</f>
        <v/>
      </c>
      <c r="AS43" s="75">
        <f>$C43*INDEX(Curves!$P$8:$P$68,AS$4-$B43+1)</f>
        <v/>
      </c>
      <c r="AT43" s="75">
        <f>$C43*INDEX(Curves!$P$8:$P$68,AT$4-$B43+1)</f>
        <v/>
      </c>
      <c r="AU43" s="75">
        <f>$C43*INDEX(Curves!$P$8:$P$68,AU$4-$B43+1)</f>
        <v/>
      </c>
      <c r="AV43" s="75">
        <f>$C43*INDEX(Curves!$P$8:$P$68,AV$4-$B43+1)</f>
        <v/>
      </c>
      <c r="AW43" s="75">
        <f>$C43*INDEX(Curves!$P$8:$P$68,AW$4-$B43+1)</f>
        <v/>
      </c>
      <c r="AX43" s="75">
        <f>$C43*INDEX(Curves!$P$8:$P$68,AX$4-$B43+1)</f>
        <v/>
      </c>
      <c r="AY43" s="75">
        <f>$C43*INDEX(Curves!$P$8:$P$68,AY$4-$B43+1)</f>
        <v/>
      </c>
      <c r="AZ43" s="75">
        <f>$C43*INDEX(Curves!$P$8:$P$68,AZ$4-$B43+1)</f>
        <v/>
      </c>
      <c r="BA43" s="75">
        <f>$C43*INDEX(Curves!$P$8:$P$68,BA$4-$B43+1)</f>
        <v/>
      </c>
      <c r="BB43" s="75">
        <f>$C43*INDEX(Curves!$P$8:$P$68,BB$4-$B43+1)</f>
        <v/>
      </c>
      <c r="BC43" s="75">
        <f>$C43*INDEX(Curves!$P$8:$P$68,BC$4-$B43+1)</f>
        <v/>
      </c>
      <c r="BD43" s="75">
        <f>$C43*INDEX(Curves!$P$8:$P$68,BD$4-$B43+1)</f>
        <v/>
      </c>
      <c r="BE43" s="75">
        <f>$C43*INDEX(Curves!$P$8:$P$68,BE$4-$B43+1)</f>
        <v/>
      </c>
      <c r="BF43" s="75">
        <f>$C43*INDEX(Curves!$P$8:$P$68,BF$4-$B43+1)</f>
        <v/>
      </c>
      <c r="BG43" s="75">
        <f>$C43*INDEX(Curves!$P$8:$P$68,BG$4-$B43+1)</f>
        <v/>
      </c>
      <c r="BH43" s="75">
        <f>$C43*INDEX(Curves!$P$8:$P$68,BH$4-$B43+1)</f>
        <v/>
      </c>
      <c r="BI43" s="75">
        <f>$C43*INDEX(Curves!$P$8:$P$68,BI$4-$B43+1)</f>
        <v/>
      </c>
      <c r="BJ43" s="75">
        <f>$C43*INDEX(Curves!$P$8:$P$68,BJ$4-$B43+1)</f>
        <v/>
      </c>
      <c r="BK43" s="75">
        <f>$C43*INDEX(Curves!$P$8:$P$68,BK$4-$B43+1)</f>
        <v/>
      </c>
      <c r="BL43" s="75">
        <f>$C43*INDEX(Curves!$P$8:$P$68,BL$4-$B43+1)</f>
        <v/>
      </c>
    </row>
    <row r="44">
      <c r="A44" s="74" t="inlineStr">
        <is>
          <t>Cohort month 35</t>
        </is>
      </c>
      <c r="B44" s="74" t="n">
        <v>35</v>
      </c>
      <c r="C44" s="17">
        <f>INDEX(Ops!$E$35:$BL$35,1,$B44)</f>
        <v/>
      </c>
      <c r="AN44" s="75">
        <f>$C44*INDEX(Curves!$P$8:$P$68,AN$4-$B44+1)</f>
        <v/>
      </c>
      <c r="AO44" s="75">
        <f>$C44*INDEX(Curves!$P$8:$P$68,AO$4-$B44+1)</f>
        <v/>
      </c>
      <c r="AP44" s="75">
        <f>$C44*INDEX(Curves!$P$8:$P$68,AP$4-$B44+1)</f>
        <v/>
      </c>
      <c r="AQ44" s="75">
        <f>$C44*INDEX(Curves!$P$8:$P$68,AQ$4-$B44+1)</f>
        <v/>
      </c>
      <c r="AR44" s="75">
        <f>$C44*INDEX(Curves!$P$8:$P$68,AR$4-$B44+1)</f>
        <v/>
      </c>
      <c r="AS44" s="75">
        <f>$C44*INDEX(Curves!$P$8:$P$68,AS$4-$B44+1)</f>
        <v/>
      </c>
      <c r="AT44" s="75">
        <f>$C44*INDEX(Curves!$P$8:$P$68,AT$4-$B44+1)</f>
        <v/>
      </c>
      <c r="AU44" s="75">
        <f>$C44*INDEX(Curves!$P$8:$P$68,AU$4-$B44+1)</f>
        <v/>
      </c>
      <c r="AV44" s="75">
        <f>$C44*INDEX(Curves!$P$8:$P$68,AV$4-$B44+1)</f>
        <v/>
      </c>
      <c r="AW44" s="75">
        <f>$C44*INDEX(Curves!$P$8:$P$68,AW$4-$B44+1)</f>
        <v/>
      </c>
      <c r="AX44" s="75">
        <f>$C44*INDEX(Curves!$P$8:$P$68,AX$4-$B44+1)</f>
        <v/>
      </c>
      <c r="AY44" s="75">
        <f>$C44*INDEX(Curves!$P$8:$P$68,AY$4-$B44+1)</f>
        <v/>
      </c>
      <c r="AZ44" s="75">
        <f>$C44*INDEX(Curves!$P$8:$P$68,AZ$4-$B44+1)</f>
        <v/>
      </c>
      <c r="BA44" s="75">
        <f>$C44*INDEX(Curves!$P$8:$P$68,BA$4-$B44+1)</f>
        <v/>
      </c>
      <c r="BB44" s="75">
        <f>$C44*INDEX(Curves!$P$8:$P$68,BB$4-$B44+1)</f>
        <v/>
      </c>
      <c r="BC44" s="75">
        <f>$C44*INDEX(Curves!$P$8:$P$68,BC$4-$B44+1)</f>
        <v/>
      </c>
      <c r="BD44" s="75">
        <f>$C44*INDEX(Curves!$P$8:$P$68,BD$4-$B44+1)</f>
        <v/>
      </c>
      <c r="BE44" s="75">
        <f>$C44*INDEX(Curves!$P$8:$P$68,BE$4-$B44+1)</f>
        <v/>
      </c>
      <c r="BF44" s="75">
        <f>$C44*INDEX(Curves!$P$8:$P$68,BF$4-$B44+1)</f>
        <v/>
      </c>
      <c r="BG44" s="75">
        <f>$C44*INDEX(Curves!$P$8:$P$68,BG$4-$B44+1)</f>
        <v/>
      </c>
      <c r="BH44" s="75">
        <f>$C44*INDEX(Curves!$P$8:$P$68,BH$4-$B44+1)</f>
        <v/>
      </c>
      <c r="BI44" s="75">
        <f>$C44*INDEX(Curves!$P$8:$P$68,BI$4-$B44+1)</f>
        <v/>
      </c>
      <c r="BJ44" s="75">
        <f>$C44*INDEX(Curves!$P$8:$P$68,BJ$4-$B44+1)</f>
        <v/>
      </c>
      <c r="BK44" s="75">
        <f>$C44*INDEX(Curves!$P$8:$P$68,BK$4-$B44+1)</f>
        <v/>
      </c>
      <c r="BL44" s="75">
        <f>$C44*INDEX(Curves!$P$8:$P$68,BL$4-$B44+1)</f>
        <v/>
      </c>
    </row>
    <row r="45">
      <c r="A45" s="74" t="inlineStr">
        <is>
          <t>Cohort month 36</t>
        </is>
      </c>
      <c r="B45" s="74" t="n">
        <v>36</v>
      </c>
      <c r="C45" s="17">
        <f>INDEX(Ops!$E$35:$BL$35,1,$B45)</f>
        <v/>
      </c>
      <c r="AO45" s="75">
        <f>$C45*INDEX(Curves!$P$8:$P$68,AO$4-$B45+1)</f>
        <v/>
      </c>
      <c r="AP45" s="75">
        <f>$C45*INDEX(Curves!$P$8:$P$68,AP$4-$B45+1)</f>
        <v/>
      </c>
      <c r="AQ45" s="75">
        <f>$C45*INDEX(Curves!$P$8:$P$68,AQ$4-$B45+1)</f>
        <v/>
      </c>
      <c r="AR45" s="75">
        <f>$C45*INDEX(Curves!$P$8:$P$68,AR$4-$B45+1)</f>
        <v/>
      </c>
      <c r="AS45" s="75">
        <f>$C45*INDEX(Curves!$P$8:$P$68,AS$4-$B45+1)</f>
        <v/>
      </c>
      <c r="AT45" s="75">
        <f>$C45*INDEX(Curves!$P$8:$P$68,AT$4-$B45+1)</f>
        <v/>
      </c>
      <c r="AU45" s="75">
        <f>$C45*INDEX(Curves!$P$8:$P$68,AU$4-$B45+1)</f>
        <v/>
      </c>
      <c r="AV45" s="75">
        <f>$C45*INDEX(Curves!$P$8:$P$68,AV$4-$B45+1)</f>
        <v/>
      </c>
      <c r="AW45" s="75">
        <f>$C45*INDEX(Curves!$P$8:$P$68,AW$4-$B45+1)</f>
        <v/>
      </c>
      <c r="AX45" s="75">
        <f>$C45*INDEX(Curves!$P$8:$P$68,AX$4-$B45+1)</f>
        <v/>
      </c>
      <c r="AY45" s="75">
        <f>$C45*INDEX(Curves!$P$8:$P$68,AY$4-$B45+1)</f>
        <v/>
      </c>
      <c r="AZ45" s="75">
        <f>$C45*INDEX(Curves!$P$8:$P$68,AZ$4-$B45+1)</f>
        <v/>
      </c>
      <c r="BA45" s="75">
        <f>$C45*INDEX(Curves!$P$8:$P$68,BA$4-$B45+1)</f>
        <v/>
      </c>
      <c r="BB45" s="75">
        <f>$C45*INDEX(Curves!$P$8:$P$68,BB$4-$B45+1)</f>
        <v/>
      </c>
      <c r="BC45" s="75">
        <f>$C45*INDEX(Curves!$P$8:$P$68,BC$4-$B45+1)</f>
        <v/>
      </c>
      <c r="BD45" s="75">
        <f>$C45*INDEX(Curves!$P$8:$P$68,BD$4-$B45+1)</f>
        <v/>
      </c>
      <c r="BE45" s="75">
        <f>$C45*INDEX(Curves!$P$8:$P$68,BE$4-$B45+1)</f>
        <v/>
      </c>
      <c r="BF45" s="75">
        <f>$C45*INDEX(Curves!$P$8:$P$68,BF$4-$B45+1)</f>
        <v/>
      </c>
      <c r="BG45" s="75">
        <f>$C45*INDEX(Curves!$P$8:$P$68,BG$4-$B45+1)</f>
        <v/>
      </c>
      <c r="BH45" s="75">
        <f>$C45*INDEX(Curves!$P$8:$P$68,BH$4-$B45+1)</f>
        <v/>
      </c>
      <c r="BI45" s="75">
        <f>$C45*INDEX(Curves!$P$8:$P$68,BI$4-$B45+1)</f>
        <v/>
      </c>
      <c r="BJ45" s="75">
        <f>$C45*INDEX(Curves!$P$8:$P$68,BJ$4-$B45+1)</f>
        <v/>
      </c>
      <c r="BK45" s="75">
        <f>$C45*INDEX(Curves!$P$8:$P$68,BK$4-$B45+1)</f>
        <v/>
      </c>
      <c r="BL45" s="75">
        <f>$C45*INDEX(Curves!$P$8:$P$68,BL$4-$B45+1)</f>
        <v/>
      </c>
    </row>
    <row r="46">
      <c r="A46" s="74" t="inlineStr">
        <is>
          <t>Cohort month 37</t>
        </is>
      </c>
      <c r="B46" s="74" t="n">
        <v>37</v>
      </c>
      <c r="C46" s="17">
        <f>INDEX(Ops!$E$35:$BL$35,1,$B46)</f>
        <v/>
      </c>
      <c r="AP46" s="75">
        <f>$C46*INDEX(Curves!$P$8:$P$68,AP$4-$B46+1)</f>
        <v/>
      </c>
      <c r="AQ46" s="75">
        <f>$C46*INDEX(Curves!$P$8:$P$68,AQ$4-$B46+1)</f>
        <v/>
      </c>
      <c r="AR46" s="75">
        <f>$C46*INDEX(Curves!$P$8:$P$68,AR$4-$B46+1)</f>
        <v/>
      </c>
      <c r="AS46" s="75">
        <f>$C46*INDEX(Curves!$P$8:$P$68,AS$4-$B46+1)</f>
        <v/>
      </c>
      <c r="AT46" s="75">
        <f>$C46*INDEX(Curves!$P$8:$P$68,AT$4-$B46+1)</f>
        <v/>
      </c>
      <c r="AU46" s="75">
        <f>$C46*INDEX(Curves!$P$8:$P$68,AU$4-$B46+1)</f>
        <v/>
      </c>
      <c r="AV46" s="75">
        <f>$C46*INDEX(Curves!$P$8:$P$68,AV$4-$B46+1)</f>
        <v/>
      </c>
      <c r="AW46" s="75">
        <f>$C46*INDEX(Curves!$P$8:$P$68,AW$4-$B46+1)</f>
        <v/>
      </c>
      <c r="AX46" s="75">
        <f>$C46*INDEX(Curves!$P$8:$P$68,AX$4-$B46+1)</f>
        <v/>
      </c>
      <c r="AY46" s="75">
        <f>$C46*INDEX(Curves!$P$8:$P$68,AY$4-$B46+1)</f>
        <v/>
      </c>
      <c r="AZ46" s="75">
        <f>$C46*INDEX(Curves!$P$8:$P$68,AZ$4-$B46+1)</f>
        <v/>
      </c>
      <c r="BA46" s="75">
        <f>$C46*INDEX(Curves!$P$8:$P$68,BA$4-$B46+1)</f>
        <v/>
      </c>
      <c r="BB46" s="75">
        <f>$C46*INDEX(Curves!$P$8:$P$68,BB$4-$B46+1)</f>
        <v/>
      </c>
      <c r="BC46" s="75">
        <f>$C46*INDEX(Curves!$P$8:$P$68,BC$4-$B46+1)</f>
        <v/>
      </c>
      <c r="BD46" s="75">
        <f>$C46*INDEX(Curves!$P$8:$P$68,BD$4-$B46+1)</f>
        <v/>
      </c>
      <c r="BE46" s="75">
        <f>$C46*INDEX(Curves!$P$8:$P$68,BE$4-$B46+1)</f>
        <v/>
      </c>
      <c r="BF46" s="75">
        <f>$C46*INDEX(Curves!$P$8:$P$68,BF$4-$B46+1)</f>
        <v/>
      </c>
      <c r="BG46" s="75">
        <f>$C46*INDEX(Curves!$P$8:$P$68,BG$4-$B46+1)</f>
        <v/>
      </c>
      <c r="BH46" s="75">
        <f>$C46*INDEX(Curves!$P$8:$P$68,BH$4-$B46+1)</f>
        <v/>
      </c>
      <c r="BI46" s="75">
        <f>$C46*INDEX(Curves!$P$8:$P$68,BI$4-$B46+1)</f>
        <v/>
      </c>
      <c r="BJ46" s="75">
        <f>$C46*INDEX(Curves!$P$8:$P$68,BJ$4-$B46+1)</f>
        <v/>
      </c>
      <c r="BK46" s="75">
        <f>$C46*INDEX(Curves!$P$8:$P$68,BK$4-$B46+1)</f>
        <v/>
      </c>
      <c r="BL46" s="75">
        <f>$C46*INDEX(Curves!$P$8:$P$68,BL$4-$B46+1)</f>
        <v/>
      </c>
    </row>
    <row r="47">
      <c r="A47" s="74" t="inlineStr">
        <is>
          <t>Cohort month 38</t>
        </is>
      </c>
      <c r="B47" s="74" t="n">
        <v>38</v>
      </c>
      <c r="C47" s="17">
        <f>INDEX(Ops!$E$35:$BL$35,1,$B47)</f>
        <v/>
      </c>
      <c r="AQ47" s="75">
        <f>$C47*INDEX(Curves!$P$8:$P$68,AQ$4-$B47+1)</f>
        <v/>
      </c>
      <c r="AR47" s="75">
        <f>$C47*INDEX(Curves!$P$8:$P$68,AR$4-$B47+1)</f>
        <v/>
      </c>
      <c r="AS47" s="75">
        <f>$C47*INDEX(Curves!$P$8:$P$68,AS$4-$B47+1)</f>
        <v/>
      </c>
      <c r="AT47" s="75">
        <f>$C47*INDEX(Curves!$P$8:$P$68,AT$4-$B47+1)</f>
        <v/>
      </c>
      <c r="AU47" s="75">
        <f>$C47*INDEX(Curves!$P$8:$P$68,AU$4-$B47+1)</f>
        <v/>
      </c>
      <c r="AV47" s="75">
        <f>$C47*INDEX(Curves!$P$8:$P$68,AV$4-$B47+1)</f>
        <v/>
      </c>
      <c r="AW47" s="75">
        <f>$C47*INDEX(Curves!$P$8:$P$68,AW$4-$B47+1)</f>
        <v/>
      </c>
      <c r="AX47" s="75">
        <f>$C47*INDEX(Curves!$P$8:$P$68,AX$4-$B47+1)</f>
        <v/>
      </c>
      <c r="AY47" s="75">
        <f>$C47*INDEX(Curves!$P$8:$P$68,AY$4-$B47+1)</f>
        <v/>
      </c>
      <c r="AZ47" s="75">
        <f>$C47*INDEX(Curves!$P$8:$P$68,AZ$4-$B47+1)</f>
        <v/>
      </c>
      <c r="BA47" s="75">
        <f>$C47*INDEX(Curves!$P$8:$P$68,BA$4-$B47+1)</f>
        <v/>
      </c>
      <c r="BB47" s="75">
        <f>$C47*INDEX(Curves!$P$8:$P$68,BB$4-$B47+1)</f>
        <v/>
      </c>
      <c r="BC47" s="75">
        <f>$C47*INDEX(Curves!$P$8:$P$68,BC$4-$B47+1)</f>
        <v/>
      </c>
      <c r="BD47" s="75">
        <f>$C47*INDEX(Curves!$P$8:$P$68,BD$4-$B47+1)</f>
        <v/>
      </c>
      <c r="BE47" s="75">
        <f>$C47*INDEX(Curves!$P$8:$P$68,BE$4-$B47+1)</f>
        <v/>
      </c>
      <c r="BF47" s="75">
        <f>$C47*INDEX(Curves!$P$8:$P$68,BF$4-$B47+1)</f>
        <v/>
      </c>
      <c r="BG47" s="75">
        <f>$C47*INDEX(Curves!$P$8:$P$68,BG$4-$B47+1)</f>
        <v/>
      </c>
      <c r="BH47" s="75">
        <f>$C47*INDEX(Curves!$P$8:$P$68,BH$4-$B47+1)</f>
        <v/>
      </c>
      <c r="BI47" s="75">
        <f>$C47*INDEX(Curves!$P$8:$P$68,BI$4-$B47+1)</f>
        <v/>
      </c>
      <c r="BJ47" s="75">
        <f>$C47*INDEX(Curves!$P$8:$P$68,BJ$4-$B47+1)</f>
        <v/>
      </c>
      <c r="BK47" s="75">
        <f>$C47*INDEX(Curves!$P$8:$P$68,BK$4-$B47+1)</f>
        <v/>
      </c>
      <c r="BL47" s="75">
        <f>$C47*INDEX(Curves!$P$8:$P$68,BL$4-$B47+1)</f>
        <v/>
      </c>
    </row>
    <row r="48">
      <c r="A48" s="74" t="inlineStr">
        <is>
          <t>Cohort month 39</t>
        </is>
      </c>
      <c r="B48" s="74" t="n">
        <v>39</v>
      </c>
      <c r="C48" s="17">
        <f>INDEX(Ops!$E$35:$BL$35,1,$B48)</f>
        <v/>
      </c>
      <c r="AR48" s="75">
        <f>$C48*INDEX(Curves!$P$8:$P$68,AR$4-$B48+1)</f>
        <v/>
      </c>
      <c r="AS48" s="75">
        <f>$C48*INDEX(Curves!$P$8:$P$68,AS$4-$B48+1)</f>
        <v/>
      </c>
      <c r="AT48" s="75">
        <f>$C48*INDEX(Curves!$P$8:$P$68,AT$4-$B48+1)</f>
        <v/>
      </c>
      <c r="AU48" s="75">
        <f>$C48*INDEX(Curves!$P$8:$P$68,AU$4-$B48+1)</f>
        <v/>
      </c>
      <c r="AV48" s="75">
        <f>$C48*INDEX(Curves!$P$8:$P$68,AV$4-$B48+1)</f>
        <v/>
      </c>
      <c r="AW48" s="75">
        <f>$C48*INDEX(Curves!$P$8:$P$68,AW$4-$B48+1)</f>
        <v/>
      </c>
      <c r="AX48" s="75">
        <f>$C48*INDEX(Curves!$P$8:$P$68,AX$4-$B48+1)</f>
        <v/>
      </c>
      <c r="AY48" s="75">
        <f>$C48*INDEX(Curves!$P$8:$P$68,AY$4-$B48+1)</f>
        <v/>
      </c>
      <c r="AZ48" s="75">
        <f>$C48*INDEX(Curves!$P$8:$P$68,AZ$4-$B48+1)</f>
        <v/>
      </c>
      <c r="BA48" s="75">
        <f>$C48*INDEX(Curves!$P$8:$P$68,BA$4-$B48+1)</f>
        <v/>
      </c>
      <c r="BB48" s="75">
        <f>$C48*INDEX(Curves!$P$8:$P$68,BB$4-$B48+1)</f>
        <v/>
      </c>
      <c r="BC48" s="75">
        <f>$C48*INDEX(Curves!$P$8:$P$68,BC$4-$B48+1)</f>
        <v/>
      </c>
      <c r="BD48" s="75">
        <f>$C48*INDEX(Curves!$P$8:$P$68,BD$4-$B48+1)</f>
        <v/>
      </c>
      <c r="BE48" s="75">
        <f>$C48*INDEX(Curves!$P$8:$P$68,BE$4-$B48+1)</f>
        <v/>
      </c>
      <c r="BF48" s="75">
        <f>$C48*INDEX(Curves!$P$8:$P$68,BF$4-$B48+1)</f>
        <v/>
      </c>
      <c r="BG48" s="75">
        <f>$C48*INDEX(Curves!$P$8:$P$68,BG$4-$B48+1)</f>
        <v/>
      </c>
      <c r="BH48" s="75">
        <f>$C48*INDEX(Curves!$P$8:$P$68,BH$4-$B48+1)</f>
        <v/>
      </c>
      <c r="BI48" s="75">
        <f>$C48*INDEX(Curves!$P$8:$P$68,BI$4-$B48+1)</f>
        <v/>
      </c>
      <c r="BJ48" s="75">
        <f>$C48*INDEX(Curves!$P$8:$P$68,BJ$4-$B48+1)</f>
        <v/>
      </c>
      <c r="BK48" s="75">
        <f>$C48*INDEX(Curves!$P$8:$P$68,BK$4-$B48+1)</f>
        <v/>
      </c>
      <c r="BL48" s="75">
        <f>$C48*INDEX(Curves!$P$8:$P$68,BL$4-$B48+1)</f>
        <v/>
      </c>
    </row>
    <row r="49">
      <c r="A49" s="74" t="inlineStr">
        <is>
          <t>Cohort month 40</t>
        </is>
      </c>
      <c r="B49" s="74" t="n">
        <v>40</v>
      </c>
      <c r="C49" s="17">
        <f>INDEX(Ops!$E$35:$BL$35,1,$B49)</f>
        <v/>
      </c>
      <c r="AS49" s="75">
        <f>$C49*INDEX(Curves!$P$8:$P$68,AS$4-$B49+1)</f>
        <v/>
      </c>
      <c r="AT49" s="75">
        <f>$C49*INDEX(Curves!$P$8:$P$68,AT$4-$B49+1)</f>
        <v/>
      </c>
      <c r="AU49" s="75">
        <f>$C49*INDEX(Curves!$P$8:$P$68,AU$4-$B49+1)</f>
        <v/>
      </c>
      <c r="AV49" s="75">
        <f>$C49*INDEX(Curves!$P$8:$P$68,AV$4-$B49+1)</f>
        <v/>
      </c>
      <c r="AW49" s="75">
        <f>$C49*INDEX(Curves!$P$8:$P$68,AW$4-$B49+1)</f>
        <v/>
      </c>
      <c r="AX49" s="75">
        <f>$C49*INDEX(Curves!$P$8:$P$68,AX$4-$B49+1)</f>
        <v/>
      </c>
      <c r="AY49" s="75">
        <f>$C49*INDEX(Curves!$P$8:$P$68,AY$4-$B49+1)</f>
        <v/>
      </c>
      <c r="AZ49" s="75">
        <f>$C49*INDEX(Curves!$P$8:$P$68,AZ$4-$B49+1)</f>
        <v/>
      </c>
      <c r="BA49" s="75">
        <f>$C49*INDEX(Curves!$P$8:$P$68,BA$4-$B49+1)</f>
        <v/>
      </c>
      <c r="BB49" s="75">
        <f>$C49*INDEX(Curves!$P$8:$P$68,BB$4-$B49+1)</f>
        <v/>
      </c>
      <c r="BC49" s="75">
        <f>$C49*INDEX(Curves!$P$8:$P$68,BC$4-$B49+1)</f>
        <v/>
      </c>
      <c r="BD49" s="75">
        <f>$C49*INDEX(Curves!$P$8:$P$68,BD$4-$B49+1)</f>
        <v/>
      </c>
      <c r="BE49" s="75">
        <f>$C49*INDEX(Curves!$P$8:$P$68,BE$4-$B49+1)</f>
        <v/>
      </c>
      <c r="BF49" s="75">
        <f>$C49*INDEX(Curves!$P$8:$P$68,BF$4-$B49+1)</f>
        <v/>
      </c>
      <c r="BG49" s="75">
        <f>$C49*INDEX(Curves!$P$8:$P$68,BG$4-$B49+1)</f>
        <v/>
      </c>
      <c r="BH49" s="75">
        <f>$C49*INDEX(Curves!$P$8:$P$68,BH$4-$B49+1)</f>
        <v/>
      </c>
      <c r="BI49" s="75">
        <f>$C49*INDEX(Curves!$P$8:$P$68,BI$4-$B49+1)</f>
        <v/>
      </c>
      <c r="BJ49" s="75">
        <f>$C49*INDEX(Curves!$P$8:$P$68,BJ$4-$B49+1)</f>
        <v/>
      </c>
      <c r="BK49" s="75">
        <f>$C49*INDEX(Curves!$P$8:$P$68,BK$4-$B49+1)</f>
        <v/>
      </c>
      <c r="BL49" s="75">
        <f>$C49*INDEX(Curves!$P$8:$P$68,BL$4-$B49+1)</f>
        <v/>
      </c>
    </row>
    <row r="50">
      <c r="A50" s="74" t="inlineStr">
        <is>
          <t>Cohort month 41</t>
        </is>
      </c>
      <c r="B50" s="74" t="n">
        <v>41</v>
      </c>
      <c r="C50" s="17">
        <f>INDEX(Ops!$E$35:$BL$35,1,$B50)</f>
        <v/>
      </c>
      <c r="AT50" s="75">
        <f>$C50*INDEX(Curves!$P$8:$P$68,AT$4-$B50+1)</f>
        <v/>
      </c>
      <c r="AU50" s="75">
        <f>$C50*INDEX(Curves!$P$8:$P$68,AU$4-$B50+1)</f>
        <v/>
      </c>
      <c r="AV50" s="75">
        <f>$C50*INDEX(Curves!$P$8:$P$68,AV$4-$B50+1)</f>
        <v/>
      </c>
      <c r="AW50" s="75">
        <f>$C50*INDEX(Curves!$P$8:$P$68,AW$4-$B50+1)</f>
        <v/>
      </c>
      <c r="AX50" s="75">
        <f>$C50*INDEX(Curves!$P$8:$P$68,AX$4-$B50+1)</f>
        <v/>
      </c>
      <c r="AY50" s="75">
        <f>$C50*INDEX(Curves!$P$8:$P$68,AY$4-$B50+1)</f>
        <v/>
      </c>
      <c r="AZ50" s="75">
        <f>$C50*INDEX(Curves!$P$8:$P$68,AZ$4-$B50+1)</f>
        <v/>
      </c>
      <c r="BA50" s="75">
        <f>$C50*INDEX(Curves!$P$8:$P$68,BA$4-$B50+1)</f>
        <v/>
      </c>
      <c r="BB50" s="75">
        <f>$C50*INDEX(Curves!$P$8:$P$68,BB$4-$B50+1)</f>
        <v/>
      </c>
      <c r="BC50" s="75">
        <f>$C50*INDEX(Curves!$P$8:$P$68,BC$4-$B50+1)</f>
        <v/>
      </c>
      <c r="BD50" s="75">
        <f>$C50*INDEX(Curves!$P$8:$P$68,BD$4-$B50+1)</f>
        <v/>
      </c>
      <c r="BE50" s="75">
        <f>$C50*INDEX(Curves!$P$8:$P$68,BE$4-$B50+1)</f>
        <v/>
      </c>
      <c r="BF50" s="75">
        <f>$C50*INDEX(Curves!$P$8:$P$68,BF$4-$B50+1)</f>
        <v/>
      </c>
      <c r="BG50" s="75">
        <f>$C50*INDEX(Curves!$P$8:$P$68,BG$4-$B50+1)</f>
        <v/>
      </c>
      <c r="BH50" s="75">
        <f>$C50*INDEX(Curves!$P$8:$P$68,BH$4-$B50+1)</f>
        <v/>
      </c>
      <c r="BI50" s="75">
        <f>$C50*INDEX(Curves!$P$8:$P$68,BI$4-$B50+1)</f>
        <v/>
      </c>
      <c r="BJ50" s="75">
        <f>$C50*INDEX(Curves!$P$8:$P$68,BJ$4-$B50+1)</f>
        <v/>
      </c>
      <c r="BK50" s="75">
        <f>$C50*INDEX(Curves!$P$8:$P$68,BK$4-$B50+1)</f>
        <v/>
      </c>
      <c r="BL50" s="75">
        <f>$C50*INDEX(Curves!$P$8:$P$68,BL$4-$B50+1)</f>
        <v/>
      </c>
    </row>
    <row r="51">
      <c r="A51" s="74" t="inlineStr">
        <is>
          <t>Cohort month 42</t>
        </is>
      </c>
      <c r="B51" s="74" t="n">
        <v>42</v>
      </c>
      <c r="C51" s="17">
        <f>INDEX(Ops!$E$35:$BL$35,1,$B51)</f>
        <v/>
      </c>
      <c r="AU51" s="75">
        <f>$C51*INDEX(Curves!$P$8:$P$68,AU$4-$B51+1)</f>
        <v/>
      </c>
      <c r="AV51" s="75">
        <f>$C51*INDEX(Curves!$P$8:$P$68,AV$4-$B51+1)</f>
        <v/>
      </c>
      <c r="AW51" s="75">
        <f>$C51*INDEX(Curves!$P$8:$P$68,AW$4-$B51+1)</f>
        <v/>
      </c>
      <c r="AX51" s="75">
        <f>$C51*INDEX(Curves!$P$8:$P$68,AX$4-$B51+1)</f>
        <v/>
      </c>
      <c r="AY51" s="75">
        <f>$C51*INDEX(Curves!$P$8:$P$68,AY$4-$B51+1)</f>
        <v/>
      </c>
      <c r="AZ51" s="75">
        <f>$C51*INDEX(Curves!$P$8:$P$68,AZ$4-$B51+1)</f>
        <v/>
      </c>
      <c r="BA51" s="75">
        <f>$C51*INDEX(Curves!$P$8:$P$68,BA$4-$B51+1)</f>
        <v/>
      </c>
      <c r="BB51" s="75">
        <f>$C51*INDEX(Curves!$P$8:$P$68,BB$4-$B51+1)</f>
        <v/>
      </c>
      <c r="BC51" s="75">
        <f>$C51*INDEX(Curves!$P$8:$P$68,BC$4-$B51+1)</f>
        <v/>
      </c>
      <c r="BD51" s="75">
        <f>$C51*INDEX(Curves!$P$8:$P$68,BD$4-$B51+1)</f>
        <v/>
      </c>
      <c r="BE51" s="75">
        <f>$C51*INDEX(Curves!$P$8:$P$68,BE$4-$B51+1)</f>
        <v/>
      </c>
      <c r="BF51" s="75">
        <f>$C51*INDEX(Curves!$P$8:$P$68,BF$4-$B51+1)</f>
        <v/>
      </c>
      <c r="BG51" s="75">
        <f>$C51*INDEX(Curves!$P$8:$P$68,BG$4-$B51+1)</f>
        <v/>
      </c>
      <c r="BH51" s="75">
        <f>$C51*INDEX(Curves!$P$8:$P$68,BH$4-$B51+1)</f>
        <v/>
      </c>
      <c r="BI51" s="75">
        <f>$C51*INDEX(Curves!$P$8:$P$68,BI$4-$B51+1)</f>
        <v/>
      </c>
      <c r="BJ51" s="75">
        <f>$C51*INDEX(Curves!$P$8:$P$68,BJ$4-$B51+1)</f>
        <v/>
      </c>
      <c r="BK51" s="75">
        <f>$C51*INDEX(Curves!$P$8:$P$68,BK$4-$B51+1)</f>
        <v/>
      </c>
      <c r="BL51" s="75">
        <f>$C51*INDEX(Curves!$P$8:$P$68,BL$4-$B51+1)</f>
        <v/>
      </c>
    </row>
    <row r="52">
      <c r="A52" s="74" t="inlineStr">
        <is>
          <t>Cohort month 43</t>
        </is>
      </c>
      <c r="B52" s="74" t="n">
        <v>43</v>
      </c>
      <c r="C52" s="17">
        <f>INDEX(Ops!$E$35:$BL$35,1,$B52)</f>
        <v/>
      </c>
      <c r="AV52" s="75">
        <f>$C52*INDEX(Curves!$P$8:$P$68,AV$4-$B52+1)</f>
        <v/>
      </c>
      <c r="AW52" s="75">
        <f>$C52*INDEX(Curves!$P$8:$P$68,AW$4-$B52+1)</f>
        <v/>
      </c>
      <c r="AX52" s="75">
        <f>$C52*INDEX(Curves!$P$8:$P$68,AX$4-$B52+1)</f>
        <v/>
      </c>
      <c r="AY52" s="75">
        <f>$C52*INDEX(Curves!$P$8:$P$68,AY$4-$B52+1)</f>
        <v/>
      </c>
      <c r="AZ52" s="75">
        <f>$C52*INDEX(Curves!$P$8:$P$68,AZ$4-$B52+1)</f>
        <v/>
      </c>
      <c r="BA52" s="75">
        <f>$C52*INDEX(Curves!$P$8:$P$68,BA$4-$B52+1)</f>
        <v/>
      </c>
      <c r="BB52" s="75">
        <f>$C52*INDEX(Curves!$P$8:$P$68,BB$4-$B52+1)</f>
        <v/>
      </c>
      <c r="BC52" s="75">
        <f>$C52*INDEX(Curves!$P$8:$P$68,BC$4-$B52+1)</f>
        <v/>
      </c>
      <c r="BD52" s="75">
        <f>$C52*INDEX(Curves!$P$8:$P$68,BD$4-$B52+1)</f>
        <v/>
      </c>
      <c r="BE52" s="75">
        <f>$C52*INDEX(Curves!$P$8:$P$68,BE$4-$B52+1)</f>
        <v/>
      </c>
      <c r="BF52" s="75">
        <f>$C52*INDEX(Curves!$P$8:$P$68,BF$4-$B52+1)</f>
        <v/>
      </c>
      <c r="BG52" s="75">
        <f>$C52*INDEX(Curves!$P$8:$P$68,BG$4-$B52+1)</f>
        <v/>
      </c>
      <c r="BH52" s="75">
        <f>$C52*INDEX(Curves!$P$8:$P$68,BH$4-$B52+1)</f>
        <v/>
      </c>
      <c r="BI52" s="75">
        <f>$C52*INDEX(Curves!$P$8:$P$68,BI$4-$B52+1)</f>
        <v/>
      </c>
      <c r="BJ52" s="75">
        <f>$C52*INDEX(Curves!$P$8:$P$68,BJ$4-$B52+1)</f>
        <v/>
      </c>
      <c r="BK52" s="75">
        <f>$C52*INDEX(Curves!$P$8:$P$68,BK$4-$B52+1)</f>
        <v/>
      </c>
      <c r="BL52" s="75">
        <f>$C52*INDEX(Curves!$P$8:$P$68,BL$4-$B52+1)</f>
        <v/>
      </c>
    </row>
    <row r="53">
      <c r="A53" s="74" t="inlineStr">
        <is>
          <t>Cohort month 44</t>
        </is>
      </c>
      <c r="B53" s="74" t="n">
        <v>44</v>
      </c>
      <c r="C53" s="17">
        <f>INDEX(Ops!$E$35:$BL$35,1,$B53)</f>
        <v/>
      </c>
      <c r="AW53" s="75">
        <f>$C53*INDEX(Curves!$P$8:$P$68,AW$4-$B53+1)</f>
        <v/>
      </c>
      <c r="AX53" s="75">
        <f>$C53*INDEX(Curves!$P$8:$P$68,AX$4-$B53+1)</f>
        <v/>
      </c>
      <c r="AY53" s="75">
        <f>$C53*INDEX(Curves!$P$8:$P$68,AY$4-$B53+1)</f>
        <v/>
      </c>
      <c r="AZ53" s="75">
        <f>$C53*INDEX(Curves!$P$8:$P$68,AZ$4-$B53+1)</f>
        <v/>
      </c>
      <c r="BA53" s="75">
        <f>$C53*INDEX(Curves!$P$8:$P$68,BA$4-$B53+1)</f>
        <v/>
      </c>
      <c r="BB53" s="75">
        <f>$C53*INDEX(Curves!$P$8:$P$68,BB$4-$B53+1)</f>
        <v/>
      </c>
      <c r="BC53" s="75">
        <f>$C53*INDEX(Curves!$P$8:$P$68,BC$4-$B53+1)</f>
        <v/>
      </c>
      <c r="BD53" s="75">
        <f>$C53*INDEX(Curves!$P$8:$P$68,BD$4-$B53+1)</f>
        <v/>
      </c>
      <c r="BE53" s="75">
        <f>$C53*INDEX(Curves!$P$8:$P$68,BE$4-$B53+1)</f>
        <v/>
      </c>
      <c r="BF53" s="75">
        <f>$C53*INDEX(Curves!$P$8:$P$68,BF$4-$B53+1)</f>
        <v/>
      </c>
      <c r="BG53" s="75">
        <f>$C53*INDEX(Curves!$P$8:$P$68,BG$4-$B53+1)</f>
        <v/>
      </c>
      <c r="BH53" s="75">
        <f>$C53*INDEX(Curves!$P$8:$P$68,BH$4-$B53+1)</f>
        <v/>
      </c>
      <c r="BI53" s="75">
        <f>$C53*INDEX(Curves!$P$8:$P$68,BI$4-$B53+1)</f>
        <v/>
      </c>
      <c r="BJ53" s="75">
        <f>$C53*INDEX(Curves!$P$8:$P$68,BJ$4-$B53+1)</f>
        <v/>
      </c>
      <c r="BK53" s="75">
        <f>$C53*INDEX(Curves!$P$8:$P$68,BK$4-$B53+1)</f>
        <v/>
      </c>
      <c r="BL53" s="75">
        <f>$C53*INDEX(Curves!$P$8:$P$68,BL$4-$B53+1)</f>
        <v/>
      </c>
    </row>
    <row r="54">
      <c r="A54" s="74" t="inlineStr">
        <is>
          <t>Cohort month 45</t>
        </is>
      </c>
      <c r="B54" s="74" t="n">
        <v>45</v>
      </c>
      <c r="C54" s="17">
        <f>INDEX(Ops!$E$35:$BL$35,1,$B54)</f>
        <v/>
      </c>
      <c r="AX54" s="75">
        <f>$C54*INDEX(Curves!$P$8:$P$68,AX$4-$B54+1)</f>
        <v/>
      </c>
      <c r="AY54" s="75">
        <f>$C54*INDEX(Curves!$P$8:$P$68,AY$4-$B54+1)</f>
        <v/>
      </c>
      <c r="AZ54" s="75">
        <f>$C54*INDEX(Curves!$P$8:$P$68,AZ$4-$B54+1)</f>
        <v/>
      </c>
      <c r="BA54" s="75">
        <f>$C54*INDEX(Curves!$P$8:$P$68,BA$4-$B54+1)</f>
        <v/>
      </c>
      <c r="BB54" s="75">
        <f>$C54*INDEX(Curves!$P$8:$P$68,BB$4-$B54+1)</f>
        <v/>
      </c>
      <c r="BC54" s="75">
        <f>$C54*INDEX(Curves!$P$8:$P$68,BC$4-$B54+1)</f>
        <v/>
      </c>
      <c r="BD54" s="75">
        <f>$C54*INDEX(Curves!$P$8:$P$68,BD$4-$B54+1)</f>
        <v/>
      </c>
      <c r="BE54" s="75">
        <f>$C54*INDEX(Curves!$P$8:$P$68,BE$4-$B54+1)</f>
        <v/>
      </c>
      <c r="BF54" s="75">
        <f>$C54*INDEX(Curves!$P$8:$P$68,BF$4-$B54+1)</f>
        <v/>
      </c>
      <c r="BG54" s="75">
        <f>$C54*INDEX(Curves!$P$8:$P$68,BG$4-$B54+1)</f>
        <v/>
      </c>
      <c r="BH54" s="75">
        <f>$C54*INDEX(Curves!$P$8:$P$68,BH$4-$B54+1)</f>
        <v/>
      </c>
      <c r="BI54" s="75">
        <f>$C54*INDEX(Curves!$P$8:$P$68,BI$4-$B54+1)</f>
        <v/>
      </c>
      <c r="BJ54" s="75">
        <f>$C54*INDEX(Curves!$P$8:$P$68,BJ$4-$B54+1)</f>
        <v/>
      </c>
      <c r="BK54" s="75">
        <f>$C54*INDEX(Curves!$P$8:$P$68,BK$4-$B54+1)</f>
        <v/>
      </c>
      <c r="BL54" s="75">
        <f>$C54*INDEX(Curves!$P$8:$P$68,BL$4-$B54+1)</f>
        <v/>
      </c>
    </row>
    <row r="55">
      <c r="A55" s="74" t="inlineStr">
        <is>
          <t>Cohort month 46</t>
        </is>
      </c>
      <c r="B55" s="74" t="n">
        <v>46</v>
      </c>
      <c r="C55" s="17">
        <f>INDEX(Ops!$E$35:$BL$35,1,$B55)</f>
        <v/>
      </c>
      <c r="AY55" s="75">
        <f>$C55*INDEX(Curves!$P$8:$P$68,AY$4-$B55+1)</f>
        <v/>
      </c>
      <c r="AZ55" s="75">
        <f>$C55*INDEX(Curves!$P$8:$P$68,AZ$4-$B55+1)</f>
        <v/>
      </c>
      <c r="BA55" s="75">
        <f>$C55*INDEX(Curves!$P$8:$P$68,BA$4-$B55+1)</f>
        <v/>
      </c>
      <c r="BB55" s="75">
        <f>$C55*INDEX(Curves!$P$8:$P$68,BB$4-$B55+1)</f>
        <v/>
      </c>
      <c r="BC55" s="75">
        <f>$C55*INDEX(Curves!$P$8:$P$68,BC$4-$B55+1)</f>
        <v/>
      </c>
      <c r="BD55" s="75">
        <f>$C55*INDEX(Curves!$P$8:$P$68,BD$4-$B55+1)</f>
        <v/>
      </c>
      <c r="BE55" s="75">
        <f>$C55*INDEX(Curves!$P$8:$P$68,BE$4-$B55+1)</f>
        <v/>
      </c>
      <c r="BF55" s="75">
        <f>$C55*INDEX(Curves!$P$8:$P$68,BF$4-$B55+1)</f>
        <v/>
      </c>
      <c r="BG55" s="75">
        <f>$C55*INDEX(Curves!$P$8:$P$68,BG$4-$B55+1)</f>
        <v/>
      </c>
      <c r="BH55" s="75">
        <f>$C55*INDEX(Curves!$P$8:$P$68,BH$4-$B55+1)</f>
        <v/>
      </c>
      <c r="BI55" s="75">
        <f>$C55*INDEX(Curves!$P$8:$P$68,BI$4-$B55+1)</f>
        <v/>
      </c>
      <c r="BJ55" s="75">
        <f>$C55*INDEX(Curves!$P$8:$P$68,BJ$4-$B55+1)</f>
        <v/>
      </c>
      <c r="BK55" s="75">
        <f>$C55*INDEX(Curves!$P$8:$P$68,BK$4-$B55+1)</f>
        <v/>
      </c>
      <c r="BL55" s="75">
        <f>$C55*INDEX(Curves!$P$8:$P$68,BL$4-$B55+1)</f>
        <v/>
      </c>
    </row>
    <row r="56">
      <c r="A56" s="74" t="inlineStr">
        <is>
          <t>Cohort month 47</t>
        </is>
      </c>
      <c r="B56" s="74" t="n">
        <v>47</v>
      </c>
      <c r="C56" s="17">
        <f>INDEX(Ops!$E$35:$BL$35,1,$B56)</f>
        <v/>
      </c>
      <c r="AZ56" s="75">
        <f>$C56*INDEX(Curves!$P$8:$P$68,AZ$4-$B56+1)</f>
        <v/>
      </c>
      <c r="BA56" s="75">
        <f>$C56*INDEX(Curves!$P$8:$P$68,BA$4-$B56+1)</f>
        <v/>
      </c>
      <c r="BB56" s="75">
        <f>$C56*INDEX(Curves!$P$8:$P$68,BB$4-$B56+1)</f>
        <v/>
      </c>
      <c r="BC56" s="75">
        <f>$C56*INDEX(Curves!$P$8:$P$68,BC$4-$B56+1)</f>
        <v/>
      </c>
      <c r="BD56" s="75">
        <f>$C56*INDEX(Curves!$P$8:$P$68,BD$4-$B56+1)</f>
        <v/>
      </c>
      <c r="BE56" s="75">
        <f>$C56*INDEX(Curves!$P$8:$P$68,BE$4-$B56+1)</f>
        <v/>
      </c>
      <c r="BF56" s="75">
        <f>$C56*INDEX(Curves!$P$8:$P$68,BF$4-$B56+1)</f>
        <v/>
      </c>
      <c r="BG56" s="75">
        <f>$C56*INDEX(Curves!$P$8:$P$68,BG$4-$B56+1)</f>
        <v/>
      </c>
      <c r="BH56" s="75">
        <f>$C56*INDEX(Curves!$P$8:$P$68,BH$4-$B56+1)</f>
        <v/>
      </c>
      <c r="BI56" s="75">
        <f>$C56*INDEX(Curves!$P$8:$P$68,BI$4-$B56+1)</f>
        <v/>
      </c>
      <c r="BJ56" s="75">
        <f>$C56*INDEX(Curves!$P$8:$P$68,BJ$4-$B56+1)</f>
        <v/>
      </c>
      <c r="BK56" s="75">
        <f>$C56*INDEX(Curves!$P$8:$P$68,BK$4-$B56+1)</f>
        <v/>
      </c>
      <c r="BL56" s="75">
        <f>$C56*INDEX(Curves!$P$8:$P$68,BL$4-$B56+1)</f>
        <v/>
      </c>
    </row>
    <row r="57">
      <c r="A57" s="74" t="inlineStr">
        <is>
          <t>Cohort month 48</t>
        </is>
      </c>
      <c r="B57" s="74" t="n">
        <v>48</v>
      </c>
      <c r="C57" s="17">
        <f>INDEX(Ops!$E$35:$BL$35,1,$B57)</f>
        <v/>
      </c>
      <c r="BA57" s="75">
        <f>$C57*INDEX(Curves!$P$8:$P$68,BA$4-$B57+1)</f>
        <v/>
      </c>
      <c r="BB57" s="75">
        <f>$C57*INDEX(Curves!$P$8:$P$68,BB$4-$B57+1)</f>
        <v/>
      </c>
      <c r="BC57" s="75">
        <f>$C57*INDEX(Curves!$P$8:$P$68,BC$4-$B57+1)</f>
        <v/>
      </c>
      <c r="BD57" s="75">
        <f>$C57*INDEX(Curves!$P$8:$P$68,BD$4-$B57+1)</f>
        <v/>
      </c>
      <c r="BE57" s="75">
        <f>$C57*INDEX(Curves!$P$8:$P$68,BE$4-$B57+1)</f>
        <v/>
      </c>
      <c r="BF57" s="75">
        <f>$C57*INDEX(Curves!$P$8:$P$68,BF$4-$B57+1)</f>
        <v/>
      </c>
      <c r="BG57" s="75">
        <f>$C57*INDEX(Curves!$P$8:$P$68,BG$4-$B57+1)</f>
        <v/>
      </c>
      <c r="BH57" s="75">
        <f>$C57*INDEX(Curves!$P$8:$P$68,BH$4-$B57+1)</f>
        <v/>
      </c>
      <c r="BI57" s="75">
        <f>$C57*INDEX(Curves!$P$8:$P$68,BI$4-$B57+1)</f>
        <v/>
      </c>
      <c r="BJ57" s="75">
        <f>$C57*INDEX(Curves!$P$8:$P$68,BJ$4-$B57+1)</f>
        <v/>
      </c>
      <c r="BK57" s="75">
        <f>$C57*INDEX(Curves!$P$8:$P$68,BK$4-$B57+1)</f>
        <v/>
      </c>
      <c r="BL57" s="75">
        <f>$C57*INDEX(Curves!$P$8:$P$68,BL$4-$B57+1)</f>
        <v/>
      </c>
    </row>
    <row r="58">
      <c r="A58" s="74" t="inlineStr">
        <is>
          <t>Cohort month 49</t>
        </is>
      </c>
      <c r="B58" s="74" t="n">
        <v>49</v>
      </c>
      <c r="C58" s="17">
        <f>INDEX(Ops!$E$35:$BL$35,1,$B58)</f>
        <v/>
      </c>
      <c r="BB58" s="75">
        <f>$C58*INDEX(Curves!$P$8:$P$68,BB$4-$B58+1)</f>
        <v/>
      </c>
      <c r="BC58" s="75">
        <f>$C58*INDEX(Curves!$P$8:$P$68,BC$4-$B58+1)</f>
        <v/>
      </c>
      <c r="BD58" s="75">
        <f>$C58*INDEX(Curves!$P$8:$P$68,BD$4-$B58+1)</f>
        <v/>
      </c>
      <c r="BE58" s="75">
        <f>$C58*INDEX(Curves!$P$8:$P$68,BE$4-$B58+1)</f>
        <v/>
      </c>
      <c r="BF58" s="75">
        <f>$C58*INDEX(Curves!$P$8:$P$68,BF$4-$B58+1)</f>
        <v/>
      </c>
      <c r="BG58" s="75">
        <f>$C58*INDEX(Curves!$P$8:$P$68,BG$4-$B58+1)</f>
        <v/>
      </c>
      <c r="BH58" s="75">
        <f>$C58*INDEX(Curves!$P$8:$P$68,BH$4-$B58+1)</f>
        <v/>
      </c>
      <c r="BI58" s="75">
        <f>$C58*INDEX(Curves!$P$8:$P$68,BI$4-$B58+1)</f>
        <v/>
      </c>
      <c r="BJ58" s="75">
        <f>$C58*INDEX(Curves!$P$8:$P$68,BJ$4-$B58+1)</f>
        <v/>
      </c>
      <c r="BK58" s="75">
        <f>$C58*INDEX(Curves!$P$8:$P$68,BK$4-$B58+1)</f>
        <v/>
      </c>
      <c r="BL58" s="75">
        <f>$C58*INDEX(Curves!$P$8:$P$68,BL$4-$B58+1)</f>
        <v/>
      </c>
    </row>
    <row r="59">
      <c r="A59" s="74" t="inlineStr">
        <is>
          <t>Cohort month 50</t>
        </is>
      </c>
      <c r="B59" s="74" t="n">
        <v>50</v>
      </c>
      <c r="C59" s="17">
        <f>INDEX(Ops!$E$35:$BL$35,1,$B59)</f>
        <v/>
      </c>
      <c r="BC59" s="75">
        <f>$C59*INDEX(Curves!$P$8:$P$68,BC$4-$B59+1)</f>
        <v/>
      </c>
      <c r="BD59" s="75">
        <f>$C59*INDEX(Curves!$P$8:$P$68,BD$4-$B59+1)</f>
        <v/>
      </c>
      <c r="BE59" s="75">
        <f>$C59*INDEX(Curves!$P$8:$P$68,BE$4-$B59+1)</f>
        <v/>
      </c>
      <c r="BF59" s="75">
        <f>$C59*INDEX(Curves!$P$8:$P$68,BF$4-$B59+1)</f>
        <v/>
      </c>
      <c r="BG59" s="75">
        <f>$C59*INDEX(Curves!$P$8:$P$68,BG$4-$B59+1)</f>
        <v/>
      </c>
      <c r="BH59" s="75">
        <f>$C59*INDEX(Curves!$P$8:$P$68,BH$4-$B59+1)</f>
        <v/>
      </c>
      <c r="BI59" s="75">
        <f>$C59*INDEX(Curves!$P$8:$P$68,BI$4-$B59+1)</f>
        <v/>
      </c>
      <c r="BJ59" s="75">
        <f>$C59*INDEX(Curves!$P$8:$P$68,BJ$4-$B59+1)</f>
        <v/>
      </c>
      <c r="BK59" s="75">
        <f>$C59*INDEX(Curves!$P$8:$P$68,BK$4-$B59+1)</f>
        <v/>
      </c>
      <c r="BL59" s="75">
        <f>$C59*INDEX(Curves!$P$8:$P$68,BL$4-$B59+1)</f>
        <v/>
      </c>
    </row>
    <row r="60">
      <c r="A60" s="74" t="inlineStr">
        <is>
          <t>Cohort month 51</t>
        </is>
      </c>
      <c r="B60" s="74" t="n">
        <v>51</v>
      </c>
      <c r="C60" s="17">
        <f>INDEX(Ops!$E$35:$BL$35,1,$B60)</f>
        <v/>
      </c>
      <c r="BD60" s="75">
        <f>$C60*INDEX(Curves!$P$8:$P$68,BD$4-$B60+1)</f>
        <v/>
      </c>
      <c r="BE60" s="75">
        <f>$C60*INDEX(Curves!$P$8:$P$68,BE$4-$B60+1)</f>
        <v/>
      </c>
      <c r="BF60" s="75">
        <f>$C60*INDEX(Curves!$P$8:$P$68,BF$4-$B60+1)</f>
        <v/>
      </c>
      <c r="BG60" s="75">
        <f>$C60*INDEX(Curves!$P$8:$P$68,BG$4-$B60+1)</f>
        <v/>
      </c>
      <c r="BH60" s="75">
        <f>$C60*INDEX(Curves!$P$8:$P$68,BH$4-$B60+1)</f>
        <v/>
      </c>
      <c r="BI60" s="75">
        <f>$C60*INDEX(Curves!$P$8:$P$68,BI$4-$B60+1)</f>
        <v/>
      </c>
      <c r="BJ60" s="75">
        <f>$C60*INDEX(Curves!$P$8:$P$68,BJ$4-$B60+1)</f>
        <v/>
      </c>
      <c r="BK60" s="75">
        <f>$C60*INDEX(Curves!$P$8:$P$68,BK$4-$B60+1)</f>
        <v/>
      </c>
      <c r="BL60" s="75">
        <f>$C60*INDEX(Curves!$P$8:$P$68,BL$4-$B60+1)</f>
        <v/>
      </c>
    </row>
    <row r="61">
      <c r="A61" s="74" t="inlineStr">
        <is>
          <t>Cohort month 52</t>
        </is>
      </c>
      <c r="B61" s="74" t="n">
        <v>52</v>
      </c>
      <c r="C61" s="17">
        <f>INDEX(Ops!$E$35:$BL$35,1,$B61)</f>
        <v/>
      </c>
      <c r="BE61" s="75">
        <f>$C61*INDEX(Curves!$P$8:$P$68,BE$4-$B61+1)</f>
        <v/>
      </c>
      <c r="BF61" s="75">
        <f>$C61*INDEX(Curves!$P$8:$P$68,BF$4-$B61+1)</f>
        <v/>
      </c>
      <c r="BG61" s="75">
        <f>$C61*INDEX(Curves!$P$8:$P$68,BG$4-$B61+1)</f>
        <v/>
      </c>
      <c r="BH61" s="75">
        <f>$C61*INDEX(Curves!$P$8:$P$68,BH$4-$B61+1)</f>
        <v/>
      </c>
      <c r="BI61" s="75">
        <f>$C61*INDEX(Curves!$P$8:$P$68,BI$4-$B61+1)</f>
        <v/>
      </c>
      <c r="BJ61" s="75">
        <f>$C61*INDEX(Curves!$P$8:$P$68,BJ$4-$B61+1)</f>
        <v/>
      </c>
      <c r="BK61" s="75">
        <f>$C61*INDEX(Curves!$P$8:$P$68,BK$4-$B61+1)</f>
        <v/>
      </c>
      <c r="BL61" s="75">
        <f>$C61*INDEX(Curves!$P$8:$P$68,BL$4-$B61+1)</f>
        <v/>
      </c>
    </row>
    <row r="62">
      <c r="A62" s="74" t="inlineStr">
        <is>
          <t>Cohort month 53</t>
        </is>
      </c>
      <c r="B62" s="74" t="n">
        <v>53</v>
      </c>
      <c r="C62" s="17">
        <f>INDEX(Ops!$E$35:$BL$35,1,$B62)</f>
        <v/>
      </c>
      <c r="BF62" s="75">
        <f>$C62*INDEX(Curves!$P$8:$P$68,BF$4-$B62+1)</f>
        <v/>
      </c>
      <c r="BG62" s="75">
        <f>$C62*INDEX(Curves!$P$8:$P$68,BG$4-$B62+1)</f>
        <v/>
      </c>
      <c r="BH62" s="75">
        <f>$C62*INDEX(Curves!$P$8:$P$68,BH$4-$B62+1)</f>
        <v/>
      </c>
      <c r="BI62" s="75">
        <f>$C62*INDEX(Curves!$P$8:$P$68,BI$4-$B62+1)</f>
        <v/>
      </c>
      <c r="BJ62" s="75">
        <f>$C62*INDEX(Curves!$P$8:$P$68,BJ$4-$B62+1)</f>
        <v/>
      </c>
      <c r="BK62" s="75">
        <f>$C62*INDEX(Curves!$P$8:$P$68,BK$4-$B62+1)</f>
        <v/>
      </c>
      <c r="BL62" s="75">
        <f>$C62*INDEX(Curves!$P$8:$P$68,BL$4-$B62+1)</f>
        <v/>
      </c>
    </row>
    <row r="63">
      <c r="A63" s="74" t="inlineStr">
        <is>
          <t>Cohort month 54</t>
        </is>
      </c>
      <c r="B63" s="74" t="n">
        <v>54</v>
      </c>
      <c r="C63" s="17">
        <f>INDEX(Ops!$E$35:$BL$35,1,$B63)</f>
        <v/>
      </c>
      <c r="BG63" s="75">
        <f>$C63*INDEX(Curves!$P$8:$P$68,BG$4-$B63+1)</f>
        <v/>
      </c>
      <c r="BH63" s="75">
        <f>$C63*INDEX(Curves!$P$8:$P$68,BH$4-$B63+1)</f>
        <v/>
      </c>
      <c r="BI63" s="75">
        <f>$C63*INDEX(Curves!$P$8:$P$68,BI$4-$B63+1)</f>
        <v/>
      </c>
      <c r="BJ63" s="75">
        <f>$C63*INDEX(Curves!$P$8:$P$68,BJ$4-$B63+1)</f>
        <v/>
      </c>
      <c r="BK63" s="75">
        <f>$C63*INDEX(Curves!$P$8:$P$68,BK$4-$B63+1)</f>
        <v/>
      </c>
      <c r="BL63" s="75">
        <f>$C63*INDEX(Curves!$P$8:$P$68,BL$4-$B63+1)</f>
        <v/>
      </c>
    </row>
    <row r="64">
      <c r="A64" s="74" t="inlineStr">
        <is>
          <t>Cohort month 55</t>
        </is>
      </c>
      <c r="B64" s="74" t="n">
        <v>55</v>
      </c>
      <c r="C64" s="17">
        <f>INDEX(Ops!$E$35:$BL$35,1,$B64)</f>
        <v/>
      </c>
      <c r="BH64" s="75">
        <f>$C64*INDEX(Curves!$P$8:$P$68,BH$4-$B64+1)</f>
        <v/>
      </c>
      <c r="BI64" s="75">
        <f>$C64*INDEX(Curves!$P$8:$P$68,BI$4-$B64+1)</f>
        <v/>
      </c>
      <c r="BJ64" s="75">
        <f>$C64*INDEX(Curves!$P$8:$P$68,BJ$4-$B64+1)</f>
        <v/>
      </c>
      <c r="BK64" s="75">
        <f>$C64*INDEX(Curves!$P$8:$P$68,BK$4-$B64+1)</f>
        <v/>
      </c>
      <c r="BL64" s="75">
        <f>$C64*INDEX(Curves!$P$8:$P$68,BL$4-$B64+1)</f>
        <v/>
      </c>
    </row>
    <row r="65">
      <c r="A65" s="74" t="inlineStr">
        <is>
          <t>Cohort month 56</t>
        </is>
      </c>
      <c r="B65" s="74" t="n">
        <v>56</v>
      </c>
      <c r="C65" s="17">
        <f>INDEX(Ops!$E$35:$BL$35,1,$B65)</f>
        <v/>
      </c>
      <c r="BI65" s="75">
        <f>$C65*INDEX(Curves!$P$8:$P$68,BI$4-$B65+1)</f>
        <v/>
      </c>
      <c r="BJ65" s="75">
        <f>$C65*INDEX(Curves!$P$8:$P$68,BJ$4-$B65+1)</f>
        <v/>
      </c>
      <c r="BK65" s="75">
        <f>$C65*INDEX(Curves!$P$8:$P$68,BK$4-$B65+1)</f>
        <v/>
      </c>
      <c r="BL65" s="75">
        <f>$C65*INDEX(Curves!$P$8:$P$68,BL$4-$B65+1)</f>
        <v/>
      </c>
    </row>
    <row r="66">
      <c r="A66" s="74" t="inlineStr">
        <is>
          <t>Cohort month 57</t>
        </is>
      </c>
      <c r="B66" s="74" t="n">
        <v>57</v>
      </c>
      <c r="C66" s="17">
        <f>INDEX(Ops!$E$35:$BL$35,1,$B66)</f>
        <v/>
      </c>
      <c r="BJ66" s="75">
        <f>$C66*INDEX(Curves!$P$8:$P$68,BJ$4-$B66+1)</f>
        <v/>
      </c>
      <c r="BK66" s="75">
        <f>$C66*INDEX(Curves!$P$8:$P$68,BK$4-$B66+1)</f>
        <v/>
      </c>
      <c r="BL66" s="75">
        <f>$C66*INDEX(Curves!$P$8:$P$68,BL$4-$B66+1)</f>
        <v/>
      </c>
    </row>
    <row r="67">
      <c r="A67" s="74" t="inlineStr">
        <is>
          <t>Cohort month 58</t>
        </is>
      </c>
      <c r="B67" s="74" t="n">
        <v>58</v>
      </c>
      <c r="C67" s="17">
        <f>INDEX(Ops!$E$35:$BL$35,1,$B67)</f>
        <v/>
      </c>
      <c r="BK67" s="75">
        <f>$C67*INDEX(Curves!$P$8:$P$68,BK$4-$B67+1)</f>
        <v/>
      </c>
      <c r="BL67" s="75">
        <f>$C67*INDEX(Curves!$P$8:$P$68,BL$4-$B67+1)</f>
        <v/>
      </c>
    </row>
    <row r="68">
      <c r="A68" s="74" t="inlineStr">
        <is>
          <t>Cohort month 59</t>
        </is>
      </c>
      <c r="B68" s="74" t="n">
        <v>59</v>
      </c>
      <c r="C68" s="17">
        <f>INDEX(Ops!$E$35:$BL$35,1,$B68)</f>
        <v/>
      </c>
      <c r="BL68" s="75">
        <f>$C68*INDEX(Curves!$P$8:$P$68,BL$4-$B68+1)</f>
        <v/>
      </c>
    </row>
    <row r="69">
      <c r="A69" s="74" t="inlineStr">
        <is>
          <t>Cohort month 60</t>
        </is>
      </c>
      <c r="B69" s="74" t="n">
        <v>60</v>
      </c>
      <c r="C69" s="17">
        <f>INDEX(Ops!$E$35:$BL$35,1,$B69)</f>
        <v/>
      </c>
    </row>
    <row r="70"/>
    <row r="71">
      <c r="A71" s="14" t="inlineStr">
        <is>
          <t>Active accounts by cohort</t>
        </is>
      </c>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5" t="n"/>
      <c r="AG71" s="15" t="n"/>
      <c r="AH71" s="15" t="n"/>
      <c r="AI71" s="15" t="n"/>
      <c r="AJ71" s="15" t="n"/>
      <c r="AK71" s="15" t="n"/>
      <c r="AL71" s="15" t="n"/>
      <c r="AM71" s="15" t="n"/>
      <c r="AN71" s="15" t="n"/>
      <c r="AO71" s="15" t="n"/>
      <c r="AP71" s="15" t="n"/>
      <c r="AQ71" s="15" t="n"/>
      <c r="AR71" s="15" t="n"/>
      <c r="AS71" s="15" t="n"/>
      <c r="AT71" s="15" t="n"/>
      <c r="AU71" s="15" t="n"/>
      <c r="AV71" s="15" t="n"/>
      <c r="AW71" s="15" t="n"/>
      <c r="AX71" s="15" t="n"/>
      <c r="AY71" s="15" t="n"/>
      <c r="AZ71" s="15" t="n"/>
      <c r="BA71" s="15" t="n"/>
      <c r="BB71" s="15" t="n"/>
      <c r="BC71" s="15" t="n"/>
      <c r="BD71" s="15" t="n"/>
      <c r="BE71" s="15" t="n"/>
      <c r="BF71" s="15" t="n"/>
      <c r="BG71" s="15" t="n"/>
      <c r="BH71" s="15" t="n"/>
      <c r="BI71" s="15" t="n"/>
      <c r="BJ71" s="15" t="n"/>
      <c r="BK71" s="15" t="n"/>
      <c r="BL71" s="15" t="n"/>
    </row>
    <row r="72">
      <c r="A72" s="60" t="inlineStr">
        <is>
          <t>Total</t>
        </is>
      </c>
      <c r="B72" s="61" t="inlineStr"/>
      <c r="C72" s="63" t="n"/>
      <c r="D72" s="63" t="n"/>
      <c r="E72" s="71">
        <f>SUM(E73:E132)</f>
        <v/>
      </c>
      <c r="F72" s="71">
        <f>SUM(F73:F132)</f>
        <v/>
      </c>
      <c r="G72" s="71">
        <f>SUM(G73:G132)</f>
        <v/>
      </c>
      <c r="H72" s="71">
        <f>SUM(H73:H132)</f>
        <v/>
      </c>
      <c r="I72" s="71">
        <f>SUM(I73:I132)</f>
        <v/>
      </c>
      <c r="J72" s="71">
        <f>SUM(J73:J132)</f>
        <v/>
      </c>
      <c r="K72" s="71">
        <f>SUM(K73:K132)</f>
        <v/>
      </c>
      <c r="L72" s="71">
        <f>SUM(L73:L132)</f>
        <v/>
      </c>
      <c r="M72" s="71">
        <f>SUM(M73:M132)</f>
        <v/>
      </c>
      <c r="N72" s="71">
        <f>SUM(N73:N132)</f>
        <v/>
      </c>
      <c r="O72" s="71">
        <f>SUM(O73:O132)</f>
        <v/>
      </c>
      <c r="P72" s="71">
        <f>SUM(P73:P132)</f>
        <v/>
      </c>
      <c r="Q72" s="71">
        <f>SUM(Q73:Q132)</f>
        <v/>
      </c>
      <c r="R72" s="71">
        <f>SUM(R73:R132)</f>
        <v/>
      </c>
      <c r="S72" s="71">
        <f>SUM(S73:S132)</f>
        <v/>
      </c>
      <c r="T72" s="71">
        <f>SUM(T73:T132)</f>
        <v/>
      </c>
      <c r="U72" s="71">
        <f>SUM(U73:U132)</f>
        <v/>
      </c>
      <c r="V72" s="71">
        <f>SUM(V73:V132)</f>
        <v/>
      </c>
      <c r="W72" s="71">
        <f>SUM(W73:W132)</f>
        <v/>
      </c>
      <c r="X72" s="71">
        <f>SUM(X73:X132)</f>
        <v/>
      </c>
      <c r="Y72" s="71">
        <f>SUM(Y73:Y132)</f>
        <v/>
      </c>
      <c r="Z72" s="71">
        <f>SUM(Z73:Z132)</f>
        <v/>
      </c>
      <c r="AA72" s="71">
        <f>SUM(AA73:AA132)</f>
        <v/>
      </c>
      <c r="AB72" s="71">
        <f>SUM(AB73:AB132)</f>
        <v/>
      </c>
      <c r="AC72" s="71">
        <f>SUM(AC73:AC132)</f>
        <v/>
      </c>
      <c r="AD72" s="71">
        <f>SUM(AD73:AD132)</f>
        <v/>
      </c>
      <c r="AE72" s="71">
        <f>SUM(AE73:AE132)</f>
        <v/>
      </c>
      <c r="AF72" s="71">
        <f>SUM(AF73:AF132)</f>
        <v/>
      </c>
      <c r="AG72" s="71">
        <f>SUM(AG73:AG132)</f>
        <v/>
      </c>
      <c r="AH72" s="71">
        <f>SUM(AH73:AH132)</f>
        <v/>
      </c>
      <c r="AI72" s="71">
        <f>SUM(AI73:AI132)</f>
        <v/>
      </c>
      <c r="AJ72" s="71">
        <f>SUM(AJ73:AJ132)</f>
        <v/>
      </c>
      <c r="AK72" s="71">
        <f>SUM(AK73:AK132)</f>
        <v/>
      </c>
      <c r="AL72" s="71">
        <f>SUM(AL73:AL132)</f>
        <v/>
      </c>
      <c r="AM72" s="71">
        <f>SUM(AM73:AM132)</f>
        <v/>
      </c>
      <c r="AN72" s="71">
        <f>SUM(AN73:AN132)</f>
        <v/>
      </c>
      <c r="AO72" s="71">
        <f>SUM(AO73:AO132)</f>
        <v/>
      </c>
      <c r="AP72" s="71">
        <f>SUM(AP73:AP132)</f>
        <v/>
      </c>
      <c r="AQ72" s="71">
        <f>SUM(AQ73:AQ132)</f>
        <v/>
      </c>
      <c r="AR72" s="71">
        <f>SUM(AR73:AR132)</f>
        <v/>
      </c>
      <c r="AS72" s="71">
        <f>SUM(AS73:AS132)</f>
        <v/>
      </c>
      <c r="AT72" s="71">
        <f>SUM(AT73:AT132)</f>
        <v/>
      </c>
      <c r="AU72" s="71">
        <f>SUM(AU73:AU132)</f>
        <v/>
      </c>
      <c r="AV72" s="71">
        <f>SUM(AV73:AV132)</f>
        <v/>
      </c>
      <c r="AW72" s="71">
        <f>SUM(AW73:AW132)</f>
        <v/>
      </c>
      <c r="AX72" s="71">
        <f>SUM(AX73:AX132)</f>
        <v/>
      </c>
      <c r="AY72" s="71">
        <f>SUM(AY73:AY132)</f>
        <v/>
      </c>
      <c r="AZ72" s="71">
        <f>SUM(AZ73:AZ132)</f>
        <v/>
      </c>
      <c r="BA72" s="71">
        <f>SUM(BA73:BA132)</f>
        <v/>
      </c>
      <c r="BB72" s="71">
        <f>SUM(BB73:BB132)</f>
        <v/>
      </c>
      <c r="BC72" s="71">
        <f>SUM(BC73:BC132)</f>
        <v/>
      </c>
      <c r="BD72" s="71">
        <f>SUM(BD73:BD132)</f>
        <v/>
      </c>
      <c r="BE72" s="71">
        <f>SUM(BE73:BE132)</f>
        <v/>
      </c>
      <c r="BF72" s="71">
        <f>SUM(BF73:BF132)</f>
        <v/>
      </c>
      <c r="BG72" s="71">
        <f>SUM(BG73:BG132)</f>
        <v/>
      </c>
      <c r="BH72" s="71">
        <f>SUM(BH73:BH132)</f>
        <v/>
      </c>
      <c r="BI72" s="71">
        <f>SUM(BI73:BI132)</f>
        <v/>
      </c>
      <c r="BJ72" s="71">
        <f>SUM(BJ73:BJ132)</f>
        <v/>
      </c>
      <c r="BK72" s="71">
        <f>SUM(BK73:BK132)</f>
        <v/>
      </c>
      <c r="BL72" s="71">
        <f>SUM(BL73:BL132)</f>
        <v/>
      </c>
    </row>
    <row r="73">
      <c r="A73" s="74" t="inlineStr">
        <is>
          <t>Cohort month 1</t>
        </is>
      </c>
      <c r="B73" s="74" t="n">
        <v>1</v>
      </c>
      <c r="C73" s="17">
        <f>INDEX(Ops!$E$34:$BL$34,1,$B73)</f>
        <v/>
      </c>
      <c r="F73" s="75">
        <f>$C73*INDEX(Curves!$S$8:$S$68,F$4-$B73+1)</f>
        <v/>
      </c>
      <c r="G73" s="75">
        <f>$C73*INDEX(Curves!$S$8:$S$68,G$4-$B73+1)</f>
        <v/>
      </c>
      <c r="H73" s="75">
        <f>$C73*INDEX(Curves!$S$8:$S$68,H$4-$B73+1)</f>
        <v/>
      </c>
      <c r="I73" s="75">
        <f>$C73*INDEX(Curves!$S$8:$S$68,I$4-$B73+1)</f>
        <v/>
      </c>
      <c r="J73" s="75">
        <f>$C73*INDEX(Curves!$S$8:$S$68,J$4-$B73+1)</f>
        <v/>
      </c>
      <c r="K73" s="75">
        <f>$C73*INDEX(Curves!$S$8:$S$68,K$4-$B73+1)</f>
        <v/>
      </c>
      <c r="L73" s="75">
        <f>$C73*INDEX(Curves!$S$8:$S$68,L$4-$B73+1)</f>
        <v/>
      </c>
      <c r="M73" s="75">
        <f>$C73*INDEX(Curves!$S$8:$S$68,M$4-$B73+1)</f>
        <v/>
      </c>
      <c r="N73" s="75">
        <f>$C73*INDEX(Curves!$S$8:$S$68,N$4-$B73+1)</f>
        <v/>
      </c>
      <c r="O73" s="75">
        <f>$C73*INDEX(Curves!$S$8:$S$68,O$4-$B73+1)</f>
        <v/>
      </c>
      <c r="P73" s="75">
        <f>$C73*INDEX(Curves!$S$8:$S$68,P$4-$B73+1)</f>
        <v/>
      </c>
      <c r="Q73" s="75">
        <f>$C73*INDEX(Curves!$S$8:$S$68,Q$4-$B73+1)</f>
        <v/>
      </c>
      <c r="R73" s="75">
        <f>$C73*INDEX(Curves!$S$8:$S$68,R$4-$B73+1)</f>
        <v/>
      </c>
      <c r="S73" s="75">
        <f>$C73*INDEX(Curves!$S$8:$S$68,S$4-$B73+1)</f>
        <v/>
      </c>
      <c r="T73" s="75">
        <f>$C73*INDEX(Curves!$S$8:$S$68,T$4-$B73+1)</f>
        <v/>
      </c>
      <c r="U73" s="75">
        <f>$C73*INDEX(Curves!$S$8:$S$68,U$4-$B73+1)</f>
        <v/>
      </c>
      <c r="V73" s="75">
        <f>$C73*INDEX(Curves!$S$8:$S$68,V$4-$B73+1)</f>
        <v/>
      </c>
      <c r="W73" s="75">
        <f>$C73*INDEX(Curves!$S$8:$S$68,W$4-$B73+1)</f>
        <v/>
      </c>
      <c r="X73" s="75">
        <f>$C73*INDEX(Curves!$S$8:$S$68,X$4-$B73+1)</f>
        <v/>
      </c>
      <c r="Y73" s="75">
        <f>$C73*INDEX(Curves!$S$8:$S$68,Y$4-$B73+1)</f>
        <v/>
      </c>
      <c r="Z73" s="75">
        <f>$C73*INDEX(Curves!$S$8:$S$68,Z$4-$B73+1)</f>
        <v/>
      </c>
      <c r="AA73" s="75">
        <f>$C73*INDEX(Curves!$S$8:$S$68,AA$4-$B73+1)</f>
        <v/>
      </c>
      <c r="AB73" s="75">
        <f>$C73*INDEX(Curves!$S$8:$S$68,AB$4-$B73+1)</f>
        <v/>
      </c>
      <c r="AC73" s="75">
        <f>$C73*INDEX(Curves!$S$8:$S$68,AC$4-$B73+1)</f>
        <v/>
      </c>
      <c r="AD73" s="75">
        <f>$C73*INDEX(Curves!$S$8:$S$68,AD$4-$B73+1)</f>
        <v/>
      </c>
      <c r="AE73" s="75">
        <f>$C73*INDEX(Curves!$S$8:$S$68,AE$4-$B73+1)</f>
        <v/>
      </c>
      <c r="AF73" s="75">
        <f>$C73*INDEX(Curves!$S$8:$S$68,AF$4-$B73+1)</f>
        <v/>
      </c>
      <c r="AG73" s="75">
        <f>$C73*INDEX(Curves!$S$8:$S$68,AG$4-$B73+1)</f>
        <v/>
      </c>
      <c r="AH73" s="75">
        <f>$C73*INDEX(Curves!$S$8:$S$68,AH$4-$B73+1)</f>
        <v/>
      </c>
      <c r="AI73" s="75">
        <f>$C73*INDEX(Curves!$S$8:$S$68,AI$4-$B73+1)</f>
        <v/>
      </c>
      <c r="AJ73" s="75">
        <f>$C73*INDEX(Curves!$S$8:$S$68,AJ$4-$B73+1)</f>
        <v/>
      </c>
      <c r="AK73" s="75">
        <f>$C73*INDEX(Curves!$S$8:$S$68,AK$4-$B73+1)</f>
        <v/>
      </c>
      <c r="AL73" s="75">
        <f>$C73*INDEX(Curves!$S$8:$S$68,AL$4-$B73+1)</f>
        <v/>
      </c>
      <c r="AM73" s="75">
        <f>$C73*INDEX(Curves!$S$8:$S$68,AM$4-$B73+1)</f>
        <v/>
      </c>
      <c r="AN73" s="75">
        <f>$C73*INDEX(Curves!$S$8:$S$68,AN$4-$B73+1)</f>
        <v/>
      </c>
      <c r="AO73" s="75">
        <f>$C73*INDEX(Curves!$S$8:$S$68,AO$4-$B73+1)</f>
        <v/>
      </c>
      <c r="AP73" s="75">
        <f>$C73*INDEX(Curves!$S$8:$S$68,AP$4-$B73+1)</f>
        <v/>
      </c>
      <c r="AQ73" s="75">
        <f>$C73*INDEX(Curves!$S$8:$S$68,AQ$4-$B73+1)</f>
        <v/>
      </c>
      <c r="AR73" s="75">
        <f>$C73*INDEX(Curves!$S$8:$S$68,AR$4-$B73+1)</f>
        <v/>
      </c>
      <c r="AS73" s="75">
        <f>$C73*INDEX(Curves!$S$8:$S$68,AS$4-$B73+1)</f>
        <v/>
      </c>
      <c r="AT73" s="75">
        <f>$C73*INDEX(Curves!$S$8:$S$68,AT$4-$B73+1)</f>
        <v/>
      </c>
      <c r="AU73" s="75">
        <f>$C73*INDEX(Curves!$S$8:$S$68,AU$4-$B73+1)</f>
        <v/>
      </c>
      <c r="AV73" s="75">
        <f>$C73*INDEX(Curves!$S$8:$S$68,AV$4-$B73+1)</f>
        <v/>
      </c>
      <c r="AW73" s="75">
        <f>$C73*INDEX(Curves!$S$8:$S$68,AW$4-$B73+1)</f>
        <v/>
      </c>
      <c r="AX73" s="75">
        <f>$C73*INDEX(Curves!$S$8:$S$68,AX$4-$B73+1)</f>
        <v/>
      </c>
      <c r="AY73" s="75">
        <f>$C73*INDEX(Curves!$S$8:$S$68,AY$4-$B73+1)</f>
        <v/>
      </c>
      <c r="AZ73" s="75">
        <f>$C73*INDEX(Curves!$S$8:$S$68,AZ$4-$B73+1)</f>
        <v/>
      </c>
      <c r="BA73" s="75">
        <f>$C73*INDEX(Curves!$S$8:$S$68,BA$4-$B73+1)</f>
        <v/>
      </c>
      <c r="BB73" s="75">
        <f>$C73*INDEX(Curves!$S$8:$S$68,BB$4-$B73+1)</f>
        <v/>
      </c>
      <c r="BC73" s="75">
        <f>$C73*INDEX(Curves!$S$8:$S$68,BC$4-$B73+1)</f>
        <v/>
      </c>
      <c r="BD73" s="75">
        <f>$C73*INDEX(Curves!$S$8:$S$68,BD$4-$B73+1)</f>
        <v/>
      </c>
      <c r="BE73" s="75">
        <f>$C73*INDEX(Curves!$S$8:$S$68,BE$4-$B73+1)</f>
        <v/>
      </c>
      <c r="BF73" s="75">
        <f>$C73*INDEX(Curves!$S$8:$S$68,BF$4-$B73+1)</f>
        <v/>
      </c>
      <c r="BG73" s="75">
        <f>$C73*INDEX(Curves!$S$8:$S$68,BG$4-$B73+1)</f>
        <v/>
      </c>
      <c r="BH73" s="75">
        <f>$C73*INDEX(Curves!$S$8:$S$68,BH$4-$B73+1)</f>
        <v/>
      </c>
      <c r="BI73" s="75">
        <f>$C73*INDEX(Curves!$S$8:$S$68,BI$4-$B73+1)</f>
        <v/>
      </c>
      <c r="BJ73" s="75">
        <f>$C73*INDEX(Curves!$S$8:$S$68,BJ$4-$B73+1)</f>
        <v/>
      </c>
      <c r="BK73" s="75">
        <f>$C73*INDEX(Curves!$S$8:$S$68,BK$4-$B73+1)</f>
        <v/>
      </c>
      <c r="BL73" s="75">
        <f>$C73*INDEX(Curves!$S$8:$S$68,BL$4-$B73+1)</f>
        <v/>
      </c>
    </row>
    <row r="74">
      <c r="A74" s="74" t="inlineStr">
        <is>
          <t>Cohort month 2</t>
        </is>
      </c>
      <c r="B74" s="74" t="n">
        <v>2</v>
      </c>
      <c r="C74" s="17">
        <f>INDEX(Ops!$E$34:$BL$34,1,$B74)</f>
        <v/>
      </c>
      <c r="G74" s="75">
        <f>$C74*INDEX(Curves!$S$8:$S$68,G$4-$B74+1)</f>
        <v/>
      </c>
      <c r="H74" s="75">
        <f>$C74*INDEX(Curves!$S$8:$S$68,H$4-$B74+1)</f>
        <v/>
      </c>
      <c r="I74" s="75">
        <f>$C74*INDEX(Curves!$S$8:$S$68,I$4-$B74+1)</f>
        <v/>
      </c>
      <c r="J74" s="75">
        <f>$C74*INDEX(Curves!$S$8:$S$68,J$4-$B74+1)</f>
        <v/>
      </c>
      <c r="K74" s="75">
        <f>$C74*INDEX(Curves!$S$8:$S$68,K$4-$B74+1)</f>
        <v/>
      </c>
      <c r="L74" s="75">
        <f>$C74*INDEX(Curves!$S$8:$S$68,L$4-$B74+1)</f>
        <v/>
      </c>
      <c r="M74" s="75">
        <f>$C74*INDEX(Curves!$S$8:$S$68,M$4-$B74+1)</f>
        <v/>
      </c>
      <c r="N74" s="75">
        <f>$C74*INDEX(Curves!$S$8:$S$68,N$4-$B74+1)</f>
        <v/>
      </c>
      <c r="O74" s="75">
        <f>$C74*INDEX(Curves!$S$8:$S$68,O$4-$B74+1)</f>
        <v/>
      </c>
      <c r="P74" s="75">
        <f>$C74*INDEX(Curves!$S$8:$S$68,P$4-$B74+1)</f>
        <v/>
      </c>
      <c r="Q74" s="75">
        <f>$C74*INDEX(Curves!$S$8:$S$68,Q$4-$B74+1)</f>
        <v/>
      </c>
      <c r="R74" s="75">
        <f>$C74*INDEX(Curves!$S$8:$S$68,R$4-$B74+1)</f>
        <v/>
      </c>
      <c r="S74" s="75">
        <f>$C74*INDEX(Curves!$S$8:$S$68,S$4-$B74+1)</f>
        <v/>
      </c>
      <c r="T74" s="75">
        <f>$C74*INDEX(Curves!$S$8:$S$68,T$4-$B74+1)</f>
        <v/>
      </c>
      <c r="U74" s="75">
        <f>$C74*INDEX(Curves!$S$8:$S$68,U$4-$B74+1)</f>
        <v/>
      </c>
      <c r="V74" s="75">
        <f>$C74*INDEX(Curves!$S$8:$S$68,V$4-$B74+1)</f>
        <v/>
      </c>
      <c r="W74" s="75">
        <f>$C74*INDEX(Curves!$S$8:$S$68,W$4-$B74+1)</f>
        <v/>
      </c>
      <c r="X74" s="75">
        <f>$C74*INDEX(Curves!$S$8:$S$68,X$4-$B74+1)</f>
        <v/>
      </c>
      <c r="Y74" s="75">
        <f>$C74*INDEX(Curves!$S$8:$S$68,Y$4-$B74+1)</f>
        <v/>
      </c>
      <c r="Z74" s="75">
        <f>$C74*INDEX(Curves!$S$8:$S$68,Z$4-$B74+1)</f>
        <v/>
      </c>
      <c r="AA74" s="75">
        <f>$C74*INDEX(Curves!$S$8:$S$68,AA$4-$B74+1)</f>
        <v/>
      </c>
      <c r="AB74" s="75">
        <f>$C74*INDEX(Curves!$S$8:$S$68,AB$4-$B74+1)</f>
        <v/>
      </c>
      <c r="AC74" s="75">
        <f>$C74*INDEX(Curves!$S$8:$S$68,AC$4-$B74+1)</f>
        <v/>
      </c>
      <c r="AD74" s="75">
        <f>$C74*INDEX(Curves!$S$8:$S$68,AD$4-$B74+1)</f>
        <v/>
      </c>
      <c r="AE74" s="75">
        <f>$C74*INDEX(Curves!$S$8:$S$68,AE$4-$B74+1)</f>
        <v/>
      </c>
      <c r="AF74" s="75">
        <f>$C74*INDEX(Curves!$S$8:$S$68,AF$4-$B74+1)</f>
        <v/>
      </c>
      <c r="AG74" s="75">
        <f>$C74*INDEX(Curves!$S$8:$S$68,AG$4-$B74+1)</f>
        <v/>
      </c>
      <c r="AH74" s="75">
        <f>$C74*INDEX(Curves!$S$8:$S$68,AH$4-$B74+1)</f>
        <v/>
      </c>
      <c r="AI74" s="75">
        <f>$C74*INDEX(Curves!$S$8:$S$68,AI$4-$B74+1)</f>
        <v/>
      </c>
      <c r="AJ74" s="75">
        <f>$C74*INDEX(Curves!$S$8:$S$68,AJ$4-$B74+1)</f>
        <v/>
      </c>
      <c r="AK74" s="75">
        <f>$C74*INDEX(Curves!$S$8:$S$68,AK$4-$B74+1)</f>
        <v/>
      </c>
      <c r="AL74" s="75">
        <f>$C74*INDEX(Curves!$S$8:$S$68,AL$4-$B74+1)</f>
        <v/>
      </c>
      <c r="AM74" s="75">
        <f>$C74*INDEX(Curves!$S$8:$S$68,AM$4-$B74+1)</f>
        <v/>
      </c>
      <c r="AN74" s="75">
        <f>$C74*INDEX(Curves!$S$8:$S$68,AN$4-$B74+1)</f>
        <v/>
      </c>
      <c r="AO74" s="75">
        <f>$C74*INDEX(Curves!$S$8:$S$68,AO$4-$B74+1)</f>
        <v/>
      </c>
      <c r="AP74" s="75">
        <f>$C74*INDEX(Curves!$S$8:$S$68,AP$4-$B74+1)</f>
        <v/>
      </c>
      <c r="AQ74" s="75">
        <f>$C74*INDEX(Curves!$S$8:$S$68,AQ$4-$B74+1)</f>
        <v/>
      </c>
      <c r="AR74" s="75">
        <f>$C74*INDEX(Curves!$S$8:$S$68,AR$4-$B74+1)</f>
        <v/>
      </c>
      <c r="AS74" s="75">
        <f>$C74*INDEX(Curves!$S$8:$S$68,AS$4-$B74+1)</f>
        <v/>
      </c>
      <c r="AT74" s="75">
        <f>$C74*INDEX(Curves!$S$8:$S$68,AT$4-$B74+1)</f>
        <v/>
      </c>
      <c r="AU74" s="75">
        <f>$C74*INDEX(Curves!$S$8:$S$68,AU$4-$B74+1)</f>
        <v/>
      </c>
      <c r="AV74" s="75">
        <f>$C74*INDEX(Curves!$S$8:$S$68,AV$4-$B74+1)</f>
        <v/>
      </c>
      <c r="AW74" s="75">
        <f>$C74*INDEX(Curves!$S$8:$S$68,AW$4-$B74+1)</f>
        <v/>
      </c>
      <c r="AX74" s="75">
        <f>$C74*INDEX(Curves!$S$8:$S$68,AX$4-$B74+1)</f>
        <v/>
      </c>
      <c r="AY74" s="75">
        <f>$C74*INDEX(Curves!$S$8:$S$68,AY$4-$B74+1)</f>
        <v/>
      </c>
      <c r="AZ74" s="75">
        <f>$C74*INDEX(Curves!$S$8:$S$68,AZ$4-$B74+1)</f>
        <v/>
      </c>
      <c r="BA74" s="75">
        <f>$C74*INDEX(Curves!$S$8:$S$68,BA$4-$B74+1)</f>
        <v/>
      </c>
      <c r="BB74" s="75">
        <f>$C74*INDEX(Curves!$S$8:$S$68,BB$4-$B74+1)</f>
        <v/>
      </c>
      <c r="BC74" s="75">
        <f>$C74*INDEX(Curves!$S$8:$S$68,BC$4-$B74+1)</f>
        <v/>
      </c>
      <c r="BD74" s="75">
        <f>$C74*INDEX(Curves!$S$8:$S$68,BD$4-$B74+1)</f>
        <v/>
      </c>
      <c r="BE74" s="75">
        <f>$C74*INDEX(Curves!$S$8:$S$68,BE$4-$B74+1)</f>
        <v/>
      </c>
      <c r="BF74" s="75">
        <f>$C74*INDEX(Curves!$S$8:$S$68,BF$4-$B74+1)</f>
        <v/>
      </c>
      <c r="BG74" s="75">
        <f>$C74*INDEX(Curves!$S$8:$S$68,BG$4-$B74+1)</f>
        <v/>
      </c>
      <c r="BH74" s="75">
        <f>$C74*INDEX(Curves!$S$8:$S$68,BH$4-$B74+1)</f>
        <v/>
      </c>
      <c r="BI74" s="75">
        <f>$C74*INDEX(Curves!$S$8:$S$68,BI$4-$B74+1)</f>
        <v/>
      </c>
      <c r="BJ74" s="75">
        <f>$C74*INDEX(Curves!$S$8:$S$68,BJ$4-$B74+1)</f>
        <v/>
      </c>
      <c r="BK74" s="75">
        <f>$C74*INDEX(Curves!$S$8:$S$68,BK$4-$B74+1)</f>
        <v/>
      </c>
      <c r="BL74" s="75">
        <f>$C74*INDEX(Curves!$S$8:$S$68,BL$4-$B74+1)</f>
        <v/>
      </c>
    </row>
    <row r="75">
      <c r="A75" s="74" t="inlineStr">
        <is>
          <t>Cohort month 3</t>
        </is>
      </c>
      <c r="B75" s="74" t="n">
        <v>3</v>
      </c>
      <c r="C75" s="17">
        <f>INDEX(Ops!$E$34:$BL$34,1,$B75)</f>
        <v/>
      </c>
      <c r="H75" s="75">
        <f>$C75*INDEX(Curves!$S$8:$S$68,H$4-$B75+1)</f>
        <v/>
      </c>
      <c r="I75" s="75">
        <f>$C75*INDEX(Curves!$S$8:$S$68,I$4-$B75+1)</f>
        <v/>
      </c>
      <c r="J75" s="75">
        <f>$C75*INDEX(Curves!$S$8:$S$68,J$4-$B75+1)</f>
        <v/>
      </c>
      <c r="K75" s="75">
        <f>$C75*INDEX(Curves!$S$8:$S$68,K$4-$B75+1)</f>
        <v/>
      </c>
      <c r="L75" s="75">
        <f>$C75*INDEX(Curves!$S$8:$S$68,L$4-$B75+1)</f>
        <v/>
      </c>
      <c r="M75" s="75">
        <f>$C75*INDEX(Curves!$S$8:$S$68,M$4-$B75+1)</f>
        <v/>
      </c>
      <c r="N75" s="75">
        <f>$C75*INDEX(Curves!$S$8:$S$68,N$4-$B75+1)</f>
        <v/>
      </c>
      <c r="O75" s="75">
        <f>$C75*INDEX(Curves!$S$8:$S$68,O$4-$B75+1)</f>
        <v/>
      </c>
      <c r="P75" s="75">
        <f>$C75*INDEX(Curves!$S$8:$S$68,P$4-$B75+1)</f>
        <v/>
      </c>
      <c r="Q75" s="75">
        <f>$C75*INDEX(Curves!$S$8:$S$68,Q$4-$B75+1)</f>
        <v/>
      </c>
      <c r="R75" s="75">
        <f>$C75*INDEX(Curves!$S$8:$S$68,R$4-$B75+1)</f>
        <v/>
      </c>
      <c r="S75" s="75">
        <f>$C75*INDEX(Curves!$S$8:$S$68,S$4-$B75+1)</f>
        <v/>
      </c>
      <c r="T75" s="75">
        <f>$C75*INDEX(Curves!$S$8:$S$68,T$4-$B75+1)</f>
        <v/>
      </c>
      <c r="U75" s="75">
        <f>$C75*INDEX(Curves!$S$8:$S$68,U$4-$B75+1)</f>
        <v/>
      </c>
      <c r="V75" s="75">
        <f>$C75*INDEX(Curves!$S$8:$S$68,V$4-$B75+1)</f>
        <v/>
      </c>
      <c r="W75" s="75">
        <f>$C75*INDEX(Curves!$S$8:$S$68,W$4-$B75+1)</f>
        <v/>
      </c>
      <c r="X75" s="75">
        <f>$C75*INDEX(Curves!$S$8:$S$68,X$4-$B75+1)</f>
        <v/>
      </c>
      <c r="Y75" s="75">
        <f>$C75*INDEX(Curves!$S$8:$S$68,Y$4-$B75+1)</f>
        <v/>
      </c>
      <c r="Z75" s="75">
        <f>$C75*INDEX(Curves!$S$8:$S$68,Z$4-$B75+1)</f>
        <v/>
      </c>
      <c r="AA75" s="75">
        <f>$C75*INDEX(Curves!$S$8:$S$68,AA$4-$B75+1)</f>
        <v/>
      </c>
      <c r="AB75" s="75">
        <f>$C75*INDEX(Curves!$S$8:$S$68,AB$4-$B75+1)</f>
        <v/>
      </c>
      <c r="AC75" s="75">
        <f>$C75*INDEX(Curves!$S$8:$S$68,AC$4-$B75+1)</f>
        <v/>
      </c>
      <c r="AD75" s="75">
        <f>$C75*INDEX(Curves!$S$8:$S$68,AD$4-$B75+1)</f>
        <v/>
      </c>
      <c r="AE75" s="75">
        <f>$C75*INDEX(Curves!$S$8:$S$68,AE$4-$B75+1)</f>
        <v/>
      </c>
      <c r="AF75" s="75">
        <f>$C75*INDEX(Curves!$S$8:$S$68,AF$4-$B75+1)</f>
        <v/>
      </c>
      <c r="AG75" s="75">
        <f>$C75*INDEX(Curves!$S$8:$S$68,AG$4-$B75+1)</f>
        <v/>
      </c>
      <c r="AH75" s="75">
        <f>$C75*INDEX(Curves!$S$8:$S$68,AH$4-$B75+1)</f>
        <v/>
      </c>
      <c r="AI75" s="75">
        <f>$C75*INDEX(Curves!$S$8:$S$68,AI$4-$B75+1)</f>
        <v/>
      </c>
      <c r="AJ75" s="75">
        <f>$C75*INDEX(Curves!$S$8:$S$68,AJ$4-$B75+1)</f>
        <v/>
      </c>
      <c r="AK75" s="75">
        <f>$C75*INDEX(Curves!$S$8:$S$68,AK$4-$B75+1)</f>
        <v/>
      </c>
      <c r="AL75" s="75">
        <f>$C75*INDEX(Curves!$S$8:$S$68,AL$4-$B75+1)</f>
        <v/>
      </c>
      <c r="AM75" s="75">
        <f>$C75*INDEX(Curves!$S$8:$S$68,AM$4-$B75+1)</f>
        <v/>
      </c>
      <c r="AN75" s="75">
        <f>$C75*INDEX(Curves!$S$8:$S$68,AN$4-$B75+1)</f>
        <v/>
      </c>
      <c r="AO75" s="75">
        <f>$C75*INDEX(Curves!$S$8:$S$68,AO$4-$B75+1)</f>
        <v/>
      </c>
      <c r="AP75" s="75">
        <f>$C75*INDEX(Curves!$S$8:$S$68,AP$4-$B75+1)</f>
        <v/>
      </c>
      <c r="AQ75" s="75">
        <f>$C75*INDEX(Curves!$S$8:$S$68,AQ$4-$B75+1)</f>
        <v/>
      </c>
      <c r="AR75" s="75">
        <f>$C75*INDEX(Curves!$S$8:$S$68,AR$4-$B75+1)</f>
        <v/>
      </c>
      <c r="AS75" s="75">
        <f>$C75*INDEX(Curves!$S$8:$S$68,AS$4-$B75+1)</f>
        <v/>
      </c>
      <c r="AT75" s="75">
        <f>$C75*INDEX(Curves!$S$8:$S$68,AT$4-$B75+1)</f>
        <v/>
      </c>
      <c r="AU75" s="75">
        <f>$C75*INDEX(Curves!$S$8:$S$68,AU$4-$B75+1)</f>
        <v/>
      </c>
      <c r="AV75" s="75">
        <f>$C75*INDEX(Curves!$S$8:$S$68,AV$4-$B75+1)</f>
        <v/>
      </c>
      <c r="AW75" s="75">
        <f>$C75*INDEX(Curves!$S$8:$S$68,AW$4-$B75+1)</f>
        <v/>
      </c>
      <c r="AX75" s="75">
        <f>$C75*INDEX(Curves!$S$8:$S$68,AX$4-$B75+1)</f>
        <v/>
      </c>
      <c r="AY75" s="75">
        <f>$C75*INDEX(Curves!$S$8:$S$68,AY$4-$B75+1)</f>
        <v/>
      </c>
      <c r="AZ75" s="75">
        <f>$C75*INDEX(Curves!$S$8:$S$68,AZ$4-$B75+1)</f>
        <v/>
      </c>
      <c r="BA75" s="75">
        <f>$C75*INDEX(Curves!$S$8:$S$68,BA$4-$B75+1)</f>
        <v/>
      </c>
      <c r="BB75" s="75">
        <f>$C75*INDEX(Curves!$S$8:$S$68,BB$4-$B75+1)</f>
        <v/>
      </c>
      <c r="BC75" s="75">
        <f>$C75*INDEX(Curves!$S$8:$S$68,BC$4-$B75+1)</f>
        <v/>
      </c>
      <c r="BD75" s="75">
        <f>$C75*INDEX(Curves!$S$8:$S$68,BD$4-$B75+1)</f>
        <v/>
      </c>
      <c r="BE75" s="75">
        <f>$C75*INDEX(Curves!$S$8:$S$68,BE$4-$B75+1)</f>
        <v/>
      </c>
      <c r="BF75" s="75">
        <f>$C75*INDEX(Curves!$S$8:$S$68,BF$4-$B75+1)</f>
        <v/>
      </c>
      <c r="BG75" s="75">
        <f>$C75*INDEX(Curves!$S$8:$S$68,BG$4-$B75+1)</f>
        <v/>
      </c>
      <c r="BH75" s="75">
        <f>$C75*INDEX(Curves!$S$8:$S$68,BH$4-$B75+1)</f>
        <v/>
      </c>
      <c r="BI75" s="75">
        <f>$C75*INDEX(Curves!$S$8:$S$68,BI$4-$B75+1)</f>
        <v/>
      </c>
      <c r="BJ75" s="75">
        <f>$C75*INDEX(Curves!$S$8:$S$68,BJ$4-$B75+1)</f>
        <v/>
      </c>
      <c r="BK75" s="75">
        <f>$C75*INDEX(Curves!$S$8:$S$68,BK$4-$B75+1)</f>
        <v/>
      </c>
      <c r="BL75" s="75">
        <f>$C75*INDEX(Curves!$S$8:$S$68,BL$4-$B75+1)</f>
        <v/>
      </c>
    </row>
    <row r="76">
      <c r="A76" s="74" t="inlineStr">
        <is>
          <t>Cohort month 4</t>
        </is>
      </c>
      <c r="B76" s="74" t="n">
        <v>4</v>
      </c>
      <c r="C76" s="17">
        <f>INDEX(Ops!$E$34:$BL$34,1,$B76)</f>
        <v/>
      </c>
      <c r="I76" s="75">
        <f>$C76*INDEX(Curves!$S$8:$S$68,I$4-$B76+1)</f>
        <v/>
      </c>
      <c r="J76" s="75">
        <f>$C76*INDEX(Curves!$S$8:$S$68,J$4-$B76+1)</f>
        <v/>
      </c>
      <c r="K76" s="75">
        <f>$C76*INDEX(Curves!$S$8:$S$68,K$4-$B76+1)</f>
        <v/>
      </c>
      <c r="L76" s="75">
        <f>$C76*INDEX(Curves!$S$8:$S$68,L$4-$B76+1)</f>
        <v/>
      </c>
      <c r="M76" s="75">
        <f>$C76*INDEX(Curves!$S$8:$S$68,M$4-$B76+1)</f>
        <v/>
      </c>
      <c r="N76" s="75">
        <f>$C76*INDEX(Curves!$S$8:$S$68,N$4-$B76+1)</f>
        <v/>
      </c>
      <c r="O76" s="75">
        <f>$C76*INDEX(Curves!$S$8:$S$68,O$4-$B76+1)</f>
        <v/>
      </c>
      <c r="P76" s="75">
        <f>$C76*INDEX(Curves!$S$8:$S$68,P$4-$B76+1)</f>
        <v/>
      </c>
      <c r="Q76" s="75">
        <f>$C76*INDEX(Curves!$S$8:$S$68,Q$4-$B76+1)</f>
        <v/>
      </c>
      <c r="R76" s="75">
        <f>$C76*INDEX(Curves!$S$8:$S$68,R$4-$B76+1)</f>
        <v/>
      </c>
      <c r="S76" s="75">
        <f>$C76*INDEX(Curves!$S$8:$S$68,S$4-$B76+1)</f>
        <v/>
      </c>
      <c r="T76" s="75">
        <f>$C76*INDEX(Curves!$S$8:$S$68,T$4-$B76+1)</f>
        <v/>
      </c>
      <c r="U76" s="75">
        <f>$C76*INDEX(Curves!$S$8:$S$68,U$4-$B76+1)</f>
        <v/>
      </c>
      <c r="V76" s="75">
        <f>$C76*INDEX(Curves!$S$8:$S$68,V$4-$B76+1)</f>
        <v/>
      </c>
      <c r="W76" s="75">
        <f>$C76*INDEX(Curves!$S$8:$S$68,W$4-$B76+1)</f>
        <v/>
      </c>
      <c r="X76" s="75">
        <f>$C76*INDEX(Curves!$S$8:$S$68,X$4-$B76+1)</f>
        <v/>
      </c>
      <c r="Y76" s="75">
        <f>$C76*INDEX(Curves!$S$8:$S$68,Y$4-$B76+1)</f>
        <v/>
      </c>
      <c r="Z76" s="75">
        <f>$C76*INDEX(Curves!$S$8:$S$68,Z$4-$B76+1)</f>
        <v/>
      </c>
      <c r="AA76" s="75">
        <f>$C76*INDEX(Curves!$S$8:$S$68,AA$4-$B76+1)</f>
        <v/>
      </c>
      <c r="AB76" s="75">
        <f>$C76*INDEX(Curves!$S$8:$S$68,AB$4-$B76+1)</f>
        <v/>
      </c>
      <c r="AC76" s="75">
        <f>$C76*INDEX(Curves!$S$8:$S$68,AC$4-$B76+1)</f>
        <v/>
      </c>
      <c r="AD76" s="75">
        <f>$C76*INDEX(Curves!$S$8:$S$68,AD$4-$B76+1)</f>
        <v/>
      </c>
      <c r="AE76" s="75">
        <f>$C76*INDEX(Curves!$S$8:$S$68,AE$4-$B76+1)</f>
        <v/>
      </c>
      <c r="AF76" s="75">
        <f>$C76*INDEX(Curves!$S$8:$S$68,AF$4-$B76+1)</f>
        <v/>
      </c>
      <c r="AG76" s="75">
        <f>$C76*INDEX(Curves!$S$8:$S$68,AG$4-$B76+1)</f>
        <v/>
      </c>
      <c r="AH76" s="75">
        <f>$C76*INDEX(Curves!$S$8:$S$68,AH$4-$B76+1)</f>
        <v/>
      </c>
      <c r="AI76" s="75">
        <f>$C76*INDEX(Curves!$S$8:$S$68,AI$4-$B76+1)</f>
        <v/>
      </c>
      <c r="AJ76" s="75">
        <f>$C76*INDEX(Curves!$S$8:$S$68,AJ$4-$B76+1)</f>
        <v/>
      </c>
      <c r="AK76" s="75">
        <f>$C76*INDEX(Curves!$S$8:$S$68,AK$4-$B76+1)</f>
        <v/>
      </c>
      <c r="AL76" s="75">
        <f>$C76*INDEX(Curves!$S$8:$S$68,AL$4-$B76+1)</f>
        <v/>
      </c>
      <c r="AM76" s="75">
        <f>$C76*INDEX(Curves!$S$8:$S$68,AM$4-$B76+1)</f>
        <v/>
      </c>
      <c r="AN76" s="75">
        <f>$C76*INDEX(Curves!$S$8:$S$68,AN$4-$B76+1)</f>
        <v/>
      </c>
      <c r="AO76" s="75">
        <f>$C76*INDEX(Curves!$S$8:$S$68,AO$4-$B76+1)</f>
        <v/>
      </c>
      <c r="AP76" s="75">
        <f>$C76*INDEX(Curves!$S$8:$S$68,AP$4-$B76+1)</f>
        <v/>
      </c>
      <c r="AQ76" s="75">
        <f>$C76*INDEX(Curves!$S$8:$S$68,AQ$4-$B76+1)</f>
        <v/>
      </c>
      <c r="AR76" s="75">
        <f>$C76*INDEX(Curves!$S$8:$S$68,AR$4-$B76+1)</f>
        <v/>
      </c>
      <c r="AS76" s="75">
        <f>$C76*INDEX(Curves!$S$8:$S$68,AS$4-$B76+1)</f>
        <v/>
      </c>
      <c r="AT76" s="75">
        <f>$C76*INDEX(Curves!$S$8:$S$68,AT$4-$B76+1)</f>
        <v/>
      </c>
      <c r="AU76" s="75">
        <f>$C76*INDEX(Curves!$S$8:$S$68,AU$4-$B76+1)</f>
        <v/>
      </c>
      <c r="AV76" s="75">
        <f>$C76*INDEX(Curves!$S$8:$S$68,AV$4-$B76+1)</f>
        <v/>
      </c>
      <c r="AW76" s="75">
        <f>$C76*INDEX(Curves!$S$8:$S$68,AW$4-$B76+1)</f>
        <v/>
      </c>
      <c r="AX76" s="75">
        <f>$C76*INDEX(Curves!$S$8:$S$68,AX$4-$B76+1)</f>
        <v/>
      </c>
      <c r="AY76" s="75">
        <f>$C76*INDEX(Curves!$S$8:$S$68,AY$4-$B76+1)</f>
        <v/>
      </c>
      <c r="AZ76" s="75">
        <f>$C76*INDEX(Curves!$S$8:$S$68,AZ$4-$B76+1)</f>
        <v/>
      </c>
      <c r="BA76" s="75">
        <f>$C76*INDEX(Curves!$S$8:$S$68,BA$4-$B76+1)</f>
        <v/>
      </c>
      <c r="BB76" s="75">
        <f>$C76*INDEX(Curves!$S$8:$S$68,BB$4-$B76+1)</f>
        <v/>
      </c>
      <c r="BC76" s="75">
        <f>$C76*INDEX(Curves!$S$8:$S$68,BC$4-$B76+1)</f>
        <v/>
      </c>
      <c r="BD76" s="75">
        <f>$C76*INDEX(Curves!$S$8:$S$68,BD$4-$B76+1)</f>
        <v/>
      </c>
      <c r="BE76" s="75">
        <f>$C76*INDEX(Curves!$S$8:$S$68,BE$4-$B76+1)</f>
        <v/>
      </c>
      <c r="BF76" s="75">
        <f>$C76*INDEX(Curves!$S$8:$S$68,BF$4-$B76+1)</f>
        <v/>
      </c>
      <c r="BG76" s="75">
        <f>$C76*INDEX(Curves!$S$8:$S$68,BG$4-$B76+1)</f>
        <v/>
      </c>
      <c r="BH76" s="75">
        <f>$C76*INDEX(Curves!$S$8:$S$68,BH$4-$B76+1)</f>
        <v/>
      </c>
      <c r="BI76" s="75">
        <f>$C76*INDEX(Curves!$S$8:$S$68,BI$4-$B76+1)</f>
        <v/>
      </c>
      <c r="BJ76" s="75">
        <f>$C76*INDEX(Curves!$S$8:$S$68,BJ$4-$B76+1)</f>
        <v/>
      </c>
      <c r="BK76" s="75">
        <f>$C76*INDEX(Curves!$S$8:$S$68,BK$4-$B76+1)</f>
        <v/>
      </c>
      <c r="BL76" s="75">
        <f>$C76*INDEX(Curves!$S$8:$S$68,BL$4-$B76+1)</f>
        <v/>
      </c>
    </row>
    <row r="77">
      <c r="A77" s="74" t="inlineStr">
        <is>
          <t>Cohort month 5</t>
        </is>
      </c>
      <c r="B77" s="74" t="n">
        <v>5</v>
      </c>
      <c r="C77" s="17">
        <f>INDEX(Ops!$E$34:$BL$34,1,$B77)</f>
        <v/>
      </c>
      <c r="J77" s="75">
        <f>$C77*INDEX(Curves!$S$8:$S$68,J$4-$B77+1)</f>
        <v/>
      </c>
      <c r="K77" s="75">
        <f>$C77*INDEX(Curves!$S$8:$S$68,K$4-$B77+1)</f>
        <v/>
      </c>
      <c r="L77" s="75">
        <f>$C77*INDEX(Curves!$S$8:$S$68,L$4-$B77+1)</f>
        <v/>
      </c>
      <c r="M77" s="75">
        <f>$C77*INDEX(Curves!$S$8:$S$68,M$4-$B77+1)</f>
        <v/>
      </c>
      <c r="N77" s="75">
        <f>$C77*INDEX(Curves!$S$8:$S$68,N$4-$B77+1)</f>
        <v/>
      </c>
      <c r="O77" s="75">
        <f>$C77*INDEX(Curves!$S$8:$S$68,O$4-$B77+1)</f>
        <v/>
      </c>
      <c r="P77" s="75">
        <f>$C77*INDEX(Curves!$S$8:$S$68,P$4-$B77+1)</f>
        <v/>
      </c>
      <c r="Q77" s="75">
        <f>$C77*INDEX(Curves!$S$8:$S$68,Q$4-$B77+1)</f>
        <v/>
      </c>
      <c r="R77" s="75">
        <f>$C77*INDEX(Curves!$S$8:$S$68,R$4-$B77+1)</f>
        <v/>
      </c>
      <c r="S77" s="75">
        <f>$C77*INDEX(Curves!$S$8:$S$68,S$4-$B77+1)</f>
        <v/>
      </c>
      <c r="T77" s="75">
        <f>$C77*INDEX(Curves!$S$8:$S$68,T$4-$B77+1)</f>
        <v/>
      </c>
      <c r="U77" s="75">
        <f>$C77*INDEX(Curves!$S$8:$S$68,U$4-$B77+1)</f>
        <v/>
      </c>
      <c r="V77" s="75">
        <f>$C77*INDEX(Curves!$S$8:$S$68,V$4-$B77+1)</f>
        <v/>
      </c>
      <c r="W77" s="75">
        <f>$C77*INDEX(Curves!$S$8:$S$68,W$4-$B77+1)</f>
        <v/>
      </c>
      <c r="X77" s="75">
        <f>$C77*INDEX(Curves!$S$8:$S$68,X$4-$B77+1)</f>
        <v/>
      </c>
      <c r="Y77" s="75">
        <f>$C77*INDEX(Curves!$S$8:$S$68,Y$4-$B77+1)</f>
        <v/>
      </c>
      <c r="Z77" s="75">
        <f>$C77*INDEX(Curves!$S$8:$S$68,Z$4-$B77+1)</f>
        <v/>
      </c>
      <c r="AA77" s="75">
        <f>$C77*INDEX(Curves!$S$8:$S$68,AA$4-$B77+1)</f>
        <v/>
      </c>
      <c r="AB77" s="75">
        <f>$C77*INDEX(Curves!$S$8:$S$68,AB$4-$B77+1)</f>
        <v/>
      </c>
      <c r="AC77" s="75">
        <f>$C77*INDEX(Curves!$S$8:$S$68,AC$4-$B77+1)</f>
        <v/>
      </c>
      <c r="AD77" s="75">
        <f>$C77*INDEX(Curves!$S$8:$S$68,AD$4-$B77+1)</f>
        <v/>
      </c>
      <c r="AE77" s="75">
        <f>$C77*INDEX(Curves!$S$8:$S$68,AE$4-$B77+1)</f>
        <v/>
      </c>
      <c r="AF77" s="75">
        <f>$C77*INDEX(Curves!$S$8:$S$68,AF$4-$B77+1)</f>
        <v/>
      </c>
      <c r="AG77" s="75">
        <f>$C77*INDEX(Curves!$S$8:$S$68,AG$4-$B77+1)</f>
        <v/>
      </c>
      <c r="AH77" s="75">
        <f>$C77*INDEX(Curves!$S$8:$S$68,AH$4-$B77+1)</f>
        <v/>
      </c>
      <c r="AI77" s="75">
        <f>$C77*INDEX(Curves!$S$8:$S$68,AI$4-$B77+1)</f>
        <v/>
      </c>
      <c r="AJ77" s="75">
        <f>$C77*INDEX(Curves!$S$8:$S$68,AJ$4-$B77+1)</f>
        <v/>
      </c>
      <c r="AK77" s="75">
        <f>$C77*INDEX(Curves!$S$8:$S$68,AK$4-$B77+1)</f>
        <v/>
      </c>
      <c r="AL77" s="75">
        <f>$C77*INDEX(Curves!$S$8:$S$68,AL$4-$B77+1)</f>
        <v/>
      </c>
      <c r="AM77" s="75">
        <f>$C77*INDEX(Curves!$S$8:$S$68,AM$4-$B77+1)</f>
        <v/>
      </c>
      <c r="AN77" s="75">
        <f>$C77*INDEX(Curves!$S$8:$S$68,AN$4-$B77+1)</f>
        <v/>
      </c>
      <c r="AO77" s="75">
        <f>$C77*INDEX(Curves!$S$8:$S$68,AO$4-$B77+1)</f>
        <v/>
      </c>
      <c r="AP77" s="75">
        <f>$C77*INDEX(Curves!$S$8:$S$68,AP$4-$B77+1)</f>
        <v/>
      </c>
      <c r="AQ77" s="75">
        <f>$C77*INDEX(Curves!$S$8:$S$68,AQ$4-$B77+1)</f>
        <v/>
      </c>
      <c r="AR77" s="75">
        <f>$C77*INDEX(Curves!$S$8:$S$68,AR$4-$B77+1)</f>
        <v/>
      </c>
      <c r="AS77" s="75">
        <f>$C77*INDEX(Curves!$S$8:$S$68,AS$4-$B77+1)</f>
        <v/>
      </c>
      <c r="AT77" s="75">
        <f>$C77*INDEX(Curves!$S$8:$S$68,AT$4-$B77+1)</f>
        <v/>
      </c>
      <c r="AU77" s="75">
        <f>$C77*INDEX(Curves!$S$8:$S$68,AU$4-$B77+1)</f>
        <v/>
      </c>
      <c r="AV77" s="75">
        <f>$C77*INDEX(Curves!$S$8:$S$68,AV$4-$B77+1)</f>
        <v/>
      </c>
      <c r="AW77" s="75">
        <f>$C77*INDEX(Curves!$S$8:$S$68,AW$4-$B77+1)</f>
        <v/>
      </c>
      <c r="AX77" s="75">
        <f>$C77*INDEX(Curves!$S$8:$S$68,AX$4-$B77+1)</f>
        <v/>
      </c>
      <c r="AY77" s="75">
        <f>$C77*INDEX(Curves!$S$8:$S$68,AY$4-$B77+1)</f>
        <v/>
      </c>
      <c r="AZ77" s="75">
        <f>$C77*INDEX(Curves!$S$8:$S$68,AZ$4-$B77+1)</f>
        <v/>
      </c>
      <c r="BA77" s="75">
        <f>$C77*INDEX(Curves!$S$8:$S$68,BA$4-$B77+1)</f>
        <v/>
      </c>
      <c r="BB77" s="75">
        <f>$C77*INDEX(Curves!$S$8:$S$68,BB$4-$B77+1)</f>
        <v/>
      </c>
      <c r="BC77" s="75">
        <f>$C77*INDEX(Curves!$S$8:$S$68,BC$4-$B77+1)</f>
        <v/>
      </c>
      <c r="BD77" s="75">
        <f>$C77*INDEX(Curves!$S$8:$S$68,BD$4-$B77+1)</f>
        <v/>
      </c>
      <c r="BE77" s="75">
        <f>$C77*INDEX(Curves!$S$8:$S$68,BE$4-$B77+1)</f>
        <v/>
      </c>
      <c r="BF77" s="75">
        <f>$C77*INDEX(Curves!$S$8:$S$68,BF$4-$B77+1)</f>
        <v/>
      </c>
      <c r="BG77" s="75">
        <f>$C77*INDEX(Curves!$S$8:$S$68,BG$4-$B77+1)</f>
        <v/>
      </c>
      <c r="BH77" s="75">
        <f>$C77*INDEX(Curves!$S$8:$S$68,BH$4-$B77+1)</f>
        <v/>
      </c>
      <c r="BI77" s="75">
        <f>$C77*INDEX(Curves!$S$8:$S$68,BI$4-$B77+1)</f>
        <v/>
      </c>
      <c r="BJ77" s="75">
        <f>$C77*INDEX(Curves!$S$8:$S$68,BJ$4-$B77+1)</f>
        <v/>
      </c>
      <c r="BK77" s="75">
        <f>$C77*INDEX(Curves!$S$8:$S$68,BK$4-$B77+1)</f>
        <v/>
      </c>
      <c r="BL77" s="75">
        <f>$C77*INDEX(Curves!$S$8:$S$68,BL$4-$B77+1)</f>
        <v/>
      </c>
    </row>
    <row r="78">
      <c r="A78" s="74" t="inlineStr">
        <is>
          <t>Cohort month 6</t>
        </is>
      </c>
      <c r="B78" s="74" t="n">
        <v>6</v>
      </c>
      <c r="C78" s="17">
        <f>INDEX(Ops!$E$34:$BL$34,1,$B78)</f>
        <v/>
      </c>
      <c r="K78" s="75">
        <f>$C78*INDEX(Curves!$S$8:$S$68,K$4-$B78+1)</f>
        <v/>
      </c>
      <c r="L78" s="75">
        <f>$C78*INDEX(Curves!$S$8:$S$68,L$4-$B78+1)</f>
        <v/>
      </c>
      <c r="M78" s="75">
        <f>$C78*INDEX(Curves!$S$8:$S$68,M$4-$B78+1)</f>
        <v/>
      </c>
      <c r="N78" s="75">
        <f>$C78*INDEX(Curves!$S$8:$S$68,N$4-$B78+1)</f>
        <v/>
      </c>
      <c r="O78" s="75">
        <f>$C78*INDEX(Curves!$S$8:$S$68,O$4-$B78+1)</f>
        <v/>
      </c>
      <c r="P78" s="75">
        <f>$C78*INDEX(Curves!$S$8:$S$68,P$4-$B78+1)</f>
        <v/>
      </c>
      <c r="Q78" s="75">
        <f>$C78*INDEX(Curves!$S$8:$S$68,Q$4-$B78+1)</f>
        <v/>
      </c>
      <c r="R78" s="75">
        <f>$C78*INDEX(Curves!$S$8:$S$68,R$4-$B78+1)</f>
        <v/>
      </c>
      <c r="S78" s="75">
        <f>$C78*INDEX(Curves!$S$8:$S$68,S$4-$B78+1)</f>
        <v/>
      </c>
      <c r="T78" s="75">
        <f>$C78*INDEX(Curves!$S$8:$S$68,T$4-$B78+1)</f>
        <v/>
      </c>
      <c r="U78" s="75">
        <f>$C78*INDEX(Curves!$S$8:$S$68,U$4-$B78+1)</f>
        <v/>
      </c>
      <c r="V78" s="75">
        <f>$C78*INDEX(Curves!$S$8:$S$68,V$4-$B78+1)</f>
        <v/>
      </c>
      <c r="W78" s="75">
        <f>$C78*INDEX(Curves!$S$8:$S$68,W$4-$B78+1)</f>
        <v/>
      </c>
      <c r="X78" s="75">
        <f>$C78*INDEX(Curves!$S$8:$S$68,X$4-$B78+1)</f>
        <v/>
      </c>
      <c r="Y78" s="75">
        <f>$C78*INDEX(Curves!$S$8:$S$68,Y$4-$B78+1)</f>
        <v/>
      </c>
      <c r="Z78" s="75">
        <f>$C78*INDEX(Curves!$S$8:$S$68,Z$4-$B78+1)</f>
        <v/>
      </c>
      <c r="AA78" s="75">
        <f>$C78*INDEX(Curves!$S$8:$S$68,AA$4-$B78+1)</f>
        <v/>
      </c>
      <c r="AB78" s="75">
        <f>$C78*INDEX(Curves!$S$8:$S$68,AB$4-$B78+1)</f>
        <v/>
      </c>
      <c r="AC78" s="75">
        <f>$C78*INDEX(Curves!$S$8:$S$68,AC$4-$B78+1)</f>
        <v/>
      </c>
      <c r="AD78" s="75">
        <f>$C78*INDEX(Curves!$S$8:$S$68,AD$4-$B78+1)</f>
        <v/>
      </c>
      <c r="AE78" s="75">
        <f>$C78*INDEX(Curves!$S$8:$S$68,AE$4-$B78+1)</f>
        <v/>
      </c>
      <c r="AF78" s="75">
        <f>$C78*INDEX(Curves!$S$8:$S$68,AF$4-$B78+1)</f>
        <v/>
      </c>
      <c r="AG78" s="75">
        <f>$C78*INDEX(Curves!$S$8:$S$68,AG$4-$B78+1)</f>
        <v/>
      </c>
      <c r="AH78" s="75">
        <f>$C78*INDEX(Curves!$S$8:$S$68,AH$4-$B78+1)</f>
        <v/>
      </c>
      <c r="AI78" s="75">
        <f>$C78*INDEX(Curves!$S$8:$S$68,AI$4-$B78+1)</f>
        <v/>
      </c>
      <c r="AJ78" s="75">
        <f>$C78*INDEX(Curves!$S$8:$S$68,AJ$4-$B78+1)</f>
        <v/>
      </c>
      <c r="AK78" s="75">
        <f>$C78*INDEX(Curves!$S$8:$S$68,AK$4-$B78+1)</f>
        <v/>
      </c>
      <c r="AL78" s="75">
        <f>$C78*INDEX(Curves!$S$8:$S$68,AL$4-$B78+1)</f>
        <v/>
      </c>
      <c r="AM78" s="75">
        <f>$C78*INDEX(Curves!$S$8:$S$68,AM$4-$B78+1)</f>
        <v/>
      </c>
      <c r="AN78" s="75">
        <f>$C78*INDEX(Curves!$S$8:$S$68,AN$4-$B78+1)</f>
        <v/>
      </c>
      <c r="AO78" s="75">
        <f>$C78*INDEX(Curves!$S$8:$S$68,AO$4-$B78+1)</f>
        <v/>
      </c>
      <c r="AP78" s="75">
        <f>$C78*INDEX(Curves!$S$8:$S$68,AP$4-$B78+1)</f>
        <v/>
      </c>
      <c r="AQ78" s="75">
        <f>$C78*INDEX(Curves!$S$8:$S$68,AQ$4-$B78+1)</f>
        <v/>
      </c>
      <c r="AR78" s="75">
        <f>$C78*INDEX(Curves!$S$8:$S$68,AR$4-$B78+1)</f>
        <v/>
      </c>
      <c r="AS78" s="75">
        <f>$C78*INDEX(Curves!$S$8:$S$68,AS$4-$B78+1)</f>
        <v/>
      </c>
      <c r="AT78" s="75">
        <f>$C78*INDEX(Curves!$S$8:$S$68,AT$4-$B78+1)</f>
        <v/>
      </c>
      <c r="AU78" s="75">
        <f>$C78*INDEX(Curves!$S$8:$S$68,AU$4-$B78+1)</f>
        <v/>
      </c>
      <c r="AV78" s="75">
        <f>$C78*INDEX(Curves!$S$8:$S$68,AV$4-$B78+1)</f>
        <v/>
      </c>
      <c r="AW78" s="75">
        <f>$C78*INDEX(Curves!$S$8:$S$68,AW$4-$B78+1)</f>
        <v/>
      </c>
      <c r="AX78" s="75">
        <f>$C78*INDEX(Curves!$S$8:$S$68,AX$4-$B78+1)</f>
        <v/>
      </c>
      <c r="AY78" s="75">
        <f>$C78*INDEX(Curves!$S$8:$S$68,AY$4-$B78+1)</f>
        <v/>
      </c>
      <c r="AZ78" s="75">
        <f>$C78*INDEX(Curves!$S$8:$S$68,AZ$4-$B78+1)</f>
        <v/>
      </c>
      <c r="BA78" s="75">
        <f>$C78*INDEX(Curves!$S$8:$S$68,BA$4-$B78+1)</f>
        <v/>
      </c>
      <c r="BB78" s="75">
        <f>$C78*INDEX(Curves!$S$8:$S$68,BB$4-$B78+1)</f>
        <v/>
      </c>
      <c r="BC78" s="75">
        <f>$C78*INDEX(Curves!$S$8:$S$68,BC$4-$B78+1)</f>
        <v/>
      </c>
      <c r="BD78" s="75">
        <f>$C78*INDEX(Curves!$S$8:$S$68,BD$4-$B78+1)</f>
        <v/>
      </c>
      <c r="BE78" s="75">
        <f>$C78*INDEX(Curves!$S$8:$S$68,BE$4-$B78+1)</f>
        <v/>
      </c>
      <c r="BF78" s="75">
        <f>$C78*INDEX(Curves!$S$8:$S$68,BF$4-$B78+1)</f>
        <v/>
      </c>
      <c r="BG78" s="75">
        <f>$C78*INDEX(Curves!$S$8:$S$68,BG$4-$B78+1)</f>
        <v/>
      </c>
      <c r="BH78" s="75">
        <f>$C78*INDEX(Curves!$S$8:$S$68,BH$4-$B78+1)</f>
        <v/>
      </c>
      <c r="BI78" s="75">
        <f>$C78*INDEX(Curves!$S$8:$S$68,BI$4-$B78+1)</f>
        <v/>
      </c>
      <c r="BJ78" s="75">
        <f>$C78*INDEX(Curves!$S$8:$S$68,BJ$4-$B78+1)</f>
        <v/>
      </c>
      <c r="BK78" s="75">
        <f>$C78*INDEX(Curves!$S$8:$S$68,BK$4-$B78+1)</f>
        <v/>
      </c>
      <c r="BL78" s="75">
        <f>$C78*INDEX(Curves!$S$8:$S$68,BL$4-$B78+1)</f>
        <v/>
      </c>
    </row>
    <row r="79">
      <c r="A79" s="74" t="inlineStr">
        <is>
          <t>Cohort month 7</t>
        </is>
      </c>
      <c r="B79" s="74" t="n">
        <v>7</v>
      </c>
      <c r="C79" s="17">
        <f>INDEX(Ops!$E$34:$BL$34,1,$B79)</f>
        <v/>
      </c>
      <c r="L79" s="75">
        <f>$C79*INDEX(Curves!$S$8:$S$68,L$4-$B79+1)</f>
        <v/>
      </c>
      <c r="M79" s="75">
        <f>$C79*INDEX(Curves!$S$8:$S$68,M$4-$B79+1)</f>
        <v/>
      </c>
      <c r="N79" s="75">
        <f>$C79*INDEX(Curves!$S$8:$S$68,N$4-$B79+1)</f>
        <v/>
      </c>
      <c r="O79" s="75">
        <f>$C79*INDEX(Curves!$S$8:$S$68,O$4-$B79+1)</f>
        <v/>
      </c>
      <c r="P79" s="75">
        <f>$C79*INDEX(Curves!$S$8:$S$68,P$4-$B79+1)</f>
        <v/>
      </c>
      <c r="Q79" s="75">
        <f>$C79*INDEX(Curves!$S$8:$S$68,Q$4-$B79+1)</f>
        <v/>
      </c>
      <c r="R79" s="75">
        <f>$C79*INDEX(Curves!$S$8:$S$68,R$4-$B79+1)</f>
        <v/>
      </c>
      <c r="S79" s="75">
        <f>$C79*INDEX(Curves!$S$8:$S$68,S$4-$B79+1)</f>
        <v/>
      </c>
      <c r="T79" s="75">
        <f>$C79*INDEX(Curves!$S$8:$S$68,T$4-$B79+1)</f>
        <v/>
      </c>
      <c r="U79" s="75">
        <f>$C79*INDEX(Curves!$S$8:$S$68,U$4-$B79+1)</f>
        <v/>
      </c>
      <c r="V79" s="75">
        <f>$C79*INDEX(Curves!$S$8:$S$68,V$4-$B79+1)</f>
        <v/>
      </c>
      <c r="W79" s="75">
        <f>$C79*INDEX(Curves!$S$8:$S$68,W$4-$B79+1)</f>
        <v/>
      </c>
      <c r="X79" s="75">
        <f>$C79*INDEX(Curves!$S$8:$S$68,X$4-$B79+1)</f>
        <v/>
      </c>
      <c r="Y79" s="75">
        <f>$C79*INDEX(Curves!$S$8:$S$68,Y$4-$B79+1)</f>
        <v/>
      </c>
      <c r="Z79" s="75">
        <f>$C79*INDEX(Curves!$S$8:$S$68,Z$4-$B79+1)</f>
        <v/>
      </c>
      <c r="AA79" s="75">
        <f>$C79*INDEX(Curves!$S$8:$S$68,AA$4-$B79+1)</f>
        <v/>
      </c>
      <c r="AB79" s="75">
        <f>$C79*INDEX(Curves!$S$8:$S$68,AB$4-$B79+1)</f>
        <v/>
      </c>
      <c r="AC79" s="75">
        <f>$C79*INDEX(Curves!$S$8:$S$68,AC$4-$B79+1)</f>
        <v/>
      </c>
      <c r="AD79" s="75">
        <f>$C79*INDEX(Curves!$S$8:$S$68,AD$4-$B79+1)</f>
        <v/>
      </c>
      <c r="AE79" s="75">
        <f>$C79*INDEX(Curves!$S$8:$S$68,AE$4-$B79+1)</f>
        <v/>
      </c>
      <c r="AF79" s="75">
        <f>$C79*INDEX(Curves!$S$8:$S$68,AF$4-$B79+1)</f>
        <v/>
      </c>
      <c r="AG79" s="75">
        <f>$C79*INDEX(Curves!$S$8:$S$68,AG$4-$B79+1)</f>
        <v/>
      </c>
      <c r="AH79" s="75">
        <f>$C79*INDEX(Curves!$S$8:$S$68,AH$4-$B79+1)</f>
        <v/>
      </c>
      <c r="AI79" s="75">
        <f>$C79*INDEX(Curves!$S$8:$S$68,AI$4-$B79+1)</f>
        <v/>
      </c>
      <c r="AJ79" s="75">
        <f>$C79*INDEX(Curves!$S$8:$S$68,AJ$4-$B79+1)</f>
        <v/>
      </c>
      <c r="AK79" s="75">
        <f>$C79*INDEX(Curves!$S$8:$S$68,AK$4-$B79+1)</f>
        <v/>
      </c>
      <c r="AL79" s="75">
        <f>$C79*INDEX(Curves!$S$8:$S$68,AL$4-$B79+1)</f>
        <v/>
      </c>
      <c r="AM79" s="75">
        <f>$C79*INDEX(Curves!$S$8:$S$68,AM$4-$B79+1)</f>
        <v/>
      </c>
      <c r="AN79" s="75">
        <f>$C79*INDEX(Curves!$S$8:$S$68,AN$4-$B79+1)</f>
        <v/>
      </c>
      <c r="AO79" s="75">
        <f>$C79*INDEX(Curves!$S$8:$S$68,AO$4-$B79+1)</f>
        <v/>
      </c>
      <c r="AP79" s="75">
        <f>$C79*INDEX(Curves!$S$8:$S$68,AP$4-$B79+1)</f>
        <v/>
      </c>
      <c r="AQ79" s="75">
        <f>$C79*INDEX(Curves!$S$8:$S$68,AQ$4-$B79+1)</f>
        <v/>
      </c>
      <c r="AR79" s="75">
        <f>$C79*INDEX(Curves!$S$8:$S$68,AR$4-$B79+1)</f>
        <v/>
      </c>
      <c r="AS79" s="75">
        <f>$C79*INDEX(Curves!$S$8:$S$68,AS$4-$B79+1)</f>
        <v/>
      </c>
      <c r="AT79" s="75">
        <f>$C79*INDEX(Curves!$S$8:$S$68,AT$4-$B79+1)</f>
        <v/>
      </c>
      <c r="AU79" s="75">
        <f>$C79*INDEX(Curves!$S$8:$S$68,AU$4-$B79+1)</f>
        <v/>
      </c>
      <c r="AV79" s="75">
        <f>$C79*INDEX(Curves!$S$8:$S$68,AV$4-$B79+1)</f>
        <v/>
      </c>
      <c r="AW79" s="75">
        <f>$C79*INDEX(Curves!$S$8:$S$68,AW$4-$B79+1)</f>
        <v/>
      </c>
      <c r="AX79" s="75">
        <f>$C79*INDEX(Curves!$S$8:$S$68,AX$4-$B79+1)</f>
        <v/>
      </c>
      <c r="AY79" s="75">
        <f>$C79*INDEX(Curves!$S$8:$S$68,AY$4-$B79+1)</f>
        <v/>
      </c>
      <c r="AZ79" s="75">
        <f>$C79*INDEX(Curves!$S$8:$S$68,AZ$4-$B79+1)</f>
        <v/>
      </c>
      <c r="BA79" s="75">
        <f>$C79*INDEX(Curves!$S$8:$S$68,BA$4-$B79+1)</f>
        <v/>
      </c>
      <c r="BB79" s="75">
        <f>$C79*INDEX(Curves!$S$8:$S$68,BB$4-$B79+1)</f>
        <v/>
      </c>
      <c r="BC79" s="75">
        <f>$C79*INDEX(Curves!$S$8:$S$68,BC$4-$B79+1)</f>
        <v/>
      </c>
      <c r="BD79" s="75">
        <f>$C79*INDEX(Curves!$S$8:$S$68,BD$4-$B79+1)</f>
        <v/>
      </c>
      <c r="BE79" s="75">
        <f>$C79*INDEX(Curves!$S$8:$S$68,BE$4-$B79+1)</f>
        <v/>
      </c>
      <c r="BF79" s="75">
        <f>$C79*INDEX(Curves!$S$8:$S$68,BF$4-$B79+1)</f>
        <v/>
      </c>
      <c r="BG79" s="75">
        <f>$C79*INDEX(Curves!$S$8:$S$68,BG$4-$B79+1)</f>
        <v/>
      </c>
      <c r="BH79" s="75">
        <f>$C79*INDEX(Curves!$S$8:$S$68,BH$4-$B79+1)</f>
        <v/>
      </c>
      <c r="BI79" s="75">
        <f>$C79*INDEX(Curves!$S$8:$S$68,BI$4-$B79+1)</f>
        <v/>
      </c>
      <c r="BJ79" s="75">
        <f>$C79*INDEX(Curves!$S$8:$S$68,BJ$4-$B79+1)</f>
        <v/>
      </c>
      <c r="BK79" s="75">
        <f>$C79*INDEX(Curves!$S$8:$S$68,BK$4-$B79+1)</f>
        <v/>
      </c>
      <c r="BL79" s="75">
        <f>$C79*INDEX(Curves!$S$8:$S$68,BL$4-$B79+1)</f>
        <v/>
      </c>
    </row>
    <row r="80">
      <c r="A80" s="74" t="inlineStr">
        <is>
          <t>Cohort month 8</t>
        </is>
      </c>
      <c r="B80" s="74" t="n">
        <v>8</v>
      </c>
      <c r="C80" s="17">
        <f>INDEX(Ops!$E$34:$BL$34,1,$B80)</f>
        <v/>
      </c>
      <c r="M80" s="75">
        <f>$C80*INDEX(Curves!$S$8:$S$68,M$4-$B80+1)</f>
        <v/>
      </c>
      <c r="N80" s="75">
        <f>$C80*INDEX(Curves!$S$8:$S$68,N$4-$B80+1)</f>
        <v/>
      </c>
      <c r="O80" s="75">
        <f>$C80*INDEX(Curves!$S$8:$S$68,O$4-$B80+1)</f>
        <v/>
      </c>
      <c r="P80" s="75">
        <f>$C80*INDEX(Curves!$S$8:$S$68,P$4-$B80+1)</f>
        <v/>
      </c>
      <c r="Q80" s="75">
        <f>$C80*INDEX(Curves!$S$8:$S$68,Q$4-$B80+1)</f>
        <v/>
      </c>
      <c r="R80" s="75">
        <f>$C80*INDEX(Curves!$S$8:$S$68,R$4-$B80+1)</f>
        <v/>
      </c>
      <c r="S80" s="75">
        <f>$C80*INDEX(Curves!$S$8:$S$68,S$4-$B80+1)</f>
        <v/>
      </c>
      <c r="T80" s="75">
        <f>$C80*INDEX(Curves!$S$8:$S$68,T$4-$B80+1)</f>
        <v/>
      </c>
      <c r="U80" s="75">
        <f>$C80*INDEX(Curves!$S$8:$S$68,U$4-$B80+1)</f>
        <v/>
      </c>
      <c r="V80" s="75">
        <f>$C80*INDEX(Curves!$S$8:$S$68,V$4-$B80+1)</f>
        <v/>
      </c>
      <c r="W80" s="75">
        <f>$C80*INDEX(Curves!$S$8:$S$68,W$4-$B80+1)</f>
        <v/>
      </c>
      <c r="X80" s="75">
        <f>$C80*INDEX(Curves!$S$8:$S$68,X$4-$B80+1)</f>
        <v/>
      </c>
      <c r="Y80" s="75">
        <f>$C80*INDEX(Curves!$S$8:$S$68,Y$4-$B80+1)</f>
        <v/>
      </c>
      <c r="Z80" s="75">
        <f>$C80*INDEX(Curves!$S$8:$S$68,Z$4-$B80+1)</f>
        <v/>
      </c>
      <c r="AA80" s="75">
        <f>$C80*INDEX(Curves!$S$8:$S$68,AA$4-$B80+1)</f>
        <v/>
      </c>
      <c r="AB80" s="75">
        <f>$C80*INDEX(Curves!$S$8:$S$68,AB$4-$B80+1)</f>
        <v/>
      </c>
      <c r="AC80" s="75">
        <f>$C80*INDEX(Curves!$S$8:$S$68,AC$4-$B80+1)</f>
        <v/>
      </c>
      <c r="AD80" s="75">
        <f>$C80*INDEX(Curves!$S$8:$S$68,AD$4-$B80+1)</f>
        <v/>
      </c>
      <c r="AE80" s="75">
        <f>$C80*INDEX(Curves!$S$8:$S$68,AE$4-$B80+1)</f>
        <v/>
      </c>
      <c r="AF80" s="75">
        <f>$C80*INDEX(Curves!$S$8:$S$68,AF$4-$B80+1)</f>
        <v/>
      </c>
      <c r="AG80" s="75">
        <f>$C80*INDEX(Curves!$S$8:$S$68,AG$4-$B80+1)</f>
        <v/>
      </c>
      <c r="AH80" s="75">
        <f>$C80*INDEX(Curves!$S$8:$S$68,AH$4-$B80+1)</f>
        <v/>
      </c>
      <c r="AI80" s="75">
        <f>$C80*INDEX(Curves!$S$8:$S$68,AI$4-$B80+1)</f>
        <v/>
      </c>
      <c r="AJ80" s="75">
        <f>$C80*INDEX(Curves!$S$8:$S$68,AJ$4-$B80+1)</f>
        <v/>
      </c>
      <c r="AK80" s="75">
        <f>$C80*INDEX(Curves!$S$8:$S$68,AK$4-$B80+1)</f>
        <v/>
      </c>
      <c r="AL80" s="75">
        <f>$C80*INDEX(Curves!$S$8:$S$68,AL$4-$B80+1)</f>
        <v/>
      </c>
      <c r="AM80" s="75">
        <f>$C80*INDEX(Curves!$S$8:$S$68,AM$4-$B80+1)</f>
        <v/>
      </c>
      <c r="AN80" s="75">
        <f>$C80*INDEX(Curves!$S$8:$S$68,AN$4-$B80+1)</f>
        <v/>
      </c>
      <c r="AO80" s="75">
        <f>$C80*INDEX(Curves!$S$8:$S$68,AO$4-$B80+1)</f>
        <v/>
      </c>
      <c r="AP80" s="75">
        <f>$C80*INDEX(Curves!$S$8:$S$68,AP$4-$B80+1)</f>
        <v/>
      </c>
      <c r="AQ80" s="75">
        <f>$C80*INDEX(Curves!$S$8:$S$68,AQ$4-$B80+1)</f>
        <v/>
      </c>
      <c r="AR80" s="75">
        <f>$C80*INDEX(Curves!$S$8:$S$68,AR$4-$B80+1)</f>
        <v/>
      </c>
      <c r="AS80" s="75">
        <f>$C80*INDEX(Curves!$S$8:$S$68,AS$4-$B80+1)</f>
        <v/>
      </c>
      <c r="AT80" s="75">
        <f>$C80*INDEX(Curves!$S$8:$S$68,AT$4-$B80+1)</f>
        <v/>
      </c>
      <c r="AU80" s="75">
        <f>$C80*INDEX(Curves!$S$8:$S$68,AU$4-$B80+1)</f>
        <v/>
      </c>
      <c r="AV80" s="75">
        <f>$C80*INDEX(Curves!$S$8:$S$68,AV$4-$B80+1)</f>
        <v/>
      </c>
      <c r="AW80" s="75">
        <f>$C80*INDEX(Curves!$S$8:$S$68,AW$4-$B80+1)</f>
        <v/>
      </c>
      <c r="AX80" s="75">
        <f>$C80*INDEX(Curves!$S$8:$S$68,AX$4-$B80+1)</f>
        <v/>
      </c>
      <c r="AY80" s="75">
        <f>$C80*INDEX(Curves!$S$8:$S$68,AY$4-$B80+1)</f>
        <v/>
      </c>
      <c r="AZ80" s="75">
        <f>$C80*INDEX(Curves!$S$8:$S$68,AZ$4-$B80+1)</f>
        <v/>
      </c>
      <c r="BA80" s="75">
        <f>$C80*INDEX(Curves!$S$8:$S$68,BA$4-$B80+1)</f>
        <v/>
      </c>
      <c r="BB80" s="75">
        <f>$C80*INDEX(Curves!$S$8:$S$68,BB$4-$B80+1)</f>
        <v/>
      </c>
      <c r="BC80" s="75">
        <f>$C80*INDEX(Curves!$S$8:$S$68,BC$4-$B80+1)</f>
        <v/>
      </c>
      <c r="BD80" s="75">
        <f>$C80*INDEX(Curves!$S$8:$S$68,BD$4-$B80+1)</f>
        <v/>
      </c>
      <c r="BE80" s="75">
        <f>$C80*INDEX(Curves!$S$8:$S$68,BE$4-$B80+1)</f>
        <v/>
      </c>
      <c r="BF80" s="75">
        <f>$C80*INDEX(Curves!$S$8:$S$68,BF$4-$B80+1)</f>
        <v/>
      </c>
      <c r="BG80" s="75">
        <f>$C80*INDEX(Curves!$S$8:$S$68,BG$4-$B80+1)</f>
        <v/>
      </c>
      <c r="BH80" s="75">
        <f>$C80*INDEX(Curves!$S$8:$S$68,BH$4-$B80+1)</f>
        <v/>
      </c>
      <c r="BI80" s="75">
        <f>$C80*INDEX(Curves!$S$8:$S$68,BI$4-$B80+1)</f>
        <v/>
      </c>
      <c r="BJ80" s="75">
        <f>$C80*INDEX(Curves!$S$8:$S$68,BJ$4-$B80+1)</f>
        <v/>
      </c>
      <c r="BK80" s="75">
        <f>$C80*INDEX(Curves!$S$8:$S$68,BK$4-$B80+1)</f>
        <v/>
      </c>
      <c r="BL80" s="75">
        <f>$C80*INDEX(Curves!$S$8:$S$68,BL$4-$B80+1)</f>
        <v/>
      </c>
    </row>
    <row r="81">
      <c r="A81" s="74" t="inlineStr">
        <is>
          <t>Cohort month 9</t>
        </is>
      </c>
      <c r="B81" s="74" t="n">
        <v>9</v>
      </c>
      <c r="C81" s="17">
        <f>INDEX(Ops!$E$34:$BL$34,1,$B81)</f>
        <v/>
      </c>
      <c r="N81" s="75">
        <f>$C81*INDEX(Curves!$S$8:$S$68,N$4-$B81+1)</f>
        <v/>
      </c>
      <c r="O81" s="75">
        <f>$C81*INDEX(Curves!$S$8:$S$68,O$4-$B81+1)</f>
        <v/>
      </c>
      <c r="P81" s="75">
        <f>$C81*INDEX(Curves!$S$8:$S$68,P$4-$B81+1)</f>
        <v/>
      </c>
      <c r="Q81" s="75">
        <f>$C81*INDEX(Curves!$S$8:$S$68,Q$4-$B81+1)</f>
        <v/>
      </c>
      <c r="R81" s="75">
        <f>$C81*INDEX(Curves!$S$8:$S$68,R$4-$B81+1)</f>
        <v/>
      </c>
      <c r="S81" s="75">
        <f>$C81*INDEX(Curves!$S$8:$S$68,S$4-$B81+1)</f>
        <v/>
      </c>
      <c r="T81" s="75">
        <f>$C81*INDEX(Curves!$S$8:$S$68,T$4-$B81+1)</f>
        <v/>
      </c>
      <c r="U81" s="75">
        <f>$C81*INDEX(Curves!$S$8:$S$68,U$4-$B81+1)</f>
        <v/>
      </c>
      <c r="V81" s="75">
        <f>$C81*INDEX(Curves!$S$8:$S$68,V$4-$B81+1)</f>
        <v/>
      </c>
      <c r="W81" s="75">
        <f>$C81*INDEX(Curves!$S$8:$S$68,W$4-$B81+1)</f>
        <v/>
      </c>
      <c r="X81" s="75">
        <f>$C81*INDEX(Curves!$S$8:$S$68,X$4-$B81+1)</f>
        <v/>
      </c>
      <c r="Y81" s="75">
        <f>$C81*INDEX(Curves!$S$8:$S$68,Y$4-$B81+1)</f>
        <v/>
      </c>
      <c r="Z81" s="75">
        <f>$C81*INDEX(Curves!$S$8:$S$68,Z$4-$B81+1)</f>
        <v/>
      </c>
      <c r="AA81" s="75">
        <f>$C81*INDEX(Curves!$S$8:$S$68,AA$4-$B81+1)</f>
        <v/>
      </c>
      <c r="AB81" s="75">
        <f>$C81*INDEX(Curves!$S$8:$S$68,AB$4-$B81+1)</f>
        <v/>
      </c>
      <c r="AC81" s="75">
        <f>$C81*INDEX(Curves!$S$8:$S$68,AC$4-$B81+1)</f>
        <v/>
      </c>
      <c r="AD81" s="75">
        <f>$C81*INDEX(Curves!$S$8:$S$68,AD$4-$B81+1)</f>
        <v/>
      </c>
      <c r="AE81" s="75">
        <f>$C81*INDEX(Curves!$S$8:$S$68,AE$4-$B81+1)</f>
        <v/>
      </c>
      <c r="AF81" s="75">
        <f>$C81*INDEX(Curves!$S$8:$S$68,AF$4-$B81+1)</f>
        <v/>
      </c>
      <c r="AG81" s="75">
        <f>$C81*INDEX(Curves!$S$8:$S$68,AG$4-$B81+1)</f>
        <v/>
      </c>
      <c r="AH81" s="75">
        <f>$C81*INDEX(Curves!$S$8:$S$68,AH$4-$B81+1)</f>
        <v/>
      </c>
      <c r="AI81" s="75">
        <f>$C81*INDEX(Curves!$S$8:$S$68,AI$4-$B81+1)</f>
        <v/>
      </c>
      <c r="AJ81" s="75">
        <f>$C81*INDEX(Curves!$S$8:$S$68,AJ$4-$B81+1)</f>
        <v/>
      </c>
      <c r="AK81" s="75">
        <f>$C81*INDEX(Curves!$S$8:$S$68,AK$4-$B81+1)</f>
        <v/>
      </c>
      <c r="AL81" s="75">
        <f>$C81*INDEX(Curves!$S$8:$S$68,AL$4-$B81+1)</f>
        <v/>
      </c>
      <c r="AM81" s="75">
        <f>$C81*INDEX(Curves!$S$8:$S$68,AM$4-$B81+1)</f>
        <v/>
      </c>
      <c r="AN81" s="75">
        <f>$C81*INDEX(Curves!$S$8:$S$68,AN$4-$B81+1)</f>
        <v/>
      </c>
      <c r="AO81" s="75">
        <f>$C81*INDEX(Curves!$S$8:$S$68,AO$4-$B81+1)</f>
        <v/>
      </c>
      <c r="AP81" s="75">
        <f>$C81*INDEX(Curves!$S$8:$S$68,AP$4-$B81+1)</f>
        <v/>
      </c>
      <c r="AQ81" s="75">
        <f>$C81*INDEX(Curves!$S$8:$S$68,AQ$4-$B81+1)</f>
        <v/>
      </c>
      <c r="AR81" s="75">
        <f>$C81*INDEX(Curves!$S$8:$S$68,AR$4-$B81+1)</f>
        <v/>
      </c>
      <c r="AS81" s="75">
        <f>$C81*INDEX(Curves!$S$8:$S$68,AS$4-$B81+1)</f>
        <v/>
      </c>
      <c r="AT81" s="75">
        <f>$C81*INDEX(Curves!$S$8:$S$68,AT$4-$B81+1)</f>
        <v/>
      </c>
      <c r="AU81" s="75">
        <f>$C81*INDEX(Curves!$S$8:$S$68,AU$4-$B81+1)</f>
        <v/>
      </c>
      <c r="AV81" s="75">
        <f>$C81*INDEX(Curves!$S$8:$S$68,AV$4-$B81+1)</f>
        <v/>
      </c>
      <c r="AW81" s="75">
        <f>$C81*INDEX(Curves!$S$8:$S$68,AW$4-$B81+1)</f>
        <v/>
      </c>
      <c r="AX81" s="75">
        <f>$C81*INDEX(Curves!$S$8:$S$68,AX$4-$B81+1)</f>
        <v/>
      </c>
      <c r="AY81" s="75">
        <f>$C81*INDEX(Curves!$S$8:$S$68,AY$4-$B81+1)</f>
        <v/>
      </c>
      <c r="AZ81" s="75">
        <f>$C81*INDEX(Curves!$S$8:$S$68,AZ$4-$B81+1)</f>
        <v/>
      </c>
      <c r="BA81" s="75">
        <f>$C81*INDEX(Curves!$S$8:$S$68,BA$4-$B81+1)</f>
        <v/>
      </c>
      <c r="BB81" s="75">
        <f>$C81*INDEX(Curves!$S$8:$S$68,BB$4-$B81+1)</f>
        <v/>
      </c>
      <c r="BC81" s="75">
        <f>$C81*INDEX(Curves!$S$8:$S$68,BC$4-$B81+1)</f>
        <v/>
      </c>
      <c r="BD81" s="75">
        <f>$C81*INDEX(Curves!$S$8:$S$68,BD$4-$B81+1)</f>
        <v/>
      </c>
      <c r="BE81" s="75">
        <f>$C81*INDEX(Curves!$S$8:$S$68,BE$4-$B81+1)</f>
        <v/>
      </c>
      <c r="BF81" s="75">
        <f>$C81*INDEX(Curves!$S$8:$S$68,BF$4-$B81+1)</f>
        <v/>
      </c>
      <c r="BG81" s="75">
        <f>$C81*INDEX(Curves!$S$8:$S$68,BG$4-$B81+1)</f>
        <v/>
      </c>
      <c r="BH81" s="75">
        <f>$C81*INDEX(Curves!$S$8:$S$68,BH$4-$B81+1)</f>
        <v/>
      </c>
      <c r="BI81" s="75">
        <f>$C81*INDEX(Curves!$S$8:$S$68,BI$4-$B81+1)</f>
        <v/>
      </c>
      <c r="BJ81" s="75">
        <f>$C81*INDEX(Curves!$S$8:$S$68,BJ$4-$B81+1)</f>
        <v/>
      </c>
      <c r="BK81" s="75">
        <f>$C81*INDEX(Curves!$S$8:$S$68,BK$4-$B81+1)</f>
        <v/>
      </c>
      <c r="BL81" s="75">
        <f>$C81*INDEX(Curves!$S$8:$S$68,BL$4-$B81+1)</f>
        <v/>
      </c>
    </row>
    <row r="82">
      <c r="A82" s="74" t="inlineStr">
        <is>
          <t>Cohort month 10</t>
        </is>
      </c>
      <c r="B82" s="74" t="n">
        <v>10</v>
      </c>
      <c r="C82" s="17">
        <f>INDEX(Ops!$E$34:$BL$34,1,$B82)</f>
        <v/>
      </c>
      <c r="O82" s="75">
        <f>$C82*INDEX(Curves!$S$8:$S$68,O$4-$B82+1)</f>
        <v/>
      </c>
      <c r="P82" s="75">
        <f>$C82*INDEX(Curves!$S$8:$S$68,P$4-$B82+1)</f>
        <v/>
      </c>
      <c r="Q82" s="75">
        <f>$C82*INDEX(Curves!$S$8:$S$68,Q$4-$B82+1)</f>
        <v/>
      </c>
      <c r="R82" s="75">
        <f>$C82*INDEX(Curves!$S$8:$S$68,R$4-$B82+1)</f>
        <v/>
      </c>
      <c r="S82" s="75">
        <f>$C82*INDEX(Curves!$S$8:$S$68,S$4-$B82+1)</f>
        <v/>
      </c>
      <c r="T82" s="75">
        <f>$C82*INDEX(Curves!$S$8:$S$68,T$4-$B82+1)</f>
        <v/>
      </c>
      <c r="U82" s="75">
        <f>$C82*INDEX(Curves!$S$8:$S$68,U$4-$B82+1)</f>
        <v/>
      </c>
      <c r="V82" s="75">
        <f>$C82*INDEX(Curves!$S$8:$S$68,V$4-$B82+1)</f>
        <v/>
      </c>
      <c r="W82" s="75">
        <f>$C82*INDEX(Curves!$S$8:$S$68,W$4-$B82+1)</f>
        <v/>
      </c>
      <c r="X82" s="75">
        <f>$C82*INDEX(Curves!$S$8:$S$68,X$4-$B82+1)</f>
        <v/>
      </c>
      <c r="Y82" s="75">
        <f>$C82*INDEX(Curves!$S$8:$S$68,Y$4-$B82+1)</f>
        <v/>
      </c>
      <c r="Z82" s="75">
        <f>$C82*INDEX(Curves!$S$8:$S$68,Z$4-$B82+1)</f>
        <v/>
      </c>
      <c r="AA82" s="75">
        <f>$C82*INDEX(Curves!$S$8:$S$68,AA$4-$B82+1)</f>
        <v/>
      </c>
      <c r="AB82" s="75">
        <f>$C82*INDEX(Curves!$S$8:$S$68,AB$4-$B82+1)</f>
        <v/>
      </c>
      <c r="AC82" s="75">
        <f>$C82*INDEX(Curves!$S$8:$S$68,AC$4-$B82+1)</f>
        <v/>
      </c>
      <c r="AD82" s="75">
        <f>$C82*INDEX(Curves!$S$8:$S$68,AD$4-$B82+1)</f>
        <v/>
      </c>
      <c r="AE82" s="75">
        <f>$C82*INDEX(Curves!$S$8:$S$68,AE$4-$B82+1)</f>
        <v/>
      </c>
      <c r="AF82" s="75">
        <f>$C82*INDEX(Curves!$S$8:$S$68,AF$4-$B82+1)</f>
        <v/>
      </c>
      <c r="AG82" s="75">
        <f>$C82*INDEX(Curves!$S$8:$S$68,AG$4-$B82+1)</f>
        <v/>
      </c>
      <c r="AH82" s="75">
        <f>$C82*INDEX(Curves!$S$8:$S$68,AH$4-$B82+1)</f>
        <v/>
      </c>
      <c r="AI82" s="75">
        <f>$C82*INDEX(Curves!$S$8:$S$68,AI$4-$B82+1)</f>
        <v/>
      </c>
      <c r="AJ82" s="75">
        <f>$C82*INDEX(Curves!$S$8:$S$68,AJ$4-$B82+1)</f>
        <v/>
      </c>
      <c r="AK82" s="75">
        <f>$C82*INDEX(Curves!$S$8:$S$68,AK$4-$B82+1)</f>
        <v/>
      </c>
      <c r="AL82" s="75">
        <f>$C82*INDEX(Curves!$S$8:$S$68,AL$4-$B82+1)</f>
        <v/>
      </c>
      <c r="AM82" s="75">
        <f>$C82*INDEX(Curves!$S$8:$S$68,AM$4-$B82+1)</f>
        <v/>
      </c>
      <c r="AN82" s="75">
        <f>$C82*INDEX(Curves!$S$8:$S$68,AN$4-$B82+1)</f>
        <v/>
      </c>
      <c r="AO82" s="75">
        <f>$C82*INDEX(Curves!$S$8:$S$68,AO$4-$B82+1)</f>
        <v/>
      </c>
      <c r="AP82" s="75">
        <f>$C82*INDEX(Curves!$S$8:$S$68,AP$4-$B82+1)</f>
        <v/>
      </c>
      <c r="AQ82" s="75">
        <f>$C82*INDEX(Curves!$S$8:$S$68,AQ$4-$B82+1)</f>
        <v/>
      </c>
      <c r="AR82" s="75">
        <f>$C82*INDEX(Curves!$S$8:$S$68,AR$4-$B82+1)</f>
        <v/>
      </c>
      <c r="AS82" s="75">
        <f>$C82*INDEX(Curves!$S$8:$S$68,AS$4-$B82+1)</f>
        <v/>
      </c>
      <c r="AT82" s="75">
        <f>$C82*INDEX(Curves!$S$8:$S$68,AT$4-$B82+1)</f>
        <v/>
      </c>
      <c r="AU82" s="75">
        <f>$C82*INDEX(Curves!$S$8:$S$68,AU$4-$B82+1)</f>
        <v/>
      </c>
      <c r="AV82" s="75">
        <f>$C82*INDEX(Curves!$S$8:$S$68,AV$4-$B82+1)</f>
        <v/>
      </c>
      <c r="AW82" s="75">
        <f>$C82*INDEX(Curves!$S$8:$S$68,AW$4-$B82+1)</f>
        <v/>
      </c>
      <c r="AX82" s="75">
        <f>$C82*INDEX(Curves!$S$8:$S$68,AX$4-$B82+1)</f>
        <v/>
      </c>
      <c r="AY82" s="75">
        <f>$C82*INDEX(Curves!$S$8:$S$68,AY$4-$B82+1)</f>
        <v/>
      </c>
      <c r="AZ82" s="75">
        <f>$C82*INDEX(Curves!$S$8:$S$68,AZ$4-$B82+1)</f>
        <v/>
      </c>
      <c r="BA82" s="75">
        <f>$C82*INDEX(Curves!$S$8:$S$68,BA$4-$B82+1)</f>
        <v/>
      </c>
      <c r="BB82" s="75">
        <f>$C82*INDEX(Curves!$S$8:$S$68,BB$4-$B82+1)</f>
        <v/>
      </c>
      <c r="BC82" s="75">
        <f>$C82*INDEX(Curves!$S$8:$S$68,BC$4-$B82+1)</f>
        <v/>
      </c>
      <c r="BD82" s="75">
        <f>$C82*INDEX(Curves!$S$8:$S$68,BD$4-$B82+1)</f>
        <v/>
      </c>
      <c r="BE82" s="75">
        <f>$C82*INDEX(Curves!$S$8:$S$68,BE$4-$B82+1)</f>
        <v/>
      </c>
      <c r="BF82" s="75">
        <f>$C82*INDEX(Curves!$S$8:$S$68,BF$4-$B82+1)</f>
        <v/>
      </c>
      <c r="BG82" s="75">
        <f>$C82*INDEX(Curves!$S$8:$S$68,BG$4-$B82+1)</f>
        <v/>
      </c>
      <c r="BH82" s="75">
        <f>$C82*INDEX(Curves!$S$8:$S$68,BH$4-$B82+1)</f>
        <v/>
      </c>
      <c r="BI82" s="75">
        <f>$C82*INDEX(Curves!$S$8:$S$68,BI$4-$B82+1)</f>
        <v/>
      </c>
      <c r="BJ82" s="75">
        <f>$C82*INDEX(Curves!$S$8:$S$68,BJ$4-$B82+1)</f>
        <v/>
      </c>
      <c r="BK82" s="75">
        <f>$C82*INDEX(Curves!$S$8:$S$68,BK$4-$B82+1)</f>
        <v/>
      </c>
      <c r="BL82" s="75">
        <f>$C82*INDEX(Curves!$S$8:$S$68,BL$4-$B82+1)</f>
        <v/>
      </c>
    </row>
    <row r="83">
      <c r="A83" s="74" t="inlineStr">
        <is>
          <t>Cohort month 11</t>
        </is>
      </c>
      <c r="B83" s="74" t="n">
        <v>11</v>
      </c>
      <c r="C83" s="17">
        <f>INDEX(Ops!$E$34:$BL$34,1,$B83)</f>
        <v/>
      </c>
      <c r="P83" s="75">
        <f>$C83*INDEX(Curves!$S$8:$S$68,P$4-$B83+1)</f>
        <v/>
      </c>
      <c r="Q83" s="75">
        <f>$C83*INDEX(Curves!$S$8:$S$68,Q$4-$B83+1)</f>
        <v/>
      </c>
      <c r="R83" s="75">
        <f>$C83*INDEX(Curves!$S$8:$S$68,R$4-$B83+1)</f>
        <v/>
      </c>
      <c r="S83" s="75">
        <f>$C83*INDEX(Curves!$S$8:$S$68,S$4-$B83+1)</f>
        <v/>
      </c>
      <c r="T83" s="75">
        <f>$C83*INDEX(Curves!$S$8:$S$68,T$4-$B83+1)</f>
        <v/>
      </c>
      <c r="U83" s="75">
        <f>$C83*INDEX(Curves!$S$8:$S$68,U$4-$B83+1)</f>
        <v/>
      </c>
      <c r="V83" s="75">
        <f>$C83*INDEX(Curves!$S$8:$S$68,V$4-$B83+1)</f>
        <v/>
      </c>
      <c r="W83" s="75">
        <f>$C83*INDEX(Curves!$S$8:$S$68,W$4-$B83+1)</f>
        <v/>
      </c>
      <c r="X83" s="75">
        <f>$C83*INDEX(Curves!$S$8:$S$68,X$4-$B83+1)</f>
        <v/>
      </c>
      <c r="Y83" s="75">
        <f>$C83*INDEX(Curves!$S$8:$S$68,Y$4-$B83+1)</f>
        <v/>
      </c>
      <c r="Z83" s="75">
        <f>$C83*INDEX(Curves!$S$8:$S$68,Z$4-$B83+1)</f>
        <v/>
      </c>
      <c r="AA83" s="75">
        <f>$C83*INDEX(Curves!$S$8:$S$68,AA$4-$B83+1)</f>
        <v/>
      </c>
      <c r="AB83" s="75">
        <f>$C83*INDEX(Curves!$S$8:$S$68,AB$4-$B83+1)</f>
        <v/>
      </c>
      <c r="AC83" s="75">
        <f>$C83*INDEX(Curves!$S$8:$S$68,AC$4-$B83+1)</f>
        <v/>
      </c>
      <c r="AD83" s="75">
        <f>$C83*INDEX(Curves!$S$8:$S$68,AD$4-$B83+1)</f>
        <v/>
      </c>
      <c r="AE83" s="75">
        <f>$C83*INDEX(Curves!$S$8:$S$68,AE$4-$B83+1)</f>
        <v/>
      </c>
      <c r="AF83" s="75">
        <f>$C83*INDEX(Curves!$S$8:$S$68,AF$4-$B83+1)</f>
        <v/>
      </c>
      <c r="AG83" s="75">
        <f>$C83*INDEX(Curves!$S$8:$S$68,AG$4-$B83+1)</f>
        <v/>
      </c>
      <c r="AH83" s="75">
        <f>$C83*INDEX(Curves!$S$8:$S$68,AH$4-$B83+1)</f>
        <v/>
      </c>
      <c r="AI83" s="75">
        <f>$C83*INDEX(Curves!$S$8:$S$68,AI$4-$B83+1)</f>
        <v/>
      </c>
      <c r="AJ83" s="75">
        <f>$C83*INDEX(Curves!$S$8:$S$68,AJ$4-$B83+1)</f>
        <v/>
      </c>
      <c r="AK83" s="75">
        <f>$C83*INDEX(Curves!$S$8:$S$68,AK$4-$B83+1)</f>
        <v/>
      </c>
      <c r="AL83" s="75">
        <f>$C83*INDEX(Curves!$S$8:$S$68,AL$4-$B83+1)</f>
        <v/>
      </c>
      <c r="AM83" s="75">
        <f>$C83*INDEX(Curves!$S$8:$S$68,AM$4-$B83+1)</f>
        <v/>
      </c>
      <c r="AN83" s="75">
        <f>$C83*INDEX(Curves!$S$8:$S$68,AN$4-$B83+1)</f>
        <v/>
      </c>
      <c r="AO83" s="75">
        <f>$C83*INDEX(Curves!$S$8:$S$68,AO$4-$B83+1)</f>
        <v/>
      </c>
      <c r="AP83" s="75">
        <f>$C83*INDEX(Curves!$S$8:$S$68,AP$4-$B83+1)</f>
        <v/>
      </c>
      <c r="AQ83" s="75">
        <f>$C83*INDEX(Curves!$S$8:$S$68,AQ$4-$B83+1)</f>
        <v/>
      </c>
      <c r="AR83" s="75">
        <f>$C83*INDEX(Curves!$S$8:$S$68,AR$4-$B83+1)</f>
        <v/>
      </c>
      <c r="AS83" s="75">
        <f>$C83*INDEX(Curves!$S$8:$S$68,AS$4-$B83+1)</f>
        <v/>
      </c>
      <c r="AT83" s="75">
        <f>$C83*INDEX(Curves!$S$8:$S$68,AT$4-$B83+1)</f>
        <v/>
      </c>
      <c r="AU83" s="75">
        <f>$C83*INDEX(Curves!$S$8:$S$68,AU$4-$B83+1)</f>
        <v/>
      </c>
      <c r="AV83" s="75">
        <f>$C83*INDEX(Curves!$S$8:$S$68,AV$4-$B83+1)</f>
        <v/>
      </c>
      <c r="AW83" s="75">
        <f>$C83*INDEX(Curves!$S$8:$S$68,AW$4-$B83+1)</f>
        <v/>
      </c>
      <c r="AX83" s="75">
        <f>$C83*INDEX(Curves!$S$8:$S$68,AX$4-$B83+1)</f>
        <v/>
      </c>
      <c r="AY83" s="75">
        <f>$C83*INDEX(Curves!$S$8:$S$68,AY$4-$B83+1)</f>
        <v/>
      </c>
      <c r="AZ83" s="75">
        <f>$C83*INDEX(Curves!$S$8:$S$68,AZ$4-$B83+1)</f>
        <v/>
      </c>
      <c r="BA83" s="75">
        <f>$C83*INDEX(Curves!$S$8:$S$68,BA$4-$B83+1)</f>
        <v/>
      </c>
      <c r="BB83" s="75">
        <f>$C83*INDEX(Curves!$S$8:$S$68,BB$4-$B83+1)</f>
        <v/>
      </c>
      <c r="BC83" s="75">
        <f>$C83*INDEX(Curves!$S$8:$S$68,BC$4-$B83+1)</f>
        <v/>
      </c>
      <c r="BD83" s="75">
        <f>$C83*INDEX(Curves!$S$8:$S$68,BD$4-$B83+1)</f>
        <v/>
      </c>
      <c r="BE83" s="75">
        <f>$C83*INDEX(Curves!$S$8:$S$68,BE$4-$B83+1)</f>
        <v/>
      </c>
      <c r="BF83" s="75">
        <f>$C83*INDEX(Curves!$S$8:$S$68,BF$4-$B83+1)</f>
        <v/>
      </c>
      <c r="BG83" s="75">
        <f>$C83*INDEX(Curves!$S$8:$S$68,BG$4-$B83+1)</f>
        <v/>
      </c>
      <c r="BH83" s="75">
        <f>$C83*INDEX(Curves!$S$8:$S$68,BH$4-$B83+1)</f>
        <v/>
      </c>
      <c r="BI83" s="75">
        <f>$C83*INDEX(Curves!$S$8:$S$68,BI$4-$B83+1)</f>
        <v/>
      </c>
      <c r="BJ83" s="75">
        <f>$C83*INDEX(Curves!$S$8:$S$68,BJ$4-$B83+1)</f>
        <v/>
      </c>
      <c r="BK83" s="75">
        <f>$C83*INDEX(Curves!$S$8:$S$68,BK$4-$B83+1)</f>
        <v/>
      </c>
      <c r="BL83" s="75">
        <f>$C83*INDEX(Curves!$S$8:$S$68,BL$4-$B83+1)</f>
        <v/>
      </c>
    </row>
    <row r="84">
      <c r="A84" s="74" t="inlineStr">
        <is>
          <t>Cohort month 12</t>
        </is>
      </c>
      <c r="B84" s="74" t="n">
        <v>12</v>
      </c>
      <c r="C84" s="17">
        <f>INDEX(Ops!$E$34:$BL$34,1,$B84)</f>
        <v/>
      </c>
      <c r="Q84" s="75">
        <f>$C84*INDEX(Curves!$S$8:$S$68,Q$4-$B84+1)</f>
        <v/>
      </c>
      <c r="R84" s="75">
        <f>$C84*INDEX(Curves!$S$8:$S$68,R$4-$B84+1)</f>
        <v/>
      </c>
      <c r="S84" s="75">
        <f>$C84*INDEX(Curves!$S$8:$S$68,S$4-$B84+1)</f>
        <v/>
      </c>
      <c r="T84" s="75">
        <f>$C84*INDEX(Curves!$S$8:$S$68,T$4-$B84+1)</f>
        <v/>
      </c>
      <c r="U84" s="75">
        <f>$C84*INDEX(Curves!$S$8:$S$68,U$4-$B84+1)</f>
        <v/>
      </c>
      <c r="V84" s="75">
        <f>$C84*INDEX(Curves!$S$8:$S$68,V$4-$B84+1)</f>
        <v/>
      </c>
      <c r="W84" s="75">
        <f>$C84*INDEX(Curves!$S$8:$S$68,W$4-$B84+1)</f>
        <v/>
      </c>
      <c r="X84" s="75">
        <f>$C84*INDEX(Curves!$S$8:$S$68,X$4-$B84+1)</f>
        <v/>
      </c>
      <c r="Y84" s="75">
        <f>$C84*INDEX(Curves!$S$8:$S$68,Y$4-$B84+1)</f>
        <v/>
      </c>
      <c r="Z84" s="75">
        <f>$C84*INDEX(Curves!$S$8:$S$68,Z$4-$B84+1)</f>
        <v/>
      </c>
      <c r="AA84" s="75">
        <f>$C84*INDEX(Curves!$S$8:$S$68,AA$4-$B84+1)</f>
        <v/>
      </c>
      <c r="AB84" s="75">
        <f>$C84*INDEX(Curves!$S$8:$S$68,AB$4-$B84+1)</f>
        <v/>
      </c>
      <c r="AC84" s="75">
        <f>$C84*INDEX(Curves!$S$8:$S$68,AC$4-$B84+1)</f>
        <v/>
      </c>
      <c r="AD84" s="75">
        <f>$C84*INDEX(Curves!$S$8:$S$68,AD$4-$B84+1)</f>
        <v/>
      </c>
      <c r="AE84" s="75">
        <f>$C84*INDEX(Curves!$S$8:$S$68,AE$4-$B84+1)</f>
        <v/>
      </c>
      <c r="AF84" s="75">
        <f>$C84*INDEX(Curves!$S$8:$S$68,AF$4-$B84+1)</f>
        <v/>
      </c>
      <c r="AG84" s="75">
        <f>$C84*INDEX(Curves!$S$8:$S$68,AG$4-$B84+1)</f>
        <v/>
      </c>
      <c r="AH84" s="75">
        <f>$C84*INDEX(Curves!$S$8:$S$68,AH$4-$B84+1)</f>
        <v/>
      </c>
      <c r="AI84" s="75">
        <f>$C84*INDEX(Curves!$S$8:$S$68,AI$4-$B84+1)</f>
        <v/>
      </c>
      <c r="AJ84" s="75">
        <f>$C84*INDEX(Curves!$S$8:$S$68,AJ$4-$B84+1)</f>
        <v/>
      </c>
      <c r="AK84" s="75">
        <f>$C84*INDEX(Curves!$S$8:$S$68,AK$4-$B84+1)</f>
        <v/>
      </c>
      <c r="AL84" s="75">
        <f>$C84*INDEX(Curves!$S$8:$S$68,AL$4-$B84+1)</f>
        <v/>
      </c>
      <c r="AM84" s="75">
        <f>$C84*INDEX(Curves!$S$8:$S$68,AM$4-$B84+1)</f>
        <v/>
      </c>
      <c r="AN84" s="75">
        <f>$C84*INDEX(Curves!$S$8:$S$68,AN$4-$B84+1)</f>
        <v/>
      </c>
      <c r="AO84" s="75">
        <f>$C84*INDEX(Curves!$S$8:$S$68,AO$4-$B84+1)</f>
        <v/>
      </c>
      <c r="AP84" s="75">
        <f>$C84*INDEX(Curves!$S$8:$S$68,AP$4-$B84+1)</f>
        <v/>
      </c>
      <c r="AQ84" s="75">
        <f>$C84*INDEX(Curves!$S$8:$S$68,AQ$4-$B84+1)</f>
        <v/>
      </c>
      <c r="AR84" s="75">
        <f>$C84*INDEX(Curves!$S$8:$S$68,AR$4-$B84+1)</f>
        <v/>
      </c>
      <c r="AS84" s="75">
        <f>$C84*INDEX(Curves!$S$8:$S$68,AS$4-$B84+1)</f>
        <v/>
      </c>
      <c r="AT84" s="75">
        <f>$C84*INDEX(Curves!$S$8:$S$68,AT$4-$B84+1)</f>
        <v/>
      </c>
      <c r="AU84" s="75">
        <f>$C84*INDEX(Curves!$S$8:$S$68,AU$4-$B84+1)</f>
        <v/>
      </c>
      <c r="AV84" s="75">
        <f>$C84*INDEX(Curves!$S$8:$S$68,AV$4-$B84+1)</f>
        <v/>
      </c>
      <c r="AW84" s="75">
        <f>$C84*INDEX(Curves!$S$8:$S$68,AW$4-$B84+1)</f>
        <v/>
      </c>
      <c r="AX84" s="75">
        <f>$C84*INDEX(Curves!$S$8:$S$68,AX$4-$B84+1)</f>
        <v/>
      </c>
      <c r="AY84" s="75">
        <f>$C84*INDEX(Curves!$S$8:$S$68,AY$4-$B84+1)</f>
        <v/>
      </c>
      <c r="AZ84" s="75">
        <f>$C84*INDEX(Curves!$S$8:$S$68,AZ$4-$B84+1)</f>
        <v/>
      </c>
      <c r="BA84" s="75">
        <f>$C84*INDEX(Curves!$S$8:$S$68,BA$4-$B84+1)</f>
        <v/>
      </c>
      <c r="BB84" s="75">
        <f>$C84*INDEX(Curves!$S$8:$S$68,BB$4-$B84+1)</f>
        <v/>
      </c>
      <c r="BC84" s="75">
        <f>$C84*INDEX(Curves!$S$8:$S$68,BC$4-$B84+1)</f>
        <v/>
      </c>
      <c r="BD84" s="75">
        <f>$C84*INDEX(Curves!$S$8:$S$68,BD$4-$B84+1)</f>
        <v/>
      </c>
      <c r="BE84" s="75">
        <f>$C84*INDEX(Curves!$S$8:$S$68,BE$4-$B84+1)</f>
        <v/>
      </c>
      <c r="BF84" s="75">
        <f>$C84*INDEX(Curves!$S$8:$S$68,BF$4-$B84+1)</f>
        <v/>
      </c>
      <c r="BG84" s="75">
        <f>$C84*INDEX(Curves!$S$8:$S$68,BG$4-$B84+1)</f>
        <v/>
      </c>
      <c r="BH84" s="75">
        <f>$C84*INDEX(Curves!$S$8:$S$68,BH$4-$B84+1)</f>
        <v/>
      </c>
      <c r="BI84" s="75">
        <f>$C84*INDEX(Curves!$S$8:$S$68,BI$4-$B84+1)</f>
        <v/>
      </c>
      <c r="BJ84" s="75">
        <f>$C84*INDEX(Curves!$S$8:$S$68,BJ$4-$B84+1)</f>
        <v/>
      </c>
      <c r="BK84" s="75">
        <f>$C84*INDEX(Curves!$S$8:$S$68,BK$4-$B84+1)</f>
        <v/>
      </c>
      <c r="BL84" s="75">
        <f>$C84*INDEX(Curves!$S$8:$S$68,BL$4-$B84+1)</f>
        <v/>
      </c>
    </row>
    <row r="85">
      <c r="A85" s="74" t="inlineStr">
        <is>
          <t>Cohort month 13</t>
        </is>
      </c>
      <c r="B85" s="74" t="n">
        <v>13</v>
      </c>
      <c r="C85" s="17">
        <f>INDEX(Ops!$E$34:$BL$34,1,$B85)</f>
        <v/>
      </c>
      <c r="R85" s="75">
        <f>$C85*INDEX(Curves!$S$8:$S$68,R$4-$B85+1)</f>
        <v/>
      </c>
      <c r="S85" s="75">
        <f>$C85*INDEX(Curves!$S$8:$S$68,S$4-$B85+1)</f>
        <v/>
      </c>
      <c r="T85" s="75">
        <f>$C85*INDEX(Curves!$S$8:$S$68,T$4-$B85+1)</f>
        <v/>
      </c>
      <c r="U85" s="75">
        <f>$C85*INDEX(Curves!$S$8:$S$68,U$4-$B85+1)</f>
        <v/>
      </c>
      <c r="V85" s="75">
        <f>$C85*INDEX(Curves!$S$8:$S$68,V$4-$B85+1)</f>
        <v/>
      </c>
      <c r="W85" s="75">
        <f>$C85*INDEX(Curves!$S$8:$S$68,W$4-$B85+1)</f>
        <v/>
      </c>
      <c r="X85" s="75">
        <f>$C85*INDEX(Curves!$S$8:$S$68,X$4-$B85+1)</f>
        <v/>
      </c>
      <c r="Y85" s="75">
        <f>$C85*INDEX(Curves!$S$8:$S$68,Y$4-$B85+1)</f>
        <v/>
      </c>
      <c r="Z85" s="75">
        <f>$C85*INDEX(Curves!$S$8:$S$68,Z$4-$B85+1)</f>
        <v/>
      </c>
      <c r="AA85" s="75">
        <f>$C85*INDEX(Curves!$S$8:$S$68,AA$4-$B85+1)</f>
        <v/>
      </c>
      <c r="AB85" s="75">
        <f>$C85*INDEX(Curves!$S$8:$S$68,AB$4-$B85+1)</f>
        <v/>
      </c>
      <c r="AC85" s="75">
        <f>$C85*INDEX(Curves!$S$8:$S$68,AC$4-$B85+1)</f>
        <v/>
      </c>
      <c r="AD85" s="75">
        <f>$C85*INDEX(Curves!$S$8:$S$68,AD$4-$B85+1)</f>
        <v/>
      </c>
      <c r="AE85" s="75">
        <f>$C85*INDEX(Curves!$S$8:$S$68,AE$4-$B85+1)</f>
        <v/>
      </c>
      <c r="AF85" s="75">
        <f>$C85*INDEX(Curves!$S$8:$S$68,AF$4-$B85+1)</f>
        <v/>
      </c>
      <c r="AG85" s="75">
        <f>$C85*INDEX(Curves!$S$8:$S$68,AG$4-$B85+1)</f>
        <v/>
      </c>
      <c r="AH85" s="75">
        <f>$C85*INDEX(Curves!$S$8:$S$68,AH$4-$B85+1)</f>
        <v/>
      </c>
      <c r="AI85" s="75">
        <f>$C85*INDEX(Curves!$S$8:$S$68,AI$4-$B85+1)</f>
        <v/>
      </c>
      <c r="AJ85" s="75">
        <f>$C85*INDEX(Curves!$S$8:$S$68,AJ$4-$B85+1)</f>
        <v/>
      </c>
      <c r="AK85" s="75">
        <f>$C85*INDEX(Curves!$S$8:$S$68,AK$4-$B85+1)</f>
        <v/>
      </c>
      <c r="AL85" s="75">
        <f>$C85*INDEX(Curves!$S$8:$S$68,AL$4-$B85+1)</f>
        <v/>
      </c>
      <c r="AM85" s="75">
        <f>$C85*INDEX(Curves!$S$8:$S$68,AM$4-$B85+1)</f>
        <v/>
      </c>
      <c r="AN85" s="75">
        <f>$C85*INDEX(Curves!$S$8:$S$68,AN$4-$B85+1)</f>
        <v/>
      </c>
      <c r="AO85" s="75">
        <f>$C85*INDEX(Curves!$S$8:$S$68,AO$4-$B85+1)</f>
        <v/>
      </c>
      <c r="AP85" s="75">
        <f>$C85*INDEX(Curves!$S$8:$S$68,AP$4-$B85+1)</f>
        <v/>
      </c>
      <c r="AQ85" s="75">
        <f>$C85*INDEX(Curves!$S$8:$S$68,AQ$4-$B85+1)</f>
        <v/>
      </c>
      <c r="AR85" s="75">
        <f>$C85*INDEX(Curves!$S$8:$S$68,AR$4-$B85+1)</f>
        <v/>
      </c>
      <c r="AS85" s="75">
        <f>$C85*INDEX(Curves!$S$8:$S$68,AS$4-$B85+1)</f>
        <v/>
      </c>
      <c r="AT85" s="75">
        <f>$C85*INDEX(Curves!$S$8:$S$68,AT$4-$B85+1)</f>
        <v/>
      </c>
      <c r="AU85" s="75">
        <f>$C85*INDEX(Curves!$S$8:$S$68,AU$4-$B85+1)</f>
        <v/>
      </c>
      <c r="AV85" s="75">
        <f>$C85*INDEX(Curves!$S$8:$S$68,AV$4-$B85+1)</f>
        <v/>
      </c>
      <c r="AW85" s="75">
        <f>$C85*INDEX(Curves!$S$8:$S$68,AW$4-$B85+1)</f>
        <v/>
      </c>
      <c r="AX85" s="75">
        <f>$C85*INDEX(Curves!$S$8:$S$68,AX$4-$B85+1)</f>
        <v/>
      </c>
      <c r="AY85" s="75">
        <f>$C85*INDEX(Curves!$S$8:$S$68,AY$4-$B85+1)</f>
        <v/>
      </c>
      <c r="AZ85" s="75">
        <f>$C85*INDEX(Curves!$S$8:$S$68,AZ$4-$B85+1)</f>
        <v/>
      </c>
      <c r="BA85" s="75">
        <f>$C85*INDEX(Curves!$S$8:$S$68,BA$4-$B85+1)</f>
        <v/>
      </c>
      <c r="BB85" s="75">
        <f>$C85*INDEX(Curves!$S$8:$S$68,BB$4-$B85+1)</f>
        <v/>
      </c>
      <c r="BC85" s="75">
        <f>$C85*INDEX(Curves!$S$8:$S$68,BC$4-$B85+1)</f>
        <v/>
      </c>
      <c r="BD85" s="75">
        <f>$C85*INDEX(Curves!$S$8:$S$68,BD$4-$B85+1)</f>
        <v/>
      </c>
      <c r="BE85" s="75">
        <f>$C85*INDEX(Curves!$S$8:$S$68,BE$4-$B85+1)</f>
        <v/>
      </c>
      <c r="BF85" s="75">
        <f>$C85*INDEX(Curves!$S$8:$S$68,BF$4-$B85+1)</f>
        <v/>
      </c>
      <c r="BG85" s="75">
        <f>$C85*INDEX(Curves!$S$8:$S$68,BG$4-$B85+1)</f>
        <v/>
      </c>
      <c r="BH85" s="75">
        <f>$C85*INDEX(Curves!$S$8:$S$68,BH$4-$B85+1)</f>
        <v/>
      </c>
      <c r="BI85" s="75">
        <f>$C85*INDEX(Curves!$S$8:$S$68,BI$4-$B85+1)</f>
        <v/>
      </c>
      <c r="BJ85" s="75">
        <f>$C85*INDEX(Curves!$S$8:$S$68,BJ$4-$B85+1)</f>
        <v/>
      </c>
      <c r="BK85" s="75">
        <f>$C85*INDEX(Curves!$S$8:$S$68,BK$4-$B85+1)</f>
        <v/>
      </c>
      <c r="BL85" s="75">
        <f>$C85*INDEX(Curves!$S$8:$S$68,BL$4-$B85+1)</f>
        <v/>
      </c>
    </row>
    <row r="86">
      <c r="A86" s="74" t="inlineStr">
        <is>
          <t>Cohort month 14</t>
        </is>
      </c>
      <c r="B86" s="74" t="n">
        <v>14</v>
      </c>
      <c r="C86" s="17">
        <f>INDEX(Ops!$E$34:$BL$34,1,$B86)</f>
        <v/>
      </c>
      <c r="S86" s="75">
        <f>$C86*INDEX(Curves!$S$8:$S$68,S$4-$B86+1)</f>
        <v/>
      </c>
      <c r="T86" s="75">
        <f>$C86*INDEX(Curves!$S$8:$S$68,T$4-$B86+1)</f>
        <v/>
      </c>
      <c r="U86" s="75">
        <f>$C86*INDEX(Curves!$S$8:$S$68,U$4-$B86+1)</f>
        <v/>
      </c>
      <c r="V86" s="75">
        <f>$C86*INDEX(Curves!$S$8:$S$68,V$4-$B86+1)</f>
        <v/>
      </c>
      <c r="W86" s="75">
        <f>$C86*INDEX(Curves!$S$8:$S$68,W$4-$B86+1)</f>
        <v/>
      </c>
      <c r="X86" s="75">
        <f>$C86*INDEX(Curves!$S$8:$S$68,X$4-$B86+1)</f>
        <v/>
      </c>
      <c r="Y86" s="75">
        <f>$C86*INDEX(Curves!$S$8:$S$68,Y$4-$B86+1)</f>
        <v/>
      </c>
      <c r="Z86" s="75">
        <f>$C86*INDEX(Curves!$S$8:$S$68,Z$4-$B86+1)</f>
        <v/>
      </c>
      <c r="AA86" s="75">
        <f>$C86*INDEX(Curves!$S$8:$S$68,AA$4-$B86+1)</f>
        <v/>
      </c>
      <c r="AB86" s="75">
        <f>$C86*INDEX(Curves!$S$8:$S$68,AB$4-$B86+1)</f>
        <v/>
      </c>
      <c r="AC86" s="75">
        <f>$C86*INDEX(Curves!$S$8:$S$68,AC$4-$B86+1)</f>
        <v/>
      </c>
      <c r="AD86" s="75">
        <f>$C86*INDEX(Curves!$S$8:$S$68,AD$4-$B86+1)</f>
        <v/>
      </c>
      <c r="AE86" s="75">
        <f>$C86*INDEX(Curves!$S$8:$S$68,AE$4-$B86+1)</f>
        <v/>
      </c>
      <c r="AF86" s="75">
        <f>$C86*INDEX(Curves!$S$8:$S$68,AF$4-$B86+1)</f>
        <v/>
      </c>
      <c r="AG86" s="75">
        <f>$C86*INDEX(Curves!$S$8:$S$68,AG$4-$B86+1)</f>
        <v/>
      </c>
      <c r="AH86" s="75">
        <f>$C86*INDEX(Curves!$S$8:$S$68,AH$4-$B86+1)</f>
        <v/>
      </c>
      <c r="AI86" s="75">
        <f>$C86*INDEX(Curves!$S$8:$S$68,AI$4-$B86+1)</f>
        <v/>
      </c>
      <c r="AJ86" s="75">
        <f>$C86*INDEX(Curves!$S$8:$S$68,AJ$4-$B86+1)</f>
        <v/>
      </c>
      <c r="AK86" s="75">
        <f>$C86*INDEX(Curves!$S$8:$S$68,AK$4-$B86+1)</f>
        <v/>
      </c>
      <c r="AL86" s="75">
        <f>$C86*INDEX(Curves!$S$8:$S$68,AL$4-$B86+1)</f>
        <v/>
      </c>
      <c r="AM86" s="75">
        <f>$C86*INDEX(Curves!$S$8:$S$68,AM$4-$B86+1)</f>
        <v/>
      </c>
      <c r="AN86" s="75">
        <f>$C86*INDEX(Curves!$S$8:$S$68,AN$4-$B86+1)</f>
        <v/>
      </c>
      <c r="AO86" s="75">
        <f>$C86*INDEX(Curves!$S$8:$S$68,AO$4-$B86+1)</f>
        <v/>
      </c>
      <c r="AP86" s="75">
        <f>$C86*INDEX(Curves!$S$8:$S$68,AP$4-$B86+1)</f>
        <v/>
      </c>
      <c r="AQ86" s="75">
        <f>$C86*INDEX(Curves!$S$8:$S$68,AQ$4-$B86+1)</f>
        <v/>
      </c>
      <c r="AR86" s="75">
        <f>$C86*INDEX(Curves!$S$8:$S$68,AR$4-$B86+1)</f>
        <v/>
      </c>
      <c r="AS86" s="75">
        <f>$C86*INDEX(Curves!$S$8:$S$68,AS$4-$B86+1)</f>
        <v/>
      </c>
      <c r="AT86" s="75">
        <f>$C86*INDEX(Curves!$S$8:$S$68,AT$4-$B86+1)</f>
        <v/>
      </c>
      <c r="AU86" s="75">
        <f>$C86*INDEX(Curves!$S$8:$S$68,AU$4-$B86+1)</f>
        <v/>
      </c>
      <c r="AV86" s="75">
        <f>$C86*INDEX(Curves!$S$8:$S$68,AV$4-$B86+1)</f>
        <v/>
      </c>
      <c r="AW86" s="75">
        <f>$C86*INDEX(Curves!$S$8:$S$68,AW$4-$B86+1)</f>
        <v/>
      </c>
      <c r="AX86" s="75">
        <f>$C86*INDEX(Curves!$S$8:$S$68,AX$4-$B86+1)</f>
        <v/>
      </c>
      <c r="AY86" s="75">
        <f>$C86*INDEX(Curves!$S$8:$S$68,AY$4-$B86+1)</f>
        <v/>
      </c>
      <c r="AZ86" s="75">
        <f>$C86*INDEX(Curves!$S$8:$S$68,AZ$4-$B86+1)</f>
        <v/>
      </c>
      <c r="BA86" s="75">
        <f>$C86*INDEX(Curves!$S$8:$S$68,BA$4-$B86+1)</f>
        <v/>
      </c>
      <c r="BB86" s="75">
        <f>$C86*INDEX(Curves!$S$8:$S$68,BB$4-$B86+1)</f>
        <v/>
      </c>
      <c r="BC86" s="75">
        <f>$C86*INDEX(Curves!$S$8:$S$68,BC$4-$B86+1)</f>
        <v/>
      </c>
      <c r="BD86" s="75">
        <f>$C86*INDEX(Curves!$S$8:$S$68,BD$4-$B86+1)</f>
        <v/>
      </c>
      <c r="BE86" s="75">
        <f>$C86*INDEX(Curves!$S$8:$S$68,BE$4-$B86+1)</f>
        <v/>
      </c>
      <c r="BF86" s="75">
        <f>$C86*INDEX(Curves!$S$8:$S$68,BF$4-$B86+1)</f>
        <v/>
      </c>
      <c r="BG86" s="75">
        <f>$C86*INDEX(Curves!$S$8:$S$68,BG$4-$B86+1)</f>
        <v/>
      </c>
      <c r="BH86" s="75">
        <f>$C86*INDEX(Curves!$S$8:$S$68,BH$4-$B86+1)</f>
        <v/>
      </c>
      <c r="BI86" s="75">
        <f>$C86*INDEX(Curves!$S$8:$S$68,BI$4-$B86+1)</f>
        <v/>
      </c>
      <c r="BJ86" s="75">
        <f>$C86*INDEX(Curves!$S$8:$S$68,BJ$4-$B86+1)</f>
        <v/>
      </c>
      <c r="BK86" s="75">
        <f>$C86*INDEX(Curves!$S$8:$S$68,BK$4-$B86+1)</f>
        <v/>
      </c>
      <c r="BL86" s="75">
        <f>$C86*INDEX(Curves!$S$8:$S$68,BL$4-$B86+1)</f>
        <v/>
      </c>
    </row>
    <row r="87">
      <c r="A87" s="74" t="inlineStr">
        <is>
          <t>Cohort month 15</t>
        </is>
      </c>
      <c r="B87" s="74" t="n">
        <v>15</v>
      </c>
      <c r="C87" s="17">
        <f>INDEX(Ops!$E$34:$BL$34,1,$B87)</f>
        <v/>
      </c>
      <c r="T87" s="75">
        <f>$C87*INDEX(Curves!$S$8:$S$68,T$4-$B87+1)</f>
        <v/>
      </c>
      <c r="U87" s="75">
        <f>$C87*INDEX(Curves!$S$8:$S$68,U$4-$B87+1)</f>
        <v/>
      </c>
      <c r="V87" s="75">
        <f>$C87*INDEX(Curves!$S$8:$S$68,V$4-$B87+1)</f>
        <v/>
      </c>
      <c r="W87" s="75">
        <f>$C87*INDEX(Curves!$S$8:$S$68,W$4-$B87+1)</f>
        <v/>
      </c>
      <c r="X87" s="75">
        <f>$C87*INDEX(Curves!$S$8:$S$68,X$4-$B87+1)</f>
        <v/>
      </c>
      <c r="Y87" s="75">
        <f>$C87*INDEX(Curves!$S$8:$S$68,Y$4-$B87+1)</f>
        <v/>
      </c>
      <c r="Z87" s="75">
        <f>$C87*INDEX(Curves!$S$8:$S$68,Z$4-$B87+1)</f>
        <v/>
      </c>
      <c r="AA87" s="75">
        <f>$C87*INDEX(Curves!$S$8:$S$68,AA$4-$B87+1)</f>
        <v/>
      </c>
      <c r="AB87" s="75">
        <f>$C87*INDEX(Curves!$S$8:$S$68,AB$4-$B87+1)</f>
        <v/>
      </c>
      <c r="AC87" s="75">
        <f>$C87*INDEX(Curves!$S$8:$S$68,AC$4-$B87+1)</f>
        <v/>
      </c>
      <c r="AD87" s="75">
        <f>$C87*INDEX(Curves!$S$8:$S$68,AD$4-$B87+1)</f>
        <v/>
      </c>
      <c r="AE87" s="75">
        <f>$C87*INDEX(Curves!$S$8:$S$68,AE$4-$B87+1)</f>
        <v/>
      </c>
      <c r="AF87" s="75">
        <f>$C87*INDEX(Curves!$S$8:$S$68,AF$4-$B87+1)</f>
        <v/>
      </c>
      <c r="AG87" s="75">
        <f>$C87*INDEX(Curves!$S$8:$S$68,AG$4-$B87+1)</f>
        <v/>
      </c>
      <c r="AH87" s="75">
        <f>$C87*INDEX(Curves!$S$8:$S$68,AH$4-$B87+1)</f>
        <v/>
      </c>
      <c r="AI87" s="75">
        <f>$C87*INDEX(Curves!$S$8:$S$68,AI$4-$B87+1)</f>
        <v/>
      </c>
      <c r="AJ87" s="75">
        <f>$C87*INDEX(Curves!$S$8:$S$68,AJ$4-$B87+1)</f>
        <v/>
      </c>
      <c r="AK87" s="75">
        <f>$C87*INDEX(Curves!$S$8:$S$68,AK$4-$B87+1)</f>
        <v/>
      </c>
      <c r="AL87" s="75">
        <f>$C87*INDEX(Curves!$S$8:$S$68,AL$4-$B87+1)</f>
        <v/>
      </c>
      <c r="AM87" s="75">
        <f>$C87*INDEX(Curves!$S$8:$S$68,AM$4-$B87+1)</f>
        <v/>
      </c>
      <c r="AN87" s="75">
        <f>$C87*INDEX(Curves!$S$8:$S$68,AN$4-$B87+1)</f>
        <v/>
      </c>
      <c r="AO87" s="75">
        <f>$C87*INDEX(Curves!$S$8:$S$68,AO$4-$B87+1)</f>
        <v/>
      </c>
      <c r="AP87" s="75">
        <f>$C87*INDEX(Curves!$S$8:$S$68,AP$4-$B87+1)</f>
        <v/>
      </c>
      <c r="AQ87" s="75">
        <f>$C87*INDEX(Curves!$S$8:$S$68,AQ$4-$B87+1)</f>
        <v/>
      </c>
      <c r="AR87" s="75">
        <f>$C87*INDEX(Curves!$S$8:$S$68,AR$4-$B87+1)</f>
        <v/>
      </c>
      <c r="AS87" s="75">
        <f>$C87*INDEX(Curves!$S$8:$S$68,AS$4-$B87+1)</f>
        <v/>
      </c>
      <c r="AT87" s="75">
        <f>$C87*INDEX(Curves!$S$8:$S$68,AT$4-$B87+1)</f>
        <v/>
      </c>
      <c r="AU87" s="75">
        <f>$C87*INDEX(Curves!$S$8:$S$68,AU$4-$B87+1)</f>
        <v/>
      </c>
      <c r="AV87" s="75">
        <f>$C87*INDEX(Curves!$S$8:$S$68,AV$4-$B87+1)</f>
        <v/>
      </c>
      <c r="AW87" s="75">
        <f>$C87*INDEX(Curves!$S$8:$S$68,AW$4-$B87+1)</f>
        <v/>
      </c>
      <c r="AX87" s="75">
        <f>$C87*INDEX(Curves!$S$8:$S$68,AX$4-$B87+1)</f>
        <v/>
      </c>
      <c r="AY87" s="75">
        <f>$C87*INDEX(Curves!$S$8:$S$68,AY$4-$B87+1)</f>
        <v/>
      </c>
      <c r="AZ87" s="75">
        <f>$C87*INDEX(Curves!$S$8:$S$68,AZ$4-$B87+1)</f>
        <v/>
      </c>
      <c r="BA87" s="75">
        <f>$C87*INDEX(Curves!$S$8:$S$68,BA$4-$B87+1)</f>
        <v/>
      </c>
      <c r="BB87" s="75">
        <f>$C87*INDEX(Curves!$S$8:$S$68,BB$4-$B87+1)</f>
        <v/>
      </c>
      <c r="BC87" s="75">
        <f>$C87*INDEX(Curves!$S$8:$S$68,BC$4-$B87+1)</f>
        <v/>
      </c>
      <c r="BD87" s="75">
        <f>$C87*INDEX(Curves!$S$8:$S$68,BD$4-$B87+1)</f>
        <v/>
      </c>
      <c r="BE87" s="75">
        <f>$C87*INDEX(Curves!$S$8:$S$68,BE$4-$B87+1)</f>
        <v/>
      </c>
      <c r="BF87" s="75">
        <f>$C87*INDEX(Curves!$S$8:$S$68,BF$4-$B87+1)</f>
        <v/>
      </c>
      <c r="BG87" s="75">
        <f>$C87*INDEX(Curves!$S$8:$S$68,BG$4-$B87+1)</f>
        <v/>
      </c>
      <c r="BH87" s="75">
        <f>$C87*INDEX(Curves!$S$8:$S$68,BH$4-$B87+1)</f>
        <v/>
      </c>
      <c r="BI87" s="75">
        <f>$C87*INDEX(Curves!$S$8:$S$68,BI$4-$B87+1)</f>
        <v/>
      </c>
      <c r="BJ87" s="75">
        <f>$C87*INDEX(Curves!$S$8:$S$68,BJ$4-$B87+1)</f>
        <v/>
      </c>
      <c r="BK87" s="75">
        <f>$C87*INDEX(Curves!$S$8:$S$68,BK$4-$B87+1)</f>
        <v/>
      </c>
      <c r="BL87" s="75">
        <f>$C87*INDEX(Curves!$S$8:$S$68,BL$4-$B87+1)</f>
        <v/>
      </c>
    </row>
    <row r="88">
      <c r="A88" s="74" t="inlineStr">
        <is>
          <t>Cohort month 16</t>
        </is>
      </c>
      <c r="B88" s="74" t="n">
        <v>16</v>
      </c>
      <c r="C88" s="17">
        <f>INDEX(Ops!$E$34:$BL$34,1,$B88)</f>
        <v/>
      </c>
      <c r="U88" s="75">
        <f>$C88*INDEX(Curves!$S$8:$S$68,U$4-$B88+1)</f>
        <v/>
      </c>
      <c r="V88" s="75">
        <f>$C88*INDEX(Curves!$S$8:$S$68,V$4-$B88+1)</f>
        <v/>
      </c>
      <c r="W88" s="75">
        <f>$C88*INDEX(Curves!$S$8:$S$68,W$4-$B88+1)</f>
        <v/>
      </c>
      <c r="X88" s="75">
        <f>$C88*INDEX(Curves!$S$8:$S$68,X$4-$B88+1)</f>
        <v/>
      </c>
      <c r="Y88" s="75">
        <f>$C88*INDEX(Curves!$S$8:$S$68,Y$4-$B88+1)</f>
        <v/>
      </c>
      <c r="Z88" s="75">
        <f>$C88*INDEX(Curves!$S$8:$S$68,Z$4-$B88+1)</f>
        <v/>
      </c>
      <c r="AA88" s="75">
        <f>$C88*INDEX(Curves!$S$8:$S$68,AA$4-$B88+1)</f>
        <v/>
      </c>
      <c r="AB88" s="75">
        <f>$C88*INDEX(Curves!$S$8:$S$68,AB$4-$B88+1)</f>
        <v/>
      </c>
      <c r="AC88" s="75">
        <f>$C88*INDEX(Curves!$S$8:$S$68,AC$4-$B88+1)</f>
        <v/>
      </c>
      <c r="AD88" s="75">
        <f>$C88*INDEX(Curves!$S$8:$S$68,AD$4-$B88+1)</f>
        <v/>
      </c>
      <c r="AE88" s="75">
        <f>$C88*INDEX(Curves!$S$8:$S$68,AE$4-$B88+1)</f>
        <v/>
      </c>
      <c r="AF88" s="75">
        <f>$C88*INDEX(Curves!$S$8:$S$68,AF$4-$B88+1)</f>
        <v/>
      </c>
      <c r="AG88" s="75">
        <f>$C88*INDEX(Curves!$S$8:$S$68,AG$4-$B88+1)</f>
        <v/>
      </c>
      <c r="AH88" s="75">
        <f>$C88*INDEX(Curves!$S$8:$S$68,AH$4-$B88+1)</f>
        <v/>
      </c>
      <c r="AI88" s="75">
        <f>$C88*INDEX(Curves!$S$8:$S$68,AI$4-$B88+1)</f>
        <v/>
      </c>
      <c r="AJ88" s="75">
        <f>$C88*INDEX(Curves!$S$8:$S$68,AJ$4-$B88+1)</f>
        <v/>
      </c>
      <c r="AK88" s="75">
        <f>$C88*INDEX(Curves!$S$8:$S$68,AK$4-$B88+1)</f>
        <v/>
      </c>
      <c r="AL88" s="75">
        <f>$C88*INDEX(Curves!$S$8:$S$68,AL$4-$B88+1)</f>
        <v/>
      </c>
      <c r="AM88" s="75">
        <f>$C88*INDEX(Curves!$S$8:$S$68,AM$4-$B88+1)</f>
        <v/>
      </c>
      <c r="AN88" s="75">
        <f>$C88*INDEX(Curves!$S$8:$S$68,AN$4-$B88+1)</f>
        <v/>
      </c>
      <c r="AO88" s="75">
        <f>$C88*INDEX(Curves!$S$8:$S$68,AO$4-$B88+1)</f>
        <v/>
      </c>
      <c r="AP88" s="75">
        <f>$C88*INDEX(Curves!$S$8:$S$68,AP$4-$B88+1)</f>
        <v/>
      </c>
      <c r="AQ88" s="75">
        <f>$C88*INDEX(Curves!$S$8:$S$68,AQ$4-$B88+1)</f>
        <v/>
      </c>
      <c r="AR88" s="75">
        <f>$C88*INDEX(Curves!$S$8:$S$68,AR$4-$B88+1)</f>
        <v/>
      </c>
      <c r="AS88" s="75">
        <f>$C88*INDEX(Curves!$S$8:$S$68,AS$4-$B88+1)</f>
        <v/>
      </c>
      <c r="AT88" s="75">
        <f>$C88*INDEX(Curves!$S$8:$S$68,AT$4-$B88+1)</f>
        <v/>
      </c>
      <c r="AU88" s="75">
        <f>$C88*INDEX(Curves!$S$8:$S$68,AU$4-$B88+1)</f>
        <v/>
      </c>
      <c r="AV88" s="75">
        <f>$C88*INDEX(Curves!$S$8:$S$68,AV$4-$B88+1)</f>
        <v/>
      </c>
      <c r="AW88" s="75">
        <f>$C88*INDEX(Curves!$S$8:$S$68,AW$4-$B88+1)</f>
        <v/>
      </c>
      <c r="AX88" s="75">
        <f>$C88*INDEX(Curves!$S$8:$S$68,AX$4-$B88+1)</f>
        <v/>
      </c>
      <c r="AY88" s="75">
        <f>$C88*INDEX(Curves!$S$8:$S$68,AY$4-$B88+1)</f>
        <v/>
      </c>
      <c r="AZ88" s="75">
        <f>$C88*INDEX(Curves!$S$8:$S$68,AZ$4-$B88+1)</f>
        <v/>
      </c>
      <c r="BA88" s="75">
        <f>$C88*INDEX(Curves!$S$8:$S$68,BA$4-$B88+1)</f>
        <v/>
      </c>
      <c r="BB88" s="75">
        <f>$C88*INDEX(Curves!$S$8:$S$68,BB$4-$B88+1)</f>
        <v/>
      </c>
      <c r="BC88" s="75">
        <f>$C88*INDEX(Curves!$S$8:$S$68,BC$4-$B88+1)</f>
        <v/>
      </c>
      <c r="BD88" s="75">
        <f>$C88*INDEX(Curves!$S$8:$S$68,BD$4-$B88+1)</f>
        <v/>
      </c>
      <c r="BE88" s="75">
        <f>$C88*INDEX(Curves!$S$8:$S$68,BE$4-$B88+1)</f>
        <v/>
      </c>
      <c r="BF88" s="75">
        <f>$C88*INDEX(Curves!$S$8:$S$68,BF$4-$B88+1)</f>
        <v/>
      </c>
      <c r="BG88" s="75">
        <f>$C88*INDEX(Curves!$S$8:$S$68,BG$4-$B88+1)</f>
        <v/>
      </c>
      <c r="BH88" s="75">
        <f>$C88*INDEX(Curves!$S$8:$S$68,BH$4-$B88+1)</f>
        <v/>
      </c>
      <c r="BI88" s="75">
        <f>$C88*INDEX(Curves!$S$8:$S$68,BI$4-$B88+1)</f>
        <v/>
      </c>
      <c r="BJ88" s="75">
        <f>$C88*INDEX(Curves!$S$8:$S$68,BJ$4-$B88+1)</f>
        <v/>
      </c>
      <c r="BK88" s="75">
        <f>$C88*INDEX(Curves!$S$8:$S$68,BK$4-$B88+1)</f>
        <v/>
      </c>
      <c r="BL88" s="75">
        <f>$C88*INDEX(Curves!$S$8:$S$68,BL$4-$B88+1)</f>
        <v/>
      </c>
    </row>
    <row r="89">
      <c r="A89" s="74" t="inlineStr">
        <is>
          <t>Cohort month 17</t>
        </is>
      </c>
      <c r="B89" s="74" t="n">
        <v>17</v>
      </c>
      <c r="C89" s="17">
        <f>INDEX(Ops!$E$34:$BL$34,1,$B89)</f>
        <v/>
      </c>
      <c r="V89" s="75">
        <f>$C89*INDEX(Curves!$S$8:$S$68,V$4-$B89+1)</f>
        <v/>
      </c>
      <c r="W89" s="75">
        <f>$C89*INDEX(Curves!$S$8:$S$68,W$4-$B89+1)</f>
        <v/>
      </c>
      <c r="X89" s="75">
        <f>$C89*INDEX(Curves!$S$8:$S$68,X$4-$B89+1)</f>
        <v/>
      </c>
      <c r="Y89" s="75">
        <f>$C89*INDEX(Curves!$S$8:$S$68,Y$4-$B89+1)</f>
        <v/>
      </c>
      <c r="Z89" s="75">
        <f>$C89*INDEX(Curves!$S$8:$S$68,Z$4-$B89+1)</f>
        <v/>
      </c>
      <c r="AA89" s="75">
        <f>$C89*INDEX(Curves!$S$8:$S$68,AA$4-$B89+1)</f>
        <v/>
      </c>
      <c r="AB89" s="75">
        <f>$C89*INDEX(Curves!$S$8:$S$68,AB$4-$B89+1)</f>
        <v/>
      </c>
      <c r="AC89" s="75">
        <f>$C89*INDEX(Curves!$S$8:$S$68,AC$4-$B89+1)</f>
        <v/>
      </c>
      <c r="AD89" s="75">
        <f>$C89*INDEX(Curves!$S$8:$S$68,AD$4-$B89+1)</f>
        <v/>
      </c>
      <c r="AE89" s="75">
        <f>$C89*INDEX(Curves!$S$8:$S$68,AE$4-$B89+1)</f>
        <v/>
      </c>
      <c r="AF89" s="75">
        <f>$C89*INDEX(Curves!$S$8:$S$68,AF$4-$B89+1)</f>
        <v/>
      </c>
      <c r="AG89" s="75">
        <f>$C89*INDEX(Curves!$S$8:$S$68,AG$4-$B89+1)</f>
        <v/>
      </c>
      <c r="AH89" s="75">
        <f>$C89*INDEX(Curves!$S$8:$S$68,AH$4-$B89+1)</f>
        <v/>
      </c>
      <c r="AI89" s="75">
        <f>$C89*INDEX(Curves!$S$8:$S$68,AI$4-$B89+1)</f>
        <v/>
      </c>
      <c r="AJ89" s="75">
        <f>$C89*INDEX(Curves!$S$8:$S$68,AJ$4-$B89+1)</f>
        <v/>
      </c>
      <c r="AK89" s="75">
        <f>$C89*INDEX(Curves!$S$8:$S$68,AK$4-$B89+1)</f>
        <v/>
      </c>
      <c r="AL89" s="75">
        <f>$C89*INDEX(Curves!$S$8:$S$68,AL$4-$B89+1)</f>
        <v/>
      </c>
      <c r="AM89" s="75">
        <f>$C89*INDEX(Curves!$S$8:$S$68,AM$4-$B89+1)</f>
        <v/>
      </c>
      <c r="AN89" s="75">
        <f>$C89*INDEX(Curves!$S$8:$S$68,AN$4-$B89+1)</f>
        <v/>
      </c>
      <c r="AO89" s="75">
        <f>$C89*INDEX(Curves!$S$8:$S$68,AO$4-$B89+1)</f>
        <v/>
      </c>
      <c r="AP89" s="75">
        <f>$C89*INDEX(Curves!$S$8:$S$68,AP$4-$B89+1)</f>
        <v/>
      </c>
      <c r="AQ89" s="75">
        <f>$C89*INDEX(Curves!$S$8:$S$68,AQ$4-$B89+1)</f>
        <v/>
      </c>
      <c r="AR89" s="75">
        <f>$C89*INDEX(Curves!$S$8:$S$68,AR$4-$B89+1)</f>
        <v/>
      </c>
      <c r="AS89" s="75">
        <f>$C89*INDEX(Curves!$S$8:$S$68,AS$4-$B89+1)</f>
        <v/>
      </c>
      <c r="AT89" s="75">
        <f>$C89*INDEX(Curves!$S$8:$S$68,AT$4-$B89+1)</f>
        <v/>
      </c>
      <c r="AU89" s="75">
        <f>$C89*INDEX(Curves!$S$8:$S$68,AU$4-$B89+1)</f>
        <v/>
      </c>
      <c r="AV89" s="75">
        <f>$C89*INDEX(Curves!$S$8:$S$68,AV$4-$B89+1)</f>
        <v/>
      </c>
      <c r="AW89" s="75">
        <f>$C89*INDEX(Curves!$S$8:$S$68,AW$4-$B89+1)</f>
        <v/>
      </c>
      <c r="AX89" s="75">
        <f>$C89*INDEX(Curves!$S$8:$S$68,AX$4-$B89+1)</f>
        <v/>
      </c>
      <c r="AY89" s="75">
        <f>$C89*INDEX(Curves!$S$8:$S$68,AY$4-$B89+1)</f>
        <v/>
      </c>
      <c r="AZ89" s="75">
        <f>$C89*INDEX(Curves!$S$8:$S$68,AZ$4-$B89+1)</f>
        <v/>
      </c>
      <c r="BA89" s="75">
        <f>$C89*INDEX(Curves!$S$8:$S$68,BA$4-$B89+1)</f>
        <v/>
      </c>
      <c r="BB89" s="75">
        <f>$C89*INDEX(Curves!$S$8:$S$68,BB$4-$B89+1)</f>
        <v/>
      </c>
      <c r="BC89" s="75">
        <f>$C89*INDEX(Curves!$S$8:$S$68,BC$4-$B89+1)</f>
        <v/>
      </c>
      <c r="BD89" s="75">
        <f>$C89*INDEX(Curves!$S$8:$S$68,BD$4-$B89+1)</f>
        <v/>
      </c>
      <c r="BE89" s="75">
        <f>$C89*INDEX(Curves!$S$8:$S$68,BE$4-$B89+1)</f>
        <v/>
      </c>
      <c r="BF89" s="75">
        <f>$C89*INDEX(Curves!$S$8:$S$68,BF$4-$B89+1)</f>
        <v/>
      </c>
      <c r="BG89" s="75">
        <f>$C89*INDEX(Curves!$S$8:$S$68,BG$4-$B89+1)</f>
        <v/>
      </c>
      <c r="BH89" s="75">
        <f>$C89*INDEX(Curves!$S$8:$S$68,BH$4-$B89+1)</f>
        <v/>
      </c>
      <c r="BI89" s="75">
        <f>$C89*INDEX(Curves!$S$8:$S$68,BI$4-$B89+1)</f>
        <v/>
      </c>
      <c r="BJ89" s="75">
        <f>$C89*INDEX(Curves!$S$8:$S$68,BJ$4-$B89+1)</f>
        <v/>
      </c>
      <c r="BK89" s="75">
        <f>$C89*INDEX(Curves!$S$8:$S$68,BK$4-$B89+1)</f>
        <v/>
      </c>
      <c r="BL89" s="75">
        <f>$C89*INDEX(Curves!$S$8:$S$68,BL$4-$B89+1)</f>
        <v/>
      </c>
    </row>
    <row r="90">
      <c r="A90" s="74" t="inlineStr">
        <is>
          <t>Cohort month 18</t>
        </is>
      </c>
      <c r="B90" s="74" t="n">
        <v>18</v>
      </c>
      <c r="C90" s="17">
        <f>INDEX(Ops!$E$34:$BL$34,1,$B90)</f>
        <v/>
      </c>
      <c r="W90" s="75">
        <f>$C90*INDEX(Curves!$S$8:$S$68,W$4-$B90+1)</f>
        <v/>
      </c>
      <c r="X90" s="75">
        <f>$C90*INDEX(Curves!$S$8:$S$68,X$4-$B90+1)</f>
        <v/>
      </c>
      <c r="Y90" s="75">
        <f>$C90*INDEX(Curves!$S$8:$S$68,Y$4-$B90+1)</f>
        <v/>
      </c>
      <c r="Z90" s="75">
        <f>$C90*INDEX(Curves!$S$8:$S$68,Z$4-$B90+1)</f>
        <v/>
      </c>
      <c r="AA90" s="75">
        <f>$C90*INDEX(Curves!$S$8:$S$68,AA$4-$B90+1)</f>
        <v/>
      </c>
      <c r="AB90" s="75">
        <f>$C90*INDEX(Curves!$S$8:$S$68,AB$4-$B90+1)</f>
        <v/>
      </c>
      <c r="AC90" s="75">
        <f>$C90*INDEX(Curves!$S$8:$S$68,AC$4-$B90+1)</f>
        <v/>
      </c>
      <c r="AD90" s="75">
        <f>$C90*INDEX(Curves!$S$8:$S$68,AD$4-$B90+1)</f>
        <v/>
      </c>
      <c r="AE90" s="75">
        <f>$C90*INDEX(Curves!$S$8:$S$68,AE$4-$B90+1)</f>
        <v/>
      </c>
      <c r="AF90" s="75">
        <f>$C90*INDEX(Curves!$S$8:$S$68,AF$4-$B90+1)</f>
        <v/>
      </c>
      <c r="AG90" s="75">
        <f>$C90*INDEX(Curves!$S$8:$S$68,AG$4-$B90+1)</f>
        <v/>
      </c>
      <c r="AH90" s="75">
        <f>$C90*INDEX(Curves!$S$8:$S$68,AH$4-$B90+1)</f>
        <v/>
      </c>
      <c r="AI90" s="75">
        <f>$C90*INDEX(Curves!$S$8:$S$68,AI$4-$B90+1)</f>
        <v/>
      </c>
      <c r="AJ90" s="75">
        <f>$C90*INDEX(Curves!$S$8:$S$68,AJ$4-$B90+1)</f>
        <v/>
      </c>
      <c r="AK90" s="75">
        <f>$C90*INDEX(Curves!$S$8:$S$68,AK$4-$B90+1)</f>
        <v/>
      </c>
      <c r="AL90" s="75">
        <f>$C90*INDEX(Curves!$S$8:$S$68,AL$4-$B90+1)</f>
        <v/>
      </c>
      <c r="AM90" s="75">
        <f>$C90*INDEX(Curves!$S$8:$S$68,AM$4-$B90+1)</f>
        <v/>
      </c>
      <c r="AN90" s="75">
        <f>$C90*INDEX(Curves!$S$8:$S$68,AN$4-$B90+1)</f>
        <v/>
      </c>
      <c r="AO90" s="75">
        <f>$C90*INDEX(Curves!$S$8:$S$68,AO$4-$B90+1)</f>
        <v/>
      </c>
      <c r="AP90" s="75">
        <f>$C90*INDEX(Curves!$S$8:$S$68,AP$4-$B90+1)</f>
        <v/>
      </c>
      <c r="AQ90" s="75">
        <f>$C90*INDEX(Curves!$S$8:$S$68,AQ$4-$B90+1)</f>
        <v/>
      </c>
      <c r="AR90" s="75">
        <f>$C90*INDEX(Curves!$S$8:$S$68,AR$4-$B90+1)</f>
        <v/>
      </c>
      <c r="AS90" s="75">
        <f>$C90*INDEX(Curves!$S$8:$S$68,AS$4-$B90+1)</f>
        <v/>
      </c>
      <c r="AT90" s="75">
        <f>$C90*INDEX(Curves!$S$8:$S$68,AT$4-$B90+1)</f>
        <v/>
      </c>
      <c r="AU90" s="75">
        <f>$C90*INDEX(Curves!$S$8:$S$68,AU$4-$B90+1)</f>
        <v/>
      </c>
      <c r="AV90" s="75">
        <f>$C90*INDEX(Curves!$S$8:$S$68,AV$4-$B90+1)</f>
        <v/>
      </c>
      <c r="AW90" s="75">
        <f>$C90*INDEX(Curves!$S$8:$S$68,AW$4-$B90+1)</f>
        <v/>
      </c>
      <c r="AX90" s="75">
        <f>$C90*INDEX(Curves!$S$8:$S$68,AX$4-$B90+1)</f>
        <v/>
      </c>
      <c r="AY90" s="75">
        <f>$C90*INDEX(Curves!$S$8:$S$68,AY$4-$B90+1)</f>
        <v/>
      </c>
      <c r="AZ90" s="75">
        <f>$C90*INDEX(Curves!$S$8:$S$68,AZ$4-$B90+1)</f>
        <v/>
      </c>
      <c r="BA90" s="75">
        <f>$C90*INDEX(Curves!$S$8:$S$68,BA$4-$B90+1)</f>
        <v/>
      </c>
      <c r="BB90" s="75">
        <f>$C90*INDEX(Curves!$S$8:$S$68,BB$4-$B90+1)</f>
        <v/>
      </c>
      <c r="BC90" s="75">
        <f>$C90*INDEX(Curves!$S$8:$S$68,BC$4-$B90+1)</f>
        <v/>
      </c>
      <c r="BD90" s="75">
        <f>$C90*INDEX(Curves!$S$8:$S$68,BD$4-$B90+1)</f>
        <v/>
      </c>
      <c r="BE90" s="75">
        <f>$C90*INDEX(Curves!$S$8:$S$68,BE$4-$B90+1)</f>
        <v/>
      </c>
      <c r="BF90" s="75">
        <f>$C90*INDEX(Curves!$S$8:$S$68,BF$4-$B90+1)</f>
        <v/>
      </c>
      <c r="BG90" s="75">
        <f>$C90*INDEX(Curves!$S$8:$S$68,BG$4-$B90+1)</f>
        <v/>
      </c>
      <c r="BH90" s="75">
        <f>$C90*INDEX(Curves!$S$8:$S$68,BH$4-$B90+1)</f>
        <v/>
      </c>
      <c r="BI90" s="75">
        <f>$C90*INDEX(Curves!$S$8:$S$68,BI$4-$B90+1)</f>
        <v/>
      </c>
      <c r="BJ90" s="75">
        <f>$C90*INDEX(Curves!$S$8:$S$68,BJ$4-$B90+1)</f>
        <v/>
      </c>
      <c r="BK90" s="75">
        <f>$C90*INDEX(Curves!$S$8:$S$68,BK$4-$B90+1)</f>
        <v/>
      </c>
      <c r="BL90" s="75">
        <f>$C90*INDEX(Curves!$S$8:$S$68,BL$4-$B90+1)</f>
        <v/>
      </c>
    </row>
    <row r="91">
      <c r="A91" s="74" t="inlineStr">
        <is>
          <t>Cohort month 19</t>
        </is>
      </c>
      <c r="B91" s="74" t="n">
        <v>19</v>
      </c>
      <c r="C91" s="17">
        <f>INDEX(Ops!$E$34:$BL$34,1,$B91)</f>
        <v/>
      </c>
      <c r="X91" s="75">
        <f>$C91*INDEX(Curves!$S$8:$S$68,X$4-$B91+1)</f>
        <v/>
      </c>
      <c r="Y91" s="75">
        <f>$C91*INDEX(Curves!$S$8:$S$68,Y$4-$B91+1)</f>
        <v/>
      </c>
      <c r="Z91" s="75">
        <f>$C91*INDEX(Curves!$S$8:$S$68,Z$4-$B91+1)</f>
        <v/>
      </c>
      <c r="AA91" s="75">
        <f>$C91*INDEX(Curves!$S$8:$S$68,AA$4-$B91+1)</f>
        <v/>
      </c>
      <c r="AB91" s="75">
        <f>$C91*INDEX(Curves!$S$8:$S$68,AB$4-$B91+1)</f>
        <v/>
      </c>
      <c r="AC91" s="75">
        <f>$C91*INDEX(Curves!$S$8:$S$68,AC$4-$B91+1)</f>
        <v/>
      </c>
      <c r="AD91" s="75">
        <f>$C91*INDEX(Curves!$S$8:$S$68,AD$4-$B91+1)</f>
        <v/>
      </c>
      <c r="AE91" s="75">
        <f>$C91*INDEX(Curves!$S$8:$S$68,AE$4-$B91+1)</f>
        <v/>
      </c>
      <c r="AF91" s="75">
        <f>$C91*INDEX(Curves!$S$8:$S$68,AF$4-$B91+1)</f>
        <v/>
      </c>
      <c r="AG91" s="75">
        <f>$C91*INDEX(Curves!$S$8:$S$68,AG$4-$B91+1)</f>
        <v/>
      </c>
      <c r="AH91" s="75">
        <f>$C91*INDEX(Curves!$S$8:$S$68,AH$4-$B91+1)</f>
        <v/>
      </c>
      <c r="AI91" s="75">
        <f>$C91*INDEX(Curves!$S$8:$S$68,AI$4-$B91+1)</f>
        <v/>
      </c>
      <c r="AJ91" s="75">
        <f>$C91*INDEX(Curves!$S$8:$S$68,AJ$4-$B91+1)</f>
        <v/>
      </c>
      <c r="AK91" s="75">
        <f>$C91*INDEX(Curves!$S$8:$S$68,AK$4-$B91+1)</f>
        <v/>
      </c>
      <c r="AL91" s="75">
        <f>$C91*INDEX(Curves!$S$8:$S$68,AL$4-$B91+1)</f>
        <v/>
      </c>
      <c r="AM91" s="75">
        <f>$C91*INDEX(Curves!$S$8:$S$68,AM$4-$B91+1)</f>
        <v/>
      </c>
      <c r="AN91" s="75">
        <f>$C91*INDEX(Curves!$S$8:$S$68,AN$4-$B91+1)</f>
        <v/>
      </c>
      <c r="AO91" s="75">
        <f>$C91*INDEX(Curves!$S$8:$S$68,AO$4-$B91+1)</f>
        <v/>
      </c>
      <c r="AP91" s="75">
        <f>$C91*INDEX(Curves!$S$8:$S$68,AP$4-$B91+1)</f>
        <v/>
      </c>
      <c r="AQ91" s="75">
        <f>$C91*INDEX(Curves!$S$8:$S$68,AQ$4-$B91+1)</f>
        <v/>
      </c>
      <c r="AR91" s="75">
        <f>$C91*INDEX(Curves!$S$8:$S$68,AR$4-$B91+1)</f>
        <v/>
      </c>
      <c r="AS91" s="75">
        <f>$C91*INDEX(Curves!$S$8:$S$68,AS$4-$B91+1)</f>
        <v/>
      </c>
      <c r="AT91" s="75">
        <f>$C91*INDEX(Curves!$S$8:$S$68,AT$4-$B91+1)</f>
        <v/>
      </c>
      <c r="AU91" s="75">
        <f>$C91*INDEX(Curves!$S$8:$S$68,AU$4-$B91+1)</f>
        <v/>
      </c>
      <c r="AV91" s="75">
        <f>$C91*INDEX(Curves!$S$8:$S$68,AV$4-$B91+1)</f>
        <v/>
      </c>
      <c r="AW91" s="75">
        <f>$C91*INDEX(Curves!$S$8:$S$68,AW$4-$B91+1)</f>
        <v/>
      </c>
      <c r="AX91" s="75">
        <f>$C91*INDEX(Curves!$S$8:$S$68,AX$4-$B91+1)</f>
        <v/>
      </c>
      <c r="AY91" s="75">
        <f>$C91*INDEX(Curves!$S$8:$S$68,AY$4-$B91+1)</f>
        <v/>
      </c>
      <c r="AZ91" s="75">
        <f>$C91*INDEX(Curves!$S$8:$S$68,AZ$4-$B91+1)</f>
        <v/>
      </c>
      <c r="BA91" s="75">
        <f>$C91*INDEX(Curves!$S$8:$S$68,BA$4-$B91+1)</f>
        <v/>
      </c>
      <c r="BB91" s="75">
        <f>$C91*INDEX(Curves!$S$8:$S$68,BB$4-$B91+1)</f>
        <v/>
      </c>
      <c r="BC91" s="75">
        <f>$C91*INDEX(Curves!$S$8:$S$68,BC$4-$B91+1)</f>
        <v/>
      </c>
      <c r="BD91" s="75">
        <f>$C91*INDEX(Curves!$S$8:$S$68,BD$4-$B91+1)</f>
        <v/>
      </c>
      <c r="BE91" s="75">
        <f>$C91*INDEX(Curves!$S$8:$S$68,BE$4-$B91+1)</f>
        <v/>
      </c>
      <c r="BF91" s="75">
        <f>$C91*INDEX(Curves!$S$8:$S$68,BF$4-$B91+1)</f>
        <v/>
      </c>
      <c r="BG91" s="75">
        <f>$C91*INDEX(Curves!$S$8:$S$68,BG$4-$B91+1)</f>
        <v/>
      </c>
      <c r="BH91" s="75">
        <f>$C91*INDEX(Curves!$S$8:$S$68,BH$4-$B91+1)</f>
        <v/>
      </c>
      <c r="BI91" s="75">
        <f>$C91*INDEX(Curves!$S$8:$S$68,BI$4-$B91+1)</f>
        <v/>
      </c>
      <c r="BJ91" s="75">
        <f>$C91*INDEX(Curves!$S$8:$S$68,BJ$4-$B91+1)</f>
        <v/>
      </c>
      <c r="BK91" s="75">
        <f>$C91*INDEX(Curves!$S$8:$S$68,BK$4-$B91+1)</f>
        <v/>
      </c>
      <c r="BL91" s="75">
        <f>$C91*INDEX(Curves!$S$8:$S$68,BL$4-$B91+1)</f>
        <v/>
      </c>
    </row>
    <row r="92">
      <c r="A92" s="74" t="inlineStr">
        <is>
          <t>Cohort month 20</t>
        </is>
      </c>
      <c r="B92" s="74" t="n">
        <v>20</v>
      </c>
      <c r="C92" s="17">
        <f>INDEX(Ops!$E$34:$BL$34,1,$B92)</f>
        <v/>
      </c>
      <c r="Y92" s="75">
        <f>$C92*INDEX(Curves!$S$8:$S$68,Y$4-$B92+1)</f>
        <v/>
      </c>
      <c r="Z92" s="75">
        <f>$C92*INDEX(Curves!$S$8:$S$68,Z$4-$B92+1)</f>
        <v/>
      </c>
      <c r="AA92" s="75">
        <f>$C92*INDEX(Curves!$S$8:$S$68,AA$4-$B92+1)</f>
        <v/>
      </c>
      <c r="AB92" s="75">
        <f>$C92*INDEX(Curves!$S$8:$S$68,AB$4-$B92+1)</f>
        <v/>
      </c>
      <c r="AC92" s="75">
        <f>$C92*INDEX(Curves!$S$8:$S$68,AC$4-$B92+1)</f>
        <v/>
      </c>
      <c r="AD92" s="75">
        <f>$C92*INDEX(Curves!$S$8:$S$68,AD$4-$B92+1)</f>
        <v/>
      </c>
      <c r="AE92" s="75">
        <f>$C92*INDEX(Curves!$S$8:$S$68,AE$4-$B92+1)</f>
        <v/>
      </c>
      <c r="AF92" s="75">
        <f>$C92*INDEX(Curves!$S$8:$S$68,AF$4-$B92+1)</f>
        <v/>
      </c>
      <c r="AG92" s="75">
        <f>$C92*INDEX(Curves!$S$8:$S$68,AG$4-$B92+1)</f>
        <v/>
      </c>
      <c r="AH92" s="75">
        <f>$C92*INDEX(Curves!$S$8:$S$68,AH$4-$B92+1)</f>
        <v/>
      </c>
      <c r="AI92" s="75">
        <f>$C92*INDEX(Curves!$S$8:$S$68,AI$4-$B92+1)</f>
        <v/>
      </c>
      <c r="AJ92" s="75">
        <f>$C92*INDEX(Curves!$S$8:$S$68,AJ$4-$B92+1)</f>
        <v/>
      </c>
      <c r="AK92" s="75">
        <f>$C92*INDEX(Curves!$S$8:$S$68,AK$4-$B92+1)</f>
        <v/>
      </c>
      <c r="AL92" s="75">
        <f>$C92*INDEX(Curves!$S$8:$S$68,AL$4-$B92+1)</f>
        <v/>
      </c>
      <c r="AM92" s="75">
        <f>$C92*INDEX(Curves!$S$8:$S$68,AM$4-$B92+1)</f>
        <v/>
      </c>
      <c r="AN92" s="75">
        <f>$C92*INDEX(Curves!$S$8:$S$68,AN$4-$B92+1)</f>
        <v/>
      </c>
      <c r="AO92" s="75">
        <f>$C92*INDEX(Curves!$S$8:$S$68,AO$4-$B92+1)</f>
        <v/>
      </c>
      <c r="AP92" s="75">
        <f>$C92*INDEX(Curves!$S$8:$S$68,AP$4-$B92+1)</f>
        <v/>
      </c>
      <c r="AQ92" s="75">
        <f>$C92*INDEX(Curves!$S$8:$S$68,AQ$4-$B92+1)</f>
        <v/>
      </c>
      <c r="AR92" s="75">
        <f>$C92*INDEX(Curves!$S$8:$S$68,AR$4-$B92+1)</f>
        <v/>
      </c>
      <c r="AS92" s="75">
        <f>$C92*INDEX(Curves!$S$8:$S$68,AS$4-$B92+1)</f>
        <v/>
      </c>
      <c r="AT92" s="75">
        <f>$C92*INDEX(Curves!$S$8:$S$68,AT$4-$B92+1)</f>
        <v/>
      </c>
      <c r="AU92" s="75">
        <f>$C92*INDEX(Curves!$S$8:$S$68,AU$4-$B92+1)</f>
        <v/>
      </c>
      <c r="AV92" s="75">
        <f>$C92*INDEX(Curves!$S$8:$S$68,AV$4-$B92+1)</f>
        <v/>
      </c>
      <c r="AW92" s="75">
        <f>$C92*INDEX(Curves!$S$8:$S$68,AW$4-$B92+1)</f>
        <v/>
      </c>
      <c r="AX92" s="75">
        <f>$C92*INDEX(Curves!$S$8:$S$68,AX$4-$B92+1)</f>
        <v/>
      </c>
      <c r="AY92" s="75">
        <f>$C92*INDEX(Curves!$S$8:$S$68,AY$4-$B92+1)</f>
        <v/>
      </c>
      <c r="AZ92" s="75">
        <f>$C92*INDEX(Curves!$S$8:$S$68,AZ$4-$B92+1)</f>
        <v/>
      </c>
      <c r="BA92" s="75">
        <f>$C92*INDEX(Curves!$S$8:$S$68,BA$4-$B92+1)</f>
        <v/>
      </c>
      <c r="BB92" s="75">
        <f>$C92*INDEX(Curves!$S$8:$S$68,BB$4-$B92+1)</f>
        <v/>
      </c>
      <c r="BC92" s="75">
        <f>$C92*INDEX(Curves!$S$8:$S$68,BC$4-$B92+1)</f>
        <v/>
      </c>
      <c r="BD92" s="75">
        <f>$C92*INDEX(Curves!$S$8:$S$68,BD$4-$B92+1)</f>
        <v/>
      </c>
      <c r="BE92" s="75">
        <f>$C92*INDEX(Curves!$S$8:$S$68,BE$4-$B92+1)</f>
        <v/>
      </c>
      <c r="BF92" s="75">
        <f>$C92*INDEX(Curves!$S$8:$S$68,BF$4-$B92+1)</f>
        <v/>
      </c>
      <c r="BG92" s="75">
        <f>$C92*INDEX(Curves!$S$8:$S$68,BG$4-$B92+1)</f>
        <v/>
      </c>
      <c r="BH92" s="75">
        <f>$C92*INDEX(Curves!$S$8:$S$68,BH$4-$B92+1)</f>
        <v/>
      </c>
      <c r="BI92" s="75">
        <f>$C92*INDEX(Curves!$S$8:$S$68,BI$4-$B92+1)</f>
        <v/>
      </c>
      <c r="BJ92" s="75">
        <f>$C92*INDEX(Curves!$S$8:$S$68,BJ$4-$B92+1)</f>
        <v/>
      </c>
      <c r="BK92" s="75">
        <f>$C92*INDEX(Curves!$S$8:$S$68,BK$4-$B92+1)</f>
        <v/>
      </c>
      <c r="BL92" s="75">
        <f>$C92*INDEX(Curves!$S$8:$S$68,BL$4-$B92+1)</f>
        <v/>
      </c>
    </row>
    <row r="93">
      <c r="A93" s="74" t="inlineStr">
        <is>
          <t>Cohort month 21</t>
        </is>
      </c>
      <c r="B93" s="74" t="n">
        <v>21</v>
      </c>
      <c r="C93" s="17">
        <f>INDEX(Ops!$E$34:$BL$34,1,$B93)</f>
        <v/>
      </c>
      <c r="Z93" s="75">
        <f>$C93*INDEX(Curves!$S$8:$S$68,Z$4-$B93+1)</f>
        <v/>
      </c>
      <c r="AA93" s="75">
        <f>$C93*INDEX(Curves!$S$8:$S$68,AA$4-$B93+1)</f>
        <v/>
      </c>
      <c r="AB93" s="75">
        <f>$C93*INDEX(Curves!$S$8:$S$68,AB$4-$B93+1)</f>
        <v/>
      </c>
      <c r="AC93" s="75">
        <f>$C93*INDEX(Curves!$S$8:$S$68,AC$4-$B93+1)</f>
        <v/>
      </c>
      <c r="AD93" s="75">
        <f>$C93*INDEX(Curves!$S$8:$S$68,AD$4-$B93+1)</f>
        <v/>
      </c>
      <c r="AE93" s="75">
        <f>$C93*INDEX(Curves!$S$8:$S$68,AE$4-$B93+1)</f>
        <v/>
      </c>
      <c r="AF93" s="75">
        <f>$C93*INDEX(Curves!$S$8:$S$68,AF$4-$B93+1)</f>
        <v/>
      </c>
      <c r="AG93" s="75">
        <f>$C93*INDEX(Curves!$S$8:$S$68,AG$4-$B93+1)</f>
        <v/>
      </c>
      <c r="AH93" s="75">
        <f>$C93*INDEX(Curves!$S$8:$S$68,AH$4-$B93+1)</f>
        <v/>
      </c>
      <c r="AI93" s="75">
        <f>$C93*INDEX(Curves!$S$8:$S$68,AI$4-$B93+1)</f>
        <v/>
      </c>
      <c r="AJ93" s="75">
        <f>$C93*INDEX(Curves!$S$8:$S$68,AJ$4-$B93+1)</f>
        <v/>
      </c>
      <c r="AK93" s="75">
        <f>$C93*INDEX(Curves!$S$8:$S$68,AK$4-$B93+1)</f>
        <v/>
      </c>
      <c r="AL93" s="75">
        <f>$C93*INDEX(Curves!$S$8:$S$68,AL$4-$B93+1)</f>
        <v/>
      </c>
      <c r="AM93" s="75">
        <f>$C93*INDEX(Curves!$S$8:$S$68,AM$4-$B93+1)</f>
        <v/>
      </c>
      <c r="AN93" s="75">
        <f>$C93*INDEX(Curves!$S$8:$S$68,AN$4-$B93+1)</f>
        <v/>
      </c>
      <c r="AO93" s="75">
        <f>$C93*INDEX(Curves!$S$8:$S$68,AO$4-$B93+1)</f>
        <v/>
      </c>
      <c r="AP93" s="75">
        <f>$C93*INDEX(Curves!$S$8:$S$68,AP$4-$B93+1)</f>
        <v/>
      </c>
      <c r="AQ93" s="75">
        <f>$C93*INDEX(Curves!$S$8:$S$68,AQ$4-$B93+1)</f>
        <v/>
      </c>
      <c r="AR93" s="75">
        <f>$C93*INDEX(Curves!$S$8:$S$68,AR$4-$B93+1)</f>
        <v/>
      </c>
      <c r="AS93" s="75">
        <f>$C93*INDEX(Curves!$S$8:$S$68,AS$4-$B93+1)</f>
        <v/>
      </c>
      <c r="AT93" s="75">
        <f>$C93*INDEX(Curves!$S$8:$S$68,AT$4-$B93+1)</f>
        <v/>
      </c>
      <c r="AU93" s="75">
        <f>$C93*INDEX(Curves!$S$8:$S$68,AU$4-$B93+1)</f>
        <v/>
      </c>
      <c r="AV93" s="75">
        <f>$C93*INDEX(Curves!$S$8:$S$68,AV$4-$B93+1)</f>
        <v/>
      </c>
      <c r="AW93" s="75">
        <f>$C93*INDEX(Curves!$S$8:$S$68,AW$4-$B93+1)</f>
        <v/>
      </c>
      <c r="AX93" s="75">
        <f>$C93*INDEX(Curves!$S$8:$S$68,AX$4-$B93+1)</f>
        <v/>
      </c>
      <c r="AY93" s="75">
        <f>$C93*INDEX(Curves!$S$8:$S$68,AY$4-$B93+1)</f>
        <v/>
      </c>
      <c r="AZ93" s="75">
        <f>$C93*INDEX(Curves!$S$8:$S$68,AZ$4-$B93+1)</f>
        <v/>
      </c>
      <c r="BA93" s="75">
        <f>$C93*INDEX(Curves!$S$8:$S$68,BA$4-$B93+1)</f>
        <v/>
      </c>
      <c r="BB93" s="75">
        <f>$C93*INDEX(Curves!$S$8:$S$68,BB$4-$B93+1)</f>
        <v/>
      </c>
      <c r="BC93" s="75">
        <f>$C93*INDEX(Curves!$S$8:$S$68,BC$4-$B93+1)</f>
        <v/>
      </c>
      <c r="BD93" s="75">
        <f>$C93*INDEX(Curves!$S$8:$S$68,BD$4-$B93+1)</f>
        <v/>
      </c>
      <c r="BE93" s="75">
        <f>$C93*INDEX(Curves!$S$8:$S$68,BE$4-$B93+1)</f>
        <v/>
      </c>
      <c r="BF93" s="75">
        <f>$C93*INDEX(Curves!$S$8:$S$68,BF$4-$B93+1)</f>
        <v/>
      </c>
      <c r="BG93" s="75">
        <f>$C93*INDEX(Curves!$S$8:$S$68,BG$4-$B93+1)</f>
        <v/>
      </c>
      <c r="BH93" s="75">
        <f>$C93*INDEX(Curves!$S$8:$S$68,BH$4-$B93+1)</f>
        <v/>
      </c>
      <c r="BI93" s="75">
        <f>$C93*INDEX(Curves!$S$8:$S$68,BI$4-$B93+1)</f>
        <v/>
      </c>
      <c r="BJ93" s="75">
        <f>$C93*INDEX(Curves!$S$8:$S$68,BJ$4-$B93+1)</f>
        <v/>
      </c>
      <c r="BK93" s="75">
        <f>$C93*INDEX(Curves!$S$8:$S$68,BK$4-$B93+1)</f>
        <v/>
      </c>
      <c r="BL93" s="75">
        <f>$C93*INDEX(Curves!$S$8:$S$68,BL$4-$B93+1)</f>
        <v/>
      </c>
    </row>
    <row r="94">
      <c r="A94" s="74" t="inlineStr">
        <is>
          <t>Cohort month 22</t>
        </is>
      </c>
      <c r="B94" s="74" t="n">
        <v>22</v>
      </c>
      <c r="C94" s="17">
        <f>INDEX(Ops!$E$34:$BL$34,1,$B94)</f>
        <v/>
      </c>
      <c r="AA94" s="75">
        <f>$C94*INDEX(Curves!$S$8:$S$68,AA$4-$B94+1)</f>
        <v/>
      </c>
      <c r="AB94" s="75">
        <f>$C94*INDEX(Curves!$S$8:$S$68,AB$4-$B94+1)</f>
        <v/>
      </c>
      <c r="AC94" s="75">
        <f>$C94*INDEX(Curves!$S$8:$S$68,AC$4-$B94+1)</f>
        <v/>
      </c>
      <c r="AD94" s="75">
        <f>$C94*INDEX(Curves!$S$8:$S$68,AD$4-$B94+1)</f>
        <v/>
      </c>
      <c r="AE94" s="75">
        <f>$C94*INDEX(Curves!$S$8:$S$68,AE$4-$B94+1)</f>
        <v/>
      </c>
      <c r="AF94" s="75">
        <f>$C94*INDEX(Curves!$S$8:$S$68,AF$4-$B94+1)</f>
        <v/>
      </c>
      <c r="AG94" s="75">
        <f>$C94*INDEX(Curves!$S$8:$S$68,AG$4-$B94+1)</f>
        <v/>
      </c>
      <c r="AH94" s="75">
        <f>$C94*INDEX(Curves!$S$8:$S$68,AH$4-$B94+1)</f>
        <v/>
      </c>
      <c r="AI94" s="75">
        <f>$C94*INDEX(Curves!$S$8:$S$68,AI$4-$B94+1)</f>
        <v/>
      </c>
      <c r="AJ94" s="75">
        <f>$C94*INDEX(Curves!$S$8:$S$68,AJ$4-$B94+1)</f>
        <v/>
      </c>
      <c r="AK94" s="75">
        <f>$C94*INDEX(Curves!$S$8:$S$68,AK$4-$B94+1)</f>
        <v/>
      </c>
      <c r="AL94" s="75">
        <f>$C94*INDEX(Curves!$S$8:$S$68,AL$4-$B94+1)</f>
        <v/>
      </c>
      <c r="AM94" s="75">
        <f>$C94*INDEX(Curves!$S$8:$S$68,AM$4-$B94+1)</f>
        <v/>
      </c>
      <c r="AN94" s="75">
        <f>$C94*INDEX(Curves!$S$8:$S$68,AN$4-$B94+1)</f>
        <v/>
      </c>
      <c r="AO94" s="75">
        <f>$C94*INDEX(Curves!$S$8:$S$68,AO$4-$B94+1)</f>
        <v/>
      </c>
      <c r="AP94" s="75">
        <f>$C94*INDEX(Curves!$S$8:$S$68,AP$4-$B94+1)</f>
        <v/>
      </c>
      <c r="AQ94" s="75">
        <f>$C94*INDEX(Curves!$S$8:$S$68,AQ$4-$B94+1)</f>
        <v/>
      </c>
      <c r="AR94" s="75">
        <f>$C94*INDEX(Curves!$S$8:$S$68,AR$4-$B94+1)</f>
        <v/>
      </c>
      <c r="AS94" s="75">
        <f>$C94*INDEX(Curves!$S$8:$S$68,AS$4-$B94+1)</f>
        <v/>
      </c>
      <c r="AT94" s="75">
        <f>$C94*INDEX(Curves!$S$8:$S$68,AT$4-$B94+1)</f>
        <v/>
      </c>
      <c r="AU94" s="75">
        <f>$C94*INDEX(Curves!$S$8:$S$68,AU$4-$B94+1)</f>
        <v/>
      </c>
      <c r="AV94" s="75">
        <f>$C94*INDEX(Curves!$S$8:$S$68,AV$4-$B94+1)</f>
        <v/>
      </c>
      <c r="AW94" s="75">
        <f>$C94*INDEX(Curves!$S$8:$S$68,AW$4-$B94+1)</f>
        <v/>
      </c>
      <c r="AX94" s="75">
        <f>$C94*INDEX(Curves!$S$8:$S$68,AX$4-$B94+1)</f>
        <v/>
      </c>
      <c r="AY94" s="75">
        <f>$C94*INDEX(Curves!$S$8:$S$68,AY$4-$B94+1)</f>
        <v/>
      </c>
      <c r="AZ94" s="75">
        <f>$C94*INDEX(Curves!$S$8:$S$68,AZ$4-$B94+1)</f>
        <v/>
      </c>
      <c r="BA94" s="75">
        <f>$C94*INDEX(Curves!$S$8:$S$68,BA$4-$B94+1)</f>
        <v/>
      </c>
      <c r="BB94" s="75">
        <f>$C94*INDEX(Curves!$S$8:$S$68,BB$4-$B94+1)</f>
        <v/>
      </c>
      <c r="BC94" s="75">
        <f>$C94*INDEX(Curves!$S$8:$S$68,BC$4-$B94+1)</f>
        <v/>
      </c>
      <c r="BD94" s="75">
        <f>$C94*INDEX(Curves!$S$8:$S$68,BD$4-$B94+1)</f>
        <v/>
      </c>
      <c r="BE94" s="75">
        <f>$C94*INDEX(Curves!$S$8:$S$68,BE$4-$B94+1)</f>
        <v/>
      </c>
      <c r="BF94" s="75">
        <f>$C94*INDEX(Curves!$S$8:$S$68,BF$4-$B94+1)</f>
        <v/>
      </c>
      <c r="BG94" s="75">
        <f>$C94*INDEX(Curves!$S$8:$S$68,BG$4-$B94+1)</f>
        <v/>
      </c>
      <c r="BH94" s="75">
        <f>$C94*INDEX(Curves!$S$8:$S$68,BH$4-$B94+1)</f>
        <v/>
      </c>
      <c r="BI94" s="75">
        <f>$C94*INDEX(Curves!$S$8:$S$68,BI$4-$B94+1)</f>
        <v/>
      </c>
      <c r="BJ94" s="75">
        <f>$C94*INDEX(Curves!$S$8:$S$68,BJ$4-$B94+1)</f>
        <v/>
      </c>
      <c r="BK94" s="75">
        <f>$C94*INDEX(Curves!$S$8:$S$68,BK$4-$B94+1)</f>
        <v/>
      </c>
      <c r="BL94" s="75">
        <f>$C94*INDEX(Curves!$S$8:$S$68,BL$4-$B94+1)</f>
        <v/>
      </c>
    </row>
    <row r="95">
      <c r="A95" s="74" t="inlineStr">
        <is>
          <t>Cohort month 23</t>
        </is>
      </c>
      <c r="B95" s="74" t="n">
        <v>23</v>
      </c>
      <c r="C95" s="17">
        <f>INDEX(Ops!$E$34:$BL$34,1,$B95)</f>
        <v/>
      </c>
      <c r="AB95" s="75">
        <f>$C95*INDEX(Curves!$S$8:$S$68,AB$4-$B95+1)</f>
        <v/>
      </c>
      <c r="AC95" s="75">
        <f>$C95*INDEX(Curves!$S$8:$S$68,AC$4-$B95+1)</f>
        <v/>
      </c>
      <c r="AD95" s="75">
        <f>$C95*INDEX(Curves!$S$8:$S$68,AD$4-$B95+1)</f>
        <v/>
      </c>
      <c r="AE95" s="75">
        <f>$C95*INDEX(Curves!$S$8:$S$68,AE$4-$B95+1)</f>
        <v/>
      </c>
      <c r="AF95" s="75">
        <f>$C95*INDEX(Curves!$S$8:$S$68,AF$4-$B95+1)</f>
        <v/>
      </c>
      <c r="AG95" s="75">
        <f>$C95*INDEX(Curves!$S$8:$S$68,AG$4-$B95+1)</f>
        <v/>
      </c>
      <c r="AH95" s="75">
        <f>$C95*INDEX(Curves!$S$8:$S$68,AH$4-$B95+1)</f>
        <v/>
      </c>
      <c r="AI95" s="75">
        <f>$C95*INDEX(Curves!$S$8:$S$68,AI$4-$B95+1)</f>
        <v/>
      </c>
      <c r="AJ95" s="75">
        <f>$C95*INDEX(Curves!$S$8:$S$68,AJ$4-$B95+1)</f>
        <v/>
      </c>
      <c r="AK95" s="75">
        <f>$C95*INDEX(Curves!$S$8:$S$68,AK$4-$B95+1)</f>
        <v/>
      </c>
      <c r="AL95" s="75">
        <f>$C95*INDEX(Curves!$S$8:$S$68,AL$4-$B95+1)</f>
        <v/>
      </c>
      <c r="AM95" s="75">
        <f>$C95*INDEX(Curves!$S$8:$S$68,AM$4-$B95+1)</f>
        <v/>
      </c>
      <c r="AN95" s="75">
        <f>$C95*INDEX(Curves!$S$8:$S$68,AN$4-$B95+1)</f>
        <v/>
      </c>
      <c r="AO95" s="75">
        <f>$C95*INDEX(Curves!$S$8:$S$68,AO$4-$B95+1)</f>
        <v/>
      </c>
      <c r="AP95" s="75">
        <f>$C95*INDEX(Curves!$S$8:$S$68,AP$4-$B95+1)</f>
        <v/>
      </c>
      <c r="AQ95" s="75">
        <f>$C95*INDEX(Curves!$S$8:$S$68,AQ$4-$B95+1)</f>
        <v/>
      </c>
      <c r="AR95" s="75">
        <f>$C95*INDEX(Curves!$S$8:$S$68,AR$4-$B95+1)</f>
        <v/>
      </c>
      <c r="AS95" s="75">
        <f>$C95*INDEX(Curves!$S$8:$S$68,AS$4-$B95+1)</f>
        <v/>
      </c>
      <c r="AT95" s="75">
        <f>$C95*INDEX(Curves!$S$8:$S$68,AT$4-$B95+1)</f>
        <v/>
      </c>
      <c r="AU95" s="75">
        <f>$C95*INDEX(Curves!$S$8:$S$68,AU$4-$B95+1)</f>
        <v/>
      </c>
      <c r="AV95" s="75">
        <f>$C95*INDEX(Curves!$S$8:$S$68,AV$4-$B95+1)</f>
        <v/>
      </c>
      <c r="AW95" s="75">
        <f>$C95*INDEX(Curves!$S$8:$S$68,AW$4-$B95+1)</f>
        <v/>
      </c>
      <c r="AX95" s="75">
        <f>$C95*INDEX(Curves!$S$8:$S$68,AX$4-$B95+1)</f>
        <v/>
      </c>
      <c r="AY95" s="75">
        <f>$C95*INDEX(Curves!$S$8:$S$68,AY$4-$B95+1)</f>
        <v/>
      </c>
      <c r="AZ95" s="75">
        <f>$C95*INDEX(Curves!$S$8:$S$68,AZ$4-$B95+1)</f>
        <v/>
      </c>
      <c r="BA95" s="75">
        <f>$C95*INDEX(Curves!$S$8:$S$68,BA$4-$B95+1)</f>
        <v/>
      </c>
      <c r="BB95" s="75">
        <f>$C95*INDEX(Curves!$S$8:$S$68,BB$4-$B95+1)</f>
        <v/>
      </c>
      <c r="BC95" s="75">
        <f>$C95*INDEX(Curves!$S$8:$S$68,BC$4-$B95+1)</f>
        <v/>
      </c>
      <c r="BD95" s="75">
        <f>$C95*INDEX(Curves!$S$8:$S$68,BD$4-$B95+1)</f>
        <v/>
      </c>
      <c r="BE95" s="75">
        <f>$C95*INDEX(Curves!$S$8:$S$68,BE$4-$B95+1)</f>
        <v/>
      </c>
      <c r="BF95" s="75">
        <f>$C95*INDEX(Curves!$S$8:$S$68,BF$4-$B95+1)</f>
        <v/>
      </c>
      <c r="BG95" s="75">
        <f>$C95*INDEX(Curves!$S$8:$S$68,BG$4-$B95+1)</f>
        <v/>
      </c>
      <c r="BH95" s="75">
        <f>$C95*INDEX(Curves!$S$8:$S$68,BH$4-$B95+1)</f>
        <v/>
      </c>
      <c r="BI95" s="75">
        <f>$C95*INDEX(Curves!$S$8:$S$68,BI$4-$B95+1)</f>
        <v/>
      </c>
      <c r="BJ95" s="75">
        <f>$C95*INDEX(Curves!$S$8:$S$68,BJ$4-$B95+1)</f>
        <v/>
      </c>
      <c r="BK95" s="75">
        <f>$C95*INDEX(Curves!$S$8:$S$68,BK$4-$B95+1)</f>
        <v/>
      </c>
      <c r="BL95" s="75">
        <f>$C95*INDEX(Curves!$S$8:$S$68,BL$4-$B95+1)</f>
        <v/>
      </c>
    </row>
    <row r="96">
      <c r="A96" s="74" t="inlineStr">
        <is>
          <t>Cohort month 24</t>
        </is>
      </c>
      <c r="B96" s="74" t="n">
        <v>24</v>
      </c>
      <c r="C96" s="17">
        <f>INDEX(Ops!$E$34:$BL$34,1,$B96)</f>
        <v/>
      </c>
      <c r="AC96" s="75">
        <f>$C96*INDEX(Curves!$S$8:$S$68,AC$4-$B96+1)</f>
        <v/>
      </c>
      <c r="AD96" s="75">
        <f>$C96*INDEX(Curves!$S$8:$S$68,AD$4-$B96+1)</f>
        <v/>
      </c>
      <c r="AE96" s="75">
        <f>$C96*INDEX(Curves!$S$8:$S$68,AE$4-$B96+1)</f>
        <v/>
      </c>
      <c r="AF96" s="75">
        <f>$C96*INDEX(Curves!$S$8:$S$68,AF$4-$B96+1)</f>
        <v/>
      </c>
      <c r="AG96" s="75">
        <f>$C96*INDEX(Curves!$S$8:$S$68,AG$4-$B96+1)</f>
        <v/>
      </c>
      <c r="AH96" s="75">
        <f>$C96*INDEX(Curves!$S$8:$S$68,AH$4-$B96+1)</f>
        <v/>
      </c>
      <c r="AI96" s="75">
        <f>$C96*INDEX(Curves!$S$8:$S$68,AI$4-$B96+1)</f>
        <v/>
      </c>
      <c r="AJ96" s="75">
        <f>$C96*INDEX(Curves!$S$8:$S$68,AJ$4-$B96+1)</f>
        <v/>
      </c>
      <c r="AK96" s="75">
        <f>$C96*INDEX(Curves!$S$8:$S$68,AK$4-$B96+1)</f>
        <v/>
      </c>
      <c r="AL96" s="75">
        <f>$C96*INDEX(Curves!$S$8:$S$68,AL$4-$B96+1)</f>
        <v/>
      </c>
      <c r="AM96" s="75">
        <f>$C96*INDEX(Curves!$S$8:$S$68,AM$4-$B96+1)</f>
        <v/>
      </c>
      <c r="AN96" s="75">
        <f>$C96*INDEX(Curves!$S$8:$S$68,AN$4-$B96+1)</f>
        <v/>
      </c>
      <c r="AO96" s="75">
        <f>$C96*INDEX(Curves!$S$8:$S$68,AO$4-$B96+1)</f>
        <v/>
      </c>
      <c r="AP96" s="75">
        <f>$C96*INDEX(Curves!$S$8:$S$68,AP$4-$B96+1)</f>
        <v/>
      </c>
      <c r="AQ96" s="75">
        <f>$C96*INDEX(Curves!$S$8:$S$68,AQ$4-$B96+1)</f>
        <v/>
      </c>
      <c r="AR96" s="75">
        <f>$C96*INDEX(Curves!$S$8:$S$68,AR$4-$B96+1)</f>
        <v/>
      </c>
      <c r="AS96" s="75">
        <f>$C96*INDEX(Curves!$S$8:$S$68,AS$4-$B96+1)</f>
        <v/>
      </c>
      <c r="AT96" s="75">
        <f>$C96*INDEX(Curves!$S$8:$S$68,AT$4-$B96+1)</f>
        <v/>
      </c>
      <c r="AU96" s="75">
        <f>$C96*INDEX(Curves!$S$8:$S$68,AU$4-$B96+1)</f>
        <v/>
      </c>
      <c r="AV96" s="75">
        <f>$C96*INDEX(Curves!$S$8:$S$68,AV$4-$B96+1)</f>
        <v/>
      </c>
      <c r="AW96" s="75">
        <f>$C96*INDEX(Curves!$S$8:$S$68,AW$4-$B96+1)</f>
        <v/>
      </c>
      <c r="AX96" s="75">
        <f>$C96*INDEX(Curves!$S$8:$S$68,AX$4-$B96+1)</f>
        <v/>
      </c>
      <c r="AY96" s="75">
        <f>$C96*INDEX(Curves!$S$8:$S$68,AY$4-$B96+1)</f>
        <v/>
      </c>
      <c r="AZ96" s="75">
        <f>$C96*INDEX(Curves!$S$8:$S$68,AZ$4-$B96+1)</f>
        <v/>
      </c>
      <c r="BA96" s="75">
        <f>$C96*INDEX(Curves!$S$8:$S$68,BA$4-$B96+1)</f>
        <v/>
      </c>
      <c r="BB96" s="75">
        <f>$C96*INDEX(Curves!$S$8:$S$68,BB$4-$B96+1)</f>
        <v/>
      </c>
      <c r="BC96" s="75">
        <f>$C96*INDEX(Curves!$S$8:$S$68,BC$4-$B96+1)</f>
        <v/>
      </c>
      <c r="BD96" s="75">
        <f>$C96*INDEX(Curves!$S$8:$S$68,BD$4-$B96+1)</f>
        <v/>
      </c>
      <c r="BE96" s="75">
        <f>$C96*INDEX(Curves!$S$8:$S$68,BE$4-$B96+1)</f>
        <v/>
      </c>
      <c r="BF96" s="75">
        <f>$C96*INDEX(Curves!$S$8:$S$68,BF$4-$B96+1)</f>
        <v/>
      </c>
      <c r="BG96" s="75">
        <f>$C96*INDEX(Curves!$S$8:$S$68,BG$4-$B96+1)</f>
        <v/>
      </c>
      <c r="BH96" s="75">
        <f>$C96*INDEX(Curves!$S$8:$S$68,BH$4-$B96+1)</f>
        <v/>
      </c>
      <c r="BI96" s="75">
        <f>$C96*INDEX(Curves!$S$8:$S$68,BI$4-$B96+1)</f>
        <v/>
      </c>
      <c r="BJ96" s="75">
        <f>$C96*INDEX(Curves!$S$8:$S$68,BJ$4-$B96+1)</f>
        <v/>
      </c>
      <c r="BK96" s="75">
        <f>$C96*INDEX(Curves!$S$8:$S$68,BK$4-$B96+1)</f>
        <v/>
      </c>
      <c r="BL96" s="75">
        <f>$C96*INDEX(Curves!$S$8:$S$68,BL$4-$B96+1)</f>
        <v/>
      </c>
    </row>
    <row r="97">
      <c r="A97" s="74" t="inlineStr">
        <is>
          <t>Cohort month 25</t>
        </is>
      </c>
      <c r="B97" s="74" t="n">
        <v>25</v>
      </c>
      <c r="C97" s="17">
        <f>INDEX(Ops!$E$34:$BL$34,1,$B97)</f>
        <v/>
      </c>
      <c r="AD97" s="75">
        <f>$C97*INDEX(Curves!$S$8:$S$68,AD$4-$B97+1)</f>
        <v/>
      </c>
      <c r="AE97" s="75">
        <f>$C97*INDEX(Curves!$S$8:$S$68,AE$4-$B97+1)</f>
        <v/>
      </c>
      <c r="AF97" s="75">
        <f>$C97*INDEX(Curves!$S$8:$S$68,AF$4-$B97+1)</f>
        <v/>
      </c>
      <c r="AG97" s="75">
        <f>$C97*INDEX(Curves!$S$8:$S$68,AG$4-$B97+1)</f>
        <v/>
      </c>
      <c r="AH97" s="75">
        <f>$C97*INDEX(Curves!$S$8:$S$68,AH$4-$B97+1)</f>
        <v/>
      </c>
      <c r="AI97" s="75">
        <f>$C97*INDEX(Curves!$S$8:$S$68,AI$4-$B97+1)</f>
        <v/>
      </c>
      <c r="AJ97" s="75">
        <f>$C97*INDEX(Curves!$S$8:$S$68,AJ$4-$B97+1)</f>
        <v/>
      </c>
      <c r="AK97" s="75">
        <f>$C97*INDEX(Curves!$S$8:$S$68,AK$4-$B97+1)</f>
        <v/>
      </c>
      <c r="AL97" s="75">
        <f>$C97*INDEX(Curves!$S$8:$S$68,AL$4-$B97+1)</f>
        <v/>
      </c>
      <c r="AM97" s="75">
        <f>$C97*INDEX(Curves!$S$8:$S$68,AM$4-$B97+1)</f>
        <v/>
      </c>
      <c r="AN97" s="75">
        <f>$C97*INDEX(Curves!$S$8:$S$68,AN$4-$B97+1)</f>
        <v/>
      </c>
      <c r="AO97" s="75">
        <f>$C97*INDEX(Curves!$S$8:$S$68,AO$4-$B97+1)</f>
        <v/>
      </c>
      <c r="AP97" s="75">
        <f>$C97*INDEX(Curves!$S$8:$S$68,AP$4-$B97+1)</f>
        <v/>
      </c>
      <c r="AQ97" s="75">
        <f>$C97*INDEX(Curves!$S$8:$S$68,AQ$4-$B97+1)</f>
        <v/>
      </c>
      <c r="AR97" s="75">
        <f>$C97*INDEX(Curves!$S$8:$S$68,AR$4-$B97+1)</f>
        <v/>
      </c>
      <c r="AS97" s="75">
        <f>$C97*INDEX(Curves!$S$8:$S$68,AS$4-$B97+1)</f>
        <v/>
      </c>
      <c r="AT97" s="75">
        <f>$C97*INDEX(Curves!$S$8:$S$68,AT$4-$B97+1)</f>
        <v/>
      </c>
      <c r="AU97" s="75">
        <f>$C97*INDEX(Curves!$S$8:$S$68,AU$4-$B97+1)</f>
        <v/>
      </c>
      <c r="AV97" s="75">
        <f>$C97*INDEX(Curves!$S$8:$S$68,AV$4-$B97+1)</f>
        <v/>
      </c>
      <c r="AW97" s="75">
        <f>$C97*INDEX(Curves!$S$8:$S$68,AW$4-$B97+1)</f>
        <v/>
      </c>
      <c r="AX97" s="75">
        <f>$C97*INDEX(Curves!$S$8:$S$68,AX$4-$B97+1)</f>
        <v/>
      </c>
      <c r="AY97" s="75">
        <f>$C97*INDEX(Curves!$S$8:$S$68,AY$4-$B97+1)</f>
        <v/>
      </c>
      <c r="AZ97" s="75">
        <f>$C97*INDEX(Curves!$S$8:$S$68,AZ$4-$B97+1)</f>
        <v/>
      </c>
      <c r="BA97" s="75">
        <f>$C97*INDEX(Curves!$S$8:$S$68,BA$4-$B97+1)</f>
        <v/>
      </c>
      <c r="BB97" s="75">
        <f>$C97*INDEX(Curves!$S$8:$S$68,BB$4-$B97+1)</f>
        <v/>
      </c>
      <c r="BC97" s="75">
        <f>$C97*INDEX(Curves!$S$8:$S$68,BC$4-$B97+1)</f>
        <v/>
      </c>
      <c r="BD97" s="75">
        <f>$C97*INDEX(Curves!$S$8:$S$68,BD$4-$B97+1)</f>
        <v/>
      </c>
      <c r="BE97" s="75">
        <f>$C97*INDEX(Curves!$S$8:$S$68,BE$4-$B97+1)</f>
        <v/>
      </c>
      <c r="BF97" s="75">
        <f>$C97*INDEX(Curves!$S$8:$S$68,BF$4-$B97+1)</f>
        <v/>
      </c>
      <c r="BG97" s="75">
        <f>$C97*INDEX(Curves!$S$8:$S$68,BG$4-$B97+1)</f>
        <v/>
      </c>
      <c r="BH97" s="75">
        <f>$C97*INDEX(Curves!$S$8:$S$68,BH$4-$B97+1)</f>
        <v/>
      </c>
      <c r="BI97" s="75">
        <f>$C97*INDEX(Curves!$S$8:$S$68,BI$4-$B97+1)</f>
        <v/>
      </c>
      <c r="BJ97" s="75">
        <f>$C97*INDEX(Curves!$S$8:$S$68,BJ$4-$B97+1)</f>
        <v/>
      </c>
      <c r="BK97" s="75">
        <f>$C97*INDEX(Curves!$S$8:$S$68,BK$4-$B97+1)</f>
        <v/>
      </c>
      <c r="BL97" s="75">
        <f>$C97*INDEX(Curves!$S$8:$S$68,BL$4-$B97+1)</f>
        <v/>
      </c>
    </row>
    <row r="98">
      <c r="A98" s="74" t="inlineStr">
        <is>
          <t>Cohort month 26</t>
        </is>
      </c>
      <c r="B98" s="74" t="n">
        <v>26</v>
      </c>
      <c r="C98" s="17">
        <f>INDEX(Ops!$E$34:$BL$34,1,$B98)</f>
        <v/>
      </c>
      <c r="AE98" s="75">
        <f>$C98*INDEX(Curves!$S$8:$S$68,AE$4-$B98+1)</f>
        <v/>
      </c>
      <c r="AF98" s="75">
        <f>$C98*INDEX(Curves!$S$8:$S$68,AF$4-$B98+1)</f>
        <v/>
      </c>
      <c r="AG98" s="75">
        <f>$C98*INDEX(Curves!$S$8:$S$68,AG$4-$B98+1)</f>
        <v/>
      </c>
      <c r="AH98" s="75">
        <f>$C98*INDEX(Curves!$S$8:$S$68,AH$4-$B98+1)</f>
        <v/>
      </c>
      <c r="AI98" s="75">
        <f>$C98*INDEX(Curves!$S$8:$S$68,AI$4-$B98+1)</f>
        <v/>
      </c>
      <c r="AJ98" s="75">
        <f>$C98*INDEX(Curves!$S$8:$S$68,AJ$4-$B98+1)</f>
        <v/>
      </c>
      <c r="AK98" s="75">
        <f>$C98*INDEX(Curves!$S$8:$S$68,AK$4-$B98+1)</f>
        <v/>
      </c>
      <c r="AL98" s="75">
        <f>$C98*INDEX(Curves!$S$8:$S$68,AL$4-$B98+1)</f>
        <v/>
      </c>
      <c r="AM98" s="75">
        <f>$C98*INDEX(Curves!$S$8:$S$68,AM$4-$B98+1)</f>
        <v/>
      </c>
      <c r="AN98" s="75">
        <f>$C98*INDEX(Curves!$S$8:$S$68,AN$4-$B98+1)</f>
        <v/>
      </c>
      <c r="AO98" s="75">
        <f>$C98*INDEX(Curves!$S$8:$S$68,AO$4-$B98+1)</f>
        <v/>
      </c>
      <c r="AP98" s="75">
        <f>$C98*INDEX(Curves!$S$8:$S$68,AP$4-$B98+1)</f>
        <v/>
      </c>
      <c r="AQ98" s="75">
        <f>$C98*INDEX(Curves!$S$8:$S$68,AQ$4-$B98+1)</f>
        <v/>
      </c>
      <c r="AR98" s="75">
        <f>$C98*INDEX(Curves!$S$8:$S$68,AR$4-$B98+1)</f>
        <v/>
      </c>
      <c r="AS98" s="75">
        <f>$C98*INDEX(Curves!$S$8:$S$68,AS$4-$B98+1)</f>
        <v/>
      </c>
      <c r="AT98" s="75">
        <f>$C98*INDEX(Curves!$S$8:$S$68,AT$4-$B98+1)</f>
        <v/>
      </c>
      <c r="AU98" s="75">
        <f>$C98*INDEX(Curves!$S$8:$S$68,AU$4-$B98+1)</f>
        <v/>
      </c>
      <c r="AV98" s="75">
        <f>$C98*INDEX(Curves!$S$8:$S$68,AV$4-$B98+1)</f>
        <v/>
      </c>
      <c r="AW98" s="75">
        <f>$C98*INDEX(Curves!$S$8:$S$68,AW$4-$B98+1)</f>
        <v/>
      </c>
      <c r="AX98" s="75">
        <f>$C98*INDEX(Curves!$S$8:$S$68,AX$4-$B98+1)</f>
        <v/>
      </c>
      <c r="AY98" s="75">
        <f>$C98*INDEX(Curves!$S$8:$S$68,AY$4-$B98+1)</f>
        <v/>
      </c>
      <c r="AZ98" s="75">
        <f>$C98*INDEX(Curves!$S$8:$S$68,AZ$4-$B98+1)</f>
        <v/>
      </c>
      <c r="BA98" s="75">
        <f>$C98*INDEX(Curves!$S$8:$S$68,BA$4-$B98+1)</f>
        <v/>
      </c>
      <c r="BB98" s="75">
        <f>$C98*INDEX(Curves!$S$8:$S$68,BB$4-$B98+1)</f>
        <v/>
      </c>
      <c r="BC98" s="75">
        <f>$C98*INDEX(Curves!$S$8:$S$68,BC$4-$B98+1)</f>
        <v/>
      </c>
      <c r="BD98" s="75">
        <f>$C98*INDEX(Curves!$S$8:$S$68,BD$4-$B98+1)</f>
        <v/>
      </c>
      <c r="BE98" s="75">
        <f>$C98*INDEX(Curves!$S$8:$S$68,BE$4-$B98+1)</f>
        <v/>
      </c>
      <c r="BF98" s="75">
        <f>$C98*INDEX(Curves!$S$8:$S$68,BF$4-$B98+1)</f>
        <v/>
      </c>
      <c r="BG98" s="75">
        <f>$C98*INDEX(Curves!$S$8:$S$68,BG$4-$B98+1)</f>
        <v/>
      </c>
      <c r="BH98" s="75">
        <f>$C98*INDEX(Curves!$S$8:$S$68,BH$4-$B98+1)</f>
        <v/>
      </c>
      <c r="BI98" s="75">
        <f>$C98*INDEX(Curves!$S$8:$S$68,BI$4-$B98+1)</f>
        <v/>
      </c>
      <c r="BJ98" s="75">
        <f>$C98*INDEX(Curves!$S$8:$S$68,BJ$4-$B98+1)</f>
        <v/>
      </c>
      <c r="BK98" s="75">
        <f>$C98*INDEX(Curves!$S$8:$S$68,BK$4-$B98+1)</f>
        <v/>
      </c>
      <c r="BL98" s="75">
        <f>$C98*INDEX(Curves!$S$8:$S$68,BL$4-$B98+1)</f>
        <v/>
      </c>
    </row>
    <row r="99">
      <c r="A99" s="74" t="inlineStr">
        <is>
          <t>Cohort month 27</t>
        </is>
      </c>
      <c r="B99" s="74" t="n">
        <v>27</v>
      </c>
      <c r="C99" s="17">
        <f>INDEX(Ops!$E$34:$BL$34,1,$B99)</f>
        <v/>
      </c>
      <c r="AF99" s="75">
        <f>$C99*INDEX(Curves!$S$8:$S$68,AF$4-$B99+1)</f>
        <v/>
      </c>
      <c r="AG99" s="75">
        <f>$C99*INDEX(Curves!$S$8:$S$68,AG$4-$B99+1)</f>
        <v/>
      </c>
      <c r="AH99" s="75">
        <f>$C99*INDEX(Curves!$S$8:$S$68,AH$4-$B99+1)</f>
        <v/>
      </c>
      <c r="AI99" s="75">
        <f>$C99*INDEX(Curves!$S$8:$S$68,AI$4-$B99+1)</f>
        <v/>
      </c>
      <c r="AJ99" s="75">
        <f>$C99*INDEX(Curves!$S$8:$S$68,AJ$4-$B99+1)</f>
        <v/>
      </c>
      <c r="AK99" s="75">
        <f>$C99*INDEX(Curves!$S$8:$S$68,AK$4-$B99+1)</f>
        <v/>
      </c>
      <c r="AL99" s="75">
        <f>$C99*INDEX(Curves!$S$8:$S$68,AL$4-$B99+1)</f>
        <v/>
      </c>
      <c r="AM99" s="75">
        <f>$C99*INDEX(Curves!$S$8:$S$68,AM$4-$B99+1)</f>
        <v/>
      </c>
      <c r="AN99" s="75">
        <f>$C99*INDEX(Curves!$S$8:$S$68,AN$4-$B99+1)</f>
        <v/>
      </c>
      <c r="AO99" s="75">
        <f>$C99*INDEX(Curves!$S$8:$S$68,AO$4-$B99+1)</f>
        <v/>
      </c>
      <c r="AP99" s="75">
        <f>$C99*INDEX(Curves!$S$8:$S$68,AP$4-$B99+1)</f>
        <v/>
      </c>
      <c r="AQ99" s="75">
        <f>$C99*INDEX(Curves!$S$8:$S$68,AQ$4-$B99+1)</f>
        <v/>
      </c>
      <c r="AR99" s="75">
        <f>$C99*INDEX(Curves!$S$8:$S$68,AR$4-$B99+1)</f>
        <v/>
      </c>
      <c r="AS99" s="75">
        <f>$C99*INDEX(Curves!$S$8:$S$68,AS$4-$B99+1)</f>
        <v/>
      </c>
      <c r="AT99" s="75">
        <f>$C99*INDEX(Curves!$S$8:$S$68,AT$4-$B99+1)</f>
        <v/>
      </c>
      <c r="AU99" s="75">
        <f>$C99*INDEX(Curves!$S$8:$S$68,AU$4-$B99+1)</f>
        <v/>
      </c>
      <c r="AV99" s="75">
        <f>$C99*INDEX(Curves!$S$8:$S$68,AV$4-$B99+1)</f>
        <v/>
      </c>
      <c r="AW99" s="75">
        <f>$C99*INDEX(Curves!$S$8:$S$68,AW$4-$B99+1)</f>
        <v/>
      </c>
      <c r="AX99" s="75">
        <f>$C99*INDEX(Curves!$S$8:$S$68,AX$4-$B99+1)</f>
        <v/>
      </c>
      <c r="AY99" s="75">
        <f>$C99*INDEX(Curves!$S$8:$S$68,AY$4-$B99+1)</f>
        <v/>
      </c>
      <c r="AZ99" s="75">
        <f>$C99*INDEX(Curves!$S$8:$S$68,AZ$4-$B99+1)</f>
        <v/>
      </c>
      <c r="BA99" s="75">
        <f>$C99*INDEX(Curves!$S$8:$S$68,BA$4-$B99+1)</f>
        <v/>
      </c>
      <c r="BB99" s="75">
        <f>$C99*INDEX(Curves!$S$8:$S$68,BB$4-$B99+1)</f>
        <v/>
      </c>
      <c r="BC99" s="75">
        <f>$C99*INDEX(Curves!$S$8:$S$68,BC$4-$B99+1)</f>
        <v/>
      </c>
      <c r="BD99" s="75">
        <f>$C99*INDEX(Curves!$S$8:$S$68,BD$4-$B99+1)</f>
        <v/>
      </c>
      <c r="BE99" s="75">
        <f>$C99*INDEX(Curves!$S$8:$S$68,BE$4-$B99+1)</f>
        <v/>
      </c>
      <c r="BF99" s="75">
        <f>$C99*INDEX(Curves!$S$8:$S$68,BF$4-$B99+1)</f>
        <v/>
      </c>
      <c r="BG99" s="75">
        <f>$C99*INDEX(Curves!$S$8:$S$68,BG$4-$B99+1)</f>
        <v/>
      </c>
      <c r="BH99" s="75">
        <f>$C99*INDEX(Curves!$S$8:$S$68,BH$4-$B99+1)</f>
        <v/>
      </c>
      <c r="BI99" s="75">
        <f>$C99*INDEX(Curves!$S$8:$S$68,BI$4-$B99+1)</f>
        <v/>
      </c>
      <c r="BJ99" s="75">
        <f>$C99*INDEX(Curves!$S$8:$S$68,BJ$4-$B99+1)</f>
        <v/>
      </c>
      <c r="BK99" s="75">
        <f>$C99*INDEX(Curves!$S$8:$S$68,BK$4-$B99+1)</f>
        <v/>
      </c>
      <c r="BL99" s="75">
        <f>$C99*INDEX(Curves!$S$8:$S$68,BL$4-$B99+1)</f>
        <v/>
      </c>
    </row>
    <row r="100">
      <c r="A100" s="74" t="inlineStr">
        <is>
          <t>Cohort month 28</t>
        </is>
      </c>
      <c r="B100" s="74" t="n">
        <v>28</v>
      </c>
      <c r="C100" s="17">
        <f>INDEX(Ops!$E$34:$BL$34,1,$B100)</f>
        <v/>
      </c>
      <c r="AG100" s="75">
        <f>$C100*INDEX(Curves!$S$8:$S$68,AG$4-$B100+1)</f>
        <v/>
      </c>
      <c r="AH100" s="75">
        <f>$C100*INDEX(Curves!$S$8:$S$68,AH$4-$B100+1)</f>
        <v/>
      </c>
      <c r="AI100" s="75">
        <f>$C100*INDEX(Curves!$S$8:$S$68,AI$4-$B100+1)</f>
        <v/>
      </c>
      <c r="AJ100" s="75">
        <f>$C100*INDEX(Curves!$S$8:$S$68,AJ$4-$B100+1)</f>
        <v/>
      </c>
      <c r="AK100" s="75">
        <f>$C100*INDEX(Curves!$S$8:$S$68,AK$4-$B100+1)</f>
        <v/>
      </c>
      <c r="AL100" s="75">
        <f>$C100*INDEX(Curves!$S$8:$S$68,AL$4-$B100+1)</f>
        <v/>
      </c>
      <c r="AM100" s="75">
        <f>$C100*INDEX(Curves!$S$8:$S$68,AM$4-$B100+1)</f>
        <v/>
      </c>
      <c r="AN100" s="75">
        <f>$C100*INDEX(Curves!$S$8:$S$68,AN$4-$B100+1)</f>
        <v/>
      </c>
      <c r="AO100" s="75">
        <f>$C100*INDEX(Curves!$S$8:$S$68,AO$4-$B100+1)</f>
        <v/>
      </c>
      <c r="AP100" s="75">
        <f>$C100*INDEX(Curves!$S$8:$S$68,AP$4-$B100+1)</f>
        <v/>
      </c>
      <c r="AQ100" s="75">
        <f>$C100*INDEX(Curves!$S$8:$S$68,AQ$4-$B100+1)</f>
        <v/>
      </c>
      <c r="AR100" s="75">
        <f>$C100*INDEX(Curves!$S$8:$S$68,AR$4-$B100+1)</f>
        <v/>
      </c>
      <c r="AS100" s="75">
        <f>$C100*INDEX(Curves!$S$8:$S$68,AS$4-$B100+1)</f>
        <v/>
      </c>
      <c r="AT100" s="75">
        <f>$C100*INDEX(Curves!$S$8:$S$68,AT$4-$B100+1)</f>
        <v/>
      </c>
      <c r="AU100" s="75">
        <f>$C100*INDEX(Curves!$S$8:$S$68,AU$4-$B100+1)</f>
        <v/>
      </c>
      <c r="AV100" s="75">
        <f>$C100*INDEX(Curves!$S$8:$S$68,AV$4-$B100+1)</f>
        <v/>
      </c>
      <c r="AW100" s="75">
        <f>$C100*INDEX(Curves!$S$8:$S$68,AW$4-$B100+1)</f>
        <v/>
      </c>
      <c r="AX100" s="75">
        <f>$C100*INDEX(Curves!$S$8:$S$68,AX$4-$B100+1)</f>
        <v/>
      </c>
      <c r="AY100" s="75">
        <f>$C100*INDEX(Curves!$S$8:$S$68,AY$4-$B100+1)</f>
        <v/>
      </c>
      <c r="AZ100" s="75">
        <f>$C100*INDEX(Curves!$S$8:$S$68,AZ$4-$B100+1)</f>
        <v/>
      </c>
      <c r="BA100" s="75">
        <f>$C100*INDEX(Curves!$S$8:$S$68,BA$4-$B100+1)</f>
        <v/>
      </c>
      <c r="BB100" s="75">
        <f>$C100*INDEX(Curves!$S$8:$S$68,BB$4-$B100+1)</f>
        <v/>
      </c>
      <c r="BC100" s="75">
        <f>$C100*INDEX(Curves!$S$8:$S$68,BC$4-$B100+1)</f>
        <v/>
      </c>
      <c r="BD100" s="75">
        <f>$C100*INDEX(Curves!$S$8:$S$68,BD$4-$B100+1)</f>
        <v/>
      </c>
      <c r="BE100" s="75">
        <f>$C100*INDEX(Curves!$S$8:$S$68,BE$4-$B100+1)</f>
        <v/>
      </c>
      <c r="BF100" s="75">
        <f>$C100*INDEX(Curves!$S$8:$S$68,BF$4-$B100+1)</f>
        <v/>
      </c>
      <c r="BG100" s="75">
        <f>$C100*INDEX(Curves!$S$8:$S$68,BG$4-$B100+1)</f>
        <v/>
      </c>
      <c r="BH100" s="75">
        <f>$C100*INDEX(Curves!$S$8:$S$68,BH$4-$B100+1)</f>
        <v/>
      </c>
      <c r="BI100" s="75">
        <f>$C100*INDEX(Curves!$S$8:$S$68,BI$4-$B100+1)</f>
        <v/>
      </c>
      <c r="BJ100" s="75">
        <f>$C100*INDEX(Curves!$S$8:$S$68,BJ$4-$B100+1)</f>
        <v/>
      </c>
      <c r="BK100" s="75">
        <f>$C100*INDEX(Curves!$S$8:$S$68,BK$4-$B100+1)</f>
        <v/>
      </c>
      <c r="BL100" s="75">
        <f>$C100*INDEX(Curves!$S$8:$S$68,BL$4-$B100+1)</f>
        <v/>
      </c>
    </row>
    <row r="101">
      <c r="A101" s="74" t="inlineStr">
        <is>
          <t>Cohort month 29</t>
        </is>
      </c>
      <c r="B101" s="74" t="n">
        <v>29</v>
      </c>
      <c r="C101" s="17">
        <f>INDEX(Ops!$E$34:$BL$34,1,$B101)</f>
        <v/>
      </c>
      <c r="AH101" s="75">
        <f>$C101*INDEX(Curves!$S$8:$S$68,AH$4-$B101+1)</f>
        <v/>
      </c>
      <c r="AI101" s="75">
        <f>$C101*INDEX(Curves!$S$8:$S$68,AI$4-$B101+1)</f>
        <v/>
      </c>
      <c r="AJ101" s="75">
        <f>$C101*INDEX(Curves!$S$8:$S$68,AJ$4-$B101+1)</f>
        <v/>
      </c>
      <c r="AK101" s="75">
        <f>$C101*INDEX(Curves!$S$8:$S$68,AK$4-$B101+1)</f>
        <v/>
      </c>
      <c r="AL101" s="75">
        <f>$C101*INDEX(Curves!$S$8:$S$68,AL$4-$B101+1)</f>
        <v/>
      </c>
      <c r="AM101" s="75">
        <f>$C101*INDEX(Curves!$S$8:$S$68,AM$4-$B101+1)</f>
        <v/>
      </c>
      <c r="AN101" s="75">
        <f>$C101*INDEX(Curves!$S$8:$S$68,AN$4-$B101+1)</f>
        <v/>
      </c>
      <c r="AO101" s="75">
        <f>$C101*INDEX(Curves!$S$8:$S$68,AO$4-$B101+1)</f>
        <v/>
      </c>
      <c r="AP101" s="75">
        <f>$C101*INDEX(Curves!$S$8:$S$68,AP$4-$B101+1)</f>
        <v/>
      </c>
      <c r="AQ101" s="75">
        <f>$C101*INDEX(Curves!$S$8:$S$68,AQ$4-$B101+1)</f>
        <v/>
      </c>
      <c r="AR101" s="75">
        <f>$C101*INDEX(Curves!$S$8:$S$68,AR$4-$B101+1)</f>
        <v/>
      </c>
      <c r="AS101" s="75">
        <f>$C101*INDEX(Curves!$S$8:$S$68,AS$4-$B101+1)</f>
        <v/>
      </c>
      <c r="AT101" s="75">
        <f>$C101*INDEX(Curves!$S$8:$S$68,AT$4-$B101+1)</f>
        <v/>
      </c>
      <c r="AU101" s="75">
        <f>$C101*INDEX(Curves!$S$8:$S$68,AU$4-$B101+1)</f>
        <v/>
      </c>
      <c r="AV101" s="75">
        <f>$C101*INDEX(Curves!$S$8:$S$68,AV$4-$B101+1)</f>
        <v/>
      </c>
      <c r="AW101" s="75">
        <f>$C101*INDEX(Curves!$S$8:$S$68,AW$4-$B101+1)</f>
        <v/>
      </c>
      <c r="AX101" s="75">
        <f>$C101*INDEX(Curves!$S$8:$S$68,AX$4-$B101+1)</f>
        <v/>
      </c>
      <c r="AY101" s="75">
        <f>$C101*INDEX(Curves!$S$8:$S$68,AY$4-$B101+1)</f>
        <v/>
      </c>
      <c r="AZ101" s="75">
        <f>$C101*INDEX(Curves!$S$8:$S$68,AZ$4-$B101+1)</f>
        <v/>
      </c>
      <c r="BA101" s="75">
        <f>$C101*INDEX(Curves!$S$8:$S$68,BA$4-$B101+1)</f>
        <v/>
      </c>
      <c r="BB101" s="75">
        <f>$C101*INDEX(Curves!$S$8:$S$68,BB$4-$B101+1)</f>
        <v/>
      </c>
      <c r="BC101" s="75">
        <f>$C101*INDEX(Curves!$S$8:$S$68,BC$4-$B101+1)</f>
        <v/>
      </c>
      <c r="BD101" s="75">
        <f>$C101*INDEX(Curves!$S$8:$S$68,BD$4-$B101+1)</f>
        <v/>
      </c>
      <c r="BE101" s="75">
        <f>$C101*INDEX(Curves!$S$8:$S$68,BE$4-$B101+1)</f>
        <v/>
      </c>
      <c r="BF101" s="75">
        <f>$C101*INDEX(Curves!$S$8:$S$68,BF$4-$B101+1)</f>
        <v/>
      </c>
      <c r="BG101" s="75">
        <f>$C101*INDEX(Curves!$S$8:$S$68,BG$4-$B101+1)</f>
        <v/>
      </c>
      <c r="BH101" s="75">
        <f>$C101*INDEX(Curves!$S$8:$S$68,BH$4-$B101+1)</f>
        <v/>
      </c>
      <c r="BI101" s="75">
        <f>$C101*INDEX(Curves!$S$8:$S$68,BI$4-$B101+1)</f>
        <v/>
      </c>
      <c r="BJ101" s="75">
        <f>$C101*INDEX(Curves!$S$8:$S$68,BJ$4-$B101+1)</f>
        <v/>
      </c>
      <c r="BK101" s="75">
        <f>$C101*INDEX(Curves!$S$8:$S$68,BK$4-$B101+1)</f>
        <v/>
      </c>
      <c r="BL101" s="75">
        <f>$C101*INDEX(Curves!$S$8:$S$68,BL$4-$B101+1)</f>
        <v/>
      </c>
    </row>
    <row r="102">
      <c r="A102" s="74" t="inlineStr">
        <is>
          <t>Cohort month 30</t>
        </is>
      </c>
      <c r="B102" s="74" t="n">
        <v>30</v>
      </c>
      <c r="C102" s="17">
        <f>INDEX(Ops!$E$34:$BL$34,1,$B102)</f>
        <v/>
      </c>
      <c r="AI102" s="75">
        <f>$C102*INDEX(Curves!$S$8:$S$68,AI$4-$B102+1)</f>
        <v/>
      </c>
      <c r="AJ102" s="75">
        <f>$C102*INDEX(Curves!$S$8:$S$68,AJ$4-$B102+1)</f>
        <v/>
      </c>
      <c r="AK102" s="75">
        <f>$C102*INDEX(Curves!$S$8:$S$68,AK$4-$B102+1)</f>
        <v/>
      </c>
      <c r="AL102" s="75">
        <f>$C102*INDEX(Curves!$S$8:$S$68,AL$4-$B102+1)</f>
        <v/>
      </c>
      <c r="AM102" s="75">
        <f>$C102*INDEX(Curves!$S$8:$S$68,AM$4-$B102+1)</f>
        <v/>
      </c>
      <c r="AN102" s="75">
        <f>$C102*INDEX(Curves!$S$8:$S$68,AN$4-$B102+1)</f>
        <v/>
      </c>
      <c r="AO102" s="75">
        <f>$C102*INDEX(Curves!$S$8:$S$68,AO$4-$B102+1)</f>
        <v/>
      </c>
      <c r="AP102" s="75">
        <f>$C102*INDEX(Curves!$S$8:$S$68,AP$4-$B102+1)</f>
        <v/>
      </c>
      <c r="AQ102" s="75">
        <f>$C102*INDEX(Curves!$S$8:$S$68,AQ$4-$B102+1)</f>
        <v/>
      </c>
      <c r="AR102" s="75">
        <f>$C102*INDEX(Curves!$S$8:$S$68,AR$4-$B102+1)</f>
        <v/>
      </c>
      <c r="AS102" s="75">
        <f>$C102*INDEX(Curves!$S$8:$S$68,AS$4-$B102+1)</f>
        <v/>
      </c>
      <c r="AT102" s="75">
        <f>$C102*INDEX(Curves!$S$8:$S$68,AT$4-$B102+1)</f>
        <v/>
      </c>
      <c r="AU102" s="75">
        <f>$C102*INDEX(Curves!$S$8:$S$68,AU$4-$B102+1)</f>
        <v/>
      </c>
      <c r="AV102" s="75">
        <f>$C102*INDEX(Curves!$S$8:$S$68,AV$4-$B102+1)</f>
        <v/>
      </c>
      <c r="AW102" s="75">
        <f>$C102*INDEX(Curves!$S$8:$S$68,AW$4-$B102+1)</f>
        <v/>
      </c>
      <c r="AX102" s="75">
        <f>$C102*INDEX(Curves!$S$8:$S$68,AX$4-$B102+1)</f>
        <v/>
      </c>
      <c r="AY102" s="75">
        <f>$C102*INDEX(Curves!$S$8:$S$68,AY$4-$B102+1)</f>
        <v/>
      </c>
      <c r="AZ102" s="75">
        <f>$C102*INDEX(Curves!$S$8:$S$68,AZ$4-$B102+1)</f>
        <v/>
      </c>
      <c r="BA102" s="75">
        <f>$C102*INDEX(Curves!$S$8:$S$68,BA$4-$B102+1)</f>
        <v/>
      </c>
      <c r="BB102" s="75">
        <f>$C102*INDEX(Curves!$S$8:$S$68,BB$4-$B102+1)</f>
        <v/>
      </c>
      <c r="BC102" s="75">
        <f>$C102*INDEX(Curves!$S$8:$S$68,BC$4-$B102+1)</f>
        <v/>
      </c>
      <c r="BD102" s="75">
        <f>$C102*INDEX(Curves!$S$8:$S$68,BD$4-$B102+1)</f>
        <v/>
      </c>
      <c r="BE102" s="75">
        <f>$C102*INDEX(Curves!$S$8:$S$68,BE$4-$B102+1)</f>
        <v/>
      </c>
      <c r="BF102" s="75">
        <f>$C102*INDEX(Curves!$S$8:$S$68,BF$4-$B102+1)</f>
        <v/>
      </c>
      <c r="BG102" s="75">
        <f>$C102*INDEX(Curves!$S$8:$S$68,BG$4-$B102+1)</f>
        <v/>
      </c>
      <c r="BH102" s="75">
        <f>$C102*INDEX(Curves!$S$8:$S$68,BH$4-$B102+1)</f>
        <v/>
      </c>
      <c r="BI102" s="75">
        <f>$C102*INDEX(Curves!$S$8:$S$68,BI$4-$B102+1)</f>
        <v/>
      </c>
      <c r="BJ102" s="75">
        <f>$C102*INDEX(Curves!$S$8:$S$68,BJ$4-$B102+1)</f>
        <v/>
      </c>
      <c r="BK102" s="75">
        <f>$C102*INDEX(Curves!$S$8:$S$68,BK$4-$B102+1)</f>
        <v/>
      </c>
      <c r="BL102" s="75">
        <f>$C102*INDEX(Curves!$S$8:$S$68,BL$4-$B102+1)</f>
        <v/>
      </c>
    </row>
    <row r="103">
      <c r="A103" s="74" t="inlineStr">
        <is>
          <t>Cohort month 31</t>
        </is>
      </c>
      <c r="B103" s="74" t="n">
        <v>31</v>
      </c>
      <c r="C103" s="17">
        <f>INDEX(Ops!$E$34:$BL$34,1,$B103)</f>
        <v/>
      </c>
      <c r="AJ103" s="75">
        <f>$C103*INDEX(Curves!$S$8:$S$68,AJ$4-$B103+1)</f>
        <v/>
      </c>
      <c r="AK103" s="75">
        <f>$C103*INDEX(Curves!$S$8:$S$68,AK$4-$B103+1)</f>
        <v/>
      </c>
      <c r="AL103" s="75">
        <f>$C103*INDEX(Curves!$S$8:$S$68,AL$4-$B103+1)</f>
        <v/>
      </c>
      <c r="AM103" s="75">
        <f>$C103*INDEX(Curves!$S$8:$S$68,AM$4-$B103+1)</f>
        <v/>
      </c>
      <c r="AN103" s="75">
        <f>$C103*INDEX(Curves!$S$8:$S$68,AN$4-$B103+1)</f>
        <v/>
      </c>
      <c r="AO103" s="75">
        <f>$C103*INDEX(Curves!$S$8:$S$68,AO$4-$B103+1)</f>
        <v/>
      </c>
      <c r="AP103" s="75">
        <f>$C103*INDEX(Curves!$S$8:$S$68,AP$4-$B103+1)</f>
        <v/>
      </c>
      <c r="AQ103" s="75">
        <f>$C103*INDEX(Curves!$S$8:$S$68,AQ$4-$B103+1)</f>
        <v/>
      </c>
      <c r="AR103" s="75">
        <f>$C103*INDEX(Curves!$S$8:$S$68,AR$4-$B103+1)</f>
        <v/>
      </c>
      <c r="AS103" s="75">
        <f>$C103*INDEX(Curves!$S$8:$S$68,AS$4-$B103+1)</f>
        <v/>
      </c>
      <c r="AT103" s="75">
        <f>$C103*INDEX(Curves!$S$8:$S$68,AT$4-$B103+1)</f>
        <v/>
      </c>
      <c r="AU103" s="75">
        <f>$C103*INDEX(Curves!$S$8:$S$68,AU$4-$B103+1)</f>
        <v/>
      </c>
      <c r="AV103" s="75">
        <f>$C103*INDEX(Curves!$S$8:$S$68,AV$4-$B103+1)</f>
        <v/>
      </c>
      <c r="AW103" s="75">
        <f>$C103*INDEX(Curves!$S$8:$S$68,AW$4-$B103+1)</f>
        <v/>
      </c>
      <c r="AX103" s="75">
        <f>$C103*INDEX(Curves!$S$8:$S$68,AX$4-$B103+1)</f>
        <v/>
      </c>
      <c r="AY103" s="75">
        <f>$C103*INDEX(Curves!$S$8:$S$68,AY$4-$B103+1)</f>
        <v/>
      </c>
      <c r="AZ103" s="75">
        <f>$C103*INDEX(Curves!$S$8:$S$68,AZ$4-$B103+1)</f>
        <v/>
      </c>
      <c r="BA103" s="75">
        <f>$C103*INDEX(Curves!$S$8:$S$68,BA$4-$B103+1)</f>
        <v/>
      </c>
      <c r="BB103" s="75">
        <f>$C103*INDEX(Curves!$S$8:$S$68,BB$4-$B103+1)</f>
        <v/>
      </c>
      <c r="BC103" s="75">
        <f>$C103*INDEX(Curves!$S$8:$S$68,BC$4-$B103+1)</f>
        <v/>
      </c>
      <c r="BD103" s="75">
        <f>$C103*INDEX(Curves!$S$8:$S$68,BD$4-$B103+1)</f>
        <v/>
      </c>
      <c r="BE103" s="75">
        <f>$C103*INDEX(Curves!$S$8:$S$68,BE$4-$B103+1)</f>
        <v/>
      </c>
      <c r="BF103" s="75">
        <f>$C103*INDEX(Curves!$S$8:$S$68,BF$4-$B103+1)</f>
        <v/>
      </c>
      <c r="BG103" s="75">
        <f>$C103*INDEX(Curves!$S$8:$S$68,BG$4-$B103+1)</f>
        <v/>
      </c>
      <c r="BH103" s="75">
        <f>$C103*INDEX(Curves!$S$8:$S$68,BH$4-$B103+1)</f>
        <v/>
      </c>
      <c r="BI103" s="75">
        <f>$C103*INDEX(Curves!$S$8:$S$68,BI$4-$B103+1)</f>
        <v/>
      </c>
      <c r="BJ103" s="75">
        <f>$C103*INDEX(Curves!$S$8:$S$68,BJ$4-$B103+1)</f>
        <v/>
      </c>
      <c r="BK103" s="75">
        <f>$C103*INDEX(Curves!$S$8:$S$68,BK$4-$B103+1)</f>
        <v/>
      </c>
      <c r="BL103" s="75">
        <f>$C103*INDEX(Curves!$S$8:$S$68,BL$4-$B103+1)</f>
        <v/>
      </c>
    </row>
    <row r="104">
      <c r="A104" s="74" t="inlineStr">
        <is>
          <t>Cohort month 32</t>
        </is>
      </c>
      <c r="B104" s="74" t="n">
        <v>32</v>
      </c>
      <c r="C104" s="17">
        <f>INDEX(Ops!$E$34:$BL$34,1,$B104)</f>
        <v/>
      </c>
      <c r="AK104" s="75">
        <f>$C104*INDEX(Curves!$S$8:$S$68,AK$4-$B104+1)</f>
        <v/>
      </c>
      <c r="AL104" s="75">
        <f>$C104*INDEX(Curves!$S$8:$S$68,AL$4-$B104+1)</f>
        <v/>
      </c>
      <c r="AM104" s="75">
        <f>$C104*INDEX(Curves!$S$8:$S$68,AM$4-$B104+1)</f>
        <v/>
      </c>
      <c r="AN104" s="75">
        <f>$C104*INDEX(Curves!$S$8:$S$68,AN$4-$B104+1)</f>
        <v/>
      </c>
      <c r="AO104" s="75">
        <f>$C104*INDEX(Curves!$S$8:$S$68,AO$4-$B104+1)</f>
        <v/>
      </c>
      <c r="AP104" s="75">
        <f>$C104*INDEX(Curves!$S$8:$S$68,AP$4-$B104+1)</f>
        <v/>
      </c>
      <c r="AQ104" s="75">
        <f>$C104*INDEX(Curves!$S$8:$S$68,AQ$4-$B104+1)</f>
        <v/>
      </c>
      <c r="AR104" s="75">
        <f>$C104*INDEX(Curves!$S$8:$S$68,AR$4-$B104+1)</f>
        <v/>
      </c>
      <c r="AS104" s="75">
        <f>$C104*INDEX(Curves!$S$8:$S$68,AS$4-$B104+1)</f>
        <v/>
      </c>
      <c r="AT104" s="75">
        <f>$C104*INDEX(Curves!$S$8:$S$68,AT$4-$B104+1)</f>
        <v/>
      </c>
      <c r="AU104" s="75">
        <f>$C104*INDEX(Curves!$S$8:$S$68,AU$4-$B104+1)</f>
        <v/>
      </c>
      <c r="AV104" s="75">
        <f>$C104*INDEX(Curves!$S$8:$S$68,AV$4-$B104+1)</f>
        <v/>
      </c>
      <c r="AW104" s="75">
        <f>$C104*INDEX(Curves!$S$8:$S$68,AW$4-$B104+1)</f>
        <v/>
      </c>
      <c r="AX104" s="75">
        <f>$C104*INDEX(Curves!$S$8:$S$68,AX$4-$B104+1)</f>
        <v/>
      </c>
      <c r="AY104" s="75">
        <f>$C104*INDEX(Curves!$S$8:$S$68,AY$4-$B104+1)</f>
        <v/>
      </c>
      <c r="AZ104" s="75">
        <f>$C104*INDEX(Curves!$S$8:$S$68,AZ$4-$B104+1)</f>
        <v/>
      </c>
      <c r="BA104" s="75">
        <f>$C104*INDEX(Curves!$S$8:$S$68,BA$4-$B104+1)</f>
        <v/>
      </c>
      <c r="BB104" s="75">
        <f>$C104*INDEX(Curves!$S$8:$S$68,BB$4-$B104+1)</f>
        <v/>
      </c>
      <c r="BC104" s="75">
        <f>$C104*INDEX(Curves!$S$8:$S$68,BC$4-$B104+1)</f>
        <v/>
      </c>
      <c r="BD104" s="75">
        <f>$C104*INDEX(Curves!$S$8:$S$68,BD$4-$B104+1)</f>
        <v/>
      </c>
      <c r="BE104" s="75">
        <f>$C104*INDEX(Curves!$S$8:$S$68,BE$4-$B104+1)</f>
        <v/>
      </c>
      <c r="BF104" s="75">
        <f>$C104*INDEX(Curves!$S$8:$S$68,BF$4-$B104+1)</f>
        <v/>
      </c>
      <c r="BG104" s="75">
        <f>$C104*INDEX(Curves!$S$8:$S$68,BG$4-$B104+1)</f>
        <v/>
      </c>
      <c r="BH104" s="75">
        <f>$C104*INDEX(Curves!$S$8:$S$68,BH$4-$B104+1)</f>
        <v/>
      </c>
      <c r="BI104" s="75">
        <f>$C104*INDEX(Curves!$S$8:$S$68,BI$4-$B104+1)</f>
        <v/>
      </c>
      <c r="BJ104" s="75">
        <f>$C104*INDEX(Curves!$S$8:$S$68,BJ$4-$B104+1)</f>
        <v/>
      </c>
      <c r="BK104" s="75">
        <f>$C104*INDEX(Curves!$S$8:$S$68,BK$4-$B104+1)</f>
        <v/>
      </c>
      <c r="BL104" s="75">
        <f>$C104*INDEX(Curves!$S$8:$S$68,BL$4-$B104+1)</f>
        <v/>
      </c>
    </row>
    <row r="105">
      <c r="A105" s="74" t="inlineStr">
        <is>
          <t>Cohort month 33</t>
        </is>
      </c>
      <c r="B105" s="74" t="n">
        <v>33</v>
      </c>
      <c r="C105" s="17">
        <f>INDEX(Ops!$E$34:$BL$34,1,$B105)</f>
        <v/>
      </c>
      <c r="AL105" s="75">
        <f>$C105*INDEX(Curves!$S$8:$S$68,AL$4-$B105+1)</f>
        <v/>
      </c>
      <c r="AM105" s="75">
        <f>$C105*INDEX(Curves!$S$8:$S$68,AM$4-$B105+1)</f>
        <v/>
      </c>
      <c r="AN105" s="75">
        <f>$C105*INDEX(Curves!$S$8:$S$68,AN$4-$B105+1)</f>
        <v/>
      </c>
      <c r="AO105" s="75">
        <f>$C105*INDEX(Curves!$S$8:$S$68,AO$4-$B105+1)</f>
        <v/>
      </c>
      <c r="AP105" s="75">
        <f>$C105*INDEX(Curves!$S$8:$S$68,AP$4-$B105+1)</f>
        <v/>
      </c>
      <c r="AQ105" s="75">
        <f>$C105*INDEX(Curves!$S$8:$S$68,AQ$4-$B105+1)</f>
        <v/>
      </c>
      <c r="AR105" s="75">
        <f>$C105*INDEX(Curves!$S$8:$S$68,AR$4-$B105+1)</f>
        <v/>
      </c>
      <c r="AS105" s="75">
        <f>$C105*INDEX(Curves!$S$8:$S$68,AS$4-$B105+1)</f>
        <v/>
      </c>
      <c r="AT105" s="75">
        <f>$C105*INDEX(Curves!$S$8:$S$68,AT$4-$B105+1)</f>
        <v/>
      </c>
      <c r="AU105" s="75">
        <f>$C105*INDEX(Curves!$S$8:$S$68,AU$4-$B105+1)</f>
        <v/>
      </c>
      <c r="AV105" s="75">
        <f>$C105*INDEX(Curves!$S$8:$S$68,AV$4-$B105+1)</f>
        <v/>
      </c>
      <c r="AW105" s="75">
        <f>$C105*INDEX(Curves!$S$8:$S$68,AW$4-$B105+1)</f>
        <v/>
      </c>
      <c r="AX105" s="75">
        <f>$C105*INDEX(Curves!$S$8:$S$68,AX$4-$B105+1)</f>
        <v/>
      </c>
      <c r="AY105" s="75">
        <f>$C105*INDEX(Curves!$S$8:$S$68,AY$4-$B105+1)</f>
        <v/>
      </c>
      <c r="AZ105" s="75">
        <f>$C105*INDEX(Curves!$S$8:$S$68,AZ$4-$B105+1)</f>
        <v/>
      </c>
      <c r="BA105" s="75">
        <f>$C105*INDEX(Curves!$S$8:$S$68,BA$4-$B105+1)</f>
        <v/>
      </c>
      <c r="BB105" s="75">
        <f>$C105*INDEX(Curves!$S$8:$S$68,BB$4-$B105+1)</f>
        <v/>
      </c>
      <c r="BC105" s="75">
        <f>$C105*INDEX(Curves!$S$8:$S$68,BC$4-$B105+1)</f>
        <v/>
      </c>
      <c r="BD105" s="75">
        <f>$C105*INDEX(Curves!$S$8:$S$68,BD$4-$B105+1)</f>
        <v/>
      </c>
      <c r="BE105" s="75">
        <f>$C105*INDEX(Curves!$S$8:$S$68,BE$4-$B105+1)</f>
        <v/>
      </c>
      <c r="BF105" s="75">
        <f>$C105*INDEX(Curves!$S$8:$S$68,BF$4-$B105+1)</f>
        <v/>
      </c>
      <c r="BG105" s="75">
        <f>$C105*INDEX(Curves!$S$8:$S$68,BG$4-$B105+1)</f>
        <v/>
      </c>
      <c r="BH105" s="75">
        <f>$C105*INDEX(Curves!$S$8:$S$68,BH$4-$B105+1)</f>
        <v/>
      </c>
      <c r="BI105" s="75">
        <f>$C105*INDEX(Curves!$S$8:$S$68,BI$4-$B105+1)</f>
        <v/>
      </c>
      <c r="BJ105" s="75">
        <f>$C105*INDEX(Curves!$S$8:$S$68,BJ$4-$B105+1)</f>
        <v/>
      </c>
      <c r="BK105" s="75">
        <f>$C105*INDEX(Curves!$S$8:$S$68,BK$4-$B105+1)</f>
        <v/>
      </c>
      <c r="BL105" s="75">
        <f>$C105*INDEX(Curves!$S$8:$S$68,BL$4-$B105+1)</f>
        <v/>
      </c>
    </row>
    <row r="106">
      <c r="A106" s="74" t="inlineStr">
        <is>
          <t>Cohort month 34</t>
        </is>
      </c>
      <c r="B106" s="74" t="n">
        <v>34</v>
      </c>
      <c r="C106" s="17">
        <f>INDEX(Ops!$E$34:$BL$34,1,$B106)</f>
        <v/>
      </c>
      <c r="AM106" s="75">
        <f>$C106*INDEX(Curves!$S$8:$S$68,AM$4-$B106+1)</f>
        <v/>
      </c>
      <c r="AN106" s="75">
        <f>$C106*INDEX(Curves!$S$8:$S$68,AN$4-$B106+1)</f>
        <v/>
      </c>
      <c r="AO106" s="75">
        <f>$C106*INDEX(Curves!$S$8:$S$68,AO$4-$B106+1)</f>
        <v/>
      </c>
      <c r="AP106" s="75">
        <f>$C106*INDEX(Curves!$S$8:$S$68,AP$4-$B106+1)</f>
        <v/>
      </c>
      <c r="AQ106" s="75">
        <f>$C106*INDEX(Curves!$S$8:$S$68,AQ$4-$B106+1)</f>
        <v/>
      </c>
      <c r="AR106" s="75">
        <f>$C106*INDEX(Curves!$S$8:$S$68,AR$4-$B106+1)</f>
        <v/>
      </c>
      <c r="AS106" s="75">
        <f>$C106*INDEX(Curves!$S$8:$S$68,AS$4-$B106+1)</f>
        <v/>
      </c>
      <c r="AT106" s="75">
        <f>$C106*INDEX(Curves!$S$8:$S$68,AT$4-$B106+1)</f>
        <v/>
      </c>
      <c r="AU106" s="75">
        <f>$C106*INDEX(Curves!$S$8:$S$68,AU$4-$B106+1)</f>
        <v/>
      </c>
      <c r="AV106" s="75">
        <f>$C106*INDEX(Curves!$S$8:$S$68,AV$4-$B106+1)</f>
        <v/>
      </c>
      <c r="AW106" s="75">
        <f>$C106*INDEX(Curves!$S$8:$S$68,AW$4-$B106+1)</f>
        <v/>
      </c>
      <c r="AX106" s="75">
        <f>$C106*INDEX(Curves!$S$8:$S$68,AX$4-$B106+1)</f>
        <v/>
      </c>
      <c r="AY106" s="75">
        <f>$C106*INDEX(Curves!$S$8:$S$68,AY$4-$B106+1)</f>
        <v/>
      </c>
      <c r="AZ106" s="75">
        <f>$C106*INDEX(Curves!$S$8:$S$68,AZ$4-$B106+1)</f>
        <v/>
      </c>
      <c r="BA106" s="75">
        <f>$C106*INDEX(Curves!$S$8:$S$68,BA$4-$B106+1)</f>
        <v/>
      </c>
      <c r="BB106" s="75">
        <f>$C106*INDEX(Curves!$S$8:$S$68,BB$4-$B106+1)</f>
        <v/>
      </c>
      <c r="BC106" s="75">
        <f>$C106*INDEX(Curves!$S$8:$S$68,BC$4-$B106+1)</f>
        <v/>
      </c>
      <c r="BD106" s="75">
        <f>$C106*INDEX(Curves!$S$8:$S$68,BD$4-$B106+1)</f>
        <v/>
      </c>
      <c r="BE106" s="75">
        <f>$C106*INDEX(Curves!$S$8:$S$68,BE$4-$B106+1)</f>
        <v/>
      </c>
      <c r="BF106" s="75">
        <f>$C106*INDEX(Curves!$S$8:$S$68,BF$4-$B106+1)</f>
        <v/>
      </c>
      <c r="BG106" s="75">
        <f>$C106*INDEX(Curves!$S$8:$S$68,BG$4-$B106+1)</f>
        <v/>
      </c>
      <c r="BH106" s="75">
        <f>$C106*INDEX(Curves!$S$8:$S$68,BH$4-$B106+1)</f>
        <v/>
      </c>
      <c r="BI106" s="75">
        <f>$C106*INDEX(Curves!$S$8:$S$68,BI$4-$B106+1)</f>
        <v/>
      </c>
      <c r="BJ106" s="75">
        <f>$C106*INDEX(Curves!$S$8:$S$68,BJ$4-$B106+1)</f>
        <v/>
      </c>
      <c r="BK106" s="75">
        <f>$C106*INDEX(Curves!$S$8:$S$68,BK$4-$B106+1)</f>
        <v/>
      </c>
      <c r="BL106" s="75">
        <f>$C106*INDEX(Curves!$S$8:$S$68,BL$4-$B106+1)</f>
        <v/>
      </c>
    </row>
    <row r="107">
      <c r="A107" s="74" t="inlineStr">
        <is>
          <t>Cohort month 35</t>
        </is>
      </c>
      <c r="B107" s="74" t="n">
        <v>35</v>
      </c>
      <c r="C107" s="17">
        <f>INDEX(Ops!$E$34:$BL$34,1,$B107)</f>
        <v/>
      </c>
      <c r="AN107" s="75">
        <f>$C107*INDEX(Curves!$S$8:$S$68,AN$4-$B107+1)</f>
        <v/>
      </c>
      <c r="AO107" s="75">
        <f>$C107*INDEX(Curves!$S$8:$S$68,AO$4-$B107+1)</f>
        <v/>
      </c>
      <c r="AP107" s="75">
        <f>$C107*INDEX(Curves!$S$8:$S$68,AP$4-$B107+1)</f>
        <v/>
      </c>
      <c r="AQ107" s="75">
        <f>$C107*INDEX(Curves!$S$8:$S$68,AQ$4-$B107+1)</f>
        <v/>
      </c>
      <c r="AR107" s="75">
        <f>$C107*INDEX(Curves!$S$8:$S$68,AR$4-$B107+1)</f>
        <v/>
      </c>
      <c r="AS107" s="75">
        <f>$C107*INDEX(Curves!$S$8:$S$68,AS$4-$B107+1)</f>
        <v/>
      </c>
      <c r="AT107" s="75">
        <f>$C107*INDEX(Curves!$S$8:$S$68,AT$4-$B107+1)</f>
        <v/>
      </c>
      <c r="AU107" s="75">
        <f>$C107*INDEX(Curves!$S$8:$S$68,AU$4-$B107+1)</f>
        <v/>
      </c>
      <c r="AV107" s="75">
        <f>$C107*INDEX(Curves!$S$8:$S$68,AV$4-$B107+1)</f>
        <v/>
      </c>
      <c r="AW107" s="75">
        <f>$C107*INDEX(Curves!$S$8:$S$68,AW$4-$B107+1)</f>
        <v/>
      </c>
      <c r="AX107" s="75">
        <f>$C107*INDEX(Curves!$S$8:$S$68,AX$4-$B107+1)</f>
        <v/>
      </c>
      <c r="AY107" s="75">
        <f>$C107*INDEX(Curves!$S$8:$S$68,AY$4-$B107+1)</f>
        <v/>
      </c>
      <c r="AZ107" s="75">
        <f>$C107*INDEX(Curves!$S$8:$S$68,AZ$4-$B107+1)</f>
        <v/>
      </c>
      <c r="BA107" s="75">
        <f>$C107*INDEX(Curves!$S$8:$S$68,BA$4-$B107+1)</f>
        <v/>
      </c>
      <c r="BB107" s="75">
        <f>$C107*INDEX(Curves!$S$8:$S$68,BB$4-$B107+1)</f>
        <v/>
      </c>
      <c r="BC107" s="75">
        <f>$C107*INDEX(Curves!$S$8:$S$68,BC$4-$B107+1)</f>
        <v/>
      </c>
      <c r="BD107" s="75">
        <f>$C107*INDEX(Curves!$S$8:$S$68,BD$4-$B107+1)</f>
        <v/>
      </c>
      <c r="BE107" s="75">
        <f>$C107*INDEX(Curves!$S$8:$S$68,BE$4-$B107+1)</f>
        <v/>
      </c>
      <c r="BF107" s="75">
        <f>$C107*INDEX(Curves!$S$8:$S$68,BF$4-$B107+1)</f>
        <v/>
      </c>
      <c r="BG107" s="75">
        <f>$C107*INDEX(Curves!$S$8:$S$68,BG$4-$B107+1)</f>
        <v/>
      </c>
      <c r="BH107" s="75">
        <f>$C107*INDEX(Curves!$S$8:$S$68,BH$4-$B107+1)</f>
        <v/>
      </c>
      <c r="BI107" s="75">
        <f>$C107*INDEX(Curves!$S$8:$S$68,BI$4-$B107+1)</f>
        <v/>
      </c>
      <c r="BJ107" s="75">
        <f>$C107*INDEX(Curves!$S$8:$S$68,BJ$4-$B107+1)</f>
        <v/>
      </c>
      <c r="BK107" s="75">
        <f>$C107*INDEX(Curves!$S$8:$S$68,BK$4-$B107+1)</f>
        <v/>
      </c>
      <c r="BL107" s="75">
        <f>$C107*INDEX(Curves!$S$8:$S$68,BL$4-$B107+1)</f>
        <v/>
      </c>
    </row>
    <row r="108">
      <c r="A108" s="74" t="inlineStr">
        <is>
          <t>Cohort month 36</t>
        </is>
      </c>
      <c r="B108" s="74" t="n">
        <v>36</v>
      </c>
      <c r="C108" s="17">
        <f>INDEX(Ops!$E$34:$BL$34,1,$B108)</f>
        <v/>
      </c>
      <c r="AO108" s="75">
        <f>$C108*INDEX(Curves!$S$8:$S$68,AO$4-$B108+1)</f>
        <v/>
      </c>
      <c r="AP108" s="75">
        <f>$C108*INDEX(Curves!$S$8:$S$68,AP$4-$B108+1)</f>
        <v/>
      </c>
      <c r="AQ108" s="75">
        <f>$C108*INDEX(Curves!$S$8:$S$68,AQ$4-$B108+1)</f>
        <v/>
      </c>
      <c r="AR108" s="75">
        <f>$C108*INDEX(Curves!$S$8:$S$68,AR$4-$B108+1)</f>
        <v/>
      </c>
      <c r="AS108" s="75">
        <f>$C108*INDEX(Curves!$S$8:$S$68,AS$4-$B108+1)</f>
        <v/>
      </c>
      <c r="AT108" s="75">
        <f>$C108*INDEX(Curves!$S$8:$S$68,AT$4-$B108+1)</f>
        <v/>
      </c>
      <c r="AU108" s="75">
        <f>$C108*INDEX(Curves!$S$8:$S$68,AU$4-$B108+1)</f>
        <v/>
      </c>
      <c r="AV108" s="75">
        <f>$C108*INDEX(Curves!$S$8:$S$68,AV$4-$B108+1)</f>
        <v/>
      </c>
      <c r="AW108" s="75">
        <f>$C108*INDEX(Curves!$S$8:$S$68,AW$4-$B108+1)</f>
        <v/>
      </c>
      <c r="AX108" s="75">
        <f>$C108*INDEX(Curves!$S$8:$S$68,AX$4-$B108+1)</f>
        <v/>
      </c>
      <c r="AY108" s="75">
        <f>$C108*INDEX(Curves!$S$8:$S$68,AY$4-$B108+1)</f>
        <v/>
      </c>
      <c r="AZ108" s="75">
        <f>$C108*INDEX(Curves!$S$8:$S$68,AZ$4-$B108+1)</f>
        <v/>
      </c>
      <c r="BA108" s="75">
        <f>$C108*INDEX(Curves!$S$8:$S$68,BA$4-$B108+1)</f>
        <v/>
      </c>
      <c r="BB108" s="75">
        <f>$C108*INDEX(Curves!$S$8:$S$68,BB$4-$B108+1)</f>
        <v/>
      </c>
      <c r="BC108" s="75">
        <f>$C108*INDEX(Curves!$S$8:$S$68,BC$4-$B108+1)</f>
        <v/>
      </c>
      <c r="BD108" s="75">
        <f>$C108*INDEX(Curves!$S$8:$S$68,BD$4-$B108+1)</f>
        <v/>
      </c>
      <c r="BE108" s="75">
        <f>$C108*INDEX(Curves!$S$8:$S$68,BE$4-$B108+1)</f>
        <v/>
      </c>
      <c r="BF108" s="75">
        <f>$C108*INDEX(Curves!$S$8:$S$68,BF$4-$B108+1)</f>
        <v/>
      </c>
      <c r="BG108" s="75">
        <f>$C108*INDEX(Curves!$S$8:$S$68,BG$4-$B108+1)</f>
        <v/>
      </c>
      <c r="BH108" s="75">
        <f>$C108*INDEX(Curves!$S$8:$S$68,BH$4-$B108+1)</f>
        <v/>
      </c>
      <c r="BI108" s="75">
        <f>$C108*INDEX(Curves!$S$8:$S$68,BI$4-$B108+1)</f>
        <v/>
      </c>
      <c r="BJ108" s="75">
        <f>$C108*INDEX(Curves!$S$8:$S$68,BJ$4-$B108+1)</f>
        <v/>
      </c>
      <c r="BK108" s="75">
        <f>$C108*INDEX(Curves!$S$8:$S$68,BK$4-$B108+1)</f>
        <v/>
      </c>
      <c r="BL108" s="75">
        <f>$C108*INDEX(Curves!$S$8:$S$68,BL$4-$B108+1)</f>
        <v/>
      </c>
    </row>
    <row r="109">
      <c r="A109" s="74" t="inlineStr">
        <is>
          <t>Cohort month 37</t>
        </is>
      </c>
      <c r="B109" s="74" t="n">
        <v>37</v>
      </c>
      <c r="C109" s="17">
        <f>INDEX(Ops!$E$34:$BL$34,1,$B109)</f>
        <v/>
      </c>
      <c r="AP109" s="75">
        <f>$C109*INDEX(Curves!$S$8:$S$68,AP$4-$B109+1)</f>
        <v/>
      </c>
      <c r="AQ109" s="75">
        <f>$C109*INDEX(Curves!$S$8:$S$68,AQ$4-$B109+1)</f>
        <v/>
      </c>
      <c r="AR109" s="75">
        <f>$C109*INDEX(Curves!$S$8:$S$68,AR$4-$B109+1)</f>
        <v/>
      </c>
      <c r="AS109" s="75">
        <f>$C109*INDEX(Curves!$S$8:$S$68,AS$4-$B109+1)</f>
        <v/>
      </c>
      <c r="AT109" s="75">
        <f>$C109*INDEX(Curves!$S$8:$S$68,AT$4-$B109+1)</f>
        <v/>
      </c>
      <c r="AU109" s="75">
        <f>$C109*INDEX(Curves!$S$8:$S$68,AU$4-$B109+1)</f>
        <v/>
      </c>
      <c r="AV109" s="75">
        <f>$C109*INDEX(Curves!$S$8:$S$68,AV$4-$B109+1)</f>
        <v/>
      </c>
      <c r="AW109" s="75">
        <f>$C109*INDEX(Curves!$S$8:$S$68,AW$4-$B109+1)</f>
        <v/>
      </c>
      <c r="AX109" s="75">
        <f>$C109*INDEX(Curves!$S$8:$S$68,AX$4-$B109+1)</f>
        <v/>
      </c>
      <c r="AY109" s="75">
        <f>$C109*INDEX(Curves!$S$8:$S$68,AY$4-$B109+1)</f>
        <v/>
      </c>
      <c r="AZ109" s="75">
        <f>$C109*INDEX(Curves!$S$8:$S$68,AZ$4-$B109+1)</f>
        <v/>
      </c>
      <c r="BA109" s="75">
        <f>$C109*INDEX(Curves!$S$8:$S$68,BA$4-$B109+1)</f>
        <v/>
      </c>
      <c r="BB109" s="75">
        <f>$C109*INDEX(Curves!$S$8:$S$68,BB$4-$B109+1)</f>
        <v/>
      </c>
      <c r="BC109" s="75">
        <f>$C109*INDEX(Curves!$S$8:$S$68,BC$4-$B109+1)</f>
        <v/>
      </c>
      <c r="BD109" s="75">
        <f>$C109*INDEX(Curves!$S$8:$S$68,BD$4-$B109+1)</f>
        <v/>
      </c>
      <c r="BE109" s="75">
        <f>$C109*INDEX(Curves!$S$8:$S$68,BE$4-$B109+1)</f>
        <v/>
      </c>
      <c r="BF109" s="75">
        <f>$C109*INDEX(Curves!$S$8:$S$68,BF$4-$B109+1)</f>
        <v/>
      </c>
      <c r="BG109" s="75">
        <f>$C109*INDEX(Curves!$S$8:$S$68,BG$4-$B109+1)</f>
        <v/>
      </c>
      <c r="BH109" s="75">
        <f>$C109*INDEX(Curves!$S$8:$S$68,BH$4-$B109+1)</f>
        <v/>
      </c>
      <c r="BI109" s="75">
        <f>$C109*INDEX(Curves!$S$8:$S$68,BI$4-$B109+1)</f>
        <v/>
      </c>
      <c r="BJ109" s="75">
        <f>$C109*INDEX(Curves!$S$8:$S$68,BJ$4-$B109+1)</f>
        <v/>
      </c>
      <c r="BK109" s="75">
        <f>$C109*INDEX(Curves!$S$8:$S$68,BK$4-$B109+1)</f>
        <v/>
      </c>
      <c r="BL109" s="75">
        <f>$C109*INDEX(Curves!$S$8:$S$68,BL$4-$B109+1)</f>
        <v/>
      </c>
    </row>
    <row r="110">
      <c r="A110" s="74" t="inlineStr">
        <is>
          <t>Cohort month 38</t>
        </is>
      </c>
      <c r="B110" s="74" t="n">
        <v>38</v>
      </c>
      <c r="C110" s="17">
        <f>INDEX(Ops!$E$34:$BL$34,1,$B110)</f>
        <v/>
      </c>
      <c r="AQ110" s="75">
        <f>$C110*INDEX(Curves!$S$8:$S$68,AQ$4-$B110+1)</f>
        <v/>
      </c>
      <c r="AR110" s="75">
        <f>$C110*INDEX(Curves!$S$8:$S$68,AR$4-$B110+1)</f>
        <v/>
      </c>
      <c r="AS110" s="75">
        <f>$C110*INDEX(Curves!$S$8:$S$68,AS$4-$B110+1)</f>
        <v/>
      </c>
      <c r="AT110" s="75">
        <f>$C110*INDEX(Curves!$S$8:$S$68,AT$4-$B110+1)</f>
        <v/>
      </c>
      <c r="AU110" s="75">
        <f>$C110*INDEX(Curves!$S$8:$S$68,AU$4-$B110+1)</f>
        <v/>
      </c>
      <c r="AV110" s="75">
        <f>$C110*INDEX(Curves!$S$8:$S$68,AV$4-$B110+1)</f>
        <v/>
      </c>
      <c r="AW110" s="75">
        <f>$C110*INDEX(Curves!$S$8:$S$68,AW$4-$B110+1)</f>
        <v/>
      </c>
      <c r="AX110" s="75">
        <f>$C110*INDEX(Curves!$S$8:$S$68,AX$4-$B110+1)</f>
        <v/>
      </c>
      <c r="AY110" s="75">
        <f>$C110*INDEX(Curves!$S$8:$S$68,AY$4-$B110+1)</f>
        <v/>
      </c>
      <c r="AZ110" s="75">
        <f>$C110*INDEX(Curves!$S$8:$S$68,AZ$4-$B110+1)</f>
        <v/>
      </c>
      <c r="BA110" s="75">
        <f>$C110*INDEX(Curves!$S$8:$S$68,BA$4-$B110+1)</f>
        <v/>
      </c>
      <c r="BB110" s="75">
        <f>$C110*INDEX(Curves!$S$8:$S$68,BB$4-$B110+1)</f>
        <v/>
      </c>
      <c r="BC110" s="75">
        <f>$C110*INDEX(Curves!$S$8:$S$68,BC$4-$B110+1)</f>
        <v/>
      </c>
      <c r="BD110" s="75">
        <f>$C110*INDEX(Curves!$S$8:$S$68,BD$4-$B110+1)</f>
        <v/>
      </c>
      <c r="BE110" s="75">
        <f>$C110*INDEX(Curves!$S$8:$S$68,BE$4-$B110+1)</f>
        <v/>
      </c>
      <c r="BF110" s="75">
        <f>$C110*INDEX(Curves!$S$8:$S$68,BF$4-$B110+1)</f>
        <v/>
      </c>
      <c r="BG110" s="75">
        <f>$C110*INDEX(Curves!$S$8:$S$68,BG$4-$B110+1)</f>
        <v/>
      </c>
      <c r="BH110" s="75">
        <f>$C110*INDEX(Curves!$S$8:$S$68,BH$4-$B110+1)</f>
        <v/>
      </c>
      <c r="BI110" s="75">
        <f>$C110*INDEX(Curves!$S$8:$S$68,BI$4-$B110+1)</f>
        <v/>
      </c>
      <c r="BJ110" s="75">
        <f>$C110*INDEX(Curves!$S$8:$S$68,BJ$4-$B110+1)</f>
        <v/>
      </c>
      <c r="BK110" s="75">
        <f>$C110*INDEX(Curves!$S$8:$S$68,BK$4-$B110+1)</f>
        <v/>
      </c>
      <c r="BL110" s="75">
        <f>$C110*INDEX(Curves!$S$8:$S$68,BL$4-$B110+1)</f>
        <v/>
      </c>
    </row>
    <row r="111">
      <c r="A111" s="74" t="inlineStr">
        <is>
          <t>Cohort month 39</t>
        </is>
      </c>
      <c r="B111" s="74" t="n">
        <v>39</v>
      </c>
      <c r="C111" s="17">
        <f>INDEX(Ops!$E$34:$BL$34,1,$B111)</f>
        <v/>
      </c>
      <c r="AR111" s="75">
        <f>$C111*INDEX(Curves!$S$8:$S$68,AR$4-$B111+1)</f>
        <v/>
      </c>
      <c r="AS111" s="75">
        <f>$C111*INDEX(Curves!$S$8:$S$68,AS$4-$B111+1)</f>
        <v/>
      </c>
      <c r="AT111" s="75">
        <f>$C111*INDEX(Curves!$S$8:$S$68,AT$4-$B111+1)</f>
        <v/>
      </c>
      <c r="AU111" s="75">
        <f>$C111*INDEX(Curves!$S$8:$S$68,AU$4-$B111+1)</f>
        <v/>
      </c>
      <c r="AV111" s="75">
        <f>$C111*INDEX(Curves!$S$8:$S$68,AV$4-$B111+1)</f>
        <v/>
      </c>
      <c r="AW111" s="75">
        <f>$C111*INDEX(Curves!$S$8:$S$68,AW$4-$B111+1)</f>
        <v/>
      </c>
      <c r="AX111" s="75">
        <f>$C111*INDEX(Curves!$S$8:$S$68,AX$4-$B111+1)</f>
        <v/>
      </c>
      <c r="AY111" s="75">
        <f>$C111*INDEX(Curves!$S$8:$S$68,AY$4-$B111+1)</f>
        <v/>
      </c>
      <c r="AZ111" s="75">
        <f>$C111*INDEX(Curves!$S$8:$S$68,AZ$4-$B111+1)</f>
        <v/>
      </c>
      <c r="BA111" s="75">
        <f>$C111*INDEX(Curves!$S$8:$S$68,BA$4-$B111+1)</f>
        <v/>
      </c>
      <c r="BB111" s="75">
        <f>$C111*INDEX(Curves!$S$8:$S$68,BB$4-$B111+1)</f>
        <v/>
      </c>
      <c r="BC111" s="75">
        <f>$C111*INDEX(Curves!$S$8:$S$68,BC$4-$B111+1)</f>
        <v/>
      </c>
      <c r="BD111" s="75">
        <f>$C111*INDEX(Curves!$S$8:$S$68,BD$4-$B111+1)</f>
        <v/>
      </c>
      <c r="BE111" s="75">
        <f>$C111*INDEX(Curves!$S$8:$S$68,BE$4-$B111+1)</f>
        <v/>
      </c>
      <c r="BF111" s="75">
        <f>$C111*INDEX(Curves!$S$8:$S$68,BF$4-$B111+1)</f>
        <v/>
      </c>
      <c r="BG111" s="75">
        <f>$C111*INDEX(Curves!$S$8:$S$68,BG$4-$B111+1)</f>
        <v/>
      </c>
      <c r="BH111" s="75">
        <f>$C111*INDEX(Curves!$S$8:$S$68,BH$4-$B111+1)</f>
        <v/>
      </c>
      <c r="BI111" s="75">
        <f>$C111*INDEX(Curves!$S$8:$S$68,BI$4-$B111+1)</f>
        <v/>
      </c>
      <c r="BJ111" s="75">
        <f>$C111*INDEX(Curves!$S$8:$S$68,BJ$4-$B111+1)</f>
        <v/>
      </c>
      <c r="BK111" s="75">
        <f>$C111*INDEX(Curves!$S$8:$S$68,BK$4-$B111+1)</f>
        <v/>
      </c>
      <c r="BL111" s="75">
        <f>$C111*INDEX(Curves!$S$8:$S$68,BL$4-$B111+1)</f>
        <v/>
      </c>
    </row>
    <row r="112">
      <c r="A112" s="74" t="inlineStr">
        <is>
          <t>Cohort month 40</t>
        </is>
      </c>
      <c r="B112" s="74" t="n">
        <v>40</v>
      </c>
      <c r="C112" s="17">
        <f>INDEX(Ops!$E$34:$BL$34,1,$B112)</f>
        <v/>
      </c>
      <c r="AS112" s="75">
        <f>$C112*INDEX(Curves!$S$8:$S$68,AS$4-$B112+1)</f>
        <v/>
      </c>
      <c r="AT112" s="75">
        <f>$C112*INDEX(Curves!$S$8:$S$68,AT$4-$B112+1)</f>
        <v/>
      </c>
      <c r="AU112" s="75">
        <f>$C112*INDEX(Curves!$S$8:$S$68,AU$4-$B112+1)</f>
        <v/>
      </c>
      <c r="AV112" s="75">
        <f>$C112*INDEX(Curves!$S$8:$S$68,AV$4-$B112+1)</f>
        <v/>
      </c>
      <c r="AW112" s="75">
        <f>$C112*INDEX(Curves!$S$8:$S$68,AW$4-$B112+1)</f>
        <v/>
      </c>
      <c r="AX112" s="75">
        <f>$C112*INDEX(Curves!$S$8:$S$68,AX$4-$B112+1)</f>
        <v/>
      </c>
      <c r="AY112" s="75">
        <f>$C112*INDEX(Curves!$S$8:$S$68,AY$4-$B112+1)</f>
        <v/>
      </c>
      <c r="AZ112" s="75">
        <f>$C112*INDEX(Curves!$S$8:$S$68,AZ$4-$B112+1)</f>
        <v/>
      </c>
      <c r="BA112" s="75">
        <f>$C112*INDEX(Curves!$S$8:$S$68,BA$4-$B112+1)</f>
        <v/>
      </c>
      <c r="BB112" s="75">
        <f>$C112*INDEX(Curves!$S$8:$S$68,BB$4-$B112+1)</f>
        <v/>
      </c>
      <c r="BC112" s="75">
        <f>$C112*INDEX(Curves!$S$8:$S$68,BC$4-$B112+1)</f>
        <v/>
      </c>
      <c r="BD112" s="75">
        <f>$C112*INDEX(Curves!$S$8:$S$68,BD$4-$B112+1)</f>
        <v/>
      </c>
      <c r="BE112" s="75">
        <f>$C112*INDEX(Curves!$S$8:$S$68,BE$4-$B112+1)</f>
        <v/>
      </c>
      <c r="BF112" s="75">
        <f>$C112*INDEX(Curves!$S$8:$S$68,BF$4-$B112+1)</f>
        <v/>
      </c>
      <c r="BG112" s="75">
        <f>$C112*INDEX(Curves!$S$8:$S$68,BG$4-$B112+1)</f>
        <v/>
      </c>
      <c r="BH112" s="75">
        <f>$C112*INDEX(Curves!$S$8:$S$68,BH$4-$B112+1)</f>
        <v/>
      </c>
      <c r="BI112" s="75">
        <f>$C112*INDEX(Curves!$S$8:$S$68,BI$4-$B112+1)</f>
        <v/>
      </c>
      <c r="BJ112" s="75">
        <f>$C112*INDEX(Curves!$S$8:$S$68,BJ$4-$B112+1)</f>
        <v/>
      </c>
      <c r="BK112" s="75">
        <f>$C112*INDEX(Curves!$S$8:$S$68,BK$4-$B112+1)</f>
        <v/>
      </c>
      <c r="BL112" s="75">
        <f>$C112*INDEX(Curves!$S$8:$S$68,BL$4-$B112+1)</f>
        <v/>
      </c>
    </row>
    <row r="113">
      <c r="A113" s="74" t="inlineStr">
        <is>
          <t>Cohort month 41</t>
        </is>
      </c>
      <c r="B113" s="74" t="n">
        <v>41</v>
      </c>
      <c r="C113" s="17">
        <f>INDEX(Ops!$E$34:$BL$34,1,$B113)</f>
        <v/>
      </c>
      <c r="AT113" s="75">
        <f>$C113*INDEX(Curves!$S$8:$S$68,AT$4-$B113+1)</f>
        <v/>
      </c>
      <c r="AU113" s="75">
        <f>$C113*INDEX(Curves!$S$8:$S$68,AU$4-$B113+1)</f>
        <v/>
      </c>
      <c r="AV113" s="75">
        <f>$C113*INDEX(Curves!$S$8:$S$68,AV$4-$B113+1)</f>
        <v/>
      </c>
      <c r="AW113" s="75">
        <f>$C113*INDEX(Curves!$S$8:$S$68,AW$4-$B113+1)</f>
        <v/>
      </c>
      <c r="AX113" s="75">
        <f>$C113*INDEX(Curves!$S$8:$S$68,AX$4-$B113+1)</f>
        <v/>
      </c>
      <c r="AY113" s="75">
        <f>$C113*INDEX(Curves!$S$8:$S$68,AY$4-$B113+1)</f>
        <v/>
      </c>
      <c r="AZ113" s="75">
        <f>$C113*INDEX(Curves!$S$8:$S$68,AZ$4-$B113+1)</f>
        <v/>
      </c>
      <c r="BA113" s="75">
        <f>$C113*INDEX(Curves!$S$8:$S$68,BA$4-$B113+1)</f>
        <v/>
      </c>
      <c r="BB113" s="75">
        <f>$C113*INDEX(Curves!$S$8:$S$68,BB$4-$B113+1)</f>
        <v/>
      </c>
      <c r="BC113" s="75">
        <f>$C113*INDEX(Curves!$S$8:$S$68,BC$4-$B113+1)</f>
        <v/>
      </c>
      <c r="BD113" s="75">
        <f>$C113*INDEX(Curves!$S$8:$S$68,BD$4-$B113+1)</f>
        <v/>
      </c>
      <c r="BE113" s="75">
        <f>$C113*INDEX(Curves!$S$8:$S$68,BE$4-$B113+1)</f>
        <v/>
      </c>
      <c r="BF113" s="75">
        <f>$C113*INDEX(Curves!$S$8:$S$68,BF$4-$B113+1)</f>
        <v/>
      </c>
      <c r="BG113" s="75">
        <f>$C113*INDEX(Curves!$S$8:$S$68,BG$4-$B113+1)</f>
        <v/>
      </c>
      <c r="BH113" s="75">
        <f>$C113*INDEX(Curves!$S$8:$S$68,BH$4-$B113+1)</f>
        <v/>
      </c>
      <c r="BI113" s="75">
        <f>$C113*INDEX(Curves!$S$8:$S$68,BI$4-$B113+1)</f>
        <v/>
      </c>
      <c r="BJ113" s="75">
        <f>$C113*INDEX(Curves!$S$8:$S$68,BJ$4-$B113+1)</f>
        <v/>
      </c>
      <c r="BK113" s="75">
        <f>$C113*INDEX(Curves!$S$8:$S$68,BK$4-$B113+1)</f>
        <v/>
      </c>
      <c r="BL113" s="75">
        <f>$C113*INDEX(Curves!$S$8:$S$68,BL$4-$B113+1)</f>
        <v/>
      </c>
    </row>
    <row r="114">
      <c r="A114" s="74" t="inlineStr">
        <is>
          <t>Cohort month 42</t>
        </is>
      </c>
      <c r="B114" s="74" t="n">
        <v>42</v>
      </c>
      <c r="C114" s="17">
        <f>INDEX(Ops!$E$34:$BL$34,1,$B114)</f>
        <v/>
      </c>
      <c r="AU114" s="75">
        <f>$C114*INDEX(Curves!$S$8:$S$68,AU$4-$B114+1)</f>
        <v/>
      </c>
      <c r="AV114" s="75">
        <f>$C114*INDEX(Curves!$S$8:$S$68,AV$4-$B114+1)</f>
        <v/>
      </c>
      <c r="AW114" s="75">
        <f>$C114*INDEX(Curves!$S$8:$S$68,AW$4-$B114+1)</f>
        <v/>
      </c>
      <c r="AX114" s="75">
        <f>$C114*INDEX(Curves!$S$8:$S$68,AX$4-$B114+1)</f>
        <v/>
      </c>
      <c r="AY114" s="75">
        <f>$C114*INDEX(Curves!$S$8:$S$68,AY$4-$B114+1)</f>
        <v/>
      </c>
      <c r="AZ114" s="75">
        <f>$C114*INDEX(Curves!$S$8:$S$68,AZ$4-$B114+1)</f>
        <v/>
      </c>
      <c r="BA114" s="75">
        <f>$C114*INDEX(Curves!$S$8:$S$68,BA$4-$B114+1)</f>
        <v/>
      </c>
      <c r="BB114" s="75">
        <f>$C114*INDEX(Curves!$S$8:$S$68,BB$4-$B114+1)</f>
        <v/>
      </c>
      <c r="BC114" s="75">
        <f>$C114*INDEX(Curves!$S$8:$S$68,BC$4-$B114+1)</f>
        <v/>
      </c>
      <c r="BD114" s="75">
        <f>$C114*INDEX(Curves!$S$8:$S$68,BD$4-$B114+1)</f>
        <v/>
      </c>
      <c r="BE114" s="75">
        <f>$C114*INDEX(Curves!$S$8:$S$68,BE$4-$B114+1)</f>
        <v/>
      </c>
      <c r="BF114" s="75">
        <f>$C114*INDEX(Curves!$S$8:$S$68,BF$4-$B114+1)</f>
        <v/>
      </c>
      <c r="BG114" s="75">
        <f>$C114*INDEX(Curves!$S$8:$S$68,BG$4-$B114+1)</f>
        <v/>
      </c>
      <c r="BH114" s="75">
        <f>$C114*INDEX(Curves!$S$8:$S$68,BH$4-$B114+1)</f>
        <v/>
      </c>
      <c r="BI114" s="75">
        <f>$C114*INDEX(Curves!$S$8:$S$68,BI$4-$B114+1)</f>
        <v/>
      </c>
      <c r="BJ114" s="75">
        <f>$C114*INDEX(Curves!$S$8:$S$68,BJ$4-$B114+1)</f>
        <v/>
      </c>
      <c r="BK114" s="75">
        <f>$C114*INDEX(Curves!$S$8:$S$68,BK$4-$B114+1)</f>
        <v/>
      </c>
      <c r="BL114" s="75">
        <f>$C114*INDEX(Curves!$S$8:$S$68,BL$4-$B114+1)</f>
        <v/>
      </c>
    </row>
    <row r="115">
      <c r="A115" s="74" t="inlineStr">
        <is>
          <t>Cohort month 43</t>
        </is>
      </c>
      <c r="B115" s="74" t="n">
        <v>43</v>
      </c>
      <c r="C115" s="17">
        <f>INDEX(Ops!$E$34:$BL$34,1,$B115)</f>
        <v/>
      </c>
      <c r="AV115" s="75">
        <f>$C115*INDEX(Curves!$S$8:$S$68,AV$4-$B115+1)</f>
        <v/>
      </c>
      <c r="AW115" s="75">
        <f>$C115*INDEX(Curves!$S$8:$S$68,AW$4-$B115+1)</f>
        <v/>
      </c>
      <c r="AX115" s="75">
        <f>$C115*INDEX(Curves!$S$8:$S$68,AX$4-$B115+1)</f>
        <v/>
      </c>
      <c r="AY115" s="75">
        <f>$C115*INDEX(Curves!$S$8:$S$68,AY$4-$B115+1)</f>
        <v/>
      </c>
      <c r="AZ115" s="75">
        <f>$C115*INDEX(Curves!$S$8:$S$68,AZ$4-$B115+1)</f>
        <v/>
      </c>
      <c r="BA115" s="75">
        <f>$C115*INDEX(Curves!$S$8:$S$68,BA$4-$B115+1)</f>
        <v/>
      </c>
      <c r="BB115" s="75">
        <f>$C115*INDEX(Curves!$S$8:$S$68,BB$4-$B115+1)</f>
        <v/>
      </c>
      <c r="BC115" s="75">
        <f>$C115*INDEX(Curves!$S$8:$S$68,BC$4-$B115+1)</f>
        <v/>
      </c>
      <c r="BD115" s="75">
        <f>$C115*INDEX(Curves!$S$8:$S$68,BD$4-$B115+1)</f>
        <v/>
      </c>
      <c r="BE115" s="75">
        <f>$C115*INDEX(Curves!$S$8:$S$68,BE$4-$B115+1)</f>
        <v/>
      </c>
      <c r="BF115" s="75">
        <f>$C115*INDEX(Curves!$S$8:$S$68,BF$4-$B115+1)</f>
        <v/>
      </c>
      <c r="BG115" s="75">
        <f>$C115*INDEX(Curves!$S$8:$S$68,BG$4-$B115+1)</f>
        <v/>
      </c>
      <c r="BH115" s="75">
        <f>$C115*INDEX(Curves!$S$8:$S$68,BH$4-$B115+1)</f>
        <v/>
      </c>
      <c r="BI115" s="75">
        <f>$C115*INDEX(Curves!$S$8:$S$68,BI$4-$B115+1)</f>
        <v/>
      </c>
      <c r="BJ115" s="75">
        <f>$C115*INDEX(Curves!$S$8:$S$68,BJ$4-$B115+1)</f>
        <v/>
      </c>
      <c r="BK115" s="75">
        <f>$C115*INDEX(Curves!$S$8:$S$68,BK$4-$B115+1)</f>
        <v/>
      </c>
      <c r="BL115" s="75">
        <f>$C115*INDEX(Curves!$S$8:$S$68,BL$4-$B115+1)</f>
        <v/>
      </c>
    </row>
    <row r="116">
      <c r="A116" s="74" t="inlineStr">
        <is>
          <t>Cohort month 44</t>
        </is>
      </c>
      <c r="B116" s="74" t="n">
        <v>44</v>
      </c>
      <c r="C116" s="17">
        <f>INDEX(Ops!$E$34:$BL$34,1,$B116)</f>
        <v/>
      </c>
      <c r="AW116" s="75">
        <f>$C116*INDEX(Curves!$S$8:$S$68,AW$4-$B116+1)</f>
        <v/>
      </c>
      <c r="AX116" s="75">
        <f>$C116*INDEX(Curves!$S$8:$S$68,AX$4-$B116+1)</f>
        <v/>
      </c>
      <c r="AY116" s="75">
        <f>$C116*INDEX(Curves!$S$8:$S$68,AY$4-$B116+1)</f>
        <v/>
      </c>
      <c r="AZ116" s="75">
        <f>$C116*INDEX(Curves!$S$8:$S$68,AZ$4-$B116+1)</f>
        <v/>
      </c>
      <c r="BA116" s="75">
        <f>$C116*INDEX(Curves!$S$8:$S$68,BA$4-$B116+1)</f>
        <v/>
      </c>
      <c r="BB116" s="75">
        <f>$C116*INDEX(Curves!$S$8:$S$68,BB$4-$B116+1)</f>
        <v/>
      </c>
      <c r="BC116" s="75">
        <f>$C116*INDEX(Curves!$S$8:$S$68,BC$4-$B116+1)</f>
        <v/>
      </c>
      <c r="BD116" s="75">
        <f>$C116*INDEX(Curves!$S$8:$S$68,BD$4-$B116+1)</f>
        <v/>
      </c>
      <c r="BE116" s="75">
        <f>$C116*INDEX(Curves!$S$8:$S$68,BE$4-$B116+1)</f>
        <v/>
      </c>
      <c r="BF116" s="75">
        <f>$C116*INDEX(Curves!$S$8:$S$68,BF$4-$B116+1)</f>
        <v/>
      </c>
      <c r="BG116" s="75">
        <f>$C116*INDEX(Curves!$S$8:$S$68,BG$4-$B116+1)</f>
        <v/>
      </c>
      <c r="BH116" s="75">
        <f>$C116*INDEX(Curves!$S$8:$S$68,BH$4-$B116+1)</f>
        <v/>
      </c>
      <c r="BI116" s="75">
        <f>$C116*INDEX(Curves!$S$8:$S$68,BI$4-$B116+1)</f>
        <v/>
      </c>
      <c r="BJ116" s="75">
        <f>$C116*INDEX(Curves!$S$8:$S$68,BJ$4-$B116+1)</f>
        <v/>
      </c>
      <c r="BK116" s="75">
        <f>$C116*INDEX(Curves!$S$8:$S$68,BK$4-$B116+1)</f>
        <v/>
      </c>
      <c r="BL116" s="75">
        <f>$C116*INDEX(Curves!$S$8:$S$68,BL$4-$B116+1)</f>
        <v/>
      </c>
    </row>
    <row r="117">
      <c r="A117" s="74" t="inlineStr">
        <is>
          <t>Cohort month 45</t>
        </is>
      </c>
      <c r="B117" s="74" t="n">
        <v>45</v>
      </c>
      <c r="C117" s="17">
        <f>INDEX(Ops!$E$34:$BL$34,1,$B117)</f>
        <v/>
      </c>
      <c r="AX117" s="75">
        <f>$C117*INDEX(Curves!$S$8:$S$68,AX$4-$B117+1)</f>
        <v/>
      </c>
      <c r="AY117" s="75">
        <f>$C117*INDEX(Curves!$S$8:$S$68,AY$4-$B117+1)</f>
        <v/>
      </c>
      <c r="AZ117" s="75">
        <f>$C117*INDEX(Curves!$S$8:$S$68,AZ$4-$B117+1)</f>
        <v/>
      </c>
      <c r="BA117" s="75">
        <f>$C117*INDEX(Curves!$S$8:$S$68,BA$4-$B117+1)</f>
        <v/>
      </c>
      <c r="BB117" s="75">
        <f>$C117*INDEX(Curves!$S$8:$S$68,BB$4-$B117+1)</f>
        <v/>
      </c>
      <c r="BC117" s="75">
        <f>$C117*INDEX(Curves!$S$8:$S$68,BC$4-$B117+1)</f>
        <v/>
      </c>
      <c r="BD117" s="75">
        <f>$C117*INDEX(Curves!$S$8:$S$68,BD$4-$B117+1)</f>
        <v/>
      </c>
      <c r="BE117" s="75">
        <f>$C117*INDEX(Curves!$S$8:$S$68,BE$4-$B117+1)</f>
        <v/>
      </c>
      <c r="BF117" s="75">
        <f>$C117*INDEX(Curves!$S$8:$S$68,BF$4-$B117+1)</f>
        <v/>
      </c>
      <c r="BG117" s="75">
        <f>$C117*INDEX(Curves!$S$8:$S$68,BG$4-$B117+1)</f>
        <v/>
      </c>
      <c r="BH117" s="75">
        <f>$C117*INDEX(Curves!$S$8:$S$68,BH$4-$B117+1)</f>
        <v/>
      </c>
      <c r="BI117" s="75">
        <f>$C117*INDEX(Curves!$S$8:$S$68,BI$4-$B117+1)</f>
        <v/>
      </c>
      <c r="BJ117" s="75">
        <f>$C117*INDEX(Curves!$S$8:$S$68,BJ$4-$B117+1)</f>
        <v/>
      </c>
      <c r="BK117" s="75">
        <f>$C117*INDEX(Curves!$S$8:$S$68,BK$4-$B117+1)</f>
        <v/>
      </c>
      <c r="BL117" s="75">
        <f>$C117*INDEX(Curves!$S$8:$S$68,BL$4-$B117+1)</f>
        <v/>
      </c>
    </row>
    <row r="118">
      <c r="A118" s="74" t="inlineStr">
        <is>
          <t>Cohort month 46</t>
        </is>
      </c>
      <c r="B118" s="74" t="n">
        <v>46</v>
      </c>
      <c r="C118" s="17">
        <f>INDEX(Ops!$E$34:$BL$34,1,$B118)</f>
        <v/>
      </c>
      <c r="AY118" s="75">
        <f>$C118*INDEX(Curves!$S$8:$S$68,AY$4-$B118+1)</f>
        <v/>
      </c>
      <c r="AZ118" s="75">
        <f>$C118*INDEX(Curves!$S$8:$S$68,AZ$4-$B118+1)</f>
        <v/>
      </c>
      <c r="BA118" s="75">
        <f>$C118*INDEX(Curves!$S$8:$S$68,BA$4-$B118+1)</f>
        <v/>
      </c>
      <c r="BB118" s="75">
        <f>$C118*INDEX(Curves!$S$8:$S$68,BB$4-$B118+1)</f>
        <v/>
      </c>
      <c r="BC118" s="75">
        <f>$C118*INDEX(Curves!$S$8:$S$68,BC$4-$B118+1)</f>
        <v/>
      </c>
      <c r="BD118" s="75">
        <f>$C118*INDEX(Curves!$S$8:$S$68,BD$4-$B118+1)</f>
        <v/>
      </c>
      <c r="BE118" s="75">
        <f>$C118*INDEX(Curves!$S$8:$S$68,BE$4-$B118+1)</f>
        <v/>
      </c>
      <c r="BF118" s="75">
        <f>$C118*INDEX(Curves!$S$8:$S$68,BF$4-$B118+1)</f>
        <v/>
      </c>
      <c r="BG118" s="75">
        <f>$C118*INDEX(Curves!$S$8:$S$68,BG$4-$B118+1)</f>
        <v/>
      </c>
      <c r="BH118" s="75">
        <f>$C118*INDEX(Curves!$S$8:$S$68,BH$4-$B118+1)</f>
        <v/>
      </c>
      <c r="BI118" s="75">
        <f>$C118*INDEX(Curves!$S$8:$S$68,BI$4-$B118+1)</f>
        <v/>
      </c>
      <c r="BJ118" s="75">
        <f>$C118*INDEX(Curves!$S$8:$S$68,BJ$4-$B118+1)</f>
        <v/>
      </c>
      <c r="BK118" s="75">
        <f>$C118*INDEX(Curves!$S$8:$S$68,BK$4-$B118+1)</f>
        <v/>
      </c>
      <c r="BL118" s="75">
        <f>$C118*INDEX(Curves!$S$8:$S$68,BL$4-$B118+1)</f>
        <v/>
      </c>
    </row>
    <row r="119">
      <c r="A119" s="74" t="inlineStr">
        <is>
          <t>Cohort month 47</t>
        </is>
      </c>
      <c r="B119" s="74" t="n">
        <v>47</v>
      </c>
      <c r="C119" s="17">
        <f>INDEX(Ops!$E$34:$BL$34,1,$B119)</f>
        <v/>
      </c>
      <c r="AZ119" s="75">
        <f>$C119*INDEX(Curves!$S$8:$S$68,AZ$4-$B119+1)</f>
        <v/>
      </c>
      <c r="BA119" s="75">
        <f>$C119*INDEX(Curves!$S$8:$S$68,BA$4-$B119+1)</f>
        <v/>
      </c>
      <c r="BB119" s="75">
        <f>$C119*INDEX(Curves!$S$8:$S$68,BB$4-$B119+1)</f>
        <v/>
      </c>
      <c r="BC119" s="75">
        <f>$C119*INDEX(Curves!$S$8:$S$68,BC$4-$B119+1)</f>
        <v/>
      </c>
      <c r="BD119" s="75">
        <f>$C119*INDEX(Curves!$S$8:$S$68,BD$4-$B119+1)</f>
        <v/>
      </c>
      <c r="BE119" s="75">
        <f>$C119*INDEX(Curves!$S$8:$S$68,BE$4-$B119+1)</f>
        <v/>
      </c>
      <c r="BF119" s="75">
        <f>$C119*INDEX(Curves!$S$8:$S$68,BF$4-$B119+1)</f>
        <v/>
      </c>
      <c r="BG119" s="75">
        <f>$C119*INDEX(Curves!$S$8:$S$68,BG$4-$B119+1)</f>
        <v/>
      </c>
      <c r="BH119" s="75">
        <f>$C119*INDEX(Curves!$S$8:$S$68,BH$4-$B119+1)</f>
        <v/>
      </c>
      <c r="BI119" s="75">
        <f>$C119*INDEX(Curves!$S$8:$S$68,BI$4-$B119+1)</f>
        <v/>
      </c>
      <c r="BJ119" s="75">
        <f>$C119*INDEX(Curves!$S$8:$S$68,BJ$4-$B119+1)</f>
        <v/>
      </c>
      <c r="BK119" s="75">
        <f>$C119*INDEX(Curves!$S$8:$S$68,BK$4-$B119+1)</f>
        <v/>
      </c>
      <c r="BL119" s="75">
        <f>$C119*INDEX(Curves!$S$8:$S$68,BL$4-$B119+1)</f>
        <v/>
      </c>
    </row>
    <row r="120">
      <c r="A120" s="74" t="inlineStr">
        <is>
          <t>Cohort month 48</t>
        </is>
      </c>
      <c r="B120" s="74" t="n">
        <v>48</v>
      </c>
      <c r="C120" s="17">
        <f>INDEX(Ops!$E$34:$BL$34,1,$B120)</f>
        <v/>
      </c>
      <c r="BA120" s="75">
        <f>$C120*INDEX(Curves!$S$8:$S$68,BA$4-$B120+1)</f>
        <v/>
      </c>
      <c r="BB120" s="75">
        <f>$C120*INDEX(Curves!$S$8:$S$68,BB$4-$B120+1)</f>
        <v/>
      </c>
      <c r="BC120" s="75">
        <f>$C120*INDEX(Curves!$S$8:$S$68,BC$4-$B120+1)</f>
        <v/>
      </c>
      <c r="BD120" s="75">
        <f>$C120*INDEX(Curves!$S$8:$S$68,BD$4-$B120+1)</f>
        <v/>
      </c>
      <c r="BE120" s="75">
        <f>$C120*INDEX(Curves!$S$8:$S$68,BE$4-$B120+1)</f>
        <v/>
      </c>
      <c r="BF120" s="75">
        <f>$C120*INDEX(Curves!$S$8:$S$68,BF$4-$B120+1)</f>
        <v/>
      </c>
      <c r="BG120" s="75">
        <f>$C120*INDEX(Curves!$S$8:$S$68,BG$4-$B120+1)</f>
        <v/>
      </c>
      <c r="BH120" s="75">
        <f>$C120*INDEX(Curves!$S$8:$S$68,BH$4-$B120+1)</f>
        <v/>
      </c>
      <c r="BI120" s="75">
        <f>$C120*INDEX(Curves!$S$8:$S$68,BI$4-$B120+1)</f>
        <v/>
      </c>
      <c r="BJ120" s="75">
        <f>$C120*INDEX(Curves!$S$8:$S$68,BJ$4-$B120+1)</f>
        <v/>
      </c>
      <c r="BK120" s="75">
        <f>$C120*INDEX(Curves!$S$8:$S$68,BK$4-$B120+1)</f>
        <v/>
      </c>
      <c r="BL120" s="75">
        <f>$C120*INDEX(Curves!$S$8:$S$68,BL$4-$B120+1)</f>
        <v/>
      </c>
    </row>
    <row r="121">
      <c r="A121" s="74" t="inlineStr">
        <is>
          <t>Cohort month 49</t>
        </is>
      </c>
      <c r="B121" s="74" t="n">
        <v>49</v>
      </c>
      <c r="C121" s="17">
        <f>INDEX(Ops!$E$34:$BL$34,1,$B121)</f>
        <v/>
      </c>
      <c r="BB121" s="75">
        <f>$C121*INDEX(Curves!$S$8:$S$68,BB$4-$B121+1)</f>
        <v/>
      </c>
      <c r="BC121" s="75">
        <f>$C121*INDEX(Curves!$S$8:$S$68,BC$4-$B121+1)</f>
        <v/>
      </c>
      <c r="BD121" s="75">
        <f>$C121*INDEX(Curves!$S$8:$S$68,BD$4-$B121+1)</f>
        <v/>
      </c>
      <c r="BE121" s="75">
        <f>$C121*INDEX(Curves!$S$8:$S$68,BE$4-$B121+1)</f>
        <v/>
      </c>
      <c r="BF121" s="75">
        <f>$C121*INDEX(Curves!$S$8:$S$68,BF$4-$B121+1)</f>
        <v/>
      </c>
      <c r="BG121" s="75">
        <f>$C121*INDEX(Curves!$S$8:$S$68,BG$4-$B121+1)</f>
        <v/>
      </c>
      <c r="BH121" s="75">
        <f>$C121*INDEX(Curves!$S$8:$S$68,BH$4-$B121+1)</f>
        <v/>
      </c>
      <c r="BI121" s="75">
        <f>$C121*INDEX(Curves!$S$8:$S$68,BI$4-$B121+1)</f>
        <v/>
      </c>
      <c r="BJ121" s="75">
        <f>$C121*INDEX(Curves!$S$8:$S$68,BJ$4-$B121+1)</f>
        <v/>
      </c>
      <c r="BK121" s="75">
        <f>$C121*INDEX(Curves!$S$8:$S$68,BK$4-$B121+1)</f>
        <v/>
      </c>
      <c r="BL121" s="75">
        <f>$C121*INDEX(Curves!$S$8:$S$68,BL$4-$B121+1)</f>
        <v/>
      </c>
    </row>
    <row r="122">
      <c r="A122" s="74" t="inlineStr">
        <is>
          <t>Cohort month 50</t>
        </is>
      </c>
      <c r="B122" s="74" t="n">
        <v>50</v>
      </c>
      <c r="C122" s="17">
        <f>INDEX(Ops!$E$34:$BL$34,1,$B122)</f>
        <v/>
      </c>
      <c r="BC122" s="75">
        <f>$C122*INDEX(Curves!$S$8:$S$68,BC$4-$B122+1)</f>
        <v/>
      </c>
      <c r="BD122" s="75">
        <f>$C122*INDEX(Curves!$S$8:$S$68,BD$4-$B122+1)</f>
        <v/>
      </c>
      <c r="BE122" s="75">
        <f>$C122*INDEX(Curves!$S$8:$S$68,BE$4-$B122+1)</f>
        <v/>
      </c>
      <c r="BF122" s="75">
        <f>$C122*INDEX(Curves!$S$8:$S$68,BF$4-$B122+1)</f>
        <v/>
      </c>
      <c r="BG122" s="75">
        <f>$C122*INDEX(Curves!$S$8:$S$68,BG$4-$B122+1)</f>
        <v/>
      </c>
      <c r="BH122" s="75">
        <f>$C122*INDEX(Curves!$S$8:$S$68,BH$4-$B122+1)</f>
        <v/>
      </c>
      <c r="BI122" s="75">
        <f>$C122*INDEX(Curves!$S$8:$S$68,BI$4-$B122+1)</f>
        <v/>
      </c>
      <c r="BJ122" s="75">
        <f>$C122*INDEX(Curves!$S$8:$S$68,BJ$4-$B122+1)</f>
        <v/>
      </c>
      <c r="BK122" s="75">
        <f>$C122*INDEX(Curves!$S$8:$S$68,BK$4-$B122+1)</f>
        <v/>
      </c>
      <c r="BL122" s="75">
        <f>$C122*INDEX(Curves!$S$8:$S$68,BL$4-$B122+1)</f>
        <v/>
      </c>
    </row>
    <row r="123">
      <c r="A123" s="74" t="inlineStr">
        <is>
          <t>Cohort month 51</t>
        </is>
      </c>
      <c r="B123" s="74" t="n">
        <v>51</v>
      </c>
      <c r="C123" s="17">
        <f>INDEX(Ops!$E$34:$BL$34,1,$B123)</f>
        <v/>
      </c>
      <c r="BD123" s="75">
        <f>$C123*INDEX(Curves!$S$8:$S$68,BD$4-$B123+1)</f>
        <v/>
      </c>
      <c r="BE123" s="75">
        <f>$C123*INDEX(Curves!$S$8:$S$68,BE$4-$B123+1)</f>
        <v/>
      </c>
      <c r="BF123" s="75">
        <f>$C123*INDEX(Curves!$S$8:$S$68,BF$4-$B123+1)</f>
        <v/>
      </c>
      <c r="BG123" s="75">
        <f>$C123*INDEX(Curves!$S$8:$S$68,BG$4-$B123+1)</f>
        <v/>
      </c>
      <c r="BH123" s="75">
        <f>$C123*INDEX(Curves!$S$8:$S$68,BH$4-$B123+1)</f>
        <v/>
      </c>
      <c r="BI123" s="75">
        <f>$C123*INDEX(Curves!$S$8:$S$68,BI$4-$B123+1)</f>
        <v/>
      </c>
      <c r="BJ123" s="75">
        <f>$C123*INDEX(Curves!$S$8:$S$68,BJ$4-$B123+1)</f>
        <v/>
      </c>
      <c r="BK123" s="75">
        <f>$C123*INDEX(Curves!$S$8:$S$68,BK$4-$B123+1)</f>
        <v/>
      </c>
      <c r="BL123" s="75">
        <f>$C123*INDEX(Curves!$S$8:$S$68,BL$4-$B123+1)</f>
        <v/>
      </c>
    </row>
    <row r="124">
      <c r="A124" s="74" t="inlineStr">
        <is>
          <t>Cohort month 52</t>
        </is>
      </c>
      <c r="B124" s="74" t="n">
        <v>52</v>
      </c>
      <c r="C124" s="17">
        <f>INDEX(Ops!$E$34:$BL$34,1,$B124)</f>
        <v/>
      </c>
      <c r="BE124" s="75">
        <f>$C124*INDEX(Curves!$S$8:$S$68,BE$4-$B124+1)</f>
        <v/>
      </c>
      <c r="BF124" s="75">
        <f>$C124*INDEX(Curves!$S$8:$S$68,BF$4-$B124+1)</f>
        <v/>
      </c>
      <c r="BG124" s="75">
        <f>$C124*INDEX(Curves!$S$8:$S$68,BG$4-$B124+1)</f>
        <v/>
      </c>
      <c r="BH124" s="75">
        <f>$C124*INDEX(Curves!$S$8:$S$68,BH$4-$B124+1)</f>
        <v/>
      </c>
      <c r="BI124" s="75">
        <f>$C124*INDEX(Curves!$S$8:$S$68,BI$4-$B124+1)</f>
        <v/>
      </c>
      <c r="BJ124" s="75">
        <f>$C124*INDEX(Curves!$S$8:$S$68,BJ$4-$B124+1)</f>
        <v/>
      </c>
      <c r="BK124" s="75">
        <f>$C124*INDEX(Curves!$S$8:$S$68,BK$4-$B124+1)</f>
        <v/>
      </c>
      <c r="BL124" s="75">
        <f>$C124*INDEX(Curves!$S$8:$S$68,BL$4-$B124+1)</f>
        <v/>
      </c>
    </row>
    <row r="125">
      <c r="A125" s="74" t="inlineStr">
        <is>
          <t>Cohort month 53</t>
        </is>
      </c>
      <c r="B125" s="74" t="n">
        <v>53</v>
      </c>
      <c r="C125" s="17">
        <f>INDEX(Ops!$E$34:$BL$34,1,$B125)</f>
        <v/>
      </c>
      <c r="BF125" s="75">
        <f>$C125*INDEX(Curves!$S$8:$S$68,BF$4-$B125+1)</f>
        <v/>
      </c>
      <c r="BG125" s="75">
        <f>$C125*INDEX(Curves!$S$8:$S$68,BG$4-$B125+1)</f>
        <v/>
      </c>
      <c r="BH125" s="75">
        <f>$C125*INDEX(Curves!$S$8:$S$68,BH$4-$B125+1)</f>
        <v/>
      </c>
      <c r="BI125" s="75">
        <f>$C125*INDEX(Curves!$S$8:$S$68,BI$4-$B125+1)</f>
        <v/>
      </c>
      <c r="BJ125" s="75">
        <f>$C125*INDEX(Curves!$S$8:$S$68,BJ$4-$B125+1)</f>
        <v/>
      </c>
      <c r="BK125" s="75">
        <f>$C125*INDEX(Curves!$S$8:$S$68,BK$4-$B125+1)</f>
        <v/>
      </c>
      <c r="BL125" s="75">
        <f>$C125*INDEX(Curves!$S$8:$S$68,BL$4-$B125+1)</f>
        <v/>
      </c>
    </row>
    <row r="126">
      <c r="A126" s="74" t="inlineStr">
        <is>
          <t>Cohort month 54</t>
        </is>
      </c>
      <c r="B126" s="74" t="n">
        <v>54</v>
      </c>
      <c r="C126" s="17">
        <f>INDEX(Ops!$E$34:$BL$34,1,$B126)</f>
        <v/>
      </c>
      <c r="BG126" s="75">
        <f>$C126*INDEX(Curves!$S$8:$S$68,BG$4-$B126+1)</f>
        <v/>
      </c>
      <c r="BH126" s="75">
        <f>$C126*INDEX(Curves!$S$8:$S$68,BH$4-$B126+1)</f>
        <v/>
      </c>
      <c r="BI126" s="75">
        <f>$C126*INDEX(Curves!$S$8:$S$68,BI$4-$B126+1)</f>
        <v/>
      </c>
      <c r="BJ126" s="75">
        <f>$C126*INDEX(Curves!$S$8:$S$68,BJ$4-$B126+1)</f>
        <v/>
      </c>
      <c r="BK126" s="75">
        <f>$C126*INDEX(Curves!$S$8:$S$68,BK$4-$B126+1)</f>
        <v/>
      </c>
      <c r="BL126" s="75">
        <f>$C126*INDEX(Curves!$S$8:$S$68,BL$4-$B126+1)</f>
        <v/>
      </c>
    </row>
    <row r="127">
      <c r="A127" s="74" t="inlineStr">
        <is>
          <t>Cohort month 55</t>
        </is>
      </c>
      <c r="B127" s="74" t="n">
        <v>55</v>
      </c>
      <c r="C127" s="17">
        <f>INDEX(Ops!$E$34:$BL$34,1,$B127)</f>
        <v/>
      </c>
      <c r="BH127" s="75">
        <f>$C127*INDEX(Curves!$S$8:$S$68,BH$4-$B127+1)</f>
        <v/>
      </c>
      <c r="BI127" s="75">
        <f>$C127*INDEX(Curves!$S$8:$S$68,BI$4-$B127+1)</f>
        <v/>
      </c>
      <c r="BJ127" s="75">
        <f>$C127*INDEX(Curves!$S$8:$S$68,BJ$4-$B127+1)</f>
        <v/>
      </c>
      <c r="BK127" s="75">
        <f>$C127*INDEX(Curves!$S$8:$S$68,BK$4-$B127+1)</f>
        <v/>
      </c>
      <c r="BL127" s="75">
        <f>$C127*INDEX(Curves!$S$8:$S$68,BL$4-$B127+1)</f>
        <v/>
      </c>
    </row>
    <row r="128">
      <c r="A128" s="74" t="inlineStr">
        <is>
          <t>Cohort month 56</t>
        </is>
      </c>
      <c r="B128" s="74" t="n">
        <v>56</v>
      </c>
      <c r="C128" s="17">
        <f>INDEX(Ops!$E$34:$BL$34,1,$B128)</f>
        <v/>
      </c>
      <c r="BI128" s="75">
        <f>$C128*INDEX(Curves!$S$8:$S$68,BI$4-$B128+1)</f>
        <v/>
      </c>
      <c r="BJ128" s="75">
        <f>$C128*INDEX(Curves!$S$8:$S$68,BJ$4-$B128+1)</f>
        <v/>
      </c>
      <c r="BK128" s="75">
        <f>$C128*INDEX(Curves!$S$8:$S$68,BK$4-$B128+1)</f>
        <v/>
      </c>
      <c r="BL128" s="75">
        <f>$C128*INDEX(Curves!$S$8:$S$68,BL$4-$B128+1)</f>
        <v/>
      </c>
    </row>
    <row r="129">
      <c r="A129" s="74" t="inlineStr">
        <is>
          <t>Cohort month 57</t>
        </is>
      </c>
      <c r="B129" s="74" t="n">
        <v>57</v>
      </c>
      <c r="C129" s="17">
        <f>INDEX(Ops!$E$34:$BL$34,1,$B129)</f>
        <v/>
      </c>
      <c r="BJ129" s="75">
        <f>$C129*INDEX(Curves!$S$8:$S$68,BJ$4-$B129+1)</f>
        <v/>
      </c>
      <c r="BK129" s="75">
        <f>$C129*INDEX(Curves!$S$8:$S$68,BK$4-$B129+1)</f>
        <v/>
      </c>
      <c r="BL129" s="75">
        <f>$C129*INDEX(Curves!$S$8:$S$68,BL$4-$B129+1)</f>
        <v/>
      </c>
    </row>
    <row r="130">
      <c r="A130" s="74" t="inlineStr">
        <is>
          <t>Cohort month 58</t>
        </is>
      </c>
      <c r="B130" s="74" t="n">
        <v>58</v>
      </c>
      <c r="C130" s="17">
        <f>INDEX(Ops!$E$34:$BL$34,1,$B130)</f>
        <v/>
      </c>
      <c r="BK130" s="75">
        <f>$C130*INDEX(Curves!$S$8:$S$68,BK$4-$B130+1)</f>
        <v/>
      </c>
      <c r="BL130" s="75">
        <f>$C130*INDEX(Curves!$S$8:$S$68,BL$4-$B130+1)</f>
        <v/>
      </c>
    </row>
    <row r="131">
      <c r="A131" s="74" t="inlineStr">
        <is>
          <t>Cohort month 59</t>
        </is>
      </c>
      <c r="B131" s="74" t="n">
        <v>59</v>
      </c>
      <c r="C131" s="17">
        <f>INDEX(Ops!$E$34:$BL$34,1,$B131)</f>
        <v/>
      </c>
      <c r="BL131" s="75">
        <f>$C131*INDEX(Curves!$S$8:$S$68,BL$4-$B131+1)</f>
        <v/>
      </c>
    </row>
    <row r="132">
      <c r="A132" s="74" t="inlineStr">
        <is>
          <t>Cohort month 60</t>
        </is>
      </c>
      <c r="B132" s="74" t="n">
        <v>60</v>
      </c>
      <c r="C132" s="17">
        <f>INDEX(Ops!$E$34:$BL$34,1,$B132)</f>
        <v/>
      </c>
    </row>
    <row r="133"/>
    <row r="134">
      <c r="A134" s="14" t="inlineStr">
        <is>
          <t>Receivables at risk by cohort (LCY)</t>
        </is>
      </c>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c r="AL134" s="15" t="n"/>
      <c r="AM134" s="15" t="n"/>
      <c r="AN134" s="15" t="n"/>
      <c r="AO134" s="15" t="n"/>
      <c r="AP134" s="15" t="n"/>
      <c r="AQ134" s="15" t="n"/>
      <c r="AR134" s="15" t="n"/>
      <c r="AS134" s="15" t="n"/>
      <c r="AT134" s="15" t="n"/>
      <c r="AU134" s="15" t="n"/>
      <c r="AV134" s="15" t="n"/>
      <c r="AW134" s="15" t="n"/>
      <c r="AX134" s="15" t="n"/>
      <c r="AY134" s="15" t="n"/>
      <c r="AZ134" s="15" t="n"/>
      <c r="BA134" s="15" t="n"/>
      <c r="BB134" s="15" t="n"/>
      <c r="BC134" s="15" t="n"/>
      <c r="BD134" s="15" t="n"/>
      <c r="BE134" s="15" t="n"/>
      <c r="BF134" s="15" t="n"/>
      <c r="BG134" s="15" t="n"/>
      <c r="BH134" s="15" t="n"/>
      <c r="BI134" s="15" t="n"/>
      <c r="BJ134" s="15" t="n"/>
      <c r="BK134" s="15" t="n"/>
      <c r="BL134" s="15" t="n"/>
    </row>
    <row r="135">
      <c r="A135" s="60" t="inlineStr">
        <is>
          <t>Total</t>
        </is>
      </c>
      <c r="B135" s="61" t="inlineStr"/>
      <c r="C135" s="63" t="n"/>
      <c r="D135" s="63" t="n"/>
      <c r="E135" s="71">
        <f>SUM(E136:E195)</f>
        <v/>
      </c>
      <c r="F135" s="71">
        <f>SUM(F136:F195)</f>
        <v/>
      </c>
      <c r="G135" s="71">
        <f>SUM(G136:G195)</f>
        <v/>
      </c>
      <c r="H135" s="71">
        <f>SUM(H136:H195)</f>
        <v/>
      </c>
      <c r="I135" s="71">
        <f>SUM(I136:I195)</f>
        <v/>
      </c>
      <c r="J135" s="71">
        <f>SUM(J136:J195)</f>
        <v/>
      </c>
      <c r="K135" s="71">
        <f>SUM(K136:K195)</f>
        <v/>
      </c>
      <c r="L135" s="71">
        <f>SUM(L136:L195)</f>
        <v/>
      </c>
      <c r="M135" s="71">
        <f>SUM(M136:M195)</f>
        <v/>
      </c>
      <c r="N135" s="71">
        <f>SUM(N136:N195)</f>
        <v/>
      </c>
      <c r="O135" s="71">
        <f>SUM(O136:O195)</f>
        <v/>
      </c>
      <c r="P135" s="71">
        <f>SUM(P136:P195)</f>
        <v/>
      </c>
      <c r="Q135" s="71">
        <f>SUM(Q136:Q195)</f>
        <v/>
      </c>
      <c r="R135" s="71">
        <f>SUM(R136:R195)</f>
        <v/>
      </c>
      <c r="S135" s="71">
        <f>SUM(S136:S195)</f>
        <v/>
      </c>
      <c r="T135" s="71">
        <f>SUM(T136:T195)</f>
        <v/>
      </c>
      <c r="U135" s="71">
        <f>SUM(U136:U195)</f>
        <v/>
      </c>
      <c r="V135" s="71">
        <f>SUM(V136:V195)</f>
        <v/>
      </c>
      <c r="W135" s="71">
        <f>SUM(W136:W195)</f>
        <v/>
      </c>
      <c r="X135" s="71">
        <f>SUM(X136:X195)</f>
        <v/>
      </c>
      <c r="Y135" s="71">
        <f>SUM(Y136:Y195)</f>
        <v/>
      </c>
      <c r="Z135" s="71">
        <f>SUM(Z136:Z195)</f>
        <v/>
      </c>
      <c r="AA135" s="71">
        <f>SUM(AA136:AA195)</f>
        <v/>
      </c>
      <c r="AB135" s="71">
        <f>SUM(AB136:AB195)</f>
        <v/>
      </c>
      <c r="AC135" s="71">
        <f>SUM(AC136:AC195)</f>
        <v/>
      </c>
      <c r="AD135" s="71">
        <f>SUM(AD136:AD195)</f>
        <v/>
      </c>
      <c r="AE135" s="71">
        <f>SUM(AE136:AE195)</f>
        <v/>
      </c>
      <c r="AF135" s="71">
        <f>SUM(AF136:AF195)</f>
        <v/>
      </c>
      <c r="AG135" s="71">
        <f>SUM(AG136:AG195)</f>
        <v/>
      </c>
      <c r="AH135" s="71">
        <f>SUM(AH136:AH195)</f>
        <v/>
      </c>
      <c r="AI135" s="71">
        <f>SUM(AI136:AI195)</f>
        <v/>
      </c>
      <c r="AJ135" s="71">
        <f>SUM(AJ136:AJ195)</f>
        <v/>
      </c>
      <c r="AK135" s="71">
        <f>SUM(AK136:AK195)</f>
        <v/>
      </c>
      <c r="AL135" s="71">
        <f>SUM(AL136:AL195)</f>
        <v/>
      </c>
      <c r="AM135" s="71">
        <f>SUM(AM136:AM195)</f>
        <v/>
      </c>
      <c r="AN135" s="71">
        <f>SUM(AN136:AN195)</f>
        <v/>
      </c>
      <c r="AO135" s="71">
        <f>SUM(AO136:AO195)</f>
        <v/>
      </c>
      <c r="AP135" s="71">
        <f>SUM(AP136:AP195)</f>
        <v/>
      </c>
      <c r="AQ135" s="71">
        <f>SUM(AQ136:AQ195)</f>
        <v/>
      </c>
      <c r="AR135" s="71">
        <f>SUM(AR136:AR195)</f>
        <v/>
      </c>
      <c r="AS135" s="71">
        <f>SUM(AS136:AS195)</f>
        <v/>
      </c>
      <c r="AT135" s="71">
        <f>SUM(AT136:AT195)</f>
        <v/>
      </c>
      <c r="AU135" s="71">
        <f>SUM(AU136:AU195)</f>
        <v/>
      </c>
      <c r="AV135" s="71">
        <f>SUM(AV136:AV195)</f>
        <v/>
      </c>
      <c r="AW135" s="71">
        <f>SUM(AW136:AW195)</f>
        <v/>
      </c>
      <c r="AX135" s="71">
        <f>SUM(AX136:AX195)</f>
        <v/>
      </c>
      <c r="AY135" s="71">
        <f>SUM(AY136:AY195)</f>
        <v/>
      </c>
      <c r="AZ135" s="71">
        <f>SUM(AZ136:AZ195)</f>
        <v/>
      </c>
      <c r="BA135" s="71">
        <f>SUM(BA136:BA195)</f>
        <v/>
      </c>
      <c r="BB135" s="71">
        <f>SUM(BB136:BB195)</f>
        <v/>
      </c>
      <c r="BC135" s="71">
        <f>SUM(BC136:BC195)</f>
        <v/>
      </c>
      <c r="BD135" s="71">
        <f>SUM(BD136:BD195)</f>
        <v/>
      </c>
      <c r="BE135" s="71">
        <f>SUM(BE136:BE195)</f>
        <v/>
      </c>
      <c r="BF135" s="71">
        <f>SUM(BF136:BF195)</f>
        <v/>
      </c>
      <c r="BG135" s="71">
        <f>SUM(BG136:BG195)</f>
        <v/>
      </c>
      <c r="BH135" s="71">
        <f>SUM(BH136:BH195)</f>
        <v/>
      </c>
      <c r="BI135" s="71">
        <f>SUM(BI136:BI195)</f>
        <v/>
      </c>
      <c r="BJ135" s="71">
        <f>SUM(BJ136:BJ195)</f>
        <v/>
      </c>
      <c r="BK135" s="71">
        <f>SUM(BK136:BK195)</f>
        <v/>
      </c>
      <c r="BL135" s="71">
        <f>SUM(BL136:BL195)</f>
        <v/>
      </c>
    </row>
    <row r="136">
      <c r="A136" s="74" t="inlineStr">
        <is>
          <t>Cohort month 1</t>
        </is>
      </c>
      <c r="B136" s="74" t="n">
        <v>1</v>
      </c>
      <c r="C136" s="17">
        <f>INDEX(Ops!$E$35:$BL$35,1,$B136)</f>
        <v/>
      </c>
      <c r="F136" s="75">
        <f>$C136*INDEX(Curves!$R$8:$R$68,F$4-$B136+1)</f>
        <v/>
      </c>
      <c r="G136" s="75">
        <f>$C136*INDEX(Curves!$R$8:$R$68,G$4-$B136+1)</f>
        <v/>
      </c>
      <c r="H136" s="75">
        <f>$C136*INDEX(Curves!$R$8:$R$68,H$4-$B136+1)</f>
        <v/>
      </c>
      <c r="I136" s="75">
        <f>$C136*INDEX(Curves!$R$8:$R$68,I$4-$B136+1)</f>
        <v/>
      </c>
      <c r="J136" s="75">
        <f>$C136*INDEX(Curves!$R$8:$R$68,J$4-$B136+1)</f>
        <v/>
      </c>
      <c r="K136" s="75">
        <f>$C136*INDEX(Curves!$R$8:$R$68,K$4-$B136+1)</f>
        <v/>
      </c>
      <c r="L136" s="75">
        <f>$C136*INDEX(Curves!$R$8:$R$68,L$4-$B136+1)</f>
        <v/>
      </c>
      <c r="M136" s="75">
        <f>$C136*INDEX(Curves!$R$8:$R$68,M$4-$B136+1)</f>
        <v/>
      </c>
      <c r="N136" s="75">
        <f>$C136*INDEX(Curves!$R$8:$R$68,N$4-$B136+1)</f>
        <v/>
      </c>
      <c r="O136" s="75">
        <f>$C136*INDEX(Curves!$R$8:$R$68,O$4-$B136+1)</f>
        <v/>
      </c>
      <c r="P136" s="75">
        <f>$C136*INDEX(Curves!$R$8:$R$68,P$4-$B136+1)</f>
        <v/>
      </c>
      <c r="Q136" s="75">
        <f>$C136*INDEX(Curves!$R$8:$R$68,Q$4-$B136+1)</f>
        <v/>
      </c>
      <c r="R136" s="75">
        <f>$C136*INDEX(Curves!$R$8:$R$68,R$4-$B136+1)</f>
        <v/>
      </c>
      <c r="S136" s="75">
        <f>$C136*INDEX(Curves!$R$8:$R$68,S$4-$B136+1)</f>
        <v/>
      </c>
      <c r="T136" s="75">
        <f>$C136*INDEX(Curves!$R$8:$R$68,T$4-$B136+1)</f>
        <v/>
      </c>
      <c r="U136" s="75">
        <f>$C136*INDEX(Curves!$R$8:$R$68,U$4-$B136+1)</f>
        <v/>
      </c>
      <c r="V136" s="75">
        <f>$C136*INDEX(Curves!$R$8:$R$68,V$4-$B136+1)</f>
        <v/>
      </c>
      <c r="W136" s="75">
        <f>$C136*INDEX(Curves!$R$8:$R$68,W$4-$B136+1)</f>
        <v/>
      </c>
      <c r="X136" s="75">
        <f>$C136*INDEX(Curves!$R$8:$R$68,X$4-$B136+1)</f>
        <v/>
      </c>
      <c r="Y136" s="75">
        <f>$C136*INDEX(Curves!$R$8:$R$68,Y$4-$B136+1)</f>
        <v/>
      </c>
      <c r="Z136" s="75">
        <f>$C136*INDEX(Curves!$R$8:$R$68,Z$4-$B136+1)</f>
        <v/>
      </c>
      <c r="AA136" s="75">
        <f>$C136*INDEX(Curves!$R$8:$R$68,AA$4-$B136+1)</f>
        <v/>
      </c>
      <c r="AB136" s="75">
        <f>$C136*INDEX(Curves!$R$8:$R$68,AB$4-$B136+1)</f>
        <v/>
      </c>
      <c r="AC136" s="75">
        <f>$C136*INDEX(Curves!$R$8:$R$68,AC$4-$B136+1)</f>
        <v/>
      </c>
      <c r="AD136" s="75">
        <f>$C136*INDEX(Curves!$R$8:$R$68,AD$4-$B136+1)</f>
        <v/>
      </c>
      <c r="AE136" s="75">
        <f>$C136*INDEX(Curves!$R$8:$R$68,AE$4-$B136+1)</f>
        <v/>
      </c>
      <c r="AF136" s="75">
        <f>$C136*INDEX(Curves!$R$8:$R$68,AF$4-$B136+1)</f>
        <v/>
      </c>
      <c r="AG136" s="75">
        <f>$C136*INDEX(Curves!$R$8:$R$68,AG$4-$B136+1)</f>
        <v/>
      </c>
      <c r="AH136" s="75">
        <f>$C136*INDEX(Curves!$R$8:$R$68,AH$4-$B136+1)</f>
        <v/>
      </c>
      <c r="AI136" s="75">
        <f>$C136*INDEX(Curves!$R$8:$R$68,AI$4-$B136+1)</f>
        <v/>
      </c>
      <c r="AJ136" s="75">
        <f>$C136*INDEX(Curves!$R$8:$R$68,AJ$4-$B136+1)</f>
        <v/>
      </c>
      <c r="AK136" s="75">
        <f>$C136*INDEX(Curves!$R$8:$R$68,AK$4-$B136+1)</f>
        <v/>
      </c>
      <c r="AL136" s="75">
        <f>$C136*INDEX(Curves!$R$8:$R$68,AL$4-$B136+1)</f>
        <v/>
      </c>
      <c r="AM136" s="75">
        <f>$C136*INDEX(Curves!$R$8:$R$68,AM$4-$B136+1)</f>
        <v/>
      </c>
      <c r="AN136" s="75">
        <f>$C136*INDEX(Curves!$R$8:$R$68,AN$4-$B136+1)</f>
        <v/>
      </c>
      <c r="AO136" s="75">
        <f>$C136*INDEX(Curves!$R$8:$R$68,AO$4-$B136+1)</f>
        <v/>
      </c>
      <c r="AP136" s="75">
        <f>$C136*INDEX(Curves!$R$8:$R$68,AP$4-$B136+1)</f>
        <v/>
      </c>
      <c r="AQ136" s="75">
        <f>$C136*INDEX(Curves!$R$8:$R$68,AQ$4-$B136+1)</f>
        <v/>
      </c>
      <c r="AR136" s="75">
        <f>$C136*INDEX(Curves!$R$8:$R$68,AR$4-$B136+1)</f>
        <v/>
      </c>
      <c r="AS136" s="75">
        <f>$C136*INDEX(Curves!$R$8:$R$68,AS$4-$B136+1)</f>
        <v/>
      </c>
      <c r="AT136" s="75">
        <f>$C136*INDEX(Curves!$R$8:$R$68,AT$4-$B136+1)</f>
        <v/>
      </c>
      <c r="AU136" s="75">
        <f>$C136*INDEX(Curves!$R$8:$R$68,AU$4-$B136+1)</f>
        <v/>
      </c>
      <c r="AV136" s="75">
        <f>$C136*INDEX(Curves!$R$8:$R$68,AV$4-$B136+1)</f>
        <v/>
      </c>
      <c r="AW136" s="75">
        <f>$C136*INDEX(Curves!$R$8:$R$68,AW$4-$B136+1)</f>
        <v/>
      </c>
      <c r="AX136" s="75">
        <f>$C136*INDEX(Curves!$R$8:$R$68,AX$4-$B136+1)</f>
        <v/>
      </c>
      <c r="AY136" s="75">
        <f>$C136*INDEX(Curves!$R$8:$R$68,AY$4-$B136+1)</f>
        <v/>
      </c>
      <c r="AZ136" s="75">
        <f>$C136*INDEX(Curves!$R$8:$R$68,AZ$4-$B136+1)</f>
        <v/>
      </c>
      <c r="BA136" s="75">
        <f>$C136*INDEX(Curves!$R$8:$R$68,BA$4-$B136+1)</f>
        <v/>
      </c>
      <c r="BB136" s="75">
        <f>$C136*INDEX(Curves!$R$8:$R$68,BB$4-$B136+1)</f>
        <v/>
      </c>
      <c r="BC136" s="75">
        <f>$C136*INDEX(Curves!$R$8:$R$68,BC$4-$B136+1)</f>
        <v/>
      </c>
      <c r="BD136" s="75">
        <f>$C136*INDEX(Curves!$R$8:$R$68,BD$4-$B136+1)</f>
        <v/>
      </c>
      <c r="BE136" s="75">
        <f>$C136*INDEX(Curves!$R$8:$R$68,BE$4-$B136+1)</f>
        <v/>
      </c>
      <c r="BF136" s="75">
        <f>$C136*INDEX(Curves!$R$8:$R$68,BF$4-$B136+1)</f>
        <v/>
      </c>
      <c r="BG136" s="75">
        <f>$C136*INDEX(Curves!$R$8:$R$68,BG$4-$B136+1)</f>
        <v/>
      </c>
      <c r="BH136" s="75">
        <f>$C136*INDEX(Curves!$R$8:$R$68,BH$4-$B136+1)</f>
        <v/>
      </c>
      <c r="BI136" s="75">
        <f>$C136*INDEX(Curves!$R$8:$R$68,BI$4-$B136+1)</f>
        <v/>
      </c>
      <c r="BJ136" s="75">
        <f>$C136*INDEX(Curves!$R$8:$R$68,BJ$4-$B136+1)</f>
        <v/>
      </c>
      <c r="BK136" s="75">
        <f>$C136*INDEX(Curves!$R$8:$R$68,BK$4-$B136+1)</f>
        <v/>
      </c>
      <c r="BL136" s="75">
        <f>$C136*INDEX(Curves!$R$8:$R$68,BL$4-$B136+1)</f>
        <v/>
      </c>
    </row>
    <row r="137">
      <c r="A137" s="74" t="inlineStr">
        <is>
          <t>Cohort month 2</t>
        </is>
      </c>
      <c r="B137" s="74" t="n">
        <v>2</v>
      </c>
      <c r="C137" s="17">
        <f>INDEX(Ops!$E$35:$BL$35,1,$B137)</f>
        <v/>
      </c>
      <c r="G137" s="75">
        <f>$C137*INDEX(Curves!$R$8:$R$68,G$4-$B137+1)</f>
        <v/>
      </c>
      <c r="H137" s="75">
        <f>$C137*INDEX(Curves!$R$8:$R$68,H$4-$B137+1)</f>
        <v/>
      </c>
      <c r="I137" s="75">
        <f>$C137*INDEX(Curves!$R$8:$R$68,I$4-$B137+1)</f>
        <v/>
      </c>
      <c r="J137" s="75">
        <f>$C137*INDEX(Curves!$R$8:$R$68,J$4-$B137+1)</f>
        <v/>
      </c>
      <c r="K137" s="75">
        <f>$C137*INDEX(Curves!$R$8:$R$68,K$4-$B137+1)</f>
        <v/>
      </c>
      <c r="L137" s="75">
        <f>$C137*INDEX(Curves!$R$8:$R$68,L$4-$B137+1)</f>
        <v/>
      </c>
      <c r="M137" s="75">
        <f>$C137*INDEX(Curves!$R$8:$R$68,M$4-$B137+1)</f>
        <v/>
      </c>
      <c r="N137" s="75">
        <f>$C137*INDEX(Curves!$R$8:$R$68,N$4-$B137+1)</f>
        <v/>
      </c>
      <c r="O137" s="75">
        <f>$C137*INDEX(Curves!$R$8:$R$68,O$4-$B137+1)</f>
        <v/>
      </c>
      <c r="P137" s="75">
        <f>$C137*INDEX(Curves!$R$8:$R$68,P$4-$B137+1)</f>
        <v/>
      </c>
      <c r="Q137" s="75">
        <f>$C137*INDEX(Curves!$R$8:$R$68,Q$4-$B137+1)</f>
        <v/>
      </c>
      <c r="R137" s="75">
        <f>$C137*INDEX(Curves!$R$8:$R$68,R$4-$B137+1)</f>
        <v/>
      </c>
      <c r="S137" s="75">
        <f>$C137*INDEX(Curves!$R$8:$R$68,S$4-$B137+1)</f>
        <v/>
      </c>
      <c r="T137" s="75">
        <f>$C137*INDEX(Curves!$R$8:$R$68,T$4-$B137+1)</f>
        <v/>
      </c>
      <c r="U137" s="75">
        <f>$C137*INDEX(Curves!$R$8:$R$68,U$4-$B137+1)</f>
        <v/>
      </c>
      <c r="V137" s="75">
        <f>$C137*INDEX(Curves!$R$8:$R$68,V$4-$B137+1)</f>
        <v/>
      </c>
      <c r="W137" s="75">
        <f>$C137*INDEX(Curves!$R$8:$R$68,W$4-$B137+1)</f>
        <v/>
      </c>
      <c r="X137" s="75">
        <f>$C137*INDEX(Curves!$R$8:$R$68,X$4-$B137+1)</f>
        <v/>
      </c>
      <c r="Y137" s="75">
        <f>$C137*INDEX(Curves!$R$8:$R$68,Y$4-$B137+1)</f>
        <v/>
      </c>
      <c r="Z137" s="75">
        <f>$C137*INDEX(Curves!$R$8:$R$68,Z$4-$B137+1)</f>
        <v/>
      </c>
      <c r="AA137" s="75">
        <f>$C137*INDEX(Curves!$R$8:$R$68,AA$4-$B137+1)</f>
        <v/>
      </c>
      <c r="AB137" s="75">
        <f>$C137*INDEX(Curves!$R$8:$R$68,AB$4-$B137+1)</f>
        <v/>
      </c>
      <c r="AC137" s="75">
        <f>$C137*INDEX(Curves!$R$8:$R$68,AC$4-$B137+1)</f>
        <v/>
      </c>
      <c r="AD137" s="75">
        <f>$C137*INDEX(Curves!$R$8:$R$68,AD$4-$B137+1)</f>
        <v/>
      </c>
      <c r="AE137" s="75">
        <f>$C137*INDEX(Curves!$R$8:$R$68,AE$4-$B137+1)</f>
        <v/>
      </c>
      <c r="AF137" s="75">
        <f>$C137*INDEX(Curves!$R$8:$R$68,AF$4-$B137+1)</f>
        <v/>
      </c>
      <c r="AG137" s="75">
        <f>$C137*INDEX(Curves!$R$8:$R$68,AG$4-$B137+1)</f>
        <v/>
      </c>
      <c r="AH137" s="75">
        <f>$C137*INDEX(Curves!$R$8:$R$68,AH$4-$B137+1)</f>
        <v/>
      </c>
      <c r="AI137" s="75">
        <f>$C137*INDEX(Curves!$R$8:$R$68,AI$4-$B137+1)</f>
        <v/>
      </c>
      <c r="AJ137" s="75">
        <f>$C137*INDEX(Curves!$R$8:$R$68,AJ$4-$B137+1)</f>
        <v/>
      </c>
      <c r="AK137" s="75">
        <f>$C137*INDEX(Curves!$R$8:$R$68,AK$4-$B137+1)</f>
        <v/>
      </c>
      <c r="AL137" s="75">
        <f>$C137*INDEX(Curves!$R$8:$R$68,AL$4-$B137+1)</f>
        <v/>
      </c>
      <c r="AM137" s="75">
        <f>$C137*INDEX(Curves!$R$8:$R$68,AM$4-$B137+1)</f>
        <v/>
      </c>
      <c r="AN137" s="75">
        <f>$C137*INDEX(Curves!$R$8:$R$68,AN$4-$B137+1)</f>
        <v/>
      </c>
      <c r="AO137" s="75">
        <f>$C137*INDEX(Curves!$R$8:$R$68,AO$4-$B137+1)</f>
        <v/>
      </c>
      <c r="AP137" s="75">
        <f>$C137*INDEX(Curves!$R$8:$R$68,AP$4-$B137+1)</f>
        <v/>
      </c>
      <c r="AQ137" s="75">
        <f>$C137*INDEX(Curves!$R$8:$R$68,AQ$4-$B137+1)</f>
        <v/>
      </c>
      <c r="AR137" s="75">
        <f>$C137*INDEX(Curves!$R$8:$R$68,AR$4-$B137+1)</f>
        <v/>
      </c>
      <c r="AS137" s="75">
        <f>$C137*INDEX(Curves!$R$8:$R$68,AS$4-$B137+1)</f>
        <v/>
      </c>
      <c r="AT137" s="75">
        <f>$C137*INDEX(Curves!$R$8:$R$68,AT$4-$B137+1)</f>
        <v/>
      </c>
      <c r="AU137" s="75">
        <f>$C137*INDEX(Curves!$R$8:$R$68,AU$4-$B137+1)</f>
        <v/>
      </c>
      <c r="AV137" s="75">
        <f>$C137*INDEX(Curves!$R$8:$R$68,AV$4-$B137+1)</f>
        <v/>
      </c>
      <c r="AW137" s="75">
        <f>$C137*INDEX(Curves!$R$8:$R$68,AW$4-$B137+1)</f>
        <v/>
      </c>
      <c r="AX137" s="75">
        <f>$C137*INDEX(Curves!$R$8:$R$68,AX$4-$B137+1)</f>
        <v/>
      </c>
      <c r="AY137" s="75">
        <f>$C137*INDEX(Curves!$R$8:$R$68,AY$4-$B137+1)</f>
        <v/>
      </c>
      <c r="AZ137" s="75">
        <f>$C137*INDEX(Curves!$R$8:$R$68,AZ$4-$B137+1)</f>
        <v/>
      </c>
      <c r="BA137" s="75">
        <f>$C137*INDEX(Curves!$R$8:$R$68,BA$4-$B137+1)</f>
        <v/>
      </c>
      <c r="BB137" s="75">
        <f>$C137*INDEX(Curves!$R$8:$R$68,BB$4-$B137+1)</f>
        <v/>
      </c>
      <c r="BC137" s="75">
        <f>$C137*INDEX(Curves!$R$8:$R$68,BC$4-$B137+1)</f>
        <v/>
      </c>
      <c r="BD137" s="75">
        <f>$C137*INDEX(Curves!$R$8:$R$68,BD$4-$B137+1)</f>
        <v/>
      </c>
      <c r="BE137" s="75">
        <f>$C137*INDEX(Curves!$R$8:$R$68,BE$4-$B137+1)</f>
        <v/>
      </c>
      <c r="BF137" s="75">
        <f>$C137*INDEX(Curves!$R$8:$R$68,BF$4-$B137+1)</f>
        <v/>
      </c>
      <c r="BG137" s="75">
        <f>$C137*INDEX(Curves!$R$8:$R$68,BG$4-$B137+1)</f>
        <v/>
      </c>
      <c r="BH137" s="75">
        <f>$C137*INDEX(Curves!$R$8:$R$68,BH$4-$B137+1)</f>
        <v/>
      </c>
      <c r="BI137" s="75">
        <f>$C137*INDEX(Curves!$R$8:$R$68,BI$4-$B137+1)</f>
        <v/>
      </c>
      <c r="BJ137" s="75">
        <f>$C137*INDEX(Curves!$R$8:$R$68,BJ$4-$B137+1)</f>
        <v/>
      </c>
      <c r="BK137" s="75">
        <f>$C137*INDEX(Curves!$R$8:$R$68,BK$4-$B137+1)</f>
        <v/>
      </c>
      <c r="BL137" s="75">
        <f>$C137*INDEX(Curves!$R$8:$R$68,BL$4-$B137+1)</f>
        <v/>
      </c>
    </row>
    <row r="138">
      <c r="A138" s="74" t="inlineStr">
        <is>
          <t>Cohort month 3</t>
        </is>
      </c>
      <c r="B138" s="74" t="n">
        <v>3</v>
      </c>
      <c r="C138" s="17">
        <f>INDEX(Ops!$E$35:$BL$35,1,$B138)</f>
        <v/>
      </c>
      <c r="H138" s="75">
        <f>$C138*INDEX(Curves!$R$8:$R$68,H$4-$B138+1)</f>
        <v/>
      </c>
      <c r="I138" s="75">
        <f>$C138*INDEX(Curves!$R$8:$R$68,I$4-$B138+1)</f>
        <v/>
      </c>
      <c r="J138" s="75">
        <f>$C138*INDEX(Curves!$R$8:$R$68,J$4-$B138+1)</f>
        <v/>
      </c>
      <c r="K138" s="75">
        <f>$C138*INDEX(Curves!$R$8:$R$68,K$4-$B138+1)</f>
        <v/>
      </c>
      <c r="L138" s="75">
        <f>$C138*INDEX(Curves!$R$8:$R$68,L$4-$B138+1)</f>
        <v/>
      </c>
      <c r="M138" s="75">
        <f>$C138*INDEX(Curves!$R$8:$R$68,M$4-$B138+1)</f>
        <v/>
      </c>
      <c r="N138" s="75">
        <f>$C138*INDEX(Curves!$R$8:$R$68,N$4-$B138+1)</f>
        <v/>
      </c>
      <c r="O138" s="75">
        <f>$C138*INDEX(Curves!$R$8:$R$68,O$4-$B138+1)</f>
        <v/>
      </c>
      <c r="P138" s="75">
        <f>$C138*INDEX(Curves!$R$8:$R$68,P$4-$B138+1)</f>
        <v/>
      </c>
      <c r="Q138" s="75">
        <f>$C138*INDEX(Curves!$R$8:$R$68,Q$4-$B138+1)</f>
        <v/>
      </c>
      <c r="R138" s="75">
        <f>$C138*INDEX(Curves!$R$8:$R$68,R$4-$B138+1)</f>
        <v/>
      </c>
      <c r="S138" s="75">
        <f>$C138*INDEX(Curves!$R$8:$R$68,S$4-$B138+1)</f>
        <v/>
      </c>
      <c r="T138" s="75">
        <f>$C138*INDEX(Curves!$R$8:$R$68,T$4-$B138+1)</f>
        <v/>
      </c>
      <c r="U138" s="75">
        <f>$C138*INDEX(Curves!$R$8:$R$68,U$4-$B138+1)</f>
        <v/>
      </c>
      <c r="V138" s="75">
        <f>$C138*INDEX(Curves!$R$8:$R$68,V$4-$B138+1)</f>
        <v/>
      </c>
      <c r="W138" s="75">
        <f>$C138*INDEX(Curves!$R$8:$R$68,W$4-$B138+1)</f>
        <v/>
      </c>
      <c r="X138" s="75">
        <f>$C138*INDEX(Curves!$R$8:$R$68,X$4-$B138+1)</f>
        <v/>
      </c>
      <c r="Y138" s="75">
        <f>$C138*INDEX(Curves!$R$8:$R$68,Y$4-$B138+1)</f>
        <v/>
      </c>
      <c r="Z138" s="75">
        <f>$C138*INDEX(Curves!$R$8:$R$68,Z$4-$B138+1)</f>
        <v/>
      </c>
      <c r="AA138" s="75">
        <f>$C138*INDEX(Curves!$R$8:$R$68,AA$4-$B138+1)</f>
        <v/>
      </c>
      <c r="AB138" s="75">
        <f>$C138*INDEX(Curves!$R$8:$R$68,AB$4-$B138+1)</f>
        <v/>
      </c>
      <c r="AC138" s="75">
        <f>$C138*INDEX(Curves!$R$8:$R$68,AC$4-$B138+1)</f>
        <v/>
      </c>
      <c r="AD138" s="75">
        <f>$C138*INDEX(Curves!$R$8:$R$68,AD$4-$B138+1)</f>
        <v/>
      </c>
      <c r="AE138" s="75">
        <f>$C138*INDEX(Curves!$R$8:$R$68,AE$4-$B138+1)</f>
        <v/>
      </c>
      <c r="AF138" s="75">
        <f>$C138*INDEX(Curves!$R$8:$R$68,AF$4-$B138+1)</f>
        <v/>
      </c>
      <c r="AG138" s="75">
        <f>$C138*INDEX(Curves!$R$8:$R$68,AG$4-$B138+1)</f>
        <v/>
      </c>
      <c r="AH138" s="75">
        <f>$C138*INDEX(Curves!$R$8:$R$68,AH$4-$B138+1)</f>
        <v/>
      </c>
      <c r="AI138" s="75">
        <f>$C138*INDEX(Curves!$R$8:$R$68,AI$4-$B138+1)</f>
        <v/>
      </c>
      <c r="AJ138" s="75">
        <f>$C138*INDEX(Curves!$R$8:$R$68,AJ$4-$B138+1)</f>
        <v/>
      </c>
      <c r="AK138" s="75">
        <f>$C138*INDEX(Curves!$R$8:$R$68,AK$4-$B138+1)</f>
        <v/>
      </c>
      <c r="AL138" s="75">
        <f>$C138*INDEX(Curves!$R$8:$R$68,AL$4-$B138+1)</f>
        <v/>
      </c>
      <c r="AM138" s="75">
        <f>$C138*INDEX(Curves!$R$8:$R$68,AM$4-$B138+1)</f>
        <v/>
      </c>
      <c r="AN138" s="75">
        <f>$C138*INDEX(Curves!$R$8:$R$68,AN$4-$B138+1)</f>
        <v/>
      </c>
      <c r="AO138" s="75">
        <f>$C138*INDEX(Curves!$R$8:$R$68,AO$4-$B138+1)</f>
        <v/>
      </c>
      <c r="AP138" s="75">
        <f>$C138*INDEX(Curves!$R$8:$R$68,AP$4-$B138+1)</f>
        <v/>
      </c>
      <c r="AQ138" s="75">
        <f>$C138*INDEX(Curves!$R$8:$R$68,AQ$4-$B138+1)</f>
        <v/>
      </c>
      <c r="AR138" s="75">
        <f>$C138*INDEX(Curves!$R$8:$R$68,AR$4-$B138+1)</f>
        <v/>
      </c>
      <c r="AS138" s="75">
        <f>$C138*INDEX(Curves!$R$8:$R$68,AS$4-$B138+1)</f>
        <v/>
      </c>
      <c r="AT138" s="75">
        <f>$C138*INDEX(Curves!$R$8:$R$68,AT$4-$B138+1)</f>
        <v/>
      </c>
      <c r="AU138" s="75">
        <f>$C138*INDEX(Curves!$R$8:$R$68,AU$4-$B138+1)</f>
        <v/>
      </c>
      <c r="AV138" s="75">
        <f>$C138*INDEX(Curves!$R$8:$R$68,AV$4-$B138+1)</f>
        <v/>
      </c>
      <c r="AW138" s="75">
        <f>$C138*INDEX(Curves!$R$8:$R$68,AW$4-$B138+1)</f>
        <v/>
      </c>
      <c r="AX138" s="75">
        <f>$C138*INDEX(Curves!$R$8:$R$68,AX$4-$B138+1)</f>
        <v/>
      </c>
      <c r="AY138" s="75">
        <f>$C138*INDEX(Curves!$R$8:$R$68,AY$4-$B138+1)</f>
        <v/>
      </c>
      <c r="AZ138" s="75">
        <f>$C138*INDEX(Curves!$R$8:$R$68,AZ$4-$B138+1)</f>
        <v/>
      </c>
      <c r="BA138" s="75">
        <f>$C138*INDEX(Curves!$R$8:$R$68,BA$4-$B138+1)</f>
        <v/>
      </c>
      <c r="BB138" s="75">
        <f>$C138*INDEX(Curves!$R$8:$R$68,BB$4-$B138+1)</f>
        <v/>
      </c>
      <c r="BC138" s="75">
        <f>$C138*INDEX(Curves!$R$8:$R$68,BC$4-$B138+1)</f>
        <v/>
      </c>
      <c r="BD138" s="75">
        <f>$C138*INDEX(Curves!$R$8:$R$68,BD$4-$B138+1)</f>
        <v/>
      </c>
      <c r="BE138" s="75">
        <f>$C138*INDEX(Curves!$R$8:$R$68,BE$4-$B138+1)</f>
        <v/>
      </c>
      <c r="BF138" s="75">
        <f>$C138*INDEX(Curves!$R$8:$R$68,BF$4-$B138+1)</f>
        <v/>
      </c>
      <c r="BG138" s="75">
        <f>$C138*INDEX(Curves!$R$8:$R$68,BG$4-$B138+1)</f>
        <v/>
      </c>
      <c r="BH138" s="75">
        <f>$C138*INDEX(Curves!$R$8:$R$68,BH$4-$B138+1)</f>
        <v/>
      </c>
      <c r="BI138" s="75">
        <f>$C138*INDEX(Curves!$R$8:$R$68,BI$4-$B138+1)</f>
        <v/>
      </c>
      <c r="BJ138" s="75">
        <f>$C138*INDEX(Curves!$R$8:$R$68,BJ$4-$B138+1)</f>
        <v/>
      </c>
      <c r="BK138" s="75">
        <f>$C138*INDEX(Curves!$R$8:$R$68,BK$4-$B138+1)</f>
        <v/>
      </c>
      <c r="BL138" s="75">
        <f>$C138*INDEX(Curves!$R$8:$R$68,BL$4-$B138+1)</f>
        <v/>
      </c>
    </row>
    <row r="139">
      <c r="A139" s="74" t="inlineStr">
        <is>
          <t>Cohort month 4</t>
        </is>
      </c>
      <c r="B139" s="74" t="n">
        <v>4</v>
      </c>
      <c r="C139" s="17">
        <f>INDEX(Ops!$E$35:$BL$35,1,$B139)</f>
        <v/>
      </c>
      <c r="I139" s="75">
        <f>$C139*INDEX(Curves!$R$8:$R$68,I$4-$B139+1)</f>
        <v/>
      </c>
      <c r="J139" s="75">
        <f>$C139*INDEX(Curves!$R$8:$R$68,J$4-$B139+1)</f>
        <v/>
      </c>
      <c r="K139" s="75">
        <f>$C139*INDEX(Curves!$R$8:$R$68,K$4-$B139+1)</f>
        <v/>
      </c>
      <c r="L139" s="75">
        <f>$C139*INDEX(Curves!$R$8:$R$68,L$4-$B139+1)</f>
        <v/>
      </c>
      <c r="M139" s="75">
        <f>$C139*INDEX(Curves!$R$8:$R$68,M$4-$B139+1)</f>
        <v/>
      </c>
      <c r="N139" s="75">
        <f>$C139*INDEX(Curves!$R$8:$R$68,N$4-$B139+1)</f>
        <v/>
      </c>
      <c r="O139" s="75">
        <f>$C139*INDEX(Curves!$R$8:$R$68,O$4-$B139+1)</f>
        <v/>
      </c>
      <c r="P139" s="75">
        <f>$C139*INDEX(Curves!$R$8:$R$68,P$4-$B139+1)</f>
        <v/>
      </c>
      <c r="Q139" s="75">
        <f>$C139*INDEX(Curves!$R$8:$R$68,Q$4-$B139+1)</f>
        <v/>
      </c>
      <c r="R139" s="75">
        <f>$C139*INDEX(Curves!$R$8:$R$68,R$4-$B139+1)</f>
        <v/>
      </c>
      <c r="S139" s="75">
        <f>$C139*INDEX(Curves!$R$8:$R$68,S$4-$B139+1)</f>
        <v/>
      </c>
      <c r="T139" s="75">
        <f>$C139*INDEX(Curves!$R$8:$R$68,T$4-$B139+1)</f>
        <v/>
      </c>
      <c r="U139" s="75">
        <f>$C139*INDEX(Curves!$R$8:$R$68,U$4-$B139+1)</f>
        <v/>
      </c>
      <c r="V139" s="75">
        <f>$C139*INDEX(Curves!$R$8:$R$68,V$4-$B139+1)</f>
        <v/>
      </c>
      <c r="W139" s="75">
        <f>$C139*INDEX(Curves!$R$8:$R$68,W$4-$B139+1)</f>
        <v/>
      </c>
      <c r="X139" s="75">
        <f>$C139*INDEX(Curves!$R$8:$R$68,X$4-$B139+1)</f>
        <v/>
      </c>
      <c r="Y139" s="75">
        <f>$C139*INDEX(Curves!$R$8:$R$68,Y$4-$B139+1)</f>
        <v/>
      </c>
      <c r="Z139" s="75">
        <f>$C139*INDEX(Curves!$R$8:$R$68,Z$4-$B139+1)</f>
        <v/>
      </c>
      <c r="AA139" s="75">
        <f>$C139*INDEX(Curves!$R$8:$R$68,AA$4-$B139+1)</f>
        <v/>
      </c>
      <c r="AB139" s="75">
        <f>$C139*INDEX(Curves!$R$8:$R$68,AB$4-$B139+1)</f>
        <v/>
      </c>
      <c r="AC139" s="75">
        <f>$C139*INDEX(Curves!$R$8:$R$68,AC$4-$B139+1)</f>
        <v/>
      </c>
      <c r="AD139" s="75">
        <f>$C139*INDEX(Curves!$R$8:$R$68,AD$4-$B139+1)</f>
        <v/>
      </c>
      <c r="AE139" s="75">
        <f>$C139*INDEX(Curves!$R$8:$R$68,AE$4-$B139+1)</f>
        <v/>
      </c>
      <c r="AF139" s="75">
        <f>$C139*INDEX(Curves!$R$8:$R$68,AF$4-$B139+1)</f>
        <v/>
      </c>
      <c r="AG139" s="75">
        <f>$C139*INDEX(Curves!$R$8:$R$68,AG$4-$B139+1)</f>
        <v/>
      </c>
      <c r="AH139" s="75">
        <f>$C139*INDEX(Curves!$R$8:$R$68,AH$4-$B139+1)</f>
        <v/>
      </c>
      <c r="AI139" s="75">
        <f>$C139*INDEX(Curves!$R$8:$R$68,AI$4-$B139+1)</f>
        <v/>
      </c>
      <c r="AJ139" s="75">
        <f>$C139*INDEX(Curves!$R$8:$R$68,AJ$4-$B139+1)</f>
        <v/>
      </c>
      <c r="AK139" s="75">
        <f>$C139*INDEX(Curves!$R$8:$R$68,AK$4-$B139+1)</f>
        <v/>
      </c>
      <c r="AL139" s="75">
        <f>$C139*INDEX(Curves!$R$8:$R$68,AL$4-$B139+1)</f>
        <v/>
      </c>
      <c r="AM139" s="75">
        <f>$C139*INDEX(Curves!$R$8:$R$68,AM$4-$B139+1)</f>
        <v/>
      </c>
      <c r="AN139" s="75">
        <f>$C139*INDEX(Curves!$R$8:$R$68,AN$4-$B139+1)</f>
        <v/>
      </c>
      <c r="AO139" s="75">
        <f>$C139*INDEX(Curves!$R$8:$R$68,AO$4-$B139+1)</f>
        <v/>
      </c>
      <c r="AP139" s="75">
        <f>$C139*INDEX(Curves!$R$8:$R$68,AP$4-$B139+1)</f>
        <v/>
      </c>
      <c r="AQ139" s="75">
        <f>$C139*INDEX(Curves!$R$8:$R$68,AQ$4-$B139+1)</f>
        <v/>
      </c>
      <c r="AR139" s="75">
        <f>$C139*INDEX(Curves!$R$8:$R$68,AR$4-$B139+1)</f>
        <v/>
      </c>
      <c r="AS139" s="75">
        <f>$C139*INDEX(Curves!$R$8:$R$68,AS$4-$B139+1)</f>
        <v/>
      </c>
      <c r="AT139" s="75">
        <f>$C139*INDEX(Curves!$R$8:$R$68,AT$4-$B139+1)</f>
        <v/>
      </c>
      <c r="AU139" s="75">
        <f>$C139*INDEX(Curves!$R$8:$R$68,AU$4-$B139+1)</f>
        <v/>
      </c>
      <c r="AV139" s="75">
        <f>$C139*INDEX(Curves!$R$8:$R$68,AV$4-$B139+1)</f>
        <v/>
      </c>
      <c r="AW139" s="75">
        <f>$C139*INDEX(Curves!$R$8:$R$68,AW$4-$B139+1)</f>
        <v/>
      </c>
      <c r="AX139" s="75">
        <f>$C139*INDEX(Curves!$R$8:$R$68,AX$4-$B139+1)</f>
        <v/>
      </c>
      <c r="AY139" s="75">
        <f>$C139*INDEX(Curves!$R$8:$R$68,AY$4-$B139+1)</f>
        <v/>
      </c>
      <c r="AZ139" s="75">
        <f>$C139*INDEX(Curves!$R$8:$R$68,AZ$4-$B139+1)</f>
        <v/>
      </c>
      <c r="BA139" s="75">
        <f>$C139*INDEX(Curves!$R$8:$R$68,BA$4-$B139+1)</f>
        <v/>
      </c>
      <c r="BB139" s="75">
        <f>$C139*INDEX(Curves!$R$8:$R$68,BB$4-$B139+1)</f>
        <v/>
      </c>
      <c r="BC139" s="75">
        <f>$C139*INDEX(Curves!$R$8:$R$68,BC$4-$B139+1)</f>
        <v/>
      </c>
      <c r="BD139" s="75">
        <f>$C139*INDEX(Curves!$R$8:$R$68,BD$4-$B139+1)</f>
        <v/>
      </c>
      <c r="BE139" s="75">
        <f>$C139*INDEX(Curves!$R$8:$R$68,BE$4-$B139+1)</f>
        <v/>
      </c>
      <c r="BF139" s="75">
        <f>$C139*INDEX(Curves!$R$8:$R$68,BF$4-$B139+1)</f>
        <v/>
      </c>
      <c r="BG139" s="75">
        <f>$C139*INDEX(Curves!$R$8:$R$68,BG$4-$B139+1)</f>
        <v/>
      </c>
      <c r="BH139" s="75">
        <f>$C139*INDEX(Curves!$R$8:$R$68,BH$4-$B139+1)</f>
        <v/>
      </c>
      <c r="BI139" s="75">
        <f>$C139*INDEX(Curves!$R$8:$R$68,BI$4-$B139+1)</f>
        <v/>
      </c>
      <c r="BJ139" s="75">
        <f>$C139*INDEX(Curves!$R$8:$R$68,BJ$4-$B139+1)</f>
        <v/>
      </c>
      <c r="BK139" s="75">
        <f>$C139*INDEX(Curves!$R$8:$R$68,BK$4-$B139+1)</f>
        <v/>
      </c>
      <c r="BL139" s="75">
        <f>$C139*INDEX(Curves!$R$8:$R$68,BL$4-$B139+1)</f>
        <v/>
      </c>
    </row>
    <row r="140">
      <c r="A140" s="74" t="inlineStr">
        <is>
          <t>Cohort month 5</t>
        </is>
      </c>
      <c r="B140" s="74" t="n">
        <v>5</v>
      </c>
      <c r="C140" s="17">
        <f>INDEX(Ops!$E$35:$BL$35,1,$B140)</f>
        <v/>
      </c>
      <c r="J140" s="75">
        <f>$C140*INDEX(Curves!$R$8:$R$68,J$4-$B140+1)</f>
        <v/>
      </c>
      <c r="K140" s="75">
        <f>$C140*INDEX(Curves!$R$8:$R$68,K$4-$B140+1)</f>
        <v/>
      </c>
      <c r="L140" s="75">
        <f>$C140*INDEX(Curves!$R$8:$R$68,L$4-$B140+1)</f>
        <v/>
      </c>
      <c r="M140" s="75">
        <f>$C140*INDEX(Curves!$R$8:$R$68,M$4-$B140+1)</f>
        <v/>
      </c>
      <c r="N140" s="75">
        <f>$C140*INDEX(Curves!$R$8:$R$68,N$4-$B140+1)</f>
        <v/>
      </c>
      <c r="O140" s="75">
        <f>$C140*INDEX(Curves!$R$8:$R$68,O$4-$B140+1)</f>
        <v/>
      </c>
      <c r="P140" s="75">
        <f>$C140*INDEX(Curves!$R$8:$R$68,P$4-$B140+1)</f>
        <v/>
      </c>
      <c r="Q140" s="75">
        <f>$C140*INDEX(Curves!$R$8:$R$68,Q$4-$B140+1)</f>
        <v/>
      </c>
      <c r="R140" s="75">
        <f>$C140*INDEX(Curves!$R$8:$R$68,R$4-$B140+1)</f>
        <v/>
      </c>
      <c r="S140" s="75">
        <f>$C140*INDEX(Curves!$R$8:$R$68,S$4-$B140+1)</f>
        <v/>
      </c>
      <c r="T140" s="75">
        <f>$C140*INDEX(Curves!$R$8:$R$68,T$4-$B140+1)</f>
        <v/>
      </c>
      <c r="U140" s="75">
        <f>$C140*INDEX(Curves!$R$8:$R$68,U$4-$B140+1)</f>
        <v/>
      </c>
      <c r="V140" s="75">
        <f>$C140*INDEX(Curves!$R$8:$R$68,V$4-$B140+1)</f>
        <v/>
      </c>
      <c r="W140" s="75">
        <f>$C140*INDEX(Curves!$R$8:$R$68,W$4-$B140+1)</f>
        <v/>
      </c>
      <c r="X140" s="75">
        <f>$C140*INDEX(Curves!$R$8:$R$68,X$4-$B140+1)</f>
        <v/>
      </c>
      <c r="Y140" s="75">
        <f>$C140*INDEX(Curves!$R$8:$R$68,Y$4-$B140+1)</f>
        <v/>
      </c>
      <c r="Z140" s="75">
        <f>$C140*INDEX(Curves!$R$8:$R$68,Z$4-$B140+1)</f>
        <v/>
      </c>
      <c r="AA140" s="75">
        <f>$C140*INDEX(Curves!$R$8:$R$68,AA$4-$B140+1)</f>
        <v/>
      </c>
      <c r="AB140" s="75">
        <f>$C140*INDEX(Curves!$R$8:$R$68,AB$4-$B140+1)</f>
        <v/>
      </c>
      <c r="AC140" s="75">
        <f>$C140*INDEX(Curves!$R$8:$R$68,AC$4-$B140+1)</f>
        <v/>
      </c>
      <c r="AD140" s="75">
        <f>$C140*INDEX(Curves!$R$8:$R$68,AD$4-$B140+1)</f>
        <v/>
      </c>
      <c r="AE140" s="75">
        <f>$C140*INDEX(Curves!$R$8:$R$68,AE$4-$B140+1)</f>
        <v/>
      </c>
      <c r="AF140" s="75">
        <f>$C140*INDEX(Curves!$R$8:$R$68,AF$4-$B140+1)</f>
        <v/>
      </c>
      <c r="AG140" s="75">
        <f>$C140*INDEX(Curves!$R$8:$R$68,AG$4-$B140+1)</f>
        <v/>
      </c>
      <c r="AH140" s="75">
        <f>$C140*INDEX(Curves!$R$8:$R$68,AH$4-$B140+1)</f>
        <v/>
      </c>
      <c r="AI140" s="75">
        <f>$C140*INDEX(Curves!$R$8:$R$68,AI$4-$B140+1)</f>
        <v/>
      </c>
      <c r="AJ140" s="75">
        <f>$C140*INDEX(Curves!$R$8:$R$68,AJ$4-$B140+1)</f>
        <v/>
      </c>
      <c r="AK140" s="75">
        <f>$C140*INDEX(Curves!$R$8:$R$68,AK$4-$B140+1)</f>
        <v/>
      </c>
      <c r="AL140" s="75">
        <f>$C140*INDEX(Curves!$R$8:$R$68,AL$4-$B140+1)</f>
        <v/>
      </c>
      <c r="AM140" s="75">
        <f>$C140*INDEX(Curves!$R$8:$R$68,AM$4-$B140+1)</f>
        <v/>
      </c>
      <c r="AN140" s="75">
        <f>$C140*INDEX(Curves!$R$8:$R$68,AN$4-$B140+1)</f>
        <v/>
      </c>
      <c r="AO140" s="75">
        <f>$C140*INDEX(Curves!$R$8:$R$68,AO$4-$B140+1)</f>
        <v/>
      </c>
      <c r="AP140" s="75">
        <f>$C140*INDEX(Curves!$R$8:$R$68,AP$4-$B140+1)</f>
        <v/>
      </c>
      <c r="AQ140" s="75">
        <f>$C140*INDEX(Curves!$R$8:$R$68,AQ$4-$B140+1)</f>
        <v/>
      </c>
      <c r="AR140" s="75">
        <f>$C140*INDEX(Curves!$R$8:$R$68,AR$4-$B140+1)</f>
        <v/>
      </c>
      <c r="AS140" s="75">
        <f>$C140*INDEX(Curves!$R$8:$R$68,AS$4-$B140+1)</f>
        <v/>
      </c>
      <c r="AT140" s="75">
        <f>$C140*INDEX(Curves!$R$8:$R$68,AT$4-$B140+1)</f>
        <v/>
      </c>
      <c r="AU140" s="75">
        <f>$C140*INDEX(Curves!$R$8:$R$68,AU$4-$B140+1)</f>
        <v/>
      </c>
      <c r="AV140" s="75">
        <f>$C140*INDEX(Curves!$R$8:$R$68,AV$4-$B140+1)</f>
        <v/>
      </c>
      <c r="AW140" s="75">
        <f>$C140*INDEX(Curves!$R$8:$R$68,AW$4-$B140+1)</f>
        <v/>
      </c>
      <c r="AX140" s="75">
        <f>$C140*INDEX(Curves!$R$8:$R$68,AX$4-$B140+1)</f>
        <v/>
      </c>
      <c r="AY140" s="75">
        <f>$C140*INDEX(Curves!$R$8:$R$68,AY$4-$B140+1)</f>
        <v/>
      </c>
      <c r="AZ140" s="75">
        <f>$C140*INDEX(Curves!$R$8:$R$68,AZ$4-$B140+1)</f>
        <v/>
      </c>
      <c r="BA140" s="75">
        <f>$C140*INDEX(Curves!$R$8:$R$68,BA$4-$B140+1)</f>
        <v/>
      </c>
      <c r="BB140" s="75">
        <f>$C140*INDEX(Curves!$R$8:$R$68,BB$4-$B140+1)</f>
        <v/>
      </c>
      <c r="BC140" s="75">
        <f>$C140*INDEX(Curves!$R$8:$R$68,BC$4-$B140+1)</f>
        <v/>
      </c>
      <c r="BD140" s="75">
        <f>$C140*INDEX(Curves!$R$8:$R$68,BD$4-$B140+1)</f>
        <v/>
      </c>
      <c r="BE140" s="75">
        <f>$C140*INDEX(Curves!$R$8:$R$68,BE$4-$B140+1)</f>
        <v/>
      </c>
      <c r="BF140" s="75">
        <f>$C140*INDEX(Curves!$R$8:$R$68,BF$4-$B140+1)</f>
        <v/>
      </c>
      <c r="BG140" s="75">
        <f>$C140*INDEX(Curves!$R$8:$R$68,BG$4-$B140+1)</f>
        <v/>
      </c>
      <c r="BH140" s="75">
        <f>$C140*INDEX(Curves!$R$8:$R$68,BH$4-$B140+1)</f>
        <v/>
      </c>
      <c r="BI140" s="75">
        <f>$C140*INDEX(Curves!$R$8:$R$68,BI$4-$B140+1)</f>
        <v/>
      </c>
      <c r="BJ140" s="75">
        <f>$C140*INDEX(Curves!$R$8:$R$68,BJ$4-$B140+1)</f>
        <v/>
      </c>
      <c r="BK140" s="75">
        <f>$C140*INDEX(Curves!$R$8:$R$68,BK$4-$B140+1)</f>
        <v/>
      </c>
      <c r="BL140" s="75">
        <f>$C140*INDEX(Curves!$R$8:$R$68,BL$4-$B140+1)</f>
        <v/>
      </c>
    </row>
    <row r="141">
      <c r="A141" s="74" t="inlineStr">
        <is>
          <t>Cohort month 6</t>
        </is>
      </c>
      <c r="B141" s="74" t="n">
        <v>6</v>
      </c>
      <c r="C141" s="17">
        <f>INDEX(Ops!$E$35:$BL$35,1,$B141)</f>
        <v/>
      </c>
      <c r="K141" s="75">
        <f>$C141*INDEX(Curves!$R$8:$R$68,K$4-$B141+1)</f>
        <v/>
      </c>
      <c r="L141" s="75">
        <f>$C141*INDEX(Curves!$R$8:$R$68,L$4-$B141+1)</f>
        <v/>
      </c>
      <c r="M141" s="75">
        <f>$C141*INDEX(Curves!$R$8:$R$68,M$4-$B141+1)</f>
        <v/>
      </c>
      <c r="N141" s="75">
        <f>$C141*INDEX(Curves!$R$8:$R$68,N$4-$B141+1)</f>
        <v/>
      </c>
      <c r="O141" s="75">
        <f>$C141*INDEX(Curves!$R$8:$R$68,O$4-$B141+1)</f>
        <v/>
      </c>
      <c r="P141" s="75">
        <f>$C141*INDEX(Curves!$R$8:$R$68,P$4-$B141+1)</f>
        <v/>
      </c>
      <c r="Q141" s="75">
        <f>$C141*INDEX(Curves!$R$8:$R$68,Q$4-$B141+1)</f>
        <v/>
      </c>
      <c r="R141" s="75">
        <f>$C141*INDEX(Curves!$R$8:$R$68,R$4-$B141+1)</f>
        <v/>
      </c>
      <c r="S141" s="75">
        <f>$C141*INDEX(Curves!$R$8:$R$68,S$4-$B141+1)</f>
        <v/>
      </c>
      <c r="T141" s="75">
        <f>$C141*INDEX(Curves!$R$8:$R$68,T$4-$B141+1)</f>
        <v/>
      </c>
      <c r="U141" s="75">
        <f>$C141*INDEX(Curves!$R$8:$R$68,U$4-$B141+1)</f>
        <v/>
      </c>
      <c r="V141" s="75">
        <f>$C141*INDEX(Curves!$R$8:$R$68,V$4-$B141+1)</f>
        <v/>
      </c>
      <c r="W141" s="75">
        <f>$C141*INDEX(Curves!$R$8:$R$68,W$4-$B141+1)</f>
        <v/>
      </c>
      <c r="X141" s="75">
        <f>$C141*INDEX(Curves!$R$8:$R$68,X$4-$B141+1)</f>
        <v/>
      </c>
      <c r="Y141" s="75">
        <f>$C141*INDEX(Curves!$R$8:$R$68,Y$4-$B141+1)</f>
        <v/>
      </c>
      <c r="Z141" s="75">
        <f>$C141*INDEX(Curves!$R$8:$R$68,Z$4-$B141+1)</f>
        <v/>
      </c>
      <c r="AA141" s="75">
        <f>$C141*INDEX(Curves!$R$8:$R$68,AA$4-$B141+1)</f>
        <v/>
      </c>
      <c r="AB141" s="75">
        <f>$C141*INDEX(Curves!$R$8:$R$68,AB$4-$B141+1)</f>
        <v/>
      </c>
      <c r="AC141" s="75">
        <f>$C141*INDEX(Curves!$R$8:$R$68,AC$4-$B141+1)</f>
        <v/>
      </c>
      <c r="AD141" s="75">
        <f>$C141*INDEX(Curves!$R$8:$R$68,AD$4-$B141+1)</f>
        <v/>
      </c>
      <c r="AE141" s="75">
        <f>$C141*INDEX(Curves!$R$8:$R$68,AE$4-$B141+1)</f>
        <v/>
      </c>
      <c r="AF141" s="75">
        <f>$C141*INDEX(Curves!$R$8:$R$68,AF$4-$B141+1)</f>
        <v/>
      </c>
      <c r="AG141" s="75">
        <f>$C141*INDEX(Curves!$R$8:$R$68,AG$4-$B141+1)</f>
        <v/>
      </c>
      <c r="AH141" s="75">
        <f>$C141*INDEX(Curves!$R$8:$R$68,AH$4-$B141+1)</f>
        <v/>
      </c>
      <c r="AI141" s="75">
        <f>$C141*INDEX(Curves!$R$8:$R$68,AI$4-$B141+1)</f>
        <v/>
      </c>
      <c r="AJ141" s="75">
        <f>$C141*INDEX(Curves!$R$8:$R$68,AJ$4-$B141+1)</f>
        <v/>
      </c>
      <c r="AK141" s="75">
        <f>$C141*INDEX(Curves!$R$8:$R$68,AK$4-$B141+1)</f>
        <v/>
      </c>
      <c r="AL141" s="75">
        <f>$C141*INDEX(Curves!$R$8:$R$68,AL$4-$B141+1)</f>
        <v/>
      </c>
      <c r="AM141" s="75">
        <f>$C141*INDEX(Curves!$R$8:$R$68,AM$4-$B141+1)</f>
        <v/>
      </c>
      <c r="AN141" s="75">
        <f>$C141*INDEX(Curves!$R$8:$R$68,AN$4-$B141+1)</f>
        <v/>
      </c>
      <c r="AO141" s="75">
        <f>$C141*INDEX(Curves!$R$8:$R$68,AO$4-$B141+1)</f>
        <v/>
      </c>
      <c r="AP141" s="75">
        <f>$C141*INDEX(Curves!$R$8:$R$68,AP$4-$B141+1)</f>
        <v/>
      </c>
      <c r="AQ141" s="75">
        <f>$C141*INDEX(Curves!$R$8:$R$68,AQ$4-$B141+1)</f>
        <v/>
      </c>
      <c r="AR141" s="75">
        <f>$C141*INDEX(Curves!$R$8:$R$68,AR$4-$B141+1)</f>
        <v/>
      </c>
      <c r="AS141" s="75">
        <f>$C141*INDEX(Curves!$R$8:$R$68,AS$4-$B141+1)</f>
        <v/>
      </c>
      <c r="AT141" s="75">
        <f>$C141*INDEX(Curves!$R$8:$R$68,AT$4-$B141+1)</f>
        <v/>
      </c>
      <c r="AU141" s="75">
        <f>$C141*INDEX(Curves!$R$8:$R$68,AU$4-$B141+1)</f>
        <v/>
      </c>
      <c r="AV141" s="75">
        <f>$C141*INDEX(Curves!$R$8:$R$68,AV$4-$B141+1)</f>
        <v/>
      </c>
      <c r="AW141" s="75">
        <f>$C141*INDEX(Curves!$R$8:$R$68,AW$4-$B141+1)</f>
        <v/>
      </c>
      <c r="AX141" s="75">
        <f>$C141*INDEX(Curves!$R$8:$R$68,AX$4-$B141+1)</f>
        <v/>
      </c>
      <c r="AY141" s="75">
        <f>$C141*INDEX(Curves!$R$8:$R$68,AY$4-$B141+1)</f>
        <v/>
      </c>
      <c r="AZ141" s="75">
        <f>$C141*INDEX(Curves!$R$8:$R$68,AZ$4-$B141+1)</f>
        <v/>
      </c>
      <c r="BA141" s="75">
        <f>$C141*INDEX(Curves!$R$8:$R$68,BA$4-$B141+1)</f>
        <v/>
      </c>
      <c r="BB141" s="75">
        <f>$C141*INDEX(Curves!$R$8:$R$68,BB$4-$B141+1)</f>
        <v/>
      </c>
      <c r="BC141" s="75">
        <f>$C141*INDEX(Curves!$R$8:$R$68,BC$4-$B141+1)</f>
        <v/>
      </c>
      <c r="BD141" s="75">
        <f>$C141*INDEX(Curves!$R$8:$R$68,BD$4-$B141+1)</f>
        <v/>
      </c>
      <c r="BE141" s="75">
        <f>$C141*INDEX(Curves!$R$8:$R$68,BE$4-$B141+1)</f>
        <v/>
      </c>
      <c r="BF141" s="75">
        <f>$C141*INDEX(Curves!$R$8:$R$68,BF$4-$B141+1)</f>
        <v/>
      </c>
      <c r="BG141" s="75">
        <f>$C141*INDEX(Curves!$R$8:$R$68,BG$4-$B141+1)</f>
        <v/>
      </c>
      <c r="BH141" s="75">
        <f>$C141*INDEX(Curves!$R$8:$R$68,BH$4-$B141+1)</f>
        <v/>
      </c>
      <c r="BI141" s="75">
        <f>$C141*INDEX(Curves!$R$8:$R$68,BI$4-$B141+1)</f>
        <v/>
      </c>
      <c r="BJ141" s="75">
        <f>$C141*INDEX(Curves!$R$8:$R$68,BJ$4-$B141+1)</f>
        <v/>
      </c>
      <c r="BK141" s="75">
        <f>$C141*INDEX(Curves!$R$8:$R$68,BK$4-$B141+1)</f>
        <v/>
      </c>
      <c r="BL141" s="75">
        <f>$C141*INDEX(Curves!$R$8:$R$68,BL$4-$B141+1)</f>
        <v/>
      </c>
    </row>
    <row r="142">
      <c r="A142" s="74" t="inlineStr">
        <is>
          <t>Cohort month 7</t>
        </is>
      </c>
      <c r="B142" s="74" t="n">
        <v>7</v>
      </c>
      <c r="C142" s="17">
        <f>INDEX(Ops!$E$35:$BL$35,1,$B142)</f>
        <v/>
      </c>
      <c r="L142" s="75">
        <f>$C142*INDEX(Curves!$R$8:$R$68,L$4-$B142+1)</f>
        <v/>
      </c>
      <c r="M142" s="75">
        <f>$C142*INDEX(Curves!$R$8:$R$68,M$4-$B142+1)</f>
        <v/>
      </c>
      <c r="N142" s="75">
        <f>$C142*INDEX(Curves!$R$8:$R$68,N$4-$B142+1)</f>
        <v/>
      </c>
      <c r="O142" s="75">
        <f>$C142*INDEX(Curves!$R$8:$R$68,O$4-$B142+1)</f>
        <v/>
      </c>
      <c r="P142" s="75">
        <f>$C142*INDEX(Curves!$R$8:$R$68,P$4-$B142+1)</f>
        <v/>
      </c>
      <c r="Q142" s="75">
        <f>$C142*INDEX(Curves!$R$8:$R$68,Q$4-$B142+1)</f>
        <v/>
      </c>
      <c r="R142" s="75">
        <f>$C142*INDEX(Curves!$R$8:$R$68,R$4-$B142+1)</f>
        <v/>
      </c>
      <c r="S142" s="75">
        <f>$C142*INDEX(Curves!$R$8:$R$68,S$4-$B142+1)</f>
        <v/>
      </c>
      <c r="T142" s="75">
        <f>$C142*INDEX(Curves!$R$8:$R$68,T$4-$B142+1)</f>
        <v/>
      </c>
      <c r="U142" s="75">
        <f>$C142*INDEX(Curves!$R$8:$R$68,U$4-$B142+1)</f>
        <v/>
      </c>
      <c r="V142" s="75">
        <f>$C142*INDEX(Curves!$R$8:$R$68,V$4-$B142+1)</f>
        <v/>
      </c>
      <c r="W142" s="75">
        <f>$C142*INDEX(Curves!$R$8:$R$68,W$4-$B142+1)</f>
        <v/>
      </c>
      <c r="X142" s="75">
        <f>$C142*INDEX(Curves!$R$8:$R$68,X$4-$B142+1)</f>
        <v/>
      </c>
      <c r="Y142" s="75">
        <f>$C142*INDEX(Curves!$R$8:$R$68,Y$4-$B142+1)</f>
        <v/>
      </c>
      <c r="Z142" s="75">
        <f>$C142*INDEX(Curves!$R$8:$R$68,Z$4-$B142+1)</f>
        <v/>
      </c>
      <c r="AA142" s="75">
        <f>$C142*INDEX(Curves!$R$8:$R$68,AA$4-$B142+1)</f>
        <v/>
      </c>
      <c r="AB142" s="75">
        <f>$C142*INDEX(Curves!$R$8:$R$68,AB$4-$B142+1)</f>
        <v/>
      </c>
      <c r="AC142" s="75">
        <f>$C142*INDEX(Curves!$R$8:$R$68,AC$4-$B142+1)</f>
        <v/>
      </c>
      <c r="AD142" s="75">
        <f>$C142*INDEX(Curves!$R$8:$R$68,AD$4-$B142+1)</f>
        <v/>
      </c>
      <c r="AE142" s="75">
        <f>$C142*INDEX(Curves!$R$8:$R$68,AE$4-$B142+1)</f>
        <v/>
      </c>
      <c r="AF142" s="75">
        <f>$C142*INDEX(Curves!$R$8:$R$68,AF$4-$B142+1)</f>
        <v/>
      </c>
      <c r="AG142" s="75">
        <f>$C142*INDEX(Curves!$R$8:$R$68,AG$4-$B142+1)</f>
        <v/>
      </c>
      <c r="AH142" s="75">
        <f>$C142*INDEX(Curves!$R$8:$R$68,AH$4-$B142+1)</f>
        <v/>
      </c>
      <c r="AI142" s="75">
        <f>$C142*INDEX(Curves!$R$8:$R$68,AI$4-$B142+1)</f>
        <v/>
      </c>
      <c r="AJ142" s="75">
        <f>$C142*INDEX(Curves!$R$8:$R$68,AJ$4-$B142+1)</f>
        <v/>
      </c>
      <c r="AK142" s="75">
        <f>$C142*INDEX(Curves!$R$8:$R$68,AK$4-$B142+1)</f>
        <v/>
      </c>
      <c r="AL142" s="75">
        <f>$C142*INDEX(Curves!$R$8:$R$68,AL$4-$B142+1)</f>
        <v/>
      </c>
      <c r="AM142" s="75">
        <f>$C142*INDEX(Curves!$R$8:$R$68,AM$4-$B142+1)</f>
        <v/>
      </c>
      <c r="AN142" s="75">
        <f>$C142*INDEX(Curves!$R$8:$R$68,AN$4-$B142+1)</f>
        <v/>
      </c>
      <c r="AO142" s="75">
        <f>$C142*INDEX(Curves!$R$8:$R$68,AO$4-$B142+1)</f>
        <v/>
      </c>
      <c r="AP142" s="75">
        <f>$C142*INDEX(Curves!$R$8:$R$68,AP$4-$B142+1)</f>
        <v/>
      </c>
      <c r="AQ142" s="75">
        <f>$C142*INDEX(Curves!$R$8:$R$68,AQ$4-$B142+1)</f>
        <v/>
      </c>
      <c r="AR142" s="75">
        <f>$C142*INDEX(Curves!$R$8:$R$68,AR$4-$B142+1)</f>
        <v/>
      </c>
      <c r="AS142" s="75">
        <f>$C142*INDEX(Curves!$R$8:$R$68,AS$4-$B142+1)</f>
        <v/>
      </c>
      <c r="AT142" s="75">
        <f>$C142*INDEX(Curves!$R$8:$R$68,AT$4-$B142+1)</f>
        <v/>
      </c>
      <c r="AU142" s="75">
        <f>$C142*INDEX(Curves!$R$8:$R$68,AU$4-$B142+1)</f>
        <v/>
      </c>
      <c r="AV142" s="75">
        <f>$C142*INDEX(Curves!$R$8:$R$68,AV$4-$B142+1)</f>
        <v/>
      </c>
      <c r="AW142" s="75">
        <f>$C142*INDEX(Curves!$R$8:$R$68,AW$4-$B142+1)</f>
        <v/>
      </c>
      <c r="AX142" s="75">
        <f>$C142*INDEX(Curves!$R$8:$R$68,AX$4-$B142+1)</f>
        <v/>
      </c>
      <c r="AY142" s="75">
        <f>$C142*INDEX(Curves!$R$8:$R$68,AY$4-$B142+1)</f>
        <v/>
      </c>
      <c r="AZ142" s="75">
        <f>$C142*INDEX(Curves!$R$8:$R$68,AZ$4-$B142+1)</f>
        <v/>
      </c>
      <c r="BA142" s="75">
        <f>$C142*INDEX(Curves!$R$8:$R$68,BA$4-$B142+1)</f>
        <v/>
      </c>
      <c r="BB142" s="75">
        <f>$C142*INDEX(Curves!$R$8:$R$68,BB$4-$B142+1)</f>
        <v/>
      </c>
      <c r="BC142" s="75">
        <f>$C142*INDEX(Curves!$R$8:$R$68,BC$4-$B142+1)</f>
        <v/>
      </c>
      <c r="BD142" s="75">
        <f>$C142*INDEX(Curves!$R$8:$R$68,BD$4-$B142+1)</f>
        <v/>
      </c>
      <c r="BE142" s="75">
        <f>$C142*INDEX(Curves!$R$8:$R$68,BE$4-$B142+1)</f>
        <v/>
      </c>
      <c r="BF142" s="75">
        <f>$C142*INDEX(Curves!$R$8:$R$68,BF$4-$B142+1)</f>
        <v/>
      </c>
      <c r="BG142" s="75">
        <f>$C142*INDEX(Curves!$R$8:$R$68,BG$4-$B142+1)</f>
        <v/>
      </c>
      <c r="BH142" s="75">
        <f>$C142*INDEX(Curves!$R$8:$R$68,BH$4-$B142+1)</f>
        <v/>
      </c>
      <c r="BI142" s="75">
        <f>$C142*INDEX(Curves!$R$8:$R$68,BI$4-$B142+1)</f>
        <v/>
      </c>
      <c r="BJ142" s="75">
        <f>$C142*INDEX(Curves!$R$8:$R$68,BJ$4-$B142+1)</f>
        <v/>
      </c>
      <c r="BK142" s="75">
        <f>$C142*INDEX(Curves!$R$8:$R$68,BK$4-$B142+1)</f>
        <v/>
      </c>
      <c r="BL142" s="75">
        <f>$C142*INDEX(Curves!$R$8:$R$68,BL$4-$B142+1)</f>
        <v/>
      </c>
    </row>
    <row r="143">
      <c r="A143" s="74" t="inlineStr">
        <is>
          <t>Cohort month 8</t>
        </is>
      </c>
      <c r="B143" s="74" t="n">
        <v>8</v>
      </c>
      <c r="C143" s="17">
        <f>INDEX(Ops!$E$35:$BL$35,1,$B143)</f>
        <v/>
      </c>
      <c r="M143" s="75">
        <f>$C143*INDEX(Curves!$R$8:$R$68,M$4-$B143+1)</f>
        <v/>
      </c>
      <c r="N143" s="75">
        <f>$C143*INDEX(Curves!$R$8:$R$68,N$4-$B143+1)</f>
        <v/>
      </c>
      <c r="O143" s="75">
        <f>$C143*INDEX(Curves!$R$8:$R$68,O$4-$B143+1)</f>
        <v/>
      </c>
      <c r="P143" s="75">
        <f>$C143*INDEX(Curves!$R$8:$R$68,P$4-$B143+1)</f>
        <v/>
      </c>
      <c r="Q143" s="75">
        <f>$C143*INDEX(Curves!$R$8:$R$68,Q$4-$B143+1)</f>
        <v/>
      </c>
      <c r="R143" s="75">
        <f>$C143*INDEX(Curves!$R$8:$R$68,R$4-$B143+1)</f>
        <v/>
      </c>
      <c r="S143" s="75">
        <f>$C143*INDEX(Curves!$R$8:$R$68,S$4-$B143+1)</f>
        <v/>
      </c>
      <c r="T143" s="75">
        <f>$C143*INDEX(Curves!$R$8:$R$68,T$4-$B143+1)</f>
        <v/>
      </c>
      <c r="U143" s="75">
        <f>$C143*INDEX(Curves!$R$8:$R$68,U$4-$B143+1)</f>
        <v/>
      </c>
      <c r="V143" s="75">
        <f>$C143*INDEX(Curves!$R$8:$R$68,V$4-$B143+1)</f>
        <v/>
      </c>
      <c r="W143" s="75">
        <f>$C143*INDEX(Curves!$R$8:$R$68,W$4-$B143+1)</f>
        <v/>
      </c>
      <c r="X143" s="75">
        <f>$C143*INDEX(Curves!$R$8:$R$68,X$4-$B143+1)</f>
        <v/>
      </c>
      <c r="Y143" s="75">
        <f>$C143*INDEX(Curves!$R$8:$R$68,Y$4-$B143+1)</f>
        <v/>
      </c>
      <c r="Z143" s="75">
        <f>$C143*INDEX(Curves!$R$8:$R$68,Z$4-$B143+1)</f>
        <v/>
      </c>
      <c r="AA143" s="75">
        <f>$C143*INDEX(Curves!$R$8:$R$68,AA$4-$B143+1)</f>
        <v/>
      </c>
      <c r="AB143" s="75">
        <f>$C143*INDEX(Curves!$R$8:$R$68,AB$4-$B143+1)</f>
        <v/>
      </c>
      <c r="AC143" s="75">
        <f>$C143*INDEX(Curves!$R$8:$R$68,AC$4-$B143+1)</f>
        <v/>
      </c>
      <c r="AD143" s="75">
        <f>$C143*INDEX(Curves!$R$8:$R$68,AD$4-$B143+1)</f>
        <v/>
      </c>
      <c r="AE143" s="75">
        <f>$C143*INDEX(Curves!$R$8:$R$68,AE$4-$B143+1)</f>
        <v/>
      </c>
      <c r="AF143" s="75">
        <f>$C143*INDEX(Curves!$R$8:$R$68,AF$4-$B143+1)</f>
        <v/>
      </c>
      <c r="AG143" s="75">
        <f>$C143*INDEX(Curves!$R$8:$R$68,AG$4-$B143+1)</f>
        <v/>
      </c>
      <c r="AH143" s="75">
        <f>$C143*INDEX(Curves!$R$8:$R$68,AH$4-$B143+1)</f>
        <v/>
      </c>
      <c r="AI143" s="75">
        <f>$C143*INDEX(Curves!$R$8:$R$68,AI$4-$B143+1)</f>
        <v/>
      </c>
      <c r="AJ143" s="75">
        <f>$C143*INDEX(Curves!$R$8:$R$68,AJ$4-$B143+1)</f>
        <v/>
      </c>
      <c r="AK143" s="75">
        <f>$C143*INDEX(Curves!$R$8:$R$68,AK$4-$B143+1)</f>
        <v/>
      </c>
      <c r="AL143" s="75">
        <f>$C143*INDEX(Curves!$R$8:$R$68,AL$4-$B143+1)</f>
        <v/>
      </c>
      <c r="AM143" s="75">
        <f>$C143*INDEX(Curves!$R$8:$R$68,AM$4-$B143+1)</f>
        <v/>
      </c>
      <c r="AN143" s="75">
        <f>$C143*INDEX(Curves!$R$8:$R$68,AN$4-$B143+1)</f>
        <v/>
      </c>
      <c r="AO143" s="75">
        <f>$C143*INDEX(Curves!$R$8:$R$68,AO$4-$B143+1)</f>
        <v/>
      </c>
      <c r="AP143" s="75">
        <f>$C143*INDEX(Curves!$R$8:$R$68,AP$4-$B143+1)</f>
        <v/>
      </c>
      <c r="AQ143" s="75">
        <f>$C143*INDEX(Curves!$R$8:$R$68,AQ$4-$B143+1)</f>
        <v/>
      </c>
      <c r="AR143" s="75">
        <f>$C143*INDEX(Curves!$R$8:$R$68,AR$4-$B143+1)</f>
        <v/>
      </c>
      <c r="AS143" s="75">
        <f>$C143*INDEX(Curves!$R$8:$R$68,AS$4-$B143+1)</f>
        <v/>
      </c>
      <c r="AT143" s="75">
        <f>$C143*INDEX(Curves!$R$8:$R$68,AT$4-$B143+1)</f>
        <v/>
      </c>
      <c r="AU143" s="75">
        <f>$C143*INDEX(Curves!$R$8:$R$68,AU$4-$B143+1)</f>
        <v/>
      </c>
      <c r="AV143" s="75">
        <f>$C143*INDEX(Curves!$R$8:$R$68,AV$4-$B143+1)</f>
        <v/>
      </c>
      <c r="AW143" s="75">
        <f>$C143*INDEX(Curves!$R$8:$R$68,AW$4-$B143+1)</f>
        <v/>
      </c>
      <c r="AX143" s="75">
        <f>$C143*INDEX(Curves!$R$8:$R$68,AX$4-$B143+1)</f>
        <v/>
      </c>
      <c r="AY143" s="75">
        <f>$C143*INDEX(Curves!$R$8:$R$68,AY$4-$B143+1)</f>
        <v/>
      </c>
      <c r="AZ143" s="75">
        <f>$C143*INDEX(Curves!$R$8:$R$68,AZ$4-$B143+1)</f>
        <v/>
      </c>
      <c r="BA143" s="75">
        <f>$C143*INDEX(Curves!$R$8:$R$68,BA$4-$B143+1)</f>
        <v/>
      </c>
      <c r="BB143" s="75">
        <f>$C143*INDEX(Curves!$R$8:$R$68,BB$4-$B143+1)</f>
        <v/>
      </c>
      <c r="BC143" s="75">
        <f>$C143*INDEX(Curves!$R$8:$R$68,BC$4-$B143+1)</f>
        <v/>
      </c>
      <c r="BD143" s="75">
        <f>$C143*INDEX(Curves!$R$8:$R$68,BD$4-$B143+1)</f>
        <v/>
      </c>
      <c r="BE143" s="75">
        <f>$C143*INDEX(Curves!$R$8:$R$68,BE$4-$B143+1)</f>
        <v/>
      </c>
      <c r="BF143" s="75">
        <f>$C143*INDEX(Curves!$R$8:$R$68,BF$4-$B143+1)</f>
        <v/>
      </c>
      <c r="BG143" s="75">
        <f>$C143*INDEX(Curves!$R$8:$R$68,BG$4-$B143+1)</f>
        <v/>
      </c>
      <c r="BH143" s="75">
        <f>$C143*INDEX(Curves!$R$8:$R$68,BH$4-$B143+1)</f>
        <v/>
      </c>
      <c r="BI143" s="75">
        <f>$C143*INDEX(Curves!$R$8:$R$68,BI$4-$B143+1)</f>
        <v/>
      </c>
      <c r="BJ143" s="75">
        <f>$C143*INDEX(Curves!$R$8:$R$68,BJ$4-$B143+1)</f>
        <v/>
      </c>
      <c r="BK143" s="75">
        <f>$C143*INDEX(Curves!$R$8:$R$68,BK$4-$B143+1)</f>
        <v/>
      </c>
      <c r="BL143" s="75">
        <f>$C143*INDEX(Curves!$R$8:$R$68,BL$4-$B143+1)</f>
        <v/>
      </c>
    </row>
    <row r="144">
      <c r="A144" s="74" t="inlineStr">
        <is>
          <t>Cohort month 9</t>
        </is>
      </c>
      <c r="B144" s="74" t="n">
        <v>9</v>
      </c>
      <c r="C144" s="17">
        <f>INDEX(Ops!$E$35:$BL$35,1,$B144)</f>
        <v/>
      </c>
      <c r="N144" s="75">
        <f>$C144*INDEX(Curves!$R$8:$R$68,N$4-$B144+1)</f>
        <v/>
      </c>
      <c r="O144" s="75">
        <f>$C144*INDEX(Curves!$R$8:$R$68,O$4-$B144+1)</f>
        <v/>
      </c>
      <c r="P144" s="75">
        <f>$C144*INDEX(Curves!$R$8:$R$68,P$4-$B144+1)</f>
        <v/>
      </c>
      <c r="Q144" s="75">
        <f>$C144*INDEX(Curves!$R$8:$R$68,Q$4-$B144+1)</f>
        <v/>
      </c>
      <c r="R144" s="75">
        <f>$C144*INDEX(Curves!$R$8:$R$68,R$4-$B144+1)</f>
        <v/>
      </c>
      <c r="S144" s="75">
        <f>$C144*INDEX(Curves!$R$8:$R$68,S$4-$B144+1)</f>
        <v/>
      </c>
      <c r="T144" s="75">
        <f>$C144*INDEX(Curves!$R$8:$R$68,T$4-$B144+1)</f>
        <v/>
      </c>
      <c r="U144" s="75">
        <f>$C144*INDEX(Curves!$R$8:$R$68,U$4-$B144+1)</f>
        <v/>
      </c>
      <c r="V144" s="75">
        <f>$C144*INDEX(Curves!$R$8:$R$68,V$4-$B144+1)</f>
        <v/>
      </c>
      <c r="W144" s="75">
        <f>$C144*INDEX(Curves!$R$8:$R$68,W$4-$B144+1)</f>
        <v/>
      </c>
      <c r="X144" s="75">
        <f>$C144*INDEX(Curves!$R$8:$R$68,X$4-$B144+1)</f>
        <v/>
      </c>
      <c r="Y144" s="75">
        <f>$C144*INDEX(Curves!$R$8:$R$68,Y$4-$B144+1)</f>
        <v/>
      </c>
      <c r="Z144" s="75">
        <f>$C144*INDEX(Curves!$R$8:$R$68,Z$4-$B144+1)</f>
        <v/>
      </c>
      <c r="AA144" s="75">
        <f>$C144*INDEX(Curves!$R$8:$R$68,AA$4-$B144+1)</f>
        <v/>
      </c>
      <c r="AB144" s="75">
        <f>$C144*INDEX(Curves!$R$8:$R$68,AB$4-$B144+1)</f>
        <v/>
      </c>
      <c r="AC144" s="75">
        <f>$C144*INDEX(Curves!$R$8:$R$68,AC$4-$B144+1)</f>
        <v/>
      </c>
      <c r="AD144" s="75">
        <f>$C144*INDEX(Curves!$R$8:$R$68,AD$4-$B144+1)</f>
        <v/>
      </c>
      <c r="AE144" s="75">
        <f>$C144*INDEX(Curves!$R$8:$R$68,AE$4-$B144+1)</f>
        <v/>
      </c>
      <c r="AF144" s="75">
        <f>$C144*INDEX(Curves!$R$8:$R$68,AF$4-$B144+1)</f>
        <v/>
      </c>
      <c r="AG144" s="75">
        <f>$C144*INDEX(Curves!$R$8:$R$68,AG$4-$B144+1)</f>
        <v/>
      </c>
      <c r="AH144" s="75">
        <f>$C144*INDEX(Curves!$R$8:$R$68,AH$4-$B144+1)</f>
        <v/>
      </c>
      <c r="AI144" s="75">
        <f>$C144*INDEX(Curves!$R$8:$R$68,AI$4-$B144+1)</f>
        <v/>
      </c>
      <c r="AJ144" s="75">
        <f>$C144*INDEX(Curves!$R$8:$R$68,AJ$4-$B144+1)</f>
        <v/>
      </c>
      <c r="AK144" s="75">
        <f>$C144*INDEX(Curves!$R$8:$R$68,AK$4-$B144+1)</f>
        <v/>
      </c>
      <c r="AL144" s="75">
        <f>$C144*INDEX(Curves!$R$8:$R$68,AL$4-$B144+1)</f>
        <v/>
      </c>
      <c r="AM144" s="75">
        <f>$C144*INDEX(Curves!$R$8:$R$68,AM$4-$B144+1)</f>
        <v/>
      </c>
      <c r="AN144" s="75">
        <f>$C144*INDEX(Curves!$R$8:$R$68,AN$4-$B144+1)</f>
        <v/>
      </c>
      <c r="AO144" s="75">
        <f>$C144*INDEX(Curves!$R$8:$R$68,AO$4-$B144+1)</f>
        <v/>
      </c>
      <c r="AP144" s="75">
        <f>$C144*INDEX(Curves!$R$8:$R$68,AP$4-$B144+1)</f>
        <v/>
      </c>
      <c r="AQ144" s="75">
        <f>$C144*INDEX(Curves!$R$8:$R$68,AQ$4-$B144+1)</f>
        <v/>
      </c>
      <c r="AR144" s="75">
        <f>$C144*INDEX(Curves!$R$8:$R$68,AR$4-$B144+1)</f>
        <v/>
      </c>
      <c r="AS144" s="75">
        <f>$C144*INDEX(Curves!$R$8:$R$68,AS$4-$B144+1)</f>
        <v/>
      </c>
      <c r="AT144" s="75">
        <f>$C144*INDEX(Curves!$R$8:$R$68,AT$4-$B144+1)</f>
        <v/>
      </c>
      <c r="AU144" s="75">
        <f>$C144*INDEX(Curves!$R$8:$R$68,AU$4-$B144+1)</f>
        <v/>
      </c>
      <c r="AV144" s="75">
        <f>$C144*INDEX(Curves!$R$8:$R$68,AV$4-$B144+1)</f>
        <v/>
      </c>
      <c r="AW144" s="75">
        <f>$C144*INDEX(Curves!$R$8:$R$68,AW$4-$B144+1)</f>
        <v/>
      </c>
      <c r="AX144" s="75">
        <f>$C144*INDEX(Curves!$R$8:$R$68,AX$4-$B144+1)</f>
        <v/>
      </c>
      <c r="AY144" s="75">
        <f>$C144*INDEX(Curves!$R$8:$R$68,AY$4-$B144+1)</f>
        <v/>
      </c>
      <c r="AZ144" s="75">
        <f>$C144*INDEX(Curves!$R$8:$R$68,AZ$4-$B144+1)</f>
        <v/>
      </c>
      <c r="BA144" s="75">
        <f>$C144*INDEX(Curves!$R$8:$R$68,BA$4-$B144+1)</f>
        <v/>
      </c>
      <c r="BB144" s="75">
        <f>$C144*INDEX(Curves!$R$8:$R$68,BB$4-$B144+1)</f>
        <v/>
      </c>
      <c r="BC144" s="75">
        <f>$C144*INDEX(Curves!$R$8:$R$68,BC$4-$B144+1)</f>
        <v/>
      </c>
      <c r="BD144" s="75">
        <f>$C144*INDEX(Curves!$R$8:$R$68,BD$4-$B144+1)</f>
        <v/>
      </c>
      <c r="BE144" s="75">
        <f>$C144*INDEX(Curves!$R$8:$R$68,BE$4-$B144+1)</f>
        <v/>
      </c>
      <c r="BF144" s="75">
        <f>$C144*INDEX(Curves!$R$8:$R$68,BF$4-$B144+1)</f>
        <v/>
      </c>
      <c r="BG144" s="75">
        <f>$C144*INDEX(Curves!$R$8:$R$68,BG$4-$B144+1)</f>
        <v/>
      </c>
      <c r="BH144" s="75">
        <f>$C144*INDEX(Curves!$R$8:$R$68,BH$4-$B144+1)</f>
        <v/>
      </c>
      <c r="BI144" s="75">
        <f>$C144*INDEX(Curves!$R$8:$R$68,BI$4-$B144+1)</f>
        <v/>
      </c>
      <c r="BJ144" s="75">
        <f>$C144*INDEX(Curves!$R$8:$R$68,BJ$4-$B144+1)</f>
        <v/>
      </c>
      <c r="BK144" s="75">
        <f>$C144*INDEX(Curves!$R$8:$R$68,BK$4-$B144+1)</f>
        <v/>
      </c>
      <c r="BL144" s="75">
        <f>$C144*INDEX(Curves!$R$8:$R$68,BL$4-$B144+1)</f>
        <v/>
      </c>
    </row>
    <row r="145">
      <c r="A145" s="74" t="inlineStr">
        <is>
          <t>Cohort month 10</t>
        </is>
      </c>
      <c r="B145" s="74" t="n">
        <v>10</v>
      </c>
      <c r="C145" s="17">
        <f>INDEX(Ops!$E$35:$BL$35,1,$B145)</f>
        <v/>
      </c>
      <c r="O145" s="75">
        <f>$C145*INDEX(Curves!$R$8:$R$68,O$4-$B145+1)</f>
        <v/>
      </c>
      <c r="P145" s="75">
        <f>$C145*INDEX(Curves!$R$8:$R$68,P$4-$B145+1)</f>
        <v/>
      </c>
      <c r="Q145" s="75">
        <f>$C145*INDEX(Curves!$R$8:$R$68,Q$4-$B145+1)</f>
        <v/>
      </c>
      <c r="R145" s="75">
        <f>$C145*INDEX(Curves!$R$8:$R$68,R$4-$B145+1)</f>
        <v/>
      </c>
      <c r="S145" s="75">
        <f>$C145*INDEX(Curves!$R$8:$R$68,S$4-$B145+1)</f>
        <v/>
      </c>
      <c r="T145" s="75">
        <f>$C145*INDEX(Curves!$R$8:$R$68,T$4-$B145+1)</f>
        <v/>
      </c>
      <c r="U145" s="75">
        <f>$C145*INDEX(Curves!$R$8:$R$68,U$4-$B145+1)</f>
        <v/>
      </c>
      <c r="V145" s="75">
        <f>$C145*INDEX(Curves!$R$8:$R$68,V$4-$B145+1)</f>
        <v/>
      </c>
      <c r="W145" s="75">
        <f>$C145*INDEX(Curves!$R$8:$R$68,W$4-$B145+1)</f>
        <v/>
      </c>
      <c r="X145" s="75">
        <f>$C145*INDEX(Curves!$R$8:$R$68,X$4-$B145+1)</f>
        <v/>
      </c>
      <c r="Y145" s="75">
        <f>$C145*INDEX(Curves!$R$8:$R$68,Y$4-$B145+1)</f>
        <v/>
      </c>
      <c r="Z145" s="75">
        <f>$C145*INDEX(Curves!$R$8:$R$68,Z$4-$B145+1)</f>
        <v/>
      </c>
      <c r="AA145" s="75">
        <f>$C145*INDEX(Curves!$R$8:$R$68,AA$4-$B145+1)</f>
        <v/>
      </c>
      <c r="AB145" s="75">
        <f>$C145*INDEX(Curves!$R$8:$R$68,AB$4-$B145+1)</f>
        <v/>
      </c>
      <c r="AC145" s="75">
        <f>$C145*INDEX(Curves!$R$8:$R$68,AC$4-$B145+1)</f>
        <v/>
      </c>
      <c r="AD145" s="75">
        <f>$C145*INDEX(Curves!$R$8:$R$68,AD$4-$B145+1)</f>
        <v/>
      </c>
      <c r="AE145" s="75">
        <f>$C145*INDEX(Curves!$R$8:$R$68,AE$4-$B145+1)</f>
        <v/>
      </c>
      <c r="AF145" s="75">
        <f>$C145*INDEX(Curves!$R$8:$R$68,AF$4-$B145+1)</f>
        <v/>
      </c>
      <c r="AG145" s="75">
        <f>$C145*INDEX(Curves!$R$8:$R$68,AG$4-$B145+1)</f>
        <v/>
      </c>
      <c r="AH145" s="75">
        <f>$C145*INDEX(Curves!$R$8:$R$68,AH$4-$B145+1)</f>
        <v/>
      </c>
      <c r="AI145" s="75">
        <f>$C145*INDEX(Curves!$R$8:$R$68,AI$4-$B145+1)</f>
        <v/>
      </c>
      <c r="AJ145" s="75">
        <f>$C145*INDEX(Curves!$R$8:$R$68,AJ$4-$B145+1)</f>
        <v/>
      </c>
      <c r="AK145" s="75">
        <f>$C145*INDEX(Curves!$R$8:$R$68,AK$4-$B145+1)</f>
        <v/>
      </c>
      <c r="AL145" s="75">
        <f>$C145*INDEX(Curves!$R$8:$R$68,AL$4-$B145+1)</f>
        <v/>
      </c>
      <c r="AM145" s="75">
        <f>$C145*INDEX(Curves!$R$8:$R$68,AM$4-$B145+1)</f>
        <v/>
      </c>
      <c r="AN145" s="75">
        <f>$C145*INDEX(Curves!$R$8:$R$68,AN$4-$B145+1)</f>
        <v/>
      </c>
      <c r="AO145" s="75">
        <f>$C145*INDEX(Curves!$R$8:$R$68,AO$4-$B145+1)</f>
        <v/>
      </c>
      <c r="AP145" s="75">
        <f>$C145*INDEX(Curves!$R$8:$R$68,AP$4-$B145+1)</f>
        <v/>
      </c>
      <c r="AQ145" s="75">
        <f>$C145*INDEX(Curves!$R$8:$R$68,AQ$4-$B145+1)</f>
        <v/>
      </c>
      <c r="AR145" s="75">
        <f>$C145*INDEX(Curves!$R$8:$R$68,AR$4-$B145+1)</f>
        <v/>
      </c>
      <c r="AS145" s="75">
        <f>$C145*INDEX(Curves!$R$8:$R$68,AS$4-$B145+1)</f>
        <v/>
      </c>
      <c r="AT145" s="75">
        <f>$C145*INDEX(Curves!$R$8:$R$68,AT$4-$B145+1)</f>
        <v/>
      </c>
      <c r="AU145" s="75">
        <f>$C145*INDEX(Curves!$R$8:$R$68,AU$4-$B145+1)</f>
        <v/>
      </c>
      <c r="AV145" s="75">
        <f>$C145*INDEX(Curves!$R$8:$R$68,AV$4-$B145+1)</f>
        <v/>
      </c>
      <c r="AW145" s="75">
        <f>$C145*INDEX(Curves!$R$8:$R$68,AW$4-$B145+1)</f>
        <v/>
      </c>
      <c r="AX145" s="75">
        <f>$C145*INDEX(Curves!$R$8:$R$68,AX$4-$B145+1)</f>
        <v/>
      </c>
      <c r="AY145" s="75">
        <f>$C145*INDEX(Curves!$R$8:$R$68,AY$4-$B145+1)</f>
        <v/>
      </c>
      <c r="AZ145" s="75">
        <f>$C145*INDEX(Curves!$R$8:$R$68,AZ$4-$B145+1)</f>
        <v/>
      </c>
      <c r="BA145" s="75">
        <f>$C145*INDEX(Curves!$R$8:$R$68,BA$4-$B145+1)</f>
        <v/>
      </c>
      <c r="BB145" s="75">
        <f>$C145*INDEX(Curves!$R$8:$R$68,BB$4-$B145+1)</f>
        <v/>
      </c>
      <c r="BC145" s="75">
        <f>$C145*INDEX(Curves!$R$8:$R$68,BC$4-$B145+1)</f>
        <v/>
      </c>
      <c r="BD145" s="75">
        <f>$C145*INDEX(Curves!$R$8:$R$68,BD$4-$B145+1)</f>
        <v/>
      </c>
      <c r="BE145" s="75">
        <f>$C145*INDEX(Curves!$R$8:$R$68,BE$4-$B145+1)</f>
        <v/>
      </c>
      <c r="BF145" s="75">
        <f>$C145*INDEX(Curves!$R$8:$R$68,BF$4-$B145+1)</f>
        <v/>
      </c>
      <c r="BG145" s="75">
        <f>$C145*INDEX(Curves!$R$8:$R$68,BG$4-$B145+1)</f>
        <v/>
      </c>
      <c r="BH145" s="75">
        <f>$C145*INDEX(Curves!$R$8:$R$68,BH$4-$B145+1)</f>
        <v/>
      </c>
      <c r="BI145" s="75">
        <f>$C145*INDEX(Curves!$R$8:$R$68,BI$4-$B145+1)</f>
        <v/>
      </c>
      <c r="BJ145" s="75">
        <f>$C145*INDEX(Curves!$R$8:$R$68,BJ$4-$B145+1)</f>
        <v/>
      </c>
      <c r="BK145" s="75">
        <f>$C145*INDEX(Curves!$R$8:$R$68,BK$4-$B145+1)</f>
        <v/>
      </c>
      <c r="BL145" s="75">
        <f>$C145*INDEX(Curves!$R$8:$R$68,BL$4-$B145+1)</f>
        <v/>
      </c>
    </row>
    <row r="146">
      <c r="A146" s="74" t="inlineStr">
        <is>
          <t>Cohort month 11</t>
        </is>
      </c>
      <c r="B146" s="74" t="n">
        <v>11</v>
      </c>
      <c r="C146" s="17">
        <f>INDEX(Ops!$E$35:$BL$35,1,$B146)</f>
        <v/>
      </c>
      <c r="P146" s="75">
        <f>$C146*INDEX(Curves!$R$8:$R$68,P$4-$B146+1)</f>
        <v/>
      </c>
      <c r="Q146" s="75">
        <f>$C146*INDEX(Curves!$R$8:$R$68,Q$4-$B146+1)</f>
        <v/>
      </c>
      <c r="R146" s="75">
        <f>$C146*INDEX(Curves!$R$8:$R$68,R$4-$B146+1)</f>
        <v/>
      </c>
      <c r="S146" s="75">
        <f>$C146*INDEX(Curves!$R$8:$R$68,S$4-$B146+1)</f>
        <v/>
      </c>
      <c r="T146" s="75">
        <f>$C146*INDEX(Curves!$R$8:$R$68,T$4-$B146+1)</f>
        <v/>
      </c>
      <c r="U146" s="75">
        <f>$C146*INDEX(Curves!$R$8:$R$68,U$4-$B146+1)</f>
        <v/>
      </c>
      <c r="V146" s="75">
        <f>$C146*INDEX(Curves!$R$8:$R$68,V$4-$B146+1)</f>
        <v/>
      </c>
      <c r="W146" s="75">
        <f>$C146*INDEX(Curves!$R$8:$R$68,W$4-$B146+1)</f>
        <v/>
      </c>
      <c r="X146" s="75">
        <f>$C146*INDEX(Curves!$R$8:$R$68,X$4-$B146+1)</f>
        <v/>
      </c>
      <c r="Y146" s="75">
        <f>$C146*INDEX(Curves!$R$8:$R$68,Y$4-$B146+1)</f>
        <v/>
      </c>
      <c r="Z146" s="75">
        <f>$C146*INDEX(Curves!$R$8:$R$68,Z$4-$B146+1)</f>
        <v/>
      </c>
      <c r="AA146" s="75">
        <f>$C146*INDEX(Curves!$R$8:$R$68,AA$4-$B146+1)</f>
        <v/>
      </c>
      <c r="AB146" s="75">
        <f>$C146*INDEX(Curves!$R$8:$R$68,AB$4-$B146+1)</f>
        <v/>
      </c>
      <c r="AC146" s="75">
        <f>$C146*INDEX(Curves!$R$8:$R$68,AC$4-$B146+1)</f>
        <v/>
      </c>
      <c r="AD146" s="75">
        <f>$C146*INDEX(Curves!$R$8:$R$68,AD$4-$B146+1)</f>
        <v/>
      </c>
      <c r="AE146" s="75">
        <f>$C146*INDEX(Curves!$R$8:$R$68,AE$4-$B146+1)</f>
        <v/>
      </c>
      <c r="AF146" s="75">
        <f>$C146*INDEX(Curves!$R$8:$R$68,AF$4-$B146+1)</f>
        <v/>
      </c>
      <c r="AG146" s="75">
        <f>$C146*INDEX(Curves!$R$8:$R$68,AG$4-$B146+1)</f>
        <v/>
      </c>
      <c r="AH146" s="75">
        <f>$C146*INDEX(Curves!$R$8:$R$68,AH$4-$B146+1)</f>
        <v/>
      </c>
      <c r="AI146" s="75">
        <f>$C146*INDEX(Curves!$R$8:$R$68,AI$4-$B146+1)</f>
        <v/>
      </c>
      <c r="AJ146" s="75">
        <f>$C146*INDEX(Curves!$R$8:$R$68,AJ$4-$B146+1)</f>
        <v/>
      </c>
      <c r="AK146" s="75">
        <f>$C146*INDEX(Curves!$R$8:$R$68,AK$4-$B146+1)</f>
        <v/>
      </c>
      <c r="AL146" s="75">
        <f>$C146*INDEX(Curves!$R$8:$R$68,AL$4-$B146+1)</f>
        <v/>
      </c>
      <c r="AM146" s="75">
        <f>$C146*INDEX(Curves!$R$8:$R$68,AM$4-$B146+1)</f>
        <v/>
      </c>
      <c r="AN146" s="75">
        <f>$C146*INDEX(Curves!$R$8:$R$68,AN$4-$B146+1)</f>
        <v/>
      </c>
      <c r="AO146" s="75">
        <f>$C146*INDEX(Curves!$R$8:$R$68,AO$4-$B146+1)</f>
        <v/>
      </c>
      <c r="AP146" s="75">
        <f>$C146*INDEX(Curves!$R$8:$R$68,AP$4-$B146+1)</f>
        <v/>
      </c>
      <c r="AQ146" s="75">
        <f>$C146*INDEX(Curves!$R$8:$R$68,AQ$4-$B146+1)</f>
        <v/>
      </c>
      <c r="AR146" s="75">
        <f>$C146*INDEX(Curves!$R$8:$R$68,AR$4-$B146+1)</f>
        <v/>
      </c>
      <c r="AS146" s="75">
        <f>$C146*INDEX(Curves!$R$8:$R$68,AS$4-$B146+1)</f>
        <v/>
      </c>
      <c r="AT146" s="75">
        <f>$C146*INDEX(Curves!$R$8:$R$68,AT$4-$B146+1)</f>
        <v/>
      </c>
      <c r="AU146" s="75">
        <f>$C146*INDEX(Curves!$R$8:$R$68,AU$4-$B146+1)</f>
        <v/>
      </c>
      <c r="AV146" s="75">
        <f>$C146*INDEX(Curves!$R$8:$R$68,AV$4-$B146+1)</f>
        <v/>
      </c>
      <c r="AW146" s="75">
        <f>$C146*INDEX(Curves!$R$8:$R$68,AW$4-$B146+1)</f>
        <v/>
      </c>
      <c r="AX146" s="75">
        <f>$C146*INDEX(Curves!$R$8:$R$68,AX$4-$B146+1)</f>
        <v/>
      </c>
      <c r="AY146" s="75">
        <f>$C146*INDEX(Curves!$R$8:$R$68,AY$4-$B146+1)</f>
        <v/>
      </c>
      <c r="AZ146" s="75">
        <f>$C146*INDEX(Curves!$R$8:$R$68,AZ$4-$B146+1)</f>
        <v/>
      </c>
      <c r="BA146" s="75">
        <f>$C146*INDEX(Curves!$R$8:$R$68,BA$4-$B146+1)</f>
        <v/>
      </c>
      <c r="BB146" s="75">
        <f>$C146*INDEX(Curves!$R$8:$R$68,BB$4-$B146+1)</f>
        <v/>
      </c>
      <c r="BC146" s="75">
        <f>$C146*INDEX(Curves!$R$8:$R$68,BC$4-$B146+1)</f>
        <v/>
      </c>
      <c r="BD146" s="75">
        <f>$C146*INDEX(Curves!$R$8:$R$68,BD$4-$B146+1)</f>
        <v/>
      </c>
      <c r="BE146" s="75">
        <f>$C146*INDEX(Curves!$R$8:$R$68,BE$4-$B146+1)</f>
        <v/>
      </c>
      <c r="BF146" s="75">
        <f>$C146*INDEX(Curves!$R$8:$R$68,BF$4-$B146+1)</f>
        <v/>
      </c>
      <c r="BG146" s="75">
        <f>$C146*INDEX(Curves!$R$8:$R$68,BG$4-$B146+1)</f>
        <v/>
      </c>
      <c r="BH146" s="75">
        <f>$C146*INDEX(Curves!$R$8:$R$68,BH$4-$B146+1)</f>
        <v/>
      </c>
      <c r="BI146" s="75">
        <f>$C146*INDEX(Curves!$R$8:$R$68,BI$4-$B146+1)</f>
        <v/>
      </c>
      <c r="BJ146" s="75">
        <f>$C146*INDEX(Curves!$R$8:$R$68,BJ$4-$B146+1)</f>
        <v/>
      </c>
      <c r="BK146" s="75">
        <f>$C146*INDEX(Curves!$R$8:$R$68,BK$4-$B146+1)</f>
        <v/>
      </c>
      <c r="BL146" s="75">
        <f>$C146*INDEX(Curves!$R$8:$R$68,BL$4-$B146+1)</f>
        <v/>
      </c>
    </row>
    <row r="147">
      <c r="A147" s="74" t="inlineStr">
        <is>
          <t>Cohort month 12</t>
        </is>
      </c>
      <c r="B147" s="74" t="n">
        <v>12</v>
      </c>
      <c r="C147" s="17">
        <f>INDEX(Ops!$E$35:$BL$35,1,$B147)</f>
        <v/>
      </c>
      <c r="Q147" s="75">
        <f>$C147*INDEX(Curves!$R$8:$R$68,Q$4-$B147+1)</f>
        <v/>
      </c>
      <c r="R147" s="75">
        <f>$C147*INDEX(Curves!$R$8:$R$68,R$4-$B147+1)</f>
        <v/>
      </c>
      <c r="S147" s="75">
        <f>$C147*INDEX(Curves!$R$8:$R$68,S$4-$B147+1)</f>
        <v/>
      </c>
      <c r="T147" s="75">
        <f>$C147*INDEX(Curves!$R$8:$R$68,T$4-$B147+1)</f>
        <v/>
      </c>
      <c r="U147" s="75">
        <f>$C147*INDEX(Curves!$R$8:$R$68,U$4-$B147+1)</f>
        <v/>
      </c>
      <c r="V147" s="75">
        <f>$C147*INDEX(Curves!$R$8:$R$68,V$4-$B147+1)</f>
        <v/>
      </c>
      <c r="W147" s="75">
        <f>$C147*INDEX(Curves!$R$8:$R$68,W$4-$B147+1)</f>
        <v/>
      </c>
      <c r="X147" s="75">
        <f>$C147*INDEX(Curves!$R$8:$R$68,X$4-$B147+1)</f>
        <v/>
      </c>
      <c r="Y147" s="75">
        <f>$C147*INDEX(Curves!$R$8:$R$68,Y$4-$B147+1)</f>
        <v/>
      </c>
      <c r="Z147" s="75">
        <f>$C147*INDEX(Curves!$R$8:$R$68,Z$4-$B147+1)</f>
        <v/>
      </c>
      <c r="AA147" s="75">
        <f>$C147*INDEX(Curves!$R$8:$R$68,AA$4-$B147+1)</f>
        <v/>
      </c>
      <c r="AB147" s="75">
        <f>$C147*INDEX(Curves!$R$8:$R$68,AB$4-$B147+1)</f>
        <v/>
      </c>
      <c r="AC147" s="75">
        <f>$C147*INDEX(Curves!$R$8:$R$68,AC$4-$B147+1)</f>
        <v/>
      </c>
      <c r="AD147" s="75">
        <f>$C147*INDEX(Curves!$R$8:$R$68,AD$4-$B147+1)</f>
        <v/>
      </c>
      <c r="AE147" s="75">
        <f>$C147*INDEX(Curves!$R$8:$R$68,AE$4-$B147+1)</f>
        <v/>
      </c>
      <c r="AF147" s="75">
        <f>$C147*INDEX(Curves!$R$8:$R$68,AF$4-$B147+1)</f>
        <v/>
      </c>
      <c r="AG147" s="75">
        <f>$C147*INDEX(Curves!$R$8:$R$68,AG$4-$B147+1)</f>
        <v/>
      </c>
      <c r="AH147" s="75">
        <f>$C147*INDEX(Curves!$R$8:$R$68,AH$4-$B147+1)</f>
        <v/>
      </c>
      <c r="AI147" s="75">
        <f>$C147*INDEX(Curves!$R$8:$R$68,AI$4-$B147+1)</f>
        <v/>
      </c>
      <c r="AJ147" s="75">
        <f>$C147*INDEX(Curves!$R$8:$R$68,AJ$4-$B147+1)</f>
        <v/>
      </c>
      <c r="AK147" s="75">
        <f>$C147*INDEX(Curves!$R$8:$R$68,AK$4-$B147+1)</f>
        <v/>
      </c>
      <c r="AL147" s="75">
        <f>$C147*INDEX(Curves!$R$8:$R$68,AL$4-$B147+1)</f>
        <v/>
      </c>
      <c r="AM147" s="75">
        <f>$C147*INDEX(Curves!$R$8:$R$68,AM$4-$B147+1)</f>
        <v/>
      </c>
      <c r="AN147" s="75">
        <f>$C147*INDEX(Curves!$R$8:$R$68,AN$4-$B147+1)</f>
        <v/>
      </c>
      <c r="AO147" s="75">
        <f>$C147*INDEX(Curves!$R$8:$R$68,AO$4-$B147+1)</f>
        <v/>
      </c>
      <c r="AP147" s="75">
        <f>$C147*INDEX(Curves!$R$8:$R$68,AP$4-$B147+1)</f>
        <v/>
      </c>
      <c r="AQ147" s="75">
        <f>$C147*INDEX(Curves!$R$8:$R$68,AQ$4-$B147+1)</f>
        <v/>
      </c>
      <c r="AR147" s="75">
        <f>$C147*INDEX(Curves!$R$8:$R$68,AR$4-$B147+1)</f>
        <v/>
      </c>
      <c r="AS147" s="75">
        <f>$C147*INDEX(Curves!$R$8:$R$68,AS$4-$B147+1)</f>
        <v/>
      </c>
      <c r="AT147" s="75">
        <f>$C147*INDEX(Curves!$R$8:$R$68,AT$4-$B147+1)</f>
        <v/>
      </c>
      <c r="AU147" s="75">
        <f>$C147*INDEX(Curves!$R$8:$R$68,AU$4-$B147+1)</f>
        <v/>
      </c>
      <c r="AV147" s="75">
        <f>$C147*INDEX(Curves!$R$8:$R$68,AV$4-$B147+1)</f>
        <v/>
      </c>
      <c r="AW147" s="75">
        <f>$C147*INDEX(Curves!$R$8:$R$68,AW$4-$B147+1)</f>
        <v/>
      </c>
      <c r="AX147" s="75">
        <f>$C147*INDEX(Curves!$R$8:$R$68,AX$4-$B147+1)</f>
        <v/>
      </c>
      <c r="AY147" s="75">
        <f>$C147*INDEX(Curves!$R$8:$R$68,AY$4-$B147+1)</f>
        <v/>
      </c>
      <c r="AZ147" s="75">
        <f>$C147*INDEX(Curves!$R$8:$R$68,AZ$4-$B147+1)</f>
        <v/>
      </c>
      <c r="BA147" s="75">
        <f>$C147*INDEX(Curves!$R$8:$R$68,BA$4-$B147+1)</f>
        <v/>
      </c>
      <c r="BB147" s="75">
        <f>$C147*INDEX(Curves!$R$8:$R$68,BB$4-$B147+1)</f>
        <v/>
      </c>
      <c r="BC147" s="75">
        <f>$C147*INDEX(Curves!$R$8:$R$68,BC$4-$B147+1)</f>
        <v/>
      </c>
      <c r="BD147" s="75">
        <f>$C147*INDEX(Curves!$R$8:$R$68,BD$4-$B147+1)</f>
        <v/>
      </c>
      <c r="BE147" s="75">
        <f>$C147*INDEX(Curves!$R$8:$R$68,BE$4-$B147+1)</f>
        <v/>
      </c>
      <c r="BF147" s="75">
        <f>$C147*INDEX(Curves!$R$8:$R$68,BF$4-$B147+1)</f>
        <v/>
      </c>
      <c r="BG147" s="75">
        <f>$C147*INDEX(Curves!$R$8:$R$68,BG$4-$B147+1)</f>
        <v/>
      </c>
      <c r="BH147" s="75">
        <f>$C147*INDEX(Curves!$R$8:$R$68,BH$4-$B147+1)</f>
        <v/>
      </c>
      <c r="BI147" s="75">
        <f>$C147*INDEX(Curves!$R$8:$R$68,BI$4-$B147+1)</f>
        <v/>
      </c>
      <c r="BJ147" s="75">
        <f>$C147*INDEX(Curves!$R$8:$R$68,BJ$4-$B147+1)</f>
        <v/>
      </c>
      <c r="BK147" s="75">
        <f>$C147*INDEX(Curves!$R$8:$R$68,BK$4-$B147+1)</f>
        <v/>
      </c>
      <c r="BL147" s="75">
        <f>$C147*INDEX(Curves!$R$8:$R$68,BL$4-$B147+1)</f>
        <v/>
      </c>
    </row>
    <row r="148">
      <c r="A148" s="74" t="inlineStr">
        <is>
          <t>Cohort month 13</t>
        </is>
      </c>
      <c r="B148" s="74" t="n">
        <v>13</v>
      </c>
      <c r="C148" s="17">
        <f>INDEX(Ops!$E$35:$BL$35,1,$B148)</f>
        <v/>
      </c>
      <c r="R148" s="75">
        <f>$C148*INDEX(Curves!$R$8:$R$68,R$4-$B148+1)</f>
        <v/>
      </c>
      <c r="S148" s="75">
        <f>$C148*INDEX(Curves!$R$8:$R$68,S$4-$B148+1)</f>
        <v/>
      </c>
      <c r="T148" s="75">
        <f>$C148*INDEX(Curves!$R$8:$R$68,T$4-$B148+1)</f>
        <v/>
      </c>
      <c r="U148" s="75">
        <f>$C148*INDEX(Curves!$R$8:$R$68,U$4-$B148+1)</f>
        <v/>
      </c>
      <c r="V148" s="75">
        <f>$C148*INDEX(Curves!$R$8:$R$68,V$4-$B148+1)</f>
        <v/>
      </c>
      <c r="W148" s="75">
        <f>$C148*INDEX(Curves!$R$8:$R$68,W$4-$B148+1)</f>
        <v/>
      </c>
      <c r="X148" s="75">
        <f>$C148*INDEX(Curves!$R$8:$R$68,X$4-$B148+1)</f>
        <v/>
      </c>
      <c r="Y148" s="75">
        <f>$C148*INDEX(Curves!$R$8:$R$68,Y$4-$B148+1)</f>
        <v/>
      </c>
      <c r="Z148" s="75">
        <f>$C148*INDEX(Curves!$R$8:$R$68,Z$4-$B148+1)</f>
        <v/>
      </c>
      <c r="AA148" s="75">
        <f>$C148*INDEX(Curves!$R$8:$R$68,AA$4-$B148+1)</f>
        <v/>
      </c>
      <c r="AB148" s="75">
        <f>$C148*INDEX(Curves!$R$8:$R$68,AB$4-$B148+1)</f>
        <v/>
      </c>
      <c r="AC148" s="75">
        <f>$C148*INDEX(Curves!$R$8:$R$68,AC$4-$B148+1)</f>
        <v/>
      </c>
      <c r="AD148" s="75">
        <f>$C148*INDEX(Curves!$R$8:$R$68,AD$4-$B148+1)</f>
        <v/>
      </c>
      <c r="AE148" s="75">
        <f>$C148*INDEX(Curves!$R$8:$R$68,AE$4-$B148+1)</f>
        <v/>
      </c>
      <c r="AF148" s="75">
        <f>$C148*INDEX(Curves!$R$8:$R$68,AF$4-$B148+1)</f>
        <v/>
      </c>
      <c r="AG148" s="75">
        <f>$C148*INDEX(Curves!$R$8:$R$68,AG$4-$B148+1)</f>
        <v/>
      </c>
      <c r="AH148" s="75">
        <f>$C148*INDEX(Curves!$R$8:$R$68,AH$4-$B148+1)</f>
        <v/>
      </c>
      <c r="AI148" s="75">
        <f>$C148*INDEX(Curves!$R$8:$R$68,AI$4-$B148+1)</f>
        <v/>
      </c>
      <c r="AJ148" s="75">
        <f>$C148*INDEX(Curves!$R$8:$R$68,AJ$4-$B148+1)</f>
        <v/>
      </c>
      <c r="AK148" s="75">
        <f>$C148*INDEX(Curves!$R$8:$R$68,AK$4-$B148+1)</f>
        <v/>
      </c>
      <c r="AL148" s="75">
        <f>$C148*INDEX(Curves!$R$8:$R$68,AL$4-$B148+1)</f>
        <v/>
      </c>
      <c r="AM148" s="75">
        <f>$C148*INDEX(Curves!$R$8:$R$68,AM$4-$B148+1)</f>
        <v/>
      </c>
      <c r="AN148" s="75">
        <f>$C148*INDEX(Curves!$R$8:$R$68,AN$4-$B148+1)</f>
        <v/>
      </c>
      <c r="AO148" s="75">
        <f>$C148*INDEX(Curves!$R$8:$R$68,AO$4-$B148+1)</f>
        <v/>
      </c>
      <c r="AP148" s="75">
        <f>$C148*INDEX(Curves!$R$8:$R$68,AP$4-$B148+1)</f>
        <v/>
      </c>
      <c r="AQ148" s="75">
        <f>$C148*INDEX(Curves!$R$8:$R$68,AQ$4-$B148+1)</f>
        <v/>
      </c>
      <c r="AR148" s="75">
        <f>$C148*INDEX(Curves!$R$8:$R$68,AR$4-$B148+1)</f>
        <v/>
      </c>
      <c r="AS148" s="75">
        <f>$C148*INDEX(Curves!$R$8:$R$68,AS$4-$B148+1)</f>
        <v/>
      </c>
      <c r="AT148" s="75">
        <f>$C148*INDEX(Curves!$R$8:$R$68,AT$4-$B148+1)</f>
        <v/>
      </c>
      <c r="AU148" s="75">
        <f>$C148*INDEX(Curves!$R$8:$R$68,AU$4-$B148+1)</f>
        <v/>
      </c>
      <c r="AV148" s="75">
        <f>$C148*INDEX(Curves!$R$8:$R$68,AV$4-$B148+1)</f>
        <v/>
      </c>
      <c r="AW148" s="75">
        <f>$C148*INDEX(Curves!$R$8:$R$68,AW$4-$B148+1)</f>
        <v/>
      </c>
      <c r="AX148" s="75">
        <f>$C148*INDEX(Curves!$R$8:$R$68,AX$4-$B148+1)</f>
        <v/>
      </c>
      <c r="AY148" s="75">
        <f>$C148*INDEX(Curves!$R$8:$R$68,AY$4-$B148+1)</f>
        <v/>
      </c>
      <c r="AZ148" s="75">
        <f>$C148*INDEX(Curves!$R$8:$R$68,AZ$4-$B148+1)</f>
        <v/>
      </c>
      <c r="BA148" s="75">
        <f>$C148*INDEX(Curves!$R$8:$R$68,BA$4-$B148+1)</f>
        <v/>
      </c>
      <c r="BB148" s="75">
        <f>$C148*INDEX(Curves!$R$8:$R$68,BB$4-$B148+1)</f>
        <v/>
      </c>
      <c r="BC148" s="75">
        <f>$C148*INDEX(Curves!$R$8:$R$68,BC$4-$B148+1)</f>
        <v/>
      </c>
      <c r="BD148" s="75">
        <f>$C148*INDEX(Curves!$R$8:$R$68,BD$4-$B148+1)</f>
        <v/>
      </c>
      <c r="BE148" s="75">
        <f>$C148*INDEX(Curves!$R$8:$R$68,BE$4-$B148+1)</f>
        <v/>
      </c>
      <c r="BF148" s="75">
        <f>$C148*INDEX(Curves!$R$8:$R$68,BF$4-$B148+1)</f>
        <v/>
      </c>
      <c r="BG148" s="75">
        <f>$C148*INDEX(Curves!$R$8:$R$68,BG$4-$B148+1)</f>
        <v/>
      </c>
      <c r="BH148" s="75">
        <f>$C148*INDEX(Curves!$R$8:$R$68,BH$4-$B148+1)</f>
        <v/>
      </c>
      <c r="BI148" s="75">
        <f>$C148*INDEX(Curves!$R$8:$R$68,BI$4-$B148+1)</f>
        <v/>
      </c>
      <c r="BJ148" s="75">
        <f>$C148*INDEX(Curves!$R$8:$R$68,BJ$4-$B148+1)</f>
        <v/>
      </c>
      <c r="BK148" s="75">
        <f>$C148*INDEX(Curves!$R$8:$R$68,BK$4-$B148+1)</f>
        <v/>
      </c>
      <c r="BL148" s="75">
        <f>$C148*INDEX(Curves!$R$8:$R$68,BL$4-$B148+1)</f>
        <v/>
      </c>
    </row>
    <row r="149">
      <c r="A149" s="74" t="inlineStr">
        <is>
          <t>Cohort month 14</t>
        </is>
      </c>
      <c r="B149" s="74" t="n">
        <v>14</v>
      </c>
      <c r="C149" s="17">
        <f>INDEX(Ops!$E$35:$BL$35,1,$B149)</f>
        <v/>
      </c>
      <c r="S149" s="75">
        <f>$C149*INDEX(Curves!$R$8:$R$68,S$4-$B149+1)</f>
        <v/>
      </c>
      <c r="T149" s="75">
        <f>$C149*INDEX(Curves!$R$8:$R$68,T$4-$B149+1)</f>
        <v/>
      </c>
      <c r="U149" s="75">
        <f>$C149*INDEX(Curves!$R$8:$R$68,U$4-$B149+1)</f>
        <v/>
      </c>
      <c r="V149" s="75">
        <f>$C149*INDEX(Curves!$R$8:$R$68,V$4-$B149+1)</f>
        <v/>
      </c>
      <c r="W149" s="75">
        <f>$C149*INDEX(Curves!$R$8:$R$68,W$4-$B149+1)</f>
        <v/>
      </c>
      <c r="X149" s="75">
        <f>$C149*INDEX(Curves!$R$8:$R$68,X$4-$B149+1)</f>
        <v/>
      </c>
      <c r="Y149" s="75">
        <f>$C149*INDEX(Curves!$R$8:$R$68,Y$4-$B149+1)</f>
        <v/>
      </c>
      <c r="Z149" s="75">
        <f>$C149*INDEX(Curves!$R$8:$R$68,Z$4-$B149+1)</f>
        <v/>
      </c>
      <c r="AA149" s="75">
        <f>$C149*INDEX(Curves!$R$8:$R$68,AA$4-$B149+1)</f>
        <v/>
      </c>
      <c r="AB149" s="75">
        <f>$C149*INDEX(Curves!$R$8:$R$68,AB$4-$B149+1)</f>
        <v/>
      </c>
      <c r="AC149" s="75">
        <f>$C149*INDEX(Curves!$R$8:$R$68,AC$4-$B149+1)</f>
        <v/>
      </c>
      <c r="AD149" s="75">
        <f>$C149*INDEX(Curves!$R$8:$R$68,AD$4-$B149+1)</f>
        <v/>
      </c>
      <c r="AE149" s="75">
        <f>$C149*INDEX(Curves!$R$8:$R$68,AE$4-$B149+1)</f>
        <v/>
      </c>
      <c r="AF149" s="75">
        <f>$C149*INDEX(Curves!$R$8:$R$68,AF$4-$B149+1)</f>
        <v/>
      </c>
      <c r="AG149" s="75">
        <f>$C149*INDEX(Curves!$R$8:$R$68,AG$4-$B149+1)</f>
        <v/>
      </c>
      <c r="AH149" s="75">
        <f>$C149*INDEX(Curves!$R$8:$R$68,AH$4-$B149+1)</f>
        <v/>
      </c>
      <c r="AI149" s="75">
        <f>$C149*INDEX(Curves!$R$8:$R$68,AI$4-$B149+1)</f>
        <v/>
      </c>
      <c r="AJ149" s="75">
        <f>$C149*INDEX(Curves!$R$8:$R$68,AJ$4-$B149+1)</f>
        <v/>
      </c>
      <c r="AK149" s="75">
        <f>$C149*INDEX(Curves!$R$8:$R$68,AK$4-$B149+1)</f>
        <v/>
      </c>
      <c r="AL149" s="75">
        <f>$C149*INDEX(Curves!$R$8:$R$68,AL$4-$B149+1)</f>
        <v/>
      </c>
      <c r="AM149" s="75">
        <f>$C149*INDEX(Curves!$R$8:$R$68,AM$4-$B149+1)</f>
        <v/>
      </c>
      <c r="AN149" s="75">
        <f>$C149*INDEX(Curves!$R$8:$R$68,AN$4-$B149+1)</f>
        <v/>
      </c>
      <c r="AO149" s="75">
        <f>$C149*INDEX(Curves!$R$8:$R$68,AO$4-$B149+1)</f>
        <v/>
      </c>
      <c r="AP149" s="75">
        <f>$C149*INDEX(Curves!$R$8:$R$68,AP$4-$B149+1)</f>
        <v/>
      </c>
      <c r="AQ149" s="75">
        <f>$C149*INDEX(Curves!$R$8:$R$68,AQ$4-$B149+1)</f>
        <v/>
      </c>
      <c r="AR149" s="75">
        <f>$C149*INDEX(Curves!$R$8:$R$68,AR$4-$B149+1)</f>
        <v/>
      </c>
      <c r="AS149" s="75">
        <f>$C149*INDEX(Curves!$R$8:$R$68,AS$4-$B149+1)</f>
        <v/>
      </c>
      <c r="AT149" s="75">
        <f>$C149*INDEX(Curves!$R$8:$R$68,AT$4-$B149+1)</f>
        <v/>
      </c>
      <c r="AU149" s="75">
        <f>$C149*INDEX(Curves!$R$8:$R$68,AU$4-$B149+1)</f>
        <v/>
      </c>
      <c r="AV149" s="75">
        <f>$C149*INDEX(Curves!$R$8:$R$68,AV$4-$B149+1)</f>
        <v/>
      </c>
      <c r="AW149" s="75">
        <f>$C149*INDEX(Curves!$R$8:$R$68,AW$4-$B149+1)</f>
        <v/>
      </c>
      <c r="AX149" s="75">
        <f>$C149*INDEX(Curves!$R$8:$R$68,AX$4-$B149+1)</f>
        <v/>
      </c>
      <c r="AY149" s="75">
        <f>$C149*INDEX(Curves!$R$8:$R$68,AY$4-$B149+1)</f>
        <v/>
      </c>
      <c r="AZ149" s="75">
        <f>$C149*INDEX(Curves!$R$8:$R$68,AZ$4-$B149+1)</f>
        <v/>
      </c>
      <c r="BA149" s="75">
        <f>$C149*INDEX(Curves!$R$8:$R$68,BA$4-$B149+1)</f>
        <v/>
      </c>
      <c r="BB149" s="75">
        <f>$C149*INDEX(Curves!$R$8:$R$68,BB$4-$B149+1)</f>
        <v/>
      </c>
      <c r="BC149" s="75">
        <f>$C149*INDEX(Curves!$R$8:$R$68,BC$4-$B149+1)</f>
        <v/>
      </c>
      <c r="BD149" s="75">
        <f>$C149*INDEX(Curves!$R$8:$R$68,BD$4-$B149+1)</f>
        <v/>
      </c>
      <c r="BE149" s="75">
        <f>$C149*INDEX(Curves!$R$8:$R$68,BE$4-$B149+1)</f>
        <v/>
      </c>
      <c r="BF149" s="75">
        <f>$C149*INDEX(Curves!$R$8:$R$68,BF$4-$B149+1)</f>
        <v/>
      </c>
      <c r="BG149" s="75">
        <f>$C149*INDEX(Curves!$R$8:$R$68,BG$4-$B149+1)</f>
        <v/>
      </c>
      <c r="BH149" s="75">
        <f>$C149*INDEX(Curves!$R$8:$R$68,BH$4-$B149+1)</f>
        <v/>
      </c>
      <c r="BI149" s="75">
        <f>$C149*INDEX(Curves!$R$8:$R$68,BI$4-$B149+1)</f>
        <v/>
      </c>
      <c r="BJ149" s="75">
        <f>$C149*INDEX(Curves!$R$8:$R$68,BJ$4-$B149+1)</f>
        <v/>
      </c>
      <c r="BK149" s="75">
        <f>$C149*INDEX(Curves!$R$8:$R$68,BK$4-$B149+1)</f>
        <v/>
      </c>
      <c r="BL149" s="75">
        <f>$C149*INDEX(Curves!$R$8:$R$68,BL$4-$B149+1)</f>
        <v/>
      </c>
    </row>
    <row r="150">
      <c r="A150" s="74" t="inlineStr">
        <is>
          <t>Cohort month 15</t>
        </is>
      </c>
      <c r="B150" s="74" t="n">
        <v>15</v>
      </c>
      <c r="C150" s="17">
        <f>INDEX(Ops!$E$35:$BL$35,1,$B150)</f>
        <v/>
      </c>
      <c r="T150" s="75">
        <f>$C150*INDEX(Curves!$R$8:$R$68,T$4-$B150+1)</f>
        <v/>
      </c>
      <c r="U150" s="75">
        <f>$C150*INDEX(Curves!$R$8:$R$68,U$4-$B150+1)</f>
        <v/>
      </c>
      <c r="V150" s="75">
        <f>$C150*INDEX(Curves!$R$8:$R$68,V$4-$B150+1)</f>
        <v/>
      </c>
      <c r="W150" s="75">
        <f>$C150*INDEX(Curves!$R$8:$R$68,W$4-$B150+1)</f>
        <v/>
      </c>
      <c r="X150" s="75">
        <f>$C150*INDEX(Curves!$R$8:$R$68,X$4-$B150+1)</f>
        <v/>
      </c>
      <c r="Y150" s="75">
        <f>$C150*INDEX(Curves!$R$8:$R$68,Y$4-$B150+1)</f>
        <v/>
      </c>
      <c r="Z150" s="75">
        <f>$C150*INDEX(Curves!$R$8:$R$68,Z$4-$B150+1)</f>
        <v/>
      </c>
      <c r="AA150" s="75">
        <f>$C150*INDEX(Curves!$R$8:$R$68,AA$4-$B150+1)</f>
        <v/>
      </c>
      <c r="AB150" s="75">
        <f>$C150*INDEX(Curves!$R$8:$R$68,AB$4-$B150+1)</f>
        <v/>
      </c>
      <c r="AC150" s="75">
        <f>$C150*INDEX(Curves!$R$8:$R$68,AC$4-$B150+1)</f>
        <v/>
      </c>
      <c r="AD150" s="75">
        <f>$C150*INDEX(Curves!$R$8:$R$68,AD$4-$B150+1)</f>
        <v/>
      </c>
      <c r="AE150" s="75">
        <f>$C150*INDEX(Curves!$R$8:$R$68,AE$4-$B150+1)</f>
        <v/>
      </c>
      <c r="AF150" s="75">
        <f>$C150*INDEX(Curves!$R$8:$R$68,AF$4-$B150+1)</f>
        <v/>
      </c>
      <c r="AG150" s="75">
        <f>$C150*INDEX(Curves!$R$8:$R$68,AG$4-$B150+1)</f>
        <v/>
      </c>
      <c r="AH150" s="75">
        <f>$C150*INDEX(Curves!$R$8:$R$68,AH$4-$B150+1)</f>
        <v/>
      </c>
      <c r="AI150" s="75">
        <f>$C150*INDEX(Curves!$R$8:$R$68,AI$4-$B150+1)</f>
        <v/>
      </c>
      <c r="AJ150" s="75">
        <f>$C150*INDEX(Curves!$R$8:$R$68,AJ$4-$B150+1)</f>
        <v/>
      </c>
      <c r="AK150" s="75">
        <f>$C150*INDEX(Curves!$R$8:$R$68,AK$4-$B150+1)</f>
        <v/>
      </c>
      <c r="AL150" s="75">
        <f>$C150*INDEX(Curves!$R$8:$R$68,AL$4-$B150+1)</f>
        <v/>
      </c>
      <c r="AM150" s="75">
        <f>$C150*INDEX(Curves!$R$8:$R$68,AM$4-$B150+1)</f>
        <v/>
      </c>
      <c r="AN150" s="75">
        <f>$C150*INDEX(Curves!$R$8:$R$68,AN$4-$B150+1)</f>
        <v/>
      </c>
      <c r="AO150" s="75">
        <f>$C150*INDEX(Curves!$R$8:$R$68,AO$4-$B150+1)</f>
        <v/>
      </c>
      <c r="AP150" s="75">
        <f>$C150*INDEX(Curves!$R$8:$R$68,AP$4-$B150+1)</f>
        <v/>
      </c>
      <c r="AQ150" s="75">
        <f>$C150*INDEX(Curves!$R$8:$R$68,AQ$4-$B150+1)</f>
        <v/>
      </c>
      <c r="AR150" s="75">
        <f>$C150*INDEX(Curves!$R$8:$R$68,AR$4-$B150+1)</f>
        <v/>
      </c>
      <c r="AS150" s="75">
        <f>$C150*INDEX(Curves!$R$8:$R$68,AS$4-$B150+1)</f>
        <v/>
      </c>
      <c r="AT150" s="75">
        <f>$C150*INDEX(Curves!$R$8:$R$68,AT$4-$B150+1)</f>
        <v/>
      </c>
      <c r="AU150" s="75">
        <f>$C150*INDEX(Curves!$R$8:$R$68,AU$4-$B150+1)</f>
        <v/>
      </c>
      <c r="AV150" s="75">
        <f>$C150*INDEX(Curves!$R$8:$R$68,AV$4-$B150+1)</f>
        <v/>
      </c>
      <c r="AW150" s="75">
        <f>$C150*INDEX(Curves!$R$8:$R$68,AW$4-$B150+1)</f>
        <v/>
      </c>
      <c r="AX150" s="75">
        <f>$C150*INDEX(Curves!$R$8:$R$68,AX$4-$B150+1)</f>
        <v/>
      </c>
      <c r="AY150" s="75">
        <f>$C150*INDEX(Curves!$R$8:$R$68,AY$4-$B150+1)</f>
        <v/>
      </c>
      <c r="AZ150" s="75">
        <f>$C150*INDEX(Curves!$R$8:$R$68,AZ$4-$B150+1)</f>
        <v/>
      </c>
      <c r="BA150" s="75">
        <f>$C150*INDEX(Curves!$R$8:$R$68,BA$4-$B150+1)</f>
        <v/>
      </c>
      <c r="BB150" s="75">
        <f>$C150*INDEX(Curves!$R$8:$R$68,BB$4-$B150+1)</f>
        <v/>
      </c>
      <c r="BC150" s="75">
        <f>$C150*INDEX(Curves!$R$8:$R$68,BC$4-$B150+1)</f>
        <v/>
      </c>
      <c r="BD150" s="75">
        <f>$C150*INDEX(Curves!$R$8:$R$68,BD$4-$B150+1)</f>
        <v/>
      </c>
      <c r="BE150" s="75">
        <f>$C150*INDEX(Curves!$R$8:$R$68,BE$4-$B150+1)</f>
        <v/>
      </c>
      <c r="BF150" s="75">
        <f>$C150*INDEX(Curves!$R$8:$R$68,BF$4-$B150+1)</f>
        <v/>
      </c>
      <c r="BG150" s="75">
        <f>$C150*INDEX(Curves!$R$8:$R$68,BG$4-$B150+1)</f>
        <v/>
      </c>
      <c r="BH150" s="75">
        <f>$C150*INDEX(Curves!$R$8:$R$68,BH$4-$B150+1)</f>
        <v/>
      </c>
      <c r="BI150" s="75">
        <f>$C150*INDEX(Curves!$R$8:$R$68,BI$4-$B150+1)</f>
        <v/>
      </c>
      <c r="BJ150" s="75">
        <f>$C150*INDEX(Curves!$R$8:$R$68,BJ$4-$B150+1)</f>
        <v/>
      </c>
      <c r="BK150" s="75">
        <f>$C150*INDEX(Curves!$R$8:$R$68,BK$4-$B150+1)</f>
        <v/>
      </c>
      <c r="BL150" s="75">
        <f>$C150*INDEX(Curves!$R$8:$R$68,BL$4-$B150+1)</f>
        <v/>
      </c>
    </row>
    <row r="151">
      <c r="A151" s="74" t="inlineStr">
        <is>
          <t>Cohort month 16</t>
        </is>
      </c>
      <c r="B151" s="74" t="n">
        <v>16</v>
      </c>
      <c r="C151" s="17">
        <f>INDEX(Ops!$E$35:$BL$35,1,$B151)</f>
        <v/>
      </c>
      <c r="U151" s="75">
        <f>$C151*INDEX(Curves!$R$8:$R$68,U$4-$B151+1)</f>
        <v/>
      </c>
      <c r="V151" s="75">
        <f>$C151*INDEX(Curves!$R$8:$R$68,V$4-$B151+1)</f>
        <v/>
      </c>
      <c r="W151" s="75">
        <f>$C151*INDEX(Curves!$R$8:$R$68,W$4-$B151+1)</f>
        <v/>
      </c>
      <c r="X151" s="75">
        <f>$C151*INDEX(Curves!$R$8:$R$68,X$4-$B151+1)</f>
        <v/>
      </c>
      <c r="Y151" s="75">
        <f>$C151*INDEX(Curves!$R$8:$R$68,Y$4-$B151+1)</f>
        <v/>
      </c>
      <c r="Z151" s="75">
        <f>$C151*INDEX(Curves!$R$8:$R$68,Z$4-$B151+1)</f>
        <v/>
      </c>
      <c r="AA151" s="75">
        <f>$C151*INDEX(Curves!$R$8:$R$68,AA$4-$B151+1)</f>
        <v/>
      </c>
      <c r="AB151" s="75">
        <f>$C151*INDEX(Curves!$R$8:$R$68,AB$4-$B151+1)</f>
        <v/>
      </c>
      <c r="AC151" s="75">
        <f>$C151*INDEX(Curves!$R$8:$R$68,AC$4-$B151+1)</f>
        <v/>
      </c>
      <c r="AD151" s="75">
        <f>$C151*INDEX(Curves!$R$8:$R$68,AD$4-$B151+1)</f>
        <v/>
      </c>
      <c r="AE151" s="75">
        <f>$C151*INDEX(Curves!$R$8:$R$68,AE$4-$B151+1)</f>
        <v/>
      </c>
      <c r="AF151" s="75">
        <f>$C151*INDEX(Curves!$R$8:$R$68,AF$4-$B151+1)</f>
        <v/>
      </c>
      <c r="AG151" s="75">
        <f>$C151*INDEX(Curves!$R$8:$R$68,AG$4-$B151+1)</f>
        <v/>
      </c>
      <c r="AH151" s="75">
        <f>$C151*INDEX(Curves!$R$8:$R$68,AH$4-$B151+1)</f>
        <v/>
      </c>
      <c r="AI151" s="75">
        <f>$C151*INDEX(Curves!$R$8:$R$68,AI$4-$B151+1)</f>
        <v/>
      </c>
      <c r="AJ151" s="75">
        <f>$C151*INDEX(Curves!$R$8:$R$68,AJ$4-$B151+1)</f>
        <v/>
      </c>
      <c r="AK151" s="75">
        <f>$C151*INDEX(Curves!$R$8:$R$68,AK$4-$B151+1)</f>
        <v/>
      </c>
      <c r="AL151" s="75">
        <f>$C151*INDEX(Curves!$R$8:$R$68,AL$4-$B151+1)</f>
        <v/>
      </c>
      <c r="AM151" s="75">
        <f>$C151*INDEX(Curves!$R$8:$R$68,AM$4-$B151+1)</f>
        <v/>
      </c>
      <c r="AN151" s="75">
        <f>$C151*INDEX(Curves!$R$8:$R$68,AN$4-$B151+1)</f>
        <v/>
      </c>
      <c r="AO151" s="75">
        <f>$C151*INDEX(Curves!$R$8:$R$68,AO$4-$B151+1)</f>
        <v/>
      </c>
      <c r="AP151" s="75">
        <f>$C151*INDEX(Curves!$R$8:$R$68,AP$4-$B151+1)</f>
        <v/>
      </c>
      <c r="AQ151" s="75">
        <f>$C151*INDEX(Curves!$R$8:$R$68,AQ$4-$B151+1)</f>
        <v/>
      </c>
      <c r="AR151" s="75">
        <f>$C151*INDEX(Curves!$R$8:$R$68,AR$4-$B151+1)</f>
        <v/>
      </c>
      <c r="AS151" s="75">
        <f>$C151*INDEX(Curves!$R$8:$R$68,AS$4-$B151+1)</f>
        <v/>
      </c>
      <c r="AT151" s="75">
        <f>$C151*INDEX(Curves!$R$8:$R$68,AT$4-$B151+1)</f>
        <v/>
      </c>
      <c r="AU151" s="75">
        <f>$C151*INDEX(Curves!$R$8:$R$68,AU$4-$B151+1)</f>
        <v/>
      </c>
      <c r="AV151" s="75">
        <f>$C151*INDEX(Curves!$R$8:$R$68,AV$4-$B151+1)</f>
        <v/>
      </c>
      <c r="AW151" s="75">
        <f>$C151*INDEX(Curves!$R$8:$R$68,AW$4-$B151+1)</f>
        <v/>
      </c>
      <c r="AX151" s="75">
        <f>$C151*INDEX(Curves!$R$8:$R$68,AX$4-$B151+1)</f>
        <v/>
      </c>
      <c r="AY151" s="75">
        <f>$C151*INDEX(Curves!$R$8:$R$68,AY$4-$B151+1)</f>
        <v/>
      </c>
      <c r="AZ151" s="75">
        <f>$C151*INDEX(Curves!$R$8:$R$68,AZ$4-$B151+1)</f>
        <v/>
      </c>
      <c r="BA151" s="75">
        <f>$C151*INDEX(Curves!$R$8:$R$68,BA$4-$B151+1)</f>
        <v/>
      </c>
      <c r="BB151" s="75">
        <f>$C151*INDEX(Curves!$R$8:$R$68,BB$4-$B151+1)</f>
        <v/>
      </c>
      <c r="BC151" s="75">
        <f>$C151*INDEX(Curves!$R$8:$R$68,BC$4-$B151+1)</f>
        <v/>
      </c>
      <c r="BD151" s="75">
        <f>$C151*INDEX(Curves!$R$8:$R$68,BD$4-$B151+1)</f>
        <v/>
      </c>
      <c r="BE151" s="75">
        <f>$C151*INDEX(Curves!$R$8:$R$68,BE$4-$B151+1)</f>
        <v/>
      </c>
      <c r="BF151" s="75">
        <f>$C151*INDEX(Curves!$R$8:$R$68,BF$4-$B151+1)</f>
        <v/>
      </c>
      <c r="BG151" s="75">
        <f>$C151*INDEX(Curves!$R$8:$R$68,BG$4-$B151+1)</f>
        <v/>
      </c>
      <c r="BH151" s="75">
        <f>$C151*INDEX(Curves!$R$8:$R$68,BH$4-$B151+1)</f>
        <v/>
      </c>
      <c r="BI151" s="75">
        <f>$C151*INDEX(Curves!$R$8:$R$68,BI$4-$B151+1)</f>
        <v/>
      </c>
      <c r="BJ151" s="75">
        <f>$C151*INDEX(Curves!$R$8:$R$68,BJ$4-$B151+1)</f>
        <v/>
      </c>
      <c r="BK151" s="75">
        <f>$C151*INDEX(Curves!$R$8:$R$68,BK$4-$B151+1)</f>
        <v/>
      </c>
      <c r="BL151" s="75">
        <f>$C151*INDEX(Curves!$R$8:$R$68,BL$4-$B151+1)</f>
        <v/>
      </c>
    </row>
    <row r="152">
      <c r="A152" s="74" t="inlineStr">
        <is>
          <t>Cohort month 17</t>
        </is>
      </c>
      <c r="B152" s="74" t="n">
        <v>17</v>
      </c>
      <c r="C152" s="17">
        <f>INDEX(Ops!$E$35:$BL$35,1,$B152)</f>
        <v/>
      </c>
      <c r="V152" s="75">
        <f>$C152*INDEX(Curves!$R$8:$R$68,V$4-$B152+1)</f>
        <v/>
      </c>
      <c r="W152" s="75">
        <f>$C152*INDEX(Curves!$R$8:$R$68,W$4-$B152+1)</f>
        <v/>
      </c>
      <c r="X152" s="75">
        <f>$C152*INDEX(Curves!$R$8:$R$68,X$4-$B152+1)</f>
        <v/>
      </c>
      <c r="Y152" s="75">
        <f>$C152*INDEX(Curves!$R$8:$R$68,Y$4-$B152+1)</f>
        <v/>
      </c>
      <c r="Z152" s="75">
        <f>$C152*INDEX(Curves!$R$8:$R$68,Z$4-$B152+1)</f>
        <v/>
      </c>
      <c r="AA152" s="75">
        <f>$C152*INDEX(Curves!$R$8:$R$68,AA$4-$B152+1)</f>
        <v/>
      </c>
      <c r="AB152" s="75">
        <f>$C152*INDEX(Curves!$R$8:$R$68,AB$4-$B152+1)</f>
        <v/>
      </c>
      <c r="AC152" s="75">
        <f>$C152*INDEX(Curves!$R$8:$R$68,AC$4-$B152+1)</f>
        <v/>
      </c>
      <c r="AD152" s="75">
        <f>$C152*INDEX(Curves!$R$8:$R$68,AD$4-$B152+1)</f>
        <v/>
      </c>
      <c r="AE152" s="75">
        <f>$C152*INDEX(Curves!$R$8:$R$68,AE$4-$B152+1)</f>
        <v/>
      </c>
      <c r="AF152" s="75">
        <f>$C152*INDEX(Curves!$R$8:$R$68,AF$4-$B152+1)</f>
        <v/>
      </c>
      <c r="AG152" s="75">
        <f>$C152*INDEX(Curves!$R$8:$R$68,AG$4-$B152+1)</f>
        <v/>
      </c>
      <c r="AH152" s="75">
        <f>$C152*INDEX(Curves!$R$8:$R$68,AH$4-$B152+1)</f>
        <v/>
      </c>
      <c r="AI152" s="75">
        <f>$C152*INDEX(Curves!$R$8:$R$68,AI$4-$B152+1)</f>
        <v/>
      </c>
      <c r="AJ152" s="75">
        <f>$C152*INDEX(Curves!$R$8:$R$68,AJ$4-$B152+1)</f>
        <v/>
      </c>
      <c r="AK152" s="75">
        <f>$C152*INDEX(Curves!$R$8:$R$68,AK$4-$B152+1)</f>
        <v/>
      </c>
      <c r="AL152" s="75">
        <f>$C152*INDEX(Curves!$R$8:$R$68,AL$4-$B152+1)</f>
        <v/>
      </c>
      <c r="AM152" s="75">
        <f>$C152*INDEX(Curves!$R$8:$R$68,AM$4-$B152+1)</f>
        <v/>
      </c>
      <c r="AN152" s="75">
        <f>$C152*INDEX(Curves!$R$8:$R$68,AN$4-$B152+1)</f>
        <v/>
      </c>
      <c r="AO152" s="75">
        <f>$C152*INDEX(Curves!$R$8:$R$68,AO$4-$B152+1)</f>
        <v/>
      </c>
      <c r="AP152" s="75">
        <f>$C152*INDEX(Curves!$R$8:$R$68,AP$4-$B152+1)</f>
        <v/>
      </c>
      <c r="AQ152" s="75">
        <f>$C152*INDEX(Curves!$R$8:$R$68,AQ$4-$B152+1)</f>
        <v/>
      </c>
      <c r="AR152" s="75">
        <f>$C152*INDEX(Curves!$R$8:$R$68,AR$4-$B152+1)</f>
        <v/>
      </c>
      <c r="AS152" s="75">
        <f>$C152*INDEX(Curves!$R$8:$R$68,AS$4-$B152+1)</f>
        <v/>
      </c>
      <c r="AT152" s="75">
        <f>$C152*INDEX(Curves!$R$8:$R$68,AT$4-$B152+1)</f>
        <v/>
      </c>
      <c r="AU152" s="75">
        <f>$C152*INDEX(Curves!$R$8:$R$68,AU$4-$B152+1)</f>
        <v/>
      </c>
      <c r="AV152" s="75">
        <f>$C152*INDEX(Curves!$R$8:$R$68,AV$4-$B152+1)</f>
        <v/>
      </c>
      <c r="AW152" s="75">
        <f>$C152*INDEX(Curves!$R$8:$R$68,AW$4-$B152+1)</f>
        <v/>
      </c>
      <c r="AX152" s="75">
        <f>$C152*INDEX(Curves!$R$8:$R$68,AX$4-$B152+1)</f>
        <v/>
      </c>
      <c r="AY152" s="75">
        <f>$C152*INDEX(Curves!$R$8:$R$68,AY$4-$B152+1)</f>
        <v/>
      </c>
      <c r="AZ152" s="75">
        <f>$C152*INDEX(Curves!$R$8:$R$68,AZ$4-$B152+1)</f>
        <v/>
      </c>
      <c r="BA152" s="75">
        <f>$C152*INDEX(Curves!$R$8:$R$68,BA$4-$B152+1)</f>
        <v/>
      </c>
      <c r="BB152" s="75">
        <f>$C152*INDEX(Curves!$R$8:$R$68,BB$4-$B152+1)</f>
        <v/>
      </c>
      <c r="BC152" s="75">
        <f>$C152*INDEX(Curves!$R$8:$R$68,BC$4-$B152+1)</f>
        <v/>
      </c>
      <c r="BD152" s="75">
        <f>$C152*INDEX(Curves!$R$8:$R$68,BD$4-$B152+1)</f>
        <v/>
      </c>
      <c r="BE152" s="75">
        <f>$C152*INDEX(Curves!$R$8:$R$68,BE$4-$B152+1)</f>
        <v/>
      </c>
      <c r="BF152" s="75">
        <f>$C152*INDEX(Curves!$R$8:$R$68,BF$4-$B152+1)</f>
        <v/>
      </c>
      <c r="BG152" s="75">
        <f>$C152*INDEX(Curves!$R$8:$R$68,BG$4-$B152+1)</f>
        <v/>
      </c>
      <c r="BH152" s="75">
        <f>$C152*INDEX(Curves!$R$8:$R$68,BH$4-$B152+1)</f>
        <v/>
      </c>
      <c r="BI152" s="75">
        <f>$C152*INDEX(Curves!$R$8:$R$68,BI$4-$B152+1)</f>
        <v/>
      </c>
      <c r="BJ152" s="75">
        <f>$C152*INDEX(Curves!$R$8:$R$68,BJ$4-$B152+1)</f>
        <v/>
      </c>
      <c r="BK152" s="75">
        <f>$C152*INDEX(Curves!$R$8:$R$68,BK$4-$B152+1)</f>
        <v/>
      </c>
      <c r="BL152" s="75">
        <f>$C152*INDEX(Curves!$R$8:$R$68,BL$4-$B152+1)</f>
        <v/>
      </c>
    </row>
    <row r="153">
      <c r="A153" s="74" t="inlineStr">
        <is>
          <t>Cohort month 18</t>
        </is>
      </c>
      <c r="B153" s="74" t="n">
        <v>18</v>
      </c>
      <c r="C153" s="17">
        <f>INDEX(Ops!$E$35:$BL$35,1,$B153)</f>
        <v/>
      </c>
      <c r="W153" s="75">
        <f>$C153*INDEX(Curves!$R$8:$R$68,W$4-$B153+1)</f>
        <v/>
      </c>
      <c r="X153" s="75">
        <f>$C153*INDEX(Curves!$R$8:$R$68,X$4-$B153+1)</f>
        <v/>
      </c>
      <c r="Y153" s="75">
        <f>$C153*INDEX(Curves!$R$8:$R$68,Y$4-$B153+1)</f>
        <v/>
      </c>
      <c r="Z153" s="75">
        <f>$C153*INDEX(Curves!$R$8:$R$68,Z$4-$B153+1)</f>
        <v/>
      </c>
      <c r="AA153" s="75">
        <f>$C153*INDEX(Curves!$R$8:$R$68,AA$4-$B153+1)</f>
        <v/>
      </c>
      <c r="AB153" s="75">
        <f>$C153*INDEX(Curves!$R$8:$R$68,AB$4-$B153+1)</f>
        <v/>
      </c>
      <c r="AC153" s="75">
        <f>$C153*INDEX(Curves!$R$8:$R$68,AC$4-$B153+1)</f>
        <v/>
      </c>
      <c r="AD153" s="75">
        <f>$C153*INDEX(Curves!$R$8:$R$68,AD$4-$B153+1)</f>
        <v/>
      </c>
      <c r="AE153" s="75">
        <f>$C153*INDEX(Curves!$R$8:$R$68,AE$4-$B153+1)</f>
        <v/>
      </c>
      <c r="AF153" s="75">
        <f>$C153*INDEX(Curves!$R$8:$R$68,AF$4-$B153+1)</f>
        <v/>
      </c>
      <c r="AG153" s="75">
        <f>$C153*INDEX(Curves!$R$8:$R$68,AG$4-$B153+1)</f>
        <v/>
      </c>
      <c r="AH153" s="75">
        <f>$C153*INDEX(Curves!$R$8:$R$68,AH$4-$B153+1)</f>
        <v/>
      </c>
      <c r="AI153" s="75">
        <f>$C153*INDEX(Curves!$R$8:$R$68,AI$4-$B153+1)</f>
        <v/>
      </c>
      <c r="AJ153" s="75">
        <f>$C153*INDEX(Curves!$R$8:$R$68,AJ$4-$B153+1)</f>
        <v/>
      </c>
      <c r="AK153" s="75">
        <f>$C153*INDEX(Curves!$R$8:$R$68,AK$4-$B153+1)</f>
        <v/>
      </c>
      <c r="AL153" s="75">
        <f>$C153*INDEX(Curves!$R$8:$R$68,AL$4-$B153+1)</f>
        <v/>
      </c>
      <c r="AM153" s="75">
        <f>$C153*INDEX(Curves!$R$8:$R$68,AM$4-$B153+1)</f>
        <v/>
      </c>
      <c r="AN153" s="75">
        <f>$C153*INDEX(Curves!$R$8:$R$68,AN$4-$B153+1)</f>
        <v/>
      </c>
      <c r="AO153" s="75">
        <f>$C153*INDEX(Curves!$R$8:$R$68,AO$4-$B153+1)</f>
        <v/>
      </c>
      <c r="AP153" s="75">
        <f>$C153*INDEX(Curves!$R$8:$R$68,AP$4-$B153+1)</f>
        <v/>
      </c>
      <c r="AQ153" s="75">
        <f>$C153*INDEX(Curves!$R$8:$R$68,AQ$4-$B153+1)</f>
        <v/>
      </c>
      <c r="AR153" s="75">
        <f>$C153*INDEX(Curves!$R$8:$R$68,AR$4-$B153+1)</f>
        <v/>
      </c>
      <c r="AS153" s="75">
        <f>$C153*INDEX(Curves!$R$8:$R$68,AS$4-$B153+1)</f>
        <v/>
      </c>
      <c r="AT153" s="75">
        <f>$C153*INDEX(Curves!$R$8:$R$68,AT$4-$B153+1)</f>
        <v/>
      </c>
      <c r="AU153" s="75">
        <f>$C153*INDEX(Curves!$R$8:$R$68,AU$4-$B153+1)</f>
        <v/>
      </c>
      <c r="AV153" s="75">
        <f>$C153*INDEX(Curves!$R$8:$R$68,AV$4-$B153+1)</f>
        <v/>
      </c>
      <c r="AW153" s="75">
        <f>$C153*INDEX(Curves!$R$8:$R$68,AW$4-$B153+1)</f>
        <v/>
      </c>
      <c r="AX153" s="75">
        <f>$C153*INDEX(Curves!$R$8:$R$68,AX$4-$B153+1)</f>
        <v/>
      </c>
      <c r="AY153" s="75">
        <f>$C153*INDEX(Curves!$R$8:$R$68,AY$4-$B153+1)</f>
        <v/>
      </c>
      <c r="AZ153" s="75">
        <f>$C153*INDEX(Curves!$R$8:$R$68,AZ$4-$B153+1)</f>
        <v/>
      </c>
      <c r="BA153" s="75">
        <f>$C153*INDEX(Curves!$R$8:$R$68,BA$4-$B153+1)</f>
        <v/>
      </c>
      <c r="BB153" s="75">
        <f>$C153*INDEX(Curves!$R$8:$R$68,BB$4-$B153+1)</f>
        <v/>
      </c>
      <c r="BC153" s="75">
        <f>$C153*INDEX(Curves!$R$8:$R$68,BC$4-$B153+1)</f>
        <v/>
      </c>
      <c r="BD153" s="75">
        <f>$C153*INDEX(Curves!$R$8:$R$68,BD$4-$B153+1)</f>
        <v/>
      </c>
      <c r="BE153" s="75">
        <f>$C153*INDEX(Curves!$R$8:$R$68,BE$4-$B153+1)</f>
        <v/>
      </c>
      <c r="BF153" s="75">
        <f>$C153*INDEX(Curves!$R$8:$R$68,BF$4-$B153+1)</f>
        <v/>
      </c>
      <c r="BG153" s="75">
        <f>$C153*INDEX(Curves!$R$8:$R$68,BG$4-$B153+1)</f>
        <v/>
      </c>
      <c r="BH153" s="75">
        <f>$C153*INDEX(Curves!$R$8:$R$68,BH$4-$B153+1)</f>
        <v/>
      </c>
      <c r="BI153" s="75">
        <f>$C153*INDEX(Curves!$R$8:$R$68,BI$4-$B153+1)</f>
        <v/>
      </c>
      <c r="BJ153" s="75">
        <f>$C153*INDEX(Curves!$R$8:$R$68,BJ$4-$B153+1)</f>
        <v/>
      </c>
      <c r="BK153" s="75">
        <f>$C153*INDEX(Curves!$R$8:$R$68,BK$4-$B153+1)</f>
        <v/>
      </c>
      <c r="BL153" s="75">
        <f>$C153*INDEX(Curves!$R$8:$R$68,BL$4-$B153+1)</f>
        <v/>
      </c>
    </row>
    <row r="154">
      <c r="A154" s="74" t="inlineStr">
        <is>
          <t>Cohort month 19</t>
        </is>
      </c>
      <c r="B154" s="74" t="n">
        <v>19</v>
      </c>
      <c r="C154" s="17">
        <f>INDEX(Ops!$E$35:$BL$35,1,$B154)</f>
        <v/>
      </c>
      <c r="X154" s="75">
        <f>$C154*INDEX(Curves!$R$8:$R$68,X$4-$B154+1)</f>
        <v/>
      </c>
      <c r="Y154" s="75">
        <f>$C154*INDEX(Curves!$R$8:$R$68,Y$4-$B154+1)</f>
        <v/>
      </c>
      <c r="Z154" s="75">
        <f>$C154*INDEX(Curves!$R$8:$R$68,Z$4-$B154+1)</f>
        <v/>
      </c>
      <c r="AA154" s="75">
        <f>$C154*INDEX(Curves!$R$8:$R$68,AA$4-$B154+1)</f>
        <v/>
      </c>
      <c r="AB154" s="75">
        <f>$C154*INDEX(Curves!$R$8:$R$68,AB$4-$B154+1)</f>
        <v/>
      </c>
      <c r="AC154" s="75">
        <f>$C154*INDEX(Curves!$R$8:$R$68,AC$4-$B154+1)</f>
        <v/>
      </c>
      <c r="AD154" s="75">
        <f>$C154*INDEX(Curves!$R$8:$R$68,AD$4-$B154+1)</f>
        <v/>
      </c>
      <c r="AE154" s="75">
        <f>$C154*INDEX(Curves!$R$8:$R$68,AE$4-$B154+1)</f>
        <v/>
      </c>
      <c r="AF154" s="75">
        <f>$C154*INDEX(Curves!$R$8:$R$68,AF$4-$B154+1)</f>
        <v/>
      </c>
      <c r="AG154" s="75">
        <f>$C154*INDEX(Curves!$R$8:$R$68,AG$4-$B154+1)</f>
        <v/>
      </c>
      <c r="AH154" s="75">
        <f>$C154*INDEX(Curves!$R$8:$R$68,AH$4-$B154+1)</f>
        <v/>
      </c>
      <c r="AI154" s="75">
        <f>$C154*INDEX(Curves!$R$8:$R$68,AI$4-$B154+1)</f>
        <v/>
      </c>
      <c r="AJ154" s="75">
        <f>$C154*INDEX(Curves!$R$8:$R$68,AJ$4-$B154+1)</f>
        <v/>
      </c>
      <c r="AK154" s="75">
        <f>$C154*INDEX(Curves!$R$8:$R$68,AK$4-$B154+1)</f>
        <v/>
      </c>
      <c r="AL154" s="75">
        <f>$C154*INDEX(Curves!$R$8:$R$68,AL$4-$B154+1)</f>
        <v/>
      </c>
      <c r="AM154" s="75">
        <f>$C154*INDEX(Curves!$R$8:$R$68,AM$4-$B154+1)</f>
        <v/>
      </c>
      <c r="AN154" s="75">
        <f>$C154*INDEX(Curves!$R$8:$R$68,AN$4-$B154+1)</f>
        <v/>
      </c>
      <c r="AO154" s="75">
        <f>$C154*INDEX(Curves!$R$8:$R$68,AO$4-$B154+1)</f>
        <v/>
      </c>
      <c r="AP154" s="75">
        <f>$C154*INDEX(Curves!$R$8:$R$68,AP$4-$B154+1)</f>
        <v/>
      </c>
      <c r="AQ154" s="75">
        <f>$C154*INDEX(Curves!$R$8:$R$68,AQ$4-$B154+1)</f>
        <v/>
      </c>
      <c r="AR154" s="75">
        <f>$C154*INDEX(Curves!$R$8:$R$68,AR$4-$B154+1)</f>
        <v/>
      </c>
      <c r="AS154" s="75">
        <f>$C154*INDEX(Curves!$R$8:$R$68,AS$4-$B154+1)</f>
        <v/>
      </c>
      <c r="AT154" s="75">
        <f>$C154*INDEX(Curves!$R$8:$R$68,AT$4-$B154+1)</f>
        <v/>
      </c>
      <c r="AU154" s="75">
        <f>$C154*INDEX(Curves!$R$8:$R$68,AU$4-$B154+1)</f>
        <v/>
      </c>
      <c r="AV154" s="75">
        <f>$C154*INDEX(Curves!$R$8:$R$68,AV$4-$B154+1)</f>
        <v/>
      </c>
      <c r="AW154" s="75">
        <f>$C154*INDEX(Curves!$R$8:$R$68,AW$4-$B154+1)</f>
        <v/>
      </c>
      <c r="AX154" s="75">
        <f>$C154*INDEX(Curves!$R$8:$R$68,AX$4-$B154+1)</f>
        <v/>
      </c>
      <c r="AY154" s="75">
        <f>$C154*INDEX(Curves!$R$8:$R$68,AY$4-$B154+1)</f>
        <v/>
      </c>
      <c r="AZ154" s="75">
        <f>$C154*INDEX(Curves!$R$8:$R$68,AZ$4-$B154+1)</f>
        <v/>
      </c>
      <c r="BA154" s="75">
        <f>$C154*INDEX(Curves!$R$8:$R$68,BA$4-$B154+1)</f>
        <v/>
      </c>
      <c r="BB154" s="75">
        <f>$C154*INDEX(Curves!$R$8:$R$68,BB$4-$B154+1)</f>
        <v/>
      </c>
      <c r="BC154" s="75">
        <f>$C154*INDEX(Curves!$R$8:$R$68,BC$4-$B154+1)</f>
        <v/>
      </c>
      <c r="BD154" s="75">
        <f>$C154*INDEX(Curves!$R$8:$R$68,BD$4-$B154+1)</f>
        <v/>
      </c>
      <c r="BE154" s="75">
        <f>$C154*INDEX(Curves!$R$8:$R$68,BE$4-$B154+1)</f>
        <v/>
      </c>
      <c r="BF154" s="75">
        <f>$C154*INDEX(Curves!$R$8:$R$68,BF$4-$B154+1)</f>
        <v/>
      </c>
      <c r="BG154" s="75">
        <f>$C154*INDEX(Curves!$R$8:$R$68,BG$4-$B154+1)</f>
        <v/>
      </c>
      <c r="BH154" s="75">
        <f>$C154*INDEX(Curves!$R$8:$R$68,BH$4-$B154+1)</f>
        <v/>
      </c>
      <c r="BI154" s="75">
        <f>$C154*INDEX(Curves!$R$8:$R$68,BI$4-$B154+1)</f>
        <v/>
      </c>
      <c r="BJ154" s="75">
        <f>$C154*INDEX(Curves!$R$8:$R$68,BJ$4-$B154+1)</f>
        <v/>
      </c>
      <c r="BK154" s="75">
        <f>$C154*INDEX(Curves!$R$8:$R$68,BK$4-$B154+1)</f>
        <v/>
      </c>
      <c r="BL154" s="75">
        <f>$C154*INDEX(Curves!$R$8:$R$68,BL$4-$B154+1)</f>
        <v/>
      </c>
    </row>
    <row r="155">
      <c r="A155" s="74" t="inlineStr">
        <is>
          <t>Cohort month 20</t>
        </is>
      </c>
      <c r="B155" s="74" t="n">
        <v>20</v>
      </c>
      <c r="C155" s="17">
        <f>INDEX(Ops!$E$35:$BL$35,1,$B155)</f>
        <v/>
      </c>
      <c r="Y155" s="75">
        <f>$C155*INDEX(Curves!$R$8:$R$68,Y$4-$B155+1)</f>
        <v/>
      </c>
      <c r="Z155" s="75">
        <f>$C155*INDEX(Curves!$R$8:$R$68,Z$4-$B155+1)</f>
        <v/>
      </c>
      <c r="AA155" s="75">
        <f>$C155*INDEX(Curves!$R$8:$R$68,AA$4-$B155+1)</f>
        <v/>
      </c>
      <c r="AB155" s="75">
        <f>$C155*INDEX(Curves!$R$8:$R$68,AB$4-$B155+1)</f>
        <v/>
      </c>
      <c r="AC155" s="75">
        <f>$C155*INDEX(Curves!$R$8:$R$68,AC$4-$B155+1)</f>
        <v/>
      </c>
      <c r="AD155" s="75">
        <f>$C155*INDEX(Curves!$R$8:$R$68,AD$4-$B155+1)</f>
        <v/>
      </c>
      <c r="AE155" s="75">
        <f>$C155*INDEX(Curves!$R$8:$R$68,AE$4-$B155+1)</f>
        <v/>
      </c>
      <c r="AF155" s="75">
        <f>$C155*INDEX(Curves!$R$8:$R$68,AF$4-$B155+1)</f>
        <v/>
      </c>
      <c r="AG155" s="75">
        <f>$C155*INDEX(Curves!$R$8:$R$68,AG$4-$B155+1)</f>
        <v/>
      </c>
      <c r="AH155" s="75">
        <f>$C155*INDEX(Curves!$R$8:$R$68,AH$4-$B155+1)</f>
        <v/>
      </c>
      <c r="AI155" s="75">
        <f>$C155*INDEX(Curves!$R$8:$R$68,AI$4-$B155+1)</f>
        <v/>
      </c>
      <c r="AJ155" s="75">
        <f>$C155*INDEX(Curves!$R$8:$R$68,AJ$4-$B155+1)</f>
        <v/>
      </c>
      <c r="AK155" s="75">
        <f>$C155*INDEX(Curves!$R$8:$R$68,AK$4-$B155+1)</f>
        <v/>
      </c>
      <c r="AL155" s="75">
        <f>$C155*INDEX(Curves!$R$8:$R$68,AL$4-$B155+1)</f>
        <v/>
      </c>
      <c r="AM155" s="75">
        <f>$C155*INDEX(Curves!$R$8:$R$68,AM$4-$B155+1)</f>
        <v/>
      </c>
      <c r="AN155" s="75">
        <f>$C155*INDEX(Curves!$R$8:$R$68,AN$4-$B155+1)</f>
        <v/>
      </c>
      <c r="AO155" s="75">
        <f>$C155*INDEX(Curves!$R$8:$R$68,AO$4-$B155+1)</f>
        <v/>
      </c>
      <c r="AP155" s="75">
        <f>$C155*INDEX(Curves!$R$8:$R$68,AP$4-$B155+1)</f>
        <v/>
      </c>
      <c r="AQ155" s="75">
        <f>$C155*INDEX(Curves!$R$8:$R$68,AQ$4-$B155+1)</f>
        <v/>
      </c>
      <c r="AR155" s="75">
        <f>$C155*INDEX(Curves!$R$8:$R$68,AR$4-$B155+1)</f>
        <v/>
      </c>
      <c r="AS155" s="75">
        <f>$C155*INDEX(Curves!$R$8:$R$68,AS$4-$B155+1)</f>
        <v/>
      </c>
      <c r="AT155" s="75">
        <f>$C155*INDEX(Curves!$R$8:$R$68,AT$4-$B155+1)</f>
        <v/>
      </c>
      <c r="AU155" s="75">
        <f>$C155*INDEX(Curves!$R$8:$R$68,AU$4-$B155+1)</f>
        <v/>
      </c>
      <c r="AV155" s="75">
        <f>$C155*INDEX(Curves!$R$8:$R$68,AV$4-$B155+1)</f>
        <v/>
      </c>
      <c r="AW155" s="75">
        <f>$C155*INDEX(Curves!$R$8:$R$68,AW$4-$B155+1)</f>
        <v/>
      </c>
      <c r="AX155" s="75">
        <f>$C155*INDEX(Curves!$R$8:$R$68,AX$4-$B155+1)</f>
        <v/>
      </c>
      <c r="AY155" s="75">
        <f>$C155*INDEX(Curves!$R$8:$R$68,AY$4-$B155+1)</f>
        <v/>
      </c>
      <c r="AZ155" s="75">
        <f>$C155*INDEX(Curves!$R$8:$R$68,AZ$4-$B155+1)</f>
        <v/>
      </c>
      <c r="BA155" s="75">
        <f>$C155*INDEX(Curves!$R$8:$R$68,BA$4-$B155+1)</f>
        <v/>
      </c>
      <c r="BB155" s="75">
        <f>$C155*INDEX(Curves!$R$8:$R$68,BB$4-$B155+1)</f>
        <v/>
      </c>
      <c r="BC155" s="75">
        <f>$C155*INDEX(Curves!$R$8:$R$68,BC$4-$B155+1)</f>
        <v/>
      </c>
      <c r="BD155" s="75">
        <f>$C155*INDEX(Curves!$R$8:$R$68,BD$4-$B155+1)</f>
        <v/>
      </c>
      <c r="BE155" s="75">
        <f>$C155*INDEX(Curves!$R$8:$R$68,BE$4-$B155+1)</f>
        <v/>
      </c>
      <c r="BF155" s="75">
        <f>$C155*INDEX(Curves!$R$8:$R$68,BF$4-$B155+1)</f>
        <v/>
      </c>
      <c r="BG155" s="75">
        <f>$C155*INDEX(Curves!$R$8:$R$68,BG$4-$B155+1)</f>
        <v/>
      </c>
      <c r="BH155" s="75">
        <f>$C155*INDEX(Curves!$R$8:$R$68,BH$4-$B155+1)</f>
        <v/>
      </c>
      <c r="BI155" s="75">
        <f>$C155*INDEX(Curves!$R$8:$R$68,BI$4-$B155+1)</f>
        <v/>
      </c>
      <c r="BJ155" s="75">
        <f>$C155*INDEX(Curves!$R$8:$R$68,BJ$4-$B155+1)</f>
        <v/>
      </c>
      <c r="BK155" s="75">
        <f>$C155*INDEX(Curves!$R$8:$R$68,BK$4-$B155+1)</f>
        <v/>
      </c>
      <c r="BL155" s="75">
        <f>$C155*INDEX(Curves!$R$8:$R$68,BL$4-$B155+1)</f>
        <v/>
      </c>
    </row>
    <row r="156">
      <c r="A156" s="74" t="inlineStr">
        <is>
          <t>Cohort month 21</t>
        </is>
      </c>
      <c r="B156" s="74" t="n">
        <v>21</v>
      </c>
      <c r="C156" s="17">
        <f>INDEX(Ops!$E$35:$BL$35,1,$B156)</f>
        <v/>
      </c>
      <c r="Z156" s="75">
        <f>$C156*INDEX(Curves!$R$8:$R$68,Z$4-$B156+1)</f>
        <v/>
      </c>
      <c r="AA156" s="75">
        <f>$C156*INDEX(Curves!$R$8:$R$68,AA$4-$B156+1)</f>
        <v/>
      </c>
      <c r="AB156" s="75">
        <f>$C156*INDEX(Curves!$R$8:$R$68,AB$4-$B156+1)</f>
        <v/>
      </c>
      <c r="AC156" s="75">
        <f>$C156*INDEX(Curves!$R$8:$R$68,AC$4-$B156+1)</f>
        <v/>
      </c>
      <c r="AD156" s="75">
        <f>$C156*INDEX(Curves!$R$8:$R$68,AD$4-$B156+1)</f>
        <v/>
      </c>
      <c r="AE156" s="75">
        <f>$C156*INDEX(Curves!$R$8:$R$68,AE$4-$B156+1)</f>
        <v/>
      </c>
      <c r="AF156" s="75">
        <f>$C156*INDEX(Curves!$R$8:$R$68,AF$4-$B156+1)</f>
        <v/>
      </c>
      <c r="AG156" s="75">
        <f>$C156*INDEX(Curves!$R$8:$R$68,AG$4-$B156+1)</f>
        <v/>
      </c>
      <c r="AH156" s="75">
        <f>$C156*INDEX(Curves!$R$8:$R$68,AH$4-$B156+1)</f>
        <v/>
      </c>
      <c r="AI156" s="75">
        <f>$C156*INDEX(Curves!$R$8:$R$68,AI$4-$B156+1)</f>
        <v/>
      </c>
      <c r="AJ156" s="75">
        <f>$C156*INDEX(Curves!$R$8:$R$68,AJ$4-$B156+1)</f>
        <v/>
      </c>
      <c r="AK156" s="75">
        <f>$C156*INDEX(Curves!$R$8:$R$68,AK$4-$B156+1)</f>
        <v/>
      </c>
      <c r="AL156" s="75">
        <f>$C156*INDEX(Curves!$R$8:$R$68,AL$4-$B156+1)</f>
        <v/>
      </c>
      <c r="AM156" s="75">
        <f>$C156*INDEX(Curves!$R$8:$R$68,AM$4-$B156+1)</f>
        <v/>
      </c>
      <c r="AN156" s="75">
        <f>$C156*INDEX(Curves!$R$8:$R$68,AN$4-$B156+1)</f>
        <v/>
      </c>
      <c r="AO156" s="75">
        <f>$C156*INDEX(Curves!$R$8:$R$68,AO$4-$B156+1)</f>
        <v/>
      </c>
      <c r="AP156" s="75">
        <f>$C156*INDEX(Curves!$R$8:$R$68,AP$4-$B156+1)</f>
        <v/>
      </c>
      <c r="AQ156" s="75">
        <f>$C156*INDEX(Curves!$R$8:$R$68,AQ$4-$B156+1)</f>
        <v/>
      </c>
      <c r="AR156" s="75">
        <f>$C156*INDEX(Curves!$R$8:$R$68,AR$4-$B156+1)</f>
        <v/>
      </c>
      <c r="AS156" s="75">
        <f>$C156*INDEX(Curves!$R$8:$R$68,AS$4-$B156+1)</f>
        <v/>
      </c>
      <c r="AT156" s="75">
        <f>$C156*INDEX(Curves!$R$8:$R$68,AT$4-$B156+1)</f>
        <v/>
      </c>
      <c r="AU156" s="75">
        <f>$C156*INDEX(Curves!$R$8:$R$68,AU$4-$B156+1)</f>
        <v/>
      </c>
      <c r="AV156" s="75">
        <f>$C156*INDEX(Curves!$R$8:$R$68,AV$4-$B156+1)</f>
        <v/>
      </c>
      <c r="AW156" s="75">
        <f>$C156*INDEX(Curves!$R$8:$R$68,AW$4-$B156+1)</f>
        <v/>
      </c>
      <c r="AX156" s="75">
        <f>$C156*INDEX(Curves!$R$8:$R$68,AX$4-$B156+1)</f>
        <v/>
      </c>
      <c r="AY156" s="75">
        <f>$C156*INDEX(Curves!$R$8:$R$68,AY$4-$B156+1)</f>
        <v/>
      </c>
      <c r="AZ156" s="75">
        <f>$C156*INDEX(Curves!$R$8:$R$68,AZ$4-$B156+1)</f>
        <v/>
      </c>
      <c r="BA156" s="75">
        <f>$C156*INDEX(Curves!$R$8:$R$68,BA$4-$B156+1)</f>
        <v/>
      </c>
      <c r="BB156" s="75">
        <f>$C156*INDEX(Curves!$R$8:$R$68,BB$4-$B156+1)</f>
        <v/>
      </c>
      <c r="BC156" s="75">
        <f>$C156*INDEX(Curves!$R$8:$R$68,BC$4-$B156+1)</f>
        <v/>
      </c>
      <c r="BD156" s="75">
        <f>$C156*INDEX(Curves!$R$8:$R$68,BD$4-$B156+1)</f>
        <v/>
      </c>
      <c r="BE156" s="75">
        <f>$C156*INDEX(Curves!$R$8:$R$68,BE$4-$B156+1)</f>
        <v/>
      </c>
      <c r="BF156" s="75">
        <f>$C156*INDEX(Curves!$R$8:$R$68,BF$4-$B156+1)</f>
        <v/>
      </c>
      <c r="BG156" s="75">
        <f>$C156*INDEX(Curves!$R$8:$R$68,BG$4-$B156+1)</f>
        <v/>
      </c>
      <c r="BH156" s="75">
        <f>$C156*INDEX(Curves!$R$8:$R$68,BH$4-$B156+1)</f>
        <v/>
      </c>
      <c r="BI156" s="75">
        <f>$C156*INDEX(Curves!$R$8:$R$68,BI$4-$B156+1)</f>
        <v/>
      </c>
      <c r="BJ156" s="75">
        <f>$C156*INDEX(Curves!$R$8:$R$68,BJ$4-$B156+1)</f>
        <v/>
      </c>
      <c r="BK156" s="75">
        <f>$C156*INDEX(Curves!$R$8:$R$68,BK$4-$B156+1)</f>
        <v/>
      </c>
      <c r="BL156" s="75">
        <f>$C156*INDEX(Curves!$R$8:$R$68,BL$4-$B156+1)</f>
        <v/>
      </c>
    </row>
    <row r="157">
      <c r="A157" s="74" t="inlineStr">
        <is>
          <t>Cohort month 22</t>
        </is>
      </c>
      <c r="B157" s="74" t="n">
        <v>22</v>
      </c>
      <c r="C157" s="17">
        <f>INDEX(Ops!$E$35:$BL$35,1,$B157)</f>
        <v/>
      </c>
      <c r="AA157" s="75">
        <f>$C157*INDEX(Curves!$R$8:$R$68,AA$4-$B157+1)</f>
        <v/>
      </c>
      <c r="AB157" s="75">
        <f>$C157*INDEX(Curves!$R$8:$R$68,AB$4-$B157+1)</f>
        <v/>
      </c>
      <c r="AC157" s="75">
        <f>$C157*INDEX(Curves!$R$8:$R$68,AC$4-$B157+1)</f>
        <v/>
      </c>
      <c r="AD157" s="75">
        <f>$C157*INDEX(Curves!$R$8:$R$68,AD$4-$B157+1)</f>
        <v/>
      </c>
      <c r="AE157" s="75">
        <f>$C157*INDEX(Curves!$R$8:$R$68,AE$4-$B157+1)</f>
        <v/>
      </c>
      <c r="AF157" s="75">
        <f>$C157*INDEX(Curves!$R$8:$R$68,AF$4-$B157+1)</f>
        <v/>
      </c>
      <c r="AG157" s="75">
        <f>$C157*INDEX(Curves!$R$8:$R$68,AG$4-$B157+1)</f>
        <v/>
      </c>
      <c r="AH157" s="75">
        <f>$C157*INDEX(Curves!$R$8:$R$68,AH$4-$B157+1)</f>
        <v/>
      </c>
      <c r="AI157" s="75">
        <f>$C157*INDEX(Curves!$R$8:$R$68,AI$4-$B157+1)</f>
        <v/>
      </c>
      <c r="AJ157" s="75">
        <f>$C157*INDEX(Curves!$R$8:$R$68,AJ$4-$B157+1)</f>
        <v/>
      </c>
      <c r="AK157" s="75">
        <f>$C157*INDEX(Curves!$R$8:$R$68,AK$4-$B157+1)</f>
        <v/>
      </c>
      <c r="AL157" s="75">
        <f>$C157*INDEX(Curves!$R$8:$R$68,AL$4-$B157+1)</f>
        <v/>
      </c>
      <c r="AM157" s="75">
        <f>$C157*INDEX(Curves!$R$8:$R$68,AM$4-$B157+1)</f>
        <v/>
      </c>
      <c r="AN157" s="75">
        <f>$C157*INDEX(Curves!$R$8:$R$68,AN$4-$B157+1)</f>
        <v/>
      </c>
      <c r="AO157" s="75">
        <f>$C157*INDEX(Curves!$R$8:$R$68,AO$4-$B157+1)</f>
        <v/>
      </c>
      <c r="AP157" s="75">
        <f>$C157*INDEX(Curves!$R$8:$R$68,AP$4-$B157+1)</f>
        <v/>
      </c>
      <c r="AQ157" s="75">
        <f>$C157*INDEX(Curves!$R$8:$R$68,AQ$4-$B157+1)</f>
        <v/>
      </c>
      <c r="AR157" s="75">
        <f>$C157*INDEX(Curves!$R$8:$R$68,AR$4-$B157+1)</f>
        <v/>
      </c>
      <c r="AS157" s="75">
        <f>$C157*INDEX(Curves!$R$8:$R$68,AS$4-$B157+1)</f>
        <v/>
      </c>
      <c r="AT157" s="75">
        <f>$C157*INDEX(Curves!$R$8:$R$68,AT$4-$B157+1)</f>
        <v/>
      </c>
      <c r="AU157" s="75">
        <f>$C157*INDEX(Curves!$R$8:$R$68,AU$4-$B157+1)</f>
        <v/>
      </c>
      <c r="AV157" s="75">
        <f>$C157*INDEX(Curves!$R$8:$R$68,AV$4-$B157+1)</f>
        <v/>
      </c>
      <c r="AW157" s="75">
        <f>$C157*INDEX(Curves!$R$8:$R$68,AW$4-$B157+1)</f>
        <v/>
      </c>
      <c r="AX157" s="75">
        <f>$C157*INDEX(Curves!$R$8:$R$68,AX$4-$B157+1)</f>
        <v/>
      </c>
      <c r="AY157" s="75">
        <f>$C157*INDEX(Curves!$R$8:$R$68,AY$4-$B157+1)</f>
        <v/>
      </c>
      <c r="AZ157" s="75">
        <f>$C157*INDEX(Curves!$R$8:$R$68,AZ$4-$B157+1)</f>
        <v/>
      </c>
      <c r="BA157" s="75">
        <f>$C157*INDEX(Curves!$R$8:$R$68,BA$4-$B157+1)</f>
        <v/>
      </c>
      <c r="BB157" s="75">
        <f>$C157*INDEX(Curves!$R$8:$R$68,BB$4-$B157+1)</f>
        <v/>
      </c>
      <c r="BC157" s="75">
        <f>$C157*INDEX(Curves!$R$8:$R$68,BC$4-$B157+1)</f>
        <v/>
      </c>
      <c r="BD157" s="75">
        <f>$C157*INDEX(Curves!$R$8:$R$68,BD$4-$B157+1)</f>
        <v/>
      </c>
      <c r="BE157" s="75">
        <f>$C157*INDEX(Curves!$R$8:$R$68,BE$4-$B157+1)</f>
        <v/>
      </c>
      <c r="BF157" s="75">
        <f>$C157*INDEX(Curves!$R$8:$R$68,BF$4-$B157+1)</f>
        <v/>
      </c>
      <c r="BG157" s="75">
        <f>$C157*INDEX(Curves!$R$8:$R$68,BG$4-$B157+1)</f>
        <v/>
      </c>
      <c r="BH157" s="75">
        <f>$C157*INDEX(Curves!$R$8:$R$68,BH$4-$B157+1)</f>
        <v/>
      </c>
      <c r="BI157" s="75">
        <f>$C157*INDEX(Curves!$R$8:$R$68,BI$4-$B157+1)</f>
        <v/>
      </c>
      <c r="BJ157" s="75">
        <f>$C157*INDEX(Curves!$R$8:$R$68,BJ$4-$B157+1)</f>
        <v/>
      </c>
      <c r="BK157" s="75">
        <f>$C157*INDEX(Curves!$R$8:$R$68,BK$4-$B157+1)</f>
        <v/>
      </c>
      <c r="BL157" s="75">
        <f>$C157*INDEX(Curves!$R$8:$R$68,BL$4-$B157+1)</f>
        <v/>
      </c>
    </row>
    <row r="158">
      <c r="A158" s="74" t="inlineStr">
        <is>
          <t>Cohort month 23</t>
        </is>
      </c>
      <c r="B158" s="74" t="n">
        <v>23</v>
      </c>
      <c r="C158" s="17">
        <f>INDEX(Ops!$E$35:$BL$35,1,$B158)</f>
        <v/>
      </c>
      <c r="AB158" s="75">
        <f>$C158*INDEX(Curves!$R$8:$R$68,AB$4-$B158+1)</f>
        <v/>
      </c>
      <c r="AC158" s="75">
        <f>$C158*INDEX(Curves!$R$8:$R$68,AC$4-$B158+1)</f>
        <v/>
      </c>
      <c r="AD158" s="75">
        <f>$C158*INDEX(Curves!$R$8:$R$68,AD$4-$B158+1)</f>
        <v/>
      </c>
      <c r="AE158" s="75">
        <f>$C158*INDEX(Curves!$R$8:$R$68,AE$4-$B158+1)</f>
        <v/>
      </c>
      <c r="AF158" s="75">
        <f>$C158*INDEX(Curves!$R$8:$R$68,AF$4-$B158+1)</f>
        <v/>
      </c>
      <c r="AG158" s="75">
        <f>$C158*INDEX(Curves!$R$8:$R$68,AG$4-$B158+1)</f>
        <v/>
      </c>
      <c r="AH158" s="75">
        <f>$C158*INDEX(Curves!$R$8:$R$68,AH$4-$B158+1)</f>
        <v/>
      </c>
      <c r="AI158" s="75">
        <f>$C158*INDEX(Curves!$R$8:$R$68,AI$4-$B158+1)</f>
        <v/>
      </c>
      <c r="AJ158" s="75">
        <f>$C158*INDEX(Curves!$R$8:$R$68,AJ$4-$B158+1)</f>
        <v/>
      </c>
      <c r="AK158" s="75">
        <f>$C158*INDEX(Curves!$R$8:$R$68,AK$4-$B158+1)</f>
        <v/>
      </c>
      <c r="AL158" s="75">
        <f>$C158*INDEX(Curves!$R$8:$R$68,AL$4-$B158+1)</f>
        <v/>
      </c>
      <c r="AM158" s="75">
        <f>$C158*INDEX(Curves!$R$8:$R$68,AM$4-$B158+1)</f>
        <v/>
      </c>
      <c r="AN158" s="75">
        <f>$C158*INDEX(Curves!$R$8:$R$68,AN$4-$B158+1)</f>
        <v/>
      </c>
      <c r="AO158" s="75">
        <f>$C158*INDEX(Curves!$R$8:$R$68,AO$4-$B158+1)</f>
        <v/>
      </c>
      <c r="AP158" s="75">
        <f>$C158*INDEX(Curves!$R$8:$R$68,AP$4-$B158+1)</f>
        <v/>
      </c>
      <c r="AQ158" s="75">
        <f>$C158*INDEX(Curves!$R$8:$R$68,AQ$4-$B158+1)</f>
        <v/>
      </c>
      <c r="AR158" s="75">
        <f>$C158*INDEX(Curves!$R$8:$R$68,AR$4-$B158+1)</f>
        <v/>
      </c>
      <c r="AS158" s="75">
        <f>$C158*INDEX(Curves!$R$8:$R$68,AS$4-$B158+1)</f>
        <v/>
      </c>
      <c r="AT158" s="75">
        <f>$C158*INDEX(Curves!$R$8:$R$68,AT$4-$B158+1)</f>
        <v/>
      </c>
      <c r="AU158" s="75">
        <f>$C158*INDEX(Curves!$R$8:$R$68,AU$4-$B158+1)</f>
        <v/>
      </c>
      <c r="AV158" s="75">
        <f>$C158*INDEX(Curves!$R$8:$R$68,AV$4-$B158+1)</f>
        <v/>
      </c>
      <c r="AW158" s="75">
        <f>$C158*INDEX(Curves!$R$8:$R$68,AW$4-$B158+1)</f>
        <v/>
      </c>
      <c r="AX158" s="75">
        <f>$C158*INDEX(Curves!$R$8:$R$68,AX$4-$B158+1)</f>
        <v/>
      </c>
      <c r="AY158" s="75">
        <f>$C158*INDEX(Curves!$R$8:$R$68,AY$4-$B158+1)</f>
        <v/>
      </c>
      <c r="AZ158" s="75">
        <f>$C158*INDEX(Curves!$R$8:$R$68,AZ$4-$B158+1)</f>
        <v/>
      </c>
      <c r="BA158" s="75">
        <f>$C158*INDEX(Curves!$R$8:$R$68,BA$4-$B158+1)</f>
        <v/>
      </c>
      <c r="BB158" s="75">
        <f>$C158*INDEX(Curves!$R$8:$R$68,BB$4-$B158+1)</f>
        <v/>
      </c>
      <c r="BC158" s="75">
        <f>$C158*INDEX(Curves!$R$8:$R$68,BC$4-$B158+1)</f>
        <v/>
      </c>
      <c r="BD158" s="75">
        <f>$C158*INDEX(Curves!$R$8:$R$68,BD$4-$B158+1)</f>
        <v/>
      </c>
      <c r="BE158" s="75">
        <f>$C158*INDEX(Curves!$R$8:$R$68,BE$4-$B158+1)</f>
        <v/>
      </c>
      <c r="BF158" s="75">
        <f>$C158*INDEX(Curves!$R$8:$R$68,BF$4-$B158+1)</f>
        <v/>
      </c>
      <c r="BG158" s="75">
        <f>$C158*INDEX(Curves!$R$8:$R$68,BG$4-$B158+1)</f>
        <v/>
      </c>
      <c r="BH158" s="75">
        <f>$C158*INDEX(Curves!$R$8:$R$68,BH$4-$B158+1)</f>
        <v/>
      </c>
      <c r="BI158" s="75">
        <f>$C158*INDEX(Curves!$R$8:$R$68,BI$4-$B158+1)</f>
        <v/>
      </c>
      <c r="BJ158" s="75">
        <f>$C158*INDEX(Curves!$R$8:$R$68,BJ$4-$B158+1)</f>
        <v/>
      </c>
      <c r="BK158" s="75">
        <f>$C158*INDEX(Curves!$R$8:$R$68,BK$4-$B158+1)</f>
        <v/>
      </c>
      <c r="BL158" s="75">
        <f>$C158*INDEX(Curves!$R$8:$R$68,BL$4-$B158+1)</f>
        <v/>
      </c>
    </row>
    <row r="159">
      <c r="A159" s="74" t="inlineStr">
        <is>
          <t>Cohort month 24</t>
        </is>
      </c>
      <c r="B159" s="74" t="n">
        <v>24</v>
      </c>
      <c r="C159" s="17">
        <f>INDEX(Ops!$E$35:$BL$35,1,$B159)</f>
        <v/>
      </c>
      <c r="AC159" s="75">
        <f>$C159*INDEX(Curves!$R$8:$R$68,AC$4-$B159+1)</f>
        <v/>
      </c>
      <c r="AD159" s="75">
        <f>$C159*INDEX(Curves!$R$8:$R$68,AD$4-$B159+1)</f>
        <v/>
      </c>
      <c r="AE159" s="75">
        <f>$C159*INDEX(Curves!$R$8:$R$68,AE$4-$B159+1)</f>
        <v/>
      </c>
      <c r="AF159" s="75">
        <f>$C159*INDEX(Curves!$R$8:$R$68,AF$4-$B159+1)</f>
        <v/>
      </c>
      <c r="AG159" s="75">
        <f>$C159*INDEX(Curves!$R$8:$R$68,AG$4-$B159+1)</f>
        <v/>
      </c>
      <c r="AH159" s="75">
        <f>$C159*INDEX(Curves!$R$8:$R$68,AH$4-$B159+1)</f>
        <v/>
      </c>
      <c r="AI159" s="75">
        <f>$C159*INDEX(Curves!$R$8:$R$68,AI$4-$B159+1)</f>
        <v/>
      </c>
      <c r="AJ159" s="75">
        <f>$C159*INDEX(Curves!$R$8:$R$68,AJ$4-$B159+1)</f>
        <v/>
      </c>
      <c r="AK159" s="75">
        <f>$C159*INDEX(Curves!$R$8:$R$68,AK$4-$B159+1)</f>
        <v/>
      </c>
      <c r="AL159" s="75">
        <f>$C159*INDEX(Curves!$R$8:$R$68,AL$4-$B159+1)</f>
        <v/>
      </c>
      <c r="AM159" s="75">
        <f>$C159*INDEX(Curves!$R$8:$R$68,AM$4-$B159+1)</f>
        <v/>
      </c>
      <c r="AN159" s="75">
        <f>$C159*INDEX(Curves!$R$8:$R$68,AN$4-$B159+1)</f>
        <v/>
      </c>
      <c r="AO159" s="75">
        <f>$C159*INDEX(Curves!$R$8:$R$68,AO$4-$B159+1)</f>
        <v/>
      </c>
      <c r="AP159" s="75">
        <f>$C159*INDEX(Curves!$R$8:$R$68,AP$4-$B159+1)</f>
        <v/>
      </c>
      <c r="AQ159" s="75">
        <f>$C159*INDEX(Curves!$R$8:$R$68,AQ$4-$B159+1)</f>
        <v/>
      </c>
      <c r="AR159" s="75">
        <f>$C159*INDEX(Curves!$R$8:$R$68,AR$4-$B159+1)</f>
        <v/>
      </c>
      <c r="AS159" s="75">
        <f>$C159*INDEX(Curves!$R$8:$R$68,AS$4-$B159+1)</f>
        <v/>
      </c>
      <c r="AT159" s="75">
        <f>$C159*INDEX(Curves!$R$8:$R$68,AT$4-$B159+1)</f>
        <v/>
      </c>
      <c r="AU159" s="75">
        <f>$C159*INDEX(Curves!$R$8:$R$68,AU$4-$B159+1)</f>
        <v/>
      </c>
      <c r="AV159" s="75">
        <f>$C159*INDEX(Curves!$R$8:$R$68,AV$4-$B159+1)</f>
        <v/>
      </c>
      <c r="AW159" s="75">
        <f>$C159*INDEX(Curves!$R$8:$R$68,AW$4-$B159+1)</f>
        <v/>
      </c>
      <c r="AX159" s="75">
        <f>$C159*INDEX(Curves!$R$8:$R$68,AX$4-$B159+1)</f>
        <v/>
      </c>
      <c r="AY159" s="75">
        <f>$C159*INDEX(Curves!$R$8:$R$68,AY$4-$B159+1)</f>
        <v/>
      </c>
      <c r="AZ159" s="75">
        <f>$C159*INDEX(Curves!$R$8:$R$68,AZ$4-$B159+1)</f>
        <v/>
      </c>
      <c r="BA159" s="75">
        <f>$C159*INDEX(Curves!$R$8:$R$68,BA$4-$B159+1)</f>
        <v/>
      </c>
      <c r="BB159" s="75">
        <f>$C159*INDEX(Curves!$R$8:$R$68,BB$4-$B159+1)</f>
        <v/>
      </c>
      <c r="BC159" s="75">
        <f>$C159*INDEX(Curves!$R$8:$R$68,BC$4-$B159+1)</f>
        <v/>
      </c>
      <c r="BD159" s="75">
        <f>$C159*INDEX(Curves!$R$8:$R$68,BD$4-$B159+1)</f>
        <v/>
      </c>
      <c r="BE159" s="75">
        <f>$C159*INDEX(Curves!$R$8:$R$68,BE$4-$B159+1)</f>
        <v/>
      </c>
      <c r="BF159" s="75">
        <f>$C159*INDEX(Curves!$R$8:$R$68,BF$4-$B159+1)</f>
        <v/>
      </c>
      <c r="BG159" s="75">
        <f>$C159*INDEX(Curves!$R$8:$R$68,BG$4-$B159+1)</f>
        <v/>
      </c>
      <c r="BH159" s="75">
        <f>$C159*INDEX(Curves!$R$8:$R$68,BH$4-$B159+1)</f>
        <v/>
      </c>
      <c r="BI159" s="75">
        <f>$C159*INDEX(Curves!$R$8:$R$68,BI$4-$B159+1)</f>
        <v/>
      </c>
      <c r="BJ159" s="75">
        <f>$C159*INDEX(Curves!$R$8:$R$68,BJ$4-$B159+1)</f>
        <v/>
      </c>
      <c r="BK159" s="75">
        <f>$C159*INDEX(Curves!$R$8:$R$68,BK$4-$B159+1)</f>
        <v/>
      </c>
      <c r="BL159" s="75">
        <f>$C159*INDEX(Curves!$R$8:$R$68,BL$4-$B159+1)</f>
        <v/>
      </c>
    </row>
    <row r="160">
      <c r="A160" s="74" t="inlineStr">
        <is>
          <t>Cohort month 25</t>
        </is>
      </c>
      <c r="B160" s="74" t="n">
        <v>25</v>
      </c>
      <c r="C160" s="17">
        <f>INDEX(Ops!$E$35:$BL$35,1,$B160)</f>
        <v/>
      </c>
      <c r="AD160" s="75">
        <f>$C160*INDEX(Curves!$R$8:$R$68,AD$4-$B160+1)</f>
        <v/>
      </c>
      <c r="AE160" s="75">
        <f>$C160*INDEX(Curves!$R$8:$R$68,AE$4-$B160+1)</f>
        <v/>
      </c>
      <c r="AF160" s="75">
        <f>$C160*INDEX(Curves!$R$8:$R$68,AF$4-$B160+1)</f>
        <v/>
      </c>
      <c r="AG160" s="75">
        <f>$C160*INDEX(Curves!$R$8:$R$68,AG$4-$B160+1)</f>
        <v/>
      </c>
      <c r="AH160" s="75">
        <f>$C160*INDEX(Curves!$R$8:$R$68,AH$4-$B160+1)</f>
        <v/>
      </c>
      <c r="AI160" s="75">
        <f>$C160*INDEX(Curves!$R$8:$R$68,AI$4-$B160+1)</f>
        <v/>
      </c>
      <c r="AJ160" s="75">
        <f>$C160*INDEX(Curves!$R$8:$R$68,AJ$4-$B160+1)</f>
        <v/>
      </c>
      <c r="AK160" s="75">
        <f>$C160*INDEX(Curves!$R$8:$R$68,AK$4-$B160+1)</f>
        <v/>
      </c>
      <c r="AL160" s="75">
        <f>$C160*INDEX(Curves!$R$8:$R$68,AL$4-$B160+1)</f>
        <v/>
      </c>
      <c r="AM160" s="75">
        <f>$C160*INDEX(Curves!$R$8:$R$68,AM$4-$B160+1)</f>
        <v/>
      </c>
      <c r="AN160" s="75">
        <f>$C160*INDEX(Curves!$R$8:$R$68,AN$4-$B160+1)</f>
        <v/>
      </c>
      <c r="AO160" s="75">
        <f>$C160*INDEX(Curves!$R$8:$R$68,AO$4-$B160+1)</f>
        <v/>
      </c>
      <c r="AP160" s="75">
        <f>$C160*INDEX(Curves!$R$8:$R$68,AP$4-$B160+1)</f>
        <v/>
      </c>
      <c r="AQ160" s="75">
        <f>$C160*INDEX(Curves!$R$8:$R$68,AQ$4-$B160+1)</f>
        <v/>
      </c>
      <c r="AR160" s="75">
        <f>$C160*INDEX(Curves!$R$8:$R$68,AR$4-$B160+1)</f>
        <v/>
      </c>
      <c r="AS160" s="75">
        <f>$C160*INDEX(Curves!$R$8:$R$68,AS$4-$B160+1)</f>
        <v/>
      </c>
      <c r="AT160" s="75">
        <f>$C160*INDEX(Curves!$R$8:$R$68,AT$4-$B160+1)</f>
        <v/>
      </c>
      <c r="AU160" s="75">
        <f>$C160*INDEX(Curves!$R$8:$R$68,AU$4-$B160+1)</f>
        <v/>
      </c>
      <c r="AV160" s="75">
        <f>$C160*INDEX(Curves!$R$8:$R$68,AV$4-$B160+1)</f>
        <v/>
      </c>
      <c r="AW160" s="75">
        <f>$C160*INDEX(Curves!$R$8:$R$68,AW$4-$B160+1)</f>
        <v/>
      </c>
      <c r="AX160" s="75">
        <f>$C160*INDEX(Curves!$R$8:$R$68,AX$4-$B160+1)</f>
        <v/>
      </c>
      <c r="AY160" s="75">
        <f>$C160*INDEX(Curves!$R$8:$R$68,AY$4-$B160+1)</f>
        <v/>
      </c>
      <c r="AZ160" s="75">
        <f>$C160*INDEX(Curves!$R$8:$R$68,AZ$4-$B160+1)</f>
        <v/>
      </c>
      <c r="BA160" s="75">
        <f>$C160*INDEX(Curves!$R$8:$R$68,BA$4-$B160+1)</f>
        <v/>
      </c>
      <c r="BB160" s="75">
        <f>$C160*INDEX(Curves!$R$8:$R$68,BB$4-$B160+1)</f>
        <v/>
      </c>
      <c r="BC160" s="75">
        <f>$C160*INDEX(Curves!$R$8:$R$68,BC$4-$B160+1)</f>
        <v/>
      </c>
      <c r="BD160" s="75">
        <f>$C160*INDEX(Curves!$R$8:$R$68,BD$4-$B160+1)</f>
        <v/>
      </c>
      <c r="BE160" s="75">
        <f>$C160*INDEX(Curves!$R$8:$R$68,BE$4-$B160+1)</f>
        <v/>
      </c>
      <c r="BF160" s="75">
        <f>$C160*INDEX(Curves!$R$8:$R$68,BF$4-$B160+1)</f>
        <v/>
      </c>
      <c r="BG160" s="75">
        <f>$C160*INDEX(Curves!$R$8:$R$68,BG$4-$B160+1)</f>
        <v/>
      </c>
      <c r="BH160" s="75">
        <f>$C160*INDEX(Curves!$R$8:$R$68,BH$4-$B160+1)</f>
        <v/>
      </c>
      <c r="BI160" s="75">
        <f>$C160*INDEX(Curves!$R$8:$R$68,BI$4-$B160+1)</f>
        <v/>
      </c>
      <c r="BJ160" s="75">
        <f>$C160*INDEX(Curves!$R$8:$R$68,BJ$4-$B160+1)</f>
        <v/>
      </c>
      <c r="BK160" s="75">
        <f>$C160*INDEX(Curves!$R$8:$R$68,BK$4-$B160+1)</f>
        <v/>
      </c>
      <c r="BL160" s="75">
        <f>$C160*INDEX(Curves!$R$8:$R$68,BL$4-$B160+1)</f>
        <v/>
      </c>
    </row>
    <row r="161">
      <c r="A161" s="74" t="inlineStr">
        <is>
          <t>Cohort month 26</t>
        </is>
      </c>
      <c r="B161" s="74" t="n">
        <v>26</v>
      </c>
      <c r="C161" s="17">
        <f>INDEX(Ops!$E$35:$BL$35,1,$B161)</f>
        <v/>
      </c>
      <c r="AE161" s="75">
        <f>$C161*INDEX(Curves!$R$8:$R$68,AE$4-$B161+1)</f>
        <v/>
      </c>
      <c r="AF161" s="75">
        <f>$C161*INDEX(Curves!$R$8:$R$68,AF$4-$B161+1)</f>
        <v/>
      </c>
      <c r="AG161" s="75">
        <f>$C161*INDEX(Curves!$R$8:$R$68,AG$4-$B161+1)</f>
        <v/>
      </c>
      <c r="AH161" s="75">
        <f>$C161*INDEX(Curves!$R$8:$R$68,AH$4-$B161+1)</f>
        <v/>
      </c>
      <c r="AI161" s="75">
        <f>$C161*INDEX(Curves!$R$8:$R$68,AI$4-$B161+1)</f>
        <v/>
      </c>
      <c r="AJ161" s="75">
        <f>$C161*INDEX(Curves!$R$8:$R$68,AJ$4-$B161+1)</f>
        <v/>
      </c>
      <c r="AK161" s="75">
        <f>$C161*INDEX(Curves!$R$8:$R$68,AK$4-$B161+1)</f>
        <v/>
      </c>
      <c r="AL161" s="75">
        <f>$C161*INDEX(Curves!$R$8:$R$68,AL$4-$B161+1)</f>
        <v/>
      </c>
      <c r="AM161" s="75">
        <f>$C161*INDEX(Curves!$R$8:$R$68,AM$4-$B161+1)</f>
        <v/>
      </c>
      <c r="AN161" s="75">
        <f>$C161*INDEX(Curves!$R$8:$R$68,AN$4-$B161+1)</f>
        <v/>
      </c>
      <c r="AO161" s="75">
        <f>$C161*INDEX(Curves!$R$8:$R$68,AO$4-$B161+1)</f>
        <v/>
      </c>
      <c r="AP161" s="75">
        <f>$C161*INDEX(Curves!$R$8:$R$68,AP$4-$B161+1)</f>
        <v/>
      </c>
      <c r="AQ161" s="75">
        <f>$C161*INDEX(Curves!$R$8:$R$68,AQ$4-$B161+1)</f>
        <v/>
      </c>
      <c r="AR161" s="75">
        <f>$C161*INDEX(Curves!$R$8:$R$68,AR$4-$B161+1)</f>
        <v/>
      </c>
      <c r="AS161" s="75">
        <f>$C161*INDEX(Curves!$R$8:$R$68,AS$4-$B161+1)</f>
        <v/>
      </c>
      <c r="AT161" s="75">
        <f>$C161*INDEX(Curves!$R$8:$R$68,AT$4-$B161+1)</f>
        <v/>
      </c>
      <c r="AU161" s="75">
        <f>$C161*INDEX(Curves!$R$8:$R$68,AU$4-$B161+1)</f>
        <v/>
      </c>
      <c r="AV161" s="75">
        <f>$C161*INDEX(Curves!$R$8:$R$68,AV$4-$B161+1)</f>
        <v/>
      </c>
      <c r="AW161" s="75">
        <f>$C161*INDEX(Curves!$R$8:$R$68,AW$4-$B161+1)</f>
        <v/>
      </c>
      <c r="AX161" s="75">
        <f>$C161*INDEX(Curves!$R$8:$R$68,AX$4-$B161+1)</f>
        <v/>
      </c>
      <c r="AY161" s="75">
        <f>$C161*INDEX(Curves!$R$8:$R$68,AY$4-$B161+1)</f>
        <v/>
      </c>
      <c r="AZ161" s="75">
        <f>$C161*INDEX(Curves!$R$8:$R$68,AZ$4-$B161+1)</f>
        <v/>
      </c>
      <c r="BA161" s="75">
        <f>$C161*INDEX(Curves!$R$8:$R$68,BA$4-$B161+1)</f>
        <v/>
      </c>
      <c r="BB161" s="75">
        <f>$C161*INDEX(Curves!$R$8:$R$68,BB$4-$B161+1)</f>
        <v/>
      </c>
      <c r="BC161" s="75">
        <f>$C161*INDEX(Curves!$R$8:$R$68,BC$4-$B161+1)</f>
        <v/>
      </c>
      <c r="BD161" s="75">
        <f>$C161*INDEX(Curves!$R$8:$R$68,BD$4-$B161+1)</f>
        <v/>
      </c>
      <c r="BE161" s="75">
        <f>$C161*INDEX(Curves!$R$8:$R$68,BE$4-$B161+1)</f>
        <v/>
      </c>
      <c r="BF161" s="75">
        <f>$C161*INDEX(Curves!$R$8:$R$68,BF$4-$B161+1)</f>
        <v/>
      </c>
      <c r="BG161" s="75">
        <f>$C161*INDEX(Curves!$R$8:$R$68,BG$4-$B161+1)</f>
        <v/>
      </c>
      <c r="BH161" s="75">
        <f>$C161*INDEX(Curves!$R$8:$R$68,BH$4-$B161+1)</f>
        <v/>
      </c>
      <c r="BI161" s="75">
        <f>$C161*INDEX(Curves!$R$8:$R$68,BI$4-$B161+1)</f>
        <v/>
      </c>
      <c r="BJ161" s="75">
        <f>$C161*INDEX(Curves!$R$8:$R$68,BJ$4-$B161+1)</f>
        <v/>
      </c>
      <c r="BK161" s="75">
        <f>$C161*INDEX(Curves!$R$8:$R$68,BK$4-$B161+1)</f>
        <v/>
      </c>
      <c r="BL161" s="75">
        <f>$C161*INDEX(Curves!$R$8:$R$68,BL$4-$B161+1)</f>
        <v/>
      </c>
    </row>
    <row r="162">
      <c r="A162" s="74" t="inlineStr">
        <is>
          <t>Cohort month 27</t>
        </is>
      </c>
      <c r="B162" s="74" t="n">
        <v>27</v>
      </c>
      <c r="C162" s="17">
        <f>INDEX(Ops!$E$35:$BL$35,1,$B162)</f>
        <v/>
      </c>
      <c r="AF162" s="75">
        <f>$C162*INDEX(Curves!$R$8:$R$68,AF$4-$B162+1)</f>
        <v/>
      </c>
      <c r="AG162" s="75">
        <f>$C162*INDEX(Curves!$R$8:$R$68,AG$4-$B162+1)</f>
        <v/>
      </c>
      <c r="AH162" s="75">
        <f>$C162*INDEX(Curves!$R$8:$R$68,AH$4-$B162+1)</f>
        <v/>
      </c>
      <c r="AI162" s="75">
        <f>$C162*INDEX(Curves!$R$8:$R$68,AI$4-$B162+1)</f>
        <v/>
      </c>
      <c r="AJ162" s="75">
        <f>$C162*INDEX(Curves!$R$8:$R$68,AJ$4-$B162+1)</f>
        <v/>
      </c>
      <c r="AK162" s="75">
        <f>$C162*INDEX(Curves!$R$8:$R$68,AK$4-$B162+1)</f>
        <v/>
      </c>
      <c r="AL162" s="75">
        <f>$C162*INDEX(Curves!$R$8:$R$68,AL$4-$B162+1)</f>
        <v/>
      </c>
      <c r="AM162" s="75">
        <f>$C162*INDEX(Curves!$R$8:$R$68,AM$4-$B162+1)</f>
        <v/>
      </c>
      <c r="AN162" s="75">
        <f>$C162*INDEX(Curves!$R$8:$R$68,AN$4-$B162+1)</f>
        <v/>
      </c>
      <c r="AO162" s="75">
        <f>$C162*INDEX(Curves!$R$8:$R$68,AO$4-$B162+1)</f>
        <v/>
      </c>
      <c r="AP162" s="75">
        <f>$C162*INDEX(Curves!$R$8:$R$68,AP$4-$B162+1)</f>
        <v/>
      </c>
      <c r="AQ162" s="75">
        <f>$C162*INDEX(Curves!$R$8:$R$68,AQ$4-$B162+1)</f>
        <v/>
      </c>
      <c r="AR162" s="75">
        <f>$C162*INDEX(Curves!$R$8:$R$68,AR$4-$B162+1)</f>
        <v/>
      </c>
      <c r="AS162" s="75">
        <f>$C162*INDEX(Curves!$R$8:$R$68,AS$4-$B162+1)</f>
        <v/>
      </c>
      <c r="AT162" s="75">
        <f>$C162*INDEX(Curves!$R$8:$R$68,AT$4-$B162+1)</f>
        <v/>
      </c>
      <c r="AU162" s="75">
        <f>$C162*INDEX(Curves!$R$8:$R$68,AU$4-$B162+1)</f>
        <v/>
      </c>
      <c r="AV162" s="75">
        <f>$C162*INDEX(Curves!$R$8:$R$68,AV$4-$B162+1)</f>
        <v/>
      </c>
      <c r="AW162" s="75">
        <f>$C162*INDEX(Curves!$R$8:$R$68,AW$4-$B162+1)</f>
        <v/>
      </c>
      <c r="AX162" s="75">
        <f>$C162*INDEX(Curves!$R$8:$R$68,AX$4-$B162+1)</f>
        <v/>
      </c>
      <c r="AY162" s="75">
        <f>$C162*INDEX(Curves!$R$8:$R$68,AY$4-$B162+1)</f>
        <v/>
      </c>
      <c r="AZ162" s="75">
        <f>$C162*INDEX(Curves!$R$8:$R$68,AZ$4-$B162+1)</f>
        <v/>
      </c>
      <c r="BA162" s="75">
        <f>$C162*INDEX(Curves!$R$8:$R$68,BA$4-$B162+1)</f>
        <v/>
      </c>
      <c r="BB162" s="75">
        <f>$C162*INDEX(Curves!$R$8:$R$68,BB$4-$B162+1)</f>
        <v/>
      </c>
      <c r="BC162" s="75">
        <f>$C162*INDEX(Curves!$R$8:$R$68,BC$4-$B162+1)</f>
        <v/>
      </c>
      <c r="BD162" s="75">
        <f>$C162*INDEX(Curves!$R$8:$R$68,BD$4-$B162+1)</f>
        <v/>
      </c>
      <c r="BE162" s="75">
        <f>$C162*INDEX(Curves!$R$8:$R$68,BE$4-$B162+1)</f>
        <v/>
      </c>
      <c r="BF162" s="75">
        <f>$C162*INDEX(Curves!$R$8:$R$68,BF$4-$B162+1)</f>
        <v/>
      </c>
      <c r="BG162" s="75">
        <f>$C162*INDEX(Curves!$R$8:$R$68,BG$4-$B162+1)</f>
        <v/>
      </c>
      <c r="BH162" s="75">
        <f>$C162*INDEX(Curves!$R$8:$R$68,BH$4-$B162+1)</f>
        <v/>
      </c>
      <c r="BI162" s="75">
        <f>$C162*INDEX(Curves!$R$8:$R$68,BI$4-$B162+1)</f>
        <v/>
      </c>
      <c r="BJ162" s="75">
        <f>$C162*INDEX(Curves!$R$8:$R$68,BJ$4-$B162+1)</f>
        <v/>
      </c>
      <c r="BK162" s="75">
        <f>$C162*INDEX(Curves!$R$8:$R$68,BK$4-$B162+1)</f>
        <v/>
      </c>
      <c r="BL162" s="75">
        <f>$C162*INDEX(Curves!$R$8:$R$68,BL$4-$B162+1)</f>
        <v/>
      </c>
    </row>
    <row r="163">
      <c r="A163" s="74" t="inlineStr">
        <is>
          <t>Cohort month 28</t>
        </is>
      </c>
      <c r="B163" s="74" t="n">
        <v>28</v>
      </c>
      <c r="C163" s="17">
        <f>INDEX(Ops!$E$35:$BL$35,1,$B163)</f>
        <v/>
      </c>
      <c r="AG163" s="75">
        <f>$C163*INDEX(Curves!$R$8:$R$68,AG$4-$B163+1)</f>
        <v/>
      </c>
      <c r="AH163" s="75">
        <f>$C163*INDEX(Curves!$R$8:$R$68,AH$4-$B163+1)</f>
        <v/>
      </c>
      <c r="AI163" s="75">
        <f>$C163*INDEX(Curves!$R$8:$R$68,AI$4-$B163+1)</f>
        <v/>
      </c>
      <c r="AJ163" s="75">
        <f>$C163*INDEX(Curves!$R$8:$R$68,AJ$4-$B163+1)</f>
        <v/>
      </c>
      <c r="AK163" s="75">
        <f>$C163*INDEX(Curves!$R$8:$R$68,AK$4-$B163+1)</f>
        <v/>
      </c>
      <c r="AL163" s="75">
        <f>$C163*INDEX(Curves!$R$8:$R$68,AL$4-$B163+1)</f>
        <v/>
      </c>
      <c r="AM163" s="75">
        <f>$C163*INDEX(Curves!$R$8:$R$68,AM$4-$B163+1)</f>
        <v/>
      </c>
      <c r="AN163" s="75">
        <f>$C163*INDEX(Curves!$R$8:$R$68,AN$4-$B163+1)</f>
        <v/>
      </c>
      <c r="AO163" s="75">
        <f>$C163*INDEX(Curves!$R$8:$R$68,AO$4-$B163+1)</f>
        <v/>
      </c>
      <c r="AP163" s="75">
        <f>$C163*INDEX(Curves!$R$8:$R$68,AP$4-$B163+1)</f>
        <v/>
      </c>
      <c r="AQ163" s="75">
        <f>$C163*INDEX(Curves!$R$8:$R$68,AQ$4-$B163+1)</f>
        <v/>
      </c>
      <c r="AR163" s="75">
        <f>$C163*INDEX(Curves!$R$8:$R$68,AR$4-$B163+1)</f>
        <v/>
      </c>
      <c r="AS163" s="75">
        <f>$C163*INDEX(Curves!$R$8:$R$68,AS$4-$B163+1)</f>
        <v/>
      </c>
      <c r="AT163" s="75">
        <f>$C163*INDEX(Curves!$R$8:$R$68,AT$4-$B163+1)</f>
        <v/>
      </c>
      <c r="AU163" s="75">
        <f>$C163*INDEX(Curves!$R$8:$R$68,AU$4-$B163+1)</f>
        <v/>
      </c>
      <c r="AV163" s="75">
        <f>$C163*INDEX(Curves!$R$8:$R$68,AV$4-$B163+1)</f>
        <v/>
      </c>
      <c r="AW163" s="75">
        <f>$C163*INDEX(Curves!$R$8:$R$68,AW$4-$B163+1)</f>
        <v/>
      </c>
      <c r="AX163" s="75">
        <f>$C163*INDEX(Curves!$R$8:$R$68,AX$4-$B163+1)</f>
        <v/>
      </c>
      <c r="AY163" s="75">
        <f>$C163*INDEX(Curves!$R$8:$R$68,AY$4-$B163+1)</f>
        <v/>
      </c>
      <c r="AZ163" s="75">
        <f>$C163*INDEX(Curves!$R$8:$R$68,AZ$4-$B163+1)</f>
        <v/>
      </c>
      <c r="BA163" s="75">
        <f>$C163*INDEX(Curves!$R$8:$R$68,BA$4-$B163+1)</f>
        <v/>
      </c>
      <c r="BB163" s="75">
        <f>$C163*INDEX(Curves!$R$8:$R$68,BB$4-$B163+1)</f>
        <v/>
      </c>
      <c r="BC163" s="75">
        <f>$C163*INDEX(Curves!$R$8:$R$68,BC$4-$B163+1)</f>
        <v/>
      </c>
      <c r="BD163" s="75">
        <f>$C163*INDEX(Curves!$R$8:$R$68,BD$4-$B163+1)</f>
        <v/>
      </c>
      <c r="BE163" s="75">
        <f>$C163*INDEX(Curves!$R$8:$R$68,BE$4-$B163+1)</f>
        <v/>
      </c>
      <c r="BF163" s="75">
        <f>$C163*INDEX(Curves!$R$8:$R$68,BF$4-$B163+1)</f>
        <v/>
      </c>
      <c r="BG163" s="75">
        <f>$C163*INDEX(Curves!$R$8:$R$68,BG$4-$B163+1)</f>
        <v/>
      </c>
      <c r="BH163" s="75">
        <f>$C163*INDEX(Curves!$R$8:$R$68,BH$4-$B163+1)</f>
        <v/>
      </c>
      <c r="BI163" s="75">
        <f>$C163*INDEX(Curves!$R$8:$R$68,BI$4-$B163+1)</f>
        <v/>
      </c>
      <c r="BJ163" s="75">
        <f>$C163*INDEX(Curves!$R$8:$R$68,BJ$4-$B163+1)</f>
        <v/>
      </c>
      <c r="BK163" s="75">
        <f>$C163*INDEX(Curves!$R$8:$R$68,BK$4-$B163+1)</f>
        <v/>
      </c>
      <c r="BL163" s="75">
        <f>$C163*INDEX(Curves!$R$8:$R$68,BL$4-$B163+1)</f>
        <v/>
      </c>
    </row>
    <row r="164">
      <c r="A164" s="74" t="inlineStr">
        <is>
          <t>Cohort month 29</t>
        </is>
      </c>
      <c r="B164" s="74" t="n">
        <v>29</v>
      </c>
      <c r="C164" s="17">
        <f>INDEX(Ops!$E$35:$BL$35,1,$B164)</f>
        <v/>
      </c>
      <c r="AH164" s="75">
        <f>$C164*INDEX(Curves!$R$8:$R$68,AH$4-$B164+1)</f>
        <v/>
      </c>
      <c r="AI164" s="75">
        <f>$C164*INDEX(Curves!$R$8:$R$68,AI$4-$B164+1)</f>
        <v/>
      </c>
      <c r="AJ164" s="75">
        <f>$C164*INDEX(Curves!$R$8:$R$68,AJ$4-$B164+1)</f>
        <v/>
      </c>
      <c r="AK164" s="75">
        <f>$C164*INDEX(Curves!$R$8:$R$68,AK$4-$B164+1)</f>
        <v/>
      </c>
      <c r="AL164" s="75">
        <f>$C164*INDEX(Curves!$R$8:$R$68,AL$4-$B164+1)</f>
        <v/>
      </c>
      <c r="AM164" s="75">
        <f>$C164*INDEX(Curves!$R$8:$R$68,AM$4-$B164+1)</f>
        <v/>
      </c>
      <c r="AN164" s="75">
        <f>$C164*INDEX(Curves!$R$8:$R$68,AN$4-$B164+1)</f>
        <v/>
      </c>
      <c r="AO164" s="75">
        <f>$C164*INDEX(Curves!$R$8:$R$68,AO$4-$B164+1)</f>
        <v/>
      </c>
      <c r="AP164" s="75">
        <f>$C164*INDEX(Curves!$R$8:$R$68,AP$4-$B164+1)</f>
        <v/>
      </c>
      <c r="AQ164" s="75">
        <f>$C164*INDEX(Curves!$R$8:$R$68,AQ$4-$B164+1)</f>
        <v/>
      </c>
      <c r="AR164" s="75">
        <f>$C164*INDEX(Curves!$R$8:$R$68,AR$4-$B164+1)</f>
        <v/>
      </c>
      <c r="AS164" s="75">
        <f>$C164*INDEX(Curves!$R$8:$R$68,AS$4-$B164+1)</f>
        <v/>
      </c>
      <c r="AT164" s="75">
        <f>$C164*INDEX(Curves!$R$8:$R$68,AT$4-$B164+1)</f>
        <v/>
      </c>
      <c r="AU164" s="75">
        <f>$C164*INDEX(Curves!$R$8:$R$68,AU$4-$B164+1)</f>
        <v/>
      </c>
      <c r="AV164" s="75">
        <f>$C164*INDEX(Curves!$R$8:$R$68,AV$4-$B164+1)</f>
        <v/>
      </c>
      <c r="AW164" s="75">
        <f>$C164*INDEX(Curves!$R$8:$R$68,AW$4-$B164+1)</f>
        <v/>
      </c>
      <c r="AX164" s="75">
        <f>$C164*INDEX(Curves!$R$8:$R$68,AX$4-$B164+1)</f>
        <v/>
      </c>
      <c r="AY164" s="75">
        <f>$C164*INDEX(Curves!$R$8:$R$68,AY$4-$B164+1)</f>
        <v/>
      </c>
      <c r="AZ164" s="75">
        <f>$C164*INDEX(Curves!$R$8:$R$68,AZ$4-$B164+1)</f>
        <v/>
      </c>
      <c r="BA164" s="75">
        <f>$C164*INDEX(Curves!$R$8:$R$68,BA$4-$B164+1)</f>
        <v/>
      </c>
      <c r="BB164" s="75">
        <f>$C164*INDEX(Curves!$R$8:$R$68,BB$4-$B164+1)</f>
        <v/>
      </c>
      <c r="BC164" s="75">
        <f>$C164*INDEX(Curves!$R$8:$R$68,BC$4-$B164+1)</f>
        <v/>
      </c>
      <c r="BD164" s="75">
        <f>$C164*INDEX(Curves!$R$8:$R$68,BD$4-$B164+1)</f>
        <v/>
      </c>
      <c r="BE164" s="75">
        <f>$C164*INDEX(Curves!$R$8:$R$68,BE$4-$B164+1)</f>
        <v/>
      </c>
      <c r="BF164" s="75">
        <f>$C164*INDEX(Curves!$R$8:$R$68,BF$4-$B164+1)</f>
        <v/>
      </c>
      <c r="BG164" s="75">
        <f>$C164*INDEX(Curves!$R$8:$R$68,BG$4-$B164+1)</f>
        <v/>
      </c>
      <c r="BH164" s="75">
        <f>$C164*INDEX(Curves!$R$8:$R$68,BH$4-$B164+1)</f>
        <v/>
      </c>
      <c r="BI164" s="75">
        <f>$C164*INDEX(Curves!$R$8:$R$68,BI$4-$B164+1)</f>
        <v/>
      </c>
      <c r="BJ164" s="75">
        <f>$C164*INDEX(Curves!$R$8:$R$68,BJ$4-$B164+1)</f>
        <v/>
      </c>
      <c r="BK164" s="75">
        <f>$C164*INDEX(Curves!$R$8:$R$68,BK$4-$B164+1)</f>
        <v/>
      </c>
      <c r="BL164" s="75">
        <f>$C164*INDEX(Curves!$R$8:$R$68,BL$4-$B164+1)</f>
        <v/>
      </c>
    </row>
    <row r="165">
      <c r="A165" s="74" t="inlineStr">
        <is>
          <t>Cohort month 30</t>
        </is>
      </c>
      <c r="B165" s="74" t="n">
        <v>30</v>
      </c>
      <c r="C165" s="17">
        <f>INDEX(Ops!$E$35:$BL$35,1,$B165)</f>
        <v/>
      </c>
      <c r="AI165" s="75">
        <f>$C165*INDEX(Curves!$R$8:$R$68,AI$4-$B165+1)</f>
        <v/>
      </c>
      <c r="AJ165" s="75">
        <f>$C165*INDEX(Curves!$R$8:$R$68,AJ$4-$B165+1)</f>
        <v/>
      </c>
      <c r="AK165" s="75">
        <f>$C165*INDEX(Curves!$R$8:$R$68,AK$4-$B165+1)</f>
        <v/>
      </c>
      <c r="AL165" s="75">
        <f>$C165*INDEX(Curves!$R$8:$R$68,AL$4-$B165+1)</f>
        <v/>
      </c>
      <c r="AM165" s="75">
        <f>$C165*INDEX(Curves!$R$8:$R$68,AM$4-$B165+1)</f>
        <v/>
      </c>
      <c r="AN165" s="75">
        <f>$C165*INDEX(Curves!$R$8:$R$68,AN$4-$B165+1)</f>
        <v/>
      </c>
      <c r="AO165" s="75">
        <f>$C165*INDEX(Curves!$R$8:$R$68,AO$4-$B165+1)</f>
        <v/>
      </c>
      <c r="AP165" s="75">
        <f>$C165*INDEX(Curves!$R$8:$R$68,AP$4-$B165+1)</f>
        <v/>
      </c>
      <c r="AQ165" s="75">
        <f>$C165*INDEX(Curves!$R$8:$R$68,AQ$4-$B165+1)</f>
        <v/>
      </c>
      <c r="AR165" s="75">
        <f>$C165*INDEX(Curves!$R$8:$R$68,AR$4-$B165+1)</f>
        <v/>
      </c>
      <c r="AS165" s="75">
        <f>$C165*INDEX(Curves!$R$8:$R$68,AS$4-$B165+1)</f>
        <v/>
      </c>
      <c r="AT165" s="75">
        <f>$C165*INDEX(Curves!$R$8:$R$68,AT$4-$B165+1)</f>
        <v/>
      </c>
      <c r="AU165" s="75">
        <f>$C165*INDEX(Curves!$R$8:$R$68,AU$4-$B165+1)</f>
        <v/>
      </c>
      <c r="AV165" s="75">
        <f>$C165*INDEX(Curves!$R$8:$R$68,AV$4-$B165+1)</f>
        <v/>
      </c>
      <c r="AW165" s="75">
        <f>$C165*INDEX(Curves!$R$8:$R$68,AW$4-$B165+1)</f>
        <v/>
      </c>
      <c r="AX165" s="75">
        <f>$C165*INDEX(Curves!$R$8:$R$68,AX$4-$B165+1)</f>
        <v/>
      </c>
      <c r="AY165" s="75">
        <f>$C165*INDEX(Curves!$R$8:$R$68,AY$4-$B165+1)</f>
        <v/>
      </c>
      <c r="AZ165" s="75">
        <f>$C165*INDEX(Curves!$R$8:$R$68,AZ$4-$B165+1)</f>
        <v/>
      </c>
      <c r="BA165" s="75">
        <f>$C165*INDEX(Curves!$R$8:$R$68,BA$4-$B165+1)</f>
        <v/>
      </c>
      <c r="BB165" s="75">
        <f>$C165*INDEX(Curves!$R$8:$R$68,BB$4-$B165+1)</f>
        <v/>
      </c>
      <c r="BC165" s="75">
        <f>$C165*INDEX(Curves!$R$8:$R$68,BC$4-$B165+1)</f>
        <v/>
      </c>
      <c r="BD165" s="75">
        <f>$C165*INDEX(Curves!$R$8:$R$68,BD$4-$B165+1)</f>
        <v/>
      </c>
      <c r="BE165" s="75">
        <f>$C165*INDEX(Curves!$R$8:$R$68,BE$4-$B165+1)</f>
        <v/>
      </c>
      <c r="BF165" s="75">
        <f>$C165*INDEX(Curves!$R$8:$R$68,BF$4-$B165+1)</f>
        <v/>
      </c>
      <c r="BG165" s="75">
        <f>$C165*INDEX(Curves!$R$8:$R$68,BG$4-$B165+1)</f>
        <v/>
      </c>
      <c r="BH165" s="75">
        <f>$C165*INDEX(Curves!$R$8:$R$68,BH$4-$B165+1)</f>
        <v/>
      </c>
      <c r="BI165" s="75">
        <f>$C165*INDEX(Curves!$R$8:$R$68,BI$4-$B165+1)</f>
        <v/>
      </c>
      <c r="BJ165" s="75">
        <f>$C165*INDEX(Curves!$R$8:$R$68,BJ$4-$B165+1)</f>
        <v/>
      </c>
      <c r="BK165" s="75">
        <f>$C165*INDEX(Curves!$R$8:$R$68,BK$4-$B165+1)</f>
        <v/>
      </c>
      <c r="BL165" s="75">
        <f>$C165*INDEX(Curves!$R$8:$R$68,BL$4-$B165+1)</f>
        <v/>
      </c>
    </row>
    <row r="166">
      <c r="A166" s="74" t="inlineStr">
        <is>
          <t>Cohort month 31</t>
        </is>
      </c>
      <c r="B166" s="74" t="n">
        <v>31</v>
      </c>
      <c r="C166" s="17">
        <f>INDEX(Ops!$E$35:$BL$35,1,$B166)</f>
        <v/>
      </c>
      <c r="AJ166" s="75">
        <f>$C166*INDEX(Curves!$R$8:$R$68,AJ$4-$B166+1)</f>
        <v/>
      </c>
      <c r="AK166" s="75">
        <f>$C166*INDEX(Curves!$R$8:$R$68,AK$4-$B166+1)</f>
        <v/>
      </c>
      <c r="AL166" s="75">
        <f>$C166*INDEX(Curves!$R$8:$R$68,AL$4-$B166+1)</f>
        <v/>
      </c>
      <c r="AM166" s="75">
        <f>$C166*INDEX(Curves!$R$8:$R$68,AM$4-$B166+1)</f>
        <v/>
      </c>
      <c r="AN166" s="75">
        <f>$C166*INDEX(Curves!$R$8:$R$68,AN$4-$B166+1)</f>
        <v/>
      </c>
      <c r="AO166" s="75">
        <f>$C166*INDEX(Curves!$R$8:$R$68,AO$4-$B166+1)</f>
        <v/>
      </c>
      <c r="AP166" s="75">
        <f>$C166*INDEX(Curves!$R$8:$R$68,AP$4-$B166+1)</f>
        <v/>
      </c>
      <c r="AQ166" s="75">
        <f>$C166*INDEX(Curves!$R$8:$R$68,AQ$4-$B166+1)</f>
        <v/>
      </c>
      <c r="AR166" s="75">
        <f>$C166*INDEX(Curves!$R$8:$R$68,AR$4-$B166+1)</f>
        <v/>
      </c>
      <c r="AS166" s="75">
        <f>$C166*INDEX(Curves!$R$8:$R$68,AS$4-$B166+1)</f>
        <v/>
      </c>
      <c r="AT166" s="75">
        <f>$C166*INDEX(Curves!$R$8:$R$68,AT$4-$B166+1)</f>
        <v/>
      </c>
      <c r="AU166" s="75">
        <f>$C166*INDEX(Curves!$R$8:$R$68,AU$4-$B166+1)</f>
        <v/>
      </c>
      <c r="AV166" s="75">
        <f>$C166*INDEX(Curves!$R$8:$R$68,AV$4-$B166+1)</f>
        <v/>
      </c>
      <c r="AW166" s="75">
        <f>$C166*INDEX(Curves!$R$8:$R$68,AW$4-$B166+1)</f>
        <v/>
      </c>
      <c r="AX166" s="75">
        <f>$C166*INDEX(Curves!$R$8:$R$68,AX$4-$B166+1)</f>
        <v/>
      </c>
      <c r="AY166" s="75">
        <f>$C166*INDEX(Curves!$R$8:$R$68,AY$4-$B166+1)</f>
        <v/>
      </c>
      <c r="AZ166" s="75">
        <f>$C166*INDEX(Curves!$R$8:$R$68,AZ$4-$B166+1)</f>
        <v/>
      </c>
      <c r="BA166" s="75">
        <f>$C166*INDEX(Curves!$R$8:$R$68,BA$4-$B166+1)</f>
        <v/>
      </c>
      <c r="BB166" s="75">
        <f>$C166*INDEX(Curves!$R$8:$R$68,BB$4-$B166+1)</f>
        <v/>
      </c>
      <c r="BC166" s="75">
        <f>$C166*INDEX(Curves!$R$8:$R$68,BC$4-$B166+1)</f>
        <v/>
      </c>
      <c r="BD166" s="75">
        <f>$C166*INDEX(Curves!$R$8:$R$68,BD$4-$B166+1)</f>
        <v/>
      </c>
      <c r="BE166" s="75">
        <f>$C166*INDEX(Curves!$R$8:$R$68,BE$4-$B166+1)</f>
        <v/>
      </c>
      <c r="BF166" s="75">
        <f>$C166*INDEX(Curves!$R$8:$R$68,BF$4-$B166+1)</f>
        <v/>
      </c>
      <c r="BG166" s="75">
        <f>$C166*INDEX(Curves!$R$8:$R$68,BG$4-$B166+1)</f>
        <v/>
      </c>
      <c r="BH166" s="75">
        <f>$C166*INDEX(Curves!$R$8:$R$68,BH$4-$B166+1)</f>
        <v/>
      </c>
      <c r="BI166" s="75">
        <f>$C166*INDEX(Curves!$R$8:$R$68,BI$4-$B166+1)</f>
        <v/>
      </c>
      <c r="BJ166" s="75">
        <f>$C166*INDEX(Curves!$R$8:$R$68,BJ$4-$B166+1)</f>
        <v/>
      </c>
      <c r="BK166" s="75">
        <f>$C166*INDEX(Curves!$R$8:$R$68,BK$4-$B166+1)</f>
        <v/>
      </c>
      <c r="BL166" s="75">
        <f>$C166*INDEX(Curves!$R$8:$R$68,BL$4-$B166+1)</f>
        <v/>
      </c>
    </row>
    <row r="167">
      <c r="A167" s="74" t="inlineStr">
        <is>
          <t>Cohort month 32</t>
        </is>
      </c>
      <c r="B167" s="74" t="n">
        <v>32</v>
      </c>
      <c r="C167" s="17">
        <f>INDEX(Ops!$E$35:$BL$35,1,$B167)</f>
        <v/>
      </c>
      <c r="AK167" s="75">
        <f>$C167*INDEX(Curves!$R$8:$R$68,AK$4-$B167+1)</f>
        <v/>
      </c>
      <c r="AL167" s="75">
        <f>$C167*INDEX(Curves!$R$8:$R$68,AL$4-$B167+1)</f>
        <v/>
      </c>
      <c r="AM167" s="75">
        <f>$C167*INDEX(Curves!$R$8:$R$68,AM$4-$B167+1)</f>
        <v/>
      </c>
      <c r="AN167" s="75">
        <f>$C167*INDEX(Curves!$R$8:$R$68,AN$4-$B167+1)</f>
        <v/>
      </c>
      <c r="AO167" s="75">
        <f>$C167*INDEX(Curves!$R$8:$R$68,AO$4-$B167+1)</f>
        <v/>
      </c>
      <c r="AP167" s="75">
        <f>$C167*INDEX(Curves!$R$8:$R$68,AP$4-$B167+1)</f>
        <v/>
      </c>
      <c r="AQ167" s="75">
        <f>$C167*INDEX(Curves!$R$8:$R$68,AQ$4-$B167+1)</f>
        <v/>
      </c>
      <c r="AR167" s="75">
        <f>$C167*INDEX(Curves!$R$8:$R$68,AR$4-$B167+1)</f>
        <v/>
      </c>
      <c r="AS167" s="75">
        <f>$C167*INDEX(Curves!$R$8:$R$68,AS$4-$B167+1)</f>
        <v/>
      </c>
      <c r="AT167" s="75">
        <f>$C167*INDEX(Curves!$R$8:$R$68,AT$4-$B167+1)</f>
        <v/>
      </c>
      <c r="AU167" s="75">
        <f>$C167*INDEX(Curves!$R$8:$R$68,AU$4-$B167+1)</f>
        <v/>
      </c>
      <c r="AV167" s="75">
        <f>$C167*INDEX(Curves!$R$8:$R$68,AV$4-$B167+1)</f>
        <v/>
      </c>
      <c r="AW167" s="75">
        <f>$C167*INDEX(Curves!$R$8:$R$68,AW$4-$B167+1)</f>
        <v/>
      </c>
      <c r="AX167" s="75">
        <f>$C167*INDEX(Curves!$R$8:$R$68,AX$4-$B167+1)</f>
        <v/>
      </c>
      <c r="AY167" s="75">
        <f>$C167*INDEX(Curves!$R$8:$R$68,AY$4-$B167+1)</f>
        <v/>
      </c>
      <c r="AZ167" s="75">
        <f>$C167*INDEX(Curves!$R$8:$R$68,AZ$4-$B167+1)</f>
        <v/>
      </c>
      <c r="BA167" s="75">
        <f>$C167*INDEX(Curves!$R$8:$R$68,BA$4-$B167+1)</f>
        <v/>
      </c>
      <c r="BB167" s="75">
        <f>$C167*INDEX(Curves!$R$8:$R$68,BB$4-$B167+1)</f>
        <v/>
      </c>
      <c r="BC167" s="75">
        <f>$C167*INDEX(Curves!$R$8:$R$68,BC$4-$B167+1)</f>
        <v/>
      </c>
      <c r="BD167" s="75">
        <f>$C167*INDEX(Curves!$R$8:$R$68,BD$4-$B167+1)</f>
        <v/>
      </c>
      <c r="BE167" s="75">
        <f>$C167*INDEX(Curves!$R$8:$R$68,BE$4-$B167+1)</f>
        <v/>
      </c>
      <c r="BF167" s="75">
        <f>$C167*INDEX(Curves!$R$8:$R$68,BF$4-$B167+1)</f>
        <v/>
      </c>
      <c r="BG167" s="75">
        <f>$C167*INDEX(Curves!$R$8:$R$68,BG$4-$B167+1)</f>
        <v/>
      </c>
      <c r="BH167" s="75">
        <f>$C167*INDEX(Curves!$R$8:$R$68,BH$4-$B167+1)</f>
        <v/>
      </c>
      <c r="BI167" s="75">
        <f>$C167*INDEX(Curves!$R$8:$R$68,BI$4-$B167+1)</f>
        <v/>
      </c>
      <c r="BJ167" s="75">
        <f>$C167*INDEX(Curves!$R$8:$R$68,BJ$4-$B167+1)</f>
        <v/>
      </c>
      <c r="BK167" s="75">
        <f>$C167*INDEX(Curves!$R$8:$R$68,BK$4-$B167+1)</f>
        <v/>
      </c>
      <c r="BL167" s="75">
        <f>$C167*INDEX(Curves!$R$8:$R$68,BL$4-$B167+1)</f>
        <v/>
      </c>
    </row>
    <row r="168">
      <c r="A168" s="74" t="inlineStr">
        <is>
          <t>Cohort month 33</t>
        </is>
      </c>
      <c r="B168" s="74" t="n">
        <v>33</v>
      </c>
      <c r="C168" s="17">
        <f>INDEX(Ops!$E$35:$BL$35,1,$B168)</f>
        <v/>
      </c>
      <c r="AL168" s="75">
        <f>$C168*INDEX(Curves!$R$8:$R$68,AL$4-$B168+1)</f>
        <v/>
      </c>
      <c r="AM168" s="75">
        <f>$C168*INDEX(Curves!$R$8:$R$68,AM$4-$B168+1)</f>
        <v/>
      </c>
      <c r="AN168" s="75">
        <f>$C168*INDEX(Curves!$R$8:$R$68,AN$4-$B168+1)</f>
        <v/>
      </c>
      <c r="AO168" s="75">
        <f>$C168*INDEX(Curves!$R$8:$R$68,AO$4-$B168+1)</f>
        <v/>
      </c>
      <c r="AP168" s="75">
        <f>$C168*INDEX(Curves!$R$8:$R$68,AP$4-$B168+1)</f>
        <v/>
      </c>
      <c r="AQ168" s="75">
        <f>$C168*INDEX(Curves!$R$8:$R$68,AQ$4-$B168+1)</f>
        <v/>
      </c>
      <c r="AR168" s="75">
        <f>$C168*INDEX(Curves!$R$8:$R$68,AR$4-$B168+1)</f>
        <v/>
      </c>
      <c r="AS168" s="75">
        <f>$C168*INDEX(Curves!$R$8:$R$68,AS$4-$B168+1)</f>
        <v/>
      </c>
      <c r="AT168" s="75">
        <f>$C168*INDEX(Curves!$R$8:$R$68,AT$4-$B168+1)</f>
        <v/>
      </c>
      <c r="AU168" s="75">
        <f>$C168*INDEX(Curves!$R$8:$R$68,AU$4-$B168+1)</f>
        <v/>
      </c>
      <c r="AV168" s="75">
        <f>$C168*INDEX(Curves!$R$8:$R$68,AV$4-$B168+1)</f>
        <v/>
      </c>
      <c r="AW168" s="75">
        <f>$C168*INDEX(Curves!$R$8:$R$68,AW$4-$B168+1)</f>
        <v/>
      </c>
      <c r="AX168" s="75">
        <f>$C168*INDEX(Curves!$R$8:$R$68,AX$4-$B168+1)</f>
        <v/>
      </c>
      <c r="AY168" s="75">
        <f>$C168*INDEX(Curves!$R$8:$R$68,AY$4-$B168+1)</f>
        <v/>
      </c>
      <c r="AZ168" s="75">
        <f>$C168*INDEX(Curves!$R$8:$R$68,AZ$4-$B168+1)</f>
        <v/>
      </c>
      <c r="BA168" s="75">
        <f>$C168*INDEX(Curves!$R$8:$R$68,BA$4-$B168+1)</f>
        <v/>
      </c>
      <c r="BB168" s="75">
        <f>$C168*INDEX(Curves!$R$8:$R$68,BB$4-$B168+1)</f>
        <v/>
      </c>
      <c r="BC168" s="75">
        <f>$C168*INDEX(Curves!$R$8:$R$68,BC$4-$B168+1)</f>
        <v/>
      </c>
      <c r="BD168" s="75">
        <f>$C168*INDEX(Curves!$R$8:$R$68,BD$4-$B168+1)</f>
        <v/>
      </c>
      <c r="BE168" s="75">
        <f>$C168*INDEX(Curves!$R$8:$R$68,BE$4-$B168+1)</f>
        <v/>
      </c>
      <c r="BF168" s="75">
        <f>$C168*INDEX(Curves!$R$8:$R$68,BF$4-$B168+1)</f>
        <v/>
      </c>
      <c r="BG168" s="75">
        <f>$C168*INDEX(Curves!$R$8:$R$68,BG$4-$B168+1)</f>
        <v/>
      </c>
      <c r="BH168" s="75">
        <f>$C168*INDEX(Curves!$R$8:$R$68,BH$4-$B168+1)</f>
        <v/>
      </c>
      <c r="BI168" s="75">
        <f>$C168*INDEX(Curves!$R$8:$R$68,BI$4-$B168+1)</f>
        <v/>
      </c>
      <c r="BJ168" s="75">
        <f>$C168*INDEX(Curves!$R$8:$R$68,BJ$4-$B168+1)</f>
        <v/>
      </c>
      <c r="BK168" s="75">
        <f>$C168*INDEX(Curves!$R$8:$R$68,BK$4-$B168+1)</f>
        <v/>
      </c>
      <c r="BL168" s="75">
        <f>$C168*INDEX(Curves!$R$8:$R$68,BL$4-$B168+1)</f>
        <v/>
      </c>
    </row>
    <row r="169">
      <c r="A169" s="74" t="inlineStr">
        <is>
          <t>Cohort month 34</t>
        </is>
      </c>
      <c r="B169" s="74" t="n">
        <v>34</v>
      </c>
      <c r="C169" s="17">
        <f>INDEX(Ops!$E$35:$BL$35,1,$B169)</f>
        <v/>
      </c>
      <c r="AM169" s="75">
        <f>$C169*INDEX(Curves!$R$8:$R$68,AM$4-$B169+1)</f>
        <v/>
      </c>
      <c r="AN169" s="75">
        <f>$C169*INDEX(Curves!$R$8:$R$68,AN$4-$B169+1)</f>
        <v/>
      </c>
      <c r="AO169" s="75">
        <f>$C169*INDEX(Curves!$R$8:$R$68,AO$4-$B169+1)</f>
        <v/>
      </c>
      <c r="AP169" s="75">
        <f>$C169*INDEX(Curves!$R$8:$R$68,AP$4-$B169+1)</f>
        <v/>
      </c>
      <c r="AQ169" s="75">
        <f>$C169*INDEX(Curves!$R$8:$R$68,AQ$4-$B169+1)</f>
        <v/>
      </c>
      <c r="AR169" s="75">
        <f>$C169*INDEX(Curves!$R$8:$R$68,AR$4-$B169+1)</f>
        <v/>
      </c>
      <c r="AS169" s="75">
        <f>$C169*INDEX(Curves!$R$8:$R$68,AS$4-$B169+1)</f>
        <v/>
      </c>
      <c r="AT169" s="75">
        <f>$C169*INDEX(Curves!$R$8:$R$68,AT$4-$B169+1)</f>
        <v/>
      </c>
      <c r="AU169" s="75">
        <f>$C169*INDEX(Curves!$R$8:$R$68,AU$4-$B169+1)</f>
        <v/>
      </c>
      <c r="AV169" s="75">
        <f>$C169*INDEX(Curves!$R$8:$R$68,AV$4-$B169+1)</f>
        <v/>
      </c>
      <c r="AW169" s="75">
        <f>$C169*INDEX(Curves!$R$8:$R$68,AW$4-$B169+1)</f>
        <v/>
      </c>
      <c r="AX169" s="75">
        <f>$C169*INDEX(Curves!$R$8:$R$68,AX$4-$B169+1)</f>
        <v/>
      </c>
      <c r="AY169" s="75">
        <f>$C169*INDEX(Curves!$R$8:$R$68,AY$4-$B169+1)</f>
        <v/>
      </c>
      <c r="AZ169" s="75">
        <f>$C169*INDEX(Curves!$R$8:$R$68,AZ$4-$B169+1)</f>
        <v/>
      </c>
      <c r="BA169" s="75">
        <f>$C169*INDEX(Curves!$R$8:$R$68,BA$4-$B169+1)</f>
        <v/>
      </c>
      <c r="BB169" s="75">
        <f>$C169*INDEX(Curves!$R$8:$R$68,BB$4-$B169+1)</f>
        <v/>
      </c>
      <c r="BC169" s="75">
        <f>$C169*INDEX(Curves!$R$8:$R$68,BC$4-$B169+1)</f>
        <v/>
      </c>
      <c r="BD169" s="75">
        <f>$C169*INDEX(Curves!$R$8:$R$68,BD$4-$B169+1)</f>
        <v/>
      </c>
      <c r="BE169" s="75">
        <f>$C169*INDEX(Curves!$R$8:$R$68,BE$4-$B169+1)</f>
        <v/>
      </c>
      <c r="BF169" s="75">
        <f>$C169*INDEX(Curves!$R$8:$R$68,BF$4-$B169+1)</f>
        <v/>
      </c>
      <c r="BG169" s="75">
        <f>$C169*INDEX(Curves!$R$8:$R$68,BG$4-$B169+1)</f>
        <v/>
      </c>
      <c r="BH169" s="75">
        <f>$C169*INDEX(Curves!$R$8:$R$68,BH$4-$B169+1)</f>
        <v/>
      </c>
      <c r="BI169" s="75">
        <f>$C169*INDEX(Curves!$R$8:$R$68,BI$4-$B169+1)</f>
        <v/>
      </c>
      <c r="BJ169" s="75">
        <f>$C169*INDEX(Curves!$R$8:$R$68,BJ$4-$B169+1)</f>
        <v/>
      </c>
      <c r="BK169" s="75">
        <f>$C169*INDEX(Curves!$R$8:$R$68,BK$4-$B169+1)</f>
        <v/>
      </c>
      <c r="BL169" s="75">
        <f>$C169*INDEX(Curves!$R$8:$R$68,BL$4-$B169+1)</f>
        <v/>
      </c>
    </row>
    <row r="170">
      <c r="A170" s="74" t="inlineStr">
        <is>
          <t>Cohort month 35</t>
        </is>
      </c>
      <c r="B170" s="74" t="n">
        <v>35</v>
      </c>
      <c r="C170" s="17">
        <f>INDEX(Ops!$E$35:$BL$35,1,$B170)</f>
        <v/>
      </c>
      <c r="AN170" s="75">
        <f>$C170*INDEX(Curves!$R$8:$R$68,AN$4-$B170+1)</f>
        <v/>
      </c>
      <c r="AO170" s="75">
        <f>$C170*INDEX(Curves!$R$8:$R$68,AO$4-$B170+1)</f>
        <v/>
      </c>
      <c r="AP170" s="75">
        <f>$C170*INDEX(Curves!$R$8:$R$68,AP$4-$B170+1)</f>
        <v/>
      </c>
      <c r="AQ170" s="75">
        <f>$C170*INDEX(Curves!$R$8:$R$68,AQ$4-$B170+1)</f>
        <v/>
      </c>
      <c r="AR170" s="75">
        <f>$C170*INDEX(Curves!$R$8:$R$68,AR$4-$B170+1)</f>
        <v/>
      </c>
      <c r="AS170" s="75">
        <f>$C170*INDEX(Curves!$R$8:$R$68,AS$4-$B170+1)</f>
        <v/>
      </c>
      <c r="AT170" s="75">
        <f>$C170*INDEX(Curves!$R$8:$R$68,AT$4-$B170+1)</f>
        <v/>
      </c>
      <c r="AU170" s="75">
        <f>$C170*INDEX(Curves!$R$8:$R$68,AU$4-$B170+1)</f>
        <v/>
      </c>
      <c r="AV170" s="75">
        <f>$C170*INDEX(Curves!$R$8:$R$68,AV$4-$B170+1)</f>
        <v/>
      </c>
      <c r="AW170" s="75">
        <f>$C170*INDEX(Curves!$R$8:$R$68,AW$4-$B170+1)</f>
        <v/>
      </c>
      <c r="AX170" s="75">
        <f>$C170*INDEX(Curves!$R$8:$R$68,AX$4-$B170+1)</f>
        <v/>
      </c>
      <c r="AY170" s="75">
        <f>$C170*INDEX(Curves!$R$8:$R$68,AY$4-$B170+1)</f>
        <v/>
      </c>
      <c r="AZ170" s="75">
        <f>$C170*INDEX(Curves!$R$8:$R$68,AZ$4-$B170+1)</f>
        <v/>
      </c>
      <c r="BA170" s="75">
        <f>$C170*INDEX(Curves!$R$8:$R$68,BA$4-$B170+1)</f>
        <v/>
      </c>
      <c r="BB170" s="75">
        <f>$C170*INDEX(Curves!$R$8:$R$68,BB$4-$B170+1)</f>
        <v/>
      </c>
      <c r="BC170" s="75">
        <f>$C170*INDEX(Curves!$R$8:$R$68,BC$4-$B170+1)</f>
        <v/>
      </c>
      <c r="BD170" s="75">
        <f>$C170*INDEX(Curves!$R$8:$R$68,BD$4-$B170+1)</f>
        <v/>
      </c>
      <c r="BE170" s="75">
        <f>$C170*INDEX(Curves!$R$8:$R$68,BE$4-$B170+1)</f>
        <v/>
      </c>
      <c r="BF170" s="75">
        <f>$C170*INDEX(Curves!$R$8:$R$68,BF$4-$B170+1)</f>
        <v/>
      </c>
      <c r="BG170" s="75">
        <f>$C170*INDEX(Curves!$R$8:$R$68,BG$4-$B170+1)</f>
        <v/>
      </c>
      <c r="BH170" s="75">
        <f>$C170*INDEX(Curves!$R$8:$R$68,BH$4-$B170+1)</f>
        <v/>
      </c>
      <c r="BI170" s="75">
        <f>$C170*INDEX(Curves!$R$8:$R$68,BI$4-$B170+1)</f>
        <v/>
      </c>
      <c r="BJ170" s="75">
        <f>$C170*INDEX(Curves!$R$8:$R$68,BJ$4-$B170+1)</f>
        <v/>
      </c>
      <c r="BK170" s="75">
        <f>$C170*INDEX(Curves!$R$8:$R$68,BK$4-$B170+1)</f>
        <v/>
      </c>
      <c r="BL170" s="75">
        <f>$C170*INDEX(Curves!$R$8:$R$68,BL$4-$B170+1)</f>
        <v/>
      </c>
    </row>
    <row r="171">
      <c r="A171" s="74" t="inlineStr">
        <is>
          <t>Cohort month 36</t>
        </is>
      </c>
      <c r="B171" s="74" t="n">
        <v>36</v>
      </c>
      <c r="C171" s="17">
        <f>INDEX(Ops!$E$35:$BL$35,1,$B171)</f>
        <v/>
      </c>
      <c r="AO171" s="75">
        <f>$C171*INDEX(Curves!$R$8:$R$68,AO$4-$B171+1)</f>
        <v/>
      </c>
      <c r="AP171" s="75">
        <f>$C171*INDEX(Curves!$R$8:$R$68,AP$4-$B171+1)</f>
        <v/>
      </c>
      <c r="AQ171" s="75">
        <f>$C171*INDEX(Curves!$R$8:$R$68,AQ$4-$B171+1)</f>
        <v/>
      </c>
      <c r="AR171" s="75">
        <f>$C171*INDEX(Curves!$R$8:$R$68,AR$4-$B171+1)</f>
        <v/>
      </c>
      <c r="AS171" s="75">
        <f>$C171*INDEX(Curves!$R$8:$R$68,AS$4-$B171+1)</f>
        <v/>
      </c>
      <c r="AT171" s="75">
        <f>$C171*INDEX(Curves!$R$8:$R$68,AT$4-$B171+1)</f>
        <v/>
      </c>
      <c r="AU171" s="75">
        <f>$C171*INDEX(Curves!$R$8:$R$68,AU$4-$B171+1)</f>
        <v/>
      </c>
      <c r="AV171" s="75">
        <f>$C171*INDEX(Curves!$R$8:$R$68,AV$4-$B171+1)</f>
        <v/>
      </c>
      <c r="AW171" s="75">
        <f>$C171*INDEX(Curves!$R$8:$R$68,AW$4-$B171+1)</f>
        <v/>
      </c>
      <c r="AX171" s="75">
        <f>$C171*INDEX(Curves!$R$8:$R$68,AX$4-$B171+1)</f>
        <v/>
      </c>
      <c r="AY171" s="75">
        <f>$C171*INDEX(Curves!$R$8:$R$68,AY$4-$B171+1)</f>
        <v/>
      </c>
      <c r="AZ171" s="75">
        <f>$C171*INDEX(Curves!$R$8:$R$68,AZ$4-$B171+1)</f>
        <v/>
      </c>
      <c r="BA171" s="75">
        <f>$C171*INDEX(Curves!$R$8:$R$68,BA$4-$B171+1)</f>
        <v/>
      </c>
      <c r="BB171" s="75">
        <f>$C171*INDEX(Curves!$R$8:$R$68,BB$4-$B171+1)</f>
        <v/>
      </c>
      <c r="BC171" s="75">
        <f>$C171*INDEX(Curves!$R$8:$R$68,BC$4-$B171+1)</f>
        <v/>
      </c>
      <c r="BD171" s="75">
        <f>$C171*INDEX(Curves!$R$8:$R$68,BD$4-$B171+1)</f>
        <v/>
      </c>
      <c r="BE171" s="75">
        <f>$C171*INDEX(Curves!$R$8:$R$68,BE$4-$B171+1)</f>
        <v/>
      </c>
      <c r="BF171" s="75">
        <f>$C171*INDEX(Curves!$R$8:$R$68,BF$4-$B171+1)</f>
        <v/>
      </c>
      <c r="BG171" s="75">
        <f>$C171*INDEX(Curves!$R$8:$R$68,BG$4-$B171+1)</f>
        <v/>
      </c>
      <c r="BH171" s="75">
        <f>$C171*INDEX(Curves!$R$8:$R$68,BH$4-$B171+1)</f>
        <v/>
      </c>
      <c r="BI171" s="75">
        <f>$C171*INDEX(Curves!$R$8:$R$68,BI$4-$B171+1)</f>
        <v/>
      </c>
      <c r="BJ171" s="75">
        <f>$C171*INDEX(Curves!$R$8:$R$68,BJ$4-$B171+1)</f>
        <v/>
      </c>
      <c r="BK171" s="75">
        <f>$C171*INDEX(Curves!$R$8:$R$68,BK$4-$B171+1)</f>
        <v/>
      </c>
      <c r="BL171" s="75">
        <f>$C171*INDEX(Curves!$R$8:$R$68,BL$4-$B171+1)</f>
        <v/>
      </c>
    </row>
    <row r="172">
      <c r="A172" s="74" t="inlineStr">
        <is>
          <t>Cohort month 37</t>
        </is>
      </c>
      <c r="B172" s="74" t="n">
        <v>37</v>
      </c>
      <c r="C172" s="17">
        <f>INDEX(Ops!$E$35:$BL$35,1,$B172)</f>
        <v/>
      </c>
      <c r="AP172" s="75">
        <f>$C172*INDEX(Curves!$R$8:$R$68,AP$4-$B172+1)</f>
        <v/>
      </c>
      <c r="AQ172" s="75">
        <f>$C172*INDEX(Curves!$R$8:$R$68,AQ$4-$B172+1)</f>
        <v/>
      </c>
      <c r="AR172" s="75">
        <f>$C172*INDEX(Curves!$R$8:$R$68,AR$4-$B172+1)</f>
        <v/>
      </c>
      <c r="AS172" s="75">
        <f>$C172*INDEX(Curves!$R$8:$R$68,AS$4-$B172+1)</f>
        <v/>
      </c>
      <c r="AT172" s="75">
        <f>$C172*INDEX(Curves!$R$8:$R$68,AT$4-$B172+1)</f>
        <v/>
      </c>
      <c r="AU172" s="75">
        <f>$C172*INDEX(Curves!$R$8:$R$68,AU$4-$B172+1)</f>
        <v/>
      </c>
      <c r="AV172" s="75">
        <f>$C172*INDEX(Curves!$R$8:$R$68,AV$4-$B172+1)</f>
        <v/>
      </c>
      <c r="AW172" s="75">
        <f>$C172*INDEX(Curves!$R$8:$R$68,AW$4-$B172+1)</f>
        <v/>
      </c>
      <c r="AX172" s="75">
        <f>$C172*INDEX(Curves!$R$8:$R$68,AX$4-$B172+1)</f>
        <v/>
      </c>
      <c r="AY172" s="75">
        <f>$C172*INDEX(Curves!$R$8:$R$68,AY$4-$B172+1)</f>
        <v/>
      </c>
      <c r="AZ172" s="75">
        <f>$C172*INDEX(Curves!$R$8:$R$68,AZ$4-$B172+1)</f>
        <v/>
      </c>
      <c r="BA172" s="75">
        <f>$C172*INDEX(Curves!$R$8:$R$68,BA$4-$B172+1)</f>
        <v/>
      </c>
      <c r="BB172" s="75">
        <f>$C172*INDEX(Curves!$R$8:$R$68,BB$4-$B172+1)</f>
        <v/>
      </c>
      <c r="BC172" s="75">
        <f>$C172*INDEX(Curves!$R$8:$R$68,BC$4-$B172+1)</f>
        <v/>
      </c>
      <c r="BD172" s="75">
        <f>$C172*INDEX(Curves!$R$8:$R$68,BD$4-$B172+1)</f>
        <v/>
      </c>
      <c r="BE172" s="75">
        <f>$C172*INDEX(Curves!$R$8:$R$68,BE$4-$B172+1)</f>
        <v/>
      </c>
      <c r="BF172" s="75">
        <f>$C172*INDEX(Curves!$R$8:$R$68,BF$4-$B172+1)</f>
        <v/>
      </c>
      <c r="BG172" s="75">
        <f>$C172*INDEX(Curves!$R$8:$R$68,BG$4-$B172+1)</f>
        <v/>
      </c>
      <c r="BH172" s="75">
        <f>$C172*INDEX(Curves!$R$8:$R$68,BH$4-$B172+1)</f>
        <v/>
      </c>
      <c r="BI172" s="75">
        <f>$C172*INDEX(Curves!$R$8:$R$68,BI$4-$B172+1)</f>
        <v/>
      </c>
      <c r="BJ172" s="75">
        <f>$C172*INDEX(Curves!$R$8:$R$68,BJ$4-$B172+1)</f>
        <v/>
      </c>
      <c r="BK172" s="75">
        <f>$C172*INDEX(Curves!$R$8:$R$68,BK$4-$B172+1)</f>
        <v/>
      </c>
      <c r="BL172" s="75">
        <f>$C172*INDEX(Curves!$R$8:$R$68,BL$4-$B172+1)</f>
        <v/>
      </c>
    </row>
    <row r="173">
      <c r="A173" s="74" t="inlineStr">
        <is>
          <t>Cohort month 38</t>
        </is>
      </c>
      <c r="B173" s="74" t="n">
        <v>38</v>
      </c>
      <c r="C173" s="17">
        <f>INDEX(Ops!$E$35:$BL$35,1,$B173)</f>
        <v/>
      </c>
      <c r="AQ173" s="75">
        <f>$C173*INDEX(Curves!$R$8:$R$68,AQ$4-$B173+1)</f>
        <v/>
      </c>
      <c r="AR173" s="75">
        <f>$C173*INDEX(Curves!$R$8:$R$68,AR$4-$B173+1)</f>
        <v/>
      </c>
      <c r="AS173" s="75">
        <f>$C173*INDEX(Curves!$R$8:$R$68,AS$4-$B173+1)</f>
        <v/>
      </c>
      <c r="AT173" s="75">
        <f>$C173*INDEX(Curves!$R$8:$R$68,AT$4-$B173+1)</f>
        <v/>
      </c>
      <c r="AU173" s="75">
        <f>$C173*INDEX(Curves!$R$8:$R$68,AU$4-$B173+1)</f>
        <v/>
      </c>
      <c r="AV173" s="75">
        <f>$C173*INDEX(Curves!$R$8:$R$68,AV$4-$B173+1)</f>
        <v/>
      </c>
      <c r="AW173" s="75">
        <f>$C173*INDEX(Curves!$R$8:$R$68,AW$4-$B173+1)</f>
        <v/>
      </c>
      <c r="AX173" s="75">
        <f>$C173*INDEX(Curves!$R$8:$R$68,AX$4-$B173+1)</f>
        <v/>
      </c>
      <c r="AY173" s="75">
        <f>$C173*INDEX(Curves!$R$8:$R$68,AY$4-$B173+1)</f>
        <v/>
      </c>
      <c r="AZ173" s="75">
        <f>$C173*INDEX(Curves!$R$8:$R$68,AZ$4-$B173+1)</f>
        <v/>
      </c>
      <c r="BA173" s="75">
        <f>$C173*INDEX(Curves!$R$8:$R$68,BA$4-$B173+1)</f>
        <v/>
      </c>
      <c r="BB173" s="75">
        <f>$C173*INDEX(Curves!$R$8:$R$68,BB$4-$B173+1)</f>
        <v/>
      </c>
      <c r="BC173" s="75">
        <f>$C173*INDEX(Curves!$R$8:$R$68,BC$4-$B173+1)</f>
        <v/>
      </c>
      <c r="BD173" s="75">
        <f>$C173*INDEX(Curves!$R$8:$R$68,BD$4-$B173+1)</f>
        <v/>
      </c>
      <c r="BE173" s="75">
        <f>$C173*INDEX(Curves!$R$8:$R$68,BE$4-$B173+1)</f>
        <v/>
      </c>
      <c r="BF173" s="75">
        <f>$C173*INDEX(Curves!$R$8:$R$68,BF$4-$B173+1)</f>
        <v/>
      </c>
      <c r="BG173" s="75">
        <f>$C173*INDEX(Curves!$R$8:$R$68,BG$4-$B173+1)</f>
        <v/>
      </c>
      <c r="BH173" s="75">
        <f>$C173*INDEX(Curves!$R$8:$R$68,BH$4-$B173+1)</f>
        <v/>
      </c>
      <c r="BI173" s="75">
        <f>$C173*INDEX(Curves!$R$8:$R$68,BI$4-$B173+1)</f>
        <v/>
      </c>
      <c r="BJ173" s="75">
        <f>$C173*INDEX(Curves!$R$8:$R$68,BJ$4-$B173+1)</f>
        <v/>
      </c>
      <c r="BK173" s="75">
        <f>$C173*INDEX(Curves!$R$8:$R$68,BK$4-$B173+1)</f>
        <v/>
      </c>
      <c r="BL173" s="75">
        <f>$C173*INDEX(Curves!$R$8:$R$68,BL$4-$B173+1)</f>
        <v/>
      </c>
    </row>
    <row r="174">
      <c r="A174" s="74" t="inlineStr">
        <is>
          <t>Cohort month 39</t>
        </is>
      </c>
      <c r="B174" s="74" t="n">
        <v>39</v>
      </c>
      <c r="C174" s="17">
        <f>INDEX(Ops!$E$35:$BL$35,1,$B174)</f>
        <v/>
      </c>
      <c r="AR174" s="75">
        <f>$C174*INDEX(Curves!$R$8:$R$68,AR$4-$B174+1)</f>
        <v/>
      </c>
      <c r="AS174" s="75">
        <f>$C174*INDEX(Curves!$R$8:$R$68,AS$4-$B174+1)</f>
        <v/>
      </c>
      <c r="AT174" s="75">
        <f>$C174*INDEX(Curves!$R$8:$R$68,AT$4-$B174+1)</f>
        <v/>
      </c>
      <c r="AU174" s="75">
        <f>$C174*INDEX(Curves!$R$8:$R$68,AU$4-$B174+1)</f>
        <v/>
      </c>
      <c r="AV174" s="75">
        <f>$C174*INDEX(Curves!$R$8:$R$68,AV$4-$B174+1)</f>
        <v/>
      </c>
      <c r="AW174" s="75">
        <f>$C174*INDEX(Curves!$R$8:$R$68,AW$4-$B174+1)</f>
        <v/>
      </c>
      <c r="AX174" s="75">
        <f>$C174*INDEX(Curves!$R$8:$R$68,AX$4-$B174+1)</f>
        <v/>
      </c>
      <c r="AY174" s="75">
        <f>$C174*INDEX(Curves!$R$8:$R$68,AY$4-$B174+1)</f>
        <v/>
      </c>
      <c r="AZ174" s="75">
        <f>$C174*INDEX(Curves!$R$8:$R$68,AZ$4-$B174+1)</f>
        <v/>
      </c>
      <c r="BA174" s="75">
        <f>$C174*INDEX(Curves!$R$8:$R$68,BA$4-$B174+1)</f>
        <v/>
      </c>
      <c r="BB174" s="75">
        <f>$C174*INDEX(Curves!$R$8:$R$68,BB$4-$B174+1)</f>
        <v/>
      </c>
      <c r="BC174" s="75">
        <f>$C174*INDEX(Curves!$R$8:$R$68,BC$4-$B174+1)</f>
        <v/>
      </c>
      <c r="BD174" s="75">
        <f>$C174*INDEX(Curves!$R$8:$R$68,BD$4-$B174+1)</f>
        <v/>
      </c>
      <c r="BE174" s="75">
        <f>$C174*INDEX(Curves!$R$8:$R$68,BE$4-$B174+1)</f>
        <v/>
      </c>
      <c r="BF174" s="75">
        <f>$C174*INDEX(Curves!$R$8:$R$68,BF$4-$B174+1)</f>
        <v/>
      </c>
      <c r="BG174" s="75">
        <f>$C174*INDEX(Curves!$R$8:$R$68,BG$4-$B174+1)</f>
        <v/>
      </c>
      <c r="BH174" s="75">
        <f>$C174*INDEX(Curves!$R$8:$R$68,BH$4-$B174+1)</f>
        <v/>
      </c>
      <c r="BI174" s="75">
        <f>$C174*INDEX(Curves!$R$8:$R$68,BI$4-$B174+1)</f>
        <v/>
      </c>
      <c r="BJ174" s="75">
        <f>$C174*INDEX(Curves!$R$8:$R$68,BJ$4-$B174+1)</f>
        <v/>
      </c>
      <c r="BK174" s="75">
        <f>$C174*INDEX(Curves!$R$8:$R$68,BK$4-$B174+1)</f>
        <v/>
      </c>
      <c r="BL174" s="75">
        <f>$C174*INDEX(Curves!$R$8:$R$68,BL$4-$B174+1)</f>
        <v/>
      </c>
    </row>
    <row r="175">
      <c r="A175" s="74" t="inlineStr">
        <is>
          <t>Cohort month 40</t>
        </is>
      </c>
      <c r="B175" s="74" t="n">
        <v>40</v>
      </c>
      <c r="C175" s="17">
        <f>INDEX(Ops!$E$35:$BL$35,1,$B175)</f>
        <v/>
      </c>
      <c r="AS175" s="75">
        <f>$C175*INDEX(Curves!$R$8:$R$68,AS$4-$B175+1)</f>
        <v/>
      </c>
      <c r="AT175" s="75">
        <f>$C175*INDEX(Curves!$R$8:$R$68,AT$4-$B175+1)</f>
        <v/>
      </c>
      <c r="AU175" s="75">
        <f>$C175*INDEX(Curves!$R$8:$R$68,AU$4-$B175+1)</f>
        <v/>
      </c>
      <c r="AV175" s="75">
        <f>$C175*INDEX(Curves!$R$8:$R$68,AV$4-$B175+1)</f>
        <v/>
      </c>
      <c r="AW175" s="75">
        <f>$C175*INDEX(Curves!$R$8:$R$68,AW$4-$B175+1)</f>
        <v/>
      </c>
      <c r="AX175" s="75">
        <f>$C175*INDEX(Curves!$R$8:$R$68,AX$4-$B175+1)</f>
        <v/>
      </c>
      <c r="AY175" s="75">
        <f>$C175*INDEX(Curves!$R$8:$R$68,AY$4-$B175+1)</f>
        <v/>
      </c>
      <c r="AZ175" s="75">
        <f>$C175*INDEX(Curves!$R$8:$R$68,AZ$4-$B175+1)</f>
        <v/>
      </c>
      <c r="BA175" s="75">
        <f>$C175*INDEX(Curves!$R$8:$R$68,BA$4-$B175+1)</f>
        <v/>
      </c>
      <c r="BB175" s="75">
        <f>$C175*INDEX(Curves!$R$8:$R$68,BB$4-$B175+1)</f>
        <v/>
      </c>
      <c r="BC175" s="75">
        <f>$C175*INDEX(Curves!$R$8:$R$68,BC$4-$B175+1)</f>
        <v/>
      </c>
      <c r="BD175" s="75">
        <f>$C175*INDEX(Curves!$R$8:$R$68,BD$4-$B175+1)</f>
        <v/>
      </c>
      <c r="BE175" s="75">
        <f>$C175*INDEX(Curves!$R$8:$R$68,BE$4-$B175+1)</f>
        <v/>
      </c>
      <c r="BF175" s="75">
        <f>$C175*INDEX(Curves!$R$8:$R$68,BF$4-$B175+1)</f>
        <v/>
      </c>
      <c r="BG175" s="75">
        <f>$C175*INDEX(Curves!$R$8:$R$68,BG$4-$B175+1)</f>
        <v/>
      </c>
      <c r="BH175" s="75">
        <f>$C175*INDEX(Curves!$R$8:$R$68,BH$4-$B175+1)</f>
        <v/>
      </c>
      <c r="BI175" s="75">
        <f>$C175*INDEX(Curves!$R$8:$R$68,BI$4-$B175+1)</f>
        <v/>
      </c>
      <c r="BJ175" s="75">
        <f>$C175*INDEX(Curves!$R$8:$R$68,BJ$4-$B175+1)</f>
        <v/>
      </c>
      <c r="BK175" s="75">
        <f>$C175*INDEX(Curves!$R$8:$R$68,BK$4-$B175+1)</f>
        <v/>
      </c>
      <c r="BL175" s="75">
        <f>$C175*INDEX(Curves!$R$8:$R$68,BL$4-$B175+1)</f>
        <v/>
      </c>
    </row>
    <row r="176">
      <c r="A176" s="74" t="inlineStr">
        <is>
          <t>Cohort month 41</t>
        </is>
      </c>
      <c r="B176" s="74" t="n">
        <v>41</v>
      </c>
      <c r="C176" s="17">
        <f>INDEX(Ops!$E$35:$BL$35,1,$B176)</f>
        <v/>
      </c>
      <c r="AT176" s="75">
        <f>$C176*INDEX(Curves!$R$8:$R$68,AT$4-$B176+1)</f>
        <v/>
      </c>
      <c r="AU176" s="75">
        <f>$C176*INDEX(Curves!$R$8:$R$68,AU$4-$B176+1)</f>
        <v/>
      </c>
      <c r="AV176" s="75">
        <f>$C176*INDEX(Curves!$R$8:$R$68,AV$4-$B176+1)</f>
        <v/>
      </c>
      <c r="AW176" s="75">
        <f>$C176*INDEX(Curves!$R$8:$R$68,AW$4-$B176+1)</f>
        <v/>
      </c>
      <c r="AX176" s="75">
        <f>$C176*INDEX(Curves!$R$8:$R$68,AX$4-$B176+1)</f>
        <v/>
      </c>
      <c r="AY176" s="75">
        <f>$C176*INDEX(Curves!$R$8:$R$68,AY$4-$B176+1)</f>
        <v/>
      </c>
      <c r="AZ176" s="75">
        <f>$C176*INDEX(Curves!$R$8:$R$68,AZ$4-$B176+1)</f>
        <v/>
      </c>
      <c r="BA176" s="75">
        <f>$C176*INDEX(Curves!$R$8:$R$68,BA$4-$B176+1)</f>
        <v/>
      </c>
      <c r="BB176" s="75">
        <f>$C176*INDEX(Curves!$R$8:$R$68,BB$4-$B176+1)</f>
        <v/>
      </c>
      <c r="BC176" s="75">
        <f>$C176*INDEX(Curves!$R$8:$R$68,BC$4-$B176+1)</f>
        <v/>
      </c>
      <c r="BD176" s="75">
        <f>$C176*INDEX(Curves!$R$8:$R$68,BD$4-$B176+1)</f>
        <v/>
      </c>
      <c r="BE176" s="75">
        <f>$C176*INDEX(Curves!$R$8:$R$68,BE$4-$B176+1)</f>
        <v/>
      </c>
      <c r="BF176" s="75">
        <f>$C176*INDEX(Curves!$R$8:$R$68,BF$4-$B176+1)</f>
        <v/>
      </c>
      <c r="BG176" s="75">
        <f>$C176*INDEX(Curves!$R$8:$R$68,BG$4-$B176+1)</f>
        <v/>
      </c>
      <c r="BH176" s="75">
        <f>$C176*INDEX(Curves!$R$8:$R$68,BH$4-$B176+1)</f>
        <v/>
      </c>
      <c r="BI176" s="75">
        <f>$C176*INDEX(Curves!$R$8:$R$68,BI$4-$B176+1)</f>
        <v/>
      </c>
      <c r="BJ176" s="75">
        <f>$C176*INDEX(Curves!$R$8:$R$68,BJ$4-$B176+1)</f>
        <v/>
      </c>
      <c r="BK176" s="75">
        <f>$C176*INDEX(Curves!$R$8:$R$68,BK$4-$B176+1)</f>
        <v/>
      </c>
      <c r="BL176" s="75">
        <f>$C176*INDEX(Curves!$R$8:$R$68,BL$4-$B176+1)</f>
        <v/>
      </c>
    </row>
    <row r="177">
      <c r="A177" s="74" t="inlineStr">
        <is>
          <t>Cohort month 42</t>
        </is>
      </c>
      <c r="B177" s="74" t="n">
        <v>42</v>
      </c>
      <c r="C177" s="17">
        <f>INDEX(Ops!$E$35:$BL$35,1,$B177)</f>
        <v/>
      </c>
      <c r="AU177" s="75">
        <f>$C177*INDEX(Curves!$R$8:$R$68,AU$4-$B177+1)</f>
        <v/>
      </c>
      <c r="AV177" s="75">
        <f>$C177*INDEX(Curves!$R$8:$R$68,AV$4-$B177+1)</f>
        <v/>
      </c>
      <c r="AW177" s="75">
        <f>$C177*INDEX(Curves!$R$8:$R$68,AW$4-$B177+1)</f>
        <v/>
      </c>
      <c r="AX177" s="75">
        <f>$C177*INDEX(Curves!$R$8:$R$68,AX$4-$B177+1)</f>
        <v/>
      </c>
      <c r="AY177" s="75">
        <f>$C177*INDEX(Curves!$R$8:$R$68,AY$4-$B177+1)</f>
        <v/>
      </c>
      <c r="AZ177" s="75">
        <f>$C177*INDEX(Curves!$R$8:$R$68,AZ$4-$B177+1)</f>
        <v/>
      </c>
      <c r="BA177" s="75">
        <f>$C177*INDEX(Curves!$R$8:$R$68,BA$4-$B177+1)</f>
        <v/>
      </c>
      <c r="BB177" s="75">
        <f>$C177*INDEX(Curves!$R$8:$R$68,BB$4-$B177+1)</f>
        <v/>
      </c>
      <c r="BC177" s="75">
        <f>$C177*INDEX(Curves!$R$8:$R$68,BC$4-$B177+1)</f>
        <v/>
      </c>
      <c r="BD177" s="75">
        <f>$C177*INDEX(Curves!$R$8:$R$68,BD$4-$B177+1)</f>
        <v/>
      </c>
      <c r="BE177" s="75">
        <f>$C177*INDEX(Curves!$R$8:$R$68,BE$4-$B177+1)</f>
        <v/>
      </c>
      <c r="BF177" s="75">
        <f>$C177*INDEX(Curves!$R$8:$R$68,BF$4-$B177+1)</f>
        <v/>
      </c>
      <c r="BG177" s="75">
        <f>$C177*INDEX(Curves!$R$8:$R$68,BG$4-$B177+1)</f>
        <v/>
      </c>
      <c r="BH177" s="75">
        <f>$C177*INDEX(Curves!$R$8:$R$68,BH$4-$B177+1)</f>
        <v/>
      </c>
      <c r="BI177" s="75">
        <f>$C177*INDEX(Curves!$R$8:$R$68,BI$4-$B177+1)</f>
        <v/>
      </c>
      <c r="BJ177" s="75">
        <f>$C177*INDEX(Curves!$R$8:$R$68,BJ$4-$B177+1)</f>
        <v/>
      </c>
      <c r="BK177" s="75">
        <f>$C177*INDEX(Curves!$R$8:$R$68,BK$4-$B177+1)</f>
        <v/>
      </c>
      <c r="BL177" s="75">
        <f>$C177*INDEX(Curves!$R$8:$R$68,BL$4-$B177+1)</f>
        <v/>
      </c>
    </row>
    <row r="178">
      <c r="A178" s="74" t="inlineStr">
        <is>
          <t>Cohort month 43</t>
        </is>
      </c>
      <c r="B178" s="74" t="n">
        <v>43</v>
      </c>
      <c r="C178" s="17">
        <f>INDEX(Ops!$E$35:$BL$35,1,$B178)</f>
        <v/>
      </c>
      <c r="AV178" s="75">
        <f>$C178*INDEX(Curves!$R$8:$R$68,AV$4-$B178+1)</f>
        <v/>
      </c>
      <c r="AW178" s="75">
        <f>$C178*INDEX(Curves!$R$8:$R$68,AW$4-$B178+1)</f>
        <v/>
      </c>
      <c r="AX178" s="75">
        <f>$C178*INDEX(Curves!$R$8:$R$68,AX$4-$B178+1)</f>
        <v/>
      </c>
      <c r="AY178" s="75">
        <f>$C178*INDEX(Curves!$R$8:$R$68,AY$4-$B178+1)</f>
        <v/>
      </c>
      <c r="AZ178" s="75">
        <f>$C178*INDEX(Curves!$R$8:$R$68,AZ$4-$B178+1)</f>
        <v/>
      </c>
      <c r="BA178" s="75">
        <f>$C178*INDEX(Curves!$R$8:$R$68,BA$4-$B178+1)</f>
        <v/>
      </c>
      <c r="BB178" s="75">
        <f>$C178*INDEX(Curves!$R$8:$R$68,BB$4-$B178+1)</f>
        <v/>
      </c>
      <c r="BC178" s="75">
        <f>$C178*INDEX(Curves!$R$8:$R$68,BC$4-$B178+1)</f>
        <v/>
      </c>
      <c r="BD178" s="75">
        <f>$C178*INDEX(Curves!$R$8:$R$68,BD$4-$B178+1)</f>
        <v/>
      </c>
      <c r="BE178" s="75">
        <f>$C178*INDEX(Curves!$R$8:$R$68,BE$4-$B178+1)</f>
        <v/>
      </c>
      <c r="BF178" s="75">
        <f>$C178*INDEX(Curves!$R$8:$R$68,BF$4-$B178+1)</f>
        <v/>
      </c>
      <c r="BG178" s="75">
        <f>$C178*INDEX(Curves!$R$8:$R$68,BG$4-$B178+1)</f>
        <v/>
      </c>
      <c r="BH178" s="75">
        <f>$C178*INDEX(Curves!$R$8:$R$68,BH$4-$B178+1)</f>
        <v/>
      </c>
      <c r="BI178" s="75">
        <f>$C178*INDEX(Curves!$R$8:$R$68,BI$4-$B178+1)</f>
        <v/>
      </c>
      <c r="BJ178" s="75">
        <f>$C178*INDEX(Curves!$R$8:$R$68,BJ$4-$B178+1)</f>
        <v/>
      </c>
      <c r="BK178" s="75">
        <f>$C178*INDEX(Curves!$R$8:$R$68,BK$4-$B178+1)</f>
        <v/>
      </c>
      <c r="BL178" s="75">
        <f>$C178*INDEX(Curves!$R$8:$R$68,BL$4-$B178+1)</f>
        <v/>
      </c>
    </row>
    <row r="179">
      <c r="A179" s="74" t="inlineStr">
        <is>
          <t>Cohort month 44</t>
        </is>
      </c>
      <c r="B179" s="74" t="n">
        <v>44</v>
      </c>
      <c r="C179" s="17">
        <f>INDEX(Ops!$E$35:$BL$35,1,$B179)</f>
        <v/>
      </c>
      <c r="AW179" s="75">
        <f>$C179*INDEX(Curves!$R$8:$R$68,AW$4-$B179+1)</f>
        <v/>
      </c>
      <c r="AX179" s="75">
        <f>$C179*INDEX(Curves!$R$8:$R$68,AX$4-$B179+1)</f>
        <v/>
      </c>
      <c r="AY179" s="75">
        <f>$C179*INDEX(Curves!$R$8:$R$68,AY$4-$B179+1)</f>
        <v/>
      </c>
      <c r="AZ179" s="75">
        <f>$C179*INDEX(Curves!$R$8:$R$68,AZ$4-$B179+1)</f>
        <v/>
      </c>
      <c r="BA179" s="75">
        <f>$C179*INDEX(Curves!$R$8:$R$68,BA$4-$B179+1)</f>
        <v/>
      </c>
      <c r="BB179" s="75">
        <f>$C179*INDEX(Curves!$R$8:$R$68,BB$4-$B179+1)</f>
        <v/>
      </c>
      <c r="BC179" s="75">
        <f>$C179*INDEX(Curves!$R$8:$R$68,BC$4-$B179+1)</f>
        <v/>
      </c>
      <c r="BD179" s="75">
        <f>$C179*INDEX(Curves!$R$8:$R$68,BD$4-$B179+1)</f>
        <v/>
      </c>
      <c r="BE179" s="75">
        <f>$C179*INDEX(Curves!$R$8:$R$68,BE$4-$B179+1)</f>
        <v/>
      </c>
      <c r="BF179" s="75">
        <f>$C179*INDEX(Curves!$R$8:$R$68,BF$4-$B179+1)</f>
        <v/>
      </c>
      <c r="BG179" s="75">
        <f>$C179*INDEX(Curves!$R$8:$R$68,BG$4-$B179+1)</f>
        <v/>
      </c>
      <c r="BH179" s="75">
        <f>$C179*INDEX(Curves!$R$8:$R$68,BH$4-$B179+1)</f>
        <v/>
      </c>
      <c r="BI179" s="75">
        <f>$C179*INDEX(Curves!$R$8:$R$68,BI$4-$B179+1)</f>
        <v/>
      </c>
      <c r="BJ179" s="75">
        <f>$C179*INDEX(Curves!$R$8:$R$68,BJ$4-$B179+1)</f>
        <v/>
      </c>
      <c r="BK179" s="75">
        <f>$C179*INDEX(Curves!$R$8:$R$68,BK$4-$B179+1)</f>
        <v/>
      </c>
      <c r="BL179" s="75">
        <f>$C179*INDEX(Curves!$R$8:$R$68,BL$4-$B179+1)</f>
        <v/>
      </c>
    </row>
    <row r="180">
      <c r="A180" s="74" t="inlineStr">
        <is>
          <t>Cohort month 45</t>
        </is>
      </c>
      <c r="B180" s="74" t="n">
        <v>45</v>
      </c>
      <c r="C180" s="17">
        <f>INDEX(Ops!$E$35:$BL$35,1,$B180)</f>
        <v/>
      </c>
      <c r="AX180" s="75">
        <f>$C180*INDEX(Curves!$R$8:$R$68,AX$4-$B180+1)</f>
        <v/>
      </c>
      <c r="AY180" s="75">
        <f>$C180*INDEX(Curves!$R$8:$R$68,AY$4-$B180+1)</f>
        <v/>
      </c>
      <c r="AZ180" s="75">
        <f>$C180*INDEX(Curves!$R$8:$R$68,AZ$4-$B180+1)</f>
        <v/>
      </c>
      <c r="BA180" s="75">
        <f>$C180*INDEX(Curves!$R$8:$R$68,BA$4-$B180+1)</f>
        <v/>
      </c>
      <c r="BB180" s="75">
        <f>$C180*INDEX(Curves!$R$8:$R$68,BB$4-$B180+1)</f>
        <v/>
      </c>
      <c r="BC180" s="75">
        <f>$C180*INDEX(Curves!$R$8:$R$68,BC$4-$B180+1)</f>
        <v/>
      </c>
      <c r="BD180" s="75">
        <f>$C180*INDEX(Curves!$R$8:$R$68,BD$4-$B180+1)</f>
        <v/>
      </c>
      <c r="BE180" s="75">
        <f>$C180*INDEX(Curves!$R$8:$R$68,BE$4-$B180+1)</f>
        <v/>
      </c>
      <c r="BF180" s="75">
        <f>$C180*INDEX(Curves!$R$8:$R$68,BF$4-$B180+1)</f>
        <v/>
      </c>
      <c r="BG180" s="75">
        <f>$C180*INDEX(Curves!$R$8:$R$68,BG$4-$B180+1)</f>
        <v/>
      </c>
      <c r="BH180" s="75">
        <f>$C180*INDEX(Curves!$R$8:$R$68,BH$4-$B180+1)</f>
        <v/>
      </c>
      <c r="BI180" s="75">
        <f>$C180*INDEX(Curves!$R$8:$R$68,BI$4-$B180+1)</f>
        <v/>
      </c>
      <c r="BJ180" s="75">
        <f>$C180*INDEX(Curves!$R$8:$R$68,BJ$4-$B180+1)</f>
        <v/>
      </c>
      <c r="BK180" s="75">
        <f>$C180*INDEX(Curves!$R$8:$R$68,BK$4-$B180+1)</f>
        <v/>
      </c>
      <c r="BL180" s="75">
        <f>$C180*INDEX(Curves!$R$8:$R$68,BL$4-$B180+1)</f>
        <v/>
      </c>
    </row>
    <row r="181">
      <c r="A181" s="74" t="inlineStr">
        <is>
          <t>Cohort month 46</t>
        </is>
      </c>
      <c r="B181" s="74" t="n">
        <v>46</v>
      </c>
      <c r="C181" s="17">
        <f>INDEX(Ops!$E$35:$BL$35,1,$B181)</f>
        <v/>
      </c>
      <c r="AY181" s="75">
        <f>$C181*INDEX(Curves!$R$8:$R$68,AY$4-$B181+1)</f>
        <v/>
      </c>
      <c r="AZ181" s="75">
        <f>$C181*INDEX(Curves!$R$8:$R$68,AZ$4-$B181+1)</f>
        <v/>
      </c>
      <c r="BA181" s="75">
        <f>$C181*INDEX(Curves!$R$8:$R$68,BA$4-$B181+1)</f>
        <v/>
      </c>
      <c r="BB181" s="75">
        <f>$C181*INDEX(Curves!$R$8:$R$68,BB$4-$B181+1)</f>
        <v/>
      </c>
      <c r="BC181" s="75">
        <f>$C181*INDEX(Curves!$R$8:$R$68,BC$4-$B181+1)</f>
        <v/>
      </c>
      <c r="BD181" s="75">
        <f>$C181*INDEX(Curves!$R$8:$R$68,BD$4-$B181+1)</f>
        <v/>
      </c>
      <c r="BE181" s="75">
        <f>$C181*INDEX(Curves!$R$8:$R$68,BE$4-$B181+1)</f>
        <v/>
      </c>
      <c r="BF181" s="75">
        <f>$C181*INDEX(Curves!$R$8:$R$68,BF$4-$B181+1)</f>
        <v/>
      </c>
      <c r="BG181" s="75">
        <f>$C181*INDEX(Curves!$R$8:$R$68,BG$4-$B181+1)</f>
        <v/>
      </c>
      <c r="BH181" s="75">
        <f>$C181*INDEX(Curves!$R$8:$R$68,BH$4-$B181+1)</f>
        <v/>
      </c>
      <c r="BI181" s="75">
        <f>$C181*INDEX(Curves!$R$8:$R$68,BI$4-$B181+1)</f>
        <v/>
      </c>
      <c r="BJ181" s="75">
        <f>$C181*INDEX(Curves!$R$8:$R$68,BJ$4-$B181+1)</f>
        <v/>
      </c>
      <c r="BK181" s="75">
        <f>$C181*INDEX(Curves!$R$8:$R$68,BK$4-$B181+1)</f>
        <v/>
      </c>
      <c r="BL181" s="75">
        <f>$C181*INDEX(Curves!$R$8:$R$68,BL$4-$B181+1)</f>
        <v/>
      </c>
    </row>
    <row r="182">
      <c r="A182" s="74" t="inlineStr">
        <is>
          <t>Cohort month 47</t>
        </is>
      </c>
      <c r="B182" s="74" t="n">
        <v>47</v>
      </c>
      <c r="C182" s="17">
        <f>INDEX(Ops!$E$35:$BL$35,1,$B182)</f>
        <v/>
      </c>
      <c r="AZ182" s="75">
        <f>$C182*INDEX(Curves!$R$8:$R$68,AZ$4-$B182+1)</f>
        <v/>
      </c>
      <c r="BA182" s="75">
        <f>$C182*INDEX(Curves!$R$8:$R$68,BA$4-$B182+1)</f>
        <v/>
      </c>
      <c r="BB182" s="75">
        <f>$C182*INDEX(Curves!$R$8:$R$68,BB$4-$B182+1)</f>
        <v/>
      </c>
      <c r="BC182" s="75">
        <f>$C182*INDEX(Curves!$R$8:$R$68,BC$4-$B182+1)</f>
        <v/>
      </c>
      <c r="BD182" s="75">
        <f>$C182*INDEX(Curves!$R$8:$R$68,BD$4-$B182+1)</f>
        <v/>
      </c>
      <c r="BE182" s="75">
        <f>$C182*INDEX(Curves!$R$8:$R$68,BE$4-$B182+1)</f>
        <v/>
      </c>
      <c r="BF182" s="75">
        <f>$C182*INDEX(Curves!$R$8:$R$68,BF$4-$B182+1)</f>
        <v/>
      </c>
      <c r="BG182" s="75">
        <f>$C182*INDEX(Curves!$R$8:$R$68,BG$4-$B182+1)</f>
        <v/>
      </c>
      <c r="BH182" s="75">
        <f>$C182*INDEX(Curves!$R$8:$R$68,BH$4-$B182+1)</f>
        <v/>
      </c>
      <c r="BI182" s="75">
        <f>$C182*INDEX(Curves!$R$8:$R$68,BI$4-$B182+1)</f>
        <v/>
      </c>
      <c r="BJ182" s="75">
        <f>$C182*INDEX(Curves!$R$8:$R$68,BJ$4-$B182+1)</f>
        <v/>
      </c>
      <c r="BK182" s="75">
        <f>$C182*INDEX(Curves!$R$8:$R$68,BK$4-$B182+1)</f>
        <v/>
      </c>
      <c r="BL182" s="75">
        <f>$C182*INDEX(Curves!$R$8:$R$68,BL$4-$B182+1)</f>
        <v/>
      </c>
    </row>
    <row r="183">
      <c r="A183" s="74" t="inlineStr">
        <is>
          <t>Cohort month 48</t>
        </is>
      </c>
      <c r="B183" s="74" t="n">
        <v>48</v>
      </c>
      <c r="C183" s="17">
        <f>INDEX(Ops!$E$35:$BL$35,1,$B183)</f>
        <v/>
      </c>
      <c r="BA183" s="75">
        <f>$C183*INDEX(Curves!$R$8:$R$68,BA$4-$B183+1)</f>
        <v/>
      </c>
      <c r="BB183" s="75">
        <f>$C183*INDEX(Curves!$R$8:$R$68,BB$4-$B183+1)</f>
        <v/>
      </c>
      <c r="BC183" s="75">
        <f>$C183*INDEX(Curves!$R$8:$R$68,BC$4-$B183+1)</f>
        <v/>
      </c>
      <c r="BD183" s="75">
        <f>$C183*INDEX(Curves!$R$8:$R$68,BD$4-$B183+1)</f>
        <v/>
      </c>
      <c r="BE183" s="75">
        <f>$C183*INDEX(Curves!$R$8:$R$68,BE$4-$B183+1)</f>
        <v/>
      </c>
      <c r="BF183" s="75">
        <f>$C183*INDEX(Curves!$R$8:$R$68,BF$4-$B183+1)</f>
        <v/>
      </c>
      <c r="BG183" s="75">
        <f>$C183*INDEX(Curves!$R$8:$R$68,BG$4-$B183+1)</f>
        <v/>
      </c>
      <c r="BH183" s="75">
        <f>$C183*INDEX(Curves!$R$8:$R$68,BH$4-$B183+1)</f>
        <v/>
      </c>
      <c r="BI183" s="75">
        <f>$C183*INDEX(Curves!$R$8:$R$68,BI$4-$B183+1)</f>
        <v/>
      </c>
      <c r="BJ183" s="75">
        <f>$C183*INDEX(Curves!$R$8:$R$68,BJ$4-$B183+1)</f>
        <v/>
      </c>
      <c r="BK183" s="75">
        <f>$C183*INDEX(Curves!$R$8:$R$68,BK$4-$B183+1)</f>
        <v/>
      </c>
      <c r="BL183" s="75">
        <f>$C183*INDEX(Curves!$R$8:$R$68,BL$4-$B183+1)</f>
        <v/>
      </c>
    </row>
    <row r="184">
      <c r="A184" s="74" t="inlineStr">
        <is>
          <t>Cohort month 49</t>
        </is>
      </c>
      <c r="B184" s="74" t="n">
        <v>49</v>
      </c>
      <c r="C184" s="17">
        <f>INDEX(Ops!$E$35:$BL$35,1,$B184)</f>
        <v/>
      </c>
      <c r="BB184" s="75">
        <f>$C184*INDEX(Curves!$R$8:$R$68,BB$4-$B184+1)</f>
        <v/>
      </c>
      <c r="BC184" s="75">
        <f>$C184*INDEX(Curves!$R$8:$R$68,BC$4-$B184+1)</f>
        <v/>
      </c>
      <c r="BD184" s="75">
        <f>$C184*INDEX(Curves!$R$8:$R$68,BD$4-$B184+1)</f>
        <v/>
      </c>
      <c r="BE184" s="75">
        <f>$C184*INDEX(Curves!$R$8:$R$68,BE$4-$B184+1)</f>
        <v/>
      </c>
      <c r="BF184" s="75">
        <f>$C184*INDEX(Curves!$R$8:$R$68,BF$4-$B184+1)</f>
        <v/>
      </c>
      <c r="BG184" s="75">
        <f>$C184*INDEX(Curves!$R$8:$R$68,BG$4-$B184+1)</f>
        <v/>
      </c>
      <c r="BH184" s="75">
        <f>$C184*INDEX(Curves!$R$8:$R$68,BH$4-$B184+1)</f>
        <v/>
      </c>
      <c r="BI184" s="75">
        <f>$C184*INDEX(Curves!$R$8:$R$68,BI$4-$B184+1)</f>
        <v/>
      </c>
      <c r="BJ184" s="75">
        <f>$C184*INDEX(Curves!$R$8:$R$68,BJ$4-$B184+1)</f>
        <v/>
      </c>
      <c r="BK184" s="75">
        <f>$C184*INDEX(Curves!$R$8:$R$68,BK$4-$B184+1)</f>
        <v/>
      </c>
      <c r="BL184" s="75">
        <f>$C184*INDEX(Curves!$R$8:$R$68,BL$4-$B184+1)</f>
        <v/>
      </c>
    </row>
    <row r="185">
      <c r="A185" s="74" t="inlineStr">
        <is>
          <t>Cohort month 50</t>
        </is>
      </c>
      <c r="B185" s="74" t="n">
        <v>50</v>
      </c>
      <c r="C185" s="17">
        <f>INDEX(Ops!$E$35:$BL$35,1,$B185)</f>
        <v/>
      </c>
      <c r="BC185" s="75">
        <f>$C185*INDEX(Curves!$R$8:$R$68,BC$4-$B185+1)</f>
        <v/>
      </c>
      <c r="BD185" s="75">
        <f>$C185*INDEX(Curves!$R$8:$R$68,BD$4-$B185+1)</f>
        <v/>
      </c>
      <c r="BE185" s="75">
        <f>$C185*INDEX(Curves!$R$8:$R$68,BE$4-$B185+1)</f>
        <v/>
      </c>
      <c r="BF185" s="75">
        <f>$C185*INDEX(Curves!$R$8:$R$68,BF$4-$B185+1)</f>
        <v/>
      </c>
      <c r="BG185" s="75">
        <f>$C185*INDEX(Curves!$R$8:$R$68,BG$4-$B185+1)</f>
        <v/>
      </c>
      <c r="BH185" s="75">
        <f>$C185*INDEX(Curves!$R$8:$R$68,BH$4-$B185+1)</f>
        <v/>
      </c>
      <c r="BI185" s="75">
        <f>$C185*INDEX(Curves!$R$8:$R$68,BI$4-$B185+1)</f>
        <v/>
      </c>
      <c r="BJ185" s="75">
        <f>$C185*INDEX(Curves!$R$8:$R$68,BJ$4-$B185+1)</f>
        <v/>
      </c>
      <c r="BK185" s="75">
        <f>$C185*INDEX(Curves!$R$8:$R$68,BK$4-$B185+1)</f>
        <v/>
      </c>
      <c r="BL185" s="75">
        <f>$C185*INDEX(Curves!$R$8:$R$68,BL$4-$B185+1)</f>
        <v/>
      </c>
    </row>
    <row r="186">
      <c r="A186" s="74" t="inlineStr">
        <is>
          <t>Cohort month 51</t>
        </is>
      </c>
      <c r="B186" s="74" t="n">
        <v>51</v>
      </c>
      <c r="C186" s="17">
        <f>INDEX(Ops!$E$35:$BL$35,1,$B186)</f>
        <v/>
      </c>
      <c r="BD186" s="75">
        <f>$C186*INDEX(Curves!$R$8:$R$68,BD$4-$B186+1)</f>
        <v/>
      </c>
      <c r="BE186" s="75">
        <f>$C186*INDEX(Curves!$R$8:$R$68,BE$4-$B186+1)</f>
        <v/>
      </c>
      <c r="BF186" s="75">
        <f>$C186*INDEX(Curves!$R$8:$R$68,BF$4-$B186+1)</f>
        <v/>
      </c>
      <c r="BG186" s="75">
        <f>$C186*INDEX(Curves!$R$8:$R$68,BG$4-$B186+1)</f>
        <v/>
      </c>
      <c r="BH186" s="75">
        <f>$C186*INDEX(Curves!$R$8:$R$68,BH$4-$B186+1)</f>
        <v/>
      </c>
      <c r="BI186" s="75">
        <f>$C186*INDEX(Curves!$R$8:$R$68,BI$4-$B186+1)</f>
        <v/>
      </c>
      <c r="BJ186" s="75">
        <f>$C186*INDEX(Curves!$R$8:$R$68,BJ$4-$B186+1)</f>
        <v/>
      </c>
      <c r="BK186" s="75">
        <f>$C186*INDEX(Curves!$R$8:$R$68,BK$4-$B186+1)</f>
        <v/>
      </c>
      <c r="BL186" s="75">
        <f>$C186*INDEX(Curves!$R$8:$R$68,BL$4-$B186+1)</f>
        <v/>
      </c>
    </row>
    <row r="187">
      <c r="A187" s="74" t="inlineStr">
        <is>
          <t>Cohort month 52</t>
        </is>
      </c>
      <c r="B187" s="74" t="n">
        <v>52</v>
      </c>
      <c r="C187" s="17">
        <f>INDEX(Ops!$E$35:$BL$35,1,$B187)</f>
        <v/>
      </c>
      <c r="BE187" s="75">
        <f>$C187*INDEX(Curves!$R$8:$R$68,BE$4-$B187+1)</f>
        <v/>
      </c>
      <c r="BF187" s="75">
        <f>$C187*INDEX(Curves!$R$8:$R$68,BF$4-$B187+1)</f>
        <v/>
      </c>
      <c r="BG187" s="75">
        <f>$C187*INDEX(Curves!$R$8:$R$68,BG$4-$B187+1)</f>
        <v/>
      </c>
      <c r="BH187" s="75">
        <f>$C187*INDEX(Curves!$R$8:$R$68,BH$4-$B187+1)</f>
        <v/>
      </c>
      <c r="BI187" s="75">
        <f>$C187*INDEX(Curves!$R$8:$R$68,BI$4-$B187+1)</f>
        <v/>
      </c>
      <c r="BJ187" s="75">
        <f>$C187*INDEX(Curves!$R$8:$R$68,BJ$4-$B187+1)</f>
        <v/>
      </c>
      <c r="BK187" s="75">
        <f>$C187*INDEX(Curves!$R$8:$R$68,BK$4-$B187+1)</f>
        <v/>
      </c>
      <c r="BL187" s="75">
        <f>$C187*INDEX(Curves!$R$8:$R$68,BL$4-$B187+1)</f>
        <v/>
      </c>
    </row>
    <row r="188">
      <c r="A188" s="74" t="inlineStr">
        <is>
          <t>Cohort month 53</t>
        </is>
      </c>
      <c r="B188" s="74" t="n">
        <v>53</v>
      </c>
      <c r="C188" s="17">
        <f>INDEX(Ops!$E$35:$BL$35,1,$B188)</f>
        <v/>
      </c>
      <c r="BF188" s="75">
        <f>$C188*INDEX(Curves!$R$8:$R$68,BF$4-$B188+1)</f>
        <v/>
      </c>
      <c r="BG188" s="75">
        <f>$C188*INDEX(Curves!$R$8:$R$68,BG$4-$B188+1)</f>
        <v/>
      </c>
      <c r="BH188" s="75">
        <f>$C188*INDEX(Curves!$R$8:$R$68,BH$4-$B188+1)</f>
        <v/>
      </c>
      <c r="BI188" s="75">
        <f>$C188*INDEX(Curves!$R$8:$R$68,BI$4-$B188+1)</f>
        <v/>
      </c>
      <c r="BJ188" s="75">
        <f>$C188*INDEX(Curves!$R$8:$R$68,BJ$4-$B188+1)</f>
        <v/>
      </c>
      <c r="BK188" s="75">
        <f>$C188*INDEX(Curves!$R$8:$R$68,BK$4-$B188+1)</f>
        <v/>
      </c>
      <c r="BL188" s="75">
        <f>$C188*INDEX(Curves!$R$8:$R$68,BL$4-$B188+1)</f>
        <v/>
      </c>
    </row>
    <row r="189">
      <c r="A189" s="74" t="inlineStr">
        <is>
          <t>Cohort month 54</t>
        </is>
      </c>
      <c r="B189" s="74" t="n">
        <v>54</v>
      </c>
      <c r="C189" s="17">
        <f>INDEX(Ops!$E$35:$BL$35,1,$B189)</f>
        <v/>
      </c>
      <c r="BG189" s="75">
        <f>$C189*INDEX(Curves!$R$8:$R$68,BG$4-$B189+1)</f>
        <v/>
      </c>
      <c r="BH189" s="75">
        <f>$C189*INDEX(Curves!$R$8:$R$68,BH$4-$B189+1)</f>
        <v/>
      </c>
      <c r="BI189" s="75">
        <f>$C189*INDEX(Curves!$R$8:$R$68,BI$4-$B189+1)</f>
        <v/>
      </c>
      <c r="BJ189" s="75">
        <f>$C189*INDEX(Curves!$R$8:$R$68,BJ$4-$B189+1)</f>
        <v/>
      </c>
      <c r="BK189" s="75">
        <f>$C189*INDEX(Curves!$R$8:$R$68,BK$4-$B189+1)</f>
        <v/>
      </c>
      <c r="BL189" s="75">
        <f>$C189*INDEX(Curves!$R$8:$R$68,BL$4-$B189+1)</f>
        <v/>
      </c>
    </row>
    <row r="190">
      <c r="A190" s="74" t="inlineStr">
        <is>
          <t>Cohort month 55</t>
        </is>
      </c>
      <c r="B190" s="74" t="n">
        <v>55</v>
      </c>
      <c r="C190" s="17">
        <f>INDEX(Ops!$E$35:$BL$35,1,$B190)</f>
        <v/>
      </c>
      <c r="BH190" s="75">
        <f>$C190*INDEX(Curves!$R$8:$R$68,BH$4-$B190+1)</f>
        <v/>
      </c>
      <c r="BI190" s="75">
        <f>$C190*INDEX(Curves!$R$8:$R$68,BI$4-$B190+1)</f>
        <v/>
      </c>
      <c r="BJ190" s="75">
        <f>$C190*INDEX(Curves!$R$8:$R$68,BJ$4-$B190+1)</f>
        <v/>
      </c>
      <c r="BK190" s="75">
        <f>$C190*INDEX(Curves!$R$8:$R$68,BK$4-$B190+1)</f>
        <v/>
      </c>
      <c r="BL190" s="75">
        <f>$C190*INDEX(Curves!$R$8:$R$68,BL$4-$B190+1)</f>
        <v/>
      </c>
    </row>
    <row r="191">
      <c r="A191" s="74" t="inlineStr">
        <is>
          <t>Cohort month 56</t>
        </is>
      </c>
      <c r="B191" s="74" t="n">
        <v>56</v>
      </c>
      <c r="C191" s="17">
        <f>INDEX(Ops!$E$35:$BL$35,1,$B191)</f>
        <v/>
      </c>
      <c r="BI191" s="75">
        <f>$C191*INDEX(Curves!$R$8:$R$68,BI$4-$B191+1)</f>
        <v/>
      </c>
      <c r="BJ191" s="75">
        <f>$C191*INDEX(Curves!$R$8:$R$68,BJ$4-$B191+1)</f>
        <v/>
      </c>
      <c r="BK191" s="75">
        <f>$C191*INDEX(Curves!$R$8:$R$68,BK$4-$B191+1)</f>
        <v/>
      </c>
      <c r="BL191" s="75">
        <f>$C191*INDEX(Curves!$R$8:$R$68,BL$4-$B191+1)</f>
        <v/>
      </c>
    </row>
    <row r="192">
      <c r="A192" s="74" t="inlineStr">
        <is>
          <t>Cohort month 57</t>
        </is>
      </c>
      <c r="B192" s="74" t="n">
        <v>57</v>
      </c>
      <c r="C192" s="17">
        <f>INDEX(Ops!$E$35:$BL$35,1,$B192)</f>
        <v/>
      </c>
      <c r="BJ192" s="75">
        <f>$C192*INDEX(Curves!$R$8:$R$68,BJ$4-$B192+1)</f>
        <v/>
      </c>
      <c r="BK192" s="75">
        <f>$C192*INDEX(Curves!$R$8:$R$68,BK$4-$B192+1)</f>
        <v/>
      </c>
      <c r="BL192" s="75">
        <f>$C192*INDEX(Curves!$R$8:$R$68,BL$4-$B192+1)</f>
        <v/>
      </c>
    </row>
    <row r="193">
      <c r="A193" s="74" t="inlineStr">
        <is>
          <t>Cohort month 58</t>
        </is>
      </c>
      <c r="B193" s="74" t="n">
        <v>58</v>
      </c>
      <c r="C193" s="17">
        <f>INDEX(Ops!$E$35:$BL$35,1,$B193)</f>
        <v/>
      </c>
      <c r="BK193" s="75">
        <f>$C193*INDEX(Curves!$R$8:$R$68,BK$4-$B193+1)</f>
        <v/>
      </c>
      <c r="BL193" s="75">
        <f>$C193*INDEX(Curves!$R$8:$R$68,BL$4-$B193+1)</f>
        <v/>
      </c>
    </row>
    <row r="194">
      <c r="A194" s="74" t="inlineStr">
        <is>
          <t>Cohort month 59</t>
        </is>
      </c>
      <c r="B194" s="74" t="n">
        <v>59</v>
      </c>
      <c r="C194" s="17">
        <f>INDEX(Ops!$E$35:$BL$35,1,$B194)</f>
        <v/>
      </c>
      <c r="BL194" s="75">
        <f>$C194*INDEX(Curves!$R$8:$R$68,BL$4-$B194+1)</f>
        <v/>
      </c>
    </row>
    <row r="195">
      <c r="A195" s="74" t="inlineStr">
        <is>
          <t>Cohort month 60</t>
        </is>
      </c>
      <c r="B195" s="74" t="n">
        <v>60</v>
      </c>
      <c r="C195" s="17">
        <f>INDEX(Ops!$E$35:$BL$35,1,$B195)</f>
        <v/>
      </c>
    </row>
    <row r="196"/>
    <row r="197">
      <c r="A197" s="14" t="inlineStr">
        <is>
          <t>Recoveries by cohort (LCY)</t>
        </is>
      </c>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c r="AJ197" s="15" t="n"/>
      <c r="AK197" s="15" t="n"/>
      <c r="AL197" s="15" t="n"/>
      <c r="AM197" s="15" t="n"/>
      <c r="AN197" s="15" t="n"/>
      <c r="AO197" s="15" t="n"/>
      <c r="AP197" s="15" t="n"/>
      <c r="AQ197" s="15" t="n"/>
      <c r="AR197" s="15" t="n"/>
      <c r="AS197" s="15" t="n"/>
      <c r="AT197" s="15" t="n"/>
      <c r="AU197" s="15" t="n"/>
      <c r="AV197" s="15" t="n"/>
      <c r="AW197" s="15" t="n"/>
      <c r="AX197" s="15" t="n"/>
      <c r="AY197" s="15" t="n"/>
      <c r="AZ197" s="15" t="n"/>
      <c r="BA197" s="15" t="n"/>
      <c r="BB197" s="15" t="n"/>
      <c r="BC197" s="15" t="n"/>
      <c r="BD197" s="15" t="n"/>
      <c r="BE197" s="15" t="n"/>
      <c r="BF197" s="15" t="n"/>
      <c r="BG197" s="15" t="n"/>
      <c r="BH197" s="15" t="n"/>
      <c r="BI197" s="15" t="n"/>
      <c r="BJ197" s="15" t="n"/>
      <c r="BK197" s="15" t="n"/>
      <c r="BL197" s="15" t="n"/>
    </row>
    <row r="198">
      <c r="A198" s="60" t="inlineStr">
        <is>
          <t>Total</t>
        </is>
      </c>
      <c r="B198" s="61" t="inlineStr"/>
      <c r="C198" s="63" t="n"/>
      <c r="D198" s="63" t="n"/>
      <c r="E198" s="71">
        <f>SUM(E199:E258)</f>
        <v/>
      </c>
      <c r="F198" s="71">
        <f>SUM(F199:F258)</f>
        <v/>
      </c>
      <c r="G198" s="71">
        <f>SUM(G199:G258)</f>
        <v/>
      </c>
      <c r="H198" s="71">
        <f>SUM(H199:H258)</f>
        <v/>
      </c>
      <c r="I198" s="71">
        <f>SUM(I199:I258)</f>
        <v/>
      </c>
      <c r="J198" s="71">
        <f>SUM(J199:J258)</f>
        <v/>
      </c>
      <c r="K198" s="71">
        <f>SUM(K199:K258)</f>
        <v/>
      </c>
      <c r="L198" s="71">
        <f>SUM(L199:L258)</f>
        <v/>
      </c>
      <c r="M198" s="71">
        <f>SUM(M199:M258)</f>
        <v/>
      </c>
      <c r="N198" s="71">
        <f>SUM(N199:N258)</f>
        <v/>
      </c>
      <c r="O198" s="71">
        <f>SUM(O199:O258)</f>
        <v/>
      </c>
      <c r="P198" s="71">
        <f>SUM(P199:P258)</f>
        <v/>
      </c>
      <c r="Q198" s="71">
        <f>SUM(Q199:Q258)</f>
        <v/>
      </c>
      <c r="R198" s="71">
        <f>SUM(R199:R258)</f>
        <v/>
      </c>
      <c r="S198" s="71">
        <f>SUM(S199:S258)</f>
        <v/>
      </c>
      <c r="T198" s="71">
        <f>SUM(T199:T258)</f>
        <v/>
      </c>
      <c r="U198" s="71">
        <f>SUM(U199:U258)</f>
        <v/>
      </c>
      <c r="V198" s="71">
        <f>SUM(V199:V258)</f>
        <v/>
      </c>
      <c r="W198" s="71">
        <f>SUM(W199:W258)</f>
        <v/>
      </c>
      <c r="X198" s="71">
        <f>SUM(X199:X258)</f>
        <v/>
      </c>
      <c r="Y198" s="71">
        <f>SUM(Y199:Y258)</f>
        <v/>
      </c>
      <c r="Z198" s="71">
        <f>SUM(Z199:Z258)</f>
        <v/>
      </c>
      <c r="AA198" s="71">
        <f>SUM(AA199:AA258)</f>
        <v/>
      </c>
      <c r="AB198" s="71">
        <f>SUM(AB199:AB258)</f>
        <v/>
      </c>
      <c r="AC198" s="71">
        <f>SUM(AC199:AC258)</f>
        <v/>
      </c>
      <c r="AD198" s="71">
        <f>SUM(AD199:AD258)</f>
        <v/>
      </c>
      <c r="AE198" s="71">
        <f>SUM(AE199:AE258)</f>
        <v/>
      </c>
      <c r="AF198" s="71">
        <f>SUM(AF199:AF258)</f>
        <v/>
      </c>
      <c r="AG198" s="71">
        <f>SUM(AG199:AG258)</f>
        <v/>
      </c>
      <c r="AH198" s="71">
        <f>SUM(AH199:AH258)</f>
        <v/>
      </c>
      <c r="AI198" s="71">
        <f>SUM(AI199:AI258)</f>
        <v/>
      </c>
      <c r="AJ198" s="71">
        <f>SUM(AJ199:AJ258)</f>
        <v/>
      </c>
      <c r="AK198" s="71">
        <f>SUM(AK199:AK258)</f>
        <v/>
      </c>
      <c r="AL198" s="71">
        <f>SUM(AL199:AL258)</f>
        <v/>
      </c>
      <c r="AM198" s="71">
        <f>SUM(AM199:AM258)</f>
        <v/>
      </c>
      <c r="AN198" s="71">
        <f>SUM(AN199:AN258)</f>
        <v/>
      </c>
      <c r="AO198" s="71">
        <f>SUM(AO199:AO258)</f>
        <v/>
      </c>
      <c r="AP198" s="71">
        <f>SUM(AP199:AP258)</f>
        <v/>
      </c>
      <c r="AQ198" s="71">
        <f>SUM(AQ199:AQ258)</f>
        <v/>
      </c>
      <c r="AR198" s="71">
        <f>SUM(AR199:AR258)</f>
        <v/>
      </c>
      <c r="AS198" s="71">
        <f>SUM(AS199:AS258)</f>
        <v/>
      </c>
      <c r="AT198" s="71">
        <f>SUM(AT199:AT258)</f>
        <v/>
      </c>
      <c r="AU198" s="71">
        <f>SUM(AU199:AU258)</f>
        <v/>
      </c>
      <c r="AV198" s="71">
        <f>SUM(AV199:AV258)</f>
        <v/>
      </c>
      <c r="AW198" s="71">
        <f>SUM(AW199:AW258)</f>
        <v/>
      </c>
      <c r="AX198" s="71">
        <f>SUM(AX199:AX258)</f>
        <v/>
      </c>
      <c r="AY198" s="71">
        <f>SUM(AY199:AY258)</f>
        <v/>
      </c>
      <c r="AZ198" s="71">
        <f>SUM(AZ199:AZ258)</f>
        <v/>
      </c>
      <c r="BA198" s="71">
        <f>SUM(BA199:BA258)</f>
        <v/>
      </c>
      <c r="BB198" s="71">
        <f>SUM(BB199:BB258)</f>
        <v/>
      </c>
      <c r="BC198" s="71">
        <f>SUM(BC199:BC258)</f>
        <v/>
      </c>
      <c r="BD198" s="71">
        <f>SUM(BD199:BD258)</f>
        <v/>
      </c>
      <c r="BE198" s="71">
        <f>SUM(BE199:BE258)</f>
        <v/>
      </c>
      <c r="BF198" s="71">
        <f>SUM(BF199:BF258)</f>
        <v/>
      </c>
      <c r="BG198" s="71">
        <f>SUM(BG199:BG258)</f>
        <v/>
      </c>
      <c r="BH198" s="71">
        <f>SUM(BH199:BH258)</f>
        <v/>
      </c>
      <c r="BI198" s="71">
        <f>SUM(BI199:BI258)</f>
        <v/>
      </c>
      <c r="BJ198" s="71">
        <f>SUM(BJ199:BJ258)</f>
        <v/>
      </c>
      <c r="BK198" s="71">
        <f>SUM(BK199:BK258)</f>
        <v/>
      </c>
      <c r="BL198" s="71">
        <f>SUM(BL199:BL258)</f>
        <v/>
      </c>
    </row>
    <row r="199">
      <c r="A199" s="74" t="inlineStr">
        <is>
          <t>Cohort month 1</t>
        </is>
      </c>
      <c r="B199" s="74" t="n">
        <v>1</v>
      </c>
      <c r="C199" s="17">
        <f>INDEX(Ops!$E$35:$BL$35,1,$B199)</f>
        <v/>
      </c>
      <c r="F199" s="75">
        <f>$C199*INDEX(Curves!$U$8:$U$68,F$4-$B199+1)</f>
        <v/>
      </c>
      <c r="G199" s="75">
        <f>$C199*INDEX(Curves!$U$8:$U$68,G$4-$B199+1)</f>
        <v/>
      </c>
      <c r="H199" s="75">
        <f>$C199*INDEX(Curves!$U$8:$U$68,H$4-$B199+1)</f>
        <v/>
      </c>
      <c r="I199" s="75">
        <f>$C199*INDEX(Curves!$U$8:$U$68,I$4-$B199+1)</f>
        <v/>
      </c>
      <c r="J199" s="75">
        <f>$C199*INDEX(Curves!$U$8:$U$68,J$4-$B199+1)</f>
        <v/>
      </c>
      <c r="K199" s="75">
        <f>$C199*INDEX(Curves!$U$8:$U$68,K$4-$B199+1)</f>
        <v/>
      </c>
      <c r="L199" s="75">
        <f>$C199*INDEX(Curves!$U$8:$U$68,L$4-$B199+1)</f>
        <v/>
      </c>
      <c r="M199" s="75">
        <f>$C199*INDEX(Curves!$U$8:$U$68,M$4-$B199+1)</f>
        <v/>
      </c>
      <c r="N199" s="75">
        <f>$C199*INDEX(Curves!$U$8:$U$68,N$4-$B199+1)</f>
        <v/>
      </c>
      <c r="O199" s="75">
        <f>$C199*INDEX(Curves!$U$8:$U$68,O$4-$B199+1)</f>
        <v/>
      </c>
      <c r="P199" s="75">
        <f>$C199*INDEX(Curves!$U$8:$U$68,P$4-$B199+1)</f>
        <v/>
      </c>
      <c r="Q199" s="75">
        <f>$C199*INDEX(Curves!$U$8:$U$68,Q$4-$B199+1)</f>
        <v/>
      </c>
      <c r="R199" s="75">
        <f>$C199*INDEX(Curves!$U$8:$U$68,R$4-$B199+1)</f>
        <v/>
      </c>
      <c r="S199" s="75">
        <f>$C199*INDEX(Curves!$U$8:$U$68,S$4-$B199+1)</f>
        <v/>
      </c>
      <c r="T199" s="75">
        <f>$C199*INDEX(Curves!$U$8:$U$68,T$4-$B199+1)</f>
        <v/>
      </c>
      <c r="U199" s="75">
        <f>$C199*INDEX(Curves!$U$8:$U$68,U$4-$B199+1)</f>
        <v/>
      </c>
      <c r="V199" s="75">
        <f>$C199*INDEX(Curves!$U$8:$U$68,V$4-$B199+1)</f>
        <v/>
      </c>
      <c r="W199" s="75">
        <f>$C199*INDEX(Curves!$U$8:$U$68,W$4-$B199+1)</f>
        <v/>
      </c>
      <c r="X199" s="75">
        <f>$C199*INDEX(Curves!$U$8:$U$68,X$4-$B199+1)</f>
        <v/>
      </c>
      <c r="Y199" s="75">
        <f>$C199*INDEX(Curves!$U$8:$U$68,Y$4-$B199+1)</f>
        <v/>
      </c>
      <c r="Z199" s="75">
        <f>$C199*INDEX(Curves!$U$8:$U$68,Z$4-$B199+1)</f>
        <v/>
      </c>
      <c r="AA199" s="75">
        <f>$C199*INDEX(Curves!$U$8:$U$68,AA$4-$B199+1)</f>
        <v/>
      </c>
      <c r="AB199" s="75">
        <f>$C199*INDEX(Curves!$U$8:$U$68,AB$4-$B199+1)</f>
        <v/>
      </c>
      <c r="AC199" s="75">
        <f>$C199*INDEX(Curves!$U$8:$U$68,AC$4-$B199+1)</f>
        <v/>
      </c>
      <c r="AD199" s="75">
        <f>$C199*INDEX(Curves!$U$8:$U$68,AD$4-$B199+1)</f>
        <v/>
      </c>
      <c r="AE199" s="75">
        <f>$C199*INDEX(Curves!$U$8:$U$68,AE$4-$B199+1)</f>
        <v/>
      </c>
      <c r="AF199" s="75">
        <f>$C199*INDEX(Curves!$U$8:$U$68,AF$4-$B199+1)</f>
        <v/>
      </c>
      <c r="AG199" s="75">
        <f>$C199*INDEX(Curves!$U$8:$U$68,AG$4-$B199+1)</f>
        <v/>
      </c>
      <c r="AH199" s="75">
        <f>$C199*INDEX(Curves!$U$8:$U$68,AH$4-$B199+1)</f>
        <v/>
      </c>
      <c r="AI199" s="75">
        <f>$C199*INDEX(Curves!$U$8:$U$68,AI$4-$B199+1)</f>
        <v/>
      </c>
      <c r="AJ199" s="75">
        <f>$C199*INDEX(Curves!$U$8:$U$68,AJ$4-$B199+1)</f>
        <v/>
      </c>
      <c r="AK199" s="75">
        <f>$C199*INDEX(Curves!$U$8:$U$68,AK$4-$B199+1)</f>
        <v/>
      </c>
      <c r="AL199" s="75">
        <f>$C199*INDEX(Curves!$U$8:$U$68,AL$4-$B199+1)</f>
        <v/>
      </c>
      <c r="AM199" s="75">
        <f>$C199*INDEX(Curves!$U$8:$U$68,AM$4-$B199+1)</f>
        <v/>
      </c>
      <c r="AN199" s="75">
        <f>$C199*INDEX(Curves!$U$8:$U$68,AN$4-$B199+1)</f>
        <v/>
      </c>
      <c r="AO199" s="75">
        <f>$C199*INDEX(Curves!$U$8:$U$68,AO$4-$B199+1)</f>
        <v/>
      </c>
      <c r="AP199" s="75">
        <f>$C199*INDEX(Curves!$U$8:$U$68,AP$4-$B199+1)</f>
        <v/>
      </c>
      <c r="AQ199" s="75">
        <f>$C199*INDEX(Curves!$U$8:$U$68,AQ$4-$B199+1)</f>
        <v/>
      </c>
      <c r="AR199" s="75">
        <f>$C199*INDEX(Curves!$U$8:$U$68,AR$4-$B199+1)</f>
        <v/>
      </c>
      <c r="AS199" s="75">
        <f>$C199*INDEX(Curves!$U$8:$U$68,AS$4-$B199+1)</f>
        <v/>
      </c>
      <c r="AT199" s="75">
        <f>$C199*INDEX(Curves!$U$8:$U$68,AT$4-$B199+1)</f>
        <v/>
      </c>
      <c r="AU199" s="75">
        <f>$C199*INDEX(Curves!$U$8:$U$68,AU$4-$B199+1)</f>
        <v/>
      </c>
      <c r="AV199" s="75">
        <f>$C199*INDEX(Curves!$U$8:$U$68,AV$4-$B199+1)</f>
        <v/>
      </c>
      <c r="AW199" s="75">
        <f>$C199*INDEX(Curves!$U$8:$U$68,AW$4-$B199+1)</f>
        <v/>
      </c>
      <c r="AX199" s="75">
        <f>$C199*INDEX(Curves!$U$8:$U$68,AX$4-$B199+1)</f>
        <v/>
      </c>
      <c r="AY199" s="75">
        <f>$C199*INDEX(Curves!$U$8:$U$68,AY$4-$B199+1)</f>
        <v/>
      </c>
      <c r="AZ199" s="75">
        <f>$C199*INDEX(Curves!$U$8:$U$68,AZ$4-$B199+1)</f>
        <v/>
      </c>
      <c r="BA199" s="75">
        <f>$C199*INDEX(Curves!$U$8:$U$68,BA$4-$B199+1)</f>
        <v/>
      </c>
      <c r="BB199" s="75">
        <f>$C199*INDEX(Curves!$U$8:$U$68,BB$4-$B199+1)</f>
        <v/>
      </c>
      <c r="BC199" s="75">
        <f>$C199*INDEX(Curves!$U$8:$U$68,BC$4-$B199+1)</f>
        <v/>
      </c>
      <c r="BD199" s="75">
        <f>$C199*INDEX(Curves!$U$8:$U$68,BD$4-$B199+1)</f>
        <v/>
      </c>
      <c r="BE199" s="75">
        <f>$C199*INDEX(Curves!$U$8:$U$68,BE$4-$B199+1)</f>
        <v/>
      </c>
      <c r="BF199" s="75">
        <f>$C199*INDEX(Curves!$U$8:$U$68,BF$4-$B199+1)</f>
        <v/>
      </c>
      <c r="BG199" s="75">
        <f>$C199*INDEX(Curves!$U$8:$U$68,BG$4-$B199+1)</f>
        <v/>
      </c>
      <c r="BH199" s="75">
        <f>$C199*INDEX(Curves!$U$8:$U$68,BH$4-$B199+1)</f>
        <v/>
      </c>
      <c r="BI199" s="75">
        <f>$C199*INDEX(Curves!$U$8:$U$68,BI$4-$B199+1)</f>
        <v/>
      </c>
      <c r="BJ199" s="75">
        <f>$C199*INDEX(Curves!$U$8:$U$68,BJ$4-$B199+1)</f>
        <v/>
      </c>
      <c r="BK199" s="75">
        <f>$C199*INDEX(Curves!$U$8:$U$68,BK$4-$B199+1)</f>
        <v/>
      </c>
      <c r="BL199" s="75">
        <f>$C199*INDEX(Curves!$U$8:$U$68,BL$4-$B199+1)</f>
        <v/>
      </c>
    </row>
    <row r="200">
      <c r="A200" s="74" t="inlineStr">
        <is>
          <t>Cohort month 2</t>
        </is>
      </c>
      <c r="B200" s="74" t="n">
        <v>2</v>
      </c>
      <c r="C200" s="17">
        <f>INDEX(Ops!$E$35:$BL$35,1,$B200)</f>
        <v/>
      </c>
      <c r="G200" s="75">
        <f>$C200*INDEX(Curves!$U$8:$U$68,G$4-$B200+1)</f>
        <v/>
      </c>
      <c r="H200" s="75">
        <f>$C200*INDEX(Curves!$U$8:$U$68,H$4-$B200+1)</f>
        <v/>
      </c>
      <c r="I200" s="75">
        <f>$C200*INDEX(Curves!$U$8:$U$68,I$4-$B200+1)</f>
        <v/>
      </c>
      <c r="J200" s="75">
        <f>$C200*INDEX(Curves!$U$8:$U$68,J$4-$B200+1)</f>
        <v/>
      </c>
      <c r="K200" s="75">
        <f>$C200*INDEX(Curves!$U$8:$U$68,K$4-$B200+1)</f>
        <v/>
      </c>
      <c r="L200" s="75">
        <f>$C200*INDEX(Curves!$U$8:$U$68,L$4-$B200+1)</f>
        <v/>
      </c>
      <c r="M200" s="75">
        <f>$C200*INDEX(Curves!$U$8:$U$68,M$4-$B200+1)</f>
        <v/>
      </c>
      <c r="N200" s="75">
        <f>$C200*INDEX(Curves!$U$8:$U$68,N$4-$B200+1)</f>
        <v/>
      </c>
      <c r="O200" s="75">
        <f>$C200*INDEX(Curves!$U$8:$U$68,O$4-$B200+1)</f>
        <v/>
      </c>
      <c r="P200" s="75">
        <f>$C200*INDEX(Curves!$U$8:$U$68,P$4-$B200+1)</f>
        <v/>
      </c>
      <c r="Q200" s="75">
        <f>$C200*INDEX(Curves!$U$8:$U$68,Q$4-$B200+1)</f>
        <v/>
      </c>
      <c r="R200" s="75">
        <f>$C200*INDEX(Curves!$U$8:$U$68,R$4-$B200+1)</f>
        <v/>
      </c>
      <c r="S200" s="75">
        <f>$C200*INDEX(Curves!$U$8:$U$68,S$4-$B200+1)</f>
        <v/>
      </c>
      <c r="T200" s="75">
        <f>$C200*INDEX(Curves!$U$8:$U$68,T$4-$B200+1)</f>
        <v/>
      </c>
      <c r="U200" s="75">
        <f>$C200*INDEX(Curves!$U$8:$U$68,U$4-$B200+1)</f>
        <v/>
      </c>
      <c r="V200" s="75">
        <f>$C200*INDEX(Curves!$U$8:$U$68,V$4-$B200+1)</f>
        <v/>
      </c>
      <c r="W200" s="75">
        <f>$C200*INDEX(Curves!$U$8:$U$68,W$4-$B200+1)</f>
        <v/>
      </c>
      <c r="X200" s="75">
        <f>$C200*INDEX(Curves!$U$8:$U$68,X$4-$B200+1)</f>
        <v/>
      </c>
      <c r="Y200" s="75">
        <f>$C200*INDEX(Curves!$U$8:$U$68,Y$4-$B200+1)</f>
        <v/>
      </c>
      <c r="Z200" s="75">
        <f>$C200*INDEX(Curves!$U$8:$U$68,Z$4-$B200+1)</f>
        <v/>
      </c>
      <c r="AA200" s="75">
        <f>$C200*INDEX(Curves!$U$8:$U$68,AA$4-$B200+1)</f>
        <v/>
      </c>
      <c r="AB200" s="75">
        <f>$C200*INDEX(Curves!$U$8:$U$68,AB$4-$B200+1)</f>
        <v/>
      </c>
      <c r="AC200" s="75">
        <f>$C200*INDEX(Curves!$U$8:$U$68,AC$4-$B200+1)</f>
        <v/>
      </c>
      <c r="AD200" s="75">
        <f>$C200*INDEX(Curves!$U$8:$U$68,AD$4-$B200+1)</f>
        <v/>
      </c>
      <c r="AE200" s="75">
        <f>$C200*INDEX(Curves!$U$8:$U$68,AE$4-$B200+1)</f>
        <v/>
      </c>
      <c r="AF200" s="75">
        <f>$C200*INDEX(Curves!$U$8:$U$68,AF$4-$B200+1)</f>
        <v/>
      </c>
      <c r="AG200" s="75">
        <f>$C200*INDEX(Curves!$U$8:$U$68,AG$4-$B200+1)</f>
        <v/>
      </c>
      <c r="AH200" s="75">
        <f>$C200*INDEX(Curves!$U$8:$U$68,AH$4-$B200+1)</f>
        <v/>
      </c>
      <c r="AI200" s="75">
        <f>$C200*INDEX(Curves!$U$8:$U$68,AI$4-$B200+1)</f>
        <v/>
      </c>
      <c r="AJ200" s="75">
        <f>$C200*INDEX(Curves!$U$8:$U$68,AJ$4-$B200+1)</f>
        <v/>
      </c>
      <c r="AK200" s="75">
        <f>$C200*INDEX(Curves!$U$8:$U$68,AK$4-$B200+1)</f>
        <v/>
      </c>
      <c r="AL200" s="75">
        <f>$C200*INDEX(Curves!$U$8:$U$68,AL$4-$B200+1)</f>
        <v/>
      </c>
      <c r="AM200" s="75">
        <f>$C200*INDEX(Curves!$U$8:$U$68,AM$4-$B200+1)</f>
        <v/>
      </c>
      <c r="AN200" s="75">
        <f>$C200*INDEX(Curves!$U$8:$U$68,AN$4-$B200+1)</f>
        <v/>
      </c>
      <c r="AO200" s="75">
        <f>$C200*INDEX(Curves!$U$8:$U$68,AO$4-$B200+1)</f>
        <v/>
      </c>
      <c r="AP200" s="75">
        <f>$C200*INDEX(Curves!$U$8:$U$68,AP$4-$B200+1)</f>
        <v/>
      </c>
      <c r="AQ200" s="75">
        <f>$C200*INDEX(Curves!$U$8:$U$68,AQ$4-$B200+1)</f>
        <v/>
      </c>
      <c r="AR200" s="75">
        <f>$C200*INDEX(Curves!$U$8:$U$68,AR$4-$B200+1)</f>
        <v/>
      </c>
      <c r="AS200" s="75">
        <f>$C200*INDEX(Curves!$U$8:$U$68,AS$4-$B200+1)</f>
        <v/>
      </c>
      <c r="AT200" s="75">
        <f>$C200*INDEX(Curves!$U$8:$U$68,AT$4-$B200+1)</f>
        <v/>
      </c>
      <c r="AU200" s="75">
        <f>$C200*INDEX(Curves!$U$8:$U$68,AU$4-$B200+1)</f>
        <v/>
      </c>
      <c r="AV200" s="75">
        <f>$C200*INDEX(Curves!$U$8:$U$68,AV$4-$B200+1)</f>
        <v/>
      </c>
      <c r="AW200" s="75">
        <f>$C200*INDEX(Curves!$U$8:$U$68,AW$4-$B200+1)</f>
        <v/>
      </c>
      <c r="AX200" s="75">
        <f>$C200*INDEX(Curves!$U$8:$U$68,AX$4-$B200+1)</f>
        <v/>
      </c>
      <c r="AY200" s="75">
        <f>$C200*INDEX(Curves!$U$8:$U$68,AY$4-$B200+1)</f>
        <v/>
      </c>
      <c r="AZ200" s="75">
        <f>$C200*INDEX(Curves!$U$8:$U$68,AZ$4-$B200+1)</f>
        <v/>
      </c>
      <c r="BA200" s="75">
        <f>$C200*INDEX(Curves!$U$8:$U$68,BA$4-$B200+1)</f>
        <v/>
      </c>
      <c r="BB200" s="75">
        <f>$C200*INDEX(Curves!$U$8:$U$68,BB$4-$B200+1)</f>
        <v/>
      </c>
      <c r="BC200" s="75">
        <f>$C200*INDEX(Curves!$U$8:$U$68,BC$4-$B200+1)</f>
        <v/>
      </c>
      <c r="BD200" s="75">
        <f>$C200*INDEX(Curves!$U$8:$U$68,BD$4-$B200+1)</f>
        <v/>
      </c>
      <c r="BE200" s="75">
        <f>$C200*INDEX(Curves!$U$8:$U$68,BE$4-$B200+1)</f>
        <v/>
      </c>
      <c r="BF200" s="75">
        <f>$C200*INDEX(Curves!$U$8:$U$68,BF$4-$B200+1)</f>
        <v/>
      </c>
      <c r="BG200" s="75">
        <f>$C200*INDEX(Curves!$U$8:$U$68,BG$4-$B200+1)</f>
        <v/>
      </c>
      <c r="BH200" s="75">
        <f>$C200*INDEX(Curves!$U$8:$U$68,BH$4-$B200+1)</f>
        <v/>
      </c>
      <c r="BI200" s="75">
        <f>$C200*INDEX(Curves!$U$8:$U$68,BI$4-$B200+1)</f>
        <v/>
      </c>
      <c r="BJ200" s="75">
        <f>$C200*INDEX(Curves!$U$8:$U$68,BJ$4-$B200+1)</f>
        <v/>
      </c>
      <c r="BK200" s="75">
        <f>$C200*INDEX(Curves!$U$8:$U$68,BK$4-$B200+1)</f>
        <v/>
      </c>
      <c r="BL200" s="75">
        <f>$C200*INDEX(Curves!$U$8:$U$68,BL$4-$B200+1)</f>
        <v/>
      </c>
    </row>
    <row r="201">
      <c r="A201" s="74" t="inlineStr">
        <is>
          <t>Cohort month 3</t>
        </is>
      </c>
      <c r="B201" s="74" t="n">
        <v>3</v>
      </c>
      <c r="C201" s="17">
        <f>INDEX(Ops!$E$35:$BL$35,1,$B201)</f>
        <v/>
      </c>
      <c r="H201" s="75">
        <f>$C201*INDEX(Curves!$U$8:$U$68,H$4-$B201+1)</f>
        <v/>
      </c>
      <c r="I201" s="75">
        <f>$C201*INDEX(Curves!$U$8:$U$68,I$4-$B201+1)</f>
        <v/>
      </c>
      <c r="J201" s="75">
        <f>$C201*INDEX(Curves!$U$8:$U$68,J$4-$B201+1)</f>
        <v/>
      </c>
      <c r="K201" s="75">
        <f>$C201*INDEX(Curves!$U$8:$U$68,K$4-$B201+1)</f>
        <v/>
      </c>
      <c r="L201" s="75">
        <f>$C201*INDEX(Curves!$U$8:$U$68,L$4-$B201+1)</f>
        <v/>
      </c>
      <c r="M201" s="75">
        <f>$C201*INDEX(Curves!$U$8:$U$68,M$4-$B201+1)</f>
        <v/>
      </c>
      <c r="N201" s="75">
        <f>$C201*INDEX(Curves!$U$8:$U$68,N$4-$B201+1)</f>
        <v/>
      </c>
      <c r="O201" s="75">
        <f>$C201*INDEX(Curves!$U$8:$U$68,O$4-$B201+1)</f>
        <v/>
      </c>
      <c r="P201" s="75">
        <f>$C201*INDEX(Curves!$U$8:$U$68,P$4-$B201+1)</f>
        <v/>
      </c>
      <c r="Q201" s="75">
        <f>$C201*INDEX(Curves!$U$8:$U$68,Q$4-$B201+1)</f>
        <v/>
      </c>
      <c r="R201" s="75">
        <f>$C201*INDEX(Curves!$U$8:$U$68,R$4-$B201+1)</f>
        <v/>
      </c>
      <c r="S201" s="75">
        <f>$C201*INDEX(Curves!$U$8:$U$68,S$4-$B201+1)</f>
        <v/>
      </c>
      <c r="T201" s="75">
        <f>$C201*INDEX(Curves!$U$8:$U$68,T$4-$B201+1)</f>
        <v/>
      </c>
      <c r="U201" s="75">
        <f>$C201*INDEX(Curves!$U$8:$U$68,U$4-$B201+1)</f>
        <v/>
      </c>
      <c r="V201" s="75">
        <f>$C201*INDEX(Curves!$U$8:$U$68,V$4-$B201+1)</f>
        <v/>
      </c>
      <c r="W201" s="75">
        <f>$C201*INDEX(Curves!$U$8:$U$68,W$4-$B201+1)</f>
        <v/>
      </c>
      <c r="X201" s="75">
        <f>$C201*INDEX(Curves!$U$8:$U$68,X$4-$B201+1)</f>
        <v/>
      </c>
      <c r="Y201" s="75">
        <f>$C201*INDEX(Curves!$U$8:$U$68,Y$4-$B201+1)</f>
        <v/>
      </c>
      <c r="Z201" s="75">
        <f>$C201*INDEX(Curves!$U$8:$U$68,Z$4-$B201+1)</f>
        <v/>
      </c>
      <c r="AA201" s="75">
        <f>$C201*INDEX(Curves!$U$8:$U$68,AA$4-$B201+1)</f>
        <v/>
      </c>
      <c r="AB201" s="75">
        <f>$C201*INDEX(Curves!$U$8:$U$68,AB$4-$B201+1)</f>
        <v/>
      </c>
      <c r="AC201" s="75">
        <f>$C201*INDEX(Curves!$U$8:$U$68,AC$4-$B201+1)</f>
        <v/>
      </c>
      <c r="AD201" s="75">
        <f>$C201*INDEX(Curves!$U$8:$U$68,AD$4-$B201+1)</f>
        <v/>
      </c>
      <c r="AE201" s="75">
        <f>$C201*INDEX(Curves!$U$8:$U$68,AE$4-$B201+1)</f>
        <v/>
      </c>
      <c r="AF201" s="75">
        <f>$C201*INDEX(Curves!$U$8:$U$68,AF$4-$B201+1)</f>
        <v/>
      </c>
      <c r="AG201" s="75">
        <f>$C201*INDEX(Curves!$U$8:$U$68,AG$4-$B201+1)</f>
        <v/>
      </c>
      <c r="AH201" s="75">
        <f>$C201*INDEX(Curves!$U$8:$U$68,AH$4-$B201+1)</f>
        <v/>
      </c>
      <c r="AI201" s="75">
        <f>$C201*INDEX(Curves!$U$8:$U$68,AI$4-$B201+1)</f>
        <v/>
      </c>
      <c r="AJ201" s="75">
        <f>$C201*INDEX(Curves!$U$8:$U$68,AJ$4-$B201+1)</f>
        <v/>
      </c>
      <c r="AK201" s="75">
        <f>$C201*INDEX(Curves!$U$8:$U$68,AK$4-$B201+1)</f>
        <v/>
      </c>
      <c r="AL201" s="75">
        <f>$C201*INDEX(Curves!$U$8:$U$68,AL$4-$B201+1)</f>
        <v/>
      </c>
      <c r="AM201" s="75">
        <f>$C201*INDEX(Curves!$U$8:$U$68,AM$4-$B201+1)</f>
        <v/>
      </c>
      <c r="AN201" s="75">
        <f>$C201*INDEX(Curves!$U$8:$U$68,AN$4-$B201+1)</f>
        <v/>
      </c>
      <c r="AO201" s="75">
        <f>$C201*INDEX(Curves!$U$8:$U$68,AO$4-$B201+1)</f>
        <v/>
      </c>
      <c r="AP201" s="75">
        <f>$C201*INDEX(Curves!$U$8:$U$68,AP$4-$B201+1)</f>
        <v/>
      </c>
      <c r="AQ201" s="75">
        <f>$C201*INDEX(Curves!$U$8:$U$68,AQ$4-$B201+1)</f>
        <v/>
      </c>
      <c r="AR201" s="75">
        <f>$C201*INDEX(Curves!$U$8:$U$68,AR$4-$B201+1)</f>
        <v/>
      </c>
      <c r="AS201" s="75">
        <f>$C201*INDEX(Curves!$U$8:$U$68,AS$4-$B201+1)</f>
        <v/>
      </c>
      <c r="AT201" s="75">
        <f>$C201*INDEX(Curves!$U$8:$U$68,AT$4-$B201+1)</f>
        <v/>
      </c>
      <c r="AU201" s="75">
        <f>$C201*INDEX(Curves!$U$8:$U$68,AU$4-$B201+1)</f>
        <v/>
      </c>
      <c r="AV201" s="75">
        <f>$C201*INDEX(Curves!$U$8:$U$68,AV$4-$B201+1)</f>
        <v/>
      </c>
      <c r="AW201" s="75">
        <f>$C201*INDEX(Curves!$U$8:$U$68,AW$4-$B201+1)</f>
        <v/>
      </c>
      <c r="AX201" s="75">
        <f>$C201*INDEX(Curves!$U$8:$U$68,AX$4-$B201+1)</f>
        <v/>
      </c>
      <c r="AY201" s="75">
        <f>$C201*INDEX(Curves!$U$8:$U$68,AY$4-$B201+1)</f>
        <v/>
      </c>
      <c r="AZ201" s="75">
        <f>$C201*INDEX(Curves!$U$8:$U$68,AZ$4-$B201+1)</f>
        <v/>
      </c>
      <c r="BA201" s="75">
        <f>$C201*INDEX(Curves!$U$8:$U$68,BA$4-$B201+1)</f>
        <v/>
      </c>
      <c r="BB201" s="75">
        <f>$C201*INDEX(Curves!$U$8:$U$68,BB$4-$B201+1)</f>
        <v/>
      </c>
      <c r="BC201" s="75">
        <f>$C201*INDEX(Curves!$U$8:$U$68,BC$4-$B201+1)</f>
        <v/>
      </c>
      <c r="BD201" s="75">
        <f>$C201*INDEX(Curves!$U$8:$U$68,BD$4-$B201+1)</f>
        <v/>
      </c>
      <c r="BE201" s="75">
        <f>$C201*INDEX(Curves!$U$8:$U$68,BE$4-$B201+1)</f>
        <v/>
      </c>
      <c r="BF201" s="75">
        <f>$C201*INDEX(Curves!$U$8:$U$68,BF$4-$B201+1)</f>
        <v/>
      </c>
      <c r="BG201" s="75">
        <f>$C201*INDEX(Curves!$U$8:$U$68,BG$4-$B201+1)</f>
        <v/>
      </c>
      <c r="BH201" s="75">
        <f>$C201*INDEX(Curves!$U$8:$U$68,BH$4-$B201+1)</f>
        <v/>
      </c>
      <c r="BI201" s="75">
        <f>$C201*INDEX(Curves!$U$8:$U$68,BI$4-$B201+1)</f>
        <v/>
      </c>
      <c r="BJ201" s="75">
        <f>$C201*INDEX(Curves!$U$8:$U$68,BJ$4-$B201+1)</f>
        <v/>
      </c>
      <c r="BK201" s="75">
        <f>$C201*INDEX(Curves!$U$8:$U$68,BK$4-$B201+1)</f>
        <v/>
      </c>
      <c r="BL201" s="75">
        <f>$C201*INDEX(Curves!$U$8:$U$68,BL$4-$B201+1)</f>
        <v/>
      </c>
    </row>
    <row r="202">
      <c r="A202" s="74" t="inlineStr">
        <is>
          <t>Cohort month 4</t>
        </is>
      </c>
      <c r="B202" s="74" t="n">
        <v>4</v>
      </c>
      <c r="C202" s="17">
        <f>INDEX(Ops!$E$35:$BL$35,1,$B202)</f>
        <v/>
      </c>
      <c r="I202" s="75">
        <f>$C202*INDEX(Curves!$U$8:$U$68,I$4-$B202+1)</f>
        <v/>
      </c>
      <c r="J202" s="75">
        <f>$C202*INDEX(Curves!$U$8:$U$68,J$4-$B202+1)</f>
        <v/>
      </c>
      <c r="K202" s="75">
        <f>$C202*INDEX(Curves!$U$8:$U$68,K$4-$B202+1)</f>
        <v/>
      </c>
      <c r="L202" s="75">
        <f>$C202*INDEX(Curves!$U$8:$U$68,L$4-$B202+1)</f>
        <v/>
      </c>
      <c r="M202" s="75">
        <f>$C202*INDEX(Curves!$U$8:$U$68,M$4-$B202+1)</f>
        <v/>
      </c>
      <c r="N202" s="75">
        <f>$C202*INDEX(Curves!$U$8:$U$68,N$4-$B202+1)</f>
        <v/>
      </c>
      <c r="O202" s="75">
        <f>$C202*INDEX(Curves!$U$8:$U$68,O$4-$B202+1)</f>
        <v/>
      </c>
      <c r="P202" s="75">
        <f>$C202*INDEX(Curves!$U$8:$U$68,P$4-$B202+1)</f>
        <v/>
      </c>
      <c r="Q202" s="75">
        <f>$C202*INDEX(Curves!$U$8:$U$68,Q$4-$B202+1)</f>
        <v/>
      </c>
      <c r="R202" s="75">
        <f>$C202*INDEX(Curves!$U$8:$U$68,R$4-$B202+1)</f>
        <v/>
      </c>
      <c r="S202" s="75">
        <f>$C202*INDEX(Curves!$U$8:$U$68,S$4-$B202+1)</f>
        <v/>
      </c>
      <c r="T202" s="75">
        <f>$C202*INDEX(Curves!$U$8:$U$68,T$4-$B202+1)</f>
        <v/>
      </c>
      <c r="U202" s="75">
        <f>$C202*INDEX(Curves!$U$8:$U$68,U$4-$B202+1)</f>
        <v/>
      </c>
      <c r="V202" s="75">
        <f>$C202*INDEX(Curves!$U$8:$U$68,V$4-$B202+1)</f>
        <v/>
      </c>
      <c r="W202" s="75">
        <f>$C202*INDEX(Curves!$U$8:$U$68,W$4-$B202+1)</f>
        <v/>
      </c>
      <c r="X202" s="75">
        <f>$C202*INDEX(Curves!$U$8:$U$68,X$4-$B202+1)</f>
        <v/>
      </c>
      <c r="Y202" s="75">
        <f>$C202*INDEX(Curves!$U$8:$U$68,Y$4-$B202+1)</f>
        <v/>
      </c>
      <c r="Z202" s="75">
        <f>$C202*INDEX(Curves!$U$8:$U$68,Z$4-$B202+1)</f>
        <v/>
      </c>
      <c r="AA202" s="75">
        <f>$C202*INDEX(Curves!$U$8:$U$68,AA$4-$B202+1)</f>
        <v/>
      </c>
      <c r="AB202" s="75">
        <f>$C202*INDEX(Curves!$U$8:$U$68,AB$4-$B202+1)</f>
        <v/>
      </c>
      <c r="AC202" s="75">
        <f>$C202*INDEX(Curves!$U$8:$U$68,AC$4-$B202+1)</f>
        <v/>
      </c>
      <c r="AD202" s="75">
        <f>$C202*INDEX(Curves!$U$8:$U$68,AD$4-$B202+1)</f>
        <v/>
      </c>
      <c r="AE202" s="75">
        <f>$C202*INDEX(Curves!$U$8:$U$68,AE$4-$B202+1)</f>
        <v/>
      </c>
      <c r="AF202" s="75">
        <f>$C202*INDEX(Curves!$U$8:$U$68,AF$4-$B202+1)</f>
        <v/>
      </c>
      <c r="AG202" s="75">
        <f>$C202*INDEX(Curves!$U$8:$U$68,AG$4-$B202+1)</f>
        <v/>
      </c>
      <c r="AH202" s="75">
        <f>$C202*INDEX(Curves!$U$8:$U$68,AH$4-$B202+1)</f>
        <v/>
      </c>
      <c r="AI202" s="75">
        <f>$C202*INDEX(Curves!$U$8:$U$68,AI$4-$B202+1)</f>
        <v/>
      </c>
      <c r="AJ202" s="75">
        <f>$C202*INDEX(Curves!$U$8:$U$68,AJ$4-$B202+1)</f>
        <v/>
      </c>
      <c r="AK202" s="75">
        <f>$C202*INDEX(Curves!$U$8:$U$68,AK$4-$B202+1)</f>
        <v/>
      </c>
      <c r="AL202" s="75">
        <f>$C202*INDEX(Curves!$U$8:$U$68,AL$4-$B202+1)</f>
        <v/>
      </c>
      <c r="AM202" s="75">
        <f>$C202*INDEX(Curves!$U$8:$U$68,AM$4-$B202+1)</f>
        <v/>
      </c>
      <c r="AN202" s="75">
        <f>$C202*INDEX(Curves!$U$8:$U$68,AN$4-$B202+1)</f>
        <v/>
      </c>
      <c r="AO202" s="75">
        <f>$C202*INDEX(Curves!$U$8:$U$68,AO$4-$B202+1)</f>
        <v/>
      </c>
      <c r="AP202" s="75">
        <f>$C202*INDEX(Curves!$U$8:$U$68,AP$4-$B202+1)</f>
        <v/>
      </c>
      <c r="AQ202" s="75">
        <f>$C202*INDEX(Curves!$U$8:$U$68,AQ$4-$B202+1)</f>
        <v/>
      </c>
      <c r="AR202" s="75">
        <f>$C202*INDEX(Curves!$U$8:$U$68,AR$4-$B202+1)</f>
        <v/>
      </c>
      <c r="AS202" s="75">
        <f>$C202*INDEX(Curves!$U$8:$U$68,AS$4-$B202+1)</f>
        <v/>
      </c>
      <c r="AT202" s="75">
        <f>$C202*INDEX(Curves!$U$8:$U$68,AT$4-$B202+1)</f>
        <v/>
      </c>
      <c r="AU202" s="75">
        <f>$C202*INDEX(Curves!$U$8:$U$68,AU$4-$B202+1)</f>
        <v/>
      </c>
      <c r="AV202" s="75">
        <f>$C202*INDEX(Curves!$U$8:$U$68,AV$4-$B202+1)</f>
        <v/>
      </c>
      <c r="AW202" s="75">
        <f>$C202*INDEX(Curves!$U$8:$U$68,AW$4-$B202+1)</f>
        <v/>
      </c>
      <c r="AX202" s="75">
        <f>$C202*INDEX(Curves!$U$8:$U$68,AX$4-$B202+1)</f>
        <v/>
      </c>
      <c r="AY202" s="75">
        <f>$C202*INDEX(Curves!$U$8:$U$68,AY$4-$B202+1)</f>
        <v/>
      </c>
      <c r="AZ202" s="75">
        <f>$C202*INDEX(Curves!$U$8:$U$68,AZ$4-$B202+1)</f>
        <v/>
      </c>
      <c r="BA202" s="75">
        <f>$C202*INDEX(Curves!$U$8:$U$68,BA$4-$B202+1)</f>
        <v/>
      </c>
      <c r="BB202" s="75">
        <f>$C202*INDEX(Curves!$U$8:$U$68,BB$4-$B202+1)</f>
        <v/>
      </c>
      <c r="BC202" s="75">
        <f>$C202*INDEX(Curves!$U$8:$U$68,BC$4-$B202+1)</f>
        <v/>
      </c>
      <c r="BD202" s="75">
        <f>$C202*INDEX(Curves!$U$8:$U$68,BD$4-$B202+1)</f>
        <v/>
      </c>
      <c r="BE202" s="75">
        <f>$C202*INDEX(Curves!$U$8:$U$68,BE$4-$B202+1)</f>
        <v/>
      </c>
      <c r="BF202" s="75">
        <f>$C202*INDEX(Curves!$U$8:$U$68,BF$4-$B202+1)</f>
        <v/>
      </c>
      <c r="BG202" s="75">
        <f>$C202*INDEX(Curves!$U$8:$U$68,BG$4-$B202+1)</f>
        <v/>
      </c>
      <c r="BH202" s="75">
        <f>$C202*INDEX(Curves!$U$8:$U$68,BH$4-$B202+1)</f>
        <v/>
      </c>
      <c r="BI202" s="75">
        <f>$C202*INDEX(Curves!$U$8:$U$68,BI$4-$B202+1)</f>
        <v/>
      </c>
      <c r="BJ202" s="75">
        <f>$C202*INDEX(Curves!$U$8:$U$68,BJ$4-$B202+1)</f>
        <v/>
      </c>
      <c r="BK202" s="75">
        <f>$C202*INDEX(Curves!$U$8:$U$68,BK$4-$B202+1)</f>
        <v/>
      </c>
      <c r="BL202" s="75">
        <f>$C202*INDEX(Curves!$U$8:$U$68,BL$4-$B202+1)</f>
        <v/>
      </c>
    </row>
    <row r="203">
      <c r="A203" s="74" t="inlineStr">
        <is>
          <t>Cohort month 5</t>
        </is>
      </c>
      <c r="B203" s="74" t="n">
        <v>5</v>
      </c>
      <c r="C203" s="17">
        <f>INDEX(Ops!$E$35:$BL$35,1,$B203)</f>
        <v/>
      </c>
      <c r="J203" s="75">
        <f>$C203*INDEX(Curves!$U$8:$U$68,J$4-$B203+1)</f>
        <v/>
      </c>
      <c r="K203" s="75">
        <f>$C203*INDEX(Curves!$U$8:$U$68,K$4-$B203+1)</f>
        <v/>
      </c>
      <c r="L203" s="75">
        <f>$C203*INDEX(Curves!$U$8:$U$68,L$4-$B203+1)</f>
        <v/>
      </c>
      <c r="M203" s="75">
        <f>$C203*INDEX(Curves!$U$8:$U$68,M$4-$B203+1)</f>
        <v/>
      </c>
      <c r="N203" s="75">
        <f>$C203*INDEX(Curves!$U$8:$U$68,N$4-$B203+1)</f>
        <v/>
      </c>
      <c r="O203" s="75">
        <f>$C203*INDEX(Curves!$U$8:$U$68,O$4-$B203+1)</f>
        <v/>
      </c>
      <c r="P203" s="75">
        <f>$C203*INDEX(Curves!$U$8:$U$68,P$4-$B203+1)</f>
        <v/>
      </c>
      <c r="Q203" s="75">
        <f>$C203*INDEX(Curves!$U$8:$U$68,Q$4-$B203+1)</f>
        <v/>
      </c>
      <c r="R203" s="75">
        <f>$C203*INDEX(Curves!$U$8:$U$68,R$4-$B203+1)</f>
        <v/>
      </c>
      <c r="S203" s="75">
        <f>$C203*INDEX(Curves!$U$8:$U$68,S$4-$B203+1)</f>
        <v/>
      </c>
      <c r="T203" s="75">
        <f>$C203*INDEX(Curves!$U$8:$U$68,T$4-$B203+1)</f>
        <v/>
      </c>
      <c r="U203" s="75">
        <f>$C203*INDEX(Curves!$U$8:$U$68,U$4-$B203+1)</f>
        <v/>
      </c>
      <c r="V203" s="75">
        <f>$C203*INDEX(Curves!$U$8:$U$68,V$4-$B203+1)</f>
        <v/>
      </c>
      <c r="W203" s="75">
        <f>$C203*INDEX(Curves!$U$8:$U$68,W$4-$B203+1)</f>
        <v/>
      </c>
      <c r="X203" s="75">
        <f>$C203*INDEX(Curves!$U$8:$U$68,X$4-$B203+1)</f>
        <v/>
      </c>
      <c r="Y203" s="75">
        <f>$C203*INDEX(Curves!$U$8:$U$68,Y$4-$B203+1)</f>
        <v/>
      </c>
      <c r="Z203" s="75">
        <f>$C203*INDEX(Curves!$U$8:$U$68,Z$4-$B203+1)</f>
        <v/>
      </c>
      <c r="AA203" s="75">
        <f>$C203*INDEX(Curves!$U$8:$U$68,AA$4-$B203+1)</f>
        <v/>
      </c>
      <c r="AB203" s="75">
        <f>$C203*INDEX(Curves!$U$8:$U$68,AB$4-$B203+1)</f>
        <v/>
      </c>
      <c r="AC203" s="75">
        <f>$C203*INDEX(Curves!$U$8:$U$68,AC$4-$B203+1)</f>
        <v/>
      </c>
      <c r="AD203" s="75">
        <f>$C203*INDEX(Curves!$U$8:$U$68,AD$4-$B203+1)</f>
        <v/>
      </c>
      <c r="AE203" s="75">
        <f>$C203*INDEX(Curves!$U$8:$U$68,AE$4-$B203+1)</f>
        <v/>
      </c>
      <c r="AF203" s="75">
        <f>$C203*INDEX(Curves!$U$8:$U$68,AF$4-$B203+1)</f>
        <v/>
      </c>
      <c r="AG203" s="75">
        <f>$C203*INDEX(Curves!$U$8:$U$68,AG$4-$B203+1)</f>
        <v/>
      </c>
      <c r="AH203" s="75">
        <f>$C203*INDEX(Curves!$U$8:$U$68,AH$4-$B203+1)</f>
        <v/>
      </c>
      <c r="AI203" s="75">
        <f>$C203*INDEX(Curves!$U$8:$U$68,AI$4-$B203+1)</f>
        <v/>
      </c>
      <c r="AJ203" s="75">
        <f>$C203*INDEX(Curves!$U$8:$U$68,AJ$4-$B203+1)</f>
        <v/>
      </c>
      <c r="AK203" s="75">
        <f>$C203*INDEX(Curves!$U$8:$U$68,AK$4-$B203+1)</f>
        <v/>
      </c>
      <c r="AL203" s="75">
        <f>$C203*INDEX(Curves!$U$8:$U$68,AL$4-$B203+1)</f>
        <v/>
      </c>
      <c r="AM203" s="75">
        <f>$C203*INDEX(Curves!$U$8:$U$68,AM$4-$B203+1)</f>
        <v/>
      </c>
      <c r="AN203" s="75">
        <f>$C203*INDEX(Curves!$U$8:$U$68,AN$4-$B203+1)</f>
        <v/>
      </c>
      <c r="AO203" s="75">
        <f>$C203*INDEX(Curves!$U$8:$U$68,AO$4-$B203+1)</f>
        <v/>
      </c>
      <c r="AP203" s="75">
        <f>$C203*INDEX(Curves!$U$8:$U$68,AP$4-$B203+1)</f>
        <v/>
      </c>
      <c r="AQ203" s="75">
        <f>$C203*INDEX(Curves!$U$8:$U$68,AQ$4-$B203+1)</f>
        <v/>
      </c>
      <c r="AR203" s="75">
        <f>$C203*INDEX(Curves!$U$8:$U$68,AR$4-$B203+1)</f>
        <v/>
      </c>
      <c r="AS203" s="75">
        <f>$C203*INDEX(Curves!$U$8:$U$68,AS$4-$B203+1)</f>
        <v/>
      </c>
      <c r="AT203" s="75">
        <f>$C203*INDEX(Curves!$U$8:$U$68,AT$4-$B203+1)</f>
        <v/>
      </c>
      <c r="AU203" s="75">
        <f>$C203*INDEX(Curves!$U$8:$U$68,AU$4-$B203+1)</f>
        <v/>
      </c>
      <c r="AV203" s="75">
        <f>$C203*INDEX(Curves!$U$8:$U$68,AV$4-$B203+1)</f>
        <v/>
      </c>
      <c r="AW203" s="75">
        <f>$C203*INDEX(Curves!$U$8:$U$68,AW$4-$B203+1)</f>
        <v/>
      </c>
      <c r="AX203" s="75">
        <f>$C203*INDEX(Curves!$U$8:$U$68,AX$4-$B203+1)</f>
        <v/>
      </c>
      <c r="AY203" s="75">
        <f>$C203*INDEX(Curves!$U$8:$U$68,AY$4-$B203+1)</f>
        <v/>
      </c>
      <c r="AZ203" s="75">
        <f>$C203*INDEX(Curves!$U$8:$U$68,AZ$4-$B203+1)</f>
        <v/>
      </c>
      <c r="BA203" s="75">
        <f>$C203*INDEX(Curves!$U$8:$U$68,BA$4-$B203+1)</f>
        <v/>
      </c>
      <c r="BB203" s="75">
        <f>$C203*INDEX(Curves!$U$8:$U$68,BB$4-$B203+1)</f>
        <v/>
      </c>
      <c r="BC203" s="75">
        <f>$C203*INDEX(Curves!$U$8:$U$68,BC$4-$B203+1)</f>
        <v/>
      </c>
      <c r="BD203" s="75">
        <f>$C203*INDEX(Curves!$U$8:$U$68,BD$4-$B203+1)</f>
        <v/>
      </c>
      <c r="BE203" s="75">
        <f>$C203*INDEX(Curves!$U$8:$U$68,BE$4-$B203+1)</f>
        <v/>
      </c>
      <c r="BF203" s="75">
        <f>$C203*INDEX(Curves!$U$8:$U$68,BF$4-$B203+1)</f>
        <v/>
      </c>
      <c r="BG203" s="75">
        <f>$C203*INDEX(Curves!$U$8:$U$68,BG$4-$B203+1)</f>
        <v/>
      </c>
      <c r="BH203" s="75">
        <f>$C203*INDEX(Curves!$U$8:$U$68,BH$4-$B203+1)</f>
        <v/>
      </c>
      <c r="BI203" s="75">
        <f>$C203*INDEX(Curves!$U$8:$U$68,BI$4-$B203+1)</f>
        <v/>
      </c>
      <c r="BJ203" s="75">
        <f>$C203*INDEX(Curves!$U$8:$U$68,BJ$4-$B203+1)</f>
        <v/>
      </c>
      <c r="BK203" s="75">
        <f>$C203*INDEX(Curves!$U$8:$U$68,BK$4-$B203+1)</f>
        <v/>
      </c>
      <c r="BL203" s="75">
        <f>$C203*INDEX(Curves!$U$8:$U$68,BL$4-$B203+1)</f>
        <v/>
      </c>
    </row>
    <row r="204">
      <c r="A204" s="74" t="inlineStr">
        <is>
          <t>Cohort month 6</t>
        </is>
      </c>
      <c r="B204" s="74" t="n">
        <v>6</v>
      </c>
      <c r="C204" s="17">
        <f>INDEX(Ops!$E$35:$BL$35,1,$B204)</f>
        <v/>
      </c>
      <c r="K204" s="75">
        <f>$C204*INDEX(Curves!$U$8:$U$68,K$4-$B204+1)</f>
        <v/>
      </c>
      <c r="L204" s="75">
        <f>$C204*INDEX(Curves!$U$8:$U$68,L$4-$B204+1)</f>
        <v/>
      </c>
      <c r="M204" s="75">
        <f>$C204*INDEX(Curves!$U$8:$U$68,M$4-$B204+1)</f>
        <v/>
      </c>
      <c r="N204" s="75">
        <f>$C204*INDEX(Curves!$U$8:$U$68,N$4-$B204+1)</f>
        <v/>
      </c>
      <c r="O204" s="75">
        <f>$C204*INDEX(Curves!$U$8:$U$68,O$4-$B204+1)</f>
        <v/>
      </c>
      <c r="P204" s="75">
        <f>$C204*INDEX(Curves!$U$8:$U$68,P$4-$B204+1)</f>
        <v/>
      </c>
      <c r="Q204" s="75">
        <f>$C204*INDEX(Curves!$U$8:$U$68,Q$4-$B204+1)</f>
        <v/>
      </c>
      <c r="R204" s="75">
        <f>$C204*INDEX(Curves!$U$8:$U$68,R$4-$B204+1)</f>
        <v/>
      </c>
      <c r="S204" s="75">
        <f>$C204*INDEX(Curves!$U$8:$U$68,S$4-$B204+1)</f>
        <v/>
      </c>
      <c r="T204" s="75">
        <f>$C204*INDEX(Curves!$U$8:$U$68,T$4-$B204+1)</f>
        <v/>
      </c>
      <c r="U204" s="75">
        <f>$C204*INDEX(Curves!$U$8:$U$68,U$4-$B204+1)</f>
        <v/>
      </c>
      <c r="V204" s="75">
        <f>$C204*INDEX(Curves!$U$8:$U$68,V$4-$B204+1)</f>
        <v/>
      </c>
      <c r="W204" s="75">
        <f>$C204*INDEX(Curves!$U$8:$U$68,W$4-$B204+1)</f>
        <v/>
      </c>
      <c r="X204" s="75">
        <f>$C204*INDEX(Curves!$U$8:$U$68,X$4-$B204+1)</f>
        <v/>
      </c>
      <c r="Y204" s="75">
        <f>$C204*INDEX(Curves!$U$8:$U$68,Y$4-$B204+1)</f>
        <v/>
      </c>
      <c r="Z204" s="75">
        <f>$C204*INDEX(Curves!$U$8:$U$68,Z$4-$B204+1)</f>
        <v/>
      </c>
      <c r="AA204" s="75">
        <f>$C204*INDEX(Curves!$U$8:$U$68,AA$4-$B204+1)</f>
        <v/>
      </c>
      <c r="AB204" s="75">
        <f>$C204*INDEX(Curves!$U$8:$U$68,AB$4-$B204+1)</f>
        <v/>
      </c>
      <c r="AC204" s="75">
        <f>$C204*INDEX(Curves!$U$8:$U$68,AC$4-$B204+1)</f>
        <v/>
      </c>
      <c r="AD204" s="75">
        <f>$C204*INDEX(Curves!$U$8:$U$68,AD$4-$B204+1)</f>
        <v/>
      </c>
      <c r="AE204" s="75">
        <f>$C204*INDEX(Curves!$U$8:$U$68,AE$4-$B204+1)</f>
        <v/>
      </c>
      <c r="AF204" s="75">
        <f>$C204*INDEX(Curves!$U$8:$U$68,AF$4-$B204+1)</f>
        <v/>
      </c>
      <c r="AG204" s="75">
        <f>$C204*INDEX(Curves!$U$8:$U$68,AG$4-$B204+1)</f>
        <v/>
      </c>
      <c r="AH204" s="75">
        <f>$C204*INDEX(Curves!$U$8:$U$68,AH$4-$B204+1)</f>
        <v/>
      </c>
      <c r="AI204" s="75">
        <f>$C204*INDEX(Curves!$U$8:$U$68,AI$4-$B204+1)</f>
        <v/>
      </c>
      <c r="AJ204" s="75">
        <f>$C204*INDEX(Curves!$U$8:$U$68,AJ$4-$B204+1)</f>
        <v/>
      </c>
      <c r="AK204" s="75">
        <f>$C204*INDEX(Curves!$U$8:$U$68,AK$4-$B204+1)</f>
        <v/>
      </c>
      <c r="AL204" s="75">
        <f>$C204*INDEX(Curves!$U$8:$U$68,AL$4-$B204+1)</f>
        <v/>
      </c>
      <c r="AM204" s="75">
        <f>$C204*INDEX(Curves!$U$8:$U$68,AM$4-$B204+1)</f>
        <v/>
      </c>
      <c r="AN204" s="75">
        <f>$C204*INDEX(Curves!$U$8:$U$68,AN$4-$B204+1)</f>
        <v/>
      </c>
      <c r="AO204" s="75">
        <f>$C204*INDEX(Curves!$U$8:$U$68,AO$4-$B204+1)</f>
        <v/>
      </c>
      <c r="AP204" s="75">
        <f>$C204*INDEX(Curves!$U$8:$U$68,AP$4-$B204+1)</f>
        <v/>
      </c>
      <c r="AQ204" s="75">
        <f>$C204*INDEX(Curves!$U$8:$U$68,AQ$4-$B204+1)</f>
        <v/>
      </c>
      <c r="AR204" s="75">
        <f>$C204*INDEX(Curves!$U$8:$U$68,AR$4-$B204+1)</f>
        <v/>
      </c>
      <c r="AS204" s="75">
        <f>$C204*INDEX(Curves!$U$8:$U$68,AS$4-$B204+1)</f>
        <v/>
      </c>
      <c r="AT204" s="75">
        <f>$C204*INDEX(Curves!$U$8:$U$68,AT$4-$B204+1)</f>
        <v/>
      </c>
      <c r="AU204" s="75">
        <f>$C204*INDEX(Curves!$U$8:$U$68,AU$4-$B204+1)</f>
        <v/>
      </c>
      <c r="AV204" s="75">
        <f>$C204*INDEX(Curves!$U$8:$U$68,AV$4-$B204+1)</f>
        <v/>
      </c>
      <c r="AW204" s="75">
        <f>$C204*INDEX(Curves!$U$8:$U$68,AW$4-$B204+1)</f>
        <v/>
      </c>
      <c r="AX204" s="75">
        <f>$C204*INDEX(Curves!$U$8:$U$68,AX$4-$B204+1)</f>
        <v/>
      </c>
      <c r="AY204" s="75">
        <f>$C204*INDEX(Curves!$U$8:$U$68,AY$4-$B204+1)</f>
        <v/>
      </c>
      <c r="AZ204" s="75">
        <f>$C204*INDEX(Curves!$U$8:$U$68,AZ$4-$B204+1)</f>
        <v/>
      </c>
      <c r="BA204" s="75">
        <f>$C204*INDEX(Curves!$U$8:$U$68,BA$4-$B204+1)</f>
        <v/>
      </c>
      <c r="BB204" s="75">
        <f>$C204*INDEX(Curves!$U$8:$U$68,BB$4-$B204+1)</f>
        <v/>
      </c>
      <c r="BC204" s="75">
        <f>$C204*INDEX(Curves!$U$8:$U$68,BC$4-$B204+1)</f>
        <v/>
      </c>
      <c r="BD204" s="75">
        <f>$C204*INDEX(Curves!$U$8:$U$68,BD$4-$B204+1)</f>
        <v/>
      </c>
      <c r="BE204" s="75">
        <f>$C204*INDEX(Curves!$U$8:$U$68,BE$4-$B204+1)</f>
        <v/>
      </c>
      <c r="BF204" s="75">
        <f>$C204*INDEX(Curves!$U$8:$U$68,BF$4-$B204+1)</f>
        <v/>
      </c>
      <c r="BG204" s="75">
        <f>$C204*INDEX(Curves!$U$8:$U$68,BG$4-$B204+1)</f>
        <v/>
      </c>
      <c r="BH204" s="75">
        <f>$C204*INDEX(Curves!$U$8:$U$68,BH$4-$B204+1)</f>
        <v/>
      </c>
      <c r="BI204" s="75">
        <f>$C204*INDEX(Curves!$U$8:$U$68,BI$4-$B204+1)</f>
        <v/>
      </c>
      <c r="BJ204" s="75">
        <f>$C204*INDEX(Curves!$U$8:$U$68,BJ$4-$B204+1)</f>
        <v/>
      </c>
      <c r="BK204" s="75">
        <f>$C204*INDEX(Curves!$U$8:$U$68,BK$4-$B204+1)</f>
        <v/>
      </c>
      <c r="BL204" s="75">
        <f>$C204*INDEX(Curves!$U$8:$U$68,BL$4-$B204+1)</f>
        <v/>
      </c>
    </row>
    <row r="205">
      <c r="A205" s="74" t="inlineStr">
        <is>
          <t>Cohort month 7</t>
        </is>
      </c>
      <c r="B205" s="74" t="n">
        <v>7</v>
      </c>
      <c r="C205" s="17">
        <f>INDEX(Ops!$E$35:$BL$35,1,$B205)</f>
        <v/>
      </c>
      <c r="L205" s="75">
        <f>$C205*INDEX(Curves!$U$8:$U$68,L$4-$B205+1)</f>
        <v/>
      </c>
      <c r="M205" s="75">
        <f>$C205*INDEX(Curves!$U$8:$U$68,M$4-$B205+1)</f>
        <v/>
      </c>
      <c r="N205" s="75">
        <f>$C205*INDEX(Curves!$U$8:$U$68,N$4-$B205+1)</f>
        <v/>
      </c>
      <c r="O205" s="75">
        <f>$C205*INDEX(Curves!$U$8:$U$68,O$4-$B205+1)</f>
        <v/>
      </c>
      <c r="P205" s="75">
        <f>$C205*INDEX(Curves!$U$8:$U$68,P$4-$B205+1)</f>
        <v/>
      </c>
      <c r="Q205" s="75">
        <f>$C205*INDEX(Curves!$U$8:$U$68,Q$4-$B205+1)</f>
        <v/>
      </c>
      <c r="R205" s="75">
        <f>$C205*INDEX(Curves!$U$8:$U$68,R$4-$B205+1)</f>
        <v/>
      </c>
      <c r="S205" s="75">
        <f>$C205*INDEX(Curves!$U$8:$U$68,S$4-$B205+1)</f>
        <v/>
      </c>
      <c r="T205" s="75">
        <f>$C205*INDEX(Curves!$U$8:$U$68,T$4-$B205+1)</f>
        <v/>
      </c>
      <c r="U205" s="75">
        <f>$C205*INDEX(Curves!$U$8:$U$68,U$4-$B205+1)</f>
        <v/>
      </c>
      <c r="V205" s="75">
        <f>$C205*INDEX(Curves!$U$8:$U$68,V$4-$B205+1)</f>
        <v/>
      </c>
      <c r="W205" s="75">
        <f>$C205*INDEX(Curves!$U$8:$U$68,W$4-$B205+1)</f>
        <v/>
      </c>
      <c r="X205" s="75">
        <f>$C205*INDEX(Curves!$U$8:$U$68,X$4-$B205+1)</f>
        <v/>
      </c>
      <c r="Y205" s="75">
        <f>$C205*INDEX(Curves!$U$8:$U$68,Y$4-$B205+1)</f>
        <v/>
      </c>
      <c r="Z205" s="75">
        <f>$C205*INDEX(Curves!$U$8:$U$68,Z$4-$B205+1)</f>
        <v/>
      </c>
      <c r="AA205" s="75">
        <f>$C205*INDEX(Curves!$U$8:$U$68,AA$4-$B205+1)</f>
        <v/>
      </c>
      <c r="AB205" s="75">
        <f>$C205*INDEX(Curves!$U$8:$U$68,AB$4-$B205+1)</f>
        <v/>
      </c>
      <c r="AC205" s="75">
        <f>$C205*INDEX(Curves!$U$8:$U$68,AC$4-$B205+1)</f>
        <v/>
      </c>
      <c r="AD205" s="75">
        <f>$C205*INDEX(Curves!$U$8:$U$68,AD$4-$B205+1)</f>
        <v/>
      </c>
      <c r="AE205" s="75">
        <f>$C205*INDEX(Curves!$U$8:$U$68,AE$4-$B205+1)</f>
        <v/>
      </c>
      <c r="AF205" s="75">
        <f>$C205*INDEX(Curves!$U$8:$U$68,AF$4-$B205+1)</f>
        <v/>
      </c>
      <c r="AG205" s="75">
        <f>$C205*INDEX(Curves!$U$8:$U$68,AG$4-$B205+1)</f>
        <v/>
      </c>
      <c r="AH205" s="75">
        <f>$C205*INDEX(Curves!$U$8:$U$68,AH$4-$B205+1)</f>
        <v/>
      </c>
      <c r="AI205" s="75">
        <f>$C205*INDEX(Curves!$U$8:$U$68,AI$4-$B205+1)</f>
        <v/>
      </c>
      <c r="AJ205" s="75">
        <f>$C205*INDEX(Curves!$U$8:$U$68,AJ$4-$B205+1)</f>
        <v/>
      </c>
      <c r="AK205" s="75">
        <f>$C205*INDEX(Curves!$U$8:$U$68,AK$4-$B205+1)</f>
        <v/>
      </c>
      <c r="AL205" s="75">
        <f>$C205*INDEX(Curves!$U$8:$U$68,AL$4-$B205+1)</f>
        <v/>
      </c>
      <c r="AM205" s="75">
        <f>$C205*INDEX(Curves!$U$8:$U$68,AM$4-$B205+1)</f>
        <v/>
      </c>
      <c r="AN205" s="75">
        <f>$C205*INDEX(Curves!$U$8:$U$68,AN$4-$B205+1)</f>
        <v/>
      </c>
      <c r="AO205" s="75">
        <f>$C205*INDEX(Curves!$U$8:$U$68,AO$4-$B205+1)</f>
        <v/>
      </c>
      <c r="AP205" s="75">
        <f>$C205*INDEX(Curves!$U$8:$U$68,AP$4-$B205+1)</f>
        <v/>
      </c>
      <c r="AQ205" s="75">
        <f>$C205*INDEX(Curves!$U$8:$U$68,AQ$4-$B205+1)</f>
        <v/>
      </c>
      <c r="AR205" s="75">
        <f>$C205*INDEX(Curves!$U$8:$U$68,AR$4-$B205+1)</f>
        <v/>
      </c>
      <c r="AS205" s="75">
        <f>$C205*INDEX(Curves!$U$8:$U$68,AS$4-$B205+1)</f>
        <v/>
      </c>
      <c r="AT205" s="75">
        <f>$C205*INDEX(Curves!$U$8:$U$68,AT$4-$B205+1)</f>
        <v/>
      </c>
      <c r="AU205" s="75">
        <f>$C205*INDEX(Curves!$U$8:$U$68,AU$4-$B205+1)</f>
        <v/>
      </c>
      <c r="AV205" s="75">
        <f>$C205*INDEX(Curves!$U$8:$U$68,AV$4-$B205+1)</f>
        <v/>
      </c>
      <c r="AW205" s="75">
        <f>$C205*INDEX(Curves!$U$8:$U$68,AW$4-$B205+1)</f>
        <v/>
      </c>
      <c r="AX205" s="75">
        <f>$C205*INDEX(Curves!$U$8:$U$68,AX$4-$B205+1)</f>
        <v/>
      </c>
      <c r="AY205" s="75">
        <f>$C205*INDEX(Curves!$U$8:$U$68,AY$4-$B205+1)</f>
        <v/>
      </c>
      <c r="AZ205" s="75">
        <f>$C205*INDEX(Curves!$U$8:$U$68,AZ$4-$B205+1)</f>
        <v/>
      </c>
      <c r="BA205" s="75">
        <f>$C205*INDEX(Curves!$U$8:$U$68,BA$4-$B205+1)</f>
        <v/>
      </c>
      <c r="BB205" s="75">
        <f>$C205*INDEX(Curves!$U$8:$U$68,BB$4-$B205+1)</f>
        <v/>
      </c>
      <c r="BC205" s="75">
        <f>$C205*INDEX(Curves!$U$8:$U$68,BC$4-$B205+1)</f>
        <v/>
      </c>
      <c r="BD205" s="75">
        <f>$C205*INDEX(Curves!$U$8:$U$68,BD$4-$B205+1)</f>
        <v/>
      </c>
      <c r="BE205" s="75">
        <f>$C205*INDEX(Curves!$U$8:$U$68,BE$4-$B205+1)</f>
        <v/>
      </c>
      <c r="BF205" s="75">
        <f>$C205*INDEX(Curves!$U$8:$U$68,BF$4-$B205+1)</f>
        <v/>
      </c>
      <c r="BG205" s="75">
        <f>$C205*INDEX(Curves!$U$8:$U$68,BG$4-$B205+1)</f>
        <v/>
      </c>
      <c r="BH205" s="75">
        <f>$C205*INDEX(Curves!$U$8:$U$68,BH$4-$B205+1)</f>
        <v/>
      </c>
      <c r="BI205" s="75">
        <f>$C205*INDEX(Curves!$U$8:$U$68,BI$4-$B205+1)</f>
        <v/>
      </c>
      <c r="BJ205" s="75">
        <f>$C205*INDEX(Curves!$U$8:$U$68,BJ$4-$B205+1)</f>
        <v/>
      </c>
      <c r="BK205" s="75">
        <f>$C205*INDEX(Curves!$U$8:$U$68,BK$4-$B205+1)</f>
        <v/>
      </c>
      <c r="BL205" s="75">
        <f>$C205*INDEX(Curves!$U$8:$U$68,BL$4-$B205+1)</f>
        <v/>
      </c>
    </row>
    <row r="206">
      <c r="A206" s="74" t="inlineStr">
        <is>
          <t>Cohort month 8</t>
        </is>
      </c>
      <c r="B206" s="74" t="n">
        <v>8</v>
      </c>
      <c r="C206" s="17">
        <f>INDEX(Ops!$E$35:$BL$35,1,$B206)</f>
        <v/>
      </c>
      <c r="M206" s="75">
        <f>$C206*INDEX(Curves!$U$8:$U$68,M$4-$B206+1)</f>
        <v/>
      </c>
      <c r="N206" s="75">
        <f>$C206*INDEX(Curves!$U$8:$U$68,N$4-$B206+1)</f>
        <v/>
      </c>
      <c r="O206" s="75">
        <f>$C206*INDEX(Curves!$U$8:$U$68,O$4-$B206+1)</f>
        <v/>
      </c>
      <c r="P206" s="75">
        <f>$C206*INDEX(Curves!$U$8:$U$68,P$4-$B206+1)</f>
        <v/>
      </c>
      <c r="Q206" s="75">
        <f>$C206*INDEX(Curves!$U$8:$U$68,Q$4-$B206+1)</f>
        <v/>
      </c>
      <c r="R206" s="75">
        <f>$C206*INDEX(Curves!$U$8:$U$68,R$4-$B206+1)</f>
        <v/>
      </c>
      <c r="S206" s="75">
        <f>$C206*INDEX(Curves!$U$8:$U$68,S$4-$B206+1)</f>
        <v/>
      </c>
      <c r="T206" s="75">
        <f>$C206*INDEX(Curves!$U$8:$U$68,T$4-$B206+1)</f>
        <v/>
      </c>
      <c r="U206" s="75">
        <f>$C206*INDEX(Curves!$U$8:$U$68,U$4-$B206+1)</f>
        <v/>
      </c>
      <c r="V206" s="75">
        <f>$C206*INDEX(Curves!$U$8:$U$68,V$4-$B206+1)</f>
        <v/>
      </c>
      <c r="W206" s="75">
        <f>$C206*INDEX(Curves!$U$8:$U$68,W$4-$B206+1)</f>
        <v/>
      </c>
      <c r="X206" s="75">
        <f>$C206*INDEX(Curves!$U$8:$U$68,X$4-$B206+1)</f>
        <v/>
      </c>
      <c r="Y206" s="75">
        <f>$C206*INDEX(Curves!$U$8:$U$68,Y$4-$B206+1)</f>
        <v/>
      </c>
      <c r="Z206" s="75">
        <f>$C206*INDEX(Curves!$U$8:$U$68,Z$4-$B206+1)</f>
        <v/>
      </c>
      <c r="AA206" s="75">
        <f>$C206*INDEX(Curves!$U$8:$U$68,AA$4-$B206+1)</f>
        <v/>
      </c>
      <c r="AB206" s="75">
        <f>$C206*INDEX(Curves!$U$8:$U$68,AB$4-$B206+1)</f>
        <v/>
      </c>
      <c r="AC206" s="75">
        <f>$C206*INDEX(Curves!$U$8:$U$68,AC$4-$B206+1)</f>
        <v/>
      </c>
      <c r="AD206" s="75">
        <f>$C206*INDEX(Curves!$U$8:$U$68,AD$4-$B206+1)</f>
        <v/>
      </c>
      <c r="AE206" s="75">
        <f>$C206*INDEX(Curves!$U$8:$U$68,AE$4-$B206+1)</f>
        <v/>
      </c>
      <c r="AF206" s="75">
        <f>$C206*INDEX(Curves!$U$8:$U$68,AF$4-$B206+1)</f>
        <v/>
      </c>
      <c r="AG206" s="75">
        <f>$C206*INDEX(Curves!$U$8:$U$68,AG$4-$B206+1)</f>
        <v/>
      </c>
      <c r="AH206" s="75">
        <f>$C206*INDEX(Curves!$U$8:$U$68,AH$4-$B206+1)</f>
        <v/>
      </c>
      <c r="AI206" s="75">
        <f>$C206*INDEX(Curves!$U$8:$U$68,AI$4-$B206+1)</f>
        <v/>
      </c>
      <c r="AJ206" s="75">
        <f>$C206*INDEX(Curves!$U$8:$U$68,AJ$4-$B206+1)</f>
        <v/>
      </c>
      <c r="AK206" s="75">
        <f>$C206*INDEX(Curves!$U$8:$U$68,AK$4-$B206+1)</f>
        <v/>
      </c>
      <c r="AL206" s="75">
        <f>$C206*INDEX(Curves!$U$8:$U$68,AL$4-$B206+1)</f>
        <v/>
      </c>
      <c r="AM206" s="75">
        <f>$C206*INDEX(Curves!$U$8:$U$68,AM$4-$B206+1)</f>
        <v/>
      </c>
      <c r="AN206" s="75">
        <f>$C206*INDEX(Curves!$U$8:$U$68,AN$4-$B206+1)</f>
        <v/>
      </c>
      <c r="AO206" s="75">
        <f>$C206*INDEX(Curves!$U$8:$U$68,AO$4-$B206+1)</f>
        <v/>
      </c>
      <c r="AP206" s="75">
        <f>$C206*INDEX(Curves!$U$8:$U$68,AP$4-$B206+1)</f>
        <v/>
      </c>
      <c r="AQ206" s="75">
        <f>$C206*INDEX(Curves!$U$8:$U$68,AQ$4-$B206+1)</f>
        <v/>
      </c>
      <c r="AR206" s="75">
        <f>$C206*INDEX(Curves!$U$8:$U$68,AR$4-$B206+1)</f>
        <v/>
      </c>
      <c r="AS206" s="75">
        <f>$C206*INDEX(Curves!$U$8:$U$68,AS$4-$B206+1)</f>
        <v/>
      </c>
      <c r="AT206" s="75">
        <f>$C206*INDEX(Curves!$U$8:$U$68,AT$4-$B206+1)</f>
        <v/>
      </c>
      <c r="AU206" s="75">
        <f>$C206*INDEX(Curves!$U$8:$U$68,AU$4-$B206+1)</f>
        <v/>
      </c>
      <c r="AV206" s="75">
        <f>$C206*INDEX(Curves!$U$8:$U$68,AV$4-$B206+1)</f>
        <v/>
      </c>
      <c r="AW206" s="75">
        <f>$C206*INDEX(Curves!$U$8:$U$68,AW$4-$B206+1)</f>
        <v/>
      </c>
      <c r="AX206" s="75">
        <f>$C206*INDEX(Curves!$U$8:$U$68,AX$4-$B206+1)</f>
        <v/>
      </c>
      <c r="AY206" s="75">
        <f>$C206*INDEX(Curves!$U$8:$U$68,AY$4-$B206+1)</f>
        <v/>
      </c>
      <c r="AZ206" s="75">
        <f>$C206*INDEX(Curves!$U$8:$U$68,AZ$4-$B206+1)</f>
        <v/>
      </c>
      <c r="BA206" s="75">
        <f>$C206*INDEX(Curves!$U$8:$U$68,BA$4-$B206+1)</f>
        <v/>
      </c>
      <c r="BB206" s="75">
        <f>$C206*INDEX(Curves!$U$8:$U$68,BB$4-$B206+1)</f>
        <v/>
      </c>
      <c r="BC206" s="75">
        <f>$C206*INDEX(Curves!$U$8:$U$68,BC$4-$B206+1)</f>
        <v/>
      </c>
      <c r="BD206" s="75">
        <f>$C206*INDEX(Curves!$U$8:$U$68,BD$4-$B206+1)</f>
        <v/>
      </c>
      <c r="BE206" s="75">
        <f>$C206*INDEX(Curves!$U$8:$U$68,BE$4-$B206+1)</f>
        <v/>
      </c>
      <c r="BF206" s="75">
        <f>$C206*INDEX(Curves!$U$8:$U$68,BF$4-$B206+1)</f>
        <v/>
      </c>
      <c r="BG206" s="75">
        <f>$C206*INDEX(Curves!$U$8:$U$68,BG$4-$B206+1)</f>
        <v/>
      </c>
      <c r="BH206" s="75">
        <f>$C206*INDEX(Curves!$U$8:$U$68,BH$4-$B206+1)</f>
        <v/>
      </c>
      <c r="BI206" s="75">
        <f>$C206*INDEX(Curves!$U$8:$U$68,BI$4-$B206+1)</f>
        <v/>
      </c>
      <c r="BJ206" s="75">
        <f>$C206*INDEX(Curves!$U$8:$U$68,BJ$4-$B206+1)</f>
        <v/>
      </c>
      <c r="BK206" s="75">
        <f>$C206*INDEX(Curves!$U$8:$U$68,BK$4-$B206+1)</f>
        <v/>
      </c>
      <c r="BL206" s="75">
        <f>$C206*INDEX(Curves!$U$8:$U$68,BL$4-$B206+1)</f>
        <v/>
      </c>
    </row>
    <row r="207">
      <c r="A207" s="74" t="inlineStr">
        <is>
          <t>Cohort month 9</t>
        </is>
      </c>
      <c r="B207" s="74" t="n">
        <v>9</v>
      </c>
      <c r="C207" s="17">
        <f>INDEX(Ops!$E$35:$BL$35,1,$B207)</f>
        <v/>
      </c>
      <c r="N207" s="75">
        <f>$C207*INDEX(Curves!$U$8:$U$68,N$4-$B207+1)</f>
        <v/>
      </c>
      <c r="O207" s="75">
        <f>$C207*INDEX(Curves!$U$8:$U$68,O$4-$B207+1)</f>
        <v/>
      </c>
      <c r="P207" s="75">
        <f>$C207*INDEX(Curves!$U$8:$U$68,P$4-$B207+1)</f>
        <v/>
      </c>
      <c r="Q207" s="75">
        <f>$C207*INDEX(Curves!$U$8:$U$68,Q$4-$B207+1)</f>
        <v/>
      </c>
      <c r="R207" s="75">
        <f>$C207*INDEX(Curves!$U$8:$U$68,R$4-$B207+1)</f>
        <v/>
      </c>
      <c r="S207" s="75">
        <f>$C207*INDEX(Curves!$U$8:$U$68,S$4-$B207+1)</f>
        <v/>
      </c>
      <c r="T207" s="75">
        <f>$C207*INDEX(Curves!$U$8:$U$68,T$4-$B207+1)</f>
        <v/>
      </c>
      <c r="U207" s="75">
        <f>$C207*INDEX(Curves!$U$8:$U$68,U$4-$B207+1)</f>
        <v/>
      </c>
      <c r="V207" s="75">
        <f>$C207*INDEX(Curves!$U$8:$U$68,V$4-$B207+1)</f>
        <v/>
      </c>
      <c r="W207" s="75">
        <f>$C207*INDEX(Curves!$U$8:$U$68,W$4-$B207+1)</f>
        <v/>
      </c>
      <c r="X207" s="75">
        <f>$C207*INDEX(Curves!$U$8:$U$68,X$4-$B207+1)</f>
        <v/>
      </c>
      <c r="Y207" s="75">
        <f>$C207*INDEX(Curves!$U$8:$U$68,Y$4-$B207+1)</f>
        <v/>
      </c>
      <c r="Z207" s="75">
        <f>$C207*INDEX(Curves!$U$8:$U$68,Z$4-$B207+1)</f>
        <v/>
      </c>
      <c r="AA207" s="75">
        <f>$C207*INDEX(Curves!$U$8:$U$68,AA$4-$B207+1)</f>
        <v/>
      </c>
      <c r="AB207" s="75">
        <f>$C207*INDEX(Curves!$U$8:$U$68,AB$4-$B207+1)</f>
        <v/>
      </c>
      <c r="AC207" s="75">
        <f>$C207*INDEX(Curves!$U$8:$U$68,AC$4-$B207+1)</f>
        <v/>
      </c>
      <c r="AD207" s="75">
        <f>$C207*INDEX(Curves!$U$8:$U$68,AD$4-$B207+1)</f>
        <v/>
      </c>
      <c r="AE207" s="75">
        <f>$C207*INDEX(Curves!$U$8:$U$68,AE$4-$B207+1)</f>
        <v/>
      </c>
      <c r="AF207" s="75">
        <f>$C207*INDEX(Curves!$U$8:$U$68,AF$4-$B207+1)</f>
        <v/>
      </c>
      <c r="AG207" s="75">
        <f>$C207*INDEX(Curves!$U$8:$U$68,AG$4-$B207+1)</f>
        <v/>
      </c>
      <c r="AH207" s="75">
        <f>$C207*INDEX(Curves!$U$8:$U$68,AH$4-$B207+1)</f>
        <v/>
      </c>
      <c r="AI207" s="75">
        <f>$C207*INDEX(Curves!$U$8:$U$68,AI$4-$B207+1)</f>
        <v/>
      </c>
      <c r="AJ207" s="75">
        <f>$C207*INDEX(Curves!$U$8:$U$68,AJ$4-$B207+1)</f>
        <v/>
      </c>
      <c r="AK207" s="75">
        <f>$C207*INDEX(Curves!$U$8:$U$68,AK$4-$B207+1)</f>
        <v/>
      </c>
      <c r="AL207" s="75">
        <f>$C207*INDEX(Curves!$U$8:$U$68,AL$4-$B207+1)</f>
        <v/>
      </c>
      <c r="AM207" s="75">
        <f>$C207*INDEX(Curves!$U$8:$U$68,AM$4-$B207+1)</f>
        <v/>
      </c>
      <c r="AN207" s="75">
        <f>$C207*INDEX(Curves!$U$8:$U$68,AN$4-$B207+1)</f>
        <v/>
      </c>
      <c r="AO207" s="75">
        <f>$C207*INDEX(Curves!$U$8:$U$68,AO$4-$B207+1)</f>
        <v/>
      </c>
      <c r="AP207" s="75">
        <f>$C207*INDEX(Curves!$U$8:$U$68,AP$4-$B207+1)</f>
        <v/>
      </c>
      <c r="AQ207" s="75">
        <f>$C207*INDEX(Curves!$U$8:$U$68,AQ$4-$B207+1)</f>
        <v/>
      </c>
      <c r="AR207" s="75">
        <f>$C207*INDEX(Curves!$U$8:$U$68,AR$4-$B207+1)</f>
        <v/>
      </c>
      <c r="AS207" s="75">
        <f>$C207*INDEX(Curves!$U$8:$U$68,AS$4-$B207+1)</f>
        <v/>
      </c>
      <c r="AT207" s="75">
        <f>$C207*INDEX(Curves!$U$8:$U$68,AT$4-$B207+1)</f>
        <v/>
      </c>
      <c r="AU207" s="75">
        <f>$C207*INDEX(Curves!$U$8:$U$68,AU$4-$B207+1)</f>
        <v/>
      </c>
      <c r="AV207" s="75">
        <f>$C207*INDEX(Curves!$U$8:$U$68,AV$4-$B207+1)</f>
        <v/>
      </c>
      <c r="AW207" s="75">
        <f>$C207*INDEX(Curves!$U$8:$U$68,AW$4-$B207+1)</f>
        <v/>
      </c>
      <c r="AX207" s="75">
        <f>$C207*INDEX(Curves!$U$8:$U$68,AX$4-$B207+1)</f>
        <v/>
      </c>
      <c r="AY207" s="75">
        <f>$C207*INDEX(Curves!$U$8:$U$68,AY$4-$B207+1)</f>
        <v/>
      </c>
      <c r="AZ207" s="75">
        <f>$C207*INDEX(Curves!$U$8:$U$68,AZ$4-$B207+1)</f>
        <v/>
      </c>
      <c r="BA207" s="75">
        <f>$C207*INDEX(Curves!$U$8:$U$68,BA$4-$B207+1)</f>
        <v/>
      </c>
      <c r="BB207" s="75">
        <f>$C207*INDEX(Curves!$U$8:$U$68,BB$4-$B207+1)</f>
        <v/>
      </c>
      <c r="BC207" s="75">
        <f>$C207*INDEX(Curves!$U$8:$U$68,BC$4-$B207+1)</f>
        <v/>
      </c>
      <c r="BD207" s="75">
        <f>$C207*INDEX(Curves!$U$8:$U$68,BD$4-$B207+1)</f>
        <v/>
      </c>
      <c r="BE207" s="75">
        <f>$C207*INDEX(Curves!$U$8:$U$68,BE$4-$B207+1)</f>
        <v/>
      </c>
      <c r="BF207" s="75">
        <f>$C207*INDEX(Curves!$U$8:$U$68,BF$4-$B207+1)</f>
        <v/>
      </c>
      <c r="BG207" s="75">
        <f>$C207*INDEX(Curves!$U$8:$U$68,BG$4-$B207+1)</f>
        <v/>
      </c>
      <c r="BH207" s="75">
        <f>$C207*INDEX(Curves!$U$8:$U$68,BH$4-$B207+1)</f>
        <v/>
      </c>
      <c r="BI207" s="75">
        <f>$C207*INDEX(Curves!$U$8:$U$68,BI$4-$B207+1)</f>
        <v/>
      </c>
      <c r="BJ207" s="75">
        <f>$C207*INDEX(Curves!$U$8:$U$68,BJ$4-$B207+1)</f>
        <v/>
      </c>
      <c r="BK207" s="75">
        <f>$C207*INDEX(Curves!$U$8:$U$68,BK$4-$B207+1)</f>
        <v/>
      </c>
      <c r="BL207" s="75">
        <f>$C207*INDEX(Curves!$U$8:$U$68,BL$4-$B207+1)</f>
        <v/>
      </c>
    </row>
    <row r="208">
      <c r="A208" s="74" t="inlineStr">
        <is>
          <t>Cohort month 10</t>
        </is>
      </c>
      <c r="B208" s="74" t="n">
        <v>10</v>
      </c>
      <c r="C208" s="17">
        <f>INDEX(Ops!$E$35:$BL$35,1,$B208)</f>
        <v/>
      </c>
      <c r="O208" s="75">
        <f>$C208*INDEX(Curves!$U$8:$U$68,O$4-$B208+1)</f>
        <v/>
      </c>
      <c r="P208" s="75">
        <f>$C208*INDEX(Curves!$U$8:$U$68,P$4-$B208+1)</f>
        <v/>
      </c>
      <c r="Q208" s="75">
        <f>$C208*INDEX(Curves!$U$8:$U$68,Q$4-$B208+1)</f>
        <v/>
      </c>
      <c r="R208" s="75">
        <f>$C208*INDEX(Curves!$U$8:$U$68,R$4-$B208+1)</f>
        <v/>
      </c>
      <c r="S208" s="75">
        <f>$C208*INDEX(Curves!$U$8:$U$68,S$4-$B208+1)</f>
        <v/>
      </c>
      <c r="T208" s="75">
        <f>$C208*INDEX(Curves!$U$8:$U$68,T$4-$B208+1)</f>
        <v/>
      </c>
      <c r="U208" s="75">
        <f>$C208*INDEX(Curves!$U$8:$U$68,U$4-$B208+1)</f>
        <v/>
      </c>
      <c r="V208" s="75">
        <f>$C208*INDEX(Curves!$U$8:$U$68,V$4-$B208+1)</f>
        <v/>
      </c>
      <c r="W208" s="75">
        <f>$C208*INDEX(Curves!$U$8:$U$68,W$4-$B208+1)</f>
        <v/>
      </c>
      <c r="X208" s="75">
        <f>$C208*INDEX(Curves!$U$8:$U$68,X$4-$B208+1)</f>
        <v/>
      </c>
      <c r="Y208" s="75">
        <f>$C208*INDEX(Curves!$U$8:$U$68,Y$4-$B208+1)</f>
        <v/>
      </c>
      <c r="Z208" s="75">
        <f>$C208*INDEX(Curves!$U$8:$U$68,Z$4-$B208+1)</f>
        <v/>
      </c>
      <c r="AA208" s="75">
        <f>$C208*INDEX(Curves!$U$8:$U$68,AA$4-$B208+1)</f>
        <v/>
      </c>
      <c r="AB208" s="75">
        <f>$C208*INDEX(Curves!$U$8:$U$68,AB$4-$B208+1)</f>
        <v/>
      </c>
      <c r="AC208" s="75">
        <f>$C208*INDEX(Curves!$U$8:$U$68,AC$4-$B208+1)</f>
        <v/>
      </c>
      <c r="AD208" s="75">
        <f>$C208*INDEX(Curves!$U$8:$U$68,AD$4-$B208+1)</f>
        <v/>
      </c>
      <c r="AE208" s="75">
        <f>$C208*INDEX(Curves!$U$8:$U$68,AE$4-$B208+1)</f>
        <v/>
      </c>
      <c r="AF208" s="75">
        <f>$C208*INDEX(Curves!$U$8:$U$68,AF$4-$B208+1)</f>
        <v/>
      </c>
      <c r="AG208" s="75">
        <f>$C208*INDEX(Curves!$U$8:$U$68,AG$4-$B208+1)</f>
        <v/>
      </c>
      <c r="AH208" s="75">
        <f>$C208*INDEX(Curves!$U$8:$U$68,AH$4-$B208+1)</f>
        <v/>
      </c>
      <c r="AI208" s="75">
        <f>$C208*INDEX(Curves!$U$8:$U$68,AI$4-$B208+1)</f>
        <v/>
      </c>
      <c r="AJ208" s="75">
        <f>$C208*INDEX(Curves!$U$8:$U$68,AJ$4-$B208+1)</f>
        <v/>
      </c>
      <c r="AK208" s="75">
        <f>$C208*INDEX(Curves!$U$8:$U$68,AK$4-$B208+1)</f>
        <v/>
      </c>
      <c r="AL208" s="75">
        <f>$C208*INDEX(Curves!$U$8:$U$68,AL$4-$B208+1)</f>
        <v/>
      </c>
      <c r="AM208" s="75">
        <f>$C208*INDEX(Curves!$U$8:$U$68,AM$4-$B208+1)</f>
        <v/>
      </c>
      <c r="AN208" s="75">
        <f>$C208*INDEX(Curves!$U$8:$U$68,AN$4-$B208+1)</f>
        <v/>
      </c>
      <c r="AO208" s="75">
        <f>$C208*INDEX(Curves!$U$8:$U$68,AO$4-$B208+1)</f>
        <v/>
      </c>
      <c r="AP208" s="75">
        <f>$C208*INDEX(Curves!$U$8:$U$68,AP$4-$B208+1)</f>
        <v/>
      </c>
      <c r="AQ208" s="75">
        <f>$C208*INDEX(Curves!$U$8:$U$68,AQ$4-$B208+1)</f>
        <v/>
      </c>
      <c r="AR208" s="75">
        <f>$C208*INDEX(Curves!$U$8:$U$68,AR$4-$B208+1)</f>
        <v/>
      </c>
      <c r="AS208" s="75">
        <f>$C208*INDEX(Curves!$U$8:$U$68,AS$4-$B208+1)</f>
        <v/>
      </c>
      <c r="AT208" s="75">
        <f>$C208*INDEX(Curves!$U$8:$U$68,AT$4-$B208+1)</f>
        <v/>
      </c>
      <c r="AU208" s="75">
        <f>$C208*INDEX(Curves!$U$8:$U$68,AU$4-$B208+1)</f>
        <v/>
      </c>
      <c r="AV208" s="75">
        <f>$C208*INDEX(Curves!$U$8:$U$68,AV$4-$B208+1)</f>
        <v/>
      </c>
      <c r="AW208" s="75">
        <f>$C208*INDEX(Curves!$U$8:$U$68,AW$4-$B208+1)</f>
        <v/>
      </c>
      <c r="AX208" s="75">
        <f>$C208*INDEX(Curves!$U$8:$U$68,AX$4-$B208+1)</f>
        <v/>
      </c>
      <c r="AY208" s="75">
        <f>$C208*INDEX(Curves!$U$8:$U$68,AY$4-$B208+1)</f>
        <v/>
      </c>
      <c r="AZ208" s="75">
        <f>$C208*INDEX(Curves!$U$8:$U$68,AZ$4-$B208+1)</f>
        <v/>
      </c>
      <c r="BA208" s="75">
        <f>$C208*INDEX(Curves!$U$8:$U$68,BA$4-$B208+1)</f>
        <v/>
      </c>
      <c r="BB208" s="75">
        <f>$C208*INDEX(Curves!$U$8:$U$68,BB$4-$B208+1)</f>
        <v/>
      </c>
      <c r="BC208" s="75">
        <f>$C208*INDEX(Curves!$U$8:$U$68,BC$4-$B208+1)</f>
        <v/>
      </c>
      <c r="BD208" s="75">
        <f>$C208*INDEX(Curves!$U$8:$U$68,BD$4-$B208+1)</f>
        <v/>
      </c>
      <c r="BE208" s="75">
        <f>$C208*INDEX(Curves!$U$8:$U$68,BE$4-$B208+1)</f>
        <v/>
      </c>
      <c r="BF208" s="75">
        <f>$C208*INDEX(Curves!$U$8:$U$68,BF$4-$B208+1)</f>
        <v/>
      </c>
      <c r="BG208" s="75">
        <f>$C208*INDEX(Curves!$U$8:$U$68,BG$4-$B208+1)</f>
        <v/>
      </c>
      <c r="BH208" s="75">
        <f>$C208*INDEX(Curves!$U$8:$U$68,BH$4-$B208+1)</f>
        <v/>
      </c>
      <c r="BI208" s="75">
        <f>$C208*INDEX(Curves!$U$8:$U$68,BI$4-$B208+1)</f>
        <v/>
      </c>
      <c r="BJ208" s="75">
        <f>$C208*INDEX(Curves!$U$8:$U$68,BJ$4-$B208+1)</f>
        <v/>
      </c>
      <c r="BK208" s="75">
        <f>$C208*INDEX(Curves!$U$8:$U$68,BK$4-$B208+1)</f>
        <v/>
      </c>
      <c r="BL208" s="75">
        <f>$C208*INDEX(Curves!$U$8:$U$68,BL$4-$B208+1)</f>
        <v/>
      </c>
    </row>
    <row r="209">
      <c r="A209" s="74" t="inlineStr">
        <is>
          <t>Cohort month 11</t>
        </is>
      </c>
      <c r="B209" s="74" t="n">
        <v>11</v>
      </c>
      <c r="C209" s="17">
        <f>INDEX(Ops!$E$35:$BL$35,1,$B209)</f>
        <v/>
      </c>
      <c r="P209" s="75">
        <f>$C209*INDEX(Curves!$U$8:$U$68,P$4-$B209+1)</f>
        <v/>
      </c>
      <c r="Q209" s="75">
        <f>$C209*INDEX(Curves!$U$8:$U$68,Q$4-$B209+1)</f>
        <v/>
      </c>
      <c r="R209" s="75">
        <f>$C209*INDEX(Curves!$U$8:$U$68,R$4-$B209+1)</f>
        <v/>
      </c>
      <c r="S209" s="75">
        <f>$C209*INDEX(Curves!$U$8:$U$68,S$4-$B209+1)</f>
        <v/>
      </c>
      <c r="T209" s="75">
        <f>$C209*INDEX(Curves!$U$8:$U$68,T$4-$B209+1)</f>
        <v/>
      </c>
      <c r="U209" s="75">
        <f>$C209*INDEX(Curves!$U$8:$U$68,U$4-$B209+1)</f>
        <v/>
      </c>
      <c r="V209" s="75">
        <f>$C209*INDEX(Curves!$U$8:$U$68,V$4-$B209+1)</f>
        <v/>
      </c>
      <c r="W209" s="75">
        <f>$C209*INDEX(Curves!$U$8:$U$68,W$4-$B209+1)</f>
        <v/>
      </c>
      <c r="X209" s="75">
        <f>$C209*INDEX(Curves!$U$8:$U$68,X$4-$B209+1)</f>
        <v/>
      </c>
      <c r="Y209" s="75">
        <f>$C209*INDEX(Curves!$U$8:$U$68,Y$4-$B209+1)</f>
        <v/>
      </c>
      <c r="Z209" s="75">
        <f>$C209*INDEX(Curves!$U$8:$U$68,Z$4-$B209+1)</f>
        <v/>
      </c>
      <c r="AA209" s="75">
        <f>$C209*INDEX(Curves!$U$8:$U$68,AA$4-$B209+1)</f>
        <v/>
      </c>
      <c r="AB209" s="75">
        <f>$C209*INDEX(Curves!$U$8:$U$68,AB$4-$B209+1)</f>
        <v/>
      </c>
      <c r="AC209" s="75">
        <f>$C209*INDEX(Curves!$U$8:$U$68,AC$4-$B209+1)</f>
        <v/>
      </c>
      <c r="AD209" s="75">
        <f>$C209*INDEX(Curves!$U$8:$U$68,AD$4-$B209+1)</f>
        <v/>
      </c>
      <c r="AE209" s="75">
        <f>$C209*INDEX(Curves!$U$8:$U$68,AE$4-$B209+1)</f>
        <v/>
      </c>
      <c r="AF209" s="75">
        <f>$C209*INDEX(Curves!$U$8:$U$68,AF$4-$B209+1)</f>
        <v/>
      </c>
      <c r="AG209" s="75">
        <f>$C209*INDEX(Curves!$U$8:$U$68,AG$4-$B209+1)</f>
        <v/>
      </c>
      <c r="AH209" s="75">
        <f>$C209*INDEX(Curves!$U$8:$U$68,AH$4-$B209+1)</f>
        <v/>
      </c>
      <c r="AI209" s="75">
        <f>$C209*INDEX(Curves!$U$8:$U$68,AI$4-$B209+1)</f>
        <v/>
      </c>
      <c r="AJ209" s="75">
        <f>$C209*INDEX(Curves!$U$8:$U$68,AJ$4-$B209+1)</f>
        <v/>
      </c>
      <c r="AK209" s="75">
        <f>$C209*INDEX(Curves!$U$8:$U$68,AK$4-$B209+1)</f>
        <v/>
      </c>
      <c r="AL209" s="75">
        <f>$C209*INDEX(Curves!$U$8:$U$68,AL$4-$B209+1)</f>
        <v/>
      </c>
      <c r="AM209" s="75">
        <f>$C209*INDEX(Curves!$U$8:$U$68,AM$4-$B209+1)</f>
        <v/>
      </c>
      <c r="AN209" s="75">
        <f>$C209*INDEX(Curves!$U$8:$U$68,AN$4-$B209+1)</f>
        <v/>
      </c>
      <c r="AO209" s="75">
        <f>$C209*INDEX(Curves!$U$8:$U$68,AO$4-$B209+1)</f>
        <v/>
      </c>
      <c r="AP209" s="75">
        <f>$C209*INDEX(Curves!$U$8:$U$68,AP$4-$B209+1)</f>
        <v/>
      </c>
      <c r="AQ209" s="75">
        <f>$C209*INDEX(Curves!$U$8:$U$68,AQ$4-$B209+1)</f>
        <v/>
      </c>
      <c r="AR209" s="75">
        <f>$C209*INDEX(Curves!$U$8:$U$68,AR$4-$B209+1)</f>
        <v/>
      </c>
      <c r="AS209" s="75">
        <f>$C209*INDEX(Curves!$U$8:$U$68,AS$4-$B209+1)</f>
        <v/>
      </c>
      <c r="AT209" s="75">
        <f>$C209*INDEX(Curves!$U$8:$U$68,AT$4-$B209+1)</f>
        <v/>
      </c>
      <c r="AU209" s="75">
        <f>$C209*INDEX(Curves!$U$8:$U$68,AU$4-$B209+1)</f>
        <v/>
      </c>
      <c r="AV209" s="75">
        <f>$C209*INDEX(Curves!$U$8:$U$68,AV$4-$B209+1)</f>
        <v/>
      </c>
      <c r="AW209" s="75">
        <f>$C209*INDEX(Curves!$U$8:$U$68,AW$4-$B209+1)</f>
        <v/>
      </c>
      <c r="AX209" s="75">
        <f>$C209*INDEX(Curves!$U$8:$U$68,AX$4-$B209+1)</f>
        <v/>
      </c>
      <c r="AY209" s="75">
        <f>$C209*INDEX(Curves!$U$8:$U$68,AY$4-$B209+1)</f>
        <v/>
      </c>
      <c r="AZ209" s="75">
        <f>$C209*INDEX(Curves!$U$8:$U$68,AZ$4-$B209+1)</f>
        <v/>
      </c>
      <c r="BA209" s="75">
        <f>$C209*INDEX(Curves!$U$8:$U$68,BA$4-$B209+1)</f>
        <v/>
      </c>
      <c r="BB209" s="75">
        <f>$C209*INDEX(Curves!$U$8:$U$68,BB$4-$B209+1)</f>
        <v/>
      </c>
      <c r="BC209" s="75">
        <f>$C209*INDEX(Curves!$U$8:$U$68,BC$4-$B209+1)</f>
        <v/>
      </c>
      <c r="BD209" s="75">
        <f>$C209*INDEX(Curves!$U$8:$U$68,BD$4-$B209+1)</f>
        <v/>
      </c>
      <c r="BE209" s="75">
        <f>$C209*INDEX(Curves!$U$8:$U$68,BE$4-$B209+1)</f>
        <v/>
      </c>
      <c r="BF209" s="75">
        <f>$C209*INDEX(Curves!$U$8:$U$68,BF$4-$B209+1)</f>
        <v/>
      </c>
      <c r="BG209" s="75">
        <f>$C209*INDEX(Curves!$U$8:$U$68,BG$4-$B209+1)</f>
        <v/>
      </c>
      <c r="BH209" s="75">
        <f>$C209*INDEX(Curves!$U$8:$U$68,BH$4-$B209+1)</f>
        <v/>
      </c>
      <c r="BI209" s="75">
        <f>$C209*INDEX(Curves!$U$8:$U$68,BI$4-$B209+1)</f>
        <v/>
      </c>
      <c r="BJ209" s="75">
        <f>$C209*INDEX(Curves!$U$8:$U$68,BJ$4-$B209+1)</f>
        <v/>
      </c>
      <c r="BK209" s="75">
        <f>$C209*INDEX(Curves!$U$8:$U$68,BK$4-$B209+1)</f>
        <v/>
      </c>
      <c r="BL209" s="75">
        <f>$C209*INDEX(Curves!$U$8:$U$68,BL$4-$B209+1)</f>
        <v/>
      </c>
    </row>
    <row r="210">
      <c r="A210" s="74" t="inlineStr">
        <is>
          <t>Cohort month 12</t>
        </is>
      </c>
      <c r="B210" s="74" t="n">
        <v>12</v>
      </c>
      <c r="C210" s="17">
        <f>INDEX(Ops!$E$35:$BL$35,1,$B210)</f>
        <v/>
      </c>
      <c r="Q210" s="75">
        <f>$C210*INDEX(Curves!$U$8:$U$68,Q$4-$B210+1)</f>
        <v/>
      </c>
      <c r="R210" s="75">
        <f>$C210*INDEX(Curves!$U$8:$U$68,R$4-$B210+1)</f>
        <v/>
      </c>
      <c r="S210" s="75">
        <f>$C210*INDEX(Curves!$U$8:$U$68,S$4-$B210+1)</f>
        <v/>
      </c>
      <c r="T210" s="75">
        <f>$C210*INDEX(Curves!$U$8:$U$68,T$4-$B210+1)</f>
        <v/>
      </c>
      <c r="U210" s="75">
        <f>$C210*INDEX(Curves!$U$8:$U$68,U$4-$B210+1)</f>
        <v/>
      </c>
      <c r="V210" s="75">
        <f>$C210*INDEX(Curves!$U$8:$U$68,V$4-$B210+1)</f>
        <v/>
      </c>
      <c r="W210" s="75">
        <f>$C210*INDEX(Curves!$U$8:$U$68,W$4-$B210+1)</f>
        <v/>
      </c>
      <c r="X210" s="75">
        <f>$C210*INDEX(Curves!$U$8:$U$68,X$4-$B210+1)</f>
        <v/>
      </c>
      <c r="Y210" s="75">
        <f>$C210*INDEX(Curves!$U$8:$U$68,Y$4-$B210+1)</f>
        <v/>
      </c>
      <c r="Z210" s="75">
        <f>$C210*INDEX(Curves!$U$8:$U$68,Z$4-$B210+1)</f>
        <v/>
      </c>
      <c r="AA210" s="75">
        <f>$C210*INDEX(Curves!$U$8:$U$68,AA$4-$B210+1)</f>
        <v/>
      </c>
      <c r="AB210" s="75">
        <f>$C210*INDEX(Curves!$U$8:$U$68,AB$4-$B210+1)</f>
        <v/>
      </c>
      <c r="AC210" s="75">
        <f>$C210*INDEX(Curves!$U$8:$U$68,AC$4-$B210+1)</f>
        <v/>
      </c>
      <c r="AD210" s="75">
        <f>$C210*INDEX(Curves!$U$8:$U$68,AD$4-$B210+1)</f>
        <v/>
      </c>
      <c r="AE210" s="75">
        <f>$C210*INDEX(Curves!$U$8:$U$68,AE$4-$B210+1)</f>
        <v/>
      </c>
      <c r="AF210" s="75">
        <f>$C210*INDEX(Curves!$U$8:$U$68,AF$4-$B210+1)</f>
        <v/>
      </c>
      <c r="AG210" s="75">
        <f>$C210*INDEX(Curves!$U$8:$U$68,AG$4-$B210+1)</f>
        <v/>
      </c>
      <c r="AH210" s="75">
        <f>$C210*INDEX(Curves!$U$8:$U$68,AH$4-$B210+1)</f>
        <v/>
      </c>
      <c r="AI210" s="75">
        <f>$C210*INDEX(Curves!$U$8:$U$68,AI$4-$B210+1)</f>
        <v/>
      </c>
      <c r="AJ210" s="75">
        <f>$C210*INDEX(Curves!$U$8:$U$68,AJ$4-$B210+1)</f>
        <v/>
      </c>
      <c r="AK210" s="75">
        <f>$C210*INDEX(Curves!$U$8:$U$68,AK$4-$B210+1)</f>
        <v/>
      </c>
      <c r="AL210" s="75">
        <f>$C210*INDEX(Curves!$U$8:$U$68,AL$4-$B210+1)</f>
        <v/>
      </c>
      <c r="AM210" s="75">
        <f>$C210*INDEX(Curves!$U$8:$U$68,AM$4-$B210+1)</f>
        <v/>
      </c>
      <c r="AN210" s="75">
        <f>$C210*INDEX(Curves!$U$8:$U$68,AN$4-$B210+1)</f>
        <v/>
      </c>
      <c r="AO210" s="75">
        <f>$C210*INDEX(Curves!$U$8:$U$68,AO$4-$B210+1)</f>
        <v/>
      </c>
      <c r="AP210" s="75">
        <f>$C210*INDEX(Curves!$U$8:$U$68,AP$4-$B210+1)</f>
        <v/>
      </c>
      <c r="AQ210" s="75">
        <f>$C210*INDEX(Curves!$U$8:$U$68,AQ$4-$B210+1)</f>
        <v/>
      </c>
      <c r="AR210" s="75">
        <f>$C210*INDEX(Curves!$U$8:$U$68,AR$4-$B210+1)</f>
        <v/>
      </c>
      <c r="AS210" s="75">
        <f>$C210*INDEX(Curves!$U$8:$U$68,AS$4-$B210+1)</f>
        <v/>
      </c>
      <c r="AT210" s="75">
        <f>$C210*INDEX(Curves!$U$8:$U$68,AT$4-$B210+1)</f>
        <v/>
      </c>
      <c r="AU210" s="75">
        <f>$C210*INDEX(Curves!$U$8:$U$68,AU$4-$B210+1)</f>
        <v/>
      </c>
      <c r="AV210" s="75">
        <f>$C210*INDEX(Curves!$U$8:$U$68,AV$4-$B210+1)</f>
        <v/>
      </c>
      <c r="AW210" s="75">
        <f>$C210*INDEX(Curves!$U$8:$U$68,AW$4-$B210+1)</f>
        <v/>
      </c>
      <c r="AX210" s="75">
        <f>$C210*INDEX(Curves!$U$8:$U$68,AX$4-$B210+1)</f>
        <v/>
      </c>
      <c r="AY210" s="75">
        <f>$C210*INDEX(Curves!$U$8:$U$68,AY$4-$B210+1)</f>
        <v/>
      </c>
      <c r="AZ210" s="75">
        <f>$C210*INDEX(Curves!$U$8:$U$68,AZ$4-$B210+1)</f>
        <v/>
      </c>
      <c r="BA210" s="75">
        <f>$C210*INDEX(Curves!$U$8:$U$68,BA$4-$B210+1)</f>
        <v/>
      </c>
      <c r="BB210" s="75">
        <f>$C210*INDEX(Curves!$U$8:$U$68,BB$4-$B210+1)</f>
        <v/>
      </c>
      <c r="BC210" s="75">
        <f>$C210*INDEX(Curves!$U$8:$U$68,BC$4-$B210+1)</f>
        <v/>
      </c>
      <c r="BD210" s="75">
        <f>$C210*INDEX(Curves!$U$8:$U$68,BD$4-$B210+1)</f>
        <v/>
      </c>
      <c r="BE210" s="75">
        <f>$C210*INDEX(Curves!$U$8:$U$68,BE$4-$B210+1)</f>
        <v/>
      </c>
      <c r="BF210" s="75">
        <f>$C210*INDEX(Curves!$U$8:$U$68,BF$4-$B210+1)</f>
        <v/>
      </c>
      <c r="BG210" s="75">
        <f>$C210*INDEX(Curves!$U$8:$U$68,BG$4-$B210+1)</f>
        <v/>
      </c>
      <c r="BH210" s="75">
        <f>$C210*INDEX(Curves!$U$8:$U$68,BH$4-$B210+1)</f>
        <v/>
      </c>
      <c r="BI210" s="75">
        <f>$C210*INDEX(Curves!$U$8:$U$68,BI$4-$B210+1)</f>
        <v/>
      </c>
      <c r="BJ210" s="75">
        <f>$C210*INDEX(Curves!$U$8:$U$68,BJ$4-$B210+1)</f>
        <v/>
      </c>
      <c r="BK210" s="75">
        <f>$C210*INDEX(Curves!$U$8:$U$68,BK$4-$B210+1)</f>
        <v/>
      </c>
      <c r="BL210" s="75">
        <f>$C210*INDEX(Curves!$U$8:$U$68,BL$4-$B210+1)</f>
        <v/>
      </c>
    </row>
    <row r="211">
      <c r="A211" s="74" t="inlineStr">
        <is>
          <t>Cohort month 13</t>
        </is>
      </c>
      <c r="B211" s="74" t="n">
        <v>13</v>
      </c>
      <c r="C211" s="17">
        <f>INDEX(Ops!$E$35:$BL$35,1,$B211)</f>
        <v/>
      </c>
      <c r="R211" s="75">
        <f>$C211*INDEX(Curves!$U$8:$U$68,R$4-$B211+1)</f>
        <v/>
      </c>
      <c r="S211" s="75">
        <f>$C211*INDEX(Curves!$U$8:$U$68,S$4-$B211+1)</f>
        <v/>
      </c>
      <c r="T211" s="75">
        <f>$C211*INDEX(Curves!$U$8:$U$68,T$4-$B211+1)</f>
        <v/>
      </c>
      <c r="U211" s="75">
        <f>$C211*INDEX(Curves!$U$8:$U$68,U$4-$B211+1)</f>
        <v/>
      </c>
      <c r="V211" s="75">
        <f>$C211*INDEX(Curves!$U$8:$U$68,V$4-$B211+1)</f>
        <v/>
      </c>
      <c r="W211" s="75">
        <f>$C211*INDEX(Curves!$U$8:$U$68,W$4-$B211+1)</f>
        <v/>
      </c>
      <c r="X211" s="75">
        <f>$C211*INDEX(Curves!$U$8:$U$68,X$4-$B211+1)</f>
        <v/>
      </c>
      <c r="Y211" s="75">
        <f>$C211*INDEX(Curves!$U$8:$U$68,Y$4-$B211+1)</f>
        <v/>
      </c>
      <c r="Z211" s="75">
        <f>$C211*INDEX(Curves!$U$8:$U$68,Z$4-$B211+1)</f>
        <v/>
      </c>
      <c r="AA211" s="75">
        <f>$C211*INDEX(Curves!$U$8:$U$68,AA$4-$B211+1)</f>
        <v/>
      </c>
      <c r="AB211" s="75">
        <f>$C211*INDEX(Curves!$U$8:$U$68,AB$4-$B211+1)</f>
        <v/>
      </c>
      <c r="AC211" s="75">
        <f>$C211*INDEX(Curves!$U$8:$U$68,AC$4-$B211+1)</f>
        <v/>
      </c>
      <c r="AD211" s="75">
        <f>$C211*INDEX(Curves!$U$8:$U$68,AD$4-$B211+1)</f>
        <v/>
      </c>
      <c r="AE211" s="75">
        <f>$C211*INDEX(Curves!$U$8:$U$68,AE$4-$B211+1)</f>
        <v/>
      </c>
      <c r="AF211" s="75">
        <f>$C211*INDEX(Curves!$U$8:$U$68,AF$4-$B211+1)</f>
        <v/>
      </c>
      <c r="AG211" s="75">
        <f>$C211*INDEX(Curves!$U$8:$U$68,AG$4-$B211+1)</f>
        <v/>
      </c>
      <c r="AH211" s="75">
        <f>$C211*INDEX(Curves!$U$8:$U$68,AH$4-$B211+1)</f>
        <v/>
      </c>
      <c r="AI211" s="75">
        <f>$C211*INDEX(Curves!$U$8:$U$68,AI$4-$B211+1)</f>
        <v/>
      </c>
      <c r="AJ211" s="75">
        <f>$C211*INDEX(Curves!$U$8:$U$68,AJ$4-$B211+1)</f>
        <v/>
      </c>
      <c r="AK211" s="75">
        <f>$C211*INDEX(Curves!$U$8:$U$68,AK$4-$B211+1)</f>
        <v/>
      </c>
      <c r="AL211" s="75">
        <f>$C211*INDEX(Curves!$U$8:$U$68,AL$4-$B211+1)</f>
        <v/>
      </c>
      <c r="AM211" s="75">
        <f>$C211*INDEX(Curves!$U$8:$U$68,AM$4-$B211+1)</f>
        <v/>
      </c>
      <c r="AN211" s="75">
        <f>$C211*INDEX(Curves!$U$8:$U$68,AN$4-$B211+1)</f>
        <v/>
      </c>
      <c r="AO211" s="75">
        <f>$C211*INDEX(Curves!$U$8:$U$68,AO$4-$B211+1)</f>
        <v/>
      </c>
      <c r="AP211" s="75">
        <f>$C211*INDEX(Curves!$U$8:$U$68,AP$4-$B211+1)</f>
        <v/>
      </c>
      <c r="AQ211" s="75">
        <f>$C211*INDEX(Curves!$U$8:$U$68,AQ$4-$B211+1)</f>
        <v/>
      </c>
      <c r="AR211" s="75">
        <f>$C211*INDEX(Curves!$U$8:$U$68,AR$4-$B211+1)</f>
        <v/>
      </c>
      <c r="AS211" s="75">
        <f>$C211*INDEX(Curves!$U$8:$U$68,AS$4-$B211+1)</f>
        <v/>
      </c>
      <c r="AT211" s="75">
        <f>$C211*INDEX(Curves!$U$8:$U$68,AT$4-$B211+1)</f>
        <v/>
      </c>
      <c r="AU211" s="75">
        <f>$C211*INDEX(Curves!$U$8:$U$68,AU$4-$B211+1)</f>
        <v/>
      </c>
      <c r="AV211" s="75">
        <f>$C211*INDEX(Curves!$U$8:$U$68,AV$4-$B211+1)</f>
        <v/>
      </c>
      <c r="AW211" s="75">
        <f>$C211*INDEX(Curves!$U$8:$U$68,AW$4-$B211+1)</f>
        <v/>
      </c>
      <c r="AX211" s="75">
        <f>$C211*INDEX(Curves!$U$8:$U$68,AX$4-$B211+1)</f>
        <v/>
      </c>
      <c r="AY211" s="75">
        <f>$C211*INDEX(Curves!$U$8:$U$68,AY$4-$B211+1)</f>
        <v/>
      </c>
      <c r="AZ211" s="75">
        <f>$C211*INDEX(Curves!$U$8:$U$68,AZ$4-$B211+1)</f>
        <v/>
      </c>
      <c r="BA211" s="75">
        <f>$C211*INDEX(Curves!$U$8:$U$68,BA$4-$B211+1)</f>
        <v/>
      </c>
      <c r="BB211" s="75">
        <f>$C211*INDEX(Curves!$U$8:$U$68,BB$4-$B211+1)</f>
        <v/>
      </c>
      <c r="BC211" s="75">
        <f>$C211*INDEX(Curves!$U$8:$U$68,BC$4-$B211+1)</f>
        <v/>
      </c>
      <c r="BD211" s="75">
        <f>$C211*INDEX(Curves!$U$8:$U$68,BD$4-$B211+1)</f>
        <v/>
      </c>
      <c r="BE211" s="75">
        <f>$C211*INDEX(Curves!$U$8:$U$68,BE$4-$B211+1)</f>
        <v/>
      </c>
      <c r="BF211" s="75">
        <f>$C211*INDEX(Curves!$U$8:$U$68,BF$4-$B211+1)</f>
        <v/>
      </c>
      <c r="BG211" s="75">
        <f>$C211*INDEX(Curves!$U$8:$U$68,BG$4-$B211+1)</f>
        <v/>
      </c>
      <c r="BH211" s="75">
        <f>$C211*INDEX(Curves!$U$8:$U$68,BH$4-$B211+1)</f>
        <v/>
      </c>
      <c r="BI211" s="75">
        <f>$C211*INDEX(Curves!$U$8:$U$68,BI$4-$B211+1)</f>
        <v/>
      </c>
      <c r="BJ211" s="75">
        <f>$C211*INDEX(Curves!$U$8:$U$68,BJ$4-$B211+1)</f>
        <v/>
      </c>
      <c r="BK211" s="75">
        <f>$C211*INDEX(Curves!$U$8:$U$68,BK$4-$B211+1)</f>
        <v/>
      </c>
      <c r="BL211" s="75">
        <f>$C211*INDEX(Curves!$U$8:$U$68,BL$4-$B211+1)</f>
        <v/>
      </c>
    </row>
    <row r="212">
      <c r="A212" s="74" t="inlineStr">
        <is>
          <t>Cohort month 14</t>
        </is>
      </c>
      <c r="B212" s="74" t="n">
        <v>14</v>
      </c>
      <c r="C212" s="17">
        <f>INDEX(Ops!$E$35:$BL$35,1,$B212)</f>
        <v/>
      </c>
      <c r="S212" s="75">
        <f>$C212*INDEX(Curves!$U$8:$U$68,S$4-$B212+1)</f>
        <v/>
      </c>
      <c r="T212" s="75">
        <f>$C212*INDEX(Curves!$U$8:$U$68,T$4-$B212+1)</f>
        <v/>
      </c>
      <c r="U212" s="75">
        <f>$C212*INDEX(Curves!$U$8:$U$68,U$4-$B212+1)</f>
        <v/>
      </c>
      <c r="V212" s="75">
        <f>$C212*INDEX(Curves!$U$8:$U$68,V$4-$B212+1)</f>
        <v/>
      </c>
      <c r="W212" s="75">
        <f>$C212*INDEX(Curves!$U$8:$U$68,W$4-$B212+1)</f>
        <v/>
      </c>
      <c r="X212" s="75">
        <f>$C212*INDEX(Curves!$U$8:$U$68,X$4-$B212+1)</f>
        <v/>
      </c>
      <c r="Y212" s="75">
        <f>$C212*INDEX(Curves!$U$8:$U$68,Y$4-$B212+1)</f>
        <v/>
      </c>
      <c r="Z212" s="75">
        <f>$C212*INDEX(Curves!$U$8:$U$68,Z$4-$B212+1)</f>
        <v/>
      </c>
      <c r="AA212" s="75">
        <f>$C212*INDEX(Curves!$U$8:$U$68,AA$4-$B212+1)</f>
        <v/>
      </c>
      <c r="AB212" s="75">
        <f>$C212*INDEX(Curves!$U$8:$U$68,AB$4-$B212+1)</f>
        <v/>
      </c>
      <c r="AC212" s="75">
        <f>$C212*INDEX(Curves!$U$8:$U$68,AC$4-$B212+1)</f>
        <v/>
      </c>
      <c r="AD212" s="75">
        <f>$C212*INDEX(Curves!$U$8:$U$68,AD$4-$B212+1)</f>
        <v/>
      </c>
      <c r="AE212" s="75">
        <f>$C212*INDEX(Curves!$U$8:$U$68,AE$4-$B212+1)</f>
        <v/>
      </c>
      <c r="AF212" s="75">
        <f>$C212*INDEX(Curves!$U$8:$U$68,AF$4-$B212+1)</f>
        <v/>
      </c>
      <c r="AG212" s="75">
        <f>$C212*INDEX(Curves!$U$8:$U$68,AG$4-$B212+1)</f>
        <v/>
      </c>
      <c r="AH212" s="75">
        <f>$C212*INDEX(Curves!$U$8:$U$68,AH$4-$B212+1)</f>
        <v/>
      </c>
      <c r="AI212" s="75">
        <f>$C212*INDEX(Curves!$U$8:$U$68,AI$4-$B212+1)</f>
        <v/>
      </c>
      <c r="AJ212" s="75">
        <f>$C212*INDEX(Curves!$U$8:$U$68,AJ$4-$B212+1)</f>
        <v/>
      </c>
      <c r="AK212" s="75">
        <f>$C212*INDEX(Curves!$U$8:$U$68,AK$4-$B212+1)</f>
        <v/>
      </c>
      <c r="AL212" s="75">
        <f>$C212*INDEX(Curves!$U$8:$U$68,AL$4-$B212+1)</f>
        <v/>
      </c>
      <c r="AM212" s="75">
        <f>$C212*INDEX(Curves!$U$8:$U$68,AM$4-$B212+1)</f>
        <v/>
      </c>
      <c r="AN212" s="75">
        <f>$C212*INDEX(Curves!$U$8:$U$68,AN$4-$B212+1)</f>
        <v/>
      </c>
      <c r="AO212" s="75">
        <f>$C212*INDEX(Curves!$U$8:$U$68,AO$4-$B212+1)</f>
        <v/>
      </c>
      <c r="AP212" s="75">
        <f>$C212*INDEX(Curves!$U$8:$U$68,AP$4-$B212+1)</f>
        <v/>
      </c>
      <c r="AQ212" s="75">
        <f>$C212*INDEX(Curves!$U$8:$U$68,AQ$4-$B212+1)</f>
        <v/>
      </c>
      <c r="AR212" s="75">
        <f>$C212*INDEX(Curves!$U$8:$U$68,AR$4-$B212+1)</f>
        <v/>
      </c>
      <c r="AS212" s="75">
        <f>$C212*INDEX(Curves!$U$8:$U$68,AS$4-$B212+1)</f>
        <v/>
      </c>
      <c r="AT212" s="75">
        <f>$C212*INDEX(Curves!$U$8:$U$68,AT$4-$B212+1)</f>
        <v/>
      </c>
      <c r="AU212" s="75">
        <f>$C212*INDEX(Curves!$U$8:$U$68,AU$4-$B212+1)</f>
        <v/>
      </c>
      <c r="AV212" s="75">
        <f>$C212*INDEX(Curves!$U$8:$U$68,AV$4-$B212+1)</f>
        <v/>
      </c>
      <c r="AW212" s="75">
        <f>$C212*INDEX(Curves!$U$8:$U$68,AW$4-$B212+1)</f>
        <v/>
      </c>
      <c r="AX212" s="75">
        <f>$C212*INDEX(Curves!$U$8:$U$68,AX$4-$B212+1)</f>
        <v/>
      </c>
      <c r="AY212" s="75">
        <f>$C212*INDEX(Curves!$U$8:$U$68,AY$4-$B212+1)</f>
        <v/>
      </c>
      <c r="AZ212" s="75">
        <f>$C212*INDEX(Curves!$U$8:$U$68,AZ$4-$B212+1)</f>
        <v/>
      </c>
      <c r="BA212" s="75">
        <f>$C212*INDEX(Curves!$U$8:$U$68,BA$4-$B212+1)</f>
        <v/>
      </c>
      <c r="BB212" s="75">
        <f>$C212*INDEX(Curves!$U$8:$U$68,BB$4-$B212+1)</f>
        <v/>
      </c>
      <c r="BC212" s="75">
        <f>$C212*INDEX(Curves!$U$8:$U$68,BC$4-$B212+1)</f>
        <v/>
      </c>
      <c r="BD212" s="75">
        <f>$C212*INDEX(Curves!$U$8:$U$68,BD$4-$B212+1)</f>
        <v/>
      </c>
      <c r="BE212" s="75">
        <f>$C212*INDEX(Curves!$U$8:$U$68,BE$4-$B212+1)</f>
        <v/>
      </c>
      <c r="BF212" s="75">
        <f>$C212*INDEX(Curves!$U$8:$U$68,BF$4-$B212+1)</f>
        <v/>
      </c>
      <c r="BG212" s="75">
        <f>$C212*INDEX(Curves!$U$8:$U$68,BG$4-$B212+1)</f>
        <v/>
      </c>
      <c r="BH212" s="75">
        <f>$C212*INDEX(Curves!$U$8:$U$68,BH$4-$B212+1)</f>
        <v/>
      </c>
      <c r="BI212" s="75">
        <f>$C212*INDEX(Curves!$U$8:$U$68,BI$4-$B212+1)</f>
        <v/>
      </c>
      <c r="BJ212" s="75">
        <f>$C212*INDEX(Curves!$U$8:$U$68,BJ$4-$B212+1)</f>
        <v/>
      </c>
      <c r="BK212" s="75">
        <f>$C212*INDEX(Curves!$U$8:$U$68,BK$4-$B212+1)</f>
        <v/>
      </c>
      <c r="BL212" s="75">
        <f>$C212*INDEX(Curves!$U$8:$U$68,BL$4-$B212+1)</f>
        <v/>
      </c>
    </row>
    <row r="213">
      <c r="A213" s="74" t="inlineStr">
        <is>
          <t>Cohort month 15</t>
        </is>
      </c>
      <c r="B213" s="74" t="n">
        <v>15</v>
      </c>
      <c r="C213" s="17">
        <f>INDEX(Ops!$E$35:$BL$35,1,$B213)</f>
        <v/>
      </c>
      <c r="T213" s="75">
        <f>$C213*INDEX(Curves!$U$8:$U$68,T$4-$B213+1)</f>
        <v/>
      </c>
      <c r="U213" s="75">
        <f>$C213*INDEX(Curves!$U$8:$U$68,U$4-$B213+1)</f>
        <v/>
      </c>
      <c r="V213" s="75">
        <f>$C213*INDEX(Curves!$U$8:$U$68,V$4-$B213+1)</f>
        <v/>
      </c>
      <c r="W213" s="75">
        <f>$C213*INDEX(Curves!$U$8:$U$68,W$4-$B213+1)</f>
        <v/>
      </c>
      <c r="X213" s="75">
        <f>$C213*INDEX(Curves!$U$8:$U$68,X$4-$B213+1)</f>
        <v/>
      </c>
      <c r="Y213" s="75">
        <f>$C213*INDEX(Curves!$U$8:$U$68,Y$4-$B213+1)</f>
        <v/>
      </c>
      <c r="Z213" s="75">
        <f>$C213*INDEX(Curves!$U$8:$U$68,Z$4-$B213+1)</f>
        <v/>
      </c>
      <c r="AA213" s="75">
        <f>$C213*INDEX(Curves!$U$8:$U$68,AA$4-$B213+1)</f>
        <v/>
      </c>
      <c r="AB213" s="75">
        <f>$C213*INDEX(Curves!$U$8:$U$68,AB$4-$B213+1)</f>
        <v/>
      </c>
      <c r="AC213" s="75">
        <f>$C213*INDEX(Curves!$U$8:$U$68,AC$4-$B213+1)</f>
        <v/>
      </c>
      <c r="AD213" s="75">
        <f>$C213*INDEX(Curves!$U$8:$U$68,AD$4-$B213+1)</f>
        <v/>
      </c>
      <c r="AE213" s="75">
        <f>$C213*INDEX(Curves!$U$8:$U$68,AE$4-$B213+1)</f>
        <v/>
      </c>
      <c r="AF213" s="75">
        <f>$C213*INDEX(Curves!$U$8:$U$68,AF$4-$B213+1)</f>
        <v/>
      </c>
      <c r="AG213" s="75">
        <f>$C213*INDEX(Curves!$U$8:$U$68,AG$4-$B213+1)</f>
        <v/>
      </c>
      <c r="AH213" s="75">
        <f>$C213*INDEX(Curves!$U$8:$U$68,AH$4-$B213+1)</f>
        <v/>
      </c>
      <c r="AI213" s="75">
        <f>$C213*INDEX(Curves!$U$8:$U$68,AI$4-$B213+1)</f>
        <v/>
      </c>
      <c r="AJ213" s="75">
        <f>$C213*INDEX(Curves!$U$8:$U$68,AJ$4-$B213+1)</f>
        <v/>
      </c>
      <c r="AK213" s="75">
        <f>$C213*INDEX(Curves!$U$8:$U$68,AK$4-$B213+1)</f>
        <v/>
      </c>
      <c r="AL213" s="75">
        <f>$C213*INDEX(Curves!$U$8:$U$68,AL$4-$B213+1)</f>
        <v/>
      </c>
      <c r="AM213" s="75">
        <f>$C213*INDEX(Curves!$U$8:$U$68,AM$4-$B213+1)</f>
        <v/>
      </c>
      <c r="AN213" s="75">
        <f>$C213*INDEX(Curves!$U$8:$U$68,AN$4-$B213+1)</f>
        <v/>
      </c>
      <c r="AO213" s="75">
        <f>$C213*INDEX(Curves!$U$8:$U$68,AO$4-$B213+1)</f>
        <v/>
      </c>
      <c r="AP213" s="75">
        <f>$C213*INDEX(Curves!$U$8:$U$68,AP$4-$B213+1)</f>
        <v/>
      </c>
      <c r="AQ213" s="75">
        <f>$C213*INDEX(Curves!$U$8:$U$68,AQ$4-$B213+1)</f>
        <v/>
      </c>
      <c r="AR213" s="75">
        <f>$C213*INDEX(Curves!$U$8:$U$68,AR$4-$B213+1)</f>
        <v/>
      </c>
      <c r="AS213" s="75">
        <f>$C213*INDEX(Curves!$U$8:$U$68,AS$4-$B213+1)</f>
        <v/>
      </c>
      <c r="AT213" s="75">
        <f>$C213*INDEX(Curves!$U$8:$U$68,AT$4-$B213+1)</f>
        <v/>
      </c>
      <c r="AU213" s="75">
        <f>$C213*INDEX(Curves!$U$8:$U$68,AU$4-$B213+1)</f>
        <v/>
      </c>
      <c r="AV213" s="75">
        <f>$C213*INDEX(Curves!$U$8:$U$68,AV$4-$B213+1)</f>
        <v/>
      </c>
      <c r="AW213" s="75">
        <f>$C213*INDEX(Curves!$U$8:$U$68,AW$4-$B213+1)</f>
        <v/>
      </c>
      <c r="AX213" s="75">
        <f>$C213*INDEX(Curves!$U$8:$U$68,AX$4-$B213+1)</f>
        <v/>
      </c>
      <c r="AY213" s="75">
        <f>$C213*INDEX(Curves!$U$8:$U$68,AY$4-$B213+1)</f>
        <v/>
      </c>
      <c r="AZ213" s="75">
        <f>$C213*INDEX(Curves!$U$8:$U$68,AZ$4-$B213+1)</f>
        <v/>
      </c>
      <c r="BA213" s="75">
        <f>$C213*INDEX(Curves!$U$8:$U$68,BA$4-$B213+1)</f>
        <v/>
      </c>
      <c r="BB213" s="75">
        <f>$C213*INDEX(Curves!$U$8:$U$68,BB$4-$B213+1)</f>
        <v/>
      </c>
      <c r="BC213" s="75">
        <f>$C213*INDEX(Curves!$U$8:$U$68,BC$4-$B213+1)</f>
        <v/>
      </c>
      <c r="BD213" s="75">
        <f>$C213*INDEX(Curves!$U$8:$U$68,BD$4-$B213+1)</f>
        <v/>
      </c>
      <c r="BE213" s="75">
        <f>$C213*INDEX(Curves!$U$8:$U$68,BE$4-$B213+1)</f>
        <v/>
      </c>
      <c r="BF213" s="75">
        <f>$C213*INDEX(Curves!$U$8:$U$68,BF$4-$B213+1)</f>
        <v/>
      </c>
      <c r="BG213" s="75">
        <f>$C213*INDEX(Curves!$U$8:$U$68,BG$4-$B213+1)</f>
        <v/>
      </c>
      <c r="BH213" s="75">
        <f>$C213*INDEX(Curves!$U$8:$U$68,BH$4-$B213+1)</f>
        <v/>
      </c>
      <c r="BI213" s="75">
        <f>$C213*INDEX(Curves!$U$8:$U$68,BI$4-$B213+1)</f>
        <v/>
      </c>
      <c r="BJ213" s="75">
        <f>$C213*INDEX(Curves!$U$8:$U$68,BJ$4-$B213+1)</f>
        <v/>
      </c>
      <c r="BK213" s="75">
        <f>$C213*INDEX(Curves!$U$8:$U$68,BK$4-$B213+1)</f>
        <v/>
      </c>
      <c r="BL213" s="75">
        <f>$C213*INDEX(Curves!$U$8:$U$68,BL$4-$B213+1)</f>
        <v/>
      </c>
    </row>
    <row r="214">
      <c r="A214" s="74" t="inlineStr">
        <is>
          <t>Cohort month 16</t>
        </is>
      </c>
      <c r="B214" s="74" t="n">
        <v>16</v>
      </c>
      <c r="C214" s="17">
        <f>INDEX(Ops!$E$35:$BL$35,1,$B214)</f>
        <v/>
      </c>
      <c r="U214" s="75">
        <f>$C214*INDEX(Curves!$U$8:$U$68,U$4-$B214+1)</f>
        <v/>
      </c>
      <c r="V214" s="75">
        <f>$C214*INDEX(Curves!$U$8:$U$68,V$4-$B214+1)</f>
        <v/>
      </c>
      <c r="W214" s="75">
        <f>$C214*INDEX(Curves!$U$8:$U$68,W$4-$B214+1)</f>
        <v/>
      </c>
      <c r="X214" s="75">
        <f>$C214*INDEX(Curves!$U$8:$U$68,X$4-$B214+1)</f>
        <v/>
      </c>
      <c r="Y214" s="75">
        <f>$C214*INDEX(Curves!$U$8:$U$68,Y$4-$B214+1)</f>
        <v/>
      </c>
      <c r="Z214" s="75">
        <f>$C214*INDEX(Curves!$U$8:$U$68,Z$4-$B214+1)</f>
        <v/>
      </c>
      <c r="AA214" s="75">
        <f>$C214*INDEX(Curves!$U$8:$U$68,AA$4-$B214+1)</f>
        <v/>
      </c>
      <c r="AB214" s="75">
        <f>$C214*INDEX(Curves!$U$8:$U$68,AB$4-$B214+1)</f>
        <v/>
      </c>
      <c r="AC214" s="75">
        <f>$C214*INDEX(Curves!$U$8:$U$68,AC$4-$B214+1)</f>
        <v/>
      </c>
      <c r="AD214" s="75">
        <f>$C214*INDEX(Curves!$U$8:$U$68,AD$4-$B214+1)</f>
        <v/>
      </c>
      <c r="AE214" s="75">
        <f>$C214*INDEX(Curves!$U$8:$U$68,AE$4-$B214+1)</f>
        <v/>
      </c>
      <c r="AF214" s="75">
        <f>$C214*INDEX(Curves!$U$8:$U$68,AF$4-$B214+1)</f>
        <v/>
      </c>
      <c r="AG214" s="75">
        <f>$C214*INDEX(Curves!$U$8:$U$68,AG$4-$B214+1)</f>
        <v/>
      </c>
      <c r="AH214" s="75">
        <f>$C214*INDEX(Curves!$U$8:$U$68,AH$4-$B214+1)</f>
        <v/>
      </c>
      <c r="AI214" s="75">
        <f>$C214*INDEX(Curves!$U$8:$U$68,AI$4-$B214+1)</f>
        <v/>
      </c>
      <c r="AJ214" s="75">
        <f>$C214*INDEX(Curves!$U$8:$U$68,AJ$4-$B214+1)</f>
        <v/>
      </c>
      <c r="AK214" s="75">
        <f>$C214*INDEX(Curves!$U$8:$U$68,AK$4-$B214+1)</f>
        <v/>
      </c>
      <c r="AL214" s="75">
        <f>$C214*INDEX(Curves!$U$8:$U$68,AL$4-$B214+1)</f>
        <v/>
      </c>
      <c r="AM214" s="75">
        <f>$C214*INDEX(Curves!$U$8:$U$68,AM$4-$B214+1)</f>
        <v/>
      </c>
      <c r="AN214" s="75">
        <f>$C214*INDEX(Curves!$U$8:$U$68,AN$4-$B214+1)</f>
        <v/>
      </c>
      <c r="AO214" s="75">
        <f>$C214*INDEX(Curves!$U$8:$U$68,AO$4-$B214+1)</f>
        <v/>
      </c>
      <c r="AP214" s="75">
        <f>$C214*INDEX(Curves!$U$8:$U$68,AP$4-$B214+1)</f>
        <v/>
      </c>
      <c r="AQ214" s="75">
        <f>$C214*INDEX(Curves!$U$8:$U$68,AQ$4-$B214+1)</f>
        <v/>
      </c>
      <c r="AR214" s="75">
        <f>$C214*INDEX(Curves!$U$8:$U$68,AR$4-$B214+1)</f>
        <v/>
      </c>
      <c r="AS214" s="75">
        <f>$C214*INDEX(Curves!$U$8:$U$68,AS$4-$B214+1)</f>
        <v/>
      </c>
      <c r="AT214" s="75">
        <f>$C214*INDEX(Curves!$U$8:$U$68,AT$4-$B214+1)</f>
        <v/>
      </c>
      <c r="AU214" s="75">
        <f>$C214*INDEX(Curves!$U$8:$U$68,AU$4-$B214+1)</f>
        <v/>
      </c>
      <c r="AV214" s="75">
        <f>$C214*INDEX(Curves!$U$8:$U$68,AV$4-$B214+1)</f>
        <v/>
      </c>
      <c r="AW214" s="75">
        <f>$C214*INDEX(Curves!$U$8:$U$68,AW$4-$B214+1)</f>
        <v/>
      </c>
      <c r="AX214" s="75">
        <f>$C214*INDEX(Curves!$U$8:$U$68,AX$4-$B214+1)</f>
        <v/>
      </c>
      <c r="AY214" s="75">
        <f>$C214*INDEX(Curves!$U$8:$U$68,AY$4-$B214+1)</f>
        <v/>
      </c>
      <c r="AZ214" s="75">
        <f>$C214*INDEX(Curves!$U$8:$U$68,AZ$4-$B214+1)</f>
        <v/>
      </c>
      <c r="BA214" s="75">
        <f>$C214*INDEX(Curves!$U$8:$U$68,BA$4-$B214+1)</f>
        <v/>
      </c>
      <c r="BB214" s="75">
        <f>$C214*INDEX(Curves!$U$8:$U$68,BB$4-$B214+1)</f>
        <v/>
      </c>
      <c r="BC214" s="75">
        <f>$C214*INDEX(Curves!$U$8:$U$68,BC$4-$B214+1)</f>
        <v/>
      </c>
      <c r="BD214" s="75">
        <f>$C214*INDEX(Curves!$U$8:$U$68,BD$4-$B214+1)</f>
        <v/>
      </c>
      <c r="BE214" s="75">
        <f>$C214*INDEX(Curves!$U$8:$U$68,BE$4-$B214+1)</f>
        <v/>
      </c>
      <c r="BF214" s="75">
        <f>$C214*INDEX(Curves!$U$8:$U$68,BF$4-$B214+1)</f>
        <v/>
      </c>
      <c r="BG214" s="75">
        <f>$C214*INDEX(Curves!$U$8:$U$68,BG$4-$B214+1)</f>
        <v/>
      </c>
      <c r="BH214" s="75">
        <f>$C214*INDEX(Curves!$U$8:$U$68,BH$4-$B214+1)</f>
        <v/>
      </c>
      <c r="BI214" s="75">
        <f>$C214*INDEX(Curves!$U$8:$U$68,BI$4-$B214+1)</f>
        <v/>
      </c>
      <c r="BJ214" s="75">
        <f>$C214*INDEX(Curves!$U$8:$U$68,BJ$4-$B214+1)</f>
        <v/>
      </c>
      <c r="BK214" s="75">
        <f>$C214*INDEX(Curves!$U$8:$U$68,BK$4-$B214+1)</f>
        <v/>
      </c>
      <c r="BL214" s="75">
        <f>$C214*INDEX(Curves!$U$8:$U$68,BL$4-$B214+1)</f>
        <v/>
      </c>
    </row>
    <row r="215">
      <c r="A215" s="74" t="inlineStr">
        <is>
          <t>Cohort month 17</t>
        </is>
      </c>
      <c r="B215" s="74" t="n">
        <v>17</v>
      </c>
      <c r="C215" s="17">
        <f>INDEX(Ops!$E$35:$BL$35,1,$B215)</f>
        <v/>
      </c>
      <c r="V215" s="75">
        <f>$C215*INDEX(Curves!$U$8:$U$68,V$4-$B215+1)</f>
        <v/>
      </c>
      <c r="W215" s="75">
        <f>$C215*INDEX(Curves!$U$8:$U$68,W$4-$B215+1)</f>
        <v/>
      </c>
      <c r="X215" s="75">
        <f>$C215*INDEX(Curves!$U$8:$U$68,X$4-$B215+1)</f>
        <v/>
      </c>
      <c r="Y215" s="75">
        <f>$C215*INDEX(Curves!$U$8:$U$68,Y$4-$B215+1)</f>
        <v/>
      </c>
      <c r="Z215" s="75">
        <f>$C215*INDEX(Curves!$U$8:$U$68,Z$4-$B215+1)</f>
        <v/>
      </c>
      <c r="AA215" s="75">
        <f>$C215*INDEX(Curves!$U$8:$U$68,AA$4-$B215+1)</f>
        <v/>
      </c>
      <c r="AB215" s="75">
        <f>$C215*INDEX(Curves!$U$8:$U$68,AB$4-$B215+1)</f>
        <v/>
      </c>
      <c r="AC215" s="75">
        <f>$C215*INDEX(Curves!$U$8:$U$68,AC$4-$B215+1)</f>
        <v/>
      </c>
      <c r="AD215" s="75">
        <f>$C215*INDEX(Curves!$U$8:$U$68,AD$4-$B215+1)</f>
        <v/>
      </c>
      <c r="AE215" s="75">
        <f>$C215*INDEX(Curves!$U$8:$U$68,AE$4-$B215+1)</f>
        <v/>
      </c>
      <c r="AF215" s="75">
        <f>$C215*INDEX(Curves!$U$8:$U$68,AF$4-$B215+1)</f>
        <v/>
      </c>
      <c r="AG215" s="75">
        <f>$C215*INDEX(Curves!$U$8:$U$68,AG$4-$B215+1)</f>
        <v/>
      </c>
      <c r="AH215" s="75">
        <f>$C215*INDEX(Curves!$U$8:$U$68,AH$4-$B215+1)</f>
        <v/>
      </c>
      <c r="AI215" s="75">
        <f>$C215*INDEX(Curves!$U$8:$U$68,AI$4-$B215+1)</f>
        <v/>
      </c>
      <c r="AJ215" s="75">
        <f>$C215*INDEX(Curves!$U$8:$U$68,AJ$4-$B215+1)</f>
        <v/>
      </c>
      <c r="AK215" s="75">
        <f>$C215*INDEX(Curves!$U$8:$U$68,AK$4-$B215+1)</f>
        <v/>
      </c>
      <c r="AL215" s="75">
        <f>$C215*INDEX(Curves!$U$8:$U$68,AL$4-$B215+1)</f>
        <v/>
      </c>
      <c r="AM215" s="75">
        <f>$C215*INDEX(Curves!$U$8:$U$68,AM$4-$B215+1)</f>
        <v/>
      </c>
      <c r="AN215" s="75">
        <f>$C215*INDEX(Curves!$U$8:$U$68,AN$4-$B215+1)</f>
        <v/>
      </c>
      <c r="AO215" s="75">
        <f>$C215*INDEX(Curves!$U$8:$U$68,AO$4-$B215+1)</f>
        <v/>
      </c>
      <c r="AP215" s="75">
        <f>$C215*INDEX(Curves!$U$8:$U$68,AP$4-$B215+1)</f>
        <v/>
      </c>
      <c r="AQ215" s="75">
        <f>$C215*INDEX(Curves!$U$8:$U$68,AQ$4-$B215+1)</f>
        <v/>
      </c>
      <c r="AR215" s="75">
        <f>$C215*INDEX(Curves!$U$8:$U$68,AR$4-$B215+1)</f>
        <v/>
      </c>
      <c r="AS215" s="75">
        <f>$C215*INDEX(Curves!$U$8:$U$68,AS$4-$B215+1)</f>
        <v/>
      </c>
      <c r="AT215" s="75">
        <f>$C215*INDEX(Curves!$U$8:$U$68,AT$4-$B215+1)</f>
        <v/>
      </c>
      <c r="AU215" s="75">
        <f>$C215*INDEX(Curves!$U$8:$U$68,AU$4-$B215+1)</f>
        <v/>
      </c>
      <c r="AV215" s="75">
        <f>$C215*INDEX(Curves!$U$8:$U$68,AV$4-$B215+1)</f>
        <v/>
      </c>
      <c r="AW215" s="75">
        <f>$C215*INDEX(Curves!$U$8:$U$68,AW$4-$B215+1)</f>
        <v/>
      </c>
      <c r="AX215" s="75">
        <f>$C215*INDEX(Curves!$U$8:$U$68,AX$4-$B215+1)</f>
        <v/>
      </c>
      <c r="AY215" s="75">
        <f>$C215*INDEX(Curves!$U$8:$U$68,AY$4-$B215+1)</f>
        <v/>
      </c>
      <c r="AZ215" s="75">
        <f>$C215*INDEX(Curves!$U$8:$U$68,AZ$4-$B215+1)</f>
        <v/>
      </c>
      <c r="BA215" s="75">
        <f>$C215*INDEX(Curves!$U$8:$U$68,BA$4-$B215+1)</f>
        <v/>
      </c>
      <c r="BB215" s="75">
        <f>$C215*INDEX(Curves!$U$8:$U$68,BB$4-$B215+1)</f>
        <v/>
      </c>
      <c r="BC215" s="75">
        <f>$C215*INDEX(Curves!$U$8:$U$68,BC$4-$B215+1)</f>
        <v/>
      </c>
      <c r="BD215" s="75">
        <f>$C215*INDEX(Curves!$U$8:$U$68,BD$4-$B215+1)</f>
        <v/>
      </c>
      <c r="BE215" s="75">
        <f>$C215*INDEX(Curves!$U$8:$U$68,BE$4-$B215+1)</f>
        <v/>
      </c>
      <c r="BF215" s="75">
        <f>$C215*INDEX(Curves!$U$8:$U$68,BF$4-$B215+1)</f>
        <v/>
      </c>
      <c r="BG215" s="75">
        <f>$C215*INDEX(Curves!$U$8:$U$68,BG$4-$B215+1)</f>
        <v/>
      </c>
      <c r="BH215" s="75">
        <f>$C215*INDEX(Curves!$U$8:$U$68,BH$4-$B215+1)</f>
        <v/>
      </c>
      <c r="BI215" s="75">
        <f>$C215*INDEX(Curves!$U$8:$U$68,BI$4-$B215+1)</f>
        <v/>
      </c>
      <c r="BJ215" s="75">
        <f>$C215*INDEX(Curves!$U$8:$U$68,BJ$4-$B215+1)</f>
        <v/>
      </c>
      <c r="BK215" s="75">
        <f>$C215*INDEX(Curves!$U$8:$U$68,BK$4-$B215+1)</f>
        <v/>
      </c>
      <c r="BL215" s="75">
        <f>$C215*INDEX(Curves!$U$8:$U$68,BL$4-$B215+1)</f>
        <v/>
      </c>
    </row>
    <row r="216">
      <c r="A216" s="74" t="inlineStr">
        <is>
          <t>Cohort month 18</t>
        </is>
      </c>
      <c r="B216" s="74" t="n">
        <v>18</v>
      </c>
      <c r="C216" s="17">
        <f>INDEX(Ops!$E$35:$BL$35,1,$B216)</f>
        <v/>
      </c>
      <c r="W216" s="75">
        <f>$C216*INDEX(Curves!$U$8:$U$68,W$4-$B216+1)</f>
        <v/>
      </c>
      <c r="X216" s="75">
        <f>$C216*INDEX(Curves!$U$8:$U$68,X$4-$B216+1)</f>
        <v/>
      </c>
      <c r="Y216" s="75">
        <f>$C216*INDEX(Curves!$U$8:$U$68,Y$4-$B216+1)</f>
        <v/>
      </c>
      <c r="Z216" s="75">
        <f>$C216*INDEX(Curves!$U$8:$U$68,Z$4-$B216+1)</f>
        <v/>
      </c>
      <c r="AA216" s="75">
        <f>$C216*INDEX(Curves!$U$8:$U$68,AA$4-$B216+1)</f>
        <v/>
      </c>
      <c r="AB216" s="75">
        <f>$C216*INDEX(Curves!$U$8:$U$68,AB$4-$B216+1)</f>
        <v/>
      </c>
      <c r="AC216" s="75">
        <f>$C216*INDEX(Curves!$U$8:$U$68,AC$4-$B216+1)</f>
        <v/>
      </c>
      <c r="AD216" s="75">
        <f>$C216*INDEX(Curves!$U$8:$U$68,AD$4-$B216+1)</f>
        <v/>
      </c>
      <c r="AE216" s="75">
        <f>$C216*INDEX(Curves!$U$8:$U$68,AE$4-$B216+1)</f>
        <v/>
      </c>
      <c r="AF216" s="75">
        <f>$C216*INDEX(Curves!$U$8:$U$68,AF$4-$B216+1)</f>
        <v/>
      </c>
      <c r="AG216" s="75">
        <f>$C216*INDEX(Curves!$U$8:$U$68,AG$4-$B216+1)</f>
        <v/>
      </c>
      <c r="AH216" s="75">
        <f>$C216*INDEX(Curves!$U$8:$U$68,AH$4-$B216+1)</f>
        <v/>
      </c>
      <c r="AI216" s="75">
        <f>$C216*INDEX(Curves!$U$8:$U$68,AI$4-$B216+1)</f>
        <v/>
      </c>
      <c r="AJ216" s="75">
        <f>$C216*INDEX(Curves!$U$8:$U$68,AJ$4-$B216+1)</f>
        <v/>
      </c>
      <c r="AK216" s="75">
        <f>$C216*INDEX(Curves!$U$8:$U$68,AK$4-$B216+1)</f>
        <v/>
      </c>
      <c r="AL216" s="75">
        <f>$C216*INDEX(Curves!$U$8:$U$68,AL$4-$B216+1)</f>
        <v/>
      </c>
      <c r="AM216" s="75">
        <f>$C216*INDEX(Curves!$U$8:$U$68,AM$4-$B216+1)</f>
        <v/>
      </c>
      <c r="AN216" s="75">
        <f>$C216*INDEX(Curves!$U$8:$U$68,AN$4-$B216+1)</f>
        <v/>
      </c>
      <c r="AO216" s="75">
        <f>$C216*INDEX(Curves!$U$8:$U$68,AO$4-$B216+1)</f>
        <v/>
      </c>
      <c r="AP216" s="75">
        <f>$C216*INDEX(Curves!$U$8:$U$68,AP$4-$B216+1)</f>
        <v/>
      </c>
      <c r="AQ216" s="75">
        <f>$C216*INDEX(Curves!$U$8:$U$68,AQ$4-$B216+1)</f>
        <v/>
      </c>
      <c r="AR216" s="75">
        <f>$C216*INDEX(Curves!$U$8:$U$68,AR$4-$B216+1)</f>
        <v/>
      </c>
      <c r="AS216" s="75">
        <f>$C216*INDEX(Curves!$U$8:$U$68,AS$4-$B216+1)</f>
        <v/>
      </c>
      <c r="AT216" s="75">
        <f>$C216*INDEX(Curves!$U$8:$U$68,AT$4-$B216+1)</f>
        <v/>
      </c>
      <c r="AU216" s="75">
        <f>$C216*INDEX(Curves!$U$8:$U$68,AU$4-$B216+1)</f>
        <v/>
      </c>
      <c r="AV216" s="75">
        <f>$C216*INDEX(Curves!$U$8:$U$68,AV$4-$B216+1)</f>
        <v/>
      </c>
      <c r="AW216" s="75">
        <f>$C216*INDEX(Curves!$U$8:$U$68,AW$4-$B216+1)</f>
        <v/>
      </c>
      <c r="AX216" s="75">
        <f>$C216*INDEX(Curves!$U$8:$U$68,AX$4-$B216+1)</f>
        <v/>
      </c>
      <c r="AY216" s="75">
        <f>$C216*INDEX(Curves!$U$8:$U$68,AY$4-$B216+1)</f>
        <v/>
      </c>
      <c r="AZ216" s="75">
        <f>$C216*INDEX(Curves!$U$8:$U$68,AZ$4-$B216+1)</f>
        <v/>
      </c>
      <c r="BA216" s="75">
        <f>$C216*INDEX(Curves!$U$8:$U$68,BA$4-$B216+1)</f>
        <v/>
      </c>
      <c r="BB216" s="75">
        <f>$C216*INDEX(Curves!$U$8:$U$68,BB$4-$B216+1)</f>
        <v/>
      </c>
      <c r="BC216" s="75">
        <f>$C216*INDEX(Curves!$U$8:$U$68,BC$4-$B216+1)</f>
        <v/>
      </c>
      <c r="BD216" s="75">
        <f>$C216*INDEX(Curves!$U$8:$U$68,BD$4-$B216+1)</f>
        <v/>
      </c>
      <c r="BE216" s="75">
        <f>$C216*INDEX(Curves!$U$8:$U$68,BE$4-$B216+1)</f>
        <v/>
      </c>
      <c r="BF216" s="75">
        <f>$C216*INDEX(Curves!$U$8:$U$68,BF$4-$B216+1)</f>
        <v/>
      </c>
      <c r="BG216" s="75">
        <f>$C216*INDEX(Curves!$U$8:$U$68,BG$4-$B216+1)</f>
        <v/>
      </c>
      <c r="BH216" s="75">
        <f>$C216*INDEX(Curves!$U$8:$U$68,BH$4-$B216+1)</f>
        <v/>
      </c>
      <c r="BI216" s="75">
        <f>$C216*INDEX(Curves!$U$8:$U$68,BI$4-$B216+1)</f>
        <v/>
      </c>
      <c r="BJ216" s="75">
        <f>$C216*INDEX(Curves!$U$8:$U$68,BJ$4-$B216+1)</f>
        <v/>
      </c>
      <c r="BK216" s="75">
        <f>$C216*INDEX(Curves!$U$8:$U$68,BK$4-$B216+1)</f>
        <v/>
      </c>
      <c r="BL216" s="75">
        <f>$C216*INDEX(Curves!$U$8:$U$68,BL$4-$B216+1)</f>
        <v/>
      </c>
    </row>
    <row r="217">
      <c r="A217" s="74" t="inlineStr">
        <is>
          <t>Cohort month 19</t>
        </is>
      </c>
      <c r="B217" s="74" t="n">
        <v>19</v>
      </c>
      <c r="C217" s="17">
        <f>INDEX(Ops!$E$35:$BL$35,1,$B217)</f>
        <v/>
      </c>
      <c r="X217" s="75">
        <f>$C217*INDEX(Curves!$U$8:$U$68,X$4-$B217+1)</f>
        <v/>
      </c>
      <c r="Y217" s="75">
        <f>$C217*INDEX(Curves!$U$8:$U$68,Y$4-$B217+1)</f>
        <v/>
      </c>
      <c r="Z217" s="75">
        <f>$C217*INDEX(Curves!$U$8:$U$68,Z$4-$B217+1)</f>
        <v/>
      </c>
      <c r="AA217" s="75">
        <f>$C217*INDEX(Curves!$U$8:$U$68,AA$4-$B217+1)</f>
        <v/>
      </c>
      <c r="AB217" s="75">
        <f>$C217*INDEX(Curves!$U$8:$U$68,AB$4-$B217+1)</f>
        <v/>
      </c>
      <c r="AC217" s="75">
        <f>$C217*INDEX(Curves!$U$8:$U$68,AC$4-$B217+1)</f>
        <v/>
      </c>
      <c r="AD217" s="75">
        <f>$C217*INDEX(Curves!$U$8:$U$68,AD$4-$B217+1)</f>
        <v/>
      </c>
      <c r="AE217" s="75">
        <f>$C217*INDEX(Curves!$U$8:$U$68,AE$4-$B217+1)</f>
        <v/>
      </c>
      <c r="AF217" s="75">
        <f>$C217*INDEX(Curves!$U$8:$U$68,AF$4-$B217+1)</f>
        <v/>
      </c>
      <c r="AG217" s="75">
        <f>$C217*INDEX(Curves!$U$8:$U$68,AG$4-$B217+1)</f>
        <v/>
      </c>
      <c r="AH217" s="75">
        <f>$C217*INDEX(Curves!$U$8:$U$68,AH$4-$B217+1)</f>
        <v/>
      </c>
      <c r="AI217" s="75">
        <f>$C217*INDEX(Curves!$U$8:$U$68,AI$4-$B217+1)</f>
        <v/>
      </c>
      <c r="AJ217" s="75">
        <f>$C217*INDEX(Curves!$U$8:$U$68,AJ$4-$B217+1)</f>
        <v/>
      </c>
      <c r="AK217" s="75">
        <f>$C217*INDEX(Curves!$U$8:$U$68,AK$4-$B217+1)</f>
        <v/>
      </c>
      <c r="AL217" s="75">
        <f>$C217*INDEX(Curves!$U$8:$U$68,AL$4-$B217+1)</f>
        <v/>
      </c>
      <c r="AM217" s="75">
        <f>$C217*INDEX(Curves!$U$8:$U$68,AM$4-$B217+1)</f>
        <v/>
      </c>
      <c r="AN217" s="75">
        <f>$C217*INDEX(Curves!$U$8:$U$68,AN$4-$B217+1)</f>
        <v/>
      </c>
      <c r="AO217" s="75">
        <f>$C217*INDEX(Curves!$U$8:$U$68,AO$4-$B217+1)</f>
        <v/>
      </c>
      <c r="AP217" s="75">
        <f>$C217*INDEX(Curves!$U$8:$U$68,AP$4-$B217+1)</f>
        <v/>
      </c>
      <c r="AQ217" s="75">
        <f>$C217*INDEX(Curves!$U$8:$U$68,AQ$4-$B217+1)</f>
        <v/>
      </c>
      <c r="AR217" s="75">
        <f>$C217*INDEX(Curves!$U$8:$U$68,AR$4-$B217+1)</f>
        <v/>
      </c>
      <c r="AS217" s="75">
        <f>$C217*INDEX(Curves!$U$8:$U$68,AS$4-$B217+1)</f>
        <v/>
      </c>
      <c r="AT217" s="75">
        <f>$C217*INDEX(Curves!$U$8:$U$68,AT$4-$B217+1)</f>
        <v/>
      </c>
      <c r="AU217" s="75">
        <f>$C217*INDEX(Curves!$U$8:$U$68,AU$4-$B217+1)</f>
        <v/>
      </c>
      <c r="AV217" s="75">
        <f>$C217*INDEX(Curves!$U$8:$U$68,AV$4-$B217+1)</f>
        <v/>
      </c>
      <c r="AW217" s="75">
        <f>$C217*INDEX(Curves!$U$8:$U$68,AW$4-$B217+1)</f>
        <v/>
      </c>
      <c r="AX217" s="75">
        <f>$C217*INDEX(Curves!$U$8:$U$68,AX$4-$B217+1)</f>
        <v/>
      </c>
      <c r="AY217" s="75">
        <f>$C217*INDEX(Curves!$U$8:$U$68,AY$4-$B217+1)</f>
        <v/>
      </c>
      <c r="AZ217" s="75">
        <f>$C217*INDEX(Curves!$U$8:$U$68,AZ$4-$B217+1)</f>
        <v/>
      </c>
      <c r="BA217" s="75">
        <f>$C217*INDEX(Curves!$U$8:$U$68,BA$4-$B217+1)</f>
        <v/>
      </c>
      <c r="BB217" s="75">
        <f>$C217*INDEX(Curves!$U$8:$U$68,BB$4-$B217+1)</f>
        <v/>
      </c>
      <c r="BC217" s="75">
        <f>$C217*INDEX(Curves!$U$8:$U$68,BC$4-$B217+1)</f>
        <v/>
      </c>
      <c r="BD217" s="75">
        <f>$C217*INDEX(Curves!$U$8:$U$68,BD$4-$B217+1)</f>
        <v/>
      </c>
      <c r="BE217" s="75">
        <f>$C217*INDEX(Curves!$U$8:$U$68,BE$4-$B217+1)</f>
        <v/>
      </c>
      <c r="BF217" s="75">
        <f>$C217*INDEX(Curves!$U$8:$U$68,BF$4-$B217+1)</f>
        <v/>
      </c>
      <c r="BG217" s="75">
        <f>$C217*INDEX(Curves!$U$8:$U$68,BG$4-$B217+1)</f>
        <v/>
      </c>
      <c r="BH217" s="75">
        <f>$C217*INDEX(Curves!$U$8:$U$68,BH$4-$B217+1)</f>
        <v/>
      </c>
      <c r="BI217" s="75">
        <f>$C217*INDEX(Curves!$U$8:$U$68,BI$4-$B217+1)</f>
        <v/>
      </c>
      <c r="BJ217" s="75">
        <f>$C217*INDEX(Curves!$U$8:$U$68,BJ$4-$B217+1)</f>
        <v/>
      </c>
      <c r="BK217" s="75">
        <f>$C217*INDEX(Curves!$U$8:$U$68,BK$4-$B217+1)</f>
        <v/>
      </c>
      <c r="BL217" s="75">
        <f>$C217*INDEX(Curves!$U$8:$U$68,BL$4-$B217+1)</f>
        <v/>
      </c>
    </row>
    <row r="218">
      <c r="A218" s="74" t="inlineStr">
        <is>
          <t>Cohort month 20</t>
        </is>
      </c>
      <c r="B218" s="74" t="n">
        <v>20</v>
      </c>
      <c r="C218" s="17">
        <f>INDEX(Ops!$E$35:$BL$35,1,$B218)</f>
        <v/>
      </c>
      <c r="Y218" s="75">
        <f>$C218*INDEX(Curves!$U$8:$U$68,Y$4-$B218+1)</f>
        <v/>
      </c>
      <c r="Z218" s="75">
        <f>$C218*INDEX(Curves!$U$8:$U$68,Z$4-$B218+1)</f>
        <v/>
      </c>
      <c r="AA218" s="75">
        <f>$C218*INDEX(Curves!$U$8:$U$68,AA$4-$B218+1)</f>
        <v/>
      </c>
      <c r="AB218" s="75">
        <f>$C218*INDEX(Curves!$U$8:$U$68,AB$4-$B218+1)</f>
        <v/>
      </c>
      <c r="AC218" s="75">
        <f>$C218*INDEX(Curves!$U$8:$U$68,AC$4-$B218+1)</f>
        <v/>
      </c>
      <c r="AD218" s="75">
        <f>$C218*INDEX(Curves!$U$8:$U$68,AD$4-$B218+1)</f>
        <v/>
      </c>
      <c r="AE218" s="75">
        <f>$C218*INDEX(Curves!$U$8:$U$68,AE$4-$B218+1)</f>
        <v/>
      </c>
      <c r="AF218" s="75">
        <f>$C218*INDEX(Curves!$U$8:$U$68,AF$4-$B218+1)</f>
        <v/>
      </c>
      <c r="AG218" s="75">
        <f>$C218*INDEX(Curves!$U$8:$U$68,AG$4-$B218+1)</f>
        <v/>
      </c>
      <c r="AH218" s="75">
        <f>$C218*INDEX(Curves!$U$8:$U$68,AH$4-$B218+1)</f>
        <v/>
      </c>
      <c r="AI218" s="75">
        <f>$C218*INDEX(Curves!$U$8:$U$68,AI$4-$B218+1)</f>
        <v/>
      </c>
      <c r="AJ218" s="75">
        <f>$C218*INDEX(Curves!$U$8:$U$68,AJ$4-$B218+1)</f>
        <v/>
      </c>
      <c r="AK218" s="75">
        <f>$C218*INDEX(Curves!$U$8:$U$68,AK$4-$B218+1)</f>
        <v/>
      </c>
      <c r="AL218" s="75">
        <f>$C218*INDEX(Curves!$U$8:$U$68,AL$4-$B218+1)</f>
        <v/>
      </c>
      <c r="AM218" s="75">
        <f>$C218*INDEX(Curves!$U$8:$U$68,AM$4-$B218+1)</f>
        <v/>
      </c>
      <c r="AN218" s="75">
        <f>$C218*INDEX(Curves!$U$8:$U$68,AN$4-$B218+1)</f>
        <v/>
      </c>
      <c r="AO218" s="75">
        <f>$C218*INDEX(Curves!$U$8:$U$68,AO$4-$B218+1)</f>
        <v/>
      </c>
      <c r="AP218" s="75">
        <f>$C218*INDEX(Curves!$U$8:$U$68,AP$4-$B218+1)</f>
        <v/>
      </c>
      <c r="AQ218" s="75">
        <f>$C218*INDEX(Curves!$U$8:$U$68,AQ$4-$B218+1)</f>
        <v/>
      </c>
      <c r="AR218" s="75">
        <f>$C218*INDEX(Curves!$U$8:$U$68,AR$4-$B218+1)</f>
        <v/>
      </c>
      <c r="AS218" s="75">
        <f>$C218*INDEX(Curves!$U$8:$U$68,AS$4-$B218+1)</f>
        <v/>
      </c>
      <c r="AT218" s="75">
        <f>$C218*INDEX(Curves!$U$8:$U$68,AT$4-$B218+1)</f>
        <v/>
      </c>
      <c r="AU218" s="75">
        <f>$C218*INDEX(Curves!$U$8:$U$68,AU$4-$B218+1)</f>
        <v/>
      </c>
      <c r="AV218" s="75">
        <f>$C218*INDEX(Curves!$U$8:$U$68,AV$4-$B218+1)</f>
        <v/>
      </c>
      <c r="AW218" s="75">
        <f>$C218*INDEX(Curves!$U$8:$U$68,AW$4-$B218+1)</f>
        <v/>
      </c>
      <c r="AX218" s="75">
        <f>$C218*INDEX(Curves!$U$8:$U$68,AX$4-$B218+1)</f>
        <v/>
      </c>
      <c r="AY218" s="75">
        <f>$C218*INDEX(Curves!$U$8:$U$68,AY$4-$B218+1)</f>
        <v/>
      </c>
      <c r="AZ218" s="75">
        <f>$C218*INDEX(Curves!$U$8:$U$68,AZ$4-$B218+1)</f>
        <v/>
      </c>
      <c r="BA218" s="75">
        <f>$C218*INDEX(Curves!$U$8:$U$68,BA$4-$B218+1)</f>
        <v/>
      </c>
      <c r="BB218" s="75">
        <f>$C218*INDEX(Curves!$U$8:$U$68,BB$4-$B218+1)</f>
        <v/>
      </c>
      <c r="BC218" s="75">
        <f>$C218*INDEX(Curves!$U$8:$U$68,BC$4-$B218+1)</f>
        <v/>
      </c>
      <c r="BD218" s="75">
        <f>$C218*INDEX(Curves!$U$8:$U$68,BD$4-$B218+1)</f>
        <v/>
      </c>
      <c r="BE218" s="75">
        <f>$C218*INDEX(Curves!$U$8:$U$68,BE$4-$B218+1)</f>
        <v/>
      </c>
      <c r="BF218" s="75">
        <f>$C218*INDEX(Curves!$U$8:$U$68,BF$4-$B218+1)</f>
        <v/>
      </c>
      <c r="BG218" s="75">
        <f>$C218*INDEX(Curves!$U$8:$U$68,BG$4-$B218+1)</f>
        <v/>
      </c>
      <c r="BH218" s="75">
        <f>$C218*INDEX(Curves!$U$8:$U$68,BH$4-$B218+1)</f>
        <v/>
      </c>
      <c r="BI218" s="75">
        <f>$C218*INDEX(Curves!$U$8:$U$68,BI$4-$B218+1)</f>
        <v/>
      </c>
      <c r="BJ218" s="75">
        <f>$C218*INDEX(Curves!$U$8:$U$68,BJ$4-$B218+1)</f>
        <v/>
      </c>
      <c r="BK218" s="75">
        <f>$C218*INDEX(Curves!$U$8:$U$68,BK$4-$B218+1)</f>
        <v/>
      </c>
      <c r="BL218" s="75">
        <f>$C218*INDEX(Curves!$U$8:$U$68,BL$4-$B218+1)</f>
        <v/>
      </c>
    </row>
    <row r="219">
      <c r="A219" s="74" t="inlineStr">
        <is>
          <t>Cohort month 21</t>
        </is>
      </c>
      <c r="B219" s="74" t="n">
        <v>21</v>
      </c>
      <c r="C219" s="17">
        <f>INDEX(Ops!$E$35:$BL$35,1,$B219)</f>
        <v/>
      </c>
      <c r="Z219" s="75">
        <f>$C219*INDEX(Curves!$U$8:$U$68,Z$4-$B219+1)</f>
        <v/>
      </c>
      <c r="AA219" s="75">
        <f>$C219*INDEX(Curves!$U$8:$U$68,AA$4-$B219+1)</f>
        <v/>
      </c>
      <c r="AB219" s="75">
        <f>$C219*INDEX(Curves!$U$8:$U$68,AB$4-$B219+1)</f>
        <v/>
      </c>
      <c r="AC219" s="75">
        <f>$C219*INDEX(Curves!$U$8:$U$68,AC$4-$B219+1)</f>
        <v/>
      </c>
      <c r="AD219" s="75">
        <f>$C219*INDEX(Curves!$U$8:$U$68,AD$4-$B219+1)</f>
        <v/>
      </c>
      <c r="AE219" s="75">
        <f>$C219*INDEX(Curves!$U$8:$U$68,AE$4-$B219+1)</f>
        <v/>
      </c>
      <c r="AF219" s="75">
        <f>$C219*INDEX(Curves!$U$8:$U$68,AF$4-$B219+1)</f>
        <v/>
      </c>
      <c r="AG219" s="75">
        <f>$C219*INDEX(Curves!$U$8:$U$68,AG$4-$B219+1)</f>
        <v/>
      </c>
      <c r="AH219" s="75">
        <f>$C219*INDEX(Curves!$U$8:$U$68,AH$4-$B219+1)</f>
        <v/>
      </c>
      <c r="AI219" s="75">
        <f>$C219*INDEX(Curves!$U$8:$U$68,AI$4-$B219+1)</f>
        <v/>
      </c>
      <c r="AJ219" s="75">
        <f>$C219*INDEX(Curves!$U$8:$U$68,AJ$4-$B219+1)</f>
        <v/>
      </c>
      <c r="AK219" s="75">
        <f>$C219*INDEX(Curves!$U$8:$U$68,AK$4-$B219+1)</f>
        <v/>
      </c>
      <c r="AL219" s="75">
        <f>$C219*INDEX(Curves!$U$8:$U$68,AL$4-$B219+1)</f>
        <v/>
      </c>
      <c r="AM219" s="75">
        <f>$C219*INDEX(Curves!$U$8:$U$68,AM$4-$B219+1)</f>
        <v/>
      </c>
      <c r="AN219" s="75">
        <f>$C219*INDEX(Curves!$U$8:$U$68,AN$4-$B219+1)</f>
        <v/>
      </c>
      <c r="AO219" s="75">
        <f>$C219*INDEX(Curves!$U$8:$U$68,AO$4-$B219+1)</f>
        <v/>
      </c>
      <c r="AP219" s="75">
        <f>$C219*INDEX(Curves!$U$8:$U$68,AP$4-$B219+1)</f>
        <v/>
      </c>
      <c r="AQ219" s="75">
        <f>$C219*INDEX(Curves!$U$8:$U$68,AQ$4-$B219+1)</f>
        <v/>
      </c>
      <c r="AR219" s="75">
        <f>$C219*INDEX(Curves!$U$8:$U$68,AR$4-$B219+1)</f>
        <v/>
      </c>
      <c r="AS219" s="75">
        <f>$C219*INDEX(Curves!$U$8:$U$68,AS$4-$B219+1)</f>
        <v/>
      </c>
      <c r="AT219" s="75">
        <f>$C219*INDEX(Curves!$U$8:$U$68,AT$4-$B219+1)</f>
        <v/>
      </c>
      <c r="AU219" s="75">
        <f>$C219*INDEX(Curves!$U$8:$U$68,AU$4-$B219+1)</f>
        <v/>
      </c>
      <c r="AV219" s="75">
        <f>$C219*INDEX(Curves!$U$8:$U$68,AV$4-$B219+1)</f>
        <v/>
      </c>
      <c r="AW219" s="75">
        <f>$C219*INDEX(Curves!$U$8:$U$68,AW$4-$B219+1)</f>
        <v/>
      </c>
      <c r="AX219" s="75">
        <f>$C219*INDEX(Curves!$U$8:$U$68,AX$4-$B219+1)</f>
        <v/>
      </c>
      <c r="AY219" s="75">
        <f>$C219*INDEX(Curves!$U$8:$U$68,AY$4-$B219+1)</f>
        <v/>
      </c>
      <c r="AZ219" s="75">
        <f>$C219*INDEX(Curves!$U$8:$U$68,AZ$4-$B219+1)</f>
        <v/>
      </c>
      <c r="BA219" s="75">
        <f>$C219*INDEX(Curves!$U$8:$U$68,BA$4-$B219+1)</f>
        <v/>
      </c>
      <c r="BB219" s="75">
        <f>$C219*INDEX(Curves!$U$8:$U$68,BB$4-$B219+1)</f>
        <v/>
      </c>
      <c r="BC219" s="75">
        <f>$C219*INDEX(Curves!$U$8:$U$68,BC$4-$B219+1)</f>
        <v/>
      </c>
      <c r="BD219" s="75">
        <f>$C219*INDEX(Curves!$U$8:$U$68,BD$4-$B219+1)</f>
        <v/>
      </c>
      <c r="BE219" s="75">
        <f>$C219*INDEX(Curves!$U$8:$U$68,BE$4-$B219+1)</f>
        <v/>
      </c>
      <c r="BF219" s="75">
        <f>$C219*INDEX(Curves!$U$8:$U$68,BF$4-$B219+1)</f>
        <v/>
      </c>
      <c r="BG219" s="75">
        <f>$C219*INDEX(Curves!$U$8:$U$68,BG$4-$B219+1)</f>
        <v/>
      </c>
      <c r="BH219" s="75">
        <f>$C219*INDEX(Curves!$U$8:$U$68,BH$4-$B219+1)</f>
        <v/>
      </c>
      <c r="BI219" s="75">
        <f>$C219*INDEX(Curves!$U$8:$U$68,BI$4-$B219+1)</f>
        <v/>
      </c>
      <c r="BJ219" s="75">
        <f>$C219*INDEX(Curves!$U$8:$U$68,BJ$4-$B219+1)</f>
        <v/>
      </c>
      <c r="BK219" s="75">
        <f>$C219*INDEX(Curves!$U$8:$U$68,BK$4-$B219+1)</f>
        <v/>
      </c>
      <c r="BL219" s="75">
        <f>$C219*INDEX(Curves!$U$8:$U$68,BL$4-$B219+1)</f>
        <v/>
      </c>
    </row>
    <row r="220">
      <c r="A220" s="74" t="inlineStr">
        <is>
          <t>Cohort month 22</t>
        </is>
      </c>
      <c r="B220" s="74" t="n">
        <v>22</v>
      </c>
      <c r="C220" s="17">
        <f>INDEX(Ops!$E$35:$BL$35,1,$B220)</f>
        <v/>
      </c>
      <c r="AA220" s="75">
        <f>$C220*INDEX(Curves!$U$8:$U$68,AA$4-$B220+1)</f>
        <v/>
      </c>
      <c r="AB220" s="75">
        <f>$C220*INDEX(Curves!$U$8:$U$68,AB$4-$B220+1)</f>
        <v/>
      </c>
      <c r="AC220" s="75">
        <f>$C220*INDEX(Curves!$U$8:$U$68,AC$4-$B220+1)</f>
        <v/>
      </c>
      <c r="AD220" s="75">
        <f>$C220*INDEX(Curves!$U$8:$U$68,AD$4-$B220+1)</f>
        <v/>
      </c>
      <c r="AE220" s="75">
        <f>$C220*INDEX(Curves!$U$8:$U$68,AE$4-$B220+1)</f>
        <v/>
      </c>
      <c r="AF220" s="75">
        <f>$C220*INDEX(Curves!$U$8:$U$68,AF$4-$B220+1)</f>
        <v/>
      </c>
      <c r="AG220" s="75">
        <f>$C220*INDEX(Curves!$U$8:$U$68,AG$4-$B220+1)</f>
        <v/>
      </c>
      <c r="AH220" s="75">
        <f>$C220*INDEX(Curves!$U$8:$U$68,AH$4-$B220+1)</f>
        <v/>
      </c>
      <c r="AI220" s="75">
        <f>$C220*INDEX(Curves!$U$8:$U$68,AI$4-$B220+1)</f>
        <v/>
      </c>
      <c r="AJ220" s="75">
        <f>$C220*INDEX(Curves!$U$8:$U$68,AJ$4-$B220+1)</f>
        <v/>
      </c>
      <c r="AK220" s="75">
        <f>$C220*INDEX(Curves!$U$8:$U$68,AK$4-$B220+1)</f>
        <v/>
      </c>
      <c r="AL220" s="75">
        <f>$C220*INDEX(Curves!$U$8:$U$68,AL$4-$B220+1)</f>
        <v/>
      </c>
      <c r="AM220" s="75">
        <f>$C220*INDEX(Curves!$U$8:$U$68,AM$4-$B220+1)</f>
        <v/>
      </c>
      <c r="AN220" s="75">
        <f>$C220*INDEX(Curves!$U$8:$U$68,AN$4-$B220+1)</f>
        <v/>
      </c>
      <c r="AO220" s="75">
        <f>$C220*INDEX(Curves!$U$8:$U$68,AO$4-$B220+1)</f>
        <v/>
      </c>
      <c r="AP220" s="75">
        <f>$C220*INDEX(Curves!$U$8:$U$68,AP$4-$B220+1)</f>
        <v/>
      </c>
      <c r="AQ220" s="75">
        <f>$C220*INDEX(Curves!$U$8:$U$68,AQ$4-$B220+1)</f>
        <v/>
      </c>
      <c r="AR220" s="75">
        <f>$C220*INDEX(Curves!$U$8:$U$68,AR$4-$B220+1)</f>
        <v/>
      </c>
      <c r="AS220" s="75">
        <f>$C220*INDEX(Curves!$U$8:$U$68,AS$4-$B220+1)</f>
        <v/>
      </c>
      <c r="AT220" s="75">
        <f>$C220*INDEX(Curves!$U$8:$U$68,AT$4-$B220+1)</f>
        <v/>
      </c>
      <c r="AU220" s="75">
        <f>$C220*INDEX(Curves!$U$8:$U$68,AU$4-$B220+1)</f>
        <v/>
      </c>
      <c r="AV220" s="75">
        <f>$C220*INDEX(Curves!$U$8:$U$68,AV$4-$B220+1)</f>
        <v/>
      </c>
      <c r="AW220" s="75">
        <f>$C220*INDEX(Curves!$U$8:$U$68,AW$4-$B220+1)</f>
        <v/>
      </c>
      <c r="AX220" s="75">
        <f>$C220*INDEX(Curves!$U$8:$U$68,AX$4-$B220+1)</f>
        <v/>
      </c>
      <c r="AY220" s="75">
        <f>$C220*INDEX(Curves!$U$8:$U$68,AY$4-$B220+1)</f>
        <v/>
      </c>
      <c r="AZ220" s="75">
        <f>$C220*INDEX(Curves!$U$8:$U$68,AZ$4-$B220+1)</f>
        <v/>
      </c>
      <c r="BA220" s="75">
        <f>$C220*INDEX(Curves!$U$8:$U$68,BA$4-$B220+1)</f>
        <v/>
      </c>
      <c r="BB220" s="75">
        <f>$C220*INDEX(Curves!$U$8:$U$68,BB$4-$B220+1)</f>
        <v/>
      </c>
      <c r="BC220" s="75">
        <f>$C220*INDEX(Curves!$U$8:$U$68,BC$4-$B220+1)</f>
        <v/>
      </c>
      <c r="BD220" s="75">
        <f>$C220*INDEX(Curves!$U$8:$U$68,BD$4-$B220+1)</f>
        <v/>
      </c>
      <c r="BE220" s="75">
        <f>$C220*INDEX(Curves!$U$8:$U$68,BE$4-$B220+1)</f>
        <v/>
      </c>
      <c r="BF220" s="75">
        <f>$C220*INDEX(Curves!$U$8:$U$68,BF$4-$B220+1)</f>
        <v/>
      </c>
      <c r="BG220" s="75">
        <f>$C220*INDEX(Curves!$U$8:$U$68,BG$4-$B220+1)</f>
        <v/>
      </c>
      <c r="BH220" s="75">
        <f>$C220*INDEX(Curves!$U$8:$U$68,BH$4-$B220+1)</f>
        <v/>
      </c>
      <c r="BI220" s="75">
        <f>$C220*INDEX(Curves!$U$8:$U$68,BI$4-$B220+1)</f>
        <v/>
      </c>
      <c r="BJ220" s="75">
        <f>$C220*INDEX(Curves!$U$8:$U$68,BJ$4-$B220+1)</f>
        <v/>
      </c>
      <c r="BK220" s="75">
        <f>$C220*INDEX(Curves!$U$8:$U$68,BK$4-$B220+1)</f>
        <v/>
      </c>
      <c r="BL220" s="75">
        <f>$C220*INDEX(Curves!$U$8:$U$68,BL$4-$B220+1)</f>
        <v/>
      </c>
    </row>
    <row r="221">
      <c r="A221" s="74" t="inlineStr">
        <is>
          <t>Cohort month 23</t>
        </is>
      </c>
      <c r="B221" s="74" t="n">
        <v>23</v>
      </c>
      <c r="C221" s="17">
        <f>INDEX(Ops!$E$35:$BL$35,1,$B221)</f>
        <v/>
      </c>
      <c r="AB221" s="75">
        <f>$C221*INDEX(Curves!$U$8:$U$68,AB$4-$B221+1)</f>
        <v/>
      </c>
      <c r="AC221" s="75">
        <f>$C221*INDEX(Curves!$U$8:$U$68,AC$4-$B221+1)</f>
        <v/>
      </c>
      <c r="AD221" s="75">
        <f>$C221*INDEX(Curves!$U$8:$U$68,AD$4-$B221+1)</f>
        <v/>
      </c>
      <c r="AE221" s="75">
        <f>$C221*INDEX(Curves!$U$8:$U$68,AE$4-$B221+1)</f>
        <v/>
      </c>
      <c r="AF221" s="75">
        <f>$C221*INDEX(Curves!$U$8:$U$68,AF$4-$B221+1)</f>
        <v/>
      </c>
      <c r="AG221" s="75">
        <f>$C221*INDEX(Curves!$U$8:$U$68,AG$4-$B221+1)</f>
        <v/>
      </c>
      <c r="AH221" s="75">
        <f>$C221*INDEX(Curves!$U$8:$U$68,AH$4-$B221+1)</f>
        <v/>
      </c>
      <c r="AI221" s="75">
        <f>$C221*INDEX(Curves!$U$8:$U$68,AI$4-$B221+1)</f>
        <v/>
      </c>
      <c r="AJ221" s="75">
        <f>$C221*INDEX(Curves!$U$8:$U$68,AJ$4-$B221+1)</f>
        <v/>
      </c>
      <c r="AK221" s="75">
        <f>$C221*INDEX(Curves!$U$8:$U$68,AK$4-$B221+1)</f>
        <v/>
      </c>
      <c r="AL221" s="75">
        <f>$C221*INDEX(Curves!$U$8:$U$68,AL$4-$B221+1)</f>
        <v/>
      </c>
      <c r="AM221" s="75">
        <f>$C221*INDEX(Curves!$U$8:$U$68,AM$4-$B221+1)</f>
        <v/>
      </c>
      <c r="AN221" s="75">
        <f>$C221*INDEX(Curves!$U$8:$U$68,AN$4-$B221+1)</f>
        <v/>
      </c>
      <c r="AO221" s="75">
        <f>$C221*INDEX(Curves!$U$8:$U$68,AO$4-$B221+1)</f>
        <v/>
      </c>
      <c r="AP221" s="75">
        <f>$C221*INDEX(Curves!$U$8:$U$68,AP$4-$B221+1)</f>
        <v/>
      </c>
      <c r="AQ221" s="75">
        <f>$C221*INDEX(Curves!$U$8:$U$68,AQ$4-$B221+1)</f>
        <v/>
      </c>
      <c r="AR221" s="75">
        <f>$C221*INDEX(Curves!$U$8:$U$68,AR$4-$B221+1)</f>
        <v/>
      </c>
      <c r="AS221" s="75">
        <f>$C221*INDEX(Curves!$U$8:$U$68,AS$4-$B221+1)</f>
        <v/>
      </c>
      <c r="AT221" s="75">
        <f>$C221*INDEX(Curves!$U$8:$U$68,AT$4-$B221+1)</f>
        <v/>
      </c>
      <c r="AU221" s="75">
        <f>$C221*INDEX(Curves!$U$8:$U$68,AU$4-$B221+1)</f>
        <v/>
      </c>
      <c r="AV221" s="75">
        <f>$C221*INDEX(Curves!$U$8:$U$68,AV$4-$B221+1)</f>
        <v/>
      </c>
      <c r="AW221" s="75">
        <f>$C221*INDEX(Curves!$U$8:$U$68,AW$4-$B221+1)</f>
        <v/>
      </c>
      <c r="AX221" s="75">
        <f>$C221*INDEX(Curves!$U$8:$U$68,AX$4-$B221+1)</f>
        <v/>
      </c>
      <c r="AY221" s="75">
        <f>$C221*INDEX(Curves!$U$8:$U$68,AY$4-$B221+1)</f>
        <v/>
      </c>
      <c r="AZ221" s="75">
        <f>$C221*INDEX(Curves!$U$8:$U$68,AZ$4-$B221+1)</f>
        <v/>
      </c>
      <c r="BA221" s="75">
        <f>$C221*INDEX(Curves!$U$8:$U$68,BA$4-$B221+1)</f>
        <v/>
      </c>
      <c r="BB221" s="75">
        <f>$C221*INDEX(Curves!$U$8:$U$68,BB$4-$B221+1)</f>
        <v/>
      </c>
      <c r="BC221" s="75">
        <f>$C221*INDEX(Curves!$U$8:$U$68,BC$4-$B221+1)</f>
        <v/>
      </c>
      <c r="BD221" s="75">
        <f>$C221*INDEX(Curves!$U$8:$U$68,BD$4-$B221+1)</f>
        <v/>
      </c>
      <c r="BE221" s="75">
        <f>$C221*INDEX(Curves!$U$8:$U$68,BE$4-$B221+1)</f>
        <v/>
      </c>
      <c r="BF221" s="75">
        <f>$C221*INDEX(Curves!$U$8:$U$68,BF$4-$B221+1)</f>
        <v/>
      </c>
      <c r="BG221" s="75">
        <f>$C221*INDEX(Curves!$U$8:$U$68,BG$4-$B221+1)</f>
        <v/>
      </c>
      <c r="BH221" s="75">
        <f>$C221*INDEX(Curves!$U$8:$U$68,BH$4-$B221+1)</f>
        <v/>
      </c>
      <c r="BI221" s="75">
        <f>$C221*INDEX(Curves!$U$8:$U$68,BI$4-$B221+1)</f>
        <v/>
      </c>
      <c r="BJ221" s="75">
        <f>$C221*INDEX(Curves!$U$8:$U$68,BJ$4-$B221+1)</f>
        <v/>
      </c>
      <c r="BK221" s="75">
        <f>$C221*INDEX(Curves!$U$8:$U$68,BK$4-$B221+1)</f>
        <v/>
      </c>
      <c r="BL221" s="75">
        <f>$C221*INDEX(Curves!$U$8:$U$68,BL$4-$B221+1)</f>
        <v/>
      </c>
    </row>
    <row r="222">
      <c r="A222" s="74" t="inlineStr">
        <is>
          <t>Cohort month 24</t>
        </is>
      </c>
      <c r="B222" s="74" t="n">
        <v>24</v>
      </c>
      <c r="C222" s="17">
        <f>INDEX(Ops!$E$35:$BL$35,1,$B222)</f>
        <v/>
      </c>
      <c r="AC222" s="75">
        <f>$C222*INDEX(Curves!$U$8:$U$68,AC$4-$B222+1)</f>
        <v/>
      </c>
      <c r="AD222" s="75">
        <f>$C222*INDEX(Curves!$U$8:$U$68,AD$4-$B222+1)</f>
        <v/>
      </c>
      <c r="AE222" s="75">
        <f>$C222*INDEX(Curves!$U$8:$U$68,AE$4-$B222+1)</f>
        <v/>
      </c>
      <c r="AF222" s="75">
        <f>$C222*INDEX(Curves!$U$8:$U$68,AF$4-$B222+1)</f>
        <v/>
      </c>
      <c r="AG222" s="75">
        <f>$C222*INDEX(Curves!$U$8:$U$68,AG$4-$B222+1)</f>
        <v/>
      </c>
      <c r="AH222" s="75">
        <f>$C222*INDEX(Curves!$U$8:$U$68,AH$4-$B222+1)</f>
        <v/>
      </c>
      <c r="AI222" s="75">
        <f>$C222*INDEX(Curves!$U$8:$U$68,AI$4-$B222+1)</f>
        <v/>
      </c>
      <c r="AJ222" s="75">
        <f>$C222*INDEX(Curves!$U$8:$U$68,AJ$4-$B222+1)</f>
        <v/>
      </c>
      <c r="AK222" s="75">
        <f>$C222*INDEX(Curves!$U$8:$U$68,AK$4-$B222+1)</f>
        <v/>
      </c>
      <c r="AL222" s="75">
        <f>$C222*INDEX(Curves!$U$8:$U$68,AL$4-$B222+1)</f>
        <v/>
      </c>
      <c r="AM222" s="75">
        <f>$C222*INDEX(Curves!$U$8:$U$68,AM$4-$B222+1)</f>
        <v/>
      </c>
      <c r="AN222" s="75">
        <f>$C222*INDEX(Curves!$U$8:$U$68,AN$4-$B222+1)</f>
        <v/>
      </c>
      <c r="AO222" s="75">
        <f>$C222*INDEX(Curves!$U$8:$U$68,AO$4-$B222+1)</f>
        <v/>
      </c>
      <c r="AP222" s="75">
        <f>$C222*INDEX(Curves!$U$8:$U$68,AP$4-$B222+1)</f>
        <v/>
      </c>
      <c r="AQ222" s="75">
        <f>$C222*INDEX(Curves!$U$8:$U$68,AQ$4-$B222+1)</f>
        <v/>
      </c>
      <c r="AR222" s="75">
        <f>$C222*INDEX(Curves!$U$8:$U$68,AR$4-$B222+1)</f>
        <v/>
      </c>
      <c r="AS222" s="75">
        <f>$C222*INDEX(Curves!$U$8:$U$68,AS$4-$B222+1)</f>
        <v/>
      </c>
      <c r="AT222" s="75">
        <f>$C222*INDEX(Curves!$U$8:$U$68,AT$4-$B222+1)</f>
        <v/>
      </c>
      <c r="AU222" s="75">
        <f>$C222*INDEX(Curves!$U$8:$U$68,AU$4-$B222+1)</f>
        <v/>
      </c>
      <c r="AV222" s="75">
        <f>$C222*INDEX(Curves!$U$8:$U$68,AV$4-$B222+1)</f>
        <v/>
      </c>
      <c r="AW222" s="75">
        <f>$C222*INDEX(Curves!$U$8:$U$68,AW$4-$B222+1)</f>
        <v/>
      </c>
      <c r="AX222" s="75">
        <f>$C222*INDEX(Curves!$U$8:$U$68,AX$4-$B222+1)</f>
        <v/>
      </c>
      <c r="AY222" s="75">
        <f>$C222*INDEX(Curves!$U$8:$U$68,AY$4-$B222+1)</f>
        <v/>
      </c>
      <c r="AZ222" s="75">
        <f>$C222*INDEX(Curves!$U$8:$U$68,AZ$4-$B222+1)</f>
        <v/>
      </c>
      <c r="BA222" s="75">
        <f>$C222*INDEX(Curves!$U$8:$U$68,BA$4-$B222+1)</f>
        <v/>
      </c>
      <c r="BB222" s="75">
        <f>$C222*INDEX(Curves!$U$8:$U$68,BB$4-$B222+1)</f>
        <v/>
      </c>
      <c r="BC222" s="75">
        <f>$C222*INDEX(Curves!$U$8:$U$68,BC$4-$B222+1)</f>
        <v/>
      </c>
      <c r="BD222" s="75">
        <f>$C222*INDEX(Curves!$U$8:$U$68,BD$4-$B222+1)</f>
        <v/>
      </c>
      <c r="BE222" s="75">
        <f>$C222*INDEX(Curves!$U$8:$U$68,BE$4-$B222+1)</f>
        <v/>
      </c>
      <c r="BF222" s="75">
        <f>$C222*INDEX(Curves!$U$8:$U$68,BF$4-$B222+1)</f>
        <v/>
      </c>
      <c r="BG222" s="75">
        <f>$C222*INDEX(Curves!$U$8:$U$68,BG$4-$B222+1)</f>
        <v/>
      </c>
      <c r="BH222" s="75">
        <f>$C222*INDEX(Curves!$U$8:$U$68,BH$4-$B222+1)</f>
        <v/>
      </c>
      <c r="BI222" s="75">
        <f>$C222*INDEX(Curves!$U$8:$U$68,BI$4-$B222+1)</f>
        <v/>
      </c>
      <c r="BJ222" s="75">
        <f>$C222*INDEX(Curves!$U$8:$U$68,BJ$4-$B222+1)</f>
        <v/>
      </c>
      <c r="BK222" s="75">
        <f>$C222*INDEX(Curves!$U$8:$U$68,BK$4-$B222+1)</f>
        <v/>
      </c>
      <c r="BL222" s="75">
        <f>$C222*INDEX(Curves!$U$8:$U$68,BL$4-$B222+1)</f>
        <v/>
      </c>
    </row>
    <row r="223">
      <c r="A223" s="74" t="inlineStr">
        <is>
          <t>Cohort month 25</t>
        </is>
      </c>
      <c r="B223" s="74" t="n">
        <v>25</v>
      </c>
      <c r="C223" s="17">
        <f>INDEX(Ops!$E$35:$BL$35,1,$B223)</f>
        <v/>
      </c>
      <c r="AD223" s="75">
        <f>$C223*INDEX(Curves!$U$8:$U$68,AD$4-$B223+1)</f>
        <v/>
      </c>
      <c r="AE223" s="75">
        <f>$C223*INDEX(Curves!$U$8:$U$68,AE$4-$B223+1)</f>
        <v/>
      </c>
      <c r="AF223" s="75">
        <f>$C223*INDEX(Curves!$U$8:$U$68,AF$4-$B223+1)</f>
        <v/>
      </c>
      <c r="AG223" s="75">
        <f>$C223*INDEX(Curves!$U$8:$U$68,AG$4-$B223+1)</f>
        <v/>
      </c>
      <c r="AH223" s="75">
        <f>$C223*INDEX(Curves!$U$8:$U$68,AH$4-$B223+1)</f>
        <v/>
      </c>
      <c r="AI223" s="75">
        <f>$C223*INDEX(Curves!$U$8:$U$68,AI$4-$B223+1)</f>
        <v/>
      </c>
      <c r="AJ223" s="75">
        <f>$C223*INDEX(Curves!$U$8:$U$68,AJ$4-$B223+1)</f>
        <v/>
      </c>
      <c r="AK223" s="75">
        <f>$C223*INDEX(Curves!$U$8:$U$68,AK$4-$B223+1)</f>
        <v/>
      </c>
      <c r="AL223" s="75">
        <f>$C223*INDEX(Curves!$U$8:$U$68,AL$4-$B223+1)</f>
        <v/>
      </c>
      <c r="AM223" s="75">
        <f>$C223*INDEX(Curves!$U$8:$U$68,AM$4-$B223+1)</f>
        <v/>
      </c>
      <c r="AN223" s="75">
        <f>$C223*INDEX(Curves!$U$8:$U$68,AN$4-$B223+1)</f>
        <v/>
      </c>
      <c r="AO223" s="75">
        <f>$C223*INDEX(Curves!$U$8:$U$68,AO$4-$B223+1)</f>
        <v/>
      </c>
      <c r="AP223" s="75">
        <f>$C223*INDEX(Curves!$U$8:$U$68,AP$4-$B223+1)</f>
        <v/>
      </c>
      <c r="AQ223" s="75">
        <f>$C223*INDEX(Curves!$U$8:$U$68,AQ$4-$B223+1)</f>
        <v/>
      </c>
      <c r="AR223" s="75">
        <f>$C223*INDEX(Curves!$U$8:$U$68,AR$4-$B223+1)</f>
        <v/>
      </c>
      <c r="AS223" s="75">
        <f>$C223*INDEX(Curves!$U$8:$U$68,AS$4-$B223+1)</f>
        <v/>
      </c>
      <c r="AT223" s="75">
        <f>$C223*INDEX(Curves!$U$8:$U$68,AT$4-$B223+1)</f>
        <v/>
      </c>
      <c r="AU223" s="75">
        <f>$C223*INDEX(Curves!$U$8:$U$68,AU$4-$B223+1)</f>
        <v/>
      </c>
      <c r="AV223" s="75">
        <f>$C223*INDEX(Curves!$U$8:$U$68,AV$4-$B223+1)</f>
        <v/>
      </c>
      <c r="AW223" s="75">
        <f>$C223*INDEX(Curves!$U$8:$U$68,AW$4-$B223+1)</f>
        <v/>
      </c>
      <c r="AX223" s="75">
        <f>$C223*INDEX(Curves!$U$8:$U$68,AX$4-$B223+1)</f>
        <v/>
      </c>
      <c r="AY223" s="75">
        <f>$C223*INDEX(Curves!$U$8:$U$68,AY$4-$B223+1)</f>
        <v/>
      </c>
      <c r="AZ223" s="75">
        <f>$C223*INDEX(Curves!$U$8:$U$68,AZ$4-$B223+1)</f>
        <v/>
      </c>
      <c r="BA223" s="75">
        <f>$C223*INDEX(Curves!$U$8:$U$68,BA$4-$B223+1)</f>
        <v/>
      </c>
      <c r="BB223" s="75">
        <f>$C223*INDEX(Curves!$U$8:$U$68,BB$4-$B223+1)</f>
        <v/>
      </c>
      <c r="BC223" s="75">
        <f>$C223*INDEX(Curves!$U$8:$U$68,BC$4-$B223+1)</f>
        <v/>
      </c>
      <c r="BD223" s="75">
        <f>$C223*INDEX(Curves!$U$8:$U$68,BD$4-$B223+1)</f>
        <v/>
      </c>
      <c r="BE223" s="75">
        <f>$C223*INDEX(Curves!$U$8:$U$68,BE$4-$B223+1)</f>
        <v/>
      </c>
      <c r="BF223" s="75">
        <f>$C223*INDEX(Curves!$U$8:$U$68,BF$4-$B223+1)</f>
        <v/>
      </c>
      <c r="BG223" s="75">
        <f>$C223*INDEX(Curves!$U$8:$U$68,BG$4-$B223+1)</f>
        <v/>
      </c>
      <c r="BH223" s="75">
        <f>$C223*INDEX(Curves!$U$8:$U$68,BH$4-$B223+1)</f>
        <v/>
      </c>
      <c r="BI223" s="75">
        <f>$C223*INDEX(Curves!$U$8:$U$68,BI$4-$B223+1)</f>
        <v/>
      </c>
      <c r="BJ223" s="75">
        <f>$C223*INDEX(Curves!$U$8:$U$68,BJ$4-$B223+1)</f>
        <v/>
      </c>
      <c r="BK223" s="75">
        <f>$C223*INDEX(Curves!$U$8:$U$68,BK$4-$B223+1)</f>
        <v/>
      </c>
      <c r="BL223" s="75">
        <f>$C223*INDEX(Curves!$U$8:$U$68,BL$4-$B223+1)</f>
        <v/>
      </c>
    </row>
    <row r="224">
      <c r="A224" s="74" t="inlineStr">
        <is>
          <t>Cohort month 26</t>
        </is>
      </c>
      <c r="B224" s="74" t="n">
        <v>26</v>
      </c>
      <c r="C224" s="17">
        <f>INDEX(Ops!$E$35:$BL$35,1,$B224)</f>
        <v/>
      </c>
      <c r="AE224" s="75">
        <f>$C224*INDEX(Curves!$U$8:$U$68,AE$4-$B224+1)</f>
        <v/>
      </c>
      <c r="AF224" s="75">
        <f>$C224*INDEX(Curves!$U$8:$U$68,AF$4-$B224+1)</f>
        <v/>
      </c>
      <c r="AG224" s="75">
        <f>$C224*INDEX(Curves!$U$8:$U$68,AG$4-$B224+1)</f>
        <v/>
      </c>
      <c r="AH224" s="75">
        <f>$C224*INDEX(Curves!$U$8:$U$68,AH$4-$B224+1)</f>
        <v/>
      </c>
      <c r="AI224" s="75">
        <f>$C224*INDEX(Curves!$U$8:$U$68,AI$4-$B224+1)</f>
        <v/>
      </c>
      <c r="AJ224" s="75">
        <f>$C224*INDEX(Curves!$U$8:$U$68,AJ$4-$B224+1)</f>
        <v/>
      </c>
      <c r="AK224" s="75">
        <f>$C224*INDEX(Curves!$U$8:$U$68,AK$4-$B224+1)</f>
        <v/>
      </c>
      <c r="AL224" s="75">
        <f>$C224*INDEX(Curves!$U$8:$U$68,AL$4-$B224+1)</f>
        <v/>
      </c>
      <c r="AM224" s="75">
        <f>$C224*INDEX(Curves!$U$8:$U$68,AM$4-$B224+1)</f>
        <v/>
      </c>
      <c r="AN224" s="75">
        <f>$C224*INDEX(Curves!$U$8:$U$68,AN$4-$B224+1)</f>
        <v/>
      </c>
      <c r="AO224" s="75">
        <f>$C224*INDEX(Curves!$U$8:$U$68,AO$4-$B224+1)</f>
        <v/>
      </c>
      <c r="AP224" s="75">
        <f>$C224*INDEX(Curves!$U$8:$U$68,AP$4-$B224+1)</f>
        <v/>
      </c>
      <c r="AQ224" s="75">
        <f>$C224*INDEX(Curves!$U$8:$U$68,AQ$4-$B224+1)</f>
        <v/>
      </c>
      <c r="AR224" s="75">
        <f>$C224*INDEX(Curves!$U$8:$U$68,AR$4-$B224+1)</f>
        <v/>
      </c>
      <c r="AS224" s="75">
        <f>$C224*INDEX(Curves!$U$8:$U$68,AS$4-$B224+1)</f>
        <v/>
      </c>
      <c r="AT224" s="75">
        <f>$C224*INDEX(Curves!$U$8:$U$68,AT$4-$B224+1)</f>
        <v/>
      </c>
      <c r="AU224" s="75">
        <f>$C224*INDEX(Curves!$U$8:$U$68,AU$4-$B224+1)</f>
        <v/>
      </c>
      <c r="AV224" s="75">
        <f>$C224*INDEX(Curves!$U$8:$U$68,AV$4-$B224+1)</f>
        <v/>
      </c>
      <c r="AW224" s="75">
        <f>$C224*INDEX(Curves!$U$8:$U$68,AW$4-$B224+1)</f>
        <v/>
      </c>
      <c r="AX224" s="75">
        <f>$C224*INDEX(Curves!$U$8:$U$68,AX$4-$B224+1)</f>
        <v/>
      </c>
      <c r="AY224" s="75">
        <f>$C224*INDEX(Curves!$U$8:$U$68,AY$4-$B224+1)</f>
        <v/>
      </c>
      <c r="AZ224" s="75">
        <f>$C224*INDEX(Curves!$U$8:$U$68,AZ$4-$B224+1)</f>
        <v/>
      </c>
      <c r="BA224" s="75">
        <f>$C224*INDEX(Curves!$U$8:$U$68,BA$4-$B224+1)</f>
        <v/>
      </c>
      <c r="BB224" s="75">
        <f>$C224*INDEX(Curves!$U$8:$U$68,BB$4-$B224+1)</f>
        <v/>
      </c>
      <c r="BC224" s="75">
        <f>$C224*INDEX(Curves!$U$8:$U$68,BC$4-$B224+1)</f>
        <v/>
      </c>
      <c r="BD224" s="75">
        <f>$C224*INDEX(Curves!$U$8:$U$68,BD$4-$B224+1)</f>
        <v/>
      </c>
      <c r="BE224" s="75">
        <f>$C224*INDEX(Curves!$U$8:$U$68,BE$4-$B224+1)</f>
        <v/>
      </c>
      <c r="BF224" s="75">
        <f>$C224*INDEX(Curves!$U$8:$U$68,BF$4-$B224+1)</f>
        <v/>
      </c>
      <c r="BG224" s="75">
        <f>$C224*INDEX(Curves!$U$8:$U$68,BG$4-$B224+1)</f>
        <v/>
      </c>
      <c r="BH224" s="75">
        <f>$C224*INDEX(Curves!$U$8:$U$68,BH$4-$B224+1)</f>
        <v/>
      </c>
      <c r="BI224" s="75">
        <f>$C224*INDEX(Curves!$U$8:$U$68,BI$4-$B224+1)</f>
        <v/>
      </c>
      <c r="BJ224" s="75">
        <f>$C224*INDEX(Curves!$U$8:$U$68,BJ$4-$B224+1)</f>
        <v/>
      </c>
      <c r="BK224" s="75">
        <f>$C224*INDEX(Curves!$U$8:$U$68,BK$4-$B224+1)</f>
        <v/>
      </c>
      <c r="BL224" s="75">
        <f>$C224*INDEX(Curves!$U$8:$U$68,BL$4-$B224+1)</f>
        <v/>
      </c>
    </row>
    <row r="225">
      <c r="A225" s="74" t="inlineStr">
        <is>
          <t>Cohort month 27</t>
        </is>
      </c>
      <c r="B225" s="74" t="n">
        <v>27</v>
      </c>
      <c r="C225" s="17">
        <f>INDEX(Ops!$E$35:$BL$35,1,$B225)</f>
        <v/>
      </c>
      <c r="AF225" s="75">
        <f>$C225*INDEX(Curves!$U$8:$U$68,AF$4-$B225+1)</f>
        <v/>
      </c>
      <c r="AG225" s="75">
        <f>$C225*INDEX(Curves!$U$8:$U$68,AG$4-$B225+1)</f>
        <v/>
      </c>
      <c r="AH225" s="75">
        <f>$C225*INDEX(Curves!$U$8:$U$68,AH$4-$B225+1)</f>
        <v/>
      </c>
      <c r="AI225" s="75">
        <f>$C225*INDEX(Curves!$U$8:$U$68,AI$4-$B225+1)</f>
        <v/>
      </c>
      <c r="AJ225" s="75">
        <f>$C225*INDEX(Curves!$U$8:$U$68,AJ$4-$B225+1)</f>
        <v/>
      </c>
      <c r="AK225" s="75">
        <f>$C225*INDEX(Curves!$U$8:$U$68,AK$4-$B225+1)</f>
        <v/>
      </c>
      <c r="AL225" s="75">
        <f>$C225*INDEX(Curves!$U$8:$U$68,AL$4-$B225+1)</f>
        <v/>
      </c>
      <c r="AM225" s="75">
        <f>$C225*INDEX(Curves!$U$8:$U$68,AM$4-$B225+1)</f>
        <v/>
      </c>
      <c r="AN225" s="75">
        <f>$C225*INDEX(Curves!$U$8:$U$68,AN$4-$B225+1)</f>
        <v/>
      </c>
      <c r="AO225" s="75">
        <f>$C225*INDEX(Curves!$U$8:$U$68,AO$4-$B225+1)</f>
        <v/>
      </c>
      <c r="AP225" s="75">
        <f>$C225*INDEX(Curves!$U$8:$U$68,AP$4-$B225+1)</f>
        <v/>
      </c>
      <c r="AQ225" s="75">
        <f>$C225*INDEX(Curves!$U$8:$U$68,AQ$4-$B225+1)</f>
        <v/>
      </c>
      <c r="AR225" s="75">
        <f>$C225*INDEX(Curves!$U$8:$U$68,AR$4-$B225+1)</f>
        <v/>
      </c>
      <c r="AS225" s="75">
        <f>$C225*INDEX(Curves!$U$8:$U$68,AS$4-$B225+1)</f>
        <v/>
      </c>
      <c r="AT225" s="75">
        <f>$C225*INDEX(Curves!$U$8:$U$68,AT$4-$B225+1)</f>
        <v/>
      </c>
      <c r="AU225" s="75">
        <f>$C225*INDEX(Curves!$U$8:$U$68,AU$4-$B225+1)</f>
        <v/>
      </c>
      <c r="AV225" s="75">
        <f>$C225*INDEX(Curves!$U$8:$U$68,AV$4-$B225+1)</f>
        <v/>
      </c>
      <c r="AW225" s="75">
        <f>$C225*INDEX(Curves!$U$8:$U$68,AW$4-$B225+1)</f>
        <v/>
      </c>
      <c r="AX225" s="75">
        <f>$C225*INDEX(Curves!$U$8:$U$68,AX$4-$B225+1)</f>
        <v/>
      </c>
      <c r="AY225" s="75">
        <f>$C225*INDEX(Curves!$U$8:$U$68,AY$4-$B225+1)</f>
        <v/>
      </c>
      <c r="AZ225" s="75">
        <f>$C225*INDEX(Curves!$U$8:$U$68,AZ$4-$B225+1)</f>
        <v/>
      </c>
      <c r="BA225" s="75">
        <f>$C225*INDEX(Curves!$U$8:$U$68,BA$4-$B225+1)</f>
        <v/>
      </c>
      <c r="BB225" s="75">
        <f>$C225*INDEX(Curves!$U$8:$U$68,BB$4-$B225+1)</f>
        <v/>
      </c>
      <c r="BC225" s="75">
        <f>$C225*INDEX(Curves!$U$8:$U$68,BC$4-$B225+1)</f>
        <v/>
      </c>
      <c r="BD225" s="75">
        <f>$C225*INDEX(Curves!$U$8:$U$68,BD$4-$B225+1)</f>
        <v/>
      </c>
      <c r="BE225" s="75">
        <f>$C225*INDEX(Curves!$U$8:$U$68,BE$4-$B225+1)</f>
        <v/>
      </c>
      <c r="BF225" s="75">
        <f>$C225*INDEX(Curves!$U$8:$U$68,BF$4-$B225+1)</f>
        <v/>
      </c>
      <c r="BG225" s="75">
        <f>$C225*INDEX(Curves!$U$8:$U$68,BG$4-$B225+1)</f>
        <v/>
      </c>
      <c r="BH225" s="75">
        <f>$C225*INDEX(Curves!$U$8:$U$68,BH$4-$B225+1)</f>
        <v/>
      </c>
      <c r="BI225" s="75">
        <f>$C225*INDEX(Curves!$U$8:$U$68,BI$4-$B225+1)</f>
        <v/>
      </c>
      <c r="BJ225" s="75">
        <f>$C225*INDEX(Curves!$U$8:$U$68,BJ$4-$B225+1)</f>
        <v/>
      </c>
      <c r="BK225" s="75">
        <f>$C225*INDEX(Curves!$U$8:$U$68,BK$4-$B225+1)</f>
        <v/>
      </c>
      <c r="BL225" s="75">
        <f>$C225*INDEX(Curves!$U$8:$U$68,BL$4-$B225+1)</f>
        <v/>
      </c>
    </row>
    <row r="226">
      <c r="A226" s="74" t="inlineStr">
        <is>
          <t>Cohort month 28</t>
        </is>
      </c>
      <c r="B226" s="74" t="n">
        <v>28</v>
      </c>
      <c r="C226" s="17">
        <f>INDEX(Ops!$E$35:$BL$35,1,$B226)</f>
        <v/>
      </c>
      <c r="AG226" s="75">
        <f>$C226*INDEX(Curves!$U$8:$U$68,AG$4-$B226+1)</f>
        <v/>
      </c>
      <c r="AH226" s="75">
        <f>$C226*INDEX(Curves!$U$8:$U$68,AH$4-$B226+1)</f>
        <v/>
      </c>
      <c r="AI226" s="75">
        <f>$C226*INDEX(Curves!$U$8:$U$68,AI$4-$B226+1)</f>
        <v/>
      </c>
      <c r="AJ226" s="75">
        <f>$C226*INDEX(Curves!$U$8:$U$68,AJ$4-$B226+1)</f>
        <v/>
      </c>
      <c r="AK226" s="75">
        <f>$C226*INDEX(Curves!$U$8:$U$68,AK$4-$B226+1)</f>
        <v/>
      </c>
      <c r="AL226" s="75">
        <f>$C226*INDEX(Curves!$U$8:$U$68,AL$4-$B226+1)</f>
        <v/>
      </c>
      <c r="AM226" s="75">
        <f>$C226*INDEX(Curves!$U$8:$U$68,AM$4-$B226+1)</f>
        <v/>
      </c>
      <c r="AN226" s="75">
        <f>$C226*INDEX(Curves!$U$8:$U$68,AN$4-$B226+1)</f>
        <v/>
      </c>
      <c r="AO226" s="75">
        <f>$C226*INDEX(Curves!$U$8:$U$68,AO$4-$B226+1)</f>
        <v/>
      </c>
      <c r="AP226" s="75">
        <f>$C226*INDEX(Curves!$U$8:$U$68,AP$4-$B226+1)</f>
        <v/>
      </c>
      <c r="AQ226" s="75">
        <f>$C226*INDEX(Curves!$U$8:$U$68,AQ$4-$B226+1)</f>
        <v/>
      </c>
      <c r="AR226" s="75">
        <f>$C226*INDEX(Curves!$U$8:$U$68,AR$4-$B226+1)</f>
        <v/>
      </c>
      <c r="AS226" s="75">
        <f>$C226*INDEX(Curves!$U$8:$U$68,AS$4-$B226+1)</f>
        <v/>
      </c>
      <c r="AT226" s="75">
        <f>$C226*INDEX(Curves!$U$8:$U$68,AT$4-$B226+1)</f>
        <v/>
      </c>
      <c r="AU226" s="75">
        <f>$C226*INDEX(Curves!$U$8:$U$68,AU$4-$B226+1)</f>
        <v/>
      </c>
      <c r="AV226" s="75">
        <f>$C226*INDEX(Curves!$U$8:$U$68,AV$4-$B226+1)</f>
        <v/>
      </c>
      <c r="AW226" s="75">
        <f>$C226*INDEX(Curves!$U$8:$U$68,AW$4-$B226+1)</f>
        <v/>
      </c>
      <c r="AX226" s="75">
        <f>$C226*INDEX(Curves!$U$8:$U$68,AX$4-$B226+1)</f>
        <v/>
      </c>
      <c r="AY226" s="75">
        <f>$C226*INDEX(Curves!$U$8:$U$68,AY$4-$B226+1)</f>
        <v/>
      </c>
      <c r="AZ226" s="75">
        <f>$C226*INDEX(Curves!$U$8:$U$68,AZ$4-$B226+1)</f>
        <v/>
      </c>
      <c r="BA226" s="75">
        <f>$C226*INDEX(Curves!$U$8:$U$68,BA$4-$B226+1)</f>
        <v/>
      </c>
      <c r="BB226" s="75">
        <f>$C226*INDEX(Curves!$U$8:$U$68,BB$4-$B226+1)</f>
        <v/>
      </c>
      <c r="BC226" s="75">
        <f>$C226*INDEX(Curves!$U$8:$U$68,BC$4-$B226+1)</f>
        <v/>
      </c>
      <c r="BD226" s="75">
        <f>$C226*INDEX(Curves!$U$8:$U$68,BD$4-$B226+1)</f>
        <v/>
      </c>
      <c r="BE226" s="75">
        <f>$C226*INDEX(Curves!$U$8:$U$68,BE$4-$B226+1)</f>
        <v/>
      </c>
      <c r="BF226" s="75">
        <f>$C226*INDEX(Curves!$U$8:$U$68,BF$4-$B226+1)</f>
        <v/>
      </c>
      <c r="BG226" s="75">
        <f>$C226*INDEX(Curves!$U$8:$U$68,BG$4-$B226+1)</f>
        <v/>
      </c>
      <c r="BH226" s="75">
        <f>$C226*INDEX(Curves!$U$8:$U$68,BH$4-$B226+1)</f>
        <v/>
      </c>
      <c r="BI226" s="75">
        <f>$C226*INDEX(Curves!$U$8:$U$68,BI$4-$B226+1)</f>
        <v/>
      </c>
      <c r="BJ226" s="75">
        <f>$C226*INDEX(Curves!$U$8:$U$68,BJ$4-$B226+1)</f>
        <v/>
      </c>
      <c r="BK226" s="75">
        <f>$C226*INDEX(Curves!$U$8:$U$68,BK$4-$B226+1)</f>
        <v/>
      </c>
      <c r="BL226" s="75">
        <f>$C226*INDEX(Curves!$U$8:$U$68,BL$4-$B226+1)</f>
        <v/>
      </c>
    </row>
    <row r="227">
      <c r="A227" s="74" t="inlineStr">
        <is>
          <t>Cohort month 29</t>
        </is>
      </c>
      <c r="B227" s="74" t="n">
        <v>29</v>
      </c>
      <c r="C227" s="17">
        <f>INDEX(Ops!$E$35:$BL$35,1,$B227)</f>
        <v/>
      </c>
      <c r="AH227" s="75">
        <f>$C227*INDEX(Curves!$U$8:$U$68,AH$4-$B227+1)</f>
        <v/>
      </c>
      <c r="AI227" s="75">
        <f>$C227*INDEX(Curves!$U$8:$U$68,AI$4-$B227+1)</f>
        <v/>
      </c>
      <c r="AJ227" s="75">
        <f>$C227*INDEX(Curves!$U$8:$U$68,AJ$4-$B227+1)</f>
        <v/>
      </c>
      <c r="AK227" s="75">
        <f>$C227*INDEX(Curves!$U$8:$U$68,AK$4-$B227+1)</f>
        <v/>
      </c>
      <c r="AL227" s="75">
        <f>$C227*INDEX(Curves!$U$8:$U$68,AL$4-$B227+1)</f>
        <v/>
      </c>
      <c r="AM227" s="75">
        <f>$C227*INDEX(Curves!$U$8:$U$68,AM$4-$B227+1)</f>
        <v/>
      </c>
      <c r="AN227" s="75">
        <f>$C227*INDEX(Curves!$U$8:$U$68,AN$4-$B227+1)</f>
        <v/>
      </c>
      <c r="AO227" s="75">
        <f>$C227*INDEX(Curves!$U$8:$U$68,AO$4-$B227+1)</f>
        <v/>
      </c>
      <c r="AP227" s="75">
        <f>$C227*INDEX(Curves!$U$8:$U$68,AP$4-$B227+1)</f>
        <v/>
      </c>
      <c r="AQ227" s="75">
        <f>$C227*INDEX(Curves!$U$8:$U$68,AQ$4-$B227+1)</f>
        <v/>
      </c>
      <c r="AR227" s="75">
        <f>$C227*INDEX(Curves!$U$8:$U$68,AR$4-$B227+1)</f>
        <v/>
      </c>
      <c r="AS227" s="75">
        <f>$C227*INDEX(Curves!$U$8:$U$68,AS$4-$B227+1)</f>
        <v/>
      </c>
      <c r="AT227" s="75">
        <f>$C227*INDEX(Curves!$U$8:$U$68,AT$4-$B227+1)</f>
        <v/>
      </c>
      <c r="AU227" s="75">
        <f>$C227*INDEX(Curves!$U$8:$U$68,AU$4-$B227+1)</f>
        <v/>
      </c>
      <c r="AV227" s="75">
        <f>$C227*INDEX(Curves!$U$8:$U$68,AV$4-$B227+1)</f>
        <v/>
      </c>
      <c r="AW227" s="75">
        <f>$C227*INDEX(Curves!$U$8:$U$68,AW$4-$B227+1)</f>
        <v/>
      </c>
      <c r="AX227" s="75">
        <f>$C227*INDEX(Curves!$U$8:$U$68,AX$4-$B227+1)</f>
        <v/>
      </c>
      <c r="AY227" s="75">
        <f>$C227*INDEX(Curves!$U$8:$U$68,AY$4-$B227+1)</f>
        <v/>
      </c>
      <c r="AZ227" s="75">
        <f>$C227*INDEX(Curves!$U$8:$U$68,AZ$4-$B227+1)</f>
        <v/>
      </c>
      <c r="BA227" s="75">
        <f>$C227*INDEX(Curves!$U$8:$U$68,BA$4-$B227+1)</f>
        <v/>
      </c>
      <c r="BB227" s="75">
        <f>$C227*INDEX(Curves!$U$8:$U$68,BB$4-$B227+1)</f>
        <v/>
      </c>
      <c r="BC227" s="75">
        <f>$C227*INDEX(Curves!$U$8:$U$68,BC$4-$B227+1)</f>
        <v/>
      </c>
      <c r="BD227" s="75">
        <f>$C227*INDEX(Curves!$U$8:$U$68,BD$4-$B227+1)</f>
        <v/>
      </c>
      <c r="BE227" s="75">
        <f>$C227*INDEX(Curves!$U$8:$U$68,BE$4-$B227+1)</f>
        <v/>
      </c>
      <c r="BF227" s="75">
        <f>$C227*INDEX(Curves!$U$8:$U$68,BF$4-$B227+1)</f>
        <v/>
      </c>
      <c r="BG227" s="75">
        <f>$C227*INDEX(Curves!$U$8:$U$68,BG$4-$B227+1)</f>
        <v/>
      </c>
      <c r="BH227" s="75">
        <f>$C227*INDEX(Curves!$U$8:$U$68,BH$4-$B227+1)</f>
        <v/>
      </c>
      <c r="BI227" s="75">
        <f>$C227*INDEX(Curves!$U$8:$U$68,BI$4-$B227+1)</f>
        <v/>
      </c>
      <c r="BJ227" s="75">
        <f>$C227*INDEX(Curves!$U$8:$U$68,BJ$4-$B227+1)</f>
        <v/>
      </c>
      <c r="BK227" s="75">
        <f>$C227*INDEX(Curves!$U$8:$U$68,BK$4-$B227+1)</f>
        <v/>
      </c>
      <c r="BL227" s="75">
        <f>$C227*INDEX(Curves!$U$8:$U$68,BL$4-$B227+1)</f>
        <v/>
      </c>
    </row>
    <row r="228">
      <c r="A228" s="74" t="inlineStr">
        <is>
          <t>Cohort month 30</t>
        </is>
      </c>
      <c r="B228" s="74" t="n">
        <v>30</v>
      </c>
      <c r="C228" s="17">
        <f>INDEX(Ops!$E$35:$BL$35,1,$B228)</f>
        <v/>
      </c>
      <c r="AI228" s="75">
        <f>$C228*INDEX(Curves!$U$8:$U$68,AI$4-$B228+1)</f>
        <v/>
      </c>
      <c r="AJ228" s="75">
        <f>$C228*INDEX(Curves!$U$8:$U$68,AJ$4-$B228+1)</f>
        <v/>
      </c>
      <c r="AK228" s="75">
        <f>$C228*INDEX(Curves!$U$8:$U$68,AK$4-$B228+1)</f>
        <v/>
      </c>
      <c r="AL228" s="75">
        <f>$C228*INDEX(Curves!$U$8:$U$68,AL$4-$B228+1)</f>
        <v/>
      </c>
      <c r="AM228" s="75">
        <f>$C228*INDEX(Curves!$U$8:$U$68,AM$4-$B228+1)</f>
        <v/>
      </c>
      <c r="AN228" s="75">
        <f>$C228*INDEX(Curves!$U$8:$U$68,AN$4-$B228+1)</f>
        <v/>
      </c>
      <c r="AO228" s="75">
        <f>$C228*INDEX(Curves!$U$8:$U$68,AO$4-$B228+1)</f>
        <v/>
      </c>
      <c r="AP228" s="75">
        <f>$C228*INDEX(Curves!$U$8:$U$68,AP$4-$B228+1)</f>
        <v/>
      </c>
      <c r="AQ228" s="75">
        <f>$C228*INDEX(Curves!$U$8:$U$68,AQ$4-$B228+1)</f>
        <v/>
      </c>
      <c r="AR228" s="75">
        <f>$C228*INDEX(Curves!$U$8:$U$68,AR$4-$B228+1)</f>
        <v/>
      </c>
      <c r="AS228" s="75">
        <f>$C228*INDEX(Curves!$U$8:$U$68,AS$4-$B228+1)</f>
        <v/>
      </c>
      <c r="AT228" s="75">
        <f>$C228*INDEX(Curves!$U$8:$U$68,AT$4-$B228+1)</f>
        <v/>
      </c>
      <c r="AU228" s="75">
        <f>$C228*INDEX(Curves!$U$8:$U$68,AU$4-$B228+1)</f>
        <v/>
      </c>
      <c r="AV228" s="75">
        <f>$C228*INDEX(Curves!$U$8:$U$68,AV$4-$B228+1)</f>
        <v/>
      </c>
      <c r="AW228" s="75">
        <f>$C228*INDEX(Curves!$U$8:$U$68,AW$4-$B228+1)</f>
        <v/>
      </c>
      <c r="AX228" s="75">
        <f>$C228*INDEX(Curves!$U$8:$U$68,AX$4-$B228+1)</f>
        <v/>
      </c>
      <c r="AY228" s="75">
        <f>$C228*INDEX(Curves!$U$8:$U$68,AY$4-$B228+1)</f>
        <v/>
      </c>
      <c r="AZ228" s="75">
        <f>$C228*INDEX(Curves!$U$8:$U$68,AZ$4-$B228+1)</f>
        <v/>
      </c>
      <c r="BA228" s="75">
        <f>$C228*INDEX(Curves!$U$8:$U$68,BA$4-$B228+1)</f>
        <v/>
      </c>
      <c r="BB228" s="75">
        <f>$C228*INDEX(Curves!$U$8:$U$68,BB$4-$B228+1)</f>
        <v/>
      </c>
      <c r="BC228" s="75">
        <f>$C228*INDEX(Curves!$U$8:$U$68,BC$4-$B228+1)</f>
        <v/>
      </c>
      <c r="BD228" s="75">
        <f>$C228*INDEX(Curves!$U$8:$U$68,BD$4-$B228+1)</f>
        <v/>
      </c>
      <c r="BE228" s="75">
        <f>$C228*INDEX(Curves!$U$8:$U$68,BE$4-$B228+1)</f>
        <v/>
      </c>
      <c r="BF228" s="75">
        <f>$C228*INDEX(Curves!$U$8:$U$68,BF$4-$B228+1)</f>
        <v/>
      </c>
      <c r="BG228" s="75">
        <f>$C228*INDEX(Curves!$U$8:$U$68,BG$4-$B228+1)</f>
        <v/>
      </c>
      <c r="BH228" s="75">
        <f>$C228*INDEX(Curves!$U$8:$U$68,BH$4-$B228+1)</f>
        <v/>
      </c>
      <c r="BI228" s="75">
        <f>$C228*INDEX(Curves!$U$8:$U$68,BI$4-$B228+1)</f>
        <v/>
      </c>
      <c r="BJ228" s="75">
        <f>$C228*INDEX(Curves!$U$8:$U$68,BJ$4-$B228+1)</f>
        <v/>
      </c>
      <c r="BK228" s="75">
        <f>$C228*INDEX(Curves!$U$8:$U$68,BK$4-$B228+1)</f>
        <v/>
      </c>
      <c r="BL228" s="75">
        <f>$C228*INDEX(Curves!$U$8:$U$68,BL$4-$B228+1)</f>
        <v/>
      </c>
    </row>
    <row r="229">
      <c r="A229" s="74" t="inlineStr">
        <is>
          <t>Cohort month 31</t>
        </is>
      </c>
      <c r="B229" s="74" t="n">
        <v>31</v>
      </c>
      <c r="C229" s="17">
        <f>INDEX(Ops!$E$35:$BL$35,1,$B229)</f>
        <v/>
      </c>
      <c r="AJ229" s="75">
        <f>$C229*INDEX(Curves!$U$8:$U$68,AJ$4-$B229+1)</f>
        <v/>
      </c>
      <c r="AK229" s="75">
        <f>$C229*INDEX(Curves!$U$8:$U$68,AK$4-$B229+1)</f>
        <v/>
      </c>
      <c r="AL229" s="75">
        <f>$C229*INDEX(Curves!$U$8:$U$68,AL$4-$B229+1)</f>
        <v/>
      </c>
      <c r="AM229" s="75">
        <f>$C229*INDEX(Curves!$U$8:$U$68,AM$4-$B229+1)</f>
        <v/>
      </c>
      <c r="AN229" s="75">
        <f>$C229*INDEX(Curves!$U$8:$U$68,AN$4-$B229+1)</f>
        <v/>
      </c>
      <c r="AO229" s="75">
        <f>$C229*INDEX(Curves!$U$8:$U$68,AO$4-$B229+1)</f>
        <v/>
      </c>
      <c r="AP229" s="75">
        <f>$C229*INDEX(Curves!$U$8:$U$68,AP$4-$B229+1)</f>
        <v/>
      </c>
      <c r="AQ229" s="75">
        <f>$C229*INDEX(Curves!$U$8:$U$68,AQ$4-$B229+1)</f>
        <v/>
      </c>
      <c r="AR229" s="75">
        <f>$C229*INDEX(Curves!$U$8:$U$68,AR$4-$B229+1)</f>
        <v/>
      </c>
      <c r="AS229" s="75">
        <f>$C229*INDEX(Curves!$U$8:$U$68,AS$4-$B229+1)</f>
        <v/>
      </c>
      <c r="AT229" s="75">
        <f>$C229*INDEX(Curves!$U$8:$U$68,AT$4-$B229+1)</f>
        <v/>
      </c>
      <c r="AU229" s="75">
        <f>$C229*INDEX(Curves!$U$8:$U$68,AU$4-$B229+1)</f>
        <v/>
      </c>
      <c r="AV229" s="75">
        <f>$C229*INDEX(Curves!$U$8:$U$68,AV$4-$B229+1)</f>
        <v/>
      </c>
      <c r="AW229" s="75">
        <f>$C229*INDEX(Curves!$U$8:$U$68,AW$4-$B229+1)</f>
        <v/>
      </c>
      <c r="AX229" s="75">
        <f>$C229*INDEX(Curves!$U$8:$U$68,AX$4-$B229+1)</f>
        <v/>
      </c>
      <c r="AY229" s="75">
        <f>$C229*INDEX(Curves!$U$8:$U$68,AY$4-$B229+1)</f>
        <v/>
      </c>
      <c r="AZ229" s="75">
        <f>$C229*INDEX(Curves!$U$8:$U$68,AZ$4-$B229+1)</f>
        <v/>
      </c>
      <c r="BA229" s="75">
        <f>$C229*INDEX(Curves!$U$8:$U$68,BA$4-$B229+1)</f>
        <v/>
      </c>
      <c r="BB229" s="75">
        <f>$C229*INDEX(Curves!$U$8:$U$68,BB$4-$B229+1)</f>
        <v/>
      </c>
      <c r="BC229" s="75">
        <f>$C229*INDEX(Curves!$U$8:$U$68,BC$4-$B229+1)</f>
        <v/>
      </c>
      <c r="BD229" s="75">
        <f>$C229*INDEX(Curves!$U$8:$U$68,BD$4-$B229+1)</f>
        <v/>
      </c>
      <c r="BE229" s="75">
        <f>$C229*INDEX(Curves!$U$8:$U$68,BE$4-$B229+1)</f>
        <v/>
      </c>
      <c r="BF229" s="75">
        <f>$C229*INDEX(Curves!$U$8:$U$68,BF$4-$B229+1)</f>
        <v/>
      </c>
      <c r="BG229" s="75">
        <f>$C229*INDEX(Curves!$U$8:$U$68,BG$4-$B229+1)</f>
        <v/>
      </c>
      <c r="BH229" s="75">
        <f>$C229*INDEX(Curves!$U$8:$U$68,BH$4-$B229+1)</f>
        <v/>
      </c>
      <c r="BI229" s="75">
        <f>$C229*INDEX(Curves!$U$8:$U$68,BI$4-$B229+1)</f>
        <v/>
      </c>
      <c r="BJ229" s="75">
        <f>$C229*INDEX(Curves!$U$8:$U$68,BJ$4-$B229+1)</f>
        <v/>
      </c>
      <c r="BK229" s="75">
        <f>$C229*INDEX(Curves!$U$8:$U$68,BK$4-$B229+1)</f>
        <v/>
      </c>
      <c r="BL229" s="75">
        <f>$C229*INDEX(Curves!$U$8:$U$68,BL$4-$B229+1)</f>
        <v/>
      </c>
    </row>
    <row r="230">
      <c r="A230" s="74" t="inlineStr">
        <is>
          <t>Cohort month 32</t>
        </is>
      </c>
      <c r="B230" s="74" t="n">
        <v>32</v>
      </c>
      <c r="C230" s="17">
        <f>INDEX(Ops!$E$35:$BL$35,1,$B230)</f>
        <v/>
      </c>
      <c r="AK230" s="75">
        <f>$C230*INDEX(Curves!$U$8:$U$68,AK$4-$B230+1)</f>
        <v/>
      </c>
      <c r="AL230" s="75">
        <f>$C230*INDEX(Curves!$U$8:$U$68,AL$4-$B230+1)</f>
        <v/>
      </c>
      <c r="AM230" s="75">
        <f>$C230*INDEX(Curves!$U$8:$U$68,AM$4-$B230+1)</f>
        <v/>
      </c>
      <c r="AN230" s="75">
        <f>$C230*INDEX(Curves!$U$8:$U$68,AN$4-$B230+1)</f>
        <v/>
      </c>
      <c r="AO230" s="75">
        <f>$C230*INDEX(Curves!$U$8:$U$68,AO$4-$B230+1)</f>
        <v/>
      </c>
      <c r="AP230" s="75">
        <f>$C230*INDEX(Curves!$U$8:$U$68,AP$4-$B230+1)</f>
        <v/>
      </c>
      <c r="AQ230" s="75">
        <f>$C230*INDEX(Curves!$U$8:$U$68,AQ$4-$B230+1)</f>
        <v/>
      </c>
      <c r="AR230" s="75">
        <f>$C230*INDEX(Curves!$U$8:$U$68,AR$4-$B230+1)</f>
        <v/>
      </c>
      <c r="AS230" s="75">
        <f>$C230*INDEX(Curves!$U$8:$U$68,AS$4-$B230+1)</f>
        <v/>
      </c>
      <c r="AT230" s="75">
        <f>$C230*INDEX(Curves!$U$8:$U$68,AT$4-$B230+1)</f>
        <v/>
      </c>
      <c r="AU230" s="75">
        <f>$C230*INDEX(Curves!$U$8:$U$68,AU$4-$B230+1)</f>
        <v/>
      </c>
      <c r="AV230" s="75">
        <f>$C230*INDEX(Curves!$U$8:$U$68,AV$4-$B230+1)</f>
        <v/>
      </c>
      <c r="AW230" s="75">
        <f>$C230*INDEX(Curves!$U$8:$U$68,AW$4-$B230+1)</f>
        <v/>
      </c>
      <c r="AX230" s="75">
        <f>$C230*INDEX(Curves!$U$8:$U$68,AX$4-$B230+1)</f>
        <v/>
      </c>
      <c r="AY230" s="75">
        <f>$C230*INDEX(Curves!$U$8:$U$68,AY$4-$B230+1)</f>
        <v/>
      </c>
      <c r="AZ230" s="75">
        <f>$C230*INDEX(Curves!$U$8:$U$68,AZ$4-$B230+1)</f>
        <v/>
      </c>
      <c r="BA230" s="75">
        <f>$C230*INDEX(Curves!$U$8:$U$68,BA$4-$B230+1)</f>
        <v/>
      </c>
      <c r="BB230" s="75">
        <f>$C230*INDEX(Curves!$U$8:$U$68,BB$4-$B230+1)</f>
        <v/>
      </c>
      <c r="BC230" s="75">
        <f>$C230*INDEX(Curves!$U$8:$U$68,BC$4-$B230+1)</f>
        <v/>
      </c>
      <c r="BD230" s="75">
        <f>$C230*INDEX(Curves!$U$8:$U$68,BD$4-$B230+1)</f>
        <v/>
      </c>
      <c r="BE230" s="75">
        <f>$C230*INDEX(Curves!$U$8:$U$68,BE$4-$B230+1)</f>
        <v/>
      </c>
      <c r="BF230" s="75">
        <f>$C230*INDEX(Curves!$U$8:$U$68,BF$4-$B230+1)</f>
        <v/>
      </c>
      <c r="BG230" s="75">
        <f>$C230*INDEX(Curves!$U$8:$U$68,BG$4-$B230+1)</f>
        <v/>
      </c>
      <c r="BH230" s="75">
        <f>$C230*INDEX(Curves!$U$8:$U$68,BH$4-$B230+1)</f>
        <v/>
      </c>
      <c r="BI230" s="75">
        <f>$C230*INDEX(Curves!$U$8:$U$68,BI$4-$B230+1)</f>
        <v/>
      </c>
      <c r="BJ230" s="75">
        <f>$C230*INDEX(Curves!$U$8:$U$68,BJ$4-$B230+1)</f>
        <v/>
      </c>
      <c r="BK230" s="75">
        <f>$C230*INDEX(Curves!$U$8:$U$68,BK$4-$B230+1)</f>
        <v/>
      </c>
      <c r="BL230" s="75">
        <f>$C230*INDEX(Curves!$U$8:$U$68,BL$4-$B230+1)</f>
        <v/>
      </c>
    </row>
    <row r="231">
      <c r="A231" s="74" t="inlineStr">
        <is>
          <t>Cohort month 33</t>
        </is>
      </c>
      <c r="B231" s="74" t="n">
        <v>33</v>
      </c>
      <c r="C231" s="17">
        <f>INDEX(Ops!$E$35:$BL$35,1,$B231)</f>
        <v/>
      </c>
      <c r="AL231" s="75">
        <f>$C231*INDEX(Curves!$U$8:$U$68,AL$4-$B231+1)</f>
        <v/>
      </c>
      <c r="AM231" s="75">
        <f>$C231*INDEX(Curves!$U$8:$U$68,AM$4-$B231+1)</f>
        <v/>
      </c>
      <c r="AN231" s="75">
        <f>$C231*INDEX(Curves!$U$8:$U$68,AN$4-$B231+1)</f>
        <v/>
      </c>
      <c r="AO231" s="75">
        <f>$C231*INDEX(Curves!$U$8:$U$68,AO$4-$B231+1)</f>
        <v/>
      </c>
      <c r="AP231" s="75">
        <f>$C231*INDEX(Curves!$U$8:$U$68,AP$4-$B231+1)</f>
        <v/>
      </c>
      <c r="AQ231" s="75">
        <f>$C231*INDEX(Curves!$U$8:$U$68,AQ$4-$B231+1)</f>
        <v/>
      </c>
      <c r="AR231" s="75">
        <f>$C231*INDEX(Curves!$U$8:$U$68,AR$4-$B231+1)</f>
        <v/>
      </c>
      <c r="AS231" s="75">
        <f>$C231*INDEX(Curves!$U$8:$U$68,AS$4-$B231+1)</f>
        <v/>
      </c>
      <c r="AT231" s="75">
        <f>$C231*INDEX(Curves!$U$8:$U$68,AT$4-$B231+1)</f>
        <v/>
      </c>
      <c r="AU231" s="75">
        <f>$C231*INDEX(Curves!$U$8:$U$68,AU$4-$B231+1)</f>
        <v/>
      </c>
      <c r="AV231" s="75">
        <f>$C231*INDEX(Curves!$U$8:$U$68,AV$4-$B231+1)</f>
        <v/>
      </c>
      <c r="AW231" s="75">
        <f>$C231*INDEX(Curves!$U$8:$U$68,AW$4-$B231+1)</f>
        <v/>
      </c>
      <c r="AX231" s="75">
        <f>$C231*INDEX(Curves!$U$8:$U$68,AX$4-$B231+1)</f>
        <v/>
      </c>
      <c r="AY231" s="75">
        <f>$C231*INDEX(Curves!$U$8:$U$68,AY$4-$B231+1)</f>
        <v/>
      </c>
      <c r="AZ231" s="75">
        <f>$C231*INDEX(Curves!$U$8:$U$68,AZ$4-$B231+1)</f>
        <v/>
      </c>
      <c r="BA231" s="75">
        <f>$C231*INDEX(Curves!$U$8:$U$68,BA$4-$B231+1)</f>
        <v/>
      </c>
      <c r="BB231" s="75">
        <f>$C231*INDEX(Curves!$U$8:$U$68,BB$4-$B231+1)</f>
        <v/>
      </c>
      <c r="BC231" s="75">
        <f>$C231*INDEX(Curves!$U$8:$U$68,BC$4-$B231+1)</f>
        <v/>
      </c>
      <c r="BD231" s="75">
        <f>$C231*INDEX(Curves!$U$8:$U$68,BD$4-$B231+1)</f>
        <v/>
      </c>
      <c r="BE231" s="75">
        <f>$C231*INDEX(Curves!$U$8:$U$68,BE$4-$B231+1)</f>
        <v/>
      </c>
      <c r="BF231" s="75">
        <f>$C231*INDEX(Curves!$U$8:$U$68,BF$4-$B231+1)</f>
        <v/>
      </c>
      <c r="BG231" s="75">
        <f>$C231*INDEX(Curves!$U$8:$U$68,BG$4-$B231+1)</f>
        <v/>
      </c>
      <c r="BH231" s="75">
        <f>$C231*INDEX(Curves!$U$8:$U$68,BH$4-$B231+1)</f>
        <v/>
      </c>
      <c r="BI231" s="75">
        <f>$C231*INDEX(Curves!$U$8:$U$68,BI$4-$B231+1)</f>
        <v/>
      </c>
      <c r="BJ231" s="75">
        <f>$C231*INDEX(Curves!$U$8:$U$68,BJ$4-$B231+1)</f>
        <v/>
      </c>
      <c r="BK231" s="75">
        <f>$C231*INDEX(Curves!$U$8:$U$68,BK$4-$B231+1)</f>
        <v/>
      </c>
      <c r="BL231" s="75">
        <f>$C231*INDEX(Curves!$U$8:$U$68,BL$4-$B231+1)</f>
        <v/>
      </c>
    </row>
    <row r="232">
      <c r="A232" s="74" t="inlineStr">
        <is>
          <t>Cohort month 34</t>
        </is>
      </c>
      <c r="B232" s="74" t="n">
        <v>34</v>
      </c>
      <c r="C232" s="17">
        <f>INDEX(Ops!$E$35:$BL$35,1,$B232)</f>
        <v/>
      </c>
      <c r="AM232" s="75">
        <f>$C232*INDEX(Curves!$U$8:$U$68,AM$4-$B232+1)</f>
        <v/>
      </c>
      <c r="AN232" s="75">
        <f>$C232*INDEX(Curves!$U$8:$U$68,AN$4-$B232+1)</f>
        <v/>
      </c>
      <c r="AO232" s="75">
        <f>$C232*INDEX(Curves!$U$8:$U$68,AO$4-$B232+1)</f>
        <v/>
      </c>
      <c r="AP232" s="75">
        <f>$C232*INDEX(Curves!$U$8:$U$68,AP$4-$B232+1)</f>
        <v/>
      </c>
      <c r="AQ232" s="75">
        <f>$C232*INDEX(Curves!$U$8:$U$68,AQ$4-$B232+1)</f>
        <v/>
      </c>
      <c r="AR232" s="75">
        <f>$C232*INDEX(Curves!$U$8:$U$68,AR$4-$B232+1)</f>
        <v/>
      </c>
      <c r="AS232" s="75">
        <f>$C232*INDEX(Curves!$U$8:$U$68,AS$4-$B232+1)</f>
        <v/>
      </c>
      <c r="AT232" s="75">
        <f>$C232*INDEX(Curves!$U$8:$U$68,AT$4-$B232+1)</f>
        <v/>
      </c>
      <c r="AU232" s="75">
        <f>$C232*INDEX(Curves!$U$8:$U$68,AU$4-$B232+1)</f>
        <v/>
      </c>
      <c r="AV232" s="75">
        <f>$C232*INDEX(Curves!$U$8:$U$68,AV$4-$B232+1)</f>
        <v/>
      </c>
      <c r="AW232" s="75">
        <f>$C232*INDEX(Curves!$U$8:$U$68,AW$4-$B232+1)</f>
        <v/>
      </c>
      <c r="AX232" s="75">
        <f>$C232*INDEX(Curves!$U$8:$U$68,AX$4-$B232+1)</f>
        <v/>
      </c>
      <c r="AY232" s="75">
        <f>$C232*INDEX(Curves!$U$8:$U$68,AY$4-$B232+1)</f>
        <v/>
      </c>
      <c r="AZ232" s="75">
        <f>$C232*INDEX(Curves!$U$8:$U$68,AZ$4-$B232+1)</f>
        <v/>
      </c>
      <c r="BA232" s="75">
        <f>$C232*INDEX(Curves!$U$8:$U$68,BA$4-$B232+1)</f>
        <v/>
      </c>
      <c r="BB232" s="75">
        <f>$C232*INDEX(Curves!$U$8:$U$68,BB$4-$B232+1)</f>
        <v/>
      </c>
      <c r="BC232" s="75">
        <f>$C232*INDEX(Curves!$U$8:$U$68,BC$4-$B232+1)</f>
        <v/>
      </c>
      <c r="BD232" s="75">
        <f>$C232*INDEX(Curves!$U$8:$U$68,BD$4-$B232+1)</f>
        <v/>
      </c>
      <c r="BE232" s="75">
        <f>$C232*INDEX(Curves!$U$8:$U$68,BE$4-$B232+1)</f>
        <v/>
      </c>
      <c r="BF232" s="75">
        <f>$C232*INDEX(Curves!$U$8:$U$68,BF$4-$B232+1)</f>
        <v/>
      </c>
      <c r="BG232" s="75">
        <f>$C232*INDEX(Curves!$U$8:$U$68,BG$4-$B232+1)</f>
        <v/>
      </c>
      <c r="BH232" s="75">
        <f>$C232*INDEX(Curves!$U$8:$U$68,BH$4-$B232+1)</f>
        <v/>
      </c>
      <c r="BI232" s="75">
        <f>$C232*INDEX(Curves!$U$8:$U$68,BI$4-$B232+1)</f>
        <v/>
      </c>
      <c r="BJ232" s="75">
        <f>$C232*INDEX(Curves!$U$8:$U$68,BJ$4-$B232+1)</f>
        <v/>
      </c>
      <c r="BK232" s="75">
        <f>$C232*INDEX(Curves!$U$8:$U$68,BK$4-$B232+1)</f>
        <v/>
      </c>
      <c r="BL232" s="75">
        <f>$C232*INDEX(Curves!$U$8:$U$68,BL$4-$B232+1)</f>
        <v/>
      </c>
    </row>
    <row r="233">
      <c r="A233" s="74" t="inlineStr">
        <is>
          <t>Cohort month 35</t>
        </is>
      </c>
      <c r="B233" s="74" t="n">
        <v>35</v>
      </c>
      <c r="C233" s="17">
        <f>INDEX(Ops!$E$35:$BL$35,1,$B233)</f>
        <v/>
      </c>
      <c r="AN233" s="75">
        <f>$C233*INDEX(Curves!$U$8:$U$68,AN$4-$B233+1)</f>
        <v/>
      </c>
      <c r="AO233" s="75">
        <f>$C233*INDEX(Curves!$U$8:$U$68,AO$4-$B233+1)</f>
        <v/>
      </c>
      <c r="AP233" s="75">
        <f>$C233*INDEX(Curves!$U$8:$U$68,AP$4-$B233+1)</f>
        <v/>
      </c>
      <c r="AQ233" s="75">
        <f>$C233*INDEX(Curves!$U$8:$U$68,AQ$4-$B233+1)</f>
        <v/>
      </c>
      <c r="AR233" s="75">
        <f>$C233*INDEX(Curves!$U$8:$U$68,AR$4-$B233+1)</f>
        <v/>
      </c>
      <c r="AS233" s="75">
        <f>$C233*INDEX(Curves!$U$8:$U$68,AS$4-$B233+1)</f>
        <v/>
      </c>
      <c r="AT233" s="75">
        <f>$C233*INDEX(Curves!$U$8:$U$68,AT$4-$B233+1)</f>
        <v/>
      </c>
      <c r="AU233" s="75">
        <f>$C233*INDEX(Curves!$U$8:$U$68,AU$4-$B233+1)</f>
        <v/>
      </c>
      <c r="AV233" s="75">
        <f>$C233*INDEX(Curves!$U$8:$U$68,AV$4-$B233+1)</f>
        <v/>
      </c>
      <c r="AW233" s="75">
        <f>$C233*INDEX(Curves!$U$8:$U$68,AW$4-$B233+1)</f>
        <v/>
      </c>
      <c r="AX233" s="75">
        <f>$C233*INDEX(Curves!$U$8:$U$68,AX$4-$B233+1)</f>
        <v/>
      </c>
      <c r="AY233" s="75">
        <f>$C233*INDEX(Curves!$U$8:$U$68,AY$4-$B233+1)</f>
        <v/>
      </c>
      <c r="AZ233" s="75">
        <f>$C233*INDEX(Curves!$U$8:$U$68,AZ$4-$B233+1)</f>
        <v/>
      </c>
      <c r="BA233" s="75">
        <f>$C233*INDEX(Curves!$U$8:$U$68,BA$4-$B233+1)</f>
        <v/>
      </c>
      <c r="BB233" s="75">
        <f>$C233*INDEX(Curves!$U$8:$U$68,BB$4-$B233+1)</f>
        <v/>
      </c>
      <c r="BC233" s="75">
        <f>$C233*INDEX(Curves!$U$8:$U$68,BC$4-$B233+1)</f>
        <v/>
      </c>
      <c r="BD233" s="75">
        <f>$C233*INDEX(Curves!$U$8:$U$68,BD$4-$B233+1)</f>
        <v/>
      </c>
      <c r="BE233" s="75">
        <f>$C233*INDEX(Curves!$U$8:$U$68,BE$4-$B233+1)</f>
        <v/>
      </c>
      <c r="BF233" s="75">
        <f>$C233*INDEX(Curves!$U$8:$U$68,BF$4-$B233+1)</f>
        <v/>
      </c>
      <c r="BG233" s="75">
        <f>$C233*INDEX(Curves!$U$8:$U$68,BG$4-$B233+1)</f>
        <v/>
      </c>
      <c r="BH233" s="75">
        <f>$C233*INDEX(Curves!$U$8:$U$68,BH$4-$B233+1)</f>
        <v/>
      </c>
      <c r="BI233" s="75">
        <f>$C233*INDEX(Curves!$U$8:$U$68,BI$4-$B233+1)</f>
        <v/>
      </c>
      <c r="BJ233" s="75">
        <f>$C233*INDEX(Curves!$U$8:$U$68,BJ$4-$B233+1)</f>
        <v/>
      </c>
      <c r="BK233" s="75">
        <f>$C233*INDEX(Curves!$U$8:$U$68,BK$4-$B233+1)</f>
        <v/>
      </c>
      <c r="BL233" s="75">
        <f>$C233*INDEX(Curves!$U$8:$U$68,BL$4-$B233+1)</f>
        <v/>
      </c>
    </row>
    <row r="234">
      <c r="A234" s="74" t="inlineStr">
        <is>
          <t>Cohort month 36</t>
        </is>
      </c>
      <c r="B234" s="74" t="n">
        <v>36</v>
      </c>
      <c r="C234" s="17">
        <f>INDEX(Ops!$E$35:$BL$35,1,$B234)</f>
        <v/>
      </c>
      <c r="AO234" s="75">
        <f>$C234*INDEX(Curves!$U$8:$U$68,AO$4-$B234+1)</f>
        <v/>
      </c>
      <c r="AP234" s="75">
        <f>$C234*INDEX(Curves!$U$8:$U$68,AP$4-$B234+1)</f>
        <v/>
      </c>
      <c r="AQ234" s="75">
        <f>$C234*INDEX(Curves!$U$8:$U$68,AQ$4-$B234+1)</f>
        <v/>
      </c>
      <c r="AR234" s="75">
        <f>$C234*INDEX(Curves!$U$8:$U$68,AR$4-$B234+1)</f>
        <v/>
      </c>
      <c r="AS234" s="75">
        <f>$C234*INDEX(Curves!$U$8:$U$68,AS$4-$B234+1)</f>
        <v/>
      </c>
      <c r="AT234" s="75">
        <f>$C234*INDEX(Curves!$U$8:$U$68,AT$4-$B234+1)</f>
        <v/>
      </c>
      <c r="AU234" s="75">
        <f>$C234*INDEX(Curves!$U$8:$U$68,AU$4-$B234+1)</f>
        <v/>
      </c>
      <c r="AV234" s="75">
        <f>$C234*INDEX(Curves!$U$8:$U$68,AV$4-$B234+1)</f>
        <v/>
      </c>
      <c r="AW234" s="75">
        <f>$C234*INDEX(Curves!$U$8:$U$68,AW$4-$B234+1)</f>
        <v/>
      </c>
      <c r="AX234" s="75">
        <f>$C234*INDEX(Curves!$U$8:$U$68,AX$4-$B234+1)</f>
        <v/>
      </c>
      <c r="AY234" s="75">
        <f>$C234*INDEX(Curves!$U$8:$U$68,AY$4-$B234+1)</f>
        <v/>
      </c>
      <c r="AZ234" s="75">
        <f>$C234*INDEX(Curves!$U$8:$U$68,AZ$4-$B234+1)</f>
        <v/>
      </c>
      <c r="BA234" s="75">
        <f>$C234*INDEX(Curves!$U$8:$U$68,BA$4-$B234+1)</f>
        <v/>
      </c>
      <c r="BB234" s="75">
        <f>$C234*INDEX(Curves!$U$8:$U$68,BB$4-$B234+1)</f>
        <v/>
      </c>
      <c r="BC234" s="75">
        <f>$C234*INDEX(Curves!$U$8:$U$68,BC$4-$B234+1)</f>
        <v/>
      </c>
      <c r="BD234" s="75">
        <f>$C234*INDEX(Curves!$U$8:$U$68,BD$4-$B234+1)</f>
        <v/>
      </c>
      <c r="BE234" s="75">
        <f>$C234*INDEX(Curves!$U$8:$U$68,BE$4-$B234+1)</f>
        <v/>
      </c>
      <c r="BF234" s="75">
        <f>$C234*INDEX(Curves!$U$8:$U$68,BF$4-$B234+1)</f>
        <v/>
      </c>
      <c r="BG234" s="75">
        <f>$C234*INDEX(Curves!$U$8:$U$68,BG$4-$B234+1)</f>
        <v/>
      </c>
      <c r="BH234" s="75">
        <f>$C234*INDEX(Curves!$U$8:$U$68,BH$4-$B234+1)</f>
        <v/>
      </c>
      <c r="BI234" s="75">
        <f>$C234*INDEX(Curves!$U$8:$U$68,BI$4-$B234+1)</f>
        <v/>
      </c>
      <c r="BJ234" s="75">
        <f>$C234*INDEX(Curves!$U$8:$U$68,BJ$4-$B234+1)</f>
        <v/>
      </c>
      <c r="BK234" s="75">
        <f>$C234*INDEX(Curves!$U$8:$U$68,BK$4-$B234+1)</f>
        <v/>
      </c>
      <c r="BL234" s="75">
        <f>$C234*INDEX(Curves!$U$8:$U$68,BL$4-$B234+1)</f>
        <v/>
      </c>
    </row>
    <row r="235">
      <c r="A235" s="74" t="inlineStr">
        <is>
          <t>Cohort month 37</t>
        </is>
      </c>
      <c r="B235" s="74" t="n">
        <v>37</v>
      </c>
      <c r="C235" s="17">
        <f>INDEX(Ops!$E$35:$BL$35,1,$B235)</f>
        <v/>
      </c>
      <c r="AP235" s="75">
        <f>$C235*INDEX(Curves!$U$8:$U$68,AP$4-$B235+1)</f>
        <v/>
      </c>
      <c r="AQ235" s="75">
        <f>$C235*INDEX(Curves!$U$8:$U$68,AQ$4-$B235+1)</f>
        <v/>
      </c>
      <c r="AR235" s="75">
        <f>$C235*INDEX(Curves!$U$8:$U$68,AR$4-$B235+1)</f>
        <v/>
      </c>
      <c r="AS235" s="75">
        <f>$C235*INDEX(Curves!$U$8:$U$68,AS$4-$B235+1)</f>
        <v/>
      </c>
      <c r="AT235" s="75">
        <f>$C235*INDEX(Curves!$U$8:$U$68,AT$4-$B235+1)</f>
        <v/>
      </c>
      <c r="AU235" s="75">
        <f>$C235*INDEX(Curves!$U$8:$U$68,AU$4-$B235+1)</f>
        <v/>
      </c>
      <c r="AV235" s="75">
        <f>$C235*INDEX(Curves!$U$8:$U$68,AV$4-$B235+1)</f>
        <v/>
      </c>
      <c r="AW235" s="75">
        <f>$C235*INDEX(Curves!$U$8:$U$68,AW$4-$B235+1)</f>
        <v/>
      </c>
      <c r="AX235" s="75">
        <f>$C235*INDEX(Curves!$U$8:$U$68,AX$4-$B235+1)</f>
        <v/>
      </c>
      <c r="AY235" s="75">
        <f>$C235*INDEX(Curves!$U$8:$U$68,AY$4-$B235+1)</f>
        <v/>
      </c>
      <c r="AZ235" s="75">
        <f>$C235*INDEX(Curves!$U$8:$U$68,AZ$4-$B235+1)</f>
        <v/>
      </c>
      <c r="BA235" s="75">
        <f>$C235*INDEX(Curves!$U$8:$U$68,BA$4-$B235+1)</f>
        <v/>
      </c>
      <c r="BB235" s="75">
        <f>$C235*INDEX(Curves!$U$8:$U$68,BB$4-$B235+1)</f>
        <v/>
      </c>
      <c r="BC235" s="75">
        <f>$C235*INDEX(Curves!$U$8:$U$68,BC$4-$B235+1)</f>
        <v/>
      </c>
      <c r="BD235" s="75">
        <f>$C235*INDEX(Curves!$U$8:$U$68,BD$4-$B235+1)</f>
        <v/>
      </c>
      <c r="BE235" s="75">
        <f>$C235*INDEX(Curves!$U$8:$U$68,BE$4-$B235+1)</f>
        <v/>
      </c>
      <c r="BF235" s="75">
        <f>$C235*INDEX(Curves!$U$8:$U$68,BF$4-$B235+1)</f>
        <v/>
      </c>
      <c r="BG235" s="75">
        <f>$C235*INDEX(Curves!$U$8:$U$68,BG$4-$B235+1)</f>
        <v/>
      </c>
      <c r="BH235" s="75">
        <f>$C235*INDEX(Curves!$U$8:$U$68,BH$4-$B235+1)</f>
        <v/>
      </c>
      <c r="BI235" s="75">
        <f>$C235*INDEX(Curves!$U$8:$U$68,BI$4-$B235+1)</f>
        <v/>
      </c>
      <c r="BJ235" s="75">
        <f>$C235*INDEX(Curves!$U$8:$U$68,BJ$4-$B235+1)</f>
        <v/>
      </c>
      <c r="BK235" s="75">
        <f>$C235*INDEX(Curves!$U$8:$U$68,BK$4-$B235+1)</f>
        <v/>
      </c>
      <c r="BL235" s="75">
        <f>$C235*INDEX(Curves!$U$8:$U$68,BL$4-$B235+1)</f>
        <v/>
      </c>
    </row>
    <row r="236">
      <c r="A236" s="74" t="inlineStr">
        <is>
          <t>Cohort month 38</t>
        </is>
      </c>
      <c r="B236" s="74" t="n">
        <v>38</v>
      </c>
      <c r="C236" s="17">
        <f>INDEX(Ops!$E$35:$BL$35,1,$B236)</f>
        <v/>
      </c>
      <c r="AQ236" s="75">
        <f>$C236*INDEX(Curves!$U$8:$U$68,AQ$4-$B236+1)</f>
        <v/>
      </c>
      <c r="AR236" s="75">
        <f>$C236*INDEX(Curves!$U$8:$U$68,AR$4-$B236+1)</f>
        <v/>
      </c>
      <c r="AS236" s="75">
        <f>$C236*INDEX(Curves!$U$8:$U$68,AS$4-$B236+1)</f>
        <v/>
      </c>
      <c r="AT236" s="75">
        <f>$C236*INDEX(Curves!$U$8:$U$68,AT$4-$B236+1)</f>
        <v/>
      </c>
      <c r="AU236" s="75">
        <f>$C236*INDEX(Curves!$U$8:$U$68,AU$4-$B236+1)</f>
        <v/>
      </c>
      <c r="AV236" s="75">
        <f>$C236*INDEX(Curves!$U$8:$U$68,AV$4-$B236+1)</f>
        <v/>
      </c>
      <c r="AW236" s="75">
        <f>$C236*INDEX(Curves!$U$8:$U$68,AW$4-$B236+1)</f>
        <v/>
      </c>
      <c r="AX236" s="75">
        <f>$C236*INDEX(Curves!$U$8:$U$68,AX$4-$B236+1)</f>
        <v/>
      </c>
      <c r="AY236" s="75">
        <f>$C236*INDEX(Curves!$U$8:$U$68,AY$4-$B236+1)</f>
        <v/>
      </c>
      <c r="AZ236" s="75">
        <f>$C236*INDEX(Curves!$U$8:$U$68,AZ$4-$B236+1)</f>
        <v/>
      </c>
      <c r="BA236" s="75">
        <f>$C236*INDEX(Curves!$U$8:$U$68,BA$4-$B236+1)</f>
        <v/>
      </c>
      <c r="BB236" s="75">
        <f>$C236*INDEX(Curves!$U$8:$U$68,BB$4-$B236+1)</f>
        <v/>
      </c>
      <c r="BC236" s="75">
        <f>$C236*INDEX(Curves!$U$8:$U$68,BC$4-$B236+1)</f>
        <v/>
      </c>
      <c r="BD236" s="75">
        <f>$C236*INDEX(Curves!$U$8:$U$68,BD$4-$B236+1)</f>
        <v/>
      </c>
      <c r="BE236" s="75">
        <f>$C236*INDEX(Curves!$U$8:$U$68,BE$4-$B236+1)</f>
        <v/>
      </c>
      <c r="BF236" s="75">
        <f>$C236*INDEX(Curves!$U$8:$U$68,BF$4-$B236+1)</f>
        <v/>
      </c>
      <c r="BG236" s="75">
        <f>$C236*INDEX(Curves!$U$8:$U$68,BG$4-$B236+1)</f>
        <v/>
      </c>
      <c r="BH236" s="75">
        <f>$C236*INDEX(Curves!$U$8:$U$68,BH$4-$B236+1)</f>
        <v/>
      </c>
      <c r="BI236" s="75">
        <f>$C236*INDEX(Curves!$U$8:$U$68,BI$4-$B236+1)</f>
        <v/>
      </c>
      <c r="BJ236" s="75">
        <f>$C236*INDEX(Curves!$U$8:$U$68,BJ$4-$B236+1)</f>
        <v/>
      </c>
      <c r="BK236" s="75">
        <f>$C236*INDEX(Curves!$U$8:$U$68,BK$4-$B236+1)</f>
        <v/>
      </c>
      <c r="BL236" s="75">
        <f>$C236*INDEX(Curves!$U$8:$U$68,BL$4-$B236+1)</f>
        <v/>
      </c>
    </row>
    <row r="237">
      <c r="A237" s="74" t="inlineStr">
        <is>
          <t>Cohort month 39</t>
        </is>
      </c>
      <c r="B237" s="74" t="n">
        <v>39</v>
      </c>
      <c r="C237" s="17">
        <f>INDEX(Ops!$E$35:$BL$35,1,$B237)</f>
        <v/>
      </c>
      <c r="AR237" s="75">
        <f>$C237*INDEX(Curves!$U$8:$U$68,AR$4-$B237+1)</f>
        <v/>
      </c>
      <c r="AS237" s="75">
        <f>$C237*INDEX(Curves!$U$8:$U$68,AS$4-$B237+1)</f>
        <v/>
      </c>
      <c r="AT237" s="75">
        <f>$C237*INDEX(Curves!$U$8:$U$68,AT$4-$B237+1)</f>
        <v/>
      </c>
      <c r="AU237" s="75">
        <f>$C237*INDEX(Curves!$U$8:$U$68,AU$4-$B237+1)</f>
        <v/>
      </c>
      <c r="AV237" s="75">
        <f>$C237*INDEX(Curves!$U$8:$U$68,AV$4-$B237+1)</f>
        <v/>
      </c>
      <c r="AW237" s="75">
        <f>$C237*INDEX(Curves!$U$8:$U$68,AW$4-$B237+1)</f>
        <v/>
      </c>
      <c r="AX237" s="75">
        <f>$C237*INDEX(Curves!$U$8:$U$68,AX$4-$B237+1)</f>
        <v/>
      </c>
      <c r="AY237" s="75">
        <f>$C237*INDEX(Curves!$U$8:$U$68,AY$4-$B237+1)</f>
        <v/>
      </c>
      <c r="AZ237" s="75">
        <f>$C237*INDEX(Curves!$U$8:$U$68,AZ$4-$B237+1)</f>
        <v/>
      </c>
      <c r="BA237" s="75">
        <f>$C237*INDEX(Curves!$U$8:$U$68,BA$4-$B237+1)</f>
        <v/>
      </c>
      <c r="BB237" s="75">
        <f>$C237*INDEX(Curves!$U$8:$U$68,BB$4-$B237+1)</f>
        <v/>
      </c>
      <c r="BC237" s="75">
        <f>$C237*INDEX(Curves!$U$8:$U$68,BC$4-$B237+1)</f>
        <v/>
      </c>
      <c r="BD237" s="75">
        <f>$C237*INDEX(Curves!$U$8:$U$68,BD$4-$B237+1)</f>
        <v/>
      </c>
      <c r="BE237" s="75">
        <f>$C237*INDEX(Curves!$U$8:$U$68,BE$4-$B237+1)</f>
        <v/>
      </c>
      <c r="BF237" s="75">
        <f>$C237*INDEX(Curves!$U$8:$U$68,BF$4-$B237+1)</f>
        <v/>
      </c>
      <c r="BG237" s="75">
        <f>$C237*INDEX(Curves!$U$8:$U$68,BG$4-$B237+1)</f>
        <v/>
      </c>
      <c r="BH237" s="75">
        <f>$C237*INDEX(Curves!$U$8:$U$68,BH$4-$B237+1)</f>
        <v/>
      </c>
      <c r="BI237" s="75">
        <f>$C237*INDEX(Curves!$U$8:$U$68,BI$4-$B237+1)</f>
        <v/>
      </c>
      <c r="BJ237" s="75">
        <f>$C237*INDEX(Curves!$U$8:$U$68,BJ$4-$B237+1)</f>
        <v/>
      </c>
      <c r="BK237" s="75">
        <f>$C237*INDEX(Curves!$U$8:$U$68,BK$4-$B237+1)</f>
        <v/>
      </c>
      <c r="BL237" s="75">
        <f>$C237*INDEX(Curves!$U$8:$U$68,BL$4-$B237+1)</f>
        <v/>
      </c>
    </row>
    <row r="238">
      <c r="A238" s="74" t="inlineStr">
        <is>
          <t>Cohort month 40</t>
        </is>
      </c>
      <c r="B238" s="74" t="n">
        <v>40</v>
      </c>
      <c r="C238" s="17">
        <f>INDEX(Ops!$E$35:$BL$35,1,$B238)</f>
        <v/>
      </c>
      <c r="AS238" s="75">
        <f>$C238*INDEX(Curves!$U$8:$U$68,AS$4-$B238+1)</f>
        <v/>
      </c>
      <c r="AT238" s="75">
        <f>$C238*INDEX(Curves!$U$8:$U$68,AT$4-$B238+1)</f>
        <v/>
      </c>
      <c r="AU238" s="75">
        <f>$C238*INDEX(Curves!$U$8:$U$68,AU$4-$B238+1)</f>
        <v/>
      </c>
      <c r="AV238" s="75">
        <f>$C238*INDEX(Curves!$U$8:$U$68,AV$4-$B238+1)</f>
        <v/>
      </c>
      <c r="AW238" s="75">
        <f>$C238*INDEX(Curves!$U$8:$U$68,AW$4-$B238+1)</f>
        <v/>
      </c>
      <c r="AX238" s="75">
        <f>$C238*INDEX(Curves!$U$8:$U$68,AX$4-$B238+1)</f>
        <v/>
      </c>
      <c r="AY238" s="75">
        <f>$C238*INDEX(Curves!$U$8:$U$68,AY$4-$B238+1)</f>
        <v/>
      </c>
      <c r="AZ238" s="75">
        <f>$C238*INDEX(Curves!$U$8:$U$68,AZ$4-$B238+1)</f>
        <v/>
      </c>
      <c r="BA238" s="75">
        <f>$C238*INDEX(Curves!$U$8:$U$68,BA$4-$B238+1)</f>
        <v/>
      </c>
      <c r="BB238" s="75">
        <f>$C238*INDEX(Curves!$U$8:$U$68,BB$4-$B238+1)</f>
        <v/>
      </c>
      <c r="BC238" s="75">
        <f>$C238*INDEX(Curves!$U$8:$U$68,BC$4-$B238+1)</f>
        <v/>
      </c>
      <c r="BD238" s="75">
        <f>$C238*INDEX(Curves!$U$8:$U$68,BD$4-$B238+1)</f>
        <v/>
      </c>
      <c r="BE238" s="75">
        <f>$C238*INDEX(Curves!$U$8:$U$68,BE$4-$B238+1)</f>
        <v/>
      </c>
      <c r="BF238" s="75">
        <f>$C238*INDEX(Curves!$U$8:$U$68,BF$4-$B238+1)</f>
        <v/>
      </c>
      <c r="BG238" s="75">
        <f>$C238*INDEX(Curves!$U$8:$U$68,BG$4-$B238+1)</f>
        <v/>
      </c>
      <c r="BH238" s="75">
        <f>$C238*INDEX(Curves!$U$8:$U$68,BH$4-$B238+1)</f>
        <v/>
      </c>
      <c r="BI238" s="75">
        <f>$C238*INDEX(Curves!$U$8:$U$68,BI$4-$B238+1)</f>
        <v/>
      </c>
      <c r="BJ238" s="75">
        <f>$C238*INDEX(Curves!$U$8:$U$68,BJ$4-$B238+1)</f>
        <v/>
      </c>
      <c r="BK238" s="75">
        <f>$C238*INDEX(Curves!$U$8:$U$68,BK$4-$B238+1)</f>
        <v/>
      </c>
      <c r="BL238" s="75">
        <f>$C238*INDEX(Curves!$U$8:$U$68,BL$4-$B238+1)</f>
        <v/>
      </c>
    </row>
    <row r="239">
      <c r="A239" s="74" t="inlineStr">
        <is>
          <t>Cohort month 41</t>
        </is>
      </c>
      <c r="B239" s="74" t="n">
        <v>41</v>
      </c>
      <c r="C239" s="17">
        <f>INDEX(Ops!$E$35:$BL$35,1,$B239)</f>
        <v/>
      </c>
      <c r="AT239" s="75">
        <f>$C239*INDEX(Curves!$U$8:$U$68,AT$4-$B239+1)</f>
        <v/>
      </c>
      <c r="AU239" s="75">
        <f>$C239*INDEX(Curves!$U$8:$U$68,AU$4-$B239+1)</f>
        <v/>
      </c>
      <c r="AV239" s="75">
        <f>$C239*INDEX(Curves!$U$8:$U$68,AV$4-$B239+1)</f>
        <v/>
      </c>
      <c r="AW239" s="75">
        <f>$C239*INDEX(Curves!$U$8:$U$68,AW$4-$B239+1)</f>
        <v/>
      </c>
      <c r="AX239" s="75">
        <f>$C239*INDEX(Curves!$U$8:$U$68,AX$4-$B239+1)</f>
        <v/>
      </c>
      <c r="AY239" s="75">
        <f>$C239*INDEX(Curves!$U$8:$U$68,AY$4-$B239+1)</f>
        <v/>
      </c>
      <c r="AZ239" s="75">
        <f>$C239*INDEX(Curves!$U$8:$U$68,AZ$4-$B239+1)</f>
        <v/>
      </c>
      <c r="BA239" s="75">
        <f>$C239*INDEX(Curves!$U$8:$U$68,BA$4-$B239+1)</f>
        <v/>
      </c>
      <c r="BB239" s="75">
        <f>$C239*INDEX(Curves!$U$8:$U$68,BB$4-$B239+1)</f>
        <v/>
      </c>
      <c r="BC239" s="75">
        <f>$C239*INDEX(Curves!$U$8:$U$68,BC$4-$B239+1)</f>
        <v/>
      </c>
      <c r="BD239" s="75">
        <f>$C239*INDEX(Curves!$U$8:$U$68,BD$4-$B239+1)</f>
        <v/>
      </c>
      <c r="BE239" s="75">
        <f>$C239*INDEX(Curves!$U$8:$U$68,BE$4-$B239+1)</f>
        <v/>
      </c>
      <c r="BF239" s="75">
        <f>$C239*INDEX(Curves!$U$8:$U$68,BF$4-$B239+1)</f>
        <v/>
      </c>
      <c r="BG239" s="75">
        <f>$C239*INDEX(Curves!$U$8:$U$68,BG$4-$B239+1)</f>
        <v/>
      </c>
      <c r="BH239" s="75">
        <f>$C239*INDEX(Curves!$U$8:$U$68,BH$4-$B239+1)</f>
        <v/>
      </c>
      <c r="BI239" s="75">
        <f>$C239*INDEX(Curves!$U$8:$U$68,BI$4-$B239+1)</f>
        <v/>
      </c>
      <c r="BJ239" s="75">
        <f>$C239*INDEX(Curves!$U$8:$U$68,BJ$4-$B239+1)</f>
        <v/>
      </c>
      <c r="BK239" s="75">
        <f>$C239*INDEX(Curves!$U$8:$U$68,BK$4-$B239+1)</f>
        <v/>
      </c>
      <c r="BL239" s="75">
        <f>$C239*INDEX(Curves!$U$8:$U$68,BL$4-$B239+1)</f>
        <v/>
      </c>
    </row>
    <row r="240">
      <c r="A240" s="74" t="inlineStr">
        <is>
          <t>Cohort month 42</t>
        </is>
      </c>
      <c r="B240" s="74" t="n">
        <v>42</v>
      </c>
      <c r="C240" s="17">
        <f>INDEX(Ops!$E$35:$BL$35,1,$B240)</f>
        <v/>
      </c>
      <c r="AU240" s="75">
        <f>$C240*INDEX(Curves!$U$8:$U$68,AU$4-$B240+1)</f>
        <v/>
      </c>
      <c r="AV240" s="75">
        <f>$C240*INDEX(Curves!$U$8:$U$68,AV$4-$B240+1)</f>
        <v/>
      </c>
      <c r="AW240" s="75">
        <f>$C240*INDEX(Curves!$U$8:$U$68,AW$4-$B240+1)</f>
        <v/>
      </c>
      <c r="AX240" s="75">
        <f>$C240*INDEX(Curves!$U$8:$U$68,AX$4-$B240+1)</f>
        <v/>
      </c>
      <c r="AY240" s="75">
        <f>$C240*INDEX(Curves!$U$8:$U$68,AY$4-$B240+1)</f>
        <v/>
      </c>
      <c r="AZ240" s="75">
        <f>$C240*INDEX(Curves!$U$8:$U$68,AZ$4-$B240+1)</f>
        <v/>
      </c>
      <c r="BA240" s="75">
        <f>$C240*INDEX(Curves!$U$8:$U$68,BA$4-$B240+1)</f>
        <v/>
      </c>
      <c r="BB240" s="75">
        <f>$C240*INDEX(Curves!$U$8:$U$68,BB$4-$B240+1)</f>
        <v/>
      </c>
      <c r="BC240" s="75">
        <f>$C240*INDEX(Curves!$U$8:$U$68,BC$4-$B240+1)</f>
        <v/>
      </c>
      <c r="BD240" s="75">
        <f>$C240*INDEX(Curves!$U$8:$U$68,BD$4-$B240+1)</f>
        <v/>
      </c>
      <c r="BE240" s="75">
        <f>$C240*INDEX(Curves!$U$8:$U$68,BE$4-$B240+1)</f>
        <v/>
      </c>
      <c r="BF240" s="75">
        <f>$C240*INDEX(Curves!$U$8:$U$68,BF$4-$B240+1)</f>
        <v/>
      </c>
      <c r="BG240" s="75">
        <f>$C240*INDEX(Curves!$U$8:$U$68,BG$4-$B240+1)</f>
        <v/>
      </c>
      <c r="BH240" s="75">
        <f>$C240*INDEX(Curves!$U$8:$U$68,BH$4-$B240+1)</f>
        <v/>
      </c>
      <c r="BI240" s="75">
        <f>$C240*INDEX(Curves!$U$8:$U$68,BI$4-$B240+1)</f>
        <v/>
      </c>
      <c r="BJ240" s="75">
        <f>$C240*INDEX(Curves!$U$8:$U$68,BJ$4-$B240+1)</f>
        <v/>
      </c>
      <c r="BK240" s="75">
        <f>$C240*INDEX(Curves!$U$8:$U$68,BK$4-$B240+1)</f>
        <v/>
      </c>
      <c r="BL240" s="75">
        <f>$C240*INDEX(Curves!$U$8:$U$68,BL$4-$B240+1)</f>
        <v/>
      </c>
    </row>
    <row r="241">
      <c r="A241" s="74" t="inlineStr">
        <is>
          <t>Cohort month 43</t>
        </is>
      </c>
      <c r="B241" s="74" t="n">
        <v>43</v>
      </c>
      <c r="C241" s="17">
        <f>INDEX(Ops!$E$35:$BL$35,1,$B241)</f>
        <v/>
      </c>
      <c r="AV241" s="75">
        <f>$C241*INDEX(Curves!$U$8:$U$68,AV$4-$B241+1)</f>
        <v/>
      </c>
      <c r="AW241" s="75">
        <f>$C241*INDEX(Curves!$U$8:$U$68,AW$4-$B241+1)</f>
        <v/>
      </c>
      <c r="AX241" s="75">
        <f>$C241*INDEX(Curves!$U$8:$U$68,AX$4-$B241+1)</f>
        <v/>
      </c>
      <c r="AY241" s="75">
        <f>$C241*INDEX(Curves!$U$8:$U$68,AY$4-$B241+1)</f>
        <v/>
      </c>
      <c r="AZ241" s="75">
        <f>$C241*INDEX(Curves!$U$8:$U$68,AZ$4-$B241+1)</f>
        <v/>
      </c>
      <c r="BA241" s="75">
        <f>$C241*INDEX(Curves!$U$8:$U$68,BA$4-$B241+1)</f>
        <v/>
      </c>
      <c r="BB241" s="75">
        <f>$C241*INDEX(Curves!$U$8:$U$68,BB$4-$B241+1)</f>
        <v/>
      </c>
      <c r="BC241" s="75">
        <f>$C241*INDEX(Curves!$U$8:$U$68,BC$4-$B241+1)</f>
        <v/>
      </c>
      <c r="BD241" s="75">
        <f>$C241*INDEX(Curves!$U$8:$U$68,BD$4-$B241+1)</f>
        <v/>
      </c>
      <c r="BE241" s="75">
        <f>$C241*INDEX(Curves!$U$8:$U$68,BE$4-$B241+1)</f>
        <v/>
      </c>
      <c r="BF241" s="75">
        <f>$C241*INDEX(Curves!$U$8:$U$68,BF$4-$B241+1)</f>
        <v/>
      </c>
      <c r="BG241" s="75">
        <f>$C241*INDEX(Curves!$U$8:$U$68,BG$4-$B241+1)</f>
        <v/>
      </c>
      <c r="BH241" s="75">
        <f>$C241*INDEX(Curves!$U$8:$U$68,BH$4-$B241+1)</f>
        <v/>
      </c>
      <c r="BI241" s="75">
        <f>$C241*INDEX(Curves!$U$8:$U$68,BI$4-$B241+1)</f>
        <v/>
      </c>
      <c r="BJ241" s="75">
        <f>$C241*INDEX(Curves!$U$8:$U$68,BJ$4-$B241+1)</f>
        <v/>
      </c>
      <c r="BK241" s="75">
        <f>$C241*INDEX(Curves!$U$8:$U$68,BK$4-$B241+1)</f>
        <v/>
      </c>
      <c r="BL241" s="75">
        <f>$C241*INDEX(Curves!$U$8:$U$68,BL$4-$B241+1)</f>
        <v/>
      </c>
    </row>
    <row r="242">
      <c r="A242" s="74" t="inlineStr">
        <is>
          <t>Cohort month 44</t>
        </is>
      </c>
      <c r="B242" s="74" t="n">
        <v>44</v>
      </c>
      <c r="C242" s="17">
        <f>INDEX(Ops!$E$35:$BL$35,1,$B242)</f>
        <v/>
      </c>
      <c r="AW242" s="75">
        <f>$C242*INDEX(Curves!$U$8:$U$68,AW$4-$B242+1)</f>
        <v/>
      </c>
      <c r="AX242" s="75">
        <f>$C242*INDEX(Curves!$U$8:$U$68,AX$4-$B242+1)</f>
        <v/>
      </c>
      <c r="AY242" s="75">
        <f>$C242*INDEX(Curves!$U$8:$U$68,AY$4-$B242+1)</f>
        <v/>
      </c>
      <c r="AZ242" s="75">
        <f>$C242*INDEX(Curves!$U$8:$U$68,AZ$4-$B242+1)</f>
        <v/>
      </c>
      <c r="BA242" s="75">
        <f>$C242*INDEX(Curves!$U$8:$U$68,BA$4-$B242+1)</f>
        <v/>
      </c>
      <c r="BB242" s="75">
        <f>$C242*INDEX(Curves!$U$8:$U$68,BB$4-$B242+1)</f>
        <v/>
      </c>
      <c r="BC242" s="75">
        <f>$C242*INDEX(Curves!$U$8:$U$68,BC$4-$B242+1)</f>
        <v/>
      </c>
      <c r="BD242" s="75">
        <f>$C242*INDEX(Curves!$U$8:$U$68,BD$4-$B242+1)</f>
        <v/>
      </c>
      <c r="BE242" s="75">
        <f>$C242*INDEX(Curves!$U$8:$U$68,BE$4-$B242+1)</f>
        <v/>
      </c>
      <c r="BF242" s="75">
        <f>$C242*INDEX(Curves!$U$8:$U$68,BF$4-$B242+1)</f>
        <v/>
      </c>
      <c r="BG242" s="75">
        <f>$C242*INDEX(Curves!$U$8:$U$68,BG$4-$B242+1)</f>
        <v/>
      </c>
      <c r="BH242" s="75">
        <f>$C242*INDEX(Curves!$U$8:$U$68,BH$4-$B242+1)</f>
        <v/>
      </c>
      <c r="BI242" s="75">
        <f>$C242*INDEX(Curves!$U$8:$U$68,BI$4-$B242+1)</f>
        <v/>
      </c>
      <c r="BJ242" s="75">
        <f>$C242*INDEX(Curves!$U$8:$U$68,BJ$4-$B242+1)</f>
        <v/>
      </c>
      <c r="BK242" s="75">
        <f>$C242*INDEX(Curves!$U$8:$U$68,BK$4-$B242+1)</f>
        <v/>
      </c>
      <c r="BL242" s="75">
        <f>$C242*INDEX(Curves!$U$8:$U$68,BL$4-$B242+1)</f>
        <v/>
      </c>
    </row>
    <row r="243">
      <c r="A243" s="74" t="inlineStr">
        <is>
          <t>Cohort month 45</t>
        </is>
      </c>
      <c r="B243" s="74" t="n">
        <v>45</v>
      </c>
      <c r="C243" s="17">
        <f>INDEX(Ops!$E$35:$BL$35,1,$B243)</f>
        <v/>
      </c>
      <c r="AX243" s="75">
        <f>$C243*INDEX(Curves!$U$8:$U$68,AX$4-$B243+1)</f>
        <v/>
      </c>
      <c r="AY243" s="75">
        <f>$C243*INDEX(Curves!$U$8:$U$68,AY$4-$B243+1)</f>
        <v/>
      </c>
      <c r="AZ243" s="75">
        <f>$C243*INDEX(Curves!$U$8:$U$68,AZ$4-$B243+1)</f>
        <v/>
      </c>
      <c r="BA243" s="75">
        <f>$C243*INDEX(Curves!$U$8:$U$68,BA$4-$B243+1)</f>
        <v/>
      </c>
      <c r="BB243" s="75">
        <f>$C243*INDEX(Curves!$U$8:$U$68,BB$4-$B243+1)</f>
        <v/>
      </c>
      <c r="BC243" s="75">
        <f>$C243*INDEX(Curves!$U$8:$U$68,BC$4-$B243+1)</f>
        <v/>
      </c>
      <c r="BD243" s="75">
        <f>$C243*INDEX(Curves!$U$8:$U$68,BD$4-$B243+1)</f>
        <v/>
      </c>
      <c r="BE243" s="75">
        <f>$C243*INDEX(Curves!$U$8:$U$68,BE$4-$B243+1)</f>
        <v/>
      </c>
      <c r="BF243" s="75">
        <f>$C243*INDEX(Curves!$U$8:$U$68,BF$4-$B243+1)</f>
        <v/>
      </c>
      <c r="BG243" s="75">
        <f>$C243*INDEX(Curves!$U$8:$U$68,BG$4-$B243+1)</f>
        <v/>
      </c>
      <c r="BH243" s="75">
        <f>$C243*INDEX(Curves!$U$8:$U$68,BH$4-$B243+1)</f>
        <v/>
      </c>
      <c r="BI243" s="75">
        <f>$C243*INDEX(Curves!$U$8:$U$68,BI$4-$B243+1)</f>
        <v/>
      </c>
      <c r="BJ243" s="75">
        <f>$C243*INDEX(Curves!$U$8:$U$68,BJ$4-$B243+1)</f>
        <v/>
      </c>
      <c r="BK243" s="75">
        <f>$C243*INDEX(Curves!$U$8:$U$68,BK$4-$B243+1)</f>
        <v/>
      </c>
      <c r="BL243" s="75">
        <f>$C243*INDEX(Curves!$U$8:$U$68,BL$4-$B243+1)</f>
        <v/>
      </c>
    </row>
    <row r="244">
      <c r="A244" s="74" t="inlineStr">
        <is>
          <t>Cohort month 46</t>
        </is>
      </c>
      <c r="B244" s="74" t="n">
        <v>46</v>
      </c>
      <c r="C244" s="17">
        <f>INDEX(Ops!$E$35:$BL$35,1,$B244)</f>
        <v/>
      </c>
      <c r="AY244" s="75">
        <f>$C244*INDEX(Curves!$U$8:$U$68,AY$4-$B244+1)</f>
        <v/>
      </c>
      <c r="AZ244" s="75">
        <f>$C244*INDEX(Curves!$U$8:$U$68,AZ$4-$B244+1)</f>
        <v/>
      </c>
      <c r="BA244" s="75">
        <f>$C244*INDEX(Curves!$U$8:$U$68,BA$4-$B244+1)</f>
        <v/>
      </c>
      <c r="BB244" s="75">
        <f>$C244*INDEX(Curves!$U$8:$U$68,BB$4-$B244+1)</f>
        <v/>
      </c>
      <c r="BC244" s="75">
        <f>$C244*INDEX(Curves!$U$8:$U$68,BC$4-$B244+1)</f>
        <v/>
      </c>
      <c r="BD244" s="75">
        <f>$C244*INDEX(Curves!$U$8:$U$68,BD$4-$B244+1)</f>
        <v/>
      </c>
      <c r="BE244" s="75">
        <f>$C244*INDEX(Curves!$U$8:$U$68,BE$4-$B244+1)</f>
        <v/>
      </c>
      <c r="BF244" s="75">
        <f>$C244*INDEX(Curves!$U$8:$U$68,BF$4-$B244+1)</f>
        <v/>
      </c>
      <c r="BG244" s="75">
        <f>$C244*INDEX(Curves!$U$8:$U$68,BG$4-$B244+1)</f>
        <v/>
      </c>
      <c r="BH244" s="75">
        <f>$C244*INDEX(Curves!$U$8:$U$68,BH$4-$B244+1)</f>
        <v/>
      </c>
      <c r="BI244" s="75">
        <f>$C244*INDEX(Curves!$U$8:$U$68,BI$4-$B244+1)</f>
        <v/>
      </c>
      <c r="BJ244" s="75">
        <f>$C244*INDEX(Curves!$U$8:$U$68,BJ$4-$B244+1)</f>
        <v/>
      </c>
      <c r="BK244" s="75">
        <f>$C244*INDEX(Curves!$U$8:$U$68,BK$4-$B244+1)</f>
        <v/>
      </c>
      <c r="BL244" s="75">
        <f>$C244*INDEX(Curves!$U$8:$U$68,BL$4-$B244+1)</f>
        <v/>
      </c>
    </row>
    <row r="245">
      <c r="A245" s="74" t="inlineStr">
        <is>
          <t>Cohort month 47</t>
        </is>
      </c>
      <c r="B245" s="74" t="n">
        <v>47</v>
      </c>
      <c r="C245" s="17">
        <f>INDEX(Ops!$E$35:$BL$35,1,$B245)</f>
        <v/>
      </c>
      <c r="AZ245" s="75">
        <f>$C245*INDEX(Curves!$U$8:$U$68,AZ$4-$B245+1)</f>
        <v/>
      </c>
      <c r="BA245" s="75">
        <f>$C245*INDEX(Curves!$U$8:$U$68,BA$4-$B245+1)</f>
        <v/>
      </c>
      <c r="BB245" s="75">
        <f>$C245*INDEX(Curves!$U$8:$U$68,BB$4-$B245+1)</f>
        <v/>
      </c>
      <c r="BC245" s="75">
        <f>$C245*INDEX(Curves!$U$8:$U$68,BC$4-$B245+1)</f>
        <v/>
      </c>
      <c r="BD245" s="75">
        <f>$C245*INDEX(Curves!$U$8:$U$68,BD$4-$B245+1)</f>
        <v/>
      </c>
      <c r="BE245" s="75">
        <f>$C245*INDEX(Curves!$U$8:$U$68,BE$4-$B245+1)</f>
        <v/>
      </c>
      <c r="BF245" s="75">
        <f>$C245*INDEX(Curves!$U$8:$U$68,BF$4-$B245+1)</f>
        <v/>
      </c>
      <c r="BG245" s="75">
        <f>$C245*INDEX(Curves!$U$8:$U$68,BG$4-$B245+1)</f>
        <v/>
      </c>
      <c r="BH245" s="75">
        <f>$C245*INDEX(Curves!$U$8:$U$68,BH$4-$B245+1)</f>
        <v/>
      </c>
      <c r="BI245" s="75">
        <f>$C245*INDEX(Curves!$U$8:$U$68,BI$4-$B245+1)</f>
        <v/>
      </c>
      <c r="BJ245" s="75">
        <f>$C245*INDEX(Curves!$U$8:$U$68,BJ$4-$B245+1)</f>
        <v/>
      </c>
      <c r="BK245" s="75">
        <f>$C245*INDEX(Curves!$U$8:$U$68,BK$4-$B245+1)</f>
        <v/>
      </c>
      <c r="BL245" s="75">
        <f>$C245*INDEX(Curves!$U$8:$U$68,BL$4-$B245+1)</f>
        <v/>
      </c>
    </row>
    <row r="246">
      <c r="A246" s="74" t="inlineStr">
        <is>
          <t>Cohort month 48</t>
        </is>
      </c>
      <c r="B246" s="74" t="n">
        <v>48</v>
      </c>
      <c r="C246" s="17">
        <f>INDEX(Ops!$E$35:$BL$35,1,$B246)</f>
        <v/>
      </c>
      <c r="BA246" s="75">
        <f>$C246*INDEX(Curves!$U$8:$U$68,BA$4-$B246+1)</f>
        <v/>
      </c>
      <c r="BB246" s="75">
        <f>$C246*INDEX(Curves!$U$8:$U$68,BB$4-$B246+1)</f>
        <v/>
      </c>
      <c r="BC246" s="75">
        <f>$C246*INDEX(Curves!$U$8:$U$68,BC$4-$B246+1)</f>
        <v/>
      </c>
      <c r="BD246" s="75">
        <f>$C246*INDEX(Curves!$U$8:$U$68,BD$4-$B246+1)</f>
        <v/>
      </c>
      <c r="BE246" s="75">
        <f>$C246*INDEX(Curves!$U$8:$U$68,BE$4-$B246+1)</f>
        <v/>
      </c>
      <c r="BF246" s="75">
        <f>$C246*INDEX(Curves!$U$8:$U$68,BF$4-$B246+1)</f>
        <v/>
      </c>
      <c r="BG246" s="75">
        <f>$C246*INDEX(Curves!$U$8:$U$68,BG$4-$B246+1)</f>
        <v/>
      </c>
      <c r="BH246" s="75">
        <f>$C246*INDEX(Curves!$U$8:$U$68,BH$4-$B246+1)</f>
        <v/>
      </c>
      <c r="BI246" s="75">
        <f>$C246*INDEX(Curves!$U$8:$U$68,BI$4-$B246+1)</f>
        <v/>
      </c>
      <c r="BJ246" s="75">
        <f>$C246*INDEX(Curves!$U$8:$U$68,BJ$4-$B246+1)</f>
        <v/>
      </c>
      <c r="BK246" s="75">
        <f>$C246*INDEX(Curves!$U$8:$U$68,BK$4-$B246+1)</f>
        <v/>
      </c>
      <c r="BL246" s="75">
        <f>$C246*INDEX(Curves!$U$8:$U$68,BL$4-$B246+1)</f>
        <v/>
      </c>
    </row>
    <row r="247">
      <c r="A247" s="74" t="inlineStr">
        <is>
          <t>Cohort month 49</t>
        </is>
      </c>
      <c r="B247" s="74" t="n">
        <v>49</v>
      </c>
      <c r="C247" s="17">
        <f>INDEX(Ops!$E$35:$BL$35,1,$B247)</f>
        <v/>
      </c>
      <c r="BB247" s="75">
        <f>$C247*INDEX(Curves!$U$8:$U$68,BB$4-$B247+1)</f>
        <v/>
      </c>
      <c r="BC247" s="75">
        <f>$C247*INDEX(Curves!$U$8:$U$68,BC$4-$B247+1)</f>
        <v/>
      </c>
      <c r="BD247" s="75">
        <f>$C247*INDEX(Curves!$U$8:$U$68,BD$4-$B247+1)</f>
        <v/>
      </c>
      <c r="BE247" s="75">
        <f>$C247*INDEX(Curves!$U$8:$U$68,BE$4-$B247+1)</f>
        <v/>
      </c>
      <c r="BF247" s="75">
        <f>$C247*INDEX(Curves!$U$8:$U$68,BF$4-$B247+1)</f>
        <v/>
      </c>
      <c r="BG247" s="75">
        <f>$C247*INDEX(Curves!$U$8:$U$68,BG$4-$B247+1)</f>
        <v/>
      </c>
      <c r="BH247" s="75">
        <f>$C247*INDEX(Curves!$U$8:$U$68,BH$4-$B247+1)</f>
        <v/>
      </c>
      <c r="BI247" s="75">
        <f>$C247*INDEX(Curves!$U$8:$U$68,BI$4-$B247+1)</f>
        <v/>
      </c>
      <c r="BJ247" s="75">
        <f>$C247*INDEX(Curves!$U$8:$U$68,BJ$4-$B247+1)</f>
        <v/>
      </c>
      <c r="BK247" s="75">
        <f>$C247*INDEX(Curves!$U$8:$U$68,BK$4-$B247+1)</f>
        <v/>
      </c>
      <c r="BL247" s="75">
        <f>$C247*INDEX(Curves!$U$8:$U$68,BL$4-$B247+1)</f>
        <v/>
      </c>
    </row>
    <row r="248">
      <c r="A248" s="74" t="inlineStr">
        <is>
          <t>Cohort month 50</t>
        </is>
      </c>
      <c r="B248" s="74" t="n">
        <v>50</v>
      </c>
      <c r="C248" s="17">
        <f>INDEX(Ops!$E$35:$BL$35,1,$B248)</f>
        <v/>
      </c>
      <c r="BC248" s="75">
        <f>$C248*INDEX(Curves!$U$8:$U$68,BC$4-$B248+1)</f>
        <v/>
      </c>
      <c r="BD248" s="75">
        <f>$C248*INDEX(Curves!$U$8:$U$68,BD$4-$B248+1)</f>
        <v/>
      </c>
      <c r="BE248" s="75">
        <f>$C248*INDEX(Curves!$U$8:$U$68,BE$4-$B248+1)</f>
        <v/>
      </c>
      <c r="BF248" s="75">
        <f>$C248*INDEX(Curves!$U$8:$U$68,BF$4-$B248+1)</f>
        <v/>
      </c>
      <c r="BG248" s="75">
        <f>$C248*INDEX(Curves!$U$8:$U$68,BG$4-$B248+1)</f>
        <v/>
      </c>
      <c r="BH248" s="75">
        <f>$C248*INDEX(Curves!$U$8:$U$68,BH$4-$B248+1)</f>
        <v/>
      </c>
      <c r="BI248" s="75">
        <f>$C248*INDEX(Curves!$U$8:$U$68,BI$4-$B248+1)</f>
        <v/>
      </c>
      <c r="BJ248" s="75">
        <f>$C248*INDEX(Curves!$U$8:$U$68,BJ$4-$B248+1)</f>
        <v/>
      </c>
      <c r="BK248" s="75">
        <f>$C248*INDEX(Curves!$U$8:$U$68,BK$4-$B248+1)</f>
        <v/>
      </c>
      <c r="BL248" s="75">
        <f>$C248*INDEX(Curves!$U$8:$U$68,BL$4-$B248+1)</f>
        <v/>
      </c>
    </row>
    <row r="249">
      <c r="A249" s="74" t="inlineStr">
        <is>
          <t>Cohort month 51</t>
        </is>
      </c>
      <c r="B249" s="74" t="n">
        <v>51</v>
      </c>
      <c r="C249" s="17">
        <f>INDEX(Ops!$E$35:$BL$35,1,$B249)</f>
        <v/>
      </c>
      <c r="BD249" s="75">
        <f>$C249*INDEX(Curves!$U$8:$U$68,BD$4-$B249+1)</f>
        <v/>
      </c>
      <c r="BE249" s="75">
        <f>$C249*INDEX(Curves!$U$8:$U$68,BE$4-$B249+1)</f>
        <v/>
      </c>
      <c r="BF249" s="75">
        <f>$C249*INDEX(Curves!$U$8:$U$68,BF$4-$B249+1)</f>
        <v/>
      </c>
      <c r="BG249" s="75">
        <f>$C249*INDEX(Curves!$U$8:$U$68,BG$4-$B249+1)</f>
        <v/>
      </c>
      <c r="BH249" s="75">
        <f>$C249*INDEX(Curves!$U$8:$U$68,BH$4-$B249+1)</f>
        <v/>
      </c>
      <c r="BI249" s="75">
        <f>$C249*INDEX(Curves!$U$8:$U$68,BI$4-$B249+1)</f>
        <v/>
      </c>
      <c r="BJ249" s="75">
        <f>$C249*INDEX(Curves!$U$8:$U$68,BJ$4-$B249+1)</f>
        <v/>
      </c>
      <c r="BK249" s="75">
        <f>$C249*INDEX(Curves!$U$8:$U$68,BK$4-$B249+1)</f>
        <v/>
      </c>
      <c r="BL249" s="75">
        <f>$C249*INDEX(Curves!$U$8:$U$68,BL$4-$B249+1)</f>
        <v/>
      </c>
    </row>
    <row r="250">
      <c r="A250" s="74" t="inlineStr">
        <is>
          <t>Cohort month 52</t>
        </is>
      </c>
      <c r="B250" s="74" t="n">
        <v>52</v>
      </c>
      <c r="C250" s="17">
        <f>INDEX(Ops!$E$35:$BL$35,1,$B250)</f>
        <v/>
      </c>
      <c r="BE250" s="75">
        <f>$C250*INDEX(Curves!$U$8:$U$68,BE$4-$B250+1)</f>
        <v/>
      </c>
      <c r="BF250" s="75">
        <f>$C250*INDEX(Curves!$U$8:$U$68,BF$4-$B250+1)</f>
        <v/>
      </c>
      <c r="BG250" s="75">
        <f>$C250*INDEX(Curves!$U$8:$U$68,BG$4-$B250+1)</f>
        <v/>
      </c>
      <c r="BH250" s="75">
        <f>$C250*INDEX(Curves!$U$8:$U$68,BH$4-$B250+1)</f>
        <v/>
      </c>
      <c r="BI250" s="75">
        <f>$C250*INDEX(Curves!$U$8:$U$68,BI$4-$B250+1)</f>
        <v/>
      </c>
      <c r="BJ250" s="75">
        <f>$C250*INDEX(Curves!$U$8:$U$68,BJ$4-$B250+1)</f>
        <v/>
      </c>
      <c r="BK250" s="75">
        <f>$C250*INDEX(Curves!$U$8:$U$68,BK$4-$B250+1)</f>
        <v/>
      </c>
      <c r="BL250" s="75">
        <f>$C250*INDEX(Curves!$U$8:$U$68,BL$4-$B250+1)</f>
        <v/>
      </c>
    </row>
    <row r="251">
      <c r="A251" s="74" t="inlineStr">
        <is>
          <t>Cohort month 53</t>
        </is>
      </c>
      <c r="B251" s="74" t="n">
        <v>53</v>
      </c>
      <c r="C251" s="17">
        <f>INDEX(Ops!$E$35:$BL$35,1,$B251)</f>
        <v/>
      </c>
      <c r="BF251" s="75">
        <f>$C251*INDEX(Curves!$U$8:$U$68,BF$4-$B251+1)</f>
        <v/>
      </c>
      <c r="BG251" s="75">
        <f>$C251*INDEX(Curves!$U$8:$U$68,BG$4-$B251+1)</f>
        <v/>
      </c>
      <c r="BH251" s="75">
        <f>$C251*INDEX(Curves!$U$8:$U$68,BH$4-$B251+1)</f>
        <v/>
      </c>
      <c r="BI251" s="75">
        <f>$C251*INDEX(Curves!$U$8:$U$68,BI$4-$B251+1)</f>
        <v/>
      </c>
      <c r="BJ251" s="75">
        <f>$C251*INDEX(Curves!$U$8:$U$68,BJ$4-$B251+1)</f>
        <v/>
      </c>
      <c r="BK251" s="75">
        <f>$C251*INDEX(Curves!$U$8:$U$68,BK$4-$B251+1)</f>
        <v/>
      </c>
      <c r="BL251" s="75">
        <f>$C251*INDEX(Curves!$U$8:$U$68,BL$4-$B251+1)</f>
        <v/>
      </c>
    </row>
    <row r="252">
      <c r="A252" s="74" t="inlineStr">
        <is>
          <t>Cohort month 54</t>
        </is>
      </c>
      <c r="B252" s="74" t="n">
        <v>54</v>
      </c>
      <c r="C252" s="17">
        <f>INDEX(Ops!$E$35:$BL$35,1,$B252)</f>
        <v/>
      </c>
      <c r="BG252" s="75">
        <f>$C252*INDEX(Curves!$U$8:$U$68,BG$4-$B252+1)</f>
        <v/>
      </c>
      <c r="BH252" s="75">
        <f>$C252*INDEX(Curves!$U$8:$U$68,BH$4-$B252+1)</f>
        <v/>
      </c>
      <c r="BI252" s="75">
        <f>$C252*INDEX(Curves!$U$8:$U$68,BI$4-$B252+1)</f>
        <v/>
      </c>
      <c r="BJ252" s="75">
        <f>$C252*INDEX(Curves!$U$8:$U$68,BJ$4-$B252+1)</f>
        <v/>
      </c>
      <c r="BK252" s="75">
        <f>$C252*INDEX(Curves!$U$8:$U$68,BK$4-$B252+1)</f>
        <v/>
      </c>
      <c r="BL252" s="75">
        <f>$C252*INDEX(Curves!$U$8:$U$68,BL$4-$B252+1)</f>
        <v/>
      </c>
    </row>
    <row r="253">
      <c r="A253" s="74" t="inlineStr">
        <is>
          <t>Cohort month 55</t>
        </is>
      </c>
      <c r="B253" s="74" t="n">
        <v>55</v>
      </c>
      <c r="C253" s="17">
        <f>INDEX(Ops!$E$35:$BL$35,1,$B253)</f>
        <v/>
      </c>
      <c r="BH253" s="75">
        <f>$C253*INDEX(Curves!$U$8:$U$68,BH$4-$B253+1)</f>
        <v/>
      </c>
      <c r="BI253" s="75">
        <f>$C253*INDEX(Curves!$U$8:$U$68,BI$4-$B253+1)</f>
        <v/>
      </c>
      <c r="BJ253" s="75">
        <f>$C253*INDEX(Curves!$U$8:$U$68,BJ$4-$B253+1)</f>
        <v/>
      </c>
      <c r="BK253" s="75">
        <f>$C253*INDEX(Curves!$U$8:$U$68,BK$4-$B253+1)</f>
        <v/>
      </c>
      <c r="BL253" s="75">
        <f>$C253*INDEX(Curves!$U$8:$U$68,BL$4-$B253+1)</f>
        <v/>
      </c>
    </row>
    <row r="254">
      <c r="A254" s="74" t="inlineStr">
        <is>
          <t>Cohort month 56</t>
        </is>
      </c>
      <c r="B254" s="74" t="n">
        <v>56</v>
      </c>
      <c r="C254" s="17">
        <f>INDEX(Ops!$E$35:$BL$35,1,$B254)</f>
        <v/>
      </c>
      <c r="BI254" s="75">
        <f>$C254*INDEX(Curves!$U$8:$U$68,BI$4-$B254+1)</f>
        <v/>
      </c>
      <c r="BJ254" s="75">
        <f>$C254*INDEX(Curves!$U$8:$U$68,BJ$4-$B254+1)</f>
        <v/>
      </c>
      <c r="BK254" s="75">
        <f>$C254*INDEX(Curves!$U$8:$U$68,BK$4-$B254+1)</f>
        <v/>
      </c>
      <c r="BL254" s="75">
        <f>$C254*INDEX(Curves!$U$8:$U$68,BL$4-$B254+1)</f>
        <v/>
      </c>
    </row>
    <row r="255">
      <c r="A255" s="74" t="inlineStr">
        <is>
          <t>Cohort month 57</t>
        </is>
      </c>
      <c r="B255" s="74" t="n">
        <v>57</v>
      </c>
      <c r="C255" s="17">
        <f>INDEX(Ops!$E$35:$BL$35,1,$B255)</f>
        <v/>
      </c>
      <c r="BJ255" s="75">
        <f>$C255*INDEX(Curves!$U$8:$U$68,BJ$4-$B255+1)</f>
        <v/>
      </c>
      <c r="BK255" s="75">
        <f>$C255*INDEX(Curves!$U$8:$U$68,BK$4-$B255+1)</f>
        <v/>
      </c>
      <c r="BL255" s="75">
        <f>$C255*INDEX(Curves!$U$8:$U$68,BL$4-$B255+1)</f>
        <v/>
      </c>
    </row>
    <row r="256">
      <c r="A256" s="74" t="inlineStr">
        <is>
          <t>Cohort month 58</t>
        </is>
      </c>
      <c r="B256" s="74" t="n">
        <v>58</v>
      </c>
      <c r="C256" s="17">
        <f>INDEX(Ops!$E$35:$BL$35,1,$B256)</f>
        <v/>
      </c>
      <c r="BK256" s="75">
        <f>$C256*INDEX(Curves!$U$8:$U$68,BK$4-$B256+1)</f>
        <v/>
      </c>
      <c r="BL256" s="75">
        <f>$C256*INDEX(Curves!$U$8:$U$68,BL$4-$B256+1)</f>
        <v/>
      </c>
    </row>
    <row r="257">
      <c r="A257" s="74" t="inlineStr">
        <is>
          <t>Cohort month 59</t>
        </is>
      </c>
      <c r="B257" s="74" t="n">
        <v>59</v>
      </c>
      <c r="C257" s="17">
        <f>INDEX(Ops!$E$35:$BL$35,1,$B257)</f>
        <v/>
      </c>
      <c r="BL257" s="75">
        <f>$C257*INDEX(Curves!$U$8:$U$68,BL$4-$B257+1)</f>
        <v/>
      </c>
    </row>
    <row r="258">
      <c r="A258" s="74" t="inlineStr">
        <is>
          <t>Cohort month 60</t>
        </is>
      </c>
      <c r="B258" s="74" t="n">
        <v>60</v>
      </c>
      <c r="C258" s="17">
        <f>INDEX(Ops!$E$35:$BL$35,1,$B258)</f>
        <v/>
      </c>
    </row>
  </sheetData>
  <pageMargins left="0.75" right="0.75" top="1" bottom="1" header="0.5" footer="0.5"/>
  <pageSetup orientation="landscape" fitToHeight="0" fitToWidth="1"/>
</worksheet>
</file>

<file path=xl/worksheets/sheet20.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Cohort (vintage) analysis - Tier 3 - Large SHS + DC fridge</t>
        </is>
      </c>
    </row>
    <row r="2">
      <c r="A2" s="2" t="inlineStr">
        <is>
          <t>Rows = sales cohort (month of sale); columns = calendar month. Cohort size in column C.</t>
        </is>
      </c>
    </row>
    <row r="3"/>
    <row r="4">
      <c r="A4" s="51" t="inlineStr">
        <is>
          <t>Month #</t>
        </is>
      </c>
      <c r="B4" s="52" t="n"/>
      <c r="C4" s="52" t="n"/>
      <c r="D4" s="51" t="inlineStr">
        <is>
          <t>Opening</t>
        </is>
      </c>
      <c r="E4" s="53">
        <f>Timeline!E4</f>
        <v/>
      </c>
      <c r="F4" s="53">
        <f>Timeline!F4</f>
        <v/>
      </c>
      <c r="G4" s="53">
        <f>Timeline!G4</f>
        <v/>
      </c>
      <c r="H4" s="53">
        <f>Timeline!H4</f>
        <v/>
      </c>
      <c r="I4" s="53">
        <f>Timeline!I4</f>
        <v/>
      </c>
      <c r="J4" s="53">
        <f>Timeline!J4</f>
        <v/>
      </c>
      <c r="K4" s="53">
        <f>Timeline!K4</f>
        <v/>
      </c>
      <c r="L4" s="53">
        <f>Timeline!L4</f>
        <v/>
      </c>
      <c r="M4" s="53">
        <f>Timeline!M4</f>
        <v/>
      </c>
      <c r="N4" s="53">
        <f>Timeline!N4</f>
        <v/>
      </c>
      <c r="O4" s="53">
        <f>Timeline!O4</f>
        <v/>
      </c>
      <c r="P4" s="53">
        <f>Timeline!P4</f>
        <v/>
      </c>
      <c r="Q4" s="53">
        <f>Timeline!Q4</f>
        <v/>
      </c>
      <c r="R4" s="53">
        <f>Timeline!R4</f>
        <v/>
      </c>
      <c r="S4" s="53">
        <f>Timeline!S4</f>
        <v/>
      </c>
      <c r="T4" s="53">
        <f>Timeline!T4</f>
        <v/>
      </c>
      <c r="U4" s="53">
        <f>Timeline!U4</f>
        <v/>
      </c>
      <c r="V4" s="53">
        <f>Timeline!V4</f>
        <v/>
      </c>
      <c r="W4" s="53">
        <f>Timeline!W4</f>
        <v/>
      </c>
      <c r="X4" s="53">
        <f>Timeline!X4</f>
        <v/>
      </c>
      <c r="Y4" s="53">
        <f>Timeline!Y4</f>
        <v/>
      </c>
      <c r="Z4" s="53">
        <f>Timeline!Z4</f>
        <v/>
      </c>
      <c r="AA4" s="53">
        <f>Timeline!AA4</f>
        <v/>
      </c>
      <c r="AB4" s="53">
        <f>Timeline!AB4</f>
        <v/>
      </c>
      <c r="AC4" s="53">
        <f>Timeline!AC4</f>
        <v/>
      </c>
      <c r="AD4" s="53">
        <f>Timeline!AD4</f>
        <v/>
      </c>
      <c r="AE4" s="53">
        <f>Timeline!AE4</f>
        <v/>
      </c>
      <c r="AF4" s="53">
        <f>Timeline!AF4</f>
        <v/>
      </c>
      <c r="AG4" s="53">
        <f>Timeline!AG4</f>
        <v/>
      </c>
      <c r="AH4" s="53">
        <f>Timeline!AH4</f>
        <v/>
      </c>
      <c r="AI4" s="53">
        <f>Timeline!AI4</f>
        <v/>
      </c>
      <c r="AJ4" s="53">
        <f>Timeline!AJ4</f>
        <v/>
      </c>
      <c r="AK4" s="53">
        <f>Timeline!AK4</f>
        <v/>
      </c>
      <c r="AL4" s="53">
        <f>Timeline!AL4</f>
        <v/>
      </c>
      <c r="AM4" s="53">
        <f>Timeline!AM4</f>
        <v/>
      </c>
      <c r="AN4" s="53">
        <f>Timeline!AN4</f>
        <v/>
      </c>
      <c r="AO4" s="53">
        <f>Timeline!AO4</f>
        <v/>
      </c>
      <c r="AP4" s="53">
        <f>Timeline!AP4</f>
        <v/>
      </c>
      <c r="AQ4" s="53">
        <f>Timeline!AQ4</f>
        <v/>
      </c>
      <c r="AR4" s="53">
        <f>Timeline!AR4</f>
        <v/>
      </c>
      <c r="AS4" s="53">
        <f>Timeline!AS4</f>
        <v/>
      </c>
      <c r="AT4" s="53">
        <f>Timeline!AT4</f>
        <v/>
      </c>
      <c r="AU4" s="53">
        <f>Timeline!AU4</f>
        <v/>
      </c>
      <c r="AV4" s="53">
        <f>Timeline!AV4</f>
        <v/>
      </c>
      <c r="AW4" s="53">
        <f>Timeline!AW4</f>
        <v/>
      </c>
      <c r="AX4" s="53">
        <f>Timeline!AX4</f>
        <v/>
      </c>
      <c r="AY4" s="53">
        <f>Timeline!AY4</f>
        <v/>
      </c>
      <c r="AZ4" s="53">
        <f>Timeline!AZ4</f>
        <v/>
      </c>
      <c r="BA4" s="53">
        <f>Timeline!BA4</f>
        <v/>
      </c>
      <c r="BB4" s="53">
        <f>Timeline!BB4</f>
        <v/>
      </c>
      <c r="BC4" s="53">
        <f>Timeline!BC4</f>
        <v/>
      </c>
      <c r="BD4" s="53">
        <f>Timeline!BD4</f>
        <v/>
      </c>
      <c r="BE4" s="53">
        <f>Timeline!BE4</f>
        <v/>
      </c>
      <c r="BF4" s="53">
        <f>Timeline!BF4</f>
        <v/>
      </c>
      <c r="BG4" s="53">
        <f>Timeline!BG4</f>
        <v/>
      </c>
      <c r="BH4" s="53">
        <f>Timeline!BH4</f>
        <v/>
      </c>
      <c r="BI4" s="53">
        <f>Timeline!BI4</f>
        <v/>
      </c>
      <c r="BJ4" s="53">
        <f>Timeline!BJ4</f>
        <v/>
      </c>
      <c r="BK4" s="53">
        <f>Timeline!BK4</f>
        <v/>
      </c>
      <c r="BL4" s="53">
        <f>Timeline!BL4</f>
        <v/>
      </c>
    </row>
    <row r="5">
      <c r="A5" s="51" t="inlineStr">
        <is>
          <t>Period end</t>
        </is>
      </c>
      <c r="B5" s="52" t="n"/>
      <c r="C5" s="52" t="n"/>
      <c r="D5" s="51" t="n"/>
      <c r="E5" s="54">
        <f>Timeline!E5</f>
        <v/>
      </c>
      <c r="F5" s="54">
        <f>Timeline!F5</f>
        <v/>
      </c>
      <c r="G5" s="54">
        <f>Timeline!G5</f>
        <v/>
      </c>
      <c r="H5" s="54">
        <f>Timeline!H5</f>
        <v/>
      </c>
      <c r="I5" s="54">
        <f>Timeline!I5</f>
        <v/>
      </c>
      <c r="J5" s="54">
        <f>Timeline!J5</f>
        <v/>
      </c>
      <c r="K5" s="54">
        <f>Timeline!K5</f>
        <v/>
      </c>
      <c r="L5" s="54">
        <f>Timeline!L5</f>
        <v/>
      </c>
      <c r="M5" s="54">
        <f>Timeline!M5</f>
        <v/>
      </c>
      <c r="N5" s="54">
        <f>Timeline!N5</f>
        <v/>
      </c>
      <c r="O5" s="54">
        <f>Timeline!O5</f>
        <v/>
      </c>
      <c r="P5" s="54">
        <f>Timeline!P5</f>
        <v/>
      </c>
      <c r="Q5" s="54">
        <f>Timeline!Q5</f>
        <v/>
      </c>
      <c r="R5" s="54">
        <f>Timeline!R5</f>
        <v/>
      </c>
      <c r="S5" s="54">
        <f>Timeline!S5</f>
        <v/>
      </c>
      <c r="T5" s="54">
        <f>Timeline!T5</f>
        <v/>
      </c>
      <c r="U5" s="54">
        <f>Timeline!U5</f>
        <v/>
      </c>
      <c r="V5" s="54">
        <f>Timeline!V5</f>
        <v/>
      </c>
      <c r="W5" s="54">
        <f>Timeline!W5</f>
        <v/>
      </c>
      <c r="X5" s="54">
        <f>Timeline!X5</f>
        <v/>
      </c>
      <c r="Y5" s="54">
        <f>Timeline!Y5</f>
        <v/>
      </c>
      <c r="Z5" s="54">
        <f>Timeline!Z5</f>
        <v/>
      </c>
      <c r="AA5" s="54">
        <f>Timeline!AA5</f>
        <v/>
      </c>
      <c r="AB5" s="54">
        <f>Timeline!AB5</f>
        <v/>
      </c>
      <c r="AC5" s="54">
        <f>Timeline!AC5</f>
        <v/>
      </c>
      <c r="AD5" s="54">
        <f>Timeline!AD5</f>
        <v/>
      </c>
      <c r="AE5" s="54">
        <f>Timeline!AE5</f>
        <v/>
      </c>
      <c r="AF5" s="54">
        <f>Timeline!AF5</f>
        <v/>
      </c>
      <c r="AG5" s="54">
        <f>Timeline!AG5</f>
        <v/>
      </c>
      <c r="AH5" s="54">
        <f>Timeline!AH5</f>
        <v/>
      </c>
      <c r="AI5" s="54">
        <f>Timeline!AI5</f>
        <v/>
      </c>
      <c r="AJ5" s="54">
        <f>Timeline!AJ5</f>
        <v/>
      </c>
      <c r="AK5" s="54">
        <f>Timeline!AK5</f>
        <v/>
      </c>
      <c r="AL5" s="54">
        <f>Timeline!AL5</f>
        <v/>
      </c>
      <c r="AM5" s="54">
        <f>Timeline!AM5</f>
        <v/>
      </c>
      <c r="AN5" s="54">
        <f>Timeline!AN5</f>
        <v/>
      </c>
      <c r="AO5" s="54">
        <f>Timeline!AO5</f>
        <v/>
      </c>
      <c r="AP5" s="54">
        <f>Timeline!AP5</f>
        <v/>
      </c>
      <c r="AQ5" s="54">
        <f>Timeline!AQ5</f>
        <v/>
      </c>
      <c r="AR5" s="54">
        <f>Timeline!AR5</f>
        <v/>
      </c>
      <c r="AS5" s="54">
        <f>Timeline!AS5</f>
        <v/>
      </c>
      <c r="AT5" s="54">
        <f>Timeline!AT5</f>
        <v/>
      </c>
      <c r="AU5" s="54">
        <f>Timeline!AU5</f>
        <v/>
      </c>
      <c r="AV5" s="54">
        <f>Timeline!AV5</f>
        <v/>
      </c>
      <c r="AW5" s="54">
        <f>Timeline!AW5</f>
        <v/>
      </c>
      <c r="AX5" s="54">
        <f>Timeline!AX5</f>
        <v/>
      </c>
      <c r="AY5" s="54">
        <f>Timeline!AY5</f>
        <v/>
      </c>
      <c r="AZ5" s="54">
        <f>Timeline!AZ5</f>
        <v/>
      </c>
      <c r="BA5" s="54">
        <f>Timeline!BA5</f>
        <v/>
      </c>
      <c r="BB5" s="54">
        <f>Timeline!BB5</f>
        <v/>
      </c>
      <c r="BC5" s="54">
        <f>Timeline!BC5</f>
        <v/>
      </c>
      <c r="BD5" s="54">
        <f>Timeline!BD5</f>
        <v/>
      </c>
      <c r="BE5" s="54">
        <f>Timeline!BE5</f>
        <v/>
      </c>
      <c r="BF5" s="54">
        <f>Timeline!BF5</f>
        <v/>
      </c>
      <c r="BG5" s="54">
        <f>Timeline!BG5</f>
        <v/>
      </c>
      <c r="BH5" s="54">
        <f>Timeline!BH5</f>
        <v/>
      </c>
      <c r="BI5" s="54">
        <f>Timeline!BI5</f>
        <v/>
      </c>
      <c r="BJ5" s="54">
        <f>Timeline!BJ5</f>
        <v/>
      </c>
      <c r="BK5" s="54">
        <f>Timeline!BK5</f>
        <v/>
      </c>
      <c r="BL5" s="54">
        <f>Timeline!BL5</f>
        <v/>
      </c>
    </row>
    <row r="6">
      <c r="A6" s="51" t="inlineStr">
        <is>
          <t>Year #</t>
        </is>
      </c>
      <c r="B6" s="52" t="n"/>
      <c r="C6" s="52" t="n"/>
      <c r="D6" s="51" t="n"/>
      <c r="E6" s="53">
        <f>Timeline!E6</f>
        <v/>
      </c>
      <c r="F6" s="53">
        <f>Timeline!F6</f>
        <v/>
      </c>
      <c r="G6" s="53">
        <f>Timeline!G6</f>
        <v/>
      </c>
      <c r="H6" s="53">
        <f>Timeline!H6</f>
        <v/>
      </c>
      <c r="I6" s="53">
        <f>Timeline!I6</f>
        <v/>
      </c>
      <c r="J6" s="53">
        <f>Timeline!J6</f>
        <v/>
      </c>
      <c r="K6" s="53">
        <f>Timeline!K6</f>
        <v/>
      </c>
      <c r="L6" s="53">
        <f>Timeline!L6</f>
        <v/>
      </c>
      <c r="M6" s="53">
        <f>Timeline!M6</f>
        <v/>
      </c>
      <c r="N6" s="53">
        <f>Timeline!N6</f>
        <v/>
      </c>
      <c r="O6" s="53">
        <f>Timeline!O6</f>
        <v/>
      </c>
      <c r="P6" s="53">
        <f>Timeline!P6</f>
        <v/>
      </c>
      <c r="Q6" s="53">
        <f>Timeline!Q6</f>
        <v/>
      </c>
      <c r="R6" s="53">
        <f>Timeline!R6</f>
        <v/>
      </c>
      <c r="S6" s="53">
        <f>Timeline!S6</f>
        <v/>
      </c>
      <c r="T6" s="53">
        <f>Timeline!T6</f>
        <v/>
      </c>
      <c r="U6" s="53">
        <f>Timeline!U6</f>
        <v/>
      </c>
      <c r="V6" s="53">
        <f>Timeline!V6</f>
        <v/>
      </c>
      <c r="W6" s="53">
        <f>Timeline!W6</f>
        <v/>
      </c>
      <c r="X6" s="53">
        <f>Timeline!X6</f>
        <v/>
      </c>
      <c r="Y6" s="53">
        <f>Timeline!Y6</f>
        <v/>
      </c>
      <c r="Z6" s="53">
        <f>Timeline!Z6</f>
        <v/>
      </c>
      <c r="AA6" s="53">
        <f>Timeline!AA6</f>
        <v/>
      </c>
      <c r="AB6" s="53">
        <f>Timeline!AB6</f>
        <v/>
      </c>
      <c r="AC6" s="53">
        <f>Timeline!AC6</f>
        <v/>
      </c>
      <c r="AD6" s="53">
        <f>Timeline!AD6</f>
        <v/>
      </c>
      <c r="AE6" s="53">
        <f>Timeline!AE6</f>
        <v/>
      </c>
      <c r="AF6" s="53">
        <f>Timeline!AF6</f>
        <v/>
      </c>
      <c r="AG6" s="53">
        <f>Timeline!AG6</f>
        <v/>
      </c>
      <c r="AH6" s="53">
        <f>Timeline!AH6</f>
        <v/>
      </c>
      <c r="AI6" s="53">
        <f>Timeline!AI6</f>
        <v/>
      </c>
      <c r="AJ6" s="53">
        <f>Timeline!AJ6</f>
        <v/>
      </c>
      <c r="AK6" s="53">
        <f>Timeline!AK6</f>
        <v/>
      </c>
      <c r="AL6" s="53">
        <f>Timeline!AL6</f>
        <v/>
      </c>
      <c r="AM6" s="53">
        <f>Timeline!AM6</f>
        <v/>
      </c>
      <c r="AN6" s="53">
        <f>Timeline!AN6</f>
        <v/>
      </c>
      <c r="AO6" s="53">
        <f>Timeline!AO6</f>
        <v/>
      </c>
      <c r="AP6" s="53">
        <f>Timeline!AP6</f>
        <v/>
      </c>
      <c r="AQ6" s="53">
        <f>Timeline!AQ6</f>
        <v/>
      </c>
      <c r="AR6" s="53">
        <f>Timeline!AR6</f>
        <v/>
      </c>
      <c r="AS6" s="53">
        <f>Timeline!AS6</f>
        <v/>
      </c>
      <c r="AT6" s="53">
        <f>Timeline!AT6</f>
        <v/>
      </c>
      <c r="AU6" s="53">
        <f>Timeline!AU6</f>
        <v/>
      </c>
      <c r="AV6" s="53">
        <f>Timeline!AV6</f>
        <v/>
      </c>
      <c r="AW6" s="53">
        <f>Timeline!AW6</f>
        <v/>
      </c>
      <c r="AX6" s="53">
        <f>Timeline!AX6</f>
        <v/>
      </c>
      <c r="AY6" s="53">
        <f>Timeline!AY6</f>
        <v/>
      </c>
      <c r="AZ6" s="53">
        <f>Timeline!AZ6</f>
        <v/>
      </c>
      <c r="BA6" s="53">
        <f>Timeline!BA6</f>
        <v/>
      </c>
      <c r="BB6" s="53">
        <f>Timeline!BB6</f>
        <v/>
      </c>
      <c r="BC6" s="53">
        <f>Timeline!BC6</f>
        <v/>
      </c>
      <c r="BD6" s="53">
        <f>Timeline!BD6</f>
        <v/>
      </c>
      <c r="BE6" s="53">
        <f>Timeline!BE6</f>
        <v/>
      </c>
      <c r="BF6" s="53">
        <f>Timeline!BF6</f>
        <v/>
      </c>
      <c r="BG6" s="53">
        <f>Timeline!BG6</f>
        <v/>
      </c>
      <c r="BH6" s="53">
        <f>Timeline!BH6</f>
        <v/>
      </c>
      <c r="BI6" s="53">
        <f>Timeline!BI6</f>
        <v/>
      </c>
      <c r="BJ6" s="53">
        <f>Timeline!BJ6</f>
        <v/>
      </c>
      <c r="BK6" s="53">
        <f>Timeline!BK6</f>
        <v/>
      </c>
      <c r="BL6" s="53">
        <f>Timeline!BL6</f>
        <v/>
      </c>
    </row>
    <row r="7"/>
    <row r="8">
      <c r="A8" s="14" t="inlineStr">
        <is>
          <t>Instalments collected by cohort (LCY)</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60" t="inlineStr">
        <is>
          <t>Total</t>
        </is>
      </c>
      <c r="B9" s="61" t="inlineStr"/>
      <c r="C9" s="63" t="n"/>
      <c r="D9" s="63" t="n"/>
      <c r="E9" s="71">
        <f>SUM(E10:E69)</f>
        <v/>
      </c>
      <c r="F9" s="71">
        <f>SUM(F10:F69)</f>
        <v/>
      </c>
      <c r="G9" s="71">
        <f>SUM(G10:G69)</f>
        <v/>
      </c>
      <c r="H9" s="71">
        <f>SUM(H10:H69)</f>
        <v/>
      </c>
      <c r="I9" s="71">
        <f>SUM(I10:I69)</f>
        <v/>
      </c>
      <c r="J9" s="71">
        <f>SUM(J10:J69)</f>
        <v/>
      </c>
      <c r="K9" s="71">
        <f>SUM(K10:K69)</f>
        <v/>
      </c>
      <c r="L9" s="71">
        <f>SUM(L10:L69)</f>
        <v/>
      </c>
      <c r="M9" s="71">
        <f>SUM(M10:M69)</f>
        <v/>
      </c>
      <c r="N9" s="71">
        <f>SUM(N10:N69)</f>
        <v/>
      </c>
      <c r="O9" s="71">
        <f>SUM(O10:O69)</f>
        <v/>
      </c>
      <c r="P9" s="71">
        <f>SUM(P10:P69)</f>
        <v/>
      </c>
      <c r="Q9" s="71">
        <f>SUM(Q10:Q69)</f>
        <v/>
      </c>
      <c r="R9" s="71">
        <f>SUM(R10:R69)</f>
        <v/>
      </c>
      <c r="S9" s="71">
        <f>SUM(S10:S69)</f>
        <v/>
      </c>
      <c r="T9" s="71">
        <f>SUM(T10:T69)</f>
        <v/>
      </c>
      <c r="U9" s="71">
        <f>SUM(U10:U69)</f>
        <v/>
      </c>
      <c r="V9" s="71">
        <f>SUM(V10:V69)</f>
        <v/>
      </c>
      <c r="W9" s="71">
        <f>SUM(W10:W69)</f>
        <v/>
      </c>
      <c r="X9" s="71">
        <f>SUM(X10:X69)</f>
        <v/>
      </c>
      <c r="Y9" s="71">
        <f>SUM(Y10:Y69)</f>
        <v/>
      </c>
      <c r="Z9" s="71">
        <f>SUM(Z10:Z69)</f>
        <v/>
      </c>
      <c r="AA9" s="71">
        <f>SUM(AA10:AA69)</f>
        <v/>
      </c>
      <c r="AB9" s="71">
        <f>SUM(AB10:AB69)</f>
        <v/>
      </c>
      <c r="AC9" s="71">
        <f>SUM(AC10:AC69)</f>
        <v/>
      </c>
      <c r="AD9" s="71">
        <f>SUM(AD10:AD69)</f>
        <v/>
      </c>
      <c r="AE9" s="71">
        <f>SUM(AE10:AE69)</f>
        <v/>
      </c>
      <c r="AF9" s="71">
        <f>SUM(AF10:AF69)</f>
        <v/>
      </c>
      <c r="AG9" s="71">
        <f>SUM(AG10:AG69)</f>
        <v/>
      </c>
      <c r="AH9" s="71">
        <f>SUM(AH10:AH69)</f>
        <v/>
      </c>
      <c r="AI9" s="71">
        <f>SUM(AI10:AI69)</f>
        <v/>
      </c>
      <c r="AJ9" s="71">
        <f>SUM(AJ10:AJ69)</f>
        <v/>
      </c>
      <c r="AK9" s="71">
        <f>SUM(AK10:AK69)</f>
        <v/>
      </c>
      <c r="AL9" s="71">
        <f>SUM(AL10:AL69)</f>
        <v/>
      </c>
      <c r="AM9" s="71">
        <f>SUM(AM10:AM69)</f>
        <v/>
      </c>
      <c r="AN9" s="71">
        <f>SUM(AN10:AN69)</f>
        <v/>
      </c>
      <c r="AO9" s="71">
        <f>SUM(AO10:AO69)</f>
        <v/>
      </c>
      <c r="AP9" s="71">
        <f>SUM(AP10:AP69)</f>
        <v/>
      </c>
      <c r="AQ9" s="71">
        <f>SUM(AQ10:AQ69)</f>
        <v/>
      </c>
      <c r="AR9" s="71">
        <f>SUM(AR10:AR69)</f>
        <v/>
      </c>
      <c r="AS9" s="71">
        <f>SUM(AS10:AS69)</f>
        <v/>
      </c>
      <c r="AT9" s="71">
        <f>SUM(AT10:AT69)</f>
        <v/>
      </c>
      <c r="AU9" s="71">
        <f>SUM(AU10:AU69)</f>
        <v/>
      </c>
      <c r="AV9" s="71">
        <f>SUM(AV10:AV69)</f>
        <v/>
      </c>
      <c r="AW9" s="71">
        <f>SUM(AW10:AW69)</f>
        <v/>
      </c>
      <c r="AX9" s="71">
        <f>SUM(AX10:AX69)</f>
        <v/>
      </c>
      <c r="AY9" s="71">
        <f>SUM(AY10:AY69)</f>
        <v/>
      </c>
      <c r="AZ9" s="71">
        <f>SUM(AZ10:AZ69)</f>
        <v/>
      </c>
      <c r="BA9" s="71">
        <f>SUM(BA10:BA69)</f>
        <v/>
      </c>
      <c r="BB9" s="71">
        <f>SUM(BB10:BB69)</f>
        <v/>
      </c>
      <c r="BC9" s="71">
        <f>SUM(BC10:BC69)</f>
        <v/>
      </c>
      <c r="BD9" s="71">
        <f>SUM(BD10:BD69)</f>
        <v/>
      </c>
      <c r="BE9" s="71">
        <f>SUM(BE10:BE69)</f>
        <v/>
      </c>
      <c r="BF9" s="71">
        <f>SUM(BF10:BF69)</f>
        <v/>
      </c>
      <c r="BG9" s="71">
        <f>SUM(BG10:BG69)</f>
        <v/>
      </c>
      <c r="BH9" s="71">
        <f>SUM(BH10:BH69)</f>
        <v/>
      </c>
      <c r="BI9" s="71">
        <f>SUM(BI10:BI69)</f>
        <v/>
      </c>
      <c r="BJ9" s="71">
        <f>SUM(BJ10:BJ69)</f>
        <v/>
      </c>
      <c r="BK9" s="71">
        <f>SUM(BK10:BK69)</f>
        <v/>
      </c>
      <c r="BL9" s="71">
        <f>SUM(BL10:BL69)</f>
        <v/>
      </c>
    </row>
    <row r="10">
      <c r="A10" s="74" t="inlineStr">
        <is>
          <t>Cohort month 1</t>
        </is>
      </c>
      <c r="B10" s="74" t="n">
        <v>1</v>
      </c>
      <c r="C10" s="17">
        <f>INDEX(Ops!$E$60:$BL$60,1,$B10)</f>
        <v/>
      </c>
      <c r="F10" s="75">
        <f>$C10*INDEX(Curves!$AB$8:$AB$68,F$4-$B10+1)</f>
        <v/>
      </c>
      <c r="G10" s="75">
        <f>$C10*INDEX(Curves!$AB$8:$AB$68,G$4-$B10+1)</f>
        <v/>
      </c>
      <c r="H10" s="75">
        <f>$C10*INDEX(Curves!$AB$8:$AB$68,H$4-$B10+1)</f>
        <v/>
      </c>
      <c r="I10" s="75">
        <f>$C10*INDEX(Curves!$AB$8:$AB$68,I$4-$B10+1)</f>
        <v/>
      </c>
      <c r="J10" s="75">
        <f>$C10*INDEX(Curves!$AB$8:$AB$68,J$4-$B10+1)</f>
        <v/>
      </c>
      <c r="K10" s="75">
        <f>$C10*INDEX(Curves!$AB$8:$AB$68,K$4-$B10+1)</f>
        <v/>
      </c>
      <c r="L10" s="75">
        <f>$C10*INDEX(Curves!$AB$8:$AB$68,L$4-$B10+1)</f>
        <v/>
      </c>
      <c r="M10" s="75">
        <f>$C10*INDEX(Curves!$AB$8:$AB$68,M$4-$B10+1)</f>
        <v/>
      </c>
      <c r="N10" s="75">
        <f>$C10*INDEX(Curves!$AB$8:$AB$68,N$4-$B10+1)</f>
        <v/>
      </c>
      <c r="O10" s="75">
        <f>$C10*INDEX(Curves!$AB$8:$AB$68,O$4-$B10+1)</f>
        <v/>
      </c>
      <c r="P10" s="75">
        <f>$C10*INDEX(Curves!$AB$8:$AB$68,P$4-$B10+1)</f>
        <v/>
      </c>
      <c r="Q10" s="75">
        <f>$C10*INDEX(Curves!$AB$8:$AB$68,Q$4-$B10+1)</f>
        <v/>
      </c>
      <c r="R10" s="75">
        <f>$C10*INDEX(Curves!$AB$8:$AB$68,R$4-$B10+1)</f>
        <v/>
      </c>
      <c r="S10" s="75">
        <f>$C10*INDEX(Curves!$AB$8:$AB$68,S$4-$B10+1)</f>
        <v/>
      </c>
      <c r="T10" s="75">
        <f>$C10*INDEX(Curves!$AB$8:$AB$68,T$4-$B10+1)</f>
        <v/>
      </c>
      <c r="U10" s="75">
        <f>$C10*INDEX(Curves!$AB$8:$AB$68,U$4-$B10+1)</f>
        <v/>
      </c>
      <c r="V10" s="75">
        <f>$C10*INDEX(Curves!$AB$8:$AB$68,V$4-$B10+1)</f>
        <v/>
      </c>
      <c r="W10" s="75">
        <f>$C10*INDEX(Curves!$AB$8:$AB$68,W$4-$B10+1)</f>
        <v/>
      </c>
      <c r="X10" s="75">
        <f>$C10*INDEX(Curves!$AB$8:$AB$68,X$4-$B10+1)</f>
        <v/>
      </c>
      <c r="Y10" s="75">
        <f>$C10*INDEX(Curves!$AB$8:$AB$68,Y$4-$B10+1)</f>
        <v/>
      </c>
      <c r="Z10" s="75">
        <f>$C10*INDEX(Curves!$AB$8:$AB$68,Z$4-$B10+1)</f>
        <v/>
      </c>
      <c r="AA10" s="75">
        <f>$C10*INDEX(Curves!$AB$8:$AB$68,AA$4-$B10+1)</f>
        <v/>
      </c>
      <c r="AB10" s="75">
        <f>$C10*INDEX(Curves!$AB$8:$AB$68,AB$4-$B10+1)</f>
        <v/>
      </c>
      <c r="AC10" s="75">
        <f>$C10*INDEX(Curves!$AB$8:$AB$68,AC$4-$B10+1)</f>
        <v/>
      </c>
      <c r="AD10" s="75">
        <f>$C10*INDEX(Curves!$AB$8:$AB$68,AD$4-$B10+1)</f>
        <v/>
      </c>
      <c r="AE10" s="75">
        <f>$C10*INDEX(Curves!$AB$8:$AB$68,AE$4-$B10+1)</f>
        <v/>
      </c>
      <c r="AF10" s="75">
        <f>$C10*INDEX(Curves!$AB$8:$AB$68,AF$4-$B10+1)</f>
        <v/>
      </c>
      <c r="AG10" s="75">
        <f>$C10*INDEX(Curves!$AB$8:$AB$68,AG$4-$B10+1)</f>
        <v/>
      </c>
      <c r="AH10" s="75">
        <f>$C10*INDEX(Curves!$AB$8:$AB$68,AH$4-$B10+1)</f>
        <v/>
      </c>
      <c r="AI10" s="75">
        <f>$C10*INDEX(Curves!$AB$8:$AB$68,AI$4-$B10+1)</f>
        <v/>
      </c>
      <c r="AJ10" s="75">
        <f>$C10*INDEX(Curves!$AB$8:$AB$68,AJ$4-$B10+1)</f>
        <v/>
      </c>
      <c r="AK10" s="75">
        <f>$C10*INDEX(Curves!$AB$8:$AB$68,AK$4-$B10+1)</f>
        <v/>
      </c>
      <c r="AL10" s="75">
        <f>$C10*INDEX(Curves!$AB$8:$AB$68,AL$4-$B10+1)</f>
        <v/>
      </c>
      <c r="AM10" s="75">
        <f>$C10*INDEX(Curves!$AB$8:$AB$68,AM$4-$B10+1)</f>
        <v/>
      </c>
      <c r="AN10" s="75">
        <f>$C10*INDEX(Curves!$AB$8:$AB$68,AN$4-$B10+1)</f>
        <v/>
      </c>
      <c r="AO10" s="75">
        <f>$C10*INDEX(Curves!$AB$8:$AB$68,AO$4-$B10+1)</f>
        <v/>
      </c>
      <c r="AP10" s="75">
        <f>$C10*INDEX(Curves!$AB$8:$AB$68,AP$4-$B10+1)</f>
        <v/>
      </c>
      <c r="AQ10" s="75">
        <f>$C10*INDEX(Curves!$AB$8:$AB$68,AQ$4-$B10+1)</f>
        <v/>
      </c>
      <c r="AR10" s="75">
        <f>$C10*INDEX(Curves!$AB$8:$AB$68,AR$4-$B10+1)</f>
        <v/>
      </c>
      <c r="AS10" s="75">
        <f>$C10*INDEX(Curves!$AB$8:$AB$68,AS$4-$B10+1)</f>
        <v/>
      </c>
      <c r="AT10" s="75">
        <f>$C10*INDEX(Curves!$AB$8:$AB$68,AT$4-$B10+1)</f>
        <v/>
      </c>
      <c r="AU10" s="75">
        <f>$C10*INDEX(Curves!$AB$8:$AB$68,AU$4-$B10+1)</f>
        <v/>
      </c>
      <c r="AV10" s="75">
        <f>$C10*INDEX(Curves!$AB$8:$AB$68,AV$4-$B10+1)</f>
        <v/>
      </c>
      <c r="AW10" s="75">
        <f>$C10*INDEX(Curves!$AB$8:$AB$68,AW$4-$B10+1)</f>
        <v/>
      </c>
      <c r="AX10" s="75">
        <f>$C10*INDEX(Curves!$AB$8:$AB$68,AX$4-$B10+1)</f>
        <v/>
      </c>
      <c r="AY10" s="75">
        <f>$C10*INDEX(Curves!$AB$8:$AB$68,AY$4-$B10+1)</f>
        <v/>
      </c>
      <c r="AZ10" s="75">
        <f>$C10*INDEX(Curves!$AB$8:$AB$68,AZ$4-$B10+1)</f>
        <v/>
      </c>
      <c r="BA10" s="75">
        <f>$C10*INDEX(Curves!$AB$8:$AB$68,BA$4-$B10+1)</f>
        <v/>
      </c>
      <c r="BB10" s="75">
        <f>$C10*INDEX(Curves!$AB$8:$AB$68,BB$4-$B10+1)</f>
        <v/>
      </c>
      <c r="BC10" s="75">
        <f>$C10*INDEX(Curves!$AB$8:$AB$68,BC$4-$B10+1)</f>
        <v/>
      </c>
      <c r="BD10" s="75">
        <f>$C10*INDEX(Curves!$AB$8:$AB$68,BD$4-$B10+1)</f>
        <v/>
      </c>
      <c r="BE10" s="75">
        <f>$C10*INDEX(Curves!$AB$8:$AB$68,BE$4-$B10+1)</f>
        <v/>
      </c>
      <c r="BF10" s="75">
        <f>$C10*INDEX(Curves!$AB$8:$AB$68,BF$4-$B10+1)</f>
        <v/>
      </c>
      <c r="BG10" s="75">
        <f>$C10*INDEX(Curves!$AB$8:$AB$68,BG$4-$B10+1)</f>
        <v/>
      </c>
      <c r="BH10" s="75">
        <f>$C10*INDEX(Curves!$AB$8:$AB$68,BH$4-$B10+1)</f>
        <v/>
      </c>
      <c r="BI10" s="75">
        <f>$C10*INDEX(Curves!$AB$8:$AB$68,BI$4-$B10+1)</f>
        <v/>
      </c>
      <c r="BJ10" s="75">
        <f>$C10*INDEX(Curves!$AB$8:$AB$68,BJ$4-$B10+1)</f>
        <v/>
      </c>
      <c r="BK10" s="75">
        <f>$C10*INDEX(Curves!$AB$8:$AB$68,BK$4-$B10+1)</f>
        <v/>
      </c>
      <c r="BL10" s="75">
        <f>$C10*INDEX(Curves!$AB$8:$AB$68,BL$4-$B10+1)</f>
        <v/>
      </c>
    </row>
    <row r="11">
      <c r="A11" s="74" t="inlineStr">
        <is>
          <t>Cohort month 2</t>
        </is>
      </c>
      <c r="B11" s="74" t="n">
        <v>2</v>
      </c>
      <c r="C11" s="17">
        <f>INDEX(Ops!$E$60:$BL$60,1,$B11)</f>
        <v/>
      </c>
      <c r="G11" s="75">
        <f>$C11*INDEX(Curves!$AB$8:$AB$68,G$4-$B11+1)</f>
        <v/>
      </c>
      <c r="H11" s="75">
        <f>$C11*INDEX(Curves!$AB$8:$AB$68,H$4-$B11+1)</f>
        <v/>
      </c>
      <c r="I11" s="75">
        <f>$C11*INDEX(Curves!$AB$8:$AB$68,I$4-$B11+1)</f>
        <v/>
      </c>
      <c r="J11" s="75">
        <f>$C11*INDEX(Curves!$AB$8:$AB$68,J$4-$B11+1)</f>
        <v/>
      </c>
      <c r="K11" s="75">
        <f>$C11*INDEX(Curves!$AB$8:$AB$68,K$4-$B11+1)</f>
        <v/>
      </c>
      <c r="L11" s="75">
        <f>$C11*INDEX(Curves!$AB$8:$AB$68,L$4-$B11+1)</f>
        <v/>
      </c>
      <c r="M11" s="75">
        <f>$C11*INDEX(Curves!$AB$8:$AB$68,M$4-$B11+1)</f>
        <v/>
      </c>
      <c r="N11" s="75">
        <f>$C11*INDEX(Curves!$AB$8:$AB$68,N$4-$B11+1)</f>
        <v/>
      </c>
      <c r="O11" s="75">
        <f>$C11*INDEX(Curves!$AB$8:$AB$68,O$4-$B11+1)</f>
        <v/>
      </c>
      <c r="P11" s="75">
        <f>$C11*INDEX(Curves!$AB$8:$AB$68,P$4-$B11+1)</f>
        <v/>
      </c>
      <c r="Q11" s="75">
        <f>$C11*INDEX(Curves!$AB$8:$AB$68,Q$4-$B11+1)</f>
        <v/>
      </c>
      <c r="R11" s="75">
        <f>$C11*INDEX(Curves!$AB$8:$AB$68,R$4-$B11+1)</f>
        <v/>
      </c>
      <c r="S11" s="75">
        <f>$C11*INDEX(Curves!$AB$8:$AB$68,S$4-$B11+1)</f>
        <v/>
      </c>
      <c r="T11" s="75">
        <f>$C11*INDEX(Curves!$AB$8:$AB$68,T$4-$B11+1)</f>
        <v/>
      </c>
      <c r="U11" s="75">
        <f>$C11*INDEX(Curves!$AB$8:$AB$68,U$4-$B11+1)</f>
        <v/>
      </c>
      <c r="V11" s="75">
        <f>$C11*INDEX(Curves!$AB$8:$AB$68,V$4-$B11+1)</f>
        <v/>
      </c>
      <c r="W11" s="75">
        <f>$C11*INDEX(Curves!$AB$8:$AB$68,W$4-$B11+1)</f>
        <v/>
      </c>
      <c r="X11" s="75">
        <f>$C11*INDEX(Curves!$AB$8:$AB$68,X$4-$B11+1)</f>
        <v/>
      </c>
      <c r="Y11" s="75">
        <f>$C11*INDEX(Curves!$AB$8:$AB$68,Y$4-$B11+1)</f>
        <v/>
      </c>
      <c r="Z11" s="75">
        <f>$C11*INDEX(Curves!$AB$8:$AB$68,Z$4-$B11+1)</f>
        <v/>
      </c>
      <c r="AA11" s="75">
        <f>$C11*INDEX(Curves!$AB$8:$AB$68,AA$4-$B11+1)</f>
        <v/>
      </c>
      <c r="AB11" s="75">
        <f>$C11*INDEX(Curves!$AB$8:$AB$68,AB$4-$B11+1)</f>
        <v/>
      </c>
      <c r="AC11" s="75">
        <f>$C11*INDEX(Curves!$AB$8:$AB$68,AC$4-$B11+1)</f>
        <v/>
      </c>
      <c r="AD11" s="75">
        <f>$C11*INDEX(Curves!$AB$8:$AB$68,AD$4-$B11+1)</f>
        <v/>
      </c>
      <c r="AE11" s="75">
        <f>$C11*INDEX(Curves!$AB$8:$AB$68,AE$4-$B11+1)</f>
        <v/>
      </c>
      <c r="AF11" s="75">
        <f>$C11*INDEX(Curves!$AB$8:$AB$68,AF$4-$B11+1)</f>
        <v/>
      </c>
      <c r="AG11" s="75">
        <f>$C11*INDEX(Curves!$AB$8:$AB$68,AG$4-$B11+1)</f>
        <v/>
      </c>
      <c r="AH11" s="75">
        <f>$C11*INDEX(Curves!$AB$8:$AB$68,AH$4-$B11+1)</f>
        <v/>
      </c>
      <c r="AI11" s="75">
        <f>$C11*INDEX(Curves!$AB$8:$AB$68,AI$4-$B11+1)</f>
        <v/>
      </c>
      <c r="AJ11" s="75">
        <f>$C11*INDEX(Curves!$AB$8:$AB$68,AJ$4-$B11+1)</f>
        <v/>
      </c>
      <c r="AK11" s="75">
        <f>$C11*INDEX(Curves!$AB$8:$AB$68,AK$4-$B11+1)</f>
        <v/>
      </c>
      <c r="AL11" s="75">
        <f>$C11*INDEX(Curves!$AB$8:$AB$68,AL$4-$B11+1)</f>
        <v/>
      </c>
      <c r="AM11" s="75">
        <f>$C11*INDEX(Curves!$AB$8:$AB$68,AM$4-$B11+1)</f>
        <v/>
      </c>
      <c r="AN11" s="75">
        <f>$C11*INDEX(Curves!$AB$8:$AB$68,AN$4-$B11+1)</f>
        <v/>
      </c>
      <c r="AO11" s="75">
        <f>$C11*INDEX(Curves!$AB$8:$AB$68,AO$4-$B11+1)</f>
        <v/>
      </c>
      <c r="AP11" s="75">
        <f>$C11*INDEX(Curves!$AB$8:$AB$68,AP$4-$B11+1)</f>
        <v/>
      </c>
      <c r="AQ11" s="75">
        <f>$C11*INDEX(Curves!$AB$8:$AB$68,AQ$4-$B11+1)</f>
        <v/>
      </c>
      <c r="AR11" s="75">
        <f>$C11*INDEX(Curves!$AB$8:$AB$68,AR$4-$B11+1)</f>
        <v/>
      </c>
      <c r="AS11" s="75">
        <f>$C11*INDEX(Curves!$AB$8:$AB$68,AS$4-$B11+1)</f>
        <v/>
      </c>
      <c r="AT11" s="75">
        <f>$C11*INDEX(Curves!$AB$8:$AB$68,AT$4-$B11+1)</f>
        <v/>
      </c>
      <c r="AU11" s="75">
        <f>$C11*INDEX(Curves!$AB$8:$AB$68,AU$4-$B11+1)</f>
        <v/>
      </c>
      <c r="AV11" s="75">
        <f>$C11*INDEX(Curves!$AB$8:$AB$68,AV$4-$B11+1)</f>
        <v/>
      </c>
      <c r="AW11" s="75">
        <f>$C11*INDEX(Curves!$AB$8:$AB$68,AW$4-$B11+1)</f>
        <v/>
      </c>
      <c r="AX11" s="75">
        <f>$C11*INDEX(Curves!$AB$8:$AB$68,AX$4-$B11+1)</f>
        <v/>
      </c>
      <c r="AY11" s="75">
        <f>$C11*INDEX(Curves!$AB$8:$AB$68,AY$4-$B11+1)</f>
        <v/>
      </c>
      <c r="AZ11" s="75">
        <f>$C11*INDEX(Curves!$AB$8:$AB$68,AZ$4-$B11+1)</f>
        <v/>
      </c>
      <c r="BA11" s="75">
        <f>$C11*INDEX(Curves!$AB$8:$AB$68,BA$4-$B11+1)</f>
        <v/>
      </c>
      <c r="BB11" s="75">
        <f>$C11*INDEX(Curves!$AB$8:$AB$68,BB$4-$B11+1)</f>
        <v/>
      </c>
      <c r="BC11" s="75">
        <f>$C11*INDEX(Curves!$AB$8:$AB$68,BC$4-$B11+1)</f>
        <v/>
      </c>
      <c r="BD11" s="75">
        <f>$C11*INDEX(Curves!$AB$8:$AB$68,BD$4-$B11+1)</f>
        <v/>
      </c>
      <c r="BE11" s="75">
        <f>$C11*INDEX(Curves!$AB$8:$AB$68,BE$4-$B11+1)</f>
        <v/>
      </c>
      <c r="BF11" s="75">
        <f>$C11*INDEX(Curves!$AB$8:$AB$68,BF$4-$B11+1)</f>
        <v/>
      </c>
      <c r="BG11" s="75">
        <f>$C11*INDEX(Curves!$AB$8:$AB$68,BG$4-$B11+1)</f>
        <v/>
      </c>
      <c r="BH11" s="75">
        <f>$C11*INDEX(Curves!$AB$8:$AB$68,BH$4-$B11+1)</f>
        <v/>
      </c>
      <c r="BI11" s="75">
        <f>$C11*INDEX(Curves!$AB$8:$AB$68,BI$4-$B11+1)</f>
        <v/>
      </c>
      <c r="BJ11" s="75">
        <f>$C11*INDEX(Curves!$AB$8:$AB$68,BJ$4-$B11+1)</f>
        <v/>
      </c>
      <c r="BK11" s="75">
        <f>$C11*INDEX(Curves!$AB$8:$AB$68,BK$4-$B11+1)</f>
        <v/>
      </c>
      <c r="BL11" s="75">
        <f>$C11*INDEX(Curves!$AB$8:$AB$68,BL$4-$B11+1)</f>
        <v/>
      </c>
    </row>
    <row r="12">
      <c r="A12" s="74" t="inlineStr">
        <is>
          <t>Cohort month 3</t>
        </is>
      </c>
      <c r="B12" s="74" t="n">
        <v>3</v>
      </c>
      <c r="C12" s="17">
        <f>INDEX(Ops!$E$60:$BL$60,1,$B12)</f>
        <v/>
      </c>
      <c r="H12" s="75">
        <f>$C12*INDEX(Curves!$AB$8:$AB$68,H$4-$B12+1)</f>
        <v/>
      </c>
      <c r="I12" s="75">
        <f>$C12*INDEX(Curves!$AB$8:$AB$68,I$4-$B12+1)</f>
        <v/>
      </c>
      <c r="J12" s="75">
        <f>$C12*INDEX(Curves!$AB$8:$AB$68,J$4-$B12+1)</f>
        <v/>
      </c>
      <c r="K12" s="75">
        <f>$C12*INDEX(Curves!$AB$8:$AB$68,K$4-$B12+1)</f>
        <v/>
      </c>
      <c r="L12" s="75">
        <f>$C12*INDEX(Curves!$AB$8:$AB$68,L$4-$B12+1)</f>
        <v/>
      </c>
      <c r="M12" s="75">
        <f>$C12*INDEX(Curves!$AB$8:$AB$68,M$4-$B12+1)</f>
        <v/>
      </c>
      <c r="N12" s="75">
        <f>$C12*INDEX(Curves!$AB$8:$AB$68,N$4-$B12+1)</f>
        <v/>
      </c>
      <c r="O12" s="75">
        <f>$C12*INDEX(Curves!$AB$8:$AB$68,O$4-$B12+1)</f>
        <v/>
      </c>
      <c r="P12" s="75">
        <f>$C12*INDEX(Curves!$AB$8:$AB$68,P$4-$B12+1)</f>
        <v/>
      </c>
      <c r="Q12" s="75">
        <f>$C12*INDEX(Curves!$AB$8:$AB$68,Q$4-$B12+1)</f>
        <v/>
      </c>
      <c r="R12" s="75">
        <f>$C12*INDEX(Curves!$AB$8:$AB$68,R$4-$B12+1)</f>
        <v/>
      </c>
      <c r="S12" s="75">
        <f>$C12*INDEX(Curves!$AB$8:$AB$68,S$4-$B12+1)</f>
        <v/>
      </c>
      <c r="T12" s="75">
        <f>$C12*INDEX(Curves!$AB$8:$AB$68,T$4-$B12+1)</f>
        <v/>
      </c>
      <c r="U12" s="75">
        <f>$C12*INDEX(Curves!$AB$8:$AB$68,U$4-$B12+1)</f>
        <v/>
      </c>
      <c r="V12" s="75">
        <f>$C12*INDEX(Curves!$AB$8:$AB$68,V$4-$B12+1)</f>
        <v/>
      </c>
      <c r="W12" s="75">
        <f>$C12*INDEX(Curves!$AB$8:$AB$68,W$4-$B12+1)</f>
        <v/>
      </c>
      <c r="X12" s="75">
        <f>$C12*INDEX(Curves!$AB$8:$AB$68,X$4-$B12+1)</f>
        <v/>
      </c>
      <c r="Y12" s="75">
        <f>$C12*INDEX(Curves!$AB$8:$AB$68,Y$4-$B12+1)</f>
        <v/>
      </c>
      <c r="Z12" s="75">
        <f>$C12*INDEX(Curves!$AB$8:$AB$68,Z$4-$B12+1)</f>
        <v/>
      </c>
      <c r="AA12" s="75">
        <f>$C12*INDEX(Curves!$AB$8:$AB$68,AA$4-$B12+1)</f>
        <v/>
      </c>
      <c r="AB12" s="75">
        <f>$C12*INDEX(Curves!$AB$8:$AB$68,AB$4-$B12+1)</f>
        <v/>
      </c>
      <c r="AC12" s="75">
        <f>$C12*INDEX(Curves!$AB$8:$AB$68,AC$4-$B12+1)</f>
        <v/>
      </c>
      <c r="AD12" s="75">
        <f>$C12*INDEX(Curves!$AB$8:$AB$68,AD$4-$B12+1)</f>
        <v/>
      </c>
      <c r="AE12" s="75">
        <f>$C12*INDEX(Curves!$AB$8:$AB$68,AE$4-$B12+1)</f>
        <v/>
      </c>
      <c r="AF12" s="75">
        <f>$C12*INDEX(Curves!$AB$8:$AB$68,AF$4-$B12+1)</f>
        <v/>
      </c>
      <c r="AG12" s="75">
        <f>$C12*INDEX(Curves!$AB$8:$AB$68,AG$4-$B12+1)</f>
        <v/>
      </c>
      <c r="AH12" s="75">
        <f>$C12*INDEX(Curves!$AB$8:$AB$68,AH$4-$B12+1)</f>
        <v/>
      </c>
      <c r="AI12" s="75">
        <f>$C12*INDEX(Curves!$AB$8:$AB$68,AI$4-$B12+1)</f>
        <v/>
      </c>
      <c r="AJ12" s="75">
        <f>$C12*INDEX(Curves!$AB$8:$AB$68,AJ$4-$B12+1)</f>
        <v/>
      </c>
      <c r="AK12" s="75">
        <f>$C12*INDEX(Curves!$AB$8:$AB$68,AK$4-$B12+1)</f>
        <v/>
      </c>
      <c r="AL12" s="75">
        <f>$C12*INDEX(Curves!$AB$8:$AB$68,AL$4-$B12+1)</f>
        <v/>
      </c>
      <c r="AM12" s="75">
        <f>$C12*INDEX(Curves!$AB$8:$AB$68,AM$4-$B12+1)</f>
        <v/>
      </c>
      <c r="AN12" s="75">
        <f>$C12*INDEX(Curves!$AB$8:$AB$68,AN$4-$B12+1)</f>
        <v/>
      </c>
      <c r="AO12" s="75">
        <f>$C12*INDEX(Curves!$AB$8:$AB$68,AO$4-$B12+1)</f>
        <v/>
      </c>
      <c r="AP12" s="75">
        <f>$C12*INDEX(Curves!$AB$8:$AB$68,AP$4-$B12+1)</f>
        <v/>
      </c>
      <c r="AQ12" s="75">
        <f>$C12*INDEX(Curves!$AB$8:$AB$68,AQ$4-$B12+1)</f>
        <v/>
      </c>
      <c r="AR12" s="75">
        <f>$C12*INDEX(Curves!$AB$8:$AB$68,AR$4-$B12+1)</f>
        <v/>
      </c>
      <c r="AS12" s="75">
        <f>$C12*INDEX(Curves!$AB$8:$AB$68,AS$4-$B12+1)</f>
        <v/>
      </c>
      <c r="AT12" s="75">
        <f>$C12*INDEX(Curves!$AB$8:$AB$68,AT$4-$B12+1)</f>
        <v/>
      </c>
      <c r="AU12" s="75">
        <f>$C12*INDEX(Curves!$AB$8:$AB$68,AU$4-$B12+1)</f>
        <v/>
      </c>
      <c r="AV12" s="75">
        <f>$C12*INDEX(Curves!$AB$8:$AB$68,AV$4-$B12+1)</f>
        <v/>
      </c>
      <c r="AW12" s="75">
        <f>$C12*INDEX(Curves!$AB$8:$AB$68,AW$4-$B12+1)</f>
        <v/>
      </c>
      <c r="AX12" s="75">
        <f>$C12*INDEX(Curves!$AB$8:$AB$68,AX$4-$B12+1)</f>
        <v/>
      </c>
      <c r="AY12" s="75">
        <f>$C12*INDEX(Curves!$AB$8:$AB$68,AY$4-$B12+1)</f>
        <v/>
      </c>
      <c r="AZ12" s="75">
        <f>$C12*INDEX(Curves!$AB$8:$AB$68,AZ$4-$B12+1)</f>
        <v/>
      </c>
      <c r="BA12" s="75">
        <f>$C12*INDEX(Curves!$AB$8:$AB$68,BA$4-$B12+1)</f>
        <v/>
      </c>
      <c r="BB12" s="75">
        <f>$C12*INDEX(Curves!$AB$8:$AB$68,BB$4-$B12+1)</f>
        <v/>
      </c>
      <c r="BC12" s="75">
        <f>$C12*INDEX(Curves!$AB$8:$AB$68,BC$4-$B12+1)</f>
        <v/>
      </c>
      <c r="BD12" s="75">
        <f>$C12*INDEX(Curves!$AB$8:$AB$68,BD$4-$B12+1)</f>
        <v/>
      </c>
      <c r="BE12" s="75">
        <f>$C12*INDEX(Curves!$AB$8:$AB$68,BE$4-$B12+1)</f>
        <v/>
      </c>
      <c r="BF12" s="75">
        <f>$C12*INDEX(Curves!$AB$8:$AB$68,BF$4-$B12+1)</f>
        <v/>
      </c>
      <c r="BG12" s="75">
        <f>$C12*INDEX(Curves!$AB$8:$AB$68,BG$4-$B12+1)</f>
        <v/>
      </c>
      <c r="BH12" s="75">
        <f>$C12*INDEX(Curves!$AB$8:$AB$68,BH$4-$B12+1)</f>
        <v/>
      </c>
      <c r="BI12" s="75">
        <f>$C12*INDEX(Curves!$AB$8:$AB$68,BI$4-$B12+1)</f>
        <v/>
      </c>
      <c r="BJ12" s="75">
        <f>$C12*INDEX(Curves!$AB$8:$AB$68,BJ$4-$B12+1)</f>
        <v/>
      </c>
      <c r="BK12" s="75">
        <f>$C12*INDEX(Curves!$AB$8:$AB$68,BK$4-$B12+1)</f>
        <v/>
      </c>
      <c r="BL12" s="75">
        <f>$C12*INDEX(Curves!$AB$8:$AB$68,BL$4-$B12+1)</f>
        <v/>
      </c>
    </row>
    <row r="13">
      <c r="A13" s="74" t="inlineStr">
        <is>
          <t>Cohort month 4</t>
        </is>
      </c>
      <c r="B13" s="74" t="n">
        <v>4</v>
      </c>
      <c r="C13" s="17">
        <f>INDEX(Ops!$E$60:$BL$60,1,$B13)</f>
        <v/>
      </c>
      <c r="I13" s="75">
        <f>$C13*INDEX(Curves!$AB$8:$AB$68,I$4-$B13+1)</f>
        <v/>
      </c>
      <c r="J13" s="75">
        <f>$C13*INDEX(Curves!$AB$8:$AB$68,J$4-$B13+1)</f>
        <v/>
      </c>
      <c r="K13" s="75">
        <f>$C13*INDEX(Curves!$AB$8:$AB$68,K$4-$B13+1)</f>
        <v/>
      </c>
      <c r="L13" s="75">
        <f>$C13*INDEX(Curves!$AB$8:$AB$68,L$4-$B13+1)</f>
        <v/>
      </c>
      <c r="M13" s="75">
        <f>$C13*INDEX(Curves!$AB$8:$AB$68,M$4-$B13+1)</f>
        <v/>
      </c>
      <c r="N13" s="75">
        <f>$C13*INDEX(Curves!$AB$8:$AB$68,N$4-$B13+1)</f>
        <v/>
      </c>
      <c r="O13" s="75">
        <f>$C13*INDEX(Curves!$AB$8:$AB$68,O$4-$B13+1)</f>
        <v/>
      </c>
      <c r="P13" s="75">
        <f>$C13*INDEX(Curves!$AB$8:$AB$68,P$4-$B13+1)</f>
        <v/>
      </c>
      <c r="Q13" s="75">
        <f>$C13*INDEX(Curves!$AB$8:$AB$68,Q$4-$B13+1)</f>
        <v/>
      </c>
      <c r="R13" s="75">
        <f>$C13*INDEX(Curves!$AB$8:$AB$68,R$4-$B13+1)</f>
        <v/>
      </c>
      <c r="S13" s="75">
        <f>$C13*INDEX(Curves!$AB$8:$AB$68,S$4-$B13+1)</f>
        <v/>
      </c>
      <c r="T13" s="75">
        <f>$C13*INDEX(Curves!$AB$8:$AB$68,T$4-$B13+1)</f>
        <v/>
      </c>
      <c r="U13" s="75">
        <f>$C13*INDEX(Curves!$AB$8:$AB$68,U$4-$B13+1)</f>
        <v/>
      </c>
      <c r="V13" s="75">
        <f>$C13*INDEX(Curves!$AB$8:$AB$68,V$4-$B13+1)</f>
        <v/>
      </c>
      <c r="W13" s="75">
        <f>$C13*INDEX(Curves!$AB$8:$AB$68,W$4-$B13+1)</f>
        <v/>
      </c>
      <c r="X13" s="75">
        <f>$C13*INDEX(Curves!$AB$8:$AB$68,X$4-$B13+1)</f>
        <v/>
      </c>
      <c r="Y13" s="75">
        <f>$C13*INDEX(Curves!$AB$8:$AB$68,Y$4-$B13+1)</f>
        <v/>
      </c>
      <c r="Z13" s="75">
        <f>$C13*INDEX(Curves!$AB$8:$AB$68,Z$4-$B13+1)</f>
        <v/>
      </c>
      <c r="AA13" s="75">
        <f>$C13*INDEX(Curves!$AB$8:$AB$68,AA$4-$B13+1)</f>
        <v/>
      </c>
      <c r="AB13" s="75">
        <f>$C13*INDEX(Curves!$AB$8:$AB$68,AB$4-$B13+1)</f>
        <v/>
      </c>
      <c r="AC13" s="75">
        <f>$C13*INDEX(Curves!$AB$8:$AB$68,AC$4-$B13+1)</f>
        <v/>
      </c>
      <c r="AD13" s="75">
        <f>$C13*INDEX(Curves!$AB$8:$AB$68,AD$4-$B13+1)</f>
        <v/>
      </c>
      <c r="AE13" s="75">
        <f>$C13*INDEX(Curves!$AB$8:$AB$68,AE$4-$B13+1)</f>
        <v/>
      </c>
      <c r="AF13" s="75">
        <f>$C13*INDEX(Curves!$AB$8:$AB$68,AF$4-$B13+1)</f>
        <v/>
      </c>
      <c r="AG13" s="75">
        <f>$C13*INDEX(Curves!$AB$8:$AB$68,AG$4-$B13+1)</f>
        <v/>
      </c>
      <c r="AH13" s="75">
        <f>$C13*INDEX(Curves!$AB$8:$AB$68,AH$4-$B13+1)</f>
        <v/>
      </c>
      <c r="AI13" s="75">
        <f>$C13*INDEX(Curves!$AB$8:$AB$68,AI$4-$B13+1)</f>
        <v/>
      </c>
      <c r="AJ13" s="75">
        <f>$C13*INDEX(Curves!$AB$8:$AB$68,AJ$4-$B13+1)</f>
        <v/>
      </c>
      <c r="AK13" s="75">
        <f>$C13*INDEX(Curves!$AB$8:$AB$68,AK$4-$B13+1)</f>
        <v/>
      </c>
      <c r="AL13" s="75">
        <f>$C13*INDEX(Curves!$AB$8:$AB$68,AL$4-$B13+1)</f>
        <v/>
      </c>
      <c r="AM13" s="75">
        <f>$C13*INDEX(Curves!$AB$8:$AB$68,AM$4-$B13+1)</f>
        <v/>
      </c>
      <c r="AN13" s="75">
        <f>$C13*INDEX(Curves!$AB$8:$AB$68,AN$4-$B13+1)</f>
        <v/>
      </c>
      <c r="AO13" s="75">
        <f>$C13*INDEX(Curves!$AB$8:$AB$68,AO$4-$B13+1)</f>
        <v/>
      </c>
      <c r="AP13" s="75">
        <f>$C13*INDEX(Curves!$AB$8:$AB$68,AP$4-$B13+1)</f>
        <v/>
      </c>
      <c r="AQ13" s="75">
        <f>$C13*INDEX(Curves!$AB$8:$AB$68,AQ$4-$B13+1)</f>
        <v/>
      </c>
      <c r="AR13" s="75">
        <f>$C13*INDEX(Curves!$AB$8:$AB$68,AR$4-$B13+1)</f>
        <v/>
      </c>
      <c r="AS13" s="75">
        <f>$C13*INDEX(Curves!$AB$8:$AB$68,AS$4-$B13+1)</f>
        <v/>
      </c>
      <c r="AT13" s="75">
        <f>$C13*INDEX(Curves!$AB$8:$AB$68,AT$4-$B13+1)</f>
        <v/>
      </c>
      <c r="AU13" s="75">
        <f>$C13*INDEX(Curves!$AB$8:$AB$68,AU$4-$B13+1)</f>
        <v/>
      </c>
      <c r="AV13" s="75">
        <f>$C13*INDEX(Curves!$AB$8:$AB$68,AV$4-$B13+1)</f>
        <v/>
      </c>
      <c r="AW13" s="75">
        <f>$C13*INDEX(Curves!$AB$8:$AB$68,AW$4-$B13+1)</f>
        <v/>
      </c>
      <c r="AX13" s="75">
        <f>$C13*INDEX(Curves!$AB$8:$AB$68,AX$4-$B13+1)</f>
        <v/>
      </c>
      <c r="AY13" s="75">
        <f>$C13*INDEX(Curves!$AB$8:$AB$68,AY$4-$B13+1)</f>
        <v/>
      </c>
      <c r="AZ13" s="75">
        <f>$C13*INDEX(Curves!$AB$8:$AB$68,AZ$4-$B13+1)</f>
        <v/>
      </c>
      <c r="BA13" s="75">
        <f>$C13*INDEX(Curves!$AB$8:$AB$68,BA$4-$B13+1)</f>
        <v/>
      </c>
      <c r="BB13" s="75">
        <f>$C13*INDEX(Curves!$AB$8:$AB$68,BB$4-$B13+1)</f>
        <v/>
      </c>
      <c r="BC13" s="75">
        <f>$C13*INDEX(Curves!$AB$8:$AB$68,BC$4-$B13+1)</f>
        <v/>
      </c>
      <c r="BD13" s="75">
        <f>$C13*INDEX(Curves!$AB$8:$AB$68,BD$4-$B13+1)</f>
        <v/>
      </c>
      <c r="BE13" s="75">
        <f>$C13*INDEX(Curves!$AB$8:$AB$68,BE$4-$B13+1)</f>
        <v/>
      </c>
      <c r="BF13" s="75">
        <f>$C13*INDEX(Curves!$AB$8:$AB$68,BF$4-$B13+1)</f>
        <v/>
      </c>
      <c r="BG13" s="75">
        <f>$C13*INDEX(Curves!$AB$8:$AB$68,BG$4-$B13+1)</f>
        <v/>
      </c>
      <c r="BH13" s="75">
        <f>$C13*INDEX(Curves!$AB$8:$AB$68,BH$4-$B13+1)</f>
        <v/>
      </c>
      <c r="BI13" s="75">
        <f>$C13*INDEX(Curves!$AB$8:$AB$68,BI$4-$B13+1)</f>
        <v/>
      </c>
      <c r="BJ13" s="75">
        <f>$C13*INDEX(Curves!$AB$8:$AB$68,BJ$4-$B13+1)</f>
        <v/>
      </c>
      <c r="BK13" s="75">
        <f>$C13*INDEX(Curves!$AB$8:$AB$68,BK$4-$B13+1)</f>
        <v/>
      </c>
      <c r="BL13" s="75">
        <f>$C13*INDEX(Curves!$AB$8:$AB$68,BL$4-$B13+1)</f>
        <v/>
      </c>
    </row>
    <row r="14">
      <c r="A14" s="74" t="inlineStr">
        <is>
          <t>Cohort month 5</t>
        </is>
      </c>
      <c r="B14" s="74" t="n">
        <v>5</v>
      </c>
      <c r="C14" s="17">
        <f>INDEX(Ops!$E$60:$BL$60,1,$B14)</f>
        <v/>
      </c>
      <c r="J14" s="75">
        <f>$C14*INDEX(Curves!$AB$8:$AB$68,J$4-$B14+1)</f>
        <v/>
      </c>
      <c r="K14" s="75">
        <f>$C14*INDEX(Curves!$AB$8:$AB$68,K$4-$B14+1)</f>
        <v/>
      </c>
      <c r="L14" s="75">
        <f>$C14*INDEX(Curves!$AB$8:$AB$68,L$4-$B14+1)</f>
        <v/>
      </c>
      <c r="M14" s="75">
        <f>$C14*INDEX(Curves!$AB$8:$AB$68,M$4-$B14+1)</f>
        <v/>
      </c>
      <c r="N14" s="75">
        <f>$C14*INDEX(Curves!$AB$8:$AB$68,N$4-$B14+1)</f>
        <v/>
      </c>
      <c r="O14" s="75">
        <f>$C14*INDEX(Curves!$AB$8:$AB$68,O$4-$B14+1)</f>
        <v/>
      </c>
      <c r="P14" s="75">
        <f>$C14*INDEX(Curves!$AB$8:$AB$68,P$4-$B14+1)</f>
        <v/>
      </c>
      <c r="Q14" s="75">
        <f>$C14*INDEX(Curves!$AB$8:$AB$68,Q$4-$B14+1)</f>
        <v/>
      </c>
      <c r="R14" s="75">
        <f>$C14*INDEX(Curves!$AB$8:$AB$68,R$4-$B14+1)</f>
        <v/>
      </c>
      <c r="S14" s="75">
        <f>$C14*INDEX(Curves!$AB$8:$AB$68,S$4-$B14+1)</f>
        <v/>
      </c>
      <c r="T14" s="75">
        <f>$C14*INDEX(Curves!$AB$8:$AB$68,T$4-$B14+1)</f>
        <v/>
      </c>
      <c r="U14" s="75">
        <f>$C14*INDEX(Curves!$AB$8:$AB$68,U$4-$B14+1)</f>
        <v/>
      </c>
      <c r="V14" s="75">
        <f>$C14*INDEX(Curves!$AB$8:$AB$68,V$4-$B14+1)</f>
        <v/>
      </c>
      <c r="W14" s="75">
        <f>$C14*INDEX(Curves!$AB$8:$AB$68,W$4-$B14+1)</f>
        <v/>
      </c>
      <c r="X14" s="75">
        <f>$C14*INDEX(Curves!$AB$8:$AB$68,X$4-$B14+1)</f>
        <v/>
      </c>
      <c r="Y14" s="75">
        <f>$C14*INDEX(Curves!$AB$8:$AB$68,Y$4-$B14+1)</f>
        <v/>
      </c>
      <c r="Z14" s="75">
        <f>$C14*INDEX(Curves!$AB$8:$AB$68,Z$4-$B14+1)</f>
        <v/>
      </c>
      <c r="AA14" s="75">
        <f>$C14*INDEX(Curves!$AB$8:$AB$68,AA$4-$B14+1)</f>
        <v/>
      </c>
      <c r="AB14" s="75">
        <f>$C14*INDEX(Curves!$AB$8:$AB$68,AB$4-$B14+1)</f>
        <v/>
      </c>
      <c r="AC14" s="75">
        <f>$C14*INDEX(Curves!$AB$8:$AB$68,AC$4-$B14+1)</f>
        <v/>
      </c>
      <c r="AD14" s="75">
        <f>$C14*INDEX(Curves!$AB$8:$AB$68,AD$4-$B14+1)</f>
        <v/>
      </c>
      <c r="AE14" s="75">
        <f>$C14*INDEX(Curves!$AB$8:$AB$68,AE$4-$B14+1)</f>
        <v/>
      </c>
      <c r="AF14" s="75">
        <f>$C14*INDEX(Curves!$AB$8:$AB$68,AF$4-$B14+1)</f>
        <v/>
      </c>
      <c r="AG14" s="75">
        <f>$C14*INDEX(Curves!$AB$8:$AB$68,AG$4-$B14+1)</f>
        <v/>
      </c>
      <c r="AH14" s="75">
        <f>$C14*INDEX(Curves!$AB$8:$AB$68,AH$4-$B14+1)</f>
        <v/>
      </c>
      <c r="AI14" s="75">
        <f>$C14*INDEX(Curves!$AB$8:$AB$68,AI$4-$B14+1)</f>
        <v/>
      </c>
      <c r="AJ14" s="75">
        <f>$C14*INDEX(Curves!$AB$8:$AB$68,AJ$4-$B14+1)</f>
        <v/>
      </c>
      <c r="AK14" s="75">
        <f>$C14*INDEX(Curves!$AB$8:$AB$68,AK$4-$B14+1)</f>
        <v/>
      </c>
      <c r="AL14" s="75">
        <f>$C14*INDEX(Curves!$AB$8:$AB$68,AL$4-$B14+1)</f>
        <v/>
      </c>
      <c r="AM14" s="75">
        <f>$C14*INDEX(Curves!$AB$8:$AB$68,AM$4-$B14+1)</f>
        <v/>
      </c>
      <c r="AN14" s="75">
        <f>$C14*INDEX(Curves!$AB$8:$AB$68,AN$4-$B14+1)</f>
        <v/>
      </c>
      <c r="AO14" s="75">
        <f>$C14*INDEX(Curves!$AB$8:$AB$68,AO$4-$B14+1)</f>
        <v/>
      </c>
      <c r="AP14" s="75">
        <f>$C14*INDEX(Curves!$AB$8:$AB$68,AP$4-$B14+1)</f>
        <v/>
      </c>
      <c r="AQ14" s="75">
        <f>$C14*INDEX(Curves!$AB$8:$AB$68,AQ$4-$B14+1)</f>
        <v/>
      </c>
      <c r="AR14" s="75">
        <f>$C14*INDEX(Curves!$AB$8:$AB$68,AR$4-$B14+1)</f>
        <v/>
      </c>
      <c r="AS14" s="75">
        <f>$C14*INDEX(Curves!$AB$8:$AB$68,AS$4-$B14+1)</f>
        <v/>
      </c>
      <c r="AT14" s="75">
        <f>$C14*INDEX(Curves!$AB$8:$AB$68,AT$4-$B14+1)</f>
        <v/>
      </c>
      <c r="AU14" s="75">
        <f>$C14*INDEX(Curves!$AB$8:$AB$68,AU$4-$B14+1)</f>
        <v/>
      </c>
      <c r="AV14" s="75">
        <f>$C14*INDEX(Curves!$AB$8:$AB$68,AV$4-$B14+1)</f>
        <v/>
      </c>
      <c r="AW14" s="75">
        <f>$C14*INDEX(Curves!$AB$8:$AB$68,AW$4-$B14+1)</f>
        <v/>
      </c>
      <c r="AX14" s="75">
        <f>$C14*INDEX(Curves!$AB$8:$AB$68,AX$4-$B14+1)</f>
        <v/>
      </c>
      <c r="AY14" s="75">
        <f>$C14*INDEX(Curves!$AB$8:$AB$68,AY$4-$B14+1)</f>
        <v/>
      </c>
      <c r="AZ14" s="75">
        <f>$C14*INDEX(Curves!$AB$8:$AB$68,AZ$4-$B14+1)</f>
        <v/>
      </c>
      <c r="BA14" s="75">
        <f>$C14*INDEX(Curves!$AB$8:$AB$68,BA$4-$B14+1)</f>
        <v/>
      </c>
      <c r="BB14" s="75">
        <f>$C14*INDEX(Curves!$AB$8:$AB$68,BB$4-$B14+1)</f>
        <v/>
      </c>
      <c r="BC14" s="75">
        <f>$C14*INDEX(Curves!$AB$8:$AB$68,BC$4-$B14+1)</f>
        <v/>
      </c>
      <c r="BD14" s="75">
        <f>$C14*INDEX(Curves!$AB$8:$AB$68,BD$4-$B14+1)</f>
        <v/>
      </c>
      <c r="BE14" s="75">
        <f>$C14*INDEX(Curves!$AB$8:$AB$68,BE$4-$B14+1)</f>
        <v/>
      </c>
      <c r="BF14" s="75">
        <f>$C14*INDEX(Curves!$AB$8:$AB$68,BF$4-$B14+1)</f>
        <v/>
      </c>
      <c r="BG14" s="75">
        <f>$C14*INDEX(Curves!$AB$8:$AB$68,BG$4-$B14+1)</f>
        <v/>
      </c>
      <c r="BH14" s="75">
        <f>$C14*INDEX(Curves!$AB$8:$AB$68,BH$4-$B14+1)</f>
        <v/>
      </c>
      <c r="BI14" s="75">
        <f>$C14*INDEX(Curves!$AB$8:$AB$68,BI$4-$B14+1)</f>
        <v/>
      </c>
      <c r="BJ14" s="75">
        <f>$C14*INDEX(Curves!$AB$8:$AB$68,BJ$4-$B14+1)</f>
        <v/>
      </c>
      <c r="BK14" s="75">
        <f>$C14*INDEX(Curves!$AB$8:$AB$68,BK$4-$B14+1)</f>
        <v/>
      </c>
      <c r="BL14" s="75">
        <f>$C14*INDEX(Curves!$AB$8:$AB$68,BL$4-$B14+1)</f>
        <v/>
      </c>
    </row>
    <row r="15">
      <c r="A15" s="74" t="inlineStr">
        <is>
          <t>Cohort month 6</t>
        </is>
      </c>
      <c r="B15" s="74" t="n">
        <v>6</v>
      </c>
      <c r="C15" s="17">
        <f>INDEX(Ops!$E$60:$BL$60,1,$B15)</f>
        <v/>
      </c>
      <c r="K15" s="75">
        <f>$C15*INDEX(Curves!$AB$8:$AB$68,K$4-$B15+1)</f>
        <v/>
      </c>
      <c r="L15" s="75">
        <f>$C15*INDEX(Curves!$AB$8:$AB$68,L$4-$B15+1)</f>
        <v/>
      </c>
      <c r="M15" s="75">
        <f>$C15*INDEX(Curves!$AB$8:$AB$68,M$4-$B15+1)</f>
        <v/>
      </c>
      <c r="N15" s="75">
        <f>$C15*INDEX(Curves!$AB$8:$AB$68,N$4-$B15+1)</f>
        <v/>
      </c>
      <c r="O15" s="75">
        <f>$C15*INDEX(Curves!$AB$8:$AB$68,O$4-$B15+1)</f>
        <v/>
      </c>
      <c r="P15" s="75">
        <f>$C15*INDEX(Curves!$AB$8:$AB$68,P$4-$B15+1)</f>
        <v/>
      </c>
      <c r="Q15" s="75">
        <f>$C15*INDEX(Curves!$AB$8:$AB$68,Q$4-$B15+1)</f>
        <v/>
      </c>
      <c r="R15" s="75">
        <f>$C15*INDEX(Curves!$AB$8:$AB$68,R$4-$B15+1)</f>
        <v/>
      </c>
      <c r="S15" s="75">
        <f>$C15*INDEX(Curves!$AB$8:$AB$68,S$4-$B15+1)</f>
        <v/>
      </c>
      <c r="T15" s="75">
        <f>$C15*INDEX(Curves!$AB$8:$AB$68,T$4-$B15+1)</f>
        <v/>
      </c>
      <c r="U15" s="75">
        <f>$C15*INDEX(Curves!$AB$8:$AB$68,U$4-$B15+1)</f>
        <v/>
      </c>
      <c r="V15" s="75">
        <f>$C15*INDEX(Curves!$AB$8:$AB$68,V$4-$B15+1)</f>
        <v/>
      </c>
      <c r="W15" s="75">
        <f>$C15*INDEX(Curves!$AB$8:$AB$68,W$4-$B15+1)</f>
        <v/>
      </c>
      <c r="X15" s="75">
        <f>$C15*INDEX(Curves!$AB$8:$AB$68,X$4-$B15+1)</f>
        <v/>
      </c>
      <c r="Y15" s="75">
        <f>$C15*INDEX(Curves!$AB$8:$AB$68,Y$4-$B15+1)</f>
        <v/>
      </c>
      <c r="Z15" s="75">
        <f>$C15*INDEX(Curves!$AB$8:$AB$68,Z$4-$B15+1)</f>
        <v/>
      </c>
      <c r="AA15" s="75">
        <f>$C15*INDEX(Curves!$AB$8:$AB$68,AA$4-$B15+1)</f>
        <v/>
      </c>
      <c r="AB15" s="75">
        <f>$C15*INDEX(Curves!$AB$8:$AB$68,AB$4-$B15+1)</f>
        <v/>
      </c>
      <c r="AC15" s="75">
        <f>$C15*INDEX(Curves!$AB$8:$AB$68,AC$4-$B15+1)</f>
        <v/>
      </c>
      <c r="AD15" s="75">
        <f>$C15*INDEX(Curves!$AB$8:$AB$68,AD$4-$B15+1)</f>
        <v/>
      </c>
      <c r="AE15" s="75">
        <f>$C15*INDEX(Curves!$AB$8:$AB$68,AE$4-$B15+1)</f>
        <v/>
      </c>
      <c r="AF15" s="75">
        <f>$C15*INDEX(Curves!$AB$8:$AB$68,AF$4-$B15+1)</f>
        <v/>
      </c>
      <c r="AG15" s="75">
        <f>$C15*INDEX(Curves!$AB$8:$AB$68,AG$4-$B15+1)</f>
        <v/>
      </c>
      <c r="AH15" s="75">
        <f>$C15*INDEX(Curves!$AB$8:$AB$68,AH$4-$B15+1)</f>
        <v/>
      </c>
      <c r="AI15" s="75">
        <f>$C15*INDEX(Curves!$AB$8:$AB$68,AI$4-$B15+1)</f>
        <v/>
      </c>
      <c r="AJ15" s="75">
        <f>$C15*INDEX(Curves!$AB$8:$AB$68,AJ$4-$B15+1)</f>
        <v/>
      </c>
      <c r="AK15" s="75">
        <f>$C15*INDEX(Curves!$AB$8:$AB$68,AK$4-$B15+1)</f>
        <v/>
      </c>
      <c r="AL15" s="75">
        <f>$C15*INDEX(Curves!$AB$8:$AB$68,AL$4-$B15+1)</f>
        <v/>
      </c>
      <c r="AM15" s="75">
        <f>$C15*INDEX(Curves!$AB$8:$AB$68,AM$4-$B15+1)</f>
        <v/>
      </c>
      <c r="AN15" s="75">
        <f>$C15*INDEX(Curves!$AB$8:$AB$68,AN$4-$B15+1)</f>
        <v/>
      </c>
      <c r="AO15" s="75">
        <f>$C15*INDEX(Curves!$AB$8:$AB$68,AO$4-$B15+1)</f>
        <v/>
      </c>
      <c r="AP15" s="75">
        <f>$C15*INDEX(Curves!$AB$8:$AB$68,AP$4-$B15+1)</f>
        <v/>
      </c>
      <c r="AQ15" s="75">
        <f>$C15*INDEX(Curves!$AB$8:$AB$68,AQ$4-$B15+1)</f>
        <v/>
      </c>
      <c r="AR15" s="75">
        <f>$C15*INDEX(Curves!$AB$8:$AB$68,AR$4-$B15+1)</f>
        <v/>
      </c>
      <c r="AS15" s="75">
        <f>$C15*INDEX(Curves!$AB$8:$AB$68,AS$4-$B15+1)</f>
        <v/>
      </c>
      <c r="AT15" s="75">
        <f>$C15*INDEX(Curves!$AB$8:$AB$68,AT$4-$B15+1)</f>
        <v/>
      </c>
      <c r="AU15" s="75">
        <f>$C15*INDEX(Curves!$AB$8:$AB$68,AU$4-$B15+1)</f>
        <v/>
      </c>
      <c r="AV15" s="75">
        <f>$C15*INDEX(Curves!$AB$8:$AB$68,AV$4-$B15+1)</f>
        <v/>
      </c>
      <c r="AW15" s="75">
        <f>$C15*INDEX(Curves!$AB$8:$AB$68,AW$4-$B15+1)</f>
        <v/>
      </c>
      <c r="AX15" s="75">
        <f>$C15*INDEX(Curves!$AB$8:$AB$68,AX$4-$B15+1)</f>
        <v/>
      </c>
      <c r="AY15" s="75">
        <f>$C15*INDEX(Curves!$AB$8:$AB$68,AY$4-$B15+1)</f>
        <v/>
      </c>
      <c r="AZ15" s="75">
        <f>$C15*INDEX(Curves!$AB$8:$AB$68,AZ$4-$B15+1)</f>
        <v/>
      </c>
      <c r="BA15" s="75">
        <f>$C15*INDEX(Curves!$AB$8:$AB$68,BA$4-$B15+1)</f>
        <v/>
      </c>
      <c r="BB15" s="75">
        <f>$C15*INDEX(Curves!$AB$8:$AB$68,BB$4-$B15+1)</f>
        <v/>
      </c>
      <c r="BC15" s="75">
        <f>$C15*INDEX(Curves!$AB$8:$AB$68,BC$4-$B15+1)</f>
        <v/>
      </c>
      <c r="BD15" s="75">
        <f>$C15*INDEX(Curves!$AB$8:$AB$68,BD$4-$B15+1)</f>
        <v/>
      </c>
      <c r="BE15" s="75">
        <f>$C15*INDEX(Curves!$AB$8:$AB$68,BE$4-$B15+1)</f>
        <v/>
      </c>
      <c r="BF15" s="75">
        <f>$C15*INDEX(Curves!$AB$8:$AB$68,BF$4-$B15+1)</f>
        <v/>
      </c>
      <c r="BG15" s="75">
        <f>$C15*INDEX(Curves!$AB$8:$AB$68,BG$4-$B15+1)</f>
        <v/>
      </c>
      <c r="BH15" s="75">
        <f>$C15*INDEX(Curves!$AB$8:$AB$68,BH$4-$B15+1)</f>
        <v/>
      </c>
      <c r="BI15" s="75">
        <f>$C15*INDEX(Curves!$AB$8:$AB$68,BI$4-$B15+1)</f>
        <v/>
      </c>
      <c r="BJ15" s="75">
        <f>$C15*INDEX(Curves!$AB$8:$AB$68,BJ$4-$B15+1)</f>
        <v/>
      </c>
      <c r="BK15" s="75">
        <f>$C15*INDEX(Curves!$AB$8:$AB$68,BK$4-$B15+1)</f>
        <v/>
      </c>
      <c r="BL15" s="75">
        <f>$C15*INDEX(Curves!$AB$8:$AB$68,BL$4-$B15+1)</f>
        <v/>
      </c>
    </row>
    <row r="16">
      <c r="A16" s="74" t="inlineStr">
        <is>
          <t>Cohort month 7</t>
        </is>
      </c>
      <c r="B16" s="74" t="n">
        <v>7</v>
      </c>
      <c r="C16" s="17">
        <f>INDEX(Ops!$E$60:$BL$60,1,$B16)</f>
        <v/>
      </c>
      <c r="L16" s="75">
        <f>$C16*INDEX(Curves!$AB$8:$AB$68,L$4-$B16+1)</f>
        <v/>
      </c>
      <c r="M16" s="75">
        <f>$C16*INDEX(Curves!$AB$8:$AB$68,M$4-$B16+1)</f>
        <v/>
      </c>
      <c r="N16" s="75">
        <f>$C16*INDEX(Curves!$AB$8:$AB$68,N$4-$B16+1)</f>
        <v/>
      </c>
      <c r="O16" s="75">
        <f>$C16*INDEX(Curves!$AB$8:$AB$68,O$4-$B16+1)</f>
        <v/>
      </c>
      <c r="P16" s="75">
        <f>$C16*INDEX(Curves!$AB$8:$AB$68,P$4-$B16+1)</f>
        <v/>
      </c>
      <c r="Q16" s="75">
        <f>$C16*INDEX(Curves!$AB$8:$AB$68,Q$4-$B16+1)</f>
        <v/>
      </c>
      <c r="R16" s="75">
        <f>$C16*INDEX(Curves!$AB$8:$AB$68,R$4-$B16+1)</f>
        <v/>
      </c>
      <c r="S16" s="75">
        <f>$C16*INDEX(Curves!$AB$8:$AB$68,S$4-$B16+1)</f>
        <v/>
      </c>
      <c r="T16" s="75">
        <f>$C16*INDEX(Curves!$AB$8:$AB$68,T$4-$B16+1)</f>
        <v/>
      </c>
      <c r="U16" s="75">
        <f>$C16*INDEX(Curves!$AB$8:$AB$68,U$4-$B16+1)</f>
        <v/>
      </c>
      <c r="V16" s="75">
        <f>$C16*INDEX(Curves!$AB$8:$AB$68,V$4-$B16+1)</f>
        <v/>
      </c>
      <c r="W16" s="75">
        <f>$C16*INDEX(Curves!$AB$8:$AB$68,W$4-$B16+1)</f>
        <v/>
      </c>
      <c r="X16" s="75">
        <f>$C16*INDEX(Curves!$AB$8:$AB$68,X$4-$B16+1)</f>
        <v/>
      </c>
      <c r="Y16" s="75">
        <f>$C16*INDEX(Curves!$AB$8:$AB$68,Y$4-$B16+1)</f>
        <v/>
      </c>
      <c r="Z16" s="75">
        <f>$C16*INDEX(Curves!$AB$8:$AB$68,Z$4-$B16+1)</f>
        <v/>
      </c>
      <c r="AA16" s="75">
        <f>$C16*INDEX(Curves!$AB$8:$AB$68,AA$4-$B16+1)</f>
        <v/>
      </c>
      <c r="AB16" s="75">
        <f>$C16*INDEX(Curves!$AB$8:$AB$68,AB$4-$B16+1)</f>
        <v/>
      </c>
      <c r="AC16" s="75">
        <f>$C16*INDEX(Curves!$AB$8:$AB$68,AC$4-$B16+1)</f>
        <v/>
      </c>
      <c r="AD16" s="75">
        <f>$C16*INDEX(Curves!$AB$8:$AB$68,AD$4-$B16+1)</f>
        <v/>
      </c>
      <c r="AE16" s="75">
        <f>$C16*INDEX(Curves!$AB$8:$AB$68,AE$4-$B16+1)</f>
        <v/>
      </c>
      <c r="AF16" s="75">
        <f>$C16*INDEX(Curves!$AB$8:$AB$68,AF$4-$B16+1)</f>
        <v/>
      </c>
      <c r="AG16" s="75">
        <f>$C16*INDEX(Curves!$AB$8:$AB$68,AG$4-$B16+1)</f>
        <v/>
      </c>
      <c r="AH16" s="75">
        <f>$C16*INDEX(Curves!$AB$8:$AB$68,AH$4-$B16+1)</f>
        <v/>
      </c>
      <c r="AI16" s="75">
        <f>$C16*INDEX(Curves!$AB$8:$AB$68,AI$4-$B16+1)</f>
        <v/>
      </c>
      <c r="AJ16" s="75">
        <f>$C16*INDEX(Curves!$AB$8:$AB$68,AJ$4-$B16+1)</f>
        <v/>
      </c>
      <c r="AK16" s="75">
        <f>$C16*INDEX(Curves!$AB$8:$AB$68,AK$4-$B16+1)</f>
        <v/>
      </c>
      <c r="AL16" s="75">
        <f>$C16*INDEX(Curves!$AB$8:$AB$68,AL$4-$B16+1)</f>
        <v/>
      </c>
      <c r="AM16" s="75">
        <f>$C16*INDEX(Curves!$AB$8:$AB$68,AM$4-$B16+1)</f>
        <v/>
      </c>
      <c r="AN16" s="75">
        <f>$C16*INDEX(Curves!$AB$8:$AB$68,AN$4-$B16+1)</f>
        <v/>
      </c>
      <c r="AO16" s="75">
        <f>$C16*INDEX(Curves!$AB$8:$AB$68,AO$4-$B16+1)</f>
        <v/>
      </c>
      <c r="AP16" s="75">
        <f>$C16*INDEX(Curves!$AB$8:$AB$68,AP$4-$B16+1)</f>
        <v/>
      </c>
      <c r="AQ16" s="75">
        <f>$C16*INDEX(Curves!$AB$8:$AB$68,AQ$4-$B16+1)</f>
        <v/>
      </c>
      <c r="AR16" s="75">
        <f>$C16*INDEX(Curves!$AB$8:$AB$68,AR$4-$B16+1)</f>
        <v/>
      </c>
      <c r="AS16" s="75">
        <f>$C16*INDEX(Curves!$AB$8:$AB$68,AS$4-$B16+1)</f>
        <v/>
      </c>
      <c r="AT16" s="75">
        <f>$C16*INDEX(Curves!$AB$8:$AB$68,AT$4-$B16+1)</f>
        <v/>
      </c>
      <c r="AU16" s="75">
        <f>$C16*INDEX(Curves!$AB$8:$AB$68,AU$4-$B16+1)</f>
        <v/>
      </c>
      <c r="AV16" s="75">
        <f>$C16*INDEX(Curves!$AB$8:$AB$68,AV$4-$B16+1)</f>
        <v/>
      </c>
      <c r="AW16" s="75">
        <f>$C16*INDEX(Curves!$AB$8:$AB$68,AW$4-$B16+1)</f>
        <v/>
      </c>
      <c r="AX16" s="75">
        <f>$C16*INDEX(Curves!$AB$8:$AB$68,AX$4-$B16+1)</f>
        <v/>
      </c>
      <c r="AY16" s="75">
        <f>$C16*INDEX(Curves!$AB$8:$AB$68,AY$4-$B16+1)</f>
        <v/>
      </c>
      <c r="AZ16" s="75">
        <f>$C16*INDEX(Curves!$AB$8:$AB$68,AZ$4-$B16+1)</f>
        <v/>
      </c>
      <c r="BA16" s="75">
        <f>$C16*INDEX(Curves!$AB$8:$AB$68,BA$4-$B16+1)</f>
        <v/>
      </c>
      <c r="BB16" s="75">
        <f>$C16*INDEX(Curves!$AB$8:$AB$68,BB$4-$B16+1)</f>
        <v/>
      </c>
      <c r="BC16" s="75">
        <f>$C16*INDEX(Curves!$AB$8:$AB$68,BC$4-$B16+1)</f>
        <v/>
      </c>
      <c r="BD16" s="75">
        <f>$C16*INDEX(Curves!$AB$8:$AB$68,BD$4-$B16+1)</f>
        <v/>
      </c>
      <c r="BE16" s="75">
        <f>$C16*INDEX(Curves!$AB$8:$AB$68,BE$4-$B16+1)</f>
        <v/>
      </c>
      <c r="BF16" s="75">
        <f>$C16*INDEX(Curves!$AB$8:$AB$68,BF$4-$B16+1)</f>
        <v/>
      </c>
      <c r="BG16" s="75">
        <f>$C16*INDEX(Curves!$AB$8:$AB$68,BG$4-$B16+1)</f>
        <v/>
      </c>
      <c r="BH16" s="75">
        <f>$C16*INDEX(Curves!$AB$8:$AB$68,BH$4-$B16+1)</f>
        <v/>
      </c>
      <c r="BI16" s="75">
        <f>$C16*INDEX(Curves!$AB$8:$AB$68,BI$4-$B16+1)</f>
        <v/>
      </c>
      <c r="BJ16" s="75">
        <f>$C16*INDEX(Curves!$AB$8:$AB$68,BJ$4-$B16+1)</f>
        <v/>
      </c>
      <c r="BK16" s="75">
        <f>$C16*INDEX(Curves!$AB$8:$AB$68,BK$4-$B16+1)</f>
        <v/>
      </c>
      <c r="BL16" s="75">
        <f>$C16*INDEX(Curves!$AB$8:$AB$68,BL$4-$B16+1)</f>
        <v/>
      </c>
    </row>
    <row r="17">
      <c r="A17" s="74" t="inlineStr">
        <is>
          <t>Cohort month 8</t>
        </is>
      </c>
      <c r="B17" s="74" t="n">
        <v>8</v>
      </c>
      <c r="C17" s="17">
        <f>INDEX(Ops!$E$60:$BL$60,1,$B17)</f>
        <v/>
      </c>
      <c r="M17" s="75">
        <f>$C17*INDEX(Curves!$AB$8:$AB$68,M$4-$B17+1)</f>
        <v/>
      </c>
      <c r="N17" s="75">
        <f>$C17*INDEX(Curves!$AB$8:$AB$68,N$4-$B17+1)</f>
        <v/>
      </c>
      <c r="O17" s="75">
        <f>$C17*INDEX(Curves!$AB$8:$AB$68,O$4-$B17+1)</f>
        <v/>
      </c>
      <c r="P17" s="75">
        <f>$C17*INDEX(Curves!$AB$8:$AB$68,P$4-$B17+1)</f>
        <v/>
      </c>
      <c r="Q17" s="75">
        <f>$C17*INDEX(Curves!$AB$8:$AB$68,Q$4-$B17+1)</f>
        <v/>
      </c>
      <c r="R17" s="75">
        <f>$C17*INDEX(Curves!$AB$8:$AB$68,R$4-$B17+1)</f>
        <v/>
      </c>
      <c r="S17" s="75">
        <f>$C17*INDEX(Curves!$AB$8:$AB$68,S$4-$B17+1)</f>
        <v/>
      </c>
      <c r="T17" s="75">
        <f>$C17*INDEX(Curves!$AB$8:$AB$68,T$4-$B17+1)</f>
        <v/>
      </c>
      <c r="U17" s="75">
        <f>$C17*INDEX(Curves!$AB$8:$AB$68,U$4-$B17+1)</f>
        <v/>
      </c>
      <c r="V17" s="75">
        <f>$C17*INDEX(Curves!$AB$8:$AB$68,V$4-$B17+1)</f>
        <v/>
      </c>
      <c r="W17" s="75">
        <f>$C17*INDEX(Curves!$AB$8:$AB$68,W$4-$B17+1)</f>
        <v/>
      </c>
      <c r="X17" s="75">
        <f>$C17*INDEX(Curves!$AB$8:$AB$68,X$4-$B17+1)</f>
        <v/>
      </c>
      <c r="Y17" s="75">
        <f>$C17*INDEX(Curves!$AB$8:$AB$68,Y$4-$B17+1)</f>
        <v/>
      </c>
      <c r="Z17" s="75">
        <f>$C17*INDEX(Curves!$AB$8:$AB$68,Z$4-$B17+1)</f>
        <v/>
      </c>
      <c r="AA17" s="75">
        <f>$C17*INDEX(Curves!$AB$8:$AB$68,AA$4-$B17+1)</f>
        <v/>
      </c>
      <c r="AB17" s="75">
        <f>$C17*INDEX(Curves!$AB$8:$AB$68,AB$4-$B17+1)</f>
        <v/>
      </c>
      <c r="AC17" s="75">
        <f>$C17*INDEX(Curves!$AB$8:$AB$68,AC$4-$B17+1)</f>
        <v/>
      </c>
      <c r="AD17" s="75">
        <f>$C17*INDEX(Curves!$AB$8:$AB$68,AD$4-$B17+1)</f>
        <v/>
      </c>
      <c r="AE17" s="75">
        <f>$C17*INDEX(Curves!$AB$8:$AB$68,AE$4-$B17+1)</f>
        <v/>
      </c>
      <c r="AF17" s="75">
        <f>$C17*INDEX(Curves!$AB$8:$AB$68,AF$4-$B17+1)</f>
        <v/>
      </c>
      <c r="AG17" s="75">
        <f>$C17*INDEX(Curves!$AB$8:$AB$68,AG$4-$B17+1)</f>
        <v/>
      </c>
      <c r="AH17" s="75">
        <f>$C17*INDEX(Curves!$AB$8:$AB$68,AH$4-$B17+1)</f>
        <v/>
      </c>
      <c r="AI17" s="75">
        <f>$C17*INDEX(Curves!$AB$8:$AB$68,AI$4-$B17+1)</f>
        <v/>
      </c>
      <c r="AJ17" s="75">
        <f>$C17*INDEX(Curves!$AB$8:$AB$68,AJ$4-$B17+1)</f>
        <v/>
      </c>
      <c r="AK17" s="75">
        <f>$C17*INDEX(Curves!$AB$8:$AB$68,AK$4-$B17+1)</f>
        <v/>
      </c>
      <c r="AL17" s="75">
        <f>$C17*INDEX(Curves!$AB$8:$AB$68,AL$4-$B17+1)</f>
        <v/>
      </c>
      <c r="AM17" s="75">
        <f>$C17*INDEX(Curves!$AB$8:$AB$68,AM$4-$B17+1)</f>
        <v/>
      </c>
      <c r="AN17" s="75">
        <f>$C17*INDEX(Curves!$AB$8:$AB$68,AN$4-$B17+1)</f>
        <v/>
      </c>
      <c r="AO17" s="75">
        <f>$C17*INDEX(Curves!$AB$8:$AB$68,AO$4-$B17+1)</f>
        <v/>
      </c>
      <c r="AP17" s="75">
        <f>$C17*INDEX(Curves!$AB$8:$AB$68,AP$4-$B17+1)</f>
        <v/>
      </c>
      <c r="AQ17" s="75">
        <f>$C17*INDEX(Curves!$AB$8:$AB$68,AQ$4-$B17+1)</f>
        <v/>
      </c>
      <c r="AR17" s="75">
        <f>$C17*INDEX(Curves!$AB$8:$AB$68,AR$4-$B17+1)</f>
        <v/>
      </c>
      <c r="AS17" s="75">
        <f>$C17*INDEX(Curves!$AB$8:$AB$68,AS$4-$B17+1)</f>
        <v/>
      </c>
      <c r="AT17" s="75">
        <f>$C17*INDEX(Curves!$AB$8:$AB$68,AT$4-$B17+1)</f>
        <v/>
      </c>
      <c r="AU17" s="75">
        <f>$C17*INDEX(Curves!$AB$8:$AB$68,AU$4-$B17+1)</f>
        <v/>
      </c>
      <c r="AV17" s="75">
        <f>$C17*INDEX(Curves!$AB$8:$AB$68,AV$4-$B17+1)</f>
        <v/>
      </c>
      <c r="AW17" s="75">
        <f>$C17*INDEX(Curves!$AB$8:$AB$68,AW$4-$B17+1)</f>
        <v/>
      </c>
      <c r="AX17" s="75">
        <f>$C17*INDEX(Curves!$AB$8:$AB$68,AX$4-$B17+1)</f>
        <v/>
      </c>
      <c r="AY17" s="75">
        <f>$C17*INDEX(Curves!$AB$8:$AB$68,AY$4-$B17+1)</f>
        <v/>
      </c>
      <c r="AZ17" s="75">
        <f>$C17*INDEX(Curves!$AB$8:$AB$68,AZ$4-$B17+1)</f>
        <v/>
      </c>
      <c r="BA17" s="75">
        <f>$C17*INDEX(Curves!$AB$8:$AB$68,BA$4-$B17+1)</f>
        <v/>
      </c>
      <c r="BB17" s="75">
        <f>$C17*INDEX(Curves!$AB$8:$AB$68,BB$4-$B17+1)</f>
        <v/>
      </c>
      <c r="BC17" s="75">
        <f>$C17*INDEX(Curves!$AB$8:$AB$68,BC$4-$B17+1)</f>
        <v/>
      </c>
      <c r="BD17" s="75">
        <f>$C17*INDEX(Curves!$AB$8:$AB$68,BD$4-$B17+1)</f>
        <v/>
      </c>
      <c r="BE17" s="75">
        <f>$C17*INDEX(Curves!$AB$8:$AB$68,BE$4-$B17+1)</f>
        <v/>
      </c>
      <c r="BF17" s="75">
        <f>$C17*INDEX(Curves!$AB$8:$AB$68,BF$4-$B17+1)</f>
        <v/>
      </c>
      <c r="BG17" s="75">
        <f>$C17*INDEX(Curves!$AB$8:$AB$68,BG$4-$B17+1)</f>
        <v/>
      </c>
      <c r="BH17" s="75">
        <f>$C17*INDEX(Curves!$AB$8:$AB$68,BH$4-$B17+1)</f>
        <v/>
      </c>
      <c r="BI17" s="75">
        <f>$C17*INDEX(Curves!$AB$8:$AB$68,BI$4-$B17+1)</f>
        <v/>
      </c>
      <c r="BJ17" s="75">
        <f>$C17*INDEX(Curves!$AB$8:$AB$68,BJ$4-$B17+1)</f>
        <v/>
      </c>
      <c r="BK17" s="75">
        <f>$C17*INDEX(Curves!$AB$8:$AB$68,BK$4-$B17+1)</f>
        <v/>
      </c>
      <c r="BL17" s="75">
        <f>$C17*INDEX(Curves!$AB$8:$AB$68,BL$4-$B17+1)</f>
        <v/>
      </c>
    </row>
    <row r="18">
      <c r="A18" s="74" t="inlineStr">
        <is>
          <t>Cohort month 9</t>
        </is>
      </c>
      <c r="B18" s="74" t="n">
        <v>9</v>
      </c>
      <c r="C18" s="17">
        <f>INDEX(Ops!$E$60:$BL$60,1,$B18)</f>
        <v/>
      </c>
      <c r="N18" s="75">
        <f>$C18*INDEX(Curves!$AB$8:$AB$68,N$4-$B18+1)</f>
        <v/>
      </c>
      <c r="O18" s="75">
        <f>$C18*INDEX(Curves!$AB$8:$AB$68,O$4-$B18+1)</f>
        <v/>
      </c>
      <c r="P18" s="75">
        <f>$C18*INDEX(Curves!$AB$8:$AB$68,P$4-$B18+1)</f>
        <v/>
      </c>
      <c r="Q18" s="75">
        <f>$C18*INDEX(Curves!$AB$8:$AB$68,Q$4-$B18+1)</f>
        <v/>
      </c>
      <c r="R18" s="75">
        <f>$C18*INDEX(Curves!$AB$8:$AB$68,R$4-$B18+1)</f>
        <v/>
      </c>
      <c r="S18" s="75">
        <f>$C18*INDEX(Curves!$AB$8:$AB$68,S$4-$B18+1)</f>
        <v/>
      </c>
      <c r="T18" s="75">
        <f>$C18*INDEX(Curves!$AB$8:$AB$68,T$4-$B18+1)</f>
        <v/>
      </c>
      <c r="U18" s="75">
        <f>$C18*INDEX(Curves!$AB$8:$AB$68,U$4-$B18+1)</f>
        <v/>
      </c>
      <c r="V18" s="75">
        <f>$C18*INDEX(Curves!$AB$8:$AB$68,V$4-$B18+1)</f>
        <v/>
      </c>
      <c r="W18" s="75">
        <f>$C18*INDEX(Curves!$AB$8:$AB$68,W$4-$B18+1)</f>
        <v/>
      </c>
      <c r="X18" s="75">
        <f>$C18*INDEX(Curves!$AB$8:$AB$68,X$4-$B18+1)</f>
        <v/>
      </c>
      <c r="Y18" s="75">
        <f>$C18*INDEX(Curves!$AB$8:$AB$68,Y$4-$B18+1)</f>
        <v/>
      </c>
      <c r="Z18" s="75">
        <f>$C18*INDEX(Curves!$AB$8:$AB$68,Z$4-$B18+1)</f>
        <v/>
      </c>
      <c r="AA18" s="75">
        <f>$C18*INDEX(Curves!$AB$8:$AB$68,AA$4-$B18+1)</f>
        <v/>
      </c>
      <c r="AB18" s="75">
        <f>$C18*INDEX(Curves!$AB$8:$AB$68,AB$4-$B18+1)</f>
        <v/>
      </c>
      <c r="AC18" s="75">
        <f>$C18*INDEX(Curves!$AB$8:$AB$68,AC$4-$B18+1)</f>
        <v/>
      </c>
      <c r="AD18" s="75">
        <f>$C18*INDEX(Curves!$AB$8:$AB$68,AD$4-$B18+1)</f>
        <v/>
      </c>
      <c r="AE18" s="75">
        <f>$C18*INDEX(Curves!$AB$8:$AB$68,AE$4-$B18+1)</f>
        <v/>
      </c>
      <c r="AF18" s="75">
        <f>$C18*INDEX(Curves!$AB$8:$AB$68,AF$4-$B18+1)</f>
        <v/>
      </c>
      <c r="AG18" s="75">
        <f>$C18*INDEX(Curves!$AB$8:$AB$68,AG$4-$B18+1)</f>
        <v/>
      </c>
      <c r="AH18" s="75">
        <f>$C18*INDEX(Curves!$AB$8:$AB$68,AH$4-$B18+1)</f>
        <v/>
      </c>
      <c r="AI18" s="75">
        <f>$C18*INDEX(Curves!$AB$8:$AB$68,AI$4-$B18+1)</f>
        <v/>
      </c>
      <c r="AJ18" s="75">
        <f>$C18*INDEX(Curves!$AB$8:$AB$68,AJ$4-$B18+1)</f>
        <v/>
      </c>
      <c r="AK18" s="75">
        <f>$C18*INDEX(Curves!$AB$8:$AB$68,AK$4-$B18+1)</f>
        <v/>
      </c>
      <c r="AL18" s="75">
        <f>$C18*INDEX(Curves!$AB$8:$AB$68,AL$4-$B18+1)</f>
        <v/>
      </c>
      <c r="AM18" s="75">
        <f>$C18*INDEX(Curves!$AB$8:$AB$68,AM$4-$B18+1)</f>
        <v/>
      </c>
      <c r="AN18" s="75">
        <f>$C18*INDEX(Curves!$AB$8:$AB$68,AN$4-$B18+1)</f>
        <v/>
      </c>
      <c r="AO18" s="75">
        <f>$C18*INDEX(Curves!$AB$8:$AB$68,AO$4-$B18+1)</f>
        <v/>
      </c>
      <c r="AP18" s="75">
        <f>$C18*INDEX(Curves!$AB$8:$AB$68,AP$4-$B18+1)</f>
        <v/>
      </c>
      <c r="AQ18" s="75">
        <f>$C18*INDEX(Curves!$AB$8:$AB$68,AQ$4-$B18+1)</f>
        <v/>
      </c>
      <c r="AR18" s="75">
        <f>$C18*INDEX(Curves!$AB$8:$AB$68,AR$4-$B18+1)</f>
        <v/>
      </c>
      <c r="AS18" s="75">
        <f>$C18*INDEX(Curves!$AB$8:$AB$68,AS$4-$B18+1)</f>
        <v/>
      </c>
      <c r="AT18" s="75">
        <f>$C18*INDEX(Curves!$AB$8:$AB$68,AT$4-$B18+1)</f>
        <v/>
      </c>
      <c r="AU18" s="75">
        <f>$C18*INDEX(Curves!$AB$8:$AB$68,AU$4-$B18+1)</f>
        <v/>
      </c>
      <c r="AV18" s="75">
        <f>$C18*INDEX(Curves!$AB$8:$AB$68,AV$4-$B18+1)</f>
        <v/>
      </c>
      <c r="AW18" s="75">
        <f>$C18*INDEX(Curves!$AB$8:$AB$68,AW$4-$B18+1)</f>
        <v/>
      </c>
      <c r="AX18" s="75">
        <f>$C18*INDEX(Curves!$AB$8:$AB$68,AX$4-$B18+1)</f>
        <v/>
      </c>
      <c r="AY18" s="75">
        <f>$C18*INDEX(Curves!$AB$8:$AB$68,AY$4-$B18+1)</f>
        <v/>
      </c>
      <c r="AZ18" s="75">
        <f>$C18*INDEX(Curves!$AB$8:$AB$68,AZ$4-$B18+1)</f>
        <v/>
      </c>
      <c r="BA18" s="75">
        <f>$C18*INDEX(Curves!$AB$8:$AB$68,BA$4-$B18+1)</f>
        <v/>
      </c>
      <c r="BB18" s="75">
        <f>$C18*INDEX(Curves!$AB$8:$AB$68,BB$4-$B18+1)</f>
        <v/>
      </c>
      <c r="BC18" s="75">
        <f>$C18*INDEX(Curves!$AB$8:$AB$68,BC$4-$B18+1)</f>
        <v/>
      </c>
      <c r="BD18" s="75">
        <f>$C18*INDEX(Curves!$AB$8:$AB$68,BD$4-$B18+1)</f>
        <v/>
      </c>
      <c r="BE18" s="75">
        <f>$C18*INDEX(Curves!$AB$8:$AB$68,BE$4-$B18+1)</f>
        <v/>
      </c>
      <c r="BF18" s="75">
        <f>$C18*INDEX(Curves!$AB$8:$AB$68,BF$4-$B18+1)</f>
        <v/>
      </c>
      <c r="BG18" s="75">
        <f>$C18*INDEX(Curves!$AB$8:$AB$68,BG$4-$B18+1)</f>
        <v/>
      </c>
      <c r="BH18" s="75">
        <f>$C18*INDEX(Curves!$AB$8:$AB$68,BH$4-$B18+1)</f>
        <v/>
      </c>
      <c r="BI18" s="75">
        <f>$C18*INDEX(Curves!$AB$8:$AB$68,BI$4-$B18+1)</f>
        <v/>
      </c>
      <c r="BJ18" s="75">
        <f>$C18*INDEX(Curves!$AB$8:$AB$68,BJ$4-$B18+1)</f>
        <v/>
      </c>
      <c r="BK18" s="75">
        <f>$C18*INDEX(Curves!$AB$8:$AB$68,BK$4-$B18+1)</f>
        <v/>
      </c>
      <c r="BL18" s="75">
        <f>$C18*INDEX(Curves!$AB$8:$AB$68,BL$4-$B18+1)</f>
        <v/>
      </c>
    </row>
    <row r="19">
      <c r="A19" s="74" t="inlineStr">
        <is>
          <t>Cohort month 10</t>
        </is>
      </c>
      <c r="B19" s="74" t="n">
        <v>10</v>
      </c>
      <c r="C19" s="17">
        <f>INDEX(Ops!$E$60:$BL$60,1,$B19)</f>
        <v/>
      </c>
      <c r="O19" s="75">
        <f>$C19*INDEX(Curves!$AB$8:$AB$68,O$4-$B19+1)</f>
        <v/>
      </c>
      <c r="P19" s="75">
        <f>$C19*INDEX(Curves!$AB$8:$AB$68,P$4-$B19+1)</f>
        <v/>
      </c>
      <c r="Q19" s="75">
        <f>$C19*INDEX(Curves!$AB$8:$AB$68,Q$4-$B19+1)</f>
        <v/>
      </c>
      <c r="R19" s="75">
        <f>$C19*INDEX(Curves!$AB$8:$AB$68,R$4-$B19+1)</f>
        <v/>
      </c>
      <c r="S19" s="75">
        <f>$C19*INDEX(Curves!$AB$8:$AB$68,S$4-$B19+1)</f>
        <v/>
      </c>
      <c r="T19" s="75">
        <f>$C19*INDEX(Curves!$AB$8:$AB$68,T$4-$B19+1)</f>
        <v/>
      </c>
      <c r="U19" s="75">
        <f>$C19*INDEX(Curves!$AB$8:$AB$68,U$4-$B19+1)</f>
        <v/>
      </c>
      <c r="V19" s="75">
        <f>$C19*INDEX(Curves!$AB$8:$AB$68,V$4-$B19+1)</f>
        <v/>
      </c>
      <c r="W19" s="75">
        <f>$C19*INDEX(Curves!$AB$8:$AB$68,W$4-$B19+1)</f>
        <v/>
      </c>
      <c r="X19" s="75">
        <f>$C19*INDEX(Curves!$AB$8:$AB$68,X$4-$B19+1)</f>
        <v/>
      </c>
      <c r="Y19" s="75">
        <f>$C19*INDEX(Curves!$AB$8:$AB$68,Y$4-$B19+1)</f>
        <v/>
      </c>
      <c r="Z19" s="75">
        <f>$C19*INDEX(Curves!$AB$8:$AB$68,Z$4-$B19+1)</f>
        <v/>
      </c>
      <c r="AA19" s="75">
        <f>$C19*INDEX(Curves!$AB$8:$AB$68,AA$4-$B19+1)</f>
        <v/>
      </c>
      <c r="AB19" s="75">
        <f>$C19*INDEX(Curves!$AB$8:$AB$68,AB$4-$B19+1)</f>
        <v/>
      </c>
      <c r="AC19" s="75">
        <f>$C19*INDEX(Curves!$AB$8:$AB$68,AC$4-$B19+1)</f>
        <v/>
      </c>
      <c r="AD19" s="75">
        <f>$C19*INDEX(Curves!$AB$8:$AB$68,AD$4-$B19+1)</f>
        <v/>
      </c>
      <c r="AE19" s="75">
        <f>$C19*INDEX(Curves!$AB$8:$AB$68,AE$4-$B19+1)</f>
        <v/>
      </c>
      <c r="AF19" s="75">
        <f>$C19*INDEX(Curves!$AB$8:$AB$68,AF$4-$B19+1)</f>
        <v/>
      </c>
      <c r="AG19" s="75">
        <f>$C19*INDEX(Curves!$AB$8:$AB$68,AG$4-$B19+1)</f>
        <v/>
      </c>
      <c r="AH19" s="75">
        <f>$C19*INDEX(Curves!$AB$8:$AB$68,AH$4-$B19+1)</f>
        <v/>
      </c>
      <c r="AI19" s="75">
        <f>$C19*INDEX(Curves!$AB$8:$AB$68,AI$4-$B19+1)</f>
        <v/>
      </c>
      <c r="AJ19" s="75">
        <f>$C19*INDEX(Curves!$AB$8:$AB$68,AJ$4-$B19+1)</f>
        <v/>
      </c>
      <c r="AK19" s="75">
        <f>$C19*INDEX(Curves!$AB$8:$AB$68,AK$4-$B19+1)</f>
        <v/>
      </c>
      <c r="AL19" s="75">
        <f>$C19*INDEX(Curves!$AB$8:$AB$68,AL$4-$B19+1)</f>
        <v/>
      </c>
      <c r="AM19" s="75">
        <f>$C19*INDEX(Curves!$AB$8:$AB$68,AM$4-$B19+1)</f>
        <v/>
      </c>
      <c r="AN19" s="75">
        <f>$C19*INDEX(Curves!$AB$8:$AB$68,AN$4-$B19+1)</f>
        <v/>
      </c>
      <c r="AO19" s="75">
        <f>$C19*INDEX(Curves!$AB$8:$AB$68,AO$4-$B19+1)</f>
        <v/>
      </c>
      <c r="AP19" s="75">
        <f>$C19*INDEX(Curves!$AB$8:$AB$68,AP$4-$B19+1)</f>
        <v/>
      </c>
      <c r="AQ19" s="75">
        <f>$C19*INDEX(Curves!$AB$8:$AB$68,AQ$4-$B19+1)</f>
        <v/>
      </c>
      <c r="AR19" s="75">
        <f>$C19*INDEX(Curves!$AB$8:$AB$68,AR$4-$B19+1)</f>
        <v/>
      </c>
      <c r="AS19" s="75">
        <f>$C19*INDEX(Curves!$AB$8:$AB$68,AS$4-$B19+1)</f>
        <v/>
      </c>
      <c r="AT19" s="75">
        <f>$C19*INDEX(Curves!$AB$8:$AB$68,AT$4-$B19+1)</f>
        <v/>
      </c>
      <c r="AU19" s="75">
        <f>$C19*INDEX(Curves!$AB$8:$AB$68,AU$4-$B19+1)</f>
        <v/>
      </c>
      <c r="AV19" s="75">
        <f>$C19*INDEX(Curves!$AB$8:$AB$68,AV$4-$B19+1)</f>
        <v/>
      </c>
      <c r="AW19" s="75">
        <f>$C19*INDEX(Curves!$AB$8:$AB$68,AW$4-$B19+1)</f>
        <v/>
      </c>
      <c r="AX19" s="75">
        <f>$C19*INDEX(Curves!$AB$8:$AB$68,AX$4-$B19+1)</f>
        <v/>
      </c>
      <c r="AY19" s="75">
        <f>$C19*INDEX(Curves!$AB$8:$AB$68,AY$4-$B19+1)</f>
        <v/>
      </c>
      <c r="AZ19" s="75">
        <f>$C19*INDEX(Curves!$AB$8:$AB$68,AZ$4-$B19+1)</f>
        <v/>
      </c>
      <c r="BA19" s="75">
        <f>$C19*INDEX(Curves!$AB$8:$AB$68,BA$4-$B19+1)</f>
        <v/>
      </c>
      <c r="BB19" s="75">
        <f>$C19*INDEX(Curves!$AB$8:$AB$68,BB$4-$B19+1)</f>
        <v/>
      </c>
      <c r="BC19" s="75">
        <f>$C19*INDEX(Curves!$AB$8:$AB$68,BC$4-$B19+1)</f>
        <v/>
      </c>
      <c r="BD19" s="75">
        <f>$C19*INDEX(Curves!$AB$8:$AB$68,BD$4-$B19+1)</f>
        <v/>
      </c>
      <c r="BE19" s="75">
        <f>$C19*INDEX(Curves!$AB$8:$AB$68,BE$4-$B19+1)</f>
        <v/>
      </c>
      <c r="BF19" s="75">
        <f>$C19*INDEX(Curves!$AB$8:$AB$68,BF$4-$B19+1)</f>
        <v/>
      </c>
      <c r="BG19" s="75">
        <f>$C19*INDEX(Curves!$AB$8:$AB$68,BG$4-$B19+1)</f>
        <v/>
      </c>
      <c r="BH19" s="75">
        <f>$C19*INDEX(Curves!$AB$8:$AB$68,BH$4-$B19+1)</f>
        <v/>
      </c>
      <c r="BI19" s="75">
        <f>$C19*INDEX(Curves!$AB$8:$AB$68,BI$4-$B19+1)</f>
        <v/>
      </c>
      <c r="BJ19" s="75">
        <f>$C19*INDEX(Curves!$AB$8:$AB$68,BJ$4-$B19+1)</f>
        <v/>
      </c>
      <c r="BK19" s="75">
        <f>$C19*INDEX(Curves!$AB$8:$AB$68,BK$4-$B19+1)</f>
        <v/>
      </c>
      <c r="BL19" s="75">
        <f>$C19*INDEX(Curves!$AB$8:$AB$68,BL$4-$B19+1)</f>
        <v/>
      </c>
    </row>
    <row r="20">
      <c r="A20" s="74" t="inlineStr">
        <is>
          <t>Cohort month 11</t>
        </is>
      </c>
      <c r="B20" s="74" t="n">
        <v>11</v>
      </c>
      <c r="C20" s="17">
        <f>INDEX(Ops!$E$60:$BL$60,1,$B20)</f>
        <v/>
      </c>
      <c r="P20" s="75">
        <f>$C20*INDEX(Curves!$AB$8:$AB$68,P$4-$B20+1)</f>
        <v/>
      </c>
      <c r="Q20" s="75">
        <f>$C20*INDEX(Curves!$AB$8:$AB$68,Q$4-$B20+1)</f>
        <v/>
      </c>
      <c r="R20" s="75">
        <f>$C20*INDEX(Curves!$AB$8:$AB$68,R$4-$B20+1)</f>
        <v/>
      </c>
      <c r="S20" s="75">
        <f>$C20*INDEX(Curves!$AB$8:$AB$68,S$4-$B20+1)</f>
        <v/>
      </c>
      <c r="T20" s="75">
        <f>$C20*INDEX(Curves!$AB$8:$AB$68,T$4-$B20+1)</f>
        <v/>
      </c>
      <c r="U20" s="75">
        <f>$C20*INDEX(Curves!$AB$8:$AB$68,U$4-$B20+1)</f>
        <v/>
      </c>
      <c r="V20" s="75">
        <f>$C20*INDEX(Curves!$AB$8:$AB$68,V$4-$B20+1)</f>
        <v/>
      </c>
      <c r="W20" s="75">
        <f>$C20*INDEX(Curves!$AB$8:$AB$68,W$4-$B20+1)</f>
        <v/>
      </c>
      <c r="X20" s="75">
        <f>$C20*INDEX(Curves!$AB$8:$AB$68,X$4-$B20+1)</f>
        <v/>
      </c>
      <c r="Y20" s="75">
        <f>$C20*INDEX(Curves!$AB$8:$AB$68,Y$4-$B20+1)</f>
        <v/>
      </c>
      <c r="Z20" s="75">
        <f>$C20*INDEX(Curves!$AB$8:$AB$68,Z$4-$B20+1)</f>
        <v/>
      </c>
      <c r="AA20" s="75">
        <f>$C20*INDEX(Curves!$AB$8:$AB$68,AA$4-$B20+1)</f>
        <v/>
      </c>
      <c r="AB20" s="75">
        <f>$C20*INDEX(Curves!$AB$8:$AB$68,AB$4-$B20+1)</f>
        <v/>
      </c>
      <c r="AC20" s="75">
        <f>$C20*INDEX(Curves!$AB$8:$AB$68,AC$4-$B20+1)</f>
        <v/>
      </c>
      <c r="AD20" s="75">
        <f>$C20*INDEX(Curves!$AB$8:$AB$68,AD$4-$B20+1)</f>
        <v/>
      </c>
      <c r="AE20" s="75">
        <f>$C20*INDEX(Curves!$AB$8:$AB$68,AE$4-$B20+1)</f>
        <v/>
      </c>
      <c r="AF20" s="75">
        <f>$C20*INDEX(Curves!$AB$8:$AB$68,AF$4-$B20+1)</f>
        <v/>
      </c>
      <c r="AG20" s="75">
        <f>$C20*INDEX(Curves!$AB$8:$AB$68,AG$4-$B20+1)</f>
        <v/>
      </c>
      <c r="AH20" s="75">
        <f>$C20*INDEX(Curves!$AB$8:$AB$68,AH$4-$B20+1)</f>
        <v/>
      </c>
      <c r="AI20" s="75">
        <f>$C20*INDEX(Curves!$AB$8:$AB$68,AI$4-$B20+1)</f>
        <v/>
      </c>
      <c r="AJ20" s="75">
        <f>$C20*INDEX(Curves!$AB$8:$AB$68,AJ$4-$B20+1)</f>
        <v/>
      </c>
      <c r="AK20" s="75">
        <f>$C20*INDEX(Curves!$AB$8:$AB$68,AK$4-$B20+1)</f>
        <v/>
      </c>
      <c r="AL20" s="75">
        <f>$C20*INDEX(Curves!$AB$8:$AB$68,AL$4-$B20+1)</f>
        <v/>
      </c>
      <c r="AM20" s="75">
        <f>$C20*INDEX(Curves!$AB$8:$AB$68,AM$4-$B20+1)</f>
        <v/>
      </c>
      <c r="AN20" s="75">
        <f>$C20*INDEX(Curves!$AB$8:$AB$68,AN$4-$B20+1)</f>
        <v/>
      </c>
      <c r="AO20" s="75">
        <f>$C20*INDEX(Curves!$AB$8:$AB$68,AO$4-$B20+1)</f>
        <v/>
      </c>
      <c r="AP20" s="75">
        <f>$C20*INDEX(Curves!$AB$8:$AB$68,AP$4-$B20+1)</f>
        <v/>
      </c>
      <c r="AQ20" s="75">
        <f>$C20*INDEX(Curves!$AB$8:$AB$68,AQ$4-$B20+1)</f>
        <v/>
      </c>
      <c r="AR20" s="75">
        <f>$C20*INDEX(Curves!$AB$8:$AB$68,AR$4-$B20+1)</f>
        <v/>
      </c>
      <c r="AS20" s="75">
        <f>$C20*INDEX(Curves!$AB$8:$AB$68,AS$4-$B20+1)</f>
        <v/>
      </c>
      <c r="AT20" s="75">
        <f>$C20*INDEX(Curves!$AB$8:$AB$68,AT$4-$B20+1)</f>
        <v/>
      </c>
      <c r="AU20" s="75">
        <f>$C20*INDEX(Curves!$AB$8:$AB$68,AU$4-$B20+1)</f>
        <v/>
      </c>
      <c r="AV20" s="75">
        <f>$C20*INDEX(Curves!$AB$8:$AB$68,AV$4-$B20+1)</f>
        <v/>
      </c>
      <c r="AW20" s="75">
        <f>$C20*INDEX(Curves!$AB$8:$AB$68,AW$4-$B20+1)</f>
        <v/>
      </c>
      <c r="AX20" s="75">
        <f>$C20*INDEX(Curves!$AB$8:$AB$68,AX$4-$B20+1)</f>
        <v/>
      </c>
      <c r="AY20" s="75">
        <f>$C20*INDEX(Curves!$AB$8:$AB$68,AY$4-$B20+1)</f>
        <v/>
      </c>
      <c r="AZ20" s="75">
        <f>$C20*INDEX(Curves!$AB$8:$AB$68,AZ$4-$B20+1)</f>
        <v/>
      </c>
      <c r="BA20" s="75">
        <f>$C20*INDEX(Curves!$AB$8:$AB$68,BA$4-$B20+1)</f>
        <v/>
      </c>
      <c r="BB20" s="75">
        <f>$C20*INDEX(Curves!$AB$8:$AB$68,BB$4-$B20+1)</f>
        <v/>
      </c>
      <c r="BC20" s="75">
        <f>$C20*INDEX(Curves!$AB$8:$AB$68,BC$4-$B20+1)</f>
        <v/>
      </c>
      <c r="BD20" s="75">
        <f>$C20*INDEX(Curves!$AB$8:$AB$68,BD$4-$B20+1)</f>
        <v/>
      </c>
      <c r="BE20" s="75">
        <f>$C20*INDEX(Curves!$AB$8:$AB$68,BE$4-$B20+1)</f>
        <v/>
      </c>
      <c r="BF20" s="75">
        <f>$C20*INDEX(Curves!$AB$8:$AB$68,BF$4-$B20+1)</f>
        <v/>
      </c>
      <c r="BG20" s="75">
        <f>$C20*INDEX(Curves!$AB$8:$AB$68,BG$4-$B20+1)</f>
        <v/>
      </c>
      <c r="BH20" s="75">
        <f>$C20*INDEX(Curves!$AB$8:$AB$68,BH$4-$B20+1)</f>
        <v/>
      </c>
      <c r="BI20" s="75">
        <f>$C20*INDEX(Curves!$AB$8:$AB$68,BI$4-$B20+1)</f>
        <v/>
      </c>
      <c r="BJ20" s="75">
        <f>$C20*INDEX(Curves!$AB$8:$AB$68,BJ$4-$B20+1)</f>
        <v/>
      </c>
      <c r="BK20" s="75">
        <f>$C20*INDEX(Curves!$AB$8:$AB$68,BK$4-$B20+1)</f>
        <v/>
      </c>
      <c r="BL20" s="75">
        <f>$C20*INDEX(Curves!$AB$8:$AB$68,BL$4-$B20+1)</f>
        <v/>
      </c>
    </row>
    <row r="21">
      <c r="A21" s="74" t="inlineStr">
        <is>
          <t>Cohort month 12</t>
        </is>
      </c>
      <c r="B21" s="74" t="n">
        <v>12</v>
      </c>
      <c r="C21" s="17">
        <f>INDEX(Ops!$E$60:$BL$60,1,$B21)</f>
        <v/>
      </c>
      <c r="Q21" s="75">
        <f>$C21*INDEX(Curves!$AB$8:$AB$68,Q$4-$B21+1)</f>
        <v/>
      </c>
      <c r="R21" s="75">
        <f>$C21*INDEX(Curves!$AB$8:$AB$68,R$4-$B21+1)</f>
        <v/>
      </c>
      <c r="S21" s="75">
        <f>$C21*INDEX(Curves!$AB$8:$AB$68,S$4-$B21+1)</f>
        <v/>
      </c>
      <c r="T21" s="75">
        <f>$C21*INDEX(Curves!$AB$8:$AB$68,T$4-$B21+1)</f>
        <v/>
      </c>
      <c r="U21" s="75">
        <f>$C21*INDEX(Curves!$AB$8:$AB$68,U$4-$B21+1)</f>
        <v/>
      </c>
      <c r="V21" s="75">
        <f>$C21*INDEX(Curves!$AB$8:$AB$68,V$4-$B21+1)</f>
        <v/>
      </c>
      <c r="W21" s="75">
        <f>$C21*INDEX(Curves!$AB$8:$AB$68,W$4-$B21+1)</f>
        <v/>
      </c>
      <c r="X21" s="75">
        <f>$C21*INDEX(Curves!$AB$8:$AB$68,X$4-$B21+1)</f>
        <v/>
      </c>
      <c r="Y21" s="75">
        <f>$C21*INDEX(Curves!$AB$8:$AB$68,Y$4-$B21+1)</f>
        <v/>
      </c>
      <c r="Z21" s="75">
        <f>$C21*INDEX(Curves!$AB$8:$AB$68,Z$4-$B21+1)</f>
        <v/>
      </c>
      <c r="AA21" s="75">
        <f>$C21*INDEX(Curves!$AB$8:$AB$68,AA$4-$B21+1)</f>
        <v/>
      </c>
      <c r="AB21" s="75">
        <f>$C21*INDEX(Curves!$AB$8:$AB$68,AB$4-$B21+1)</f>
        <v/>
      </c>
      <c r="AC21" s="75">
        <f>$C21*INDEX(Curves!$AB$8:$AB$68,AC$4-$B21+1)</f>
        <v/>
      </c>
      <c r="AD21" s="75">
        <f>$C21*INDEX(Curves!$AB$8:$AB$68,AD$4-$B21+1)</f>
        <v/>
      </c>
      <c r="AE21" s="75">
        <f>$C21*INDEX(Curves!$AB$8:$AB$68,AE$4-$B21+1)</f>
        <v/>
      </c>
      <c r="AF21" s="75">
        <f>$C21*INDEX(Curves!$AB$8:$AB$68,AF$4-$B21+1)</f>
        <v/>
      </c>
      <c r="AG21" s="75">
        <f>$C21*INDEX(Curves!$AB$8:$AB$68,AG$4-$B21+1)</f>
        <v/>
      </c>
      <c r="AH21" s="75">
        <f>$C21*INDEX(Curves!$AB$8:$AB$68,AH$4-$B21+1)</f>
        <v/>
      </c>
      <c r="AI21" s="75">
        <f>$C21*INDEX(Curves!$AB$8:$AB$68,AI$4-$B21+1)</f>
        <v/>
      </c>
      <c r="AJ21" s="75">
        <f>$C21*INDEX(Curves!$AB$8:$AB$68,AJ$4-$B21+1)</f>
        <v/>
      </c>
      <c r="AK21" s="75">
        <f>$C21*INDEX(Curves!$AB$8:$AB$68,AK$4-$B21+1)</f>
        <v/>
      </c>
      <c r="AL21" s="75">
        <f>$C21*INDEX(Curves!$AB$8:$AB$68,AL$4-$B21+1)</f>
        <v/>
      </c>
      <c r="AM21" s="75">
        <f>$C21*INDEX(Curves!$AB$8:$AB$68,AM$4-$B21+1)</f>
        <v/>
      </c>
      <c r="AN21" s="75">
        <f>$C21*INDEX(Curves!$AB$8:$AB$68,AN$4-$B21+1)</f>
        <v/>
      </c>
      <c r="AO21" s="75">
        <f>$C21*INDEX(Curves!$AB$8:$AB$68,AO$4-$B21+1)</f>
        <v/>
      </c>
      <c r="AP21" s="75">
        <f>$C21*INDEX(Curves!$AB$8:$AB$68,AP$4-$B21+1)</f>
        <v/>
      </c>
      <c r="AQ21" s="75">
        <f>$C21*INDEX(Curves!$AB$8:$AB$68,AQ$4-$B21+1)</f>
        <v/>
      </c>
      <c r="AR21" s="75">
        <f>$C21*INDEX(Curves!$AB$8:$AB$68,AR$4-$B21+1)</f>
        <v/>
      </c>
      <c r="AS21" s="75">
        <f>$C21*INDEX(Curves!$AB$8:$AB$68,AS$4-$B21+1)</f>
        <v/>
      </c>
      <c r="AT21" s="75">
        <f>$C21*INDEX(Curves!$AB$8:$AB$68,AT$4-$B21+1)</f>
        <v/>
      </c>
      <c r="AU21" s="75">
        <f>$C21*INDEX(Curves!$AB$8:$AB$68,AU$4-$B21+1)</f>
        <v/>
      </c>
      <c r="AV21" s="75">
        <f>$C21*INDEX(Curves!$AB$8:$AB$68,AV$4-$B21+1)</f>
        <v/>
      </c>
      <c r="AW21" s="75">
        <f>$C21*INDEX(Curves!$AB$8:$AB$68,AW$4-$B21+1)</f>
        <v/>
      </c>
      <c r="AX21" s="75">
        <f>$C21*INDEX(Curves!$AB$8:$AB$68,AX$4-$B21+1)</f>
        <v/>
      </c>
      <c r="AY21" s="75">
        <f>$C21*INDEX(Curves!$AB$8:$AB$68,AY$4-$B21+1)</f>
        <v/>
      </c>
      <c r="AZ21" s="75">
        <f>$C21*INDEX(Curves!$AB$8:$AB$68,AZ$4-$B21+1)</f>
        <v/>
      </c>
      <c r="BA21" s="75">
        <f>$C21*INDEX(Curves!$AB$8:$AB$68,BA$4-$B21+1)</f>
        <v/>
      </c>
      <c r="BB21" s="75">
        <f>$C21*INDEX(Curves!$AB$8:$AB$68,BB$4-$B21+1)</f>
        <v/>
      </c>
      <c r="BC21" s="75">
        <f>$C21*INDEX(Curves!$AB$8:$AB$68,BC$4-$B21+1)</f>
        <v/>
      </c>
      <c r="BD21" s="75">
        <f>$C21*INDEX(Curves!$AB$8:$AB$68,BD$4-$B21+1)</f>
        <v/>
      </c>
      <c r="BE21" s="75">
        <f>$C21*INDEX(Curves!$AB$8:$AB$68,BE$4-$B21+1)</f>
        <v/>
      </c>
      <c r="BF21" s="75">
        <f>$C21*INDEX(Curves!$AB$8:$AB$68,BF$4-$B21+1)</f>
        <v/>
      </c>
      <c r="BG21" s="75">
        <f>$C21*INDEX(Curves!$AB$8:$AB$68,BG$4-$B21+1)</f>
        <v/>
      </c>
      <c r="BH21" s="75">
        <f>$C21*INDEX(Curves!$AB$8:$AB$68,BH$4-$B21+1)</f>
        <v/>
      </c>
      <c r="BI21" s="75">
        <f>$C21*INDEX(Curves!$AB$8:$AB$68,BI$4-$B21+1)</f>
        <v/>
      </c>
      <c r="BJ21" s="75">
        <f>$C21*INDEX(Curves!$AB$8:$AB$68,BJ$4-$B21+1)</f>
        <v/>
      </c>
      <c r="BK21" s="75">
        <f>$C21*INDEX(Curves!$AB$8:$AB$68,BK$4-$B21+1)</f>
        <v/>
      </c>
      <c r="BL21" s="75">
        <f>$C21*INDEX(Curves!$AB$8:$AB$68,BL$4-$B21+1)</f>
        <v/>
      </c>
    </row>
    <row r="22">
      <c r="A22" s="74" t="inlineStr">
        <is>
          <t>Cohort month 13</t>
        </is>
      </c>
      <c r="B22" s="74" t="n">
        <v>13</v>
      </c>
      <c r="C22" s="17">
        <f>INDEX(Ops!$E$60:$BL$60,1,$B22)</f>
        <v/>
      </c>
      <c r="R22" s="75">
        <f>$C22*INDEX(Curves!$AB$8:$AB$68,R$4-$B22+1)</f>
        <v/>
      </c>
      <c r="S22" s="75">
        <f>$C22*INDEX(Curves!$AB$8:$AB$68,S$4-$B22+1)</f>
        <v/>
      </c>
      <c r="T22" s="75">
        <f>$C22*INDEX(Curves!$AB$8:$AB$68,T$4-$B22+1)</f>
        <v/>
      </c>
      <c r="U22" s="75">
        <f>$C22*INDEX(Curves!$AB$8:$AB$68,U$4-$B22+1)</f>
        <v/>
      </c>
      <c r="V22" s="75">
        <f>$C22*INDEX(Curves!$AB$8:$AB$68,V$4-$B22+1)</f>
        <v/>
      </c>
      <c r="W22" s="75">
        <f>$C22*INDEX(Curves!$AB$8:$AB$68,W$4-$B22+1)</f>
        <v/>
      </c>
      <c r="X22" s="75">
        <f>$C22*INDEX(Curves!$AB$8:$AB$68,X$4-$B22+1)</f>
        <v/>
      </c>
      <c r="Y22" s="75">
        <f>$C22*INDEX(Curves!$AB$8:$AB$68,Y$4-$B22+1)</f>
        <v/>
      </c>
      <c r="Z22" s="75">
        <f>$C22*INDEX(Curves!$AB$8:$AB$68,Z$4-$B22+1)</f>
        <v/>
      </c>
      <c r="AA22" s="75">
        <f>$C22*INDEX(Curves!$AB$8:$AB$68,AA$4-$B22+1)</f>
        <v/>
      </c>
      <c r="AB22" s="75">
        <f>$C22*INDEX(Curves!$AB$8:$AB$68,AB$4-$B22+1)</f>
        <v/>
      </c>
      <c r="AC22" s="75">
        <f>$C22*INDEX(Curves!$AB$8:$AB$68,AC$4-$B22+1)</f>
        <v/>
      </c>
      <c r="AD22" s="75">
        <f>$C22*INDEX(Curves!$AB$8:$AB$68,AD$4-$B22+1)</f>
        <v/>
      </c>
      <c r="AE22" s="75">
        <f>$C22*INDEX(Curves!$AB$8:$AB$68,AE$4-$B22+1)</f>
        <v/>
      </c>
      <c r="AF22" s="75">
        <f>$C22*INDEX(Curves!$AB$8:$AB$68,AF$4-$B22+1)</f>
        <v/>
      </c>
      <c r="AG22" s="75">
        <f>$C22*INDEX(Curves!$AB$8:$AB$68,AG$4-$B22+1)</f>
        <v/>
      </c>
      <c r="AH22" s="75">
        <f>$C22*INDEX(Curves!$AB$8:$AB$68,AH$4-$B22+1)</f>
        <v/>
      </c>
      <c r="AI22" s="75">
        <f>$C22*INDEX(Curves!$AB$8:$AB$68,AI$4-$B22+1)</f>
        <v/>
      </c>
      <c r="AJ22" s="75">
        <f>$C22*INDEX(Curves!$AB$8:$AB$68,AJ$4-$B22+1)</f>
        <v/>
      </c>
      <c r="AK22" s="75">
        <f>$C22*INDEX(Curves!$AB$8:$AB$68,AK$4-$B22+1)</f>
        <v/>
      </c>
      <c r="AL22" s="75">
        <f>$C22*INDEX(Curves!$AB$8:$AB$68,AL$4-$B22+1)</f>
        <v/>
      </c>
      <c r="AM22" s="75">
        <f>$C22*INDEX(Curves!$AB$8:$AB$68,AM$4-$B22+1)</f>
        <v/>
      </c>
      <c r="AN22" s="75">
        <f>$C22*INDEX(Curves!$AB$8:$AB$68,AN$4-$B22+1)</f>
        <v/>
      </c>
      <c r="AO22" s="75">
        <f>$C22*INDEX(Curves!$AB$8:$AB$68,AO$4-$B22+1)</f>
        <v/>
      </c>
      <c r="AP22" s="75">
        <f>$C22*INDEX(Curves!$AB$8:$AB$68,AP$4-$B22+1)</f>
        <v/>
      </c>
      <c r="AQ22" s="75">
        <f>$C22*INDEX(Curves!$AB$8:$AB$68,AQ$4-$B22+1)</f>
        <v/>
      </c>
      <c r="AR22" s="75">
        <f>$C22*INDEX(Curves!$AB$8:$AB$68,AR$4-$B22+1)</f>
        <v/>
      </c>
      <c r="AS22" s="75">
        <f>$C22*INDEX(Curves!$AB$8:$AB$68,AS$4-$B22+1)</f>
        <v/>
      </c>
      <c r="AT22" s="75">
        <f>$C22*INDEX(Curves!$AB$8:$AB$68,AT$4-$B22+1)</f>
        <v/>
      </c>
      <c r="AU22" s="75">
        <f>$C22*INDEX(Curves!$AB$8:$AB$68,AU$4-$B22+1)</f>
        <v/>
      </c>
      <c r="AV22" s="75">
        <f>$C22*INDEX(Curves!$AB$8:$AB$68,AV$4-$B22+1)</f>
        <v/>
      </c>
      <c r="AW22" s="75">
        <f>$C22*INDEX(Curves!$AB$8:$AB$68,AW$4-$B22+1)</f>
        <v/>
      </c>
      <c r="AX22" s="75">
        <f>$C22*INDEX(Curves!$AB$8:$AB$68,AX$4-$B22+1)</f>
        <v/>
      </c>
      <c r="AY22" s="75">
        <f>$C22*INDEX(Curves!$AB$8:$AB$68,AY$4-$B22+1)</f>
        <v/>
      </c>
      <c r="AZ22" s="75">
        <f>$C22*INDEX(Curves!$AB$8:$AB$68,AZ$4-$B22+1)</f>
        <v/>
      </c>
      <c r="BA22" s="75">
        <f>$C22*INDEX(Curves!$AB$8:$AB$68,BA$4-$B22+1)</f>
        <v/>
      </c>
      <c r="BB22" s="75">
        <f>$C22*INDEX(Curves!$AB$8:$AB$68,BB$4-$B22+1)</f>
        <v/>
      </c>
      <c r="BC22" s="75">
        <f>$C22*INDEX(Curves!$AB$8:$AB$68,BC$4-$B22+1)</f>
        <v/>
      </c>
      <c r="BD22" s="75">
        <f>$C22*INDEX(Curves!$AB$8:$AB$68,BD$4-$B22+1)</f>
        <v/>
      </c>
      <c r="BE22" s="75">
        <f>$C22*INDEX(Curves!$AB$8:$AB$68,BE$4-$B22+1)</f>
        <v/>
      </c>
      <c r="BF22" s="75">
        <f>$C22*INDEX(Curves!$AB$8:$AB$68,BF$4-$B22+1)</f>
        <v/>
      </c>
      <c r="BG22" s="75">
        <f>$C22*INDEX(Curves!$AB$8:$AB$68,BG$4-$B22+1)</f>
        <v/>
      </c>
      <c r="BH22" s="75">
        <f>$C22*INDEX(Curves!$AB$8:$AB$68,BH$4-$B22+1)</f>
        <v/>
      </c>
      <c r="BI22" s="75">
        <f>$C22*INDEX(Curves!$AB$8:$AB$68,BI$4-$B22+1)</f>
        <v/>
      </c>
      <c r="BJ22" s="75">
        <f>$C22*INDEX(Curves!$AB$8:$AB$68,BJ$4-$B22+1)</f>
        <v/>
      </c>
      <c r="BK22" s="75">
        <f>$C22*INDEX(Curves!$AB$8:$AB$68,BK$4-$B22+1)</f>
        <v/>
      </c>
      <c r="BL22" s="75">
        <f>$C22*INDEX(Curves!$AB$8:$AB$68,BL$4-$B22+1)</f>
        <v/>
      </c>
    </row>
    <row r="23">
      <c r="A23" s="74" t="inlineStr">
        <is>
          <t>Cohort month 14</t>
        </is>
      </c>
      <c r="B23" s="74" t="n">
        <v>14</v>
      </c>
      <c r="C23" s="17">
        <f>INDEX(Ops!$E$60:$BL$60,1,$B23)</f>
        <v/>
      </c>
      <c r="S23" s="75">
        <f>$C23*INDEX(Curves!$AB$8:$AB$68,S$4-$B23+1)</f>
        <v/>
      </c>
      <c r="T23" s="75">
        <f>$C23*INDEX(Curves!$AB$8:$AB$68,T$4-$B23+1)</f>
        <v/>
      </c>
      <c r="U23" s="75">
        <f>$C23*INDEX(Curves!$AB$8:$AB$68,U$4-$B23+1)</f>
        <v/>
      </c>
      <c r="V23" s="75">
        <f>$C23*INDEX(Curves!$AB$8:$AB$68,V$4-$B23+1)</f>
        <v/>
      </c>
      <c r="W23" s="75">
        <f>$C23*INDEX(Curves!$AB$8:$AB$68,W$4-$B23+1)</f>
        <v/>
      </c>
      <c r="X23" s="75">
        <f>$C23*INDEX(Curves!$AB$8:$AB$68,X$4-$B23+1)</f>
        <v/>
      </c>
      <c r="Y23" s="75">
        <f>$C23*INDEX(Curves!$AB$8:$AB$68,Y$4-$B23+1)</f>
        <v/>
      </c>
      <c r="Z23" s="75">
        <f>$C23*INDEX(Curves!$AB$8:$AB$68,Z$4-$B23+1)</f>
        <v/>
      </c>
      <c r="AA23" s="75">
        <f>$C23*INDEX(Curves!$AB$8:$AB$68,AA$4-$B23+1)</f>
        <v/>
      </c>
      <c r="AB23" s="75">
        <f>$C23*INDEX(Curves!$AB$8:$AB$68,AB$4-$B23+1)</f>
        <v/>
      </c>
      <c r="AC23" s="75">
        <f>$C23*INDEX(Curves!$AB$8:$AB$68,AC$4-$B23+1)</f>
        <v/>
      </c>
      <c r="AD23" s="75">
        <f>$C23*INDEX(Curves!$AB$8:$AB$68,AD$4-$B23+1)</f>
        <v/>
      </c>
      <c r="AE23" s="75">
        <f>$C23*INDEX(Curves!$AB$8:$AB$68,AE$4-$B23+1)</f>
        <v/>
      </c>
      <c r="AF23" s="75">
        <f>$C23*INDEX(Curves!$AB$8:$AB$68,AF$4-$B23+1)</f>
        <v/>
      </c>
      <c r="AG23" s="75">
        <f>$C23*INDEX(Curves!$AB$8:$AB$68,AG$4-$B23+1)</f>
        <v/>
      </c>
      <c r="AH23" s="75">
        <f>$C23*INDEX(Curves!$AB$8:$AB$68,AH$4-$B23+1)</f>
        <v/>
      </c>
      <c r="AI23" s="75">
        <f>$C23*INDEX(Curves!$AB$8:$AB$68,AI$4-$B23+1)</f>
        <v/>
      </c>
      <c r="AJ23" s="75">
        <f>$C23*INDEX(Curves!$AB$8:$AB$68,AJ$4-$B23+1)</f>
        <v/>
      </c>
      <c r="AK23" s="75">
        <f>$C23*INDEX(Curves!$AB$8:$AB$68,AK$4-$B23+1)</f>
        <v/>
      </c>
      <c r="AL23" s="75">
        <f>$C23*INDEX(Curves!$AB$8:$AB$68,AL$4-$B23+1)</f>
        <v/>
      </c>
      <c r="AM23" s="75">
        <f>$C23*INDEX(Curves!$AB$8:$AB$68,AM$4-$B23+1)</f>
        <v/>
      </c>
      <c r="AN23" s="75">
        <f>$C23*INDEX(Curves!$AB$8:$AB$68,AN$4-$B23+1)</f>
        <v/>
      </c>
      <c r="AO23" s="75">
        <f>$C23*INDEX(Curves!$AB$8:$AB$68,AO$4-$B23+1)</f>
        <v/>
      </c>
      <c r="AP23" s="75">
        <f>$C23*INDEX(Curves!$AB$8:$AB$68,AP$4-$B23+1)</f>
        <v/>
      </c>
      <c r="AQ23" s="75">
        <f>$C23*INDEX(Curves!$AB$8:$AB$68,AQ$4-$B23+1)</f>
        <v/>
      </c>
      <c r="AR23" s="75">
        <f>$C23*INDEX(Curves!$AB$8:$AB$68,AR$4-$B23+1)</f>
        <v/>
      </c>
      <c r="AS23" s="75">
        <f>$C23*INDEX(Curves!$AB$8:$AB$68,AS$4-$B23+1)</f>
        <v/>
      </c>
      <c r="AT23" s="75">
        <f>$C23*INDEX(Curves!$AB$8:$AB$68,AT$4-$B23+1)</f>
        <v/>
      </c>
      <c r="AU23" s="75">
        <f>$C23*INDEX(Curves!$AB$8:$AB$68,AU$4-$B23+1)</f>
        <v/>
      </c>
      <c r="AV23" s="75">
        <f>$C23*INDEX(Curves!$AB$8:$AB$68,AV$4-$B23+1)</f>
        <v/>
      </c>
      <c r="AW23" s="75">
        <f>$C23*INDEX(Curves!$AB$8:$AB$68,AW$4-$B23+1)</f>
        <v/>
      </c>
      <c r="AX23" s="75">
        <f>$C23*INDEX(Curves!$AB$8:$AB$68,AX$4-$B23+1)</f>
        <v/>
      </c>
      <c r="AY23" s="75">
        <f>$C23*INDEX(Curves!$AB$8:$AB$68,AY$4-$B23+1)</f>
        <v/>
      </c>
      <c r="AZ23" s="75">
        <f>$C23*INDEX(Curves!$AB$8:$AB$68,AZ$4-$B23+1)</f>
        <v/>
      </c>
      <c r="BA23" s="75">
        <f>$C23*INDEX(Curves!$AB$8:$AB$68,BA$4-$B23+1)</f>
        <v/>
      </c>
      <c r="BB23" s="75">
        <f>$C23*INDEX(Curves!$AB$8:$AB$68,BB$4-$B23+1)</f>
        <v/>
      </c>
      <c r="BC23" s="75">
        <f>$C23*INDEX(Curves!$AB$8:$AB$68,BC$4-$B23+1)</f>
        <v/>
      </c>
      <c r="BD23" s="75">
        <f>$C23*INDEX(Curves!$AB$8:$AB$68,BD$4-$B23+1)</f>
        <v/>
      </c>
      <c r="BE23" s="75">
        <f>$C23*INDEX(Curves!$AB$8:$AB$68,BE$4-$B23+1)</f>
        <v/>
      </c>
      <c r="BF23" s="75">
        <f>$C23*INDEX(Curves!$AB$8:$AB$68,BF$4-$B23+1)</f>
        <v/>
      </c>
      <c r="BG23" s="75">
        <f>$C23*INDEX(Curves!$AB$8:$AB$68,BG$4-$B23+1)</f>
        <v/>
      </c>
      <c r="BH23" s="75">
        <f>$C23*INDEX(Curves!$AB$8:$AB$68,BH$4-$B23+1)</f>
        <v/>
      </c>
      <c r="BI23" s="75">
        <f>$C23*INDEX(Curves!$AB$8:$AB$68,BI$4-$B23+1)</f>
        <v/>
      </c>
      <c r="BJ23" s="75">
        <f>$C23*INDEX(Curves!$AB$8:$AB$68,BJ$4-$B23+1)</f>
        <v/>
      </c>
      <c r="BK23" s="75">
        <f>$C23*INDEX(Curves!$AB$8:$AB$68,BK$4-$B23+1)</f>
        <v/>
      </c>
      <c r="BL23" s="75">
        <f>$C23*INDEX(Curves!$AB$8:$AB$68,BL$4-$B23+1)</f>
        <v/>
      </c>
    </row>
    <row r="24">
      <c r="A24" s="74" t="inlineStr">
        <is>
          <t>Cohort month 15</t>
        </is>
      </c>
      <c r="B24" s="74" t="n">
        <v>15</v>
      </c>
      <c r="C24" s="17">
        <f>INDEX(Ops!$E$60:$BL$60,1,$B24)</f>
        <v/>
      </c>
      <c r="T24" s="75">
        <f>$C24*INDEX(Curves!$AB$8:$AB$68,T$4-$B24+1)</f>
        <v/>
      </c>
      <c r="U24" s="75">
        <f>$C24*INDEX(Curves!$AB$8:$AB$68,U$4-$B24+1)</f>
        <v/>
      </c>
      <c r="V24" s="75">
        <f>$C24*INDEX(Curves!$AB$8:$AB$68,V$4-$B24+1)</f>
        <v/>
      </c>
      <c r="W24" s="75">
        <f>$C24*INDEX(Curves!$AB$8:$AB$68,W$4-$B24+1)</f>
        <v/>
      </c>
      <c r="X24" s="75">
        <f>$C24*INDEX(Curves!$AB$8:$AB$68,X$4-$B24+1)</f>
        <v/>
      </c>
      <c r="Y24" s="75">
        <f>$C24*INDEX(Curves!$AB$8:$AB$68,Y$4-$B24+1)</f>
        <v/>
      </c>
      <c r="Z24" s="75">
        <f>$C24*INDEX(Curves!$AB$8:$AB$68,Z$4-$B24+1)</f>
        <v/>
      </c>
      <c r="AA24" s="75">
        <f>$C24*INDEX(Curves!$AB$8:$AB$68,AA$4-$B24+1)</f>
        <v/>
      </c>
      <c r="AB24" s="75">
        <f>$C24*INDEX(Curves!$AB$8:$AB$68,AB$4-$B24+1)</f>
        <v/>
      </c>
      <c r="AC24" s="75">
        <f>$C24*INDEX(Curves!$AB$8:$AB$68,AC$4-$B24+1)</f>
        <v/>
      </c>
      <c r="AD24" s="75">
        <f>$C24*INDEX(Curves!$AB$8:$AB$68,AD$4-$B24+1)</f>
        <v/>
      </c>
      <c r="AE24" s="75">
        <f>$C24*INDEX(Curves!$AB$8:$AB$68,AE$4-$B24+1)</f>
        <v/>
      </c>
      <c r="AF24" s="75">
        <f>$C24*INDEX(Curves!$AB$8:$AB$68,AF$4-$B24+1)</f>
        <v/>
      </c>
      <c r="AG24" s="75">
        <f>$C24*INDEX(Curves!$AB$8:$AB$68,AG$4-$B24+1)</f>
        <v/>
      </c>
      <c r="AH24" s="75">
        <f>$C24*INDEX(Curves!$AB$8:$AB$68,AH$4-$B24+1)</f>
        <v/>
      </c>
      <c r="AI24" s="75">
        <f>$C24*INDEX(Curves!$AB$8:$AB$68,AI$4-$B24+1)</f>
        <v/>
      </c>
      <c r="AJ24" s="75">
        <f>$C24*INDEX(Curves!$AB$8:$AB$68,AJ$4-$B24+1)</f>
        <v/>
      </c>
      <c r="AK24" s="75">
        <f>$C24*INDEX(Curves!$AB$8:$AB$68,AK$4-$B24+1)</f>
        <v/>
      </c>
      <c r="AL24" s="75">
        <f>$C24*INDEX(Curves!$AB$8:$AB$68,AL$4-$B24+1)</f>
        <v/>
      </c>
      <c r="AM24" s="75">
        <f>$C24*INDEX(Curves!$AB$8:$AB$68,AM$4-$B24+1)</f>
        <v/>
      </c>
      <c r="AN24" s="75">
        <f>$C24*INDEX(Curves!$AB$8:$AB$68,AN$4-$B24+1)</f>
        <v/>
      </c>
      <c r="AO24" s="75">
        <f>$C24*INDEX(Curves!$AB$8:$AB$68,AO$4-$B24+1)</f>
        <v/>
      </c>
      <c r="AP24" s="75">
        <f>$C24*INDEX(Curves!$AB$8:$AB$68,AP$4-$B24+1)</f>
        <v/>
      </c>
      <c r="AQ24" s="75">
        <f>$C24*INDEX(Curves!$AB$8:$AB$68,AQ$4-$B24+1)</f>
        <v/>
      </c>
      <c r="AR24" s="75">
        <f>$C24*INDEX(Curves!$AB$8:$AB$68,AR$4-$B24+1)</f>
        <v/>
      </c>
      <c r="AS24" s="75">
        <f>$C24*INDEX(Curves!$AB$8:$AB$68,AS$4-$B24+1)</f>
        <v/>
      </c>
      <c r="AT24" s="75">
        <f>$C24*INDEX(Curves!$AB$8:$AB$68,AT$4-$B24+1)</f>
        <v/>
      </c>
      <c r="AU24" s="75">
        <f>$C24*INDEX(Curves!$AB$8:$AB$68,AU$4-$B24+1)</f>
        <v/>
      </c>
      <c r="AV24" s="75">
        <f>$C24*INDEX(Curves!$AB$8:$AB$68,AV$4-$B24+1)</f>
        <v/>
      </c>
      <c r="AW24" s="75">
        <f>$C24*INDEX(Curves!$AB$8:$AB$68,AW$4-$B24+1)</f>
        <v/>
      </c>
      <c r="AX24" s="75">
        <f>$C24*INDEX(Curves!$AB$8:$AB$68,AX$4-$B24+1)</f>
        <v/>
      </c>
      <c r="AY24" s="75">
        <f>$C24*INDEX(Curves!$AB$8:$AB$68,AY$4-$B24+1)</f>
        <v/>
      </c>
      <c r="AZ24" s="75">
        <f>$C24*INDEX(Curves!$AB$8:$AB$68,AZ$4-$B24+1)</f>
        <v/>
      </c>
      <c r="BA24" s="75">
        <f>$C24*INDEX(Curves!$AB$8:$AB$68,BA$4-$B24+1)</f>
        <v/>
      </c>
      <c r="BB24" s="75">
        <f>$C24*INDEX(Curves!$AB$8:$AB$68,BB$4-$B24+1)</f>
        <v/>
      </c>
      <c r="BC24" s="75">
        <f>$C24*INDEX(Curves!$AB$8:$AB$68,BC$4-$B24+1)</f>
        <v/>
      </c>
      <c r="BD24" s="75">
        <f>$C24*INDEX(Curves!$AB$8:$AB$68,BD$4-$B24+1)</f>
        <v/>
      </c>
      <c r="BE24" s="75">
        <f>$C24*INDEX(Curves!$AB$8:$AB$68,BE$4-$B24+1)</f>
        <v/>
      </c>
      <c r="BF24" s="75">
        <f>$C24*INDEX(Curves!$AB$8:$AB$68,BF$4-$B24+1)</f>
        <v/>
      </c>
      <c r="BG24" s="75">
        <f>$C24*INDEX(Curves!$AB$8:$AB$68,BG$4-$B24+1)</f>
        <v/>
      </c>
      <c r="BH24" s="75">
        <f>$C24*INDEX(Curves!$AB$8:$AB$68,BH$4-$B24+1)</f>
        <v/>
      </c>
      <c r="BI24" s="75">
        <f>$C24*INDEX(Curves!$AB$8:$AB$68,BI$4-$B24+1)</f>
        <v/>
      </c>
      <c r="BJ24" s="75">
        <f>$C24*INDEX(Curves!$AB$8:$AB$68,BJ$4-$B24+1)</f>
        <v/>
      </c>
      <c r="BK24" s="75">
        <f>$C24*INDEX(Curves!$AB$8:$AB$68,BK$4-$B24+1)</f>
        <v/>
      </c>
      <c r="BL24" s="75">
        <f>$C24*INDEX(Curves!$AB$8:$AB$68,BL$4-$B24+1)</f>
        <v/>
      </c>
    </row>
    <row r="25">
      <c r="A25" s="74" t="inlineStr">
        <is>
          <t>Cohort month 16</t>
        </is>
      </c>
      <c r="B25" s="74" t="n">
        <v>16</v>
      </c>
      <c r="C25" s="17">
        <f>INDEX(Ops!$E$60:$BL$60,1,$B25)</f>
        <v/>
      </c>
      <c r="U25" s="75">
        <f>$C25*INDEX(Curves!$AB$8:$AB$68,U$4-$B25+1)</f>
        <v/>
      </c>
      <c r="V25" s="75">
        <f>$C25*INDEX(Curves!$AB$8:$AB$68,V$4-$B25+1)</f>
        <v/>
      </c>
      <c r="W25" s="75">
        <f>$C25*INDEX(Curves!$AB$8:$AB$68,W$4-$B25+1)</f>
        <v/>
      </c>
      <c r="X25" s="75">
        <f>$C25*INDEX(Curves!$AB$8:$AB$68,X$4-$B25+1)</f>
        <v/>
      </c>
      <c r="Y25" s="75">
        <f>$C25*INDEX(Curves!$AB$8:$AB$68,Y$4-$B25+1)</f>
        <v/>
      </c>
      <c r="Z25" s="75">
        <f>$C25*INDEX(Curves!$AB$8:$AB$68,Z$4-$B25+1)</f>
        <v/>
      </c>
      <c r="AA25" s="75">
        <f>$C25*INDEX(Curves!$AB$8:$AB$68,AA$4-$B25+1)</f>
        <v/>
      </c>
      <c r="AB25" s="75">
        <f>$C25*INDEX(Curves!$AB$8:$AB$68,AB$4-$B25+1)</f>
        <v/>
      </c>
      <c r="AC25" s="75">
        <f>$C25*INDEX(Curves!$AB$8:$AB$68,AC$4-$B25+1)</f>
        <v/>
      </c>
      <c r="AD25" s="75">
        <f>$C25*INDEX(Curves!$AB$8:$AB$68,AD$4-$B25+1)</f>
        <v/>
      </c>
      <c r="AE25" s="75">
        <f>$C25*INDEX(Curves!$AB$8:$AB$68,AE$4-$B25+1)</f>
        <v/>
      </c>
      <c r="AF25" s="75">
        <f>$C25*INDEX(Curves!$AB$8:$AB$68,AF$4-$B25+1)</f>
        <v/>
      </c>
      <c r="AG25" s="75">
        <f>$C25*INDEX(Curves!$AB$8:$AB$68,AG$4-$B25+1)</f>
        <v/>
      </c>
      <c r="AH25" s="75">
        <f>$C25*INDEX(Curves!$AB$8:$AB$68,AH$4-$B25+1)</f>
        <v/>
      </c>
      <c r="AI25" s="75">
        <f>$C25*INDEX(Curves!$AB$8:$AB$68,AI$4-$B25+1)</f>
        <v/>
      </c>
      <c r="AJ25" s="75">
        <f>$C25*INDEX(Curves!$AB$8:$AB$68,AJ$4-$B25+1)</f>
        <v/>
      </c>
      <c r="AK25" s="75">
        <f>$C25*INDEX(Curves!$AB$8:$AB$68,AK$4-$B25+1)</f>
        <v/>
      </c>
      <c r="AL25" s="75">
        <f>$C25*INDEX(Curves!$AB$8:$AB$68,AL$4-$B25+1)</f>
        <v/>
      </c>
      <c r="AM25" s="75">
        <f>$C25*INDEX(Curves!$AB$8:$AB$68,AM$4-$B25+1)</f>
        <v/>
      </c>
      <c r="AN25" s="75">
        <f>$C25*INDEX(Curves!$AB$8:$AB$68,AN$4-$B25+1)</f>
        <v/>
      </c>
      <c r="AO25" s="75">
        <f>$C25*INDEX(Curves!$AB$8:$AB$68,AO$4-$B25+1)</f>
        <v/>
      </c>
      <c r="AP25" s="75">
        <f>$C25*INDEX(Curves!$AB$8:$AB$68,AP$4-$B25+1)</f>
        <v/>
      </c>
      <c r="AQ25" s="75">
        <f>$C25*INDEX(Curves!$AB$8:$AB$68,AQ$4-$B25+1)</f>
        <v/>
      </c>
      <c r="AR25" s="75">
        <f>$C25*INDEX(Curves!$AB$8:$AB$68,AR$4-$B25+1)</f>
        <v/>
      </c>
      <c r="AS25" s="75">
        <f>$C25*INDEX(Curves!$AB$8:$AB$68,AS$4-$B25+1)</f>
        <v/>
      </c>
      <c r="AT25" s="75">
        <f>$C25*INDEX(Curves!$AB$8:$AB$68,AT$4-$B25+1)</f>
        <v/>
      </c>
      <c r="AU25" s="75">
        <f>$C25*INDEX(Curves!$AB$8:$AB$68,AU$4-$B25+1)</f>
        <v/>
      </c>
      <c r="AV25" s="75">
        <f>$C25*INDEX(Curves!$AB$8:$AB$68,AV$4-$B25+1)</f>
        <v/>
      </c>
      <c r="AW25" s="75">
        <f>$C25*INDEX(Curves!$AB$8:$AB$68,AW$4-$B25+1)</f>
        <v/>
      </c>
      <c r="AX25" s="75">
        <f>$C25*INDEX(Curves!$AB$8:$AB$68,AX$4-$B25+1)</f>
        <v/>
      </c>
      <c r="AY25" s="75">
        <f>$C25*INDEX(Curves!$AB$8:$AB$68,AY$4-$B25+1)</f>
        <v/>
      </c>
      <c r="AZ25" s="75">
        <f>$C25*INDEX(Curves!$AB$8:$AB$68,AZ$4-$B25+1)</f>
        <v/>
      </c>
      <c r="BA25" s="75">
        <f>$C25*INDEX(Curves!$AB$8:$AB$68,BA$4-$B25+1)</f>
        <v/>
      </c>
      <c r="BB25" s="75">
        <f>$C25*INDEX(Curves!$AB$8:$AB$68,BB$4-$B25+1)</f>
        <v/>
      </c>
      <c r="BC25" s="75">
        <f>$C25*INDEX(Curves!$AB$8:$AB$68,BC$4-$B25+1)</f>
        <v/>
      </c>
      <c r="BD25" s="75">
        <f>$C25*INDEX(Curves!$AB$8:$AB$68,BD$4-$B25+1)</f>
        <v/>
      </c>
      <c r="BE25" s="75">
        <f>$C25*INDEX(Curves!$AB$8:$AB$68,BE$4-$B25+1)</f>
        <v/>
      </c>
      <c r="BF25" s="75">
        <f>$C25*INDEX(Curves!$AB$8:$AB$68,BF$4-$B25+1)</f>
        <v/>
      </c>
      <c r="BG25" s="75">
        <f>$C25*INDEX(Curves!$AB$8:$AB$68,BG$4-$B25+1)</f>
        <v/>
      </c>
      <c r="BH25" s="75">
        <f>$C25*INDEX(Curves!$AB$8:$AB$68,BH$4-$B25+1)</f>
        <v/>
      </c>
      <c r="BI25" s="75">
        <f>$C25*INDEX(Curves!$AB$8:$AB$68,BI$4-$B25+1)</f>
        <v/>
      </c>
      <c r="BJ25" s="75">
        <f>$C25*INDEX(Curves!$AB$8:$AB$68,BJ$4-$B25+1)</f>
        <v/>
      </c>
      <c r="BK25" s="75">
        <f>$C25*INDEX(Curves!$AB$8:$AB$68,BK$4-$B25+1)</f>
        <v/>
      </c>
      <c r="BL25" s="75">
        <f>$C25*INDEX(Curves!$AB$8:$AB$68,BL$4-$B25+1)</f>
        <v/>
      </c>
    </row>
    <row r="26">
      <c r="A26" s="74" t="inlineStr">
        <is>
          <t>Cohort month 17</t>
        </is>
      </c>
      <c r="B26" s="74" t="n">
        <v>17</v>
      </c>
      <c r="C26" s="17">
        <f>INDEX(Ops!$E$60:$BL$60,1,$B26)</f>
        <v/>
      </c>
      <c r="V26" s="75">
        <f>$C26*INDEX(Curves!$AB$8:$AB$68,V$4-$B26+1)</f>
        <v/>
      </c>
      <c r="W26" s="75">
        <f>$C26*INDEX(Curves!$AB$8:$AB$68,W$4-$B26+1)</f>
        <v/>
      </c>
      <c r="X26" s="75">
        <f>$C26*INDEX(Curves!$AB$8:$AB$68,X$4-$B26+1)</f>
        <v/>
      </c>
      <c r="Y26" s="75">
        <f>$C26*INDEX(Curves!$AB$8:$AB$68,Y$4-$B26+1)</f>
        <v/>
      </c>
      <c r="Z26" s="75">
        <f>$C26*INDEX(Curves!$AB$8:$AB$68,Z$4-$B26+1)</f>
        <v/>
      </c>
      <c r="AA26" s="75">
        <f>$C26*INDEX(Curves!$AB$8:$AB$68,AA$4-$B26+1)</f>
        <v/>
      </c>
      <c r="AB26" s="75">
        <f>$C26*INDEX(Curves!$AB$8:$AB$68,AB$4-$B26+1)</f>
        <v/>
      </c>
      <c r="AC26" s="75">
        <f>$C26*INDEX(Curves!$AB$8:$AB$68,AC$4-$B26+1)</f>
        <v/>
      </c>
      <c r="AD26" s="75">
        <f>$C26*INDEX(Curves!$AB$8:$AB$68,AD$4-$B26+1)</f>
        <v/>
      </c>
      <c r="AE26" s="75">
        <f>$C26*INDEX(Curves!$AB$8:$AB$68,AE$4-$B26+1)</f>
        <v/>
      </c>
      <c r="AF26" s="75">
        <f>$C26*INDEX(Curves!$AB$8:$AB$68,AF$4-$B26+1)</f>
        <v/>
      </c>
      <c r="AG26" s="75">
        <f>$C26*INDEX(Curves!$AB$8:$AB$68,AG$4-$B26+1)</f>
        <v/>
      </c>
      <c r="AH26" s="75">
        <f>$C26*INDEX(Curves!$AB$8:$AB$68,AH$4-$B26+1)</f>
        <v/>
      </c>
      <c r="AI26" s="75">
        <f>$C26*INDEX(Curves!$AB$8:$AB$68,AI$4-$B26+1)</f>
        <v/>
      </c>
      <c r="AJ26" s="75">
        <f>$C26*INDEX(Curves!$AB$8:$AB$68,AJ$4-$B26+1)</f>
        <v/>
      </c>
      <c r="AK26" s="75">
        <f>$C26*INDEX(Curves!$AB$8:$AB$68,AK$4-$B26+1)</f>
        <v/>
      </c>
      <c r="AL26" s="75">
        <f>$C26*INDEX(Curves!$AB$8:$AB$68,AL$4-$B26+1)</f>
        <v/>
      </c>
      <c r="AM26" s="75">
        <f>$C26*INDEX(Curves!$AB$8:$AB$68,AM$4-$B26+1)</f>
        <v/>
      </c>
      <c r="AN26" s="75">
        <f>$C26*INDEX(Curves!$AB$8:$AB$68,AN$4-$B26+1)</f>
        <v/>
      </c>
      <c r="AO26" s="75">
        <f>$C26*INDEX(Curves!$AB$8:$AB$68,AO$4-$B26+1)</f>
        <v/>
      </c>
      <c r="AP26" s="75">
        <f>$C26*INDEX(Curves!$AB$8:$AB$68,AP$4-$B26+1)</f>
        <v/>
      </c>
      <c r="AQ26" s="75">
        <f>$C26*INDEX(Curves!$AB$8:$AB$68,AQ$4-$B26+1)</f>
        <v/>
      </c>
      <c r="AR26" s="75">
        <f>$C26*INDEX(Curves!$AB$8:$AB$68,AR$4-$B26+1)</f>
        <v/>
      </c>
      <c r="AS26" s="75">
        <f>$C26*INDEX(Curves!$AB$8:$AB$68,AS$4-$B26+1)</f>
        <v/>
      </c>
      <c r="AT26" s="75">
        <f>$C26*INDEX(Curves!$AB$8:$AB$68,AT$4-$B26+1)</f>
        <v/>
      </c>
      <c r="AU26" s="75">
        <f>$C26*INDEX(Curves!$AB$8:$AB$68,AU$4-$B26+1)</f>
        <v/>
      </c>
      <c r="AV26" s="75">
        <f>$C26*INDEX(Curves!$AB$8:$AB$68,AV$4-$B26+1)</f>
        <v/>
      </c>
      <c r="AW26" s="75">
        <f>$C26*INDEX(Curves!$AB$8:$AB$68,AW$4-$B26+1)</f>
        <v/>
      </c>
      <c r="AX26" s="75">
        <f>$C26*INDEX(Curves!$AB$8:$AB$68,AX$4-$B26+1)</f>
        <v/>
      </c>
      <c r="AY26" s="75">
        <f>$C26*INDEX(Curves!$AB$8:$AB$68,AY$4-$B26+1)</f>
        <v/>
      </c>
      <c r="AZ26" s="75">
        <f>$C26*INDEX(Curves!$AB$8:$AB$68,AZ$4-$B26+1)</f>
        <v/>
      </c>
      <c r="BA26" s="75">
        <f>$C26*INDEX(Curves!$AB$8:$AB$68,BA$4-$B26+1)</f>
        <v/>
      </c>
      <c r="BB26" s="75">
        <f>$C26*INDEX(Curves!$AB$8:$AB$68,BB$4-$B26+1)</f>
        <v/>
      </c>
      <c r="BC26" s="75">
        <f>$C26*INDEX(Curves!$AB$8:$AB$68,BC$4-$B26+1)</f>
        <v/>
      </c>
      <c r="BD26" s="75">
        <f>$C26*INDEX(Curves!$AB$8:$AB$68,BD$4-$B26+1)</f>
        <v/>
      </c>
      <c r="BE26" s="75">
        <f>$C26*INDEX(Curves!$AB$8:$AB$68,BE$4-$B26+1)</f>
        <v/>
      </c>
      <c r="BF26" s="75">
        <f>$C26*INDEX(Curves!$AB$8:$AB$68,BF$4-$B26+1)</f>
        <v/>
      </c>
      <c r="BG26" s="75">
        <f>$C26*INDEX(Curves!$AB$8:$AB$68,BG$4-$B26+1)</f>
        <v/>
      </c>
      <c r="BH26" s="75">
        <f>$C26*INDEX(Curves!$AB$8:$AB$68,BH$4-$B26+1)</f>
        <v/>
      </c>
      <c r="BI26" s="75">
        <f>$C26*INDEX(Curves!$AB$8:$AB$68,BI$4-$B26+1)</f>
        <v/>
      </c>
      <c r="BJ26" s="75">
        <f>$C26*INDEX(Curves!$AB$8:$AB$68,BJ$4-$B26+1)</f>
        <v/>
      </c>
      <c r="BK26" s="75">
        <f>$C26*INDEX(Curves!$AB$8:$AB$68,BK$4-$B26+1)</f>
        <v/>
      </c>
      <c r="BL26" s="75">
        <f>$C26*INDEX(Curves!$AB$8:$AB$68,BL$4-$B26+1)</f>
        <v/>
      </c>
    </row>
    <row r="27">
      <c r="A27" s="74" t="inlineStr">
        <is>
          <t>Cohort month 18</t>
        </is>
      </c>
      <c r="B27" s="74" t="n">
        <v>18</v>
      </c>
      <c r="C27" s="17">
        <f>INDEX(Ops!$E$60:$BL$60,1,$B27)</f>
        <v/>
      </c>
      <c r="W27" s="75">
        <f>$C27*INDEX(Curves!$AB$8:$AB$68,W$4-$B27+1)</f>
        <v/>
      </c>
      <c r="X27" s="75">
        <f>$C27*INDEX(Curves!$AB$8:$AB$68,X$4-$B27+1)</f>
        <v/>
      </c>
      <c r="Y27" s="75">
        <f>$C27*INDEX(Curves!$AB$8:$AB$68,Y$4-$B27+1)</f>
        <v/>
      </c>
      <c r="Z27" s="75">
        <f>$C27*INDEX(Curves!$AB$8:$AB$68,Z$4-$B27+1)</f>
        <v/>
      </c>
      <c r="AA27" s="75">
        <f>$C27*INDEX(Curves!$AB$8:$AB$68,AA$4-$B27+1)</f>
        <v/>
      </c>
      <c r="AB27" s="75">
        <f>$C27*INDEX(Curves!$AB$8:$AB$68,AB$4-$B27+1)</f>
        <v/>
      </c>
      <c r="AC27" s="75">
        <f>$C27*INDEX(Curves!$AB$8:$AB$68,AC$4-$B27+1)</f>
        <v/>
      </c>
      <c r="AD27" s="75">
        <f>$C27*INDEX(Curves!$AB$8:$AB$68,AD$4-$B27+1)</f>
        <v/>
      </c>
      <c r="AE27" s="75">
        <f>$C27*INDEX(Curves!$AB$8:$AB$68,AE$4-$B27+1)</f>
        <v/>
      </c>
      <c r="AF27" s="75">
        <f>$C27*INDEX(Curves!$AB$8:$AB$68,AF$4-$B27+1)</f>
        <v/>
      </c>
      <c r="AG27" s="75">
        <f>$C27*INDEX(Curves!$AB$8:$AB$68,AG$4-$B27+1)</f>
        <v/>
      </c>
      <c r="AH27" s="75">
        <f>$C27*INDEX(Curves!$AB$8:$AB$68,AH$4-$B27+1)</f>
        <v/>
      </c>
      <c r="AI27" s="75">
        <f>$C27*INDEX(Curves!$AB$8:$AB$68,AI$4-$B27+1)</f>
        <v/>
      </c>
      <c r="AJ27" s="75">
        <f>$C27*INDEX(Curves!$AB$8:$AB$68,AJ$4-$B27+1)</f>
        <v/>
      </c>
      <c r="AK27" s="75">
        <f>$C27*INDEX(Curves!$AB$8:$AB$68,AK$4-$B27+1)</f>
        <v/>
      </c>
      <c r="AL27" s="75">
        <f>$C27*INDEX(Curves!$AB$8:$AB$68,AL$4-$B27+1)</f>
        <v/>
      </c>
      <c r="AM27" s="75">
        <f>$C27*INDEX(Curves!$AB$8:$AB$68,AM$4-$B27+1)</f>
        <v/>
      </c>
      <c r="AN27" s="75">
        <f>$C27*INDEX(Curves!$AB$8:$AB$68,AN$4-$B27+1)</f>
        <v/>
      </c>
      <c r="AO27" s="75">
        <f>$C27*INDEX(Curves!$AB$8:$AB$68,AO$4-$B27+1)</f>
        <v/>
      </c>
      <c r="AP27" s="75">
        <f>$C27*INDEX(Curves!$AB$8:$AB$68,AP$4-$B27+1)</f>
        <v/>
      </c>
      <c r="AQ27" s="75">
        <f>$C27*INDEX(Curves!$AB$8:$AB$68,AQ$4-$B27+1)</f>
        <v/>
      </c>
      <c r="AR27" s="75">
        <f>$C27*INDEX(Curves!$AB$8:$AB$68,AR$4-$B27+1)</f>
        <v/>
      </c>
      <c r="AS27" s="75">
        <f>$C27*INDEX(Curves!$AB$8:$AB$68,AS$4-$B27+1)</f>
        <v/>
      </c>
      <c r="AT27" s="75">
        <f>$C27*INDEX(Curves!$AB$8:$AB$68,AT$4-$B27+1)</f>
        <v/>
      </c>
      <c r="AU27" s="75">
        <f>$C27*INDEX(Curves!$AB$8:$AB$68,AU$4-$B27+1)</f>
        <v/>
      </c>
      <c r="AV27" s="75">
        <f>$C27*INDEX(Curves!$AB$8:$AB$68,AV$4-$B27+1)</f>
        <v/>
      </c>
      <c r="AW27" s="75">
        <f>$C27*INDEX(Curves!$AB$8:$AB$68,AW$4-$B27+1)</f>
        <v/>
      </c>
      <c r="AX27" s="75">
        <f>$C27*INDEX(Curves!$AB$8:$AB$68,AX$4-$B27+1)</f>
        <v/>
      </c>
      <c r="AY27" s="75">
        <f>$C27*INDEX(Curves!$AB$8:$AB$68,AY$4-$B27+1)</f>
        <v/>
      </c>
      <c r="AZ27" s="75">
        <f>$C27*INDEX(Curves!$AB$8:$AB$68,AZ$4-$B27+1)</f>
        <v/>
      </c>
      <c r="BA27" s="75">
        <f>$C27*INDEX(Curves!$AB$8:$AB$68,BA$4-$B27+1)</f>
        <v/>
      </c>
      <c r="BB27" s="75">
        <f>$C27*INDEX(Curves!$AB$8:$AB$68,BB$4-$B27+1)</f>
        <v/>
      </c>
      <c r="BC27" s="75">
        <f>$C27*INDEX(Curves!$AB$8:$AB$68,BC$4-$B27+1)</f>
        <v/>
      </c>
      <c r="BD27" s="75">
        <f>$C27*INDEX(Curves!$AB$8:$AB$68,BD$4-$B27+1)</f>
        <v/>
      </c>
      <c r="BE27" s="75">
        <f>$C27*INDEX(Curves!$AB$8:$AB$68,BE$4-$B27+1)</f>
        <v/>
      </c>
      <c r="BF27" s="75">
        <f>$C27*INDEX(Curves!$AB$8:$AB$68,BF$4-$B27+1)</f>
        <v/>
      </c>
      <c r="BG27" s="75">
        <f>$C27*INDEX(Curves!$AB$8:$AB$68,BG$4-$B27+1)</f>
        <v/>
      </c>
      <c r="BH27" s="75">
        <f>$C27*INDEX(Curves!$AB$8:$AB$68,BH$4-$B27+1)</f>
        <v/>
      </c>
      <c r="BI27" s="75">
        <f>$C27*INDEX(Curves!$AB$8:$AB$68,BI$4-$B27+1)</f>
        <v/>
      </c>
      <c r="BJ27" s="75">
        <f>$C27*INDEX(Curves!$AB$8:$AB$68,BJ$4-$B27+1)</f>
        <v/>
      </c>
      <c r="BK27" s="75">
        <f>$C27*INDEX(Curves!$AB$8:$AB$68,BK$4-$B27+1)</f>
        <v/>
      </c>
      <c r="BL27" s="75">
        <f>$C27*INDEX(Curves!$AB$8:$AB$68,BL$4-$B27+1)</f>
        <v/>
      </c>
    </row>
    <row r="28">
      <c r="A28" s="74" t="inlineStr">
        <is>
          <t>Cohort month 19</t>
        </is>
      </c>
      <c r="B28" s="74" t="n">
        <v>19</v>
      </c>
      <c r="C28" s="17">
        <f>INDEX(Ops!$E$60:$BL$60,1,$B28)</f>
        <v/>
      </c>
      <c r="X28" s="75">
        <f>$C28*INDEX(Curves!$AB$8:$AB$68,X$4-$B28+1)</f>
        <v/>
      </c>
      <c r="Y28" s="75">
        <f>$C28*INDEX(Curves!$AB$8:$AB$68,Y$4-$B28+1)</f>
        <v/>
      </c>
      <c r="Z28" s="75">
        <f>$C28*INDEX(Curves!$AB$8:$AB$68,Z$4-$B28+1)</f>
        <v/>
      </c>
      <c r="AA28" s="75">
        <f>$C28*INDEX(Curves!$AB$8:$AB$68,AA$4-$B28+1)</f>
        <v/>
      </c>
      <c r="AB28" s="75">
        <f>$C28*INDEX(Curves!$AB$8:$AB$68,AB$4-$B28+1)</f>
        <v/>
      </c>
      <c r="AC28" s="75">
        <f>$C28*INDEX(Curves!$AB$8:$AB$68,AC$4-$B28+1)</f>
        <v/>
      </c>
      <c r="AD28" s="75">
        <f>$C28*INDEX(Curves!$AB$8:$AB$68,AD$4-$B28+1)</f>
        <v/>
      </c>
      <c r="AE28" s="75">
        <f>$C28*INDEX(Curves!$AB$8:$AB$68,AE$4-$B28+1)</f>
        <v/>
      </c>
      <c r="AF28" s="75">
        <f>$C28*INDEX(Curves!$AB$8:$AB$68,AF$4-$B28+1)</f>
        <v/>
      </c>
      <c r="AG28" s="75">
        <f>$C28*INDEX(Curves!$AB$8:$AB$68,AG$4-$B28+1)</f>
        <v/>
      </c>
      <c r="AH28" s="75">
        <f>$C28*INDEX(Curves!$AB$8:$AB$68,AH$4-$B28+1)</f>
        <v/>
      </c>
      <c r="AI28" s="75">
        <f>$C28*INDEX(Curves!$AB$8:$AB$68,AI$4-$B28+1)</f>
        <v/>
      </c>
      <c r="AJ28" s="75">
        <f>$C28*INDEX(Curves!$AB$8:$AB$68,AJ$4-$B28+1)</f>
        <v/>
      </c>
      <c r="AK28" s="75">
        <f>$C28*INDEX(Curves!$AB$8:$AB$68,AK$4-$B28+1)</f>
        <v/>
      </c>
      <c r="AL28" s="75">
        <f>$C28*INDEX(Curves!$AB$8:$AB$68,AL$4-$B28+1)</f>
        <v/>
      </c>
      <c r="AM28" s="75">
        <f>$C28*INDEX(Curves!$AB$8:$AB$68,AM$4-$B28+1)</f>
        <v/>
      </c>
      <c r="AN28" s="75">
        <f>$C28*INDEX(Curves!$AB$8:$AB$68,AN$4-$B28+1)</f>
        <v/>
      </c>
      <c r="AO28" s="75">
        <f>$C28*INDEX(Curves!$AB$8:$AB$68,AO$4-$B28+1)</f>
        <v/>
      </c>
      <c r="AP28" s="75">
        <f>$C28*INDEX(Curves!$AB$8:$AB$68,AP$4-$B28+1)</f>
        <v/>
      </c>
      <c r="AQ28" s="75">
        <f>$C28*INDEX(Curves!$AB$8:$AB$68,AQ$4-$B28+1)</f>
        <v/>
      </c>
      <c r="AR28" s="75">
        <f>$C28*INDEX(Curves!$AB$8:$AB$68,AR$4-$B28+1)</f>
        <v/>
      </c>
      <c r="AS28" s="75">
        <f>$C28*INDEX(Curves!$AB$8:$AB$68,AS$4-$B28+1)</f>
        <v/>
      </c>
      <c r="AT28" s="75">
        <f>$C28*INDEX(Curves!$AB$8:$AB$68,AT$4-$B28+1)</f>
        <v/>
      </c>
      <c r="AU28" s="75">
        <f>$C28*INDEX(Curves!$AB$8:$AB$68,AU$4-$B28+1)</f>
        <v/>
      </c>
      <c r="AV28" s="75">
        <f>$C28*INDEX(Curves!$AB$8:$AB$68,AV$4-$B28+1)</f>
        <v/>
      </c>
      <c r="AW28" s="75">
        <f>$C28*INDEX(Curves!$AB$8:$AB$68,AW$4-$B28+1)</f>
        <v/>
      </c>
      <c r="AX28" s="75">
        <f>$C28*INDEX(Curves!$AB$8:$AB$68,AX$4-$B28+1)</f>
        <v/>
      </c>
      <c r="AY28" s="75">
        <f>$C28*INDEX(Curves!$AB$8:$AB$68,AY$4-$B28+1)</f>
        <v/>
      </c>
      <c r="AZ28" s="75">
        <f>$C28*INDEX(Curves!$AB$8:$AB$68,AZ$4-$B28+1)</f>
        <v/>
      </c>
      <c r="BA28" s="75">
        <f>$C28*INDEX(Curves!$AB$8:$AB$68,BA$4-$B28+1)</f>
        <v/>
      </c>
      <c r="BB28" s="75">
        <f>$C28*INDEX(Curves!$AB$8:$AB$68,BB$4-$B28+1)</f>
        <v/>
      </c>
      <c r="BC28" s="75">
        <f>$C28*INDEX(Curves!$AB$8:$AB$68,BC$4-$B28+1)</f>
        <v/>
      </c>
      <c r="BD28" s="75">
        <f>$C28*INDEX(Curves!$AB$8:$AB$68,BD$4-$B28+1)</f>
        <v/>
      </c>
      <c r="BE28" s="75">
        <f>$C28*INDEX(Curves!$AB$8:$AB$68,BE$4-$B28+1)</f>
        <v/>
      </c>
      <c r="BF28" s="75">
        <f>$C28*INDEX(Curves!$AB$8:$AB$68,BF$4-$B28+1)</f>
        <v/>
      </c>
      <c r="BG28" s="75">
        <f>$C28*INDEX(Curves!$AB$8:$AB$68,BG$4-$B28+1)</f>
        <v/>
      </c>
      <c r="BH28" s="75">
        <f>$C28*INDEX(Curves!$AB$8:$AB$68,BH$4-$B28+1)</f>
        <v/>
      </c>
      <c r="BI28" s="75">
        <f>$C28*INDEX(Curves!$AB$8:$AB$68,BI$4-$B28+1)</f>
        <v/>
      </c>
      <c r="BJ28" s="75">
        <f>$C28*INDEX(Curves!$AB$8:$AB$68,BJ$4-$B28+1)</f>
        <v/>
      </c>
      <c r="BK28" s="75">
        <f>$C28*INDEX(Curves!$AB$8:$AB$68,BK$4-$B28+1)</f>
        <v/>
      </c>
      <c r="BL28" s="75">
        <f>$C28*INDEX(Curves!$AB$8:$AB$68,BL$4-$B28+1)</f>
        <v/>
      </c>
    </row>
    <row r="29">
      <c r="A29" s="74" t="inlineStr">
        <is>
          <t>Cohort month 20</t>
        </is>
      </c>
      <c r="B29" s="74" t="n">
        <v>20</v>
      </c>
      <c r="C29" s="17">
        <f>INDEX(Ops!$E$60:$BL$60,1,$B29)</f>
        <v/>
      </c>
      <c r="Y29" s="75">
        <f>$C29*INDEX(Curves!$AB$8:$AB$68,Y$4-$B29+1)</f>
        <v/>
      </c>
      <c r="Z29" s="75">
        <f>$C29*INDEX(Curves!$AB$8:$AB$68,Z$4-$B29+1)</f>
        <v/>
      </c>
      <c r="AA29" s="75">
        <f>$C29*INDEX(Curves!$AB$8:$AB$68,AA$4-$B29+1)</f>
        <v/>
      </c>
      <c r="AB29" s="75">
        <f>$C29*INDEX(Curves!$AB$8:$AB$68,AB$4-$B29+1)</f>
        <v/>
      </c>
      <c r="AC29" s="75">
        <f>$C29*INDEX(Curves!$AB$8:$AB$68,AC$4-$B29+1)</f>
        <v/>
      </c>
      <c r="AD29" s="75">
        <f>$C29*INDEX(Curves!$AB$8:$AB$68,AD$4-$B29+1)</f>
        <v/>
      </c>
      <c r="AE29" s="75">
        <f>$C29*INDEX(Curves!$AB$8:$AB$68,AE$4-$B29+1)</f>
        <v/>
      </c>
      <c r="AF29" s="75">
        <f>$C29*INDEX(Curves!$AB$8:$AB$68,AF$4-$B29+1)</f>
        <v/>
      </c>
      <c r="AG29" s="75">
        <f>$C29*INDEX(Curves!$AB$8:$AB$68,AG$4-$B29+1)</f>
        <v/>
      </c>
      <c r="AH29" s="75">
        <f>$C29*INDEX(Curves!$AB$8:$AB$68,AH$4-$B29+1)</f>
        <v/>
      </c>
      <c r="AI29" s="75">
        <f>$C29*INDEX(Curves!$AB$8:$AB$68,AI$4-$B29+1)</f>
        <v/>
      </c>
      <c r="AJ29" s="75">
        <f>$C29*INDEX(Curves!$AB$8:$AB$68,AJ$4-$B29+1)</f>
        <v/>
      </c>
      <c r="AK29" s="75">
        <f>$C29*INDEX(Curves!$AB$8:$AB$68,AK$4-$B29+1)</f>
        <v/>
      </c>
      <c r="AL29" s="75">
        <f>$C29*INDEX(Curves!$AB$8:$AB$68,AL$4-$B29+1)</f>
        <v/>
      </c>
      <c r="AM29" s="75">
        <f>$C29*INDEX(Curves!$AB$8:$AB$68,AM$4-$B29+1)</f>
        <v/>
      </c>
      <c r="AN29" s="75">
        <f>$C29*INDEX(Curves!$AB$8:$AB$68,AN$4-$B29+1)</f>
        <v/>
      </c>
      <c r="AO29" s="75">
        <f>$C29*INDEX(Curves!$AB$8:$AB$68,AO$4-$B29+1)</f>
        <v/>
      </c>
      <c r="AP29" s="75">
        <f>$C29*INDEX(Curves!$AB$8:$AB$68,AP$4-$B29+1)</f>
        <v/>
      </c>
      <c r="AQ29" s="75">
        <f>$C29*INDEX(Curves!$AB$8:$AB$68,AQ$4-$B29+1)</f>
        <v/>
      </c>
      <c r="AR29" s="75">
        <f>$C29*INDEX(Curves!$AB$8:$AB$68,AR$4-$B29+1)</f>
        <v/>
      </c>
      <c r="AS29" s="75">
        <f>$C29*INDEX(Curves!$AB$8:$AB$68,AS$4-$B29+1)</f>
        <v/>
      </c>
      <c r="AT29" s="75">
        <f>$C29*INDEX(Curves!$AB$8:$AB$68,AT$4-$B29+1)</f>
        <v/>
      </c>
      <c r="AU29" s="75">
        <f>$C29*INDEX(Curves!$AB$8:$AB$68,AU$4-$B29+1)</f>
        <v/>
      </c>
      <c r="AV29" s="75">
        <f>$C29*INDEX(Curves!$AB$8:$AB$68,AV$4-$B29+1)</f>
        <v/>
      </c>
      <c r="AW29" s="75">
        <f>$C29*INDEX(Curves!$AB$8:$AB$68,AW$4-$B29+1)</f>
        <v/>
      </c>
      <c r="AX29" s="75">
        <f>$C29*INDEX(Curves!$AB$8:$AB$68,AX$4-$B29+1)</f>
        <v/>
      </c>
      <c r="AY29" s="75">
        <f>$C29*INDEX(Curves!$AB$8:$AB$68,AY$4-$B29+1)</f>
        <v/>
      </c>
      <c r="AZ29" s="75">
        <f>$C29*INDEX(Curves!$AB$8:$AB$68,AZ$4-$B29+1)</f>
        <v/>
      </c>
      <c r="BA29" s="75">
        <f>$C29*INDEX(Curves!$AB$8:$AB$68,BA$4-$B29+1)</f>
        <v/>
      </c>
      <c r="BB29" s="75">
        <f>$C29*INDEX(Curves!$AB$8:$AB$68,BB$4-$B29+1)</f>
        <v/>
      </c>
      <c r="BC29" s="75">
        <f>$C29*INDEX(Curves!$AB$8:$AB$68,BC$4-$B29+1)</f>
        <v/>
      </c>
      <c r="BD29" s="75">
        <f>$C29*INDEX(Curves!$AB$8:$AB$68,BD$4-$B29+1)</f>
        <v/>
      </c>
      <c r="BE29" s="75">
        <f>$C29*INDEX(Curves!$AB$8:$AB$68,BE$4-$B29+1)</f>
        <v/>
      </c>
      <c r="BF29" s="75">
        <f>$C29*INDEX(Curves!$AB$8:$AB$68,BF$4-$B29+1)</f>
        <v/>
      </c>
      <c r="BG29" s="75">
        <f>$C29*INDEX(Curves!$AB$8:$AB$68,BG$4-$B29+1)</f>
        <v/>
      </c>
      <c r="BH29" s="75">
        <f>$C29*INDEX(Curves!$AB$8:$AB$68,BH$4-$B29+1)</f>
        <v/>
      </c>
      <c r="BI29" s="75">
        <f>$C29*INDEX(Curves!$AB$8:$AB$68,BI$4-$B29+1)</f>
        <v/>
      </c>
      <c r="BJ29" s="75">
        <f>$C29*INDEX(Curves!$AB$8:$AB$68,BJ$4-$B29+1)</f>
        <v/>
      </c>
      <c r="BK29" s="75">
        <f>$C29*INDEX(Curves!$AB$8:$AB$68,BK$4-$B29+1)</f>
        <v/>
      </c>
      <c r="BL29" s="75">
        <f>$C29*INDEX(Curves!$AB$8:$AB$68,BL$4-$B29+1)</f>
        <v/>
      </c>
    </row>
    <row r="30">
      <c r="A30" s="74" t="inlineStr">
        <is>
          <t>Cohort month 21</t>
        </is>
      </c>
      <c r="B30" s="74" t="n">
        <v>21</v>
      </c>
      <c r="C30" s="17">
        <f>INDEX(Ops!$E$60:$BL$60,1,$B30)</f>
        <v/>
      </c>
      <c r="Z30" s="75">
        <f>$C30*INDEX(Curves!$AB$8:$AB$68,Z$4-$B30+1)</f>
        <v/>
      </c>
      <c r="AA30" s="75">
        <f>$C30*INDEX(Curves!$AB$8:$AB$68,AA$4-$B30+1)</f>
        <v/>
      </c>
      <c r="AB30" s="75">
        <f>$C30*INDEX(Curves!$AB$8:$AB$68,AB$4-$B30+1)</f>
        <v/>
      </c>
      <c r="AC30" s="75">
        <f>$C30*INDEX(Curves!$AB$8:$AB$68,AC$4-$B30+1)</f>
        <v/>
      </c>
      <c r="AD30" s="75">
        <f>$C30*INDEX(Curves!$AB$8:$AB$68,AD$4-$B30+1)</f>
        <v/>
      </c>
      <c r="AE30" s="75">
        <f>$C30*INDEX(Curves!$AB$8:$AB$68,AE$4-$B30+1)</f>
        <v/>
      </c>
      <c r="AF30" s="75">
        <f>$C30*INDEX(Curves!$AB$8:$AB$68,AF$4-$B30+1)</f>
        <v/>
      </c>
      <c r="AG30" s="75">
        <f>$C30*INDEX(Curves!$AB$8:$AB$68,AG$4-$B30+1)</f>
        <v/>
      </c>
      <c r="AH30" s="75">
        <f>$C30*INDEX(Curves!$AB$8:$AB$68,AH$4-$B30+1)</f>
        <v/>
      </c>
      <c r="AI30" s="75">
        <f>$C30*INDEX(Curves!$AB$8:$AB$68,AI$4-$B30+1)</f>
        <v/>
      </c>
      <c r="AJ30" s="75">
        <f>$C30*INDEX(Curves!$AB$8:$AB$68,AJ$4-$B30+1)</f>
        <v/>
      </c>
      <c r="AK30" s="75">
        <f>$C30*INDEX(Curves!$AB$8:$AB$68,AK$4-$B30+1)</f>
        <v/>
      </c>
      <c r="AL30" s="75">
        <f>$C30*INDEX(Curves!$AB$8:$AB$68,AL$4-$B30+1)</f>
        <v/>
      </c>
      <c r="AM30" s="75">
        <f>$C30*INDEX(Curves!$AB$8:$AB$68,AM$4-$B30+1)</f>
        <v/>
      </c>
      <c r="AN30" s="75">
        <f>$C30*INDEX(Curves!$AB$8:$AB$68,AN$4-$B30+1)</f>
        <v/>
      </c>
      <c r="AO30" s="75">
        <f>$C30*INDEX(Curves!$AB$8:$AB$68,AO$4-$B30+1)</f>
        <v/>
      </c>
      <c r="AP30" s="75">
        <f>$C30*INDEX(Curves!$AB$8:$AB$68,AP$4-$B30+1)</f>
        <v/>
      </c>
      <c r="AQ30" s="75">
        <f>$C30*INDEX(Curves!$AB$8:$AB$68,AQ$4-$B30+1)</f>
        <v/>
      </c>
      <c r="AR30" s="75">
        <f>$C30*INDEX(Curves!$AB$8:$AB$68,AR$4-$B30+1)</f>
        <v/>
      </c>
      <c r="AS30" s="75">
        <f>$C30*INDEX(Curves!$AB$8:$AB$68,AS$4-$B30+1)</f>
        <v/>
      </c>
      <c r="AT30" s="75">
        <f>$C30*INDEX(Curves!$AB$8:$AB$68,AT$4-$B30+1)</f>
        <v/>
      </c>
      <c r="AU30" s="75">
        <f>$C30*INDEX(Curves!$AB$8:$AB$68,AU$4-$B30+1)</f>
        <v/>
      </c>
      <c r="AV30" s="75">
        <f>$C30*INDEX(Curves!$AB$8:$AB$68,AV$4-$B30+1)</f>
        <v/>
      </c>
      <c r="AW30" s="75">
        <f>$C30*INDEX(Curves!$AB$8:$AB$68,AW$4-$B30+1)</f>
        <v/>
      </c>
      <c r="AX30" s="75">
        <f>$C30*INDEX(Curves!$AB$8:$AB$68,AX$4-$B30+1)</f>
        <v/>
      </c>
      <c r="AY30" s="75">
        <f>$C30*INDEX(Curves!$AB$8:$AB$68,AY$4-$B30+1)</f>
        <v/>
      </c>
      <c r="AZ30" s="75">
        <f>$C30*INDEX(Curves!$AB$8:$AB$68,AZ$4-$B30+1)</f>
        <v/>
      </c>
      <c r="BA30" s="75">
        <f>$C30*INDEX(Curves!$AB$8:$AB$68,BA$4-$B30+1)</f>
        <v/>
      </c>
      <c r="BB30" s="75">
        <f>$C30*INDEX(Curves!$AB$8:$AB$68,BB$4-$B30+1)</f>
        <v/>
      </c>
      <c r="BC30" s="75">
        <f>$C30*INDEX(Curves!$AB$8:$AB$68,BC$4-$B30+1)</f>
        <v/>
      </c>
      <c r="BD30" s="75">
        <f>$C30*INDEX(Curves!$AB$8:$AB$68,BD$4-$B30+1)</f>
        <v/>
      </c>
      <c r="BE30" s="75">
        <f>$C30*INDEX(Curves!$AB$8:$AB$68,BE$4-$B30+1)</f>
        <v/>
      </c>
      <c r="BF30" s="75">
        <f>$C30*INDEX(Curves!$AB$8:$AB$68,BF$4-$B30+1)</f>
        <v/>
      </c>
      <c r="BG30" s="75">
        <f>$C30*INDEX(Curves!$AB$8:$AB$68,BG$4-$B30+1)</f>
        <v/>
      </c>
      <c r="BH30" s="75">
        <f>$C30*INDEX(Curves!$AB$8:$AB$68,BH$4-$B30+1)</f>
        <v/>
      </c>
      <c r="BI30" s="75">
        <f>$C30*INDEX(Curves!$AB$8:$AB$68,BI$4-$B30+1)</f>
        <v/>
      </c>
      <c r="BJ30" s="75">
        <f>$C30*INDEX(Curves!$AB$8:$AB$68,BJ$4-$B30+1)</f>
        <v/>
      </c>
      <c r="BK30" s="75">
        <f>$C30*INDEX(Curves!$AB$8:$AB$68,BK$4-$B30+1)</f>
        <v/>
      </c>
      <c r="BL30" s="75">
        <f>$C30*INDEX(Curves!$AB$8:$AB$68,BL$4-$B30+1)</f>
        <v/>
      </c>
    </row>
    <row r="31">
      <c r="A31" s="74" t="inlineStr">
        <is>
          <t>Cohort month 22</t>
        </is>
      </c>
      <c r="B31" s="74" t="n">
        <v>22</v>
      </c>
      <c r="C31" s="17">
        <f>INDEX(Ops!$E$60:$BL$60,1,$B31)</f>
        <v/>
      </c>
      <c r="AA31" s="75">
        <f>$C31*INDEX(Curves!$AB$8:$AB$68,AA$4-$B31+1)</f>
        <v/>
      </c>
      <c r="AB31" s="75">
        <f>$C31*INDEX(Curves!$AB$8:$AB$68,AB$4-$B31+1)</f>
        <v/>
      </c>
      <c r="AC31" s="75">
        <f>$C31*INDEX(Curves!$AB$8:$AB$68,AC$4-$B31+1)</f>
        <v/>
      </c>
      <c r="AD31" s="75">
        <f>$C31*INDEX(Curves!$AB$8:$AB$68,AD$4-$B31+1)</f>
        <v/>
      </c>
      <c r="AE31" s="75">
        <f>$C31*INDEX(Curves!$AB$8:$AB$68,AE$4-$B31+1)</f>
        <v/>
      </c>
      <c r="AF31" s="75">
        <f>$C31*INDEX(Curves!$AB$8:$AB$68,AF$4-$B31+1)</f>
        <v/>
      </c>
      <c r="AG31" s="75">
        <f>$C31*INDEX(Curves!$AB$8:$AB$68,AG$4-$B31+1)</f>
        <v/>
      </c>
      <c r="AH31" s="75">
        <f>$C31*INDEX(Curves!$AB$8:$AB$68,AH$4-$B31+1)</f>
        <v/>
      </c>
      <c r="AI31" s="75">
        <f>$C31*INDEX(Curves!$AB$8:$AB$68,AI$4-$B31+1)</f>
        <v/>
      </c>
      <c r="AJ31" s="75">
        <f>$C31*INDEX(Curves!$AB$8:$AB$68,AJ$4-$B31+1)</f>
        <v/>
      </c>
      <c r="AK31" s="75">
        <f>$C31*INDEX(Curves!$AB$8:$AB$68,AK$4-$B31+1)</f>
        <v/>
      </c>
      <c r="AL31" s="75">
        <f>$C31*INDEX(Curves!$AB$8:$AB$68,AL$4-$B31+1)</f>
        <v/>
      </c>
      <c r="AM31" s="75">
        <f>$C31*INDEX(Curves!$AB$8:$AB$68,AM$4-$B31+1)</f>
        <v/>
      </c>
      <c r="AN31" s="75">
        <f>$C31*INDEX(Curves!$AB$8:$AB$68,AN$4-$B31+1)</f>
        <v/>
      </c>
      <c r="AO31" s="75">
        <f>$C31*INDEX(Curves!$AB$8:$AB$68,AO$4-$B31+1)</f>
        <v/>
      </c>
      <c r="AP31" s="75">
        <f>$C31*INDEX(Curves!$AB$8:$AB$68,AP$4-$B31+1)</f>
        <v/>
      </c>
      <c r="AQ31" s="75">
        <f>$C31*INDEX(Curves!$AB$8:$AB$68,AQ$4-$B31+1)</f>
        <v/>
      </c>
      <c r="AR31" s="75">
        <f>$C31*INDEX(Curves!$AB$8:$AB$68,AR$4-$B31+1)</f>
        <v/>
      </c>
      <c r="AS31" s="75">
        <f>$C31*INDEX(Curves!$AB$8:$AB$68,AS$4-$B31+1)</f>
        <v/>
      </c>
      <c r="AT31" s="75">
        <f>$C31*INDEX(Curves!$AB$8:$AB$68,AT$4-$B31+1)</f>
        <v/>
      </c>
      <c r="AU31" s="75">
        <f>$C31*INDEX(Curves!$AB$8:$AB$68,AU$4-$B31+1)</f>
        <v/>
      </c>
      <c r="AV31" s="75">
        <f>$C31*INDEX(Curves!$AB$8:$AB$68,AV$4-$B31+1)</f>
        <v/>
      </c>
      <c r="AW31" s="75">
        <f>$C31*INDEX(Curves!$AB$8:$AB$68,AW$4-$B31+1)</f>
        <v/>
      </c>
      <c r="AX31" s="75">
        <f>$C31*INDEX(Curves!$AB$8:$AB$68,AX$4-$B31+1)</f>
        <v/>
      </c>
      <c r="AY31" s="75">
        <f>$C31*INDEX(Curves!$AB$8:$AB$68,AY$4-$B31+1)</f>
        <v/>
      </c>
      <c r="AZ31" s="75">
        <f>$C31*INDEX(Curves!$AB$8:$AB$68,AZ$4-$B31+1)</f>
        <v/>
      </c>
      <c r="BA31" s="75">
        <f>$C31*INDEX(Curves!$AB$8:$AB$68,BA$4-$B31+1)</f>
        <v/>
      </c>
      <c r="BB31" s="75">
        <f>$C31*INDEX(Curves!$AB$8:$AB$68,BB$4-$B31+1)</f>
        <v/>
      </c>
      <c r="BC31" s="75">
        <f>$C31*INDEX(Curves!$AB$8:$AB$68,BC$4-$B31+1)</f>
        <v/>
      </c>
      <c r="BD31" s="75">
        <f>$C31*INDEX(Curves!$AB$8:$AB$68,BD$4-$B31+1)</f>
        <v/>
      </c>
      <c r="BE31" s="75">
        <f>$C31*INDEX(Curves!$AB$8:$AB$68,BE$4-$B31+1)</f>
        <v/>
      </c>
      <c r="BF31" s="75">
        <f>$C31*INDEX(Curves!$AB$8:$AB$68,BF$4-$B31+1)</f>
        <v/>
      </c>
      <c r="BG31" s="75">
        <f>$C31*INDEX(Curves!$AB$8:$AB$68,BG$4-$B31+1)</f>
        <v/>
      </c>
      <c r="BH31" s="75">
        <f>$C31*INDEX(Curves!$AB$8:$AB$68,BH$4-$B31+1)</f>
        <v/>
      </c>
      <c r="BI31" s="75">
        <f>$C31*INDEX(Curves!$AB$8:$AB$68,BI$4-$B31+1)</f>
        <v/>
      </c>
      <c r="BJ31" s="75">
        <f>$C31*INDEX(Curves!$AB$8:$AB$68,BJ$4-$B31+1)</f>
        <v/>
      </c>
      <c r="BK31" s="75">
        <f>$C31*INDEX(Curves!$AB$8:$AB$68,BK$4-$B31+1)</f>
        <v/>
      </c>
      <c r="BL31" s="75">
        <f>$C31*INDEX(Curves!$AB$8:$AB$68,BL$4-$B31+1)</f>
        <v/>
      </c>
    </row>
    <row r="32">
      <c r="A32" s="74" t="inlineStr">
        <is>
          <t>Cohort month 23</t>
        </is>
      </c>
      <c r="B32" s="74" t="n">
        <v>23</v>
      </c>
      <c r="C32" s="17">
        <f>INDEX(Ops!$E$60:$BL$60,1,$B32)</f>
        <v/>
      </c>
      <c r="AB32" s="75">
        <f>$C32*INDEX(Curves!$AB$8:$AB$68,AB$4-$B32+1)</f>
        <v/>
      </c>
      <c r="AC32" s="75">
        <f>$C32*INDEX(Curves!$AB$8:$AB$68,AC$4-$B32+1)</f>
        <v/>
      </c>
      <c r="AD32" s="75">
        <f>$C32*INDEX(Curves!$AB$8:$AB$68,AD$4-$B32+1)</f>
        <v/>
      </c>
      <c r="AE32" s="75">
        <f>$C32*INDEX(Curves!$AB$8:$AB$68,AE$4-$B32+1)</f>
        <v/>
      </c>
      <c r="AF32" s="75">
        <f>$C32*INDEX(Curves!$AB$8:$AB$68,AF$4-$B32+1)</f>
        <v/>
      </c>
      <c r="AG32" s="75">
        <f>$C32*INDEX(Curves!$AB$8:$AB$68,AG$4-$B32+1)</f>
        <v/>
      </c>
      <c r="AH32" s="75">
        <f>$C32*INDEX(Curves!$AB$8:$AB$68,AH$4-$B32+1)</f>
        <v/>
      </c>
      <c r="AI32" s="75">
        <f>$C32*INDEX(Curves!$AB$8:$AB$68,AI$4-$B32+1)</f>
        <v/>
      </c>
      <c r="AJ32" s="75">
        <f>$C32*INDEX(Curves!$AB$8:$AB$68,AJ$4-$B32+1)</f>
        <v/>
      </c>
      <c r="AK32" s="75">
        <f>$C32*INDEX(Curves!$AB$8:$AB$68,AK$4-$B32+1)</f>
        <v/>
      </c>
      <c r="AL32" s="75">
        <f>$C32*INDEX(Curves!$AB$8:$AB$68,AL$4-$B32+1)</f>
        <v/>
      </c>
      <c r="AM32" s="75">
        <f>$C32*INDEX(Curves!$AB$8:$AB$68,AM$4-$B32+1)</f>
        <v/>
      </c>
      <c r="AN32" s="75">
        <f>$C32*INDEX(Curves!$AB$8:$AB$68,AN$4-$B32+1)</f>
        <v/>
      </c>
      <c r="AO32" s="75">
        <f>$C32*INDEX(Curves!$AB$8:$AB$68,AO$4-$B32+1)</f>
        <v/>
      </c>
      <c r="AP32" s="75">
        <f>$C32*INDEX(Curves!$AB$8:$AB$68,AP$4-$B32+1)</f>
        <v/>
      </c>
      <c r="AQ32" s="75">
        <f>$C32*INDEX(Curves!$AB$8:$AB$68,AQ$4-$B32+1)</f>
        <v/>
      </c>
      <c r="AR32" s="75">
        <f>$C32*INDEX(Curves!$AB$8:$AB$68,AR$4-$B32+1)</f>
        <v/>
      </c>
      <c r="AS32" s="75">
        <f>$C32*INDEX(Curves!$AB$8:$AB$68,AS$4-$B32+1)</f>
        <v/>
      </c>
      <c r="AT32" s="75">
        <f>$C32*INDEX(Curves!$AB$8:$AB$68,AT$4-$B32+1)</f>
        <v/>
      </c>
      <c r="AU32" s="75">
        <f>$C32*INDEX(Curves!$AB$8:$AB$68,AU$4-$B32+1)</f>
        <v/>
      </c>
      <c r="AV32" s="75">
        <f>$C32*INDEX(Curves!$AB$8:$AB$68,AV$4-$B32+1)</f>
        <v/>
      </c>
      <c r="AW32" s="75">
        <f>$C32*INDEX(Curves!$AB$8:$AB$68,AW$4-$B32+1)</f>
        <v/>
      </c>
      <c r="AX32" s="75">
        <f>$C32*INDEX(Curves!$AB$8:$AB$68,AX$4-$B32+1)</f>
        <v/>
      </c>
      <c r="AY32" s="75">
        <f>$C32*INDEX(Curves!$AB$8:$AB$68,AY$4-$B32+1)</f>
        <v/>
      </c>
      <c r="AZ32" s="75">
        <f>$C32*INDEX(Curves!$AB$8:$AB$68,AZ$4-$B32+1)</f>
        <v/>
      </c>
      <c r="BA32" s="75">
        <f>$C32*INDEX(Curves!$AB$8:$AB$68,BA$4-$B32+1)</f>
        <v/>
      </c>
      <c r="BB32" s="75">
        <f>$C32*INDEX(Curves!$AB$8:$AB$68,BB$4-$B32+1)</f>
        <v/>
      </c>
      <c r="BC32" s="75">
        <f>$C32*INDEX(Curves!$AB$8:$AB$68,BC$4-$B32+1)</f>
        <v/>
      </c>
      <c r="BD32" s="75">
        <f>$C32*INDEX(Curves!$AB$8:$AB$68,BD$4-$B32+1)</f>
        <v/>
      </c>
      <c r="BE32" s="75">
        <f>$C32*INDEX(Curves!$AB$8:$AB$68,BE$4-$B32+1)</f>
        <v/>
      </c>
      <c r="BF32" s="75">
        <f>$C32*INDEX(Curves!$AB$8:$AB$68,BF$4-$B32+1)</f>
        <v/>
      </c>
      <c r="BG32" s="75">
        <f>$C32*INDEX(Curves!$AB$8:$AB$68,BG$4-$B32+1)</f>
        <v/>
      </c>
      <c r="BH32" s="75">
        <f>$C32*INDEX(Curves!$AB$8:$AB$68,BH$4-$B32+1)</f>
        <v/>
      </c>
      <c r="BI32" s="75">
        <f>$C32*INDEX(Curves!$AB$8:$AB$68,BI$4-$B32+1)</f>
        <v/>
      </c>
      <c r="BJ32" s="75">
        <f>$C32*INDEX(Curves!$AB$8:$AB$68,BJ$4-$B32+1)</f>
        <v/>
      </c>
      <c r="BK32" s="75">
        <f>$C32*INDEX(Curves!$AB$8:$AB$68,BK$4-$B32+1)</f>
        <v/>
      </c>
      <c r="BL32" s="75">
        <f>$C32*INDEX(Curves!$AB$8:$AB$68,BL$4-$B32+1)</f>
        <v/>
      </c>
    </row>
    <row r="33">
      <c r="A33" s="74" t="inlineStr">
        <is>
          <t>Cohort month 24</t>
        </is>
      </c>
      <c r="B33" s="74" t="n">
        <v>24</v>
      </c>
      <c r="C33" s="17">
        <f>INDEX(Ops!$E$60:$BL$60,1,$B33)</f>
        <v/>
      </c>
      <c r="AC33" s="75">
        <f>$C33*INDEX(Curves!$AB$8:$AB$68,AC$4-$B33+1)</f>
        <v/>
      </c>
      <c r="AD33" s="75">
        <f>$C33*INDEX(Curves!$AB$8:$AB$68,AD$4-$B33+1)</f>
        <v/>
      </c>
      <c r="AE33" s="75">
        <f>$C33*INDEX(Curves!$AB$8:$AB$68,AE$4-$B33+1)</f>
        <v/>
      </c>
      <c r="AF33" s="75">
        <f>$C33*INDEX(Curves!$AB$8:$AB$68,AF$4-$B33+1)</f>
        <v/>
      </c>
      <c r="AG33" s="75">
        <f>$C33*INDEX(Curves!$AB$8:$AB$68,AG$4-$B33+1)</f>
        <v/>
      </c>
      <c r="AH33" s="75">
        <f>$C33*INDEX(Curves!$AB$8:$AB$68,AH$4-$B33+1)</f>
        <v/>
      </c>
      <c r="AI33" s="75">
        <f>$C33*INDEX(Curves!$AB$8:$AB$68,AI$4-$B33+1)</f>
        <v/>
      </c>
      <c r="AJ33" s="75">
        <f>$C33*INDEX(Curves!$AB$8:$AB$68,AJ$4-$B33+1)</f>
        <v/>
      </c>
      <c r="AK33" s="75">
        <f>$C33*INDEX(Curves!$AB$8:$AB$68,AK$4-$B33+1)</f>
        <v/>
      </c>
      <c r="AL33" s="75">
        <f>$C33*INDEX(Curves!$AB$8:$AB$68,AL$4-$B33+1)</f>
        <v/>
      </c>
      <c r="AM33" s="75">
        <f>$C33*INDEX(Curves!$AB$8:$AB$68,AM$4-$B33+1)</f>
        <v/>
      </c>
      <c r="AN33" s="75">
        <f>$C33*INDEX(Curves!$AB$8:$AB$68,AN$4-$B33+1)</f>
        <v/>
      </c>
      <c r="AO33" s="75">
        <f>$C33*INDEX(Curves!$AB$8:$AB$68,AO$4-$B33+1)</f>
        <v/>
      </c>
      <c r="AP33" s="75">
        <f>$C33*INDEX(Curves!$AB$8:$AB$68,AP$4-$B33+1)</f>
        <v/>
      </c>
      <c r="AQ33" s="75">
        <f>$C33*INDEX(Curves!$AB$8:$AB$68,AQ$4-$B33+1)</f>
        <v/>
      </c>
      <c r="AR33" s="75">
        <f>$C33*INDEX(Curves!$AB$8:$AB$68,AR$4-$B33+1)</f>
        <v/>
      </c>
      <c r="AS33" s="75">
        <f>$C33*INDEX(Curves!$AB$8:$AB$68,AS$4-$B33+1)</f>
        <v/>
      </c>
      <c r="AT33" s="75">
        <f>$C33*INDEX(Curves!$AB$8:$AB$68,AT$4-$B33+1)</f>
        <v/>
      </c>
      <c r="AU33" s="75">
        <f>$C33*INDEX(Curves!$AB$8:$AB$68,AU$4-$B33+1)</f>
        <v/>
      </c>
      <c r="AV33" s="75">
        <f>$C33*INDEX(Curves!$AB$8:$AB$68,AV$4-$B33+1)</f>
        <v/>
      </c>
      <c r="AW33" s="75">
        <f>$C33*INDEX(Curves!$AB$8:$AB$68,AW$4-$B33+1)</f>
        <v/>
      </c>
      <c r="AX33" s="75">
        <f>$C33*INDEX(Curves!$AB$8:$AB$68,AX$4-$B33+1)</f>
        <v/>
      </c>
      <c r="AY33" s="75">
        <f>$C33*INDEX(Curves!$AB$8:$AB$68,AY$4-$B33+1)</f>
        <v/>
      </c>
      <c r="AZ33" s="75">
        <f>$C33*INDEX(Curves!$AB$8:$AB$68,AZ$4-$B33+1)</f>
        <v/>
      </c>
      <c r="BA33" s="75">
        <f>$C33*INDEX(Curves!$AB$8:$AB$68,BA$4-$B33+1)</f>
        <v/>
      </c>
      <c r="BB33" s="75">
        <f>$C33*INDEX(Curves!$AB$8:$AB$68,BB$4-$B33+1)</f>
        <v/>
      </c>
      <c r="BC33" s="75">
        <f>$C33*INDEX(Curves!$AB$8:$AB$68,BC$4-$B33+1)</f>
        <v/>
      </c>
      <c r="BD33" s="75">
        <f>$C33*INDEX(Curves!$AB$8:$AB$68,BD$4-$B33+1)</f>
        <v/>
      </c>
      <c r="BE33" s="75">
        <f>$C33*INDEX(Curves!$AB$8:$AB$68,BE$4-$B33+1)</f>
        <v/>
      </c>
      <c r="BF33" s="75">
        <f>$C33*INDEX(Curves!$AB$8:$AB$68,BF$4-$B33+1)</f>
        <v/>
      </c>
      <c r="BG33" s="75">
        <f>$C33*INDEX(Curves!$AB$8:$AB$68,BG$4-$B33+1)</f>
        <v/>
      </c>
      <c r="BH33" s="75">
        <f>$C33*INDEX(Curves!$AB$8:$AB$68,BH$4-$B33+1)</f>
        <v/>
      </c>
      <c r="BI33" s="75">
        <f>$C33*INDEX(Curves!$AB$8:$AB$68,BI$4-$B33+1)</f>
        <v/>
      </c>
      <c r="BJ33" s="75">
        <f>$C33*INDEX(Curves!$AB$8:$AB$68,BJ$4-$B33+1)</f>
        <v/>
      </c>
      <c r="BK33" s="75">
        <f>$C33*INDEX(Curves!$AB$8:$AB$68,BK$4-$B33+1)</f>
        <v/>
      </c>
      <c r="BL33" s="75">
        <f>$C33*INDEX(Curves!$AB$8:$AB$68,BL$4-$B33+1)</f>
        <v/>
      </c>
    </row>
    <row r="34">
      <c r="A34" s="74" t="inlineStr">
        <is>
          <t>Cohort month 25</t>
        </is>
      </c>
      <c r="B34" s="74" t="n">
        <v>25</v>
      </c>
      <c r="C34" s="17">
        <f>INDEX(Ops!$E$60:$BL$60,1,$B34)</f>
        <v/>
      </c>
      <c r="AD34" s="75">
        <f>$C34*INDEX(Curves!$AB$8:$AB$68,AD$4-$B34+1)</f>
        <v/>
      </c>
      <c r="AE34" s="75">
        <f>$C34*INDEX(Curves!$AB$8:$AB$68,AE$4-$B34+1)</f>
        <v/>
      </c>
      <c r="AF34" s="75">
        <f>$C34*INDEX(Curves!$AB$8:$AB$68,AF$4-$B34+1)</f>
        <v/>
      </c>
      <c r="AG34" s="75">
        <f>$C34*INDEX(Curves!$AB$8:$AB$68,AG$4-$B34+1)</f>
        <v/>
      </c>
      <c r="AH34" s="75">
        <f>$C34*INDEX(Curves!$AB$8:$AB$68,AH$4-$B34+1)</f>
        <v/>
      </c>
      <c r="AI34" s="75">
        <f>$C34*INDEX(Curves!$AB$8:$AB$68,AI$4-$B34+1)</f>
        <v/>
      </c>
      <c r="AJ34" s="75">
        <f>$C34*INDEX(Curves!$AB$8:$AB$68,AJ$4-$B34+1)</f>
        <v/>
      </c>
      <c r="AK34" s="75">
        <f>$C34*INDEX(Curves!$AB$8:$AB$68,AK$4-$B34+1)</f>
        <v/>
      </c>
      <c r="AL34" s="75">
        <f>$C34*INDEX(Curves!$AB$8:$AB$68,AL$4-$B34+1)</f>
        <v/>
      </c>
      <c r="AM34" s="75">
        <f>$C34*INDEX(Curves!$AB$8:$AB$68,AM$4-$B34+1)</f>
        <v/>
      </c>
      <c r="AN34" s="75">
        <f>$C34*INDEX(Curves!$AB$8:$AB$68,AN$4-$B34+1)</f>
        <v/>
      </c>
      <c r="AO34" s="75">
        <f>$C34*INDEX(Curves!$AB$8:$AB$68,AO$4-$B34+1)</f>
        <v/>
      </c>
      <c r="AP34" s="75">
        <f>$C34*INDEX(Curves!$AB$8:$AB$68,AP$4-$B34+1)</f>
        <v/>
      </c>
      <c r="AQ34" s="75">
        <f>$C34*INDEX(Curves!$AB$8:$AB$68,AQ$4-$B34+1)</f>
        <v/>
      </c>
      <c r="AR34" s="75">
        <f>$C34*INDEX(Curves!$AB$8:$AB$68,AR$4-$B34+1)</f>
        <v/>
      </c>
      <c r="AS34" s="75">
        <f>$C34*INDEX(Curves!$AB$8:$AB$68,AS$4-$B34+1)</f>
        <v/>
      </c>
      <c r="AT34" s="75">
        <f>$C34*INDEX(Curves!$AB$8:$AB$68,AT$4-$B34+1)</f>
        <v/>
      </c>
      <c r="AU34" s="75">
        <f>$C34*INDEX(Curves!$AB$8:$AB$68,AU$4-$B34+1)</f>
        <v/>
      </c>
      <c r="AV34" s="75">
        <f>$C34*INDEX(Curves!$AB$8:$AB$68,AV$4-$B34+1)</f>
        <v/>
      </c>
      <c r="AW34" s="75">
        <f>$C34*INDEX(Curves!$AB$8:$AB$68,AW$4-$B34+1)</f>
        <v/>
      </c>
      <c r="AX34" s="75">
        <f>$C34*INDEX(Curves!$AB$8:$AB$68,AX$4-$B34+1)</f>
        <v/>
      </c>
      <c r="AY34" s="75">
        <f>$C34*INDEX(Curves!$AB$8:$AB$68,AY$4-$B34+1)</f>
        <v/>
      </c>
      <c r="AZ34" s="75">
        <f>$C34*INDEX(Curves!$AB$8:$AB$68,AZ$4-$B34+1)</f>
        <v/>
      </c>
      <c r="BA34" s="75">
        <f>$C34*INDEX(Curves!$AB$8:$AB$68,BA$4-$B34+1)</f>
        <v/>
      </c>
      <c r="BB34" s="75">
        <f>$C34*INDEX(Curves!$AB$8:$AB$68,BB$4-$B34+1)</f>
        <v/>
      </c>
      <c r="BC34" s="75">
        <f>$C34*INDEX(Curves!$AB$8:$AB$68,BC$4-$B34+1)</f>
        <v/>
      </c>
      <c r="BD34" s="75">
        <f>$C34*INDEX(Curves!$AB$8:$AB$68,BD$4-$B34+1)</f>
        <v/>
      </c>
      <c r="BE34" s="75">
        <f>$C34*INDEX(Curves!$AB$8:$AB$68,BE$4-$B34+1)</f>
        <v/>
      </c>
      <c r="BF34" s="75">
        <f>$C34*INDEX(Curves!$AB$8:$AB$68,BF$4-$B34+1)</f>
        <v/>
      </c>
      <c r="BG34" s="75">
        <f>$C34*INDEX(Curves!$AB$8:$AB$68,BG$4-$B34+1)</f>
        <v/>
      </c>
      <c r="BH34" s="75">
        <f>$C34*INDEX(Curves!$AB$8:$AB$68,BH$4-$B34+1)</f>
        <v/>
      </c>
      <c r="BI34" s="75">
        <f>$C34*INDEX(Curves!$AB$8:$AB$68,BI$4-$B34+1)</f>
        <v/>
      </c>
      <c r="BJ34" s="75">
        <f>$C34*INDEX(Curves!$AB$8:$AB$68,BJ$4-$B34+1)</f>
        <v/>
      </c>
      <c r="BK34" s="75">
        <f>$C34*INDEX(Curves!$AB$8:$AB$68,BK$4-$B34+1)</f>
        <v/>
      </c>
      <c r="BL34" s="75">
        <f>$C34*INDEX(Curves!$AB$8:$AB$68,BL$4-$B34+1)</f>
        <v/>
      </c>
    </row>
    <row r="35">
      <c r="A35" s="74" t="inlineStr">
        <is>
          <t>Cohort month 26</t>
        </is>
      </c>
      <c r="B35" s="74" t="n">
        <v>26</v>
      </c>
      <c r="C35" s="17">
        <f>INDEX(Ops!$E$60:$BL$60,1,$B35)</f>
        <v/>
      </c>
      <c r="AE35" s="75">
        <f>$C35*INDEX(Curves!$AB$8:$AB$68,AE$4-$B35+1)</f>
        <v/>
      </c>
      <c r="AF35" s="75">
        <f>$C35*INDEX(Curves!$AB$8:$AB$68,AF$4-$B35+1)</f>
        <v/>
      </c>
      <c r="AG35" s="75">
        <f>$C35*INDEX(Curves!$AB$8:$AB$68,AG$4-$B35+1)</f>
        <v/>
      </c>
      <c r="AH35" s="75">
        <f>$C35*INDEX(Curves!$AB$8:$AB$68,AH$4-$B35+1)</f>
        <v/>
      </c>
      <c r="AI35" s="75">
        <f>$C35*INDEX(Curves!$AB$8:$AB$68,AI$4-$B35+1)</f>
        <v/>
      </c>
      <c r="AJ35" s="75">
        <f>$C35*INDEX(Curves!$AB$8:$AB$68,AJ$4-$B35+1)</f>
        <v/>
      </c>
      <c r="AK35" s="75">
        <f>$C35*INDEX(Curves!$AB$8:$AB$68,AK$4-$B35+1)</f>
        <v/>
      </c>
      <c r="AL35" s="75">
        <f>$C35*INDEX(Curves!$AB$8:$AB$68,AL$4-$B35+1)</f>
        <v/>
      </c>
      <c r="AM35" s="75">
        <f>$C35*INDEX(Curves!$AB$8:$AB$68,AM$4-$B35+1)</f>
        <v/>
      </c>
      <c r="AN35" s="75">
        <f>$C35*INDEX(Curves!$AB$8:$AB$68,AN$4-$B35+1)</f>
        <v/>
      </c>
      <c r="AO35" s="75">
        <f>$C35*INDEX(Curves!$AB$8:$AB$68,AO$4-$B35+1)</f>
        <v/>
      </c>
      <c r="AP35" s="75">
        <f>$C35*INDEX(Curves!$AB$8:$AB$68,AP$4-$B35+1)</f>
        <v/>
      </c>
      <c r="AQ35" s="75">
        <f>$C35*INDEX(Curves!$AB$8:$AB$68,AQ$4-$B35+1)</f>
        <v/>
      </c>
      <c r="AR35" s="75">
        <f>$C35*INDEX(Curves!$AB$8:$AB$68,AR$4-$B35+1)</f>
        <v/>
      </c>
      <c r="AS35" s="75">
        <f>$C35*INDEX(Curves!$AB$8:$AB$68,AS$4-$B35+1)</f>
        <v/>
      </c>
      <c r="AT35" s="75">
        <f>$C35*INDEX(Curves!$AB$8:$AB$68,AT$4-$B35+1)</f>
        <v/>
      </c>
      <c r="AU35" s="75">
        <f>$C35*INDEX(Curves!$AB$8:$AB$68,AU$4-$B35+1)</f>
        <v/>
      </c>
      <c r="AV35" s="75">
        <f>$C35*INDEX(Curves!$AB$8:$AB$68,AV$4-$B35+1)</f>
        <v/>
      </c>
      <c r="AW35" s="75">
        <f>$C35*INDEX(Curves!$AB$8:$AB$68,AW$4-$B35+1)</f>
        <v/>
      </c>
      <c r="AX35" s="75">
        <f>$C35*INDEX(Curves!$AB$8:$AB$68,AX$4-$B35+1)</f>
        <v/>
      </c>
      <c r="AY35" s="75">
        <f>$C35*INDEX(Curves!$AB$8:$AB$68,AY$4-$B35+1)</f>
        <v/>
      </c>
      <c r="AZ35" s="75">
        <f>$C35*INDEX(Curves!$AB$8:$AB$68,AZ$4-$B35+1)</f>
        <v/>
      </c>
      <c r="BA35" s="75">
        <f>$C35*INDEX(Curves!$AB$8:$AB$68,BA$4-$B35+1)</f>
        <v/>
      </c>
      <c r="BB35" s="75">
        <f>$C35*INDEX(Curves!$AB$8:$AB$68,BB$4-$B35+1)</f>
        <v/>
      </c>
      <c r="BC35" s="75">
        <f>$C35*INDEX(Curves!$AB$8:$AB$68,BC$4-$B35+1)</f>
        <v/>
      </c>
      <c r="BD35" s="75">
        <f>$C35*INDEX(Curves!$AB$8:$AB$68,BD$4-$B35+1)</f>
        <v/>
      </c>
      <c r="BE35" s="75">
        <f>$C35*INDEX(Curves!$AB$8:$AB$68,BE$4-$B35+1)</f>
        <v/>
      </c>
      <c r="BF35" s="75">
        <f>$C35*INDEX(Curves!$AB$8:$AB$68,BF$4-$B35+1)</f>
        <v/>
      </c>
      <c r="BG35" s="75">
        <f>$C35*INDEX(Curves!$AB$8:$AB$68,BG$4-$B35+1)</f>
        <v/>
      </c>
      <c r="BH35" s="75">
        <f>$C35*INDEX(Curves!$AB$8:$AB$68,BH$4-$B35+1)</f>
        <v/>
      </c>
      <c r="BI35" s="75">
        <f>$C35*INDEX(Curves!$AB$8:$AB$68,BI$4-$B35+1)</f>
        <v/>
      </c>
      <c r="BJ35" s="75">
        <f>$C35*INDEX(Curves!$AB$8:$AB$68,BJ$4-$B35+1)</f>
        <v/>
      </c>
      <c r="BK35" s="75">
        <f>$C35*INDEX(Curves!$AB$8:$AB$68,BK$4-$B35+1)</f>
        <v/>
      </c>
      <c r="BL35" s="75">
        <f>$C35*INDEX(Curves!$AB$8:$AB$68,BL$4-$B35+1)</f>
        <v/>
      </c>
    </row>
    <row r="36">
      <c r="A36" s="74" t="inlineStr">
        <is>
          <t>Cohort month 27</t>
        </is>
      </c>
      <c r="B36" s="74" t="n">
        <v>27</v>
      </c>
      <c r="C36" s="17">
        <f>INDEX(Ops!$E$60:$BL$60,1,$B36)</f>
        <v/>
      </c>
      <c r="AF36" s="75">
        <f>$C36*INDEX(Curves!$AB$8:$AB$68,AF$4-$B36+1)</f>
        <v/>
      </c>
      <c r="AG36" s="75">
        <f>$C36*INDEX(Curves!$AB$8:$AB$68,AG$4-$B36+1)</f>
        <v/>
      </c>
      <c r="AH36" s="75">
        <f>$C36*INDEX(Curves!$AB$8:$AB$68,AH$4-$B36+1)</f>
        <v/>
      </c>
      <c r="AI36" s="75">
        <f>$C36*INDEX(Curves!$AB$8:$AB$68,AI$4-$B36+1)</f>
        <v/>
      </c>
      <c r="AJ36" s="75">
        <f>$C36*INDEX(Curves!$AB$8:$AB$68,AJ$4-$B36+1)</f>
        <v/>
      </c>
      <c r="AK36" s="75">
        <f>$C36*INDEX(Curves!$AB$8:$AB$68,AK$4-$B36+1)</f>
        <v/>
      </c>
      <c r="AL36" s="75">
        <f>$C36*INDEX(Curves!$AB$8:$AB$68,AL$4-$B36+1)</f>
        <v/>
      </c>
      <c r="AM36" s="75">
        <f>$C36*INDEX(Curves!$AB$8:$AB$68,AM$4-$B36+1)</f>
        <v/>
      </c>
      <c r="AN36" s="75">
        <f>$C36*INDEX(Curves!$AB$8:$AB$68,AN$4-$B36+1)</f>
        <v/>
      </c>
      <c r="AO36" s="75">
        <f>$C36*INDEX(Curves!$AB$8:$AB$68,AO$4-$B36+1)</f>
        <v/>
      </c>
      <c r="AP36" s="75">
        <f>$C36*INDEX(Curves!$AB$8:$AB$68,AP$4-$B36+1)</f>
        <v/>
      </c>
      <c r="AQ36" s="75">
        <f>$C36*INDEX(Curves!$AB$8:$AB$68,AQ$4-$B36+1)</f>
        <v/>
      </c>
      <c r="AR36" s="75">
        <f>$C36*INDEX(Curves!$AB$8:$AB$68,AR$4-$B36+1)</f>
        <v/>
      </c>
      <c r="AS36" s="75">
        <f>$C36*INDEX(Curves!$AB$8:$AB$68,AS$4-$B36+1)</f>
        <v/>
      </c>
      <c r="AT36" s="75">
        <f>$C36*INDEX(Curves!$AB$8:$AB$68,AT$4-$B36+1)</f>
        <v/>
      </c>
      <c r="AU36" s="75">
        <f>$C36*INDEX(Curves!$AB$8:$AB$68,AU$4-$B36+1)</f>
        <v/>
      </c>
      <c r="AV36" s="75">
        <f>$C36*INDEX(Curves!$AB$8:$AB$68,AV$4-$B36+1)</f>
        <v/>
      </c>
      <c r="AW36" s="75">
        <f>$C36*INDEX(Curves!$AB$8:$AB$68,AW$4-$B36+1)</f>
        <v/>
      </c>
      <c r="AX36" s="75">
        <f>$C36*INDEX(Curves!$AB$8:$AB$68,AX$4-$B36+1)</f>
        <v/>
      </c>
      <c r="AY36" s="75">
        <f>$C36*INDEX(Curves!$AB$8:$AB$68,AY$4-$B36+1)</f>
        <v/>
      </c>
      <c r="AZ36" s="75">
        <f>$C36*INDEX(Curves!$AB$8:$AB$68,AZ$4-$B36+1)</f>
        <v/>
      </c>
      <c r="BA36" s="75">
        <f>$C36*INDEX(Curves!$AB$8:$AB$68,BA$4-$B36+1)</f>
        <v/>
      </c>
      <c r="BB36" s="75">
        <f>$C36*INDEX(Curves!$AB$8:$AB$68,BB$4-$B36+1)</f>
        <v/>
      </c>
      <c r="BC36" s="75">
        <f>$C36*INDEX(Curves!$AB$8:$AB$68,BC$4-$B36+1)</f>
        <v/>
      </c>
      <c r="BD36" s="75">
        <f>$C36*INDEX(Curves!$AB$8:$AB$68,BD$4-$B36+1)</f>
        <v/>
      </c>
      <c r="BE36" s="75">
        <f>$C36*INDEX(Curves!$AB$8:$AB$68,BE$4-$B36+1)</f>
        <v/>
      </c>
      <c r="BF36" s="75">
        <f>$C36*INDEX(Curves!$AB$8:$AB$68,BF$4-$B36+1)</f>
        <v/>
      </c>
      <c r="BG36" s="75">
        <f>$C36*INDEX(Curves!$AB$8:$AB$68,BG$4-$B36+1)</f>
        <v/>
      </c>
      <c r="BH36" s="75">
        <f>$C36*INDEX(Curves!$AB$8:$AB$68,BH$4-$B36+1)</f>
        <v/>
      </c>
      <c r="BI36" s="75">
        <f>$C36*INDEX(Curves!$AB$8:$AB$68,BI$4-$B36+1)</f>
        <v/>
      </c>
      <c r="BJ36" s="75">
        <f>$C36*INDEX(Curves!$AB$8:$AB$68,BJ$4-$B36+1)</f>
        <v/>
      </c>
      <c r="BK36" s="75">
        <f>$C36*INDEX(Curves!$AB$8:$AB$68,BK$4-$B36+1)</f>
        <v/>
      </c>
      <c r="BL36" s="75">
        <f>$C36*INDEX(Curves!$AB$8:$AB$68,BL$4-$B36+1)</f>
        <v/>
      </c>
    </row>
    <row r="37">
      <c r="A37" s="74" t="inlineStr">
        <is>
          <t>Cohort month 28</t>
        </is>
      </c>
      <c r="B37" s="74" t="n">
        <v>28</v>
      </c>
      <c r="C37" s="17">
        <f>INDEX(Ops!$E$60:$BL$60,1,$B37)</f>
        <v/>
      </c>
      <c r="AG37" s="75">
        <f>$C37*INDEX(Curves!$AB$8:$AB$68,AG$4-$B37+1)</f>
        <v/>
      </c>
      <c r="AH37" s="75">
        <f>$C37*INDEX(Curves!$AB$8:$AB$68,AH$4-$B37+1)</f>
        <v/>
      </c>
      <c r="AI37" s="75">
        <f>$C37*INDEX(Curves!$AB$8:$AB$68,AI$4-$B37+1)</f>
        <v/>
      </c>
      <c r="AJ37" s="75">
        <f>$C37*INDEX(Curves!$AB$8:$AB$68,AJ$4-$B37+1)</f>
        <v/>
      </c>
      <c r="AK37" s="75">
        <f>$C37*INDEX(Curves!$AB$8:$AB$68,AK$4-$B37+1)</f>
        <v/>
      </c>
      <c r="AL37" s="75">
        <f>$C37*INDEX(Curves!$AB$8:$AB$68,AL$4-$B37+1)</f>
        <v/>
      </c>
      <c r="AM37" s="75">
        <f>$C37*INDEX(Curves!$AB$8:$AB$68,AM$4-$B37+1)</f>
        <v/>
      </c>
      <c r="AN37" s="75">
        <f>$C37*INDEX(Curves!$AB$8:$AB$68,AN$4-$B37+1)</f>
        <v/>
      </c>
      <c r="AO37" s="75">
        <f>$C37*INDEX(Curves!$AB$8:$AB$68,AO$4-$B37+1)</f>
        <v/>
      </c>
      <c r="AP37" s="75">
        <f>$C37*INDEX(Curves!$AB$8:$AB$68,AP$4-$B37+1)</f>
        <v/>
      </c>
      <c r="AQ37" s="75">
        <f>$C37*INDEX(Curves!$AB$8:$AB$68,AQ$4-$B37+1)</f>
        <v/>
      </c>
      <c r="AR37" s="75">
        <f>$C37*INDEX(Curves!$AB$8:$AB$68,AR$4-$B37+1)</f>
        <v/>
      </c>
      <c r="AS37" s="75">
        <f>$C37*INDEX(Curves!$AB$8:$AB$68,AS$4-$B37+1)</f>
        <v/>
      </c>
      <c r="AT37" s="75">
        <f>$C37*INDEX(Curves!$AB$8:$AB$68,AT$4-$B37+1)</f>
        <v/>
      </c>
      <c r="AU37" s="75">
        <f>$C37*INDEX(Curves!$AB$8:$AB$68,AU$4-$B37+1)</f>
        <v/>
      </c>
      <c r="AV37" s="75">
        <f>$C37*INDEX(Curves!$AB$8:$AB$68,AV$4-$B37+1)</f>
        <v/>
      </c>
      <c r="AW37" s="75">
        <f>$C37*INDEX(Curves!$AB$8:$AB$68,AW$4-$B37+1)</f>
        <v/>
      </c>
      <c r="AX37" s="75">
        <f>$C37*INDEX(Curves!$AB$8:$AB$68,AX$4-$B37+1)</f>
        <v/>
      </c>
      <c r="AY37" s="75">
        <f>$C37*INDEX(Curves!$AB$8:$AB$68,AY$4-$B37+1)</f>
        <v/>
      </c>
      <c r="AZ37" s="75">
        <f>$C37*INDEX(Curves!$AB$8:$AB$68,AZ$4-$B37+1)</f>
        <v/>
      </c>
      <c r="BA37" s="75">
        <f>$C37*INDEX(Curves!$AB$8:$AB$68,BA$4-$B37+1)</f>
        <v/>
      </c>
      <c r="BB37" s="75">
        <f>$C37*INDEX(Curves!$AB$8:$AB$68,BB$4-$B37+1)</f>
        <v/>
      </c>
      <c r="BC37" s="75">
        <f>$C37*INDEX(Curves!$AB$8:$AB$68,BC$4-$B37+1)</f>
        <v/>
      </c>
      <c r="BD37" s="75">
        <f>$C37*INDEX(Curves!$AB$8:$AB$68,BD$4-$B37+1)</f>
        <v/>
      </c>
      <c r="BE37" s="75">
        <f>$C37*INDEX(Curves!$AB$8:$AB$68,BE$4-$B37+1)</f>
        <v/>
      </c>
      <c r="BF37" s="75">
        <f>$C37*INDEX(Curves!$AB$8:$AB$68,BF$4-$B37+1)</f>
        <v/>
      </c>
      <c r="BG37" s="75">
        <f>$C37*INDEX(Curves!$AB$8:$AB$68,BG$4-$B37+1)</f>
        <v/>
      </c>
      <c r="BH37" s="75">
        <f>$C37*INDEX(Curves!$AB$8:$AB$68,BH$4-$B37+1)</f>
        <v/>
      </c>
      <c r="BI37" s="75">
        <f>$C37*INDEX(Curves!$AB$8:$AB$68,BI$4-$B37+1)</f>
        <v/>
      </c>
      <c r="BJ37" s="75">
        <f>$C37*INDEX(Curves!$AB$8:$AB$68,BJ$4-$B37+1)</f>
        <v/>
      </c>
      <c r="BK37" s="75">
        <f>$C37*INDEX(Curves!$AB$8:$AB$68,BK$4-$B37+1)</f>
        <v/>
      </c>
      <c r="BL37" s="75">
        <f>$C37*INDEX(Curves!$AB$8:$AB$68,BL$4-$B37+1)</f>
        <v/>
      </c>
    </row>
    <row r="38">
      <c r="A38" s="74" t="inlineStr">
        <is>
          <t>Cohort month 29</t>
        </is>
      </c>
      <c r="B38" s="74" t="n">
        <v>29</v>
      </c>
      <c r="C38" s="17">
        <f>INDEX(Ops!$E$60:$BL$60,1,$B38)</f>
        <v/>
      </c>
      <c r="AH38" s="75">
        <f>$C38*INDEX(Curves!$AB$8:$AB$68,AH$4-$B38+1)</f>
        <v/>
      </c>
      <c r="AI38" s="75">
        <f>$C38*INDEX(Curves!$AB$8:$AB$68,AI$4-$B38+1)</f>
        <v/>
      </c>
      <c r="AJ38" s="75">
        <f>$C38*INDEX(Curves!$AB$8:$AB$68,AJ$4-$B38+1)</f>
        <v/>
      </c>
      <c r="AK38" s="75">
        <f>$C38*INDEX(Curves!$AB$8:$AB$68,AK$4-$B38+1)</f>
        <v/>
      </c>
      <c r="AL38" s="75">
        <f>$C38*INDEX(Curves!$AB$8:$AB$68,AL$4-$B38+1)</f>
        <v/>
      </c>
      <c r="AM38" s="75">
        <f>$C38*INDEX(Curves!$AB$8:$AB$68,AM$4-$B38+1)</f>
        <v/>
      </c>
      <c r="AN38" s="75">
        <f>$C38*INDEX(Curves!$AB$8:$AB$68,AN$4-$B38+1)</f>
        <v/>
      </c>
      <c r="AO38" s="75">
        <f>$C38*INDEX(Curves!$AB$8:$AB$68,AO$4-$B38+1)</f>
        <v/>
      </c>
      <c r="AP38" s="75">
        <f>$C38*INDEX(Curves!$AB$8:$AB$68,AP$4-$B38+1)</f>
        <v/>
      </c>
      <c r="AQ38" s="75">
        <f>$C38*INDEX(Curves!$AB$8:$AB$68,AQ$4-$B38+1)</f>
        <v/>
      </c>
      <c r="AR38" s="75">
        <f>$C38*INDEX(Curves!$AB$8:$AB$68,AR$4-$B38+1)</f>
        <v/>
      </c>
      <c r="AS38" s="75">
        <f>$C38*INDEX(Curves!$AB$8:$AB$68,AS$4-$B38+1)</f>
        <v/>
      </c>
      <c r="AT38" s="75">
        <f>$C38*INDEX(Curves!$AB$8:$AB$68,AT$4-$B38+1)</f>
        <v/>
      </c>
      <c r="AU38" s="75">
        <f>$C38*INDEX(Curves!$AB$8:$AB$68,AU$4-$B38+1)</f>
        <v/>
      </c>
      <c r="AV38" s="75">
        <f>$C38*INDEX(Curves!$AB$8:$AB$68,AV$4-$B38+1)</f>
        <v/>
      </c>
      <c r="AW38" s="75">
        <f>$C38*INDEX(Curves!$AB$8:$AB$68,AW$4-$B38+1)</f>
        <v/>
      </c>
      <c r="AX38" s="75">
        <f>$C38*INDEX(Curves!$AB$8:$AB$68,AX$4-$B38+1)</f>
        <v/>
      </c>
      <c r="AY38" s="75">
        <f>$C38*INDEX(Curves!$AB$8:$AB$68,AY$4-$B38+1)</f>
        <v/>
      </c>
      <c r="AZ38" s="75">
        <f>$C38*INDEX(Curves!$AB$8:$AB$68,AZ$4-$B38+1)</f>
        <v/>
      </c>
      <c r="BA38" s="75">
        <f>$C38*INDEX(Curves!$AB$8:$AB$68,BA$4-$B38+1)</f>
        <v/>
      </c>
      <c r="BB38" s="75">
        <f>$C38*INDEX(Curves!$AB$8:$AB$68,BB$4-$B38+1)</f>
        <v/>
      </c>
      <c r="BC38" s="75">
        <f>$C38*INDEX(Curves!$AB$8:$AB$68,BC$4-$B38+1)</f>
        <v/>
      </c>
      <c r="BD38" s="75">
        <f>$C38*INDEX(Curves!$AB$8:$AB$68,BD$4-$B38+1)</f>
        <v/>
      </c>
      <c r="BE38" s="75">
        <f>$C38*INDEX(Curves!$AB$8:$AB$68,BE$4-$B38+1)</f>
        <v/>
      </c>
      <c r="BF38" s="75">
        <f>$C38*INDEX(Curves!$AB$8:$AB$68,BF$4-$B38+1)</f>
        <v/>
      </c>
      <c r="BG38" s="75">
        <f>$C38*INDEX(Curves!$AB$8:$AB$68,BG$4-$B38+1)</f>
        <v/>
      </c>
      <c r="BH38" s="75">
        <f>$C38*INDEX(Curves!$AB$8:$AB$68,BH$4-$B38+1)</f>
        <v/>
      </c>
      <c r="BI38" s="75">
        <f>$C38*INDEX(Curves!$AB$8:$AB$68,BI$4-$B38+1)</f>
        <v/>
      </c>
      <c r="BJ38" s="75">
        <f>$C38*INDEX(Curves!$AB$8:$AB$68,BJ$4-$B38+1)</f>
        <v/>
      </c>
      <c r="BK38" s="75">
        <f>$C38*INDEX(Curves!$AB$8:$AB$68,BK$4-$B38+1)</f>
        <v/>
      </c>
      <c r="BL38" s="75">
        <f>$C38*INDEX(Curves!$AB$8:$AB$68,BL$4-$B38+1)</f>
        <v/>
      </c>
    </row>
    <row r="39">
      <c r="A39" s="74" t="inlineStr">
        <is>
          <t>Cohort month 30</t>
        </is>
      </c>
      <c r="B39" s="74" t="n">
        <v>30</v>
      </c>
      <c r="C39" s="17">
        <f>INDEX(Ops!$E$60:$BL$60,1,$B39)</f>
        <v/>
      </c>
      <c r="AI39" s="75">
        <f>$C39*INDEX(Curves!$AB$8:$AB$68,AI$4-$B39+1)</f>
        <v/>
      </c>
      <c r="AJ39" s="75">
        <f>$C39*INDEX(Curves!$AB$8:$AB$68,AJ$4-$B39+1)</f>
        <v/>
      </c>
      <c r="AK39" s="75">
        <f>$C39*INDEX(Curves!$AB$8:$AB$68,AK$4-$B39+1)</f>
        <v/>
      </c>
      <c r="AL39" s="75">
        <f>$C39*INDEX(Curves!$AB$8:$AB$68,AL$4-$B39+1)</f>
        <v/>
      </c>
      <c r="AM39" s="75">
        <f>$C39*INDEX(Curves!$AB$8:$AB$68,AM$4-$B39+1)</f>
        <v/>
      </c>
      <c r="AN39" s="75">
        <f>$C39*INDEX(Curves!$AB$8:$AB$68,AN$4-$B39+1)</f>
        <v/>
      </c>
      <c r="AO39" s="75">
        <f>$C39*INDEX(Curves!$AB$8:$AB$68,AO$4-$B39+1)</f>
        <v/>
      </c>
      <c r="AP39" s="75">
        <f>$C39*INDEX(Curves!$AB$8:$AB$68,AP$4-$B39+1)</f>
        <v/>
      </c>
      <c r="AQ39" s="75">
        <f>$C39*INDEX(Curves!$AB$8:$AB$68,AQ$4-$B39+1)</f>
        <v/>
      </c>
      <c r="AR39" s="75">
        <f>$C39*INDEX(Curves!$AB$8:$AB$68,AR$4-$B39+1)</f>
        <v/>
      </c>
      <c r="AS39" s="75">
        <f>$C39*INDEX(Curves!$AB$8:$AB$68,AS$4-$B39+1)</f>
        <v/>
      </c>
      <c r="AT39" s="75">
        <f>$C39*INDEX(Curves!$AB$8:$AB$68,AT$4-$B39+1)</f>
        <v/>
      </c>
      <c r="AU39" s="75">
        <f>$C39*INDEX(Curves!$AB$8:$AB$68,AU$4-$B39+1)</f>
        <v/>
      </c>
      <c r="AV39" s="75">
        <f>$C39*INDEX(Curves!$AB$8:$AB$68,AV$4-$B39+1)</f>
        <v/>
      </c>
      <c r="AW39" s="75">
        <f>$C39*INDEX(Curves!$AB$8:$AB$68,AW$4-$B39+1)</f>
        <v/>
      </c>
      <c r="AX39" s="75">
        <f>$C39*INDEX(Curves!$AB$8:$AB$68,AX$4-$B39+1)</f>
        <v/>
      </c>
      <c r="AY39" s="75">
        <f>$C39*INDEX(Curves!$AB$8:$AB$68,AY$4-$B39+1)</f>
        <v/>
      </c>
      <c r="AZ39" s="75">
        <f>$C39*INDEX(Curves!$AB$8:$AB$68,AZ$4-$B39+1)</f>
        <v/>
      </c>
      <c r="BA39" s="75">
        <f>$C39*INDEX(Curves!$AB$8:$AB$68,BA$4-$B39+1)</f>
        <v/>
      </c>
      <c r="BB39" s="75">
        <f>$C39*INDEX(Curves!$AB$8:$AB$68,BB$4-$B39+1)</f>
        <v/>
      </c>
      <c r="BC39" s="75">
        <f>$C39*INDEX(Curves!$AB$8:$AB$68,BC$4-$B39+1)</f>
        <v/>
      </c>
      <c r="BD39" s="75">
        <f>$C39*INDEX(Curves!$AB$8:$AB$68,BD$4-$B39+1)</f>
        <v/>
      </c>
      <c r="BE39" s="75">
        <f>$C39*INDEX(Curves!$AB$8:$AB$68,BE$4-$B39+1)</f>
        <v/>
      </c>
      <c r="BF39" s="75">
        <f>$C39*INDEX(Curves!$AB$8:$AB$68,BF$4-$B39+1)</f>
        <v/>
      </c>
      <c r="BG39" s="75">
        <f>$C39*INDEX(Curves!$AB$8:$AB$68,BG$4-$B39+1)</f>
        <v/>
      </c>
      <c r="BH39" s="75">
        <f>$C39*INDEX(Curves!$AB$8:$AB$68,BH$4-$B39+1)</f>
        <v/>
      </c>
      <c r="BI39" s="75">
        <f>$C39*INDEX(Curves!$AB$8:$AB$68,BI$4-$B39+1)</f>
        <v/>
      </c>
      <c r="BJ39" s="75">
        <f>$C39*INDEX(Curves!$AB$8:$AB$68,BJ$4-$B39+1)</f>
        <v/>
      </c>
      <c r="BK39" s="75">
        <f>$C39*INDEX(Curves!$AB$8:$AB$68,BK$4-$B39+1)</f>
        <v/>
      </c>
      <c r="BL39" s="75">
        <f>$C39*INDEX(Curves!$AB$8:$AB$68,BL$4-$B39+1)</f>
        <v/>
      </c>
    </row>
    <row r="40">
      <c r="A40" s="74" t="inlineStr">
        <is>
          <t>Cohort month 31</t>
        </is>
      </c>
      <c r="B40" s="74" t="n">
        <v>31</v>
      </c>
      <c r="C40" s="17">
        <f>INDEX(Ops!$E$60:$BL$60,1,$B40)</f>
        <v/>
      </c>
      <c r="AJ40" s="75">
        <f>$C40*INDEX(Curves!$AB$8:$AB$68,AJ$4-$B40+1)</f>
        <v/>
      </c>
      <c r="AK40" s="75">
        <f>$C40*INDEX(Curves!$AB$8:$AB$68,AK$4-$B40+1)</f>
        <v/>
      </c>
      <c r="AL40" s="75">
        <f>$C40*INDEX(Curves!$AB$8:$AB$68,AL$4-$B40+1)</f>
        <v/>
      </c>
      <c r="AM40" s="75">
        <f>$C40*INDEX(Curves!$AB$8:$AB$68,AM$4-$B40+1)</f>
        <v/>
      </c>
      <c r="AN40" s="75">
        <f>$C40*INDEX(Curves!$AB$8:$AB$68,AN$4-$B40+1)</f>
        <v/>
      </c>
      <c r="AO40" s="75">
        <f>$C40*INDEX(Curves!$AB$8:$AB$68,AO$4-$B40+1)</f>
        <v/>
      </c>
      <c r="AP40" s="75">
        <f>$C40*INDEX(Curves!$AB$8:$AB$68,AP$4-$B40+1)</f>
        <v/>
      </c>
      <c r="AQ40" s="75">
        <f>$C40*INDEX(Curves!$AB$8:$AB$68,AQ$4-$B40+1)</f>
        <v/>
      </c>
      <c r="AR40" s="75">
        <f>$C40*INDEX(Curves!$AB$8:$AB$68,AR$4-$B40+1)</f>
        <v/>
      </c>
      <c r="AS40" s="75">
        <f>$C40*INDEX(Curves!$AB$8:$AB$68,AS$4-$B40+1)</f>
        <v/>
      </c>
      <c r="AT40" s="75">
        <f>$C40*INDEX(Curves!$AB$8:$AB$68,AT$4-$B40+1)</f>
        <v/>
      </c>
      <c r="AU40" s="75">
        <f>$C40*INDEX(Curves!$AB$8:$AB$68,AU$4-$B40+1)</f>
        <v/>
      </c>
      <c r="AV40" s="75">
        <f>$C40*INDEX(Curves!$AB$8:$AB$68,AV$4-$B40+1)</f>
        <v/>
      </c>
      <c r="AW40" s="75">
        <f>$C40*INDEX(Curves!$AB$8:$AB$68,AW$4-$B40+1)</f>
        <v/>
      </c>
      <c r="AX40" s="75">
        <f>$C40*INDEX(Curves!$AB$8:$AB$68,AX$4-$B40+1)</f>
        <v/>
      </c>
      <c r="AY40" s="75">
        <f>$C40*INDEX(Curves!$AB$8:$AB$68,AY$4-$B40+1)</f>
        <v/>
      </c>
      <c r="AZ40" s="75">
        <f>$C40*INDEX(Curves!$AB$8:$AB$68,AZ$4-$B40+1)</f>
        <v/>
      </c>
      <c r="BA40" s="75">
        <f>$C40*INDEX(Curves!$AB$8:$AB$68,BA$4-$B40+1)</f>
        <v/>
      </c>
      <c r="BB40" s="75">
        <f>$C40*INDEX(Curves!$AB$8:$AB$68,BB$4-$B40+1)</f>
        <v/>
      </c>
      <c r="BC40" s="75">
        <f>$C40*INDEX(Curves!$AB$8:$AB$68,BC$4-$B40+1)</f>
        <v/>
      </c>
      <c r="BD40" s="75">
        <f>$C40*INDEX(Curves!$AB$8:$AB$68,BD$4-$B40+1)</f>
        <v/>
      </c>
      <c r="BE40" s="75">
        <f>$C40*INDEX(Curves!$AB$8:$AB$68,BE$4-$B40+1)</f>
        <v/>
      </c>
      <c r="BF40" s="75">
        <f>$C40*INDEX(Curves!$AB$8:$AB$68,BF$4-$B40+1)</f>
        <v/>
      </c>
      <c r="BG40" s="75">
        <f>$C40*INDEX(Curves!$AB$8:$AB$68,BG$4-$B40+1)</f>
        <v/>
      </c>
      <c r="BH40" s="75">
        <f>$C40*INDEX(Curves!$AB$8:$AB$68,BH$4-$B40+1)</f>
        <v/>
      </c>
      <c r="BI40" s="75">
        <f>$C40*INDEX(Curves!$AB$8:$AB$68,BI$4-$B40+1)</f>
        <v/>
      </c>
      <c r="BJ40" s="75">
        <f>$C40*INDEX(Curves!$AB$8:$AB$68,BJ$4-$B40+1)</f>
        <v/>
      </c>
      <c r="BK40" s="75">
        <f>$C40*INDEX(Curves!$AB$8:$AB$68,BK$4-$B40+1)</f>
        <v/>
      </c>
      <c r="BL40" s="75">
        <f>$C40*INDEX(Curves!$AB$8:$AB$68,BL$4-$B40+1)</f>
        <v/>
      </c>
    </row>
    <row r="41">
      <c r="A41" s="74" t="inlineStr">
        <is>
          <t>Cohort month 32</t>
        </is>
      </c>
      <c r="B41" s="74" t="n">
        <v>32</v>
      </c>
      <c r="C41" s="17">
        <f>INDEX(Ops!$E$60:$BL$60,1,$B41)</f>
        <v/>
      </c>
      <c r="AK41" s="75">
        <f>$C41*INDEX(Curves!$AB$8:$AB$68,AK$4-$B41+1)</f>
        <v/>
      </c>
      <c r="AL41" s="75">
        <f>$C41*INDEX(Curves!$AB$8:$AB$68,AL$4-$B41+1)</f>
        <v/>
      </c>
      <c r="AM41" s="75">
        <f>$C41*INDEX(Curves!$AB$8:$AB$68,AM$4-$B41+1)</f>
        <v/>
      </c>
      <c r="AN41" s="75">
        <f>$C41*INDEX(Curves!$AB$8:$AB$68,AN$4-$B41+1)</f>
        <v/>
      </c>
      <c r="AO41" s="75">
        <f>$C41*INDEX(Curves!$AB$8:$AB$68,AO$4-$B41+1)</f>
        <v/>
      </c>
      <c r="AP41" s="75">
        <f>$C41*INDEX(Curves!$AB$8:$AB$68,AP$4-$B41+1)</f>
        <v/>
      </c>
      <c r="AQ41" s="75">
        <f>$C41*INDEX(Curves!$AB$8:$AB$68,AQ$4-$B41+1)</f>
        <v/>
      </c>
      <c r="AR41" s="75">
        <f>$C41*INDEX(Curves!$AB$8:$AB$68,AR$4-$B41+1)</f>
        <v/>
      </c>
      <c r="AS41" s="75">
        <f>$C41*INDEX(Curves!$AB$8:$AB$68,AS$4-$B41+1)</f>
        <v/>
      </c>
      <c r="AT41" s="75">
        <f>$C41*INDEX(Curves!$AB$8:$AB$68,AT$4-$B41+1)</f>
        <v/>
      </c>
      <c r="AU41" s="75">
        <f>$C41*INDEX(Curves!$AB$8:$AB$68,AU$4-$B41+1)</f>
        <v/>
      </c>
      <c r="AV41" s="75">
        <f>$C41*INDEX(Curves!$AB$8:$AB$68,AV$4-$B41+1)</f>
        <v/>
      </c>
      <c r="AW41" s="75">
        <f>$C41*INDEX(Curves!$AB$8:$AB$68,AW$4-$B41+1)</f>
        <v/>
      </c>
      <c r="AX41" s="75">
        <f>$C41*INDEX(Curves!$AB$8:$AB$68,AX$4-$B41+1)</f>
        <v/>
      </c>
      <c r="AY41" s="75">
        <f>$C41*INDEX(Curves!$AB$8:$AB$68,AY$4-$B41+1)</f>
        <v/>
      </c>
      <c r="AZ41" s="75">
        <f>$C41*INDEX(Curves!$AB$8:$AB$68,AZ$4-$B41+1)</f>
        <v/>
      </c>
      <c r="BA41" s="75">
        <f>$C41*INDEX(Curves!$AB$8:$AB$68,BA$4-$B41+1)</f>
        <v/>
      </c>
      <c r="BB41" s="75">
        <f>$C41*INDEX(Curves!$AB$8:$AB$68,BB$4-$B41+1)</f>
        <v/>
      </c>
      <c r="BC41" s="75">
        <f>$C41*INDEX(Curves!$AB$8:$AB$68,BC$4-$B41+1)</f>
        <v/>
      </c>
      <c r="BD41" s="75">
        <f>$C41*INDEX(Curves!$AB$8:$AB$68,BD$4-$B41+1)</f>
        <v/>
      </c>
      <c r="BE41" s="75">
        <f>$C41*INDEX(Curves!$AB$8:$AB$68,BE$4-$B41+1)</f>
        <v/>
      </c>
      <c r="BF41" s="75">
        <f>$C41*INDEX(Curves!$AB$8:$AB$68,BF$4-$B41+1)</f>
        <v/>
      </c>
      <c r="BG41" s="75">
        <f>$C41*INDEX(Curves!$AB$8:$AB$68,BG$4-$B41+1)</f>
        <v/>
      </c>
      <c r="BH41" s="75">
        <f>$C41*INDEX(Curves!$AB$8:$AB$68,BH$4-$B41+1)</f>
        <v/>
      </c>
      <c r="BI41" s="75">
        <f>$C41*INDEX(Curves!$AB$8:$AB$68,BI$4-$B41+1)</f>
        <v/>
      </c>
      <c r="BJ41" s="75">
        <f>$C41*INDEX(Curves!$AB$8:$AB$68,BJ$4-$B41+1)</f>
        <v/>
      </c>
      <c r="BK41" s="75">
        <f>$C41*INDEX(Curves!$AB$8:$AB$68,BK$4-$B41+1)</f>
        <v/>
      </c>
      <c r="BL41" s="75">
        <f>$C41*INDEX(Curves!$AB$8:$AB$68,BL$4-$B41+1)</f>
        <v/>
      </c>
    </row>
    <row r="42">
      <c r="A42" s="74" t="inlineStr">
        <is>
          <t>Cohort month 33</t>
        </is>
      </c>
      <c r="B42" s="74" t="n">
        <v>33</v>
      </c>
      <c r="C42" s="17">
        <f>INDEX(Ops!$E$60:$BL$60,1,$B42)</f>
        <v/>
      </c>
      <c r="AL42" s="75">
        <f>$C42*INDEX(Curves!$AB$8:$AB$68,AL$4-$B42+1)</f>
        <v/>
      </c>
      <c r="AM42" s="75">
        <f>$C42*INDEX(Curves!$AB$8:$AB$68,AM$4-$B42+1)</f>
        <v/>
      </c>
      <c r="AN42" s="75">
        <f>$C42*INDEX(Curves!$AB$8:$AB$68,AN$4-$B42+1)</f>
        <v/>
      </c>
      <c r="AO42" s="75">
        <f>$C42*INDEX(Curves!$AB$8:$AB$68,AO$4-$B42+1)</f>
        <v/>
      </c>
      <c r="AP42" s="75">
        <f>$C42*INDEX(Curves!$AB$8:$AB$68,AP$4-$B42+1)</f>
        <v/>
      </c>
      <c r="AQ42" s="75">
        <f>$C42*INDEX(Curves!$AB$8:$AB$68,AQ$4-$B42+1)</f>
        <v/>
      </c>
      <c r="AR42" s="75">
        <f>$C42*INDEX(Curves!$AB$8:$AB$68,AR$4-$B42+1)</f>
        <v/>
      </c>
      <c r="AS42" s="75">
        <f>$C42*INDEX(Curves!$AB$8:$AB$68,AS$4-$B42+1)</f>
        <v/>
      </c>
      <c r="AT42" s="75">
        <f>$C42*INDEX(Curves!$AB$8:$AB$68,AT$4-$B42+1)</f>
        <v/>
      </c>
      <c r="AU42" s="75">
        <f>$C42*INDEX(Curves!$AB$8:$AB$68,AU$4-$B42+1)</f>
        <v/>
      </c>
      <c r="AV42" s="75">
        <f>$C42*INDEX(Curves!$AB$8:$AB$68,AV$4-$B42+1)</f>
        <v/>
      </c>
      <c r="AW42" s="75">
        <f>$C42*INDEX(Curves!$AB$8:$AB$68,AW$4-$B42+1)</f>
        <v/>
      </c>
      <c r="AX42" s="75">
        <f>$C42*INDEX(Curves!$AB$8:$AB$68,AX$4-$B42+1)</f>
        <v/>
      </c>
      <c r="AY42" s="75">
        <f>$C42*INDEX(Curves!$AB$8:$AB$68,AY$4-$B42+1)</f>
        <v/>
      </c>
      <c r="AZ42" s="75">
        <f>$C42*INDEX(Curves!$AB$8:$AB$68,AZ$4-$B42+1)</f>
        <v/>
      </c>
      <c r="BA42" s="75">
        <f>$C42*INDEX(Curves!$AB$8:$AB$68,BA$4-$B42+1)</f>
        <v/>
      </c>
      <c r="BB42" s="75">
        <f>$C42*INDEX(Curves!$AB$8:$AB$68,BB$4-$B42+1)</f>
        <v/>
      </c>
      <c r="BC42" s="75">
        <f>$C42*INDEX(Curves!$AB$8:$AB$68,BC$4-$B42+1)</f>
        <v/>
      </c>
      <c r="BD42" s="75">
        <f>$C42*INDEX(Curves!$AB$8:$AB$68,BD$4-$B42+1)</f>
        <v/>
      </c>
      <c r="BE42" s="75">
        <f>$C42*INDEX(Curves!$AB$8:$AB$68,BE$4-$B42+1)</f>
        <v/>
      </c>
      <c r="BF42" s="75">
        <f>$C42*INDEX(Curves!$AB$8:$AB$68,BF$4-$B42+1)</f>
        <v/>
      </c>
      <c r="BG42" s="75">
        <f>$C42*INDEX(Curves!$AB$8:$AB$68,BG$4-$B42+1)</f>
        <v/>
      </c>
      <c r="BH42" s="75">
        <f>$C42*INDEX(Curves!$AB$8:$AB$68,BH$4-$B42+1)</f>
        <v/>
      </c>
      <c r="BI42" s="75">
        <f>$C42*INDEX(Curves!$AB$8:$AB$68,BI$4-$B42+1)</f>
        <v/>
      </c>
      <c r="BJ42" s="75">
        <f>$C42*INDEX(Curves!$AB$8:$AB$68,BJ$4-$B42+1)</f>
        <v/>
      </c>
      <c r="BK42" s="75">
        <f>$C42*INDEX(Curves!$AB$8:$AB$68,BK$4-$B42+1)</f>
        <v/>
      </c>
      <c r="BL42" s="75">
        <f>$C42*INDEX(Curves!$AB$8:$AB$68,BL$4-$B42+1)</f>
        <v/>
      </c>
    </row>
    <row r="43">
      <c r="A43" s="74" t="inlineStr">
        <is>
          <t>Cohort month 34</t>
        </is>
      </c>
      <c r="B43" s="74" t="n">
        <v>34</v>
      </c>
      <c r="C43" s="17">
        <f>INDEX(Ops!$E$60:$BL$60,1,$B43)</f>
        <v/>
      </c>
      <c r="AM43" s="75">
        <f>$C43*INDEX(Curves!$AB$8:$AB$68,AM$4-$B43+1)</f>
        <v/>
      </c>
      <c r="AN43" s="75">
        <f>$C43*INDEX(Curves!$AB$8:$AB$68,AN$4-$B43+1)</f>
        <v/>
      </c>
      <c r="AO43" s="75">
        <f>$C43*INDEX(Curves!$AB$8:$AB$68,AO$4-$B43+1)</f>
        <v/>
      </c>
      <c r="AP43" s="75">
        <f>$C43*INDEX(Curves!$AB$8:$AB$68,AP$4-$B43+1)</f>
        <v/>
      </c>
      <c r="AQ43" s="75">
        <f>$C43*INDEX(Curves!$AB$8:$AB$68,AQ$4-$B43+1)</f>
        <v/>
      </c>
      <c r="AR43" s="75">
        <f>$C43*INDEX(Curves!$AB$8:$AB$68,AR$4-$B43+1)</f>
        <v/>
      </c>
      <c r="AS43" s="75">
        <f>$C43*INDEX(Curves!$AB$8:$AB$68,AS$4-$B43+1)</f>
        <v/>
      </c>
      <c r="AT43" s="75">
        <f>$C43*INDEX(Curves!$AB$8:$AB$68,AT$4-$B43+1)</f>
        <v/>
      </c>
      <c r="AU43" s="75">
        <f>$C43*INDEX(Curves!$AB$8:$AB$68,AU$4-$B43+1)</f>
        <v/>
      </c>
      <c r="AV43" s="75">
        <f>$C43*INDEX(Curves!$AB$8:$AB$68,AV$4-$B43+1)</f>
        <v/>
      </c>
      <c r="AW43" s="75">
        <f>$C43*INDEX(Curves!$AB$8:$AB$68,AW$4-$B43+1)</f>
        <v/>
      </c>
      <c r="AX43" s="75">
        <f>$C43*INDEX(Curves!$AB$8:$AB$68,AX$4-$B43+1)</f>
        <v/>
      </c>
      <c r="AY43" s="75">
        <f>$C43*INDEX(Curves!$AB$8:$AB$68,AY$4-$B43+1)</f>
        <v/>
      </c>
      <c r="AZ43" s="75">
        <f>$C43*INDEX(Curves!$AB$8:$AB$68,AZ$4-$B43+1)</f>
        <v/>
      </c>
      <c r="BA43" s="75">
        <f>$C43*INDEX(Curves!$AB$8:$AB$68,BA$4-$B43+1)</f>
        <v/>
      </c>
      <c r="BB43" s="75">
        <f>$C43*INDEX(Curves!$AB$8:$AB$68,BB$4-$B43+1)</f>
        <v/>
      </c>
      <c r="BC43" s="75">
        <f>$C43*INDEX(Curves!$AB$8:$AB$68,BC$4-$B43+1)</f>
        <v/>
      </c>
      <c r="BD43" s="75">
        <f>$C43*INDEX(Curves!$AB$8:$AB$68,BD$4-$B43+1)</f>
        <v/>
      </c>
      <c r="BE43" s="75">
        <f>$C43*INDEX(Curves!$AB$8:$AB$68,BE$4-$B43+1)</f>
        <v/>
      </c>
      <c r="BF43" s="75">
        <f>$C43*INDEX(Curves!$AB$8:$AB$68,BF$4-$B43+1)</f>
        <v/>
      </c>
      <c r="BG43" s="75">
        <f>$C43*INDEX(Curves!$AB$8:$AB$68,BG$4-$B43+1)</f>
        <v/>
      </c>
      <c r="BH43" s="75">
        <f>$C43*INDEX(Curves!$AB$8:$AB$68,BH$4-$B43+1)</f>
        <v/>
      </c>
      <c r="BI43" s="75">
        <f>$C43*INDEX(Curves!$AB$8:$AB$68,BI$4-$B43+1)</f>
        <v/>
      </c>
      <c r="BJ43" s="75">
        <f>$C43*INDEX(Curves!$AB$8:$AB$68,BJ$4-$B43+1)</f>
        <v/>
      </c>
      <c r="BK43" s="75">
        <f>$C43*INDEX(Curves!$AB$8:$AB$68,BK$4-$B43+1)</f>
        <v/>
      </c>
      <c r="BL43" s="75">
        <f>$C43*INDEX(Curves!$AB$8:$AB$68,BL$4-$B43+1)</f>
        <v/>
      </c>
    </row>
    <row r="44">
      <c r="A44" s="74" t="inlineStr">
        <is>
          <t>Cohort month 35</t>
        </is>
      </c>
      <c r="B44" s="74" t="n">
        <v>35</v>
      </c>
      <c r="C44" s="17">
        <f>INDEX(Ops!$E$60:$BL$60,1,$B44)</f>
        <v/>
      </c>
      <c r="AN44" s="75">
        <f>$C44*INDEX(Curves!$AB$8:$AB$68,AN$4-$B44+1)</f>
        <v/>
      </c>
      <c r="AO44" s="75">
        <f>$C44*INDEX(Curves!$AB$8:$AB$68,AO$4-$B44+1)</f>
        <v/>
      </c>
      <c r="AP44" s="75">
        <f>$C44*INDEX(Curves!$AB$8:$AB$68,AP$4-$B44+1)</f>
        <v/>
      </c>
      <c r="AQ44" s="75">
        <f>$C44*INDEX(Curves!$AB$8:$AB$68,AQ$4-$B44+1)</f>
        <v/>
      </c>
      <c r="AR44" s="75">
        <f>$C44*INDEX(Curves!$AB$8:$AB$68,AR$4-$B44+1)</f>
        <v/>
      </c>
      <c r="AS44" s="75">
        <f>$C44*INDEX(Curves!$AB$8:$AB$68,AS$4-$B44+1)</f>
        <v/>
      </c>
      <c r="AT44" s="75">
        <f>$C44*INDEX(Curves!$AB$8:$AB$68,AT$4-$B44+1)</f>
        <v/>
      </c>
      <c r="AU44" s="75">
        <f>$C44*INDEX(Curves!$AB$8:$AB$68,AU$4-$B44+1)</f>
        <v/>
      </c>
      <c r="AV44" s="75">
        <f>$C44*INDEX(Curves!$AB$8:$AB$68,AV$4-$B44+1)</f>
        <v/>
      </c>
      <c r="AW44" s="75">
        <f>$C44*INDEX(Curves!$AB$8:$AB$68,AW$4-$B44+1)</f>
        <v/>
      </c>
      <c r="AX44" s="75">
        <f>$C44*INDEX(Curves!$AB$8:$AB$68,AX$4-$B44+1)</f>
        <v/>
      </c>
      <c r="AY44" s="75">
        <f>$C44*INDEX(Curves!$AB$8:$AB$68,AY$4-$B44+1)</f>
        <v/>
      </c>
      <c r="AZ44" s="75">
        <f>$C44*INDEX(Curves!$AB$8:$AB$68,AZ$4-$B44+1)</f>
        <v/>
      </c>
      <c r="BA44" s="75">
        <f>$C44*INDEX(Curves!$AB$8:$AB$68,BA$4-$B44+1)</f>
        <v/>
      </c>
      <c r="BB44" s="75">
        <f>$C44*INDEX(Curves!$AB$8:$AB$68,BB$4-$B44+1)</f>
        <v/>
      </c>
      <c r="BC44" s="75">
        <f>$C44*INDEX(Curves!$AB$8:$AB$68,BC$4-$B44+1)</f>
        <v/>
      </c>
      <c r="BD44" s="75">
        <f>$C44*INDEX(Curves!$AB$8:$AB$68,BD$4-$B44+1)</f>
        <v/>
      </c>
      <c r="BE44" s="75">
        <f>$C44*INDEX(Curves!$AB$8:$AB$68,BE$4-$B44+1)</f>
        <v/>
      </c>
      <c r="BF44" s="75">
        <f>$C44*INDEX(Curves!$AB$8:$AB$68,BF$4-$B44+1)</f>
        <v/>
      </c>
      <c r="BG44" s="75">
        <f>$C44*INDEX(Curves!$AB$8:$AB$68,BG$4-$B44+1)</f>
        <v/>
      </c>
      <c r="BH44" s="75">
        <f>$C44*INDEX(Curves!$AB$8:$AB$68,BH$4-$B44+1)</f>
        <v/>
      </c>
      <c r="BI44" s="75">
        <f>$C44*INDEX(Curves!$AB$8:$AB$68,BI$4-$B44+1)</f>
        <v/>
      </c>
      <c r="BJ44" s="75">
        <f>$C44*INDEX(Curves!$AB$8:$AB$68,BJ$4-$B44+1)</f>
        <v/>
      </c>
      <c r="BK44" s="75">
        <f>$C44*INDEX(Curves!$AB$8:$AB$68,BK$4-$B44+1)</f>
        <v/>
      </c>
      <c r="BL44" s="75">
        <f>$C44*INDEX(Curves!$AB$8:$AB$68,BL$4-$B44+1)</f>
        <v/>
      </c>
    </row>
    <row r="45">
      <c r="A45" s="74" t="inlineStr">
        <is>
          <t>Cohort month 36</t>
        </is>
      </c>
      <c r="B45" s="74" t="n">
        <v>36</v>
      </c>
      <c r="C45" s="17">
        <f>INDEX(Ops!$E$60:$BL$60,1,$B45)</f>
        <v/>
      </c>
      <c r="AO45" s="75">
        <f>$C45*INDEX(Curves!$AB$8:$AB$68,AO$4-$B45+1)</f>
        <v/>
      </c>
      <c r="AP45" s="75">
        <f>$C45*INDEX(Curves!$AB$8:$AB$68,AP$4-$B45+1)</f>
        <v/>
      </c>
      <c r="AQ45" s="75">
        <f>$C45*INDEX(Curves!$AB$8:$AB$68,AQ$4-$B45+1)</f>
        <v/>
      </c>
      <c r="AR45" s="75">
        <f>$C45*INDEX(Curves!$AB$8:$AB$68,AR$4-$B45+1)</f>
        <v/>
      </c>
      <c r="AS45" s="75">
        <f>$C45*INDEX(Curves!$AB$8:$AB$68,AS$4-$B45+1)</f>
        <v/>
      </c>
      <c r="AT45" s="75">
        <f>$C45*INDEX(Curves!$AB$8:$AB$68,AT$4-$B45+1)</f>
        <v/>
      </c>
      <c r="AU45" s="75">
        <f>$C45*INDEX(Curves!$AB$8:$AB$68,AU$4-$B45+1)</f>
        <v/>
      </c>
      <c r="AV45" s="75">
        <f>$C45*INDEX(Curves!$AB$8:$AB$68,AV$4-$B45+1)</f>
        <v/>
      </c>
      <c r="AW45" s="75">
        <f>$C45*INDEX(Curves!$AB$8:$AB$68,AW$4-$B45+1)</f>
        <v/>
      </c>
      <c r="AX45" s="75">
        <f>$C45*INDEX(Curves!$AB$8:$AB$68,AX$4-$B45+1)</f>
        <v/>
      </c>
      <c r="AY45" s="75">
        <f>$C45*INDEX(Curves!$AB$8:$AB$68,AY$4-$B45+1)</f>
        <v/>
      </c>
      <c r="AZ45" s="75">
        <f>$C45*INDEX(Curves!$AB$8:$AB$68,AZ$4-$B45+1)</f>
        <v/>
      </c>
      <c r="BA45" s="75">
        <f>$C45*INDEX(Curves!$AB$8:$AB$68,BA$4-$B45+1)</f>
        <v/>
      </c>
      <c r="BB45" s="75">
        <f>$C45*INDEX(Curves!$AB$8:$AB$68,BB$4-$B45+1)</f>
        <v/>
      </c>
      <c r="BC45" s="75">
        <f>$C45*INDEX(Curves!$AB$8:$AB$68,BC$4-$B45+1)</f>
        <v/>
      </c>
      <c r="BD45" s="75">
        <f>$C45*INDEX(Curves!$AB$8:$AB$68,BD$4-$B45+1)</f>
        <v/>
      </c>
      <c r="BE45" s="75">
        <f>$C45*INDEX(Curves!$AB$8:$AB$68,BE$4-$B45+1)</f>
        <v/>
      </c>
      <c r="BF45" s="75">
        <f>$C45*INDEX(Curves!$AB$8:$AB$68,BF$4-$B45+1)</f>
        <v/>
      </c>
      <c r="BG45" s="75">
        <f>$C45*INDEX(Curves!$AB$8:$AB$68,BG$4-$B45+1)</f>
        <v/>
      </c>
      <c r="BH45" s="75">
        <f>$C45*INDEX(Curves!$AB$8:$AB$68,BH$4-$B45+1)</f>
        <v/>
      </c>
      <c r="BI45" s="75">
        <f>$C45*INDEX(Curves!$AB$8:$AB$68,BI$4-$B45+1)</f>
        <v/>
      </c>
      <c r="BJ45" s="75">
        <f>$C45*INDEX(Curves!$AB$8:$AB$68,BJ$4-$B45+1)</f>
        <v/>
      </c>
      <c r="BK45" s="75">
        <f>$C45*INDEX(Curves!$AB$8:$AB$68,BK$4-$B45+1)</f>
        <v/>
      </c>
      <c r="BL45" s="75">
        <f>$C45*INDEX(Curves!$AB$8:$AB$68,BL$4-$B45+1)</f>
        <v/>
      </c>
    </row>
    <row r="46">
      <c r="A46" s="74" t="inlineStr">
        <is>
          <t>Cohort month 37</t>
        </is>
      </c>
      <c r="B46" s="74" t="n">
        <v>37</v>
      </c>
      <c r="C46" s="17">
        <f>INDEX(Ops!$E$60:$BL$60,1,$B46)</f>
        <v/>
      </c>
      <c r="AP46" s="75">
        <f>$C46*INDEX(Curves!$AB$8:$AB$68,AP$4-$B46+1)</f>
        <v/>
      </c>
      <c r="AQ46" s="75">
        <f>$C46*INDEX(Curves!$AB$8:$AB$68,AQ$4-$B46+1)</f>
        <v/>
      </c>
      <c r="AR46" s="75">
        <f>$C46*INDEX(Curves!$AB$8:$AB$68,AR$4-$B46+1)</f>
        <v/>
      </c>
      <c r="AS46" s="75">
        <f>$C46*INDEX(Curves!$AB$8:$AB$68,AS$4-$B46+1)</f>
        <v/>
      </c>
      <c r="AT46" s="75">
        <f>$C46*INDEX(Curves!$AB$8:$AB$68,AT$4-$B46+1)</f>
        <v/>
      </c>
      <c r="AU46" s="75">
        <f>$C46*INDEX(Curves!$AB$8:$AB$68,AU$4-$B46+1)</f>
        <v/>
      </c>
      <c r="AV46" s="75">
        <f>$C46*INDEX(Curves!$AB$8:$AB$68,AV$4-$B46+1)</f>
        <v/>
      </c>
      <c r="AW46" s="75">
        <f>$C46*INDEX(Curves!$AB$8:$AB$68,AW$4-$B46+1)</f>
        <v/>
      </c>
      <c r="AX46" s="75">
        <f>$C46*INDEX(Curves!$AB$8:$AB$68,AX$4-$B46+1)</f>
        <v/>
      </c>
      <c r="AY46" s="75">
        <f>$C46*INDEX(Curves!$AB$8:$AB$68,AY$4-$B46+1)</f>
        <v/>
      </c>
      <c r="AZ46" s="75">
        <f>$C46*INDEX(Curves!$AB$8:$AB$68,AZ$4-$B46+1)</f>
        <v/>
      </c>
      <c r="BA46" s="75">
        <f>$C46*INDEX(Curves!$AB$8:$AB$68,BA$4-$B46+1)</f>
        <v/>
      </c>
      <c r="BB46" s="75">
        <f>$C46*INDEX(Curves!$AB$8:$AB$68,BB$4-$B46+1)</f>
        <v/>
      </c>
      <c r="BC46" s="75">
        <f>$C46*INDEX(Curves!$AB$8:$AB$68,BC$4-$B46+1)</f>
        <v/>
      </c>
      <c r="BD46" s="75">
        <f>$C46*INDEX(Curves!$AB$8:$AB$68,BD$4-$B46+1)</f>
        <v/>
      </c>
      <c r="BE46" s="75">
        <f>$C46*INDEX(Curves!$AB$8:$AB$68,BE$4-$B46+1)</f>
        <v/>
      </c>
      <c r="BF46" s="75">
        <f>$C46*INDEX(Curves!$AB$8:$AB$68,BF$4-$B46+1)</f>
        <v/>
      </c>
      <c r="BG46" s="75">
        <f>$C46*INDEX(Curves!$AB$8:$AB$68,BG$4-$B46+1)</f>
        <v/>
      </c>
      <c r="BH46" s="75">
        <f>$C46*INDEX(Curves!$AB$8:$AB$68,BH$4-$B46+1)</f>
        <v/>
      </c>
      <c r="BI46" s="75">
        <f>$C46*INDEX(Curves!$AB$8:$AB$68,BI$4-$B46+1)</f>
        <v/>
      </c>
      <c r="BJ46" s="75">
        <f>$C46*INDEX(Curves!$AB$8:$AB$68,BJ$4-$B46+1)</f>
        <v/>
      </c>
      <c r="BK46" s="75">
        <f>$C46*INDEX(Curves!$AB$8:$AB$68,BK$4-$B46+1)</f>
        <v/>
      </c>
      <c r="BL46" s="75">
        <f>$C46*INDEX(Curves!$AB$8:$AB$68,BL$4-$B46+1)</f>
        <v/>
      </c>
    </row>
    <row r="47">
      <c r="A47" s="74" t="inlineStr">
        <is>
          <t>Cohort month 38</t>
        </is>
      </c>
      <c r="B47" s="74" t="n">
        <v>38</v>
      </c>
      <c r="C47" s="17">
        <f>INDEX(Ops!$E$60:$BL$60,1,$B47)</f>
        <v/>
      </c>
      <c r="AQ47" s="75">
        <f>$C47*INDEX(Curves!$AB$8:$AB$68,AQ$4-$B47+1)</f>
        <v/>
      </c>
      <c r="AR47" s="75">
        <f>$C47*INDEX(Curves!$AB$8:$AB$68,AR$4-$B47+1)</f>
        <v/>
      </c>
      <c r="AS47" s="75">
        <f>$C47*INDEX(Curves!$AB$8:$AB$68,AS$4-$B47+1)</f>
        <v/>
      </c>
      <c r="AT47" s="75">
        <f>$C47*INDEX(Curves!$AB$8:$AB$68,AT$4-$B47+1)</f>
        <v/>
      </c>
      <c r="AU47" s="75">
        <f>$C47*INDEX(Curves!$AB$8:$AB$68,AU$4-$B47+1)</f>
        <v/>
      </c>
      <c r="AV47" s="75">
        <f>$C47*INDEX(Curves!$AB$8:$AB$68,AV$4-$B47+1)</f>
        <v/>
      </c>
      <c r="AW47" s="75">
        <f>$C47*INDEX(Curves!$AB$8:$AB$68,AW$4-$B47+1)</f>
        <v/>
      </c>
      <c r="AX47" s="75">
        <f>$C47*INDEX(Curves!$AB$8:$AB$68,AX$4-$B47+1)</f>
        <v/>
      </c>
      <c r="AY47" s="75">
        <f>$C47*INDEX(Curves!$AB$8:$AB$68,AY$4-$B47+1)</f>
        <v/>
      </c>
      <c r="AZ47" s="75">
        <f>$C47*INDEX(Curves!$AB$8:$AB$68,AZ$4-$B47+1)</f>
        <v/>
      </c>
      <c r="BA47" s="75">
        <f>$C47*INDEX(Curves!$AB$8:$AB$68,BA$4-$B47+1)</f>
        <v/>
      </c>
      <c r="BB47" s="75">
        <f>$C47*INDEX(Curves!$AB$8:$AB$68,BB$4-$B47+1)</f>
        <v/>
      </c>
      <c r="BC47" s="75">
        <f>$C47*INDEX(Curves!$AB$8:$AB$68,BC$4-$B47+1)</f>
        <v/>
      </c>
      <c r="BD47" s="75">
        <f>$C47*INDEX(Curves!$AB$8:$AB$68,BD$4-$B47+1)</f>
        <v/>
      </c>
      <c r="BE47" s="75">
        <f>$C47*INDEX(Curves!$AB$8:$AB$68,BE$4-$B47+1)</f>
        <v/>
      </c>
      <c r="BF47" s="75">
        <f>$C47*INDEX(Curves!$AB$8:$AB$68,BF$4-$B47+1)</f>
        <v/>
      </c>
      <c r="BG47" s="75">
        <f>$C47*INDEX(Curves!$AB$8:$AB$68,BG$4-$B47+1)</f>
        <v/>
      </c>
      <c r="BH47" s="75">
        <f>$C47*INDEX(Curves!$AB$8:$AB$68,BH$4-$B47+1)</f>
        <v/>
      </c>
      <c r="BI47" s="75">
        <f>$C47*INDEX(Curves!$AB$8:$AB$68,BI$4-$B47+1)</f>
        <v/>
      </c>
      <c r="BJ47" s="75">
        <f>$C47*INDEX(Curves!$AB$8:$AB$68,BJ$4-$B47+1)</f>
        <v/>
      </c>
      <c r="BK47" s="75">
        <f>$C47*INDEX(Curves!$AB$8:$AB$68,BK$4-$B47+1)</f>
        <v/>
      </c>
      <c r="BL47" s="75">
        <f>$C47*INDEX(Curves!$AB$8:$AB$68,BL$4-$B47+1)</f>
        <v/>
      </c>
    </row>
    <row r="48">
      <c r="A48" s="74" t="inlineStr">
        <is>
          <t>Cohort month 39</t>
        </is>
      </c>
      <c r="B48" s="74" t="n">
        <v>39</v>
      </c>
      <c r="C48" s="17">
        <f>INDEX(Ops!$E$60:$BL$60,1,$B48)</f>
        <v/>
      </c>
      <c r="AR48" s="75">
        <f>$C48*INDEX(Curves!$AB$8:$AB$68,AR$4-$B48+1)</f>
        <v/>
      </c>
      <c r="AS48" s="75">
        <f>$C48*INDEX(Curves!$AB$8:$AB$68,AS$4-$B48+1)</f>
        <v/>
      </c>
      <c r="AT48" s="75">
        <f>$C48*INDEX(Curves!$AB$8:$AB$68,AT$4-$B48+1)</f>
        <v/>
      </c>
      <c r="AU48" s="75">
        <f>$C48*INDEX(Curves!$AB$8:$AB$68,AU$4-$B48+1)</f>
        <v/>
      </c>
      <c r="AV48" s="75">
        <f>$C48*INDEX(Curves!$AB$8:$AB$68,AV$4-$B48+1)</f>
        <v/>
      </c>
      <c r="AW48" s="75">
        <f>$C48*INDEX(Curves!$AB$8:$AB$68,AW$4-$B48+1)</f>
        <v/>
      </c>
      <c r="AX48" s="75">
        <f>$C48*INDEX(Curves!$AB$8:$AB$68,AX$4-$B48+1)</f>
        <v/>
      </c>
      <c r="AY48" s="75">
        <f>$C48*INDEX(Curves!$AB$8:$AB$68,AY$4-$B48+1)</f>
        <v/>
      </c>
      <c r="AZ48" s="75">
        <f>$C48*INDEX(Curves!$AB$8:$AB$68,AZ$4-$B48+1)</f>
        <v/>
      </c>
      <c r="BA48" s="75">
        <f>$C48*INDEX(Curves!$AB$8:$AB$68,BA$4-$B48+1)</f>
        <v/>
      </c>
      <c r="BB48" s="75">
        <f>$C48*INDEX(Curves!$AB$8:$AB$68,BB$4-$B48+1)</f>
        <v/>
      </c>
      <c r="BC48" s="75">
        <f>$C48*INDEX(Curves!$AB$8:$AB$68,BC$4-$B48+1)</f>
        <v/>
      </c>
      <c r="BD48" s="75">
        <f>$C48*INDEX(Curves!$AB$8:$AB$68,BD$4-$B48+1)</f>
        <v/>
      </c>
      <c r="BE48" s="75">
        <f>$C48*INDEX(Curves!$AB$8:$AB$68,BE$4-$B48+1)</f>
        <v/>
      </c>
      <c r="BF48" s="75">
        <f>$C48*INDEX(Curves!$AB$8:$AB$68,BF$4-$B48+1)</f>
        <v/>
      </c>
      <c r="BG48" s="75">
        <f>$C48*INDEX(Curves!$AB$8:$AB$68,BG$4-$B48+1)</f>
        <v/>
      </c>
      <c r="BH48" s="75">
        <f>$C48*INDEX(Curves!$AB$8:$AB$68,BH$4-$B48+1)</f>
        <v/>
      </c>
      <c r="BI48" s="75">
        <f>$C48*INDEX(Curves!$AB$8:$AB$68,BI$4-$B48+1)</f>
        <v/>
      </c>
      <c r="BJ48" s="75">
        <f>$C48*INDEX(Curves!$AB$8:$AB$68,BJ$4-$B48+1)</f>
        <v/>
      </c>
      <c r="BK48" s="75">
        <f>$C48*INDEX(Curves!$AB$8:$AB$68,BK$4-$B48+1)</f>
        <v/>
      </c>
      <c r="BL48" s="75">
        <f>$C48*INDEX(Curves!$AB$8:$AB$68,BL$4-$B48+1)</f>
        <v/>
      </c>
    </row>
    <row r="49">
      <c r="A49" s="74" t="inlineStr">
        <is>
          <t>Cohort month 40</t>
        </is>
      </c>
      <c r="B49" s="74" t="n">
        <v>40</v>
      </c>
      <c r="C49" s="17">
        <f>INDEX(Ops!$E$60:$BL$60,1,$B49)</f>
        <v/>
      </c>
      <c r="AS49" s="75">
        <f>$C49*INDEX(Curves!$AB$8:$AB$68,AS$4-$B49+1)</f>
        <v/>
      </c>
      <c r="AT49" s="75">
        <f>$C49*INDEX(Curves!$AB$8:$AB$68,AT$4-$B49+1)</f>
        <v/>
      </c>
      <c r="AU49" s="75">
        <f>$C49*INDEX(Curves!$AB$8:$AB$68,AU$4-$B49+1)</f>
        <v/>
      </c>
      <c r="AV49" s="75">
        <f>$C49*INDEX(Curves!$AB$8:$AB$68,AV$4-$B49+1)</f>
        <v/>
      </c>
      <c r="AW49" s="75">
        <f>$C49*INDEX(Curves!$AB$8:$AB$68,AW$4-$B49+1)</f>
        <v/>
      </c>
      <c r="AX49" s="75">
        <f>$C49*INDEX(Curves!$AB$8:$AB$68,AX$4-$B49+1)</f>
        <v/>
      </c>
      <c r="AY49" s="75">
        <f>$C49*INDEX(Curves!$AB$8:$AB$68,AY$4-$B49+1)</f>
        <v/>
      </c>
      <c r="AZ49" s="75">
        <f>$C49*INDEX(Curves!$AB$8:$AB$68,AZ$4-$B49+1)</f>
        <v/>
      </c>
      <c r="BA49" s="75">
        <f>$C49*INDEX(Curves!$AB$8:$AB$68,BA$4-$B49+1)</f>
        <v/>
      </c>
      <c r="BB49" s="75">
        <f>$C49*INDEX(Curves!$AB$8:$AB$68,BB$4-$B49+1)</f>
        <v/>
      </c>
      <c r="BC49" s="75">
        <f>$C49*INDEX(Curves!$AB$8:$AB$68,BC$4-$B49+1)</f>
        <v/>
      </c>
      <c r="BD49" s="75">
        <f>$C49*INDEX(Curves!$AB$8:$AB$68,BD$4-$B49+1)</f>
        <v/>
      </c>
      <c r="BE49" s="75">
        <f>$C49*INDEX(Curves!$AB$8:$AB$68,BE$4-$B49+1)</f>
        <v/>
      </c>
      <c r="BF49" s="75">
        <f>$C49*INDEX(Curves!$AB$8:$AB$68,BF$4-$B49+1)</f>
        <v/>
      </c>
      <c r="BG49" s="75">
        <f>$C49*INDEX(Curves!$AB$8:$AB$68,BG$4-$B49+1)</f>
        <v/>
      </c>
      <c r="BH49" s="75">
        <f>$C49*INDEX(Curves!$AB$8:$AB$68,BH$4-$B49+1)</f>
        <v/>
      </c>
      <c r="BI49" s="75">
        <f>$C49*INDEX(Curves!$AB$8:$AB$68,BI$4-$B49+1)</f>
        <v/>
      </c>
      <c r="BJ49" s="75">
        <f>$C49*INDEX(Curves!$AB$8:$AB$68,BJ$4-$B49+1)</f>
        <v/>
      </c>
      <c r="BK49" s="75">
        <f>$C49*INDEX(Curves!$AB$8:$AB$68,BK$4-$B49+1)</f>
        <v/>
      </c>
      <c r="BL49" s="75">
        <f>$C49*INDEX(Curves!$AB$8:$AB$68,BL$4-$B49+1)</f>
        <v/>
      </c>
    </row>
    <row r="50">
      <c r="A50" s="74" t="inlineStr">
        <is>
          <t>Cohort month 41</t>
        </is>
      </c>
      <c r="B50" s="74" t="n">
        <v>41</v>
      </c>
      <c r="C50" s="17">
        <f>INDEX(Ops!$E$60:$BL$60,1,$B50)</f>
        <v/>
      </c>
      <c r="AT50" s="75">
        <f>$C50*INDEX(Curves!$AB$8:$AB$68,AT$4-$B50+1)</f>
        <v/>
      </c>
      <c r="AU50" s="75">
        <f>$C50*INDEX(Curves!$AB$8:$AB$68,AU$4-$B50+1)</f>
        <v/>
      </c>
      <c r="AV50" s="75">
        <f>$C50*INDEX(Curves!$AB$8:$AB$68,AV$4-$B50+1)</f>
        <v/>
      </c>
      <c r="AW50" s="75">
        <f>$C50*INDEX(Curves!$AB$8:$AB$68,AW$4-$B50+1)</f>
        <v/>
      </c>
      <c r="AX50" s="75">
        <f>$C50*INDEX(Curves!$AB$8:$AB$68,AX$4-$B50+1)</f>
        <v/>
      </c>
      <c r="AY50" s="75">
        <f>$C50*INDEX(Curves!$AB$8:$AB$68,AY$4-$B50+1)</f>
        <v/>
      </c>
      <c r="AZ50" s="75">
        <f>$C50*INDEX(Curves!$AB$8:$AB$68,AZ$4-$B50+1)</f>
        <v/>
      </c>
      <c r="BA50" s="75">
        <f>$C50*INDEX(Curves!$AB$8:$AB$68,BA$4-$B50+1)</f>
        <v/>
      </c>
      <c r="BB50" s="75">
        <f>$C50*INDEX(Curves!$AB$8:$AB$68,BB$4-$B50+1)</f>
        <v/>
      </c>
      <c r="BC50" s="75">
        <f>$C50*INDEX(Curves!$AB$8:$AB$68,BC$4-$B50+1)</f>
        <v/>
      </c>
      <c r="BD50" s="75">
        <f>$C50*INDEX(Curves!$AB$8:$AB$68,BD$4-$B50+1)</f>
        <v/>
      </c>
      <c r="BE50" s="75">
        <f>$C50*INDEX(Curves!$AB$8:$AB$68,BE$4-$B50+1)</f>
        <v/>
      </c>
      <c r="BF50" s="75">
        <f>$C50*INDEX(Curves!$AB$8:$AB$68,BF$4-$B50+1)</f>
        <v/>
      </c>
      <c r="BG50" s="75">
        <f>$C50*INDEX(Curves!$AB$8:$AB$68,BG$4-$B50+1)</f>
        <v/>
      </c>
      <c r="BH50" s="75">
        <f>$C50*INDEX(Curves!$AB$8:$AB$68,BH$4-$B50+1)</f>
        <v/>
      </c>
      <c r="BI50" s="75">
        <f>$C50*INDEX(Curves!$AB$8:$AB$68,BI$4-$B50+1)</f>
        <v/>
      </c>
      <c r="BJ50" s="75">
        <f>$C50*INDEX(Curves!$AB$8:$AB$68,BJ$4-$B50+1)</f>
        <v/>
      </c>
      <c r="BK50" s="75">
        <f>$C50*INDEX(Curves!$AB$8:$AB$68,BK$4-$B50+1)</f>
        <v/>
      </c>
      <c r="BL50" s="75">
        <f>$C50*INDEX(Curves!$AB$8:$AB$68,BL$4-$B50+1)</f>
        <v/>
      </c>
    </row>
    <row r="51">
      <c r="A51" s="74" t="inlineStr">
        <is>
          <t>Cohort month 42</t>
        </is>
      </c>
      <c r="B51" s="74" t="n">
        <v>42</v>
      </c>
      <c r="C51" s="17">
        <f>INDEX(Ops!$E$60:$BL$60,1,$B51)</f>
        <v/>
      </c>
      <c r="AU51" s="75">
        <f>$C51*INDEX(Curves!$AB$8:$AB$68,AU$4-$B51+1)</f>
        <v/>
      </c>
      <c r="AV51" s="75">
        <f>$C51*INDEX(Curves!$AB$8:$AB$68,AV$4-$B51+1)</f>
        <v/>
      </c>
      <c r="AW51" s="75">
        <f>$C51*INDEX(Curves!$AB$8:$AB$68,AW$4-$B51+1)</f>
        <v/>
      </c>
      <c r="AX51" s="75">
        <f>$C51*INDEX(Curves!$AB$8:$AB$68,AX$4-$B51+1)</f>
        <v/>
      </c>
      <c r="AY51" s="75">
        <f>$C51*INDEX(Curves!$AB$8:$AB$68,AY$4-$B51+1)</f>
        <v/>
      </c>
      <c r="AZ51" s="75">
        <f>$C51*INDEX(Curves!$AB$8:$AB$68,AZ$4-$B51+1)</f>
        <v/>
      </c>
      <c r="BA51" s="75">
        <f>$C51*INDEX(Curves!$AB$8:$AB$68,BA$4-$B51+1)</f>
        <v/>
      </c>
      <c r="BB51" s="75">
        <f>$C51*INDEX(Curves!$AB$8:$AB$68,BB$4-$B51+1)</f>
        <v/>
      </c>
      <c r="BC51" s="75">
        <f>$C51*INDEX(Curves!$AB$8:$AB$68,BC$4-$B51+1)</f>
        <v/>
      </c>
      <c r="BD51" s="75">
        <f>$C51*INDEX(Curves!$AB$8:$AB$68,BD$4-$B51+1)</f>
        <v/>
      </c>
      <c r="BE51" s="75">
        <f>$C51*INDEX(Curves!$AB$8:$AB$68,BE$4-$B51+1)</f>
        <v/>
      </c>
      <c r="BF51" s="75">
        <f>$C51*INDEX(Curves!$AB$8:$AB$68,BF$4-$B51+1)</f>
        <v/>
      </c>
      <c r="BG51" s="75">
        <f>$C51*INDEX(Curves!$AB$8:$AB$68,BG$4-$B51+1)</f>
        <v/>
      </c>
      <c r="BH51" s="75">
        <f>$C51*INDEX(Curves!$AB$8:$AB$68,BH$4-$B51+1)</f>
        <v/>
      </c>
      <c r="BI51" s="75">
        <f>$C51*INDEX(Curves!$AB$8:$AB$68,BI$4-$B51+1)</f>
        <v/>
      </c>
      <c r="BJ51" s="75">
        <f>$C51*INDEX(Curves!$AB$8:$AB$68,BJ$4-$B51+1)</f>
        <v/>
      </c>
      <c r="BK51" s="75">
        <f>$C51*INDEX(Curves!$AB$8:$AB$68,BK$4-$B51+1)</f>
        <v/>
      </c>
      <c r="BL51" s="75">
        <f>$C51*INDEX(Curves!$AB$8:$AB$68,BL$4-$B51+1)</f>
        <v/>
      </c>
    </row>
    <row r="52">
      <c r="A52" s="74" t="inlineStr">
        <is>
          <t>Cohort month 43</t>
        </is>
      </c>
      <c r="B52" s="74" t="n">
        <v>43</v>
      </c>
      <c r="C52" s="17">
        <f>INDEX(Ops!$E$60:$BL$60,1,$B52)</f>
        <v/>
      </c>
      <c r="AV52" s="75">
        <f>$C52*INDEX(Curves!$AB$8:$AB$68,AV$4-$B52+1)</f>
        <v/>
      </c>
      <c r="AW52" s="75">
        <f>$C52*INDEX(Curves!$AB$8:$AB$68,AW$4-$B52+1)</f>
        <v/>
      </c>
      <c r="AX52" s="75">
        <f>$C52*INDEX(Curves!$AB$8:$AB$68,AX$4-$B52+1)</f>
        <v/>
      </c>
      <c r="AY52" s="75">
        <f>$C52*INDEX(Curves!$AB$8:$AB$68,AY$4-$B52+1)</f>
        <v/>
      </c>
      <c r="AZ52" s="75">
        <f>$C52*INDEX(Curves!$AB$8:$AB$68,AZ$4-$B52+1)</f>
        <v/>
      </c>
      <c r="BA52" s="75">
        <f>$C52*INDEX(Curves!$AB$8:$AB$68,BA$4-$B52+1)</f>
        <v/>
      </c>
      <c r="BB52" s="75">
        <f>$C52*INDEX(Curves!$AB$8:$AB$68,BB$4-$B52+1)</f>
        <v/>
      </c>
      <c r="BC52" s="75">
        <f>$C52*INDEX(Curves!$AB$8:$AB$68,BC$4-$B52+1)</f>
        <v/>
      </c>
      <c r="BD52" s="75">
        <f>$C52*INDEX(Curves!$AB$8:$AB$68,BD$4-$B52+1)</f>
        <v/>
      </c>
      <c r="BE52" s="75">
        <f>$C52*INDEX(Curves!$AB$8:$AB$68,BE$4-$B52+1)</f>
        <v/>
      </c>
      <c r="BF52" s="75">
        <f>$C52*INDEX(Curves!$AB$8:$AB$68,BF$4-$B52+1)</f>
        <v/>
      </c>
      <c r="BG52" s="75">
        <f>$C52*INDEX(Curves!$AB$8:$AB$68,BG$4-$B52+1)</f>
        <v/>
      </c>
      <c r="BH52" s="75">
        <f>$C52*INDEX(Curves!$AB$8:$AB$68,BH$4-$B52+1)</f>
        <v/>
      </c>
      <c r="BI52" s="75">
        <f>$C52*INDEX(Curves!$AB$8:$AB$68,BI$4-$B52+1)</f>
        <v/>
      </c>
      <c r="BJ52" s="75">
        <f>$C52*INDEX(Curves!$AB$8:$AB$68,BJ$4-$B52+1)</f>
        <v/>
      </c>
      <c r="BK52" s="75">
        <f>$C52*INDEX(Curves!$AB$8:$AB$68,BK$4-$B52+1)</f>
        <v/>
      </c>
      <c r="BL52" s="75">
        <f>$C52*INDEX(Curves!$AB$8:$AB$68,BL$4-$B52+1)</f>
        <v/>
      </c>
    </row>
    <row r="53">
      <c r="A53" s="74" t="inlineStr">
        <is>
          <t>Cohort month 44</t>
        </is>
      </c>
      <c r="B53" s="74" t="n">
        <v>44</v>
      </c>
      <c r="C53" s="17">
        <f>INDEX(Ops!$E$60:$BL$60,1,$B53)</f>
        <v/>
      </c>
      <c r="AW53" s="75">
        <f>$C53*INDEX(Curves!$AB$8:$AB$68,AW$4-$B53+1)</f>
        <v/>
      </c>
      <c r="AX53" s="75">
        <f>$C53*INDEX(Curves!$AB$8:$AB$68,AX$4-$B53+1)</f>
        <v/>
      </c>
      <c r="AY53" s="75">
        <f>$C53*INDEX(Curves!$AB$8:$AB$68,AY$4-$B53+1)</f>
        <v/>
      </c>
      <c r="AZ53" s="75">
        <f>$C53*INDEX(Curves!$AB$8:$AB$68,AZ$4-$B53+1)</f>
        <v/>
      </c>
      <c r="BA53" s="75">
        <f>$C53*INDEX(Curves!$AB$8:$AB$68,BA$4-$B53+1)</f>
        <v/>
      </c>
      <c r="BB53" s="75">
        <f>$C53*INDEX(Curves!$AB$8:$AB$68,BB$4-$B53+1)</f>
        <v/>
      </c>
      <c r="BC53" s="75">
        <f>$C53*INDEX(Curves!$AB$8:$AB$68,BC$4-$B53+1)</f>
        <v/>
      </c>
      <c r="BD53" s="75">
        <f>$C53*INDEX(Curves!$AB$8:$AB$68,BD$4-$B53+1)</f>
        <v/>
      </c>
      <c r="BE53" s="75">
        <f>$C53*INDEX(Curves!$AB$8:$AB$68,BE$4-$B53+1)</f>
        <v/>
      </c>
      <c r="BF53" s="75">
        <f>$C53*INDEX(Curves!$AB$8:$AB$68,BF$4-$B53+1)</f>
        <v/>
      </c>
      <c r="BG53" s="75">
        <f>$C53*INDEX(Curves!$AB$8:$AB$68,BG$4-$B53+1)</f>
        <v/>
      </c>
      <c r="BH53" s="75">
        <f>$C53*INDEX(Curves!$AB$8:$AB$68,BH$4-$B53+1)</f>
        <v/>
      </c>
      <c r="BI53" s="75">
        <f>$C53*INDEX(Curves!$AB$8:$AB$68,BI$4-$B53+1)</f>
        <v/>
      </c>
      <c r="BJ53" s="75">
        <f>$C53*INDEX(Curves!$AB$8:$AB$68,BJ$4-$B53+1)</f>
        <v/>
      </c>
      <c r="BK53" s="75">
        <f>$C53*INDEX(Curves!$AB$8:$AB$68,BK$4-$B53+1)</f>
        <v/>
      </c>
      <c r="BL53" s="75">
        <f>$C53*INDEX(Curves!$AB$8:$AB$68,BL$4-$B53+1)</f>
        <v/>
      </c>
    </row>
    <row r="54">
      <c r="A54" s="74" t="inlineStr">
        <is>
          <t>Cohort month 45</t>
        </is>
      </c>
      <c r="B54" s="74" t="n">
        <v>45</v>
      </c>
      <c r="C54" s="17">
        <f>INDEX(Ops!$E$60:$BL$60,1,$B54)</f>
        <v/>
      </c>
      <c r="AX54" s="75">
        <f>$C54*INDEX(Curves!$AB$8:$AB$68,AX$4-$B54+1)</f>
        <v/>
      </c>
      <c r="AY54" s="75">
        <f>$C54*INDEX(Curves!$AB$8:$AB$68,AY$4-$B54+1)</f>
        <v/>
      </c>
      <c r="AZ54" s="75">
        <f>$C54*INDEX(Curves!$AB$8:$AB$68,AZ$4-$B54+1)</f>
        <v/>
      </c>
      <c r="BA54" s="75">
        <f>$C54*INDEX(Curves!$AB$8:$AB$68,BA$4-$B54+1)</f>
        <v/>
      </c>
      <c r="BB54" s="75">
        <f>$C54*INDEX(Curves!$AB$8:$AB$68,BB$4-$B54+1)</f>
        <v/>
      </c>
      <c r="BC54" s="75">
        <f>$C54*INDEX(Curves!$AB$8:$AB$68,BC$4-$B54+1)</f>
        <v/>
      </c>
      <c r="BD54" s="75">
        <f>$C54*INDEX(Curves!$AB$8:$AB$68,BD$4-$B54+1)</f>
        <v/>
      </c>
      <c r="BE54" s="75">
        <f>$C54*INDEX(Curves!$AB$8:$AB$68,BE$4-$B54+1)</f>
        <v/>
      </c>
      <c r="BF54" s="75">
        <f>$C54*INDEX(Curves!$AB$8:$AB$68,BF$4-$B54+1)</f>
        <v/>
      </c>
      <c r="BG54" s="75">
        <f>$C54*INDEX(Curves!$AB$8:$AB$68,BG$4-$B54+1)</f>
        <v/>
      </c>
      <c r="BH54" s="75">
        <f>$C54*INDEX(Curves!$AB$8:$AB$68,BH$4-$B54+1)</f>
        <v/>
      </c>
      <c r="BI54" s="75">
        <f>$C54*INDEX(Curves!$AB$8:$AB$68,BI$4-$B54+1)</f>
        <v/>
      </c>
      <c r="BJ54" s="75">
        <f>$C54*INDEX(Curves!$AB$8:$AB$68,BJ$4-$B54+1)</f>
        <v/>
      </c>
      <c r="BK54" s="75">
        <f>$C54*INDEX(Curves!$AB$8:$AB$68,BK$4-$B54+1)</f>
        <v/>
      </c>
      <c r="BL54" s="75">
        <f>$C54*INDEX(Curves!$AB$8:$AB$68,BL$4-$B54+1)</f>
        <v/>
      </c>
    </row>
    <row r="55">
      <c r="A55" s="74" t="inlineStr">
        <is>
          <t>Cohort month 46</t>
        </is>
      </c>
      <c r="B55" s="74" t="n">
        <v>46</v>
      </c>
      <c r="C55" s="17">
        <f>INDEX(Ops!$E$60:$BL$60,1,$B55)</f>
        <v/>
      </c>
      <c r="AY55" s="75">
        <f>$C55*INDEX(Curves!$AB$8:$AB$68,AY$4-$B55+1)</f>
        <v/>
      </c>
      <c r="AZ55" s="75">
        <f>$C55*INDEX(Curves!$AB$8:$AB$68,AZ$4-$B55+1)</f>
        <v/>
      </c>
      <c r="BA55" s="75">
        <f>$C55*INDEX(Curves!$AB$8:$AB$68,BA$4-$B55+1)</f>
        <v/>
      </c>
      <c r="BB55" s="75">
        <f>$C55*INDEX(Curves!$AB$8:$AB$68,BB$4-$B55+1)</f>
        <v/>
      </c>
      <c r="BC55" s="75">
        <f>$C55*INDEX(Curves!$AB$8:$AB$68,BC$4-$B55+1)</f>
        <v/>
      </c>
      <c r="BD55" s="75">
        <f>$C55*INDEX(Curves!$AB$8:$AB$68,BD$4-$B55+1)</f>
        <v/>
      </c>
      <c r="BE55" s="75">
        <f>$C55*INDEX(Curves!$AB$8:$AB$68,BE$4-$B55+1)</f>
        <v/>
      </c>
      <c r="BF55" s="75">
        <f>$C55*INDEX(Curves!$AB$8:$AB$68,BF$4-$B55+1)</f>
        <v/>
      </c>
      <c r="BG55" s="75">
        <f>$C55*INDEX(Curves!$AB$8:$AB$68,BG$4-$B55+1)</f>
        <v/>
      </c>
      <c r="BH55" s="75">
        <f>$C55*INDEX(Curves!$AB$8:$AB$68,BH$4-$B55+1)</f>
        <v/>
      </c>
      <c r="BI55" s="75">
        <f>$C55*INDEX(Curves!$AB$8:$AB$68,BI$4-$B55+1)</f>
        <v/>
      </c>
      <c r="BJ55" s="75">
        <f>$C55*INDEX(Curves!$AB$8:$AB$68,BJ$4-$B55+1)</f>
        <v/>
      </c>
      <c r="BK55" s="75">
        <f>$C55*INDEX(Curves!$AB$8:$AB$68,BK$4-$B55+1)</f>
        <v/>
      </c>
      <c r="BL55" s="75">
        <f>$C55*INDEX(Curves!$AB$8:$AB$68,BL$4-$B55+1)</f>
        <v/>
      </c>
    </row>
    <row r="56">
      <c r="A56" s="74" t="inlineStr">
        <is>
          <t>Cohort month 47</t>
        </is>
      </c>
      <c r="B56" s="74" t="n">
        <v>47</v>
      </c>
      <c r="C56" s="17">
        <f>INDEX(Ops!$E$60:$BL$60,1,$B56)</f>
        <v/>
      </c>
      <c r="AZ56" s="75">
        <f>$C56*INDEX(Curves!$AB$8:$AB$68,AZ$4-$B56+1)</f>
        <v/>
      </c>
      <c r="BA56" s="75">
        <f>$C56*INDEX(Curves!$AB$8:$AB$68,BA$4-$B56+1)</f>
        <v/>
      </c>
      <c r="BB56" s="75">
        <f>$C56*INDEX(Curves!$AB$8:$AB$68,BB$4-$B56+1)</f>
        <v/>
      </c>
      <c r="BC56" s="75">
        <f>$C56*INDEX(Curves!$AB$8:$AB$68,BC$4-$B56+1)</f>
        <v/>
      </c>
      <c r="BD56" s="75">
        <f>$C56*INDEX(Curves!$AB$8:$AB$68,BD$4-$B56+1)</f>
        <v/>
      </c>
      <c r="BE56" s="75">
        <f>$C56*INDEX(Curves!$AB$8:$AB$68,BE$4-$B56+1)</f>
        <v/>
      </c>
      <c r="BF56" s="75">
        <f>$C56*INDEX(Curves!$AB$8:$AB$68,BF$4-$B56+1)</f>
        <v/>
      </c>
      <c r="BG56" s="75">
        <f>$C56*INDEX(Curves!$AB$8:$AB$68,BG$4-$B56+1)</f>
        <v/>
      </c>
      <c r="BH56" s="75">
        <f>$C56*INDEX(Curves!$AB$8:$AB$68,BH$4-$B56+1)</f>
        <v/>
      </c>
      <c r="BI56" s="75">
        <f>$C56*INDEX(Curves!$AB$8:$AB$68,BI$4-$B56+1)</f>
        <v/>
      </c>
      <c r="BJ56" s="75">
        <f>$C56*INDEX(Curves!$AB$8:$AB$68,BJ$4-$B56+1)</f>
        <v/>
      </c>
      <c r="BK56" s="75">
        <f>$C56*INDEX(Curves!$AB$8:$AB$68,BK$4-$B56+1)</f>
        <v/>
      </c>
      <c r="BL56" s="75">
        <f>$C56*INDEX(Curves!$AB$8:$AB$68,BL$4-$B56+1)</f>
        <v/>
      </c>
    </row>
    <row r="57">
      <c r="A57" s="74" t="inlineStr">
        <is>
          <t>Cohort month 48</t>
        </is>
      </c>
      <c r="B57" s="74" t="n">
        <v>48</v>
      </c>
      <c r="C57" s="17">
        <f>INDEX(Ops!$E$60:$BL$60,1,$B57)</f>
        <v/>
      </c>
      <c r="BA57" s="75">
        <f>$C57*INDEX(Curves!$AB$8:$AB$68,BA$4-$B57+1)</f>
        <v/>
      </c>
      <c r="BB57" s="75">
        <f>$C57*INDEX(Curves!$AB$8:$AB$68,BB$4-$B57+1)</f>
        <v/>
      </c>
      <c r="BC57" s="75">
        <f>$C57*INDEX(Curves!$AB$8:$AB$68,BC$4-$B57+1)</f>
        <v/>
      </c>
      <c r="BD57" s="75">
        <f>$C57*INDEX(Curves!$AB$8:$AB$68,BD$4-$B57+1)</f>
        <v/>
      </c>
      <c r="BE57" s="75">
        <f>$C57*INDEX(Curves!$AB$8:$AB$68,BE$4-$B57+1)</f>
        <v/>
      </c>
      <c r="BF57" s="75">
        <f>$C57*INDEX(Curves!$AB$8:$AB$68,BF$4-$B57+1)</f>
        <v/>
      </c>
      <c r="BG57" s="75">
        <f>$C57*INDEX(Curves!$AB$8:$AB$68,BG$4-$B57+1)</f>
        <v/>
      </c>
      <c r="BH57" s="75">
        <f>$C57*INDEX(Curves!$AB$8:$AB$68,BH$4-$B57+1)</f>
        <v/>
      </c>
      <c r="BI57" s="75">
        <f>$C57*INDEX(Curves!$AB$8:$AB$68,BI$4-$B57+1)</f>
        <v/>
      </c>
      <c r="BJ57" s="75">
        <f>$C57*INDEX(Curves!$AB$8:$AB$68,BJ$4-$B57+1)</f>
        <v/>
      </c>
      <c r="BK57" s="75">
        <f>$C57*INDEX(Curves!$AB$8:$AB$68,BK$4-$B57+1)</f>
        <v/>
      </c>
      <c r="BL57" s="75">
        <f>$C57*INDEX(Curves!$AB$8:$AB$68,BL$4-$B57+1)</f>
        <v/>
      </c>
    </row>
    <row r="58">
      <c r="A58" s="74" t="inlineStr">
        <is>
          <t>Cohort month 49</t>
        </is>
      </c>
      <c r="B58" s="74" t="n">
        <v>49</v>
      </c>
      <c r="C58" s="17">
        <f>INDEX(Ops!$E$60:$BL$60,1,$B58)</f>
        <v/>
      </c>
      <c r="BB58" s="75">
        <f>$C58*INDEX(Curves!$AB$8:$AB$68,BB$4-$B58+1)</f>
        <v/>
      </c>
      <c r="BC58" s="75">
        <f>$C58*INDEX(Curves!$AB$8:$AB$68,BC$4-$B58+1)</f>
        <v/>
      </c>
      <c r="BD58" s="75">
        <f>$C58*INDEX(Curves!$AB$8:$AB$68,BD$4-$B58+1)</f>
        <v/>
      </c>
      <c r="BE58" s="75">
        <f>$C58*INDEX(Curves!$AB$8:$AB$68,BE$4-$B58+1)</f>
        <v/>
      </c>
      <c r="BF58" s="75">
        <f>$C58*INDEX(Curves!$AB$8:$AB$68,BF$4-$B58+1)</f>
        <v/>
      </c>
      <c r="BG58" s="75">
        <f>$C58*INDEX(Curves!$AB$8:$AB$68,BG$4-$B58+1)</f>
        <v/>
      </c>
      <c r="BH58" s="75">
        <f>$C58*INDEX(Curves!$AB$8:$AB$68,BH$4-$B58+1)</f>
        <v/>
      </c>
      <c r="BI58" s="75">
        <f>$C58*INDEX(Curves!$AB$8:$AB$68,BI$4-$B58+1)</f>
        <v/>
      </c>
      <c r="BJ58" s="75">
        <f>$C58*INDEX(Curves!$AB$8:$AB$68,BJ$4-$B58+1)</f>
        <v/>
      </c>
      <c r="BK58" s="75">
        <f>$C58*INDEX(Curves!$AB$8:$AB$68,BK$4-$B58+1)</f>
        <v/>
      </c>
      <c r="BL58" s="75">
        <f>$C58*INDEX(Curves!$AB$8:$AB$68,BL$4-$B58+1)</f>
        <v/>
      </c>
    </row>
    <row r="59">
      <c r="A59" s="74" t="inlineStr">
        <is>
          <t>Cohort month 50</t>
        </is>
      </c>
      <c r="B59" s="74" t="n">
        <v>50</v>
      </c>
      <c r="C59" s="17">
        <f>INDEX(Ops!$E$60:$BL$60,1,$B59)</f>
        <v/>
      </c>
      <c r="BC59" s="75">
        <f>$C59*INDEX(Curves!$AB$8:$AB$68,BC$4-$B59+1)</f>
        <v/>
      </c>
      <c r="BD59" s="75">
        <f>$C59*INDEX(Curves!$AB$8:$AB$68,BD$4-$B59+1)</f>
        <v/>
      </c>
      <c r="BE59" s="75">
        <f>$C59*INDEX(Curves!$AB$8:$AB$68,BE$4-$B59+1)</f>
        <v/>
      </c>
      <c r="BF59" s="75">
        <f>$C59*INDEX(Curves!$AB$8:$AB$68,BF$4-$B59+1)</f>
        <v/>
      </c>
      <c r="BG59" s="75">
        <f>$C59*INDEX(Curves!$AB$8:$AB$68,BG$4-$B59+1)</f>
        <v/>
      </c>
      <c r="BH59" s="75">
        <f>$C59*INDEX(Curves!$AB$8:$AB$68,BH$4-$B59+1)</f>
        <v/>
      </c>
      <c r="BI59" s="75">
        <f>$C59*INDEX(Curves!$AB$8:$AB$68,BI$4-$B59+1)</f>
        <v/>
      </c>
      <c r="BJ59" s="75">
        <f>$C59*INDEX(Curves!$AB$8:$AB$68,BJ$4-$B59+1)</f>
        <v/>
      </c>
      <c r="BK59" s="75">
        <f>$C59*INDEX(Curves!$AB$8:$AB$68,BK$4-$B59+1)</f>
        <v/>
      </c>
      <c r="BL59" s="75">
        <f>$C59*INDEX(Curves!$AB$8:$AB$68,BL$4-$B59+1)</f>
        <v/>
      </c>
    </row>
    <row r="60">
      <c r="A60" s="74" t="inlineStr">
        <is>
          <t>Cohort month 51</t>
        </is>
      </c>
      <c r="B60" s="74" t="n">
        <v>51</v>
      </c>
      <c r="C60" s="17">
        <f>INDEX(Ops!$E$60:$BL$60,1,$B60)</f>
        <v/>
      </c>
      <c r="BD60" s="75">
        <f>$C60*INDEX(Curves!$AB$8:$AB$68,BD$4-$B60+1)</f>
        <v/>
      </c>
      <c r="BE60" s="75">
        <f>$C60*INDEX(Curves!$AB$8:$AB$68,BE$4-$B60+1)</f>
        <v/>
      </c>
      <c r="BF60" s="75">
        <f>$C60*INDEX(Curves!$AB$8:$AB$68,BF$4-$B60+1)</f>
        <v/>
      </c>
      <c r="BG60" s="75">
        <f>$C60*INDEX(Curves!$AB$8:$AB$68,BG$4-$B60+1)</f>
        <v/>
      </c>
      <c r="BH60" s="75">
        <f>$C60*INDEX(Curves!$AB$8:$AB$68,BH$4-$B60+1)</f>
        <v/>
      </c>
      <c r="BI60" s="75">
        <f>$C60*INDEX(Curves!$AB$8:$AB$68,BI$4-$B60+1)</f>
        <v/>
      </c>
      <c r="BJ60" s="75">
        <f>$C60*INDEX(Curves!$AB$8:$AB$68,BJ$4-$B60+1)</f>
        <v/>
      </c>
      <c r="BK60" s="75">
        <f>$C60*INDEX(Curves!$AB$8:$AB$68,BK$4-$B60+1)</f>
        <v/>
      </c>
      <c r="BL60" s="75">
        <f>$C60*INDEX(Curves!$AB$8:$AB$68,BL$4-$B60+1)</f>
        <v/>
      </c>
    </row>
    <row r="61">
      <c r="A61" s="74" t="inlineStr">
        <is>
          <t>Cohort month 52</t>
        </is>
      </c>
      <c r="B61" s="74" t="n">
        <v>52</v>
      </c>
      <c r="C61" s="17">
        <f>INDEX(Ops!$E$60:$BL$60,1,$B61)</f>
        <v/>
      </c>
      <c r="BE61" s="75">
        <f>$C61*INDEX(Curves!$AB$8:$AB$68,BE$4-$B61+1)</f>
        <v/>
      </c>
      <c r="BF61" s="75">
        <f>$C61*INDEX(Curves!$AB$8:$AB$68,BF$4-$B61+1)</f>
        <v/>
      </c>
      <c r="BG61" s="75">
        <f>$C61*INDEX(Curves!$AB$8:$AB$68,BG$4-$B61+1)</f>
        <v/>
      </c>
      <c r="BH61" s="75">
        <f>$C61*INDEX(Curves!$AB$8:$AB$68,BH$4-$B61+1)</f>
        <v/>
      </c>
      <c r="BI61" s="75">
        <f>$C61*INDEX(Curves!$AB$8:$AB$68,BI$4-$B61+1)</f>
        <v/>
      </c>
      <c r="BJ61" s="75">
        <f>$C61*INDEX(Curves!$AB$8:$AB$68,BJ$4-$B61+1)</f>
        <v/>
      </c>
      <c r="BK61" s="75">
        <f>$C61*INDEX(Curves!$AB$8:$AB$68,BK$4-$B61+1)</f>
        <v/>
      </c>
      <c r="BL61" s="75">
        <f>$C61*INDEX(Curves!$AB$8:$AB$68,BL$4-$B61+1)</f>
        <v/>
      </c>
    </row>
    <row r="62">
      <c r="A62" s="74" t="inlineStr">
        <is>
          <t>Cohort month 53</t>
        </is>
      </c>
      <c r="B62" s="74" t="n">
        <v>53</v>
      </c>
      <c r="C62" s="17">
        <f>INDEX(Ops!$E$60:$BL$60,1,$B62)</f>
        <v/>
      </c>
      <c r="BF62" s="75">
        <f>$C62*INDEX(Curves!$AB$8:$AB$68,BF$4-$B62+1)</f>
        <v/>
      </c>
      <c r="BG62" s="75">
        <f>$C62*INDEX(Curves!$AB$8:$AB$68,BG$4-$B62+1)</f>
        <v/>
      </c>
      <c r="BH62" s="75">
        <f>$C62*INDEX(Curves!$AB$8:$AB$68,BH$4-$B62+1)</f>
        <v/>
      </c>
      <c r="BI62" s="75">
        <f>$C62*INDEX(Curves!$AB$8:$AB$68,BI$4-$B62+1)</f>
        <v/>
      </c>
      <c r="BJ62" s="75">
        <f>$C62*INDEX(Curves!$AB$8:$AB$68,BJ$4-$B62+1)</f>
        <v/>
      </c>
      <c r="BK62" s="75">
        <f>$C62*INDEX(Curves!$AB$8:$AB$68,BK$4-$B62+1)</f>
        <v/>
      </c>
      <c r="BL62" s="75">
        <f>$C62*INDEX(Curves!$AB$8:$AB$68,BL$4-$B62+1)</f>
        <v/>
      </c>
    </row>
    <row r="63">
      <c r="A63" s="74" t="inlineStr">
        <is>
          <t>Cohort month 54</t>
        </is>
      </c>
      <c r="B63" s="74" t="n">
        <v>54</v>
      </c>
      <c r="C63" s="17">
        <f>INDEX(Ops!$E$60:$BL$60,1,$B63)</f>
        <v/>
      </c>
      <c r="BG63" s="75">
        <f>$C63*INDEX(Curves!$AB$8:$AB$68,BG$4-$B63+1)</f>
        <v/>
      </c>
      <c r="BH63" s="75">
        <f>$C63*INDEX(Curves!$AB$8:$AB$68,BH$4-$B63+1)</f>
        <v/>
      </c>
      <c r="BI63" s="75">
        <f>$C63*INDEX(Curves!$AB$8:$AB$68,BI$4-$B63+1)</f>
        <v/>
      </c>
      <c r="BJ63" s="75">
        <f>$C63*INDEX(Curves!$AB$8:$AB$68,BJ$4-$B63+1)</f>
        <v/>
      </c>
      <c r="BK63" s="75">
        <f>$C63*INDEX(Curves!$AB$8:$AB$68,BK$4-$B63+1)</f>
        <v/>
      </c>
      <c r="BL63" s="75">
        <f>$C63*INDEX(Curves!$AB$8:$AB$68,BL$4-$B63+1)</f>
        <v/>
      </c>
    </row>
    <row r="64">
      <c r="A64" s="74" t="inlineStr">
        <is>
          <t>Cohort month 55</t>
        </is>
      </c>
      <c r="B64" s="74" t="n">
        <v>55</v>
      </c>
      <c r="C64" s="17">
        <f>INDEX(Ops!$E$60:$BL$60,1,$B64)</f>
        <v/>
      </c>
      <c r="BH64" s="75">
        <f>$C64*INDEX(Curves!$AB$8:$AB$68,BH$4-$B64+1)</f>
        <v/>
      </c>
      <c r="BI64" s="75">
        <f>$C64*INDEX(Curves!$AB$8:$AB$68,BI$4-$B64+1)</f>
        <v/>
      </c>
      <c r="BJ64" s="75">
        <f>$C64*INDEX(Curves!$AB$8:$AB$68,BJ$4-$B64+1)</f>
        <v/>
      </c>
      <c r="BK64" s="75">
        <f>$C64*INDEX(Curves!$AB$8:$AB$68,BK$4-$B64+1)</f>
        <v/>
      </c>
      <c r="BL64" s="75">
        <f>$C64*INDEX(Curves!$AB$8:$AB$68,BL$4-$B64+1)</f>
        <v/>
      </c>
    </row>
    <row r="65">
      <c r="A65" s="74" t="inlineStr">
        <is>
          <t>Cohort month 56</t>
        </is>
      </c>
      <c r="B65" s="74" t="n">
        <v>56</v>
      </c>
      <c r="C65" s="17">
        <f>INDEX(Ops!$E$60:$BL$60,1,$B65)</f>
        <v/>
      </c>
      <c r="BI65" s="75">
        <f>$C65*INDEX(Curves!$AB$8:$AB$68,BI$4-$B65+1)</f>
        <v/>
      </c>
      <c r="BJ65" s="75">
        <f>$C65*INDEX(Curves!$AB$8:$AB$68,BJ$4-$B65+1)</f>
        <v/>
      </c>
      <c r="BK65" s="75">
        <f>$C65*INDEX(Curves!$AB$8:$AB$68,BK$4-$B65+1)</f>
        <v/>
      </c>
      <c r="BL65" s="75">
        <f>$C65*INDEX(Curves!$AB$8:$AB$68,BL$4-$B65+1)</f>
        <v/>
      </c>
    </row>
    <row r="66">
      <c r="A66" s="74" t="inlineStr">
        <is>
          <t>Cohort month 57</t>
        </is>
      </c>
      <c r="B66" s="74" t="n">
        <v>57</v>
      </c>
      <c r="C66" s="17">
        <f>INDEX(Ops!$E$60:$BL$60,1,$B66)</f>
        <v/>
      </c>
      <c r="BJ66" s="75">
        <f>$C66*INDEX(Curves!$AB$8:$AB$68,BJ$4-$B66+1)</f>
        <v/>
      </c>
      <c r="BK66" s="75">
        <f>$C66*INDEX(Curves!$AB$8:$AB$68,BK$4-$B66+1)</f>
        <v/>
      </c>
      <c r="BL66" s="75">
        <f>$C66*INDEX(Curves!$AB$8:$AB$68,BL$4-$B66+1)</f>
        <v/>
      </c>
    </row>
    <row r="67">
      <c r="A67" s="74" t="inlineStr">
        <is>
          <t>Cohort month 58</t>
        </is>
      </c>
      <c r="B67" s="74" t="n">
        <v>58</v>
      </c>
      <c r="C67" s="17">
        <f>INDEX(Ops!$E$60:$BL$60,1,$B67)</f>
        <v/>
      </c>
      <c r="BK67" s="75">
        <f>$C67*INDEX(Curves!$AB$8:$AB$68,BK$4-$B67+1)</f>
        <v/>
      </c>
      <c r="BL67" s="75">
        <f>$C67*INDEX(Curves!$AB$8:$AB$68,BL$4-$B67+1)</f>
        <v/>
      </c>
    </row>
    <row r="68">
      <c r="A68" s="74" t="inlineStr">
        <is>
          <t>Cohort month 59</t>
        </is>
      </c>
      <c r="B68" s="74" t="n">
        <v>59</v>
      </c>
      <c r="C68" s="17">
        <f>INDEX(Ops!$E$60:$BL$60,1,$B68)</f>
        <v/>
      </c>
      <c r="BL68" s="75">
        <f>$C68*INDEX(Curves!$AB$8:$AB$68,BL$4-$B68+1)</f>
        <v/>
      </c>
    </row>
    <row r="69">
      <c r="A69" s="74" t="inlineStr">
        <is>
          <t>Cohort month 60</t>
        </is>
      </c>
      <c r="B69" s="74" t="n">
        <v>60</v>
      </c>
      <c r="C69" s="17">
        <f>INDEX(Ops!$E$60:$BL$60,1,$B69)</f>
        <v/>
      </c>
    </row>
    <row r="70"/>
    <row r="71">
      <c r="A71" s="14" t="inlineStr">
        <is>
          <t>Active accounts by cohort</t>
        </is>
      </c>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5" t="n"/>
      <c r="AG71" s="15" t="n"/>
      <c r="AH71" s="15" t="n"/>
      <c r="AI71" s="15" t="n"/>
      <c r="AJ71" s="15" t="n"/>
      <c r="AK71" s="15" t="n"/>
      <c r="AL71" s="15" t="n"/>
      <c r="AM71" s="15" t="n"/>
      <c r="AN71" s="15" t="n"/>
      <c r="AO71" s="15" t="n"/>
      <c r="AP71" s="15" t="n"/>
      <c r="AQ71" s="15" t="n"/>
      <c r="AR71" s="15" t="n"/>
      <c r="AS71" s="15" t="n"/>
      <c r="AT71" s="15" t="n"/>
      <c r="AU71" s="15" t="n"/>
      <c r="AV71" s="15" t="n"/>
      <c r="AW71" s="15" t="n"/>
      <c r="AX71" s="15" t="n"/>
      <c r="AY71" s="15" t="n"/>
      <c r="AZ71" s="15" t="n"/>
      <c r="BA71" s="15" t="n"/>
      <c r="BB71" s="15" t="n"/>
      <c r="BC71" s="15" t="n"/>
      <c r="BD71" s="15" t="n"/>
      <c r="BE71" s="15" t="n"/>
      <c r="BF71" s="15" t="n"/>
      <c r="BG71" s="15" t="n"/>
      <c r="BH71" s="15" t="n"/>
      <c r="BI71" s="15" t="n"/>
      <c r="BJ71" s="15" t="n"/>
      <c r="BK71" s="15" t="n"/>
      <c r="BL71" s="15" t="n"/>
    </row>
    <row r="72">
      <c r="A72" s="60" t="inlineStr">
        <is>
          <t>Total</t>
        </is>
      </c>
      <c r="B72" s="61" t="inlineStr"/>
      <c r="C72" s="63" t="n"/>
      <c r="D72" s="63" t="n"/>
      <c r="E72" s="71">
        <f>SUM(E73:E132)</f>
        <v/>
      </c>
      <c r="F72" s="71">
        <f>SUM(F73:F132)</f>
        <v/>
      </c>
      <c r="G72" s="71">
        <f>SUM(G73:G132)</f>
        <v/>
      </c>
      <c r="H72" s="71">
        <f>SUM(H73:H132)</f>
        <v/>
      </c>
      <c r="I72" s="71">
        <f>SUM(I73:I132)</f>
        <v/>
      </c>
      <c r="J72" s="71">
        <f>SUM(J73:J132)</f>
        <v/>
      </c>
      <c r="K72" s="71">
        <f>SUM(K73:K132)</f>
        <v/>
      </c>
      <c r="L72" s="71">
        <f>SUM(L73:L132)</f>
        <v/>
      </c>
      <c r="M72" s="71">
        <f>SUM(M73:M132)</f>
        <v/>
      </c>
      <c r="N72" s="71">
        <f>SUM(N73:N132)</f>
        <v/>
      </c>
      <c r="O72" s="71">
        <f>SUM(O73:O132)</f>
        <v/>
      </c>
      <c r="P72" s="71">
        <f>SUM(P73:P132)</f>
        <v/>
      </c>
      <c r="Q72" s="71">
        <f>SUM(Q73:Q132)</f>
        <v/>
      </c>
      <c r="R72" s="71">
        <f>SUM(R73:R132)</f>
        <v/>
      </c>
      <c r="S72" s="71">
        <f>SUM(S73:S132)</f>
        <v/>
      </c>
      <c r="T72" s="71">
        <f>SUM(T73:T132)</f>
        <v/>
      </c>
      <c r="U72" s="71">
        <f>SUM(U73:U132)</f>
        <v/>
      </c>
      <c r="V72" s="71">
        <f>SUM(V73:V132)</f>
        <v/>
      </c>
      <c r="W72" s="71">
        <f>SUM(W73:W132)</f>
        <v/>
      </c>
      <c r="X72" s="71">
        <f>SUM(X73:X132)</f>
        <v/>
      </c>
      <c r="Y72" s="71">
        <f>SUM(Y73:Y132)</f>
        <v/>
      </c>
      <c r="Z72" s="71">
        <f>SUM(Z73:Z132)</f>
        <v/>
      </c>
      <c r="AA72" s="71">
        <f>SUM(AA73:AA132)</f>
        <v/>
      </c>
      <c r="AB72" s="71">
        <f>SUM(AB73:AB132)</f>
        <v/>
      </c>
      <c r="AC72" s="71">
        <f>SUM(AC73:AC132)</f>
        <v/>
      </c>
      <c r="AD72" s="71">
        <f>SUM(AD73:AD132)</f>
        <v/>
      </c>
      <c r="AE72" s="71">
        <f>SUM(AE73:AE132)</f>
        <v/>
      </c>
      <c r="AF72" s="71">
        <f>SUM(AF73:AF132)</f>
        <v/>
      </c>
      <c r="AG72" s="71">
        <f>SUM(AG73:AG132)</f>
        <v/>
      </c>
      <c r="AH72" s="71">
        <f>SUM(AH73:AH132)</f>
        <v/>
      </c>
      <c r="AI72" s="71">
        <f>SUM(AI73:AI132)</f>
        <v/>
      </c>
      <c r="AJ72" s="71">
        <f>SUM(AJ73:AJ132)</f>
        <v/>
      </c>
      <c r="AK72" s="71">
        <f>SUM(AK73:AK132)</f>
        <v/>
      </c>
      <c r="AL72" s="71">
        <f>SUM(AL73:AL132)</f>
        <v/>
      </c>
      <c r="AM72" s="71">
        <f>SUM(AM73:AM132)</f>
        <v/>
      </c>
      <c r="AN72" s="71">
        <f>SUM(AN73:AN132)</f>
        <v/>
      </c>
      <c r="AO72" s="71">
        <f>SUM(AO73:AO132)</f>
        <v/>
      </c>
      <c r="AP72" s="71">
        <f>SUM(AP73:AP132)</f>
        <v/>
      </c>
      <c r="AQ72" s="71">
        <f>SUM(AQ73:AQ132)</f>
        <v/>
      </c>
      <c r="AR72" s="71">
        <f>SUM(AR73:AR132)</f>
        <v/>
      </c>
      <c r="AS72" s="71">
        <f>SUM(AS73:AS132)</f>
        <v/>
      </c>
      <c r="AT72" s="71">
        <f>SUM(AT73:AT132)</f>
        <v/>
      </c>
      <c r="AU72" s="71">
        <f>SUM(AU73:AU132)</f>
        <v/>
      </c>
      <c r="AV72" s="71">
        <f>SUM(AV73:AV132)</f>
        <v/>
      </c>
      <c r="AW72" s="71">
        <f>SUM(AW73:AW132)</f>
        <v/>
      </c>
      <c r="AX72" s="71">
        <f>SUM(AX73:AX132)</f>
        <v/>
      </c>
      <c r="AY72" s="71">
        <f>SUM(AY73:AY132)</f>
        <v/>
      </c>
      <c r="AZ72" s="71">
        <f>SUM(AZ73:AZ132)</f>
        <v/>
      </c>
      <c r="BA72" s="71">
        <f>SUM(BA73:BA132)</f>
        <v/>
      </c>
      <c r="BB72" s="71">
        <f>SUM(BB73:BB132)</f>
        <v/>
      </c>
      <c r="BC72" s="71">
        <f>SUM(BC73:BC132)</f>
        <v/>
      </c>
      <c r="BD72" s="71">
        <f>SUM(BD73:BD132)</f>
        <v/>
      </c>
      <c r="BE72" s="71">
        <f>SUM(BE73:BE132)</f>
        <v/>
      </c>
      <c r="BF72" s="71">
        <f>SUM(BF73:BF132)</f>
        <v/>
      </c>
      <c r="BG72" s="71">
        <f>SUM(BG73:BG132)</f>
        <v/>
      </c>
      <c r="BH72" s="71">
        <f>SUM(BH73:BH132)</f>
        <v/>
      </c>
      <c r="BI72" s="71">
        <f>SUM(BI73:BI132)</f>
        <v/>
      </c>
      <c r="BJ72" s="71">
        <f>SUM(BJ73:BJ132)</f>
        <v/>
      </c>
      <c r="BK72" s="71">
        <f>SUM(BK73:BK132)</f>
        <v/>
      </c>
      <c r="BL72" s="71">
        <f>SUM(BL73:BL132)</f>
        <v/>
      </c>
    </row>
    <row r="73">
      <c r="A73" s="74" t="inlineStr">
        <is>
          <t>Cohort month 1</t>
        </is>
      </c>
      <c r="B73" s="74" t="n">
        <v>1</v>
      </c>
      <c r="C73" s="17">
        <f>INDEX(Ops!$E$59:$BL$59,1,$B73)</f>
        <v/>
      </c>
      <c r="F73" s="75">
        <f>$C73*INDEX(Curves!$AE$8:$AE$68,F$4-$B73+1)</f>
        <v/>
      </c>
      <c r="G73" s="75">
        <f>$C73*INDEX(Curves!$AE$8:$AE$68,G$4-$B73+1)</f>
        <v/>
      </c>
      <c r="H73" s="75">
        <f>$C73*INDEX(Curves!$AE$8:$AE$68,H$4-$B73+1)</f>
        <v/>
      </c>
      <c r="I73" s="75">
        <f>$C73*INDEX(Curves!$AE$8:$AE$68,I$4-$B73+1)</f>
        <v/>
      </c>
      <c r="J73" s="75">
        <f>$C73*INDEX(Curves!$AE$8:$AE$68,J$4-$B73+1)</f>
        <v/>
      </c>
      <c r="K73" s="75">
        <f>$C73*INDEX(Curves!$AE$8:$AE$68,K$4-$B73+1)</f>
        <v/>
      </c>
      <c r="L73" s="75">
        <f>$C73*INDEX(Curves!$AE$8:$AE$68,L$4-$B73+1)</f>
        <v/>
      </c>
      <c r="M73" s="75">
        <f>$C73*INDEX(Curves!$AE$8:$AE$68,M$4-$B73+1)</f>
        <v/>
      </c>
      <c r="N73" s="75">
        <f>$C73*INDEX(Curves!$AE$8:$AE$68,N$4-$B73+1)</f>
        <v/>
      </c>
      <c r="O73" s="75">
        <f>$C73*INDEX(Curves!$AE$8:$AE$68,O$4-$B73+1)</f>
        <v/>
      </c>
      <c r="P73" s="75">
        <f>$C73*INDEX(Curves!$AE$8:$AE$68,P$4-$B73+1)</f>
        <v/>
      </c>
      <c r="Q73" s="75">
        <f>$C73*INDEX(Curves!$AE$8:$AE$68,Q$4-$B73+1)</f>
        <v/>
      </c>
      <c r="R73" s="75">
        <f>$C73*INDEX(Curves!$AE$8:$AE$68,R$4-$B73+1)</f>
        <v/>
      </c>
      <c r="S73" s="75">
        <f>$C73*INDEX(Curves!$AE$8:$AE$68,S$4-$B73+1)</f>
        <v/>
      </c>
      <c r="T73" s="75">
        <f>$C73*INDEX(Curves!$AE$8:$AE$68,T$4-$B73+1)</f>
        <v/>
      </c>
      <c r="U73" s="75">
        <f>$C73*INDEX(Curves!$AE$8:$AE$68,U$4-$B73+1)</f>
        <v/>
      </c>
      <c r="V73" s="75">
        <f>$C73*INDEX(Curves!$AE$8:$AE$68,V$4-$B73+1)</f>
        <v/>
      </c>
      <c r="W73" s="75">
        <f>$C73*INDEX(Curves!$AE$8:$AE$68,W$4-$B73+1)</f>
        <v/>
      </c>
      <c r="X73" s="75">
        <f>$C73*INDEX(Curves!$AE$8:$AE$68,X$4-$B73+1)</f>
        <v/>
      </c>
      <c r="Y73" s="75">
        <f>$C73*INDEX(Curves!$AE$8:$AE$68,Y$4-$B73+1)</f>
        <v/>
      </c>
      <c r="Z73" s="75">
        <f>$C73*INDEX(Curves!$AE$8:$AE$68,Z$4-$B73+1)</f>
        <v/>
      </c>
      <c r="AA73" s="75">
        <f>$C73*INDEX(Curves!$AE$8:$AE$68,AA$4-$B73+1)</f>
        <v/>
      </c>
      <c r="AB73" s="75">
        <f>$C73*INDEX(Curves!$AE$8:$AE$68,AB$4-$B73+1)</f>
        <v/>
      </c>
      <c r="AC73" s="75">
        <f>$C73*INDEX(Curves!$AE$8:$AE$68,AC$4-$B73+1)</f>
        <v/>
      </c>
      <c r="AD73" s="75">
        <f>$C73*INDEX(Curves!$AE$8:$AE$68,AD$4-$B73+1)</f>
        <v/>
      </c>
      <c r="AE73" s="75">
        <f>$C73*INDEX(Curves!$AE$8:$AE$68,AE$4-$B73+1)</f>
        <v/>
      </c>
      <c r="AF73" s="75">
        <f>$C73*INDEX(Curves!$AE$8:$AE$68,AF$4-$B73+1)</f>
        <v/>
      </c>
      <c r="AG73" s="75">
        <f>$C73*INDEX(Curves!$AE$8:$AE$68,AG$4-$B73+1)</f>
        <v/>
      </c>
      <c r="AH73" s="75">
        <f>$C73*INDEX(Curves!$AE$8:$AE$68,AH$4-$B73+1)</f>
        <v/>
      </c>
      <c r="AI73" s="75">
        <f>$C73*INDEX(Curves!$AE$8:$AE$68,AI$4-$B73+1)</f>
        <v/>
      </c>
      <c r="AJ73" s="75">
        <f>$C73*INDEX(Curves!$AE$8:$AE$68,AJ$4-$B73+1)</f>
        <v/>
      </c>
      <c r="AK73" s="75">
        <f>$C73*INDEX(Curves!$AE$8:$AE$68,AK$4-$B73+1)</f>
        <v/>
      </c>
      <c r="AL73" s="75">
        <f>$C73*INDEX(Curves!$AE$8:$AE$68,AL$4-$B73+1)</f>
        <v/>
      </c>
      <c r="AM73" s="75">
        <f>$C73*INDEX(Curves!$AE$8:$AE$68,AM$4-$B73+1)</f>
        <v/>
      </c>
      <c r="AN73" s="75">
        <f>$C73*INDEX(Curves!$AE$8:$AE$68,AN$4-$B73+1)</f>
        <v/>
      </c>
      <c r="AO73" s="75">
        <f>$C73*INDEX(Curves!$AE$8:$AE$68,AO$4-$B73+1)</f>
        <v/>
      </c>
      <c r="AP73" s="75">
        <f>$C73*INDEX(Curves!$AE$8:$AE$68,AP$4-$B73+1)</f>
        <v/>
      </c>
      <c r="AQ73" s="75">
        <f>$C73*INDEX(Curves!$AE$8:$AE$68,AQ$4-$B73+1)</f>
        <v/>
      </c>
      <c r="AR73" s="75">
        <f>$C73*INDEX(Curves!$AE$8:$AE$68,AR$4-$B73+1)</f>
        <v/>
      </c>
      <c r="AS73" s="75">
        <f>$C73*INDEX(Curves!$AE$8:$AE$68,AS$4-$B73+1)</f>
        <v/>
      </c>
      <c r="AT73" s="75">
        <f>$C73*INDEX(Curves!$AE$8:$AE$68,AT$4-$B73+1)</f>
        <v/>
      </c>
      <c r="AU73" s="75">
        <f>$C73*INDEX(Curves!$AE$8:$AE$68,AU$4-$B73+1)</f>
        <v/>
      </c>
      <c r="AV73" s="75">
        <f>$C73*INDEX(Curves!$AE$8:$AE$68,AV$4-$B73+1)</f>
        <v/>
      </c>
      <c r="AW73" s="75">
        <f>$C73*INDEX(Curves!$AE$8:$AE$68,AW$4-$B73+1)</f>
        <v/>
      </c>
      <c r="AX73" s="75">
        <f>$C73*INDEX(Curves!$AE$8:$AE$68,AX$4-$B73+1)</f>
        <v/>
      </c>
      <c r="AY73" s="75">
        <f>$C73*INDEX(Curves!$AE$8:$AE$68,AY$4-$B73+1)</f>
        <v/>
      </c>
      <c r="AZ73" s="75">
        <f>$C73*INDEX(Curves!$AE$8:$AE$68,AZ$4-$B73+1)</f>
        <v/>
      </c>
      <c r="BA73" s="75">
        <f>$C73*INDEX(Curves!$AE$8:$AE$68,BA$4-$B73+1)</f>
        <v/>
      </c>
      <c r="BB73" s="75">
        <f>$C73*INDEX(Curves!$AE$8:$AE$68,BB$4-$B73+1)</f>
        <v/>
      </c>
      <c r="BC73" s="75">
        <f>$C73*INDEX(Curves!$AE$8:$AE$68,BC$4-$B73+1)</f>
        <v/>
      </c>
      <c r="BD73" s="75">
        <f>$C73*INDEX(Curves!$AE$8:$AE$68,BD$4-$B73+1)</f>
        <v/>
      </c>
      <c r="BE73" s="75">
        <f>$C73*INDEX(Curves!$AE$8:$AE$68,BE$4-$B73+1)</f>
        <v/>
      </c>
      <c r="BF73" s="75">
        <f>$C73*INDEX(Curves!$AE$8:$AE$68,BF$4-$B73+1)</f>
        <v/>
      </c>
      <c r="BG73" s="75">
        <f>$C73*INDEX(Curves!$AE$8:$AE$68,BG$4-$B73+1)</f>
        <v/>
      </c>
      <c r="BH73" s="75">
        <f>$C73*INDEX(Curves!$AE$8:$AE$68,BH$4-$B73+1)</f>
        <v/>
      </c>
      <c r="BI73" s="75">
        <f>$C73*INDEX(Curves!$AE$8:$AE$68,BI$4-$B73+1)</f>
        <v/>
      </c>
      <c r="BJ73" s="75">
        <f>$C73*INDEX(Curves!$AE$8:$AE$68,BJ$4-$B73+1)</f>
        <v/>
      </c>
      <c r="BK73" s="75">
        <f>$C73*INDEX(Curves!$AE$8:$AE$68,BK$4-$B73+1)</f>
        <v/>
      </c>
      <c r="BL73" s="75">
        <f>$C73*INDEX(Curves!$AE$8:$AE$68,BL$4-$B73+1)</f>
        <v/>
      </c>
    </row>
    <row r="74">
      <c r="A74" s="74" t="inlineStr">
        <is>
          <t>Cohort month 2</t>
        </is>
      </c>
      <c r="B74" s="74" t="n">
        <v>2</v>
      </c>
      <c r="C74" s="17">
        <f>INDEX(Ops!$E$59:$BL$59,1,$B74)</f>
        <v/>
      </c>
      <c r="G74" s="75">
        <f>$C74*INDEX(Curves!$AE$8:$AE$68,G$4-$B74+1)</f>
        <v/>
      </c>
      <c r="H74" s="75">
        <f>$C74*INDEX(Curves!$AE$8:$AE$68,H$4-$B74+1)</f>
        <v/>
      </c>
      <c r="I74" s="75">
        <f>$C74*INDEX(Curves!$AE$8:$AE$68,I$4-$B74+1)</f>
        <v/>
      </c>
      <c r="J74" s="75">
        <f>$C74*INDEX(Curves!$AE$8:$AE$68,J$4-$B74+1)</f>
        <v/>
      </c>
      <c r="K74" s="75">
        <f>$C74*INDEX(Curves!$AE$8:$AE$68,K$4-$B74+1)</f>
        <v/>
      </c>
      <c r="L74" s="75">
        <f>$C74*INDEX(Curves!$AE$8:$AE$68,L$4-$B74+1)</f>
        <v/>
      </c>
      <c r="M74" s="75">
        <f>$C74*INDEX(Curves!$AE$8:$AE$68,M$4-$B74+1)</f>
        <v/>
      </c>
      <c r="N74" s="75">
        <f>$C74*INDEX(Curves!$AE$8:$AE$68,N$4-$B74+1)</f>
        <v/>
      </c>
      <c r="O74" s="75">
        <f>$C74*INDEX(Curves!$AE$8:$AE$68,O$4-$B74+1)</f>
        <v/>
      </c>
      <c r="P74" s="75">
        <f>$C74*INDEX(Curves!$AE$8:$AE$68,P$4-$B74+1)</f>
        <v/>
      </c>
      <c r="Q74" s="75">
        <f>$C74*INDEX(Curves!$AE$8:$AE$68,Q$4-$B74+1)</f>
        <v/>
      </c>
      <c r="R74" s="75">
        <f>$C74*INDEX(Curves!$AE$8:$AE$68,R$4-$B74+1)</f>
        <v/>
      </c>
      <c r="S74" s="75">
        <f>$C74*INDEX(Curves!$AE$8:$AE$68,S$4-$B74+1)</f>
        <v/>
      </c>
      <c r="T74" s="75">
        <f>$C74*INDEX(Curves!$AE$8:$AE$68,T$4-$B74+1)</f>
        <v/>
      </c>
      <c r="U74" s="75">
        <f>$C74*INDEX(Curves!$AE$8:$AE$68,U$4-$B74+1)</f>
        <v/>
      </c>
      <c r="V74" s="75">
        <f>$C74*INDEX(Curves!$AE$8:$AE$68,V$4-$B74+1)</f>
        <v/>
      </c>
      <c r="W74" s="75">
        <f>$C74*INDEX(Curves!$AE$8:$AE$68,W$4-$B74+1)</f>
        <v/>
      </c>
      <c r="X74" s="75">
        <f>$C74*INDEX(Curves!$AE$8:$AE$68,X$4-$B74+1)</f>
        <v/>
      </c>
      <c r="Y74" s="75">
        <f>$C74*INDEX(Curves!$AE$8:$AE$68,Y$4-$B74+1)</f>
        <v/>
      </c>
      <c r="Z74" s="75">
        <f>$C74*INDEX(Curves!$AE$8:$AE$68,Z$4-$B74+1)</f>
        <v/>
      </c>
      <c r="AA74" s="75">
        <f>$C74*INDEX(Curves!$AE$8:$AE$68,AA$4-$B74+1)</f>
        <v/>
      </c>
      <c r="AB74" s="75">
        <f>$C74*INDEX(Curves!$AE$8:$AE$68,AB$4-$B74+1)</f>
        <v/>
      </c>
      <c r="AC74" s="75">
        <f>$C74*INDEX(Curves!$AE$8:$AE$68,AC$4-$B74+1)</f>
        <v/>
      </c>
      <c r="AD74" s="75">
        <f>$C74*INDEX(Curves!$AE$8:$AE$68,AD$4-$B74+1)</f>
        <v/>
      </c>
      <c r="AE74" s="75">
        <f>$C74*INDEX(Curves!$AE$8:$AE$68,AE$4-$B74+1)</f>
        <v/>
      </c>
      <c r="AF74" s="75">
        <f>$C74*INDEX(Curves!$AE$8:$AE$68,AF$4-$B74+1)</f>
        <v/>
      </c>
      <c r="AG74" s="75">
        <f>$C74*INDEX(Curves!$AE$8:$AE$68,AG$4-$B74+1)</f>
        <v/>
      </c>
      <c r="AH74" s="75">
        <f>$C74*INDEX(Curves!$AE$8:$AE$68,AH$4-$B74+1)</f>
        <v/>
      </c>
      <c r="AI74" s="75">
        <f>$C74*INDEX(Curves!$AE$8:$AE$68,AI$4-$B74+1)</f>
        <v/>
      </c>
      <c r="AJ74" s="75">
        <f>$C74*INDEX(Curves!$AE$8:$AE$68,AJ$4-$B74+1)</f>
        <v/>
      </c>
      <c r="AK74" s="75">
        <f>$C74*INDEX(Curves!$AE$8:$AE$68,AK$4-$B74+1)</f>
        <v/>
      </c>
      <c r="AL74" s="75">
        <f>$C74*INDEX(Curves!$AE$8:$AE$68,AL$4-$B74+1)</f>
        <v/>
      </c>
      <c r="AM74" s="75">
        <f>$C74*INDEX(Curves!$AE$8:$AE$68,AM$4-$B74+1)</f>
        <v/>
      </c>
      <c r="AN74" s="75">
        <f>$C74*INDEX(Curves!$AE$8:$AE$68,AN$4-$B74+1)</f>
        <v/>
      </c>
      <c r="AO74" s="75">
        <f>$C74*INDEX(Curves!$AE$8:$AE$68,AO$4-$B74+1)</f>
        <v/>
      </c>
      <c r="AP74" s="75">
        <f>$C74*INDEX(Curves!$AE$8:$AE$68,AP$4-$B74+1)</f>
        <v/>
      </c>
      <c r="AQ74" s="75">
        <f>$C74*INDEX(Curves!$AE$8:$AE$68,AQ$4-$B74+1)</f>
        <v/>
      </c>
      <c r="AR74" s="75">
        <f>$C74*INDEX(Curves!$AE$8:$AE$68,AR$4-$B74+1)</f>
        <v/>
      </c>
      <c r="AS74" s="75">
        <f>$C74*INDEX(Curves!$AE$8:$AE$68,AS$4-$B74+1)</f>
        <v/>
      </c>
      <c r="AT74" s="75">
        <f>$C74*INDEX(Curves!$AE$8:$AE$68,AT$4-$B74+1)</f>
        <v/>
      </c>
      <c r="AU74" s="75">
        <f>$C74*INDEX(Curves!$AE$8:$AE$68,AU$4-$B74+1)</f>
        <v/>
      </c>
      <c r="AV74" s="75">
        <f>$C74*INDEX(Curves!$AE$8:$AE$68,AV$4-$B74+1)</f>
        <v/>
      </c>
      <c r="AW74" s="75">
        <f>$C74*INDEX(Curves!$AE$8:$AE$68,AW$4-$B74+1)</f>
        <v/>
      </c>
      <c r="AX74" s="75">
        <f>$C74*INDEX(Curves!$AE$8:$AE$68,AX$4-$B74+1)</f>
        <v/>
      </c>
      <c r="AY74" s="75">
        <f>$C74*INDEX(Curves!$AE$8:$AE$68,AY$4-$B74+1)</f>
        <v/>
      </c>
      <c r="AZ74" s="75">
        <f>$C74*INDEX(Curves!$AE$8:$AE$68,AZ$4-$B74+1)</f>
        <v/>
      </c>
      <c r="BA74" s="75">
        <f>$C74*INDEX(Curves!$AE$8:$AE$68,BA$4-$B74+1)</f>
        <v/>
      </c>
      <c r="BB74" s="75">
        <f>$C74*INDEX(Curves!$AE$8:$AE$68,BB$4-$B74+1)</f>
        <v/>
      </c>
      <c r="BC74" s="75">
        <f>$C74*INDEX(Curves!$AE$8:$AE$68,BC$4-$B74+1)</f>
        <v/>
      </c>
      <c r="BD74" s="75">
        <f>$C74*INDEX(Curves!$AE$8:$AE$68,BD$4-$B74+1)</f>
        <v/>
      </c>
      <c r="BE74" s="75">
        <f>$C74*INDEX(Curves!$AE$8:$AE$68,BE$4-$B74+1)</f>
        <v/>
      </c>
      <c r="BF74" s="75">
        <f>$C74*INDEX(Curves!$AE$8:$AE$68,BF$4-$B74+1)</f>
        <v/>
      </c>
      <c r="BG74" s="75">
        <f>$C74*INDEX(Curves!$AE$8:$AE$68,BG$4-$B74+1)</f>
        <v/>
      </c>
      <c r="BH74" s="75">
        <f>$C74*INDEX(Curves!$AE$8:$AE$68,BH$4-$B74+1)</f>
        <v/>
      </c>
      <c r="BI74" s="75">
        <f>$C74*INDEX(Curves!$AE$8:$AE$68,BI$4-$B74+1)</f>
        <v/>
      </c>
      <c r="BJ74" s="75">
        <f>$C74*INDEX(Curves!$AE$8:$AE$68,BJ$4-$B74+1)</f>
        <v/>
      </c>
      <c r="BK74" s="75">
        <f>$C74*INDEX(Curves!$AE$8:$AE$68,BK$4-$B74+1)</f>
        <v/>
      </c>
      <c r="BL74" s="75">
        <f>$C74*INDEX(Curves!$AE$8:$AE$68,BL$4-$B74+1)</f>
        <v/>
      </c>
    </row>
    <row r="75">
      <c r="A75" s="74" t="inlineStr">
        <is>
          <t>Cohort month 3</t>
        </is>
      </c>
      <c r="B75" s="74" t="n">
        <v>3</v>
      </c>
      <c r="C75" s="17">
        <f>INDEX(Ops!$E$59:$BL$59,1,$B75)</f>
        <v/>
      </c>
      <c r="H75" s="75">
        <f>$C75*INDEX(Curves!$AE$8:$AE$68,H$4-$B75+1)</f>
        <v/>
      </c>
      <c r="I75" s="75">
        <f>$C75*INDEX(Curves!$AE$8:$AE$68,I$4-$B75+1)</f>
        <v/>
      </c>
      <c r="J75" s="75">
        <f>$C75*INDEX(Curves!$AE$8:$AE$68,J$4-$B75+1)</f>
        <v/>
      </c>
      <c r="K75" s="75">
        <f>$C75*INDEX(Curves!$AE$8:$AE$68,K$4-$B75+1)</f>
        <v/>
      </c>
      <c r="L75" s="75">
        <f>$C75*INDEX(Curves!$AE$8:$AE$68,L$4-$B75+1)</f>
        <v/>
      </c>
      <c r="M75" s="75">
        <f>$C75*INDEX(Curves!$AE$8:$AE$68,M$4-$B75+1)</f>
        <v/>
      </c>
      <c r="N75" s="75">
        <f>$C75*INDEX(Curves!$AE$8:$AE$68,N$4-$B75+1)</f>
        <v/>
      </c>
      <c r="O75" s="75">
        <f>$C75*INDEX(Curves!$AE$8:$AE$68,O$4-$B75+1)</f>
        <v/>
      </c>
      <c r="P75" s="75">
        <f>$C75*INDEX(Curves!$AE$8:$AE$68,P$4-$B75+1)</f>
        <v/>
      </c>
      <c r="Q75" s="75">
        <f>$C75*INDEX(Curves!$AE$8:$AE$68,Q$4-$B75+1)</f>
        <v/>
      </c>
      <c r="R75" s="75">
        <f>$C75*INDEX(Curves!$AE$8:$AE$68,R$4-$B75+1)</f>
        <v/>
      </c>
      <c r="S75" s="75">
        <f>$C75*INDEX(Curves!$AE$8:$AE$68,S$4-$B75+1)</f>
        <v/>
      </c>
      <c r="T75" s="75">
        <f>$C75*INDEX(Curves!$AE$8:$AE$68,T$4-$B75+1)</f>
        <v/>
      </c>
      <c r="U75" s="75">
        <f>$C75*INDEX(Curves!$AE$8:$AE$68,U$4-$B75+1)</f>
        <v/>
      </c>
      <c r="V75" s="75">
        <f>$C75*INDEX(Curves!$AE$8:$AE$68,V$4-$B75+1)</f>
        <v/>
      </c>
      <c r="W75" s="75">
        <f>$C75*INDEX(Curves!$AE$8:$AE$68,W$4-$B75+1)</f>
        <v/>
      </c>
      <c r="X75" s="75">
        <f>$C75*INDEX(Curves!$AE$8:$AE$68,X$4-$B75+1)</f>
        <v/>
      </c>
      <c r="Y75" s="75">
        <f>$C75*INDEX(Curves!$AE$8:$AE$68,Y$4-$B75+1)</f>
        <v/>
      </c>
      <c r="Z75" s="75">
        <f>$C75*INDEX(Curves!$AE$8:$AE$68,Z$4-$B75+1)</f>
        <v/>
      </c>
      <c r="AA75" s="75">
        <f>$C75*INDEX(Curves!$AE$8:$AE$68,AA$4-$B75+1)</f>
        <v/>
      </c>
      <c r="AB75" s="75">
        <f>$C75*INDEX(Curves!$AE$8:$AE$68,AB$4-$B75+1)</f>
        <v/>
      </c>
      <c r="AC75" s="75">
        <f>$C75*INDEX(Curves!$AE$8:$AE$68,AC$4-$B75+1)</f>
        <v/>
      </c>
      <c r="AD75" s="75">
        <f>$C75*INDEX(Curves!$AE$8:$AE$68,AD$4-$B75+1)</f>
        <v/>
      </c>
      <c r="AE75" s="75">
        <f>$C75*INDEX(Curves!$AE$8:$AE$68,AE$4-$B75+1)</f>
        <v/>
      </c>
      <c r="AF75" s="75">
        <f>$C75*INDEX(Curves!$AE$8:$AE$68,AF$4-$B75+1)</f>
        <v/>
      </c>
      <c r="AG75" s="75">
        <f>$C75*INDEX(Curves!$AE$8:$AE$68,AG$4-$B75+1)</f>
        <v/>
      </c>
      <c r="AH75" s="75">
        <f>$C75*INDEX(Curves!$AE$8:$AE$68,AH$4-$B75+1)</f>
        <v/>
      </c>
      <c r="AI75" s="75">
        <f>$C75*INDEX(Curves!$AE$8:$AE$68,AI$4-$B75+1)</f>
        <v/>
      </c>
      <c r="AJ75" s="75">
        <f>$C75*INDEX(Curves!$AE$8:$AE$68,AJ$4-$B75+1)</f>
        <v/>
      </c>
      <c r="AK75" s="75">
        <f>$C75*INDEX(Curves!$AE$8:$AE$68,AK$4-$B75+1)</f>
        <v/>
      </c>
      <c r="AL75" s="75">
        <f>$C75*INDEX(Curves!$AE$8:$AE$68,AL$4-$B75+1)</f>
        <v/>
      </c>
      <c r="AM75" s="75">
        <f>$C75*INDEX(Curves!$AE$8:$AE$68,AM$4-$B75+1)</f>
        <v/>
      </c>
      <c r="AN75" s="75">
        <f>$C75*INDEX(Curves!$AE$8:$AE$68,AN$4-$B75+1)</f>
        <v/>
      </c>
      <c r="AO75" s="75">
        <f>$C75*INDEX(Curves!$AE$8:$AE$68,AO$4-$B75+1)</f>
        <v/>
      </c>
      <c r="AP75" s="75">
        <f>$C75*INDEX(Curves!$AE$8:$AE$68,AP$4-$B75+1)</f>
        <v/>
      </c>
      <c r="AQ75" s="75">
        <f>$C75*INDEX(Curves!$AE$8:$AE$68,AQ$4-$B75+1)</f>
        <v/>
      </c>
      <c r="AR75" s="75">
        <f>$C75*INDEX(Curves!$AE$8:$AE$68,AR$4-$B75+1)</f>
        <v/>
      </c>
      <c r="AS75" s="75">
        <f>$C75*INDEX(Curves!$AE$8:$AE$68,AS$4-$B75+1)</f>
        <v/>
      </c>
      <c r="AT75" s="75">
        <f>$C75*INDEX(Curves!$AE$8:$AE$68,AT$4-$B75+1)</f>
        <v/>
      </c>
      <c r="AU75" s="75">
        <f>$C75*INDEX(Curves!$AE$8:$AE$68,AU$4-$B75+1)</f>
        <v/>
      </c>
      <c r="AV75" s="75">
        <f>$C75*INDEX(Curves!$AE$8:$AE$68,AV$4-$B75+1)</f>
        <v/>
      </c>
      <c r="AW75" s="75">
        <f>$C75*INDEX(Curves!$AE$8:$AE$68,AW$4-$B75+1)</f>
        <v/>
      </c>
      <c r="AX75" s="75">
        <f>$C75*INDEX(Curves!$AE$8:$AE$68,AX$4-$B75+1)</f>
        <v/>
      </c>
      <c r="AY75" s="75">
        <f>$C75*INDEX(Curves!$AE$8:$AE$68,AY$4-$B75+1)</f>
        <v/>
      </c>
      <c r="AZ75" s="75">
        <f>$C75*INDEX(Curves!$AE$8:$AE$68,AZ$4-$B75+1)</f>
        <v/>
      </c>
      <c r="BA75" s="75">
        <f>$C75*INDEX(Curves!$AE$8:$AE$68,BA$4-$B75+1)</f>
        <v/>
      </c>
      <c r="BB75" s="75">
        <f>$C75*INDEX(Curves!$AE$8:$AE$68,BB$4-$B75+1)</f>
        <v/>
      </c>
      <c r="BC75" s="75">
        <f>$C75*INDEX(Curves!$AE$8:$AE$68,BC$4-$B75+1)</f>
        <v/>
      </c>
      <c r="BD75" s="75">
        <f>$C75*INDEX(Curves!$AE$8:$AE$68,BD$4-$B75+1)</f>
        <v/>
      </c>
      <c r="BE75" s="75">
        <f>$C75*INDEX(Curves!$AE$8:$AE$68,BE$4-$B75+1)</f>
        <v/>
      </c>
      <c r="BF75" s="75">
        <f>$C75*INDEX(Curves!$AE$8:$AE$68,BF$4-$B75+1)</f>
        <v/>
      </c>
      <c r="BG75" s="75">
        <f>$C75*INDEX(Curves!$AE$8:$AE$68,BG$4-$B75+1)</f>
        <v/>
      </c>
      <c r="BH75" s="75">
        <f>$C75*INDEX(Curves!$AE$8:$AE$68,BH$4-$B75+1)</f>
        <v/>
      </c>
      <c r="BI75" s="75">
        <f>$C75*INDEX(Curves!$AE$8:$AE$68,BI$4-$B75+1)</f>
        <v/>
      </c>
      <c r="BJ75" s="75">
        <f>$C75*INDEX(Curves!$AE$8:$AE$68,BJ$4-$B75+1)</f>
        <v/>
      </c>
      <c r="BK75" s="75">
        <f>$C75*INDEX(Curves!$AE$8:$AE$68,BK$4-$B75+1)</f>
        <v/>
      </c>
      <c r="BL75" s="75">
        <f>$C75*INDEX(Curves!$AE$8:$AE$68,BL$4-$B75+1)</f>
        <v/>
      </c>
    </row>
    <row r="76">
      <c r="A76" s="74" t="inlineStr">
        <is>
          <t>Cohort month 4</t>
        </is>
      </c>
      <c r="B76" s="74" t="n">
        <v>4</v>
      </c>
      <c r="C76" s="17">
        <f>INDEX(Ops!$E$59:$BL$59,1,$B76)</f>
        <v/>
      </c>
      <c r="I76" s="75">
        <f>$C76*INDEX(Curves!$AE$8:$AE$68,I$4-$B76+1)</f>
        <v/>
      </c>
      <c r="J76" s="75">
        <f>$C76*INDEX(Curves!$AE$8:$AE$68,J$4-$B76+1)</f>
        <v/>
      </c>
      <c r="K76" s="75">
        <f>$C76*INDEX(Curves!$AE$8:$AE$68,K$4-$B76+1)</f>
        <v/>
      </c>
      <c r="L76" s="75">
        <f>$C76*INDEX(Curves!$AE$8:$AE$68,L$4-$B76+1)</f>
        <v/>
      </c>
      <c r="M76" s="75">
        <f>$C76*INDEX(Curves!$AE$8:$AE$68,M$4-$B76+1)</f>
        <v/>
      </c>
      <c r="N76" s="75">
        <f>$C76*INDEX(Curves!$AE$8:$AE$68,N$4-$B76+1)</f>
        <v/>
      </c>
      <c r="O76" s="75">
        <f>$C76*INDEX(Curves!$AE$8:$AE$68,O$4-$B76+1)</f>
        <v/>
      </c>
      <c r="P76" s="75">
        <f>$C76*INDEX(Curves!$AE$8:$AE$68,P$4-$B76+1)</f>
        <v/>
      </c>
      <c r="Q76" s="75">
        <f>$C76*INDEX(Curves!$AE$8:$AE$68,Q$4-$B76+1)</f>
        <v/>
      </c>
      <c r="R76" s="75">
        <f>$C76*INDEX(Curves!$AE$8:$AE$68,R$4-$B76+1)</f>
        <v/>
      </c>
      <c r="S76" s="75">
        <f>$C76*INDEX(Curves!$AE$8:$AE$68,S$4-$B76+1)</f>
        <v/>
      </c>
      <c r="T76" s="75">
        <f>$C76*INDEX(Curves!$AE$8:$AE$68,T$4-$B76+1)</f>
        <v/>
      </c>
      <c r="U76" s="75">
        <f>$C76*INDEX(Curves!$AE$8:$AE$68,U$4-$B76+1)</f>
        <v/>
      </c>
      <c r="V76" s="75">
        <f>$C76*INDEX(Curves!$AE$8:$AE$68,V$4-$B76+1)</f>
        <v/>
      </c>
      <c r="W76" s="75">
        <f>$C76*INDEX(Curves!$AE$8:$AE$68,W$4-$B76+1)</f>
        <v/>
      </c>
      <c r="X76" s="75">
        <f>$C76*INDEX(Curves!$AE$8:$AE$68,X$4-$B76+1)</f>
        <v/>
      </c>
      <c r="Y76" s="75">
        <f>$C76*INDEX(Curves!$AE$8:$AE$68,Y$4-$B76+1)</f>
        <v/>
      </c>
      <c r="Z76" s="75">
        <f>$C76*INDEX(Curves!$AE$8:$AE$68,Z$4-$B76+1)</f>
        <v/>
      </c>
      <c r="AA76" s="75">
        <f>$C76*INDEX(Curves!$AE$8:$AE$68,AA$4-$B76+1)</f>
        <v/>
      </c>
      <c r="AB76" s="75">
        <f>$C76*INDEX(Curves!$AE$8:$AE$68,AB$4-$B76+1)</f>
        <v/>
      </c>
      <c r="AC76" s="75">
        <f>$C76*INDEX(Curves!$AE$8:$AE$68,AC$4-$B76+1)</f>
        <v/>
      </c>
      <c r="AD76" s="75">
        <f>$C76*INDEX(Curves!$AE$8:$AE$68,AD$4-$B76+1)</f>
        <v/>
      </c>
      <c r="AE76" s="75">
        <f>$C76*INDEX(Curves!$AE$8:$AE$68,AE$4-$B76+1)</f>
        <v/>
      </c>
      <c r="AF76" s="75">
        <f>$C76*INDEX(Curves!$AE$8:$AE$68,AF$4-$B76+1)</f>
        <v/>
      </c>
      <c r="AG76" s="75">
        <f>$C76*INDEX(Curves!$AE$8:$AE$68,AG$4-$B76+1)</f>
        <v/>
      </c>
      <c r="AH76" s="75">
        <f>$C76*INDEX(Curves!$AE$8:$AE$68,AH$4-$B76+1)</f>
        <v/>
      </c>
      <c r="AI76" s="75">
        <f>$C76*INDEX(Curves!$AE$8:$AE$68,AI$4-$B76+1)</f>
        <v/>
      </c>
      <c r="AJ76" s="75">
        <f>$C76*INDEX(Curves!$AE$8:$AE$68,AJ$4-$B76+1)</f>
        <v/>
      </c>
      <c r="AK76" s="75">
        <f>$C76*INDEX(Curves!$AE$8:$AE$68,AK$4-$B76+1)</f>
        <v/>
      </c>
      <c r="AL76" s="75">
        <f>$C76*INDEX(Curves!$AE$8:$AE$68,AL$4-$B76+1)</f>
        <v/>
      </c>
      <c r="AM76" s="75">
        <f>$C76*INDEX(Curves!$AE$8:$AE$68,AM$4-$B76+1)</f>
        <v/>
      </c>
      <c r="AN76" s="75">
        <f>$C76*INDEX(Curves!$AE$8:$AE$68,AN$4-$B76+1)</f>
        <v/>
      </c>
      <c r="AO76" s="75">
        <f>$C76*INDEX(Curves!$AE$8:$AE$68,AO$4-$B76+1)</f>
        <v/>
      </c>
      <c r="AP76" s="75">
        <f>$C76*INDEX(Curves!$AE$8:$AE$68,AP$4-$B76+1)</f>
        <v/>
      </c>
      <c r="AQ76" s="75">
        <f>$C76*INDEX(Curves!$AE$8:$AE$68,AQ$4-$B76+1)</f>
        <v/>
      </c>
      <c r="AR76" s="75">
        <f>$C76*INDEX(Curves!$AE$8:$AE$68,AR$4-$B76+1)</f>
        <v/>
      </c>
      <c r="AS76" s="75">
        <f>$C76*INDEX(Curves!$AE$8:$AE$68,AS$4-$B76+1)</f>
        <v/>
      </c>
      <c r="AT76" s="75">
        <f>$C76*INDEX(Curves!$AE$8:$AE$68,AT$4-$B76+1)</f>
        <v/>
      </c>
      <c r="AU76" s="75">
        <f>$C76*INDEX(Curves!$AE$8:$AE$68,AU$4-$B76+1)</f>
        <v/>
      </c>
      <c r="AV76" s="75">
        <f>$C76*INDEX(Curves!$AE$8:$AE$68,AV$4-$B76+1)</f>
        <v/>
      </c>
      <c r="AW76" s="75">
        <f>$C76*INDEX(Curves!$AE$8:$AE$68,AW$4-$B76+1)</f>
        <v/>
      </c>
      <c r="AX76" s="75">
        <f>$C76*INDEX(Curves!$AE$8:$AE$68,AX$4-$B76+1)</f>
        <v/>
      </c>
      <c r="AY76" s="75">
        <f>$C76*INDEX(Curves!$AE$8:$AE$68,AY$4-$B76+1)</f>
        <v/>
      </c>
      <c r="AZ76" s="75">
        <f>$C76*INDEX(Curves!$AE$8:$AE$68,AZ$4-$B76+1)</f>
        <v/>
      </c>
      <c r="BA76" s="75">
        <f>$C76*INDEX(Curves!$AE$8:$AE$68,BA$4-$B76+1)</f>
        <v/>
      </c>
      <c r="BB76" s="75">
        <f>$C76*INDEX(Curves!$AE$8:$AE$68,BB$4-$B76+1)</f>
        <v/>
      </c>
      <c r="BC76" s="75">
        <f>$C76*INDEX(Curves!$AE$8:$AE$68,BC$4-$B76+1)</f>
        <v/>
      </c>
      <c r="BD76" s="75">
        <f>$C76*INDEX(Curves!$AE$8:$AE$68,BD$4-$B76+1)</f>
        <v/>
      </c>
      <c r="BE76" s="75">
        <f>$C76*INDEX(Curves!$AE$8:$AE$68,BE$4-$B76+1)</f>
        <v/>
      </c>
      <c r="BF76" s="75">
        <f>$C76*INDEX(Curves!$AE$8:$AE$68,BF$4-$B76+1)</f>
        <v/>
      </c>
      <c r="BG76" s="75">
        <f>$C76*INDEX(Curves!$AE$8:$AE$68,BG$4-$B76+1)</f>
        <v/>
      </c>
      <c r="BH76" s="75">
        <f>$C76*INDEX(Curves!$AE$8:$AE$68,BH$4-$B76+1)</f>
        <v/>
      </c>
      <c r="BI76" s="75">
        <f>$C76*INDEX(Curves!$AE$8:$AE$68,BI$4-$B76+1)</f>
        <v/>
      </c>
      <c r="BJ76" s="75">
        <f>$C76*INDEX(Curves!$AE$8:$AE$68,BJ$4-$B76+1)</f>
        <v/>
      </c>
      <c r="BK76" s="75">
        <f>$C76*INDEX(Curves!$AE$8:$AE$68,BK$4-$B76+1)</f>
        <v/>
      </c>
      <c r="BL76" s="75">
        <f>$C76*INDEX(Curves!$AE$8:$AE$68,BL$4-$B76+1)</f>
        <v/>
      </c>
    </row>
    <row r="77">
      <c r="A77" s="74" t="inlineStr">
        <is>
          <t>Cohort month 5</t>
        </is>
      </c>
      <c r="B77" s="74" t="n">
        <v>5</v>
      </c>
      <c r="C77" s="17">
        <f>INDEX(Ops!$E$59:$BL$59,1,$B77)</f>
        <v/>
      </c>
      <c r="J77" s="75">
        <f>$C77*INDEX(Curves!$AE$8:$AE$68,J$4-$B77+1)</f>
        <v/>
      </c>
      <c r="K77" s="75">
        <f>$C77*INDEX(Curves!$AE$8:$AE$68,K$4-$B77+1)</f>
        <v/>
      </c>
      <c r="L77" s="75">
        <f>$C77*INDEX(Curves!$AE$8:$AE$68,L$4-$B77+1)</f>
        <v/>
      </c>
      <c r="M77" s="75">
        <f>$C77*INDEX(Curves!$AE$8:$AE$68,M$4-$B77+1)</f>
        <v/>
      </c>
      <c r="N77" s="75">
        <f>$C77*INDEX(Curves!$AE$8:$AE$68,N$4-$B77+1)</f>
        <v/>
      </c>
      <c r="O77" s="75">
        <f>$C77*INDEX(Curves!$AE$8:$AE$68,O$4-$B77+1)</f>
        <v/>
      </c>
      <c r="P77" s="75">
        <f>$C77*INDEX(Curves!$AE$8:$AE$68,P$4-$B77+1)</f>
        <v/>
      </c>
      <c r="Q77" s="75">
        <f>$C77*INDEX(Curves!$AE$8:$AE$68,Q$4-$B77+1)</f>
        <v/>
      </c>
      <c r="R77" s="75">
        <f>$C77*INDEX(Curves!$AE$8:$AE$68,R$4-$B77+1)</f>
        <v/>
      </c>
      <c r="S77" s="75">
        <f>$C77*INDEX(Curves!$AE$8:$AE$68,S$4-$B77+1)</f>
        <v/>
      </c>
      <c r="T77" s="75">
        <f>$C77*INDEX(Curves!$AE$8:$AE$68,T$4-$B77+1)</f>
        <v/>
      </c>
      <c r="U77" s="75">
        <f>$C77*INDEX(Curves!$AE$8:$AE$68,U$4-$B77+1)</f>
        <v/>
      </c>
      <c r="V77" s="75">
        <f>$C77*INDEX(Curves!$AE$8:$AE$68,V$4-$B77+1)</f>
        <v/>
      </c>
      <c r="W77" s="75">
        <f>$C77*INDEX(Curves!$AE$8:$AE$68,W$4-$B77+1)</f>
        <v/>
      </c>
      <c r="X77" s="75">
        <f>$C77*INDEX(Curves!$AE$8:$AE$68,X$4-$B77+1)</f>
        <v/>
      </c>
      <c r="Y77" s="75">
        <f>$C77*INDEX(Curves!$AE$8:$AE$68,Y$4-$B77+1)</f>
        <v/>
      </c>
      <c r="Z77" s="75">
        <f>$C77*INDEX(Curves!$AE$8:$AE$68,Z$4-$B77+1)</f>
        <v/>
      </c>
      <c r="AA77" s="75">
        <f>$C77*INDEX(Curves!$AE$8:$AE$68,AA$4-$B77+1)</f>
        <v/>
      </c>
      <c r="AB77" s="75">
        <f>$C77*INDEX(Curves!$AE$8:$AE$68,AB$4-$B77+1)</f>
        <v/>
      </c>
      <c r="AC77" s="75">
        <f>$C77*INDEX(Curves!$AE$8:$AE$68,AC$4-$B77+1)</f>
        <v/>
      </c>
      <c r="AD77" s="75">
        <f>$C77*INDEX(Curves!$AE$8:$AE$68,AD$4-$B77+1)</f>
        <v/>
      </c>
      <c r="AE77" s="75">
        <f>$C77*INDEX(Curves!$AE$8:$AE$68,AE$4-$B77+1)</f>
        <v/>
      </c>
      <c r="AF77" s="75">
        <f>$C77*INDEX(Curves!$AE$8:$AE$68,AF$4-$B77+1)</f>
        <v/>
      </c>
      <c r="AG77" s="75">
        <f>$C77*INDEX(Curves!$AE$8:$AE$68,AG$4-$B77+1)</f>
        <v/>
      </c>
      <c r="AH77" s="75">
        <f>$C77*INDEX(Curves!$AE$8:$AE$68,AH$4-$B77+1)</f>
        <v/>
      </c>
      <c r="AI77" s="75">
        <f>$C77*INDEX(Curves!$AE$8:$AE$68,AI$4-$B77+1)</f>
        <v/>
      </c>
      <c r="AJ77" s="75">
        <f>$C77*INDEX(Curves!$AE$8:$AE$68,AJ$4-$B77+1)</f>
        <v/>
      </c>
      <c r="AK77" s="75">
        <f>$C77*INDEX(Curves!$AE$8:$AE$68,AK$4-$B77+1)</f>
        <v/>
      </c>
      <c r="AL77" s="75">
        <f>$C77*INDEX(Curves!$AE$8:$AE$68,AL$4-$B77+1)</f>
        <v/>
      </c>
      <c r="AM77" s="75">
        <f>$C77*INDEX(Curves!$AE$8:$AE$68,AM$4-$B77+1)</f>
        <v/>
      </c>
      <c r="AN77" s="75">
        <f>$C77*INDEX(Curves!$AE$8:$AE$68,AN$4-$B77+1)</f>
        <v/>
      </c>
      <c r="AO77" s="75">
        <f>$C77*INDEX(Curves!$AE$8:$AE$68,AO$4-$B77+1)</f>
        <v/>
      </c>
      <c r="AP77" s="75">
        <f>$C77*INDEX(Curves!$AE$8:$AE$68,AP$4-$B77+1)</f>
        <v/>
      </c>
      <c r="AQ77" s="75">
        <f>$C77*INDEX(Curves!$AE$8:$AE$68,AQ$4-$B77+1)</f>
        <v/>
      </c>
      <c r="AR77" s="75">
        <f>$C77*INDEX(Curves!$AE$8:$AE$68,AR$4-$B77+1)</f>
        <v/>
      </c>
      <c r="AS77" s="75">
        <f>$C77*INDEX(Curves!$AE$8:$AE$68,AS$4-$B77+1)</f>
        <v/>
      </c>
      <c r="AT77" s="75">
        <f>$C77*INDEX(Curves!$AE$8:$AE$68,AT$4-$B77+1)</f>
        <v/>
      </c>
      <c r="AU77" s="75">
        <f>$C77*INDEX(Curves!$AE$8:$AE$68,AU$4-$B77+1)</f>
        <v/>
      </c>
      <c r="AV77" s="75">
        <f>$C77*INDEX(Curves!$AE$8:$AE$68,AV$4-$B77+1)</f>
        <v/>
      </c>
      <c r="AW77" s="75">
        <f>$C77*INDEX(Curves!$AE$8:$AE$68,AW$4-$B77+1)</f>
        <v/>
      </c>
      <c r="AX77" s="75">
        <f>$C77*INDEX(Curves!$AE$8:$AE$68,AX$4-$B77+1)</f>
        <v/>
      </c>
      <c r="AY77" s="75">
        <f>$C77*INDEX(Curves!$AE$8:$AE$68,AY$4-$B77+1)</f>
        <v/>
      </c>
      <c r="AZ77" s="75">
        <f>$C77*INDEX(Curves!$AE$8:$AE$68,AZ$4-$B77+1)</f>
        <v/>
      </c>
      <c r="BA77" s="75">
        <f>$C77*INDEX(Curves!$AE$8:$AE$68,BA$4-$B77+1)</f>
        <v/>
      </c>
      <c r="BB77" s="75">
        <f>$C77*INDEX(Curves!$AE$8:$AE$68,BB$4-$B77+1)</f>
        <v/>
      </c>
      <c r="BC77" s="75">
        <f>$C77*INDEX(Curves!$AE$8:$AE$68,BC$4-$B77+1)</f>
        <v/>
      </c>
      <c r="BD77" s="75">
        <f>$C77*INDEX(Curves!$AE$8:$AE$68,BD$4-$B77+1)</f>
        <v/>
      </c>
      <c r="BE77" s="75">
        <f>$C77*INDEX(Curves!$AE$8:$AE$68,BE$4-$B77+1)</f>
        <v/>
      </c>
      <c r="BF77" s="75">
        <f>$C77*INDEX(Curves!$AE$8:$AE$68,BF$4-$B77+1)</f>
        <v/>
      </c>
      <c r="BG77" s="75">
        <f>$C77*INDEX(Curves!$AE$8:$AE$68,BG$4-$B77+1)</f>
        <v/>
      </c>
      <c r="BH77" s="75">
        <f>$C77*INDEX(Curves!$AE$8:$AE$68,BH$4-$B77+1)</f>
        <v/>
      </c>
      <c r="BI77" s="75">
        <f>$C77*INDEX(Curves!$AE$8:$AE$68,BI$4-$B77+1)</f>
        <v/>
      </c>
      <c r="BJ77" s="75">
        <f>$C77*INDEX(Curves!$AE$8:$AE$68,BJ$4-$B77+1)</f>
        <v/>
      </c>
      <c r="BK77" s="75">
        <f>$C77*INDEX(Curves!$AE$8:$AE$68,BK$4-$B77+1)</f>
        <v/>
      </c>
      <c r="BL77" s="75">
        <f>$C77*INDEX(Curves!$AE$8:$AE$68,BL$4-$B77+1)</f>
        <v/>
      </c>
    </row>
    <row r="78">
      <c r="A78" s="74" t="inlineStr">
        <is>
          <t>Cohort month 6</t>
        </is>
      </c>
      <c r="B78" s="74" t="n">
        <v>6</v>
      </c>
      <c r="C78" s="17">
        <f>INDEX(Ops!$E$59:$BL$59,1,$B78)</f>
        <v/>
      </c>
      <c r="K78" s="75">
        <f>$C78*INDEX(Curves!$AE$8:$AE$68,K$4-$B78+1)</f>
        <v/>
      </c>
      <c r="L78" s="75">
        <f>$C78*INDEX(Curves!$AE$8:$AE$68,L$4-$B78+1)</f>
        <v/>
      </c>
      <c r="M78" s="75">
        <f>$C78*INDEX(Curves!$AE$8:$AE$68,M$4-$B78+1)</f>
        <v/>
      </c>
      <c r="N78" s="75">
        <f>$C78*INDEX(Curves!$AE$8:$AE$68,N$4-$B78+1)</f>
        <v/>
      </c>
      <c r="O78" s="75">
        <f>$C78*INDEX(Curves!$AE$8:$AE$68,O$4-$B78+1)</f>
        <v/>
      </c>
      <c r="P78" s="75">
        <f>$C78*INDEX(Curves!$AE$8:$AE$68,P$4-$B78+1)</f>
        <v/>
      </c>
      <c r="Q78" s="75">
        <f>$C78*INDEX(Curves!$AE$8:$AE$68,Q$4-$B78+1)</f>
        <v/>
      </c>
      <c r="R78" s="75">
        <f>$C78*INDEX(Curves!$AE$8:$AE$68,R$4-$B78+1)</f>
        <v/>
      </c>
      <c r="S78" s="75">
        <f>$C78*INDEX(Curves!$AE$8:$AE$68,S$4-$B78+1)</f>
        <v/>
      </c>
      <c r="T78" s="75">
        <f>$C78*INDEX(Curves!$AE$8:$AE$68,T$4-$B78+1)</f>
        <v/>
      </c>
      <c r="U78" s="75">
        <f>$C78*INDEX(Curves!$AE$8:$AE$68,U$4-$B78+1)</f>
        <v/>
      </c>
      <c r="V78" s="75">
        <f>$C78*INDEX(Curves!$AE$8:$AE$68,V$4-$B78+1)</f>
        <v/>
      </c>
      <c r="W78" s="75">
        <f>$C78*INDEX(Curves!$AE$8:$AE$68,W$4-$B78+1)</f>
        <v/>
      </c>
      <c r="X78" s="75">
        <f>$C78*INDEX(Curves!$AE$8:$AE$68,X$4-$B78+1)</f>
        <v/>
      </c>
      <c r="Y78" s="75">
        <f>$C78*INDEX(Curves!$AE$8:$AE$68,Y$4-$B78+1)</f>
        <v/>
      </c>
      <c r="Z78" s="75">
        <f>$C78*INDEX(Curves!$AE$8:$AE$68,Z$4-$B78+1)</f>
        <v/>
      </c>
      <c r="AA78" s="75">
        <f>$C78*INDEX(Curves!$AE$8:$AE$68,AA$4-$B78+1)</f>
        <v/>
      </c>
      <c r="AB78" s="75">
        <f>$C78*INDEX(Curves!$AE$8:$AE$68,AB$4-$B78+1)</f>
        <v/>
      </c>
      <c r="AC78" s="75">
        <f>$C78*INDEX(Curves!$AE$8:$AE$68,AC$4-$B78+1)</f>
        <v/>
      </c>
      <c r="AD78" s="75">
        <f>$C78*INDEX(Curves!$AE$8:$AE$68,AD$4-$B78+1)</f>
        <v/>
      </c>
      <c r="AE78" s="75">
        <f>$C78*INDEX(Curves!$AE$8:$AE$68,AE$4-$B78+1)</f>
        <v/>
      </c>
      <c r="AF78" s="75">
        <f>$C78*INDEX(Curves!$AE$8:$AE$68,AF$4-$B78+1)</f>
        <v/>
      </c>
      <c r="AG78" s="75">
        <f>$C78*INDEX(Curves!$AE$8:$AE$68,AG$4-$B78+1)</f>
        <v/>
      </c>
      <c r="AH78" s="75">
        <f>$C78*INDEX(Curves!$AE$8:$AE$68,AH$4-$B78+1)</f>
        <v/>
      </c>
      <c r="AI78" s="75">
        <f>$C78*INDEX(Curves!$AE$8:$AE$68,AI$4-$B78+1)</f>
        <v/>
      </c>
      <c r="AJ78" s="75">
        <f>$C78*INDEX(Curves!$AE$8:$AE$68,AJ$4-$B78+1)</f>
        <v/>
      </c>
      <c r="AK78" s="75">
        <f>$C78*INDEX(Curves!$AE$8:$AE$68,AK$4-$B78+1)</f>
        <v/>
      </c>
      <c r="AL78" s="75">
        <f>$C78*INDEX(Curves!$AE$8:$AE$68,AL$4-$B78+1)</f>
        <v/>
      </c>
      <c r="AM78" s="75">
        <f>$C78*INDEX(Curves!$AE$8:$AE$68,AM$4-$B78+1)</f>
        <v/>
      </c>
      <c r="AN78" s="75">
        <f>$C78*INDEX(Curves!$AE$8:$AE$68,AN$4-$B78+1)</f>
        <v/>
      </c>
      <c r="AO78" s="75">
        <f>$C78*INDEX(Curves!$AE$8:$AE$68,AO$4-$B78+1)</f>
        <v/>
      </c>
      <c r="AP78" s="75">
        <f>$C78*INDEX(Curves!$AE$8:$AE$68,AP$4-$B78+1)</f>
        <v/>
      </c>
      <c r="AQ78" s="75">
        <f>$C78*INDEX(Curves!$AE$8:$AE$68,AQ$4-$B78+1)</f>
        <v/>
      </c>
      <c r="AR78" s="75">
        <f>$C78*INDEX(Curves!$AE$8:$AE$68,AR$4-$B78+1)</f>
        <v/>
      </c>
      <c r="AS78" s="75">
        <f>$C78*INDEX(Curves!$AE$8:$AE$68,AS$4-$B78+1)</f>
        <v/>
      </c>
      <c r="AT78" s="75">
        <f>$C78*INDEX(Curves!$AE$8:$AE$68,AT$4-$B78+1)</f>
        <v/>
      </c>
      <c r="AU78" s="75">
        <f>$C78*INDEX(Curves!$AE$8:$AE$68,AU$4-$B78+1)</f>
        <v/>
      </c>
      <c r="AV78" s="75">
        <f>$C78*INDEX(Curves!$AE$8:$AE$68,AV$4-$B78+1)</f>
        <v/>
      </c>
      <c r="AW78" s="75">
        <f>$C78*INDEX(Curves!$AE$8:$AE$68,AW$4-$B78+1)</f>
        <v/>
      </c>
      <c r="AX78" s="75">
        <f>$C78*INDEX(Curves!$AE$8:$AE$68,AX$4-$B78+1)</f>
        <v/>
      </c>
      <c r="AY78" s="75">
        <f>$C78*INDEX(Curves!$AE$8:$AE$68,AY$4-$B78+1)</f>
        <v/>
      </c>
      <c r="AZ78" s="75">
        <f>$C78*INDEX(Curves!$AE$8:$AE$68,AZ$4-$B78+1)</f>
        <v/>
      </c>
      <c r="BA78" s="75">
        <f>$C78*INDEX(Curves!$AE$8:$AE$68,BA$4-$B78+1)</f>
        <v/>
      </c>
      <c r="BB78" s="75">
        <f>$C78*INDEX(Curves!$AE$8:$AE$68,BB$4-$B78+1)</f>
        <v/>
      </c>
      <c r="BC78" s="75">
        <f>$C78*INDEX(Curves!$AE$8:$AE$68,BC$4-$B78+1)</f>
        <v/>
      </c>
      <c r="BD78" s="75">
        <f>$C78*INDEX(Curves!$AE$8:$AE$68,BD$4-$B78+1)</f>
        <v/>
      </c>
      <c r="BE78" s="75">
        <f>$C78*INDEX(Curves!$AE$8:$AE$68,BE$4-$B78+1)</f>
        <v/>
      </c>
      <c r="BF78" s="75">
        <f>$C78*INDEX(Curves!$AE$8:$AE$68,BF$4-$B78+1)</f>
        <v/>
      </c>
      <c r="BG78" s="75">
        <f>$C78*INDEX(Curves!$AE$8:$AE$68,BG$4-$B78+1)</f>
        <v/>
      </c>
      <c r="BH78" s="75">
        <f>$C78*INDEX(Curves!$AE$8:$AE$68,BH$4-$B78+1)</f>
        <v/>
      </c>
      <c r="BI78" s="75">
        <f>$C78*INDEX(Curves!$AE$8:$AE$68,BI$4-$B78+1)</f>
        <v/>
      </c>
      <c r="BJ78" s="75">
        <f>$C78*INDEX(Curves!$AE$8:$AE$68,BJ$4-$B78+1)</f>
        <v/>
      </c>
      <c r="BK78" s="75">
        <f>$C78*INDEX(Curves!$AE$8:$AE$68,BK$4-$B78+1)</f>
        <v/>
      </c>
      <c r="BL78" s="75">
        <f>$C78*INDEX(Curves!$AE$8:$AE$68,BL$4-$B78+1)</f>
        <v/>
      </c>
    </row>
    <row r="79">
      <c r="A79" s="74" t="inlineStr">
        <is>
          <t>Cohort month 7</t>
        </is>
      </c>
      <c r="B79" s="74" t="n">
        <v>7</v>
      </c>
      <c r="C79" s="17">
        <f>INDEX(Ops!$E$59:$BL$59,1,$B79)</f>
        <v/>
      </c>
      <c r="L79" s="75">
        <f>$C79*INDEX(Curves!$AE$8:$AE$68,L$4-$B79+1)</f>
        <v/>
      </c>
      <c r="M79" s="75">
        <f>$C79*INDEX(Curves!$AE$8:$AE$68,M$4-$B79+1)</f>
        <v/>
      </c>
      <c r="N79" s="75">
        <f>$C79*INDEX(Curves!$AE$8:$AE$68,N$4-$B79+1)</f>
        <v/>
      </c>
      <c r="O79" s="75">
        <f>$C79*INDEX(Curves!$AE$8:$AE$68,O$4-$B79+1)</f>
        <v/>
      </c>
      <c r="P79" s="75">
        <f>$C79*INDEX(Curves!$AE$8:$AE$68,P$4-$B79+1)</f>
        <v/>
      </c>
      <c r="Q79" s="75">
        <f>$C79*INDEX(Curves!$AE$8:$AE$68,Q$4-$B79+1)</f>
        <v/>
      </c>
      <c r="R79" s="75">
        <f>$C79*INDEX(Curves!$AE$8:$AE$68,R$4-$B79+1)</f>
        <v/>
      </c>
      <c r="S79" s="75">
        <f>$C79*INDEX(Curves!$AE$8:$AE$68,S$4-$B79+1)</f>
        <v/>
      </c>
      <c r="T79" s="75">
        <f>$C79*INDEX(Curves!$AE$8:$AE$68,T$4-$B79+1)</f>
        <v/>
      </c>
      <c r="U79" s="75">
        <f>$C79*INDEX(Curves!$AE$8:$AE$68,U$4-$B79+1)</f>
        <v/>
      </c>
      <c r="V79" s="75">
        <f>$C79*INDEX(Curves!$AE$8:$AE$68,V$4-$B79+1)</f>
        <v/>
      </c>
      <c r="W79" s="75">
        <f>$C79*INDEX(Curves!$AE$8:$AE$68,W$4-$B79+1)</f>
        <v/>
      </c>
      <c r="X79" s="75">
        <f>$C79*INDEX(Curves!$AE$8:$AE$68,X$4-$B79+1)</f>
        <v/>
      </c>
      <c r="Y79" s="75">
        <f>$C79*INDEX(Curves!$AE$8:$AE$68,Y$4-$B79+1)</f>
        <v/>
      </c>
      <c r="Z79" s="75">
        <f>$C79*INDEX(Curves!$AE$8:$AE$68,Z$4-$B79+1)</f>
        <v/>
      </c>
      <c r="AA79" s="75">
        <f>$C79*INDEX(Curves!$AE$8:$AE$68,AA$4-$B79+1)</f>
        <v/>
      </c>
      <c r="AB79" s="75">
        <f>$C79*INDEX(Curves!$AE$8:$AE$68,AB$4-$B79+1)</f>
        <v/>
      </c>
      <c r="AC79" s="75">
        <f>$C79*INDEX(Curves!$AE$8:$AE$68,AC$4-$B79+1)</f>
        <v/>
      </c>
      <c r="AD79" s="75">
        <f>$C79*INDEX(Curves!$AE$8:$AE$68,AD$4-$B79+1)</f>
        <v/>
      </c>
      <c r="AE79" s="75">
        <f>$C79*INDEX(Curves!$AE$8:$AE$68,AE$4-$B79+1)</f>
        <v/>
      </c>
      <c r="AF79" s="75">
        <f>$C79*INDEX(Curves!$AE$8:$AE$68,AF$4-$B79+1)</f>
        <v/>
      </c>
      <c r="AG79" s="75">
        <f>$C79*INDEX(Curves!$AE$8:$AE$68,AG$4-$B79+1)</f>
        <v/>
      </c>
      <c r="AH79" s="75">
        <f>$C79*INDEX(Curves!$AE$8:$AE$68,AH$4-$B79+1)</f>
        <v/>
      </c>
      <c r="AI79" s="75">
        <f>$C79*INDEX(Curves!$AE$8:$AE$68,AI$4-$B79+1)</f>
        <v/>
      </c>
      <c r="AJ79" s="75">
        <f>$C79*INDEX(Curves!$AE$8:$AE$68,AJ$4-$B79+1)</f>
        <v/>
      </c>
      <c r="AK79" s="75">
        <f>$C79*INDEX(Curves!$AE$8:$AE$68,AK$4-$B79+1)</f>
        <v/>
      </c>
      <c r="AL79" s="75">
        <f>$C79*INDEX(Curves!$AE$8:$AE$68,AL$4-$B79+1)</f>
        <v/>
      </c>
      <c r="AM79" s="75">
        <f>$C79*INDEX(Curves!$AE$8:$AE$68,AM$4-$B79+1)</f>
        <v/>
      </c>
      <c r="AN79" s="75">
        <f>$C79*INDEX(Curves!$AE$8:$AE$68,AN$4-$B79+1)</f>
        <v/>
      </c>
      <c r="AO79" s="75">
        <f>$C79*INDEX(Curves!$AE$8:$AE$68,AO$4-$B79+1)</f>
        <v/>
      </c>
      <c r="AP79" s="75">
        <f>$C79*INDEX(Curves!$AE$8:$AE$68,AP$4-$B79+1)</f>
        <v/>
      </c>
      <c r="AQ79" s="75">
        <f>$C79*INDEX(Curves!$AE$8:$AE$68,AQ$4-$B79+1)</f>
        <v/>
      </c>
      <c r="AR79" s="75">
        <f>$C79*INDEX(Curves!$AE$8:$AE$68,AR$4-$B79+1)</f>
        <v/>
      </c>
      <c r="AS79" s="75">
        <f>$C79*INDEX(Curves!$AE$8:$AE$68,AS$4-$B79+1)</f>
        <v/>
      </c>
      <c r="AT79" s="75">
        <f>$C79*INDEX(Curves!$AE$8:$AE$68,AT$4-$B79+1)</f>
        <v/>
      </c>
      <c r="AU79" s="75">
        <f>$C79*INDEX(Curves!$AE$8:$AE$68,AU$4-$B79+1)</f>
        <v/>
      </c>
      <c r="AV79" s="75">
        <f>$C79*INDEX(Curves!$AE$8:$AE$68,AV$4-$B79+1)</f>
        <v/>
      </c>
      <c r="AW79" s="75">
        <f>$C79*INDEX(Curves!$AE$8:$AE$68,AW$4-$B79+1)</f>
        <v/>
      </c>
      <c r="AX79" s="75">
        <f>$C79*INDEX(Curves!$AE$8:$AE$68,AX$4-$B79+1)</f>
        <v/>
      </c>
      <c r="AY79" s="75">
        <f>$C79*INDEX(Curves!$AE$8:$AE$68,AY$4-$B79+1)</f>
        <v/>
      </c>
      <c r="AZ79" s="75">
        <f>$C79*INDEX(Curves!$AE$8:$AE$68,AZ$4-$B79+1)</f>
        <v/>
      </c>
      <c r="BA79" s="75">
        <f>$C79*INDEX(Curves!$AE$8:$AE$68,BA$4-$B79+1)</f>
        <v/>
      </c>
      <c r="BB79" s="75">
        <f>$C79*INDEX(Curves!$AE$8:$AE$68,BB$4-$B79+1)</f>
        <v/>
      </c>
      <c r="BC79" s="75">
        <f>$C79*INDEX(Curves!$AE$8:$AE$68,BC$4-$B79+1)</f>
        <v/>
      </c>
      <c r="BD79" s="75">
        <f>$C79*INDEX(Curves!$AE$8:$AE$68,BD$4-$B79+1)</f>
        <v/>
      </c>
      <c r="BE79" s="75">
        <f>$C79*INDEX(Curves!$AE$8:$AE$68,BE$4-$B79+1)</f>
        <v/>
      </c>
      <c r="BF79" s="75">
        <f>$C79*INDEX(Curves!$AE$8:$AE$68,BF$4-$B79+1)</f>
        <v/>
      </c>
      <c r="BG79" s="75">
        <f>$C79*INDEX(Curves!$AE$8:$AE$68,BG$4-$B79+1)</f>
        <v/>
      </c>
      <c r="BH79" s="75">
        <f>$C79*INDEX(Curves!$AE$8:$AE$68,BH$4-$B79+1)</f>
        <v/>
      </c>
      <c r="BI79" s="75">
        <f>$C79*INDEX(Curves!$AE$8:$AE$68,BI$4-$B79+1)</f>
        <v/>
      </c>
      <c r="BJ79" s="75">
        <f>$C79*INDEX(Curves!$AE$8:$AE$68,BJ$4-$B79+1)</f>
        <v/>
      </c>
      <c r="BK79" s="75">
        <f>$C79*INDEX(Curves!$AE$8:$AE$68,BK$4-$B79+1)</f>
        <v/>
      </c>
      <c r="BL79" s="75">
        <f>$C79*INDEX(Curves!$AE$8:$AE$68,BL$4-$B79+1)</f>
        <v/>
      </c>
    </row>
    <row r="80">
      <c r="A80" s="74" t="inlineStr">
        <is>
          <t>Cohort month 8</t>
        </is>
      </c>
      <c r="B80" s="74" t="n">
        <v>8</v>
      </c>
      <c r="C80" s="17">
        <f>INDEX(Ops!$E$59:$BL$59,1,$B80)</f>
        <v/>
      </c>
      <c r="M80" s="75">
        <f>$C80*INDEX(Curves!$AE$8:$AE$68,M$4-$B80+1)</f>
        <v/>
      </c>
      <c r="N80" s="75">
        <f>$C80*INDEX(Curves!$AE$8:$AE$68,N$4-$B80+1)</f>
        <v/>
      </c>
      <c r="O80" s="75">
        <f>$C80*INDEX(Curves!$AE$8:$AE$68,O$4-$B80+1)</f>
        <v/>
      </c>
      <c r="P80" s="75">
        <f>$C80*INDEX(Curves!$AE$8:$AE$68,P$4-$B80+1)</f>
        <v/>
      </c>
      <c r="Q80" s="75">
        <f>$C80*INDEX(Curves!$AE$8:$AE$68,Q$4-$B80+1)</f>
        <v/>
      </c>
      <c r="R80" s="75">
        <f>$C80*INDEX(Curves!$AE$8:$AE$68,R$4-$B80+1)</f>
        <v/>
      </c>
      <c r="S80" s="75">
        <f>$C80*INDEX(Curves!$AE$8:$AE$68,S$4-$B80+1)</f>
        <v/>
      </c>
      <c r="T80" s="75">
        <f>$C80*INDEX(Curves!$AE$8:$AE$68,T$4-$B80+1)</f>
        <v/>
      </c>
      <c r="U80" s="75">
        <f>$C80*INDEX(Curves!$AE$8:$AE$68,U$4-$B80+1)</f>
        <v/>
      </c>
      <c r="V80" s="75">
        <f>$C80*INDEX(Curves!$AE$8:$AE$68,V$4-$B80+1)</f>
        <v/>
      </c>
      <c r="W80" s="75">
        <f>$C80*INDEX(Curves!$AE$8:$AE$68,W$4-$B80+1)</f>
        <v/>
      </c>
      <c r="X80" s="75">
        <f>$C80*INDEX(Curves!$AE$8:$AE$68,X$4-$B80+1)</f>
        <v/>
      </c>
      <c r="Y80" s="75">
        <f>$C80*INDEX(Curves!$AE$8:$AE$68,Y$4-$B80+1)</f>
        <v/>
      </c>
      <c r="Z80" s="75">
        <f>$C80*INDEX(Curves!$AE$8:$AE$68,Z$4-$B80+1)</f>
        <v/>
      </c>
      <c r="AA80" s="75">
        <f>$C80*INDEX(Curves!$AE$8:$AE$68,AA$4-$B80+1)</f>
        <v/>
      </c>
      <c r="AB80" s="75">
        <f>$C80*INDEX(Curves!$AE$8:$AE$68,AB$4-$B80+1)</f>
        <v/>
      </c>
      <c r="AC80" s="75">
        <f>$C80*INDEX(Curves!$AE$8:$AE$68,AC$4-$B80+1)</f>
        <v/>
      </c>
      <c r="AD80" s="75">
        <f>$C80*INDEX(Curves!$AE$8:$AE$68,AD$4-$B80+1)</f>
        <v/>
      </c>
      <c r="AE80" s="75">
        <f>$C80*INDEX(Curves!$AE$8:$AE$68,AE$4-$B80+1)</f>
        <v/>
      </c>
      <c r="AF80" s="75">
        <f>$C80*INDEX(Curves!$AE$8:$AE$68,AF$4-$B80+1)</f>
        <v/>
      </c>
      <c r="AG80" s="75">
        <f>$C80*INDEX(Curves!$AE$8:$AE$68,AG$4-$B80+1)</f>
        <v/>
      </c>
      <c r="AH80" s="75">
        <f>$C80*INDEX(Curves!$AE$8:$AE$68,AH$4-$B80+1)</f>
        <v/>
      </c>
      <c r="AI80" s="75">
        <f>$C80*INDEX(Curves!$AE$8:$AE$68,AI$4-$B80+1)</f>
        <v/>
      </c>
      <c r="AJ80" s="75">
        <f>$C80*INDEX(Curves!$AE$8:$AE$68,AJ$4-$B80+1)</f>
        <v/>
      </c>
      <c r="AK80" s="75">
        <f>$C80*INDEX(Curves!$AE$8:$AE$68,AK$4-$B80+1)</f>
        <v/>
      </c>
      <c r="AL80" s="75">
        <f>$C80*INDEX(Curves!$AE$8:$AE$68,AL$4-$B80+1)</f>
        <v/>
      </c>
      <c r="AM80" s="75">
        <f>$C80*INDEX(Curves!$AE$8:$AE$68,AM$4-$B80+1)</f>
        <v/>
      </c>
      <c r="AN80" s="75">
        <f>$C80*INDEX(Curves!$AE$8:$AE$68,AN$4-$B80+1)</f>
        <v/>
      </c>
      <c r="AO80" s="75">
        <f>$C80*INDEX(Curves!$AE$8:$AE$68,AO$4-$B80+1)</f>
        <v/>
      </c>
      <c r="AP80" s="75">
        <f>$C80*INDEX(Curves!$AE$8:$AE$68,AP$4-$B80+1)</f>
        <v/>
      </c>
      <c r="AQ80" s="75">
        <f>$C80*INDEX(Curves!$AE$8:$AE$68,AQ$4-$B80+1)</f>
        <v/>
      </c>
      <c r="AR80" s="75">
        <f>$C80*INDEX(Curves!$AE$8:$AE$68,AR$4-$B80+1)</f>
        <v/>
      </c>
      <c r="AS80" s="75">
        <f>$C80*INDEX(Curves!$AE$8:$AE$68,AS$4-$B80+1)</f>
        <v/>
      </c>
      <c r="AT80" s="75">
        <f>$C80*INDEX(Curves!$AE$8:$AE$68,AT$4-$B80+1)</f>
        <v/>
      </c>
      <c r="AU80" s="75">
        <f>$C80*INDEX(Curves!$AE$8:$AE$68,AU$4-$B80+1)</f>
        <v/>
      </c>
      <c r="AV80" s="75">
        <f>$C80*INDEX(Curves!$AE$8:$AE$68,AV$4-$B80+1)</f>
        <v/>
      </c>
      <c r="AW80" s="75">
        <f>$C80*INDEX(Curves!$AE$8:$AE$68,AW$4-$B80+1)</f>
        <v/>
      </c>
      <c r="AX80" s="75">
        <f>$C80*INDEX(Curves!$AE$8:$AE$68,AX$4-$B80+1)</f>
        <v/>
      </c>
      <c r="AY80" s="75">
        <f>$C80*INDEX(Curves!$AE$8:$AE$68,AY$4-$B80+1)</f>
        <v/>
      </c>
      <c r="AZ80" s="75">
        <f>$C80*INDEX(Curves!$AE$8:$AE$68,AZ$4-$B80+1)</f>
        <v/>
      </c>
      <c r="BA80" s="75">
        <f>$C80*INDEX(Curves!$AE$8:$AE$68,BA$4-$B80+1)</f>
        <v/>
      </c>
      <c r="BB80" s="75">
        <f>$C80*INDEX(Curves!$AE$8:$AE$68,BB$4-$B80+1)</f>
        <v/>
      </c>
      <c r="BC80" s="75">
        <f>$C80*INDEX(Curves!$AE$8:$AE$68,BC$4-$B80+1)</f>
        <v/>
      </c>
      <c r="BD80" s="75">
        <f>$C80*INDEX(Curves!$AE$8:$AE$68,BD$4-$B80+1)</f>
        <v/>
      </c>
      <c r="BE80" s="75">
        <f>$C80*INDEX(Curves!$AE$8:$AE$68,BE$4-$B80+1)</f>
        <v/>
      </c>
      <c r="BF80" s="75">
        <f>$C80*INDEX(Curves!$AE$8:$AE$68,BF$4-$B80+1)</f>
        <v/>
      </c>
      <c r="BG80" s="75">
        <f>$C80*INDEX(Curves!$AE$8:$AE$68,BG$4-$B80+1)</f>
        <v/>
      </c>
      <c r="BH80" s="75">
        <f>$C80*INDEX(Curves!$AE$8:$AE$68,BH$4-$B80+1)</f>
        <v/>
      </c>
      <c r="BI80" s="75">
        <f>$C80*INDEX(Curves!$AE$8:$AE$68,BI$4-$B80+1)</f>
        <v/>
      </c>
      <c r="BJ80" s="75">
        <f>$C80*INDEX(Curves!$AE$8:$AE$68,BJ$4-$B80+1)</f>
        <v/>
      </c>
      <c r="BK80" s="75">
        <f>$C80*INDEX(Curves!$AE$8:$AE$68,BK$4-$B80+1)</f>
        <v/>
      </c>
      <c r="BL80" s="75">
        <f>$C80*INDEX(Curves!$AE$8:$AE$68,BL$4-$B80+1)</f>
        <v/>
      </c>
    </row>
    <row r="81">
      <c r="A81" s="74" t="inlineStr">
        <is>
          <t>Cohort month 9</t>
        </is>
      </c>
      <c r="B81" s="74" t="n">
        <v>9</v>
      </c>
      <c r="C81" s="17">
        <f>INDEX(Ops!$E$59:$BL$59,1,$B81)</f>
        <v/>
      </c>
      <c r="N81" s="75">
        <f>$C81*INDEX(Curves!$AE$8:$AE$68,N$4-$B81+1)</f>
        <v/>
      </c>
      <c r="O81" s="75">
        <f>$C81*INDEX(Curves!$AE$8:$AE$68,O$4-$B81+1)</f>
        <v/>
      </c>
      <c r="P81" s="75">
        <f>$C81*INDEX(Curves!$AE$8:$AE$68,P$4-$B81+1)</f>
        <v/>
      </c>
      <c r="Q81" s="75">
        <f>$C81*INDEX(Curves!$AE$8:$AE$68,Q$4-$B81+1)</f>
        <v/>
      </c>
      <c r="R81" s="75">
        <f>$C81*INDEX(Curves!$AE$8:$AE$68,R$4-$B81+1)</f>
        <v/>
      </c>
      <c r="S81" s="75">
        <f>$C81*INDEX(Curves!$AE$8:$AE$68,S$4-$B81+1)</f>
        <v/>
      </c>
      <c r="T81" s="75">
        <f>$C81*INDEX(Curves!$AE$8:$AE$68,T$4-$B81+1)</f>
        <v/>
      </c>
      <c r="U81" s="75">
        <f>$C81*INDEX(Curves!$AE$8:$AE$68,U$4-$B81+1)</f>
        <v/>
      </c>
      <c r="V81" s="75">
        <f>$C81*INDEX(Curves!$AE$8:$AE$68,V$4-$B81+1)</f>
        <v/>
      </c>
      <c r="W81" s="75">
        <f>$C81*INDEX(Curves!$AE$8:$AE$68,W$4-$B81+1)</f>
        <v/>
      </c>
      <c r="X81" s="75">
        <f>$C81*INDEX(Curves!$AE$8:$AE$68,X$4-$B81+1)</f>
        <v/>
      </c>
      <c r="Y81" s="75">
        <f>$C81*INDEX(Curves!$AE$8:$AE$68,Y$4-$B81+1)</f>
        <v/>
      </c>
      <c r="Z81" s="75">
        <f>$C81*INDEX(Curves!$AE$8:$AE$68,Z$4-$B81+1)</f>
        <v/>
      </c>
      <c r="AA81" s="75">
        <f>$C81*INDEX(Curves!$AE$8:$AE$68,AA$4-$B81+1)</f>
        <v/>
      </c>
      <c r="AB81" s="75">
        <f>$C81*INDEX(Curves!$AE$8:$AE$68,AB$4-$B81+1)</f>
        <v/>
      </c>
      <c r="AC81" s="75">
        <f>$C81*INDEX(Curves!$AE$8:$AE$68,AC$4-$B81+1)</f>
        <v/>
      </c>
      <c r="AD81" s="75">
        <f>$C81*INDEX(Curves!$AE$8:$AE$68,AD$4-$B81+1)</f>
        <v/>
      </c>
      <c r="AE81" s="75">
        <f>$C81*INDEX(Curves!$AE$8:$AE$68,AE$4-$B81+1)</f>
        <v/>
      </c>
      <c r="AF81" s="75">
        <f>$C81*INDEX(Curves!$AE$8:$AE$68,AF$4-$B81+1)</f>
        <v/>
      </c>
      <c r="AG81" s="75">
        <f>$C81*INDEX(Curves!$AE$8:$AE$68,AG$4-$B81+1)</f>
        <v/>
      </c>
      <c r="AH81" s="75">
        <f>$C81*INDEX(Curves!$AE$8:$AE$68,AH$4-$B81+1)</f>
        <v/>
      </c>
      <c r="AI81" s="75">
        <f>$C81*INDEX(Curves!$AE$8:$AE$68,AI$4-$B81+1)</f>
        <v/>
      </c>
      <c r="AJ81" s="75">
        <f>$C81*INDEX(Curves!$AE$8:$AE$68,AJ$4-$B81+1)</f>
        <v/>
      </c>
      <c r="AK81" s="75">
        <f>$C81*INDEX(Curves!$AE$8:$AE$68,AK$4-$B81+1)</f>
        <v/>
      </c>
      <c r="AL81" s="75">
        <f>$C81*INDEX(Curves!$AE$8:$AE$68,AL$4-$B81+1)</f>
        <v/>
      </c>
      <c r="AM81" s="75">
        <f>$C81*INDEX(Curves!$AE$8:$AE$68,AM$4-$B81+1)</f>
        <v/>
      </c>
      <c r="AN81" s="75">
        <f>$C81*INDEX(Curves!$AE$8:$AE$68,AN$4-$B81+1)</f>
        <v/>
      </c>
      <c r="AO81" s="75">
        <f>$C81*INDEX(Curves!$AE$8:$AE$68,AO$4-$B81+1)</f>
        <v/>
      </c>
      <c r="AP81" s="75">
        <f>$C81*INDEX(Curves!$AE$8:$AE$68,AP$4-$B81+1)</f>
        <v/>
      </c>
      <c r="AQ81" s="75">
        <f>$C81*INDEX(Curves!$AE$8:$AE$68,AQ$4-$B81+1)</f>
        <v/>
      </c>
      <c r="AR81" s="75">
        <f>$C81*INDEX(Curves!$AE$8:$AE$68,AR$4-$B81+1)</f>
        <v/>
      </c>
      <c r="AS81" s="75">
        <f>$C81*INDEX(Curves!$AE$8:$AE$68,AS$4-$B81+1)</f>
        <v/>
      </c>
      <c r="AT81" s="75">
        <f>$C81*INDEX(Curves!$AE$8:$AE$68,AT$4-$B81+1)</f>
        <v/>
      </c>
      <c r="AU81" s="75">
        <f>$C81*INDEX(Curves!$AE$8:$AE$68,AU$4-$B81+1)</f>
        <v/>
      </c>
      <c r="AV81" s="75">
        <f>$C81*INDEX(Curves!$AE$8:$AE$68,AV$4-$B81+1)</f>
        <v/>
      </c>
      <c r="AW81" s="75">
        <f>$C81*INDEX(Curves!$AE$8:$AE$68,AW$4-$B81+1)</f>
        <v/>
      </c>
      <c r="AX81" s="75">
        <f>$C81*INDEX(Curves!$AE$8:$AE$68,AX$4-$B81+1)</f>
        <v/>
      </c>
      <c r="AY81" s="75">
        <f>$C81*INDEX(Curves!$AE$8:$AE$68,AY$4-$B81+1)</f>
        <v/>
      </c>
      <c r="AZ81" s="75">
        <f>$C81*INDEX(Curves!$AE$8:$AE$68,AZ$4-$B81+1)</f>
        <v/>
      </c>
      <c r="BA81" s="75">
        <f>$C81*INDEX(Curves!$AE$8:$AE$68,BA$4-$B81+1)</f>
        <v/>
      </c>
      <c r="BB81" s="75">
        <f>$C81*INDEX(Curves!$AE$8:$AE$68,BB$4-$B81+1)</f>
        <v/>
      </c>
      <c r="BC81" s="75">
        <f>$C81*INDEX(Curves!$AE$8:$AE$68,BC$4-$B81+1)</f>
        <v/>
      </c>
      <c r="BD81" s="75">
        <f>$C81*INDEX(Curves!$AE$8:$AE$68,BD$4-$B81+1)</f>
        <v/>
      </c>
      <c r="BE81" s="75">
        <f>$C81*INDEX(Curves!$AE$8:$AE$68,BE$4-$B81+1)</f>
        <v/>
      </c>
      <c r="BF81" s="75">
        <f>$C81*INDEX(Curves!$AE$8:$AE$68,BF$4-$B81+1)</f>
        <v/>
      </c>
      <c r="BG81" s="75">
        <f>$C81*INDEX(Curves!$AE$8:$AE$68,BG$4-$B81+1)</f>
        <v/>
      </c>
      <c r="BH81" s="75">
        <f>$C81*INDEX(Curves!$AE$8:$AE$68,BH$4-$B81+1)</f>
        <v/>
      </c>
      <c r="BI81" s="75">
        <f>$C81*INDEX(Curves!$AE$8:$AE$68,BI$4-$B81+1)</f>
        <v/>
      </c>
      <c r="BJ81" s="75">
        <f>$C81*INDEX(Curves!$AE$8:$AE$68,BJ$4-$B81+1)</f>
        <v/>
      </c>
      <c r="BK81" s="75">
        <f>$C81*INDEX(Curves!$AE$8:$AE$68,BK$4-$B81+1)</f>
        <v/>
      </c>
      <c r="BL81" s="75">
        <f>$C81*INDEX(Curves!$AE$8:$AE$68,BL$4-$B81+1)</f>
        <v/>
      </c>
    </row>
    <row r="82">
      <c r="A82" s="74" t="inlineStr">
        <is>
          <t>Cohort month 10</t>
        </is>
      </c>
      <c r="B82" s="74" t="n">
        <v>10</v>
      </c>
      <c r="C82" s="17">
        <f>INDEX(Ops!$E$59:$BL$59,1,$B82)</f>
        <v/>
      </c>
      <c r="O82" s="75">
        <f>$C82*INDEX(Curves!$AE$8:$AE$68,O$4-$B82+1)</f>
        <v/>
      </c>
      <c r="P82" s="75">
        <f>$C82*INDEX(Curves!$AE$8:$AE$68,P$4-$B82+1)</f>
        <v/>
      </c>
      <c r="Q82" s="75">
        <f>$C82*INDEX(Curves!$AE$8:$AE$68,Q$4-$B82+1)</f>
        <v/>
      </c>
      <c r="R82" s="75">
        <f>$C82*INDEX(Curves!$AE$8:$AE$68,R$4-$B82+1)</f>
        <v/>
      </c>
      <c r="S82" s="75">
        <f>$C82*INDEX(Curves!$AE$8:$AE$68,S$4-$B82+1)</f>
        <v/>
      </c>
      <c r="T82" s="75">
        <f>$C82*INDEX(Curves!$AE$8:$AE$68,T$4-$B82+1)</f>
        <v/>
      </c>
      <c r="U82" s="75">
        <f>$C82*INDEX(Curves!$AE$8:$AE$68,U$4-$B82+1)</f>
        <v/>
      </c>
      <c r="V82" s="75">
        <f>$C82*INDEX(Curves!$AE$8:$AE$68,V$4-$B82+1)</f>
        <v/>
      </c>
      <c r="W82" s="75">
        <f>$C82*INDEX(Curves!$AE$8:$AE$68,W$4-$B82+1)</f>
        <v/>
      </c>
      <c r="X82" s="75">
        <f>$C82*INDEX(Curves!$AE$8:$AE$68,X$4-$B82+1)</f>
        <v/>
      </c>
      <c r="Y82" s="75">
        <f>$C82*INDEX(Curves!$AE$8:$AE$68,Y$4-$B82+1)</f>
        <v/>
      </c>
      <c r="Z82" s="75">
        <f>$C82*INDEX(Curves!$AE$8:$AE$68,Z$4-$B82+1)</f>
        <v/>
      </c>
      <c r="AA82" s="75">
        <f>$C82*INDEX(Curves!$AE$8:$AE$68,AA$4-$B82+1)</f>
        <v/>
      </c>
      <c r="AB82" s="75">
        <f>$C82*INDEX(Curves!$AE$8:$AE$68,AB$4-$B82+1)</f>
        <v/>
      </c>
      <c r="AC82" s="75">
        <f>$C82*INDEX(Curves!$AE$8:$AE$68,AC$4-$B82+1)</f>
        <v/>
      </c>
      <c r="AD82" s="75">
        <f>$C82*INDEX(Curves!$AE$8:$AE$68,AD$4-$B82+1)</f>
        <v/>
      </c>
      <c r="AE82" s="75">
        <f>$C82*INDEX(Curves!$AE$8:$AE$68,AE$4-$B82+1)</f>
        <v/>
      </c>
      <c r="AF82" s="75">
        <f>$C82*INDEX(Curves!$AE$8:$AE$68,AF$4-$B82+1)</f>
        <v/>
      </c>
      <c r="AG82" s="75">
        <f>$C82*INDEX(Curves!$AE$8:$AE$68,AG$4-$B82+1)</f>
        <v/>
      </c>
      <c r="AH82" s="75">
        <f>$C82*INDEX(Curves!$AE$8:$AE$68,AH$4-$B82+1)</f>
        <v/>
      </c>
      <c r="AI82" s="75">
        <f>$C82*INDEX(Curves!$AE$8:$AE$68,AI$4-$B82+1)</f>
        <v/>
      </c>
      <c r="AJ82" s="75">
        <f>$C82*INDEX(Curves!$AE$8:$AE$68,AJ$4-$B82+1)</f>
        <v/>
      </c>
      <c r="AK82" s="75">
        <f>$C82*INDEX(Curves!$AE$8:$AE$68,AK$4-$B82+1)</f>
        <v/>
      </c>
      <c r="AL82" s="75">
        <f>$C82*INDEX(Curves!$AE$8:$AE$68,AL$4-$B82+1)</f>
        <v/>
      </c>
      <c r="AM82" s="75">
        <f>$C82*INDEX(Curves!$AE$8:$AE$68,AM$4-$B82+1)</f>
        <v/>
      </c>
      <c r="AN82" s="75">
        <f>$C82*INDEX(Curves!$AE$8:$AE$68,AN$4-$B82+1)</f>
        <v/>
      </c>
      <c r="AO82" s="75">
        <f>$C82*INDEX(Curves!$AE$8:$AE$68,AO$4-$B82+1)</f>
        <v/>
      </c>
      <c r="AP82" s="75">
        <f>$C82*INDEX(Curves!$AE$8:$AE$68,AP$4-$B82+1)</f>
        <v/>
      </c>
      <c r="AQ82" s="75">
        <f>$C82*INDEX(Curves!$AE$8:$AE$68,AQ$4-$B82+1)</f>
        <v/>
      </c>
      <c r="AR82" s="75">
        <f>$C82*INDEX(Curves!$AE$8:$AE$68,AR$4-$B82+1)</f>
        <v/>
      </c>
      <c r="AS82" s="75">
        <f>$C82*INDEX(Curves!$AE$8:$AE$68,AS$4-$B82+1)</f>
        <v/>
      </c>
      <c r="AT82" s="75">
        <f>$C82*INDEX(Curves!$AE$8:$AE$68,AT$4-$B82+1)</f>
        <v/>
      </c>
      <c r="AU82" s="75">
        <f>$C82*INDEX(Curves!$AE$8:$AE$68,AU$4-$B82+1)</f>
        <v/>
      </c>
      <c r="AV82" s="75">
        <f>$C82*INDEX(Curves!$AE$8:$AE$68,AV$4-$B82+1)</f>
        <v/>
      </c>
      <c r="AW82" s="75">
        <f>$C82*INDEX(Curves!$AE$8:$AE$68,AW$4-$B82+1)</f>
        <v/>
      </c>
      <c r="AX82" s="75">
        <f>$C82*INDEX(Curves!$AE$8:$AE$68,AX$4-$B82+1)</f>
        <v/>
      </c>
      <c r="AY82" s="75">
        <f>$C82*INDEX(Curves!$AE$8:$AE$68,AY$4-$B82+1)</f>
        <v/>
      </c>
      <c r="AZ82" s="75">
        <f>$C82*INDEX(Curves!$AE$8:$AE$68,AZ$4-$B82+1)</f>
        <v/>
      </c>
      <c r="BA82" s="75">
        <f>$C82*INDEX(Curves!$AE$8:$AE$68,BA$4-$B82+1)</f>
        <v/>
      </c>
      <c r="BB82" s="75">
        <f>$C82*INDEX(Curves!$AE$8:$AE$68,BB$4-$B82+1)</f>
        <v/>
      </c>
      <c r="BC82" s="75">
        <f>$C82*INDEX(Curves!$AE$8:$AE$68,BC$4-$B82+1)</f>
        <v/>
      </c>
      <c r="BD82" s="75">
        <f>$C82*INDEX(Curves!$AE$8:$AE$68,BD$4-$B82+1)</f>
        <v/>
      </c>
      <c r="BE82" s="75">
        <f>$C82*INDEX(Curves!$AE$8:$AE$68,BE$4-$B82+1)</f>
        <v/>
      </c>
      <c r="BF82" s="75">
        <f>$C82*INDEX(Curves!$AE$8:$AE$68,BF$4-$B82+1)</f>
        <v/>
      </c>
      <c r="BG82" s="75">
        <f>$C82*INDEX(Curves!$AE$8:$AE$68,BG$4-$B82+1)</f>
        <v/>
      </c>
      <c r="BH82" s="75">
        <f>$C82*INDEX(Curves!$AE$8:$AE$68,BH$4-$B82+1)</f>
        <v/>
      </c>
      <c r="BI82" s="75">
        <f>$C82*INDEX(Curves!$AE$8:$AE$68,BI$4-$B82+1)</f>
        <v/>
      </c>
      <c r="BJ82" s="75">
        <f>$C82*INDEX(Curves!$AE$8:$AE$68,BJ$4-$B82+1)</f>
        <v/>
      </c>
      <c r="BK82" s="75">
        <f>$C82*INDEX(Curves!$AE$8:$AE$68,BK$4-$B82+1)</f>
        <v/>
      </c>
      <c r="BL82" s="75">
        <f>$C82*INDEX(Curves!$AE$8:$AE$68,BL$4-$B82+1)</f>
        <v/>
      </c>
    </row>
    <row r="83">
      <c r="A83" s="74" t="inlineStr">
        <is>
          <t>Cohort month 11</t>
        </is>
      </c>
      <c r="B83" s="74" t="n">
        <v>11</v>
      </c>
      <c r="C83" s="17">
        <f>INDEX(Ops!$E$59:$BL$59,1,$B83)</f>
        <v/>
      </c>
      <c r="P83" s="75">
        <f>$C83*INDEX(Curves!$AE$8:$AE$68,P$4-$B83+1)</f>
        <v/>
      </c>
      <c r="Q83" s="75">
        <f>$C83*INDEX(Curves!$AE$8:$AE$68,Q$4-$B83+1)</f>
        <v/>
      </c>
      <c r="R83" s="75">
        <f>$C83*INDEX(Curves!$AE$8:$AE$68,R$4-$B83+1)</f>
        <v/>
      </c>
      <c r="S83" s="75">
        <f>$C83*INDEX(Curves!$AE$8:$AE$68,S$4-$B83+1)</f>
        <v/>
      </c>
      <c r="T83" s="75">
        <f>$C83*INDEX(Curves!$AE$8:$AE$68,T$4-$B83+1)</f>
        <v/>
      </c>
      <c r="U83" s="75">
        <f>$C83*INDEX(Curves!$AE$8:$AE$68,U$4-$B83+1)</f>
        <v/>
      </c>
      <c r="V83" s="75">
        <f>$C83*INDEX(Curves!$AE$8:$AE$68,V$4-$B83+1)</f>
        <v/>
      </c>
      <c r="W83" s="75">
        <f>$C83*INDEX(Curves!$AE$8:$AE$68,W$4-$B83+1)</f>
        <v/>
      </c>
      <c r="X83" s="75">
        <f>$C83*INDEX(Curves!$AE$8:$AE$68,X$4-$B83+1)</f>
        <v/>
      </c>
      <c r="Y83" s="75">
        <f>$C83*INDEX(Curves!$AE$8:$AE$68,Y$4-$B83+1)</f>
        <v/>
      </c>
      <c r="Z83" s="75">
        <f>$C83*INDEX(Curves!$AE$8:$AE$68,Z$4-$B83+1)</f>
        <v/>
      </c>
      <c r="AA83" s="75">
        <f>$C83*INDEX(Curves!$AE$8:$AE$68,AA$4-$B83+1)</f>
        <v/>
      </c>
      <c r="AB83" s="75">
        <f>$C83*INDEX(Curves!$AE$8:$AE$68,AB$4-$B83+1)</f>
        <v/>
      </c>
      <c r="AC83" s="75">
        <f>$C83*INDEX(Curves!$AE$8:$AE$68,AC$4-$B83+1)</f>
        <v/>
      </c>
      <c r="AD83" s="75">
        <f>$C83*INDEX(Curves!$AE$8:$AE$68,AD$4-$B83+1)</f>
        <v/>
      </c>
      <c r="AE83" s="75">
        <f>$C83*INDEX(Curves!$AE$8:$AE$68,AE$4-$B83+1)</f>
        <v/>
      </c>
      <c r="AF83" s="75">
        <f>$C83*INDEX(Curves!$AE$8:$AE$68,AF$4-$B83+1)</f>
        <v/>
      </c>
      <c r="AG83" s="75">
        <f>$C83*INDEX(Curves!$AE$8:$AE$68,AG$4-$B83+1)</f>
        <v/>
      </c>
      <c r="AH83" s="75">
        <f>$C83*INDEX(Curves!$AE$8:$AE$68,AH$4-$B83+1)</f>
        <v/>
      </c>
      <c r="AI83" s="75">
        <f>$C83*INDEX(Curves!$AE$8:$AE$68,AI$4-$B83+1)</f>
        <v/>
      </c>
      <c r="AJ83" s="75">
        <f>$C83*INDEX(Curves!$AE$8:$AE$68,AJ$4-$B83+1)</f>
        <v/>
      </c>
      <c r="AK83" s="75">
        <f>$C83*INDEX(Curves!$AE$8:$AE$68,AK$4-$B83+1)</f>
        <v/>
      </c>
      <c r="AL83" s="75">
        <f>$C83*INDEX(Curves!$AE$8:$AE$68,AL$4-$B83+1)</f>
        <v/>
      </c>
      <c r="AM83" s="75">
        <f>$C83*INDEX(Curves!$AE$8:$AE$68,AM$4-$B83+1)</f>
        <v/>
      </c>
      <c r="AN83" s="75">
        <f>$C83*INDEX(Curves!$AE$8:$AE$68,AN$4-$B83+1)</f>
        <v/>
      </c>
      <c r="AO83" s="75">
        <f>$C83*INDEX(Curves!$AE$8:$AE$68,AO$4-$B83+1)</f>
        <v/>
      </c>
      <c r="AP83" s="75">
        <f>$C83*INDEX(Curves!$AE$8:$AE$68,AP$4-$B83+1)</f>
        <v/>
      </c>
      <c r="AQ83" s="75">
        <f>$C83*INDEX(Curves!$AE$8:$AE$68,AQ$4-$B83+1)</f>
        <v/>
      </c>
      <c r="AR83" s="75">
        <f>$C83*INDEX(Curves!$AE$8:$AE$68,AR$4-$B83+1)</f>
        <v/>
      </c>
      <c r="AS83" s="75">
        <f>$C83*INDEX(Curves!$AE$8:$AE$68,AS$4-$B83+1)</f>
        <v/>
      </c>
      <c r="AT83" s="75">
        <f>$C83*INDEX(Curves!$AE$8:$AE$68,AT$4-$B83+1)</f>
        <v/>
      </c>
      <c r="AU83" s="75">
        <f>$C83*INDEX(Curves!$AE$8:$AE$68,AU$4-$B83+1)</f>
        <v/>
      </c>
      <c r="AV83" s="75">
        <f>$C83*INDEX(Curves!$AE$8:$AE$68,AV$4-$B83+1)</f>
        <v/>
      </c>
      <c r="AW83" s="75">
        <f>$C83*INDEX(Curves!$AE$8:$AE$68,AW$4-$B83+1)</f>
        <v/>
      </c>
      <c r="AX83" s="75">
        <f>$C83*INDEX(Curves!$AE$8:$AE$68,AX$4-$B83+1)</f>
        <v/>
      </c>
      <c r="AY83" s="75">
        <f>$C83*INDEX(Curves!$AE$8:$AE$68,AY$4-$B83+1)</f>
        <v/>
      </c>
      <c r="AZ83" s="75">
        <f>$C83*INDEX(Curves!$AE$8:$AE$68,AZ$4-$B83+1)</f>
        <v/>
      </c>
      <c r="BA83" s="75">
        <f>$C83*INDEX(Curves!$AE$8:$AE$68,BA$4-$B83+1)</f>
        <v/>
      </c>
      <c r="BB83" s="75">
        <f>$C83*INDEX(Curves!$AE$8:$AE$68,BB$4-$B83+1)</f>
        <v/>
      </c>
      <c r="BC83" s="75">
        <f>$C83*INDEX(Curves!$AE$8:$AE$68,BC$4-$B83+1)</f>
        <v/>
      </c>
      <c r="BD83" s="75">
        <f>$C83*INDEX(Curves!$AE$8:$AE$68,BD$4-$B83+1)</f>
        <v/>
      </c>
      <c r="BE83" s="75">
        <f>$C83*INDEX(Curves!$AE$8:$AE$68,BE$4-$B83+1)</f>
        <v/>
      </c>
      <c r="BF83" s="75">
        <f>$C83*INDEX(Curves!$AE$8:$AE$68,BF$4-$B83+1)</f>
        <v/>
      </c>
      <c r="BG83" s="75">
        <f>$C83*INDEX(Curves!$AE$8:$AE$68,BG$4-$B83+1)</f>
        <v/>
      </c>
      <c r="BH83" s="75">
        <f>$C83*INDEX(Curves!$AE$8:$AE$68,BH$4-$B83+1)</f>
        <v/>
      </c>
      <c r="BI83" s="75">
        <f>$C83*INDEX(Curves!$AE$8:$AE$68,BI$4-$B83+1)</f>
        <v/>
      </c>
      <c r="BJ83" s="75">
        <f>$C83*INDEX(Curves!$AE$8:$AE$68,BJ$4-$B83+1)</f>
        <v/>
      </c>
      <c r="BK83" s="75">
        <f>$C83*INDEX(Curves!$AE$8:$AE$68,BK$4-$B83+1)</f>
        <v/>
      </c>
      <c r="BL83" s="75">
        <f>$C83*INDEX(Curves!$AE$8:$AE$68,BL$4-$B83+1)</f>
        <v/>
      </c>
    </row>
    <row r="84">
      <c r="A84" s="74" t="inlineStr">
        <is>
          <t>Cohort month 12</t>
        </is>
      </c>
      <c r="B84" s="74" t="n">
        <v>12</v>
      </c>
      <c r="C84" s="17">
        <f>INDEX(Ops!$E$59:$BL$59,1,$B84)</f>
        <v/>
      </c>
      <c r="Q84" s="75">
        <f>$C84*INDEX(Curves!$AE$8:$AE$68,Q$4-$B84+1)</f>
        <v/>
      </c>
      <c r="R84" s="75">
        <f>$C84*INDEX(Curves!$AE$8:$AE$68,R$4-$B84+1)</f>
        <v/>
      </c>
      <c r="S84" s="75">
        <f>$C84*INDEX(Curves!$AE$8:$AE$68,S$4-$B84+1)</f>
        <v/>
      </c>
      <c r="T84" s="75">
        <f>$C84*INDEX(Curves!$AE$8:$AE$68,T$4-$B84+1)</f>
        <v/>
      </c>
      <c r="U84" s="75">
        <f>$C84*INDEX(Curves!$AE$8:$AE$68,U$4-$B84+1)</f>
        <v/>
      </c>
      <c r="V84" s="75">
        <f>$C84*INDEX(Curves!$AE$8:$AE$68,V$4-$B84+1)</f>
        <v/>
      </c>
      <c r="W84" s="75">
        <f>$C84*INDEX(Curves!$AE$8:$AE$68,W$4-$B84+1)</f>
        <v/>
      </c>
      <c r="X84" s="75">
        <f>$C84*INDEX(Curves!$AE$8:$AE$68,X$4-$B84+1)</f>
        <v/>
      </c>
      <c r="Y84" s="75">
        <f>$C84*INDEX(Curves!$AE$8:$AE$68,Y$4-$B84+1)</f>
        <v/>
      </c>
      <c r="Z84" s="75">
        <f>$C84*INDEX(Curves!$AE$8:$AE$68,Z$4-$B84+1)</f>
        <v/>
      </c>
      <c r="AA84" s="75">
        <f>$C84*INDEX(Curves!$AE$8:$AE$68,AA$4-$B84+1)</f>
        <v/>
      </c>
      <c r="AB84" s="75">
        <f>$C84*INDEX(Curves!$AE$8:$AE$68,AB$4-$B84+1)</f>
        <v/>
      </c>
      <c r="AC84" s="75">
        <f>$C84*INDEX(Curves!$AE$8:$AE$68,AC$4-$B84+1)</f>
        <v/>
      </c>
      <c r="AD84" s="75">
        <f>$C84*INDEX(Curves!$AE$8:$AE$68,AD$4-$B84+1)</f>
        <v/>
      </c>
      <c r="AE84" s="75">
        <f>$C84*INDEX(Curves!$AE$8:$AE$68,AE$4-$B84+1)</f>
        <v/>
      </c>
      <c r="AF84" s="75">
        <f>$C84*INDEX(Curves!$AE$8:$AE$68,AF$4-$B84+1)</f>
        <v/>
      </c>
      <c r="AG84" s="75">
        <f>$C84*INDEX(Curves!$AE$8:$AE$68,AG$4-$B84+1)</f>
        <v/>
      </c>
      <c r="AH84" s="75">
        <f>$C84*INDEX(Curves!$AE$8:$AE$68,AH$4-$B84+1)</f>
        <v/>
      </c>
      <c r="AI84" s="75">
        <f>$C84*INDEX(Curves!$AE$8:$AE$68,AI$4-$B84+1)</f>
        <v/>
      </c>
      <c r="AJ84" s="75">
        <f>$C84*INDEX(Curves!$AE$8:$AE$68,AJ$4-$B84+1)</f>
        <v/>
      </c>
      <c r="AK84" s="75">
        <f>$C84*INDEX(Curves!$AE$8:$AE$68,AK$4-$B84+1)</f>
        <v/>
      </c>
      <c r="AL84" s="75">
        <f>$C84*INDEX(Curves!$AE$8:$AE$68,AL$4-$B84+1)</f>
        <v/>
      </c>
      <c r="AM84" s="75">
        <f>$C84*INDEX(Curves!$AE$8:$AE$68,AM$4-$B84+1)</f>
        <v/>
      </c>
      <c r="AN84" s="75">
        <f>$C84*INDEX(Curves!$AE$8:$AE$68,AN$4-$B84+1)</f>
        <v/>
      </c>
      <c r="AO84" s="75">
        <f>$C84*INDEX(Curves!$AE$8:$AE$68,AO$4-$B84+1)</f>
        <v/>
      </c>
      <c r="AP84" s="75">
        <f>$C84*INDEX(Curves!$AE$8:$AE$68,AP$4-$B84+1)</f>
        <v/>
      </c>
      <c r="AQ84" s="75">
        <f>$C84*INDEX(Curves!$AE$8:$AE$68,AQ$4-$B84+1)</f>
        <v/>
      </c>
      <c r="AR84" s="75">
        <f>$C84*INDEX(Curves!$AE$8:$AE$68,AR$4-$B84+1)</f>
        <v/>
      </c>
      <c r="AS84" s="75">
        <f>$C84*INDEX(Curves!$AE$8:$AE$68,AS$4-$B84+1)</f>
        <v/>
      </c>
      <c r="AT84" s="75">
        <f>$C84*INDEX(Curves!$AE$8:$AE$68,AT$4-$B84+1)</f>
        <v/>
      </c>
      <c r="AU84" s="75">
        <f>$C84*INDEX(Curves!$AE$8:$AE$68,AU$4-$B84+1)</f>
        <v/>
      </c>
      <c r="AV84" s="75">
        <f>$C84*INDEX(Curves!$AE$8:$AE$68,AV$4-$B84+1)</f>
        <v/>
      </c>
      <c r="AW84" s="75">
        <f>$C84*INDEX(Curves!$AE$8:$AE$68,AW$4-$B84+1)</f>
        <v/>
      </c>
      <c r="AX84" s="75">
        <f>$C84*INDEX(Curves!$AE$8:$AE$68,AX$4-$B84+1)</f>
        <v/>
      </c>
      <c r="AY84" s="75">
        <f>$C84*INDEX(Curves!$AE$8:$AE$68,AY$4-$B84+1)</f>
        <v/>
      </c>
      <c r="AZ84" s="75">
        <f>$C84*INDEX(Curves!$AE$8:$AE$68,AZ$4-$B84+1)</f>
        <v/>
      </c>
      <c r="BA84" s="75">
        <f>$C84*INDEX(Curves!$AE$8:$AE$68,BA$4-$B84+1)</f>
        <v/>
      </c>
      <c r="BB84" s="75">
        <f>$C84*INDEX(Curves!$AE$8:$AE$68,BB$4-$B84+1)</f>
        <v/>
      </c>
      <c r="BC84" s="75">
        <f>$C84*INDEX(Curves!$AE$8:$AE$68,BC$4-$B84+1)</f>
        <v/>
      </c>
      <c r="BD84" s="75">
        <f>$C84*INDEX(Curves!$AE$8:$AE$68,BD$4-$B84+1)</f>
        <v/>
      </c>
      <c r="BE84" s="75">
        <f>$C84*INDEX(Curves!$AE$8:$AE$68,BE$4-$B84+1)</f>
        <v/>
      </c>
      <c r="BF84" s="75">
        <f>$C84*INDEX(Curves!$AE$8:$AE$68,BF$4-$B84+1)</f>
        <v/>
      </c>
      <c r="BG84" s="75">
        <f>$C84*INDEX(Curves!$AE$8:$AE$68,BG$4-$B84+1)</f>
        <v/>
      </c>
      <c r="BH84" s="75">
        <f>$C84*INDEX(Curves!$AE$8:$AE$68,BH$4-$B84+1)</f>
        <v/>
      </c>
      <c r="BI84" s="75">
        <f>$C84*INDEX(Curves!$AE$8:$AE$68,BI$4-$B84+1)</f>
        <v/>
      </c>
      <c r="BJ84" s="75">
        <f>$C84*INDEX(Curves!$AE$8:$AE$68,BJ$4-$B84+1)</f>
        <v/>
      </c>
      <c r="BK84" s="75">
        <f>$C84*INDEX(Curves!$AE$8:$AE$68,BK$4-$B84+1)</f>
        <v/>
      </c>
      <c r="BL84" s="75">
        <f>$C84*INDEX(Curves!$AE$8:$AE$68,BL$4-$B84+1)</f>
        <v/>
      </c>
    </row>
    <row r="85">
      <c r="A85" s="74" t="inlineStr">
        <is>
          <t>Cohort month 13</t>
        </is>
      </c>
      <c r="B85" s="74" t="n">
        <v>13</v>
      </c>
      <c r="C85" s="17">
        <f>INDEX(Ops!$E$59:$BL$59,1,$B85)</f>
        <v/>
      </c>
      <c r="R85" s="75">
        <f>$C85*INDEX(Curves!$AE$8:$AE$68,R$4-$B85+1)</f>
        <v/>
      </c>
      <c r="S85" s="75">
        <f>$C85*INDEX(Curves!$AE$8:$AE$68,S$4-$B85+1)</f>
        <v/>
      </c>
      <c r="T85" s="75">
        <f>$C85*INDEX(Curves!$AE$8:$AE$68,T$4-$B85+1)</f>
        <v/>
      </c>
      <c r="U85" s="75">
        <f>$C85*INDEX(Curves!$AE$8:$AE$68,U$4-$B85+1)</f>
        <v/>
      </c>
      <c r="V85" s="75">
        <f>$C85*INDEX(Curves!$AE$8:$AE$68,V$4-$B85+1)</f>
        <v/>
      </c>
      <c r="W85" s="75">
        <f>$C85*INDEX(Curves!$AE$8:$AE$68,W$4-$B85+1)</f>
        <v/>
      </c>
      <c r="X85" s="75">
        <f>$C85*INDEX(Curves!$AE$8:$AE$68,X$4-$B85+1)</f>
        <v/>
      </c>
      <c r="Y85" s="75">
        <f>$C85*INDEX(Curves!$AE$8:$AE$68,Y$4-$B85+1)</f>
        <v/>
      </c>
      <c r="Z85" s="75">
        <f>$C85*INDEX(Curves!$AE$8:$AE$68,Z$4-$B85+1)</f>
        <v/>
      </c>
      <c r="AA85" s="75">
        <f>$C85*INDEX(Curves!$AE$8:$AE$68,AA$4-$B85+1)</f>
        <v/>
      </c>
      <c r="AB85" s="75">
        <f>$C85*INDEX(Curves!$AE$8:$AE$68,AB$4-$B85+1)</f>
        <v/>
      </c>
      <c r="AC85" s="75">
        <f>$C85*INDEX(Curves!$AE$8:$AE$68,AC$4-$B85+1)</f>
        <v/>
      </c>
      <c r="AD85" s="75">
        <f>$C85*INDEX(Curves!$AE$8:$AE$68,AD$4-$B85+1)</f>
        <v/>
      </c>
      <c r="AE85" s="75">
        <f>$C85*INDEX(Curves!$AE$8:$AE$68,AE$4-$B85+1)</f>
        <v/>
      </c>
      <c r="AF85" s="75">
        <f>$C85*INDEX(Curves!$AE$8:$AE$68,AF$4-$B85+1)</f>
        <v/>
      </c>
      <c r="AG85" s="75">
        <f>$C85*INDEX(Curves!$AE$8:$AE$68,AG$4-$B85+1)</f>
        <v/>
      </c>
      <c r="AH85" s="75">
        <f>$C85*INDEX(Curves!$AE$8:$AE$68,AH$4-$B85+1)</f>
        <v/>
      </c>
      <c r="AI85" s="75">
        <f>$C85*INDEX(Curves!$AE$8:$AE$68,AI$4-$B85+1)</f>
        <v/>
      </c>
      <c r="AJ85" s="75">
        <f>$C85*INDEX(Curves!$AE$8:$AE$68,AJ$4-$B85+1)</f>
        <v/>
      </c>
      <c r="AK85" s="75">
        <f>$C85*INDEX(Curves!$AE$8:$AE$68,AK$4-$B85+1)</f>
        <v/>
      </c>
      <c r="AL85" s="75">
        <f>$C85*INDEX(Curves!$AE$8:$AE$68,AL$4-$B85+1)</f>
        <v/>
      </c>
      <c r="AM85" s="75">
        <f>$C85*INDEX(Curves!$AE$8:$AE$68,AM$4-$B85+1)</f>
        <v/>
      </c>
      <c r="AN85" s="75">
        <f>$C85*INDEX(Curves!$AE$8:$AE$68,AN$4-$B85+1)</f>
        <v/>
      </c>
      <c r="AO85" s="75">
        <f>$C85*INDEX(Curves!$AE$8:$AE$68,AO$4-$B85+1)</f>
        <v/>
      </c>
      <c r="AP85" s="75">
        <f>$C85*INDEX(Curves!$AE$8:$AE$68,AP$4-$B85+1)</f>
        <v/>
      </c>
      <c r="AQ85" s="75">
        <f>$C85*INDEX(Curves!$AE$8:$AE$68,AQ$4-$B85+1)</f>
        <v/>
      </c>
      <c r="AR85" s="75">
        <f>$C85*INDEX(Curves!$AE$8:$AE$68,AR$4-$B85+1)</f>
        <v/>
      </c>
      <c r="AS85" s="75">
        <f>$C85*INDEX(Curves!$AE$8:$AE$68,AS$4-$B85+1)</f>
        <v/>
      </c>
      <c r="AT85" s="75">
        <f>$C85*INDEX(Curves!$AE$8:$AE$68,AT$4-$B85+1)</f>
        <v/>
      </c>
      <c r="AU85" s="75">
        <f>$C85*INDEX(Curves!$AE$8:$AE$68,AU$4-$B85+1)</f>
        <v/>
      </c>
      <c r="AV85" s="75">
        <f>$C85*INDEX(Curves!$AE$8:$AE$68,AV$4-$B85+1)</f>
        <v/>
      </c>
      <c r="AW85" s="75">
        <f>$C85*INDEX(Curves!$AE$8:$AE$68,AW$4-$B85+1)</f>
        <v/>
      </c>
      <c r="AX85" s="75">
        <f>$C85*INDEX(Curves!$AE$8:$AE$68,AX$4-$B85+1)</f>
        <v/>
      </c>
      <c r="AY85" s="75">
        <f>$C85*INDEX(Curves!$AE$8:$AE$68,AY$4-$B85+1)</f>
        <v/>
      </c>
      <c r="AZ85" s="75">
        <f>$C85*INDEX(Curves!$AE$8:$AE$68,AZ$4-$B85+1)</f>
        <v/>
      </c>
      <c r="BA85" s="75">
        <f>$C85*INDEX(Curves!$AE$8:$AE$68,BA$4-$B85+1)</f>
        <v/>
      </c>
      <c r="BB85" s="75">
        <f>$C85*INDEX(Curves!$AE$8:$AE$68,BB$4-$B85+1)</f>
        <v/>
      </c>
      <c r="BC85" s="75">
        <f>$C85*INDEX(Curves!$AE$8:$AE$68,BC$4-$B85+1)</f>
        <v/>
      </c>
      <c r="BD85" s="75">
        <f>$C85*INDEX(Curves!$AE$8:$AE$68,BD$4-$B85+1)</f>
        <v/>
      </c>
      <c r="BE85" s="75">
        <f>$C85*INDEX(Curves!$AE$8:$AE$68,BE$4-$B85+1)</f>
        <v/>
      </c>
      <c r="BF85" s="75">
        <f>$C85*INDEX(Curves!$AE$8:$AE$68,BF$4-$B85+1)</f>
        <v/>
      </c>
      <c r="BG85" s="75">
        <f>$C85*INDEX(Curves!$AE$8:$AE$68,BG$4-$B85+1)</f>
        <v/>
      </c>
      <c r="BH85" s="75">
        <f>$C85*INDEX(Curves!$AE$8:$AE$68,BH$4-$B85+1)</f>
        <v/>
      </c>
      <c r="BI85" s="75">
        <f>$C85*INDEX(Curves!$AE$8:$AE$68,BI$4-$B85+1)</f>
        <v/>
      </c>
      <c r="BJ85" s="75">
        <f>$C85*INDEX(Curves!$AE$8:$AE$68,BJ$4-$B85+1)</f>
        <v/>
      </c>
      <c r="BK85" s="75">
        <f>$C85*INDEX(Curves!$AE$8:$AE$68,BK$4-$B85+1)</f>
        <v/>
      </c>
      <c r="BL85" s="75">
        <f>$C85*INDEX(Curves!$AE$8:$AE$68,BL$4-$B85+1)</f>
        <v/>
      </c>
    </row>
    <row r="86">
      <c r="A86" s="74" t="inlineStr">
        <is>
          <t>Cohort month 14</t>
        </is>
      </c>
      <c r="B86" s="74" t="n">
        <v>14</v>
      </c>
      <c r="C86" s="17">
        <f>INDEX(Ops!$E$59:$BL$59,1,$B86)</f>
        <v/>
      </c>
      <c r="S86" s="75">
        <f>$C86*INDEX(Curves!$AE$8:$AE$68,S$4-$B86+1)</f>
        <v/>
      </c>
      <c r="T86" s="75">
        <f>$C86*INDEX(Curves!$AE$8:$AE$68,T$4-$B86+1)</f>
        <v/>
      </c>
      <c r="U86" s="75">
        <f>$C86*INDEX(Curves!$AE$8:$AE$68,U$4-$B86+1)</f>
        <v/>
      </c>
      <c r="V86" s="75">
        <f>$C86*INDEX(Curves!$AE$8:$AE$68,V$4-$B86+1)</f>
        <v/>
      </c>
      <c r="W86" s="75">
        <f>$C86*INDEX(Curves!$AE$8:$AE$68,W$4-$B86+1)</f>
        <v/>
      </c>
      <c r="X86" s="75">
        <f>$C86*INDEX(Curves!$AE$8:$AE$68,X$4-$B86+1)</f>
        <v/>
      </c>
      <c r="Y86" s="75">
        <f>$C86*INDEX(Curves!$AE$8:$AE$68,Y$4-$B86+1)</f>
        <v/>
      </c>
      <c r="Z86" s="75">
        <f>$C86*INDEX(Curves!$AE$8:$AE$68,Z$4-$B86+1)</f>
        <v/>
      </c>
      <c r="AA86" s="75">
        <f>$C86*INDEX(Curves!$AE$8:$AE$68,AA$4-$B86+1)</f>
        <v/>
      </c>
      <c r="AB86" s="75">
        <f>$C86*INDEX(Curves!$AE$8:$AE$68,AB$4-$B86+1)</f>
        <v/>
      </c>
      <c r="AC86" s="75">
        <f>$C86*INDEX(Curves!$AE$8:$AE$68,AC$4-$B86+1)</f>
        <v/>
      </c>
      <c r="AD86" s="75">
        <f>$C86*INDEX(Curves!$AE$8:$AE$68,AD$4-$B86+1)</f>
        <v/>
      </c>
      <c r="AE86" s="75">
        <f>$C86*INDEX(Curves!$AE$8:$AE$68,AE$4-$B86+1)</f>
        <v/>
      </c>
      <c r="AF86" s="75">
        <f>$C86*INDEX(Curves!$AE$8:$AE$68,AF$4-$B86+1)</f>
        <v/>
      </c>
      <c r="AG86" s="75">
        <f>$C86*INDEX(Curves!$AE$8:$AE$68,AG$4-$B86+1)</f>
        <v/>
      </c>
      <c r="AH86" s="75">
        <f>$C86*INDEX(Curves!$AE$8:$AE$68,AH$4-$B86+1)</f>
        <v/>
      </c>
      <c r="AI86" s="75">
        <f>$C86*INDEX(Curves!$AE$8:$AE$68,AI$4-$B86+1)</f>
        <v/>
      </c>
      <c r="AJ86" s="75">
        <f>$C86*INDEX(Curves!$AE$8:$AE$68,AJ$4-$B86+1)</f>
        <v/>
      </c>
      <c r="AK86" s="75">
        <f>$C86*INDEX(Curves!$AE$8:$AE$68,AK$4-$B86+1)</f>
        <v/>
      </c>
      <c r="AL86" s="75">
        <f>$C86*INDEX(Curves!$AE$8:$AE$68,AL$4-$B86+1)</f>
        <v/>
      </c>
      <c r="AM86" s="75">
        <f>$C86*INDEX(Curves!$AE$8:$AE$68,AM$4-$B86+1)</f>
        <v/>
      </c>
      <c r="AN86" s="75">
        <f>$C86*INDEX(Curves!$AE$8:$AE$68,AN$4-$B86+1)</f>
        <v/>
      </c>
      <c r="AO86" s="75">
        <f>$C86*INDEX(Curves!$AE$8:$AE$68,AO$4-$B86+1)</f>
        <v/>
      </c>
      <c r="AP86" s="75">
        <f>$C86*INDEX(Curves!$AE$8:$AE$68,AP$4-$B86+1)</f>
        <v/>
      </c>
      <c r="AQ86" s="75">
        <f>$C86*INDEX(Curves!$AE$8:$AE$68,AQ$4-$B86+1)</f>
        <v/>
      </c>
      <c r="AR86" s="75">
        <f>$C86*INDEX(Curves!$AE$8:$AE$68,AR$4-$B86+1)</f>
        <v/>
      </c>
      <c r="AS86" s="75">
        <f>$C86*INDEX(Curves!$AE$8:$AE$68,AS$4-$B86+1)</f>
        <v/>
      </c>
      <c r="AT86" s="75">
        <f>$C86*INDEX(Curves!$AE$8:$AE$68,AT$4-$B86+1)</f>
        <v/>
      </c>
      <c r="AU86" s="75">
        <f>$C86*INDEX(Curves!$AE$8:$AE$68,AU$4-$B86+1)</f>
        <v/>
      </c>
      <c r="AV86" s="75">
        <f>$C86*INDEX(Curves!$AE$8:$AE$68,AV$4-$B86+1)</f>
        <v/>
      </c>
      <c r="AW86" s="75">
        <f>$C86*INDEX(Curves!$AE$8:$AE$68,AW$4-$B86+1)</f>
        <v/>
      </c>
      <c r="AX86" s="75">
        <f>$C86*INDEX(Curves!$AE$8:$AE$68,AX$4-$B86+1)</f>
        <v/>
      </c>
      <c r="AY86" s="75">
        <f>$C86*INDEX(Curves!$AE$8:$AE$68,AY$4-$B86+1)</f>
        <v/>
      </c>
      <c r="AZ86" s="75">
        <f>$C86*INDEX(Curves!$AE$8:$AE$68,AZ$4-$B86+1)</f>
        <v/>
      </c>
      <c r="BA86" s="75">
        <f>$C86*INDEX(Curves!$AE$8:$AE$68,BA$4-$B86+1)</f>
        <v/>
      </c>
      <c r="BB86" s="75">
        <f>$C86*INDEX(Curves!$AE$8:$AE$68,BB$4-$B86+1)</f>
        <v/>
      </c>
      <c r="BC86" s="75">
        <f>$C86*INDEX(Curves!$AE$8:$AE$68,BC$4-$B86+1)</f>
        <v/>
      </c>
      <c r="BD86" s="75">
        <f>$C86*INDEX(Curves!$AE$8:$AE$68,BD$4-$B86+1)</f>
        <v/>
      </c>
      <c r="BE86" s="75">
        <f>$C86*INDEX(Curves!$AE$8:$AE$68,BE$4-$B86+1)</f>
        <v/>
      </c>
      <c r="BF86" s="75">
        <f>$C86*INDEX(Curves!$AE$8:$AE$68,BF$4-$B86+1)</f>
        <v/>
      </c>
      <c r="BG86" s="75">
        <f>$C86*INDEX(Curves!$AE$8:$AE$68,BG$4-$B86+1)</f>
        <v/>
      </c>
      <c r="BH86" s="75">
        <f>$C86*INDEX(Curves!$AE$8:$AE$68,BH$4-$B86+1)</f>
        <v/>
      </c>
      <c r="BI86" s="75">
        <f>$C86*INDEX(Curves!$AE$8:$AE$68,BI$4-$B86+1)</f>
        <v/>
      </c>
      <c r="BJ86" s="75">
        <f>$C86*INDEX(Curves!$AE$8:$AE$68,BJ$4-$B86+1)</f>
        <v/>
      </c>
      <c r="BK86" s="75">
        <f>$C86*INDEX(Curves!$AE$8:$AE$68,BK$4-$B86+1)</f>
        <v/>
      </c>
      <c r="BL86" s="75">
        <f>$C86*INDEX(Curves!$AE$8:$AE$68,BL$4-$B86+1)</f>
        <v/>
      </c>
    </row>
    <row r="87">
      <c r="A87" s="74" t="inlineStr">
        <is>
          <t>Cohort month 15</t>
        </is>
      </c>
      <c r="B87" s="74" t="n">
        <v>15</v>
      </c>
      <c r="C87" s="17">
        <f>INDEX(Ops!$E$59:$BL$59,1,$B87)</f>
        <v/>
      </c>
      <c r="T87" s="75">
        <f>$C87*INDEX(Curves!$AE$8:$AE$68,T$4-$B87+1)</f>
        <v/>
      </c>
      <c r="U87" s="75">
        <f>$C87*INDEX(Curves!$AE$8:$AE$68,U$4-$B87+1)</f>
        <v/>
      </c>
      <c r="V87" s="75">
        <f>$C87*INDEX(Curves!$AE$8:$AE$68,V$4-$B87+1)</f>
        <v/>
      </c>
      <c r="W87" s="75">
        <f>$C87*INDEX(Curves!$AE$8:$AE$68,W$4-$B87+1)</f>
        <v/>
      </c>
      <c r="X87" s="75">
        <f>$C87*INDEX(Curves!$AE$8:$AE$68,X$4-$B87+1)</f>
        <v/>
      </c>
      <c r="Y87" s="75">
        <f>$C87*INDEX(Curves!$AE$8:$AE$68,Y$4-$B87+1)</f>
        <v/>
      </c>
      <c r="Z87" s="75">
        <f>$C87*INDEX(Curves!$AE$8:$AE$68,Z$4-$B87+1)</f>
        <v/>
      </c>
      <c r="AA87" s="75">
        <f>$C87*INDEX(Curves!$AE$8:$AE$68,AA$4-$B87+1)</f>
        <v/>
      </c>
      <c r="AB87" s="75">
        <f>$C87*INDEX(Curves!$AE$8:$AE$68,AB$4-$B87+1)</f>
        <v/>
      </c>
      <c r="AC87" s="75">
        <f>$C87*INDEX(Curves!$AE$8:$AE$68,AC$4-$B87+1)</f>
        <v/>
      </c>
      <c r="AD87" s="75">
        <f>$C87*INDEX(Curves!$AE$8:$AE$68,AD$4-$B87+1)</f>
        <v/>
      </c>
      <c r="AE87" s="75">
        <f>$C87*INDEX(Curves!$AE$8:$AE$68,AE$4-$B87+1)</f>
        <v/>
      </c>
      <c r="AF87" s="75">
        <f>$C87*INDEX(Curves!$AE$8:$AE$68,AF$4-$B87+1)</f>
        <v/>
      </c>
      <c r="AG87" s="75">
        <f>$C87*INDEX(Curves!$AE$8:$AE$68,AG$4-$B87+1)</f>
        <v/>
      </c>
      <c r="AH87" s="75">
        <f>$C87*INDEX(Curves!$AE$8:$AE$68,AH$4-$B87+1)</f>
        <v/>
      </c>
      <c r="AI87" s="75">
        <f>$C87*INDEX(Curves!$AE$8:$AE$68,AI$4-$B87+1)</f>
        <v/>
      </c>
      <c r="AJ87" s="75">
        <f>$C87*INDEX(Curves!$AE$8:$AE$68,AJ$4-$B87+1)</f>
        <v/>
      </c>
      <c r="AK87" s="75">
        <f>$C87*INDEX(Curves!$AE$8:$AE$68,AK$4-$B87+1)</f>
        <v/>
      </c>
      <c r="AL87" s="75">
        <f>$C87*INDEX(Curves!$AE$8:$AE$68,AL$4-$B87+1)</f>
        <v/>
      </c>
      <c r="AM87" s="75">
        <f>$C87*INDEX(Curves!$AE$8:$AE$68,AM$4-$B87+1)</f>
        <v/>
      </c>
      <c r="AN87" s="75">
        <f>$C87*INDEX(Curves!$AE$8:$AE$68,AN$4-$B87+1)</f>
        <v/>
      </c>
      <c r="AO87" s="75">
        <f>$C87*INDEX(Curves!$AE$8:$AE$68,AO$4-$B87+1)</f>
        <v/>
      </c>
      <c r="AP87" s="75">
        <f>$C87*INDEX(Curves!$AE$8:$AE$68,AP$4-$B87+1)</f>
        <v/>
      </c>
      <c r="AQ87" s="75">
        <f>$C87*INDEX(Curves!$AE$8:$AE$68,AQ$4-$B87+1)</f>
        <v/>
      </c>
      <c r="AR87" s="75">
        <f>$C87*INDEX(Curves!$AE$8:$AE$68,AR$4-$B87+1)</f>
        <v/>
      </c>
      <c r="AS87" s="75">
        <f>$C87*INDEX(Curves!$AE$8:$AE$68,AS$4-$B87+1)</f>
        <v/>
      </c>
      <c r="AT87" s="75">
        <f>$C87*INDEX(Curves!$AE$8:$AE$68,AT$4-$B87+1)</f>
        <v/>
      </c>
      <c r="AU87" s="75">
        <f>$C87*INDEX(Curves!$AE$8:$AE$68,AU$4-$B87+1)</f>
        <v/>
      </c>
      <c r="AV87" s="75">
        <f>$C87*INDEX(Curves!$AE$8:$AE$68,AV$4-$B87+1)</f>
        <v/>
      </c>
      <c r="AW87" s="75">
        <f>$C87*INDEX(Curves!$AE$8:$AE$68,AW$4-$B87+1)</f>
        <v/>
      </c>
      <c r="AX87" s="75">
        <f>$C87*INDEX(Curves!$AE$8:$AE$68,AX$4-$B87+1)</f>
        <v/>
      </c>
      <c r="AY87" s="75">
        <f>$C87*INDEX(Curves!$AE$8:$AE$68,AY$4-$B87+1)</f>
        <v/>
      </c>
      <c r="AZ87" s="75">
        <f>$C87*INDEX(Curves!$AE$8:$AE$68,AZ$4-$B87+1)</f>
        <v/>
      </c>
      <c r="BA87" s="75">
        <f>$C87*INDEX(Curves!$AE$8:$AE$68,BA$4-$B87+1)</f>
        <v/>
      </c>
      <c r="BB87" s="75">
        <f>$C87*INDEX(Curves!$AE$8:$AE$68,BB$4-$B87+1)</f>
        <v/>
      </c>
      <c r="BC87" s="75">
        <f>$C87*INDEX(Curves!$AE$8:$AE$68,BC$4-$B87+1)</f>
        <v/>
      </c>
      <c r="BD87" s="75">
        <f>$C87*INDEX(Curves!$AE$8:$AE$68,BD$4-$B87+1)</f>
        <v/>
      </c>
      <c r="BE87" s="75">
        <f>$C87*INDEX(Curves!$AE$8:$AE$68,BE$4-$B87+1)</f>
        <v/>
      </c>
      <c r="BF87" s="75">
        <f>$C87*INDEX(Curves!$AE$8:$AE$68,BF$4-$B87+1)</f>
        <v/>
      </c>
      <c r="BG87" s="75">
        <f>$C87*INDEX(Curves!$AE$8:$AE$68,BG$4-$B87+1)</f>
        <v/>
      </c>
      <c r="BH87" s="75">
        <f>$C87*INDEX(Curves!$AE$8:$AE$68,BH$4-$B87+1)</f>
        <v/>
      </c>
      <c r="BI87" s="75">
        <f>$C87*INDEX(Curves!$AE$8:$AE$68,BI$4-$B87+1)</f>
        <v/>
      </c>
      <c r="BJ87" s="75">
        <f>$C87*INDEX(Curves!$AE$8:$AE$68,BJ$4-$B87+1)</f>
        <v/>
      </c>
      <c r="BK87" s="75">
        <f>$C87*INDEX(Curves!$AE$8:$AE$68,BK$4-$B87+1)</f>
        <v/>
      </c>
      <c r="BL87" s="75">
        <f>$C87*INDEX(Curves!$AE$8:$AE$68,BL$4-$B87+1)</f>
        <v/>
      </c>
    </row>
    <row r="88">
      <c r="A88" s="74" t="inlineStr">
        <is>
          <t>Cohort month 16</t>
        </is>
      </c>
      <c r="B88" s="74" t="n">
        <v>16</v>
      </c>
      <c r="C88" s="17">
        <f>INDEX(Ops!$E$59:$BL$59,1,$B88)</f>
        <v/>
      </c>
      <c r="U88" s="75">
        <f>$C88*INDEX(Curves!$AE$8:$AE$68,U$4-$B88+1)</f>
        <v/>
      </c>
      <c r="V88" s="75">
        <f>$C88*INDEX(Curves!$AE$8:$AE$68,V$4-$B88+1)</f>
        <v/>
      </c>
      <c r="W88" s="75">
        <f>$C88*INDEX(Curves!$AE$8:$AE$68,W$4-$B88+1)</f>
        <v/>
      </c>
      <c r="X88" s="75">
        <f>$C88*INDEX(Curves!$AE$8:$AE$68,X$4-$B88+1)</f>
        <v/>
      </c>
      <c r="Y88" s="75">
        <f>$C88*INDEX(Curves!$AE$8:$AE$68,Y$4-$B88+1)</f>
        <v/>
      </c>
      <c r="Z88" s="75">
        <f>$C88*INDEX(Curves!$AE$8:$AE$68,Z$4-$B88+1)</f>
        <v/>
      </c>
      <c r="AA88" s="75">
        <f>$C88*INDEX(Curves!$AE$8:$AE$68,AA$4-$B88+1)</f>
        <v/>
      </c>
      <c r="AB88" s="75">
        <f>$C88*INDEX(Curves!$AE$8:$AE$68,AB$4-$B88+1)</f>
        <v/>
      </c>
      <c r="AC88" s="75">
        <f>$C88*INDEX(Curves!$AE$8:$AE$68,AC$4-$B88+1)</f>
        <v/>
      </c>
      <c r="AD88" s="75">
        <f>$C88*INDEX(Curves!$AE$8:$AE$68,AD$4-$B88+1)</f>
        <v/>
      </c>
      <c r="AE88" s="75">
        <f>$C88*INDEX(Curves!$AE$8:$AE$68,AE$4-$B88+1)</f>
        <v/>
      </c>
      <c r="AF88" s="75">
        <f>$C88*INDEX(Curves!$AE$8:$AE$68,AF$4-$B88+1)</f>
        <v/>
      </c>
      <c r="AG88" s="75">
        <f>$C88*INDEX(Curves!$AE$8:$AE$68,AG$4-$B88+1)</f>
        <v/>
      </c>
      <c r="AH88" s="75">
        <f>$C88*INDEX(Curves!$AE$8:$AE$68,AH$4-$B88+1)</f>
        <v/>
      </c>
      <c r="AI88" s="75">
        <f>$C88*INDEX(Curves!$AE$8:$AE$68,AI$4-$B88+1)</f>
        <v/>
      </c>
      <c r="AJ88" s="75">
        <f>$C88*INDEX(Curves!$AE$8:$AE$68,AJ$4-$B88+1)</f>
        <v/>
      </c>
      <c r="AK88" s="75">
        <f>$C88*INDEX(Curves!$AE$8:$AE$68,AK$4-$B88+1)</f>
        <v/>
      </c>
      <c r="AL88" s="75">
        <f>$C88*INDEX(Curves!$AE$8:$AE$68,AL$4-$B88+1)</f>
        <v/>
      </c>
      <c r="AM88" s="75">
        <f>$C88*INDEX(Curves!$AE$8:$AE$68,AM$4-$B88+1)</f>
        <v/>
      </c>
      <c r="AN88" s="75">
        <f>$C88*INDEX(Curves!$AE$8:$AE$68,AN$4-$B88+1)</f>
        <v/>
      </c>
      <c r="AO88" s="75">
        <f>$C88*INDEX(Curves!$AE$8:$AE$68,AO$4-$B88+1)</f>
        <v/>
      </c>
      <c r="AP88" s="75">
        <f>$C88*INDEX(Curves!$AE$8:$AE$68,AP$4-$B88+1)</f>
        <v/>
      </c>
      <c r="AQ88" s="75">
        <f>$C88*INDEX(Curves!$AE$8:$AE$68,AQ$4-$B88+1)</f>
        <v/>
      </c>
      <c r="AR88" s="75">
        <f>$C88*INDEX(Curves!$AE$8:$AE$68,AR$4-$B88+1)</f>
        <v/>
      </c>
      <c r="AS88" s="75">
        <f>$C88*INDEX(Curves!$AE$8:$AE$68,AS$4-$B88+1)</f>
        <v/>
      </c>
      <c r="AT88" s="75">
        <f>$C88*INDEX(Curves!$AE$8:$AE$68,AT$4-$B88+1)</f>
        <v/>
      </c>
      <c r="AU88" s="75">
        <f>$C88*INDEX(Curves!$AE$8:$AE$68,AU$4-$B88+1)</f>
        <v/>
      </c>
      <c r="AV88" s="75">
        <f>$C88*INDEX(Curves!$AE$8:$AE$68,AV$4-$B88+1)</f>
        <v/>
      </c>
      <c r="AW88" s="75">
        <f>$C88*INDEX(Curves!$AE$8:$AE$68,AW$4-$B88+1)</f>
        <v/>
      </c>
      <c r="AX88" s="75">
        <f>$C88*INDEX(Curves!$AE$8:$AE$68,AX$4-$B88+1)</f>
        <v/>
      </c>
      <c r="AY88" s="75">
        <f>$C88*INDEX(Curves!$AE$8:$AE$68,AY$4-$B88+1)</f>
        <v/>
      </c>
      <c r="AZ88" s="75">
        <f>$C88*INDEX(Curves!$AE$8:$AE$68,AZ$4-$B88+1)</f>
        <v/>
      </c>
      <c r="BA88" s="75">
        <f>$C88*INDEX(Curves!$AE$8:$AE$68,BA$4-$B88+1)</f>
        <v/>
      </c>
      <c r="BB88" s="75">
        <f>$C88*INDEX(Curves!$AE$8:$AE$68,BB$4-$B88+1)</f>
        <v/>
      </c>
      <c r="BC88" s="75">
        <f>$C88*INDEX(Curves!$AE$8:$AE$68,BC$4-$B88+1)</f>
        <v/>
      </c>
      <c r="BD88" s="75">
        <f>$C88*INDEX(Curves!$AE$8:$AE$68,BD$4-$B88+1)</f>
        <v/>
      </c>
      <c r="BE88" s="75">
        <f>$C88*INDEX(Curves!$AE$8:$AE$68,BE$4-$B88+1)</f>
        <v/>
      </c>
      <c r="BF88" s="75">
        <f>$C88*INDEX(Curves!$AE$8:$AE$68,BF$4-$B88+1)</f>
        <v/>
      </c>
      <c r="BG88" s="75">
        <f>$C88*INDEX(Curves!$AE$8:$AE$68,BG$4-$B88+1)</f>
        <v/>
      </c>
      <c r="BH88" s="75">
        <f>$C88*INDEX(Curves!$AE$8:$AE$68,BH$4-$B88+1)</f>
        <v/>
      </c>
      <c r="BI88" s="75">
        <f>$C88*INDEX(Curves!$AE$8:$AE$68,BI$4-$B88+1)</f>
        <v/>
      </c>
      <c r="BJ88" s="75">
        <f>$C88*INDEX(Curves!$AE$8:$AE$68,BJ$4-$B88+1)</f>
        <v/>
      </c>
      <c r="BK88" s="75">
        <f>$C88*INDEX(Curves!$AE$8:$AE$68,BK$4-$B88+1)</f>
        <v/>
      </c>
      <c r="BL88" s="75">
        <f>$C88*INDEX(Curves!$AE$8:$AE$68,BL$4-$B88+1)</f>
        <v/>
      </c>
    </row>
    <row r="89">
      <c r="A89" s="74" t="inlineStr">
        <is>
          <t>Cohort month 17</t>
        </is>
      </c>
      <c r="B89" s="74" t="n">
        <v>17</v>
      </c>
      <c r="C89" s="17">
        <f>INDEX(Ops!$E$59:$BL$59,1,$B89)</f>
        <v/>
      </c>
      <c r="V89" s="75">
        <f>$C89*INDEX(Curves!$AE$8:$AE$68,V$4-$B89+1)</f>
        <v/>
      </c>
      <c r="W89" s="75">
        <f>$C89*INDEX(Curves!$AE$8:$AE$68,W$4-$B89+1)</f>
        <v/>
      </c>
      <c r="X89" s="75">
        <f>$C89*INDEX(Curves!$AE$8:$AE$68,X$4-$B89+1)</f>
        <v/>
      </c>
      <c r="Y89" s="75">
        <f>$C89*INDEX(Curves!$AE$8:$AE$68,Y$4-$B89+1)</f>
        <v/>
      </c>
      <c r="Z89" s="75">
        <f>$C89*INDEX(Curves!$AE$8:$AE$68,Z$4-$B89+1)</f>
        <v/>
      </c>
      <c r="AA89" s="75">
        <f>$C89*INDEX(Curves!$AE$8:$AE$68,AA$4-$B89+1)</f>
        <v/>
      </c>
      <c r="AB89" s="75">
        <f>$C89*INDEX(Curves!$AE$8:$AE$68,AB$4-$B89+1)</f>
        <v/>
      </c>
      <c r="AC89" s="75">
        <f>$C89*INDEX(Curves!$AE$8:$AE$68,AC$4-$B89+1)</f>
        <v/>
      </c>
      <c r="AD89" s="75">
        <f>$C89*INDEX(Curves!$AE$8:$AE$68,AD$4-$B89+1)</f>
        <v/>
      </c>
      <c r="AE89" s="75">
        <f>$C89*INDEX(Curves!$AE$8:$AE$68,AE$4-$B89+1)</f>
        <v/>
      </c>
      <c r="AF89" s="75">
        <f>$C89*INDEX(Curves!$AE$8:$AE$68,AF$4-$B89+1)</f>
        <v/>
      </c>
      <c r="AG89" s="75">
        <f>$C89*INDEX(Curves!$AE$8:$AE$68,AG$4-$B89+1)</f>
        <v/>
      </c>
      <c r="AH89" s="75">
        <f>$C89*INDEX(Curves!$AE$8:$AE$68,AH$4-$B89+1)</f>
        <v/>
      </c>
      <c r="AI89" s="75">
        <f>$C89*INDEX(Curves!$AE$8:$AE$68,AI$4-$B89+1)</f>
        <v/>
      </c>
      <c r="AJ89" s="75">
        <f>$C89*INDEX(Curves!$AE$8:$AE$68,AJ$4-$B89+1)</f>
        <v/>
      </c>
      <c r="AK89" s="75">
        <f>$C89*INDEX(Curves!$AE$8:$AE$68,AK$4-$B89+1)</f>
        <v/>
      </c>
      <c r="AL89" s="75">
        <f>$C89*INDEX(Curves!$AE$8:$AE$68,AL$4-$B89+1)</f>
        <v/>
      </c>
      <c r="AM89" s="75">
        <f>$C89*INDEX(Curves!$AE$8:$AE$68,AM$4-$B89+1)</f>
        <v/>
      </c>
      <c r="AN89" s="75">
        <f>$C89*INDEX(Curves!$AE$8:$AE$68,AN$4-$B89+1)</f>
        <v/>
      </c>
      <c r="AO89" s="75">
        <f>$C89*INDEX(Curves!$AE$8:$AE$68,AO$4-$B89+1)</f>
        <v/>
      </c>
      <c r="AP89" s="75">
        <f>$C89*INDEX(Curves!$AE$8:$AE$68,AP$4-$B89+1)</f>
        <v/>
      </c>
      <c r="AQ89" s="75">
        <f>$C89*INDEX(Curves!$AE$8:$AE$68,AQ$4-$B89+1)</f>
        <v/>
      </c>
      <c r="AR89" s="75">
        <f>$C89*INDEX(Curves!$AE$8:$AE$68,AR$4-$B89+1)</f>
        <v/>
      </c>
      <c r="AS89" s="75">
        <f>$C89*INDEX(Curves!$AE$8:$AE$68,AS$4-$B89+1)</f>
        <v/>
      </c>
      <c r="AT89" s="75">
        <f>$C89*INDEX(Curves!$AE$8:$AE$68,AT$4-$B89+1)</f>
        <v/>
      </c>
      <c r="AU89" s="75">
        <f>$C89*INDEX(Curves!$AE$8:$AE$68,AU$4-$B89+1)</f>
        <v/>
      </c>
      <c r="AV89" s="75">
        <f>$C89*INDEX(Curves!$AE$8:$AE$68,AV$4-$B89+1)</f>
        <v/>
      </c>
      <c r="AW89" s="75">
        <f>$C89*INDEX(Curves!$AE$8:$AE$68,AW$4-$B89+1)</f>
        <v/>
      </c>
      <c r="AX89" s="75">
        <f>$C89*INDEX(Curves!$AE$8:$AE$68,AX$4-$B89+1)</f>
        <v/>
      </c>
      <c r="AY89" s="75">
        <f>$C89*INDEX(Curves!$AE$8:$AE$68,AY$4-$B89+1)</f>
        <v/>
      </c>
      <c r="AZ89" s="75">
        <f>$C89*INDEX(Curves!$AE$8:$AE$68,AZ$4-$B89+1)</f>
        <v/>
      </c>
      <c r="BA89" s="75">
        <f>$C89*INDEX(Curves!$AE$8:$AE$68,BA$4-$B89+1)</f>
        <v/>
      </c>
      <c r="BB89" s="75">
        <f>$C89*INDEX(Curves!$AE$8:$AE$68,BB$4-$B89+1)</f>
        <v/>
      </c>
      <c r="BC89" s="75">
        <f>$C89*INDEX(Curves!$AE$8:$AE$68,BC$4-$B89+1)</f>
        <v/>
      </c>
      <c r="BD89" s="75">
        <f>$C89*INDEX(Curves!$AE$8:$AE$68,BD$4-$B89+1)</f>
        <v/>
      </c>
      <c r="BE89" s="75">
        <f>$C89*INDEX(Curves!$AE$8:$AE$68,BE$4-$B89+1)</f>
        <v/>
      </c>
      <c r="BF89" s="75">
        <f>$C89*INDEX(Curves!$AE$8:$AE$68,BF$4-$B89+1)</f>
        <v/>
      </c>
      <c r="BG89" s="75">
        <f>$C89*INDEX(Curves!$AE$8:$AE$68,BG$4-$B89+1)</f>
        <v/>
      </c>
      <c r="BH89" s="75">
        <f>$C89*INDEX(Curves!$AE$8:$AE$68,BH$4-$B89+1)</f>
        <v/>
      </c>
      <c r="BI89" s="75">
        <f>$C89*INDEX(Curves!$AE$8:$AE$68,BI$4-$B89+1)</f>
        <v/>
      </c>
      <c r="BJ89" s="75">
        <f>$C89*INDEX(Curves!$AE$8:$AE$68,BJ$4-$B89+1)</f>
        <v/>
      </c>
      <c r="BK89" s="75">
        <f>$C89*INDEX(Curves!$AE$8:$AE$68,BK$4-$B89+1)</f>
        <v/>
      </c>
      <c r="BL89" s="75">
        <f>$C89*INDEX(Curves!$AE$8:$AE$68,BL$4-$B89+1)</f>
        <v/>
      </c>
    </row>
    <row r="90">
      <c r="A90" s="74" t="inlineStr">
        <is>
          <t>Cohort month 18</t>
        </is>
      </c>
      <c r="B90" s="74" t="n">
        <v>18</v>
      </c>
      <c r="C90" s="17">
        <f>INDEX(Ops!$E$59:$BL$59,1,$B90)</f>
        <v/>
      </c>
      <c r="W90" s="75">
        <f>$C90*INDEX(Curves!$AE$8:$AE$68,W$4-$B90+1)</f>
        <v/>
      </c>
      <c r="X90" s="75">
        <f>$C90*INDEX(Curves!$AE$8:$AE$68,X$4-$B90+1)</f>
        <v/>
      </c>
      <c r="Y90" s="75">
        <f>$C90*INDEX(Curves!$AE$8:$AE$68,Y$4-$B90+1)</f>
        <v/>
      </c>
      <c r="Z90" s="75">
        <f>$C90*INDEX(Curves!$AE$8:$AE$68,Z$4-$B90+1)</f>
        <v/>
      </c>
      <c r="AA90" s="75">
        <f>$C90*INDEX(Curves!$AE$8:$AE$68,AA$4-$B90+1)</f>
        <v/>
      </c>
      <c r="AB90" s="75">
        <f>$C90*INDEX(Curves!$AE$8:$AE$68,AB$4-$B90+1)</f>
        <v/>
      </c>
      <c r="AC90" s="75">
        <f>$C90*INDEX(Curves!$AE$8:$AE$68,AC$4-$B90+1)</f>
        <v/>
      </c>
      <c r="AD90" s="75">
        <f>$C90*INDEX(Curves!$AE$8:$AE$68,AD$4-$B90+1)</f>
        <v/>
      </c>
      <c r="AE90" s="75">
        <f>$C90*INDEX(Curves!$AE$8:$AE$68,AE$4-$B90+1)</f>
        <v/>
      </c>
      <c r="AF90" s="75">
        <f>$C90*INDEX(Curves!$AE$8:$AE$68,AF$4-$B90+1)</f>
        <v/>
      </c>
      <c r="AG90" s="75">
        <f>$C90*INDEX(Curves!$AE$8:$AE$68,AG$4-$B90+1)</f>
        <v/>
      </c>
      <c r="AH90" s="75">
        <f>$C90*INDEX(Curves!$AE$8:$AE$68,AH$4-$B90+1)</f>
        <v/>
      </c>
      <c r="AI90" s="75">
        <f>$C90*INDEX(Curves!$AE$8:$AE$68,AI$4-$B90+1)</f>
        <v/>
      </c>
      <c r="AJ90" s="75">
        <f>$C90*INDEX(Curves!$AE$8:$AE$68,AJ$4-$B90+1)</f>
        <v/>
      </c>
      <c r="AK90" s="75">
        <f>$C90*INDEX(Curves!$AE$8:$AE$68,AK$4-$B90+1)</f>
        <v/>
      </c>
      <c r="AL90" s="75">
        <f>$C90*INDEX(Curves!$AE$8:$AE$68,AL$4-$B90+1)</f>
        <v/>
      </c>
      <c r="AM90" s="75">
        <f>$C90*INDEX(Curves!$AE$8:$AE$68,AM$4-$B90+1)</f>
        <v/>
      </c>
      <c r="AN90" s="75">
        <f>$C90*INDEX(Curves!$AE$8:$AE$68,AN$4-$B90+1)</f>
        <v/>
      </c>
      <c r="AO90" s="75">
        <f>$C90*INDEX(Curves!$AE$8:$AE$68,AO$4-$B90+1)</f>
        <v/>
      </c>
      <c r="AP90" s="75">
        <f>$C90*INDEX(Curves!$AE$8:$AE$68,AP$4-$B90+1)</f>
        <v/>
      </c>
      <c r="AQ90" s="75">
        <f>$C90*INDEX(Curves!$AE$8:$AE$68,AQ$4-$B90+1)</f>
        <v/>
      </c>
      <c r="AR90" s="75">
        <f>$C90*INDEX(Curves!$AE$8:$AE$68,AR$4-$B90+1)</f>
        <v/>
      </c>
      <c r="AS90" s="75">
        <f>$C90*INDEX(Curves!$AE$8:$AE$68,AS$4-$B90+1)</f>
        <v/>
      </c>
      <c r="AT90" s="75">
        <f>$C90*INDEX(Curves!$AE$8:$AE$68,AT$4-$B90+1)</f>
        <v/>
      </c>
      <c r="AU90" s="75">
        <f>$C90*INDEX(Curves!$AE$8:$AE$68,AU$4-$B90+1)</f>
        <v/>
      </c>
      <c r="AV90" s="75">
        <f>$C90*INDEX(Curves!$AE$8:$AE$68,AV$4-$B90+1)</f>
        <v/>
      </c>
      <c r="AW90" s="75">
        <f>$C90*INDEX(Curves!$AE$8:$AE$68,AW$4-$B90+1)</f>
        <v/>
      </c>
      <c r="AX90" s="75">
        <f>$C90*INDEX(Curves!$AE$8:$AE$68,AX$4-$B90+1)</f>
        <v/>
      </c>
      <c r="AY90" s="75">
        <f>$C90*INDEX(Curves!$AE$8:$AE$68,AY$4-$B90+1)</f>
        <v/>
      </c>
      <c r="AZ90" s="75">
        <f>$C90*INDEX(Curves!$AE$8:$AE$68,AZ$4-$B90+1)</f>
        <v/>
      </c>
      <c r="BA90" s="75">
        <f>$C90*INDEX(Curves!$AE$8:$AE$68,BA$4-$B90+1)</f>
        <v/>
      </c>
      <c r="BB90" s="75">
        <f>$C90*INDEX(Curves!$AE$8:$AE$68,BB$4-$B90+1)</f>
        <v/>
      </c>
      <c r="BC90" s="75">
        <f>$C90*INDEX(Curves!$AE$8:$AE$68,BC$4-$B90+1)</f>
        <v/>
      </c>
      <c r="BD90" s="75">
        <f>$C90*INDEX(Curves!$AE$8:$AE$68,BD$4-$B90+1)</f>
        <v/>
      </c>
      <c r="BE90" s="75">
        <f>$C90*INDEX(Curves!$AE$8:$AE$68,BE$4-$B90+1)</f>
        <v/>
      </c>
      <c r="BF90" s="75">
        <f>$C90*INDEX(Curves!$AE$8:$AE$68,BF$4-$B90+1)</f>
        <v/>
      </c>
      <c r="BG90" s="75">
        <f>$C90*INDEX(Curves!$AE$8:$AE$68,BG$4-$B90+1)</f>
        <v/>
      </c>
      <c r="BH90" s="75">
        <f>$C90*INDEX(Curves!$AE$8:$AE$68,BH$4-$B90+1)</f>
        <v/>
      </c>
      <c r="BI90" s="75">
        <f>$C90*INDEX(Curves!$AE$8:$AE$68,BI$4-$B90+1)</f>
        <v/>
      </c>
      <c r="BJ90" s="75">
        <f>$C90*INDEX(Curves!$AE$8:$AE$68,BJ$4-$B90+1)</f>
        <v/>
      </c>
      <c r="BK90" s="75">
        <f>$C90*INDEX(Curves!$AE$8:$AE$68,BK$4-$B90+1)</f>
        <v/>
      </c>
      <c r="BL90" s="75">
        <f>$C90*INDEX(Curves!$AE$8:$AE$68,BL$4-$B90+1)</f>
        <v/>
      </c>
    </row>
    <row r="91">
      <c r="A91" s="74" t="inlineStr">
        <is>
          <t>Cohort month 19</t>
        </is>
      </c>
      <c r="B91" s="74" t="n">
        <v>19</v>
      </c>
      <c r="C91" s="17">
        <f>INDEX(Ops!$E$59:$BL$59,1,$B91)</f>
        <v/>
      </c>
      <c r="X91" s="75">
        <f>$C91*INDEX(Curves!$AE$8:$AE$68,X$4-$B91+1)</f>
        <v/>
      </c>
      <c r="Y91" s="75">
        <f>$C91*INDEX(Curves!$AE$8:$AE$68,Y$4-$B91+1)</f>
        <v/>
      </c>
      <c r="Z91" s="75">
        <f>$C91*INDEX(Curves!$AE$8:$AE$68,Z$4-$B91+1)</f>
        <v/>
      </c>
      <c r="AA91" s="75">
        <f>$C91*INDEX(Curves!$AE$8:$AE$68,AA$4-$B91+1)</f>
        <v/>
      </c>
      <c r="AB91" s="75">
        <f>$C91*INDEX(Curves!$AE$8:$AE$68,AB$4-$B91+1)</f>
        <v/>
      </c>
      <c r="AC91" s="75">
        <f>$C91*INDEX(Curves!$AE$8:$AE$68,AC$4-$B91+1)</f>
        <v/>
      </c>
      <c r="AD91" s="75">
        <f>$C91*INDEX(Curves!$AE$8:$AE$68,AD$4-$B91+1)</f>
        <v/>
      </c>
      <c r="AE91" s="75">
        <f>$C91*INDEX(Curves!$AE$8:$AE$68,AE$4-$B91+1)</f>
        <v/>
      </c>
      <c r="AF91" s="75">
        <f>$C91*INDEX(Curves!$AE$8:$AE$68,AF$4-$B91+1)</f>
        <v/>
      </c>
      <c r="AG91" s="75">
        <f>$C91*INDEX(Curves!$AE$8:$AE$68,AG$4-$B91+1)</f>
        <v/>
      </c>
      <c r="AH91" s="75">
        <f>$C91*INDEX(Curves!$AE$8:$AE$68,AH$4-$B91+1)</f>
        <v/>
      </c>
      <c r="AI91" s="75">
        <f>$C91*INDEX(Curves!$AE$8:$AE$68,AI$4-$B91+1)</f>
        <v/>
      </c>
      <c r="AJ91" s="75">
        <f>$C91*INDEX(Curves!$AE$8:$AE$68,AJ$4-$B91+1)</f>
        <v/>
      </c>
      <c r="AK91" s="75">
        <f>$C91*INDEX(Curves!$AE$8:$AE$68,AK$4-$B91+1)</f>
        <v/>
      </c>
      <c r="AL91" s="75">
        <f>$C91*INDEX(Curves!$AE$8:$AE$68,AL$4-$B91+1)</f>
        <v/>
      </c>
      <c r="AM91" s="75">
        <f>$C91*INDEX(Curves!$AE$8:$AE$68,AM$4-$B91+1)</f>
        <v/>
      </c>
      <c r="AN91" s="75">
        <f>$C91*INDEX(Curves!$AE$8:$AE$68,AN$4-$B91+1)</f>
        <v/>
      </c>
      <c r="AO91" s="75">
        <f>$C91*INDEX(Curves!$AE$8:$AE$68,AO$4-$B91+1)</f>
        <v/>
      </c>
      <c r="AP91" s="75">
        <f>$C91*INDEX(Curves!$AE$8:$AE$68,AP$4-$B91+1)</f>
        <v/>
      </c>
      <c r="AQ91" s="75">
        <f>$C91*INDEX(Curves!$AE$8:$AE$68,AQ$4-$B91+1)</f>
        <v/>
      </c>
      <c r="AR91" s="75">
        <f>$C91*INDEX(Curves!$AE$8:$AE$68,AR$4-$B91+1)</f>
        <v/>
      </c>
      <c r="AS91" s="75">
        <f>$C91*INDEX(Curves!$AE$8:$AE$68,AS$4-$B91+1)</f>
        <v/>
      </c>
      <c r="AT91" s="75">
        <f>$C91*INDEX(Curves!$AE$8:$AE$68,AT$4-$B91+1)</f>
        <v/>
      </c>
      <c r="AU91" s="75">
        <f>$C91*INDEX(Curves!$AE$8:$AE$68,AU$4-$B91+1)</f>
        <v/>
      </c>
      <c r="AV91" s="75">
        <f>$C91*INDEX(Curves!$AE$8:$AE$68,AV$4-$B91+1)</f>
        <v/>
      </c>
      <c r="AW91" s="75">
        <f>$C91*INDEX(Curves!$AE$8:$AE$68,AW$4-$B91+1)</f>
        <v/>
      </c>
      <c r="AX91" s="75">
        <f>$C91*INDEX(Curves!$AE$8:$AE$68,AX$4-$B91+1)</f>
        <v/>
      </c>
      <c r="AY91" s="75">
        <f>$C91*INDEX(Curves!$AE$8:$AE$68,AY$4-$B91+1)</f>
        <v/>
      </c>
      <c r="AZ91" s="75">
        <f>$C91*INDEX(Curves!$AE$8:$AE$68,AZ$4-$B91+1)</f>
        <v/>
      </c>
      <c r="BA91" s="75">
        <f>$C91*INDEX(Curves!$AE$8:$AE$68,BA$4-$B91+1)</f>
        <v/>
      </c>
      <c r="BB91" s="75">
        <f>$C91*INDEX(Curves!$AE$8:$AE$68,BB$4-$B91+1)</f>
        <v/>
      </c>
      <c r="BC91" s="75">
        <f>$C91*INDEX(Curves!$AE$8:$AE$68,BC$4-$B91+1)</f>
        <v/>
      </c>
      <c r="BD91" s="75">
        <f>$C91*INDEX(Curves!$AE$8:$AE$68,BD$4-$B91+1)</f>
        <v/>
      </c>
      <c r="BE91" s="75">
        <f>$C91*INDEX(Curves!$AE$8:$AE$68,BE$4-$B91+1)</f>
        <v/>
      </c>
      <c r="BF91" s="75">
        <f>$C91*INDEX(Curves!$AE$8:$AE$68,BF$4-$B91+1)</f>
        <v/>
      </c>
      <c r="BG91" s="75">
        <f>$C91*INDEX(Curves!$AE$8:$AE$68,BG$4-$B91+1)</f>
        <v/>
      </c>
      <c r="BH91" s="75">
        <f>$C91*INDEX(Curves!$AE$8:$AE$68,BH$4-$B91+1)</f>
        <v/>
      </c>
      <c r="BI91" s="75">
        <f>$C91*INDEX(Curves!$AE$8:$AE$68,BI$4-$B91+1)</f>
        <v/>
      </c>
      <c r="BJ91" s="75">
        <f>$C91*INDEX(Curves!$AE$8:$AE$68,BJ$4-$B91+1)</f>
        <v/>
      </c>
      <c r="BK91" s="75">
        <f>$C91*INDEX(Curves!$AE$8:$AE$68,BK$4-$B91+1)</f>
        <v/>
      </c>
      <c r="BL91" s="75">
        <f>$C91*INDEX(Curves!$AE$8:$AE$68,BL$4-$B91+1)</f>
        <v/>
      </c>
    </row>
    <row r="92">
      <c r="A92" s="74" t="inlineStr">
        <is>
          <t>Cohort month 20</t>
        </is>
      </c>
      <c r="B92" s="74" t="n">
        <v>20</v>
      </c>
      <c r="C92" s="17">
        <f>INDEX(Ops!$E$59:$BL$59,1,$B92)</f>
        <v/>
      </c>
      <c r="Y92" s="75">
        <f>$C92*INDEX(Curves!$AE$8:$AE$68,Y$4-$B92+1)</f>
        <v/>
      </c>
      <c r="Z92" s="75">
        <f>$C92*INDEX(Curves!$AE$8:$AE$68,Z$4-$B92+1)</f>
        <v/>
      </c>
      <c r="AA92" s="75">
        <f>$C92*INDEX(Curves!$AE$8:$AE$68,AA$4-$B92+1)</f>
        <v/>
      </c>
      <c r="AB92" s="75">
        <f>$C92*INDEX(Curves!$AE$8:$AE$68,AB$4-$B92+1)</f>
        <v/>
      </c>
      <c r="AC92" s="75">
        <f>$C92*INDEX(Curves!$AE$8:$AE$68,AC$4-$B92+1)</f>
        <v/>
      </c>
      <c r="AD92" s="75">
        <f>$C92*INDEX(Curves!$AE$8:$AE$68,AD$4-$B92+1)</f>
        <v/>
      </c>
      <c r="AE92" s="75">
        <f>$C92*INDEX(Curves!$AE$8:$AE$68,AE$4-$B92+1)</f>
        <v/>
      </c>
      <c r="AF92" s="75">
        <f>$C92*INDEX(Curves!$AE$8:$AE$68,AF$4-$B92+1)</f>
        <v/>
      </c>
      <c r="AG92" s="75">
        <f>$C92*INDEX(Curves!$AE$8:$AE$68,AG$4-$B92+1)</f>
        <v/>
      </c>
      <c r="AH92" s="75">
        <f>$C92*INDEX(Curves!$AE$8:$AE$68,AH$4-$B92+1)</f>
        <v/>
      </c>
      <c r="AI92" s="75">
        <f>$C92*INDEX(Curves!$AE$8:$AE$68,AI$4-$B92+1)</f>
        <v/>
      </c>
      <c r="AJ92" s="75">
        <f>$C92*INDEX(Curves!$AE$8:$AE$68,AJ$4-$B92+1)</f>
        <v/>
      </c>
      <c r="AK92" s="75">
        <f>$C92*INDEX(Curves!$AE$8:$AE$68,AK$4-$B92+1)</f>
        <v/>
      </c>
      <c r="AL92" s="75">
        <f>$C92*INDEX(Curves!$AE$8:$AE$68,AL$4-$B92+1)</f>
        <v/>
      </c>
      <c r="AM92" s="75">
        <f>$C92*INDEX(Curves!$AE$8:$AE$68,AM$4-$B92+1)</f>
        <v/>
      </c>
      <c r="AN92" s="75">
        <f>$C92*INDEX(Curves!$AE$8:$AE$68,AN$4-$B92+1)</f>
        <v/>
      </c>
      <c r="AO92" s="75">
        <f>$C92*INDEX(Curves!$AE$8:$AE$68,AO$4-$B92+1)</f>
        <v/>
      </c>
      <c r="AP92" s="75">
        <f>$C92*INDEX(Curves!$AE$8:$AE$68,AP$4-$B92+1)</f>
        <v/>
      </c>
      <c r="AQ92" s="75">
        <f>$C92*INDEX(Curves!$AE$8:$AE$68,AQ$4-$B92+1)</f>
        <v/>
      </c>
      <c r="AR92" s="75">
        <f>$C92*INDEX(Curves!$AE$8:$AE$68,AR$4-$B92+1)</f>
        <v/>
      </c>
      <c r="AS92" s="75">
        <f>$C92*INDEX(Curves!$AE$8:$AE$68,AS$4-$B92+1)</f>
        <v/>
      </c>
      <c r="AT92" s="75">
        <f>$C92*INDEX(Curves!$AE$8:$AE$68,AT$4-$B92+1)</f>
        <v/>
      </c>
      <c r="AU92" s="75">
        <f>$C92*INDEX(Curves!$AE$8:$AE$68,AU$4-$B92+1)</f>
        <v/>
      </c>
      <c r="AV92" s="75">
        <f>$C92*INDEX(Curves!$AE$8:$AE$68,AV$4-$B92+1)</f>
        <v/>
      </c>
      <c r="AW92" s="75">
        <f>$C92*INDEX(Curves!$AE$8:$AE$68,AW$4-$B92+1)</f>
        <v/>
      </c>
      <c r="AX92" s="75">
        <f>$C92*INDEX(Curves!$AE$8:$AE$68,AX$4-$B92+1)</f>
        <v/>
      </c>
      <c r="AY92" s="75">
        <f>$C92*INDEX(Curves!$AE$8:$AE$68,AY$4-$B92+1)</f>
        <v/>
      </c>
      <c r="AZ92" s="75">
        <f>$C92*INDEX(Curves!$AE$8:$AE$68,AZ$4-$B92+1)</f>
        <v/>
      </c>
      <c r="BA92" s="75">
        <f>$C92*INDEX(Curves!$AE$8:$AE$68,BA$4-$B92+1)</f>
        <v/>
      </c>
      <c r="BB92" s="75">
        <f>$C92*INDEX(Curves!$AE$8:$AE$68,BB$4-$B92+1)</f>
        <v/>
      </c>
      <c r="BC92" s="75">
        <f>$C92*INDEX(Curves!$AE$8:$AE$68,BC$4-$B92+1)</f>
        <v/>
      </c>
      <c r="BD92" s="75">
        <f>$C92*INDEX(Curves!$AE$8:$AE$68,BD$4-$B92+1)</f>
        <v/>
      </c>
      <c r="BE92" s="75">
        <f>$C92*INDEX(Curves!$AE$8:$AE$68,BE$4-$B92+1)</f>
        <v/>
      </c>
      <c r="BF92" s="75">
        <f>$C92*INDEX(Curves!$AE$8:$AE$68,BF$4-$B92+1)</f>
        <v/>
      </c>
      <c r="BG92" s="75">
        <f>$C92*INDEX(Curves!$AE$8:$AE$68,BG$4-$B92+1)</f>
        <v/>
      </c>
      <c r="BH92" s="75">
        <f>$C92*INDEX(Curves!$AE$8:$AE$68,BH$4-$B92+1)</f>
        <v/>
      </c>
      <c r="BI92" s="75">
        <f>$C92*INDEX(Curves!$AE$8:$AE$68,BI$4-$B92+1)</f>
        <v/>
      </c>
      <c r="BJ92" s="75">
        <f>$C92*INDEX(Curves!$AE$8:$AE$68,BJ$4-$B92+1)</f>
        <v/>
      </c>
      <c r="BK92" s="75">
        <f>$C92*INDEX(Curves!$AE$8:$AE$68,BK$4-$B92+1)</f>
        <v/>
      </c>
      <c r="BL92" s="75">
        <f>$C92*INDEX(Curves!$AE$8:$AE$68,BL$4-$B92+1)</f>
        <v/>
      </c>
    </row>
    <row r="93">
      <c r="A93" s="74" t="inlineStr">
        <is>
          <t>Cohort month 21</t>
        </is>
      </c>
      <c r="B93" s="74" t="n">
        <v>21</v>
      </c>
      <c r="C93" s="17">
        <f>INDEX(Ops!$E$59:$BL$59,1,$B93)</f>
        <v/>
      </c>
      <c r="Z93" s="75">
        <f>$C93*INDEX(Curves!$AE$8:$AE$68,Z$4-$B93+1)</f>
        <v/>
      </c>
      <c r="AA93" s="75">
        <f>$C93*INDEX(Curves!$AE$8:$AE$68,AA$4-$B93+1)</f>
        <v/>
      </c>
      <c r="AB93" s="75">
        <f>$C93*INDEX(Curves!$AE$8:$AE$68,AB$4-$B93+1)</f>
        <v/>
      </c>
      <c r="AC93" s="75">
        <f>$C93*INDEX(Curves!$AE$8:$AE$68,AC$4-$B93+1)</f>
        <v/>
      </c>
      <c r="AD93" s="75">
        <f>$C93*INDEX(Curves!$AE$8:$AE$68,AD$4-$B93+1)</f>
        <v/>
      </c>
      <c r="AE93" s="75">
        <f>$C93*INDEX(Curves!$AE$8:$AE$68,AE$4-$B93+1)</f>
        <v/>
      </c>
      <c r="AF93" s="75">
        <f>$C93*INDEX(Curves!$AE$8:$AE$68,AF$4-$B93+1)</f>
        <v/>
      </c>
      <c r="AG93" s="75">
        <f>$C93*INDEX(Curves!$AE$8:$AE$68,AG$4-$B93+1)</f>
        <v/>
      </c>
      <c r="AH93" s="75">
        <f>$C93*INDEX(Curves!$AE$8:$AE$68,AH$4-$B93+1)</f>
        <v/>
      </c>
      <c r="AI93" s="75">
        <f>$C93*INDEX(Curves!$AE$8:$AE$68,AI$4-$B93+1)</f>
        <v/>
      </c>
      <c r="AJ93" s="75">
        <f>$C93*INDEX(Curves!$AE$8:$AE$68,AJ$4-$B93+1)</f>
        <v/>
      </c>
      <c r="AK93" s="75">
        <f>$C93*INDEX(Curves!$AE$8:$AE$68,AK$4-$B93+1)</f>
        <v/>
      </c>
      <c r="AL93" s="75">
        <f>$C93*INDEX(Curves!$AE$8:$AE$68,AL$4-$B93+1)</f>
        <v/>
      </c>
      <c r="AM93" s="75">
        <f>$C93*INDEX(Curves!$AE$8:$AE$68,AM$4-$B93+1)</f>
        <v/>
      </c>
      <c r="AN93" s="75">
        <f>$C93*INDEX(Curves!$AE$8:$AE$68,AN$4-$B93+1)</f>
        <v/>
      </c>
      <c r="AO93" s="75">
        <f>$C93*INDEX(Curves!$AE$8:$AE$68,AO$4-$B93+1)</f>
        <v/>
      </c>
      <c r="AP93" s="75">
        <f>$C93*INDEX(Curves!$AE$8:$AE$68,AP$4-$B93+1)</f>
        <v/>
      </c>
      <c r="AQ93" s="75">
        <f>$C93*INDEX(Curves!$AE$8:$AE$68,AQ$4-$B93+1)</f>
        <v/>
      </c>
      <c r="AR93" s="75">
        <f>$C93*INDEX(Curves!$AE$8:$AE$68,AR$4-$B93+1)</f>
        <v/>
      </c>
      <c r="AS93" s="75">
        <f>$C93*INDEX(Curves!$AE$8:$AE$68,AS$4-$B93+1)</f>
        <v/>
      </c>
      <c r="AT93" s="75">
        <f>$C93*INDEX(Curves!$AE$8:$AE$68,AT$4-$B93+1)</f>
        <v/>
      </c>
      <c r="AU93" s="75">
        <f>$C93*INDEX(Curves!$AE$8:$AE$68,AU$4-$B93+1)</f>
        <v/>
      </c>
      <c r="AV93" s="75">
        <f>$C93*INDEX(Curves!$AE$8:$AE$68,AV$4-$B93+1)</f>
        <v/>
      </c>
      <c r="AW93" s="75">
        <f>$C93*INDEX(Curves!$AE$8:$AE$68,AW$4-$B93+1)</f>
        <v/>
      </c>
      <c r="AX93" s="75">
        <f>$C93*INDEX(Curves!$AE$8:$AE$68,AX$4-$B93+1)</f>
        <v/>
      </c>
      <c r="AY93" s="75">
        <f>$C93*INDEX(Curves!$AE$8:$AE$68,AY$4-$B93+1)</f>
        <v/>
      </c>
      <c r="AZ93" s="75">
        <f>$C93*INDEX(Curves!$AE$8:$AE$68,AZ$4-$B93+1)</f>
        <v/>
      </c>
      <c r="BA93" s="75">
        <f>$C93*INDEX(Curves!$AE$8:$AE$68,BA$4-$B93+1)</f>
        <v/>
      </c>
      <c r="BB93" s="75">
        <f>$C93*INDEX(Curves!$AE$8:$AE$68,BB$4-$B93+1)</f>
        <v/>
      </c>
      <c r="BC93" s="75">
        <f>$C93*INDEX(Curves!$AE$8:$AE$68,BC$4-$B93+1)</f>
        <v/>
      </c>
      <c r="BD93" s="75">
        <f>$C93*INDEX(Curves!$AE$8:$AE$68,BD$4-$B93+1)</f>
        <v/>
      </c>
      <c r="BE93" s="75">
        <f>$C93*INDEX(Curves!$AE$8:$AE$68,BE$4-$B93+1)</f>
        <v/>
      </c>
      <c r="BF93" s="75">
        <f>$C93*INDEX(Curves!$AE$8:$AE$68,BF$4-$B93+1)</f>
        <v/>
      </c>
      <c r="BG93" s="75">
        <f>$C93*INDEX(Curves!$AE$8:$AE$68,BG$4-$B93+1)</f>
        <v/>
      </c>
      <c r="BH93" s="75">
        <f>$C93*INDEX(Curves!$AE$8:$AE$68,BH$4-$B93+1)</f>
        <v/>
      </c>
      <c r="BI93" s="75">
        <f>$C93*INDEX(Curves!$AE$8:$AE$68,BI$4-$B93+1)</f>
        <v/>
      </c>
      <c r="BJ93" s="75">
        <f>$C93*INDEX(Curves!$AE$8:$AE$68,BJ$4-$B93+1)</f>
        <v/>
      </c>
      <c r="BK93" s="75">
        <f>$C93*INDEX(Curves!$AE$8:$AE$68,BK$4-$B93+1)</f>
        <v/>
      </c>
      <c r="BL93" s="75">
        <f>$C93*INDEX(Curves!$AE$8:$AE$68,BL$4-$B93+1)</f>
        <v/>
      </c>
    </row>
    <row r="94">
      <c r="A94" s="74" t="inlineStr">
        <is>
          <t>Cohort month 22</t>
        </is>
      </c>
      <c r="B94" s="74" t="n">
        <v>22</v>
      </c>
      <c r="C94" s="17">
        <f>INDEX(Ops!$E$59:$BL$59,1,$B94)</f>
        <v/>
      </c>
      <c r="AA94" s="75">
        <f>$C94*INDEX(Curves!$AE$8:$AE$68,AA$4-$B94+1)</f>
        <v/>
      </c>
      <c r="AB94" s="75">
        <f>$C94*INDEX(Curves!$AE$8:$AE$68,AB$4-$B94+1)</f>
        <v/>
      </c>
      <c r="AC94" s="75">
        <f>$C94*INDEX(Curves!$AE$8:$AE$68,AC$4-$B94+1)</f>
        <v/>
      </c>
      <c r="AD94" s="75">
        <f>$C94*INDEX(Curves!$AE$8:$AE$68,AD$4-$B94+1)</f>
        <v/>
      </c>
      <c r="AE94" s="75">
        <f>$C94*INDEX(Curves!$AE$8:$AE$68,AE$4-$B94+1)</f>
        <v/>
      </c>
      <c r="AF94" s="75">
        <f>$C94*INDEX(Curves!$AE$8:$AE$68,AF$4-$B94+1)</f>
        <v/>
      </c>
      <c r="AG94" s="75">
        <f>$C94*INDEX(Curves!$AE$8:$AE$68,AG$4-$B94+1)</f>
        <v/>
      </c>
      <c r="AH94" s="75">
        <f>$C94*INDEX(Curves!$AE$8:$AE$68,AH$4-$B94+1)</f>
        <v/>
      </c>
      <c r="AI94" s="75">
        <f>$C94*INDEX(Curves!$AE$8:$AE$68,AI$4-$B94+1)</f>
        <v/>
      </c>
      <c r="AJ94" s="75">
        <f>$C94*INDEX(Curves!$AE$8:$AE$68,AJ$4-$B94+1)</f>
        <v/>
      </c>
      <c r="AK94" s="75">
        <f>$C94*INDEX(Curves!$AE$8:$AE$68,AK$4-$B94+1)</f>
        <v/>
      </c>
      <c r="AL94" s="75">
        <f>$C94*INDEX(Curves!$AE$8:$AE$68,AL$4-$B94+1)</f>
        <v/>
      </c>
      <c r="AM94" s="75">
        <f>$C94*INDEX(Curves!$AE$8:$AE$68,AM$4-$B94+1)</f>
        <v/>
      </c>
      <c r="AN94" s="75">
        <f>$C94*INDEX(Curves!$AE$8:$AE$68,AN$4-$B94+1)</f>
        <v/>
      </c>
      <c r="AO94" s="75">
        <f>$C94*INDEX(Curves!$AE$8:$AE$68,AO$4-$B94+1)</f>
        <v/>
      </c>
      <c r="AP94" s="75">
        <f>$C94*INDEX(Curves!$AE$8:$AE$68,AP$4-$B94+1)</f>
        <v/>
      </c>
      <c r="AQ94" s="75">
        <f>$C94*INDEX(Curves!$AE$8:$AE$68,AQ$4-$B94+1)</f>
        <v/>
      </c>
      <c r="AR94" s="75">
        <f>$C94*INDEX(Curves!$AE$8:$AE$68,AR$4-$B94+1)</f>
        <v/>
      </c>
      <c r="AS94" s="75">
        <f>$C94*INDEX(Curves!$AE$8:$AE$68,AS$4-$B94+1)</f>
        <v/>
      </c>
      <c r="AT94" s="75">
        <f>$C94*INDEX(Curves!$AE$8:$AE$68,AT$4-$B94+1)</f>
        <v/>
      </c>
      <c r="AU94" s="75">
        <f>$C94*INDEX(Curves!$AE$8:$AE$68,AU$4-$B94+1)</f>
        <v/>
      </c>
      <c r="AV94" s="75">
        <f>$C94*INDEX(Curves!$AE$8:$AE$68,AV$4-$B94+1)</f>
        <v/>
      </c>
      <c r="AW94" s="75">
        <f>$C94*INDEX(Curves!$AE$8:$AE$68,AW$4-$B94+1)</f>
        <v/>
      </c>
      <c r="AX94" s="75">
        <f>$C94*INDEX(Curves!$AE$8:$AE$68,AX$4-$B94+1)</f>
        <v/>
      </c>
      <c r="AY94" s="75">
        <f>$C94*INDEX(Curves!$AE$8:$AE$68,AY$4-$B94+1)</f>
        <v/>
      </c>
      <c r="AZ94" s="75">
        <f>$C94*INDEX(Curves!$AE$8:$AE$68,AZ$4-$B94+1)</f>
        <v/>
      </c>
      <c r="BA94" s="75">
        <f>$C94*INDEX(Curves!$AE$8:$AE$68,BA$4-$B94+1)</f>
        <v/>
      </c>
      <c r="BB94" s="75">
        <f>$C94*INDEX(Curves!$AE$8:$AE$68,BB$4-$B94+1)</f>
        <v/>
      </c>
      <c r="BC94" s="75">
        <f>$C94*INDEX(Curves!$AE$8:$AE$68,BC$4-$B94+1)</f>
        <v/>
      </c>
      <c r="BD94" s="75">
        <f>$C94*INDEX(Curves!$AE$8:$AE$68,BD$4-$B94+1)</f>
        <v/>
      </c>
      <c r="BE94" s="75">
        <f>$C94*INDEX(Curves!$AE$8:$AE$68,BE$4-$B94+1)</f>
        <v/>
      </c>
      <c r="BF94" s="75">
        <f>$C94*INDEX(Curves!$AE$8:$AE$68,BF$4-$B94+1)</f>
        <v/>
      </c>
      <c r="BG94" s="75">
        <f>$C94*INDEX(Curves!$AE$8:$AE$68,BG$4-$B94+1)</f>
        <v/>
      </c>
      <c r="BH94" s="75">
        <f>$C94*INDEX(Curves!$AE$8:$AE$68,BH$4-$B94+1)</f>
        <v/>
      </c>
      <c r="BI94" s="75">
        <f>$C94*INDEX(Curves!$AE$8:$AE$68,BI$4-$B94+1)</f>
        <v/>
      </c>
      <c r="BJ94" s="75">
        <f>$C94*INDEX(Curves!$AE$8:$AE$68,BJ$4-$B94+1)</f>
        <v/>
      </c>
      <c r="BK94" s="75">
        <f>$C94*INDEX(Curves!$AE$8:$AE$68,BK$4-$B94+1)</f>
        <v/>
      </c>
      <c r="BL94" s="75">
        <f>$C94*INDEX(Curves!$AE$8:$AE$68,BL$4-$B94+1)</f>
        <v/>
      </c>
    </row>
    <row r="95">
      <c r="A95" s="74" t="inlineStr">
        <is>
          <t>Cohort month 23</t>
        </is>
      </c>
      <c r="B95" s="74" t="n">
        <v>23</v>
      </c>
      <c r="C95" s="17">
        <f>INDEX(Ops!$E$59:$BL$59,1,$B95)</f>
        <v/>
      </c>
      <c r="AB95" s="75">
        <f>$C95*INDEX(Curves!$AE$8:$AE$68,AB$4-$B95+1)</f>
        <v/>
      </c>
      <c r="AC95" s="75">
        <f>$C95*INDEX(Curves!$AE$8:$AE$68,AC$4-$B95+1)</f>
        <v/>
      </c>
      <c r="AD95" s="75">
        <f>$C95*INDEX(Curves!$AE$8:$AE$68,AD$4-$B95+1)</f>
        <v/>
      </c>
      <c r="AE95" s="75">
        <f>$C95*INDEX(Curves!$AE$8:$AE$68,AE$4-$B95+1)</f>
        <v/>
      </c>
      <c r="AF95" s="75">
        <f>$C95*INDEX(Curves!$AE$8:$AE$68,AF$4-$B95+1)</f>
        <v/>
      </c>
      <c r="AG95" s="75">
        <f>$C95*INDEX(Curves!$AE$8:$AE$68,AG$4-$B95+1)</f>
        <v/>
      </c>
      <c r="AH95" s="75">
        <f>$C95*INDEX(Curves!$AE$8:$AE$68,AH$4-$B95+1)</f>
        <v/>
      </c>
      <c r="AI95" s="75">
        <f>$C95*INDEX(Curves!$AE$8:$AE$68,AI$4-$B95+1)</f>
        <v/>
      </c>
      <c r="AJ95" s="75">
        <f>$C95*INDEX(Curves!$AE$8:$AE$68,AJ$4-$B95+1)</f>
        <v/>
      </c>
      <c r="AK95" s="75">
        <f>$C95*INDEX(Curves!$AE$8:$AE$68,AK$4-$B95+1)</f>
        <v/>
      </c>
      <c r="AL95" s="75">
        <f>$C95*INDEX(Curves!$AE$8:$AE$68,AL$4-$B95+1)</f>
        <v/>
      </c>
      <c r="AM95" s="75">
        <f>$C95*INDEX(Curves!$AE$8:$AE$68,AM$4-$B95+1)</f>
        <v/>
      </c>
      <c r="AN95" s="75">
        <f>$C95*INDEX(Curves!$AE$8:$AE$68,AN$4-$B95+1)</f>
        <v/>
      </c>
      <c r="AO95" s="75">
        <f>$C95*INDEX(Curves!$AE$8:$AE$68,AO$4-$B95+1)</f>
        <v/>
      </c>
      <c r="AP95" s="75">
        <f>$C95*INDEX(Curves!$AE$8:$AE$68,AP$4-$B95+1)</f>
        <v/>
      </c>
      <c r="AQ95" s="75">
        <f>$C95*INDEX(Curves!$AE$8:$AE$68,AQ$4-$B95+1)</f>
        <v/>
      </c>
      <c r="AR95" s="75">
        <f>$C95*INDEX(Curves!$AE$8:$AE$68,AR$4-$B95+1)</f>
        <v/>
      </c>
      <c r="AS95" s="75">
        <f>$C95*INDEX(Curves!$AE$8:$AE$68,AS$4-$B95+1)</f>
        <v/>
      </c>
      <c r="AT95" s="75">
        <f>$C95*INDEX(Curves!$AE$8:$AE$68,AT$4-$B95+1)</f>
        <v/>
      </c>
      <c r="AU95" s="75">
        <f>$C95*INDEX(Curves!$AE$8:$AE$68,AU$4-$B95+1)</f>
        <v/>
      </c>
      <c r="AV95" s="75">
        <f>$C95*INDEX(Curves!$AE$8:$AE$68,AV$4-$B95+1)</f>
        <v/>
      </c>
      <c r="AW95" s="75">
        <f>$C95*INDEX(Curves!$AE$8:$AE$68,AW$4-$B95+1)</f>
        <v/>
      </c>
      <c r="AX95" s="75">
        <f>$C95*INDEX(Curves!$AE$8:$AE$68,AX$4-$B95+1)</f>
        <v/>
      </c>
      <c r="AY95" s="75">
        <f>$C95*INDEX(Curves!$AE$8:$AE$68,AY$4-$B95+1)</f>
        <v/>
      </c>
      <c r="AZ95" s="75">
        <f>$C95*INDEX(Curves!$AE$8:$AE$68,AZ$4-$B95+1)</f>
        <v/>
      </c>
      <c r="BA95" s="75">
        <f>$C95*INDEX(Curves!$AE$8:$AE$68,BA$4-$B95+1)</f>
        <v/>
      </c>
      <c r="BB95" s="75">
        <f>$C95*INDEX(Curves!$AE$8:$AE$68,BB$4-$B95+1)</f>
        <v/>
      </c>
      <c r="BC95" s="75">
        <f>$C95*INDEX(Curves!$AE$8:$AE$68,BC$4-$B95+1)</f>
        <v/>
      </c>
      <c r="BD95" s="75">
        <f>$C95*INDEX(Curves!$AE$8:$AE$68,BD$4-$B95+1)</f>
        <v/>
      </c>
      <c r="BE95" s="75">
        <f>$C95*INDEX(Curves!$AE$8:$AE$68,BE$4-$B95+1)</f>
        <v/>
      </c>
      <c r="BF95" s="75">
        <f>$C95*INDEX(Curves!$AE$8:$AE$68,BF$4-$B95+1)</f>
        <v/>
      </c>
      <c r="BG95" s="75">
        <f>$C95*INDEX(Curves!$AE$8:$AE$68,BG$4-$B95+1)</f>
        <v/>
      </c>
      <c r="BH95" s="75">
        <f>$C95*INDEX(Curves!$AE$8:$AE$68,BH$4-$B95+1)</f>
        <v/>
      </c>
      <c r="BI95" s="75">
        <f>$C95*INDEX(Curves!$AE$8:$AE$68,BI$4-$B95+1)</f>
        <v/>
      </c>
      <c r="BJ95" s="75">
        <f>$C95*INDEX(Curves!$AE$8:$AE$68,BJ$4-$B95+1)</f>
        <v/>
      </c>
      <c r="BK95" s="75">
        <f>$C95*INDEX(Curves!$AE$8:$AE$68,BK$4-$B95+1)</f>
        <v/>
      </c>
      <c r="BL95" s="75">
        <f>$C95*INDEX(Curves!$AE$8:$AE$68,BL$4-$B95+1)</f>
        <v/>
      </c>
    </row>
    <row r="96">
      <c r="A96" s="74" t="inlineStr">
        <is>
          <t>Cohort month 24</t>
        </is>
      </c>
      <c r="B96" s="74" t="n">
        <v>24</v>
      </c>
      <c r="C96" s="17">
        <f>INDEX(Ops!$E$59:$BL$59,1,$B96)</f>
        <v/>
      </c>
      <c r="AC96" s="75">
        <f>$C96*INDEX(Curves!$AE$8:$AE$68,AC$4-$B96+1)</f>
        <v/>
      </c>
      <c r="AD96" s="75">
        <f>$C96*INDEX(Curves!$AE$8:$AE$68,AD$4-$B96+1)</f>
        <v/>
      </c>
      <c r="AE96" s="75">
        <f>$C96*INDEX(Curves!$AE$8:$AE$68,AE$4-$B96+1)</f>
        <v/>
      </c>
      <c r="AF96" s="75">
        <f>$C96*INDEX(Curves!$AE$8:$AE$68,AF$4-$B96+1)</f>
        <v/>
      </c>
      <c r="AG96" s="75">
        <f>$C96*INDEX(Curves!$AE$8:$AE$68,AG$4-$B96+1)</f>
        <v/>
      </c>
      <c r="AH96" s="75">
        <f>$C96*INDEX(Curves!$AE$8:$AE$68,AH$4-$B96+1)</f>
        <v/>
      </c>
      <c r="AI96" s="75">
        <f>$C96*INDEX(Curves!$AE$8:$AE$68,AI$4-$B96+1)</f>
        <v/>
      </c>
      <c r="AJ96" s="75">
        <f>$C96*INDEX(Curves!$AE$8:$AE$68,AJ$4-$B96+1)</f>
        <v/>
      </c>
      <c r="AK96" s="75">
        <f>$C96*INDEX(Curves!$AE$8:$AE$68,AK$4-$B96+1)</f>
        <v/>
      </c>
      <c r="AL96" s="75">
        <f>$C96*INDEX(Curves!$AE$8:$AE$68,AL$4-$B96+1)</f>
        <v/>
      </c>
      <c r="AM96" s="75">
        <f>$C96*INDEX(Curves!$AE$8:$AE$68,AM$4-$B96+1)</f>
        <v/>
      </c>
      <c r="AN96" s="75">
        <f>$C96*INDEX(Curves!$AE$8:$AE$68,AN$4-$B96+1)</f>
        <v/>
      </c>
      <c r="AO96" s="75">
        <f>$C96*INDEX(Curves!$AE$8:$AE$68,AO$4-$B96+1)</f>
        <v/>
      </c>
      <c r="AP96" s="75">
        <f>$C96*INDEX(Curves!$AE$8:$AE$68,AP$4-$B96+1)</f>
        <v/>
      </c>
      <c r="AQ96" s="75">
        <f>$C96*INDEX(Curves!$AE$8:$AE$68,AQ$4-$B96+1)</f>
        <v/>
      </c>
      <c r="AR96" s="75">
        <f>$C96*INDEX(Curves!$AE$8:$AE$68,AR$4-$B96+1)</f>
        <v/>
      </c>
      <c r="AS96" s="75">
        <f>$C96*INDEX(Curves!$AE$8:$AE$68,AS$4-$B96+1)</f>
        <v/>
      </c>
      <c r="AT96" s="75">
        <f>$C96*INDEX(Curves!$AE$8:$AE$68,AT$4-$B96+1)</f>
        <v/>
      </c>
      <c r="AU96" s="75">
        <f>$C96*INDEX(Curves!$AE$8:$AE$68,AU$4-$B96+1)</f>
        <v/>
      </c>
      <c r="AV96" s="75">
        <f>$C96*INDEX(Curves!$AE$8:$AE$68,AV$4-$B96+1)</f>
        <v/>
      </c>
      <c r="AW96" s="75">
        <f>$C96*INDEX(Curves!$AE$8:$AE$68,AW$4-$B96+1)</f>
        <v/>
      </c>
      <c r="AX96" s="75">
        <f>$C96*INDEX(Curves!$AE$8:$AE$68,AX$4-$B96+1)</f>
        <v/>
      </c>
      <c r="AY96" s="75">
        <f>$C96*INDEX(Curves!$AE$8:$AE$68,AY$4-$B96+1)</f>
        <v/>
      </c>
      <c r="AZ96" s="75">
        <f>$C96*INDEX(Curves!$AE$8:$AE$68,AZ$4-$B96+1)</f>
        <v/>
      </c>
      <c r="BA96" s="75">
        <f>$C96*INDEX(Curves!$AE$8:$AE$68,BA$4-$B96+1)</f>
        <v/>
      </c>
      <c r="BB96" s="75">
        <f>$C96*INDEX(Curves!$AE$8:$AE$68,BB$4-$B96+1)</f>
        <v/>
      </c>
      <c r="BC96" s="75">
        <f>$C96*INDEX(Curves!$AE$8:$AE$68,BC$4-$B96+1)</f>
        <v/>
      </c>
      <c r="BD96" s="75">
        <f>$C96*INDEX(Curves!$AE$8:$AE$68,BD$4-$B96+1)</f>
        <v/>
      </c>
      <c r="BE96" s="75">
        <f>$C96*INDEX(Curves!$AE$8:$AE$68,BE$4-$B96+1)</f>
        <v/>
      </c>
      <c r="BF96" s="75">
        <f>$C96*INDEX(Curves!$AE$8:$AE$68,BF$4-$B96+1)</f>
        <v/>
      </c>
      <c r="BG96" s="75">
        <f>$C96*INDEX(Curves!$AE$8:$AE$68,BG$4-$B96+1)</f>
        <v/>
      </c>
      <c r="BH96" s="75">
        <f>$C96*INDEX(Curves!$AE$8:$AE$68,BH$4-$B96+1)</f>
        <v/>
      </c>
      <c r="BI96" s="75">
        <f>$C96*INDEX(Curves!$AE$8:$AE$68,BI$4-$B96+1)</f>
        <v/>
      </c>
      <c r="BJ96" s="75">
        <f>$C96*INDEX(Curves!$AE$8:$AE$68,BJ$4-$B96+1)</f>
        <v/>
      </c>
      <c r="BK96" s="75">
        <f>$C96*INDEX(Curves!$AE$8:$AE$68,BK$4-$B96+1)</f>
        <v/>
      </c>
      <c r="BL96" s="75">
        <f>$C96*INDEX(Curves!$AE$8:$AE$68,BL$4-$B96+1)</f>
        <v/>
      </c>
    </row>
    <row r="97">
      <c r="A97" s="74" t="inlineStr">
        <is>
          <t>Cohort month 25</t>
        </is>
      </c>
      <c r="B97" s="74" t="n">
        <v>25</v>
      </c>
      <c r="C97" s="17">
        <f>INDEX(Ops!$E$59:$BL$59,1,$B97)</f>
        <v/>
      </c>
      <c r="AD97" s="75">
        <f>$C97*INDEX(Curves!$AE$8:$AE$68,AD$4-$B97+1)</f>
        <v/>
      </c>
      <c r="AE97" s="75">
        <f>$C97*INDEX(Curves!$AE$8:$AE$68,AE$4-$B97+1)</f>
        <v/>
      </c>
      <c r="AF97" s="75">
        <f>$C97*INDEX(Curves!$AE$8:$AE$68,AF$4-$B97+1)</f>
        <v/>
      </c>
      <c r="AG97" s="75">
        <f>$C97*INDEX(Curves!$AE$8:$AE$68,AG$4-$B97+1)</f>
        <v/>
      </c>
      <c r="AH97" s="75">
        <f>$C97*INDEX(Curves!$AE$8:$AE$68,AH$4-$B97+1)</f>
        <v/>
      </c>
      <c r="AI97" s="75">
        <f>$C97*INDEX(Curves!$AE$8:$AE$68,AI$4-$B97+1)</f>
        <v/>
      </c>
      <c r="AJ97" s="75">
        <f>$C97*INDEX(Curves!$AE$8:$AE$68,AJ$4-$B97+1)</f>
        <v/>
      </c>
      <c r="AK97" s="75">
        <f>$C97*INDEX(Curves!$AE$8:$AE$68,AK$4-$B97+1)</f>
        <v/>
      </c>
      <c r="AL97" s="75">
        <f>$C97*INDEX(Curves!$AE$8:$AE$68,AL$4-$B97+1)</f>
        <v/>
      </c>
      <c r="AM97" s="75">
        <f>$C97*INDEX(Curves!$AE$8:$AE$68,AM$4-$B97+1)</f>
        <v/>
      </c>
      <c r="AN97" s="75">
        <f>$C97*INDEX(Curves!$AE$8:$AE$68,AN$4-$B97+1)</f>
        <v/>
      </c>
      <c r="AO97" s="75">
        <f>$C97*INDEX(Curves!$AE$8:$AE$68,AO$4-$B97+1)</f>
        <v/>
      </c>
      <c r="AP97" s="75">
        <f>$C97*INDEX(Curves!$AE$8:$AE$68,AP$4-$B97+1)</f>
        <v/>
      </c>
      <c r="AQ97" s="75">
        <f>$C97*INDEX(Curves!$AE$8:$AE$68,AQ$4-$B97+1)</f>
        <v/>
      </c>
      <c r="AR97" s="75">
        <f>$C97*INDEX(Curves!$AE$8:$AE$68,AR$4-$B97+1)</f>
        <v/>
      </c>
      <c r="AS97" s="75">
        <f>$C97*INDEX(Curves!$AE$8:$AE$68,AS$4-$B97+1)</f>
        <v/>
      </c>
      <c r="AT97" s="75">
        <f>$C97*INDEX(Curves!$AE$8:$AE$68,AT$4-$B97+1)</f>
        <v/>
      </c>
      <c r="AU97" s="75">
        <f>$C97*INDEX(Curves!$AE$8:$AE$68,AU$4-$B97+1)</f>
        <v/>
      </c>
      <c r="AV97" s="75">
        <f>$C97*INDEX(Curves!$AE$8:$AE$68,AV$4-$B97+1)</f>
        <v/>
      </c>
      <c r="AW97" s="75">
        <f>$C97*INDEX(Curves!$AE$8:$AE$68,AW$4-$B97+1)</f>
        <v/>
      </c>
      <c r="AX97" s="75">
        <f>$C97*INDEX(Curves!$AE$8:$AE$68,AX$4-$B97+1)</f>
        <v/>
      </c>
      <c r="AY97" s="75">
        <f>$C97*INDEX(Curves!$AE$8:$AE$68,AY$4-$B97+1)</f>
        <v/>
      </c>
      <c r="AZ97" s="75">
        <f>$C97*INDEX(Curves!$AE$8:$AE$68,AZ$4-$B97+1)</f>
        <v/>
      </c>
      <c r="BA97" s="75">
        <f>$C97*INDEX(Curves!$AE$8:$AE$68,BA$4-$B97+1)</f>
        <v/>
      </c>
      <c r="BB97" s="75">
        <f>$C97*INDEX(Curves!$AE$8:$AE$68,BB$4-$B97+1)</f>
        <v/>
      </c>
      <c r="BC97" s="75">
        <f>$C97*INDEX(Curves!$AE$8:$AE$68,BC$4-$B97+1)</f>
        <v/>
      </c>
      <c r="BD97" s="75">
        <f>$C97*INDEX(Curves!$AE$8:$AE$68,BD$4-$B97+1)</f>
        <v/>
      </c>
      <c r="BE97" s="75">
        <f>$C97*INDEX(Curves!$AE$8:$AE$68,BE$4-$B97+1)</f>
        <v/>
      </c>
      <c r="BF97" s="75">
        <f>$C97*INDEX(Curves!$AE$8:$AE$68,BF$4-$B97+1)</f>
        <v/>
      </c>
      <c r="BG97" s="75">
        <f>$C97*INDEX(Curves!$AE$8:$AE$68,BG$4-$B97+1)</f>
        <v/>
      </c>
      <c r="BH97" s="75">
        <f>$C97*INDEX(Curves!$AE$8:$AE$68,BH$4-$B97+1)</f>
        <v/>
      </c>
      <c r="BI97" s="75">
        <f>$C97*INDEX(Curves!$AE$8:$AE$68,BI$4-$B97+1)</f>
        <v/>
      </c>
      <c r="BJ97" s="75">
        <f>$C97*INDEX(Curves!$AE$8:$AE$68,BJ$4-$B97+1)</f>
        <v/>
      </c>
      <c r="BK97" s="75">
        <f>$C97*INDEX(Curves!$AE$8:$AE$68,BK$4-$B97+1)</f>
        <v/>
      </c>
      <c r="BL97" s="75">
        <f>$C97*INDEX(Curves!$AE$8:$AE$68,BL$4-$B97+1)</f>
        <v/>
      </c>
    </row>
    <row r="98">
      <c r="A98" s="74" t="inlineStr">
        <is>
          <t>Cohort month 26</t>
        </is>
      </c>
      <c r="B98" s="74" t="n">
        <v>26</v>
      </c>
      <c r="C98" s="17">
        <f>INDEX(Ops!$E$59:$BL$59,1,$B98)</f>
        <v/>
      </c>
      <c r="AE98" s="75">
        <f>$C98*INDEX(Curves!$AE$8:$AE$68,AE$4-$B98+1)</f>
        <v/>
      </c>
      <c r="AF98" s="75">
        <f>$C98*INDEX(Curves!$AE$8:$AE$68,AF$4-$B98+1)</f>
        <v/>
      </c>
      <c r="AG98" s="75">
        <f>$C98*INDEX(Curves!$AE$8:$AE$68,AG$4-$B98+1)</f>
        <v/>
      </c>
      <c r="AH98" s="75">
        <f>$C98*INDEX(Curves!$AE$8:$AE$68,AH$4-$B98+1)</f>
        <v/>
      </c>
      <c r="AI98" s="75">
        <f>$C98*INDEX(Curves!$AE$8:$AE$68,AI$4-$B98+1)</f>
        <v/>
      </c>
      <c r="AJ98" s="75">
        <f>$C98*INDEX(Curves!$AE$8:$AE$68,AJ$4-$B98+1)</f>
        <v/>
      </c>
      <c r="AK98" s="75">
        <f>$C98*INDEX(Curves!$AE$8:$AE$68,AK$4-$B98+1)</f>
        <v/>
      </c>
      <c r="AL98" s="75">
        <f>$C98*INDEX(Curves!$AE$8:$AE$68,AL$4-$B98+1)</f>
        <v/>
      </c>
      <c r="AM98" s="75">
        <f>$C98*INDEX(Curves!$AE$8:$AE$68,AM$4-$B98+1)</f>
        <v/>
      </c>
      <c r="AN98" s="75">
        <f>$C98*INDEX(Curves!$AE$8:$AE$68,AN$4-$B98+1)</f>
        <v/>
      </c>
      <c r="AO98" s="75">
        <f>$C98*INDEX(Curves!$AE$8:$AE$68,AO$4-$B98+1)</f>
        <v/>
      </c>
      <c r="AP98" s="75">
        <f>$C98*INDEX(Curves!$AE$8:$AE$68,AP$4-$B98+1)</f>
        <v/>
      </c>
      <c r="AQ98" s="75">
        <f>$C98*INDEX(Curves!$AE$8:$AE$68,AQ$4-$B98+1)</f>
        <v/>
      </c>
      <c r="AR98" s="75">
        <f>$C98*INDEX(Curves!$AE$8:$AE$68,AR$4-$B98+1)</f>
        <v/>
      </c>
      <c r="AS98" s="75">
        <f>$C98*INDEX(Curves!$AE$8:$AE$68,AS$4-$B98+1)</f>
        <v/>
      </c>
      <c r="AT98" s="75">
        <f>$C98*INDEX(Curves!$AE$8:$AE$68,AT$4-$B98+1)</f>
        <v/>
      </c>
      <c r="AU98" s="75">
        <f>$C98*INDEX(Curves!$AE$8:$AE$68,AU$4-$B98+1)</f>
        <v/>
      </c>
      <c r="AV98" s="75">
        <f>$C98*INDEX(Curves!$AE$8:$AE$68,AV$4-$B98+1)</f>
        <v/>
      </c>
      <c r="AW98" s="75">
        <f>$C98*INDEX(Curves!$AE$8:$AE$68,AW$4-$B98+1)</f>
        <v/>
      </c>
      <c r="AX98" s="75">
        <f>$C98*INDEX(Curves!$AE$8:$AE$68,AX$4-$B98+1)</f>
        <v/>
      </c>
      <c r="AY98" s="75">
        <f>$C98*INDEX(Curves!$AE$8:$AE$68,AY$4-$B98+1)</f>
        <v/>
      </c>
      <c r="AZ98" s="75">
        <f>$C98*INDEX(Curves!$AE$8:$AE$68,AZ$4-$B98+1)</f>
        <v/>
      </c>
      <c r="BA98" s="75">
        <f>$C98*INDEX(Curves!$AE$8:$AE$68,BA$4-$B98+1)</f>
        <v/>
      </c>
      <c r="BB98" s="75">
        <f>$C98*INDEX(Curves!$AE$8:$AE$68,BB$4-$B98+1)</f>
        <v/>
      </c>
      <c r="BC98" s="75">
        <f>$C98*INDEX(Curves!$AE$8:$AE$68,BC$4-$B98+1)</f>
        <v/>
      </c>
      <c r="BD98" s="75">
        <f>$C98*INDEX(Curves!$AE$8:$AE$68,BD$4-$B98+1)</f>
        <v/>
      </c>
      <c r="BE98" s="75">
        <f>$C98*INDEX(Curves!$AE$8:$AE$68,BE$4-$B98+1)</f>
        <v/>
      </c>
      <c r="BF98" s="75">
        <f>$C98*INDEX(Curves!$AE$8:$AE$68,BF$4-$B98+1)</f>
        <v/>
      </c>
      <c r="BG98" s="75">
        <f>$C98*INDEX(Curves!$AE$8:$AE$68,BG$4-$B98+1)</f>
        <v/>
      </c>
      <c r="BH98" s="75">
        <f>$C98*INDEX(Curves!$AE$8:$AE$68,BH$4-$B98+1)</f>
        <v/>
      </c>
      <c r="BI98" s="75">
        <f>$C98*INDEX(Curves!$AE$8:$AE$68,BI$4-$B98+1)</f>
        <v/>
      </c>
      <c r="BJ98" s="75">
        <f>$C98*INDEX(Curves!$AE$8:$AE$68,BJ$4-$B98+1)</f>
        <v/>
      </c>
      <c r="BK98" s="75">
        <f>$C98*INDEX(Curves!$AE$8:$AE$68,BK$4-$B98+1)</f>
        <v/>
      </c>
      <c r="BL98" s="75">
        <f>$C98*INDEX(Curves!$AE$8:$AE$68,BL$4-$B98+1)</f>
        <v/>
      </c>
    </row>
    <row r="99">
      <c r="A99" s="74" t="inlineStr">
        <is>
          <t>Cohort month 27</t>
        </is>
      </c>
      <c r="B99" s="74" t="n">
        <v>27</v>
      </c>
      <c r="C99" s="17">
        <f>INDEX(Ops!$E$59:$BL$59,1,$B99)</f>
        <v/>
      </c>
      <c r="AF99" s="75">
        <f>$C99*INDEX(Curves!$AE$8:$AE$68,AF$4-$B99+1)</f>
        <v/>
      </c>
      <c r="AG99" s="75">
        <f>$C99*INDEX(Curves!$AE$8:$AE$68,AG$4-$B99+1)</f>
        <v/>
      </c>
      <c r="AH99" s="75">
        <f>$C99*INDEX(Curves!$AE$8:$AE$68,AH$4-$B99+1)</f>
        <v/>
      </c>
      <c r="AI99" s="75">
        <f>$C99*INDEX(Curves!$AE$8:$AE$68,AI$4-$B99+1)</f>
        <v/>
      </c>
      <c r="AJ99" s="75">
        <f>$C99*INDEX(Curves!$AE$8:$AE$68,AJ$4-$B99+1)</f>
        <v/>
      </c>
      <c r="AK99" s="75">
        <f>$C99*INDEX(Curves!$AE$8:$AE$68,AK$4-$B99+1)</f>
        <v/>
      </c>
      <c r="AL99" s="75">
        <f>$C99*INDEX(Curves!$AE$8:$AE$68,AL$4-$B99+1)</f>
        <v/>
      </c>
      <c r="AM99" s="75">
        <f>$C99*INDEX(Curves!$AE$8:$AE$68,AM$4-$B99+1)</f>
        <v/>
      </c>
      <c r="AN99" s="75">
        <f>$C99*INDEX(Curves!$AE$8:$AE$68,AN$4-$B99+1)</f>
        <v/>
      </c>
      <c r="AO99" s="75">
        <f>$C99*INDEX(Curves!$AE$8:$AE$68,AO$4-$B99+1)</f>
        <v/>
      </c>
      <c r="AP99" s="75">
        <f>$C99*INDEX(Curves!$AE$8:$AE$68,AP$4-$B99+1)</f>
        <v/>
      </c>
      <c r="AQ99" s="75">
        <f>$C99*INDEX(Curves!$AE$8:$AE$68,AQ$4-$B99+1)</f>
        <v/>
      </c>
      <c r="AR99" s="75">
        <f>$C99*INDEX(Curves!$AE$8:$AE$68,AR$4-$B99+1)</f>
        <v/>
      </c>
      <c r="AS99" s="75">
        <f>$C99*INDEX(Curves!$AE$8:$AE$68,AS$4-$B99+1)</f>
        <v/>
      </c>
      <c r="AT99" s="75">
        <f>$C99*INDEX(Curves!$AE$8:$AE$68,AT$4-$B99+1)</f>
        <v/>
      </c>
      <c r="AU99" s="75">
        <f>$C99*INDEX(Curves!$AE$8:$AE$68,AU$4-$B99+1)</f>
        <v/>
      </c>
      <c r="AV99" s="75">
        <f>$C99*INDEX(Curves!$AE$8:$AE$68,AV$4-$B99+1)</f>
        <v/>
      </c>
      <c r="AW99" s="75">
        <f>$C99*INDEX(Curves!$AE$8:$AE$68,AW$4-$B99+1)</f>
        <v/>
      </c>
      <c r="AX99" s="75">
        <f>$C99*INDEX(Curves!$AE$8:$AE$68,AX$4-$B99+1)</f>
        <v/>
      </c>
      <c r="AY99" s="75">
        <f>$C99*INDEX(Curves!$AE$8:$AE$68,AY$4-$B99+1)</f>
        <v/>
      </c>
      <c r="AZ99" s="75">
        <f>$C99*INDEX(Curves!$AE$8:$AE$68,AZ$4-$B99+1)</f>
        <v/>
      </c>
      <c r="BA99" s="75">
        <f>$C99*INDEX(Curves!$AE$8:$AE$68,BA$4-$B99+1)</f>
        <v/>
      </c>
      <c r="BB99" s="75">
        <f>$C99*INDEX(Curves!$AE$8:$AE$68,BB$4-$B99+1)</f>
        <v/>
      </c>
      <c r="BC99" s="75">
        <f>$C99*INDEX(Curves!$AE$8:$AE$68,BC$4-$B99+1)</f>
        <v/>
      </c>
      <c r="BD99" s="75">
        <f>$C99*INDEX(Curves!$AE$8:$AE$68,BD$4-$B99+1)</f>
        <v/>
      </c>
      <c r="BE99" s="75">
        <f>$C99*INDEX(Curves!$AE$8:$AE$68,BE$4-$B99+1)</f>
        <v/>
      </c>
      <c r="BF99" s="75">
        <f>$C99*INDEX(Curves!$AE$8:$AE$68,BF$4-$B99+1)</f>
        <v/>
      </c>
      <c r="BG99" s="75">
        <f>$C99*INDEX(Curves!$AE$8:$AE$68,BG$4-$B99+1)</f>
        <v/>
      </c>
      <c r="BH99" s="75">
        <f>$C99*INDEX(Curves!$AE$8:$AE$68,BH$4-$B99+1)</f>
        <v/>
      </c>
      <c r="BI99" s="75">
        <f>$C99*INDEX(Curves!$AE$8:$AE$68,BI$4-$B99+1)</f>
        <v/>
      </c>
      <c r="BJ99" s="75">
        <f>$C99*INDEX(Curves!$AE$8:$AE$68,BJ$4-$B99+1)</f>
        <v/>
      </c>
      <c r="BK99" s="75">
        <f>$C99*INDEX(Curves!$AE$8:$AE$68,BK$4-$B99+1)</f>
        <v/>
      </c>
      <c r="BL99" s="75">
        <f>$C99*INDEX(Curves!$AE$8:$AE$68,BL$4-$B99+1)</f>
        <v/>
      </c>
    </row>
    <row r="100">
      <c r="A100" s="74" t="inlineStr">
        <is>
          <t>Cohort month 28</t>
        </is>
      </c>
      <c r="B100" s="74" t="n">
        <v>28</v>
      </c>
      <c r="C100" s="17">
        <f>INDEX(Ops!$E$59:$BL$59,1,$B100)</f>
        <v/>
      </c>
      <c r="AG100" s="75">
        <f>$C100*INDEX(Curves!$AE$8:$AE$68,AG$4-$B100+1)</f>
        <v/>
      </c>
      <c r="AH100" s="75">
        <f>$C100*INDEX(Curves!$AE$8:$AE$68,AH$4-$B100+1)</f>
        <v/>
      </c>
      <c r="AI100" s="75">
        <f>$C100*INDEX(Curves!$AE$8:$AE$68,AI$4-$B100+1)</f>
        <v/>
      </c>
      <c r="AJ100" s="75">
        <f>$C100*INDEX(Curves!$AE$8:$AE$68,AJ$4-$B100+1)</f>
        <v/>
      </c>
      <c r="AK100" s="75">
        <f>$C100*INDEX(Curves!$AE$8:$AE$68,AK$4-$B100+1)</f>
        <v/>
      </c>
      <c r="AL100" s="75">
        <f>$C100*INDEX(Curves!$AE$8:$AE$68,AL$4-$B100+1)</f>
        <v/>
      </c>
      <c r="AM100" s="75">
        <f>$C100*INDEX(Curves!$AE$8:$AE$68,AM$4-$B100+1)</f>
        <v/>
      </c>
      <c r="AN100" s="75">
        <f>$C100*INDEX(Curves!$AE$8:$AE$68,AN$4-$B100+1)</f>
        <v/>
      </c>
      <c r="AO100" s="75">
        <f>$C100*INDEX(Curves!$AE$8:$AE$68,AO$4-$B100+1)</f>
        <v/>
      </c>
      <c r="AP100" s="75">
        <f>$C100*INDEX(Curves!$AE$8:$AE$68,AP$4-$B100+1)</f>
        <v/>
      </c>
      <c r="AQ100" s="75">
        <f>$C100*INDEX(Curves!$AE$8:$AE$68,AQ$4-$B100+1)</f>
        <v/>
      </c>
      <c r="AR100" s="75">
        <f>$C100*INDEX(Curves!$AE$8:$AE$68,AR$4-$B100+1)</f>
        <v/>
      </c>
      <c r="AS100" s="75">
        <f>$C100*INDEX(Curves!$AE$8:$AE$68,AS$4-$B100+1)</f>
        <v/>
      </c>
      <c r="AT100" s="75">
        <f>$C100*INDEX(Curves!$AE$8:$AE$68,AT$4-$B100+1)</f>
        <v/>
      </c>
      <c r="AU100" s="75">
        <f>$C100*INDEX(Curves!$AE$8:$AE$68,AU$4-$B100+1)</f>
        <v/>
      </c>
      <c r="AV100" s="75">
        <f>$C100*INDEX(Curves!$AE$8:$AE$68,AV$4-$B100+1)</f>
        <v/>
      </c>
      <c r="AW100" s="75">
        <f>$C100*INDEX(Curves!$AE$8:$AE$68,AW$4-$B100+1)</f>
        <v/>
      </c>
      <c r="AX100" s="75">
        <f>$C100*INDEX(Curves!$AE$8:$AE$68,AX$4-$B100+1)</f>
        <v/>
      </c>
      <c r="AY100" s="75">
        <f>$C100*INDEX(Curves!$AE$8:$AE$68,AY$4-$B100+1)</f>
        <v/>
      </c>
      <c r="AZ100" s="75">
        <f>$C100*INDEX(Curves!$AE$8:$AE$68,AZ$4-$B100+1)</f>
        <v/>
      </c>
      <c r="BA100" s="75">
        <f>$C100*INDEX(Curves!$AE$8:$AE$68,BA$4-$B100+1)</f>
        <v/>
      </c>
      <c r="BB100" s="75">
        <f>$C100*INDEX(Curves!$AE$8:$AE$68,BB$4-$B100+1)</f>
        <v/>
      </c>
      <c r="BC100" s="75">
        <f>$C100*INDEX(Curves!$AE$8:$AE$68,BC$4-$B100+1)</f>
        <v/>
      </c>
      <c r="BD100" s="75">
        <f>$C100*INDEX(Curves!$AE$8:$AE$68,BD$4-$B100+1)</f>
        <v/>
      </c>
      <c r="BE100" s="75">
        <f>$C100*INDEX(Curves!$AE$8:$AE$68,BE$4-$B100+1)</f>
        <v/>
      </c>
      <c r="BF100" s="75">
        <f>$C100*INDEX(Curves!$AE$8:$AE$68,BF$4-$B100+1)</f>
        <v/>
      </c>
      <c r="BG100" s="75">
        <f>$C100*INDEX(Curves!$AE$8:$AE$68,BG$4-$B100+1)</f>
        <v/>
      </c>
      <c r="BH100" s="75">
        <f>$C100*INDEX(Curves!$AE$8:$AE$68,BH$4-$B100+1)</f>
        <v/>
      </c>
      <c r="BI100" s="75">
        <f>$C100*INDEX(Curves!$AE$8:$AE$68,BI$4-$B100+1)</f>
        <v/>
      </c>
      <c r="BJ100" s="75">
        <f>$C100*INDEX(Curves!$AE$8:$AE$68,BJ$4-$B100+1)</f>
        <v/>
      </c>
      <c r="BK100" s="75">
        <f>$C100*INDEX(Curves!$AE$8:$AE$68,BK$4-$B100+1)</f>
        <v/>
      </c>
      <c r="BL100" s="75">
        <f>$C100*INDEX(Curves!$AE$8:$AE$68,BL$4-$B100+1)</f>
        <v/>
      </c>
    </row>
    <row r="101">
      <c r="A101" s="74" t="inlineStr">
        <is>
          <t>Cohort month 29</t>
        </is>
      </c>
      <c r="B101" s="74" t="n">
        <v>29</v>
      </c>
      <c r="C101" s="17">
        <f>INDEX(Ops!$E$59:$BL$59,1,$B101)</f>
        <v/>
      </c>
      <c r="AH101" s="75">
        <f>$C101*INDEX(Curves!$AE$8:$AE$68,AH$4-$B101+1)</f>
        <v/>
      </c>
      <c r="AI101" s="75">
        <f>$C101*INDEX(Curves!$AE$8:$AE$68,AI$4-$B101+1)</f>
        <v/>
      </c>
      <c r="AJ101" s="75">
        <f>$C101*INDEX(Curves!$AE$8:$AE$68,AJ$4-$B101+1)</f>
        <v/>
      </c>
      <c r="AK101" s="75">
        <f>$C101*INDEX(Curves!$AE$8:$AE$68,AK$4-$B101+1)</f>
        <v/>
      </c>
      <c r="AL101" s="75">
        <f>$C101*INDEX(Curves!$AE$8:$AE$68,AL$4-$B101+1)</f>
        <v/>
      </c>
      <c r="AM101" s="75">
        <f>$C101*INDEX(Curves!$AE$8:$AE$68,AM$4-$B101+1)</f>
        <v/>
      </c>
      <c r="AN101" s="75">
        <f>$C101*INDEX(Curves!$AE$8:$AE$68,AN$4-$B101+1)</f>
        <v/>
      </c>
      <c r="AO101" s="75">
        <f>$C101*INDEX(Curves!$AE$8:$AE$68,AO$4-$B101+1)</f>
        <v/>
      </c>
      <c r="AP101" s="75">
        <f>$C101*INDEX(Curves!$AE$8:$AE$68,AP$4-$B101+1)</f>
        <v/>
      </c>
      <c r="AQ101" s="75">
        <f>$C101*INDEX(Curves!$AE$8:$AE$68,AQ$4-$B101+1)</f>
        <v/>
      </c>
      <c r="AR101" s="75">
        <f>$C101*INDEX(Curves!$AE$8:$AE$68,AR$4-$B101+1)</f>
        <v/>
      </c>
      <c r="AS101" s="75">
        <f>$C101*INDEX(Curves!$AE$8:$AE$68,AS$4-$B101+1)</f>
        <v/>
      </c>
      <c r="AT101" s="75">
        <f>$C101*INDEX(Curves!$AE$8:$AE$68,AT$4-$B101+1)</f>
        <v/>
      </c>
      <c r="AU101" s="75">
        <f>$C101*INDEX(Curves!$AE$8:$AE$68,AU$4-$B101+1)</f>
        <v/>
      </c>
      <c r="AV101" s="75">
        <f>$C101*INDEX(Curves!$AE$8:$AE$68,AV$4-$B101+1)</f>
        <v/>
      </c>
      <c r="AW101" s="75">
        <f>$C101*INDEX(Curves!$AE$8:$AE$68,AW$4-$B101+1)</f>
        <v/>
      </c>
      <c r="AX101" s="75">
        <f>$C101*INDEX(Curves!$AE$8:$AE$68,AX$4-$B101+1)</f>
        <v/>
      </c>
      <c r="AY101" s="75">
        <f>$C101*INDEX(Curves!$AE$8:$AE$68,AY$4-$B101+1)</f>
        <v/>
      </c>
      <c r="AZ101" s="75">
        <f>$C101*INDEX(Curves!$AE$8:$AE$68,AZ$4-$B101+1)</f>
        <v/>
      </c>
      <c r="BA101" s="75">
        <f>$C101*INDEX(Curves!$AE$8:$AE$68,BA$4-$B101+1)</f>
        <v/>
      </c>
      <c r="BB101" s="75">
        <f>$C101*INDEX(Curves!$AE$8:$AE$68,BB$4-$B101+1)</f>
        <v/>
      </c>
      <c r="BC101" s="75">
        <f>$C101*INDEX(Curves!$AE$8:$AE$68,BC$4-$B101+1)</f>
        <v/>
      </c>
      <c r="BD101" s="75">
        <f>$C101*INDEX(Curves!$AE$8:$AE$68,BD$4-$B101+1)</f>
        <v/>
      </c>
      <c r="BE101" s="75">
        <f>$C101*INDEX(Curves!$AE$8:$AE$68,BE$4-$B101+1)</f>
        <v/>
      </c>
      <c r="BF101" s="75">
        <f>$C101*INDEX(Curves!$AE$8:$AE$68,BF$4-$B101+1)</f>
        <v/>
      </c>
      <c r="BG101" s="75">
        <f>$C101*INDEX(Curves!$AE$8:$AE$68,BG$4-$B101+1)</f>
        <v/>
      </c>
      <c r="BH101" s="75">
        <f>$C101*INDEX(Curves!$AE$8:$AE$68,BH$4-$B101+1)</f>
        <v/>
      </c>
      <c r="BI101" s="75">
        <f>$C101*INDEX(Curves!$AE$8:$AE$68,BI$4-$B101+1)</f>
        <v/>
      </c>
      <c r="BJ101" s="75">
        <f>$C101*INDEX(Curves!$AE$8:$AE$68,BJ$4-$B101+1)</f>
        <v/>
      </c>
      <c r="BK101" s="75">
        <f>$C101*INDEX(Curves!$AE$8:$AE$68,BK$4-$B101+1)</f>
        <v/>
      </c>
      <c r="BL101" s="75">
        <f>$C101*INDEX(Curves!$AE$8:$AE$68,BL$4-$B101+1)</f>
        <v/>
      </c>
    </row>
    <row r="102">
      <c r="A102" s="74" t="inlineStr">
        <is>
          <t>Cohort month 30</t>
        </is>
      </c>
      <c r="B102" s="74" t="n">
        <v>30</v>
      </c>
      <c r="C102" s="17">
        <f>INDEX(Ops!$E$59:$BL$59,1,$B102)</f>
        <v/>
      </c>
      <c r="AI102" s="75">
        <f>$C102*INDEX(Curves!$AE$8:$AE$68,AI$4-$B102+1)</f>
        <v/>
      </c>
      <c r="AJ102" s="75">
        <f>$C102*INDEX(Curves!$AE$8:$AE$68,AJ$4-$B102+1)</f>
        <v/>
      </c>
      <c r="AK102" s="75">
        <f>$C102*INDEX(Curves!$AE$8:$AE$68,AK$4-$B102+1)</f>
        <v/>
      </c>
      <c r="AL102" s="75">
        <f>$C102*INDEX(Curves!$AE$8:$AE$68,AL$4-$B102+1)</f>
        <v/>
      </c>
      <c r="AM102" s="75">
        <f>$C102*INDEX(Curves!$AE$8:$AE$68,AM$4-$B102+1)</f>
        <v/>
      </c>
      <c r="AN102" s="75">
        <f>$C102*INDEX(Curves!$AE$8:$AE$68,AN$4-$B102+1)</f>
        <v/>
      </c>
      <c r="AO102" s="75">
        <f>$C102*INDEX(Curves!$AE$8:$AE$68,AO$4-$B102+1)</f>
        <v/>
      </c>
      <c r="AP102" s="75">
        <f>$C102*INDEX(Curves!$AE$8:$AE$68,AP$4-$B102+1)</f>
        <v/>
      </c>
      <c r="AQ102" s="75">
        <f>$C102*INDEX(Curves!$AE$8:$AE$68,AQ$4-$B102+1)</f>
        <v/>
      </c>
      <c r="AR102" s="75">
        <f>$C102*INDEX(Curves!$AE$8:$AE$68,AR$4-$B102+1)</f>
        <v/>
      </c>
      <c r="AS102" s="75">
        <f>$C102*INDEX(Curves!$AE$8:$AE$68,AS$4-$B102+1)</f>
        <v/>
      </c>
      <c r="AT102" s="75">
        <f>$C102*INDEX(Curves!$AE$8:$AE$68,AT$4-$B102+1)</f>
        <v/>
      </c>
      <c r="AU102" s="75">
        <f>$C102*INDEX(Curves!$AE$8:$AE$68,AU$4-$B102+1)</f>
        <v/>
      </c>
      <c r="AV102" s="75">
        <f>$C102*INDEX(Curves!$AE$8:$AE$68,AV$4-$B102+1)</f>
        <v/>
      </c>
      <c r="AW102" s="75">
        <f>$C102*INDEX(Curves!$AE$8:$AE$68,AW$4-$B102+1)</f>
        <v/>
      </c>
      <c r="AX102" s="75">
        <f>$C102*INDEX(Curves!$AE$8:$AE$68,AX$4-$B102+1)</f>
        <v/>
      </c>
      <c r="AY102" s="75">
        <f>$C102*INDEX(Curves!$AE$8:$AE$68,AY$4-$B102+1)</f>
        <v/>
      </c>
      <c r="AZ102" s="75">
        <f>$C102*INDEX(Curves!$AE$8:$AE$68,AZ$4-$B102+1)</f>
        <v/>
      </c>
      <c r="BA102" s="75">
        <f>$C102*INDEX(Curves!$AE$8:$AE$68,BA$4-$B102+1)</f>
        <v/>
      </c>
      <c r="BB102" s="75">
        <f>$C102*INDEX(Curves!$AE$8:$AE$68,BB$4-$B102+1)</f>
        <v/>
      </c>
      <c r="BC102" s="75">
        <f>$C102*INDEX(Curves!$AE$8:$AE$68,BC$4-$B102+1)</f>
        <v/>
      </c>
      <c r="BD102" s="75">
        <f>$C102*INDEX(Curves!$AE$8:$AE$68,BD$4-$B102+1)</f>
        <v/>
      </c>
      <c r="BE102" s="75">
        <f>$C102*INDEX(Curves!$AE$8:$AE$68,BE$4-$B102+1)</f>
        <v/>
      </c>
      <c r="BF102" s="75">
        <f>$C102*INDEX(Curves!$AE$8:$AE$68,BF$4-$B102+1)</f>
        <v/>
      </c>
      <c r="BG102" s="75">
        <f>$C102*INDEX(Curves!$AE$8:$AE$68,BG$4-$B102+1)</f>
        <v/>
      </c>
      <c r="BH102" s="75">
        <f>$C102*INDEX(Curves!$AE$8:$AE$68,BH$4-$B102+1)</f>
        <v/>
      </c>
      <c r="BI102" s="75">
        <f>$C102*INDEX(Curves!$AE$8:$AE$68,BI$4-$B102+1)</f>
        <v/>
      </c>
      <c r="BJ102" s="75">
        <f>$C102*INDEX(Curves!$AE$8:$AE$68,BJ$4-$B102+1)</f>
        <v/>
      </c>
      <c r="BK102" s="75">
        <f>$C102*INDEX(Curves!$AE$8:$AE$68,BK$4-$B102+1)</f>
        <v/>
      </c>
      <c r="BL102" s="75">
        <f>$C102*INDEX(Curves!$AE$8:$AE$68,BL$4-$B102+1)</f>
        <v/>
      </c>
    </row>
    <row r="103">
      <c r="A103" s="74" t="inlineStr">
        <is>
          <t>Cohort month 31</t>
        </is>
      </c>
      <c r="B103" s="74" t="n">
        <v>31</v>
      </c>
      <c r="C103" s="17">
        <f>INDEX(Ops!$E$59:$BL$59,1,$B103)</f>
        <v/>
      </c>
      <c r="AJ103" s="75">
        <f>$C103*INDEX(Curves!$AE$8:$AE$68,AJ$4-$B103+1)</f>
        <v/>
      </c>
      <c r="AK103" s="75">
        <f>$C103*INDEX(Curves!$AE$8:$AE$68,AK$4-$B103+1)</f>
        <v/>
      </c>
      <c r="AL103" s="75">
        <f>$C103*INDEX(Curves!$AE$8:$AE$68,AL$4-$B103+1)</f>
        <v/>
      </c>
      <c r="AM103" s="75">
        <f>$C103*INDEX(Curves!$AE$8:$AE$68,AM$4-$B103+1)</f>
        <v/>
      </c>
      <c r="AN103" s="75">
        <f>$C103*INDEX(Curves!$AE$8:$AE$68,AN$4-$B103+1)</f>
        <v/>
      </c>
      <c r="AO103" s="75">
        <f>$C103*INDEX(Curves!$AE$8:$AE$68,AO$4-$B103+1)</f>
        <v/>
      </c>
      <c r="AP103" s="75">
        <f>$C103*INDEX(Curves!$AE$8:$AE$68,AP$4-$B103+1)</f>
        <v/>
      </c>
      <c r="AQ103" s="75">
        <f>$C103*INDEX(Curves!$AE$8:$AE$68,AQ$4-$B103+1)</f>
        <v/>
      </c>
      <c r="AR103" s="75">
        <f>$C103*INDEX(Curves!$AE$8:$AE$68,AR$4-$B103+1)</f>
        <v/>
      </c>
      <c r="AS103" s="75">
        <f>$C103*INDEX(Curves!$AE$8:$AE$68,AS$4-$B103+1)</f>
        <v/>
      </c>
      <c r="AT103" s="75">
        <f>$C103*INDEX(Curves!$AE$8:$AE$68,AT$4-$B103+1)</f>
        <v/>
      </c>
      <c r="AU103" s="75">
        <f>$C103*INDEX(Curves!$AE$8:$AE$68,AU$4-$B103+1)</f>
        <v/>
      </c>
      <c r="AV103" s="75">
        <f>$C103*INDEX(Curves!$AE$8:$AE$68,AV$4-$B103+1)</f>
        <v/>
      </c>
      <c r="AW103" s="75">
        <f>$C103*INDEX(Curves!$AE$8:$AE$68,AW$4-$B103+1)</f>
        <v/>
      </c>
      <c r="AX103" s="75">
        <f>$C103*INDEX(Curves!$AE$8:$AE$68,AX$4-$B103+1)</f>
        <v/>
      </c>
      <c r="AY103" s="75">
        <f>$C103*INDEX(Curves!$AE$8:$AE$68,AY$4-$B103+1)</f>
        <v/>
      </c>
      <c r="AZ103" s="75">
        <f>$C103*INDEX(Curves!$AE$8:$AE$68,AZ$4-$B103+1)</f>
        <v/>
      </c>
      <c r="BA103" s="75">
        <f>$C103*INDEX(Curves!$AE$8:$AE$68,BA$4-$B103+1)</f>
        <v/>
      </c>
      <c r="BB103" s="75">
        <f>$C103*INDEX(Curves!$AE$8:$AE$68,BB$4-$B103+1)</f>
        <v/>
      </c>
      <c r="BC103" s="75">
        <f>$C103*INDEX(Curves!$AE$8:$AE$68,BC$4-$B103+1)</f>
        <v/>
      </c>
      <c r="BD103" s="75">
        <f>$C103*INDEX(Curves!$AE$8:$AE$68,BD$4-$B103+1)</f>
        <v/>
      </c>
      <c r="BE103" s="75">
        <f>$C103*INDEX(Curves!$AE$8:$AE$68,BE$4-$B103+1)</f>
        <v/>
      </c>
      <c r="BF103" s="75">
        <f>$C103*INDEX(Curves!$AE$8:$AE$68,BF$4-$B103+1)</f>
        <v/>
      </c>
      <c r="BG103" s="75">
        <f>$C103*INDEX(Curves!$AE$8:$AE$68,BG$4-$B103+1)</f>
        <v/>
      </c>
      <c r="BH103" s="75">
        <f>$C103*INDEX(Curves!$AE$8:$AE$68,BH$4-$B103+1)</f>
        <v/>
      </c>
      <c r="BI103" s="75">
        <f>$C103*INDEX(Curves!$AE$8:$AE$68,BI$4-$B103+1)</f>
        <v/>
      </c>
      <c r="BJ103" s="75">
        <f>$C103*INDEX(Curves!$AE$8:$AE$68,BJ$4-$B103+1)</f>
        <v/>
      </c>
      <c r="BK103" s="75">
        <f>$C103*INDEX(Curves!$AE$8:$AE$68,BK$4-$B103+1)</f>
        <v/>
      </c>
      <c r="BL103" s="75">
        <f>$C103*INDEX(Curves!$AE$8:$AE$68,BL$4-$B103+1)</f>
        <v/>
      </c>
    </row>
    <row r="104">
      <c r="A104" s="74" t="inlineStr">
        <is>
          <t>Cohort month 32</t>
        </is>
      </c>
      <c r="B104" s="74" t="n">
        <v>32</v>
      </c>
      <c r="C104" s="17">
        <f>INDEX(Ops!$E$59:$BL$59,1,$B104)</f>
        <v/>
      </c>
      <c r="AK104" s="75">
        <f>$C104*INDEX(Curves!$AE$8:$AE$68,AK$4-$B104+1)</f>
        <v/>
      </c>
      <c r="AL104" s="75">
        <f>$C104*INDEX(Curves!$AE$8:$AE$68,AL$4-$B104+1)</f>
        <v/>
      </c>
      <c r="AM104" s="75">
        <f>$C104*INDEX(Curves!$AE$8:$AE$68,AM$4-$B104+1)</f>
        <v/>
      </c>
      <c r="AN104" s="75">
        <f>$C104*INDEX(Curves!$AE$8:$AE$68,AN$4-$B104+1)</f>
        <v/>
      </c>
      <c r="AO104" s="75">
        <f>$C104*INDEX(Curves!$AE$8:$AE$68,AO$4-$B104+1)</f>
        <v/>
      </c>
      <c r="AP104" s="75">
        <f>$C104*INDEX(Curves!$AE$8:$AE$68,AP$4-$B104+1)</f>
        <v/>
      </c>
      <c r="AQ104" s="75">
        <f>$C104*INDEX(Curves!$AE$8:$AE$68,AQ$4-$B104+1)</f>
        <v/>
      </c>
      <c r="AR104" s="75">
        <f>$C104*INDEX(Curves!$AE$8:$AE$68,AR$4-$B104+1)</f>
        <v/>
      </c>
      <c r="AS104" s="75">
        <f>$C104*INDEX(Curves!$AE$8:$AE$68,AS$4-$B104+1)</f>
        <v/>
      </c>
      <c r="AT104" s="75">
        <f>$C104*INDEX(Curves!$AE$8:$AE$68,AT$4-$B104+1)</f>
        <v/>
      </c>
      <c r="AU104" s="75">
        <f>$C104*INDEX(Curves!$AE$8:$AE$68,AU$4-$B104+1)</f>
        <v/>
      </c>
      <c r="AV104" s="75">
        <f>$C104*INDEX(Curves!$AE$8:$AE$68,AV$4-$B104+1)</f>
        <v/>
      </c>
      <c r="AW104" s="75">
        <f>$C104*INDEX(Curves!$AE$8:$AE$68,AW$4-$B104+1)</f>
        <v/>
      </c>
      <c r="AX104" s="75">
        <f>$C104*INDEX(Curves!$AE$8:$AE$68,AX$4-$B104+1)</f>
        <v/>
      </c>
      <c r="AY104" s="75">
        <f>$C104*INDEX(Curves!$AE$8:$AE$68,AY$4-$B104+1)</f>
        <v/>
      </c>
      <c r="AZ104" s="75">
        <f>$C104*INDEX(Curves!$AE$8:$AE$68,AZ$4-$B104+1)</f>
        <v/>
      </c>
      <c r="BA104" s="75">
        <f>$C104*INDEX(Curves!$AE$8:$AE$68,BA$4-$B104+1)</f>
        <v/>
      </c>
      <c r="BB104" s="75">
        <f>$C104*INDEX(Curves!$AE$8:$AE$68,BB$4-$B104+1)</f>
        <v/>
      </c>
      <c r="BC104" s="75">
        <f>$C104*INDEX(Curves!$AE$8:$AE$68,BC$4-$B104+1)</f>
        <v/>
      </c>
      <c r="BD104" s="75">
        <f>$C104*INDEX(Curves!$AE$8:$AE$68,BD$4-$B104+1)</f>
        <v/>
      </c>
      <c r="BE104" s="75">
        <f>$C104*INDEX(Curves!$AE$8:$AE$68,BE$4-$B104+1)</f>
        <v/>
      </c>
      <c r="BF104" s="75">
        <f>$C104*INDEX(Curves!$AE$8:$AE$68,BF$4-$B104+1)</f>
        <v/>
      </c>
      <c r="BG104" s="75">
        <f>$C104*INDEX(Curves!$AE$8:$AE$68,BG$4-$B104+1)</f>
        <v/>
      </c>
      <c r="BH104" s="75">
        <f>$C104*INDEX(Curves!$AE$8:$AE$68,BH$4-$B104+1)</f>
        <v/>
      </c>
      <c r="BI104" s="75">
        <f>$C104*INDEX(Curves!$AE$8:$AE$68,BI$4-$B104+1)</f>
        <v/>
      </c>
      <c r="BJ104" s="75">
        <f>$C104*INDEX(Curves!$AE$8:$AE$68,BJ$4-$B104+1)</f>
        <v/>
      </c>
      <c r="BK104" s="75">
        <f>$C104*INDEX(Curves!$AE$8:$AE$68,BK$4-$B104+1)</f>
        <v/>
      </c>
      <c r="BL104" s="75">
        <f>$C104*INDEX(Curves!$AE$8:$AE$68,BL$4-$B104+1)</f>
        <v/>
      </c>
    </row>
    <row r="105">
      <c r="A105" s="74" t="inlineStr">
        <is>
          <t>Cohort month 33</t>
        </is>
      </c>
      <c r="B105" s="74" t="n">
        <v>33</v>
      </c>
      <c r="C105" s="17">
        <f>INDEX(Ops!$E$59:$BL$59,1,$B105)</f>
        <v/>
      </c>
      <c r="AL105" s="75">
        <f>$C105*INDEX(Curves!$AE$8:$AE$68,AL$4-$B105+1)</f>
        <v/>
      </c>
      <c r="AM105" s="75">
        <f>$C105*INDEX(Curves!$AE$8:$AE$68,AM$4-$B105+1)</f>
        <v/>
      </c>
      <c r="AN105" s="75">
        <f>$C105*INDEX(Curves!$AE$8:$AE$68,AN$4-$B105+1)</f>
        <v/>
      </c>
      <c r="AO105" s="75">
        <f>$C105*INDEX(Curves!$AE$8:$AE$68,AO$4-$B105+1)</f>
        <v/>
      </c>
      <c r="AP105" s="75">
        <f>$C105*INDEX(Curves!$AE$8:$AE$68,AP$4-$B105+1)</f>
        <v/>
      </c>
      <c r="AQ105" s="75">
        <f>$C105*INDEX(Curves!$AE$8:$AE$68,AQ$4-$B105+1)</f>
        <v/>
      </c>
      <c r="AR105" s="75">
        <f>$C105*INDEX(Curves!$AE$8:$AE$68,AR$4-$B105+1)</f>
        <v/>
      </c>
      <c r="AS105" s="75">
        <f>$C105*INDEX(Curves!$AE$8:$AE$68,AS$4-$B105+1)</f>
        <v/>
      </c>
      <c r="AT105" s="75">
        <f>$C105*INDEX(Curves!$AE$8:$AE$68,AT$4-$B105+1)</f>
        <v/>
      </c>
      <c r="AU105" s="75">
        <f>$C105*INDEX(Curves!$AE$8:$AE$68,AU$4-$B105+1)</f>
        <v/>
      </c>
      <c r="AV105" s="75">
        <f>$C105*INDEX(Curves!$AE$8:$AE$68,AV$4-$B105+1)</f>
        <v/>
      </c>
      <c r="AW105" s="75">
        <f>$C105*INDEX(Curves!$AE$8:$AE$68,AW$4-$B105+1)</f>
        <v/>
      </c>
      <c r="AX105" s="75">
        <f>$C105*INDEX(Curves!$AE$8:$AE$68,AX$4-$B105+1)</f>
        <v/>
      </c>
      <c r="AY105" s="75">
        <f>$C105*INDEX(Curves!$AE$8:$AE$68,AY$4-$B105+1)</f>
        <v/>
      </c>
      <c r="AZ105" s="75">
        <f>$C105*INDEX(Curves!$AE$8:$AE$68,AZ$4-$B105+1)</f>
        <v/>
      </c>
      <c r="BA105" s="75">
        <f>$C105*INDEX(Curves!$AE$8:$AE$68,BA$4-$B105+1)</f>
        <v/>
      </c>
      <c r="BB105" s="75">
        <f>$C105*INDEX(Curves!$AE$8:$AE$68,BB$4-$B105+1)</f>
        <v/>
      </c>
      <c r="BC105" s="75">
        <f>$C105*INDEX(Curves!$AE$8:$AE$68,BC$4-$B105+1)</f>
        <v/>
      </c>
      <c r="BD105" s="75">
        <f>$C105*INDEX(Curves!$AE$8:$AE$68,BD$4-$B105+1)</f>
        <v/>
      </c>
      <c r="BE105" s="75">
        <f>$C105*INDEX(Curves!$AE$8:$AE$68,BE$4-$B105+1)</f>
        <v/>
      </c>
      <c r="BF105" s="75">
        <f>$C105*INDEX(Curves!$AE$8:$AE$68,BF$4-$B105+1)</f>
        <v/>
      </c>
      <c r="BG105" s="75">
        <f>$C105*INDEX(Curves!$AE$8:$AE$68,BG$4-$B105+1)</f>
        <v/>
      </c>
      <c r="BH105" s="75">
        <f>$C105*INDEX(Curves!$AE$8:$AE$68,BH$4-$B105+1)</f>
        <v/>
      </c>
      <c r="BI105" s="75">
        <f>$C105*INDEX(Curves!$AE$8:$AE$68,BI$4-$B105+1)</f>
        <v/>
      </c>
      <c r="BJ105" s="75">
        <f>$C105*INDEX(Curves!$AE$8:$AE$68,BJ$4-$B105+1)</f>
        <v/>
      </c>
      <c r="BK105" s="75">
        <f>$C105*INDEX(Curves!$AE$8:$AE$68,BK$4-$B105+1)</f>
        <v/>
      </c>
      <c r="BL105" s="75">
        <f>$C105*INDEX(Curves!$AE$8:$AE$68,BL$4-$B105+1)</f>
        <v/>
      </c>
    </row>
    <row r="106">
      <c r="A106" s="74" t="inlineStr">
        <is>
          <t>Cohort month 34</t>
        </is>
      </c>
      <c r="B106" s="74" t="n">
        <v>34</v>
      </c>
      <c r="C106" s="17">
        <f>INDEX(Ops!$E$59:$BL$59,1,$B106)</f>
        <v/>
      </c>
      <c r="AM106" s="75">
        <f>$C106*INDEX(Curves!$AE$8:$AE$68,AM$4-$B106+1)</f>
        <v/>
      </c>
      <c r="AN106" s="75">
        <f>$C106*INDEX(Curves!$AE$8:$AE$68,AN$4-$B106+1)</f>
        <v/>
      </c>
      <c r="AO106" s="75">
        <f>$C106*INDEX(Curves!$AE$8:$AE$68,AO$4-$B106+1)</f>
        <v/>
      </c>
      <c r="AP106" s="75">
        <f>$C106*INDEX(Curves!$AE$8:$AE$68,AP$4-$B106+1)</f>
        <v/>
      </c>
      <c r="AQ106" s="75">
        <f>$C106*INDEX(Curves!$AE$8:$AE$68,AQ$4-$B106+1)</f>
        <v/>
      </c>
      <c r="AR106" s="75">
        <f>$C106*INDEX(Curves!$AE$8:$AE$68,AR$4-$B106+1)</f>
        <v/>
      </c>
      <c r="AS106" s="75">
        <f>$C106*INDEX(Curves!$AE$8:$AE$68,AS$4-$B106+1)</f>
        <v/>
      </c>
      <c r="AT106" s="75">
        <f>$C106*INDEX(Curves!$AE$8:$AE$68,AT$4-$B106+1)</f>
        <v/>
      </c>
      <c r="AU106" s="75">
        <f>$C106*INDEX(Curves!$AE$8:$AE$68,AU$4-$B106+1)</f>
        <v/>
      </c>
      <c r="AV106" s="75">
        <f>$C106*INDEX(Curves!$AE$8:$AE$68,AV$4-$B106+1)</f>
        <v/>
      </c>
      <c r="AW106" s="75">
        <f>$C106*INDEX(Curves!$AE$8:$AE$68,AW$4-$B106+1)</f>
        <v/>
      </c>
      <c r="AX106" s="75">
        <f>$C106*INDEX(Curves!$AE$8:$AE$68,AX$4-$B106+1)</f>
        <v/>
      </c>
      <c r="AY106" s="75">
        <f>$C106*INDEX(Curves!$AE$8:$AE$68,AY$4-$B106+1)</f>
        <v/>
      </c>
      <c r="AZ106" s="75">
        <f>$C106*INDEX(Curves!$AE$8:$AE$68,AZ$4-$B106+1)</f>
        <v/>
      </c>
      <c r="BA106" s="75">
        <f>$C106*INDEX(Curves!$AE$8:$AE$68,BA$4-$B106+1)</f>
        <v/>
      </c>
      <c r="BB106" s="75">
        <f>$C106*INDEX(Curves!$AE$8:$AE$68,BB$4-$B106+1)</f>
        <v/>
      </c>
      <c r="BC106" s="75">
        <f>$C106*INDEX(Curves!$AE$8:$AE$68,BC$4-$B106+1)</f>
        <v/>
      </c>
      <c r="BD106" s="75">
        <f>$C106*INDEX(Curves!$AE$8:$AE$68,BD$4-$B106+1)</f>
        <v/>
      </c>
      <c r="BE106" s="75">
        <f>$C106*INDEX(Curves!$AE$8:$AE$68,BE$4-$B106+1)</f>
        <v/>
      </c>
      <c r="BF106" s="75">
        <f>$C106*INDEX(Curves!$AE$8:$AE$68,BF$4-$B106+1)</f>
        <v/>
      </c>
      <c r="BG106" s="75">
        <f>$C106*INDEX(Curves!$AE$8:$AE$68,BG$4-$B106+1)</f>
        <v/>
      </c>
      <c r="BH106" s="75">
        <f>$C106*INDEX(Curves!$AE$8:$AE$68,BH$4-$B106+1)</f>
        <v/>
      </c>
      <c r="BI106" s="75">
        <f>$C106*INDEX(Curves!$AE$8:$AE$68,BI$4-$B106+1)</f>
        <v/>
      </c>
      <c r="BJ106" s="75">
        <f>$C106*INDEX(Curves!$AE$8:$AE$68,BJ$4-$B106+1)</f>
        <v/>
      </c>
      <c r="BK106" s="75">
        <f>$C106*INDEX(Curves!$AE$8:$AE$68,BK$4-$B106+1)</f>
        <v/>
      </c>
      <c r="BL106" s="75">
        <f>$C106*INDEX(Curves!$AE$8:$AE$68,BL$4-$B106+1)</f>
        <v/>
      </c>
    </row>
    <row r="107">
      <c r="A107" s="74" t="inlineStr">
        <is>
          <t>Cohort month 35</t>
        </is>
      </c>
      <c r="B107" s="74" t="n">
        <v>35</v>
      </c>
      <c r="C107" s="17">
        <f>INDEX(Ops!$E$59:$BL$59,1,$B107)</f>
        <v/>
      </c>
      <c r="AN107" s="75">
        <f>$C107*INDEX(Curves!$AE$8:$AE$68,AN$4-$B107+1)</f>
        <v/>
      </c>
      <c r="AO107" s="75">
        <f>$C107*INDEX(Curves!$AE$8:$AE$68,AO$4-$B107+1)</f>
        <v/>
      </c>
      <c r="AP107" s="75">
        <f>$C107*INDEX(Curves!$AE$8:$AE$68,AP$4-$B107+1)</f>
        <v/>
      </c>
      <c r="AQ107" s="75">
        <f>$C107*INDEX(Curves!$AE$8:$AE$68,AQ$4-$B107+1)</f>
        <v/>
      </c>
      <c r="AR107" s="75">
        <f>$C107*INDEX(Curves!$AE$8:$AE$68,AR$4-$B107+1)</f>
        <v/>
      </c>
      <c r="AS107" s="75">
        <f>$C107*INDEX(Curves!$AE$8:$AE$68,AS$4-$B107+1)</f>
        <v/>
      </c>
      <c r="AT107" s="75">
        <f>$C107*INDEX(Curves!$AE$8:$AE$68,AT$4-$B107+1)</f>
        <v/>
      </c>
      <c r="AU107" s="75">
        <f>$C107*INDEX(Curves!$AE$8:$AE$68,AU$4-$B107+1)</f>
        <v/>
      </c>
      <c r="AV107" s="75">
        <f>$C107*INDEX(Curves!$AE$8:$AE$68,AV$4-$B107+1)</f>
        <v/>
      </c>
      <c r="AW107" s="75">
        <f>$C107*INDEX(Curves!$AE$8:$AE$68,AW$4-$B107+1)</f>
        <v/>
      </c>
      <c r="AX107" s="75">
        <f>$C107*INDEX(Curves!$AE$8:$AE$68,AX$4-$B107+1)</f>
        <v/>
      </c>
      <c r="AY107" s="75">
        <f>$C107*INDEX(Curves!$AE$8:$AE$68,AY$4-$B107+1)</f>
        <v/>
      </c>
      <c r="AZ107" s="75">
        <f>$C107*INDEX(Curves!$AE$8:$AE$68,AZ$4-$B107+1)</f>
        <v/>
      </c>
      <c r="BA107" s="75">
        <f>$C107*INDEX(Curves!$AE$8:$AE$68,BA$4-$B107+1)</f>
        <v/>
      </c>
      <c r="BB107" s="75">
        <f>$C107*INDEX(Curves!$AE$8:$AE$68,BB$4-$B107+1)</f>
        <v/>
      </c>
      <c r="BC107" s="75">
        <f>$C107*INDEX(Curves!$AE$8:$AE$68,BC$4-$B107+1)</f>
        <v/>
      </c>
      <c r="BD107" s="75">
        <f>$C107*INDEX(Curves!$AE$8:$AE$68,BD$4-$B107+1)</f>
        <v/>
      </c>
      <c r="BE107" s="75">
        <f>$C107*INDEX(Curves!$AE$8:$AE$68,BE$4-$B107+1)</f>
        <v/>
      </c>
      <c r="BF107" s="75">
        <f>$C107*INDEX(Curves!$AE$8:$AE$68,BF$4-$B107+1)</f>
        <v/>
      </c>
      <c r="BG107" s="75">
        <f>$C107*INDEX(Curves!$AE$8:$AE$68,BG$4-$B107+1)</f>
        <v/>
      </c>
      <c r="BH107" s="75">
        <f>$C107*INDEX(Curves!$AE$8:$AE$68,BH$4-$B107+1)</f>
        <v/>
      </c>
      <c r="BI107" s="75">
        <f>$C107*INDEX(Curves!$AE$8:$AE$68,BI$4-$B107+1)</f>
        <v/>
      </c>
      <c r="BJ107" s="75">
        <f>$C107*INDEX(Curves!$AE$8:$AE$68,BJ$4-$B107+1)</f>
        <v/>
      </c>
      <c r="BK107" s="75">
        <f>$C107*INDEX(Curves!$AE$8:$AE$68,BK$4-$B107+1)</f>
        <v/>
      </c>
      <c r="BL107" s="75">
        <f>$C107*INDEX(Curves!$AE$8:$AE$68,BL$4-$B107+1)</f>
        <v/>
      </c>
    </row>
    <row r="108">
      <c r="A108" s="74" t="inlineStr">
        <is>
          <t>Cohort month 36</t>
        </is>
      </c>
      <c r="B108" s="74" t="n">
        <v>36</v>
      </c>
      <c r="C108" s="17">
        <f>INDEX(Ops!$E$59:$BL$59,1,$B108)</f>
        <v/>
      </c>
      <c r="AO108" s="75">
        <f>$C108*INDEX(Curves!$AE$8:$AE$68,AO$4-$B108+1)</f>
        <v/>
      </c>
      <c r="AP108" s="75">
        <f>$C108*INDEX(Curves!$AE$8:$AE$68,AP$4-$B108+1)</f>
        <v/>
      </c>
      <c r="AQ108" s="75">
        <f>$C108*INDEX(Curves!$AE$8:$AE$68,AQ$4-$B108+1)</f>
        <v/>
      </c>
      <c r="AR108" s="75">
        <f>$C108*INDEX(Curves!$AE$8:$AE$68,AR$4-$B108+1)</f>
        <v/>
      </c>
      <c r="AS108" s="75">
        <f>$C108*INDEX(Curves!$AE$8:$AE$68,AS$4-$B108+1)</f>
        <v/>
      </c>
      <c r="AT108" s="75">
        <f>$C108*INDEX(Curves!$AE$8:$AE$68,AT$4-$B108+1)</f>
        <v/>
      </c>
      <c r="AU108" s="75">
        <f>$C108*INDEX(Curves!$AE$8:$AE$68,AU$4-$B108+1)</f>
        <v/>
      </c>
      <c r="AV108" s="75">
        <f>$C108*INDEX(Curves!$AE$8:$AE$68,AV$4-$B108+1)</f>
        <v/>
      </c>
      <c r="AW108" s="75">
        <f>$C108*INDEX(Curves!$AE$8:$AE$68,AW$4-$B108+1)</f>
        <v/>
      </c>
      <c r="AX108" s="75">
        <f>$C108*INDEX(Curves!$AE$8:$AE$68,AX$4-$B108+1)</f>
        <v/>
      </c>
      <c r="AY108" s="75">
        <f>$C108*INDEX(Curves!$AE$8:$AE$68,AY$4-$B108+1)</f>
        <v/>
      </c>
      <c r="AZ108" s="75">
        <f>$C108*INDEX(Curves!$AE$8:$AE$68,AZ$4-$B108+1)</f>
        <v/>
      </c>
      <c r="BA108" s="75">
        <f>$C108*INDEX(Curves!$AE$8:$AE$68,BA$4-$B108+1)</f>
        <v/>
      </c>
      <c r="BB108" s="75">
        <f>$C108*INDEX(Curves!$AE$8:$AE$68,BB$4-$B108+1)</f>
        <v/>
      </c>
      <c r="BC108" s="75">
        <f>$C108*INDEX(Curves!$AE$8:$AE$68,BC$4-$B108+1)</f>
        <v/>
      </c>
      <c r="BD108" s="75">
        <f>$C108*INDEX(Curves!$AE$8:$AE$68,BD$4-$B108+1)</f>
        <v/>
      </c>
      <c r="BE108" s="75">
        <f>$C108*INDEX(Curves!$AE$8:$AE$68,BE$4-$B108+1)</f>
        <v/>
      </c>
      <c r="BF108" s="75">
        <f>$C108*INDEX(Curves!$AE$8:$AE$68,BF$4-$B108+1)</f>
        <v/>
      </c>
      <c r="BG108" s="75">
        <f>$C108*INDEX(Curves!$AE$8:$AE$68,BG$4-$B108+1)</f>
        <v/>
      </c>
      <c r="BH108" s="75">
        <f>$C108*INDEX(Curves!$AE$8:$AE$68,BH$4-$B108+1)</f>
        <v/>
      </c>
      <c r="BI108" s="75">
        <f>$C108*INDEX(Curves!$AE$8:$AE$68,BI$4-$B108+1)</f>
        <v/>
      </c>
      <c r="BJ108" s="75">
        <f>$C108*INDEX(Curves!$AE$8:$AE$68,BJ$4-$B108+1)</f>
        <v/>
      </c>
      <c r="BK108" s="75">
        <f>$C108*INDEX(Curves!$AE$8:$AE$68,BK$4-$B108+1)</f>
        <v/>
      </c>
      <c r="BL108" s="75">
        <f>$C108*INDEX(Curves!$AE$8:$AE$68,BL$4-$B108+1)</f>
        <v/>
      </c>
    </row>
    <row r="109">
      <c r="A109" s="74" t="inlineStr">
        <is>
          <t>Cohort month 37</t>
        </is>
      </c>
      <c r="B109" s="74" t="n">
        <v>37</v>
      </c>
      <c r="C109" s="17">
        <f>INDEX(Ops!$E$59:$BL$59,1,$B109)</f>
        <v/>
      </c>
      <c r="AP109" s="75">
        <f>$C109*INDEX(Curves!$AE$8:$AE$68,AP$4-$B109+1)</f>
        <v/>
      </c>
      <c r="AQ109" s="75">
        <f>$C109*INDEX(Curves!$AE$8:$AE$68,AQ$4-$B109+1)</f>
        <v/>
      </c>
      <c r="AR109" s="75">
        <f>$C109*INDEX(Curves!$AE$8:$AE$68,AR$4-$B109+1)</f>
        <v/>
      </c>
      <c r="AS109" s="75">
        <f>$C109*INDEX(Curves!$AE$8:$AE$68,AS$4-$B109+1)</f>
        <v/>
      </c>
      <c r="AT109" s="75">
        <f>$C109*INDEX(Curves!$AE$8:$AE$68,AT$4-$B109+1)</f>
        <v/>
      </c>
      <c r="AU109" s="75">
        <f>$C109*INDEX(Curves!$AE$8:$AE$68,AU$4-$B109+1)</f>
        <v/>
      </c>
      <c r="AV109" s="75">
        <f>$C109*INDEX(Curves!$AE$8:$AE$68,AV$4-$B109+1)</f>
        <v/>
      </c>
      <c r="AW109" s="75">
        <f>$C109*INDEX(Curves!$AE$8:$AE$68,AW$4-$B109+1)</f>
        <v/>
      </c>
      <c r="AX109" s="75">
        <f>$C109*INDEX(Curves!$AE$8:$AE$68,AX$4-$B109+1)</f>
        <v/>
      </c>
      <c r="AY109" s="75">
        <f>$C109*INDEX(Curves!$AE$8:$AE$68,AY$4-$B109+1)</f>
        <v/>
      </c>
      <c r="AZ109" s="75">
        <f>$C109*INDEX(Curves!$AE$8:$AE$68,AZ$4-$B109+1)</f>
        <v/>
      </c>
      <c r="BA109" s="75">
        <f>$C109*INDEX(Curves!$AE$8:$AE$68,BA$4-$B109+1)</f>
        <v/>
      </c>
      <c r="BB109" s="75">
        <f>$C109*INDEX(Curves!$AE$8:$AE$68,BB$4-$B109+1)</f>
        <v/>
      </c>
      <c r="BC109" s="75">
        <f>$C109*INDEX(Curves!$AE$8:$AE$68,BC$4-$B109+1)</f>
        <v/>
      </c>
      <c r="BD109" s="75">
        <f>$C109*INDEX(Curves!$AE$8:$AE$68,BD$4-$B109+1)</f>
        <v/>
      </c>
      <c r="BE109" s="75">
        <f>$C109*INDEX(Curves!$AE$8:$AE$68,BE$4-$B109+1)</f>
        <v/>
      </c>
      <c r="BF109" s="75">
        <f>$C109*INDEX(Curves!$AE$8:$AE$68,BF$4-$B109+1)</f>
        <v/>
      </c>
      <c r="BG109" s="75">
        <f>$C109*INDEX(Curves!$AE$8:$AE$68,BG$4-$B109+1)</f>
        <v/>
      </c>
      <c r="BH109" s="75">
        <f>$C109*INDEX(Curves!$AE$8:$AE$68,BH$4-$B109+1)</f>
        <v/>
      </c>
      <c r="BI109" s="75">
        <f>$C109*INDEX(Curves!$AE$8:$AE$68,BI$4-$B109+1)</f>
        <v/>
      </c>
      <c r="BJ109" s="75">
        <f>$C109*INDEX(Curves!$AE$8:$AE$68,BJ$4-$B109+1)</f>
        <v/>
      </c>
      <c r="BK109" s="75">
        <f>$C109*INDEX(Curves!$AE$8:$AE$68,BK$4-$B109+1)</f>
        <v/>
      </c>
      <c r="BL109" s="75">
        <f>$C109*INDEX(Curves!$AE$8:$AE$68,BL$4-$B109+1)</f>
        <v/>
      </c>
    </row>
    <row r="110">
      <c r="A110" s="74" t="inlineStr">
        <is>
          <t>Cohort month 38</t>
        </is>
      </c>
      <c r="B110" s="74" t="n">
        <v>38</v>
      </c>
      <c r="C110" s="17">
        <f>INDEX(Ops!$E$59:$BL$59,1,$B110)</f>
        <v/>
      </c>
      <c r="AQ110" s="75">
        <f>$C110*INDEX(Curves!$AE$8:$AE$68,AQ$4-$B110+1)</f>
        <v/>
      </c>
      <c r="AR110" s="75">
        <f>$C110*INDEX(Curves!$AE$8:$AE$68,AR$4-$B110+1)</f>
        <v/>
      </c>
      <c r="AS110" s="75">
        <f>$C110*INDEX(Curves!$AE$8:$AE$68,AS$4-$B110+1)</f>
        <v/>
      </c>
      <c r="AT110" s="75">
        <f>$C110*INDEX(Curves!$AE$8:$AE$68,AT$4-$B110+1)</f>
        <v/>
      </c>
      <c r="AU110" s="75">
        <f>$C110*INDEX(Curves!$AE$8:$AE$68,AU$4-$B110+1)</f>
        <v/>
      </c>
      <c r="AV110" s="75">
        <f>$C110*INDEX(Curves!$AE$8:$AE$68,AV$4-$B110+1)</f>
        <v/>
      </c>
      <c r="AW110" s="75">
        <f>$C110*INDEX(Curves!$AE$8:$AE$68,AW$4-$B110+1)</f>
        <v/>
      </c>
      <c r="AX110" s="75">
        <f>$C110*INDEX(Curves!$AE$8:$AE$68,AX$4-$B110+1)</f>
        <v/>
      </c>
      <c r="AY110" s="75">
        <f>$C110*INDEX(Curves!$AE$8:$AE$68,AY$4-$B110+1)</f>
        <v/>
      </c>
      <c r="AZ110" s="75">
        <f>$C110*INDEX(Curves!$AE$8:$AE$68,AZ$4-$B110+1)</f>
        <v/>
      </c>
      <c r="BA110" s="75">
        <f>$C110*INDEX(Curves!$AE$8:$AE$68,BA$4-$B110+1)</f>
        <v/>
      </c>
      <c r="BB110" s="75">
        <f>$C110*INDEX(Curves!$AE$8:$AE$68,BB$4-$B110+1)</f>
        <v/>
      </c>
      <c r="BC110" s="75">
        <f>$C110*INDEX(Curves!$AE$8:$AE$68,BC$4-$B110+1)</f>
        <v/>
      </c>
      <c r="BD110" s="75">
        <f>$C110*INDEX(Curves!$AE$8:$AE$68,BD$4-$B110+1)</f>
        <v/>
      </c>
      <c r="BE110" s="75">
        <f>$C110*INDEX(Curves!$AE$8:$AE$68,BE$4-$B110+1)</f>
        <v/>
      </c>
      <c r="BF110" s="75">
        <f>$C110*INDEX(Curves!$AE$8:$AE$68,BF$4-$B110+1)</f>
        <v/>
      </c>
      <c r="BG110" s="75">
        <f>$C110*INDEX(Curves!$AE$8:$AE$68,BG$4-$B110+1)</f>
        <v/>
      </c>
      <c r="BH110" s="75">
        <f>$C110*INDEX(Curves!$AE$8:$AE$68,BH$4-$B110+1)</f>
        <v/>
      </c>
      <c r="BI110" s="75">
        <f>$C110*INDEX(Curves!$AE$8:$AE$68,BI$4-$B110+1)</f>
        <v/>
      </c>
      <c r="BJ110" s="75">
        <f>$C110*INDEX(Curves!$AE$8:$AE$68,BJ$4-$B110+1)</f>
        <v/>
      </c>
      <c r="BK110" s="75">
        <f>$C110*INDEX(Curves!$AE$8:$AE$68,BK$4-$B110+1)</f>
        <v/>
      </c>
      <c r="BL110" s="75">
        <f>$C110*INDEX(Curves!$AE$8:$AE$68,BL$4-$B110+1)</f>
        <v/>
      </c>
    </row>
    <row r="111">
      <c r="A111" s="74" t="inlineStr">
        <is>
          <t>Cohort month 39</t>
        </is>
      </c>
      <c r="B111" s="74" t="n">
        <v>39</v>
      </c>
      <c r="C111" s="17">
        <f>INDEX(Ops!$E$59:$BL$59,1,$B111)</f>
        <v/>
      </c>
      <c r="AR111" s="75">
        <f>$C111*INDEX(Curves!$AE$8:$AE$68,AR$4-$B111+1)</f>
        <v/>
      </c>
      <c r="AS111" s="75">
        <f>$C111*INDEX(Curves!$AE$8:$AE$68,AS$4-$B111+1)</f>
        <v/>
      </c>
      <c r="AT111" s="75">
        <f>$C111*INDEX(Curves!$AE$8:$AE$68,AT$4-$B111+1)</f>
        <v/>
      </c>
      <c r="AU111" s="75">
        <f>$C111*INDEX(Curves!$AE$8:$AE$68,AU$4-$B111+1)</f>
        <v/>
      </c>
      <c r="AV111" s="75">
        <f>$C111*INDEX(Curves!$AE$8:$AE$68,AV$4-$B111+1)</f>
        <v/>
      </c>
      <c r="AW111" s="75">
        <f>$C111*INDEX(Curves!$AE$8:$AE$68,AW$4-$B111+1)</f>
        <v/>
      </c>
      <c r="AX111" s="75">
        <f>$C111*INDEX(Curves!$AE$8:$AE$68,AX$4-$B111+1)</f>
        <v/>
      </c>
      <c r="AY111" s="75">
        <f>$C111*INDEX(Curves!$AE$8:$AE$68,AY$4-$B111+1)</f>
        <v/>
      </c>
      <c r="AZ111" s="75">
        <f>$C111*INDEX(Curves!$AE$8:$AE$68,AZ$4-$B111+1)</f>
        <v/>
      </c>
      <c r="BA111" s="75">
        <f>$C111*INDEX(Curves!$AE$8:$AE$68,BA$4-$B111+1)</f>
        <v/>
      </c>
      <c r="BB111" s="75">
        <f>$C111*INDEX(Curves!$AE$8:$AE$68,BB$4-$B111+1)</f>
        <v/>
      </c>
      <c r="BC111" s="75">
        <f>$C111*INDEX(Curves!$AE$8:$AE$68,BC$4-$B111+1)</f>
        <v/>
      </c>
      <c r="BD111" s="75">
        <f>$C111*INDEX(Curves!$AE$8:$AE$68,BD$4-$B111+1)</f>
        <v/>
      </c>
      <c r="BE111" s="75">
        <f>$C111*INDEX(Curves!$AE$8:$AE$68,BE$4-$B111+1)</f>
        <v/>
      </c>
      <c r="BF111" s="75">
        <f>$C111*INDEX(Curves!$AE$8:$AE$68,BF$4-$B111+1)</f>
        <v/>
      </c>
      <c r="BG111" s="75">
        <f>$C111*INDEX(Curves!$AE$8:$AE$68,BG$4-$B111+1)</f>
        <v/>
      </c>
      <c r="BH111" s="75">
        <f>$C111*INDEX(Curves!$AE$8:$AE$68,BH$4-$B111+1)</f>
        <v/>
      </c>
      <c r="BI111" s="75">
        <f>$C111*INDEX(Curves!$AE$8:$AE$68,BI$4-$B111+1)</f>
        <v/>
      </c>
      <c r="BJ111" s="75">
        <f>$C111*INDEX(Curves!$AE$8:$AE$68,BJ$4-$B111+1)</f>
        <v/>
      </c>
      <c r="BK111" s="75">
        <f>$C111*INDEX(Curves!$AE$8:$AE$68,BK$4-$B111+1)</f>
        <v/>
      </c>
      <c r="BL111" s="75">
        <f>$C111*INDEX(Curves!$AE$8:$AE$68,BL$4-$B111+1)</f>
        <v/>
      </c>
    </row>
    <row r="112">
      <c r="A112" s="74" t="inlineStr">
        <is>
          <t>Cohort month 40</t>
        </is>
      </c>
      <c r="B112" s="74" t="n">
        <v>40</v>
      </c>
      <c r="C112" s="17">
        <f>INDEX(Ops!$E$59:$BL$59,1,$B112)</f>
        <v/>
      </c>
      <c r="AS112" s="75">
        <f>$C112*INDEX(Curves!$AE$8:$AE$68,AS$4-$B112+1)</f>
        <v/>
      </c>
      <c r="AT112" s="75">
        <f>$C112*INDEX(Curves!$AE$8:$AE$68,AT$4-$B112+1)</f>
        <v/>
      </c>
      <c r="AU112" s="75">
        <f>$C112*INDEX(Curves!$AE$8:$AE$68,AU$4-$B112+1)</f>
        <v/>
      </c>
      <c r="AV112" s="75">
        <f>$C112*INDEX(Curves!$AE$8:$AE$68,AV$4-$B112+1)</f>
        <v/>
      </c>
      <c r="AW112" s="75">
        <f>$C112*INDEX(Curves!$AE$8:$AE$68,AW$4-$B112+1)</f>
        <v/>
      </c>
      <c r="AX112" s="75">
        <f>$C112*INDEX(Curves!$AE$8:$AE$68,AX$4-$B112+1)</f>
        <v/>
      </c>
      <c r="AY112" s="75">
        <f>$C112*INDEX(Curves!$AE$8:$AE$68,AY$4-$B112+1)</f>
        <v/>
      </c>
      <c r="AZ112" s="75">
        <f>$C112*INDEX(Curves!$AE$8:$AE$68,AZ$4-$B112+1)</f>
        <v/>
      </c>
      <c r="BA112" s="75">
        <f>$C112*INDEX(Curves!$AE$8:$AE$68,BA$4-$B112+1)</f>
        <v/>
      </c>
      <c r="BB112" s="75">
        <f>$C112*INDEX(Curves!$AE$8:$AE$68,BB$4-$B112+1)</f>
        <v/>
      </c>
      <c r="BC112" s="75">
        <f>$C112*INDEX(Curves!$AE$8:$AE$68,BC$4-$B112+1)</f>
        <v/>
      </c>
      <c r="BD112" s="75">
        <f>$C112*INDEX(Curves!$AE$8:$AE$68,BD$4-$B112+1)</f>
        <v/>
      </c>
      <c r="BE112" s="75">
        <f>$C112*INDEX(Curves!$AE$8:$AE$68,BE$4-$B112+1)</f>
        <v/>
      </c>
      <c r="BF112" s="75">
        <f>$C112*INDEX(Curves!$AE$8:$AE$68,BF$4-$B112+1)</f>
        <v/>
      </c>
      <c r="BG112" s="75">
        <f>$C112*INDEX(Curves!$AE$8:$AE$68,BG$4-$B112+1)</f>
        <v/>
      </c>
      <c r="BH112" s="75">
        <f>$C112*INDEX(Curves!$AE$8:$AE$68,BH$4-$B112+1)</f>
        <v/>
      </c>
      <c r="BI112" s="75">
        <f>$C112*INDEX(Curves!$AE$8:$AE$68,BI$4-$B112+1)</f>
        <v/>
      </c>
      <c r="BJ112" s="75">
        <f>$C112*INDEX(Curves!$AE$8:$AE$68,BJ$4-$B112+1)</f>
        <v/>
      </c>
      <c r="BK112" s="75">
        <f>$C112*INDEX(Curves!$AE$8:$AE$68,BK$4-$B112+1)</f>
        <v/>
      </c>
      <c r="BL112" s="75">
        <f>$C112*INDEX(Curves!$AE$8:$AE$68,BL$4-$B112+1)</f>
        <v/>
      </c>
    </row>
    <row r="113">
      <c r="A113" s="74" t="inlineStr">
        <is>
          <t>Cohort month 41</t>
        </is>
      </c>
      <c r="B113" s="74" t="n">
        <v>41</v>
      </c>
      <c r="C113" s="17">
        <f>INDEX(Ops!$E$59:$BL$59,1,$B113)</f>
        <v/>
      </c>
      <c r="AT113" s="75">
        <f>$C113*INDEX(Curves!$AE$8:$AE$68,AT$4-$B113+1)</f>
        <v/>
      </c>
      <c r="AU113" s="75">
        <f>$C113*INDEX(Curves!$AE$8:$AE$68,AU$4-$B113+1)</f>
        <v/>
      </c>
      <c r="AV113" s="75">
        <f>$C113*INDEX(Curves!$AE$8:$AE$68,AV$4-$B113+1)</f>
        <v/>
      </c>
      <c r="AW113" s="75">
        <f>$C113*INDEX(Curves!$AE$8:$AE$68,AW$4-$B113+1)</f>
        <v/>
      </c>
      <c r="AX113" s="75">
        <f>$C113*INDEX(Curves!$AE$8:$AE$68,AX$4-$B113+1)</f>
        <v/>
      </c>
      <c r="AY113" s="75">
        <f>$C113*INDEX(Curves!$AE$8:$AE$68,AY$4-$B113+1)</f>
        <v/>
      </c>
      <c r="AZ113" s="75">
        <f>$C113*INDEX(Curves!$AE$8:$AE$68,AZ$4-$B113+1)</f>
        <v/>
      </c>
      <c r="BA113" s="75">
        <f>$C113*INDEX(Curves!$AE$8:$AE$68,BA$4-$B113+1)</f>
        <v/>
      </c>
      <c r="BB113" s="75">
        <f>$C113*INDEX(Curves!$AE$8:$AE$68,BB$4-$B113+1)</f>
        <v/>
      </c>
      <c r="BC113" s="75">
        <f>$C113*INDEX(Curves!$AE$8:$AE$68,BC$4-$B113+1)</f>
        <v/>
      </c>
      <c r="BD113" s="75">
        <f>$C113*INDEX(Curves!$AE$8:$AE$68,BD$4-$B113+1)</f>
        <v/>
      </c>
      <c r="BE113" s="75">
        <f>$C113*INDEX(Curves!$AE$8:$AE$68,BE$4-$B113+1)</f>
        <v/>
      </c>
      <c r="BF113" s="75">
        <f>$C113*INDEX(Curves!$AE$8:$AE$68,BF$4-$B113+1)</f>
        <v/>
      </c>
      <c r="BG113" s="75">
        <f>$C113*INDEX(Curves!$AE$8:$AE$68,BG$4-$B113+1)</f>
        <v/>
      </c>
      <c r="BH113" s="75">
        <f>$C113*INDEX(Curves!$AE$8:$AE$68,BH$4-$B113+1)</f>
        <v/>
      </c>
      <c r="BI113" s="75">
        <f>$C113*INDEX(Curves!$AE$8:$AE$68,BI$4-$B113+1)</f>
        <v/>
      </c>
      <c r="BJ113" s="75">
        <f>$C113*INDEX(Curves!$AE$8:$AE$68,BJ$4-$B113+1)</f>
        <v/>
      </c>
      <c r="BK113" s="75">
        <f>$C113*INDEX(Curves!$AE$8:$AE$68,BK$4-$B113+1)</f>
        <v/>
      </c>
      <c r="BL113" s="75">
        <f>$C113*INDEX(Curves!$AE$8:$AE$68,BL$4-$B113+1)</f>
        <v/>
      </c>
    </row>
    <row r="114">
      <c r="A114" s="74" t="inlineStr">
        <is>
          <t>Cohort month 42</t>
        </is>
      </c>
      <c r="B114" s="74" t="n">
        <v>42</v>
      </c>
      <c r="C114" s="17">
        <f>INDEX(Ops!$E$59:$BL$59,1,$B114)</f>
        <v/>
      </c>
      <c r="AU114" s="75">
        <f>$C114*INDEX(Curves!$AE$8:$AE$68,AU$4-$B114+1)</f>
        <v/>
      </c>
      <c r="AV114" s="75">
        <f>$C114*INDEX(Curves!$AE$8:$AE$68,AV$4-$B114+1)</f>
        <v/>
      </c>
      <c r="AW114" s="75">
        <f>$C114*INDEX(Curves!$AE$8:$AE$68,AW$4-$B114+1)</f>
        <v/>
      </c>
      <c r="AX114" s="75">
        <f>$C114*INDEX(Curves!$AE$8:$AE$68,AX$4-$B114+1)</f>
        <v/>
      </c>
      <c r="AY114" s="75">
        <f>$C114*INDEX(Curves!$AE$8:$AE$68,AY$4-$B114+1)</f>
        <v/>
      </c>
      <c r="AZ114" s="75">
        <f>$C114*INDEX(Curves!$AE$8:$AE$68,AZ$4-$B114+1)</f>
        <v/>
      </c>
      <c r="BA114" s="75">
        <f>$C114*INDEX(Curves!$AE$8:$AE$68,BA$4-$B114+1)</f>
        <v/>
      </c>
      <c r="BB114" s="75">
        <f>$C114*INDEX(Curves!$AE$8:$AE$68,BB$4-$B114+1)</f>
        <v/>
      </c>
      <c r="BC114" s="75">
        <f>$C114*INDEX(Curves!$AE$8:$AE$68,BC$4-$B114+1)</f>
        <v/>
      </c>
      <c r="BD114" s="75">
        <f>$C114*INDEX(Curves!$AE$8:$AE$68,BD$4-$B114+1)</f>
        <v/>
      </c>
      <c r="BE114" s="75">
        <f>$C114*INDEX(Curves!$AE$8:$AE$68,BE$4-$B114+1)</f>
        <v/>
      </c>
      <c r="BF114" s="75">
        <f>$C114*INDEX(Curves!$AE$8:$AE$68,BF$4-$B114+1)</f>
        <v/>
      </c>
      <c r="BG114" s="75">
        <f>$C114*INDEX(Curves!$AE$8:$AE$68,BG$4-$B114+1)</f>
        <v/>
      </c>
      <c r="BH114" s="75">
        <f>$C114*INDEX(Curves!$AE$8:$AE$68,BH$4-$B114+1)</f>
        <v/>
      </c>
      <c r="BI114" s="75">
        <f>$C114*INDEX(Curves!$AE$8:$AE$68,BI$4-$B114+1)</f>
        <v/>
      </c>
      <c r="BJ114" s="75">
        <f>$C114*INDEX(Curves!$AE$8:$AE$68,BJ$4-$B114+1)</f>
        <v/>
      </c>
      <c r="BK114" s="75">
        <f>$C114*INDEX(Curves!$AE$8:$AE$68,BK$4-$B114+1)</f>
        <v/>
      </c>
      <c r="BL114" s="75">
        <f>$C114*INDEX(Curves!$AE$8:$AE$68,BL$4-$B114+1)</f>
        <v/>
      </c>
    </row>
    <row r="115">
      <c r="A115" s="74" t="inlineStr">
        <is>
          <t>Cohort month 43</t>
        </is>
      </c>
      <c r="B115" s="74" t="n">
        <v>43</v>
      </c>
      <c r="C115" s="17">
        <f>INDEX(Ops!$E$59:$BL$59,1,$B115)</f>
        <v/>
      </c>
      <c r="AV115" s="75">
        <f>$C115*INDEX(Curves!$AE$8:$AE$68,AV$4-$B115+1)</f>
        <v/>
      </c>
      <c r="AW115" s="75">
        <f>$C115*INDEX(Curves!$AE$8:$AE$68,AW$4-$B115+1)</f>
        <v/>
      </c>
      <c r="AX115" s="75">
        <f>$C115*INDEX(Curves!$AE$8:$AE$68,AX$4-$B115+1)</f>
        <v/>
      </c>
      <c r="AY115" s="75">
        <f>$C115*INDEX(Curves!$AE$8:$AE$68,AY$4-$B115+1)</f>
        <v/>
      </c>
      <c r="AZ115" s="75">
        <f>$C115*INDEX(Curves!$AE$8:$AE$68,AZ$4-$B115+1)</f>
        <v/>
      </c>
      <c r="BA115" s="75">
        <f>$C115*INDEX(Curves!$AE$8:$AE$68,BA$4-$B115+1)</f>
        <v/>
      </c>
      <c r="BB115" s="75">
        <f>$C115*INDEX(Curves!$AE$8:$AE$68,BB$4-$B115+1)</f>
        <v/>
      </c>
      <c r="BC115" s="75">
        <f>$C115*INDEX(Curves!$AE$8:$AE$68,BC$4-$B115+1)</f>
        <v/>
      </c>
      <c r="BD115" s="75">
        <f>$C115*INDEX(Curves!$AE$8:$AE$68,BD$4-$B115+1)</f>
        <v/>
      </c>
      <c r="BE115" s="75">
        <f>$C115*INDEX(Curves!$AE$8:$AE$68,BE$4-$B115+1)</f>
        <v/>
      </c>
      <c r="BF115" s="75">
        <f>$C115*INDEX(Curves!$AE$8:$AE$68,BF$4-$B115+1)</f>
        <v/>
      </c>
      <c r="BG115" s="75">
        <f>$C115*INDEX(Curves!$AE$8:$AE$68,BG$4-$B115+1)</f>
        <v/>
      </c>
      <c r="BH115" s="75">
        <f>$C115*INDEX(Curves!$AE$8:$AE$68,BH$4-$B115+1)</f>
        <v/>
      </c>
      <c r="BI115" s="75">
        <f>$C115*INDEX(Curves!$AE$8:$AE$68,BI$4-$B115+1)</f>
        <v/>
      </c>
      <c r="BJ115" s="75">
        <f>$C115*INDEX(Curves!$AE$8:$AE$68,BJ$4-$B115+1)</f>
        <v/>
      </c>
      <c r="BK115" s="75">
        <f>$C115*INDEX(Curves!$AE$8:$AE$68,BK$4-$B115+1)</f>
        <v/>
      </c>
      <c r="BL115" s="75">
        <f>$C115*INDEX(Curves!$AE$8:$AE$68,BL$4-$B115+1)</f>
        <v/>
      </c>
    </row>
    <row r="116">
      <c r="A116" s="74" t="inlineStr">
        <is>
          <t>Cohort month 44</t>
        </is>
      </c>
      <c r="B116" s="74" t="n">
        <v>44</v>
      </c>
      <c r="C116" s="17">
        <f>INDEX(Ops!$E$59:$BL$59,1,$B116)</f>
        <v/>
      </c>
      <c r="AW116" s="75">
        <f>$C116*INDEX(Curves!$AE$8:$AE$68,AW$4-$B116+1)</f>
        <v/>
      </c>
      <c r="AX116" s="75">
        <f>$C116*INDEX(Curves!$AE$8:$AE$68,AX$4-$B116+1)</f>
        <v/>
      </c>
      <c r="AY116" s="75">
        <f>$C116*INDEX(Curves!$AE$8:$AE$68,AY$4-$B116+1)</f>
        <v/>
      </c>
      <c r="AZ116" s="75">
        <f>$C116*INDEX(Curves!$AE$8:$AE$68,AZ$4-$B116+1)</f>
        <v/>
      </c>
      <c r="BA116" s="75">
        <f>$C116*INDEX(Curves!$AE$8:$AE$68,BA$4-$B116+1)</f>
        <v/>
      </c>
      <c r="BB116" s="75">
        <f>$C116*INDEX(Curves!$AE$8:$AE$68,BB$4-$B116+1)</f>
        <v/>
      </c>
      <c r="BC116" s="75">
        <f>$C116*INDEX(Curves!$AE$8:$AE$68,BC$4-$B116+1)</f>
        <v/>
      </c>
      <c r="BD116" s="75">
        <f>$C116*INDEX(Curves!$AE$8:$AE$68,BD$4-$B116+1)</f>
        <v/>
      </c>
      <c r="BE116" s="75">
        <f>$C116*INDEX(Curves!$AE$8:$AE$68,BE$4-$B116+1)</f>
        <v/>
      </c>
      <c r="BF116" s="75">
        <f>$C116*INDEX(Curves!$AE$8:$AE$68,BF$4-$B116+1)</f>
        <v/>
      </c>
      <c r="BG116" s="75">
        <f>$C116*INDEX(Curves!$AE$8:$AE$68,BG$4-$B116+1)</f>
        <v/>
      </c>
      <c r="BH116" s="75">
        <f>$C116*INDEX(Curves!$AE$8:$AE$68,BH$4-$B116+1)</f>
        <v/>
      </c>
      <c r="BI116" s="75">
        <f>$C116*INDEX(Curves!$AE$8:$AE$68,BI$4-$B116+1)</f>
        <v/>
      </c>
      <c r="BJ116" s="75">
        <f>$C116*INDEX(Curves!$AE$8:$AE$68,BJ$4-$B116+1)</f>
        <v/>
      </c>
      <c r="BK116" s="75">
        <f>$C116*INDEX(Curves!$AE$8:$AE$68,BK$4-$B116+1)</f>
        <v/>
      </c>
      <c r="BL116" s="75">
        <f>$C116*INDEX(Curves!$AE$8:$AE$68,BL$4-$B116+1)</f>
        <v/>
      </c>
    </row>
    <row r="117">
      <c r="A117" s="74" t="inlineStr">
        <is>
          <t>Cohort month 45</t>
        </is>
      </c>
      <c r="B117" s="74" t="n">
        <v>45</v>
      </c>
      <c r="C117" s="17">
        <f>INDEX(Ops!$E$59:$BL$59,1,$B117)</f>
        <v/>
      </c>
      <c r="AX117" s="75">
        <f>$C117*INDEX(Curves!$AE$8:$AE$68,AX$4-$B117+1)</f>
        <v/>
      </c>
      <c r="AY117" s="75">
        <f>$C117*INDEX(Curves!$AE$8:$AE$68,AY$4-$B117+1)</f>
        <v/>
      </c>
      <c r="AZ117" s="75">
        <f>$C117*INDEX(Curves!$AE$8:$AE$68,AZ$4-$B117+1)</f>
        <v/>
      </c>
      <c r="BA117" s="75">
        <f>$C117*INDEX(Curves!$AE$8:$AE$68,BA$4-$B117+1)</f>
        <v/>
      </c>
      <c r="BB117" s="75">
        <f>$C117*INDEX(Curves!$AE$8:$AE$68,BB$4-$B117+1)</f>
        <v/>
      </c>
      <c r="BC117" s="75">
        <f>$C117*INDEX(Curves!$AE$8:$AE$68,BC$4-$B117+1)</f>
        <v/>
      </c>
      <c r="BD117" s="75">
        <f>$C117*INDEX(Curves!$AE$8:$AE$68,BD$4-$B117+1)</f>
        <v/>
      </c>
      <c r="BE117" s="75">
        <f>$C117*INDEX(Curves!$AE$8:$AE$68,BE$4-$B117+1)</f>
        <v/>
      </c>
      <c r="BF117" s="75">
        <f>$C117*INDEX(Curves!$AE$8:$AE$68,BF$4-$B117+1)</f>
        <v/>
      </c>
      <c r="BG117" s="75">
        <f>$C117*INDEX(Curves!$AE$8:$AE$68,BG$4-$B117+1)</f>
        <v/>
      </c>
      <c r="BH117" s="75">
        <f>$C117*INDEX(Curves!$AE$8:$AE$68,BH$4-$B117+1)</f>
        <v/>
      </c>
      <c r="BI117" s="75">
        <f>$C117*INDEX(Curves!$AE$8:$AE$68,BI$4-$B117+1)</f>
        <v/>
      </c>
      <c r="BJ117" s="75">
        <f>$C117*INDEX(Curves!$AE$8:$AE$68,BJ$4-$B117+1)</f>
        <v/>
      </c>
      <c r="BK117" s="75">
        <f>$C117*INDEX(Curves!$AE$8:$AE$68,BK$4-$B117+1)</f>
        <v/>
      </c>
      <c r="BL117" s="75">
        <f>$C117*INDEX(Curves!$AE$8:$AE$68,BL$4-$B117+1)</f>
        <v/>
      </c>
    </row>
    <row r="118">
      <c r="A118" s="74" t="inlineStr">
        <is>
          <t>Cohort month 46</t>
        </is>
      </c>
      <c r="B118" s="74" t="n">
        <v>46</v>
      </c>
      <c r="C118" s="17">
        <f>INDEX(Ops!$E$59:$BL$59,1,$B118)</f>
        <v/>
      </c>
      <c r="AY118" s="75">
        <f>$C118*INDEX(Curves!$AE$8:$AE$68,AY$4-$B118+1)</f>
        <v/>
      </c>
      <c r="AZ118" s="75">
        <f>$C118*INDEX(Curves!$AE$8:$AE$68,AZ$4-$B118+1)</f>
        <v/>
      </c>
      <c r="BA118" s="75">
        <f>$C118*INDEX(Curves!$AE$8:$AE$68,BA$4-$B118+1)</f>
        <v/>
      </c>
      <c r="BB118" s="75">
        <f>$C118*INDEX(Curves!$AE$8:$AE$68,BB$4-$B118+1)</f>
        <v/>
      </c>
      <c r="BC118" s="75">
        <f>$C118*INDEX(Curves!$AE$8:$AE$68,BC$4-$B118+1)</f>
        <v/>
      </c>
      <c r="BD118" s="75">
        <f>$C118*INDEX(Curves!$AE$8:$AE$68,BD$4-$B118+1)</f>
        <v/>
      </c>
      <c r="BE118" s="75">
        <f>$C118*INDEX(Curves!$AE$8:$AE$68,BE$4-$B118+1)</f>
        <v/>
      </c>
      <c r="BF118" s="75">
        <f>$C118*INDEX(Curves!$AE$8:$AE$68,BF$4-$B118+1)</f>
        <v/>
      </c>
      <c r="BG118" s="75">
        <f>$C118*INDEX(Curves!$AE$8:$AE$68,BG$4-$B118+1)</f>
        <v/>
      </c>
      <c r="BH118" s="75">
        <f>$C118*INDEX(Curves!$AE$8:$AE$68,BH$4-$B118+1)</f>
        <v/>
      </c>
      <c r="BI118" s="75">
        <f>$C118*INDEX(Curves!$AE$8:$AE$68,BI$4-$B118+1)</f>
        <v/>
      </c>
      <c r="BJ118" s="75">
        <f>$C118*INDEX(Curves!$AE$8:$AE$68,BJ$4-$B118+1)</f>
        <v/>
      </c>
      <c r="BK118" s="75">
        <f>$C118*INDEX(Curves!$AE$8:$AE$68,BK$4-$B118+1)</f>
        <v/>
      </c>
      <c r="BL118" s="75">
        <f>$C118*INDEX(Curves!$AE$8:$AE$68,BL$4-$B118+1)</f>
        <v/>
      </c>
    </row>
    <row r="119">
      <c r="A119" s="74" t="inlineStr">
        <is>
          <t>Cohort month 47</t>
        </is>
      </c>
      <c r="B119" s="74" t="n">
        <v>47</v>
      </c>
      <c r="C119" s="17">
        <f>INDEX(Ops!$E$59:$BL$59,1,$B119)</f>
        <v/>
      </c>
      <c r="AZ119" s="75">
        <f>$C119*INDEX(Curves!$AE$8:$AE$68,AZ$4-$B119+1)</f>
        <v/>
      </c>
      <c r="BA119" s="75">
        <f>$C119*INDEX(Curves!$AE$8:$AE$68,BA$4-$B119+1)</f>
        <v/>
      </c>
      <c r="BB119" s="75">
        <f>$C119*INDEX(Curves!$AE$8:$AE$68,BB$4-$B119+1)</f>
        <v/>
      </c>
      <c r="BC119" s="75">
        <f>$C119*INDEX(Curves!$AE$8:$AE$68,BC$4-$B119+1)</f>
        <v/>
      </c>
      <c r="BD119" s="75">
        <f>$C119*INDEX(Curves!$AE$8:$AE$68,BD$4-$B119+1)</f>
        <v/>
      </c>
      <c r="BE119" s="75">
        <f>$C119*INDEX(Curves!$AE$8:$AE$68,BE$4-$B119+1)</f>
        <v/>
      </c>
      <c r="BF119" s="75">
        <f>$C119*INDEX(Curves!$AE$8:$AE$68,BF$4-$B119+1)</f>
        <v/>
      </c>
      <c r="BG119" s="75">
        <f>$C119*INDEX(Curves!$AE$8:$AE$68,BG$4-$B119+1)</f>
        <v/>
      </c>
      <c r="BH119" s="75">
        <f>$C119*INDEX(Curves!$AE$8:$AE$68,BH$4-$B119+1)</f>
        <v/>
      </c>
      <c r="BI119" s="75">
        <f>$C119*INDEX(Curves!$AE$8:$AE$68,BI$4-$B119+1)</f>
        <v/>
      </c>
      <c r="BJ119" s="75">
        <f>$C119*INDEX(Curves!$AE$8:$AE$68,BJ$4-$B119+1)</f>
        <v/>
      </c>
      <c r="BK119" s="75">
        <f>$C119*INDEX(Curves!$AE$8:$AE$68,BK$4-$B119+1)</f>
        <v/>
      </c>
      <c r="BL119" s="75">
        <f>$C119*INDEX(Curves!$AE$8:$AE$68,BL$4-$B119+1)</f>
        <v/>
      </c>
    </row>
    <row r="120">
      <c r="A120" s="74" t="inlineStr">
        <is>
          <t>Cohort month 48</t>
        </is>
      </c>
      <c r="B120" s="74" t="n">
        <v>48</v>
      </c>
      <c r="C120" s="17">
        <f>INDEX(Ops!$E$59:$BL$59,1,$B120)</f>
        <v/>
      </c>
      <c r="BA120" s="75">
        <f>$C120*INDEX(Curves!$AE$8:$AE$68,BA$4-$B120+1)</f>
        <v/>
      </c>
      <c r="BB120" s="75">
        <f>$C120*INDEX(Curves!$AE$8:$AE$68,BB$4-$B120+1)</f>
        <v/>
      </c>
      <c r="BC120" s="75">
        <f>$C120*INDEX(Curves!$AE$8:$AE$68,BC$4-$B120+1)</f>
        <v/>
      </c>
      <c r="BD120" s="75">
        <f>$C120*INDEX(Curves!$AE$8:$AE$68,BD$4-$B120+1)</f>
        <v/>
      </c>
      <c r="BE120" s="75">
        <f>$C120*INDEX(Curves!$AE$8:$AE$68,BE$4-$B120+1)</f>
        <v/>
      </c>
      <c r="BF120" s="75">
        <f>$C120*INDEX(Curves!$AE$8:$AE$68,BF$4-$B120+1)</f>
        <v/>
      </c>
      <c r="BG120" s="75">
        <f>$C120*INDEX(Curves!$AE$8:$AE$68,BG$4-$B120+1)</f>
        <v/>
      </c>
      <c r="BH120" s="75">
        <f>$C120*INDEX(Curves!$AE$8:$AE$68,BH$4-$B120+1)</f>
        <v/>
      </c>
      <c r="BI120" s="75">
        <f>$C120*INDEX(Curves!$AE$8:$AE$68,BI$4-$B120+1)</f>
        <v/>
      </c>
      <c r="BJ120" s="75">
        <f>$C120*INDEX(Curves!$AE$8:$AE$68,BJ$4-$B120+1)</f>
        <v/>
      </c>
      <c r="BK120" s="75">
        <f>$C120*INDEX(Curves!$AE$8:$AE$68,BK$4-$B120+1)</f>
        <v/>
      </c>
      <c r="BL120" s="75">
        <f>$C120*INDEX(Curves!$AE$8:$AE$68,BL$4-$B120+1)</f>
        <v/>
      </c>
    </row>
    <row r="121">
      <c r="A121" s="74" t="inlineStr">
        <is>
          <t>Cohort month 49</t>
        </is>
      </c>
      <c r="B121" s="74" t="n">
        <v>49</v>
      </c>
      <c r="C121" s="17">
        <f>INDEX(Ops!$E$59:$BL$59,1,$B121)</f>
        <v/>
      </c>
      <c r="BB121" s="75">
        <f>$C121*INDEX(Curves!$AE$8:$AE$68,BB$4-$B121+1)</f>
        <v/>
      </c>
      <c r="BC121" s="75">
        <f>$C121*INDEX(Curves!$AE$8:$AE$68,BC$4-$B121+1)</f>
        <v/>
      </c>
      <c r="BD121" s="75">
        <f>$C121*INDEX(Curves!$AE$8:$AE$68,BD$4-$B121+1)</f>
        <v/>
      </c>
      <c r="BE121" s="75">
        <f>$C121*INDEX(Curves!$AE$8:$AE$68,BE$4-$B121+1)</f>
        <v/>
      </c>
      <c r="BF121" s="75">
        <f>$C121*INDEX(Curves!$AE$8:$AE$68,BF$4-$B121+1)</f>
        <v/>
      </c>
      <c r="BG121" s="75">
        <f>$C121*INDEX(Curves!$AE$8:$AE$68,BG$4-$B121+1)</f>
        <v/>
      </c>
      <c r="BH121" s="75">
        <f>$C121*INDEX(Curves!$AE$8:$AE$68,BH$4-$B121+1)</f>
        <v/>
      </c>
      <c r="BI121" s="75">
        <f>$C121*INDEX(Curves!$AE$8:$AE$68,BI$4-$B121+1)</f>
        <v/>
      </c>
      <c r="BJ121" s="75">
        <f>$C121*INDEX(Curves!$AE$8:$AE$68,BJ$4-$B121+1)</f>
        <v/>
      </c>
      <c r="BK121" s="75">
        <f>$C121*INDEX(Curves!$AE$8:$AE$68,BK$4-$B121+1)</f>
        <v/>
      </c>
      <c r="BL121" s="75">
        <f>$C121*INDEX(Curves!$AE$8:$AE$68,BL$4-$B121+1)</f>
        <v/>
      </c>
    </row>
    <row r="122">
      <c r="A122" s="74" t="inlineStr">
        <is>
          <t>Cohort month 50</t>
        </is>
      </c>
      <c r="B122" s="74" t="n">
        <v>50</v>
      </c>
      <c r="C122" s="17">
        <f>INDEX(Ops!$E$59:$BL$59,1,$B122)</f>
        <v/>
      </c>
      <c r="BC122" s="75">
        <f>$C122*INDEX(Curves!$AE$8:$AE$68,BC$4-$B122+1)</f>
        <v/>
      </c>
      <c r="BD122" s="75">
        <f>$C122*INDEX(Curves!$AE$8:$AE$68,BD$4-$B122+1)</f>
        <v/>
      </c>
      <c r="BE122" s="75">
        <f>$C122*INDEX(Curves!$AE$8:$AE$68,BE$4-$B122+1)</f>
        <v/>
      </c>
      <c r="BF122" s="75">
        <f>$C122*INDEX(Curves!$AE$8:$AE$68,BF$4-$B122+1)</f>
        <v/>
      </c>
      <c r="BG122" s="75">
        <f>$C122*INDEX(Curves!$AE$8:$AE$68,BG$4-$B122+1)</f>
        <v/>
      </c>
      <c r="BH122" s="75">
        <f>$C122*INDEX(Curves!$AE$8:$AE$68,BH$4-$B122+1)</f>
        <v/>
      </c>
      <c r="BI122" s="75">
        <f>$C122*INDEX(Curves!$AE$8:$AE$68,BI$4-$B122+1)</f>
        <v/>
      </c>
      <c r="BJ122" s="75">
        <f>$C122*INDEX(Curves!$AE$8:$AE$68,BJ$4-$B122+1)</f>
        <v/>
      </c>
      <c r="BK122" s="75">
        <f>$C122*INDEX(Curves!$AE$8:$AE$68,BK$4-$B122+1)</f>
        <v/>
      </c>
      <c r="BL122" s="75">
        <f>$C122*INDEX(Curves!$AE$8:$AE$68,BL$4-$B122+1)</f>
        <v/>
      </c>
    </row>
    <row r="123">
      <c r="A123" s="74" t="inlineStr">
        <is>
          <t>Cohort month 51</t>
        </is>
      </c>
      <c r="B123" s="74" t="n">
        <v>51</v>
      </c>
      <c r="C123" s="17">
        <f>INDEX(Ops!$E$59:$BL$59,1,$B123)</f>
        <v/>
      </c>
      <c r="BD123" s="75">
        <f>$C123*INDEX(Curves!$AE$8:$AE$68,BD$4-$B123+1)</f>
        <v/>
      </c>
      <c r="BE123" s="75">
        <f>$C123*INDEX(Curves!$AE$8:$AE$68,BE$4-$B123+1)</f>
        <v/>
      </c>
      <c r="BF123" s="75">
        <f>$C123*INDEX(Curves!$AE$8:$AE$68,BF$4-$B123+1)</f>
        <v/>
      </c>
      <c r="BG123" s="75">
        <f>$C123*INDEX(Curves!$AE$8:$AE$68,BG$4-$B123+1)</f>
        <v/>
      </c>
      <c r="BH123" s="75">
        <f>$C123*INDEX(Curves!$AE$8:$AE$68,BH$4-$B123+1)</f>
        <v/>
      </c>
      <c r="BI123" s="75">
        <f>$C123*INDEX(Curves!$AE$8:$AE$68,BI$4-$B123+1)</f>
        <v/>
      </c>
      <c r="BJ123" s="75">
        <f>$C123*INDEX(Curves!$AE$8:$AE$68,BJ$4-$B123+1)</f>
        <v/>
      </c>
      <c r="BK123" s="75">
        <f>$C123*INDEX(Curves!$AE$8:$AE$68,BK$4-$B123+1)</f>
        <v/>
      </c>
      <c r="BL123" s="75">
        <f>$C123*INDEX(Curves!$AE$8:$AE$68,BL$4-$B123+1)</f>
        <v/>
      </c>
    </row>
    <row r="124">
      <c r="A124" s="74" t="inlineStr">
        <is>
          <t>Cohort month 52</t>
        </is>
      </c>
      <c r="B124" s="74" t="n">
        <v>52</v>
      </c>
      <c r="C124" s="17">
        <f>INDEX(Ops!$E$59:$BL$59,1,$B124)</f>
        <v/>
      </c>
      <c r="BE124" s="75">
        <f>$C124*INDEX(Curves!$AE$8:$AE$68,BE$4-$B124+1)</f>
        <v/>
      </c>
      <c r="BF124" s="75">
        <f>$C124*INDEX(Curves!$AE$8:$AE$68,BF$4-$B124+1)</f>
        <v/>
      </c>
      <c r="BG124" s="75">
        <f>$C124*INDEX(Curves!$AE$8:$AE$68,BG$4-$B124+1)</f>
        <v/>
      </c>
      <c r="BH124" s="75">
        <f>$C124*INDEX(Curves!$AE$8:$AE$68,BH$4-$B124+1)</f>
        <v/>
      </c>
      <c r="BI124" s="75">
        <f>$C124*INDEX(Curves!$AE$8:$AE$68,BI$4-$B124+1)</f>
        <v/>
      </c>
      <c r="BJ124" s="75">
        <f>$C124*INDEX(Curves!$AE$8:$AE$68,BJ$4-$B124+1)</f>
        <v/>
      </c>
      <c r="BK124" s="75">
        <f>$C124*INDEX(Curves!$AE$8:$AE$68,BK$4-$B124+1)</f>
        <v/>
      </c>
      <c r="BL124" s="75">
        <f>$C124*INDEX(Curves!$AE$8:$AE$68,BL$4-$B124+1)</f>
        <v/>
      </c>
    </row>
    <row r="125">
      <c r="A125" s="74" t="inlineStr">
        <is>
          <t>Cohort month 53</t>
        </is>
      </c>
      <c r="B125" s="74" t="n">
        <v>53</v>
      </c>
      <c r="C125" s="17">
        <f>INDEX(Ops!$E$59:$BL$59,1,$B125)</f>
        <v/>
      </c>
      <c r="BF125" s="75">
        <f>$C125*INDEX(Curves!$AE$8:$AE$68,BF$4-$B125+1)</f>
        <v/>
      </c>
      <c r="BG125" s="75">
        <f>$C125*INDEX(Curves!$AE$8:$AE$68,BG$4-$B125+1)</f>
        <v/>
      </c>
      <c r="BH125" s="75">
        <f>$C125*INDEX(Curves!$AE$8:$AE$68,BH$4-$B125+1)</f>
        <v/>
      </c>
      <c r="BI125" s="75">
        <f>$C125*INDEX(Curves!$AE$8:$AE$68,BI$4-$B125+1)</f>
        <v/>
      </c>
      <c r="BJ125" s="75">
        <f>$C125*INDEX(Curves!$AE$8:$AE$68,BJ$4-$B125+1)</f>
        <v/>
      </c>
      <c r="BK125" s="75">
        <f>$C125*INDEX(Curves!$AE$8:$AE$68,BK$4-$B125+1)</f>
        <v/>
      </c>
      <c r="BL125" s="75">
        <f>$C125*INDEX(Curves!$AE$8:$AE$68,BL$4-$B125+1)</f>
        <v/>
      </c>
    </row>
    <row r="126">
      <c r="A126" s="74" t="inlineStr">
        <is>
          <t>Cohort month 54</t>
        </is>
      </c>
      <c r="B126" s="74" t="n">
        <v>54</v>
      </c>
      <c r="C126" s="17">
        <f>INDEX(Ops!$E$59:$BL$59,1,$B126)</f>
        <v/>
      </c>
      <c r="BG126" s="75">
        <f>$C126*INDEX(Curves!$AE$8:$AE$68,BG$4-$B126+1)</f>
        <v/>
      </c>
      <c r="BH126" s="75">
        <f>$C126*INDEX(Curves!$AE$8:$AE$68,BH$4-$B126+1)</f>
        <v/>
      </c>
      <c r="BI126" s="75">
        <f>$C126*INDEX(Curves!$AE$8:$AE$68,BI$4-$B126+1)</f>
        <v/>
      </c>
      <c r="BJ126" s="75">
        <f>$C126*INDEX(Curves!$AE$8:$AE$68,BJ$4-$B126+1)</f>
        <v/>
      </c>
      <c r="BK126" s="75">
        <f>$C126*INDEX(Curves!$AE$8:$AE$68,BK$4-$B126+1)</f>
        <v/>
      </c>
      <c r="BL126" s="75">
        <f>$C126*INDEX(Curves!$AE$8:$AE$68,BL$4-$B126+1)</f>
        <v/>
      </c>
    </row>
    <row r="127">
      <c r="A127" s="74" t="inlineStr">
        <is>
          <t>Cohort month 55</t>
        </is>
      </c>
      <c r="B127" s="74" t="n">
        <v>55</v>
      </c>
      <c r="C127" s="17">
        <f>INDEX(Ops!$E$59:$BL$59,1,$B127)</f>
        <v/>
      </c>
      <c r="BH127" s="75">
        <f>$C127*INDEX(Curves!$AE$8:$AE$68,BH$4-$B127+1)</f>
        <v/>
      </c>
      <c r="BI127" s="75">
        <f>$C127*INDEX(Curves!$AE$8:$AE$68,BI$4-$B127+1)</f>
        <v/>
      </c>
      <c r="BJ127" s="75">
        <f>$C127*INDEX(Curves!$AE$8:$AE$68,BJ$4-$B127+1)</f>
        <v/>
      </c>
      <c r="BK127" s="75">
        <f>$C127*INDEX(Curves!$AE$8:$AE$68,BK$4-$B127+1)</f>
        <v/>
      </c>
      <c r="BL127" s="75">
        <f>$C127*INDEX(Curves!$AE$8:$AE$68,BL$4-$B127+1)</f>
        <v/>
      </c>
    </row>
    <row r="128">
      <c r="A128" s="74" t="inlineStr">
        <is>
          <t>Cohort month 56</t>
        </is>
      </c>
      <c r="B128" s="74" t="n">
        <v>56</v>
      </c>
      <c r="C128" s="17">
        <f>INDEX(Ops!$E$59:$BL$59,1,$B128)</f>
        <v/>
      </c>
      <c r="BI128" s="75">
        <f>$C128*INDEX(Curves!$AE$8:$AE$68,BI$4-$B128+1)</f>
        <v/>
      </c>
      <c r="BJ128" s="75">
        <f>$C128*INDEX(Curves!$AE$8:$AE$68,BJ$4-$B128+1)</f>
        <v/>
      </c>
      <c r="BK128" s="75">
        <f>$C128*INDEX(Curves!$AE$8:$AE$68,BK$4-$B128+1)</f>
        <v/>
      </c>
      <c r="BL128" s="75">
        <f>$C128*INDEX(Curves!$AE$8:$AE$68,BL$4-$B128+1)</f>
        <v/>
      </c>
    </row>
    <row r="129">
      <c r="A129" s="74" t="inlineStr">
        <is>
          <t>Cohort month 57</t>
        </is>
      </c>
      <c r="B129" s="74" t="n">
        <v>57</v>
      </c>
      <c r="C129" s="17">
        <f>INDEX(Ops!$E$59:$BL$59,1,$B129)</f>
        <v/>
      </c>
      <c r="BJ129" s="75">
        <f>$C129*INDEX(Curves!$AE$8:$AE$68,BJ$4-$B129+1)</f>
        <v/>
      </c>
      <c r="BK129" s="75">
        <f>$C129*INDEX(Curves!$AE$8:$AE$68,BK$4-$B129+1)</f>
        <v/>
      </c>
      <c r="BL129" s="75">
        <f>$C129*INDEX(Curves!$AE$8:$AE$68,BL$4-$B129+1)</f>
        <v/>
      </c>
    </row>
    <row r="130">
      <c r="A130" s="74" t="inlineStr">
        <is>
          <t>Cohort month 58</t>
        </is>
      </c>
      <c r="B130" s="74" t="n">
        <v>58</v>
      </c>
      <c r="C130" s="17">
        <f>INDEX(Ops!$E$59:$BL$59,1,$B130)</f>
        <v/>
      </c>
      <c r="BK130" s="75">
        <f>$C130*INDEX(Curves!$AE$8:$AE$68,BK$4-$B130+1)</f>
        <v/>
      </c>
      <c r="BL130" s="75">
        <f>$C130*INDEX(Curves!$AE$8:$AE$68,BL$4-$B130+1)</f>
        <v/>
      </c>
    </row>
    <row r="131">
      <c r="A131" s="74" t="inlineStr">
        <is>
          <t>Cohort month 59</t>
        </is>
      </c>
      <c r="B131" s="74" t="n">
        <v>59</v>
      </c>
      <c r="C131" s="17">
        <f>INDEX(Ops!$E$59:$BL$59,1,$B131)</f>
        <v/>
      </c>
      <c r="BL131" s="75">
        <f>$C131*INDEX(Curves!$AE$8:$AE$68,BL$4-$B131+1)</f>
        <v/>
      </c>
    </row>
    <row r="132">
      <c r="A132" s="74" t="inlineStr">
        <is>
          <t>Cohort month 60</t>
        </is>
      </c>
      <c r="B132" s="74" t="n">
        <v>60</v>
      </c>
      <c r="C132" s="17">
        <f>INDEX(Ops!$E$59:$BL$59,1,$B132)</f>
        <v/>
      </c>
    </row>
    <row r="133"/>
    <row r="134">
      <c r="A134" s="14" t="inlineStr">
        <is>
          <t>Receivables at risk by cohort (LCY)</t>
        </is>
      </c>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c r="AL134" s="15" t="n"/>
      <c r="AM134" s="15" t="n"/>
      <c r="AN134" s="15" t="n"/>
      <c r="AO134" s="15" t="n"/>
      <c r="AP134" s="15" t="n"/>
      <c r="AQ134" s="15" t="n"/>
      <c r="AR134" s="15" t="n"/>
      <c r="AS134" s="15" t="n"/>
      <c r="AT134" s="15" t="n"/>
      <c r="AU134" s="15" t="n"/>
      <c r="AV134" s="15" t="n"/>
      <c r="AW134" s="15" t="n"/>
      <c r="AX134" s="15" t="n"/>
      <c r="AY134" s="15" t="n"/>
      <c r="AZ134" s="15" t="n"/>
      <c r="BA134" s="15" t="n"/>
      <c r="BB134" s="15" t="n"/>
      <c r="BC134" s="15" t="n"/>
      <c r="BD134" s="15" t="n"/>
      <c r="BE134" s="15" t="n"/>
      <c r="BF134" s="15" t="n"/>
      <c r="BG134" s="15" t="n"/>
      <c r="BH134" s="15" t="n"/>
      <c r="BI134" s="15" t="n"/>
      <c r="BJ134" s="15" t="n"/>
      <c r="BK134" s="15" t="n"/>
      <c r="BL134" s="15" t="n"/>
    </row>
    <row r="135">
      <c r="A135" s="60" t="inlineStr">
        <is>
          <t>Total</t>
        </is>
      </c>
      <c r="B135" s="61" t="inlineStr"/>
      <c r="C135" s="63" t="n"/>
      <c r="D135" s="63" t="n"/>
      <c r="E135" s="71">
        <f>SUM(E136:E195)</f>
        <v/>
      </c>
      <c r="F135" s="71">
        <f>SUM(F136:F195)</f>
        <v/>
      </c>
      <c r="G135" s="71">
        <f>SUM(G136:G195)</f>
        <v/>
      </c>
      <c r="H135" s="71">
        <f>SUM(H136:H195)</f>
        <v/>
      </c>
      <c r="I135" s="71">
        <f>SUM(I136:I195)</f>
        <v/>
      </c>
      <c r="J135" s="71">
        <f>SUM(J136:J195)</f>
        <v/>
      </c>
      <c r="K135" s="71">
        <f>SUM(K136:K195)</f>
        <v/>
      </c>
      <c r="L135" s="71">
        <f>SUM(L136:L195)</f>
        <v/>
      </c>
      <c r="M135" s="71">
        <f>SUM(M136:M195)</f>
        <v/>
      </c>
      <c r="N135" s="71">
        <f>SUM(N136:N195)</f>
        <v/>
      </c>
      <c r="O135" s="71">
        <f>SUM(O136:O195)</f>
        <v/>
      </c>
      <c r="P135" s="71">
        <f>SUM(P136:P195)</f>
        <v/>
      </c>
      <c r="Q135" s="71">
        <f>SUM(Q136:Q195)</f>
        <v/>
      </c>
      <c r="R135" s="71">
        <f>SUM(R136:R195)</f>
        <v/>
      </c>
      <c r="S135" s="71">
        <f>SUM(S136:S195)</f>
        <v/>
      </c>
      <c r="T135" s="71">
        <f>SUM(T136:T195)</f>
        <v/>
      </c>
      <c r="U135" s="71">
        <f>SUM(U136:U195)</f>
        <v/>
      </c>
      <c r="V135" s="71">
        <f>SUM(V136:V195)</f>
        <v/>
      </c>
      <c r="W135" s="71">
        <f>SUM(W136:W195)</f>
        <v/>
      </c>
      <c r="X135" s="71">
        <f>SUM(X136:X195)</f>
        <v/>
      </c>
      <c r="Y135" s="71">
        <f>SUM(Y136:Y195)</f>
        <v/>
      </c>
      <c r="Z135" s="71">
        <f>SUM(Z136:Z195)</f>
        <v/>
      </c>
      <c r="AA135" s="71">
        <f>SUM(AA136:AA195)</f>
        <v/>
      </c>
      <c r="AB135" s="71">
        <f>SUM(AB136:AB195)</f>
        <v/>
      </c>
      <c r="AC135" s="71">
        <f>SUM(AC136:AC195)</f>
        <v/>
      </c>
      <c r="AD135" s="71">
        <f>SUM(AD136:AD195)</f>
        <v/>
      </c>
      <c r="AE135" s="71">
        <f>SUM(AE136:AE195)</f>
        <v/>
      </c>
      <c r="AF135" s="71">
        <f>SUM(AF136:AF195)</f>
        <v/>
      </c>
      <c r="AG135" s="71">
        <f>SUM(AG136:AG195)</f>
        <v/>
      </c>
      <c r="AH135" s="71">
        <f>SUM(AH136:AH195)</f>
        <v/>
      </c>
      <c r="AI135" s="71">
        <f>SUM(AI136:AI195)</f>
        <v/>
      </c>
      <c r="AJ135" s="71">
        <f>SUM(AJ136:AJ195)</f>
        <v/>
      </c>
      <c r="AK135" s="71">
        <f>SUM(AK136:AK195)</f>
        <v/>
      </c>
      <c r="AL135" s="71">
        <f>SUM(AL136:AL195)</f>
        <v/>
      </c>
      <c r="AM135" s="71">
        <f>SUM(AM136:AM195)</f>
        <v/>
      </c>
      <c r="AN135" s="71">
        <f>SUM(AN136:AN195)</f>
        <v/>
      </c>
      <c r="AO135" s="71">
        <f>SUM(AO136:AO195)</f>
        <v/>
      </c>
      <c r="AP135" s="71">
        <f>SUM(AP136:AP195)</f>
        <v/>
      </c>
      <c r="AQ135" s="71">
        <f>SUM(AQ136:AQ195)</f>
        <v/>
      </c>
      <c r="AR135" s="71">
        <f>SUM(AR136:AR195)</f>
        <v/>
      </c>
      <c r="AS135" s="71">
        <f>SUM(AS136:AS195)</f>
        <v/>
      </c>
      <c r="AT135" s="71">
        <f>SUM(AT136:AT195)</f>
        <v/>
      </c>
      <c r="AU135" s="71">
        <f>SUM(AU136:AU195)</f>
        <v/>
      </c>
      <c r="AV135" s="71">
        <f>SUM(AV136:AV195)</f>
        <v/>
      </c>
      <c r="AW135" s="71">
        <f>SUM(AW136:AW195)</f>
        <v/>
      </c>
      <c r="AX135" s="71">
        <f>SUM(AX136:AX195)</f>
        <v/>
      </c>
      <c r="AY135" s="71">
        <f>SUM(AY136:AY195)</f>
        <v/>
      </c>
      <c r="AZ135" s="71">
        <f>SUM(AZ136:AZ195)</f>
        <v/>
      </c>
      <c r="BA135" s="71">
        <f>SUM(BA136:BA195)</f>
        <v/>
      </c>
      <c r="BB135" s="71">
        <f>SUM(BB136:BB195)</f>
        <v/>
      </c>
      <c r="BC135" s="71">
        <f>SUM(BC136:BC195)</f>
        <v/>
      </c>
      <c r="BD135" s="71">
        <f>SUM(BD136:BD195)</f>
        <v/>
      </c>
      <c r="BE135" s="71">
        <f>SUM(BE136:BE195)</f>
        <v/>
      </c>
      <c r="BF135" s="71">
        <f>SUM(BF136:BF195)</f>
        <v/>
      </c>
      <c r="BG135" s="71">
        <f>SUM(BG136:BG195)</f>
        <v/>
      </c>
      <c r="BH135" s="71">
        <f>SUM(BH136:BH195)</f>
        <v/>
      </c>
      <c r="BI135" s="71">
        <f>SUM(BI136:BI195)</f>
        <v/>
      </c>
      <c r="BJ135" s="71">
        <f>SUM(BJ136:BJ195)</f>
        <v/>
      </c>
      <c r="BK135" s="71">
        <f>SUM(BK136:BK195)</f>
        <v/>
      </c>
      <c r="BL135" s="71">
        <f>SUM(BL136:BL195)</f>
        <v/>
      </c>
    </row>
    <row r="136">
      <c r="A136" s="74" t="inlineStr">
        <is>
          <t>Cohort month 1</t>
        </is>
      </c>
      <c r="B136" s="74" t="n">
        <v>1</v>
      </c>
      <c r="C136" s="17">
        <f>INDEX(Ops!$E$60:$BL$60,1,$B136)</f>
        <v/>
      </c>
      <c r="F136" s="75">
        <f>$C136*INDEX(Curves!$AD$8:$AD$68,F$4-$B136+1)</f>
        <v/>
      </c>
      <c r="G136" s="75">
        <f>$C136*INDEX(Curves!$AD$8:$AD$68,G$4-$B136+1)</f>
        <v/>
      </c>
      <c r="H136" s="75">
        <f>$C136*INDEX(Curves!$AD$8:$AD$68,H$4-$B136+1)</f>
        <v/>
      </c>
      <c r="I136" s="75">
        <f>$C136*INDEX(Curves!$AD$8:$AD$68,I$4-$B136+1)</f>
        <v/>
      </c>
      <c r="J136" s="75">
        <f>$C136*INDEX(Curves!$AD$8:$AD$68,J$4-$B136+1)</f>
        <v/>
      </c>
      <c r="K136" s="75">
        <f>$C136*INDEX(Curves!$AD$8:$AD$68,K$4-$B136+1)</f>
        <v/>
      </c>
      <c r="L136" s="75">
        <f>$C136*INDEX(Curves!$AD$8:$AD$68,L$4-$B136+1)</f>
        <v/>
      </c>
      <c r="M136" s="75">
        <f>$C136*INDEX(Curves!$AD$8:$AD$68,M$4-$B136+1)</f>
        <v/>
      </c>
      <c r="N136" s="75">
        <f>$C136*INDEX(Curves!$AD$8:$AD$68,N$4-$B136+1)</f>
        <v/>
      </c>
      <c r="O136" s="75">
        <f>$C136*INDEX(Curves!$AD$8:$AD$68,O$4-$B136+1)</f>
        <v/>
      </c>
      <c r="P136" s="75">
        <f>$C136*INDEX(Curves!$AD$8:$AD$68,P$4-$B136+1)</f>
        <v/>
      </c>
      <c r="Q136" s="75">
        <f>$C136*INDEX(Curves!$AD$8:$AD$68,Q$4-$B136+1)</f>
        <v/>
      </c>
      <c r="R136" s="75">
        <f>$C136*INDEX(Curves!$AD$8:$AD$68,R$4-$B136+1)</f>
        <v/>
      </c>
      <c r="S136" s="75">
        <f>$C136*INDEX(Curves!$AD$8:$AD$68,S$4-$B136+1)</f>
        <v/>
      </c>
      <c r="T136" s="75">
        <f>$C136*INDEX(Curves!$AD$8:$AD$68,T$4-$B136+1)</f>
        <v/>
      </c>
      <c r="U136" s="75">
        <f>$C136*INDEX(Curves!$AD$8:$AD$68,U$4-$B136+1)</f>
        <v/>
      </c>
      <c r="V136" s="75">
        <f>$C136*INDEX(Curves!$AD$8:$AD$68,V$4-$B136+1)</f>
        <v/>
      </c>
      <c r="W136" s="75">
        <f>$C136*INDEX(Curves!$AD$8:$AD$68,W$4-$B136+1)</f>
        <v/>
      </c>
      <c r="X136" s="75">
        <f>$C136*INDEX(Curves!$AD$8:$AD$68,X$4-$B136+1)</f>
        <v/>
      </c>
      <c r="Y136" s="75">
        <f>$C136*INDEX(Curves!$AD$8:$AD$68,Y$4-$B136+1)</f>
        <v/>
      </c>
      <c r="Z136" s="75">
        <f>$C136*INDEX(Curves!$AD$8:$AD$68,Z$4-$B136+1)</f>
        <v/>
      </c>
      <c r="AA136" s="75">
        <f>$C136*INDEX(Curves!$AD$8:$AD$68,AA$4-$B136+1)</f>
        <v/>
      </c>
      <c r="AB136" s="75">
        <f>$C136*INDEX(Curves!$AD$8:$AD$68,AB$4-$B136+1)</f>
        <v/>
      </c>
      <c r="AC136" s="75">
        <f>$C136*INDEX(Curves!$AD$8:$AD$68,AC$4-$B136+1)</f>
        <v/>
      </c>
      <c r="AD136" s="75">
        <f>$C136*INDEX(Curves!$AD$8:$AD$68,AD$4-$B136+1)</f>
        <v/>
      </c>
      <c r="AE136" s="75">
        <f>$C136*INDEX(Curves!$AD$8:$AD$68,AE$4-$B136+1)</f>
        <v/>
      </c>
      <c r="AF136" s="75">
        <f>$C136*INDEX(Curves!$AD$8:$AD$68,AF$4-$B136+1)</f>
        <v/>
      </c>
      <c r="AG136" s="75">
        <f>$C136*INDEX(Curves!$AD$8:$AD$68,AG$4-$B136+1)</f>
        <v/>
      </c>
      <c r="AH136" s="75">
        <f>$C136*INDEX(Curves!$AD$8:$AD$68,AH$4-$B136+1)</f>
        <v/>
      </c>
      <c r="AI136" s="75">
        <f>$C136*INDEX(Curves!$AD$8:$AD$68,AI$4-$B136+1)</f>
        <v/>
      </c>
      <c r="AJ136" s="75">
        <f>$C136*INDEX(Curves!$AD$8:$AD$68,AJ$4-$B136+1)</f>
        <v/>
      </c>
      <c r="AK136" s="75">
        <f>$C136*INDEX(Curves!$AD$8:$AD$68,AK$4-$B136+1)</f>
        <v/>
      </c>
      <c r="AL136" s="75">
        <f>$C136*INDEX(Curves!$AD$8:$AD$68,AL$4-$B136+1)</f>
        <v/>
      </c>
      <c r="AM136" s="75">
        <f>$C136*INDEX(Curves!$AD$8:$AD$68,AM$4-$B136+1)</f>
        <v/>
      </c>
      <c r="AN136" s="75">
        <f>$C136*INDEX(Curves!$AD$8:$AD$68,AN$4-$B136+1)</f>
        <v/>
      </c>
      <c r="AO136" s="75">
        <f>$C136*INDEX(Curves!$AD$8:$AD$68,AO$4-$B136+1)</f>
        <v/>
      </c>
      <c r="AP136" s="75">
        <f>$C136*INDEX(Curves!$AD$8:$AD$68,AP$4-$B136+1)</f>
        <v/>
      </c>
      <c r="AQ136" s="75">
        <f>$C136*INDEX(Curves!$AD$8:$AD$68,AQ$4-$B136+1)</f>
        <v/>
      </c>
      <c r="AR136" s="75">
        <f>$C136*INDEX(Curves!$AD$8:$AD$68,AR$4-$B136+1)</f>
        <v/>
      </c>
      <c r="AS136" s="75">
        <f>$C136*INDEX(Curves!$AD$8:$AD$68,AS$4-$B136+1)</f>
        <v/>
      </c>
      <c r="AT136" s="75">
        <f>$C136*INDEX(Curves!$AD$8:$AD$68,AT$4-$B136+1)</f>
        <v/>
      </c>
      <c r="AU136" s="75">
        <f>$C136*INDEX(Curves!$AD$8:$AD$68,AU$4-$B136+1)</f>
        <v/>
      </c>
      <c r="AV136" s="75">
        <f>$C136*INDEX(Curves!$AD$8:$AD$68,AV$4-$B136+1)</f>
        <v/>
      </c>
      <c r="AW136" s="75">
        <f>$C136*INDEX(Curves!$AD$8:$AD$68,AW$4-$B136+1)</f>
        <v/>
      </c>
      <c r="AX136" s="75">
        <f>$C136*INDEX(Curves!$AD$8:$AD$68,AX$4-$B136+1)</f>
        <v/>
      </c>
      <c r="AY136" s="75">
        <f>$C136*INDEX(Curves!$AD$8:$AD$68,AY$4-$B136+1)</f>
        <v/>
      </c>
      <c r="AZ136" s="75">
        <f>$C136*INDEX(Curves!$AD$8:$AD$68,AZ$4-$B136+1)</f>
        <v/>
      </c>
      <c r="BA136" s="75">
        <f>$C136*INDEX(Curves!$AD$8:$AD$68,BA$4-$B136+1)</f>
        <v/>
      </c>
      <c r="BB136" s="75">
        <f>$C136*INDEX(Curves!$AD$8:$AD$68,BB$4-$B136+1)</f>
        <v/>
      </c>
      <c r="BC136" s="75">
        <f>$C136*INDEX(Curves!$AD$8:$AD$68,BC$4-$B136+1)</f>
        <v/>
      </c>
      <c r="BD136" s="75">
        <f>$C136*INDEX(Curves!$AD$8:$AD$68,BD$4-$B136+1)</f>
        <v/>
      </c>
      <c r="BE136" s="75">
        <f>$C136*INDEX(Curves!$AD$8:$AD$68,BE$4-$B136+1)</f>
        <v/>
      </c>
      <c r="BF136" s="75">
        <f>$C136*INDEX(Curves!$AD$8:$AD$68,BF$4-$B136+1)</f>
        <v/>
      </c>
      <c r="BG136" s="75">
        <f>$C136*INDEX(Curves!$AD$8:$AD$68,BG$4-$B136+1)</f>
        <v/>
      </c>
      <c r="BH136" s="75">
        <f>$C136*INDEX(Curves!$AD$8:$AD$68,BH$4-$B136+1)</f>
        <v/>
      </c>
      <c r="BI136" s="75">
        <f>$C136*INDEX(Curves!$AD$8:$AD$68,BI$4-$B136+1)</f>
        <v/>
      </c>
      <c r="BJ136" s="75">
        <f>$C136*INDEX(Curves!$AD$8:$AD$68,BJ$4-$B136+1)</f>
        <v/>
      </c>
      <c r="BK136" s="75">
        <f>$C136*INDEX(Curves!$AD$8:$AD$68,BK$4-$B136+1)</f>
        <v/>
      </c>
      <c r="BL136" s="75">
        <f>$C136*INDEX(Curves!$AD$8:$AD$68,BL$4-$B136+1)</f>
        <v/>
      </c>
    </row>
    <row r="137">
      <c r="A137" s="74" t="inlineStr">
        <is>
          <t>Cohort month 2</t>
        </is>
      </c>
      <c r="B137" s="74" t="n">
        <v>2</v>
      </c>
      <c r="C137" s="17">
        <f>INDEX(Ops!$E$60:$BL$60,1,$B137)</f>
        <v/>
      </c>
      <c r="G137" s="75">
        <f>$C137*INDEX(Curves!$AD$8:$AD$68,G$4-$B137+1)</f>
        <v/>
      </c>
      <c r="H137" s="75">
        <f>$C137*INDEX(Curves!$AD$8:$AD$68,H$4-$B137+1)</f>
        <v/>
      </c>
      <c r="I137" s="75">
        <f>$C137*INDEX(Curves!$AD$8:$AD$68,I$4-$B137+1)</f>
        <v/>
      </c>
      <c r="J137" s="75">
        <f>$C137*INDEX(Curves!$AD$8:$AD$68,J$4-$B137+1)</f>
        <v/>
      </c>
      <c r="K137" s="75">
        <f>$C137*INDEX(Curves!$AD$8:$AD$68,K$4-$B137+1)</f>
        <v/>
      </c>
      <c r="L137" s="75">
        <f>$C137*INDEX(Curves!$AD$8:$AD$68,L$4-$B137+1)</f>
        <v/>
      </c>
      <c r="M137" s="75">
        <f>$C137*INDEX(Curves!$AD$8:$AD$68,M$4-$B137+1)</f>
        <v/>
      </c>
      <c r="N137" s="75">
        <f>$C137*INDEX(Curves!$AD$8:$AD$68,N$4-$B137+1)</f>
        <v/>
      </c>
      <c r="O137" s="75">
        <f>$C137*INDEX(Curves!$AD$8:$AD$68,O$4-$B137+1)</f>
        <v/>
      </c>
      <c r="P137" s="75">
        <f>$C137*INDEX(Curves!$AD$8:$AD$68,P$4-$B137+1)</f>
        <v/>
      </c>
      <c r="Q137" s="75">
        <f>$C137*INDEX(Curves!$AD$8:$AD$68,Q$4-$B137+1)</f>
        <v/>
      </c>
      <c r="R137" s="75">
        <f>$C137*INDEX(Curves!$AD$8:$AD$68,R$4-$B137+1)</f>
        <v/>
      </c>
      <c r="S137" s="75">
        <f>$C137*INDEX(Curves!$AD$8:$AD$68,S$4-$B137+1)</f>
        <v/>
      </c>
      <c r="T137" s="75">
        <f>$C137*INDEX(Curves!$AD$8:$AD$68,T$4-$B137+1)</f>
        <v/>
      </c>
      <c r="U137" s="75">
        <f>$C137*INDEX(Curves!$AD$8:$AD$68,U$4-$B137+1)</f>
        <v/>
      </c>
      <c r="V137" s="75">
        <f>$C137*INDEX(Curves!$AD$8:$AD$68,V$4-$B137+1)</f>
        <v/>
      </c>
      <c r="W137" s="75">
        <f>$C137*INDEX(Curves!$AD$8:$AD$68,W$4-$B137+1)</f>
        <v/>
      </c>
      <c r="X137" s="75">
        <f>$C137*INDEX(Curves!$AD$8:$AD$68,X$4-$B137+1)</f>
        <v/>
      </c>
      <c r="Y137" s="75">
        <f>$C137*INDEX(Curves!$AD$8:$AD$68,Y$4-$B137+1)</f>
        <v/>
      </c>
      <c r="Z137" s="75">
        <f>$C137*INDEX(Curves!$AD$8:$AD$68,Z$4-$B137+1)</f>
        <v/>
      </c>
      <c r="AA137" s="75">
        <f>$C137*INDEX(Curves!$AD$8:$AD$68,AA$4-$B137+1)</f>
        <v/>
      </c>
      <c r="AB137" s="75">
        <f>$C137*INDEX(Curves!$AD$8:$AD$68,AB$4-$B137+1)</f>
        <v/>
      </c>
      <c r="AC137" s="75">
        <f>$C137*INDEX(Curves!$AD$8:$AD$68,AC$4-$B137+1)</f>
        <v/>
      </c>
      <c r="AD137" s="75">
        <f>$C137*INDEX(Curves!$AD$8:$AD$68,AD$4-$B137+1)</f>
        <v/>
      </c>
      <c r="AE137" s="75">
        <f>$C137*INDEX(Curves!$AD$8:$AD$68,AE$4-$B137+1)</f>
        <v/>
      </c>
      <c r="AF137" s="75">
        <f>$C137*INDEX(Curves!$AD$8:$AD$68,AF$4-$B137+1)</f>
        <v/>
      </c>
      <c r="AG137" s="75">
        <f>$C137*INDEX(Curves!$AD$8:$AD$68,AG$4-$B137+1)</f>
        <v/>
      </c>
      <c r="AH137" s="75">
        <f>$C137*INDEX(Curves!$AD$8:$AD$68,AH$4-$B137+1)</f>
        <v/>
      </c>
      <c r="AI137" s="75">
        <f>$C137*INDEX(Curves!$AD$8:$AD$68,AI$4-$B137+1)</f>
        <v/>
      </c>
      <c r="AJ137" s="75">
        <f>$C137*INDEX(Curves!$AD$8:$AD$68,AJ$4-$B137+1)</f>
        <v/>
      </c>
      <c r="AK137" s="75">
        <f>$C137*INDEX(Curves!$AD$8:$AD$68,AK$4-$B137+1)</f>
        <v/>
      </c>
      <c r="AL137" s="75">
        <f>$C137*INDEX(Curves!$AD$8:$AD$68,AL$4-$B137+1)</f>
        <v/>
      </c>
      <c r="AM137" s="75">
        <f>$C137*INDEX(Curves!$AD$8:$AD$68,AM$4-$B137+1)</f>
        <v/>
      </c>
      <c r="AN137" s="75">
        <f>$C137*INDEX(Curves!$AD$8:$AD$68,AN$4-$B137+1)</f>
        <v/>
      </c>
      <c r="AO137" s="75">
        <f>$C137*INDEX(Curves!$AD$8:$AD$68,AO$4-$B137+1)</f>
        <v/>
      </c>
      <c r="AP137" s="75">
        <f>$C137*INDEX(Curves!$AD$8:$AD$68,AP$4-$B137+1)</f>
        <v/>
      </c>
      <c r="AQ137" s="75">
        <f>$C137*INDEX(Curves!$AD$8:$AD$68,AQ$4-$B137+1)</f>
        <v/>
      </c>
      <c r="AR137" s="75">
        <f>$C137*INDEX(Curves!$AD$8:$AD$68,AR$4-$B137+1)</f>
        <v/>
      </c>
      <c r="AS137" s="75">
        <f>$C137*INDEX(Curves!$AD$8:$AD$68,AS$4-$B137+1)</f>
        <v/>
      </c>
      <c r="AT137" s="75">
        <f>$C137*INDEX(Curves!$AD$8:$AD$68,AT$4-$B137+1)</f>
        <v/>
      </c>
      <c r="AU137" s="75">
        <f>$C137*INDEX(Curves!$AD$8:$AD$68,AU$4-$B137+1)</f>
        <v/>
      </c>
      <c r="AV137" s="75">
        <f>$C137*INDEX(Curves!$AD$8:$AD$68,AV$4-$B137+1)</f>
        <v/>
      </c>
      <c r="AW137" s="75">
        <f>$C137*INDEX(Curves!$AD$8:$AD$68,AW$4-$B137+1)</f>
        <v/>
      </c>
      <c r="AX137" s="75">
        <f>$C137*INDEX(Curves!$AD$8:$AD$68,AX$4-$B137+1)</f>
        <v/>
      </c>
      <c r="AY137" s="75">
        <f>$C137*INDEX(Curves!$AD$8:$AD$68,AY$4-$B137+1)</f>
        <v/>
      </c>
      <c r="AZ137" s="75">
        <f>$C137*INDEX(Curves!$AD$8:$AD$68,AZ$4-$B137+1)</f>
        <v/>
      </c>
      <c r="BA137" s="75">
        <f>$C137*INDEX(Curves!$AD$8:$AD$68,BA$4-$B137+1)</f>
        <v/>
      </c>
      <c r="BB137" s="75">
        <f>$C137*INDEX(Curves!$AD$8:$AD$68,BB$4-$B137+1)</f>
        <v/>
      </c>
      <c r="BC137" s="75">
        <f>$C137*INDEX(Curves!$AD$8:$AD$68,BC$4-$B137+1)</f>
        <v/>
      </c>
      <c r="BD137" s="75">
        <f>$C137*INDEX(Curves!$AD$8:$AD$68,BD$4-$B137+1)</f>
        <v/>
      </c>
      <c r="BE137" s="75">
        <f>$C137*INDEX(Curves!$AD$8:$AD$68,BE$4-$B137+1)</f>
        <v/>
      </c>
      <c r="BF137" s="75">
        <f>$C137*INDEX(Curves!$AD$8:$AD$68,BF$4-$B137+1)</f>
        <v/>
      </c>
      <c r="BG137" s="75">
        <f>$C137*INDEX(Curves!$AD$8:$AD$68,BG$4-$B137+1)</f>
        <v/>
      </c>
      <c r="BH137" s="75">
        <f>$C137*INDEX(Curves!$AD$8:$AD$68,BH$4-$B137+1)</f>
        <v/>
      </c>
      <c r="BI137" s="75">
        <f>$C137*INDEX(Curves!$AD$8:$AD$68,BI$4-$B137+1)</f>
        <v/>
      </c>
      <c r="BJ137" s="75">
        <f>$C137*INDEX(Curves!$AD$8:$AD$68,BJ$4-$B137+1)</f>
        <v/>
      </c>
      <c r="BK137" s="75">
        <f>$C137*INDEX(Curves!$AD$8:$AD$68,BK$4-$B137+1)</f>
        <v/>
      </c>
      <c r="BL137" s="75">
        <f>$C137*INDEX(Curves!$AD$8:$AD$68,BL$4-$B137+1)</f>
        <v/>
      </c>
    </row>
    <row r="138">
      <c r="A138" s="74" t="inlineStr">
        <is>
          <t>Cohort month 3</t>
        </is>
      </c>
      <c r="B138" s="74" t="n">
        <v>3</v>
      </c>
      <c r="C138" s="17">
        <f>INDEX(Ops!$E$60:$BL$60,1,$B138)</f>
        <v/>
      </c>
      <c r="H138" s="75">
        <f>$C138*INDEX(Curves!$AD$8:$AD$68,H$4-$B138+1)</f>
        <v/>
      </c>
      <c r="I138" s="75">
        <f>$C138*INDEX(Curves!$AD$8:$AD$68,I$4-$B138+1)</f>
        <v/>
      </c>
      <c r="J138" s="75">
        <f>$C138*INDEX(Curves!$AD$8:$AD$68,J$4-$B138+1)</f>
        <v/>
      </c>
      <c r="K138" s="75">
        <f>$C138*INDEX(Curves!$AD$8:$AD$68,K$4-$B138+1)</f>
        <v/>
      </c>
      <c r="L138" s="75">
        <f>$C138*INDEX(Curves!$AD$8:$AD$68,L$4-$B138+1)</f>
        <v/>
      </c>
      <c r="M138" s="75">
        <f>$C138*INDEX(Curves!$AD$8:$AD$68,M$4-$B138+1)</f>
        <v/>
      </c>
      <c r="N138" s="75">
        <f>$C138*INDEX(Curves!$AD$8:$AD$68,N$4-$B138+1)</f>
        <v/>
      </c>
      <c r="O138" s="75">
        <f>$C138*INDEX(Curves!$AD$8:$AD$68,O$4-$B138+1)</f>
        <v/>
      </c>
      <c r="P138" s="75">
        <f>$C138*INDEX(Curves!$AD$8:$AD$68,P$4-$B138+1)</f>
        <v/>
      </c>
      <c r="Q138" s="75">
        <f>$C138*INDEX(Curves!$AD$8:$AD$68,Q$4-$B138+1)</f>
        <v/>
      </c>
      <c r="R138" s="75">
        <f>$C138*INDEX(Curves!$AD$8:$AD$68,R$4-$B138+1)</f>
        <v/>
      </c>
      <c r="S138" s="75">
        <f>$C138*INDEX(Curves!$AD$8:$AD$68,S$4-$B138+1)</f>
        <v/>
      </c>
      <c r="T138" s="75">
        <f>$C138*INDEX(Curves!$AD$8:$AD$68,T$4-$B138+1)</f>
        <v/>
      </c>
      <c r="U138" s="75">
        <f>$C138*INDEX(Curves!$AD$8:$AD$68,U$4-$B138+1)</f>
        <v/>
      </c>
      <c r="V138" s="75">
        <f>$C138*INDEX(Curves!$AD$8:$AD$68,V$4-$B138+1)</f>
        <v/>
      </c>
      <c r="W138" s="75">
        <f>$C138*INDEX(Curves!$AD$8:$AD$68,W$4-$B138+1)</f>
        <v/>
      </c>
      <c r="X138" s="75">
        <f>$C138*INDEX(Curves!$AD$8:$AD$68,X$4-$B138+1)</f>
        <v/>
      </c>
      <c r="Y138" s="75">
        <f>$C138*INDEX(Curves!$AD$8:$AD$68,Y$4-$B138+1)</f>
        <v/>
      </c>
      <c r="Z138" s="75">
        <f>$C138*INDEX(Curves!$AD$8:$AD$68,Z$4-$B138+1)</f>
        <v/>
      </c>
      <c r="AA138" s="75">
        <f>$C138*INDEX(Curves!$AD$8:$AD$68,AA$4-$B138+1)</f>
        <v/>
      </c>
      <c r="AB138" s="75">
        <f>$C138*INDEX(Curves!$AD$8:$AD$68,AB$4-$B138+1)</f>
        <v/>
      </c>
      <c r="AC138" s="75">
        <f>$C138*INDEX(Curves!$AD$8:$AD$68,AC$4-$B138+1)</f>
        <v/>
      </c>
      <c r="AD138" s="75">
        <f>$C138*INDEX(Curves!$AD$8:$AD$68,AD$4-$B138+1)</f>
        <v/>
      </c>
      <c r="AE138" s="75">
        <f>$C138*INDEX(Curves!$AD$8:$AD$68,AE$4-$B138+1)</f>
        <v/>
      </c>
      <c r="AF138" s="75">
        <f>$C138*INDEX(Curves!$AD$8:$AD$68,AF$4-$B138+1)</f>
        <v/>
      </c>
      <c r="AG138" s="75">
        <f>$C138*INDEX(Curves!$AD$8:$AD$68,AG$4-$B138+1)</f>
        <v/>
      </c>
      <c r="AH138" s="75">
        <f>$C138*INDEX(Curves!$AD$8:$AD$68,AH$4-$B138+1)</f>
        <v/>
      </c>
      <c r="AI138" s="75">
        <f>$C138*INDEX(Curves!$AD$8:$AD$68,AI$4-$B138+1)</f>
        <v/>
      </c>
      <c r="AJ138" s="75">
        <f>$C138*INDEX(Curves!$AD$8:$AD$68,AJ$4-$B138+1)</f>
        <v/>
      </c>
      <c r="AK138" s="75">
        <f>$C138*INDEX(Curves!$AD$8:$AD$68,AK$4-$B138+1)</f>
        <v/>
      </c>
      <c r="AL138" s="75">
        <f>$C138*INDEX(Curves!$AD$8:$AD$68,AL$4-$B138+1)</f>
        <v/>
      </c>
      <c r="AM138" s="75">
        <f>$C138*INDEX(Curves!$AD$8:$AD$68,AM$4-$B138+1)</f>
        <v/>
      </c>
      <c r="AN138" s="75">
        <f>$C138*INDEX(Curves!$AD$8:$AD$68,AN$4-$B138+1)</f>
        <v/>
      </c>
      <c r="AO138" s="75">
        <f>$C138*INDEX(Curves!$AD$8:$AD$68,AO$4-$B138+1)</f>
        <v/>
      </c>
      <c r="AP138" s="75">
        <f>$C138*INDEX(Curves!$AD$8:$AD$68,AP$4-$B138+1)</f>
        <v/>
      </c>
      <c r="AQ138" s="75">
        <f>$C138*INDEX(Curves!$AD$8:$AD$68,AQ$4-$B138+1)</f>
        <v/>
      </c>
      <c r="AR138" s="75">
        <f>$C138*INDEX(Curves!$AD$8:$AD$68,AR$4-$B138+1)</f>
        <v/>
      </c>
      <c r="AS138" s="75">
        <f>$C138*INDEX(Curves!$AD$8:$AD$68,AS$4-$B138+1)</f>
        <v/>
      </c>
      <c r="AT138" s="75">
        <f>$C138*INDEX(Curves!$AD$8:$AD$68,AT$4-$B138+1)</f>
        <v/>
      </c>
      <c r="AU138" s="75">
        <f>$C138*INDEX(Curves!$AD$8:$AD$68,AU$4-$B138+1)</f>
        <v/>
      </c>
      <c r="AV138" s="75">
        <f>$C138*INDEX(Curves!$AD$8:$AD$68,AV$4-$B138+1)</f>
        <v/>
      </c>
      <c r="AW138" s="75">
        <f>$C138*INDEX(Curves!$AD$8:$AD$68,AW$4-$B138+1)</f>
        <v/>
      </c>
      <c r="AX138" s="75">
        <f>$C138*INDEX(Curves!$AD$8:$AD$68,AX$4-$B138+1)</f>
        <v/>
      </c>
      <c r="AY138" s="75">
        <f>$C138*INDEX(Curves!$AD$8:$AD$68,AY$4-$B138+1)</f>
        <v/>
      </c>
      <c r="AZ138" s="75">
        <f>$C138*INDEX(Curves!$AD$8:$AD$68,AZ$4-$B138+1)</f>
        <v/>
      </c>
      <c r="BA138" s="75">
        <f>$C138*INDEX(Curves!$AD$8:$AD$68,BA$4-$B138+1)</f>
        <v/>
      </c>
      <c r="BB138" s="75">
        <f>$C138*INDEX(Curves!$AD$8:$AD$68,BB$4-$B138+1)</f>
        <v/>
      </c>
      <c r="BC138" s="75">
        <f>$C138*INDEX(Curves!$AD$8:$AD$68,BC$4-$B138+1)</f>
        <v/>
      </c>
      <c r="BD138" s="75">
        <f>$C138*INDEX(Curves!$AD$8:$AD$68,BD$4-$B138+1)</f>
        <v/>
      </c>
      <c r="BE138" s="75">
        <f>$C138*INDEX(Curves!$AD$8:$AD$68,BE$4-$B138+1)</f>
        <v/>
      </c>
      <c r="BF138" s="75">
        <f>$C138*INDEX(Curves!$AD$8:$AD$68,BF$4-$B138+1)</f>
        <v/>
      </c>
      <c r="BG138" s="75">
        <f>$C138*INDEX(Curves!$AD$8:$AD$68,BG$4-$B138+1)</f>
        <v/>
      </c>
      <c r="BH138" s="75">
        <f>$C138*INDEX(Curves!$AD$8:$AD$68,BH$4-$B138+1)</f>
        <v/>
      </c>
      <c r="BI138" s="75">
        <f>$C138*INDEX(Curves!$AD$8:$AD$68,BI$4-$B138+1)</f>
        <v/>
      </c>
      <c r="BJ138" s="75">
        <f>$C138*INDEX(Curves!$AD$8:$AD$68,BJ$4-$B138+1)</f>
        <v/>
      </c>
      <c r="BK138" s="75">
        <f>$C138*INDEX(Curves!$AD$8:$AD$68,BK$4-$B138+1)</f>
        <v/>
      </c>
      <c r="BL138" s="75">
        <f>$C138*INDEX(Curves!$AD$8:$AD$68,BL$4-$B138+1)</f>
        <v/>
      </c>
    </row>
    <row r="139">
      <c r="A139" s="74" t="inlineStr">
        <is>
          <t>Cohort month 4</t>
        </is>
      </c>
      <c r="B139" s="74" t="n">
        <v>4</v>
      </c>
      <c r="C139" s="17">
        <f>INDEX(Ops!$E$60:$BL$60,1,$B139)</f>
        <v/>
      </c>
      <c r="I139" s="75">
        <f>$C139*INDEX(Curves!$AD$8:$AD$68,I$4-$B139+1)</f>
        <v/>
      </c>
      <c r="J139" s="75">
        <f>$C139*INDEX(Curves!$AD$8:$AD$68,J$4-$B139+1)</f>
        <v/>
      </c>
      <c r="K139" s="75">
        <f>$C139*INDEX(Curves!$AD$8:$AD$68,K$4-$B139+1)</f>
        <v/>
      </c>
      <c r="L139" s="75">
        <f>$C139*INDEX(Curves!$AD$8:$AD$68,L$4-$B139+1)</f>
        <v/>
      </c>
      <c r="M139" s="75">
        <f>$C139*INDEX(Curves!$AD$8:$AD$68,M$4-$B139+1)</f>
        <v/>
      </c>
      <c r="N139" s="75">
        <f>$C139*INDEX(Curves!$AD$8:$AD$68,N$4-$B139+1)</f>
        <v/>
      </c>
      <c r="O139" s="75">
        <f>$C139*INDEX(Curves!$AD$8:$AD$68,O$4-$B139+1)</f>
        <v/>
      </c>
      <c r="P139" s="75">
        <f>$C139*INDEX(Curves!$AD$8:$AD$68,P$4-$B139+1)</f>
        <v/>
      </c>
      <c r="Q139" s="75">
        <f>$C139*INDEX(Curves!$AD$8:$AD$68,Q$4-$B139+1)</f>
        <v/>
      </c>
      <c r="R139" s="75">
        <f>$C139*INDEX(Curves!$AD$8:$AD$68,R$4-$B139+1)</f>
        <v/>
      </c>
      <c r="S139" s="75">
        <f>$C139*INDEX(Curves!$AD$8:$AD$68,S$4-$B139+1)</f>
        <v/>
      </c>
      <c r="T139" s="75">
        <f>$C139*INDEX(Curves!$AD$8:$AD$68,T$4-$B139+1)</f>
        <v/>
      </c>
      <c r="U139" s="75">
        <f>$C139*INDEX(Curves!$AD$8:$AD$68,U$4-$B139+1)</f>
        <v/>
      </c>
      <c r="V139" s="75">
        <f>$C139*INDEX(Curves!$AD$8:$AD$68,V$4-$B139+1)</f>
        <v/>
      </c>
      <c r="W139" s="75">
        <f>$C139*INDEX(Curves!$AD$8:$AD$68,W$4-$B139+1)</f>
        <v/>
      </c>
      <c r="X139" s="75">
        <f>$C139*INDEX(Curves!$AD$8:$AD$68,X$4-$B139+1)</f>
        <v/>
      </c>
      <c r="Y139" s="75">
        <f>$C139*INDEX(Curves!$AD$8:$AD$68,Y$4-$B139+1)</f>
        <v/>
      </c>
      <c r="Z139" s="75">
        <f>$C139*INDEX(Curves!$AD$8:$AD$68,Z$4-$B139+1)</f>
        <v/>
      </c>
      <c r="AA139" s="75">
        <f>$C139*INDEX(Curves!$AD$8:$AD$68,AA$4-$B139+1)</f>
        <v/>
      </c>
      <c r="AB139" s="75">
        <f>$C139*INDEX(Curves!$AD$8:$AD$68,AB$4-$B139+1)</f>
        <v/>
      </c>
      <c r="AC139" s="75">
        <f>$C139*INDEX(Curves!$AD$8:$AD$68,AC$4-$B139+1)</f>
        <v/>
      </c>
      <c r="AD139" s="75">
        <f>$C139*INDEX(Curves!$AD$8:$AD$68,AD$4-$B139+1)</f>
        <v/>
      </c>
      <c r="AE139" s="75">
        <f>$C139*INDEX(Curves!$AD$8:$AD$68,AE$4-$B139+1)</f>
        <v/>
      </c>
      <c r="AF139" s="75">
        <f>$C139*INDEX(Curves!$AD$8:$AD$68,AF$4-$B139+1)</f>
        <v/>
      </c>
      <c r="AG139" s="75">
        <f>$C139*INDEX(Curves!$AD$8:$AD$68,AG$4-$B139+1)</f>
        <v/>
      </c>
      <c r="AH139" s="75">
        <f>$C139*INDEX(Curves!$AD$8:$AD$68,AH$4-$B139+1)</f>
        <v/>
      </c>
      <c r="AI139" s="75">
        <f>$C139*INDEX(Curves!$AD$8:$AD$68,AI$4-$B139+1)</f>
        <v/>
      </c>
      <c r="AJ139" s="75">
        <f>$C139*INDEX(Curves!$AD$8:$AD$68,AJ$4-$B139+1)</f>
        <v/>
      </c>
      <c r="AK139" s="75">
        <f>$C139*INDEX(Curves!$AD$8:$AD$68,AK$4-$B139+1)</f>
        <v/>
      </c>
      <c r="AL139" s="75">
        <f>$C139*INDEX(Curves!$AD$8:$AD$68,AL$4-$B139+1)</f>
        <v/>
      </c>
      <c r="AM139" s="75">
        <f>$C139*INDEX(Curves!$AD$8:$AD$68,AM$4-$B139+1)</f>
        <v/>
      </c>
      <c r="AN139" s="75">
        <f>$C139*INDEX(Curves!$AD$8:$AD$68,AN$4-$B139+1)</f>
        <v/>
      </c>
      <c r="AO139" s="75">
        <f>$C139*INDEX(Curves!$AD$8:$AD$68,AO$4-$B139+1)</f>
        <v/>
      </c>
      <c r="AP139" s="75">
        <f>$C139*INDEX(Curves!$AD$8:$AD$68,AP$4-$B139+1)</f>
        <v/>
      </c>
      <c r="AQ139" s="75">
        <f>$C139*INDEX(Curves!$AD$8:$AD$68,AQ$4-$B139+1)</f>
        <v/>
      </c>
      <c r="AR139" s="75">
        <f>$C139*INDEX(Curves!$AD$8:$AD$68,AR$4-$B139+1)</f>
        <v/>
      </c>
      <c r="AS139" s="75">
        <f>$C139*INDEX(Curves!$AD$8:$AD$68,AS$4-$B139+1)</f>
        <v/>
      </c>
      <c r="AT139" s="75">
        <f>$C139*INDEX(Curves!$AD$8:$AD$68,AT$4-$B139+1)</f>
        <v/>
      </c>
      <c r="AU139" s="75">
        <f>$C139*INDEX(Curves!$AD$8:$AD$68,AU$4-$B139+1)</f>
        <v/>
      </c>
      <c r="AV139" s="75">
        <f>$C139*INDEX(Curves!$AD$8:$AD$68,AV$4-$B139+1)</f>
        <v/>
      </c>
      <c r="AW139" s="75">
        <f>$C139*INDEX(Curves!$AD$8:$AD$68,AW$4-$B139+1)</f>
        <v/>
      </c>
      <c r="AX139" s="75">
        <f>$C139*INDEX(Curves!$AD$8:$AD$68,AX$4-$B139+1)</f>
        <v/>
      </c>
      <c r="AY139" s="75">
        <f>$C139*INDEX(Curves!$AD$8:$AD$68,AY$4-$B139+1)</f>
        <v/>
      </c>
      <c r="AZ139" s="75">
        <f>$C139*INDEX(Curves!$AD$8:$AD$68,AZ$4-$B139+1)</f>
        <v/>
      </c>
      <c r="BA139" s="75">
        <f>$C139*INDEX(Curves!$AD$8:$AD$68,BA$4-$B139+1)</f>
        <v/>
      </c>
      <c r="BB139" s="75">
        <f>$C139*INDEX(Curves!$AD$8:$AD$68,BB$4-$B139+1)</f>
        <v/>
      </c>
      <c r="BC139" s="75">
        <f>$C139*INDEX(Curves!$AD$8:$AD$68,BC$4-$B139+1)</f>
        <v/>
      </c>
      <c r="BD139" s="75">
        <f>$C139*INDEX(Curves!$AD$8:$AD$68,BD$4-$B139+1)</f>
        <v/>
      </c>
      <c r="BE139" s="75">
        <f>$C139*INDEX(Curves!$AD$8:$AD$68,BE$4-$B139+1)</f>
        <v/>
      </c>
      <c r="BF139" s="75">
        <f>$C139*INDEX(Curves!$AD$8:$AD$68,BF$4-$B139+1)</f>
        <v/>
      </c>
      <c r="BG139" s="75">
        <f>$C139*INDEX(Curves!$AD$8:$AD$68,BG$4-$B139+1)</f>
        <v/>
      </c>
      <c r="BH139" s="75">
        <f>$C139*INDEX(Curves!$AD$8:$AD$68,BH$4-$B139+1)</f>
        <v/>
      </c>
      <c r="BI139" s="75">
        <f>$C139*INDEX(Curves!$AD$8:$AD$68,BI$4-$B139+1)</f>
        <v/>
      </c>
      <c r="BJ139" s="75">
        <f>$C139*INDEX(Curves!$AD$8:$AD$68,BJ$4-$B139+1)</f>
        <v/>
      </c>
      <c r="BK139" s="75">
        <f>$C139*INDEX(Curves!$AD$8:$AD$68,BK$4-$B139+1)</f>
        <v/>
      </c>
      <c r="BL139" s="75">
        <f>$C139*INDEX(Curves!$AD$8:$AD$68,BL$4-$B139+1)</f>
        <v/>
      </c>
    </row>
    <row r="140">
      <c r="A140" s="74" t="inlineStr">
        <is>
          <t>Cohort month 5</t>
        </is>
      </c>
      <c r="B140" s="74" t="n">
        <v>5</v>
      </c>
      <c r="C140" s="17">
        <f>INDEX(Ops!$E$60:$BL$60,1,$B140)</f>
        <v/>
      </c>
      <c r="J140" s="75">
        <f>$C140*INDEX(Curves!$AD$8:$AD$68,J$4-$B140+1)</f>
        <v/>
      </c>
      <c r="K140" s="75">
        <f>$C140*INDEX(Curves!$AD$8:$AD$68,K$4-$B140+1)</f>
        <v/>
      </c>
      <c r="L140" s="75">
        <f>$C140*INDEX(Curves!$AD$8:$AD$68,L$4-$B140+1)</f>
        <v/>
      </c>
      <c r="M140" s="75">
        <f>$C140*INDEX(Curves!$AD$8:$AD$68,M$4-$B140+1)</f>
        <v/>
      </c>
      <c r="N140" s="75">
        <f>$C140*INDEX(Curves!$AD$8:$AD$68,N$4-$B140+1)</f>
        <v/>
      </c>
      <c r="O140" s="75">
        <f>$C140*INDEX(Curves!$AD$8:$AD$68,O$4-$B140+1)</f>
        <v/>
      </c>
      <c r="P140" s="75">
        <f>$C140*INDEX(Curves!$AD$8:$AD$68,P$4-$B140+1)</f>
        <v/>
      </c>
      <c r="Q140" s="75">
        <f>$C140*INDEX(Curves!$AD$8:$AD$68,Q$4-$B140+1)</f>
        <v/>
      </c>
      <c r="R140" s="75">
        <f>$C140*INDEX(Curves!$AD$8:$AD$68,R$4-$B140+1)</f>
        <v/>
      </c>
      <c r="S140" s="75">
        <f>$C140*INDEX(Curves!$AD$8:$AD$68,S$4-$B140+1)</f>
        <v/>
      </c>
      <c r="T140" s="75">
        <f>$C140*INDEX(Curves!$AD$8:$AD$68,T$4-$B140+1)</f>
        <v/>
      </c>
      <c r="U140" s="75">
        <f>$C140*INDEX(Curves!$AD$8:$AD$68,U$4-$B140+1)</f>
        <v/>
      </c>
      <c r="V140" s="75">
        <f>$C140*INDEX(Curves!$AD$8:$AD$68,V$4-$B140+1)</f>
        <v/>
      </c>
      <c r="W140" s="75">
        <f>$C140*INDEX(Curves!$AD$8:$AD$68,W$4-$B140+1)</f>
        <v/>
      </c>
      <c r="X140" s="75">
        <f>$C140*INDEX(Curves!$AD$8:$AD$68,X$4-$B140+1)</f>
        <v/>
      </c>
      <c r="Y140" s="75">
        <f>$C140*INDEX(Curves!$AD$8:$AD$68,Y$4-$B140+1)</f>
        <v/>
      </c>
      <c r="Z140" s="75">
        <f>$C140*INDEX(Curves!$AD$8:$AD$68,Z$4-$B140+1)</f>
        <v/>
      </c>
      <c r="AA140" s="75">
        <f>$C140*INDEX(Curves!$AD$8:$AD$68,AA$4-$B140+1)</f>
        <v/>
      </c>
      <c r="AB140" s="75">
        <f>$C140*INDEX(Curves!$AD$8:$AD$68,AB$4-$B140+1)</f>
        <v/>
      </c>
      <c r="AC140" s="75">
        <f>$C140*INDEX(Curves!$AD$8:$AD$68,AC$4-$B140+1)</f>
        <v/>
      </c>
      <c r="AD140" s="75">
        <f>$C140*INDEX(Curves!$AD$8:$AD$68,AD$4-$B140+1)</f>
        <v/>
      </c>
      <c r="AE140" s="75">
        <f>$C140*INDEX(Curves!$AD$8:$AD$68,AE$4-$B140+1)</f>
        <v/>
      </c>
      <c r="AF140" s="75">
        <f>$C140*INDEX(Curves!$AD$8:$AD$68,AF$4-$B140+1)</f>
        <v/>
      </c>
      <c r="AG140" s="75">
        <f>$C140*INDEX(Curves!$AD$8:$AD$68,AG$4-$B140+1)</f>
        <v/>
      </c>
      <c r="AH140" s="75">
        <f>$C140*INDEX(Curves!$AD$8:$AD$68,AH$4-$B140+1)</f>
        <v/>
      </c>
      <c r="AI140" s="75">
        <f>$C140*INDEX(Curves!$AD$8:$AD$68,AI$4-$B140+1)</f>
        <v/>
      </c>
      <c r="AJ140" s="75">
        <f>$C140*INDEX(Curves!$AD$8:$AD$68,AJ$4-$B140+1)</f>
        <v/>
      </c>
      <c r="AK140" s="75">
        <f>$C140*INDEX(Curves!$AD$8:$AD$68,AK$4-$B140+1)</f>
        <v/>
      </c>
      <c r="AL140" s="75">
        <f>$C140*INDEX(Curves!$AD$8:$AD$68,AL$4-$B140+1)</f>
        <v/>
      </c>
      <c r="AM140" s="75">
        <f>$C140*INDEX(Curves!$AD$8:$AD$68,AM$4-$B140+1)</f>
        <v/>
      </c>
      <c r="AN140" s="75">
        <f>$C140*INDEX(Curves!$AD$8:$AD$68,AN$4-$B140+1)</f>
        <v/>
      </c>
      <c r="AO140" s="75">
        <f>$C140*INDEX(Curves!$AD$8:$AD$68,AO$4-$B140+1)</f>
        <v/>
      </c>
      <c r="AP140" s="75">
        <f>$C140*INDEX(Curves!$AD$8:$AD$68,AP$4-$B140+1)</f>
        <v/>
      </c>
      <c r="AQ140" s="75">
        <f>$C140*INDEX(Curves!$AD$8:$AD$68,AQ$4-$B140+1)</f>
        <v/>
      </c>
      <c r="AR140" s="75">
        <f>$C140*INDEX(Curves!$AD$8:$AD$68,AR$4-$B140+1)</f>
        <v/>
      </c>
      <c r="AS140" s="75">
        <f>$C140*INDEX(Curves!$AD$8:$AD$68,AS$4-$B140+1)</f>
        <v/>
      </c>
      <c r="AT140" s="75">
        <f>$C140*INDEX(Curves!$AD$8:$AD$68,AT$4-$B140+1)</f>
        <v/>
      </c>
      <c r="AU140" s="75">
        <f>$C140*INDEX(Curves!$AD$8:$AD$68,AU$4-$B140+1)</f>
        <v/>
      </c>
      <c r="AV140" s="75">
        <f>$C140*INDEX(Curves!$AD$8:$AD$68,AV$4-$B140+1)</f>
        <v/>
      </c>
      <c r="AW140" s="75">
        <f>$C140*INDEX(Curves!$AD$8:$AD$68,AW$4-$B140+1)</f>
        <v/>
      </c>
      <c r="AX140" s="75">
        <f>$C140*INDEX(Curves!$AD$8:$AD$68,AX$4-$B140+1)</f>
        <v/>
      </c>
      <c r="AY140" s="75">
        <f>$C140*INDEX(Curves!$AD$8:$AD$68,AY$4-$B140+1)</f>
        <v/>
      </c>
      <c r="AZ140" s="75">
        <f>$C140*INDEX(Curves!$AD$8:$AD$68,AZ$4-$B140+1)</f>
        <v/>
      </c>
      <c r="BA140" s="75">
        <f>$C140*INDEX(Curves!$AD$8:$AD$68,BA$4-$B140+1)</f>
        <v/>
      </c>
      <c r="BB140" s="75">
        <f>$C140*INDEX(Curves!$AD$8:$AD$68,BB$4-$B140+1)</f>
        <v/>
      </c>
      <c r="BC140" s="75">
        <f>$C140*INDEX(Curves!$AD$8:$AD$68,BC$4-$B140+1)</f>
        <v/>
      </c>
      <c r="BD140" s="75">
        <f>$C140*INDEX(Curves!$AD$8:$AD$68,BD$4-$B140+1)</f>
        <v/>
      </c>
      <c r="BE140" s="75">
        <f>$C140*INDEX(Curves!$AD$8:$AD$68,BE$4-$B140+1)</f>
        <v/>
      </c>
      <c r="BF140" s="75">
        <f>$C140*INDEX(Curves!$AD$8:$AD$68,BF$4-$B140+1)</f>
        <v/>
      </c>
      <c r="BG140" s="75">
        <f>$C140*INDEX(Curves!$AD$8:$AD$68,BG$4-$B140+1)</f>
        <v/>
      </c>
      <c r="BH140" s="75">
        <f>$C140*INDEX(Curves!$AD$8:$AD$68,BH$4-$B140+1)</f>
        <v/>
      </c>
      <c r="BI140" s="75">
        <f>$C140*INDEX(Curves!$AD$8:$AD$68,BI$4-$B140+1)</f>
        <v/>
      </c>
      <c r="BJ140" s="75">
        <f>$C140*INDEX(Curves!$AD$8:$AD$68,BJ$4-$B140+1)</f>
        <v/>
      </c>
      <c r="BK140" s="75">
        <f>$C140*INDEX(Curves!$AD$8:$AD$68,BK$4-$B140+1)</f>
        <v/>
      </c>
      <c r="BL140" s="75">
        <f>$C140*INDEX(Curves!$AD$8:$AD$68,BL$4-$B140+1)</f>
        <v/>
      </c>
    </row>
    <row r="141">
      <c r="A141" s="74" t="inlineStr">
        <is>
          <t>Cohort month 6</t>
        </is>
      </c>
      <c r="B141" s="74" t="n">
        <v>6</v>
      </c>
      <c r="C141" s="17">
        <f>INDEX(Ops!$E$60:$BL$60,1,$B141)</f>
        <v/>
      </c>
      <c r="K141" s="75">
        <f>$C141*INDEX(Curves!$AD$8:$AD$68,K$4-$B141+1)</f>
        <v/>
      </c>
      <c r="L141" s="75">
        <f>$C141*INDEX(Curves!$AD$8:$AD$68,L$4-$B141+1)</f>
        <v/>
      </c>
      <c r="M141" s="75">
        <f>$C141*INDEX(Curves!$AD$8:$AD$68,M$4-$B141+1)</f>
        <v/>
      </c>
      <c r="N141" s="75">
        <f>$C141*INDEX(Curves!$AD$8:$AD$68,N$4-$B141+1)</f>
        <v/>
      </c>
      <c r="O141" s="75">
        <f>$C141*INDEX(Curves!$AD$8:$AD$68,O$4-$B141+1)</f>
        <v/>
      </c>
      <c r="P141" s="75">
        <f>$C141*INDEX(Curves!$AD$8:$AD$68,P$4-$B141+1)</f>
        <v/>
      </c>
      <c r="Q141" s="75">
        <f>$C141*INDEX(Curves!$AD$8:$AD$68,Q$4-$B141+1)</f>
        <v/>
      </c>
      <c r="R141" s="75">
        <f>$C141*INDEX(Curves!$AD$8:$AD$68,R$4-$B141+1)</f>
        <v/>
      </c>
      <c r="S141" s="75">
        <f>$C141*INDEX(Curves!$AD$8:$AD$68,S$4-$B141+1)</f>
        <v/>
      </c>
      <c r="T141" s="75">
        <f>$C141*INDEX(Curves!$AD$8:$AD$68,T$4-$B141+1)</f>
        <v/>
      </c>
      <c r="U141" s="75">
        <f>$C141*INDEX(Curves!$AD$8:$AD$68,U$4-$B141+1)</f>
        <v/>
      </c>
      <c r="V141" s="75">
        <f>$C141*INDEX(Curves!$AD$8:$AD$68,V$4-$B141+1)</f>
        <v/>
      </c>
      <c r="W141" s="75">
        <f>$C141*INDEX(Curves!$AD$8:$AD$68,W$4-$B141+1)</f>
        <v/>
      </c>
      <c r="X141" s="75">
        <f>$C141*INDEX(Curves!$AD$8:$AD$68,X$4-$B141+1)</f>
        <v/>
      </c>
      <c r="Y141" s="75">
        <f>$C141*INDEX(Curves!$AD$8:$AD$68,Y$4-$B141+1)</f>
        <v/>
      </c>
      <c r="Z141" s="75">
        <f>$C141*INDEX(Curves!$AD$8:$AD$68,Z$4-$B141+1)</f>
        <v/>
      </c>
      <c r="AA141" s="75">
        <f>$C141*INDEX(Curves!$AD$8:$AD$68,AA$4-$B141+1)</f>
        <v/>
      </c>
      <c r="AB141" s="75">
        <f>$C141*INDEX(Curves!$AD$8:$AD$68,AB$4-$B141+1)</f>
        <v/>
      </c>
      <c r="AC141" s="75">
        <f>$C141*INDEX(Curves!$AD$8:$AD$68,AC$4-$B141+1)</f>
        <v/>
      </c>
      <c r="AD141" s="75">
        <f>$C141*INDEX(Curves!$AD$8:$AD$68,AD$4-$B141+1)</f>
        <v/>
      </c>
      <c r="AE141" s="75">
        <f>$C141*INDEX(Curves!$AD$8:$AD$68,AE$4-$B141+1)</f>
        <v/>
      </c>
      <c r="AF141" s="75">
        <f>$C141*INDEX(Curves!$AD$8:$AD$68,AF$4-$B141+1)</f>
        <v/>
      </c>
      <c r="AG141" s="75">
        <f>$C141*INDEX(Curves!$AD$8:$AD$68,AG$4-$B141+1)</f>
        <v/>
      </c>
      <c r="AH141" s="75">
        <f>$C141*INDEX(Curves!$AD$8:$AD$68,AH$4-$B141+1)</f>
        <v/>
      </c>
      <c r="AI141" s="75">
        <f>$C141*INDEX(Curves!$AD$8:$AD$68,AI$4-$B141+1)</f>
        <v/>
      </c>
      <c r="AJ141" s="75">
        <f>$C141*INDEX(Curves!$AD$8:$AD$68,AJ$4-$B141+1)</f>
        <v/>
      </c>
      <c r="AK141" s="75">
        <f>$C141*INDEX(Curves!$AD$8:$AD$68,AK$4-$B141+1)</f>
        <v/>
      </c>
      <c r="AL141" s="75">
        <f>$C141*INDEX(Curves!$AD$8:$AD$68,AL$4-$B141+1)</f>
        <v/>
      </c>
      <c r="AM141" s="75">
        <f>$C141*INDEX(Curves!$AD$8:$AD$68,AM$4-$B141+1)</f>
        <v/>
      </c>
      <c r="AN141" s="75">
        <f>$C141*INDEX(Curves!$AD$8:$AD$68,AN$4-$B141+1)</f>
        <v/>
      </c>
      <c r="AO141" s="75">
        <f>$C141*INDEX(Curves!$AD$8:$AD$68,AO$4-$B141+1)</f>
        <v/>
      </c>
      <c r="AP141" s="75">
        <f>$C141*INDEX(Curves!$AD$8:$AD$68,AP$4-$B141+1)</f>
        <v/>
      </c>
      <c r="AQ141" s="75">
        <f>$C141*INDEX(Curves!$AD$8:$AD$68,AQ$4-$B141+1)</f>
        <v/>
      </c>
      <c r="AR141" s="75">
        <f>$C141*INDEX(Curves!$AD$8:$AD$68,AR$4-$B141+1)</f>
        <v/>
      </c>
      <c r="AS141" s="75">
        <f>$C141*INDEX(Curves!$AD$8:$AD$68,AS$4-$B141+1)</f>
        <v/>
      </c>
      <c r="AT141" s="75">
        <f>$C141*INDEX(Curves!$AD$8:$AD$68,AT$4-$B141+1)</f>
        <v/>
      </c>
      <c r="AU141" s="75">
        <f>$C141*INDEX(Curves!$AD$8:$AD$68,AU$4-$B141+1)</f>
        <v/>
      </c>
      <c r="AV141" s="75">
        <f>$C141*INDEX(Curves!$AD$8:$AD$68,AV$4-$B141+1)</f>
        <v/>
      </c>
      <c r="AW141" s="75">
        <f>$C141*INDEX(Curves!$AD$8:$AD$68,AW$4-$B141+1)</f>
        <v/>
      </c>
      <c r="AX141" s="75">
        <f>$C141*INDEX(Curves!$AD$8:$AD$68,AX$4-$B141+1)</f>
        <v/>
      </c>
      <c r="AY141" s="75">
        <f>$C141*INDEX(Curves!$AD$8:$AD$68,AY$4-$B141+1)</f>
        <v/>
      </c>
      <c r="AZ141" s="75">
        <f>$C141*INDEX(Curves!$AD$8:$AD$68,AZ$4-$B141+1)</f>
        <v/>
      </c>
      <c r="BA141" s="75">
        <f>$C141*INDEX(Curves!$AD$8:$AD$68,BA$4-$B141+1)</f>
        <v/>
      </c>
      <c r="BB141" s="75">
        <f>$C141*INDEX(Curves!$AD$8:$AD$68,BB$4-$B141+1)</f>
        <v/>
      </c>
      <c r="BC141" s="75">
        <f>$C141*INDEX(Curves!$AD$8:$AD$68,BC$4-$B141+1)</f>
        <v/>
      </c>
      <c r="BD141" s="75">
        <f>$C141*INDEX(Curves!$AD$8:$AD$68,BD$4-$B141+1)</f>
        <v/>
      </c>
      <c r="BE141" s="75">
        <f>$C141*INDEX(Curves!$AD$8:$AD$68,BE$4-$B141+1)</f>
        <v/>
      </c>
      <c r="BF141" s="75">
        <f>$C141*INDEX(Curves!$AD$8:$AD$68,BF$4-$B141+1)</f>
        <v/>
      </c>
      <c r="BG141" s="75">
        <f>$C141*INDEX(Curves!$AD$8:$AD$68,BG$4-$B141+1)</f>
        <v/>
      </c>
      <c r="BH141" s="75">
        <f>$C141*INDEX(Curves!$AD$8:$AD$68,BH$4-$B141+1)</f>
        <v/>
      </c>
      <c r="BI141" s="75">
        <f>$C141*INDEX(Curves!$AD$8:$AD$68,BI$4-$B141+1)</f>
        <v/>
      </c>
      <c r="BJ141" s="75">
        <f>$C141*INDEX(Curves!$AD$8:$AD$68,BJ$4-$B141+1)</f>
        <v/>
      </c>
      <c r="BK141" s="75">
        <f>$C141*INDEX(Curves!$AD$8:$AD$68,BK$4-$B141+1)</f>
        <v/>
      </c>
      <c r="BL141" s="75">
        <f>$C141*INDEX(Curves!$AD$8:$AD$68,BL$4-$B141+1)</f>
        <v/>
      </c>
    </row>
    <row r="142">
      <c r="A142" s="74" t="inlineStr">
        <is>
          <t>Cohort month 7</t>
        </is>
      </c>
      <c r="B142" s="74" t="n">
        <v>7</v>
      </c>
      <c r="C142" s="17">
        <f>INDEX(Ops!$E$60:$BL$60,1,$B142)</f>
        <v/>
      </c>
      <c r="L142" s="75">
        <f>$C142*INDEX(Curves!$AD$8:$AD$68,L$4-$B142+1)</f>
        <v/>
      </c>
      <c r="M142" s="75">
        <f>$C142*INDEX(Curves!$AD$8:$AD$68,M$4-$B142+1)</f>
        <v/>
      </c>
      <c r="N142" s="75">
        <f>$C142*INDEX(Curves!$AD$8:$AD$68,N$4-$B142+1)</f>
        <v/>
      </c>
      <c r="O142" s="75">
        <f>$C142*INDEX(Curves!$AD$8:$AD$68,O$4-$B142+1)</f>
        <v/>
      </c>
      <c r="P142" s="75">
        <f>$C142*INDEX(Curves!$AD$8:$AD$68,P$4-$B142+1)</f>
        <v/>
      </c>
      <c r="Q142" s="75">
        <f>$C142*INDEX(Curves!$AD$8:$AD$68,Q$4-$B142+1)</f>
        <v/>
      </c>
      <c r="R142" s="75">
        <f>$C142*INDEX(Curves!$AD$8:$AD$68,R$4-$B142+1)</f>
        <v/>
      </c>
      <c r="S142" s="75">
        <f>$C142*INDEX(Curves!$AD$8:$AD$68,S$4-$B142+1)</f>
        <v/>
      </c>
      <c r="T142" s="75">
        <f>$C142*INDEX(Curves!$AD$8:$AD$68,T$4-$B142+1)</f>
        <v/>
      </c>
      <c r="U142" s="75">
        <f>$C142*INDEX(Curves!$AD$8:$AD$68,U$4-$B142+1)</f>
        <v/>
      </c>
      <c r="V142" s="75">
        <f>$C142*INDEX(Curves!$AD$8:$AD$68,V$4-$B142+1)</f>
        <v/>
      </c>
      <c r="W142" s="75">
        <f>$C142*INDEX(Curves!$AD$8:$AD$68,W$4-$B142+1)</f>
        <v/>
      </c>
      <c r="X142" s="75">
        <f>$C142*INDEX(Curves!$AD$8:$AD$68,X$4-$B142+1)</f>
        <v/>
      </c>
      <c r="Y142" s="75">
        <f>$C142*INDEX(Curves!$AD$8:$AD$68,Y$4-$B142+1)</f>
        <v/>
      </c>
      <c r="Z142" s="75">
        <f>$C142*INDEX(Curves!$AD$8:$AD$68,Z$4-$B142+1)</f>
        <v/>
      </c>
      <c r="AA142" s="75">
        <f>$C142*INDEX(Curves!$AD$8:$AD$68,AA$4-$B142+1)</f>
        <v/>
      </c>
      <c r="AB142" s="75">
        <f>$C142*INDEX(Curves!$AD$8:$AD$68,AB$4-$B142+1)</f>
        <v/>
      </c>
      <c r="AC142" s="75">
        <f>$C142*INDEX(Curves!$AD$8:$AD$68,AC$4-$B142+1)</f>
        <v/>
      </c>
      <c r="AD142" s="75">
        <f>$C142*INDEX(Curves!$AD$8:$AD$68,AD$4-$B142+1)</f>
        <v/>
      </c>
      <c r="AE142" s="75">
        <f>$C142*INDEX(Curves!$AD$8:$AD$68,AE$4-$B142+1)</f>
        <v/>
      </c>
      <c r="AF142" s="75">
        <f>$C142*INDEX(Curves!$AD$8:$AD$68,AF$4-$B142+1)</f>
        <v/>
      </c>
      <c r="AG142" s="75">
        <f>$C142*INDEX(Curves!$AD$8:$AD$68,AG$4-$B142+1)</f>
        <v/>
      </c>
      <c r="AH142" s="75">
        <f>$C142*INDEX(Curves!$AD$8:$AD$68,AH$4-$B142+1)</f>
        <v/>
      </c>
      <c r="AI142" s="75">
        <f>$C142*INDEX(Curves!$AD$8:$AD$68,AI$4-$B142+1)</f>
        <v/>
      </c>
      <c r="AJ142" s="75">
        <f>$C142*INDEX(Curves!$AD$8:$AD$68,AJ$4-$B142+1)</f>
        <v/>
      </c>
      <c r="AK142" s="75">
        <f>$C142*INDEX(Curves!$AD$8:$AD$68,AK$4-$B142+1)</f>
        <v/>
      </c>
      <c r="AL142" s="75">
        <f>$C142*INDEX(Curves!$AD$8:$AD$68,AL$4-$B142+1)</f>
        <v/>
      </c>
      <c r="AM142" s="75">
        <f>$C142*INDEX(Curves!$AD$8:$AD$68,AM$4-$B142+1)</f>
        <v/>
      </c>
      <c r="AN142" s="75">
        <f>$C142*INDEX(Curves!$AD$8:$AD$68,AN$4-$B142+1)</f>
        <v/>
      </c>
      <c r="AO142" s="75">
        <f>$C142*INDEX(Curves!$AD$8:$AD$68,AO$4-$B142+1)</f>
        <v/>
      </c>
      <c r="AP142" s="75">
        <f>$C142*INDEX(Curves!$AD$8:$AD$68,AP$4-$B142+1)</f>
        <v/>
      </c>
      <c r="AQ142" s="75">
        <f>$C142*INDEX(Curves!$AD$8:$AD$68,AQ$4-$B142+1)</f>
        <v/>
      </c>
      <c r="AR142" s="75">
        <f>$C142*INDEX(Curves!$AD$8:$AD$68,AR$4-$B142+1)</f>
        <v/>
      </c>
      <c r="AS142" s="75">
        <f>$C142*INDEX(Curves!$AD$8:$AD$68,AS$4-$B142+1)</f>
        <v/>
      </c>
      <c r="AT142" s="75">
        <f>$C142*INDEX(Curves!$AD$8:$AD$68,AT$4-$B142+1)</f>
        <v/>
      </c>
      <c r="AU142" s="75">
        <f>$C142*INDEX(Curves!$AD$8:$AD$68,AU$4-$B142+1)</f>
        <v/>
      </c>
      <c r="AV142" s="75">
        <f>$C142*INDEX(Curves!$AD$8:$AD$68,AV$4-$B142+1)</f>
        <v/>
      </c>
      <c r="AW142" s="75">
        <f>$C142*INDEX(Curves!$AD$8:$AD$68,AW$4-$B142+1)</f>
        <v/>
      </c>
      <c r="AX142" s="75">
        <f>$C142*INDEX(Curves!$AD$8:$AD$68,AX$4-$B142+1)</f>
        <v/>
      </c>
      <c r="AY142" s="75">
        <f>$C142*INDEX(Curves!$AD$8:$AD$68,AY$4-$B142+1)</f>
        <v/>
      </c>
      <c r="AZ142" s="75">
        <f>$C142*INDEX(Curves!$AD$8:$AD$68,AZ$4-$B142+1)</f>
        <v/>
      </c>
      <c r="BA142" s="75">
        <f>$C142*INDEX(Curves!$AD$8:$AD$68,BA$4-$B142+1)</f>
        <v/>
      </c>
      <c r="BB142" s="75">
        <f>$C142*INDEX(Curves!$AD$8:$AD$68,BB$4-$B142+1)</f>
        <v/>
      </c>
      <c r="BC142" s="75">
        <f>$C142*INDEX(Curves!$AD$8:$AD$68,BC$4-$B142+1)</f>
        <v/>
      </c>
      <c r="BD142" s="75">
        <f>$C142*INDEX(Curves!$AD$8:$AD$68,BD$4-$B142+1)</f>
        <v/>
      </c>
      <c r="BE142" s="75">
        <f>$C142*INDEX(Curves!$AD$8:$AD$68,BE$4-$B142+1)</f>
        <v/>
      </c>
      <c r="BF142" s="75">
        <f>$C142*INDEX(Curves!$AD$8:$AD$68,BF$4-$B142+1)</f>
        <v/>
      </c>
      <c r="BG142" s="75">
        <f>$C142*INDEX(Curves!$AD$8:$AD$68,BG$4-$B142+1)</f>
        <v/>
      </c>
      <c r="BH142" s="75">
        <f>$C142*INDEX(Curves!$AD$8:$AD$68,BH$4-$B142+1)</f>
        <v/>
      </c>
      <c r="BI142" s="75">
        <f>$C142*INDEX(Curves!$AD$8:$AD$68,BI$4-$B142+1)</f>
        <v/>
      </c>
      <c r="BJ142" s="75">
        <f>$C142*INDEX(Curves!$AD$8:$AD$68,BJ$4-$B142+1)</f>
        <v/>
      </c>
      <c r="BK142" s="75">
        <f>$C142*INDEX(Curves!$AD$8:$AD$68,BK$4-$B142+1)</f>
        <v/>
      </c>
      <c r="BL142" s="75">
        <f>$C142*INDEX(Curves!$AD$8:$AD$68,BL$4-$B142+1)</f>
        <v/>
      </c>
    </row>
    <row r="143">
      <c r="A143" s="74" t="inlineStr">
        <is>
          <t>Cohort month 8</t>
        </is>
      </c>
      <c r="B143" s="74" t="n">
        <v>8</v>
      </c>
      <c r="C143" s="17">
        <f>INDEX(Ops!$E$60:$BL$60,1,$B143)</f>
        <v/>
      </c>
      <c r="M143" s="75">
        <f>$C143*INDEX(Curves!$AD$8:$AD$68,M$4-$B143+1)</f>
        <v/>
      </c>
      <c r="N143" s="75">
        <f>$C143*INDEX(Curves!$AD$8:$AD$68,N$4-$B143+1)</f>
        <v/>
      </c>
      <c r="O143" s="75">
        <f>$C143*INDEX(Curves!$AD$8:$AD$68,O$4-$B143+1)</f>
        <v/>
      </c>
      <c r="P143" s="75">
        <f>$C143*INDEX(Curves!$AD$8:$AD$68,P$4-$B143+1)</f>
        <v/>
      </c>
      <c r="Q143" s="75">
        <f>$C143*INDEX(Curves!$AD$8:$AD$68,Q$4-$B143+1)</f>
        <v/>
      </c>
      <c r="R143" s="75">
        <f>$C143*INDEX(Curves!$AD$8:$AD$68,R$4-$B143+1)</f>
        <v/>
      </c>
      <c r="S143" s="75">
        <f>$C143*INDEX(Curves!$AD$8:$AD$68,S$4-$B143+1)</f>
        <v/>
      </c>
      <c r="T143" s="75">
        <f>$C143*INDEX(Curves!$AD$8:$AD$68,T$4-$B143+1)</f>
        <v/>
      </c>
      <c r="U143" s="75">
        <f>$C143*INDEX(Curves!$AD$8:$AD$68,U$4-$B143+1)</f>
        <v/>
      </c>
      <c r="V143" s="75">
        <f>$C143*INDEX(Curves!$AD$8:$AD$68,V$4-$B143+1)</f>
        <v/>
      </c>
      <c r="W143" s="75">
        <f>$C143*INDEX(Curves!$AD$8:$AD$68,W$4-$B143+1)</f>
        <v/>
      </c>
      <c r="X143" s="75">
        <f>$C143*INDEX(Curves!$AD$8:$AD$68,X$4-$B143+1)</f>
        <v/>
      </c>
      <c r="Y143" s="75">
        <f>$C143*INDEX(Curves!$AD$8:$AD$68,Y$4-$B143+1)</f>
        <v/>
      </c>
      <c r="Z143" s="75">
        <f>$C143*INDEX(Curves!$AD$8:$AD$68,Z$4-$B143+1)</f>
        <v/>
      </c>
      <c r="AA143" s="75">
        <f>$C143*INDEX(Curves!$AD$8:$AD$68,AA$4-$B143+1)</f>
        <v/>
      </c>
      <c r="AB143" s="75">
        <f>$C143*INDEX(Curves!$AD$8:$AD$68,AB$4-$B143+1)</f>
        <v/>
      </c>
      <c r="AC143" s="75">
        <f>$C143*INDEX(Curves!$AD$8:$AD$68,AC$4-$B143+1)</f>
        <v/>
      </c>
      <c r="AD143" s="75">
        <f>$C143*INDEX(Curves!$AD$8:$AD$68,AD$4-$B143+1)</f>
        <v/>
      </c>
      <c r="AE143" s="75">
        <f>$C143*INDEX(Curves!$AD$8:$AD$68,AE$4-$B143+1)</f>
        <v/>
      </c>
      <c r="AF143" s="75">
        <f>$C143*INDEX(Curves!$AD$8:$AD$68,AF$4-$B143+1)</f>
        <v/>
      </c>
      <c r="AG143" s="75">
        <f>$C143*INDEX(Curves!$AD$8:$AD$68,AG$4-$B143+1)</f>
        <v/>
      </c>
      <c r="AH143" s="75">
        <f>$C143*INDEX(Curves!$AD$8:$AD$68,AH$4-$B143+1)</f>
        <v/>
      </c>
      <c r="AI143" s="75">
        <f>$C143*INDEX(Curves!$AD$8:$AD$68,AI$4-$B143+1)</f>
        <v/>
      </c>
      <c r="AJ143" s="75">
        <f>$C143*INDEX(Curves!$AD$8:$AD$68,AJ$4-$B143+1)</f>
        <v/>
      </c>
      <c r="AK143" s="75">
        <f>$C143*INDEX(Curves!$AD$8:$AD$68,AK$4-$B143+1)</f>
        <v/>
      </c>
      <c r="AL143" s="75">
        <f>$C143*INDEX(Curves!$AD$8:$AD$68,AL$4-$B143+1)</f>
        <v/>
      </c>
      <c r="AM143" s="75">
        <f>$C143*INDEX(Curves!$AD$8:$AD$68,AM$4-$B143+1)</f>
        <v/>
      </c>
      <c r="AN143" s="75">
        <f>$C143*INDEX(Curves!$AD$8:$AD$68,AN$4-$B143+1)</f>
        <v/>
      </c>
      <c r="AO143" s="75">
        <f>$C143*INDEX(Curves!$AD$8:$AD$68,AO$4-$B143+1)</f>
        <v/>
      </c>
      <c r="AP143" s="75">
        <f>$C143*INDEX(Curves!$AD$8:$AD$68,AP$4-$B143+1)</f>
        <v/>
      </c>
      <c r="AQ143" s="75">
        <f>$C143*INDEX(Curves!$AD$8:$AD$68,AQ$4-$B143+1)</f>
        <v/>
      </c>
      <c r="AR143" s="75">
        <f>$C143*INDEX(Curves!$AD$8:$AD$68,AR$4-$B143+1)</f>
        <v/>
      </c>
      <c r="AS143" s="75">
        <f>$C143*INDEX(Curves!$AD$8:$AD$68,AS$4-$B143+1)</f>
        <v/>
      </c>
      <c r="AT143" s="75">
        <f>$C143*INDEX(Curves!$AD$8:$AD$68,AT$4-$B143+1)</f>
        <v/>
      </c>
      <c r="AU143" s="75">
        <f>$C143*INDEX(Curves!$AD$8:$AD$68,AU$4-$B143+1)</f>
        <v/>
      </c>
      <c r="AV143" s="75">
        <f>$C143*INDEX(Curves!$AD$8:$AD$68,AV$4-$B143+1)</f>
        <v/>
      </c>
      <c r="AW143" s="75">
        <f>$C143*INDEX(Curves!$AD$8:$AD$68,AW$4-$B143+1)</f>
        <v/>
      </c>
      <c r="AX143" s="75">
        <f>$C143*INDEX(Curves!$AD$8:$AD$68,AX$4-$B143+1)</f>
        <v/>
      </c>
      <c r="AY143" s="75">
        <f>$C143*INDEX(Curves!$AD$8:$AD$68,AY$4-$B143+1)</f>
        <v/>
      </c>
      <c r="AZ143" s="75">
        <f>$C143*INDEX(Curves!$AD$8:$AD$68,AZ$4-$B143+1)</f>
        <v/>
      </c>
      <c r="BA143" s="75">
        <f>$C143*INDEX(Curves!$AD$8:$AD$68,BA$4-$B143+1)</f>
        <v/>
      </c>
      <c r="BB143" s="75">
        <f>$C143*INDEX(Curves!$AD$8:$AD$68,BB$4-$B143+1)</f>
        <v/>
      </c>
      <c r="BC143" s="75">
        <f>$C143*INDEX(Curves!$AD$8:$AD$68,BC$4-$B143+1)</f>
        <v/>
      </c>
      <c r="BD143" s="75">
        <f>$C143*INDEX(Curves!$AD$8:$AD$68,BD$4-$B143+1)</f>
        <v/>
      </c>
      <c r="BE143" s="75">
        <f>$C143*INDEX(Curves!$AD$8:$AD$68,BE$4-$B143+1)</f>
        <v/>
      </c>
      <c r="BF143" s="75">
        <f>$C143*INDEX(Curves!$AD$8:$AD$68,BF$4-$B143+1)</f>
        <v/>
      </c>
      <c r="BG143" s="75">
        <f>$C143*INDEX(Curves!$AD$8:$AD$68,BG$4-$B143+1)</f>
        <v/>
      </c>
      <c r="BH143" s="75">
        <f>$C143*INDEX(Curves!$AD$8:$AD$68,BH$4-$B143+1)</f>
        <v/>
      </c>
      <c r="BI143" s="75">
        <f>$C143*INDEX(Curves!$AD$8:$AD$68,BI$4-$B143+1)</f>
        <v/>
      </c>
      <c r="BJ143" s="75">
        <f>$C143*INDEX(Curves!$AD$8:$AD$68,BJ$4-$B143+1)</f>
        <v/>
      </c>
      <c r="BK143" s="75">
        <f>$C143*INDEX(Curves!$AD$8:$AD$68,BK$4-$B143+1)</f>
        <v/>
      </c>
      <c r="BL143" s="75">
        <f>$C143*INDEX(Curves!$AD$8:$AD$68,BL$4-$B143+1)</f>
        <v/>
      </c>
    </row>
    <row r="144">
      <c r="A144" s="74" t="inlineStr">
        <is>
          <t>Cohort month 9</t>
        </is>
      </c>
      <c r="B144" s="74" t="n">
        <v>9</v>
      </c>
      <c r="C144" s="17">
        <f>INDEX(Ops!$E$60:$BL$60,1,$B144)</f>
        <v/>
      </c>
      <c r="N144" s="75">
        <f>$C144*INDEX(Curves!$AD$8:$AD$68,N$4-$B144+1)</f>
        <v/>
      </c>
      <c r="O144" s="75">
        <f>$C144*INDEX(Curves!$AD$8:$AD$68,O$4-$B144+1)</f>
        <v/>
      </c>
      <c r="P144" s="75">
        <f>$C144*INDEX(Curves!$AD$8:$AD$68,P$4-$B144+1)</f>
        <v/>
      </c>
      <c r="Q144" s="75">
        <f>$C144*INDEX(Curves!$AD$8:$AD$68,Q$4-$B144+1)</f>
        <v/>
      </c>
      <c r="R144" s="75">
        <f>$C144*INDEX(Curves!$AD$8:$AD$68,R$4-$B144+1)</f>
        <v/>
      </c>
      <c r="S144" s="75">
        <f>$C144*INDEX(Curves!$AD$8:$AD$68,S$4-$B144+1)</f>
        <v/>
      </c>
      <c r="T144" s="75">
        <f>$C144*INDEX(Curves!$AD$8:$AD$68,T$4-$B144+1)</f>
        <v/>
      </c>
      <c r="U144" s="75">
        <f>$C144*INDEX(Curves!$AD$8:$AD$68,U$4-$B144+1)</f>
        <v/>
      </c>
      <c r="V144" s="75">
        <f>$C144*INDEX(Curves!$AD$8:$AD$68,V$4-$B144+1)</f>
        <v/>
      </c>
      <c r="W144" s="75">
        <f>$C144*INDEX(Curves!$AD$8:$AD$68,W$4-$B144+1)</f>
        <v/>
      </c>
      <c r="X144" s="75">
        <f>$C144*INDEX(Curves!$AD$8:$AD$68,X$4-$B144+1)</f>
        <v/>
      </c>
      <c r="Y144" s="75">
        <f>$C144*INDEX(Curves!$AD$8:$AD$68,Y$4-$B144+1)</f>
        <v/>
      </c>
      <c r="Z144" s="75">
        <f>$C144*INDEX(Curves!$AD$8:$AD$68,Z$4-$B144+1)</f>
        <v/>
      </c>
      <c r="AA144" s="75">
        <f>$C144*INDEX(Curves!$AD$8:$AD$68,AA$4-$B144+1)</f>
        <v/>
      </c>
      <c r="AB144" s="75">
        <f>$C144*INDEX(Curves!$AD$8:$AD$68,AB$4-$B144+1)</f>
        <v/>
      </c>
      <c r="AC144" s="75">
        <f>$C144*INDEX(Curves!$AD$8:$AD$68,AC$4-$B144+1)</f>
        <v/>
      </c>
      <c r="AD144" s="75">
        <f>$C144*INDEX(Curves!$AD$8:$AD$68,AD$4-$B144+1)</f>
        <v/>
      </c>
      <c r="AE144" s="75">
        <f>$C144*INDEX(Curves!$AD$8:$AD$68,AE$4-$B144+1)</f>
        <v/>
      </c>
      <c r="AF144" s="75">
        <f>$C144*INDEX(Curves!$AD$8:$AD$68,AF$4-$B144+1)</f>
        <v/>
      </c>
      <c r="AG144" s="75">
        <f>$C144*INDEX(Curves!$AD$8:$AD$68,AG$4-$B144+1)</f>
        <v/>
      </c>
      <c r="AH144" s="75">
        <f>$C144*INDEX(Curves!$AD$8:$AD$68,AH$4-$B144+1)</f>
        <v/>
      </c>
      <c r="AI144" s="75">
        <f>$C144*INDEX(Curves!$AD$8:$AD$68,AI$4-$B144+1)</f>
        <v/>
      </c>
      <c r="AJ144" s="75">
        <f>$C144*INDEX(Curves!$AD$8:$AD$68,AJ$4-$B144+1)</f>
        <v/>
      </c>
      <c r="AK144" s="75">
        <f>$C144*INDEX(Curves!$AD$8:$AD$68,AK$4-$B144+1)</f>
        <v/>
      </c>
      <c r="AL144" s="75">
        <f>$C144*INDEX(Curves!$AD$8:$AD$68,AL$4-$B144+1)</f>
        <v/>
      </c>
      <c r="AM144" s="75">
        <f>$C144*INDEX(Curves!$AD$8:$AD$68,AM$4-$B144+1)</f>
        <v/>
      </c>
      <c r="AN144" s="75">
        <f>$C144*INDEX(Curves!$AD$8:$AD$68,AN$4-$B144+1)</f>
        <v/>
      </c>
      <c r="AO144" s="75">
        <f>$C144*INDEX(Curves!$AD$8:$AD$68,AO$4-$B144+1)</f>
        <v/>
      </c>
      <c r="AP144" s="75">
        <f>$C144*INDEX(Curves!$AD$8:$AD$68,AP$4-$B144+1)</f>
        <v/>
      </c>
      <c r="AQ144" s="75">
        <f>$C144*INDEX(Curves!$AD$8:$AD$68,AQ$4-$B144+1)</f>
        <v/>
      </c>
      <c r="AR144" s="75">
        <f>$C144*INDEX(Curves!$AD$8:$AD$68,AR$4-$B144+1)</f>
        <v/>
      </c>
      <c r="AS144" s="75">
        <f>$C144*INDEX(Curves!$AD$8:$AD$68,AS$4-$B144+1)</f>
        <v/>
      </c>
      <c r="AT144" s="75">
        <f>$C144*INDEX(Curves!$AD$8:$AD$68,AT$4-$B144+1)</f>
        <v/>
      </c>
      <c r="AU144" s="75">
        <f>$C144*INDEX(Curves!$AD$8:$AD$68,AU$4-$B144+1)</f>
        <v/>
      </c>
      <c r="AV144" s="75">
        <f>$C144*INDEX(Curves!$AD$8:$AD$68,AV$4-$B144+1)</f>
        <v/>
      </c>
      <c r="AW144" s="75">
        <f>$C144*INDEX(Curves!$AD$8:$AD$68,AW$4-$B144+1)</f>
        <v/>
      </c>
      <c r="AX144" s="75">
        <f>$C144*INDEX(Curves!$AD$8:$AD$68,AX$4-$B144+1)</f>
        <v/>
      </c>
      <c r="AY144" s="75">
        <f>$C144*INDEX(Curves!$AD$8:$AD$68,AY$4-$B144+1)</f>
        <v/>
      </c>
      <c r="AZ144" s="75">
        <f>$C144*INDEX(Curves!$AD$8:$AD$68,AZ$4-$B144+1)</f>
        <v/>
      </c>
      <c r="BA144" s="75">
        <f>$C144*INDEX(Curves!$AD$8:$AD$68,BA$4-$B144+1)</f>
        <v/>
      </c>
      <c r="BB144" s="75">
        <f>$C144*INDEX(Curves!$AD$8:$AD$68,BB$4-$B144+1)</f>
        <v/>
      </c>
      <c r="BC144" s="75">
        <f>$C144*INDEX(Curves!$AD$8:$AD$68,BC$4-$B144+1)</f>
        <v/>
      </c>
      <c r="BD144" s="75">
        <f>$C144*INDEX(Curves!$AD$8:$AD$68,BD$4-$B144+1)</f>
        <v/>
      </c>
      <c r="BE144" s="75">
        <f>$C144*INDEX(Curves!$AD$8:$AD$68,BE$4-$B144+1)</f>
        <v/>
      </c>
      <c r="BF144" s="75">
        <f>$C144*INDEX(Curves!$AD$8:$AD$68,BF$4-$B144+1)</f>
        <v/>
      </c>
      <c r="BG144" s="75">
        <f>$C144*INDEX(Curves!$AD$8:$AD$68,BG$4-$B144+1)</f>
        <v/>
      </c>
      <c r="BH144" s="75">
        <f>$C144*INDEX(Curves!$AD$8:$AD$68,BH$4-$B144+1)</f>
        <v/>
      </c>
      <c r="BI144" s="75">
        <f>$C144*INDEX(Curves!$AD$8:$AD$68,BI$4-$B144+1)</f>
        <v/>
      </c>
      <c r="BJ144" s="75">
        <f>$C144*INDEX(Curves!$AD$8:$AD$68,BJ$4-$B144+1)</f>
        <v/>
      </c>
      <c r="BK144" s="75">
        <f>$C144*INDEX(Curves!$AD$8:$AD$68,BK$4-$B144+1)</f>
        <v/>
      </c>
      <c r="BL144" s="75">
        <f>$C144*INDEX(Curves!$AD$8:$AD$68,BL$4-$B144+1)</f>
        <v/>
      </c>
    </row>
    <row r="145">
      <c r="A145" s="74" t="inlineStr">
        <is>
          <t>Cohort month 10</t>
        </is>
      </c>
      <c r="B145" s="74" t="n">
        <v>10</v>
      </c>
      <c r="C145" s="17">
        <f>INDEX(Ops!$E$60:$BL$60,1,$B145)</f>
        <v/>
      </c>
      <c r="O145" s="75">
        <f>$C145*INDEX(Curves!$AD$8:$AD$68,O$4-$B145+1)</f>
        <v/>
      </c>
      <c r="P145" s="75">
        <f>$C145*INDEX(Curves!$AD$8:$AD$68,P$4-$B145+1)</f>
        <v/>
      </c>
      <c r="Q145" s="75">
        <f>$C145*INDEX(Curves!$AD$8:$AD$68,Q$4-$B145+1)</f>
        <v/>
      </c>
      <c r="R145" s="75">
        <f>$C145*INDEX(Curves!$AD$8:$AD$68,R$4-$B145+1)</f>
        <v/>
      </c>
      <c r="S145" s="75">
        <f>$C145*INDEX(Curves!$AD$8:$AD$68,S$4-$B145+1)</f>
        <v/>
      </c>
      <c r="T145" s="75">
        <f>$C145*INDEX(Curves!$AD$8:$AD$68,T$4-$B145+1)</f>
        <v/>
      </c>
      <c r="U145" s="75">
        <f>$C145*INDEX(Curves!$AD$8:$AD$68,U$4-$B145+1)</f>
        <v/>
      </c>
      <c r="V145" s="75">
        <f>$C145*INDEX(Curves!$AD$8:$AD$68,V$4-$B145+1)</f>
        <v/>
      </c>
      <c r="W145" s="75">
        <f>$C145*INDEX(Curves!$AD$8:$AD$68,W$4-$B145+1)</f>
        <v/>
      </c>
      <c r="X145" s="75">
        <f>$C145*INDEX(Curves!$AD$8:$AD$68,X$4-$B145+1)</f>
        <v/>
      </c>
      <c r="Y145" s="75">
        <f>$C145*INDEX(Curves!$AD$8:$AD$68,Y$4-$B145+1)</f>
        <v/>
      </c>
      <c r="Z145" s="75">
        <f>$C145*INDEX(Curves!$AD$8:$AD$68,Z$4-$B145+1)</f>
        <v/>
      </c>
      <c r="AA145" s="75">
        <f>$C145*INDEX(Curves!$AD$8:$AD$68,AA$4-$B145+1)</f>
        <v/>
      </c>
      <c r="AB145" s="75">
        <f>$C145*INDEX(Curves!$AD$8:$AD$68,AB$4-$B145+1)</f>
        <v/>
      </c>
      <c r="AC145" s="75">
        <f>$C145*INDEX(Curves!$AD$8:$AD$68,AC$4-$B145+1)</f>
        <v/>
      </c>
      <c r="AD145" s="75">
        <f>$C145*INDEX(Curves!$AD$8:$AD$68,AD$4-$B145+1)</f>
        <v/>
      </c>
      <c r="AE145" s="75">
        <f>$C145*INDEX(Curves!$AD$8:$AD$68,AE$4-$B145+1)</f>
        <v/>
      </c>
      <c r="AF145" s="75">
        <f>$C145*INDEX(Curves!$AD$8:$AD$68,AF$4-$B145+1)</f>
        <v/>
      </c>
      <c r="AG145" s="75">
        <f>$C145*INDEX(Curves!$AD$8:$AD$68,AG$4-$B145+1)</f>
        <v/>
      </c>
      <c r="AH145" s="75">
        <f>$C145*INDEX(Curves!$AD$8:$AD$68,AH$4-$B145+1)</f>
        <v/>
      </c>
      <c r="AI145" s="75">
        <f>$C145*INDEX(Curves!$AD$8:$AD$68,AI$4-$B145+1)</f>
        <v/>
      </c>
      <c r="AJ145" s="75">
        <f>$C145*INDEX(Curves!$AD$8:$AD$68,AJ$4-$B145+1)</f>
        <v/>
      </c>
      <c r="AK145" s="75">
        <f>$C145*INDEX(Curves!$AD$8:$AD$68,AK$4-$B145+1)</f>
        <v/>
      </c>
      <c r="AL145" s="75">
        <f>$C145*INDEX(Curves!$AD$8:$AD$68,AL$4-$B145+1)</f>
        <v/>
      </c>
      <c r="AM145" s="75">
        <f>$C145*INDEX(Curves!$AD$8:$AD$68,AM$4-$B145+1)</f>
        <v/>
      </c>
      <c r="AN145" s="75">
        <f>$C145*INDEX(Curves!$AD$8:$AD$68,AN$4-$B145+1)</f>
        <v/>
      </c>
      <c r="AO145" s="75">
        <f>$C145*INDEX(Curves!$AD$8:$AD$68,AO$4-$B145+1)</f>
        <v/>
      </c>
      <c r="AP145" s="75">
        <f>$C145*INDEX(Curves!$AD$8:$AD$68,AP$4-$B145+1)</f>
        <v/>
      </c>
      <c r="AQ145" s="75">
        <f>$C145*INDEX(Curves!$AD$8:$AD$68,AQ$4-$B145+1)</f>
        <v/>
      </c>
      <c r="AR145" s="75">
        <f>$C145*INDEX(Curves!$AD$8:$AD$68,AR$4-$B145+1)</f>
        <v/>
      </c>
      <c r="AS145" s="75">
        <f>$C145*INDEX(Curves!$AD$8:$AD$68,AS$4-$B145+1)</f>
        <v/>
      </c>
      <c r="AT145" s="75">
        <f>$C145*INDEX(Curves!$AD$8:$AD$68,AT$4-$B145+1)</f>
        <v/>
      </c>
      <c r="AU145" s="75">
        <f>$C145*INDEX(Curves!$AD$8:$AD$68,AU$4-$B145+1)</f>
        <v/>
      </c>
      <c r="AV145" s="75">
        <f>$C145*INDEX(Curves!$AD$8:$AD$68,AV$4-$B145+1)</f>
        <v/>
      </c>
      <c r="AW145" s="75">
        <f>$C145*INDEX(Curves!$AD$8:$AD$68,AW$4-$B145+1)</f>
        <v/>
      </c>
      <c r="AX145" s="75">
        <f>$C145*INDEX(Curves!$AD$8:$AD$68,AX$4-$B145+1)</f>
        <v/>
      </c>
      <c r="AY145" s="75">
        <f>$C145*INDEX(Curves!$AD$8:$AD$68,AY$4-$B145+1)</f>
        <v/>
      </c>
      <c r="AZ145" s="75">
        <f>$C145*INDEX(Curves!$AD$8:$AD$68,AZ$4-$B145+1)</f>
        <v/>
      </c>
      <c r="BA145" s="75">
        <f>$C145*INDEX(Curves!$AD$8:$AD$68,BA$4-$B145+1)</f>
        <v/>
      </c>
      <c r="BB145" s="75">
        <f>$C145*INDEX(Curves!$AD$8:$AD$68,BB$4-$B145+1)</f>
        <v/>
      </c>
      <c r="BC145" s="75">
        <f>$C145*INDEX(Curves!$AD$8:$AD$68,BC$4-$B145+1)</f>
        <v/>
      </c>
      <c r="BD145" s="75">
        <f>$C145*INDEX(Curves!$AD$8:$AD$68,BD$4-$B145+1)</f>
        <v/>
      </c>
      <c r="BE145" s="75">
        <f>$C145*INDEX(Curves!$AD$8:$AD$68,BE$4-$B145+1)</f>
        <v/>
      </c>
      <c r="BF145" s="75">
        <f>$C145*INDEX(Curves!$AD$8:$AD$68,BF$4-$B145+1)</f>
        <v/>
      </c>
      <c r="BG145" s="75">
        <f>$C145*INDEX(Curves!$AD$8:$AD$68,BG$4-$B145+1)</f>
        <v/>
      </c>
      <c r="BH145" s="75">
        <f>$C145*INDEX(Curves!$AD$8:$AD$68,BH$4-$B145+1)</f>
        <v/>
      </c>
      <c r="BI145" s="75">
        <f>$C145*INDEX(Curves!$AD$8:$AD$68,BI$4-$B145+1)</f>
        <v/>
      </c>
      <c r="BJ145" s="75">
        <f>$C145*INDEX(Curves!$AD$8:$AD$68,BJ$4-$B145+1)</f>
        <v/>
      </c>
      <c r="BK145" s="75">
        <f>$C145*INDEX(Curves!$AD$8:$AD$68,BK$4-$B145+1)</f>
        <v/>
      </c>
      <c r="BL145" s="75">
        <f>$C145*INDEX(Curves!$AD$8:$AD$68,BL$4-$B145+1)</f>
        <v/>
      </c>
    </row>
    <row r="146">
      <c r="A146" s="74" t="inlineStr">
        <is>
          <t>Cohort month 11</t>
        </is>
      </c>
      <c r="B146" s="74" t="n">
        <v>11</v>
      </c>
      <c r="C146" s="17">
        <f>INDEX(Ops!$E$60:$BL$60,1,$B146)</f>
        <v/>
      </c>
      <c r="P146" s="75">
        <f>$C146*INDEX(Curves!$AD$8:$AD$68,P$4-$B146+1)</f>
        <v/>
      </c>
      <c r="Q146" s="75">
        <f>$C146*INDEX(Curves!$AD$8:$AD$68,Q$4-$B146+1)</f>
        <v/>
      </c>
      <c r="R146" s="75">
        <f>$C146*INDEX(Curves!$AD$8:$AD$68,R$4-$B146+1)</f>
        <v/>
      </c>
      <c r="S146" s="75">
        <f>$C146*INDEX(Curves!$AD$8:$AD$68,S$4-$B146+1)</f>
        <v/>
      </c>
      <c r="T146" s="75">
        <f>$C146*INDEX(Curves!$AD$8:$AD$68,T$4-$B146+1)</f>
        <v/>
      </c>
      <c r="U146" s="75">
        <f>$C146*INDEX(Curves!$AD$8:$AD$68,U$4-$B146+1)</f>
        <v/>
      </c>
      <c r="V146" s="75">
        <f>$C146*INDEX(Curves!$AD$8:$AD$68,V$4-$B146+1)</f>
        <v/>
      </c>
      <c r="W146" s="75">
        <f>$C146*INDEX(Curves!$AD$8:$AD$68,W$4-$B146+1)</f>
        <v/>
      </c>
      <c r="X146" s="75">
        <f>$C146*INDEX(Curves!$AD$8:$AD$68,X$4-$B146+1)</f>
        <v/>
      </c>
      <c r="Y146" s="75">
        <f>$C146*INDEX(Curves!$AD$8:$AD$68,Y$4-$B146+1)</f>
        <v/>
      </c>
      <c r="Z146" s="75">
        <f>$C146*INDEX(Curves!$AD$8:$AD$68,Z$4-$B146+1)</f>
        <v/>
      </c>
      <c r="AA146" s="75">
        <f>$C146*INDEX(Curves!$AD$8:$AD$68,AA$4-$B146+1)</f>
        <v/>
      </c>
      <c r="AB146" s="75">
        <f>$C146*INDEX(Curves!$AD$8:$AD$68,AB$4-$B146+1)</f>
        <v/>
      </c>
      <c r="AC146" s="75">
        <f>$C146*INDEX(Curves!$AD$8:$AD$68,AC$4-$B146+1)</f>
        <v/>
      </c>
      <c r="AD146" s="75">
        <f>$C146*INDEX(Curves!$AD$8:$AD$68,AD$4-$B146+1)</f>
        <v/>
      </c>
      <c r="AE146" s="75">
        <f>$C146*INDEX(Curves!$AD$8:$AD$68,AE$4-$B146+1)</f>
        <v/>
      </c>
      <c r="AF146" s="75">
        <f>$C146*INDEX(Curves!$AD$8:$AD$68,AF$4-$B146+1)</f>
        <v/>
      </c>
      <c r="AG146" s="75">
        <f>$C146*INDEX(Curves!$AD$8:$AD$68,AG$4-$B146+1)</f>
        <v/>
      </c>
      <c r="AH146" s="75">
        <f>$C146*INDEX(Curves!$AD$8:$AD$68,AH$4-$B146+1)</f>
        <v/>
      </c>
      <c r="AI146" s="75">
        <f>$C146*INDEX(Curves!$AD$8:$AD$68,AI$4-$B146+1)</f>
        <v/>
      </c>
      <c r="AJ146" s="75">
        <f>$C146*INDEX(Curves!$AD$8:$AD$68,AJ$4-$B146+1)</f>
        <v/>
      </c>
      <c r="AK146" s="75">
        <f>$C146*INDEX(Curves!$AD$8:$AD$68,AK$4-$B146+1)</f>
        <v/>
      </c>
      <c r="AL146" s="75">
        <f>$C146*INDEX(Curves!$AD$8:$AD$68,AL$4-$B146+1)</f>
        <v/>
      </c>
      <c r="AM146" s="75">
        <f>$C146*INDEX(Curves!$AD$8:$AD$68,AM$4-$B146+1)</f>
        <v/>
      </c>
      <c r="AN146" s="75">
        <f>$C146*INDEX(Curves!$AD$8:$AD$68,AN$4-$B146+1)</f>
        <v/>
      </c>
      <c r="AO146" s="75">
        <f>$C146*INDEX(Curves!$AD$8:$AD$68,AO$4-$B146+1)</f>
        <v/>
      </c>
      <c r="AP146" s="75">
        <f>$C146*INDEX(Curves!$AD$8:$AD$68,AP$4-$B146+1)</f>
        <v/>
      </c>
      <c r="AQ146" s="75">
        <f>$C146*INDEX(Curves!$AD$8:$AD$68,AQ$4-$B146+1)</f>
        <v/>
      </c>
      <c r="AR146" s="75">
        <f>$C146*INDEX(Curves!$AD$8:$AD$68,AR$4-$B146+1)</f>
        <v/>
      </c>
      <c r="AS146" s="75">
        <f>$C146*INDEX(Curves!$AD$8:$AD$68,AS$4-$B146+1)</f>
        <v/>
      </c>
      <c r="AT146" s="75">
        <f>$C146*INDEX(Curves!$AD$8:$AD$68,AT$4-$B146+1)</f>
        <v/>
      </c>
      <c r="AU146" s="75">
        <f>$C146*INDEX(Curves!$AD$8:$AD$68,AU$4-$B146+1)</f>
        <v/>
      </c>
      <c r="AV146" s="75">
        <f>$C146*INDEX(Curves!$AD$8:$AD$68,AV$4-$B146+1)</f>
        <v/>
      </c>
      <c r="AW146" s="75">
        <f>$C146*INDEX(Curves!$AD$8:$AD$68,AW$4-$B146+1)</f>
        <v/>
      </c>
      <c r="AX146" s="75">
        <f>$C146*INDEX(Curves!$AD$8:$AD$68,AX$4-$B146+1)</f>
        <v/>
      </c>
      <c r="AY146" s="75">
        <f>$C146*INDEX(Curves!$AD$8:$AD$68,AY$4-$B146+1)</f>
        <v/>
      </c>
      <c r="AZ146" s="75">
        <f>$C146*INDEX(Curves!$AD$8:$AD$68,AZ$4-$B146+1)</f>
        <v/>
      </c>
      <c r="BA146" s="75">
        <f>$C146*INDEX(Curves!$AD$8:$AD$68,BA$4-$B146+1)</f>
        <v/>
      </c>
      <c r="BB146" s="75">
        <f>$C146*INDEX(Curves!$AD$8:$AD$68,BB$4-$B146+1)</f>
        <v/>
      </c>
      <c r="BC146" s="75">
        <f>$C146*INDEX(Curves!$AD$8:$AD$68,BC$4-$B146+1)</f>
        <v/>
      </c>
      <c r="BD146" s="75">
        <f>$C146*INDEX(Curves!$AD$8:$AD$68,BD$4-$B146+1)</f>
        <v/>
      </c>
      <c r="BE146" s="75">
        <f>$C146*INDEX(Curves!$AD$8:$AD$68,BE$4-$B146+1)</f>
        <v/>
      </c>
      <c r="BF146" s="75">
        <f>$C146*INDEX(Curves!$AD$8:$AD$68,BF$4-$B146+1)</f>
        <v/>
      </c>
      <c r="BG146" s="75">
        <f>$C146*INDEX(Curves!$AD$8:$AD$68,BG$4-$B146+1)</f>
        <v/>
      </c>
      <c r="BH146" s="75">
        <f>$C146*INDEX(Curves!$AD$8:$AD$68,BH$4-$B146+1)</f>
        <v/>
      </c>
      <c r="BI146" s="75">
        <f>$C146*INDEX(Curves!$AD$8:$AD$68,BI$4-$B146+1)</f>
        <v/>
      </c>
      <c r="BJ146" s="75">
        <f>$C146*INDEX(Curves!$AD$8:$AD$68,BJ$4-$B146+1)</f>
        <v/>
      </c>
      <c r="BK146" s="75">
        <f>$C146*INDEX(Curves!$AD$8:$AD$68,BK$4-$B146+1)</f>
        <v/>
      </c>
      <c r="BL146" s="75">
        <f>$C146*INDEX(Curves!$AD$8:$AD$68,BL$4-$B146+1)</f>
        <v/>
      </c>
    </row>
    <row r="147">
      <c r="A147" s="74" t="inlineStr">
        <is>
          <t>Cohort month 12</t>
        </is>
      </c>
      <c r="B147" s="74" t="n">
        <v>12</v>
      </c>
      <c r="C147" s="17">
        <f>INDEX(Ops!$E$60:$BL$60,1,$B147)</f>
        <v/>
      </c>
      <c r="Q147" s="75">
        <f>$C147*INDEX(Curves!$AD$8:$AD$68,Q$4-$B147+1)</f>
        <v/>
      </c>
      <c r="R147" s="75">
        <f>$C147*INDEX(Curves!$AD$8:$AD$68,R$4-$B147+1)</f>
        <v/>
      </c>
      <c r="S147" s="75">
        <f>$C147*INDEX(Curves!$AD$8:$AD$68,S$4-$B147+1)</f>
        <v/>
      </c>
      <c r="T147" s="75">
        <f>$C147*INDEX(Curves!$AD$8:$AD$68,T$4-$B147+1)</f>
        <v/>
      </c>
      <c r="U147" s="75">
        <f>$C147*INDEX(Curves!$AD$8:$AD$68,U$4-$B147+1)</f>
        <v/>
      </c>
      <c r="V147" s="75">
        <f>$C147*INDEX(Curves!$AD$8:$AD$68,V$4-$B147+1)</f>
        <v/>
      </c>
      <c r="W147" s="75">
        <f>$C147*INDEX(Curves!$AD$8:$AD$68,W$4-$B147+1)</f>
        <v/>
      </c>
      <c r="X147" s="75">
        <f>$C147*INDEX(Curves!$AD$8:$AD$68,X$4-$B147+1)</f>
        <v/>
      </c>
      <c r="Y147" s="75">
        <f>$C147*INDEX(Curves!$AD$8:$AD$68,Y$4-$B147+1)</f>
        <v/>
      </c>
      <c r="Z147" s="75">
        <f>$C147*INDEX(Curves!$AD$8:$AD$68,Z$4-$B147+1)</f>
        <v/>
      </c>
      <c r="AA147" s="75">
        <f>$C147*INDEX(Curves!$AD$8:$AD$68,AA$4-$B147+1)</f>
        <v/>
      </c>
      <c r="AB147" s="75">
        <f>$C147*INDEX(Curves!$AD$8:$AD$68,AB$4-$B147+1)</f>
        <v/>
      </c>
      <c r="AC147" s="75">
        <f>$C147*INDEX(Curves!$AD$8:$AD$68,AC$4-$B147+1)</f>
        <v/>
      </c>
      <c r="AD147" s="75">
        <f>$C147*INDEX(Curves!$AD$8:$AD$68,AD$4-$B147+1)</f>
        <v/>
      </c>
      <c r="AE147" s="75">
        <f>$C147*INDEX(Curves!$AD$8:$AD$68,AE$4-$B147+1)</f>
        <v/>
      </c>
      <c r="AF147" s="75">
        <f>$C147*INDEX(Curves!$AD$8:$AD$68,AF$4-$B147+1)</f>
        <v/>
      </c>
      <c r="AG147" s="75">
        <f>$C147*INDEX(Curves!$AD$8:$AD$68,AG$4-$B147+1)</f>
        <v/>
      </c>
      <c r="AH147" s="75">
        <f>$C147*INDEX(Curves!$AD$8:$AD$68,AH$4-$B147+1)</f>
        <v/>
      </c>
      <c r="AI147" s="75">
        <f>$C147*INDEX(Curves!$AD$8:$AD$68,AI$4-$B147+1)</f>
        <v/>
      </c>
      <c r="AJ147" s="75">
        <f>$C147*INDEX(Curves!$AD$8:$AD$68,AJ$4-$B147+1)</f>
        <v/>
      </c>
      <c r="AK147" s="75">
        <f>$C147*INDEX(Curves!$AD$8:$AD$68,AK$4-$B147+1)</f>
        <v/>
      </c>
      <c r="AL147" s="75">
        <f>$C147*INDEX(Curves!$AD$8:$AD$68,AL$4-$B147+1)</f>
        <v/>
      </c>
      <c r="AM147" s="75">
        <f>$C147*INDEX(Curves!$AD$8:$AD$68,AM$4-$B147+1)</f>
        <v/>
      </c>
      <c r="AN147" s="75">
        <f>$C147*INDEX(Curves!$AD$8:$AD$68,AN$4-$B147+1)</f>
        <v/>
      </c>
      <c r="AO147" s="75">
        <f>$C147*INDEX(Curves!$AD$8:$AD$68,AO$4-$B147+1)</f>
        <v/>
      </c>
      <c r="AP147" s="75">
        <f>$C147*INDEX(Curves!$AD$8:$AD$68,AP$4-$B147+1)</f>
        <v/>
      </c>
      <c r="AQ147" s="75">
        <f>$C147*INDEX(Curves!$AD$8:$AD$68,AQ$4-$B147+1)</f>
        <v/>
      </c>
      <c r="AR147" s="75">
        <f>$C147*INDEX(Curves!$AD$8:$AD$68,AR$4-$B147+1)</f>
        <v/>
      </c>
      <c r="AS147" s="75">
        <f>$C147*INDEX(Curves!$AD$8:$AD$68,AS$4-$B147+1)</f>
        <v/>
      </c>
      <c r="AT147" s="75">
        <f>$C147*INDEX(Curves!$AD$8:$AD$68,AT$4-$B147+1)</f>
        <v/>
      </c>
      <c r="AU147" s="75">
        <f>$C147*INDEX(Curves!$AD$8:$AD$68,AU$4-$B147+1)</f>
        <v/>
      </c>
      <c r="AV147" s="75">
        <f>$C147*INDEX(Curves!$AD$8:$AD$68,AV$4-$B147+1)</f>
        <v/>
      </c>
      <c r="AW147" s="75">
        <f>$C147*INDEX(Curves!$AD$8:$AD$68,AW$4-$B147+1)</f>
        <v/>
      </c>
      <c r="AX147" s="75">
        <f>$C147*INDEX(Curves!$AD$8:$AD$68,AX$4-$B147+1)</f>
        <v/>
      </c>
      <c r="AY147" s="75">
        <f>$C147*INDEX(Curves!$AD$8:$AD$68,AY$4-$B147+1)</f>
        <v/>
      </c>
      <c r="AZ147" s="75">
        <f>$C147*INDEX(Curves!$AD$8:$AD$68,AZ$4-$B147+1)</f>
        <v/>
      </c>
      <c r="BA147" s="75">
        <f>$C147*INDEX(Curves!$AD$8:$AD$68,BA$4-$B147+1)</f>
        <v/>
      </c>
      <c r="BB147" s="75">
        <f>$C147*INDEX(Curves!$AD$8:$AD$68,BB$4-$B147+1)</f>
        <v/>
      </c>
      <c r="BC147" s="75">
        <f>$C147*INDEX(Curves!$AD$8:$AD$68,BC$4-$B147+1)</f>
        <v/>
      </c>
      <c r="BD147" s="75">
        <f>$C147*INDEX(Curves!$AD$8:$AD$68,BD$4-$B147+1)</f>
        <v/>
      </c>
      <c r="BE147" s="75">
        <f>$C147*INDEX(Curves!$AD$8:$AD$68,BE$4-$B147+1)</f>
        <v/>
      </c>
      <c r="BF147" s="75">
        <f>$C147*INDEX(Curves!$AD$8:$AD$68,BF$4-$B147+1)</f>
        <v/>
      </c>
      <c r="BG147" s="75">
        <f>$C147*INDEX(Curves!$AD$8:$AD$68,BG$4-$B147+1)</f>
        <v/>
      </c>
      <c r="BH147" s="75">
        <f>$C147*INDEX(Curves!$AD$8:$AD$68,BH$4-$B147+1)</f>
        <v/>
      </c>
      <c r="BI147" s="75">
        <f>$C147*INDEX(Curves!$AD$8:$AD$68,BI$4-$B147+1)</f>
        <v/>
      </c>
      <c r="BJ147" s="75">
        <f>$C147*INDEX(Curves!$AD$8:$AD$68,BJ$4-$B147+1)</f>
        <v/>
      </c>
      <c r="BK147" s="75">
        <f>$C147*INDEX(Curves!$AD$8:$AD$68,BK$4-$B147+1)</f>
        <v/>
      </c>
      <c r="BL147" s="75">
        <f>$C147*INDEX(Curves!$AD$8:$AD$68,BL$4-$B147+1)</f>
        <v/>
      </c>
    </row>
    <row r="148">
      <c r="A148" s="74" t="inlineStr">
        <is>
          <t>Cohort month 13</t>
        </is>
      </c>
      <c r="B148" s="74" t="n">
        <v>13</v>
      </c>
      <c r="C148" s="17">
        <f>INDEX(Ops!$E$60:$BL$60,1,$B148)</f>
        <v/>
      </c>
      <c r="R148" s="75">
        <f>$C148*INDEX(Curves!$AD$8:$AD$68,R$4-$B148+1)</f>
        <v/>
      </c>
      <c r="S148" s="75">
        <f>$C148*INDEX(Curves!$AD$8:$AD$68,S$4-$B148+1)</f>
        <v/>
      </c>
      <c r="T148" s="75">
        <f>$C148*INDEX(Curves!$AD$8:$AD$68,T$4-$B148+1)</f>
        <v/>
      </c>
      <c r="U148" s="75">
        <f>$C148*INDEX(Curves!$AD$8:$AD$68,U$4-$B148+1)</f>
        <v/>
      </c>
      <c r="V148" s="75">
        <f>$C148*INDEX(Curves!$AD$8:$AD$68,V$4-$B148+1)</f>
        <v/>
      </c>
      <c r="W148" s="75">
        <f>$C148*INDEX(Curves!$AD$8:$AD$68,W$4-$B148+1)</f>
        <v/>
      </c>
      <c r="X148" s="75">
        <f>$C148*INDEX(Curves!$AD$8:$AD$68,X$4-$B148+1)</f>
        <v/>
      </c>
      <c r="Y148" s="75">
        <f>$C148*INDEX(Curves!$AD$8:$AD$68,Y$4-$B148+1)</f>
        <v/>
      </c>
      <c r="Z148" s="75">
        <f>$C148*INDEX(Curves!$AD$8:$AD$68,Z$4-$B148+1)</f>
        <v/>
      </c>
      <c r="AA148" s="75">
        <f>$C148*INDEX(Curves!$AD$8:$AD$68,AA$4-$B148+1)</f>
        <v/>
      </c>
      <c r="AB148" s="75">
        <f>$C148*INDEX(Curves!$AD$8:$AD$68,AB$4-$B148+1)</f>
        <v/>
      </c>
      <c r="AC148" s="75">
        <f>$C148*INDEX(Curves!$AD$8:$AD$68,AC$4-$B148+1)</f>
        <v/>
      </c>
      <c r="AD148" s="75">
        <f>$C148*INDEX(Curves!$AD$8:$AD$68,AD$4-$B148+1)</f>
        <v/>
      </c>
      <c r="AE148" s="75">
        <f>$C148*INDEX(Curves!$AD$8:$AD$68,AE$4-$B148+1)</f>
        <v/>
      </c>
      <c r="AF148" s="75">
        <f>$C148*INDEX(Curves!$AD$8:$AD$68,AF$4-$B148+1)</f>
        <v/>
      </c>
      <c r="AG148" s="75">
        <f>$C148*INDEX(Curves!$AD$8:$AD$68,AG$4-$B148+1)</f>
        <v/>
      </c>
      <c r="AH148" s="75">
        <f>$C148*INDEX(Curves!$AD$8:$AD$68,AH$4-$B148+1)</f>
        <v/>
      </c>
      <c r="AI148" s="75">
        <f>$C148*INDEX(Curves!$AD$8:$AD$68,AI$4-$B148+1)</f>
        <v/>
      </c>
      <c r="AJ148" s="75">
        <f>$C148*INDEX(Curves!$AD$8:$AD$68,AJ$4-$B148+1)</f>
        <v/>
      </c>
      <c r="AK148" s="75">
        <f>$C148*INDEX(Curves!$AD$8:$AD$68,AK$4-$B148+1)</f>
        <v/>
      </c>
      <c r="AL148" s="75">
        <f>$C148*INDEX(Curves!$AD$8:$AD$68,AL$4-$B148+1)</f>
        <v/>
      </c>
      <c r="AM148" s="75">
        <f>$C148*INDEX(Curves!$AD$8:$AD$68,AM$4-$B148+1)</f>
        <v/>
      </c>
      <c r="AN148" s="75">
        <f>$C148*INDEX(Curves!$AD$8:$AD$68,AN$4-$B148+1)</f>
        <v/>
      </c>
      <c r="AO148" s="75">
        <f>$C148*INDEX(Curves!$AD$8:$AD$68,AO$4-$B148+1)</f>
        <v/>
      </c>
      <c r="AP148" s="75">
        <f>$C148*INDEX(Curves!$AD$8:$AD$68,AP$4-$B148+1)</f>
        <v/>
      </c>
      <c r="AQ148" s="75">
        <f>$C148*INDEX(Curves!$AD$8:$AD$68,AQ$4-$B148+1)</f>
        <v/>
      </c>
      <c r="AR148" s="75">
        <f>$C148*INDEX(Curves!$AD$8:$AD$68,AR$4-$B148+1)</f>
        <v/>
      </c>
      <c r="AS148" s="75">
        <f>$C148*INDEX(Curves!$AD$8:$AD$68,AS$4-$B148+1)</f>
        <v/>
      </c>
      <c r="AT148" s="75">
        <f>$C148*INDEX(Curves!$AD$8:$AD$68,AT$4-$B148+1)</f>
        <v/>
      </c>
      <c r="AU148" s="75">
        <f>$C148*INDEX(Curves!$AD$8:$AD$68,AU$4-$B148+1)</f>
        <v/>
      </c>
      <c r="AV148" s="75">
        <f>$C148*INDEX(Curves!$AD$8:$AD$68,AV$4-$B148+1)</f>
        <v/>
      </c>
      <c r="AW148" s="75">
        <f>$C148*INDEX(Curves!$AD$8:$AD$68,AW$4-$B148+1)</f>
        <v/>
      </c>
      <c r="AX148" s="75">
        <f>$C148*INDEX(Curves!$AD$8:$AD$68,AX$4-$B148+1)</f>
        <v/>
      </c>
      <c r="AY148" s="75">
        <f>$C148*INDEX(Curves!$AD$8:$AD$68,AY$4-$B148+1)</f>
        <v/>
      </c>
      <c r="AZ148" s="75">
        <f>$C148*INDEX(Curves!$AD$8:$AD$68,AZ$4-$B148+1)</f>
        <v/>
      </c>
      <c r="BA148" s="75">
        <f>$C148*INDEX(Curves!$AD$8:$AD$68,BA$4-$B148+1)</f>
        <v/>
      </c>
      <c r="BB148" s="75">
        <f>$C148*INDEX(Curves!$AD$8:$AD$68,BB$4-$B148+1)</f>
        <v/>
      </c>
      <c r="BC148" s="75">
        <f>$C148*INDEX(Curves!$AD$8:$AD$68,BC$4-$B148+1)</f>
        <v/>
      </c>
      <c r="BD148" s="75">
        <f>$C148*INDEX(Curves!$AD$8:$AD$68,BD$4-$B148+1)</f>
        <v/>
      </c>
      <c r="BE148" s="75">
        <f>$C148*INDEX(Curves!$AD$8:$AD$68,BE$4-$B148+1)</f>
        <v/>
      </c>
      <c r="BF148" s="75">
        <f>$C148*INDEX(Curves!$AD$8:$AD$68,BF$4-$B148+1)</f>
        <v/>
      </c>
      <c r="BG148" s="75">
        <f>$C148*INDEX(Curves!$AD$8:$AD$68,BG$4-$B148+1)</f>
        <v/>
      </c>
      <c r="BH148" s="75">
        <f>$C148*INDEX(Curves!$AD$8:$AD$68,BH$4-$B148+1)</f>
        <v/>
      </c>
      <c r="BI148" s="75">
        <f>$C148*INDEX(Curves!$AD$8:$AD$68,BI$4-$B148+1)</f>
        <v/>
      </c>
      <c r="BJ148" s="75">
        <f>$C148*INDEX(Curves!$AD$8:$AD$68,BJ$4-$B148+1)</f>
        <v/>
      </c>
      <c r="BK148" s="75">
        <f>$C148*INDEX(Curves!$AD$8:$AD$68,BK$4-$B148+1)</f>
        <v/>
      </c>
      <c r="BL148" s="75">
        <f>$C148*INDEX(Curves!$AD$8:$AD$68,BL$4-$B148+1)</f>
        <v/>
      </c>
    </row>
    <row r="149">
      <c r="A149" s="74" t="inlineStr">
        <is>
          <t>Cohort month 14</t>
        </is>
      </c>
      <c r="B149" s="74" t="n">
        <v>14</v>
      </c>
      <c r="C149" s="17">
        <f>INDEX(Ops!$E$60:$BL$60,1,$B149)</f>
        <v/>
      </c>
      <c r="S149" s="75">
        <f>$C149*INDEX(Curves!$AD$8:$AD$68,S$4-$B149+1)</f>
        <v/>
      </c>
      <c r="T149" s="75">
        <f>$C149*INDEX(Curves!$AD$8:$AD$68,T$4-$B149+1)</f>
        <v/>
      </c>
      <c r="U149" s="75">
        <f>$C149*INDEX(Curves!$AD$8:$AD$68,U$4-$B149+1)</f>
        <v/>
      </c>
      <c r="V149" s="75">
        <f>$C149*INDEX(Curves!$AD$8:$AD$68,V$4-$B149+1)</f>
        <v/>
      </c>
      <c r="W149" s="75">
        <f>$C149*INDEX(Curves!$AD$8:$AD$68,W$4-$B149+1)</f>
        <v/>
      </c>
      <c r="X149" s="75">
        <f>$C149*INDEX(Curves!$AD$8:$AD$68,X$4-$B149+1)</f>
        <v/>
      </c>
      <c r="Y149" s="75">
        <f>$C149*INDEX(Curves!$AD$8:$AD$68,Y$4-$B149+1)</f>
        <v/>
      </c>
      <c r="Z149" s="75">
        <f>$C149*INDEX(Curves!$AD$8:$AD$68,Z$4-$B149+1)</f>
        <v/>
      </c>
      <c r="AA149" s="75">
        <f>$C149*INDEX(Curves!$AD$8:$AD$68,AA$4-$B149+1)</f>
        <v/>
      </c>
      <c r="AB149" s="75">
        <f>$C149*INDEX(Curves!$AD$8:$AD$68,AB$4-$B149+1)</f>
        <v/>
      </c>
      <c r="AC149" s="75">
        <f>$C149*INDEX(Curves!$AD$8:$AD$68,AC$4-$B149+1)</f>
        <v/>
      </c>
      <c r="AD149" s="75">
        <f>$C149*INDEX(Curves!$AD$8:$AD$68,AD$4-$B149+1)</f>
        <v/>
      </c>
      <c r="AE149" s="75">
        <f>$C149*INDEX(Curves!$AD$8:$AD$68,AE$4-$B149+1)</f>
        <v/>
      </c>
      <c r="AF149" s="75">
        <f>$C149*INDEX(Curves!$AD$8:$AD$68,AF$4-$B149+1)</f>
        <v/>
      </c>
      <c r="AG149" s="75">
        <f>$C149*INDEX(Curves!$AD$8:$AD$68,AG$4-$B149+1)</f>
        <v/>
      </c>
      <c r="AH149" s="75">
        <f>$C149*INDEX(Curves!$AD$8:$AD$68,AH$4-$B149+1)</f>
        <v/>
      </c>
      <c r="AI149" s="75">
        <f>$C149*INDEX(Curves!$AD$8:$AD$68,AI$4-$B149+1)</f>
        <v/>
      </c>
      <c r="AJ149" s="75">
        <f>$C149*INDEX(Curves!$AD$8:$AD$68,AJ$4-$B149+1)</f>
        <v/>
      </c>
      <c r="AK149" s="75">
        <f>$C149*INDEX(Curves!$AD$8:$AD$68,AK$4-$B149+1)</f>
        <v/>
      </c>
      <c r="AL149" s="75">
        <f>$C149*INDEX(Curves!$AD$8:$AD$68,AL$4-$B149+1)</f>
        <v/>
      </c>
      <c r="AM149" s="75">
        <f>$C149*INDEX(Curves!$AD$8:$AD$68,AM$4-$B149+1)</f>
        <v/>
      </c>
      <c r="AN149" s="75">
        <f>$C149*INDEX(Curves!$AD$8:$AD$68,AN$4-$B149+1)</f>
        <v/>
      </c>
      <c r="AO149" s="75">
        <f>$C149*INDEX(Curves!$AD$8:$AD$68,AO$4-$B149+1)</f>
        <v/>
      </c>
      <c r="AP149" s="75">
        <f>$C149*INDEX(Curves!$AD$8:$AD$68,AP$4-$B149+1)</f>
        <v/>
      </c>
      <c r="AQ149" s="75">
        <f>$C149*INDEX(Curves!$AD$8:$AD$68,AQ$4-$B149+1)</f>
        <v/>
      </c>
      <c r="AR149" s="75">
        <f>$C149*INDEX(Curves!$AD$8:$AD$68,AR$4-$B149+1)</f>
        <v/>
      </c>
      <c r="AS149" s="75">
        <f>$C149*INDEX(Curves!$AD$8:$AD$68,AS$4-$B149+1)</f>
        <v/>
      </c>
      <c r="AT149" s="75">
        <f>$C149*INDEX(Curves!$AD$8:$AD$68,AT$4-$B149+1)</f>
        <v/>
      </c>
      <c r="AU149" s="75">
        <f>$C149*INDEX(Curves!$AD$8:$AD$68,AU$4-$B149+1)</f>
        <v/>
      </c>
      <c r="AV149" s="75">
        <f>$C149*INDEX(Curves!$AD$8:$AD$68,AV$4-$B149+1)</f>
        <v/>
      </c>
      <c r="AW149" s="75">
        <f>$C149*INDEX(Curves!$AD$8:$AD$68,AW$4-$B149+1)</f>
        <v/>
      </c>
      <c r="AX149" s="75">
        <f>$C149*INDEX(Curves!$AD$8:$AD$68,AX$4-$B149+1)</f>
        <v/>
      </c>
      <c r="AY149" s="75">
        <f>$C149*INDEX(Curves!$AD$8:$AD$68,AY$4-$B149+1)</f>
        <v/>
      </c>
      <c r="AZ149" s="75">
        <f>$C149*INDEX(Curves!$AD$8:$AD$68,AZ$4-$B149+1)</f>
        <v/>
      </c>
      <c r="BA149" s="75">
        <f>$C149*INDEX(Curves!$AD$8:$AD$68,BA$4-$B149+1)</f>
        <v/>
      </c>
      <c r="BB149" s="75">
        <f>$C149*INDEX(Curves!$AD$8:$AD$68,BB$4-$B149+1)</f>
        <v/>
      </c>
      <c r="BC149" s="75">
        <f>$C149*INDEX(Curves!$AD$8:$AD$68,BC$4-$B149+1)</f>
        <v/>
      </c>
      <c r="BD149" s="75">
        <f>$C149*INDEX(Curves!$AD$8:$AD$68,BD$4-$B149+1)</f>
        <v/>
      </c>
      <c r="BE149" s="75">
        <f>$C149*INDEX(Curves!$AD$8:$AD$68,BE$4-$B149+1)</f>
        <v/>
      </c>
      <c r="BF149" s="75">
        <f>$C149*INDEX(Curves!$AD$8:$AD$68,BF$4-$B149+1)</f>
        <v/>
      </c>
      <c r="BG149" s="75">
        <f>$C149*INDEX(Curves!$AD$8:$AD$68,BG$4-$B149+1)</f>
        <v/>
      </c>
      <c r="BH149" s="75">
        <f>$C149*INDEX(Curves!$AD$8:$AD$68,BH$4-$B149+1)</f>
        <v/>
      </c>
      <c r="BI149" s="75">
        <f>$C149*INDEX(Curves!$AD$8:$AD$68,BI$4-$B149+1)</f>
        <v/>
      </c>
      <c r="BJ149" s="75">
        <f>$C149*INDEX(Curves!$AD$8:$AD$68,BJ$4-$B149+1)</f>
        <v/>
      </c>
      <c r="BK149" s="75">
        <f>$C149*INDEX(Curves!$AD$8:$AD$68,BK$4-$B149+1)</f>
        <v/>
      </c>
      <c r="BL149" s="75">
        <f>$C149*INDEX(Curves!$AD$8:$AD$68,BL$4-$B149+1)</f>
        <v/>
      </c>
    </row>
    <row r="150">
      <c r="A150" s="74" t="inlineStr">
        <is>
          <t>Cohort month 15</t>
        </is>
      </c>
      <c r="B150" s="74" t="n">
        <v>15</v>
      </c>
      <c r="C150" s="17">
        <f>INDEX(Ops!$E$60:$BL$60,1,$B150)</f>
        <v/>
      </c>
      <c r="T150" s="75">
        <f>$C150*INDEX(Curves!$AD$8:$AD$68,T$4-$B150+1)</f>
        <v/>
      </c>
      <c r="U150" s="75">
        <f>$C150*INDEX(Curves!$AD$8:$AD$68,U$4-$B150+1)</f>
        <v/>
      </c>
      <c r="V150" s="75">
        <f>$C150*INDEX(Curves!$AD$8:$AD$68,V$4-$B150+1)</f>
        <v/>
      </c>
      <c r="W150" s="75">
        <f>$C150*INDEX(Curves!$AD$8:$AD$68,W$4-$B150+1)</f>
        <v/>
      </c>
      <c r="X150" s="75">
        <f>$C150*INDEX(Curves!$AD$8:$AD$68,X$4-$B150+1)</f>
        <v/>
      </c>
      <c r="Y150" s="75">
        <f>$C150*INDEX(Curves!$AD$8:$AD$68,Y$4-$B150+1)</f>
        <v/>
      </c>
      <c r="Z150" s="75">
        <f>$C150*INDEX(Curves!$AD$8:$AD$68,Z$4-$B150+1)</f>
        <v/>
      </c>
      <c r="AA150" s="75">
        <f>$C150*INDEX(Curves!$AD$8:$AD$68,AA$4-$B150+1)</f>
        <v/>
      </c>
      <c r="AB150" s="75">
        <f>$C150*INDEX(Curves!$AD$8:$AD$68,AB$4-$B150+1)</f>
        <v/>
      </c>
      <c r="AC150" s="75">
        <f>$C150*INDEX(Curves!$AD$8:$AD$68,AC$4-$B150+1)</f>
        <v/>
      </c>
      <c r="AD150" s="75">
        <f>$C150*INDEX(Curves!$AD$8:$AD$68,AD$4-$B150+1)</f>
        <v/>
      </c>
      <c r="AE150" s="75">
        <f>$C150*INDEX(Curves!$AD$8:$AD$68,AE$4-$B150+1)</f>
        <v/>
      </c>
      <c r="AF150" s="75">
        <f>$C150*INDEX(Curves!$AD$8:$AD$68,AF$4-$B150+1)</f>
        <v/>
      </c>
      <c r="AG150" s="75">
        <f>$C150*INDEX(Curves!$AD$8:$AD$68,AG$4-$B150+1)</f>
        <v/>
      </c>
      <c r="AH150" s="75">
        <f>$C150*INDEX(Curves!$AD$8:$AD$68,AH$4-$B150+1)</f>
        <v/>
      </c>
      <c r="AI150" s="75">
        <f>$C150*INDEX(Curves!$AD$8:$AD$68,AI$4-$B150+1)</f>
        <v/>
      </c>
      <c r="AJ150" s="75">
        <f>$C150*INDEX(Curves!$AD$8:$AD$68,AJ$4-$B150+1)</f>
        <v/>
      </c>
      <c r="AK150" s="75">
        <f>$C150*INDEX(Curves!$AD$8:$AD$68,AK$4-$B150+1)</f>
        <v/>
      </c>
      <c r="AL150" s="75">
        <f>$C150*INDEX(Curves!$AD$8:$AD$68,AL$4-$B150+1)</f>
        <v/>
      </c>
      <c r="AM150" s="75">
        <f>$C150*INDEX(Curves!$AD$8:$AD$68,AM$4-$B150+1)</f>
        <v/>
      </c>
      <c r="AN150" s="75">
        <f>$C150*INDEX(Curves!$AD$8:$AD$68,AN$4-$B150+1)</f>
        <v/>
      </c>
      <c r="AO150" s="75">
        <f>$C150*INDEX(Curves!$AD$8:$AD$68,AO$4-$B150+1)</f>
        <v/>
      </c>
      <c r="AP150" s="75">
        <f>$C150*INDEX(Curves!$AD$8:$AD$68,AP$4-$B150+1)</f>
        <v/>
      </c>
      <c r="AQ150" s="75">
        <f>$C150*INDEX(Curves!$AD$8:$AD$68,AQ$4-$B150+1)</f>
        <v/>
      </c>
      <c r="AR150" s="75">
        <f>$C150*INDEX(Curves!$AD$8:$AD$68,AR$4-$B150+1)</f>
        <v/>
      </c>
      <c r="AS150" s="75">
        <f>$C150*INDEX(Curves!$AD$8:$AD$68,AS$4-$B150+1)</f>
        <v/>
      </c>
      <c r="AT150" s="75">
        <f>$C150*INDEX(Curves!$AD$8:$AD$68,AT$4-$B150+1)</f>
        <v/>
      </c>
      <c r="AU150" s="75">
        <f>$C150*INDEX(Curves!$AD$8:$AD$68,AU$4-$B150+1)</f>
        <v/>
      </c>
      <c r="AV150" s="75">
        <f>$C150*INDEX(Curves!$AD$8:$AD$68,AV$4-$B150+1)</f>
        <v/>
      </c>
      <c r="AW150" s="75">
        <f>$C150*INDEX(Curves!$AD$8:$AD$68,AW$4-$B150+1)</f>
        <v/>
      </c>
      <c r="AX150" s="75">
        <f>$C150*INDEX(Curves!$AD$8:$AD$68,AX$4-$B150+1)</f>
        <v/>
      </c>
      <c r="AY150" s="75">
        <f>$C150*INDEX(Curves!$AD$8:$AD$68,AY$4-$B150+1)</f>
        <v/>
      </c>
      <c r="AZ150" s="75">
        <f>$C150*INDEX(Curves!$AD$8:$AD$68,AZ$4-$B150+1)</f>
        <v/>
      </c>
      <c r="BA150" s="75">
        <f>$C150*INDEX(Curves!$AD$8:$AD$68,BA$4-$B150+1)</f>
        <v/>
      </c>
      <c r="BB150" s="75">
        <f>$C150*INDEX(Curves!$AD$8:$AD$68,BB$4-$B150+1)</f>
        <v/>
      </c>
      <c r="BC150" s="75">
        <f>$C150*INDEX(Curves!$AD$8:$AD$68,BC$4-$B150+1)</f>
        <v/>
      </c>
      <c r="BD150" s="75">
        <f>$C150*INDEX(Curves!$AD$8:$AD$68,BD$4-$B150+1)</f>
        <v/>
      </c>
      <c r="BE150" s="75">
        <f>$C150*INDEX(Curves!$AD$8:$AD$68,BE$4-$B150+1)</f>
        <v/>
      </c>
      <c r="BF150" s="75">
        <f>$C150*INDEX(Curves!$AD$8:$AD$68,BF$4-$B150+1)</f>
        <v/>
      </c>
      <c r="BG150" s="75">
        <f>$C150*INDEX(Curves!$AD$8:$AD$68,BG$4-$B150+1)</f>
        <v/>
      </c>
      <c r="BH150" s="75">
        <f>$C150*INDEX(Curves!$AD$8:$AD$68,BH$4-$B150+1)</f>
        <v/>
      </c>
      <c r="BI150" s="75">
        <f>$C150*INDEX(Curves!$AD$8:$AD$68,BI$4-$B150+1)</f>
        <v/>
      </c>
      <c r="BJ150" s="75">
        <f>$C150*INDEX(Curves!$AD$8:$AD$68,BJ$4-$B150+1)</f>
        <v/>
      </c>
      <c r="BK150" s="75">
        <f>$C150*INDEX(Curves!$AD$8:$AD$68,BK$4-$B150+1)</f>
        <v/>
      </c>
      <c r="BL150" s="75">
        <f>$C150*INDEX(Curves!$AD$8:$AD$68,BL$4-$B150+1)</f>
        <v/>
      </c>
    </row>
    <row r="151">
      <c r="A151" s="74" t="inlineStr">
        <is>
          <t>Cohort month 16</t>
        </is>
      </c>
      <c r="B151" s="74" t="n">
        <v>16</v>
      </c>
      <c r="C151" s="17">
        <f>INDEX(Ops!$E$60:$BL$60,1,$B151)</f>
        <v/>
      </c>
      <c r="U151" s="75">
        <f>$C151*INDEX(Curves!$AD$8:$AD$68,U$4-$B151+1)</f>
        <v/>
      </c>
      <c r="V151" s="75">
        <f>$C151*INDEX(Curves!$AD$8:$AD$68,V$4-$B151+1)</f>
        <v/>
      </c>
      <c r="W151" s="75">
        <f>$C151*INDEX(Curves!$AD$8:$AD$68,W$4-$B151+1)</f>
        <v/>
      </c>
      <c r="X151" s="75">
        <f>$C151*INDEX(Curves!$AD$8:$AD$68,X$4-$B151+1)</f>
        <v/>
      </c>
      <c r="Y151" s="75">
        <f>$C151*INDEX(Curves!$AD$8:$AD$68,Y$4-$B151+1)</f>
        <v/>
      </c>
      <c r="Z151" s="75">
        <f>$C151*INDEX(Curves!$AD$8:$AD$68,Z$4-$B151+1)</f>
        <v/>
      </c>
      <c r="AA151" s="75">
        <f>$C151*INDEX(Curves!$AD$8:$AD$68,AA$4-$B151+1)</f>
        <v/>
      </c>
      <c r="AB151" s="75">
        <f>$C151*INDEX(Curves!$AD$8:$AD$68,AB$4-$B151+1)</f>
        <v/>
      </c>
      <c r="AC151" s="75">
        <f>$C151*INDEX(Curves!$AD$8:$AD$68,AC$4-$B151+1)</f>
        <v/>
      </c>
      <c r="AD151" s="75">
        <f>$C151*INDEX(Curves!$AD$8:$AD$68,AD$4-$B151+1)</f>
        <v/>
      </c>
      <c r="AE151" s="75">
        <f>$C151*INDEX(Curves!$AD$8:$AD$68,AE$4-$B151+1)</f>
        <v/>
      </c>
      <c r="AF151" s="75">
        <f>$C151*INDEX(Curves!$AD$8:$AD$68,AF$4-$B151+1)</f>
        <v/>
      </c>
      <c r="AG151" s="75">
        <f>$C151*INDEX(Curves!$AD$8:$AD$68,AG$4-$B151+1)</f>
        <v/>
      </c>
      <c r="AH151" s="75">
        <f>$C151*INDEX(Curves!$AD$8:$AD$68,AH$4-$B151+1)</f>
        <v/>
      </c>
      <c r="AI151" s="75">
        <f>$C151*INDEX(Curves!$AD$8:$AD$68,AI$4-$B151+1)</f>
        <v/>
      </c>
      <c r="AJ151" s="75">
        <f>$C151*INDEX(Curves!$AD$8:$AD$68,AJ$4-$B151+1)</f>
        <v/>
      </c>
      <c r="AK151" s="75">
        <f>$C151*INDEX(Curves!$AD$8:$AD$68,AK$4-$B151+1)</f>
        <v/>
      </c>
      <c r="AL151" s="75">
        <f>$C151*INDEX(Curves!$AD$8:$AD$68,AL$4-$B151+1)</f>
        <v/>
      </c>
      <c r="AM151" s="75">
        <f>$C151*INDEX(Curves!$AD$8:$AD$68,AM$4-$B151+1)</f>
        <v/>
      </c>
      <c r="AN151" s="75">
        <f>$C151*INDEX(Curves!$AD$8:$AD$68,AN$4-$B151+1)</f>
        <v/>
      </c>
      <c r="AO151" s="75">
        <f>$C151*INDEX(Curves!$AD$8:$AD$68,AO$4-$B151+1)</f>
        <v/>
      </c>
      <c r="AP151" s="75">
        <f>$C151*INDEX(Curves!$AD$8:$AD$68,AP$4-$B151+1)</f>
        <v/>
      </c>
      <c r="AQ151" s="75">
        <f>$C151*INDEX(Curves!$AD$8:$AD$68,AQ$4-$B151+1)</f>
        <v/>
      </c>
      <c r="AR151" s="75">
        <f>$C151*INDEX(Curves!$AD$8:$AD$68,AR$4-$B151+1)</f>
        <v/>
      </c>
      <c r="AS151" s="75">
        <f>$C151*INDEX(Curves!$AD$8:$AD$68,AS$4-$B151+1)</f>
        <v/>
      </c>
      <c r="AT151" s="75">
        <f>$C151*INDEX(Curves!$AD$8:$AD$68,AT$4-$B151+1)</f>
        <v/>
      </c>
      <c r="AU151" s="75">
        <f>$C151*INDEX(Curves!$AD$8:$AD$68,AU$4-$B151+1)</f>
        <v/>
      </c>
      <c r="AV151" s="75">
        <f>$C151*INDEX(Curves!$AD$8:$AD$68,AV$4-$B151+1)</f>
        <v/>
      </c>
      <c r="AW151" s="75">
        <f>$C151*INDEX(Curves!$AD$8:$AD$68,AW$4-$B151+1)</f>
        <v/>
      </c>
      <c r="AX151" s="75">
        <f>$C151*INDEX(Curves!$AD$8:$AD$68,AX$4-$B151+1)</f>
        <v/>
      </c>
      <c r="AY151" s="75">
        <f>$C151*INDEX(Curves!$AD$8:$AD$68,AY$4-$B151+1)</f>
        <v/>
      </c>
      <c r="AZ151" s="75">
        <f>$C151*INDEX(Curves!$AD$8:$AD$68,AZ$4-$B151+1)</f>
        <v/>
      </c>
      <c r="BA151" s="75">
        <f>$C151*INDEX(Curves!$AD$8:$AD$68,BA$4-$B151+1)</f>
        <v/>
      </c>
      <c r="BB151" s="75">
        <f>$C151*INDEX(Curves!$AD$8:$AD$68,BB$4-$B151+1)</f>
        <v/>
      </c>
      <c r="BC151" s="75">
        <f>$C151*INDEX(Curves!$AD$8:$AD$68,BC$4-$B151+1)</f>
        <v/>
      </c>
      <c r="BD151" s="75">
        <f>$C151*INDEX(Curves!$AD$8:$AD$68,BD$4-$B151+1)</f>
        <v/>
      </c>
      <c r="BE151" s="75">
        <f>$C151*INDEX(Curves!$AD$8:$AD$68,BE$4-$B151+1)</f>
        <v/>
      </c>
      <c r="BF151" s="75">
        <f>$C151*INDEX(Curves!$AD$8:$AD$68,BF$4-$B151+1)</f>
        <v/>
      </c>
      <c r="BG151" s="75">
        <f>$C151*INDEX(Curves!$AD$8:$AD$68,BG$4-$B151+1)</f>
        <v/>
      </c>
      <c r="BH151" s="75">
        <f>$C151*INDEX(Curves!$AD$8:$AD$68,BH$4-$B151+1)</f>
        <v/>
      </c>
      <c r="BI151" s="75">
        <f>$C151*INDEX(Curves!$AD$8:$AD$68,BI$4-$B151+1)</f>
        <v/>
      </c>
      <c r="BJ151" s="75">
        <f>$C151*INDEX(Curves!$AD$8:$AD$68,BJ$4-$B151+1)</f>
        <v/>
      </c>
      <c r="BK151" s="75">
        <f>$C151*INDEX(Curves!$AD$8:$AD$68,BK$4-$B151+1)</f>
        <v/>
      </c>
      <c r="BL151" s="75">
        <f>$C151*INDEX(Curves!$AD$8:$AD$68,BL$4-$B151+1)</f>
        <v/>
      </c>
    </row>
    <row r="152">
      <c r="A152" s="74" t="inlineStr">
        <is>
          <t>Cohort month 17</t>
        </is>
      </c>
      <c r="B152" s="74" t="n">
        <v>17</v>
      </c>
      <c r="C152" s="17">
        <f>INDEX(Ops!$E$60:$BL$60,1,$B152)</f>
        <v/>
      </c>
      <c r="V152" s="75">
        <f>$C152*INDEX(Curves!$AD$8:$AD$68,V$4-$B152+1)</f>
        <v/>
      </c>
      <c r="W152" s="75">
        <f>$C152*INDEX(Curves!$AD$8:$AD$68,W$4-$B152+1)</f>
        <v/>
      </c>
      <c r="X152" s="75">
        <f>$C152*INDEX(Curves!$AD$8:$AD$68,X$4-$B152+1)</f>
        <v/>
      </c>
      <c r="Y152" s="75">
        <f>$C152*INDEX(Curves!$AD$8:$AD$68,Y$4-$B152+1)</f>
        <v/>
      </c>
      <c r="Z152" s="75">
        <f>$C152*INDEX(Curves!$AD$8:$AD$68,Z$4-$B152+1)</f>
        <v/>
      </c>
      <c r="AA152" s="75">
        <f>$C152*INDEX(Curves!$AD$8:$AD$68,AA$4-$B152+1)</f>
        <v/>
      </c>
      <c r="AB152" s="75">
        <f>$C152*INDEX(Curves!$AD$8:$AD$68,AB$4-$B152+1)</f>
        <v/>
      </c>
      <c r="AC152" s="75">
        <f>$C152*INDEX(Curves!$AD$8:$AD$68,AC$4-$B152+1)</f>
        <v/>
      </c>
      <c r="AD152" s="75">
        <f>$C152*INDEX(Curves!$AD$8:$AD$68,AD$4-$B152+1)</f>
        <v/>
      </c>
      <c r="AE152" s="75">
        <f>$C152*INDEX(Curves!$AD$8:$AD$68,AE$4-$B152+1)</f>
        <v/>
      </c>
      <c r="AF152" s="75">
        <f>$C152*INDEX(Curves!$AD$8:$AD$68,AF$4-$B152+1)</f>
        <v/>
      </c>
      <c r="AG152" s="75">
        <f>$C152*INDEX(Curves!$AD$8:$AD$68,AG$4-$B152+1)</f>
        <v/>
      </c>
      <c r="AH152" s="75">
        <f>$C152*INDEX(Curves!$AD$8:$AD$68,AH$4-$B152+1)</f>
        <v/>
      </c>
      <c r="AI152" s="75">
        <f>$C152*INDEX(Curves!$AD$8:$AD$68,AI$4-$B152+1)</f>
        <v/>
      </c>
      <c r="AJ152" s="75">
        <f>$C152*INDEX(Curves!$AD$8:$AD$68,AJ$4-$B152+1)</f>
        <v/>
      </c>
      <c r="AK152" s="75">
        <f>$C152*INDEX(Curves!$AD$8:$AD$68,AK$4-$B152+1)</f>
        <v/>
      </c>
      <c r="AL152" s="75">
        <f>$C152*INDEX(Curves!$AD$8:$AD$68,AL$4-$B152+1)</f>
        <v/>
      </c>
      <c r="AM152" s="75">
        <f>$C152*INDEX(Curves!$AD$8:$AD$68,AM$4-$B152+1)</f>
        <v/>
      </c>
      <c r="AN152" s="75">
        <f>$C152*INDEX(Curves!$AD$8:$AD$68,AN$4-$B152+1)</f>
        <v/>
      </c>
      <c r="AO152" s="75">
        <f>$C152*INDEX(Curves!$AD$8:$AD$68,AO$4-$B152+1)</f>
        <v/>
      </c>
      <c r="AP152" s="75">
        <f>$C152*INDEX(Curves!$AD$8:$AD$68,AP$4-$B152+1)</f>
        <v/>
      </c>
      <c r="AQ152" s="75">
        <f>$C152*INDEX(Curves!$AD$8:$AD$68,AQ$4-$B152+1)</f>
        <v/>
      </c>
      <c r="AR152" s="75">
        <f>$C152*INDEX(Curves!$AD$8:$AD$68,AR$4-$B152+1)</f>
        <v/>
      </c>
      <c r="AS152" s="75">
        <f>$C152*INDEX(Curves!$AD$8:$AD$68,AS$4-$B152+1)</f>
        <v/>
      </c>
      <c r="AT152" s="75">
        <f>$C152*INDEX(Curves!$AD$8:$AD$68,AT$4-$B152+1)</f>
        <v/>
      </c>
      <c r="AU152" s="75">
        <f>$C152*INDEX(Curves!$AD$8:$AD$68,AU$4-$B152+1)</f>
        <v/>
      </c>
      <c r="AV152" s="75">
        <f>$C152*INDEX(Curves!$AD$8:$AD$68,AV$4-$B152+1)</f>
        <v/>
      </c>
      <c r="AW152" s="75">
        <f>$C152*INDEX(Curves!$AD$8:$AD$68,AW$4-$B152+1)</f>
        <v/>
      </c>
      <c r="AX152" s="75">
        <f>$C152*INDEX(Curves!$AD$8:$AD$68,AX$4-$B152+1)</f>
        <v/>
      </c>
      <c r="AY152" s="75">
        <f>$C152*INDEX(Curves!$AD$8:$AD$68,AY$4-$B152+1)</f>
        <v/>
      </c>
      <c r="AZ152" s="75">
        <f>$C152*INDEX(Curves!$AD$8:$AD$68,AZ$4-$B152+1)</f>
        <v/>
      </c>
      <c r="BA152" s="75">
        <f>$C152*INDEX(Curves!$AD$8:$AD$68,BA$4-$B152+1)</f>
        <v/>
      </c>
      <c r="BB152" s="75">
        <f>$C152*INDEX(Curves!$AD$8:$AD$68,BB$4-$B152+1)</f>
        <v/>
      </c>
      <c r="BC152" s="75">
        <f>$C152*INDEX(Curves!$AD$8:$AD$68,BC$4-$B152+1)</f>
        <v/>
      </c>
      <c r="BD152" s="75">
        <f>$C152*INDEX(Curves!$AD$8:$AD$68,BD$4-$B152+1)</f>
        <v/>
      </c>
      <c r="BE152" s="75">
        <f>$C152*INDEX(Curves!$AD$8:$AD$68,BE$4-$B152+1)</f>
        <v/>
      </c>
      <c r="BF152" s="75">
        <f>$C152*INDEX(Curves!$AD$8:$AD$68,BF$4-$B152+1)</f>
        <v/>
      </c>
      <c r="BG152" s="75">
        <f>$C152*INDEX(Curves!$AD$8:$AD$68,BG$4-$B152+1)</f>
        <v/>
      </c>
      <c r="BH152" s="75">
        <f>$C152*INDEX(Curves!$AD$8:$AD$68,BH$4-$B152+1)</f>
        <v/>
      </c>
      <c r="BI152" s="75">
        <f>$C152*INDEX(Curves!$AD$8:$AD$68,BI$4-$B152+1)</f>
        <v/>
      </c>
      <c r="BJ152" s="75">
        <f>$C152*INDEX(Curves!$AD$8:$AD$68,BJ$4-$B152+1)</f>
        <v/>
      </c>
      <c r="BK152" s="75">
        <f>$C152*INDEX(Curves!$AD$8:$AD$68,BK$4-$B152+1)</f>
        <v/>
      </c>
      <c r="BL152" s="75">
        <f>$C152*INDEX(Curves!$AD$8:$AD$68,BL$4-$B152+1)</f>
        <v/>
      </c>
    </row>
    <row r="153">
      <c r="A153" s="74" t="inlineStr">
        <is>
          <t>Cohort month 18</t>
        </is>
      </c>
      <c r="B153" s="74" t="n">
        <v>18</v>
      </c>
      <c r="C153" s="17">
        <f>INDEX(Ops!$E$60:$BL$60,1,$B153)</f>
        <v/>
      </c>
      <c r="W153" s="75">
        <f>$C153*INDEX(Curves!$AD$8:$AD$68,W$4-$B153+1)</f>
        <v/>
      </c>
      <c r="X153" s="75">
        <f>$C153*INDEX(Curves!$AD$8:$AD$68,X$4-$B153+1)</f>
        <v/>
      </c>
      <c r="Y153" s="75">
        <f>$C153*INDEX(Curves!$AD$8:$AD$68,Y$4-$B153+1)</f>
        <v/>
      </c>
      <c r="Z153" s="75">
        <f>$C153*INDEX(Curves!$AD$8:$AD$68,Z$4-$B153+1)</f>
        <v/>
      </c>
      <c r="AA153" s="75">
        <f>$C153*INDEX(Curves!$AD$8:$AD$68,AA$4-$B153+1)</f>
        <v/>
      </c>
      <c r="AB153" s="75">
        <f>$C153*INDEX(Curves!$AD$8:$AD$68,AB$4-$B153+1)</f>
        <v/>
      </c>
      <c r="AC153" s="75">
        <f>$C153*INDEX(Curves!$AD$8:$AD$68,AC$4-$B153+1)</f>
        <v/>
      </c>
      <c r="AD153" s="75">
        <f>$C153*INDEX(Curves!$AD$8:$AD$68,AD$4-$B153+1)</f>
        <v/>
      </c>
      <c r="AE153" s="75">
        <f>$C153*INDEX(Curves!$AD$8:$AD$68,AE$4-$B153+1)</f>
        <v/>
      </c>
      <c r="AF153" s="75">
        <f>$C153*INDEX(Curves!$AD$8:$AD$68,AF$4-$B153+1)</f>
        <v/>
      </c>
      <c r="AG153" s="75">
        <f>$C153*INDEX(Curves!$AD$8:$AD$68,AG$4-$B153+1)</f>
        <v/>
      </c>
      <c r="AH153" s="75">
        <f>$C153*INDEX(Curves!$AD$8:$AD$68,AH$4-$B153+1)</f>
        <v/>
      </c>
      <c r="AI153" s="75">
        <f>$C153*INDEX(Curves!$AD$8:$AD$68,AI$4-$B153+1)</f>
        <v/>
      </c>
      <c r="AJ153" s="75">
        <f>$C153*INDEX(Curves!$AD$8:$AD$68,AJ$4-$B153+1)</f>
        <v/>
      </c>
      <c r="AK153" s="75">
        <f>$C153*INDEX(Curves!$AD$8:$AD$68,AK$4-$B153+1)</f>
        <v/>
      </c>
      <c r="AL153" s="75">
        <f>$C153*INDEX(Curves!$AD$8:$AD$68,AL$4-$B153+1)</f>
        <v/>
      </c>
      <c r="AM153" s="75">
        <f>$C153*INDEX(Curves!$AD$8:$AD$68,AM$4-$B153+1)</f>
        <v/>
      </c>
      <c r="AN153" s="75">
        <f>$C153*INDEX(Curves!$AD$8:$AD$68,AN$4-$B153+1)</f>
        <v/>
      </c>
      <c r="AO153" s="75">
        <f>$C153*INDEX(Curves!$AD$8:$AD$68,AO$4-$B153+1)</f>
        <v/>
      </c>
      <c r="AP153" s="75">
        <f>$C153*INDEX(Curves!$AD$8:$AD$68,AP$4-$B153+1)</f>
        <v/>
      </c>
      <c r="AQ153" s="75">
        <f>$C153*INDEX(Curves!$AD$8:$AD$68,AQ$4-$B153+1)</f>
        <v/>
      </c>
      <c r="AR153" s="75">
        <f>$C153*INDEX(Curves!$AD$8:$AD$68,AR$4-$B153+1)</f>
        <v/>
      </c>
      <c r="AS153" s="75">
        <f>$C153*INDEX(Curves!$AD$8:$AD$68,AS$4-$B153+1)</f>
        <v/>
      </c>
      <c r="AT153" s="75">
        <f>$C153*INDEX(Curves!$AD$8:$AD$68,AT$4-$B153+1)</f>
        <v/>
      </c>
      <c r="AU153" s="75">
        <f>$C153*INDEX(Curves!$AD$8:$AD$68,AU$4-$B153+1)</f>
        <v/>
      </c>
      <c r="AV153" s="75">
        <f>$C153*INDEX(Curves!$AD$8:$AD$68,AV$4-$B153+1)</f>
        <v/>
      </c>
      <c r="AW153" s="75">
        <f>$C153*INDEX(Curves!$AD$8:$AD$68,AW$4-$B153+1)</f>
        <v/>
      </c>
      <c r="AX153" s="75">
        <f>$C153*INDEX(Curves!$AD$8:$AD$68,AX$4-$B153+1)</f>
        <v/>
      </c>
      <c r="AY153" s="75">
        <f>$C153*INDEX(Curves!$AD$8:$AD$68,AY$4-$B153+1)</f>
        <v/>
      </c>
      <c r="AZ153" s="75">
        <f>$C153*INDEX(Curves!$AD$8:$AD$68,AZ$4-$B153+1)</f>
        <v/>
      </c>
      <c r="BA153" s="75">
        <f>$C153*INDEX(Curves!$AD$8:$AD$68,BA$4-$B153+1)</f>
        <v/>
      </c>
      <c r="BB153" s="75">
        <f>$C153*INDEX(Curves!$AD$8:$AD$68,BB$4-$B153+1)</f>
        <v/>
      </c>
      <c r="BC153" s="75">
        <f>$C153*INDEX(Curves!$AD$8:$AD$68,BC$4-$B153+1)</f>
        <v/>
      </c>
      <c r="BD153" s="75">
        <f>$C153*INDEX(Curves!$AD$8:$AD$68,BD$4-$B153+1)</f>
        <v/>
      </c>
      <c r="BE153" s="75">
        <f>$C153*INDEX(Curves!$AD$8:$AD$68,BE$4-$B153+1)</f>
        <v/>
      </c>
      <c r="BF153" s="75">
        <f>$C153*INDEX(Curves!$AD$8:$AD$68,BF$4-$B153+1)</f>
        <v/>
      </c>
      <c r="BG153" s="75">
        <f>$C153*INDEX(Curves!$AD$8:$AD$68,BG$4-$B153+1)</f>
        <v/>
      </c>
      <c r="BH153" s="75">
        <f>$C153*INDEX(Curves!$AD$8:$AD$68,BH$4-$B153+1)</f>
        <v/>
      </c>
      <c r="BI153" s="75">
        <f>$C153*INDEX(Curves!$AD$8:$AD$68,BI$4-$B153+1)</f>
        <v/>
      </c>
      <c r="BJ153" s="75">
        <f>$C153*INDEX(Curves!$AD$8:$AD$68,BJ$4-$B153+1)</f>
        <v/>
      </c>
      <c r="BK153" s="75">
        <f>$C153*INDEX(Curves!$AD$8:$AD$68,BK$4-$B153+1)</f>
        <v/>
      </c>
      <c r="BL153" s="75">
        <f>$C153*INDEX(Curves!$AD$8:$AD$68,BL$4-$B153+1)</f>
        <v/>
      </c>
    </row>
    <row r="154">
      <c r="A154" s="74" t="inlineStr">
        <is>
          <t>Cohort month 19</t>
        </is>
      </c>
      <c r="B154" s="74" t="n">
        <v>19</v>
      </c>
      <c r="C154" s="17">
        <f>INDEX(Ops!$E$60:$BL$60,1,$B154)</f>
        <v/>
      </c>
      <c r="X154" s="75">
        <f>$C154*INDEX(Curves!$AD$8:$AD$68,X$4-$B154+1)</f>
        <v/>
      </c>
      <c r="Y154" s="75">
        <f>$C154*INDEX(Curves!$AD$8:$AD$68,Y$4-$B154+1)</f>
        <v/>
      </c>
      <c r="Z154" s="75">
        <f>$C154*INDEX(Curves!$AD$8:$AD$68,Z$4-$B154+1)</f>
        <v/>
      </c>
      <c r="AA154" s="75">
        <f>$C154*INDEX(Curves!$AD$8:$AD$68,AA$4-$B154+1)</f>
        <v/>
      </c>
      <c r="AB154" s="75">
        <f>$C154*INDEX(Curves!$AD$8:$AD$68,AB$4-$B154+1)</f>
        <v/>
      </c>
      <c r="AC154" s="75">
        <f>$C154*INDEX(Curves!$AD$8:$AD$68,AC$4-$B154+1)</f>
        <v/>
      </c>
      <c r="AD154" s="75">
        <f>$C154*INDEX(Curves!$AD$8:$AD$68,AD$4-$B154+1)</f>
        <v/>
      </c>
      <c r="AE154" s="75">
        <f>$C154*INDEX(Curves!$AD$8:$AD$68,AE$4-$B154+1)</f>
        <v/>
      </c>
      <c r="AF154" s="75">
        <f>$C154*INDEX(Curves!$AD$8:$AD$68,AF$4-$B154+1)</f>
        <v/>
      </c>
      <c r="AG154" s="75">
        <f>$C154*INDEX(Curves!$AD$8:$AD$68,AG$4-$B154+1)</f>
        <v/>
      </c>
      <c r="AH154" s="75">
        <f>$C154*INDEX(Curves!$AD$8:$AD$68,AH$4-$B154+1)</f>
        <v/>
      </c>
      <c r="AI154" s="75">
        <f>$C154*INDEX(Curves!$AD$8:$AD$68,AI$4-$B154+1)</f>
        <v/>
      </c>
      <c r="AJ154" s="75">
        <f>$C154*INDEX(Curves!$AD$8:$AD$68,AJ$4-$B154+1)</f>
        <v/>
      </c>
      <c r="AK154" s="75">
        <f>$C154*INDEX(Curves!$AD$8:$AD$68,AK$4-$B154+1)</f>
        <v/>
      </c>
      <c r="AL154" s="75">
        <f>$C154*INDEX(Curves!$AD$8:$AD$68,AL$4-$B154+1)</f>
        <v/>
      </c>
      <c r="AM154" s="75">
        <f>$C154*INDEX(Curves!$AD$8:$AD$68,AM$4-$B154+1)</f>
        <v/>
      </c>
      <c r="AN154" s="75">
        <f>$C154*INDEX(Curves!$AD$8:$AD$68,AN$4-$B154+1)</f>
        <v/>
      </c>
      <c r="AO154" s="75">
        <f>$C154*INDEX(Curves!$AD$8:$AD$68,AO$4-$B154+1)</f>
        <v/>
      </c>
      <c r="AP154" s="75">
        <f>$C154*INDEX(Curves!$AD$8:$AD$68,AP$4-$B154+1)</f>
        <v/>
      </c>
      <c r="AQ154" s="75">
        <f>$C154*INDEX(Curves!$AD$8:$AD$68,AQ$4-$B154+1)</f>
        <v/>
      </c>
      <c r="AR154" s="75">
        <f>$C154*INDEX(Curves!$AD$8:$AD$68,AR$4-$B154+1)</f>
        <v/>
      </c>
      <c r="AS154" s="75">
        <f>$C154*INDEX(Curves!$AD$8:$AD$68,AS$4-$B154+1)</f>
        <v/>
      </c>
      <c r="AT154" s="75">
        <f>$C154*INDEX(Curves!$AD$8:$AD$68,AT$4-$B154+1)</f>
        <v/>
      </c>
      <c r="AU154" s="75">
        <f>$C154*INDEX(Curves!$AD$8:$AD$68,AU$4-$B154+1)</f>
        <v/>
      </c>
      <c r="AV154" s="75">
        <f>$C154*INDEX(Curves!$AD$8:$AD$68,AV$4-$B154+1)</f>
        <v/>
      </c>
      <c r="AW154" s="75">
        <f>$C154*INDEX(Curves!$AD$8:$AD$68,AW$4-$B154+1)</f>
        <v/>
      </c>
      <c r="AX154" s="75">
        <f>$C154*INDEX(Curves!$AD$8:$AD$68,AX$4-$B154+1)</f>
        <v/>
      </c>
      <c r="AY154" s="75">
        <f>$C154*INDEX(Curves!$AD$8:$AD$68,AY$4-$B154+1)</f>
        <v/>
      </c>
      <c r="AZ154" s="75">
        <f>$C154*INDEX(Curves!$AD$8:$AD$68,AZ$4-$B154+1)</f>
        <v/>
      </c>
      <c r="BA154" s="75">
        <f>$C154*INDEX(Curves!$AD$8:$AD$68,BA$4-$B154+1)</f>
        <v/>
      </c>
      <c r="BB154" s="75">
        <f>$C154*INDEX(Curves!$AD$8:$AD$68,BB$4-$B154+1)</f>
        <v/>
      </c>
      <c r="BC154" s="75">
        <f>$C154*INDEX(Curves!$AD$8:$AD$68,BC$4-$B154+1)</f>
        <v/>
      </c>
      <c r="BD154" s="75">
        <f>$C154*INDEX(Curves!$AD$8:$AD$68,BD$4-$B154+1)</f>
        <v/>
      </c>
      <c r="BE154" s="75">
        <f>$C154*INDEX(Curves!$AD$8:$AD$68,BE$4-$B154+1)</f>
        <v/>
      </c>
      <c r="BF154" s="75">
        <f>$C154*INDEX(Curves!$AD$8:$AD$68,BF$4-$B154+1)</f>
        <v/>
      </c>
      <c r="BG154" s="75">
        <f>$C154*INDEX(Curves!$AD$8:$AD$68,BG$4-$B154+1)</f>
        <v/>
      </c>
      <c r="BH154" s="75">
        <f>$C154*INDEX(Curves!$AD$8:$AD$68,BH$4-$B154+1)</f>
        <v/>
      </c>
      <c r="BI154" s="75">
        <f>$C154*INDEX(Curves!$AD$8:$AD$68,BI$4-$B154+1)</f>
        <v/>
      </c>
      <c r="BJ154" s="75">
        <f>$C154*INDEX(Curves!$AD$8:$AD$68,BJ$4-$B154+1)</f>
        <v/>
      </c>
      <c r="BK154" s="75">
        <f>$C154*INDEX(Curves!$AD$8:$AD$68,BK$4-$B154+1)</f>
        <v/>
      </c>
      <c r="BL154" s="75">
        <f>$C154*INDEX(Curves!$AD$8:$AD$68,BL$4-$B154+1)</f>
        <v/>
      </c>
    </row>
    <row r="155">
      <c r="A155" s="74" t="inlineStr">
        <is>
          <t>Cohort month 20</t>
        </is>
      </c>
      <c r="B155" s="74" t="n">
        <v>20</v>
      </c>
      <c r="C155" s="17">
        <f>INDEX(Ops!$E$60:$BL$60,1,$B155)</f>
        <v/>
      </c>
      <c r="Y155" s="75">
        <f>$C155*INDEX(Curves!$AD$8:$AD$68,Y$4-$B155+1)</f>
        <v/>
      </c>
      <c r="Z155" s="75">
        <f>$C155*INDEX(Curves!$AD$8:$AD$68,Z$4-$B155+1)</f>
        <v/>
      </c>
      <c r="AA155" s="75">
        <f>$C155*INDEX(Curves!$AD$8:$AD$68,AA$4-$B155+1)</f>
        <v/>
      </c>
      <c r="AB155" s="75">
        <f>$C155*INDEX(Curves!$AD$8:$AD$68,AB$4-$B155+1)</f>
        <v/>
      </c>
      <c r="AC155" s="75">
        <f>$C155*INDEX(Curves!$AD$8:$AD$68,AC$4-$B155+1)</f>
        <v/>
      </c>
      <c r="AD155" s="75">
        <f>$C155*INDEX(Curves!$AD$8:$AD$68,AD$4-$B155+1)</f>
        <v/>
      </c>
      <c r="AE155" s="75">
        <f>$C155*INDEX(Curves!$AD$8:$AD$68,AE$4-$B155+1)</f>
        <v/>
      </c>
      <c r="AF155" s="75">
        <f>$C155*INDEX(Curves!$AD$8:$AD$68,AF$4-$B155+1)</f>
        <v/>
      </c>
      <c r="AG155" s="75">
        <f>$C155*INDEX(Curves!$AD$8:$AD$68,AG$4-$B155+1)</f>
        <v/>
      </c>
      <c r="AH155" s="75">
        <f>$C155*INDEX(Curves!$AD$8:$AD$68,AH$4-$B155+1)</f>
        <v/>
      </c>
      <c r="AI155" s="75">
        <f>$C155*INDEX(Curves!$AD$8:$AD$68,AI$4-$B155+1)</f>
        <v/>
      </c>
      <c r="AJ155" s="75">
        <f>$C155*INDEX(Curves!$AD$8:$AD$68,AJ$4-$B155+1)</f>
        <v/>
      </c>
      <c r="AK155" s="75">
        <f>$C155*INDEX(Curves!$AD$8:$AD$68,AK$4-$B155+1)</f>
        <v/>
      </c>
      <c r="AL155" s="75">
        <f>$C155*INDEX(Curves!$AD$8:$AD$68,AL$4-$B155+1)</f>
        <v/>
      </c>
      <c r="AM155" s="75">
        <f>$C155*INDEX(Curves!$AD$8:$AD$68,AM$4-$B155+1)</f>
        <v/>
      </c>
      <c r="AN155" s="75">
        <f>$C155*INDEX(Curves!$AD$8:$AD$68,AN$4-$B155+1)</f>
        <v/>
      </c>
      <c r="AO155" s="75">
        <f>$C155*INDEX(Curves!$AD$8:$AD$68,AO$4-$B155+1)</f>
        <v/>
      </c>
      <c r="AP155" s="75">
        <f>$C155*INDEX(Curves!$AD$8:$AD$68,AP$4-$B155+1)</f>
        <v/>
      </c>
      <c r="AQ155" s="75">
        <f>$C155*INDEX(Curves!$AD$8:$AD$68,AQ$4-$B155+1)</f>
        <v/>
      </c>
      <c r="AR155" s="75">
        <f>$C155*INDEX(Curves!$AD$8:$AD$68,AR$4-$B155+1)</f>
        <v/>
      </c>
      <c r="AS155" s="75">
        <f>$C155*INDEX(Curves!$AD$8:$AD$68,AS$4-$B155+1)</f>
        <v/>
      </c>
      <c r="AT155" s="75">
        <f>$C155*INDEX(Curves!$AD$8:$AD$68,AT$4-$B155+1)</f>
        <v/>
      </c>
      <c r="AU155" s="75">
        <f>$C155*INDEX(Curves!$AD$8:$AD$68,AU$4-$B155+1)</f>
        <v/>
      </c>
      <c r="AV155" s="75">
        <f>$C155*INDEX(Curves!$AD$8:$AD$68,AV$4-$B155+1)</f>
        <v/>
      </c>
      <c r="AW155" s="75">
        <f>$C155*INDEX(Curves!$AD$8:$AD$68,AW$4-$B155+1)</f>
        <v/>
      </c>
      <c r="AX155" s="75">
        <f>$C155*INDEX(Curves!$AD$8:$AD$68,AX$4-$B155+1)</f>
        <v/>
      </c>
      <c r="AY155" s="75">
        <f>$C155*INDEX(Curves!$AD$8:$AD$68,AY$4-$B155+1)</f>
        <v/>
      </c>
      <c r="AZ155" s="75">
        <f>$C155*INDEX(Curves!$AD$8:$AD$68,AZ$4-$B155+1)</f>
        <v/>
      </c>
      <c r="BA155" s="75">
        <f>$C155*INDEX(Curves!$AD$8:$AD$68,BA$4-$B155+1)</f>
        <v/>
      </c>
      <c r="BB155" s="75">
        <f>$C155*INDEX(Curves!$AD$8:$AD$68,BB$4-$B155+1)</f>
        <v/>
      </c>
      <c r="BC155" s="75">
        <f>$C155*INDEX(Curves!$AD$8:$AD$68,BC$4-$B155+1)</f>
        <v/>
      </c>
      <c r="BD155" s="75">
        <f>$C155*INDEX(Curves!$AD$8:$AD$68,BD$4-$B155+1)</f>
        <v/>
      </c>
      <c r="BE155" s="75">
        <f>$C155*INDEX(Curves!$AD$8:$AD$68,BE$4-$B155+1)</f>
        <v/>
      </c>
      <c r="BF155" s="75">
        <f>$C155*INDEX(Curves!$AD$8:$AD$68,BF$4-$B155+1)</f>
        <v/>
      </c>
      <c r="BG155" s="75">
        <f>$C155*INDEX(Curves!$AD$8:$AD$68,BG$4-$B155+1)</f>
        <v/>
      </c>
      <c r="BH155" s="75">
        <f>$C155*INDEX(Curves!$AD$8:$AD$68,BH$4-$B155+1)</f>
        <v/>
      </c>
      <c r="BI155" s="75">
        <f>$C155*INDEX(Curves!$AD$8:$AD$68,BI$4-$B155+1)</f>
        <v/>
      </c>
      <c r="BJ155" s="75">
        <f>$C155*INDEX(Curves!$AD$8:$AD$68,BJ$4-$B155+1)</f>
        <v/>
      </c>
      <c r="BK155" s="75">
        <f>$C155*INDEX(Curves!$AD$8:$AD$68,BK$4-$B155+1)</f>
        <v/>
      </c>
      <c r="BL155" s="75">
        <f>$C155*INDEX(Curves!$AD$8:$AD$68,BL$4-$B155+1)</f>
        <v/>
      </c>
    </row>
    <row r="156">
      <c r="A156" s="74" t="inlineStr">
        <is>
          <t>Cohort month 21</t>
        </is>
      </c>
      <c r="B156" s="74" t="n">
        <v>21</v>
      </c>
      <c r="C156" s="17">
        <f>INDEX(Ops!$E$60:$BL$60,1,$B156)</f>
        <v/>
      </c>
      <c r="Z156" s="75">
        <f>$C156*INDEX(Curves!$AD$8:$AD$68,Z$4-$B156+1)</f>
        <v/>
      </c>
      <c r="AA156" s="75">
        <f>$C156*INDEX(Curves!$AD$8:$AD$68,AA$4-$B156+1)</f>
        <v/>
      </c>
      <c r="AB156" s="75">
        <f>$C156*INDEX(Curves!$AD$8:$AD$68,AB$4-$B156+1)</f>
        <v/>
      </c>
      <c r="AC156" s="75">
        <f>$C156*INDEX(Curves!$AD$8:$AD$68,AC$4-$B156+1)</f>
        <v/>
      </c>
      <c r="AD156" s="75">
        <f>$C156*INDEX(Curves!$AD$8:$AD$68,AD$4-$B156+1)</f>
        <v/>
      </c>
      <c r="AE156" s="75">
        <f>$C156*INDEX(Curves!$AD$8:$AD$68,AE$4-$B156+1)</f>
        <v/>
      </c>
      <c r="AF156" s="75">
        <f>$C156*INDEX(Curves!$AD$8:$AD$68,AF$4-$B156+1)</f>
        <v/>
      </c>
      <c r="AG156" s="75">
        <f>$C156*INDEX(Curves!$AD$8:$AD$68,AG$4-$B156+1)</f>
        <v/>
      </c>
      <c r="AH156" s="75">
        <f>$C156*INDEX(Curves!$AD$8:$AD$68,AH$4-$B156+1)</f>
        <v/>
      </c>
      <c r="AI156" s="75">
        <f>$C156*INDEX(Curves!$AD$8:$AD$68,AI$4-$B156+1)</f>
        <v/>
      </c>
      <c r="AJ156" s="75">
        <f>$C156*INDEX(Curves!$AD$8:$AD$68,AJ$4-$B156+1)</f>
        <v/>
      </c>
      <c r="AK156" s="75">
        <f>$C156*INDEX(Curves!$AD$8:$AD$68,AK$4-$B156+1)</f>
        <v/>
      </c>
      <c r="AL156" s="75">
        <f>$C156*INDEX(Curves!$AD$8:$AD$68,AL$4-$B156+1)</f>
        <v/>
      </c>
      <c r="AM156" s="75">
        <f>$C156*INDEX(Curves!$AD$8:$AD$68,AM$4-$B156+1)</f>
        <v/>
      </c>
      <c r="AN156" s="75">
        <f>$C156*INDEX(Curves!$AD$8:$AD$68,AN$4-$B156+1)</f>
        <v/>
      </c>
      <c r="AO156" s="75">
        <f>$C156*INDEX(Curves!$AD$8:$AD$68,AO$4-$B156+1)</f>
        <v/>
      </c>
      <c r="AP156" s="75">
        <f>$C156*INDEX(Curves!$AD$8:$AD$68,AP$4-$B156+1)</f>
        <v/>
      </c>
      <c r="AQ156" s="75">
        <f>$C156*INDEX(Curves!$AD$8:$AD$68,AQ$4-$B156+1)</f>
        <v/>
      </c>
      <c r="AR156" s="75">
        <f>$C156*INDEX(Curves!$AD$8:$AD$68,AR$4-$B156+1)</f>
        <v/>
      </c>
      <c r="AS156" s="75">
        <f>$C156*INDEX(Curves!$AD$8:$AD$68,AS$4-$B156+1)</f>
        <v/>
      </c>
      <c r="AT156" s="75">
        <f>$C156*INDEX(Curves!$AD$8:$AD$68,AT$4-$B156+1)</f>
        <v/>
      </c>
      <c r="AU156" s="75">
        <f>$C156*INDEX(Curves!$AD$8:$AD$68,AU$4-$B156+1)</f>
        <v/>
      </c>
      <c r="AV156" s="75">
        <f>$C156*INDEX(Curves!$AD$8:$AD$68,AV$4-$B156+1)</f>
        <v/>
      </c>
      <c r="AW156" s="75">
        <f>$C156*INDEX(Curves!$AD$8:$AD$68,AW$4-$B156+1)</f>
        <v/>
      </c>
      <c r="AX156" s="75">
        <f>$C156*INDEX(Curves!$AD$8:$AD$68,AX$4-$B156+1)</f>
        <v/>
      </c>
      <c r="AY156" s="75">
        <f>$C156*INDEX(Curves!$AD$8:$AD$68,AY$4-$B156+1)</f>
        <v/>
      </c>
      <c r="AZ156" s="75">
        <f>$C156*INDEX(Curves!$AD$8:$AD$68,AZ$4-$B156+1)</f>
        <v/>
      </c>
      <c r="BA156" s="75">
        <f>$C156*INDEX(Curves!$AD$8:$AD$68,BA$4-$B156+1)</f>
        <v/>
      </c>
      <c r="BB156" s="75">
        <f>$C156*INDEX(Curves!$AD$8:$AD$68,BB$4-$B156+1)</f>
        <v/>
      </c>
      <c r="BC156" s="75">
        <f>$C156*INDEX(Curves!$AD$8:$AD$68,BC$4-$B156+1)</f>
        <v/>
      </c>
      <c r="BD156" s="75">
        <f>$C156*INDEX(Curves!$AD$8:$AD$68,BD$4-$B156+1)</f>
        <v/>
      </c>
      <c r="BE156" s="75">
        <f>$C156*INDEX(Curves!$AD$8:$AD$68,BE$4-$B156+1)</f>
        <v/>
      </c>
      <c r="BF156" s="75">
        <f>$C156*INDEX(Curves!$AD$8:$AD$68,BF$4-$B156+1)</f>
        <v/>
      </c>
      <c r="BG156" s="75">
        <f>$C156*INDEX(Curves!$AD$8:$AD$68,BG$4-$B156+1)</f>
        <v/>
      </c>
      <c r="BH156" s="75">
        <f>$C156*INDEX(Curves!$AD$8:$AD$68,BH$4-$B156+1)</f>
        <v/>
      </c>
      <c r="BI156" s="75">
        <f>$C156*INDEX(Curves!$AD$8:$AD$68,BI$4-$B156+1)</f>
        <v/>
      </c>
      <c r="BJ156" s="75">
        <f>$C156*INDEX(Curves!$AD$8:$AD$68,BJ$4-$B156+1)</f>
        <v/>
      </c>
      <c r="BK156" s="75">
        <f>$C156*INDEX(Curves!$AD$8:$AD$68,BK$4-$B156+1)</f>
        <v/>
      </c>
      <c r="BL156" s="75">
        <f>$C156*INDEX(Curves!$AD$8:$AD$68,BL$4-$B156+1)</f>
        <v/>
      </c>
    </row>
    <row r="157">
      <c r="A157" s="74" t="inlineStr">
        <is>
          <t>Cohort month 22</t>
        </is>
      </c>
      <c r="B157" s="74" t="n">
        <v>22</v>
      </c>
      <c r="C157" s="17">
        <f>INDEX(Ops!$E$60:$BL$60,1,$B157)</f>
        <v/>
      </c>
      <c r="AA157" s="75">
        <f>$C157*INDEX(Curves!$AD$8:$AD$68,AA$4-$B157+1)</f>
        <v/>
      </c>
      <c r="AB157" s="75">
        <f>$C157*INDEX(Curves!$AD$8:$AD$68,AB$4-$B157+1)</f>
        <v/>
      </c>
      <c r="AC157" s="75">
        <f>$C157*INDEX(Curves!$AD$8:$AD$68,AC$4-$B157+1)</f>
        <v/>
      </c>
      <c r="AD157" s="75">
        <f>$C157*INDEX(Curves!$AD$8:$AD$68,AD$4-$B157+1)</f>
        <v/>
      </c>
      <c r="AE157" s="75">
        <f>$C157*INDEX(Curves!$AD$8:$AD$68,AE$4-$B157+1)</f>
        <v/>
      </c>
      <c r="AF157" s="75">
        <f>$C157*INDEX(Curves!$AD$8:$AD$68,AF$4-$B157+1)</f>
        <v/>
      </c>
      <c r="AG157" s="75">
        <f>$C157*INDEX(Curves!$AD$8:$AD$68,AG$4-$B157+1)</f>
        <v/>
      </c>
      <c r="AH157" s="75">
        <f>$C157*INDEX(Curves!$AD$8:$AD$68,AH$4-$B157+1)</f>
        <v/>
      </c>
      <c r="AI157" s="75">
        <f>$C157*INDEX(Curves!$AD$8:$AD$68,AI$4-$B157+1)</f>
        <v/>
      </c>
      <c r="AJ157" s="75">
        <f>$C157*INDEX(Curves!$AD$8:$AD$68,AJ$4-$B157+1)</f>
        <v/>
      </c>
      <c r="AK157" s="75">
        <f>$C157*INDEX(Curves!$AD$8:$AD$68,AK$4-$B157+1)</f>
        <v/>
      </c>
      <c r="AL157" s="75">
        <f>$C157*INDEX(Curves!$AD$8:$AD$68,AL$4-$B157+1)</f>
        <v/>
      </c>
      <c r="AM157" s="75">
        <f>$C157*INDEX(Curves!$AD$8:$AD$68,AM$4-$B157+1)</f>
        <v/>
      </c>
      <c r="AN157" s="75">
        <f>$C157*INDEX(Curves!$AD$8:$AD$68,AN$4-$B157+1)</f>
        <v/>
      </c>
      <c r="AO157" s="75">
        <f>$C157*INDEX(Curves!$AD$8:$AD$68,AO$4-$B157+1)</f>
        <v/>
      </c>
      <c r="AP157" s="75">
        <f>$C157*INDEX(Curves!$AD$8:$AD$68,AP$4-$B157+1)</f>
        <v/>
      </c>
      <c r="AQ157" s="75">
        <f>$C157*INDEX(Curves!$AD$8:$AD$68,AQ$4-$B157+1)</f>
        <v/>
      </c>
      <c r="AR157" s="75">
        <f>$C157*INDEX(Curves!$AD$8:$AD$68,AR$4-$B157+1)</f>
        <v/>
      </c>
      <c r="AS157" s="75">
        <f>$C157*INDEX(Curves!$AD$8:$AD$68,AS$4-$B157+1)</f>
        <v/>
      </c>
      <c r="AT157" s="75">
        <f>$C157*INDEX(Curves!$AD$8:$AD$68,AT$4-$B157+1)</f>
        <v/>
      </c>
      <c r="AU157" s="75">
        <f>$C157*INDEX(Curves!$AD$8:$AD$68,AU$4-$B157+1)</f>
        <v/>
      </c>
      <c r="AV157" s="75">
        <f>$C157*INDEX(Curves!$AD$8:$AD$68,AV$4-$B157+1)</f>
        <v/>
      </c>
      <c r="AW157" s="75">
        <f>$C157*INDEX(Curves!$AD$8:$AD$68,AW$4-$B157+1)</f>
        <v/>
      </c>
      <c r="AX157" s="75">
        <f>$C157*INDEX(Curves!$AD$8:$AD$68,AX$4-$B157+1)</f>
        <v/>
      </c>
      <c r="AY157" s="75">
        <f>$C157*INDEX(Curves!$AD$8:$AD$68,AY$4-$B157+1)</f>
        <v/>
      </c>
      <c r="AZ157" s="75">
        <f>$C157*INDEX(Curves!$AD$8:$AD$68,AZ$4-$B157+1)</f>
        <v/>
      </c>
      <c r="BA157" s="75">
        <f>$C157*INDEX(Curves!$AD$8:$AD$68,BA$4-$B157+1)</f>
        <v/>
      </c>
      <c r="BB157" s="75">
        <f>$C157*INDEX(Curves!$AD$8:$AD$68,BB$4-$B157+1)</f>
        <v/>
      </c>
      <c r="BC157" s="75">
        <f>$C157*INDEX(Curves!$AD$8:$AD$68,BC$4-$B157+1)</f>
        <v/>
      </c>
      <c r="BD157" s="75">
        <f>$C157*INDEX(Curves!$AD$8:$AD$68,BD$4-$B157+1)</f>
        <v/>
      </c>
      <c r="BE157" s="75">
        <f>$C157*INDEX(Curves!$AD$8:$AD$68,BE$4-$B157+1)</f>
        <v/>
      </c>
      <c r="BF157" s="75">
        <f>$C157*INDEX(Curves!$AD$8:$AD$68,BF$4-$B157+1)</f>
        <v/>
      </c>
      <c r="BG157" s="75">
        <f>$C157*INDEX(Curves!$AD$8:$AD$68,BG$4-$B157+1)</f>
        <v/>
      </c>
      <c r="BH157" s="75">
        <f>$C157*INDEX(Curves!$AD$8:$AD$68,BH$4-$B157+1)</f>
        <v/>
      </c>
      <c r="BI157" s="75">
        <f>$C157*INDEX(Curves!$AD$8:$AD$68,BI$4-$B157+1)</f>
        <v/>
      </c>
      <c r="BJ157" s="75">
        <f>$C157*INDEX(Curves!$AD$8:$AD$68,BJ$4-$B157+1)</f>
        <v/>
      </c>
      <c r="BK157" s="75">
        <f>$C157*INDEX(Curves!$AD$8:$AD$68,BK$4-$B157+1)</f>
        <v/>
      </c>
      <c r="BL157" s="75">
        <f>$C157*INDEX(Curves!$AD$8:$AD$68,BL$4-$B157+1)</f>
        <v/>
      </c>
    </row>
    <row r="158">
      <c r="A158" s="74" t="inlineStr">
        <is>
          <t>Cohort month 23</t>
        </is>
      </c>
      <c r="B158" s="74" t="n">
        <v>23</v>
      </c>
      <c r="C158" s="17">
        <f>INDEX(Ops!$E$60:$BL$60,1,$B158)</f>
        <v/>
      </c>
      <c r="AB158" s="75">
        <f>$C158*INDEX(Curves!$AD$8:$AD$68,AB$4-$B158+1)</f>
        <v/>
      </c>
      <c r="AC158" s="75">
        <f>$C158*INDEX(Curves!$AD$8:$AD$68,AC$4-$B158+1)</f>
        <v/>
      </c>
      <c r="AD158" s="75">
        <f>$C158*INDEX(Curves!$AD$8:$AD$68,AD$4-$B158+1)</f>
        <v/>
      </c>
      <c r="AE158" s="75">
        <f>$C158*INDEX(Curves!$AD$8:$AD$68,AE$4-$B158+1)</f>
        <v/>
      </c>
      <c r="AF158" s="75">
        <f>$C158*INDEX(Curves!$AD$8:$AD$68,AF$4-$B158+1)</f>
        <v/>
      </c>
      <c r="AG158" s="75">
        <f>$C158*INDEX(Curves!$AD$8:$AD$68,AG$4-$B158+1)</f>
        <v/>
      </c>
      <c r="AH158" s="75">
        <f>$C158*INDEX(Curves!$AD$8:$AD$68,AH$4-$B158+1)</f>
        <v/>
      </c>
      <c r="AI158" s="75">
        <f>$C158*INDEX(Curves!$AD$8:$AD$68,AI$4-$B158+1)</f>
        <v/>
      </c>
      <c r="AJ158" s="75">
        <f>$C158*INDEX(Curves!$AD$8:$AD$68,AJ$4-$B158+1)</f>
        <v/>
      </c>
      <c r="AK158" s="75">
        <f>$C158*INDEX(Curves!$AD$8:$AD$68,AK$4-$B158+1)</f>
        <v/>
      </c>
      <c r="AL158" s="75">
        <f>$C158*INDEX(Curves!$AD$8:$AD$68,AL$4-$B158+1)</f>
        <v/>
      </c>
      <c r="AM158" s="75">
        <f>$C158*INDEX(Curves!$AD$8:$AD$68,AM$4-$B158+1)</f>
        <v/>
      </c>
      <c r="AN158" s="75">
        <f>$C158*INDEX(Curves!$AD$8:$AD$68,AN$4-$B158+1)</f>
        <v/>
      </c>
      <c r="AO158" s="75">
        <f>$C158*INDEX(Curves!$AD$8:$AD$68,AO$4-$B158+1)</f>
        <v/>
      </c>
      <c r="AP158" s="75">
        <f>$C158*INDEX(Curves!$AD$8:$AD$68,AP$4-$B158+1)</f>
        <v/>
      </c>
      <c r="AQ158" s="75">
        <f>$C158*INDEX(Curves!$AD$8:$AD$68,AQ$4-$B158+1)</f>
        <v/>
      </c>
      <c r="AR158" s="75">
        <f>$C158*INDEX(Curves!$AD$8:$AD$68,AR$4-$B158+1)</f>
        <v/>
      </c>
      <c r="AS158" s="75">
        <f>$C158*INDEX(Curves!$AD$8:$AD$68,AS$4-$B158+1)</f>
        <v/>
      </c>
      <c r="AT158" s="75">
        <f>$C158*INDEX(Curves!$AD$8:$AD$68,AT$4-$B158+1)</f>
        <v/>
      </c>
      <c r="AU158" s="75">
        <f>$C158*INDEX(Curves!$AD$8:$AD$68,AU$4-$B158+1)</f>
        <v/>
      </c>
      <c r="AV158" s="75">
        <f>$C158*INDEX(Curves!$AD$8:$AD$68,AV$4-$B158+1)</f>
        <v/>
      </c>
      <c r="AW158" s="75">
        <f>$C158*INDEX(Curves!$AD$8:$AD$68,AW$4-$B158+1)</f>
        <v/>
      </c>
      <c r="AX158" s="75">
        <f>$C158*INDEX(Curves!$AD$8:$AD$68,AX$4-$B158+1)</f>
        <v/>
      </c>
      <c r="AY158" s="75">
        <f>$C158*INDEX(Curves!$AD$8:$AD$68,AY$4-$B158+1)</f>
        <v/>
      </c>
      <c r="AZ158" s="75">
        <f>$C158*INDEX(Curves!$AD$8:$AD$68,AZ$4-$B158+1)</f>
        <v/>
      </c>
      <c r="BA158" s="75">
        <f>$C158*INDEX(Curves!$AD$8:$AD$68,BA$4-$B158+1)</f>
        <v/>
      </c>
      <c r="BB158" s="75">
        <f>$C158*INDEX(Curves!$AD$8:$AD$68,BB$4-$B158+1)</f>
        <v/>
      </c>
      <c r="BC158" s="75">
        <f>$C158*INDEX(Curves!$AD$8:$AD$68,BC$4-$B158+1)</f>
        <v/>
      </c>
      <c r="BD158" s="75">
        <f>$C158*INDEX(Curves!$AD$8:$AD$68,BD$4-$B158+1)</f>
        <v/>
      </c>
      <c r="BE158" s="75">
        <f>$C158*INDEX(Curves!$AD$8:$AD$68,BE$4-$B158+1)</f>
        <v/>
      </c>
      <c r="BF158" s="75">
        <f>$C158*INDEX(Curves!$AD$8:$AD$68,BF$4-$B158+1)</f>
        <v/>
      </c>
      <c r="BG158" s="75">
        <f>$C158*INDEX(Curves!$AD$8:$AD$68,BG$4-$B158+1)</f>
        <v/>
      </c>
      <c r="BH158" s="75">
        <f>$C158*INDEX(Curves!$AD$8:$AD$68,BH$4-$B158+1)</f>
        <v/>
      </c>
      <c r="BI158" s="75">
        <f>$C158*INDEX(Curves!$AD$8:$AD$68,BI$4-$B158+1)</f>
        <v/>
      </c>
      <c r="BJ158" s="75">
        <f>$C158*INDEX(Curves!$AD$8:$AD$68,BJ$4-$B158+1)</f>
        <v/>
      </c>
      <c r="BK158" s="75">
        <f>$C158*INDEX(Curves!$AD$8:$AD$68,BK$4-$B158+1)</f>
        <v/>
      </c>
      <c r="BL158" s="75">
        <f>$C158*INDEX(Curves!$AD$8:$AD$68,BL$4-$B158+1)</f>
        <v/>
      </c>
    </row>
    <row r="159">
      <c r="A159" s="74" t="inlineStr">
        <is>
          <t>Cohort month 24</t>
        </is>
      </c>
      <c r="B159" s="74" t="n">
        <v>24</v>
      </c>
      <c r="C159" s="17">
        <f>INDEX(Ops!$E$60:$BL$60,1,$B159)</f>
        <v/>
      </c>
      <c r="AC159" s="75">
        <f>$C159*INDEX(Curves!$AD$8:$AD$68,AC$4-$B159+1)</f>
        <v/>
      </c>
      <c r="AD159" s="75">
        <f>$C159*INDEX(Curves!$AD$8:$AD$68,AD$4-$B159+1)</f>
        <v/>
      </c>
      <c r="AE159" s="75">
        <f>$C159*INDEX(Curves!$AD$8:$AD$68,AE$4-$B159+1)</f>
        <v/>
      </c>
      <c r="AF159" s="75">
        <f>$C159*INDEX(Curves!$AD$8:$AD$68,AF$4-$B159+1)</f>
        <v/>
      </c>
      <c r="AG159" s="75">
        <f>$C159*INDEX(Curves!$AD$8:$AD$68,AG$4-$B159+1)</f>
        <v/>
      </c>
      <c r="AH159" s="75">
        <f>$C159*INDEX(Curves!$AD$8:$AD$68,AH$4-$B159+1)</f>
        <v/>
      </c>
      <c r="AI159" s="75">
        <f>$C159*INDEX(Curves!$AD$8:$AD$68,AI$4-$B159+1)</f>
        <v/>
      </c>
      <c r="AJ159" s="75">
        <f>$C159*INDEX(Curves!$AD$8:$AD$68,AJ$4-$B159+1)</f>
        <v/>
      </c>
      <c r="AK159" s="75">
        <f>$C159*INDEX(Curves!$AD$8:$AD$68,AK$4-$B159+1)</f>
        <v/>
      </c>
      <c r="AL159" s="75">
        <f>$C159*INDEX(Curves!$AD$8:$AD$68,AL$4-$B159+1)</f>
        <v/>
      </c>
      <c r="AM159" s="75">
        <f>$C159*INDEX(Curves!$AD$8:$AD$68,AM$4-$B159+1)</f>
        <v/>
      </c>
      <c r="AN159" s="75">
        <f>$C159*INDEX(Curves!$AD$8:$AD$68,AN$4-$B159+1)</f>
        <v/>
      </c>
      <c r="AO159" s="75">
        <f>$C159*INDEX(Curves!$AD$8:$AD$68,AO$4-$B159+1)</f>
        <v/>
      </c>
      <c r="AP159" s="75">
        <f>$C159*INDEX(Curves!$AD$8:$AD$68,AP$4-$B159+1)</f>
        <v/>
      </c>
      <c r="AQ159" s="75">
        <f>$C159*INDEX(Curves!$AD$8:$AD$68,AQ$4-$B159+1)</f>
        <v/>
      </c>
      <c r="AR159" s="75">
        <f>$C159*INDEX(Curves!$AD$8:$AD$68,AR$4-$B159+1)</f>
        <v/>
      </c>
      <c r="AS159" s="75">
        <f>$C159*INDEX(Curves!$AD$8:$AD$68,AS$4-$B159+1)</f>
        <v/>
      </c>
      <c r="AT159" s="75">
        <f>$C159*INDEX(Curves!$AD$8:$AD$68,AT$4-$B159+1)</f>
        <v/>
      </c>
      <c r="AU159" s="75">
        <f>$C159*INDEX(Curves!$AD$8:$AD$68,AU$4-$B159+1)</f>
        <v/>
      </c>
      <c r="AV159" s="75">
        <f>$C159*INDEX(Curves!$AD$8:$AD$68,AV$4-$B159+1)</f>
        <v/>
      </c>
      <c r="AW159" s="75">
        <f>$C159*INDEX(Curves!$AD$8:$AD$68,AW$4-$B159+1)</f>
        <v/>
      </c>
      <c r="AX159" s="75">
        <f>$C159*INDEX(Curves!$AD$8:$AD$68,AX$4-$B159+1)</f>
        <v/>
      </c>
      <c r="AY159" s="75">
        <f>$C159*INDEX(Curves!$AD$8:$AD$68,AY$4-$B159+1)</f>
        <v/>
      </c>
      <c r="AZ159" s="75">
        <f>$C159*INDEX(Curves!$AD$8:$AD$68,AZ$4-$B159+1)</f>
        <v/>
      </c>
      <c r="BA159" s="75">
        <f>$C159*INDEX(Curves!$AD$8:$AD$68,BA$4-$B159+1)</f>
        <v/>
      </c>
      <c r="BB159" s="75">
        <f>$C159*INDEX(Curves!$AD$8:$AD$68,BB$4-$B159+1)</f>
        <v/>
      </c>
      <c r="BC159" s="75">
        <f>$C159*INDEX(Curves!$AD$8:$AD$68,BC$4-$B159+1)</f>
        <v/>
      </c>
      <c r="BD159" s="75">
        <f>$C159*INDEX(Curves!$AD$8:$AD$68,BD$4-$B159+1)</f>
        <v/>
      </c>
      <c r="BE159" s="75">
        <f>$C159*INDEX(Curves!$AD$8:$AD$68,BE$4-$B159+1)</f>
        <v/>
      </c>
      <c r="BF159" s="75">
        <f>$C159*INDEX(Curves!$AD$8:$AD$68,BF$4-$B159+1)</f>
        <v/>
      </c>
      <c r="BG159" s="75">
        <f>$C159*INDEX(Curves!$AD$8:$AD$68,BG$4-$B159+1)</f>
        <v/>
      </c>
      <c r="BH159" s="75">
        <f>$C159*INDEX(Curves!$AD$8:$AD$68,BH$4-$B159+1)</f>
        <v/>
      </c>
      <c r="BI159" s="75">
        <f>$C159*INDEX(Curves!$AD$8:$AD$68,BI$4-$B159+1)</f>
        <v/>
      </c>
      <c r="BJ159" s="75">
        <f>$C159*INDEX(Curves!$AD$8:$AD$68,BJ$4-$B159+1)</f>
        <v/>
      </c>
      <c r="BK159" s="75">
        <f>$C159*INDEX(Curves!$AD$8:$AD$68,BK$4-$B159+1)</f>
        <v/>
      </c>
      <c r="BL159" s="75">
        <f>$C159*INDEX(Curves!$AD$8:$AD$68,BL$4-$B159+1)</f>
        <v/>
      </c>
    </row>
    <row r="160">
      <c r="A160" s="74" t="inlineStr">
        <is>
          <t>Cohort month 25</t>
        </is>
      </c>
      <c r="B160" s="74" t="n">
        <v>25</v>
      </c>
      <c r="C160" s="17">
        <f>INDEX(Ops!$E$60:$BL$60,1,$B160)</f>
        <v/>
      </c>
      <c r="AD160" s="75">
        <f>$C160*INDEX(Curves!$AD$8:$AD$68,AD$4-$B160+1)</f>
        <v/>
      </c>
      <c r="AE160" s="75">
        <f>$C160*INDEX(Curves!$AD$8:$AD$68,AE$4-$B160+1)</f>
        <v/>
      </c>
      <c r="AF160" s="75">
        <f>$C160*INDEX(Curves!$AD$8:$AD$68,AF$4-$B160+1)</f>
        <v/>
      </c>
      <c r="AG160" s="75">
        <f>$C160*INDEX(Curves!$AD$8:$AD$68,AG$4-$B160+1)</f>
        <v/>
      </c>
      <c r="AH160" s="75">
        <f>$C160*INDEX(Curves!$AD$8:$AD$68,AH$4-$B160+1)</f>
        <v/>
      </c>
      <c r="AI160" s="75">
        <f>$C160*INDEX(Curves!$AD$8:$AD$68,AI$4-$B160+1)</f>
        <v/>
      </c>
      <c r="AJ160" s="75">
        <f>$C160*INDEX(Curves!$AD$8:$AD$68,AJ$4-$B160+1)</f>
        <v/>
      </c>
      <c r="AK160" s="75">
        <f>$C160*INDEX(Curves!$AD$8:$AD$68,AK$4-$B160+1)</f>
        <v/>
      </c>
      <c r="AL160" s="75">
        <f>$C160*INDEX(Curves!$AD$8:$AD$68,AL$4-$B160+1)</f>
        <v/>
      </c>
      <c r="AM160" s="75">
        <f>$C160*INDEX(Curves!$AD$8:$AD$68,AM$4-$B160+1)</f>
        <v/>
      </c>
      <c r="AN160" s="75">
        <f>$C160*INDEX(Curves!$AD$8:$AD$68,AN$4-$B160+1)</f>
        <v/>
      </c>
      <c r="AO160" s="75">
        <f>$C160*INDEX(Curves!$AD$8:$AD$68,AO$4-$B160+1)</f>
        <v/>
      </c>
      <c r="AP160" s="75">
        <f>$C160*INDEX(Curves!$AD$8:$AD$68,AP$4-$B160+1)</f>
        <v/>
      </c>
      <c r="AQ160" s="75">
        <f>$C160*INDEX(Curves!$AD$8:$AD$68,AQ$4-$B160+1)</f>
        <v/>
      </c>
      <c r="AR160" s="75">
        <f>$C160*INDEX(Curves!$AD$8:$AD$68,AR$4-$B160+1)</f>
        <v/>
      </c>
      <c r="AS160" s="75">
        <f>$C160*INDEX(Curves!$AD$8:$AD$68,AS$4-$B160+1)</f>
        <v/>
      </c>
      <c r="AT160" s="75">
        <f>$C160*INDEX(Curves!$AD$8:$AD$68,AT$4-$B160+1)</f>
        <v/>
      </c>
      <c r="AU160" s="75">
        <f>$C160*INDEX(Curves!$AD$8:$AD$68,AU$4-$B160+1)</f>
        <v/>
      </c>
      <c r="AV160" s="75">
        <f>$C160*INDEX(Curves!$AD$8:$AD$68,AV$4-$B160+1)</f>
        <v/>
      </c>
      <c r="AW160" s="75">
        <f>$C160*INDEX(Curves!$AD$8:$AD$68,AW$4-$B160+1)</f>
        <v/>
      </c>
      <c r="AX160" s="75">
        <f>$C160*INDEX(Curves!$AD$8:$AD$68,AX$4-$B160+1)</f>
        <v/>
      </c>
      <c r="AY160" s="75">
        <f>$C160*INDEX(Curves!$AD$8:$AD$68,AY$4-$B160+1)</f>
        <v/>
      </c>
      <c r="AZ160" s="75">
        <f>$C160*INDEX(Curves!$AD$8:$AD$68,AZ$4-$B160+1)</f>
        <v/>
      </c>
      <c r="BA160" s="75">
        <f>$C160*INDEX(Curves!$AD$8:$AD$68,BA$4-$B160+1)</f>
        <v/>
      </c>
      <c r="BB160" s="75">
        <f>$C160*INDEX(Curves!$AD$8:$AD$68,BB$4-$B160+1)</f>
        <v/>
      </c>
      <c r="BC160" s="75">
        <f>$C160*INDEX(Curves!$AD$8:$AD$68,BC$4-$B160+1)</f>
        <v/>
      </c>
      <c r="BD160" s="75">
        <f>$C160*INDEX(Curves!$AD$8:$AD$68,BD$4-$B160+1)</f>
        <v/>
      </c>
      <c r="BE160" s="75">
        <f>$C160*INDEX(Curves!$AD$8:$AD$68,BE$4-$B160+1)</f>
        <v/>
      </c>
      <c r="BF160" s="75">
        <f>$C160*INDEX(Curves!$AD$8:$AD$68,BF$4-$B160+1)</f>
        <v/>
      </c>
      <c r="BG160" s="75">
        <f>$C160*INDEX(Curves!$AD$8:$AD$68,BG$4-$B160+1)</f>
        <v/>
      </c>
      <c r="BH160" s="75">
        <f>$C160*INDEX(Curves!$AD$8:$AD$68,BH$4-$B160+1)</f>
        <v/>
      </c>
      <c r="BI160" s="75">
        <f>$C160*INDEX(Curves!$AD$8:$AD$68,BI$4-$B160+1)</f>
        <v/>
      </c>
      <c r="BJ160" s="75">
        <f>$C160*INDEX(Curves!$AD$8:$AD$68,BJ$4-$B160+1)</f>
        <v/>
      </c>
      <c r="BK160" s="75">
        <f>$C160*INDEX(Curves!$AD$8:$AD$68,BK$4-$B160+1)</f>
        <v/>
      </c>
      <c r="BL160" s="75">
        <f>$C160*INDEX(Curves!$AD$8:$AD$68,BL$4-$B160+1)</f>
        <v/>
      </c>
    </row>
    <row r="161">
      <c r="A161" s="74" t="inlineStr">
        <is>
          <t>Cohort month 26</t>
        </is>
      </c>
      <c r="B161" s="74" t="n">
        <v>26</v>
      </c>
      <c r="C161" s="17">
        <f>INDEX(Ops!$E$60:$BL$60,1,$B161)</f>
        <v/>
      </c>
      <c r="AE161" s="75">
        <f>$C161*INDEX(Curves!$AD$8:$AD$68,AE$4-$B161+1)</f>
        <v/>
      </c>
      <c r="AF161" s="75">
        <f>$C161*INDEX(Curves!$AD$8:$AD$68,AF$4-$B161+1)</f>
        <v/>
      </c>
      <c r="AG161" s="75">
        <f>$C161*INDEX(Curves!$AD$8:$AD$68,AG$4-$B161+1)</f>
        <v/>
      </c>
      <c r="AH161" s="75">
        <f>$C161*INDEX(Curves!$AD$8:$AD$68,AH$4-$B161+1)</f>
        <v/>
      </c>
      <c r="AI161" s="75">
        <f>$C161*INDEX(Curves!$AD$8:$AD$68,AI$4-$B161+1)</f>
        <v/>
      </c>
      <c r="AJ161" s="75">
        <f>$C161*INDEX(Curves!$AD$8:$AD$68,AJ$4-$B161+1)</f>
        <v/>
      </c>
      <c r="AK161" s="75">
        <f>$C161*INDEX(Curves!$AD$8:$AD$68,AK$4-$B161+1)</f>
        <v/>
      </c>
      <c r="AL161" s="75">
        <f>$C161*INDEX(Curves!$AD$8:$AD$68,AL$4-$B161+1)</f>
        <v/>
      </c>
      <c r="AM161" s="75">
        <f>$C161*INDEX(Curves!$AD$8:$AD$68,AM$4-$B161+1)</f>
        <v/>
      </c>
      <c r="AN161" s="75">
        <f>$C161*INDEX(Curves!$AD$8:$AD$68,AN$4-$B161+1)</f>
        <v/>
      </c>
      <c r="AO161" s="75">
        <f>$C161*INDEX(Curves!$AD$8:$AD$68,AO$4-$B161+1)</f>
        <v/>
      </c>
      <c r="AP161" s="75">
        <f>$C161*INDEX(Curves!$AD$8:$AD$68,AP$4-$B161+1)</f>
        <v/>
      </c>
      <c r="AQ161" s="75">
        <f>$C161*INDEX(Curves!$AD$8:$AD$68,AQ$4-$B161+1)</f>
        <v/>
      </c>
      <c r="AR161" s="75">
        <f>$C161*INDEX(Curves!$AD$8:$AD$68,AR$4-$B161+1)</f>
        <v/>
      </c>
      <c r="AS161" s="75">
        <f>$C161*INDEX(Curves!$AD$8:$AD$68,AS$4-$B161+1)</f>
        <v/>
      </c>
      <c r="AT161" s="75">
        <f>$C161*INDEX(Curves!$AD$8:$AD$68,AT$4-$B161+1)</f>
        <v/>
      </c>
      <c r="AU161" s="75">
        <f>$C161*INDEX(Curves!$AD$8:$AD$68,AU$4-$B161+1)</f>
        <v/>
      </c>
      <c r="AV161" s="75">
        <f>$C161*INDEX(Curves!$AD$8:$AD$68,AV$4-$B161+1)</f>
        <v/>
      </c>
      <c r="AW161" s="75">
        <f>$C161*INDEX(Curves!$AD$8:$AD$68,AW$4-$B161+1)</f>
        <v/>
      </c>
      <c r="AX161" s="75">
        <f>$C161*INDEX(Curves!$AD$8:$AD$68,AX$4-$B161+1)</f>
        <v/>
      </c>
      <c r="AY161" s="75">
        <f>$C161*INDEX(Curves!$AD$8:$AD$68,AY$4-$B161+1)</f>
        <v/>
      </c>
      <c r="AZ161" s="75">
        <f>$C161*INDEX(Curves!$AD$8:$AD$68,AZ$4-$B161+1)</f>
        <v/>
      </c>
      <c r="BA161" s="75">
        <f>$C161*INDEX(Curves!$AD$8:$AD$68,BA$4-$B161+1)</f>
        <v/>
      </c>
      <c r="BB161" s="75">
        <f>$C161*INDEX(Curves!$AD$8:$AD$68,BB$4-$B161+1)</f>
        <v/>
      </c>
      <c r="BC161" s="75">
        <f>$C161*INDEX(Curves!$AD$8:$AD$68,BC$4-$B161+1)</f>
        <v/>
      </c>
      <c r="BD161" s="75">
        <f>$C161*INDEX(Curves!$AD$8:$AD$68,BD$4-$B161+1)</f>
        <v/>
      </c>
      <c r="BE161" s="75">
        <f>$C161*INDEX(Curves!$AD$8:$AD$68,BE$4-$B161+1)</f>
        <v/>
      </c>
      <c r="BF161" s="75">
        <f>$C161*INDEX(Curves!$AD$8:$AD$68,BF$4-$B161+1)</f>
        <v/>
      </c>
      <c r="BG161" s="75">
        <f>$C161*INDEX(Curves!$AD$8:$AD$68,BG$4-$B161+1)</f>
        <v/>
      </c>
      <c r="BH161" s="75">
        <f>$C161*INDEX(Curves!$AD$8:$AD$68,BH$4-$B161+1)</f>
        <v/>
      </c>
      <c r="BI161" s="75">
        <f>$C161*INDEX(Curves!$AD$8:$AD$68,BI$4-$B161+1)</f>
        <v/>
      </c>
      <c r="BJ161" s="75">
        <f>$C161*INDEX(Curves!$AD$8:$AD$68,BJ$4-$B161+1)</f>
        <v/>
      </c>
      <c r="BK161" s="75">
        <f>$C161*INDEX(Curves!$AD$8:$AD$68,BK$4-$B161+1)</f>
        <v/>
      </c>
      <c r="BL161" s="75">
        <f>$C161*INDEX(Curves!$AD$8:$AD$68,BL$4-$B161+1)</f>
        <v/>
      </c>
    </row>
    <row r="162">
      <c r="A162" s="74" t="inlineStr">
        <is>
          <t>Cohort month 27</t>
        </is>
      </c>
      <c r="B162" s="74" t="n">
        <v>27</v>
      </c>
      <c r="C162" s="17">
        <f>INDEX(Ops!$E$60:$BL$60,1,$B162)</f>
        <v/>
      </c>
      <c r="AF162" s="75">
        <f>$C162*INDEX(Curves!$AD$8:$AD$68,AF$4-$B162+1)</f>
        <v/>
      </c>
      <c r="AG162" s="75">
        <f>$C162*INDEX(Curves!$AD$8:$AD$68,AG$4-$B162+1)</f>
        <v/>
      </c>
      <c r="AH162" s="75">
        <f>$C162*INDEX(Curves!$AD$8:$AD$68,AH$4-$B162+1)</f>
        <v/>
      </c>
      <c r="AI162" s="75">
        <f>$C162*INDEX(Curves!$AD$8:$AD$68,AI$4-$B162+1)</f>
        <v/>
      </c>
      <c r="AJ162" s="75">
        <f>$C162*INDEX(Curves!$AD$8:$AD$68,AJ$4-$B162+1)</f>
        <v/>
      </c>
      <c r="AK162" s="75">
        <f>$C162*INDEX(Curves!$AD$8:$AD$68,AK$4-$B162+1)</f>
        <v/>
      </c>
      <c r="AL162" s="75">
        <f>$C162*INDEX(Curves!$AD$8:$AD$68,AL$4-$B162+1)</f>
        <v/>
      </c>
      <c r="AM162" s="75">
        <f>$C162*INDEX(Curves!$AD$8:$AD$68,AM$4-$B162+1)</f>
        <v/>
      </c>
      <c r="AN162" s="75">
        <f>$C162*INDEX(Curves!$AD$8:$AD$68,AN$4-$B162+1)</f>
        <v/>
      </c>
      <c r="AO162" s="75">
        <f>$C162*INDEX(Curves!$AD$8:$AD$68,AO$4-$B162+1)</f>
        <v/>
      </c>
      <c r="AP162" s="75">
        <f>$C162*INDEX(Curves!$AD$8:$AD$68,AP$4-$B162+1)</f>
        <v/>
      </c>
      <c r="AQ162" s="75">
        <f>$C162*INDEX(Curves!$AD$8:$AD$68,AQ$4-$B162+1)</f>
        <v/>
      </c>
      <c r="AR162" s="75">
        <f>$C162*INDEX(Curves!$AD$8:$AD$68,AR$4-$B162+1)</f>
        <v/>
      </c>
      <c r="AS162" s="75">
        <f>$C162*INDEX(Curves!$AD$8:$AD$68,AS$4-$B162+1)</f>
        <v/>
      </c>
      <c r="AT162" s="75">
        <f>$C162*INDEX(Curves!$AD$8:$AD$68,AT$4-$B162+1)</f>
        <v/>
      </c>
      <c r="AU162" s="75">
        <f>$C162*INDEX(Curves!$AD$8:$AD$68,AU$4-$B162+1)</f>
        <v/>
      </c>
      <c r="AV162" s="75">
        <f>$C162*INDEX(Curves!$AD$8:$AD$68,AV$4-$B162+1)</f>
        <v/>
      </c>
      <c r="AW162" s="75">
        <f>$C162*INDEX(Curves!$AD$8:$AD$68,AW$4-$B162+1)</f>
        <v/>
      </c>
      <c r="AX162" s="75">
        <f>$C162*INDEX(Curves!$AD$8:$AD$68,AX$4-$B162+1)</f>
        <v/>
      </c>
      <c r="AY162" s="75">
        <f>$C162*INDEX(Curves!$AD$8:$AD$68,AY$4-$B162+1)</f>
        <v/>
      </c>
      <c r="AZ162" s="75">
        <f>$C162*INDEX(Curves!$AD$8:$AD$68,AZ$4-$B162+1)</f>
        <v/>
      </c>
      <c r="BA162" s="75">
        <f>$C162*INDEX(Curves!$AD$8:$AD$68,BA$4-$B162+1)</f>
        <v/>
      </c>
      <c r="BB162" s="75">
        <f>$C162*INDEX(Curves!$AD$8:$AD$68,BB$4-$B162+1)</f>
        <v/>
      </c>
      <c r="BC162" s="75">
        <f>$C162*INDEX(Curves!$AD$8:$AD$68,BC$4-$B162+1)</f>
        <v/>
      </c>
      <c r="BD162" s="75">
        <f>$C162*INDEX(Curves!$AD$8:$AD$68,BD$4-$B162+1)</f>
        <v/>
      </c>
      <c r="BE162" s="75">
        <f>$C162*INDEX(Curves!$AD$8:$AD$68,BE$4-$B162+1)</f>
        <v/>
      </c>
      <c r="BF162" s="75">
        <f>$C162*INDEX(Curves!$AD$8:$AD$68,BF$4-$B162+1)</f>
        <v/>
      </c>
      <c r="BG162" s="75">
        <f>$C162*INDEX(Curves!$AD$8:$AD$68,BG$4-$B162+1)</f>
        <v/>
      </c>
      <c r="BH162" s="75">
        <f>$C162*INDEX(Curves!$AD$8:$AD$68,BH$4-$B162+1)</f>
        <v/>
      </c>
      <c r="BI162" s="75">
        <f>$C162*INDEX(Curves!$AD$8:$AD$68,BI$4-$B162+1)</f>
        <v/>
      </c>
      <c r="BJ162" s="75">
        <f>$C162*INDEX(Curves!$AD$8:$AD$68,BJ$4-$B162+1)</f>
        <v/>
      </c>
      <c r="BK162" s="75">
        <f>$C162*INDEX(Curves!$AD$8:$AD$68,BK$4-$B162+1)</f>
        <v/>
      </c>
      <c r="BL162" s="75">
        <f>$C162*INDEX(Curves!$AD$8:$AD$68,BL$4-$B162+1)</f>
        <v/>
      </c>
    </row>
    <row r="163">
      <c r="A163" s="74" t="inlineStr">
        <is>
          <t>Cohort month 28</t>
        </is>
      </c>
      <c r="B163" s="74" t="n">
        <v>28</v>
      </c>
      <c r="C163" s="17">
        <f>INDEX(Ops!$E$60:$BL$60,1,$B163)</f>
        <v/>
      </c>
      <c r="AG163" s="75">
        <f>$C163*INDEX(Curves!$AD$8:$AD$68,AG$4-$B163+1)</f>
        <v/>
      </c>
      <c r="AH163" s="75">
        <f>$C163*INDEX(Curves!$AD$8:$AD$68,AH$4-$B163+1)</f>
        <v/>
      </c>
      <c r="AI163" s="75">
        <f>$C163*INDEX(Curves!$AD$8:$AD$68,AI$4-$B163+1)</f>
        <v/>
      </c>
      <c r="AJ163" s="75">
        <f>$C163*INDEX(Curves!$AD$8:$AD$68,AJ$4-$B163+1)</f>
        <v/>
      </c>
      <c r="AK163" s="75">
        <f>$C163*INDEX(Curves!$AD$8:$AD$68,AK$4-$B163+1)</f>
        <v/>
      </c>
      <c r="AL163" s="75">
        <f>$C163*INDEX(Curves!$AD$8:$AD$68,AL$4-$B163+1)</f>
        <v/>
      </c>
      <c r="AM163" s="75">
        <f>$C163*INDEX(Curves!$AD$8:$AD$68,AM$4-$B163+1)</f>
        <v/>
      </c>
      <c r="AN163" s="75">
        <f>$C163*INDEX(Curves!$AD$8:$AD$68,AN$4-$B163+1)</f>
        <v/>
      </c>
      <c r="AO163" s="75">
        <f>$C163*INDEX(Curves!$AD$8:$AD$68,AO$4-$B163+1)</f>
        <v/>
      </c>
      <c r="AP163" s="75">
        <f>$C163*INDEX(Curves!$AD$8:$AD$68,AP$4-$B163+1)</f>
        <v/>
      </c>
      <c r="AQ163" s="75">
        <f>$C163*INDEX(Curves!$AD$8:$AD$68,AQ$4-$B163+1)</f>
        <v/>
      </c>
      <c r="AR163" s="75">
        <f>$C163*INDEX(Curves!$AD$8:$AD$68,AR$4-$B163+1)</f>
        <v/>
      </c>
      <c r="AS163" s="75">
        <f>$C163*INDEX(Curves!$AD$8:$AD$68,AS$4-$B163+1)</f>
        <v/>
      </c>
      <c r="AT163" s="75">
        <f>$C163*INDEX(Curves!$AD$8:$AD$68,AT$4-$B163+1)</f>
        <v/>
      </c>
      <c r="AU163" s="75">
        <f>$C163*INDEX(Curves!$AD$8:$AD$68,AU$4-$B163+1)</f>
        <v/>
      </c>
      <c r="AV163" s="75">
        <f>$C163*INDEX(Curves!$AD$8:$AD$68,AV$4-$B163+1)</f>
        <v/>
      </c>
      <c r="AW163" s="75">
        <f>$C163*INDEX(Curves!$AD$8:$AD$68,AW$4-$B163+1)</f>
        <v/>
      </c>
      <c r="AX163" s="75">
        <f>$C163*INDEX(Curves!$AD$8:$AD$68,AX$4-$B163+1)</f>
        <v/>
      </c>
      <c r="AY163" s="75">
        <f>$C163*INDEX(Curves!$AD$8:$AD$68,AY$4-$B163+1)</f>
        <v/>
      </c>
      <c r="AZ163" s="75">
        <f>$C163*INDEX(Curves!$AD$8:$AD$68,AZ$4-$B163+1)</f>
        <v/>
      </c>
      <c r="BA163" s="75">
        <f>$C163*INDEX(Curves!$AD$8:$AD$68,BA$4-$B163+1)</f>
        <v/>
      </c>
      <c r="BB163" s="75">
        <f>$C163*INDEX(Curves!$AD$8:$AD$68,BB$4-$B163+1)</f>
        <v/>
      </c>
      <c r="BC163" s="75">
        <f>$C163*INDEX(Curves!$AD$8:$AD$68,BC$4-$B163+1)</f>
        <v/>
      </c>
      <c r="BD163" s="75">
        <f>$C163*INDEX(Curves!$AD$8:$AD$68,BD$4-$B163+1)</f>
        <v/>
      </c>
      <c r="BE163" s="75">
        <f>$C163*INDEX(Curves!$AD$8:$AD$68,BE$4-$B163+1)</f>
        <v/>
      </c>
      <c r="BF163" s="75">
        <f>$C163*INDEX(Curves!$AD$8:$AD$68,BF$4-$B163+1)</f>
        <v/>
      </c>
      <c r="BG163" s="75">
        <f>$C163*INDEX(Curves!$AD$8:$AD$68,BG$4-$B163+1)</f>
        <v/>
      </c>
      <c r="BH163" s="75">
        <f>$C163*INDEX(Curves!$AD$8:$AD$68,BH$4-$B163+1)</f>
        <v/>
      </c>
      <c r="BI163" s="75">
        <f>$C163*INDEX(Curves!$AD$8:$AD$68,BI$4-$B163+1)</f>
        <v/>
      </c>
      <c r="BJ163" s="75">
        <f>$C163*INDEX(Curves!$AD$8:$AD$68,BJ$4-$B163+1)</f>
        <v/>
      </c>
      <c r="BK163" s="75">
        <f>$C163*INDEX(Curves!$AD$8:$AD$68,BK$4-$B163+1)</f>
        <v/>
      </c>
      <c r="BL163" s="75">
        <f>$C163*INDEX(Curves!$AD$8:$AD$68,BL$4-$B163+1)</f>
        <v/>
      </c>
    </row>
    <row r="164">
      <c r="A164" s="74" t="inlineStr">
        <is>
          <t>Cohort month 29</t>
        </is>
      </c>
      <c r="B164" s="74" t="n">
        <v>29</v>
      </c>
      <c r="C164" s="17">
        <f>INDEX(Ops!$E$60:$BL$60,1,$B164)</f>
        <v/>
      </c>
      <c r="AH164" s="75">
        <f>$C164*INDEX(Curves!$AD$8:$AD$68,AH$4-$B164+1)</f>
        <v/>
      </c>
      <c r="AI164" s="75">
        <f>$C164*INDEX(Curves!$AD$8:$AD$68,AI$4-$B164+1)</f>
        <v/>
      </c>
      <c r="AJ164" s="75">
        <f>$C164*INDEX(Curves!$AD$8:$AD$68,AJ$4-$B164+1)</f>
        <v/>
      </c>
      <c r="AK164" s="75">
        <f>$C164*INDEX(Curves!$AD$8:$AD$68,AK$4-$B164+1)</f>
        <v/>
      </c>
      <c r="AL164" s="75">
        <f>$C164*INDEX(Curves!$AD$8:$AD$68,AL$4-$B164+1)</f>
        <v/>
      </c>
      <c r="AM164" s="75">
        <f>$C164*INDEX(Curves!$AD$8:$AD$68,AM$4-$B164+1)</f>
        <v/>
      </c>
      <c r="AN164" s="75">
        <f>$C164*INDEX(Curves!$AD$8:$AD$68,AN$4-$B164+1)</f>
        <v/>
      </c>
      <c r="AO164" s="75">
        <f>$C164*INDEX(Curves!$AD$8:$AD$68,AO$4-$B164+1)</f>
        <v/>
      </c>
      <c r="AP164" s="75">
        <f>$C164*INDEX(Curves!$AD$8:$AD$68,AP$4-$B164+1)</f>
        <v/>
      </c>
      <c r="AQ164" s="75">
        <f>$C164*INDEX(Curves!$AD$8:$AD$68,AQ$4-$B164+1)</f>
        <v/>
      </c>
      <c r="AR164" s="75">
        <f>$C164*INDEX(Curves!$AD$8:$AD$68,AR$4-$B164+1)</f>
        <v/>
      </c>
      <c r="AS164" s="75">
        <f>$C164*INDEX(Curves!$AD$8:$AD$68,AS$4-$B164+1)</f>
        <v/>
      </c>
      <c r="AT164" s="75">
        <f>$C164*INDEX(Curves!$AD$8:$AD$68,AT$4-$B164+1)</f>
        <v/>
      </c>
      <c r="AU164" s="75">
        <f>$C164*INDEX(Curves!$AD$8:$AD$68,AU$4-$B164+1)</f>
        <v/>
      </c>
      <c r="AV164" s="75">
        <f>$C164*INDEX(Curves!$AD$8:$AD$68,AV$4-$B164+1)</f>
        <v/>
      </c>
      <c r="AW164" s="75">
        <f>$C164*INDEX(Curves!$AD$8:$AD$68,AW$4-$B164+1)</f>
        <v/>
      </c>
      <c r="AX164" s="75">
        <f>$C164*INDEX(Curves!$AD$8:$AD$68,AX$4-$B164+1)</f>
        <v/>
      </c>
      <c r="AY164" s="75">
        <f>$C164*INDEX(Curves!$AD$8:$AD$68,AY$4-$B164+1)</f>
        <v/>
      </c>
      <c r="AZ164" s="75">
        <f>$C164*INDEX(Curves!$AD$8:$AD$68,AZ$4-$B164+1)</f>
        <v/>
      </c>
      <c r="BA164" s="75">
        <f>$C164*INDEX(Curves!$AD$8:$AD$68,BA$4-$B164+1)</f>
        <v/>
      </c>
      <c r="BB164" s="75">
        <f>$C164*INDEX(Curves!$AD$8:$AD$68,BB$4-$B164+1)</f>
        <v/>
      </c>
      <c r="BC164" s="75">
        <f>$C164*INDEX(Curves!$AD$8:$AD$68,BC$4-$B164+1)</f>
        <v/>
      </c>
      <c r="BD164" s="75">
        <f>$C164*INDEX(Curves!$AD$8:$AD$68,BD$4-$B164+1)</f>
        <v/>
      </c>
      <c r="BE164" s="75">
        <f>$C164*INDEX(Curves!$AD$8:$AD$68,BE$4-$B164+1)</f>
        <v/>
      </c>
      <c r="BF164" s="75">
        <f>$C164*INDEX(Curves!$AD$8:$AD$68,BF$4-$B164+1)</f>
        <v/>
      </c>
      <c r="BG164" s="75">
        <f>$C164*INDEX(Curves!$AD$8:$AD$68,BG$4-$B164+1)</f>
        <v/>
      </c>
      <c r="BH164" s="75">
        <f>$C164*INDEX(Curves!$AD$8:$AD$68,BH$4-$B164+1)</f>
        <v/>
      </c>
      <c r="BI164" s="75">
        <f>$C164*INDEX(Curves!$AD$8:$AD$68,BI$4-$B164+1)</f>
        <v/>
      </c>
      <c r="BJ164" s="75">
        <f>$C164*INDEX(Curves!$AD$8:$AD$68,BJ$4-$B164+1)</f>
        <v/>
      </c>
      <c r="BK164" s="75">
        <f>$C164*INDEX(Curves!$AD$8:$AD$68,BK$4-$B164+1)</f>
        <v/>
      </c>
      <c r="BL164" s="75">
        <f>$C164*INDEX(Curves!$AD$8:$AD$68,BL$4-$B164+1)</f>
        <v/>
      </c>
    </row>
    <row r="165">
      <c r="A165" s="74" t="inlineStr">
        <is>
          <t>Cohort month 30</t>
        </is>
      </c>
      <c r="B165" s="74" t="n">
        <v>30</v>
      </c>
      <c r="C165" s="17">
        <f>INDEX(Ops!$E$60:$BL$60,1,$B165)</f>
        <v/>
      </c>
      <c r="AI165" s="75">
        <f>$C165*INDEX(Curves!$AD$8:$AD$68,AI$4-$B165+1)</f>
        <v/>
      </c>
      <c r="AJ165" s="75">
        <f>$C165*INDEX(Curves!$AD$8:$AD$68,AJ$4-$B165+1)</f>
        <v/>
      </c>
      <c r="AK165" s="75">
        <f>$C165*INDEX(Curves!$AD$8:$AD$68,AK$4-$B165+1)</f>
        <v/>
      </c>
      <c r="AL165" s="75">
        <f>$C165*INDEX(Curves!$AD$8:$AD$68,AL$4-$B165+1)</f>
        <v/>
      </c>
      <c r="AM165" s="75">
        <f>$C165*INDEX(Curves!$AD$8:$AD$68,AM$4-$B165+1)</f>
        <v/>
      </c>
      <c r="AN165" s="75">
        <f>$C165*INDEX(Curves!$AD$8:$AD$68,AN$4-$B165+1)</f>
        <v/>
      </c>
      <c r="AO165" s="75">
        <f>$C165*INDEX(Curves!$AD$8:$AD$68,AO$4-$B165+1)</f>
        <v/>
      </c>
      <c r="AP165" s="75">
        <f>$C165*INDEX(Curves!$AD$8:$AD$68,AP$4-$B165+1)</f>
        <v/>
      </c>
      <c r="AQ165" s="75">
        <f>$C165*INDEX(Curves!$AD$8:$AD$68,AQ$4-$B165+1)</f>
        <v/>
      </c>
      <c r="AR165" s="75">
        <f>$C165*INDEX(Curves!$AD$8:$AD$68,AR$4-$B165+1)</f>
        <v/>
      </c>
      <c r="AS165" s="75">
        <f>$C165*INDEX(Curves!$AD$8:$AD$68,AS$4-$B165+1)</f>
        <v/>
      </c>
      <c r="AT165" s="75">
        <f>$C165*INDEX(Curves!$AD$8:$AD$68,AT$4-$B165+1)</f>
        <v/>
      </c>
      <c r="AU165" s="75">
        <f>$C165*INDEX(Curves!$AD$8:$AD$68,AU$4-$B165+1)</f>
        <v/>
      </c>
      <c r="AV165" s="75">
        <f>$C165*INDEX(Curves!$AD$8:$AD$68,AV$4-$B165+1)</f>
        <v/>
      </c>
      <c r="AW165" s="75">
        <f>$C165*INDEX(Curves!$AD$8:$AD$68,AW$4-$B165+1)</f>
        <v/>
      </c>
      <c r="AX165" s="75">
        <f>$C165*INDEX(Curves!$AD$8:$AD$68,AX$4-$B165+1)</f>
        <v/>
      </c>
      <c r="AY165" s="75">
        <f>$C165*INDEX(Curves!$AD$8:$AD$68,AY$4-$B165+1)</f>
        <v/>
      </c>
      <c r="AZ165" s="75">
        <f>$C165*INDEX(Curves!$AD$8:$AD$68,AZ$4-$B165+1)</f>
        <v/>
      </c>
      <c r="BA165" s="75">
        <f>$C165*INDEX(Curves!$AD$8:$AD$68,BA$4-$B165+1)</f>
        <v/>
      </c>
      <c r="BB165" s="75">
        <f>$C165*INDEX(Curves!$AD$8:$AD$68,BB$4-$B165+1)</f>
        <v/>
      </c>
      <c r="BC165" s="75">
        <f>$C165*INDEX(Curves!$AD$8:$AD$68,BC$4-$B165+1)</f>
        <v/>
      </c>
      <c r="BD165" s="75">
        <f>$C165*INDEX(Curves!$AD$8:$AD$68,BD$4-$B165+1)</f>
        <v/>
      </c>
      <c r="BE165" s="75">
        <f>$C165*INDEX(Curves!$AD$8:$AD$68,BE$4-$B165+1)</f>
        <v/>
      </c>
      <c r="BF165" s="75">
        <f>$C165*INDEX(Curves!$AD$8:$AD$68,BF$4-$B165+1)</f>
        <v/>
      </c>
      <c r="BG165" s="75">
        <f>$C165*INDEX(Curves!$AD$8:$AD$68,BG$4-$B165+1)</f>
        <v/>
      </c>
      <c r="BH165" s="75">
        <f>$C165*INDEX(Curves!$AD$8:$AD$68,BH$4-$B165+1)</f>
        <v/>
      </c>
      <c r="BI165" s="75">
        <f>$C165*INDEX(Curves!$AD$8:$AD$68,BI$4-$B165+1)</f>
        <v/>
      </c>
      <c r="BJ165" s="75">
        <f>$C165*INDEX(Curves!$AD$8:$AD$68,BJ$4-$B165+1)</f>
        <v/>
      </c>
      <c r="BK165" s="75">
        <f>$C165*INDEX(Curves!$AD$8:$AD$68,BK$4-$B165+1)</f>
        <v/>
      </c>
      <c r="BL165" s="75">
        <f>$C165*INDEX(Curves!$AD$8:$AD$68,BL$4-$B165+1)</f>
        <v/>
      </c>
    </row>
    <row r="166">
      <c r="A166" s="74" t="inlineStr">
        <is>
          <t>Cohort month 31</t>
        </is>
      </c>
      <c r="B166" s="74" t="n">
        <v>31</v>
      </c>
      <c r="C166" s="17">
        <f>INDEX(Ops!$E$60:$BL$60,1,$B166)</f>
        <v/>
      </c>
      <c r="AJ166" s="75">
        <f>$C166*INDEX(Curves!$AD$8:$AD$68,AJ$4-$B166+1)</f>
        <v/>
      </c>
      <c r="AK166" s="75">
        <f>$C166*INDEX(Curves!$AD$8:$AD$68,AK$4-$B166+1)</f>
        <v/>
      </c>
      <c r="AL166" s="75">
        <f>$C166*INDEX(Curves!$AD$8:$AD$68,AL$4-$B166+1)</f>
        <v/>
      </c>
      <c r="AM166" s="75">
        <f>$C166*INDEX(Curves!$AD$8:$AD$68,AM$4-$B166+1)</f>
        <v/>
      </c>
      <c r="AN166" s="75">
        <f>$C166*INDEX(Curves!$AD$8:$AD$68,AN$4-$B166+1)</f>
        <v/>
      </c>
      <c r="AO166" s="75">
        <f>$C166*INDEX(Curves!$AD$8:$AD$68,AO$4-$B166+1)</f>
        <v/>
      </c>
      <c r="AP166" s="75">
        <f>$C166*INDEX(Curves!$AD$8:$AD$68,AP$4-$B166+1)</f>
        <v/>
      </c>
      <c r="AQ166" s="75">
        <f>$C166*INDEX(Curves!$AD$8:$AD$68,AQ$4-$B166+1)</f>
        <v/>
      </c>
      <c r="AR166" s="75">
        <f>$C166*INDEX(Curves!$AD$8:$AD$68,AR$4-$B166+1)</f>
        <v/>
      </c>
      <c r="AS166" s="75">
        <f>$C166*INDEX(Curves!$AD$8:$AD$68,AS$4-$B166+1)</f>
        <v/>
      </c>
      <c r="AT166" s="75">
        <f>$C166*INDEX(Curves!$AD$8:$AD$68,AT$4-$B166+1)</f>
        <v/>
      </c>
      <c r="AU166" s="75">
        <f>$C166*INDEX(Curves!$AD$8:$AD$68,AU$4-$B166+1)</f>
        <v/>
      </c>
      <c r="AV166" s="75">
        <f>$C166*INDEX(Curves!$AD$8:$AD$68,AV$4-$B166+1)</f>
        <v/>
      </c>
      <c r="AW166" s="75">
        <f>$C166*INDEX(Curves!$AD$8:$AD$68,AW$4-$B166+1)</f>
        <v/>
      </c>
      <c r="AX166" s="75">
        <f>$C166*INDEX(Curves!$AD$8:$AD$68,AX$4-$B166+1)</f>
        <v/>
      </c>
      <c r="AY166" s="75">
        <f>$C166*INDEX(Curves!$AD$8:$AD$68,AY$4-$B166+1)</f>
        <v/>
      </c>
      <c r="AZ166" s="75">
        <f>$C166*INDEX(Curves!$AD$8:$AD$68,AZ$4-$B166+1)</f>
        <v/>
      </c>
      <c r="BA166" s="75">
        <f>$C166*INDEX(Curves!$AD$8:$AD$68,BA$4-$B166+1)</f>
        <v/>
      </c>
      <c r="BB166" s="75">
        <f>$C166*INDEX(Curves!$AD$8:$AD$68,BB$4-$B166+1)</f>
        <v/>
      </c>
      <c r="BC166" s="75">
        <f>$C166*INDEX(Curves!$AD$8:$AD$68,BC$4-$B166+1)</f>
        <v/>
      </c>
      <c r="BD166" s="75">
        <f>$C166*INDEX(Curves!$AD$8:$AD$68,BD$4-$B166+1)</f>
        <v/>
      </c>
      <c r="BE166" s="75">
        <f>$C166*INDEX(Curves!$AD$8:$AD$68,BE$4-$B166+1)</f>
        <v/>
      </c>
      <c r="BF166" s="75">
        <f>$C166*INDEX(Curves!$AD$8:$AD$68,BF$4-$B166+1)</f>
        <v/>
      </c>
      <c r="BG166" s="75">
        <f>$C166*INDEX(Curves!$AD$8:$AD$68,BG$4-$B166+1)</f>
        <v/>
      </c>
      <c r="BH166" s="75">
        <f>$C166*INDEX(Curves!$AD$8:$AD$68,BH$4-$B166+1)</f>
        <v/>
      </c>
      <c r="BI166" s="75">
        <f>$C166*INDEX(Curves!$AD$8:$AD$68,BI$4-$B166+1)</f>
        <v/>
      </c>
      <c r="BJ166" s="75">
        <f>$C166*INDEX(Curves!$AD$8:$AD$68,BJ$4-$B166+1)</f>
        <v/>
      </c>
      <c r="BK166" s="75">
        <f>$C166*INDEX(Curves!$AD$8:$AD$68,BK$4-$B166+1)</f>
        <v/>
      </c>
      <c r="BL166" s="75">
        <f>$C166*INDEX(Curves!$AD$8:$AD$68,BL$4-$B166+1)</f>
        <v/>
      </c>
    </row>
    <row r="167">
      <c r="A167" s="74" t="inlineStr">
        <is>
          <t>Cohort month 32</t>
        </is>
      </c>
      <c r="B167" s="74" t="n">
        <v>32</v>
      </c>
      <c r="C167" s="17">
        <f>INDEX(Ops!$E$60:$BL$60,1,$B167)</f>
        <v/>
      </c>
      <c r="AK167" s="75">
        <f>$C167*INDEX(Curves!$AD$8:$AD$68,AK$4-$B167+1)</f>
        <v/>
      </c>
      <c r="AL167" s="75">
        <f>$C167*INDEX(Curves!$AD$8:$AD$68,AL$4-$B167+1)</f>
        <v/>
      </c>
      <c r="AM167" s="75">
        <f>$C167*INDEX(Curves!$AD$8:$AD$68,AM$4-$B167+1)</f>
        <v/>
      </c>
      <c r="AN167" s="75">
        <f>$C167*INDEX(Curves!$AD$8:$AD$68,AN$4-$B167+1)</f>
        <v/>
      </c>
      <c r="AO167" s="75">
        <f>$C167*INDEX(Curves!$AD$8:$AD$68,AO$4-$B167+1)</f>
        <v/>
      </c>
      <c r="AP167" s="75">
        <f>$C167*INDEX(Curves!$AD$8:$AD$68,AP$4-$B167+1)</f>
        <v/>
      </c>
      <c r="AQ167" s="75">
        <f>$C167*INDEX(Curves!$AD$8:$AD$68,AQ$4-$B167+1)</f>
        <v/>
      </c>
      <c r="AR167" s="75">
        <f>$C167*INDEX(Curves!$AD$8:$AD$68,AR$4-$B167+1)</f>
        <v/>
      </c>
      <c r="AS167" s="75">
        <f>$C167*INDEX(Curves!$AD$8:$AD$68,AS$4-$B167+1)</f>
        <v/>
      </c>
      <c r="AT167" s="75">
        <f>$C167*INDEX(Curves!$AD$8:$AD$68,AT$4-$B167+1)</f>
        <v/>
      </c>
      <c r="AU167" s="75">
        <f>$C167*INDEX(Curves!$AD$8:$AD$68,AU$4-$B167+1)</f>
        <v/>
      </c>
      <c r="AV167" s="75">
        <f>$C167*INDEX(Curves!$AD$8:$AD$68,AV$4-$B167+1)</f>
        <v/>
      </c>
      <c r="AW167" s="75">
        <f>$C167*INDEX(Curves!$AD$8:$AD$68,AW$4-$B167+1)</f>
        <v/>
      </c>
      <c r="AX167" s="75">
        <f>$C167*INDEX(Curves!$AD$8:$AD$68,AX$4-$B167+1)</f>
        <v/>
      </c>
      <c r="AY167" s="75">
        <f>$C167*INDEX(Curves!$AD$8:$AD$68,AY$4-$B167+1)</f>
        <v/>
      </c>
      <c r="AZ167" s="75">
        <f>$C167*INDEX(Curves!$AD$8:$AD$68,AZ$4-$B167+1)</f>
        <v/>
      </c>
      <c r="BA167" s="75">
        <f>$C167*INDEX(Curves!$AD$8:$AD$68,BA$4-$B167+1)</f>
        <v/>
      </c>
      <c r="BB167" s="75">
        <f>$C167*INDEX(Curves!$AD$8:$AD$68,BB$4-$B167+1)</f>
        <v/>
      </c>
      <c r="BC167" s="75">
        <f>$C167*INDEX(Curves!$AD$8:$AD$68,BC$4-$B167+1)</f>
        <v/>
      </c>
      <c r="BD167" s="75">
        <f>$C167*INDEX(Curves!$AD$8:$AD$68,BD$4-$B167+1)</f>
        <v/>
      </c>
      <c r="BE167" s="75">
        <f>$C167*INDEX(Curves!$AD$8:$AD$68,BE$4-$B167+1)</f>
        <v/>
      </c>
      <c r="BF167" s="75">
        <f>$C167*INDEX(Curves!$AD$8:$AD$68,BF$4-$B167+1)</f>
        <v/>
      </c>
      <c r="BG167" s="75">
        <f>$C167*INDEX(Curves!$AD$8:$AD$68,BG$4-$B167+1)</f>
        <v/>
      </c>
      <c r="BH167" s="75">
        <f>$C167*INDEX(Curves!$AD$8:$AD$68,BH$4-$B167+1)</f>
        <v/>
      </c>
      <c r="BI167" s="75">
        <f>$C167*INDEX(Curves!$AD$8:$AD$68,BI$4-$B167+1)</f>
        <v/>
      </c>
      <c r="BJ167" s="75">
        <f>$C167*INDEX(Curves!$AD$8:$AD$68,BJ$4-$B167+1)</f>
        <v/>
      </c>
      <c r="BK167" s="75">
        <f>$C167*INDEX(Curves!$AD$8:$AD$68,BK$4-$B167+1)</f>
        <v/>
      </c>
      <c r="BL167" s="75">
        <f>$C167*INDEX(Curves!$AD$8:$AD$68,BL$4-$B167+1)</f>
        <v/>
      </c>
    </row>
    <row r="168">
      <c r="A168" s="74" t="inlineStr">
        <is>
          <t>Cohort month 33</t>
        </is>
      </c>
      <c r="B168" s="74" t="n">
        <v>33</v>
      </c>
      <c r="C168" s="17">
        <f>INDEX(Ops!$E$60:$BL$60,1,$B168)</f>
        <v/>
      </c>
      <c r="AL168" s="75">
        <f>$C168*INDEX(Curves!$AD$8:$AD$68,AL$4-$B168+1)</f>
        <v/>
      </c>
      <c r="AM168" s="75">
        <f>$C168*INDEX(Curves!$AD$8:$AD$68,AM$4-$B168+1)</f>
        <v/>
      </c>
      <c r="AN168" s="75">
        <f>$C168*INDEX(Curves!$AD$8:$AD$68,AN$4-$B168+1)</f>
        <v/>
      </c>
      <c r="AO168" s="75">
        <f>$C168*INDEX(Curves!$AD$8:$AD$68,AO$4-$B168+1)</f>
        <v/>
      </c>
      <c r="AP168" s="75">
        <f>$C168*INDEX(Curves!$AD$8:$AD$68,AP$4-$B168+1)</f>
        <v/>
      </c>
      <c r="AQ168" s="75">
        <f>$C168*INDEX(Curves!$AD$8:$AD$68,AQ$4-$B168+1)</f>
        <v/>
      </c>
      <c r="AR168" s="75">
        <f>$C168*INDEX(Curves!$AD$8:$AD$68,AR$4-$B168+1)</f>
        <v/>
      </c>
      <c r="AS168" s="75">
        <f>$C168*INDEX(Curves!$AD$8:$AD$68,AS$4-$B168+1)</f>
        <v/>
      </c>
      <c r="AT168" s="75">
        <f>$C168*INDEX(Curves!$AD$8:$AD$68,AT$4-$B168+1)</f>
        <v/>
      </c>
      <c r="AU168" s="75">
        <f>$C168*INDEX(Curves!$AD$8:$AD$68,AU$4-$B168+1)</f>
        <v/>
      </c>
      <c r="AV168" s="75">
        <f>$C168*INDEX(Curves!$AD$8:$AD$68,AV$4-$B168+1)</f>
        <v/>
      </c>
      <c r="AW168" s="75">
        <f>$C168*INDEX(Curves!$AD$8:$AD$68,AW$4-$B168+1)</f>
        <v/>
      </c>
      <c r="AX168" s="75">
        <f>$C168*INDEX(Curves!$AD$8:$AD$68,AX$4-$B168+1)</f>
        <v/>
      </c>
      <c r="AY168" s="75">
        <f>$C168*INDEX(Curves!$AD$8:$AD$68,AY$4-$B168+1)</f>
        <v/>
      </c>
      <c r="AZ168" s="75">
        <f>$C168*INDEX(Curves!$AD$8:$AD$68,AZ$4-$B168+1)</f>
        <v/>
      </c>
      <c r="BA168" s="75">
        <f>$C168*INDEX(Curves!$AD$8:$AD$68,BA$4-$B168+1)</f>
        <v/>
      </c>
      <c r="BB168" s="75">
        <f>$C168*INDEX(Curves!$AD$8:$AD$68,BB$4-$B168+1)</f>
        <v/>
      </c>
      <c r="BC168" s="75">
        <f>$C168*INDEX(Curves!$AD$8:$AD$68,BC$4-$B168+1)</f>
        <v/>
      </c>
      <c r="BD168" s="75">
        <f>$C168*INDEX(Curves!$AD$8:$AD$68,BD$4-$B168+1)</f>
        <v/>
      </c>
      <c r="BE168" s="75">
        <f>$C168*INDEX(Curves!$AD$8:$AD$68,BE$4-$B168+1)</f>
        <v/>
      </c>
      <c r="BF168" s="75">
        <f>$C168*INDEX(Curves!$AD$8:$AD$68,BF$4-$B168+1)</f>
        <v/>
      </c>
      <c r="BG168" s="75">
        <f>$C168*INDEX(Curves!$AD$8:$AD$68,BG$4-$B168+1)</f>
        <v/>
      </c>
      <c r="BH168" s="75">
        <f>$C168*INDEX(Curves!$AD$8:$AD$68,BH$4-$B168+1)</f>
        <v/>
      </c>
      <c r="BI168" s="75">
        <f>$C168*INDEX(Curves!$AD$8:$AD$68,BI$4-$B168+1)</f>
        <v/>
      </c>
      <c r="BJ168" s="75">
        <f>$C168*INDEX(Curves!$AD$8:$AD$68,BJ$4-$B168+1)</f>
        <v/>
      </c>
      <c r="BK168" s="75">
        <f>$C168*INDEX(Curves!$AD$8:$AD$68,BK$4-$B168+1)</f>
        <v/>
      </c>
      <c r="BL168" s="75">
        <f>$C168*INDEX(Curves!$AD$8:$AD$68,BL$4-$B168+1)</f>
        <v/>
      </c>
    </row>
    <row r="169">
      <c r="A169" s="74" t="inlineStr">
        <is>
          <t>Cohort month 34</t>
        </is>
      </c>
      <c r="B169" s="74" t="n">
        <v>34</v>
      </c>
      <c r="C169" s="17">
        <f>INDEX(Ops!$E$60:$BL$60,1,$B169)</f>
        <v/>
      </c>
      <c r="AM169" s="75">
        <f>$C169*INDEX(Curves!$AD$8:$AD$68,AM$4-$B169+1)</f>
        <v/>
      </c>
      <c r="AN169" s="75">
        <f>$C169*INDEX(Curves!$AD$8:$AD$68,AN$4-$B169+1)</f>
        <v/>
      </c>
      <c r="AO169" s="75">
        <f>$C169*INDEX(Curves!$AD$8:$AD$68,AO$4-$B169+1)</f>
        <v/>
      </c>
      <c r="AP169" s="75">
        <f>$C169*INDEX(Curves!$AD$8:$AD$68,AP$4-$B169+1)</f>
        <v/>
      </c>
      <c r="AQ169" s="75">
        <f>$C169*INDEX(Curves!$AD$8:$AD$68,AQ$4-$B169+1)</f>
        <v/>
      </c>
      <c r="AR169" s="75">
        <f>$C169*INDEX(Curves!$AD$8:$AD$68,AR$4-$B169+1)</f>
        <v/>
      </c>
      <c r="AS169" s="75">
        <f>$C169*INDEX(Curves!$AD$8:$AD$68,AS$4-$B169+1)</f>
        <v/>
      </c>
      <c r="AT169" s="75">
        <f>$C169*INDEX(Curves!$AD$8:$AD$68,AT$4-$B169+1)</f>
        <v/>
      </c>
      <c r="AU169" s="75">
        <f>$C169*INDEX(Curves!$AD$8:$AD$68,AU$4-$B169+1)</f>
        <v/>
      </c>
      <c r="AV169" s="75">
        <f>$C169*INDEX(Curves!$AD$8:$AD$68,AV$4-$B169+1)</f>
        <v/>
      </c>
      <c r="AW169" s="75">
        <f>$C169*INDEX(Curves!$AD$8:$AD$68,AW$4-$B169+1)</f>
        <v/>
      </c>
      <c r="AX169" s="75">
        <f>$C169*INDEX(Curves!$AD$8:$AD$68,AX$4-$B169+1)</f>
        <v/>
      </c>
      <c r="AY169" s="75">
        <f>$C169*INDEX(Curves!$AD$8:$AD$68,AY$4-$B169+1)</f>
        <v/>
      </c>
      <c r="AZ169" s="75">
        <f>$C169*INDEX(Curves!$AD$8:$AD$68,AZ$4-$B169+1)</f>
        <v/>
      </c>
      <c r="BA169" s="75">
        <f>$C169*INDEX(Curves!$AD$8:$AD$68,BA$4-$B169+1)</f>
        <v/>
      </c>
      <c r="BB169" s="75">
        <f>$C169*INDEX(Curves!$AD$8:$AD$68,BB$4-$B169+1)</f>
        <v/>
      </c>
      <c r="BC169" s="75">
        <f>$C169*INDEX(Curves!$AD$8:$AD$68,BC$4-$B169+1)</f>
        <v/>
      </c>
      <c r="BD169" s="75">
        <f>$C169*INDEX(Curves!$AD$8:$AD$68,BD$4-$B169+1)</f>
        <v/>
      </c>
      <c r="BE169" s="75">
        <f>$C169*INDEX(Curves!$AD$8:$AD$68,BE$4-$B169+1)</f>
        <v/>
      </c>
      <c r="BF169" s="75">
        <f>$C169*INDEX(Curves!$AD$8:$AD$68,BF$4-$B169+1)</f>
        <v/>
      </c>
      <c r="BG169" s="75">
        <f>$C169*INDEX(Curves!$AD$8:$AD$68,BG$4-$B169+1)</f>
        <v/>
      </c>
      <c r="BH169" s="75">
        <f>$C169*INDEX(Curves!$AD$8:$AD$68,BH$4-$B169+1)</f>
        <v/>
      </c>
      <c r="BI169" s="75">
        <f>$C169*INDEX(Curves!$AD$8:$AD$68,BI$4-$B169+1)</f>
        <v/>
      </c>
      <c r="BJ169" s="75">
        <f>$C169*INDEX(Curves!$AD$8:$AD$68,BJ$4-$B169+1)</f>
        <v/>
      </c>
      <c r="BK169" s="75">
        <f>$C169*INDEX(Curves!$AD$8:$AD$68,BK$4-$B169+1)</f>
        <v/>
      </c>
      <c r="BL169" s="75">
        <f>$C169*INDEX(Curves!$AD$8:$AD$68,BL$4-$B169+1)</f>
        <v/>
      </c>
    </row>
    <row r="170">
      <c r="A170" s="74" t="inlineStr">
        <is>
          <t>Cohort month 35</t>
        </is>
      </c>
      <c r="B170" s="74" t="n">
        <v>35</v>
      </c>
      <c r="C170" s="17">
        <f>INDEX(Ops!$E$60:$BL$60,1,$B170)</f>
        <v/>
      </c>
      <c r="AN170" s="75">
        <f>$C170*INDEX(Curves!$AD$8:$AD$68,AN$4-$B170+1)</f>
        <v/>
      </c>
      <c r="AO170" s="75">
        <f>$C170*INDEX(Curves!$AD$8:$AD$68,AO$4-$B170+1)</f>
        <v/>
      </c>
      <c r="AP170" s="75">
        <f>$C170*INDEX(Curves!$AD$8:$AD$68,AP$4-$B170+1)</f>
        <v/>
      </c>
      <c r="AQ170" s="75">
        <f>$C170*INDEX(Curves!$AD$8:$AD$68,AQ$4-$B170+1)</f>
        <v/>
      </c>
      <c r="AR170" s="75">
        <f>$C170*INDEX(Curves!$AD$8:$AD$68,AR$4-$B170+1)</f>
        <v/>
      </c>
      <c r="AS170" s="75">
        <f>$C170*INDEX(Curves!$AD$8:$AD$68,AS$4-$B170+1)</f>
        <v/>
      </c>
      <c r="AT170" s="75">
        <f>$C170*INDEX(Curves!$AD$8:$AD$68,AT$4-$B170+1)</f>
        <v/>
      </c>
      <c r="AU170" s="75">
        <f>$C170*INDEX(Curves!$AD$8:$AD$68,AU$4-$B170+1)</f>
        <v/>
      </c>
      <c r="AV170" s="75">
        <f>$C170*INDEX(Curves!$AD$8:$AD$68,AV$4-$B170+1)</f>
        <v/>
      </c>
      <c r="AW170" s="75">
        <f>$C170*INDEX(Curves!$AD$8:$AD$68,AW$4-$B170+1)</f>
        <v/>
      </c>
      <c r="AX170" s="75">
        <f>$C170*INDEX(Curves!$AD$8:$AD$68,AX$4-$B170+1)</f>
        <v/>
      </c>
      <c r="AY170" s="75">
        <f>$C170*INDEX(Curves!$AD$8:$AD$68,AY$4-$B170+1)</f>
        <v/>
      </c>
      <c r="AZ170" s="75">
        <f>$C170*INDEX(Curves!$AD$8:$AD$68,AZ$4-$B170+1)</f>
        <v/>
      </c>
      <c r="BA170" s="75">
        <f>$C170*INDEX(Curves!$AD$8:$AD$68,BA$4-$B170+1)</f>
        <v/>
      </c>
      <c r="BB170" s="75">
        <f>$C170*INDEX(Curves!$AD$8:$AD$68,BB$4-$B170+1)</f>
        <v/>
      </c>
      <c r="BC170" s="75">
        <f>$C170*INDEX(Curves!$AD$8:$AD$68,BC$4-$B170+1)</f>
        <v/>
      </c>
      <c r="BD170" s="75">
        <f>$C170*INDEX(Curves!$AD$8:$AD$68,BD$4-$B170+1)</f>
        <v/>
      </c>
      <c r="BE170" s="75">
        <f>$C170*INDEX(Curves!$AD$8:$AD$68,BE$4-$B170+1)</f>
        <v/>
      </c>
      <c r="BF170" s="75">
        <f>$C170*INDEX(Curves!$AD$8:$AD$68,BF$4-$B170+1)</f>
        <v/>
      </c>
      <c r="BG170" s="75">
        <f>$C170*INDEX(Curves!$AD$8:$AD$68,BG$4-$B170+1)</f>
        <v/>
      </c>
      <c r="BH170" s="75">
        <f>$C170*INDEX(Curves!$AD$8:$AD$68,BH$4-$B170+1)</f>
        <v/>
      </c>
      <c r="BI170" s="75">
        <f>$C170*INDEX(Curves!$AD$8:$AD$68,BI$4-$B170+1)</f>
        <v/>
      </c>
      <c r="BJ170" s="75">
        <f>$C170*INDEX(Curves!$AD$8:$AD$68,BJ$4-$B170+1)</f>
        <v/>
      </c>
      <c r="BK170" s="75">
        <f>$C170*INDEX(Curves!$AD$8:$AD$68,BK$4-$B170+1)</f>
        <v/>
      </c>
      <c r="BL170" s="75">
        <f>$C170*INDEX(Curves!$AD$8:$AD$68,BL$4-$B170+1)</f>
        <v/>
      </c>
    </row>
    <row r="171">
      <c r="A171" s="74" t="inlineStr">
        <is>
          <t>Cohort month 36</t>
        </is>
      </c>
      <c r="B171" s="74" t="n">
        <v>36</v>
      </c>
      <c r="C171" s="17">
        <f>INDEX(Ops!$E$60:$BL$60,1,$B171)</f>
        <v/>
      </c>
      <c r="AO171" s="75">
        <f>$C171*INDEX(Curves!$AD$8:$AD$68,AO$4-$B171+1)</f>
        <v/>
      </c>
      <c r="AP171" s="75">
        <f>$C171*INDEX(Curves!$AD$8:$AD$68,AP$4-$B171+1)</f>
        <v/>
      </c>
      <c r="AQ171" s="75">
        <f>$C171*INDEX(Curves!$AD$8:$AD$68,AQ$4-$B171+1)</f>
        <v/>
      </c>
      <c r="AR171" s="75">
        <f>$C171*INDEX(Curves!$AD$8:$AD$68,AR$4-$B171+1)</f>
        <v/>
      </c>
      <c r="AS171" s="75">
        <f>$C171*INDEX(Curves!$AD$8:$AD$68,AS$4-$B171+1)</f>
        <v/>
      </c>
      <c r="AT171" s="75">
        <f>$C171*INDEX(Curves!$AD$8:$AD$68,AT$4-$B171+1)</f>
        <v/>
      </c>
      <c r="AU171" s="75">
        <f>$C171*INDEX(Curves!$AD$8:$AD$68,AU$4-$B171+1)</f>
        <v/>
      </c>
      <c r="AV171" s="75">
        <f>$C171*INDEX(Curves!$AD$8:$AD$68,AV$4-$B171+1)</f>
        <v/>
      </c>
      <c r="AW171" s="75">
        <f>$C171*INDEX(Curves!$AD$8:$AD$68,AW$4-$B171+1)</f>
        <v/>
      </c>
      <c r="AX171" s="75">
        <f>$C171*INDEX(Curves!$AD$8:$AD$68,AX$4-$B171+1)</f>
        <v/>
      </c>
      <c r="AY171" s="75">
        <f>$C171*INDEX(Curves!$AD$8:$AD$68,AY$4-$B171+1)</f>
        <v/>
      </c>
      <c r="AZ171" s="75">
        <f>$C171*INDEX(Curves!$AD$8:$AD$68,AZ$4-$B171+1)</f>
        <v/>
      </c>
      <c r="BA171" s="75">
        <f>$C171*INDEX(Curves!$AD$8:$AD$68,BA$4-$B171+1)</f>
        <v/>
      </c>
      <c r="BB171" s="75">
        <f>$C171*INDEX(Curves!$AD$8:$AD$68,BB$4-$B171+1)</f>
        <v/>
      </c>
      <c r="BC171" s="75">
        <f>$C171*INDEX(Curves!$AD$8:$AD$68,BC$4-$B171+1)</f>
        <v/>
      </c>
      <c r="BD171" s="75">
        <f>$C171*INDEX(Curves!$AD$8:$AD$68,BD$4-$B171+1)</f>
        <v/>
      </c>
      <c r="BE171" s="75">
        <f>$C171*INDEX(Curves!$AD$8:$AD$68,BE$4-$B171+1)</f>
        <v/>
      </c>
      <c r="BF171" s="75">
        <f>$C171*INDEX(Curves!$AD$8:$AD$68,BF$4-$B171+1)</f>
        <v/>
      </c>
      <c r="BG171" s="75">
        <f>$C171*INDEX(Curves!$AD$8:$AD$68,BG$4-$B171+1)</f>
        <v/>
      </c>
      <c r="BH171" s="75">
        <f>$C171*INDEX(Curves!$AD$8:$AD$68,BH$4-$B171+1)</f>
        <v/>
      </c>
      <c r="BI171" s="75">
        <f>$C171*INDEX(Curves!$AD$8:$AD$68,BI$4-$B171+1)</f>
        <v/>
      </c>
      <c r="BJ171" s="75">
        <f>$C171*INDEX(Curves!$AD$8:$AD$68,BJ$4-$B171+1)</f>
        <v/>
      </c>
      <c r="BK171" s="75">
        <f>$C171*INDEX(Curves!$AD$8:$AD$68,BK$4-$B171+1)</f>
        <v/>
      </c>
      <c r="BL171" s="75">
        <f>$C171*INDEX(Curves!$AD$8:$AD$68,BL$4-$B171+1)</f>
        <v/>
      </c>
    </row>
    <row r="172">
      <c r="A172" s="74" t="inlineStr">
        <is>
          <t>Cohort month 37</t>
        </is>
      </c>
      <c r="B172" s="74" t="n">
        <v>37</v>
      </c>
      <c r="C172" s="17">
        <f>INDEX(Ops!$E$60:$BL$60,1,$B172)</f>
        <v/>
      </c>
      <c r="AP172" s="75">
        <f>$C172*INDEX(Curves!$AD$8:$AD$68,AP$4-$B172+1)</f>
        <v/>
      </c>
      <c r="AQ172" s="75">
        <f>$C172*INDEX(Curves!$AD$8:$AD$68,AQ$4-$B172+1)</f>
        <v/>
      </c>
      <c r="AR172" s="75">
        <f>$C172*INDEX(Curves!$AD$8:$AD$68,AR$4-$B172+1)</f>
        <v/>
      </c>
      <c r="AS172" s="75">
        <f>$C172*INDEX(Curves!$AD$8:$AD$68,AS$4-$B172+1)</f>
        <v/>
      </c>
      <c r="AT172" s="75">
        <f>$C172*INDEX(Curves!$AD$8:$AD$68,AT$4-$B172+1)</f>
        <v/>
      </c>
      <c r="AU172" s="75">
        <f>$C172*INDEX(Curves!$AD$8:$AD$68,AU$4-$B172+1)</f>
        <v/>
      </c>
      <c r="AV172" s="75">
        <f>$C172*INDEX(Curves!$AD$8:$AD$68,AV$4-$B172+1)</f>
        <v/>
      </c>
      <c r="AW172" s="75">
        <f>$C172*INDEX(Curves!$AD$8:$AD$68,AW$4-$B172+1)</f>
        <v/>
      </c>
      <c r="AX172" s="75">
        <f>$C172*INDEX(Curves!$AD$8:$AD$68,AX$4-$B172+1)</f>
        <v/>
      </c>
      <c r="AY172" s="75">
        <f>$C172*INDEX(Curves!$AD$8:$AD$68,AY$4-$B172+1)</f>
        <v/>
      </c>
      <c r="AZ172" s="75">
        <f>$C172*INDEX(Curves!$AD$8:$AD$68,AZ$4-$B172+1)</f>
        <v/>
      </c>
      <c r="BA172" s="75">
        <f>$C172*INDEX(Curves!$AD$8:$AD$68,BA$4-$B172+1)</f>
        <v/>
      </c>
      <c r="BB172" s="75">
        <f>$C172*INDEX(Curves!$AD$8:$AD$68,BB$4-$B172+1)</f>
        <v/>
      </c>
      <c r="BC172" s="75">
        <f>$C172*INDEX(Curves!$AD$8:$AD$68,BC$4-$B172+1)</f>
        <v/>
      </c>
      <c r="BD172" s="75">
        <f>$C172*INDEX(Curves!$AD$8:$AD$68,BD$4-$B172+1)</f>
        <v/>
      </c>
      <c r="BE172" s="75">
        <f>$C172*INDEX(Curves!$AD$8:$AD$68,BE$4-$B172+1)</f>
        <v/>
      </c>
      <c r="BF172" s="75">
        <f>$C172*INDEX(Curves!$AD$8:$AD$68,BF$4-$B172+1)</f>
        <v/>
      </c>
      <c r="BG172" s="75">
        <f>$C172*INDEX(Curves!$AD$8:$AD$68,BG$4-$B172+1)</f>
        <v/>
      </c>
      <c r="BH172" s="75">
        <f>$C172*INDEX(Curves!$AD$8:$AD$68,BH$4-$B172+1)</f>
        <v/>
      </c>
      <c r="BI172" s="75">
        <f>$C172*INDEX(Curves!$AD$8:$AD$68,BI$4-$B172+1)</f>
        <v/>
      </c>
      <c r="BJ172" s="75">
        <f>$C172*INDEX(Curves!$AD$8:$AD$68,BJ$4-$B172+1)</f>
        <v/>
      </c>
      <c r="BK172" s="75">
        <f>$C172*INDEX(Curves!$AD$8:$AD$68,BK$4-$B172+1)</f>
        <v/>
      </c>
      <c r="BL172" s="75">
        <f>$C172*INDEX(Curves!$AD$8:$AD$68,BL$4-$B172+1)</f>
        <v/>
      </c>
    </row>
    <row r="173">
      <c r="A173" s="74" t="inlineStr">
        <is>
          <t>Cohort month 38</t>
        </is>
      </c>
      <c r="B173" s="74" t="n">
        <v>38</v>
      </c>
      <c r="C173" s="17">
        <f>INDEX(Ops!$E$60:$BL$60,1,$B173)</f>
        <v/>
      </c>
      <c r="AQ173" s="75">
        <f>$C173*INDEX(Curves!$AD$8:$AD$68,AQ$4-$B173+1)</f>
        <v/>
      </c>
      <c r="AR173" s="75">
        <f>$C173*INDEX(Curves!$AD$8:$AD$68,AR$4-$B173+1)</f>
        <v/>
      </c>
      <c r="AS173" s="75">
        <f>$C173*INDEX(Curves!$AD$8:$AD$68,AS$4-$B173+1)</f>
        <v/>
      </c>
      <c r="AT173" s="75">
        <f>$C173*INDEX(Curves!$AD$8:$AD$68,AT$4-$B173+1)</f>
        <v/>
      </c>
      <c r="AU173" s="75">
        <f>$C173*INDEX(Curves!$AD$8:$AD$68,AU$4-$B173+1)</f>
        <v/>
      </c>
      <c r="AV173" s="75">
        <f>$C173*INDEX(Curves!$AD$8:$AD$68,AV$4-$B173+1)</f>
        <v/>
      </c>
      <c r="AW173" s="75">
        <f>$C173*INDEX(Curves!$AD$8:$AD$68,AW$4-$B173+1)</f>
        <v/>
      </c>
      <c r="AX173" s="75">
        <f>$C173*INDEX(Curves!$AD$8:$AD$68,AX$4-$B173+1)</f>
        <v/>
      </c>
      <c r="AY173" s="75">
        <f>$C173*INDEX(Curves!$AD$8:$AD$68,AY$4-$B173+1)</f>
        <v/>
      </c>
      <c r="AZ173" s="75">
        <f>$C173*INDEX(Curves!$AD$8:$AD$68,AZ$4-$B173+1)</f>
        <v/>
      </c>
      <c r="BA173" s="75">
        <f>$C173*INDEX(Curves!$AD$8:$AD$68,BA$4-$B173+1)</f>
        <v/>
      </c>
      <c r="BB173" s="75">
        <f>$C173*INDEX(Curves!$AD$8:$AD$68,BB$4-$B173+1)</f>
        <v/>
      </c>
      <c r="BC173" s="75">
        <f>$C173*INDEX(Curves!$AD$8:$AD$68,BC$4-$B173+1)</f>
        <v/>
      </c>
      <c r="BD173" s="75">
        <f>$C173*INDEX(Curves!$AD$8:$AD$68,BD$4-$B173+1)</f>
        <v/>
      </c>
      <c r="BE173" s="75">
        <f>$C173*INDEX(Curves!$AD$8:$AD$68,BE$4-$B173+1)</f>
        <v/>
      </c>
      <c r="BF173" s="75">
        <f>$C173*INDEX(Curves!$AD$8:$AD$68,BF$4-$B173+1)</f>
        <v/>
      </c>
      <c r="BG173" s="75">
        <f>$C173*INDEX(Curves!$AD$8:$AD$68,BG$4-$B173+1)</f>
        <v/>
      </c>
      <c r="BH173" s="75">
        <f>$C173*INDEX(Curves!$AD$8:$AD$68,BH$4-$B173+1)</f>
        <v/>
      </c>
      <c r="BI173" s="75">
        <f>$C173*INDEX(Curves!$AD$8:$AD$68,BI$4-$B173+1)</f>
        <v/>
      </c>
      <c r="BJ173" s="75">
        <f>$C173*INDEX(Curves!$AD$8:$AD$68,BJ$4-$B173+1)</f>
        <v/>
      </c>
      <c r="BK173" s="75">
        <f>$C173*INDEX(Curves!$AD$8:$AD$68,BK$4-$B173+1)</f>
        <v/>
      </c>
      <c r="BL173" s="75">
        <f>$C173*INDEX(Curves!$AD$8:$AD$68,BL$4-$B173+1)</f>
        <v/>
      </c>
    </row>
    <row r="174">
      <c r="A174" s="74" t="inlineStr">
        <is>
          <t>Cohort month 39</t>
        </is>
      </c>
      <c r="B174" s="74" t="n">
        <v>39</v>
      </c>
      <c r="C174" s="17">
        <f>INDEX(Ops!$E$60:$BL$60,1,$B174)</f>
        <v/>
      </c>
      <c r="AR174" s="75">
        <f>$C174*INDEX(Curves!$AD$8:$AD$68,AR$4-$B174+1)</f>
        <v/>
      </c>
      <c r="AS174" s="75">
        <f>$C174*INDEX(Curves!$AD$8:$AD$68,AS$4-$B174+1)</f>
        <v/>
      </c>
      <c r="AT174" s="75">
        <f>$C174*INDEX(Curves!$AD$8:$AD$68,AT$4-$B174+1)</f>
        <v/>
      </c>
      <c r="AU174" s="75">
        <f>$C174*INDEX(Curves!$AD$8:$AD$68,AU$4-$B174+1)</f>
        <v/>
      </c>
      <c r="AV174" s="75">
        <f>$C174*INDEX(Curves!$AD$8:$AD$68,AV$4-$B174+1)</f>
        <v/>
      </c>
      <c r="AW174" s="75">
        <f>$C174*INDEX(Curves!$AD$8:$AD$68,AW$4-$B174+1)</f>
        <v/>
      </c>
      <c r="AX174" s="75">
        <f>$C174*INDEX(Curves!$AD$8:$AD$68,AX$4-$B174+1)</f>
        <v/>
      </c>
      <c r="AY174" s="75">
        <f>$C174*INDEX(Curves!$AD$8:$AD$68,AY$4-$B174+1)</f>
        <v/>
      </c>
      <c r="AZ174" s="75">
        <f>$C174*INDEX(Curves!$AD$8:$AD$68,AZ$4-$B174+1)</f>
        <v/>
      </c>
      <c r="BA174" s="75">
        <f>$C174*INDEX(Curves!$AD$8:$AD$68,BA$4-$B174+1)</f>
        <v/>
      </c>
      <c r="BB174" s="75">
        <f>$C174*INDEX(Curves!$AD$8:$AD$68,BB$4-$B174+1)</f>
        <v/>
      </c>
      <c r="BC174" s="75">
        <f>$C174*INDEX(Curves!$AD$8:$AD$68,BC$4-$B174+1)</f>
        <v/>
      </c>
      <c r="BD174" s="75">
        <f>$C174*INDEX(Curves!$AD$8:$AD$68,BD$4-$B174+1)</f>
        <v/>
      </c>
      <c r="BE174" s="75">
        <f>$C174*INDEX(Curves!$AD$8:$AD$68,BE$4-$B174+1)</f>
        <v/>
      </c>
      <c r="BF174" s="75">
        <f>$C174*INDEX(Curves!$AD$8:$AD$68,BF$4-$B174+1)</f>
        <v/>
      </c>
      <c r="BG174" s="75">
        <f>$C174*INDEX(Curves!$AD$8:$AD$68,BG$4-$B174+1)</f>
        <v/>
      </c>
      <c r="BH174" s="75">
        <f>$C174*INDEX(Curves!$AD$8:$AD$68,BH$4-$B174+1)</f>
        <v/>
      </c>
      <c r="BI174" s="75">
        <f>$C174*INDEX(Curves!$AD$8:$AD$68,BI$4-$B174+1)</f>
        <v/>
      </c>
      <c r="BJ174" s="75">
        <f>$C174*INDEX(Curves!$AD$8:$AD$68,BJ$4-$B174+1)</f>
        <v/>
      </c>
      <c r="BK174" s="75">
        <f>$C174*INDEX(Curves!$AD$8:$AD$68,BK$4-$B174+1)</f>
        <v/>
      </c>
      <c r="BL174" s="75">
        <f>$C174*INDEX(Curves!$AD$8:$AD$68,BL$4-$B174+1)</f>
        <v/>
      </c>
    </row>
    <row r="175">
      <c r="A175" s="74" t="inlineStr">
        <is>
          <t>Cohort month 40</t>
        </is>
      </c>
      <c r="B175" s="74" t="n">
        <v>40</v>
      </c>
      <c r="C175" s="17">
        <f>INDEX(Ops!$E$60:$BL$60,1,$B175)</f>
        <v/>
      </c>
      <c r="AS175" s="75">
        <f>$C175*INDEX(Curves!$AD$8:$AD$68,AS$4-$B175+1)</f>
        <v/>
      </c>
      <c r="AT175" s="75">
        <f>$C175*INDEX(Curves!$AD$8:$AD$68,AT$4-$B175+1)</f>
        <v/>
      </c>
      <c r="AU175" s="75">
        <f>$C175*INDEX(Curves!$AD$8:$AD$68,AU$4-$B175+1)</f>
        <v/>
      </c>
      <c r="AV175" s="75">
        <f>$C175*INDEX(Curves!$AD$8:$AD$68,AV$4-$B175+1)</f>
        <v/>
      </c>
      <c r="AW175" s="75">
        <f>$C175*INDEX(Curves!$AD$8:$AD$68,AW$4-$B175+1)</f>
        <v/>
      </c>
      <c r="AX175" s="75">
        <f>$C175*INDEX(Curves!$AD$8:$AD$68,AX$4-$B175+1)</f>
        <v/>
      </c>
      <c r="AY175" s="75">
        <f>$C175*INDEX(Curves!$AD$8:$AD$68,AY$4-$B175+1)</f>
        <v/>
      </c>
      <c r="AZ175" s="75">
        <f>$C175*INDEX(Curves!$AD$8:$AD$68,AZ$4-$B175+1)</f>
        <v/>
      </c>
      <c r="BA175" s="75">
        <f>$C175*INDEX(Curves!$AD$8:$AD$68,BA$4-$B175+1)</f>
        <v/>
      </c>
      <c r="BB175" s="75">
        <f>$C175*INDEX(Curves!$AD$8:$AD$68,BB$4-$B175+1)</f>
        <v/>
      </c>
      <c r="BC175" s="75">
        <f>$C175*INDEX(Curves!$AD$8:$AD$68,BC$4-$B175+1)</f>
        <v/>
      </c>
      <c r="BD175" s="75">
        <f>$C175*INDEX(Curves!$AD$8:$AD$68,BD$4-$B175+1)</f>
        <v/>
      </c>
      <c r="BE175" s="75">
        <f>$C175*INDEX(Curves!$AD$8:$AD$68,BE$4-$B175+1)</f>
        <v/>
      </c>
      <c r="BF175" s="75">
        <f>$C175*INDEX(Curves!$AD$8:$AD$68,BF$4-$B175+1)</f>
        <v/>
      </c>
      <c r="BG175" s="75">
        <f>$C175*INDEX(Curves!$AD$8:$AD$68,BG$4-$B175+1)</f>
        <v/>
      </c>
      <c r="BH175" s="75">
        <f>$C175*INDEX(Curves!$AD$8:$AD$68,BH$4-$B175+1)</f>
        <v/>
      </c>
      <c r="BI175" s="75">
        <f>$C175*INDEX(Curves!$AD$8:$AD$68,BI$4-$B175+1)</f>
        <v/>
      </c>
      <c r="BJ175" s="75">
        <f>$C175*INDEX(Curves!$AD$8:$AD$68,BJ$4-$B175+1)</f>
        <v/>
      </c>
      <c r="BK175" s="75">
        <f>$C175*INDEX(Curves!$AD$8:$AD$68,BK$4-$B175+1)</f>
        <v/>
      </c>
      <c r="BL175" s="75">
        <f>$C175*INDEX(Curves!$AD$8:$AD$68,BL$4-$B175+1)</f>
        <v/>
      </c>
    </row>
    <row r="176">
      <c r="A176" s="74" t="inlineStr">
        <is>
          <t>Cohort month 41</t>
        </is>
      </c>
      <c r="B176" s="74" t="n">
        <v>41</v>
      </c>
      <c r="C176" s="17">
        <f>INDEX(Ops!$E$60:$BL$60,1,$B176)</f>
        <v/>
      </c>
      <c r="AT176" s="75">
        <f>$C176*INDEX(Curves!$AD$8:$AD$68,AT$4-$B176+1)</f>
        <v/>
      </c>
      <c r="AU176" s="75">
        <f>$C176*INDEX(Curves!$AD$8:$AD$68,AU$4-$B176+1)</f>
        <v/>
      </c>
      <c r="AV176" s="75">
        <f>$C176*INDEX(Curves!$AD$8:$AD$68,AV$4-$B176+1)</f>
        <v/>
      </c>
      <c r="AW176" s="75">
        <f>$C176*INDEX(Curves!$AD$8:$AD$68,AW$4-$B176+1)</f>
        <v/>
      </c>
      <c r="AX176" s="75">
        <f>$C176*INDEX(Curves!$AD$8:$AD$68,AX$4-$B176+1)</f>
        <v/>
      </c>
      <c r="AY176" s="75">
        <f>$C176*INDEX(Curves!$AD$8:$AD$68,AY$4-$B176+1)</f>
        <v/>
      </c>
      <c r="AZ176" s="75">
        <f>$C176*INDEX(Curves!$AD$8:$AD$68,AZ$4-$B176+1)</f>
        <v/>
      </c>
      <c r="BA176" s="75">
        <f>$C176*INDEX(Curves!$AD$8:$AD$68,BA$4-$B176+1)</f>
        <v/>
      </c>
      <c r="BB176" s="75">
        <f>$C176*INDEX(Curves!$AD$8:$AD$68,BB$4-$B176+1)</f>
        <v/>
      </c>
      <c r="BC176" s="75">
        <f>$C176*INDEX(Curves!$AD$8:$AD$68,BC$4-$B176+1)</f>
        <v/>
      </c>
      <c r="BD176" s="75">
        <f>$C176*INDEX(Curves!$AD$8:$AD$68,BD$4-$B176+1)</f>
        <v/>
      </c>
      <c r="BE176" s="75">
        <f>$C176*INDEX(Curves!$AD$8:$AD$68,BE$4-$B176+1)</f>
        <v/>
      </c>
      <c r="BF176" s="75">
        <f>$C176*INDEX(Curves!$AD$8:$AD$68,BF$4-$B176+1)</f>
        <v/>
      </c>
      <c r="BG176" s="75">
        <f>$C176*INDEX(Curves!$AD$8:$AD$68,BG$4-$B176+1)</f>
        <v/>
      </c>
      <c r="BH176" s="75">
        <f>$C176*INDEX(Curves!$AD$8:$AD$68,BH$4-$B176+1)</f>
        <v/>
      </c>
      <c r="BI176" s="75">
        <f>$C176*INDEX(Curves!$AD$8:$AD$68,BI$4-$B176+1)</f>
        <v/>
      </c>
      <c r="BJ176" s="75">
        <f>$C176*INDEX(Curves!$AD$8:$AD$68,BJ$4-$B176+1)</f>
        <v/>
      </c>
      <c r="BK176" s="75">
        <f>$C176*INDEX(Curves!$AD$8:$AD$68,BK$4-$B176+1)</f>
        <v/>
      </c>
      <c r="BL176" s="75">
        <f>$C176*INDEX(Curves!$AD$8:$AD$68,BL$4-$B176+1)</f>
        <v/>
      </c>
    </row>
    <row r="177">
      <c r="A177" s="74" t="inlineStr">
        <is>
          <t>Cohort month 42</t>
        </is>
      </c>
      <c r="B177" s="74" t="n">
        <v>42</v>
      </c>
      <c r="C177" s="17">
        <f>INDEX(Ops!$E$60:$BL$60,1,$B177)</f>
        <v/>
      </c>
      <c r="AU177" s="75">
        <f>$C177*INDEX(Curves!$AD$8:$AD$68,AU$4-$B177+1)</f>
        <v/>
      </c>
      <c r="AV177" s="75">
        <f>$C177*INDEX(Curves!$AD$8:$AD$68,AV$4-$B177+1)</f>
        <v/>
      </c>
      <c r="AW177" s="75">
        <f>$C177*INDEX(Curves!$AD$8:$AD$68,AW$4-$B177+1)</f>
        <v/>
      </c>
      <c r="AX177" s="75">
        <f>$C177*INDEX(Curves!$AD$8:$AD$68,AX$4-$B177+1)</f>
        <v/>
      </c>
      <c r="AY177" s="75">
        <f>$C177*INDEX(Curves!$AD$8:$AD$68,AY$4-$B177+1)</f>
        <v/>
      </c>
      <c r="AZ177" s="75">
        <f>$C177*INDEX(Curves!$AD$8:$AD$68,AZ$4-$B177+1)</f>
        <v/>
      </c>
      <c r="BA177" s="75">
        <f>$C177*INDEX(Curves!$AD$8:$AD$68,BA$4-$B177+1)</f>
        <v/>
      </c>
      <c r="BB177" s="75">
        <f>$C177*INDEX(Curves!$AD$8:$AD$68,BB$4-$B177+1)</f>
        <v/>
      </c>
      <c r="BC177" s="75">
        <f>$C177*INDEX(Curves!$AD$8:$AD$68,BC$4-$B177+1)</f>
        <v/>
      </c>
      <c r="BD177" s="75">
        <f>$C177*INDEX(Curves!$AD$8:$AD$68,BD$4-$B177+1)</f>
        <v/>
      </c>
      <c r="BE177" s="75">
        <f>$C177*INDEX(Curves!$AD$8:$AD$68,BE$4-$B177+1)</f>
        <v/>
      </c>
      <c r="BF177" s="75">
        <f>$C177*INDEX(Curves!$AD$8:$AD$68,BF$4-$B177+1)</f>
        <v/>
      </c>
      <c r="BG177" s="75">
        <f>$C177*INDEX(Curves!$AD$8:$AD$68,BG$4-$B177+1)</f>
        <v/>
      </c>
      <c r="BH177" s="75">
        <f>$C177*INDEX(Curves!$AD$8:$AD$68,BH$4-$B177+1)</f>
        <v/>
      </c>
      <c r="BI177" s="75">
        <f>$C177*INDEX(Curves!$AD$8:$AD$68,BI$4-$B177+1)</f>
        <v/>
      </c>
      <c r="BJ177" s="75">
        <f>$C177*INDEX(Curves!$AD$8:$AD$68,BJ$4-$B177+1)</f>
        <v/>
      </c>
      <c r="BK177" s="75">
        <f>$C177*INDEX(Curves!$AD$8:$AD$68,BK$4-$B177+1)</f>
        <v/>
      </c>
      <c r="BL177" s="75">
        <f>$C177*INDEX(Curves!$AD$8:$AD$68,BL$4-$B177+1)</f>
        <v/>
      </c>
    </row>
    <row r="178">
      <c r="A178" s="74" t="inlineStr">
        <is>
          <t>Cohort month 43</t>
        </is>
      </c>
      <c r="B178" s="74" t="n">
        <v>43</v>
      </c>
      <c r="C178" s="17">
        <f>INDEX(Ops!$E$60:$BL$60,1,$B178)</f>
        <v/>
      </c>
      <c r="AV178" s="75">
        <f>$C178*INDEX(Curves!$AD$8:$AD$68,AV$4-$B178+1)</f>
        <v/>
      </c>
      <c r="AW178" s="75">
        <f>$C178*INDEX(Curves!$AD$8:$AD$68,AW$4-$B178+1)</f>
        <v/>
      </c>
      <c r="AX178" s="75">
        <f>$C178*INDEX(Curves!$AD$8:$AD$68,AX$4-$B178+1)</f>
        <v/>
      </c>
      <c r="AY178" s="75">
        <f>$C178*INDEX(Curves!$AD$8:$AD$68,AY$4-$B178+1)</f>
        <v/>
      </c>
      <c r="AZ178" s="75">
        <f>$C178*INDEX(Curves!$AD$8:$AD$68,AZ$4-$B178+1)</f>
        <v/>
      </c>
      <c r="BA178" s="75">
        <f>$C178*INDEX(Curves!$AD$8:$AD$68,BA$4-$B178+1)</f>
        <v/>
      </c>
      <c r="BB178" s="75">
        <f>$C178*INDEX(Curves!$AD$8:$AD$68,BB$4-$B178+1)</f>
        <v/>
      </c>
      <c r="BC178" s="75">
        <f>$C178*INDEX(Curves!$AD$8:$AD$68,BC$4-$B178+1)</f>
        <v/>
      </c>
      <c r="BD178" s="75">
        <f>$C178*INDEX(Curves!$AD$8:$AD$68,BD$4-$B178+1)</f>
        <v/>
      </c>
      <c r="BE178" s="75">
        <f>$C178*INDEX(Curves!$AD$8:$AD$68,BE$4-$B178+1)</f>
        <v/>
      </c>
      <c r="BF178" s="75">
        <f>$C178*INDEX(Curves!$AD$8:$AD$68,BF$4-$B178+1)</f>
        <v/>
      </c>
      <c r="BG178" s="75">
        <f>$C178*INDEX(Curves!$AD$8:$AD$68,BG$4-$B178+1)</f>
        <v/>
      </c>
      <c r="BH178" s="75">
        <f>$C178*INDEX(Curves!$AD$8:$AD$68,BH$4-$B178+1)</f>
        <v/>
      </c>
      <c r="BI178" s="75">
        <f>$C178*INDEX(Curves!$AD$8:$AD$68,BI$4-$B178+1)</f>
        <v/>
      </c>
      <c r="BJ178" s="75">
        <f>$C178*INDEX(Curves!$AD$8:$AD$68,BJ$4-$B178+1)</f>
        <v/>
      </c>
      <c r="BK178" s="75">
        <f>$C178*INDEX(Curves!$AD$8:$AD$68,BK$4-$B178+1)</f>
        <v/>
      </c>
      <c r="BL178" s="75">
        <f>$C178*INDEX(Curves!$AD$8:$AD$68,BL$4-$B178+1)</f>
        <v/>
      </c>
    </row>
    <row r="179">
      <c r="A179" s="74" t="inlineStr">
        <is>
          <t>Cohort month 44</t>
        </is>
      </c>
      <c r="B179" s="74" t="n">
        <v>44</v>
      </c>
      <c r="C179" s="17">
        <f>INDEX(Ops!$E$60:$BL$60,1,$B179)</f>
        <v/>
      </c>
      <c r="AW179" s="75">
        <f>$C179*INDEX(Curves!$AD$8:$AD$68,AW$4-$B179+1)</f>
        <v/>
      </c>
      <c r="AX179" s="75">
        <f>$C179*INDEX(Curves!$AD$8:$AD$68,AX$4-$B179+1)</f>
        <v/>
      </c>
      <c r="AY179" s="75">
        <f>$C179*INDEX(Curves!$AD$8:$AD$68,AY$4-$B179+1)</f>
        <v/>
      </c>
      <c r="AZ179" s="75">
        <f>$C179*INDEX(Curves!$AD$8:$AD$68,AZ$4-$B179+1)</f>
        <v/>
      </c>
      <c r="BA179" s="75">
        <f>$C179*INDEX(Curves!$AD$8:$AD$68,BA$4-$B179+1)</f>
        <v/>
      </c>
      <c r="BB179" s="75">
        <f>$C179*INDEX(Curves!$AD$8:$AD$68,BB$4-$B179+1)</f>
        <v/>
      </c>
      <c r="BC179" s="75">
        <f>$C179*INDEX(Curves!$AD$8:$AD$68,BC$4-$B179+1)</f>
        <v/>
      </c>
      <c r="BD179" s="75">
        <f>$C179*INDEX(Curves!$AD$8:$AD$68,BD$4-$B179+1)</f>
        <v/>
      </c>
      <c r="BE179" s="75">
        <f>$C179*INDEX(Curves!$AD$8:$AD$68,BE$4-$B179+1)</f>
        <v/>
      </c>
      <c r="BF179" s="75">
        <f>$C179*INDEX(Curves!$AD$8:$AD$68,BF$4-$B179+1)</f>
        <v/>
      </c>
      <c r="BG179" s="75">
        <f>$C179*INDEX(Curves!$AD$8:$AD$68,BG$4-$B179+1)</f>
        <v/>
      </c>
      <c r="BH179" s="75">
        <f>$C179*INDEX(Curves!$AD$8:$AD$68,BH$4-$B179+1)</f>
        <v/>
      </c>
      <c r="BI179" s="75">
        <f>$C179*INDEX(Curves!$AD$8:$AD$68,BI$4-$B179+1)</f>
        <v/>
      </c>
      <c r="BJ179" s="75">
        <f>$C179*INDEX(Curves!$AD$8:$AD$68,BJ$4-$B179+1)</f>
        <v/>
      </c>
      <c r="BK179" s="75">
        <f>$C179*INDEX(Curves!$AD$8:$AD$68,BK$4-$B179+1)</f>
        <v/>
      </c>
      <c r="BL179" s="75">
        <f>$C179*INDEX(Curves!$AD$8:$AD$68,BL$4-$B179+1)</f>
        <v/>
      </c>
    </row>
    <row r="180">
      <c r="A180" s="74" t="inlineStr">
        <is>
          <t>Cohort month 45</t>
        </is>
      </c>
      <c r="B180" s="74" t="n">
        <v>45</v>
      </c>
      <c r="C180" s="17">
        <f>INDEX(Ops!$E$60:$BL$60,1,$B180)</f>
        <v/>
      </c>
      <c r="AX180" s="75">
        <f>$C180*INDEX(Curves!$AD$8:$AD$68,AX$4-$B180+1)</f>
        <v/>
      </c>
      <c r="AY180" s="75">
        <f>$C180*INDEX(Curves!$AD$8:$AD$68,AY$4-$B180+1)</f>
        <v/>
      </c>
      <c r="AZ180" s="75">
        <f>$C180*INDEX(Curves!$AD$8:$AD$68,AZ$4-$B180+1)</f>
        <v/>
      </c>
      <c r="BA180" s="75">
        <f>$C180*INDEX(Curves!$AD$8:$AD$68,BA$4-$B180+1)</f>
        <v/>
      </c>
      <c r="BB180" s="75">
        <f>$C180*INDEX(Curves!$AD$8:$AD$68,BB$4-$B180+1)</f>
        <v/>
      </c>
      <c r="BC180" s="75">
        <f>$C180*INDEX(Curves!$AD$8:$AD$68,BC$4-$B180+1)</f>
        <v/>
      </c>
      <c r="BD180" s="75">
        <f>$C180*INDEX(Curves!$AD$8:$AD$68,BD$4-$B180+1)</f>
        <v/>
      </c>
      <c r="BE180" s="75">
        <f>$C180*INDEX(Curves!$AD$8:$AD$68,BE$4-$B180+1)</f>
        <v/>
      </c>
      <c r="BF180" s="75">
        <f>$C180*INDEX(Curves!$AD$8:$AD$68,BF$4-$B180+1)</f>
        <v/>
      </c>
      <c r="BG180" s="75">
        <f>$C180*INDEX(Curves!$AD$8:$AD$68,BG$4-$B180+1)</f>
        <v/>
      </c>
      <c r="BH180" s="75">
        <f>$C180*INDEX(Curves!$AD$8:$AD$68,BH$4-$B180+1)</f>
        <v/>
      </c>
      <c r="BI180" s="75">
        <f>$C180*INDEX(Curves!$AD$8:$AD$68,BI$4-$B180+1)</f>
        <v/>
      </c>
      <c r="BJ180" s="75">
        <f>$C180*INDEX(Curves!$AD$8:$AD$68,BJ$4-$B180+1)</f>
        <v/>
      </c>
      <c r="BK180" s="75">
        <f>$C180*INDEX(Curves!$AD$8:$AD$68,BK$4-$B180+1)</f>
        <v/>
      </c>
      <c r="BL180" s="75">
        <f>$C180*INDEX(Curves!$AD$8:$AD$68,BL$4-$B180+1)</f>
        <v/>
      </c>
    </row>
    <row r="181">
      <c r="A181" s="74" t="inlineStr">
        <is>
          <t>Cohort month 46</t>
        </is>
      </c>
      <c r="B181" s="74" t="n">
        <v>46</v>
      </c>
      <c r="C181" s="17">
        <f>INDEX(Ops!$E$60:$BL$60,1,$B181)</f>
        <v/>
      </c>
      <c r="AY181" s="75">
        <f>$C181*INDEX(Curves!$AD$8:$AD$68,AY$4-$B181+1)</f>
        <v/>
      </c>
      <c r="AZ181" s="75">
        <f>$C181*INDEX(Curves!$AD$8:$AD$68,AZ$4-$B181+1)</f>
        <v/>
      </c>
      <c r="BA181" s="75">
        <f>$C181*INDEX(Curves!$AD$8:$AD$68,BA$4-$B181+1)</f>
        <v/>
      </c>
      <c r="BB181" s="75">
        <f>$C181*INDEX(Curves!$AD$8:$AD$68,BB$4-$B181+1)</f>
        <v/>
      </c>
      <c r="BC181" s="75">
        <f>$C181*INDEX(Curves!$AD$8:$AD$68,BC$4-$B181+1)</f>
        <v/>
      </c>
      <c r="BD181" s="75">
        <f>$C181*INDEX(Curves!$AD$8:$AD$68,BD$4-$B181+1)</f>
        <v/>
      </c>
      <c r="BE181" s="75">
        <f>$C181*INDEX(Curves!$AD$8:$AD$68,BE$4-$B181+1)</f>
        <v/>
      </c>
      <c r="BF181" s="75">
        <f>$C181*INDEX(Curves!$AD$8:$AD$68,BF$4-$B181+1)</f>
        <v/>
      </c>
      <c r="BG181" s="75">
        <f>$C181*INDEX(Curves!$AD$8:$AD$68,BG$4-$B181+1)</f>
        <v/>
      </c>
      <c r="BH181" s="75">
        <f>$C181*INDEX(Curves!$AD$8:$AD$68,BH$4-$B181+1)</f>
        <v/>
      </c>
      <c r="BI181" s="75">
        <f>$C181*INDEX(Curves!$AD$8:$AD$68,BI$4-$B181+1)</f>
        <v/>
      </c>
      <c r="BJ181" s="75">
        <f>$C181*INDEX(Curves!$AD$8:$AD$68,BJ$4-$B181+1)</f>
        <v/>
      </c>
      <c r="BK181" s="75">
        <f>$C181*INDEX(Curves!$AD$8:$AD$68,BK$4-$B181+1)</f>
        <v/>
      </c>
      <c r="BL181" s="75">
        <f>$C181*INDEX(Curves!$AD$8:$AD$68,BL$4-$B181+1)</f>
        <v/>
      </c>
    </row>
    <row r="182">
      <c r="A182" s="74" t="inlineStr">
        <is>
          <t>Cohort month 47</t>
        </is>
      </c>
      <c r="B182" s="74" t="n">
        <v>47</v>
      </c>
      <c r="C182" s="17">
        <f>INDEX(Ops!$E$60:$BL$60,1,$B182)</f>
        <v/>
      </c>
      <c r="AZ182" s="75">
        <f>$C182*INDEX(Curves!$AD$8:$AD$68,AZ$4-$B182+1)</f>
        <v/>
      </c>
      <c r="BA182" s="75">
        <f>$C182*INDEX(Curves!$AD$8:$AD$68,BA$4-$B182+1)</f>
        <v/>
      </c>
      <c r="BB182" s="75">
        <f>$C182*INDEX(Curves!$AD$8:$AD$68,BB$4-$B182+1)</f>
        <v/>
      </c>
      <c r="BC182" s="75">
        <f>$C182*INDEX(Curves!$AD$8:$AD$68,BC$4-$B182+1)</f>
        <v/>
      </c>
      <c r="BD182" s="75">
        <f>$C182*INDEX(Curves!$AD$8:$AD$68,BD$4-$B182+1)</f>
        <v/>
      </c>
      <c r="BE182" s="75">
        <f>$C182*INDEX(Curves!$AD$8:$AD$68,BE$4-$B182+1)</f>
        <v/>
      </c>
      <c r="BF182" s="75">
        <f>$C182*INDEX(Curves!$AD$8:$AD$68,BF$4-$B182+1)</f>
        <v/>
      </c>
      <c r="BG182" s="75">
        <f>$C182*INDEX(Curves!$AD$8:$AD$68,BG$4-$B182+1)</f>
        <v/>
      </c>
      <c r="BH182" s="75">
        <f>$C182*INDEX(Curves!$AD$8:$AD$68,BH$4-$B182+1)</f>
        <v/>
      </c>
      <c r="BI182" s="75">
        <f>$C182*INDEX(Curves!$AD$8:$AD$68,BI$4-$B182+1)</f>
        <v/>
      </c>
      <c r="BJ182" s="75">
        <f>$C182*INDEX(Curves!$AD$8:$AD$68,BJ$4-$B182+1)</f>
        <v/>
      </c>
      <c r="BK182" s="75">
        <f>$C182*INDEX(Curves!$AD$8:$AD$68,BK$4-$B182+1)</f>
        <v/>
      </c>
      <c r="BL182" s="75">
        <f>$C182*INDEX(Curves!$AD$8:$AD$68,BL$4-$B182+1)</f>
        <v/>
      </c>
    </row>
    <row r="183">
      <c r="A183" s="74" t="inlineStr">
        <is>
          <t>Cohort month 48</t>
        </is>
      </c>
      <c r="B183" s="74" t="n">
        <v>48</v>
      </c>
      <c r="C183" s="17">
        <f>INDEX(Ops!$E$60:$BL$60,1,$B183)</f>
        <v/>
      </c>
      <c r="BA183" s="75">
        <f>$C183*INDEX(Curves!$AD$8:$AD$68,BA$4-$B183+1)</f>
        <v/>
      </c>
      <c r="BB183" s="75">
        <f>$C183*INDEX(Curves!$AD$8:$AD$68,BB$4-$B183+1)</f>
        <v/>
      </c>
      <c r="BC183" s="75">
        <f>$C183*INDEX(Curves!$AD$8:$AD$68,BC$4-$B183+1)</f>
        <v/>
      </c>
      <c r="BD183" s="75">
        <f>$C183*INDEX(Curves!$AD$8:$AD$68,BD$4-$B183+1)</f>
        <v/>
      </c>
      <c r="BE183" s="75">
        <f>$C183*INDEX(Curves!$AD$8:$AD$68,BE$4-$B183+1)</f>
        <v/>
      </c>
      <c r="BF183" s="75">
        <f>$C183*INDEX(Curves!$AD$8:$AD$68,BF$4-$B183+1)</f>
        <v/>
      </c>
      <c r="BG183" s="75">
        <f>$C183*INDEX(Curves!$AD$8:$AD$68,BG$4-$B183+1)</f>
        <v/>
      </c>
      <c r="BH183" s="75">
        <f>$C183*INDEX(Curves!$AD$8:$AD$68,BH$4-$B183+1)</f>
        <v/>
      </c>
      <c r="BI183" s="75">
        <f>$C183*INDEX(Curves!$AD$8:$AD$68,BI$4-$B183+1)</f>
        <v/>
      </c>
      <c r="BJ183" s="75">
        <f>$C183*INDEX(Curves!$AD$8:$AD$68,BJ$4-$B183+1)</f>
        <v/>
      </c>
      <c r="BK183" s="75">
        <f>$C183*INDEX(Curves!$AD$8:$AD$68,BK$4-$B183+1)</f>
        <v/>
      </c>
      <c r="BL183" s="75">
        <f>$C183*INDEX(Curves!$AD$8:$AD$68,BL$4-$B183+1)</f>
        <v/>
      </c>
    </row>
    <row r="184">
      <c r="A184" s="74" t="inlineStr">
        <is>
          <t>Cohort month 49</t>
        </is>
      </c>
      <c r="B184" s="74" t="n">
        <v>49</v>
      </c>
      <c r="C184" s="17">
        <f>INDEX(Ops!$E$60:$BL$60,1,$B184)</f>
        <v/>
      </c>
      <c r="BB184" s="75">
        <f>$C184*INDEX(Curves!$AD$8:$AD$68,BB$4-$B184+1)</f>
        <v/>
      </c>
      <c r="BC184" s="75">
        <f>$C184*INDEX(Curves!$AD$8:$AD$68,BC$4-$B184+1)</f>
        <v/>
      </c>
      <c r="BD184" s="75">
        <f>$C184*INDEX(Curves!$AD$8:$AD$68,BD$4-$B184+1)</f>
        <v/>
      </c>
      <c r="BE184" s="75">
        <f>$C184*INDEX(Curves!$AD$8:$AD$68,BE$4-$B184+1)</f>
        <v/>
      </c>
      <c r="BF184" s="75">
        <f>$C184*INDEX(Curves!$AD$8:$AD$68,BF$4-$B184+1)</f>
        <v/>
      </c>
      <c r="BG184" s="75">
        <f>$C184*INDEX(Curves!$AD$8:$AD$68,BG$4-$B184+1)</f>
        <v/>
      </c>
      <c r="BH184" s="75">
        <f>$C184*INDEX(Curves!$AD$8:$AD$68,BH$4-$B184+1)</f>
        <v/>
      </c>
      <c r="BI184" s="75">
        <f>$C184*INDEX(Curves!$AD$8:$AD$68,BI$4-$B184+1)</f>
        <v/>
      </c>
      <c r="BJ184" s="75">
        <f>$C184*INDEX(Curves!$AD$8:$AD$68,BJ$4-$B184+1)</f>
        <v/>
      </c>
      <c r="BK184" s="75">
        <f>$C184*INDEX(Curves!$AD$8:$AD$68,BK$4-$B184+1)</f>
        <v/>
      </c>
      <c r="BL184" s="75">
        <f>$C184*INDEX(Curves!$AD$8:$AD$68,BL$4-$B184+1)</f>
        <v/>
      </c>
    </row>
    <row r="185">
      <c r="A185" s="74" t="inlineStr">
        <is>
          <t>Cohort month 50</t>
        </is>
      </c>
      <c r="B185" s="74" t="n">
        <v>50</v>
      </c>
      <c r="C185" s="17">
        <f>INDEX(Ops!$E$60:$BL$60,1,$B185)</f>
        <v/>
      </c>
      <c r="BC185" s="75">
        <f>$C185*INDEX(Curves!$AD$8:$AD$68,BC$4-$B185+1)</f>
        <v/>
      </c>
      <c r="BD185" s="75">
        <f>$C185*INDEX(Curves!$AD$8:$AD$68,BD$4-$B185+1)</f>
        <v/>
      </c>
      <c r="BE185" s="75">
        <f>$C185*INDEX(Curves!$AD$8:$AD$68,BE$4-$B185+1)</f>
        <v/>
      </c>
      <c r="BF185" s="75">
        <f>$C185*INDEX(Curves!$AD$8:$AD$68,BF$4-$B185+1)</f>
        <v/>
      </c>
      <c r="BG185" s="75">
        <f>$C185*INDEX(Curves!$AD$8:$AD$68,BG$4-$B185+1)</f>
        <v/>
      </c>
      <c r="BH185" s="75">
        <f>$C185*INDEX(Curves!$AD$8:$AD$68,BH$4-$B185+1)</f>
        <v/>
      </c>
      <c r="BI185" s="75">
        <f>$C185*INDEX(Curves!$AD$8:$AD$68,BI$4-$B185+1)</f>
        <v/>
      </c>
      <c r="BJ185" s="75">
        <f>$C185*INDEX(Curves!$AD$8:$AD$68,BJ$4-$B185+1)</f>
        <v/>
      </c>
      <c r="BK185" s="75">
        <f>$C185*INDEX(Curves!$AD$8:$AD$68,BK$4-$B185+1)</f>
        <v/>
      </c>
      <c r="BL185" s="75">
        <f>$C185*INDEX(Curves!$AD$8:$AD$68,BL$4-$B185+1)</f>
        <v/>
      </c>
    </row>
    <row r="186">
      <c r="A186" s="74" t="inlineStr">
        <is>
          <t>Cohort month 51</t>
        </is>
      </c>
      <c r="B186" s="74" t="n">
        <v>51</v>
      </c>
      <c r="C186" s="17">
        <f>INDEX(Ops!$E$60:$BL$60,1,$B186)</f>
        <v/>
      </c>
      <c r="BD186" s="75">
        <f>$C186*INDEX(Curves!$AD$8:$AD$68,BD$4-$B186+1)</f>
        <v/>
      </c>
      <c r="BE186" s="75">
        <f>$C186*INDEX(Curves!$AD$8:$AD$68,BE$4-$B186+1)</f>
        <v/>
      </c>
      <c r="BF186" s="75">
        <f>$C186*INDEX(Curves!$AD$8:$AD$68,BF$4-$B186+1)</f>
        <v/>
      </c>
      <c r="BG186" s="75">
        <f>$C186*INDEX(Curves!$AD$8:$AD$68,BG$4-$B186+1)</f>
        <v/>
      </c>
      <c r="BH186" s="75">
        <f>$C186*INDEX(Curves!$AD$8:$AD$68,BH$4-$B186+1)</f>
        <v/>
      </c>
      <c r="BI186" s="75">
        <f>$C186*INDEX(Curves!$AD$8:$AD$68,BI$4-$B186+1)</f>
        <v/>
      </c>
      <c r="BJ186" s="75">
        <f>$C186*INDEX(Curves!$AD$8:$AD$68,BJ$4-$B186+1)</f>
        <v/>
      </c>
      <c r="BK186" s="75">
        <f>$C186*INDEX(Curves!$AD$8:$AD$68,BK$4-$B186+1)</f>
        <v/>
      </c>
      <c r="BL186" s="75">
        <f>$C186*INDEX(Curves!$AD$8:$AD$68,BL$4-$B186+1)</f>
        <v/>
      </c>
    </row>
    <row r="187">
      <c r="A187" s="74" t="inlineStr">
        <is>
          <t>Cohort month 52</t>
        </is>
      </c>
      <c r="B187" s="74" t="n">
        <v>52</v>
      </c>
      <c r="C187" s="17">
        <f>INDEX(Ops!$E$60:$BL$60,1,$B187)</f>
        <v/>
      </c>
      <c r="BE187" s="75">
        <f>$C187*INDEX(Curves!$AD$8:$AD$68,BE$4-$B187+1)</f>
        <v/>
      </c>
      <c r="BF187" s="75">
        <f>$C187*INDEX(Curves!$AD$8:$AD$68,BF$4-$B187+1)</f>
        <v/>
      </c>
      <c r="BG187" s="75">
        <f>$C187*INDEX(Curves!$AD$8:$AD$68,BG$4-$B187+1)</f>
        <v/>
      </c>
      <c r="BH187" s="75">
        <f>$C187*INDEX(Curves!$AD$8:$AD$68,BH$4-$B187+1)</f>
        <v/>
      </c>
      <c r="BI187" s="75">
        <f>$C187*INDEX(Curves!$AD$8:$AD$68,BI$4-$B187+1)</f>
        <v/>
      </c>
      <c r="BJ187" s="75">
        <f>$C187*INDEX(Curves!$AD$8:$AD$68,BJ$4-$B187+1)</f>
        <v/>
      </c>
      <c r="BK187" s="75">
        <f>$C187*INDEX(Curves!$AD$8:$AD$68,BK$4-$B187+1)</f>
        <v/>
      </c>
      <c r="BL187" s="75">
        <f>$C187*INDEX(Curves!$AD$8:$AD$68,BL$4-$B187+1)</f>
        <v/>
      </c>
    </row>
    <row r="188">
      <c r="A188" s="74" t="inlineStr">
        <is>
          <t>Cohort month 53</t>
        </is>
      </c>
      <c r="B188" s="74" t="n">
        <v>53</v>
      </c>
      <c r="C188" s="17">
        <f>INDEX(Ops!$E$60:$BL$60,1,$B188)</f>
        <v/>
      </c>
      <c r="BF188" s="75">
        <f>$C188*INDEX(Curves!$AD$8:$AD$68,BF$4-$B188+1)</f>
        <v/>
      </c>
      <c r="BG188" s="75">
        <f>$C188*INDEX(Curves!$AD$8:$AD$68,BG$4-$B188+1)</f>
        <v/>
      </c>
      <c r="BH188" s="75">
        <f>$C188*INDEX(Curves!$AD$8:$AD$68,BH$4-$B188+1)</f>
        <v/>
      </c>
      <c r="BI188" s="75">
        <f>$C188*INDEX(Curves!$AD$8:$AD$68,BI$4-$B188+1)</f>
        <v/>
      </c>
      <c r="BJ188" s="75">
        <f>$C188*INDEX(Curves!$AD$8:$AD$68,BJ$4-$B188+1)</f>
        <v/>
      </c>
      <c r="BK188" s="75">
        <f>$C188*INDEX(Curves!$AD$8:$AD$68,BK$4-$B188+1)</f>
        <v/>
      </c>
      <c r="BL188" s="75">
        <f>$C188*INDEX(Curves!$AD$8:$AD$68,BL$4-$B188+1)</f>
        <v/>
      </c>
    </row>
    <row r="189">
      <c r="A189" s="74" t="inlineStr">
        <is>
          <t>Cohort month 54</t>
        </is>
      </c>
      <c r="B189" s="74" t="n">
        <v>54</v>
      </c>
      <c r="C189" s="17">
        <f>INDEX(Ops!$E$60:$BL$60,1,$B189)</f>
        <v/>
      </c>
      <c r="BG189" s="75">
        <f>$C189*INDEX(Curves!$AD$8:$AD$68,BG$4-$B189+1)</f>
        <v/>
      </c>
      <c r="BH189" s="75">
        <f>$C189*INDEX(Curves!$AD$8:$AD$68,BH$4-$B189+1)</f>
        <v/>
      </c>
      <c r="BI189" s="75">
        <f>$C189*INDEX(Curves!$AD$8:$AD$68,BI$4-$B189+1)</f>
        <v/>
      </c>
      <c r="BJ189" s="75">
        <f>$C189*INDEX(Curves!$AD$8:$AD$68,BJ$4-$B189+1)</f>
        <v/>
      </c>
      <c r="BK189" s="75">
        <f>$C189*INDEX(Curves!$AD$8:$AD$68,BK$4-$B189+1)</f>
        <v/>
      </c>
      <c r="BL189" s="75">
        <f>$C189*INDEX(Curves!$AD$8:$AD$68,BL$4-$B189+1)</f>
        <v/>
      </c>
    </row>
    <row r="190">
      <c r="A190" s="74" t="inlineStr">
        <is>
          <t>Cohort month 55</t>
        </is>
      </c>
      <c r="B190" s="74" t="n">
        <v>55</v>
      </c>
      <c r="C190" s="17">
        <f>INDEX(Ops!$E$60:$BL$60,1,$B190)</f>
        <v/>
      </c>
      <c r="BH190" s="75">
        <f>$C190*INDEX(Curves!$AD$8:$AD$68,BH$4-$B190+1)</f>
        <v/>
      </c>
      <c r="BI190" s="75">
        <f>$C190*INDEX(Curves!$AD$8:$AD$68,BI$4-$B190+1)</f>
        <v/>
      </c>
      <c r="BJ190" s="75">
        <f>$C190*INDEX(Curves!$AD$8:$AD$68,BJ$4-$B190+1)</f>
        <v/>
      </c>
      <c r="BK190" s="75">
        <f>$C190*INDEX(Curves!$AD$8:$AD$68,BK$4-$B190+1)</f>
        <v/>
      </c>
      <c r="BL190" s="75">
        <f>$C190*INDEX(Curves!$AD$8:$AD$68,BL$4-$B190+1)</f>
        <v/>
      </c>
    </row>
    <row r="191">
      <c r="A191" s="74" t="inlineStr">
        <is>
          <t>Cohort month 56</t>
        </is>
      </c>
      <c r="B191" s="74" t="n">
        <v>56</v>
      </c>
      <c r="C191" s="17">
        <f>INDEX(Ops!$E$60:$BL$60,1,$B191)</f>
        <v/>
      </c>
      <c r="BI191" s="75">
        <f>$C191*INDEX(Curves!$AD$8:$AD$68,BI$4-$B191+1)</f>
        <v/>
      </c>
      <c r="BJ191" s="75">
        <f>$C191*INDEX(Curves!$AD$8:$AD$68,BJ$4-$B191+1)</f>
        <v/>
      </c>
      <c r="BK191" s="75">
        <f>$C191*INDEX(Curves!$AD$8:$AD$68,BK$4-$B191+1)</f>
        <v/>
      </c>
      <c r="BL191" s="75">
        <f>$C191*INDEX(Curves!$AD$8:$AD$68,BL$4-$B191+1)</f>
        <v/>
      </c>
    </row>
    <row r="192">
      <c r="A192" s="74" t="inlineStr">
        <is>
          <t>Cohort month 57</t>
        </is>
      </c>
      <c r="B192" s="74" t="n">
        <v>57</v>
      </c>
      <c r="C192" s="17">
        <f>INDEX(Ops!$E$60:$BL$60,1,$B192)</f>
        <v/>
      </c>
      <c r="BJ192" s="75">
        <f>$C192*INDEX(Curves!$AD$8:$AD$68,BJ$4-$B192+1)</f>
        <v/>
      </c>
      <c r="BK192" s="75">
        <f>$C192*INDEX(Curves!$AD$8:$AD$68,BK$4-$B192+1)</f>
        <v/>
      </c>
      <c r="BL192" s="75">
        <f>$C192*INDEX(Curves!$AD$8:$AD$68,BL$4-$B192+1)</f>
        <v/>
      </c>
    </row>
    <row r="193">
      <c r="A193" s="74" t="inlineStr">
        <is>
          <t>Cohort month 58</t>
        </is>
      </c>
      <c r="B193" s="74" t="n">
        <v>58</v>
      </c>
      <c r="C193" s="17">
        <f>INDEX(Ops!$E$60:$BL$60,1,$B193)</f>
        <v/>
      </c>
      <c r="BK193" s="75">
        <f>$C193*INDEX(Curves!$AD$8:$AD$68,BK$4-$B193+1)</f>
        <v/>
      </c>
      <c r="BL193" s="75">
        <f>$C193*INDEX(Curves!$AD$8:$AD$68,BL$4-$B193+1)</f>
        <v/>
      </c>
    </row>
    <row r="194">
      <c r="A194" s="74" t="inlineStr">
        <is>
          <t>Cohort month 59</t>
        </is>
      </c>
      <c r="B194" s="74" t="n">
        <v>59</v>
      </c>
      <c r="C194" s="17">
        <f>INDEX(Ops!$E$60:$BL$60,1,$B194)</f>
        <v/>
      </c>
      <c r="BL194" s="75">
        <f>$C194*INDEX(Curves!$AD$8:$AD$68,BL$4-$B194+1)</f>
        <v/>
      </c>
    </row>
    <row r="195">
      <c r="A195" s="74" t="inlineStr">
        <is>
          <t>Cohort month 60</t>
        </is>
      </c>
      <c r="B195" s="74" t="n">
        <v>60</v>
      </c>
      <c r="C195" s="17">
        <f>INDEX(Ops!$E$60:$BL$60,1,$B195)</f>
        <v/>
      </c>
    </row>
    <row r="196"/>
    <row r="197">
      <c r="A197" s="14" t="inlineStr">
        <is>
          <t>Recoveries by cohort (LCY)</t>
        </is>
      </c>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c r="AJ197" s="15" t="n"/>
      <c r="AK197" s="15" t="n"/>
      <c r="AL197" s="15" t="n"/>
      <c r="AM197" s="15" t="n"/>
      <c r="AN197" s="15" t="n"/>
      <c r="AO197" s="15" t="n"/>
      <c r="AP197" s="15" t="n"/>
      <c r="AQ197" s="15" t="n"/>
      <c r="AR197" s="15" t="n"/>
      <c r="AS197" s="15" t="n"/>
      <c r="AT197" s="15" t="n"/>
      <c r="AU197" s="15" t="n"/>
      <c r="AV197" s="15" t="n"/>
      <c r="AW197" s="15" t="n"/>
      <c r="AX197" s="15" t="n"/>
      <c r="AY197" s="15" t="n"/>
      <c r="AZ197" s="15" t="n"/>
      <c r="BA197" s="15" t="n"/>
      <c r="BB197" s="15" t="n"/>
      <c r="BC197" s="15" t="n"/>
      <c r="BD197" s="15" t="n"/>
      <c r="BE197" s="15" t="n"/>
      <c r="BF197" s="15" t="n"/>
      <c r="BG197" s="15" t="n"/>
      <c r="BH197" s="15" t="n"/>
      <c r="BI197" s="15" t="n"/>
      <c r="BJ197" s="15" t="n"/>
      <c r="BK197" s="15" t="n"/>
      <c r="BL197" s="15" t="n"/>
    </row>
    <row r="198">
      <c r="A198" s="60" t="inlineStr">
        <is>
          <t>Total</t>
        </is>
      </c>
      <c r="B198" s="61" t="inlineStr"/>
      <c r="C198" s="63" t="n"/>
      <c r="D198" s="63" t="n"/>
      <c r="E198" s="71">
        <f>SUM(E199:E258)</f>
        <v/>
      </c>
      <c r="F198" s="71">
        <f>SUM(F199:F258)</f>
        <v/>
      </c>
      <c r="G198" s="71">
        <f>SUM(G199:G258)</f>
        <v/>
      </c>
      <c r="H198" s="71">
        <f>SUM(H199:H258)</f>
        <v/>
      </c>
      <c r="I198" s="71">
        <f>SUM(I199:I258)</f>
        <v/>
      </c>
      <c r="J198" s="71">
        <f>SUM(J199:J258)</f>
        <v/>
      </c>
      <c r="K198" s="71">
        <f>SUM(K199:K258)</f>
        <v/>
      </c>
      <c r="L198" s="71">
        <f>SUM(L199:L258)</f>
        <v/>
      </c>
      <c r="M198" s="71">
        <f>SUM(M199:M258)</f>
        <v/>
      </c>
      <c r="N198" s="71">
        <f>SUM(N199:N258)</f>
        <v/>
      </c>
      <c r="O198" s="71">
        <f>SUM(O199:O258)</f>
        <v/>
      </c>
      <c r="P198" s="71">
        <f>SUM(P199:P258)</f>
        <v/>
      </c>
      <c r="Q198" s="71">
        <f>SUM(Q199:Q258)</f>
        <v/>
      </c>
      <c r="R198" s="71">
        <f>SUM(R199:R258)</f>
        <v/>
      </c>
      <c r="S198" s="71">
        <f>SUM(S199:S258)</f>
        <v/>
      </c>
      <c r="T198" s="71">
        <f>SUM(T199:T258)</f>
        <v/>
      </c>
      <c r="U198" s="71">
        <f>SUM(U199:U258)</f>
        <v/>
      </c>
      <c r="V198" s="71">
        <f>SUM(V199:V258)</f>
        <v/>
      </c>
      <c r="W198" s="71">
        <f>SUM(W199:W258)</f>
        <v/>
      </c>
      <c r="X198" s="71">
        <f>SUM(X199:X258)</f>
        <v/>
      </c>
      <c r="Y198" s="71">
        <f>SUM(Y199:Y258)</f>
        <v/>
      </c>
      <c r="Z198" s="71">
        <f>SUM(Z199:Z258)</f>
        <v/>
      </c>
      <c r="AA198" s="71">
        <f>SUM(AA199:AA258)</f>
        <v/>
      </c>
      <c r="AB198" s="71">
        <f>SUM(AB199:AB258)</f>
        <v/>
      </c>
      <c r="AC198" s="71">
        <f>SUM(AC199:AC258)</f>
        <v/>
      </c>
      <c r="AD198" s="71">
        <f>SUM(AD199:AD258)</f>
        <v/>
      </c>
      <c r="AE198" s="71">
        <f>SUM(AE199:AE258)</f>
        <v/>
      </c>
      <c r="AF198" s="71">
        <f>SUM(AF199:AF258)</f>
        <v/>
      </c>
      <c r="AG198" s="71">
        <f>SUM(AG199:AG258)</f>
        <v/>
      </c>
      <c r="AH198" s="71">
        <f>SUM(AH199:AH258)</f>
        <v/>
      </c>
      <c r="AI198" s="71">
        <f>SUM(AI199:AI258)</f>
        <v/>
      </c>
      <c r="AJ198" s="71">
        <f>SUM(AJ199:AJ258)</f>
        <v/>
      </c>
      <c r="AK198" s="71">
        <f>SUM(AK199:AK258)</f>
        <v/>
      </c>
      <c r="AL198" s="71">
        <f>SUM(AL199:AL258)</f>
        <v/>
      </c>
      <c r="AM198" s="71">
        <f>SUM(AM199:AM258)</f>
        <v/>
      </c>
      <c r="AN198" s="71">
        <f>SUM(AN199:AN258)</f>
        <v/>
      </c>
      <c r="AO198" s="71">
        <f>SUM(AO199:AO258)</f>
        <v/>
      </c>
      <c r="AP198" s="71">
        <f>SUM(AP199:AP258)</f>
        <v/>
      </c>
      <c r="AQ198" s="71">
        <f>SUM(AQ199:AQ258)</f>
        <v/>
      </c>
      <c r="AR198" s="71">
        <f>SUM(AR199:AR258)</f>
        <v/>
      </c>
      <c r="AS198" s="71">
        <f>SUM(AS199:AS258)</f>
        <v/>
      </c>
      <c r="AT198" s="71">
        <f>SUM(AT199:AT258)</f>
        <v/>
      </c>
      <c r="AU198" s="71">
        <f>SUM(AU199:AU258)</f>
        <v/>
      </c>
      <c r="AV198" s="71">
        <f>SUM(AV199:AV258)</f>
        <v/>
      </c>
      <c r="AW198" s="71">
        <f>SUM(AW199:AW258)</f>
        <v/>
      </c>
      <c r="AX198" s="71">
        <f>SUM(AX199:AX258)</f>
        <v/>
      </c>
      <c r="AY198" s="71">
        <f>SUM(AY199:AY258)</f>
        <v/>
      </c>
      <c r="AZ198" s="71">
        <f>SUM(AZ199:AZ258)</f>
        <v/>
      </c>
      <c r="BA198" s="71">
        <f>SUM(BA199:BA258)</f>
        <v/>
      </c>
      <c r="BB198" s="71">
        <f>SUM(BB199:BB258)</f>
        <v/>
      </c>
      <c r="BC198" s="71">
        <f>SUM(BC199:BC258)</f>
        <v/>
      </c>
      <c r="BD198" s="71">
        <f>SUM(BD199:BD258)</f>
        <v/>
      </c>
      <c r="BE198" s="71">
        <f>SUM(BE199:BE258)</f>
        <v/>
      </c>
      <c r="BF198" s="71">
        <f>SUM(BF199:BF258)</f>
        <v/>
      </c>
      <c r="BG198" s="71">
        <f>SUM(BG199:BG258)</f>
        <v/>
      </c>
      <c r="BH198" s="71">
        <f>SUM(BH199:BH258)</f>
        <v/>
      </c>
      <c r="BI198" s="71">
        <f>SUM(BI199:BI258)</f>
        <v/>
      </c>
      <c r="BJ198" s="71">
        <f>SUM(BJ199:BJ258)</f>
        <v/>
      </c>
      <c r="BK198" s="71">
        <f>SUM(BK199:BK258)</f>
        <v/>
      </c>
      <c r="BL198" s="71">
        <f>SUM(BL199:BL258)</f>
        <v/>
      </c>
    </row>
    <row r="199">
      <c r="A199" s="74" t="inlineStr">
        <is>
          <t>Cohort month 1</t>
        </is>
      </c>
      <c r="B199" s="74" t="n">
        <v>1</v>
      </c>
      <c r="C199" s="17">
        <f>INDEX(Ops!$E$60:$BL$60,1,$B199)</f>
        <v/>
      </c>
      <c r="F199" s="75">
        <f>$C199*INDEX(Curves!$AG$8:$AG$68,F$4-$B199+1)</f>
        <v/>
      </c>
      <c r="G199" s="75">
        <f>$C199*INDEX(Curves!$AG$8:$AG$68,G$4-$B199+1)</f>
        <v/>
      </c>
      <c r="H199" s="75">
        <f>$C199*INDEX(Curves!$AG$8:$AG$68,H$4-$B199+1)</f>
        <v/>
      </c>
      <c r="I199" s="75">
        <f>$C199*INDEX(Curves!$AG$8:$AG$68,I$4-$B199+1)</f>
        <v/>
      </c>
      <c r="J199" s="75">
        <f>$C199*INDEX(Curves!$AG$8:$AG$68,J$4-$B199+1)</f>
        <v/>
      </c>
      <c r="K199" s="75">
        <f>$C199*INDEX(Curves!$AG$8:$AG$68,K$4-$B199+1)</f>
        <v/>
      </c>
      <c r="L199" s="75">
        <f>$C199*INDEX(Curves!$AG$8:$AG$68,L$4-$B199+1)</f>
        <v/>
      </c>
      <c r="M199" s="75">
        <f>$C199*INDEX(Curves!$AG$8:$AG$68,M$4-$B199+1)</f>
        <v/>
      </c>
      <c r="N199" s="75">
        <f>$C199*INDEX(Curves!$AG$8:$AG$68,N$4-$B199+1)</f>
        <v/>
      </c>
      <c r="O199" s="75">
        <f>$C199*INDEX(Curves!$AG$8:$AG$68,O$4-$B199+1)</f>
        <v/>
      </c>
      <c r="P199" s="75">
        <f>$C199*INDEX(Curves!$AG$8:$AG$68,P$4-$B199+1)</f>
        <v/>
      </c>
      <c r="Q199" s="75">
        <f>$C199*INDEX(Curves!$AG$8:$AG$68,Q$4-$B199+1)</f>
        <v/>
      </c>
      <c r="R199" s="75">
        <f>$C199*INDEX(Curves!$AG$8:$AG$68,R$4-$B199+1)</f>
        <v/>
      </c>
      <c r="S199" s="75">
        <f>$C199*INDEX(Curves!$AG$8:$AG$68,S$4-$B199+1)</f>
        <v/>
      </c>
      <c r="T199" s="75">
        <f>$C199*INDEX(Curves!$AG$8:$AG$68,T$4-$B199+1)</f>
        <v/>
      </c>
      <c r="U199" s="75">
        <f>$C199*INDEX(Curves!$AG$8:$AG$68,U$4-$B199+1)</f>
        <v/>
      </c>
      <c r="V199" s="75">
        <f>$C199*INDEX(Curves!$AG$8:$AG$68,V$4-$B199+1)</f>
        <v/>
      </c>
      <c r="W199" s="75">
        <f>$C199*INDEX(Curves!$AG$8:$AG$68,W$4-$B199+1)</f>
        <v/>
      </c>
      <c r="X199" s="75">
        <f>$C199*INDEX(Curves!$AG$8:$AG$68,X$4-$B199+1)</f>
        <v/>
      </c>
      <c r="Y199" s="75">
        <f>$C199*INDEX(Curves!$AG$8:$AG$68,Y$4-$B199+1)</f>
        <v/>
      </c>
      <c r="Z199" s="75">
        <f>$C199*INDEX(Curves!$AG$8:$AG$68,Z$4-$B199+1)</f>
        <v/>
      </c>
      <c r="AA199" s="75">
        <f>$C199*INDEX(Curves!$AG$8:$AG$68,AA$4-$B199+1)</f>
        <v/>
      </c>
      <c r="AB199" s="75">
        <f>$C199*INDEX(Curves!$AG$8:$AG$68,AB$4-$B199+1)</f>
        <v/>
      </c>
      <c r="AC199" s="75">
        <f>$C199*INDEX(Curves!$AG$8:$AG$68,AC$4-$B199+1)</f>
        <v/>
      </c>
      <c r="AD199" s="75">
        <f>$C199*INDEX(Curves!$AG$8:$AG$68,AD$4-$B199+1)</f>
        <v/>
      </c>
      <c r="AE199" s="75">
        <f>$C199*INDEX(Curves!$AG$8:$AG$68,AE$4-$B199+1)</f>
        <v/>
      </c>
      <c r="AF199" s="75">
        <f>$C199*INDEX(Curves!$AG$8:$AG$68,AF$4-$B199+1)</f>
        <v/>
      </c>
      <c r="AG199" s="75">
        <f>$C199*INDEX(Curves!$AG$8:$AG$68,AG$4-$B199+1)</f>
        <v/>
      </c>
      <c r="AH199" s="75">
        <f>$C199*INDEX(Curves!$AG$8:$AG$68,AH$4-$B199+1)</f>
        <v/>
      </c>
      <c r="AI199" s="75">
        <f>$C199*INDEX(Curves!$AG$8:$AG$68,AI$4-$B199+1)</f>
        <v/>
      </c>
      <c r="AJ199" s="75">
        <f>$C199*INDEX(Curves!$AG$8:$AG$68,AJ$4-$B199+1)</f>
        <v/>
      </c>
      <c r="AK199" s="75">
        <f>$C199*INDEX(Curves!$AG$8:$AG$68,AK$4-$B199+1)</f>
        <v/>
      </c>
      <c r="AL199" s="75">
        <f>$C199*INDEX(Curves!$AG$8:$AG$68,AL$4-$B199+1)</f>
        <v/>
      </c>
      <c r="AM199" s="75">
        <f>$C199*INDEX(Curves!$AG$8:$AG$68,AM$4-$B199+1)</f>
        <v/>
      </c>
      <c r="AN199" s="75">
        <f>$C199*INDEX(Curves!$AG$8:$AG$68,AN$4-$B199+1)</f>
        <v/>
      </c>
      <c r="AO199" s="75">
        <f>$C199*INDEX(Curves!$AG$8:$AG$68,AO$4-$B199+1)</f>
        <v/>
      </c>
      <c r="AP199" s="75">
        <f>$C199*INDEX(Curves!$AG$8:$AG$68,AP$4-$B199+1)</f>
        <v/>
      </c>
      <c r="AQ199" s="75">
        <f>$C199*INDEX(Curves!$AG$8:$AG$68,AQ$4-$B199+1)</f>
        <v/>
      </c>
      <c r="AR199" s="75">
        <f>$C199*INDEX(Curves!$AG$8:$AG$68,AR$4-$B199+1)</f>
        <v/>
      </c>
      <c r="AS199" s="75">
        <f>$C199*INDEX(Curves!$AG$8:$AG$68,AS$4-$B199+1)</f>
        <v/>
      </c>
      <c r="AT199" s="75">
        <f>$C199*INDEX(Curves!$AG$8:$AG$68,AT$4-$B199+1)</f>
        <v/>
      </c>
      <c r="AU199" s="75">
        <f>$C199*INDEX(Curves!$AG$8:$AG$68,AU$4-$B199+1)</f>
        <v/>
      </c>
      <c r="AV199" s="75">
        <f>$C199*INDEX(Curves!$AG$8:$AG$68,AV$4-$B199+1)</f>
        <v/>
      </c>
      <c r="AW199" s="75">
        <f>$C199*INDEX(Curves!$AG$8:$AG$68,AW$4-$B199+1)</f>
        <v/>
      </c>
      <c r="AX199" s="75">
        <f>$C199*INDEX(Curves!$AG$8:$AG$68,AX$4-$B199+1)</f>
        <v/>
      </c>
      <c r="AY199" s="75">
        <f>$C199*INDEX(Curves!$AG$8:$AG$68,AY$4-$B199+1)</f>
        <v/>
      </c>
      <c r="AZ199" s="75">
        <f>$C199*INDEX(Curves!$AG$8:$AG$68,AZ$4-$B199+1)</f>
        <v/>
      </c>
      <c r="BA199" s="75">
        <f>$C199*INDEX(Curves!$AG$8:$AG$68,BA$4-$B199+1)</f>
        <v/>
      </c>
      <c r="BB199" s="75">
        <f>$C199*INDEX(Curves!$AG$8:$AG$68,BB$4-$B199+1)</f>
        <v/>
      </c>
      <c r="BC199" s="75">
        <f>$C199*INDEX(Curves!$AG$8:$AG$68,BC$4-$B199+1)</f>
        <v/>
      </c>
      <c r="BD199" s="75">
        <f>$C199*INDEX(Curves!$AG$8:$AG$68,BD$4-$B199+1)</f>
        <v/>
      </c>
      <c r="BE199" s="75">
        <f>$C199*INDEX(Curves!$AG$8:$AG$68,BE$4-$B199+1)</f>
        <v/>
      </c>
      <c r="BF199" s="75">
        <f>$C199*INDEX(Curves!$AG$8:$AG$68,BF$4-$B199+1)</f>
        <v/>
      </c>
      <c r="BG199" s="75">
        <f>$C199*INDEX(Curves!$AG$8:$AG$68,BG$4-$B199+1)</f>
        <v/>
      </c>
      <c r="BH199" s="75">
        <f>$C199*INDEX(Curves!$AG$8:$AG$68,BH$4-$B199+1)</f>
        <v/>
      </c>
      <c r="BI199" s="75">
        <f>$C199*INDEX(Curves!$AG$8:$AG$68,BI$4-$B199+1)</f>
        <v/>
      </c>
      <c r="BJ199" s="75">
        <f>$C199*INDEX(Curves!$AG$8:$AG$68,BJ$4-$B199+1)</f>
        <v/>
      </c>
      <c r="BK199" s="75">
        <f>$C199*INDEX(Curves!$AG$8:$AG$68,BK$4-$B199+1)</f>
        <v/>
      </c>
      <c r="BL199" s="75">
        <f>$C199*INDEX(Curves!$AG$8:$AG$68,BL$4-$B199+1)</f>
        <v/>
      </c>
    </row>
    <row r="200">
      <c r="A200" s="74" t="inlineStr">
        <is>
          <t>Cohort month 2</t>
        </is>
      </c>
      <c r="B200" s="74" t="n">
        <v>2</v>
      </c>
      <c r="C200" s="17">
        <f>INDEX(Ops!$E$60:$BL$60,1,$B200)</f>
        <v/>
      </c>
      <c r="G200" s="75">
        <f>$C200*INDEX(Curves!$AG$8:$AG$68,G$4-$B200+1)</f>
        <v/>
      </c>
      <c r="H200" s="75">
        <f>$C200*INDEX(Curves!$AG$8:$AG$68,H$4-$B200+1)</f>
        <v/>
      </c>
      <c r="I200" s="75">
        <f>$C200*INDEX(Curves!$AG$8:$AG$68,I$4-$B200+1)</f>
        <v/>
      </c>
      <c r="J200" s="75">
        <f>$C200*INDEX(Curves!$AG$8:$AG$68,J$4-$B200+1)</f>
        <v/>
      </c>
      <c r="K200" s="75">
        <f>$C200*INDEX(Curves!$AG$8:$AG$68,K$4-$B200+1)</f>
        <v/>
      </c>
      <c r="L200" s="75">
        <f>$C200*INDEX(Curves!$AG$8:$AG$68,L$4-$B200+1)</f>
        <v/>
      </c>
      <c r="M200" s="75">
        <f>$C200*INDEX(Curves!$AG$8:$AG$68,M$4-$B200+1)</f>
        <v/>
      </c>
      <c r="N200" s="75">
        <f>$C200*INDEX(Curves!$AG$8:$AG$68,N$4-$B200+1)</f>
        <v/>
      </c>
      <c r="O200" s="75">
        <f>$C200*INDEX(Curves!$AG$8:$AG$68,O$4-$B200+1)</f>
        <v/>
      </c>
      <c r="P200" s="75">
        <f>$C200*INDEX(Curves!$AG$8:$AG$68,P$4-$B200+1)</f>
        <v/>
      </c>
      <c r="Q200" s="75">
        <f>$C200*INDEX(Curves!$AG$8:$AG$68,Q$4-$B200+1)</f>
        <v/>
      </c>
      <c r="R200" s="75">
        <f>$C200*INDEX(Curves!$AG$8:$AG$68,R$4-$B200+1)</f>
        <v/>
      </c>
      <c r="S200" s="75">
        <f>$C200*INDEX(Curves!$AG$8:$AG$68,S$4-$B200+1)</f>
        <v/>
      </c>
      <c r="T200" s="75">
        <f>$C200*INDEX(Curves!$AG$8:$AG$68,T$4-$B200+1)</f>
        <v/>
      </c>
      <c r="U200" s="75">
        <f>$C200*INDEX(Curves!$AG$8:$AG$68,U$4-$B200+1)</f>
        <v/>
      </c>
      <c r="V200" s="75">
        <f>$C200*INDEX(Curves!$AG$8:$AG$68,V$4-$B200+1)</f>
        <v/>
      </c>
      <c r="W200" s="75">
        <f>$C200*INDEX(Curves!$AG$8:$AG$68,W$4-$B200+1)</f>
        <v/>
      </c>
      <c r="X200" s="75">
        <f>$C200*INDEX(Curves!$AG$8:$AG$68,X$4-$B200+1)</f>
        <v/>
      </c>
      <c r="Y200" s="75">
        <f>$C200*INDEX(Curves!$AG$8:$AG$68,Y$4-$B200+1)</f>
        <v/>
      </c>
      <c r="Z200" s="75">
        <f>$C200*INDEX(Curves!$AG$8:$AG$68,Z$4-$B200+1)</f>
        <v/>
      </c>
      <c r="AA200" s="75">
        <f>$C200*INDEX(Curves!$AG$8:$AG$68,AA$4-$B200+1)</f>
        <v/>
      </c>
      <c r="AB200" s="75">
        <f>$C200*INDEX(Curves!$AG$8:$AG$68,AB$4-$B200+1)</f>
        <v/>
      </c>
      <c r="AC200" s="75">
        <f>$C200*INDEX(Curves!$AG$8:$AG$68,AC$4-$B200+1)</f>
        <v/>
      </c>
      <c r="AD200" s="75">
        <f>$C200*INDEX(Curves!$AG$8:$AG$68,AD$4-$B200+1)</f>
        <v/>
      </c>
      <c r="AE200" s="75">
        <f>$C200*INDEX(Curves!$AG$8:$AG$68,AE$4-$B200+1)</f>
        <v/>
      </c>
      <c r="AF200" s="75">
        <f>$C200*INDEX(Curves!$AG$8:$AG$68,AF$4-$B200+1)</f>
        <v/>
      </c>
      <c r="AG200" s="75">
        <f>$C200*INDEX(Curves!$AG$8:$AG$68,AG$4-$B200+1)</f>
        <v/>
      </c>
      <c r="AH200" s="75">
        <f>$C200*INDEX(Curves!$AG$8:$AG$68,AH$4-$B200+1)</f>
        <v/>
      </c>
      <c r="AI200" s="75">
        <f>$C200*INDEX(Curves!$AG$8:$AG$68,AI$4-$B200+1)</f>
        <v/>
      </c>
      <c r="AJ200" s="75">
        <f>$C200*INDEX(Curves!$AG$8:$AG$68,AJ$4-$B200+1)</f>
        <v/>
      </c>
      <c r="AK200" s="75">
        <f>$C200*INDEX(Curves!$AG$8:$AG$68,AK$4-$B200+1)</f>
        <v/>
      </c>
      <c r="AL200" s="75">
        <f>$C200*INDEX(Curves!$AG$8:$AG$68,AL$4-$B200+1)</f>
        <v/>
      </c>
      <c r="AM200" s="75">
        <f>$C200*INDEX(Curves!$AG$8:$AG$68,AM$4-$B200+1)</f>
        <v/>
      </c>
      <c r="AN200" s="75">
        <f>$C200*INDEX(Curves!$AG$8:$AG$68,AN$4-$B200+1)</f>
        <v/>
      </c>
      <c r="AO200" s="75">
        <f>$C200*INDEX(Curves!$AG$8:$AG$68,AO$4-$B200+1)</f>
        <v/>
      </c>
      <c r="AP200" s="75">
        <f>$C200*INDEX(Curves!$AG$8:$AG$68,AP$4-$B200+1)</f>
        <v/>
      </c>
      <c r="AQ200" s="75">
        <f>$C200*INDEX(Curves!$AG$8:$AG$68,AQ$4-$B200+1)</f>
        <v/>
      </c>
      <c r="AR200" s="75">
        <f>$C200*INDEX(Curves!$AG$8:$AG$68,AR$4-$B200+1)</f>
        <v/>
      </c>
      <c r="AS200" s="75">
        <f>$C200*INDEX(Curves!$AG$8:$AG$68,AS$4-$B200+1)</f>
        <v/>
      </c>
      <c r="AT200" s="75">
        <f>$C200*INDEX(Curves!$AG$8:$AG$68,AT$4-$B200+1)</f>
        <v/>
      </c>
      <c r="AU200" s="75">
        <f>$C200*INDEX(Curves!$AG$8:$AG$68,AU$4-$B200+1)</f>
        <v/>
      </c>
      <c r="AV200" s="75">
        <f>$C200*INDEX(Curves!$AG$8:$AG$68,AV$4-$B200+1)</f>
        <v/>
      </c>
      <c r="AW200" s="75">
        <f>$C200*INDEX(Curves!$AG$8:$AG$68,AW$4-$B200+1)</f>
        <v/>
      </c>
      <c r="AX200" s="75">
        <f>$C200*INDEX(Curves!$AG$8:$AG$68,AX$4-$B200+1)</f>
        <v/>
      </c>
      <c r="AY200" s="75">
        <f>$C200*INDEX(Curves!$AG$8:$AG$68,AY$4-$B200+1)</f>
        <v/>
      </c>
      <c r="AZ200" s="75">
        <f>$C200*INDEX(Curves!$AG$8:$AG$68,AZ$4-$B200+1)</f>
        <v/>
      </c>
      <c r="BA200" s="75">
        <f>$C200*INDEX(Curves!$AG$8:$AG$68,BA$4-$B200+1)</f>
        <v/>
      </c>
      <c r="BB200" s="75">
        <f>$C200*INDEX(Curves!$AG$8:$AG$68,BB$4-$B200+1)</f>
        <v/>
      </c>
      <c r="BC200" s="75">
        <f>$C200*INDEX(Curves!$AG$8:$AG$68,BC$4-$B200+1)</f>
        <v/>
      </c>
      <c r="BD200" s="75">
        <f>$C200*INDEX(Curves!$AG$8:$AG$68,BD$4-$B200+1)</f>
        <v/>
      </c>
      <c r="BE200" s="75">
        <f>$C200*INDEX(Curves!$AG$8:$AG$68,BE$4-$B200+1)</f>
        <v/>
      </c>
      <c r="BF200" s="75">
        <f>$C200*INDEX(Curves!$AG$8:$AG$68,BF$4-$B200+1)</f>
        <v/>
      </c>
      <c r="BG200" s="75">
        <f>$C200*INDEX(Curves!$AG$8:$AG$68,BG$4-$B200+1)</f>
        <v/>
      </c>
      <c r="BH200" s="75">
        <f>$C200*INDEX(Curves!$AG$8:$AG$68,BH$4-$B200+1)</f>
        <v/>
      </c>
      <c r="BI200" s="75">
        <f>$C200*INDEX(Curves!$AG$8:$AG$68,BI$4-$B200+1)</f>
        <v/>
      </c>
      <c r="BJ200" s="75">
        <f>$C200*INDEX(Curves!$AG$8:$AG$68,BJ$4-$B200+1)</f>
        <v/>
      </c>
      <c r="BK200" s="75">
        <f>$C200*INDEX(Curves!$AG$8:$AG$68,BK$4-$B200+1)</f>
        <v/>
      </c>
      <c r="BL200" s="75">
        <f>$C200*INDEX(Curves!$AG$8:$AG$68,BL$4-$B200+1)</f>
        <v/>
      </c>
    </row>
    <row r="201">
      <c r="A201" s="74" t="inlineStr">
        <is>
          <t>Cohort month 3</t>
        </is>
      </c>
      <c r="B201" s="74" t="n">
        <v>3</v>
      </c>
      <c r="C201" s="17">
        <f>INDEX(Ops!$E$60:$BL$60,1,$B201)</f>
        <v/>
      </c>
      <c r="H201" s="75">
        <f>$C201*INDEX(Curves!$AG$8:$AG$68,H$4-$B201+1)</f>
        <v/>
      </c>
      <c r="I201" s="75">
        <f>$C201*INDEX(Curves!$AG$8:$AG$68,I$4-$B201+1)</f>
        <v/>
      </c>
      <c r="J201" s="75">
        <f>$C201*INDEX(Curves!$AG$8:$AG$68,J$4-$B201+1)</f>
        <v/>
      </c>
      <c r="K201" s="75">
        <f>$C201*INDEX(Curves!$AG$8:$AG$68,K$4-$B201+1)</f>
        <v/>
      </c>
      <c r="L201" s="75">
        <f>$C201*INDEX(Curves!$AG$8:$AG$68,L$4-$B201+1)</f>
        <v/>
      </c>
      <c r="M201" s="75">
        <f>$C201*INDEX(Curves!$AG$8:$AG$68,M$4-$B201+1)</f>
        <v/>
      </c>
      <c r="N201" s="75">
        <f>$C201*INDEX(Curves!$AG$8:$AG$68,N$4-$B201+1)</f>
        <v/>
      </c>
      <c r="O201" s="75">
        <f>$C201*INDEX(Curves!$AG$8:$AG$68,O$4-$B201+1)</f>
        <v/>
      </c>
      <c r="P201" s="75">
        <f>$C201*INDEX(Curves!$AG$8:$AG$68,P$4-$B201+1)</f>
        <v/>
      </c>
      <c r="Q201" s="75">
        <f>$C201*INDEX(Curves!$AG$8:$AG$68,Q$4-$B201+1)</f>
        <v/>
      </c>
      <c r="R201" s="75">
        <f>$C201*INDEX(Curves!$AG$8:$AG$68,R$4-$B201+1)</f>
        <v/>
      </c>
      <c r="S201" s="75">
        <f>$C201*INDEX(Curves!$AG$8:$AG$68,S$4-$B201+1)</f>
        <v/>
      </c>
      <c r="T201" s="75">
        <f>$C201*INDEX(Curves!$AG$8:$AG$68,T$4-$B201+1)</f>
        <v/>
      </c>
      <c r="U201" s="75">
        <f>$C201*INDEX(Curves!$AG$8:$AG$68,U$4-$B201+1)</f>
        <v/>
      </c>
      <c r="V201" s="75">
        <f>$C201*INDEX(Curves!$AG$8:$AG$68,V$4-$B201+1)</f>
        <v/>
      </c>
      <c r="W201" s="75">
        <f>$C201*INDEX(Curves!$AG$8:$AG$68,W$4-$B201+1)</f>
        <v/>
      </c>
      <c r="X201" s="75">
        <f>$C201*INDEX(Curves!$AG$8:$AG$68,X$4-$B201+1)</f>
        <v/>
      </c>
      <c r="Y201" s="75">
        <f>$C201*INDEX(Curves!$AG$8:$AG$68,Y$4-$B201+1)</f>
        <v/>
      </c>
      <c r="Z201" s="75">
        <f>$C201*INDEX(Curves!$AG$8:$AG$68,Z$4-$B201+1)</f>
        <v/>
      </c>
      <c r="AA201" s="75">
        <f>$C201*INDEX(Curves!$AG$8:$AG$68,AA$4-$B201+1)</f>
        <v/>
      </c>
      <c r="AB201" s="75">
        <f>$C201*INDEX(Curves!$AG$8:$AG$68,AB$4-$B201+1)</f>
        <v/>
      </c>
      <c r="AC201" s="75">
        <f>$C201*INDEX(Curves!$AG$8:$AG$68,AC$4-$B201+1)</f>
        <v/>
      </c>
      <c r="AD201" s="75">
        <f>$C201*INDEX(Curves!$AG$8:$AG$68,AD$4-$B201+1)</f>
        <v/>
      </c>
      <c r="AE201" s="75">
        <f>$C201*INDEX(Curves!$AG$8:$AG$68,AE$4-$B201+1)</f>
        <v/>
      </c>
      <c r="AF201" s="75">
        <f>$C201*INDEX(Curves!$AG$8:$AG$68,AF$4-$B201+1)</f>
        <v/>
      </c>
      <c r="AG201" s="75">
        <f>$C201*INDEX(Curves!$AG$8:$AG$68,AG$4-$B201+1)</f>
        <v/>
      </c>
      <c r="AH201" s="75">
        <f>$C201*INDEX(Curves!$AG$8:$AG$68,AH$4-$B201+1)</f>
        <v/>
      </c>
      <c r="AI201" s="75">
        <f>$C201*INDEX(Curves!$AG$8:$AG$68,AI$4-$B201+1)</f>
        <v/>
      </c>
      <c r="AJ201" s="75">
        <f>$C201*INDEX(Curves!$AG$8:$AG$68,AJ$4-$B201+1)</f>
        <v/>
      </c>
      <c r="AK201" s="75">
        <f>$C201*INDEX(Curves!$AG$8:$AG$68,AK$4-$B201+1)</f>
        <v/>
      </c>
      <c r="AL201" s="75">
        <f>$C201*INDEX(Curves!$AG$8:$AG$68,AL$4-$B201+1)</f>
        <v/>
      </c>
      <c r="AM201" s="75">
        <f>$C201*INDEX(Curves!$AG$8:$AG$68,AM$4-$B201+1)</f>
        <v/>
      </c>
      <c r="AN201" s="75">
        <f>$C201*INDEX(Curves!$AG$8:$AG$68,AN$4-$B201+1)</f>
        <v/>
      </c>
      <c r="AO201" s="75">
        <f>$C201*INDEX(Curves!$AG$8:$AG$68,AO$4-$B201+1)</f>
        <v/>
      </c>
      <c r="AP201" s="75">
        <f>$C201*INDEX(Curves!$AG$8:$AG$68,AP$4-$B201+1)</f>
        <v/>
      </c>
      <c r="AQ201" s="75">
        <f>$C201*INDEX(Curves!$AG$8:$AG$68,AQ$4-$B201+1)</f>
        <v/>
      </c>
      <c r="AR201" s="75">
        <f>$C201*INDEX(Curves!$AG$8:$AG$68,AR$4-$B201+1)</f>
        <v/>
      </c>
      <c r="AS201" s="75">
        <f>$C201*INDEX(Curves!$AG$8:$AG$68,AS$4-$B201+1)</f>
        <v/>
      </c>
      <c r="AT201" s="75">
        <f>$C201*INDEX(Curves!$AG$8:$AG$68,AT$4-$B201+1)</f>
        <v/>
      </c>
      <c r="AU201" s="75">
        <f>$C201*INDEX(Curves!$AG$8:$AG$68,AU$4-$B201+1)</f>
        <v/>
      </c>
      <c r="AV201" s="75">
        <f>$C201*INDEX(Curves!$AG$8:$AG$68,AV$4-$B201+1)</f>
        <v/>
      </c>
      <c r="AW201" s="75">
        <f>$C201*INDEX(Curves!$AG$8:$AG$68,AW$4-$B201+1)</f>
        <v/>
      </c>
      <c r="AX201" s="75">
        <f>$C201*INDEX(Curves!$AG$8:$AG$68,AX$4-$B201+1)</f>
        <v/>
      </c>
      <c r="AY201" s="75">
        <f>$C201*INDEX(Curves!$AG$8:$AG$68,AY$4-$B201+1)</f>
        <v/>
      </c>
      <c r="AZ201" s="75">
        <f>$C201*INDEX(Curves!$AG$8:$AG$68,AZ$4-$B201+1)</f>
        <v/>
      </c>
      <c r="BA201" s="75">
        <f>$C201*INDEX(Curves!$AG$8:$AG$68,BA$4-$B201+1)</f>
        <v/>
      </c>
      <c r="BB201" s="75">
        <f>$C201*INDEX(Curves!$AG$8:$AG$68,BB$4-$B201+1)</f>
        <v/>
      </c>
      <c r="BC201" s="75">
        <f>$C201*INDEX(Curves!$AG$8:$AG$68,BC$4-$B201+1)</f>
        <v/>
      </c>
      <c r="BD201" s="75">
        <f>$C201*INDEX(Curves!$AG$8:$AG$68,BD$4-$B201+1)</f>
        <v/>
      </c>
      <c r="BE201" s="75">
        <f>$C201*INDEX(Curves!$AG$8:$AG$68,BE$4-$B201+1)</f>
        <v/>
      </c>
      <c r="BF201" s="75">
        <f>$C201*INDEX(Curves!$AG$8:$AG$68,BF$4-$B201+1)</f>
        <v/>
      </c>
      <c r="BG201" s="75">
        <f>$C201*INDEX(Curves!$AG$8:$AG$68,BG$4-$B201+1)</f>
        <v/>
      </c>
      <c r="BH201" s="75">
        <f>$C201*INDEX(Curves!$AG$8:$AG$68,BH$4-$B201+1)</f>
        <v/>
      </c>
      <c r="BI201" s="75">
        <f>$C201*INDEX(Curves!$AG$8:$AG$68,BI$4-$B201+1)</f>
        <v/>
      </c>
      <c r="BJ201" s="75">
        <f>$C201*INDEX(Curves!$AG$8:$AG$68,BJ$4-$B201+1)</f>
        <v/>
      </c>
      <c r="BK201" s="75">
        <f>$C201*INDEX(Curves!$AG$8:$AG$68,BK$4-$B201+1)</f>
        <v/>
      </c>
      <c r="BL201" s="75">
        <f>$C201*INDEX(Curves!$AG$8:$AG$68,BL$4-$B201+1)</f>
        <v/>
      </c>
    </row>
    <row r="202">
      <c r="A202" s="74" t="inlineStr">
        <is>
          <t>Cohort month 4</t>
        </is>
      </c>
      <c r="B202" s="74" t="n">
        <v>4</v>
      </c>
      <c r="C202" s="17">
        <f>INDEX(Ops!$E$60:$BL$60,1,$B202)</f>
        <v/>
      </c>
      <c r="I202" s="75">
        <f>$C202*INDEX(Curves!$AG$8:$AG$68,I$4-$B202+1)</f>
        <v/>
      </c>
      <c r="J202" s="75">
        <f>$C202*INDEX(Curves!$AG$8:$AG$68,J$4-$B202+1)</f>
        <v/>
      </c>
      <c r="K202" s="75">
        <f>$C202*INDEX(Curves!$AG$8:$AG$68,K$4-$B202+1)</f>
        <v/>
      </c>
      <c r="L202" s="75">
        <f>$C202*INDEX(Curves!$AG$8:$AG$68,L$4-$B202+1)</f>
        <v/>
      </c>
      <c r="M202" s="75">
        <f>$C202*INDEX(Curves!$AG$8:$AG$68,M$4-$B202+1)</f>
        <v/>
      </c>
      <c r="N202" s="75">
        <f>$C202*INDEX(Curves!$AG$8:$AG$68,N$4-$B202+1)</f>
        <v/>
      </c>
      <c r="O202" s="75">
        <f>$C202*INDEX(Curves!$AG$8:$AG$68,O$4-$B202+1)</f>
        <v/>
      </c>
      <c r="P202" s="75">
        <f>$C202*INDEX(Curves!$AG$8:$AG$68,P$4-$B202+1)</f>
        <v/>
      </c>
      <c r="Q202" s="75">
        <f>$C202*INDEX(Curves!$AG$8:$AG$68,Q$4-$B202+1)</f>
        <v/>
      </c>
      <c r="R202" s="75">
        <f>$C202*INDEX(Curves!$AG$8:$AG$68,R$4-$B202+1)</f>
        <v/>
      </c>
      <c r="S202" s="75">
        <f>$C202*INDEX(Curves!$AG$8:$AG$68,S$4-$B202+1)</f>
        <v/>
      </c>
      <c r="T202" s="75">
        <f>$C202*INDEX(Curves!$AG$8:$AG$68,T$4-$B202+1)</f>
        <v/>
      </c>
      <c r="U202" s="75">
        <f>$C202*INDEX(Curves!$AG$8:$AG$68,U$4-$B202+1)</f>
        <v/>
      </c>
      <c r="V202" s="75">
        <f>$C202*INDEX(Curves!$AG$8:$AG$68,V$4-$B202+1)</f>
        <v/>
      </c>
      <c r="W202" s="75">
        <f>$C202*INDEX(Curves!$AG$8:$AG$68,W$4-$B202+1)</f>
        <v/>
      </c>
      <c r="X202" s="75">
        <f>$C202*INDEX(Curves!$AG$8:$AG$68,X$4-$B202+1)</f>
        <v/>
      </c>
      <c r="Y202" s="75">
        <f>$C202*INDEX(Curves!$AG$8:$AG$68,Y$4-$B202+1)</f>
        <v/>
      </c>
      <c r="Z202" s="75">
        <f>$C202*INDEX(Curves!$AG$8:$AG$68,Z$4-$B202+1)</f>
        <v/>
      </c>
      <c r="AA202" s="75">
        <f>$C202*INDEX(Curves!$AG$8:$AG$68,AA$4-$B202+1)</f>
        <v/>
      </c>
      <c r="AB202" s="75">
        <f>$C202*INDEX(Curves!$AG$8:$AG$68,AB$4-$B202+1)</f>
        <v/>
      </c>
      <c r="AC202" s="75">
        <f>$C202*INDEX(Curves!$AG$8:$AG$68,AC$4-$B202+1)</f>
        <v/>
      </c>
      <c r="AD202" s="75">
        <f>$C202*INDEX(Curves!$AG$8:$AG$68,AD$4-$B202+1)</f>
        <v/>
      </c>
      <c r="AE202" s="75">
        <f>$C202*INDEX(Curves!$AG$8:$AG$68,AE$4-$B202+1)</f>
        <v/>
      </c>
      <c r="AF202" s="75">
        <f>$C202*INDEX(Curves!$AG$8:$AG$68,AF$4-$B202+1)</f>
        <v/>
      </c>
      <c r="AG202" s="75">
        <f>$C202*INDEX(Curves!$AG$8:$AG$68,AG$4-$B202+1)</f>
        <v/>
      </c>
      <c r="AH202" s="75">
        <f>$C202*INDEX(Curves!$AG$8:$AG$68,AH$4-$B202+1)</f>
        <v/>
      </c>
      <c r="AI202" s="75">
        <f>$C202*INDEX(Curves!$AG$8:$AG$68,AI$4-$B202+1)</f>
        <v/>
      </c>
      <c r="AJ202" s="75">
        <f>$C202*INDEX(Curves!$AG$8:$AG$68,AJ$4-$B202+1)</f>
        <v/>
      </c>
      <c r="AK202" s="75">
        <f>$C202*INDEX(Curves!$AG$8:$AG$68,AK$4-$B202+1)</f>
        <v/>
      </c>
      <c r="AL202" s="75">
        <f>$C202*INDEX(Curves!$AG$8:$AG$68,AL$4-$B202+1)</f>
        <v/>
      </c>
      <c r="AM202" s="75">
        <f>$C202*INDEX(Curves!$AG$8:$AG$68,AM$4-$B202+1)</f>
        <v/>
      </c>
      <c r="AN202" s="75">
        <f>$C202*INDEX(Curves!$AG$8:$AG$68,AN$4-$B202+1)</f>
        <v/>
      </c>
      <c r="AO202" s="75">
        <f>$C202*INDEX(Curves!$AG$8:$AG$68,AO$4-$B202+1)</f>
        <v/>
      </c>
      <c r="AP202" s="75">
        <f>$C202*INDEX(Curves!$AG$8:$AG$68,AP$4-$B202+1)</f>
        <v/>
      </c>
      <c r="AQ202" s="75">
        <f>$C202*INDEX(Curves!$AG$8:$AG$68,AQ$4-$B202+1)</f>
        <v/>
      </c>
      <c r="AR202" s="75">
        <f>$C202*INDEX(Curves!$AG$8:$AG$68,AR$4-$B202+1)</f>
        <v/>
      </c>
      <c r="AS202" s="75">
        <f>$C202*INDEX(Curves!$AG$8:$AG$68,AS$4-$B202+1)</f>
        <v/>
      </c>
      <c r="AT202" s="75">
        <f>$C202*INDEX(Curves!$AG$8:$AG$68,AT$4-$B202+1)</f>
        <v/>
      </c>
      <c r="AU202" s="75">
        <f>$C202*INDEX(Curves!$AG$8:$AG$68,AU$4-$B202+1)</f>
        <v/>
      </c>
      <c r="AV202" s="75">
        <f>$C202*INDEX(Curves!$AG$8:$AG$68,AV$4-$B202+1)</f>
        <v/>
      </c>
      <c r="AW202" s="75">
        <f>$C202*INDEX(Curves!$AG$8:$AG$68,AW$4-$B202+1)</f>
        <v/>
      </c>
      <c r="AX202" s="75">
        <f>$C202*INDEX(Curves!$AG$8:$AG$68,AX$4-$B202+1)</f>
        <v/>
      </c>
      <c r="AY202" s="75">
        <f>$C202*INDEX(Curves!$AG$8:$AG$68,AY$4-$B202+1)</f>
        <v/>
      </c>
      <c r="AZ202" s="75">
        <f>$C202*INDEX(Curves!$AG$8:$AG$68,AZ$4-$B202+1)</f>
        <v/>
      </c>
      <c r="BA202" s="75">
        <f>$C202*INDEX(Curves!$AG$8:$AG$68,BA$4-$B202+1)</f>
        <v/>
      </c>
      <c r="BB202" s="75">
        <f>$C202*INDEX(Curves!$AG$8:$AG$68,BB$4-$B202+1)</f>
        <v/>
      </c>
      <c r="BC202" s="75">
        <f>$C202*INDEX(Curves!$AG$8:$AG$68,BC$4-$B202+1)</f>
        <v/>
      </c>
      <c r="BD202" s="75">
        <f>$C202*INDEX(Curves!$AG$8:$AG$68,BD$4-$B202+1)</f>
        <v/>
      </c>
      <c r="BE202" s="75">
        <f>$C202*INDEX(Curves!$AG$8:$AG$68,BE$4-$B202+1)</f>
        <v/>
      </c>
      <c r="BF202" s="75">
        <f>$C202*INDEX(Curves!$AG$8:$AG$68,BF$4-$B202+1)</f>
        <v/>
      </c>
      <c r="BG202" s="75">
        <f>$C202*INDEX(Curves!$AG$8:$AG$68,BG$4-$B202+1)</f>
        <v/>
      </c>
      <c r="BH202" s="75">
        <f>$C202*INDEX(Curves!$AG$8:$AG$68,BH$4-$B202+1)</f>
        <v/>
      </c>
      <c r="BI202" s="75">
        <f>$C202*INDEX(Curves!$AG$8:$AG$68,BI$4-$B202+1)</f>
        <v/>
      </c>
      <c r="BJ202" s="75">
        <f>$C202*INDEX(Curves!$AG$8:$AG$68,BJ$4-$B202+1)</f>
        <v/>
      </c>
      <c r="BK202" s="75">
        <f>$C202*INDEX(Curves!$AG$8:$AG$68,BK$4-$B202+1)</f>
        <v/>
      </c>
      <c r="BL202" s="75">
        <f>$C202*INDEX(Curves!$AG$8:$AG$68,BL$4-$B202+1)</f>
        <v/>
      </c>
    </row>
    <row r="203">
      <c r="A203" s="74" t="inlineStr">
        <is>
          <t>Cohort month 5</t>
        </is>
      </c>
      <c r="B203" s="74" t="n">
        <v>5</v>
      </c>
      <c r="C203" s="17">
        <f>INDEX(Ops!$E$60:$BL$60,1,$B203)</f>
        <v/>
      </c>
      <c r="J203" s="75">
        <f>$C203*INDEX(Curves!$AG$8:$AG$68,J$4-$B203+1)</f>
        <v/>
      </c>
      <c r="K203" s="75">
        <f>$C203*INDEX(Curves!$AG$8:$AG$68,K$4-$B203+1)</f>
        <v/>
      </c>
      <c r="L203" s="75">
        <f>$C203*INDEX(Curves!$AG$8:$AG$68,L$4-$B203+1)</f>
        <v/>
      </c>
      <c r="M203" s="75">
        <f>$C203*INDEX(Curves!$AG$8:$AG$68,M$4-$B203+1)</f>
        <v/>
      </c>
      <c r="N203" s="75">
        <f>$C203*INDEX(Curves!$AG$8:$AG$68,N$4-$B203+1)</f>
        <v/>
      </c>
      <c r="O203" s="75">
        <f>$C203*INDEX(Curves!$AG$8:$AG$68,O$4-$B203+1)</f>
        <v/>
      </c>
      <c r="P203" s="75">
        <f>$C203*INDEX(Curves!$AG$8:$AG$68,P$4-$B203+1)</f>
        <v/>
      </c>
      <c r="Q203" s="75">
        <f>$C203*INDEX(Curves!$AG$8:$AG$68,Q$4-$B203+1)</f>
        <v/>
      </c>
      <c r="R203" s="75">
        <f>$C203*INDEX(Curves!$AG$8:$AG$68,R$4-$B203+1)</f>
        <v/>
      </c>
      <c r="S203" s="75">
        <f>$C203*INDEX(Curves!$AG$8:$AG$68,S$4-$B203+1)</f>
        <v/>
      </c>
      <c r="T203" s="75">
        <f>$C203*INDEX(Curves!$AG$8:$AG$68,T$4-$B203+1)</f>
        <v/>
      </c>
      <c r="U203" s="75">
        <f>$C203*INDEX(Curves!$AG$8:$AG$68,U$4-$B203+1)</f>
        <v/>
      </c>
      <c r="V203" s="75">
        <f>$C203*INDEX(Curves!$AG$8:$AG$68,V$4-$B203+1)</f>
        <v/>
      </c>
      <c r="W203" s="75">
        <f>$C203*INDEX(Curves!$AG$8:$AG$68,W$4-$B203+1)</f>
        <v/>
      </c>
      <c r="X203" s="75">
        <f>$C203*INDEX(Curves!$AG$8:$AG$68,X$4-$B203+1)</f>
        <v/>
      </c>
      <c r="Y203" s="75">
        <f>$C203*INDEX(Curves!$AG$8:$AG$68,Y$4-$B203+1)</f>
        <v/>
      </c>
      <c r="Z203" s="75">
        <f>$C203*INDEX(Curves!$AG$8:$AG$68,Z$4-$B203+1)</f>
        <v/>
      </c>
      <c r="AA203" s="75">
        <f>$C203*INDEX(Curves!$AG$8:$AG$68,AA$4-$B203+1)</f>
        <v/>
      </c>
      <c r="AB203" s="75">
        <f>$C203*INDEX(Curves!$AG$8:$AG$68,AB$4-$B203+1)</f>
        <v/>
      </c>
      <c r="AC203" s="75">
        <f>$C203*INDEX(Curves!$AG$8:$AG$68,AC$4-$B203+1)</f>
        <v/>
      </c>
      <c r="AD203" s="75">
        <f>$C203*INDEX(Curves!$AG$8:$AG$68,AD$4-$B203+1)</f>
        <v/>
      </c>
      <c r="AE203" s="75">
        <f>$C203*INDEX(Curves!$AG$8:$AG$68,AE$4-$B203+1)</f>
        <v/>
      </c>
      <c r="AF203" s="75">
        <f>$C203*INDEX(Curves!$AG$8:$AG$68,AF$4-$B203+1)</f>
        <v/>
      </c>
      <c r="AG203" s="75">
        <f>$C203*INDEX(Curves!$AG$8:$AG$68,AG$4-$B203+1)</f>
        <v/>
      </c>
      <c r="AH203" s="75">
        <f>$C203*INDEX(Curves!$AG$8:$AG$68,AH$4-$B203+1)</f>
        <v/>
      </c>
      <c r="AI203" s="75">
        <f>$C203*INDEX(Curves!$AG$8:$AG$68,AI$4-$B203+1)</f>
        <v/>
      </c>
      <c r="AJ203" s="75">
        <f>$C203*INDEX(Curves!$AG$8:$AG$68,AJ$4-$B203+1)</f>
        <v/>
      </c>
      <c r="AK203" s="75">
        <f>$C203*INDEX(Curves!$AG$8:$AG$68,AK$4-$B203+1)</f>
        <v/>
      </c>
      <c r="AL203" s="75">
        <f>$C203*INDEX(Curves!$AG$8:$AG$68,AL$4-$B203+1)</f>
        <v/>
      </c>
      <c r="AM203" s="75">
        <f>$C203*INDEX(Curves!$AG$8:$AG$68,AM$4-$B203+1)</f>
        <v/>
      </c>
      <c r="AN203" s="75">
        <f>$C203*INDEX(Curves!$AG$8:$AG$68,AN$4-$B203+1)</f>
        <v/>
      </c>
      <c r="AO203" s="75">
        <f>$C203*INDEX(Curves!$AG$8:$AG$68,AO$4-$B203+1)</f>
        <v/>
      </c>
      <c r="AP203" s="75">
        <f>$C203*INDEX(Curves!$AG$8:$AG$68,AP$4-$B203+1)</f>
        <v/>
      </c>
      <c r="AQ203" s="75">
        <f>$C203*INDEX(Curves!$AG$8:$AG$68,AQ$4-$B203+1)</f>
        <v/>
      </c>
      <c r="AR203" s="75">
        <f>$C203*INDEX(Curves!$AG$8:$AG$68,AR$4-$B203+1)</f>
        <v/>
      </c>
      <c r="AS203" s="75">
        <f>$C203*INDEX(Curves!$AG$8:$AG$68,AS$4-$B203+1)</f>
        <v/>
      </c>
      <c r="AT203" s="75">
        <f>$C203*INDEX(Curves!$AG$8:$AG$68,AT$4-$B203+1)</f>
        <v/>
      </c>
      <c r="AU203" s="75">
        <f>$C203*INDEX(Curves!$AG$8:$AG$68,AU$4-$B203+1)</f>
        <v/>
      </c>
      <c r="AV203" s="75">
        <f>$C203*INDEX(Curves!$AG$8:$AG$68,AV$4-$B203+1)</f>
        <v/>
      </c>
      <c r="AW203" s="75">
        <f>$C203*INDEX(Curves!$AG$8:$AG$68,AW$4-$B203+1)</f>
        <v/>
      </c>
      <c r="AX203" s="75">
        <f>$C203*INDEX(Curves!$AG$8:$AG$68,AX$4-$B203+1)</f>
        <v/>
      </c>
      <c r="AY203" s="75">
        <f>$C203*INDEX(Curves!$AG$8:$AG$68,AY$4-$B203+1)</f>
        <v/>
      </c>
      <c r="AZ203" s="75">
        <f>$C203*INDEX(Curves!$AG$8:$AG$68,AZ$4-$B203+1)</f>
        <v/>
      </c>
      <c r="BA203" s="75">
        <f>$C203*INDEX(Curves!$AG$8:$AG$68,BA$4-$B203+1)</f>
        <v/>
      </c>
      <c r="BB203" s="75">
        <f>$C203*INDEX(Curves!$AG$8:$AG$68,BB$4-$B203+1)</f>
        <v/>
      </c>
      <c r="BC203" s="75">
        <f>$C203*INDEX(Curves!$AG$8:$AG$68,BC$4-$B203+1)</f>
        <v/>
      </c>
      <c r="BD203" s="75">
        <f>$C203*INDEX(Curves!$AG$8:$AG$68,BD$4-$B203+1)</f>
        <v/>
      </c>
      <c r="BE203" s="75">
        <f>$C203*INDEX(Curves!$AG$8:$AG$68,BE$4-$B203+1)</f>
        <v/>
      </c>
      <c r="BF203" s="75">
        <f>$C203*INDEX(Curves!$AG$8:$AG$68,BF$4-$B203+1)</f>
        <v/>
      </c>
      <c r="BG203" s="75">
        <f>$C203*INDEX(Curves!$AG$8:$AG$68,BG$4-$B203+1)</f>
        <v/>
      </c>
      <c r="BH203" s="75">
        <f>$C203*INDEX(Curves!$AG$8:$AG$68,BH$4-$B203+1)</f>
        <v/>
      </c>
      <c r="BI203" s="75">
        <f>$C203*INDEX(Curves!$AG$8:$AG$68,BI$4-$B203+1)</f>
        <v/>
      </c>
      <c r="BJ203" s="75">
        <f>$C203*INDEX(Curves!$AG$8:$AG$68,BJ$4-$B203+1)</f>
        <v/>
      </c>
      <c r="BK203" s="75">
        <f>$C203*INDEX(Curves!$AG$8:$AG$68,BK$4-$B203+1)</f>
        <v/>
      </c>
      <c r="BL203" s="75">
        <f>$C203*INDEX(Curves!$AG$8:$AG$68,BL$4-$B203+1)</f>
        <v/>
      </c>
    </row>
    <row r="204">
      <c r="A204" s="74" t="inlineStr">
        <is>
          <t>Cohort month 6</t>
        </is>
      </c>
      <c r="B204" s="74" t="n">
        <v>6</v>
      </c>
      <c r="C204" s="17">
        <f>INDEX(Ops!$E$60:$BL$60,1,$B204)</f>
        <v/>
      </c>
      <c r="K204" s="75">
        <f>$C204*INDEX(Curves!$AG$8:$AG$68,K$4-$B204+1)</f>
        <v/>
      </c>
      <c r="L204" s="75">
        <f>$C204*INDEX(Curves!$AG$8:$AG$68,L$4-$B204+1)</f>
        <v/>
      </c>
      <c r="M204" s="75">
        <f>$C204*INDEX(Curves!$AG$8:$AG$68,M$4-$B204+1)</f>
        <v/>
      </c>
      <c r="N204" s="75">
        <f>$C204*INDEX(Curves!$AG$8:$AG$68,N$4-$B204+1)</f>
        <v/>
      </c>
      <c r="O204" s="75">
        <f>$C204*INDEX(Curves!$AG$8:$AG$68,O$4-$B204+1)</f>
        <v/>
      </c>
      <c r="P204" s="75">
        <f>$C204*INDEX(Curves!$AG$8:$AG$68,P$4-$B204+1)</f>
        <v/>
      </c>
      <c r="Q204" s="75">
        <f>$C204*INDEX(Curves!$AG$8:$AG$68,Q$4-$B204+1)</f>
        <v/>
      </c>
      <c r="R204" s="75">
        <f>$C204*INDEX(Curves!$AG$8:$AG$68,R$4-$B204+1)</f>
        <v/>
      </c>
      <c r="S204" s="75">
        <f>$C204*INDEX(Curves!$AG$8:$AG$68,S$4-$B204+1)</f>
        <v/>
      </c>
      <c r="T204" s="75">
        <f>$C204*INDEX(Curves!$AG$8:$AG$68,T$4-$B204+1)</f>
        <v/>
      </c>
      <c r="U204" s="75">
        <f>$C204*INDEX(Curves!$AG$8:$AG$68,U$4-$B204+1)</f>
        <v/>
      </c>
      <c r="V204" s="75">
        <f>$C204*INDEX(Curves!$AG$8:$AG$68,V$4-$B204+1)</f>
        <v/>
      </c>
      <c r="W204" s="75">
        <f>$C204*INDEX(Curves!$AG$8:$AG$68,W$4-$B204+1)</f>
        <v/>
      </c>
      <c r="X204" s="75">
        <f>$C204*INDEX(Curves!$AG$8:$AG$68,X$4-$B204+1)</f>
        <v/>
      </c>
      <c r="Y204" s="75">
        <f>$C204*INDEX(Curves!$AG$8:$AG$68,Y$4-$B204+1)</f>
        <v/>
      </c>
      <c r="Z204" s="75">
        <f>$C204*INDEX(Curves!$AG$8:$AG$68,Z$4-$B204+1)</f>
        <v/>
      </c>
      <c r="AA204" s="75">
        <f>$C204*INDEX(Curves!$AG$8:$AG$68,AA$4-$B204+1)</f>
        <v/>
      </c>
      <c r="AB204" s="75">
        <f>$C204*INDEX(Curves!$AG$8:$AG$68,AB$4-$B204+1)</f>
        <v/>
      </c>
      <c r="AC204" s="75">
        <f>$C204*INDEX(Curves!$AG$8:$AG$68,AC$4-$B204+1)</f>
        <v/>
      </c>
      <c r="AD204" s="75">
        <f>$C204*INDEX(Curves!$AG$8:$AG$68,AD$4-$B204+1)</f>
        <v/>
      </c>
      <c r="AE204" s="75">
        <f>$C204*INDEX(Curves!$AG$8:$AG$68,AE$4-$B204+1)</f>
        <v/>
      </c>
      <c r="AF204" s="75">
        <f>$C204*INDEX(Curves!$AG$8:$AG$68,AF$4-$B204+1)</f>
        <v/>
      </c>
      <c r="AG204" s="75">
        <f>$C204*INDEX(Curves!$AG$8:$AG$68,AG$4-$B204+1)</f>
        <v/>
      </c>
      <c r="AH204" s="75">
        <f>$C204*INDEX(Curves!$AG$8:$AG$68,AH$4-$B204+1)</f>
        <v/>
      </c>
      <c r="AI204" s="75">
        <f>$C204*INDEX(Curves!$AG$8:$AG$68,AI$4-$B204+1)</f>
        <v/>
      </c>
      <c r="AJ204" s="75">
        <f>$C204*INDEX(Curves!$AG$8:$AG$68,AJ$4-$B204+1)</f>
        <v/>
      </c>
      <c r="AK204" s="75">
        <f>$C204*INDEX(Curves!$AG$8:$AG$68,AK$4-$B204+1)</f>
        <v/>
      </c>
      <c r="AL204" s="75">
        <f>$C204*INDEX(Curves!$AG$8:$AG$68,AL$4-$B204+1)</f>
        <v/>
      </c>
      <c r="AM204" s="75">
        <f>$C204*INDEX(Curves!$AG$8:$AG$68,AM$4-$B204+1)</f>
        <v/>
      </c>
      <c r="AN204" s="75">
        <f>$C204*INDEX(Curves!$AG$8:$AG$68,AN$4-$B204+1)</f>
        <v/>
      </c>
      <c r="AO204" s="75">
        <f>$C204*INDEX(Curves!$AG$8:$AG$68,AO$4-$B204+1)</f>
        <v/>
      </c>
      <c r="AP204" s="75">
        <f>$C204*INDEX(Curves!$AG$8:$AG$68,AP$4-$B204+1)</f>
        <v/>
      </c>
      <c r="AQ204" s="75">
        <f>$C204*INDEX(Curves!$AG$8:$AG$68,AQ$4-$B204+1)</f>
        <v/>
      </c>
      <c r="AR204" s="75">
        <f>$C204*INDEX(Curves!$AG$8:$AG$68,AR$4-$B204+1)</f>
        <v/>
      </c>
      <c r="AS204" s="75">
        <f>$C204*INDEX(Curves!$AG$8:$AG$68,AS$4-$B204+1)</f>
        <v/>
      </c>
      <c r="AT204" s="75">
        <f>$C204*INDEX(Curves!$AG$8:$AG$68,AT$4-$B204+1)</f>
        <v/>
      </c>
      <c r="AU204" s="75">
        <f>$C204*INDEX(Curves!$AG$8:$AG$68,AU$4-$B204+1)</f>
        <v/>
      </c>
      <c r="AV204" s="75">
        <f>$C204*INDEX(Curves!$AG$8:$AG$68,AV$4-$B204+1)</f>
        <v/>
      </c>
      <c r="AW204" s="75">
        <f>$C204*INDEX(Curves!$AG$8:$AG$68,AW$4-$B204+1)</f>
        <v/>
      </c>
      <c r="AX204" s="75">
        <f>$C204*INDEX(Curves!$AG$8:$AG$68,AX$4-$B204+1)</f>
        <v/>
      </c>
      <c r="AY204" s="75">
        <f>$C204*INDEX(Curves!$AG$8:$AG$68,AY$4-$B204+1)</f>
        <v/>
      </c>
      <c r="AZ204" s="75">
        <f>$C204*INDEX(Curves!$AG$8:$AG$68,AZ$4-$B204+1)</f>
        <v/>
      </c>
      <c r="BA204" s="75">
        <f>$C204*INDEX(Curves!$AG$8:$AG$68,BA$4-$B204+1)</f>
        <v/>
      </c>
      <c r="BB204" s="75">
        <f>$C204*INDEX(Curves!$AG$8:$AG$68,BB$4-$B204+1)</f>
        <v/>
      </c>
      <c r="BC204" s="75">
        <f>$C204*INDEX(Curves!$AG$8:$AG$68,BC$4-$B204+1)</f>
        <v/>
      </c>
      <c r="BD204" s="75">
        <f>$C204*INDEX(Curves!$AG$8:$AG$68,BD$4-$B204+1)</f>
        <v/>
      </c>
      <c r="BE204" s="75">
        <f>$C204*INDEX(Curves!$AG$8:$AG$68,BE$4-$B204+1)</f>
        <v/>
      </c>
      <c r="BF204" s="75">
        <f>$C204*INDEX(Curves!$AG$8:$AG$68,BF$4-$B204+1)</f>
        <v/>
      </c>
      <c r="BG204" s="75">
        <f>$C204*INDEX(Curves!$AG$8:$AG$68,BG$4-$B204+1)</f>
        <v/>
      </c>
      <c r="BH204" s="75">
        <f>$C204*INDEX(Curves!$AG$8:$AG$68,BH$4-$B204+1)</f>
        <v/>
      </c>
      <c r="BI204" s="75">
        <f>$C204*INDEX(Curves!$AG$8:$AG$68,BI$4-$B204+1)</f>
        <v/>
      </c>
      <c r="BJ204" s="75">
        <f>$C204*INDEX(Curves!$AG$8:$AG$68,BJ$4-$B204+1)</f>
        <v/>
      </c>
      <c r="BK204" s="75">
        <f>$C204*INDEX(Curves!$AG$8:$AG$68,BK$4-$B204+1)</f>
        <v/>
      </c>
      <c r="BL204" s="75">
        <f>$C204*INDEX(Curves!$AG$8:$AG$68,BL$4-$B204+1)</f>
        <v/>
      </c>
    </row>
    <row r="205">
      <c r="A205" s="74" t="inlineStr">
        <is>
          <t>Cohort month 7</t>
        </is>
      </c>
      <c r="B205" s="74" t="n">
        <v>7</v>
      </c>
      <c r="C205" s="17">
        <f>INDEX(Ops!$E$60:$BL$60,1,$B205)</f>
        <v/>
      </c>
      <c r="L205" s="75">
        <f>$C205*INDEX(Curves!$AG$8:$AG$68,L$4-$B205+1)</f>
        <v/>
      </c>
      <c r="M205" s="75">
        <f>$C205*INDEX(Curves!$AG$8:$AG$68,M$4-$B205+1)</f>
        <v/>
      </c>
      <c r="N205" s="75">
        <f>$C205*INDEX(Curves!$AG$8:$AG$68,N$4-$B205+1)</f>
        <v/>
      </c>
      <c r="O205" s="75">
        <f>$C205*INDEX(Curves!$AG$8:$AG$68,O$4-$B205+1)</f>
        <v/>
      </c>
      <c r="P205" s="75">
        <f>$C205*INDEX(Curves!$AG$8:$AG$68,P$4-$B205+1)</f>
        <v/>
      </c>
      <c r="Q205" s="75">
        <f>$C205*INDEX(Curves!$AG$8:$AG$68,Q$4-$B205+1)</f>
        <v/>
      </c>
      <c r="R205" s="75">
        <f>$C205*INDEX(Curves!$AG$8:$AG$68,R$4-$B205+1)</f>
        <v/>
      </c>
      <c r="S205" s="75">
        <f>$C205*INDEX(Curves!$AG$8:$AG$68,S$4-$B205+1)</f>
        <v/>
      </c>
      <c r="T205" s="75">
        <f>$C205*INDEX(Curves!$AG$8:$AG$68,T$4-$B205+1)</f>
        <v/>
      </c>
      <c r="U205" s="75">
        <f>$C205*INDEX(Curves!$AG$8:$AG$68,U$4-$B205+1)</f>
        <v/>
      </c>
      <c r="V205" s="75">
        <f>$C205*INDEX(Curves!$AG$8:$AG$68,V$4-$B205+1)</f>
        <v/>
      </c>
      <c r="W205" s="75">
        <f>$C205*INDEX(Curves!$AG$8:$AG$68,W$4-$B205+1)</f>
        <v/>
      </c>
      <c r="X205" s="75">
        <f>$C205*INDEX(Curves!$AG$8:$AG$68,X$4-$B205+1)</f>
        <v/>
      </c>
      <c r="Y205" s="75">
        <f>$C205*INDEX(Curves!$AG$8:$AG$68,Y$4-$B205+1)</f>
        <v/>
      </c>
      <c r="Z205" s="75">
        <f>$C205*INDEX(Curves!$AG$8:$AG$68,Z$4-$B205+1)</f>
        <v/>
      </c>
      <c r="AA205" s="75">
        <f>$C205*INDEX(Curves!$AG$8:$AG$68,AA$4-$B205+1)</f>
        <v/>
      </c>
      <c r="AB205" s="75">
        <f>$C205*INDEX(Curves!$AG$8:$AG$68,AB$4-$B205+1)</f>
        <v/>
      </c>
      <c r="AC205" s="75">
        <f>$C205*INDEX(Curves!$AG$8:$AG$68,AC$4-$B205+1)</f>
        <v/>
      </c>
      <c r="AD205" s="75">
        <f>$C205*INDEX(Curves!$AG$8:$AG$68,AD$4-$B205+1)</f>
        <v/>
      </c>
      <c r="AE205" s="75">
        <f>$C205*INDEX(Curves!$AG$8:$AG$68,AE$4-$B205+1)</f>
        <v/>
      </c>
      <c r="AF205" s="75">
        <f>$C205*INDEX(Curves!$AG$8:$AG$68,AF$4-$B205+1)</f>
        <v/>
      </c>
      <c r="AG205" s="75">
        <f>$C205*INDEX(Curves!$AG$8:$AG$68,AG$4-$B205+1)</f>
        <v/>
      </c>
      <c r="AH205" s="75">
        <f>$C205*INDEX(Curves!$AG$8:$AG$68,AH$4-$B205+1)</f>
        <v/>
      </c>
      <c r="AI205" s="75">
        <f>$C205*INDEX(Curves!$AG$8:$AG$68,AI$4-$B205+1)</f>
        <v/>
      </c>
      <c r="AJ205" s="75">
        <f>$C205*INDEX(Curves!$AG$8:$AG$68,AJ$4-$B205+1)</f>
        <v/>
      </c>
      <c r="AK205" s="75">
        <f>$C205*INDEX(Curves!$AG$8:$AG$68,AK$4-$B205+1)</f>
        <v/>
      </c>
      <c r="AL205" s="75">
        <f>$C205*INDEX(Curves!$AG$8:$AG$68,AL$4-$B205+1)</f>
        <v/>
      </c>
      <c r="AM205" s="75">
        <f>$C205*INDEX(Curves!$AG$8:$AG$68,AM$4-$B205+1)</f>
        <v/>
      </c>
      <c r="AN205" s="75">
        <f>$C205*INDEX(Curves!$AG$8:$AG$68,AN$4-$B205+1)</f>
        <v/>
      </c>
      <c r="AO205" s="75">
        <f>$C205*INDEX(Curves!$AG$8:$AG$68,AO$4-$B205+1)</f>
        <v/>
      </c>
      <c r="AP205" s="75">
        <f>$C205*INDEX(Curves!$AG$8:$AG$68,AP$4-$B205+1)</f>
        <v/>
      </c>
      <c r="AQ205" s="75">
        <f>$C205*INDEX(Curves!$AG$8:$AG$68,AQ$4-$B205+1)</f>
        <v/>
      </c>
      <c r="AR205" s="75">
        <f>$C205*INDEX(Curves!$AG$8:$AG$68,AR$4-$B205+1)</f>
        <v/>
      </c>
      <c r="AS205" s="75">
        <f>$C205*INDEX(Curves!$AG$8:$AG$68,AS$4-$B205+1)</f>
        <v/>
      </c>
      <c r="AT205" s="75">
        <f>$C205*INDEX(Curves!$AG$8:$AG$68,AT$4-$B205+1)</f>
        <v/>
      </c>
      <c r="AU205" s="75">
        <f>$C205*INDEX(Curves!$AG$8:$AG$68,AU$4-$B205+1)</f>
        <v/>
      </c>
      <c r="AV205" s="75">
        <f>$C205*INDEX(Curves!$AG$8:$AG$68,AV$4-$B205+1)</f>
        <v/>
      </c>
      <c r="AW205" s="75">
        <f>$C205*INDEX(Curves!$AG$8:$AG$68,AW$4-$B205+1)</f>
        <v/>
      </c>
      <c r="AX205" s="75">
        <f>$C205*INDEX(Curves!$AG$8:$AG$68,AX$4-$B205+1)</f>
        <v/>
      </c>
      <c r="AY205" s="75">
        <f>$C205*INDEX(Curves!$AG$8:$AG$68,AY$4-$B205+1)</f>
        <v/>
      </c>
      <c r="AZ205" s="75">
        <f>$C205*INDEX(Curves!$AG$8:$AG$68,AZ$4-$B205+1)</f>
        <v/>
      </c>
      <c r="BA205" s="75">
        <f>$C205*INDEX(Curves!$AG$8:$AG$68,BA$4-$B205+1)</f>
        <v/>
      </c>
      <c r="BB205" s="75">
        <f>$C205*INDEX(Curves!$AG$8:$AG$68,BB$4-$B205+1)</f>
        <v/>
      </c>
      <c r="BC205" s="75">
        <f>$C205*INDEX(Curves!$AG$8:$AG$68,BC$4-$B205+1)</f>
        <v/>
      </c>
      <c r="BD205" s="75">
        <f>$C205*INDEX(Curves!$AG$8:$AG$68,BD$4-$B205+1)</f>
        <v/>
      </c>
      <c r="BE205" s="75">
        <f>$C205*INDEX(Curves!$AG$8:$AG$68,BE$4-$B205+1)</f>
        <v/>
      </c>
      <c r="BF205" s="75">
        <f>$C205*INDEX(Curves!$AG$8:$AG$68,BF$4-$B205+1)</f>
        <v/>
      </c>
      <c r="BG205" s="75">
        <f>$C205*INDEX(Curves!$AG$8:$AG$68,BG$4-$B205+1)</f>
        <v/>
      </c>
      <c r="BH205" s="75">
        <f>$C205*INDEX(Curves!$AG$8:$AG$68,BH$4-$B205+1)</f>
        <v/>
      </c>
      <c r="BI205" s="75">
        <f>$C205*INDEX(Curves!$AG$8:$AG$68,BI$4-$B205+1)</f>
        <v/>
      </c>
      <c r="BJ205" s="75">
        <f>$C205*INDEX(Curves!$AG$8:$AG$68,BJ$4-$B205+1)</f>
        <v/>
      </c>
      <c r="BK205" s="75">
        <f>$C205*INDEX(Curves!$AG$8:$AG$68,BK$4-$B205+1)</f>
        <v/>
      </c>
      <c r="BL205" s="75">
        <f>$C205*INDEX(Curves!$AG$8:$AG$68,BL$4-$B205+1)</f>
        <v/>
      </c>
    </row>
    <row r="206">
      <c r="A206" s="74" t="inlineStr">
        <is>
          <t>Cohort month 8</t>
        </is>
      </c>
      <c r="B206" s="74" t="n">
        <v>8</v>
      </c>
      <c r="C206" s="17">
        <f>INDEX(Ops!$E$60:$BL$60,1,$B206)</f>
        <v/>
      </c>
      <c r="M206" s="75">
        <f>$C206*INDEX(Curves!$AG$8:$AG$68,M$4-$B206+1)</f>
        <v/>
      </c>
      <c r="N206" s="75">
        <f>$C206*INDEX(Curves!$AG$8:$AG$68,N$4-$B206+1)</f>
        <v/>
      </c>
      <c r="O206" s="75">
        <f>$C206*INDEX(Curves!$AG$8:$AG$68,O$4-$B206+1)</f>
        <v/>
      </c>
      <c r="P206" s="75">
        <f>$C206*INDEX(Curves!$AG$8:$AG$68,P$4-$B206+1)</f>
        <v/>
      </c>
      <c r="Q206" s="75">
        <f>$C206*INDEX(Curves!$AG$8:$AG$68,Q$4-$B206+1)</f>
        <v/>
      </c>
      <c r="R206" s="75">
        <f>$C206*INDEX(Curves!$AG$8:$AG$68,R$4-$B206+1)</f>
        <v/>
      </c>
      <c r="S206" s="75">
        <f>$C206*INDEX(Curves!$AG$8:$AG$68,S$4-$B206+1)</f>
        <v/>
      </c>
      <c r="T206" s="75">
        <f>$C206*INDEX(Curves!$AG$8:$AG$68,T$4-$B206+1)</f>
        <v/>
      </c>
      <c r="U206" s="75">
        <f>$C206*INDEX(Curves!$AG$8:$AG$68,U$4-$B206+1)</f>
        <v/>
      </c>
      <c r="V206" s="75">
        <f>$C206*INDEX(Curves!$AG$8:$AG$68,V$4-$B206+1)</f>
        <v/>
      </c>
      <c r="W206" s="75">
        <f>$C206*INDEX(Curves!$AG$8:$AG$68,W$4-$B206+1)</f>
        <v/>
      </c>
      <c r="X206" s="75">
        <f>$C206*INDEX(Curves!$AG$8:$AG$68,X$4-$B206+1)</f>
        <v/>
      </c>
      <c r="Y206" s="75">
        <f>$C206*INDEX(Curves!$AG$8:$AG$68,Y$4-$B206+1)</f>
        <v/>
      </c>
      <c r="Z206" s="75">
        <f>$C206*INDEX(Curves!$AG$8:$AG$68,Z$4-$B206+1)</f>
        <v/>
      </c>
      <c r="AA206" s="75">
        <f>$C206*INDEX(Curves!$AG$8:$AG$68,AA$4-$B206+1)</f>
        <v/>
      </c>
      <c r="AB206" s="75">
        <f>$C206*INDEX(Curves!$AG$8:$AG$68,AB$4-$B206+1)</f>
        <v/>
      </c>
      <c r="AC206" s="75">
        <f>$C206*INDEX(Curves!$AG$8:$AG$68,AC$4-$B206+1)</f>
        <v/>
      </c>
      <c r="AD206" s="75">
        <f>$C206*INDEX(Curves!$AG$8:$AG$68,AD$4-$B206+1)</f>
        <v/>
      </c>
      <c r="AE206" s="75">
        <f>$C206*INDEX(Curves!$AG$8:$AG$68,AE$4-$B206+1)</f>
        <v/>
      </c>
      <c r="AF206" s="75">
        <f>$C206*INDEX(Curves!$AG$8:$AG$68,AF$4-$B206+1)</f>
        <v/>
      </c>
      <c r="AG206" s="75">
        <f>$C206*INDEX(Curves!$AG$8:$AG$68,AG$4-$B206+1)</f>
        <v/>
      </c>
      <c r="AH206" s="75">
        <f>$C206*INDEX(Curves!$AG$8:$AG$68,AH$4-$B206+1)</f>
        <v/>
      </c>
      <c r="AI206" s="75">
        <f>$C206*INDEX(Curves!$AG$8:$AG$68,AI$4-$B206+1)</f>
        <v/>
      </c>
      <c r="AJ206" s="75">
        <f>$C206*INDEX(Curves!$AG$8:$AG$68,AJ$4-$B206+1)</f>
        <v/>
      </c>
      <c r="AK206" s="75">
        <f>$C206*INDEX(Curves!$AG$8:$AG$68,AK$4-$B206+1)</f>
        <v/>
      </c>
      <c r="AL206" s="75">
        <f>$C206*INDEX(Curves!$AG$8:$AG$68,AL$4-$B206+1)</f>
        <v/>
      </c>
      <c r="AM206" s="75">
        <f>$C206*INDEX(Curves!$AG$8:$AG$68,AM$4-$B206+1)</f>
        <v/>
      </c>
      <c r="AN206" s="75">
        <f>$C206*INDEX(Curves!$AG$8:$AG$68,AN$4-$B206+1)</f>
        <v/>
      </c>
      <c r="AO206" s="75">
        <f>$C206*INDEX(Curves!$AG$8:$AG$68,AO$4-$B206+1)</f>
        <v/>
      </c>
      <c r="AP206" s="75">
        <f>$C206*INDEX(Curves!$AG$8:$AG$68,AP$4-$B206+1)</f>
        <v/>
      </c>
      <c r="AQ206" s="75">
        <f>$C206*INDEX(Curves!$AG$8:$AG$68,AQ$4-$B206+1)</f>
        <v/>
      </c>
      <c r="AR206" s="75">
        <f>$C206*INDEX(Curves!$AG$8:$AG$68,AR$4-$B206+1)</f>
        <v/>
      </c>
      <c r="AS206" s="75">
        <f>$C206*INDEX(Curves!$AG$8:$AG$68,AS$4-$B206+1)</f>
        <v/>
      </c>
      <c r="AT206" s="75">
        <f>$C206*INDEX(Curves!$AG$8:$AG$68,AT$4-$B206+1)</f>
        <v/>
      </c>
      <c r="AU206" s="75">
        <f>$C206*INDEX(Curves!$AG$8:$AG$68,AU$4-$B206+1)</f>
        <v/>
      </c>
      <c r="AV206" s="75">
        <f>$C206*INDEX(Curves!$AG$8:$AG$68,AV$4-$B206+1)</f>
        <v/>
      </c>
      <c r="AW206" s="75">
        <f>$C206*INDEX(Curves!$AG$8:$AG$68,AW$4-$B206+1)</f>
        <v/>
      </c>
      <c r="AX206" s="75">
        <f>$C206*INDEX(Curves!$AG$8:$AG$68,AX$4-$B206+1)</f>
        <v/>
      </c>
      <c r="AY206" s="75">
        <f>$C206*INDEX(Curves!$AG$8:$AG$68,AY$4-$B206+1)</f>
        <v/>
      </c>
      <c r="AZ206" s="75">
        <f>$C206*INDEX(Curves!$AG$8:$AG$68,AZ$4-$B206+1)</f>
        <v/>
      </c>
      <c r="BA206" s="75">
        <f>$C206*INDEX(Curves!$AG$8:$AG$68,BA$4-$B206+1)</f>
        <v/>
      </c>
      <c r="BB206" s="75">
        <f>$C206*INDEX(Curves!$AG$8:$AG$68,BB$4-$B206+1)</f>
        <v/>
      </c>
      <c r="BC206" s="75">
        <f>$C206*INDEX(Curves!$AG$8:$AG$68,BC$4-$B206+1)</f>
        <v/>
      </c>
      <c r="BD206" s="75">
        <f>$C206*INDEX(Curves!$AG$8:$AG$68,BD$4-$B206+1)</f>
        <v/>
      </c>
      <c r="BE206" s="75">
        <f>$C206*INDEX(Curves!$AG$8:$AG$68,BE$4-$B206+1)</f>
        <v/>
      </c>
      <c r="BF206" s="75">
        <f>$C206*INDEX(Curves!$AG$8:$AG$68,BF$4-$B206+1)</f>
        <v/>
      </c>
      <c r="BG206" s="75">
        <f>$C206*INDEX(Curves!$AG$8:$AG$68,BG$4-$B206+1)</f>
        <v/>
      </c>
      <c r="BH206" s="75">
        <f>$C206*INDEX(Curves!$AG$8:$AG$68,BH$4-$B206+1)</f>
        <v/>
      </c>
      <c r="BI206" s="75">
        <f>$C206*INDEX(Curves!$AG$8:$AG$68,BI$4-$B206+1)</f>
        <v/>
      </c>
      <c r="BJ206" s="75">
        <f>$C206*INDEX(Curves!$AG$8:$AG$68,BJ$4-$B206+1)</f>
        <v/>
      </c>
      <c r="BK206" s="75">
        <f>$C206*INDEX(Curves!$AG$8:$AG$68,BK$4-$B206+1)</f>
        <v/>
      </c>
      <c r="BL206" s="75">
        <f>$C206*INDEX(Curves!$AG$8:$AG$68,BL$4-$B206+1)</f>
        <v/>
      </c>
    </row>
    <row r="207">
      <c r="A207" s="74" t="inlineStr">
        <is>
          <t>Cohort month 9</t>
        </is>
      </c>
      <c r="B207" s="74" t="n">
        <v>9</v>
      </c>
      <c r="C207" s="17">
        <f>INDEX(Ops!$E$60:$BL$60,1,$B207)</f>
        <v/>
      </c>
      <c r="N207" s="75">
        <f>$C207*INDEX(Curves!$AG$8:$AG$68,N$4-$B207+1)</f>
        <v/>
      </c>
      <c r="O207" s="75">
        <f>$C207*INDEX(Curves!$AG$8:$AG$68,O$4-$B207+1)</f>
        <v/>
      </c>
      <c r="P207" s="75">
        <f>$C207*INDEX(Curves!$AG$8:$AG$68,P$4-$B207+1)</f>
        <v/>
      </c>
      <c r="Q207" s="75">
        <f>$C207*INDEX(Curves!$AG$8:$AG$68,Q$4-$B207+1)</f>
        <v/>
      </c>
      <c r="R207" s="75">
        <f>$C207*INDEX(Curves!$AG$8:$AG$68,R$4-$B207+1)</f>
        <v/>
      </c>
      <c r="S207" s="75">
        <f>$C207*INDEX(Curves!$AG$8:$AG$68,S$4-$B207+1)</f>
        <v/>
      </c>
      <c r="T207" s="75">
        <f>$C207*INDEX(Curves!$AG$8:$AG$68,T$4-$B207+1)</f>
        <v/>
      </c>
      <c r="U207" s="75">
        <f>$C207*INDEX(Curves!$AG$8:$AG$68,U$4-$B207+1)</f>
        <v/>
      </c>
      <c r="V207" s="75">
        <f>$C207*INDEX(Curves!$AG$8:$AG$68,V$4-$B207+1)</f>
        <v/>
      </c>
      <c r="W207" s="75">
        <f>$C207*INDEX(Curves!$AG$8:$AG$68,W$4-$B207+1)</f>
        <v/>
      </c>
      <c r="X207" s="75">
        <f>$C207*INDEX(Curves!$AG$8:$AG$68,X$4-$B207+1)</f>
        <v/>
      </c>
      <c r="Y207" s="75">
        <f>$C207*INDEX(Curves!$AG$8:$AG$68,Y$4-$B207+1)</f>
        <v/>
      </c>
      <c r="Z207" s="75">
        <f>$C207*INDEX(Curves!$AG$8:$AG$68,Z$4-$B207+1)</f>
        <v/>
      </c>
      <c r="AA207" s="75">
        <f>$C207*INDEX(Curves!$AG$8:$AG$68,AA$4-$B207+1)</f>
        <v/>
      </c>
      <c r="AB207" s="75">
        <f>$C207*INDEX(Curves!$AG$8:$AG$68,AB$4-$B207+1)</f>
        <v/>
      </c>
      <c r="AC207" s="75">
        <f>$C207*INDEX(Curves!$AG$8:$AG$68,AC$4-$B207+1)</f>
        <v/>
      </c>
      <c r="AD207" s="75">
        <f>$C207*INDEX(Curves!$AG$8:$AG$68,AD$4-$B207+1)</f>
        <v/>
      </c>
      <c r="AE207" s="75">
        <f>$C207*INDEX(Curves!$AG$8:$AG$68,AE$4-$B207+1)</f>
        <v/>
      </c>
      <c r="AF207" s="75">
        <f>$C207*INDEX(Curves!$AG$8:$AG$68,AF$4-$B207+1)</f>
        <v/>
      </c>
      <c r="AG207" s="75">
        <f>$C207*INDEX(Curves!$AG$8:$AG$68,AG$4-$B207+1)</f>
        <v/>
      </c>
      <c r="AH207" s="75">
        <f>$C207*INDEX(Curves!$AG$8:$AG$68,AH$4-$B207+1)</f>
        <v/>
      </c>
      <c r="AI207" s="75">
        <f>$C207*INDEX(Curves!$AG$8:$AG$68,AI$4-$B207+1)</f>
        <v/>
      </c>
      <c r="AJ207" s="75">
        <f>$C207*INDEX(Curves!$AG$8:$AG$68,AJ$4-$B207+1)</f>
        <v/>
      </c>
      <c r="AK207" s="75">
        <f>$C207*INDEX(Curves!$AG$8:$AG$68,AK$4-$B207+1)</f>
        <v/>
      </c>
      <c r="AL207" s="75">
        <f>$C207*INDEX(Curves!$AG$8:$AG$68,AL$4-$B207+1)</f>
        <v/>
      </c>
      <c r="AM207" s="75">
        <f>$C207*INDEX(Curves!$AG$8:$AG$68,AM$4-$B207+1)</f>
        <v/>
      </c>
      <c r="AN207" s="75">
        <f>$C207*INDEX(Curves!$AG$8:$AG$68,AN$4-$B207+1)</f>
        <v/>
      </c>
      <c r="AO207" s="75">
        <f>$C207*INDEX(Curves!$AG$8:$AG$68,AO$4-$B207+1)</f>
        <v/>
      </c>
      <c r="AP207" s="75">
        <f>$C207*INDEX(Curves!$AG$8:$AG$68,AP$4-$B207+1)</f>
        <v/>
      </c>
      <c r="AQ207" s="75">
        <f>$C207*INDEX(Curves!$AG$8:$AG$68,AQ$4-$B207+1)</f>
        <v/>
      </c>
      <c r="AR207" s="75">
        <f>$C207*INDEX(Curves!$AG$8:$AG$68,AR$4-$B207+1)</f>
        <v/>
      </c>
      <c r="AS207" s="75">
        <f>$C207*INDEX(Curves!$AG$8:$AG$68,AS$4-$B207+1)</f>
        <v/>
      </c>
      <c r="AT207" s="75">
        <f>$C207*INDEX(Curves!$AG$8:$AG$68,AT$4-$B207+1)</f>
        <v/>
      </c>
      <c r="AU207" s="75">
        <f>$C207*INDEX(Curves!$AG$8:$AG$68,AU$4-$B207+1)</f>
        <v/>
      </c>
      <c r="AV207" s="75">
        <f>$C207*INDEX(Curves!$AG$8:$AG$68,AV$4-$B207+1)</f>
        <v/>
      </c>
      <c r="AW207" s="75">
        <f>$C207*INDEX(Curves!$AG$8:$AG$68,AW$4-$B207+1)</f>
        <v/>
      </c>
      <c r="AX207" s="75">
        <f>$C207*INDEX(Curves!$AG$8:$AG$68,AX$4-$B207+1)</f>
        <v/>
      </c>
      <c r="AY207" s="75">
        <f>$C207*INDEX(Curves!$AG$8:$AG$68,AY$4-$B207+1)</f>
        <v/>
      </c>
      <c r="AZ207" s="75">
        <f>$C207*INDEX(Curves!$AG$8:$AG$68,AZ$4-$B207+1)</f>
        <v/>
      </c>
      <c r="BA207" s="75">
        <f>$C207*INDEX(Curves!$AG$8:$AG$68,BA$4-$B207+1)</f>
        <v/>
      </c>
      <c r="BB207" s="75">
        <f>$C207*INDEX(Curves!$AG$8:$AG$68,BB$4-$B207+1)</f>
        <v/>
      </c>
      <c r="BC207" s="75">
        <f>$C207*INDEX(Curves!$AG$8:$AG$68,BC$4-$B207+1)</f>
        <v/>
      </c>
      <c r="BD207" s="75">
        <f>$C207*INDEX(Curves!$AG$8:$AG$68,BD$4-$B207+1)</f>
        <v/>
      </c>
      <c r="BE207" s="75">
        <f>$C207*INDEX(Curves!$AG$8:$AG$68,BE$4-$B207+1)</f>
        <v/>
      </c>
      <c r="BF207" s="75">
        <f>$C207*INDEX(Curves!$AG$8:$AG$68,BF$4-$B207+1)</f>
        <v/>
      </c>
      <c r="BG207" s="75">
        <f>$C207*INDEX(Curves!$AG$8:$AG$68,BG$4-$B207+1)</f>
        <v/>
      </c>
      <c r="BH207" s="75">
        <f>$C207*INDEX(Curves!$AG$8:$AG$68,BH$4-$B207+1)</f>
        <v/>
      </c>
      <c r="BI207" s="75">
        <f>$C207*INDEX(Curves!$AG$8:$AG$68,BI$4-$B207+1)</f>
        <v/>
      </c>
      <c r="BJ207" s="75">
        <f>$C207*INDEX(Curves!$AG$8:$AG$68,BJ$4-$B207+1)</f>
        <v/>
      </c>
      <c r="BK207" s="75">
        <f>$C207*INDEX(Curves!$AG$8:$AG$68,BK$4-$B207+1)</f>
        <v/>
      </c>
      <c r="BL207" s="75">
        <f>$C207*INDEX(Curves!$AG$8:$AG$68,BL$4-$B207+1)</f>
        <v/>
      </c>
    </row>
    <row r="208">
      <c r="A208" s="74" t="inlineStr">
        <is>
          <t>Cohort month 10</t>
        </is>
      </c>
      <c r="B208" s="74" t="n">
        <v>10</v>
      </c>
      <c r="C208" s="17">
        <f>INDEX(Ops!$E$60:$BL$60,1,$B208)</f>
        <v/>
      </c>
      <c r="O208" s="75">
        <f>$C208*INDEX(Curves!$AG$8:$AG$68,O$4-$B208+1)</f>
        <v/>
      </c>
      <c r="P208" s="75">
        <f>$C208*INDEX(Curves!$AG$8:$AG$68,P$4-$B208+1)</f>
        <v/>
      </c>
      <c r="Q208" s="75">
        <f>$C208*INDEX(Curves!$AG$8:$AG$68,Q$4-$B208+1)</f>
        <v/>
      </c>
      <c r="R208" s="75">
        <f>$C208*INDEX(Curves!$AG$8:$AG$68,R$4-$B208+1)</f>
        <v/>
      </c>
      <c r="S208" s="75">
        <f>$C208*INDEX(Curves!$AG$8:$AG$68,S$4-$B208+1)</f>
        <v/>
      </c>
      <c r="T208" s="75">
        <f>$C208*INDEX(Curves!$AG$8:$AG$68,T$4-$B208+1)</f>
        <v/>
      </c>
      <c r="U208" s="75">
        <f>$C208*INDEX(Curves!$AG$8:$AG$68,U$4-$B208+1)</f>
        <v/>
      </c>
      <c r="V208" s="75">
        <f>$C208*INDEX(Curves!$AG$8:$AG$68,V$4-$B208+1)</f>
        <v/>
      </c>
      <c r="W208" s="75">
        <f>$C208*INDEX(Curves!$AG$8:$AG$68,W$4-$B208+1)</f>
        <v/>
      </c>
      <c r="X208" s="75">
        <f>$C208*INDEX(Curves!$AG$8:$AG$68,X$4-$B208+1)</f>
        <v/>
      </c>
      <c r="Y208" s="75">
        <f>$C208*INDEX(Curves!$AG$8:$AG$68,Y$4-$B208+1)</f>
        <v/>
      </c>
      <c r="Z208" s="75">
        <f>$C208*INDEX(Curves!$AG$8:$AG$68,Z$4-$B208+1)</f>
        <v/>
      </c>
      <c r="AA208" s="75">
        <f>$C208*INDEX(Curves!$AG$8:$AG$68,AA$4-$B208+1)</f>
        <v/>
      </c>
      <c r="AB208" s="75">
        <f>$C208*INDEX(Curves!$AG$8:$AG$68,AB$4-$B208+1)</f>
        <v/>
      </c>
      <c r="AC208" s="75">
        <f>$C208*INDEX(Curves!$AG$8:$AG$68,AC$4-$B208+1)</f>
        <v/>
      </c>
      <c r="AD208" s="75">
        <f>$C208*INDEX(Curves!$AG$8:$AG$68,AD$4-$B208+1)</f>
        <v/>
      </c>
      <c r="AE208" s="75">
        <f>$C208*INDEX(Curves!$AG$8:$AG$68,AE$4-$B208+1)</f>
        <v/>
      </c>
      <c r="AF208" s="75">
        <f>$C208*INDEX(Curves!$AG$8:$AG$68,AF$4-$B208+1)</f>
        <v/>
      </c>
      <c r="AG208" s="75">
        <f>$C208*INDEX(Curves!$AG$8:$AG$68,AG$4-$B208+1)</f>
        <v/>
      </c>
      <c r="AH208" s="75">
        <f>$C208*INDEX(Curves!$AG$8:$AG$68,AH$4-$B208+1)</f>
        <v/>
      </c>
      <c r="AI208" s="75">
        <f>$C208*INDEX(Curves!$AG$8:$AG$68,AI$4-$B208+1)</f>
        <v/>
      </c>
      <c r="AJ208" s="75">
        <f>$C208*INDEX(Curves!$AG$8:$AG$68,AJ$4-$B208+1)</f>
        <v/>
      </c>
      <c r="AK208" s="75">
        <f>$C208*INDEX(Curves!$AG$8:$AG$68,AK$4-$B208+1)</f>
        <v/>
      </c>
      <c r="AL208" s="75">
        <f>$C208*INDEX(Curves!$AG$8:$AG$68,AL$4-$B208+1)</f>
        <v/>
      </c>
      <c r="AM208" s="75">
        <f>$C208*INDEX(Curves!$AG$8:$AG$68,AM$4-$B208+1)</f>
        <v/>
      </c>
      <c r="AN208" s="75">
        <f>$C208*INDEX(Curves!$AG$8:$AG$68,AN$4-$B208+1)</f>
        <v/>
      </c>
      <c r="AO208" s="75">
        <f>$C208*INDEX(Curves!$AG$8:$AG$68,AO$4-$B208+1)</f>
        <v/>
      </c>
      <c r="AP208" s="75">
        <f>$C208*INDEX(Curves!$AG$8:$AG$68,AP$4-$B208+1)</f>
        <v/>
      </c>
      <c r="AQ208" s="75">
        <f>$C208*INDEX(Curves!$AG$8:$AG$68,AQ$4-$B208+1)</f>
        <v/>
      </c>
      <c r="AR208" s="75">
        <f>$C208*INDEX(Curves!$AG$8:$AG$68,AR$4-$B208+1)</f>
        <v/>
      </c>
      <c r="AS208" s="75">
        <f>$C208*INDEX(Curves!$AG$8:$AG$68,AS$4-$B208+1)</f>
        <v/>
      </c>
      <c r="AT208" s="75">
        <f>$C208*INDEX(Curves!$AG$8:$AG$68,AT$4-$B208+1)</f>
        <v/>
      </c>
      <c r="AU208" s="75">
        <f>$C208*INDEX(Curves!$AG$8:$AG$68,AU$4-$B208+1)</f>
        <v/>
      </c>
      <c r="AV208" s="75">
        <f>$C208*INDEX(Curves!$AG$8:$AG$68,AV$4-$B208+1)</f>
        <v/>
      </c>
      <c r="AW208" s="75">
        <f>$C208*INDEX(Curves!$AG$8:$AG$68,AW$4-$B208+1)</f>
        <v/>
      </c>
      <c r="AX208" s="75">
        <f>$C208*INDEX(Curves!$AG$8:$AG$68,AX$4-$B208+1)</f>
        <v/>
      </c>
      <c r="AY208" s="75">
        <f>$C208*INDEX(Curves!$AG$8:$AG$68,AY$4-$B208+1)</f>
        <v/>
      </c>
      <c r="AZ208" s="75">
        <f>$C208*INDEX(Curves!$AG$8:$AG$68,AZ$4-$B208+1)</f>
        <v/>
      </c>
      <c r="BA208" s="75">
        <f>$C208*INDEX(Curves!$AG$8:$AG$68,BA$4-$B208+1)</f>
        <v/>
      </c>
      <c r="BB208" s="75">
        <f>$C208*INDEX(Curves!$AG$8:$AG$68,BB$4-$B208+1)</f>
        <v/>
      </c>
      <c r="BC208" s="75">
        <f>$C208*INDEX(Curves!$AG$8:$AG$68,BC$4-$B208+1)</f>
        <v/>
      </c>
      <c r="BD208" s="75">
        <f>$C208*INDEX(Curves!$AG$8:$AG$68,BD$4-$B208+1)</f>
        <v/>
      </c>
      <c r="BE208" s="75">
        <f>$C208*INDEX(Curves!$AG$8:$AG$68,BE$4-$B208+1)</f>
        <v/>
      </c>
      <c r="BF208" s="75">
        <f>$C208*INDEX(Curves!$AG$8:$AG$68,BF$4-$B208+1)</f>
        <v/>
      </c>
      <c r="BG208" s="75">
        <f>$C208*INDEX(Curves!$AG$8:$AG$68,BG$4-$B208+1)</f>
        <v/>
      </c>
      <c r="BH208" s="75">
        <f>$C208*INDEX(Curves!$AG$8:$AG$68,BH$4-$B208+1)</f>
        <v/>
      </c>
      <c r="BI208" s="75">
        <f>$C208*INDEX(Curves!$AG$8:$AG$68,BI$4-$B208+1)</f>
        <v/>
      </c>
      <c r="BJ208" s="75">
        <f>$C208*INDEX(Curves!$AG$8:$AG$68,BJ$4-$B208+1)</f>
        <v/>
      </c>
      <c r="BK208" s="75">
        <f>$C208*INDEX(Curves!$AG$8:$AG$68,BK$4-$B208+1)</f>
        <v/>
      </c>
      <c r="BL208" s="75">
        <f>$C208*INDEX(Curves!$AG$8:$AG$68,BL$4-$B208+1)</f>
        <v/>
      </c>
    </row>
    <row r="209">
      <c r="A209" s="74" t="inlineStr">
        <is>
          <t>Cohort month 11</t>
        </is>
      </c>
      <c r="B209" s="74" t="n">
        <v>11</v>
      </c>
      <c r="C209" s="17">
        <f>INDEX(Ops!$E$60:$BL$60,1,$B209)</f>
        <v/>
      </c>
      <c r="P209" s="75">
        <f>$C209*INDEX(Curves!$AG$8:$AG$68,P$4-$B209+1)</f>
        <v/>
      </c>
      <c r="Q209" s="75">
        <f>$C209*INDEX(Curves!$AG$8:$AG$68,Q$4-$B209+1)</f>
        <v/>
      </c>
      <c r="R209" s="75">
        <f>$C209*INDEX(Curves!$AG$8:$AG$68,R$4-$B209+1)</f>
        <v/>
      </c>
      <c r="S209" s="75">
        <f>$C209*INDEX(Curves!$AG$8:$AG$68,S$4-$B209+1)</f>
        <v/>
      </c>
      <c r="T209" s="75">
        <f>$C209*INDEX(Curves!$AG$8:$AG$68,T$4-$B209+1)</f>
        <v/>
      </c>
      <c r="U209" s="75">
        <f>$C209*INDEX(Curves!$AG$8:$AG$68,U$4-$B209+1)</f>
        <v/>
      </c>
      <c r="V209" s="75">
        <f>$C209*INDEX(Curves!$AG$8:$AG$68,V$4-$B209+1)</f>
        <v/>
      </c>
      <c r="W209" s="75">
        <f>$C209*INDEX(Curves!$AG$8:$AG$68,W$4-$B209+1)</f>
        <v/>
      </c>
      <c r="X209" s="75">
        <f>$C209*INDEX(Curves!$AG$8:$AG$68,X$4-$B209+1)</f>
        <v/>
      </c>
      <c r="Y209" s="75">
        <f>$C209*INDEX(Curves!$AG$8:$AG$68,Y$4-$B209+1)</f>
        <v/>
      </c>
      <c r="Z209" s="75">
        <f>$C209*INDEX(Curves!$AG$8:$AG$68,Z$4-$B209+1)</f>
        <v/>
      </c>
      <c r="AA209" s="75">
        <f>$C209*INDEX(Curves!$AG$8:$AG$68,AA$4-$B209+1)</f>
        <v/>
      </c>
      <c r="AB209" s="75">
        <f>$C209*INDEX(Curves!$AG$8:$AG$68,AB$4-$B209+1)</f>
        <v/>
      </c>
      <c r="AC209" s="75">
        <f>$C209*INDEX(Curves!$AG$8:$AG$68,AC$4-$B209+1)</f>
        <v/>
      </c>
      <c r="AD209" s="75">
        <f>$C209*INDEX(Curves!$AG$8:$AG$68,AD$4-$B209+1)</f>
        <v/>
      </c>
      <c r="AE209" s="75">
        <f>$C209*INDEX(Curves!$AG$8:$AG$68,AE$4-$B209+1)</f>
        <v/>
      </c>
      <c r="AF209" s="75">
        <f>$C209*INDEX(Curves!$AG$8:$AG$68,AF$4-$B209+1)</f>
        <v/>
      </c>
      <c r="AG209" s="75">
        <f>$C209*INDEX(Curves!$AG$8:$AG$68,AG$4-$B209+1)</f>
        <v/>
      </c>
      <c r="AH209" s="75">
        <f>$C209*INDEX(Curves!$AG$8:$AG$68,AH$4-$B209+1)</f>
        <v/>
      </c>
      <c r="AI209" s="75">
        <f>$C209*INDEX(Curves!$AG$8:$AG$68,AI$4-$B209+1)</f>
        <v/>
      </c>
      <c r="AJ209" s="75">
        <f>$C209*INDEX(Curves!$AG$8:$AG$68,AJ$4-$B209+1)</f>
        <v/>
      </c>
      <c r="AK209" s="75">
        <f>$C209*INDEX(Curves!$AG$8:$AG$68,AK$4-$B209+1)</f>
        <v/>
      </c>
      <c r="AL209" s="75">
        <f>$C209*INDEX(Curves!$AG$8:$AG$68,AL$4-$B209+1)</f>
        <v/>
      </c>
      <c r="AM209" s="75">
        <f>$C209*INDEX(Curves!$AG$8:$AG$68,AM$4-$B209+1)</f>
        <v/>
      </c>
      <c r="AN209" s="75">
        <f>$C209*INDEX(Curves!$AG$8:$AG$68,AN$4-$B209+1)</f>
        <v/>
      </c>
      <c r="AO209" s="75">
        <f>$C209*INDEX(Curves!$AG$8:$AG$68,AO$4-$B209+1)</f>
        <v/>
      </c>
      <c r="AP209" s="75">
        <f>$C209*INDEX(Curves!$AG$8:$AG$68,AP$4-$B209+1)</f>
        <v/>
      </c>
      <c r="AQ209" s="75">
        <f>$C209*INDEX(Curves!$AG$8:$AG$68,AQ$4-$B209+1)</f>
        <v/>
      </c>
      <c r="AR209" s="75">
        <f>$C209*INDEX(Curves!$AG$8:$AG$68,AR$4-$B209+1)</f>
        <v/>
      </c>
      <c r="AS209" s="75">
        <f>$C209*INDEX(Curves!$AG$8:$AG$68,AS$4-$B209+1)</f>
        <v/>
      </c>
      <c r="AT209" s="75">
        <f>$C209*INDEX(Curves!$AG$8:$AG$68,AT$4-$B209+1)</f>
        <v/>
      </c>
      <c r="AU209" s="75">
        <f>$C209*INDEX(Curves!$AG$8:$AG$68,AU$4-$B209+1)</f>
        <v/>
      </c>
      <c r="AV209" s="75">
        <f>$C209*INDEX(Curves!$AG$8:$AG$68,AV$4-$B209+1)</f>
        <v/>
      </c>
      <c r="AW209" s="75">
        <f>$C209*INDEX(Curves!$AG$8:$AG$68,AW$4-$B209+1)</f>
        <v/>
      </c>
      <c r="AX209" s="75">
        <f>$C209*INDEX(Curves!$AG$8:$AG$68,AX$4-$B209+1)</f>
        <v/>
      </c>
      <c r="AY209" s="75">
        <f>$C209*INDEX(Curves!$AG$8:$AG$68,AY$4-$B209+1)</f>
        <v/>
      </c>
      <c r="AZ209" s="75">
        <f>$C209*INDEX(Curves!$AG$8:$AG$68,AZ$4-$B209+1)</f>
        <v/>
      </c>
      <c r="BA209" s="75">
        <f>$C209*INDEX(Curves!$AG$8:$AG$68,BA$4-$B209+1)</f>
        <v/>
      </c>
      <c r="BB209" s="75">
        <f>$C209*INDEX(Curves!$AG$8:$AG$68,BB$4-$B209+1)</f>
        <v/>
      </c>
      <c r="BC209" s="75">
        <f>$C209*INDEX(Curves!$AG$8:$AG$68,BC$4-$B209+1)</f>
        <v/>
      </c>
      <c r="BD209" s="75">
        <f>$C209*INDEX(Curves!$AG$8:$AG$68,BD$4-$B209+1)</f>
        <v/>
      </c>
      <c r="BE209" s="75">
        <f>$C209*INDEX(Curves!$AG$8:$AG$68,BE$4-$B209+1)</f>
        <v/>
      </c>
      <c r="BF209" s="75">
        <f>$C209*INDEX(Curves!$AG$8:$AG$68,BF$4-$B209+1)</f>
        <v/>
      </c>
      <c r="BG209" s="75">
        <f>$C209*INDEX(Curves!$AG$8:$AG$68,BG$4-$B209+1)</f>
        <v/>
      </c>
      <c r="BH209" s="75">
        <f>$C209*INDEX(Curves!$AG$8:$AG$68,BH$4-$B209+1)</f>
        <v/>
      </c>
      <c r="BI209" s="75">
        <f>$C209*INDEX(Curves!$AG$8:$AG$68,BI$4-$B209+1)</f>
        <v/>
      </c>
      <c r="BJ209" s="75">
        <f>$C209*INDEX(Curves!$AG$8:$AG$68,BJ$4-$B209+1)</f>
        <v/>
      </c>
      <c r="BK209" s="75">
        <f>$C209*INDEX(Curves!$AG$8:$AG$68,BK$4-$B209+1)</f>
        <v/>
      </c>
      <c r="BL209" s="75">
        <f>$C209*INDEX(Curves!$AG$8:$AG$68,BL$4-$B209+1)</f>
        <v/>
      </c>
    </row>
    <row r="210">
      <c r="A210" s="74" t="inlineStr">
        <is>
          <t>Cohort month 12</t>
        </is>
      </c>
      <c r="B210" s="74" t="n">
        <v>12</v>
      </c>
      <c r="C210" s="17">
        <f>INDEX(Ops!$E$60:$BL$60,1,$B210)</f>
        <v/>
      </c>
      <c r="Q210" s="75">
        <f>$C210*INDEX(Curves!$AG$8:$AG$68,Q$4-$B210+1)</f>
        <v/>
      </c>
      <c r="R210" s="75">
        <f>$C210*INDEX(Curves!$AG$8:$AG$68,R$4-$B210+1)</f>
        <v/>
      </c>
      <c r="S210" s="75">
        <f>$C210*INDEX(Curves!$AG$8:$AG$68,S$4-$B210+1)</f>
        <v/>
      </c>
      <c r="T210" s="75">
        <f>$C210*INDEX(Curves!$AG$8:$AG$68,T$4-$B210+1)</f>
        <v/>
      </c>
      <c r="U210" s="75">
        <f>$C210*INDEX(Curves!$AG$8:$AG$68,U$4-$B210+1)</f>
        <v/>
      </c>
      <c r="V210" s="75">
        <f>$C210*INDEX(Curves!$AG$8:$AG$68,V$4-$B210+1)</f>
        <v/>
      </c>
      <c r="W210" s="75">
        <f>$C210*INDEX(Curves!$AG$8:$AG$68,W$4-$B210+1)</f>
        <v/>
      </c>
      <c r="X210" s="75">
        <f>$C210*INDEX(Curves!$AG$8:$AG$68,X$4-$B210+1)</f>
        <v/>
      </c>
      <c r="Y210" s="75">
        <f>$C210*INDEX(Curves!$AG$8:$AG$68,Y$4-$B210+1)</f>
        <v/>
      </c>
      <c r="Z210" s="75">
        <f>$C210*INDEX(Curves!$AG$8:$AG$68,Z$4-$B210+1)</f>
        <v/>
      </c>
      <c r="AA210" s="75">
        <f>$C210*INDEX(Curves!$AG$8:$AG$68,AA$4-$B210+1)</f>
        <v/>
      </c>
      <c r="AB210" s="75">
        <f>$C210*INDEX(Curves!$AG$8:$AG$68,AB$4-$B210+1)</f>
        <v/>
      </c>
      <c r="AC210" s="75">
        <f>$C210*INDEX(Curves!$AG$8:$AG$68,AC$4-$B210+1)</f>
        <v/>
      </c>
      <c r="AD210" s="75">
        <f>$C210*INDEX(Curves!$AG$8:$AG$68,AD$4-$B210+1)</f>
        <v/>
      </c>
      <c r="AE210" s="75">
        <f>$C210*INDEX(Curves!$AG$8:$AG$68,AE$4-$B210+1)</f>
        <v/>
      </c>
      <c r="AF210" s="75">
        <f>$C210*INDEX(Curves!$AG$8:$AG$68,AF$4-$B210+1)</f>
        <v/>
      </c>
      <c r="AG210" s="75">
        <f>$C210*INDEX(Curves!$AG$8:$AG$68,AG$4-$B210+1)</f>
        <v/>
      </c>
      <c r="AH210" s="75">
        <f>$C210*INDEX(Curves!$AG$8:$AG$68,AH$4-$B210+1)</f>
        <v/>
      </c>
      <c r="AI210" s="75">
        <f>$C210*INDEX(Curves!$AG$8:$AG$68,AI$4-$B210+1)</f>
        <v/>
      </c>
      <c r="AJ210" s="75">
        <f>$C210*INDEX(Curves!$AG$8:$AG$68,AJ$4-$B210+1)</f>
        <v/>
      </c>
      <c r="AK210" s="75">
        <f>$C210*INDEX(Curves!$AG$8:$AG$68,AK$4-$B210+1)</f>
        <v/>
      </c>
      <c r="AL210" s="75">
        <f>$C210*INDEX(Curves!$AG$8:$AG$68,AL$4-$B210+1)</f>
        <v/>
      </c>
      <c r="AM210" s="75">
        <f>$C210*INDEX(Curves!$AG$8:$AG$68,AM$4-$B210+1)</f>
        <v/>
      </c>
      <c r="AN210" s="75">
        <f>$C210*INDEX(Curves!$AG$8:$AG$68,AN$4-$B210+1)</f>
        <v/>
      </c>
      <c r="AO210" s="75">
        <f>$C210*INDEX(Curves!$AG$8:$AG$68,AO$4-$B210+1)</f>
        <v/>
      </c>
      <c r="AP210" s="75">
        <f>$C210*INDEX(Curves!$AG$8:$AG$68,AP$4-$B210+1)</f>
        <v/>
      </c>
      <c r="AQ210" s="75">
        <f>$C210*INDEX(Curves!$AG$8:$AG$68,AQ$4-$B210+1)</f>
        <v/>
      </c>
      <c r="AR210" s="75">
        <f>$C210*INDEX(Curves!$AG$8:$AG$68,AR$4-$B210+1)</f>
        <v/>
      </c>
      <c r="AS210" s="75">
        <f>$C210*INDEX(Curves!$AG$8:$AG$68,AS$4-$B210+1)</f>
        <v/>
      </c>
      <c r="AT210" s="75">
        <f>$C210*INDEX(Curves!$AG$8:$AG$68,AT$4-$B210+1)</f>
        <v/>
      </c>
      <c r="AU210" s="75">
        <f>$C210*INDEX(Curves!$AG$8:$AG$68,AU$4-$B210+1)</f>
        <v/>
      </c>
      <c r="AV210" s="75">
        <f>$C210*INDEX(Curves!$AG$8:$AG$68,AV$4-$B210+1)</f>
        <v/>
      </c>
      <c r="AW210" s="75">
        <f>$C210*INDEX(Curves!$AG$8:$AG$68,AW$4-$B210+1)</f>
        <v/>
      </c>
      <c r="AX210" s="75">
        <f>$C210*INDEX(Curves!$AG$8:$AG$68,AX$4-$B210+1)</f>
        <v/>
      </c>
      <c r="AY210" s="75">
        <f>$C210*INDEX(Curves!$AG$8:$AG$68,AY$4-$B210+1)</f>
        <v/>
      </c>
      <c r="AZ210" s="75">
        <f>$C210*INDEX(Curves!$AG$8:$AG$68,AZ$4-$B210+1)</f>
        <v/>
      </c>
      <c r="BA210" s="75">
        <f>$C210*INDEX(Curves!$AG$8:$AG$68,BA$4-$B210+1)</f>
        <v/>
      </c>
      <c r="BB210" s="75">
        <f>$C210*INDEX(Curves!$AG$8:$AG$68,BB$4-$B210+1)</f>
        <v/>
      </c>
      <c r="BC210" s="75">
        <f>$C210*INDEX(Curves!$AG$8:$AG$68,BC$4-$B210+1)</f>
        <v/>
      </c>
      <c r="BD210" s="75">
        <f>$C210*INDEX(Curves!$AG$8:$AG$68,BD$4-$B210+1)</f>
        <v/>
      </c>
      <c r="BE210" s="75">
        <f>$C210*INDEX(Curves!$AG$8:$AG$68,BE$4-$B210+1)</f>
        <v/>
      </c>
      <c r="BF210" s="75">
        <f>$C210*INDEX(Curves!$AG$8:$AG$68,BF$4-$B210+1)</f>
        <v/>
      </c>
      <c r="BG210" s="75">
        <f>$C210*INDEX(Curves!$AG$8:$AG$68,BG$4-$B210+1)</f>
        <v/>
      </c>
      <c r="BH210" s="75">
        <f>$C210*INDEX(Curves!$AG$8:$AG$68,BH$4-$B210+1)</f>
        <v/>
      </c>
      <c r="BI210" s="75">
        <f>$C210*INDEX(Curves!$AG$8:$AG$68,BI$4-$B210+1)</f>
        <v/>
      </c>
      <c r="BJ210" s="75">
        <f>$C210*INDEX(Curves!$AG$8:$AG$68,BJ$4-$B210+1)</f>
        <v/>
      </c>
      <c r="BK210" s="75">
        <f>$C210*INDEX(Curves!$AG$8:$AG$68,BK$4-$B210+1)</f>
        <v/>
      </c>
      <c r="BL210" s="75">
        <f>$C210*INDEX(Curves!$AG$8:$AG$68,BL$4-$B210+1)</f>
        <v/>
      </c>
    </row>
    <row r="211">
      <c r="A211" s="74" t="inlineStr">
        <is>
          <t>Cohort month 13</t>
        </is>
      </c>
      <c r="B211" s="74" t="n">
        <v>13</v>
      </c>
      <c r="C211" s="17">
        <f>INDEX(Ops!$E$60:$BL$60,1,$B211)</f>
        <v/>
      </c>
      <c r="R211" s="75">
        <f>$C211*INDEX(Curves!$AG$8:$AG$68,R$4-$B211+1)</f>
        <v/>
      </c>
      <c r="S211" s="75">
        <f>$C211*INDEX(Curves!$AG$8:$AG$68,S$4-$B211+1)</f>
        <v/>
      </c>
      <c r="T211" s="75">
        <f>$C211*INDEX(Curves!$AG$8:$AG$68,T$4-$B211+1)</f>
        <v/>
      </c>
      <c r="U211" s="75">
        <f>$C211*INDEX(Curves!$AG$8:$AG$68,U$4-$B211+1)</f>
        <v/>
      </c>
      <c r="V211" s="75">
        <f>$C211*INDEX(Curves!$AG$8:$AG$68,V$4-$B211+1)</f>
        <v/>
      </c>
      <c r="W211" s="75">
        <f>$C211*INDEX(Curves!$AG$8:$AG$68,W$4-$B211+1)</f>
        <v/>
      </c>
      <c r="X211" s="75">
        <f>$C211*INDEX(Curves!$AG$8:$AG$68,X$4-$B211+1)</f>
        <v/>
      </c>
      <c r="Y211" s="75">
        <f>$C211*INDEX(Curves!$AG$8:$AG$68,Y$4-$B211+1)</f>
        <v/>
      </c>
      <c r="Z211" s="75">
        <f>$C211*INDEX(Curves!$AG$8:$AG$68,Z$4-$B211+1)</f>
        <v/>
      </c>
      <c r="AA211" s="75">
        <f>$C211*INDEX(Curves!$AG$8:$AG$68,AA$4-$B211+1)</f>
        <v/>
      </c>
      <c r="AB211" s="75">
        <f>$C211*INDEX(Curves!$AG$8:$AG$68,AB$4-$B211+1)</f>
        <v/>
      </c>
      <c r="AC211" s="75">
        <f>$C211*INDEX(Curves!$AG$8:$AG$68,AC$4-$B211+1)</f>
        <v/>
      </c>
      <c r="AD211" s="75">
        <f>$C211*INDEX(Curves!$AG$8:$AG$68,AD$4-$B211+1)</f>
        <v/>
      </c>
      <c r="AE211" s="75">
        <f>$C211*INDEX(Curves!$AG$8:$AG$68,AE$4-$B211+1)</f>
        <v/>
      </c>
      <c r="AF211" s="75">
        <f>$C211*INDEX(Curves!$AG$8:$AG$68,AF$4-$B211+1)</f>
        <v/>
      </c>
      <c r="AG211" s="75">
        <f>$C211*INDEX(Curves!$AG$8:$AG$68,AG$4-$B211+1)</f>
        <v/>
      </c>
      <c r="AH211" s="75">
        <f>$C211*INDEX(Curves!$AG$8:$AG$68,AH$4-$B211+1)</f>
        <v/>
      </c>
      <c r="AI211" s="75">
        <f>$C211*INDEX(Curves!$AG$8:$AG$68,AI$4-$B211+1)</f>
        <v/>
      </c>
      <c r="AJ211" s="75">
        <f>$C211*INDEX(Curves!$AG$8:$AG$68,AJ$4-$B211+1)</f>
        <v/>
      </c>
      <c r="AK211" s="75">
        <f>$C211*INDEX(Curves!$AG$8:$AG$68,AK$4-$B211+1)</f>
        <v/>
      </c>
      <c r="AL211" s="75">
        <f>$C211*INDEX(Curves!$AG$8:$AG$68,AL$4-$B211+1)</f>
        <v/>
      </c>
      <c r="AM211" s="75">
        <f>$C211*INDEX(Curves!$AG$8:$AG$68,AM$4-$B211+1)</f>
        <v/>
      </c>
      <c r="AN211" s="75">
        <f>$C211*INDEX(Curves!$AG$8:$AG$68,AN$4-$B211+1)</f>
        <v/>
      </c>
      <c r="AO211" s="75">
        <f>$C211*INDEX(Curves!$AG$8:$AG$68,AO$4-$B211+1)</f>
        <v/>
      </c>
      <c r="AP211" s="75">
        <f>$C211*INDEX(Curves!$AG$8:$AG$68,AP$4-$B211+1)</f>
        <v/>
      </c>
      <c r="AQ211" s="75">
        <f>$C211*INDEX(Curves!$AG$8:$AG$68,AQ$4-$B211+1)</f>
        <v/>
      </c>
      <c r="AR211" s="75">
        <f>$C211*INDEX(Curves!$AG$8:$AG$68,AR$4-$B211+1)</f>
        <v/>
      </c>
      <c r="AS211" s="75">
        <f>$C211*INDEX(Curves!$AG$8:$AG$68,AS$4-$B211+1)</f>
        <v/>
      </c>
      <c r="AT211" s="75">
        <f>$C211*INDEX(Curves!$AG$8:$AG$68,AT$4-$B211+1)</f>
        <v/>
      </c>
      <c r="AU211" s="75">
        <f>$C211*INDEX(Curves!$AG$8:$AG$68,AU$4-$B211+1)</f>
        <v/>
      </c>
      <c r="AV211" s="75">
        <f>$C211*INDEX(Curves!$AG$8:$AG$68,AV$4-$B211+1)</f>
        <v/>
      </c>
      <c r="AW211" s="75">
        <f>$C211*INDEX(Curves!$AG$8:$AG$68,AW$4-$B211+1)</f>
        <v/>
      </c>
      <c r="AX211" s="75">
        <f>$C211*INDEX(Curves!$AG$8:$AG$68,AX$4-$B211+1)</f>
        <v/>
      </c>
      <c r="AY211" s="75">
        <f>$C211*INDEX(Curves!$AG$8:$AG$68,AY$4-$B211+1)</f>
        <v/>
      </c>
      <c r="AZ211" s="75">
        <f>$C211*INDEX(Curves!$AG$8:$AG$68,AZ$4-$B211+1)</f>
        <v/>
      </c>
      <c r="BA211" s="75">
        <f>$C211*INDEX(Curves!$AG$8:$AG$68,BA$4-$B211+1)</f>
        <v/>
      </c>
      <c r="BB211" s="75">
        <f>$C211*INDEX(Curves!$AG$8:$AG$68,BB$4-$B211+1)</f>
        <v/>
      </c>
      <c r="BC211" s="75">
        <f>$C211*INDEX(Curves!$AG$8:$AG$68,BC$4-$B211+1)</f>
        <v/>
      </c>
      <c r="BD211" s="75">
        <f>$C211*INDEX(Curves!$AG$8:$AG$68,BD$4-$B211+1)</f>
        <v/>
      </c>
      <c r="BE211" s="75">
        <f>$C211*INDEX(Curves!$AG$8:$AG$68,BE$4-$B211+1)</f>
        <v/>
      </c>
      <c r="BF211" s="75">
        <f>$C211*INDEX(Curves!$AG$8:$AG$68,BF$4-$B211+1)</f>
        <v/>
      </c>
      <c r="BG211" s="75">
        <f>$C211*INDEX(Curves!$AG$8:$AG$68,BG$4-$B211+1)</f>
        <v/>
      </c>
      <c r="BH211" s="75">
        <f>$C211*INDEX(Curves!$AG$8:$AG$68,BH$4-$B211+1)</f>
        <v/>
      </c>
      <c r="BI211" s="75">
        <f>$C211*INDEX(Curves!$AG$8:$AG$68,BI$4-$B211+1)</f>
        <v/>
      </c>
      <c r="BJ211" s="75">
        <f>$C211*INDEX(Curves!$AG$8:$AG$68,BJ$4-$B211+1)</f>
        <v/>
      </c>
      <c r="BK211" s="75">
        <f>$C211*INDEX(Curves!$AG$8:$AG$68,BK$4-$B211+1)</f>
        <v/>
      </c>
      <c r="BL211" s="75">
        <f>$C211*INDEX(Curves!$AG$8:$AG$68,BL$4-$B211+1)</f>
        <v/>
      </c>
    </row>
    <row r="212">
      <c r="A212" s="74" t="inlineStr">
        <is>
          <t>Cohort month 14</t>
        </is>
      </c>
      <c r="B212" s="74" t="n">
        <v>14</v>
      </c>
      <c r="C212" s="17">
        <f>INDEX(Ops!$E$60:$BL$60,1,$B212)</f>
        <v/>
      </c>
      <c r="S212" s="75">
        <f>$C212*INDEX(Curves!$AG$8:$AG$68,S$4-$B212+1)</f>
        <v/>
      </c>
      <c r="T212" s="75">
        <f>$C212*INDEX(Curves!$AG$8:$AG$68,T$4-$B212+1)</f>
        <v/>
      </c>
      <c r="U212" s="75">
        <f>$C212*INDEX(Curves!$AG$8:$AG$68,U$4-$B212+1)</f>
        <v/>
      </c>
      <c r="V212" s="75">
        <f>$C212*INDEX(Curves!$AG$8:$AG$68,V$4-$B212+1)</f>
        <v/>
      </c>
      <c r="W212" s="75">
        <f>$C212*INDEX(Curves!$AG$8:$AG$68,W$4-$B212+1)</f>
        <v/>
      </c>
      <c r="X212" s="75">
        <f>$C212*INDEX(Curves!$AG$8:$AG$68,X$4-$B212+1)</f>
        <v/>
      </c>
      <c r="Y212" s="75">
        <f>$C212*INDEX(Curves!$AG$8:$AG$68,Y$4-$B212+1)</f>
        <v/>
      </c>
      <c r="Z212" s="75">
        <f>$C212*INDEX(Curves!$AG$8:$AG$68,Z$4-$B212+1)</f>
        <v/>
      </c>
      <c r="AA212" s="75">
        <f>$C212*INDEX(Curves!$AG$8:$AG$68,AA$4-$B212+1)</f>
        <v/>
      </c>
      <c r="AB212" s="75">
        <f>$C212*INDEX(Curves!$AG$8:$AG$68,AB$4-$B212+1)</f>
        <v/>
      </c>
      <c r="AC212" s="75">
        <f>$C212*INDEX(Curves!$AG$8:$AG$68,AC$4-$B212+1)</f>
        <v/>
      </c>
      <c r="AD212" s="75">
        <f>$C212*INDEX(Curves!$AG$8:$AG$68,AD$4-$B212+1)</f>
        <v/>
      </c>
      <c r="AE212" s="75">
        <f>$C212*INDEX(Curves!$AG$8:$AG$68,AE$4-$B212+1)</f>
        <v/>
      </c>
      <c r="AF212" s="75">
        <f>$C212*INDEX(Curves!$AG$8:$AG$68,AF$4-$B212+1)</f>
        <v/>
      </c>
      <c r="AG212" s="75">
        <f>$C212*INDEX(Curves!$AG$8:$AG$68,AG$4-$B212+1)</f>
        <v/>
      </c>
      <c r="AH212" s="75">
        <f>$C212*INDEX(Curves!$AG$8:$AG$68,AH$4-$B212+1)</f>
        <v/>
      </c>
      <c r="AI212" s="75">
        <f>$C212*INDEX(Curves!$AG$8:$AG$68,AI$4-$B212+1)</f>
        <v/>
      </c>
      <c r="AJ212" s="75">
        <f>$C212*INDEX(Curves!$AG$8:$AG$68,AJ$4-$B212+1)</f>
        <v/>
      </c>
      <c r="AK212" s="75">
        <f>$C212*INDEX(Curves!$AG$8:$AG$68,AK$4-$B212+1)</f>
        <v/>
      </c>
      <c r="AL212" s="75">
        <f>$C212*INDEX(Curves!$AG$8:$AG$68,AL$4-$B212+1)</f>
        <v/>
      </c>
      <c r="AM212" s="75">
        <f>$C212*INDEX(Curves!$AG$8:$AG$68,AM$4-$B212+1)</f>
        <v/>
      </c>
      <c r="AN212" s="75">
        <f>$C212*INDEX(Curves!$AG$8:$AG$68,AN$4-$B212+1)</f>
        <v/>
      </c>
      <c r="AO212" s="75">
        <f>$C212*INDEX(Curves!$AG$8:$AG$68,AO$4-$B212+1)</f>
        <v/>
      </c>
      <c r="AP212" s="75">
        <f>$C212*INDEX(Curves!$AG$8:$AG$68,AP$4-$B212+1)</f>
        <v/>
      </c>
      <c r="AQ212" s="75">
        <f>$C212*INDEX(Curves!$AG$8:$AG$68,AQ$4-$B212+1)</f>
        <v/>
      </c>
      <c r="AR212" s="75">
        <f>$C212*INDEX(Curves!$AG$8:$AG$68,AR$4-$B212+1)</f>
        <v/>
      </c>
      <c r="AS212" s="75">
        <f>$C212*INDEX(Curves!$AG$8:$AG$68,AS$4-$B212+1)</f>
        <v/>
      </c>
      <c r="AT212" s="75">
        <f>$C212*INDEX(Curves!$AG$8:$AG$68,AT$4-$B212+1)</f>
        <v/>
      </c>
      <c r="AU212" s="75">
        <f>$C212*INDEX(Curves!$AG$8:$AG$68,AU$4-$B212+1)</f>
        <v/>
      </c>
      <c r="AV212" s="75">
        <f>$C212*INDEX(Curves!$AG$8:$AG$68,AV$4-$B212+1)</f>
        <v/>
      </c>
      <c r="AW212" s="75">
        <f>$C212*INDEX(Curves!$AG$8:$AG$68,AW$4-$B212+1)</f>
        <v/>
      </c>
      <c r="AX212" s="75">
        <f>$C212*INDEX(Curves!$AG$8:$AG$68,AX$4-$B212+1)</f>
        <v/>
      </c>
      <c r="AY212" s="75">
        <f>$C212*INDEX(Curves!$AG$8:$AG$68,AY$4-$B212+1)</f>
        <v/>
      </c>
      <c r="AZ212" s="75">
        <f>$C212*INDEX(Curves!$AG$8:$AG$68,AZ$4-$B212+1)</f>
        <v/>
      </c>
      <c r="BA212" s="75">
        <f>$C212*INDEX(Curves!$AG$8:$AG$68,BA$4-$B212+1)</f>
        <v/>
      </c>
      <c r="BB212" s="75">
        <f>$C212*INDEX(Curves!$AG$8:$AG$68,BB$4-$B212+1)</f>
        <v/>
      </c>
      <c r="BC212" s="75">
        <f>$C212*INDEX(Curves!$AG$8:$AG$68,BC$4-$B212+1)</f>
        <v/>
      </c>
      <c r="BD212" s="75">
        <f>$C212*INDEX(Curves!$AG$8:$AG$68,BD$4-$B212+1)</f>
        <v/>
      </c>
      <c r="BE212" s="75">
        <f>$C212*INDEX(Curves!$AG$8:$AG$68,BE$4-$B212+1)</f>
        <v/>
      </c>
      <c r="BF212" s="75">
        <f>$C212*INDEX(Curves!$AG$8:$AG$68,BF$4-$B212+1)</f>
        <v/>
      </c>
      <c r="BG212" s="75">
        <f>$C212*INDEX(Curves!$AG$8:$AG$68,BG$4-$B212+1)</f>
        <v/>
      </c>
      <c r="BH212" s="75">
        <f>$C212*INDEX(Curves!$AG$8:$AG$68,BH$4-$B212+1)</f>
        <v/>
      </c>
      <c r="BI212" s="75">
        <f>$C212*INDEX(Curves!$AG$8:$AG$68,BI$4-$B212+1)</f>
        <v/>
      </c>
      <c r="BJ212" s="75">
        <f>$C212*INDEX(Curves!$AG$8:$AG$68,BJ$4-$B212+1)</f>
        <v/>
      </c>
      <c r="BK212" s="75">
        <f>$C212*INDEX(Curves!$AG$8:$AG$68,BK$4-$B212+1)</f>
        <v/>
      </c>
      <c r="BL212" s="75">
        <f>$C212*INDEX(Curves!$AG$8:$AG$68,BL$4-$B212+1)</f>
        <v/>
      </c>
    </row>
    <row r="213">
      <c r="A213" s="74" t="inlineStr">
        <is>
          <t>Cohort month 15</t>
        </is>
      </c>
      <c r="B213" s="74" t="n">
        <v>15</v>
      </c>
      <c r="C213" s="17">
        <f>INDEX(Ops!$E$60:$BL$60,1,$B213)</f>
        <v/>
      </c>
      <c r="T213" s="75">
        <f>$C213*INDEX(Curves!$AG$8:$AG$68,T$4-$B213+1)</f>
        <v/>
      </c>
      <c r="U213" s="75">
        <f>$C213*INDEX(Curves!$AG$8:$AG$68,U$4-$B213+1)</f>
        <v/>
      </c>
      <c r="V213" s="75">
        <f>$C213*INDEX(Curves!$AG$8:$AG$68,V$4-$B213+1)</f>
        <v/>
      </c>
      <c r="W213" s="75">
        <f>$C213*INDEX(Curves!$AG$8:$AG$68,W$4-$B213+1)</f>
        <v/>
      </c>
      <c r="X213" s="75">
        <f>$C213*INDEX(Curves!$AG$8:$AG$68,X$4-$B213+1)</f>
        <v/>
      </c>
      <c r="Y213" s="75">
        <f>$C213*INDEX(Curves!$AG$8:$AG$68,Y$4-$B213+1)</f>
        <v/>
      </c>
      <c r="Z213" s="75">
        <f>$C213*INDEX(Curves!$AG$8:$AG$68,Z$4-$B213+1)</f>
        <v/>
      </c>
      <c r="AA213" s="75">
        <f>$C213*INDEX(Curves!$AG$8:$AG$68,AA$4-$B213+1)</f>
        <v/>
      </c>
      <c r="AB213" s="75">
        <f>$C213*INDEX(Curves!$AG$8:$AG$68,AB$4-$B213+1)</f>
        <v/>
      </c>
      <c r="AC213" s="75">
        <f>$C213*INDEX(Curves!$AG$8:$AG$68,AC$4-$B213+1)</f>
        <v/>
      </c>
      <c r="AD213" s="75">
        <f>$C213*INDEX(Curves!$AG$8:$AG$68,AD$4-$B213+1)</f>
        <v/>
      </c>
      <c r="AE213" s="75">
        <f>$C213*INDEX(Curves!$AG$8:$AG$68,AE$4-$B213+1)</f>
        <v/>
      </c>
      <c r="AF213" s="75">
        <f>$C213*INDEX(Curves!$AG$8:$AG$68,AF$4-$B213+1)</f>
        <v/>
      </c>
      <c r="AG213" s="75">
        <f>$C213*INDEX(Curves!$AG$8:$AG$68,AG$4-$B213+1)</f>
        <v/>
      </c>
      <c r="AH213" s="75">
        <f>$C213*INDEX(Curves!$AG$8:$AG$68,AH$4-$B213+1)</f>
        <v/>
      </c>
      <c r="AI213" s="75">
        <f>$C213*INDEX(Curves!$AG$8:$AG$68,AI$4-$B213+1)</f>
        <v/>
      </c>
      <c r="AJ213" s="75">
        <f>$C213*INDEX(Curves!$AG$8:$AG$68,AJ$4-$B213+1)</f>
        <v/>
      </c>
      <c r="AK213" s="75">
        <f>$C213*INDEX(Curves!$AG$8:$AG$68,AK$4-$B213+1)</f>
        <v/>
      </c>
      <c r="AL213" s="75">
        <f>$C213*INDEX(Curves!$AG$8:$AG$68,AL$4-$B213+1)</f>
        <v/>
      </c>
      <c r="AM213" s="75">
        <f>$C213*INDEX(Curves!$AG$8:$AG$68,AM$4-$B213+1)</f>
        <v/>
      </c>
      <c r="AN213" s="75">
        <f>$C213*INDEX(Curves!$AG$8:$AG$68,AN$4-$B213+1)</f>
        <v/>
      </c>
      <c r="AO213" s="75">
        <f>$C213*INDEX(Curves!$AG$8:$AG$68,AO$4-$B213+1)</f>
        <v/>
      </c>
      <c r="AP213" s="75">
        <f>$C213*INDEX(Curves!$AG$8:$AG$68,AP$4-$B213+1)</f>
        <v/>
      </c>
      <c r="AQ213" s="75">
        <f>$C213*INDEX(Curves!$AG$8:$AG$68,AQ$4-$B213+1)</f>
        <v/>
      </c>
      <c r="AR213" s="75">
        <f>$C213*INDEX(Curves!$AG$8:$AG$68,AR$4-$B213+1)</f>
        <v/>
      </c>
      <c r="AS213" s="75">
        <f>$C213*INDEX(Curves!$AG$8:$AG$68,AS$4-$B213+1)</f>
        <v/>
      </c>
      <c r="AT213" s="75">
        <f>$C213*INDEX(Curves!$AG$8:$AG$68,AT$4-$B213+1)</f>
        <v/>
      </c>
      <c r="AU213" s="75">
        <f>$C213*INDEX(Curves!$AG$8:$AG$68,AU$4-$B213+1)</f>
        <v/>
      </c>
      <c r="AV213" s="75">
        <f>$C213*INDEX(Curves!$AG$8:$AG$68,AV$4-$B213+1)</f>
        <v/>
      </c>
      <c r="AW213" s="75">
        <f>$C213*INDEX(Curves!$AG$8:$AG$68,AW$4-$B213+1)</f>
        <v/>
      </c>
      <c r="AX213" s="75">
        <f>$C213*INDEX(Curves!$AG$8:$AG$68,AX$4-$B213+1)</f>
        <v/>
      </c>
      <c r="AY213" s="75">
        <f>$C213*INDEX(Curves!$AG$8:$AG$68,AY$4-$B213+1)</f>
        <v/>
      </c>
      <c r="AZ213" s="75">
        <f>$C213*INDEX(Curves!$AG$8:$AG$68,AZ$4-$B213+1)</f>
        <v/>
      </c>
      <c r="BA213" s="75">
        <f>$C213*INDEX(Curves!$AG$8:$AG$68,BA$4-$B213+1)</f>
        <v/>
      </c>
      <c r="BB213" s="75">
        <f>$C213*INDEX(Curves!$AG$8:$AG$68,BB$4-$B213+1)</f>
        <v/>
      </c>
      <c r="BC213" s="75">
        <f>$C213*INDEX(Curves!$AG$8:$AG$68,BC$4-$B213+1)</f>
        <v/>
      </c>
      <c r="BD213" s="75">
        <f>$C213*INDEX(Curves!$AG$8:$AG$68,BD$4-$B213+1)</f>
        <v/>
      </c>
      <c r="BE213" s="75">
        <f>$C213*INDEX(Curves!$AG$8:$AG$68,BE$4-$B213+1)</f>
        <v/>
      </c>
      <c r="BF213" s="75">
        <f>$C213*INDEX(Curves!$AG$8:$AG$68,BF$4-$B213+1)</f>
        <v/>
      </c>
      <c r="BG213" s="75">
        <f>$C213*INDEX(Curves!$AG$8:$AG$68,BG$4-$B213+1)</f>
        <v/>
      </c>
      <c r="BH213" s="75">
        <f>$C213*INDEX(Curves!$AG$8:$AG$68,BH$4-$B213+1)</f>
        <v/>
      </c>
      <c r="BI213" s="75">
        <f>$C213*INDEX(Curves!$AG$8:$AG$68,BI$4-$B213+1)</f>
        <v/>
      </c>
      <c r="BJ213" s="75">
        <f>$C213*INDEX(Curves!$AG$8:$AG$68,BJ$4-$B213+1)</f>
        <v/>
      </c>
      <c r="BK213" s="75">
        <f>$C213*INDEX(Curves!$AG$8:$AG$68,BK$4-$B213+1)</f>
        <v/>
      </c>
      <c r="BL213" s="75">
        <f>$C213*INDEX(Curves!$AG$8:$AG$68,BL$4-$B213+1)</f>
        <v/>
      </c>
    </row>
    <row r="214">
      <c r="A214" s="74" t="inlineStr">
        <is>
          <t>Cohort month 16</t>
        </is>
      </c>
      <c r="B214" s="74" t="n">
        <v>16</v>
      </c>
      <c r="C214" s="17">
        <f>INDEX(Ops!$E$60:$BL$60,1,$B214)</f>
        <v/>
      </c>
      <c r="U214" s="75">
        <f>$C214*INDEX(Curves!$AG$8:$AG$68,U$4-$B214+1)</f>
        <v/>
      </c>
      <c r="V214" s="75">
        <f>$C214*INDEX(Curves!$AG$8:$AG$68,V$4-$B214+1)</f>
        <v/>
      </c>
      <c r="W214" s="75">
        <f>$C214*INDEX(Curves!$AG$8:$AG$68,W$4-$B214+1)</f>
        <v/>
      </c>
      <c r="X214" s="75">
        <f>$C214*INDEX(Curves!$AG$8:$AG$68,X$4-$B214+1)</f>
        <v/>
      </c>
      <c r="Y214" s="75">
        <f>$C214*INDEX(Curves!$AG$8:$AG$68,Y$4-$B214+1)</f>
        <v/>
      </c>
      <c r="Z214" s="75">
        <f>$C214*INDEX(Curves!$AG$8:$AG$68,Z$4-$B214+1)</f>
        <v/>
      </c>
      <c r="AA214" s="75">
        <f>$C214*INDEX(Curves!$AG$8:$AG$68,AA$4-$B214+1)</f>
        <v/>
      </c>
      <c r="AB214" s="75">
        <f>$C214*INDEX(Curves!$AG$8:$AG$68,AB$4-$B214+1)</f>
        <v/>
      </c>
      <c r="AC214" s="75">
        <f>$C214*INDEX(Curves!$AG$8:$AG$68,AC$4-$B214+1)</f>
        <v/>
      </c>
      <c r="AD214" s="75">
        <f>$C214*INDEX(Curves!$AG$8:$AG$68,AD$4-$B214+1)</f>
        <v/>
      </c>
      <c r="AE214" s="75">
        <f>$C214*INDEX(Curves!$AG$8:$AG$68,AE$4-$B214+1)</f>
        <v/>
      </c>
      <c r="AF214" s="75">
        <f>$C214*INDEX(Curves!$AG$8:$AG$68,AF$4-$B214+1)</f>
        <v/>
      </c>
      <c r="AG214" s="75">
        <f>$C214*INDEX(Curves!$AG$8:$AG$68,AG$4-$B214+1)</f>
        <v/>
      </c>
      <c r="AH214" s="75">
        <f>$C214*INDEX(Curves!$AG$8:$AG$68,AH$4-$B214+1)</f>
        <v/>
      </c>
      <c r="AI214" s="75">
        <f>$C214*INDEX(Curves!$AG$8:$AG$68,AI$4-$B214+1)</f>
        <v/>
      </c>
      <c r="AJ214" s="75">
        <f>$C214*INDEX(Curves!$AG$8:$AG$68,AJ$4-$B214+1)</f>
        <v/>
      </c>
      <c r="AK214" s="75">
        <f>$C214*INDEX(Curves!$AG$8:$AG$68,AK$4-$B214+1)</f>
        <v/>
      </c>
      <c r="AL214" s="75">
        <f>$C214*INDEX(Curves!$AG$8:$AG$68,AL$4-$B214+1)</f>
        <v/>
      </c>
      <c r="AM214" s="75">
        <f>$C214*INDEX(Curves!$AG$8:$AG$68,AM$4-$B214+1)</f>
        <v/>
      </c>
      <c r="AN214" s="75">
        <f>$C214*INDEX(Curves!$AG$8:$AG$68,AN$4-$B214+1)</f>
        <v/>
      </c>
      <c r="AO214" s="75">
        <f>$C214*INDEX(Curves!$AG$8:$AG$68,AO$4-$B214+1)</f>
        <v/>
      </c>
      <c r="AP214" s="75">
        <f>$C214*INDEX(Curves!$AG$8:$AG$68,AP$4-$B214+1)</f>
        <v/>
      </c>
      <c r="AQ214" s="75">
        <f>$C214*INDEX(Curves!$AG$8:$AG$68,AQ$4-$B214+1)</f>
        <v/>
      </c>
      <c r="AR214" s="75">
        <f>$C214*INDEX(Curves!$AG$8:$AG$68,AR$4-$B214+1)</f>
        <v/>
      </c>
      <c r="AS214" s="75">
        <f>$C214*INDEX(Curves!$AG$8:$AG$68,AS$4-$B214+1)</f>
        <v/>
      </c>
      <c r="AT214" s="75">
        <f>$C214*INDEX(Curves!$AG$8:$AG$68,AT$4-$B214+1)</f>
        <v/>
      </c>
      <c r="AU214" s="75">
        <f>$C214*INDEX(Curves!$AG$8:$AG$68,AU$4-$B214+1)</f>
        <v/>
      </c>
      <c r="AV214" s="75">
        <f>$C214*INDEX(Curves!$AG$8:$AG$68,AV$4-$B214+1)</f>
        <v/>
      </c>
      <c r="AW214" s="75">
        <f>$C214*INDEX(Curves!$AG$8:$AG$68,AW$4-$B214+1)</f>
        <v/>
      </c>
      <c r="AX214" s="75">
        <f>$C214*INDEX(Curves!$AG$8:$AG$68,AX$4-$B214+1)</f>
        <v/>
      </c>
      <c r="AY214" s="75">
        <f>$C214*INDEX(Curves!$AG$8:$AG$68,AY$4-$B214+1)</f>
        <v/>
      </c>
      <c r="AZ214" s="75">
        <f>$C214*INDEX(Curves!$AG$8:$AG$68,AZ$4-$B214+1)</f>
        <v/>
      </c>
      <c r="BA214" s="75">
        <f>$C214*INDEX(Curves!$AG$8:$AG$68,BA$4-$B214+1)</f>
        <v/>
      </c>
      <c r="BB214" s="75">
        <f>$C214*INDEX(Curves!$AG$8:$AG$68,BB$4-$B214+1)</f>
        <v/>
      </c>
      <c r="BC214" s="75">
        <f>$C214*INDEX(Curves!$AG$8:$AG$68,BC$4-$B214+1)</f>
        <v/>
      </c>
      <c r="BD214" s="75">
        <f>$C214*INDEX(Curves!$AG$8:$AG$68,BD$4-$B214+1)</f>
        <v/>
      </c>
      <c r="BE214" s="75">
        <f>$C214*INDEX(Curves!$AG$8:$AG$68,BE$4-$B214+1)</f>
        <v/>
      </c>
      <c r="BF214" s="75">
        <f>$C214*INDEX(Curves!$AG$8:$AG$68,BF$4-$B214+1)</f>
        <v/>
      </c>
      <c r="BG214" s="75">
        <f>$C214*INDEX(Curves!$AG$8:$AG$68,BG$4-$B214+1)</f>
        <v/>
      </c>
      <c r="BH214" s="75">
        <f>$C214*INDEX(Curves!$AG$8:$AG$68,BH$4-$B214+1)</f>
        <v/>
      </c>
      <c r="BI214" s="75">
        <f>$C214*INDEX(Curves!$AG$8:$AG$68,BI$4-$B214+1)</f>
        <v/>
      </c>
      <c r="BJ214" s="75">
        <f>$C214*INDEX(Curves!$AG$8:$AG$68,BJ$4-$B214+1)</f>
        <v/>
      </c>
      <c r="BK214" s="75">
        <f>$C214*INDEX(Curves!$AG$8:$AG$68,BK$4-$B214+1)</f>
        <v/>
      </c>
      <c r="BL214" s="75">
        <f>$C214*INDEX(Curves!$AG$8:$AG$68,BL$4-$B214+1)</f>
        <v/>
      </c>
    </row>
    <row r="215">
      <c r="A215" s="74" t="inlineStr">
        <is>
          <t>Cohort month 17</t>
        </is>
      </c>
      <c r="B215" s="74" t="n">
        <v>17</v>
      </c>
      <c r="C215" s="17">
        <f>INDEX(Ops!$E$60:$BL$60,1,$B215)</f>
        <v/>
      </c>
      <c r="V215" s="75">
        <f>$C215*INDEX(Curves!$AG$8:$AG$68,V$4-$B215+1)</f>
        <v/>
      </c>
      <c r="W215" s="75">
        <f>$C215*INDEX(Curves!$AG$8:$AG$68,W$4-$B215+1)</f>
        <v/>
      </c>
      <c r="X215" s="75">
        <f>$C215*INDEX(Curves!$AG$8:$AG$68,X$4-$B215+1)</f>
        <v/>
      </c>
      <c r="Y215" s="75">
        <f>$C215*INDEX(Curves!$AG$8:$AG$68,Y$4-$B215+1)</f>
        <v/>
      </c>
      <c r="Z215" s="75">
        <f>$C215*INDEX(Curves!$AG$8:$AG$68,Z$4-$B215+1)</f>
        <v/>
      </c>
      <c r="AA215" s="75">
        <f>$C215*INDEX(Curves!$AG$8:$AG$68,AA$4-$B215+1)</f>
        <v/>
      </c>
      <c r="AB215" s="75">
        <f>$C215*INDEX(Curves!$AG$8:$AG$68,AB$4-$B215+1)</f>
        <v/>
      </c>
      <c r="AC215" s="75">
        <f>$C215*INDEX(Curves!$AG$8:$AG$68,AC$4-$B215+1)</f>
        <v/>
      </c>
      <c r="AD215" s="75">
        <f>$C215*INDEX(Curves!$AG$8:$AG$68,AD$4-$B215+1)</f>
        <v/>
      </c>
      <c r="AE215" s="75">
        <f>$C215*INDEX(Curves!$AG$8:$AG$68,AE$4-$B215+1)</f>
        <v/>
      </c>
      <c r="AF215" s="75">
        <f>$C215*INDEX(Curves!$AG$8:$AG$68,AF$4-$B215+1)</f>
        <v/>
      </c>
      <c r="AG215" s="75">
        <f>$C215*INDEX(Curves!$AG$8:$AG$68,AG$4-$B215+1)</f>
        <v/>
      </c>
      <c r="AH215" s="75">
        <f>$C215*INDEX(Curves!$AG$8:$AG$68,AH$4-$B215+1)</f>
        <v/>
      </c>
      <c r="AI215" s="75">
        <f>$C215*INDEX(Curves!$AG$8:$AG$68,AI$4-$B215+1)</f>
        <v/>
      </c>
      <c r="AJ215" s="75">
        <f>$C215*INDEX(Curves!$AG$8:$AG$68,AJ$4-$B215+1)</f>
        <v/>
      </c>
      <c r="AK215" s="75">
        <f>$C215*INDEX(Curves!$AG$8:$AG$68,AK$4-$B215+1)</f>
        <v/>
      </c>
      <c r="AL215" s="75">
        <f>$C215*INDEX(Curves!$AG$8:$AG$68,AL$4-$B215+1)</f>
        <v/>
      </c>
      <c r="AM215" s="75">
        <f>$C215*INDEX(Curves!$AG$8:$AG$68,AM$4-$B215+1)</f>
        <v/>
      </c>
      <c r="AN215" s="75">
        <f>$C215*INDEX(Curves!$AG$8:$AG$68,AN$4-$B215+1)</f>
        <v/>
      </c>
      <c r="AO215" s="75">
        <f>$C215*INDEX(Curves!$AG$8:$AG$68,AO$4-$B215+1)</f>
        <v/>
      </c>
      <c r="AP215" s="75">
        <f>$C215*INDEX(Curves!$AG$8:$AG$68,AP$4-$B215+1)</f>
        <v/>
      </c>
      <c r="AQ215" s="75">
        <f>$C215*INDEX(Curves!$AG$8:$AG$68,AQ$4-$B215+1)</f>
        <v/>
      </c>
      <c r="AR215" s="75">
        <f>$C215*INDEX(Curves!$AG$8:$AG$68,AR$4-$B215+1)</f>
        <v/>
      </c>
      <c r="AS215" s="75">
        <f>$C215*INDEX(Curves!$AG$8:$AG$68,AS$4-$B215+1)</f>
        <v/>
      </c>
      <c r="AT215" s="75">
        <f>$C215*INDEX(Curves!$AG$8:$AG$68,AT$4-$B215+1)</f>
        <v/>
      </c>
      <c r="AU215" s="75">
        <f>$C215*INDEX(Curves!$AG$8:$AG$68,AU$4-$B215+1)</f>
        <v/>
      </c>
      <c r="AV215" s="75">
        <f>$C215*INDEX(Curves!$AG$8:$AG$68,AV$4-$B215+1)</f>
        <v/>
      </c>
      <c r="AW215" s="75">
        <f>$C215*INDEX(Curves!$AG$8:$AG$68,AW$4-$B215+1)</f>
        <v/>
      </c>
      <c r="AX215" s="75">
        <f>$C215*INDEX(Curves!$AG$8:$AG$68,AX$4-$B215+1)</f>
        <v/>
      </c>
      <c r="AY215" s="75">
        <f>$C215*INDEX(Curves!$AG$8:$AG$68,AY$4-$B215+1)</f>
        <v/>
      </c>
      <c r="AZ215" s="75">
        <f>$C215*INDEX(Curves!$AG$8:$AG$68,AZ$4-$B215+1)</f>
        <v/>
      </c>
      <c r="BA215" s="75">
        <f>$C215*INDEX(Curves!$AG$8:$AG$68,BA$4-$B215+1)</f>
        <v/>
      </c>
      <c r="BB215" s="75">
        <f>$C215*INDEX(Curves!$AG$8:$AG$68,BB$4-$B215+1)</f>
        <v/>
      </c>
      <c r="BC215" s="75">
        <f>$C215*INDEX(Curves!$AG$8:$AG$68,BC$4-$B215+1)</f>
        <v/>
      </c>
      <c r="BD215" s="75">
        <f>$C215*INDEX(Curves!$AG$8:$AG$68,BD$4-$B215+1)</f>
        <v/>
      </c>
      <c r="BE215" s="75">
        <f>$C215*INDEX(Curves!$AG$8:$AG$68,BE$4-$B215+1)</f>
        <v/>
      </c>
      <c r="BF215" s="75">
        <f>$C215*INDEX(Curves!$AG$8:$AG$68,BF$4-$B215+1)</f>
        <v/>
      </c>
      <c r="BG215" s="75">
        <f>$C215*INDEX(Curves!$AG$8:$AG$68,BG$4-$B215+1)</f>
        <v/>
      </c>
      <c r="BH215" s="75">
        <f>$C215*INDEX(Curves!$AG$8:$AG$68,BH$4-$B215+1)</f>
        <v/>
      </c>
      <c r="BI215" s="75">
        <f>$C215*INDEX(Curves!$AG$8:$AG$68,BI$4-$B215+1)</f>
        <v/>
      </c>
      <c r="BJ215" s="75">
        <f>$C215*INDEX(Curves!$AG$8:$AG$68,BJ$4-$B215+1)</f>
        <v/>
      </c>
      <c r="BK215" s="75">
        <f>$C215*INDEX(Curves!$AG$8:$AG$68,BK$4-$B215+1)</f>
        <v/>
      </c>
      <c r="BL215" s="75">
        <f>$C215*INDEX(Curves!$AG$8:$AG$68,BL$4-$B215+1)</f>
        <v/>
      </c>
    </row>
    <row r="216">
      <c r="A216" s="74" t="inlineStr">
        <is>
          <t>Cohort month 18</t>
        </is>
      </c>
      <c r="B216" s="74" t="n">
        <v>18</v>
      </c>
      <c r="C216" s="17">
        <f>INDEX(Ops!$E$60:$BL$60,1,$B216)</f>
        <v/>
      </c>
      <c r="W216" s="75">
        <f>$C216*INDEX(Curves!$AG$8:$AG$68,W$4-$B216+1)</f>
        <v/>
      </c>
      <c r="X216" s="75">
        <f>$C216*INDEX(Curves!$AG$8:$AG$68,X$4-$B216+1)</f>
        <v/>
      </c>
      <c r="Y216" s="75">
        <f>$C216*INDEX(Curves!$AG$8:$AG$68,Y$4-$B216+1)</f>
        <v/>
      </c>
      <c r="Z216" s="75">
        <f>$C216*INDEX(Curves!$AG$8:$AG$68,Z$4-$B216+1)</f>
        <v/>
      </c>
      <c r="AA216" s="75">
        <f>$C216*INDEX(Curves!$AG$8:$AG$68,AA$4-$B216+1)</f>
        <v/>
      </c>
      <c r="AB216" s="75">
        <f>$C216*INDEX(Curves!$AG$8:$AG$68,AB$4-$B216+1)</f>
        <v/>
      </c>
      <c r="AC216" s="75">
        <f>$C216*INDEX(Curves!$AG$8:$AG$68,AC$4-$B216+1)</f>
        <v/>
      </c>
      <c r="AD216" s="75">
        <f>$C216*INDEX(Curves!$AG$8:$AG$68,AD$4-$B216+1)</f>
        <v/>
      </c>
      <c r="AE216" s="75">
        <f>$C216*INDEX(Curves!$AG$8:$AG$68,AE$4-$B216+1)</f>
        <v/>
      </c>
      <c r="AF216" s="75">
        <f>$C216*INDEX(Curves!$AG$8:$AG$68,AF$4-$B216+1)</f>
        <v/>
      </c>
      <c r="AG216" s="75">
        <f>$C216*INDEX(Curves!$AG$8:$AG$68,AG$4-$B216+1)</f>
        <v/>
      </c>
      <c r="AH216" s="75">
        <f>$C216*INDEX(Curves!$AG$8:$AG$68,AH$4-$B216+1)</f>
        <v/>
      </c>
      <c r="AI216" s="75">
        <f>$C216*INDEX(Curves!$AG$8:$AG$68,AI$4-$B216+1)</f>
        <v/>
      </c>
      <c r="AJ216" s="75">
        <f>$C216*INDEX(Curves!$AG$8:$AG$68,AJ$4-$B216+1)</f>
        <v/>
      </c>
      <c r="AK216" s="75">
        <f>$C216*INDEX(Curves!$AG$8:$AG$68,AK$4-$B216+1)</f>
        <v/>
      </c>
      <c r="AL216" s="75">
        <f>$C216*INDEX(Curves!$AG$8:$AG$68,AL$4-$B216+1)</f>
        <v/>
      </c>
      <c r="AM216" s="75">
        <f>$C216*INDEX(Curves!$AG$8:$AG$68,AM$4-$B216+1)</f>
        <v/>
      </c>
      <c r="AN216" s="75">
        <f>$C216*INDEX(Curves!$AG$8:$AG$68,AN$4-$B216+1)</f>
        <v/>
      </c>
      <c r="AO216" s="75">
        <f>$C216*INDEX(Curves!$AG$8:$AG$68,AO$4-$B216+1)</f>
        <v/>
      </c>
      <c r="AP216" s="75">
        <f>$C216*INDEX(Curves!$AG$8:$AG$68,AP$4-$B216+1)</f>
        <v/>
      </c>
      <c r="AQ216" s="75">
        <f>$C216*INDEX(Curves!$AG$8:$AG$68,AQ$4-$B216+1)</f>
        <v/>
      </c>
      <c r="AR216" s="75">
        <f>$C216*INDEX(Curves!$AG$8:$AG$68,AR$4-$B216+1)</f>
        <v/>
      </c>
      <c r="AS216" s="75">
        <f>$C216*INDEX(Curves!$AG$8:$AG$68,AS$4-$B216+1)</f>
        <v/>
      </c>
      <c r="AT216" s="75">
        <f>$C216*INDEX(Curves!$AG$8:$AG$68,AT$4-$B216+1)</f>
        <v/>
      </c>
      <c r="AU216" s="75">
        <f>$C216*INDEX(Curves!$AG$8:$AG$68,AU$4-$B216+1)</f>
        <v/>
      </c>
      <c r="AV216" s="75">
        <f>$C216*INDEX(Curves!$AG$8:$AG$68,AV$4-$B216+1)</f>
        <v/>
      </c>
      <c r="AW216" s="75">
        <f>$C216*INDEX(Curves!$AG$8:$AG$68,AW$4-$B216+1)</f>
        <v/>
      </c>
      <c r="AX216" s="75">
        <f>$C216*INDEX(Curves!$AG$8:$AG$68,AX$4-$B216+1)</f>
        <v/>
      </c>
      <c r="AY216" s="75">
        <f>$C216*INDEX(Curves!$AG$8:$AG$68,AY$4-$B216+1)</f>
        <v/>
      </c>
      <c r="AZ216" s="75">
        <f>$C216*INDEX(Curves!$AG$8:$AG$68,AZ$4-$B216+1)</f>
        <v/>
      </c>
      <c r="BA216" s="75">
        <f>$C216*INDEX(Curves!$AG$8:$AG$68,BA$4-$B216+1)</f>
        <v/>
      </c>
      <c r="BB216" s="75">
        <f>$C216*INDEX(Curves!$AG$8:$AG$68,BB$4-$B216+1)</f>
        <v/>
      </c>
      <c r="BC216" s="75">
        <f>$C216*INDEX(Curves!$AG$8:$AG$68,BC$4-$B216+1)</f>
        <v/>
      </c>
      <c r="BD216" s="75">
        <f>$C216*INDEX(Curves!$AG$8:$AG$68,BD$4-$B216+1)</f>
        <v/>
      </c>
      <c r="BE216" s="75">
        <f>$C216*INDEX(Curves!$AG$8:$AG$68,BE$4-$B216+1)</f>
        <v/>
      </c>
      <c r="BF216" s="75">
        <f>$C216*INDEX(Curves!$AG$8:$AG$68,BF$4-$B216+1)</f>
        <v/>
      </c>
      <c r="BG216" s="75">
        <f>$C216*INDEX(Curves!$AG$8:$AG$68,BG$4-$B216+1)</f>
        <v/>
      </c>
      <c r="BH216" s="75">
        <f>$C216*INDEX(Curves!$AG$8:$AG$68,BH$4-$B216+1)</f>
        <v/>
      </c>
      <c r="BI216" s="75">
        <f>$C216*INDEX(Curves!$AG$8:$AG$68,BI$4-$B216+1)</f>
        <v/>
      </c>
      <c r="BJ216" s="75">
        <f>$C216*INDEX(Curves!$AG$8:$AG$68,BJ$4-$B216+1)</f>
        <v/>
      </c>
      <c r="BK216" s="75">
        <f>$C216*INDEX(Curves!$AG$8:$AG$68,BK$4-$B216+1)</f>
        <v/>
      </c>
      <c r="BL216" s="75">
        <f>$C216*INDEX(Curves!$AG$8:$AG$68,BL$4-$B216+1)</f>
        <v/>
      </c>
    </row>
    <row r="217">
      <c r="A217" s="74" t="inlineStr">
        <is>
          <t>Cohort month 19</t>
        </is>
      </c>
      <c r="B217" s="74" t="n">
        <v>19</v>
      </c>
      <c r="C217" s="17">
        <f>INDEX(Ops!$E$60:$BL$60,1,$B217)</f>
        <v/>
      </c>
      <c r="X217" s="75">
        <f>$C217*INDEX(Curves!$AG$8:$AG$68,X$4-$B217+1)</f>
        <v/>
      </c>
      <c r="Y217" s="75">
        <f>$C217*INDEX(Curves!$AG$8:$AG$68,Y$4-$B217+1)</f>
        <v/>
      </c>
      <c r="Z217" s="75">
        <f>$C217*INDEX(Curves!$AG$8:$AG$68,Z$4-$B217+1)</f>
        <v/>
      </c>
      <c r="AA217" s="75">
        <f>$C217*INDEX(Curves!$AG$8:$AG$68,AA$4-$B217+1)</f>
        <v/>
      </c>
      <c r="AB217" s="75">
        <f>$C217*INDEX(Curves!$AG$8:$AG$68,AB$4-$B217+1)</f>
        <v/>
      </c>
      <c r="AC217" s="75">
        <f>$C217*INDEX(Curves!$AG$8:$AG$68,AC$4-$B217+1)</f>
        <v/>
      </c>
      <c r="AD217" s="75">
        <f>$C217*INDEX(Curves!$AG$8:$AG$68,AD$4-$B217+1)</f>
        <v/>
      </c>
      <c r="AE217" s="75">
        <f>$C217*INDEX(Curves!$AG$8:$AG$68,AE$4-$B217+1)</f>
        <v/>
      </c>
      <c r="AF217" s="75">
        <f>$C217*INDEX(Curves!$AG$8:$AG$68,AF$4-$B217+1)</f>
        <v/>
      </c>
      <c r="AG217" s="75">
        <f>$C217*INDEX(Curves!$AG$8:$AG$68,AG$4-$B217+1)</f>
        <v/>
      </c>
      <c r="AH217" s="75">
        <f>$C217*INDEX(Curves!$AG$8:$AG$68,AH$4-$B217+1)</f>
        <v/>
      </c>
      <c r="AI217" s="75">
        <f>$C217*INDEX(Curves!$AG$8:$AG$68,AI$4-$B217+1)</f>
        <v/>
      </c>
      <c r="AJ217" s="75">
        <f>$C217*INDEX(Curves!$AG$8:$AG$68,AJ$4-$B217+1)</f>
        <v/>
      </c>
      <c r="AK217" s="75">
        <f>$C217*INDEX(Curves!$AG$8:$AG$68,AK$4-$B217+1)</f>
        <v/>
      </c>
      <c r="AL217" s="75">
        <f>$C217*INDEX(Curves!$AG$8:$AG$68,AL$4-$B217+1)</f>
        <v/>
      </c>
      <c r="AM217" s="75">
        <f>$C217*INDEX(Curves!$AG$8:$AG$68,AM$4-$B217+1)</f>
        <v/>
      </c>
      <c r="AN217" s="75">
        <f>$C217*INDEX(Curves!$AG$8:$AG$68,AN$4-$B217+1)</f>
        <v/>
      </c>
      <c r="AO217" s="75">
        <f>$C217*INDEX(Curves!$AG$8:$AG$68,AO$4-$B217+1)</f>
        <v/>
      </c>
      <c r="AP217" s="75">
        <f>$C217*INDEX(Curves!$AG$8:$AG$68,AP$4-$B217+1)</f>
        <v/>
      </c>
      <c r="AQ217" s="75">
        <f>$C217*INDEX(Curves!$AG$8:$AG$68,AQ$4-$B217+1)</f>
        <v/>
      </c>
      <c r="AR217" s="75">
        <f>$C217*INDEX(Curves!$AG$8:$AG$68,AR$4-$B217+1)</f>
        <v/>
      </c>
      <c r="AS217" s="75">
        <f>$C217*INDEX(Curves!$AG$8:$AG$68,AS$4-$B217+1)</f>
        <v/>
      </c>
      <c r="AT217" s="75">
        <f>$C217*INDEX(Curves!$AG$8:$AG$68,AT$4-$B217+1)</f>
        <v/>
      </c>
      <c r="AU217" s="75">
        <f>$C217*INDEX(Curves!$AG$8:$AG$68,AU$4-$B217+1)</f>
        <v/>
      </c>
      <c r="AV217" s="75">
        <f>$C217*INDEX(Curves!$AG$8:$AG$68,AV$4-$B217+1)</f>
        <v/>
      </c>
      <c r="AW217" s="75">
        <f>$C217*INDEX(Curves!$AG$8:$AG$68,AW$4-$B217+1)</f>
        <v/>
      </c>
      <c r="AX217" s="75">
        <f>$C217*INDEX(Curves!$AG$8:$AG$68,AX$4-$B217+1)</f>
        <v/>
      </c>
      <c r="AY217" s="75">
        <f>$C217*INDEX(Curves!$AG$8:$AG$68,AY$4-$B217+1)</f>
        <v/>
      </c>
      <c r="AZ217" s="75">
        <f>$C217*INDEX(Curves!$AG$8:$AG$68,AZ$4-$B217+1)</f>
        <v/>
      </c>
      <c r="BA217" s="75">
        <f>$C217*INDEX(Curves!$AG$8:$AG$68,BA$4-$B217+1)</f>
        <v/>
      </c>
      <c r="BB217" s="75">
        <f>$C217*INDEX(Curves!$AG$8:$AG$68,BB$4-$B217+1)</f>
        <v/>
      </c>
      <c r="BC217" s="75">
        <f>$C217*INDEX(Curves!$AG$8:$AG$68,BC$4-$B217+1)</f>
        <v/>
      </c>
      <c r="BD217" s="75">
        <f>$C217*INDEX(Curves!$AG$8:$AG$68,BD$4-$B217+1)</f>
        <v/>
      </c>
      <c r="BE217" s="75">
        <f>$C217*INDEX(Curves!$AG$8:$AG$68,BE$4-$B217+1)</f>
        <v/>
      </c>
      <c r="BF217" s="75">
        <f>$C217*INDEX(Curves!$AG$8:$AG$68,BF$4-$B217+1)</f>
        <v/>
      </c>
      <c r="BG217" s="75">
        <f>$C217*INDEX(Curves!$AG$8:$AG$68,BG$4-$B217+1)</f>
        <v/>
      </c>
      <c r="BH217" s="75">
        <f>$C217*INDEX(Curves!$AG$8:$AG$68,BH$4-$B217+1)</f>
        <v/>
      </c>
      <c r="BI217" s="75">
        <f>$C217*INDEX(Curves!$AG$8:$AG$68,BI$4-$B217+1)</f>
        <v/>
      </c>
      <c r="BJ217" s="75">
        <f>$C217*INDEX(Curves!$AG$8:$AG$68,BJ$4-$B217+1)</f>
        <v/>
      </c>
      <c r="BK217" s="75">
        <f>$C217*INDEX(Curves!$AG$8:$AG$68,BK$4-$B217+1)</f>
        <v/>
      </c>
      <c r="BL217" s="75">
        <f>$C217*INDEX(Curves!$AG$8:$AG$68,BL$4-$B217+1)</f>
        <v/>
      </c>
    </row>
    <row r="218">
      <c r="A218" s="74" t="inlineStr">
        <is>
          <t>Cohort month 20</t>
        </is>
      </c>
      <c r="B218" s="74" t="n">
        <v>20</v>
      </c>
      <c r="C218" s="17">
        <f>INDEX(Ops!$E$60:$BL$60,1,$B218)</f>
        <v/>
      </c>
      <c r="Y218" s="75">
        <f>$C218*INDEX(Curves!$AG$8:$AG$68,Y$4-$B218+1)</f>
        <v/>
      </c>
      <c r="Z218" s="75">
        <f>$C218*INDEX(Curves!$AG$8:$AG$68,Z$4-$B218+1)</f>
        <v/>
      </c>
      <c r="AA218" s="75">
        <f>$C218*INDEX(Curves!$AG$8:$AG$68,AA$4-$B218+1)</f>
        <v/>
      </c>
      <c r="AB218" s="75">
        <f>$C218*INDEX(Curves!$AG$8:$AG$68,AB$4-$B218+1)</f>
        <v/>
      </c>
      <c r="AC218" s="75">
        <f>$C218*INDEX(Curves!$AG$8:$AG$68,AC$4-$B218+1)</f>
        <v/>
      </c>
      <c r="AD218" s="75">
        <f>$C218*INDEX(Curves!$AG$8:$AG$68,AD$4-$B218+1)</f>
        <v/>
      </c>
      <c r="AE218" s="75">
        <f>$C218*INDEX(Curves!$AG$8:$AG$68,AE$4-$B218+1)</f>
        <v/>
      </c>
      <c r="AF218" s="75">
        <f>$C218*INDEX(Curves!$AG$8:$AG$68,AF$4-$B218+1)</f>
        <v/>
      </c>
      <c r="AG218" s="75">
        <f>$C218*INDEX(Curves!$AG$8:$AG$68,AG$4-$B218+1)</f>
        <v/>
      </c>
      <c r="AH218" s="75">
        <f>$C218*INDEX(Curves!$AG$8:$AG$68,AH$4-$B218+1)</f>
        <v/>
      </c>
      <c r="AI218" s="75">
        <f>$C218*INDEX(Curves!$AG$8:$AG$68,AI$4-$B218+1)</f>
        <v/>
      </c>
      <c r="AJ218" s="75">
        <f>$C218*INDEX(Curves!$AG$8:$AG$68,AJ$4-$B218+1)</f>
        <v/>
      </c>
      <c r="AK218" s="75">
        <f>$C218*INDEX(Curves!$AG$8:$AG$68,AK$4-$B218+1)</f>
        <v/>
      </c>
      <c r="AL218" s="75">
        <f>$C218*INDEX(Curves!$AG$8:$AG$68,AL$4-$B218+1)</f>
        <v/>
      </c>
      <c r="AM218" s="75">
        <f>$C218*INDEX(Curves!$AG$8:$AG$68,AM$4-$B218+1)</f>
        <v/>
      </c>
      <c r="AN218" s="75">
        <f>$C218*INDEX(Curves!$AG$8:$AG$68,AN$4-$B218+1)</f>
        <v/>
      </c>
      <c r="AO218" s="75">
        <f>$C218*INDEX(Curves!$AG$8:$AG$68,AO$4-$B218+1)</f>
        <v/>
      </c>
      <c r="AP218" s="75">
        <f>$C218*INDEX(Curves!$AG$8:$AG$68,AP$4-$B218+1)</f>
        <v/>
      </c>
      <c r="AQ218" s="75">
        <f>$C218*INDEX(Curves!$AG$8:$AG$68,AQ$4-$B218+1)</f>
        <v/>
      </c>
      <c r="AR218" s="75">
        <f>$C218*INDEX(Curves!$AG$8:$AG$68,AR$4-$B218+1)</f>
        <v/>
      </c>
      <c r="AS218" s="75">
        <f>$C218*INDEX(Curves!$AG$8:$AG$68,AS$4-$B218+1)</f>
        <v/>
      </c>
      <c r="AT218" s="75">
        <f>$C218*INDEX(Curves!$AG$8:$AG$68,AT$4-$B218+1)</f>
        <v/>
      </c>
      <c r="AU218" s="75">
        <f>$C218*INDEX(Curves!$AG$8:$AG$68,AU$4-$B218+1)</f>
        <v/>
      </c>
      <c r="AV218" s="75">
        <f>$C218*INDEX(Curves!$AG$8:$AG$68,AV$4-$B218+1)</f>
        <v/>
      </c>
      <c r="AW218" s="75">
        <f>$C218*INDEX(Curves!$AG$8:$AG$68,AW$4-$B218+1)</f>
        <v/>
      </c>
      <c r="AX218" s="75">
        <f>$C218*INDEX(Curves!$AG$8:$AG$68,AX$4-$B218+1)</f>
        <v/>
      </c>
      <c r="AY218" s="75">
        <f>$C218*INDEX(Curves!$AG$8:$AG$68,AY$4-$B218+1)</f>
        <v/>
      </c>
      <c r="AZ218" s="75">
        <f>$C218*INDEX(Curves!$AG$8:$AG$68,AZ$4-$B218+1)</f>
        <v/>
      </c>
      <c r="BA218" s="75">
        <f>$C218*INDEX(Curves!$AG$8:$AG$68,BA$4-$B218+1)</f>
        <v/>
      </c>
      <c r="BB218" s="75">
        <f>$C218*INDEX(Curves!$AG$8:$AG$68,BB$4-$B218+1)</f>
        <v/>
      </c>
      <c r="BC218" s="75">
        <f>$C218*INDEX(Curves!$AG$8:$AG$68,BC$4-$B218+1)</f>
        <v/>
      </c>
      <c r="BD218" s="75">
        <f>$C218*INDEX(Curves!$AG$8:$AG$68,BD$4-$B218+1)</f>
        <v/>
      </c>
      <c r="BE218" s="75">
        <f>$C218*INDEX(Curves!$AG$8:$AG$68,BE$4-$B218+1)</f>
        <v/>
      </c>
      <c r="BF218" s="75">
        <f>$C218*INDEX(Curves!$AG$8:$AG$68,BF$4-$B218+1)</f>
        <v/>
      </c>
      <c r="BG218" s="75">
        <f>$C218*INDEX(Curves!$AG$8:$AG$68,BG$4-$B218+1)</f>
        <v/>
      </c>
      <c r="BH218" s="75">
        <f>$C218*INDEX(Curves!$AG$8:$AG$68,BH$4-$B218+1)</f>
        <v/>
      </c>
      <c r="BI218" s="75">
        <f>$C218*INDEX(Curves!$AG$8:$AG$68,BI$4-$B218+1)</f>
        <v/>
      </c>
      <c r="BJ218" s="75">
        <f>$C218*INDEX(Curves!$AG$8:$AG$68,BJ$4-$B218+1)</f>
        <v/>
      </c>
      <c r="BK218" s="75">
        <f>$C218*INDEX(Curves!$AG$8:$AG$68,BK$4-$B218+1)</f>
        <v/>
      </c>
      <c r="BL218" s="75">
        <f>$C218*INDEX(Curves!$AG$8:$AG$68,BL$4-$B218+1)</f>
        <v/>
      </c>
    </row>
    <row r="219">
      <c r="A219" s="74" t="inlineStr">
        <is>
          <t>Cohort month 21</t>
        </is>
      </c>
      <c r="B219" s="74" t="n">
        <v>21</v>
      </c>
      <c r="C219" s="17">
        <f>INDEX(Ops!$E$60:$BL$60,1,$B219)</f>
        <v/>
      </c>
      <c r="Z219" s="75">
        <f>$C219*INDEX(Curves!$AG$8:$AG$68,Z$4-$B219+1)</f>
        <v/>
      </c>
      <c r="AA219" s="75">
        <f>$C219*INDEX(Curves!$AG$8:$AG$68,AA$4-$B219+1)</f>
        <v/>
      </c>
      <c r="AB219" s="75">
        <f>$C219*INDEX(Curves!$AG$8:$AG$68,AB$4-$B219+1)</f>
        <v/>
      </c>
      <c r="AC219" s="75">
        <f>$C219*INDEX(Curves!$AG$8:$AG$68,AC$4-$B219+1)</f>
        <v/>
      </c>
      <c r="AD219" s="75">
        <f>$C219*INDEX(Curves!$AG$8:$AG$68,AD$4-$B219+1)</f>
        <v/>
      </c>
      <c r="AE219" s="75">
        <f>$C219*INDEX(Curves!$AG$8:$AG$68,AE$4-$B219+1)</f>
        <v/>
      </c>
      <c r="AF219" s="75">
        <f>$C219*INDEX(Curves!$AG$8:$AG$68,AF$4-$B219+1)</f>
        <v/>
      </c>
      <c r="AG219" s="75">
        <f>$C219*INDEX(Curves!$AG$8:$AG$68,AG$4-$B219+1)</f>
        <v/>
      </c>
      <c r="AH219" s="75">
        <f>$C219*INDEX(Curves!$AG$8:$AG$68,AH$4-$B219+1)</f>
        <v/>
      </c>
      <c r="AI219" s="75">
        <f>$C219*INDEX(Curves!$AG$8:$AG$68,AI$4-$B219+1)</f>
        <v/>
      </c>
      <c r="AJ219" s="75">
        <f>$C219*INDEX(Curves!$AG$8:$AG$68,AJ$4-$B219+1)</f>
        <v/>
      </c>
      <c r="AK219" s="75">
        <f>$C219*INDEX(Curves!$AG$8:$AG$68,AK$4-$B219+1)</f>
        <v/>
      </c>
      <c r="AL219" s="75">
        <f>$C219*INDEX(Curves!$AG$8:$AG$68,AL$4-$B219+1)</f>
        <v/>
      </c>
      <c r="AM219" s="75">
        <f>$C219*INDEX(Curves!$AG$8:$AG$68,AM$4-$B219+1)</f>
        <v/>
      </c>
      <c r="AN219" s="75">
        <f>$C219*INDEX(Curves!$AG$8:$AG$68,AN$4-$B219+1)</f>
        <v/>
      </c>
      <c r="AO219" s="75">
        <f>$C219*INDEX(Curves!$AG$8:$AG$68,AO$4-$B219+1)</f>
        <v/>
      </c>
      <c r="AP219" s="75">
        <f>$C219*INDEX(Curves!$AG$8:$AG$68,AP$4-$B219+1)</f>
        <v/>
      </c>
      <c r="AQ219" s="75">
        <f>$C219*INDEX(Curves!$AG$8:$AG$68,AQ$4-$B219+1)</f>
        <v/>
      </c>
      <c r="AR219" s="75">
        <f>$C219*INDEX(Curves!$AG$8:$AG$68,AR$4-$B219+1)</f>
        <v/>
      </c>
      <c r="AS219" s="75">
        <f>$C219*INDEX(Curves!$AG$8:$AG$68,AS$4-$B219+1)</f>
        <v/>
      </c>
      <c r="AT219" s="75">
        <f>$C219*INDEX(Curves!$AG$8:$AG$68,AT$4-$B219+1)</f>
        <v/>
      </c>
      <c r="AU219" s="75">
        <f>$C219*INDEX(Curves!$AG$8:$AG$68,AU$4-$B219+1)</f>
        <v/>
      </c>
      <c r="AV219" s="75">
        <f>$C219*INDEX(Curves!$AG$8:$AG$68,AV$4-$B219+1)</f>
        <v/>
      </c>
      <c r="AW219" s="75">
        <f>$C219*INDEX(Curves!$AG$8:$AG$68,AW$4-$B219+1)</f>
        <v/>
      </c>
      <c r="AX219" s="75">
        <f>$C219*INDEX(Curves!$AG$8:$AG$68,AX$4-$B219+1)</f>
        <v/>
      </c>
      <c r="AY219" s="75">
        <f>$C219*INDEX(Curves!$AG$8:$AG$68,AY$4-$B219+1)</f>
        <v/>
      </c>
      <c r="AZ219" s="75">
        <f>$C219*INDEX(Curves!$AG$8:$AG$68,AZ$4-$B219+1)</f>
        <v/>
      </c>
      <c r="BA219" s="75">
        <f>$C219*INDEX(Curves!$AG$8:$AG$68,BA$4-$B219+1)</f>
        <v/>
      </c>
      <c r="BB219" s="75">
        <f>$C219*INDEX(Curves!$AG$8:$AG$68,BB$4-$B219+1)</f>
        <v/>
      </c>
      <c r="BC219" s="75">
        <f>$C219*INDEX(Curves!$AG$8:$AG$68,BC$4-$B219+1)</f>
        <v/>
      </c>
      <c r="BD219" s="75">
        <f>$C219*INDEX(Curves!$AG$8:$AG$68,BD$4-$B219+1)</f>
        <v/>
      </c>
      <c r="BE219" s="75">
        <f>$C219*INDEX(Curves!$AG$8:$AG$68,BE$4-$B219+1)</f>
        <v/>
      </c>
      <c r="BF219" s="75">
        <f>$C219*INDEX(Curves!$AG$8:$AG$68,BF$4-$B219+1)</f>
        <v/>
      </c>
      <c r="BG219" s="75">
        <f>$C219*INDEX(Curves!$AG$8:$AG$68,BG$4-$B219+1)</f>
        <v/>
      </c>
      <c r="BH219" s="75">
        <f>$C219*INDEX(Curves!$AG$8:$AG$68,BH$4-$B219+1)</f>
        <v/>
      </c>
      <c r="BI219" s="75">
        <f>$C219*INDEX(Curves!$AG$8:$AG$68,BI$4-$B219+1)</f>
        <v/>
      </c>
      <c r="BJ219" s="75">
        <f>$C219*INDEX(Curves!$AG$8:$AG$68,BJ$4-$B219+1)</f>
        <v/>
      </c>
      <c r="BK219" s="75">
        <f>$C219*INDEX(Curves!$AG$8:$AG$68,BK$4-$B219+1)</f>
        <v/>
      </c>
      <c r="BL219" s="75">
        <f>$C219*INDEX(Curves!$AG$8:$AG$68,BL$4-$B219+1)</f>
        <v/>
      </c>
    </row>
    <row r="220">
      <c r="A220" s="74" t="inlineStr">
        <is>
          <t>Cohort month 22</t>
        </is>
      </c>
      <c r="B220" s="74" t="n">
        <v>22</v>
      </c>
      <c r="C220" s="17">
        <f>INDEX(Ops!$E$60:$BL$60,1,$B220)</f>
        <v/>
      </c>
      <c r="AA220" s="75">
        <f>$C220*INDEX(Curves!$AG$8:$AG$68,AA$4-$B220+1)</f>
        <v/>
      </c>
      <c r="AB220" s="75">
        <f>$C220*INDEX(Curves!$AG$8:$AG$68,AB$4-$B220+1)</f>
        <v/>
      </c>
      <c r="AC220" s="75">
        <f>$C220*INDEX(Curves!$AG$8:$AG$68,AC$4-$B220+1)</f>
        <v/>
      </c>
      <c r="AD220" s="75">
        <f>$C220*INDEX(Curves!$AG$8:$AG$68,AD$4-$B220+1)</f>
        <v/>
      </c>
      <c r="AE220" s="75">
        <f>$C220*INDEX(Curves!$AG$8:$AG$68,AE$4-$B220+1)</f>
        <v/>
      </c>
      <c r="AF220" s="75">
        <f>$C220*INDEX(Curves!$AG$8:$AG$68,AF$4-$B220+1)</f>
        <v/>
      </c>
      <c r="AG220" s="75">
        <f>$C220*INDEX(Curves!$AG$8:$AG$68,AG$4-$B220+1)</f>
        <v/>
      </c>
      <c r="AH220" s="75">
        <f>$C220*INDEX(Curves!$AG$8:$AG$68,AH$4-$B220+1)</f>
        <v/>
      </c>
      <c r="AI220" s="75">
        <f>$C220*INDEX(Curves!$AG$8:$AG$68,AI$4-$B220+1)</f>
        <v/>
      </c>
      <c r="AJ220" s="75">
        <f>$C220*INDEX(Curves!$AG$8:$AG$68,AJ$4-$B220+1)</f>
        <v/>
      </c>
      <c r="AK220" s="75">
        <f>$C220*INDEX(Curves!$AG$8:$AG$68,AK$4-$B220+1)</f>
        <v/>
      </c>
      <c r="AL220" s="75">
        <f>$C220*INDEX(Curves!$AG$8:$AG$68,AL$4-$B220+1)</f>
        <v/>
      </c>
      <c r="AM220" s="75">
        <f>$C220*INDEX(Curves!$AG$8:$AG$68,AM$4-$B220+1)</f>
        <v/>
      </c>
      <c r="AN220" s="75">
        <f>$C220*INDEX(Curves!$AG$8:$AG$68,AN$4-$B220+1)</f>
        <v/>
      </c>
      <c r="AO220" s="75">
        <f>$C220*INDEX(Curves!$AG$8:$AG$68,AO$4-$B220+1)</f>
        <v/>
      </c>
      <c r="AP220" s="75">
        <f>$C220*INDEX(Curves!$AG$8:$AG$68,AP$4-$B220+1)</f>
        <v/>
      </c>
      <c r="AQ220" s="75">
        <f>$C220*INDEX(Curves!$AG$8:$AG$68,AQ$4-$B220+1)</f>
        <v/>
      </c>
      <c r="AR220" s="75">
        <f>$C220*INDEX(Curves!$AG$8:$AG$68,AR$4-$B220+1)</f>
        <v/>
      </c>
      <c r="AS220" s="75">
        <f>$C220*INDEX(Curves!$AG$8:$AG$68,AS$4-$B220+1)</f>
        <v/>
      </c>
      <c r="AT220" s="75">
        <f>$C220*INDEX(Curves!$AG$8:$AG$68,AT$4-$B220+1)</f>
        <v/>
      </c>
      <c r="AU220" s="75">
        <f>$C220*INDEX(Curves!$AG$8:$AG$68,AU$4-$B220+1)</f>
        <v/>
      </c>
      <c r="AV220" s="75">
        <f>$C220*INDEX(Curves!$AG$8:$AG$68,AV$4-$B220+1)</f>
        <v/>
      </c>
      <c r="AW220" s="75">
        <f>$C220*INDEX(Curves!$AG$8:$AG$68,AW$4-$B220+1)</f>
        <v/>
      </c>
      <c r="AX220" s="75">
        <f>$C220*INDEX(Curves!$AG$8:$AG$68,AX$4-$B220+1)</f>
        <v/>
      </c>
      <c r="AY220" s="75">
        <f>$C220*INDEX(Curves!$AG$8:$AG$68,AY$4-$B220+1)</f>
        <v/>
      </c>
      <c r="AZ220" s="75">
        <f>$C220*INDEX(Curves!$AG$8:$AG$68,AZ$4-$B220+1)</f>
        <v/>
      </c>
      <c r="BA220" s="75">
        <f>$C220*INDEX(Curves!$AG$8:$AG$68,BA$4-$B220+1)</f>
        <v/>
      </c>
      <c r="BB220" s="75">
        <f>$C220*INDEX(Curves!$AG$8:$AG$68,BB$4-$B220+1)</f>
        <v/>
      </c>
      <c r="BC220" s="75">
        <f>$C220*INDEX(Curves!$AG$8:$AG$68,BC$4-$B220+1)</f>
        <v/>
      </c>
      <c r="BD220" s="75">
        <f>$C220*INDEX(Curves!$AG$8:$AG$68,BD$4-$B220+1)</f>
        <v/>
      </c>
      <c r="BE220" s="75">
        <f>$C220*INDEX(Curves!$AG$8:$AG$68,BE$4-$B220+1)</f>
        <v/>
      </c>
      <c r="BF220" s="75">
        <f>$C220*INDEX(Curves!$AG$8:$AG$68,BF$4-$B220+1)</f>
        <v/>
      </c>
      <c r="BG220" s="75">
        <f>$C220*INDEX(Curves!$AG$8:$AG$68,BG$4-$B220+1)</f>
        <v/>
      </c>
      <c r="BH220" s="75">
        <f>$C220*INDEX(Curves!$AG$8:$AG$68,BH$4-$B220+1)</f>
        <v/>
      </c>
      <c r="BI220" s="75">
        <f>$C220*INDEX(Curves!$AG$8:$AG$68,BI$4-$B220+1)</f>
        <v/>
      </c>
      <c r="BJ220" s="75">
        <f>$C220*INDEX(Curves!$AG$8:$AG$68,BJ$4-$B220+1)</f>
        <v/>
      </c>
      <c r="BK220" s="75">
        <f>$C220*INDEX(Curves!$AG$8:$AG$68,BK$4-$B220+1)</f>
        <v/>
      </c>
      <c r="BL220" s="75">
        <f>$C220*INDEX(Curves!$AG$8:$AG$68,BL$4-$B220+1)</f>
        <v/>
      </c>
    </row>
    <row r="221">
      <c r="A221" s="74" t="inlineStr">
        <is>
          <t>Cohort month 23</t>
        </is>
      </c>
      <c r="B221" s="74" t="n">
        <v>23</v>
      </c>
      <c r="C221" s="17">
        <f>INDEX(Ops!$E$60:$BL$60,1,$B221)</f>
        <v/>
      </c>
      <c r="AB221" s="75">
        <f>$C221*INDEX(Curves!$AG$8:$AG$68,AB$4-$B221+1)</f>
        <v/>
      </c>
      <c r="AC221" s="75">
        <f>$C221*INDEX(Curves!$AG$8:$AG$68,AC$4-$B221+1)</f>
        <v/>
      </c>
      <c r="AD221" s="75">
        <f>$C221*INDEX(Curves!$AG$8:$AG$68,AD$4-$B221+1)</f>
        <v/>
      </c>
      <c r="AE221" s="75">
        <f>$C221*INDEX(Curves!$AG$8:$AG$68,AE$4-$B221+1)</f>
        <v/>
      </c>
      <c r="AF221" s="75">
        <f>$C221*INDEX(Curves!$AG$8:$AG$68,AF$4-$B221+1)</f>
        <v/>
      </c>
      <c r="AG221" s="75">
        <f>$C221*INDEX(Curves!$AG$8:$AG$68,AG$4-$B221+1)</f>
        <v/>
      </c>
      <c r="AH221" s="75">
        <f>$C221*INDEX(Curves!$AG$8:$AG$68,AH$4-$B221+1)</f>
        <v/>
      </c>
      <c r="AI221" s="75">
        <f>$C221*INDEX(Curves!$AG$8:$AG$68,AI$4-$B221+1)</f>
        <v/>
      </c>
      <c r="AJ221" s="75">
        <f>$C221*INDEX(Curves!$AG$8:$AG$68,AJ$4-$B221+1)</f>
        <v/>
      </c>
      <c r="AK221" s="75">
        <f>$C221*INDEX(Curves!$AG$8:$AG$68,AK$4-$B221+1)</f>
        <v/>
      </c>
      <c r="AL221" s="75">
        <f>$C221*INDEX(Curves!$AG$8:$AG$68,AL$4-$B221+1)</f>
        <v/>
      </c>
      <c r="AM221" s="75">
        <f>$C221*INDEX(Curves!$AG$8:$AG$68,AM$4-$B221+1)</f>
        <v/>
      </c>
      <c r="AN221" s="75">
        <f>$C221*INDEX(Curves!$AG$8:$AG$68,AN$4-$B221+1)</f>
        <v/>
      </c>
      <c r="AO221" s="75">
        <f>$C221*INDEX(Curves!$AG$8:$AG$68,AO$4-$B221+1)</f>
        <v/>
      </c>
      <c r="AP221" s="75">
        <f>$C221*INDEX(Curves!$AG$8:$AG$68,AP$4-$B221+1)</f>
        <v/>
      </c>
      <c r="AQ221" s="75">
        <f>$C221*INDEX(Curves!$AG$8:$AG$68,AQ$4-$B221+1)</f>
        <v/>
      </c>
      <c r="AR221" s="75">
        <f>$C221*INDEX(Curves!$AG$8:$AG$68,AR$4-$B221+1)</f>
        <v/>
      </c>
      <c r="AS221" s="75">
        <f>$C221*INDEX(Curves!$AG$8:$AG$68,AS$4-$B221+1)</f>
        <v/>
      </c>
      <c r="AT221" s="75">
        <f>$C221*INDEX(Curves!$AG$8:$AG$68,AT$4-$B221+1)</f>
        <v/>
      </c>
      <c r="AU221" s="75">
        <f>$C221*INDEX(Curves!$AG$8:$AG$68,AU$4-$B221+1)</f>
        <v/>
      </c>
      <c r="AV221" s="75">
        <f>$C221*INDEX(Curves!$AG$8:$AG$68,AV$4-$B221+1)</f>
        <v/>
      </c>
      <c r="AW221" s="75">
        <f>$C221*INDEX(Curves!$AG$8:$AG$68,AW$4-$B221+1)</f>
        <v/>
      </c>
      <c r="AX221" s="75">
        <f>$C221*INDEX(Curves!$AG$8:$AG$68,AX$4-$B221+1)</f>
        <v/>
      </c>
      <c r="AY221" s="75">
        <f>$C221*INDEX(Curves!$AG$8:$AG$68,AY$4-$B221+1)</f>
        <v/>
      </c>
      <c r="AZ221" s="75">
        <f>$C221*INDEX(Curves!$AG$8:$AG$68,AZ$4-$B221+1)</f>
        <v/>
      </c>
      <c r="BA221" s="75">
        <f>$C221*INDEX(Curves!$AG$8:$AG$68,BA$4-$B221+1)</f>
        <v/>
      </c>
      <c r="BB221" s="75">
        <f>$C221*INDEX(Curves!$AG$8:$AG$68,BB$4-$B221+1)</f>
        <v/>
      </c>
      <c r="BC221" s="75">
        <f>$C221*INDEX(Curves!$AG$8:$AG$68,BC$4-$B221+1)</f>
        <v/>
      </c>
      <c r="BD221" s="75">
        <f>$C221*INDEX(Curves!$AG$8:$AG$68,BD$4-$B221+1)</f>
        <v/>
      </c>
      <c r="BE221" s="75">
        <f>$C221*INDEX(Curves!$AG$8:$AG$68,BE$4-$B221+1)</f>
        <v/>
      </c>
      <c r="BF221" s="75">
        <f>$C221*INDEX(Curves!$AG$8:$AG$68,BF$4-$B221+1)</f>
        <v/>
      </c>
      <c r="BG221" s="75">
        <f>$C221*INDEX(Curves!$AG$8:$AG$68,BG$4-$B221+1)</f>
        <v/>
      </c>
      <c r="BH221" s="75">
        <f>$C221*INDEX(Curves!$AG$8:$AG$68,BH$4-$B221+1)</f>
        <v/>
      </c>
      <c r="BI221" s="75">
        <f>$C221*INDEX(Curves!$AG$8:$AG$68,BI$4-$B221+1)</f>
        <v/>
      </c>
      <c r="BJ221" s="75">
        <f>$C221*INDEX(Curves!$AG$8:$AG$68,BJ$4-$B221+1)</f>
        <v/>
      </c>
      <c r="BK221" s="75">
        <f>$C221*INDEX(Curves!$AG$8:$AG$68,BK$4-$B221+1)</f>
        <v/>
      </c>
      <c r="BL221" s="75">
        <f>$C221*INDEX(Curves!$AG$8:$AG$68,BL$4-$B221+1)</f>
        <v/>
      </c>
    </row>
    <row r="222">
      <c r="A222" s="74" t="inlineStr">
        <is>
          <t>Cohort month 24</t>
        </is>
      </c>
      <c r="B222" s="74" t="n">
        <v>24</v>
      </c>
      <c r="C222" s="17">
        <f>INDEX(Ops!$E$60:$BL$60,1,$B222)</f>
        <v/>
      </c>
      <c r="AC222" s="75">
        <f>$C222*INDEX(Curves!$AG$8:$AG$68,AC$4-$B222+1)</f>
        <v/>
      </c>
      <c r="AD222" s="75">
        <f>$C222*INDEX(Curves!$AG$8:$AG$68,AD$4-$B222+1)</f>
        <v/>
      </c>
      <c r="AE222" s="75">
        <f>$C222*INDEX(Curves!$AG$8:$AG$68,AE$4-$B222+1)</f>
        <v/>
      </c>
      <c r="AF222" s="75">
        <f>$C222*INDEX(Curves!$AG$8:$AG$68,AF$4-$B222+1)</f>
        <v/>
      </c>
      <c r="AG222" s="75">
        <f>$C222*INDEX(Curves!$AG$8:$AG$68,AG$4-$B222+1)</f>
        <v/>
      </c>
      <c r="AH222" s="75">
        <f>$C222*INDEX(Curves!$AG$8:$AG$68,AH$4-$B222+1)</f>
        <v/>
      </c>
      <c r="AI222" s="75">
        <f>$C222*INDEX(Curves!$AG$8:$AG$68,AI$4-$B222+1)</f>
        <v/>
      </c>
      <c r="AJ222" s="75">
        <f>$C222*INDEX(Curves!$AG$8:$AG$68,AJ$4-$B222+1)</f>
        <v/>
      </c>
      <c r="AK222" s="75">
        <f>$C222*INDEX(Curves!$AG$8:$AG$68,AK$4-$B222+1)</f>
        <v/>
      </c>
      <c r="AL222" s="75">
        <f>$C222*INDEX(Curves!$AG$8:$AG$68,AL$4-$B222+1)</f>
        <v/>
      </c>
      <c r="AM222" s="75">
        <f>$C222*INDEX(Curves!$AG$8:$AG$68,AM$4-$B222+1)</f>
        <v/>
      </c>
      <c r="AN222" s="75">
        <f>$C222*INDEX(Curves!$AG$8:$AG$68,AN$4-$B222+1)</f>
        <v/>
      </c>
      <c r="AO222" s="75">
        <f>$C222*INDEX(Curves!$AG$8:$AG$68,AO$4-$B222+1)</f>
        <v/>
      </c>
      <c r="AP222" s="75">
        <f>$C222*INDEX(Curves!$AG$8:$AG$68,AP$4-$B222+1)</f>
        <v/>
      </c>
      <c r="AQ222" s="75">
        <f>$C222*INDEX(Curves!$AG$8:$AG$68,AQ$4-$B222+1)</f>
        <v/>
      </c>
      <c r="AR222" s="75">
        <f>$C222*INDEX(Curves!$AG$8:$AG$68,AR$4-$B222+1)</f>
        <v/>
      </c>
      <c r="AS222" s="75">
        <f>$C222*INDEX(Curves!$AG$8:$AG$68,AS$4-$B222+1)</f>
        <v/>
      </c>
      <c r="AT222" s="75">
        <f>$C222*INDEX(Curves!$AG$8:$AG$68,AT$4-$B222+1)</f>
        <v/>
      </c>
      <c r="AU222" s="75">
        <f>$C222*INDEX(Curves!$AG$8:$AG$68,AU$4-$B222+1)</f>
        <v/>
      </c>
      <c r="AV222" s="75">
        <f>$C222*INDEX(Curves!$AG$8:$AG$68,AV$4-$B222+1)</f>
        <v/>
      </c>
      <c r="AW222" s="75">
        <f>$C222*INDEX(Curves!$AG$8:$AG$68,AW$4-$B222+1)</f>
        <v/>
      </c>
      <c r="AX222" s="75">
        <f>$C222*INDEX(Curves!$AG$8:$AG$68,AX$4-$B222+1)</f>
        <v/>
      </c>
      <c r="AY222" s="75">
        <f>$C222*INDEX(Curves!$AG$8:$AG$68,AY$4-$B222+1)</f>
        <v/>
      </c>
      <c r="AZ222" s="75">
        <f>$C222*INDEX(Curves!$AG$8:$AG$68,AZ$4-$B222+1)</f>
        <v/>
      </c>
      <c r="BA222" s="75">
        <f>$C222*INDEX(Curves!$AG$8:$AG$68,BA$4-$B222+1)</f>
        <v/>
      </c>
      <c r="BB222" s="75">
        <f>$C222*INDEX(Curves!$AG$8:$AG$68,BB$4-$B222+1)</f>
        <v/>
      </c>
      <c r="BC222" s="75">
        <f>$C222*INDEX(Curves!$AG$8:$AG$68,BC$4-$B222+1)</f>
        <v/>
      </c>
      <c r="BD222" s="75">
        <f>$C222*INDEX(Curves!$AG$8:$AG$68,BD$4-$B222+1)</f>
        <v/>
      </c>
      <c r="BE222" s="75">
        <f>$C222*INDEX(Curves!$AG$8:$AG$68,BE$4-$B222+1)</f>
        <v/>
      </c>
      <c r="BF222" s="75">
        <f>$C222*INDEX(Curves!$AG$8:$AG$68,BF$4-$B222+1)</f>
        <v/>
      </c>
      <c r="BG222" s="75">
        <f>$C222*INDEX(Curves!$AG$8:$AG$68,BG$4-$B222+1)</f>
        <v/>
      </c>
      <c r="BH222" s="75">
        <f>$C222*INDEX(Curves!$AG$8:$AG$68,BH$4-$B222+1)</f>
        <v/>
      </c>
      <c r="BI222" s="75">
        <f>$C222*INDEX(Curves!$AG$8:$AG$68,BI$4-$B222+1)</f>
        <v/>
      </c>
      <c r="BJ222" s="75">
        <f>$C222*INDEX(Curves!$AG$8:$AG$68,BJ$4-$B222+1)</f>
        <v/>
      </c>
      <c r="BK222" s="75">
        <f>$C222*INDEX(Curves!$AG$8:$AG$68,BK$4-$B222+1)</f>
        <v/>
      </c>
      <c r="BL222" s="75">
        <f>$C222*INDEX(Curves!$AG$8:$AG$68,BL$4-$B222+1)</f>
        <v/>
      </c>
    </row>
    <row r="223">
      <c r="A223" s="74" t="inlineStr">
        <is>
          <t>Cohort month 25</t>
        </is>
      </c>
      <c r="B223" s="74" t="n">
        <v>25</v>
      </c>
      <c r="C223" s="17">
        <f>INDEX(Ops!$E$60:$BL$60,1,$B223)</f>
        <v/>
      </c>
      <c r="AD223" s="75">
        <f>$C223*INDEX(Curves!$AG$8:$AG$68,AD$4-$B223+1)</f>
        <v/>
      </c>
      <c r="AE223" s="75">
        <f>$C223*INDEX(Curves!$AG$8:$AG$68,AE$4-$B223+1)</f>
        <v/>
      </c>
      <c r="AF223" s="75">
        <f>$C223*INDEX(Curves!$AG$8:$AG$68,AF$4-$B223+1)</f>
        <v/>
      </c>
      <c r="AG223" s="75">
        <f>$C223*INDEX(Curves!$AG$8:$AG$68,AG$4-$B223+1)</f>
        <v/>
      </c>
      <c r="AH223" s="75">
        <f>$C223*INDEX(Curves!$AG$8:$AG$68,AH$4-$B223+1)</f>
        <v/>
      </c>
      <c r="AI223" s="75">
        <f>$C223*INDEX(Curves!$AG$8:$AG$68,AI$4-$B223+1)</f>
        <v/>
      </c>
      <c r="AJ223" s="75">
        <f>$C223*INDEX(Curves!$AG$8:$AG$68,AJ$4-$B223+1)</f>
        <v/>
      </c>
      <c r="AK223" s="75">
        <f>$C223*INDEX(Curves!$AG$8:$AG$68,AK$4-$B223+1)</f>
        <v/>
      </c>
      <c r="AL223" s="75">
        <f>$C223*INDEX(Curves!$AG$8:$AG$68,AL$4-$B223+1)</f>
        <v/>
      </c>
      <c r="AM223" s="75">
        <f>$C223*INDEX(Curves!$AG$8:$AG$68,AM$4-$B223+1)</f>
        <v/>
      </c>
      <c r="AN223" s="75">
        <f>$C223*INDEX(Curves!$AG$8:$AG$68,AN$4-$B223+1)</f>
        <v/>
      </c>
      <c r="AO223" s="75">
        <f>$C223*INDEX(Curves!$AG$8:$AG$68,AO$4-$B223+1)</f>
        <v/>
      </c>
      <c r="AP223" s="75">
        <f>$C223*INDEX(Curves!$AG$8:$AG$68,AP$4-$B223+1)</f>
        <v/>
      </c>
      <c r="AQ223" s="75">
        <f>$C223*INDEX(Curves!$AG$8:$AG$68,AQ$4-$B223+1)</f>
        <v/>
      </c>
      <c r="AR223" s="75">
        <f>$C223*INDEX(Curves!$AG$8:$AG$68,AR$4-$B223+1)</f>
        <v/>
      </c>
      <c r="AS223" s="75">
        <f>$C223*INDEX(Curves!$AG$8:$AG$68,AS$4-$B223+1)</f>
        <v/>
      </c>
      <c r="AT223" s="75">
        <f>$C223*INDEX(Curves!$AG$8:$AG$68,AT$4-$B223+1)</f>
        <v/>
      </c>
      <c r="AU223" s="75">
        <f>$C223*INDEX(Curves!$AG$8:$AG$68,AU$4-$B223+1)</f>
        <v/>
      </c>
      <c r="AV223" s="75">
        <f>$C223*INDEX(Curves!$AG$8:$AG$68,AV$4-$B223+1)</f>
        <v/>
      </c>
      <c r="AW223" s="75">
        <f>$C223*INDEX(Curves!$AG$8:$AG$68,AW$4-$B223+1)</f>
        <v/>
      </c>
      <c r="AX223" s="75">
        <f>$C223*INDEX(Curves!$AG$8:$AG$68,AX$4-$B223+1)</f>
        <v/>
      </c>
      <c r="AY223" s="75">
        <f>$C223*INDEX(Curves!$AG$8:$AG$68,AY$4-$B223+1)</f>
        <v/>
      </c>
      <c r="AZ223" s="75">
        <f>$C223*INDEX(Curves!$AG$8:$AG$68,AZ$4-$B223+1)</f>
        <v/>
      </c>
      <c r="BA223" s="75">
        <f>$C223*INDEX(Curves!$AG$8:$AG$68,BA$4-$B223+1)</f>
        <v/>
      </c>
      <c r="BB223" s="75">
        <f>$C223*INDEX(Curves!$AG$8:$AG$68,BB$4-$B223+1)</f>
        <v/>
      </c>
      <c r="BC223" s="75">
        <f>$C223*INDEX(Curves!$AG$8:$AG$68,BC$4-$B223+1)</f>
        <v/>
      </c>
      <c r="BD223" s="75">
        <f>$C223*INDEX(Curves!$AG$8:$AG$68,BD$4-$B223+1)</f>
        <v/>
      </c>
      <c r="BE223" s="75">
        <f>$C223*INDEX(Curves!$AG$8:$AG$68,BE$4-$B223+1)</f>
        <v/>
      </c>
      <c r="BF223" s="75">
        <f>$C223*INDEX(Curves!$AG$8:$AG$68,BF$4-$B223+1)</f>
        <v/>
      </c>
      <c r="BG223" s="75">
        <f>$C223*INDEX(Curves!$AG$8:$AG$68,BG$4-$B223+1)</f>
        <v/>
      </c>
      <c r="BH223" s="75">
        <f>$C223*INDEX(Curves!$AG$8:$AG$68,BH$4-$B223+1)</f>
        <v/>
      </c>
      <c r="BI223" s="75">
        <f>$C223*INDEX(Curves!$AG$8:$AG$68,BI$4-$B223+1)</f>
        <v/>
      </c>
      <c r="BJ223" s="75">
        <f>$C223*INDEX(Curves!$AG$8:$AG$68,BJ$4-$B223+1)</f>
        <v/>
      </c>
      <c r="BK223" s="75">
        <f>$C223*INDEX(Curves!$AG$8:$AG$68,BK$4-$B223+1)</f>
        <v/>
      </c>
      <c r="BL223" s="75">
        <f>$C223*INDEX(Curves!$AG$8:$AG$68,BL$4-$B223+1)</f>
        <v/>
      </c>
    </row>
    <row r="224">
      <c r="A224" s="74" t="inlineStr">
        <is>
          <t>Cohort month 26</t>
        </is>
      </c>
      <c r="B224" s="74" t="n">
        <v>26</v>
      </c>
      <c r="C224" s="17">
        <f>INDEX(Ops!$E$60:$BL$60,1,$B224)</f>
        <v/>
      </c>
      <c r="AE224" s="75">
        <f>$C224*INDEX(Curves!$AG$8:$AG$68,AE$4-$B224+1)</f>
        <v/>
      </c>
      <c r="AF224" s="75">
        <f>$C224*INDEX(Curves!$AG$8:$AG$68,AF$4-$B224+1)</f>
        <v/>
      </c>
      <c r="AG224" s="75">
        <f>$C224*INDEX(Curves!$AG$8:$AG$68,AG$4-$B224+1)</f>
        <v/>
      </c>
      <c r="AH224" s="75">
        <f>$C224*INDEX(Curves!$AG$8:$AG$68,AH$4-$B224+1)</f>
        <v/>
      </c>
      <c r="AI224" s="75">
        <f>$C224*INDEX(Curves!$AG$8:$AG$68,AI$4-$B224+1)</f>
        <v/>
      </c>
      <c r="AJ224" s="75">
        <f>$C224*INDEX(Curves!$AG$8:$AG$68,AJ$4-$B224+1)</f>
        <v/>
      </c>
      <c r="AK224" s="75">
        <f>$C224*INDEX(Curves!$AG$8:$AG$68,AK$4-$B224+1)</f>
        <v/>
      </c>
      <c r="AL224" s="75">
        <f>$C224*INDEX(Curves!$AG$8:$AG$68,AL$4-$B224+1)</f>
        <v/>
      </c>
      <c r="AM224" s="75">
        <f>$C224*INDEX(Curves!$AG$8:$AG$68,AM$4-$B224+1)</f>
        <v/>
      </c>
      <c r="AN224" s="75">
        <f>$C224*INDEX(Curves!$AG$8:$AG$68,AN$4-$B224+1)</f>
        <v/>
      </c>
      <c r="AO224" s="75">
        <f>$C224*INDEX(Curves!$AG$8:$AG$68,AO$4-$B224+1)</f>
        <v/>
      </c>
      <c r="AP224" s="75">
        <f>$C224*INDEX(Curves!$AG$8:$AG$68,AP$4-$B224+1)</f>
        <v/>
      </c>
      <c r="AQ224" s="75">
        <f>$C224*INDEX(Curves!$AG$8:$AG$68,AQ$4-$B224+1)</f>
        <v/>
      </c>
      <c r="AR224" s="75">
        <f>$C224*INDEX(Curves!$AG$8:$AG$68,AR$4-$B224+1)</f>
        <v/>
      </c>
      <c r="AS224" s="75">
        <f>$C224*INDEX(Curves!$AG$8:$AG$68,AS$4-$B224+1)</f>
        <v/>
      </c>
      <c r="AT224" s="75">
        <f>$C224*INDEX(Curves!$AG$8:$AG$68,AT$4-$B224+1)</f>
        <v/>
      </c>
      <c r="AU224" s="75">
        <f>$C224*INDEX(Curves!$AG$8:$AG$68,AU$4-$B224+1)</f>
        <v/>
      </c>
      <c r="AV224" s="75">
        <f>$C224*INDEX(Curves!$AG$8:$AG$68,AV$4-$B224+1)</f>
        <v/>
      </c>
      <c r="AW224" s="75">
        <f>$C224*INDEX(Curves!$AG$8:$AG$68,AW$4-$B224+1)</f>
        <v/>
      </c>
      <c r="AX224" s="75">
        <f>$C224*INDEX(Curves!$AG$8:$AG$68,AX$4-$B224+1)</f>
        <v/>
      </c>
      <c r="AY224" s="75">
        <f>$C224*INDEX(Curves!$AG$8:$AG$68,AY$4-$B224+1)</f>
        <v/>
      </c>
      <c r="AZ224" s="75">
        <f>$C224*INDEX(Curves!$AG$8:$AG$68,AZ$4-$B224+1)</f>
        <v/>
      </c>
      <c r="BA224" s="75">
        <f>$C224*INDEX(Curves!$AG$8:$AG$68,BA$4-$B224+1)</f>
        <v/>
      </c>
      <c r="BB224" s="75">
        <f>$C224*INDEX(Curves!$AG$8:$AG$68,BB$4-$B224+1)</f>
        <v/>
      </c>
      <c r="BC224" s="75">
        <f>$C224*INDEX(Curves!$AG$8:$AG$68,BC$4-$B224+1)</f>
        <v/>
      </c>
      <c r="BD224" s="75">
        <f>$C224*INDEX(Curves!$AG$8:$AG$68,BD$4-$B224+1)</f>
        <v/>
      </c>
      <c r="BE224" s="75">
        <f>$C224*INDEX(Curves!$AG$8:$AG$68,BE$4-$B224+1)</f>
        <v/>
      </c>
      <c r="BF224" s="75">
        <f>$C224*INDEX(Curves!$AG$8:$AG$68,BF$4-$B224+1)</f>
        <v/>
      </c>
      <c r="BG224" s="75">
        <f>$C224*INDEX(Curves!$AG$8:$AG$68,BG$4-$B224+1)</f>
        <v/>
      </c>
      <c r="BH224" s="75">
        <f>$C224*INDEX(Curves!$AG$8:$AG$68,BH$4-$B224+1)</f>
        <v/>
      </c>
      <c r="BI224" s="75">
        <f>$C224*INDEX(Curves!$AG$8:$AG$68,BI$4-$B224+1)</f>
        <v/>
      </c>
      <c r="BJ224" s="75">
        <f>$C224*INDEX(Curves!$AG$8:$AG$68,BJ$4-$B224+1)</f>
        <v/>
      </c>
      <c r="BK224" s="75">
        <f>$C224*INDEX(Curves!$AG$8:$AG$68,BK$4-$B224+1)</f>
        <v/>
      </c>
      <c r="BL224" s="75">
        <f>$C224*INDEX(Curves!$AG$8:$AG$68,BL$4-$B224+1)</f>
        <v/>
      </c>
    </row>
    <row r="225">
      <c r="A225" s="74" t="inlineStr">
        <is>
          <t>Cohort month 27</t>
        </is>
      </c>
      <c r="B225" s="74" t="n">
        <v>27</v>
      </c>
      <c r="C225" s="17">
        <f>INDEX(Ops!$E$60:$BL$60,1,$B225)</f>
        <v/>
      </c>
      <c r="AF225" s="75">
        <f>$C225*INDEX(Curves!$AG$8:$AG$68,AF$4-$B225+1)</f>
        <v/>
      </c>
      <c r="AG225" s="75">
        <f>$C225*INDEX(Curves!$AG$8:$AG$68,AG$4-$B225+1)</f>
        <v/>
      </c>
      <c r="AH225" s="75">
        <f>$C225*INDEX(Curves!$AG$8:$AG$68,AH$4-$B225+1)</f>
        <v/>
      </c>
      <c r="AI225" s="75">
        <f>$C225*INDEX(Curves!$AG$8:$AG$68,AI$4-$B225+1)</f>
        <v/>
      </c>
      <c r="AJ225" s="75">
        <f>$C225*INDEX(Curves!$AG$8:$AG$68,AJ$4-$B225+1)</f>
        <v/>
      </c>
      <c r="AK225" s="75">
        <f>$C225*INDEX(Curves!$AG$8:$AG$68,AK$4-$B225+1)</f>
        <v/>
      </c>
      <c r="AL225" s="75">
        <f>$C225*INDEX(Curves!$AG$8:$AG$68,AL$4-$B225+1)</f>
        <v/>
      </c>
      <c r="AM225" s="75">
        <f>$C225*INDEX(Curves!$AG$8:$AG$68,AM$4-$B225+1)</f>
        <v/>
      </c>
      <c r="AN225" s="75">
        <f>$C225*INDEX(Curves!$AG$8:$AG$68,AN$4-$B225+1)</f>
        <v/>
      </c>
      <c r="AO225" s="75">
        <f>$C225*INDEX(Curves!$AG$8:$AG$68,AO$4-$B225+1)</f>
        <v/>
      </c>
      <c r="AP225" s="75">
        <f>$C225*INDEX(Curves!$AG$8:$AG$68,AP$4-$B225+1)</f>
        <v/>
      </c>
      <c r="AQ225" s="75">
        <f>$C225*INDEX(Curves!$AG$8:$AG$68,AQ$4-$B225+1)</f>
        <v/>
      </c>
      <c r="AR225" s="75">
        <f>$C225*INDEX(Curves!$AG$8:$AG$68,AR$4-$B225+1)</f>
        <v/>
      </c>
      <c r="AS225" s="75">
        <f>$C225*INDEX(Curves!$AG$8:$AG$68,AS$4-$B225+1)</f>
        <v/>
      </c>
      <c r="AT225" s="75">
        <f>$C225*INDEX(Curves!$AG$8:$AG$68,AT$4-$B225+1)</f>
        <v/>
      </c>
      <c r="AU225" s="75">
        <f>$C225*INDEX(Curves!$AG$8:$AG$68,AU$4-$B225+1)</f>
        <v/>
      </c>
      <c r="AV225" s="75">
        <f>$C225*INDEX(Curves!$AG$8:$AG$68,AV$4-$B225+1)</f>
        <v/>
      </c>
      <c r="AW225" s="75">
        <f>$C225*INDEX(Curves!$AG$8:$AG$68,AW$4-$B225+1)</f>
        <v/>
      </c>
      <c r="AX225" s="75">
        <f>$C225*INDEX(Curves!$AG$8:$AG$68,AX$4-$B225+1)</f>
        <v/>
      </c>
      <c r="AY225" s="75">
        <f>$C225*INDEX(Curves!$AG$8:$AG$68,AY$4-$B225+1)</f>
        <v/>
      </c>
      <c r="AZ225" s="75">
        <f>$C225*INDEX(Curves!$AG$8:$AG$68,AZ$4-$B225+1)</f>
        <v/>
      </c>
      <c r="BA225" s="75">
        <f>$C225*INDEX(Curves!$AG$8:$AG$68,BA$4-$B225+1)</f>
        <v/>
      </c>
      <c r="BB225" s="75">
        <f>$C225*INDEX(Curves!$AG$8:$AG$68,BB$4-$B225+1)</f>
        <v/>
      </c>
      <c r="BC225" s="75">
        <f>$C225*INDEX(Curves!$AG$8:$AG$68,BC$4-$B225+1)</f>
        <v/>
      </c>
      <c r="BD225" s="75">
        <f>$C225*INDEX(Curves!$AG$8:$AG$68,BD$4-$B225+1)</f>
        <v/>
      </c>
      <c r="BE225" s="75">
        <f>$C225*INDEX(Curves!$AG$8:$AG$68,BE$4-$B225+1)</f>
        <v/>
      </c>
      <c r="BF225" s="75">
        <f>$C225*INDEX(Curves!$AG$8:$AG$68,BF$4-$B225+1)</f>
        <v/>
      </c>
      <c r="BG225" s="75">
        <f>$C225*INDEX(Curves!$AG$8:$AG$68,BG$4-$B225+1)</f>
        <v/>
      </c>
      <c r="BH225" s="75">
        <f>$C225*INDEX(Curves!$AG$8:$AG$68,BH$4-$B225+1)</f>
        <v/>
      </c>
      <c r="BI225" s="75">
        <f>$C225*INDEX(Curves!$AG$8:$AG$68,BI$4-$B225+1)</f>
        <v/>
      </c>
      <c r="BJ225" s="75">
        <f>$C225*INDEX(Curves!$AG$8:$AG$68,BJ$4-$B225+1)</f>
        <v/>
      </c>
      <c r="BK225" s="75">
        <f>$C225*INDEX(Curves!$AG$8:$AG$68,BK$4-$B225+1)</f>
        <v/>
      </c>
      <c r="BL225" s="75">
        <f>$C225*INDEX(Curves!$AG$8:$AG$68,BL$4-$B225+1)</f>
        <v/>
      </c>
    </row>
    <row r="226">
      <c r="A226" s="74" t="inlineStr">
        <is>
          <t>Cohort month 28</t>
        </is>
      </c>
      <c r="B226" s="74" t="n">
        <v>28</v>
      </c>
      <c r="C226" s="17">
        <f>INDEX(Ops!$E$60:$BL$60,1,$B226)</f>
        <v/>
      </c>
      <c r="AG226" s="75">
        <f>$C226*INDEX(Curves!$AG$8:$AG$68,AG$4-$B226+1)</f>
        <v/>
      </c>
      <c r="AH226" s="75">
        <f>$C226*INDEX(Curves!$AG$8:$AG$68,AH$4-$B226+1)</f>
        <v/>
      </c>
      <c r="AI226" s="75">
        <f>$C226*INDEX(Curves!$AG$8:$AG$68,AI$4-$B226+1)</f>
        <v/>
      </c>
      <c r="AJ226" s="75">
        <f>$C226*INDEX(Curves!$AG$8:$AG$68,AJ$4-$B226+1)</f>
        <v/>
      </c>
      <c r="AK226" s="75">
        <f>$C226*INDEX(Curves!$AG$8:$AG$68,AK$4-$B226+1)</f>
        <v/>
      </c>
      <c r="AL226" s="75">
        <f>$C226*INDEX(Curves!$AG$8:$AG$68,AL$4-$B226+1)</f>
        <v/>
      </c>
      <c r="AM226" s="75">
        <f>$C226*INDEX(Curves!$AG$8:$AG$68,AM$4-$B226+1)</f>
        <v/>
      </c>
      <c r="AN226" s="75">
        <f>$C226*INDEX(Curves!$AG$8:$AG$68,AN$4-$B226+1)</f>
        <v/>
      </c>
      <c r="AO226" s="75">
        <f>$C226*INDEX(Curves!$AG$8:$AG$68,AO$4-$B226+1)</f>
        <v/>
      </c>
      <c r="AP226" s="75">
        <f>$C226*INDEX(Curves!$AG$8:$AG$68,AP$4-$B226+1)</f>
        <v/>
      </c>
      <c r="AQ226" s="75">
        <f>$C226*INDEX(Curves!$AG$8:$AG$68,AQ$4-$B226+1)</f>
        <v/>
      </c>
      <c r="AR226" s="75">
        <f>$C226*INDEX(Curves!$AG$8:$AG$68,AR$4-$B226+1)</f>
        <v/>
      </c>
      <c r="AS226" s="75">
        <f>$C226*INDEX(Curves!$AG$8:$AG$68,AS$4-$B226+1)</f>
        <v/>
      </c>
      <c r="AT226" s="75">
        <f>$C226*INDEX(Curves!$AG$8:$AG$68,AT$4-$B226+1)</f>
        <v/>
      </c>
      <c r="AU226" s="75">
        <f>$C226*INDEX(Curves!$AG$8:$AG$68,AU$4-$B226+1)</f>
        <v/>
      </c>
      <c r="AV226" s="75">
        <f>$C226*INDEX(Curves!$AG$8:$AG$68,AV$4-$B226+1)</f>
        <v/>
      </c>
      <c r="AW226" s="75">
        <f>$C226*INDEX(Curves!$AG$8:$AG$68,AW$4-$B226+1)</f>
        <v/>
      </c>
      <c r="AX226" s="75">
        <f>$C226*INDEX(Curves!$AG$8:$AG$68,AX$4-$B226+1)</f>
        <v/>
      </c>
      <c r="AY226" s="75">
        <f>$C226*INDEX(Curves!$AG$8:$AG$68,AY$4-$B226+1)</f>
        <v/>
      </c>
      <c r="AZ226" s="75">
        <f>$C226*INDEX(Curves!$AG$8:$AG$68,AZ$4-$B226+1)</f>
        <v/>
      </c>
      <c r="BA226" s="75">
        <f>$C226*INDEX(Curves!$AG$8:$AG$68,BA$4-$B226+1)</f>
        <v/>
      </c>
      <c r="BB226" s="75">
        <f>$C226*INDEX(Curves!$AG$8:$AG$68,BB$4-$B226+1)</f>
        <v/>
      </c>
      <c r="BC226" s="75">
        <f>$C226*INDEX(Curves!$AG$8:$AG$68,BC$4-$B226+1)</f>
        <v/>
      </c>
      <c r="BD226" s="75">
        <f>$C226*INDEX(Curves!$AG$8:$AG$68,BD$4-$B226+1)</f>
        <v/>
      </c>
      <c r="BE226" s="75">
        <f>$C226*INDEX(Curves!$AG$8:$AG$68,BE$4-$B226+1)</f>
        <v/>
      </c>
      <c r="BF226" s="75">
        <f>$C226*INDEX(Curves!$AG$8:$AG$68,BF$4-$B226+1)</f>
        <v/>
      </c>
      <c r="BG226" s="75">
        <f>$C226*INDEX(Curves!$AG$8:$AG$68,BG$4-$B226+1)</f>
        <v/>
      </c>
      <c r="BH226" s="75">
        <f>$C226*INDEX(Curves!$AG$8:$AG$68,BH$4-$B226+1)</f>
        <v/>
      </c>
      <c r="BI226" s="75">
        <f>$C226*INDEX(Curves!$AG$8:$AG$68,BI$4-$B226+1)</f>
        <v/>
      </c>
      <c r="BJ226" s="75">
        <f>$C226*INDEX(Curves!$AG$8:$AG$68,BJ$4-$B226+1)</f>
        <v/>
      </c>
      <c r="BK226" s="75">
        <f>$C226*INDEX(Curves!$AG$8:$AG$68,BK$4-$B226+1)</f>
        <v/>
      </c>
      <c r="BL226" s="75">
        <f>$C226*INDEX(Curves!$AG$8:$AG$68,BL$4-$B226+1)</f>
        <v/>
      </c>
    </row>
    <row r="227">
      <c r="A227" s="74" t="inlineStr">
        <is>
          <t>Cohort month 29</t>
        </is>
      </c>
      <c r="B227" s="74" t="n">
        <v>29</v>
      </c>
      <c r="C227" s="17">
        <f>INDEX(Ops!$E$60:$BL$60,1,$B227)</f>
        <v/>
      </c>
      <c r="AH227" s="75">
        <f>$C227*INDEX(Curves!$AG$8:$AG$68,AH$4-$B227+1)</f>
        <v/>
      </c>
      <c r="AI227" s="75">
        <f>$C227*INDEX(Curves!$AG$8:$AG$68,AI$4-$B227+1)</f>
        <v/>
      </c>
      <c r="AJ227" s="75">
        <f>$C227*INDEX(Curves!$AG$8:$AG$68,AJ$4-$B227+1)</f>
        <v/>
      </c>
      <c r="AK227" s="75">
        <f>$C227*INDEX(Curves!$AG$8:$AG$68,AK$4-$B227+1)</f>
        <v/>
      </c>
      <c r="AL227" s="75">
        <f>$C227*INDEX(Curves!$AG$8:$AG$68,AL$4-$B227+1)</f>
        <v/>
      </c>
      <c r="AM227" s="75">
        <f>$C227*INDEX(Curves!$AG$8:$AG$68,AM$4-$B227+1)</f>
        <v/>
      </c>
      <c r="AN227" s="75">
        <f>$C227*INDEX(Curves!$AG$8:$AG$68,AN$4-$B227+1)</f>
        <v/>
      </c>
      <c r="AO227" s="75">
        <f>$C227*INDEX(Curves!$AG$8:$AG$68,AO$4-$B227+1)</f>
        <v/>
      </c>
      <c r="AP227" s="75">
        <f>$C227*INDEX(Curves!$AG$8:$AG$68,AP$4-$B227+1)</f>
        <v/>
      </c>
      <c r="AQ227" s="75">
        <f>$C227*INDEX(Curves!$AG$8:$AG$68,AQ$4-$B227+1)</f>
        <v/>
      </c>
      <c r="AR227" s="75">
        <f>$C227*INDEX(Curves!$AG$8:$AG$68,AR$4-$B227+1)</f>
        <v/>
      </c>
      <c r="AS227" s="75">
        <f>$C227*INDEX(Curves!$AG$8:$AG$68,AS$4-$B227+1)</f>
        <v/>
      </c>
      <c r="AT227" s="75">
        <f>$C227*INDEX(Curves!$AG$8:$AG$68,AT$4-$B227+1)</f>
        <v/>
      </c>
      <c r="AU227" s="75">
        <f>$C227*INDEX(Curves!$AG$8:$AG$68,AU$4-$B227+1)</f>
        <v/>
      </c>
      <c r="AV227" s="75">
        <f>$C227*INDEX(Curves!$AG$8:$AG$68,AV$4-$B227+1)</f>
        <v/>
      </c>
      <c r="AW227" s="75">
        <f>$C227*INDEX(Curves!$AG$8:$AG$68,AW$4-$B227+1)</f>
        <v/>
      </c>
      <c r="AX227" s="75">
        <f>$C227*INDEX(Curves!$AG$8:$AG$68,AX$4-$B227+1)</f>
        <v/>
      </c>
      <c r="AY227" s="75">
        <f>$C227*INDEX(Curves!$AG$8:$AG$68,AY$4-$B227+1)</f>
        <v/>
      </c>
      <c r="AZ227" s="75">
        <f>$C227*INDEX(Curves!$AG$8:$AG$68,AZ$4-$B227+1)</f>
        <v/>
      </c>
      <c r="BA227" s="75">
        <f>$C227*INDEX(Curves!$AG$8:$AG$68,BA$4-$B227+1)</f>
        <v/>
      </c>
      <c r="BB227" s="75">
        <f>$C227*INDEX(Curves!$AG$8:$AG$68,BB$4-$B227+1)</f>
        <v/>
      </c>
      <c r="BC227" s="75">
        <f>$C227*INDEX(Curves!$AG$8:$AG$68,BC$4-$B227+1)</f>
        <v/>
      </c>
      <c r="BD227" s="75">
        <f>$C227*INDEX(Curves!$AG$8:$AG$68,BD$4-$B227+1)</f>
        <v/>
      </c>
      <c r="BE227" s="75">
        <f>$C227*INDEX(Curves!$AG$8:$AG$68,BE$4-$B227+1)</f>
        <v/>
      </c>
      <c r="BF227" s="75">
        <f>$C227*INDEX(Curves!$AG$8:$AG$68,BF$4-$B227+1)</f>
        <v/>
      </c>
      <c r="BG227" s="75">
        <f>$C227*INDEX(Curves!$AG$8:$AG$68,BG$4-$B227+1)</f>
        <v/>
      </c>
      <c r="BH227" s="75">
        <f>$C227*INDEX(Curves!$AG$8:$AG$68,BH$4-$B227+1)</f>
        <v/>
      </c>
      <c r="BI227" s="75">
        <f>$C227*INDEX(Curves!$AG$8:$AG$68,BI$4-$B227+1)</f>
        <v/>
      </c>
      <c r="BJ227" s="75">
        <f>$C227*INDEX(Curves!$AG$8:$AG$68,BJ$4-$B227+1)</f>
        <v/>
      </c>
      <c r="BK227" s="75">
        <f>$C227*INDEX(Curves!$AG$8:$AG$68,BK$4-$B227+1)</f>
        <v/>
      </c>
      <c r="BL227" s="75">
        <f>$C227*INDEX(Curves!$AG$8:$AG$68,BL$4-$B227+1)</f>
        <v/>
      </c>
    </row>
    <row r="228">
      <c r="A228" s="74" t="inlineStr">
        <is>
          <t>Cohort month 30</t>
        </is>
      </c>
      <c r="B228" s="74" t="n">
        <v>30</v>
      </c>
      <c r="C228" s="17">
        <f>INDEX(Ops!$E$60:$BL$60,1,$B228)</f>
        <v/>
      </c>
      <c r="AI228" s="75">
        <f>$C228*INDEX(Curves!$AG$8:$AG$68,AI$4-$B228+1)</f>
        <v/>
      </c>
      <c r="AJ228" s="75">
        <f>$C228*INDEX(Curves!$AG$8:$AG$68,AJ$4-$B228+1)</f>
        <v/>
      </c>
      <c r="AK228" s="75">
        <f>$C228*INDEX(Curves!$AG$8:$AG$68,AK$4-$B228+1)</f>
        <v/>
      </c>
      <c r="AL228" s="75">
        <f>$C228*INDEX(Curves!$AG$8:$AG$68,AL$4-$B228+1)</f>
        <v/>
      </c>
      <c r="AM228" s="75">
        <f>$C228*INDEX(Curves!$AG$8:$AG$68,AM$4-$B228+1)</f>
        <v/>
      </c>
      <c r="AN228" s="75">
        <f>$C228*INDEX(Curves!$AG$8:$AG$68,AN$4-$B228+1)</f>
        <v/>
      </c>
      <c r="AO228" s="75">
        <f>$C228*INDEX(Curves!$AG$8:$AG$68,AO$4-$B228+1)</f>
        <v/>
      </c>
      <c r="AP228" s="75">
        <f>$C228*INDEX(Curves!$AG$8:$AG$68,AP$4-$B228+1)</f>
        <v/>
      </c>
      <c r="AQ228" s="75">
        <f>$C228*INDEX(Curves!$AG$8:$AG$68,AQ$4-$B228+1)</f>
        <v/>
      </c>
      <c r="AR228" s="75">
        <f>$C228*INDEX(Curves!$AG$8:$AG$68,AR$4-$B228+1)</f>
        <v/>
      </c>
      <c r="AS228" s="75">
        <f>$C228*INDEX(Curves!$AG$8:$AG$68,AS$4-$B228+1)</f>
        <v/>
      </c>
      <c r="AT228" s="75">
        <f>$C228*INDEX(Curves!$AG$8:$AG$68,AT$4-$B228+1)</f>
        <v/>
      </c>
      <c r="AU228" s="75">
        <f>$C228*INDEX(Curves!$AG$8:$AG$68,AU$4-$B228+1)</f>
        <v/>
      </c>
      <c r="AV228" s="75">
        <f>$C228*INDEX(Curves!$AG$8:$AG$68,AV$4-$B228+1)</f>
        <v/>
      </c>
      <c r="AW228" s="75">
        <f>$C228*INDEX(Curves!$AG$8:$AG$68,AW$4-$B228+1)</f>
        <v/>
      </c>
      <c r="AX228" s="75">
        <f>$C228*INDEX(Curves!$AG$8:$AG$68,AX$4-$B228+1)</f>
        <v/>
      </c>
      <c r="AY228" s="75">
        <f>$C228*INDEX(Curves!$AG$8:$AG$68,AY$4-$B228+1)</f>
        <v/>
      </c>
      <c r="AZ228" s="75">
        <f>$C228*INDEX(Curves!$AG$8:$AG$68,AZ$4-$B228+1)</f>
        <v/>
      </c>
      <c r="BA228" s="75">
        <f>$C228*INDEX(Curves!$AG$8:$AG$68,BA$4-$B228+1)</f>
        <v/>
      </c>
      <c r="BB228" s="75">
        <f>$C228*INDEX(Curves!$AG$8:$AG$68,BB$4-$B228+1)</f>
        <v/>
      </c>
      <c r="BC228" s="75">
        <f>$C228*INDEX(Curves!$AG$8:$AG$68,BC$4-$B228+1)</f>
        <v/>
      </c>
      <c r="BD228" s="75">
        <f>$C228*INDEX(Curves!$AG$8:$AG$68,BD$4-$B228+1)</f>
        <v/>
      </c>
      <c r="BE228" s="75">
        <f>$C228*INDEX(Curves!$AG$8:$AG$68,BE$4-$B228+1)</f>
        <v/>
      </c>
      <c r="BF228" s="75">
        <f>$C228*INDEX(Curves!$AG$8:$AG$68,BF$4-$B228+1)</f>
        <v/>
      </c>
      <c r="BG228" s="75">
        <f>$C228*INDEX(Curves!$AG$8:$AG$68,BG$4-$B228+1)</f>
        <v/>
      </c>
      <c r="BH228" s="75">
        <f>$C228*INDEX(Curves!$AG$8:$AG$68,BH$4-$B228+1)</f>
        <v/>
      </c>
      <c r="BI228" s="75">
        <f>$C228*INDEX(Curves!$AG$8:$AG$68,BI$4-$B228+1)</f>
        <v/>
      </c>
      <c r="BJ228" s="75">
        <f>$C228*INDEX(Curves!$AG$8:$AG$68,BJ$4-$B228+1)</f>
        <v/>
      </c>
      <c r="BK228" s="75">
        <f>$C228*INDEX(Curves!$AG$8:$AG$68,BK$4-$B228+1)</f>
        <v/>
      </c>
      <c r="BL228" s="75">
        <f>$C228*INDEX(Curves!$AG$8:$AG$68,BL$4-$B228+1)</f>
        <v/>
      </c>
    </row>
    <row r="229">
      <c r="A229" s="74" t="inlineStr">
        <is>
          <t>Cohort month 31</t>
        </is>
      </c>
      <c r="B229" s="74" t="n">
        <v>31</v>
      </c>
      <c r="C229" s="17">
        <f>INDEX(Ops!$E$60:$BL$60,1,$B229)</f>
        <v/>
      </c>
      <c r="AJ229" s="75">
        <f>$C229*INDEX(Curves!$AG$8:$AG$68,AJ$4-$B229+1)</f>
        <v/>
      </c>
      <c r="AK229" s="75">
        <f>$C229*INDEX(Curves!$AG$8:$AG$68,AK$4-$B229+1)</f>
        <v/>
      </c>
      <c r="AL229" s="75">
        <f>$C229*INDEX(Curves!$AG$8:$AG$68,AL$4-$B229+1)</f>
        <v/>
      </c>
      <c r="AM229" s="75">
        <f>$C229*INDEX(Curves!$AG$8:$AG$68,AM$4-$B229+1)</f>
        <v/>
      </c>
      <c r="AN229" s="75">
        <f>$C229*INDEX(Curves!$AG$8:$AG$68,AN$4-$B229+1)</f>
        <v/>
      </c>
      <c r="AO229" s="75">
        <f>$C229*INDEX(Curves!$AG$8:$AG$68,AO$4-$B229+1)</f>
        <v/>
      </c>
      <c r="AP229" s="75">
        <f>$C229*INDEX(Curves!$AG$8:$AG$68,AP$4-$B229+1)</f>
        <v/>
      </c>
      <c r="AQ229" s="75">
        <f>$C229*INDEX(Curves!$AG$8:$AG$68,AQ$4-$B229+1)</f>
        <v/>
      </c>
      <c r="AR229" s="75">
        <f>$C229*INDEX(Curves!$AG$8:$AG$68,AR$4-$B229+1)</f>
        <v/>
      </c>
      <c r="AS229" s="75">
        <f>$C229*INDEX(Curves!$AG$8:$AG$68,AS$4-$B229+1)</f>
        <v/>
      </c>
      <c r="AT229" s="75">
        <f>$C229*INDEX(Curves!$AG$8:$AG$68,AT$4-$B229+1)</f>
        <v/>
      </c>
      <c r="AU229" s="75">
        <f>$C229*INDEX(Curves!$AG$8:$AG$68,AU$4-$B229+1)</f>
        <v/>
      </c>
      <c r="AV229" s="75">
        <f>$C229*INDEX(Curves!$AG$8:$AG$68,AV$4-$B229+1)</f>
        <v/>
      </c>
      <c r="AW229" s="75">
        <f>$C229*INDEX(Curves!$AG$8:$AG$68,AW$4-$B229+1)</f>
        <v/>
      </c>
      <c r="AX229" s="75">
        <f>$C229*INDEX(Curves!$AG$8:$AG$68,AX$4-$B229+1)</f>
        <v/>
      </c>
      <c r="AY229" s="75">
        <f>$C229*INDEX(Curves!$AG$8:$AG$68,AY$4-$B229+1)</f>
        <v/>
      </c>
      <c r="AZ229" s="75">
        <f>$C229*INDEX(Curves!$AG$8:$AG$68,AZ$4-$B229+1)</f>
        <v/>
      </c>
      <c r="BA229" s="75">
        <f>$C229*INDEX(Curves!$AG$8:$AG$68,BA$4-$B229+1)</f>
        <v/>
      </c>
      <c r="BB229" s="75">
        <f>$C229*INDEX(Curves!$AG$8:$AG$68,BB$4-$B229+1)</f>
        <v/>
      </c>
      <c r="BC229" s="75">
        <f>$C229*INDEX(Curves!$AG$8:$AG$68,BC$4-$B229+1)</f>
        <v/>
      </c>
      <c r="BD229" s="75">
        <f>$C229*INDEX(Curves!$AG$8:$AG$68,BD$4-$B229+1)</f>
        <v/>
      </c>
      <c r="BE229" s="75">
        <f>$C229*INDEX(Curves!$AG$8:$AG$68,BE$4-$B229+1)</f>
        <v/>
      </c>
      <c r="BF229" s="75">
        <f>$C229*INDEX(Curves!$AG$8:$AG$68,BF$4-$B229+1)</f>
        <v/>
      </c>
      <c r="BG229" s="75">
        <f>$C229*INDEX(Curves!$AG$8:$AG$68,BG$4-$B229+1)</f>
        <v/>
      </c>
      <c r="BH229" s="75">
        <f>$C229*INDEX(Curves!$AG$8:$AG$68,BH$4-$B229+1)</f>
        <v/>
      </c>
      <c r="BI229" s="75">
        <f>$C229*INDEX(Curves!$AG$8:$AG$68,BI$4-$B229+1)</f>
        <v/>
      </c>
      <c r="BJ229" s="75">
        <f>$C229*INDEX(Curves!$AG$8:$AG$68,BJ$4-$B229+1)</f>
        <v/>
      </c>
      <c r="BK229" s="75">
        <f>$C229*INDEX(Curves!$AG$8:$AG$68,BK$4-$B229+1)</f>
        <v/>
      </c>
      <c r="BL229" s="75">
        <f>$C229*INDEX(Curves!$AG$8:$AG$68,BL$4-$B229+1)</f>
        <v/>
      </c>
    </row>
    <row r="230">
      <c r="A230" s="74" t="inlineStr">
        <is>
          <t>Cohort month 32</t>
        </is>
      </c>
      <c r="B230" s="74" t="n">
        <v>32</v>
      </c>
      <c r="C230" s="17">
        <f>INDEX(Ops!$E$60:$BL$60,1,$B230)</f>
        <v/>
      </c>
      <c r="AK230" s="75">
        <f>$C230*INDEX(Curves!$AG$8:$AG$68,AK$4-$B230+1)</f>
        <v/>
      </c>
      <c r="AL230" s="75">
        <f>$C230*INDEX(Curves!$AG$8:$AG$68,AL$4-$B230+1)</f>
        <v/>
      </c>
      <c r="AM230" s="75">
        <f>$C230*INDEX(Curves!$AG$8:$AG$68,AM$4-$B230+1)</f>
        <v/>
      </c>
      <c r="AN230" s="75">
        <f>$C230*INDEX(Curves!$AG$8:$AG$68,AN$4-$B230+1)</f>
        <v/>
      </c>
      <c r="AO230" s="75">
        <f>$C230*INDEX(Curves!$AG$8:$AG$68,AO$4-$B230+1)</f>
        <v/>
      </c>
      <c r="AP230" s="75">
        <f>$C230*INDEX(Curves!$AG$8:$AG$68,AP$4-$B230+1)</f>
        <v/>
      </c>
      <c r="AQ230" s="75">
        <f>$C230*INDEX(Curves!$AG$8:$AG$68,AQ$4-$B230+1)</f>
        <v/>
      </c>
      <c r="AR230" s="75">
        <f>$C230*INDEX(Curves!$AG$8:$AG$68,AR$4-$B230+1)</f>
        <v/>
      </c>
      <c r="AS230" s="75">
        <f>$C230*INDEX(Curves!$AG$8:$AG$68,AS$4-$B230+1)</f>
        <v/>
      </c>
      <c r="AT230" s="75">
        <f>$C230*INDEX(Curves!$AG$8:$AG$68,AT$4-$B230+1)</f>
        <v/>
      </c>
      <c r="AU230" s="75">
        <f>$C230*INDEX(Curves!$AG$8:$AG$68,AU$4-$B230+1)</f>
        <v/>
      </c>
      <c r="AV230" s="75">
        <f>$C230*INDEX(Curves!$AG$8:$AG$68,AV$4-$B230+1)</f>
        <v/>
      </c>
      <c r="AW230" s="75">
        <f>$C230*INDEX(Curves!$AG$8:$AG$68,AW$4-$B230+1)</f>
        <v/>
      </c>
      <c r="AX230" s="75">
        <f>$C230*INDEX(Curves!$AG$8:$AG$68,AX$4-$B230+1)</f>
        <v/>
      </c>
      <c r="AY230" s="75">
        <f>$C230*INDEX(Curves!$AG$8:$AG$68,AY$4-$B230+1)</f>
        <v/>
      </c>
      <c r="AZ230" s="75">
        <f>$C230*INDEX(Curves!$AG$8:$AG$68,AZ$4-$B230+1)</f>
        <v/>
      </c>
      <c r="BA230" s="75">
        <f>$C230*INDEX(Curves!$AG$8:$AG$68,BA$4-$B230+1)</f>
        <v/>
      </c>
      <c r="BB230" s="75">
        <f>$C230*INDEX(Curves!$AG$8:$AG$68,BB$4-$B230+1)</f>
        <v/>
      </c>
      <c r="BC230" s="75">
        <f>$C230*INDEX(Curves!$AG$8:$AG$68,BC$4-$B230+1)</f>
        <v/>
      </c>
      <c r="BD230" s="75">
        <f>$C230*INDEX(Curves!$AG$8:$AG$68,BD$4-$B230+1)</f>
        <v/>
      </c>
      <c r="BE230" s="75">
        <f>$C230*INDEX(Curves!$AG$8:$AG$68,BE$4-$B230+1)</f>
        <v/>
      </c>
      <c r="BF230" s="75">
        <f>$C230*INDEX(Curves!$AG$8:$AG$68,BF$4-$B230+1)</f>
        <v/>
      </c>
      <c r="BG230" s="75">
        <f>$C230*INDEX(Curves!$AG$8:$AG$68,BG$4-$B230+1)</f>
        <v/>
      </c>
      <c r="BH230" s="75">
        <f>$C230*INDEX(Curves!$AG$8:$AG$68,BH$4-$B230+1)</f>
        <v/>
      </c>
      <c r="BI230" s="75">
        <f>$C230*INDEX(Curves!$AG$8:$AG$68,BI$4-$B230+1)</f>
        <v/>
      </c>
      <c r="BJ230" s="75">
        <f>$C230*INDEX(Curves!$AG$8:$AG$68,BJ$4-$B230+1)</f>
        <v/>
      </c>
      <c r="BK230" s="75">
        <f>$C230*INDEX(Curves!$AG$8:$AG$68,BK$4-$B230+1)</f>
        <v/>
      </c>
      <c r="BL230" s="75">
        <f>$C230*INDEX(Curves!$AG$8:$AG$68,BL$4-$B230+1)</f>
        <v/>
      </c>
    </row>
    <row r="231">
      <c r="A231" s="74" t="inlineStr">
        <is>
          <t>Cohort month 33</t>
        </is>
      </c>
      <c r="B231" s="74" t="n">
        <v>33</v>
      </c>
      <c r="C231" s="17">
        <f>INDEX(Ops!$E$60:$BL$60,1,$B231)</f>
        <v/>
      </c>
      <c r="AL231" s="75">
        <f>$C231*INDEX(Curves!$AG$8:$AG$68,AL$4-$B231+1)</f>
        <v/>
      </c>
      <c r="AM231" s="75">
        <f>$C231*INDEX(Curves!$AG$8:$AG$68,AM$4-$B231+1)</f>
        <v/>
      </c>
      <c r="AN231" s="75">
        <f>$C231*INDEX(Curves!$AG$8:$AG$68,AN$4-$B231+1)</f>
        <v/>
      </c>
      <c r="AO231" s="75">
        <f>$C231*INDEX(Curves!$AG$8:$AG$68,AO$4-$B231+1)</f>
        <v/>
      </c>
      <c r="AP231" s="75">
        <f>$C231*INDEX(Curves!$AG$8:$AG$68,AP$4-$B231+1)</f>
        <v/>
      </c>
      <c r="AQ231" s="75">
        <f>$C231*INDEX(Curves!$AG$8:$AG$68,AQ$4-$B231+1)</f>
        <v/>
      </c>
      <c r="AR231" s="75">
        <f>$C231*INDEX(Curves!$AG$8:$AG$68,AR$4-$B231+1)</f>
        <v/>
      </c>
      <c r="AS231" s="75">
        <f>$C231*INDEX(Curves!$AG$8:$AG$68,AS$4-$B231+1)</f>
        <v/>
      </c>
      <c r="AT231" s="75">
        <f>$C231*INDEX(Curves!$AG$8:$AG$68,AT$4-$B231+1)</f>
        <v/>
      </c>
      <c r="AU231" s="75">
        <f>$C231*INDEX(Curves!$AG$8:$AG$68,AU$4-$B231+1)</f>
        <v/>
      </c>
      <c r="AV231" s="75">
        <f>$C231*INDEX(Curves!$AG$8:$AG$68,AV$4-$B231+1)</f>
        <v/>
      </c>
      <c r="AW231" s="75">
        <f>$C231*INDEX(Curves!$AG$8:$AG$68,AW$4-$B231+1)</f>
        <v/>
      </c>
      <c r="AX231" s="75">
        <f>$C231*INDEX(Curves!$AG$8:$AG$68,AX$4-$B231+1)</f>
        <v/>
      </c>
      <c r="AY231" s="75">
        <f>$C231*INDEX(Curves!$AG$8:$AG$68,AY$4-$B231+1)</f>
        <v/>
      </c>
      <c r="AZ231" s="75">
        <f>$C231*INDEX(Curves!$AG$8:$AG$68,AZ$4-$B231+1)</f>
        <v/>
      </c>
      <c r="BA231" s="75">
        <f>$C231*INDEX(Curves!$AG$8:$AG$68,BA$4-$B231+1)</f>
        <v/>
      </c>
      <c r="BB231" s="75">
        <f>$C231*INDEX(Curves!$AG$8:$AG$68,BB$4-$B231+1)</f>
        <v/>
      </c>
      <c r="BC231" s="75">
        <f>$C231*INDEX(Curves!$AG$8:$AG$68,BC$4-$B231+1)</f>
        <v/>
      </c>
      <c r="BD231" s="75">
        <f>$C231*INDEX(Curves!$AG$8:$AG$68,BD$4-$B231+1)</f>
        <v/>
      </c>
      <c r="BE231" s="75">
        <f>$C231*INDEX(Curves!$AG$8:$AG$68,BE$4-$B231+1)</f>
        <v/>
      </c>
      <c r="BF231" s="75">
        <f>$C231*INDEX(Curves!$AG$8:$AG$68,BF$4-$B231+1)</f>
        <v/>
      </c>
      <c r="BG231" s="75">
        <f>$C231*INDEX(Curves!$AG$8:$AG$68,BG$4-$B231+1)</f>
        <v/>
      </c>
      <c r="BH231" s="75">
        <f>$C231*INDEX(Curves!$AG$8:$AG$68,BH$4-$B231+1)</f>
        <v/>
      </c>
      <c r="BI231" s="75">
        <f>$C231*INDEX(Curves!$AG$8:$AG$68,BI$4-$B231+1)</f>
        <v/>
      </c>
      <c r="BJ231" s="75">
        <f>$C231*INDEX(Curves!$AG$8:$AG$68,BJ$4-$B231+1)</f>
        <v/>
      </c>
      <c r="BK231" s="75">
        <f>$C231*INDEX(Curves!$AG$8:$AG$68,BK$4-$B231+1)</f>
        <v/>
      </c>
      <c r="BL231" s="75">
        <f>$C231*INDEX(Curves!$AG$8:$AG$68,BL$4-$B231+1)</f>
        <v/>
      </c>
    </row>
    <row r="232">
      <c r="A232" s="74" t="inlineStr">
        <is>
          <t>Cohort month 34</t>
        </is>
      </c>
      <c r="B232" s="74" t="n">
        <v>34</v>
      </c>
      <c r="C232" s="17">
        <f>INDEX(Ops!$E$60:$BL$60,1,$B232)</f>
        <v/>
      </c>
      <c r="AM232" s="75">
        <f>$C232*INDEX(Curves!$AG$8:$AG$68,AM$4-$B232+1)</f>
        <v/>
      </c>
      <c r="AN232" s="75">
        <f>$C232*INDEX(Curves!$AG$8:$AG$68,AN$4-$B232+1)</f>
        <v/>
      </c>
      <c r="AO232" s="75">
        <f>$C232*INDEX(Curves!$AG$8:$AG$68,AO$4-$B232+1)</f>
        <v/>
      </c>
      <c r="AP232" s="75">
        <f>$C232*INDEX(Curves!$AG$8:$AG$68,AP$4-$B232+1)</f>
        <v/>
      </c>
      <c r="AQ232" s="75">
        <f>$C232*INDEX(Curves!$AG$8:$AG$68,AQ$4-$B232+1)</f>
        <v/>
      </c>
      <c r="AR232" s="75">
        <f>$C232*INDEX(Curves!$AG$8:$AG$68,AR$4-$B232+1)</f>
        <v/>
      </c>
      <c r="AS232" s="75">
        <f>$C232*INDEX(Curves!$AG$8:$AG$68,AS$4-$B232+1)</f>
        <v/>
      </c>
      <c r="AT232" s="75">
        <f>$C232*INDEX(Curves!$AG$8:$AG$68,AT$4-$B232+1)</f>
        <v/>
      </c>
      <c r="AU232" s="75">
        <f>$C232*INDEX(Curves!$AG$8:$AG$68,AU$4-$B232+1)</f>
        <v/>
      </c>
      <c r="AV232" s="75">
        <f>$C232*INDEX(Curves!$AG$8:$AG$68,AV$4-$B232+1)</f>
        <v/>
      </c>
      <c r="AW232" s="75">
        <f>$C232*INDEX(Curves!$AG$8:$AG$68,AW$4-$B232+1)</f>
        <v/>
      </c>
      <c r="AX232" s="75">
        <f>$C232*INDEX(Curves!$AG$8:$AG$68,AX$4-$B232+1)</f>
        <v/>
      </c>
      <c r="AY232" s="75">
        <f>$C232*INDEX(Curves!$AG$8:$AG$68,AY$4-$B232+1)</f>
        <v/>
      </c>
      <c r="AZ232" s="75">
        <f>$C232*INDEX(Curves!$AG$8:$AG$68,AZ$4-$B232+1)</f>
        <v/>
      </c>
      <c r="BA232" s="75">
        <f>$C232*INDEX(Curves!$AG$8:$AG$68,BA$4-$B232+1)</f>
        <v/>
      </c>
      <c r="BB232" s="75">
        <f>$C232*INDEX(Curves!$AG$8:$AG$68,BB$4-$B232+1)</f>
        <v/>
      </c>
      <c r="BC232" s="75">
        <f>$C232*INDEX(Curves!$AG$8:$AG$68,BC$4-$B232+1)</f>
        <v/>
      </c>
      <c r="BD232" s="75">
        <f>$C232*INDEX(Curves!$AG$8:$AG$68,BD$4-$B232+1)</f>
        <v/>
      </c>
      <c r="BE232" s="75">
        <f>$C232*INDEX(Curves!$AG$8:$AG$68,BE$4-$B232+1)</f>
        <v/>
      </c>
      <c r="BF232" s="75">
        <f>$C232*INDEX(Curves!$AG$8:$AG$68,BF$4-$B232+1)</f>
        <v/>
      </c>
      <c r="BG232" s="75">
        <f>$C232*INDEX(Curves!$AG$8:$AG$68,BG$4-$B232+1)</f>
        <v/>
      </c>
      <c r="BH232" s="75">
        <f>$C232*INDEX(Curves!$AG$8:$AG$68,BH$4-$B232+1)</f>
        <v/>
      </c>
      <c r="BI232" s="75">
        <f>$C232*INDEX(Curves!$AG$8:$AG$68,BI$4-$B232+1)</f>
        <v/>
      </c>
      <c r="BJ232" s="75">
        <f>$C232*INDEX(Curves!$AG$8:$AG$68,BJ$4-$B232+1)</f>
        <v/>
      </c>
      <c r="BK232" s="75">
        <f>$C232*INDEX(Curves!$AG$8:$AG$68,BK$4-$B232+1)</f>
        <v/>
      </c>
      <c r="BL232" s="75">
        <f>$C232*INDEX(Curves!$AG$8:$AG$68,BL$4-$B232+1)</f>
        <v/>
      </c>
    </row>
    <row r="233">
      <c r="A233" s="74" t="inlineStr">
        <is>
          <t>Cohort month 35</t>
        </is>
      </c>
      <c r="B233" s="74" t="n">
        <v>35</v>
      </c>
      <c r="C233" s="17">
        <f>INDEX(Ops!$E$60:$BL$60,1,$B233)</f>
        <v/>
      </c>
      <c r="AN233" s="75">
        <f>$C233*INDEX(Curves!$AG$8:$AG$68,AN$4-$B233+1)</f>
        <v/>
      </c>
      <c r="AO233" s="75">
        <f>$C233*INDEX(Curves!$AG$8:$AG$68,AO$4-$B233+1)</f>
        <v/>
      </c>
      <c r="AP233" s="75">
        <f>$C233*INDEX(Curves!$AG$8:$AG$68,AP$4-$B233+1)</f>
        <v/>
      </c>
      <c r="AQ233" s="75">
        <f>$C233*INDEX(Curves!$AG$8:$AG$68,AQ$4-$B233+1)</f>
        <v/>
      </c>
      <c r="AR233" s="75">
        <f>$C233*INDEX(Curves!$AG$8:$AG$68,AR$4-$B233+1)</f>
        <v/>
      </c>
      <c r="AS233" s="75">
        <f>$C233*INDEX(Curves!$AG$8:$AG$68,AS$4-$B233+1)</f>
        <v/>
      </c>
      <c r="AT233" s="75">
        <f>$C233*INDEX(Curves!$AG$8:$AG$68,AT$4-$B233+1)</f>
        <v/>
      </c>
      <c r="AU233" s="75">
        <f>$C233*INDEX(Curves!$AG$8:$AG$68,AU$4-$B233+1)</f>
        <v/>
      </c>
      <c r="AV233" s="75">
        <f>$C233*INDEX(Curves!$AG$8:$AG$68,AV$4-$B233+1)</f>
        <v/>
      </c>
      <c r="AW233" s="75">
        <f>$C233*INDEX(Curves!$AG$8:$AG$68,AW$4-$B233+1)</f>
        <v/>
      </c>
      <c r="AX233" s="75">
        <f>$C233*INDEX(Curves!$AG$8:$AG$68,AX$4-$B233+1)</f>
        <v/>
      </c>
      <c r="AY233" s="75">
        <f>$C233*INDEX(Curves!$AG$8:$AG$68,AY$4-$B233+1)</f>
        <v/>
      </c>
      <c r="AZ233" s="75">
        <f>$C233*INDEX(Curves!$AG$8:$AG$68,AZ$4-$B233+1)</f>
        <v/>
      </c>
      <c r="BA233" s="75">
        <f>$C233*INDEX(Curves!$AG$8:$AG$68,BA$4-$B233+1)</f>
        <v/>
      </c>
      <c r="BB233" s="75">
        <f>$C233*INDEX(Curves!$AG$8:$AG$68,BB$4-$B233+1)</f>
        <v/>
      </c>
      <c r="BC233" s="75">
        <f>$C233*INDEX(Curves!$AG$8:$AG$68,BC$4-$B233+1)</f>
        <v/>
      </c>
      <c r="BD233" s="75">
        <f>$C233*INDEX(Curves!$AG$8:$AG$68,BD$4-$B233+1)</f>
        <v/>
      </c>
      <c r="BE233" s="75">
        <f>$C233*INDEX(Curves!$AG$8:$AG$68,BE$4-$B233+1)</f>
        <v/>
      </c>
      <c r="BF233" s="75">
        <f>$C233*INDEX(Curves!$AG$8:$AG$68,BF$4-$B233+1)</f>
        <v/>
      </c>
      <c r="BG233" s="75">
        <f>$C233*INDEX(Curves!$AG$8:$AG$68,BG$4-$B233+1)</f>
        <v/>
      </c>
      <c r="BH233" s="75">
        <f>$C233*INDEX(Curves!$AG$8:$AG$68,BH$4-$B233+1)</f>
        <v/>
      </c>
      <c r="BI233" s="75">
        <f>$C233*INDEX(Curves!$AG$8:$AG$68,BI$4-$B233+1)</f>
        <v/>
      </c>
      <c r="BJ233" s="75">
        <f>$C233*INDEX(Curves!$AG$8:$AG$68,BJ$4-$B233+1)</f>
        <v/>
      </c>
      <c r="BK233" s="75">
        <f>$C233*INDEX(Curves!$AG$8:$AG$68,BK$4-$B233+1)</f>
        <v/>
      </c>
      <c r="BL233" s="75">
        <f>$C233*INDEX(Curves!$AG$8:$AG$68,BL$4-$B233+1)</f>
        <v/>
      </c>
    </row>
    <row r="234">
      <c r="A234" s="74" t="inlineStr">
        <is>
          <t>Cohort month 36</t>
        </is>
      </c>
      <c r="B234" s="74" t="n">
        <v>36</v>
      </c>
      <c r="C234" s="17">
        <f>INDEX(Ops!$E$60:$BL$60,1,$B234)</f>
        <v/>
      </c>
      <c r="AO234" s="75">
        <f>$C234*INDEX(Curves!$AG$8:$AG$68,AO$4-$B234+1)</f>
        <v/>
      </c>
      <c r="AP234" s="75">
        <f>$C234*INDEX(Curves!$AG$8:$AG$68,AP$4-$B234+1)</f>
        <v/>
      </c>
      <c r="AQ234" s="75">
        <f>$C234*INDEX(Curves!$AG$8:$AG$68,AQ$4-$B234+1)</f>
        <v/>
      </c>
      <c r="AR234" s="75">
        <f>$C234*INDEX(Curves!$AG$8:$AG$68,AR$4-$B234+1)</f>
        <v/>
      </c>
      <c r="AS234" s="75">
        <f>$C234*INDEX(Curves!$AG$8:$AG$68,AS$4-$B234+1)</f>
        <v/>
      </c>
      <c r="AT234" s="75">
        <f>$C234*INDEX(Curves!$AG$8:$AG$68,AT$4-$B234+1)</f>
        <v/>
      </c>
      <c r="AU234" s="75">
        <f>$C234*INDEX(Curves!$AG$8:$AG$68,AU$4-$B234+1)</f>
        <v/>
      </c>
      <c r="AV234" s="75">
        <f>$C234*INDEX(Curves!$AG$8:$AG$68,AV$4-$B234+1)</f>
        <v/>
      </c>
      <c r="AW234" s="75">
        <f>$C234*INDEX(Curves!$AG$8:$AG$68,AW$4-$B234+1)</f>
        <v/>
      </c>
      <c r="AX234" s="75">
        <f>$C234*INDEX(Curves!$AG$8:$AG$68,AX$4-$B234+1)</f>
        <v/>
      </c>
      <c r="AY234" s="75">
        <f>$C234*INDEX(Curves!$AG$8:$AG$68,AY$4-$B234+1)</f>
        <v/>
      </c>
      <c r="AZ234" s="75">
        <f>$C234*INDEX(Curves!$AG$8:$AG$68,AZ$4-$B234+1)</f>
        <v/>
      </c>
      <c r="BA234" s="75">
        <f>$C234*INDEX(Curves!$AG$8:$AG$68,BA$4-$B234+1)</f>
        <v/>
      </c>
      <c r="BB234" s="75">
        <f>$C234*INDEX(Curves!$AG$8:$AG$68,BB$4-$B234+1)</f>
        <v/>
      </c>
      <c r="BC234" s="75">
        <f>$C234*INDEX(Curves!$AG$8:$AG$68,BC$4-$B234+1)</f>
        <v/>
      </c>
      <c r="BD234" s="75">
        <f>$C234*INDEX(Curves!$AG$8:$AG$68,BD$4-$B234+1)</f>
        <v/>
      </c>
      <c r="BE234" s="75">
        <f>$C234*INDEX(Curves!$AG$8:$AG$68,BE$4-$B234+1)</f>
        <v/>
      </c>
      <c r="BF234" s="75">
        <f>$C234*INDEX(Curves!$AG$8:$AG$68,BF$4-$B234+1)</f>
        <v/>
      </c>
      <c r="BG234" s="75">
        <f>$C234*INDEX(Curves!$AG$8:$AG$68,BG$4-$B234+1)</f>
        <v/>
      </c>
      <c r="BH234" s="75">
        <f>$C234*INDEX(Curves!$AG$8:$AG$68,BH$4-$B234+1)</f>
        <v/>
      </c>
      <c r="BI234" s="75">
        <f>$C234*INDEX(Curves!$AG$8:$AG$68,BI$4-$B234+1)</f>
        <v/>
      </c>
      <c r="BJ234" s="75">
        <f>$C234*INDEX(Curves!$AG$8:$AG$68,BJ$4-$B234+1)</f>
        <v/>
      </c>
      <c r="BK234" s="75">
        <f>$C234*INDEX(Curves!$AG$8:$AG$68,BK$4-$B234+1)</f>
        <v/>
      </c>
      <c r="BL234" s="75">
        <f>$C234*INDEX(Curves!$AG$8:$AG$68,BL$4-$B234+1)</f>
        <v/>
      </c>
    </row>
    <row r="235">
      <c r="A235" s="74" t="inlineStr">
        <is>
          <t>Cohort month 37</t>
        </is>
      </c>
      <c r="B235" s="74" t="n">
        <v>37</v>
      </c>
      <c r="C235" s="17">
        <f>INDEX(Ops!$E$60:$BL$60,1,$B235)</f>
        <v/>
      </c>
      <c r="AP235" s="75">
        <f>$C235*INDEX(Curves!$AG$8:$AG$68,AP$4-$B235+1)</f>
        <v/>
      </c>
      <c r="AQ235" s="75">
        <f>$C235*INDEX(Curves!$AG$8:$AG$68,AQ$4-$B235+1)</f>
        <v/>
      </c>
      <c r="AR235" s="75">
        <f>$C235*INDEX(Curves!$AG$8:$AG$68,AR$4-$B235+1)</f>
        <v/>
      </c>
      <c r="AS235" s="75">
        <f>$C235*INDEX(Curves!$AG$8:$AG$68,AS$4-$B235+1)</f>
        <v/>
      </c>
      <c r="AT235" s="75">
        <f>$C235*INDEX(Curves!$AG$8:$AG$68,AT$4-$B235+1)</f>
        <v/>
      </c>
      <c r="AU235" s="75">
        <f>$C235*INDEX(Curves!$AG$8:$AG$68,AU$4-$B235+1)</f>
        <v/>
      </c>
      <c r="AV235" s="75">
        <f>$C235*INDEX(Curves!$AG$8:$AG$68,AV$4-$B235+1)</f>
        <v/>
      </c>
      <c r="AW235" s="75">
        <f>$C235*INDEX(Curves!$AG$8:$AG$68,AW$4-$B235+1)</f>
        <v/>
      </c>
      <c r="AX235" s="75">
        <f>$C235*INDEX(Curves!$AG$8:$AG$68,AX$4-$B235+1)</f>
        <v/>
      </c>
      <c r="AY235" s="75">
        <f>$C235*INDEX(Curves!$AG$8:$AG$68,AY$4-$B235+1)</f>
        <v/>
      </c>
      <c r="AZ235" s="75">
        <f>$C235*INDEX(Curves!$AG$8:$AG$68,AZ$4-$B235+1)</f>
        <v/>
      </c>
      <c r="BA235" s="75">
        <f>$C235*INDEX(Curves!$AG$8:$AG$68,BA$4-$B235+1)</f>
        <v/>
      </c>
      <c r="BB235" s="75">
        <f>$C235*INDEX(Curves!$AG$8:$AG$68,BB$4-$B235+1)</f>
        <v/>
      </c>
      <c r="BC235" s="75">
        <f>$C235*INDEX(Curves!$AG$8:$AG$68,BC$4-$B235+1)</f>
        <v/>
      </c>
      <c r="BD235" s="75">
        <f>$C235*INDEX(Curves!$AG$8:$AG$68,BD$4-$B235+1)</f>
        <v/>
      </c>
      <c r="BE235" s="75">
        <f>$C235*INDEX(Curves!$AG$8:$AG$68,BE$4-$B235+1)</f>
        <v/>
      </c>
      <c r="BF235" s="75">
        <f>$C235*INDEX(Curves!$AG$8:$AG$68,BF$4-$B235+1)</f>
        <v/>
      </c>
      <c r="BG235" s="75">
        <f>$C235*INDEX(Curves!$AG$8:$AG$68,BG$4-$B235+1)</f>
        <v/>
      </c>
      <c r="BH235" s="75">
        <f>$C235*INDEX(Curves!$AG$8:$AG$68,BH$4-$B235+1)</f>
        <v/>
      </c>
      <c r="BI235" s="75">
        <f>$C235*INDEX(Curves!$AG$8:$AG$68,BI$4-$B235+1)</f>
        <v/>
      </c>
      <c r="BJ235" s="75">
        <f>$C235*INDEX(Curves!$AG$8:$AG$68,BJ$4-$B235+1)</f>
        <v/>
      </c>
      <c r="BK235" s="75">
        <f>$C235*INDEX(Curves!$AG$8:$AG$68,BK$4-$B235+1)</f>
        <v/>
      </c>
      <c r="BL235" s="75">
        <f>$C235*INDEX(Curves!$AG$8:$AG$68,BL$4-$B235+1)</f>
        <v/>
      </c>
    </row>
    <row r="236">
      <c r="A236" s="74" t="inlineStr">
        <is>
          <t>Cohort month 38</t>
        </is>
      </c>
      <c r="B236" s="74" t="n">
        <v>38</v>
      </c>
      <c r="C236" s="17">
        <f>INDEX(Ops!$E$60:$BL$60,1,$B236)</f>
        <v/>
      </c>
      <c r="AQ236" s="75">
        <f>$C236*INDEX(Curves!$AG$8:$AG$68,AQ$4-$B236+1)</f>
        <v/>
      </c>
      <c r="AR236" s="75">
        <f>$C236*INDEX(Curves!$AG$8:$AG$68,AR$4-$B236+1)</f>
        <v/>
      </c>
      <c r="AS236" s="75">
        <f>$C236*INDEX(Curves!$AG$8:$AG$68,AS$4-$B236+1)</f>
        <v/>
      </c>
      <c r="AT236" s="75">
        <f>$C236*INDEX(Curves!$AG$8:$AG$68,AT$4-$B236+1)</f>
        <v/>
      </c>
      <c r="AU236" s="75">
        <f>$C236*INDEX(Curves!$AG$8:$AG$68,AU$4-$B236+1)</f>
        <v/>
      </c>
      <c r="AV236" s="75">
        <f>$C236*INDEX(Curves!$AG$8:$AG$68,AV$4-$B236+1)</f>
        <v/>
      </c>
      <c r="AW236" s="75">
        <f>$C236*INDEX(Curves!$AG$8:$AG$68,AW$4-$B236+1)</f>
        <v/>
      </c>
      <c r="AX236" s="75">
        <f>$C236*INDEX(Curves!$AG$8:$AG$68,AX$4-$B236+1)</f>
        <v/>
      </c>
      <c r="AY236" s="75">
        <f>$C236*INDEX(Curves!$AG$8:$AG$68,AY$4-$B236+1)</f>
        <v/>
      </c>
      <c r="AZ236" s="75">
        <f>$C236*INDEX(Curves!$AG$8:$AG$68,AZ$4-$B236+1)</f>
        <v/>
      </c>
      <c r="BA236" s="75">
        <f>$C236*INDEX(Curves!$AG$8:$AG$68,BA$4-$B236+1)</f>
        <v/>
      </c>
      <c r="BB236" s="75">
        <f>$C236*INDEX(Curves!$AG$8:$AG$68,BB$4-$B236+1)</f>
        <v/>
      </c>
      <c r="BC236" s="75">
        <f>$C236*INDEX(Curves!$AG$8:$AG$68,BC$4-$B236+1)</f>
        <v/>
      </c>
      <c r="BD236" s="75">
        <f>$C236*INDEX(Curves!$AG$8:$AG$68,BD$4-$B236+1)</f>
        <v/>
      </c>
      <c r="BE236" s="75">
        <f>$C236*INDEX(Curves!$AG$8:$AG$68,BE$4-$B236+1)</f>
        <v/>
      </c>
      <c r="BF236" s="75">
        <f>$C236*INDEX(Curves!$AG$8:$AG$68,BF$4-$B236+1)</f>
        <v/>
      </c>
      <c r="BG236" s="75">
        <f>$C236*INDEX(Curves!$AG$8:$AG$68,BG$4-$B236+1)</f>
        <v/>
      </c>
      <c r="BH236" s="75">
        <f>$C236*INDEX(Curves!$AG$8:$AG$68,BH$4-$B236+1)</f>
        <v/>
      </c>
      <c r="BI236" s="75">
        <f>$C236*INDEX(Curves!$AG$8:$AG$68,BI$4-$B236+1)</f>
        <v/>
      </c>
      <c r="BJ236" s="75">
        <f>$C236*INDEX(Curves!$AG$8:$AG$68,BJ$4-$B236+1)</f>
        <v/>
      </c>
      <c r="BK236" s="75">
        <f>$C236*INDEX(Curves!$AG$8:$AG$68,BK$4-$B236+1)</f>
        <v/>
      </c>
      <c r="BL236" s="75">
        <f>$C236*INDEX(Curves!$AG$8:$AG$68,BL$4-$B236+1)</f>
        <v/>
      </c>
    </row>
    <row r="237">
      <c r="A237" s="74" t="inlineStr">
        <is>
          <t>Cohort month 39</t>
        </is>
      </c>
      <c r="B237" s="74" t="n">
        <v>39</v>
      </c>
      <c r="C237" s="17">
        <f>INDEX(Ops!$E$60:$BL$60,1,$B237)</f>
        <v/>
      </c>
      <c r="AR237" s="75">
        <f>$C237*INDEX(Curves!$AG$8:$AG$68,AR$4-$B237+1)</f>
        <v/>
      </c>
      <c r="AS237" s="75">
        <f>$C237*INDEX(Curves!$AG$8:$AG$68,AS$4-$B237+1)</f>
        <v/>
      </c>
      <c r="AT237" s="75">
        <f>$C237*INDEX(Curves!$AG$8:$AG$68,AT$4-$B237+1)</f>
        <v/>
      </c>
      <c r="AU237" s="75">
        <f>$C237*INDEX(Curves!$AG$8:$AG$68,AU$4-$B237+1)</f>
        <v/>
      </c>
      <c r="AV237" s="75">
        <f>$C237*INDEX(Curves!$AG$8:$AG$68,AV$4-$B237+1)</f>
        <v/>
      </c>
      <c r="AW237" s="75">
        <f>$C237*INDEX(Curves!$AG$8:$AG$68,AW$4-$B237+1)</f>
        <v/>
      </c>
      <c r="AX237" s="75">
        <f>$C237*INDEX(Curves!$AG$8:$AG$68,AX$4-$B237+1)</f>
        <v/>
      </c>
      <c r="AY237" s="75">
        <f>$C237*INDEX(Curves!$AG$8:$AG$68,AY$4-$B237+1)</f>
        <v/>
      </c>
      <c r="AZ237" s="75">
        <f>$C237*INDEX(Curves!$AG$8:$AG$68,AZ$4-$B237+1)</f>
        <v/>
      </c>
      <c r="BA237" s="75">
        <f>$C237*INDEX(Curves!$AG$8:$AG$68,BA$4-$B237+1)</f>
        <v/>
      </c>
      <c r="BB237" s="75">
        <f>$C237*INDEX(Curves!$AG$8:$AG$68,BB$4-$B237+1)</f>
        <v/>
      </c>
      <c r="BC237" s="75">
        <f>$C237*INDEX(Curves!$AG$8:$AG$68,BC$4-$B237+1)</f>
        <v/>
      </c>
      <c r="BD237" s="75">
        <f>$C237*INDEX(Curves!$AG$8:$AG$68,BD$4-$B237+1)</f>
        <v/>
      </c>
      <c r="BE237" s="75">
        <f>$C237*INDEX(Curves!$AG$8:$AG$68,BE$4-$B237+1)</f>
        <v/>
      </c>
      <c r="BF237" s="75">
        <f>$C237*INDEX(Curves!$AG$8:$AG$68,BF$4-$B237+1)</f>
        <v/>
      </c>
      <c r="BG237" s="75">
        <f>$C237*INDEX(Curves!$AG$8:$AG$68,BG$4-$B237+1)</f>
        <v/>
      </c>
      <c r="BH237" s="75">
        <f>$C237*INDEX(Curves!$AG$8:$AG$68,BH$4-$B237+1)</f>
        <v/>
      </c>
      <c r="BI237" s="75">
        <f>$C237*INDEX(Curves!$AG$8:$AG$68,BI$4-$B237+1)</f>
        <v/>
      </c>
      <c r="BJ237" s="75">
        <f>$C237*INDEX(Curves!$AG$8:$AG$68,BJ$4-$B237+1)</f>
        <v/>
      </c>
      <c r="BK237" s="75">
        <f>$C237*INDEX(Curves!$AG$8:$AG$68,BK$4-$B237+1)</f>
        <v/>
      </c>
      <c r="BL237" s="75">
        <f>$C237*INDEX(Curves!$AG$8:$AG$68,BL$4-$B237+1)</f>
        <v/>
      </c>
    </row>
    <row r="238">
      <c r="A238" s="74" t="inlineStr">
        <is>
          <t>Cohort month 40</t>
        </is>
      </c>
      <c r="B238" s="74" t="n">
        <v>40</v>
      </c>
      <c r="C238" s="17">
        <f>INDEX(Ops!$E$60:$BL$60,1,$B238)</f>
        <v/>
      </c>
      <c r="AS238" s="75">
        <f>$C238*INDEX(Curves!$AG$8:$AG$68,AS$4-$B238+1)</f>
        <v/>
      </c>
      <c r="AT238" s="75">
        <f>$C238*INDEX(Curves!$AG$8:$AG$68,AT$4-$B238+1)</f>
        <v/>
      </c>
      <c r="AU238" s="75">
        <f>$C238*INDEX(Curves!$AG$8:$AG$68,AU$4-$B238+1)</f>
        <v/>
      </c>
      <c r="AV238" s="75">
        <f>$C238*INDEX(Curves!$AG$8:$AG$68,AV$4-$B238+1)</f>
        <v/>
      </c>
      <c r="AW238" s="75">
        <f>$C238*INDEX(Curves!$AG$8:$AG$68,AW$4-$B238+1)</f>
        <v/>
      </c>
      <c r="AX238" s="75">
        <f>$C238*INDEX(Curves!$AG$8:$AG$68,AX$4-$B238+1)</f>
        <v/>
      </c>
      <c r="AY238" s="75">
        <f>$C238*INDEX(Curves!$AG$8:$AG$68,AY$4-$B238+1)</f>
        <v/>
      </c>
      <c r="AZ238" s="75">
        <f>$C238*INDEX(Curves!$AG$8:$AG$68,AZ$4-$B238+1)</f>
        <v/>
      </c>
      <c r="BA238" s="75">
        <f>$C238*INDEX(Curves!$AG$8:$AG$68,BA$4-$B238+1)</f>
        <v/>
      </c>
      <c r="BB238" s="75">
        <f>$C238*INDEX(Curves!$AG$8:$AG$68,BB$4-$B238+1)</f>
        <v/>
      </c>
      <c r="BC238" s="75">
        <f>$C238*INDEX(Curves!$AG$8:$AG$68,BC$4-$B238+1)</f>
        <v/>
      </c>
      <c r="BD238" s="75">
        <f>$C238*INDEX(Curves!$AG$8:$AG$68,BD$4-$B238+1)</f>
        <v/>
      </c>
      <c r="BE238" s="75">
        <f>$C238*INDEX(Curves!$AG$8:$AG$68,BE$4-$B238+1)</f>
        <v/>
      </c>
      <c r="BF238" s="75">
        <f>$C238*INDEX(Curves!$AG$8:$AG$68,BF$4-$B238+1)</f>
        <v/>
      </c>
      <c r="BG238" s="75">
        <f>$C238*INDEX(Curves!$AG$8:$AG$68,BG$4-$B238+1)</f>
        <v/>
      </c>
      <c r="BH238" s="75">
        <f>$C238*INDEX(Curves!$AG$8:$AG$68,BH$4-$B238+1)</f>
        <v/>
      </c>
      <c r="BI238" s="75">
        <f>$C238*INDEX(Curves!$AG$8:$AG$68,BI$4-$B238+1)</f>
        <v/>
      </c>
      <c r="BJ238" s="75">
        <f>$C238*INDEX(Curves!$AG$8:$AG$68,BJ$4-$B238+1)</f>
        <v/>
      </c>
      <c r="BK238" s="75">
        <f>$C238*INDEX(Curves!$AG$8:$AG$68,BK$4-$B238+1)</f>
        <v/>
      </c>
      <c r="BL238" s="75">
        <f>$C238*INDEX(Curves!$AG$8:$AG$68,BL$4-$B238+1)</f>
        <v/>
      </c>
    </row>
    <row r="239">
      <c r="A239" s="74" t="inlineStr">
        <is>
          <t>Cohort month 41</t>
        </is>
      </c>
      <c r="B239" s="74" t="n">
        <v>41</v>
      </c>
      <c r="C239" s="17">
        <f>INDEX(Ops!$E$60:$BL$60,1,$B239)</f>
        <v/>
      </c>
      <c r="AT239" s="75">
        <f>$C239*INDEX(Curves!$AG$8:$AG$68,AT$4-$B239+1)</f>
        <v/>
      </c>
      <c r="AU239" s="75">
        <f>$C239*INDEX(Curves!$AG$8:$AG$68,AU$4-$B239+1)</f>
        <v/>
      </c>
      <c r="AV239" s="75">
        <f>$C239*INDEX(Curves!$AG$8:$AG$68,AV$4-$B239+1)</f>
        <v/>
      </c>
      <c r="AW239" s="75">
        <f>$C239*INDEX(Curves!$AG$8:$AG$68,AW$4-$B239+1)</f>
        <v/>
      </c>
      <c r="AX239" s="75">
        <f>$C239*INDEX(Curves!$AG$8:$AG$68,AX$4-$B239+1)</f>
        <v/>
      </c>
      <c r="AY239" s="75">
        <f>$C239*INDEX(Curves!$AG$8:$AG$68,AY$4-$B239+1)</f>
        <v/>
      </c>
      <c r="AZ239" s="75">
        <f>$C239*INDEX(Curves!$AG$8:$AG$68,AZ$4-$B239+1)</f>
        <v/>
      </c>
      <c r="BA239" s="75">
        <f>$C239*INDEX(Curves!$AG$8:$AG$68,BA$4-$B239+1)</f>
        <v/>
      </c>
      <c r="BB239" s="75">
        <f>$C239*INDEX(Curves!$AG$8:$AG$68,BB$4-$B239+1)</f>
        <v/>
      </c>
      <c r="BC239" s="75">
        <f>$C239*INDEX(Curves!$AG$8:$AG$68,BC$4-$B239+1)</f>
        <v/>
      </c>
      <c r="BD239" s="75">
        <f>$C239*INDEX(Curves!$AG$8:$AG$68,BD$4-$B239+1)</f>
        <v/>
      </c>
      <c r="BE239" s="75">
        <f>$C239*INDEX(Curves!$AG$8:$AG$68,BE$4-$B239+1)</f>
        <v/>
      </c>
      <c r="BF239" s="75">
        <f>$C239*INDEX(Curves!$AG$8:$AG$68,BF$4-$B239+1)</f>
        <v/>
      </c>
      <c r="BG239" s="75">
        <f>$C239*INDEX(Curves!$AG$8:$AG$68,BG$4-$B239+1)</f>
        <v/>
      </c>
      <c r="BH239" s="75">
        <f>$C239*INDEX(Curves!$AG$8:$AG$68,BH$4-$B239+1)</f>
        <v/>
      </c>
      <c r="BI239" s="75">
        <f>$C239*INDEX(Curves!$AG$8:$AG$68,BI$4-$B239+1)</f>
        <v/>
      </c>
      <c r="BJ239" s="75">
        <f>$C239*INDEX(Curves!$AG$8:$AG$68,BJ$4-$B239+1)</f>
        <v/>
      </c>
      <c r="BK239" s="75">
        <f>$C239*INDEX(Curves!$AG$8:$AG$68,BK$4-$B239+1)</f>
        <v/>
      </c>
      <c r="BL239" s="75">
        <f>$C239*INDEX(Curves!$AG$8:$AG$68,BL$4-$B239+1)</f>
        <v/>
      </c>
    </row>
    <row r="240">
      <c r="A240" s="74" t="inlineStr">
        <is>
          <t>Cohort month 42</t>
        </is>
      </c>
      <c r="B240" s="74" t="n">
        <v>42</v>
      </c>
      <c r="C240" s="17">
        <f>INDEX(Ops!$E$60:$BL$60,1,$B240)</f>
        <v/>
      </c>
      <c r="AU240" s="75">
        <f>$C240*INDEX(Curves!$AG$8:$AG$68,AU$4-$B240+1)</f>
        <v/>
      </c>
      <c r="AV240" s="75">
        <f>$C240*INDEX(Curves!$AG$8:$AG$68,AV$4-$B240+1)</f>
        <v/>
      </c>
      <c r="AW240" s="75">
        <f>$C240*INDEX(Curves!$AG$8:$AG$68,AW$4-$B240+1)</f>
        <v/>
      </c>
      <c r="AX240" s="75">
        <f>$C240*INDEX(Curves!$AG$8:$AG$68,AX$4-$B240+1)</f>
        <v/>
      </c>
      <c r="AY240" s="75">
        <f>$C240*INDEX(Curves!$AG$8:$AG$68,AY$4-$B240+1)</f>
        <v/>
      </c>
      <c r="AZ240" s="75">
        <f>$C240*INDEX(Curves!$AG$8:$AG$68,AZ$4-$B240+1)</f>
        <v/>
      </c>
      <c r="BA240" s="75">
        <f>$C240*INDEX(Curves!$AG$8:$AG$68,BA$4-$B240+1)</f>
        <v/>
      </c>
      <c r="BB240" s="75">
        <f>$C240*INDEX(Curves!$AG$8:$AG$68,BB$4-$B240+1)</f>
        <v/>
      </c>
      <c r="BC240" s="75">
        <f>$C240*INDEX(Curves!$AG$8:$AG$68,BC$4-$B240+1)</f>
        <v/>
      </c>
      <c r="BD240" s="75">
        <f>$C240*INDEX(Curves!$AG$8:$AG$68,BD$4-$B240+1)</f>
        <v/>
      </c>
      <c r="BE240" s="75">
        <f>$C240*INDEX(Curves!$AG$8:$AG$68,BE$4-$B240+1)</f>
        <v/>
      </c>
      <c r="BF240" s="75">
        <f>$C240*INDEX(Curves!$AG$8:$AG$68,BF$4-$B240+1)</f>
        <v/>
      </c>
      <c r="BG240" s="75">
        <f>$C240*INDEX(Curves!$AG$8:$AG$68,BG$4-$B240+1)</f>
        <v/>
      </c>
      <c r="BH240" s="75">
        <f>$C240*INDEX(Curves!$AG$8:$AG$68,BH$4-$B240+1)</f>
        <v/>
      </c>
      <c r="BI240" s="75">
        <f>$C240*INDEX(Curves!$AG$8:$AG$68,BI$4-$B240+1)</f>
        <v/>
      </c>
      <c r="BJ240" s="75">
        <f>$C240*INDEX(Curves!$AG$8:$AG$68,BJ$4-$B240+1)</f>
        <v/>
      </c>
      <c r="BK240" s="75">
        <f>$C240*INDEX(Curves!$AG$8:$AG$68,BK$4-$B240+1)</f>
        <v/>
      </c>
      <c r="BL240" s="75">
        <f>$C240*INDEX(Curves!$AG$8:$AG$68,BL$4-$B240+1)</f>
        <v/>
      </c>
    </row>
    <row r="241">
      <c r="A241" s="74" t="inlineStr">
        <is>
          <t>Cohort month 43</t>
        </is>
      </c>
      <c r="B241" s="74" t="n">
        <v>43</v>
      </c>
      <c r="C241" s="17">
        <f>INDEX(Ops!$E$60:$BL$60,1,$B241)</f>
        <v/>
      </c>
      <c r="AV241" s="75">
        <f>$C241*INDEX(Curves!$AG$8:$AG$68,AV$4-$B241+1)</f>
        <v/>
      </c>
      <c r="AW241" s="75">
        <f>$C241*INDEX(Curves!$AG$8:$AG$68,AW$4-$B241+1)</f>
        <v/>
      </c>
      <c r="AX241" s="75">
        <f>$C241*INDEX(Curves!$AG$8:$AG$68,AX$4-$B241+1)</f>
        <v/>
      </c>
      <c r="AY241" s="75">
        <f>$C241*INDEX(Curves!$AG$8:$AG$68,AY$4-$B241+1)</f>
        <v/>
      </c>
      <c r="AZ241" s="75">
        <f>$C241*INDEX(Curves!$AG$8:$AG$68,AZ$4-$B241+1)</f>
        <v/>
      </c>
      <c r="BA241" s="75">
        <f>$C241*INDEX(Curves!$AG$8:$AG$68,BA$4-$B241+1)</f>
        <v/>
      </c>
      <c r="BB241" s="75">
        <f>$C241*INDEX(Curves!$AG$8:$AG$68,BB$4-$B241+1)</f>
        <v/>
      </c>
      <c r="BC241" s="75">
        <f>$C241*INDEX(Curves!$AG$8:$AG$68,BC$4-$B241+1)</f>
        <v/>
      </c>
      <c r="BD241" s="75">
        <f>$C241*INDEX(Curves!$AG$8:$AG$68,BD$4-$B241+1)</f>
        <v/>
      </c>
      <c r="BE241" s="75">
        <f>$C241*INDEX(Curves!$AG$8:$AG$68,BE$4-$B241+1)</f>
        <v/>
      </c>
      <c r="BF241" s="75">
        <f>$C241*INDEX(Curves!$AG$8:$AG$68,BF$4-$B241+1)</f>
        <v/>
      </c>
      <c r="BG241" s="75">
        <f>$C241*INDEX(Curves!$AG$8:$AG$68,BG$4-$B241+1)</f>
        <v/>
      </c>
      <c r="BH241" s="75">
        <f>$C241*INDEX(Curves!$AG$8:$AG$68,BH$4-$B241+1)</f>
        <v/>
      </c>
      <c r="BI241" s="75">
        <f>$C241*INDEX(Curves!$AG$8:$AG$68,BI$4-$B241+1)</f>
        <v/>
      </c>
      <c r="BJ241" s="75">
        <f>$C241*INDEX(Curves!$AG$8:$AG$68,BJ$4-$B241+1)</f>
        <v/>
      </c>
      <c r="BK241" s="75">
        <f>$C241*INDEX(Curves!$AG$8:$AG$68,BK$4-$B241+1)</f>
        <v/>
      </c>
      <c r="BL241" s="75">
        <f>$C241*INDEX(Curves!$AG$8:$AG$68,BL$4-$B241+1)</f>
        <v/>
      </c>
    </row>
    <row r="242">
      <c r="A242" s="74" t="inlineStr">
        <is>
          <t>Cohort month 44</t>
        </is>
      </c>
      <c r="B242" s="74" t="n">
        <v>44</v>
      </c>
      <c r="C242" s="17">
        <f>INDEX(Ops!$E$60:$BL$60,1,$B242)</f>
        <v/>
      </c>
      <c r="AW242" s="75">
        <f>$C242*INDEX(Curves!$AG$8:$AG$68,AW$4-$B242+1)</f>
        <v/>
      </c>
      <c r="AX242" s="75">
        <f>$C242*INDEX(Curves!$AG$8:$AG$68,AX$4-$B242+1)</f>
        <v/>
      </c>
      <c r="AY242" s="75">
        <f>$C242*INDEX(Curves!$AG$8:$AG$68,AY$4-$B242+1)</f>
        <v/>
      </c>
      <c r="AZ242" s="75">
        <f>$C242*INDEX(Curves!$AG$8:$AG$68,AZ$4-$B242+1)</f>
        <v/>
      </c>
      <c r="BA242" s="75">
        <f>$C242*INDEX(Curves!$AG$8:$AG$68,BA$4-$B242+1)</f>
        <v/>
      </c>
      <c r="BB242" s="75">
        <f>$C242*INDEX(Curves!$AG$8:$AG$68,BB$4-$B242+1)</f>
        <v/>
      </c>
      <c r="BC242" s="75">
        <f>$C242*INDEX(Curves!$AG$8:$AG$68,BC$4-$B242+1)</f>
        <v/>
      </c>
      <c r="BD242" s="75">
        <f>$C242*INDEX(Curves!$AG$8:$AG$68,BD$4-$B242+1)</f>
        <v/>
      </c>
      <c r="BE242" s="75">
        <f>$C242*INDEX(Curves!$AG$8:$AG$68,BE$4-$B242+1)</f>
        <v/>
      </c>
      <c r="BF242" s="75">
        <f>$C242*INDEX(Curves!$AG$8:$AG$68,BF$4-$B242+1)</f>
        <v/>
      </c>
      <c r="BG242" s="75">
        <f>$C242*INDEX(Curves!$AG$8:$AG$68,BG$4-$B242+1)</f>
        <v/>
      </c>
      <c r="BH242" s="75">
        <f>$C242*INDEX(Curves!$AG$8:$AG$68,BH$4-$B242+1)</f>
        <v/>
      </c>
      <c r="BI242" s="75">
        <f>$C242*INDEX(Curves!$AG$8:$AG$68,BI$4-$B242+1)</f>
        <v/>
      </c>
      <c r="BJ242" s="75">
        <f>$C242*INDEX(Curves!$AG$8:$AG$68,BJ$4-$B242+1)</f>
        <v/>
      </c>
      <c r="BK242" s="75">
        <f>$C242*INDEX(Curves!$AG$8:$AG$68,BK$4-$B242+1)</f>
        <v/>
      </c>
      <c r="BL242" s="75">
        <f>$C242*INDEX(Curves!$AG$8:$AG$68,BL$4-$B242+1)</f>
        <v/>
      </c>
    </row>
    <row r="243">
      <c r="A243" s="74" t="inlineStr">
        <is>
          <t>Cohort month 45</t>
        </is>
      </c>
      <c r="B243" s="74" t="n">
        <v>45</v>
      </c>
      <c r="C243" s="17">
        <f>INDEX(Ops!$E$60:$BL$60,1,$B243)</f>
        <v/>
      </c>
      <c r="AX243" s="75">
        <f>$C243*INDEX(Curves!$AG$8:$AG$68,AX$4-$B243+1)</f>
        <v/>
      </c>
      <c r="AY243" s="75">
        <f>$C243*INDEX(Curves!$AG$8:$AG$68,AY$4-$B243+1)</f>
        <v/>
      </c>
      <c r="AZ243" s="75">
        <f>$C243*INDEX(Curves!$AG$8:$AG$68,AZ$4-$B243+1)</f>
        <v/>
      </c>
      <c r="BA243" s="75">
        <f>$C243*INDEX(Curves!$AG$8:$AG$68,BA$4-$B243+1)</f>
        <v/>
      </c>
      <c r="BB243" s="75">
        <f>$C243*INDEX(Curves!$AG$8:$AG$68,BB$4-$B243+1)</f>
        <v/>
      </c>
      <c r="BC243" s="75">
        <f>$C243*INDEX(Curves!$AG$8:$AG$68,BC$4-$B243+1)</f>
        <v/>
      </c>
      <c r="BD243" s="75">
        <f>$C243*INDEX(Curves!$AG$8:$AG$68,BD$4-$B243+1)</f>
        <v/>
      </c>
      <c r="BE243" s="75">
        <f>$C243*INDEX(Curves!$AG$8:$AG$68,BE$4-$B243+1)</f>
        <v/>
      </c>
      <c r="BF243" s="75">
        <f>$C243*INDEX(Curves!$AG$8:$AG$68,BF$4-$B243+1)</f>
        <v/>
      </c>
      <c r="BG243" s="75">
        <f>$C243*INDEX(Curves!$AG$8:$AG$68,BG$4-$B243+1)</f>
        <v/>
      </c>
      <c r="BH243" s="75">
        <f>$C243*INDEX(Curves!$AG$8:$AG$68,BH$4-$B243+1)</f>
        <v/>
      </c>
      <c r="BI243" s="75">
        <f>$C243*INDEX(Curves!$AG$8:$AG$68,BI$4-$B243+1)</f>
        <v/>
      </c>
      <c r="BJ243" s="75">
        <f>$C243*INDEX(Curves!$AG$8:$AG$68,BJ$4-$B243+1)</f>
        <v/>
      </c>
      <c r="BK243" s="75">
        <f>$C243*INDEX(Curves!$AG$8:$AG$68,BK$4-$B243+1)</f>
        <v/>
      </c>
      <c r="BL243" s="75">
        <f>$C243*INDEX(Curves!$AG$8:$AG$68,BL$4-$B243+1)</f>
        <v/>
      </c>
    </row>
    <row r="244">
      <c r="A244" s="74" t="inlineStr">
        <is>
          <t>Cohort month 46</t>
        </is>
      </c>
      <c r="B244" s="74" t="n">
        <v>46</v>
      </c>
      <c r="C244" s="17">
        <f>INDEX(Ops!$E$60:$BL$60,1,$B244)</f>
        <v/>
      </c>
      <c r="AY244" s="75">
        <f>$C244*INDEX(Curves!$AG$8:$AG$68,AY$4-$B244+1)</f>
        <v/>
      </c>
      <c r="AZ244" s="75">
        <f>$C244*INDEX(Curves!$AG$8:$AG$68,AZ$4-$B244+1)</f>
        <v/>
      </c>
      <c r="BA244" s="75">
        <f>$C244*INDEX(Curves!$AG$8:$AG$68,BA$4-$B244+1)</f>
        <v/>
      </c>
      <c r="BB244" s="75">
        <f>$C244*INDEX(Curves!$AG$8:$AG$68,BB$4-$B244+1)</f>
        <v/>
      </c>
      <c r="BC244" s="75">
        <f>$C244*INDEX(Curves!$AG$8:$AG$68,BC$4-$B244+1)</f>
        <v/>
      </c>
      <c r="BD244" s="75">
        <f>$C244*INDEX(Curves!$AG$8:$AG$68,BD$4-$B244+1)</f>
        <v/>
      </c>
      <c r="BE244" s="75">
        <f>$C244*INDEX(Curves!$AG$8:$AG$68,BE$4-$B244+1)</f>
        <v/>
      </c>
      <c r="BF244" s="75">
        <f>$C244*INDEX(Curves!$AG$8:$AG$68,BF$4-$B244+1)</f>
        <v/>
      </c>
      <c r="BG244" s="75">
        <f>$C244*INDEX(Curves!$AG$8:$AG$68,BG$4-$B244+1)</f>
        <v/>
      </c>
      <c r="BH244" s="75">
        <f>$C244*INDEX(Curves!$AG$8:$AG$68,BH$4-$B244+1)</f>
        <v/>
      </c>
      <c r="BI244" s="75">
        <f>$C244*INDEX(Curves!$AG$8:$AG$68,BI$4-$B244+1)</f>
        <v/>
      </c>
      <c r="BJ244" s="75">
        <f>$C244*INDEX(Curves!$AG$8:$AG$68,BJ$4-$B244+1)</f>
        <v/>
      </c>
      <c r="BK244" s="75">
        <f>$C244*INDEX(Curves!$AG$8:$AG$68,BK$4-$B244+1)</f>
        <v/>
      </c>
      <c r="BL244" s="75">
        <f>$C244*INDEX(Curves!$AG$8:$AG$68,BL$4-$B244+1)</f>
        <v/>
      </c>
    </row>
    <row r="245">
      <c r="A245" s="74" t="inlineStr">
        <is>
          <t>Cohort month 47</t>
        </is>
      </c>
      <c r="B245" s="74" t="n">
        <v>47</v>
      </c>
      <c r="C245" s="17">
        <f>INDEX(Ops!$E$60:$BL$60,1,$B245)</f>
        <v/>
      </c>
      <c r="AZ245" s="75">
        <f>$C245*INDEX(Curves!$AG$8:$AG$68,AZ$4-$B245+1)</f>
        <v/>
      </c>
      <c r="BA245" s="75">
        <f>$C245*INDEX(Curves!$AG$8:$AG$68,BA$4-$B245+1)</f>
        <v/>
      </c>
      <c r="BB245" s="75">
        <f>$C245*INDEX(Curves!$AG$8:$AG$68,BB$4-$B245+1)</f>
        <v/>
      </c>
      <c r="BC245" s="75">
        <f>$C245*INDEX(Curves!$AG$8:$AG$68,BC$4-$B245+1)</f>
        <v/>
      </c>
      <c r="BD245" s="75">
        <f>$C245*INDEX(Curves!$AG$8:$AG$68,BD$4-$B245+1)</f>
        <v/>
      </c>
      <c r="BE245" s="75">
        <f>$C245*INDEX(Curves!$AG$8:$AG$68,BE$4-$B245+1)</f>
        <v/>
      </c>
      <c r="BF245" s="75">
        <f>$C245*INDEX(Curves!$AG$8:$AG$68,BF$4-$B245+1)</f>
        <v/>
      </c>
      <c r="BG245" s="75">
        <f>$C245*INDEX(Curves!$AG$8:$AG$68,BG$4-$B245+1)</f>
        <v/>
      </c>
      <c r="BH245" s="75">
        <f>$C245*INDEX(Curves!$AG$8:$AG$68,BH$4-$B245+1)</f>
        <v/>
      </c>
      <c r="BI245" s="75">
        <f>$C245*INDEX(Curves!$AG$8:$AG$68,BI$4-$B245+1)</f>
        <v/>
      </c>
      <c r="BJ245" s="75">
        <f>$C245*INDEX(Curves!$AG$8:$AG$68,BJ$4-$B245+1)</f>
        <v/>
      </c>
      <c r="BK245" s="75">
        <f>$C245*INDEX(Curves!$AG$8:$AG$68,BK$4-$B245+1)</f>
        <v/>
      </c>
      <c r="BL245" s="75">
        <f>$C245*INDEX(Curves!$AG$8:$AG$68,BL$4-$B245+1)</f>
        <v/>
      </c>
    </row>
    <row r="246">
      <c r="A246" s="74" t="inlineStr">
        <is>
          <t>Cohort month 48</t>
        </is>
      </c>
      <c r="B246" s="74" t="n">
        <v>48</v>
      </c>
      <c r="C246" s="17">
        <f>INDEX(Ops!$E$60:$BL$60,1,$B246)</f>
        <v/>
      </c>
      <c r="BA246" s="75">
        <f>$C246*INDEX(Curves!$AG$8:$AG$68,BA$4-$B246+1)</f>
        <v/>
      </c>
      <c r="BB246" s="75">
        <f>$C246*INDEX(Curves!$AG$8:$AG$68,BB$4-$B246+1)</f>
        <v/>
      </c>
      <c r="BC246" s="75">
        <f>$C246*INDEX(Curves!$AG$8:$AG$68,BC$4-$B246+1)</f>
        <v/>
      </c>
      <c r="BD246" s="75">
        <f>$C246*INDEX(Curves!$AG$8:$AG$68,BD$4-$B246+1)</f>
        <v/>
      </c>
      <c r="BE246" s="75">
        <f>$C246*INDEX(Curves!$AG$8:$AG$68,BE$4-$B246+1)</f>
        <v/>
      </c>
      <c r="BF246" s="75">
        <f>$C246*INDEX(Curves!$AG$8:$AG$68,BF$4-$B246+1)</f>
        <v/>
      </c>
      <c r="BG246" s="75">
        <f>$C246*INDEX(Curves!$AG$8:$AG$68,BG$4-$B246+1)</f>
        <v/>
      </c>
      <c r="BH246" s="75">
        <f>$C246*INDEX(Curves!$AG$8:$AG$68,BH$4-$B246+1)</f>
        <v/>
      </c>
      <c r="BI246" s="75">
        <f>$C246*INDEX(Curves!$AG$8:$AG$68,BI$4-$B246+1)</f>
        <v/>
      </c>
      <c r="BJ246" s="75">
        <f>$C246*INDEX(Curves!$AG$8:$AG$68,BJ$4-$B246+1)</f>
        <v/>
      </c>
      <c r="BK246" s="75">
        <f>$C246*INDEX(Curves!$AG$8:$AG$68,BK$4-$B246+1)</f>
        <v/>
      </c>
      <c r="BL246" s="75">
        <f>$C246*INDEX(Curves!$AG$8:$AG$68,BL$4-$B246+1)</f>
        <v/>
      </c>
    </row>
    <row r="247">
      <c r="A247" s="74" t="inlineStr">
        <is>
          <t>Cohort month 49</t>
        </is>
      </c>
      <c r="B247" s="74" t="n">
        <v>49</v>
      </c>
      <c r="C247" s="17">
        <f>INDEX(Ops!$E$60:$BL$60,1,$B247)</f>
        <v/>
      </c>
      <c r="BB247" s="75">
        <f>$C247*INDEX(Curves!$AG$8:$AG$68,BB$4-$B247+1)</f>
        <v/>
      </c>
      <c r="BC247" s="75">
        <f>$C247*INDEX(Curves!$AG$8:$AG$68,BC$4-$B247+1)</f>
        <v/>
      </c>
      <c r="BD247" s="75">
        <f>$C247*INDEX(Curves!$AG$8:$AG$68,BD$4-$B247+1)</f>
        <v/>
      </c>
      <c r="BE247" s="75">
        <f>$C247*INDEX(Curves!$AG$8:$AG$68,BE$4-$B247+1)</f>
        <v/>
      </c>
      <c r="BF247" s="75">
        <f>$C247*INDEX(Curves!$AG$8:$AG$68,BF$4-$B247+1)</f>
        <v/>
      </c>
      <c r="BG247" s="75">
        <f>$C247*INDEX(Curves!$AG$8:$AG$68,BG$4-$B247+1)</f>
        <v/>
      </c>
      <c r="BH247" s="75">
        <f>$C247*INDEX(Curves!$AG$8:$AG$68,BH$4-$B247+1)</f>
        <v/>
      </c>
      <c r="BI247" s="75">
        <f>$C247*INDEX(Curves!$AG$8:$AG$68,BI$4-$B247+1)</f>
        <v/>
      </c>
      <c r="BJ247" s="75">
        <f>$C247*INDEX(Curves!$AG$8:$AG$68,BJ$4-$B247+1)</f>
        <v/>
      </c>
      <c r="BK247" s="75">
        <f>$C247*INDEX(Curves!$AG$8:$AG$68,BK$4-$B247+1)</f>
        <v/>
      </c>
      <c r="BL247" s="75">
        <f>$C247*INDEX(Curves!$AG$8:$AG$68,BL$4-$B247+1)</f>
        <v/>
      </c>
    </row>
    <row r="248">
      <c r="A248" s="74" t="inlineStr">
        <is>
          <t>Cohort month 50</t>
        </is>
      </c>
      <c r="B248" s="74" t="n">
        <v>50</v>
      </c>
      <c r="C248" s="17">
        <f>INDEX(Ops!$E$60:$BL$60,1,$B248)</f>
        <v/>
      </c>
      <c r="BC248" s="75">
        <f>$C248*INDEX(Curves!$AG$8:$AG$68,BC$4-$B248+1)</f>
        <v/>
      </c>
      <c r="BD248" s="75">
        <f>$C248*INDEX(Curves!$AG$8:$AG$68,BD$4-$B248+1)</f>
        <v/>
      </c>
      <c r="BE248" s="75">
        <f>$C248*INDEX(Curves!$AG$8:$AG$68,BE$4-$B248+1)</f>
        <v/>
      </c>
      <c r="BF248" s="75">
        <f>$C248*INDEX(Curves!$AG$8:$AG$68,BF$4-$B248+1)</f>
        <v/>
      </c>
      <c r="BG248" s="75">
        <f>$C248*INDEX(Curves!$AG$8:$AG$68,BG$4-$B248+1)</f>
        <v/>
      </c>
      <c r="BH248" s="75">
        <f>$C248*INDEX(Curves!$AG$8:$AG$68,BH$4-$B248+1)</f>
        <v/>
      </c>
      <c r="BI248" s="75">
        <f>$C248*INDEX(Curves!$AG$8:$AG$68,BI$4-$B248+1)</f>
        <v/>
      </c>
      <c r="BJ248" s="75">
        <f>$C248*INDEX(Curves!$AG$8:$AG$68,BJ$4-$B248+1)</f>
        <v/>
      </c>
      <c r="BK248" s="75">
        <f>$C248*INDEX(Curves!$AG$8:$AG$68,BK$4-$B248+1)</f>
        <v/>
      </c>
      <c r="BL248" s="75">
        <f>$C248*INDEX(Curves!$AG$8:$AG$68,BL$4-$B248+1)</f>
        <v/>
      </c>
    </row>
    <row r="249">
      <c r="A249" s="74" t="inlineStr">
        <is>
          <t>Cohort month 51</t>
        </is>
      </c>
      <c r="B249" s="74" t="n">
        <v>51</v>
      </c>
      <c r="C249" s="17">
        <f>INDEX(Ops!$E$60:$BL$60,1,$B249)</f>
        <v/>
      </c>
      <c r="BD249" s="75">
        <f>$C249*INDEX(Curves!$AG$8:$AG$68,BD$4-$B249+1)</f>
        <v/>
      </c>
      <c r="BE249" s="75">
        <f>$C249*INDEX(Curves!$AG$8:$AG$68,BE$4-$B249+1)</f>
        <v/>
      </c>
      <c r="BF249" s="75">
        <f>$C249*INDEX(Curves!$AG$8:$AG$68,BF$4-$B249+1)</f>
        <v/>
      </c>
      <c r="BG249" s="75">
        <f>$C249*INDEX(Curves!$AG$8:$AG$68,BG$4-$B249+1)</f>
        <v/>
      </c>
      <c r="BH249" s="75">
        <f>$C249*INDEX(Curves!$AG$8:$AG$68,BH$4-$B249+1)</f>
        <v/>
      </c>
      <c r="BI249" s="75">
        <f>$C249*INDEX(Curves!$AG$8:$AG$68,BI$4-$B249+1)</f>
        <v/>
      </c>
      <c r="BJ249" s="75">
        <f>$C249*INDEX(Curves!$AG$8:$AG$68,BJ$4-$B249+1)</f>
        <v/>
      </c>
      <c r="BK249" s="75">
        <f>$C249*INDEX(Curves!$AG$8:$AG$68,BK$4-$B249+1)</f>
        <v/>
      </c>
      <c r="BL249" s="75">
        <f>$C249*INDEX(Curves!$AG$8:$AG$68,BL$4-$B249+1)</f>
        <v/>
      </c>
    </row>
    <row r="250">
      <c r="A250" s="74" t="inlineStr">
        <is>
          <t>Cohort month 52</t>
        </is>
      </c>
      <c r="B250" s="74" t="n">
        <v>52</v>
      </c>
      <c r="C250" s="17">
        <f>INDEX(Ops!$E$60:$BL$60,1,$B250)</f>
        <v/>
      </c>
      <c r="BE250" s="75">
        <f>$C250*INDEX(Curves!$AG$8:$AG$68,BE$4-$B250+1)</f>
        <v/>
      </c>
      <c r="BF250" s="75">
        <f>$C250*INDEX(Curves!$AG$8:$AG$68,BF$4-$B250+1)</f>
        <v/>
      </c>
      <c r="BG250" s="75">
        <f>$C250*INDEX(Curves!$AG$8:$AG$68,BG$4-$B250+1)</f>
        <v/>
      </c>
      <c r="BH250" s="75">
        <f>$C250*INDEX(Curves!$AG$8:$AG$68,BH$4-$B250+1)</f>
        <v/>
      </c>
      <c r="BI250" s="75">
        <f>$C250*INDEX(Curves!$AG$8:$AG$68,BI$4-$B250+1)</f>
        <v/>
      </c>
      <c r="BJ250" s="75">
        <f>$C250*INDEX(Curves!$AG$8:$AG$68,BJ$4-$B250+1)</f>
        <v/>
      </c>
      <c r="BK250" s="75">
        <f>$C250*INDEX(Curves!$AG$8:$AG$68,BK$4-$B250+1)</f>
        <v/>
      </c>
      <c r="BL250" s="75">
        <f>$C250*INDEX(Curves!$AG$8:$AG$68,BL$4-$B250+1)</f>
        <v/>
      </c>
    </row>
    <row r="251">
      <c r="A251" s="74" t="inlineStr">
        <is>
          <t>Cohort month 53</t>
        </is>
      </c>
      <c r="B251" s="74" t="n">
        <v>53</v>
      </c>
      <c r="C251" s="17">
        <f>INDEX(Ops!$E$60:$BL$60,1,$B251)</f>
        <v/>
      </c>
      <c r="BF251" s="75">
        <f>$C251*INDEX(Curves!$AG$8:$AG$68,BF$4-$B251+1)</f>
        <v/>
      </c>
      <c r="BG251" s="75">
        <f>$C251*INDEX(Curves!$AG$8:$AG$68,BG$4-$B251+1)</f>
        <v/>
      </c>
      <c r="BH251" s="75">
        <f>$C251*INDEX(Curves!$AG$8:$AG$68,BH$4-$B251+1)</f>
        <v/>
      </c>
      <c r="BI251" s="75">
        <f>$C251*INDEX(Curves!$AG$8:$AG$68,BI$4-$B251+1)</f>
        <v/>
      </c>
      <c r="BJ251" s="75">
        <f>$C251*INDEX(Curves!$AG$8:$AG$68,BJ$4-$B251+1)</f>
        <v/>
      </c>
      <c r="BK251" s="75">
        <f>$C251*INDEX(Curves!$AG$8:$AG$68,BK$4-$B251+1)</f>
        <v/>
      </c>
      <c r="BL251" s="75">
        <f>$C251*INDEX(Curves!$AG$8:$AG$68,BL$4-$B251+1)</f>
        <v/>
      </c>
    </row>
    <row r="252">
      <c r="A252" s="74" t="inlineStr">
        <is>
          <t>Cohort month 54</t>
        </is>
      </c>
      <c r="B252" s="74" t="n">
        <v>54</v>
      </c>
      <c r="C252" s="17">
        <f>INDEX(Ops!$E$60:$BL$60,1,$B252)</f>
        <v/>
      </c>
      <c r="BG252" s="75">
        <f>$C252*INDEX(Curves!$AG$8:$AG$68,BG$4-$B252+1)</f>
        <v/>
      </c>
      <c r="BH252" s="75">
        <f>$C252*INDEX(Curves!$AG$8:$AG$68,BH$4-$B252+1)</f>
        <v/>
      </c>
      <c r="BI252" s="75">
        <f>$C252*INDEX(Curves!$AG$8:$AG$68,BI$4-$B252+1)</f>
        <v/>
      </c>
      <c r="BJ252" s="75">
        <f>$C252*INDEX(Curves!$AG$8:$AG$68,BJ$4-$B252+1)</f>
        <v/>
      </c>
      <c r="BK252" s="75">
        <f>$C252*INDEX(Curves!$AG$8:$AG$68,BK$4-$B252+1)</f>
        <v/>
      </c>
      <c r="BL252" s="75">
        <f>$C252*INDEX(Curves!$AG$8:$AG$68,BL$4-$B252+1)</f>
        <v/>
      </c>
    </row>
    <row r="253">
      <c r="A253" s="74" t="inlineStr">
        <is>
          <t>Cohort month 55</t>
        </is>
      </c>
      <c r="B253" s="74" t="n">
        <v>55</v>
      </c>
      <c r="C253" s="17">
        <f>INDEX(Ops!$E$60:$BL$60,1,$B253)</f>
        <v/>
      </c>
      <c r="BH253" s="75">
        <f>$C253*INDEX(Curves!$AG$8:$AG$68,BH$4-$B253+1)</f>
        <v/>
      </c>
      <c r="BI253" s="75">
        <f>$C253*INDEX(Curves!$AG$8:$AG$68,BI$4-$B253+1)</f>
        <v/>
      </c>
      <c r="BJ253" s="75">
        <f>$C253*INDEX(Curves!$AG$8:$AG$68,BJ$4-$B253+1)</f>
        <v/>
      </c>
      <c r="BK253" s="75">
        <f>$C253*INDEX(Curves!$AG$8:$AG$68,BK$4-$B253+1)</f>
        <v/>
      </c>
      <c r="BL253" s="75">
        <f>$C253*INDEX(Curves!$AG$8:$AG$68,BL$4-$B253+1)</f>
        <v/>
      </c>
    </row>
    <row r="254">
      <c r="A254" s="74" t="inlineStr">
        <is>
          <t>Cohort month 56</t>
        </is>
      </c>
      <c r="B254" s="74" t="n">
        <v>56</v>
      </c>
      <c r="C254" s="17">
        <f>INDEX(Ops!$E$60:$BL$60,1,$B254)</f>
        <v/>
      </c>
      <c r="BI254" s="75">
        <f>$C254*INDEX(Curves!$AG$8:$AG$68,BI$4-$B254+1)</f>
        <v/>
      </c>
      <c r="BJ254" s="75">
        <f>$C254*INDEX(Curves!$AG$8:$AG$68,BJ$4-$B254+1)</f>
        <v/>
      </c>
      <c r="BK254" s="75">
        <f>$C254*INDEX(Curves!$AG$8:$AG$68,BK$4-$B254+1)</f>
        <v/>
      </c>
      <c r="BL254" s="75">
        <f>$C254*INDEX(Curves!$AG$8:$AG$68,BL$4-$B254+1)</f>
        <v/>
      </c>
    </row>
    <row r="255">
      <c r="A255" s="74" t="inlineStr">
        <is>
          <t>Cohort month 57</t>
        </is>
      </c>
      <c r="B255" s="74" t="n">
        <v>57</v>
      </c>
      <c r="C255" s="17">
        <f>INDEX(Ops!$E$60:$BL$60,1,$B255)</f>
        <v/>
      </c>
      <c r="BJ255" s="75">
        <f>$C255*INDEX(Curves!$AG$8:$AG$68,BJ$4-$B255+1)</f>
        <v/>
      </c>
      <c r="BK255" s="75">
        <f>$C255*INDEX(Curves!$AG$8:$AG$68,BK$4-$B255+1)</f>
        <v/>
      </c>
      <c r="BL255" s="75">
        <f>$C255*INDEX(Curves!$AG$8:$AG$68,BL$4-$B255+1)</f>
        <v/>
      </c>
    </row>
    <row r="256">
      <c r="A256" s="74" t="inlineStr">
        <is>
          <t>Cohort month 58</t>
        </is>
      </c>
      <c r="B256" s="74" t="n">
        <v>58</v>
      </c>
      <c r="C256" s="17">
        <f>INDEX(Ops!$E$60:$BL$60,1,$B256)</f>
        <v/>
      </c>
      <c r="BK256" s="75">
        <f>$C256*INDEX(Curves!$AG$8:$AG$68,BK$4-$B256+1)</f>
        <v/>
      </c>
      <c r="BL256" s="75">
        <f>$C256*INDEX(Curves!$AG$8:$AG$68,BL$4-$B256+1)</f>
        <v/>
      </c>
    </row>
    <row r="257">
      <c r="A257" s="74" t="inlineStr">
        <is>
          <t>Cohort month 59</t>
        </is>
      </c>
      <c r="B257" s="74" t="n">
        <v>59</v>
      </c>
      <c r="C257" s="17">
        <f>INDEX(Ops!$E$60:$BL$60,1,$B257)</f>
        <v/>
      </c>
      <c r="BL257" s="75">
        <f>$C257*INDEX(Curves!$AG$8:$AG$68,BL$4-$B257+1)</f>
        <v/>
      </c>
    </row>
    <row r="258">
      <c r="A258" s="74" t="inlineStr">
        <is>
          <t>Cohort month 60</t>
        </is>
      </c>
      <c r="B258" s="74" t="n">
        <v>60</v>
      </c>
      <c r="C258" s="17">
        <f>INDEX(Ops!$E$60:$BL$60,1,$B258)</f>
        <v/>
      </c>
    </row>
  </sheetData>
  <pageMargins left="0.75" right="0.75" top="1" bottom="1" header="0.5" footer="0.5"/>
  <pageSetup orientation="landscape" fitToHeight="0" fitToWidth="1"/>
</worksheet>
</file>

<file path=xl/worksheets/sheet21.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Cohort (vintage) analysis - Tier 4 - Solar inverter + lithium (~1.2 kWp / 5 kWh)</t>
        </is>
      </c>
    </row>
    <row r="2">
      <c r="A2" s="2" t="inlineStr">
        <is>
          <t>Rows = sales cohort (month of sale); columns = calendar month. Cohort size in column C.</t>
        </is>
      </c>
    </row>
    <row r="3"/>
    <row r="4">
      <c r="A4" s="51" t="inlineStr">
        <is>
          <t>Month #</t>
        </is>
      </c>
      <c r="B4" s="52" t="n"/>
      <c r="C4" s="52" t="n"/>
      <c r="D4" s="51" t="inlineStr">
        <is>
          <t>Opening</t>
        </is>
      </c>
      <c r="E4" s="53">
        <f>Timeline!E4</f>
        <v/>
      </c>
      <c r="F4" s="53">
        <f>Timeline!F4</f>
        <v/>
      </c>
      <c r="G4" s="53">
        <f>Timeline!G4</f>
        <v/>
      </c>
      <c r="H4" s="53">
        <f>Timeline!H4</f>
        <v/>
      </c>
      <c r="I4" s="53">
        <f>Timeline!I4</f>
        <v/>
      </c>
      <c r="J4" s="53">
        <f>Timeline!J4</f>
        <v/>
      </c>
      <c r="K4" s="53">
        <f>Timeline!K4</f>
        <v/>
      </c>
      <c r="L4" s="53">
        <f>Timeline!L4</f>
        <v/>
      </c>
      <c r="M4" s="53">
        <f>Timeline!M4</f>
        <v/>
      </c>
      <c r="N4" s="53">
        <f>Timeline!N4</f>
        <v/>
      </c>
      <c r="O4" s="53">
        <f>Timeline!O4</f>
        <v/>
      </c>
      <c r="P4" s="53">
        <f>Timeline!P4</f>
        <v/>
      </c>
      <c r="Q4" s="53">
        <f>Timeline!Q4</f>
        <v/>
      </c>
      <c r="R4" s="53">
        <f>Timeline!R4</f>
        <v/>
      </c>
      <c r="S4" s="53">
        <f>Timeline!S4</f>
        <v/>
      </c>
      <c r="T4" s="53">
        <f>Timeline!T4</f>
        <v/>
      </c>
      <c r="U4" s="53">
        <f>Timeline!U4</f>
        <v/>
      </c>
      <c r="V4" s="53">
        <f>Timeline!V4</f>
        <v/>
      </c>
      <c r="W4" s="53">
        <f>Timeline!W4</f>
        <v/>
      </c>
      <c r="X4" s="53">
        <f>Timeline!X4</f>
        <v/>
      </c>
      <c r="Y4" s="53">
        <f>Timeline!Y4</f>
        <v/>
      </c>
      <c r="Z4" s="53">
        <f>Timeline!Z4</f>
        <v/>
      </c>
      <c r="AA4" s="53">
        <f>Timeline!AA4</f>
        <v/>
      </c>
      <c r="AB4" s="53">
        <f>Timeline!AB4</f>
        <v/>
      </c>
      <c r="AC4" s="53">
        <f>Timeline!AC4</f>
        <v/>
      </c>
      <c r="AD4" s="53">
        <f>Timeline!AD4</f>
        <v/>
      </c>
      <c r="AE4" s="53">
        <f>Timeline!AE4</f>
        <v/>
      </c>
      <c r="AF4" s="53">
        <f>Timeline!AF4</f>
        <v/>
      </c>
      <c r="AG4" s="53">
        <f>Timeline!AG4</f>
        <v/>
      </c>
      <c r="AH4" s="53">
        <f>Timeline!AH4</f>
        <v/>
      </c>
      <c r="AI4" s="53">
        <f>Timeline!AI4</f>
        <v/>
      </c>
      <c r="AJ4" s="53">
        <f>Timeline!AJ4</f>
        <v/>
      </c>
      <c r="AK4" s="53">
        <f>Timeline!AK4</f>
        <v/>
      </c>
      <c r="AL4" s="53">
        <f>Timeline!AL4</f>
        <v/>
      </c>
      <c r="AM4" s="53">
        <f>Timeline!AM4</f>
        <v/>
      </c>
      <c r="AN4" s="53">
        <f>Timeline!AN4</f>
        <v/>
      </c>
      <c r="AO4" s="53">
        <f>Timeline!AO4</f>
        <v/>
      </c>
      <c r="AP4" s="53">
        <f>Timeline!AP4</f>
        <v/>
      </c>
      <c r="AQ4" s="53">
        <f>Timeline!AQ4</f>
        <v/>
      </c>
      <c r="AR4" s="53">
        <f>Timeline!AR4</f>
        <v/>
      </c>
      <c r="AS4" s="53">
        <f>Timeline!AS4</f>
        <v/>
      </c>
      <c r="AT4" s="53">
        <f>Timeline!AT4</f>
        <v/>
      </c>
      <c r="AU4" s="53">
        <f>Timeline!AU4</f>
        <v/>
      </c>
      <c r="AV4" s="53">
        <f>Timeline!AV4</f>
        <v/>
      </c>
      <c r="AW4" s="53">
        <f>Timeline!AW4</f>
        <v/>
      </c>
      <c r="AX4" s="53">
        <f>Timeline!AX4</f>
        <v/>
      </c>
      <c r="AY4" s="53">
        <f>Timeline!AY4</f>
        <v/>
      </c>
      <c r="AZ4" s="53">
        <f>Timeline!AZ4</f>
        <v/>
      </c>
      <c r="BA4" s="53">
        <f>Timeline!BA4</f>
        <v/>
      </c>
      <c r="BB4" s="53">
        <f>Timeline!BB4</f>
        <v/>
      </c>
      <c r="BC4" s="53">
        <f>Timeline!BC4</f>
        <v/>
      </c>
      <c r="BD4" s="53">
        <f>Timeline!BD4</f>
        <v/>
      </c>
      <c r="BE4" s="53">
        <f>Timeline!BE4</f>
        <v/>
      </c>
      <c r="BF4" s="53">
        <f>Timeline!BF4</f>
        <v/>
      </c>
      <c r="BG4" s="53">
        <f>Timeline!BG4</f>
        <v/>
      </c>
      <c r="BH4" s="53">
        <f>Timeline!BH4</f>
        <v/>
      </c>
      <c r="BI4" s="53">
        <f>Timeline!BI4</f>
        <v/>
      </c>
      <c r="BJ4" s="53">
        <f>Timeline!BJ4</f>
        <v/>
      </c>
      <c r="BK4" s="53">
        <f>Timeline!BK4</f>
        <v/>
      </c>
      <c r="BL4" s="53">
        <f>Timeline!BL4</f>
        <v/>
      </c>
    </row>
    <row r="5">
      <c r="A5" s="51" t="inlineStr">
        <is>
          <t>Period end</t>
        </is>
      </c>
      <c r="B5" s="52" t="n"/>
      <c r="C5" s="52" t="n"/>
      <c r="D5" s="51" t="n"/>
      <c r="E5" s="54">
        <f>Timeline!E5</f>
        <v/>
      </c>
      <c r="F5" s="54">
        <f>Timeline!F5</f>
        <v/>
      </c>
      <c r="G5" s="54">
        <f>Timeline!G5</f>
        <v/>
      </c>
      <c r="H5" s="54">
        <f>Timeline!H5</f>
        <v/>
      </c>
      <c r="I5" s="54">
        <f>Timeline!I5</f>
        <v/>
      </c>
      <c r="J5" s="54">
        <f>Timeline!J5</f>
        <v/>
      </c>
      <c r="K5" s="54">
        <f>Timeline!K5</f>
        <v/>
      </c>
      <c r="L5" s="54">
        <f>Timeline!L5</f>
        <v/>
      </c>
      <c r="M5" s="54">
        <f>Timeline!M5</f>
        <v/>
      </c>
      <c r="N5" s="54">
        <f>Timeline!N5</f>
        <v/>
      </c>
      <c r="O5" s="54">
        <f>Timeline!O5</f>
        <v/>
      </c>
      <c r="P5" s="54">
        <f>Timeline!P5</f>
        <v/>
      </c>
      <c r="Q5" s="54">
        <f>Timeline!Q5</f>
        <v/>
      </c>
      <c r="R5" s="54">
        <f>Timeline!R5</f>
        <v/>
      </c>
      <c r="S5" s="54">
        <f>Timeline!S5</f>
        <v/>
      </c>
      <c r="T5" s="54">
        <f>Timeline!T5</f>
        <v/>
      </c>
      <c r="U5" s="54">
        <f>Timeline!U5</f>
        <v/>
      </c>
      <c r="V5" s="54">
        <f>Timeline!V5</f>
        <v/>
      </c>
      <c r="W5" s="54">
        <f>Timeline!W5</f>
        <v/>
      </c>
      <c r="X5" s="54">
        <f>Timeline!X5</f>
        <v/>
      </c>
      <c r="Y5" s="54">
        <f>Timeline!Y5</f>
        <v/>
      </c>
      <c r="Z5" s="54">
        <f>Timeline!Z5</f>
        <v/>
      </c>
      <c r="AA5" s="54">
        <f>Timeline!AA5</f>
        <v/>
      </c>
      <c r="AB5" s="54">
        <f>Timeline!AB5</f>
        <v/>
      </c>
      <c r="AC5" s="54">
        <f>Timeline!AC5</f>
        <v/>
      </c>
      <c r="AD5" s="54">
        <f>Timeline!AD5</f>
        <v/>
      </c>
      <c r="AE5" s="54">
        <f>Timeline!AE5</f>
        <v/>
      </c>
      <c r="AF5" s="54">
        <f>Timeline!AF5</f>
        <v/>
      </c>
      <c r="AG5" s="54">
        <f>Timeline!AG5</f>
        <v/>
      </c>
      <c r="AH5" s="54">
        <f>Timeline!AH5</f>
        <v/>
      </c>
      <c r="AI5" s="54">
        <f>Timeline!AI5</f>
        <v/>
      </c>
      <c r="AJ5" s="54">
        <f>Timeline!AJ5</f>
        <v/>
      </c>
      <c r="AK5" s="54">
        <f>Timeline!AK5</f>
        <v/>
      </c>
      <c r="AL5" s="54">
        <f>Timeline!AL5</f>
        <v/>
      </c>
      <c r="AM5" s="54">
        <f>Timeline!AM5</f>
        <v/>
      </c>
      <c r="AN5" s="54">
        <f>Timeline!AN5</f>
        <v/>
      </c>
      <c r="AO5" s="54">
        <f>Timeline!AO5</f>
        <v/>
      </c>
      <c r="AP5" s="54">
        <f>Timeline!AP5</f>
        <v/>
      </c>
      <c r="AQ5" s="54">
        <f>Timeline!AQ5</f>
        <v/>
      </c>
      <c r="AR5" s="54">
        <f>Timeline!AR5</f>
        <v/>
      </c>
      <c r="AS5" s="54">
        <f>Timeline!AS5</f>
        <v/>
      </c>
      <c r="AT5" s="54">
        <f>Timeline!AT5</f>
        <v/>
      </c>
      <c r="AU5" s="54">
        <f>Timeline!AU5</f>
        <v/>
      </c>
      <c r="AV5" s="54">
        <f>Timeline!AV5</f>
        <v/>
      </c>
      <c r="AW5" s="54">
        <f>Timeline!AW5</f>
        <v/>
      </c>
      <c r="AX5" s="54">
        <f>Timeline!AX5</f>
        <v/>
      </c>
      <c r="AY5" s="54">
        <f>Timeline!AY5</f>
        <v/>
      </c>
      <c r="AZ5" s="54">
        <f>Timeline!AZ5</f>
        <v/>
      </c>
      <c r="BA5" s="54">
        <f>Timeline!BA5</f>
        <v/>
      </c>
      <c r="BB5" s="54">
        <f>Timeline!BB5</f>
        <v/>
      </c>
      <c r="BC5" s="54">
        <f>Timeline!BC5</f>
        <v/>
      </c>
      <c r="BD5" s="54">
        <f>Timeline!BD5</f>
        <v/>
      </c>
      <c r="BE5" s="54">
        <f>Timeline!BE5</f>
        <v/>
      </c>
      <c r="BF5" s="54">
        <f>Timeline!BF5</f>
        <v/>
      </c>
      <c r="BG5" s="54">
        <f>Timeline!BG5</f>
        <v/>
      </c>
      <c r="BH5" s="54">
        <f>Timeline!BH5</f>
        <v/>
      </c>
      <c r="BI5" s="54">
        <f>Timeline!BI5</f>
        <v/>
      </c>
      <c r="BJ5" s="54">
        <f>Timeline!BJ5</f>
        <v/>
      </c>
      <c r="BK5" s="54">
        <f>Timeline!BK5</f>
        <v/>
      </c>
      <c r="BL5" s="54">
        <f>Timeline!BL5</f>
        <v/>
      </c>
    </row>
    <row r="6">
      <c r="A6" s="51" t="inlineStr">
        <is>
          <t>Year #</t>
        </is>
      </c>
      <c r="B6" s="52" t="n"/>
      <c r="C6" s="52" t="n"/>
      <c r="D6" s="51" t="n"/>
      <c r="E6" s="53">
        <f>Timeline!E6</f>
        <v/>
      </c>
      <c r="F6" s="53">
        <f>Timeline!F6</f>
        <v/>
      </c>
      <c r="G6" s="53">
        <f>Timeline!G6</f>
        <v/>
      </c>
      <c r="H6" s="53">
        <f>Timeline!H6</f>
        <v/>
      </c>
      <c r="I6" s="53">
        <f>Timeline!I6</f>
        <v/>
      </c>
      <c r="J6" s="53">
        <f>Timeline!J6</f>
        <v/>
      </c>
      <c r="K6" s="53">
        <f>Timeline!K6</f>
        <v/>
      </c>
      <c r="L6" s="53">
        <f>Timeline!L6</f>
        <v/>
      </c>
      <c r="M6" s="53">
        <f>Timeline!M6</f>
        <v/>
      </c>
      <c r="N6" s="53">
        <f>Timeline!N6</f>
        <v/>
      </c>
      <c r="O6" s="53">
        <f>Timeline!O6</f>
        <v/>
      </c>
      <c r="P6" s="53">
        <f>Timeline!P6</f>
        <v/>
      </c>
      <c r="Q6" s="53">
        <f>Timeline!Q6</f>
        <v/>
      </c>
      <c r="R6" s="53">
        <f>Timeline!R6</f>
        <v/>
      </c>
      <c r="S6" s="53">
        <f>Timeline!S6</f>
        <v/>
      </c>
      <c r="T6" s="53">
        <f>Timeline!T6</f>
        <v/>
      </c>
      <c r="U6" s="53">
        <f>Timeline!U6</f>
        <v/>
      </c>
      <c r="V6" s="53">
        <f>Timeline!V6</f>
        <v/>
      </c>
      <c r="W6" s="53">
        <f>Timeline!W6</f>
        <v/>
      </c>
      <c r="X6" s="53">
        <f>Timeline!X6</f>
        <v/>
      </c>
      <c r="Y6" s="53">
        <f>Timeline!Y6</f>
        <v/>
      </c>
      <c r="Z6" s="53">
        <f>Timeline!Z6</f>
        <v/>
      </c>
      <c r="AA6" s="53">
        <f>Timeline!AA6</f>
        <v/>
      </c>
      <c r="AB6" s="53">
        <f>Timeline!AB6</f>
        <v/>
      </c>
      <c r="AC6" s="53">
        <f>Timeline!AC6</f>
        <v/>
      </c>
      <c r="AD6" s="53">
        <f>Timeline!AD6</f>
        <v/>
      </c>
      <c r="AE6" s="53">
        <f>Timeline!AE6</f>
        <v/>
      </c>
      <c r="AF6" s="53">
        <f>Timeline!AF6</f>
        <v/>
      </c>
      <c r="AG6" s="53">
        <f>Timeline!AG6</f>
        <v/>
      </c>
      <c r="AH6" s="53">
        <f>Timeline!AH6</f>
        <v/>
      </c>
      <c r="AI6" s="53">
        <f>Timeline!AI6</f>
        <v/>
      </c>
      <c r="AJ6" s="53">
        <f>Timeline!AJ6</f>
        <v/>
      </c>
      <c r="AK6" s="53">
        <f>Timeline!AK6</f>
        <v/>
      </c>
      <c r="AL6" s="53">
        <f>Timeline!AL6</f>
        <v/>
      </c>
      <c r="AM6" s="53">
        <f>Timeline!AM6</f>
        <v/>
      </c>
      <c r="AN6" s="53">
        <f>Timeline!AN6</f>
        <v/>
      </c>
      <c r="AO6" s="53">
        <f>Timeline!AO6</f>
        <v/>
      </c>
      <c r="AP6" s="53">
        <f>Timeline!AP6</f>
        <v/>
      </c>
      <c r="AQ6" s="53">
        <f>Timeline!AQ6</f>
        <v/>
      </c>
      <c r="AR6" s="53">
        <f>Timeline!AR6</f>
        <v/>
      </c>
      <c r="AS6" s="53">
        <f>Timeline!AS6</f>
        <v/>
      </c>
      <c r="AT6" s="53">
        <f>Timeline!AT6</f>
        <v/>
      </c>
      <c r="AU6" s="53">
        <f>Timeline!AU6</f>
        <v/>
      </c>
      <c r="AV6" s="53">
        <f>Timeline!AV6</f>
        <v/>
      </c>
      <c r="AW6" s="53">
        <f>Timeline!AW6</f>
        <v/>
      </c>
      <c r="AX6" s="53">
        <f>Timeline!AX6</f>
        <v/>
      </c>
      <c r="AY6" s="53">
        <f>Timeline!AY6</f>
        <v/>
      </c>
      <c r="AZ6" s="53">
        <f>Timeline!AZ6</f>
        <v/>
      </c>
      <c r="BA6" s="53">
        <f>Timeline!BA6</f>
        <v/>
      </c>
      <c r="BB6" s="53">
        <f>Timeline!BB6</f>
        <v/>
      </c>
      <c r="BC6" s="53">
        <f>Timeline!BC6</f>
        <v/>
      </c>
      <c r="BD6" s="53">
        <f>Timeline!BD6</f>
        <v/>
      </c>
      <c r="BE6" s="53">
        <f>Timeline!BE6</f>
        <v/>
      </c>
      <c r="BF6" s="53">
        <f>Timeline!BF6</f>
        <v/>
      </c>
      <c r="BG6" s="53">
        <f>Timeline!BG6</f>
        <v/>
      </c>
      <c r="BH6" s="53">
        <f>Timeline!BH6</f>
        <v/>
      </c>
      <c r="BI6" s="53">
        <f>Timeline!BI6</f>
        <v/>
      </c>
      <c r="BJ6" s="53">
        <f>Timeline!BJ6</f>
        <v/>
      </c>
      <c r="BK6" s="53">
        <f>Timeline!BK6</f>
        <v/>
      </c>
      <c r="BL6" s="53">
        <f>Timeline!BL6</f>
        <v/>
      </c>
    </row>
    <row r="7"/>
    <row r="8">
      <c r="A8" s="14" t="inlineStr">
        <is>
          <t>Instalments collected by cohort (LCY)</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60" t="inlineStr">
        <is>
          <t>Total</t>
        </is>
      </c>
      <c r="B9" s="61" t="inlineStr"/>
      <c r="C9" s="63" t="n"/>
      <c r="D9" s="63" t="n"/>
      <c r="E9" s="71">
        <f>SUM(E10:E69)</f>
        <v/>
      </c>
      <c r="F9" s="71">
        <f>SUM(F10:F69)</f>
        <v/>
      </c>
      <c r="G9" s="71">
        <f>SUM(G10:G69)</f>
        <v/>
      </c>
      <c r="H9" s="71">
        <f>SUM(H10:H69)</f>
        <v/>
      </c>
      <c r="I9" s="71">
        <f>SUM(I10:I69)</f>
        <v/>
      </c>
      <c r="J9" s="71">
        <f>SUM(J10:J69)</f>
        <v/>
      </c>
      <c r="K9" s="71">
        <f>SUM(K10:K69)</f>
        <v/>
      </c>
      <c r="L9" s="71">
        <f>SUM(L10:L69)</f>
        <v/>
      </c>
      <c r="M9" s="71">
        <f>SUM(M10:M69)</f>
        <v/>
      </c>
      <c r="N9" s="71">
        <f>SUM(N10:N69)</f>
        <v/>
      </c>
      <c r="O9" s="71">
        <f>SUM(O10:O69)</f>
        <v/>
      </c>
      <c r="P9" s="71">
        <f>SUM(P10:P69)</f>
        <v/>
      </c>
      <c r="Q9" s="71">
        <f>SUM(Q10:Q69)</f>
        <v/>
      </c>
      <c r="R9" s="71">
        <f>SUM(R10:R69)</f>
        <v/>
      </c>
      <c r="S9" s="71">
        <f>SUM(S10:S69)</f>
        <v/>
      </c>
      <c r="T9" s="71">
        <f>SUM(T10:T69)</f>
        <v/>
      </c>
      <c r="U9" s="71">
        <f>SUM(U10:U69)</f>
        <v/>
      </c>
      <c r="V9" s="71">
        <f>SUM(V10:V69)</f>
        <v/>
      </c>
      <c r="W9" s="71">
        <f>SUM(W10:W69)</f>
        <v/>
      </c>
      <c r="X9" s="71">
        <f>SUM(X10:X69)</f>
        <v/>
      </c>
      <c r="Y9" s="71">
        <f>SUM(Y10:Y69)</f>
        <v/>
      </c>
      <c r="Z9" s="71">
        <f>SUM(Z10:Z69)</f>
        <v/>
      </c>
      <c r="AA9" s="71">
        <f>SUM(AA10:AA69)</f>
        <v/>
      </c>
      <c r="AB9" s="71">
        <f>SUM(AB10:AB69)</f>
        <v/>
      </c>
      <c r="AC9" s="71">
        <f>SUM(AC10:AC69)</f>
        <v/>
      </c>
      <c r="AD9" s="71">
        <f>SUM(AD10:AD69)</f>
        <v/>
      </c>
      <c r="AE9" s="71">
        <f>SUM(AE10:AE69)</f>
        <v/>
      </c>
      <c r="AF9" s="71">
        <f>SUM(AF10:AF69)</f>
        <v/>
      </c>
      <c r="AG9" s="71">
        <f>SUM(AG10:AG69)</f>
        <v/>
      </c>
      <c r="AH9" s="71">
        <f>SUM(AH10:AH69)</f>
        <v/>
      </c>
      <c r="AI9" s="71">
        <f>SUM(AI10:AI69)</f>
        <v/>
      </c>
      <c r="AJ9" s="71">
        <f>SUM(AJ10:AJ69)</f>
        <v/>
      </c>
      <c r="AK9" s="71">
        <f>SUM(AK10:AK69)</f>
        <v/>
      </c>
      <c r="AL9" s="71">
        <f>SUM(AL10:AL69)</f>
        <v/>
      </c>
      <c r="AM9" s="71">
        <f>SUM(AM10:AM69)</f>
        <v/>
      </c>
      <c r="AN9" s="71">
        <f>SUM(AN10:AN69)</f>
        <v/>
      </c>
      <c r="AO9" s="71">
        <f>SUM(AO10:AO69)</f>
        <v/>
      </c>
      <c r="AP9" s="71">
        <f>SUM(AP10:AP69)</f>
        <v/>
      </c>
      <c r="AQ9" s="71">
        <f>SUM(AQ10:AQ69)</f>
        <v/>
      </c>
      <c r="AR9" s="71">
        <f>SUM(AR10:AR69)</f>
        <v/>
      </c>
      <c r="AS9" s="71">
        <f>SUM(AS10:AS69)</f>
        <v/>
      </c>
      <c r="AT9" s="71">
        <f>SUM(AT10:AT69)</f>
        <v/>
      </c>
      <c r="AU9" s="71">
        <f>SUM(AU10:AU69)</f>
        <v/>
      </c>
      <c r="AV9" s="71">
        <f>SUM(AV10:AV69)</f>
        <v/>
      </c>
      <c r="AW9" s="71">
        <f>SUM(AW10:AW69)</f>
        <v/>
      </c>
      <c r="AX9" s="71">
        <f>SUM(AX10:AX69)</f>
        <v/>
      </c>
      <c r="AY9" s="71">
        <f>SUM(AY10:AY69)</f>
        <v/>
      </c>
      <c r="AZ9" s="71">
        <f>SUM(AZ10:AZ69)</f>
        <v/>
      </c>
      <c r="BA9" s="71">
        <f>SUM(BA10:BA69)</f>
        <v/>
      </c>
      <c r="BB9" s="71">
        <f>SUM(BB10:BB69)</f>
        <v/>
      </c>
      <c r="BC9" s="71">
        <f>SUM(BC10:BC69)</f>
        <v/>
      </c>
      <c r="BD9" s="71">
        <f>SUM(BD10:BD69)</f>
        <v/>
      </c>
      <c r="BE9" s="71">
        <f>SUM(BE10:BE69)</f>
        <v/>
      </c>
      <c r="BF9" s="71">
        <f>SUM(BF10:BF69)</f>
        <v/>
      </c>
      <c r="BG9" s="71">
        <f>SUM(BG10:BG69)</f>
        <v/>
      </c>
      <c r="BH9" s="71">
        <f>SUM(BH10:BH69)</f>
        <v/>
      </c>
      <c r="BI9" s="71">
        <f>SUM(BI10:BI69)</f>
        <v/>
      </c>
      <c r="BJ9" s="71">
        <f>SUM(BJ10:BJ69)</f>
        <v/>
      </c>
      <c r="BK9" s="71">
        <f>SUM(BK10:BK69)</f>
        <v/>
      </c>
      <c r="BL9" s="71">
        <f>SUM(BL10:BL69)</f>
        <v/>
      </c>
    </row>
    <row r="10">
      <c r="A10" s="74" t="inlineStr">
        <is>
          <t>Cohort month 1</t>
        </is>
      </c>
      <c r="B10" s="74" t="n">
        <v>1</v>
      </c>
      <c r="C10" s="17">
        <f>INDEX(Ops!$E$85:$BL$85,1,$B10)</f>
        <v/>
      </c>
      <c r="F10" s="75">
        <f>$C10*INDEX(Curves!$AN$8:$AN$68,F$4-$B10+1)</f>
        <v/>
      </c>
      <c r="G10" s="75">
        <f>$C10*INDEX(Curves!$AN$8:$AN$68,G$4-$B10+1)</f>
        <v/>
      </c>
      <c r="H10" s="75">
        <f>$C10*INDEX(Curves!$AN$8:$AN$68,H$4-$B10+1)</f>
        <v/>
      </c>
      <c r="I10" s="75">
        <f>$C10*INDEX(Curves!$AN$8:$AN$68,I$4-$B10+1)</f>
        <v/>
      </c>
      <c r="J10" s="75">
        <f>$C10*INDEX(Curves!$AN$8:$AN$68,J$4-$B10+1)</f>
        <v/>
      </c>
      <c r="K10" s="75">
        <f>$C10*INDEX(Curves!$AN$8:$AN$68,K$4-$B10+1)</f>
        <v/>
      </c>
      <c r="L10" s="75">
        <f>$C10*INDEX(Curves!$AN$8:$AN$68,L$4-$B10+1)</f>
        <v/>
      </c>
      <c r="M10" s="75">
        <f>$C10*INDEX(Curves!$AN$8:$AN$68,M$4-$B10+1)</f>
        <v/>
      </c>
      <c r="N10" s="75">
        <f>$C10*INDEX(Curves!$AN$8:$AN$68,N$4-$B10+1)</f>
        <v/>
      </c>
      <c r="O10" s="75">
        <f>$C10*INDEX(Curves!$AN$8:$AN$68,O$4-$B10+1)</f>
        <v/>
      </c>
      <c r="P10" s="75">
        <f>$C10*INDEX(Curves!$AN$8:$AN$68,P$4-$B10+1)</f>
        <v/>
      </c>
      <c r="Q10" s="75">
        <f>$C10*INDEX(Curves!$AN$8:$AN$68,Q$4-$B10+1)</f>
        <v/>
      </c>
      <c r="R10" s="75">
        <f>$C10*INDEX(Curves!$AN$8:$AN$68,R$4-$B10+1)</f>
        <v/>
      </c>
      <c r="S10" s="75">
        <f>$C10*INDEX(Curves!$AN$8:$AN$68,S$4-$B10+1)</f>
        <v/>
      </c>
      <c r="T10" s="75">
        <f>$C10*INDEX(Curves!$AN$8:$AN$68,T$4-$B10+1)</f>
        <v/>
      </c>
      <c r="U10" s="75">
        <f>$C10*INDEX(Curves!$AN$8:$AN$68,U$4-$B10+1)</f>
        <v/>
      </c>
      <c r="V10" s="75">
        <f>$C10*INDEX(Curves!$AN$8:$AN$68,V$4-$B10+1)</f>
        <v/>
      </c>
      <c r="W10" s="75">
        <f>$C10*INDEX(Curves!$AN$8:$AN$68,W$4-$B10+1)</f>
        <v/>
      </c>
      <c r="X10" s="75">
        <f>$C10*INDEX(Curves!$AN$8:$AN$68,X$4-$B10+1)</f>
        <v/>
      </c>
      <c r="Y10" s="75">
        <f>$C10*INDEX(Curves!$AN$8:$AN$68,Y$4-$B10+1)</f>
        <v/>
      </c>
      <c r="Z10" s="75">
        <f>$C10*INDEX(Curves!$AN$8:$AN$68,Z$4-$B10+1)</f>
        <v/>
      </c>
      <c r="AA10" s="75">
        <f>$C10*INDEX(Curves!$AN$8:$AN$68,AA$4-$B10+1)</f>
        <v/>
      </c>
      <c r="AB10" s="75">
        <f>$C10*INDEX(Curves!$AN$8:$AN$68,AB$4-$B10+1)</f>
        <v/>
      </c>
      <c r="AC10" s="75">
        <f>$C10*INDEX(Curves!$AN$8:$AN$68,AC$4-$B10+1)</f>
        <v/>
      </c>
      <c r="AD10" s="75">
        <f>$C10*INDEX(Curves!$AN$8:$AN$68,AD$4-$B10+1)</f>
        <v/>
      </c>
      <c r="AE10" s="75">
        <f>$C10*INDEX(Curves!$AN$8:$AN$68,AE$4-$B10+1)</f>
        <v/>
      </c>
      <c r="AF10" s="75">
        <f>$C10*INDEX(Curves!$AN$8:$AN$68,AF$4-$B10+1)</f>
        <v/>
      </c>
      <c r="AG10" s="75">
        <f>$C10*INDEX(Curves!$AN$8:$AN$68,AG$4-$B10+1)</f>
        <v/>
      </c>
      <c r="AH10" s="75">
        <f>$C10*INDEX(Curves!$AN$8:$AN$68,AH$4-$B10+1)</f>
        <v/>
      </c>
      <c r="AI10" s="75">
        <f>$C10*INDEX(Curves!$AN$8:$AN$68,AI$4-$B10+1)</f>
        <v/>
      </c>
      <c r="AJ10" s="75">
        <f>$C10*INDEX(Curves!$AN$8:$AN$68,AJ$4-$B10+1)</f>
        <v/>
      </c>
      <c r="AK10" s="75">
        <f>$C10*INDEX(Curves!$AN$8:$AN$68,AK$4-$B10+1)</f>
        <v/>
      </c>
      <c r="AL10" s="75">
        <f>$C10*INDEX(Curves!$AN$8:$AN$68,AL$4-$B10+1)</f>
        <v/>
      </c>
      <c r="AM10" s="75">
        <f>$C10*INDEX(Curves!$AN$8:$AN$68,AM$4-$B10+1)</f>
        <v/>
      </c>
      <c r="AN10" s="75">
        <f>$C10*INDEX(Curves!$AN$8:$AN$68,AN$4-$B10+1)</f>
        <v/>
      </c>
      <c r="AO10" s="75">
        <f>$C10*INDEX(Curves!$AN$8:$AN$68,AO$4-$B10+1)</f>
        <v/>
      </c>
      <c r="AP10" s="75">
        <f>$C10*INDEX(Curves!$AN$8:$AN$68,AP$4-$B10+1)</f>
        <v/>
      </c>
      <c r="AQ10" s="75">
        <f>$C10*INDEX(Curves!$AN$8:$AN$68,AQ$4-$B10+1)</f>
        <v/>
      </c>
      <c r="AR10" s="75">
        <f>$C10*INDEX(Curves!$AN$8:$AN$68,AR$4-$B10+1)</f>
        <v/>
      </c>
      <c r="AS10" s="75">
        <f>$C10*INDEX(Curves!$AN$8:$AN$68,AS$4-$B10+1)</f>
        <v/>
      </c>
      <c r="AT10" s="75">
        <f>$C10*INDEX(Curves!$AN$8:$AN$68,AT$4-$B10+1)</f>
        <v/>
      </c>
      <c r="AU10" s="75">
        <f>$C10*INDEX(Curves!$AN$8:$AN$68,AU$4-$B10+1)</f>
        <v/>
      </c>
      <c r="AV10" s="75">
        <f>$C10*INDEX(Curves!$AN$8:$AN$68,AV$4-$B10+1)</f>
        <v/>
      </c>
      <c r="AW10" s="75">
        <f>$C10*INDEX(Curves!$AN$8:$AN$68,AW$4-$B10+1)</f>
        <v/>
      </c>
      <c r="AX10" s="75">
        <f>$C10*INDEX(Curves!$AN$8:$AN$68,AX$4-$B10+1)</f>
        <v/>
      </c>
      <c r="AY10" s="75">
        <f>$C10*INDEX(Curves!$AN$8:$AN$68,AY$4-$B10+1)</f>
        <v/>
      </c>
      <c r="AZ10" s="75">
        <f>$C10*INDEX(Curves!$AN$8:$AN$68,AZ$4-$B10+1)</f>
        <v/>
      </c>
      <c r="BA10" s="75">
        <f>$C10*INDEX(Curves!$AN$8:$AN$68,BA$4-$B10+1)</f>
        <v/>
      </c>
      <c r="BB10" s="75">
        <f>$C10*INDEX(Curves!$AN$8:$AN$68,BB$4-$B10+1)</f>
        <v/>
      </c>
      <c r="BC10" s="75">
        <f>$C10*INDEX(Curves!$AN$8:$AN$68,BC$4-$B10+1)</f>
        <v/>
      </c>
      <c r="BD10" s="75">
        <f>$C10*INDEX(Curves!$AN$8:$AN$68,BD$4-$B10+1)</f>
        <v/>
      </c>
      <c r="BE10" s="75">
        <f>$C10*INDEX(Curves!$AN$8:$AN$68,BE$4-$B10+1)</f>
        <v/>
      </c>
      <c r="BF10" s="75">
        <f>$C10*INDEX(Curves!$AN$8:$AN$68,BF$4-$B10+1)</f>
        <v/>
      </c>
      <c r="BG10" s="75">
        <f>$C10*INDEX(Curves!$AN$8:$AN$68,BG$4-$B10+1)</f>
        <v/>
      </c>
      <c r="BH10" s="75">
        <f>$C10*INDEX(Curves!$AN$8:$AN$68,BH$4-$B10+1)</f>
        <v/>
      </c>
      <c r="BI10" s="75">
        <f>$C10*INDEX(Curves!$AN$8:$AN$68,BI$4-$B10+1)</f>
        <v/>
      </c>
      <c r="BJ10" s="75">
        <f>$C10*INDEX(Curves!$AN$8:$AN$68,BJ$4-$B10+1)</f>
        <v/>
      </c>
      <c r="BK10" s="75">
        <f>$C10*INDEX(Curves!$AN$8:$AN$68,BK$4-$B10+1)</f>
        <v/>
      </c>
      <c r="BL10" s="75">
        <f>$C10*INDEX(Curves!$AN$8:$AN$68,BL$4-$B10+1)</f>
        <v/>
      </c>
    </row>
    <row r="11">
      <c r="A11" s="74" t="inlineStr">
        <is>
          <t>Cohort month 2</t>
        </is>
      </c>
      <c r="B11" s="74" t="n">
        <v>2</v>
      </c>
      <c r="C11" s="17">
        <f>INDEX(Ops!$E$85:$BL$85,1,$B11)</f>
        <v/>
      </c>
      <c r="G11" s="75">
        <f>$C11*INDEX(Curves!$AN$8:$AN$68,G$4-$B11+1)</f>
        <v/>
      </c>
      <c r="H11" s="75">
        <f>$C11*INDEX(Curves!$AN$8:$AN$68,H$4-$B11+1)</f>
        <v/>
      </c>
      <c r="I11" s="75">
        <f>$C11*INDEX(Curves!$AN$8:$AN$68,I$4-$B11+1)</f>
        <v/>
      </c>
      <c r="J11" s="75">
        <f>$C11*INDEX(Curves!$AN$8:$AN$68,J$4-$B11+1)</f>
        <v/>
      </c>
      <c r="K11" s="75">
        <f>$C11*INDEX(Curves!$AN$8:$AN$68,K$4-$B11+1)</f>
        <v/>
      </c>
      <c r="L11" s="75">
        <f>$C11*INDEX(Curves!$AN$8:$AN$68,L$4-$B11+1)</f>
        <v/>
      </c>
      <c r="M11" s="75">
        <f>$C11*INDEX(Curves!$AN$8:$AN$68,M$4-$B11+1)</f>
        <v/>
      </c>
      <c r="N11" s="75">
        <f>$C11*INDEX(Curves!$AN$8:$AN$68,N$4-$B11+1)</f>
        <v/>
      </c>
      <c r="O11" s="75">
        <f>$C11*INDEX(Curves!$AN$8:$AN$68,O$4-$B11+1)</f>
        <v/>
      </c>
      <c r="P11" s="75">
        <f>$C11*INDEX(Curves!$AN$8:$AN$68,P$4-$B11+1)</f>
        <v/>
      </c>
      <c r="Q11" s="75">
        <f>$C11*INDEX(Curves!$AN$8:$AN$68,Q$4-$B11+1)</f>
        <v/>
      </c>
      <c r="R11" s="75">
        <f>$C11*INDEX(Curves!$AN$8:$AN$68,R$4-$B11+1)</f>
        <v/>
      </c>
      <c r="S11" s="75">
        <f>$C11*INDEX(Curves!$AN$8:$AN$68,S$4-$B11+1)</f>
        <v/>
      </c>
      <c r="T11" s="75">
        <f>$C11*INDEX(Curves!$AN$8:$AN$68,T$4-$B11+1)</f>
        <v/>
      </c>
      <c r="U11" s="75">
        <f>$C11*INDEX(Curves!$AN$8:$AN$68,U$4-$B11+1)</f>
        <v/>
      </c>
      <c r="V11" s="75">
        <f>$C11*INDEX(Curves!$AN$8:$AN$68,V$4-$B11+1)</f>
        <v/>
      </c>
      <c r="W11" s="75">
        <f>$C11*INDEX(Curves!$AN$8:$AN$68,W$4-$B11+1)</f>
        <v/>
      </c>
      <c r="X11" s="75">
        <f>$C11*INDEX(Curves!$AN$8:$AN$68,X$4-$B11+1)</f>
        <v/>
      </c>
      <c r="Y11" s="75">
        <f>$C11*INDEX(Curves!$AN$8:$AN$68,Y$4-$B11+1)</f>
        <v/>
      </c>
      <c r="Z11" s="75">
        <f>$C11*INDEX(Curves!$AN$8:$AN$68,Z$4-$B11+1)</f>
        <v/>
      </c>
      <c r="AA11" s="75">
        <f>$C11*INDEX(Curves!$AN$8:$AN$68,AA$4-$B11+1)</f>
        <v/>
      </c>
      <c r="AB11" s="75">
        <f>$C11*INDEX(Curves!$AN$8:$AN$68,AB$4-$B11+1)</f>
        <v/>
      </c>
      <c r="AC11" s="75">
        <f>$C11*INDEX(Curves!$AN$8:$AN$68,AC$4-$B11+1)</f>
        <v/>
      </c>
      <c r="AD11" s="75">
        <f>$C11*INDEX(Curves!$AN$8:$AN$68,AD$4-$B11+1)</f>
        <v/>
      </c>
      <c r="AE11" s="75">
        <f>$C11*INDEX(Curves!$AN$8:$AN$68,AE$4-$B11+1)</f>
        <v/>
      </c>
      <c r="AF11" s="75">
        <f>$C11*INDEX(Curves!$AN$8:$AN$68,AF$4-$B11+1)</f>
        <v/>
      </c>
      <c r="AG11" s="75">
        <f>$C11*INDEX(Curves!$AN$8:$AN$68,AG$4-$B11+1)</f>
        <v/>
      </c>
      <c r="AH11" s="75">
        <f>$C11*INDEX(Curves!$AN$8:$AN$68,AH$4-$B11+1)</f>
        <v/>
      </c>
      <c r="AI11" s="75">
        <f>$C11*INDEX(Curves!$AN$8:$AN$68,AI$4-$B11+1)</f>
        <v/>
      </c>
      <c r="AJ11" s="75">
        <f>$C11*INDEX(Curves!$AN$8:$AN$68,AJ$4-$B11+1)</f>
        <v/>
      </c>
      <c r="AK11" s="75">
        <f>$C11*INDEX(Curves!$AN$8:$AN$68,AK$4-$B11+1)</f>
        <v/>
      </c>
      <c r="AL11" s="75">
        <f>$C11*INDEX(Curves!$AN$8:$AN$68,AL$4-$B11+1)</f>
        <v/>
      </c>
      <c r="AM11" s="75">
        <f>$C11*INDEX(Curves!$AN$8:$AN$68,AM$4-$B11+1)</f>
        <v/>
      </c>
      <c r="AN11" s="75">
        <f>$C11*INDEX(Curves!$AN$8:$AN$68,AN$4-$B11+1)</f>
        <v/>
      </c>
      <c r="AO11" s="75">
        <f>$C11*INDEX(Curves!$AN$8:$AN$68,AO$4-$B11+1)</f>
        <v/>
      </c>
      <c r="AP11" s="75">
        <f>$C11*INDEX(Curves!$AN$8:$AN$68,AP$4-$B11+1)</f>
        <v/>
      </c>
      <c r="AQ11" s="75">
        <f>$C11*INDEX(Curves!$AN$8:$AN$68,AQ$4-$B11+1)</f>
        <v/>
      </c>
      <c r="AR11" s="75">
        <f>$C11*INDEX(Curves!$AN$8:$AN$68,AR$4-$B11+1)</f>
        <v/>
      </c>
      <c r="AS11" s="75">
        <f>$C11*INDEX(Curves!$AN$8:$AN$68,AS$4-$B11+1)</f>
        <v/>
      </c>
      <c r="AT11" s="75">
        <f>$C11*INDEX(Curves!$AN$8:$AN$68,AT$4-$B11+1)</f>
        <v/>
      </c>
      <c r="AU11" s="75">
        <f>$C11*INDEX(Curves!$AN$8:$AN$68,AU$4-$B11+1)</f>
        <v/>
      </c>
      <c r="AV11" s="75">
        <f>$C11*INDEX(Curves!$AN$8:$AN$68,AV$4-$B11+1)</f>
        <v/>
      </c>
      <c r="AW11" s="75">
        <f>$C11*INDEX(Curves!$AN$8:$AN$68,AW$4-$B11+1)</f>
        <v/>
      </c>
      <c r="AX11" s="75">
        <f>$C11*INDEX(Curves!$AN$8:$AN$68,AX$4-$B11+1)</f>
        <v/>
      </c>
      <c r="AY11" s="75">
        <f>$C11*INDEX(Curves!$AN$8:$AN$68,AY$4-$B11+1)</f>
        <v/>
      </c>
      <c r="AZ11" s="75">
        <f>$C11*INDEX(Curves!$AN$8:$AN$68,AZ$4-$B11+1)</f>
        <v/>
      </c>
      <c r="BA11" s="75">
        <f>$C11*INDEX(Curves!$AN$8:$AN$68,BA$4-$B11+1)</f>
        <v/>
      </c>
      <c r="BB11" s="75">
        <f>$C11*INDEX(Curves!$AN$8:$AN$68,BB$4-$B11+1)</f>
        <v/>
      </c>
      <c r="BC11" s="75">
        <f>$C11*INDEX(Curves!$AN$8:$AN$68,BC$4-$B11+1)</f>
        <v/>
      </c>
      <c r="BD11" s="75">
        <f>$C11*INDEX(Curves!$AN$8:$AN$68,BD$4-$B11+1)</f>
        <v/>
      </c>
      <c r="BE11" s="75">
        <f>$C11*INDEX(Curves!$AN$8:$AN$68,BE$4-$B11+1)</f>
        <v/>
      </c>
      <c r="BF11" s="75">
        <f>$C11*INDEX(Curves!$AN$8:$AN$68,BF$4-$B11+1)</f>
        <v/>
      </c>
      <c r="BG11" s="75">
        <f>$C11*INDEX(Curves!$AN$8:$AN$68,BG$4-$B11+1)</f>
        <v/>
      </c>
      <c r="BH11" s="75">
        <f>$C11*INDEX(Curves!$AN$8:$AN$68,BH$4-$B11+1)</f>
        <v/>
      </c>
      <c r="BI11" s="75">
        <f>$C11*INDEX(Curves!$AN$8:$AN$68,BI$4-$B11+1)</f>
        <v/>
      </c>
      <c r="BJ11" s="75">
        <f>$C11*INDEX(Curves!$AN$8:$AN$68,BJ$4-$B11+1)</f>
        <v/>
      </c>
      <c r="BK11" s="75">
        <f>$C11*INDEX(Curves!$AN$8:$AN$68,BK$4-$B11+1)</f>
        <v/>
      </c>
      <c r="BL11" s="75">
        <f>$C11*INDEX(Curves!$AN$8:$AN$68,BL$4-$B11+1)</f>
        <v/>
      </c>
    </row>
    <row r="12">
      <c r="A12" s="74" t="inlineStr">
        <is>
          <t>Cohort month 3</t>
        </is>
      </c>
      <c r="B12" s="74" t="n">
        <v>3</v>
      </c>
      <c r="C12" s="17">
        <f>INDEX(Ops!$E$85:$BL$85,1,$B12)</f>
        <v/>
      </c>
      <c r="H12" s="75">
        <f>$C12*INDEX(Curves!$AN$8:$AN$68,H$4-$B12+1)</f>
        <v/>
      </c>
      <c r="I12" s="75">
        <f>$C12*INDEX(Curves!$AN$8:$AN$68,I$4-$B12+1)</f>
        <v/>
      </c>
      <c r="J12" s="75">
        <f>$C12*INDEX(Curves!$AN$8:$AN$68,J$4-$B12+1)</f>
        <v/>
      </c>
      <c r="K12" s="75">
        <f>$C12*INDEX(Curves!$AN$8:$AN$68,K$4-$B12+1)</f>
        <v/>
      </c>
      <c r="L12" s="75">
        <f>$C12*INDEX(Curves!$AN$8:$AN$68,L$4-$B12+1)</f>
        <v/>
      </c>
      <c r="M12" s="75">
        <f>$C12*INDEX(Curves!$AN$8:$AN$68,M$4-$B12+1)</f>
        <v/>
      </c>
      <c r="N12" s="75">
        <f>$C12*INDEX(Curves!$AN$8:$AN$68,N$4-$B12+1)</f>
        <v/>
      </c>
      <c r="O12" s="75">
        <f>$C12*INDEX(Curves!$AN$8:$AN$68,O$4-$B12+1)</f>
        <v/>
      </c>
      <c r="P12" s="75">
        <f>$C12*INDEX(Curves!$AN$8:$AN$68,P$4-$B12+1)</f>
        <v/>
      </c>
      <c r="Q12" s="75">
        <f>$C12*INDEX(Curves!$AN$8:$AN$68,Q$4-$B12+1)</f>
        <v/>
      </c>
      <c r="R12" s="75">
        <f>$C12*INDEX(Curves!$AN$8:$AN$68,R$4-$B12+1)</f>
        <v/>
      </c>
      <c r="S12" s="75">
        <f>$C12*INDEX(Curves!$AN$8:$AN$68,S$4-$B12+1)</f>
        <v/>
      </c>
      <c r="T12" s="75">
        <f>$C12*INDEX(Curves!$AN$8:$AN$68,T$4-$B12+1)</f>
        <v/>
      </c>
      <c r="U12" s="75">
        <f>$C12*INDEX(Curves!$AN$8:$AN$68,U$4-$B12+1)</f>
        <v/>
      </c>
      <c r="V12" s="75">
        <f>$C12*INDEX(Curves!$AN$8:$AN$68,V$4-$B12+1)</f>
        <v/>
      </c>
      <c r="W12" s="75">
        <f>$C12*INDEX(Curves!$AN$8:$AN$68,W$4-$B12+1)</f>
        <v/>
      </c>
      <c r="X12" s="75">
        <f>$C12*INDEX(Curves!$AN$8:$AN$68,X$4-$B12+1)</f>
        <v/>
      </c>
      <c r="Y12" s="75">
        <f>$C12*INDEX(Curves!$AN$8:$AN$68,Y$4-$B12+1)</f>
        <v/>
      </c>
      <c r="Z12" s="75">
        <f>$C12*INDEX(Curves!$AN$8:$AN$68,Z$4-$B12+1)</f>
        <v/>
      </c>
      <c r="AA12" s="75">
        <f>$C12*INDEX(Curves!$AN$8:$AN$68,AA$4-$B12+1)</f>
        <v/>
      </c>
      <c r="AB12" s="75">
        <f>$C12*INDEX(Curves!$AN$8:$AN$68,AB$4-$B12+1)</f>
        <v/>
      </c>
      <c r="AC12" s="75">
        <f>$C12*INDEX(Curves!$AN$8:$AN$68,AC$4-$B12+1)</f>
        <v/>
      </c>
      <c r="AD12" s="75">
        <f>$C12*INDEX(Curves!$AN$8:$AN$68,AD$4-$B12+1)</f>
        <v/>
      </c>
      <c r="AE12" s="75">
        <f>$C12*INDEX(Curves!$AN$8:$AN$68,AE$4-$B12+1)</f>
        <v/>
      </c>
      <c r="AF12" s="75">
        <f>$C12*INDEX(Curves!$AN$8:$AN$68,AF$4-$B12+1)</f>
        <v/>
      </c>
      <c r="AG12" s="75">
        <f>$C12*INDEX(Curves!$AN$8:$AN$68,AG$4-$B12+1)</f>
        <v/>
      </c>
      <c r="AH12" s="75">
        <f>$C12*INDEX(Curves!$AN$8:$AN$68,AH$4-$B12+1)</f>
        <v/>
      </c>
      <c r="AI12" s="75">
        <f>$C12*INDEX(Curves!$AN$8:$AN$68,AI$4-$B12+1)</f>
        <v/>
      </c>
      <c r="AJ12" s="75">
        <f>$C12*INDEX(Curves!$AN$8:$AN$68,AJ$4-$B12+1)</f>
        <v/>
      </c>
      <c r="AK12" s="75">
        <f>$C12*INDEX(Curves!$AN$8:$AN$68,AK$4-$B12+1)</f>
        <v/>
      </c>
      <c r="AL12" s="75">
        <f>$C12*INDEX(Curves!$AN$8:$AN$68,AL$4-$B12+1)</f>
        <v/>
      </c>
      <c r="AM12" s="75">
        <f>$C12*INDEX(Curves!$AN$8:$AN$68,AM$4-$B12+1)</f>
        <v/>
      </c>
      <c r="AN12" s="75">
        <f>$C12*INDEX(Curves!$AN$8:$AN$68,AN$4-$B12+1)</f>
        <v/>
      </c>
      <c r="AO12" s="75">
        <f>$C12*INDEX(Curves!$AN$8:$AN$68,AO$4-$B12+1)</f>
        <v/>
      </c>
      <c r="AP12" s="75">
        <f>$C12*INDEX(Curves!$AN$8:$AN$68,AP$4-$B12+1)</f>
        <v/>
      </c>
      <c r="AQ12" s="75">
        <f>$C12*INDEX(Curves!$AN$8:$AN$68,AQ$4-$B12+1)</f>
        <v/>
      </c>
      <c r="AR12" s="75">
        <f>$C12*INDEX(Curves!$AN$8:$AN$68,AR$4-$B12+1)</f>
        <v/>
      </c>
      <c r="AS12" s="75">
        <f>$C12*INDEX(Curves!$AN$8:$AN$68,AS$4-$B12+1)</f>
        <v/>
      </c>
      <c r="AT12" s="75">
        <f>$C12*INDEX(Curves!$AN$8:$AN$68,AT$4-$B12+1)</f>
        <v/>
      </c>
      <c r="AU12" s="75">
        <f>$C12*INDEX(Curves!$AN$8:$AN$68,AU$4-$B12+1)</f>
        <v/>
      </c>
      <c r="AV12" s="75">
        <f>$C12*INDEX(Curves!$AN$8:$AN$68,AV$4-$B12+1)</f>
        <v/>
      </c>
      <c r="AW12" s="75">
        <f>$C12*INDEX(Curves!$AN$8:$AN$68,AW$4-$B12+1)</f>
        <v/>
      </c>
      <c r="AX12" s="75">
        <f>$C12*INDEX(Curves!$AN$8:$AN$68,AX$4-$B12+1)</f>
        <v/>
      </c>
      <c r="AY12" s="75">
        <f>$C12*INDEX(Curves!$AN$8:$AN$68,AY$4-$B12+1)</f>
        <v/>
      </c>
      <c r="AZ12" s="75">
        <f>$C12*INDEX(Curves!$AN$8:$AN$68,AZ$4-$B12+1)</f>
        <v/>
      </c>
      <c r="BA12" s="75">
        <f>$C12*INDEX(Curves!$AN$8:$AN$68,BA$4-$B12+1)</f>
        <v/>
      </c>
      <c r="BB12" s="75">
        <f>$C12*INDEX(Curves!$AN$8:$AN$68,BB$4-$B12+1)</f>
        <v/>
      </c>
      <c r="BC12" s="75">
        <f>$C12*INDEX(Curves!$AN$8:$AN$68,BC$4-$B12+1)</f>
        <v/>
      </c>
      <c r="BD12" s="75">
        <f>$C12*INDEX(Curves!$AN$8:$AN$68,BD$4-$B12+1)</f>
        <v/>
      </c>
      <c r="BE12" s="75">
        <f>$C12*INDEX(Curves!$AN$8:$AN$68,BE$4-$B12+1)</f>
        <v/>
      </c>
      <c r="BF12" s="75">
        <f>$C12*INDEX(Curves!$AN$8:$AN$68,BF$4-$B12+1)</f>
        <v/>
      </c>
      <c r="BG12" s="75">
        <f>$C12*INDEX(Curves!$AN$8:$AN$68,BG$4-$B12+1)</f>
        <v/>
      </c>
      <c r="BH12" s="75">
        <f>$C12*INDEX(Curves!$AN$8:$AN$68,BH$4-$B12+1)</f>
        <v/>
      </c>
      <c r="BI12" s="75">
        <f>$C12*INDEX(Curves!$AN$8:$AN$68,BI$4-$B12+1)</f>
        <v/>
      </c>
      <c r="BJ12" s="75">
        <f>$C12*INDEX(Curves!$AN$8:$AN$68,BJ$4-$B12+1)</f>
        <v/>
      </c>
      <c r="BK12" s="75">
        <f>$C12*INDEX(Curves!$AN$8:$AN$68,BK$4-$B12+1)</f>
        <v/>
      </c>
      <c r="BL12" s="75">
        <f>$C12*INDEX(Curves!$AN$8:$AN$68,BL$4-$B12+1)</f>
        <v/>
      </c>
    </row>
    <row r="13">
      <c r="A13" s="74" t="inlineStr">
        <is>
          <t>Cohort month 4</t>
        </is>
      </c>
      <c r="B13" s="74" t="n">
        <v>4</v>
      </c>
      <c r="C13" s="17">
        <f>INDEX(Ops!$E$85:$BL$85,1,$B13)</f>
        <v/>
      </c>
      <c r="I13" s="75">
        <f>$C13*INDEX(Curves!$AN$8:$AN$68,I$4-$B13+1)</f>
        <v/>
      </c>
      <c r="J13" s="75">
        <f>$C13*INDEX(Curves!$AN$8:$AN$68,J$4-$B13+1)</f>
        <v/>
      </c>
      <c r="K13" s="75">
        <f>$C13*INDEX(Curves!$AN$8:$AN$68,K$4-$B13+1)</f>
        <v/>
      </c>
      <c r="L13" s="75">
        <f>$C13*INDEX(Curves!$AN$8:$AN$68,L$4-$B13+1)</f>
        <v/>
      </c>
      <c r="M13" s="75">
        <f>$C13*INDEX(Curves!$AN$8:$AN$68,M$4-$B13+1)</f>
        <v/>
      </c>
      <c r="N13" s="75">
        <f>$C13*INDEX(Curves!$AN$8:$AN$68,N$4-$B13+1)</f>
        <v/>
      </c>
      <c r="O13" s="75">
        <f>$C13*INDEX(Curves!$AN$8:$AN$68,O$4-$B13+1)</f>
        <v/>
      </c>
      <c r="P13" s="75">
        <f>$C13*INDEX(Curves!$AN$8:$AN$68,P$4-$B13+1)</f>
        <v/>
      </c>
      <c r="Q13" s="75">
        <f>$C13*INDEX(Curves!$AN$8:$AN$68,Q$4-$B13+1)</f>
        <v/>
      </c>
      <c r="R13" s="75">
        <f>$C13*INDEX(Curves!$AN$8:$AN$68,R$4-$B13+1)</f>
        <v/>
      </c>
      <c r="S13" s="75">
        <f>$C13*INDEX(Curves!$AN$8:$AN$68,S$4-$B13+1)</f>
        <v/>
      </c>
      <c r="T13" s="75">
        <f>$C13*INDEX(Curves!$AN$8:$AN$68,T$4-$B13+1)</f>
        <v/>
      </c>
      <c r="U13" s="75">
        <f>$C13*INDEX(Curves!$AN$8:$AN$68,U$4-$B13+1)</f>
        <v/>
      </c>
      <c r="V13" s="75">
        <f>$C13*INDEX(Curves!$AN$8:$AN$68,V$4-$B13+1)</f>
        <v/>
      </c>
      <c r="W13" s="75">
        <f>$C13*INDEX(Curves!$AN$8:$AN$68,W$4-$B13+1)</f>
        <v/>
      </c>
      <c r="X13" s="75">
        <f>$C13*INDEX(Curves!$AN$8:$AN$68,X$4-$B13+1)</f>
        <v/>
      </c>
      <c r="Y13" s="75">
        <f>$C13*INDEX(Curves!$AN$8:$AN$68,Y$4-$B13+1)</f>
        <v/>
      </c>
      <c r="Z13" s="75">
        <f>$C13*INDEX(Curves!$AN$8:$AN$68,Z$4-$B13+1)</f>
        <v/>
      </c>
      <c r="AA13" s="75">
        <f>$C13*INDEX(Curves!$AN$8:$AN$68,AA$4-$B13+1)</f>
        <v/>
      </c>
      <c r="AB13" s="75">
        <f>$C13*INDEX(Curves!$AN$8:$AN$68,AB$4-$B13+1)</f>
        <v/>
      </c>
      <c r="AC13" s="75">
        <f>$C13*INDEX(Curves!$AN$8:$AN$68,AC$4-$B13+1)</f>
        <v/>
      </c>
      <c r="AD13" s="75">
        <f>$C13*INDEX(Curves!$AN$8:$AN$68,AD$4-$B13+1)</f>
        <v/>
      </c>
      <c r="AE13" s="75">
        <f>$C13*INDEX(Curves!$AN$8:$AN$68,AE$4-$B13+1)</f>
        <v/>
      </c>
      <c r="AF13" s="75">
        <f>$C13*INDEX(Curves!$AN$8:$AN$68,AF$4-$B13+1)</f>
        <v/>
      </c>
      <c r="AG13" s="75">
        <f>$C13*INDEX(Curves!$AN$8:$AN$68,AG$4-$B13+1)</f>
        <v/>
      </c>
      <c r="AH13" s="75">
        <f>$C13*INDEX(Curves!$AN$8:$AN$68,AH$4-$B13+1)</f>
        <v/>
      </c>
      <c r="AI13" s="75">
        <f>$C13*INDEX(Curves!$AN$8:$AN$68,AI$4-$B13+1)</f>
        <v/>
      </c>
      <c r="AJ13" s="75">
        <f>$C13*INDEX(Curves!$AN$8:$AN$68,AJ$4-$B13+1)</f>
        <v/>
      </c>
      <c r="AK13" s="75">
        <f>$C13*INDEX(Curves!$AN$8:$AN$68,AK$4-$B13+1)</f>
        <v/>
      </c>
      <c r="AL13" s="75">
        <f>$C13*INDEX(Curves!$AN$8:$AN$68,AL$4-$B13+1)</f>
        <v/>
      </c>
      <c r="AM13" s="75">
        <f>$C13*INDEX(Curves!$AN$8:$AN$68,AM$4-$B13+1)</f>
        <v/>
      </c>
      <c r="AN13" s="75">
        <f>$C13*INDEX(Curves!$AN$8:$AN$68,AN$4-$B13+1)</f>
        <v/>
      </c>
      <c r="AO13" s="75">
        <f>$C13*INDEX(Curves!$AN$8:$AN$68,AO$4-$B13+1)</f>
        <v/>
      </c>
      <c r="AP13" s="75">
        <f>$C13*INDEX(Curves!$AN$8:$AN$68,AP$4-$B13+1)</f>
        <v/>
      </c>
      <c r="AQ13" s="75">
        <f>$C13*INDEX(Curves!$AN$8:$AN$68,AQ$4-$B13+1)</f>
        <v/>
      </c>
      <c r="AR13" s="75">
        <f>$C13*INDEX(Curves!$AN$8:$AN$68,AR$4-$B13+1)</f>
        <v/>
      </c>
      <c r="AS13" s="75">
        <f>$C13*INDEX(Curves!$AN$8:$AN$68,AS$4-$B13+1)</f>
        <v/>
      </c>
      <c r="AT13" s="75">
        <f>$C13*INDEX(Curves!$AN$8:$AN$68,AT$4-$B13+1)</f>
        <v/>
      </c>
      <c r="AU13" s="75">
        <f>$C13*INDEX(Curves!$AN$8:$AN$68,AU$4-$B13+1)</f>
        <v/>
      </c>
      <c r="AV13" s="75">
        <f>$C13*INDEX(Curves!$AN$8:$AN$68,AV$4-$B13+1)</f>
        <v/>
      </c>
      <c r="AW13" s="75">
        <f>$C13*INDEX(Curves!$AN$8:$AN$68,AW$4-$B13+1)</f>
        <v/>
      </c>
      <c r="AX13" s="75">
        <f>$C13*INDEX(Curves!$AN$8:$AN$68,AX$4-$B13+1)</f>
        <v/>
      </c>
      <c r="AY13" s="75">
        <f>$C13*INDEX(Curves!$AN$8:$AN$68,AY$4-$B13+1)</f>
        <v/>
      </c>
      <c r="AZ13" s="75">
        <f>$C13*INDEX(Curves!$AN$8:$AN$68,AZ$4-$B13+1)</f>
        <v/>
      </c>
      <c r="BA13" s="75">
        <f>$C13*INDEX(Curves!$AN$8:$AN$68,BA$4-$B13+1)</f>
        <v/>
      </c>
      <c r="BB13" s="75">
        <f>$C13*INDEX(Curves!$AN$8:$AN$68,BB$4-$B13+1)</f>
        <v/>
      </c>
      <c r="BC13" s="75">
        <f>$C13*INDEX(Curves!$AN$8:$AN$68,BC$4-$B13+1)</f>
        <v/>
      </c>
      <c r="BD13" s="75">
        <f>$C13*INDEX(Curves!$AN$8:$AN$68,BD$4-$B13+1)</f>
        <v/>
      </c>
      <c r="BE13" s="75">
        <f>$C13*INDEX(Curves!$AN$8:$AN$68,BE$4-$B13+1)</f>
        <v/>
      </c>
      <c r="BF13" s="75">
        <f>$C13*INDEX(Curves!$AN$8:$AN$68,BF$4-$B13+1)</f>
        <v/>
      </c>
      <c r="BG13" s="75">
        <f>$C13*INDEX(Curves!$AN$8:$AN$68,BG$4-$B13+1)</f>
        <v/>
      </c>
      <c r="BH13" s="75">
        <f>$C13*INDEX(Curves!$AN$8:$AN$68,BH$4-$B13+1)</f>
        <v/>
      </c>
      <c r="BI13" s="75">
        <f>$C13*INDEX(Curves!$AN$8:$AN$68,BI$4-$B13+1)</f>
        <v/>
      </c>
      <c r="BJ13" s="75">
        <f>$C13*INDEX(Curves!$AN$8:$AN$68,BJ$4-$B13+1)</f>
        <v/>
      </c>
      <c r="BK13" s="75">
        <f>$C13*INDEX(Curves!$AN$8:$AN$68,BK$4-$B13+1)</f>
        <v/>
      </c>
      <c r="BL13" s="75">
        <f>$C13*INDEX(Curves!$AN$8:$AN$68,BL$4-$B13+1)</f>
        <v/>
      </c>
    </row>
    <row r="14">
      <c r="A14" s="74" t="inlineStr">
        <is>
          <t>Cohort month 5</t>
        </is>
      </c>
      <c r="B14" s="74" t="n">
        <v>5</v>
      </c>
      <c r="C14" s="17">
        <f>INDEX(Ops!$E$85:$BL$85,1,$B14)</f>
        <v/>
      </c>
      <c r="J14" s="75">
        <f>$C14*INDEX(Curves!$AN$8:$AN$68,J$4-$B14+1)</f>
        <v/>
      </c>
      <c r="K14" s="75">
        <f>$C14*INDEX(Curves!$AN$8:$AN$68,K$4-$B14+1)</f>
        <v/>
      </c>
      <c r="L14" s="75">
        <f>$C14*INDEX(Curves!$AN$8:$AN$68,L$4-$B14+1)</f>
        <v/>
      </c>
      <c r="M14" s="75">
        <f>$C14*INDEX(Curves!$AN$8:$AN$68,M$4-$B14+1)</f>
        <v/>
      </c>
      <c r="N14" s="75">
        <f>$C14*INDEX(Curves!$AN$8:$AN$68,N$4-$B14+1)</f>
        <v/>
      </c>
      <c r="O14" s="75">
        <f>$C14*INDEX(Curves!$AN$8:$AN$68,O$4-$B14+1)</f>
        <v/>
      </c>
      <c r="P14" s="75">
        <f>$C14*INDEX(Curves!$AN$8:$AN$68,P$4-$B14+1)</f>
        <v/>
      </c>
      <c r="Q14" s="75">
        <f>$C14*INDEX(Curves!$AN$8:$AN$68,Q$4-$B14+1)</f>
        <v/>
      </c>
      <c r="R14" s="75">
        <f>$C14*INDEX(Curves!$AN$8:$AN$68,R$4-$B14+1)</f>
        <v/>
      </c>
      <c r="S14" s="75">
        <f>$C14*INDEX(Curves!$AN$8:$AN$68,S$4-$B14+1)</f>
        <v/>
      </c>
      <c r="T14" s="75">
        <f>$C14*INDEX(Curves!$AN$8:$AN$68,T$4-$B14+1)</f>
        <v/>
      </c>
      <c r="U14" s="75">
        <f>$C14*INDEX(Curves!$AN$8:$AN$68,U$4-$B14+1)</f>
        <v/>
      </c>
      <c r="V14" s="75">
        <f>$C14*INDEX(Curves!$AN$8:$AN$68,V$4-$B14+1)</f>
        <v/>
      </c>
      <c r="W14" s="75">
        <f>$C14*INDEX(Curves!$AN$8:$AN$68,W$4-$B14+1)</f>
        <v/>
      </c>
      <c r="X14" s="75">
        <f>$C14*INDEX(Curves!$AN$8:$AN$68,X$4-$B14+1)</f>
        <v/>
      </c>
      <c r="Y14" s="75">
        <f>$C14*INDEX(Curves!$AN$8:$AN$68,Y$4-$B14+1)</f>
        <v/>
      </c>
      <c r="Z14" s="75">
        <f>$C14*INDEX(Curves!$AN$8:$AN$68,Z$4-$B14+1)</f>
        <v/>
      </c>
      <c r="AA14" s="75">
        <f>$C14*INDEX(Curves!$AN$8:$AN$68,AA$4-$B14+1)</f>
        <v/>
      </c>
      <c r="AB14" s="75">
        <f>$C14*INDEX(Curves!$AN$8:$AN$68,AB$4-$B14+1)</f>
        <v/>
      </c>
      <c r="AC14" s="75">
        <f>$C14*INDEX(Curves!$AN$8:$AN$68,AC$4-$B14+1)</f>
        <v/>
      </c>
      <c r="AD14" s="75">
        <f>$C14*INDEX(Curves!$AN$8:$AN$68,AD$4-$B14+1)</f>
        <v/>
      </c>
      <c r="AE14" s="75">
        <f>$C14*INDEX(Curves!$AN$8:$AN$68,AE$4-$B14+1)</f>
        <v/>
      </c>
      <c r="AF14" s="75">
        <f>$C14*INDEX(Curves!$AN$8:$AN$68,AF$4-$B14+1)</f>
        <v/>
      </c>
      <c r="AG14" s="75">
        <f>$C14*INDEX(Curves!$AN$8:$AN$68,AG$4-$B14+1)</f>
        <v/>
      </c>
      <c r="AH14" s="75">
        <f>$C14*INDEX(Curves!$AN$8:$AN$68,AH$4-$B14+1)</f>
        <v/>
      </c>
      <c r="AI14" s="75">
        <f>$C14*INDEX(Curves!$AN$8:$AN$68,AI$4-$B14+1)</f>
        <v/>
      </c>
      <c r="AJ14" s="75">
        <f>$C14*INDEX(Curves!$AN$8:$AN$68,AJ$4-$B14+1)</f>
        <v/>
      </c>
      <c r="AK14" s="75">
        <f>$C14*INDEX(Curves!$AN$8:$AN$68,AK$4-$B14+1)</f>
        <v/>
      </c>
      <c r="AL14" s="75">
        <f>$C14*INDEX(Curves!$AN$8:$AN$68,AL$4-$B14+1)</f>
        <v/>
      </c>
      <c r="AM14" s="75">
        <f>$C14*INDEX(Curves!$AN$8:$AN$68,AM$4-$B14+1)</f>
        <v/>
      </c>
      <c r="AN14" s="75">
        <f>$C14*INDEX(Curves!$AN$8:$AN$68,AN$4-$B14+1)</f>
        <v/>
      </c>
      <c r="AO14" s="75">
        <f>$C14*INDEX(Curves!$AN$8:$AN$68,AO$4-$B14+1)</f>
        <v/>
      </c>
      <c r="AP14" s="75">
        <f>$C14*INDEX(Curves!$AN$8:$AN$68,AP$4-$B14+1)</f>
        <v/>
      </c>
      <c r="AQ14" s="75">
        <f>$C14*INDEX(Curves!$AN$8:$AN$68,AQ$4-$B14+1)</f>
        <v/>
      </c>
      <c r="AR14" s="75">
        <f>$C14*INDEX(Curves!$AN$8:$AN$68,AR$4-$B14+1)</f>
        <v/>
      </c>
      <c r="AS14" s="75">
        <f>$C14*INDEX(Curves!$AN$8:$AN$68,AS$4-$B14+1)</f>
        <v/>
      </c>
      <c r="AT14" s="75">
        <f>$C14*INDEX(Curves!$AN$8:$AN$68,AT$4-$B14+1)</f>
        <v/>
      </c>
      <c r="AU14" s="75">
        <f>$C14*INDEX(Curves!$AN$8:$AN$68,AU$4-$B14+1)</f>
        <v/>
      </c>
      <c r="AV14" s="75">
        <f>$C14*INDEX(Curves!$AN$8:$AN$68,AV$4-$B14+1)</f>
        <v/>
      </c>
      <c r="AW14" s="75">
        <f>$C14*INDEX(Curves!$AN$8:$AN$68,AW$4-$B14+1)</f>
        <v/>
      </c>
      <c r="AX14" s="75">
        <f>$C14*INDEX(Curves!$AN$8:$AN$68,AX$4-$B14+1)</f>
        <v/>
      </c>
      <c r="AY14" s="75">
        <f>$C14*INDEX(Curves!$AN$8:$AN$68,AY$4-$B14+1)</f>
        <v/>
      </c>
      <c r="AZ14" s="75">
        <f>$C14*INDEX(Curves!$AN$8:$AN$68,AZ$4-$B14+1)</f>
        <v/>
      </c>
      <c r="BA14" s="75">
        <f>$C14*INDEX(Curves!$AN$8:$AN$68,BA$4-$B14+1)</f>
        <v/>
      </c>
      <c r="BB14" s="75">
        <f>$C14*INDEX(Curves!$AN$8:$AN$68,BB$4-$B14+1)</f>
        <v/>
      </c>
      <c r="BC14" s="75">
        <f>$C14*INDEX(Curves!$AN$8:$AN$68,BC$4-$B14+1)</f>
        <v/>
      </c>
      <c r="BD14" s="75">
        <f>$C14*INDEX(Curves!$AN$8:$AN$68,BD$4-$B14+1)</f>
        <v/>
      </c>
      <c r="BE14" s="75">
        <f>$C14*INDEX(Curves!$AN$8:$AN$68,BE$4-$B14+1)</f>
        <v/>
      </c>
      <c r="BF14" s="75">
        <f>$C14*INDEX(Curves!$AN$8:$AN$68,BF$4-$B14+1)</f>
        <v/>
      </c>
      <c r="BG14" s="75">
        <f>$C14*INDEX(Curves!$AN$8:$AN$68,BG$4-$B14+1)</f>
        <v/>
      </c>
      <c r="BH14" s="75">
        <f>$C14*INDEX(Curves!$AN$8:$AN$68,BH$4-$B14+1)</f>
        <v/>
      </c>
      <c r="BI14" s="75">
        <f>$C14*INDEX(Curves!$AN$8:$AN$68,BI$4-$B14+1)</f>
        <v/>
      </c>
      <c r="BJ14" s="75">
        <f>$C14*INDEX(Curves!$AN$8:$AN$68,BJ$4-$B14+1)</f>
        <v/>
      </c>
      <c r="BK14" s="75">
        <f>$C14*INDEX(Curves!$AN$8:$AN$68,BK$4-$B14+1)</f>
        <v/>
      </c>
      <c r="BL14" s="75">
        <f>$C14*INDEX(Curves!$AN$8:$AN$68,BL$4-$B14+1)</f>
        <v/>
      </c>
    </row>
    <row r="15">
      <c r="A15" s="74" t="inlineStr">
        <is>
          <t>Cohort month 6</t>
        </is>
      </c>
      <c r="B15" s="74" t="n">
        <v>6</v>
      </c>
      <c r="C15" s="17">
        <f>INDEX(Ops!$E$85:$BL$85,1,$B15)</f>
        <v/>
      </c>
      <c r="K15" s="75">
        <f>$C15*INDEX(Curves!$AN$8:$AN$68,K$4-$B15+1)</f>
        <v/>
      </c>
      <c r="L15" s="75">
        <f>$C15*INDEX(Curves!$AN$8:$AN$68,L$4-$B15+1)</f>
        <v/>
      </c>
      <c r="M15" s="75">
        <f>$C15*INDEX(Curves!$AN$8:$AN$68,M$4-$B15+1)</f>
        <v/>
      </c>
      <c r="N15" s="75">
        <f>$C15*INDEX(Curves!$AN$8:$AN$68,N$4-$B15+1)</f>
        <v/>
      </c>
      <c r="O15" s="75">
        <f>$C15*INDEX(Curves!$AN$8:$AN$68,O$4-$B15+1)</f>
        <v/>
      </c>
      <c r="P15" s="75">
        <f>$C15*INDEX(Curves!$AN$8:$AN$68,P$4-$B15+1)</f>
        <v/>
      </c>
      <c r="Q15" s="75">
        <f>$C15*INDEX(Curves!$AN$8:$AN$68,Q$4-$B15+1)</f>
        <v/>
      </c>
      <c r="R15" s="75">
        <f>$C15*INDEX(Curves!$AN$8:$AN$68,R$4-$B15+1)</f>
        <v/>
      </c>
      <c r="S15" s="75">
        <f>$C15*INDEX(Curves!$AN$8:$AN$68,S$4-$B15+1)</f>
        <v/>
      </c>
      <c r="T15" s="75">
        <f>$C15*INDEX(Curves!$AN$8:$AN$68,T$4-$B15+1)</f>
        <v/>
      </c>
      <c r="U15" s="75">
        <f>$C15*INDEX(Curves!$AN$8:$AN$68,U$4-$B15+1)</f>
        <v/>
      </c>
      <c r="V15" s="75">
        <f>$C15*INDEX(Curves!$AN$8:$AN$68,V$4-$B15+1)</f>
        <v/>
      </c>
      <c r="W15" s="75">
        <f>$C15*INDEX(Curves!$AN$8:$AN$68,W$4-$B15+1)</f>
        <v/>
      </c>
      <c r="X15" s="75">
        <f>$C15*INDEX(Curves!$AN$8:$AN$68,X$4-$B15+1)</f>
        <v/>
      </c>
      <c r="Y15" s="75">
        <f>$C15*INDEX(Curves!$AN$8:$AN$68,Y$4-$B15+1)</f>
        <v/>
      </c>
      <c r="Z15" s="75">
        <f>$C15*INDEX(Curves!$AN$8:$AN$68,Z$4-$B15+1)</f>
        <v/>
      </c>
      <c r="AA15" s="75">
        <f>$C15*INDEX(Curves!$AN$8:$AN$68,AA$4-$B15+1)</f>
        <v/>
      </c>
      <c r="AB15" s="75">
        <f>$C15*INDEX(Curves!$AN$8:$AN$68,AB$4-$B15+1)</f>
        <v/>
      </c>
      <c r="AC15" s="75">
        <f>$C15*INDEX(Curves!$AN$8:$AN$68,AC$4-$B15+1)</f>
        <v/>
      </c>
      <c r="AD15" s="75">
        <f>$C15*INDEX(Curves!$AN$8:$AN$68,AD$4-$B15+1)</f>
        <v/>
      </c>
      <c r="AE15" s="75">
        <f>$C15*INDEX(Curves!$AN$8:$AN$68,AE$4-$B15+1)</f>
        <v/>
      </c>
      <c r="AF15" s="75">
        <f>$C15*INDEX(Curves!$AN$8:$AN$68,AF$4-$B15+1)</f>
        <v/>
      </c>
      <c r="AG15" s="75">
        <f>$C15*INDEX(Curves!$AN$8:$AN$68,AG$4-$B15+1)</f>
        <v/>
      </c>
      <c r="AH15" s="75">
        <f>$C15*INDEX(Curves!$AN$8:$AN$68,AH$4-$B15+1)</f>
        <v/>
      </c>
      <c r="AI15" s="75">
        <f>$C15*INDEX(Curves!$AN$8:$AN$68,AI$4-$B15+1)</f>
        <v/>
      </c>
      <c r="AJ15" s="75">
        <f>$C15*INDEX(Curves!$AN$8:$AN$68,AJ$4-$B15+1)</f>
        <v/>
      </c>
      <c r="AK15" s="75">
        <f>$C15*INDEX(Curves!$AN$8:$AN$68,AK$4-$B15+1)</f>
        <v/>
      </c>
      <c r="AL15" s="75">
        <f>$C15*INDEX(Curves!$AN$8:$AN$68,AL$4-$B15+1)</f>
        <v/>
      </c>
      <c r="AM15" s="75">
        <f>$C15*INDEX(Curves!$AN$8:$AN$68,AM$4-$B15+1)</f>
        <v/>
      </c>
      <c r="AN15" s="75">
        <f>$C15*INDEX(Curves!$AN$8:$AN$68,AN$4-$B15+1)</f>
        <v/>
      </c>
      <c r="AO15" s="75">
        <f>$C15*INDEX(Curves!$AN$8:$AN$68,AO$4-$B15+1)</f>
        <v/>
      </c>
      <c r="AP15" s="75">
        <f>$C15*INDEX(Curves!$AN$8:$AN$68,AP$4-$B15+1)</f>
        <v/>
      </c>
      <c r="AQ15" s="75">
        <f>$C15*INDEX(Curves!$AN$8:$AN$68,AQ$4-$B15+1)</f>
        <v/>
      </c>
      <c r="AR15" s="75">
        <f>$C15*INDEX(Curves!$AN$8:$AN$68,AR$4-$B15+1)</f>
        <v/>
      </c>
      <c r="AS15" s="75">
        <f>$C15*INDEX(Curves!$AN$8:$AN$68,AS$4-$B15+1)</f>
        <v/>
      </c>
      <c r="AT15" s="75">
        <f>$C15*INDEX(Curves!$AN$8:$AN$68,AT$4-$B15+1)</f>
        <v/>
      </c>
      <c r="AU15" s="75">
        <f>$C15*INDEX(Curves!$AN$8:$AN$68,AU$4-$B15+1)</f>
        <v/>
      </c>
      <c r="AV15" s="75">
        <f>$C15*INDEX(Curves!$AN$8:$AN$68,AV$4-$B15+1)</f>
        <v/>
      </c>
      <c r="AW15" s="75">
        <f>$C15*INDEX(Curves!$AN$8:$AN$68,AW$4-$B15+1)</f>
        <v/>
      </c>
      <c r="AX15" s="75">
        <f>$C15*INDEX(Curves!$AN$8:$AN$68,AX$4-$B15+1)</f>
        <v/>
      </c>
      <c r="AY15" s="75">
        <f>$C15*INDEX(Curves!$AN$8:$AN$68,AY$4-$B15+1)</f>
        <v/>
      </c>
      <c r="AZ15" s="75">
        <f>$C15*INDEX(Curves!$AN$8:$AN$68,AZ$4-$B15+1)</f>
        <v/>
      </c>
      <c r="BA15" s="75">
        <f>$C15*INDEX(Curves!$AN$8:$AN$68,BA$4-$B15+1)</f>
        <v/>
      </c>
      <c r="BB15" s="75">
        <f>$C15*INDEX(Curves!$AN$8:$AN$68,BB$4-$B15+1)</f>
        <v/>
      </c>
      <c r="BC15" s="75">
        <f>$C15*INDEX(Curves!$AN$8:$AN$68,BC$4-$B15+1)</f>
        <v/>
      </c>
      <c r="BD15" s="75">
        <f>$C15*INDEX(Curves!$AN$8:$AN$68,BD$4-$B15+1)</f>
        <v/>
      </c>
      <c r="BE15" s="75">
        <f>$C15*INDEX(Curves!$AN$8:$AN$68,BE$4-$B15+1)</f>
        <v/>
      </c>
      <c r="BF15" s="75">
        <f>$C15*INDEX(Curves!$AN$8:$AN$68,BF$4-$B15+1)</f>
        <v/>
      </c>
      <c r="BG15" s="75">
        <f>$C15*INDEX(Curves!$AN$8:$AN$68,BG$4-$B15+1)</f>
        <v/>
      </c>
      <c r="BH15" s="75">
        <f>$C15*INDEX(Curves!$AN$8:$AN$68,BH$4-$B15+1)</f>
        <v/>
      </c>
      <c r="BI15" s="75">
        <f>$C15*INDEX(Curves!$AN$8:$AN$68,BI$4-$B15+1)</f>
        <v/>
      </c>
      <c r="BJ15" s="75">
        <f>$C15*INDEX(Curves!$AN$8:$AN$68,BJ$4-$B15+1)</f>
        <v/>
      </c>
      <c r="BK15" s="75">
        <f>$C15*INDEX(Curves!$AN$8:$AN$68,BK$4-$B15+1)</f>
        <v/>
      </c>
      <c r="BL15" s="75">
        <f>$C15*INDEX(Curves!$AN$8:$AN$68,BL$4-$B15+1)</f>
        <v/>
      </c>
    </row>
    <row r="16">
      <c r="A16" s="74" t="inlineStr">
        <is>
          <t>Cohort month 7</t>
        </is>
      </c>
      <c r="B16" s="74" t="n">
        <v>7</v>
      </c>
      <c r="C16" s="17">
        <f>INDEX(Ops!$E$85:$BL$85,1,$B16)</f>
        <v/>
      </c>
      <c r="L16" s="75">
        <f>$C16*INDEX(Curves!$AN$8:$AN$68,L$4-$B16+1)</f>
        <v/>
      </c>
      <c r="M16" s="75">
        <f>$C16*INDEX(Curves!$AN$8:$AN$68,M$4-$B16+1)</f>
        <v/>
      </c>
      <c r="N16" s="75">
        <f>$C16*INDEX(Curves!$AN$8:$AN$68,N$4-$B16+1)</f>
        <v/>
      </c>
      <c r="O16" s="75">
        <f>$C16*INDEX(Curves!$AN$8:$AN$68,O$4-$B16+1)</f>
        <v/>
      </c>
      <c r="P16" s="75">
        <f>$C16*INDEX(Curves!$AN$8:$AN$68,P$4-$B16+1)</f>
        <v/>
      </c>
      <c r="Q16" s="75">
        <f>$C16*INDEX(Curves!$AN$8:$AN$68,Q$4-$B16+1)</f>
        <v/>
      </c>
      <c r="R16" s="75">
        <f>$C16*INDEX(Curves!$AN$8:$AN$68,R$4-$B16+1)</f>
        <v/>
      </c>
      <c r="S16" s="75">
        <f>$C16*INDEX(Curves!$AN$8:$AN$68,S$4-$B16+1)</f>
        <v/>
      </c>
      <c r="T16" s="75">
        <f>$C16*INDEX(Curves!$AN$8:$AN$68,T$4-$B16+1)</f>
        <v/>
      </c>
      <c r="U16" s="75">
        <f>$C16*INDEX(Curves!$AN$8:$AN$68,U$4-$B16+1)</f>
        <v/>
      </c>
      <c r="V16" s="75">
        <f>$C16*INDEX(Curves!$AN$8:$AN$68,V$4-$B16+1)</f>
        <v/>
      </c>
      <c r="W16" s="75">
        <f>$C16*INDEX(Curves!$AN$8:$AN$68,W$4-$B16+1)</f>
        <v/>
      </c>
      <c r="X16" s="75">
        <f>$C16*INDEX(Curves!$AN$8:$AN$68,X$4-$B16+1)</f>
        <v/>
      </c>
      <c r="Y16" s="75">
        <f>$C16*INDEX(Curves!$AN$8:$AN$68,Y$4-$B16+1)</f>
        <v/>
      </c>
      <c r="Z16" s="75">
        <f>$C16*INDEX(Curves!$AN$8:$AN$68,Z$4-$B16+1)</f>
        <v/>
      </c>
      <c r="AA16" s="75">
        <f>$C16*INDEX(Curves!$AN$8:$AN$68,AA$4-$B16+1)</f>
        <v/>
      </c>
      <c r="AB16" s="75">
        <f>$C16*INDEX(Curves!$AN$8:$AN$68,AB$4-$B16+1)</f>
        <v/>
      </c>
      <c r="AC16" s="75">
        <f>$C16*INDEX(Curves!$AN$8:$AN$68,AC$4-$B16+1)</f>
        <v/>
      </c>
      <c r="AD16" s="75">
        <f>$C16*INDEX(Curves!$AN$8:$AN$68,AD$4-$B16+1)</f>
        <v/>
      </c>
      <c r="AE16" s="75">
        <f>$C16*INDEX(Curves!$AN$8:$AN$68,AE$4-$B16+1)</f>
        <v/>
      </c>
      <c r="AF16" s="75">
        <f>$C16*INDEX(Curves!$AN$8:$AN$68,AF$4-$B16+1)</f>
        <v/>
      </c>
      <c r="AG16" s="75">
        <f>$C16*INDEX(Curves!$AN$8:$AN$68,AG$4-$B16+1)</f>
        <v/>
      </c>
      <c r="AH16" s="75">
        <f>$C16*INDEX(Curves!$AN$8:$AN$68,AH$4-$B16+1)</f>
        <v/>
      </c>
      <c r="AI16" s="75">
        <f>$C16*INDEX(Curves!$AN$8:$AN$68,AI$4-$B16+1)</f>
        <v/>
      </c>
      <c r="AJ16" s="75">
        <f>$C16*INDEX(Curves!$AN$8:$AN$68,AJ$4-$B16+1)</f>
        <v/>
      </c>
      <c r="AK16" s="75">
        <f>$C16*INDEX(Curves!$AN$8:$AN$68,AK$4-$B16+1)</f>
        <v/>
      </c>
      <c r="AL16" s="75">
        <f>$C16*INDEX(Curves!$AN$8:$AN$68,AL$4-$B16+1)</f>
        <v/>
      </c>
      <c r="AM16" s="75">
        <f>$C16*INDEX(Curves!$AN$8:$AN$68,AM$4-$B16+1)</f>
        <v/>
      </c>
      <c r="AN16" s="75">
        <f>$C16*INDEX(Curves!$AN$8:$AN$68,AN$4-$B16+1)</f>
        <v/>
      </c>
      <c r="AO16" s="75">
        <f>$C16*INDEX(Curves!$AN$8:$AN$68,AO$4-$B16+1)</f>
        <v/>
      </c>
      <c r="AP16" s="75">
        <f>$C16*INDEX(Curves!$AN$8:$AN$68,AP$4-$B16+1)</f>
        <v/>
      </c>
      <c r="AQ16" s="75">
        <f>$C16*INDEX(Curves!$AN$8:$AN$68,AQ$4-$B16+1)</f>
        <v/>
      </c>
      <c r="AR16" s="75">
        <f>$C16*INDEX(Curves!$AN$8:$AN$68,AR$4-$B16+1)</f>
        <v/>
      </c>
      <c r="AS16" s="75">
        <f>$C16*INDEX(Curves!$AN$8:$AN$68,AS$4-$B16+1)</f>
        <v/>
      </c>
      <c r="AT16" s="75">
        <f>$C16*INDEX(Curves!$AN$8:$AN$68,AT$4-$B16+1)</f>
        <v/>
      </c>
      <c r="AU16" s="75">
        <f>$C16*INDEX(Curves!$AN$8:$AN$68,AU$4-$B16+1)</f>
        <v/>
      </c>
      <c r="AV16" s="75">
        <f>$C16*INDEX(Curves!$AN$8:$AN$68,AV$4-$B16+1)</f>
        <v/>
      </c>
      <c r="AW16" s="75">
        <f>$C16*INDEX(Curves!$AN$8:$AN$68,AW$4-$B16+1)</f>
        <v/>
      </c>
      <c r="AX16" s="75">
        <f>$C16*INDEX(Curves!$AN$8:$AN$68,AX$4-$B16+1)</f>
        <v/>
      </c>
      <c r="AY16" s="75">
        <f>$C16*INDEX(Curves!$AN$8:$AN$68,AY$4-$B16+1)</f>
        <v/>
      </c>
      <c r="AZ16" s="75">
        <f>$C16*INDEX(Curves!$AN$8:$AN$68,AZ$4-$B16+1)</f>
        <v/>
      </c>
      <c r="BA16" s="75">
        <f>$C16*INDEX(Curves!$AN$8:$AN$68,BA$4-$B16+1)</f>
        <v/>
      </c>
      <c r="BB16" s="75">
        <f>$C16*INDEX(Curves!$AN$8:$AN$68,BB$4-$B16+1)</f>
        <v/>
      </c>
      <c r="BC16" s="75">
        <f>$C16*INDEX(Curves!$AN$8:$AN$68,BC$4-$B16+1)</f>
        <v/>
      </c>
      <c r="BD16" s="75">
        <f>$C16*INDEX(Curves!$AN$8:$AN$68,BD$4-$B16+1)</f>
        <v/>
      </c>
      <c r="BE16" s="75">
        <f>$C16*INDEX(Curves!$AN$8:$AN$68,BE$4-$B16+1)</f>
        <v/>
      </c>
      <c r="BF16" s="75">
        <f>$C16*INDEX(Curves!$AN$8:$AN$68,BF$4-$B16+1)</f>
        <v/>
      </c>
      <c r="BG16" s="75">
        <f>$C16*INDEX(Curves!$AN$8:$AN$68,BG$4-$B16+1)</f>
        <v/>
      </c>
      <c r="BH16" s="75">
        <f>$C16*INDEX(Curves!$AN$8:$AN$68,BH$4-$B16+1)</f>
        <v/>
      </c>
      <c r="BI16" s="75">
        <f>$C16*INDEX(Curves!$AN$8:$AN$68,BI$4-$B16+1)</f>
        <v/>
      </c>
      <c r="BJ16" s="75">
        <f>$C16*INDEX(Curves!$AN$8:$AN$68,BJ$4-$B16+1)</f>
        <v/>
      </c>
      <c r="BK16" s="75">
        <f>$C16*INDEX(Curves!$AN$8:$AN$68,BK$4-$B16+1)</f>
        <v/>
      </c>
      <c r="BL16" s="75">
        <f>$C16*INDEX(Curves!$AN$8:$AN$68,BL$4-$B16+1)</f>
        <v/>
      </c>
    </row>
    <row r="17">
      <c r="A17" s="74" t="inlineStr">
        <is>
          <t>Cohort month 8</t>
        </is>
      </c>
      <c r="B17" s="74" t="n">
        <v>8</v>
      </c>
      <c r="C17" s="17">
        <f>INDEX(Ops!$E$85:$BL$85,1,$B17)</f>
        <v/>
      </c>
      <c r="M17" s="75">
        <f>$C17*INDEX(Curves!$AN$8:$AN$68,M$4-$B17+1)</f>
        <v/>
      </c>
      <c r="N17" s="75">
        <f>$C17*INDEX(Curves!$AN$8:$AN$68,N$4-$B17+1)</f>
        <v/>
      </c>
      <c r="O17" s="75">
        <f>$C17*INDEX(Curves!$AN$8:$AN$68,O$4-$B17+1)</f>
        <v/>
      </c>
      <c r="P17" s="75">
        <f>$C17*INDEX(Curves!$AN$8:$AN$68,P$4-$B17+1)</f>
        <v/>
      </c>
      <c r="Q17" s="75">
        <f>$C17*INDEX(Curves!$AN$8:$AN$68,Q$4-$B17+1)</f>
        <v/>
      </c>
      <c r="R17" s="75">
        <f>$C17*INDEX(Curves!$AN$8:$AN$68,R$4-$B17+1)</f>
        <v/>
      </c>
      <c r="S17" s="75">
        <f>$C17*INDEX(Curves!$AN$8:$AN$68,S$4-$B17+1)</f>
        <v/>
      </c>
      <c r="T17" s="75">
        <f>$C17*INDEX(Curves!$AN$8:$AN$68,T$4-$B17+1)</f>
        <v/>
      </c>
      <c r="U17" s="75">
        <f>$C17*INDEX(Curves!$AN$8:$AN$68,U$4-$B17+1)</f>
        <v/>
      </c>
      <c r="V17" s="75">
        <f>$C17*INDEX(Curves!$AN$8:$AN$68,V$4-$B17+1)</f>
        <v/>
      </c>
      <c r="W17" s="75">
        <f>$C17*INDEX(Curves!$AN$8:$AN$68,W$4-$B17+1)</f>
        <v/>
      </c>
      <c r="X17" s="75">
        <f>$C17*INDEX(Curves!$AN$8:$AN$68,X$4-$B17+1)</f>
        <v/>
      </c>
      <c r="Y17" s="75">
        <f>$C17*INDEX(Curves!$AN$8:$AN$68,Y$4-$B17+1)</f>
        <v/>
      </c>
      <c r="Z17" s="75">
        <f>$C17*INDEX(Curves!$AN$8:$AN$68,Z$4-$B17+1)</f>
        <v/>
      </c>
      <c r="AA17" s="75">
        <f>$C17*INDEX(Curves!$AN$8:$AN$68,AA$4-$B17+1)</f>
        <v/>
      </c>
      <c r="AB17" s="75">
        <f>$C17*INDEX(Curves!$AN$8:$AN$68,AB$4-$B17+1)</f>
        <v/>
      </c>
      <c r="AC17" s="75">
        <f>$C17*INDEX(Curves!$AN$8:$AN$68,AC$4-$B17+1)</f>
        <v/>
      </c>
      <c r="AD17" s="75">
        <f>$C17*INDEX(Curves!$AN$8:$AN$68,AD$4-$B17+1)</f>
        <v/>
      </c>
      <c r="AE17" s="75">
        <f>$C17*INDEX(Curves!$AN$8:$AN$68,AE$4-$B17+1)</f>
        <v/>
      </c>
      <c r="AF17" s="75">
        <f>$C17*INDEX(Curves!$AN$8:$AN$68,AF$4-$B17+1)</f>
        <v/>
      </c>
      <c r="AG17" s="75">
        <f>$C17*INDEX(Curves!$AN$8:$AN$68,AG$4-$B17+1)</f>
        <v/>
      </c>
      <c r="AH17" s="75">
        <f>$C17*INDEX(Curves!$AN$8:$AN$68,AH$4-$B17+1)</f>
        <v/>
      </c>
      <c r="AI17" s="75">
        <f>$C17*INDEX(Curves!$AN$8:$AN$68,AI$4-$B17+1)</f>
        <v/>
      </c>
      <c r="AJ17" s="75">
        <f>$C17*INDEX(Curves!$AN$8:$AN$68,AJ$4-$B17+1)</f>
        <v/>
      </c>
      <c r="AK17" s="75">
        <f>$C17*INDEX(Curves!$AN$8:$AN$68,AK$4-$B17+1)</f>
        <v/>
      </c>
      <c r="AL17" s="75">
        <f>$C17*INDEX(Curves!$AN$8:$AN$68,AL$4-$B17+1)</f>
        <v/>
      </c>
      <c r="AM17" s="75">
        <f>$C17*INDEX(Curves!$AN$8:$AN$68,AM$4-$B17+1)</f>
        <v/>
      </c>
      <c r="AN17" s="75">
        <f>$C17*INDEX(Curves!$AN$8:$AN$68,AN$4-$B17+1)</f>
        <v/>
      </c>
      <c r="AO17" s="75">
        <f>$C17*INDEX(Curves!$AN$8:$AN$68,AO$4-$B17+1)</f>
        <v/>
      </c>
      <c r="AP17" s="75">
        <f>$C17*INDEX(Curves!$AN$8:$AN$68,AP$4-$B17+1)</f>
        <v/>
      </c>
      <c r="AQ17" s="75">
        <f>$C17*INDEX(Curves!$AN$8:$AN$68,AQ$4-$B17+1)</f>
        <v/>
      </c>
      <c r="AR17" s="75">
        <f>$C17*INDEX(Curves!$AN$8:$AN$68,AR$4-$B17+1)</f>
        <v/>
      </c>
      <c r="AS17" s="75">
        <f>$C17*INDEX(Curves!$AN$8:$AN$68,AS$4-$B17+1)</f>
        <v/>
      </c>
      <c r="AT17" s="75">
        <f>$C17*INDEX(Curves!$AN$8:$AN$68,AT$4-$B17+1)</f>
        <v/>
      </c>
      <c r="AU17" s="75">
        <f>$C17*INDEX(Curves!$AN$8:$AN$68,AU$4-$B17+1)</f>
        <v/>
      </c>
      <c r="AV17" s="75">
        <f>$C17*INDEX(Curves!$AN$8:$AN$68,AV$4-$B17+1)</f>
        <v/>
      </c>
      <c r="AW17" s="75">
        <f>$C17*INDEX(Curves!$AN$8:$AN$68,AW$4-$B17+1)</f>
        <v/>
      </c>
      <c r="AX17" s="75">
        <f>$C17*INDEX(Curves!$AN$8:$AN$68,AX$4-$B17+1)</f>
        <v/>
      </c>
      <c r="AY17" s="75">
        <f>$C17*INDEX(Curves!$AN$8:$AN$68,AY$4-$B17+1)</f>
        <v/>
      </c>
      <c r="AZ17" s="75">
        <f>$C17*INDEX(Curves!$AN$8:$AN$68,AZ$4-$B17+1)</f>
        <v/>
      </c>
      <c r="BA17" s="75">
        <f>$C17*INDEX(Curves!$AN$8:$AN$68,BA$4-$B17+1)</f>
        <v/>
      </c>
      <c r="BB17" s="75">
        <f>$C17*INDEX(Curves!$AN$8:$AN$68,BB$4-$B17+1)</f>
        <v/>
      </c>
      <c r="BC17" s="75">
        <f>$C17*INDEX(Curves!$AN$8:$AN$68,BC$4-$B17+1)</f>
        <v/>
      </c>
      <c r="BD17" s="75">
        <f>$C17*INDEX(Curves!$AN$8:$AN$68,BD$4-$B17+1)</f>
        <v/>
      </c>
      <c r="BE17" s="75">
        <f>$C17*INDEX(Curves!$AN$8:$AN$68,BE$4-$B17+1)</f>
        <v/>
      </c>
      <c r="BF17" s="75">
        <f>$C17*INDEX(Curves!$AN$8:$AN$68,BF$4-$B17+1)</f>
        <v/>
      </c>
      <c r="BG17" s="75">
        <f>$C17*INDEX(Curves!$AN$8:$AN$68,BG$4-$B17+1)</f>
        <v/>
      </c>
      <c r="BH17" s="75">
        <f>$C17*INDEX(Curves!$AN$8:$AN$68,BH$4-$B17+1)</f>
        <v/>
      </c>
      <c r="BI17" s="75">
        <f>$C17*INDEX(Curves!$AN$8:$AN$68,BI$4-$B17+1)</f>
        <v/>
      </c>
      <c r="BJ17" s="75">
        <f>$C17*INDEX(Curves!$AN$8:$AN$68,BJ$4-$B17+1)</f>
        <v/>
      </c>
      <c r="BK17" s="75">
        <f>$C17*INDEX(Curves!$AN$8:$AN$68,BK$4-$B17+1)</f>
        <v/>
      </c>
      <c r="BL17" s="75">
        <f>$C17*INDEX(Curves!$AN$8:$AN$68,BL$4-$B17+1)</f>
        <v/>
      </c>
    </row>
    <row r="18">
      <c r="A18" s="74" t="inlineStr">
        <is>
          <t>Cohort month 9</t>
        </is>
      </c>
      <c r="B18" s="74" t="n">
        <v>9</v>
      </c>
      <c r="C18" s="17">
        <f>INDEX(Ops!$E$85:$BL$85,1,$B18)</f>
        <v/>
      </c>
      <c r="N18" s="75">
        <f>$C18*INDEX(Curves!$AN$8:$AN$68,N$4-$B18+1)</f>
        <v/>
      </c>
      <c r="O18" s="75">
        <f>$C18*INDEX(Curves!$AN$8:$AN$68,O$4-$B18+1)</f>
        <v/>
      </c>
      <c r="P18" s="75">
        <f>$C18*INDEX(Curves!$AN$8:$AN$68,P$4-$B18+1)</f>
        <v/>
      </c>
      <c r="Q18" s="75">
        <f>$C18*INDEX(Curves!$AN$8:$AN$68,Q$4-$B18+1)</f>
        <v/>
      </c>
      <c r="R18" s="75">
        <f>$C18*INDEX(Curves!$AN$8:$AN$68,R$4-$B18+1)</f>
        <v/>
      </c>
      <c r="S18" s="75">
        <f>$C18*INDEX(Curves!$AN$8:$AN$68,S$4-$B18+1)</f>
        <v/>
      </c>
      <c r="T18" s="75">
        <f>$C18*INDEX(Curves!$AN$8:$AN$68,T$4-$B18+1)</f>
        <v/>
      </c>
      <c r="U18" s="75">
        <f>$C18*INDEX(Curves!$AN$8:$AN$68,U$4-$B18+1)</f>
        <v/>
      </c>
      <c r="V18" s="75">
        <f>$C18*INDEX(Curves!$AN$8:$AN$68,V$4-$B18+1)</f>
        <v/>
      </c>
      <c r="W18" s="75">
        <f>$C18*INDEX(Curves!$AN$8:$AN$68,W$4-$B18+1)</f>
        <v/>
      </c>
      <c r="X18" s="75">
        <f>$C18*INDEX(Curves!$AN$8:$AN$68,X$4-$B18+1)</f>
        <v/>
      </c>
      <c r="Y18" s="75">
        <f>$C18*INDEX(Curves!$AN$8:$AN$68,Y$4-$B18+1)</f>
        <v/>
      </c>
      <c r="Z18" s="75">
        <f>$C18*INDEX(Curves!$AN$8:$AN$68,Z$4-$B18+1)</f>
        <v/>
      </c>
      <c r="AA18" s="75">
        <f>$C18*INDEX(Curves!$AN$8:$AN$68,AA$4-$B18+1)</f>
        <v/>
      </c>
      <c r="AB18" s="75">
        <f>$C18*INDEX(Curves!$AN$8:$AN$68,AB$4-$B18+1)</f>
        <v/>
      </c>
      <c r="AC18" s="75">
        <f>$C18*INDEX(Curves!$AN$8:$AN$68,AC$4-$B18+1)</f>
        <v/>
      </c>
      <c r="AD18" s="75">
        <f>$C18*INDEX(Curves!$AN$8:$AN$68,AD$4-$B18+1)</f>
        <v/>
      </c>
      <c r="AE18" s="75">
        <f>$C18*INDEX(Curves!$AN$8:$AN$68,AE$4-$B18+1)</f>
        <v/>
      </c>
      <c r="AF18" s="75">
        <f>$C18*INDEX(Curves!$AN$8:$AN$68,AF$4-$B18+1)</f>
        <v/>
      </c>
      <c r="AG18" s="75">
        <f>$C18*INDEX(Curves!$AN$8:$AN$68,AG$4-$B18+1)</f>
        <v/>
      </c>
      <c r="AH18" s="75">
        <f>$C18*INDEX(Curves!$AN$8:$AN$68,AH$4-$B18+1)</f>
        <v/>
      </c>
      <c r="AI18" s="75">
        <f>$C18*INDEX(Curves!$AN$8:$AN$68,AI$4-$B18+1)</f>
        <v/>
      </c>
      <c r="AJ18" s="75">
        <f>$C18*INDEX(Curves!$AN$8:$AN$68,AJ$4-$B18+1)</f>
        <v/>
      </c>
      <c r="AK18" s="75">
        <f>$C18*INDEX(Curves!$AN$8:$AN$68,AK$4-$B18+1)</f>
        <v/>
      </c>
      <c r="AL18" s="75">
        <f>$C18*INDEX(Curves!$AN$8:$AN$68,AL$4-$B18+1)</f>
        <v/>
      </c>
      <c r="AM18" s="75">
        <f>$C18*INDEX(Curves!$AN$8:$AN$68,AM$4-$B18+1)</f>
        <v/>
      </c>
      <c r="AN18" s="75">
        <f>$C18*INDEX(Curves!$AN$8:$AN$68,AN$4-$B18+1)</f>
        <v/>
      </c>
      <c r="AO18" s="75">
        <f>$C18*INDEX(Curves!$AN$8:$AN$68,AO$4-$B18+1)</f>
        <v/>
      </c>
      <c r="AP18" s="75">
        <f>$C18*INDEX(Curves!$AN$8:$AN$68,AP$4-$B18+1)</f>
        <v/>
      </c>
      <c r="AQ18" s="75">
        <f>$C18*INDEX(Curves!$AN$8:$AN$68,AQ$4-$B18+1)</f>
        <v/>
      </c>
      <c r="AR18" s="75">
        <f>$C18*INDEX(Curves!$AN$8:$AN$68,AR$4-$B18+1)</f>
        <v/>
      </c>
      <c r="AS18" s="75">
        <f>$C18*INDEX(Curves!$AN$8:$AN$68,AS$4-$B18+1)</f>
        <v/>
      </c>
      <c r="AT18" s="75">
        <f>$C18*INDEX(Curves!$AN$8:$AN$68,AT$4-$B18+1)</f>
        <v/>
      </c>
      <c r="AU18" s="75">
        <f>$C18*INDEX(Curves!$AN$8:$AN$68,AU$4-$B18+1)</f>
        <v/>
      </c>
      <c r="AV18" s="75">
        <f>$C18*INDEX(Curves!$AN$8:$AN$68,AV$4-$B18+1)</f>
        <v/>
      </c>
      <c r="AW18" s="75">
        <f>$C18*INDEX(Curves!$AN$8:$AN$68,AW$4-$B18+1)</f>
        <v/>
      </c>
      <c r="AX18" s="75">
        <f>$C18*INDEX(Curves!$AN$8:$AN$68,AX$4-$B18+1)</f>
        <v/>
      </c>
      <c r="AY18" s="75">
        <f>$C18*INDEX(Curves!$AN$8:$AN$68,AY$4-$B18+1)</f>
        <v/>
      </c>
      <c r="AZ18" s="75">
        <f>$C18*INDEX(Curves!$AN$8:$AN$68,AZ$4-$B18+1)</f>
        <v/>
      </c>
      <c r="BA18" s="75">
        <f>$C18*INDEX(Curves!$AN$8:$AN$68,BA$4-$B18+1)</f>
        <v/>
      </c>
      <c r="BB18" s="75">
        <f>$C18*INDEX(Curves!$AN$8:$AN$68,BB$4-$B18+1)</f>
        <v/>
      </c>
      <c r="BC18" s="75">
        <f>$C18*INDEX(Curves!$AN$8:$AN$68,BC$4-$B18+1)</f>
        <v/>
      </c>
      <c r="BD18" s="75">
        <f>$C18*INDEX(Curves!$AN$8:$AN$68,BD$4-$B18+1)</f>
        <v/>
      </c>
      <c r="BE18" s="75">
        <f>$C18*INDEX(Curves!$AN$8:$AN$68,BE$4-$B18+1)</f>
        <v/>
      </c>
      <c r="BF18" s="75">
        <f>$C18*INDEX(Curves!$AN$8:$AN$68,BF$4-$B18+1)</f>
        <v/>
      </c>
      <c r="BG18" s="75">
        <f>$C18*INDEX(Curves!$AN$8:$AN$68,BG$4-$B18+1)</f>
        <v/>
      </c>
      <c r="BH18" s="75">
        <f>$C18*INDEX(Curves!$AN$8:$AN$68,BH$4-$B18+1)</f>
        <v/>
      </c>
      <c r="BI18" s="75">
        <f>$C18*INDEX(Curves!$AN$8:$AN$68,BI$4-$B18+1)</f>
        <v/>
      </c>
      <c r="BJ18" s="75">
        <f>$C18*INDEX(Curves!$AN$8:$AN$68,BJ$4-$B18+1)</f>
        <v/>
      </c>
      <c r="BK18" s="75">
        <f>$C18*INDEX(Curves!$AN$8:$AN$68,BK$4-$B18+1)</f>
        <v/>
      </c>
      <c r="BL18" s="75">
        <f>$C18*INDEX(Curves!$AN$8:$AN$68,BL$4-$B18+1)</f>
        <v/>
      </c>
    </row>
    <row r="19">
      <c r="A19" s="74" t="inlineStr">
        <is>
          <t>Cohort month 10</t>
        </is>
      </c>
      <c r="B19" s="74" t="n">
        <v>10</v>
      </c>
      <c r="C19" s="17">
        <f>INDEX(Ops!$E$85:$BL$85,1,$B19)</f>
        <v/>
      </c>
      <c r="O19" s="75">
        <f>$C19*INDEX(Curves!$AN$8:$AN$68,O$4-$B19+1)</f>
        <v/>
      </c>
      <c r="P19" s="75">
        <f>$C19*INDEX(Curves!$AN$8:$AN$68,P$4-$B19+1)</f>
        <v/>
      </c>
      <c r="Q19" s="75">
        <f>$C19*INDEX(Curves!$AN$8:$AN$68,Q$4-$B19+1)</f>
        <v/>
      </c>
      <c r="R19" s="75">
        <f>$C19*INDEX(Curves!$AN$8:$AN$68,R$4-$B19+1)</f>
        <v/>
      </c>
      <c r="S19" s="75">
        <f>$C19*INDEX(Curves!$AN$8:$AN$68,S$4-$B19+1)</f>
        <v/>
      </c>
      <c r="T19" s="75">
        <f>$C19*INDEX(Curves!$AN$8:$AN$68,T$4-$B19+1)</f>
        <v/>
      </c>
      <c r="U19" s="75">
        <f>$C19*INDEX(Curves!$AN$8:$AN$68,U$4-$B19+1)</f>
        <v/>
      </c>
      <c r="V19" s="75">
        <f>$C19*INDEX(Curves!$AN$8:$AN$68,V$4-$B19+1)</f>
        <v/>
      </c>
      <c r="W19" s="75">
        <f>$C19*INDEX(Curves!$AN$8:$AN$68,W$4-$B19+1)</f>
        <v/>
      </c>
      <c r="X19" s="75">
        <f>$C19*INDEX(Curves!$AN$8:$AN$68,X$4-$B19+1)</f>
        <v/>
      </c>
      <c r="Y19" s="75">
        <f>$C19*INDEX(Curves!$AN$8:$AN$68,Y$4-$B19+1)</f>
        <v/>
      </c>
      <c r="Z19" s="75">
        <f>$C19*INDEX(Curves!$AN$8:$AN$68,Z$4-$B19+1)</f>
        <v/>
      </c>
      <c r="AA19" s="75">
        <f>$C19*INDEX(Curves!$AN$8:$AN$68,AA$4-$B19+1)</f>
        <v/>
      </c>
      <c r="AB19" s="75">
        <f>$C19*INDEX(Curves!$AN$8:$AN$68,AB$4-$B19+1)</f>
        <v/>
      </c>
      <c r="AC19" s="75">
        <f>$C19*INDEX(Curves!$AN$8:$AN$68,AC$4-$B19+1)</f>
        <v/>
      </c>
      <c r="AD19" s="75">
        <f>$C19*INDEX(Curves!$AN$8:$AN$68,AD$4-$B19+1)</f>
        <v/>
      </c>
      <c r="AE19" s="75">
        <f>$C19*INDEX(Curves!$AN$8:$AN$68,AE$4-$B19+1)</f>
        <v/>
      </c>
      <c r="AF19" s="75">
        <f>$C19*INDEX(Curves!$AN$8:$AN$68,AF$4-$B19+1)</f>
        <v/>
      </c>
      <c r="AG19" s="75">
        <f>$C19*INDEX(Curves!$AN$8:$AN$68,AG$4-$B19+1)</f>
        <v/>
      </c>
      <c r="AH19" s="75">
        <f>$C19*INDEX(Curves!$AN$8:$AN$68,AH$4-$B19+1)</f>
        <v/>
      </c>
      <c r="AI19" s="75">
        <f>$C19*INDEX(Curves!$AN$8:$AN$68,AI$4-$B19+1)</f>
        <v/>
      </c>
      <c r="AJ19" s="75">
        <f>$C19*INDEX(Curves!$AN$8:$AN$68,AJ$4-$B19+1)</f>
        <v/>
      </c>
      <c r="AK19" s="75">
        <f>$C19*INDEX(Curves!$AN$8:$AN$68,AK$4-$B19+1)</f>
        <v/>
      </c>
      <c r="AL19" s="75">
        <f>$C19*INDEX(Curves!$AN$8:$AN$68,AL$4-$B19+1)</f>
        <v/>
      </c>
      <c r="AM19" s="75">
        <f>$C19*INDEX(Curves!$AN$8:$AN$68,AM$4-$B19+1)</f>
        <v/>
      </c>
      <c r="AN19" s="75">
        <f>$C19*INDEX(Curves!$AN$8:$AN$68,AN$4-$B19+1)</f>
        <v/>
      </c>
      <c r="AO19" s="75">
        <f>$C19*INDEX(Curves!$AN$8:$AN$68,AO$4-$B19+1)</f>
        <v/>
      </c>
      <c r="AP19" s="75">
        <f>$C19*INDEX(Curves!$AN$8:$AN$68,AP$4-$B19+1)</f>
        <v/>
      </c>
      <c r="AQ19" s="75">
        <f>$C19*INDEX(Curves!$AN$8:$AN$68,AQ$4-$B19+1)</f>
        <v/>
      </c>
      <c r="AR19" s="75">
        <f>$C19*INDEX(Curves!$AN$8:$AN$68,AR$4-$B19+1)</f>
        <v/>
      </c>
      <c r="AS19" s="75">
        <f>$C19*INDEX(Curves!$AN$8:$AN$68,AS$4-$B19+1)</f>
        <v/>
      </c>
      <c r="AT19" s="75">
        <f>$C19*INDEX(Curves!$AN$8:$AN$68,AT$4-$B19+1)</f>
        <v/>
      </c>
      <c r="AU19" s="75">
        <f>$C19*INDEX(Curves!$AN$8:$AN$68,AU$4-$B19+1)</f>
        <v/>
      </c>
      <c r="AV19" s="75">
        <f>$C19*INDEX(Curves!$AN$8:$AN$68,AV$4-$B19+1)</f>
        <v/>
      </c>
      <c r="AW19" s="75">
        <f>$C19*INDEX(Curves!$AN$8:$AN$68,AW$4-$B19+1)</f>
        <v/>
      </c>
      <c r="AX19" s="75">
        <f>$C19*INDEX(Curves!$AN$8:$AN$68,AX$4-$B19+1)</f>
        <v/>
      </c>
      <c r="AY19" s="75">
        <f>$C19*INDEX(Curves!$AN$8:$AN$68,AY$4-$B19+1)</f>
        <v/>
      </c>
      <c r="AZ19" s="75">
        <f>$C19*INDEX(Curves!$AN$8:$AN$68,AZ$4-$B19+1)</f>
        <v/>
      </c>
      <c r="BA19" s="75">
        <f>$C19*INDEX(Curves!$AN$8:$AN$68,BA$4-$B19+1)</f>
        <v/>
      </c>
      <c r="BB19" s="75">
        <f>$C19*INDEX(Curves!$AN$8:$AN$68,BB$4-$B19+1)</f>
        <v/>
      </c>
      <c r="BC19" s="75">
        <f>$C19*INDEX(Curves!$AN$8:$AN$68,BC$4-$B19+1)</f>
        <v/>
      </c>
      <c r="BD19" s="75">
        <f>$C19*INDEX(Curves!$AN$8:$AN$68,BD$4-$B19+1)</f>
        <v/>
      </c>
      <c r="BE19" s="75">
        <f>$C19*INDEX(Curves!$AN$8:$AN$68,BE$4-$B19+1)</f>
        <v/>
      </c>
      <c r="BF19" s="75">
        <f>$C19*INDEX(Curves!$AN$8:$AN$68,BF$4-$B19+1)</f>
        <v/>
      </c>
      <c r="BG19" s="75">
        <f>$C19*INDEX(Curves!$AN$8:$AN$68,BG$4-$B19+1)</f>
        <v/>
      </c>
      <c r="BH19" s="75">
        <f>$C19*INDEX(Curves!$AN$8:$AN$68,BH$4-$B19+1)</f>
        <v/>
      </c>
      <c r="BI19" s="75">
        <f>$C19*INDEX(Curves!$AN$8:$AN$68,BI$4-$B19+1)</f>
        <v/>
      </c>
      <c r="BJ19" s="75">
        <f>$C19*INDEX(Curves!$AN$8:$AN$68,BJ$4-$B19+1)</f>
        <v/>
      </c>
      <c r="BK19" s="75">
        <f>$C19*INDEX(Curves!$AN$8:$AN$68,BK$4-$B19+1)</f>
        <v/>
      </c>
      <c r="BL19" s="75">
        <f>$C19*INDEX(Curves!$AN$8:$AN$68,BL$4-$B19+1)</f>
        <v/>
      </c>
    </row>
    <row r="20">
      <c r="A20" s="74" t="inlineStr">
        <is>
          <t>Cohort month 11</t>
        </is>
      </c>
      <c r="B20" s="74" t="n">
        <v>11</v>
      </c>
      <c r="C20" s="17">
        <f>INDEX(Ops!$E$85:$BL$85,1,$B20)</f>
        <v/>
      </c>
      <c r="P20" s="75">
        <f>$C20*INDEX(Curves!$AN$8:$AN$68,P$4-$B20+1)</f>
        <v/>
      </c>
      <c r="Q20" s="75">
        <f>$C20*INDEX(Curves!$AN$8:$AN$68,Q$4-$B20+1)</f>
        <v/>
      </c>
      <c r="R20" s="75">
        <f>$C20*INDEX(Curves!$AN$8:$AN$68,R$4-$B20+1)</f>
        <v/>
      </c>
      <c r="S20" s="75">
        <f>$C20*INDEX(Curves!$AN$8:$AN$68,S$4-$B20+1)</f>
        <v/>
      </c>
      <c r="T20" s="75">
        <f>$C20*INDEX(Curves!$AN$8:$AN$68,T$4-$B20+1)</f>
        <v/>
      </c>
      <c r="U20" s="75">
        <f>$C20*INDEX(Curves!$AN$8:$AN$68,U$4-$B20+1)</f>
        <v/>
      </c>
      <c r="V20" s="75">
        <f>$C20*INDEX(Curves!$AN$8:$AN$68,V$4-$B20+1)</f>
        <v/>
      </c>
      <c r="W20" s="75">
        <f>$C20*INDEX(Curves!$AN$8:$AN$68,W$4-$B20+1)</f>
        <v/>
      </c>
      <c r="X20" s="75">
        <f>$C20*INDEX(Curves!$AN$8:$AN$68,X$4-$B20+1)</f>
        <v/>
      </c>
      <c r="Y20" s="75">
        <f>$C20*INDEX(Curves!$AN$8:$AN$68,Y$4-$B20+1)</f>
        <v/>
      </c>
      <c r="Z20" s="75">
        <f>$C20*INDEX(Curves!$AN$8:$AN$68,Z$4-$B20+1)</f>
        <v/>
      </c>
      <c r="AA20" s="75">
        <f>$C20*INDEX(Curves!$AN$8:$AN$68,AA$4-$B20+1)</f>
        <v/>
      </c>
      <c r="AB20" s="75">
        <f>$C20*INDEX(Curves!$AN$8:$AN$68,AB$4-$B20+1)</f>
        <v/>
      </c>
      <c r="AC20" s="75">
        <f>$C20*INDEX(Curves!$AN$8:$AN$68,AC$4-$B20+1)</f>
        <v/>
      </c>
      <c r="AD20" s="75">
        <f>$C20*INDEX(Curves!$AN$8:$AN$68,AD$4-$B20+1)</f>
        <v/>
      </c>
      <c r="AE20" s="75">
        <f>$C20*INDEX(Curves!$AN$8:$AN$68,AE$4-$B20+1)</f>
        <v/>
      </c>
      <c r="AF20" s="75">
        <f>$C20*INDEX(Curves!$AN$8:$AN$68,AF$4-$B20+1)</f>
        <v/>
      </c>
      <c r="AG20" s="75">
        <f>$C20*INDEX(Curves!$AN$8:$AN$68,AG$4-$B20+1)</f>
        <v/>
      </c>
      <c r="AH20" s="75">
        <f>$C20*INDEX(Curves!$AN$8:$AN$68,AH$4-$B20+1)</f>
        <v/>
      </c>
      <c r="AI20" s="75">
        <f>$C20*INDEX(Curves!$AN$8:$AN$68,AI$4-$B20+1)</f>
        <v/>
      </c>
      <c r="AJ20" s="75">
        <f>$C20*INDEX(Curves!$AN$8:$AN$68,AJ$4-$B20+1)</f>
        <v/>
      </c>
      <c r="AK20" s="75">
        <f>$C20*INDEX(Curves!$AN$8:$AN$68,AK$4-$B20+1)</f>
        <v/>
      </c>
      <c r="AL20" s="75">
        <f>$C20*INDEX(Curves!$AN$8:$AN$68,AL$4-$B20+1)</f>
        <v/>
      </c>
      <c r="AM20" s="75">
        <f>$C20*INDEX(Curves!$AN$8:$AN$68,AM$4-$B20+1)</f>
        <v/>
      </c>
      <c r="AN20" s="75">
        <f>$C20*INDEX(Curves!$AN$8:$AN$68,AN$4-$B20+1)</f>
        <v/>
      </c>
      <c r="AO20" s="75">
        <f>$C20*INDEX(Curves!$AN$8:$AN$68,AO$4-$B20+1)</f>
        <v/>
      </c>
      <c r="AP20" s="75">
        <f>$C20*INDEX(Curves!$AN$8:$AN$68,AP$4-$B20+1)</f>
        <v/>
      </c>
      <c r="AQ20" s="75">
        <f>$C20*INDEX(Curves!$AN$8:$AN$68,AQ$4-$B20+1)</f>
        <v/>
      </c>
      <c r="AR20" s="75">
        <f>$C20*INDEX(Curves!$AN$8:$AN$68,AR$4-$B20+1)</f>
        <v/>
      </c>
      <c r="AS20" s="75">
        <f>$C20*INDEX(Curves!$AN$8:$AN$68,AS$4-$B20+1)</f>
        <v/>
      </c>
      <c r="AT20" s="75">
        <f>$C20*INDEX(Curves!$AN$8:$AN$68,AT$4-$B20+1)</f>
        <v/>
      </c>
      <c r="AU20" s="75">
        <f>$C20*INDEX(Curves!$AN$8:$AN$68,AU$4-$B20+1)</f>
        <v/>
      </c>
      <c r="AV20" s="75">
        <f>$C20*INDEX(Curves!$AN$8:$AN$68,AV$4-$B20+1)</f>
        <v/>
      </c>
      <c r="AW20" s="75">
        <f>$C20*INDEX(Curves!$AN$8:$AN$68,AW$4-$B20+1)</f>
        <v/>
      </c>
      <c r="AX20" s="75">
        <f>$C20*INDEX(Curves!$AN$8:$AN$68,AX$4-$B20+1)</f>
        <v/>
      </c>
      <c r="AY20" s="75">
        <f>$C20*INDEX(Curves!$AN$8:$AN$68,AY$4-$B20+1)</f>
        <v/>
      </c>
      <c r="AZ20" s="75">
        <f>$C20*INDEX(Curves!$AN$8:$AN$68,AZ$4-$B20+1)</f>
        <v/>
      </c>
      <c r="BA20" s="75">
        <f>$C20*INDEX(Curves!$AN$8:$AN$68,BA$4-$B20+1)</f>
        <v/>
      </c>
      <c r="BB20" s="75">
        <f>$C20*INDEX(Curves!$AN$8:$AN$68,BB$4-$B20+1)</f>
        <v/>
      </c>
      <c r="BC20" s="75">
        <f>$C20*INDEX(Curves!$AN$8:$AN$68,BC$4-$B20+1)</f>
        <v/>
      </c>
      <c r="BD20" s="75">
        <f>$C20*INDEX(Curves!$AN$8:$AN$68,BD$4-$B20+1)</f>
        <v/>
      </c>
      <c r="BE20" s="75">
        <f>$C20*INDEX(Curves!$AN$8:$AN$68,BE$4-$B20+1)</f>
        <v/>
      </c>
      <c r="BF20" s="75">
        <f>$C20*INDEX(Curves!$AN$8:$AN$68,BF$4-$B20+1)</f>
        <v/>
      </c>
      <c r="BG20" s="75">
        <f>$C20*INDEX(Curves!$AN$8:$AN$68,BG$4-$B20+1)</f>
        <v/>
      </c>
      <c r="BH20" s="75">
        <f>$C20*INDEX(Curves!$AN$8:$AN$68,BH$4-$B20+1)</f>
        <v/>
      </c>
      <c r="BI20" s="75">
        <f>$C20*INDEX(Curves!$AN$8:$AN$68,BI$4-$B20+1)</f>
        <v/>
      </c>
      <c r="BJ20" s="75">
        <f>$C20*INDEX(Curves!$AN$8:$AN$68,BJ$4-$B20+1)</f>
        <v/>
      </c>
      <c r="BK20" s="75">
        <f>$C20*INDEX(Curves!$AN$8:$AN$68,BK$4-$B20+1)</f>
        <v/>
      </c>
      <c r="BL20" s="75">
        <f>$C20*INDEX(Curves!$AN$8:$AN$68,BL$4-$B20+1)</f>
        <v/>
      </c>
    </row>
    <row r="21">
      <c r="A21" s="74" t="inlineStr">
        <is>
          <t>Cohort month 12</t>
        </is>
      </c>
      <c r="B21" s="74" t="n">
        <v>12</v>
      </c>
      <c r="C21" s="17">
        <f>INDEX(Ops!$E$85:$BL$85,1,$B21)</f>
        <v/>
      </c>
      <c r="Q21" s="75">
        <f>$C21*INDEX(Curves!$AN$8:$AN$68,Q$4-$B21+1)</f>
        <v/>
      </c>
      <c r="R21" s="75">
        <f>$C21*INDEX(Curves!$AN$8:$AN$68,R$4-$B21+1)</f>
        <v/>
      </c>
      <c r="S21" s="75">
        <f>$C21*INDEX(Curves!$AN$8:$AN$68,S$4-$B21+1)</f>
        <v/>
      </c>
      <c r="T21" s="75">
        <f>$C21*INDEX(Curves!$AN$8:$AN$68,T$4-$B21+1)</f>
        <v/>
      </c>
      <c r="U21" s="75">
        <f>$C21*INDEX(Curves!$AN$8:$AN$68,U$4-$B21+1)</f>
        <v/>
      </c>
      <c r="V21" s="75">
        <f>$C21*INDEX(Curves!$AN$8:$AN$68,V$4-$B21+1)</f>
        <v/>
      </c>
      <c r="W21" s="75">
        <f>$C21*INDEX(Curves!$AN$8:$AN$68,W$4-$B21+1)</f>
        <v/>
      </c>
      <c r="X21" s="75">
        <f>$C21*INDEX(Curves!$AN$8:$AN$68,X$4-$B21+1)</f>
        <v/>
      </c>
      <c r="Y21" s="75">
        <f>$C21*INDEX(Curves!$AN$8:$AN$68,Y$4-$B21+1)</f>
        <v/>
      </c>
      <c r="Z21" s="75">
        <f>$C21*INDEX(Curves!$AN$8:$AN$68,Z$4-$B21+1)</f>
        <v/>
      </c>
      <c r="AA21" s="75">
        <f>$C21*INDEX(Curves!$AN$8:$AN$68,AA$4-$B21+1)</f>
        <v/>
      </c>
      <c r="AB21" s="75">
        <f>$C21*INDEX(Curves!$AN$8:$AN$68,AB$4-$B21+1)</f>
        <v/>
      </c>
      <c r="AC21" s="75">
        <f>$C21*INDEX(Curves!$AN$8:$AN$68,AC$4-$B21+1)</f>
        <v/>
      </c>
      <c r="AD21" s="75">
        <f>$C21*INDEX(Curves!$AN$8:$AN$68,AD$4-$B21+1)</f>
        <v/>
      </c>
      <c r="AE21" s="75">
        <f>$C21*INDEX(Curves!$AN$8:$AN$68,AE$4-$B21+1)</f>
        <v/>
      </c>
      <c r="AF21" s="75">
        <f>$C21*INDEX(Curves!$AN$8:$AN$68,AF$4-$B21+1)</f>
        <v/>
      </c>
      <c r="AG21" s="75">
        <f>$C21*INDEX(Curves!$AN$8:$AN$68,AG$4-$B21+1)</f>
        <v/>
      </c>
      <c r="AH21" s="75">
        <f>$C21*INDEX(Curves!$AN$8:$AN$68,AH$4-$B21+1)</f>
        <v/>
      </c>
      <c r="AI21" s="75">
        <f>$C21*INDEX(Curves!$AN$8:$AN$68,AI$4-$B21+1)</f>
        <v/>
      </c>
      <c r="AJ21" s="75">
        <f>$C21*INDEX(Curves!$AN$8:$AN$68,AJ$4-$B21+1)</f>
        <v/>
      </c>
      <c r="AK21" s="75">
        <f>$C21*INDEX(Curves!$AN$8:$AN$68,AK$4-$B21+1)</f>
        <v/>
      </c>
      <c r="AL21" s="75">
        <f>$C21*INDEX(Curves!$AN$8:$AN$68,AL$4-$B21+1)</f>
        <v/>
      </c>
      <c r="AM21" s="75">
        <f>$C21*INDEX(Curves!$AN$8:$AN$68,AM$4-$B21+1)</f>
        <v/>
      </c>
      <c r="AN21" s="75">
        <f>$C21*INDEX(Curves!$AN$8:$AN$68,AN$4-$B21+1)</f>
        <v/>
      </c>
      <c r="AO21" s="75">
        <f>$C21*INDEX(Curves!$AN$8:$AN$68,AO$4-$B21+1)</f>
        <v/>
      </c>
      <c r="AP21" s="75">
        <f>$C21*INDEX(Curves!$AN$8:$AN$68,AP$4-$B21+1)</f>
        <v/>
      </c>
      <c r="AQ21" s="75">
        <f>$C21*INDEX(Curves!$AN$8:$AN$68,AQ$4-$B21+1)</f>
        <v/>
      </c>
      <c r="AR21" s="75">
        <f>$C21*INDEX(Curves!$AN$8:$AN$68,AR$4-$B21+1)</f>
        <v/>
      </c>
      <c r="AS21" s="75">
        <f>$C21*INDEX(Curves!$AN$8:$AN$68,AS$4-$B21+1)</f>
        <v/>
      </c>
      <c r="AT21" s="75">
        <f>$C21*INDEX(Curves!$AN$8:$AN$68,AT$4-$B21+1)</f>
        <v/>
      </c>
      <c r="AU21" s="75">
        <f>$C21*INDEX(Curves!$AN$8:$AN$68,AU$4-$B21+1)</f>
        <v/>
      </c>
      <c r="AV21" s="75">
        <f>$C21*INDEX(Curves!$AN$8:$AN$68,AV$4-$B21+1)</f>
        <v/>
      </c>
      <c r="AW21" s="75">
        <f>$C21*INDEX(Curves!$AN$8:$AN$68,AW$4-$B21+1)</f>
        <v/>
      </c>
      <c r="AX21" s="75">
        <f>$C21*INDEX(Curves!$AN$8:$AN$68,AX$4-$B21+1)</f>
        <v/>
      </c>
      <c r="AY21" s="75">
        <f>$C21*INDEX(Curves!$AN$8:$AN$68,AY$4-$B21+1)</f>
        <v/>
      </c>
      <c r="AZ21" s="75">
        <f>$C21*INDEX(Curves!$AN$8:$AN$68,AZ$4-$B21+1)</f>
        <v/>
      </c>
      <c r="BA21" s="75">
        <f>$C21*INDEX(Curves!$AN$8:$AN$68,BA$4-$B21+1)</f>
        <v/>
      </c>
      <c r="BB21" s="75">
        <f>$C21*INDEX(Curves!$AN$8:$AN$68,BB$4-$B21+1)</f>
        <v/>
      </c>
      <c r="BC21" s="75">
        <f>$C21*INDEX(Curves!$AN$8:$AN$68,BC$4-$B21+1)</f>
        <v/>
      </c>
      <c r="BD21" s="75">
        <f>$C21*INDEX(Curves!$AN$8:$AN$68,BD$4-$B21+1)</f>
        <v/>
      </c>
      <c r="BE21" s="75">
        <f>$C21*INDEX(Curves!$AN$8:$AN$68,BE$4-$B21+1)</f>
        <v/>
      </c>
      <c r="BF21" s="75">
        <f>$C21*INDEX(Curves!$AN$8:$AN$68,BF$4-$B21+1)</f>
        <v/>
      </c>
      <c r="BG21" s="75">
        <f>$C21*INDEX(Curves!$AN$8:$AN$68,BG$4-$B21+1)</f>
        <v/>
      </c>
      <c r="BH21" s="75">
        <f>$C21*INDEX(Curves!$AN$8:$AN$68,BH$4-$B21+1)</f>
        <v/>
      </c>
      <c r="BI21" s="75">
        <f>$C21*INDEX(Curves!$AN$8:$AN$68,BI$4-$B21+1)</f>
        <v/>
      </c>
      <c r="BJ21" s="75">
        <f>$C21*INDEX(Curves!$AN$8:$AN$68,BJ$4-$B21+1)</f>
        <v/>
      </c>
      <c r="BK21" s="75">
        <f>$C21*INDEX(Curves!$AN$8:$AN$68,BK$4-$B21+1)</f>
        <v/>
      </c>
      <c r="BL21" s="75">
        <f>$C21*INDEX(Curves!$AN$8:$AN$68,BL$4-$B21+1)</f>
        <v/>
      </c>
    </row>
    <row r="22">
      <c r="A22" s="74" t="inlineStr">
        <is>
          <t>Cohort month 13</t>
        </is>
      </c>
      <c r="B22" s="74" t="n">
        <v>13</v>
      </c>
      <c r="C22" s="17">
        <f>INDEX(Ops!$E$85:$BL$85,1,$B22)</f>
        <v/>
      </c>
      <c r="R22" s="75">
        <f>$C22*INDEX(Curves!$AN$8:$AN$68,R$4-$B22+1)</f>
        <v/>
      </c>
      <c r="S22" s="75">
        <f>$C22*INDEX(Curves!$AN$8:$AN$68,S$4-$B22+1)</f>
        <v/>
      </c>
      <c r="T22" s="75">
        <f>$C22*INDEX(Curves!$AN$8:$AN$68,T$4-$B22+1)</f>
        <v/>
      </c>
      <c r="U22" s="75">
        <f>$C22*INDEX(Curves!$AN$8:$AN$68,U$4-$B22+1)</f>
        <v/>
      </c>
      <c r="V22" s="75">
        <f>$C22*INDEX(Curves!$AN$8:$AN$68,V$4-$B22+1)</f>
        <v/>
      </c>
      <c r="W22" s="75">
        <f>$C22*INDEX(Curves!$AN$8:$AN$68,W$4-$B22+1)</f>
        <v/>
      </c>
      <c r="X22" s="75">
        <f>$C22*INDEX(Curves!$AN$8:$AN$68,X$4-$B22+1)</f>
        <v/>
      </c>
      <c r="Y22" s="75">
        <f>$C22*INDEX(Curves!$AN$8:$AN$68,Y$4-$B22+1)</f>
        <v/>
      </c>
      <c r="Z22" s="75">
        <f>$C22*INDEX(Curves!$AN$8:$AN$68,Z$4-$B22+1)</f>
        <v/>
      </c>
      <c r="AA22" s="75">
        <f>$C22*INDEX(Curves!$AN$8:$AN$68,AA$4-$B22+1)</f>
        <v/>
      </c>
      <c r="AB22" s="75">
        <f>$C22*INDEX(Curves!$AN$8:$AN$68,AB$4-$B22+1)</f>
        <v/>
      </c>
      <c r="AC22" s="75">
        <f>$C22*INDEX(Curves!$AN$8:$AN$68,AC$4-$B22+1)</f>
        <v/>
      </c>
      <c r="AD22" s="75">
        <f>$C22*INDEX(Curves!$AN$8:$AN$68,AD$4-$B22+1)</f>
        <v/>
      </c>
      <c r="AE22" s="75">
        <f>$C22*INDEX(Curves!$AN$8:$AN$68,AE$4-$B22+1)</f>
        <v/>
      </c>
      <c r="AF22" s="75">
        <f>$C22*INDEX(Curves!$AN$8:$AN$68,AF$4-$B22+1)</f>
        <v/>
      </c>
      <c r="AG22" s="75">
        <f>$C22*INDEX(Curves!$AN$8:$AN$68,AG$4-$B22+1)</f>
        <v/>
      </c>
      <c r="AH22" s="75">
        <f>$C22*INDEX(Curves!$AN$8:$AN$68,AH$4-$B22+1)</f>
        <v/>
      </c>
      <c r="AI22" s="75">
        <f>$C22*INDEX(Curves!$AN$8:$AN$68,AI$4-$B22+1)</f>
        <v/>
      </c>
      <c r="AJ22" s="75">
        <f>$C22*INDEX(Curves!$AN$8:$AN$68,AJ$4-$B22+1)</f>
        <v/>
      </c>
      <c r="AK22" s="75">
        <f>$C22*INDEX(Curves!$AN$8:$AN$68,AK$4-$B22+1)</f>
        <v/>
      </c>
      <c r="AL22" s="75">
        <f>$C22*INDEX(Curves!$AN$8:$AN$68,AL$4-$B22+1)</f>
        <v/>
      </c>
      <c r="AM22" s="75">
        <f>$C22*INDEX(Curves!$AN$8:$AN$68,AM$4-$B22+1)</f>
        <v/>
      </c>
      <c r="AN22" s="75">
        <f>$C22*INDEX(Curves!$AN$8:$AN$68,AN$4-$B22+1)</f>
        <v/>
      </c>
      <c r="AO22" s="75">
        <f>$C22*INDEX(Curves!$AN$8:$AN$68,AO$4-$B22+1)</f>
        <v/>
      </c>
      <c r="AP22" s="75">
        <f>$C22*INDEX(Curves!$AN$8:$AN$68,AP$4-$B22+1)</f>
        <v/>
      </c>
      <c r="AQ22" s="75">
        <f>$C22*INDEX(Curves!$AN$8:$AN$68,AQ$4-$B22+1)</f>
        <v/>
      </c>
      <c r="AR22" s="75">
        <f>$C22*INDEX(Curves!$AN$8:$AN$68,AR$4-$B22+1)</f>
        <v/>
      </c>
      <c r="AS22" s="75">
        <f>$C22*INDEX(Curves!$AN$8:$AN$68,AS$4-$B22+1)</f>
        <v/>
      </c>
      <c r="AT22" s="75">
        <f>$C22*INDEX(Curves!$AN$8:$AN$68,AT$4-$B22+1)</f>
        <v/>
      </c>
      <c r="AU22" s="75">
        <f>$C22*INDEX(Curves!$AN$8:$AN$68,AU$4-$B22+1)</f>
        <v/>
      </c>
      <c r="AV22" s="75">
        <f>$C22*INDEX(Curves!$AN$8:$AN$68,AV$4-$B22+1)</f>
        <v/>
      </c>
      <c r="AW22" s="75">
        <f>$C22*INDEX(Curves!$AN$8:$AN$68,AW$4-$B22+1)</f>
        <v/>
      </c>
      <c r="AX22" s="75">
        <f>$C22*INDEX(Curves!$AN$8:$AN$68,AX$4-$B22+1)</f>
        <v/>
      </c>
      <c r="AY22" s="75">
        <f>$C22*INDEX(Curves!$AN$8:$AN$68,AY$4-$B22+1)</f>
        <v/>
      </c>
      <c r="AZ22" s="75">
        <f>$C22*INDEX(Curves!$AN$8:$AN$68,AZ$4-$B22+1)</f>
        <v/>
      </c>
      <c r="BA22" s="75">
        <f>$C22*INDEX(Curves!$AN$8:$AN$68,BA$4-$B22+1)</f>
        <v/>
      </c>
      <c r="BB22" s="75">
        <f>$C22*INDEX(Curves!$AN$8:$AN$68,BB$4-$B22+1)</f>
        <v/>
      </c>
      <c r="BC22" s="75">
        <f>$C22*INDEX(Curves!$AN$8:$AN$68,BC$4-$B22+1)</f>
        <v/>
      </c>
      <c r="BD22" s="75">
        <f>$C22*INDEX(Curves!$AN$8:$AN$68,BD$4-$B22+1)</f>
        <v/>
      </c>
      <c r="BE22" s="75">
        <f>$C22*INDEX(Curves!$AN$8:$AN$68,BE$4-$B22+1)</f>
        <v/>
      </c>
      <c r="BF22" s="75">
        <f>$C22*INDEX(Curves!$AN$8:$AN$68,BF$4-$B22+1)</f>
        <v/>
      </c>
      <c r="BG22" s="75">
        <f>$C22*INDEX(Curves!$AN$8:$AN$68,BG$4-$B22+1)</f>
        <v/>
      </c>
      <c r="BH22" s="75">
        <f>$C22*INDEX(Curves!$AN$8:$AN$68,BH$4-$B22+1)</f>
        <v/>
      </c>
      <c r="BI22" s="75">
        <f>$C22*INDEX(Curves!$AN$8:$AN$68,BI$4-$B22+1)</f>
        <v/>
      </c>
      <c r="BJ22" s="75">
        <f>$C22*INDEX(Curves!$AN$8:$AN$68,BJ$4-$B22+1)</f>
        <v/>
      </c>
      <c r="BK22" s="75">
        <f>$C22*INDEX(Curves!$AN$8:$AN$68,BK$4-$B22+1)</f>
        <v/>
      </c>
      <c r="BL22" s="75">
        <f>$C22*INDEX(Curves!$AN$8:$AN$68,BL$4-$B22+1)</f>
        <v/>
      </c>
    </row>
    <row r="23">
      <c r="A23" s="74" t="inlineStr">
        <is>
          <t>Cohort month 14</t>
        </is>
      </c>
      <c r="B23" s="74" t="n">
        <v>14</v>
      </c>
      <c r="C23" s="17">
        <f>INDEX(Ops!$E$85:$BL$85,1,$B23)</f>
        <v/>
      </c>
      <c r="S23" s="75">
        <f>$C23*INDEX(Curves!$AN$8:$AN$68,S$4-$B23+1)</f>
        <v/>
      </c>
      <c r="T23" s="75">
        <f>$C23*INDEX(Curves!$AN$8:$AN$68,T$4-$B23+1)</f>
        <v/>
      </c>
      <c r="U23" s="75">
        <f>$C23*INDEX(Curves!$AN$8:$AN$68,U$4-$B23+1)</f>
        <v/>
      </c>
      <c r="V23" s="75">
        <f>$C23*INDEX(Curves!$AN$8:$AN$68,V$4-$B23+1)</f>
        <v/>
      </c>
      <c r="W23" s="75">
        <f>$C23*INDEX(Curves!$AN$8:$AN$68,W$4-$B23+1)</f>
        <v/>
      </c>
      <c r="X23" s="75">
        <f>$C23*INDEX(Curves!$AN$8:$AN$68,X$4-$B23+1)</f>
        <v/>
      </c>
      <c r="Y23" s="75">
        <f>$C23*INDEX(Curves!$AN$8:$AN$68,Y$4-$B23+1)</f>
        <v/>
      </c>
      <c r="Z23" s="75">
        <f>$C23*INDEX(Curves!$AN$8:$AN$68,Z$4-$B23+1)</f>
        <v/>
      </c>
      <c r="AA23" s="75">
        <f>$C23*INDEX(Curves!$AN$8:$AN$68,AA$4-$B23+1)</f>
        <v/>
      </c>
      <c r="AB23" s="75">
        <f>$C23*INDEX(Curves!$AN$8:$AN$68,AB$4-$B23+1)</f>
        <v/>
      </c>
      <c r="AC23" s="75">
        <f>$C23*INDEX(Curves!$AN$8:$AN$68,AC$4-$B23+1)</f>
        <v/>
      </c>
      <c r="AD23" s="75">
        <f>$C23*INDEX(Curves!$AN$8:$AN$68,AD$4-$B23+1)</f>
        <v/>
      </c>
      <c r="AE23" s="75">
        <f>$C23*INDEX(Curves!$AN$8:$AN$68,AE$4-$B23+1)</f>
        <v/>
      </c>
      <c r="AF23" s="75">
        <f>$C23*INDEX(Curves!$AN$8:$AN$68,AF$4-$B23+1)</f>
        <v/>
      </c>
      <c r="AG23" s="75">
        <f>$C23*INDEX(Curves!$AN$8:$AN$68,AG$4-$B23+1)</f>
        <v/>
      </c>
      <c r="AH23" s="75">
        <f>$C23*INDEX(Curves!$AN$8:$AN$68,AH$4-$B23+1)</f>
        <v/>
      </c>
      <c r="AI23" s="75">
        <f>$C23*INDEX(Curves!$AN$8:$AN$68,AI$4-$B23+1)</f>
        <v/>
      </c>
      <c r="AJ23" s="75">
        <f>$C23*INDEX(Curves!$AN$8:$AN$68,AJ$4-$B23+1)</f>
        <v/>
      </c>
      <c r="AK23" s="75">
        <f>$C23*INDEX(Curves!$AN$8:$AN$68,AK$4-$B23+1)</f>
        <v/>
      </c>
      <c r="AL23" s="75">
        <f>$C23*INDEX(Curves!$AN$8:$AN$68,AL$4-$B23+1)</f>
        <v/>
      </c>
      <c r="AM23" s="75">
        <f>$C23*INDEX(Curves!$AN$8:$AN$68,AM$4-$B23+1)</f>
        <v/>
      </c>
      <c r="AN23" s="75">
        <f>$C23*INDEX(Curves!$AN$8:$AN$68,AN$4-$B23+1)</f>
        <v/>
      </c>
      <c r="AO23" s="75">
        <f>$C23*INDEX(Curves!$AN$8:$AN$68,AO$4-$B23+1)</f>
        <v/>
      </c>
      <c r="AP23" s="75">
        <f>$C23*INDEX(Curves!$AN$8:$AN$68,AP$4-$B23+1)</f>
        <v/>
      </c>
      <c r="AQ23" s="75">
        <f>$C23*INDEX(Curves!$AN$8:$AN$68,AQ$4-$B23+1)</f>
        <v/>
      </c>
      <c r="AR23" s="75">
        <f>$C23*INDEX(Curves!$AN$8:$AN$68,AR$4-$B23+1)</f>
        <v/>
      </c>
      <c r="AS23" s="75">
        <f>$C23*INDEX(Curves!$AN$8:$AN$68,AS$4-$B23+1)</f>
        <v/>
      </c>
      <c r="AT23" s="75">
        <f>$C23*INDEX(Curves!$AN$8:$AN$68,AT$4-$B23+1)</f>
        <v/>
      </c>
      <c r="AU23" s="75">
        <f>$C23*INDEX(Curves!$AN$8:$AN$68,AU$4-$B23+1)</f>
        <v/>
      </c>
      <c r="AV23" s="75">
        <f>$C23*INDEX(Curves!$AN$8:$AN$68,AV$4-$B23+1)</f>
        <v/>
      </c>
      <c r="AW23" s="75">
        <f>$C23*INDEX(Curves!$AN$8:$AN$68,AW$4-$B23+1)</f>
        <v/>
      </c>
      <c r="AX23" s="75">
        <f>$C23*INDEX(Curves!$AN$8:$AN$68,AX$4-$B23+1)</f>
        <v/>
      </c>
      <c r="AY23" s="75">
        <f>$C23*INDEX(Curves!$AN$8:$AN$68,AY$4-$B23+1)</f>
        <v/>
      </c>
      <c r="AZ23" s="75">
        <f>$C23*INDEX(Curves!$AN$8:$AN$68,AZ$4-$B23+1)</f>
        <v/>
      </c>
      <c r="BA23" s="75">
        <f>$C23*INDEX(Curves!$AN$8:$AN$68,BA$4-$B23+1)</f>
        <v/>
      </c>
      <c r="BB23" s="75">
        <f>$C23*INDEX(Curves!$AN$8:$AN$68,BB$4-$B23+1)</f>
        <v/>
      </c>
      <c r="BC23" s="75">
        <f>$C23*INDEX(Curves!$AN$8:$AN$68,BC$4-$B23+1)</f>
        <v/>
      </c>
      <c r="BD23" s="75">
        <f>$C23*INDEX(Curves!$AN$8:$AN$68,BD$4-$B23+1)</f>
        <v/>
      </c>
      <c r="BE23" s="75">
        <f>$C23*INDEX(Curves!$AN$8:$AN$68,BE$4-$B23+1)</f>
        <v/>
      </c>
      <c r="BF23" s="75">
        <f>$C23*INDEX(Curves!$AN$8:$AN$68,BF$4-$B23+1)</f>
        <v/>
      </c>
      <c r="BG23" s="75">
        <f>$C23*INDEX(Curves!$AN$8:$AN$68,BG$4-$B23+1)</f>
        <v/>
      </c>
      <c r="BH23" s="75">
        <f>$C23*INDEX(Curves!$AN$8:$AN$68,BH$4-$B23+1)</f>
        <v/>
      </c>
      <c r="BI23" s="75">
        <f>$C23*INDEX(Curves!$AN$8:$AN$68,BI$4-$B23+1)</f>
        <v/>
      </c>
      <c r="BJ23" s="75">
        <f>$C23*INDEX(Curves!$AN$8:$AN$68,BJ$4-$B23+1)</f>
        <v/>
      </c>
      <c r="BK23" s="75">
        <f>$C23*INDEX(Curves!$AN$8:$AN$68,BK$4-$B23+1)</f>
        <v/>
      </c>
      <c r="BL23" s="75">
        <f>$C23*INDEX(Curves!$AN$8:$AN$68,BL$4-$B23+1)</f>
        <v/>
      </c>
    </row>
    <row r="24">
      <c r="A24" s="74" t="inlineStr">
        <is>
          <t>Cohort month 15</t>
        </is>
      </c>
      <c r="B24" s="74" t="n">
        <v>15</v>
      </c>
      <c r="C24" s="17">
        <f>INDEX(Ops!$E$85:$BL$85,1,$B24)</f>
        <v/>
      </c>
      <c r="T24" s="75">
        <f>$C24*INDEX(Curves!$AN$8:$AN$68,T$4-$B24+1)</f>
        <v/>
      </c>
      <c r="U24" s="75">
        <f>$C24*INDEX(Curves!$AN$8:$AN$68,U$4-$B24+1)</f>
        <v/>
      </c>
      <c r="V24" s="75">
        <f>$C24*INDEX(Curves!$AN$8:$AN$68,V$4-$B24+1)</f>
        <v/>
      </c>
      <c r="W24" s="75">
        <f>$C24*INDEX(Curves!$AN$8:$AN$68,W$4-$B24+1)</f>
        <v/>
      </c>
      <c r="X24" s="75">
        <f>$C24*INDEX(Curves!$AN$8:$AN$68,X$4-$B24+1)</f>
        <v/>
      </c>
      <c r="Y24" s="75">
        <f>$C24*INDEX(Curves!$AN$8:$AN$68,Y$4-$B24+1)</f>
        <v/>
      </c>
      <c r="Z24" s="75">
        <f>$C24*INDEX(Curves!$AN$8:$AN$68,Z$4-$B24+1)</f>
        <v/>
      </c>
      <c r="AA24" s="75">
        <f>$C24*INDEX(Curves!$AN$8:$AN$68,AA$4-$B24+1)</f>
        <v/>
      </c>
      <c r="AB24" s="75">
        <f>$C24*INDEX(Curves!$AN$8:$AN$68,AB$4-$B24+1)</f>
        <v/>
      </c>
      <c r="AC24" s="75">
        <f>$C24*INDEX(Curves!$AN$8:$AN$68,AC$4-$B24+1)</f>
        <v/>
      </c>
      <c r="AD24" s="75">
        <f>$C24*INDEX(Curves!$AN$8:$AN$68,AD$4-$B24+1)</f>
        <v/>
      </c>
      <c r="AE24" s="75">
        <f>$C24*INDEX(Curves!$AN$8:$AN$68,AE$4-$B24+1)</f>
        <v/>
      </c>
      <c r="AF24" s="75">
        <f>$C24*INDEX(Curves!$AN$8:$AN$68,AF$4-$B24+1)</f>
        <v/>
      </c>
      <c r="AG24" s="75">
        <f>$C24*INDEX(Curves!$AN$8:$AN$68,AG$4-$B24+1)</f>
        <v/>
      </c>
      <c r="AH24" s="75">
        <f>$C24*INDEX(Curves!$AN$8:$AN$68,AH$4-$B24+1)</f>
        <v/>
      </c>
      <c r="AI24" s="75">
        <f>$C24*INDEX(Curves!$AN$8:$AN$68,AI$4-$B24+1)</f>
        <v/>
      </c>
      <c r="AJ24" s="75">
        <f>$C24*INDEX(Curves!$AN$8:$AN$68,AJ$4-$B24+1)</f>
        <v/>
      </c>
      <c r="AK24" s="75">
        <f>$C24*INDEX(Curves!$AN$8:$AN$68,AK$4-$B24+1)</f>
        <v/>
      </c>
      <c r="AL24" s="75">
        <f>$C24*INDEX(Curves!$AN$8:$AN$68,AL$4-$B24+1)</f>
        <v/>
      </c>
      <c r="AM24" s="75">
        <f>$C24*INDEX(Curves!$AN$8:$AN$68,AM$4-$B24+1)</f>
        <v/>
      </c>
      <c r="AN24" s="75">
        <f>$C24*INDEX(Curves!$AN$8:$AN$68,AN$4-$B24+1)</f>
        <v/>
      </c>
      <c r="AO24" s="75">
        <f>$C24*INDEX(Curves!$AN$8:$AN$68,AO$4-$B24+1)</f>
        <v/>
      </c>
      <c r="AP24" s="75">
        <f>$C24*INDEX(Curves!$AN$8:$AN$68,AP$4-$B24+1)</f>
        <v/>
      </c>
      <c r="AQ24" s="75">
        <f>$C24*INDEX(Curves!$AN$8:$AN$68,AQ$4-$B24+1)</f>
        <v/>
      </c>
      <c r="AR24" s="75">
        <f>$C24*INDEX(Curves!$AN$8:$AN$68,AR$4-$B24+1)</f>
        <v/>
      </c>
      <c r="AS24" s="75">
        <f>$C24*INDEX(Curves!$AN$8:$AN$68,AS$4-$B24+1)</f>
        <v/>
      </c>
      <c r="AT24" s="75">
        <f>$C24*INDEX(Curves!$AN$8:$AN$68,AT$4-$B24+1)</f>
        <v/>
      </c>
      <c r="AU24" s="75">
        <f>$C24*INDEX(Curves!$AN$8:$AN$68,AU$4-$B24+1)</f>
        <v/>
      </c>
      <c r="AV24" s="75">
        <f>$C24*INDEX(Curves!$AN$8:$AN$68,AV$4-$B24+1)</f>
        <v/>
      </c>
      <c r="AW24" s="75">
        <f>$C24*INDEX(Curves!$AN$8:$AN$68,AW$4-$B24+1)</f>
        <v/>
      </c>
      <c r="AX24" s="75">
        <f>$C24*INDEX(Curves!$AN$8:$AN$68,AX$4-$B24+1)</f>
        <v/>
      </c>
      <c r="AY24" s="75">
        <f>$C24*INDEX(Curves!$AN$8:$AN$68,AY$4-$B24+1)</f>
        <v/>
      </c>
      <c r="AZ24" s="75">
        <f>$C24*INDEX(Curves!$AN$8:$AN$68,AZ$4-$B24+1)</f>
        <v/>
      </c>
      <c r="BA24" s="75">
        <f>$C24*INDEX(Curves!$AN$8:$AN$68,BA$4-$B24+1)</f>
        <v/>
      </c>
      <c r="BB24" s="75">
        <f>$C24*INDEX(Curves!$AN$8:$AN$68,BB$4-$B24+1)</f>
        <v/>
      </c>
      <c r="BC24" s="75">
        <f>$C24*INDEX(Curves!$AN$8:$AN$68,BC$4-$B24+1)</f>
        <v/>
      </c>
      <c r="BD24" s="75">
        <f>$C24*INDEX(Curves!$AN$8:$AN$68,BD$4-$B24+1)</f>
        <v/>
      </c>
      <c r="BE24" s="75">
        <f>$C24*INDEX(Curves!$AN$8:$AN$68,BE$4-$B24+1)</f>
        <v/>
      </c>
      <c r="BF24" s="75">
        <f>$C24*INDEX(Curves!$AN$8:$AN$68,BF$4-$B24+1)</f>
        <v/>
      </c>
      <c r="BG24" s="75">
        <f>$C24*INDEX(Curves!$AN$8:$AN$68,BG$4-$B24+1)</f>
        <v/>
      </c>
      <c r="BH24" s="75">
        <f>$C24*INDEX(Curves!$AN$8:$AN$68,BH$4-$B24+1)</f>
        <v/>
      </c>
      <c r="BI24" s="75">
        <f>$C24*INDEX(Curves!$AN$8:$AN$68,BI$4-$B24+1)</f>
        <v/>
      </c>
      <c r="BJ24" s="75">
        <f>$C24*INDEX(Curves!$AN$8:$AN$68,BJ$4-$B24+1)</f>
        <v/>
      </c>
      <c r="BK24" s="75">
        <f>$C24*INDEX(Curves!$AN$8:$AN$68,BK$4-$B24+1)</f>
        <v/>
      </c>
      <c r="BL24" s="75">
        <f>$C24*INDEX(Curves!$AN$8:$AN$68,BL$4-$B24+1)</f>
        <v/>
      </c>
    </row>
    <row r="25">
      <c r="A25" s="74" t="inlineStr">
        <is>
          <t>Cohort month 16</t>
        </is>
      </c>
      <c r="B25" s="74" t="n">
        <v>16</v>
      </c>
      <c r="C25" s="17">
        <f>INDEX(Ops!$E$85:$BL$85,1,$B25)</f>
        <v/>
      </c>
      <c r="U25" s="75">
        <f>$C25*INDEX(Curves!$AN$8:$AN$68,U$4-$B25+1)</f>
        <v/>
      </c>
      <c r="V25" s="75">
        <f>$C25*INDEX(Curves!$AN$8:$AN$68,V$4-$B25+1)</f>
        <v/>
      </c>
      <c r="W25" s="75">
        <f>$C25*INDEX(Curves!$AN$8:$AN$68,W$4-$B25+1)</f>
        <v/>
      </c>
      <c r="X25" s="75">
        <f>$C25*INDEX(Curves!$AN$8:$AN$68,X$4-$B25+1)</f>
        <v/>
      </c>
      <c r="Y25" s="75">
        <f>$C25*INDEX(Curves!$AN$8:$AN$68,Y$4-$B25+1)</f>
        <v/>
      </c>
      <c r="Z25" s="75">
        <f>$C25*INDEX(Curves!$AN$8:$AN$68,Z$4-$B25+1)</f>
        <v/>
      </c>
      <c r="AA25" s="75">
        <f>$C25*INDEX(Curves!$AN$8:$AN$68,AA$4-$B25+1)</f>
        <v/>
      </c>
      <c r="AB25" s="75">
        <f>$C25*INDEX(Curves!$AN$8:$AN$68,AB$4-$B25+1)</f>
        <v/>
      </c>
      <c r="AC25" s="75">
        <f>$C25*INDEX(Curves!$AN$8:$AN$68,AC$4-$B25+1)</f>
        <v/>
      </c>
      <c r="AD25" s="75">
        <f>$C25*INDEX(Curves!$AN$8:$AN$68,AD$4-$B25+1)</f>
        <v/>
      </c>
      <c r="AE25" s="75">
        <f>$C25*INDEX(Curves!$AN$8:$AN$68,AE$4-$B25+1)</f>
        <v/>
      </c>
      <c r="AF25" s="75">
        <f>$C25*INDEX(Curves!$AN$8:$AN$68,AF$4-$B25+1)</f>
        <v/>
      </c>
      <c r="AG25" s="75">
        <f>$C25*INDEX(Curves!$AN$8:$AN$68,AG$4-$B25+1)</f>
        <v/>
      </c>
      <c r="AH25" s="75">
        <f>$C25*INDEX(Curves!$AN$8:$AN$68,AH$4-$B25+1)</f>
        <v/>
      </c>
      <c r="AI25" s="75">
        <f>$C25*INDEX(Curves!$AN$8:$AN$68,AI$4-$B25+1)</f>
        <v/>
      </c>
      <c r="AJ25" s="75">
        <f>$C25*INDEX(Curves!$AN$8:$AN$68,AJ$4-$B25+1)</f>
        <v/>
      </c>
      <c r="AK25" s="75">
        <f>$C25*INDEX(Curves!$AN$8:$AN$68,AK$4-$B25+1)</f>
        <v/>
      </c>
      <c r="AL25" s="75">
        <f>$C25*INDEX(Curves!$AN$8:$AN$68,AL$4-$B25+1)</f>
        <v/>
      </c>
      <c r="AM25" s="75">
        <f>$C25*INDEX(Curves!$AN$8:$AN$68,AM$4-$B25+1)</f>
        <v/>
      </c>
      <c r="AN25" s="75">
        <f>$C25*INDEX(Curves!$AN$8:$AN$68,AN$4-$B25+1)</f>
        <v/>
      </c>
      <c r="AO25" s="75">
        <f>$C25*INDEX(Curves!$AN$8:$AN$68,AO$4-$B25+1)</f>
        <v/>
      </c>
      <c r="AP25" s="75">
        <f>$C25*INDEX(Curves!$AN$8:$AN$68,AP$4-$B25+1)</f>
        <v/>
      </c>
      <c r="AQ25" s="75">
        <f>$C25*INDEX(Curves!$AN$8:$AN$68,AQ$4-$B25+1)</f>
        <v/>
      </c>
      <c r="AR25" s="75">
        <f>$C25*INDEX(Curves!$AN$8:$AN$68,AR$4-$B25+1)</f>
        <v/>
      </c>
      <c r="AS25" s="75">
        <f>$C25*INDEX(Curves!$AN$8:$AN$68,AS$4-$B25+1)</f>
        <v/>
      </c>
      <c r="AT25" s="75">
        <f>$C25*INDEX(Curves!$AN$8:$AN$68,AT$4-$B25+1)</f>
        <v/>
      </c>
      <c r="AU25" s="75">
        <f>$C25*INDEX(Curves!$AN$8:$AN$68,AU$4-$B25+1)</f>
        <v/>
      </c>
      <c r="AV25" s="75">
        <f>$C25*INDEX(Curves!$AN$8:$AN$68,AV$4-$B25+1)</f>
        <v/>
      </c>
      <c r="AW25" s="75">
        <f>$C25*INDEX(Curves!$AN$8:$AN$68,AW$4-$B25+1)</f>
        <v/>
      </c>
      <c r="AX25" s="75">
        <f>$C25*INDEX(Curves!$AN$8:$AN$68,AX$4-$B25+1)</f>
        <v/>
      </c>
      <c r="AY25" s="75">
        <f>$C25*INDEX(Curves!$AN$8:$AN$68,AY$4-$B25+1)</f>
        <v/>
      </c>
      <c r="AZ25" s="75">
        <f>$C25*INDEX(Curves!$AN$8:$AN$68,AZ$4-$B25+1)</f>
        <v/>
      </c>
      <c r="BA25" s="75">
        <f>$C25*INDEX(Curves!$AN$8:$AN$68,BA$4-$B25+1)</f>
        <v/>
      </c>
      <c r="BB25" s="75">
        <f>$C25*INDEX(Curves!$AN$8:$AN$68,BB$4-$B25+1)</f>
        <v/>
      </c>
      <c r="BC25" s="75">
        <f>$C25*INDEX(Curves!$AN$8:$AN$68,BC$4-$B25+1)</f>
        <v/>
      </c>
      <c r="BD25" s="75">
        <f>$C25*INDEX(Curves!$AN$8:$AN$68,BD$4-$B25+1)</f>
        <v/>
      </c>
      <c r="BE25" s="75">
        <f>$C25*INDEX(Curves!$AN$8:$AN$68,BE$4-$B25+1)</f>
        <v/>
      </c>
      <c r="BF25" s="75">
        <f>$C25*INDEX(Curves!$AN$8:$AN$68,BF$4-$B25+1)</f>
        <v/>
      </c>
      <c r="BG25" s="75">
        <f>$C25*INDEX(Curves!$AN$8:$AN$68,BG$4-$B25+1)</f>
        <v/>
      </c>
      <c r="BH25" s="75">
        <f>$C25*INDEX(Curves!$AN$8:$AN$68,BH$4-$B25+1)</f>
        <v/>
      </c>
      <c r="BI25" s="75">
        <f>$C25*INDEX(Curves!$AN$8:$AN$68,BI$4-$B25+1)</f>
        <v/>
      </c>
      <c r="BJ25" s="75">
        <f>$C25*INDEX(Curves!$AN$8:$AN$68,BJ$4-$B25+1)</f>
        <v/>
      </c>
      <c r="BK25" s="75">
        <f>$C25*INDEX(Curves!$AN$8:$AN$68,BK$4-$B25+1)</f>
        <v/>
      </c>
      <c r="BL25" s="75">
        <f>$C25*INDEX(Curves!$AN$8:$AN$68,BL$4-$B25+1)</f>
        <v/>
      </c>
    </row>
    <row r="26">
      <c r="A26" s="74" t="inlineStr">
        <is>
          <t>Cohort month 17</t>
        </is>
      </c>
      <c r="B26" s="74" t="n">
        <v>17</v>
      </c>
      <c r="C26" s="17">
        <f>INDEX(Ops!$E$85:$BL$85,1,$B26)</f>
        <v/>
      </c>
      <c r="V26" s="75">
        <f>$C26*INDEX(Curves!$AN$8:$AN$68,V$4-$B26+1)</f>
        <v/>
      </c>
      <c r="W26" s="75">
        <f>$C26*INDEX(Curves!$AN$8:$AN$68,W$4-$B26+1)</f>
        <v/>
      </c>
      <c r="X26" s="75">
        <f>$C26*INDEX(Curves!$AN$8:$AN$68,X$4-$B26+1)</f>
        <v/>
      </c>
      <c r="Y26" s="75">
        <f>$C26*INDEX(Curves!$AN$8:$AN$68,Y$4-$B26+1)</f>
        <v/>
      </c>
      <c r="Z26" s="75">
        <f>$C26*INDEX(Curves!$AN$8:$AN$68,Z$4-$B26+1)</f>
        <v/>
      </c>
      <c r="AA26" s="75">
        <f>$C26*INDEX(Curves!$AN$8:$AN$68,AA$4-$B26+1)</f>
        <v/>
      </c>
      <c r="AB26" s="75">
        <f>$C26*INDEX(Curves!$AN$8:$AN$68,AB$4-$B26+1)</f>
        <v/>
      </c>
      <c r="AC26" s="75">
        <f>$C26*INDEX(Curves!$AN$8:$AN$68,AC$4-$B26+1)</f>
        <v/>
      </c>
      <c r="AD26" s="75">
        <f>$C26*INDEX(Curves!$AN$8:$AN$68,AD$4-$B26+1)</f>
        <v/>
      </c>
      <c r="AE26" s="75">
        <f>$C26*INDEX(Curves!$AN$8:$AN$68,AE$4-$B26+1)</f>
        <v/>
      </c>
      <c r="AF26" s="75">
        <f>$C26*INDEX(Curves!$AN$8:$AN$68,AF$4-$B26+1)</f>
        <v/>
      </c>
      <c r="AG26" s="75">
        <f>$C26*INDEX(Curves!$AN$8:$AN$68,AG$4-$B26+1)</f>
        <v/>
      </c>
      <c r="AH26" s="75">
        <f>$C26*INDEX(Curves!$AN$8:$AN$68,AH$4-$B26+1)</f>
        <v/>
      </c>
      <c r="AI26" s="75">
        <f>$C26*INDEX(Curves!$AN$8:$AN$68,AI$4-$B26+1)</f>
        <v/>
      </c>
      <c r="AJ26" s="75">
        <f>$C26*INDEX(Curves!$AN$8:$AN$68,AJ$4-$B26+1)</f>
        <v/>
      </c>
      <c r="AK26" s="75">
        <f>$C26*INDEX(Curves!$AN$8:$AN$68,AK$4-$B26+1)</f>
        <v/>
      </c>
      <c r="AL26" s="75">
        <f>$C26*INDEX(Curves!$AN$8:$AN$68,AL$4-$B26+1)</f>
        <v/>
      </c>
      <c r="AM26" s="75">
        <f>$C26*INDEX(Curves!$AN$8:$AN$68,AM$4-$B26+1)</f>
        <v/>
      </c>
      <c r="AN26" s="75">
        <f>$C26*INDEX(Curves!$AN$8:$AN$68,AN$4-$B26+1)</f>
        <v/>
      </c>
      <c r="AO26" s="75">
        <f>$C26*INDEX(Curves!$AN$8:$AN$68,AO$4-$B26+1)</f>
        <v/>
      </c>
      <c r="AP26" s="75">
        <f>$C26*INDEX(Curves!$AN$8:$AN$68,AP$4-$B26+1)</f>
        <v/>
      </c>
      <c r="AQ26" s="75">
        <f>$C26*INDEX(Curves!$AN$8:$AN$68,AQ$4-$B26+1)</f>
        <v/>
      </c>
      <c r="AR26" s="75">
        <f>$C26*INDEX(Curves!$AN$8:$AN$68,AR$4-$B26+1)</f>
        <v/>
      </c>
      <c r="AS26" s="75">
        <f>$C26*INDEX(Curves!$AN$8:$AN$68,AS$4-$B26+1)</f>
        <v/>
      </c>
      <c r="AT26" s="75">
        <f>$C26*INDEX(Curves!$AN$8:$AN$68,AT$4-$B26+1)</f>
        <v/>
      </c>
      <c r="AU26" s="75">
        <f>$C26*INDEX(Curves!$AN$8:$AN$68,AU$4-$B26+1)</f>
        <v/>
      </c>
      <c r="AV26" s="75">
        <f>$C26*INDEX(Curves!$AN$8:$AN$68,AV$4-$B26+1)</f>
        <v/>
      </c>
      <c r="AW26" s="75">
        <f>$C26*INDEX(Curves!$AN$8:$AN$68,AW$4-$B26+1)</f>
        <v/>
      </c>
      <c r="AX26" s="75">
        <f>$C26*INDEX(Curves!$AN$8:$AN$68,AX$4-$B26+1)</f>
        <v/>
      </c>
      <c r="AY26" s="75">
        <f>$C26*INDEX(Curves!$AN$8:$AN$68,AY$4-$B26+1)</f>
        <v/>
      </c>
      <c r="AZ26" s="75">
        <f>$C26*INDEX(Curves!$AN$8:$AN$68,AZ$4-$B26+1)</f>
        <v/>
      </c>
      <c r="BA26" s="75">
        <f>$C26*INDEX(Curves!$AN$8:$AN$68,BA$4-$B26+1)</f>
        <v/>
      </c>
      <c r="BB26" s="75">
        <f>$C26*INDEX(Curves!$AN$8:$AN$68,BB$4-$B26+1)</f>
        <v/>
      </c>
      <c r="BC26" s="75">
        <f>$C26*INDEX(Curves!$AN$8:$AN$68,BC$4-$B26+1)</f>
        <v/>
      </c>
      <c r="BD26" s="75">
        <f>$C26*INDEX(Curves!$AN$8:$AN$68,BD$4-$B26+1)</f>
        <v/>
      </c>
      <c r="BE26" s="75">
        <f>$C26*INDEX(Curves!$AN$8:$AN$68,BE$4-$B26+1)</f>
        <v/>
      </c>
      <c r="BF26" s="75">
        <f>$C26*INDEX(Curves!$AN$8:$AN$68,BF$4-$B26+1)</f>
        <v/>
      </c>
      <c r="BG26" s="75">
        <f>$C26*INDEX(Curves!$AN$8:$AN$68,BG$4-$B26+1)</f>
        <v/>
      </c>
      <c r="BH26" s="75">
        <f>$C26*INDEX(Curves!$AN$8:$AN$68,BH$4-$B26+1)</f>
        <v/>
      </c>
      <c r="BI26" s="75">
        <f>$C26*INDEX(Curves!$AN$8:$AN$68,BI$4-$B26+1)</f>
        <v/>
      </c>
      <c r="BJ26" s="75">
        <f>$C26*INDEX(Curves!$AN$8:$AN$68,BJ$4-$B26+1)</f>
        <v/>
      </c>
      <c r="BK26" s="75">
        <f>$C26*INDEX(Curves!$AN$8:$AN$68,BK$4-$B26+1)</f>
        <v/>
      </c>
      <c r="BL26" s="75">
        <f>$C26*INDEX(Curves!$AN$8:$AN$68,BL$4-$B26+1)</f>
        <v/>
      </c>
    </row>
    <row r="27">
      <c r="A27" s="74" t="inlineStr">
        <is>
          <t>Cohort month 18</t>
        </is>
      </c>
      <c r="B27" s="74" t="n">
        <v>18</v>
      </c>
      <c r="C27" s="17">
        <f>INDEX(Ops!$E$85:$BL$85,1,$B27)</f>
        <v/>
      </c>
      <c r="W27" s="75">
        <f>$C27*INDEX(Curves!$AN$8:$AN$68,W$4-$B27+1)</f>
        <v/>
      </c>
      <c r="X27" s="75">
        <f>$C27*INDEX(Curves!$AN$8:$AN$68,X$4-$B27+1)</f>
        <v/>
      </c>
      <c r="Y27" s="75">
        <f>$C27*INDEX(Curves!$AN$8:$AN$68,Y$4-$B27+1)</f>
        <v/>
      </c>
      <c r="Z27" s="75">
        <f>$C27*INDEX(Curves!$AN$8:$AN$68,Z$4-$B27+1)</f>
        <v/>
      </c>
      <c r="AA27" s="75">
        <f>$C27*INDEX(Curves!$AN$8:$AN$68,AA$4-$B27+1)</f>
        <v/>
      </c>
      <c r="AB27" s="75">
        <f>$C27*INDEX(Curves!$AN$8:$AN$68,AB$4-$B27+1)</f>
        <v/>
      </c>
      <c r="AC27" s="75">
        <f>$C27*INDEX(Curves!$AN$8:$AN$68,AC$4-$B27+1)</f>
        <v/>
      </c>
      <c r="AD27" s="75">
        <f>$C27*INDEX(Curves!$AN$8:$AN$68,AD$4-$B27+1)</f>
        <v/>
      </c>
      <c r="AE27" s="75">
        <f>$C27*INDEX(Curves!$AN$8:$AN$68,AE$4-$B27+1)</f>
        <v/>
      </c>
      <c r="AF27" s="75">
        <f>$C27*INDEX(Curves!$AN$8:$AN$68,AF$4-$B27+1)</f>
        <v/>
      </c>
      <c r="AG27" s="75">
        <f>$C27*INDEX(Curves!$AN$8:$AN$68,AG$4-$B27+1)</f>
        <v/>
      </c>
      <c r="AH27" s="75">
        <f>$C27*INDEX(Curves!$AN$8:$AN$68,AH$4-$B27+1)</f>
        <v/>
      </c>
      <c r="AI27" s="75">
        <f>$C27*INDEX(Curves!$AN$8:$AN$68,AI$4-$B27+1)</f>
        <v/>
      </c>
      <c r="AJ27" s="75">
        <f>$C27*INDEX(Curves!$AN$8:$AN$68,AJ$4-$B27+1)</f>
        <v/>
      </c>
      <c r="AK27" s="75">
        <f>$C27*INDEX(Curves!$AN$8:$AN$68,AK$4-$B27+1)</f>
        <v/>
      </c>
      <c r="AL27" s="75">
        <f>$C27*INDEX(Curves!$AN$8:$AN$68,AL$4-$B27+1)</f>
        <v/>
      </c>
      <c r="AM27" s="75">
        <f>$C27*INDEX(Curves!$AN$8:$AN$68,AM$4-$B27+1)</f>
        <v/>
      </c>
      <c r="AN27" s="75">
        <f>$C27*INDEX(Curves!$AN$8:$AN$68,AN$4-$B27+1)</f>
        <v/>
      </c>
      <c r="AO27" s="75">
        <f>$C27*INDEX(Curves!$AN$8:$AN$68,AO$4-$B27+1)</f>
        <v/>
      </c>
      <c r="AP27" s="75">
        <f>$C27*INDEX(Curves!$AN$8:$AN$68,AP$4-$B27+1)</f>
        <v/>
      </c>
      <c r="AQ27" s="75">
        <f>$C27*INDEX(Curves!$AN$8:$AN$68,AQ$4-$B27+1)</f>
        <v/>
      </c>
      <c r="AR27" s="75">
        <f>$C27*INDEX(Curves!$AN$8:$AN$68,AR$4-$B27+1)</f>
        <v/>
      </c>
      <c r="AS27" s="75">
        <f>$C27*INDEX(Curves!$AN$8:$AN$68,AS$4-$B27+1)</f>
        <v/>
      </c>
      <c r="AT27" s="75">
        <f>$C27*INDEX(Curves!$AN$8:$AN$68,AT$4-$B27+1)</f>
        <v/>
      </c>
      <c r="AU27" s="75">
        <f>$C27*INDEX(Curves!$AN$8:$AN$68,AU$4-$B27+1)</f>
        <v/>
      </c>
      <c r="AV27" s="75">
        <f>$C27*INDEX(Curves!$AN$8:$AN$68,AV$4-$B27+1)</f>
        <v/>
      </c>
      <c r="AW27" s="75">
        <f>$C27*INDEX(Curves!$AN$8:$AN$68,AW$4-$B27+1)</f>
        <v/>
      </c>
      <c r="AX27" s="75">
        <f>$C27*INDEX(Curves!$AN$8:$AN$68,AX$4-$B27+1)</f>
        <v/>
      </c>
      <c r="AY27" s="75">
        <f>$C27*INDEX(Curves!$AN$8:$AN$68,AY$4-$B27+1)</f>
        <v/>
      </c>
      <c r="AZ27" s="75">
        <f>$C27*INDEX(Curves!$AN$8:$AN$68,AZ$4-$B27+1)</f>
        <v/>
      </c>
      <c r="BA27" s="75">
        <f>$C27*INDEX(Curves!$AN$8:$AN$68,BA$4-$B27+1)</f>
        <v/>
      </c>
      <c r="BB27" s="75">
        <f>$C27*INDEX(Curves!$AN$8:$AN$68,BB$4-$B27+1)</f>
        <v/>
      </c>
      <c r="BC27" s="75">
        <f>$C27*INDEX(Curves!$AN$8:$AN$68,BC$4-$B27+1)</f>
        <v/>
      </c>
      <c r="BD27" s="75">
        <f>$C27*INDEX(Curves!$AN$8:$AN$68,BD$4-$B27+1)</f>
        <v/>
      </c>
      <c r="BE27" s="75">
        <f>$C27*INDEX(Curves!$AN$8:$AN$68,BE$4-$B27+1)</f>
        <v/>
      </c>
      <c r="BF27" s="75">
        <f>$C27*INDEX(Curves!$AN$8:$AN$68,BF$4-$B27+1)</f>
        <v/>
      </c>
      <c r="BG27" s="75">
        <f>$C27*INDEX(Curves!$AN$8:$AN$68,BG$4-$B27+1)</f>
        <v/>
      </c>
      <c r="BH27" s="75">
        <f>$C27*INDEX(Curves!$AN$8:$AN$68,BH$4-$B27+1)</f>
        <v/>
      </c>
      <c r="BI27" s="75">
        <f>$C27*INDEX(Curves!$AN$8:$AN$68,BI$4-$B27+1)</f>
        <v/>
      </c>
      <c r="BJ27" s="75">
        <f>$C27*INDEX(Curves!$AN$8:$AN$68,BJ$4-$B27+1)</f>
        <v/>
      </c>
      <c r="BK27" s="75">
        <f>$C27*INDEX(Curves!$AN$8:$AN$68,BK$4-$B27+1)</f>
        <v/>
      </c>
      <c r="BL27" s="75">
        <f>$C27*INDEX(Curves!$AN$8:$AN$68,BL$4-$B27+1)</f>
        <v/>
      </c>
    </row>
    <row r="28">
      <c r="A28" s="74" t="inlineStr">
        <is>
          <t>Cohort month 19</t>
        </is>
      </c>
      <c r="B28" s="74" t="n">
        <v>19</v>
      </c>
      <c r="C28" s="17">
        <f>INDEX(Ops!$E$85:$BL$85,1,$B28)</f>
        <v/>
      </c>
      <c r="X28" s="75">
        <f>$C28*INDEX(Curves!$AN$8:$AN$68,X$4-$B28+1)</f>
        <v/>
      </c>
      <c r="Y28" s="75">
        <f>$C28*INDEX(Curves!$AN$8:$AN$68,Y$4-$B28+1)</f>
        <v/>
      </c>
      <c r="Z28" s="75">
        <f>$C28*INDEX(Curves!$AN$8:$AN$68,Z$4-$B28+1)</f>
        <v/>
      </c>
      <c r="AA28" s="75">
        <f>$C28*INDEX(Curves!$AN$8:$AN$68,AA$4-$B28+1)</f>
        <v/>
      </c>
      <c r="AB28" s="75">
        <f>$C28*INDEX(Curves!$AN$8:$AN$68,AB$4-$B28+1)</f>
        <v/>
      </c>
      <c r="AC28" s="75">
        <f>$C28*INDEX(Curves!$AN$8:$AN$68,AC$4-$B28+1)</f>
        <v/>
      </c>
      <c r="AD28" s="75">
        <f>$C28*INDEX(Curves!$AN$8:$AN$68,AD$4-$B28+1)</f>
        <v/>
      </c>
      <c r="AE28" s="75">
        <f>$C28*INDEX(Curves!$AN$8:$AN$68,AE$4-$B28+1)</f>
        <v/>
      </c>
      <c r="AF28" s="75">
        <f>$C28*INDEX(Curves!$AN$8:$AN$68,AF$4-$B28+1)</f>
        <v/>
      </c>
      <c r="AG28" s="75">
        <f>$C28*INDEX(Curves!$AN$8:$AN$68,AG$4-$B28+1)</f>
        <v/>
      </c>
      <c r="AH28" s="75">
        <f>$C28*INDEX(Curves!$AN$8:$AN$68,AH$4-$B28+1)</f>
        <v/>
      </c>
      <c r="AI28" s="75">
        <f>$C28*INDEX(Curves!$AN$8:$AN$68,AI$4-$B28+1)</f>
        <v/>
      </c>
      <c r="AJ28" s="75">
        <f>$C28*INDEX(Curves!$AN$8:$AN$68,AJ$4-$B28+1)</f>
        <v/>
      </c>
      <c r="AK28" s="75">
        <f>$C28*INDEX(Curves!$AN$8:$AN$68,AK$4-$B28+1)</f>
        <v/>
      </c>
      <c r="AL28" s="75">
        <f>$C28*INDEX(Curves!$AN$8:$AN$68,AL$4-$B28+1)</f>
        <v/>
      </c>
      <c r="AM28" s="75">
        <f>$C28*INDEX(Curves!$AN$8:$AN$68,AM$4-$B28+1)</f>
        <v/>
      </c>
      <c r="AN28" s="75">
        <f>$C28*INDEX(Curves!$AN$8:$AN$68,AN$4-$B28+1)</f>
        <v/>
      </c>
      <c r="AO28" s="75">
        <f>$C28*INDEX(Curves!$AN$8:$AN$68,AO$4-$B28+1)</f>
        <v/>
      </c>
      <c r="AP28" s="75">
        <f>$C28*INDEX(Curves!$AN$8:$AN$68,AP$4-$B28+1)</f>
        <v/>
      </c>
      <c r="AQ28" s="75">
        <f>$C28*INDEX(Curves!$AN$8:$AN$68,AQ$4-$B28+1)</f>
        <v/>
      </c>
      <c r="AR28" s="75">
        <f>$C28*INDEX(Curves!$AN$8:$AN$68,AR$4-$B28+1)</f>
        <v/>
      </c>
      <c r="AS28" s="75">
        <f>$C28*INDEX(Curves!$AN$8:$AN$68,AS$4-$B28+1)</f>
        <v/>
      </c>
      <c r="AT28" s="75">
        <f>$C28*INDEX(Curves!$AN$8:$AN$68,AT$4-$B28+1)</f>
        <v/>
      </c>
      <c r="AU28" s="75">
        <f>$C28*INDEX(Curves!$AN$8:$AN$68,AU$4-$B28+1)</f>
        <v/>
      </c>
      <c r="AV28" s="75">
        <f>$C28*INDEX(Curves!$AN$8:$AN$68,AV$4-$B28+1)</f>
        <v/>
      </c>
      <c r="AW28" s="75">
        <f>$C28*INDEX(Curves!$AN$8:$AN$68,AW$4-$B28+1)</f>
        <v/>
      </c>
      <c r="AX28" s="75">
        <f>$C28*INDEX(Curves!$AN$8:$AN$68,AX$4-$B28+1)</f>
        <v/>
      </c>
      <c r="AY28" s="75">
        <f>$C28*INDEX(Curves!$AN$8:$AN$68,AY$4-$B28+1)</f>
        <v/>
      </c>
      <c r="AZ28" s="75">
        <f>$C28*INDEX(Curves!$AN$8:$AN$68,AZ$4-$B28+1)</f>
        <v/>
      </c>
      <c r="BA28" s="75">
        <f>$C28*INDEX(Curves!$AN$8:$AN$68,BA$4-$B28+1)</f>
        <v/>
      </c>
      <c r="BB28" s="75">
        <f>$C28*INDEX(Curves!$AN$8:$AN$68,BB$4-$B28+1)</f>
        <v/>
      </c>
      <c r="BC28" s="75">
        <f>$C28*INDEX(Curves!$AN$8:$AN$68,BC$4-$B28+1)</f>
        <v/>
      </c>
      <c r="BD28" s="75">
        <f>$C28*INDEX(Curves!$AN$8:$AN$68,BD$4-$B28+1)</f>
        <v/>
      </c>
      <c r="BE28" s="75">
        <f>$C28*INDEX(Curves!$AN$8:$AN$68,BE$4-$B28+1)</f>
        <v/>
      </c>
      <c r="BF28" s="75">
        <f>$C28*INDEX(Curves!$AN$8:$AN$68,BF$4-$B28+1)</f>
        <v/>
      </c>
      <c r="BG28" s="75">
        <f>$C28*INDEX(Curves!$AN$8:$AN$68,BG$4-$B28+1)</f>
        <v/>
      </c>
      <c r="BH28" s="75">
        <f>$C28*INDEX(Curves!$AN$8:$AN$68,BH$4-$B28+1)</f>
        <v/>
      </c>
      <c r="BI28" s="75">
        <f>$C28*INDEX(Curves!$AN$8:$AN$68,BI$4-$B28+1)</f>
        <v/>
      </c>
      <c r="BJ28" s="75">
        <f>$C28*INDEX(Curves!$AN$8:$AN$68,BJ$4-$B28+1)</f>
        <v/>
      </c>
      <c r="BK28" s="75">
        <f>$C28*INDEX(Curves!$AN$8:$AN$68,BK$4-$B28+1)</f>
        <v/>
      </c>
      <c r="BL28" s="75">
        <f>$C28*INDEX(Curves!$AN$8:$AN$68,BL$4-$B28+1)</f>
        <v/>
      </c>
    </row>
    <row r="29">
      <c r="A29" s="74" t="inlineStr">
        <is>
          <t>Cohort month 20</t>
        </is>
      </c>
      <c r="B29" s="74" t="n">
        <v>20</v>
      </c>
      <c r="C29" s="17">
        <f>INDEX(Ops!$E$85:$BL$85,1,$B29)</f>
        <v/>
      </c>
      <c r="Y29" s="75">
        <f>$C29*INDEX(Curves!$AN$8:$AN$68,Y$4-$B29+1)</f>
        <v/>
      </c>
      <c r="Z29" s="75">
        <f>$C29*INDEX(Curves!$AN$8:$AN$68,Z$4-$B29+1)</f>
        <v/>
      </c>
      <c r="AA29" s="75">
        <f>$C29*INDEX(Curves!$AN$8:$AN$68,AA$4-$B29+1)</f>
        <v/>
      </c>
      <c r="AB29" s="75">
        <f>$C29*INDEX(Curves!$AN$8:$AN$68,AB$4-$B29+1)</f>
        <v/>
      </c>
      <c r="AC29" s="75">
        <f>$C29*INDEX(Curves!$AN$8:$AN$68,AC$4-$B29+1)</f>
        <v/>
      </c>
      <c r="AD29" s="75">
        <f>$C29*INDEX(Curves!$AN$8:$AN$68,AD$4-$B29+1)</f>
        <v/>
      </c>
      <c r="AE29" s="75">
        <f>$C29*INDEX(Curves!$AN$8:$AN$68,AE$4-$B29+1)</f>
        <v/>
      </c>
      <c r="AF29" s="75">
        <f>$C29*INDEX(Curves!$AN$8:$AN$68,AF$4-$B29+1)</f>
        <v/>
      </c>
      <c r="AG29" s="75">
        <f>$C29*INDEX(Curves!$AN$8:$AN$68,AG$4-$B29+1)</f>
        <v/>
      </c>
      <c r="AH29" s="75">
        <f>$C29*INDEX(Curves!$AN$8:$AN$68,AH$4-$B29+1)</f>
        <v/>
      </c>
      <c r="AI29" s="75">
        <f>$C29*INDEX(Curves!$AN$8:$AN$68,AI$4-$B29+1)</f>
        <v/>
      </c>
      <c r="AJ29" s="75">
        <f>$C29*INDEX(Curves!$AN$8:$AN$68,AJ$4-$B29+1)</f>
        <v/>
      </c>
      <c r="AK29" s="75">
        <f>$C29*INDEX(Curves!$AN$8:$AN$68,AK$4-$B29+1)</f>
        <v/>
      </c>
      <c r="AL29" s="75">
        <f>$C29*INDEX(Curves!$AN$8:$AN$68,AL$4-$B29+1)</f>
        <v/>
      </c>
      <c r="AM29" s="75">
        <f>$C29*INDEX(Curves!$AN$8:$AN$68,AM$4-$B29+1)</f>
        <v/>
      </c>
      <c r="AN29" s="75">
        <f>$C29*INDEX(Curves!$AN$8:$AN$68,AN$4-$B29+1)</f>
        <v/>
      </c>
      <c r="AO29" s="75">
        <f>$C29*INDEX(Curves!$AN$8:$AN$68,AO$4-$B29+1)</f>
        <v/>
      </c>
      <c r="AP29" s="75">
        <f>$C29*INDEX(Curves!$AN$8:$AN$68,AP$4-$B29+1)</f>
        <v/>
      </c>
      <c r="AQ29" s="75">
        <f>$C29*INDEX(Curves!$AN$8:$AN$68,AQ$4-$B29+1)</f>
        <v/>
      </c>
      <c r="AR29" s="75">
        <f>$C29*INDEX(Curves!$AN$8:$AN$68,AR$4-$B29+1)</f>
        <v/>
      </c>
      <c r="AS29" s="75">
        <f>$C29*INDEX(Curves!$AN$8:$AN$68,AS$4-$B29+1)</f>
        <v/>
      </c>
      <c r="AT29" s="75">
        <f>$C29*INDEX(Curves!$AN$8:$AN$68,AT$4-$B29+1)</f>
        <v/>
      </c>
      <c r="AU29" s="75">
        <f>$C29*INDEX(Curves!$AN$8:$AN$68,AU$4-$B29+1)</f>
        <v/>
      </c>
      <c r="AV29" s="75">
        <f>$C29*INDEX(Curves!$AN$8:$AN$68,AV$4-$B29+1)</f>
        <v/>
      </c>
      <c r="AW29" s="75">
        <f>$C29*INDEX(Curves!$AN$8:$AN$68,AW$4-$B29+1)</f>
        <v/>
      </c>
      <c r="AX29" s="75">
        <f>$C29*INDEX(Curves!$AN$8:$AN$68,AX$4-$B29+1)</f>
        <v/>
      </c>
      <c r="AY29" s="75">
        <f>$C29*INDEX(Curves!$AN$8:$AN$68,AY$4-$B29+1)</f>
        <v/>
      </c>
      <c r="AZ29" s="75">
        <f>$C29*INDEX(Curves!$AN$8:$AN$68,AZ$4-$B29+1)</f>
        <v/>
      </c>
      <c r="BA29" s="75">
        <f>$C29*INDEX(Curves!$AN$8:$AN$68,BA$4-$B29+1)</f>
        <v/>
      </c>
      <c r="BB29" s="75">
        <f>$C29*INDEX(Curves!$AN$8:$AN$68,BB$4-$B29+1)</f>
        <v/>
      </c>
      <c r="BC29" s="75">
        <f>$C29*INDEX(Curves!$AN$8:$AN$68,BC$4-$B29+1)</f>
        <v/>
      </c>
      <c r="BD29" s="75">
        <f>$C29*INDEX(Curves!$AN$8:$AN$68,BD$4-$B29+1)</f>
        <v/>
      </c>
      <c r="BE29" s="75">
        <f>$C29*INDEX(Curves!$AN$8:$AN$68,BE$4-$B29+1)</f>
        <v/>
      </c>
      <c r="BF29" s="75">
        <f>$C29*INDEX(Curves!$AN$8:$AN$68,BF$4-$B29+1)</f>
        <v/>
      </c>
      <c r="BG29" s="75">
        <f>$C29*INDEX(Curves!$AN$8:$AN$68,BG$4-$B29+1)</f>
        <v/>
      </c>
      <c r="BH29" s="75">
        <f>$C29*INDEX(Curves!$AN$8:$AN$68,BH$4-$B29+1)</f>
        <v/>
      </c>
      <c r="BI29" s="75">
        <f>$C29*INDEX(Curves!$AN$8:$AN$68,BI$4-$B29+1)</f>
        <v/>
      </c>
      <c r="BJ29" s="75">
        <f>$C29*INDEX(Curves!$AN$8:$AN$68,BJ$4-$B29+1)</f>
        <v/>
      </c>
      <c r="BK29" s="75">
        <f>$C29*INDEX(Curves!$AN$8:$AN$68,BK$4-$B29+1)</f>
        <v/>
      </c>
      <c r="BL29" s="75">
        <f>$C29*INDEX(Curves!$AN$8:$AN$68,BL$4-$B29+1)</f>
        <v/>
      </c>
    </row>
    <row r="30">
      <c r="A30" s="74" t="inlineStr">
        <is>
          <t>Cohort month 21</t>
        </is>
      </c>
      <c r="B30" s="74" t="n">
        <v>21</v>
      </c>
      <c r="C30" s="17">
        <f>INDEX(Ops!$E$85:$BL$85,1,$B30)</f>
        <v/>
      </c>
      <c r="Z30" s="75">
        <f>$C30*INDEX(Curves!$AN$8:$AN$68,Z$4-$B30+1)</f>
        <v/>
      </c>
      <c r="AA30" s="75">
        <f>$C30*INDEX(Curves!$AN$8:$AN$68,AA$4-$B30+1)</f>
        <v/>
      </c>
      <c r="AB30" s="75">
        <f>$C30*INDEX(Curves!$AN$8:$AN$68,AB$4-$B30+1)</f>
        <v/>
      </c>
      <c r="AC30" s="75">
        <f>$C30*INDEX(Curves!$AN$8:$AN$68,AC$4-$B30+1)</f>
        <v/>
      </c>
      <c r="AD30" s="75">
        <f>$C30*INDEX(Curves!$AN$8:$AN$68,AD$4-$B30+1)</f>
        <v/>
      </c>
      <c r="AE30" s="75">
        <f>$C30*INDEX(Curves!$AN$8:$AN$68,AE$4-$B30+1)</f>
        <v/>
      </c>
      <c r="AF30" s="75">
        <f>$C30*INDEX(Curves!$AN$8:$AN$68,AF$4-$B30+1)</f>
        <v/>
      </c>
      <c r="AG30" s="75">
        <f>$C30*INDEX(Curves!$AN$8:$AN$68,AG$4-$B30+1)</f>
        <v/>
      </c>
      <c r="AH30" s="75">
        <f>$C30*INDEX(Curves!$AN$8:$AN$68,AH$4-$B30+1)</f>
        <v/>
      </c>
      <c r="AI30" s="75">
        <f>$C30*INDEX(Curves!$AN$8:$AN$68,AI$4-$B30+1)</f>
        <v/>
      </c>
      <c r="AJ30" s="75">
        <f>$C30*INDEX(Curves!$AN$8:$AN$68,AJ$4-$B30+1)</f>
        <v/>
      </c>
      <c r="AK30" s="75">
        <f>$C30*INDEX(Curves!$AN$8:$AN$68,AK$4-$B30+1)</f>
        <v/>
      </c>
      <c r="AL30" s="75">
        <f>$C30*INDEX(Curves!$AN$8:$AN$68,AL$4-$B30+1)</f>
        <v/>
      </c>
      <c r="AM30" s="75">
        <f>$C30*INDEX(Curves!$AN$8:$AN$68,AM$4-$B30+1)</f>
        <v/>
      </c>
      <c r="AN30" s="75">
        <f>$C30*INDEX(Curves!$AN$8:$AN$68,AN$4-$B30+1)</f>
        <v/>
      </c>
      <c r="AO30" s="75">
        <f>$C30*INDEX(Curves!$AN$8:$AN$68,AO$4-$B30+1)</f>
        <v/>
      </c>
      <c r="AP30" s="75">
        <f>$C30*INDEX(Curves!$AN$8:$AN$68,AP$4-$B30+1)</f>
        <v/>
      </c>
      <c r="AQ30" s="75">
        <f>$C30*INDEX(Curves!$AN$8:$AN$68,AQ$4-$B30+1)</f>
        <v/>
      </c>
      <c r="AR30" s="75">
        <f>$C30*INDEX(Curves!$AN$8:$AN$68,AR$4-$B30+1)</f>
        <v/>
      </c>
      <c r="AS30" s="75">
        <f>$C30*INDEX(Curves!$AN$8:$AN$68,AS$4-$B30+1)</f>
        <v/>
      </c>
      <c r="AT30" s="75">
        <f>$C30*INDEX(Curves!$AN$8:$AN$68,AT$4-$B30+1)</f>
        <v/>
      </c>
      <c r="AU30" s="75">
        <f>$C30*INDEX(Curves!$AN$8:$AN$68,AU$4-$B30+1)</f>
        <v/>
      </c>
      <c r="AV30" s="75">
        <f>$C30*INDEX(Curves!$AN$8:$AN$68,AV$4-$B30+1)</f>
        <v/>
      </c>
      <c r="AW30" s="75">
        <f>$C30*INDEX(Curves!$AN$8:$AN$68,AW$4-$B30+1)</f>
        <v/>
      </c>
      <c r="AX30" s="75">
        <f>$C30*INDEX(Curves!$AN$8:$AN$68,AX$4-$B30+1)</f>
        <v/>
      </c>
      <c r="AY30" s="75">
        <f>$C30*INDEX(Curves!$AN$8:$AN$68,AY$4-$B30+1)</f>
        <v/>
      </c>
      <c r="AZ30" s="75">
        <f>$C30*INDEX(Curves!$AN$8:$AN$68,AZ$4-$B30+1)</f>
        <v/>
      </c>
      <c r="BA30" s="75">
        <f>$C30*INDEX(Curves!$AN$8:$AN$68,BA$4-$B30+1)</f>
        <v/>
      </c>
      <c r="BB30" s="75">
        <f>$C30*INDEX(Curves!$AN$8:$AN$68,BB$4-$B30+1)</f>
        <v/>
      </c>
      <c r="BC30" s="75">
        <f>$C30*INDEX(Curves!$AN$8:$AN$68,BC$4-$B30+1)</f>
        <v/>
      </c>
      <c r="BD30" s="75">
        <f>$C30*INDEX(Curves!$AN$8:$AN$68,BD$4-$B30+1)</f>
        <v/>
      </c>
      <c r="BE30" s="75">
        <f>$C30*INDEX(Curves!$AN$8:$AN$68,BE$4-$B30+1)</f>
        <v/>
      </c>
      <c r="BF30" s="75">
        <f>$C30*INDEX(Curves!$AN$8:$AN$68,BF$4-$B30+1)</f>
        <v/>
      </c>
      <c r="BG30" s="75">
        <f>$C30*INDEX(Curves!$AN$8:$AN$68,BG$4-$B30+1)</f>
        <v/>
      </c>
      <c r="BH30" s="75">
        <f>$C30*INDEX(Curves!$AN$8:$AN$68,BH$4-$B30+1)</f>
        <v/>
      </c>
      <c r="BI30" s="75">
        <f>$C30*INDEX(Curves!$AN$8:$AN$68,BI$4-$B30+1)</f>
        <v/>
      </c>
      <c r="BJ30" s="75">
        <f>$C30*INDEX(Curves!$AN$8:$AN$68,BJ$4-$B30+1)</f>
        <v/>
      </c>
      <c r="BK30" s="75">
        <f>$C30*INDEX(Curves!$AN$8:$AN$68,BK$4-$B30+1)</f>
        <v/>
      </c>
      <c r="BL30" s="75">
        <f>$C30*INDEX(Curves!$AN$8:$AN$68,BL$4-$B30+1)</f>
        <v/>
      </c>
    </row>
    <row r="31">
      <c r="A31" s="74" t="inlineStr">
        <is>
          <t>Cohort month 22</t>
        </is>
      </c>
      <c r="B31" s="74" t="n">
        <v>22</v>
      </c>
      <c r="C31" s="17">
        <f>INDEX(Ops!$E$85:$BL$85,1,$B31)</f>
        <v/>
      </c>
      <c r="AA31" s="75">
        <f>$C31*INDEX(Curves!$AN$8:$AN$68,AA$4-$B31+1)</f>
        <v/>
      </c>
      <c r="AB31" s="75">
        <f>$C31*INDEX(Curves!$AN$8:$AN$68,AB$4-$B31+1)</f>
        <v/>
      </c>
      <c r="AC31" s="75">
        <f>$C31*INDEX(Curves!$AN$8:$AN$68,AC$4-$B31+1)</f>
        <v/>
      </c>
      <c r="AD31" s="75">
        <f>$C31*INDEX(Curves!$AN$8:$AN$68,AD$4-$B31+1)</f>
        <v/>
      </c>
      <c r="AE31" s="75">
        <f>$C31*INDEX(Curves!$AN$8:$AN$68,AE$4-$B31+1)</f>
        <v/>
      </c>
      <c r="AF31" s="75">
        <f>$C31*INDEX(Curves!$AN$8:$AN$68,AF$4-$B31+1)</f>
        <v/>
      </c>
      <c r="AG31" s="75">
        <f>$C31*INDEX(Curves!$AN$8:$AN$68,AG$4-$B31+1)</f>
        <v/>
      </c>
      <c r="AH31" s="75">
        <f>$C31*INDEX(Curves!$AN$8:$AN$68,AH$4-$B31+1)</f>
        <v/>
      </c>
      <c r="AI31" s="75">
        <f>$C31*INDEX(Curves!$AN$8:$AN$68,AI$4-$B31+1)</f>
        <v/>
      </c>
      <c r="AJ31" s="75">
        <f>$C31*INDEX(Curves!$AN$8:$AN$68,AJ$4-$B31+1)</f>
        <v/>
      </c>
      <c r="AK31" s="75">
        <f>$C31*INDEX(Curves!$AN$8:$AN$68,AK$4-$B31+1)</f>
        <v/>
      </c>
      <c r="AL31" s="75">
        <f>$C31*INDEX(Curves!$AN$8:$AN$68,AL$4-$B31+1)</f>
        <v/>
      </c>
      <c r="AM31" s="75">
        <f>$C31*INDEX(Curves!$AN$8:$AN$68,AM$4-$B31+1)</f>
        <v/>
      </c>
      <c r="AN31" s="75">
        <f>$C31*INDEX(Curves!$AN$8:$AN$68,AN$4-$B31+1)</f>
        <v/>
      </c>
      <c r="AO31" s="75">
        <f>$C31*INDEX(Curves!$AN$8:$AN$68,AO$4-$B31+1)</f>
        <v/>
      </c>
      <c r="AP31" s="75">
        <f>$C31*INDEX(Curves!$AN$8:$AN$68,AP$4-$B31+1)</f>
        <v/>
      </c>
      <c r="AQ31" s="75">
        <f>$C31*INDEX(Curves!$AN$8:$AN$68,AQ$4-$B31+1)</f>
        <v/>
      </c>
      <c r="AR31" s="75">
        <f>$C31*INDEX(Curves!$AN$8:$AN$68,AR$4-$B31+1)</f>
        <v/>
      </c>
      <c r="AS31" s="75">
        <f>$C31*INDEX(Curves!$AN$8:$AN$68,AS$4-$B31+1)</f>
        <v/>
      </c>
      <c r="AT31" s="75">
        <f>$C31*INDEX(Curves!$AN$8:$AN$68,AT$4-$B31+1)</f>
        <v/>
      </c>
      <c r="AU31" s="75">
        <f>$C31*INDEX(Curves!$AN$8:$AN$68,AU$4-$B31+1)</f>
        <v/>
      </c>
      <c r="AV31" s="75">
        <f>$C31*INDEX(Curves!$AN$8:$AN$68,AV$4-$B31+1)</f>
        <v/>
      </c>
      <c r="AW31" s="75">
        <f>$C31*INDEX(Curves!$AN$8:$AN$68,AW$4-$B31+1)</f>
        <v/>
      </c>
      <c r="AX31" s="75">
        <f>$C31*INDEX(Curves!$AN$8:$AN$68,AX$4-$B31+1)</f>
        <v/>
      </c>
      <c r="AY31" s="75">
        <f>$C31*INDEX(Curves!$AN$8:$AN$68,AY$4-$B31+1)</f>
        <v/>
      </c>
      <c r="AZ31" s="75">
        <f>$C31*INDEX(Curves!$AN$8:$AN$68,AZ$4-$B31+1)</f>
        <v/>
      </c>
      <c r="BA31" s="75">
        <f>$C31*INDEX(Curves!$AN$8:$AN$68,BA$4-$B31+1)</f>
        <v/>
      </c>
      <c r="BB31" s="75">
        <f>$C31*INDEX(Curves!$AN$8:$AN$68,BB$4-$B31+1)</f>
        <v/>
      </c>
      <c r="BC31" s="75">
        <f>$C31*INDEX(Curves!$AN$8:$AN$68,BC$4-$B31+1)</f>
        <v/>
      </c>
      <c r="BD31" s="75">
        <f>$C31*INDEX(Curves!$AN$8:$AN$68,BD$4-$B31+1)</f>
        <v/>
      </c>
      <c r="BE31" s="75">
        <f>$C31*INDEX(Curves!$AN$8:$AN$68,BE$4-$B31+1)</f>
        <v/>
      </c>
      <c r="BF31" s="75">
        <f>$C31*INDEX(Curves!$AN$8:$AN$68,BF$4-$B31+1)</f>
        <v/>
      </c>
      <c r="BG31" s="75">
        <f>$C31*INDEX(Curves!$AN$8:$AN$68,BG$4-$B31+1)</f>
        <v/>
      </c>
      <c r="BH31" s="75">
        <f>$C31*INDEX(Curves!$AN$8:$AN$68,BH$4-$B31+1)</f>
        <v/>
      </c>
      <c r="BI31" s="75">
        <f>$C31*INDEX(Curves!$AN$8:$AN$68,BI$4-$B31+1)</f>
        <v/>
      </c>
      <c r="BJ31" s="75">
        <f>$C31*INDEX(Curves!$AN$8:$AN$68,BJ$4-$B31+1)</f>
        <v/>
      </c>
      <c r="BK31" s="75">
        <f>$C31*INDEX(Curves!$AN$8:$AN$68,BK$4-$B31+1)</f>
        <v/>
      </c>
      <c r="BL31" s="75">
        <f>$C31*INDEX(Curves!$AN$8:$AN$68,BL$4-$B31+1)</f>
        <v/>
      </c>
    </row>
    <row r="32">
      <c r="A32" s="74" t="inlineStr">
        <is>
          <t>Cohort month 23</t>
        </is>
      </c>
      <c r="B32" s="74" t="n">
        <v>23</v>
      </c>
      <c r="C32" s="17">
        <f>INDEX(Ops!$E$85:$BL$85,1,$B32)</f>
        <v/>
      </c>
      <c r="AB32" s="75">
        <f>$C32*INDEX(Curves!$AN$8:$AN$68,AB$4-$B32+1)</f>
        <v/>
      </c>
      <c r="AC32" s="75">
        <f>$C32*INDEX(Curves!$AN$8:$AN$68,AC$4-$B32+1)</f>
        <v/>
      </c>
      <c r="AD32" s="75">
        <f>$C32*INDEX(Curves!$AN$8:$AN$68,AD$4-$B32+1)</f>
        <v/>
      </c>
      <c r="AE32" s="75">
        <f>$C32*INDEX(Curves!$AN$8:$AN$68,AE$4-$B32+1)</f>
        <v/>
      </c>
      <c r="AF32" s="75">
        <f>$C32*INDEX(Curves!$AN$8:$AN$68,AF$4-$B32+1)</f>
        <v/>
      </c>
      <c r="AG32" s="75">
        <f>$C32*INDEX(Curves!$AN$8:$AN$68,AG$4-$B32+1)</f>
        <v/>
      </c>
      <c r="AH32" s="75">
        <f>$C32*INDEX(Curves!$AN$8:$AN$68,AH$4-$B32+1)</f>
        <v/>
      </c>
      <c r="AI32" s="75">
        <f>$C32*INDEX(Curves!$AN$8:$AN$68,AI$4-$B32+1)</f>
        <v/>
      </c>
      <c r="AJ32" s="75">
        <f>$C32*INDEX(Curves!$AN$8:$AN$68,AJ$4-$B32+1)</f>
        <v/>
      </c>
      <c r="AK32" s="75">
        <f>$C32*INDEX(Curves!$AN$8:$AN$68,AK$4-$B32+1)</f>
        <v/>
      </c>
      <c r="AL32" s="75">
        <f>$C32*INDEX(Curves!$AN$8:$AN$68,AL$4-$B32+1)</f>
        <v/>
      </c>
      <c r="AM32" s="75">
        <f>$C32*INDEX(Curves!$AN$8:$AN$68,AM$4-$B32+1)</f>
        <v/>
      </c>
      <c r="AN32" s="75">
        <f>$C32*INDEX(Curves!$AN$8:$AN$68,AN$4-$B32+1)</f>
        <v/>
      </c>
      <c r="AO32" s="75">
        <f>$C32*INDEX(Curves!$AN$8:$AN$68,AO$4-$B32+1)</f>
        <v/>
      </c>
      <c r="AP32" s="75">
        <f>$C32*INDEX(Curves!$AN$8:$AN$68,AP$4-$B32+1)</f>
        <v/>
      </c>
      <c r="AQ32" s="75">
        <f>$C32*INDEX(Curves!$AN$8:$AN$68,AQ$4-$B32+1)</f>
        <v/>
      </c>
      <c r="AR32" s="75">
        <f>$C32*INDEX(Curves!$AN$8:$AN$68,AR$4-$B32+1)</f>
        <v/>
      </c>
      <c r="AS32" s="75">
        <f>$C32*INDEX(Curves!$AN$8:$AN$68,AS$4-$B32+1)</f>
        <v/>
      </c>
      <c r="AT32" s="75">
        <f>$C32*INDEX(Curves!$AN$8:$AN$68,AT$4-$B32+1)</f>
        <v/>
      </c>
      <c r="AU32" s="75">
        <f>$C32*INDEX(Curves!$AN$8:$AN$68,AU$4-$B32+1)</f>
        <v/>
      </c>
      <c r="AV32" s="75">
        <f>$C32*INDEX(Curves!$AN$8:$AN$68,AV$4-$B32+1)</f>
        <v/>
      </c>
      <c r="AW32" s="75">
        <f>$C32*INDEX(Curves!$AN$8:$AN$68,AW$4-$B32+1)</f>
        <v/>
      </c>
      <c r="AX32" s="75">
        <f>$C32*INDEX(Curves!$AN$8:$AN$68,AX$4-$B32+1)</f>
        <v/>
      </c>
      <c r="AY32" s="75">
        <f>$C32*INDEX(Curves!$AN$8:$AN$68,AY$4-$B32+1)</f>
        <v/>
      </c>
      <c r="AZ32" s="75">
        <f>$C32*INDEX(Curves!$AN$8:$AN$68,AZ$4-$B32+1)</f>
        <v/>
      </c>
      <c r="BA32" s="75">
        <f>$C32*INDEX(Curves!$AN$8:$AN$68,BA$4-$B32+1)</f>
        <v/>
      </c>
      <c r="BB32" s="75">
        <f>$C32*INDEX(Curves!$AN$8:$AN$68,BB$4-$B32+1)</f>
        <v/>
      </c>
      <c r="BC32" s="75">
        <f>$C32*INDEX(Curves!$AN$8:$AN$68,BC$4-$B32+1)</f>
        <v/>
      </c>
      <c r="BD32" s="75">
        <f>$C32*INDEX(Curves!$AN$8:$AN$68,BD$4-$B32+1)</f>
        <v/>
      </c>
      <c r="BE32" s="75">
        <f>$C32*INDEX(Curves!$AN$8:$AN$68,BE$4-$B32+1)</f>
        <v/>
      </c>
      <c r="BF32" s="75">
        <f>$C32*INDEX(Curves!$AN$8:$AN$68,BF$4-$B32+1)</f>
        <v/>
      </c>
      <c r="BG32" s="75">
        <f>$C32*INDEX(Curves!$AN$8:$AN$68,BG$4-$B32+1)</f>
        <v/>
      </c>
      <c r="BH32" s="75">
        <f>$C32*INDEX(Curves!$AN$8:$AN$68,BH$4-$B32+1)</f>
        <v/>
      </c>
      <c r="BI32" s="75">
        <f>$C32*INDEX(Curves!$AN$8:$AN$68,BI$4-$B32+1)</f>
        <v/>
      </c>
      <c r="BJ32" s="75">
        <f>$C32*INDEX(Curves!$AN$8:$AN$68,BJ$4-$B32+1)</f>
        <v/>
      </c>
      <c r="BK32" s="75">
        <f>$C32*INDEX(Curves!$AN$8:$AN$68,BK$4-$B32+1)</f>
        <v/>
      </c>
      <c r="BL32" s="75">
        <f>$C32*INDEX(Curves!$AN$8:$AN$68,BL$4-$B32+1)</f>
        <v/>
      </c>
    </row>
    <row r="33">
      <c r="A33" s="74" t="inlineStr">
        <is>
          <t>Cohort month 24</t>
        </is>
      </c>
      <c r="B33" s="74" t="n">
        <v>24</v>
      </c>
      <c r="C33" s="17">
        <f>INDEX(Ops!$E$85:$BL$85,1,$B33)</f>
        <v/>
      </c>
      <c r="AC33" s="75">
        <f>$C33*INDEX(Curves!$AN$8:$AN$68,AC$4-$B33+1)</f>
        <v/>
      </c>
      <c r="AD33" s="75">
        <f>$C33*INDEX(Curves!$AN$8:$AN$68,AD$4-$B33+1)</f>
        <v/>
      </c>
      <c r="AE33" s="75">
        <f>$C33*INDEX(Curves!$AN$8:$AN$68,AE$4-$B33+1)</f>
        <v/>
      </c>
      <c r="AF33" s="75">
        <f>$C33*INDEX(Curves!$AN$8:$AN$68,AF$4-$B33+1)</f>
        <v/>
      </c>
      <c r="AG33" s="75">
        <f>$C33*INDEX(Curves!$AN$8:$AN$68,AG$4-$B33+1)</f>
        <v/>
      </c>
      <c r="AH33" s="75">
        <f>$C33*INDEX(Curves!$AN$8:$AN$68,AH$4-$B33+1)</f>
        <v/>
      </c>
      <c r="AI33" s="75">
        <f>$C33*INDEX(Curves!$AN$8:$AN$68,AI$4-$B33+1)</f>
        <v/>
      </c>
      <c r="AJ33" s="75">
        <f>$C33*INDEX(Curves!$AN$8:$AN$68,AJ$4-$B33+1)</f>
        <v/>
      </c>
      <c r="AK33" s="75">
        <f>$C33*INDEX(Curves!$AN$8:$AN$68,AK$4-$B33+1)</f>
        <v/>
      </c>
      <c r="AL33" s="75">
        <f>$C33*INDEX(Curves!$AN$8:$AN$68,AL$4-$B33+1)</f>
        <v/>
      </c>
      <c r="AM33" s="75">
        <f>$C33*INDEX(Curves!$AN$8:$AN$68,AM$4-$B33+1)</f>
        <v/>
      </c>
      <c r="AN33" s="75">
        <f>$C33*INDEX(Curves!$AN$8:$AN$68,AN$4-$B33+1)</f>
        <v/>
      </c>
      <c r="AO33" s="75">
        <f>$C33*INDEX(Curves!$AN$8:$AN$68,AO$4-$B33+1)</f>
        <v/>
      </c>
      <c r="AP33" s="75">
        <f>$C33*INDEX(Curves!$AN$8:$AN$68,AP$4-$B33+1)</f>
        <v/>
      </c>
      <c r="AQ33" s="75">
        <f>$C33*INDEX(Curves!$AN$8:$AN$68,AQ$4-$B33+1)</f>
        <v/>
      </c>
      <c r="AR33" s="75">
        <f>$C33*INDEX(Curves!$AN$8:$AN$68,AR$4-$B33+1)</f>
        <v/>
      </c>
      <c r="AS33" s="75">
        <f>$C33*INDEX(Curves!$AN$8:$AN$68,AS$4-$B33+1)</f>
        <v/>
      </c>
      <c r="AT33" s="75">
        <f>$C33*INDEX(Curves!$AN$8:$AN$68,AT$4-$B33+1)</f>
        <v/>
      </c>
      <c r="AU33" s="75">
        <f>$C33*INDEX(Curves!$AN$8:$AN$68,AU$4-$B33+1)</f>
        <v/>
      </c>
      <c r="AV33" s="75">
        <f>$C33*INDEX(Curves!$AN$8:$AN$68,AV$4-$B33+1)</f>
        <v/>
      </c>
      <c r="AW33" s="75">
        <f>$C33*INDEX(Curves!$AN$8:$AN$68,AW$4-$B33+1)</f>
        <v/>
      </c>
      <c r="AX33" s="75">
        <f>$C33*INDEX(Curves!$AN$8:$AN$68,AX$4-$B33+1)</f>
        <v/>
      </c>
      <c r="AY33" s="75">
        <f>$C33*INDEX(Curves!$AN$8:$AN$68,AY$4-$B33+1)</f>
        <v/>
      </c>
      <c r="AZ33" s="75">
        <f>$C33*INDEX(Curves!$AN$8:$AN$68,AZ$4-$B33+1)</f>
        <v/>
      </c>
      <c r="BA33" s="75">
        <f>$C33*INDEX(Curves!$AN$8:$AN$68,BA$4-$B33+1)</f>
        <v/>
      </c>
      <c r="BB33" s="75">
        <f>$C33*INDEX(Curves!$AN$8:$AN$68,BB$4-$B33+1)</f>
        <v/>
      </c>
      <c r="BC33" s="75">
        <f>$C33*INDEX(Curves!$AN$8:$AN$68,BC$4-$B33+1)</f>
        <v/>
      </c>
      <c r="BD33" s="75">
        <f>$C33*INDEX(Curves!$AN$8:$AN$68,BD$4-$B33+1)</f>
        <v/>
      </c>
      <c r="BE33" s="75">
        <f>$C33*INDEX(Curves!$AN$8:$AN$68,BE$4-$B33+1)</f>
        <v/>
      </c>
      <c r="BF33" s="75">
        <f>$C33*INDEX(Curves!$AN$8:$AN$68,BF$4-$B33+1)</f>
        <v/>
      </c>
      <c r="BG33" s="75">
        <f>$C33*INDEX(Curves!$AN$8:$AN$68,BG$4-$B33+1)</f>
        <v/>
      </c>
      <c r="BH33" s="75">
        <f>$C33*INDEX(Curves!$AN$8:$AN$68,BH$4-$B33+1)</f>
        <v/>
      </c>
      <c r="BI33" s="75">
        <f>$C33*INDEX(Curves!$AN$8:$AN$68,BI$4-$B33+1)</f>
        <v/>
      </c>
      <c r="BJ33" s="75">
        <f>$C33*INDEX(Curves!$AN$8:$AN$68,BJ$4-$B33+1)</f>
        <v/>
      </c>
      <c r="BK33" s="75">
        <f>$C33*INDEX(Curves!$AN$8:$AN$68,BK$4-$B33+1)</f>
        <v/>
      </c>
      <c r="BL33" s="75">
        <f>$C33*INDEX(Curves!$AN$8:$AN$68,BL$4-$B33+1)</f>
        <v/>
      </c>
    </row>
    <row r="34">
      <c r="A34" s="74" t="inlineStr">
        <is>
          <t>Cohort month 25</t>
        </is>
      </c>
      <c r="B34" s="74" t="n">
        <v>25</v>
      </c>
      <c r="C34" s="17">
        <f>INDEX(Ops!$E$85:$BL$85,1,$B34)</f>
        <v/>
      </c>
      <c r="AD34" s="75">
        <f>$C34*INDEX(Curves!$AN$8:$AN$68,AD$4-$B34+1)</f>
        <v/>
      </c>
      <c r="AE34" s="75">
        <f>$C34*INDEX(Curves!$AN$8:$AN$68,AE$4-$B34+1)</f>
        <v/>
      </c>
      <c r="AF34" s="75">
        <f>$C34*INDEX(Curves!$AN$8:$AN$68,AF$4-$B34+1)</f>
        <v/>
      </c>
      <c r="AG34" s="75">
        <f>$C34*INDEX(Curves!$AN$8:$AN$68,AG$4-$B34+1)</f>
        <v/>
      </c>
      <c r="AH34" s="75">
        <f>$C34*INDEX(Curves!$AN$8:$AN$68,AH$4-$B34+1)</f>
        <v/>
      </c>
      <c r="AI34" s="75">
        <f>$C34*INDEX(Curves!$AN$8:$AN$68,AI$4-$B34+1)</f>
        <v/>
      </c>
      <c r="AJ34" s="75">
        <f>$C34*INDEX(Curves!$AN$8:$AN$68,AJ$4-$B34+1)</f>
        <v/>
      </c>
      <c r="AK34" s="75">
        <f>$C34*INDEX(Curves!$AN$8:$AN$68,AK$4-$B34+1)</f>
        <v/>
      </c>
      <c r="AL34" s="75">
        <f>$C34*INDEX(Curves!$AN$8:$AN$68,AL$4-$B34+1)</f>
        <v/>
      </c>
      <c r="AM34" s="75">
        <f>$C34*INDEX(Curves!$AN$8:$AN$68,AM$4-$B34+1)</f>
        <v/>
      </c>
      <c r="AN34" s="75">
        <f>$C34*INDEX(Curves!$AN$8:$AN$68,AN$4-$B34+1)</f>
        <v/>
      </c>
      <c r="AO34" s="75">
        <f>$C34*INDEX(Curves!$AN$8:$AN$68,AO$4-$B34+1)</f>
        <v/>
      </c>
      <c r="AP34" s="75">
        <f>$C34*INDEX(Curves!$AN$8:$AN$68,AP$4-$B34+1)</f>
        <v/>
      </c>
      <c r="AQ34" s="75">
        <f>$C34*INDEX(Curves!$AN$8:$AN$68,AQ$4-$B34+1)</f>
        <v/>
      </c>
      <c r="AR34" s="75">
        <f>$C34*INDEX(Curves!$AN$8:$AN$68,AR$4-$B34+1)</f>
        <v/>
      </c>
      <c r="AS34" s="75">
        <f>$C34*INDEX(Curves!$AN$8:$AN$68,AS$4-$B34+1)</f>
        <v/>
      </c>
      <c r="AT34" s="75">
        <f>$C34*INDEX(Curves!$AN$8:$AN$68,AT$4-$B34+1)</f>
        <v/>
      </c>
      <c r="AU34" s="75">
        <f>$C34*INDEX(Curves!$AN$8:$AN$68,AU$4-$B34+1)</f>
        <v/>
      </c>
      <c r="AV34" s="75">
        <f>$C34*INDEX(Curves!$AN$8:$AN$68,AV$4-$B34+1)</f>
        <v/>
      </c>
      <c r="AW34" s="75">
        <f>$C34*INDEX(Curves!$AN$8:$AN$68,AW$4-$B34+1)</f>
        <v/>
      </c>
      <c r="AX34" s="75">
        <f>$C34*INDEX(Curves!$AN$8:$AN$68,AX$4-$B34+1)</f>
        <v/>
      </c>
      <c r="AY34" s="75">
        <f>$C34*INDEX(Curves!$AN$8:$AN$68,AY$4-$B34+1)</f>
        <v/>
      </c>
      <c r="AZ34" s="75">
        <f>$C34*INDEX(Curves!$AN$8:$AN$68,AZ$4-$B34+1)</f>
        <v/>
      </c>
      <c r="BA34" s="75">
        <f>$C34*INDEX(Curves!$AN$8:$AN$68,BA$4-$B34+1)</f>
        <v/>
      </c>
      <c r="BB34" s="75">
        <f>$C34*INDEX(Curves!$AN$8:$AN$68,BB$4-$B34+1)</f>
        <v/>
      </c>
      <c r="BC34" s="75">
        <f>$C34*INDEX(Curves!$AN$8:$AN$68,BC$4-$B34+1)</f>
        <v/>
      </c>
      <c r="BD34" s="75">
        <f>$C34*INDEX(Curves!$AN$8:$AN$68,BD$4-$B34+1)</f>
        <v/>
      </c>
      <c r="BE34" s="75">
        <f>$C34*INDEX(Curves!$AN$8:$AN$68,BE$4-$B34+1)</f>
        <v/>
      </c>
      <c r="BF34" s="75">
        <f>$C34*INDEX(Curves!$AN$8:$AN$68,BF$4-$B34+1)</f>
        <v/>
      </c>
      <c r="BG34" s="75">
        <f>$C34*INDEX(Curves!$AN$8:$AN$68,BG$4-$B34+1)</f>
        <v/>
      </c>
      <c r="BH34" s="75">
        <f>$C34*INDEX(Curves!$AN$8:$AN$68,BH$4-$B34+1)</f>
        <v/>
      </c>
      <c r="BI34" s="75">
        <f>$C34*INDEX(Curves!$AN$8:$AN$68,BI$4-$B34+1)</f>
        <v/>
      </c>
      <c r="BJ34" s="75">
        <f>$C34*INDEX(Curves!$AN$8:$AN$68,BJ$4-$B34+1)</f>
        <v/>
      </c>
      <c r="BK34" s="75">
        <f>$C34*INDEX(Curves!$AN$8:$AN$68,BK$4-$B34+1)</f>
        <v/>
      </c>
      <c r="BL34" s="75">
        <f>$C34*INDEX(Curves!$AN$8:$AN$68,BL$4-$B34+1)</f>
        <v/>
      </c>
    </row>
    <row r="35">
      <c r="A35" s="74" t="inlineStr">
        <is>
          <t>Cohort month 26</t>
        </is>
      </c>
      <c r="B35" s="74" t="n">
        <v>26</v>
      </c>
      <c r="C35" s="17">
        <f>INDEX(Ops!$E$85:$BL$85,1,$B35)</f>
        <v/>
      </c>
      <c r="AE35" s="75">
        <f>$C35*INDEX(Curves!$AN$8:$AN$68,AE$4-$B35+1)</f>
        <v/>
      </c>
      <c r="AF35" s="75">
        <f>$C35*INDEX(Curves!$AN$8:$AN$68,AF$4-$B35+1)</f>
        <v/>
      </c>
      <c r="AG35" s="75">
        <f>$C35*INDEX(Curves!$AN$8:$AN$68,AG$4-$B35+1)</f>
        <v/>
      </c>
      <c r="AH35" s="75">
        <f>$C35*INDEX(Curves!$AN$8:$AN$68,AH$4-$B35+1)</f>
        <v/>
      </c>
      <c r="AI35" s="75">
        <f>$C35*INDEX(Curves!$AN$8:$AN$68,AI$4-$B35+1)</f>
        <v/>
      </c>
      <c r="AJ35" s="75">
        <f>$C35*INDEX(Curves!$AN$8:$AN$68,AJ$4-$B35+1)</f>
        <v/>
      </c>
      <c r="AK35" s="75">
        <f>$C35*INDEX(Curves!$AN$8:$AN$68,AK$4-$B35+1)</f>
        <v/>
      </c>
      <c r="AL35" s="75">
        <f>$C35*INDEX(Curves!$AN$8:$AN$68,AL$4-$B35+1)</f>
        <v/>
      </c>
      <c r="AM35" s="75">
        <f>$C35*INDEX(Curves!$AN$8:$AN$68,AM$4-$B35+1)</f>
        <v/>
      </c>
      <c r="AN35" s="75">
        <f>$C35*INDEX(Curves!$AN$8:$AN$68,AN$4-$B35+1)</f>
        <v/>
      </c>
      <c r="AO35" s="75">
        <f>$C35*INDEX(Curves!$AN$8:$AN$68,AO$4-$B35+1)</f>
        <v/>
      </c>
      <c r="AP35" s="75">
        <f>$C35*INDEX(Curves!$AN$8:$AN$68,AP$4-$B35+1)</f>
        <v/>
      </c>
      <c r="AQ35" s="75">
        <f>$C35*INDEX(Curves!$AN$8:$AN$68,AQ$4-$B35+1)</f>
        <v/>
      </c>
      <c r="AR35" s="75">
        <f>$C35*INDEX(Curves!$AN$8:$AN$68,AR$4-$B35+1)</f>
        <v/>
      </c>
      <c r="AS35" s="75">
        <f>$C35*INDEX(Curves!$AN$8:$AN$68,AS$4-$B35+1)</f>
        <v/>
      </c>
      <c r="AT35" s="75">
        <f>$C35*INDEX(Curves!$AN$8:$AN$68,AT$4-$B35+1)</f>
        <v/>
      </c>
      <c r="AU35" s="75">
        <f>$C35*INDEX(Curves!$AN$8:$AN$68,AU$4-$B35+1)</f>
        <v/>
      </c>
      <c r="AV35" s="75">
        <f>$C35*INDEX(Curves!$AN$8:$AN$68,AV$4-$B35+1)</f>
        <v/>
      </c>
      <c r="AW35" s="75">
        <f>$C35*INDEX(Curves!$AN$8:$AN$68,AW$4-$B35+1)</f>
        <v/>
      </c>
      <c r="AX35" s="75">
        <f>$C35*INDEX(Curves!$AN$8:$AN$68,AX$4-$B35+1)</f>
        <v/>
      </c>
      <c r="AY35" s="75">
        <f>$C35*INDEX(Curves!$AN$8:$AN$68,AY$4-$B35+1)</f>
        <v/>
      </c>
      <c r="AZ35" s="75">
        <f>$C35*INDEX(Curves!$AN$8:$AN$68,AZ$4-$B35+1)</f>
        <v/>
      </c>
      <c r="BA35" s="75">
        <f>$C35*INDEX(Curves!$AN$8:$AN$68,BA$4-$B35+1)</f>
        <v/>
      </c>
      <c r="BB35" s="75">
        <f>$C35*INDEX(Curves!$AN$8:$AN$68,BB$4-$B35+1)</f>
        <v/>
      </c>
      <c r="BC35" s="75">
        <f>$C35*INDEX(Curves!$AN$8:$AN$68,BC$4-$B35+1)</f>
        <v/>
      </c>
      <c r="BD35" s="75">
        <f>$C35*INDEX(Curves!$AN$8:$AN$68,BD$4-$B35+1)</f>
        <v/>
      </c>
      <c r="BE35" s="75">
        <f>$C35*INDEX(Curves!$AN$8:$AN$68,BE$4-$B35+1)</f>
        <v/>
      </c>
      <c r="BF35" s="75">
        <f>$C35*INDEX(Curves!$AN$8:$AN$68,BF$4-$B35+1)</f>
        <v/>
      </c>
      <c r="BG35" s="75">
        <f>$C35*INDEX(Curves!$AN$8:$AN$68,BG$4-$B35+1)</f>
        <v/>
      </c>
      <c r="BH35" s="75">
        <f>$C35*INDEX(Curves!$AN$8:$AN$68,BH$4-$B35+1)</f>
        <v/>
      </c>
      <c r="BI35" s="75">
        <f>$C35*INDEX(Curves!$AN$8:$AN$68,BI$4-$B35+1)</f>
        <v/>
      </c>
      <c r="BJ35" s="75">
        <f>$C35*INDEX(Curves!$AN$8:$AN$68,BJ$4-$B35+1)</f>
        <v/>
      </c>
      <c r="BK35" s="75">
        <f>$C35*INDEX(Curves!$AN$8:$AN$68,BK$4-$B35+1)</f>
        <v/>
      </c>
      <c r="BL35" s="75">
        <f>$C35*INDEX(Curves!$AN$8:$AN$68,BL$4-$B35+1)</f>
        <v/>
      </c>
    </row>
    <row r="36">
      <c r="A36" s="74" t="inlineStr">
        <is>
          <t>Cohort month 27</t>
        </is>
      </c>
      <c r="B36" s="74" t="n">
        <v>27</v>
      </c>
      <c r="C36" s="17">
        <f>INDEX(Ops!$E$85:$BL$85,1,$B36)</f>
        <v/>
      </c>
      <c r="AF36" s="75">
        <f>$C36*INDEX(Curves!$AN$8:$AN$68,AF$4-$B36+1)</f>
        <v/>
      </c>
      <c r="AG36" s="75">
        <f>$C36*INDEX(Curves!$AN$8:$AN$68,AG$4-$B36+1)</f>
        <v/>
      </c>
      <c r="AH36" s="75">
        <f>$C36*INDEX(Curves!$AN$8:$AN$68,AH$4-$B36+1)</f>
        <v/>
      </c>
      <c r="AI36" s="75">
        <f>$C36*INDEX(Curves!$AN$8:$AN$68,AI$4-$B36+1)</f>
        <v/>
      </c>
      <c r="AJ36" s="75">
        <f>$C36*INDEX(Curves!$AN$8:$AN$68,AJ$4-$B36+1)</f>
        <v/>
      </c>
      <c r="AK36" s="75">
        <f>$C36*INDEX(Curves!$AN$8:$AN$68,AK$4-$B36+1)</f>
        <v/>
      </c>
      <c r="AL36" s="75">
        <f>$C36*INDEX(Curves!$AN$8:$AN$68,AL$4-$B36+1)</f>
        <v/>
      </c>
      <c r="AM36" s="75">
        <f>$C36*INDEX(Curves!$AN$8:$AN$68,AM$4-$B36+1)</f>
        <v/>
      </c>
      <c r="AN36" s="75">
        <f>$C36*INDEX(Curves!$AN$8:$AN$68,AN$4-$B36+1)</f>
        <v/>
      </c>
      <c r="AO36" s="75">
        <f>$C36*INDEX(Curves!$AN$8:$AN$68,AO$4-$B36+1)</f>
        <v/>
      </c>
      <c r="AP36" s="75">
        <f>$C36*INDEX(Curves!$AN$8:$AN$68,AP$4-$B36+1)</f>
        <v/>
      </c>
      <c r="AQ36" s="75">
        <f>$C36*INDEX(Curves!$AN$8:$AN$68,AQ$4-$B36+1)</f>
        <v/>
      </c>
      <c r="AR36" s="75">
        <f>$C36*INDEX(Curves!$AN$8:$AN$68,AR$4-$B36+1)</f>
        <v/>
      </c>
      <c r="AS36" s="75">
        <f>$C36*INDEX(Curves!$AN$8:$AN$68,AS$4-$B36+1)</f>
        <v/>
      </c>
      <c r="AT36" s="75">
        <f>$C36*INDEX(Curves!$AN$8:$AN$68,AT$4-$B36+1)</f>
        <v/>
      </c>
      <c r="AU36" s="75">
        <f>$C36*INDEX(Curves!$AN$8:$AN$68,AU$4-$B36+1)</f>
        <v/>
      </c>
      <c r="AV36" s="75">
        <f>$C36*INDEX(Curves!$AN$8:$AN$68,AV$4-$B36+1)</f>
        <v/>
      </c>
      <c r="AW36" s="75">
        <f>$C36*INDEX(Curves!$AN$8:$AN$68,AW$4-$B36+1)</f>
        <v/>
      </c>
      <c r="AX36" s="75">
        <f>$C36*INDEX(Curves!$AN$8:$AN$68,AX$4-$B36+1)</f>
        <v/>
      </c>
      <c r="AY36" s="75">
        <f>$C36*INDEX(Curves!$AN$8:$AN$68,AY$4-$B36+1)</f>
        <v/>
      </c>
      <c r="AZ36" s="75">
        <f>$C36*INDEX(Curves!$AN$8:$AN$68,AZ$4-$B36+1)</f>
        <v/>
      </c>
      <c r="BA36" s="75">
        <f>$C36*INDEX(Curves!$AN$8:$AN$68,BA$4-$B36+1)</f>
        <v/>
      </c>
      <c r="BB36" s="75">
        <f>$C36*INDEX(Curves!$AN$8:$AN$68,BB$4-$B36+1)</f>
        <v/>
      </c>
      <c r="BC36" s="75">
        <f>$C36*INDEX(Curves!$AN$8:$AN$68,BC$4-$B36+1)</f>
        <v/>
      </c>
      <c r="BD36" s="75">
        <f>$C36*INDEX(Curves!$AN$8:$AN$68,BD$4-$B36+1)</f>
        <v/>
      </c>
      <c r="BE36" s="75">
        <f>$C36*INDEX(Curves!$AN$8:$AN$68,BE$4-$B36+1)</f>
        <v/>
      </c>
      <c r="BF36" s="75">
        <f>$C36*INDEX(Curves!$AN$8:$AN$68,BF$4-$B36+1)</f>
        <v/>
      </c>
      <c r="BG36" s="75">
        <f>$C36*INDEX(Curves!$AN$8:$AN$68,BG$4-$B36+1)</f>
        <v/>
      </c>
      <c r="BH36" s="75">
        <f>$C36*INDEX(Curves!$AN$8:$AN$68,BH$4-$B36+1)</f>
        <v/>
      </c>
      <c r="BI36" s="75">
        <f>$C36*INDEX(Curves!$AN$8:$AN$68,BI$4-$B36+1)</f>
        <v/>
      </c>
      <c r="BJ36" s="75">
        <f>$C36*INDEX(Curves!$AN$8:$AN$68,BJ$4-$B36+1)</f>
        <v/>
      </c>
      <c r="BK36" s="75">
        <f>$C36*INDEX(Curves!$AN$8:$AN$68,BK$4-$B36+1)</f>
        <v/>
      </c>
      <c r="BL36" s="75">
        <f>$C36*INDEX(Curves!$AN$8:$AN$68,BL$4-$B36+1)</f>
        <v/>
      </c>
    </row>
    <row r="37">
      <c r="A37" s="74" t="inlineStr">
        <is>
          <t>Cohort month 28</t>
        </is>
      </c>
      <c r="B37" s="74" t="n">
        <v>28</v>
      </c>
      <c r="C37" s="17">
        <f>INDEX(Ops!$E$85:$BL$85,1,$B37)</f>
        <v/>
      </c>
      <c r="AG37" s="75">
        <f>$C37*INDEX(Curves!$AN$8:$AN$68,AG$4-$B37+1)</f>
        <v/>
      </c>
      <c r="AH37" s="75">
        <f>$C37*INDEX(Curves!$AN$8:$AN$68,AH$4-$B37+1)</f>
        <v/>
      </c>
      <c r="AI37" s="75">
        <f>$C37*INDEX(Curves!$AN$8:$AN$68,AI$4-$B37+1)</f>
        <v/>
      </c>
      <c r="AJ37" s="75">
        <f>$C37*INDEX(Curves!$AN$8:$AN$68,AJ$4-$B37+1)</f>
        <v/>
      </c>
      <c r="AK37" s="75">
        <f>$C37*INDEX(Curves!$AN$8:$AN$68,AK$4-$B37+1)</f>
        <v/>
      </c>
      <c r="AL37" s="75">
        <f>$C37*INDEX(Curves!$AN$8:$AN$68,AL$4-$B37+1)</f>
        <v/>
      </c>
      <c r="AM37" s="75">
        <f>$C37*INDEX(Curves!$AN$8:$AN$68,AM$4-$B37+1)</f>
        <v/>
      </c>
      <c r="AN37" s="75">
        <f>$C37*INDEX(Curves!$AN$8:$AN$68,AN$4-$B37+1)</f>
        <v/>
      </c>
      <c r="AO37" s="75">
        <f>$C37*INDEX(Curves!$AN$8:$AN$68,AO$4-$B37+1)</f>
        <v/>
      </c>
      <c r="AP37" s="75">
        <f>$C37*INDEX(Curves!$AN$8:$AN$68,AP$4-$B37+1)</f>
        <v/>
      </c>
      <c r="AQ37" s="75">
        <f>$C37*INDEX(Curves!$AN$8:$AN$68,AQ$4-$B37+1)</f>
        <v/>
      </c>
      <c r="AR37" s="75">
        <f>$C37*INDEX(Curves!$AN$8:$AN$68,AR$4-$B37+1)</f>
        <v/>
      </c>
      <c r="AS37" s="75">
        <f>$C37*INDEX(Curves!$AN$8:$AN$68,AS$4-$B37+1)</f>
        <v/>
      </c>
      <c r="AT37" s="75">
        <f>$C37*INDEX(Curves!$AN$8:$AN$68,AT$4-$B37+1)</f>
        <v/>
      </c>
      <c r="AU37" s="75">
        <f>$C37*INDEX(Curves!$AN$8:$AN$68,AU$4-$B37+1)</f>
        <v/>
      </c>
      <c r="AV37" s="75">
        <f>$C37*INDEX(Curves!$AN$8:$AN$68,AV$4-$B37+1)</f>
        <v/>
      </c>
      <c r="AW37" s="75">
        <f>$C37*INDEX(Curves!$AN$8:$AN$68,AW$4-$B37+1)</f>
        <v/>
      </c>
      <c r="AX37" s="75">
        <f>$C37*INDEX(Curves!$AN$8:$AN$68,AX$4-$B37+1)</f>
        <v/>
      </c>
      <c r="AY37" s="75">
        <f>$C37*INDEX(Curves!$AN$8:$AN$68,AY$4-$B37+1)</f>
        <v/>
      </c>
      <c r="AZ37" s="75">
        <f>$C37*INDEX(Curves!$AN$8:$AN$68,AZ$4-$B37+1)</f>
        <v/>
      </c>
      <c r="BA37" s="75">
        <f>$C37*INDEX(Curves!$AN$8:$AN$68,BA$4-$B37+1)</f>
        <v/>
      </c>
      <c r="BB37" s="75">
        <f>$C37*INDEX(Curves!$AN$8:$AN$68,BB$4-$B37+1)</f>
        <v/>
      </c>
      <c r="BC37" s="75">
        <f>$C37*INDEX(Curves!$AN$8:$AN$68,BC$4-$B37+1)</f>
        <v/>
      </c>
      <c r="BD37" s="75">
        <f>$C37*INDEX(Curves!$AN$8:$AN$68,BD$4-$B37+1)</f>
        <v/>
      </c>
      <c r="BE37" s="75">
        <f>$C37*INDEX(Curves!$AN$8:$AN$68,BE$4-$B37+1)</f>
        <v/>
      </c>
      <c r="BF37" s="75">
        <f>$C37*INDEX(Curves!$AN$8:$AN$68,BF$4-$B37+1)</f>
        <v/>
      </c>
      <c r="BG37" s="75">
        <f>$C37*INDEX(Curves!$AN$8:$AN$68,BG$4-$B37+1)</f>
        <v/>
      </c>
      <c r="BH37" s="75">
        <f>$C37*INDEX(Curves!$AN$8:$AN$68,BH$4-$B37+1)</f>
        <v/>
      </c>
      <c r="BI37" s="75">
        <f>$C37*INDEX(Curves!$AN$8:$AN$68,BI$4-$B37+1)</f>
        <v/>
      </c>
      <c r="BJ37" s="75">
        <f>$C37*INDEX(Curves!$AN$8:$AN$68,BJ$4-$B37+1)</f>
        <v/>
      </c>
      <c r="BK37" s="75">
        <f>$C37*INDEX(Curves!$AN$8:$AN$68,BK$4-$B37+1)</f>
        <v/>
      </c>
      <c r="BL37" s="75">
        <f>$C37*INDEX(Curves!$AN$8:$AN$68,BL$4-$B37+1)</f>
        <v/>
      </c>
    </row>
    <row r="38">
      <c r="A38" s="74" t="inlineStr">
        <is>
          <t>Cohort month 29</t>
        </is>
      </c>
      <c r="B38" s="74" t="n">
        <v>29</v>
      </c>
      <c r="C38" s="17">
        <f>INDEX(Ops!$E$85:$BL$85,1,$B38)</f>
        <v/>
      </c>
      <c r="AH38" s="75">
        <f>$C38*INDEX(Curves!$AN$8:$AN$68,AH$4-$B38+1)</f>
        <v/>
      </c>
      <c r="AI38" s="75">
        <f>$C38*INDEX(Curves!$AN$8:$AN$68,AI$4-$B38+1)</f>
        <v/>
      </c>
      <c r="AJ38" s="75">
        <f>$C38*INDEX(Curves!$AN$8:$AN$68,AJ$4-$B38+1)</f>
        <v/>
      </c>
      <c r="AK38" s="75">
        <f>$C38*INDEX(Curves!$AN$8:$AN$68,AK$4-$B38+1)</f>
        <v/>
      </c>
      <c r="AL38" s="75">
        <f>$C38*INDEX(Curves!$AN$8:$AN$68,AL$4-$B38+1)</f>
        <v/>
      </c>
      <c r="AM38" s="75">
        <f>$C38*INDEX(Curves!$AN$8:$AN$68,AM$4-$B38+1)</f>
        <v/>
      </c>
      <c r="AN38" s="75">
        <f>$C38*INDEX(Curves!$AN$8:$AN$68,AN$4-$B38+1)</f>
        <v/>
      </c>
      <c r="AO38" s="75">
        <f>$C38*INDEX(Curves!$AN$8:$AN$68,AO$4-$B38+1)</f>
        <v/>
      </c>
      <c r="AP38" s="75">
        <f>$C38*INDEX(Curves!$AN$8:$AN$68,AP$4-$B38+1)</f>
        <v/>
      </c>
      <c r="AQ38" s="75">
        <f>$C38*INDEX(Curves!$AN$8:$AN$68,AQ$4-$B38+1)</f>
        <v/>
      </c>
      <c r="AR38" s="75">
        <f>$C38*INDEX(Curves!$AN$8:$AN$68,AR$4-$B38+1)</f>
        <v/>
      </c>
      <c r="AS38" s="75">
        <f>$C38*INDEX(Curves!$AN$8:$AN$68,AS$4-$B38+1)</f>
        <v/>
      </c>
      <c r="AT38" s="75">
        <f>$C38*INDEX(Curves!$AN$8:$AN$68,AT$4-$B38+1)</f>
        <v/>
      </c>
      <c r="AU38" s="75">
        <f>$C38*INDEX(Curves!$AN$8:$AN$68,AU$4-$B38+1)</f>
        <v/>
      </c>
      <c r="AV38" s="75">
        <f>$C38*INDEX(Curves!$AN$8:$AN$68,AV$4-$B38+1)</f>
        <v/>
      </c>
      <c r="AW38" s="75">
        <f>$C38*INDEX(Curves!$AN$8:$AN$68,AW$4-$B38+1)</f>
        <v/>
      </c>
      <c r="AX38" s="75">
        <f>$C38*INDEX(Curves!$AN$8:$AN$68,AX$4-$B38+1)</f>
        <v/>
      </c>
      <c r="AY38" s="75">
        <f>$C38*INDEX(Curves!$AN$8:$AN$68,AY$4-$B38+1)</f>
        <v/>
      </c>
      <c r="AZ38" s="75">
        <f>$C38*INDEX(Curves!$AN$8:$AN$68,AZ$4-$B38+1)</f>
        <v/>
      </c>
      <c r="BA38" s="75">
        <f>$C38*INDEX(Curves!$AN$8:$AN$68,BA$4-$B38+1)</f>
        <v/>
      </c>
      <c r="BB38" s="75">
        <f>$C38*INDEX(Curves!$AN$8:$AN$68,BB$4-$B38+1)</f>
        <v/>
      </c>
      <c r="BC38" s="75">
        <f>$C38*INDEX(Curves!$AN$8:$AN$68,BC$4-$B38+1)</f>
        <v/>
      </c>
      <c r="BD38" s="75">
        <f>$C38*INDEX(Curves!$AN$8:$AN$68,BD$4-$B38+1)</f>
        <v/>
      </c>
      <c r="BE38" s="75">
        <f>$C38*INDEX(Curves!$AN$8:$AN$68,BE$4-$B38+1)</f>
        <v/>
      </c>
      <c r="BF38" s="75">
        <f>$C38*INDEX(Curves!$AN$8:$AN$68,BF$4-$B38+1)</f>
        <v/>
      </c>
      <c r="BG38" s="75">
        <f>$C38*INDEX(Curves!$AN$8:$AN$68,BG$4-$B38+1)</f>
        <v/>
      </c>
      <c r="BH38" s="75">
        <f>$C38*INDEX(Curves!$AN$8:$AN$68,BH$4-$B38+1)</f>
        <v/>
      </c>
      <c r="BI38" s="75">
        <f>$C38*INDEX(Curves!$AN$8:$AN$68,BI$4-$B38+1)</f>
        <v/>
      </c>
      <c r="BJ38" s="75">
        <f>$C38*INDEX(Curves!$AN$8:$AN$68,BJ$4-$B38+1)</f>
        <v/>
      </c>
      <c r="BK38" s="75">
        <f>$C38*INDEX(Curves!$AN$8:$AN$68,BK$4-$B38+1)</f>
        <v/>
      </c>
      <c r="BL38" s="75">
        <f>$C38*INDEX(Curves!$AN$8:$AN$68,BL$4-$B38+1)</f>
        <v/>
      </c>
    </row>
    <row r="39">
      <c r="A39" s="74" t="inlineStr">
        <is>
          <t>Cohort month 30</t>
        </is>
      </c>
      <c r="B39" s="74" t="n">
        <v>30</v>
      </c>
      <c r="C39" s="17">
        <f>INDEX(Ops!$E$85:$BL$85,1,$B39)</f>
        <v/>
      </c>
      <c r="AI39" s="75">
        <f>$C39*INDEX(Curves!$AN$8:$AN$68,AI$4-$B39+1)</f>
        <v/>
      </c>
      <c r="AJ39" s="75">
        <f>$C39*INDEX(Curves!$AN$8:$AN$68,AJ$4-$B39+1)</f>
        <v/>
      </c>
      <c r="AK39" s="75">
        <f>$C39*INDEX(Curves!$AN$8:$AN$68,AK$4-$B39+1)</f>
        <v/>
      </c>
      <c r="AL39" s="75">
        <f>$C39*INDEX(Curves!$AN$8:$AN$68,AL$4-$B39+1)</f>
        <v/>
      </c>
      <c r="AM39" s="75">
        <f>$C39*INDEX(Curves!$AN$8:$AN$68,AM$4-$B39+1)</f>
        <v/>
      </c>
      <c r="AN39" s="75">
        <f>$C39*INDEX(Curves!$AN$8:$AN$68,AN$4-$B39+1)</f>
        <v/>
      </c>
      <c r="AO39" s="75">
        <f>$C39*INDEX(Curves!$AN$8:$AN$68,AO$4-$B39+1)</f>
        <v/>
      </c>
      <c r="AP39" s="75">
        <f>$C39*INDEX(Curves!$AN$8:$AN$68,AP$4-$B39+1)</f>
        <v/>
      </c>
      <c r="AQ39" s="75">
        <f>$C39*INDEX(Curves!$AN$8:$AN$68,AQ$4-$B39+1)</f>
        <v/>
      </c>
      <c r="AR39" s="75">
        <f>$C39*INDEX(Curves!$AN$8:$AN$68,AR$4-$B39+1)</f>
        <v/>
      </c>
      <c r="AS39" s="75">
        <f>$C39*INDEX(Curves!$AN$8:$AN$68,AS$4-$B39+1)</f>
        <v/>
      </c>
      <c r="AT39" s="75">
        <f>$C39*INDEX(Curves!$AN$8:$AN$68,AT$4-$B39+1)</f>
        <v/>
      </c>
      <c r="AU39" s="75">
        <f>$C39*INDEX(Curves!$AN$8:$AN$68,AU$4-$B39+1)</f>
        <v/>
      </c>
      <c r="AV39" s="75">
        <f>$C39*INDEX(Curves!$AN$8:$AN$68,AV$4-$B39+1)</f>
        <v/>
      </c>
      <c r="AW39" s="75">
        <f>$C39*INDEX(Curves!$AN$8:$AN$68,AW$4-$B39+1)</f>
        <v/>
      </c>
      <c r="AX39" s="75">
        <f>$C39*INDEX(Curves!$AN$8:$AN$68,AX$4-$B39+1)</f>
        <v/>
      </c>
      <c r="AY39" s="75">
        <f>$C39*INDEX(Curves!$AN$8:$AN$68,AY$4-$B39+1)</f>
        <v/>
      </c>
      <c r="AZ39" s="75">
        <f>$C39*INDEX(Curves!$AN$8:$AN$68,AZ$4-$B39+1)</f>
        <v/>
      </c>
      <c r="BA39" s="75">
        <f>$C39*INDEX(Curves!$AN$8:$AN$68,BA$4-$B39+1)</f>
        <v/>
      </c>
      <c r="BB39" s="75">
        <f>$C39*INDEX(Curves!$AN$8:$AN$68,BB$4-$B39+1)</f>
        <v/>
      </c>
      <c r="BC39" s="75">
        <f>$C39*INDEX(Curves!$AN$8:$AN$68,BC$4-$B39+1)</f>
        <v/>
      </c>
      <c r="BD39" s="75">
        <f>$C39*INDEX(Curves!$AN$8:$AN$68,BD$4-$B39+1)</f>
        <v/>
      </c>
      <c r="BE39" s="75">
        <f>$C39*INDEX(Curves!$AN$8:$AN$68,BE$4-$B39+1)</f>
        <v/>
      </c>
      <c r="BF39" s="75">
        <f>$C39*INDEX(Curves!$AN$8:$AN$68,BF$4-$B39+1)</f>
        <v/>
      </c>
      <c r="BG39" s="75">
        <f>$C39*INDEX(Curves!$AN$8:$AN$68,BG$4-$B39+1)</f>
        <v/>
      </c>
      <c r="BH39" s="75">
        <f>$C39*INDEX(Curves!$AN$8:$AN$68,BH$4-$B39+1)</f>
        <v/>
      </c>
      <c r="BI39" s="75">
        <f>$C39*INDEX(Curves!$AN$8:$AN$68,BI$4-$B39+1)</f>
        <v/>
      </c>
      <c r="BJ39" s="75">
        <f>$C39*INDEX(Curves!$AN$8:$AN$68,BJ$4-$B39+1)</f>
        <v/>
      </c>
      <c r="BK39" s="75">
        <f>$C39*INDEX(Curves!$AN$8:$AN$68,BK$4-$B39+1)</f>
        <v/>
      </c>
      <c r="BL39" s="75">
        <f>$C39*INDEX(Curves!$AN$8:$AN$68,BL$4-$B39+1)</f>
        <v/>
      </c>
    </row>
    <row r="40">
      <c r="A40" s="74" t="inlineStr">
        <is>
          <t>Cohort month 31</t>
        </is>
      </c>
      <c r="B40" s="74" t="n">
        <v>31</v>
      </c>
      <c r="C40" s="17">
        <f>INDEX(Ops!$E$85:$BL$85,1,$B40)</f>
        <v/>
      </c>
      <c r="AJ40" s="75">
        <f>$C40*INDEX(Curves!$AN$8:$AN$68,AJ$4-$B40+1)</f>
        <v/>
      </c>
      <c r="AK40" s="75">
        <f>$C40*INDEX(Curves!$AN$8:$AN$68,AK$4-$B40+1)</f>
        <v/>
      </c>
      <c r="AL40" s="75">
        <f>$C40*INDEX(Curves!$AN$8:$AN$68,AL$4-$B40+1)</f>
        <v/>
      </c>
      <c r="AM40" s="75">
        <f>$C40*INDEX(Curves!$AN$8:$AN$68,AM$4-$B40+1)</f>
        <v/>
      </c>
      <c r="AN40" s="75">
        <f>$C40*INDEX(Curves!$AN$8:$AN$68,AN$4-$B40+1)</f>
        <v/>
      </c>
      <c r="AO40" s="75">
        <f>$C40*INDEX(Curves!$AN$8:$AN$68,AO$4-$B40+1)</f>
        <v/>
      </c>
      <c r="AP40" s="75">
        <f>$C40*INDEX(Curves!$AN$8:$AN$68,AP$4-$B40+1)</f>
        <v/>
      </c>
      <c r="AQ40" s="75">
        <f>$C40*INDEX(Curves!$AN$8:$AN$68,AQ$4-$B40+1)</f>
        <v/>
      </c>
      <c r="AR40" s="75">
        <f>$C40*INDEX(Curves!$AN$8:$AN$68,AR$4-$B40+1)</f>
        <v/>
      </c>
      <c r="AS40" s="75">
        <f>$C40*INDEX(Curves!$AN$8:$AN$68,AS$4-$B40+1)</f>
        <v/>
      </c>
      <c r="AT40" s="75">
        <f>$C40*INDEX(Curves!$AN$8:$AN$68,AT$4-$B40+1)</f>
        <v/>
      </c>
      <c r="AU40" s="75">
        <f>$C40*INDEX(Curves!$AN$8:$AN$68,AU$4-$B40+1)</f>
        <v/>
      </c>
      <c r="AV40" s="75">
        <f>$C40*INDEX(Curves!$AN$8:$AN$68,AV$4-$B40+1)</f>
        <v/>
      </c>
      <c r="AW40" s="75">
        <f>$C40*INDEX(Curves!$AN$8:$AN$68,AW$4-$B40+1)</f>
        <v/>
      </c>
      <c r="AX40" s="75">
        <f>$C40*INDEX(Curves!$AN$8:$AN$68,AX$4-$B40+1)</f>
        <v/>
      </c>
      <c r="AY40" s="75">
        <f>$C40*INDEX(Curves!$AN$8:$AN$68,AY$4-$B40+1)</f>
        <v/>
      </c>
      <c r="AZ40" s="75">
        <f>$C40*INDEX(Curves!$AN$8:$AN$68,AZ$4-$B40+1)</f>
        <v/>
      </c>
      <c r="BA40" s="75">
        <f>$C40*INDEX(Curves!$AN$8:$AN$68,BA$4-$B40+1)</f>
        <v/>
      </c>
      <c r="BB40" s="75">
        <f>$C40*INDEX(Curves!$AN$8:$AN$68,BB$4-$B40+1)</f>
        <v/>
      </c>
      <c r="BC40" s="75">
        <f>$C40*INDEX(Curves!$AN$8:$AN$68,BC$4-$B40+1)</f>
        <v/>
      </c>
      <c r="BD40" s="75">
        <f>$C40*INDEX(Curves!$AN$8:$AN$68,BD$4-$B40+1)</f>
        <v/>
      </c>
      <c r="BE40" s="75">
        <f>$C40*INDEX(Curves!$AN$8:$AN$68,BE$4-$B40+1)</f>
        <v/>
      </c>
      <c r="BF40" s="75">
        <f>$C40*INDEX(Curves!$AN$8:$AN$68,BF$4-$B40+1)</f>
        <v/>
      </c>
      <c r="BG40" s="75">
        <f>$C40*INDEX(Curves!$AN$8:$AN$68,BG$4-$B40+1)</f>
        <v/>
      </c>
      <c r="BH40" s="75">
        <f>$C40*INDEX(Curves!$AN$8:$AN$68,BH$4-$B40+1)</f>
        <v/>
      </c>
      <c r="BI40" s="75">
        <f>$C40*INDEX(Curves!$AN$8:$AN$68,BI$4-$B40+1)</f>
        <v/>
      </c>
      <c r="BJ40" s="75">
        <f>$C40*INDEX(Curves!$AN$8:$AN$68,BJ$4-$B40+1)</f>
        <v/>
      </c>
      <c r="BK40" s="75">
        <f>$C40*INDEX(Curves!$AN$8:$AN$68,BK$4-$B40+1)</f>
        <v/>
      </c>
      <c r="BL40" s="75">
        <f>$C40*INDEX(Curves!$AN$8:$AN$68,BL$4-$B40+1)</f>
        <v/>
      </c>
    </row>
    <row r="41">
      <c r="A41" s="74" t="inlineStr">
        <is>
          <t>Cohort month 32</t>
        </is>
      </c>
      <c r="B41" s="74" t="n">
        <v>32</v>
      </c>
      <c r="C41" s="17">
        <f>INDEX(Ops!$E$85:$BL$85,1,$B41)</f>
        <v/>
      </c>
      <c r="AK41" s="75">
        <f>$C41*INDEX(Curves!$AN$8:$AN$68,AK$4-$B41+1)</f>
        <v/>
      </c>
      <c r="AL41" s="75">
        <f>$C41*INDEX(Curves!$AN$8:$AN$68,AL$4-$B41+1)</f>
        <v/>
      </c>
      <c r="AM41" s="75">
        <f>$C41*INDEX(Curves!$AN$8:$AN$68,AM$4-$B41+1)</f>
        <v/>
      </c>
      <c r="AN41" s="75">
        <f>$C41*INDEX(Curves!$AN$8:$AN$68,AN$4-$B41+1)</f>
        <v/>
      </c>
      <c r="AO41" s="75">
        <f>$C41*INDEX(Curves!$AN$8:$AN$68,AO$4-$B41+1)</f>
        <v/>
      </c>
      <c r="AP41" s="75">
        <f>$C41*INDEX(Curves!$AN$8:$AN$68,AP$4-$B41+1)</f>
        <v/>
      </c>
      <c r="AQ41" s="75">
        <f>$C41*INDEX(Curves!$AN$8:$AN$68,AQ$4-$B41+1)</f>
        <v/>
      </c>
      <c r="AR41" s="75">
        <f>$C41*INDEX(Curves!$AN$8:$AN$68,AR$4-$B41+1)</f>
        <v/>
      </c>
      <c r="AS41" s="75">
        <f>$C41*INDEX(Curves!$AN$8:$AN$68,AS$4-$B41+1)</f>
        <v/>
      </c>
      <c r="AT41" s="75">
        <f>$C41*INDEX(Curves!$AN$8:$AN$68,AT$4-$B41+1)</f>
        <v/>
      </c>
      <c r="AU41" s="75">
        <f>$C41*INDEX(Curves!$AN$8:$AN$68,AU$4-$B41+1)</f>
        <v/>
      </c>
      <c r="AV41" s="75">
        <f>$C41*INDEX(Curves!$AN$8:$AN$68,AV$4-$B41+1)</f>
        <v/>
      </c>
      <c r="AW41" s="75">
        <f>$C41*INDEX(Curves!$AN$8:$AN$68,AW$4-$B41+1)</f>
        <v/>
      </c>
      <c r="AX41" s="75">
        <f>$C41*INDEX(Curves!$AN$8:$AN$68,AX$4-$B41+1)</f>
        <v/>
      </c>
      <c r="AY41" s="75">
        <f>$C41*INDEX(Curves!$AN$8:$AN$68,AY$4-$B41+1)</f>
        <v/>
      </c>
      <c r="AZ41" s="75">
        <f>$C41*INDEX(Curves!$AN$8:$AN$68,AZ$4-$B41+1)</f>
        <v/>
      </c>
      <c r="BA41" s="75">
        <f>$C41*INDEX(Curves!$AN$8:$AN$68,BA$4-$B41+1)</f>
        <v/>
      </c>
      <c r="BB41" s="75">
        <f>$C41*INDEX(Curves!$AN$8:$AN$68,BB$4-$B41+1)</f>
        <v/>
      </c>
      <c r="BC41" s="75">
        <f>$C41*INDEX(Curves!$AN$8:$AN$68,BC$4-$B41+1)</f>
        <v/>
      </c>
      <c r="BD41" s="75">
        <f>$C41*INDEX(Curves!$AN$8:$AN$68,BD$4-$B41+1)</f>
        <v/>
      </c>
      <c r="BE41" s="75">
        <f>$C41*INDEX(Curves!$AN$8:$AN$68,BE$4-$B41+1)</f>
        <v/>
      </c>
      <c r="BF41" s="75">
        <f>$C41*INDEX(Curves!$AN$8:$AN$68,BF$4-$B41+1)</f>
        <v/>
      </c>
      <c r="BG41" s="75">
        <f>$C41*INDEX(Curves!$AN$8:$AN$68,BG$4-$B41+1)</f>
        <v/>
      </c>
      <c r="BH41" s="75">
        <f>$C41*INDEX(Curves!$AN$8:$AN$68,BH$4-$B41+1)</f>
        <v/>
      </c>
      <c r="BI41" s="75">
        <f>$C41*INDEX(Curves!$AN$8:$AN$68,BI$4-$B41+1)</f>
        <v/>
      </c>
      <c r="BJ41" s="75">
        <f>$C41*INDEX(Curves!$AN$8:$AN$68,BJ$4-$B41+1)</f>
        <v/>
      </c>
      <c r="BK41" s="75">
        <f>$C41*INDEX(Curves!$AN$8:$AN$68,BK$4-$B41+1)</f>
        <v/>
      </c>
      <c r="BL41" s="75">
        <f>$C41*INDEX(Curves!$AN$8:$AN$68,BL$4-$B41+1)</f>
        <v/>
      </c>
    </row>
    <row r="42">
      <c r="A42" s="74" t="inlineStr">
        <is>
          <t>Cohort month 33</t>
        </is>
      </c>
      <c r="B42" s="74" t="n">
        <v>33</v>
      </c>
      <c r="C42" s="17">
        <f>INDEX(Ops!$E$85:$BL$85,1,$B42)</f>
        <v/>
      </c>
      <c r="AL42" s="75">
        <f>$C42*INDEX(Curves!$AN$8:$AN$68,AL$4-$B42+1)</f>
        <v/>
      </c>
      <c r="AM42" s="75">
        <f>$C42*INDEX(Curves!$AN$8:$AN$68,AM$4-$B42+1)</f>
        <v/>
      </c>
      <c r="AN42" s="75">
        <f>$C42*INDEX(Curves!$AN$8:$AN$68,AN$4-$B42+1)</f>
        <v/>
      </c>
      <c r="AO42" s="75">
        <f>$C42*INDEX(Curves!$AN$8:$AN$68,AO$4-$B42+1)</f>
        <v/>
      </c>
      <c r="AP42" s="75">
        <f>$C42*INDEX(Curves!$AN$8:$AN$68,AP$4-$B42+1)</f>
        <v/>
      </c>
      <c r="AQ42" s="75">
        <f>$C42*INDEX(Curves!$AN$8:$AN$68,AQ$4-$B42+1)</f>
        <v/>
      </c>
      <c r="AR42" s="75">
        <f>$C42*INDEX(Curves!$AN$8:$AN$68,AR$4-$B42+1)</f>
        <v/>
      </c>
      <c r="AS42" s="75">
        <f>$C42*INDEX(Curves!$AN$8:$AN$68,AS$4-$B42+1)</f>
        <v/>
      </c>
      <c r="AT42" s="75">
        <f>$C42*INDEX(Curves!$AN$8:$AN$68,AT$4-$B42+1)</f>
        <v/>
      </c>
      <c r="AU42" s="75">
        <f>$C42*INDEX(Curves!$AN$8:$AN$68,AU$4-$B42+1)</f>
        <v/>
      </c>
      <c r="AV42" s="75">
        <f>$C42*INDEX(Curves!$AN$8:$AN$68,AV$4-$B42+1)</f>
        <v/>
      </c>
      <c r="AW42" s="75">
        <f>$C42*INDEX(Curves!$AN$8:$AN$68,AW$4-$B42+1)</f>
        <v/>
      </c>
      <c r="AX42" s="75">
        <f>$C42*INDEX(Curves!$AN$8:$AN$68,AX$4-$B42+1)</f>
        <v/>
      </c>
      <c r="AY42" s="75">
        <f>$C42*INDEX(Curves!$AN$8:$AN$68,AY$4-$B42+1)</f>
        <v/>
      </c>
      <c r="AZ42" s="75">
        <f>$C42*INDEX(Curves!$AN$8:$AN$68,AZ$4-$B42+1)</f>
        <v/>
      </c>
      <c r="BA42" s="75">
        <f>$C42*INDEX(Curves!$AN$8:$AN$68,BA$4-$B42+1)</f>
        <v/>
      </c>
      <c r="BB42" s="75">
        <f>$C42*INDEX(Curves!$AN$8:$AN$68,BB$4-$B42+1)</f>
        <v/>
      </c>
      <c r="BC42" s="75">
        <f>$C42*INDEX(Curves!$AN$8:$AN$68,BC$4-$B42+1)</f>
        <v/>
      </c>
      <c r="BD42" s="75">
        <f>$C42*INDEX(Curves!$AN$8:$AN$68,BD$4-$B42+1)</f>
        <v/>
      </c>
      <c r="BE42" s="75">
        <f>$C42*INDEX(Curves!$AN$8:$AN$68,BE$4-$B42+1)</f>
        <v/>
      </c>
      <c r="BF42" s="75">
        <f>$C42*INDEX(Curves!$AN$8:$AN$68,BF$4-$B42+1)</f>
        <v/>
      </c>
      <c r="BG42" s="75">
        <f>$C42*INDEX(Curves!$AN$8:$AN$68,BG$4-$B42+1)</f>
        <v/>
      </c>
      <c r="BH42" s="75">
        <f>$C42*INDEX(Curves!$AN$8:$AN$68,BH$4-$B42+1)</f>
        <v/>
      </c>
      <c r="BI42" s="75">
        <f>$C42*INDEX(Curves!$AN$8:$AN$68,BI$4-$B42+1)</f>
        <v/>
      </c>
      <c r="BJ42" s="75">
        <f>$C42*INDEX(Curves!$AN$8:$AN$68,BJ$4-$B42+1)</f>
        <v/>
      </c>
      <c r="BK42" s="75">
        <f>$C42*INDEX(Curves!$AN$8:$AN$68,BK$4-$B42+1)</f>
        <v/>
      </c>
      <c r="BL42" s="75">
        <f>$C42*INDEX(Curves!$AN$8:$AN$68,BL$4-$B42+1)</f>
        <v/>
      </c>
    </row>
    <row r="43">
      <c r="A43" s="74" t="inlineStr">
        <is>
          <t>Cohort month 34</t>
        </is>
      </c>
      <c r="B43" s="74" t="n">
        <v>34</v>
      </c>
      <c r="C43" s="17">
        <f>INDEX(Ops!$E$85:$BL$85,1,$B43)</f>
        <v/>
      </c>
      <c r="AM43" s="75">
        <f>$C43*INDEX(Curves!$AN$8:$AN$68,AM$4-$B43+1)</f>
        <v/>
      </c>
      <c r="AN43" s="75">
        <f>$C43*INDEX(Curves!$AN$8:$AN$68,AN$4-$B43+1)</f>
        <v/>
      </c>
      <c r="AO43" s="75">
        <f>$C43*INDEX(Curves!$AN$8:$AN$68,AO$4-$B43+1)</f>
        <v/>
      </c>
      <c r="AP43" s="75">
        <f>$C43*INDEX(Curves!$AN$8:$AN$68,AP$4-$B43+1)</f>
        <v/>
      </c>
      <c r="AQ43" s="75">
        <f>$C43*INDEX(Curves!$AN$8:$AN$68,AQ$4-$B43+1)</f>
        <v/>
      </c>
      <c r="AR43" s="75">
        <f>$C43*INDEX(Curves!$AN$8:$AN$68,AR$4-$B43+1)</f>
        <v/>
      </c>
      <c r="AS43" s="75">
        <f>$C43*INDEX(Curves!$AN$8:$AN$68,AS$4-$B43+1)</f>
        <v/>
      </c>
      <c r="AT43" s="75">
        <f>$C43*INDEX(Curves!$AN$8:$AN$68,AT$4-$B43+1)</f>
        <v/>
      </c>
      <c r="AU43" s="75">
        <f>$C43*INDEX(Curves!$AN$8:$AN$68,AU$4-$B43+1)</f>
        <v/>
      </c>
      <c r="AV43" s="75">
        <f>$C43*INDEX(Curves!$AN$8:$AN$68,AV$4-$B43+1)</f>
        <v/>
      </c>
      <c r="AW43" s="75">
        <f>$C43*INDEX(Curves!$AN$8:$AN$68,AW$4-$B43+1)</f>
        <v/>
      </c>
      <c r="AX43" s="75">
        <f>$C43*INDEX(Curves!$AN$8:$AN$68,AX$4-$B43+1)</f>
        <v/>
      </c>
      <c r="AY43" s="75">
        <f>$C43*INDEX(Curves!$AN$8:$AN$68,AY$4-$B43+1)</f>
        <v/>
      </c>
      <c r="AZ43" s="75">
        <f>$C43*INDEX(Curves!$AN$8:$AN$68,AZ$4-$B43+1)</f>
        <v/>
      </c>
      <c r="BA43" s="75">
        <f>$C43*INDEX(Curves!$AN$8:$AN$68,BA$4-$B43+1)</f>
        <v/>
      </c>
      <c r="BB43" s="75">
        <f>$C43*INDEX(Curves!$AN$8:$AN$68,BB$4-$B43+1)</f>
        <v/>
      </c>
      <c r="BC43" s="75">
        <f>$C43*INDEX(Curves!$AN$8:$AN$68,BC$4-$B43+1)</f>
        <v/>
      </c>
      <c r="BD43" s="75">
        <f>$C43*INDEX(Curves!$AN$8:$AN$68,BD$4-$B43+1)</f>
        <v/>
      </c>
      <c r="BE43" s="75">
        <f>$C43*INDEX(Curves!$AN$8:$AN$68,BE$4-$B43+1)</f>
        <v/>
      </c>
      <c r="BF43" s="75">
        <f>$C43*INDEX(Curves!$AN$8:$AN$68,BF$4-$B43+1)</f>
        <v/>
      </c>
      <c r="BG43" s="75">
        <f>$C43*INDEX(Curves!$AN$8:$AN$68,BG$4-$B43+1)</f>
        <v/>
      </c>
      <c r="BH43" s="75">
        <f>$C43*INDEX(Curves!$AN$8:$AN$68,BH$4-$B43+1)</f>
        <v/>
      </c>
      <c r="BI43" s="75">
        <f>$C43*INDEX(Curves!$AN$8:$AN$68,BI$4-$B43+1)</f>
        <v/>
      </c>
      <c r="BJ43" s="75">
        <f>$C43*INDEX(Curves!$AN$8:$AN$68,BJ$4-$B43+1)</f>
        <v/>
      </c>
      <c r="BK43" s="75">
        <f>$C43*INDEX(Curves!$AN$8:$AN$68,BK$4-$B43+1)</f>
        <v/>
      </c>
      <c r="BL43" s="75">
        <f>$C43*INDEX(Curves!$AN$8:$AN$68,BL$4-$B43+1)</f>
        <v/>
      </c>
    </row>
    <row r="44">
      <c r="A44" s="74" t="inlineStr">
        <is>
          <t>Cohort month 35</t>
        </is>
      </c>
      <c r="B44" s="74" t="n">
        <v>35</v>
      </c>
      <c r="C44" s="17">
        <f>INDEX(Ops!$E$85:$BL$85,1,$B44)</f>
        <v/>
      </c>
      <c r="AN44" s="75">
        <f>$C44*INDEX(Curves!$AN$8:$AN$68,AN$4-$B44+1)</f>
        <v/>
      </c>
      <c r="AO44" s="75">
        <f>$C44*INDEX(Curves!$AN$8:$AN$68,AO$4-$B44+1)</f>
        <v/>
      </c>
      <c r="AP44" s="75">
        <f>$C44*INDEX(Curves!$AN$8:$AN$68,AP$4-$B44+1)</f>
        <v/>
      </c>
      <c r="AQ44" s="75">
        <f>$C44*INDEX(Curves!$AN$8:$AN$68,AQ$4-$B44+1)</f>
        <v/>
      </c>
      <c r="AR44" s="75">
        <f>$C44*INDEX(Curves!$AN$8:$AN$68,AR$4-$B44+1)</f>
        <v/>
      </c>
      <c r="AS44" s="75">
        <f>$C44*INDEX(Curves!$AN$8:$AN$68,AS$4-$B44+1)</f>
        <v/>
      </c>
      <c r="AT44" s="75">
        <f>$C44*INDEX(Curves!$AN$8:$AN$68,AT$4-$B44+1)</f>
        <v/>
      </c>
      <c r="AU44" s="75">
        <f>$C44*INDEX(Curves!$AN$8:$AN$68,AU$4-$B44+1)</f>
        <v/>
      </c>
      <c r="AV44" s="75">
        <f>$C44*INDEX(Curves!$AN$8:$AN$68,AV$4-$B44+1)</f>
        <v/>
      </c>
      <c r="AW44" s="75">
        <f>$C44*INDEX(Curves!$AN$8:$AN$68,AW$4-$B44+1)</f>
        <v/>
      </c>
      <c r="AX44" s="75">
        <f>$C44*INDEX(Curves!$AN$8:$AN$68,AX$4-$B44+1)</f>
        <v/>
      </c>
      <c r="AY44" s="75">
        <f>$C44*INDEX(Curves!$AN$8:$AN$68,AY$4-$B44+1)</f>
        <v/>
      </c>
      <c r="AZ44" s="75">
        <f>$C44*INDEX(Curves!$AN$8:$AN$68,AZ$4-$B44+1)</f>
        <v/>
      </c>
      <c r="BA44" s="75">
        <f>$C44*INDEX(Curves!$AN$8:$AN$68,BA$4-$B44+1)</f>
        <v/>
      </c>
      <c r="BB44" s="75">
        <f>$C44*INDEX(Curves!$AN$8:$AN$68,BB$4-$B44+1)</f>
        <v/>
      </c>
      <c r="BC44" s="75">
        <f>$C44*INDEX(Curves!$AN$8:$AN$68,BC$4-$B44+1)</f>
        <v/>
      </c>
      <c r="BD44" s="75">
        <f>$C44*INDEX(Curves!$AN$8:$AN$68,BD$4-$B44+1)</f>
        <v/>
      </c>
      <c r="BE44" s="75">
        <f>$C44*INDEX(Curves!$AN$8:$AN$68,BE$4-$B44+1)</f>
        <v/>
      </c>
      <c r="BF44" s="75">
        <f>$C44*INDEX(Curves!$AN$8:$AN$68,BF$4-$B44+1)</f>
        <v/>
      </c>
      <c r="BG44" s="75">
        <f>$C44*INDEX(Curves!$AN$8:$AN$68,BG$4-$B44+1)</f>
        <v/>
      </c>
      <c r="BH44" s="75">
        <f>$C44*INDEX(Curves!$AN$8:$AN$68,BH$4-$B44+1)</f>
        <v/>
      </c>
      <c r="BI44" s="75">
        <f>$C44*INDEX(Curves!$AN$8:$AN$68,BI$4-$B44+1)</f>
        <v/>
      </c>
      <c r="BJ44" s="75">
        <f>$C44*INDEX(Curves!$AN$8:$AN$68,BJ$4-$B44+1)</f>
        <v/>
      </c>
      <c r="BK44" s="75">
        <f>$C44*INDEX(Curves!$AN$8:$AN$68,BK$4-$B44+1)</f>
        <v/>
      </c>
      <c r="BL44" s="75">
        <f>$C44*INDEX(Curves!$AN$8:$AN$68,BL$4-$B44+1)</f>
        <v/>
      </c>
    </row>
    <row r="45">
      <c r="A45" s="74" t="inlineStr">
        <is>
          <t>Cohort month 36</t>
        </is>
      </c>
      <c r="B45" s="74" t="n">
        <v>36</v>
      </c>
      <c r="C45" s="17">
        <f>INDEX(Ops!$E$85:$BL$85,1,$B45)</f>
        <v/>
      </c>
      <c r="AO45" s="75">
        <f>$C45*INDEX(Curves!$AN$8:$AN$68,AO$4-$B45+1)</f>
        <v/>
      </c>
      <c r="AP45" s="75">
        <f>$C45*INDEX(Curves!$AN$8:$AN$68,AP$4-$B45+1)</f>
        <v/>
      </c>
      <c r="AQ45" s="75">
        <f>$C45*INDEX(Curves!$AN$8:$AN$68,AQ$4-$B45+1)</f>
        <v/>
      </c>
      <c r="AR45" s="75">
        <f>$C45*INDEX(Curves!$AN$8:$AN$68,AR$4-$B45+1)</f>
        <v/>
      </c>
      <c r="AS45" s="75">
        <f>$C45*INDEX(Curves!$AN$8:$AN$68,AS$4-$B45+1)</f>
        <v/>
      </c>
      <c r="AT45" s="75">
        <f>$C45*INDEX(Curves!$AN$8:$AN$68,AT$4-$B45+1)</f>
        <v/>
      </c>
      <c r="AU45" s="75">
        <f>$C45*INDEX(Curves!$AN$8:$AN$68,AU$4-$B45+1)</f>
        <v/>
      </c>
      <c r="AV45" s="75">
        <f>$C45*INDEX(Curves!$AN$8:$AN$68,AV$4-$B45+1)</f>
        <v/>
      </c>
      <c r="AW45" s="75">
        <f>$C45*INDEX(Curves!$AN$8:$AN$68,AW$4-$B45+1)</f>
        <v/>
      </c>
      <c r="AX45" s="75">
        <f>$C45*INDEX(Curves!$AN$8:$AN$68,AX$4-$B45+1)</f>
        <v/>
      </c>
      <c r="AY45" s="75">
        <f>$C45*INDEX(Curves!$AN$8:$AN$68,AY$4-$B45+1)</f>
        <v/>
      </c>
      <c r="AZ45" s="75">
        <f>$C45*INDEX(Curves!$AN$8:$AN$68,AZ$4-$B45+1)</f>
        <v/>
      </c>
      <c r="BA45" s="75">
        <f>$C45*INDEX(Curves!$AN$8:$AN$68,BA$4-$B45+1)</f>
        <v/>
      </c>
      <c r="BB45" s="75">
        <f>$C45*INDEX(Curves!$AN$8:$AN$68,BB$4-$B45+1)</f>
        <v/>
      </c>
      <c r="BC45" s="75">
        <f>$C45*INDEX(Curves!$AN$8:$AN$68,BC$4-$B45+1)</f>
        <v/>
      </c>
      <c r="BD45" s="75">
        <f>$C45*INDEX(Curves!$AN$8:$AN$68,BD$4-$B45+1)</f>
        <v/>
      </c>
      <c r="BE45" s="75">
        <f>$C45*INDEX(Curves!$AN$8:$AN$68,BE$4-$B45+1)</f>
        <v/>
      </c>
      <c r="BF45" s="75">
        <f>$C45*INDEX(Curves!$AN$8:$AN$68,BF$4-$B45+1)</f>
        <v/>
      </c>
      <c r="BG45" s="75">
        <f>$C45*INDEX(Curves!$AN$8:$AN$68,BG$4-$B45+1)</f>
        <v/>
      </c>
      <c r="BH45" s="75">
        <f>$C45*INDEX(Curves!$AN$8:$AN$68,BH$4-$B45+1)</f>
        <v/>
      </c>
      <c r="BI45" s="75">
        <f>$C45*INDEX(Curves!$AN$8:$AN$68,BI$4-$B45+1)</f>
        <v/>
      </c>
      <c r="BJ45" s="75">
        <f>$C45*INDEX(Curves!$AN$8:$AN$68,BJ$4-$B45+1)</f>
        <v/>
      </c>
      <c r="BK45" s="75">
        <f>$C45*INDEX(Curves!$AN$8:$AN$68,BK$4-$B45+1)</f>
        <v/>
      </c>
      <c r="BL45" s="75">
        <f>$C45*INDEX(Curves!$AN$8:$AN$68,BL$4-$B45+1)</f>
        <v/>
      </c>
    </row>
    <row r="46">
      <c r="A46" s="74" t="inlineStr">
        <is>
          <t>Cohort month 37</t>
        </is>
      </c>
      <c r="B46" s="74" t="n">
        <v>37</v>
      </c>
      <c r="C46" s="17">
        <f>INDEX(Ops!$E$85:$BL$85,1,$B46)</f>
        <v/>
      </c>
      <c r="AP46" s="75">
        <f>$C46*INDEX(Curves!$AN$8:$AN$68,AP$4-$B46+1)</f>
        <v/>
      </c>
      <c r="AQ46" s="75">
        <f>$C46*INDEX(Curves!$AN$8:$AN$68,AQ$4-$B46+1)</f>
        <v/>
      </c>
      <c r="AR46" s="75">
        <f>$C46*INDEX(Curves!$AN$8:$AN$68,AR$4-$B46+1)</f>
        <v/>
      </c>
      <c r="AS46" s="75">
        <f>$C46*INDEX(Curves!$AN$8:$AN$68,AS$4-$B46+1)</f>
        <v/>
      </c>
      <c r="AT46" s="75">
        <f>$C46*INDEX(Curves!$AN$8:$AN$68,AT$4-$B46+1)</f>
        <v/>
      </c>
      <c r="AU46" s="75">
        <f>$C46*INDEX(Curves!$AN$8:$AN$68,AU$4-$B46+1)</f>
        <v/>
      </c>
      <c r="AV46" s="75">
        <f>$C46*INDEX(Curves!$AN$8:$AN$68,AV$4-$B46+1)</f>
        <v/>
      </c>
      <c r="AW46" s="75">
        <f>$C46*INDEX(Curves!$AN$8:$AN$68,AW$4-$B46+1)</f>
        <v/>
      </c>
      <c r="AX46" s="75">
        <f>$C46*INDEX(Curves!$AN$8:$AN$68,AX$4-$B46+1)</f>
        <v/>
      </c>
      <c r="AY46" s="75">
        <f>$C46*INDEX(Curves!$AN$8:$AN$68,AY$4-$B46+1)</f>
        <v/>
      </c>
      <c r="AZ46" s="75">
        <f>$C46*INDEX(Curves!$AN$8:$AN$68,AZ$4-$B46+1)</f>
        <v/>
      </c>
      <c r="BA46" s="75">
        <f>$C46*INDEX(Curves!$AN$8:$AN$68,BA$4-$B46+1)</f>
        <v/>
      </c>
      <c r="BB46" s="75">
        <f>$C46*INDEX(Curves!$AN$8:$AN$68,BB$4-$B46+1)</f>
        <v/>
      </c>
      <c r="BC46" s="75">
        <f>$C46*INDEX(Curves!$AN$8:$AN$68,BC$4-$B46+1)</f>
        <v/>
      </c>
      <c r="BD46" s="75">
        <f>$C46*INDEX(Curves!$AN$8:$AN$68,BD$4-$B46+1)</f>
        <v/>
      </c>
      <c r="BE46" s="75">
        <f>$C46*INDEX(Curves!$AN$8:$AN$68,BE$4-$B46+1)</f>
        <v/>
      </c>
      <c r="BF46" s="75">
        <f>$C46*INDEX(Curves!$AN$8:$AN$68,BF$4-$B46+1)</f>
        <v/>
      </c>
      <c r="BG46" s="75">
        <f>$C46*INDEX(Curves!$AN$8:$AN$68,BG$4-$B46+1)</f>
        <v/>
      </c>
      <c r="BH46" s="75">
        <f>$C46*INDEX(Curves!$AN$8:$AN$68,BH$4-$B46+1)</f>
        <v/>
      </c>
      <c r="BI46" s="75">
        <f>$C46*INDEX(Curves!$AN$8:$AN$68,BI$4-$B46+1)</f>
        <v/>
      </c>
      <c r="BJ46" s="75">
        <f>$C46*INDEX(Curves!$AN$8:$AN$68,BJ$4-$B46+1)</f>
        <v/>
      </c>
      <c r="BK46" s="75">
        <f>$C46*INDEX(Curves!$AN$8:$AN$68,BK$4-$B46+1)</f>
        <v/>
      </c>
      <c r="BL46" s="75">
        <f>$C46*INDEX(Curves!$AN$8:$AN$68,BL$4-$B46+1)</f>
        <v/>
      </c>
    </row>
    <row r="47">
      <c r="A47" s="74" t="inlineStr">
        <is>
          <t>Cohort month 38</t>
        </is>
      </c>
      <c r="B47" s="74" t="n">
        <v>38</v>
      </c>
      <c r="C47" s="17">
        <f>INDEX(Ops!$E$85:$BL$85,1,$B47)</f>
        <v/>
      </c>
      <c r="AQ47" s="75">
        <f>$C47*INDEX(Curves!$AN$8:$AN$68,AQ$4-$B47+1)</f>
        <v/>
      </c>
      <c r="AR47" s="75">
        <f>$C47*INDEX(Curves!$AN$8:$AN$68,AR$4-$B47+1)</f>
        <v/>
      </c>
      <c r="AS47" s="75">
        <f>$C47*INDEX(Curves!$AN$8:$AN$68,AS$4-$B47+1)</f>
        <v/>
      </c>
      <c r="AT47" s="75">
        <f>$C47*INDEX(Curves!$AN$8:$AN$68,AT$4-$B47+1)</f>
        <v/>
      </c>
      <c r="AU47" s="75">
        <f>$C47*INDEX(Curves!$AN$8:$AN$68,AU$4-$B47+1)</f>
        <v/>
      </c>
      <c r="AV47" s="75">
        <f>$C47*INDEX(Curves!$AN$8:$AN$68,AV$4-$B47+1)</f>
        <v/>
      </c>
      <c r="AW47" s="75">
        <f>$C47*INDEX(Curves!$AN$8:$AN$68,AW$4-$B47+1)</f>
        <v/>
      </c>
      <c r="AX47" s="75">
        <f>$C47*INDEX(Curves!$AN$8:$AN$68,AX$4-$B47+1)</f>
        <v/>
      </c>
      <c r="AY47" s="75">
        <f>$C47*INDEX(Curves!$AN$8:$AN$68,AY$4-$B47+1)</f>
        <v/>
      </c>
      <c r="AZ47" s="75">
        <f>$C47*INDEX(Curves!$AN$8:$AN$68,AZ$4-$B47+1)</f>
        <v/>
      </c>
      <c r="BA47" s="75">
        <f>$C47*INDEX(Curves!$AN$8:$AN$68,BA$4-$B47+1)</f>
        <v/>
      </c>
      <c r="BB47" s="75">
        <f>$C47*INDEX(Curves!$AN$8:$AN$68,BB$4-$B47+1)</f>
        <v/>
      </c>
      <c r="BC47" s="75">
        <f>$C47*INDEX(Curves!$AN$8:$AN$68,BC$4-$B47+1)</f>
        <v/>
      </c>
      <c r="BD47" s="75">
        <f>$C47*INDEX(Curves!$AN$8:$AN$68,BD$4-$B47+1)</f>
        <v/>
      </c>
      <c r="BE47" s="75">
        <f>$C47*INDEX(Curves!$AN$8:$AN$68,BE$4-$B47+1)</f>
        <v/>
      </c>
      <c r="BF47" s="75">
        <f>$C47*INDEX(Curves!$AN$8:$AN$68,BF$4-$B47+1)</f>
        <v/>
      </c>
      <c r="BG47" s="75">
        <f>$C47*INDEX(Curves!$AN$8:$AN$68,BG$4-$B47+1)</f>
        <v/>
      </c>
      <c r="BH47" s="75">
        <f>$C47*INDEX(Curves!$AN$8:$AN$68,BH$4-$B47+1)</f>
        <v/>
      </c>
      <c r="BI47" s="75">
        <f>$C47*INDEX(Curves!$AN$8:$AN$68,BI$4-$B47+1)</f>
        <v/>
      </c>
      <c r="BJ47" s="75">
        <f>$C47*INDEX(Curves!$AN$8:$AN$68,BJ$4-$B47+1)</f>
        <v/>
      </c>
      <c r="BK47" s="75">
        <f>$C47*INDEX(Curves!$AN$8:$AN$68,BK$4-$B47+1)</f>
        <v/>
      </c>
      <c r="BL47" s="75">
        <f>$C47*INDEX(Curves!$AN$8:$AN$68,BL$4-$B47+1)</f>
        <v/>
      </c>
    </row>
    <row r="48">
      <c r="A48" s="74" t="inlineStr">
        <is>
          <t>Cohort month 39</t>
        </is>
      </c>
      <c r="B48" s="74" t="n">
        <v>39</v>
      </c>
      <c r="C48" s="17">
        <f>INDEX(Ops!$E$85:$BL$85,1,$B48)</f>
        <v/>
      </c>
      <c r="AR48" s="75">
        <f>$C48*INDEX(Curves!$AN$8:$AN$68,AR$4-$B48+1)</f>
        <v/>
      </c>
      <c r="AS48" s="75">
        <f>$C48*INDEX(Curves!$AN$8:$AN$68,AS$4-$B48+1)</f>
        <v/>
      </c>
      <c r="AT48" s="75">
        <f>$C48*INDEX(Curves!$AN$8:$AN$68,AT$4-$B48+1)</f>
        <v/>
      </c>
      <c r="AU48" s="75">
        <f>$C48*INDEX(Curves!$AN$8:$AN$68,AU$4-$B48+1)</f>
        <v/>
      </c>
      <c r="AV48" s="75">
        <f>$C48*INDEX(Curves!$AN$8:$AN$68,AV$4-$B48+1)</f>
        <v/>
      </c>
      <c r="AW48" s="75">
        <f>$C48*INDEX(Curves!$AN$8:$AN$68,AW$4-$B48+1)</f>
        <v/>
      </c>
      <c r="AX48" s="75">
        <f>$C48*INDEX(Curves!$AN$8:$AN$68,AX$4-$B48+1)</f>
        <v/>
      </c>
      <c r="AY48" s="75">
        <f>$C48*INDEX(Curves!$AN$8:$AN$68,AY$4-$B48+1)</f>
        <v/>
      </c>
      <c r="AZ48" s="75">
        <f>$C48*INDEX(Curves!$AN$8:$AN$68,AZ$4-$B48+1)</f>
        <v/>
      </c>
      <c r="BA48" s="75">
        <f>$C48*INDEX(Curves!$AN$8:$AN$68,BA$4-$B48+1)</f>
        <v/>
      </c>
      <c r="BB48" s="75">
        <f>$C48*INDEX(Curves!$AN$8:$AN$68,BB$4-$B48+1)</f>
        <v/>
      </c>
      <c r="BC48" s="75">
        <f>$C48*INDEX(Curves!$AN$8:$AN$68,BC$4-$B48+1)</f>
        <v/>
      </c>
      <c r="BD48" s="75">
        <f>$C48*INDEX(Curves!$AN$8:$AN$68,BD$4-$B48+1)</f>
        <v/>
      </c>
      <c r="BE48" s="75">
        <f>$C48*INDEX(Curves!$AN$8:$AN$68,BE$4-$B48+1)</f>
        <v/>
      </c>
      <c r="BF48" s="75">
        <f>$C48*INDEX(Curves!$AN$8:$AN$68,BF$4-$B48+1)</f>
        <v/>
      </c>
      <c r="BG48" s="75">
        <f>$C48*INDEX(Curves!$AN$8:$AN$68,BG$4-$B48+1)</f>
        <v/>
      </c>
      <c r="BH48" s="75">
        <f>$C48*INDEX(Curves!$AN$8:$AN$68,BH$4-$B48+1)</f>
        <v/>
      </c>
      <c r="BI48" s="75">
        <f>$C48*INDEX(Curves!$AN$8:$AN$68,BI$4-$B48+1)</f>
        <v/>
      </c>
      <c r="BJ48" s="75">
        <f>$C48*INDEX(Curves!$AN$8:$AN$68,BJ$4-$B48+1)</f>
        <v/>
      </c>
      <c r="BK48" s="75">
        <f>$C48*INDEX(Curves!$AN$8:$AN$68,BK$4-$B48+1)</f>
        <v/>
      </c>
      <c r="BL48" s="75">
        <f>$C48*INDEX(Curves!$AN$8:$AN$68,BL$4-$B48+1)</f>
        <v/>
      </c>
    </row>
    <row r="49">
      <c r="A49" s="74" t="inlineStr">
        <is>
          <t>Cohort month 40</t>
        </is>
      </c>
      <c r="B49" s="74" t="n">
        <v>40</v>
      </c>
      <c r="C49" s="17">
        <f>INDEX(Ops!$E$85:$BL$85,1,$B49)</f>
        <v/>
      </c>
      <c r="AS49" s="75">
        <f>$C49*INDEX(Curves!$AN$8:$AN$68,AS$4-$B49+1)</f>
        <v/>
      </c>
      <c r="AT49" s="75">
        <f>$C49*INDEX(Curves!$AN$8:$AN$68,AT$4-$B49+1)</f>
        <v/>
      </c>
      <c r="AU49" s="75">
        <f>$C49*INDEX(Curves!$AN$8:$AN$68,AU$4-$B49+1)</f>
        <v/>
      </c>
      <c r="AV49" s="75">
        <f>$C49*INDEX(Curves!$AN$8:$AN$68,AV$4-$B49+1)</f>
        <v/>
      </c>
      <c r="AW49" s="75">
        <f>$C49*INDEX(Curves!$AN$8:$AN$68,AW$4-$B49+1)</f>
        <v/>
      </c>
      <c r="AX49" s="75">
        <f>$C49*INDEX(Curves!$AN$8:$AN$68,AX$4-$B49+1)</f>
        <v/>
      </c>
      <c r="AY49" s="75">
        <f>$C49*INDEX(Curves!$AN$8:$AN$68,AY$4-$B49+1)</f>
        <v/>
      </c>
      <c r="AZ49" s="75">
        <f>$C49*INDEX(Curves!$AN$8:$AN$68,AZ$4-$B49+1)</f>
        <v/>
      </c>
      <c r="BA49" s="75">
        <f>$C49*INDEX(Curves!$AN$8:$AN$68,BA$4-$B49+1)</f>
        <v/>
      </c>
      <c r="BB49" s="75">
        <f>$C49*INDEX(Curves!$AN$8:$AN$68,BB$4-$B49+1)</f>
        <v/>
      </c>
      <c r="BC49" s="75">
        <f>$C49*INDEX(Curves!$AN$8:$AN$68,BC$4-$B49+1)</f>
        <v/>
      </c>
      <c r="BD49" s="75">
        <f>$C49*INDEX(Curves!$AN$8:$AN$68,BD$4-$B49+1)</f>
        <v/>
      </c>
      <c r="BE49" s="75">
        <f>$C49*INDEX(Curves!$AN$8:$AN$68,BE$4-$B49+1)</f>
        <v/>
      </c>
      <c r="BF49" s="75">
        <f>$C49*INDEX(Curves!$AN$8:$AN$68,BF$4-$B49+1)</f>
        <v/>
      </c>
      <c r="BG49" s="75">
        <f>$C49*INDEX(Curves!$AN$8:$AN$68,BG$4-$B49+1)</f>
        <v/>
      </c>
      <c r="BH49" s="75">
        <f>$C49*INDEX(Curves!$AN$8:$AN$68,BH$4-$B49+1)</f>
        <v/>
      </c>
      <c r="BI49" s="75">
        <f>$C49*INDEX(Curves!$AN$8:$AN$68,BI$4-$B49+1)</f>
        <v/>
      </c>
      <c r="BJ49" s="75">
        <f>$C49*INDEX(Curves!$AN$8:$AN$68,BJ$4-$B49+1)</f>
        <v/>
      </c>
      <c r="BK49" s="75">
        <f>$C49*INDEX(Curves!$AN$8:$AN$68,BK$4-$B49+1)</f>
        <v/>
      </c>
      <c r="BL49" s="75">
        <f>$C49*INDEX(Curves!$AN$8:$AN$68,BL$4-$B49+1)</f>
        <v/>
      </c>
    </row>
    <row r="50">
      <c r="A50" s="74" t="inlineStr">
        <is>
          <t>Cohort month 41</t>
        </is>
      </c>
      <c r="B50" s="74" t="n">
        <v>41</v>
      </c>
      <c r="C50" s="17">
        <f>INDEX(Ops!$E$85:$BL$85,1,$B50)</f>
        <v/>
      </c>
      <c r="AT50" s="75">
        <f>$C50*INDEX(Curves!$AN$8:$AN$68,AT$4-$B50+1)</f>
        <v/>
      </c>
      <c r="AU50" s="75">
        <f>$C50*INDEX(Curves!$AN$8:$AN$68,AU$4-$B50+1)</f>
        <v/>
      </c>
      <c r="AV50" s="75">
        <f>$C50*INDEX(Curves!$AN$8:$AN$68,AV$4-$B50+1)</f>
        <v/>
      </c>
      <c r="AW50" s="75">
        <f>$C50*INDEX(Curves!$AN$8:$AN$68,AW$4-$B50+1)</f>
        <v/>
      </c>
      <c r="AX50" s="75">
        <f>$C50*INDEX(Curves!$AN$8:$AN$68,AX$4-$B50+1)</f>
        <v/>
      </c>
      <c r="AY50" s="75">
        <f>$C50*INDEX(Curves!$AN$8:$AN$68,AY$4-$B50+1)</f>
        <v/>
      </c>
      <c r="AZ50" s="75">
        <f>$C50*INDEX(Curves!$AN$8:$AN$68,AZ$4-$B50+1)</f>
        <v/>
      </c>
      <c r="BA50" s="75">
        <f>$C50*INDEX(Curves!$AN$8:$AN$68,BA$4-$B50+1)</f>
        <v/>
      </c>
      <c r="BB50" s="75">
        <f>$C50*INDEX(Curves!$AN$8:$AN$68,BB$4-$B50+1)</f>
        <v/>
      </c>
      <c r="BC50" s="75">
        <f>$C50*INDEX(Curves!$AN$8:$AN$68,BC$4-$B50+1)</f>
        <v/>
      </c>
      <c r="BD50" s="75">
        <f>$C50*INDEX(Curves!$AN$8:$AN$68,BD$4-$B50+1)</f>
        <v/>
      </c>
      <c r="BE50" s="75">
        <f>$C50*INDEX(Curves!$AN$8:$AN$68,BE$4-$B50+1)</f>
        <v/>
      </c>
      <c r="BF50" s="75">
        <f>$C50*INDEX(Curves!$AN$8:$AN$68,BF$4-$B50+1)</f>
        <v/>
      </c>
      <c r="BG50" s="75">
        <f>$C50*INDEX(Curves!$AN$8:$AN$68,BG$4-$B50+1)</f>
        <v/>
      </c>
      <c r="BH50" s="75">
        <f>$C50*INDEX(Curves!$AN$8:$AN$68,BH$4-$B50+1)</f>
        <v/>
      </c>
      <c r="BI50" s="75">
        <f>$C50*INDEX(Curves!$AN$8:$AN$68,BI$4-$B50+1)</f>
        <v/>
      </c>
      <c r="BJ50" s="75">
        <f>$C50*INDEX(Curves!$AN$8:$AN$68,BJ$4-$B50+1)</f>
        <v/>
      </c>
      <c r="BK50" s="75">
        <f>$C50*INDEX(Curves!$AN$8:$AN$68,BK$4-$B50+1)</f>
        <v/>
      </c>
      <c r="BL50" s="75">
        <f>$C50*INDEX(Curves!$AN$8:$AN$68,BL$4-$B50+1)</f>
        <v/>
      </c>
    </row>
    <row r="51">
      <c r="A51" s="74" t="inlineStr">
        <is>
          <t>Cohort month 42</t>
        </is>
      </c>
      <c r="B51" s="74" t="n">
        <v>42</v>
      </c>
      <c r="C51" s="17">
        <f>INDEX(Ops!$E$85:$BL$85,1,$B51)</f>
        <v/>
      </c>
      <c r="AU51" s="75">
        <f>$C51*INDEX(Curves!$AN$8:$AN$68,AU$4-$B51+1)</f>
        <v/>
      </c>
      <c r="AV51" s="75">
        <f>$C51*INDEX(Curves!$AN$8:$AN$68,AV$4-$B51+1)</f>
        <v/>
      </c>
      <c r="AW51" s="75">
        <f>$C51*INDEX(Curves!$AN$8:$AN$68,AW$4-$B51+1)</f>
        <v/>
      </c>
      <c r="AX51" s="75">
        <f>$C51*INDEX(Curves!$AN$8:$AN$68,AX$4-$B51+1)</f>
        <v/>
      </c>
      <c r="AY51" s="75">
        <f>$C51*INDEX(Curves!$AN$8:$AN$68,AY$4-$B51+1)</f>
        <v/>
      </c>
      <c r="AZ51" s="75">
        <f>$C51*INDEX(Curves!$AN$8:$AN$68,AZ$4-$B51+1)</f>
        <v/>
      </c>
      <c r="BA51" s="75">
        <f>$C51*INDEX(Curves!$AN$8:$AN$68,BA$4-$B51+1)</f>
        <v/>
      </c>
      <c r="BB51" s="75">
        <f>$C51*INDEX(Curves!$AN$8:$AN$68,BB$4-$B51+1)</f>
        <v/>
      </c>
      <c r="BC51" s="75">
        <f>$C51*INDEX(Curves!$AN$8:$AN$68,BC$4-$B51+1)</f>
        <v/>
      </c>
      <c r="BD51" s="75">
        <f>$C51*INDEX(Curves!$AN$8:$AN$68,BD$4-$B51+1)</f>
        <v/>
      </c>
      <c r="BE51" s="75">
        <f>$C51*INDEX(Curves!$AN$8:$AN$68,BE$4-$B51+1)</f>
        <v/>
      </c>
      <c r="BF51" s="75">
        <f>$C51*INDEX(Curves!$AN$8:$AN$68,BF$4-$B51+1)</f>
        <v/>
      </c>
      <c r="BG51" s="75">
        <f>$C51*INDEX(Curves!$AN$8:$AN$68,BG$4-$B51+1)</f>
        <v/>
      </c>
      <c r="BH51" s="75">
        <f>$C51*INDEX(Curves!$AN$8:$AN$68,BH$4-$B51+1)</f>
        <v/>
      </c>
      <c r="BI51" s="75">
        <f>$C51*INDEX(Curves!$AN$8:$AN$68,BI$4-$B51+1)</f>
        <v/>
      </c>
      <c r="BJ51" s="75">
        <f>$C51*INDEX(Curves!$AN$8:$AN$68,BJ$4-$B51+1)</f>
        <v/>
      </c>
      <c r="BK51" s="75">
        <f>$C51*INDEX(Curves!$AN$8:$AN$68,BK$4-$B51+1)</f>
        <v/>
      </c>
      <c r="BL51" s="75">
        <f>$C51*INDEX(Curves!$AN$8:$AN$68,BL$4-$B51+1)</f>
        <v/>
      </c>
    </row>
    <row r="52">
      <c r="A52" s="74" t="inlineStr">
        <is>
          <t>Cohort month 43</t>
        </is>
      </c>
      <c r="B52" s="74" t="n">
        <v>43</v>
      </c>
      <c r="C52" s="17">
        <f>INDEX(Ops!$E$85:$BL$85,1,$B52)</f>
        <v/>
      </c>
      <c r="AV52" s="75">
        <f>$C52*INDEX(Curves!$AN$8:$AN$68,AV$4-$B52+1)</f>
        <v/>
      </c>
      <c r="AW52" s="75">
        <f>$C52*INDEX(Curves!$AN$8:$AN$68,AW$4-$B52+1)</f>
        <v/>
      </c>
      <c r="AX52" s="75">
        <f>$C52*INDEX(Curves!$AN$8:$AN$68,AX$4-$B52+1)</f>
        <v/>
      </c>
      <c r="AY52" s="75">
        <f>$C52*INDEX(Curves!$AN$8:$AN$68,AY$4-$B52+1)</f>
        <v/>
      </c>
      <c r="AZ52" s="75">
        <f>$C52*INDEX(Curves!$AN$8:$AN$68,AZ$4-$B52+1)</f>
        <v/>
      </c>
      <c r="BA52" s="75">
        <f>$C52*INDEX(Curves!$AN$8:$AN$68,BA$4-$B52+1)</f>
        <v/>
      </c>
      <c r="BB52" s="75">
        <f>$C52*INDEX(Curves!$AN$8:$AN$68,BB$4-$B52+1)</f>
        <v/>
      </c>
      <c r="BC52" s="75">
        <f>$C52*INDEX(Curves!$AN$8:$AN$68,BC$4-$B52+1)</f>
        <v/>
      </c>
      <c r="BD52" s="75">
        <f>$C52*INDEX(Curves!$AN$8:$AN$68,BD$4-$B52+1)</f>
        <v/>
      </c>
      <c r="BE52" s="75">
        <f>$C52*INDEX(Curves!$AN$8:$AN$68,BE$4-$B52+1)</f>
        <v/>
      </c>
      <c r="BF52" s="75">
        <f>$C52*INDEX(Curves!$AN$8:$AN$68,BF$4-$B52+1)</f>
        <v/>
      </c>
      <c r="BG52" s="75">
        <f>$C52*INDEX(Curves!$AN$8:$AN$68,BG$4-$B52+1)</f>
        <v/>
      </c>
      <c r="BH52" s="75">
        <f>$C52*INDEX(Curves!$AN$8:$AN$68,BH$4-$B52+1)</f>
        <v/>
      </c>
      <c r="BI52" s="75">
        <f>$C52*INDEX(Curves!$AN$8:$AN$68,BI$4-$B52+1)</f>
        <v/>
      </c>
      <c r="BJ52" s="75">
        <f>$C52*INDEX(Curves!$AN$8:$AN$68,BJ$4-$B52+1)</f>
        <v/>
      </c>
      <c r="BK52" s="75">
        <f>$C52*INDEX(Curves!$AN$8:$AN$68,BK$4-$B52+1)</f>
        <v/>
      </c>
      <c r="BL52" s="75">
        <f>$C52*INDEX(Curves!$AN$8:$AN$68,BL$4-$B52+1)</f>
        <v/>
      </c>
    </row>
    <row r="53">
      <c r="A53" s="74" t="inlineStr">
        <is>
          <t>Cohort month 44</t>
        </is>
      </c>
      <c r="B53" s="74" t="n">
        <v>44</v>
      </c>
      <c r="C53" s="17">
        <f>INDEX(Ops!$E$85:$BL$85,1,$B53)</f>
        <v/>
      </c>
      <c r="AW53" s="75">
        <f>$C53*INDEX(Curves!$AN$8:$AN$68,AW$4-$B53+1)</f>
        <v/>
      </c>
      <c r="AX53" s="75">
        <f>$C53*INDEX(Curves!$AN$8:$AN$68,AX$4-$B53+1)</f>
        <v/>
      </c>
      <c r="AY53" s="75">
        <f>$C53*INDEX(Curves!$AN$8:$AN$68,AY$4-$B53+1)</f>
        <v/>
      </c>
      <c r="AZ53" s="75">
        <f>$C53*INDEX(Curves!$AN$8:$AN$68,AZ$4-$B53+1)</f>
        <v/>
      </c>
      <c r="BA53" s="75">
        <f>$C53*INDEX(Curves!$AN$8:$AN$68,BA$4-$B53+1)</f>
        <v/>
      </c>
      <c r="BB53" s="75">
        <f>$C53*INDEX(Curves!$AN$8:$AN$68,BB$4-$B53+1)</f>
        <v/>
      </c>
      <c r="BC53" s="75">
        <f>$C53*INDEX(Curves!$AN$8:$AN$68,BC$4-$B53+1)</f>
        <v/>
      </c>
      <c r="BD53" s="75">
        <f>$C53*INDEX(Curves!$AN$8:$AN$68,BD$4-$B53+1)</f>
        <v/>
      </c>
      <c r="BE53" s="75">
        <f>$C53*INDEX(Curves!$AN$8:$AN$68,BE$4-$B53+1)</f>
        <v/>
      </c>
      <c r="BF53" s="75">
        <f>$C53*INDEX(Curves!$AN$8:$AN$68,BF$4-$B53+1)</f>
        <v/>
      </c>
      <c r="BG53" s="75">
        <f>$C53*INDEX(Curves!$AN$8:$AN$68,BG$4-$B53+1)</f>
        <v/>
      </c>
      <c r="BH53" s="75">
        <f>$C53*INDEX(Curves!$AN$8:$AN$68,BH$4-$B53+1)</f>
        <v/>
      </c>
      <c r="BI53" s="75">
        <f>$C53*INDEX(Curves!$AN$8:$AN$68,BI$4-$B53+1)</f>
        <v/>
      </c>
      <c r="BJ53" s="75">
        <f>$C53*INDEX(Curves!$AN$8:$AN$68,BJ$4-$B53+1)</f>
        <v/>
      </c>
      <c r="BK53" s="75">
        <f>$C53*INDEX(Curves!$AN$8:$AN$68,BK$4-$B53+1)</f>
        <v/>
      </c>
      <c r="BL53" s="75">
        <f>$C53*INDEX(Curves!$AN$8:$AN$68,BL$4-$B53+1)</f>
        <v/>
      </c>
    </row>
    <row r="54">
      <c r="A54" s="74" t="inlineStr">
        <is>
          <t>Cohort month 45</t>
        </is>
      </c>
      <c r="B54" s="74" t="n">
        <v>45</v>
      </c>
      <c r="C54" s="17">
        <f>INDEX(Ops!$E$85:$BL$85,1,$B54)</f>
        <v/>
      </c>
      <c r="AX54" s="75">
        <f>$C54*INDEX(Curves!$AN$8:$AN$68,AX$4-$B54+1)</f>
        <v/>
      </c>
      <c r="AY54" s="75">
        <f>$C54*INDEX(Curves!$AN$8:$AN$68,AY$4-$B54+1)</f>
        <v/>
      </c>
      <c r="AZ54" s="75">
        <f>$C54*INDEX(Curves!$AN$8:$AN$68,AZ$4-$B54+1)</f>
        <v/>
      </c>
      <c r="BA54" s="75">
        <f>$C54*INDEX(Curves!$AN$8:$AN$68,BA$4-$B54+1)</f>
        <v/>
      </c>
      <c r="BB54" s="75">
        <f>$C54*INDEX(Curves!$AN$8:$AN$68,BB$4-$B54+1)</f>
        <v/>
      </c>
      <c r="BC54" s="75">
        <f>$C54*INDEX(Curves!$AN$8:$AN$68,BC$4-$B54+1)</f>
        <v/>
      </c>
      <c r="BD54" s="75">
        <f>$C54*INDEX(Curves!$AN$8:$AN$68,BD$4-$B54+1)</f>
        <v/>
      </c>
      <c r="BE54" s="75">
        <f>$C54*INDEX(Curves!$AN$8:$AN$68,BE$4-$B54+1)</f>
        <v/>
      </c>
      <c r="BF54" s="75">
        <f>$C54*INDEX(Curves!$AN$8:$AN$68,BF$4-$B54+1)</f>
        <v/>
      </c>
      <c r="BG54" s="75">
        <f>$C54*INDEX(Curves!$AN$8:$AN$68,BG$4-$B54+1)</f>
        <v/>
      </c>
      <c r="BH54" s="75">
        <f>$C54*INDEX(Curves!$AN$8:$AN$68,BH$4-$B54+1)</f>
        <v/>
      </c>
      <c r="BI54" s="75">
        <f>$C54*INDEX(Curves!$AN$8:$AN$68,BI$4-$B54+1)</f>
        <v/>
      </c>
      <c r="BJ54" s="75">
        <f>$C54*INDEX(Curves!$AN$8:$AN$68,BJ$4-$B54+1)</f>
        <v/>
      </c>
      <c r="BK54" s="75">
        <f>$C54*INDEX(Curves!$AN$8:$AN$68,BK$4-$B54+1)</f>
        <v/>
      </c>
      <c r="BL54" s="75">
        <f>$C54*INDEX(Curves!$AN$8:$AN$68,BL$4-$B54+1)</f>
        <v/>
      </c>
    </row>
    <row r="55">
      <c r="A55" s="74" t="inlineStr">
        <is>
          <t>Cohort month 46</t>
        </is>
      </c>
      <c r="B55" s="74" t="n">
        <v>46</v>
      </c>
      <c r="C55" s="17">
        <f>INDEX(Ops!$E$85:$BL$85,1,$B55)</f>
        <v/>
      </c>
      <c r="AY55" s="75">
        <f>$C55*INDEX(Curves!$AN$8:$AN$68,AY$4-$B55+1)</f>
        <v/>
      </c>
      <c r="AZ55" s="75">
        <f>$C55*INDEX(Curves!$AN$8:$AN$68,AZ$4-$B55+1)</f>
        <v/>
      </c>
      <c r="BA55" s="75">
        <f>$C55*INDEX(Curves!$AN$8:$AN$68,BA$4-$B55+1)</f>
        <v/>
      </c>
      <c r="BB55" s="75">
        <f>$C55*INDEX(Curves!$AN$8:$AN$68,BB$4-$B55+1)</f>
        <v/>
      </c>
      <c r="BC55" s="75">
        <f>$C55*INDEX(Curves!$AN$8:$AN$68,BC$4-$B55+1)</f>
        <v/>
      </c>
      <c r="BD55" s="75">
        <f>$C55*INDEX(Curves!$AN$8:$AN$68,BD$4-$B55+1)</f>
        <v/>
      </c>
      <c r="BE55" s="75">
        <f>$C55*INDEX(Curves!$AN$8:$AN$68,BE$4-$B55+1)</f>
        <v/>
      </c>
      <c r="BF55" s="75">
        <f>$C55*INDEX(Curves!$AN$8:$AN$68,BF$4-$B55+1)</f>
        <v/>
      </c>
      <c r="BG55" s="75">
        <f>$C55*INDEX(Curves!$AN$8:$AN$68,BG$4-$B55+1)</f>
        <v/>
      </c>
      <c r="BH55" s="75">
        <f>$C55*INDEX(Curves!$AN$8:$AN$68,BH$4-$B55+1)</f>
        <v/>
      </c>
      <c r="BI55" s="75">
        <f>$C55*INDEX(Curves!$AN$8:$AN$68,BI$4-$B55+1)</f>
        <v/>
      </c>
      <c r="BJ55" s="75">
        <f>$C55*INDEX(Curves!$AN$8:$AN$68,BJ$4-$B55+1)</f>
        <v/>
      </c>
      <c r="BK55" s="75">
        <f>$C55*INDEX(Curves!$AN$8:$AN$68,BK$4-$B55+1)</f>
        <v/>
      </c>
      <c r="BL55" s="75">
        <f>$C55*INDEX(Curves!$AN$8:$AN$68,BL$4-$B55+1)</f>
        <v/>
      </c>
    </row>
    <row r="56">
      <c r="A56" s="74" t="inlineStr">
        <is>
          <t>Cohort month 47</t>
        </is>
      </c>
      <c r="B56" s="74" t="n">
        <v>47</v>
      </c>
      <c r="C56" s="17">
        <f>INDEX(Ops!$E$85:$BL$85,1,$B56)</f>
        <v/>
      </c>
      <c r="AZ56" s="75">
        <f>$C56*INDEX(Curves!$AN$8:$AN$68,AZ$4-$B56+1)</f>
        <v/>
      </c>
      <c r="BA56" s="75">
        <f>$C56*INDEX(Curves!$AN$8:$AN$68,BA$4-$B56+1)</f>
        <v/>
      </c>
      <c r="BB56" s="75">
        <f>$C56*INDEX(Curves!$AN$8:$AN$68,BB$4-$B56+1)</f>
        <v/>
      </c>
      <c r="BC56" s="75">
        <f>$C56*INDEX(Curves!$AN$8:$AN$68,BC$4-$B56+1)</f>
        <v/>
      </c>
      <c r="BD56" s="75">
        <f>$C56*INDEX(Curves!$AN$8:$AN$68,BD$4-$B56+1)</f>
        <v/>
      </c>
      <c r="BE56" s="75">
        <f>$C56*INDEX(Curves!$AN$8:$AN$68,BE$4-$B56+1)</f>
        <v/>
      </c>
      <c r="BF56" s="75">
        <f>$C56*INDEX(Curves!$AN$8:$AN$68,BF$4-$B56+1)</f>
        <v/>
      </c>
      <c r="BG56" s="75">
        <f>$C56*INDEX(Curves!$AN$8:$AN$68,BG$4-$B56+1)</f>
        <v/>
      </c>
      <c r="BH56" s="75">
        <f>$C56*INDEX(Curves!$AN$8:$AN$68,BH$4-$B56+1)</f>
        <v/>
      </c>
      <c r="BI56" s="75">
        <f>$C56*INDEX(Curves!$AN$8:$AN$68,BI$4-$B56+1)</f>
        <v/>
      </c>
      <c r="BJ56" s="75">
        <f>$C56*INDEX(Curves!$AN$8:$AN$68,BJ$4-$B56+1)</f>
        <v/>
      </c>
      <c r="BK56" s="75">
        <f>$C56*INDEX(Curves!$AN$8:$AN$68,BK$4-$B56+1)</f>
        <v/>
      </c>
      <c r="BL56" s="75">
        <f>$C56*INDEX(Curves!$AN$8:$AN$68,BL$4-$B56+1)</f>
        <v/>
      </c>
    </row>
    <row r="57">
      <c r="A57" s="74" t="inlineStr">
        <is>
          <t>Cohort month 48</t>
        </is>
      </c>
      <c r="B57" s="74" t="n">
        <v>48</v>
      </c>
      <c r="C57" s="17">
        <f>INDEX(Ops!$E$85:$BL$85,1,$B57)</f>
        <v/>
      </c>
      <c r="BA57" s="75">
        <f>$C57*INDEX(Curves!$AN$8:$AN$68,BA$4-$B57+1)</f>
        <v/>
      </c>
      <c r="BB57" s="75">
        <f>$C57*INDEX(Curves!$AN$8:$AN$68,BB$4-$B57+1)</f>
        <v/>
      </c>
      <c r="BC57" s="75">
        <f>$C57*INDEX(Curves!$AN$8:$AN$68,BC$4-$B57+1)</f>
        <v/>
      </c>
      <c r="BD57" s="75">
        <f>$C57*INDEX(Curves!$AN$8:$AN$68,BD$4-$B57+1)</f>
        <v/>
      </c>
      <c r="BE57" s="75">
        <f>$C57*INDEX(Curves!$AN$8:$AN$68,BE$4-$B57+1)</f>
        <v/>
      </c>
      <c r="BF57" s="75">
        <f>$C57*INDEX(Curves!$AN$8:$AN$68,BF$4-$B57+1)</f>
        <v/>
      </c>
      <c r="BG57" s="75">
        <f>$C57*INDEX(Curves!$AN$8:$AN$68,BG$4-$B57+1)</f>
        <v/>
      </c>
      <c r="BH57" s="75">
        <f>$C57*INDEX(Curves!$AN$8:$AN$68,BH$4-$B57+1)</f>
        <v/>
      </c>
      <c r="BI57" s="75">
        <f>$C57*INDEX(Curves!$AN$8:$AN$68,BI$4-$B57+1)</f>
        <v/>
      </c>
      <c r="BJ57" s="75">
        <f>$C57*INDEX(Curves!$AN$8:$AN$68,BJ$4-$B57+1)</f>
        <v/>
      </c>
      <c r="BK57" s="75">
        <f>$C57*INDEX(Curves!$AN$8:$AN$68,BK$4-$B57+1)</f>
        <v/>
      </c>
      <c r="BL57" s="75">
        <f>$C57*INDEX(Curves!$AN$8:$AN$68,BL$4-$B57+1)</f>
        <v/>
      </c>
    </row>
    <row r="58">
      <c r="A58" s="74" t="inlineStr">
        <is>
          <t>Cohort month 49</t>
        </is>
      </c>
      <c r="B58" s="74" t="n">
        <v>49</v>
      </c>
      <c r="C58" s="17">
        <f>INDEX(Ops!$E$85:$BL$85,1,$B58)</f>
        <v/>
      </c>
      <c r="BB58" s="75">
        <f>$C58*INDEX(Curves!$AN$8:$AN$68,BB$4-$B58+1)</f>
        <v/>
      </c>
      <c r="BC58" s="75">
        <f>$C58*INDEX(Curves!$AN$8:$AN$68,BC$4-$B58+1)</f>
        <v/>
      </c>
      <c r="BD58" s="75">
        <f>$C58*INDEX(Curves!$AN$8:$AN$68,BD$4-$B58+1)</f>
        <v/>
      </c>
      <c r="BE58" s="75">
        <f>$C58*INDEX(Curves!$AN$8:$AN$68,BE$4-$B58+1)</f>
        <v/>
      </c>
      <c r="BF58" s="75">
        <f>$C58*INDEX(Curves!$AN$8:$AN$68,BF$4-$B58+1)</f>
        <v/>
      </c>
      <c r="BG58" s="75">
        <f>$C58*INDEX(Curves!$AN$8:$AN$68,BG$4-$B58+1)</f>
        <v/>
      </c>
      <c r="BH58" s="75">
        <f>$C58*INDEX(Curves!$AN$8:$AN$68,BH$4-$B58+1)</f>
        <v/>
      </c>
      <c r="BI58" s="75">
        <f>$C58*INDEX(Curves!$AN$8:$AN$68,BI$4-$B58+1)</f>
        <v/>
      </c>
      <c r="BJ58" s="75">
        <f>$C58*INDEX(Curves!$AN$8:$AN$68,BJ$4-$B58+1)</f>
        <v/>
      </c>
      <c r="BK58" s="75">
        <f>$C58*INDEX(Curves!$AN$8:$AN$68,BK$4-$B58+1)</f>
        <v/>
      </c>
      <c r="BL58" s="75">
        <f>$C58*INDEX(Curves!$AN$8:$AN$68,BL$4-$B58+1)</f>
        <v/>
      </c>
    </row>
    <row r="59">
      <c r="A59" s="74" t="inlineStr">
        <is>
          <t>Cohort month 50</t>
        </is>
      </c>
      <c r="B59" s="74" t="n">
        <v>50</v>
      </c>
      <c r="C59" s="17">
        <f>INDEX(Ops!$E$85:$BL$85,1,$B59)</f>
        <v/>
      </c>
      <c r="BC59" s="75">
        <f>$C59*INDEX(Curves!$AN$8:$AN$68,BC$4-$B59+1)</f>
        <v/>
      </c>
      <c r="BD59" s="75">
        <f>$C59*INDEX(Curves!$AN$8:$AN$68,BD$4-$B59+1)</f>
        <v/>
      </c>
      <c r="BE59" s="75">
        <f>$C59*INDEX(Curves!$AN$8:$AN$68,BE$4-$B59+1)</f>
        <v/>
      </c>
      <c r="BF59" s="75">
        <f>$C59*INDEX(Curves!$AN$8:$AN$68,BF$4-$B59+1)</f>
        <v/>
      </c>
      <c r="BG59" s="75">
        <f>$C59*INDEX(Curves!$AN$8:$AN$68,BG$4-$B59+1)</f>
        <v/>
      </c>
      <c r="BH59" s="75">
        <f>$C59*INDEX(Curves!$AN$8:$AN$68,BH$4-$B59+1)</f>
        <v/>
      </c>
      <c r="BI59" s="75">
        <f>$C59*INDEX(Curves!$AN$8:$AN$68,BI$4-$B59+1)</f>
        <v/>
      </c>
      <c r="BJ59" s="75">
        <f>$C59*INDEX(Curves!$AN$8:$AN$68,BJ$4-$B59+1)</f>
        <v/>
      </c>
      <c r="BK59" s="75">
        <f>$C59*INDEX(Curves!$AN$8:$AN$68,BK$4-$B59+1)</f>
        <v/>
      </c>
      <c r="BL59" s="75">
        <f>$C59*INDEX(Curves!$AN$8:$AN$68,BL$4-$B59+1)</f>
        <v/>
      </c>
    </row>
    <row r="60">
      <c r="A60" s="74" t="inlineStr">
        <is>
          <t>Cohort month 51</t>
        </is>
      </c>
      <c r="B60" s="74" t="n">
        <v>51</v>
      </c>
      <c r="C60" s="17">
        <f>INDEX(Ops!$E$85:$BL$85,1,$B60)</f>
        <v/>
      </c>
      <c r="BD60" s="75">
        <f>$C60*INDEX(Curves!$AN$8:$AN$68,BD$4-$B60+1)</f>
        <v/>
      </c>
      <c r="BE60" s="75">
        <f>$C60*INDEX(Curves!$AN$8:$AN$68,BE$4-$B60+1)</f>
        <v/>
      </c>
      <c r="BF60" s="75">
        <f>$C60*INDEX(Curves!$AN$8:$AN$68,BF$4-$B60+1)</f>
        <v/>
      </c>
      <c r="BG60" s="75">
        <f>$C60*INDEX(Curves!$AN$8:$AN$68,BG$4-$B60+1)</f>
        <v/>
      </c>
      <c r="BH60" s="75">
        <f>$C60*INDEX(Curves!$AN$8:$AN$68,BH$4-$B60+1)</f>
        <v/>
      </c>
      <c r="BI60" s="75">
        <f>$C60*INDEX(Curves!$AN$8:$AN$68,BI$4-$B60+1)</f>
        <v/>
      </c>
      <c r="BJ60" s="75">
        <f>$C60*INDEX(Curves!$AN$8:$AN$68,BJ$4-$B60+1)</f>
        <v/>
      </c>
      <c r="BK60" s="75">
        <f>$C60*INDEX(Curves!$AN$8:$AN$68,BK$4-$B60+1)</f>
        <v/>
      </c>
      <c r="BL60" s="75">
        <f>$C60*INDEX(Curves!$AN$8:$AN$68,BL$4-$B60+1)</f>
        <v/>
      </c>
    </row>
    <row r="61">
      <c r="A61" s="74" t="inlineStr">
        <is>
          <t>Cohort month 52</t>
        </is>
      </c>
      <c r="B61" s="74" t="n">
        <v>52</v>
      </c>
      <c r="C61" s="17">
        <f>INDEX(Ops!$E$85:$BL$85,1,$B61)</f>
        <v/>
      </c>
      <c r="BE61" s="75">
        <f>$C61*INDEX(Curves!$AN$8:$AN$68,BE$4-$B61+1)</f>
        <v/>
      </c>
      <c r="BF61" s="75">
        <f>$C61*INDEX(Curves!$AN$8:$AN$68,BF$4-$B61+1)</f>
        <v/>
      </c>
      <c r="BG61" s="75">
        <f>$C61*INDEX(Curves!$AN$8:$AN$68,BG$4-$B61+1)</f>
        <v/>
      </c>
      <c r="BH61" s="75">
        <f>$C61*INDEX(Curves!$AN$8:$AN$68,BH$4-$B61+1)</f>
        <v/>
      </c>
      <c r="BI61" s="75">
        <f>$C61*INDEX(Curves!$AN$8:$AN$68,BI$4-$B61+1)</f>
        <v/>
      </c>
      <c r="BJ61" s="75">
        <f>$C61*INDEX(Curves!$AN$8:$AN$68,BJ$4-$B61+1)</f>
        <v/>
      </c>
      <c r="BK61" s="75">
        <f>$C61*INDEX(Curves!$AN$8:$AN$68,BK$4-$B61+1)</f>
        <v/>
      </c>
      <c r="BL61" s="75">
        <f>$C61*INDEX(Curves!$AN$8:$AN$68,BL$4-$B61+1)</f>
        <v/>
      </c>
    </row>
    <row r="62">
      <c r="A62" s="74" t="inlineStr">
        <is>
          <t>Cohort month 53</t>
        </is>
      </c>
      <c r="B62" s="74" t="n">
        <v>53</v>
      </c>
      <c r="C62" s="17">
        <f>INDEX(Ops!$E$85:$BL$85,1,$B62)</f>
        <v/>
      </c>
      <c r="BF62" s="75">
        <f>$C62*INDEX(Curves!$AN$8:$AN$68,BF$4-$B62+1)</f>
        <v/>
      </c>
      <c r="BG62" s="75">
        <f>$C62*INDEX(Curves!$AN$8:$AN$68,BG$4-$B62+1)</f>
        <v/>
      </c>
      <c r="BH62" s="75">
        <f>$C62*INDEX(Curves!$AN$8:$AN$68,BH$4-$B62+1)</f>
        <v/>
      </c>
      <c r="BI62" s="75">
        <f>$C62*INDEX(Curves!$AN$8:$AN$68,BI$4-$B62+1)</f>
        <v/>
      </c>
      <c r="BJ62" s="75">
        <f>$C62*INDEX(Curves!$AN$8:$AN$68,BJ$4-$B62+1)</f>
        <v/>
      </c>
      <c r="BK62" s="75">
        <f>$C62*INDEX(Curves!$AN$8:$AN$68,BK$4-$B62+1)</f>
        <v/>
      </c>
      <c r="BL62" s="75">
        <f>$C62*INDEX(Curves!$AN$8:$AN$68,BL$4-$B62+1)</f>
        <v/>
      </c>
    </row>
    <row r="63">
      <c r="A63" s="74" t="inlineStr">
        <is>
          <t>Cohort month 54</t>
        </is>
      </c>
      <c r="B63" s="74" t="n">
        <v>54</v>
      </c>
      <c r="C63" s="17">
        <f>INDEX(Ops!$E$85:$BL$85,1,$B63)</f>
        <v/>
      </c>
      <c r="BG63" s="75">
        <f>$C63*INDEX(Curves!$AN$8:$AN$68,BG$4-$B63+1)</f>
        <v/>
      </c>
      <c r="BH63" s="75">
        <f>$C63*INDEX(Curves!$AN$8:$AN$68,BH$4-$B63+1)</f>
        <v/>
      </c>
      <c r="BI63" s="75">
        <f>$C63*INDEX(Curves!$AN$8:$AN$68,BI$4-$B63+1)</f>
        <v/>
      </c>
      <c r="BJ63" s="75">
        <f>$C63*INDEX(Curves!$AN$8:$AN$68,BJ$4-$B63+1)</f>
        <v/>
      </c>
      <c r="BK63" s="75">
        <f>$C63*INDEX(Curves!$AN$8:$AN$68,BK$4-$B63+1)</f>
        <v/>
      </c>
      <c r="BL63" s="75">
        <f>$C63*INDEX(Curves!$AN$8:$AN$68,BL$4-$B63+1)</f>
        <v/>
      </c>
    </row>
    <row r="64">
      <c r="A64" s="74" t="inlineStr">
        <is>
          <t>Cohort month 55</t>
        </is>
      </c>
      <c r="B64" s="74" t="n">
        <v>55</v>
      </c>
      <c r="C64" s="17">
        <f>INDEX(Ops!$E$85:$BL$85,1,$B64)</f>
        <v/>
      </c>
      <c r="BH64" s="75">
        <f>$C64*INDEX(Curves!$AN$8:$AN$68,BH$4-$B64+1)</f>
        <v/>
      </c>
      <c r="BI64" s="75">
        <f>$C64*INDEX(Curves!$AN$8:$AN$68,BI$4-$B64+1)</f>
        <v/>
      </c>
      <c r="BJ64" s="75">
        <f>$C64*INDEX(Curves!$AN$8:$AN$68,BJ$4-$B64+1)</f>
        <v/>
      </c>
      <c r="BK64" s="75">
        <f>$C64*INDEX(Curves!$AN$8:$AN$68,BK$4-$B64+1)</f>
        <v/>
      </c>
      <c r="BL64" s="75">
        <f>$C64*INDEX(Curves!$AN$8:$AN$68,BL$4-$B64+1)</f>
        <v/>
      </c>
    </row>
    <row r="65">
      <c r="A65" s="74" t="inlineStr">
        <is>
          <t>Cohort month 56</t>
        </is>
      </c>
      <c r="B65" s="74" t="n">
        <v>56</v>
      </c>
      <c r="C65" s="17">
        <f>INDEX(Ops!$E$85:$BL$85,1,$B65)</f>
        <v/>
      </c>
      <c r="BI65" s="75">
        <f>$C65*INDEX(Curves!$AN$8:$AN$68,BI$4-$B65+1)</f>
        <v/>
      </c>
      <c r="BJ65" s="75">
        <f>$C65*INDEX(Curves!$AN$8:$AN$68,BJ$4-$B65+1)</f>
        <v/>
      </c>
      <c r="BK65" s="75">
        <f>$C65*INDEX(Curves!$AN$8:$AN$68,BK$4-$B65+1)</f>
        <v/>
      </c>
      <c r="BL65" s="75">
        <f>$C65*INDEX(Curves!$AN$8:$AN$68,BL$4-$B65+1)</f>
        <v/>
      </c>
    </row>
    <row r="66">
      <c r="A66" s="74" t="inlineStr">
        <is>
          <t>Cohort month 57</t>
        </is>
      </c>
      <c r="B66" s="74" t="n">
        <v>57</v>
      </c>
      <c r="C66" s="17">
        <f>INDEX(Ops!$E$85:$BL$85,1,$B66)</f>
        <v/>
      </c>
      <c r="BJ66" s="75">
        <f>$C66*INDEX(Curves!$AN$8:$AN$68,BJ$4-$B66+1)</f>
        <v/>
      </c>
      <c r="BK66" s="75">
        <f>$C66*INDEX(Curves!$AN$8:$AN$68,BK$4-$B66+1)</f>
        <v/>
      </c>
      <c r="BL66" s="75">
        <f>$C66*INDEX(Curves!$AN$8:$AN$68,BL$4-$B66+1)</f>
        <v/>
      </c>
    </row>
    <row r="67">
      <c r="A67" s="74" t="inlineStr">
        <is>
          <t>Cohort month 58</t>
        </is>
      </c>
      <c r="B67" s="74" t="n">
        <v>58</v>
      </c>
      <c r="C67" s="17">
        <f>INDEX(Ops!$E$85:$BL$85,1,$B67)</f>
        <v/>
      </c>
      <c r="BK67" s="75">
        <f>$C67*INDEX(Curves!$AN$8:$AN$68,BK$4-$B67+1)</f>
        <v/>
      </c>
      <c r="BL67" s="75">
        <f>$C67*INDEX(Curves!$AN$8:$AN$68,BL$4-$B67+1)</f>
        <v/>
      </c>
    </row>
    <row r="68">
      <c r="A68" s="74" t="inlineStr">
        <is>
          <t>Cohort month 59</t>
        </is>
      </c>
      <c r="B68" s="74" t="n">
        <v>59</v>
      </c>
      <c r="C68" s="17">
        <f>INDEX(Ops!$E$85:$BL$85,1,$B68)</f>
        <v/>
      </c>
      <c r="BL68" s="75">
        <f>$C68*INDEX(Curves!$AN$8:$AN$68,BL$4-$B68+1)</f>
        <v/>
      </c>
    </row>
    <row r="69">
      <c r="A69" s="74" t="inlineStr">
        <is>
          <t>Cohort month 60</t>
        </is>
      </c>
      <c r="B69" s="74" t="n">
        <v>60</v>
      </c>
      <c r="C69" s="17">
        <f>INDEX(Ops!$E$85:$BL$85,1,$B69)</f>
        <v/>
      </c>
    </row>
    <row r="70"/>
    <row r="71">
      <c r="A71" s="14" t="inlineStr">
        <is>
          <t>Active accounts by cohort</t>
        </is>
      </c>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5" t="n"/>
      <c r="AG71" s="15" t="n"/>
      <c r="AH71" s="15" t="n"/>
      <c r="AI71" s="15" t="n"/>
      <c r="AJ71" s="15" t="n"/>
      <c r="AK71" s="15" t="n"/>
      <c r="AL71" s="15" t="n"/>
      <c r="AM71" s="15" t="n"/>
      <c r="AN71" s="15" t="n"/>
      <c r="AO71" s="15" t="n"/>
      <c r="AP71" s="15" t="n"/>
      <c r="AQ71" s="15" t="n"/>
      <c r="AR71" s="15" t="n"/>
      <c r="AS71" s="15" t="n"/>
      <c r="AT71" s="15" t="n"/>
      <c r="AU71" s="15" t="n"/>
      <c r="AV71" s="15" t="n"/>
      <c r="AW71" s="15" t="n"/>
      <c r="AX71" s="15" t="n"/>
      <c r="AY71" s="15" t="n"/>
      <c r="AZ71" s="15" t="n"/>
      <c r="BA71" s="15" t="n"/>
      <c r="BB71" s="15" t="n"/>
      <c r="BC71" s="15" t="n"/>
      <c r="BD71" s="15" t="n"/>
      <c r="BE71" s="15" t="n"/>
      <c r="BF71" s="15" t="n"/>
      <c r="BG71" s="15" t="n"/>
      <c r="BH71" s="15" t="n"/>
      <c r="BI71" s="15" t="n"/>
      <c r="BJ71" s="15" t="n"/>
      <c r="BK71" s="15" t="n"/>
      <c r="BL71" s="15" t="n"/>
    </row>
    <row r="72">
      <c r="A72" s="60" t="inlineStr">
        <is>
          <t>Total</t>
        </is>
      </c>
      <c r="B72" s="61" t="inlineStr"/>
      <c r="C72" s="63" t="n"/>
      <c r="D72" s="63" t="n"/>
      <c r="E72" s="71">
        <f>SUM(E73:E132)</f>
        <v/>
      </c>
      <c r="F72" s="71">
        <f>SUM(F73:F132)</f>
        <v/>
      </c>
      <c r="G72" s="71">
        <f>SUM(G73:G132)</f>
        <v/>
      </c>
      <c r="H72" s="71">
        <f>SUM(H73:H132)</f>
        <v/>
      </c>
      <c r="I72" s="71">
        <f>SUM(I73:I132)</f>
        <v/>
      </c>
      <c r="J72" s="71">
        <f>SUM(J73:J132)</f>
        <v/>
      </c>
      <c r="K72" s="71">
        <f>SUM(K73:K132)</f>
        <v/>
      </c>
      <c r="L72" s="71">
        <f>SUM(L73:L132)</f>
        <v/>
      </c>
      <c r="M72" s="71">
        <f>SUM(M73:M132)</f>
        <v/>
      </c>
      <c r="N72" s="71">
        <f>SUM(N73:N132)</f>
        <v/>
      </c>
      <c r="O72" s="71">
        <f>SUM(O73:O132)</f>
        <v/>
      </c>
      <c r="P72" s="71">
        <f>SUM(P73:P132)</f>
        <v/>
      </c>
      <c r="Q72" s="71">
        <f>SUM(Q73:Q132)</f>
        <v/>
      </c>
      <c r="R72" s="71">
        <f>SUM(R73:R132)</f>
        <v/>
      </c>
      <c r="S72" s="71">
        <f>SUM(S73:S132)</f>
        <v/>
      </c>
      <c r="T72" s="71">
        <f>SUM(T73:T132)</f>
        <v/>
      </c>
      <c r="U72" s="71">
        <f>SUM(U73:U132)</f>
        <v/>
      </c>
      <c r="V72" s="71">
        <f>SUM(V73:V132)</f>
        <v/>
      </c>
      <c r="W72" s="71">
        <f>SUM(W73:W132)</f>
        <v/>
      </c>
      <c r="X72" s="71">
        <f>SUM(X73:X132)</f>
        <v/>
      </c>
      <c r="Y72" s="71">
        <f>SUM(Y73:Y132)</f>
        <v/>
      </c>
      <c r="Z72" s="71">
        <f>SUM(Z73:Z132)</f>
        <v/>
      </c>
      <c r="AA72" s="71">
        <f>SUM(AA73:AA132)</f>
        <v/>
      </c>
      <c r="AB72" s="71">
        <f>SUM(AB73:AB132)</f>
        <v/>
      </c>
      <c r="AC72" s="71">
        <f>SUM(AC73:AC132)</f>
        <v/>
      </c>
      <c r="AD72" s="71">
        <f>SUM(AD73:AD132)</f>
        <v/>
      </c>
      <c r="AE72" s="71">
        <f>SUM(AE73:AE132)</f>
        <v/>
      </c>
      <c r="AF72" s="71">
        <f>SUM(AF73:AF132)</f>
        <v/>
      </c>
      <c r="AG72" s="71">
        <f>SUM(AG73:AG132)</f>
        <v/>
      </c>
      <c r="AH72" s="71">
        <f>SUM(AH73:AH132)</f>
        <v/>
      </c>
      <c r="AI72" s="71">
        <f>SUM(AI73:AI132)</f>
        <v/>
      </c>
      <c r="AJ72" s="71">
        <f>SUM(AJ73:AJ132)</f>
        <v/>
      </c>
      <c r="AK72" s="71">
        <f>SUM(AK73:AK132)</f>
        <v/>
      </c>
      <c r="AL72" s="71">
        <f>SUM(AL73:AL132)</f>
        <v/>
      </c>
      <c r="AM72" s="71">
        <f>SUM(AM73:AM132)</f>
        <v/>
      </c>
      <c r="AN72" s="71">
        <f>SUM(AN73:AN132)</f>
        <v/>
      </c>
      <c r="AO72" s="71">
        <f>SUM(AO73:AO132)</f>
        <v/>
      </c>
      <c r="AP72" s="71">
        <f>SUM(AP73:AP132)</f>
        <v/>
      </c>
      <c r="AQ72" s="71">
        <f>SUM(AQ73:AQ132)</f>
        <v/>
      </c>
      <c r="AR72" s="71">
        <f>SUM(AR73:AR132)</f>
        <v/>
      </c>
      <c r="AS72" s="71">
        <f>SUM(AS73:AS132)</f>
        <v/>
      </c>
      <c r="AT72" s="71">
        <f>SUM(AT73:AT132)</f>
        <v/>
      </c>
      <c r="AU72" s="71">
        <f>SUM(AU73:AU132)</f>
        <v/>
      </c>
      <c r="AV72" s="71">
        <f>SUM(AV73:AV132)</f>
        <v/>
      </c>
      <c r="AW72" s="71">
        <f>SUM(AW73:AW132)</f>
        <v/>
      </c>
      <c r="AX72" s="71">
        <f>SUM(AX73:AX132)</f>
        <v/>
      </c>
      <c r="AY72" s="71">
        <f>SUM(AY73:AY132)</f>
        <v/>
      </c>
      <c r="AZ72" s="71">
        <f>SUM(AZ73:AZ132)</f>
        <v/>
      </c>
      <c r="BA72" s="71">
        <f>SUM(BA73:BA132)</f>
        <v/>
      </c>
      <c r="BB72" s="71">
        <f>SUM(BB73:BB132)</f>
        <v/>
      </c>
      <c r="BC72" s="71">
        <f>SUM(BC73:BC132)</f>
        <v/>
      </c>
      <c r="BD72" s="71">
        <f>SUM(BD73:BD132)</f>
        <v/>
      </c>
      <c r="BE72" s="71">
        <f>SUM(BE73:BE132)</f>
        <v/>
      </c>
      <c r="BF72" s="71">
        <f>SUM(BF73:BF132)</f>
        <v/>
      </c>
      <c r="BG72" s="71">
        <f>SUM(BG73:BG132)</f>
        <v/>
      </c>
      <c r="BH72" s="71">
        <f>SUM(BH73:BH132)</f>
        <v/>
      </c>
      <c r="BI72" s="71">
        <f>SUM(BI73:BI132)</f>
        <v/>
      </c>
      <c r="BJ72" s="71">
        <f>SUM(BJ73:BJ132)</f>
        <v/>
      </c>
      <c r="BK72" s="71">
        <f>SUM(BK73:BK132)</f>
        <v/>
      </c>
      <c r="BL72" s="71">
        <f>SUM(BL73:BL132)</f>
        <v/>
      </c>
    </row>
    <row r="73">
      <c r="A73" s="74" t="inlineStr">
        <is>
          <t>Cohort month 1</t>
        </is>
      </c>
      <c r="B73" s="74" t="n">
        <v>1</v>
      </c>
      <c r="C73" s="17">
        <f>INDEX(Ops!$E$84:$BL$84,1,$B73)</f>
        <v/>
      </c>
      <c r="F73" s="75">
        <f>$C73*INDEX(Curves!$AQ$8:$AQ$68,F$4-$B73+1)</f>
        <v/>
      </c>
      <c r="G73" s="75">
        <f>$C73*INDEX(Curves!$AQ$8:$AQ$68,G$4-$B73+1)</f>
        <v/>
      </c>
      <c r="H73" s="75">
        <f>$C73*INDEX(Curves!$AQ$8:$AQ$68,H$4-$B73+1)</f>
        <v/>
      </c>
      <c r="I73" s="75">
        <f>$C73*INDEX(Curves!$AQ$8:$AQ$68,I$4-$B73+1)</f>
        <v/>
      </c>
      <c r="J73" s="75">
        <f>$C73*INDEX(Curves!$AQ$8:$AQ$68,J$4-$B73+1)</f>
        <v/>
      </c>
      <c r="K73" s="75">
        <f>$C73*INDEX(Curves!$AQ$8:$AQ$68,K$4-$B73+1)</f>
        <v/>
      </c>
      <c r="L73" s="75">
        <f>$C73*INDEX(Curves!$AQ$8:$AQ$68,L$4-$B73+1)</f>
        <v/>
      </c>
      <c r="M73" s="75">
        <f>$C73*INDEX(Curves!$AQ$8:$AQ$68,M$4-$B73+1)</f>
        <v/>
      </c>
      <c r="N73" s="75">
        <f>$C73*INDEX(Curves!$AQ$8:$AQ$68,N$4-$B73+1)</f>
        <v/>
      </c>
      <c r="O73" s="75">
        <f>$C73*INDEX(Curves!$AQ$8:$AQ$68,O$4-$B73+1)</f>
        <v/>
      </c>
      <c r="P73" s="75">
        <f>$C73*INDEX(Curves!$AQ$8:$AQ$68,P$4-$B73+1)</f>
        <v/>
      </c>
      <c r="Q73" s="75">
        <f>$C73*INDEX(Curves!$AQ$8:$AQ$68,Q$4-$B73+1)</f>
        <v/>
      </c>
      <c r="R73" s="75">
        <f>$C73*INDEX(Curves!$AQ$8:$AQ$68,R$4-$B73+1)</f>
        <v/>
      </c>
      <c r="S73" s="75">
        <f>$C73*INDEX(Curves!$AQ$8:$AQ$68,S$4-$B73+1)</f>
        <v/>
      </c>
      <c r="T73" s="75">
        <f>$C73*INDEX(Curves!$AQ$8:$AQ$68,T$4-$B73+1)</f>
        <v/>
      </c>
      <c r="U73" s="75">
        <f>$C73*INDEX(Curves!$AQ$8:$AQ$68,U$4-$B73+1)</f>
        <v/>
      </c>
      <c r="V73" s="75">
        <f>$C73*INDEX(Curves!$AQ$8:$AQ$68,V$4-$B73+1)</f>
        <v/>
      </c>
      <c r="W73" s="75">
        <f>$C73*INDEX(Curves!$AQ$8:$AQ$68,W$4-$B73+1)</f>
        <v/>
      </c>
      <c r="X73" s="75">
        <f>$C73*INDEX(Curves!$AQ$8:$AQ$68,X$4-$B73+1)</f>
        <v/>
      </c>
      <c r="Y73" s="75">
        <f>$C73*INDEX(Curves!$AQ$8:$AQ$68,Y$4-$B73+1)</f>
        <v/>
      </c>
      <c r="Z73" s="75">
        <f>$C73*INDEX(Curves!$AQ$8:$AQ$68,Z$4-$B73+1)</f>
        <v/>
      </c>
      <c r="AA73" s="75">
        <f>$C73*INDEX(Curves!$AQ$8:$AQ$68,AA$4-$B73+1)</f>
        <v/>
      </c>
      <c r="AB73" s="75">
        <f>$C73*INDEX(Curves!$AQ$8:$AQ$68,AB$4-$B73+1)</f>
        <v/>
      </c>
      <c r="AC73" s="75">
        <f>$C73*INDEX(Curves!$AQ$8:$AQ$68,AC$4-$B73+1)</f>
        <v/>
      </c>
      <c r="AD73" s="75">
        <f>$C73*INDEX(Curves!$AQ$8:$AQ$68,AD$4-$B73+1)</f>
        <v/>
      </c>
      <c r="AE73" s="75">
        <f>$C73*INDEX(Curves!$AQ$8:$AQ$68,AE$4-$B73+1)</f>
        <v/>
      </c>
      <c r="AF73" s="75">
        <f>$C73*INDEX(Curves!$AQ$8:$AQ$68,AF$4-$B73+1)</f>
        <v/>
      </c>
      <c r="AG73" s="75">
        <f>$C73*INDEX(Curves!$AQ$8:$AQ$68,AG$4-$B73+1)</f>
        <v/>
      </c>
      <c r="AH73" s="75">
        <f>$C73*INDEX(Curves!$AQ$8:$AQ$68,AH$4-$B73+1)</f>
        <v/>
      </c>
      <c r="AI73" s="75">
        <f>$C73*INDEX(Curves!$AQ$8:$AQ$68,AI$4-$B73+1)</f>
        <v/>
      </c>
      <c r="AJ73" s="75">
        <f>$C73*INDEX(Curves!$AQ$8:$AQ$68,AJ$4-$B73+1)</f>
        <v/>
      </c>
      <c r="AK73" s="75">
        <f>$C73*INDEX(Curves!$AQ$8:$AQ$68,AK$4-$B73+1)</f>
        <v/>
      </c>
      <c r="AL73" s="75">
        <f>$C73*INDEX(Curves!$AQ$8:$AQ$68,AL$4-$B73+1)</f>
        <v/>
      </c>
      <c r="AM73" s="75">
        <f>$C73*INDEX(Curves!$AQ$8:$AQ$68,AM$4-$B73+1)</f>
        <v/>
      </c>
      <c r="AN73" s="75">
        <f>$C73*INDEX(Curves!$AQ$8:$AQ$68,AN$4-$B73+1)</f>
        <v/>
      </c>
      <c r="AO73" s="75">
        <f>$C73*INDEX(Curves!$AQ$8:$AQ$68,AO$4-$B73+1)</f>
        <v/>
      </c>
      <c r="AP73" s="75">
        <f>$C73*INDEX(Curves!$AQ$8:$AQ$68,AP$4-$B73+1)</f>
        <v/>
      </c>
      <c r="AQ73" s="75">
        <f>$C73*INDEX(Curves!$AQ$8:$AQ$68,AQ$4-$B73+1)</f>
        <v/>
      </c>
      <c r="AR73" s="75">
        <f>$C73*INDEX(Curves!$AQ$8:$AQ$68,AR$4-$B73+1)</f>
        <v/>
      </c>
      <c r="AS73" s="75">
        <f>$C73*INDEX(Curves!$AQ$8:$AQ$68,AS$4-$B73+1)</f>
        <v/>
      </c>
      <c r="AT73" s="75">
        <f>$C73*INDEX(Curves!$AQ$8:$AQ$68,AT$4-$B73+1)</f>
        <v/>
      </c>
      <c r="AU73" s="75">
        <f>$C73*INDEX(Curves!$AQ$8:$AQ$68,AU$4-$B73+1)</f>
        <v/>
      </c>
      <c r="AV73" s="75">
        <f>$C73*INDEX(Curves!$AQ$8:$AQ$68,AV$4-$B73+1)</f>
        <v/>
      </c>
      <c r="AW73" s="75">
        <f>$C73*INDEX(Curves!$AQ$8:$AQ$68,AW$4-$B73+1)</f>
        <v/>
      </c>
      <c r="AX73" s="75">
        <f>$C73*INDEX(Curves!$AQ$8:$AQ$68,AX$4-$B73+1)</f>
        <v/>
      </c>
      <c r="AY73" s="75">
        <f>$C73*INDEX(Curves!$AQ$8:$AQ$68,AY$4-$B73+1)</f>
        <v/>
      </c>
      <c r="AZ73" s="75">
        <f>$C73*INDEX(Curves!$AQ$8:$AQ$68,AZ$4-$B73+1)</f>
        <v/>
      </c>
      <c r="BA73" s="75">
        <f>$C73*INDEX(Curves!$AQ$8:$AQ$68,BA$4-$B73+1)</f>
        <v/>
      </c>
      <c r="BB73" s="75">
        <f>$C73*INDEX(Curves!$AQ$8:$AQ$68,BB$4-$B73+1)</f>
        <v/>
      </c>
      <c r="BC73" s="75">
        <f>$C73*INDEX(Curves!$AQ$8:$AQ$68,BC$4-$B73+1)</f>
        <v/>
      </c>
      <c r="BD73" s="75">
        <f>$C73*INDEX(Curves!$AQ$8:$AQ$68,BD$4-$B73+1)</f>
        <v/>
      </c>
      <c r="BE73" s="75">
        <f>$C73*INDEX(Curves!$AQ$8:$AQ$68,BE$4-$B73+1)</f>
        <v/>
      </c>
      <c r="BF73" s="75">
        <f>$C73*INDEX(Curves!$AQ$8:$AQ$68,BF$4-$B73+1)</f>
        <v/>
      </c>
      <c r="BG73" s="75">
        <f>$C73*INDEX(Curves!$AQ$8:$AQ$68,BG$4-$B73+1)</f>
        <v/>
      </c>
      <c r="BH73" s="75">
        <f>$C73*INDEX(Curves!$AQ$8:$AQ$68,BH$4-$B73+1)</f>
        <v/>
      </c>
      <c r="BI73" s="75">
        <f>$C73*INDEX(Curves!$AQ$8:$AQ$68,BI$4-$B73+1)</f>
        <v/>
      </c>
      <c r="BJ73" s="75">
        <f>$C73*INDEX(Curves!$AQ$8:$AQ$68,BJ$4-$B73+1)</f>
        <v/>
      </c>
      <c r="BK73" s="75">
        <f>$C73*INDEX(Curves!$AQ$8:$AQ$68,BK$4-$B73+1)</f>
        <v/>
      </c>
      <c r="BL73" s="75">
        <f>$C73*INDEX(Curves!$AQ$8:$AQ$68,BL$4-$B73+1)</f>
        <v/>
      </c>
    </row>
    <row r="74">
      <c r="A74" s="74" t="inlineStr">
        <is>
          <t>Cohort month 2</t>
        </is>
      </c>
      <c r="B74" s="74" t="n">
        <v>2</v>
      </c>
      <c r="C74" s="17">
        <f>INDEX(Ops!$E$84:$BL$84,1,$B74)</f>
        <v/>
      </c>
      <c r="G74" s="75">
        <f>$C74*INDEX(Curves!$AQ$8:$AQ$68,G$4-$B74+1)</f>
        <v/>
      </c>
      <c r="H74" s="75">
        <f>$C74*INDEX(Curves!$AQ$8:$AQ$68,H$4-$B74+1)</f>
        <v/>
      </c>
      <c r="I74" s="75">
        <f>$C74*INDEX(Curves!$AQ$8:$AQ$68,I$4-$B74+1)</f>
        <v/>
      </c>
      <c r="J74" s="75">
        <f>$C74*INDEX(Curves!$AQ$8:$AQ$68,J$4-$B74+1)</f>
        <v/>
      </c>
      <c r="K74" s="75">
        <f>$C74*INDEX(Curves!$AQ$8:$AQ$68,K$4-$B74+1)</f>
        <v/>
      </c>
      <c r="L74" s="75">
        <f>$C74*INDEX(Curves!$AQ$8:$AQ$68,L$4-$B74+1)</f>
        <v/>
      </c>
      <c r="M74" s="75">
        <f>$C74*INDEX(Curves!$AQ$8:$AQ$68,M$4-$B74+1)</f>
        <v/>
      </c>
      <c r="N74" s="75">
        <f>$C74*INDEX(Curves!$AQ$8:$AQ$68,N$4-$B74+1)</f>
        <v/>
      </c>
      <c r="O74" s="75">
        <f>$C74*INDEX(Curves!$AQ$8:$AQ$68,O$4-$B74+1)</f>
        <v/>
      </c>
      <c r="P74" s="75">
        <f>$C74*INDEX(Curves!$AQ$8:$AQ$68,P$4-$B74+1)</f>
        <v/>
      </c>
      <c r="Q74" s="75">
        <f>$C74*INDEX(Curves!$AQ$8:$AQ$68,Q$4-$B74+1)</f>
        <v/>
      </c>
      <c r="R74" s="75">
        <f>$C74*INDEX(Curves!$AQ$8:$AQ$68,R$4-$B74+1)</f>
        <v/>
      </c>
      <c r="S74" s="75">
        <f>$C74*INDEX(Curves!$AQ$8:$AQ$68,S$4-$B74+1)</f>
        <v/>
      </c>
      <c r="T74" s="75">
        <f>$C74*INDEX(Curves!$AQ$8:$AQ$68,T$4-$B74+1)</f>
        <v/>
      </c>
      <c r="U74" s="75">
        <f>$C74*INDEX(Curves!$AQ$8:$AQ$68,U$4-$B74+1)</f>
        <v/>
      </c>
      <c r="V74" s="75">
        <f>$C74*INDEX(Curves!$AQ$8:$AQ$68,V$4-$B74+1)</f>
        <v/>
      </c>
      <c r="W74" s="75">
        <f>$C74*INDEX(Curves!$AQ$8:$AQ$68,W$4-$B74+1)</f>
        <v/>
      </c>
      <c r="X74" s="75">
        <f>$C74*INDEX(Curves!$AQ$8:$AQ$68,X$4-$B74+1)</f>
        <v/>
      </c>
      <c r="Y74" s="75">
        <f>$C74*INDEX(Curves!$AQ$8:$AQ$68,Y$4-$B74+1)</f>
        <v/>
      </c>
      <c r="Z74" s="75">
        <f>$C74*INDEX(Curves!$AQ$8:$AQ$68,Z$4-$B74+1)</f>
        <v/>
      </c>
      <c r="AA74" s="75">
        <f>$C74*INDEX(Curves!$AQ$8:$AQ$68,AA$4-$B74+1)</f>
        <v/>
      </c>
      <c r="AB74" s="75">
        <f>$C74*INDEX(Curves!$AQ$8:$AQ$68,AB$4-$B74+1)</f>
        <v/>
      </c>
      <c r="AC74" s="75">
        <f>$C74*INDEX(Curves!$AQ$8:$AQ$68,AC$4-$B74+1)</f>
        <v/>
      </c>
      <c r="AD74" s="75">
        <f>$C74*INDEX(Curves!$AQ$8:$AQ$68,AD$4-$B74+1)</f>
        <v/>
      </c>
      <c r="AE74" s="75">
        <f>$C74*INDEX(Curves!$AQ$8:$AQ$68,AE$4-$B74+1)</f>
        <v/>
      </c>
      <c r="AF74" s="75">
        <f>$C74*INDEX(Curves!$AQ$8:$AQ$68,AF$4-$B74+1)</f>
        <v/>
      </c>
      <c r="AG74" s="75">
        <f>$C74*INDEX(Curves!$AQ$8:$AQ$68,AG$4-$B74+1)</f>
        <v/>
      </c>
      <c r="AH74" s="75">
        <f>$C74*INDEX(Curves!$AQ$8:$AQ$68,AH$4-$B74+1)</f>
        <v/>
      </c>
      <c r="AI74" s="75">
        <f>$C74*INDEX(Curves!$AQ$8:$AQ$68,AI$4-$B74+1)</f>
        <v/>
      </c>
      <c r="AJ74" s="75">
        <f>$C74*INDEX(Curves!$AQ$8:$AQ$68,AJ$4-$B74+1)</f>
        <v/>
      </c>
      <c r="AK74" s="75">
        <f>$C74*INDEX(Curves!$AQ$8:$AQ$68,AK$4-$B74+1)</f>
        <v/>
      </c>
      <c r="AL74" s="75">
        <f>$C74*INDEX(Curves!$AQ$8:$AQ$68,AL$4-$B74+1)</f>
        <v/>
      </c>
      <c r="AM74" s="75">
        <f>$C74*INDEX(Curves!$AQ$8:$AQ$68,AM$4-$B74+1)</f>
        <v/>
      </c>
      <c r="AN74" s="75">
        <f>$C74*INDEX(Curves!$AQ$8:$AQ$68,AN$4-$B74+1)</f>
        <v/>
      </c>
      <c r="AO74" s="75">
        <f>$C74*INDEX(Curves!$AQ$8:$AQ$68,AO$4-$B74+1)</f>
        <v/>
      </c>
      <c r="AP74" s="75">
        <f>$C74*INDEX(Curves!$AQ$8:$AQ$68,AP$4-$B74+1)</f>
        <v/>
      </c>
      <c r="AQ74" s="75">
        <f>$C74*INDEX(Curves!$AQ$8:$AQ$68,AQ$4-$B74+1)</f>
        <v/>
      </c>
      <c r="AR74" s="75">
        <f>$C74*INDEX(Curves!$AQ$8:$AQ$68,AR$4-$B74+1)</f>
        <v/>
      </c>
      <c r="AS74" s="75">
        <f>$C74*INDEX(Curves!$AQ$8:$AQ$68,AS$4-$B74+1)</f>
        <v/>
      </c>
      <c r="AT74" s="75">
        <f>$C74*INDEX(Curves!$AQ$8:$AQ$68,AT$4-$B74+1)</f>
        <v/>
      </c>
      <c r="AU74" s="75">
        <f>$C74*INDEX(Curves!$AQ$8:$AQ$68,AU$4-$B74+1)</f>
        <v/>
      </c>
      <c r="AV74" s="75">
        <f>$C74*INDEX(Curves!$AQ$8:$AQ$68,AV$4-$B74+1)</f>
        <v/>
      </c>
      <c r="AW74" s="75">
        <f>$C74*INDEX(Curves!$AQ$8:$AQ$68,AW$4-$B74+1)</f>
        <v/>
      </c>
      <c r="AX74" s="75">
        <f>$C74*INDEX(Curves!$AQ$8:$AQ$68,AX$4-$B74+1)</f>
        <v/>
      </c>
      <c r="AY74" s="75">
        <f>$C74*INDEX(Curves!$AQ$8:$AQ$68,AY$4-$B74+1)</f>
        <v/>
      </c>
      <c r="AZ74" s="75">
        <f>$C74*INDEX(Curves!$AQ$8:$AQ$68,AZ$4-$B74+1)</f>
        <v/>
      </c>
      <c r="BA74" s="75">
        <f>$C74*INDEX(Curves!$AQ$8:$AQ$68,BA$4-$B74+1)</f>
        <v/>
      </c>
      <c r="BB74" s="75">
        <f>$C74*INDEX(Curves!$AQ$8:$AQ$68,BB$4-$B74+1)</f>
        <v/>
      </c>
      <c r="BC74" s="75">
        <f>$C74*INDEX(Curves!$AQ$8:$AQ$68,BC$4-$B74+1)</f>
        <v/>
      </c>
      <c r="BD74" s="75">
        <f>$C74*INDEX(Curves!$AQ$8:$AQ$68,BD$4-$B74+1)</f>
        <v/>
      </c>
      <c r="BE74" s="75">
        <f>$C74*INDEX(Curves!$AQ$8:$AQ$68,BE$4-$B74+1)</f>
        <v/>
      </c>
      <c r="BF74" s="75">
        <f>$C74*INDEX(Curves!$AQ$8:$AQ$68,BF$4-$B74+1)</f>
        <v/>
      </c>
      <c r="BG74" s="75">
        <f>$C74*INDEX(Curves!$AQ$8:$AQ$68,BG$4-$B74+1)</f>
        <v/>
      </c>
      <c r="BH74" s="75">
        <f>$C74*INDEX(Curves!$AQ$8:$AQ$68,BH$4-$B74+1)</f>
        <v/>
      </c>
      <c r="BI74" s="75">
        <f>$C74*INDEX(Curves!$AQ$8:$AQ$68,BI$4-$B74+1)</f>
        <v/>
      </c>
      <c r="BJ74" s="75">
        <f>$C74*INDEX(Curves!$AQ$8:$AQ$68,BJ$4-$B74+1)</f>
        <v/>
      </c>
      <c r="BK74" s="75">
        <f>$C74*INDEX(Curves!$AQ$8:$AQ$68,BK$4-$B74+1)</f>
        <v/>
      </c>
      <c r="BL74" s="75">
        <f>$C74*INDEX(Curves!$AQ$8:$AQ$68,BL$4-$B74+1)</f>
        <v/>
      </c>
    </row>
    <row r="75">
      <c r="A75" s="74" t="inlineStr">
        <is>
          <t>Cohort month 3</t>
        </is>
      </c>
      <c r="B75" s="74" t="n">
        <v>3</v>
      </c>
      <c r="C75" s="17">
        <f>INDEX(Ops!$E$84:$BL$84,1,$B75)</f>
        <v/>
      </c>
      <c r="H75" s="75">
        <f>$C75*INDEX(Curves!$AQ$8:$AQ$68,H$4-$B75+1)</f>
        <v/>
      </c>
      <c r="I75" s="75">
        <f>$C75*INDEX(Curves!$AQ$8:$AQ$68,I$4-$B75+1)</f>
        <v/>
      </c>
      <c r="J75" s="75">
        <f>$C75*INDEX(Curves!$AQ$8:$AQ$68,J$4-$B75+1)</f>
        <v/>
      </c>
      <c r="K75" s="75">
        <f>$C75*INDEX(Curves!$AQ$8:$AQ$68,K$4-$B75+1)</f>
        <v/>
      </c>
      <c r="L75" s="75">
        <f>$C75*INDEX(Curves!$AQ$8:$AQ$68,L$4-$B75+1)</f>
        <v/>
      </c>
      <c r="M75" s="75">
        <f>$C75*INDEX(Curves!$AQ$8:$AQ$68,M$4-$B75+1)</f>
        <v/>
      </c>
      <c r="N75" s="75">
        <f>$C75*INDEX(Curves!$AQ$8:$AQ$68,N$4-$B75+1)</f>
        <v/>
      </c>
      <c r="O75" s="75">
        <f>$C75*INDEX(Curves!$AQ$8:$AQ$68,O$4-$B75+1)</f>
        <v/>
      </c>
      <c r="P75" s="75">
        <f>$C75*INDEX(Curves!$AQ$8:$AQ$68,P$4-$B75+1)</f>
        <v/>
      </c>
      <c r="Q75" s="75">
        <f>$C75*INDEX(Curves!$AQ$8:$AQ$68,Q$4-$B75+1)</f>
        <v/>
      </c>
      <c r="R75" s="75">
        <f>$C75*INDEX(Curves!$AQ$8:$AQ$68,R$4-$B75+1)</f>
        <v/>
      </c>
      <c r="S75" s="75">
        <f>$C75*INDEX(Curves!$AQ$8:$AQ$68,S$4-$B75+1)</f>
        <v/>
      </c>
      <c r="T75" s="75">
        <f>$C75*INDEX(Curves!$AQ$8:$AQ$68,T$4-$B75+1)</f>
        <v/>
      </c>
      <c r="U75" s="75">
        <f>$C75*INDEX(Curves!$AQ$8:$AQ$68,U$4-$B75+1)</f>
        <v/>
      </c>
      <c r="V75" s="75">
        <f>$C75*INDEX(Curves!$AQ$8:$AQ$68,V$4-$B75+1)</f>
        <v/>
      </c>
      <c r="W75" s="75">
        <f>$C75*INDEX(Curves!$AQ$8:$AQ$68,W$4-$B75+1)</f>
        <v/>
      </c>
      <c r="X75" s="75">
        <f>$C75*INDEX(Curves!$AQ$8:$AQ$68,X$4-$B75+1)</f>
        <v/>
      </c>
      <c r="Y75" s="75">
        <f>$C75*INDEX(Curves!$AQ$8:$AQ$68,Y$4-$B75+1)</f>
        <v/>
      </c>
      <c r="Z75" s="75">
        <f>$C75*INDEX(Curves!$AQ$8:$AQ$68,Z$4-$B75+1)</f>
        <v/>
      </c>
      <c r="AA75" s="75">
        <f>$C75*INDEX(Curves!$AQ$8:$AQ$68,AA$4-$B75+1)</f>
        <v/>
      </c>
      <c r="AB75" s="75">
        <f>$C75*INDEX(Curves!$AQ$8:$AQ$68,AB$4-$B75+1)</f>
        <v/>
      </c>
      <c r="AC75" s="75">
        <f>$C75*INDEX(Curves!$AQ$8:$AQ$68,AC$4-$B75+1)</f>
        <v/>
      </c>
      <c r="AD75" s="75">
        <f>$C75*INDEX(Curves!$AQ$8:$AQ$68,AD$4-$B75+1)</f>
        <v/>
      </c>
      <c r="AE75" s="75">
        <f>$C75*INDEX(Curves!$AQ$8:$AQ$68,AE$4-$B75+1)</f>
        <v/>
      </c>
      <c r="AF75" s="75">
        <f>$C75*INDEX(Curves!$AQ$8:$AQ$68,AF$4-$B75+1)</f>
        <v/>
      </c>
      <c r="AG75" s="75">
        <f>$C75*INDEX(Curves!$AQ$8:$AQ$68,AG$4-$B75+1)</f>
        <v/>
      </c>
      <c r="AH75" s="75">
        <f>$C75*INDEX(Curves!$AQ$8:$AQ$68,AH$4-$B75+1)</f>
        <v/>
      </c>
      <c r="AI75" s="75">
        <f>$C75*INDEX(Curves!$AQ$8:$AQ$68,AI$4-$B75+1)</f>
        <v/>
      </c>
      <c r="AJ75" s="75">
        <f>$C75*INDEX(Curves!$AQ$8:$AQ$68,AJ$4-$B75+1)</f>
        <v/>
      </c>
      <c r="AK75" s="75">
        <f>$C75*INDEX(Curves!$AQ$8:$AQ$68,AK$4-$B75+1)</f>
        <v/>
      </c>
      <c r="AL75" s="75">
        <f>$C75*INDEX(Curves!$AQ$8:$AQ$68,AL$4-$B75+1)</f>
        <v/>
      </c>
      <c r="AM75" s="75">
        <f>$C75*INDEX(Curves!$AQ$8:$AQ$68,AM$4-$B75+1)</f>
        <v/>
      </c>
      <c r="AN75" s="75">
        <f>$C75*INDEX(Curves!$AQ$8:$AQ$68,AN$4-$B75+1)</f>
        <v/>
      </c>
      <c r="AO75" s="75">
        <f>$C75*INDEX(Curves!$AQ$8:$AQ$68,AO$4-$B75+1)</f>
        <v/>
      </c>
      <c r="AP75" s="75">
        <f>$C75*INDEX(Curves!$AQ$8:$AQ$68,AP$4-$B75+1)</f>
        <v/>
      </c>
      <c r="AQ75" s="75">
        <f>$C75*INDEX(Curves!$AQ$8:$AQ$68,AQ$4-$B75+1)</f>
        <v/>
      </c>
      <c r="AR75" s="75">
        <f>$C75*INDEX(Curves!$AQ$8:$AQ$68,AR$4-$B75+1)</f>
        <v/>
      </c>
      <c r="AS75" s="75">
        <f>$C75*INDEX(Curves!$AQ$8:$AQ$68,AS$4-$B75+1)</f>
        <v/>
      </c>
      <c r="AT75" s="75">
        <f>$C75*INDEX(Curves!$AQ$8:$AQ$68,AT$4-$B75+1)</f>
        <v/>
      </c>
      <c r="AU75" s="75">
        <f>$C75*INDEX(Curves!$AQ$8:$AQ$68,AU$4-$B75+1)</f>
        <v/>
      </c>
      <c r="AV75" s="75">
        <f>$C75*INDEX(Curves!$AQ$8:$AQ$68,AV$4-$B75+1)</f>
        <v/>
      </c>
      <c r="AW75" s="75">
        <f>$C75*INDEX(Curves!$AQ$8:$AQ$68,AW$4-$B75+1)</f>
        <v/>
      </c>
      <c r="AX75" s="75">
        <f>$C75*INDEX(Curves!$AQ$8:$AQ$68,AX$4-$B75+1)</f>
        <v/>
      </c>
      <c r="AY75" s="75">
        <f>$C75*INDEX(Curves!$AQ$8:$AQ$68,AY$4-$B75+1)</f>
        <v/>
      </c>
      <c r="AZ75" s="75">
        <f>$C75*INDEX(Curves!$AQ$8:$AQ$68,AZ$4-$B75+1)</f>
        <v/>
      </c>
      <c r="BA75" s="75">
        <f>$C75*INDEX(Curves!$AQ$8:$AQ$68,BA$4-$B75+1)</f>
        <v/>
      </c>
      <c r="BB75" s="75">
        <f>$C75*INDEX(Curves!$AQ$8:$AQ$68,BB$4-$B75+1)</f>
        <v/>
      </c>
      <c r="BC75" s="75">
        <f>$C75*INDEX(Curves!$AQ$8:$AQ$68,BC$4-$B75+1)</f>
        <v/>
      </c>
      <c r="BD75" s="75">
        <f>$C75*INDEX(Curves!$AQ$8:$AQ$68,BD$4-$B75+1)</f>
        <v/>
      </c>
      <c r="BE75" s="75">
        <f>$C75*INDEX(Curves!$AQ$8:$AQ$68,BE$4-$B75+1)</f>
        <v/>
      </c>
      <c r="BF75" s="75">
        <f>$C75*INDEX(Curves!$AQ$8:$AQ$68,BF$4-$B75+1)</f>
        <v/>
      </c>
      <c r="BG75" s="75">
        <f>$C75*INDEX(Curves!$AQ$8:$AQ$68,BG$4-$B75+1)</f>
        <v/>
      </c>
      <c r="BH75" s="75">
        <f>$C75*INDEX(Curves!$AQ$8:$AQ$68,BH$4-$B75+1)</f>
        <v/>
      </c>
      <c r="BI75" s="75">
        <f>$C75*INDEX(Curves!$AQ$8:$AQ$68,BI$4-$B75+1)</f>
        <v/>
      </c>
      <c r="BJ75" s="75">
        <f>$C75*INDEX(Curves!$AQ$8:$AQ$68,BJ$4-$B75+1)</f>
        <v/>
      </c>
      <c r="BK75" s="75">
        <f>$C75*INDEX(Curves!$AQ$8:$AQ$68,BK$4-$B75+1)</f>
        <v/>
      </c>
      <c r="BL75" s="75">
        <f>$C75*INDEX(Curves!$AQ$8:$AQ$68,BL$4-$B75+1)</f>
        <v/>
      </c>
    </row>
    <row r="76">
      <c r="A76" s="74" t="inlineStr">
        <is>
          <t>Cohort month 4</t>
        </is>
      </c>
      <c r="B76" s="74" t="n">
        <v>4</v>
      </c>
      <c r="C76" s="17">
        <f>INDEX(Ops!$E$84:$BL$84,1,$B76)</f>
        <v/>
      </c>
      <c r="I76" s="75">
        <f>$C76*INDEX(Curves!$AQ$8:$AQ$68,I$4-$B76+1)</f>
        <v/>
      </c>
      <c r="J76" s="75">
        <f>$C76*INDEX(Curves!$AQ$8:$AQ$68,J$4-$B76+1)</f>
        <v/>
      </c>
      <c r="K76" s="75">
        <f>$C76*INDEX(Curves!$AQ$8:$AQ$68,K$4-$B76+1)</f>
        <v/>
      </c>
      <c r="L76" s="75">
        <f>$C76*INDEX(Curves!$AQ$8:$AQ$68,L$4-$B76+1)</f>
        <v/>
      </c>
      <c r="M76" s="75">
        <f>$C76*INDEX(Curves!$AQ$8:$AQ$68,M$4-$B76+1)</f>
        <v/>
      </c>
      <c r="N76" s="75">
        <f>$C76*INDEX(Curves!$AQ$8:$AQ$68,N$4-$B76+1)</f>
        <v/>
      </c>
      <c r="O76" s="75">
        <f>$C76*INDEX(Curves!$AQ$8:$AQ$68,O$4-$B76+1)</f>
        <v/>
      </c>
      <c r="P76" s="75">
        <f>$C76*INDEX(Curves!$AQ$8:$AQ$68,P$4-$B76+1)</f>
        <v/>
      </c>
      <c r="Q76" s="75">
        <f>$C76*INDEX(Curves!$AQ$8:$AQ$68,Q$4-$B76+1)</f>
        <v/>
      </c>
      <c r="R76" s="75">
        <f>$C76*INDEX(Curves!$AQ$8:$AQ$68,R$4-$B76+1)</f>
        <v/>
      </c>
      <c r="S76" s="75">
        <f>$C76*INDEX(Curves!$AQ$8:$AQ$68,S$4-$B76+1)</f>
        <v/>
      </c>
      <c r="T76" s="75">
        <f>$C76*INDEX(Curves!$AQ$8:$AQ$68,T$4-$B76+1)</f>
        <v/>
      </c>
      <c r="U76" s="75">
        <f>$C76*INDEX(Curves!$AQ$8:$AQ$68,U$4-$B76+1)</f>
        <v/>
      </c>
      <c r="V76" s="75">
        <f>$C76*INDEX(Curves!$AQ$8:$AQ$68,V$4-$B76+1)</f>
        <v/>
      </c>
      <c r="W76" s="75">
        <f>$C76*INDEX(Curves!$AQ$8:$AQ$68,W$4-$B76+1)</f>
        <v/>
      </c>
      <c r="X76" s="75">
        <f>$C76*INDEX(Curves!$AQ$8:$AQ$68,X$4-$B76+1)</f>
        <v/>
      </c>
      <c r="Y76" s="75">
        <f>$C76*INDEX(Curves!$AQ$8:$AQ$68,Y$4-$B76+1)</f>
        <v/>
      </c>
      <c r="Z76" s="75">
        <f>$C76*INDEX(Curves!$AQ$8:$AQ$68,Z$4-$B76+1)</f>
        <v/>
      </c>
      <c r="AA76" s="75">
        <f>$C76*INDEX(Curves!$AQ$8:$AQ$68,AA$4-$B76+1)</f>
        <v/>
      </c>
      <c r="AB76" s="75">
        <f>$C76*INDEX(Curves!$AQ$8:$AQ$68,AB$4-$B76+1)</f>
        <v/>
      </c>
      <c r="AC76" s="75">
        <f>$C76*INDEX(Curves!$AQ$8:$AQ$68,AC$4-$B76+1)</f>
        <v/>
      </c>
      <c r="AD76" s="75">
        <f>$C76*INDEX(Curves!$AQ$8:$AQ$68,AD$4-$B76+1)</f>
        <v/>
      </c>
      <c r="AE76" s="75">
        <f>$C76*INDEX(Curves!$AQ$8:$AQ$68,AE$4-$B76+1)</f>
        <v/>
      </c>
      <c r="AF76" s="75">
        <f>$C76*INDEX(Curves!$AQ$8:$AQ$68,AF$4-$B76+1)</f>
        <v/>
      </c>
      <c r="AG76" s="75">
        <f>$C76*INDEX(Curves!$AQ$8:$AQ$68,AG$4-$B76+1)</f>
        <v/>
      </c>
      <c r="AH76" s="75">
        <f>$C76*INDEX(Curves!$AQ$8:$AQ$68,AH$4-$B76+1)</f>
        <v/>
      </c>
      <c r="AI76" s="75">
        <f>$C76*INDEX(Curves!$AQ$8:$AQ$68,AI$4-$B76+1)</f>
        <v/>
      </c>
      <c r="AJ76" s="75">
        <f>$C76*INDEX(Curves!$AQ$8:$AQ$68,AJ$4-$B76+1)</f>
        <v/>
      </c>
      <c r="AK76" s="75">
        <f>$C76*INDEX(Curves!$AQ$8:$AQ$68,AK$4-$B76+1)</f>
        <v/>
      </c>
      <c r="AL76" s="75">
        <f>$C76*INDEX(Curves!$AQ$8:$AQ$68,AL$4-$B76+1)</f>
        <v/>
      </c>
      <c r="AM76" s="75">
        <f>$C76*INDEX(Curves!$AQ$8:$AQ$68,AM$4-$B76+1)</f>
        <v/>
      </c>
      <c r="AN76" s="75">
        <f>$C76*INDEX(Curves!$AQ$8:$AQ$68,AN$4-$B76+1)</f>
        <v/>
      </c>
      <c r="AO76" s="75">
        <f>$C76*INDEX(Curves!$AQ$8:$AQ$68,AO$4-$B76+1)</f>
        <v/>
      </c>
      <c r="AP76" s="75">
        <f>$C76*INDEX(Curves!$AQ$8:$AQ$68,AP$4-$B76+1)</f>
        <v/>
      </c>
      <c r="AQ76" s="75">
        <f>$C76*INDEX(Curves!$AQ$8:$AQ$68,AQ$4-$B76+1)</f>
        <v/>
      </c>
      <c r="AR76" s="75">
        <f>$C76*INDEX(Curves!$AQ$8:$AQ$68,AR$4-$B76+1)</f>
        <v/>
      </c>
      <c r="AS76" s="75">
        <f>$C76*INDEX(Curves!$AQ$8:$AQ$68,AS$4-$B76+1)</f>
        <v/>
      </c>
      <c r="AT76" s="75">
        <f>$C76*INDEX(Curves!$AQ$8:$AQ$68,AT$4-$B76+1)</f>
        <v/>
      </c>
      <c r="AU76" s="75">
        <f>$C76*INDEX(Curves!$AQ$8:$AQ$68,AU$4-$B76+1)</f>
        <v/>
      </c>
      <c r="AV76" s="75">
        <f>$C76*INDEX(Curves!$AQ$8:$AQ$68,AV$4-$B76+1)</f>
        <v/>
      </c>
      <c r="AW76" s="75">
        <f>$C76*INDEX(Curves!$AQ$8:$AQ$68,AW$4-$B76+1)</f>
        <v/>
      </c>
      <c r="AX76" s="75">
        <f>$C76*INDEX(Curves!$AQ$8:$AQ$68,AX$4-$B76+1)</f>
        <v/>
      </c>
      <c r="AY76" s="75">
        <f>$C76*INDEX(Curves!$AQ$8:$AQ$68,AY$4-$B76+1)</f>
        <v/>
      </c>
      <c r="AZ76" s="75">
        <f>$C76*INDEX(Curves!$AQ$8:$AQ$68,AZ$4-$B76+1)</f>
        <v/>
      </c>
      <c r="BA76" s="75">
        <f>$C76*INDEX(Curves!$AQ$8:$AQ$68,BA$4-$B76+1)</f>
        <v/>
      </c>
      <c r="BB76" s="75">
        <f>$C76*INDEX(Curves!$AQ$8:$AQ$68,BB$4-$B76+1)</f>
        <v/>
      </c>
      <c r="BC76" s="75">
        <f>$C76*INDEX(Curves!$AQ$8:$AQ$68,BC$4-$B76+1)</f>
        <v/>
      </c>
      <c r="BD76" s="75">
        <f>$C76*INDEX(Curves!$AQ$8:$AQ$68,BD$4-$B76+1)</f>
        <v/>
      </c>
      <c r="BE76" s="75">
        <f>$C76*INDEX(Curves!$AQ$8:$AQ$68,BE$4-$B76+1)</f>
        <v/>
      </c>
      <c r="BF76" s="75">
        <f>$C76*INDEX(Curves!$AQ$8:$AQ$68,BF$4-$B76+1)</f>
        <v/>
      </c>
      <c r="BG76" s="75">
        <f>$C76*INDEX(Curves!$AQ$8:$AQ$68,BG$4-$B76+1)</f>
        <v/>
      </c>
      <c r="BH76" s="75">
        <f>$C76*INDEX(Curves!$AQ$8:$AQ$68,BH$4-$B76+1)</f>
        <v/>
      </c>
      <c r="BI76" s="75">
        <f>$C76*INDEX(Curves!$AQ$8:$AQ$68,BI$4-$B76+1)</f>
        <v/>
      </c>
      <c r="BJ76" s="75">
        <f>$C76*INDEX(Curves!$AQ$8:$AQ$68,BJ$4-$B76+1)</f>
        <v/>
      </c>
      <c r="BK76" s="75">
        <f>$C76*INDEX(Curves!$AQ$8:$AQ$68,BK$4-$B76+1)</f>
        <v/>
      </c>
      <c r="BL76" s="75">
        <f>$C76*INDEX(Curves!$AQ$8:$AQ$68,BL$4-$B76+1)</f>
        <v/>
      </c>
    </row>
    <row r="77">
      <c r="A77" s="74" t="inlineStr">
        <is>
          <t>Cohort month 5</t>
        </is>
      </c>
      <c r="B77" s="74" t="n">
        <v>5</v>
      </c>
      <c r="C77" s="17">
        <f>INDEX(Ops!$E$84:$BL$84,1,$B77)</f>
        <v/>
      </c>
      <c r="J77" s="75">
        <f>$C77*INDEX(Curves!$AQ$8:$AQ$68,J$4-$B77+1)</f>
        <v/>
      </c>
      <c r="K77" s="75">
        <f>$C77*INDEX(Curves!$AQ$8:$AQ$68,K$4-$B77+1)</f>
        <v/>
      </c>
      <c r="L77" s="75">
        <f>$C77*INDEX(Curves!$AQ$8:$AQ$68,L$4-$B77+1)</f>
        <v/>
      </c>
      <c r="M77" s="75">
        <f>$C77*INDEX(Curves!$AQ$8:$AQ$68,M$4-$B77+1)</f>
        <v/>
      </c>
      <c r="N77" s="75">
        <f>$C77*INDEX(Curves!$AQ$8:$AQ$68,N$4-$B77+1)</f>
        <v/>
      </c>
      <c r="O77" s="75">
        <f>$C77*INDEX(Curves!$AQ$8:$AQ$68,O$4-$B77+1)</f>
        <v/>
      </c>
      <c r="P77" s="75">
        <f>$C77*INDEX(Curves!$AQ$8:$AQ$68,P$4-$B77+1)</f>
        <v/>
      </c>
      <c r="Q77" s="75">
        <f>$C77*INDEX(Curves!$AQ$8:$AQ$68,Q$4-$B77+1)</f>
        <v/>
      </c>
      <c r="R77" s="75">
        <f>$C77*INDEX(Curves!$AQ$8:$AQ$68,R$4-$B77+1)</f>
        <v/>
      </c>
      <c r="S77" s="75">
        <f>$C77*INDEX(Curves!$AQ$8:$AQ$68,S$4-$B77+1)</f>
        <v/>
      </c>
      <c r="T77" s="75">
        <f>$C77*INDEX(Curves!$AQ$8:$AQ$68,T$4-$B77+1)</f>
        <v/>
      </c>
      <c r="U77" s="75">
        <f>$C77*INDEX(Curves!$AQ$8:$AQ$68,U$4-$B77+1)</f>
        <v/>
      </c>
      <c r="V77" s="75">
        <f>$C77*INDEX(Curves!$AQ$8:$AQ$68,V$4-$B77+1)</f>
        <v/>
      </c>
      <c r="W77" s="75">
        <f>$C77*INDEX(Curves!$AQ$8:$AQ$68,W$4-$B77+1)</f>
        <v/>
      </c>
      <c r="X77" s="75">
        <f>$C77*INDEX(Curves!$AQ$8:$AQ$68,X$4-$B77+1)</f>
        <v/>
      </c>
      <c r="Y77" s="75">
        <f>$C77*INDEX(Curves!$AQ$8:$AQ$68,Y$4-$B77+1)</f>
        <v/>
      </c>
      <c r="Z77" s="75">
        <f>$C77*INDEX(Curves!$AQ$8:$AQ$68,Z$4-$B77+1)</f>
        <v/>
      </c>
      <c r="AA77" s="75">
        <f>$C77*INDEX(Curves!$AQ$8:$AQ$68,AA$4-$B77+1)</f>
        <v/>
      </c>
      <c r="AB77" s="75">
        <f>$C77*INDEX(Curves!$AQ$8:$AQ$68,AB$4-$B77+1)</f>
        <v/>
      </c>
      <c r="AC77" s="75">
        <f>$C77*INDEX(Curves!$AQ$8:$AQ$68,AC$4-$B77+1)</f>
        <v/>
      </c>
      <c r="AD77" s="75">
        <f>$C77*INDEX(Curves!$AQ$8:$AQ$68,AD$4-$B77+1)</f>
        <v/>
      </c>
      <c r="AE77" s="75">
        <f>$C77*INDEX(Curves!$AQ$8:$AQ$68,AE$4-$B77+1)</f>
        <v/>
      </c>
      <c r="AF77" s="75">
        <f>$C77*INDEX(Curves!$AQ$8:$AQ$68,AF$4-$B77+1)</f>
        <v/>
      </c>
      <c r="AG77" s="75">
        <f>$C77*INDEX(Curves!$AQ$8:$AQ$68,AG$4-$B77+1)</f>
        <v/>
      </c>
      <c r="AH77" s="75">
        <f>$C77*INDEX(Curves!$AQ$8:$AQ$68,AH$4-$B77+1)</f>
        <v/>
      </c>
      <c r="AI77" s="75">
        <f>$C77*INDEX(Curves!$AQ$8:$AQ$68,AI$4-$B77+1)</f>
        <v/>
      </c>
      <c r="AJ77" s="75">
        <f>$C77*INDEX(Curves!$AQ$8:$AQ$68,AJ$4-$B77+1)</f>
        <v/>
      </c>
      <c r="AK77" s="75">
        <f>$C77*INDEX(Curves!$AQ$8:$AQ$68,AK$4-$B77+1)</f>
        <v/>
      </c>
      <c r="AL77" s="75">
        <f>$C77*INDEX(Curves!$AQ$8:$AQ$68,AL$4-$B77+1)</f>
        <v/>
      </c>
      <c r="AM77" s="75">
        <f>$C77*INDEX(Curves!$AQ$8:$AQ$68,AM$4-$B77+1)</f>
        <v/>
      </c>
      <c r="AN77" s="75">
        <f>$C77*INDEX(Curves!$AQ$8:$AQ$68,AN$4-$B77+1)</f>
        <v/>
      </c>
      <c r="AO77" s="75">
        <f>$C77*INDEX(Curves!$AQ$8:$AQ$68,AO$4-$B77+1)</f>
        <v/>
      </c>
      <c r="AP77" s="75">
        <f>$C77*INDEX(Curves!$AQ$8:$AQ$68,AP$4-$B77+1)</f>
        <v/>
      </c>
      <c r="AQ77" s="75">
        <f>$C77*INDEX(Curves!$AQ$8:$AQ$68,AQ$4-$B77+1)</f>
        <v/>
      </c>
      <c r="AR77" s="75">
        <f>$C77*INDEX(Curves!$AQ$8:$AQ$68,AR$4-$B77+1)</f>
        <v/>
      </c>
      <c r="AS77" s="75">
        <f>$C77*INDEX(Curves!$AQ$8:$AQ$68,AS$4-$B77+1)</f>
        <v/>
      </c>
      <c r="AT77" s="75">
        <f>$C77*INDEX(Curves!$AQ$8:$AQ$68,AT$4-$B77+1)</f>
        <v/>
      </c>
      <c r="AU77" s="75">
        <f>$C77*INDEX(Curves!$AQ$8:$AQ$68,AU$4-$B77+1)</f>
        <v/>
      </c>
      <c r="AV77" s="75">
        <f>$C77*INDEX(Curves!$AQ$8:$AQ$68,AV$4-$B77+1)</f>
        <v/>
      </c>
      <c r="AW77" s="75">
        <f>$C77*INDEX(Curves!$AQ$8:$AQ$68,AW$4-$B77+1)</f>
        <v/>
      </c>
      <c r="AX77" s="75">
        <f>$C77*INDEX(Curves!$AQ$8:$AQ$68,AX$4-$B77+1)</f>
        <v/>
      </c>
      <c r="AY77" s="75">
        <f>$C77*INDEX(Curves!$AQ$8:$AQ$68,AY$4-$B77+1)</f>
        <v/>
      </c>
      <c r="AZ77" s="75">
        <f>$C77*INDEX(Curves!$AQ$8:$AQ$68,AZ$4-$B77+1)</f>
        <v/>
      </c>
      <c r="BA77" s="75">
        <f>$C77*INDEX(Curves!$AQ$8:$AQ$68,BA$4-$B77+1)</f>
        <v/>
      </c>
      <c r="BB77" s="75">
        <f>$C77*INDEX(Curves!$AQ$8:$AQ$68,BB$4-$B77+1)</f>
        <v/>
      </c>
      <c r="BC77" s="75">
        <f>$C77*INDEX(Curves!$AQ$8:$AQ$68,BC$4-$B77+1)</f>
        <v/>
      </c>
      <c r="BD77" s="75">
        <f>$C77*INDEX(Curves!$AQ$8:$AQ$68,BD$4-$B77+1)</f>
        <v/>
      </c>
      <c r="BE77" s="75">
        <f>$C77*INDEX(Curves!$AQ$8:$AQ$68,BE$4-$B77+1)</f>
        <v/>
      </c>
      <c r="BF77" s="75">
        <f>$C77*INDEX(Curves!$AQ$8:$AQ$68,BF$4-$B77+1)</f>
        <v/>
      </c>
      <c r="BG77" s="75">
        <f>$C77*INDEX(Curves!$AQ$8:$AQ$68,BG$4-$B77+1)</f>
        <v/>
      </c>
      <c r="BH77" s="75">
        <f>$C77*INDEX(Curves!$AQ$8:$AQ$68,BH$4-$B77+1)</f>
        <v/>
      </c>
      <c r="BI77" s="75">
        <f>$C77*INDEX(Curves!$AQ$8:$AQ$68,BI$4-$B77+1)</f>
        <v/>
      </c>
      <c r="BJ77" s="75">
        <f>$C77*INDEX(Curves!$AQ$8:$AQ$68,BJ$4-$B77+1)</f>
        <v/>
      </c>
      <c r="BK77" s="75">
        <f>$C77*INDEX(Curves!$AQ$8:$AQ$68,BK$4-$B77+1)</f>
        <v/>
      </c>
      <c r="BL77" s="75">
        <f>$C77*INDEX(Curves!$AQ$8:$AQ$68,BL$4-$B77+1)</f>
        <v/>
      </c>
    </row>
    <row r="78">
      <c r="A78" s="74" t="inlineStr">
        <is>
          <t>Cohort month 6</t>
        </is>
      </c>
      <c r="B78" s="74" t="n">
        <v>6</v>
      </c>
      <c r="C78" s="17">
        <f>INDEX(Ops!$E$84:$BL$84,1,$B78)</f>
        <v/>
      </c>
      <c r="K78" s="75">
        <f>$C78*INDEX(Curves!$AQ$8:$AQ$68,K$4-$B78+1)</f>
        <v/>
      </c>
      <c r="L78" s="75">
        <f>$C78*INDEX(Curves!$AQ$8:$AQ$68,L$4-$B78+1)</f>
        <v/>
      </c>
      <c r="M78" s="75">
        <f>$C78*INDEX(Curves!$AQ$8:$AQ$68,M$4-$B78+1)</f>
        <v/>
      </c>
      <c r="N78" s="75">
        <f>$C78*INDEX(Curves!$AQ$8:$AQ$68,N$4-$B78+1)</f>
        <v/>
      </c>
      <c r="O78" s="75">
        <f>$C78*INDEX(Curves!$AQ$8:$AQ$68,O$4-$B78+1)</f>
        <v/>
      </c>
      <c r="P78" s="75">
        <f>$C78*INDEX(Curves!$AQ$8:$AQ$68,P$4-$B78+1)</f>
        <v/>
      </c>
      <c r="Q78" s="75">
        <f>$C78*INDEX(Curves!$AQ$8:$AQ$68,Q$4-$B78+1)</f>
        <v/>
      </c>
      <c r="R78" s="75">
        <f>$C78*INDEX(Curves!$AQ$8:$AQ$68,R$4-$B78+1)</f>
        <v/>
      </c>
      <c r="S78" s="75">
        <f>$C78*INDEX(Curves!$AQ$8:$AQ$68,S$4-$B78+1)</f>
        <v/>
      </c>
      <c r="T78" s="75">
        <f>$C78*INDEX(Curves!$AQ$8:$AQ$68,T$4-$B78+1)</f>
        <v/>
      </c>
      <c r="U78" s="75">
        <f>$C78*INDEX(Curves!$AQ$8:$AQ$68,U$4-$B78+1)</f>
        <v/>
      </c>
      <c r="V78" s="75">
        <f>$C78*INDEX(Curves!$AQ$8:$AQ$68,V$4-$B78+1)</f>
        <v/>
      </c>
      <c r="W78" s="75">
        <f>$C78*INDEX(Curves!$AQ$8:$AQ$68,W$4-$B78+1)</f>
        <v/>
      </c>
      <c r="X78" s="75">
        <f>$C78*INDEX(Curves!$AQ$8:$AQ$68,X$4-$B78+1)</f>
        <v/>
      </c>
      <c r="Y78" s="75">
        <f>$C78*INDEX(Curves!$AQ$8:$AQ$68,Y$4-$B78+1)</f>
        <v/>
      </c>
      <c r="Z78" s="75">
        <f>$C78*INDEX(Curves!$AQ$8:$AQ$68,Z$4-$B78+1)</f>
        <v/>
      </c>
      <c r="AA78" s="75">
        <f>$C78*INDEX(Curves!$AQ$8:$AQ$68,AA$4-$B78+1)</f>
        <v/>
      </c>
      <c r="AB78" s="75">
        <f>$C78*INDEX(Curves!$AQ$8:$AQ$68,AB$4-$B78+1)</f>
        <v/>
      </c>
      <c r="AC78" s="75">
        <f>$C78*INDEX(Curves!$AQ$8:$AQ$68,AC$4-$B78+1)</f>
        <v/>
      </c>
      <c r="AD78" s="75">
        <f>$C78*INDEX(Curves!$AQ$8:$AQ$68,AD$4-$B78+1)</f>
        <v/>
      </c>
      <c r="AE78" s="75">
        <f>$C78*INDEX(Curves!$AQ$8:$AQ$68,AE$4-$B78+1)</f>
        <v/>
      </c>
      <c r="AF78" s="75">
        <f>$C78*INDEX(Curves!$AQ$8:$AQ$68,AF$4-$B78+1)</f>
        <v/>
      </c>
      <c r="AG78" s="75">
        <f>$C78*INDEX(Curves!$AQ$8:$AQ$68,AG$4-$B78+1)</f>
        <v/>
      </c>
      <c r="AH78" s="75">
        <f>$C78*INDEX(Curves!$AQ$8:$AQ$68,AH$4-$B78+1)</f>
        <v/>
      </c>
      <c r="AI78" s="75">
        <f>$C78*INDEX(Curves!$AQ$8:$AQ$68,AI$4-$B78+1)</f>
        <v/>
      </c>
      <c r="AJ78" s="75">
        <f>$C78*INDEX(Curves!$AQ$8:$AQ$68,AJ$4-$B78+1)</f>
        <v/>
      </c>
      <c r="AK78" s="75">
        <f>$C78*INDEX(Curves!$AQ$8:$AQ$68,AK$4-$B78+1)</f>
        <v/>
      </c>
      <c r="AL78" s="75">
        <f>$C78*INDEX(Curves!$AQ$8:$AQ$68,AL$4-$B78+1)</f>
        <v/>
      </c>
      <c r="AM78" s="75">
        <f>$C78*INDEX(Curves!$AQ$8:$AQ$68,AM$4-$B78+1)</f>
        <v/>
      </c>
      <c r="AN78" s="75">
        <f>$C78*INDEX(Curves!$AQ$8:$AQ$68,AN$4-$B78+1)</f>
        <v/>
      </c>
      <c r="AO78" s="75">
        <f>$C78*INDEX(Curves!$AQ$8:$AQ$68,AO$4-$B78+1)</f>
        <v/>
      </c>
      <c r="AP78" s="75">
        <f>$C78*INDEX(Curves!$AQ$8:$AQ$68,AP$4-$B78+1)</f>
        <v/>
      </c>
      <c r="AQ78" s="75">
        <f>$C78*INDEX(Curves!$AQ$8:$AQ$68,AQ$4-$B78+1)</f>
        <v/>
      </c>
      <c r="AR78" s="75">
        <f>$C78*INDEX(Curves!$AQ$8:$AQ$68,AR$4-$B78+1)</f>
        <v/>
      </c>
      <c r="AS78" s="75">
        <f>$C78*INDEX(Curves!$AQ$8:$AQ$68,AS$4-$B78+1)</f>
        <v/>
      </c>
      <c r="AT78" s="75">
        <f>$C78*INDEX(Curves!$AQ$8:$AQ$68,AT$4-$B78+1)</f>
        <v/>
      </c>
      <c r="AU78" s="75">
        <f>$C78*INDEX(Curves!$AQ$8:$AQ$68,AU$4-$B78+1)</f>
        <v/>
      </c>
      <c r="AV78" s="75">
        <f>$C78*INDEX(Curves!$AQ$8:$AQ$68,AV$4-$B78+1)</f>
        <v/>
      </c>
      <c r="AW78" s="75">
        <f>$C78*INDEX(Curves!$AQ$8:$AQ$68,AW$4-$B78+1)</f>
        <v/>
      </c>
      <c r="AX78" s="75">
        <f>$C78*INDEX(Curves!$AQ$8:$AQ$68,AX$4-$B78+1)</f>
        <v/>
      </c>
      <c r="AY78" s="75">
        <f>$C78*INDEX(Curves!$AQ$8:$AQ$68,AY$4-$B78+1)</f>
        <v/>
      </c>
      <c r="AZ78" s="75">
        <f>$C78*INDEX(Curves!$AQ$8:$AQ$68,AZ$4-$B78+1)</f>
        <v/>
      </c>
      <c r="BA78" s="75">
        <f>$C78*INDEX(Curves!$AQ$8:$AQ$68,BA$4-$B78+1)</f>
        <v/>
      </c>
      <c r="BB78" s="75">
        <f>$C78*INDEX(Curves!$AQ$8:$AQ$68,BB$4-$B78+1)</f>
        <v/>
      </c>
      <c r="BC78" s="75">
        <f>$C78*INDEX(Curves!$AQ$8:$AQ$68,BC$4-$B78+1)</f>
        <v/>
      </c>
      <c r="BD78" s="75">
        <f>$C78*INDEX(Curves!$AQ$8:$AQ$68,BD$4-$B78+1)</f>
        <v/>
      </c>
      <c r="BE78" s="75">
        <f>$C78*INDEX(Curves!$AQ$8:$AQ$68,BE$4-$B78+1)</f>
        <v/>
      </c>
      <c r="BF78" s="75">
        <f>$C78*INDEX(Curves!$AQ$8:$AQ$68,BF$4-$B78+1)</f>
        <v/>
      </c>
      <c r="BG78" s="75">
        <f>$C78*INDEX(Curves!$AQ$8:$AQ$68,BG$4-$B78+1)</f>
        <v/>
      </c>
      <c r="BH78" s="75">
        <f>$C78*INDEX(Curves!$AQ$8:$AQ$68,BH$4-$B78+1)</f>
        <v/>
      </c>
      <c r="BI78" s="75">
        <f>$C78*INDEX(Curves!$AQ$8:$AQ$68,BI$4-$B78+1)</f>
        <v/>
      </c>
      <c r="BJ78" s="75">
        <f>$C78*INDEX(Curves!$AQ$8:$AQ$68,BJ$4-$B78+1)</f>
        <v/>
      </c>
      <c r="BK78" s="75">
        <f>$C78*INDEX(Curves!$AQ$8:$AQ$68,BK$4-$B78+1)</f>
        <v/>
      </c>
      <c r="BL78" s="75">
        <f>$C78*INDEX(Curves!$AQ$8:$AQ$68,BL$4-$B78+1)</f>
        <v/>
      </c>
    </row>
    <row r="79">
      <c r="A79" s="74" t="inlineStr">
        <is>
          <t>Cohort month 7</t>
        </is>
      </c>
      <c r="B79" s="74" t="n">
        <v>7</v>
      </c>
      <c r="C79" s="17">
        <f>INDEX(Ops!$E$84:$BL$84,1,$B79)</f>
        <v/>
      </c>
      <c r="L79" s="75">
        <f>$C79*INDEX(Curves!$AQ$8:$AQ$68,L$4-$B79+1)</f>
        <v/>
      </c>
      <c r="M79" s="75">
        <f>$C79*INDEX(Curves!$AQ$8:$AQ$68,M$4-$B79+1)</f>
        <v/>
      </c>
      <c r="N79" s="75">
        <f>$C79*INDEX(Curves!$AQ$8:$AQ$68,N$4-$B79+1)</f>
        <v/>
      </c>
      <c r="O79" s="75">
        <f>$C79*INDEX(Curves!$AQ$8:$AQ$68,O$4-$B79+1)</f>
        <v/>
      </c>
      <c r="P79" s="75">
        <f>$C79*INDEX(Curves!$AQ$8:$AQ$68,P$4-$B79+1)</f>
        <v/>
      </c>
      <c r="Q79" s="75">
        <f>$C79*INDEX(Curves!$AQ$8:$AQ$68,Q$4-$B79+1)</f>
        <v/>
      </c>
      <c r="R79" s="75">
        <f>$C79*INDEX(Curves!$AQ$8:$AQ$68,R$4-$B79+1)</f>
        <v/>
      </c>
      <c r="S79" s="75">
        <f>$C79*INDEX(Curves!$AQ$8:$AQ$68,S$4-$B79+1)</f>
        <v/>
      </c>
      <c r="T79" s="75">
        <f>$C79*INDEX(Curves!$AQ$8:$AQ$68,T$4-$B79+1)</f>
        <v/>
      </c>
      <c r="U79" s="75">
        <f>$C79*INDEX(Curves!$AQ$8:$AQ$68,U$4-$B79+1)</f>
        <v/>
      </c>
      <c r="V79" s="75">
        <f>$C79*INDEX(Curves!$AQ$8:$AQ$68,V$4-$B79+1)</f>
        <v/>
      </c>
      <c r="W79" s="75">
        <f>$C79*INDEX(Curves!$AQ$8:$AQ$68,W$4-$B79+1)</f>
        <v/>
      </c>
      <c r="X79" s="75">
        <f>$C79*INDEX(Curves!$AQ$8:$AQ$68,X$4-$B79+1)</f>
        <v/>
      </c>
      <c r="Y79" s="75">
        <f>$C79*INDEX(Curves!$AQ$8:$AQ$68,Y$4-$B79+1)</f>
        <v/>
      </c>
      <c r="Z79" s="75">
        <f>$C79*INDEX(Curves!$AQ$8:$AQ$68,Z$4-$B79+1)</f>
        <v/>
      </c>
      <c r="AA79" s="75">
        <f>$C79*INDEX(Curves!$AQ$8:$AQ$68,AA$4-$B79+1)</f>
        <v/>
      </c>
      <c r="AB79" s="75">
        <f>$C79*INDEX(Curves!$AQ$8:$AQ$68,AB$4-$B79+1)</f>
        <v/>
      </c>
      <c r="AC79" s="75">
        <f>$C79*INDEX(Curves!$AQ$8:$AQ$68,AC$4-$B79+1)</f>
        <v/>
      </c>
      <c r="AD79" s="75">
        <f>$C79*INDEX(Curves!$AQ$8:$AQ$68,AD$4-$B79+1)</f>
        <v/>
      </c>
      <c r="AE79" s="75">
        <f>$C79*INDEX(Curves!$AQ$8:$AQ$68,AE$4-$B79+1)</f>
        <v/>
      </c>
      <c r="AF79" s="75">
        <f>$C79*INDEX(Curves!$AQ$8:$AQ$68,AF$4-$B79+1)</f>
        <v/>
      </c>
      <c r="AG79" s="75">
        <f>$C79*INDEX(Curves!$AQ$8:$AQ$68,AG$4-$B79+1)</f>
        <v/>
      </c>
      <c r="AH79" s="75">
        <f>$C79*INDEX(Curves!$AQ$8:$AQ$68,AH$4-$B79+1)</f>
        <v/>
      </c>
      <c r="AI79" s="75">
        <f>$C79*INDEX(Curves!$AQ$8:$AQ$68,AI$4-$B79+1)</f>
        <v/>
      </c>
      <c r="AJ79" s="75">
        <f>$C79*INDEX(Curves!$AQ$8:$AQ$68,AJ$4-$B79+1)</f>
        <v/>
      </c>
      <c r="AK79" s="75">
        <f>$C79*INDEX(Curves!$AQ$8:$AQ$68,AK$4-$B79+1)</f>
        <v/>
      </c>
      <c r="AL79" s="75">
        <f>$C79*INDEX(Curves!$AQ$8:$AQ$68,AL$4-$B79+1)</f>
        <v/>
      </c>
      <c r="AM79" s="75">
        <f>$C79*INDEX(Curves!$AQ$8:$AQ$68,AM$4-$B79+1)</f>
        <v/>
      </c>
      <c r="AN79" s="75">
        <f>$C79*INDEX(Curves!$AQ$8:$AQ$68,AN$4-$B79+1)</f>
        <v/>
      </c>
      <c r="AO79" s="75">
        <f>$C79*INDEX(Curves!$AQ$8:$AQ$68,AO$4-$B79+1)</f>
        <v/>
      </c>
      <c r="AP79" s="75">
        <f>$C79*INDEX(Curves!$AQ$8:$AQ$68,AP$4-$B79+1)</f>
        <v/>
      </c>
      <c r="AQ79" s="75">
        <f>$C79*INDEX(Curves!$AQ$8:$AQ$68,AQ$4-$B79+1)</f>
        <v/>
      </c>
      <c r="AR79" s="75">
        <f>$C79*INDEX(Curves!$AQ$8:$AQ$68,AR$4-$B79+1)</f>
        <v/>
      </c>
      <c r="AS79" s="75">
        <f>$C79*INDEX(Curves!$AQ$8:$AQ$68,AS$4-$B79+1)</f>
        <v/>
      </c>
      <c r="AT79" s="75">
        <f>$C79*INDEX(Curves!$AQ$8:$AQ$68,AT$4-$B79+1)</f>
        <v/>
      </c>
      <c r="AU79" s="75">
        <f>$C79*INDEX(Curves!$AQ$8:$AQ$68,AU$4-$B79+1)</f>
        <v/>
      </c>
      <c r="AV79" s="75">
        <f>$C79*INDEX(Curves!$AQ$8:$AQ$68,AV$4-$B79+1)</f>
        <v/>
      </c>
      <c r="AW79" s="75">
        <f>$C79*INDEX(Curves!$AQ$8:$AQ$68,AW$4-$B79+1)</f>
        <v/>
      </c>
      <c r="AX79" s="75">
        <f>$C79*INDEX(Curves!$AQ$8:$AQ$68,AX$4-$B79+1)</f>
        <v/>
      </c>
      <c r="AY79" s="75">
        <f>$C79*INDEX(Curves!$AQ$8:$AQ$68,AY$4-$B79+1)</f>
        <v/>
      </c>
      <c r="AZ79" s="75">
        <f>$C79*INDEX(Curves!$AQ$8:$AQ$68,AZ$4-$B79+1)</f>
        <v/>
      </c>
      <c r="BA79" s="75">
        <f>$C79*INDEX(Curves!$AQ$8:$AQ$68,BA$4-$B79+1)</f>
        <v/>
      </c>
      <c r="BB79" s="75">
        <f>$C79*INDEX(Curves!$AQ$8:$AQ$68,BB$4-$B79+1)</f>
        <v/>
      </c>
      <c r="BC79" s="75">
        <f>$C79*INDEX(Curves!$AQ$8:$AQ$68,BC$4-$B79+1)</f>
        <v/>
      </c>
      <c r="BD79" s="75">
        <f>$C79*INDEX(Curves!$AQ$8:$AQ$68,BD$4-$B79+1)</f>
        <v/>
      </c>
      <c r="BE79" s="75">
        <f>$C79*INDEX(Curves!$AQ$8:$AQ$68,BE$4-$B79+1)</f>
        <v/>
      </c>
      <c r="BF79" s="75">
        <f>$C79*INDEX(Curves!$AQ$8:$AQ$68,BF$4-$B79+1)</f>
        <v/>
      </c>
      <c r="BG79" s="75">
        <f>$C79*INDEX(Curves!$AQ$8:$AQ$68,BG$4-$B79+1)</f>
        <v/>
      </c>
      <c r="BH79" s="75">
        <f>$C79*INDEX(Curves!$AQ$8:$AQ$68,BH$4-$B79+1)</f>
        <v/>
      </c>
      <c r="BI79" s="75">
        <f>$C79*INDEX(Curves!$AQ$8:$AQ$68,BI$4-$B79+1)</f>
        <v/>
      </c>
      <c r="BJ79" s="75">
        <f>$C79*INDEX(Curves!$AQ$8:$AQ$68,BJ$4-$B79+1)</f>
        <v/>
      </c>
      <c r="BK79" s="75">
        <f>$C79*INDEX(Curves!$AQ$8:$AQ$68,BK$4-$B79+1)</f>
        <v/>
      </c>
      <c r="BL79" s="75">
        <f>$C79*INDEX(Curves!$AQ$8:$AQ$68,BL$4-$B79+1)</f>
        <v/>
      </c>
    </row>
    <row r="80">
      <c r="A80" s="74" t="inlineStr">
        <is>
          <t>Cohort month 8</t>
        </is>
      </c>
      <c r="B80" s="74" t="n">
        <v>8</v>
      </c>
      <c r="C80" s="17">
        <f>INDEX(Ops!$E$84:$BL$84,1,$B80)</f>
        <v/>
      </c>
      <c r="M80" s="75">
        <f>$C80*INDEX(Curves!$AQ$8:$AQ$68,M$4-$B80+1)</f>
        <v/>
      </c>
      <c r="N80" s="75">
        <f>$C80*INDEX(Curves!$AQ$8:$AQ$68,N$4-$B80+1)</f>
        <v/>
      </c>
      <c r="O80" s="75">
        <f>$C80*INDEX(Curves!$AQ$8:$AQ$68,O$4-$B80+1)</f>
        <v/>
      </c>
      <c r="P80" s="75">
        <f>$C80*INDEX(Curves!$AQ$8:$AQ$68,P$4-$B80+1)</f>
        <v/>
      </c>
      <c r="Q80" s="75">
        <f>$C80*INDEX(Curves!$AQ$8:$AQ$68,Q$4-$B80+1)</f>
        <v/>
      </c>
      <c r="R80" s="75">
        <f>$C80*INDEX(Curves!$AQ$8:$AQ$68,R$4-$B80+1)</f>
        <v/>
      </c>
      <c r="S80" s="75">
        <f>$C80*INDEX(Curves!$AQ$8:$AQ$68,S$4-$B80+1)</f>
        <v/>
      </c>
      <c r="T80" s="75">
        <f>$C80*INDEX(Curves!$AQ$8:$AQ$68,T$4-$B80+1)</f>
        <v/>
      </c>
      <c r="U80" s="75">
        <f>$C80*INDEX(Curves!$AQ$8:$AQ$68,U$4-$B80+1)</f>
        <v/>
      </c>
      <c r="V80" s="75">
        <f>$C80*INDEX(Curves!$AQ$8:$AQ$68,V$4-$B80+1)</f>
        <v/>
      </c>
      <c r="W80" s="75">
        <f>$C80*INDEX(Curves!$AQ$8:$AQ$68,W$4-$B80+1)</f>
        <v/>
      </c>
      <c r="X80" s="75">
        <f>$C80*INDEX(Curves!$AQ$8:$AQ$68,X$4-$B80+1)</f>
        <v/>
      </c>
      <c r="Y80" s="75">
        <f>$C80*INDEX(Curves!$AQ$8:$AQ$68,Y$4-$B80+1)</f>
        <v/>
      </c>
      <c r="Z80" s="75">
        <f>$C80*INDEX(Curves!$AQ$8:$AQ$68,Z$4-$B80+1)</f>
        <v/>
      </c>
      <c r="AA80" s="75">
        <f>$C80*INDEX(Curves!$AQ$8:$AQ$68,AA$4-$B80+1)</f>
        <v/>
      </c>
      <c r="AB80" s="75">
        <f>$C80*INDEX(Curves!$AQ$8:$AQ$68,AB$4-$B80+1)</f>
        <v/>
      </c>
      <c r="AC80" s="75">
        <f>$C80*INDEX(Curves!$AQ$8:$AQ$68,AC$4-$B80+1)</f>
        <v/>
      </c>
      <c r="AD80" s="75">
        <f>$C80*INDEX(Curves!$AQ$8:$AQ$68,AD$4-$B80+1)</f>
        <v/>
      </c>
      <c r="AE80" s="75">
        <f>$C80*INDEX(Curves!$AQ$8:$AQ$68,AE$4-$B80+1)</f>
        <v/>
      </c>
      <c r="AF80" s="75">
        <f>$C80*INDEX(Curves!$AQ$8:$AQ$68,AF$4-$B80+1)</f>
        <v/>
      </c>
      <c r="AG80" s="75">
        <f>$C80*INDEX(Curves!$AQ$8:$AQ$68,AG$4-$B80+1)</f>
        <v/>
      </c>
      <c r="AH80" s="75">
        <f>$C80*INDEX(Curves!$AQ$8:$AQ$68,AH$4-$B80+1)</f>
        <v/>
      </c>
      <c r="AI80" s="75">
        <f>$C80*INDEX(Curves!$AQ$8:$AQ$68,AI$4-$B80+1)</f>
        <v/>
      </c>
      <c r="AJ80" s="75">
        <f>$C80*INDEX(Curves!$AQ$8:$AQ$68,AJ$4-$B80+1)</f>
        <v/>
      </c>
      <c r="AK80" s="75">
        <f>$C80*INDEX(Curves!$AQ$8:$AQ$68,AK$4-$B80+1)</f>
        <v/>
      </c>
      <c r="AL80" s="75">
        <f>$C80*INDEX(Curves!$AQ$8:$AQ$68,AL$4-$B80+1)</f>
        <v/>
      </c>
      <c r="AM80" s="75">
        <f>$C80*INDEX(Curves!$AQ$8:$AQ$68,AM$4-$B80+1)</f>
        <v/>
      </c>
      <c r="AN80" s="75">
        <f>$C80*INDEX(Curves!$AQ$8:$AQ$68,AN$4-$B80+1)</f>
        <v/>
      </c>
      <c r="AO80" s="75">
        <f>$C80*INDEX(Curves!$AQ$8:$AQ$68,AO$4-$B80+1)</f>
        <v/>
      </c>
      <c r="AP80" s="75">
        <f>$C80*INDEX(Curves!$AQ$8:$AQ$68,AP$4-$B80+1)</f>
        <v/>
      </c>
      <c r="AQ80" s="75">
        <f>$C80*INDEX(Curves!$AQ$8:$AQ$68,AQ$4-$B80+1)</f>
        <v/>
      </c>
      <c r="AR80" s="75">
        <f>$C80*INDEX(Curves!$AQ$8:$AQ$68,AR$4-$B80+1)</f>
        <v/>
      </c>
      <c r="AS80" s="75">
        <f>$C80*INDEX(Curves!$AQ$8:$AQ$68,AS$4-$B80+1)</f>
        <v/>
      </c>
      <c r="AT80" s="75">
        <f>$C80*INDEX(Curves!$AQ$8:$AQ$68,AT$4-$B80+1)</f>
        <v/>
      </c>
      <c r="AU80" s="75">
        <f>$C80*INDEX(Curves!$AQ$8:$AQ$68,AU$4-$B80+1)</f>
        <v/>
      </c>
      <c r="AV80" s="75">
        <f>$C80*INDEX(Curves!$AQ$8:$AQ$68,AV$4-$B80+1)</f>
        <v/>
      </c>
      <c r="AW80" s="75">
        <f>$C80*INDEX(Curves!$AQ$8:$AQ$68,AW$4-$B80+1)</f>
        <v/>
      </c>
      <c r="AX80" s="75">
        <f>$C80*INDEX(Curves!$AQ$8:$AQ$68,AX$4-$B80+1)</f>
        <v/>
      </c>
      <c r="AY80" s="75">
        <f>$C80*INDEX(Curves!$AQ$8:$AQ$68,AY$4-$B80+1)</f>
        <v/>
      </c>
      <c r="AZ80" s="75">
        <f>$C80*INDEX(Curves!$AQ$8:$AQ$68,AZ$4-$B80+1)</f>
        <v/>
      </c>
      <c r="BA80" s="75">
        <f>$C80*INDEX(Curves!$AQ$8:$AQ$68,BA$4-$B80+1)</f>
        <v/>
      </c>
      <c r="BB80" s="75">
        <f>$C80*INDEX(Curves!$AQ$8:$AQ$68,BB$4-$B80+1)</f>
        <v/>
      </c>
      <c r="BC80" s="75">
        <f>$C80*INDEX(Curves!$AQ$8:$AQ$68,BC$4-$B80+1)</f>
        <v/>
      </c>
      <c r="BD80" s="75">
        <f>$C80*INDEX(Curves!$AQ$8:$AQ$68,BD$4-$B80+1)</f>
        <v/>
      </c>
      <c r="BE80" s="75">
        <f>$C80*INDEX(Curves!$AQ$8:$AQ$68,BE$4-$B80+1)</f>
        <v/>
      </c>
      <c r="BF80" s="75">
        <f>$C80*INDEX(Curves!$AQ$8:$AQ$68,BF$4-$B80+1)</f>
        <v/>
      </c>
      <c r="BG80" s="75">
        <f>$C80*INDEX(Curves!$AQ$8:$AQ$68,BG$4-$B80+1)</f>
        <v/>
      </c>
      <c r="BH80" s="75">
        <f>$C80*INDEX(Curves!$AQ$8:$AQ$68,BH$4-$B80+1)</f>
        <v/>
      </c>
      <c r="BI80" s="75">
        <f>$C80*INDEX(Curves!$AQ$8:$AQ$68,BI$4-$B80+1)</f>
        <v/>
      </c>
      <c r="BJ80" s="75">
        <f>$C80*INDEX(Curves!$AQ$8:$AQ$68,BJ$4-$B80+1)</f>
        <v/>
      </c>
      <c r="BK80" s="75">
        <f>$C80*INDEX(Curves!$AQ$8:$AQ$68,BK$4-$B80+1)</f>
        <v/>
      </c>
      <c r="BL80" s="75">
        <f>$C80*INDEX(Curves!$AQ$8:$AQ$68,BL$4-$B80+1)</f>
        <v/>
      </c>
    </row>
    <row r="81">
      <c r="A81" s="74" t="inlineStr">
        <is>
          <t>Cohort month 9</t>
        </is>
      </c>
      <c r="B81" s="74" t="n">
        <v>9</v>
      </c>
      <c r="C81" s="17">
        <f>INDEX(Ops!$E$84:$BL$84,1,$B81)</f>
        <v/>
      </c>
      <c r="N81" s="75">
        <f>$C81*INDEX(Curves!$AQ$8:$AQ$68,N$4-$B81+1)</f>
        <v/>
      </c>
      <c r="O81" s="75">
        <f>$C81*INDEX(Curves!$AQ$8:$AQ$68,O$4-$B81+1)</f>
        <v/>
      </c>
      <c r="P81" s="75">
        <f>$C81*INDEX(Curves!$AQ$8:$AQ$68,P$4-$B81+1)</f>
        <v/>
      </c>
      <c r="Q81" s="75">
        <f>$C81*INDEX(Curves!$AQ$8:$AQ$68,Q$4-$B81+1)</f>
        <v/>
      </c>
      <c r="R81" s="75">
        <f>$C81*INDEX(Curves!$AQ$8:$AQ$68,R$4-$B81+1)</f>
        <v/>
      </c>
      <c r="S81" s="75">
        <f>$C81*INDEX(Curves!$AQ$8:$AQ$68,S$4-$B81+1)</f>
        <v/>
      </c>
      <c r="T81" s="75">
        <f>$C81*INDEX(Curves!$AQ$8:$AQ$68,T$4-$B81+1)</f>
        <v/>
      </c>
      <c r="U81" s="75">
        <f>$C81*INDEX(Curves!$AQ$8:$AQ$68,U$4-$B81+1)</f>
        <v/>
      </c>
      <c r="V81" s="75">
        <f>$C81*INDEX(Curves!$AQ$8:$AQ$68,V$4-$B81+1)</f>
        <v/>
      </c>
      <c r="W81" s="75">
        <f>$C81*INDEX(Curves!$AQ$8:$AQ$68,W$4-$B81+1)</f>
        <v/>
      </c>
      <c r="X81" s="75">
        <f>$C81*INDEX(Curves!$AQ$8:$AQ$68,X$4-$B81+1)</f>
        <v/>
      </c>
      <c r="Y81" s="75">
        <f>$C81*INDEX(Curves!$AQ$8:$AQ$68,Y$4-$B81+1)</f>
        <v/>
      </c>
      <c r="Z81" s="75">
        <f>$C81*INDEX(Curves!$AQ$8:$AQ$68,Z$4-$B81+1)</f>
        <v/>
      </c>
      <c r="AA81" s="75">
        <f>$C81*INDEX(Curves!$AQ$8:$AQ$68,AA$4-$B81+1)</f>
        <v/>
      </c>
      <c r="AB81" s="75">
        <f>$C81*INDEX(Curves!$AQ$8:$AQ$68,AB$4-$B81+1)</f>
        <v/>
      </c>
      <c r="AC81" s="75">
        <f>$C81*INDEX(Curves!$AQ$8:$AQ$68,AC$4-$B81+1)</f>
        <v/>
      </c>
      <c r="AD81" s="75">
        <f>$C81*INDEX(Curves!$AQ$8:$AQ$68,AD$4-$B81+1)</f>
        <v/>
      </c>
      <c r="AE81" s="75">
        <f>$C81*INDEX(Curves!$AQ$8:$AQ$68,AE$4-$B81+1)</f>
        <v/>
      </c>
      <c r="AF81" s="75">
        <f>$C81*INDEX(Curves!$AQ$8:$AQ$68,AF$4-$B81+1)</f>
        <v/>
      </c>
      <c r="AG81" s="75">
        <f>$C81*INDEX(Curves!$AQ$8:$AQ$68,AG$4-$B81+1)</f>
        <v/>
      </c>
      <c r="AH81" s="75">
        <f>$C81*INDEX(Curves!$AQ$8:$AQ$68,AH$4-$B81+1)</f>
        <v/>
      </c>
      <c r="AI81" s="75">
        <f>$C81*INDEX(Curves!$AQ$8:$AQ$68,AI$4-$B81+1)</f>
        <v/>
      </c>
      <c r="AJ81" s="75">
        <f>$C81*INDEX(Curves!$AQ$8:$AQ$68,AJ$4-$B81+1)</f>
        <v/>
      </c>
      <c r="AK81" s="75">
        <f>$C81*INDEX(Curves!$AQ$8:$AQ$68,AK$4-$B81+1)</f>
        <v/>
      </c>
      <c r="AL81" s="75">
        <f>$C81*INDEX(Curves!$AQ$8:$AQ$68,AL$4-$B81+1)</f>
        <v/>
      </c>
      <c r="AM81" s="75">
        <f>$C81*INDEX(Curves!$AQ$8:$AQ$68,AM$4-$B81+1)</f>
        <v/>
      </c>
      <c r="AN81" s="75">
        <f>$C81*INDEX(Curves!$AQ$8:$AQ$68,AN$4-$B81+1)</f>
        <v/>
      </c>
      <c r="AO81" s="75">
        <f>$C81*INDEX(Curves!$AQ$8:$AQ$68,AO$4-$B81+1)</f>
        <v/>
      </c>
      <c r="AP81" s="75">
        <f>$C81*INDEX(Curves!$AQ$8:$AQ$68,AP$4-$B81+1)</f>
        <v/>
      </c>
      <c r="AQ81" s="75">
        <f>$C81*INDEX(Curves!$AQ$8:$AQ$68,AQ$4-$B81+1)</f>
        <v/>
      </c>
      <c r="AR81" s="75">
        <f>$C81*INDEX(Curves!$AQ$8:$AQ$68,AR$4-$B81+1)</f>
        <v/>
      </c>
      <c r="AS81" s="75">
        <f>$C81*INDEX(Curves!$AQ$8:$AQ$68,AS$4-$B81+1)</f>
        <v/>
      </c>
      <c r="AT81" s="75">
        <f>$C81*INDEX(Curves!$AQ$8:$AQ$68,AT$4-$B81+1)</f>
        <v/>
      </c>
      <c r="AU81" s="75">
        <f>$C81*INDEX(Curves!$AQ$8:$AQ$68,AU$4-$B81+1)</f>
        <v/>
      </c>
      <c r="AV81" s="75">
        <f>$C81*INDEX(Curves!$AQ$8:$AQ$68,AV$4-$B81+1)</f>
        <v/>
      </c>
      <c r="AW81" s="75">
        <f>$C81*INDEX(Curves!$AQ$8:$AQ$68,AW$4-$B81+1)</f>
        <v/>
      </c>
      <c r="AX81" s="75">
        <f>$C81*INDEX(Curves!$AQ$8:$AQ$68,AX$4-$B81+1)</f>
        <v/>
      </c>
      <c r="AY81" s="75">
        <f>$C81*INDEX(Curves!$AQ$8:$AQ$68,AY$4-$B81+1)</f>
        <v/>
      </c>
      <c r="AZ81" s="75">
        <f>$C81*INDEX(Curves!$AQ$8:$AQ$68,AZ$4-$B81+1)</f>
        <v/>
      </c>
      <c r="BA81" s="75">
        <f>$C81*INDEX(Curves!$AQ$8:$AQ$68,BA$4-$B81+1)</f>
        <v/>
      </c>
      <c r="BB81" s="75">
        <f>$C81*INDEX(Curves!$AQ$8:$AQ$68,BB$4-$B81+1)</f>
        <v/>
      </c>
      <c r="BC81" s="75">
        <f>$C81*INDEX(Curves!$AQ$8:$AQ$68,BC$4-$B81+1)</f>
        <v/>
      </c>
      <c r="BD81" s="75">
        <f>$C81*INDEX(Curves!$AQ$8:$AQ$68,BD$4-$B81+1)</f>
        <v/>
      </c>
      <c r="BE81" s="75">
        <f>$C81*INDEX(Curves!$AQ$8:$AQ$68,BE$4-$B81+1)</f>
        <v/>
      </c>
      <c r="BF81" s="75">
        <f>$C81*INDEX(Curves!$AQ$8:$AQ$68,BF$4-$B81+1)</f>
        <v/>
      </c>
      <c r="BG81" s="75">
        <f>$C81*INDEX(Curves!$AQ$8:$AQ$68,BG$4-$B81+1)</f>
        <v/>
      </c>
      <c r="BH81" s="75">
        <f>$C81*INDEX(Curves!$AQ$8:$AQ$68,BH$4-$B81+1)</f>
        <v/>
      </c>
      <c r="BI81" s="75">
        <f>$C81*INDEX(Curves!$AQ$8:$AQ$68,BI$4-$B81+1)</f>
        <v/>
      </c>
      <c r="BJ81" s="75">
        <f>$C81*INDEX(Curves!$AQ$8:$AQ$68,BJ$4-$B81+1)</f>
        <v/>
      </c>
      <c r="BK81" s="75">
        <f>$C81*INDEX(Curves!$AQ$8:$AQ$68,BK$4-$B81+1)</f>
        <v/>
      </c>
      <c r="BL81" s="75">
        <f>$C81*INDEX(Curves!$AQ$8:$AQ$68,BL$4-$B81+1)</f>
        <v/>
      </c>
    </row>
    <row r="82">
      <c r="A82" s="74" t="inlineStr">
        <is>
          <t>Cohort month 10</t>
        </is>
      </c>
      <c r="B82" s="74" t="n">
        <v>10</v>
      </c>
      <c r="C82" s="17">
        <f>INDEX(Ops!$E$84:$BL$84,1,$B82)</f>
        <v/>
      </c>
      <c r="O82" s="75">
        <f>$C82*INDEX(Curves!$AQ$8:$AQ$68,O$4-$B82+1)</f>
        <v/>
      </c>
      <c r="P82" s="75">
        <f>$C82*INDEX(Curves!$AQ$8:$AQ$68,P$4-$B82+1)</f>
        <v/>
      </c>
      <c r="Q82" s="75">
        <f>$C82*INDEX(Curves!$AQ$8:$AQ$68,Q$4-$B82+1)</f>
        <v/>
      </c>
      <c r="R82" s="75">
        <f>$C82*INDEX(Curves!$AQ$8:$AQ$68,R$4-$B82+1)</f>
        <v/>
      </c>
      <c r="S82" s="75">
        <f>$C82*INDEX(Curves!$AQ$8:$AQ$68,S$4-$B82+1)</f>
        <v/>
      </c>
      <c r="T82" s="75">
        <f>$C82*INDEX(Curves!$AQ$8:$AQ$68,T$4-$B82+1)</f>
        <v/>
      </c>
      <c r="U82" s="75">
        <f>$C82*INDEX(Curves!$AQ$8:$AQ$68,U$4-$B82+1)</f>
        <v/>
      </c>
      <c r="V82" s="75">
        <f>$C82*INDEX(Curves!$AQ$8:$AQ$68,V$4-$B82+1)</f>
        <v/>
      </c>
      <c r="W82" s="75">
        <f>$C82*INDEX(Curves!$AQ$8:$AQ$68,W$4-$B82+1)</f>
        <v/>
      </c>
      <c r="X82" s="75">
        <f>$C82*INDEX(Curves!$AQ$8:$AQ$68,X$4-$B82+1)</f>
        <v/>
      </c>
      <c r="Y82" s="75">
        <f>$C82*INDEX(Curves!$AQ$8:$AQ$68,Y$4-$B82+1)</f>
        <v/>
      </c>
      <c r="Z82" s="75">
        <f>$C82*INDEX(Curves!$AQ$8:$AQ$68,Z$4-$B82+1)</f>
        <v/>
      </c>
      <c r="AA82" s="75">
        <f>$C82*INDEX(Curves!$AQ$8:$AQ$68,AA$4-$B82+1)</f>
        <v/>
      </c>
      <c r="AB82" s="75">
        <f>$C82*INDEX(Curves!$AQ$8:$AQ$68,AB$4-$B82+1)</f>
        <v/>
      </c>
      <c r="AC82" s="75">
        <f>$C82*INDEX(Curves!$AQ$8:$AQ$68,AC$4-$B82+1)</f>
        <v/>
      </c>
      <c r="AD82" s="75">
        <f>$C82*INDEX(Curves!$AQ$8:$AQ$68,AD$4-$B82+1)</f>
        <v/>
      </c>
      <c r="AE82" s="75">
        <f>$C82*INDEX(Curves!$AQ$8:$AQ$68,AE$4-$B82+1)</f>
        <v/>
      </c>
      <c r="AF82" s="75">
        <f>$C82*INDEX(Curves!$AQ$8:$AQ$68,AF$4-$B82+1)</f>
        <v/>
      </c>
      <c r="AG82" s="75">
        <f>$C82*INDEX(Curves!$AQ$8:$AQ$68,AG$4-$B82+1)</f>
        <v/>
      </c>
      <c r="AH82" s="75">
        <f>$C82*INDEX(Curves!$AQ$8:$AQ$68,AH$4-$B82+1)</f>
        <v/>
      </c>
      <c r="AI82" s="75">
        <f>$C82*INDEX(Curves!$AQ$8:$AQ$68,AI$4-$B82+1)</f>
        <v/>
      </c>
      <c r="AJ82" s="75">
        <f>$C82*INDEX(Curves!$AQ$8:$AQ$68,AJ$4-$B82+1)</f>
        <v/>
      </c>
      <c r="AK82" s="75">
        <f>$C82*INDEX(Curves!$AQ$8:$AQ$68,AK$4-$B82+1)</f>
        <v/>
      </c>
      <c r="AL82" s="75">
        <f>$C82*INDEX(Curves!$AQ$8:$AQ$68,AL$4-$B82+1)</f>
        <v/>
      </c>
      <c r="AM82" s="75">
        <f>$C82*INDEX(Curves!$AQ$8:$AQ$68,AM$4-$B82+1)</f>
        <v/>
      </c>
      <c r="AN82" s="75">
        <f>$C82*INDEX(Curves!$AQ$8:$AQ$68,AN$4-$B82+1)</f>
        <v/>
      </c>
      <c r="AO82" s="75">
        <f>$C82*INDEX(Curves!$AQ$8:$AQ$68,AO$4-$B82+1)</f>
        <v/>
      </c>
      <c r="AP82" s="75">
        <f>$C82*INDEX(Curves!$AQ$8:$AQ$68,AP$4-$B82+1)</f>
        <v/>
      </c>
      <c r="AQ82" s="75">
        <f>$C82*INDEX(Curves!$AQ$8:$AQ$68,AQ$4-$B82+1)</f>
        <v/>
      </c>
      <c r="AR82" s="75">
        <f>$C82*INDEX(Curves!$AQ$8:$AQ$68,AR$4-$B82+1)</f>
        <v/>
      </c>
      <c r="AS82" s="75">
        <f>$C82*INDEX(Curves!$AQ$8:$AQ$68,AS$4-$B82+1)</f>
        <v/>
      </c>
      <c r="AT82" s="75">
        <f>$C82*INDEX(Curves!$AQ$8:$AQ$68,AT$4-$B82+1)</f>
        <v/>
      </c>
      <c r="AU82" s="75">
        <f>$C82*INDEX(Curves!$AQ$8:$AQ$68,AU$4-$B82+1)</f>
        <v/>
      </c>
      <c r="AV82" s="75">
        <f>$C82*INDEX(Curves!$AQ$8:$AQ$68,AV$4-$B82+1)</f>
        <v/>
      </c>
      <c r="AW82" s="75">
        <f>$C82*INDEX(Curves!$AQ$8:$AQ$68,AW$4-$B82+1)</f>
        <v/>
      </c>
      <c r="AX82" s="75">
        <f>$C82*INDEX(Curves!$AQ$8:$AQ$68,AX$4-$B82+1)</f>
        <v/>
      </c>
      <c r="AY82" s="75">
        <f>$C82*INDEX(Curves!$AQ$8:$AQ$68,AY$4-$B82+1)</f>
        <v/>
      </c>
      <c r="AZ82" s="75">
        <f>$C82*INDEX(Curves!$AQ$8:$AQ$68,AZ$4-$B82+1)</f>
        <v/>
      </c>
      <c r="BA82" s="75">
        <f>$C82*INDEX(Curves!$AQ$8:$AQ$68,BA$4-$B82+1)</f>
        <v/>
      </c>
      <c r="BB82" s="75">
        <f>$C82*INDEX(Curves!$AQ$8:$AQ$68,BB$4-$B82+1)</f>
        <v/>
      </c>
      <c r="BC82" s="75">
        <f>$C82*INDEX(Curves!$AQ$8:$AQ$68,BC$4-$B82+1)</f>
        <v/>
      </c>
      <c r="BD82" s="75">
        <f>$C82*INDEX(Curves!$AQ$8:$AQ$68,BD$4-$B82+1)</f>
        <v/>
      </c>
      <c r="BE82" s="75">
        <f>$C82*INDEX(Curves!$AQ$8:$AQ$68,BE$4-$B82+1)</f>
        <v/>
      </c>
      <c r="BF82" s="75">
        <f>$C82*INDEX(Curves!$AQ$8:$AQ$68,BF$4-$B82+1)</f>
        <v/>
      </c>
      <c r="BG82" s="75">
        <f>$C82*INDEX(Curves!$AQ$8:$AQ$68,BG$4-$B82+1)</f>
        <v/>
      </c>
      <c r="BH82" s="75">
        <f>$C82*INDEX(Curves!$AQ$8:$AQ$68,BH$4-$B82+1)</f>
        <v/>
      </c>
      <c r="BI82" s="75">
        <f>$C82*INDEX(Curves!$AQ$8:$AQ$68,BI$4-$B82+1)</f>
        <v/>
      </c>
      <c r="BJ82" s="75">
        <f>$C82*INDEX(Curves!$AQ$8:$AQ$68,BJ$4-$B82+1)</f>
        <v/>
      </c>
      <c r="BK82" s="75">
        <f>$C82*INDEX(Curves!$AQ$8:$AQ$68,BK$4-$B82+1)</f>
        <v/>
      </c>
      <c r="BL82" s="75">
        <f>$C82*INDEX(Curves!$AQ$8:$AQ$68,BL$4-$B82+1)</f>
        <v/>
      </c>
    </row>
    <row r="83">
      <c r="A83" s="74" t="inlineStr">
        <is>
          <t>Cohort month 11</t>
        </is>
      </c>
      <c r="B83" s="74" t="n">
        <v>11</v>
      </c>
      <c r="C83" s="17">
        <f>INDEX(Ops!$E$84:$BL$84,1,$B83)</f>
        <v/>
      </c>
      <c r="P83" s="75">
        <f>$C83*INDEX(Curves!$AQ$8:$AQ$68,P$4-$B83+1)</f>
        <v/>
      </c>
      <c r="Q83" s="75">
        <f>$C83*INDEX(Curves!$AQ$8:$AQ$68,Q$4-$B83+1)</f>
        <v/>
      </c>
      <c r="R83" s="75">
        <f>$C83*INDEX(Curves!$AQ$8:$AQ$68,R$4-$B83+1)</f>
        <v/>
      </c>
      <c r="S83" s="75">
        <f>$C83*INDEX(Curves!$AQ$8:$AQ$68,S$4-$B83+1)</f>
        <v/>
      </c>
      <c r="T83" s="75">
        <f>$C83*INDEX(Curves!$AQ$8:$AQ$68,T$4-$B83+1)</f>
        <v/>
      </c>
      <c r="U83" s="75">
        <f>$C83*INDEX(Curves!$AQ$8:$AQ$68,U$4-$B83+1)</f>
        <v/>
      </c>
      <c r="V83" s="75">
        <f>$C83*INDEX(Curves!$AQ$8:$AQ$68,V$4-$B83+1)</f>
        <v/>
      </c>
      <c r="W83" s="75">
        <f>$C83*INDEX(Curves!$AQ$8:$AQ$68,W$4-$B83+1)</f>
        <v/>
      </c>
      <c r="X83" s="75">
        <f>$C83*INDEX(Curves!$AQ$8:$AQ$68,X$4-$B83+1)</f>
        <v/>
      </c>
      <c r="Y83" s="75">
        <f>$C83*INDEX(Curves!$AQ$8:$AQ$68,Y$4-$B83+1)</f>
        <v/>
      </c>
      <c r="Z83" s="75">
        <f>$C83*INDEX(Curves!$AQ$8:$AQ$68,Z$4-$B83+1)</f>
        <v/>
      </c>
      <c r="AA83" s="75">
        <f>$C83*INDEX(Curves!$AQ$8:$AQ$68,AA$4-$B83+1)</f>
        <v/>
      </c>
      <c r="AB83" s="75">
        <f>$C83*INDEX(Curves!$AQ$8:$AQ$68,AB$4-$B83+1)</f>
        <v/>
      </c>
      <c r="AC83" s="75">
        <f>$C83*INDEX(Curves!$AQ$8:$AQ$68,AC$4-$B83+1)</f>
        <v/>
      </c>
      <c r="AD83" s="75">
        <f>$C83*INDEX(Curves!$AQ$8:$AQ$68,AD$4-$B83+1)</f>
        <v/>
      </c>
      <c r="AE83" s="75">
        <f>$C83*INDEX(Curves!$AQ$8:$AQ$68,AE$4-$B83+1)</f>
        <v/>
      </c>
      <c r="AF83" s="75">
        <f>$C83*INDEX(Curves!$AQ$8:$AQ$68,AF$4-$B83+1)</f>
        <v/>
      </c>
      <c r="AG83" s="75">
        <f>$C83*INDEX(Curves!$AQ$8:$AQ$68,AG$4-$B83+1)</f>
        <v/>
      </c>
      <c r="AH83" s="75">
        <f>$C83*INDEX(Curves!$AQ$8:$AQ$68,AH$4-$B83+1)</f>
        <v/>
      </c>
      <c r="AI83" s="75">
        <f>$C83*INDEX(Curves!$AQ$8:$AQ$68,AI$4-$B83+1)</f>
        <v/>
      </c>
      <c r="AJ83" s="75">
        <f>$C83*INDEX(Curves!$AQ$8:$AQ$68,AJ$4-$B83+1)</f>
        <v/>
      </c>
      <c r="AK83" s="75">
        <f>$C83*INDEX(Curves!$AQ$8:$AQ$68,AK$4-$B83+1)</f>
        <v/>
      </c>
      <c r="AL83" s="75">
        <f>$C83*INDEX(Curves!$AQ$8:$AQ$68,AL$4-$B83+1)</f>
        <v/>
      </c>
      <c r="AM83" s="75">
        <f>$C83*INDEX(Curves!$AQ$8:$AQ$68,AM$4-$B83+1)</f>
        <v/>
      </c>
      <c r="AN83" s="75">
        <f>$C83*INDEX(Curves!$AQ$8:$AQ$68,AN$4-$B83+1)</f>
        <v/>
      </c>
      <c r="AO83" s="75">
        <f>$C83*INDEX(Curves!$AQ$8:$AQ$68,AO$4-$B83+1)</f>
        <v/>
      </c>
      <c r="AP83" s="75">
        <f>$C83*INDEX(Curves!$AQ$8:$AQ$68,AP$4-$B83+1)</f>
        <v/>
      </c>
      <c r="AQ83" s="75">
        <f>$C83*INDEX(Curves!$AQ$8:$AQ$68,AQ$4-$B83+1)</f>
        <v/>
      </c>
      <c r="AR83" s="75">
        <f>$C83*INDEX(Curves!$AQ$8:$AQ$68,AR$4-$B83+1)</f>
        <v/>
      </c>
      <c r="AS83" s="75">
        <f>$C83*INDEX(Curves!$AQ$8:$AQ$68,AS$4-$B83+1)</f>
        <v/>
      </c>
      <c r="AT83" s="75">
        <f>$C83*INDEX(Curves!$AQ$8:$AQ$68,AT$4-$B83+1)</f>
        <v/>
      </c>
      <c r="AU83" s="75">
        <f>$C83*INDEX(Curves!$AQ$8:$AQ$68,AU$4-$B83+1)</f>
        <v/>
      </c>
      <c r="AV83" s="75">
        <f>$C83*INDEX(Curves!$AQ$8:$AQ$68,AV$4-$B83+1)</f>
        <v/>
      </c>
      <c r="AW83" s="75">
        <f>$C83*INDEX(Curves!$AQ$8:$AQ$68,AW$4-$B83+1)</f>
        <v/>
      </c>
      <c r="AX83" s="75">
        <f>$C83*INDEX(Curves!$AQ$8:$AQ$68,AX$4-$B83+1)</f>
        <v/>
      </c>
      <c r="AY83" s="75">
        <f>$C83*INDEX(Curves!$AQ$8:$AQ$68,AY$4-$B83+1)</f>
        <v/>
      </c>
      <c r="AZ83" s="75">
        <f>$C83*INDEX(Curves!$AQ$8:$AQ$68,AZ$4-$B83+1)</f>
        <v/>
      </c>
      <c r="BA83" s="75">
        <f>$C83*INDEX(Curves!$AQ$8:$AQ$68,BA$4-$B83+1)</f>
        <v/>
      </c>
      <c r="BB83" s="75">
        <f>$C83*INDEX(Curves!$AQ$8:$AQ$68,BB$4-$B83+1)</f>
        <v/>
      </c>
      <c r="BC83" s="75">
        <f>$C83*INDEX(Curves!$AQ$8:$AQ$68,BC$4-$B83+1)</f>
        <v/>
      </c>
      <c r="BD83" s="75">
        <f>$C83*INDEX(Curves!$AQ$8:$AQ$68,BD$4-$B83+1)</f>
        <v/>
      </c>
      <c r="BE83" s="75">
        <f>$C83*INDEX(Curves!$AQ$8:$AQ$68,BE$4-$B83+1)</f>
        <v/>
      </c>
      <c r="BF83" s="75">
        <f>$C83*INDEX(Curves!$AQ$8:$AQ$68,BF$4-$B83+1)</f>
        <v/>
      </c>
      <c r="BG83" s="75">
        <f>$C83*INDEX(Curves!$AQ$8:$AQ$68,BG$4-$B83+1)</f>
        <v/>
      </c>
      <c r="BH83" s="75">
        <f>$C83*INDEX(Curves!$AQ$8:$AQ$68,BH$4-$B83+1)</f>
        <v/>
      </c>
      <c r="BI83" s="75">
        <f>$C83*INDEX(Curves!$AQ$8:$AQ$68,BI$4-$B83+1)</f>
        <v/>
      </c>
      <c r="BJ83" s="75">
        <f>$C83*INDEX(Curves!$AQ$8:$AQ$68,BJ$4-$B83+1)</f>
        <v/>
      </c>
      <c r="BK83" s="75">
        <f>$C83*INDEX(Curves!$AQ$8:$AQ$68,BK$4-$B83+1)</f>
        <v/>
      </c>
      <c r="BL83" s="75">
        <f>$C83*INDEX(Curves!$AQ$8:$AQ$68,BL$4-$B83+1)</f>
        <v/>
      </c>
    </row>
    <row r="84">
      <c r="A84" s="74" t="inlineStr">
        <is>
          <t>Cohort month 12</t>
        </is>
      </c>
      <c r="B84" s="74" t="n">
        <v>12</v>
      </c>
      <c r="C84" s="17">
        <f>INDEX(Ops!$E$84:$BL$84,1,$B84)</f>
        <v/>
      </c>
      <c r="Q84" s="75">
        <f>$C84*INDEX(Curves!$AQ$8:$AQ$68,Q$4-$B84+1)</f>
        <v/>
      </c>
      <c r="R84" s="75">
        <f>$C84*INDEX(Curves!$AQ$8:$AQ$68,R$4-$B84+1)</f>
        <v/>
      </c>
      <c r="S84" s="75">
        <f>$C84*INDEX(Curves!$AQ$8:$AQ$68,S$4-$B84+1)</f>
        <v/>
      </c>
      <c r="T84" s="75">
        <f>$C84*INDEX(Curves!$AQ$8:$AQ$68,T$4-$B84+1)</f>
        <v/>
      </c>
      <c r="U84" s="75">
        <f>$C84*INDEX(Curves!$AQ$8:$AQ$68,U$4-$B84+1)</f>
        <v/>
      </c>
      <c r="V84" s="75">
        <f>$C84*INDEX(Curves!$AQ$8:$AQ$68,V$4-$B84+1)</f>
        <v/>
      </c>
      <c r="W84" s="75">
        <f>$C84*INDEX(Curves!$AQ$8:$AQ$68,W$4-$B84+1)</f>
        <v/>
      </c>
      <c r="X84" s="75">
        <f>$C84*INDEX(Curves!$AQ$8:$AQ$68,X$4-$B84+1)</f>
        <v/>
      </c>
      <c r="Y84" s="75">
        <f>$C84*INDEX(Curves!$AQ$8:$AQ$68,Y$4-$B84+1)</f>
        <v/>
      </c>
      <c r="Z84" s="75">
        <f>$C84*INDEX(Curves!$AQ$8:$AQ$68,Z$4-$B84+1)</f>
        <v/>
      </c>
      <c r="AA84" s="75">
        <f>$C84*INDEX(Curves!$AQ$8:$AQ$68,AA$4-$B84+1)</f>
        <v/>
      </c>
      <c r="AB84" s="75">
        <f>$C84*INDEX(Curves!$AQ$8:$AQ$68,AB$4-$B84+1)</f>
        <v/>
      </c>
      <c r="AC84" s="75">
        <f>$C84*INDEX(Curves!$AQ$8:$AQ$68,AC$4-$B84+1)</f>
        <v/>
      </c>
      <c r="AD84" s="75">
        <f>$C84*INDEX(Curves!$AQ$8:$AQ$68,AD$4-$B84+1)</f>
        <v/>
      </c>
      <c r="AE84" s="75">
        <f>$C84*INDEX(Curves!$AQ$8:$AQ$68,AE$4-$B84+1)</f>
        <v/>
      </c>
      <c r="AF84" s="75">
        <f>$C84*INDEX(Curves!$AQ$8:$AQ$68,AF$4-$B84+1)</f>
        <v/>
      </c>
      <c r="AG84" s="75">
        <f>$C84*INDEX(Curves!$AQ$8:$AQ$68,AG$4-$B84+1)</f>
        <v/>
      </c>
      <c r="AH84" s="75">
        <f>$C84*INDEX(Curves!$AQ$8:$AQ$68,AH$4-$B84+1)</f>
        <v/>
      </c>
      <c r="AI84" s="75">
        <f>$C84*INDEX(Curves!$AQ$8:$AQ$68,AI$4-$B84+1)</f>
        <v/>
      </c>
      <c r="AJ84" s="75">
        <f>$C84*INDEX(Curves!$AQ$8:$AQ$68,AJ$4-$B84+1)</f>
        <v/>
      </c>
      <c r="AK84" s="75">
        <f>$C84*INDEX(Curves!$AQ$8:$AQ$68,AK$4-$B84+1)</f>
        <v/>
      </c>
      <c r="AL84" s="75">
        <f>$C84*INDEX(Curves!$AQ$8:$AQ$68,AL$4-$B84+1)</f>
        <v/>
      </c>
      <c r="AM84" s="75">
        <f>$C84*INDEX(Curves!$AQ$8:$AQ$68,AM$4-$B84+1)</f>
        <v/>
      </c>
      <c r="AN84" s="75">
        <f>$C84*INDEX(Curves!$AQ$8:$AQ$68,AN$4-$B84+1)</f>
        <v/>
      </c>
      <c r="AO84" s="75">
        <f>$C84*INDEX(Curves!$AQ$8:$AQ$68,AO$4-$B84+1)</f>
        <v/>
      </c>
      <c r="AP84" s="75">
        <f>$C84*INDEX(Curves!$AQ$8:$AQ$68,AP$4-$B84+1)</f>
        <v/>
      </c>
      <c r="AQ84" s="75">
        <f>$C84*INDEX(Curves!$AQ$8:$AQ$68,AQ$4-$B84+1)</f>
        <v/>
      </c>
      <c r="AR84" s="75">
        <f>$C84*INDEX(Curves!$AQ$8:$AQ$68,AR$4-$B84+1)</f>
        <v/>
      </c>
      <c r="AS84" s="75">
        <f>$C84*INDEX(Curves!$AQ$8:$AQ$68,AS$4-$B84+1)</f>
        <v/>
      </c>
      <c r="AT84" s="75">
        <f>$C84*INDEX(Curves!$AQ$8:$AQ$68,AT$4-$B84+1)</f>
        <v/>
      </c>
      <c r="AU84" s="75">
        <f>$C84*INDEX(Curves!$AQ$8:$AQ$68,AU$4-$B84+1)</f>
        <v/>
      </c>
      <c r="AV84" s="75">
        <f>$C84*INDEX(Curves!$AQ$8:$AQ$68,AV$4-$B84+1)</f>
        <v/>
      </c>
      <c r="AW84" s="75">
        <f>$C84*INDEX(Curves!$AQ$8:$AQ$68,AW$4-$B84+1)</f>
        <v/>
      </c>
      <c r="AX84" s="75">
        <f>$C84*INDEX(Curves!$AQ$8:$AQ$68,AX$4-$B84+1)</f>
        <v/>
      </c>
      <c r="AY84" s="75">
        <f>$C84*INDEX(Curves!$AQ$8:$AQ$68,AY$4-$B84+1)</f>
        <v/>
      </c>
      <c r="AZ84" s="75">
        <f>$C84*INDEX(Curves!$AQ$8:$AQ$68,AZ$4-$B84+1)</f>
        <v/>
      </c>
      <c r="BA84" s="75">
        <f>$C84*INDEX(Curves!$AQ$8:$AQ$68,BA$4-$B84+1)</f>
        <v/>
      </c>
      <c r="BB84" s="75">
        <f>$C84*INDEX(Curves!$AQ$8:$AQ$68,BB$4-$B84+1)</f>
        <v/>
      </c>
      <c r="BC84" s="75">
        <f>$C84*INDEX(Curves!$AQ$8:$AQ$68,BC$4-$B84+1)</f>
        <v/>
      </c>
      <c r="BD84" s="75">
        <f>$C84*INDEX(Curves!$AQ$8:$AQ$68,BD$4-$B84+1)</f>
        <v/>
      </c>
      <c r="BE84" s="75">
        <f>$C84*INDEX(Curves!$AQ$8:$AQ$68,BE$4-$B84+1)</f>
        <v/>
      </c>
      <c r="BF84" s="75">
        <f>$C84*INDEX(Curves!$AQ$8:$AQ$68,BF$4-$B84+1)</f>
        <v/>
      </c>
      <c r="BG84" s="75">
        <f>$C84*INDEX(Curves!$AQ$8:$AQ$68,BG$4-$B84+1)</f>
        <v/>
      </c>
      <c r="BH84" s="75">
        <f>$C84*INDEX(Curves!$AQ$8:$AQ$68,BH$4-$B84+1)</f>
        <v/>
      </c>
      <c r="BI84" s="75">
        <f>$C84*INDEX(Curves!$AQ$8:$AQ$68,BI$4-$B84+1)</f>
        <v/>
      </c>
      <c r="BJ84" s="75">
        <f>$C84*INDEX(Curves!$AQ$8:$AQ$68,BJ$4-$B84+1)</f>
        <v/>
      </c>
      <c r="BK84" s="75">
        <f>$C84*INDEX(Curves!$AQ$8:$AQ$68,BK$4-$B84+1)</f>
        <v/>
      </c>
      <c r="BL84" s="75">
        <f>$C84*INDEX(Curves!$AQ$8:$AQ$68,BL$4-$B84+1)</f>
        <v/>
      </c>
    </row>
    <row r="85">
      <c r="A85" s="74" t="inlineStr">
        <is>
          <t>Cohort month 13</t>
        </is>
      </c>
      <c r="B85" s="74" t="n">
        <v>13</v>
      </c>
      <c r="C85" s="17">
        <f>INDEX(Ops!$E$84:$BL$84,1,$B85)</f>
        <v/>
      </c>
      <c r="R85" s="75">
        <f>$C85*INDEX(Curves!$AQ$8:$AQ$68,R$4-$B85+1)</f>
        <v/>
      </c>
      <c r="S85" s="75">
        <f>$C85*INDEX(Curves!$AQ$8:$AQ$68,S$4-$B85+1)</f>
        <v/>
      </c>
      <c r="T85" s="75">
        <f>$C85*INDEX(Curves!$AQ$8:$AQ$68,T$4-$B85+1)</f>
        <v/>
      </c>
      <c r="U85" s="75">
        <f>$C85*INDEX(Curves!$AQ$8:$AQ$68,U$4-$B85+1)</f>
        <v/>
      </c>
      <c r="V85" s="75">
        <f>$C85*INDEX(Curves!$AQ$8:$AQ$68,V$4-$B85+1)</f>
        <v/>
      </c>
      <c r="W85" s="75">
        <f>$C85*INDEX(Curves!$AQ$8:$AQ$68,W$4-$B85+1)</f>
        <v/>
      </c>
      <c r="X85" s="75">
        <f>$C85*INDEX(Curves!$AQ$8:$AQ$68,X$4-$B85+1)</f>
        <v/>
      </c>
      <c r="Y85" s="75">
        <f>$C85*INDEX(Curves!$AQ$8:$AQ$68,Y$4-$B85+1)</f>
        <v/>
      </c>
      <c r="Z85" s="75">
        <f>$C85*INDEX(Curves!$AQ$8:$AQ$68,Z$4-$B85+1)</f>
        <v/>
      </c>
      <c r="AA85" s="75">
        <f>$C85*INDEX(Curves!$AQ$8:$AQ$68,AA$4-$B85+1)</f>
        <v/>
      </c>
      <c r="AB85" s="75">
        <f>$C85*INDEX(Curves!$AQ$8:$AQ$68,AB$4-$B85+1)</f>
        <v/>
      </c>
      <c r="AC85" s="75">
        <f>$C85*INDEX(Curves!$AQ$8:$AQ$68,AC$4-$B85+1)</f>
        <v/>
      </c>
      <c r="AD85" s="75">
        <f>$C85*INDEX(Curves!$AQ$8:$AQ$68,AD$4-$B85+1)</f>
        <v/>
      </c>
      <c r="AE85" s="75">
        <f>$C85*INDEX(Curves!$AQ$8:$AQ$68,AE$4-$B85+1)</f>
        <v/>
      </c>
      <c r="AF85" s="75">
        <f>$C85*INDEX(Curves!$AQ$8:$AQ$68,AF$4-$B85+1)</f>
        <v/>
      </c>
      <c r="AG85" s="75">
        <f>$C85*INDEX(Curves!$AQ$8:$AQ$68,AG$4-$B85+1)</f>
        <v/>
      </c>
      <c r="AH85" s="75">
        <f>$C85*INDEX(Curves!$AQ$8:$AQ$68,AH$4-$B85+1)</f>
        <v/>
      </c>
      <c r="AI85" s="75">
        <f>$C85*INDEX(Curves!$AQ$8:$AQ$68,AI$4-$B85+1)</f>
        <v/>
      </c>
      <c r="AJ85" s="75">
        <f>$C85*INDEX(Curves!$AQ$8:$AQ$68,AJ$4-$B85+1)</f>
        <v/>
      </c>
      <c r="AK85" s="75">
        <f>$C85*INDEX(Curves!$AQ$8:$AQ$68,AK$4-$B85+1)</f>
        <v/>
      </c>
      <c r="AL85" s="75">
        <f>$C85*INDEX(Curves!$AQ$8:$AQ$68,AL$4-$B85+1)</f>
        <v/>
      </c>
      <c r="AM85" s="75">
        <f>$C85*INDEX(Curves!$AQ$8:$AQ$68,AM$4-$B85+1)</f>
        <v/>
      </c>
      <c r="AN85" s="75">
        <f>$C85*INDEX(Curves!$AQ$8:$AQ$68,AN$4-$B85+1)</f>
        <v/>
      </c>
      <c r="AO85" s="75">
        <f>$C85*INDEX(Curves!$AQ$8:$AQ$68,AO$4-$B85+1)</f>
        <v/>
      </c>
      <c r="AP85" s="75">
        <f>$C85*INDEX(Curves!$AQ$8:$AQ$68,AP$4-$B85+1)</f>
        <v/>
      </c>
      <c r="AQ85" s="75">
        <f>$C85*INDEX(Curves!$AQ$8:$AQ$68,AQ$4-$B85+1)</f>
        <v/>
      </c>
      <c r="AR85" s="75">
        <f>$C85*INDEX(Curves!$AQ$8:$AQ$68,AR$4-$B85+1)</f>
        <v/>
      </c>
      <c r="AS85" s="75">
        <f>$C85*INDEX(Curves!$AQ$8:$AQ$68,AS$4-$B85+1)</f>
        <v/>
      </c>
      <c r="AT85" s="75">
        <f>$C85*INDEX(Curves!$AQ$8:$AQ$68,AT$4-$B85+1)</f>
        <v/>
      </c>
      <c r="AU85" s="75">
        <f>$C85*INDEX(Curves!$AQ$8:$AQ$68,AU$4-$B85+1)</f>
        <v/>
      </c>
      <c r="AV85" s="75">
        <f>$C85*INDEX(Curves!$AQ$8:$AQ$68,AV$4-$B85+1)</f>
        <v/>
      </c>
      <c r="AW85" s="75">
        <f>$C85*INDEX(Curves!$AQ$8:$AQ$68,AW$4-$B85+1)</f>
        <v/>
      </c>
      <c r="AX85" s="75">
        <f>$C85*INDEX(Curves!$AQ$8:$AQ$68,AX$4-$B85+1)</f>
        <v/>
      </c>
      <c r="AY85" s="75">
        <f>$C85*INDEX(Curves!$AQ$8:$AQ$68,AY$4-$B85+1)</f>
        <v/>
      </c>
      <c r="AZ85" s="75">
        <f>$C85*INDEX(Curves!$AQ$8:$AQ$68,AZ$4-$B85+1)</f>
        <v/>
      </c>
      <c r="BA85" s="75">
        <f>$C85*INDEX(Curves!$AQ$8:$AQ$68,BA$4-$B85+1)</f>
        <v/>
      </c>
      <c r="BB85" s="75">
        <f>$C85*INDEX(Curves!$AQ$8:$AQ$68,BB$4-$B85+1)</f>
        <v/>
      </c>
      <c r="BC85" s="75">
        <f>$C85*INDEX(Curves!$AQ$8:$AQ$68,BC$4-$B85+1)</f>
        <v/>
      </c>
      <c r="BD85" s="75">
        <f>$C85*INDEX(Curves!$AQ$8:$AQ$68,BD$4-$B85+1)</f>
        <v/>
      </c>
      <c r="BE85" s="75">
        <f>$C85*INDEX(Curves!$AQ$8:$AQ$68,BE$4-$B85+1)</f>
        <v/>
      </c>
      <c r="BF85" s="75">
        <f>$C85*INDEX(Curves!$AQ$8:$AQ$68,BF$4-$B85+1)</f>
        <v/>
      </c>
      <c r="BG85" s="75">
        <f>$C85*INDEX(Curves!$AQ$8:$AQ$68,BG$4-$B85+1)</f>
        <v/>
      </c>
      <c r="BH85" s="75">
        <f>$C85*INDEX(Curves!$AQ$8:$AQ$68,BH$4-$B85+1)</f>
        <v/>
      </c>
      <c r="BI85" s="75">
        <f>$C85*INDEX(Curves!$AQ$8:$AQ$68,BI$4-$B85+1)</f>
        <v/>
      </c>
      <c r="BJ85" s="75">
        <f>$C85*INDEX(Curves!$AQ$8:$AQ$68,BJ$4-$B85+1)</f>
        <v/>
      </c>
      <c r="BK85" s="75">
        <f>$C85*INDEX(Curves!$AQ$8:$AQ$68,BK$4-$B85+1)</f>
        <v/>
      </c>
      <c r="BL85" s="75">
        <f>$C85*INDEX(Curves!$AQ$8:$AQ$68,BL$4-$B85+1)</f>
        <v/>
      </c>
    </row>
    <row r="86">
      <c r="A86" s="74" t="inlineStr">
        <is>
          <t>Cohort month 14</t>
        </is>
      </c>
      <c r="B86" s="74" t="n">
        <v>14</v>
      </c>
      <c r="C86" s="17">
        <f>INDEX(Ops!$E$84:$BL$84,1,$B86)</f>
        <v/>
      </c>
      <c r="S86" s="75">
        <f>$C86*INDEX(Curves!$AQ$8:$AQ$68,S$4-$B86+1)</f>
        <v/>
      </c>
      <c r="T86" s="75">
        <f>$C86*INDEX(Curves!$AQ$8:$AQ$68,T$4-$B86+1)</f>
        <v/>
      </c>
      <c r="U86" s="75">
        <f>$C86*INDEX(Curves!$AQ$8:$AQ$68,U$4-$B86+1)</f>
        <v/>
      </c>
      <c r="V86" s="75">
        <f>$C86*INDEX(Curves!$AQ$8:$AQ$68,V$4-$B86+1)</f>
        <v/>
      </c>
      <c r="W86" s="75">
        <f>$C86*INDEX(Curves!$AQ$8:$AQ$68,W$4-$B86+1)</f>
        <v/>
      </c>
      <c r="X86" s="75">
        <f>$C86*INDEX(Curves!$AQ$8:$AQ$68,X$4-$B86+1)</f>
        <v/>
      </c>
      <c r="Y86" s="75">
        <f>$C86*INDEX(Curves!$AQ$8:$AQ$68,Y$4-$B86+1)</f>
        <v/>
      </c>
      <c r="Z86" s="75">
        <f>$C86*INDEX(Curves!$AQ$8:$AQ$68,Z$4-$B86+1)</f>
        <v/>
      </c>
      <c r="AA86" s="75">
        <f>$C86*INDEX(Curves!$AQ$8:$AQ$68,AA$4-$B86+1)</f>
        <v/>
      </c>
      <c r="AB86" s="75">
        <f>$C86*INDEX(Curves!$AQ$8:$AQ$68,AB$4-$B86+1)</f>
        <v/>
      </c>
      <c r="AC86" s="75">
        <f>$C86*INDEX(Curves!$AQ$8:$AQ$68,AC$4-$B86+1)</f>
        <v/>
      </c>
      <c r="AD86" s="75">
        <f>$C86*INDEX(Curves!$AQ$8:$AQ$68,AD$4-$B86+1)</f>
        <v/>
      </c>
      <c r="AE86" s="75">
        <f>$C86*INDEX(Curves!$AQ$8:$AQ$68,AE$4-$B86+1)</f>
        <v/>
      </c>
      <c r="AF86" s="75">
        <f>$C86*INDEX(Curves!$AQ$8:$AQ$68,AF$4-$B86+1)</f>
        <v/>
      </c>
      <c r="AG86" s="75">
        <f>$C86*INDEX(Curves!$AQ$8:$AQ$68,AG$4-$B86+1)</f>
        <v/>
      </c>
      <c r="AH86" s="75">
        <f>$C86*INDEX(Curves!$AQ$8:$AQ$68,AH$4-$B86+1)</f>
        <v/>
      </c>
      <c r="AI86" s="75">
        <f>$C86*INDEX(Curves!$AQ$8:$AQ$68,AI$4-$B86+1)</f>
        <v/>
      </c>
      <c r="AJ86" s="75">
        <f>$C86*INDEX(Curves!$AQ$8:$AQ$68,AJ$4-$B86+1)</f>
        <v/>
      </c>
      <c r="AK86" s="75">
        <f>$C86*INDEX(Curves!$AQ$8:$AQ$68,AK$4-$B86+1)</f>
        <v/>
      </c>
      <c r="AL86" s="75">
        <f>$C86*INDEX(Curves!$AQ$8:$AQ$68,AL$4-$B86+1)</f>
        <v/>
      </c>
      <c r="AM86" s="75">
        <f>$C86*INDEX(Curves!$AQ$8:$AQ$68,AM$4-$B86+1)</f>
        <v/>
      </c>
      <c r="AN86" s="75">
        <f>$C86*INDEX(Curves!$AQ$8:$AQ$68,AN$4-$B86+1)</f>
        <v/>
      </c>
      <c r="AO86" s="75">
        <f>$C86*INDEX(Curves!$AQ$8:$AQ$68,AO$4-$B86+1)</f>
        <v/>
      </c>
      <c r="AP86" s="75">
        <f>$C86*INDEX(Curves!$AQ$8:$AQ$68,AP$4-$B86+1)</f>
        <v/>
      </c>
      <c r="AQ86" s="75">
        <f>$C86*INDEX(Curves!$AQ$8:$AQ$68,AQ$4-$B86+1)</f>
        <v/>
      </c>
      <c r="AR86" s="75">
        <f>$C86*INDEX(Curves!$AQ$8:$AQ$68,AR$4-$B86+1)</f>
        <v/>
      </c>
      <c r="AS86" s="75">
        <f>$C86*INDEX(Curves!$AQ$8:$AQ$68,AS$4-$B86+1)</f>
        <v/>
      </c>
      <c r="AT86" s="75">
        <f>$C86*INDEX(Curves!$AQ$8:$AQ$68,AT$4-$B86+1)</f>
        <v/>
      </c>
      <c r="AU86" s="75">
        <f>$C86*INDEX(Curves!$AQ$8:$AQ$68,AU$4-$B86+1)</f>
        <v/>
      </c>
      <c r="AV86" s="75">
        <f>$C86*INDEX(Curves!$AQ$8:$AQ$68,AV$4-$B86+1)</f>
        <v/>
      </c>
      <c r="AW86" s="75">
        <f>$C86*INDEX(Curves!$AQ$8:$AQ$68,AW$4-$B86+1)</f>
        <v/>
      </c>
      <c r="AX86" s="75">
        <f>$C86*INDEX(Curves!$AQ$8:$AQ$68,AX$4-$B86+1)</f>
        <v/>
      </c>
      <c r="AY86" s="75">
        <f>$C86*INDEX(Curves!$AQ$8:$AQ$68,AY$4-$B86+1)</f>
        <v/>
      </c>
      <c r="AZ86" s="75">
        <f>$C86*INDEX(Curves!$AQ$8:$AQ$68,AZ$4-$B86+1)</f>
        <v/>
      </c>
      <c r="BA86" s="75">
        <f>$C86*INDEX(Curves!$AQ$8:$AQ$68,BA$4-$B86+1)</f>
        <v/>
      </c>
      <c r="BB86" s="75">
        <f>$C86*INDEX(Curves!$AQ$8:$AQ$68,BB$4-$B86+1)</f>
        <v/>
      </c>
      <c r="BC86" s="75">
        <f>$C86*INDEX(Curves!$AQ$8:$AQ$68,BC$4-$B86+1)</f>
        <v/>
      </c>
      <c r="BD86" s="75">
        <f>$C86*INDEX(Curves!$AQ$8:$AQ$68,BD$4-$B86+1)</f>
        <v/>
      </c>
      <c r="BE86" s="75">
        <f>$C86*INDEX(Curves!$AQ$8:$AQ$68,BE$4-$B86+1)</f>
        <v/>
      </c>
      <c r="BF86" s="75">
        <f>$C86*INDEX(Curves!$AQ$8:$AQ$68,BF$4-$B86+1)</f>
        <v/>
      </c>
      <c r="BG86" s="75">
        <f>$C86*INDEX(Curves!$AQ$8:$AQ$68,BG$4-$B86+1)</f>
        <v/>
      </c>
      <c r="BH86" s="75">
        <f>$C86*INDEX(Curves!$AQ$8:$AQ$68,BH$4-$B86+1)</f>
        <v/>
      </c>
      <c r="BI86" s="75">
        <f>$C86*INDEX(Curves!$AQ$8:$AQ$68,BI$4-$B86+1)</f>
        <v/>
      </c>
      <c r="BJ86" s="75">
        <f>$C86*INDEX(Curves!$AQ$8:$AQ$68,BJ$4-$B86+1)</f>
        <v/>
      </c>
      <c r="BK86" s="75">
        <f>$C86*INDEX(Curves!$AQ$8:$AQ$68,BK$4-$B86+1)</f>
        <v/>
      </c>
      <c r="BL86" s="75">
        <f>$C86*INDEX(Curves!$AQ$8:$AQ$68,BL$4-$B86+1)</f>
        <v/>
      </c>
    </row>
    <row r="87">
      <c r="A87" s="74" t="inlineStr">
        <is>
          <t>Cohort month 15</t>
        </is>
      </c>
      <c r="B87" s="74" t="n">
        <v>15</v>
      </c>
      <c r="C87" s="17">
        <f>INDEX(Ops!$E$84:$BL$84,1,$B87)</f>
        <v/>
      </c>
      <c r="T87" s="75">
        <f>$C87*INDEX(Curves!$AQ$8:$AQ$68,T$4-$B87+1)</f>
        <v/>
      </c>
      <c r="U87" s="75">
        <f>$C87*INDEX(Curves!$AQ$8:$AQ$68,U$4-$B87+1)</f>
        <v/>
      </c>
      <c r="V87" s="75">
        <f>$C87*INDEX(Curves!$AQ$8:$AQ$68,V$4-$B87+1)</f>
        <v/>
      </c>
      <c r="W87" s="75">
        <f>$C87*INDEX(Curves!$AQ$8:$AQ$68,W$4-$B87+1)</f>
        <v/>
      </c>
      <c r="X87" s="75">
        <f>$C87*INDEX(Curves!$AQ$8:$AQ$68,X$4-$B87+1)</f>
        <v/>
      </c>
      <c r="Y87" s="75">
        <f>$C87*INDEX(Curves!$AQ$8:$AQ$68,Y$4-$B87+1)</f>
        <v/>
      </c>
      <c r="Z87" s="75">
        <f>$C87*INDEX(Curves!$AQ$8:$AQ$68,Z$4-$B87+1)</f>
        <v/>
      </c>
      <c r="AA87" s="75">
        <f>$C87*INDEX(Curves!$AQ$8:$AQ$68,AA$4-$B87+1)</f>
        <v/>
      </c>
      <c r="AB87" s="75">
        <f>$C87*INDEX(Curves!$AQ$8:$AQ$68,AB$4-$B87+1)</f>
        <v/>
      </c>
      <c r="AC87" s="75">
        <f>$C87*INDEX(Curves!$AQ$8:$AQ$68,AC$4-$B87+1)</f>
        <v/>
      </c>
      <c r="AD87" s="75">
        <f>$C87*INDEX(Curves!$AQ$8:$AQ$68,AD$4-$B87+1)</f>
        <v/>
      </c>
      <c r="AE87" s="75">
        <f>$C87*INDEX(Curves!$AQ$8:$AQ$68,AE$4-$B87+1)</f>
        <v/>
      </c>
      <c r="AF87" s="75">
        <f>$C87*INDEX(Curves!$AQ$8:$AQ$68,AF$4-$B87+1)</f>
        <v/>
      </c>
      <c r="AG87" s="75">
        <f>$C87*INDEX(Curves!$AQ$8:$AQ$68,AG$4-$B87+1)</f>
        <v/>
      </c>
      <c r="AH87" s="75">
        <f>$C87*INDEX(Curves!$AQ$8:$AQ$68,AH$4-$B87+1)</f>
        <v/>
      </c>
      <c r="AI87" s="75">
        <f>$C87*INDEX(Curves!$AQ$8:$AQ$68,AI$4-$B87+1)</f>
        <v/>
      </c>
      <c r="AJ87" s="75">
        <f>$C87*INDEX(Curves!$AQ$8:$AQ$68,AJ$4-$B87+1)</f>
        <v/>
      </c>
      <c r="AK87" s="75">
        <f>$C87*INDEX(Curves!$AQ$8:$AQ$68,AK$4-$B87+1)</f>
        <v/>
      </c>
      <c r="AL87" s="75">
        <f>$C87*INDEX(Curves!$AQ$8:$AQ$68,AL$4-$B87+1)</f>
        <v/>
      </c>
      <c r="AM87" s="75">
        <f>$C87*INDEX(Curves!$AQ$8:$AQ$68,AM$4-$B87+1)</f>
        <v/>
      </c>
      <c r="AN87" s="75">
        <f>$C87*INDEX(Curves!$AQ$8:$AQ$68,AN$4-$B87+1)</f>
        <v/>
      </c>
      <c r="AO87" s="75">
        <f>$C87*INDEX(Curves!$AQ$8:$AQ$68,AO$4-$B87+1)</f>
        <v/>
      </c>
      <c r="AP87" s="75">
        <f>$C87*INDEX(Curves!$AQ$8:$AQ$68,AP$4-$B87+1)</f>
        <v/>
      </c>
      <c r="AQ87" s="75">
        <f>$C87*INDEX(Curves!$AQ$8:$AQ$68,AQ$4-$B87+1)</f>
        <v/>
      </c>
      <c r="AR87" s="75">
        <f>$C87*INDEX(Curves!$AQ$8:$AQ$68,AR$4-$B87+1)</f>
        <v/>
      </c>
      <c r="AS87" s="75">
        <f>$C87*INDEX(Curves!$AQ$8:$AQ$68,AS$4-$B87+1)</f>
        <v/>
      </c>
      <c r="AT87" s="75">
        <f>$C87*INDEX(Curves!$AQ$8:$AQ$68,AT$4-$B87+1)</f>
        <v/>
      </c>
      <c r="AU87" s="75">
        <f>$C87*INDEX(Curves!$AQ$8:$AQ$68,AU$4-$B87+1)</f>
        <v/>
      </c>
      <c r="AV87" s="75">
        <f>$C87*INDEX(Curves!$AQ$8:$AQ$68,AV$4-$B87+1)</f>
        <v/>
      </c>
      <c r="AW87" s="75">
        <f>$C87*INDEX(Curves!$AQ$8:$AQ$68,AW$4-$B87+1)</f>
        <v/>
      </c>
      <c r="AX87" s="75">
        <f>$C87*INDEX(Curves!$AQ$8:$AQ$68,AX$4-$B87+1)</f>
        <v/>
      </c>
      <c r="AY87" s="75">
        <f>$C87*INDEX(Curves!$AQ$8:$AQ$68,AY$4-$B87+1)</f>
        <v/>
      </c>
      <c r="AZ87" s="75">
        <f>$C87*INDEX(Curves!$AQ$8:$AQ$68,AZ$4-$B87+1)</f>
        <v/>
      </c>
      <c r="BA87" s="75">
        <f>$C87*INDEX(Curves!$AQ$8:$AQ$68,BA$4-$B87+1)</f>
        <v/>
      </c>
      <c r="BB87" s="75">
        <f>$C87*INDEX(Curves!$AQ$8:$AQ$68,BB$4-$B87+1)</f>
        <v/>
      </c>
      <c r="BC87" s="75">
        <f>$C87*INDEX(Curves!$AQ$8:$AQ$68,BC$4-$B87+1)</f>
        <v/>
      </c>
      <c r="BD87" s="75">
        <f>$C87*INDEX(Curves!$AQ$8:$AQ$68,BD$4-$B87+1)</f>
        <v/>
      </c>
      <c r="BE87" s="75">
        <f>$C87*INDEX(Curves!$AQ$8:$AQ$68,BE$4-$B87+1)</f>
        <v/>
      </c>
      <c r="BF87" s="75">
        <f>$C87*INDEX(Curves!$AQ$8:$AQ$68,BF$4-$B87+1)</f>
        <v/>
      </c>
      <c r="BG87" s="75">
        <f>$C87*INDEX(Curves!$AQ$8:$AQ$68,BG$4-$B87+1)</f>
        <v/>
      </c>
      <c r="BH87" s="75">
        <f>$C87*INDEX(Curves!$AQ$8:$AQ$68,BH$4-$B87+1)</f>
        <v/>
      </c>
      <c r="BI87" s="75">
        <f>$C87*INDEX(Curves!$AQ$8:$AQ$68,BI$4-$B87+1)</f>
        <v/>
      </c>
      <c r="BJ87" s="75">
        <f>$C87*INDEX(Curves!$AQ$8:$AQ$68,BJ$4-$B87+1)</f>
        <v/>
      </c>
      <c r="BK87" s="75">
        <f>$C87*INDEX(Curves!$AQ$8:$AQ$68,BK$4-$B87+1)</f>
        <v/>
      </c>
      <c r="BL87" s="75">
        <f>$C87*INDEX(Curves!$AQ$8:$AQ$68,BL$4-$B87+1)</f>
        <v/>
      </c>
    </row>
    <row r="88">
      <c r="A88" s="74" t="inlineStr">
        <is>
          <t>Cohort month 16</t>
        </is>
      </c>
      <c r="B88" s="74" t="n">
        <v>16</v>
      </c>
      <c r="C88" s="17">
        <f>INDEX(Ops!$E$84:$BL$84,1,$B88)</f>
        <v/>
      </c>
      <c r="U88" s="75">
        <f>$C88*INDEX(Curves!$AQ$8:$AQ$68,U$4-$B88+1)</f>
        <v/>
      </c>
      <c r="V88" s="75">
        <f>$C88*INDEX(Curves!$AQ$8:$AQ$68,V$4-$B88+1)</f>
        <v/>
      </c>
      <c r="W88" s="75">
        <f>$C88*INDEX(Curves!$AQ$8:$AQ$68,W$4-$B88+1)</f>
        <v/>
      </c>
      <c r="X88" s="75">
        <f>$C88*INDEX(Curves!$AQ$8:$AQ$68,X$4-$B88+1)</f>
        <v/>
      </c>
      <c r="Y88" s="75">
        <f>$C88*INDEX(Curves!$AQ$8:$AQ$68,Y$4-$B88+1)</f>
        <v/>
      </c>
      <c r="Z88" s="75">
        <f>$C88*INDEX(Curves!$AQ$8:$AQ$68,Z$4-$B88+1)</f>
        <v/>
      </c>
      <c r="AA88" s="75">
        <f>$C88*INDEX(Curves!$AQ$8:$AQ$68,AA$4-$B88+1)</f>
        <v/>
      </c>
      <c r="AB88" s="75">
        <f>$C88*INDEX(Curves!$AQ$8:$AQ$68,AB$4-$B88+1)</f>
        <v/>
      </c>
      <c r="AC88" s="75">
        <f>$C88*INDEX(Curves!$AQ$8:$AQ$68,AC$4-$B88+1)</f>
        <v/>
      </c>
      <c r="AD88" s="75">
        <f>$C88*INDEX(Curves!$AQ$8:$AQ$68,AD$4-$B88+1)</f>
        <v/>
      </c>
      <c r="AE88" s="75">
        <f>$C88*INDEX(Curves!$AQ$8:$AQ$68,AE$4-$B88+1)</f>
        <v/>
      </c>
      <c r="AF88" s="75">
        <f>$C88*INDEX(Curves!$AQ$8:$AQ$68,AF$4-$B88+1)</f>
        <v/>
      </c>
      <c r="AG88" s="75">
        <f>$C88*INDEX(Curves!$AQ$8:$AQ$68,AG$4-$B88+1)</f>
        <v/>
      </c>
      <c r="AH88" s="75">
        <f>$C88*INDEX(Curves!$AQ$8:$AQ$68,AH$4-$B88+1)</f>
        <v/>
      </c>
      <c r="AI88" s="75">
        <f>$C88*INDEX(Curves!$AQ$8:$AQ$68,AI$4-$B88+1)</f>
        <v/>
      </c>
      <c r="AJ88" s="75">
        <f>$C88*INDEX(Curves!$AQ$8:$AQ$68,AJ$4-$B88+1)</f>
        <v/>
      </c>
      <c r="AK88" s="75">
        <f>$C88*INDEX(Curves!$AQ$8:$AQ$68,AK$4-$B88+1)</f>
        <v/>
      </c>
      <c r="AL88" s="75">
        <f>$C88*INDEX(Curves!$AQ$8:$AQ$68,AL$4-$B88+1)</f>
        <v/>
      </c>
      <c r="AM88" s="75">
        <f>$C88*INDEX(Curves!$AQ$8:$AQ$68,AM$4-$B88+1)</f>
        <v/>
      </c>
      <c r="AN88" s="75">
        <f>$C88*INDEX(Curves!$AQ$8:$AQ$68,AN$4-$B88+1)</f>
        <v/>
      </c>
      <c r="AO88" s="75">
        <f>$C88*INDEX(Curves!$AQ$8:$AQ$68,AO$4-$B88+1)</f>
        <v/>
      </c>
      <c r="AP88" s="75">
        <f>$C88*INDEX(Curves!$AQ$8:$AQ$68,AP$4-$B88+1)</f>
        <v/>
      </c>
      <c r="AQ88" s="75">
        <f>$C88*INDEX(Curves!$AQ$8:$AQ$68,AQ$4-$B88+1)</f>
        <v/>
      </c>
      <c r="AR88" s="75">
        <f>$C88*INDEX(Curves!$AQ$8:$AQ$68,AR$4-$B88+1)</f>
        <v/>
      </c>
      <c r="AS88" s="75">
        <f>$C88*INDEX(Curves!$AQ$8:$AQ$68,AS$4-$B88+1)</f>
        <v/>
      </c>
      <c r="AT88" s="75">
        <f>$C88*INDEX(Curves!$AQ$8:$AQ$68,AT$4-$B88+1)</f>
        <v/>
      </c>
      <c r="AU88" s="75">
        <f>$C88*INDEX(Curves!$AQ$8:$AQ$68,AU$4-$B88+1)</f>
        <v/>
      </c>
      <c r="AV88" s="75">
        <f>$C88*INDEX(Curves!$AQ$8:$AQ$68,AV$4-$B88+1)</f>
        <v/>
      </c>
      <c r="AW88" s="75">
        <f>$C88*INDEX(Curves!$AQ$8:$AQ$68,AW$4-$B88+1)</f>
        <v/>
      </c>
      <c r="AX88" s="75">
        <f>$C88*INDEX(Curves!$AQ$8:$AQ$68,AX$4-$B88+1)</f>
        <v/>
      </c>
      <c r="AY88" s="75">
        <f>$C88*INDEX(Curves!$AQ$8:$AQ$68,AY$4-$B88+1)</f>
        <v/>
      </c>
      <c r="AZ88" s="75">
        <f>$C88*INDEX(Curves!$AQ$8:$AQ$68,AZ$4-$B88+1)</f>
        <v/>
      </c>
      <c r="BA88" s="75">
        <f>$C88*INDEX(Curves!$AQ$8:$AQ$68,BA$4-$B88+1)</f>
        <v/>
      </c>
      <c r="BB88" s="75">
        <f>$C88*INDEX(Curves!$AQ$8:$AQ$68,BB$4-$B88+1)</f>
        <v/>
      </c>
      <c r="BC88" s="75">
        <f>$C88*INDEX(Curves!$AQ$8:$AQ$68,BC$4-$B88+1)</f>
        <v/>
      </c>
      <c r="BD88" s="75">
        <f>$C88*INDEX(Curves!$AQ$8:$AQ$68,BD$4-$B88+1)</f>
        <v/>
      </c>
      <c r="BE88" s="75">
        <f>$C88*INDEX(Curves!$AQ$8:$AQ$68,BE$4-$B88+1)</f>
        <v/>
      </c>
      <c r="BF88" s="75">
        <f>$C88*INDEX(Curves!$AQ$8:$AQ$68,BF$4-$B88+1)</f>
        <v/>
      </c>
      <c r="BG88" s="75">
        <f>$C88*INDEX(Curves!$AQ$8:$AQ$68,BG$4-$B88+1)</f>
        <v/>
      </c>
      <c r="BH88" s="75">
        <f>$C88*INDEX(Curves!$AQ$8:$AQ$68,BH$4-$B88+1)</f>
        <v/>
      </c>
      <c r="BI88" s="75">
        <f>$C88*INDEX(Curves!$AQ$8:$AQ$68,BI$4-$B88+1)</f>
        <v/>
      </c>
      <c r="BJ88" s="75">
        <f>$C88*INDEX(Curves!$AQ$8:$AQ$68,BJ$4-$B88+1)</f>
        <v/>
      </c>
      <c r="BK88" s="75">
        <f>$C88*INDEX(Curves!$AQ$8:$AQ$68,BK$4-$B88+1)</f>
        <v/>
      </c>
      <c r="BL88" s="75">
        <f>$C88*INDEX(Curves!$AQ$8:$AQ$68,BL$4-$B88+1)</f>
        <v/>
      </c>
    </row>
    <row r="89">
      <c r="A89" s="74" t="inlineStr">
        <is>
          <t>Cohort month 17</t>
        </is>
      </c>
      <c r="B89" s="74" t="n">
        <v>17</v>
      </c>
      <c r="C89" s="17">
        <f>INDEX(Ops!$E$84:$BL$84,1,$B89)</f>
        <v/>
      </c>
      <c r="V89" s="75">
        <f>$C89*INDEX(Curves!$AQ$8:$AQ$68,V$4-$B89+1)</f>
        <v/>
      </c>
      <c r="W89" s="75">
        <f>$C89*INDEX(Curves!$AQ$8:$AQ$68,W$4-$B89+1)</f>
        <v/>
      </c>
      <c r="X89" s="75">
        <f>$C89*INDEX(Curves!$AQ$8:$AQ$68,X$4-$B89+1)</f>
        <v/>
      </c>
      <c r="Y89" s="75">
        <f>$C89*INDEX(Curves!$AQ$8:$AQ$68,Y$4-$B89+1)</f>
        <v/>
      </c>
      <c r="Z89" s="75">
        <f>$C89*INDEX(Curves!$AQ$8:$AQ$68,Z$4-$B89+1)</f>
        <v/>
      </c>
      <c r="AA89" s="75">
        <f>$C89*INDEX(Curves!$AQ$8:$AQ$68,AA$4-$B89+1)</f>
        <v/>
      </c>
      <c r="AB89" s="75">
        <f>$C89*INDEX(Curves!$AQ$8:$AQ$68,AB$4-$B89+1)</f>
        <v/>
      </c>
      <c r="AC89" s="75">
        <f>$C89*INDEX(Curves!$AQ$8:$AQ$68,AC$4-$B89+1)</f>
        <v/>
      </c>
      <c r="AD89" s="75">
        <f>$C89*INDEX(Curves!$AQ$8:$AQ$68,AD$4-$B89+1)</f>
        <v/>
      </c>
      <c r="AE89" s="75">
        <f>$C89*INDEX(Curves!$AQ$8:$AQ$68,AE$4-$B89+1)</f>
        <v/>
      </c>
      <c r="AF89" s="75">
        <f>$C89*INDEX(Curves!$AQ$8:$AQ$68,AF$4-$B89+1)</f>
        <v/>
      </c>
      <c r="AG89" s="75">
        <f>$C89*INDEX(Curves!$AQ$8:$AQ$68,AG$4-$B89+1)</f>
        <v/>
      </c>
      <c r="AH89" s="75">
        <f>$C89*INDEX(Curves!$AQ$8:$AQ$68,AH$4-$B89+1)</f>
        <v/>
      </c>
      <c r="AI89" s="75">
        <f>$C89*INDEX(Curves!$AQ$8:$AQ$68,AI$4-$B89+1)</f>
        <v/>
      </c>
      <c r="AJ89" s="75">
        <f>$C89*INDEX(Curves!$AQ$8:$AQ$68,AJ$4-$B89+1)</f>
        <v/>
      </c>
      <c r="AK89" s="75">
        <f>$C89*INDEX(Curves!$AQ$8:$AQ$68,AK$4-$B89+1)</f>
        <v/>
      </c>
      <c r="AL89" s="75">
        <f>$C89*INDEX(Curves!$AQ$8:$AQ$68,AL$4-$B89+1)</f>
        <v/>
      </c>
      <c r="AM89" s="75">
        <f>$C89*INDEX(Curves!$AQ$8:$AQ$68,AM$4-$B89+1)</f>
        <v/>
      </c>
      <c r="AN89" s="75">
        <f>$C89*INDEX(Curves!$AQ$8:$AQ$68,AN$4-$B89+1)</f>
        <v/>
      </c>
      <c r="AO89" s="75">
        <f>$C89*INDEX(Curves!$AQ$8:$AQ$68,AO$4-$B89+1)</f>
        <v/>
      </c>
      <c r="AP89" s="75">
        <f>$C89*INDEX(Curves!$AQ$8:$AQ$68,AP$4-$B89+1)</f>
        <v/>
      </c>
      <c r="AQ89" s="75">
        <f>$C89*INDEX(Curves!$AQ$8:$AQ$68,AQ$4-$B89+1)</f>
        <v/>
      </c>
      <c r="AR89" s="75">
        <f>$C89*INDEX(Curves!$AQ$8:$AQ$68,AR$4-$B89+1)</f>
        <v/>
      </c>
      <c r="AS89" s="75">
        <f>$C89*INDEX(Curves!$AQ$8:$AQ$68,AS$4-$B89+1)</f>
        <v/>
      </c>
      <c r="AT89" s="75">
        <f>$C89*INDEX(Curves!$AQ$8:$AQ$68,AT$4-$B89+1)</f>
        <v/>
      </c>
      <c r="AU89" s="75">
        <f>$C89*INDEX(Curves!$AQ$8:$AQ$68,AU$4-$B89+1)</f>
        <v/>
      </c>
      <c r="AV89" s="75">
        <f>$C89*INDEX(Curves!$AQ$8:$AQ$68,AV$4-$B89+1)</f>
        <v/>
      </c>
      <c r="AW89" s="75">
        <f>$C89*INDEX(Curves!$AQ$8:$AQ$68,AW$4-$B89+1)</f>
        <v/>
      </c>
      <c r="AX89" s="75">
        <f>$C89*INDEX(Curves!$AQ$8:$AQ$68,AX$4-$B89+1)</f>
        <v/>
      </c>
      <c r="AY89" s="75">
        <f>$C89*INDEX(Curves!$AQ$8:$AQ$68,AY$4-$B89+1)</f>
        <v/>
      </c>
      <c r="AZ89" s="75">
        <f>$C89*INDEX(Curves!$AQ$8:$AQ$68,AZ$4-$B89+1)</f>
        <v/>
      </c>
      <c r="BA89" s="75">
        <f>$C89*INDEX(Curves!$AQ$8:$AQ$68,BA$4-$B89+1)</f>
        <v/>
      </c>
      <c r="BB89" s="75">
        <f>$C89*INDEX(Curves!$AQ$8:$AQ$68,BB$4-$B89+1)</f>
        <v/>
      </c>
      <c r="BC89" s="75">
        <f>$C89*INDEX(Curves!$AQ$8:$AQ$68,BC$4-$B89+1)</f>
        <v/>
      </c>
      <c r="BD89" s="75">
        <f>$C89*INDEX(Curves!$AQ$8:$AQ$68,BD$4-$B89+1)</f>
        <v/>
      </c>
      <c r="BE89" s="75">
        <f>$C89*INDEX(Curves!$AQ$8:$AQ$68,BE$4-$B89+1)</f>
        <v/>
      </c>
      <c r="BF89" s="75">
        <f>$C89*INDEX(Curves!$AQ$8:$AQ$68,BF$4-$B89+1)</f>
        <v/>
      </c>
      <c r="BG89" s="75">
        <f>$C89*INDEX(Curves!$AQ$8:$AQ$68,BG$4-$B89+1)</f>
        <v/>
      </c>
      <c r="BH89" s="75">
        <f>$C89*INDEX(Curves!$AQ$8:$AQ$68,BH$4-$B89+1)</f>
        <v/>
      </c>
      <c r="BI89" s="75">
        <f>$C89*INDEX(Curves!$AQ$8:$AQ$68,BI$4-$B89+1)</f>
        <v/>
      </c>
      <c r="BJ89" s="75">
        <f>$C89*INDEX(Curves!$AQ$8:$AQ$68,BJ$4-$B89+1)</f>
        <v/>
      </c>
      <c r="BK89" s="75">
        <f>$C89*INDEX(Curves!$AQ$8:$AQ$68,BK$4-$B89+1)</f>
        <v/>
      </c>
      <c r="BL89" s="75">
        <f>$C89*INDEX(Curves!$AQ$8:$AQ$68,BL$4-$B89+1)</f>
        <v/>
      </c>
    </row>
    <row r="90">
      <c r="A90" s="74" t="inlineStr">
        <is>
          <t>Cohort month 18</t>
        </is>
      </c>
      <c r="B90" s="74" t="n">
        <v>18</v>
      </c>
      <c r="C90" s="17">
        <f>INDEX(Ops!$E$84:$BL$84,1,$B90)</f>
        <v/>
      </c>
      <c r="W90" s="75">
        <f>$C90*INDEX(Curves!$AQ$8:$AQ$68,W$4-$B90+1)</f>
        <v/>
      </c>
      <c r="X90" s="75">
        <f>$C90*INDEX(Curves!$AQ$8:$AQ$68,X$4-$B90+1)</f>
        <v/>
      </c>
      <c r="Y90" s="75">
        <f>$C90*INDEX(Curves!$AQ$8:$AQ$68,Y$4-$B90+1)</f>
        <v/>
      </c>
      <c r="Z90" s="75">
        <f>$C90*INDEX(Curves!$AQ$8:$AQ$68,Z$4-$B90+1)</f>
        <v/>
      </c>
      <c r="AA90" s="75">
        <f>$C90*INDEX(Curves!$AQ$8:$AQ$68,AA$4-$B90+1)</f>
        <v/>
      </c>
      <c r="AB90" s="75">
        <f>$C90*INDEX(Curves!$AQ$8:$AQ$68,AB$4-$B90+1)</f>
        <v/>
      </c>
      <c r="AC90" s="75">
        <f>$C90*INDEX(Curves!$AQ$8:$AQ$68,AC$4-$B90+1)</f>
        <v/>
      </c>
      <c r="AD90" s="75">
        <f>$C90*INDEX(Curves!$AQ$8:$AQ$68,AD$4-$B90+1)</f>
        <v/>
      </c>
      <c r="AE90" s="75">
        <f>$C90*INDEX(Curves!$AQ$8:$AQ$68,AE$4-$B90+1)</f>
        <v/>
      </c>
      <c r="AF90" s="75">
        <f>$C90*INDEX(Curves!$AQ$8:$AQ$68,AF$4-$B90+1)</f>
        <v/>
      </c>
      <c r="AG90" s="75">
        <f>$C90*INDEX(Curves!$AQ$8:$AQ$68,AG$4-$B90+1)</f>
        <v/>
      </c>
      <c r="AH90" s="75">
        <f>$C90*INDEX(Curves!$AQ$8:$AQ$68,AH$4-$B90+1)</f>
        <v/>
      </c>
      <c r="AI90" s="75">
        <f>$C90*INDEX(Curves!$AQ$8:$AQ$68,AI$4-$B90+1)</f>
        <v/>
      </c>
      <c r="AJ90" s="75">
        <f>$C90*INDEX(Curves!$AQ$8:$AQ$68,AJ$4-$B90+1)</f>
        <v/>
      </c>
      <c r="AK90" s="75">
        <f>$C90*INDEX(Curves!$AQ$8:$AQ$68,AK$4-$B90+1)</f>
        <v/>
      </c>
      <c r="AL90" s="75">
        <f>$C90*INDEX(Curves!$AQ$8:$AQ$68,AL$4-$B90+1)</f>
        <v/>
      </c>
      <c r="AM90" s="75">
        <f>$C90*INDEX(Curves!$AQ$8:$AQ$68,AM$4-$B90+1)</f>
        <v/>
      </c>
      <c r="AN90" s="75">
        <f>$C90*INDEX(Curves!$AQ$8:$AQ$68,AN$4-$B90+1)</f>
        <v/>
      </c>
      <c r="AO90" s="75">
        <f>$C90*INDEX(Curves!$AQ$8:$AQ$68,AO$4-$B90+1)</f>
        <v/>
      </c>
      <c r="AP90" s="75">
        <f>$C90*INDEX(Curves!$AQ$8:$AQ$68,AP$4-$B90+1)</f>
        <v/>
      </c>
      <c r="AQ90" s="75">
        <f>$C90*INDEX(Curves!$AQ$8:$AQ$68,AQ$4-$B90+1)</f>
        <v/>
      </c>
      <c r="AR90" s="75">
        <f>$C90*INDEX(Curves!$AQ$8:$AQ$68,AR$4-$B90+1)</f>
        <v/>
      </c>
      <c r="AS90" s="75">
        <f>$C90*INDEX(Curves!$AQ$8:$AQ$68,AS$4-$B90+1)</f>
        <v/>
      </c>
      <c r="AT90" s="75">
        <f>$C90*INDEX(Curves!$AQ$8:$AQ$68,AT$4-$B90+1)</f>
        <v/>
      </c>
      <c r="AU90" s="75">
        <f>$C90*INDEX(Curves!$AQ$8:$AQ$68,AU$4-$B90+1)</f>
        <v/>
      </c>
      <c r="AV90" s="75">
        <f>$C90*INDEX(Curves!$AQ$8:$AQ$68,AV$4-$B90+1)</f>
        <v/>
      </c>
      <c r="AW90" s="75">
        <f>$C90*INDEX(Curves!$AQ$8:$AQ$68,AW$4-$B90+1)</f>
        <v/>
      </c>
      <c r="AX90" s="75">
        <f>$C90*INDEX(Curves!$AQ$8:$AQ$68,AX$4-$B90+1)</f>
        <v/>
      </c>
      <c r="AY90" s="75">
        <f>$C90*INDEX(Curves!$AQ$8:$AQ$68,AY$4-$B90+1)</f>
        <v/>
      </c>
      <c r="AZ90" s="75">
        <f>$C90*INDEX(Curves!$AQ$8:$AQ$68,AZ$4-$B90+1)</f>
        <v/>
      </c>
      <c r="BA90" s="75">
        <f>$C90*INDEX(Curves!$AQ$8:$AQ$68,BA$4-$B90+1)</f>
        <v/>
      </c>
      <c r="BB90" s="75">
        <f>$C90*INDEX(Curves!$AQ$8:$AQ$68,BB$4-$B90+1)</f>
        <v/>
      </c>
      <c r="BC90" s="75">
        <f>$C90*INDEX(Curves!$AQ$8:$AQ$68,BC$4-$B90+1)</f>
        <v/>
      </c>
      <c r="BD90" s="75">
        <f>$C90*INDEX(Curves!$AQ$8:$AQ$68,BD$4-$B90+1)</f>
        <v/>
      </c>
      <c r="BE90" s="75">
        <f>$C90*INDEX(Curves!$AQ$8:$AQ$68,BE$4-$B90+1)</f>
        <v/>
      </c>
      <c r="BF90" s="75">
        <f>$C90*INDEX(Curves!$AQ$8:$AQ$68,BF$4-$B90+1)</f>
        <v/>
      </c>
      <c r="BG90" s="75">
        <f>$C90*INDEX(Curves!$AQ$8:$AQ$68,BG$4-$B90+1)</f>
        <v/>
      </c>
      <c r="BH90" s="75">
        <f>$C90*INDEX(Curves!$AQ$8:$AQ$68,BH$4-$B90+1)</f>
        <v/>
      </c>
      <c r="BI90" s="75">
        <f>$C90*INDEX(Curves!$AQ$8:$AQ$68,BI$4-$B90+1)</f>
        <v/>
      </c>
      <c r="BJ90" s="75">
        <f>$C90*INDEX(Curves!$AQ$8:$AQ$68,BJ$4-$B90+1)</f>
        <v/>
      </c>
      <c r="BK90" s="75">
        <f>$C90*INDEX(Curves!$AQ$8:$AQ$68,BK$4-$B90+1)</f>
        <v/>
      </c>
      <c r="BL90" s="75">
        <f>$C90*INDEX(Curves!$AQ$8:$AQ$68,BL$4-$B90+1)</f>
        <v/>
      </c>
    </row>
    <row r="91">
      <c r="A91" s="74" t="inlineStr">
        <is>
          <t>Cohort month 19</t>
        </is>
      </c>
      <c r="B91" s="74" t="n">
        <v>19</v>
      </c>
      <c r="C91" s="17">
        <f>INDEX(Ops!$E$84:$BL$84,1,$B91)</f>
        <v/>
      </c>
      <c r="X91" s="75">
        <f>$C91*INDEX(Curves!$AQ$8:$AQ$68,X$4-$B91+1)</f>
        <v/>
      </c>
      <c r="Y91" s="75">
        <f>$C91*INDEX(Curves!$AQ$8:$AQ$68,Y$4-$B91+1)</f>
        <v/>
      </c>
      <c r="Z91" s="75">
        <f>$C91*INDEX(Curves!$AQ$8:$AQ$68,Z$4-$B91+1)</f>
        <v/>
      </c>
      <c r="AA91" s="75">
        <f>$C91*INDEX(Curves!$AQ$8:$AQ$68,AA$4-$B91+1)</f>
        <v/>
      </c>
      <c r="AB91" s="75">
        <f>$C91*INDEX(Curves!$AQ$8:$AQ$68,AB$4-$B91+1)</f>
        <v/>
      </c>
      <c r="AC91" s="75">
        <f>$C91*INDEX(Curves!$AQ$8:$AQ$68,AC$4-$B91+1)</f>
        <v/>
      </c>
      <c r="AD91" s="75">
        <f>$C91*INDEX(Curves!$AQ$8:$AQ$68,AD$4-$B91+1)</f>
        <v/>
      </c>
      <c r="AE91" s="75">
        <f>$C91*INDEX(Curves!$AQ$8:$AQ$68,AE$4-$B91+1)</f>
        <v/>
      </c>
      <c r="AF91" s="75">
        <f>$C91*INDEX(Curves!$AQ$8:$AQ$68,AF$4-$B91+1)</f>
        <v/>
      </c>
      <c r="AG91" s="75">
        <f>$C91*INDEX(Curves!$AQ$8:$AQ$68,AG$4-$B91+1)</f>
        <v/>
      </c>
      <c r="AH91" s="75">
        <f>$C91*INDEX(Curves!$AQ$8:$AQ$68,AH$4-$B91+1)</f>
        <v/>
      </c>
      <c r="AI91" s="75">
        <f>$C91*INDEX(Curves!$AQ$8:$AQ$68,AI$4-$B91+1)</f>
        <v/>
      </c>
      <c r="AJ91" s="75">
        <f>$C91*INDEX(Curves!$AQ$8:$AQ$68,AJ$4-$B91+1)</f>
        <v/>
      </c>
      <c r="AK91" s="75">
        <f>$C91*INDEX(Curves!$AQ$8:$AQ$68,AK$4-$B91+1)</f>
        <v/>
      </c>
      <c r="AL91" s="75">
        <f>$C91*INDEX(Curves!$AQ$8:$AQ$68,AL$4-$B91+1)</f>
        <v/>
      </c>
      <c r="AM91" s="75">
        <f>$C91*INDEX(Curves!$AQ$8:$AQ$68,AM$4-$B91+1)</f>
        <v/>
      </c>
      <c r="AN91" s="75">
        <f>$C91*INDEX(Curves!$AQ$8:$AQ$68,AN$4-$B91+1)</f>
        <v/>
      </c>
      <c r="AO91" s="75">
        <f>$C91*INDEX(Curves!$AQ$8:$AQ$68,AO$4-$B91+1)</f>
        <v/>
      </c>
      <c r="AP91" s="75">
        <f>$C91*INDEX(Curves!$AQ$8:$AQ$68,AP$4-$B91+1)</f>
        <v/>
      </c>
      <c r="AQ91" s="75">
        <f>$C91*INDEX(Curves!$AQ$8:$AQ$68,AQ$4-$B91+1)</f>
        <v/>
      </c>
      <c r="AR91" s="75">
        <f>$C91*INDEX(Curves!$AQ$8:$AQ$68,AR$4-$B91+1)</f>
        <v/>
      </c>
      <c r="AS91" s="75">
        <f>$C91*INDEX(Curves!$AQ$8:$AQ$68,AS$4-$B91+1)</f>
        <v/>
      </c>
      <c r="AT91" s="75">
        <f>$C91*INDEX(Curves!$AQ$8:$AQ$68,AT$4-$B91+1)</f>
        <v/>
      </c>
      <c r="AU91" s="75">
        <f>$C91*INDEX(Curves!$AQ$8:$AQ$68,AU$4-$B91+1)</f>
        <v/>
      </c>
      <c r="AV91" s="75">
        <f>$C91*INDEX(Curves!$AQ$8:$AQ$68,AV$4-$B91+1)</f>
        <v/>
      </c>
      <c r="AW91" s="75">
        <f>$C91*INDEX(Curves!$AQ$8:$AQ$68,AW$4-$B91+1)</f>
        <v/>
      </c>
      <c r="AX91" s="75">
        <f>$C91*INDEX(Curves!$AQ$8:$AQ$68,AX$4-$B91+1)</f>
        <v/>
      </c>
      <c r="AY91" s="75">
        <f>$C91*INDEX(Curves!$AQ$8:$AQ$68,AY$4-$B91+1)</f>
        <v/>
      </c>
      <c r="AZ91" s="75">
        <f>$C91*INDEX(Curves!$AQ$8:$AQ$68,AZ$4-$B91+1)</f>
        <v/>
      </c>
      <c r="BA91" s="75">
        <f>$C91*INDEX(Curves!$AQ$8:$AQ$68,BA$4-$B91+1)</f>
        <v/>
      </c>
      <c r="BB91" s="75">
        <f>$C91*INDEX(Curves!$AQ$8:$AQ$68,BB$4-$B91+1)</f>
        <v/>
      </c>
      <c r="BC91" s="75">
        <f>$C91*INDEX(Curves!$AQ$8:$AQ$68,BC$4-$B91+1)</f>
        <v/>
      </c>
      <c r="BD91" s="75">
        <f>$C91*INDEX(Curves!$AQ$8:$AQ$68,BD$4-$B91+1)</f>
        <v/>
      </c>
      <c r="BE91" s="75">
        <f>$C91*INDEX(Curves!$AQ$8:$AQ$68,BE$4-$B91+1)</f>
        <v/>
      </c>
      <c r="BF91" s="75">
        <f>$C91*INDEX(Curves!$AQ$8:$AQ$68,BF$4-$B91+1)</f>
        <v/>
      </c>
      <c r="BG91" s="75">
        <f>$C91*INDEX(Curves!$AQ$8:$AQ$68,BG$4-$B91+1)</f>
        <v/>
      </c>
      <c r="BH91" s="75">
        <f>$C91*INDEX(Curves!$AQ$8:$AQ$68,BH$4-$B91+1)</f>
        <v/>
      </c>
      <c r="BI91" s="75">
        <f>$C91*INDEX(Curves!$AQ$8:$AQ$68,BI$4-$B91+1)</f>
        <v/>
      </c>
      <c r="BJ91" s="75">
        <f>$C91*INDEX(Curves!$AQ$8:$AQ$68,BJ$4-$B91+1)</f>
        <v/>
      </c>
      <c r="BK91" s="75">
        <f>$C91*INDEX(Curves!$AQ$8:$AQ$68,BK$4-$B91+1)</f>
        <v/>
      </c>
      <c r="BL91" s="75">
        <f>$C91*INDEX(Curves!$AQ$8:$AQ$68,BL$4-$B91+1)</f>
        <v/>
      </c>
    </row>
    <row r="92">
      <c r="A92" s="74" t="inlineStr">
        <is>
          <t>Cohort month 20</t>
        </is>
      </c>
      <c r="B92" s="74" t="n">
        <v>20</v>
      </c>
      <c r="C92" s="17">
        <f>INDEX(Ops!$E$84:$BL$84,1,$B92)</f>
        <v/>
      </c>
      <c r="Y92" s="75">
        <f>$C92*INDEX(Curves!$AQ$8:$AQ$68,Y$4-$B92+1)</f>
        <v/>
      </c>
      <c r="Z92" s="75">
        <f>$C92*INDEX(Curves!$AQ$8:$AQ$68,Z$4-$B92+1)</f>
        <v/>
      </c>
      <c r="AA92" s="75">
        <f>$C92*INDEX(Curves!$AQ$8:$AQ$68,AA$4-$B92+1)</f>
        <v/>
      </c>
      <c r="AB92" s="75">
        <f>$C92*INDEX(Curves!$AQ$8:$AQ$68,AB$4-$B92+1)</f>
        <v/>
      </c>
      <c r="AC92" s="75">
        <f>$C92*INDEX(Curves!$AQ$8:$AQ$68,AC$4-$B92+1)</f>
        <v/>
      </c>
      <c r="AD92" s="75">
        <f>$C92*INDEX(Curves!$AQ$8:$AQ$68,AD$4-$B92+1)</f>
        <v/>
      </c>
      <c r="AE92" s="75">
        <f>$C92*INDEX(Curves!$AQ$8:$AQ$68,AE$4-$B92+1)</f>
        <v/>
      </c>
      <c r="AF92" s="75">
        <f>$C92*INDEX(Curves!$AQ$8:$AQ$68,AF$4-$B92+1)</f>
        <v/>
      </c>
      <c r="AG92" s="75">
        <f>$C92*INDEX(Curves!$AQ$8:$AQ$68,AG$4-$B92+1)</f>
        <v/>
      </c>
      <c r="AH92" s="75">
        <f>$C92*INDEX(Curves!$AQ$8:$AQ$68,AH$4-$B92+1)</f>
        <v/>
      </c>
      <c r="AI92" s="75">
        <f>$C92*INDEX(Curves!$AQ$8:$AQ$68,AI$4-$B92+1)</f>
        <v/>
      </c>
      <c r="AJ92" s="75">
        <f>$C92*INDEX(Curves!$AQ$8:$AQ$68,AJ$4-$B92+1)</f>
        <v/>
      </c>
      <c r="AK92" s="75">
        <f>$C92*INDEX(Curves!$AQ$8:$AQ$68,AK$4-$B92+1)</f>
        <v/>
      </c>
      <c r="AL92" s="75">
        <f>$C92*INDEX(Curves!$AQ$8:$AQ$68,AL$4-$B92+1)</f>
        <v/>
      </c>
      <c r="AM92" s="75">
        <f>$C92*INDEX(Curves!$AQ$8:$AQ$68,AM$4-$B92+1)</f>
        <v/>
      </c>
      <c r="AN92" s="75">
        <f>$C92*INDEX(Curves!$AQ$8:$AQ$68,AN$4-$B92+1)</f>
        <v/>
      </c>
      <c r="AO92" s="75">
        <f>$C92*INDEX(Curves!$AQ$8:$AQ$68,AO$4-$B92+1)</f>
        <v/>
      </c>
      <c r="AP92" s="75">
        <f>$C92*INDEX(Curves!$AQ$8:$AQ$68,AP$4-$B92+1)</f>
        <v/>
      </c>
      <c r="AQ92" s="75">
        <f>$C92*INDEX(Curves!$AQ$8:$AQ$68,AQ$4-$B92+1)</f>
        <v/>
      </c>
      <c r="AR92" s="75">
        <f>$C92*INDEX(Curves!$AQ$8:$AQ$68,AR$4-$B92+1)</f>
        <v/>
      </c>
      <c r="AS92" s="75">
        <f>$C92*INDEX(Curves!$AQ$8:$AQ$68,AS$4-$B92+1)</f>
        <v/>
      </c>
      <c r="AT92" s="75">
        <f>$C92*INDEX(Curves!$AQ$8:$AQ$68,AT$4-$B92+1)</f>
        <v/>
      </c>
      <c r="AU92" s="75">
        <f>$C92*INDEX(Curves!$AQ$8:$AQ$68,AU$4-$B92+1)</f>
        <v/>
      </c>
      <c r="AV92" s="75">
        <f>$C92*INDEX(Curves!$AQ$8:$AQ$68,AV$4-$B92+1)</f>
        <v/>
      </c>
      <c r="AW92" s="75">
        <f>$C92*INDEX(Curves!$AQ$8:$AQ$68,AW$4-$B92+1)</f>
        <v/>
      </c>
      <c r="AX92" s="75">
        <f>$C92*INDEX(Curves!$AQ$8:$AQ$68,AX$4-$B92+1)</f>
        <v/>
      </c>
      <c r="AY92" s="75">
        <f>$C92*INDEX(Curves!$AQ$8:$AQ$68,AY$4-$B92+1)</f>
        <v/>
      </c>
      <c r="AZ92" s="75">
        <f>$C92*INDEX(Curves!$AQ$8:$AQ$68,AZ$4-$B92+1)</f>
        <v/>
      </c>
      <c r="BA92" s="75">
        <f>$C92*INDEX(Curves!$AQ$8:$AQ$68,BA$4-$B92+1)</f>
        <v/>
      </c>
      <c r="BB92" s="75">
        <f>$C92*INDEX(Curves!$AQ$8:$AQ$68,BB$4-$B92+1)</f>
        <v/>
      </c>
      <c r="BC92" s="75">
        <f>$C92*INDEX(Curves!$AQ$8:$AQ$68,BC$4-$B92+1)</f>
        <v/>
      </c>
      <c r="BD92" s="75">
        <f>$C92*INDEX(Curves!$AQ$8:$AQ$68,BD$4-$B92+1)</f>
        <v/>
      </c>
      <c r="BE92" s="75">
        <f>$C92*INDEX(Curves!$AQ$8:$AQ$68,BE$4-$B92+1)</f>
        <v/>
      </c>
      <c r="BF92" s="75">
        <f>$C92*INDEX(Curves!$AQ$8:$AQ$68,BF$4-$B92+1)</f>
        <v/>
      </c>
      <c r="BG92" s="75">
        <f>$C92*INDEX(Curves!$AQ$8:$AQ$68,BG$4-$B92+1)</f>
        <v/>
      </c>
      <c r="BH92" s="75">
        <f>$C92*INDEX(Curves!$AQ$8:$AQ$68,BH$4-$B92+1)</f>
        <v/>
      </c>
      <c r="BI92" s="75">
        <f>$C92*INDEX(Curves!$AQ$8:$AQ$68,BI$4-$B92+1)</f>
        <v/>
      </c>
      <c r="BJ92" s="75">
        <f>$C92*INDEX(Curves!$AQ$8:$AQ$68,BJ$4-$B92+1)</f>
        <v/>
      </c>
      <c r="BK92" s="75">
        <f>$C92*INDEX(Curves!$AQ$8:$AQ$68,BK$4-$B92+1)</f>
        <v/>
      </c>
      <c r="BL92" s="75">
        <f>$C92*INDEX(Curves!$AQ$8:$AQ$68,BL$4-$B92+1)</f>
        <v/>
      </c>
    </row>
    <row r="93">
      <c r="A93" s="74" t="inlineStr">
        <is>
          <t>Cohort month 21</t>
        </is>
      </c>
      <c r="B93" s="74" t="n">
        <v>21</v>
      </c>
      <c r="C93" s="17">
        <f>INDEX(Ops!$E$84:$BL$84,1,$B93)</f>
        <v/>
      </c>
      <c r="Z93" s="75">
        <f>$C93*INDEX(Curves!$AQ$8:$AQ$68,Z$4-$B93+1)</f>
        <v/>
      </c>
      <c r="AA93" s="75">
        <f>$C93*INDEX(Curves!$AQ$8:$AQ$68,AA$4-$B93+1)</f>
        <v/>
      </c>
      <c r="AB93" s="75">
        <f>$C93*INDEX(Curves!$AQ$8:$AQ$68,AB$4-$B93+1)</f>
        <v/>
      </c>
      <c r="AC93" s="75">
        <f>$C93*INDEX(Curves!$AQ$8:$AQ$68,AC$4-$B93+1)</f>
        <v/>
      </c>
      <c r="AD93" s="75">
        <f>$C93*INDEX(Curves!$AQ$8:$AQ$68,AD$4-$B93+1)</f>
        <v/>
      </c>
      <c r="AE93" s="75">
        <f>$C93*INDEX(Curves!$AQ$8:$AQ$68,AE$4-$B93+1)</f>
        <v/>
      </c>
      <c r="AF93" s="75">
        <f>$C93*INDEX(Curves!$AQ$8:$AQ$68,AF$4-$B93+1)</f>
        <v/>
      </c>
      <c r="AG93" s="75">
        <f>$C93*INDEX(Curves!$AQ$8:$AQ$68,AG$4-$B93+1)</f>
        <v/>
      </c>
      <c r="AH93" s="75">
        <f>$C93*INDEX(Curves!$AQ$8:$AQ$68,AH$4-$B93+1)</f>
        <v/>
      </c>
      <c r="AI93" s="75">
        <f>$C93*INDEX(Curves!$AQ$8:$AQ$68,AI$4-$B93+1)</f>
        <v/>
      </c>
      <c r="AJ93" s="75">
        <f>$C93*INDEX(Curves!$AQ$8:$AQ$68,AJ$4-$B93+1)</f>
        <v/>
      </c>
      <c r="AK93" s="75">
        <f>$C93*INDEX(Curves!$AQ$8:$AQ$68,AK$4-$B93+1)</f>
        <v/>
      </c>
      <c r="AL93" s="75">
        <f>$C93*INDEX(Curves!$AQ$8:$AQ$68,AL$4-$B93+1)</f>
        <v/>
      </c>
      <c r="AM93" s="75">
        <f>$C93*INDEX(Curves!$AQ$8:$AQ$68,AM$4-$B93+1)</f>
        <v/>
      </c>
      <c r="AN93" s="75">
        <f>$C93*INDEX(Curves!$AQ$8:$AQ$68,AN$4-$B93+1)</f>
        <v/>
      </c>
      <c r="AO93" s="75">
        <f>$C93*INDEX(Curves!$AQ$8:$AQ$68,AO$4-$B93+1)</f>
        <v/>
      </c>
      <c r="AP93" s="75">
        <f>$C93*INDEX(Curves!$AQ$8:$AQ$68,AP$4-$B93+1)</f>
        <v/>
      </c>
      <c r="AQ93" s="75">
        <f>$C93*INDEX(Curves!$AQ$8:$AQ$68,AQ$4-$B93+1)</f>
        <v/>
      </c>
      <c r="AR93" s="75">
        <f>$C93*INDEX(Curves!$AQ$8:$AQ$68,AR$4-$B93+1)</f>
        <v/>
      </c>
      <c r="AS93" s="75">
        <f>$C93*INDEX(Curves!$AQ$8:$AQ$68,AS$4-$B93+1)</f>
        <v/>
      </c>
      <c r="AT93" s="75">
        <f>$C93*INDEX(Curves!$AQ$8:$AQ$68,AT$4-$B93+1)</f>
        <v/>
      </c>
      <c r="AU93" s="75">
        <f>$C93*INDEX(Curves!$AQ$8:$AQ$68,AU$4-$B93+1)</f>
        <v/>
      </c>
      <c r="AV93" s="75">
        <f>$C93*INDEX(Curves!$AQ$8:$AQ$68,AV$4-$B93+1)</f>
        <v/>
      </c>
      <c r="AW93" s="75">
        <f>$C93*INDEX(Curves!$AQ$8:$AQ$68,AW$4-$B93+1)</f>
        <v/>
      </c>
      <c r="AX93" s="75">
        <f>$C93*INDEX(Curves!$AQ$8:$AQ$68,AX$4-$B93+1)</f>
        <v/>
      </c>
      <c r="AY93" s="75">
        <f>$C93*INDEX(Curves!$AQ$8:$AQ$68,AY$4-$B93+1)</f>
        <v/>
      </c>
      <c r="AZ93" s="75">
        <f>$C93*INDEX(Curves!$AQ$8:$AQ$68,AZ$4-$B93+1)</f>
        <v/>
      </c>
      <c r="BA93" s="75">
        <f>$C93*INDEX(Curves!$AQ$8:$AQ$68,BA$4-$B93+1)</f>
        <v/>
      </c>
      <c r="BB93" s="75">
        <f>$C93*INDEX(Curves!$AQ$8:$AQ$68,BB$4-$B93+1)</f>
        <v/>
      </c>
      <c r="BC93" s="75">
        <f>$C93*INDEX(Curves!$AQ$8:$AQ$68,BC$4-$B93+1)</f>
        <v/>
      </c>
      <c r="BD93" s="75">
        <f>$C93*INDEX(Curves!$AQ$8:$AQ$68,BD$4-$B93+1)</f>
        <v/>
      </c>
      <c r="BE93" s="75">
        <f>$C93*INDEX(Curves!$AQ$8:$AQ$68,BE$4-$B93+1)</f>
        <v/>
      </c>
      <c r="BF93" s="75">
        <f>$C93*INDEX(Curves!$AQ$8:$AQ$68,BF$4-$B93+1)</f>
        <v/>
      </c>
      <c r="BG93" s="75">
        <f>$C93*INDEX(Curves!$AQ$8:$AQ$68,BG$4-$B93+1)</f>
        <v/>
      </c>
      <c r="BH93" s="75">
        <f>$C93*INDEX(Curves!$AQ$8:$AQ$68,BH$4-$B93+1)</f>
        <v/>
      </c>
      <c r="BI93" s="75">
        <f>$C93*INDEX(Curves!$AQ$8:$AQ$68,BI$4-$B93+1)</f>
        <v/>
      </c>
      <c r="BJ93" s="75">
        <f>$C93*INDEX(Curves!$AQ$8:$AQ$68,BJ$4-$B93+1)</f>
        <v/>
      </c>
      <c r="BK93" s="75">
        <f>$C93*INDEX(Curves!$AQ$8:$AQ$68,BK$4-$B93+1)</f>
        <v/>
      </c>
      <c r="BL93" s="75">
        <f>$C93*INDEX(Curves!$AQ$8:$AQ$68,BL$4-$B93+1)</f>
        <v/>
      </c>
    </row>
    <row r="94">
      <c r="A94" s="74" t="inlineStr">
        <is>
          <t>Cohort month 22</t>
        </is>
      </c>
      <c r="B94" s="74" t="n">
        <v>22</v>
      </c>
      <c r="C94" s="17">
        <f>INDEX(Ops!$E$84:$BL$84,1,$B94)</f>
        <v/>
      </c>
      <c r="AA94" s="75">
        <f>$C94*INDEX(Curves!$AQ$8:$AQ$68,AA$4-$B94+1)</f>
        <v/>
      </c>
      <c r="AB94" s="75">
        <f>$C94*INDEX(Curves!$AQ$8:$AQ$68,AB$4-$B94+1)</f>
        <v/>
      </c>
      <c r="AC94" s="75">
        <f>$C94*INDEX(Curves!$AQ$8:$AQ$68,AC$4-$B94+1)</f>
        <v/>
      </c>
      <c r="AD94" s="75">
        <f>$C94*INDEX(Curves!$AQ$8:$AQ$68,AD$4-$B94+1)</f>
        <v/>
      </c>
      <c r="AE94" s="75">
        <f>$C94*INDEX(Curves!$AQ$8:$AQ$68,AE$4-$B94+1)</f>
        <v/>
      </c>
      <c r="AF94" s="75">
        <f>$C94*INDEX(Curves!$AQ$8:$AQ$68,AF$4-$B94+1)</f>
        <v/>
      </c>
      <c r="AG94" s="75">
        <f>$C94*INDEX(Curves!$AQ$8:$AQ$68,AG$4-$B94+1)</f>
        <v/>
      </c>
      <c r="AH94" s="75">
        <f>$C94*INDEX(Curves!$AQ$8:$AQ$68,AH$4-$B94+1)</f>
        <v/>
      </c>
      <c r="AI94" s="75">
        <f>$C94*INDEX(Curves!$AQ$8:$AQ$68,AI$4-$B94+1)</f>
        <v/>
      </c>
      <c r="AJ94" s="75">
        <f>$C94*INDEX(Curves!$AQ$8:$AQ$68,AJ$4-$B94+1)</f>
        <v/>
      </c>
      <c r="AK94" s="75">
        <f>$C94*INDEX(Curves!$AQ$8:$AQ$68,AK$4-$B94+1)</f>
        <v/>
      </c>
      <c r="AL94" s="75">
        <f>$C94*INDEX(Curves!$AQ$8:$AQ$68,AL$4-$B94+1)</f>
        <v/>
      </c>
      <c r="AM94" s="75">
        <f>$C94*INDEX(Curves!$AQ$8:$AQ$68,AM$4-$B94+1)</f>
        <v/>
      </c>
      <c r="AN94" s="75">
        <f>$C94*INDEX(Curves!$AQ$8:$AQ$68,AN$4-$B94+1)</f>
        <v/>
      </c>
      <c r="AO94" s="75">
        <f>$C94*INDEX(Curves!$AQ$8:$AQ$68,AO$4-$B94+1)</f>
        <v/>
      </c>
      <c r="AP94" s="75">
        <f>$C94*INDEX(Curves!$AQ$8:$AQ$68,AP$4-$B94+1)</f>
        <v/>
      </c>
      <c r="AQ94" s="75">
        <f>$C94*INDEX(Curves!$AQ$8:$AQ$68,AQ$4-$B94+1)</f>
        <v/>
      </c>
      <c r="AR94" s="75">
        <f>$C94*INDEX(Curves!$AQ$8:$AQ$68,AR$4-$B94+1)</f>
        <v/>
      </c>
      <c r="AS94" s="75">
        <f>$C94*INDEX(Curves!$AQ$8:$AQ$68,AS$4-$B94+1)</f>
        <v/>
      </c>
      <c r="AT94" s="75">
        <f>$C94*INDEX(Curves!$AQ$8:$AQ$68,AT$4-$B94+1)</f>
        <v/>
      </c>
      <c r="AU94" s="75">
        <f>$C94*INDEX(Curves!$AQ$8:$AQ$68,AU$4-$B94+1)</f>
        <v/>
      </c>
      <c r="AV94" s="75">
        <f>$C94*INDEX(Curves!$AQ$8:$AQ$68,AV$4-$B94+1)</f>
        <v/>
      </c>
      <c r="AW94" s="75">
        <f>$C94*INDEX(Curves!$AQ$8:$AQ$68,AW$4-$B94+1)</f>
        <v/>
      </c>
      <c r="AX94" s="75">
        <f>$C94*INDEX(Curves!$AQ$8:$AQ$68,AX$4-$B94+1)</f>
        <v/>
      </c>
      <c r="AY94" s="75">
        <f>$C94*INDEX(Curves!$AQ$8:$AQ$68,AY$4-$B94+1)</f>
        <v/>
      </c>
      <c r="AZ94" s="75">
        <f>$C94*INDEX(Curves!$AQ$8:$AQ$68,AZ$4-$B94+1)</f>
        <v/>
      </c>
      <c r="BA94" s="75">
        <f>$C94*INDEX(Curves!$AQ$8:$AQ$68,BA$4-$B94+1)</f>
        <v/>
      </c>
      <c r="BB94" s="75">
        <f>$C94*INDEX(Curves!$AQ$8:$AQ$68,BB$4-$B94+1)</f>
        <v/>
      </c>
      <c r="BC94" s="75">
        <f>$C94*INDEX(Curves!$AQ$8:$AQ$68,BC$4-$B94+1)</f>
        <v/>
      </c>
      <c r="BD94" s="75">
        <f>$C94*INDEX(Curves!$AQ$8:$AQ$68,BD$4-$B94+1)</f>
        <v/>
      </c>
      <c r="BE94" s="75">
        <f>$C94*INDEX(Curves!$AQ$8:$AQ$68,BE$4-$B94+1)</f>
        <v/>
      </c>
      <c r="BF94" s="75">
        <f>$C94*INDEX(Curves!$AQ$8:$AQ$68,BF$4-$B94+1)</f>
        <v/>
      </c>
      <c r="BG94" s="75">
        <f>$C94*INDEX(Curves!$AQ$8:$AQ$68,BG$4-$B94+1)</f>
        <v/>
      </c>
      <c r="BH94" s="75">
        <f>$C94*INDEX(Curves!$AQ$8:$AQ$68,BH$4-$B94+1)</f>
        <v/>
      </c>
      <c r="BI94" s="75">
        <f>$C94*INDEX(Curves!$AQ$8:$AQ$68,BI$4-$B94+1)</f>
        <v/>
      </c>
      <c r="BJ94" s="75">
        <f>$C94*INDEX(Curves!$AQ$8:$AQ$68,BJ$4-$B94+1)</f>
        <v/>
      </c>
      <c r="BK94" s="75">
        <f>$C94*INDEX(Curves!$AQ$8:$AQ$68,BK$4-$B94+1)</f>
        <v/>
      </c>
      <c r="BL94" s="75">
        <f>$C94*INDEX(Curves!$AQ$8:$AQ$68,BL$4-$B94+1)</f>
        <v/>
      </c>
    </row>
    <row r="95">
      <c r="A95" s="74" t="inlineStr">
        <is>
          <t>Cohort month 23</t>
        </is>
      </c>
      <c r="B95" s="74" t="n">
        <v>23</v>
      </c>
      <c r="C95" s="17">
        <f>INDEX(Ops!$E$84:$BL$84,1,$B95)</f>
        <v/>
      </c>
      <c r="AB95" s="75">
        <f>$C95*INDEX(Curves!$AQ$8:$AQ$68,AB$4-$B95+1)</f>
        <v/>
      </c>
      <c r="AC95" s="75">
        <f>$C95*INDEX(Curves!$AQ$8:$AQ$68,AC$4-$B95+1)</f>
        <v/>
      </c>
      <c r="AD95" s="75">
        <f>$C95*INDEX(Curves!$AQ$8:$AQ$68,AD$4-$B95+1)</f>
        <v/>
      </c>
      <c r="AE95" s="75">
        <f>$C95*INDEX(Curves!$AQ$8:$AQ$68,AE$4-$B95+1)</f>
        <v/>
      </c>
      <c r="AF95" s="75">
        <f>$C95*INDEX(Curves!$AQ$8:$AQ$68,AF$4-$B95+1)</f>
        <v/>
      </c>
      <c r="AG95" s="75">
        <f>$C95*INDEX(Curves!$AQ$8:$AQ$68,AG$4-$B95+1)</f>
        <v/>
      </c>
      <c r="AH95" s="75">
        <f>$C95*INDEX(Curves!$AQ$8:$AQ$68,AH$4-$B95+1)</f>
        <v/>
      </c>
      <c r="AI95" s="75">
        <f>$C95*INDEX(Curves!$AQ$8:$AQ$68,AI$4-$B95+1)</f>
        <v/>
      </c>
      <c r="AJ95" s="75">
        <f>$C95*INDEX(Curves!$AQ$8:$AQ$68,AJ$4-$B95+1)</f>
        <v/>
      </c>
      <c r="AK95" s="75">
        <f>$C95*INDEX(Curves!$AQ$8:$AQ$68,AK$4-$B95+1)</f>
        <v/>
      </c>
      <c r="AL95" s="75">
        <f>$C95*INDEX(Curves!$AQ$8:$AQ$68,AL$4-$B95+1)</f>
        <v/>
      </c>
      <c r="AM95" s="75">
        <f>$C95*INDEX(Curves!$AQ$8:$AQ$68,AM$4-$B95+1)</f>
        <v/>
      </c>
      <c r="AN95" s="75">
        <f>$C95*INDEX(Curves!$AQ$8:$AQ$68,AN$4-$B95+1)</f>
        <v/>
      </c>
      <c r="AO95" s="75">
        <f>$C95*INDEX(Curves!$AQ$8:$AQ$68,AO$4-$B95+1)</f>
        <v/>
      </c>
      <c r="AP95" s="75">
        <f>$C95*INDEX(Curves!$AQ$8:$AQ$68,AP$4-$B95+1)</f>
        <v/>
      </c>
      <c r="AQ95" s="75">
        <f>$C95*INDEX(Curves!$AQ$8:$AQ$68,AQ$4-$B95+1)</f>
        <v/>
      </c>
      <c r="AR95" s="75">
        <f>$C95*INDEX(Curves!$AQ$8:$AQ$68,AR$4-$B95+1)</f>
        <v/>
      </c>
      <c r="AS95" s="75">
        <f>$C95*INDEX(Curves!$AQ$8:$AQ$68,AS$4-$B95+1)</f>
        <v/>
      </c>
      <c r="AT95" s="75">
        <f>$C95*INDEX(Curves!$AQ$8:$AQ$68,AT$4-$B95+1)</f>
        <v/>
      </c>
      <c r="AU95" s="75">
        <f>$C95*INDEX(Curves!$AQ$8:$AQ$68,AU$4-$B95+1)</f>
        <v/>
      </c>
      <c r="AV95" s="75">
        <f>$C95*INDEX(Curves!$AQ$8:$AQ$68,AV$4-$B95+1)</f>
        <v/>
      </c>
      <c r="AW95" s="75">
        <f>$C95*INDEX(Curves!$AQ$8:$AQ$68,AW$4-$B95+1)</f>
        <v/>
      </c>
      <c r="AX95" s="75">
        <f>$C95*INDEX(Curves!$AQ$8:$AQ$68,AX$4-$B95+1)</f>
        <v/>
      </c>
      <c r="AY95" s="75">
        <f>$C95*INDEX(Curves!$AQ$8:$AQ$68,AY$4-$B95+1)</f>
        <v/>
      </c>
      <c r="AZ95" s="75">
        <f>$C95*INDEX(Curves!$AQ$8:$AQ$68,AZ$4-$B95+1)</f>
        <v/>
      </c>
      <c r="BA95" s="75">
        <f>$C95*INDEX(Curves!$AQ$8:$AQ$68,BA$4-$B95+1)</f>
        <v/>
      </c>
      <c r="BB95" s="75">
        <f>$C95*INDEX(Curves!$AQ$8:$AQ$68,BB$4-$B95+1)</f>
        <v/>
      </c>
      <c r="BC95" s="75">
        <f>$C95*INDEX(Curves!$AQ$8:$AQ$68,BC$4-$B95+1)</f>
        <v/>
      </c>
      <c r="BD95" s="75">
        <f>$C95*INDEX(Curves!$AQ$8:$AQ$68,BD$4-$B95+1)</f>
        <v/>
      </c>
      <c r="BE95" s="75">
        <f>$C95*INDEX(Curves!$AQ$8:$AQ$68,BE$4-$B95+1)</f>
        <v/>
      </c>
      <c r="BF95" s="75">
        <f>$C95*INDEX(Curves!$AQ$8:$AQ$68,BF$4-$B95+1)</f>
        <v/>
      </c>
      <c r="BG95" s="75">
        <f>$C95*INDEX(Curves!$AQ$8:$AQ$68,BG$4-$B95+1)</f>
        <v/>
      </c>
      <c r="BH95" s="75">
        <f>$C95*INDEX(Curves!$AQ$8:$AQ$68,BH$4-$B95+1)</f>
        <v/>
      </c>
      <c r="BI95" s="75">
        <f>$C95*INDEX(Curves!$AQ$8:$AQ$68,BI$4-$B95+1)</f>
        <v/>
      </c>
      <c r="BJ95" s="75">
        <f>$C95*INDEX(Curves!$AQ$8:$AQ$68,BJ$4-$B95+1)</f>
        <v/>
      </c>
      <c r="BK95" s="75">
        <f>$C95*INDEX(Curves!$AQ$8:$AQ$68,BK$4-$B95+1)</f>
        <v/>
      </c>
      <c r="BL95" s="75">
        <f>$C95*INDEX(Curves!$AQ$8:$AQ$68,BL$4-$B95+1)</f>
        <v/>
      </c>
    </row>
    <row r="96">
      <c r="A96" s="74" t="inlineStr">
        <is>
          <t>Cohort month 24</t>
        </is>
      </c>
      <c r="B96" s="74" t="n">
        <v>24</v>
      </c>
      <c r="C96" s="17">
        <f>INDEX(Ops!$E$84:$BL$84,1,$B96)</f>
        <v/>
      </c>
      <c r="AC96" s="75">
        <f>$C96*INDEX(Curves!$AQ$8:$AQ$68,AC$4-$B96+1)</f>
        <v/>
      </c>
      <c r="AD96" s="75">
        <f>$C96*INDEX(Curves!$AQ$8:$AQ$68,AD$4-$B96+1)</f>
        <v/>
      </c>
      <c r="AE96" s="75">
        <f>$C96*INDEX(Curves!$AQ$8:$AQ$68,AE$4-$B96+1)</f>
        <v/>
      </c>
      <c r="AF96" s="75">
        <f>$C96*INDEX(Curves!$AQ$8:$AQ$68,AF$4-$B96+1)</f>
        <v/>
      </c>
      <c r="AG96" s="75">
        <f>$C96*INDEX(Curves!$AQ$8:$AQ$68,AG$4-$B96+1)</f>
        <v/>
      </c>
      <c r="AH96" s="75">
        <f>$C96*INDEX(Curves!$AQ$8:$AQ$68,AH$4-$B96+1)</f>
        <v/>
      </c>
      <c r="AI96" s="75">
        <f>$C96*INDEX(Curves!$AQ$8:$AQ$68,AI$4-$B96+1)</f>
        <v/>
      </c>
      <c r="AJ96" s="75">
        <f>$C96*INDEX(Curves!$AQ$8:$AQ$68,AJ$4-$B96+1)</f>
        <v/>
      </c>
      <c r="AK96" s="75">
        <f>$C96*INDEX(Curves!$AQ$8:$AQ$68,AK$4-$B96+1)</f>
        <v/>
      </c>
      <c r="AL96" s="75">
        <f>$C96*INDEX(Curves!$AQ$8:$AQ$68,AL$4-$B96+1)</f>
        <v/>
      </c>
      <c r="AM96" s="75">
        <f>$C96*INDEX(Curves!$AQ$8:$AQ$68,AM$4-$B96+1)</f>
        <v/>
      </c>
      <c r="AN96" s="75">
        <f>$C96*INDEX(Curves!$AQ$8:$AQ$68,AN$4-$B96+1)</f>
        <v/>
      </c>
      <c r="AO96" s="75">
        <f>$C96*INDEX(Curves!$AQ$8:$AQ$68,AO$4-$B96+1)</f>
        <v/>
      </c>
      <c r="AP96" s="75">
        <f>$C96*INDEX(Curves!$AQ$8:$AQ$68,AP$4-$B96+1)</f>
        <v/>
      </c>
      <c r="AQ96" s="75">
        <f>$C96*INDEX(Curves!$AQ$8:$AQ$68,AQ$4-$B96+1)</f>
        <v/>
      </c>
      <c r="AR96" s="75">
        <f>$C96*INDEX(Curves!$AQ$8:$AQ$68,AR$4-$B96+1)</f>
        <v/>
      </c>
      <c r="AS96" s="75">
        <f>$C96*INDEX(Curves!$AQ$8:$AQ$68,AS$4-$B96+1)</f>
        <v/>
      </c>
      <c r="AT96" s="75">
        <f>$C96*INDEX(Curves!$AQ$8:$AQ$68,AT$4-$B96+1)</f>
        <v/>
      </c>
      <c r="AU96" s="75">
        <f>$C96*INDEX(Curves!$AQ$8:$AQ$68,AU$4-$B96+1)</f>
        <v/>
      </c>
      <c r="AV96" s="75">
        <f>$C96*INDEX(Curves!$AQ$8:$AQ$68,AV$4-$B96+1)</f>
        <v/>
      </c>
      <c r="AW96" s="75">
        <f>$C96*INDEX(Curves!$AQ$8:$AQ$68,AW$4-$B96+1)</f>
        <v/>
      </c>
      <c r="AX96" s="75">
        <f>$C96*INDEX(Curves!$AQ$8:$AQ$68,AX$4-$B96+1)</f>
        <v/>
      </c>
      <c r="AY96" s="75">
        <f>$C96*INDEX(Curves!$AQ$8:$AQ$68,AY$4-$B96+1)</f>
        <v/>
      </c>
      <c r="AZ96" s="75">
        <f>$C96*INDEX(Curves!$AQ$8:$AQ$68,AZ$4-$B96+1)</f>
        <v/>
      </c>
      <c r="BA96" s="75">
        <f>$C96*INDEX(Curves!$AQ$8:$AQ$68,BA$4-$B96+1)</f>
        <v/>
      </c>
      <c r="BB96" s="75">
        <f>$C96*INDEX(Curves!$AQ$8:$AQ$68,BB$4-$B96+1)</f>
        <v/>
      </c>
      <c r="BC96" s="75">
        <f>$C96*INDEX(Curves!$AQ$8:$AQ$68,BC$4-$B96+1)</f>
        <v/>
      </c>
      <c r="BD96" s="75">
        <f>$C96*INDEX(Curves!$AQ$8:$AQ$68,BD$4-$B96+1)</f>
        <v/>
      </c>
      <c r="BE96" s="75">
        <f>$C96*INDEX(Curves!$AQ$8:$AQ$68,BE$4-$B96+1)</f>
        <v/>
      </c>
      <c r="BF96" s="75">
        <f>$C96*INDEX(Curves!$AQ$8:$AQ$68,BF$4-$B96+1)</f>
        <v/>
      </c>
      <c r="BG96" s="75">
        <f>$C96*INDEX(Curves!$AQ$8:$AQ$68,BG$4-$B96+1)</f>
        <v/>
      </c>
      <c r="BH96" s="75">
        <f>$C96*INDEX(Curves!$AQ$8:$AQ$68,BH$4-$B96+1)</f>
        <v/>
      </c>
      <c r="BI96" s="75">
        <f>$C96*INDEX(Curves!$AQ$8:$AQ$68,BI$4-$B96+1)</f>
        <v/>
      </c>
      <c r="BJ96" s="75">
        <f>$C96*INDEX(Curves!$AQ$8:$AQ$68,BJ$4-$B96+1)</f>
        <v/>
      </c>
      <c r="BK96" s="75">
        <f>$C96*INDEX(Curves!$AQ$8:$AQ$68,BK$4-$B96+1)</f>
        <v/>
      </c>
      <c r="BL96" s="75">
        <f>$C96*INDEX(Curves!$AQ$8:$AQ$68,BL$4-$B96+1)</f>
        <v/>
      </c>
    </row>
    <row r="97">
      <c r="A97" s="74" t="inlineStr">
        <is>
          <t>Cohort month 25</t>
        </is>
      </c>
      <c r="B97" s="74" t="n">
        <v>25</v>
      </c>
      <c r="C97" s="17">
        <f>INDEX(Ops!$E$84:$BL$84,1,$B97)</f>
        <v/>
      </c>
      <c r="AD97" s="75">
        <f>$C97*INDEX(Curves!$AQ$8:$AQ$68,AD$4-$B97+1)</f>
        <v/>
      </c>
      <c r="AE97" s="75">
        <f>$C97*INDEX(Curves!$AQ$8:$AQ$68,AE$4-$B97+1)</f>
        <v/>
      </c>
      <c r="AF97" s="75">
        <f>$C97*INDEX(Curves!$AQ$8:$AQ$68,AF$4-$B97+1)</f>
        <v/>
      </c>
      <c r="AG97" s="75">
        <f>$C97*INDEX(Curves!$AQ$8:$AQ$68,AG$4-$B97+1)</f>
        <v/>
      </c>
      <c r="AH97" s="75">
        <f>$C97*INDEX(Curves!$AQ$8:$AQ$68,AH$4-$B97+1)</f>
        <v/>
      </c>
      <c r="AI97" s="75">
        <f>$C97*INDEX(Curves!$AQ$8:$AQ$68,AI$4-$B97+1)</f>
        <v/>
      </c>
      <c r="AJ97" s="75">
        <f>$C97*INDEX(Curves!$AQ$8:$AQ$68,AJ$4-$B97+1)</f>
        <v/>
      </c>
      <c r="AK97" s="75">
        <f>$C97*INDEX(Curves!$AQ$8:$AQ$68,AK$4-$B97+1)</f>
        <v/>
      </c>
      <c r="AL97" s="75">
        <f>$C97*INDEX(Curves!$AQ$8:$AQ$68,AL$4-$B97+1)</f>
        <v/>
      </c>
      <c r="AM97" s="75">
        <f>$C97*INDEX(Curves!$AQ$8:$AQ$68,AM$4-$B97+1)</f>
        <v/>
      </c>
      <c r="AN97" s="75">
        <f>$C97*INDEX(Curves!$AQ$8:$AQ$68,AN$4-$B97+1)</f>
        <v/>
      </c>
      <c r="AO97" s="75">
        <f>$C97*INDEX(Curves!$AQ$8:$AQ$68,AO$4-$B97+1)</f>
        <v/>
      </c>
      <c r="AP97" s="75">
        <f>$C97*INDEX(Curves!$AQ$8:$AQ$68,AP$4-$B97+1)</f>
        <v/>
      </c>
      <c r="AQ97" s="75">
        <f>$C97*INDEX(Curves!$AQ$8:$AQ$68,AQ$4-$B97+1)</f>
        <v/>
      </c>
      <c r="AR97" s="75">
        <f>$C97*INDEX(Curves!$AQ$8:$AQ$68,AR$4-$B97+1)</f>
        <v/>
      </c>
      <c r="AS97" s="75">
        <f>$C97*INDEX(Curves!$AQ$8:$AQ$68,AS$4-$B97+1)</f>
        <v/>
      </c>
      <c r="AT97" s="75">
        <f>$C97*INDEX(Curves!$AQ$8:$AQ$68,AT$4-$B97+1)</f>
        <v/>
      </c>
      <c r="AU97" s="75">
        <f>$C97*INDEX(Curves!$AQ$8:$AQ$68,AU$4-$B97+1)</f>
        <v/>
      </c>
      <c r="AV97" s="75">
        <f>$C97*INDEX(Curves!$AQ$8:$AQ$68,AV$4-$B97+1)</f>
        <v/>
      </c>
      <c r="AW97" s="75">
        <f>$C97*INDEX(Curves!$AQ$8:$AQ$68,AW$4-$B97+1)</f>
        <v/>
      </c>
      <c r="AX97" s="75">
        <f>$C97*INDEX(Curves!$AQ$8:$AQ$68,AX$4-$B97+1)</f>
        <v/>
      </c>
      <c r="AY97" s="75">
        <f>$C97*INDEX(Curves!$AQ$8:$AQ$68,AY$4-$B97+1)</f>
        <v/>
      </c>
      <c r="AZ97" s="75">
        <f>$C97*INDEX(Curves!$AQ$8:$AQ$68,AZ$4-$B97+1)</f>
        <v/>
      </c>
      <c r="BA97" s="75">
        <f>$C97*INDEX(Curves!$AQ$8:$AQ$68,BA$4-$B97+1)</f>
        <v/>
      </c>
      <c r="BB97" s="75">
        <f>$C97*INDEX(Curves!$AQ$8:$AQ$68,BB$4-$B97+1)</f>
        <v/>
      </c>
      <c r="BC97" s="75">
        <f>$C97*INDEX(Curves!$AQ$8:$AQ$68,BC$4-$B97+1)</f>
        <v/>
      </c>
      <c r="BD97" s="75">
        <f>$C97*INDEX(Curves!$AQ$8:$AQ$68,BD$4-$B97+1)</f>
        <v/>
      </c>
      <c r="BE97" s="75">
        <f>$C97*INDEX(Curves!$AQ$8:$AQ$68,BE$4-$B97+1)</f>
        <v/>
      </c>
      <c r="BF97" s="75">
        <f>$C97*INDEX(Curves!$AQ$8:$AQ$68,BF$4-$B97+1)</f>
        <v/>
      </c>
      <c r="BG97" s="75">
        <f>$C97*INDEX(Curves!$AQ$8:$AQ$68,BG$4-$B97+1)</f>
        <v/>
      </c>
      <c r="BH97" s="75">
        <f>$C97*INDEX(Curves!$AQ$8:$AQ$68,BH$4-$B97+1)</f>
        <v/>
      </c>
      <c r="BI97" s="75">
        <f>$C97*INDEX(Curves!$AQ$8:$AQ$68,BI$4-$B97+1)</f>
        <v/>
      </c>
      <c r="BJ97" s="75">
        <f>$C97*INDEX(Curves!$AQ$8:$AQ$68,BJ$4-$B97+1)</f>
        <v/>
      </c>
      <c r="BK97" s="75">
        <f>$C97*INDEX(Curves!$AQ$8:$AQ$68,BK$4-$B97+1)</f>
        <v/>
      </c>
      <c r="BL97" s="75">
        <f>$C97*INDEX(Curves!$AQ$8:$AQ$68,BL$4-$B97+1)</f>
        <v/>
      </c>
    </row>
    <row r="98">
      <c r="A98" s="74" t="inlineStr">
        <is>
          <t>Cohort month 26</t>
        </is>
      </c>
      <c r="B98" s="74" t="n">
        <v>26</v>
      </c>
      <c r="C98" s="17">
        <f>INDEX(Ops!$E$84:$BL$84,1,$B98)</f>
        <v/>
      </c>
      <c r="AE98" s="75">
        <f>$C98*INDEX(Curves!$AQ$8:$AQ$68,AE$4-$B98+1)</f>
        <v/>
      </c>
      <c r="AF98" s="75">
        <f>$C98*INDEX(Curves!$AQ$8:$AQ$68,AF$4-$B98+1)</f>
        <v/>
      </c>
      <c r="AG98" s="75">
        <f>$C98*INDEX(Curves!$AQ$8:$AQ$68,AG$4-$B98+1)</f>
        <v/>
      </c>
      <c r="AH98" s="75">
        <f>$C98*INDEX(Curves!$AQ$8:$AQ$68,AH$4-$B98+1)</f>
        <v/>
      </c>
      <c r="AI98" s="75">
        <f>$C98*INDEX(Curves!$AQ$8:$AQ$68,AI$4-$B98+1)</f>
        <v/>
      </c>
      <c r="AJ98" s="75">
        <f>$C98*INDEX(Curves!$AQ$8:$AQ$68,AJ$4-$B98+1)</f>
        <v/>
      </c>
      <c r="AK98" s="75">
        <f>$C98*INDEX(Curves!$AQ$8:$AQ$68,AK$4-$B98+1)</f>
        <v/>
      </c>
      <c r="AL98" s="75">
        <f>$C98*INDEX(Curves!$AQ$8:$AQ$68,AL$4-$B98+1)</f>
        <v/>
      </c>
      <c r="AM98" s="75">
        <f>$C98*INDEX(Curves!$AQ$8:$AQ$68,AM$4-$B98+1)</f>
        <v/>
      </c>
      <c r="AN98" s="75">
        <f>$C98*INDEX(Curves!$AQ$8:$AQ$68,AN$4-$B98+1)</f>
        <v/>
      </c>
      <c r="AO98" s="75">
        <f>$C98*INDEX(Curves!$AQ$8:$AQ$68,AO$4-$B98+1)</f>
        <v/>
      </c>
      <c r="AP98" s="75">
        <f>$C98*INDEX(Curves!$AQ$8:$AQ$68,AP$4-$B98+1)</f>
        <v/>
      </c>
      <c r="AQ98" s="75">
        <f>$C98*INDEX(Curves!$AQ$8:$AQ$68,AQ$4-$B98+1)</f>
        <v/>
      </c>
      <c r="AR98" s="75">
        <f>$C98*INDEX(Curves!$AQ$8:$AQ$68,AR$4-$B98+1)</f>
        <v/>
      </c>
      <c r="AS98" s="75">
        <f>$C98*INDEX(Curves!$AQ$8:$AQ$68,AS$4-$B98+1)</f>
        <v/>
      </c>
      <c r="AT98" s="75">
        <f>$C98*INDEX(Curves!$AQ$8:$AQ$68,AT$4-$B98+1)</f>
        <v/>
      </c>
      <c r="AU98" s="75">
        <f>$C98*INDEX(Curves!$AQ$8:$AQ$68,AU$4-$B98+1)</f>
        <v/>
      </c>
      <c r="AV98" s="75">
        <f>$C98*INDEX(Curves!$AQ$8:$AQ$68,AV$4-$B98+1)</f>
        <v/>
      </c>
      <c r="AW98" s="75">
        <f>$C98*INDEX(Curves!$AQ$8:$AQ$68,AW$4-$B98+1)</f>
        <v/>
      </c>
      <c r="AX98" s="75">
        <f>$C98*INDEX(Curves!$AQ$8:$AQ$68,AX$4-$B98+1)</f>
        <v/>
      </c>
      <c r="AY98" s="75">
        <f>$C98*INDEX(Curves!$AQ$8:$AQ$68,AY$4-$B98+1)</f>
        <v/>
      </c>
      <c r="AZ98" s="75">
        <f>$C98*INDEX(Curves!$AQ$8:$AQ$68,AZ$4-$B98+1)</f>
        <v/>
      </c>
      <c r="BA98" s="75">
        <f>$C98*INDEX(Curves!$AQ$8:$AQ$68,BA$4-$B98+1)</f>
        <v/>
      </c>
      <c r="BB98" s="75">
        <f>$C98*INDEX(Curves!$AQ$8:$AQ$68,BB$4-$B98+1)</f>
        <v/>
      </c>
      <c r="BC98" s="75">
        <f>$C98*INDEX(Curves!$AQ$8:$AQ$68,BC$4-$B98+1)</f>
        <v/>
      </c>
      <c r="BD98" s="75">
        <f>$C98*INDEX(Curves!$AQ$8:$AQ$68,BD$4-$B98+1)</f>
        <v/>
      </c>
      <c r="BE98" s="75">
        <f>$C98*INDEX(Curves!$AQ$8:$AQ$68,BE$4-$B98+1)</f>
        <v/>
      </c>
      <c r="BF98" s="75">
        <f>$C98*INDEX(Curves!$AQ$8:$AQ$68,BF$4-$B98+1)</f>
        <v/>
      </c>
      <c r="BG98" s="75">
        <f>$C98*INDEX(Curves!$AQ$8:$AQ$68,BG$4-$B98+1)</f>
        <v/>
      </c>
      <c r="BH98" s="75">
        <f>$C98*INDEX(Curves!$AQ$8:$AQ$68,BH$4-$B98+1)</f>
        <v/>
      </c>
      <c r="BI98" s="75">
        <f>$C98*INDEX(Curves!$AQ$8:$AQ$68,BI$4-$B98+1)</f>
        <v/>
      </c>
      <c r="BJ98" s="75">
        <f>$C98*INDEX(Curves!$AQ$8:$AQ$68,BJ$4-$B98+1)</f>
        <v/>
      </c>
      <c r="BK98" s="75">
        <f>$C98*INDEX(Curves!$AQ$8:$AQ$68,BK$4-$B98+1)</f>
        <v/>
      </c>
      <c r="BL98" s="75">
        <f>$C98*INDEX(Curves!$AQ$8:$AQ$68,BL$4-$B98+1)</f>
        <v/>
      </c>
    </row>
    <row r="99">
      <c r="A99" s="74" t="inlineStr">
        <is>
          <t>Cohort month 27</t>
        </is>
      </c>
      <c r="B99" s="74" t="n">
        <v>27</v>
      </c>
      <c r="C99" s="17">
        <f>INDEX(Ops!$E$84:$BL$84,1,$B99)</f>
        <v/>
      </c>
      <c r="AF99" s="75">
        <f>$C99*INDEX(Curves!$AQ$8:$AQ$68,AF$4-$B99+1)</f>
        <v/>
      </c>
      <c r="AG99" s="75">
        <f>$C99*INDEX(Curves!$AQ$8:$AQ$68,AG$4-$B99+1)</f>
        <v/>
      </c>
      <c r="AH99" s="75">
        <f>$C99*INDEX(Curves!$AQ$8:$AQ$68,AH$4-$B99+1)</f>
        <v/>
      </c>
      <c r="AI99" s="75">
        <f>$C99*INDEX(Curves!$AQ$8:$AQ$68,AI$4-$B99+1)</f>
        <v/>
      </c>
      <c r="AJ99" s="75">
        <f>$C99*INDEX(Curves!$AQ$8:$AQ$68,AJ$4-$B99+1)</f>
        <v/>
      </c>
      <c r="AK99" s="75">
        <f>$C99*INDEX(Curves!$AQ$8:$AQ$68,AK$4-$B99+1)</f>
        <v/>
      </c>
      <c r="AL99" s="75">
        <f>$C99*INDEX(Curves!$AQ$8:$AQ$68,AL$4-$B99+1)</f>
        <v/>
      </c>
      <c r="AM99" s="75">
        <f>$C99*INDEX(Curves!$AQ$8:$AQ$68,AM$4-$B99+1)</f>
        <v/>
      </c>
      <c r="AN99" s="75">
        <f>$C99*INDEX(Curves!$AQ$8:$AQ$68,AN$4-$B99+1)</f>
        <v/>
      </c>
      <c r="AO99" s="75">
        <f>$C99*INDEX(Curves!$AQ$8:$AQ$68,AO$4-$B99+1)</f>
        <v/>
      </c>
      <c r="AP99" s="75">
        <f>$C99*INDEX(Curves!$AQ$8:$AQ$68,AP$4-$B99+1)</f>
        <v/>
      </c>
      <c r="AQ99" s="75">
        <f>$C99*INDEX(Curves!$AQ$8:$AQ$68,AQ$4-$B99+1)</f>
        <v/>
      </c>
      <c r="AR99" s="75">
        <f>$C99*INDEX(Curves!$AQ$8:$AQ$68,AR$4-$B99+1)</f>
        <v/>
      </c>
      <c r="AS99" s="75">
        <f>$C99*INDEX(Curves!$AQ$8:$AQ$68,AS$4-$B99+1)</f>
        <v/>
      </c>
      <c r="AT99" s="75">
        <f>$C99*INDEX(Curves!$AQ$8:$AQ$68,AT$4-$B99+1)</f>
        <v/>
      </c>
      <c r="AU99" s="75">
        <f>$C99*INDEX(Curves!$AQ$8:$AQ$68,AU$4-$B99+1)</f>
        <v/>
      </c>
      <c r="AV99" s="75">
        <f>$C99*INDEX(Curves!$AQ$8:$AQ$68,AV$4-$B99+1)</f>
        <v/>
      </c>
      <c r="AW99" s="75">
        <f>$C99*INDEX(Curves!$AQ$8:$AQ$68,AW$4-$B99+1)</f>
        <v/>
      </c>
      <c r="AX99" s="75">
        <f>$C99*INDEX(Curves!$AQ$8:$AQ$68,AX$4-$B99+1)</f>
        <v/>
      </c>
      <c r="AY99" s="75">
        <f>$C99*INDEX(Curves!$AQ$8:$AQ$68,AY$4-$B99+1)</f>
        <v/>
      </c>
      <c r="AZ99" s="75">
        <f>$C99*INDEX(Curves!$AQ$8:$AQ$68,AZ$4-$B99+1)</f>
        <v/>
      </c>
      <c r="BA99" s="75">
        <f>$C99*INDEX(Curves!$AQ$8:$AQ$68,BA$4-$B99+1)</f>
        <v/>
      </c>
      <c r="BB99" s="75">
        <f>$C99*INDEX(Curves!$AQ$8:$AQ$68,BB$4-$B99+1)</f>
        <v/>
      </c>
      <c r="BC99" s="75">
        <f>$C99*INDEX(Curves!$AQ$8:$AQ$68,BC$4-$B99+1)</f>
        <v/>
      </c>
      <c r="BD99" s="75">
        <f>$C99*INDEX(Curves!$AQ$8:$AQ$68,BD$4-$B99+1)</f>
        <v/>
      </c>
      <c r="BE99" s="75">
        <f>$C99*INDEX(Curves!$AQ$8:$AQ$68,BE$4-$B99+1)</f>
        <v/>
      </c>
      <c r="BF99" s="75">
        <f>$C99*INDEX(Curves!$AQ$8:$AQ$68,BF$4-$B99+1)</f>
        <v/>
      </c>
      <c r="BG99" s="75">
        <f>$C99*INDEX(Curves!$AQ$8:$AQ$68,BG$4-$B99+1)</f>
        <v/>
      </c>
      <c r="BH99" s="75">
        <f>$C99*INDEX(Curves!$AQ$8:$AQ$68,BH$4-$B99+1)</f>
        <v/>
      </c>
      <c r="BI99" s="75">
        <f>$C99*INDEX(Curves!$AQ$8:$AQ$68,BI$4-$B99+1)</f>
        <v/>
      </c>
      <c r="BJ99" s="75">
        <f>$C99*INDEX(Curves!$AQ$8:$AQ$68,BJ$4-$B99+1)</f>
        <v/>
      </c>
      <c r="BK99" s="75">
        <f>$C99*INDEX(Curves!$AQ$8:$AQ$68,BK$4-$B99+1)</f>
        <v/>
      </c>
      <c r="BL99" s="75">
        <f>$C99*INDEX(Curves!$AQ$8:$AQ$68,BL$4-$B99+1)</f>
        <v/>
      </c>
    </row>
    <row r="100">
      <c r="A100" s="74" t="inlineStr">
        <is>
          <t>Cohort month 28</t>
        </is>
      </c>
      <c r="B100" s="74" t="n">
        <v>28</v>
      </c>
      <c r="C100" s="17">
        <f>INDEX(Ops!$E$84:$BL$84,1,$B100)</f>
        <v/>
      </c>
      <c r="AG100" s="75">
        <f>$C100*INDEX(Curves!$AQ$8:$AQ$68,AG$4-$B100+1)</f>
        <v/>
      </c>
      <c r="AH100" s="75">
        <f>$C100*INDEX(Curves!$AQ$8:$AQ$68,AH$4-$B100+1)</f>
        <v/>
      </c>
      <c r="AI100" s="75">
        <f>$C100*INDEX(Curves!$AQ$8:$AQ$68,AI$4-$B100+1)</f>
        <v/>
      </c>
      <c r="AJ100" s="75">
        <f>$C100*INDEX(Curves!$AQ$8:$AQ$68,AJ$4-$B100+1)</f>
        <v/>
      </c>
      <c r="AK100" s="75">
        <f>$C100*INDEX(Curves!$AQ$8:$AQ$68,AK$4-$B100+1)</f>
        <v/>
      </c>
      <c r="AL100" s="75">
        <f>$C100*INDEX(Curves!$AQ$8:$AQ$68,AL$4-$B100+1)</f>
        <v/>
      </c>
      <c r="AM100" s="75">
        <f>$C100*INDEX(Curves!$AQ$8:$AQ$68,AM$4-$B100+1)</f>
        <v/>
      </c>
      <c r="AN100" s="75">
        <f>$C100*INDEX(Curves!$AQ$8:$AQ$68,AN$4-$B100+1)</f>
        <v/>
      </c>
      <c r="AO100" s="75">
        <f>$C100*INDEX(Curves!$AQ$8:$AQ$68,AO$4-$B100+1)</f>
        <v/>
      </c>
      <c r="AP100" s="75">
        <f>$C100*INDEX(Curves!$AQ$8:$AQ$68,AP$4-$B100+1)</f>
        <v/>
      </c>
      <c r="AQ100" s="75">
        <f>$C100*INDEX(Curves!$AQ$8:$AQ$68,AQ$4-$B100+1)</f>
        <v/>
      </c>
      <c r="AR100" s="75">
        <f>$C100*INDEX(Curves!$AQ$8:$AQ$68,AR$4-$B100+1)</f>
        <v/>
      </c>
      <c r="AS100" s="75">
        <f>$C100*INDEX(Curves!$AQ$8:$AQ$68,AS$4-$B100+1)</f>
        <v/>
      </c>
      <c r="AT100" s="75">
        <f>$C100*INDEX(Curves!$AQ$8:$AQ$68,AT$4-$B100+1)</f>
        <v/>
      </c>
      <c r="AU100" s="75">
        <f>$C100*INDEX(Curves!$AQ$8:$AQ$68,AU$4-$B100+1)</f>
        <v/>
      </c>
      <c r="AV100" s="75">
        <f>$C100*INDEX(Curves!$AQ$8:$AQ$68,AV$4-$B100+1)</f>
        <v/>
      </c>
      <c r="AW100" s="75">
        <f>$C100*INDEX(Curves!$AQ$8:$AQ$68,AW$4-$B100+1)</f>
        <v/>
      </c>
      <c r="AX100" s="75">
        <f>$C100*INDEX(Curves!$AQ$8:$AQ$68,AX$4-$B100+1)</f>
        <v/>
      </c>
      <c r="AY100" s="75">
        <f>$C100*INDEX(Curves!$AQ$8:$AQ$68,AY$4-$B100+1)</f>
        <v/>
      </c>
      <c r="AZ100" s="75">
        <f>$C100*INDEX(Curves!$AQ$8:$AQ$68,AZ$4-$B100+1)</f>
        <v/>
      </c>
      <c r="BA100" s="75">
        <f>$C100*INDEX(Curves!$AQ$8:$AQ$68,BA$4-$B100+1)</f>
        <v/>
      </c>
      <c r="BB100" s="75">
        <f>$C100*INDEX(Curves!$AQ$8:$AQ$68,BB$4-$B100+1)</f>
        <v/>
      </c>
      <c r="BC100" s="75">
        <f>$C100*INDEX(Curves!$AQ$8:$AQ$68,BC$4-$B100+1)</f>
        <v/>
      </c>
      <c r="BD100" s="75">
        <f>$C100*INDEX(Curves!$AQ$8:$AQ$68,BD$4-$B100+1)</f>
        <v/>
      </c>
      <c r="BE100" s="75">
        <f>$C100*INDEX(Curves!$AQ$8:$AQ$68,BE$4-$B100+1)</f>
        <v/>
      </c>
      <c r="BF100" s="75">
        <f>$C100*INDEX(Curves!$AQ$8:$AQ$68,BF$4-$B100+1)</f>
        <v/>
      </c>
      <c r="BG100" s="75">
        <f>$C100*INDEX(Curves!$AQ$8:$AQ$68,BG$4-$B100+1)</f>
        <v/>
      </c>
      <c r="BH100" s="75">
        <f>$C100*INDEX(Curves!$AQ$8:$AQ$68,BH$4-$B100+1)</f>
        <v/>
      </c>
      <c r="BI100" s="75">
        <f>$C100*INDEX(Curves!$AQ$8:$AQ$68,BI$4-$B100+1)</f>
        <v/>
      </c>
      <c r="BJ100" s="75">
        <f>$C100*INDEX(Curves!$AQ$8:$AQ$68,BJ$4-$B100+1)</f>
        <v/>
      </c>
      <c r="BK100" s="75">
        <f>$C100*INDEX(Curves!$AQ$8:$AQ$68,BK$4-$B100+1)</f>
        <v/>
      </c>
      <c r="BL100" s="75">
        <f>$C100*INDEX(Curves!$AQ$8:$AQ$68,BL$4-$B100+1)</f>
        <v/>
      </c>
    </row>
    <row r="101">
      <c r="A101" s="74" t="inlineStr">
        <is>
          <t>Cohort month 29</t>
        </is>
      </c>
      <c r="B101" s="74" t="n">
        <v>29</v>
      </c>
      <c r="C101" s="17">
        <f>INDEX(Ops!$E$84:$BL$84,1,$B101)</f>
        <v/>
      </c>
      <c r="AH101" s="75">
        <f>$C101*INDEX(Curves!$AQ$8:$AQ$68,AH$4-$B101+1)</f>
        <v/>
      </c>
      <c r="AI101" s="75">
        <f>$C101*INDEX(Curves!$AQ$8:$AQ$68,AI$4-$B101+1)</f>
        <v/>
      </c>
      <c r="AJ101" s="75">
        <f>$C101*INDEX(Curves!$AQ$8:$AQ$68,AJ$4-$B101+1)</f>
        <v/>
      </c>
      <c r="AK101" s="75">
        <f>$C101*INDEX(Curves!$AQ$8:$AQ$68,AK$4-$B101+1)</f>
        <v/>
      </c>
      <c r="AL101" s="75">
        <f>$C101*INDEX(Curves!$AQ$8:$AQ$68,AL$4-$B101+1)</f>
        <v/>
      </c>
      <c r="AM101" s="75">
        <f>$C101*INDEX(Curves!$AQ$8:$AQ$68,AM$4-$B101+1)</f>
        <v/>
      </c>
      <c r="AN101" s="75">
        <f>$C101*INDEX(Curves!$AQ$8:$AQ$68,AN$4-$B101+1)</f>
        <v/>
      </c>
      <c r="AO101" s="75">
        <f>$C101*INDEX(Curves!$AQ$8:$AQ$68,AO$4-$B101+1)</f>
        <v/>
      </c>
      <c r="AP101" s="75">
        <f>$C101*INDEX(Curves!$AQ$8:$AQ$68,AP$4-$B101+1)</f>
        <v/>
      </c>
      <c r="AQ101" s="75">
        <f>$C101*INDEX(Curves!$AQ$8:$AQ$68,AQ$4-$B101+1)</f>
        <v/>
      </c>
      <c r="AR101" s="75">
        <f>$C101*INDEX(Curves!$AQ$8:$AQ$68,AR$4-$B101+1)</f>
        <v/>
      </c>
      <c r="AS101" s="75">
        <f>$C101*INDEX(Curves!$AQ$8:$AQ$68,AS$4-$B101+1)</f>
        <v/>
      </c>
      <c r="AT101" s="75">
        <f>$C101*INDEX(Curves!$AQ$8:$AQ$68,AT$4-$B101+1)</f>
        <v/>
      </c>
      <c r="AU101" s="75">
        <f>$C101*INDEX(Curves!$AQ$8:$AQ$68,AU$4-$B101+1)</f>
        <v/>
      </c>
      <c r="AV101" s="75">
        <f>$C101*INDEX(Curves!$AQ$8:$AQ$68,AV$4-$B101+1)</f>
        <v/>
      </c>
      <c r="AW101" s="75">
        <f>$C101*INDEX(Curves!$AQ$8:$AQ$68,AW$4-$B101+1)</f>
        <v/>
      </c>
      <c r="AX101" s="75">
        <f>$C101*INDEX(Curves!$AQ$8:$AQ$68,AX$4-$B101+1)</f>
        <v/>
      </c>
      <c r="AY101" s="75">
        <f>$C101*INDEX(Curves!$AQ$8:$AQ$68,AY$4-$B101+1)</f>
        <v/>
      </c>
      <c r="AZ101" s="75">
        <f>$C101*INDEX(Curves!$AQ$8:$AQ$68,AZ$4-$B101+1)</f>
        <v/>
      </c>
      <c r="BA101" s="75">
        <f>$C101*INDEX(Curves!$AQ$8:$AQ$68,BA$4-$B101+1)</f>
        <v/>
      </c>
      <c r="BB101" s="75">
        <f>$C101*INDEX(Curves!$AQ$8:$AQ$68,BB$4-$B101+1)</f>
        <v/>
      </c>
      <c r="BC101" s="75">
        <f>$C101*INDEX(Curves!$AQ$8:$AQ$68,BC$4-$B101+1)</f>
        <v/>
      </c>
      <c r="BD101" s="75">
        <f>$C101*INDEX(Curves!$AQ$8:$AQ$68,BD$4-$B101+1)</f>
        <v/>
      </c>
      <c r="BE101" s="75">
        <f>$C101*INDEX(Curves!$AQ$8:$AQ$68,BE$4-$B101+1)</f>
        <v/>
      </c>
      <c r="BF101" s="75">
        <f>$C101*INDEX(Curves!$AQ$8:$AQ$68,BF$4-$B101+1)</f>
        <v/>
      </c>
      <c r="BG101" s="75">
        <f>$C101*INDEX(Curves!$AQ$8:$AQ$68,BG$4-$B101+1)</f>
        <v/>
      </c>
      <c r="BH101" s="75">
        <f>$C101*INDEX(Curves!$AQ$8:$AQ$68,BH$4-$B101+1)</f>
        <v/>
      </c>
      <c r="BI101" s="75">
        <f>$C101*INDEX(Curves!$AQ$8:$AQ$68,BI$4-$B101+1)</f>
        <v/>
      </c>
      <c r="BJ101" s="75">
        <f>$C101*INDEX(Curves!$AQ$8:$AQ$68,BJ$4-$B101+1)</f>
        <v/>
      </c>
      <c r="BK101" s="75">
        <f>$C101*INDEX(Curves!$AQ$8:$AQ$68,BK$4-$B101+1)</f>
        <v/>
      </c>
      <c r="BL101" s="75">
        <f>$C101*INDEX(Curves!$AQ$8:$AQ$68,BL$4-$B101+1)</f>
        <v/>
      </c>
    </row>
    <row r="102">
      <c r="A102" s="74" t="inlineStr">
        <is>
          <t>Cohort month 30</t>
        </is>
      </c>
      <c r="B102" s="74" t="n">
        <v>30</v>
      </c>
      <c r="C102" s="17">
        <f>INDEX(Ops!$E$84:$BL$84,1,$B102)</f>
        <v/>
      </c>
      <c r="AI102" s="75">
        <f>$C102*INDEX(Curves!$AQ$8:$AQ$68,AI$4-$B102+1)</f>
        <v/>
      </c>
      <c r="AJ102" s="75">
        <f>$C102*INDEX(Curves!$AQ$8:$AQ$68,AJ$4-$B102+1)</f>
        <v/>
      </c>
      <c r="AK102" s="75">
        <f>$C102*INDEX(Curves!$AQ$8:$AQ$68,AK$4-$B102+1)</f>
        <v/>
      </c>
      <c r="AL102" s="75">
        <f>$C102*INDEX(Curves!$AQ$8:$AQ$68,AL$4-$B102+1)</f>
        <v/>
      </c>
      <c r="AM102" s="75">
        <f>$C102*INDEX(Curves!$AQ$8:$AQ$68,AM$4-$B102+1)</f>
        <v/>
      </c>
      <c r="AN102" s="75">
        <f>$C102*INDEX(Curves!$AQ$8:$AQ$68,AN$4-$B102+1)</f>
        <v/>
      </c>
      <c r="AO102" s="75">
        <f>$C102*INDEX(Curves!$AQ$8:$AQ$68,AO$4-$B102+1)</f>
        <v/>
      </c>
      <c r="AP102" s="75">
        <f>$C102*INDEX(Curves!$AQ$8:$AQ$68,AP$4-$B102+1)</f>
        <v/>
      </c>
      <c r="AQ102" s="75">
        <f>$C102*INDEX(Curves!$AQ$8:$AQ$68,AQ$4-$B102+1)</f>
        <v/>
      </c>
      <c r="AR102" s="75">
        <f>$C102*INDEX(Curves!$AQ$8:$AQ$68,AR$4-$B102+1)</f>
        <v/>
      </c>
      <c r="AS102" s="75">
        <f>$C102*INDEX(Curves!$AQ$8:$AQ$68,AS$4-$B102+1)</f>
        <v/>
      </c>
      <c r="AT102" s="75">
        <f>$C102*INDEX(Curves!$AQ$8:$AQ$68,AT$4-$B102+1)</f>
        <v/>
      </c>
      <c r="AU102" s="75">
        <f>$C102*INDEX(Curves!$AQ$8:$AQ$68,AU$4-$B102+1)</f>
        <v/>
      </c>
      <c r="AV102" s="75">
        <f>$C102*INDEX(Curves!$AQ$8:$AQ$68,AV$4-$B102+1)</f>
        <v/>
      </c>
      <c r="AW102" s="75">
        <f>$C102*INDEX(Curves!$AQ$8:$AQ$68,AW$4-$B102+1)</f>
        <v/>
      </c>
      <c r="AX102" s="75">
        <f>$C102*INDEX(Curves!$AQ$8:$AQ$68,AX$4-$B102+1)</f>
        <v/>
      </c>
      <c r="AY102" s="75">
        <f>$C102*INDEX(Curves!$AQ$8:$AQ$68,AY$4-$B102+1)</f>
        <v/>
      </c>
      <c r="AZ102" s="75">
        <f>$C102*INDEX(Curves!$AQ$8:$AQ$68,AZ$4-$B102+1)</f>
        <v/>
      </c>
      <c r="BA102" s="75">
        <f>$C102*INDEX(Curves!$AQ$8:$AQ$68,BA$4-$B102+1)</f>
        <v/>
      </c>
      <c r="BB102" s="75">
        <f>$C102*INDEX(Curves!$AQ$8:$AQ$68,BB$4-$B102+1)</f>
        <v/>
      </c>
      <c r="BC102" s="75">
        <f>$C102*INDEX(Curves!$AQ$8:$AQ$68,BC$4-$B102+1)</f>
        <v/>
      </c>
      <c r="BD102" s="75">
        <f>$C102*INDEX(Curves!$AQ$8:$AQ$68,BD$4-$B102+1)</f>
        <v/>
      </c>
      <c r="BE102" s="75">
        <f>$C102*INDEX(Curves!$AQ$8:$AQ$68,BE$4-$B102+1)</f>
        <v/>
      </c>
      <c r="BF102" s="75">
        <f>$C102*INDEX(Curves!$AQ$8:$AQ$68,BF$4-$B102+1)</f>
        <v/>
      </c>
      <c r="BG102" s="75">
        <f>$C102*INDEX(Curves!$AQ$8:$AQ$68,BG$4-$B102+1)</f>
        <v/>
      </c>
      <c r="BH102" s="75">
        <f>$C102*INDEX(Curves!$AQ$8:$AQ$68,BH$4-$B102+1)</f>
        <v/>
      </c>
      <c r="BI102" s="75">
        <f>$C102*INDEX(Curves!$AQ$8:$AQ$68,BI$4-$B102+1)</f>
        <v/>
      </c>
      <c r="BJ102" s="75">
        <f>$C102*INDEX(Curves!$AQ$8:$AQ$68,BJ$4-$B102+1)</f>
        <v/>
      </c>
      <c r="BK102" s="75">
        <f>$C102*INDEX(Curves!$AQ$8:$AQ$68,BK$4-$B102+1)</f>
        <v/>
      </c>
      <c r="BL102" s="75">
        <f>$C102*INDEX(Curves!$AQ$8:$AQ$68,BL$4-$B102+1)</f>
        <v/>
      </c>
    </row>
    <row r="103">
      <c r="A103" s="74" t="inlineStr">
        <is>
          <t>Cohort month 31</t>
        </is>
      </c>
      <c r="B103" s="74" t="n">
        <v>31</v>
      </c>
      <c r="C103" s="17">
        <f>INDEX(Ops!$E$84:$BL$84,1,$B103)</f>
        <v/>
      </c>
      <c r="AJ103" s="75">
        <f>$C103*INDEX(Curves!$AQ$8:$AQ$68,AJ$4-$B103+1)</f>
        <v/>
      </c>
      <c r="AK103" s="75">
        <f>$C103*INDEX(Curves!$AQ$8:$AQ$68,AK$4-$B103+1)</f>
        <v/>
      </c>
      <c r="AL103" s="75">
        <f>$C103*INDEX(Curves!$AQ$8:$AQ$68,AL$4-$B103+1)</f>
        <v/>
      </c>
      <c r="AM103" s="75">
        <f>$C103*INDEX(Curves!$AQ$8:$AQ$68,AM$4-$B103+1)</f>
        <v/>
      </c>
      <c r="AN103" s="75">
        <f>$C103*INDEX(Curves!$AQ$8:$AQ$68,AN$4-$B103+1)</f>
        <v/>
      </c>
      <c r="AO103" s="75">
        <f>$C103*INDEX(Curves!$AQ$8:$AQ$68,AO$4-$B103+1)</f>
        <v/>
      </c>
      <c r="AP103" s="75">
        <f>$C103*INDEX(Curves!$AQ$8:$AQ$68,AP$4-$B103+1)</f>
        <v/>
      </c>
      <c r="AQ103" s="75">
        <f>$C103*INDEX(Curves!$AQ$8:$AQ$68,AQ$4-$B103+1)</f>
        <v/>
      </c>
      <c r="AR103" s="75">
        <f>$C103*INDEX(Curves!$AQ$8:$AQ$68,AR$4-$B103+1)</f>
        <v/>
      </c>
      <c r="AS103" s="75">
        <f>$C103*INDEX(Curves!$AQ$8:$AQ$68,AS$4-$B103+1)</f>
        <v/>
      </c>
      <c r="AT103" s="75">
        <f>$C103*INDEX(Curves!$AQ$8:$AQ$68,AT$4-$B103+1)</f>
        <v/>
      </c>
      <c r="AU103" s="75">
        <f>$C103*INDEX(Curves!$AQ$8:$AQ$68,AU$4-$B103+1)</f>
        <v/>
      </c>
      <c r="AV103" s="75">
        <f>$C103*INDEX(Curves!$AQ$8:$AQ$68,AV$4-$B103+1)</f>
        <v/>
      </c>
      <c r="AW103" s="75">
        <f>$C103*INDEX(Curves!$AQ$8:$AQ$68,AW$4-$B103+1)</f>
        <v/>
      </c>
      <c r="AX103" s="75">
        <f>$C103*INDEX(Curves!$AQ$8:$AQ$68,AX$4-$B103+1)</f>
        <v/>
      </c>
      <c r="AY103" s="75">
        <f>$C103*INDEX(Curves!$AQ$8:$AQ$68,AY$4-$B103+1)</f>
        <v/>
      </c>
      <c r="AZ103" s="75">
        <f>$C103*INDEX(Curves!$AQ$8:$AQ$68,AZ$4-$B103+1)</f>
        <v/>
      </c>
      <c r="BA103" s="75">
        <f>$C103*INDEX(Curves!$AQ$8:$AQ$68,BA$4-$B103+1)</f>
        <v/>
      </c>
      <c r="BB103" s="75">
        <f>$C103*INDEX(Curves!$AQ$8:$AQ$68,BB$4-$B103+1)</f>
        <v/>
      </c>
      <c r="BC103" s="75">
        <f>$C103*INDEX(Curves!$AQ$8:$AQ$68,BC$4-$B103+1)</f>
        <v/>
      </c>
      <c r="BD103" s="75">
        <f>$C103*INDEX(Curves!$AQ$8:$AQ$68,BD$4-$B103+1)</f>
        <v/>
      </c>
      <c r="BE103" s="75">
        <f>$C103*INDEX(Curves!$AQ$8:$AQ$68,BE$4-$B103+1)</f>
        <v/>
      </c>
      <c r="BF103" s="75">
        <f>$C103*INDEX(Curves!$AQ$8:$AQ$68,BF$4-$B103+1)</f>
        <v/>
      </c>
      <c r="BG103" s="75">
        <f>$C103*INDEX(Curves!$AQ$8:$AQ$68,BG$4-$B103+1)</f>
        <v/>
      </c>
      <c r="BH103" s="75">
        <f>$C103*INDEX(Curves!$AQ$8:$AQ$68,BH$4-$B103+1)</f>
        <v/>
      </c>
      <c r="BI103" s="75">
        <f>$C103*INDEX(Curves!$AQ$8:$AQ$68,BI$4-$B103+1)</f>
        <v/>
      </c>
      <c r="BJ103" s="75">
        <f>$C103*INDEX(Curves!$AQ$8:$AQ$68,BJ$4-$B103+1)</f>
        <v/>
      </c>
      <c r="BK103" s="75">
        <f>$C103*INDEX(Curves!$AQ$8:$AQ$68,BK$4-$B103+1)</f>
        <v/>
      </c>
      <c r="BL103" s="75">
        <f>$C103*INDEX(Curves!$AQ$8:$AQ$68,BL$4-$B103+1)</f>
        <v/>
      </c>
    </row>
    <row r="104">
      <c r="A104" s="74" t="inlineStr">
        <is>
          <t>Cohort month 32</t>
        </is>
      </c>
      <c r="B104" s="74" t="n">
        <v>32</v>
      </c>
      <c r="C104" s="17">
        <f>INDEX(Ops!$E$84:$BL$84,1,$B104)</f>
        <v/>
      </c>
      <c r="AK104" s="75">
        <f>$C104*INDEX(Curves!$AQ$8:$AQ$68,AK$4-$B104+1)</f>
        <v/>
      </c>
      <c r="AL104" s="75">
        <f>$C104*INDEX(Curves!$AQ$8:$AQ$68,AL$4-$B104+1)</f>
        <v/>
      </c>
      <c r="AM104" s="75">
        <f>$C104*INDEX(Curves!$AQ$8:$AQ$68,AM$4-$B104+1)</f>
        <v/>
      </c>
      <c r="AN104" s="75">
        <f>$C104*INDEX(Curves!$AQ$8:$AQ$68,AN$4-$B104+1)</f>
        <v/>
      </c>
      <c r="AO104" s="75">
        <f>$C104*INDEX(Curves!$AQ$8:$AQ$68,AO$4-$B104+1)</f>
        <v/>
      </c>
      <c r="AP104" s="75">
        <f>$C104*INDEX(Curves!$AQ$8:$AQ$68,AP$4-$B104+1)</f>
        <v/>
      </c>
      <c r="AQ104" s="75">
        <f>$C104*INDEX(Curves!$AQ$8:$AQ$68,AQ$4-$B104+1)</f>
        <v/>
      </c>
      <c r="AR104" s="75">
        <f>$C104*INDEX(Curves!$AQ$8:$AQ$68,AR$4-$B104+1)</f>
        <v/>
      </c>
      <c r="AS104" s="75">
        <f>$C104*INDEX(Curves!$AQ$8:$AQ$68,AS$4-$B104+1)</f>
        <v/>
      </c>
      <c r="AT104" s="75">
        <f>$C104*INDEX(Curves!$AQ$8:$AQ$68,AT$4-$B104+1)</f>
        <v/>
      </c>
      <c r="AU104" s="75">
        <f>$C104*INDEX(Curves!$AQ$8:$AQ$68,AU$4-$B104+1)</f>
        <v/>
      </c>
      <c r="AV104" s="75">
        <f>$C104*INDEX(Curves!$AQ$8:$AQ$68,AV$4-$B104+1)</f>
        <v/>
      </c>
      <c r="AW104" s="75">
        <f>$C104*INDEX(Curves!$AQ$8:$AQ$68,AW$4-$B104+1)</f>
        <v/>
      </c>
      <c r="AX104" s="75">
        <f>$C104*INDEX(Curves!$AQ$8:$AQ$68,AX$4-$B104+1)</f>
        <v/>
      </c>
      <c r="AY104" s="75">
        <f>$C104*INDEX(Curves!$AQ$8:$AQ$68,AY$4-$B104+1)</f>
        <v/>
      </c>
      <c r="AZ104" s="75">
        <f>$C104*INDEX(Curves!$AQ$8:$AQ$68,AZ$4-$B104+1)</f>
        <v/>
      </c>
      <c r="BA104" s="75">
        <f>$C104*INDEX(Curves!$AQ$8:$AQ$68,BA$4-$B104+1)</f>
        <v/>
      </c>
      <c r="BB104" s="75">
        <f>$C104*INDEX(Curves!$AQ$8:$AQ$68,BB$4-$B104+1)</f>
        <v/>
      </c>
      <c r="BC104" s="75">
        <f>$C104*INDEX(Curves!$AQ$8:$AQ$68,BC$4-$B104+1)</f>
        <v/>
      </c>
      <c r="BD104" s="75">
        <f>$C104*INDEX(Curves!$AQ$8:$AQ$68,BD$4-$B104+1)</f>
        <v/>
      </c>
      <c r="BE104" s="75">
        <f>$C104*INDEX(Curves!$AQ$8:$AQ$68,BE$4-$B104+1)</f>
        <v/>
      </c>
      <c r="BF104" s="75">
        <f>$C104*INDEX(Curves!$AQ$8:$AQ$68,BF$4-$B104+1)</f>
        <v/>
      </c>
      <c r="BG104" s="75">
        <f>$C104*INDEX(Curves!$AQ$8:$AQ$68,BG$4-$B104+1)</f>
        <v/>
      </c>
      <c r="BH104" s="75">
        <f>$C104*INDEX(Curves!$AQ$8:$AQ$68,BH$4-$B104+1)</f>
        <v/>
      </c>
      <c r="BI104" s="75">
        <f>$C104*INDEX(Curves!$AQ$8:$AQ$68,BI$4-$B104+1)</f>
        <v/>
      </c>
      <c r="BJ104" s="75">
        <f>$C104*INDEX(Curves!$AQ$8:$AQ$68,BJ$4-$B104+1)</f>
        <v/>
      </c>
      <c r="BK104" s="75">
        <f>$C104*INDEX(Curves!$AQ$8:$AQ$68,BK$4-$B104+1)</f>
        <v/>
      </c>
      <c r="BL104" s="75">
        <f>$C104*INDEX(Curves!$AQ$8:$AQ$68,BL$4-$B104+1)</f>
        <v/>
      </c>
    </row>
    <row r="105">
      <c r="A105" s="74" t="inlineStr">
        <is>
          <t>Cohort month 33</t>
        </is>
      </c>
      <c r="B105" s="74" t="n">
        <v>33</v>
      </c>
      <c r="C105" s="17">
        <f>INDEX(Ops!$E$84:$BL$84,1,$B105)</f>
        <v/>
      </c>
      <c r="AL105" s="75">
        <f>$C105*INDEX(Curves!$AQ$8:$AQ$68,AL$4-$B105+1)</f>
        <v/>
      </c>
      <c r="AM105" s="75">
        <f>$C105*INDEX(Curves!$AQ$8:$AQ$68,AM$4-$B105+1)</f>
        <v/>
      </c>
      <c r="AN105" s="75">
        <f>$C105*INDEX(Curves!$AQ$8:$AQ$68,AN$4-$B105+1)</f>
        <v/>
      </c>
      <c r="AO105" s="75">
        <f>$C105*INDEX(Curves!$AQ$8:$AQ$68,AO$4-$B105+1)</f>
        <v/>
      </c>
      <c r="AP105" s="75">
        <f>$C105*INDEX(Curves!$AQ$8:$AQ$68,AP$4-$B105+1)</f>
        <v/>
      </c>
      <c r="AQ105" s="75">
        <f>$C105*INDEX(Curves!$AQ$8:$AQ$68,AQ$4-$B105+1)</f>
        <v/>
      </c>
      <c r="AR105" s="75">
        <f>$C105*INDEX(Curves!$AQ$8:$AQ$68,AR$4-$B105+1)</f>
        <v/>
      </c>
      <c r="AS105" s="75">
        <f>$C105*INDEX(Curves!$AQ$8:$AQ$68,AS$4-$B105+1)</f>
        <v/>
      </c>
      <c r="AT105" s="75">
        <f>$C105*INDEX(Curves!$AQ$8:$AQ$68,AT$4-$B105+1)</f>
        <v/>
      </c>
      <c r="AU105" s="75">
        <f>$C105*INDEX(Curves!$AQ$8:$AQ$68,AU$4-$B105+1)</f>
        <v/>
      </c>
      <c r="AV105" s="75">
        <f>$C105*INDEX(Curves!$AQ$8:$AQ$68,AV$4-$B105+1)</f>
        <v/>
      </c>
      <c r="AW105" s="75">
        <f>$C105*INDEX(Curves!$AQ$8:$AQ$68,AW$4-$B105+1)</f>
        <v/>
      </c>
      <c r="AX105" s="75">
        <f>$C105*INDEX(Curves!$AQ$8:$AQ$68,AX$4-$B105+1)</f>
        <v/>
      </c>
      <c r="AY105" s="75">
        <f>$C105*INDEX(Curves!$AQ$8:$AQ$68,AY$4-$B105+1)</f>
        <v/>
      </c>
      <c r="AZ105" s="75">
        <f>$C105*INDEX(Curves!$AQ$8:$AQ$68,AZ$4-$B105+1)</f>
        <v/>
      </c>
      <c r="BA105" s="75">
        <f>$C105*INDEX(Curves!$AQ$8:$AQ$68,BA$4-$B105+1)</f>
        <v/>
      </c>
      <c r="BB105" s="75">
        <f>$C105*INDEX(Curves!$AQ$8:$AQ$68,BB$4-$B105+1)</f>
        <v/>
      </c>
      <c r="BC105" s="75">
        <f>$C105*INDEX(Curves!$AQ$8:$AQ$68,BC$4-$B105+1)</f>
        <v/>
      </c>
      <c r="BD105" s="75">
        <f>$C105*INDEX(Curves!$AQ$8:$AQ$68,BD$4-$B105+1)</f>
        <v/>
      </c>
      <c r="BE105" s="75">
        <f>$C105*INDEX(Curves!$AQ$8:$AQ$68,BE$4-$B105+1)</f>
        <v/>
      </c>
      <c r="BF105" s="75">
        <f>$C105*INDEX(Curves!$AQ$8:$AQ$68,BF$4-$B105+1)</f>
        <v/>
      </c>
      <c r="BG105" s="75">
        <f>$C105*INDEX(Curves!$AQ$8:$AQ$68,BG$4-$B105+1)</f>
        <v/>
      </c>
      <c r="BH105" s="75">
        <f>$C105*INDEX(Curves!$AQ$8:$AQ$68,BH$4-$B105+1)</f>
        <v/>
      </c>
      <c r="BI105" s="75">
        <f>$C105*INDEX(Curves!$AQ$8:$AQ$68,BI$4-$B105+1)</f>
        <v/>
      </c>
      <c r="BJ105" s="75">
        <f>$C105*INDEX(Curves!$AQ$8:$AQ$68,BJ$4-$B105+1)</f>
        <v/>
      </c>
      <c r="BK105" s="75">
        <f>$C105*INDEX(Curves!$AQ$8:$AQ$68,BK$4-$B105+1)</f>
        <v/>
      </c>
      <c r="BL105" s="75">
        <f>$C105*INDEX(Curves!$AQ$8:$AQ$68,BL$4-$B105+1)</f>
        <v/>
      </c>
    </row>
    <row r="106">
      <c r="A106" s="74" t="inlineStr">
        <is>
          <t>Cohort month 34</t>
        </is>
      </c>
      <c r="B106" s="74" t="n">
        <v>34</v>
      </c>
      <c r="C106" s="17">
        <f>INDEX(Ops!$E$84:$BL$84,1,$B106)</f>
        <v/>
      </c>
      <c r="AM106" s="75">
        <f>$C106*INDEX(Curves!$AQ$8:$AQ$68,AM$4-$B106+1)</f>
        <v/>
      </c>
      <c r="AN106" s="75">
        <f>$C106*INDEX(Curves!$AQ$8:$AQ$68,AN$4-$B106+1)</f>
        <v/>
      </c>
      <c r="AO106" s="75">
        <f>$C106*INDEX(Curves!$AQ$8:$AQ$68,AO$4-$B106+1)</f>
        <v/>
      </c>
      <c r="AP106" s="75">
        <f>$C106*INDEX(Curves!$AQ$8:$AQ$68,AP$4-$B106+1)</f>
        <v/>
      </c>
      <c r="AQ106" s="75">
        <f>$C106*INDEX(Curves!$AQ$8:$AQ$68,AQ$4-$B106+1)</f>
        <v/>
      </c>
      <c r="AR106" s="75">
        <f>$C106*INDEX(Curves!$AQ$8:$AQ$68,AR$4-$B106+1)</f>
        <v/>
      </c>
      <c r="AS106" s="75">
        <f>$C106*INDEX(Curves!$AQ$8:$AQ$68,AS$4-$B106+1)</f>
        <v/>
      </c>
      <c r="AT106" s="75">
        <f>$C106*INDEX(Curves!$AQ$8:$AQ$68,AT$4-$B106+1)</f>
        <v/>
      </c>
      <c r="AU106" s="75">
        <f>$C106*INDEX(Curves!$AQ$8:$AQ$68,AU$4-$B106+1)</f>
        <v/>
      </c>
      <c r="AV106" s="75">
        <f>$C106*INDEX(Curves!$AQ$8:$AQ$68,AV$4-$B106+1)</f>
        <v/>
      </c>
      <c r="AW106" s="75">
        <f>$C106*INDEX(Curves!$AQ$8:$AQ$68,AW$4-$B106+1)</f>
        <v/>
      </c>
      <c r="AX106" s="75">
        <f>$C106*INDEX(Curves!$AQ$8:$AQ$68,AX$4-$B106+1)</f>
        <v/>
      </c>
      <c r="AY106" s="75">
        <f>$C106*INDEX(Curves!$AQ$8:$AQ$68,AY$4-$B106+1)</f>
        <v/>
      </c>
      <c r="AZ106" s="75">
        <f>$C106*INDEX(Curves!$AQ$8:$AQ$68,AZ$4-$B106+1)</f>
        <v/>
      </c>
      <c r="BA106" s="75">
        <f>$C106*INDEX(Curves!$AQ$8:$AQ$68,BA$4-$B106+1)</f>
        <v/>
      </c>
      <c r="BB106" s="75">
        <f>$C106*INDEX(Curves!$AQ$8:$AQ$68,BB$4-$B106+1)</f>
        <v/>
      </c>
      <c r="BC106" s="75">
        <f>$C106*INDEX(Curves!$AQ$8:$AQ$68,BC$4-$B106+1)</f>
        <v/>
      </c>
      <c r="BD106" s="75">
        <f>$C106*INDEX(Curves!$AQ$8:$AQ$68,BD$4-$B106+1)</f>
        <v/>
      </c>
      <c r="BE106" s="75">
        <f>$C106*INDEX(Curves!$AQ$8:$AQ$68,BE$4-$B106+1)</f>
        <v/>
      </c>
      <c r="BF106" s="75">
        <f>$C106*INDEX(Curves!$AQ$8:$AQ$68,BF$4-$B106+1)</f>
        <v/>
      </c>
      <c r="BG106" s="75">
        <f>$C106*INDEX(Curves!$AQ$8:$AQ$68,BG$4-$B106+1)</f>
        <v/>
      </c>
      <c r="BH106" s="75">
        <f>$C106*INDEX(Curves!$AQ$8:$AQ$68,BH$4-$B106+1)</f>
        <v/>
      </c>
      <c r="BI106" s="75">
        <f>$C106*INDEX(Curves!$AQ$8:$AQ$68,BI$4-$B106+1)</f>
        <v/>
      </c>
      <c r="BJ106" s="75">
        <f>$C106*INDEX(Curves!$AQ$8:$AQ$68,BJ$4-$B106+1)</f>
        <v/>
      </c>
      <c r="BK106" s="75">
        <f>$C106*INDEX(Curves!$AQ$8:$AQ$68,BK$4-$B106+1)</f>
        <v/>
      </c>
      <c r="BL106" s="75">
        <f>$C106*INDEX(Curves!$AQ$8:$AQ$68,BL$4-$B106+1)</f>
        <v/>
      </c>
    </row>
    <row r="107">
      <c r="A107" s="74" t="inlineStr">
        <is>
          <t>Cohort month 35</t>
        </is>
      </c>
      <c r="B107" s="74" t="n">
        <v>35</v>
      </c>
      <c r="C107" s="17">
        <f>INDEX(Ops!$E$84:$BL$84,1,$B107)</f>
        <v/>
      </c>
      <c r="AN107" s="75">
        <f>$C107*INDEX(Curves!$AQ$8:$AQ$68,AN$4-$B107+1)</f>
        <v/>
      </c>
      <c r="AO107" s="75">
        <f>$C107*INDEX(Curves!$AQ$8:$AQ$68,AO$4-$B107+1)</f>
        <v/>
      </c>
      <c r="AP107" s="75">
        <f>$C107*INDEX(Curves!$AQ$8:$AQ$68,AP$4-$B107+1)</f>
        <v/>
      </c>
      <c r="AQ107" s="75">
        <f>$C107*INDEX(Curves!$AQ$8:$AQ$68,AQ$4-$B107+1)</f>
        <v/>
      </c>
      <c r="AR107" s="75">
        <f>$C107*INDEX(Curves!$AQ$8:$AQ$68,AR$4-$B107+1)</f>
        <v/>
      </c>
      <c r="AS107" s="75">
        <f>$C107*INDEX(Curves!$AQ$8:$AQ$68,AS$4-$B107+1)</f>
        <v/>
      </c>
      <c r="AT107" s="75">
        <f>$C107*INDEX(Curves!$AQ$8:$AQ$68,AT$4-$B107+1)</f>
        <v/>
      </c>
      <c r="AU107" s="75">
        <f>$C107*INDEX(Curves!$AQ$8:$AQ$68,AU$4-$B107+1)</f>
        <v/>
      </c>
      <c r="AV107" s="75">
        <f>$C107*INDEX(Curves!$AQ$8:$AQ$68,AV$4-$B107+1)</f>
        <v/>
      </c>
      <c r="AW107" s="75">
        <f>$C107*INDEX(Curves!$AQ$8:$AQ$68,AW$4-$B107+1)</f>
        <v/>
      </c>
      <c r="AX107" s="75">
        <f>$C107*INDEX(Curves!$AQ$8:$AQ$68,AX$4-$B107+1)</f>
        <v/>
      </c>
      <c r="AY107" s="75">
        <f>$C107*INDEX(Curves!$AQ$8:$AQ$68,AY$4-$B107+1)</f>
        <v/>
      </c>
      <c r="AZ107" s="75">
        <f>$C107*INDEX(Curves!$AQ$8:$AQ$68,AZ$4-$B107+1)</f>
        <v/>
      </c>
      <c r="BA107" s="75">
        <f>$C107*INDEX(Curves!$AQ$8:$AQ$68,BA$4-$B107+1)</f>
        <v/>
      </c>
      <c r="BB107" s="75">
        <f>$C107*INDEX(Curves!$AQ$8:$AQ$68,BB$4-$B107+1)</f>
        <v/>
      </c>
      <c r="BC107" s="75">
        <f>$C107*INDEX(Curves!$AQ$8:$AQ$68,BC$4-$B107+1)</f>
        <v/>
      </c>
      <c r="BD107" s="75">
        <f>$C107*INDEX(Curves!$AQ$8:$AQ$68,BD$4-$B107+1)</f>
        <v/>
      </c>
      <c r="BE107" s="75">
        <f>$C107*INDEX(Curves!$AQ$8:$AQ$68,BE$4-$B107+1)</f>
        <v/>
      </c>
      <c r="BF107" s="75">
        <f>$C107*INDEX(Curves!$AQ$8:$AQ$68,BF$4-$B107+1)</f>
        <v/>
      </c>
      <c r="BG107" s="75">
        <f>$C107*INDEX(Curves!$AQ$8:$AQ$68,BG$4-$B107+1)</f>
        <v/>
      </c>
      <c r="BH107" s="75">
        <f>$C107*INDEX(Curves!$AQ$8:$AQ$68,BH$4-$B107+1)</f>
        <v/>
      </c>
      <c r="BI107" s="75">
        <f>$C107*INDEX(Curves!$AQ$8:$AQ$68,BI$4-$B107+1)</f>
        <v/>
      </c>
      <c r="BJ107" s="75">
        <f>$C107*INDEX(Curves!$AQ$8:$AQ$68,BJ$4-$B107+1)</f>
        <v/>
      </c>
      <c r="BK107" s="75">
        <f>$C107*INDEX(Curves!$AQ$8:$AQ$68,BK$4-$B107+1)</f>
        <v/>
      </c>
      <c r="BL107" s="75">
        <f>$C107*INDEX(Curves!$AQ$8:$AQ$68,BL$4-$B107+1)</f>
        <v/>
      </c>
    </row>
    <row r="108">
      <c r="A108" s="74" t="inlineStr">
        <is>
          <t>Cohort month 36</t>
        </is>
      </c>
      <c r="B108" s="74" t="n">
        <v>36</v>
      </c>
      <c r="C108" s="17">
        <f>INDEX(Ops!$E$84:$BL$84,1,$B108)</f>
        <v/>
      </c>
      <c r="AO108" s="75">
        <f>$C108*INDEX(Curves!$AQ$8:$AQ$68,AO$4-$B108+1)</f>
        <v/>
      </c>
      <c r="AP108" s="75">
        <f>$C108*INDEX(Curves!$AQ$8:$AQ$68,AP$4-$B108+1)</f>
        <v/>
      </c>
      <c r="AQ108" s="75">
        <f>$C108*INDEX(Curves!$AQ$8:$AQ$68,AQ$4-$B108+1)</f>
        <v/>
      </c>
      <c r="AR108" s="75">
        <f>$C108*INDEX(Curves!$AQ$8:$AQ$68,AR$4-$B108+1)</f>
        <v/>
      </c>
      <c r="AS108" s="75">
        <f>$C108*INDEX(Curves!$AQ$8:$AQ$68,AS$4-$B108+1)</f>
        <v/>
      </c>
      <c r="AT108" s="75">
        <f>$C108*INDEX(Curves!$AQ$8:$AQ$68,AT$4-$B108+1)</f>
        <v/>
      </c>
      <c r="AU108" s="75">
        <f>$C108*INDEX(Curves!$AQ$8:$AQ$68,AU$4-$B108+1)</f>
        <v/>
      </c>
      <c r="AV108" s="75">
        <f>$C108*INDEX(Curves!$AQ$8:$AQ$68,AV$4-$B108+1)</f>
        <v/>
      </c>
      <c r="AW108" s="75">
        <f>$C108*INDEX(Curves!$AQ$8:$AQ$68,AW$4-$B108+1)</f>
        <v/>
      </c>
      <c r="AX108" s="75">
        <f>$C108*INDEX(Curves!$AQ$8:$AQ$68,AX$4-$B108+1)</f>
        <v/>
      </c>
      <c r="AY108" s="75">
        <f>$C108*INDEX(Curves!$AQ$8:$AQ$68,AY$4-$B108+1)</f>
        <v/>
      </c>
      <c r="AZ108" s="75">
        <f>$C108*INDEX(Curves!$AQ$8:$AQ$68,AZ$4-$B108+1)</f>
        <v/>
      </c>
      <c r="BA108" s="75">
        <f>$C108*INDEX(Curves!$AQ$8:$AQ$68,BA$4-$B108+1)</f>
        <v/>
      </c>
      <c r="BB108" s="75">
        <f>$C108*INDEX(Curves!$AQ$8:$AQ$68,BB$4-$B108+1)</f>
        <v/>
      </c>
      <c r="BC108" s="75">
        <f>$C108*INDEX(Curves!$AQ$8:$AQ$68,BC$4-$B108+1)</f>
        <v/>
      </c>
      <c r="BD108" s="75">
        <f>$C108*INDEX(Curves!$AQ$8:$AQ$68,BD$4-$B108+1)</f>
        <v/>
      </c>
      <c r="BE108" s="75">
        <f>$C108*INDEX(Curves!$AQ$8:$AQ$68,BE$4-$B108+1)</f>
        <v/>
      </c>
      <c r="BF108" s="75">
        <f>$C108*INDEX(Curves!$AQ$8:$AQ$68,BF$4-$B108+1)</f>
        <v/>
      </c>
      <c r="BG108" s="75">
        <f>$C108*INDEX(Curves!$AQ$8:$AQ$68,BG$4-$B108+1)</f>
        <v/>
      </c>
      <c r="BH108" s="75">
        <f>$C108*INDEX(Curves!$AQ$8:$AQ$68,BH$4-$B108+1)</f>
        <v/>
      </c>
      <c r="BI108" s="75">
        <f>$C108*INDEX(Curves!$AQ$8:$AQ$68,BI$4-$B108+1)</f>
        <v/>
      </c>
      <c r="BJ108" s="75">
        <f>$C108*INDEX(Curves!$AQ$8:$AQ$68,BJ$4-$B108+1)</f>
        <v/>
      </c>
      <c r="BK108" s="75">
        <f>$C108*INDEX(Curves!$AQ$8:$AQ$68,BK$4-$B108+1)</f>
        <v/>
      </c>
      <c r="BL108" s="75">
        <f>$C108*INDEX(Curves!$AQ$8:$AQ$68,BL$4-$B108+1)</f>
        <v/>
      </c>
    </row>
    <row r="109">
      <c r="A109" s="74" t="inlineStr">
        <is>
          <t>Cohort month 37</t>
        </is>
      </c>
      <c r="B109" s="74" t="n">
        <v>37</v>
      </c>
      <c r="C109" s="17">
        <f>INDEX(Ops!$E$84:$BL$84,1,$B109)</f>
        <v/>
      </c>
      <c r="AP109" s="75">
        <f>$C109*INDEX(Curves!$AQ$8:$AQ$68,AP$4-$B109+1)</f>
        <v/>
      </c>
      <c r="AQ109" s="75">
        <f>$C109*INDEX(Curves!$AQ$8:$AQ$68,AQ$4-$B109+1)</f>
        <v/>
      </c>
      <c r="AR109" s="75">
        <f>$C109*INDEX(Curves!$AQ$8:$AQ$68,AR$4-$B109+1)</f>
        <v/>
      </c>
      <c r="AS109" s="75">
        <f>$C109*INDEX(Curves!$AQ$8:$AQ$68,AS$4-$B109+1)</f>
        <v/>
      </c>
      <c r="AT109" s="75">
        <f>$C109*INDEX(Curves!$AQ$8:$AQ$68,AT$4-$B109+1)</f>
        <v/>
      </c>
      <c r="AU109" s="75">
        <f>$C109*INDEX(Curves!$AQ$8:$AQ$68,AU$4-$B109+1)</f>
        <v/>
      </c>
      <c r="AV109" s="75">
        <f>$C109*INDEX(Curves!$AQ$8:$AQ$68,AV$4-$B109+1)</f>
        <v/>
      </c>
      <c r="AW109" s="75">
        <f>$C109*INDEX(Curves!$AQ$8:$AQ$68,AW$4-$B109+1)</f>
        <v/>
      </c>
      <c r="AX109" s="75">
        <f>$C109*INDEX(Curves!$AQ$8:$AQ$68,AX$4-$B109+1)</f>
        <v/>
      </c>
      <c r="AY109" s="75">
        <f>$C109*INDEX(Curves!$AQ$8:$AQ$68,AY$4-$B109+1)</f>
        <v/>
      </c>
      <c r="AZ109" s="75">
        <f>$C109*INDEX(Curves!$AQ$8:$AQ$68,AZ$4-$B109+1)</f>
        <v/>
      </c>
      <c r="BA109" s="75">
        <f>$C109*INDEX(Curves!$AQ$8:$AQ$68,BA$4-$B109+1)</f>
        <v/>
      </c>
      <c r="BB109" s="75">
        <f>$C109*INDEX(Curves!$AQ$8:$AQ$68,BB$4-$B109+1)</f>
        <v/>
      </c>
      <c r="BC109" s="75">
        <f>$C109*INDEX(Curves!$AQ$8:$AQ$68,BC$4-$B109+1)</f>
        <v/>
      </c>
      <c r="BD109" s="75">
        <f>$C109*INDEX(Curves!$AQ$8:$AQ$68,BD$4-$B109+1)</f>
        <v/>
      </c>
      <c r="BE109" s="75">
        <f>$C109*INDEX(Curves!$AQ$8:$AQ$68,BE$4-$B109+1)</f>
        <v/>
      </c>
      <c r="BF109" s="75">
        <f>$C109*INDEX(Curves!$AQ$8:$AQ$68,BF$4-$B109+1)</f>
        <v/>
      </c>
      <c r="BG109" s="75">
        <f>$C109*INDEX(Curves!$AQ$8:$AQ$68,BG$4-$B109+1)</f>
        <v/>
      </c>
      <c r="BH109" s="75">
        <f>$C109*INDEX(Curves!$AQ$8:$AQ$68,BH$4-$B109+1)</f>
        <v/>
      </c>
      <c r="BI109" s="75">
        <f>$C109*INDEX(Curves!$AQ$8:$AQ$68,BI$4-$B109+1)</f>
        <v/>
      </c>
      <c r="BJ109" s="75">
        <f>$C109*INDEX(Curves!$AQ$8:$AQ$68,BJ$4-$B109+1)</f>
        <v/>
      </c>
      <c r="BK109" s="75">
        <f>$C109*INDEX(Curves!$AQ$8:$AQ$68,BK$4-$B109+1)</f>
        <v/>
      </c>
      <c r="BL109" s="75">
        <f>$C109*INDEX(Curves!$AQ$8:$AQ$68,BL$4-$B109+1)</f>
        <v/>
      </c>
    </row>
    <row r="110">
      <c r="A110" s="74" t="inlineStr">
        <is>
          <t>Cohort month 38</t>
        </is>
      </c>
      <c r="B110" s="74" t="n">
        <v>38</v>
      </c>
      <c r="C110" s="17">
        <f>INDEX(Ops!$E$84:$BL$84,1,$B110)</f>
        <v/>
      </c>
      <c r="AQ110" s="75">
        <f>$C110*INDEX(Curves!$AQ$8:$AQ$68,AQ$4-$B110+1)</f>
        <v/>
      </c>
      <c r="AR110" s="75">
        <f>$C110*INDEX(Curves!$AQ$8:$AQ$68,AR$4-$B110+1)</f>
        <v/>
      </c>
      <c r="AS110" s="75">
        <f>$C110*INDEX(Curves!$AQ$8:$AQ$68,AS$4-$B110+1)</f>
        <v/>
      </c>
      <c r="AT110" s="75">
        <f>$C110*INDEX(Curves!$AQ$8:$AQ$68,AT$4-$B110+1)</f>
        <v/>
      </c>
      <c r="AU110" s="75">
        <f>$C110*INDEX(Curves!$AQ$8:$AQ$68,AU$4-$B110+1)</f>
        <v/>
      </c>
      <c r="AV110" s="75">
        <f>$C110*INDEX(Curves!$AQ$8:$AQ$68,AV$4-$B110+1)</f>
        <v/>
      </c>
      <c r="AW110" s="75">
        <f>$C110*INDEX(Curves!$AQ$8:$AQ$68,AW$4-$B110+1)</f>
        <v/>
      </c>
      <c r="AX110" s="75">
        <f>$C110*INDEX(Curves!$AQ$8:$AQ$68,AX$4-$B110+1)</f>
        <v/>
      </c>
      <c r="AY110" s="75">
        <f>$C110*INDEX(Curves!$AQ$8:$AQ$68,AY$4-$B110+1)</f>
        <v/>
      </c>
      <c r="AZ110" s="75">
        <f>$C110*INDEX(Curves!$AQ$8:$AQ$68,AZ$4-$B110+1)</f>
        <v/>
      </c>
      <c r="BA110" s="75">
        <f>$C110*INDEX(Curves!$AQ$8:$AQ$68,BA$4-$B110+1)</f>
        <v/>
      </c>
      <c r="BB110" s="75">
        <f>$C110*INDEX(Curves!$AQ$8:$AQ$68,BB$4-$B110+1)</f>
        <v/>
      </c>
      <c r="BC110" s="75">
        <f>$C110*INDEX(Curves!$AQ$8:$AQ$68,BC$4-$B110+1)</f>
        <v/>
      </c>
      <c r="BD110" s="75">
        <f>$C110*INDEX(Curves!$AQ$8:$AQ$68,BD$4-$B110+1)</f>
        <v/>
      </c>
      <c r="BE110" s="75">
        <f>$C110*INDEX(Curves!$AQ$8:$AQ$68,BE$4-$B110+1)</f>
        <v/>
      </c>
      <c r="BF110" s="75">
        <f>$C110*INDEX(Curves!$AQ$8:$AQ$68,BF$4-$B110+1)</f>
        <v/>
      </c>
      <c r="BG110" s="75">
        <f>$C110*INDEX(Curves!$AQ$8:$AQ$68,BG$4-$B110+1)</f>
        <v/>
      </c>
      <c r="BH110" s="75">
        <f>$C110*INDEX(Curves!$AQ$8:$AQ$68,BH$4-$B110+1)</f>
        <v/>
      </c>
      <c r="BI110" s="75">
        <f>$C110*INDEX(Curves!$AQ$8:$AQ$68,BI$4-$B110+1)</f>
        <v/>
      </c>
      <c r="BJ110" s="75">
        <f>$C110*INDEX(Curves!$AQ$8:$AQ$68,BJ$4-$B110+1)</f>
        <v/>
      </c>
      <c r="BK110" s="75">
        <f>$C110*INDEX(Curves!$AQ$8:$AQ$68,BK$4-$B110+1)</f>
        <v/>
      </c>
      <c r="BL110" s="75">
        <f>$C110*INDEX(Curves!$AQ$8:$AQ$68,BL$4-$B110+1)</f>
        <v/>
      </c>
    </row>
    <row r="111">
      <c r="A111" s="74" t="inlineStr">
        <is>
          <t>Cohort month 39</t>
        </is>
      </c>
      <c r="B111" s="74" t="n">
        <v>39</v>
      </c>
      <c r="C111" s="17">
        <f>INDEX(Ops!$E$84:$BL$84,1,$B111)</f>
        <v/>
      </c>
      <c r="AR111" s="75">
        <f>$C111*INDEX(Curves!$AQ$8:$AQ$68,AR$4-$B111+1)</f>
        <v/>
      </c>
      <c r="AS111" s="75">
        <f>$C111*INDEX(Curves!$AQ$8:$AQ$68,AS$4-$B111+1)</f>
        <v/>
      </c>
      <c r="AT111" s="75">
        <f>$C111*INDEX(Curves!$AQ$8:$AQ$68,AT$4-$B111+1)</f>
        <v/>
      </c>
      <c r="AU111" s="75">
        <f>$C111*INDEX(Curves!$AQ$8:$AQ$68,AU$4-$B111+1)</f>
        <v/>
      </c>
      <c r="AV111" s="75">
        <f>$C111*INDEX(Curves!$AQ$8:$AQ$68,AV$4-$B111+1)</f>
        <v/>
      </c>
      <c r="AW111" s="75">
        <f>$C111*INDEX(Curves!$AQ$8:$AQ$68,AW$4-$B111+1)</f>
        <v/>
      </c>
      <c r="AX111" s="75">
        <f>$C111*INDEX(Curves!$AQ$8:$AQ$68,AX$4-$B111+1)</f>
        <v/>
      </c>
      <c r="AY111" s="75">
        <f>$C111*INDEX(Curves!$AQ$8:$AQ$68,AY$4-$B111+1)</f>
        <v/>
      </c>
      <c r="AZ111" s="75">
        <f>$C111*INDEX(Curves!$AQ$8:$AQ$68,AZ$4-$B111+1)</f>
        <v/>
      </c>
      <c r="BA111" s="75">
        <f>$C111*INDEX(Curves!$AQ$8:$AQ$68,BA$4-$B111+1)</f>
        <v/>
      </c>
      <c r="BB111" s="75">
        <f>$C111*INDEX(Curves!$AQ$8:$AQ$68,BB$4-$B111+1)</f>
        <v/>
      </c>
      <c r="BC111" s="75">
        <f>$C111*INDEX(Curves!$AQ$8:$AQ$68,BC$4-$B111+1)</f>
        <v/>
      </c>
      <c r="BD111" s="75">
        <f>$C111*INDEX(Curves!$AQ$8:$AQ$68,BD$4-$B111+1)</f>
        <v/>
      </c>
      <c r="BE111" s="75">
        <f>$C111*INDEX(Curves!$AQ$8:$AQ$68,BE$4-$B111+1)</f>
        <v/>
      </c>
      <c r="BF111" s="75">
        <f>$C111*INDEX(Curves!$AQ$8:$AQ$68,BF$4-$B111+1)</f>
        <v/>
      </c>
      <c r="BG111" s="75">
        <f>$C111*INDEX(Curves!$AQ$8:$AQ$68,BG$4-$B111+1)</f>
        <v/>
      </c>
      <c r="BH111" s="75">
        <f>$C111*INDEX(Curves!$AQ$8:$AQ$68,BH$4-$B111+1)</f>
        <v/>
      </c>
      <c r="BI111" s="75">
        <f>$C111*INDEX(Curves!$AQ$8:$AQ$68,BI$4-$B111+1)</f>
        <v/>
      </c>
      <c r="BJ111" s="75">
        <f>$C111*INDEX(Curves!$AQ$8:$AQ$68,BJ$4-$B111+1)</f>
        <v/>
      </c>
      <c r="BK111" s="75">
        <f>$C111*INDEX(Curves!$AQ$8:$AQ$68,BK$4-$B111+1)</f>
        <v/>
      </c>
      <c r="BL111" s="75">
        <f>$C111*INDEX(Curves!$AQ$8:$AQ$68,BL$4-$B111+1)</f>
        <v/>
      </c>
    </row>
    <row r="112">
      <c r="A112" s="74" t="inlineStr">
        <is>
          <t>Cohort month 40</t>
        </is>
      </c>
      <c r="B112" s="74" t="n">
        <v>40</v>
      </c>
      <c r="C112" s="17">
        <f>INDEX(Ops!$E$84:$BL$84,1,$B112)</f>
        <v/>
      </c>
      <c r="AS112" s="75">
        <f>$C112*INDEX(Curves!$AQ$8:$AQ$68,AS$4-$B112+1)</f>
        <v/>
      </c>
      <c r="AT112" s="75">
        <f>$C112*INDEX(Curves!$AQ$8:$AQ$68,AT$4-$B112+1)</f>
        <v/>
      </c>
      <c r="AU112" s="75">
        <f>$C112*INDEX(Curves!$AQ$8:$AQ$68,AU$4-$B112+1)</f>
        <v/>
      </c>
      <c r="AV112" s="75">
        <f>$C112*INDEX(Curves!$AQ$8:$AQ$68,AV$4-$B112+1)</f>
        <v/>
      </c>
      <c r="AW112" s="75">
        <f>$C112*INDEX(Curves!$AQ$8:$AQ$68,AW$4-$B112+1)</f>
        <v/>
      </c>
      <c r="AX112" s="75">
        <f>$C112*INDEX(Curves!$AQ$8:$AQ$68,AX$4-$B112+1)</f>
        <v/>
      </c>
      <c r="AY112" s="75">
        <f>$C112*INDEX(Curves!$AQ$8:$AQ$68,AY$4-$B112+1)</f>
        <v/>
      </c>
      <c r="AZ112" s="75">
        <f>$C112*INDEX(Curves!$AQ$8:$AQ$68,AZ$4-$B112+1)</f>
        <v/>
      </c>
      <c r="BA112" s="75">
        <f>$C112*INDEX(Curves!$AQ$8:$AQ$68,BA$4-$B112+1)</f>
        <v/>
      </c>
      <c r="BB112" s="75">
        <f>$C112*INDEX(Curves!$AQ$8:$AQ$68,BB$4-$B112+1)</f>
        <v/>
      </c>
      <c r="BC112" s="75">
        <f>$C112*INDEX(Curves!$AQ$8:$AQ$68,BC$4-$B112+1)</f>
        <v/>
      </c>
      <c r="BD112" s="75">
        <f>$C112*INDEX(Curves!$AQ$8:$AQ$68,BD$4-$B112+1)</f>
        <v/>
      </c>
      <c r="BE112" s="75">
        <f>$C112*INDEX(Curves!$AQ$8:$AQ$68,BE$4-$B112+1)</f>
        <v/>
      </c>
      <c r="BF112" s="75">
        <f>$C112*INDEX(Curves!$AQ$8:$AQ$68,BF$4-$B112+1)</f>
        <v/>
      </c>
      <c r="BG112" s="75">
        <f>$C112*INDEX(Curves!$AQ$8:$AQ$68,BG$4-$B112+1)</f>
        <v/>
      </c>
      <c r="BH112" s="75">
        <f>$C112*INDEX(Curves!$AQ$8:$AQ$68,BH$4-$B112+1)</f>
        <v/>
      </c>
      <c r="BI112" s="75">
        <f>$C112*INDEX(Curves!$AQ$8:$AQ$68,BI$4-$B112+1)</f>
        <v/>
      </c>
      <c r="BJ112" s="75">
        <f>$C112*INDEX(Curves!$AQ$8:$AQ$68,BJ$4-$B112+1)</f>
        <v/>
      </c>
      <c r="BK112" s="75">
        <f>$C112*INDEX(Curves!$AQ$8:$AQ$68,BK$4-$B112+1)</f>
        <v/>
      </c>
      <c r="BL112" s="75">
        <f>$C112*INDEX(Curves!$AQ$8:$AQ$68,BL$4-$B112+1)</f>
        <v/>
      </c>
    </row>
    <row r="113">
      <c r="A113" s="74" t="inlineStr">
        <is>
          <t>Cohort month 41</t>
        </is>
      </c>
      <c r="B113" s="74" t="n">
        <v>41</v>
      </c>
      <c r="C113" s="17">
        <f>INDEX(Ops!$E$84:$BL$84,1,$B113)</f>
        <v/>
      </c>
      <c r="AT113" s="75">
        <f>$C113*INDEX(Curves!$AQ$8:$AQ$68,AT$4-$B113+1)</f>
        <v/>
      </c>
      <c r="AU113" s="75">
        <f>$C113*INDEX(Curves!$AQ$8:$AQ$68,AU$4-$B113+1)</f>
        <v/>
      </c>
      <c r="AV113" s="75">
        <f>$C113*INDEX(Curves!$AQ$8:$AQ$68,AV$4-$B113+1)</f>
        <v/>
      </c>
      <c r="AW113" s="75">
        <f>$C113*INDEX(Curves!$AQ$8:$AQ$68,AW$4-$B113+1)</f>
        <v/>
      </c>
      <c r="AX113" s="75">
        <f>$C113*INDEX(Curves!$AQ$8:$AQ$68,AX$4-$B113+1)</f>
        <v/>
      </c>
      <c r="AY113" s="75">
        <f>$C113*INDEX(Curves!$AQ$8:$AQ$68,AY$4-$B113+1)</f>
        <v/>
      </c>
      <c r="AZ113" s="75">
        <f>$C113*INDEX(Curves!$AQ$8:$AQ$68,AZ$4-$B113+1)</f>
        <v/>
      </c>
      <c r="BA113" s="75">
        <f>$C113*INDEX(Curves!$AQ$8:$AQ$68,BA$4-$B113+1)</f>
        <v/>
      </c>
      <c r="BB113" s="75">
        <f>$C113*INDEX(Curves!$AQ$8:$AQ$68,BB$4-$B113+1)</f>
        <v/>
      </c>
      <c r="BC113" s="75">
        <f>$C113*INDEX(Curves!$AQ$8:$AQ$68,BC$4-$B113+1)</f>
        <v/>
      </c>
      <c r="BD113" s="75">
        <f>$C113*INDEX(Curves!$AQ$8:$AQ$68,BD$4-$B113+1)</f>
        <v/>
      </c>
      <c r="BE113" s="75">
        <f>$C113*INDEX(Curves!$AQ$8:$AQ$68,BE$4-$B113+1)</f>
        <v/>
      </c>
      <c r="BF113" s="75">
        <f>$C113*INDEX(Curves!$AQ$8:$AQ$68,BF$4-$B113+1)</f>
        <v/>
      </c>
      <c r="BG113" s="75">
        <f>$C113*INDEX(Curves!$AQ$8:$AQ$68,BG$4-$B113+1)</f>
        <v/>
      </c>
      <c r="BH113" s="75">
        <f>$C113*INDEX(Curves!$AQ$8:$AQ$68,BH$4-$B113+1)</f>
        <v/>
      </c>
      <c r="BI113" s="75">
        <f>$C113*INDEX(Curves!$AQ$8:$AQ$68,BI$4-$B113+1)</f>
        <v/>
      </c>
      <c r="BJ113" s="75">
        <f>$C113*INDEX(Curves!$AQ$8:$AQ$68,BJ$4-$B113+1)</f>
        <v/>
      </c>
      <c r="BK113" s="75">
        <f>$C113*INDEX(Curves!$AQ$8:$AQ$68,BK$4-$B113+1)</f>
        <v/>
      </c>
      <c r="BL113" s="75">
        <f>$C113*INDEX(Curves!$AQ$8:$AQ$68,BL$4-$B113+1)</f>
        <v/>
      </c>
    </row>
    <row r="114">
      <c r="A114" s="74" t="inlineStr">
        <is>
          <t>Cohort month 42</t>
        </is>
      </c>
      <c r="B114" s="74" t="n">
        <v>42</v>
      </c>
      <c r="C114" s="17">
        <f>INDEX(Ops!$E$84:$BL$84,1,$B114)</f>
        <v/>
      </c>
      <c r="AU114" s="75">
        <f>$C114*INDEX(Curves!$AQ$8:$AQ$68,AU$4-$B114+1)</f>
        <v/>
      </c>
      <c r="AV114" s="75">
        <f>$C114*INDEX(Curves!$AQ$8:$AQ$68,AV$4-$B114+1)</f>
        <v/>
      </c>
      <c r="AW114" s="75">
        <f>$C114*INDEX(Curves!$AQ$8:$AQ$68,AW$4-$B114+1)</f>
        <v/>
      </c>
      <c r="AX114" s="75">
        <f>$C114*INDEX(Curves!$AQ$8:$AQ$68,AX$4-$B114+1)</f>
        <v/>
      </c>
      <c r="AY114" s="75">
        <f>$C114*INDEX(Curves!$AQ$8:$AQ$68,AY$4-$B114+1)</f>
        <v/>
      </c>
      <c r="AZ114" s="75">
        <f>$C114*INDEX(Curves!$AQ$8:$AQ$68,AZ$4-$B114+1)</f>
        <v/>
      </c>
      <c r="BA114" s="75">
        <f>$C114*INDEX(Curves!$AQ$8:$AQ$68,BA$4-$B114+1)</f>
        <v/>
      </c>
      <c r="BB114" s="75">
        <f>$C114*INDEX(Curves!$AQ$8:$AQ$68,BB$4-$B114+1)</f>
        <v/>
      </c>
      <c r="BC114" s="75">
        <f>$C114*INDEX(Curves!$AQ$8:$AQ$68,BC$4-$B114+1)</f>
        <v/>
      </c>
      <c r="BD114" s="75">
        <f>$C114*INDEX(Curves!$AQ$8:$AQ$68,BD$4-$B114+1)</f>
        <v/>
      </c>
      <c r="BE114" s="75">
        <f>$C114*INDEX(Curves!$AQ$8:$AQ$68,BE$4-$B114+1)</f>
        <v/>
      </c>
      <c r="BF114" s="75">
        <f>$C114*INDEX(Curves!$AQ$8:$AQ$68,BF$4-$B114+1)</f>
        <v/>
      </c>
      <c r="BG114" s="75">
        <f>$C114*INDEX(Curves!$AQ$8:$AQ$68,BG$4-$B114+1)</f>
        <v/>
      </c>
      <c r="BH114" s="75">
        <f>$C114*INDEX(Curves!$AQ$8:$AQ$68,BH$4-$B114+1)</f>
        <v/>
      </c>
      <c r="BI114" s="75">
        <f>$C114*INDEX(Curves!$AQ$8:$AQ$68,BI$4-$B114+1)</f>
        <v/>
      </c>
      <c r="BJ114" s="75">
        <f>$C114*INDEX(Curves!$AQ$8:$AQ$68,BJ$4-$B114+1)</f>
        <v/>
      </c>
      <c r="BK114" s="75">
        <f>$C114*INDEX(Curves!$AQ$8:$AQ$68,BK$4-$B114+1)</f>
        <v/>
      </c>
      <c r="BL114" s="75">
        <f>$C114*INDEX(Curves!$AQ$8:$AQ$68,BL$4-$B114+1)</f>
        <v/>
      </c>
    </row>
    <row r="115">
      <c r="A115" s="74" t="inlineStr">
        <is>
          <t>Cohort month 43</t>
        </is>
      </c>
      <c r="B115" s="74" t="n">
        <v>43</v>
      </c>
      <c r="C115" s="17">
        <f>INDEX(Ops!$E$84:$BL$84,1,$B115)</f>
        <v/>
      </c>
      <c r="AV115" s="75">
        <f>$C115*INDEX(Curves!$AQ$8:$AQ$68,AV$4-$B115+1)</f>
        <v/>
      </c>
      <c r="AW115" s="75">
        <f>$C115*INDEX(Curves!$AQ$8:$AQ$68,AW$4-$B115+1)</f>
        <v/>
      </c>
      <c r="AX115" s="75">
        <f>$C115*INDEX(Curves!$AQ$8:$AQ$68,AX$4-$B115+1)</f>
        <v/>
      </c>
      <c r="AY115" s="75">
        <f>$C115*INDEX(Curves!$AQ$8:$AQ$68,AY$4-$B115+1)</f>
        <v/>
      </c>
      <c r="AZ115" s="75">
        <f>$C115*INDEX(Curves!$AQ$8:$AQ$68,AZ$4-$B115+1)</f>
        <v/>
      </c>
      <c r="BA115" s="75">
        <f>$C115*INDEX(Curves!$AQ$8:$AQ$68,BA$4-$B115+1)</f>
        <v/>
      </c>
      <c r="BB115" s="75">
        <f>$C115*INDEX(Curves!$AQ$8:$AQ$68,BB$4-$B115+1)</f>
        <v/>
      </c>
      <c r="BC115" s="75">
        <f>$C115*INDEX(Curves!$AQ$8:$AQ$68,BC$4-$B115+1)</f>
        <v/>
      </c>
      <c r="BD115" s="75">
        <f>$C115*INDEX(Curves!$AQ$8:$AQ$68,BD$4-$B115+1)</f>
        <v/>
      </c>
      <c r="BE115" s="75">
        <f>$C115*INDEX(Curves!$AQ$8:$AQ$68,BE$4-$B115+1)</f>
        <v/>
      </c>
      <c r="BF115" s="75">
        <f>$C115*INDEX(Curves!$AQ$8:$AQ$68,BF$4-$B115+1)</f>
        <v/>
      </c>
      <c r="BG115" s="75">
        <f>$C115*INDEX(Curves!$AQ$8:$AQ$68,BG$4-$B115+1)</f>
        <v/>
      </c>
      <c r="BH115" s="75">
        <f>$C115*INDEX(Curves!$AQ$8:$AQ$68,BH$4-$B115+1)</f>
        <v/>
      </c>
      <c r="BI115" s="75">
        <f>$C115*INDEX(Curves!$AQ$8:$AQ$68,BI$4-$B115+1)</f>
        <v/>
      </c>
      <c r="BJ115" s="75">
        <f>$C115*INDEX(Curves!$AQ$8:$AQ$68,BJ$4-$B115+1)</f>
        <v/>
      </c>
      <c r="BK115" s="75">
        <f>$C115*INDEX(Curves!$AQ$8:$AQ$68,BK$4-$B115+1)</f>
        <v/>
      </c>
      <c r="BL115" s="75">
        <f>$C115*INDEX(Curves!$AQ$8:$AQ$68,BL$4-$B115+1)</f>
        <v/>
      </c>
    </row>
    <row r="116">
      <c r="A116" s="74" t="inlineStr">
        <is>
          <t>Cohort month 44</t>
        </is>
      </c>
      <c r="B116" s="74" t="n">
        <v>44</v>
      </c>
      <c r="C116" s="17">
        <f>INDEX(Ops!$E$84:$BL$84,1,$B116)</f>
        <v/>
      </c>
      <c r="AW116" s="75">
        <f>$C116*INDEX(Curves!$AQ$8:$AQ$68,AW$4-$B116+1)</f>
        <v/>
      </c>
      <c r="AX116" s="75">
        <f>$C116*INDEX(Curves!$AQ$8:$AQ$68,AX$4-$B116+1)</f>
        <v/>
      </c>
      <c r="AY116" s="75">
        <f>$C116*INDEX(Curves!$AQ$8:$AQ$68,AY$4-$B116+1)</f>
        <v/>
      </c>
      <c r="AZ116" s="75">
        <f>$C116*INDEX(Curves!$AQ$8:$AQ$68,AZ$4-$B116+1)</f>
        <v/>
      </c>
      <c r="BA116" s="75">
        <f>$C116*INDEX(Curves!$AQ$8:$AQ$68,BA$4-$B116+1)</f>
        <v/>
      </c>
      <c r="BB116" s="75">
        <f>$C116*INDEX(Curves!$AQ$8:$AQ$68,BB$4-$B116+1)</f>
        <v/>
      </c>
      <c r="BC116" s="75">
        <f>$C116*INDEX(Curves!$AQ$8:$AQ$68,BC$4-$B116+1)</f>
        <v/>
      </c>
      <c r="BD116" s="75">
        <f>$C116*INDEX(Curves!$AQ$8:$AQ$68,BD$4-$B116+1)</f>
        <v/>
      </c>
      <c r="BE116" s="75">
        <f>$C116*INDEX(Curves!$AQ$8:$AQ$68,BE$4-$B116+1)</f>
        <v/>
      </c>
      <c r="BF116" s="75">
        <f>$C116*INDEX(Curves!$AQ$8:$AQ$68,BF$4-$B116+1)</f>
        <v/>
      </c>
      <c r="BG116" s="75">
        <f>$C116*INDEX(Curves!$AQ$8:$AQ$68,BG$4-$B116+1)</f>
        <v/>
      </c>
      <c r="BH116" s="75">
        <f>$C116*INDEX(Curves!$AQ$8:$AQ$68,BH$4-$B116+1)</f>
        <v/>
      </c>
      <c r="BI116" s="75">
        <f>$C116*INDEX(Curves!$AQ$8:$AQ$68,BI$4-$B116+1)</f>
        <v/>
      </c>
      <c r="BJ116" s="75">
        <f>$C116*INDEX(Curves!$AQ$8:$AQ$68,BJ$4-$B116+1)</f>
        <v/>
      </c>
      <c r="BK116" s="75">
        <f>$C116*INDEX(Curves!$AQ$8:$AQ$68,BK$4-$B116+1)</f>
        <v/>
      </c>
      <c r="BL116" s="75">
        <f>$C116*INDEX(Curves!$AQ$8:$AQ$68,BL$4-$B116+1)</f>
        <v/>
      </c>
    </row>
    <row r="117">
      <c r="A117" s="74" t="inlineStr">
        <is>
          <t>Cohort month 45</t>
        </is>
      </c>
      <c r="B117" s="74" t="n">
        <v>45</v>
      </c>
      <c r="C117" s="17">
        <f>INDEX(Ops!$E$84:$BL$84,1,$B117)</f>
        <v/>
      </c>
      <c r="AX117" s="75">
        <f>$C117*INDEX(Curves!$AQ$8:$AQ$68,AX$4-$B117+1)</f>
        <v/>
      </c>
      <c r="AY117" s="75">
        <f>$C117*INDEX(Curves!$AQ$8:$AQ$68,AY$4-$B117+1)</f>
        <v/>
      </c>
      <c r="AZ117" s="75">
        <f>$C117*INDEX(Curves!$AQ$8:$AQ$68,AZ$4-$B117+1)</f>
        <v/>
      </c>
      <c r="BA117" s="75">
        <f>$C117*INDEX(Curves!$AQ$8:$AQ$68,BA$4-$B117+1)</f>
        <v/>
      </c>
      <c r="BB117" s="75">
        <f>$C117*INDEX(Curves!$AQ$8:$AQ$68,BB$4-$B117+1)</f>
        <v/>
      </c>
      <c r="BC117" s="75">
        <f>$C117*INDEX(Curves!$AQ$8:$AQ$68,BC$4-$B117+1)</f>
        <v/>
      </c>
      <c r="BD117" s="75">
        <f>$C117*INDEX(Curves!$AQ$8:$AQ$68,BD$4-$B117+1)</f>
        <v/>
      </c>
      <c r="BE117" s="75">
        <f>$C117*INDEX(Curves!$AQ$8:$AQ$68,BE$4-$B117+1)</f>
        <v/>
      </c>
      <c r="BF117" s="75">
        <f>$C117*INDEX(Curves!$AQ$8:$AQ$68,BF$4-$B117+1)</f>
        <v/>
      </c>
      <c r="BG117" s="75">
        <f>$C117*INDEX(Curves!$AQ$8:$AQ$68,BG$4-$B117+1)</f>
        <v/>
      </c>
      <c r="BH117" s="75">
        <f>$C117*INDEX(Curves!$AQ$8:$AQ$68,BH$4-$B117+1)</f>
        <v/>
      </c>
      <c r="BI117" s="75">
        <f>$C117*INDEX(Curves!$AQ$8:$AQ$68,BI$4-$B117+1)</f>
        <v/>
      </c>
      <c r="BJ117" s="75">
        <f>$C117*INDEX(Curves!$AQ$8:$AQ$68,BJ$4-$B117+1)</f>
        <v/>
      </c>
      <c r="BK117" s="75">
        <f>$C117*INDEX(Curves!$AQ$8:$AQ$68,BK$4-$B117+1)</f>
        <v/>
      </c>
      <c r="BL117" s="75">
        <f>$C117*INDEX(Curves!$AQ$8:$AQ$68,BL$4-$B117+1)</f>
        <v/>
      </c>
    </row>
    <row r="118">
      <c r="A118" s="74" t="inlineStr">
        <is>
          <t>Cohort month 46</t>
        </is>
      </c>
      <c r="B118" s="74" t="n">
        <v>46</v>
      </c>
      <c r="C118" s="17">
        <f>INDEX(Ops!$E$84:$BL$84,1,$B118)</f>
        <v/>
      </c>
      <c r="AY118" s="75">
        <f>$C118*INDEX(Curves!$AQ$8:$AQ$68,AY$4-$B118+1)</f>
        <v/>
      </c>
      <c r="AZ118" s="75">
        <f>$C118*INDEX(Curves!$AQ$8:$AQ$68,AZ$4-$B118+1)</f>
        <v/>
      </c>
      <c r="BA118" s="75">
        <f>$C118*INDEX(Curves!$AQ$8:$AQ$68,BA$4-$B118+1)</f>
        <v/>
      </c>
      <c r="BB118" s="75">
        <f>$C118*INDEX(Curves!$AQ$8:$AQ$68,BB$4-$B118+1)</f>
        <v/>
      </c>
      <c r="BC118" s="75">
        <f>$C118*INDEX(Curves!$AQ$8:$AQ$68,BC$4-$B118+1)</f>
        <v/>
      </c>
      <c r="BD118" s="75">
        <f>$C118*INDEX(Curves!$AQ$8:$AQ$68,BD$4-$B118+1)</f>
        <v/>
      </c>
      <c r="BE118" s="75">
        <f>$C118*INDEX(Curves!$AQ$8:$AQ$68,BE$4-$B118+1)</f>
        <v/>
      </c>
      <c r="BF118" s="75">
        <f>$C118*INDEX(Curves!$AQ$8:$AQ$68,BF$4-$B118+1)</f>
        <v/>
      </c>
      <c r="BG118" s="75">
        <f>$C118*INDEX(Curves!$AQ$8:$AQ$68,BG$4-$B118+1)</f>
        <v/>
      </c>
      <c r="BH118" s="75">
        <f>$C118*INDEX(Curves!$AQ$8:$AQ$68,BH$4-$B118+1)</f>
        <v/>
      </c>
      <c r="BI118" s="75">
        <f>$C118*INDEX(Curves!$AQ$8:$AQ$68,BI$4-$B118+1)</f>
        <v/>
      </c>
      <c r="BJ118" s="75">
        <f>$C118*INDEX(Curves!$AQ$8:$AQ$68,BJ$4-$B118+1)</f>
        <v/>
      </c>
      <c r="BK118" s="75">
        <f>$C118*INDEX(Curves!$AQ$8:$AQ$68,BK$4-$B118+1)</f>
        <v/>
      </c>
      <c r="BL118" s="75">
        <f>$C118*INDEX(Curves!$AQ$8:$AQ$68,BL$4-$B118+1)</f>
        <v/>
      </c>
    </row>
    <row r="119">
      <c r="A119" s="74" t="inlineStr">
        <is>
          <t>Cohort month 47</t>
        </is>
      </c>
      <c r="B119" s="74" t="n">
        <v>47</v>
      </c>
      <c r="C119" s="17">
        <f>INDEX(Ops!$E$84:$BL$84,1,$B119)</f>
        <v/>
      </c>
      <c r="AZ119" s="75">
        <f>$C119*INDEX(Curves!$AQ$8:$AQ$68,AZ$4-$B119+1)</f>
        <v/>
      </c>
      <c r="BA119" s="75">
        <f>$C119*INDEX(Curves!$AQ$8:$AQ$68,BA$4-$B119+1)</f>
        <v/>
      </c>
      <c r="BB119" s="75">
        <f>$C119*INDEX(Curves!$AQ$8:$AQ$68,BB$4-$B119+1)</f>
        <v/>
      </c>
      <c r="BC119" s="75">
        <f>$C119*INDEX(Curves!$AQ$8:$AQ$68,BC$4-$B119+1)</f>
        <v/>
      </c>
      <c r="BD119" s="75">
        <f>$C119*INDEX(Curves!$AQ$8:$AQ$68,BD$4-$B119+1)</f>
        <v/>
      </c>
      <c r="BE119" s="75">
        <f>$C119*INDEX(Curves!$AQ$8:$AQ$68,BE$4-$B119+1)</f>
        <v/>
      </c>
      <c r="BF119" s="75">
        <f>$C119*INDEX(Curves!$AQ$8:$AQ$68,BF$4-$B119+1)</f>
        <v/>
      </c>
      <c r="BG119" s="75">
        <f>$C119*INDEX(Curves!$AQ$8:$AQ$68,BG$4-$B119+1)</f>
        <v/>
      </c>
      <c r="BH119" s="75">
        <f>$C119*INDEX(Curves!$AQ$8:$AQ$68,BH$4-$B119+1)</f>
        <v/>
      </c>
      <c r="BI119" s="75">
        <f>$C119*INDEX(Curves!$AQ$8:$AQ$68,BI$4-$B119+1)</f>
        <v/>
      </c>
      <c r="BJ119" s="75">
        <f>$C119*INDEX(Curves!$AQ$8:$AQ$68,BJ$4-$B119+1)</f>
        <v/>
      </c>
      <c r="BK119" s="75">
        <f>$C119*INDEX(Curves!$AQ$8:$AQ$68,BK$4-$B119+1)</f>
        <v/>
      </c>
      <c r="BL119" s="75">
        <f>$C119*INDEX(Curves!$AQ$8:$AQ$68,BL$4-$B119+1)</f>
        <v/>
      </c>
    </row>
    <row r="120">
      <c r="A120" s="74" t="inlineStr">
        <is>
          <t>Cohort month 48</t>
        </is>
      </c>
      <c r="B120" s="74" t="n">
        <v>48</v>
      </c>
      <c r="C120" s="17">
        <f>INDEX(Ops!$E$84:$BL$84,1,$B120)</f>
        <v/>
      </c>
      <c r="BA120" s="75">
        <f>$C120*INDEX(Curves!$AQ$8:$AQ$68,BA$4-$B120+1)</f>
        <v/>
      </c>
      <c r="BB120" s="75">
        <f>$C120*INDEX(Curves!$AQ$8:$AQ$68,BB$4-$B120+1)</f>
        <v/>
      </c>
      <c r="BC120" s="75">
        <f>$C120*INDEX(Curves!$AQ$8:$AQ$68,BC$4-$B120+1)</f>
        <v/>
      </c>
      <c r="BD120" s="75">
        <f>$C120*INDEX(Curves!$AQ$8:$AQ$68,BD$4-$B120+1)</f>
        <v/>
      </c>
      <c r="BE120" s="75">
        <f>$C120*INDEX(Curves!$AQ$8:$AQ$68,BE$4-$B120+1)</f>
        <v/>
      </c>
      <c r="BF120" s="75">
        <f>$C120*INDEX(Curves!$AQ$8:$AQ$68,BF$4-$B120+1)</f>
        <v/>
      </c>
      <c r="BG120" s="75">
        <f>$C120*INDEX(Curves!$AQ$8:$AQ$68,BG$4-$B120+1)</f>
        <v/>
      </c>
      <c r="BH120" s="75">
        <f>$C120*INDEX(Curves!$AQ$8:$AQ$68,BH$4-$B120+1)</f>
        <v/>
      </c>
      <c r="BI120" s="75">
        <f>$C120*INDEX(Curves!$AQ$8:$AQ$68,BI$4-$B120+1)</f>
        <v/>
      </c>
      <c r="BJ120" s="75">
        <f>$C120*INDEX(Curves!$AQ$8:$AQ$68,BJ$4-$B120+1)</f>
        <v/>
      </c>
      <c r="BK120" s="75">
        <f>$C120*INDEX(Curves!$AQ$8:$AQ$68,BK$4-$B120+1)</f>
        <v/>
      </c>
      <c r="BL120" s="75">
        <f>$C120*INDEX(Curves!$AQ$8:$AQ$68,BL$4-$B120+1)</f>
        <v/>
      </c>
    </row>
    <row r="121">
      <c r="A121" s="74" t="inlineStr">
        <is>
          <t>Cohort month 49</t>
        </is>
      </c>
      <c r="B121" s="74" t="n">
        <v>49</v>
      </c>
      <c r="C121" s="17">
        <f>INDEX(Ops!$E$84:$BL$84,1,$B121)</f>
        <v/>
      </c>
      <c r="BB121" s="75">
        <f>$C121*INDEX(Curves!$AQ$8:$AQ$68,BB$4-$B121+1)</f>
        <v/>
      </c>
      <c r="BC121" s="75">
        <f>$C121*INDEX(Curves!$AQ$8:$AQ$68,BC$4-$B121+1)</f>
        <v/>
      </c>
      <c r="BD121" s="75">
        <f>$C121*INDEX(Curves!$AQ$8:$AQ$68,BD$4-$B121+1)</f>
        <v/>
      </c>
      <c r="BE121" s="75">
        <f>$C121*INDEX(Curves!$AQ$8:$AQ$68,BE$4-$B121+1)</f>
        <v/>
      </c>
      <c r="BF121" s="75">
        <f>$C121*INDEX(Curves!$AQ$8:$AQ$68,BF$4-$B121+1)</f>
        <v/>
      </c>
      <c r="BG121" s="75">
        <f>$C121*INDEX(Curves!$AQ$8:$AQ$68,BG$4-$B121+1)</f>
        <v/>
      </c>
      <c r="BH121" s="75">
        <f>$C121*INDEX(Curves!$AQ$8:$AQ$68,BH$4-$B121+1)</f>
        <v/>
      </c>
      <c r="BI121" s="75">
        <f>$C121*INDEX(Curves!$AQ$8:$AQ$68,BI$4-$B121+1)</f>
        <v/>
      </c>
      <c r="BJ121" s="75">
        <f>$C121*INDEX(Curves!$AQ$8:$AQ$68,BJ$4-$B121+1)</f>
        <v/>
      </c>
      <c r="BK121" s="75">
        <f>$C121*INDEX(Curves!$AQ$8:$AQ$68,BK$4-$B121+1)</f>
        <v/>
      </c>
      <c r="BL121" s="75">
        <f>$C121*INDEX(Curves!$AQ$8:$AQ$68,BL$4-$B121+1)</f>
        <v/>
      </c>
    </row>
    <row r="122">
      <c r="A122" s="74" t="inlineStr">
        <is>
          <t>Cohort month 50</t>
        </is>
      </c>
      <c r="B122" s="74" t="n">
        <v>50</v>
      </c>
      <c r="C122" s="17">
        <f>INDEX(Ops!$E$84:$BL$84,1,$B122)</f>
        <v/>
      </c>
      <c r="BC122" s="75">
        <f>$C122*INDEX(Curves!$AQ$8:$AQ$68,BC$4-$B122+1)</f>
        <v/>
      </c>
      <c r="BD122" s="75">
        <f>$C122*INDEX(Curves!$AQ$8:$AQ$68,BD$4-$B122+1)</f>
        <v/>
      </c>
      <c r="BE122" s="75">
        <f>$C122*INDEX(Curves!$AQ$8:$AQ$68,BE$4-$B122+1)</f>
        <v/>
      </c>
      <c r="BF122" s="75">
        <f>$C122*INDEX(Curves!$AQ$8:$AQ$68,BF$4-$B122+1)</f>
        <v/>
      </c>
      <c r="BG122" s="75">
        <f>$C122*INDEX(Curves!$AQ$8:$AQ$68,BG$4-$B122+1)</f>
        <v/>
      </c>
      <c r="BH122" s="75">
        <f>$C122*INDEX(Curves!$AQ$8:$AQ$68,BH$4-$B122+1)</f>
        <v/>
      </c>
      <c r="BI122" s="75">
        <f>$C122*INDEX(Curves!$AQ$8:$AQ$68,BI$4-$B122+1)</f>
        <v/>
      </c>
      <c r="BJ122" s="75">
        <f>$C122*INDEX(Curves!$AQ$8:$AQ$68,BJ$4-$B122+1)</f>
        <v/>
      </c>
      <c r="BK122" s="75">
        <f>$C122*INDEX(Curves!$AQ$8:$AQ$68,BK$4-$B122+1)</f>
        <v/>
      </c>
      <c r="BL122" s="75">
        <f>$C122*INDEX(Curves!$AQ$8:$AQ$68,BL$4-$B122+1)</f>
        <v/>
      </c>
    </row>
    <row r="123">
      <c r="A123" s="74" t="inlineStr">
        <is>
          <t>Cohort month 51</t>
        </is>
      </c>
      <c r="B123" s="74" t="n">
        <v>51</v>
      </c>
      <c r="C123" s="17">
        <f>INDEX(Ops!$E$84:$BL$84,1,$B123)</f>
        <v/>
      </c>
      <c r="BD123" s="75">
        <f>$C123*INDEX(Curves!$AQ$8:$AQ$68,BD$4-$B123+1)</f>
        <v/>
      </c>
      <c r="BE123" s="75">
        <f>$C123*INDEX(Curves!$AQ$8:$AQ$68,BE$4-$B123+1)</f>
        <v/>
      </c>
      <c r="BF123" s="75">
        <f>$C123*INDEX(Curves!$AQ$8:$AQ$68,BF$4-$B123+1)</f>
        <v/>
      </c>
      <c r="BG123" s="75">
        <f>$C123*INDEX(Curves!$AQ$8:$AQ$68,BG$4-$B123+1)</f>
        <v/>
      </c>
      <c r="BH123" s="75">
        <f>$C123*INDEX(Curves!$AQ$8:$AQ$68,BH$4-$B123+1)</f>
        <v/>
      </c>
      <c r="BI123" s="75">
        <f>$C123*INDEX(Curves!$AQ$8:$AQ$68,BI$4-$B123+1)</f>
        <v/>
      </c>
      <c r="BJ123" s="75">
        <f>$C123*INDEX(Curves!$AQ$8:$AQ$68,BJ$4-$B123+1)</f>
        <v/>
      </c>
      <c r="BK123" s="75">
        <f>$C123*INDEX(Curves!$AQ$8:$AQ$68,BK$4-$B123+1)</f>
        <v/>
      </c>
      <c r="BL123" s="75">
        <f>$C123*INDEX(Curves!$AQ$8:$AQ$68,BL$4-$B123+1)</f>
        <v/>
      </c>
    </row>
    <row r="124">
      <c r="A124" s="74" t="inlineStr">
        <is>
          <t>Cohort month 52</t>
        </is>
      </c>
      <c r="B124" s="74" t="n">
        <v>52</v>
      </c>
      <c r="C124" s="17">
        <f>INDEX(Ops!$E$84:$BL$84,1,$B124)</f>
        <v/>
      </c>
      <c r="BE124" s="75">
        <f>$C124*INDEX(Curves!$AQ$8:$AQ$68,BE$4-$B124+1)</f>
        <v/>
      </c>
      <c r="BF124" s="75">
        <f>$C124*INDEX(Curves!$AQ$8:$AQ$68,BF$4-$B124+1)</f>
        <v/>
      </c>
      <c r="BG124" s="75">
        <f>$C124*INDEX(Curves!$AQ$8:$AQ$68,BG$4-$B124+1)</f>
        <v/>
      </c>
      <c r="BH124" s="75">
        <f>$C124*INDEX(Curves!$AQ$8:$AQ$68,BH$4-$B124+1)</f>
        <v/>
      </c>
      <c r="BI124" s="75">
        <f>$C124*INDEX(Curves!$AQ$8:$AQ$68,BI$4-$B124+1)</f>
        <v/>
      </c>
      <c r="BJ124" s="75">
        <f>$C124*INDEX(Curves!$AQ$8:$AQ$68,BJ$4-$B124+1)</f>
        <v/>
      </c>
      <c r="BK124" s="75">
        <f>$C124*INDEX(Curves!$AQ$8:$AQ$68,BK$4-$B124+1)</f>
        <v/>
      </c>
      <c r="BL124" s="75">
        <f>$C124*INDEX(Curves!$AQ$8:$AQ$68,BL$4-$B124+1)</f>
        <v/>
      </c>
    </row>
    <row r="125">
      <c r="A125" s="74" t="inlineStr">
        <is>
          <t>Cohort month 53</t>
        </is>
      </c>
      <c r="B125" s="74" t="n">
        <v>53</v>
      </c>
      <c r="C125" s="17">
        <f>INDEX(Ops!$E$84:$BL$84,1,$B125)</f>
        <v/>
      </c>
      <c r="BF125" s="75">
        <f>$C125*INDEX(Curves!$AQ$8:$AQ$68,BF$4-$B125+1)</f>
        <v/>
      </c>
      <c r="BG125" s="75">
        <f>$C125*INDEX(Curves!$AQ$8:$AQ$68,BG$4-$B125+1)</f>
        <v/>
      </c>
      <c r="BH125" s="75">
        <f>$C125*INDEX(Curves!$AQ$8:$AQ$68,BH$4-$B125+1)</f>
        <v/>
      </c>
      <c r="BI125" s="75">
        <f>$C125*INDEX(Curves!$AQ$8:$AQ$68,BI$4-$B125+1)</f>
        <v/>
      </c>
      <c r="BJ125" s="75">
        <f>$C125*INDEX(Curves!$AQ$8:$AQ$68,BJ$4-$B125+1)</f>
        <v/>
      </c>
      <c r="BK125" s="75">
        <f>$C125*INDEX(Curves!$AQ$8:$AQ$68,BK$4-$B125+1)</f>
        <v/>
      </c>
      <c r="BL125" s="75">
        <f>$C125*INDEX(Curves!$AQ$8:$AQ$68,BL$4-$B125+1)</f>
        <v/>
      </c>
    </row>
    <row r="126">
      <c r="A126" s="74" t="inlineStr">
        <is>
          <t>Cohort month 54</t>
        </is>
      </c>
      <c r="B126" s="74" t="n">
        <v>54</v>
      </c>
      <c r="C126" s="17">
        <f>INDEX(Ops!$E$84:$BL$84,1,$B126)</f>
        <v/>
      </c>
      <c r="BG126" s="75">
        <f>$C126*INDEX(Curves!$AQ$8:$AQ$68,BG$4-$B126+1)</f>
        <v/>
      </c>
      <c r="BH126" s="75">
        <f>$C126*INDEX(Curves!$AQ$8:$AQ$68,BH$4-$B126+1)</f>
        <v/>
      </c>
      <c r="BI126" s="75">
        <f>$C126*INDEX(Curves!$AQ$8:$AQ$68,BI$4-$B126+1)</f>
        <v/>
      </c>
      <c r="BJ126" s="75">
        <f>$C126*INDEX(Curves!$AQ$8:$AQ$68,BJ$4-$B126+1)</f>
        <v/>
      </c>
      <c r="BK126" s="75">
        <f>$C126*INDEX(Curves!$AQ$8:$AQ$68,BK$4-$B126+1)</f>
        <v/>
      </c>
      <c r="BL126" s="75">
        <f>$C126*INDEX(Curves!$AQ$8:$AQ$68,BL$4-$B126+1)</f>
        <v/>
      </c>
    </row>
    <row r="127">
      <c r="A127" s="74" t="inlineStr">
        <is>
          <t>Cohort month 55</t>
        </is>
      </c>
      <c r="B127" s="74" t="n">
        <v>55</v>
      </c>
      <c r="C127" s="17">
        <f>INDEX(Ops!$E$84:$BL$84,1,$B127)</f>
        <v/>
      </c>
      <c r="BH127" s="75">
        <f>$C127*INDEX(Curves!$AQ$8:$AQ$68,BH$4-$B127+1)</f>
        <v/>
      </c>
      <c r="BI127" s="75">
        <f>$C127*INDEX(Curves!$AQ$8:$AQ$68,BI$4-$B127+1)</f>
        <v/>
      </c>
      <c r="BJ127" s="75">
        <f>$C127*INDEX(Curves!$AQ$8:$AQ$68,BJ$4-$B127+1)</f>
        <v/>
      </c>
      <c r="BK127" s="75">
        <f>$C127*INDEX(Curves!$AQ$8:$AQ$68,BK$4-$B127+1)</f>
        <v/>
      </c>
      <c r="BL127" s="75">
        <f>$C127*INDEX(Curves!$AQ$8:$AQ$68,BL$4-$B127+1)</f>
        <v/>
      </c>
    </row>
    <row r="128">
      <c r="A128" s="74" t="inlineStr">
        <is>
          <t>Cohort month 56</t>
        </is>
      </c>
      <c r="B128" s="74" t="n">
        <v>56</v>
      </c>
      <c r="C128" s="17">
        <f>INDEX(Ops!$E$84:$BL$84,1,$B128)</f>
        <v/>
      </c>
      <c r="BI128" s="75">
        <f>$C128*INDEX(Curves!$AQ$8:$AQ$68,BI$4-$B128+1)</f>
        <v/>
      </c>
      <c r="BJ128" s="75">
        <f>$C128*INDEX(Curves!$AQ$8:$AQ$68,BJ$4-$B128+1)</f>
        <v/>
      </c>
      <c r="BK128" s="75">
        <f>$C128*INDEX(Curves!$AQ$8:$AQ$68,BK$4-$B128+1)</f>
        <v/>
      </c>
      <c r="BL128" s="75">
        <f>$C128*INDEX(Curves!$AQ$8:$AQ$68,BL$4-$B128+1)</f>
        <v/>
      </c>
    </row>
    <row r="129">
      <c r="A129" s="74" t="inlineStr">
        <is>
          <t>Cohort month 57</t>
        </is>
      </c>
      <c r="B129" s="74" t="n">
        <v>57</v>
      </c>
      <c r="C129" s="17">
        <f>INDEX(Ops!$E$84:$BL$84,1,$B129)</f>
        <v/>
      </c>
      <c r="BJ129" s="75">
        <f>$C129*INDEX(Curves!$AQ$8:$AQ$68,BJ$4-$B129+1)</f>
        <v/>
      </c>
      <c r="BK129" s="75">
        <f>$C129*INDEX(Curves!$AQ$8:$AQ$68,BK$4-$B129+1)</f>
        <v/>
      </c>
      <c r="BL129" s="75">
        <f>$C129*INDEX(Curves!$AQ$8:$AQ$68,BL$4-$B129+1)</f>
        <v/>
      </c>
    </row>
    <row r="130">
      <c r="A130" s="74" t="inlineStr">
        <is>
          <t>Cohort month 58</t>
        </is>
      </c>
      <c r="B130" s="74" t="n">
        <v>58</v>
      </c>
      <c r="C130" s="17">
        <f>INDEX(Ops!$E$84:$BL$84,1,$B130)</f>
        <v/>
      </c>
      <c r="BK130" s="75">
        <f>$C130*INDEX(Curves!$AQ$8:$AQ$68,BK$4-$B130+1)</f>
        <v/>
      </c>
      <c r="BL130" s="75">
        <f>$C130*INDEX(Curves!$AQ$8:$AQ$68,BL$4-$B130+1)</f>
        <v/>
      </c>
    </row>
    <row r="131">
      <c r="A131" s="74" t="inlineStr">
        <is>
          <t>Cohort month 59</t>
        </is>
      </c>
      <c r="B131" s="74" t="n">
        <v>59</v>
      </c>
      <c r="C131" s="17">
        <f>INDEX(Ops!$E$84:$BL$84,1,$B131)</f>
        <v/>
      </c>
      <c r="BL131" s="75">
        <f>$C131*INDEX(Curves!$AQ$8:$AQ$68,BL$4-$B131+1)</f>
        <v/>
      </c>
    </row>
    <row r="132">
      <c r="A132" s="74" t="inlineStr">
        <is>
          <t>Cohort month 60</t>
        </is>
      </c>
      <c r="B132" s="74" t="n">
        <v>60</v>
      </c>
      <c r="C132" s="17">
        <f>INDEX(Ops!$E$84:$BL$84,1,$B132)</f>
        <v/>
      </c>
    </row>
    <row r="133"/>
    <row r="134">
      <c r="A134" s="14" t="inlineStr">
        <is>
          <t>Receivables at risk by cohort (LCY)</t>
        </is>
      </c>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c r="AL134" s="15" t="n"/>
      <c r="AM134" s="15" t="n"/>
      <c r="AN134" s="15" t="n"/>
      <c r="AO134" s="15" t="n"/>
      <c r="AP134" s="15" t="n"/>
      <c r="AQ134" s="15" t="n"/>
      <c r="AR134" s="15" t="n"/>
      <c r="AS134" s="15" t="n"/>
      <c r="AT134" s="15" t="n"/>
      <c r="AU134" s="15" t="n"/>
      <c r="AV134" s="15" t="n"/>
      <c r="AW134" s="15" t="n"/>
      <c r="AX134" s="15" t="n"/>
      <c r="AY134" s="15" t="n"/>
      <c r="AZ134" s="15" t="n"/>
      <c r="BA134" s="15" t="n"/>
      <c r="BB134" s="15" t="n"/>
      <c r="BC134" s="15" t="n"/>
      <c r="BD134" s="15" t="n"/>
      <c r="BE134" s="15" t="n"/>
      <c r="BF134" s="15" t="n"/>
      <c r="BG134" s="15" t="n"/>
      <c r="BH134" s="15" t="n"/>
      <c r="BI134" s="15" t="n"/>
      <c r="BJ134" s="15" t="n"/>
      <c r="BK134" s="15" t="n"/>
      <c r="BL134" s="15" t="n"/>
    </row>
    <row r="135">
      <c r="A135" s="60" t="inlineStr">
        <is>
          <t>Total</t>
        </is>
      </c>
      <c r="B135" s="61" t="inlineStr"/>
      <c r="C135" s="63" t="n"/>
      <c r="D135" s="63" t="n"/>
      <c r="E135" s="71">
        <f>SUM(E136:E195)</f>
        <v/>
      </c>
      <c r="F135" s="71">
        <f>SUM(F136:F195)</f>
        <v/>
      </c>
      <c r="G135" s="71">
        <f>SUM(G136:G195)</f>
        <v/>
      </c>
      <c r="H135" s="71">
        <f>SUM(H136:H195)</f>
        <v/>
      </c>
      <c r="I135" s="71">
        <f>SUM(I136:I195)</f>
        <v/>
      </c>
      <c r="J135" s="71">
        <f>SUM(J136:J195)</f>
        <v/>
      </c>
      <c r="K135" s="71">
        <f>SUM(K136:K195)</f>
        <v/>
      </c>
      <c r="L135" s="71">
        <f>SUM(L136:L195)</f>
        <v/>
      </c>
      <c r="M135" s="71">
        <f>SUM(M136:M195)</f>
        <v/>
      </c>
      <c r="N135" s="71">
        <f>SUM(N136:N195)</f>
        <v/>
      </c>
      <c r="O135" s="71">
        <f>SUM(O136:O195)</f>
        <v/>
      </c>
      <c r="P135" s="71">
        <f>SUM(P136:P195)</f>
        <v/>
      </c>
      <c r="Q135" s="71">
        <f>SUM(Q136:Q195)</f>
        <v/>
      </c>
      <c r="R135" s="71">
        <f>SUM(R136:R195)</f>
        <v/>
      </c>
      <c r="S135" s="71">
        <f>SUM(S136:S195)</f>
        <v/>
      </c>
      <c r="T135" s="71">
        <f>SUM(T136:T195)</f>
        <v/>
      </c>
      <c r="U135" s="71">
        <f>SUM(U136:U195)</f>
        <v/>
      </c>
      <c r="V135" s="71">
        <f>SUM(V136:V195)</f>
        <v/>
      </c>
      <c r="W135" s="71">
        <f>SUM(W136:W195)</f>
        <v/>
      </c>
      <c r="X135" s="71">
        <f>SUM(X136:X195)</f>
        <v/>
      </c>
      <c r="Y135" s="71">
        <f>SUM(Y136:Y195)</f>
        <v/>
      </c>
      <c r="Z135" s="71">
        <f>SUM(Z136:Z195)</f>
        <v/>
      </c>
      <c r="AA135" s="71">
        <f>SUM(AA136:AA195)</f>
        <v/>
      </c>
      <c r="AB135" s="71">
        <f>SUM(AB136:AB195)</f>
        <v/>
      </c>
      <c r="AC135" s="71">
        <f>SUM(AC136:AC195)</f>
        <v/>
      </c>
      <c r="AD135" s="71">
        <f>SUM(AD136:AD195)</f>
        <v/>
      </c>
      <c r="AE135" s="71">
        <f>SUM(AE136:AE195)</f>
        <v/>
      </c>
      <c r="AF135" s="71">
        <f>SUM(AF136:AF195)</f>
        <v/>
      </c>
      <c r="AG135" s="71">
        <f>SUM(AG136:AG195)</f>
        <v/>
      </c>
      <c r="AH135" s="71">
        <f>SUM(AH136:AH195)</f>
        <v/>
      </c>
      <c r="AI135" s="71">
        <f>SUM(AI136:AI195)</f>
        <v/>
      </c>
      <c r="AJ135" s="71">
        <f>SUM(AJ136:AJ195)</f>
        <v/>
      </c>
      <c r="AK135" s="71">
        <f>SUM(AK136:AK195)</f>
        <v/>
      </c>
      <c r="AL135" s="71">
        <f>SUM(AL136:AL195)</f>
        <v/>
      </c>
      <c r="AM135" s="71">
        <f>SUM(AM136:AM195)</f>
        <v/>
      </c>
      <c r="AN135" s="71">
        <f>SUM(AN136:AN195)</f>
        <v/>
      </c>
      <c r="AO135" s="71">
        <f>SUM(AO136:AO195)</f>
        <v/>
      </c>
      <c r="AP135" s="71">
        <f>SUM(AP136:AP195)</f>
        <v/>
      </c>
      <c r="AQ135" s="71">
        <f>SUM(AQ136:AQ195)</f>
        <v/>
      </c>
      <c r="AR135" s="71">
        <f>SUM(AR136:AR195)</f>
        <v/>
      </c>
      <c r="AS135" s="71">
        <f>SUM(AS136:AS195)</f>
        <v/>
      </c>
      <c r="AT135" s="71">
        <f>SUM(AT136:AT195)</f>
        <v/>
      </c>
      <c r="AU135" s="71">
        <f>SUM(AU136:AU195)</f>
        <v/>
      </c>
      <c r="AV135" s="71">
        <f>SUM(AV136:AV195)</f>
        <v/>
      </c>
      <c r="AW135" s="71">
        <f>SUM(AW136:AW195)</f>
        <v/>
      </c>
      <c r="AX135" s="71">
        <f>SUM(AX136:AX195)</f>
        <v/>
      </c>
      <c r="AY135" s="71">
        <f>SUM(AY136:AY195)</f>
        <v/>
      </c>
      <c r="AZ135" s="71">
        <f>SUM(AZ136:AZ195)</f>
        <v/>
      </c>
      <c r="BA135" s="71">
        <f>SUM(BA136:BA195)</f>
        <v/>
      </c>
      <c r="BB135" s="71">
        <f>SUM(BB136:BB195)</f>
        <v/>
      </c>
      <c r="BC135" s="71">
        <f>SUM(BC136:BC195)</f>
        <v/>
      </c>
      <c r="BD135" s="71">
        <f>SUM(BD136:BD195)</f>
        <v/>
      </c>
      <c r="BE135" s="71">
        <f>SUM(BE136:BE195)</f>
        <v/>
      </c>
      <c r="BF135" s="71">
        <f>SUM(BF136:BF195)</f>
        <v/>
      </c>
      <c r="BG135" s="71">
        <f>SUM(BG136:BG195)</f>
        <v/>
      </c>
      <c r="BH135" s="71">
        <f>SUM(BH136:BH195)</f>
        <v/>
      </c>
      <c r="BI135" s="71">
        <f>SUM(BI136:BI195)</f>
        <v/>
      </c>
      <c r="BJ135" s="71">
        <f>SUM(BJ136:BJ195)</f>
        <v/>
      </c>
      <c r="BK135" s="71">
        <f>SUM(BK136:BK195)</f>
        <v/>
      </c>
      <c r="BL135" s="71">
        <f>SUM(BL136:BL195)</f>
        <v/>
      </c>
    </row>
    <row r="136">
      <c r="A136" s="74" t="inlineStr">
        <is>
          <t>Cohort month 1</t>
        </is>
      </c>
      <c r="B136" s="74" t="n">
        <v>1</v>
      </c>
      <c r="C136" s="17">
        <f>INDEX(Ops!$E$85:$BL$85,1,$B136)</f>
        <v/>
      </c>
      <c r="F136" s="75">
        <f>$C136*INDEX(Curves!$AP$8:$AP$68,F$4-$B136+1)</f>
        <v/>
      </c>
      <c r="G136" s="75">
        <f>$C136*INDEX(Curves!$AP$8:$AP$68,G$4-$B136+1)</f>
        <v/>
      </c>
      <c r="H136" s="75">
        <f>$C136*INDEX(Curves!$AP$8:$AP$68,H$4-$B136+1)</f>
        <v/>
      </c>
      <c r="I136" s="75">
        <f>$C136*INDEX(Curves!$AP$8:$AP$68,I$4-$B136+1)</f>
        <v/>
      </c>
      <c r="J136" s="75">
        <f>$C136*INDEX(Curves!$AP$8:$AP$68,J$4-$B136+1)</f>
        <v/>
      </c>
      <c r="K136" s="75">
        <f>$C136*INDEX(Curves!$AP$8:$AP$68,K$4-$B136+1)</f>
        <v/>
      </c>
      <c r="L136" s="75">
        <f>$C136*INDEX(Curves!$AP$8:$AP$68,L$4-$B136+1)</f>
        <v/>
      </c>
      <c r="M136" s="75">
        <f>$C136*INDEX(Curves!$AP$8:$AP$68,M$4-$B136+1)</f>
        <v/>
      </c>
      <c r="N136" s="75">
        <f>$C136*INDEX(Curves!$AP$8:$AP$68,N$4-$B136+1)</f>
        <v/>
      </c>
      <c r="O136" s="75">
        <f>$C136*INDEX(Curves!$AP$8:$AP$68,O$4-$B136+1)</f>
        <v/>
      </c>
      <c r="P136" s="75">
        <f>$C136*INDEX(Curves!$AP$8:$AP$68,P$4-$B136+1)</f>
        <v/>
      </c>
      <c r="Q136" s="75">
        <f>$C136*INDEX(Curves!$AP$8:$AP$68,Q$4-$B136+1)</f>
        <v/>
      </c>
      <c r="R136" s="75">
        <f>$C136*INDEX(Curves!$AP$8:$AP$68,R$4-$B136+1)</f>
        <v/>
      </c>
      <c r="S136" s="75">
        <f>$C136*INDEX(Curves!$AP$8:$AP$68,S$4-$B136+1)</f>
        <v/>
      </c>
      <c r="T136" s="75">
        <f>$C136*INDEX(Curves!$AP$8:$AP$68,T$4-$B136+1)</f>
        <v/>
      </c>
      <c r="U136" s="75">
        <f>$C136*INDEX(Curves!$AP$8:$AP$68,U$4-$B136+1)</f>
        <v/>
      </c>
      <c r="V136" s="75">
        <f>$C136*INDEX(Curves!$AP$8:$AP$68,V$4-$B136+1)</f>
        <v/>
      </c>
      <c r="W136" s="75">
        <f>$C136*INDEX(Curves!$AP$8:$AP$68,W$4-$B136+1)</f>
        <v/>
      </c>
      <c r="X136" s="75">
        <f>$C136*INDEX(Curves!$AP$8:$AP$68,X$4-$B136+1)</f>
        <v/>
      </c>
      <c r="Y136" s="75">
        <f>$C136*INDEX(Curves!$AP$8:$AP$68,Y$4-$B136+1)</f>
        <v/>
      </c>
      <c r="Z136" s="75">
        <f>$C136*INDEX(Curves!$AP$8:$AP$68,Z$4-$B136+1)</f>
        <v/>
      </c>
      <c r="AA136" s="75">
        <f>$C136*INDEX(Curves!$AP$8:$AP$68,AA$4-$B136+1)</f>
        <v/>
      </c>
      <c r="AB136" s="75">
        <f>$C136*INDEX(Curves!$AP$8:$AP$68,AB$4-$B136+1)</f>
        <v/>
      </c>
      <c r="AC136" s="75">
        <f>$C136*INDEX(Curves!$AP$8:$AP$68,AC$4-$B136+1)</f>
        <v/>
      </c>
      <c r="AD136" s="75">
        <f>$C136*INDEX(Curves!$AP$8:$AP$68,AD$4-$B136+1)</f>
        <v/>
      </c>
      <c r="AE136" s="75">
        <f>$C136*INDEX(Curves!$AP$8:$AP$68,AE$4-$B136+1)</f>
        <v/>
      </c>
      <c r="AF136" s="75">
        <f>$C136*INDEX(Curves!$AP$8:$AP$68,AF$4-$B136+1)</f>
        <v/>
      </c>
      <c r="AG136" s="75">
        <f>$C136*INDEX(Curves!$AP$8:$AP$68,AG$4-$B136+1)</f>
        <v/>
      </c>
      <c r="AH136" s="75">
        <f>$C136*INDEX(Curves!$AP$8:$AP$68,AH$4-$B136+1)</f>
        <v/>
      </c>
      <c r="AI136" s="75">
        <f>$C136*INDEX(Curves!$AP$8:$AP$68,AI$4-$B136+1)</f>
        <v/>
      </c>
      <c r="AJ136" s="75">
        <f>$C136*INDEX(Curves!$AP$8:$AP$68,AJ$4-$B136+1)</f>
        <v/>
      </c>
      <c r="AK136" s="75">
        <f>$C136*INDEX(Curves!$AP$8:$AP$68,AK$4-$B136+1)</f>
        <v/>
      </c>
      <c r="AL136" s="75">
        <f>$C136*INDEX(Curves!$AP$8:$AP$68,AL$4-$B136+1)</f>
        <v/>
      </c>
      <c r="AM136" s="75">
        <f>$C136*INDEX(Curves!$AP$8:$AP$68,AM$4-$B136+1)</f>
        <v/>
      </c>
      <c r="AN136" s="75">
        <f>$C136*INDEX(Curves!$AP$8:$AP$68,AN$4-$B136+1)</f>
        <v/>
      </c>
      <c r="AO136" s="75">
        <f>$C136*INDEX(Curves!$AP$8:$AP$68,AO$4-$B136+1)</f>
        <v/>
      </c>
      <c r="AP136" s="75">
        <f>$C136*INDEX(Curves!$AP$8:$AP$68,AP$4-$B136+1)</f>
        <v/>
      </c>
      <c r="AQ136" s="75">
        <f>$C136*INDEX(Curves!$AP$8:$AP$68,AQ$4-$B136+1)</f>
        <v/>
      </c>
      <c r="AR136" s="75">
        <f>$C136*INDEX(Curves!$AP$8:$AP$68,AR$4-$B136+1)</f>
        <v/>
      </c>
      <c r="AS136" s="75">
        <f>$C136*INDEX(Curves!$AP$8:$AP$68,AS$4-$B136+1)</f>
        <v/>
      </c>
      <c r="AT136" s="75">
        <f>$C136*INDEX(Curves!$AP$8:$AP$68,AT$4-$B136+1)</f>
        <v/>
      </c>
      <c r="AU136" s="75">
        <f>$C136*INDEX(Curves!$AP$8:$AP$68,AU$4-$B136+1)</f>
        <v/>
      </c>
      <c r="AV136" s="75">
        <f>$C136*INDEX(Curves!$AP$8:$AP$68,AV$4-$B136+1)</f>
        <v/>
      </c>
      <c r="AW136" s="75">
        <f>$C136*INDEX(Curves!$AP$8:$AP$68,AW$4-$B136+1)</f>
        <v/>
      </c>
      <c r="AX136" s="75">
        <f>$C136*INDEX(Curves!$AP$8:$AP$68,AX$4-$B136+1)</f>
        <v/>
      </c>
      <c r="AY136" s="75">
        <f>$C136*INDEX(Curves!$AP$8:$AP$68,AY$4-$B136+1)</f>
        <v/>
      </c>
      <c r="AZ136" s="75">
        <f>$C136*INDEX(Curves!$AP$8:$AP$68,AZ$4-$B136+1)</f>
        <v/>
      </c>
      <c r="BA136" s="75">
        <f>$C136*INDEX(Curves!$AP$8:$AP$68,BA$4-$B136+1)</f>
        <v/>
      </c>
      <c r="BB136" s="75">
        <f>$C136*INDEX(Curves!$AP$8:$AP$68,BB$4-$B136+1)</f>
        <v/>
      </c>
      <c r="BC136" s="75">
        <f>$C136*INDEX(Curves!$AP$8:$AP$68,BC$4-$B136+1)</f>
        <v/>
      </c>
      <c r="BD136" s="75">
        <f>$C136*INDEX(Curves!$AP$8:$AP$68,BD$4-$B136+1)</f>
        <v/>
      </c>
      <c r="BE136" s="75">
        <f>$C136*INDEX(Curves!$AP$8:$AP$68,BE$4-$B136+1)</f>
        <v/>
      </c>
      <c r="BF136" s="75">
        <f>$C136*INDEX(Curves!$AP$8:$AP$68,BF$4-$B136+1)</f>
        <v/>
      </c>
      <c r="BG136" s="75">
        <f>$C136*INDEX(Curves!$AP$8:$AP$68,BG$4-$B136+1)</f>
        <v/>
      </c>
      <c r="BH136" s="75">
        <f>$C136*INDEX(Curves!$AP$8:$AP$68,BH$4-$B136+1)</f>
        <v/>
      </c>
      <c r="BI136" s="75">
        <f>$C136*INDEX(Curves!$AP$8:$AP$68,BI$4-$B136+1)</f>
        <v/>
      </c>
      <c r="BJ136" s="75">
        <f>$C136*INDEX(Curves!$AP$8:$AP$68,BJ$4-$B136+1)</f>
        <v/>
      </c>
      <c r="BK136" s="75">
        <f>$C136*INDEX(Curves!$AP$8:$AP$68,BK$4-$B136+1)</f>
        <v/>
      </c>
      <c r="BL136" s="75">
        <f>$C136*INDEX(Curves!$AP$8:$AP$68,BL$4-$B136+1)</f>
        <v/>
      </c>
    </row>
    <row r="137">
      <c r="A137" s="74" t="inlineStr">
        <is>
          <t>Cohort month 2</t>
        </is>
      </c>
      <c r="B137" s="74" t="n">
        <v>2</v>
      </c>
      <c r="C137" s="17">
        <f>INDEX(Ops!$E$85:$BL$85,1,$B137)</f>
        <v/>
      </c>
      <c r="G137" s="75">
        <f>$C137*INDEX(Curves!$AP$8:$AP$68,G$4-$B137+1)</f>
        <v/>
      </c>
      <c r="H137" s="75">
        <f>$C137*INDEX(Curves!$AP$8:$AP$68,H$4-$B137+1)</f>
        <v/>
      </c>
      <c r="I137" s="75">
        <f>$C137*INDEX(Curves!$AP$8:$AP$68,I$4-$B137+1)</f>
        <v/>
      </c>
      <c r="J137" s="75">
        <f>$C137*INDEX(Curves!$AP$8:$AP$68,J$4-$B137+1)</f>
        <v/>
      </c>
      <c r="K137" s="75">
        <f>$C137*INDEX(Curves!$AP$8:$AP$68,K$4-$B137+1)</f>
        <v/>
      </c>
      <c r="L137" s="75">
        <f>$C137*INDEX(Curves!$AP$8:$AP$68,L$4-$B137+1)</f>
        <v/>
      </c>
      <c r="M137" s="75">
        <f>$C137*INDEX(Curves!$AP$8:$AP$68,M$4-$B137+1)</f>
        <v/>
      </c>
      <c r="N137" s="75">
        <f>$C137*INDEX(Curves!$AP$8:$AP$68,N$4-$B137+1)</f>
        <v/>
      </c>
      <c r="O137" s="75">
        <f>$C137*INDEX(Curves!$AP$8:$AP$68,O$4-$B137+1)</f>
        <v/>
      </c>
      <c r="P137" s="75">
        <f>$C137*INDEX(Curves!$AP$8:$AP$68,P$4-$B137+1)</f>
        <v/>
      </c>
      <c r="Q137" s="75">
        <f>$C137*INDEX(Curves!$AP$8:$AP$68,Q$4-$B137+1)</f>
        <v/>
      </c>
      <c r="R137" s="75">
        <f>$C137*INDEX(Curves!$AP$8:$AP$68,R$4-$B137+1)</f>
        <v/>
      </c>
      <c r="S137" s="75">
        <f>$C137*INDEX(Curves!$AP$8:$AP$68,S$4-$B137+1)</f>
        <v/>
      </c>
      <c r="T137" s="75">
        <f>$C137*INDEX(Curves!$AP$8:$AP$68,T$4-$B137+1)</f>
        <v/>
      </c>
      <c r="U137" s="75">
        <f>$C137*INDEX(Curves!$AP$8:$AP$68,U$4-$B137+1)</f>
        <v/>
      </c>
      <c r="V137" s="75">
        <f>$C137*INDEX(Curves!$AP$8:$AP$68,V$4-$B137+1)</f>
        <v/>
      </c>
      <c r="W137" s="75">
        <f>$C137*INDEX(Curves!$AP$8:$AP$68,W$4-$B137+1)</f>
        <v/>
      </c>
      <c r="X137" s="75">
        <f>$C137*INDEX(Curves!$AP$8:$AP$68,X$4-$B137+1)</f>
        <v/>
      </c>
      <c r="Y137" s="75">
        <f>$C137*INDEX(Curves!$AP$8:$AP$68,Y$4-$B137+1)</f>
        <v/>
      </c>
      <c r="Z137" s="75">
        <f>$C137*INDEX(Curves!$AP$8:$AP$68,Z$4-$B137+1)</f>
        <v/>
      </c>
      <c r="AA137" s="75">
        <f>$C137*INDEX(Curves!$AP$8:$AP$68,AA$4-$B137+1)</f>
        <v/>
      </c>
      <c r="AB137" s="75">
        <f>$C137*INDEX(Curves!$AP$8:$AP$68,AB$4-$B137+1)</f>
        <v/>
      </c>
      <c r="AC137" s="75">
        <f>$C137*INDEX(Curves!$AP$8:$AP$68,AC$4-$B137+1)</f>
        <v/>
      </c>
      <c r="AD137" s="75">
        <f>$C137*INDEX(Curves!$AP$8:$AP$68,AD$4-$B137+1)</f>
        <v/>
      </c>
      <c r="AE137" s="75">
        <f>$C137*INDEX(Curves!$AP$8:$AP$68,AE$4-$B137+1)</f>
        <v/>
      </c>
      <c r="AF137" s="75">
        <f>$C137*INDEX(Curves!$AP$8:$AP$68,AF$4-$B137+1)</f>
        <v/>
      </c>
      <c r="AG137" s="75">
        <f>$C137*INDEX(Curves!$AP$8:$AP$68,AG$4-$B137+1)</f>
        <v/>
      </c>
      <c r="AH137" s="75">
        <f>$C137*INDEX(Curves!$AP$8:$AP$68,AH$4-$B137+1)</f>
        <v/>
      </c>
      <c r="AI137" s="75">
        <f>$C137*INDEX(Curves!$AP$8:$AP$68,AI$4-$B137+1)</f>
        <v/>
      </c>
      <c r="AJ137" s="75">
        <f>$C137*INDEX(Curves!$AP$8:$AP$68,AJ$4-$B137+1)</f>
        <v/>
      </c>
      <c r="AK137" s="75">
        <f>$C137*INDEX(Curves!$AP$8:$AP$68,AK$4-$B137+1)</f>
        <v/>
      </c>
      <c r="AL137" s="75">
        <f>$C137*INDEX(Curves!$AP$8:$AP$68,AL$4-$B137+1)</f>
        <v/>
      </c>
      <c r="AM137" s="75">
        <f>$C137*INDEX(Curves!$AP$8:$AP$68,AM$4-$B137+1)</f>
        <v/>
      </c>
      <c r="AN137" s="75">
        <f>$C137*INDEX(Curves!$AP$8:$AP$68,AN$4-$B137+1)</f>
        <v/>
      </c>
      <c r="AO137" s="75">
        <f>$C137*INDEX(Curves!$AP$8:$AP$68,AO$4-$B137+1)</f>
        <v/>
      </c>
      <c r="AP137" s="75">
        <f>$C137*INDEX(Curves!$AP$8:$AP$68,AP$4-$B137+1)</f>
        <v/>
      </c>
      <c r="AQ137" s="75">
        <f>$C137*INDEX(Curves!$AP$8:$AP$68,AQ$4-$B137+1)</f>
        <v/>
      </c>
      <c r="AR137" s="75">
        <f>$C137*INDEX(Curves!$AP$8:$AP$68,AR$4-$B137+1)</f>
        <v/>
      </c>
      <c r="AS137" s="75">
        <f>$C137*INDEX(Curves!$AP$8:$AP$68,AS$4-$B137+1)</f>
        <v/>
      </c>
      <c r="AT137" s="75">
        <f>$C137*INDEX(Curves!$AP$8:$AP$68,AT$4-$B137+1)</f>
        <v/>
      </c>
      <c r="AU137" s="75">
        <f>$C137*INDEX(Curves!$AP$8:$AP$68,AU$4-$B137+1)</f>
        <v/>
      </c>
      <c r="AV137" s="75">
        <f>$C137*INDEX(Curves!$AP$8:$AP$68,AV$4-$B137+1)</f>
        <v/>
      </c>
      <c r="AW137" s="75">
        <f>$C137*INDEX(Curves!$AP$8:$AP$68,AW$4-$B137+1)</f>
        <v/>
      </c>
      <c r="AX137" s="75">
        <f>$C137*INDEX(Curves!$AP$8:$AP$68,AX$4-$B137+1)</f>
        <v/>
      </c>
      <c r="AY137" s="75">
        <f>$C137*INDEX(Curves!$AP$8:$AP$68,AY$4-$B137+1)</f>
        <v/>
      </c>
      <c r="AZ137" s="75">
        <f>$C137*INDEX(Curves!$AP$8:$AP$68,AZ$4-$B137+1)</f>
        <v/>
      </c>
      <c r="BA137" s="75">
        <f>$C137*INDEX(Curves!$AP$8:$AP$68,BA$4-$B137+1)</f>
        <v/>
      </c>
      <c r="BB137" s="75">
        <f>$C137*INDEX(Curves!$AP$8:$AP$68,BB$4-$B137+1)</f>
        <v/>
      </c>
      <c r="BC137" s="75">
        <f>$C137*INDEX(Curves!$AP$8:$AP$68,BC$4-$B137+1)</f>
        <v/>
      </c>
      <c r="BD137" s="75">
        <f>$C137*INDEX(Curves!$AP$8:$AP$68,BD$4-$B137+1)</f>
        <v/>
      </c>
      <c r="BE137" s="75">
        <f>$C137*INDEX(Curves!$AP$8:$AP$68,BE$4-$B137+1)</f>
        <v/>
      </c>
      <c r="BF137" s="75">
        <f>$C137*INDEX(Curves!$AP$8:$AP$68,BF$4-$B137+1)</f>
        <v/>
      </c>
      <c r="BG137" s="75">
        <f>$C137*INDEX(Curves!$AP$8:$AP$68,BG$4-$B137+1)</f>
        <v/>
      </c>
      <c r="BH137" s="75">
        <f>$C137*INDEX(Curves!$AP$8:$AP$68,BH$4-$B137+1)</f>
        <v/>
      </c>
      <c r="BI137" s="75">
        <f>$C137*INDEX(Curves!$AP$8:$AP$68,BI$4-$B137+1)</f>
        <v/>
      </c>
      <c r="BJ137" s="75">
        <f>$C137*INDEX(Curves!$AP$8:$AP$68,BJ$4-$B137+1)</f>
        <v/>
      </c>
      <c r="BK137" s="75">
        <f>$C137*INDEX(Curves!$AP$8:$AP$68,BK$4-$B137+1)</f>
        <v/>
      </c>
      <c r="BL137" s="75">
        <f>$C137*INDEX(Curves!$AP$8:$AP$68,BL$4-$B137+1)</f>
        <v/>
      </c>
    </row>
    <row r="138">
      <c r="A138" s="74" t="inlineStr">
        <is>
          <t>Cohort month 3</t>
        </is>
      </c>
      <c r="B138" s="74" t="n">
        <v>3</v>
      </c>
      <c r="C138" s="17">
        <f>INDEX(Ops!$E$85:$BL$85,1,$B138)</f>
        <v/>
      </c>
      <c r="H138" s="75">
        <f>$C138*INDEX(Curves!$AP$8:$AP$68,H$4-$B138+1)</f>
        <v/>
      </c>
      <c r="I138" s="75">
        <f>$C138*INDEX(Curves!$AP$8:$AP$68,I$4-$B138+1)</f>
        <v/>
      </c>
      <c r="J138" s="75">
        <f>$C138*INDEX(Curves!$AP$8:$AP$68,J$4-$B138+1)</f>
        <v/>
      </c>
      <c r="K138" s="75">
        <f>$C138*INDEX(Curves!$AP$8:$AP$68,K$4-$B138+1)</f>
        <v/>
      </c>
      <c r="L138" s="75">
        <f>$C138*INDEX(Curves!$AP$8:$AP$68,L$4-$B138+1)</f>
        <v/>
      </c>
      <c r="M138" s="75">
        <f>$C138*INDEX(Curves!$AP$8:$AP$68,M$4-$B138+1)</f>
        <v/>
      </c>
      <c r="N138" s="75">
        <f>$C138*INDEX(Curves!$AP$8:$AP$68,N$4-$B138+1)</f>
        <v/>
      </c>
      <c r="O138" s="75">
        <f>$C138*INDEX(Curves!$AP$8:$AP$68,O$4-$B138+1)</f>
        <v/>
      </c>
      <c r="P138" s="75">
        <f>$C138*INDEX(Curves!$AP$8:$AP$68,P$4-$B138+1)</f>
        <v/>
      </c>
      <c r="Q138" s="75">
        <f>$C138*INDEX(Curves!$AP$8:$AP$68,Q$4-$B138+1)</f>
        <v/>
      </c>
      <c r="R138" s="75">
        <f>$C138*INDEX(Curves!$AP$8:$AP$68,R$4-$B138+1)</f>
        <v/>
      </c>
      <c r="S138" s="75">
        <f>$C138*INDEX(Curves!$AP$8:$AP$68,S$4-$B138+1)</f>
        <v/>
      </c>
      <c r="T138" s="75">
        <f>$C138*INDEX(Curves!$AP$8:$AP$68,T$4-$B138+1)</f>
        <v/>
      </c>
      <c r="U138" s="75">
        <f>$C138*INDEX(Curves!$AP$8:$AP$68,U$4-$B138+1)</f>
        <v/>
      </c>
      <c r="V138" s="75">
        <f>$C138*INDEX(Curves!$AP$8:$AP$68,V$4-$B138+1)</f>
        <v/>
      </c>
      <c r="W138" s="75">
        <f>$C138*INDEX(Curves!$AP$8:$AP$68,W$4-$B138+1)</f>
        <v/>
      </c>
      <c r="X138" s="75">
        <f>$C138*INDEX(Curves!$AP$8:$AP$68,X$4-$B138+1)</f>
        <v/>
      </c>
      <c r="Y138" s="75">
        <f>$C138*INDEX(Curves!$AP$8:$AP$68,Y$4-$B138+1)</f>
        <v/>
      </c>
      <c r="Z138" s="75">
        <f>$C138*INDEX(Curves!$AP$8:$AP$68,Z$4-$B138+1)</f>
        <v/>
      </c>
      <c r="AA138" s="75">
        <f>$C138*INDEX(Curves!$AP$8:$AP$68,AA$4-$B138+1)</f>
        <v/>
      </c>
      <c r="AB138" s="75">
        <f>$C138*INDEX(Curves!$AP$8:$AP$68,AB$4-$B138+1)</f>
        <v/>
      </c>
      <c r="AC138" s="75">
        <f>$C138*INDEX(Curves!$AP$8:$AP$68,AC$4-$B138+1)</f>
        <v/>
      </c>
      <c r="AD138" s="75">
        <f>$C138*INDEX(Curves!$AP$8:$AP$68,AD$4-$B138+1)</f>
        <v/>
      </c>
      <c r="AE138" s="75">
        <f>$C138*INDEX(Curves!$AP$8:$AP$68,AE$4-$B138+1)</f>
        <v/>
      </c>
      <c r="AF138" s="75">
        <f>$C138*INDEX(Curves!$AP$8:$AP$68,AF$4-$B138+1)</f>
        <v/>
      </c>
      <c r="AG138" s="75">
        <f>$C138*INDEX(Curves!$AP$8:$AP$68,AG$4-$B138+1)</f>
        <v/>
      </c>
      <c r="AH138" s="75">
        <f>$C138*INDEX(Curves!$AP$8:$AP$68,AH$4-$B138+1)</f>
        <v/>
      </c>
      <c r="AI138" s="75">
        <f>$C138*INDEX(Curves!$AP$8:$AP$68,AI$4-$B138+1)</f>
        <v/>
      </c>
      <c r="AJ138" s="75">
        <f>$C138*INDEX(Curves!$AP$8:$AP$68,AJ$4-$B138+1)</f>
        <v/>
      </c>
      <c r="AK138" s="75">
        <f>$C138*INDEX(Curves!$AP$8:$AP$68,AK$4-$B138+1)</f>
        <v/>
      </c>
      <c r="AL138" s="75">
        <f>$C138*INDEX(Curves!$AP$8:$AP$68,AL$4-$B138+1)</f>
        <v/>
      </c>
      <c r="AM138" s="75">
        <f>$C138*INDEX(Curves!$AP$8:$AP$68,AM$4-$B138+1)</f>
        <v/>
      </c>
      <c r="AN138" s="75">
        <f>$C138*INDEX(Curves!$AP$8:$AP$68,AN$4-$B138+1)</f>
        <v/>
      </c>
      <c r="AO138" s="75">
        <f>$C138*INDEX(Curves!$AP$8:$AP$68,AO$4-$B138+1)</f>
        <v/>
      </c>
      <c r="AP138" s="75">
        <f>$C138*INDEX(Curves!$AP$8:$AP$68,AP$4-$B138+1)</f>
        <v/>
      </c>
      <c r="AQ138" s="75">
        <f>$C138*INDEX(Curves!$AP$8:$AP$68,AQ$4-$B138+1)</f>
        <v/>
      </c>
      <c r="AR138" s="75">
        <f>$C138*INDEX(Curves!$AP$8:$AP$68,AR$4-$B138+1)</f>
        <v/>
      </c>
      <c r="AS138" s="75">
        <f>$C138*INDEX(Curves!$AP$8:$AP$68,AS$4-$B138+1)</f>
        <v/>
      </c>
      <c r="AT138" s="75">
        <f>$C138*INDEX(Curves!$AP$8:$AP$68,AT$4-$B138+1)</f>
        <v/>
      </c>
      <c r="AU138" s="75">
        <f>$C138*INDEX(Curves!$AP$8:$AP$68,AU$4-$B138+1)</f>
        <v/>
      </c>
      <c r="AV138" s="75">
        <f>$C138*INDEX(Curves!$AP$8:$AP$68,AV$4-$B138+1)</f>
        <v/>
      </c>
      <c r="AW138" s="75">
        <f>$C138*INDEX(Curves!$AP$8:$AP$68,AW$4-$B138+1)</f>
        <v/>
      </c>
      <c r="AX138" s="75">
        <f>$C138*INDEX(Curves!$AP$8:$AP$68,AX$4-$B138+1)</f>
        <v/>
      </c>
      <c r="AY138" s="75">
        <f>$C138*INDEX(Curves!$AP$8:$AP$68,AY$4-$B138+1)</f>
        <v/>
      </c>
      <c r="AZ138" s="75">
        <f>$C138*INDEX(Curves!$AP$8:$AP$68,AZ$4-$B138+1)</f>
        <v/>
      </c>
      <c r="BA138" s="75">
        <f>$C138*INDEX(Curves!$AP$8:$AP$68,BA$4-$B138+1)</f>
        <v/>
      </c>
      <c r="BB138" s="75">
        <f>$C138*INDEX(Curves!$AP$8:$AP$68,BB$4-$B138+1)</f>
        <v/>
      </c>
      <c r="BC138" s="75">
        <f>$C138*INDEX(Curves!$AP$8:$AP$68,BC$4-$B138+1)</f>
        <v/>
      </c>
      <c r="BD138" s="75">
        <f>$C138*INDEX(Curves!$AP$8:$AP$68,BD$4-$B138+1)</f>
        <v/>
      </c>
      <c r="BE138" s="75">
        <f>$C138*INDEX(Curves!$AP$8:$AP$68,BE$4-$B138+1)</f>
        <v/>
      </c>
      <c r="BF138" s="75">
        <f>$C138*INDEX(Curves!$AP$8:$AP$68,BF$4-$B138+1)</f>
        <v/>
      </c>
      <c r="BG138" s="75">
        <f>$C138*INDEX(Curves!$AP$8:$AP$68,BG$4-$B138+1)</f>
        <v/>
      </c>
      <c r="BH138" s="75">
        <f>$C138*INDEX(Curves!$AP$8:$AP$68,BH$4-$B138+1)</f>
        <v/>
      </c>
      <c r="BI138" s="75">
        <f>$C138*INDEX(Curves!$AP$8:$AP$68,BI$4-$B138+1)</f>
        <v/>
      </c>
      <c r="BJ138" s="75">
        <f>$C138*INDEX(Curves!$AP$8:$AP$68,BJ$4-$B138+1)</f>
        <v/>
      </c>
      <c r="BK138" s="75">
        <f>$C138*INDEX(Curves!$AP$8:$AP$68,BK$4-$B138+1)</f>
        <v/>
      </c>
      <c r="BL138" s="75">
        <f>$C138*INDEX(Curves!$AP$8:$AP$68,BL$4-$B138+1)</f>
        <v/>
      </c>
    </row>
    <row r="139">
      <c r="A139" s="74" t="inlineStr">
        <is>
          <t>Cohort month 4</t>
        </is>
      </c>
      <c r="B139" s="74" t="n">
        <v>4</v>
      </c>
      <c r="C139" s="17">
        <f>INDEX(Ops!$E$85:$BL$85,1,$B139)</f>
        <v/>
      </c>
      <c r="I139" s="75">
        <f>$C139*INDEX(Curves!$AP$8:$AP$68,I$4-$B139+1)</f>
        <v/>
      </c>
      <c r="J139" s="75">
        <f>$C139*INDEX(Curves!$AP$8:$AP$68,J$4-$B139+1)</f>
        <v/>
      </c>
      <c r="K139" s="75">
        <f>$C139*INDEX(Curves!$AP$8:$AP$68,K$4-$B139+1)</f>
        <v/>
      </c>
      <c r="L139" s="75">
        <f>$C139*INDEX(Curves!$AP$8:$AP$68,L$4-$B139+1)</f>
        <v/>
      </c>
      <c r="M139" s="75">
        <f>$C139*INDEX(Curves!$AP$8:$AP$68,M$4-$B139+1)</f>
        <v/>
      </c>
      <c r="N139" s="75">
        <f>$C139*INDEX(Curves!$AP$8:$AP$68,N$4-$B139+1)</f>
        <v/>
      </c>
      <c r="O139" s="75">
        <f>$C139*INDEX(Curves!$AP$8:$AP$68,O$4-$B139+1)</f>
        <v/>
      </c>
      <c r="P139" s="75">
        <f>$C139*INDEX(Curves!$AP$8:$AP$68,P$4-$B139+1)</f>
        <v/>
      </c>
      <c r="Q139" s="75">
        <f>$C139*INDEX(Curves!$AP$8:$AP$68,Q$4-$B139+1)</f>
        <v/>
      </c>
      <c r="R139" s="75">
        <f>$C139*INDEX(Curves!$AP$8:$AP$68,R$4-$B139+1)</f>
        <v/>
      </c>
      <c r="S139" s="75">
        <f>$C139*INDEX(Curves!$AP$8:$AP$68,S$4-$B139+1)</f>
        <v/>
      </c>
      <c r="T139" s="75">
        <f>$C139*INDEX(Curves!$AP$8:$AP$68,T$4-$B139+1)</f>
        <v/>
      </c>
      <c r="U139" s="75">
        <f>$C139*INDEX(Curves!$AP$8:$AP$68,U$4-$B139+1)</f>
        <v/>
      </c>
      <c r="V139" s="75">
        <f>$C139*INDEX(Curves!$AP$8:$AP$68,V$4-$B139+1)</f>
        <v/>
      </c>
      <c r="W139" s="75">
        <f>$C139*INDEX(Curves!$AP$8:$AP$68,W$4-$B139+1)</f>
        <v/>
      </c>
      <c r="X139" s="75">
        <f>$C139*INDEX(Curves!$AP$8:$AP$68,X$4-$B139+1)</f>
        <v/>
      </c>
      <c r="Y139" s="75">
        <f>$C139*INDEX(Curves!$AP$8:$AP$68,Y$4-$B139+1)</f>
        <v/>
      </c>
      <c r="Z139" s="75">
        <f>$C139*INDEX(Curves!$AP$8:$AP$68,Z$4-$B139+1)</f>
        <v/>
      </c>
      <c r="AA139" s="75">
        <f>$C139*INDEX(Curves!$AP$8:$AP$68,AA$4-$B139+1)</f>
        <v/>
      </c>
      <c r="AB139" s="75">
        <f>$C139*INDEX(Curves!$AP$8:$AP$68,AB$4-$B139+1)</f>
        <v/>
      </c>
      <c r="AC139" s="75">
        <f>$C139*INDEX(Curves!$AP$8:$AP$68,AC$4-$B139+1)</f>
        <v/>
      </c>
      <c r="AD139" s="75">
        <f>$C139*INDEX(Curves!$AP$8:$AP$68,AD$4-$B139+1)</f>
        <v/>
      </c>
      <c r="AE139" s="75">
        <f>$C139*INDEX(Curves!$AP$8:$AP$68,AE$4-$B139+1)</f>
        <v/>
      </c>
      <c r="AF139" s="75">
        <f>$C139*INDEX(Curves!$AP$8:$AP$68,AF$4-$B139+1)</f>
        <v/>
      </c>
      <c r="AG139" s="75">
        <f>$C139*INDEX(Curves!$AP$8:$AP$68,AG$4-$B139+1)</f>
        <v/>
      </c>
      <c r="AH139" s="75">
        <f>$C139*INDEX(Curves!$AP$8:$AP$68,AH$4-$B139+1)</f>
        <v/>
      </c>
      <c r="AI139" s="75">
        <f>$C139*INDEX(Curves!$AP$8:$AP$68,AI$4-$B139+1)</f>
        <v/>
      </c>
      <c r="AJ139" s="75">
        <f>$C139*INDEX(Curves!$AP$8:$AP$68,AJ$4-$B139+1)</f>
        <v/>
      </c>
      <c r="AK139" s="75">
        <f>$C139*INDEX(Curves!$AP$8:$AP$68,AK$4-$B139+1)</f>
        <v/>
      </c>
      <c r="AL139" s="75">
        <f>$C139*INDEX(Curves!$AP$8:$AP$68,AL$4-$B139+1)</f>
        <v/>
      </c>
      <c r="AM139" s="75">
        <f>$C139*INDEX(Curves!$AP$8:$AP$68,AM$4-$B139+1)</f>
        <v/>
      </c>
      <c r="AN139" s="75">
        <f>$C139*INDEX(Curves!$AP$8:$AP$68,AN$4-$B139+1)</f>
        <v/>
      </c>
      <c r="AO139" s="75">
        <f>$C139*INDEX(Curves!$AP$8:$AP$68,AO$4-$B139+1)</f>
        <v/>
      </c>
      <c r="AP139" s="75">
        <f>$C139*INDEX(Curves!$AP$8:$AP$68,AP$4-$B139+1)</f>
        <v/>
      </c>
      <c r="AQ139" s="75">
        <f>$C139*INDEX(Curves!$AP$8:$AP$68,AQ$4-$B139+1)</f>
        <v/>
      </c>
      <c r="AR139" s="75">
        <f>$C139*INDEX(Curves!$AP$8:$AP$68,AR$4-$B139+1)</f>
        <v/>
      </c>
      <c r="AS139" s="75">
        <f>$C139*INDEX(Curves!$AP$8:$AP$68,AS$4-$B139+1)</f>
        <v/>
      </c>
      <c r="AT139" s="75">
        <f>$C139*INDEX(Curves!$AP$8:$AP$68,AT$4-$B139+1)</f>
        <v/>
      </c>
      <c r="AU139" s="75">
        <f>$C139*INDEX(Curves!$AP$8:$AP$68,AU$4-$B139+1)</f>
        <v/>
      </c>
      <c r="AV139" s="75">
        <f>$C139*INDEX(Curves!$AP$8:$AP$68,AV$4-$B139+1)</f>
        <v/>
      </c>
      <c r="AW139" s="75">
        <f>$C139*INDEX(Curves!$AP$8:$AP$68,AW$4-$B139+1)</f>
        <v/>
      </c>
      <c r="AX139" s="75">
        <f>$C139*INDEX(Curves!$AP$8:$AP$68,AX$4-$B139+1)</f>
        <v/>
      </c>
      <c r="AY139" s="75">
        <f>$C139*INDEX(Curves!$AP$8:$AP$68,AY$4-$B139+1)</f>
        <v/>
      </c>
      <c r="AZ139" s="75">
        <f>$C139*INDEX(Curves!$AP$8:$AP$68,AZ$4-$B139+1)</f>
        <v/>
      </c>
      <c r="BA139" s="75">
        <f>$C139*INDEX(Curves!$AP$8:$AP$68,BA$4-$B139+1)</f>
        <v/>
      </c>
      <c r="BB139" s="75">
        <f>$C139*INDEX(Curves!$AP$8:$AP$68,BB$4-$B139+1)</f>
        <v/>
      </c>
      <c r="BC139" s="75">
        <f>$C139*INDEX(Curves!$AP$8:$AP$68,BC$4-$B139+1)</f>
        <v/>
      </c>
      <c r="BD139" s="75">
        <f>$C139*INDEX(Curves!$AP$8:$AP$68,BD$4-$B139+1)</f>
        <v/>
      </c>
      <c r="BE139" s="75">
        <f>$C139*INDEX(Curves!$AP$8:$AP$68,BE$4-$B139+1)</f>
        <v/>
      </c>
      <c r="BF139" s="75">
        <f>$C139*INDEX(Curves!$AP$8:$AP$68,BF$4-$B139+1)</f>
        <v/>
      </c>
      <c r="BG139" s="75">
        <f>$C139*INDEX(Curves!$AP$8:$AP$68,BG$4-$B139+1)</f>
        <v/>
      </c>
      <c r="BH139" s="75">
        <f>$C139*INDEX(Curves!$AP$8:$AP$68,BH$4-$B139+1)</f>
        <v/>
      </c>
      <c r="BI139" s="75">
        <f>$C139*INDEX(Curves!$AP$8:$AP$68,BI$4-$B139+1)</f>
        <v/>
      </c>
      <c r="BJ139" s="75">
        <f>$C139*INDEX(Curves!$AP$8:$AP$68,BJ$4-$B139+1)</f>
        <v/>
      </c>
      <c r="BK139" s="75">
        <f>$C139*INDEX(Curves!$AP$8:$AP$68,BK$4-$B139+1)</f>
        <v/>
      </c>
      <c r="BL139" s="75">
        <f>$C139*INDEX(Curves!$AP$8:$AP$68,BL$4-$B139+1)</f>
        <v/>
      </c>
    </row>
    <row r="140">
      <c r="A140" s="74" t="inlineStr">
        <is>
          <t>Cohort month 5</t>
        </is>
      </c>
      <c r="B140" s="74" t="n">
        <v>5</v>
      </c>
      <c r="C140" s="17">
        <f>INDEX(Ops!$E$85:$BL$85,1,$B140)</f>
        <v/>
      </c>
      <c r="J140" s="75">
        <f>$C140*INDEX(Curves!$AP$8:$AP$68,J$4-$B140+1)</f>
        <v/>
      </c>
      <c r="K140" s="75">
        <f>$C140*INDEX(Curves!$AP$8:$AP$68,K$4-$B140+1)</f>
        <v/>
      </c>
      <c r="L140" s="75">
        <f>$C140*INDEX(Curves!$AP$8:$AP$68,L$4-$B140+1)</f>
        <v/>
      </c>
      <c r="M140" s="75">
        <f>$C140*INDEX(Curves!$AP$8:$AP$68,M$4-$B140+1)</f>
        <v/>
      </c>
      <c r="N140" s="75">
        <f>$C140*INDEX(Curves!$AP$8:$AP$68,N$4-$B140+1)</f>
        <v/>
      </c>
      <c r="O140" s="75">
        <f>$C140*INDEX(Curves!$AP$8:$AP$68,O$4-$B140+1)</f>
        <v/>
      </c>
      <c r="P140" s="75">
        <f>$C140*INDEX(Curves!$AP$8:$AP$68,P$4-$B140+1)</f>
        <v/>
      </c>
      <c r="Q140" s="75">
        <f>$C140*INDEX(Curves!$AP$8:$AP$68,Q$4-$B140+1)</f>
        <v/>
      </c>
      <c r="R140" s="75">
        <f>$C140*INDEX(Curves!$AP$8:$AP$68,R$4-$B140+1)</f>
        <v/>
      </c>
      <c r="S140" s="75">
        <f>$C140*INDEX(Curves!$AP$8:$AP$68,S$4-$B140+1)</f>
        <v/>
      </c>
      <c r="T140" s="75">
        <f>$C140*INDEX(Curves!$AP$8:$AP$68,T$4-$B140+1)</f>
        <v/>
      </c>
      <c r="U140" s="75">
        <f>$C140*INDEX(Curves!$AP$8:$AP$68,U$4-$B140+1)</f>
        <v/>
      </c>
      <c r="V140" s="75">
        <f>$C140*INDEX(Curves!$AP$8:$AP$68,V$4-$B140+1)</f>
        <v/>
      </c>
      <c r="W140" s="75">
        <f>$C140*INDEX(Curves!$AP$8:$AP$68,W$4-$B140+1)</f>
        <v/>
      </c>
      <c r="X140" s="75">
        <f>$C140*INDEX(Curves!$AP$8:$AP$68,X$4-$B140+1)</f>
        <v/>
      </c>
      <c r="Y140" s="75">
        <f>$C140*INDEX(Curves!$AP$8:$AP$68,Y$4-$B140+1)</f>
        <v/>
      </c>
      <c r="Z140" s="75">
        <f>$C140*INDEX(Curves!$AP$8:$AP$68,Z$4-$B140+1)</f>
        <v/>
      </c>
      <c r="AA140" s="75">
        <f>$C140*INDEX(Curves!$AP$8:$AP$68,AA$4-$B140+1)</f>
        <v/>
      </c>
      <c r="AB140" s="75">
        <f>$C140*INDEX(Curves!$AP$8:$AP$68,AB$4-$B140+1)</f>
        <v/>
      </c>
      <c r="AC140" s="75">
        <f>$C140*INDEX(Curves!$AP$8:$AP$68,AC$4-$B140+1)</f>
        <v/>
      </c>
      <c r="AD140" s="75">
        <f>$C140*INDEX(Curves!$AP$8:$AP$68,AD$4-$B140+1)</f>
        <v/>
      </c>
      <c r="AE140" s="75">
        <f>$C140*INDEX(Curves!$AP$8:$AP$68,AE$4-$B140+1)</f>
        <v/>
      </c>
      <c r="AF140" s="75">
        <f>$C140*INDEX(Curves!$AP$8:$AP$68,AF$4-$B140+1)</f>
        <v/>
      </c>
      <c r="AG140" s="75">
        <f>$C140*INDEX(Curves!$AP$8:$AP$68,AG$4-$B140+1)</f>
        <v/>
      </c>
      <c r="AH140" s="75">
        <f>$C140*INDEX(Curves!$AP$8:$AP$68,AH$4-$B140+1)</f>
        <v/>
      </c>
      <c r="AI140" s="75">
        <f>$C140*INDEX(Curves!$AP$8:$AP$68,AI$4-$B140+1)</f>
        <v/>
      </c>
      <c r="AJ140" s="75">
        <f>$C140*INDEX(Curves!$AP$8:$AP$68,AJ$4-$B140+1)</f>
        <v/>
      </c>
      <c r="AK140" s="75">
        <f>$C140*INDEX(Curves!$AP$8:$AP$68,AK$4-$B140+1)</f>
        <v/>
      </c>
      <c r="AL140" s="75">
        <f>$C140*INDEX(Curves!$AP$8:$AP$68,AL$4-$B140+1)</f>
        <v/>
      </c>
      <c r="AM140" s="75">
        <f>$C140*INDEX(Curves!$AP$8:$AP$68,AM$4-$B140+1)</f>
        <v/>
      </c>
      <c r="AN140" s="75">
        <f>$C140*INDEX(Curves!$AP$8:$AP$68,AN$4-$B140+1)</f>
        <v/>
      </c>
      <c r="AO140" s="75">
        <f>$C140*INDEX(Curves!$AP$8:$AP$68,AO$4-$B140+1)</f>
        <v/>
      </c>
      <c r="AP140" s="75">
        <f>$C140*INDEX(Curves!$AP$8:$AP$68,AP$4-$B140+1)</f>
        <v/>
      </c>
      <c r="AQ140" s="75">
        <f>$C140*INDEX(Curves!$AP$8:$AP$68,AQ$4-$B140+1)</f>
        <v/>
      </c>
      <c r="AR140" s="75">
        <f>$C140*INDEX(Curves!$AP$8:$AP$68,AR$4-$B140+1)</f>
        <v/>
      </c>
      <c r="AS140" s="75">
        <f>$C140*INDEX(Curves!$AP$8:$AP$68,AS$4-$B140+1)</f>
        <v/>
      </c>
      <c r="AT140" s="75">
        <f>$C140*INDEX(Curves!$AP$8:$AP$68,AT$4-$B140+1)</f>
        <v/>
      </c>
      <c r="AU140" s="75">
        <f>$C140*INDEX(Curves!$AP$8:$AP$68,AU$4-$B140+1)</f>
        <v/>
      </c>
      <c r="AV140" s="75">
        <f>$C140*INDEX(Curves!$AP$8:$AP$68,AV$4-$B140+1)</f>
        <v/>
      </c>
      <c r="AW140" s="75">
        <f>$C140*INDEX(Curves!$AP$8:$AP$68,AW$4-$B140+1)</f>
        <v/>
      </c>
      <c r="AX140" s="75">
        <f>$C140*INDEX(Curves!$AP$8:$AP$68,AX$4-$B140+1)</f>
        <v/>
      </c>
      <c r="AY140" s="75">
        <f>$C140*INDEX(Curves!$AP$8:$AP$68,AY$4-$B140+1)</f>
        <v/>
      </c>
      <c r="AZ140" s="75">
        <f>$C140*INDEX(Curves!$AP$8:$AP$68,AZ$4-$B140+1)</f>
        <v/>
      </c>
      <c r="BA140" s="75">
        <f>$C140*INDEX(Curves!$AP$8:$AP$68,BA$4-$B140+1)</f>
        <v/>
      </c>
      <c r="BB140" s="75">
        <f>$C140*INDEX(Curves!$AP$8:$AP$68,BB$4-$B140+1)</f>
        <v/>
      </c>
      <c r="BC140" s="75">
        <f>$C140*INDEX(Curves!$AP$8:$AP$68,BC$4-$B140+1)</f>
        <v/>
      </c>
      <c r="BD140" s="75">
        <f>$C140*INDEX(Curves!$AP$8:$AP$68,BD$4-$B140+1)</f>
        <v/>
      </c>
      <c r="BE140" s="75">
        <f>$C140*INDEX(Curves!$AP$8:$AP$68,BE$4-$B140+1)</f>
        <v/>
      </c>
      <c r="BF140" s="75">
        <f>$C140*INDEX(Curves!$AP$8:$AP$68,BF$4-$B140+1)</f>
        <v/>
      </c>
      <c r="BG140" s="75">
        <f>$C140*INDEX(Curves!$AP$8:$AP$68,BG$4-$B140+1)</f>
        <v/>
      </c>
      <c r="BH140" s="75">
        <f>$C140*INDEX(Curves!$AP$8:$AP$68,BH$4-$B140+1)</f>
        <v/>
      </c>
      <c r="BI140" s="75">
        <f>$C140*INDEX(Curves!$AP$8:$AP$68,BI$4-$B140+1)</f>
        <v/>
      </c>
      <c r="BJ140" s="75">
        <f>$C140*INDEX(Curves!$AP$8:$AP$68,BJ$4-$B140+1)</f>
        <v/>
      </c>
      <c r="BK140" s="75">
        <f>$C140*INDEX(Curves!$AP$8:$AP$68,BK$4-$B140+1)</f>
        <v/>
      </c>
      <c r="BL140" s="75">
        <f>$C140*INDEX(Curves!$AP$8:$AP$68,BL$4-$B140+1)</f>
        <v/>
      </c>
    </row>
    <row r="141">
      <c r="A141" s="74" t="inlineStr">
        <is>
          <t>Cohort month 6</t>
        </is>
      </c>
      <c r="B141" s="74" t="n">
        <v>6</v>
      </c>
      <c r="C141" s="17">
        <f>INDEX(Ops!$E$85:$BL$85,1,$B141)</f>
        <v/>
      </c>
      <c r="K141" s="75">
        <f>$C141*INDEX(Curves!$AP$8:$AP$68,K$4-$B141+1)</f>
        <v/>
      </c>
      <c r="L141" s="75">
        <f>$C141*INDEX(Curves!$AP$8:$AP$68,L$4-$B141+1)</f>
        <v/>
      </c>
      <c r="M141" s="75">
        <f>$C141*INDEX(Curves!$AP$8:$AP$68,M$4-$B141+1)</f>
        <v/>
      </c>
      <c r="N141" s="75">
        <f>$C141*INDEX(Curves!$AP$8:$AP$68,N$4-$B141+1)</f>
        <v/>
      </c>
      <c r="O141" s="75">
        <f>$C141*INDEX(Curves!$AP$8:$AP$68,O$4-$B141+1)</f>
        <v/>
      </c>
      <c r="P141" s="75">
        <f>$C141*INDEX(Curves!$AP$8:$AP$68,P$4-$B141+1)</f>
        <v/>
      </c>
      <c r="Q141" s="75">
        <f>$C141*INDEX(Curves!$AP$8:$AP$68,Q$4-$B141+1)</f>
        <v/>
      </c>
      <c r="R141" s="75">
        <f>$C141*INDEX(Curves!$AP$8:$AP$68,R$4-$B141+1)</f>
        <v/>
      </c>
      <c r="S141" s="75">
        <f>$C141*INDEX(Curves!$AP$8:$AP$68,S$4-$B141+1)</f>
        <v/>
      </c>
      <c r="T141" s="75">
        <f>$C141*INDEX(Curves!$AP$8:$AP$68,T$4-$B141+1)</f>
        <v/>
      </c>
      <c r="U141" s="75">
        <f>$C141*INDEX(Curves!$AP$8:$AP$68,U$4-$B141+1)</f>
        <v/>
      </c>
      <c r="V141" s="75">
        <f>$C141*INDEX(Curves!$AP$8:$AP$68,V$4-$B141+1)</f>
        <v/>
      </c>
      <c r="W141" s="75">
        <f>$C141*INDEX(Curves!$AP$8:$AP$68,W$4-$B141+1)</f>
        <v/>
      </c>
      <c r="X141" s="75">
        <f>$C141*INDEX(Curves!$AP$8:$AP$68,X$4-$B141+1)</f>
        <v/>
      </c>
      <c r="Y141" s="75">
        <f>$C141*INDEX(Curves!$AP$8:$AP$68,Y$4-$B141+1)</f>
        <v/>
      </c>
      <c r="Z141" s="75">
        <f>$C141*INDEX(Curves!$AP$8:$AP$68,Z$4-$B141+1)</f>
        <v/>
      </c>
      <c r="AA141" s="75">
        <f>$C141*INDEX(Curves!$AP$8:$AP$68,AA$4-$B141+1)</f>
        <v/>
      </c>
      <c r="AB141" s="75">
        <f>$C141*INDEX(Curves!$AP$8:$AP$68,AB$4-$B141+1)</f>
        <v/>
      </c>
      <c r="AC141" s="75">
        <f>$C141*INDEX(Curves!$AP$8:$AP$68,AC$4-$B141+1)</f>
        <v/>
      </c>
      <c r="AD141" s="75">
        <f>$C141*INDEX(Curves!$AP$8:$AP$68,AD$4-$B141+1)</f>
        <v/>
      </c>
      <c r="AE141" s="75">
        <f>$C141*INDEX(Curves!$AP$8:$AP$68,AE$4-$B141+1)</f>
        <v/>
      </c>
      <c r="AF141" s="75">
        <f>$C141*INDEX(Curves!$AP$8:$AP$68,AF$4-$B141+1)</f>
        <v/>
      </c>
      <c r="AG141" s="75">
        <f>$C141*INDEX(Curves!$AP$8:$AP$68,AG$4-$B141+1)</f>
        <v/>
      </c>
      <c r="AH141" s="75">
        <f>$C141*INDEX(Curves!$AP$8:$AP$68,AH$4-$B141+1)</f>
        <v/>
      </c>
      <c r="AI141" s="75">
        <f>$C141*INDEX(Curves!$AP$8:$AP$68,AI$4-$B141+1)</f>
        <v/>
      </c>
      <c r="AJ141" s="75">
        <f>$C141*INDEX(Curves!$AP$8:$AP$68,AJ$4-$B141+1)</f>
        <v/>
      </c>
      <c r="AK141" s="75">
        <f>$C141*INDEX(Curves!$AP$8:$AP$68,AK$4-$B141+1)</f>
        <v/>
      </c>
      <c r="AL141" s="75">
        <f>$C141*INDEX(Curves!$AP$8:$AP$68,AL$4-$B141+1)</f>
        <v/>
      </c>
      <c r="AM141" s="75">
        <f>$C141*INDEX(Curves!$AP$8:$AP$68,AM$4-$B141+1)</f>
        <v/>
      </c>
      <c r="AN141" s="75">
        <f>$C141*INDEX(Curves!$AP$8:$AP$68,AN$4-$B141+1)</f>
        <v/>
      </c>
      <c r="AO141" s="75">
        <f>$C141*INDEX(Curves!$AP$8:$AP$68,AO$4-$B141+1)</f>
        <v/>
      </c>
      <c r="AP141" s="75">
        <f>$C141*INDEX(Curves!$AP$8:$AP$68,AP$4-$B141+1)</f>
        <v/>
      </c>
      <c r="AQ141" s="75">
        <f>$C141*INDEX(Curves!$AP$8:$AP$68,AQ$4-$B141+1)</f>
        <v/>
      </c>
      <c r="AR141" s="75">
        <f>$C141*INDEX(Curves!$AP$8:$AP$68,AR$4-$B141+1)</f>
        <v/>
      </c>
      <c r="AS141" s="75">
        <f>$C141*INDEX(Curves!$AP$8:$AP$68,AS$4-$B141+1)</f>
        <v/>
      </c>
      <c r="AT141" s="75">
        <f>$C141*INDEX(Curves!$AP$8:$AP$68,AT$4-$B141+1)</f>
        <v/>
      </c>
      <c r="AU141" s="75">
        <f>$C141*INDEX(Curves!$AP$8:$AP$68,AU$4-$B141+1)</f>
        <v/>
      </c>
      <c r="AV141" s="75">
        <f>$C141*INDEX(Curves!$AP$8:$AP$68,AV$4-$B141+1)</f>
        <v/>
      </c>
      <c r="AW141" s="75">
        <f>$C141*INDEX(Curves!$AP$8:$AP$68,AW$4-$B141+1)</f>
        <v/>
      </c>
      <c r="AX141" s="75">
        <f>$C141*INDEX(Curves!$AP$8:$AP$68,AX$4-$B141+1)</f>
        <v/>
      </c>
      <c r="AY141" s="75">
        <f>$C141*INDEX(Curves!$AP$8:$AP$68,AY$4-$B141+1)</f>
        <v/>
      </c>
      <c r="AZ141" s="75">
        <f>$C141*INDEX(Curves!$AP$8:$AP$68,AZ$4-$B141+1)</f>
        <v/>
      </c>
      <c r="BA141" s="75">
        <f>$C141*INDEX(Curves!$AP$8:$AP$68,BA$4-$B141+1)</f>
        <v/>
      </c>
      <c r="BB141" s="75">
        <f>$C141*INDEX(Curves!$AP$8:$AP$68,BB$4-$B141+1)</f>
        <v/>
      </c>
      <c r="BC141" s="75">
        <f>$C141*INDEX(Curves!$AP$8:$AP$68,BC$4-$B141+1)</f>
        <v/>
      </c>
      <c r="BD141" s="75">
        <f>$C141*INDEX(Curves!$AP$8:$AP$68,BD$4-$B141+1)</f>
        <v/>
      </c>
      <c r="BE141" s="75">
        <f>$C141*INDEX(Curves!$AP$8:$AP$68,BE$4-$B141+1)</f>
        <v/>
      </c>
      <c r="BF141" s="75">
        <f>$C141*INDEX(Curves!$AP$8:$AP$68,BF$4-$B141+1)</f>
        <v/>
      </c>
      <c r="BG141" s="75">
        <f>$C141*INDEX(Curves!$AP$8:$AP$68,BG$4-$B141+1)</f>
        <v/>
      </c>
      <c r="BH141" s="75">
        <f>$C141*INDEX(Curves!$AP$8:$AP$68,BH$4-$B141+1)</f>
        <v/>
      </c>
      <c r="BI141" s="75">
        <f>$C141*INDEX(Curves!$AP$8:$AP$68,BI$4-$B141+1)</f>
        <v/>
      </c>
      <c r="BJ141" s="75">
        <f>$C141*INDEX(Curves!$AP$8:$AP$68,BJ$4-$B141+1)</f>
        <v/>
      </c>
      <c r="BK141" s="75">
        <f>$C141*INDEX(Curves!$AP$8:$AP$68,BK$4-$B141+1)</f>
        <v/>
      </c>
      <c r="BL141" s="75">
        <f>$C141*INDEX(Curves!$AP$8:$AP$68,BL$4-$B141+1)</f>
        <v/>
      </c>
    </row>
    <row r="142">
      <c r="A142" s="74" t="inlineStr">
        <is>
          <t>Cohort month 7</t>
        </is>
      </c>
      <c r="B142" s="74" t="n">
        <v>7</v>
      </c>
      <c r="C142" s="17">
        <f>INDEX(Ops!$E$85:$BL$85,1,$B142)</f>
        <v/>
      </c>
      <c r="L142" s="75">
        <f>$C142*INDEX(Curves!$AP$8:$AP$68,L$4-$B142+1)</f>
        <v/>
      </c>
      <c r="M142" s="75">
        <f>$C142*INDEX(Curves!$AP$8:$AP$68,M$4-$B142+1)</f>
        <v/>
      </c>
      <c r="N142" s="75">
        <f>$C142*INDEX(Curves!$AP$8:$AP$68,N$4-$B142+1)</f>
        <v/>
      </c>
      <c r="O142" s="75">
        <f>$C142*INDEX(Curves!$AP$8:$AP$68,O$4-$B142+1)</f>
        <v/>
      </c>
      <c r="P142" s="75">
        <f>$C142*INDEX(Curves!$AP$8:$AP$68,P$4-$B142+1)</f>
        <v/>
      </c>
      <c r="Q142" s="75">
        <f>$C142*INDEX(Curves!$AP$8:$AP$68,Q$4-$B142+1)</f>
        <v/>
      </c>
      <c r="R142" s="75">
        <f>$C142*INDEX(Curves!$AP$8:$AP$68,R$4-$B142+1)</f>
        <v/>
      </c>
      <c r="S142" s="75">
        <f>$C142*INDEX(Curves!$AP$8:$AP$68,S$4-$B142+1)</f>
        <v/>
      </c>
      <c r="T142" s="75">
        <f>$C142*INDEX(Curves!$AP$8:$AP$68,T$4-$B142+1)</f>
        <v/>
      </c>
      <c r="U142" s="75">
        <f>$C142*INDEX(Curves!$AP$8:$AP$68,U$4-$B142+1)</f>
        <v/>
      </c>
      <c r="V142" s="75">
        <f>$C142*INDEX(Curves!$AP$8:$AP$68,V$4-$B142+1)</f>
        <v/>
      </c>
      <c r="W142" s="75">
        <f>$C142*INDEX(Curves!$AP$8:$AP$68,W$4-$B142+1)</f>
        <v/>
      </c>
      <c r="X142" s="75">
        <f>$C142*INDEX(Curves!$AP$8:$AP$68,X$4-$B142+1)</f>
        <v/>
      </c>
      <c r="Y142" s="75">
        <f>$C142*INDEX(Curves!$AP$8:$AP$68,Y$4-$B142+1)</f>
        <v/>
      </c>
      <c r="Z142" s="75">
        <f>$C142*INDEX(Curves!$AP$8:$AP$68,Z$4-$B142+1)</f>
        <v/>
      </c>
      <c r="AA142" s="75">
        <f>$C142*INDEX(Curves!$AP$8:$AP$68,AA$4-$B142+1)</f>
        <v/>
      </c>
      <c r="AB142" s="75">
        <f>$C142*INDEX(Curves!$AP$8:$AP$68,AB$4-$B142+1)</f>
        <v/>
      </c>
      <c r="AC142" s="75">
        <f>$C142*INDEX(Curves!$AP$8:$AP$68,AC$4-$B142+1)</f>
        <v/>
      </c>
      <c r="AD142" s="75">
        <f>$C142*INDEX(Curves!$AP$8:$AP$68,AD$4-$B142+1)</f>
        <v/>
      </c>
      <c r="AE142" s="75">
        <f>$C142*INDEX(Curves!$AP$8:$AP$68,AE$4-$B142+1)</f>
        <v/>
      </c>
      <c r="AF142" s="75">
        <f>$C142*INDEX(Curves!$AP$8:$AP$68,AF$4-$B142+1)</f>
        <v/>
      </c>
      <c r="AG142" s="75">
        <f>$C142*INDEX(Curves!$AP$8:$AP$68,AG$4-$B142+1)</f>
        <v/>
      </c>
      <c r="AH142" s="75">
        <f>$C142*INDEX(Curves!$AP$8:$AP$68,AH$4-$B142+1)</f>
        <v/>
      </c>
      <c r="AI142" s="75">
        <f>$C142*INDEX(Curves!$AP$8:$AP$68,AI$4-$B142+1)</f>
        <v/>
      </c>
      <c r="AJ142" s="75">
        <f>$C142*INDEX(Curves!$AP$8:$AP$68,AJ$4-$B142+1)</f>
        <v/>
      </c>
      <c r="AK142" s="75">
        <f>$C142*INDEX(Curves!$AP$8:$AP$68,AK$4-$B142+1)</f>
        <v/>
      </c>
      <c r="AL142" s="75">
        <f>$C142*INDEX(Curves!$AP$8:$AP$68,AL$4-$B142+1)</f>
        <v/>
      </c>
      <c r="AM142" s="75">
        <f>$C142*INDEX(Curves!$AP$8:$AP$68,AM$4-$B142+1)</f>
        <v/>
      </c>
      <c r="AN142" s="75">
        <f>$C142*INDEX(Curves!$AP$8:$AP$68,AN$4-$B142+1)</f>
        <v/>
      </c>
      <c r="AO142" s="75">
        <f>$C142*INDEX(Curves!$AP$8:$AP$68,AO$4-$B142+1)</f>
        <v/>
      </c>
      <c r="AP142" s="75">
        <f>$C142*INDEX(Curves!$AP$8:$AP$68,AP$4-$B142+1)</f>
        <v/>
      </c>
      <c r="AQ142" s="75">
        <f>$C142*INDEX(Curves!$AP$8:$AP$68,AQ$4-$B142+1)</f>
        <v/>
      </c>
      <c r="AR142" s="75">
        <f>$C142*INDEX(Curves!$AP$8:$AP$68,AR$4-$B142+1)</f>
        <v/>
      </c>
      <c r="AS142" s="75">
        <f>$C142*INDEX(Curves!$AP$8:$AP$68,AS$4-$B142+1)</f>
        <v/>
      </c>
      <c r="AT142" s="75">
        <f>$C142*INDEX(Curves!$AP$8:$AP$68,AT$4-$B142+1)</f>
        <v/>
      </c>
      <c r="AU142" s="75">
        <f>$C142*INDEX(Curves!$AP$8:$AP$68,AU$4-$B142+1)</f>
        <v/>
      </c>
      <c r="AV142" s="75">
        <f>$C142*INDEX(Curves!$AP$8:$AP$68,AV$4-$B142+1)</f>
        <v/>
      </c>
      <c r="AW142" s="75">
        <f>$C142*INDEX(Curves!$AP$8:$AP$68,AW$4-$B142+1)</f>
        <v/>
      </c>
      <c r="AX142" s="75">
        <f>$C142*INDEX(Curves!$AP$8:$AP$68,AX$4-$B142+1)</f>
        <v/>
      </c>
      <c r="AY142" s="75">
        <f>$C142*INDEX(Curves!$AP$8:$AP$68,AY$4-$B142+1)</f>
        <v/>
      </c>
      <c r="AZ142" s="75">
        <f>$C142*INDEX(Curves!$AP$8:$AP$68,AZ$4-$B142+1)</f>
        <v/>
      </c>
      <c r="BA142" s="75">
        <f>$C142*INDEX(Curves!$AP$8:$AP$68,BA$4-$B142+1)</f>
        <v/>
      </c>
      <c r="BB142" s="75">
        <f>$C142*INDEX(Curves!$AP$8:$AP$68,BB$4-$B142+1)</f>
        <v/>
      </c>
      <c r="BC142" s="75">
        <f>$C142*INDEX(Curves!$AP$8:$AP$68,BC$4-$B142+1)</f>
        <v/>
      </c>
      <c r="BD142" s="75">
        <f>$C142*INDEX(Curves!$AP$8:$AP$68,BD$4-$B142+1)</f>
        <v/>
      </c>
      <c r="BE142" s="75">
        <f>$C142*INDEX(Curves!$AP$8:$AP$68,BE$4-$B142+1)</f>
        <v/>
      </c>
      <c r="BF142" s="75">
        <f>$C142*INDEX(Curves!$AP$8:$AP$68,BF$4-$B142+1)</f>
        <v/>
      </c>
      <c r="BG142" s="75">
        <f>$C142*INDEX(Curves!$AP$8:$AP$68,BG$4-$B142+1)</f>
        <v/>
      </c>
      <c r="BH142" s="75">
        <f>$C142*INDEX(Curves!$AP$8:$AP$68,BH$4-$B142+1)</f>
        <v/>
      </c>
      <c r="BI142" s="75">
        <f>$C142*INDEX(Curves!$AP$8:$AP$68,BI$4-$B142+1)</f>
        <v/>
      </c>
      <c r="BJ142" s="75">
        <f>$C142*INDEX(Curves!$AP$8:$AP$68,BJ$4-$B142+1)</f>
        <v/>
      </c>
      <c r="BK142" s="75">
        <f>$C142*INDEX(Curves!$AP$8:$AP$68,BK$4-$B142+1)</f>
        <v/>
      </c>
      <c r="BL142" s="75">
        <f>$C142*INDEX(Curves!$AP$8:$AP$68,BL$4-$B142+1)</f>
        <v/>
      </c>
    </row>
    <row r="143">
      <c r="A143" s="74" t="inlineStr">
        <is>
          <t>Cohort month 8</t>
        </is>
      </c>
      <c r="B143" s="74" t="n">
        <v>8</v>
      </c>
      <c r="C143" s="17">
        <f>INDEX(Ops!$E$85:$BL$85,1,$B143)</f>
        <v/>
      </c>
      <c r="M143" s="75">
        <f>$C143*INDEX(Curves!$AP$8:$AP$68,M$4-$B143+1)</f>
        <v/>
      </c>
      <c r="N143" s="75">
        <f>$C143*INDEX(Curves!$AP$8:$AP$68,N$4-$B143+1)</f>
        <v/>
      </c>
      <c r="O143" s="75">
        <f>$C143*INDEX(Curves!$AP$8:$AP$68,O$4-$B143+1)</f>
        <v/>
      </c>
      <c r="P143" s="75">
        <f>$C143*INDEX(Curves!$AP$8:$AP$68,P$4-$B143+1)</f>
        <v/>
      </c>
      <c r="Q143" s="75">
        <f>$C143*INDEX(Curves!$AP$8:$AP$68,Q$4-$B143+1)</f>
        <v/>
      </c>
      <c r="R143" s="75">
        <f>$C143*INDEX(Curves!$AP$8:$AP$68,R$4-$B143+1)</f>
        <v/>
      </c>
      <c r="S143" s="75">
        <f>$C143*INDEX(Curves!$AP$8:$AP$68,S$4-$B143+1)</f>
        <v/>
      </c>
      <c r="T143" s="75">
        <f>$C143*INDEX(Curves!$AP$8:$AP$68,T$4-$B143+1)</f>
        <v/>
      </c>
      <c r="U143" s="75">
        <f>$C143*INDEX(Curves!$AP$8:$AP$68,U$4-$B143+1)</f>
        <v/>
      </c>
      <c r="V143" s="75">
        <f>$C143*INDEX(Curves!$AP$8:$AP$68,V$4-$B143+1)</f>
        <v/>
      </c>
      <c r="W143" s="75">
        <f>$C143*INDEX(Curves!$AP$8:$AP$68,W$4-$B143+1)</f>
        <v/>
      </c>
      <c r="X143" s="75">
        <f>$C143*INDEX(Curves!$AP$8:$AP$68,X$4-$B143+1)</f>
        <v/>
      </c>
      <c r="Y143" s="75">
        <f>$C143*INDEX(Curves!$AP$8:$AP$68,Y$4-$B143+1)</f>
        <v/>
      </c>
      <c r="Z143" s="75">
        <f>$C143*INDEX(Curves!$AP$8:$AP$68,Z$4-$B143+1)</f>
        <v/>
      </c>
      <c r="AA143" s="75">
        <f>$C143*INDEX(Curves!$AP$8:$AP$68,AA$4-$B143+1)</f>
        <v/>
      </c>
      <c r="AB143" s="75">
        <f>$C143*INDEX(Curves!$AP$8:$AP$68,AB$4-$B143+1)</f>
        <v/>
      </c>
      <c r="AC143" s="75">
        <f>$C143*INDEX(Curves!$AP$8:$AP$68,AC$4-$B143+1)</f>
        <v/>
      </c>
      <c r="AD143" s="75">
        <f>$C143*INDEX(Curves!$AP$8:$AP$68,AD$4-$B143+1)</f>
        <v/>
      </c>
      <c r="AE143" s="75">
        <f>$C143*INDEX(Curves!$AP$8:$AP$68,AE$4-$B143+1)</f>
        <v/>
      </c>
      <c r="AF143" s="75">
        <f>$C143*INDEX(Curves!$AP$8:$AP$68,AF$4-$B143+1)</f>
        <v/>
      </c>
      <c r="AG143" s="75">
        <f>$C143*INDEX(Curves!$AP$8:$AP$68,AG$4-$B143+1)</f>
        <v/>
      </c>
      <c r="AH143" s="75">
        <f>$C143*INDEX(Curves!$AP$8:$AP$68,AH$4-$B143+1)</f>
        <v/>
      </c>
      <c r="AI143" s="75">
        <f>$C143*INDEX(Curves!$AP$8:$AP$68,AI$4-$B143+1)</f>
        <v/>
      </c>
      <c r="AJ143" s="75">
        <f>$C143*INDEX(Curves!$AP$8:$AP$68,AJ$4-$B143+1)</f>
        <v/>
      </c>
      <c r="AK143" s="75">
        <f>$C143*INDEX(Curves!$AP$8:$AP$68,AK$4-$B143+1)</f>
        <v/>
      </c>
      <c r="AL143" s="75">
        <f>$C143*INDEX(Curves!$AP$8:$AP$68,AL$4-$B143+1)</f>
        <v/>
      </c>
      <c r="AM143" s="75">
        <f>$C143*INDEX(Curves!$AP$8:$AP$68,AM$4-$B143+1)</f>
        <v/>
      </c>
      <c r="AN143" s="75">
        <f>$C143*INDEX(Curves!$AP$8:$AP$68,AN$4-$B143+1)</f>
        <v/>
      </c>
      <c r="AO143" s="75">
        <f>$C143*INDEX(Curves!$AP$8:$AP$68,AO$4-$B143+1)</f>
        <v/>
      </c>
      <c r="AP143" s="75">
        <f>$C143*INDEX(Curves!$AP$8:$AP$68,AP$4-$B143+1)</f>
        <v/>
      </c>
      <c r="AQ143" s="75">
        <f>$C143*INDEX(Curves!$AP$8:$AP$68,AQ$4-$B143+1)</f>
        <v/>
      </c>
      <c r="AR143" s="75">
        <f>$C143*INDEX(Curves!$AP$8:$AP$68,AR$4-$B143+1)</f>
        <v/>
      </c>
      <c r="AS143" s="75">
        <f>$C143*INDEX(Curves!$AP$8:$AP$68,AS$4-$B143+1)</f>
        <v/>
      </c>
      <c r="AT143" s="75">
        <f>$C143*INDEX(Curves!$AP$8:$AP$68,AT$4-$B143+1)</f>
        <v/>
      </c>
      <c r="AU143" s="75">
        <f>$C143*INDEX(Curves!$AP$8:$AP$68,AU$4-$B143+1)</f>
        <v/>
      </c>
      <c r="AV143" s="75">
        <f>$C143*INDEX(Curves!$AP$8:$AP$68,AV$4-$B143+1)</f>
        <v/>
      </c>
      <c r="AW143" s="75">
        <f>$C143*INDEX(Curves!$AP$8:$AP$68,AW$4-$B143+1)</f>
        <v/>
      </c>
      <c r="AX143" s="75">
        <f>$C143*INDEX(Curves!$AP$8:$AP$68,AX$4-$B143+1)</f>
        <v/>
      </c>
      <c r="AY143" s="75">
        <f>$C143*INDEX(Curves!$AP$8:$AP$68,AY$4-$B143+1)</f>
        <v/>
      </c>
      <c r="AZ143" s="75">
        <f>$C143*INDEX(Curves!$AP$8:$AP$68,AZ$4-$B143+1)</f>
        <v/>
      </c>
      <c r="BA143" s="75">
        <f>$C143*INDEX(Curves!$AP$8:$AP$68,BA$4-$B143+1)</f>
        <v/>
      </c>
      <c r="BB143" s="75">
        <f>$C143*INDEX(Curves!$AP$8:$AP$68,BB$4-$B143+1)</f>
        <v/>
      </c>
      <c r="BC143" s="75">
        <f>$C143*INDEX(Curves!$AP$8:$AP$68,BC$4-$B143+1)</f>
        <v/>
      </c>
      <c r="BD143" s="75">
        <f>$C143*INDEX(Curves!$AP$8:$AP$68,BD$4-$B143+1)</f>
        <v/>
      </c>
      <c r="BE143" s="75">
        <f>$C143*INDEX(Curves!$AP$8:$AP$68,BE$4-$B143+1)</f>
        <v/>
      </c>
      <c r="BF143" s="75">
        <f>$C143*INDEX(Curves!$AP$8:$AP$68,BF$4-$B143+1)</f>
        <v/>
      </c>
      <c r="BG143" s="75">
        <f>$C143*INDEX(Curves!$AP$8:$AP$68,BG$4-$B143+1)</f>
        <v/>
      </c>
      <c r="BH143" s="75">
        <f>$C143*INDEX(Curves!$AP$8:$AP$68,BH$4-$B143+1)</f>
        <v/>
      </c>
      <c r="BI143" s="75">
        <f>$C143*INDEX(Curves!$AP$8:$AP$68,BI$4-$B143+1)</f>
        <v/>
      </c>
      <c r="BJ143" s="75">
        <f>$C143*INDEX(Curves!$AP$8:$AP$68,BJ$4-$B143+1)</f>
        <v/>
      </c>
      <c r="BK143" s="75">
        <f>$C143*INDEX(Curves!$AP$8:$AP$68,BK$4-$B143+1)</f>
        <v/>
      </c>
      <c r="BL143" s="75">
        <f>$C143*INDEX(Curves!$AP$8:$AP$68,BL$4-$B143+1)</f>
        <v/>
      </c>
    </row>
    <row r="144">
      <c r="A144" s="74" t="inlineStr">
        <is>
          <t>Cohort month 9</t>
        </is>
      </c>
      <c r="B144" s="74" t="n">
        <v>9</v>
      </c>
      <c r="C144" s="17">
        <f>INDEX(Ops!$E$85:$BL$85,1,$B144)</f>
        <v/>
      </c>
      <c r="N144" s="75">
        <f>$C144*INDEX(Curves!$AP$8:$AP$68,N$4-$B144+1)</f>
        <v/>
      </c>
      <c r="O144" s="75">
        <f>$C144*INDEX(Curves!$AP$8:$AP$68,O$4-$B144+1)</f>
        <v/>
      </c>
      <c r="P144" s="75">
        <f>$C144*INDEX(Curves!$AP$8:$AP$68,P$4-$B144+1)</f>
        <v/>
      </c>
      <c r="Q144" s="75">
        <f>$C144*INDEX(Curves!$AP$8:$AP$68,Q$4-$B144+1)</f>
        <v/>
      </c>
      <c r="R144" s="75">
        <f>$C144*INDEX(Curves!$AP$8:$AP$68,R$4-$B144+1)</f>
        <v/>
      </c>
      <c r="S144" s="75">
        <f>$C144*INDEX(Curves!$AP$8:$AP$68,S$4-$B144+1)</f>
        <v/>
      </c>
      <c r="T144" s="75">
        <f>$C144*INDEX(Curves!$AP$8:$AP$68,T$4-$B144+1)</f>
        <v/>
      </c>
      <c r="U144" s="75">
        <f>$C144*INDEX(Curves!$AP$8:$AP$68,U$4-$B144+1)</f>
        <v/>
      </c>
      <c r="V144" s="75">
        <f>$C144*INDEX(Curves!$AP$8:$AP$68,V$4-$B144+1)</f>
        <v/>
      </c>
      <c r="W144" s="75">
        <f>$C144*INDEX(Curves!$AP$8:$AP$68,W$4-$B144+1)</f>
        <v/>
      </c>
      <c r="X144" s="75">
        <f>$C144*INDEX(Curves!$AP$8:$AP$68,X$4-$B144+1)</f>
        <v/>
      </c>
      <c r="Y144" s="75">
        <f>$C144*INDEX(Curves!$AP$8:$AP$68,Y$4-$B144+1)</f>
        <v/>
      </c>
      <c r="Z144" s="75">
        <f>$C144*INDEX(Curves!$AP$8:$AP$68,Z$4-$B144+1)</f>
        <v/>
      </c>
      <c r="AA144" s="75">
        <f>$C144*INDEX(Curves!$AP$8:$AP$68,AA$4-$B144+1)</f>
        <v/>
      </c>
      <c r="AB144" s="75">
        <f>$C144*INDEX(Curves!$AP$8:$AP$68,AB$4-$B144+1)</f>
        <v/>
      </c>
      <c r="AC144" s="75">
        <f>$C144*INDEX(Curves!$AP$8:$AP$68,AC$4-$B144+1)</f>
        <v/>
      </c>
      <c r="AD144" s="75">
        <f>$C144*INDEX(Curves!$AP$8:$AP$68,AD$4-$B144+1)</f>
        <v/>
      </c>
      <c r="AE144" s="75">
        <f>$C144*INDEX(Curves!$AP$8:$AP$68,AE$4-$B144+1)</f>
        <v/>
      </c>
      <c r="AF144" s="75">
        <f>$C144*INDEX(Curves!$AP$8:$AP$68,AF$4-$B144+1)</f>
        <v/>
      </c>
      <c r="AG144" s="75">
        <f>$C144*INDEX(Curves!$AP$8:$AP$68,AG$4-$B144+1)</f>
        <v/>
      </c>
      <c r="AH144" s="75">
        <f>$C144*INDEX(Curves!$AP$8:$AP$68,AH$4-$B144+1)</f>
        <v/>
      </c>
      <c r="AI144" s="75">
        <f>$C144*INDEX(Curves!$AP$8:$AP$68,AI$4-$B144+1)</f>
        <v/>
      </c>
      <c r="AJ144" s="75">
        <f>$C144*INDEX(Curves!$AP$8:$AP$68,AJ$4-$B144+1)</f>
        <v/>
      </c>
      <c r="AK144" s="75">
        <f>$C144*INDEX(Curves!$AP$8:$AP$68,AK$4-$B144+1)</f>
        <v/>
      </c>
      <c r="AL144" s="75">
        <f>$C144*INDEX(Curves!$AP$8:$AP$68,AL$4-$B144+1)</f>
        <v/>
      </c>
      <c r="AM144" s="75">
        <f>$C144*INDEX(Curves!$AP$8:$AP$68,AM$4-$B144+1)</f>
        <v/>
      </c>
      <c r="AN144" s="75">
        <f>$C144*INDEX(Curves!$AP$8:$AP$68,AN$4-$B144+1)</f>
        <v/>
      </c>
      <c r="AO144" s="75">
        <f>$C144*INDEX(Curves!$AP$8:$AP$68,AO$4-$B144+1)</f>
        <v/>
      </c>
      <c r="AP144" s="75">
        <f>$C144*INDEX(Curves!$AP$8:$AP$68,AP$4-$B144+1)</f>
        <v/>
      </c>
      <c r="AQ144" s="75">
        <f>$C144*INDEX(Curves!$AP$8:$AP$68,AQ$4-$B144+1)</f>
        <v/>
      </c>
      <c r="AR144" s="75">
        <f>$C144*INDEX(Curves!$AP$8:$AP$68,AR$4-$B144+1)</f>
        <v/>
      </c>
      <c r="AS144" s="75">
        <f>$C144*INDEX(Curves!$AP$8:$AP$68,AS$4-$B144+1)</f>
        <v/>
      </c>
      <c r="AT144" s="75">
        <f>$C144*INDEX(Curves!$AP$8:$AP$68,AT$4-$B144+1)</f>
        <v/>
      </c>
      <c r="AU144" s="75">
        <f>$C144*INDEX(Curves!$AP$8:$AP$68,AU$4-$B144+1)</f>
        <v/>
      </c>
      <c r="AV144" s="75">
        <f>$C144*INDEX(Curves!$AP$8:$AP$68,AV$4-$B144+1)</f>
        <v/>
      </c>
      <c r="AW144" s="75">
        <f>$C144*INDEX(Curves!$AP$8:$AP$68,AW$4-$B144+1)</f>
        <v/>
      </c>
      <c r="AX144" s="75">
        <f>$C144*INDEX(Curves!$AP$8:$AP$68,AX$4-$B144+1)</f>
        <v/>
      </c>
      <c r="AY144" s="75">
        <f>$C144*INDEX(Curves!$AP$8:$AP$68,AY$4-$B144+1)</f>
        <v/>
      </c>
      <c r="AZ144" s="75">
        <f>$C144*INDEX(Curves!$AP$8:$AP$68,AZ$4-$B144+1)</f>
        <v/>
      </c>
      <c r="BA144" s="75">
        <f>$C144*INDEX(Curves!$AP$8:$AP$68,BA$4-$B144+1)</f>
        <v/>
      </c>
      <c r="BB144" s="75">
        <f>$C144*INDEX(Curves!$AP$8:$AP$68,BB$4-$B144+1)</f>
        <v/>
      </c>
      <c r="BC144" s="75">
        <f>$C144*INDEX(Curves!$AP$8:$AP$68,BC$4-$B144+1)</f>
        <v/>
      </c>
      <c r="BD144" s="75">
        <f>$C144*INDEX(Curves!$AP$8:$AP$68,BD$4-$B144+1)</f>
        <v/>
      </c>
      <c r="BE144" s="75">
        <f>$C144*INDEX(Curves!$AP$8:$AP$68,BE$4-$B144+1)</f>
        <v/>
      </c>
      <c r="BF144" s="75">
        <f>$C144*INDEX(Curves!$AP$8:$AP$68,BF$4-$B144+1)</f>
        <v/>
      </c>
      <c r="BG144" s="75">
        <f>$C144*INDEX(Curves!$AP$8:$AP$68,BG$4-$B144+1)</f>
        <v/>
      </c>
      <c r="BH144" s="75">
        <f>$C144*INDEX(Curves!$AP$8:$AP$68,BH$4-$B144+1)</f>
        <v/>
      </c>
      <c r="BI144" s="75">
        <f>$C144*INDEX(Curves!$AP$8:$AP$68,BI$4-$B144+1)</f>
        <v/>
      </c>
      <c r="BJ144" s="75">
        <f>$C144*INDEX(Curves!$AP$8:$AP$68,BJ$4-$B144+1)</f>
        <v/>
      </c>
      <c r="BK144" s="75">
        <f>$C144*INDEX(Curves!$AP$8:$AP$68,BK$4-$B144+1)</f>
        <v/>
      </c>
      <c r="BL144" s="75">
        <f>$C144*INDEX(Curves!$AP$8:$AP$68,BL$4-$B144+1)</f>
        <v/>
      </c>
    </row>
    <row r="145">
      <c r="A145" s="74" t="inlineStr">
        <is>
          <t>Cohort month 10</t>
        </is>
      </c>
      <c r="B145" s="74" t="n">
        <v>10</v>
      </c>
      <c r="C145" s="17">
        <f>INDEX(Ops!$E$85:$BL$85,1,$B145)</f>
        <v/>
      </c>
      <c r="O145" s="75">
        <f>$C145*INDEX(Curves!$AP$8:$AP$68,O$4-$B145+1)</f>
        <v/>
      </c>
      <c r="P145" s="75">
        <f>$C145*INDEX(Curves!$AP$8:$AP$68,P$4-$B145+1)</f>
        <v/>
      </c>
      <c r="Q145" s="75">
        <f>$C145*INDEX(Curves!$AP$8:$AP$68,Q$4-$B145+1)</f>
        <v/>
      </c>
      <c r="R145" s="75">
        <f>$C145*INDEX(Curves!$AP$8:$AP$68,R$4-$B145+1)</f>
        <v/>
      </c>
      <c r="S145" s="75">
        <f>$C145*INDEX(Curves!$AP$8:$AP$68,S$4-$B145+1)</f>
        <v/>
      </c>
      <c r="T145" s="75">
        <f>$C145*INDEX(Curves!$AP$8:$AP$68,T$4-$B145+1)</f>
        <v/>
      </c>
      <c r="U145" s="75">
        <f>$C145*INDEX(Curves!$AP$8:$AP$68,U$4-$B145+1)</f>
        <v/>
      </c>
      <c r="V145" s="75">
        <f>$C145*INDEX(Curves!$AP$8:$AP$68,V$4-$B145+1)</f>
        <v/>
      </c>
      <c r="W145" s="75">
        <f>$C145*INDEX(Curves!$AP$8:$AP$68,W$4-$B145+1)</f>
        <v/>
      </c>
      <c r="X145" s="75">
        <f>$C145*INDEX(Curves!$AP$8:$AP$68,X$4-$B145+1)</f>
        <v/>
      </c>
      <c r="Y145" s="75">
        <f>$C145*INDEX(Curves!$AP$8:$AP$68,Y$4-$B145+1)</f>
        <v/>
      </c>
      <c r="Z145" s="75">
        <f>$C145*INDEX(Curves!$AP$8:$AP$68,Z$4-$B145+1)</f>
        <v/>
      </c>
      <c r="AA145" s="75">
        <f>$C145*INDEX(Curves!$AP$8:$AP$68,AA$4-$B145+1)</f>
        <v/>
      </c>
      <c r="AB145" s="75">
        <f>$C145*INDEX(Curves!$AP$8:$AP$68,AB$4-$B145+1)</f>
        <v/>
      </c>
      <c r="AC145" s="75">
        <f>$C145*INDEX(Curves!$AP$8:$AP$68,AC$4-$B145+1)</f>
        <v/>
      </c>
      <c r="AD145" s="75">
        <f>$C145*INDEX(Curves!$AP$8:$AP$68,AD$4-$B145+1)</f>
        <v/>
      </c>
      <c r="AE145" s="75">
        <f>$C145*INDEX(Curves!$AP$8:$AP$68,AE$4-$B145+1)</f>
        <v/>
      </c>
      <c r="AF145" s="75">
        <f>$C145*INDEX(Curves!$AP$8:$AP$68,AF$4-$B145+1)</f>
        <v/>
      </c>
      <c r="AG145" s="75">
        <f>$C145*INDEX(Curves!$AP$8:$AP$68,AG$4-$B145+1)</f>
        <v/>
      </c>
      <c r="AH145" s="75">
        <f>$C145*INDEX(Curves!$AP$8:$AP$68,AH$4-$B145+1)</f>
        <v/>
      </c>
      <c r="AI145" s="75">
        <f>$C145*INDEX(Curves!$AP$8:$AP$68,AI$4-$B145+1)</f>
        <v/>
      </c>
      <c r="AJ145" s="75">
        <f>$C145*INDEX(Curves!$AP$8:$AP$68,AJ$4-$B145+1)</f>
        <v/>
      </c>
      <c r="AK145" s="75">
        <f>$C145*INDEX(Curves!$AP$8:$AP$68,AK$4-$B145+1)</f>
        <v/>
      </c>
      <c r="AL145" s="75">
        <f>$C145*INDEX(Curves!$AP$8:$AP$68,AL$4-$B145+1)</f>
        <v/>
      </c>
      <c r="AM145" s="75">
        <f>$C145*INDEX(Curves!$AP$8:$AP$68,AM$4-$B145+1)</f>
        <v/>
      </c>
      <c r="AN145" s="75">
        <f>$C145*INDEX(Curves!$AP$8:$AP$68,AN$4-$B145+1)</f>
        <v/>
      </c>
      <c r="AO145" s="75">
        <f>$C145*INDEX(Curves!$AP$8:$AP$68,AO$4-$B145+1)</f>
        <v/>
      </c>
      <c r="AP145" s="75">
        <f>$C145*INDEX(Curves!$AP$8:$AP$68,AP$4-$B145+1)</f>
        <v/>
      </c>
      <c r="AQ145" s="75">
        <f>$C145*INDEX(Curves!$AP$8:$AP$68,AQ$4-$B145+1)</f>
        <v/>
      </c>
      <c r="AR145" s="75">
        <f>$C145*INDEX(Curves!$AP$8:$AP$68,AR$4-$B145+1)</f>
        <v/>
      </c>
      <c r="AS145" s="75">
        <f>$C145*INDEX(Curves!$AP$8:$AP$68,AS$4-$B145+1)</f>
        <v/>
      </c>
      <c r="AT145" s="75">
        <f>$C145*INDEX(Curves!$AP$8:$AP$68,AT$4-$B145+1)</f>
        <v/>
      </c>
      <c r="AU145" s="75">
        <f>$C145*INDEX(Curves!$AP$8:$AP$68,AU$4-$B145+1)</f>
        <v/>
      </c>
      <c r="AV145" s="75">
        <f>$C145*INDEX(Curves!$AP$8:$AP$68,AV$4-$B145+1)</f>
        <v/>
      </c>
      <c r="AW145" s="75">
        <f>$C145*INDEX(Curves!$AP$8:$AP$68,AW$4-$B145+1)</f>
        <v/>
      </c>
      <c r="AX145" s="75">
        <f>$C145*INDEX(Curves!$AP$8:$AP$68,AX$4-$B145+1)</f>
        <v/>
      </c>
      <c r="AY145" s="75">
        <f>$C145*INDEX(Curves!$AP$8:$AP$68,AY$4-$B145+1)</f>
        <v/>
      </c>
      <c r="AZ145" s="75">
        <f>$C145*INDEX(Curves!$AP$8:$AP$68,AZ$4-$B145+1)</f>
        <v/>
      </c>
      <c r="BA145" s="75">
        <f>$C145*INDEX(Curves!$AP$8:$AP$68,BA$4-$B145+1)</f>
        <v/>
      </c>
      <c r="BB145" s="75">
        <f>$C145*INDEX(Curves!$AP$8:$AP$68,BB$4-$B145+1)</f>
        <v/>
      </c>
      <c r="BC145" s="75">
        <f>$C145*INDEX(Curves!$AP$8:$AP$68,BC$4-$B145+1)</f>
        <v/>
      </c>
      <c r="BD145" s="75">
        <f>$C145*INDEX(Curves!$AP$8:$AP$68,BD$4-$B145+1)</f>
        <v/>
      </c>
      <c r="BE145" s="75">
        <f>$C145*INDEX(Curves!$AP$8:$AP$68,BE$4-$B145+1)</f>
        <v/>
      </c>
      <c r="BF145" s="75">
        <f>$C145*INDEX(Curves!$AP$8:$AP$68,BF$4-$B145+1)</f>
        <v/>
      </c>
      <c r="BG145" s="75">
        <f>$C145*INDEX(Curves!$AP$8:$AP$68,BG$4-$B145+1)</f>
        <v/>
      </c>
      <c r="BH145" s="75">
        <f>$C145*INDEX(Curves!$AP$8:$AP$68,BH$4-$B145+1)</f>
        <v/>
      </c>
      <c r="BI145" s="75">
        <f>$C145*INDEX(Curves!$AP$8:$AP$68,BI$4-$B145+1)</f>
        <v/>
      </c>
      <c r="BJ145" s="75">
        <f>$C145*INDEX(Curves!$AP$8:$AP$68,BJ$4-$B145+1)</f>
        <v/>
      </c>
      <c r="BK145" s="75">
        <f>$C145*INDEX(Curves!$AP$8:$AP$68,BK$4-$B145+1)</f>
        <v/>
      </c>
      <c r="BL145" s="75">
        <f>$C145*INDEX(Curves!$AP$8:$AP$68,BL$4-$B145+1)</f>
        <v/>
      </c>
    </row>
    <row r="146">
      <c r="A146" s="74" t="inlineStr">
        <is>
          <t>Cohort month 11</t>
        </is>
      </c>
      <c r="B146" s="74" t="n">
        <v>11</v>
      </c>
      <c r="C146" s="17">
        <f>INDEX(Ops!$E$85:$BL$85,1,$B146)</f>
        <v/>
      </c>
      <c r="P146" s="75">
        <f>$C146*INDEX(Curves!$AP$8:$AP$68,P$4-$B146+1)</f>
        <v/>
      </c>
      <c r="Q146" s="75">
        <f>$C146*INDEX(Curves!$AP$8:$AP$68,Q$4-$B146+1)</f>
        <v/>
      </c>
      <c r="R146" s="75">
        <f>$C146*INDEX(Curves!$AP$8:$AP$68,R$4-$B146+1)</f>
        <v/>
      </c>
      <c r="S146" s="75">
        <f>$C146*INDEX(Curves!$AP$8:$AP$68,S$4-$B146+1)</f>
        <v/>
      </c>
      <c r="T146" s="75">
        <f>$C146*INDEX(Curves!$AP$8:$AP$68,T$4-$B146+1)</f>
        <v/>
      </c>
      <c r="U146" s="75">
        <f>$C146*INDEX(Curves!$AP$8:$AP$68,U$4-$B146+1)</f>
        <v/>
      </c>
      <c r="V146" s="75">
        <f>$C146*INDEX(Curves!$AP$8:$AP$68,V$4-$B146+1)</f>
        <v/>
      </c>
      <c r="W146" s="75">
        <f>$C146*INDEX(Curves!$AP$8:$AP$68,W$4-$B146+1)</f>
        <v/>
      </c>
      <c r="X146" s="75">
        <f>$C146*INDEX(Curves!$AP$8:$AP$68,X$4-$B146+1)</f>
        <v/>
      </c>
      <c r="Y146" s="75">
        <f>$C146*INDEX(Curves!$AP$8:$AP$68,Y$4-$B146+1)</f>
        <v/>
      </c>
      <c r="Z146" s="75">
        <f>$C146*INDEX(Curves!$AP$8:$AP$68,Z$4-$B146+1)</f>
        <v/>
      </c>
      <c r="AA146" s="75">
        <f>$C146*INDEX(Curves!$AP$8:$AP$68,AA$4-$B146+1)</f>
        <v/>
      </c>
      <c r="AB146" s="75">
        <f>$C146*INDEX(Curves!$AP$8:$AP$68,AB$4-$B146+1)</f>
        <v/>
      </c>
      <c r="AC146" s="75">
        <f>$C146*INDEX(Curves!$AP$8:$AP$68,AC$4-$B146+1)</f>
        <v/>
      </c>
      <c r="AD146" s="75">
        <f>$C146*INDEX(Curves!$AP$8:$AP$68,AD$4-$B146+1)</f>
        <v/>
      </c>
      <c r="AE146" s="75">
        <f>$C146*INDEX(Curves!$AP$8:$AP$68,AE$4-$B146+1)</f>
        <v/>
      </c>
      <c r="AF146" s="75">
        <f>$C146*INDEX(Curves!$AP$8:$AP$68,AF$4-$B146+1)</f>
        <v/>
      </c>
      <c r="AG146" s="75">
        <f>$C146*INDEX(Curves!$AP$8:$AP$68,AG$4-$B146+1)</f>
        <v/>
      </c>
      <c r="AH146" s="75">
        <f>$C146*INDEX(Curves!$AP$8:$AP$68,AH$4-$B146+1)</f>
        <v/>
      </c>
      <c r="AI146" s="75">
        <f>$C146*INDEX(Curves!$AP$8:$AP$68,AI$4-$B146+1)</f>
        <v/>
      </c>
      <c r="AJ146" s="75">
        <f>$C146*INDEX(Curves!$AP$8:$AP$68,AJ$4-$B146+1)</f>
        <v/>
      </c>
      <c r="AK146" s="75">
        <f>$C146*INDEX(Curves!$AP$8:$AP$68,AK$4-$B146+1)</f>
        <v/>
      </c>
      <c r="AL146" s="75">
        <f>$C146*INDEX(Curves!$AP$8:$AP$68,AL$4-$B146+1)</f>
        <v/>
      </c>
      <c r="AM146" s="75">
        <f>$C146*INDEX(Curves!$AP$8:$AP$68,AM$4-$B146+1)</f>
        <v/>
      </c>
      <c r="AN146" s="75">
        <f>$C146*INDEX(Curves!$AP$8:$AP$68,AN$4-$B146+1)</f>
        <v/>
      </c>
      <c r="AO146" s="75">
        <f>$C146*INDEX(Curves!$AP$8:$AP$68,AO$4-$B146+1)</f>
        <v/>
      </c>
      <c r="AP146" s="75">
        <f>$C146*INDEX(Curves!$AP$8:$AP$68,AP$4-$B146+1)</f>
        <v/>
      </c>
      <c r="AQ146" s="75">
        <f>$C146*INDEX(Curves!$AP$8:$AP$68,AQ$4-$B146+1)</f>
        <v/>
      </c>
      <c r="AR146" s="75">
        <f>$C146*INDEX(Curves!$AP$8:$AP$68,AR$4-$B146+1)</f>
        <v/>
      </c>
      <c r="AS146" s="75">
        <f>$C146*INDEX(Curves!$AP$8:$AP$68,AS$4-$B146+1)</f>
        <v/>
      </c>
      <c r="AT146" s="75">
        <f>$C146*INDEX(Curves!$AP$8:$AP$68,AT$4-$B146+1)</f>
        <v/>
      </c>
      <c r="AU146" s="75">
        <f>$C146*INDEX(Curves!$AP$8:$AP$68,AU$4-$B146+1)</f>
        <v/>
      </c>
      <c r="AV146" s="75">
        <f>$C146*INDEX(Curves!$AP$8:$AP$68,AV$4-$B146+1)</f>
        <v/>
      </c>
      <c r="AW146" s="75">
        <f>$C146*INDEX(Curves!$AP$8:$AP$68,AW$4-$B146+1)</f>
        <v/>
      </c>
      <c r="AX146" s="75">
        <f>$C146*INDEX(Curves!$AP$8:$AP$68,AX$4-$B146+1)</f>
        <v/>
      </c>
      <c r="AY146" s="75">
        <f>$C146*INDEX(Curves!$AP$8:$AP$68,AY$4-$B146+1)</f>
        <v/>
      </c>
      <c r="AZ146" s="75">
        <f>$C146*INDEX(Curves!$AP$8:$AP$68,AZ$4-$B146+1)</f>
        <v/>
      </c>
      <c r="BA146" s="75">
        <f>$C146*INDEX(Curves!$AP$8:$AP$68,BA$4-$B146+1)</f>
        <v/>
      </c>
      <c r="BB146" s="75">
        <f>$C146*INDEX(Curves!$AP$8:$AP$68,BB$4-$B146+1)</f>
        <v/>
      </c>
      <c r="BC146" s="75">
        <f>$C146*INDEX(Curves!$AP$8:$AP$68,BC$4-$B146+1)</f>
        <v/>
      </c>
      <c r="BD146" s="75">
        <f>$C146*INDEX(Curves!$AP$8:$AP$68,BD$4-$B146+1)</f>
        <v/>
      </c>
      <c r="BE146" s="75">
        <f>$C146*INDEX(Curves!$AP$8:$AP$68,BE$4-$B146+1)</f>
        <v/>
      </c>
      <c r="BF146" s="75">
        <f>$C146*INDEX(Curves!$AP$8:$AP$68,BF$4-$B146+1)</f>
        <v/>
      </c>
      <c r="BG146" s="75">
        <f>$C146*INDEX(Curves!$AP$8:$AP$68,BG$4-$B146+1)</f>
        <v/>
      </c>
      <c r="BH146" s="75">
        <f>$C146*INDEX(Curves!$AP$8:$AP$68,BH$4-$B146+1)</f>
        <v/>
      </c>
      <c r="BI146" s="75">
        <f>$C146*INDEX(Curves!$AP$8:$AP$68,BI$4-$B146+1)</f>
        <v/>
      </c>
      <c r="BJ146" s="75">
        <f>$C146*INDEX(Curves!$AP$8:$AP$68,BJ$4-$B146+1)</f>
        <v/>
      </c>
      <c r="BK146" s="75">
        <f>$C146*INDEX(Curves!$AP$8:$AP$68,BK$4-$B146+1)</f>
        <v/>
      </c>
      <c r="BL146" s="75">
        <f>$C146*INDEX(Curves!$AP$8:$AP$68,BL$4-$B146+1)</f>
        <v/>
      </c>
    </row>
    <row r="147">
      <c r="A147" s="74" t="inlineStr">
        <is>
          <t>Cohort month 12</t>
        </is>
      </c>
      <c r="B147" s="74" t="n">
        <v>12</v>
      </c>
      <c r="C147" s="17">
        <f>INDEX(Ops!$E$85:$BL$85,1,$B147)</f>
        <v/>
      </c>
      <c r="Q147" s="75">
        <f>$C147*INDEX(Curves!$AP$8:$AP$68,Q$4-$B147+1)</f>
        <v/>
      </c>
      <c r="R147" s="75">
        <f>$C147*INDEX(Curves!$AP$8:$AP$68,R$4-$B147+1)</f>
        <v/>
      </c>
      <c r="S147" s="75">
        <f>$C147*INDEX(Curves!$AP$8:$AP$68,S$4-$B147+1)</f>
        <v/>
      </c>
      <c r="T147" s="75">
        <f>$C147*INDEX(Curves!$AP$8:$AP$68,T$4-$B147+1)</f>
        <v/>
      </c>
      <c r="U147" s="75">
        <f>$C147*INDEX(Curves!$AP$8:$AP$68,U$4-$B147+1)</f>
        <v/>
      </c>
      <c r="V147" s="75">
        <f>$C147*INDEX(Curves!$AP$8:$AP$68,V$4-$B147+1)</f>
        <v/>
      </c>
      <c r="W147" s="75">
        <f>$C147*INDEX(Curves!$AP$8:$AP$68,W$4-$B147+1)</f>
        <v/>
      </c>
      <c r="X147" s="75">
        <f>$C147*INDEX(Curves!$AP$8:$AP$68,X$4-$B147+1)</f>
        <v/>
      </c>
      <c r="Y147" s="75">
        <f>$C147*INDEX(Curves!$AP$8:$AP$68,Y$4-$B147+1)</f>
        <v/>
      </c>
      <c r="Z147" s="75">
        <f>$C147*INDEX(Curves!$AP$8:$AP$68,Z$4-$B147+1)</f>
        <v/>
      </c>
      <c r="AA147" s="75">
        <f>$C147*INDEX(Curves!$AP$8:$AP$68,AA$4-$B147+1)</f>
        <v/>
      </c>
      <c r="AB147" s="75">
        <f>$C147*INDEX(Curves!$AP$8:$AP$68,AB$4-$B147+1)</f>
        <v/>
      </c>
      <c r="AC147" s="75">
        <f>$C147*INDEX(Curves!$AP$8:$AP$68,AC$4-$B147+1)</f>
        <v/>
      </c>
      <c r="AD147" s="75">
        <f>$C147*INDEX(Curves!$AP$8:$AP$68,AD$4-$B147+1)</f>
        <v/>
      </c>
      <c r="AE147" s="75">
        <f>$C147*INDEX(Curves!$AP$8:$AP$68,AE$4-$B147+1)</f>
        <v/>
      </c>
      <c r="AF147" s="75">
        <f>$C147*INDEX(Curves!$AP$8:$AP$68,AF$4-$B147+1)</f>
        <v/>
      </c>
      <c r="AG147" s="75">
        <f>$C147*INDEX(Curves!$AP$8:$AP$68,AG$4-$B147+1)</f>
        <v/>
      </c>
      <c r="AH147" s="75">
        <f>$C147*INDEX(Curves!$AP$8:$AP$68,AH$4-$B147+1)</f>
        <v/>
      </c>
      <c r="AI147" s="75">
        <f>$C147*INDEX(Curves!$AP$8:$AP$68,AI$4-$B147+1)</f>
        <v/>
      </c>
      <c r="AJ147" s="75">
        <f>$C147*INDEX(Curves!$AP$8:$AP$68,AJ$4-$B147+1)</f>
        <v/>
      </c>
      <c r="AK147" s="75">
        <f>$C147*INDEX(Curves!$AP$8:$AP$68,AK$4-$B147+1)</f>
        <v/>
      </c>
      <c r="AL147" s="75">
        <f>$C147*INDEX(Curves!$AP$8:$AP$68,AL$4-$B147+1)</f>
        <v/>
      </c>
      <c r="AM147" s="75">
        <f>$C147*INDEX(Curves!$AP$8:$AP$68,AM$4-$B147+1)</f>
        <v/>
      </c>
      <c r="AN147" s="75">
        <f>$C147*INDEX(Curves!$AP$8:$AP$68,AN$4-$B147+1)</f>
        <v/>
      </c>
      <c r="AO147" s="75">
        <f>$C147*INDEX(Curves!$AP$8:$AP$68,AO$4-$B147+1)</f>
        <v/>
      </c>
      <c r="AP147" s="75">
        <f>$C147*INDEX(Curves!$AP$8:$AP$68,AP$4-$B147+1)</f>
        <v/>
      </c>
      <c r="AQ147" s="75">
        <f>$C147*INDEX(Curves!$AP$8:$AP$68,AQ$4-$B147+1)</f>
        <v/>
      </c>
      <c r="AR147" s="75">
        <f>$C147*INDEX(Curves!$AP$8:$AP$68,AR$4-$B147+1)</f>
        <v/>
      </c>
      <c r="AS147" s="75">
        <f>$C147*INDEX(Curves!$AP$8:$AP$68,AS$4-$B147+1)</f>
        <v/>
      </c>
      <c r="AT147" s="75">
        <f>$C147*INDEX(Curves!$AP$8:$AP$68,AT$4-$B147+1)</f>
        <v/>
      </c>
      <c r="AU147" s="75">
        <f>$C147*INDEX(Curves!$AP$8:$AP$68,AU$4-$B147+1)</f>
        <v/>
      </c>
      <c r="AV147" s="75">
        <f>$C147*INDEX(Curves!$AP$8:$AP$68,AV$4-$B147+1)</f>
        <v/>
      </c>
      <c r="AW147" s="75">
        <f>$C147*INDEX(Curves!$AP$8:$AP$68,AW$4-$B147+1)</f>
        <v/>
      </c>
      <c r="AX147" s="75">
        <f>$C147*INDEX(Curves!$AP$8:$AP$68,AX$4-$B147+1)</f>
        <v/>
      </c>
      <c r="AY147" s="75">
        <f>$C147*INDEX(Curves!$AP$8:$AP$68,AY$4-$B147+1)</f>
        <v/>
      </c>
      <c r="AZ147" s="75">
        <f>$C147*INDEX(Curves!$AP$8:$AP$68,AZ$4-$B147+1)</f>
        <v/>
      </c>
      <c r="BA147" s="75">
        <f>$C147*INDEX(Curves!$AP$8:$AP$68,BA$4-$B147+1)</f>
        <v/>
      </c>
      <c r="BB147" s="75">
        <f>$C147*INDEX(Curves!$AP$8:$AP$68,BB$4-$B147+1)</f>
        <v/>
      </c>
      <c r="BC147" s="75">
        <f>$C147*INDEX(Curves!$AP$8:$AP$68,BC$4-$B147+1)</f>
        <v/>
      </c>
      <c r="BD147" s="75">
        <f>$C147*INDEX(Curves!$AP$8:$AP$68,BD$4-$B147+1)</f>
        <v/>
      </c>
      <c r="BE147" s="75">
        <f>$C147*INDEX(Curves!$AP$8:$AP$68,BE$4-$B147+1)</f>
        <v/>
      </c>
      <c r="BF147" s="75">
        <f>$C147*INDEX(Curves!$AP$8:$AP$68,BF$4-$B147+1)</f>
        <v/>
      </c>
      <c r="BG147" s="75">
        <f>$C147*INDEX(Curves!$AP$8:$AP$68,BG$4-$B147+1)</f>
        <v/>
      </c>
      <c r="BH147" s="75">
        <f>$C147*INDEX(Curves!$AP$8:$AP$68,BH$4-$B147+1)</f>
        <v/>
      </c>
      <c r="BI147" s="75">
        <f>$C147*INDEX(Curves!$AP$8:$AP$68,BI$4-$B147+1)</f>
        <v/>
      </c>
      <c r="BJ147" s="75">
        <f>$C147*INDEX(Curves!$AP$8:$AP$68,BJ$4-$B147+1)</f>
        <v/>
      </c>
      <c r="BK147" s="75">
        <f>$C147*INDEX(Curves!$AP$8:$AP$68,BK$4-$B147+1)</f>
        <v/>
      </c>
      <c r="BL147" s="75">
        <f>$C147*INDEX(Curves!$AP$8:$AP$68,BL$4-$B147+1)</f>
        <v/>
      </c>
    </row>
    <row r="148">
      <c r="A148" s="74" t="inlineStr">
        <is>
          <t>Cohort month 13</t>
        </is>
      </c>
      <c r="B148" s="74" t="n">
        <v>13</v>
      </c>
      <c r="C148" s="17">
        <f>INDEX(Ops!$E$85:$BL$85,1,$B148)</f>
        <v/>
      </c>
      <c r="R148" s="75">
        <f>$C148*INDEX(Curves!$AP$8:$AP$68,R$4-$B148+1)</f>
        <v/>
      </c>
      <c r="S148" s="75">
        <f>$C148*INDEX(Curves!$AP$8:$AP$68,S$4-$B148+1)</f>
        <v/>
      </c>
      <c r="T148" s="75">
        <f>$C148*INDEX(Curves!$AP$8:$AP$68,T$4-$B148+1)</f>
        <v/>
      </c>
      <c r="U148" s="75">
        <f>$C148*INDEX(Curves!$AP$8:$AP$68,U$4-$B148+1)</f>
        <v/>
      </c>
      <c r="V148" s="75">
        <f>$C148*INDEX(Curves!$AP$8:$AP$68,V$4-$B148+1)</f>
        <v/>
      </c>
      <c r="W148" s="75">
        <f>$C148*INDEX(Curves!$AP$8:$AP$68,W$4-$B148+1)</f>
        <v/>
      </c>
      <c r="X148" s="75">
        <f>$C148*INDEX(Curves!$AP$8:$AP$68,X$4-$B148+1)</f>
        <v/>
      </c>
      <c r="Y148" s="75">
        <f>$C148*INDEX(Curves!$AP$8:$AP$68,Y$4-$B148+1)</f>
        <v/>
      </c>
      <c r="Z148" s="75">
        <f>$C148*INDEX(Curves!$AP$8:$AP$68,Z$4-$B148+1)</f>
        <v/>
      </c>
      <c r="AA148" s="75">
        <f>$C148*INDEX(Curves!$AP$8:$AP$68,AA$4-$B148+1)</f>
        <v/>
      </c>
      <c r="AB148" s="75">
        <f>$C148*INDEX(Curves!$AP$8:$AP$68,AB$4-$B148+1)</f>
        <v/>
      </c>
      <c r="AC148" s="75">
        <f>$C148*INDEX(Curves!$AP$8:$AP$68,AC$4-$B148+1)</f>
        <v/>
      </c>
      <c r="AD148" s="75">
        <f>$C148*INDEX(Curves!$AP$8:$AP$68,AD$4-$B148+1)</f>
        <v/>
      </c>
      <c r="AE148" s="75">
        <f>$C148*INDEX(Curves!$AP$8:$AP$68,AE$4-$B148+1)</f>
        <v/>
      </c>
      <c r="AF148" s="75">
        <f>$C148*INDEX(Curves!$AP$8:$AP$68,AF$4-$B148+1)</f>
        <v/>
      </c>
      <c r="AG148" s="75">
        <f>$C148*INDEX(Curves!$AP$8:$AP$68,AG$4-$B148+1)</f>
        <v/>
      </c>
      <c r="AH148" s="75">
        <f>$C148*INDEX(Curves!$AP$8:$AP$68,AH$4-$B148+1)</f>
        <v/>
      </c>
      <c r="AI148" s="75">
        <f>$C148*INDEX(Curves!$AP$8:$AP$68,AI$4-$B148+1)</f>
        <v/>
      </c>
      <c r="AJ148" s="75">
        <f>$C148*INDEX(Curves!$AP$8:$AP$68,AJ$4-$B148+1)</f>
        <v/>
      </c>
      <c r="AK148" s="75">
        <f>$C148*INDEX(Curves!$AP$8:$AP$68,AK$4-$B148+1)</f>
        <v/>
      </c>
      <c r="AL148" s="75">
        <f>$C148*INDEX(Curves!$AP$8:$AP$68,AL$4-$B148+1)</f>
        <v/>
      </c>
      <c r="AM148" s="75">
        <f>$C148*INDEX(Curves!$AP$8:$AP$68,AM$4-$B148+1)</f>
        <v/>
      </c>
      <c r="AN148" s="75">
        <f>$C148*INDEX(Curves!$AP$8:$AP$68,AN$4-$B148+1)</f>
        <v/>
      </c>
      <c r="AO148" s="75">
        <f>$C148*INDEX(Curves!$AP$8:$AP$68,AO$4-$B148+1)</f>
        <v/>
      </c>
      <c r="AP148" s="75">
        <f>$C148*INDEX(Curves!$AP$8:$AP$68,AP$4-$B148+1)</f>
        <v/>
      </c>
      <c r="AQ148" s="75">
        <f>$C148*INDEX(Curves!$AP$8:$AP$68,AQ$4-$B148+1)</f>
        <v/>
      </c>
      <c r="AR148" s="75">
        <f>$C148*INDEX(Curves!$AP$8:$AP$68,AR$4-$B148+1)</f>
        <v/>
      </c>
      <c r="AS148" s="75">
        <f>$C148*INDEX(Curves!$AP$8:$AP$68,AS$4-$B148+1)</f>
        <v/>
      </c>
      <c r="AT148" s="75">
        <f>$C148*INDEX(Curves!$AP$8:$AP$68,AT$4-$B148+1)</f>
        <v/>
      </c>
      <c r="AU148" s="75">
        <f>$C148*INDEX(Curves!$AP$8:$AP$68,AU$4-$B148+1)</f>
        <v/>
      </c>
      <c r="AV148" s="75">
        <f>$C148*INDEX(Curves!$AP$8:$AP$68,AV$4-$B148+1)</f>
        <v/>
      </c>
      <c r="AW148" s="75">
        <f>$C148*INDEX(Curves!$AP$8:$AP$68,AW$4-$B148+1)</f>
        <v/>
      </c>
      <c r="AX148" s="75">
        <f>$C148*INDEX(Curves!$AP$8:$AP$68,AX$4-$B148+1)</f>
        <v/>
      </c>
      <c r="AY148" s="75">
        <f>$C148*INDEX(Curves!$AP$8:$AP$68,AY$4-$B148+1)</f>
        <v/>
      </c>
      <c r="AZ148" s="75">
        <f>$C148*INDEX(Curves!$AP$8:$AP$68,AZ$4-$B148+1)</f>
        <v/>
      </c>
      <c r="BA148" s="75">
        <f>$C148*INDEX(Curves!$AP$8:$AP$68,BA$4-$B148+1)</f>
        <v/>
      </c>
      <c r="BB148" s="75">
        <f>$C148*INDEX(Curves!$AP$8:$AP$68,BB$4-$B148+1)</f>
        <v/>
      </c>
      <c r="BC148" s="75">
        <f>$C148*INDEX(Curves!$AP$8:$AP$68,BC$4-$B148+1)</f>
        <v/>
      </c>
      <c r="BD148" s="75">
        <f>$C148*INDEX(Curves!$AP$8:$AP$68,BD$4-$B148+1)</f>
        <v/>
      </c>
      <c r="BE148" s="75">
        <f>$C148*INDEX(Curves!$AP$8:$AP$68,BE$4-$B148+1)</f>
        <v/>
      </c>
      <c r="BF148" s="75">
        <f>$C148*INDEX(Curves!$AP$8:$AP$68,BF$4-$B148+1)</f>
        <v/>
      </c>
      <c r="BG148" s="75">
        <f>$C148*INDEX(Curves!$AP$8:$AP$68,BG$4-$B148+1)</f>
        <v/>
      </c>
      <c r="BH148" s="75">
        <f>$C148*INDEX(Curves!$AP$8:$AP$68,BH$4-$B148+1)</f>
        <v/>
      </c>
      <c r="BI148" s="75">
        <f>$C148*INDEX(Curves!$AP$8:$AP$68,BI$4-$B148+1)</f>
        <v/>
      </c>
      <c r="BJ148" s="75">
        <f>$C148*INDEX(Curves!$AP$8:$AP$68,BJ$4-$B148+1)</f>
        <v/>
      </c>
      <c r="BK148" s="75">
        <f>$C148*INDEX(Curves!$AP$8:$AP$68,BK$4-$B148+1)</f>
        <v/>
      </c>
      <c r="BL148" s="75">
        <f>$C148*INDEX(Curves!$AP$8:$AP$68,BL$4-$B148+1)</f>
        <v/>
      </c>
    </row>
    <row r="149">
      <c r="A149" s="74" t="inlineStr">
        <is>
          <t>Cohort month 14</t>
        </is>
      </c>
      <c r="B149" s="74" t="n">
        <v>14</v>
      </c>
      <c r="C149" s="17">
        <f>INDEX(Ops!$E$85:$BL$85,1,$B149)</f>
        <v/>
      </c>
      <c r="S149" s="75">
        <f>$C149*INDEX(Curves!$AP$8:$AP$68,S$4-$B149+1)</f>
        <v/>
      </c>
      <c r="T149" s="75">
        <f>$C149*INDEX(Curves!$AP$8:$AP$68,T$4-$B149+1)</f>
        <v/>
      </c>
      <c r="U149" s="75">
        <f>$C149*INDEX(Curves!$AP$8:$AP$68,U$4-$B149+1)</f>
        <v/>
      </c>
      <c r="V149" s="75">
        <f>$C149*INDEX(Curves!$AP$8:$AP$68,V$4-$B149+1)</f>
        <v/>
      </c>
      <c r="W149" s="75">
        <f>$C149*INDEX(Curves!$AP$8:$AP$68,W$4-$B149+1)</f>
        <v/>
      </c>
      <c r="X149" s="75">
        <f>$C149*INDEX(Curves!$AP$8:$AP$68,X$4-$B149+1)</f>
        <v/>
      </c>
      <c r="Y149" s="75">
        <f>$C149*INDEX(Curves!$AP$8:$AP$68,Y$4-$B149+1)</f>
        <v/>
      </c>
      <c r="Z149" s="75">
        <f>$C149*INDEX(Curves!$AP$8:$AP$68,Z$4-$B149+1)</f>
        <v/>
      </c>
      <c r="AA149" s="75">
        <f>$C149*INDEX(Curves!$AP$8:$AP$68,AA$4-$B149+1)</f>
        <v/>
      </c>
      <c r="AB149" s="75">
        <f>$C149*INDEX(Curves!$AP$8:$AP$68,AB$4-$B149+1)</f>
        <v/>
      </c>
      <c r="AC149" s="75">
        <f>$C149*INDEX(Curves!$AP$8:$AP$68,AC$4-$B149+1)</f>
        <v/>
      </c>
      <c r="AD149" s="75">
        <f>$C149*INDEX(Curves!$AP$8:$AP$68,AD$4-$B149+1)</f>
        <v/>
      </c>
      <c r="AE149" s="75">
        <f>$C149*INDEX(Curves!$AP$8:$AP$68,AE$4-$B149+1)</f>
        <v/>
      </c>
      <c r="AF149" s="75">
        <f>$C149*INDEX(Curves!$AP$8:$AP$68,AF$4-$B149+1)</f>
        <v/>
      </c>
      <c r="AG149" s="75">
        <f>$C149*INDEX(Curves!$AP$8:$AP$68,AG$4-$B149+1)</f>
        <v/>
      </c>
      <c r="AH149" s="75">
        <f>$C149*INDEX(Curves!$AP$8:$AP$68,AH$4-$B149+1)</f>
        <v/>
      </c>
      <c r="AI149" s="75">
        <f>$C149*INDEX(Curves!$AP$8:$AP$68,AI$4-$B149+1)</f>
        <v/>
      </c>
      <c r="AJ149" s="75">
        <f>$C149*INDEX(Curves!$AP$8:$AP$68,AJ$4-$B149+1)</f>
        <v/>
      </c>
      <c r="AK149" s="75">
        <f>$C149*INDEX(Curves!$AP$8:$AP$68,AK$4-$B149+1)</f>
        <v/>
      </c>
      <c r="AL149" s="75">
        <f>$C149*INDEX(Curves!$AP$8:$AP$68,AL$4-$B149+1)</f>
        <v/>
      </c>
      <c r="AM149" s="75">
        <f>$C149*INDEX(Curves!$AP$8:$AP$68,AM$4-$B149+1)</f>
        <v/>
      </c>
      <c r="AN149" s="75">
        <f>$C149*INDEX(Curves!$AP$8:$AP$68,AN$4-$B149+1)</f>
        <v/>
      </c>
      <c r="AO149" s="75">
        <f>$C149*INDEX(Curves!$AP$8:$AP$68,AO$4-$B149+1)</f>
        <v/>
      </c>
      <c r="AP149" s="75">
        <f>$C149*INDEX(Curves!$AP$8:$AP$68,AP$4-$B149+1)</f>
        <v/>
      </c>
      <c r="AQ149" s="75">
        <f>$C149*INDEX(Curves!$AP$8:$AP$68,AQ$4-$B149+1)</f>
        <v/>
      </c>
      <c r="AR149" s="75">
        <f>$C149*INDEX(Curves!$AP$8:$AP$68,AR$4-$B149+1)</f>
        <v/>
      </c>
      <c r="AS149" s="75">
        <f>$C149*INDEX(Curves!$AP$8:$AP$68,AS$4-$B149+1)</f>
        <v/>
      </c>
      <c r="AT149" s="75">
        <f>$C149*INDEX(Curves!$AP$8:$AP$68,AT$4-$B149+1)</f>
        <v/>
      </c>
      <c r="AU149" s="75">
        <f>$C149*INDEX(Curves!$AP$8:$AP$68,AU$4-$B149+1)</f>
        <v/>
      </c>
      <c r="AV149" s="75">
        <f>$C149*INDEX(Curves!$AP$8:$AP$68,AV$4-$B149+1)</f>
        <v/>
      </c>
      <c r="AW149" s="75">
        <f>$C149*INDEX(Curves!$AP$8:$AP$68,AW$4-$B149+1)</f>
        <v/>
      </c>
      <c r="AX149" s="75">
        <f>$C149*INDEX(Curves!$AP$8:$AP$68,AX$4-$B149+1)</f>
        <v/>
      </c>
      <c r="AY149" s="75">
        <f>$C149*INDEX(Curves!$AP$8:$AP$68,AY$4-$B149+1)</f>
        <v/>
      </c>
      <c r="AZ149" s="75">
        <f>$C149*INDEX(Curves!$AP$8:$AP$68,AZ$4-$B149+1)</f>
        <v/>
      </c>
      <c r="BA149" s="75">
        <f>$C149*INDEX(Curves!$AP$8:$AP$68,BA$4-$B149+1)</f>
        <v/>
      </c>
      <c r="BB149" s="75">
        <f>$C149*INDEX(Curves!$AP$8:$AP$68,BB$4-$B149+1)</f>
        <v/>
      </c>
      <c r="BC149" s="75">
        <f>$C149*INDEX(Curves!$AP$8:$AP$68,BC$4-$B149+1)</f>
        <v/>
      </c>
      <c r="BD149" s="75">
        <f>$C149*INDEX(Curves!$AP$8:$AP$68,BD$4-$B149+1)</f>
        <v/>
      </c>
      <c r="BE149" s="75">
        <f>$C149*INDEX(Curves!$AP$8:$AP$68,BE$4-$B149+1)</f>
        <v/>
      </c>
      <c r="BF149" s="75">
        <f>$C149*INDEX(Curves!$AP$8:$AP$68,BF$4-$B149+1)</f>
        <v/>
      </c>
      <c r="BG149" s="75">
        <f>$C149*INDEX(Curves!$AP$8:$AP$68,BG$4-$B149+1)</f>
        <v/>
      </c>
      <c r="BH149" s="75">
        <f>$C149*INDEX(Curves!$AP$8:$AP$68,BH$4-$B149+1)</f>
        <v/>
      </c>
      <c r="BI149" s="75">
        <f>$C149*INDEX(Curves!$AP$8:$AP$68,BI$4-$B149+1)</f>
        <v/>
      </c>
      <c r="BJ149" s="75">
        <f>$C149*INDEX(Curves!$AP$8:$AP$68,BJ$4-$B149+1)</f>
        <v/>
      </c>
      <c r="BK149" s="75">
        <f>$C149*INDEX(Curves!$AP$8:$AP$68,BK$4-$B149+1)</f>
        <v/>
      </c>
      <c r="BL149" s="75">
        <f>$C149*INDEX(Curves!$AP$8:$AP$68,BL$4-$B149+1)</f>
        <v/>
      </c>
    </row>
    <row r="150">
      <c r="A150" s="74" t="inlineStr">
        <is>
          <t>Cohort month 15</t>
        </is>
      </c>
      <c r="B150" s="74" t="n">
        <v>15</v>
      </c>
      <c r="C150" s="17">
        <f>INDEX(Ops!$E$85:$BL$85,1,$B150)</f>
        <v/>
      </c>
      <c r="T150" s="75">
        <f>$C150*INDEX(Curves!$AP$8:$AP$68,T$4-$B150+1)</f>
        <v/>
      </c>
      <c r="U150" s="75">
        <f>$C150*INDEX(Curves!$AP$8:$AP$68,U$4-$B150+1)</f>
        <v/>
      </c>
      <c r="V150" s="75">
        <f>$C150*INDEX(Curves!$AP$8:$AP$68,V$4-$B150+1)</f>
        <v/>
      </c>
      <c r="W150" s="75">
        <f>$C150*INDEX(Curves!$AP$8:$AP$68,W$4-$B150+1)</f>
        <v/>
      </c>
      <c r="X150" s="75">
        <f>$C150*INDEX(Curves!$AP$8:$AP$68,X$4-$B150+1)</f>
        <v/>
      </c>
      <c r="Y150" s="75">
        <f>$C150*INDEX(Curves!$AP$8:$AP$68,Y$4-$B150+1)</f>
        <v/>
      </c>
      <c r="Z150" s="75">
        <f>$C150*INDEX(Curves!$AP$8:$AP$68,Z$4-$B150+1)</f>
        <v/>
      </c>
      <c r="AA150" s="75">
        <f>$C150*INDEX(Curves!$AP$8:$AP$68,AA$4-$B150+1)</f>
        <v/>
      </c>
      <c r="AB150" s="75">
        <f>$C150*INDEX(Curves!$AP$8:$AP$68,AB$4-$B150+1)</f>
        <v/>
      </c>
      <c r="AC150" s="75">
        <f>$C150*INDEX(Curves!$AP$8:$AP$68,AC$4-$B150+1)</f>
        <v/>
      </c>
      <c r="AD150" s="75">
        <f>$C150*INDEX(Curves!$AP$8:$AP$68,AD$4-$B150+1)</f>
        <v/>
      </c>
      <c r="AE150" s="75">
        <f>$C150*INDEX(Curves!$AP$8:$AP$68,AE$4-$B150+1)</f>
        <v/>
      </c>
      <c r="AF150" s="75">
        <f>$C150*INDEX(Curves!$AP$8:$AP$68,AF$4-$B150+1)</f>
        <v/>
      </c>
      <c r="AG150" s="75">
        <f>$C150*INDEX(Curves!$AP$8:$AP$68,AG$4-$B150+1)</f>
        <v/>
      </c>
      <c r="AH150" s="75">
        <f>$C150*INDEX(Curves!$AP$8:$AP$68,AH$4-$B150+1)</f>
        <v/>
      </c>
      <c r="AI150" s="75">
        <f>$C150*INDEX(Curves!$AP$8:$AP$68,AI$4-$B150+1)</f>
        <v/>
      </c>
      <c r="AJ150" s="75">
        <f>$C150*INDEX(Curves!$AP$8:$AP$68,AJ$4-$B150+1)</f>
        <v/>
      </c>
      <c r="AK150" s="75">
        <f>$C150*INDEX(Curves!$AP$8:$AP$68,AK$4-$B150+1)</f>
        <v/>
      </c>
      <c r="AL150" s="75">
        <f>$C150*INDEX(Curves!$AP$8:$AP$68,AL$4-$B150+1)</f>
        <v/>
      </c>
      <c r="AM150" s="75">
        <f>$C150*INDEX(Curves!$AP$8:$AP$68,AM$4-$B150+1)</f>
        <v/>
      </c>
      <c r="AN150" s="75">
        <f>$C150*INDEX(Curves!$AP$8:$AP$68,AN$4-$B150+1)</f>
        <v/>
      </c>
      <c r="AO150" s="75">
        <f>$C150*INDEX(Curves!$AP$8:$AP$68,AO$4-$B150+1)</f>
        <v/>
      </c>
      <c r="AP150" s="75">
        <f>$C150*INDEX(Curves!$AP$8:$AP$68,AP$4-$B150+1)</f>
        <v/>
      </c>
      <c r="AQ150" s="75">
        <f>$C150*INDEX(Curves!$AP$8:$AP$68,AQ$4-$B150+1)</f>
        <v/>
      </c>
      <c r="AR150" s="75">
        <f>$C150*INDEX(Curves!$AP$8:$AP$68,AR$4-$B150+1)</f>
        <v/>
      </c>
      <c r="AS150" s="75">
        <f>$C150*INDEX(Curves!$AP$8:$AP$68,AS$4-$B150+1)</f>
        <v/>
      </c>
      <c r="AT150" s="75">
        <f>$C150*INDEX(Curves!$AP$8:$AP$68,AT$4-$B150+1)</f>
        <v/>
      </c>
      <c r="AU150" s="75">
        <f>$C150*INDEX(Curves!$AP$8:$AP$68,AU$4-$B150+1)</f>
        <v/>
      </c>
      <c r="AV150" s="75">
        <f>$C150*INDEX(Curves!$AP$8:$AP$68,AV$4-$B150+1)</f>
        <v/>
      </c>
      <c r="AW150" s="75">
        <f>$C150*INDEX(Curves!$AP$8:$AP$68,AW$4-$B150+1)</f>
        <v/>
      </c>
      <c r="AX150" s="75">
        <f>$C150*INDEX(Curves!$AP$8:$AP$68,AX$4-$B150+1)</f>
        <v/>
      </c>
      <c r="AY150" s="75">
        <f>$C150*INDEX(Curves!$AP$8:$AP$68,AY$4-$B150+1)</f>
        <v/>
      </c>
      <c r="AZ150" s="75">
        <f>$C150*INDEX(Curves!$AP$8:$AP$68,AZ$4-$B150+1)</f>
        <v/>
      </c>
      <c r="BA150" s="75">
        <f>$C150*INDEX(Curves!$AP$8:$AP$68,BA$4-$B150+1)</f>
        <v/>
      </c>
      <c r="BB150" s="75">
        <f>$C150*INDEX(Curves!$AP$8:$AP$68,BB$4-$B150+1)</f>
        <v/>
      </c>
      <c r="BC150" s="75">
        <f>$C150*INDEX(Curves!$AP$8:$AP$68,BC$4-$B150+1)</f>
        <v/>
      </c>
      <c r="BD150" s="75">
        <f>$C150*INDEX(Curves!$AP$8:$AP$68,BD$4-$B150+1)</f>
        <v/>
      </c>
      <c r="BE150" s="75">
        <f>$C150*INDEX(Curves!$AP$8:$AP$68,BE$4-$B150+1)</f>
        <v/>
      </c>
      <c r="BF150" s="75">
        <f>$C150*INDEX(Curves!$AP$8:$AP$68,BF$4-$B150+1)</f>
        <v/>
      </c>
      <c r="BG150" s="75">
        <f>$C150*INDEX(Curves!$AP$8:$AP$68,BG$4-$B150+1)</f>
        <v/>
      </c>
      <c r="BH150" s="75">
        <f>$C150*INDEX(Curves!$AP$8:$AP$68,BH$4-$B150+1)</f>
        <v/>
      </c>
      <c r="BI150" s="75">
        <f>$C150*INDEX(Curves!$AP$8:$AP$68,BI$4-$B150+1)</f>
        <v/>
      </c>
      <c r="BJ150" s="75">
        <f>$C150*INDEX(Curves!$AP$8:$AP$68,BJ$4-$B150+1)</f>
        <v/>
      </c>
      <c r="BK150" s="75">
        <f>$C150*INDEX(Curves!$AP$8:$AP$68,BK$4-$B150+1)</f>
        <v/>
      </c>
      <c r="BL150" s="75">
        <f>$C150*INDEX(Curves!$AP$8:$AP$68,BL$4-$B150+1)</f>
        <v/>
      </c>
    </row>
    <row r="151">
      <c r="A151" s="74" t="inlineStr">
        <is>
          <t>Cohort month 16</t>
        </is>
      </c>
      <c r="B151" s="74" t="n">
        <v>16</v>
      </c>
      <c r="C151" s="17">
        <f>INDEX(Ops!$E$85:$BL$85,1,$B151)</f>
        <v/>
      </c>
      <c r="U151" s="75">
        <f>$C151*INDEX(Curves!$AP$8:$AP$68,U$4-$B151+1)</f>
        <v/>
      </c>
      <c r="V151" s="75">
        <f>$C151*INDEX(Curves!$AP$8:$AP$68,V$4-$B151+1)</f>
        <v/>
      </c>
      <c r="W151" s="75">
        <f>$C151*INDEX(Curves!$AP$8:$AP$68,W$4-$B151+1)</f>
        <v/>
      </c>
      <c r="X151" s="75">
        <f>$C151*INDEX(Curves!$AP$8:$AP$68,X$4-$B151+1)</f>
        <v/>
      </c>
      <c r="Y151" s="75">
        <f>$C151*INDEX(Curves!$AP$8:$AP$68,Y$4-$B151+1)</f>
        <v/>
      </c>
      <c r="Z151" s="75">
        <f>$C151*INDEX(Curves!$AP$8:$AP$68,Z$4-$B151+1)</f>
        <v/>
      </c>
      <c r="AA151" s="75">
        <f>$C151*INDEX(Curves!$AP$8:$AP$68,AA$4-$B151+1)</f>
        <v/>
      </c>
      <c r="AB151" s="75">
        <f>$C151*INDEX(Curves!$AP$8:$AP$68,AB$4-$B151+1)</f>
        <v/>
      </c>
      <c r="AC151" s="75">
        <f>$C151*INDEX(Curves!$AP$8:$AP$68,AC$4-$B151+1)</f>
        <v/>
      </c>
      <c r="AD151" s="75">
        <f>$C151*INDEX(Curves!$AP$8:$AP$68,AD$4-$B151+1)</f>
        <v/>
      </c>
      <c r="AE151" s="75">
        <f>$C151*INDEX(Curves!$AP$8:$AP$68,AE$4-$B151+1)</f>
        <v/>
      </c>
      <c r="AF151" s="75">
        <f>$C151*INDEX(Curves!$AP$8:$AP$68,AF$4-$B151+1)</f>
        <v/>
      </c>
      <c r="AG151" s="75">
        <f>$C151*INDEX(Curves!$AP$8:$AP$68,AG$4-$B151+1)</f>
        <v/>
      </c>
      <c r="AH151" s="75">
        <f>$C151*INDEX(Curves!$AP$8:$AP$68,AH$4-$B151+1)</f>
        <v/>
      </c>
      <c r="AI151" s="75">
        <f>$C151*INDEX(Curves!$AP$8:$AP$68,AI$4-$B151+1)</f>
        <v/>
      </c>
      <c r="AJ151" s="75">
        <f>$C151*INDEX(Curves!$AP$8:$AP$68,AJ$4-$B151+1)</f>
        <v/>
      </c>
      <c r="AK151" s="75">
        <f>$C151*INDEX(Curves!$AP$8:$AP$68,AK$4-$B151+1)</f>
        <v/>
      </c>
      <c r="AL151" s="75">
        <f>$C151*INDEX(Curves!$AP$8:$AP$68,AL$4-$B151+1)</f>
        <v/>
      </c>
      <c r="AM151" s="75">
        <f>$C151*INDEX(Curves!$AP$8:$AP$68,AM$4-$B151+1)</f>
        <v/>
      </c>
      <c r="AN151" s="75">
        <f>$C151*INDEX(Curves!$AP$8:$AP$68,AN$4-$B151+1)</f>
        <v/>
      </c>
      <c r="AO151" s="75">
        <f>$C151*INDEX(Curves!$AP$8:$AP$68,AO$4-$B151+1)</f>
        <v/>
      </c>
      <c r="AP151" s="75">
        <f>$C151*INDEX(Curves!$AP$8:$AP$68,AP$4-$B151+1)</f>
        <v/>
      </c>
      <c r="AQ151" s="75">
        <f>$C151*INDEX(Curves!$AP$8:$AP$68,AQ$4-$B151+1)</f>
        <v/>
      </c>
      <c r="AR151" s="75">
        <f>$C151*INDEX(Curves!$AP$8:$AP$68,AR$4-$B151+1)</f>
        <v/>
      </c>
      <c r="AS151" s="75">
        <f>$C151*INDEX(Curves!$AP$8:$AP$68,AS$4-$B151+1)</f>
        <v/>
      </c>
      <c r="AT151" s="75">
        <f>$C151*INDEX(Curves!$AP$8:$AP$68,AT$4-$B151+1)</f>
        <v/>
      </c>
      <c r="AU151" s="75">
        <f>$C151*INDEX(Curves!$AP$8:$AP$68,AU$4-$B151+1)</f>
        <v/>
      </c>
      <c r="AV151" s="75">
        <f>$C151*INDEX(Curves!$AP$8:$AP$68,AV$4-$B151+1)</f>
        <v/>
      </c>
      <c r="AW151" s="75">
        <f>$C151*INDEX(Curves!$AP$8:$AP$68,AW$4-$B151+1)</f>
        <v/>
      </c>
      <c r="AX151" s="75">
        <f>$C151*INDEX(Curves!$AP$8:$AP$68,AX$4-$B151+1)</f>
        <v/>
      </c>
      <c r="AY151" s="75">
        <f>$C151*INDEX(Curves!$AP$8:$AP$68,AY$4-$B151+1)</f>
        <v/>
      </c>
      <c r="AZ151" s="75">
        <f>$C151*INDEX(Curves!$AP$8:$AP$68,AZ$4-$B151+1)</f>
        <v/>
      </c>
      <c r="BA151" s="75">
        <f>$C151*INDEX(Curves!$AP$8:$AP$68,BA$4-$B151+1)</f>
        <v/>
      </c>
      <c r="BB151" s="75">
        <f>$C151*INDEX(Curves!$AP$8:$AP$68,BB$4-$B151+1)</f>
        <v/>
      </c>
      <c r="BC151" s="75">
        <f>$C151*INDEX(Curves!$AP$8:$AP$68,BC$4-$B151+1)</f>
        <v/>
      </c>
      <c r="BD151" s="75">
        <f>$C151*INDEX(Curves!$AP$8:$AP$68,BD$4-$B151+1)</f>
        <v/>
      </c>
      <c r="BE151" s="75">
        <f>$C151*INDEX(Curves!$AP$8:$AP$68,BE$4-$B151+1)</f>
        <v/>
      </c>
      <c r="BF151" s="75">
        <f>$C151*INDEX(Curves!$AP$8:$AP$68,BF$4-$B151+1)</f>
        <v/>
      </c>
      <c r="BG151" s="75">
        <f>$C151*INDEX(Curves!$AP$8:$AP$68,BG$4-$B151+1)</f>
        <v/>
      </c>
      <c r="BH151" s="75">
        <f>$C151*INDEX(Curves!$AP$8:$AP$68,BH$4-$B151+1)</f>
        <v/>
      </c>
      <c r="BI151" s="75">
        <f>$C151*INDEX(Curves!$AP$8:$AP$68,BI$4-$B151+1)</f>
        <v/>
      </c>
      <c r="BJ151" s="75">
        <f>$C151*INDEX(Curves!$AP$8:$AP$68,BJ$4-$B151+1)</f>
        <v/>
      </c>
      <c r="BK151" s="75">
        <f>$C151*INDEX(Curves!$AP$8:$AP$68,BK$4-$B151+1)</f>
        <v/>
      </c>
      <c r="BL151" s="75">
        <f>$C151*INDEX(Curves!$AP$8:$AP$68,BL$4-$B151+1)</f>
        <v/>
      </c>
    </row>
    <row r="152">
      <c r="A152" s="74" t="inlineStr">
        <is>
          <t>Cohort month 17</t>
        </is>
      </c>
      <c r="B152" s="74" t="n">
        <v>17</v>
      </c>
      <c r="C152" s="17">
        <f>INDEX(Ops!$E$85:$BL$85,1,$B152)</f>
        <v/>
      </c>
      <c r="V152" s="75">
        <f>$C152*INDEX(Curves!$AP$8:$AP$68,V$4-$B152+1)</f>
        <v/>
      </c>
      <c r="W152" s="75">
        <f>$C152*INDEX(Curves!$AP$8:$AP$68,W$4-$B152+1)</f>
        <v/>
      </c>
      <c r="X152" s="75">
        <f>$C152*INDEX(Curves!$AP$8:$AP$68,X$4-$B152+1)</f>
        <v/>
      </c>
      <c r="Y152" s="75">
        <f>$C152*INDEX(Curves!$AP$8:$AP$68,Y$4-$B152+1)</f>
        <v/>
      </c>
      <c r="Z152" s="75">
        <f>$C152*INDEX(Curves!$AP$8:$AP$68,Z$4-$B152+1)</f>
        <v/>
      </c>
      <c r="AA152" s="75">
        <f>$C152*INDEX(Curves!$AP$8:$AP$68,AA$4-$B152+1)</f>
        <v/>
      </c>
      <c r="AB152" s="75">
        <f>$C152*INDEX(Curves!$AP$8:$AP$68,AB$4-$B152+1)</f>
        <v/>
      </c>
      <c r="AC152" s="75">
        <f>$C152*INDEX(Curves!$AP$8:$AP$68,AC$4-$B152+1)</f>
        <v/>
      </c>
      <c r="AD152" s="75">
        <f>$C152*INDEX(Curves!$AP$8:$AP$68,AD$4-$B152+1)</f>
        <v/>
      </c>
      <c r="AE152" s="75">
        <f>$C152*INDEX(Curves!$AP$8:$AP$68,AE$4-$B152+1)</f>
        <v/>
      </c>
      <c r="AF152" s="75">
        <f>$C152*INDEX(Curves!$AP$8:$AP$68,AF$4-$B152+1)</f>
        <v/>
      </c>
      <c r="AG152" s="75">
        <f>$C152*INDEX(Curves!$AP$8:$AP$68,AG$4-$B152+1)</f>
        <v/>
      </c>
      <c r="AH152" s="75">
        <f>$C152*INDEX(Curves!$AP$8:$AP$68,AH$4-$B152+1)</f>
        <v/>
      </c>
      <c r="AI152" s="75">
        <f>$C152*INDEX(Curves!$AP$8:$AP$68,AI$4-$B152+1)</f>
        <v/>
      </c>
      <c r="AJ152" s="75">
        <f>$C152*INDEX(Curves!$AP$8:$AP$68,AJ$4-$B152+1)</f>
        <v/>
      </c>
      <c r="AK152" s="75">
        <f>$C152*INDEX(Curves!$AP$8:$AP$68,AK$4-$B152+1)</f>
        <v/>
      </c>
      <c r="AL152" s="75">
        <f>$C152*INDEX(Curves!$AP$8:$AP$68,AL$4-$B152+1)</f>
        <v/>
      </c>
      <c r="AM152" s="75">
        <f>$C152*INDEX(Curves!$AP$8:$AP$68,AM$4-$B152+1)</f>
        <v/>
      </c>
      <c r="AN152" s="75">
        <f>$C152*INDEX(Curves!$AP$8:$AP$68,AN$4-$B152+1)</f>
        <v/>
      </c>
      <c r="AO152" s="75">
        <f>$C152*INDEX(Curves!$AP$8:$AP$68,AO$4-$B152+1)</f>
        <v/>
      </c>
      <c r="AP152" s="75">
        <f>$C152*INDEX(Curves!$AP$8:$AP$68,AP$4-$B152+1)</f>
        <v/>
      </c>
      <c r="AQ152" s="75">
        <f>$C152*INDEX(Curves!$AP$8:$AP$68,AQ$4-$B152+1)</f>
        <v/>
      </c>
      <c r="AR152" s="75">
        <f>$C152*INDEX(Curves!$AP$8:$AP$68,AR$4-$B152+1)</f>
        <v/>
      </c>
      <c r="AS152" s="75">
        <f>$C152*INDEX(Curves!$AP$8:$AP$68,AS$4-$B152+1)</f>
        <v/>
      </c>
      <c r="AT152" s="75">
        <f>$C152*INDEX(Curves!$AP$8:$AP$68,AT$4-$B152+1)</f>
        <v/>
      </c>
      <c r="AU152" s="75">
        <f>$C152*INDEX(Curves!$AP$8:$AP$68,AU$4-$B152+1)</f>
        <v/>
      </c>
      <c r="AV152" s="75">
        <f>$C152*INDEX(Curves!$AP$8:$AP$68,AV$4-$B152+1)</f>
        <v/>
      </c>
      <c r="AW152" s="75">
        <f>$C152*INDEX(Curves!$AP$8:$AP$68,AW$4-$B152+1)</f>
        <v/>
      </c>
      <c r="AX152" s="75">
        <f>$C152*INDEX(Curves!$AP$8:$AP$68,AX$4-$B152+1)</f>
        <v/>
      </c>
      <c r="AY152" s="75">
        <f>$C152*INDEX(Curves!$AP$8:$AP$68,AY$4-$B152+1)</f>
        <v/>
      </c>
      <c r="AZ152" s="75">
        <f>$C152*INDEX(Curves!$AP$8:$AP$68,AZ$4-$B152+1)</f>
        <v/>
      </c>
      <c r="BA152" s="75">
        <f>$C152*INDEX(Curves!$AP$8:$AP$68,BA$4-$B152+1)</f>
        <v/>
      </c>
      <c r="BB152" s="75">
        <f>$C152*INDEX(Curves!$AP$8:$AP$68,BB$4-$B152+1)</f>
        <v/>
      </c>
      <c r="BC152" s="75">
        <f>$C152*INDEX(Curves!$AP$8:$AP$68,BC$4-$B152+1)</f>
        <v/>
      </c>
      <c r="BD152" s="75">
        <f>$C152*INDEX(Curves!$AP$8:$AP$68,BD$4-$B152+1)</f>
        <v/>
      </c>
      <c r="BE152" s="75">
        <f>$C152*INDEX(Curves!$AP$8:$AP$68,BE$4-$B152+1)</f>
        <v/>
      </c>
      <c r="BF152" s="75">
        <f>$C152*INDEX(Curves!$AP$8:$AP$68,BF$4-$B152+1)</f>
        <v/>
      </c>
      <c r="BG152" s="75">
        <f>$C152*INDEX(Curves!$AP$8:$AP$68,BG$4-$B152+1)</f>
        <v/>
      </c>
      <c r="BH152" s="75">
        <f>$C152*INDEX(Curves!$AP$8:$AP$68,BH$4-$B152+1)</f>
        <v/>
      </c>
      <c r="BI152" s="75">
        <f>$C152*INDEX(Curves!$AP$8:$AP$68,BI$4-$B152+1)</f>
        <v/>
      </c>
      <c r="BJ152" s="75">
        <f>$C152*INDEX(Curves!$AP$8:$AP$68,BJ$4-$B152+1)</f>
        <v/>
      </c>
      <c r="BK152" s="75">
        <f>$C152*INDEX(Curves!$AP$8:$AP$68,BK$4-$B152+1)</f>
        <v/>
      </c>
      <c r="BL152" s="75">
        <f>$C152*INDEX(Curves!$AP$8:$AP$68,BL$4-$B152+1)</f>
        <v/>
      </c>
    </row>
    <row r="153">
      <c r="A153" s="74" t="inlineStr">
        <is>
          <t>Cohort month 18</t>
        </is>
      </c>
      <c r="B153" s="74" t="n">
        <v>18</v>
      </c>
      <c r="C153" s="17">
        <f>INDEX(Ops!$E$85:$BL$85,1,$B153)</f>
        <v/>
      </c>
      <c r="W153" s="75">
        <f>$C153*INDEX(Curves!$AP$8:$AP$68,W$4-$B153+1)</f>
        <v/>
      </c>
      <c r="X153" s="75">
        <f>$C153*INDEX(Curves!$AP$8:$AP$68,X$4-$B153+1)</f>
        <v/>
      </c>
      <c r="Y153" s="75">
        <f>$C153*INDEX(Curves!$AP$8:$AP$68,Y$4-$B153+1)</f>
        <v/>
      </c>
      <c r="Z153" s="75">
        <f>$C153*INDEX(Curves!$AP$8:$AP$68,Z$4-$B153+1)</f>
        <v/>
      </c>
      <c r="AA153" s="75">
        <f>$C153*INDEX(Curves!$AP$8:$AP$68,AA$4-$B153+1)</f>
        <v/>
      </c>
      <c r="AB153" s="75">
        <f>$C153*INDEX(Curves!$AP$8:$AP$68,AB$4-$B153+1)</f>
        <v/>
      </c>
      <c r="AC153" s="75">
        <f>$C153*INDEX(Curves!$AP$8:$AP$68,AC$4-$B153+1)</f>
        <v/>
      </c>
      <c r="AD153" s="75">
        <f>$C153*INDEX(Curves!$AP$8:$AP$68,AD$4-$B153+1)</f>
        <v/>
      </c>
      <c r="AE153" s="75">
        <f>$C153*INDEX(Curves!$AP$8:$AP$68,AE$4-$B153+1)</f>
        <v/>
      </c>
      <c r="AF153" s="75">
        <f>$C153*INDEX(Curves!$AP$8:$AP$68,AF$4-$B153+1)</f>
        <v/>
      </c>
      <c r="AG153" s="75">
        <f>$C153*INDEX(Curves!$AP$8:$AP$68,AG$4-$B153+1)</f>
        <v/>
      </c>
      <c r="AH153" s="75">
        <f>$C153*INDEX(Curves!$AP$8:$AP$68,AH$4-$B153+1)</f>
        <v/>
      </c>
      <c r="AI153" s="75">
        <f>$C153*INDEX(Curves!$AP$8:$AP$68,AI$4-$B153+1)</f>
        <v/>
      </c>
      <c r="AJ153" s="75">
        <f>$C153*INDEX(Curves!$AP$8:$AP$68,AJ$4-$B153+1)</f>
        <v/>
      </c>
      <c r="AK153" s="75">
        <f>$C153*INDEX(Curves!$AP$8:$AP$68,AK$4-$B153+1)</f>
        <v/>
      </c>
      <c r="AL153" s="75">
        <f>$C153*INDEX(Curves!$AP$8:$AP$68,AL$4-$B153+1)</f>
        <v/>
      </c>
      <c r="AM153" s="75">
        <f>$C153*INDEX(Curves!$AP$8:$AP$68,AM$4-$B153+1)</f>
        <v/>
      </c>
      <c r="AN153" s="75">
        <f>$C153*INDEX(Curves!$AP$8:$AP$68,AN$4-$B153+1)</f>
        <v/>
      </c>
      <c r="AO153" s="75">
        <f>$C153*INDEX(Curves!$AP$8:$AP$68,AO$4-$B153+1)</f>
        <v/>
      </c>
      <c r="AP153" s="75">
        <f>$C153*INDEX(Curves!$AP$8:$AP$68,AP$4-$B153+1)</f>
        <v/>
      </c>
      <c r="AQ153" s="75">
        <f>$C153*INDEX(Curves!$AP$8:$AP$68,AQ$4-$B153+1)</f>
        <v/>
      </c>
      <c r="AR153" s="75">
        <f>$C153*INDEX(Curves!$AP$8:$AP$68,AR$4-$B153+1)</f>
        <v/>
      </c>
      <c r="AS153" s="75">
        <f>$C153*INDEX(Curves!$AP$8:$AP$68,AS$4-$B153+1)</f>
        <v/>
      </c>
      <c r="AT153" s="75">
        <f>$C153*INDEX(Curves!$AP$8:$AP$68,AT$4-$B153+1)</f>
        <v/>
      </c>
      <c r="AU153" s="75">
        <f>$C153*INDEX(Curves!$AP$8:$AP$68,AU$4-$B153+1)</f>
        <v/>
      </c>
      <c r="AV153" s="75">
        <f>$C153*INDEX(Curves!$AP$8:$AP$68,AV$4-$B153+1)</f>
        <v/>
      </c>
      <c r="AW153" s="75">
        <f>$C153*INDEX(Curves!$AP$8:$AP$68,AW$4-$B153+1)</f>
        <v/>
      </c>
      <c r="AX153" s="75">
        <f>$C153*INDEX(Curves!$AP$8:$AP$68,AX$4-$B153+1)</f>
        <v/>
      </c>
      <c r="AY153" s="75">
        <f>$C153*INDEX(Curves!$AP$8:$AP$68,AY$4-$B153+1)</f>
        <v/>
      </c>
      <c r="AZ153" s="75">
        <f>$C153*INDEX(Curves!$AP$8:$AP$68,AZ$4-$B153+1)</f>
        <v/>
      </c>
      <c r="BA153" s="75">
        <f>$C153*INDEX(Curves!$AP$8:$AP$68,BA$4-$B153+1)</f>
        <v/>
      </c>
      <c r="BB153" s="75">
        <f>$C153*INDEX(Curves!$AP$8:$AP$68,BB$4-$B153+1)</f>
        <v/>
      </c>
      <c r="BC153" s="75">
        <f>$C153*INDEX(Curves!$AP$8:$AP$68,BC$4-$B153+1)</f>
        <v/>
      </c>
      <c r="BD153" s="75">
        <f>$C153*INDEX(Curves!$AP$8:$AP$68,BD$4-$B153+1)</f>
        <v/>
      </c>
      <c r="BE153" s="75">
        <f>$C153*INDEX(Curves!$AP$8:$AP$68,BE$4-$B153+1)</f>
        <v/>
      </c>
      <c r="BF153" s="75">
        <f>$C153*INDEX(Curves!$AP$8:$AP$68,BF$4-$B153+1)</f>
        <v/>
      </c>
      <c r="BG153" s="75">
        <f>$C153*INDEX(Curves!$AP$8:$AP$68,BG$4-$B153+1)</f>
        <v/>
      </c>
      <c r="BH153" s="75">
        <f>$C153*INDEX(Curves!$AP$8:$AP$68,BH$4-$B153+1)</f>
        <v/>
      </c>
      <c r="BI153" s="75">
        <f>$C153*INDEX(Curves!$AP$8:$AP$68,BI$4-$B153+1)</f>
        <v/>
      </c>
      <c r="BJ153" s="75">
        <f>$C153*INDEX(Curves!$AP$8:$AP$68,BJ$4-$B153+1)</f>
        <v/>
      </c>
      <c r="BK153" s="75">
        <f>$C153*INDEX(Curves!$AP$8:$AP$68,BK$4-$B153+1)</f>
        <v/>
      </c>
      <c r="BL153" s="75">
        <f>$C153*INDEX(Curves!$AP$8:$AP$68,BL$4-$B153+1)</f>
        <v/>
      </c>
    </row>
    <row r="154">
      <c r="A154" s="74" t="inlineStr">
        <is>
          <t>Cohort month 19</t>
        </is>
      </c>
      <c r="B154" s="74" t="n">
        <v>19</v>
      </c>
      <c r="C154" s="17">
        <f>INDEX(Ops!$E$85:$BL$85,1,$B154)</f>
        <v/>
      </c>
      <c r="X154" s="75">
        <f>$C154*INDEX(Curves!$AP$8:$AP$68,X$4-$B154+1)</f>
        <v/>
      </c>
      <c r="Y154" s="75">
        <f>$C154*INDEX(Curves!$AP$8:$AP$68,Y$4-$B154+1)</f>
        <v/>
      </c>
      <c r="Z154" s="75">
        <f>$C154*INDEX(Curves!$AP$8:$AP$68,Z$4-$B154+1)</f>
        <v/>
      </c>
      <c r="AA154" s="75">
        <f>$C154*INDEX(Curves!$AP$8:$AP$68,AA$4-$B154+1)</f>
        <v/>
      </c>
      <c r="AB154" s="75">
        <f>$C154*INDEX(Curves!$AP$8:$AP$68,AB$4-$B154+1)</f>
        <v/>
      </c>
      <c r="AC154" s="75">
        <f>$C154*INDEX(Curves!$AP$8:$AP$68,AC$4-$B154+1)</f>
        <v/>
      </c>
      <c r="AD154" s="75">
        <f>$C154*INDEX(Curves!$AP$8:$AP$68,AD$4-$B154+1)</f>
        <v/>
      </c>
      <c r="AE154" s="75">
        <f>$C154*INDEX(Curves!$AP$8:$AP$68,AE$4-$B154+1)</f>
        <v/>
      </c>
      <c r="AF154" s="75">
        <f>$C154*INDEX(Curves!$AP$8:$AP$68,AF$4-$B154+1)</f>
        <v/>
      </c>
      <c r="AG154" s="75">
        <f>$C154*INDEX(Curves!$AP$8:$AP$68,AG$4-$B154+1)</f>
        <v/>
      </c>
      <c r="AH154" s="75">
        <f>$C154*INDEX(Curves!$AP$8:$AP$68,AH$4-$B154+1)</f>
        <v/>
      </c>
      <c r="AI154" s="75">
        <f>$C154*INDEX(Curves!$AP$8:$AP$68,AI$4-$B154+1)</f>
        <v/>
      </c>
      <c r="AJ154" s="75">
        <f>$C154*INDEX(Curves!$AP$8:$AP$68,AJ$4-$B154+1)</f>
        <v/>
      </c>
      <c r="AK154" s="75">
        <f>$C154*INDEX(Curves!$AP$8:$AP$68,AK$4-$B154+1)</f>
        <v/>
      </c>
      <c r="AL154" s="75">
        <f>$C154*INDEX(Curves!$AP$8:$AP$68,AL$4-$B154+1)</f>
        <v/>
      </c>
      <c r="AM154" s="75">
        <f>$C154*INDEX(Curves!$AP$8:$AP$68,AM$4-$B154+1)</f>
        <v/>
      </c>
      <c r="AN154" s="75">
        <f>$C154*INDEX(Curves!$AP$8:$AP$68,AN$4-$B154+1)</f>
        <v/>
      </c>
      <c r="AO154" s="75">
        <f>$C154*INDEX(Curves!$AP$8:$AP$68,AO$4-$B154+1)</f>
        <v/>
      </c>
      <c r="AP154" s="75">
        <f>$C154*INDEX(Curves!$AP$8:$AP$68,AP$4-$B154+1)</f>
        <v/>
      </c>
      <c r="AQ154" s="75">
        <f>$C154*INDEX(Curves!$AP$8:$AP$68,AQ$4-$B154+1)</f>
        <v/>
      </c>
      <c r="AR154" s="75">
        <f>$C154*INDEX(Curves!$AP$8:$AP$68,AR$4-$B154+1)</f>
        <v/>
      </c>
      <c r="AS154" s="75">
        <f>$C154*INDEX(Curves!$AP$8:$AP$68,AS$4-$B154+1)</f>
        <v/>
      </c>
      <c r="AT154" s="75">
        <f>$C154*INDEX(Curves!$AP$8:$AP$68,AT$4-$B154+1)</f>
        <v/>
      </c>
      <c r="AU154" s="75">
        <f>$C154*INDEX(Curves!$AP$8:$AP$68,AU$4-$B154+1)</f>
        <v/>
      </c>
      <c r="AV154" s="75">
        <f>$C154*INDEX(Curves!$AP$8:$AP$68,AV$4-$B154+1)</f>
        <v/>
      </c>
      <c r="AW154" s="75">
        <f>$C154*INDEX(Curves!$AP$8:$AP$68,AW$4-$B154+1)</f>
        <v/>
      </c>
      <c r="AX154" s="75">
        <f>$C154*INDEX(Curves!$AP$8:$AP$68,AX$4-$B154+1)</f>
        <v/>
      </c>
      <c r="AY154" s="75">
        <f>$C154*INDEX(Curves!$AP$8:$AP$68,AY$4-$B154+1)</f>
        <v/>
      </c>
      <c r="AZ154" s="75">
        <f>$C154*INDEX(Curves!$AP$8:$AP$68,AZ$4-$B154+1)</f>
        <v/>
      </c>
      <c r="BA154" s="75">
        <f>$C154*INDEX(Curves!$AP$8:$AP$68,BA$4-$B154+1)</f>
        <v/>
      </c>
      <c r="BB154" s="75">
        <f>$C154*INDEX(Curves!$AP$8:$AP$68,BB$4-$B154+1)</f>
        <v/>
      </c>
      <c r="BC154" s="75">
        <f>$C154*INDEX(Curves!$AP$8:$AP$68,BC$4-$B154+1)</f>
        <v/>
      </c>
      <c r="BD154" s="75">
        <f>$C154*INDEX(Curves!$AP$8:$AP$68,BD$4-$B154+1)</f>
        <v/>
      </c>
      <c r="BE154" s="75">
        <f>$C154*INDEX(Curves!$AP$8:$AP$68,BE$4-$B154+1)</f>
        <v/>
      </c>
      <c r="BF154" s="75">
        <f>$C154*INDEX(Curves!$AP$8:$AP$68,BF$4-$B154+1)</f>
        <v/>
      </c>
      <c r="BG154" s="75">
        <f>$C154*INDEX(Curves!$AP$8:$AP$68,BG$4-$B154+1)</f>
        <v/>
      </c>
      <c r="BH154" s="75">
        <f>$C154*INDEX(Curves!$AP$8:$AP$68,BH$4-$B154+1)</f>
        <v/>
      </c>
      <c r="BI154" s="75">
        <f>$C154*INDEX(Curves!$AP$8:$AP$68,BI$4-$B154+1)</f>
        <v/>
      </c>
      <c r="BJ154" s="75">
        <f>$C154*INDEX(Curves!$AP$8:$AP$68,BJ$4-$B154+1)</f>
        <v/>
      </c>
      <c r="BK154" s="75">
        <f>$C154*INDEX(Curves!$AP$8:$AP$68,BK$4-$B154+1)</f>
        <v/>
      </c>
      <c r="BL154" s="75">
        <f>$C154*INDEX(Curves!$AP$8:$AP$68,BL$4-$B154+1)</f>
        <v/>
      </c>
    </row>
    <row r="155">
      <c r="A155" s="74" t="inlineStr">
        <is>
          <t>Cohort month 20</t>
        </is>
      </c>
      <c r="B155" s="74" t="n">
        <v>20</v>
      </c>
      <c r="C155" s="17">
        <f>INDEX(Ops!$E$85:$BL$85,1,$B155)</f>
        <v/>
      </c>
      <c r="Y155" s="75">
        <f>$C155*INDEX(Curves!$AP$8:$AP$68,Y$4-$B155+1)</f>
        <v/>
      </c>
      <c r="Z155" s="75">
        <f>$C155*INDEX(Curves!$AP$8:$AP$68,Z$4-$B155+1)</f>
        <v/>
      </c>
      <c r="AA155" s="75">
        <f>$C155*INDEX(Curves!$AP$8:$AP$68,AA$4-$B155+1)</f>
        <v/>
      </c>
      <c r="AB155" s="75">
        <f>$C155*INDEX(Curves!$AP$8:$AP$68,AB$4-$B155+1)</f>
        <v/>
      </c>
      <c r="AC155" s="75">
        <f>$C155*INDEX(Curves!$AP$8:$AP$68,AC$4-$B155+1)</f>
        <v/>
      </c>
      <c r="AD155" s="75">
        <f>$C155*INDEX(Curves!$AP$8:$AP$68,AD$4-$B155+1)</f>
        <v/>
      </c>
      <c r="AE155" s="75">
        <f>$C155*INDEX(Curves!$AP$8:$AP$68,AE$4-$B155+1)</f>
        <v/>
      </c>
      <c r="AF155" s="75">
        <f>$C155*INDEX(Curves!$AP$8:$AP$68,AF$4-$B155+1)</f>
        <v/>
      </c>
      <c r="AG155" s="75">
        <f>$C155*INDEX(Curves!$AP$8:$AP$68,AG$4-$B155+1)</f>
        <v/>
      </c>
      <c r="AH155" s="75">
        <f>$C155*INDEX(Curves!$AP$8:$AP$68,AH$4-$B155+1)</f>
        <v/>
      </c>
      <c r="AI155" s="75">
        <f>$C155*INDEX(Curves!$AP$8:$AP$68,AI$4-$B155+1)</f>
        <v/>
      </c>
      <c r="AJ155" s="75">
        <f>$C155*INDEX(Curves!$AP$8:$AP$68,AJ$4-$B155+1)</f>
        <v/>
      </c>
      <c r="AK155" s="75">
        <f>$C155*INDEX(Curves!$AP$8:$AP$68,AK$4-$B155+1)</f>
        <v/>
      </c>
      <c r="AL155" s="75">
        <f>$C155*INDEX(Curves!$AP$8:$AP$68,AL$4-$B155+1)</f>
        <v/>
      </c>
      <c r="AM155" s="75">
        <f>$C155*INDEX(Curves!$AP$8:$AP$68,AM$4-$B155+1)</f>
        <v/>
      </c>
      <c r="AN155" s="75">
        <f>$C155*INDEX(Curves!$AP$8:$AP$68,AN$4-$B155+1)</f>
        <v/>
      </c>
      <c r="AO155" s="75">
        <f>$C155*INDEX(Curves!$AP$8:$AP$68,AO$4-$B155+1)</f>
        <v/>
      </c>
      <c r="AP155" s="75">
        <f>$C155*INDEX(Curves!$AP$8:$AP$68,AP$4-$B155+1)</f>
        <v/>
      </c>
      <c r="AQ155" s="75">
        <f>$C155*INDEX(Curves!$AP$8:$AP$68,AQ$4-$B155+1)</f>
        <v/>
      </c>
      <c r="AR155" s="75">
        <f>$C155*INDEX(Curves!$AP$8:$AP$68,AR$4-$B155+1)</f>
        <v/>
      </c>
      <c r="AS155" s="75">
        <f>$C155*INDEX(Curves!$AP$8:$AP$68,AS$4-$B155+1)</f>
        <v/>
      </c>
      <c r="AT155" s="75">
        <f>$C155*INDEX(Curves!$AP$8:$AP$68,AT$4-$B155+1)</f>
        <v/>
      </c>
      <c r="AU155" s="75">
        <f>$C155*INDEX(Curves!$AP$8:$AP$68,AU$4-$B155+1)</f>
        <v/>
      </c>
      <c r="AV155" s="75">
        <f>$C155*INDEX(Curves!$AP$8:$AP$68,AV$4-$B155+1)</f>
        <v/>
      </c>
      <c r="AW155" s="75">
        <f>$C155*INDEX(Curves!$AP$8:$AP$68,AW$4-$B155+1)</f>
        <v/>
      </c>
      <c r="AX155" s="75">
        <f>$C155*INDEX(Curves!$AP$8:$AP$68,AX$4-$B155+1)</f>
        <v/>
      </c>
      <c r="AY155" s="75">
        <f>$C155*INDEX(Curves!$AP$8:$AP$68,AY$4-$B155+1)</f>
        <v/>
      </c>
      <c r="AZ155" s="75">
        <f>$C155*INDEX(Curves!$AP$8:$AP$68,AZ$4-$B155+1)</f>
        <v/>
      </c>
      <c r="BA155" s="75">
        <f>$C155*INDEX(Curves!$AP$8:$AP$68,BA$4-$B155+1)</f>
        <v/>
      </c>
      <c r="BB155" s="75">
        <f>$C155*INDEX(Curves!$AP$8:$AP$68,BB$4-$B155+1)</f>
        <v/>
      </c>
      <c r="BC155" s="75">
        <f>$C155*INDEX(Curves!$AP$8:$AP$68,BC$4-$B155+1)</f>
        <v/>
      </c>
      <c r="BD155" s="75">
        <f>$C155*INDEX(Curves!$AP$8:$AP$68,BD$4-$B155+1)</f>
        <v/>
      </c>
      <c r="BE155" s="75">
        <f>$C155*INDEX(Curves!$AP$8:$AP$68,BE$4-$B155+1)</f>
        <v/>
      </c>
      <c r="BF155" s="75">
        <f>$C155*INDEX(Curves!$AP$8:$AP$68,BF$4-$B155+1)</f>
        <v/>
      </c>
      <c r="BG155" s="75">
        <f>$C155*INDEX(Curves!$AP$8:$AP$68,BG$4-$B155+1)</f>
        <v/>
      </c>
      <c r="BH155" s="75">
        <f>$C155*INDEX(Curves!$AP$8:$AP$68,BH$4-$B155+1)</f>
        <v/>
      </c>
      <c r="BI155" s="75">
        <f>$C155*INDEX(Curves!$AP$8:$AP$68,BI$4-$B155+1)</f>
        <v/>
      </c>
      <c r="BJ155" s="75">
        <f>$C155*INDEX(Curves!$AP$8:$AP$68,BJ$4-$B155+1)</f>
        <v/>
      </c>
      <c r="BK155" s="75">
        <f>$C155*INDEX(Curves!$AP$8:$AP$68,BK$4-$B155+1)</f>
        <v/>
      </c>
      <c r="BL155" s="75">
        <f>$C155*INDEX(Curves!$AP$8:$AP$68,BL$4-$B155+1)</f>
        <v/>
      </c>
    </row>
    <row r="156">
      <c r="A156" s="74" t="inlineStr">
        <is>
          <t>Cohort month 21</t>
        </is>
      </c>
      <c r="B156" s="74" t="n">
        <v>21</v>
      </c>
      <c r="C156" s="17">
        <f>INDEX(Ops!$E$85:$BL$85,1,$B156)</f>
        <v/>
      </c>
      <c r="Z156" s="75">
        <f>$C156*INDEX(Curves!$AP$8:$AP$68,Z$4-$B156+1)</f>
        <v/>
      </c>
      <c r="AA156" s="75">
        <f>$C156*INDEX(Curves!$AP$8:$AP$68,AA$4-$B156+1)</f>
        <v/>
      </c>
      <c r="AB156" s="75">
        <f>$C156*INDEX(Curves!$AP$8:$AP$68,AB$4-$B156+1)</f>
        <v/>
      </c>
      <c r="AC156" s="75">
        <f>$C156*INDEX(Curves!$AP$8:$AP$68,AC$4-$B156+1)</f>
        <v/>
      </c>
      <c r="AD156" s="75">
        <f>$C156*INDEX(Curves!$AP$8:$AP$68,AD$4-$B156+1)</f>
        <v/>
      </c>
      <c r="AE156" s="75">
        <f>$C156*INDEX(Curves!$AP$8:$AP$68,AE$4-$B156+1)</f>
        <v/>
      </c>
      <c r="AF156" s="75">
        <f>$C156*INDEX(Curves!$AP$8:$AP$68,AF$4-$B156+1)</f>
        <v/>
      </c>
      <c r="AG156" s="75">
        <f>$C156*INDEX(Curves!$AP$8:$AP$68,AG$4-$B156+1)</f>
        <v/>
      </c>
      <c r="AH156" s="75">
        <f>$C156*INDEX(Curves!$AP$8:$AP$68,AH$4-$B156+1)</f>
        <v/>
      </c>
      <c r="AI156" s="75">
        <f>$C156*INDEX(Curves!$AP$8:$AP$68,AI$4-$B156+1)</f>
        <v/>
      </c>
      <c r="AJ156" s="75">
        <f>$C156*INDEX(Curves!$AP$8:$AP$68,AJ$4-$B156+1)</f>
        <v/>
      </c>
      <c r="AK156" s="75">
        <f>$C156*INDEX(Curves!$AP$8:$AP$68,AK$4-$B156+1)</f>
        <v/>
      </c>
      <c r="AL156" s="75">
        <f>$C156*INDEX(Curves!$AP$8:$AP$68,AL$4-$B156+1)</f>
        <v/>
      </c>
      <c r="AM156" s="75">
        <f>$C156*INDEX(Curves!$AP$8:$AP$68,AM$4-$B156+1)</f>
        <v/>
      </c>
      <c r="AN156" s="75">
        <f>$C156*INDEX(Curves!$AP$8:$AP$68,AN$4-$B156+1)</f>
        <v/>
      </c>
      <c r="AO156" s="75">
        <f>$C156*INDEX(Curves!$AP$8:$AP$68,AO$4-$B156+1)</f>
        <v/>
      </c>
      <c r="AP156" s="75">
        <f>$C156*INDEX(Curves!$AP$8:$AP$68,AP$4-$B156+1)</f>
        <v/>
      </c>
      <c r="AQ156" s="75">
        <f>$C156*INDEX(Curves!$AP$8:$AP$68,AQ$4-$B156+1)</f>
        <v/>
      </c>
      <c r="AR156" s="75">
        <f>$C156*INDEX(Curves!$AP$8:$AP$68,AR$4-$B156+1)</f>
        <v/>
      </c>
      <c r="AS156" s="75">
        <f>$C156*INDEX(Curves!$AP$8:$AP$68,AS$4-$B156+1)</f>
        <v/>
      </c>
      <c r="AT156" s="75">
        <f>$C156*INDEX(Curves!$AP$8:$AP$68,AT$4-$B156+1)</f>
        <v/>
      </c>
      <c r="AU156" s="75">
        <f>$C156*INDEX(Curves!$AP$8:$AP$68,AU$4-$B156+1)</f>
        <v/>
      </c>
      <c r="AV156" s="75">
        <f>$C156*INDEX(Curves!$AP$8:$AP$68,AV$4-$B156+1)</f>
        <v/>
      </c>
      <c r="AW156" s="75">
        <f>$C156*INDEX(Curves!$AP$8:$AP$68,AW$4-$B156+1)</f>
        <v/>
      </c>
      <c r="AX156" s="75">
        <f>$C156*INDEX(Curves!$AP$8:$AP$68,AX$4-$B156+1)</f>
        <v/>
      </c>
      <c r="AY156" s="75">
        <f>$C156*INDEX(Curves!$AP$8:$AP$68,AY$4-$B156+1)</f>
        <v/>
      </c>
      <c r="AZ156" s="75">
        <f>$C156*INDEX(Curves!$AP$8:$AP$68,AZ$4-$B156+1)</f>
        <v/>
      </c>
      <c r="BA156" s="75">
        <f>$C156*INDEX(Curves!$AP$8:$AP$68,BA$4-$B156+1)</f>
        <v/>
      </c>
      <c r="BB156" s="75">
        <f>$C156*INDEX(Curves!$AP$8:$AP$68,BB$4-$B156+1)</f>
        <v/>
      </c>
      <c r="BC156" s="75">
        <f>$C156*INDEX(Curves!$AP$8:$AP$68,BC$4-$B156+1)</f>
        <v/>
      </c>
      <c r="BD156" s="75">
        <f>$C156*INDEX(Curves!$AP$8:$AP$68,BD$4-$B156+1)</f>
        <v/>
      </c>
      <c r="BE156" s="75">
        <f>$C156*INDEX(Curves!$AP$8:$AP$68,BE$4-$B156+1)</f>
        <v/>
      </c>
      <c r="BF156" s="75">
        <f>$C156*INDEX(Curves!$AP$8:$AP$68,BF$4-$B156+1)</f>
        <v/>
      </c>
      <c r="BG156" s="75">
        <f>$C156*INDEX(Curves!$AP$8:$AP$68,BG$4-$B156+1)</f>
        <v/>
      </c>
      <c r="BH156" s="75">
        <f>$C156*INDEX(Curves!$AP$8:$AP$68,BH$4-$B156+1)</f>
        <v/>
      </c>
      <c r="BI156" s="75">
        <f>$C156*INDEX(Curves!$AP$8:$AP$68,BI$4-$B156+1)</f>
        <v/>
      </c>
      <c r="BJ156" s="75">
        <f>$C156*INDEX(Curves!$AP$8:$AP$68,BJ$4-$B156+1)</f>
        <v/>
      </c>
      <c r="BK156" s="75">
        <f>$C156*INDEX(Curves!$AP$8:$AP$68,BK$4-$B156+1)</f>
        <v/>
      </c>
      <c r="BL156" s="75">
        <f>$C156*INDEX(Curves!$AP$8:$AP$68,BL$4-$B156+1)</f>
        <v/>
      </c>
    </row>
    <row r="157">
      <c r="A157" s="74" t="inlineStr">
        <is>
          <t>Cohort month 22</t>
        </is>
      </c>
      <c r="B157" s="74" t="n">
        <v>22</v>
      </c>
      <c r="C157" s="17">
        <f>INDEX(Ops!$E$85:$BL$85,1,$B157)</f>
        <v/>
      </c>
      <c r="AA157" s="75">
        <f>$C157*INDEX(Curves!$AP$8:$AP$68,AA$4-$B157+1)</f>
        <v/>
      </c>
      <c r="AB157" s="75">
        <f>$C157*INDEX(Curves!$AP$8:$AP$68,AB$4-$B157+1)</f>
        <v/>
      </c>
      <c r="AC157" s="75">
        <f>$C157*INDEX(Curves!$AP$8:$AP$68,AC$4-$B157+1)</f>
        <v/>
      </c>
      <c r="AD157" s="75">
        <f>$C157*INDEX(Curves!$AP$8:$AP$68,AD$4-$B157+1)</f>
        <v/>
      </c>
      <c r="AE157" s="75">
        <f>$C157*INDEX(Curves!$AP$8:$AP$68,AE$4-$B157+1)</f>
        <v/>
      </c>
      <c r="AF157" s="75">
        <f>$C157*INDEX(Curves!$AP$8:$AP$68,AF$4-$B157+1)</f>
        <v/>
      </c>
      <c r="AG157" s="75">
        <f>$C157*INDEX(Curves!$AP$8:$AP$68,AG$4-$B157+1)</f>
        <v/>
      </c>
      <c r="AH157" s="75">
        <f>$C157*INDEX(Curves!$AP$8:$AP$68,AH$4-$B157+1)</f>
        <v/>
      </c>
      <c r="AI157" s="75">
        <f>$C157*INDEX(Curves!$AP$8:$AP$68,AI$4-$B157+1)</f>
        <v/>
      </c>
      <c r="AJ157" s="75">
        <f>$C157*INDEX(Curves!$AP$8:$AP$68,AJ$4-$B157+1)</f>
        <v/>
      </c>
      <c r="AK157" s="75">
        <f>$C157*INDEX(Curves!$AP$8:$AP$68,AK$4-$B157+1)</f>
        <v/>
      </c>
      <c r="AL157" s="75">
        <f>$C157*INDEX(Curves!$AP$8:$AP$68,AL$4-$B157+1)</f>
        <v/>
      </c>
      <c r="AM157" s="75">
        <f>$C157*INDEX(Curves!$AP$8:$AP$68,AM$4-$B157+1)</f>
        <v/>
      </c>
      <c r="AN157" s="75">
        <f>$C157*INDEX(Curves!$AP$8:$AP$68,AN$4-$B157+1)</f>
        <v/>
      </c>
      <c r="AO157" s="75">
        <f>$C157*INDEX(Curves!$AP$8:$AP$68,AO$4-$B157+1)</f>
        <v/>
      </c>
      <c r="AP157" s="75">
        <f>$C157*INDEX(Curves!$AP$8:$AP$68,AP$4-$B157+1)</f>
        <v/>
      </c>
      <c r="AQ157" s="75">
        <f>$C157*INDEX(Curves!$AP$8:$AP$68,AQ$4-$B157+1)</f>
        <v/>
      </c>
      <c r="AR157" s="75">
        <f>$C157*INDEX(Curves!$AP$8:$AP$68,AR$4-$B157+1)</f>
        <v/>
      </c>
      <c r="AS157" s="75">
        <f>$C157*INDEX(Curves!$AP$8:$AP$68,AS$4-$B157+1)</f>
        <v/>
      </c>
      <c r="AT157" s="75">
        <f>$C157*INDEX(Curves!$AP$8:$AP$68,AT$4-$B157+1)</f>
        <v/>
      </c>
      <c r="AU157" s="75">
        <f>$C157*INDEX(Curves!$AP$8:$AP$68,AU$4-$B157+1)</f>
        <v/>
      </c>
      <c r="AV157" s="75">
        <f>$C157*INDEX(Curves!$AP$8:$AP$68,AV$4-$B157+1)</f>
        <v/>
      </c>
      <c r="AW157" s="75">
        <f>$C157*INDEX(Curves!$AP$8:$AP$68,AW$4-$B157+1)</f>
        <v/>
      </c>
      <c r="AX157" s="75">
        <f>$C157*INDEX(Curves!$AP$8:$AP$68,AX$4-$B157+1)</f>
        <v/>
      </c>
      <c r="AY157" s="75">
        <f>$C157*INDEX(Curves!$AP$8:$AP$68,AY$4-$B157+1)</f>
        <v/>
      </c>
      <c r="AZ157" s="75">
        <f>$C157*INDEX(Curves!$AP$8:$AP$68,AZ$4-$B157+1)</f>
        <v/>
      </c>
      <c r="BA157" s="75">
        <f>$C157*INDEX(Curves!$AP$8:$AP$68,BA$4-$B157+1)</f>
        <v/>
      </c>
      <c r="BB157" s="75">
        <f>$C157*INDEX(Curves!$AP$8:$AP$68,BB$4-$B157+1)</f>
        <v/>
      </c>
      <c r="BC157" s="75">
        <f>$C157*INDEX(Curves!$AP$8:$AP$68,BC$4-$B157+1)</f>
        <v/>
      </c>
      <c r="BD157" s="75">
        <f>$C157*INDEX(Curves!$AP$8:$AP$68,BD$4-$B157+1)</f>
        <v/>
      </c>
      <c r="BE157" s="75">
        <f>$C157*INDEX(Curves!$AP$8:$AP$68,BE$4-$B157+1)</f>
        <v/>
      </c>
      <c r="BF157" s="75">
        <f>$C157*INDEX(Curves!$AP$8:$AP$68,BF$4-$B157+1)</f>
        <v/>
      </c>
      <c r="BG157" s="75">
        <f>$C157*INDEX(Curves!$AP$8:$AP$68,BG$4-$B157+1)</f>
        <v/>
      </c>
      <c r="BH157" s="75">
        <f>$C157*INDEX(Curves!$AP$8:$AP$68,BH$4-$B157+1)</f>
        <v/>
      </c>
      <c r="BI157" s="75">
        <f>$C157*INDEX(Curves!$AP$8:$AP$68,BI$4-$B157+1)</f>
        <v/>
      </c>
      <c r="BJ157" s="75">
        <f>$C157*INDEX(Curves!$AP$8:$AP$68,BJ$4-$B157+1)</f>
        <v/>
      </c>
      <c r="BK157" s="75">
        <f>$C157*INDEX(Curves!$AP$8:$AP$68,BK$4-$B157+1)</f>
        <v/>
      </c>
      <c r="BL157" s="75">
        <f>$C157*INDEX(Curves!$AP$8:$AP$68,BL$4-$B157+1)</f>
        <v/>
      </c>
    </row>
    <row r="158">
      <c r="A158" s="74" t="inlineStr">
        <is>
          <t>Cohort month 23</t>
        </is>
      </c>
      <c r="B158" s="74" t="n">
        <v>23</v>
      </c>
      <c r="C158" s="17">
        <f>INDEX(Ops!$E$85:$BL$85,1,$B158)</f>
        <v/>
      </c>
      <c r="AB158" s="75">
        <f>$C158*INDEX(Curves!$AP$8:$AP$68,AB$4-$B158+1)</f>
        <v/>
      </c>
      <c r="AC158" s="75">
        <f>$C158*INDEX(Curves!$AP$8:$AP$68,AC$4-$B158+1)</f>
        <v/>
      </c>
      <c r="AD158" s="75">
        <f>$C158*INDEX(Curves!$AP$8:$AP$68,AD$4-$B158+1)</f>
        <v/>
      </c>
      <c r="AE158" s="75">
        <f>$C158*INDEX(Curves!$AP$8:$AP$68,AE$4-$B158+1)</f>
        <v/>
      </c>
      <c r="AF158" s="75">
        <f>$C158*INDEX(Curves!$AP$8:$AP$68,AF$4-$B158+1)</f>
        <v/>
      </c>
      <c r="AG158" s="75">
        <f>$C158*INDEX(Curves!$AP$8:$AP$68,AG$4-$B158+1)</f>
        <v/>
      </c>
      <c r="AH158" s="75">
        <f>$C158*INDEX(Curves!$AP$8:$AP$68,AH$4-$B158+1)</f>
        <v/>
      </c>
      <c r="AI158" s="75">
        <f>$C158*INDEX(Curves!$AP$8:$AP$68,AI$4-$B158+1)</f>
        <v/>
      </c>
      <c r="AJ158" s="75">
        <f>$C158*INDEX(Curves!$AP$8:$AP$68,AJ$4-$B158+1)</f>
        <v/>
      </c>
      <c r="AK158" s="75">
        <f>$C158*INDEX(Curves!$AP$8:$AP$68,AK$4-$B158+1)</f>
        <v/>
      </c>
      <c r="AL158" s="75">
        <f>$C158*INDEX(Curves!$AP$8:$AP$68,AL$4-$B158+1)</f>
        <v/>
      </c>
      <c r="AM158" s="75">
        <f>$C158*INDEX(Curves!$AP$8:$AP$68,AM$4-$B158+1)</f>
        <v/>
      </c>
      <c r="AN158" s="75">
        <f>$C158*INDEX(Curves!$AP$8:$AP$68,AN$4-$B158+1)</f>
        <v/>
      </c>
      <c r="AO158" s="75">
        <f>$C158*INDEX(Curves!$AP$8:$AP$68,AO$4-$B158+1)</f>
        <v/>
      </c>
      <c r="AP158" s="75">
        <f>$C158*INDEX(Curves!$AP$8:$AP$68,AP$4-$B158+1)</f>
        <v/>
      </c>
      <c r="AQ158" s="75">
        <f>$C158*INDEX(Curves!$AP$8:$AP$68,AQ$4-$B158+1)</f>
        <v/>
      </c>
      <c r="AR158" s="75">
        <f>$C158*INDEX(Curves!$AP$8:$AP$68,AR$4-$B158+1)</f>
        <v/>
      </c>
      <c r="AS158" s="75">
        <f>$C158*INDEX(Curves!$AP$8:$AP$68,AS$4-$B158+1)</f>
        <v/>
      </c>
      <c r="AT158" s="75">
        <f>$C158*INDEX(Curves!$AP$8:$AP$68,AT$4-$B158+1)</f>
        <v/>
      </c>
      <c r="AU158" s="75">
        <f>$C158*INDEX(Curves!$AP$8:$AP$68,AU$4-$B158+1)</f>
        <v/>
      </c>
      <c r="AV158" s="75">
        <f>$C158*INDEX(Curves!$AP$8:$AP$68,AV$4-$B158+1)</f>
        <v/>
      </c>
      <c r="AW158" s="75">
        <f>$C158*INDEX(Curves!$AP$8:$AP$68,AW$4-$B158+1)</f>
        <v/>
      </c>
      <c r="AX158" s="75">
        <f>$C158*INDEX(Curves!$AP$8:$AP$68,AX$4-$B158+1)</f>
        <v/>
      </c>
      <c r="AY158" s="75">
        <f>$C158*INDEX(Curves!$AP$8:$AP$68,AY$4-$B158+1)</f>
        <v/>
      </c>
      <c r="AZ158" s="75">
        <f>$C158*INDEX(Curves!$AP$8:$AP$68,AZ$4-$B158+1)</f>
        <v/>
      </c>
      <c r="BA158" s="75">
        <f>$C158*INDEX(Curves!$AP$8:$AP$68,BA$4-$B158+1)</f>
        <v/>
      </c>
      <c r="BB158" s="75">
        <f>$C158*INDEX(Curves!$AP$8:$AP$68,BB$4-$B158+1)</f>
        <v/>
      </c>
      <c r="BC158" s="75">
        <f>$C158*INDEX(Curves!$AP$8:$AP$68,BC$4-$B158+1)</f>
        <v/>
      </c>
      <c r="BD158" s="75">
        <f>$C158*INDEX(Curves!$AP$8:$AP$68,BD$4-$B158+1)</f>
        <v/>
      </c>
      <c r="BE158" s="75">
        <f>$C158*INDEX(Curves!$AP$8:$AP$68,BE$4-$B158+1)</f>
        <v/>
      </c>
      <c r="BF158" s="75">
        <f>$C158*INDEX(Curves!$AP$8:$AP$68,BF$4-$B158+1)</f>
        <v/>
      </c>
      <c r="BG158" s="75">
        <f>$C158*INDEX(Curves!$AP$8:$AP$68,BG$4-$B158+1)</f>
        <v/>
      </c>
      <c r="BH158" s="75">
        <f>$C158*INDEX(Curves!$AP$8:$AP$68,BH$4-$B158+1)</f>
        <v/>
      </c>
      <c r="BI158" s="75">
        <f>$C158*INDEX(Curves!$AP$8:$AP$68,BI$4-$B158+1)</f>
        <v/>
      </c>
      <c r="BJ158" s="75">
        <f>$C158*INDEX(Curves!$AP$8:$AP$68,BJ$4-$B158+1)</f>
        <v/>
      </c>
      <c r="BK158" s="75">
        <f>$C158*INDEX(Curves!$AP$8:$AP$68,BK$4-$B158+1)</f>
        <v/>
      </c>
      <c r="BL158" s="75">
        <f>$C158*INDEX(Curves!$AP$8:$AP$68,BL$4-$B158+1)</f>
        <v/>
      </c>
    </row>
    <row r="159">
      <c r="A159" s="74" t="inlineStr">
        <is>
          <t>Cohort month 24</t>
        </is>
      </c>
      <c r="B159" s="74" t="n">
        <v>24</v>
      </c>
      <c r="C159" s="17">
        <f>INDEX(Ops!$E$85:$BL$85,1,$B159)</f>
        <v/>
      </c>
      <c r="AC159" s="75">
        <f>$C159*INDEX(Curves!$AP$8:$AP$68,AC$4-$B159+1)</f>
        <v/>
      </c>
      <c r="AD159" s="75">
        <f>$C159*INDEX(Curves!$AP$8:$AP$68,AD$4-$B159+1)</f>
        <v/>
      </c>
      <c r="AE159" s="75">
        <f>$C159*INDEX(Curves!$AP$8:$AP$68,AE$4-$B159+1)</f>
        <v/>
      </c>
      <c r="AF159" s="75">
        <f>$C159*INDEX(Curves!$AP$8:$AP$68,AF$4-$B159+1)</f>
        <v/>
      </c>
      <c r="AG159" s="75">
        <f>$C159*INDEX(Curves!$AP$8:$AP$68,AG$4-$B159+1)</f>
        <v/>
      </c>
      <c r="AH159" s="75">
        <f>$C159*INDEX(Curves!$AP$8:$AP$68,AH$4-$B159+1)</f>
        <v/>
      </c>
      <c r="AI159" s="75">
        <f>$C159*INDEX(Curves!$AP$8:$AP$68,AI$4-$B159+1)</f>
        <v/>
      </c>
      <c r="AJ159" s="75">
        <f>$C159*INDEX(Curves!$AP$8:$AP$68,AJ$4-$B159+1)</f>
        <v/>
      </c>
      <c r="AK159" s="75">
        <f>$C159*INDEX(Curves!$AP$8:$AP$68,AK$4-$B159+1)</f>
        <v/>
      </c>
      <c r="AL159" s="75">
        <f>$C159*INDEX(Curves!$AP$8:$AP$68,AL$4-$B159+1)</f>
        <v/>
      </c>
      <c r="AM159" s="75">
        <f>$C159*INDEX(Curves!$AP$8:$AP$68,AM$4-$B159+1)</f>
        <v/>
      </c>
      <c r="AN159" s="75">
        <f>$C159*INDEX(Curves!$AP$8:$AP$68,AN$4-$B159+1)</f>
        <v/>
      </c>
      <c r="AO159" s="75">
        <f>$C159*INDEX(Curves!$AP$8:$AP$68,AO$4-$B159+1)</f>
        <v/>
      </c>
      <c r="AP159" s="75">
        <f>$C159*INDEX(Curves!$AP$8:$AP$68,AP$4-$B159+1)</f>
        <v/>
      </c>
      <c r="AQ159" s="75">
        <f>$C159*INDEX(Curves!$AP$8:$AP$68,AQ$4-$B159+1)</f>
        <v/>
      </c>
      <c r="AR159" s="75">
        <f>$C159*INDEX(Curves!$AP$8:$AP$68,AR$4-$B159+1)</f>
        <v/>
      </c>
      <c r="AS159" s="75">
        <f>$C159*INDEX(Curves!$AP$8:$AP$68,AS$4-$B159+1)</f>
        <v/>
      </c>
      <c r="AT159" s="75">
        <f>$C159*INDEX(Curves!$AP$8:$AP$68,AT$4-$B159+1)</f>
        <v/>
      </c>
      <c r="AU159" s="75">
        <f>$C159*INDEX(Curves!$AP$8:$AP$68,AU$4-$B159+1)</f>
        <v/>
      </c>
      <c r="AV159" s="75">
        <f>$C159*INDEX(Curves!$AP$8:$AP$68,AV$4-$B159+1)</f>
        <v/>
      </c>
      <c r="AW159" s="75">
        <f>$C159*INDEX(Curves!$AP$8:$AP$68,AW$4-$B159+1)</f>
        <v/>
      </c>
      <c r="AX159" s="75">
        <f>$C159*INDEX(Curves!$AP$8:$AP$68,AX$4-$B159+1)</f>
        <v/>
      </c>
      <c r="AY159" s="75">
        <f>$C159*INDEX(Curves!$AP$8:$AP$68,AY$4-$B159+1)</f>
        <v/>
      </c>
      <c r="AZ159" s="75">
        <f>$C159*INDEX(Curves!$AP$8:$AP$68,AZ$4-$B159+1)</f>
        <v/>
      </c>
      <c r="BA159" s="75">
        <f>$C159*INDEX(Curves!$AP$8:$AP$68,BA$4-$B159+1)</f>
        <v/>
      </c>
      <c r="BB159" s="75">
        <f>$C159*INDEX(Curves!$AP$8:$AP$68,BB$4-$B159+1)</f>
        <v/>
      </c>
      <c r="BC159" s="75">
        <f>$C159*INDEX(Curves!$AP$8:$AP$68,BC$4-$B159+1)</f>
        <v/>
      </c>
      <c r="BD159" s="75">
        <f>$C159*INDEX(Curves!$AP$8:$AP$68,BD$4-$B159+1)</f>
        <v/>
      </c>
      <c r="BE159" s="75">
        <f>$C159*INDEX(Curves!$AP$8:$AP$68,BE$4-$B159+1)</f>
        <v/>
      </c>
      <c r="BF159" s="75">
        <f>$C159*INDEX(Curves!$AP$8:$AP$68,BF$4-$B159+1)</f>
        <v/>
      </c>
      <c r="BG159" s="75">
        <f>$C159*INDEX(Curves!$AP$8:$AP$68,BG$4-$B159+1)</f>
        <v/>
      </c>
      <c r="BH159" s="75">
        <f>$C159*INDEX(Curves!$AP$8:$AP$68,BH$4-$B159+1)</f>
        <v/>
      </c>
      <c r="BI159" s="75">
        <f>$C159*INDEX(Curves!$AP$8:$AP$68,BI$4-$B159+1)</f>
        <v/>
      </c>
      <c r="BJ159" s="75">
        <f>$C159*INDEX(Curves!$AP$8:$AP$68,BJ$4-$B159+1)</f>
        <v/>
      </c>
      <c r="BK159" s="75">
        <f>$C159*INDEX(Curves!$AP$8:$AP$68,BK$4-$B159+1)</f>
        <v/>
      </c>
      <c r="BL159" s="75">
        <f>$C159*INDEX(Curves!$AP$8:$AP$68,BL$4-$B159+1)</f>
        <v/>
      </c>
    </row>
    <row r="160">
      <c r="A160" s="74" t="inlineStr">
        <is>
          <t>Cohort month 25</t>
        </is>
      </c>
      <c r="B160" s="74" t="n">
        <v>25</v>
      </c>
      <c r="C160" s="17">
        <f>INDEX(Ops!$E$85:$BL$85,1,$B160)</f>
        <v/>
      </c>
      <c r="AD160" s="75">
        <f>$C160*INDEX(Curves!$AP$8:$AP$68,AD$4-$B160+1)</f>
        <v/>
      </c>
      <c r="AE160" s="75">
        <f>$C160*INDEX(Curves!$AP$8:$AP$68,AE$4-$B160+1)</f>
        <v/>
      </c>
      <c r="AF160" s="75">
        <f>$C160*INDEX(Curves!$AP$8:$AP$68,AF$4-$B160+1)</f>
        <v/>
      </c>
      <c r="AG160" s="75">
        <f>$C160*INDEX(Curves!$AP$8:$AP$68,AG$4-$B160+1)</f>
        <v/>
      </c>
      <c r="AH160" s="75">
        <f>$C160*INDEX(Curves!$AP$8:$AP$68,AH$4-$B160+1)</f>
        <v/>
      </c>
      <c r="AI160" s="75">
        <f>$C160*INDEX(Curves!$AP$8:$AP$68,AI$4-$B160+1)</f>
        <v/>
      </c>
      <c r="AJ160" s="75">
        <f>$C160*INDEX(Curves!$AP$8:$AP$68,AJ$4-$B160+1)</f>
        <v/>
      </c>
      <c r="AK160" s="75">
        <f>$C160*INDEX(Curves!$AP$8:$AP$68,AK$4-$B160+1)</f>
        <v/>
      </c>
      <c r="AL160" s="75">
        <f>$C160*INDEX(Curves!$AP$8:$AP$68,AL$4-$B160+1)</f>
        <v/>
      </c>
      <c r="AM160" s="75">
        <f>$C160*INDEX(Curves!$AP$8:$AP$68,AM$4-$B160+1)</f>
        <v/>
      </c>
      <c r="AN160" s="75">
        <f>$C160*INDEX(Curves!$AP$8:$AP$68,AN$4-$B160+1)</f>
        <v/>
      </c>
      <c r="AO160" s="75">
        <f>$C160*INDEX(Curves!$AP$8:$AP$68,AO$4-$B160+1)</f>
        <v/>
      </c>
      <c r="AP160" s="75">
        <f>$C160*INDEX(Curves!$AP$8:$AP$68,AP$4-$B160+1)</f>
        <v/>
      </c>
      <c r="AQ160" s="75">
        <f>$C160*INDEX(Curves!$AP$8:$AP$68,AQ$4-$B160+1)</f>
        <v/>
      </c>
      <c r="AR160" s="75">
        <f>$C160*INDEX(Curves!$AP$8:$AP$68,AR$4-$B160+1)</f>
        <v/>
      </c>
      <c r="AS160" s="75">
        <f>$C160*INDEX(Curves!$AP$8:$AP$68,AS$4-$B160+1)</f>
        <v/>
      </c>
      <c r="AT160" s="75">
        <f>$C160*INDEX(Curves!$AP$8:$AP$68,AT$4-$B160+1)</f>
        <v/>
      </c>
      <c r="AU160" s="75">
        <f>$C160*INDEX(Curves!$AP$8:$AP$68,AU$4-$B160+1)</f>
        <v/>
      </c>
      <c r="AV160" s="75">
        <f>$C160*INDEX(Curves!$AP$8:$AP$68,AV$4-$B160+1)</f>
        <v/>
      </c>
      <c r="AW160" s="75">
        <f>$C160*INDEX(Curves!$AP$8:$AP$68,AW$4-$B160+1)</f>
        <v/>
      </c>
      <c r="AX160" s="75">
        <f>$C160*INDEX(Curves!$AP$8:$AP$68,AX$4-$B160+1)</f>
        <v/>
      </c>
      <c r="AY160" s="75">
        <f>$C160*INDEX(Curves!$AP$8:$AP$68,AY$4-$B160+1)</f>
        <v/>
      </c>
      <c r="AZ160" s="75">
        <f>$C160*INDEX(Curves!$AP$8:$AP$68,AZ$4-$B160+1)</f>
        <v/>
      </c>
      <c r="BA160" s="75">
        <f>$C160*INDEX(Curves!$AP$8:$AP$68,BA$4-$B160+1)</f>
        <v/>
      </c>
      <c r="BB160" s="75">
        <f>$C160*INDEX(Curves!$AP$8:$AP$68,BB$4-$B160+1)</f>
        <v/>
      </c>
      <c r="BC160" s="75">
        <f>$C160*INDEX(Curves!$AP$8:$AP$68,BC$4-$B160+1)</f>
        <v/>
      </c>
      <c r="BD160" s="75">
        <f>$C160*INDEX(Curves!$AP$8:$AP$68,BD$4-$B160+1)</f>
        <v/>
      </c>
      <c r="BE160" s="75">
        <f>$C160*INDEX(Curves!$AP$8:$AP$68,BE$4-$B160+1)</f>
        <v/>
      </c>
      <c r="BF160" s="75">
        <f>$C160*INDEX(Curves!$AP$8:$AP$68,BF$4-$B160+1)</f>
        <v/>
      </c>
      <c r="BG160" s="75">
        <f>$C160*INDEX(Curves!$AP$8:$AP$68,BG$4-$B160+1)</f>
        <v/>
      </c>
      <c r="BH160" s="75">
        <f>$C160*INDEX(Curves!$AP$8:$AP$68,BH$4-$B160+1)</f>
        <v/>
      </c>
      <c r="BI160" s="75">
        <f>$C160*INDEX(Curves!$AP$8:$AP$68,BI$4-$B160+1)</f>
        <v/>
      </c>
      <c r="BJ160" s="75">
        <f>$C160*INDEX(Curves!$AP$8:$AP$68,BJ$4-$B160+1)</f>
        <v/>
      </c>
      <c r="BK160" s="75">
        <f>$C160*INDEX(Curves!$AP$8:$AP$68,BK$4-$B160+1)</f>
        <v/>
      </c>
      <c r="BL160" s="75">
        <f>$C160*INDEX(Curves!$AP$8:$AP$68,BL$4-$B160+1)</f>
        <v/>
      </c>
    </row>
    <row r="161">
      <c r="A161" s="74" t="inlineStr">
        <is>
          <t>Cohort month 26</t>
        </is>
      </c>
      <c r="B161" s="74" t="n">
        <v>26</v>
      </c>
      <c r="C161" s="17">
        <f>INDEX(Ops!$E$85:$BL$85,1,$B161)</f>
        <v/>
      </c>
      <c r="AE161" s="75">
        <f>$C161*INDEX(Curves!$AP$8:$AP$68,AE$4-$B161+1)</f>
        <v/>
      </c>
      <c r="AF161" s="75">
        <f>$C161*INDEX(Curves!$AP$8:$AP$68,AF$4-$B161+1)</f>
        <v/>
      </c>
      <c r="AG161" s="75">
        <f>$C161*INDEX(Curves!$AP$8:$AP$68,AG$4-$B161+1)</f>
        <v/>
      </c>
      <c r="AH161" s="75">
        <f>$C161*INDEX(Curves!$AP$8:$AP$68,AH$4-$B161+1)</f>
        <v/>
      </c>
      <c r="AI161" s="75">
        <f>$C161*INDEX(Curves!$AP$8:$AP$68,AI$4-$B161+1)</f>
        <v/>
      </c>
      <c r="AJ161" s="75">
        <f>$C161*INDEX(Curves!$AP$8:$AP$68,AJ$4-$B161+1)</f>
        <v/>
      </c>
      <c r="AK161" s="75">
        <f>$C161*INDEX(Curves!$AP$8:$AP$68,AK$4-$B161+1)</f>
        <v/>
      </c>
      <c r="AL161" s="75">
        <f>$C161*INDEX(Curves!$AP$8:$AP$68,AL$4-$B161+1)</f>
        <v/>
      </c>
      <c r="AM161" s="75">
        <f>$C161*INDEX(Curves!$AP$8:$AP$68,AM$4-$B161+1)</f>
        <v/>
      </c>
      <c r="AN161" s="75">
        <f>$C161*INDEX(Curves!$AP$8:$AP$68,AN$4-$B161+1)</f>
        <v/>
      </c>
      <c r="AO161" s="75">
        <f>$C161*INDEX(Curves!$AP$8:$AP$68,AO$4-$B161+1)</f>
        <v/>
      </c>
      <c r="AP161" s="75">
        <f>$C161*INDEX(Curves!$AP$8:$AP$68,AP$4-$B161+1)</f>
        <v/>
      </c>
      <c r="AQ161" s="75">
        <f>$C161*INDEX(Curves!$AP$8:$AP$68,AQ$4-$B161+1)</f>
        <v/>
      </c>
      <c r="AR161" s="75">
        <f>$C161*INDEX(Curves!$AP$8:$AP$68,AR$4-$B161+1)</f>
        <v/>
      </c>
      <c r="AS161" s="75">
        <f>$C161*INDEX(Curves!$AP$8:$AP$68,AS$4-$B161+1)</f>
        <v/>
      </c>
      <c r="AT161" s="75">
        <f>$C161*INDEX(Curves!$AP$8:$AP$68,AT$4-$B161+1)</f>
        <v/>
      </c>
      <c r="AU161" s="75">
        <f>$C161*INDEX(Curves!$AP$8:$AP$68,AU$4-$B161+1)</f>
        <v/>
      </c>
      <c r="AV161" s="75">
        <f>$C161*INDEX(Curves!$AP$8:$AP$68,AV$4-$B161+1)</f>
        <v/>
      </c>
      <c r="AW161" s="75">
        <f>$C161*INDEX(Curves!$AP$8:$AP$68,AW$4-$B161+1)</f>
        <v/>
      </c>
      <c r="AX161" s="75">
        <f>$C161*INDEX(Curves!$AP$8:$AP$68,AX$4-$B161+1)</f>
        <v/>
      </c>
      <c r="AY161" s="75">
        <f>$C161*INDEX(Curves!$AP$8:$AP$68,AY$4-$B161+1)</f>
        <v/>
      </c>
      <c r="AZ161" s="75">
        <f>$C161*INDEX(Curves!$AP$8:$AP$68,AZ$4-$B161+1)</f>
        <v/>
      </c>
      <c r="BA161" s="75">
        <f>$C161*INDEX(Curves!$AP$8:$AP$68,BA$4-$B161+1)</f>
        <v/>
      </c>
      <c r="BB161" s="75">
        <f>$C161*INDEX(Curves!$AP$8:$AP$68,BB$4-$B161+1)</f>
        <v/>
      </c>
      <c r="BC161" s="75">
        <f>$C161*INDEX(Curves!$AP$8:$AP$68,BC$4-$B161+1)</f>
        <v/>
      </c>
      <c r="BD161" s="75">
        <f>$C161*INDEX(Curves!$AP$8:$AP$68,BD$4-$B161+1)</f>
        <v/>
      </c>
      <c r="BE161" s="75">
        <f>$C161*INDEX(Curves!$AP$8:$AP$68,BE$4-$B161+1)</f>
        <v/>
      </c>
      <c r="BF161" s="75">
        <f>$C161*INDEX(Curves!$AP$8:$AP$68,BF$4-$B161+1)</f>
        <v/>
      </c>
      <c r="BG161" s="75">
        <f>$C161*INDEX(Curves!$AP$8:$AP$68,BG$4-$B161+1)</f>
        <v/>
      </c>
      <c r="BH161" s="75">
        <f>$C161*INDEX(Curves!$AP$8:$AP$68,BH$4-$B161+1)</f>
        <v/>
      </c>
      <c r="BI161" s="75">
        <f>$C161*INDEX(Curves!$AP$8:$AP$68,BI$4-$B161+1)</f>
        <v/>
      </c>
      <c r="BJ161" s="75">
        <f>$C161*INDEX(Curves!$AP$8:$AP$68,BJ$4-$B161+1)</f>
        <v/>
      </c>
      <c r="BK161" s="75">
        <f>$C161*INDEX(Curves!$AP$8:$AP$68,BK$4-$B161+1)</f>
        <v/>
      </c>
      <c r="BL161" s="75">
        <f>$C161*INDEX(Curves!$AP$8:$AP$68,BL$4-$B161+1)</f>
        <v/>
      </c>
    </row>
    <row r="162">
      <c r="A162" s="74" t="inlineStr">
        <is>
          <t>Cohort month 27</t>
        </is>
      </c>
      <c r="B162" s="74" t="n">
        <v>27</v>
      </c>
      <c r="C162" s="17">
        <f>INDEX(Ops!$E$85:$BL$85,1,$B162)</f>
        <v/>
      </c>
      <c r="AF162" s="75">
        <f>$C162*INDEX(Curves!$AP$8:$AP$68,AF$4-$B162+1)</f>
        <v/>
      </c>
      <c r="AG162" s="75">
        <f>$C162*INDEX(Curves!$AP$8:$AP$68,AG$4-$B162+1)</f>
        <v/>
      </c>
      <c r="AH162" s="75">
        <f>$C162*INDEX(Curves!$AP$8:$AP$68,AH$4-$B162+1)</f>
        <v/>
      </c>
      <c r="AI162" s="75">
        <f>$C162*INDEX(Curves!$AP$8:$AP$68,AI$4-$B162+1)</f>
        <v/>
      </c>
      <c r="AJ162" s="75">
        <f>$C162*INDEX(Curves!$AP$8:$AP$68,AJ$4-$B162+1)</f>
        <v/>
      </c>
      <c r="AK162" s="75">
        <f>$C162*INDEX(Curves!$AP$8:$AP$68,AK$4-$B162+1)</f>
        <v/>
      </c>
      <c r="AL162" s="75">
        <f>$C162*INDEX(Curves!$AP$8:$AP$68,AL$4-$B162+1)</f>
        <v/>
      </c>
      <c r="AM162" s="75">
        <f>$C162*INDEX(Curves!$AP$8:$AP$68,AM$4-$B162+1)</f>
        <v/>
      </c>
      <c r="AN162" s="75">
        <f>$C162*INDEX(Curves!$AP$8:$AP$68,AN$4-$B162+1)</f>
        <v/>
      </c>
      <c r="AO162" s="75">
        <f>$C162*INDEX(Curves!$AP$8:$AP$68,AO$4-$B162+1)</f>
        <v/>
      </c>
      <c r="AP162" s="75">
        <f>$C162*INDEX(Curves!$AP$8:$AP$68,AP$4-$B162+1)</f>
        <v/>
      </c>
      <c r="AQ162" s="75">
        <f>$C162*INDEX(Curves!$AP$8:$AP$68,AQ$4-$B162+1)</f>
        <v/>
      </c>
      <c r="AR162" s="75">
        <f>$C162*INDEX(Curves!$AP$8:$AP$68,AR$4-$B162+1)</f>
        <v/>
      </c>
      <c r="AS162" s="75">
        <f>$C162*INDEX(Curves!$AP$8:$AP$68,AS$4-$B162+1)</f>
        <v/>
      </c>
      <c r="AT162" s="75">
        <f>$C162*INDEX(Curves!$AP$8:$AP$68,AT$4-$B162+1)</f>
        <v/>
      </c>
      <c r="AU162" s="75">
        <f>$C162*INDEX(Curves!$AP$8:$AP$68,AU$4-$B162+1)</f>
        <v/>
      </c>
      <c r="AV162" s="75">
        <f>$C162*INDEX(Curves!$AP$8:$AP$68,AV$4-$B162+1)</f>
        <v/>
      </c>
      <c r="AW162" s="75">
        <f>$C162*INDEX(Curves!$AP$8:$AP$68,AW$4-$B162+1)</f>
        <v/>
      </c>
      <c r="AX162" s="75">
        <f>$C162*INDEX(Curves!$AP$8:$AP$68,AX$4-$B162+1)</f>
        <v/>
      </c>
      <c r="AY162" s="75">
        <f>$C162*INDEX(Curves!$AP$8:$AP$68,AY$4-$B162+1)</f>
        <v/>
      </c>
      <c r="AZ162" s="75">
        <f>$C162*INDEX(Curves!$AP$8:$AP$68,AZ$4-$B162+1)</f>
        <v/>
      </c>
      <c r="BA162" s="75">
        <f>$C162*INDEX(Curves!$AP$8:$AP$68,BA$4-$B162+1)</f>
        <v/>
      </c>
      <c r="BB162" s="75">
        <f>$C162*INDEX(Curves!$AP$8:$AP$68,BB$4-$B162+1)</f>
        <v/>
      </c>
      <c r="BC162" s="75">
        <f>$C162*INDEX(Curves!$AP$8:$AP$68,BC$4-$B162+1)</f>
        <v/>
      </c>
      <c r="BD162" s="75">
        <f>$C162*INDEX(Curves!$AP$8:$AP$68,BD$4-$B162+1)</f>
        <v/>
      </c>
      <c r="BE162" s="75">
        <f>$C162*INDEX(Curves!$AP$8:$AP$68,BE$4-$B162+1)</f>
        <v/>
      </c>
      <c r="BF162" s="75">
        <f>$C162*INDEX(Curves!$AP$8:$AP$68,BF$4-$B162+1)</f>
        <v/>
      </c>
      <c r="BG162" s="75">
        <f>$C162*INDEX(Curves!$AP$8:$AP$68,BG$4-$B162+1)</f>
        <v/>
      </c>
      <c r="BH162" s="75">
        <f>$C162*INDEX(Curves!$AP$8:$AP$68,BH$4-$B162+1)</f>
        <v/>
      </c>
      <c r="BI162" s="75">
        <f>$C162*INDEX(Curves!$AP$8:$AP$68,BI$4-$B162+1)</f>
        <v/>
      </c>
      <c r="BJ162" s="75">
        <f>$C162*INDEX(Curves!$AP$8:$AP$68,BJ$4-$B162+1)</f>
        <v/>
      </c>
      <c r="BK162" s="75">
        <f>$C162*INDEX(Curves!$AP$8:$AP$68,BK$4-$B162+1)</f>
        <v/>
      </c>
      <c r="BL162" s="75">
        <f>$C162*INDEX(Curves!$AP$8:$AP$68,BL$4-$B162+1)</f>
        <v/>
      </c>
    </row>
    <row r="163">
      <c r="A163" s="74" t="inlineStr">
        <is>
          <t>Cohort month 28</t>
        </is>
      </c>
      <c r="B163" s="74" t="n">
        <v>28</v>
      </c>
      <c r="C163" s="17">
        <f>INDEX(Ops!$E$85:$BL$85,1,$B163)</f>
        <v/>
      </c>
      <c r="AG163" s="75">
        <f>$C163*INDEX(Curves!$AP$8:$AP$68,AG$4-$B163+1)</f>
        <v/>
      </c>
      <c r="AH163" s="75">
        <f>$C163*INDEX(Curves!$AP$8:$AP$68,AH$4-$B163+1)</f>
        <v/>
      </c>
      <c r="AI163" s="75">
        <f>$C163*INDEX(Curves!$AP$8:$AP$68,AI$4-$B163+1)</f>
        <v/>
      </c>
      <c r="AJ163" s="75">
        <f>$C163*INDEX(Curves!$AP$8:$AP$68,AJ$4-$B163+1)</f>
        <v/>
      </c>
      <c r="AK163" s="75">
        <f>$C163*INDEX(Curves!$AP$8:$AP$68,AK$4-$B163+1)</f>
        <v/>
      </c>
      <c r="AL163" s="75">
        <f>$C163*INDEX(Curves!$AP$8:$AP$68,AL$4-$B163+1)</f>
        <v/>
      </c>
      <c r="AM163" s="75">
        <f>$C163*INDEX(Curves!$AP$8:$AP$68,AM$4-$B163+1)</f>
        <v/>
      </c>
      <c r="AN163" s="75">
        <f>$C163*INDEX(Curves!$AP$8:$AP$68,AN$4-$B163+1)</f>
        <v/>
      </c>
      <c r="AO163" s="75">
        <f>$C163*INDEX(Curves!$AP$8:$AP$68,AO$4-$B163+1)</f>
        <v/>
      </c>
      <c r="AP163" s="75">
        <f>$C163*INDEX(Curves!$AP$8:$AP$68,AP$4-$B163+1)</f>
        <v/>
      </c>
      <c r="AQ163" s="75">
        <f>$C163*INDEX(Curves!$AP$8:$AP$68,AQ$4-$B163+1)</f>
        <v/>
      </c>
      <c r="AR163" s="75">
        <f>$C163*INDEX(Curves!$AP$8:$AP$68,AR$4-$B163+1)</f>
        <v/>
      </c>
      <c r="AS163" s="75">
        <f>$C163*INDEX(Curves!$AP$8:$AP$68,AS$4-$B163+1)</f>
        <v/>
      </c>
      <c r="AT163" s="75">
        <f>$C163*INDEX(Curves!$AP$8:$AP$68,AT$4-$B163+1)</f>
        <v/>
      </c>
      <c r="AU163" s="75">
        <f>$C163*INDEX(Curves!$AP$8:$AP$68,AU$4-$B163+1)</f>
        <v/>
      </c>
      <c r="AV163" s="75">
        <f>$C163*INDEX(Curves!$AP$8:$AP$68,AV$4-$B163+1)</f>
        <v/>
      </c>
      <c r="AW163" s="75">
        <f>$C163*INDEX(Curves!$AP$8:$AP$68,AW$4-$B163+1)</f>
        <v/>
      </c>
      <c r="AX163" s="75">
        <f>$C163*INDEX(Curves!$AP$8:$AP$68,AX$4-$B163+1)</f>
        <v/>
      </c>
      <c r="AY163" s="75">
        <f>$C163*INDEX(Curves!$AP$8:$AP$68,AY$4-$B163+1)</f>
        <v/>
      </c>
      <c r="AZ163" s="75">
        <f>$C163*INDEX(Curves!$AP$8:$AP$68,AZ$4-$B163+1)</f>
        <v/>
      </c>
      <c r="BA163" s="75">
        <f>$C163*INDEX(Curves!$AP$8:$AP$68,BA$4-$B163+1)</f>
        <v/>
      </c>
      <c r="BB163" s="75">
        <f>$C163*INDEX(Curves!$AP$8:$AP$68,BB$4-$B163+1)</f>
        <v/>
      </c>
      <c r="BC163" s="75">
        <f>$C163*INDEX(Curves!$AP$8:$AP$68,BC$4-$B163+1)</f>
        <v/>
      </c>
      <c r="BD163" s="75">
        <f>$C163*INDEX(Curves!$AP$8:$AP$68,BD$4-$B163+1)</f>
        <v/>
      </c>
      <c r="BE163" s="75">
        <f>$C163*INDEX(Curves!$AP$8:$AP$68,BE$4-$B163+1)</f>
        <v/>
      </c>
      <c r="BF163" s="75">
        <f>$C163*INDEX(Curves!$AP$8:$AP$68,BF$4-$B163+1)</f>
        <v/>
      </c>
      <c r="BG163" s="75">
        <f>$C163*INDEX(Curves!$AP$8:$AP$68,BG$4-$B163+1)</f>
        <v/>
      </c>
      <c r="BH163" s="75">
        <f>$C163*INDEX(Curves!$AP$8:$AP$68,BH$4-$B163+1)</f>
        <v/>
      </c>
      <c r="BI163" s="75">
        <f>$C163*INDEX(Curves!$AP$8:$AP$68,BI$4-$B163+1)</f>
        <v/>
      </c>
      <c r="BJ163" s="75">
        <f>$C163*INDEX(Curves!$AP$8:$AP$68,BJ$4-$B163+1)</f>
        <v/>
      </c>
      <c r="BK163" s="75">
        <f>$C163*INDEX(Curves!$AP$8:$AP$68,BK$4-$B163+1)</f>
        <v/>
      </c>
      <c r="BL163" s="75">
        <f>$C163*INDEX(Curves!$AP$8:$AP$68,BL$4-$B163+1)</f>
        <v/>
      </c>
    </row>
    <row r="164">
      <c r="A164" s="74" t="inlineStr">
        <is>
          <t>Cohort month 29</t>
        </is>
      </c>
      <c r="B164" s="74" t="n">
        <v>29</v>
      </c>
      <c r="C164" s="17">
        <f>INDEX(Ops!$E$85:$BL$85,1,$B164)</f>
        <v/>
      </c>
      <c r="AH164" s="75">
        <f>$C164*INDEX(Curves!$AP$8:$AP$68,AH$4-$B164+1)</f>
        <v/>
      </c>
      <c r="AI164" s="75">
        <f>$C164*INDEX(Curves!$AP$8:$AP$68,AI$4-$B164+1)</f>
        <v/>
      </c>
      <c r="AJ164" s="75">
        <f>$C164*INDEX(Curves!$AP$8:$AP$68,AJ$4-$B164+1)</f>
        <v/>
      </c>
      <c r="AK164" s="75">
        <f>$C164*INDEX(Curves!$AP$8:$AP$68,AK$4-$B164+1)</f>
        <v/>
      </c>
      <c r="AL164" s="75">
        <f>$C164*INDEX(Curves!$AP$8:$AP$68,AL$4-$B164+1)</f>
        <v/>
      </c>
      <c r="AM164" s="75">
        <f>$C164*INDEX(Curves!$AP$8:$AP$68,AM$4-$B164+1)</f>
        <v/>
      </c>
      <c r="AN164" s="75">
        <f>$C164*INDEX(Curves!$AP$8:$AP$68,AN$4-$B164+1)</f>
        <v/>
      </c>
      <c r="AO164" s="75">
        <f>$C164*INDEX(Curves!$AP$8:$AP$68,AO$4-$B164+1)</f>
        <v/>
      </c>
      <c r="AP164" s="75">
        <f>$C164*INDEX(Curves!$AP$8:$AP$68,AP$4-$B164+1)</f>
        <v/>
      </c>
      <c r="AQ164" s="75">
        <f>$C164*INDEX(Curves!$AP$8:$AP$68,AQ$4-$B164+1)</f>
        <v/>
      </c>
      <c r="AR164" s="75">
        <f>$C164*INDEX(Curves!$AP$8:$AP$68,AR$4-$B164+1)</f>
        <v/>
      </c>
      <c r="AS164" s="75">
        <f>$C164*INDEX(Curves!$AP$8:$AP$68,AS$4-$B164+1)</f>
        <v/>
      </c>
      <c r="AT164" s="75">
        <f>$C164*INDEX(Curves!$AP$8:$AP$68,AT$4-$B164+1)</f>
        <v/>
      </c>
      <c r="AU164" s="75">
        <f>$C164*INDEX(Curves!$AP$8:$AP$68,AU$4-$B164+1)</f>
        <v/>
      </c>
      <c r="AV164" s="75">
        <f>$C164*INDEX(Curves!$AP$8:$AP$68,AV$4-$B164+1)</f>
        <v/>
      </c>
      <c r="AW164" s="75">
        <f>$C164*INDEX(Curves!$AP$8:$AP$68,AW$4-$B164+1)</f>
        <v/>
      </c>
      <c r="AX164" s="75">
        <f>$C164*INDEX(Curves!$AP$8:$AP$68,AX$4-$B164+1)</f>
        <v/>
      </c>
      <c r="AY164" s="75">
        <f>$C164*INDEX(Curves!$AP$8:$AP$68,AY$4-$B164+1)</f>
        <v/>
      </c>
      <c r="AZ164" s="75">
        <f>$C164*INDEX(Curves!$AP$8:$AP$68,AZ$4-$B164+1)</f>
        <v/>
      </c>
      <c r="BA164" s="75">
        <f>$C164*INDEX(Curves!$AP$8:$AP$68,BA$4-$B164+1)</f>
        <v/>
      </c>
      <c r="BB164" s="75">
        <f>$C164*INDEX(Curves!$AP$8:$AP$68,BB$4-$B164+1)</f>
        <v/>
      </c>
      <c r="BC164" s="75">
        <f>$C164*INDEX(Curves!$AP$8:$AP$68,BC$4-$B164+1)</f>
        <v/>
      </c>
      <c r="BD164" s="75">
        <f>$C164*INDEX(Curves!$AP$8:$AP$68,BD$4-$B164+1)</f>
        <v/>
      </c>
      <c r="BE164" s="75">
        <f>$C164*INDEX(Curves!$AP$8:$AP$68,BE$4-$B164+1)</f>
        <v/>
      </c>
      <c r="BF164" s="75">
        <f>$C164*INDEX(Curves!$AP$8:$AP$68,BF$4-$B164+1)</f>
        <v/>
      </c>
      <c r="BG164" s="75">
        <f>$C164*INDEX(Curves!$AP$8:$AP$68,BG$4-$B164+1)</f>
        <v/>
      </c>
      <c r="BH164" s="75">
        <f>$C164*INDEX(Curves!$AP$8:$AP$68,BH$4-$B164+1)</f>
        <v/>
      </c>
      <c r="BI164" s="75">
        <f>$C164*INDEX(Curves!$AP$8:$AP$68,BI$4-$B164+1)</f>
        <v/>
      </c>
      <c r="BJ164" s="75">
        <f>$C164*INDEX(Curves!$AP$8:$AP$68,BJ$4-$B164+1)</f>
        <v/>
      </c>
      <c r="BK164" s="75">
        <f>$C164*INDEX(Curves!$AP$8:$AP$68,BK$4-$B164+1)</f>
        <v/>
      </c>
      <c r="BL164" s="75">
        <f>$C164*INDEX(Curves!$AP$8:$AP$68,BL$4-$B164+1)</f>
        <v/>
      </c>
    </row>
    <row r="165">
      <c r="A165" s="74" t="inlineStr">
        <is>
          <t>Cohort month 30</t>
        </is>
      </c>
      <c r="B165" s="74" t="n">
        <v>30</v>
      </c>
      <c r="C165" s="17">
        <f>INDEX(Ops!$E$85:$BL$85,1,$B165)</f>
        <v/>
      </c>
      <c r="AI165" s="75">
        <f>$C165*INDEX(Curves!$AP$8:$AP$68,AI$4-$B165+1)</f>
        <v/>
      </c>
      <c r="AJ165" s="75">
        <f>$C165*INDEX(Curves!$AP$8:$AP$68,AJ$4-$B165+1)</f>
        <v/>
      </c>
      <c r="AK165" s="75">
        <f>$C165*INDEX(Curves!$AP$8:$AP$68,AK$4-$B165+1)</f>
        <v/>
      </c>
      <c r="AL165" s="75">
        <f>$C165*INDEX(Curves!$AP$8:$AP$68,AL$4-$B165+1)</f>
        <v/>
      </c>
      <c r="AM165" s="75">
        <f>$C165*INDEX(Curves!$AP$8:$AP$68,AM$4-$B165+1)</f>
        <v/>
      </c>
      <c r="AN165" s="75">
        <f>$C165*INDEX(Curves!$AP$8:$AP$68,AN$4-$B165+1)</f>
        <v/>
      </c>
      <c r="AO165" s="75">
        <f>$C165*INDEX(Curves!$AP$8:$AP$68,AO$4-$B165+1)</f>
        <v/>
      </c>
      <c r="AP165" s="75">
        <f>$C165*INDEX(Curves!$AP$8:$AP$68,AP$4-$B165+1)</f>
        <v/>
      </c>
      <c r="AQ165" s="75">
        <f>$C165*INDEX(Curves!$AP$8:$AP$68,AQ$4-$B165+1)</f>
        <v/>
      </c>
      <c r="AR165" s="75">
        <f>$C165*INDEX(Curves!$AP$8:$AP$68,AR$4-$B165+1)</f>
        <v/>
      </c>
      <c r="AS165" s="75">
        <f>$C165*INDEX(Curves!$AP$8:$AP$68,AS$4-$B165+1)</f>
        <v/>
      </c>
      <c r="AT165" s="75">
        <f>$C165*INDEX(Curves!$AP$8:$AP$68,AT$4-$B165+1)</f>
        <v/>
      </c>
      <c r="AU165" s="75">
        <f>$C165*INDEX(Curves!$AP$8:$AP$68,AU$4-$B165+1)</f>
        <v/>
      </c>
      <c r="AV165" s="75">
        <f>$C165*INDEX(Curves!$AP$8:$AP$68,AV$4-$B165+1)</f>
        <v/>
      </c>
      <c r="AW165" s="75">
        <f>$C165*INDEX(Curves!$AP$8:$AP$68,AW$4-$B165+1)</f>
        <v/>
      </c>
      <c r="AX165" s="75">
        <f>$C165*INDEX(Curves!$AP$8:$AP$68,AX$4-$B165+1)</f>
        <v/>
      </c>
      <c r="AY165" s="75">
        <f>$C165*INDEX(Curves!$AP$8:$AP$68,AY$4-$B165+1)</f>
        <v/>
      </c>
      <c r="AZ165" s="75">
        <f>$C165*INDEX(Curves!$AP$8:$AP$68,AZ$4-$B165+1)</f>
        <v/>
      </c>
      <c r="BA165" s="75">
        <f>$C165*INDEX(Curves!$AP$8:$AP$68,BA$4-$B165+1)</f>
        <v/>
      </c>
      <c r="BB165" s="75">
        <f>$C165*INDEX(Curves!$AP$8:$AP$68,BB$4-$B165+1)</f>
        <v/>
      </c>
      <c r="BC165" s="75">
        <f>$C165*INDEX(Curves!$AP$8:$AP$68,BC$4-$B165+1)</f>
        <v/>
      </c>
      <c r="BD165" s="75">
        <f>$C165*INDEX(Curves!$AP$8:$AP$68,BD$4-$B165+1)</f>
        <v/>
      </c>
      <c r="BE165" s="75">
        <f>$C165*INDEX(Curves!$AP$8:$AP$68,BE$4-$B165+1)</f>
        <v/>
      </c>
      <c r="BF165" s="75">
        <f>$C165*INDEX(Curves!$AP$8:$AP$68,BF$4-$B165+1)</f>
        <v/>
      </c>
      <c r="BG165" s="75">
        <f>$C165*INDEX(Curves!$AP$8:$AP$68,BG$4-$B165+1)</f>
        <v/>
      </c>
      <c r="BH165" s="75">
        <f>$C165*INDEX(Curves!$AP$8:$AP$68,BH$4-$B165+1)</f>
        <v/>
      </c>
      <c r="BI165" s="75">
        <f>$C165*INDEX(Curves!$AP$8:$AP$68,BI$4-$B165+1)</f>
        <v/>
      </c>
      <c r="BJ165" s="75">
        <f>$C165*INDEX(Curves!$AP$8:$AP$68,BJ$4-$B165+1)</f>
        <v/>
      </c>
      <c r="BK165" s="75">
        <f>$C165*INDEX(Curves!$AP$8:$AP$68,BK$4-$B165+1)</f>
        <v/>
      </c>
      <c r="BL165" s="75">
        <f>$C165*INDEX(Curves!$AP$8:$AP$68,BL$4-$B165+1)</f>
        <v/>
      </c>
    </row>
    <row r="166">
      <c r="A166" s="74" t="inlineStr">
        <is>
          <t>Cohort month 31</t>
        </is>
      </c>
      <c r="B166" s="74" t="n">
        <v>31</v>
      </c>
      <c r="C166" s="17">
        <f>INDEX(Ops!$E$85:$BL$85,1,$B166)</f>
        <v/>
      </c>
      <c r="AJ166" s="75">
        <f>$C166*INDEX(Curves!$AP$8:$AP$68,AJ$4-$B166+1)</f>
        <v/>
      </c>
      <c r="AK166" s="75">
        <f>$C166*INDEX(Curves!$AP$8:$AP$68,AK$4-$B166+1)</f>
        <v/>
      </c>
      <c r="AL166" s="75">
        <f>$C166*INDEX(Curves!$AP$8:$AP$68,AL$4-$B166+1)</f>
        <v/>
      </c>
      <c r="AM166" s="75">
        <f>$C166*INDEX(Curves!$AP$8:$AP$68,AM$4-$B166+1)</f>
        <v/>
      </c>
      <c r="AN166" s="75">
        <f>$C166*INDEX(Curves!$AP$8:$AP$68,AN$4-$B166+1)</f>
        <v/>
      </c>
      <c r="AO166" s="75">
        <f>$C166*INDEX(Curves!$AP$8:$AP$68,AO$4-$B166+1)</f>
        <v/>
      </c>
      <c r="AP166" s="75">
        <f>$C166*INDEX(Curves!$AP$8:$AP$68,AP$4-$B166+1)</f>
        <v/>
      </c>
      <c r="AQ166" s="75">
        <f>$C166*INDEX(Curves!$AP$8:$AP$68,AQ$4-$B166+1)</f>
        <v/>
      </c>
      <c r="AR166" s="75">
        <f>$C166*INDEX(Curves!$AP$8:$AP$68,AR$4-$B166+1)</f>
        <v/>
      </c>
      <c r="AS166" s="75">
        <f>$C166*INDEX(Curves!$AP$8:$AP$68,AS$4-$B166+1)</f>
        <v/>
      </c>
      <c r="AT166" s="75">
        <f>$C166*INDEX(Curves!$AP$8:$AP$68,AT$4-$B166+1)</f>
        <v/>
      </c>
      <c r="AU166" s="75">
        <f>$C166*INDEX(Curves!$AP$8:$AP$68,AU$4-$B166+1)</f>
        <v/>
      </c>
      <c r="AV166" s="75">
        <f>$C166*INDEX(Curves!$AP$8:$AP$68,AV$4-$B166+1)</f>
        <v/>
      </c>
      <c r="AW166" s="75">
        <f>$C166*INDEX(Curves!$AP$8:$AP$68,AW$4-$B166+1)</f>
        <v/>
      </c>
      <c r="AX166" s="75">
        <f>$C166*INDEX(Curves!$AP$8:$AP$68,AX$4-$B166+1)</f>
        <v/>
      </c>
      <c r="AY166" s="75">
        <f>$C166*INDEX(Curves!$AP$8:$AP$68,AY$4-$B166+1)</f>
        <v/>
      </c>
      <c r="AZ166" s="75">
        <f>$C166*INDEX(Curves!$AP$8:$AP$68,AZ$4-$B166+1)</f>
        <v/>
      </c>
      <c r="BA166" s="75">
        <f>$C166*INDEX(Curves!$AP$8:$AP$68,BA$4-$B166+1)</f>
        <v/>
      </c>
      <c r="BB166" s="75">
        <f>$C166*INDEX(Curves!$AP$8:$AP$68,BB$4-$B166+1)</f>
        <v/>
      </c>
      <c r="BC166" s="75">
        <f>$C166*INDEX(Curves!$AP$8:$AP$68,BC$4-$B166+1)</f>
        <v/>
      </c>
      <c r="BD166" s="75">
        <f>$C166*INDEX(Curves!$AP$8:$AP$68,BD$4-$B166+1)</f>
        <v/>
      </c>
      <c r="BE166" s="75">
        <f>$C166*INDEX(Curves!$AP$8:$AP$68,BE$4-$B166+1)</f>
        <v/>
      </c>
      <c r="BF166" s="75">
        <f>$C166*INDEX(Curves!$AP$8:$AP$68,BF$4-$B166+1)</f>
        <v/>
      </c>
      <c r="BG166" s="75">
        <f>$C166*INDEX(Curves!$AP$8:$AP$68,BG$4-$B166+1)</f>
        <v/>
      </c>
      <c r="BH166" s="75">
        <f>$C166*INDEX(Curves!$AP$8:$AP$68,BH$4-$B166+1)</f>
        <v/>
      </c>
      <c r="BI166" s="75">
        <f>$C166*INDEX(Curves!$AP$8:$AP$68,BI$4-$B166+1)</f>
        <v/>
      </c>
      <c r="BJ166" s="75">
        <f>$C166*INDEX(Curves!$AP$8:$AP$68,BJ$4-$B166+1)</f>
        <v/>
      </c>
      <c r="BK166" s="75">
        <f>$C166*INDEX(Curves!$AP$8:$AP$68,BK$4-$B166+1)</f>
        <v/>
      </c>
      <c r="BL166" s="75">
        <f>$C166*INDEX(Curves!$AP$8:$AP$68,BL$4-$B166+1)</f>
        <v/>
      </c>
    </row>
    <row r="167">
      <c r="A167" s="74" t="inlineStr">
        <is>
          <t>Cohort month 32</t>
        </is>
      </c>
      <c r="B167" s="74" t="n">
        <v>32</v>
      </c>
      <c r="C167" s="17">
        <f>INDEX(Ops!$E$85:$BL$85,1,$B167)</f>
        <v/>
      </c>
      <c r="AK167" s="75">
        <f>$C167*INDEX(Curves!$AP$8:$AP$68,AK$4-$B167+1)</f>
        <v/>
      </c>
      <c r="AL167" s="75">
        <f>$C167*INDEX(Curves!$AP$8:$AP$68,AL$4-$B167+1)</f>
        <v/>
      </c>
      <c r="AM167" s="75">
        <f>$C167*INDEX(Curves!$AP$8:$AP$68,AM$4-$B167+1)</f>
        <v/>
      </c>
      <c r="AN167" s="75">
        <f>$C167*INDEX(Curves!$AP$8:$AP$68,AN$4-$B167+1)</f>
        <v/>
      </c>
      <c r="AO167" s="75">
        <f>$C167*INDEX(Curves!$AP$8:$AP$68,AO$4-$B167+1)</f>
        <v/>
      </c>
      <c r="AP167" s="75">
        <f>$C167*INDEX(Curves!$AP$8:$AP$68,AP$4-$B167+1)</f>
        <v/>
      </c>
      <c r="AQ167" s="75">
        <f>$C167*INDEX(Curves!$AP$8:$AP$68,AQ$4-$B167+1)</f>
        <v/>
      </c>
      <c r="AR167" s="75">
        <f>$C167*INDEX(Curves!$AP$8:$AP$68,AR$4-$B167+1)</f>
        <v/>
      </c>
      <c r="AS167" s="75">
        <f>$C167*INDEX(Curves!$AP$8:$AP$68,AS$4-$B167+1)</f>
        <v/>
      </c>
      <c r="AT167" s="75">
        <f>$C167*INDEX(Curves!$AP$8:$AP$68,AT$4-$B167+1)</f>
        <v/>
      </c>
      <c r="AU167" s="75">
        <f>$C167*INDEX(Curves!$AP$8:$AP$68,AU$4-$B167+1)</f>
        <v/>
      </c>
      <c r="AV167" s="75">
        <f>$C167*INDEX(Curves!$AP$8:$AP$68,AV$4-$B167+1)</f>
        <v/>
      </c>
      <c r="AW167" s="75">
        <f>$C167*INDEX(Curves!$AP$8:$AP$68,AW$4-$B167+1)</f>
        <v/>
      </c>
      <c r="AX167" s="75">
        <f>$C167*INDEX(Curves!$AP$8:$AP$68,AX$4-$B167+1)</f>
        <v/>
      </c>
      <c r="AY167" s="75">
        <f>$C167*INDEX(Curves!$AP$8:$AP$68,AY$4-$B167+1)</f>
        <v/>
      </c>
      <c r="AZ167" s="75">
        <f>$C167*INDEX(Curves!$AP$8:$AP$68,AZ$4-$B167+1)</f>
        <v/>
      </c>
      <c r="BA167" s="75">
        <f>$C167*INDEX(Curves!$AP$8:$AP$68,BA$4-$B167+1)</f>
        <v/>
      </c>
      <c r="BB167" s="75">
        <f>$C167*INDEX(Curves!$AP$8:$AP$68,BB$4-$B167+1)</f>
        <v/>
      </c>
      <c r="BC167" s="75">
        <f>$C167*INDEX(Curves!$AP$8:$AP$68,BC$4-$B167+1)</f>
        <v/>
      </c>
      <c r="BD167" s="75">
        <f>$C167*INDEX(Curves!$AP$8:$AP$68,BD$4-$B167+1)</f>
        <v/>
      </c>
      <c r="BE167" s="75">
        <f>$C167*INDEX(Curves!$AP$8:$AP$68,BE$4-$B167+1)</f>
        <v/>
      </c>
      <c r="BF167" s="75">
        <f>$C167*INDEX(Curves!$AP$8:$AP$68,BF$4-$B167+1)</f>
        <v/>
      </c>
      <c r="BG167" s="75">
        <f>$C167*INDEX(Curves!$AP$8:$AP$68,BG$4-$B167+1)</f>
        <v/>
      </c>
      <c r="BH167" s="75">
        <f>$C167*INDEX(Curves!$AP$8:$AP$68,BH$4-$B167+1)</f>
        <v/>
      </c>
      <c r="BI167" s="75">
        <f>$C167*INDEX(Curves!$AP$8:$AP$68,BI$4-$B167+1)</f>
        <v/>
      </c>
      <c r="BJ167" s="75">
        <f>$C167*INDEX(Curves!$AP$8:$AP$68,BJ$4-$B167+1)</f>
        <v/>
      </c>
      <c r="BK167" s="75">
        <f>$C167*INDEX(Curves!$AP$8:$AP$68,BK$4-$B167+1)</f>
        <v/>
      </c>
      <c r="BL167" s="75">
        <f>$C167*INDEX(Curves!$AP$8:$AP$68,BL$4-$B167+1)</f>
        <v/>
      </c>
    </row>
    <row r="168">
      <c r="A168" s="74" t="inlineStr">
        <is>
          <t>Cohort month 33</t>
        </is>
      </c>
      <c r="B168" s="74" t="n">
        <v>33</v>
      </c>
      <c r="C168" s="17">
        <f>INDEX(Ops!$E$85:$BL$85,1,$B168)</f>
        <v/>
      </c>
      <c r="AL168" s="75">
        <f>$C168*INDEX(Curves!$AP$8:$AP$68,AL$4-$B168+1)</f>
        <v/>
      </c>
      <c r="AM168" s="75">
        <f>$C168*INDEX(Curves!$AP$8:$AP$68,AM$4-$B168+1)</f>
        <v/>
      </c>
      <c r="AN168" s="75">
        <f>$C168*INDEX(Curves!$AP$8:$AP$68,AN$4-$B168+1)</f>
        <v/>
      </c>
      <c r="AO168" s="75">
        <f>$C168*INDEX(Curves!$AP$8:$AP$68,AO$4-$B168+1)</f>
        <v/>
      </c>
      <c r="AP168" s="75">
        <f>$C168*INDEX(Curves!$AP$8:$AP$68,AP$4-$B168+1)</f>
        <v/>
      </c>
      <c r="AQ168" s="75">
        <f>$C168*INDEX(Curves!$AP$8:$AP$68,AQ$4-$B168+1)</f>
        <v/>
      </c>
      <c r="AR168" s="75">
        <f>$C168*INDEX(Curves!$AP$8:$AP$68,AR$4-$B168+1)</f>
        <v/>
      </c>
      <c r="AS168" s="75">
        <f>$C168*INDEX(Curves!$AP$8:$AP$68,AS$4-$B168+1)</f>
        <v/>
      </c>
      <c r="AT168" s="75">
        <f>$C168*INDEX(Curves!$AP$8:$AP$68,AT$4-$B168+1)</f>
        <v/>
      </c>
      <c r="AU168" s="75">
        <f>$C168*INDEX(Curves!$AP$8:$AP$68,AU$4-$B168+1)</f>
        <v/>
      </c>
      <c r="AV168" s="75">
        <f>$C168*INDEX(Curves!$AP$8:$AP$68,AV$4-$B168+1)</f>
        <v/>
      </c>
      <c r="AW168" s="75">
        <f>$C168*INDEX(Curves!$AP$8:$AP$68,AW$4-$B168+1)</f>
        <v/>
      </c>
      <c r="AX168" s="75">
        <f>$C168*INDEX(Curves!$AP$8:$AP$68,AX$4-$B168+1)</f>
        <v/>
      </c>
      <c r="AY168" s="75">
        <f>$C168*INDEX(Curves!$AP$8:$AP$68,AY$4-$B168+1)</f>
        <v/>
      </c>
      <c r="AZ168" s="75">
        <f>$C168*INDEX(Curves!$AP$8:$AP$68,AZ$4-$B168+1)</f>
        <v/>
      </c>
      <c r="BA168" s="75">
        <f>$C168*INDEX(Curves!$AP$8:$AP$68,BA$4-$B168+1)</f>
        <v/>
      </c>
      <c r="BB168" s="75">
        <f>$C168*INDEX(Curves!$AP$8:$AP$68,BB$4-$B168+1)</f>
        <v/>
      </c>
      <c r="BC168" s="75">
        <f>$C168*INDEX(Curves!$AP$8:$AP$68,BC$4-$B168+1)</f>
        <v/>
      </c>
      <c r="BD168" s="75">
        <f>$C168*INDEX(Curves!$AP$8:$AP$68,BD$4-$B168+1)</f>
        <v/>
      </c>
      <c r="BE168" s="75">
        <f>$C168*INDEX(Curves!$AP$8:$AP$68,BE$4-$B168+1)</f>
        <v/>
      </c>
      <c r="BF168" s="75">
        <f>$C168*INDEX(Curves!$AP$8:$AP$68,BF$4-$B168+1)</f>
        <v/>
      </c>
      <c r="BG168" s="75">
        <f>$C168*INDEX(Curves!$AP$8:$AP$68,BG$4-$B168+1)</f>
        <v/>
      </c>
      <c r="BH168" s="75">
        <f>$C168*INDEX(Curves!$AP$8:$AP$68,BH$4-$B168+1)</f>
        <v/>
      </c>
      <c r="BI168" s="75">
        <f>$C168*INDEX(Curves!$AP$8:$AP$68,BI$4-$B168+1)</f>
        <v/>
      </c>
      <c r="BJ168" s="75">
        <f>$C168*INDEX(Curves!$AP$8:$AP$68,BJ$4-$B168+1)</f>
        <v/>
      </c>
      <c r="BK168" s="75">
        <f>$C168*INDEX(Curves!$AP$8:$AP$68,BK$4-$B168+1)</f>
        <v/>
      </c>
      <c r="BL168" s="75">
        <f>$C168*INDEX(Curves!$AP$8:$AP$68,BL$4-$B168+1)</f>
        <v/>
      </c>
    </row>
    <row r="169">
      <c r="A169" s="74" t="inlineStr">
        <is>
          <t>Cohort month 34</t>
        </is>
      </c>
      <c r="B169" s="74" t="n">
        <v>34</v>
      </c>
      <c r="C169" s="17">
        <f>INDEX(Ops!$E$85:$BL$85,1,$B169)</f>
        <v/>
      </c>
      <c r="AM169" s="75">
        <f>$C169*INDEX(Curves!$AP$8:$AP$68,AM$4-$B169+1)</f>
        <v/>
      </c>
      <c r="AN169" s="75">
        <f>$C169*INDEX(Curves!$AP$8:$AP$68,AN$4-$B169+1)</f>
        <v/>
      </c>
      <c r="AO169" s="75">
        <f>$C169*INDEX(Curves!$AP$8:$AP$68,AO$4-$B169+1)</f>
        <v/>
      </c>
      <c r="AP169" s="75">
        <f>$C169*INDEX(Curves!$AP$8:$AP$68,AP$4-$B169+1)</f>
        <v/>
      </c>
      <c r="AQ169" s="75">
        <f>$C169*INDEX(Curves!$AP$8:$AP$68,AQ$4-$B169+1)</f>
        <v/>
      </c>
      <c r="AR169" s="75">
        <f>$C169*INDEX(Curves!$AP$8:$AP$68,AR$4-$B169+1)</f>
        <v/>
      </c>
      <c r="AS169" s="75">
        <f>$C169*INDEX(Curves!$AP$8:$AP$68,AS$4-$B169+1)</f>
        <v/>
      </c>
      <c r="AT169" s="75">
        <f>$C169*INDEX(Curves!$AP$8:$AP$68,AT$4-$B169+1)</f>
        <v/>
      </c>
      <c r="AU169" s="75">
        <f>$C169*INDEX(Curves!$AP$8:$AP$68,AU$4-$B169+1)</f>
        <v/>
      </c>
      <c r="AV169" s="75">
        <f>$C169*INDEX(Curves!$AP$8:$AP$68,AV$4-$B169+1)</f>
        <v/>
      </c>
      <c r="AW169" s="75">
        <f>$C169*INDEX(Curves!$AP$8:$AP$68,AW$4-$B169+1)</f>
        <v/>
      </c>
      <c r="AX169" s="75">
        <f>$C169*INDEX(Curves!$AP$8:$AP$68,AX$4-$B169+1)</f>
        <v/>
      </c>
      <c r="AY169" s="75">
        <f>$C169*INDEX(Curves!$AP$8:$AP$68,AY$4-$B169+1)</f>
        <v/>
      </c>
      <c r="AZ169" s="75">
        <f>$C169*INDEX(Curves!$AP$8:$AP$68,AZ$4-$B169+1)</f>
        <v/>
      </c>
      <c r="BA169" s="75">
        <f>$C169*INDEX(Curves!$AP$8:$AP$68,BA$4-$B169+1)</f>
        <v/>
      </c>
      <c r="BB169" s="75">
        <f>$C169*INDEX(Curves!$AP$8:$AP$68,BB$4-$B169+1)</f>
        <v/>
      </c>
      <c r="BC169" s="75">
        <f>$C169*INDEX(Curves!$AP$8:$AP$68,BC$4-$B169+1)</f>
        <v/>
      </c>
      <c r="BD169" s="75">
        <f>$C169*INDEX(Curves!$AP$8:$AP$68,BD$4-$B169+1)</f>
        <v/>
      </c>
      <c r="BE169" s="75">
        <f>$C169*INDEX(Curves!$AP$8:$AP$68,BE$4-$B169+1)</f>
        <v/>
      </c>
      <c r="BF169" s="75">
        <f>$C169*INDEX(Curves!$AP$8:$AP$68,BF$4-$B169+1)</f>
        <v/>
      </c>
      <c r="BG169" s="75">
        <f>$C169*INDEX(Curves!$AP$8:$AP$68,BG$4-$B169+1)</f>
        <v/>
      </c>
      <c r="BH169" s="75">
        <f>$C169*INDEX(Curves!$AP$8:$AP$68,BH$4-$B169+1)</f>
        <v/>
      </c>
      <c r="BI169" s="75">
        <f>$C169*INDEX(Curves!$AP$8:$AP$68,BI$4-$B169+1)</f>
        <v/>
      </c>
      <c r="BJ169" s="75">
        <f>$C169*INDEX(Curves!$AP$8:$AP$68,BJ$4-$B169+1)</f>
        <v/>
      </c>
      <c r="BK169" s="75">
        <f>$C169*INDEX(Curves!$AP$8:$AP$68,BK$4-$B169+1)</f>
        <v/>
      </c>
      <c r="BL169" s="75">
        <f>$C169*INDEX(Curves!$AP$8:$AP$68,BL$4-$B169+1)</f>
        <v/>
      </c>
    </row>
    <row r="170">
      <c r="A170" s="74" t="inlineStr">
        <is>
          <t>Cohort month 35</t>
        </is>
      </c>
      <c r="B170" s="74" t="n">
        <v>35</v>
      </c>
      <c r="C170" s="17">
        <f>INDEX(Ops!$E$85:$BL$85,1,$B170)</f>
        <v/>
      </c>
      <c r="AN170" s="75">
        <f>$C170*INDEX(Curves!$AP$8:$AP$68,AN$4-$B170+1)</f>
        <v/>
      </c>
      <c r="AO170" s="75">
        <f>$C170*INDEX(Curves!$AP$8:$AP$68,AO$4-$B170+1)</f>
        <v/>
      </c>
      <c r="AP170" s="75">
        <f>$C170*INDEX(Curves!$AP$8:$AP$68,AP$4-$B170+1)</f>
        <v/>
      </c>
      <c r="AQ170" s="75">
        <f>$C170*INDEX(Curves!$AP$8:$AP$68,AQ$4-$B170+1)</f>
        <v/>
      </c>
      <c r="AR170" s="75">
        <f>$C170*INDEX(Curves!$AP$8:$AP$68,AR$4-$B170+1)</f>
        <v/>
      </c>
      <c r="AS170" s="75">
        <f>$C170*INDEX(Curves!$AP$8:$AP$68,AS$4-$B170+1)</f>
        <v/>
      </c>
      <c r="AT170" s="75">
        <f>$C170*INDEX(Curves!$AP$8:$AP$68,AT$4-$B170+1)</f>
        <v/>
      </c>
      <c r="AU170" s="75">
        <f>$C170*INDEX(Curves!$AP$8:$AP$68,AU$4-$B170+1)</f>
        <v/>
      </c>
      <c r="AV170" s="75">
        <f>$C170*INDEX(Curves!$AP$8:$AP$68,AV$4-$B170+1)</f>
        <v/>
      </c>
      <c r="AW170" s="75">
        <f>$C170*INDEX(Curves!$AP$8:$AP$68,AW$4-$B170+1)</f>
        <v/>
      </c>
      <c r="AX170" s="75">
        <f>$C170*INDEX(Curves!$AP$8:$AP$68,AX$4-$B170+1)</f>
        <v/>
      </c>
      <c r="AY170" s="75">
        <f>$C170*INDEX(Curves!$AP$8:$AP$68,AY$4-$B170+1)</f>
        <v/>
      </c>
      <c r="AZ170" s="75">
        <f>$C170*INDEX(Curves!$AP$8:$AP$68,AZ$4-$B170+1)</f>
        <v/>
      </c>
      <c r="BA170" s="75">
        <f>$C170*INDEX(Curves!$AP$8:$AP$68,BA$4-$B170+1)</f>
        <v/>
      </c>
      <c r="BB170" s="75">
        <f>$C170*INDEX(Curves!$AP$8:$AP$68,BB$4-$B170+1)</f>
        <v/>
      </c>
      <c r="BC170" s="75">
        <f>$C170*INDEX(Curves!$AP$8:$AP$68,BC$4-$B170+1)</f>
        <v/>
      </c>
      <c r="BD170" s="75">
        <f>$C170*INDEX(Curves!$AP$8:$AP$68,BD$4-$B170+1)</f>
        <v/>
      </c>
      <c r="BE170" s="75">
        <f>$C170*INDEX(Curves!$AP$8:$AP$68,BE$4-$B170+1)</f>
        <v/>
      </c>
      <c r="BF170" s="75">
        <f>$C170*INDEX(Curves!$AP$8:$AP$68,BF$4-$B170+1)</f>
        <v/>
      </c>
      <c r="BG170" s="75">
        <f>$C170*INDEX(Curves!$AP$8:$AP$68,BG$4-$B170+1)</f>
        <v/>
      </c>
      <c r="BH170" s="75">
        <f>$C170*INDEX(Curves!$AP$8:$AP$68,BH$4-$B170+1)</f>
        <v/>
      </c>
      <c r="BI170" s="75">
        <f>$C170*INDEX(Curves!$AP$8:$AP$68,BI$4-$B170+1)</f>
        <v/>
      </c>
      <c r="BJ170" s="75">
        <f>$C170*INDEX(Curves!$AP$8:$AP$68,BJ$4-$B170+1)</f>
        <v/>
      </c>
      <c r="BK170" s="75">
        <f>$C170*INDEX(Curves!$AP$8:$AP$68,BK$4-$B170+1)</f>
        <v/>
      </c>
      <c r="BL170" s="75">
        <f>$C170*INDEX(Curves!$AP$8:$AP$68,BL$4-$B170+1)</f>
        <v/>
      </c>
    </row>
    <row r="171">
      <c r="A171" s="74" t="inlineStr">
        <is>
          <t>Cohort month 36</t>
        </is>
      </c>
      <c r="B171" s="74" t="n">
        <v>36</v>
      </c>
      <c r="C171" s="17">
        <f>INDEX(Ops!$E$85:$BL$85,1,$B171)</f>
        <v/>
      </c>
      <c r="AO171" s="75">
        <f>$C171*INDEX(Curves!$AP$8:$AP$68,AO$4-$B171+1)</f>
        <v/>
      </c>
      <c r="AP171" s="75">
        <f>$C171*INDEX(Curves!$AP$8:$AP$68,AP$4-$B171+1)</f>
        <v/>
      </c>
      <c r="AQ171" s="75">
        <f>$C171*INDEX(Curves!$AP$8:$AP$68,AQ$4-$B171+1)</f>
        <v/>
      </c>
      <c r="AR171" s="75">
        <f>$C171*INDEX(Curves!$AP$8:$AP$68,AR$4-$B171+1)</f>
        <v/>
      </c>
      <c r="AS171" s="75">
        <f>$C171*INDEX(Curves!$AP$8:$AP$68,AS$4-$B171+1)</f>
        <v/>
      </c>
      <c r="AT171" s="75">
        <f>$C171*INDEX(Curves!$AP$8:$AP$68,AT$4-$B171+1)</f>
        <v/>
      </c>
      <c r="AU171" s="75">
        <f>$C171*INDEX(Curves!$AP$8:$AP$68,AU$4-$B171+1)</f>
        <v/>
      </c>
      <c r="AV171" s="75">
        <f>$C171*INDEX(Curves!$AP$8:$AP$68,AV$4-$B171+1)</f>
        <v/>
      </c>
      <c r="AW171" s="75">
        <f>$C171*INDEX(Curves!$AP$8:$AP$68,AW$4-$B171+1)</f>
        <v/>
      </c>
      <c r="AX171" s="75">
        <f>$C171*INDEX(Curves!$AP$8:$AP$68,AX$4-$B171+1)</f>
        <v/>
      </c>
      <c r="AY171" s="75">
        <f>$C171*INDEX(Curves!$AP$8:$AP$68,AY$4-$B171+1)</f>
        <v/>
      </c>
      <c r="AZ171" s="75">
        <f>$C171*INDEX(Curves!$AP$8:$AP$68,AZ$4-$B171+1)</f>
        <v/>
      </c>
      <c r="BA171" s="75">
        <f>$C171*INDEX(Curves!$AP$8:$AP$68,BA$4-$B171+1)</f>
        <v/>
      </c>
      <c r="BB171" s="75">
        <f>$C171*INDEX(Curves!$AP$8:$AP$68,BB$4-$B171+1)</f>
        <v/>
      </c>
      <c r="BC171" s="75">
        <f>$C171*INDEX(Curves!$AP$8:$AP$68,BC$4-$B171+1)</f>
        <v/>
      </c>
      <c r="BD171" s="75">
        <f>$C171*INDEX(Curves!$AP$8:$AP$68,BD$4-$B171+1)</f>
        <v/>
      </c>
      <c r="BE171" s="75">
        <f>$C171*INDEX(Curves!$AP$8:$AP$68,BE$4-$B171+1)</f>
        <v/>
      </c>
      <c r="BF171" s="75">
        <f>$C171*INDEX(Curves!$AP$8:$AP$68,BF$4-$B171+1)</f>
        <v/>
      </c>
      <c r="BG171" s="75">
        <f>$C171*INDEX(Curves!$AP$8:$AP$68,BG$4-$B171+1)</f>
        <v/>
      </c>
      <c r="BH171" s="75">
        <f>$C171*INDEX(Curves!$AP$8:$AP$68,BH$4-$B171+1)</f>
        <v/>
      </c>
      <c r="BI171" s="75">
        <f>$C171*INDEX(Curves!$AP$8:$AP$68,BI$4-$B171+1)</f>
        <v/>
      </c>
      <c r="BJ171" s="75">
        <f>$C171*INDEX(Curves!$AP$8:$AP$68,BJ$4-$B171+1)</f>
        <v/>
      </c>
      <c r="BK171" s="75">
        <f>$C171*INDEX(Curves!$AP$8:$AP$68,BK$4-$B171+1)</f>
        <v/>
      </c>
      <c r="BL171" s="75">
        <f>$C171*INDEX(Curves!$AP$8:$AP$68,BL$4-$B171+1)</f>
        <v/>
      </c>
    </row>
    <row r="172">
      <c r="A172" s="74" t="inlineStr">
        <is>
          <t>Cohort month 37</t>
        </is>
      </c>
      <c r="B172" s="74" t="n">
        <v>37</v>
      </c>
      <c r="C172" s="17">
        <f>INDEX(Ops!$E$85:$BL$85,1,$B172)</f>
        <v/>
      </c>
      <c r="AP172" s="75">
        <f>$C172*INDEX(Curves!$AP$8:$AP$68,AP$4-$B172+1)</f>
        <v/>
      </c>
      <c r="AQ172" s="75">
        <f>$C172*INDEX(Curves!$AP$8:$AP$68,AQ$4-$B172+1)</f>
        <v/>
      </c>
      <c r="AR172" s="75">
        <f>$C172*INDEX(Curves!$AP$8:$AP$68,AR$4-$B172+1)</f>
        <v/>
      </c>
      <c r="AS172" s="75">
        <f>$C172*INDEX(Curves!$AP$8:$AP$68,AS$4-$B172+1)</f>
        <v/>
      </c>
      <c r="AT172" s="75">
        <f>$C172*INDEX(Curves!$AP$8:$AP$68,AT$4-$B172+1)</f>
        <v/>
      </c>
      <c r="AU172" s="75">
        <f>$C172*INDEX(Curves!$AP$8:$AP$68,AU$4-$B172+1)</f>
        <v/>
      </c>
      <c r="AV172" s="75">
        <f>$C172*INDEX(Curves!$AP$8:$AP$68,AV$4-$B172+1)</f>
        <v/>
      </c>
      <c r="AW172" s="75">
        <f>$C172*INDEX(Curves!$AP$8:$AP$68,AW$4-$B172+1)</f>
        <v/>
      </c>
      <c r="AX172" s="75">
        <f>$C172*INDEX(Curves!$AP$8:$AP$68,AX$4-$B172+1)</f>
        <v/>
      </c>
      <c r="AY172" s="75">
        <f>$C172*INDEX(Curves!$AP$8:$AP$68,AY$4-$B172+1)</f>
        <v/>
      </c>
      <c r="AZ172" s="75">
        <f>$C172*INDEX(Curves!$AP$8:$AP$68,AZ$4-$B172+1)</f>
        <v/>
      </c>
      <c r="BA172" s="75">
        <f>$C172*INDEX(Curves!$AP$8:$AP$68,BA$4-$B172+1)</f>
        <v/>
      </c>
      <c r="BB172" s="75">
        <f>$C172*INDEX(Curves!$AP$8:$AP$68,BB$4-$B172+1)</f>
        <v/>
      </c>
      <c r="BC172" s="75">
        <f>$C172*INDEX(Curves!$AP$8:$AP$68,BC$4-$B172+1)</f>
        <v/>
      </c>
      <c r="BD172" s="75">
        <f>$C172*INDEX(Curves!$AP$8:$AP$68,BD$4-$B172+1)</f>
        <v/>
      </c>
      <c r="BE172" s="75">
        <f>$C172*INDEX(Curves!$AP$8:$AP$68,BE$4-$B172+1)</f>
        <v/>
      </c>
      <c r="BF172" s="75">
        <f>$C172*INDEX(Curves!$AP$8:$AP$68,BF$4-$B172+1)</f>
        <v/>
      </c>
      <c r="BG172" s="75">
        <f>$C172*INDEX(Curves!$AP$8:$AP$68,BG$4-$B172+1)</f>
        <v/>
      </c>
      <c r="BH172" s="75">
        <f>$C172*INDEX(Curves!$AP$8:$AP$68,BH$4-$B172+1)</f>
        <v/>
      </c>
      <c r="BI172" s="75">
        <f>$C172*INDEX(Curves!$AP$8:$AP$68,BI$4-$B172+1)</f>
        <v/>
      </c>
      <c r="BJ172" s="75">
        <f>$C172*INDEX(Curves!$AP$8:$AP$68,BJ$4-$B172+1)</f>
        <v/>
      </c>
      <c r="BK172" s="75">
        <f>$C172*INDEX(Curves!$AP$8:$AP$68,BK$4-$B172+1)</f>
        <v/>
      </c>
      <c r="BL172" s="75">
        <f>$C172*INDEX(Curves!$AP$8:$AP$68,BL$4-$B172+1)</f>
        <v/>
      </c>
    </row>
    <row r="173">
      <c r="A173" s="74" t="inlineStr">
        <is>
          <t>Cohort month 38</t>
        </is>
      </c>
      <c r="B173" s="74" t="n">
        <v>38</v>
      </c>
      <c r="C173" s="17">
        <f>INDEX(Ops!$E$85:$BL$85,1,$B173)</f>
        <v/>
      </c>
      <c r="AQ173" s="75">
        <f>$C173*INDEX(Curves!$AP$8:$AP$68,AQ$4-$B173+1)</f>
        <v/>
      </c>
      <c r="AR173" s="75">
        <f>$C173*INDEX(Curves!$AP$8:$AP$68,AR$4-$B173+1)</f>
        <v/>
      </c>
      <c r="AS173" s="75">
        <f>$C173*INDEX(Curves!$AP$8:$AP$68,AS$4-$B173+1)</f>
        <v/>
      </c>
      <c r="AT173" s="75">
        <f>$C173*INDEX(Curves!$AP$8:$AP$68,AT$4-$B173+1)</f>
        <v/>
      </c>
      <c r="AU173" s="75">
        <f>$C173*INDEX(Curves!$AP$8:$AP$68,AU$4-$B173+1)</f>
        <v/>
      </c>
      <c r="AV173" s="75">
        <f>$C173*INDEX(Curves!$AP$8:$AP$68,AV$4-$B173+1)</f>
        <v/>
      </c>
      <c r="AW173" s="75">
        <f>$C173*INDEX(Curves!$AP$8:$AP$68,AW$4-$B173+1)</f>
        <v/>
      </c>
      <c r="AX173" s="75">
        <f>$C173*INDEX(Curves!$AP$8:$AP$68,AX$4-$B173+1)</f>
        <v/>
      </c>
      <c r="AY173" s="75">
        <f>$C173*INDEX(Curves!$AP$8:$AP$68,AY$4-$B173+1)</f>
        <v/>
      </c>
      <c r="AZ173" s="75">
        <f>$C173*INDEX(Curves!$AP$8:$AP$68,AZ$4-$B173+1)</f>
        <v/>
      </c>
      <c r="BA173" s="75">
        <f>$C173*INDEX(Curves!$AP$8:$AP$68,BA$4-$B173+1)</f>
        <v/>
      </c>
      <c r="BB173" s="75">
        <f>$C173*INDEX(Curves!$AP$8:$AP$68,BB$4-$B173+1)</f>
        <v/>
      </c>
      <c r="BC173" s="75">
        <f>$C173*INDEX(Curves!$AP$8:$AP$68,BC$4-$B173+1)</f>
        <v/>
      </c>
      <c r="BD173" s="75">
        <f>$C173*INDEX(Curves!$AP$8:$AP$68,BD$4-$B173+1)</f>
        <v/>
      </c>
      <c r="BE173" s="75">
        <f>$C173*INDEX(Curves!$AP$8:$AP$68,BE$4-$B173+1)</f>
        <v/>
      </c>
      <c r="BF173" s="75">
        <f>$C173*INDEX(Curves!$AP$8:$AP$68,BF$4-$B173+1)</f>
        <v/>
      </c>
      <c r="BG173" s="75">
        <f>$C173*INDEX(Curves!$AP$8:$AP$68,BG$4-$B173+1)</f>
        <v/>
      </c>
      <c r="BH173" s="75">
        <f>$C173*INDEX(Curves!$AP$8:$AP$68,BH$4-$B173+1)</f>
        <v/>
      </c>
      <c r="BI173" s="75">
        <f>$C173*INDEX(Curves!$AP$8:$AP$68,BI$4-$B173+1)</f>
        <v/>
      </c>
      <c r="BJ173" s="75">
        <f>$C173*INDEX(Curves!$AP$8:$AP$68,BJ$4-$B173+1)</f>
        <v/>
      </c>
      <c r="BK173" s="75">
        <f>$C173*INDEX(Curves!$AP$8:$AP$68,BK$4-$B173+1)</f>
        <v/>
      </c>
      <c r="BL173" s="75">
        <f>$C173*INDEX(Curves!$AP$8:$AP$68,BL$4-$B173+1)</f>
        <v/>
      </c>
    </row>
    <row r="174">
      <c r="A174" s="74" t="inlineStr">
        <is>
          <t>Cohort month 39</t>
        </is>
      </c>
      <c r="B174" s="74" t="n">
        <v>39</v>
      </c>
      <c r="C174" s="17">
        <f>INDEX(Ops!$E$85:$BL$85,1,$B174)</f>
        <v/>
      </c>
      <c r="AR174" s="75">
        <f>$C174*INDEX(Curves!$AP$8:$AP$68,AR$4-$B174+1)</f>
        <v/>
      </c>
      <c r="AS174" s="75">
        <f>$C174*INDEX(Curves!$AP$8:$AP$68,AS$4-$B174+1)</f>
        <v/>
      </c>
      <c r="AT174" s="75">
        <f>$C174*INDEX(Curves!$AP$8:$AP$68,AT$4-$B174+1)</f>
        <v/>
      </c>
      <c r="AU174" s="75">
        <f>$C174*INDEX(Curves!$AP$8:$AP$68,AU$4-$B174+1)</f>
        <v/>
      </c>
      <c r="AV174" s="75">
        <f>$C174*INDEX(Curves!$AP$8:$AP$68,AV$4-$B174+1)</f>
        <v/>
      </c>
      <c r="AW174" s="75">
        <f>$C174*INDEX(Curves!$AP$8:$AP$68,AW$4-$B174+1)</f>
        <v/>
      </c>
      <c r="AX174" s="75">
        <f>$C174*INDEX(Curves!$AP$8:$AP$68,AX$4-$B174+1)</f>
        <v/>
      </c>
      <c r="AY174" s="75">
        <f>$C174*INDEX(Curves!$AP$8:$AP$68,AY$4-$B174+1)</f>
        <v/>
      </c>
      <c r="AZ174" s="75">
        <f>$C174*INDEX(Curves!$AP$8:$AP$68,AZ$4-$B174+1)</f>
        <v/>
      </c>
      <c r="BA174" s="75">
        <f>$C174*INDEX(Curves!$AP$8:$AP$68,BA$4-$B174+1)</f>
        <v/>
      </c>
      <c r="BB174" s="75">
        <f>$C174*INDEX(Curves!$AP$8:$AP$68,BB$4-$B174+1)</f>
        <v/>
      </c>
      <c r="BC174" s="75">
        <f>$C174*INDEX(Curves!$AP$8:$AP$68,BC$4-$B174+1)</f>
        <v/>
      </c>
      <c r="BD174" s="75">
        <f>$C174*INDEX(Curves!$AP$8:$AP$68,BD$4-$B174+1)</f>
        <v/>
      </c>
      <c r="BE174" s="75">
        <f>$C174*INDEX(Curves!$AP$8:$AP$68,BE$4-$B174+1)</f>
        <v/>
      </c>
      <c r="BF174" s="75">
        <f>$C174*INDEX(Curves!$AP$8:$AP$68,BF$4-$B174+1)</f>
        <v/>
      </c>
      <c r="BG174" s="75">
        <f>$C174*INDEX(Curves!$AP$8:$AP$68,BG$4-$B174+1)</f>
        <v/>
      </c>
      <c r="BH174" s="75">
        <f>$C174*INDEX(Curves!$AP$8:$AP$68,BH$4-$B174+1)</f>
        <v/>
      </c>
      <c r="BI174" s="75">
        <f>$C174*INDEX(Curves!$AP$8:$AP$68,BI$4-$B174+1)</f>
        <v/>
      </c>
      <c r="BJ174" s="75">
        <f>$C174*INDEX(Curves!$AP$8:$AP$68,BJ$4-$B174+1)</f>
        <v/>
      </c>
      <c r="BK174" s="75">
        <f>$C174*INDEX(Curves!$AP$8:$AP$68,BK$4-$B174+1)</f>
        <v/>
      </c>
      <c r="BL174" s="75">
        <f>$C174*INDEX(Curves!$AP$8:$AP$68,BL$4-$B174+1)</f>
        <v/>
      </c>
    </row>
    <row r="175">
      <c r="A175" s="74" t="inlineStr">
        <is>
          <t>Cohort month 40</t>
        </is>
      </c>
      <c r="B175" s="74" t="n">
        <v>40</v>
      </c>
      <c r="C175" s="17">
        <f>INDEX(Ops!$E$85:$BL$85,1,$B175)</f>
        <v/>
      </c>
      <c r="AS175" s="75">
        <f>$C175*INDEX(Curves!$AP$8:$AP$68,AS$4-$B175+1)</f>
        <v/>
      </c>
      <c r="AT175" s="75">
        <f>$C175*INDEX(Curves!$AP$8:$AP$68,AT$4-$B175+1)</f>
        <v/>
      </c>
      <c r="AU175" s="75">
        <f>$C175*INDEX(Curves!$AP$8:$AP$68,AU$4-$B175+1)</f>
        <v/>
      </c>
      <c r="AV175" s="75">
        <f>$C175*INDEX(Curves!$AP$8:$AP$68,AV$4-$B175+1)</f>
        <v/>
      </c>
      <c r="AW175" s="75">
        <f>$C175*INDEX(Curves!$AP$8:$AP$68,AW$4-$B175+1)</f>
        <v/>
      </c>
      <c r="AX175" s="75">
        <f>$C175*INDEX(Curves!$AP$8:$AP$68,AX$4-$B175+1)</f>
        <v/>
      </c>
      <c r="AY175" s="75">
        <f>$C175*INDEX(Curves!$AP$8:$AP$68,AY$4-$B175+1)</f>
        <v/>
      </c>
      <c r="AZ175" s="75">
        <f>$C175*INDEX(Curves!$AP$8:$AP$68,AZ$4-$B175+1)</f>
        <v/>
      </c>
      <c r="BA175" s="75">
        <f>$C175*INDEX(Curves!$AP$8:$AP$68,BA$4-$B175+1)</f>
        <v/>
      </c>
      <c r="BB175" s="75">
        <f>$C175*INDEX(Curves!$AP$8:$AP$68,BB$4-$B175+1)</f>
        <v/>
      </c>
      <c r="BC175" s="75">
        <f>$C175*INDEX(Curves!$AP$8:$AP$68,BC$4-$B175+1)</f>
        <v/>
      </c>
      <c r="BD175" s="75">
        <f>$C175*INDEX(Curves!$AP$8:$AP$68,BD$4-$B175+1)</f>
        <v/>
      </c>
      <c r="BE175" s="75">
        <f>$C175*INDEX(Curves!$AP$8:$AP$68,BE$4-$B175+1)</f>
        <v/>
      </c>
      <c r="BF175" s="75">
        <f>$C175*INDEX(Curves!$AP$8:$AP$68,BF$4-$B175+1)</f>
        <v/>
      </c>
      <c r="BG175" s="75">
        <f>$C175*INDEX(Curves!$AP$8:$AP$68,BG$4-$B175+1)</f>
        <v/>
      </c>
      <c r="BH175" s="75">
        <f>$C175*INDEX(Curves!$AP$8:$AP$68,BH$4-$B175+1)</f>
        <v/>
      </c>
      <c r="BI175" s="75">
        <f>$C175*INDEX(Curves!$AP$8:$AP$68,BI$4-$B175+1)</f>
        <v/>
      </c>
      <c r="BJ175" s="75">
        <f>$C175*INDEX(Curves!$AP$8:$AP$68,BJ$4-$B175+1)</f>
        <v/>
      </c>
      <c r="BK175" s="75">
        <f>$C175*INDEX(Curves!$AP$8:$AP$68,BK$4-$B175+1)</f>
        <v/>
      </c>
      <c r="BL175" s="75">
        <f>$C175*INDEX(Curves!$AP$8:$AP$68,BL$4-$B175+1)</f>
        <v/>
      </c>
    </row>
    <row r="176">
      <c r="A176" s="74" t="inlineStr">
        <is>
          <t>Cohort month 41</t>
        </is>
      </c>
      <c r="B176" s="74" t="n">
        <v>41</v>
      </c>
      <c r="C176" s="17">
        <f>INDEX(Ops!$E$85:$BL$85,1,$B176)</f>
        <v/>
      </c>
      <c r="AT176" s="75">
        <f>$C176*INDEX(Curves!$AP$8:$AP$68,AT$4-$B176+1)</f>
        <v/>
      </c>
      <c r="AU176" s="75">
        <f>$C176*INDEX(Curves!$AP$8:$AP$68,AU$4-$B176+1)</f>
        <v/>
      </c>
      <c r="AV176" s="75">
        <f>$C176*INDEX(Curves!$AP$8:$AP$68,AV$4-$B176+1)</f>
        <v/>
      </c>
      <c r="AW176" s="75">
        <f>$C176*INDEX(Curves!$AP$8:$AP$68,AW$4-$B176+1)</f>
        <v/>
      </c>
      <c r="AX176" s="75">
        <f>$C176*INDEX(Curves!$AP$8:$AP$68,AX$4-$B176+1)</f>
        <v/>
      </c>
      <c r="AY176" s="75">
        <f>$C176*INDEX(Curves!$AP$8:$AP$68,AY$4-$B176+1)</f>
        <v/>
      </c>
      <c r="AZ176" s="75">
        <f>$C176*INDEX(Curves!$AP$8:$AP$68,AZ$4-$B176+1)</f>
        <v/>
      </c>
      <c r="BA176" s="75">
        <f>$C176*INDEX(Curves!$AP$8:$AP$68,BA$4-$B176+1)</f>
        <v/>
      </c>
      <c r="BB176" s="75">
        <f>$C176*INDEX(Curves!$AP$8:$AP$68,BB$4-$B176+1)</f>
        <v/>
      </c>
      <c r="BC176" s="75">
        <f>$C176*INDEX(Curves!$AP$8:$AP$68,BC$4-$B176+1)</f>
        <v/>
      </c>
      <c r="BD176" s="75">
        <f>$C176*INDEX(Curves!$AP$8:$AP$68,BD$4-$B176+1)</f>
        <v/>
      </c>
      <c r="BE176" s="75">
        <f>$C176*INDEX(Curves!$AP$8:$AP$68,BE$4-$B176+1)</f>
        <v/>
      </c>
      <c r="BF176" s="75">
        <f>$C176*INDEX(Curves!$AP$8:$AP$68,BF$4-$B176+1)</f>
        <v/>
      </c>
      <c r="BG176" s="75">
        <f>$C176*INDEX(Curves!$AP$8:$AP$68,BG$4-$B176+1)</f>
        <v/>
      </c>
      <c r="BH176" s="75">
        <f>$C176*INDEX(Curves!$AP$8:$AP$68,BH$4-$B176+1)</f>
        <v/>
      </c>
      <c r="BI176" s="75">
        <f>$C176*INDEX(Curves!$AP$8:$AP$68,BI$4-$B176+1)</f>
        <v/>
      </c>
      <c r="BJ176" s="75">
        <f>$C176*INDEX(Curves!$AP$8:$AP$68,BJ$4-$B176+1)</f>
        <v/>
      </c>
      <c r="BK176" s="75">
        <f>$C176*INDEX(Curves!$AP$8:$AP$68,BK$4-$B176+1)</f>
        <v/>
      </c>
      <c r="BL176" s="75">
        <f>$C176*INDEX(Curves!$AP$8:$AP$68,BL$4-$B176+1)</f>
        <v/>
      </c>
    </row>
    <row r="177">
      <c r="A177" s="74" t="inlineStr">
        <is>
          <t>Cohort month 42</t>
        </is>
      </c>
      <c r="B177" s="74" t="n">
        <v>42</v>
      </c>
      <c r="C177" s="17">
        <f>INDEX(Ops!$E$85:$BL$85,1,$B177)</f>
        <v/>
      </c>
      <c r="AU177" s="75">
        <f>$C177*INDEX(Curves!$AP$8:$AP$68,AU$4-$B177+1)</f>
        <v/>
      </c>
      <c r="AV177" s="75">
        <f>$C177*INDEX(Curves!$AP$8:$AP$68,AV$4-$B177+1)</f>
        <v/>
      </c>
      <c r="AW177" s="75">
        <f>$C177*INDEX(Curves!$AP$8:$AP$68,AW$4-$B177+1)</f>
        <v/>
      </c>
      <c r="AX177" s="75">
        <f>$C177*INDEX(Curves!$AP$8:$AP$68,AX$4-$B177+1)</f>
        <v/>
      </c>
      <c r="AY177" s="75">
        <f>$C177*INDEX(Curves!$AP$8:$AP$68,AY$4-$B177+1)</f>
        <v/>
      </c>
      <c r="AZ177" s="75">
        <f>$C177*INDEX(Curves!$AP$8:$AP$68,AZ$4-$B177+1)</f>
        <v/>
      </c>
      <c r="BA177" s="75">
        <f>$C177*INDEX(Curves!$AP$8:$AP$68,BA$4-$B177+1)</f>
        <v/>
      </c>
      <c r="BB177" s="75">
        <f>$C177*INDEX(Curves!$AP$8:$AP$68,BB$4-$B177+1)</f>
        <v/>
      </c>
      <c r="BC177" s="75">
        <f>$C177*INDEX(Curves!$AP$8:$AP$68,BC$4-$B177+1)</f>
        <v/>
      </c>
      <c r="BD177" s="75">
        <f>$C177*INDEX(Curves!$AP$8:$AP$68,BD$4-$B177+1)</f>
        <v/>
      </c>
      <c r="BE177" s="75">
        <f>$C177*INDEX(Curves!$AP$8:$AP$68,BE$4-$B177+1)</f>
        <v/>
      </c>
      <c r="BF177" s="75">
        <f>$C177*INDEX(Curves!$AP$8:$AP$68,BF$4-$B177+1)</f>
        <v/>
      </c>
      <c r="BG177" s="75">
        <f>$C177*INDEX(Curves!$AP$8:$AP$68,BG$4-$B177+1)</f>
        <v/>
      </c>
      <c r="BH177" s="75">
        <f>$C177*INDEX(Curves!$AP$8:$AP$68,BH$4-$B177+1)</f>
        <v/>
      </c>
      <c r="BI177" s="75">
        <f>$C177*INDEX(Curves!$AP$8:$AP$68,BI$4-$B177+1)</f>
        <v/>
      </c>
      <c r="BJ177" s="75">
        <f>$C177*INDEX(Curves!$AP$8:$AP$68,BJ$4-$B177+1)</f>
        <v/>
      </c>
      <c r="BK177" s="75">
        <f>$C177*INDEX(Curves!$AP$8:$AP$68,BK$4-$B177+1)</f>
        <v/>
      </c>
      <c r="BL177" s="75">
        <f>$C177*INDEX(Curves!$AP$8:$AP$68,BL$4-$B177+1)</f>
        <v/>
      </c>
    </row>
    <row r="178">
      <c r="A178" s="74" t="inlineStr">
        <is>
          <t>Cohort month 43</t>
        </is>
      </c>
      <c r="B178" s="74" t="n">
        <v>43</v>
      </c>
      <c r="C178" s="17">
        <f>INDEX(Ops!$E$85:$BL$85,1,$B178)</f>
        <v/>
      </c>
      <c r="AV178" s="75">
        <f>$C178*INDEX(Curves!$AP$8:$AP$68,AV$4-$B178+1)</f>
        <v/>
      </c>
      <c r="AW178" s="75">
        <f>$C178*INDEX(Curves!$AP$8:$AP$68,AW$4-$B178+1)</f>
        <v/>
      </c>
      <c r="AX178" s="75">
        <f>$C178*INDEX(Curves!$AP$8:$AP$68,AX$4-$B178+1)</f>
        <v/>
      </c>
      <c r="AY178" s="75">
        <f>$C178*INDEX(Curves!$AP$8:$AP$68,AY$4-$B178+1)</f>
        <v/>
      </c>
      <c r="AZ178" s="75">
        <f>$C178*INDEX(Curves!$AP$8:$AP$68,AZ$4-$B178+1)</f>
        <v/>
      </c>
      <c r="BA178" s="75">
        <f>$C178*INDEX(Curves!$AP$8:$AP$68,BA$4-$B178+1)</f>
        <v/>
      </c>
      <c r="BB178" s="75">
        <f>$C178*INDEX(Curves!$AP$8:$AP$68,BB$4-$B178+1)</f>
        <v/>
      </c>
      <c r="BC178" s="75">
        <f>$C178*INDEX(Curves!$AP$8:$AP$68,BC$4-$B178+1)</f>
        <v/>
      </c>
      <c r="BD178" s="75">
        <f>$C178*INDEX(Curves!$AP$8:$AP$68,BD$4-$B178+1)</f>
        <v/>
      </c>
      <c r="BE178" s="75">
        <f>$C178*INDEX(Curves!$AP$8:$AP$68,BE$4-$B178+1)</f>
        <v/>
      </c>
      <c r="BF178" s="75">
        <f>$C178*INDEX(Curves!$AP$8:$AP$68,BF$4-$B178+1)</f>
        <v/>
      </c>
      <c r="BG178" s="75">
        <f>$C178*INDEX(Curves!$AP$8:$AP$68,BG$4-$B178+1)</f>
        <v/>
      </c>
      <c r="BH178" s="75">
        <f>$C178*INDEX(Curves!$AP$8:$AP$68,BH$4-$B178+1)</f>
        <v/>
      </c>
      <c r="BI178" s="75">
        <f>$C178*INDEX(Curves!$AP$8:$AP$68,BI$4-$B178+1)</f>
        <v/>
      </c>
      <c r="BJ178" s="75">
        <f>$C178*INDEX(Curves!$AP$8:$AP$68,BJ$4-$B178+1)</f>
        <v/>
      </c>
      <c r="BK178" s="75">
        <f>$C178*INDEX(Curves!$AP$8:$AP$68,BK$4-$B178+1)</f>
        <v/>
      </c>
      <c r="BL178" s="75">
        <f>$C178*INDEX(Curves!$AP$8:$AP$68,BL$4-$B178+1)</f>
        <v/>
      </c>
    </row>
    <row r="179">
      <c r="A179" s="74" t="inlineStr">
        <is>
          <t>Cohort month 44</t>
        </is>
      </c>
      <c r="B179" s="74" t="n">
        <v>44</v>
      </c>
      <c r="C179" s="17">
        <f>INDEX(Ops!$E$85:$BL$85,1,$B179)</f>
        <v/>
      </c>
      <c r="AW179" s="75">
        <f>$C179*INDEX(Curves!$AP$8:$AP$68,AW$4-$B179+1)</f>
        <v/>
      </c>
      <c r="AX179" s="75">
        <f>$C179*INDEX(Curves!$AP$8:$AP$68,AX$4-$B179+1)</f>
        <v/>
      </c>
      <c r="AY179" s="75">
        <f>$C179*INDEX(Curves!$AP$8:$AP$68,AY$4-$B179+1)</f>
        <v/>
      </c>
      <c r="AZ179" s="75">
        <f>$C179*INDEX(Curves!$AP$8:$AP$68,AZ$4-$B179+1)</f>
        <v/>
      </c>
      <c r="BA179" s="75">
        <f>$C179*INDEX(Curves!$AP$8:$AP$68,BA$4-$B179+1)</f>
        <v/>
      </c>
      <c r="BB179" s="75">
        <f>$C179*INDEX(Curves!$AP$8:$AP$68,BB$4-$B179+1)</f>
        <v/>
      </c>
      <c r="BC179" s="75">
        <f>$C179*INDEX(Curves!$AP$8:$AP$68,BC$4-$B179+1)</f>
        <v/>
      </c>
      <c r="BD179" s="75">
        <f>$C179*INDEX(Curves!$AP$8:$AP$68,BD$4-$B179+1)</f>
        <v/>
      </c>
      <c r="BE179" s="75">
        <f>$C179*INDEX(Curves!$AP$8:$AP$68,BE$4-$B179+1)</f>
        <v/>
      </c>
      <c r="BF179" s="75">
        <f>$C179*INDEX(Curves!$AP$8:$AP$68,BF$4-$B179+1)</f>
        <v/>
      </c>
      <c r="BG179" s="75">
        <f>$C179*INDEX(Curves!$AP$8:$AP$68,BG$4-$B179+1)</f>
        <v/>
      </c>
      <c r="BH179" s="75">
        <f>$C179*INDEX(Curves!$AP$8:$AP$68,BH$4-$B179+1)</f>
        <v/>
      </c>
      <c r="BI179" s="75">
        <f>$C179*INDEX(Curves!$AP$8:$AP$68,BI$4-$B179+1)</f>
        <v/>
      </c>
      <c r="BJ179" s="75">
        <f>$C179*INDEX(Curves!$AP$8:$AP$68,BJ$4-$B179+1)</f>
        <v/>
      </c>
      <c r="BK179" s="75">
        <f>$C179*INDEX(Curves!$AP$8:$AP$68,BK$4-$B179+1)</f>
        <v/>
      </c>
      <c r="BL179" s="75">
        <f>$C179*INDEX(Curves!$AP$8:$AP$68,BL$4-$B179+1)</f>
        <v/>
      </c>
    </row>
    <row r="180">
      <c r="A180" s="74" t="inlineStr">
        <is>
          <t>Cohort month 45</t>
        </is>
      </c>
      <c r="B180" s="74" t="n">
        <v>45</v>
      </c>
      <c r="C180" s="17">
        <f>INDEX(Ops!$E$85:$BL$85,1,$B180)</f>
        <v/>
      </c>
      <c r="AX180" s="75">
        <f>$C180*INDEX(Curves!$AP$8:$AP$68,AX$4-$B180+1)</f>
        <v/>
      </c>
      <c r="AY180" s="75">
        <f>$C180*INDEX(Curves!$AP$8:$AP$68,AY$4-$B180+1)</f>
        <v/>
      </c>
      <c r="AZ180" s="75">
        <f>$C180*INDEX(Curves!$AP$8:$AP$68,AZ$4-$B180+1)</f>
        <v/>
      </c>
      <c r="BA180" s="75">
        <f>$C180*INDEX(Curves!$AP$8:$AP$68,BA$4-$B180+1)</f>
        <v/>
      </c>
      <c r="BB180" s="75">
        <f>$C180*INDEX(Curves!$AP$8:$AP$68,BB$4-$B180+1)</f>
        <v/>
      </c>
      <c r="BC180" s="75">
        <f>$C180*INDEX(Curves!$AP$8:$AP$68,BC$4-$B180+1)</f>
        <v/>
      </c>
      <c r="BD180" s="75">
        <f>$C180*INDEX(Curves!$AP$8:$AP$68,BD$4-$B180+1)</f>
        <v/>
      </c>
      <c r="BE180" s="75">
        <f>$C180*INDEX(Curves!$AP$8:$AP$68,BE$4-$B180+1)</f>
        <v/>
      </c>
      <c r="BF180" s="75">
        <f>$C180*INDEX(Curves!$AP$8:$AP$68,BF$4-$B180+1)</f>
        <v/>
      </c>
      <c r="BG180" s="75">
        <f>$C180*INDEX(Curves!$AP$8:$AP$68,BG$4-$B180+1)</f>
        <v/>
      </c>
      <c r="BH180" s="75">
        <f>$C180*INDEX(Curves!$AP$8:$AP$68,BH$4-$B180+1)</f>
        <v/>
      </c>
      <c r="BI180" s="75">
        <f>$C180*INDEX(Curves!$AP$8:$AP$68,BI$4-$B180+1)</f>
        <v/>
      </c>
      <c r="BJ180" s="75">
        <f>$C180*INDEX(Curves!$AP$8:$AP$68,BJ$4-$B180+1)</f>
        <v/>
      </c>
      <c r="BK180" s="75">
        <f>$C180*INDEX(Curves!$AP$8:$AP$68,BK$4-$B180+1)</f>
        <v/>
      </c>
      <c r="BL180" s="75">
        <f>$C180*INDEX(Curves!$AP$8:$AP$68,BL$4-$B180+1)</f>
        <v/>
      </c>
    </row>
    <row r="181">
      <c r="A181" s="74" t="inlineStr">
        <is>
          <t>Cohort month 46</t>
        </is>
      </c>
      <c r="B181" s="74" t="n">
        <v>46</v>
      </c>
      <c r="C181" s="17">
        <f>INDEX(Ops!$E$85:$BL$85,1,$B181)</f>
        <v/>
      </c>
      <c r="AY181" s="75">
        <f>$C181*INDEX(Curves!$AP$8:$AP$68,AY$4-$B181+1)</f>
        <v/>
      </c>
      <c r="AZ181" s="75">
        <f>$C181*INDEX(Curves!$AP$8:$AP$68,AZ$4-$B181+1)</f>
        <v/>
      </c>
      <c r="BA181" s="75">
        <f>$C181*INDEX(Curves!$AP$8:$AP$68,BA$4-$B181+1)</f>
        <v/>
      </c>
      <c r="BB181" s="75">
        <f>$C181*INDEX(Curves!$AP$8:$AP$68,BB$4-$B181+1)</f>
        <v/>
      </c>
      <c r="BC181" s="75">
        <f>$C181*INDEX(Curves!$AP$8:$AP$68,BC$4-$B181+1)</f>
        <v/>
      </c>
      <c r="BD181" s="75">
        <f>$C181*INDEX(Curves!$AP$8:$AP$68,BD$4-$B181+1)</f>
        <v/>
      </c>
      <c r="BE181" s="75">
        <f>$C181*INDEX(Curves!$AP$8:$AP$68,BE$4-$B181+1)</f>
        <v/>
      </c>
      <c r="BF181" s="75">
        <f>$C181*INDEX(Curves!$AP$8:$AP$68,BF$4-$B181+1)</f>
        <v/>
      </c>
      <c r="BG181" s="75">
        <f>$C181*INDEX(Curves!$AP$8:$AP$68,BG$4-$B181+1)</f>
        <v/>
      </c>
      <c r="BH181" s="75">
        <f>$C181*INDEX(Curves!$AP$8:$AP$68,BH$4-$B181+1)</f>
        <v/>
      </c>
      <c r="BI181" s="75">
        <f>$C181*INDEX(Curves!$AP$8:$AP$68,BI$4-$B181+1)</f>
        <v/>
      </c>
      <c r="BJ181" s="75">
        <f>$C181*INDEX(Curves!$AP$8:$AP$68,BJ$4-$B181+1)</f>
        <v/>
      </c>
      <c r="BK181" s="75">
        <f>$C181*INDEX(Curves!$AP$8:$AP$68,BK$4-$B181+1)</f>
        <v/>
      </c>
      <c r="BL181" s="75">
        <f>$C181*INDEX(Curves!$AP$8:$AP$68,BL$4-$B181+1)</f>
        <v/>
      </c>
    </row>
    <row r="182">
      <c r="A182" s="74" t="inlineStr">
        <is>
          <t>Cohort month 47</t>
        </is>
      </c>
      <c r="B182" s="74" t="n">
        <v>47</v>
      </c>
      <c r="C182" s="17">
        <f>INDEX(Ops!$E$85:$BL$85,1,$B182)</f>
        <v/>
      </c>
      <c r="AZ182" s="75">
        <f>$C182*INDEX(Curves!$AP$8:$AP$68,AZ$4-$B182+1)</f>
        <v/>
      </c>
      <c r="BA182" s="75">
        <f>$C182*INDEX(Curves!$AP$8:$AP$68,BA$4-$B182+1)</f>
        <v/>
      </c>
      <c r="BB182" s="75">
        <f>$C182*INDEX(Curves!$AP$8:$AP$68,BB$4-$B182+1)</f>
        <v/>
      </c>
      <c r="BC182" s="75">
        <f>$C182*INDEX(Curves!$AP$8:$AP$68,BC$4-$B182+1)</f>
        <v/>
      </c>
      <c r="BD182" s="75">
        <f>$C182*INDEX(Curves!$AP$8:$AP$68,BD$4-$B182+1)</f>
        <v/>
      </c>
      <c r="BE182" s="75">
        <f>$C182*INDEX(Curves!$AP$8:$AP$68,BE$4-$B182+1)</f>
        <v/>
      </c>
      <c r="BF182" s="75">
        <f>$C182*INDEX(Curves!$AP$8:$AP$68,BF$4-$B182+1)</f>
        <v/>
      </c>
      <c r="BG182" s="75">
        <f>$C182*INDEX(Curves!$AP$8:$AP$68,BG$4-$B182+1)</f>
        <v/>
      </c>
      <c r="BH182" s="75">
        <f>$C182*INDEX(Curves!$AP$8:$AP$68,BH$4-$B182+1)</f>
        <v/>
      </c>
      <c r="BI182" s="75">
        <f>$C182*INDEX(Curves!$AP$8:$AP$68,BI$4-$B182+1)</f>
        <v/>
      </c>
      <c r="BJ182" s="75">
        <f>$C182*INDEX(Curves!$AP$8:$AP$68,BJ$4-$B182+1)</f>
        <v/>
      </c>
      <c r="BK182" s="75">
        <f>$C182*INDEX(Curves!$AP$8:$AP$68,BK$4-$B182+1)</f>
        <v/>
      </c>
      <c r="BL182" s="75">
        <f>$C182*INDEX(Curves!$AP$8:$AP$68,BL$4-$B182+1)</f>
        <v/>
      </c>
    </row>
    <row r="183">
      <c r="A183" s="74" t="inlineStr">
        <is>
          <t>Cohort month 48</t>
        </is>
      </c>
      <c r="B183" s="74" t="n">
        <v>48</v>
      </c>
      <c r="C183" s="17">
        <f>INDEX(Ops!$E$85:$BL$85,1,$B183)</f>
        <v/>
      </c>
      <c r="BA183" s="75">
        <f>$C183*INDEX(Curves!$AP$8:$AP$68,BA$4-$B183+1)</f>
        <v/>
      </c>
      <c r="BB183" s="75">
        <f>$C183*INDEX(Curves!$AP$8:$AP$68,BB$4-$B183+1)</f>
        <v/>
      </c>
      <c r="BC183" s="75">
        <f>$C183*INDEX(Curves!$AP$8:$AP$68,BC$4-$B183+1)</f>
        <v/>
      </c>
      <c r="BD183" s="75">
        <f>$C183*INDEX(Curves!$AP$8:$AP$68,BD$4-$B183+1)</f>
        <v/>
      </c>
      <c r="BE183" s="75">
        <f>$C183*INDEX(Curves!$AP$8:$AP$68,BE$4-$B183+1)</f>
        <v/>
      </c>
      <c r="BF183" s="75">
        <f>$C183*INDEX(Curves!$AP$8:$AP$68,BF$4-$B183+1)</f>
        <v/>
      </c>
      <c r="BG183" s="75">
        <f>$C183*INDEX(Curves!$AP$8:$AP$68,BG$4-$B183+1)</f>
        <v/>
      </c>
      <c r="BH183" s="75">
        <f>$C183*INDEX(Curves!$AP$8:$AP$68,BH$4-$B183+1)</f>
        <v/>
      </c>
      <c r="BI183" s="75">
        <f>$C183*INDEX(Curves!$AP$8:$AP$68,BI$4-$B183+1)</f>
        <v/>
      </c>
      <c r="BJ183" s="75">
        <f>$C183*INDEX(Curves!$AP$8:$AP$68,BJ$4-$B183+1)</f>
        <v/>
      </c>
      <c r="BK183" s="75">
        <f>$C183*INDEX(Curves!$AP$8:$AP$68,BK$4-$B183+1)</f>
        <v/>
      </c>
      <c r="BL183" s="75">
        <f>$C183*INDEX(Curves!$AP$8:$AP$68,BL$4-$B183+1)</f>
        <v/>
      </c>
    </row>
    <row r="184">
      <c r="A184" s="74" t="inlineStr">
        <is>
          <t>Cohort month 49</t>
        </is>
      </c>
      <c r="B184" s="74" t="n">
        <v>49</v>
      </c>
      <c r="C184" s="17">
        <f>INDEX(Ops!$E$85:$BL$85,1,$B184)</f>
        <v/>
      </c>
      <c r="BB184" s="75">
        <f>$C184*INDEX(Curves!$AP$8:$AP$68,BB$4-$B184+1)</f>
        <v/>
      </c>
      <c r="BC184" s="75">
        <f>$C184*INDEX(Curves!$AP$8:$AP$68,BC$4-$B184+1)</f>
        <v/>
      </c>
      <c r="BD184" s="75">
        <f>$C184*INDEX(Curves!$AP$8:$AP$68,BD$4-$B184+1)</f>
        <v/>
      </c>
      <c r="BE184" s="75">
        <f>$C184*INDEX(Curves!$AP$8:$AP$68,BE$4-$B184+1)</f>
        <v/>
      </c>
      <c r="BF184" s="75">
        <f>$C184*INDEX(Curves!$AP$8:$AP$68,BF$4-$B184+1)</f>
        <v/>
      </c>
      <c r="BG184" s="75">
        <f>$C184*INDEX(Curves!$AP$8:$AP$68,BG$4-$B184+1)</f>
        <v/>
      </c>
      <c r="BH184" s="75">
        <f>$C184*INDEX(Curves!$AP$8:$AP$68,BH$4-$B184+1)</f>
        <v/>
      </c>
      <c r="BI184" s="75">
        <f>$C184*INDEX(Curves!$AP$8:$AP$68,BI$4-$B184+1)</f>
        <v/>
      </c>
      <c r="BJ184" s="75">
        <f>$C184*INDEX(Curves!$AP$8:$AP$68,BJ$4-$B184+1)</f>
        <v/>
      </c>
      <c r="BK184" s="75">
        <f>$C184*INDEX(Curves!$AP$8:$AP$68,BK$4-$B184+1)</f>
        <v/>
      </c>
      <c r="BL184" s="75">
        <f>$C184*INDEX(Curves!$AP$8:$AP$68,BL$4-$B184+1)</f>
        <v/>
      </c>
    </row>
    <row r="185">
      <c r="A185" s="74" t="inlineStr">
        <is>
          <t>Cohort month 50</t>
        </is>
      </c>
      <c r="B185" s="74" t="n">
        <v>50</v>
      </c>
      <c r="C185" s="17">
        <f>INDEX(Ops!$E$85:$BL$85,1,$B185)</f>
        <v/>
      </c>
      <c r="BC185" s="75">
        <f>$C185*INDEX(Curves!$AP$8:$AP$68,BC$4-$B185+1)</f>
        <v/>
      </c>
      <c r="BD185" s="75">
        <f>$C185*INDEX(Curves!$AP$8:$AP$68,BD$4-$B185+1)</f>
        <v/>
      </c>
      <c r="BE185" s="75">
        <f>$C185*INDEX(Curves!$AP$8:$AP$68,BE$4-$B185+1)</f>
        <v/>
      </c>
      <c r="BF185" s="75">
        <f>$C185*INDEX(Curves!$AP$8:$AP$68,BF$4-$B185+1)</f>
        <v/>
      </c>
      <c r="BG185" s="75">
        <f>$C185*INDEX(Curves!$AP$8:$AP$68,BG$4-$B185+1)</f>
        <v/>
      </c>
      <c r="BH185" s="75">
        <f>$C185*INDEX(Curves!$AP$8:$AP$68,BH$4-$B185+1)</f>
        <v/>
      </c>
      <c r="BI185" s="75">
        <f>$C185*INDEX(Curves!$AP$8:$AP$68,BI$4-$B185+1)</f>
        <v/>
      </c>
      <c r="BJ185" s="75">
        <f>$C185*INDEX(Curves!$AP$8:$AP$68,BJ$4-$B185+1)</f>
        <v/>
      </c>
      <c r="BK185" s="75">
        <f>$C185*INDEX(Curves!$AP$8:$AP$68,BK$4-$B185+1)</f>
        <v/>
      </c>
      <c r="BL185" s="75">
        <f>$C185*INDEX(Curves!$AP$8:$AP$68,BL$4-$B185+1)</f>
        <v/>
      </c>
    </row>
    <row r="186">
      <c r="A186" s="74" t="inlineStr">
        <is>
          <t>Cohort month 51</t>
        </is>
      </c>
      <c r="B186" s="74" t="n">
        <v>51</v>
      </c>
      <c r="C186" s="17">
        <f>INDEX(Ops!$E$85:$BL$85,1,$B186)</f>
        <v/>
      </c>
      <c r="BD186" s="75">
        <f>$C186*INDEX(Curves!$AP$8:$AP$68,BD$4-$B186+1)</f>
        <v/>
      </c>
      <c r="BE186" s="75">
        <f>$C186*INDEX(Curves!$AP$8:$AP$68,BE$4-$B186+1)</f>
        <v/>
      </c>
      <c r="BF186" s="75">
        <f>$C186*INDEX(Curves!$AP$8:$AP$68,BF$4-$B186+1)</f>
        <v/>
      </c>
      <c r="BG186" s="75">
        <f>$C186*INDEX(Curves!$AP$8:$AP$68,BG$4-$B186+1)</f>
        <v/>
      </c>
      <c r="BH186" s="75">
        <f>$C186*INDEX(Curves!$AP$8:$AP$68,BH$4-$B186+1)</f>
        <v/>
      </c>
      <c r="BI186" s="75">
        <f>$C186*INDEX(Curves!$AP$8:$AP$68,BI$4-$B186+1)</f>
        <v/>
      </c>
      <c r="BJ186" s="75">
        <f>$C186*INDEX(Curves!$AP$8:$AP$68,BJ$4-$B186+1)</f>
        <v/>
      </c>
      <c r="BK186" s="75">
        <f>$C186*INDEX(Curves!$AP$8:$AP$68,BK$4-$B186+1)</f>
        <v/>
      </c>
      <c r="BL186" s="75">
        <f>$C186*INDEX(Curves!$AP$8:$AP$68,BL$4-$B186+1)</f>
        <v/>
      </c>
    </row>
    <row r="187">
      <c r="A187" s="74" t="inlineStr">
        <is>
          <t>Cohort month 52</t>
        </is>
      </c>
      <c r="B187" s="74" t="n">
        <v>52</v>
      </c>
      <c r="C187" s="17">
        <f>INDEX(Ops!$E$85:$BL$85,1,$B187)</f>
        <v/>
      </c>
      <c r="BE187" s="75">
        <f>$C187*INDEX(Curves!$AP$8:$AP$68,BE$4-$B187+1)</f>
        <v/>
      </c>
      <c r="BF187" s="75">
        <f>$C187*INDEX(Curves!$AP$8:$AP$68,BF$4-$B187+1)</f>
        <v/>
      </c>
      <c r="BG187" s="75">
        <f>$C187*INDEX(Curves!$AP$8:$AP$68,BG$4-$B187+1)</f>
        <v/>
      </c>
      <c r="BH187" s="75">
        <f>$C187*INDEX(Curves!$AP$8:$AP$68,BH$4-$B187+1)</f>
        <v/>
      </c>
      <c r="BI187" s="75">
        <f>$C187*INDEX(Curves!$AP$8:$AP$68,BI$4-$B187+1)</f>
        <v/>
      </c>
      <c r="BJ187" s="75">
        <f>$C187*INDEX(Curves!$AP$8:$AP$68,BJ$4-$B187+1)</f>
        <v/>
      </c>
      <c r="BK187" s="75">
        <f>$C187*INDEX(Curves!$AP$8:$AP$68,BK$4-$B187+1)</f>
        <v/>
      </c>
      <c r="BL187" s="75">
        <f>$C187*INDEX(Curves!$AP$8:$AP$68,BL$4-$B187+1)</f>
        <v/>
      </c>
    </row>
    <row r="188">
      <c r="A188" s="74" t="inlineStr">
        <is>
          <t>Cohort month 53</t>
        </is>
      </c>
      <c r="B188" s="74" t="n">
        <v>53</v>
      </c>
      <c r="C188" s="17">
        <f>INDEX(Ops!$E$85:$BL$85,1,$B188)</f>
        <v/>
      </c>
      <c r="BF188" s="75">
        <f>$C188*INDEX(Curves!$AP$8:$AP$68,BF$4-$B188+1)</f>
        <v/>
      </c>
      <c r="BG188" s="75">
        <f>$C188*INDEX(Curves!$AP$8:$AP$68,BG$4-$B188+1)</f>
        <v/>
      </c>
      <c r="BH188" s="75">
        <f>$C188*INDEX(Curves!$AP$8:$AP$68,BH$4-$B188+1)</f>
        <v/>
      </c>
      <c r="BI188" s="75">
        <f>$C188*INDEX(Curves!$AP$8:$AP$68,BI$4-$B188+1)</f>
        <v/>
      </c>
      <c r="BJ188" s="75">
        <f>$C188*INDEX(Curves!$AP$8:$AP$68,BJ$4-$B188+1)</f>
        <v/>
      </c>
      <c r="BK188" s="75">
        <f>$C188*INDEX(Curves!$AP$8:$AP$68,BK$4-$B188+1)</f>
        <v/>
      </c>
      <c r="BL188" s="75">
        <f>$C188*INDEX(Curves!$AP$8:$AP$68,BL$4-$B188+1)</f>
        <v/>
      </c>
    </row>
    <row r="189">
      <c r="A189" s="74" t="inlineStr">
        <is>
          <t>Cohort month 54</t>
        </is>
      </c>
      <c r="B189" s="74" t="n">
        <v>54</v>
      </c>
      <c r="C189" s="17">
        <f>INDEX(Ops!$E$85:$BL$85,1,$B189)</f>
        <v/>
      </c>
      <c r="BG189" s="75">
        <f>$C189*INDEX(Curves!$AP$8:$AP$68,BG$4-$B189+1)</f>
        <v/>
      </c>
      <c r="BH189" s="75">
        <f>$C189*INDEX(Curves!$AP$8:$AP$68,BH$4-$B189+1)</f>
        <v/>
      </c>
      <c r="BI189" s="75">
        <f>$C189*INDEX(Curves!$AP$8:$AP$68,BI$4-$B189+1)</f>
        <v/>
      </c>
      <c r="BJ189" s="75">
        <f>$C189*INDEX(Curves!$AP$8:$AP$68,BJ$4-$B189+1)</f>
        <v/>
      </c>
      <c r="BK189" s="75">
        <f>$C189*INDEX(Curves!$AP$8:$AP$68,BK$4-$B189+1)</f>
        <v/>
      </c>
      <c r="BL189" s="75">
        <f>$C189*INDEX(Curves!$AP$8:$AP$68,BL$4-$B189+1)</f>
        <v/>
      </c>
    </row>
    <row r="190">
      <c r="A190" s="74" t="inlineStr">
        <is>
          <t>Cohort month 55</t>
        </is>
      </c>
      <c r="B190" s="74" t="n">
        <v>55</v>
      </c>
      <c r="C190" s="17">
        <f>INDEX(Ops!$E$85:$BL$85,1,$B190)</f>
        <v/>
      </c>
      <c r="BH190" s="75">
        <f>$C190*INDEX(Curves!$AP$8:$AP$68,BH$4-$B190+1)</f>
        <v/>
      </c>
      <c r="BI190" s="75">
        <f>$C190*INDEX(Curves!$AP$8:$AP$68,BI$4-$B190+1)</f>
        <v/>
      </c>
      <c r="BJ190" s="75">
        <f>$C190*INDEX(Curves!$AP$8:$AP$68,BJ$4-$B190+1)</f>
        <v/>
      </c>
      <c r="BK190" s="75">
        <f>$C190*INDEX(Curves!$AP$8:$AP$68,BK$4-$B190+1)</f>
        <v/>
      </c>
      <c r="BL190" s="75">
        <f>$C190*INDEX(Curves!$AP$8:$AP$68,BL$4-$B190+1)</f>
        <v/>
      </c>
    </row>
    <row r="191">
      <c r="A191" s="74" t="inlineStr">
        <is>
          <t>Cohort month 56</t>
        </is>
      </c>
      <c r="B191" s="74" t="n">
        <v>56</v>
      </c>
      <c r="C191" s="17">
        <f>INDEX(Ops!$E$85:$BL$85,1,$B191)</f>
        <v/>
      </c>
      <c r="BI191" s="75">
        <f>$C191*INDEX(Curves!$AP$8:$AP$68,BI$4-$B191+1)</f>
        <v/>
      </c>
      <c r="BJ191" s="75">
        <f>$C191*INDEX(Curves!$AP$8:$AP$68,BJ$4-$B191+1)</f>
        <v/>
      </c>
      <c r="BK191" s="75">
        <f>$C191*INDEX(Curves!$AP$8:$AP$68,BK$4-$B191+1)</f>
        <v/>
      </c>
      <c r="BL191" s="75">
        <f>$C191*INDEX(Curves!$AP$8:$AP$68,BL$4-$B191+1)</f>
        <v/>
      </c>
    </row>
    <row r="192">
      <c r="A192" s="74" t="inlineStr">
        <is>
          <t>Cohort month 57</t>
        </is>
      </c>
      <c r="B192" s="74" t="n">
        <v>57</v>
      </c>
      <c r="C192" s="17">
        <f>INDEX(Ops!$E$85:$BL$85,1,$B192)</f>
        <v/>
      </c>
      <c r="BJ192" s="75">
        <f>$C192*INDEX(Curves!$AP$8:$AP$68,BJ$4-$B192+1)</f>
        <v/>
      </c>
      <c r="BK192" s="75">
        <f>$C192*INDEX(Curves!$AP$8:$AP$68,BK$4-$B192+1)</f>
        <v/>
      </c>
      <c r="BL192" s="75">
        <f>$C192*INDEX(Curves!$AP$8:$AP$68,BL$4-$B192+1)</f>
        <v/>
      </c>
    </row>
    <row r="193">
      <c r="A193" s="74" t="inlineStr">
        <is>
          <t>Cohort month 58</t>
        </is>
      </c>
      <c r="B193" s="74" t="n">
        <v>58</v>
      </c>
      <c r="C193" s="17">
        <f>INDEX(Ops!$E$85:$BL$85,1,$B193)</f>
        <v/>
      </c>
      <c r="BK193" s="75">
        <f>$C193*INDEX(Curves!$AP$8:$AP$68,BK$4-$B193+1)</f>
        <v/>
      </c>
      <c r="BL193" s="75">
        <f>$C193*INDEX(Curves!$AP$8:$AP$68,BL$4-$B193+1)</f>
        <v/>
      </c>
    </row>
    <row r="194">
      <c r="A194" s="74" t="inlineStr">
        <is>
          <t>Cohort month 59</t>
        </is>
      </c>
      <c r="B194" s="74" t="n">
        <v>59</v>
      </c>
      <c r="C194" s="17">
        <f>INDEX(Ops!$E$85:$BL$85,1,$B194)</f>
        <v/>
      </c>
      <c r="BL194" s="75">
        <f>$C194*INDEX(Curves!$AP$8:$AP$68,BL$4-$B194+1)</f>
        <v/>
      </c>
    </row>
    <row r="195">
      <c r="A195" s="74" t="inlineStr">
        <is>
          <t>Cohort month 60</t>
        </is>
      </c>
      <c r="B195" s="74" t="n">
        <v>60</v>
      </c>
      <c r="C195" s="17">
        <f>INDEX(Ops!$E$85:$BL$85,1,$B195)</f>
        <v/>
      </c>
    </row>
    <row r="196"/>
    <row r="197">
      <c r="A197" s="14" t="inlineStr">
        <is>
          <t>Recoveries by cohort (LCY)</t>
        </is>
      </c>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c r="AJ197" s="15" t="n"/>
      <c r="AK197" s="15" t="n"/>
      <c r="AL197" s="15" t="n"/>
      <c r="AM197" s="15" t="n"/>
      <c r="AN197" s="15" t="n"/>
      <c r="AO197" s="15" t="n"/>
      <c r="AP197" s="15" t="n"/>
      <c r="AQ197" s="15" t="n"/>
      <c r="AR197" s="15" t="n"/>
      <c r="AS197" s="15" t="n"/>
      <c r="AT197" s="15" t="n"/>
      <c r="AU197" s="15" t="n"/>
      <c r="AV197" s="15" t="n"/>
      <c r="AW197" s="15" t="n"/>
      <c r="AX197" s="15" t="n"/>
      <c r="AY197" s="15" t="n"/>
      <c r="AZ197" s="15" t="n"/>
      <c r="BA197" s="15" t="n"/>
      <c r="BB197" s="15" t="n"/>
      <c r="BC197" s="15" t="n"/>
      <c r="BD197" s="15" t="n"/>
      <c r="BE197" s="15" t="n"/>
      <c r="BF197" s="15" t="n"/>
      <c r="BG197" s="15" t="n"/>
      <c r="BH197" s="15" t="n"/>
      <c r="BI197" s="15" t="n"/>
      <c r="BJ197" s="15" t="n"/>
      <c r="BK197" s="15" t="n"/>
      <c r="BL197" s="15" t="n"/>
    </row>
    <row r="198">
      <c r="A198" s="60" t="inlineStr">
        <is>
          <t>Total</t>
        </is>
      </c>
      <c r="B198" s="61" t="inlineStr"/>
      <c r="C198" s="63" t="n"/>
      <c r="D198" s="63" t="n"/>
      <c r="E198" s="71">
        <f>SUM(E199:E258)</f>
        <v/>
      </c>
      <c r="F198" s="71">
        <f>SUM(F199:F258)</f>
        <v/>
      </c>
      <c r="G198" s="71">
        <f>SUM(G199:G258)</f>
        <v/>
      </c>
      <c r="H198" s="71">
        <f>SUM(H199:H258)</f>
        <v/>
      </c>
      <c r="I198" s="71">
        <f>SUM(I199:I258)</f>
        <v/>
      </c>
      <c r="J198" s="71">
        <f>SUM(J199:J258)</f>
        <v/>
      </c>
      <c r="K198" s="71">
        <f>SUM(K199:K258)</f>
        <v/>
      </c>
      <c r="L198" s="71">
        <f>SUM(L199:L258)</f>
        <v/>
      </c>
      <c r="M198" s="71">
        <f>SUM(M199:M258)</f>
        <v/>
      </c>
      <c r="N198" s="71">
        <f>SUM(N199:N258)</f>
        <v/>
      </c>
      <c r="O198" s="71">
        <f>SUM(O199:O258)</f>
        <v/>
      </c>
      <c r="P198" s="71">
        <f>SUM(P199:P258)</f>
        <v/>
      </c>
      <c r="Q198" s="71">
        <f>SUM(Q199:Q258)</f>
        <v/>
      </c>
      <c r="R198" s="71">
        <f>SUM(R199:R258)</f>
        <v/>
      </c>
      <c r="S198" s="71">
        <f>SUM(S199:S258)</f>
        <v/>
      </c>
      <c r="T198" s="71">
        <f>SUM(T199:T258)</f>
        <v/>
      </c>
      <c r="U198" s="71">
        <f>SUM(U199:U258)</f>
        <v/>
      </c>
      <c r="V198" s="71">
        <f>SUM(V199:V258)</f>
        <v/>
      </c>
      <c r="W198" s="71">
        <f>SUM(W199:W258)</f>
        <v/>
      </c>
      <c r="X198" s="71">
        <f>SUM(X199:X258)</f>
        <v/>
      </c>
      <c r="Y198" s="71">
        <f>SUM(Y199:Y258)</f>
        <v/>
      </c>
      <c r="Z198" s="71">
        <f>SUM(Z199:Z258)</f>
        <v/>
      </c>
      <c r="AA198" s="71">
        <f>SUM(AA199:AA258)</f>
        <v/>
      </c>
      <c r="AB198" s="71">
        <f>SUM(AB199:AB258)</f>
        <v/>
      </c>
      <c r="AC198" s="71">
        <f>SUM(AC199:AC258)</f>
        <v/>
      </c>
      <c r="AD198" s="71">
        <f>SUM(AD199:AD258)</f>
        <v/>
      </c>
      <c r="AE198" s="71">
        <f>SUM(AE199:AE258)</f>
        <v/>
      </c>
      <c r="AF198" s="71">
        <f>SUM(AF199:AF258)</f>
        <v/>
      </c>
      <c r="AG198" s="71">
        <f>SUM(AG199:AG258)</f>
        <v/>
      </c>
      <c r="AH198" s="71">
        <f>SUM(AH199:AH258)</f>
        <v/>
      </c>
      <c r="AI198" s="71">
        <f>SUM(AI199:AI258)</f>
        <v/>
      </c>
      <c r="AJ198" s="71">
        <f>SUM(AJ199:AJ258)</f>
        <v/>
      </c>
      <c r="AK198" s="71">
        <f>SUM(AK199:AK258)</f>
        <v/>
      </c>
      <c r="AL198" s="71">
        <f>SUM(AL199:AL258)</f>
        <v/>
      </c>
      <c r="AM198" s="71">
        <f>SUM(AM199:AM258)</f>
        <v/>
      </c>
      <c r="AN198" s="71">
        <f>SUM(AN199:AN258)</f>
        <v/>
      </c>
      <c r="AO198" s="71">
        <f>SUM(AO199:AO258)</f>
        <v/>
      </c>
      <c r="AP198" s="71">
        <f>SUM(AP199:AP258)</f>
        <v/>
      </c>
      <c r="AQ198" s="71">
        <f>SUM(AQ199:AQ258)</f>
        <v/>
      </c>
      <c r="AR198" s="71">
        <f>SUM(AR199:AR258)</f>
        <v/>
      </c>
      <c r="AS198" s="71">
        <f>SUM(AS199:AS258)</f>
        <v/>
      </c>
      <c r="AT198" s="71">
        <f>SUM(AT199:AT258)</f>
        <v/>
      </c>
      <c r="AU198" s="71">
        <f>SUM(AU199:AU258)</f>
        <v/>
      </c>
      <c r="AV198" s="71">
        <f>SUM(AV199:AV258)</f>
        <v/>
      </c>
      <c r="AW198" s="71">
        <f>SUM(AW199:AW258)</f>
        <v/>
      </c>
      <c r="AX198" s="71">
        <f>SUM(AX199:AX258)</f>
        <v/>
      </c>
      <c r="AY198" s="71">
        <f>SUM(AY199:AY258)</f>
        <v/>
      </c>
      <c r="AZ198" s="71">
        <f>SUM(AZ199:AZ258)</f>
        <v/>
      </c>
      <c r="BA198" s="71">
        <f>SUM(BA199:BA258)</f>
        <v/>
      </c>
      <c r="BB198" s="71">
        <f>SUM(BB199:BB258)</f>
        <v/>
      </c>
      <c r="BC198" s="71">
        <f>SUM(BC199:BC258)</f>
        <v/>
      </c>
      <c r="BD198" s="71">
        <f>SUM(BD199:BD258)</f>
        <v/>
      </c>
      <c r="BE198" s="71">
        <f>SUM(BE199:BE258)</f>
        <v/>
      </c>
      <c r="BF198" s="71">
        <f>SUM(BF199:BF258)</f>
        <v/>
      </c>
      <c r="BG198" s="71">
        <f>SUM(BG199:BG258)</f>
        <v/>
      </c>
      <c r="BH198" s="71">
        <f>SUM(BH199:BH258)</f>
        <v/>
      </c>
      <c r="BI198" s="71">
        <f>SUM(BI199:BI258)</f>
        <v/>
      </c>
      <c r="BJ198" s="71">
        <f>SUM(BJ199:BJ258)</f>
        <v/>
      </c>
      <c r="BK198" s="71">
        <f>SUM(BK199:BK258)</f>
        <v/>
      </c>
      <c r="BL198" s="71">
        <f>SUM(BL199:BL258)</f>
        <v/>
      </c>
    </row>
    <row r="199">
      <c r="A199" s="74" t="inlineStr">
        <is>
          <t>Cohort month 1</t>
        </is>
      </c>
      <c r="B199" s="74" t="n">
        <v>1</v>
      </c>
      <c r="C199" s="17">
        <f>INDEX(Ops!$E$85:$BL$85,1,$B199)</f>
        <v/>
      </c>
      <c r="F199" s="75">
        <f>$C199*INDEX(Curves!$AS$8:$AS$68,F$4-$B199+1)</f>
        <v/>
      </c>
      <c r="G199" s="75">
        <f>$C199*INDEX(Curves!$AS$8:$AS$68,G$4-$B199+1)</f>
        <v/>
      </c>
      <c r="H199" s="75">
        <f>$C199*INDEX(Curves!$AS$8:$AS$68,H$4-$B199+1)</f>
        <v/>
      </c>
      <c r="I199" s="75">
        <f>$C199*INDEX(Curves!$AS$8:$AS$68,I$4-$B199+1)</f>
        <v/>
      </c>
      <c r="J199" s="75">
        <f>$C199*INDEX(Curves!$AS$8:$AS$68,J$4-$B199+1)</f>
        <v/>
      </c>
      <c r="K199" s="75">
        <f>$C199*INDEX(Curves!$AS$8:$AS$68,K$4-$B199+1)</f>
        <v/>
      </c>
      <c r="L199" s="75">
        <f>$C199*INDEX(Curves!$AS$8:$AS$68,L$4-$B199+1)</f>
        <v/>
      </c>
      <c r="M199" s="75">
        <f>$C199*INDEX(Curves!$AS$8:$AS$68,M$4-$B199+1)</f>
        <v/>
      </c>
      <c r="N199" s="75">
        <f>$C199*INDEX(Curves!$AS$8:$AS$68,N$4-$B199+1)</f>
        <v/>
      </c>
      <c r="O199" s="75">
        <f>$C199*INDEX(Curves!$AS$8:$AS$68,O$4-$B199+1)</f>
        <v/>
      </c>
      <c r="P199" s="75">
        <f>$C199*INDEX(Curves!$AS$8:$AS$68,P$4-$B199+1)</f>
        <v/>
      </c>
      <c r="Q199" s="75">
        <f>$C199*INDEX(Curves!$AS$8:$AS$68,Q$4-$B199+1)</f>
        <v/>
      </c>
      <c r="R199" s="75">
        <f>$C199*INDEX(Curves!$AS$8:$AS$68,R$4-$B199+1)</f>
        <v/>
      </c>
      <c r="S199" s="75">
        <f>$C199*INDEX(Curves!$AS$8:$AS$68,S$4-$B199+1)</f>
        <v/>
      </c>
      <c r="T199" s="75">
        <f>$C199*INDEX(Curves!$AS$8:$AS$68,T$4-$B199+1)</f>
        <v/>
      </c>
      <c r="U199" s="75">
        <f>$C199*INDEX(Curves!$AS$8:$AS$68,U$4-$B199+1)</f>
        <v/>
      </c>
      <c r="V199" s="75">
        <f>$C199*INDEX(Curves!$AS$8:$AS$68,V$4-$B199+1)</f>
        <v/>
      </c>
      <c r="W199" s="75">
        <f>$C199*INDEX(Curves!$AS$8:$AS$68,W$4-$B199+1)</f>
        <v/>
      </c>
      <c r="X199" s="75">
        <f>$C199*INDEX(Curves!$AS$8:$AS$68,X$4-$B199+1)</f>
        <v/>
      </c>
      <c r="Y199" s="75">
        <f>$C199*INDEX(Curves!$AS$8:$AS$68,Y$4-$B199+1)</f>
        <v/>
      </c>
      <c r="Z199" s="75">
        <f>$C199*INDEX(Curves!$AS$8:$AS$68,Z$4-$B199+1)</f>
        <v/>
      </c>
      <c r="AA199" s="75">
        <f>$C199*INDEX(Curves!$AS$8:$AS$68,AA$4-$B199+1)</f>
        <v/>
      </c>
      <c r="AB199" s="75">
        <f>$C199*INDEX(Curves!$AS$8:$AS$68,AB$4-$B199+1)</f>
        <v/>
      </c>
      <c r="AC199" s="75">
        <f>$C199*INDEX(Curves!$AS$8:$AS$68,AC$4-$B199+1)</f>
        <v/>
      </c>
      <c r="AD199" s="75">
        <f>$C199*INDEX(Curves!$AS$8:$AS$68,AD$4-$B199+1)</f>
        <v/>
      </c>
      <c r="AE199" s="75">
        <f>$C199*INDEX(Curves!$AS$8:$AS$68,AE$4-$B199+1)</f>
        <v/>
      </c>
      <c r="AF199" s="75">
        <f>$C199*INDEX(Curves!$AS$8:$AS$68,AF$4-$B199+1)</f>
        <v/>
      </c>
      <c r="AG199" s="75">
        <f>$C199*INDEX(Curves!$AS$8:$AS$68,AG$4-$B199+1)</f>
        <v/>
      </c>
      <c r="AH199" s="75">
        <f>$C199*INDEX(Curves!$AS$8:$AS$68,AH$4-$B199+1)</f>
        <v/>
      </c>
      <c r="AI199" s="75">
        <f>$C199*INDEX(Curves!$AS$8:$AS$68,AI$4-$B199+1)</f>
        <v/>
      </c>
      <c r="AJ199" s="75">
        <f>$C199*INDEX(Curves!$AS$8:$AS$68,AJ$4-$B199+1)</f>
        <v/>
      </c>
      <c r="AK199" s="75">
        <f>$C199*INDEX(Curves!$AS$8:$AS$68,AK$4-$B199+1)</f>
        <v/>
      </c>
      <c r="AL199" s="75">
        <f>$C199*INDEX(Curves!$AS$8:$AS$68,AL$4-$B199+1)</f>
        <v/>
      </c>
      <c r="AM199" s="75">
        <f>$C199*INDEX(Curves!$AS$8:$AS$68,AM$4-$B199+1)</f>
        <v/>
      </c>
      <c r="AN199" s="75">
        <f>$C199*INDEX(Curves!$AS$8:$AS$68,AN$4-$B199+1)</f>
        <v/>
      </c>
      <c r="AO199" s="75">
        <f>$C199*INDEX(Curves!$AS$8:$AS$68,AO$4-$B199+1)</f>
        <v/>
      </c>
      <c r="AP199" s="75">
        <f>$C199*INDEX(Curves!$AS$8:$AS$68,AP$4-$B199+1)</f>
        <v/>
      </c>
      <c r="AQ199" s="75">
        <f>$C199*INDEX(Curves!$AS$8:$AS$68,AQ$4-$B199+1)</f>
        <v/>
      </c>
      <c r="AR199" s="75">
        <f>$C199*INDEX(Curves!$AS$8:$AS$68,AR$4-$B199+1)</f>
        <v/>
      </c>
      <c r="AS199" s="75">
        <f>$C199*INDEX(Curves!$AS$8:$AS$68,AS$4-$B199+1)</f>
        <v/>
      </c>
      <c r="AT199" s="75">
        <f>$C199*INDEX(Curves!$AS$8:$AS$68,AT$4-$B199+1)</f>
        <v/>
      </c>
      <c r="AU199" s="75">
        <f>$C199*INDEX(Curves!$AS$8:$AS$68,AU$4-$B199+1)</f>
        <v/>
      </c>
      <c r="AV199" s="75">
        <f>$C199*INDEX(Curves!$AS$8:$AS$68,AV$4-$B199+1)</f>
        <v/>
      </c>
      <c r="AW199" s="75">
        <f>$C199*INDEX(Curves!$AS$8:$AS$68,AW$4-$B199+1)</f>
        <v/>
      </c>
      <c r="AX199" s="75">
        <f>$C199*INDEX(Curves!$AS$8:$AS$68,AX$4-$B199+1)</f>
        <v/>
      </c>
      <c r="AY199" s="75">
        <f>$C199*INDEX(Curves!$AS$8:$AS$68,AY$4-$B199+1)</f>
        <v/>
      </c>
      <c r="AZ199" s="75">
        <f>$C199*INDEX(Curves!$AS$8:$AS$68,AZ$4-$B199+1)</f>
        <v/>
      </c>
      <c r="BA199" s="75">
        <f>$C199*INDEX(Curves!$AS$8:$AS$68,BA$4-$B199+1)</f>
        <v/>
      </c>
      <c r="BB199" s="75">
        <f>$C199*INDEX(Curves!$AS$8:$AS$68,BB$4-$B199+1)</f>
        <v/>
      </c>
      <c r="BC199" s="75">
        <f>$C199*INDEX(Curves!$AS$8:$AS$68,BC$4-$B199+1)</f>
        <v/>
      </c>
      <c r="BD199" s="75">
        <f>$C199*INDEX(Curves!$AS$8:$AS$68,BD$4-$B199+1)</f>
        <v/>
      </c>
      <c r="BE199" s="75">
        <f>$C199*INDEX(Curves!$AS$8:$AS$68,BE$4-$B199+1)</f>
        <v/>
      </c>
      <c r="BF199" s="75">
        <f>$C199*INDEX(Curves!$AS$8:$AS$68,BF$4-$B199+1)</f>
        <v/>
      </c>
      <c r="BG199" s="75">
        <f>$C199*INDEX(Curves!$AS$8:$AS$68,BG$4-$B199+1)</f>
        <v/>
      </c>
      <c r="BH199" s="75">
        <f>$C199*INDEX(Curves!$AS$8:$AS$68,BH$4-$B199+1)</f>
        <v/>
      </c>
      <c r="BI199" s="75">
        <f>$C199*INDEX(Curves!$AS$8:$AS$68,BI$4-$B199+1)</f>
        <v/>
      </c>
      <c r="BJ199" s="75">
        <f>$C199*INDEX(Curves!$AS$8:$AS$68,BJ$4-$B199+1)</f>
        <v/>
      </c>
      <c r="BK199" s="75">
        <f>$C199*INDEX(Curves!$AS$8:$AS$68,BK$4-$B199+1)</f>
        <v/>
      </c>
      <c r="BL199" s="75">
        <f>$C199*INDEX(Curves!$AS$8:$AS$68,BL$4-$B199+1)</f>
        <v/>
      </c>
    </row>
    <row r="200">
      <c r="A200" s="74" t="inlineStr">
        <is>
          <t>Cohort month 2</t>
        </is>
      </c>
      <c r="B200" s="74" t="n">
        <v>2</v>
      </c>
      <c r="C200" s="17">
        <f>INDEX(Ops!$E$85:$BL$85,1,$B200)</f>
        <v/>
      </c>
      <c r="G200" s="75">
        <f>$C200*INDEX(Curves!$AS$8:$AS$68,G$4-$B200+1)</f>
        <v/>
      </c>
      <c r="H200" s="75">
        <f>$C200*INDEX(Curves!$AS$8:$AS$68,H$4-$B200+1)</f>
        <v/>
      </c>
      <c r="I200" s="75">
        <f>$C200*INDEX(Curves!$AS$8:$AS$68,I$4-$B200+1)</f>
        <v/>
      </c>
      <c r="J200" s="75">
        <f>$C200*INDEX(Curves!$AS$8:$AS$68,J$4-$B200+1)</f>
        <v/>
      </c>
      <c r="K200" s="75">
        <f>$C200*INDEX(Curves!$AS$8:$AS$68,K$4-$B200+1)</f>
        <v/>
      </c>
      <c r="L200" s="75">
        <f>$C200*INDEX(Curves!$AS$8:$AS$68,L$4-$B200+1)</f>
        <v/>
      </c>
      <c r="M200" s="75">
        <f>$C200*INDEX(Curves!$AS$8:$AS$68,M$4-$B200+1)</f>
        <v/>
      </c>
      <c r="N200" s="75">
        <f>$C200*INDEX(Curves!$AS$8:$AS$68,N$4-$B200+1)</f>
        <v/>
      </c>
      <c r="O200" s="75">
        <f>$C200*INDEX(Curves!$AS$8:$AS$68,O$4-$B200+1)</f>
        <v/>
      </c>
      <c r="P200" s="75">
        <f>$C200*INDEX(Curves!$AS$8:$AS$68,P$4-$B200+1)</f>
        <v/>
      </c>
      <c r="Q200" s="75">
        <f>$C200*INDEX(Curves!$AS$8:$AS$68,Q$4-$B200+1)</f>
        <v/>
      </c>
      <c r="R200" s="75">
        <f>$C200*INDEX(Curves!$AS$8:$AS$68,R$4-$B200+1)</f>
        <v/>
      </c>
      <c r="S200" s="75">
        <f>$C200*INDEX(Curves!$AS$8:$AS$68,S$4-$B200+1)</f>
        <v/>
      </c>
      <c r="T200" s="75">
        <f>$C200*INDEX(Curves!$AS$8:$AS$68,T$4-$B200+1)</f>
        <v/>
      </c>
      <c r="U200" s="75">
        <f>$C200*INDEX(Curves!$AS$8:$AS$68,U$4-$B200+1)</f>
        <v/>
      </c>
      <c r="V200" s="75">
        <f>$C200*INDEX(Curves!$AS$8:$AS$68,V$4-$B200+1)</f>
        <v/>
      </c>
      <c r="W200" s="75">
        <f>$C200*INDEX(Curves!$AS$8:$AS$68,W$4-$B200+1)</f>
        <v/>
      </c>
      <c r="X200" s="75">
        <f>$C200*INDEX(Curves!$AS$8:$AS$68,X$4-$B200+1)</f>
        <v/>
      </c>
      <c r="Y200" s="75">
        <f>$C200*INDEX(Curves!$AS$8:$AS$68,Y$4-$B200+1)</f>
        <v/>
      </c>
      <c r="Z200" s="75">
        <f>$C200*INDEX(Curves!$AS$8:$AS$68,Z$4-$B200+1)</f>
        <v/>
      </c>
      <c r="AA200" s="75">
        <f>$C200*INDEX(Curves!$AS$8:$AS$68,AA$4-$B200+1)</f>
        <v/>
      </c>
      <c r="AB200" s="75">
        <f>$C200*INDEX(Curves!$AS$8:$AS$68,AB$4-$B200+1)</f>
        <v/>
      </c>
      <c r="AC200" s="75">
        <f>$C200*INDEX(Curves!$AS$8:$AS$68,AC$4-$B200+1)</f>
        <v/>
      </c>
      <c r="AD200" s="75">
        <f>$C200*INDEX(Curves!$AS$8:$AS$68,AD$4-$B200+1)</f>
        <v/>
      </c>
      <c r="AE200" s="75">
        <f>$C200*INDEX(Curves!$AS$8:$AS$68,AE$4-$B200+1)</f>
        <v/>
      </c>
      <c r="AF200" s="75">
        <f>$C200*INDEX(Curves!$AS$8:$AS$68,AF$4-$B200+1)</f>
        <v/>
      </c>
      <c r="AG200" s="75">
        <f>$C200*INDEX(Curves!$AS$8:$AS$68,AG$4-$B200+1)</f>
        <v/>
      </c>
      <c r="AH200" s="75">
        <f>$C200*INDEX(Curves!$AS$8:$AS$68,AH$4-$B200+1)</f>
        <v/>
      </c>
      <c r="AI200" s="75">
        <f>$C200*INDEX(Curves!$AS$8:$AS$68,AI$4-$B200+1)</f>
        <v/>
      </c>
      <c r="AJ200" s="75">
        <f>$C200*INDEX(Curves!$AS$8:$AS$68,AJ$4-$B200+1)</f>
        <v/>
      </c>
      <c r="AK200" s="75">
        <f>$C200*INDEX(Curves!$AS$8:$AS$68,AK$4-$B200+1)</f>
        <v/>
      </c>
      <c r="AL200" s="75">
        <f>$C200*INDEX(Curves!$AS$8:$AS$68,AL$4-$B200+1)</f>
        <v/>
      </c>
      <c r="AM200" s="75">
        <f>$C200*INDEX(Curves!$AS$8:$AS$68,AM$4-$B200+1)</f>
        <v/>
      </c>
      <c r="AN200" s="75">
        <f>$C200*INDEX(Curves!$AS$8:$AS$68,AN$4-$B200+1)</f>
        <v/>
      </c>
      <c r="AO200" s="75">
        <f>$C200*INDEX(Curves!$AS$8:$AS$68,AO$4-$B200+1)</f>
        <v/>
      </c>
      <c r="AP200" s="75">
        <f>$C200*INDEX(Curves!$AS$8:$AS$68,AP$4-$B200+1)</f>
        <v/>
      </c>
      <c r="AQ200" s="75">
        <f>$C200*INDEX(Curves!$AS$8:$AS$68,AQ$4-$B200+1)</f>
        <v/>
      </c>
      <c r="AR200" s="75">
        <f>$C200*INDEX(Curves!$AS$8:$AS$68,AR$4-$B200+1)</f>
        <v/>
      </c>
      <c r="AS200" s="75">
        <f>$C200*INDEX(Curves!$AS$8:$AS$68,AS$4-$B200+1)</f>
        <v/>
      </c>
      <c r="AT200" s="75">
        <f>$C200*INDEX(Curves!$AS$8:$AS$68,AT$4-$B200+1)</f>
        <v/>
      </c>
      <c r="AU200" s="75">
        <f>$C200*INDEX(Curves!$AS$8:$AS$68,AU$4-$B200+1)</f>
        <v/>
      </c>
      <c r="AV200" s="75">
        <f>$C200*INDEX(Curves!$AS$8:$AS$68,AV$4-$B200+1)</f>
        <v/>
      </c>
      <c r="AW200" s="75">
        <f>$C200*INDEX(Curves!$AS$8:$AS$68,AW$4-$B200+1)</f>
        <v/>
      </c>
      <c r="AX200" s="75">
        <f>$C200*INDEX(Curves!$AS$8:$AS$68,AX$4-$B200+1)</f>
        <v/>
      </c>
      <c r="AY200" s="75">
        <f>$C200*INDEX(Curves!$AS$8:$AS$68,AY$4-$B200+1)</f>
        <v/>
      </c>
      <c r="AZ200" s="75">
        <f>$C200*INDEX(Curves!$AS$8:$AS$68,AZ$4-$B200+1)</f>
        <v/>
      </c>
      <c r="BA200" s="75">
        <f>$C200*INDEX(Curves!$AS$8:$AS$68,BA$4-$B200+1)</f>
        <v/>
      </c>
      <c r="BB200" s="75">
        <f>$C200*INDEX(Curves!$AS$8:$AS$68,BB$4-$B200+1)</f>
        <v/>
      </c>
      <c r="BC200" s="75">
        <f>$C200*INDEX(Curves!$AS$8:$AS$68,BC$4-$B200+1)</f>
        <v/>
      </c>
      <c r="BD200" s="75">
        <f>$C200*INDEX(Curves!$AS$8:$AS$68,BD$4-$B200+1)</f>
        <v/>
      </c>
      <c r="BE200" s="75">
        <f>$C200*INDEX(Curves!$AS$8:$AS$68,BE$4-$B200+1)</f>
        <v/>
      </c>
      <c r="BF200" s="75">
        <f>$C200*INDEX(Curves!$AS$8:$AS$68,BF$4-$B200+1)</f>
        <v/>
      </c>
      <c r="BG200" s="75">
        <f>$C200*INDEX(Curves!$AS$8:$AS$68,BG$4-$B200+1)</f>
        <v/>
      </c>
      <c r="BH200" s="75">
        <f>$C200*INDEX(Curves!$AS$8:$AS$68,BH$4-$B200+1)</f>
        <v/>
      </c>
      <c r="BI200" s="75">
        <f>$C200*INDEX(Curves!$AS$8:$AS$68,BI$4-$B200+1)</f>
        <v/>
      </c>
      <c r="BJ200" s="75">
        <f>$C200*INDEX(Curves!$AS$8:$AS$68,BJ$4-$B200+1)</f>
        <v/>
      </c>
      <c r="BK200" s="75">
        <f>$C200*INDEX(Curves!$AS$8:$AS$68,BK$4-$B200+1)</f>
        <v/>
      </c>
      <c r="BL200" s="75">
        <f>$C200*INDEX(Curves!$AS$8:$AS$68,BL$4-$B200+1)</f>
        <v/>
      </c>
    </row>
    <row r="201">
      <c r="A201" s="74" t="inlineStr">
        <is>
          <t>Cohort month 3</t>
        </is>
      </c>
      <c r="B201" s="74" t="n">
        <v>3</v>
      </c>
      <c r="C201" s="17">
        <f>INDEX(Ops!$E$85:$BL$85,1,$B201)</f>
        <v/>
      </c>
      <c r="H201" s="75">
        <f>$C201*INDEX(Curves!$AS$8:$AS$68,H$4-$B201+1)</f>
        <v/>
      </c>
      <c r="I201" s="75">
        <f>$C201*INDEX(Curves!$AS$8:$AS$68,I$4-$B201+1)</f>
        <v/>
      </c>
      <c r="J201" s="75">
        <f>$C201*INDEX(Curves!$AS$8:$AS$68,J$4-$B201+1)</f>
        <v/>
      </c>
      <c r="K201" s="75">
        <f>$C201*INDEX(Curves!$AS$8:$AS$68,K$4-$B201+1)</f>
        <v/>
      </c>
      <c r="L201" s="75">
        <f>$C201*INDEX(Curves!$AS$8:$AS$68,L$4-$B201+1)</f>
        <v/>
      </c>
      <c r="M201" s="75">
        <f>$C201*INDEX(Curves!$AS$8:$AS$68,M$4-$B201+1)</f>
        <v/>
      </c>
      <c r="N201" s="75">
        <f>$C201*INDEX(Curves!$AS$8:$AS$68,N$4-$B201+1)</f>
        <v/>
      </c>
      <c r="O201" s="75">
        <f>$C201*INDEX(Curves!$AS$8:$AS$68,O$4-$B201+1)</f>
        <v/>
      </c>
      <c r="P201" s="75">
        <f>$C201*INDEX(Curves!$AS$8:$AS$68,P$4-$B201+1)</f>
        <v/>
      </c>
      <c r="Q201" s="75">
        <f>$C201*INDEX(Curves!$AS$8:$AS$68,Q$4-$B201+1)</f>
        <v/>
      </c>
      <c r="R201" s="75">
        <f>$C201*INDEX(Curves!$AS$8:$AS$68,R$4-$B201+1)</f>
        <v/>
      </c>
      <c r="S201" s="75">
        <f>$C201*INDEX(Curves!$AS$8:$AS$68,S$4-$B201+1)</f>
        <v/>
      </c>
      <c r="T201" s="75">
        <f>$C201*INDEX(Curves!$AS$8:$AS$68,T$4-$B201+1)</f>
        <v/>
      </c>
      <c r="U201" s="75">
        <f>$C201*INDEX(Curves!$AS$8:$AS$68,U$4-$B201+1)</f>
        <v/>
      </c>
      <c r="V201" s="75">
        <f>$C201*INDEX(Curves!$AS$8:$AS$68,V$4-$B201+1)</f>
        <v/>
      </c>
      <c r="W201" s="75">
        <f>$C201*INDEX(Curves!$AS$8:$AS$68,W$4-$B201+1)</f>
        <v/>
      </c>
      <c r="X201" s="75">
        <f>$C201*INDEX(Curves!$AS$8:$AS$68,X$4-$B201+1)</f>
        <v/>
      </c>
      <c r="Y201" s="75">
        <f>$C201*INDEX(Curves!$AS$8:$AS$68,Y$4-$B201+1)</f>
        <v/>
      </c>
      <c r="Z201" s="75">
        <f>$C201*INDEX(Curves!$AS$8:$AS$68,Z$4-$B201+1)</f>
        <v/>
      </c>
      <c r="AA201" s="75">
        <f>$C201*INDEX(Curves!$AS$8:$AS$68,AA$4-$B201+1)</f>
        <v/>
      </c>
      <c r="AB201" s="75">
        <f>$C201*INDEX(Curves!$AS$8:$AS$68,AB$4-$B201+1)</f>
        <v/>
      </c>
      <c r="AC201" s="75">
        <f>$C201*INDEX(Curves!$AS$8:$AS$68,AC$4-$B201+1)</f>
        <v/>
      </c>
      <c r="AD201" s="75">
        <f>$C201*INDEX(Curves!$AS$8:$AS$68,AD$4-$B201+1)</f>
        <v/>
      </c>
      <c r="AE201" s="75">
        <f>$C201*INDEX(Curves!$AS$8:$AS$68,AE$4-$B201+1)</f>
        <v/>
      </c>
      <c r="AF201" s="75">
        <f>$C201*INDEX(Curves!$AS$8:$AS$68,AF$4-$B201+1)</f>
        <v/>
      </c>
      <c r="AG201" s="75">
        <f>$C201*INDEX(Curves!$AS$8:$AS$68,AG$4-$B201+1)</f>
        <v/>
      </c>
      <c r="AH201" s="75">
        <f>$C201*INDEX(Curves!$AS$8:$AS$68,AH$4-$B201+1)</f>
        <v/>
      </c>
      <c r="AI201" s="75">
        <f>$C201*INDEX(Curves!$AS$8:$AS$68,AI$4-$B201+1)</f>
        <v/>
      </c>
      <c r="AJ201" s="75">
        <f>$C201*INDEX(Curves!$AS$8:$AS$68,AJ$4-$B201+1)</f>
        <v/>
      </c>
      <c r="AK201" s="75">
        <f>$C201*INDEX(Curves!$AS$8:$AS$68,AK$4-$B201+1)</f>
        <v/>
      </c>
      <c r="AL201" s="75">
        <f>$C201*INDEX(Curves!$AS$8:$AS$68,AL$4-$B201+1)</f>
        <v/>
      </c>
      <c r="AM201" s="75">
        <f>$C201*INDEX(Curves!$AS$8:$AS$68,AM$4-$B201+1)</f>
        <v/>
      </c>
      <c r="AN201" s="75">
        <f>$C201*INDEX(Curves!$AS$8:$AS$68,AN$4-$B201+1)</f>
        <v/>
      </c>
      <c r="AO201" s="75">
        <f>$C201*INDEX(Curves!$AS$8:$AS$68,AO$4-$B201+1)</f>
        <v/>
      </c>
      <c r="AP201" s="75">
        <f>$C201*INDEX(Curves!$AS$8:$AS$68,AP$4-$B201+1)</f>
        <v/>
      </c>
      <c r="AQ201" s="75">
        <f>$C201*INDEX(Curves!$AS$8:$AS$68,AQ$4-$B201+1)</f>
        <v/>
      </c>
      <c r="AR201" s="75">
        <f>$C201*INDEX(Curves!$AS$8:$AS$68,AR$4-$B201+1)</f>
        <v/>
      </c>
      <c r="AS201" s="75">
        <f>$C201*INDEX(Curves!$AS$8:$AS$68,AS$4-$B201+1)</f>
        <v/>
      </c>
      <c r="AT201" s="75">
        <f>$C201*INDEX(Curves!$AS$8:$AS$68,AT$4-$B201+1)</f>
        <v/>
      </c>
      <c r="AU201" s="75">
        <f>$C201*INDEX(Curves!$AS$8:$AS$68,AU$4-$B201+1)</f>
        <v/>
      </c>
      <c r="AV201" s="75">
        <f>$C201*INDEX(Curves!$AS$8:$AS$68,AV$4-$B201+1)</f>
        <v/>
      </c>
      <c r="AW201" s="75">
        <f>$C201*INDEX(Curves!$AS$8:$AS$68,AW$4-$B201+1)</f>
        <v/>
      </c>
      <c r="AX201" s="75">
        <f>$C201*INDEX(Curves!$AS$8:$AS$68,AX$4-$B201+1)</f>
        <v/>
      </c>
      <c r="AY201" s="75">
        <f>$C201*INDEX(Curves!$AS$8:$AS$68,AY$4-$B201+1)</f>
        <v/>
      </c>
      <c r="AZ201" s="75">
        <f>$C201*INDEX(Curves!$AS$8:$AS$68,AZ$4-$B201+1)</f>
        <v/>
      </c>
      <c r="BA201" s="75">
        <f>$C201*INDEX(Curves!$AS$8:$AS$68,BA$4-$B201+1)</f>
        <v/>
      </c>
      <c r="BB201" s="75">
        <f>$C201*INDEX(Curves!$AS$8:$AS$68,BB$4-$B201+1)</f>
        <v/>
      </c>
      <c r="BC201" s="75">
        <f>$C201*INDEX(Curves!$AS$8:$AS$68,BC$4-$B201+1)</f>
        <v/>
      </c>
      <c r="BD201" s="75">
        <f>$C201*INDEX(Curves!$AS$8:$AS$68,BD$4-$B201+1)</f>
        <v/>
      </c>
      <c r="BE201" s="75">
        <f>$C201*INDEX(Curves!$AS$8:$AS$68,BE$4-$B201+1)</f>
        <v/>
      </c>
      <c r="BF201" s="75">
        <f>$C201*INDEX(Curves!$AS$8:$AS$68,BF$4-$B201+1)</f>
        <v/>
      </c>
      <c r="BG201" s="75">
        <f>$C201*INDEX(Curves!$AS$8:$AS$68,BG$4-$B201+1)</f>
        <v/>
      </c>
      <c r="BH201" s="75">
        <f>$C201*INDEX(Curves!$AS$8:$AS$68,BH$4-$B201+1)</f>
        <v/>
      </c>
      <c r="BI201" s="75">
        <f>$C201*INDEX(Curves!$AS$8:$AS$68,BI$4-$B201+1)</f>
        <v/>
      </c>
      <c r="BJ201" s="75">
        <f>$C201*INDEX(Curves!$AS$8:$AS$68,BJ$4-$B201+1)</f>
        <v/>
      </c>
      <c r="BK201" s="75">
        <f>$C201*INDEX(Curves!$AS$8:$AS$68,BK$4-$B201+1)</f>
        <v/>
      </c>
      <c r="BL201" s="75">
        <f>$C201*INDEX(Curves!$AS$8:$AS$68,BL$4-$B201+1)</f>
        <v/>
      </c>
    </row>
    <row r="202">
      <c r="A202" s="74" t="inlineStr">
        <is>
          <t>Cohort month 4</t>
        </is>
      </c>
      <c r="B202" s="74" t="n">
        <v>4</v>
      </c>
      <c r="C202" s="17">
        <f>INDEX(Ops!$E$85:$BL$85,1,$B202)</f>
        <v/>
      </c>
      <c r="I202" s="75">
        <f>$C202*INDEX(Curves!$AS$8:$AS$68,I$4-$B202+1)</f>
        <v/>
      </c>
      <c r="J202" s="75">
        <f>$C202*INDEX(Curves!$AS$8:$AS$68,J$4-$B202+1)</f>
        <v/>
      </c>
      <c r="K202" s="75">
        <f>$C202*INDEX(Curves!$AS$8:$AS$68,K$4-$B202+1)</f>
        <v/>
      </c>
      <c r="L202" s="75">
        <f>$C202*INDEX(Curves!$AS$8:$AS$68,L$4-$B202+1)</f>
        <v/>
      </c>
      <c r="M202" s="75">
        <f>$C202*INDEX(Curves!$AS$8:$AS$68,M$4-$B202+1)</f>
        <v/>
      </c>
      <c r="N202" s="75">
        <f>$C202*INDEX(Curves!$AS$8:$AS$68,N$4-$B202+1)</f>
        <v/>
      </c>
      <c r="O202" s="75">
        <f>$C202*INDEX(Curves!$AS$8:$AS$68,O$4-$B202+1)</f>
        <v/>
      </c>
      <c r="P202" s="75">
        <f>$C202*INDEX(Curves!$AS$8:$AS$68,P$4-$B202+1)</f>
        <v/>
      </c>
      <c r="Q202" s="75">
        <f>$C202*INDEX(Curves!$AS$8:$AS$68,Q$4-$B202+1)</f>
        <v/>
      </c>
      <c r="R202" s="75">
        <f>$C202*INDEX(Curves!$AS$8:$AS$68,R$4-$B202+1)</f>
        <v/>
      </c>
      <c r="S202" s="75">
        <f>$C202*INDEX(Curves!$AS$8:$AS$68,S$4-$B202+1)</f>
        <v/>
      </c>
      <c r="T202" s="75">
        <f>$C202*INDEX(Curves!$AS$8:$AS$68,T$4-$B202+1)</f>
        <v/>
      </c>
      <c r="U202" s="75">
        <f>$C202*INDEX(Curves!$AS$8:$AS$68,U$4-$B202+1)</f>
        <v/>
      </c>
      <c r="V202" s="75">
        <f>$C202*INDEX(Curves!$AS$8:$AS$68,V$4-$B202+1)</f>
        <v/>
      </c>
      <c r="W202" s="75">
        <f>$C202*INDEX(Curves!$AS$8:$AS$68,W$4-$B202+1)</f>
        <v/>
      </c>
      <c r="X202" s="75">
        <f>$C202*INDEX(Curves!$AS$8:$AS$68,X$4-$B202+1)</f>
        <v/>
      </c>
      <c r="Y202" s="75">
        <f>$C202*INDEX(Curves!$AS$8:$AS$68,Y$4-$B202+1)</f>
        <v/>
      </c>
      <c r="Z202" s="75">
        <f>$C202*INDEX(Curves!$AS$8:$AS$68,Z$4-$B202+1)</f>
        <v/>
      </c>
      <c r="AA202" s="75">
        <f>$C202*INDEX(Curves!$AS$8:$AS$68,AA$4-$B202+1)</f>
        <v/>
      </c>
      <c r="AB202" s="75">
        <f>$C202*INDEX(Curves!$AS$8:$AS$68,AB$4-$B202+1)</f>
        <v/>
      </c>
      <c r="AC202" s="75">
        <f>$C202*INDEX(Curves!$AS$8:$AS$68,AC$4-$B202+1)</f>
        <v/>
      </c>
      <c r="AD202" s="75">
        <f>$C202*INDEX(Curves!$AS$8:$AS$68,AD$4-$B202+1)</f>
        <v/>
      </c>
      <c r="AE202" s="75">
        <f>$C202*INDEX(Curves!$AS$8:$AS$68,AE$4-$B202+1)</f>
        <v/>
      </c>
      <c r="AF202" s="75">
        <f>$C202*INDEX(Curves!$AS$8:$AS$68,AF$4-$B202+1)</f>
        <v/>
      </c>
      <c r="AG202" s="75">
        <f>$C202*INDEX(Curves!$AS$8:$AS$68,AG$4-$B202+1)</f>
        <v/>
      </c>
      <c r="AH202" s="75">
        <f>$C202*INDEX(Curves!$AS$8:$AS$68,AH$4-$B202+1)</f>
        <v/>
      </c>
      <c r="AI202" s="75">
        <f>$C202*INDEX(Curves!$AS$8:$AS$68,AI$4-$B202+1)</f>
        <v/>
      </c>
      <c r="AJ202" s="75">
        <f>$C202*INDEX(Curves!$AS$8:$AS$68,AJ$4-$B202+1)</f>
        <v/>
      </c>
      <c r="AK202" s="75">
        <f>$C202*INDEX(Curves!$AS$8:$AS$68,AK$4-$B202+1)</f>
        <v/>
      </c>
      <c r="AL202" s="75">
        <f>$C202*INDEX(Curves!$AS$8:$AS$68,AL$4-$B202+1)</f>
        <v/>
      </c>
      <c r="AM202" s="75">
        <f>$C202*INDEX(Curves!$AS$8:$AS$68,AM$4-$B202+1)</f>
        <v/>
      </c>
      <c r="AN202" s="75">
        <f>$C202*INDEX(Curves!$AS$8:$AS$68,AN$4-$B202+1)</f>
        <v/>
      </c>
      <c r="AO202" s="75">
        <f>$C202*INDEX(Curves!$AS$8:$AS$68,AO$4-$B202+1)</f>
        <v/>
      </c>
      <c r="AP202" s="75">
        <f>$C202*INDEX(Curves!$AS$8:$AS$68,AP$4-$B202+1)</f>
        <v/>
      </c>
      <c r="AQ202" s="75">
        <f>$C202*INDEX(Curves!$AS$8:$AS$68,AQ$4-$B202+1)</f>
        <v/>
      </c>
      <c r="AR202" s="75">
        <f>$C202*INDEX(Curves!$AS$8:$AS$68,AR$4-$B202+1)</f>
        <v/>
      </c>
      <c r="AS202" s="75">
        <f>$C202*INDEX(Curves!$AS$8:$AS$68,AS$4-$B202+1)</f>
        <v/>
      </c>
      <c r="AT202" s="75">
        <f>$C202*INDEX(Curves!$AS$8:$AS$68,AT$4-$B202+1)</f>
        <v/>
      </c>
      <c r="AU202" s="75">
        <f>$C202*INDEX(Curves!$AS$8:$AS$68,AU$4-$B202+1)</f>
        <v/>
      </c>
      <c r="AV202" s="75">
        <f>$C202*INDEX(Curves!$AS$8:$AS$68,AV$4-$B202+1)</f>
        <v/>
      </c>
      <c r="AW202" s="75">
        <f>$C202*INDEX(Curves!$AS$8:$AS$68,AW$4-$B202+1)</f>
        <v/>
      </c>
      <c r="AX202" s="75">
        <f>$C202*INDEX(Curves!$AS$8:$AS$68,AX$4-$B202+1)</f>
        <v/>
      </c>
      <c r="AY202" s="75">
        <f>$C202*INDEX(Curves!$AS$8:$AS$68,AY$4-$B202+1)</f>
        <v/>
      </c>
      <c r="AZ202" s="75">
        <f>$C202*INDEX(Curves!$AS$8:$AS$68,AZ$4-$B202+1)</f>
        <v/>
      </c>
      <c r="BA202" s="75">
        <f>$C202*INDEX(Curves!$AS$8:$AS$68,BA$4-$B202+1)</f>
        <v/>
      </c>
      <c r="BB202" s="75">
        <f>$C202*INDEX(Curves!$AS$8:$AS$68,BB$4-$B202+1)</f>
        <v/>
      </c>
      <c r="BC202" s="75">
        <f>$C202*INDEX(Curves!$AS$8:$AS$68,BC$4-$B202+1)</f>
        <v/>
      </c>
      <c r="BD202" s="75">
        <f>$C202*INDEX(Curves!$AS$8:$AS$68,BD$4-$B202+1)</f>
        <v/>
      </c>
      <c r="BE202" s="75">
        <f>$C202*INDEX(Curves!$AS$8:$AS$68,BE$4-$B202+1)</f>
        <v/>
      </c>
      <c r="BF202" s="75">
        <f>$C202*INDEX(Curves!$AS$8:$AS$68,BF$4-$B202+1)</f>
        <v/>
      </c>
      <c r="BG202" s="75">
        <f>$C202*INDEX(Curves!$AS$8:$AS$68,BG$4-$B202+1)</f>
        <v/>
      </c>
      <c r="BH202" s="75">
        <f>$C202*INDEX(Curves!$AS$8:$AS$68,BH$4-$B202+1)</f>
        <v/>
      </c>
      <c r="BI202" s="75">
        <f>$C202*INDEX(Curves!$AS$8:$AS$68,BI$4-$B202+1)</f>
        <v/>
      </c>
      <c r="BJ202" s="75">
        <f>$C202*INDEX(Curves!$AS$8:$AS$68,BJ$4-$B202+1)</f>
        <v/>
      </c>
      <c r="BK202" s="75">
        <f>$C202*INDEX(Curves!$AS$8:$AS$68,BK$4-$B202+1)</f>
        <v/>
      </c>
      <c r="BL202" s="75">
        <f>$C202*INDEX(Curves!$AS$8:$AS$68,BL$4-$B202+1)</f>
        <v/>
      </c>
    </row>
    <row r="203">
      <c r="A203" s="74" t="inlineStr">
        <is>
          <t>Cohort month 5</t>
        </is>
      </c>
      <c r="B203" s="74" t="n">
        <v>5</v>
      </c>
      <c r="C203" s="17">
        <f>INDEX(Ops!$E$85:$BL$85,1,$B203)</f>
        <v/>
      </c>
      <c r="J203" s="75">
        <f>$C203*INDEX(Curves!$AS$8:$AS$68,J$4-$B203+1)</f>
        <v/>
      </c>
      <c r="K203" s="75">
        <f>$C203*INDEX(Curves!$AS$8:$AS$68,K$4-$B203+1)</f>
        <v/>
      </c>
      <c r="L203" s="75">
        <f>$C203*INDEX(Curves!$AS$8:$AS$68,L$4-$B203+1)</f>
        <v/>
      </c>
      <c r="M203" s="75">
        <f>$C203*INDEX(Curves!$AS$8:$AS$68,M$4-$B203+1)</f>
        <v/>
      </c>
      <c r="N203" s="75">
        <f>$C203*INDEX(Curves!$AS$8:$AS$68,N$4-$B203+1)</f>
        <v/>
      </c>
      <c r="O203" s="75">
        <f>$C203*INDEX(Curves!$AS$8:$AS$68,O$4-$B203+1)</f>
        <v/>
      </c>
      <c r="P203" s="75">
        <f>$C203*INDEX(Curves!$AS$8:$AS$68,P$4-$B203+1)</f>
        <v/>
      </c>
      <c r="Q203" s="75">
        <f>$C203*INDEX(Curves!$AS$8:$AS$68,Q$4-$B203+1)</f>
        <v/>
      </c>
      <c r="R203" s="75">
        <f>$C203*INDEX(Curves!$AS$8:$AS$68,R$4-$B203+1)</f>
        <v/>
      </c>
      <c r="S203" s="75">
        <f>$C203*INDEX(Curves!$AS$8:$AS$68,S$4-$B203+1)</f>
        <v/>
      </c>
      <c r="T203" s="75">
        <f>$C203*INDEX(Curves!$AS$8:$AS$68,T$4-$B203+1)</f>
        <v/>
      </c>
      <c r="U203" s="75">
        <f>$C203*INDEX(Curves!$AS$8:$AS$68,U$4-$B203+1)</f>
        <v/>
      </c>
      <c r="V203" s="75">
        <f>$C203*INDEX(Curves!$AS$8:$AS$68,V$4-$B203+1)</f>
        <v/>
      </c>
      <c r="W203" s="75">
        <f>$C203*INDEX(Curves!$AS$8:$AS$68,W$4-$B203+1)</f>
        <v/>
      </c>
      <c r="X203" s="75">
        <f>$C203*INDEX(Curves!$AS$8:$AS$68,X$4-$B203+1)</f>
        <v/>
      </c>
      <c r="Y203" s="75">
        <f>$C203*INDEX(Curves!$AS$8:$AS$68,Y$4-$B203+1)</f>
        <v/>
      </c>
      <c r="Z203" s="75">
        <f>$C203*INDEX(Curves!$AS$8:$AS$68,Z$4-$B203+1)</f>
        <v/>
      </c>
      <c r="AA203" s="75">
        <f>$C203*INDEX(Curves!$AS$8:$AS$68,AA$4-$B203+1)</f>
        <v/>
      </c>
      <c r="AB203" s="75">
        <f>$C203*INDEX(Curves!$AS$8:$AS$68,AB$4-$B203+1)</f>
        <v/>
      </c>
      <c r="AC203" s="75">
        <f>$C203*INDEX(Curves!$AS$8:$AS$68,AC$4-$B203+1)</f>
        <v/>
      </c>
      <c r="AD203" s="75">
        <f>$C203*INDEX(Curves!$AS$8:$AS$68,AD$4-$B203+1)</f>
        <v/>
      </c>
      <c r="AE203" s="75">
        <f>$C203*INDEX(Curves!$AS$8:$AS$68,AE$4-$B203+1)</f>
        <v/>
      </c>
      <c r="AF203" s="75">
        <f>$C203*INDEX(Curves!$AS$8:$AS$68,AF$4-$B203+1)</f>
        <v/>
      </c>
      <c r="AG203" s="75">
        <f>$C203*INDEX(Curves!$AS$8:$AS$68,AG$4-$B203+1)</f>
        <v/>
      </c>
      <c r="AH203" s="75">
        <f>$C203*INDEX(Curves!$AS$8:$AS$68,AH$4-$B203+1)</f>
        <v/>
      </c>
      <c r="AI203" s="75">
        <f>$C203*INDEX(Curves!$AS$8:$AS$68,AI$4-$B203+1)</f>
        <v/>
      </c>
      <c r="AJ203" s="75">
        <f>$C203*INDEX(Curves!$AS$8:$AS$68,AJ$4-$B203+1)</f>
        <v/>
      </c>
      <c r="AK203" s="75">
        <f>$C203*INDEX(Curves!$AS$8:$AS$68,AK$4-$B203+1)</f>
        <v/>
      </c>
      <c r="AL203" s="75">
        <f>$C203*INDEX(Curves!$AS$8:$AS$68,AL$4-$B203+1)</f>
        <v/>
      </c>
      <c r="AM203" s="75">
        <f>$C203*INDEX(Curves!$AS$8:$AS$68,AM$4-$B203+1)</f>
        <v/>
      </c>
      <c r="AN203" s="75">
        <f>$C203*INDEX(Curves!$AS$8:$AS$68,AN$4-$B203+1)</f>
        <v/>
      </c>
      <c r="AO203" s="75">
        <f>$C203*INDEX(Curves!$AS$8:$AS$68,AO$4-$B203+1)</f>
        <v/>
      </c>
      <c r="AP203" s="75">
        <f>$C203*INDEX(Curves!$AS$8:$AS$68,AP$4-$B203+1)</f>
        <v/>
      </c>
      <c r="AQ203" s="75">
        <f>$C203*INDEX(Curves!$AS$8:$AS$68,AQ$4-$B203+1)</f>
        <v/>
      </c>
      <c r="AR203" s="75">
        <f>$C203*INDEX(Curves!$AS$8:$AS$68,AR$4-$B203+1)</f>
        <v/>
      </c>
      <c r="AS203" s="75">
        <f>$C203*INDEX(Curves!$AS$8:$AS$68,AS$4-$B203+1)</f>
        <v/>
      </c>
      <c r="AT203" s="75">
        <f>$C203*INDEX(Curves!$AS$8:$AS$68,AT$4-$B203+1)</f>
        <v/>
      </c>
      <c r="AU203" s="75">
        <f>$C203*INDEX(Curves!$AS$8:$AS$68,AU$4-$B203+1)</f>
        <v/>
      </c>
      <c r="AV203" s="75">
        <f>$C203*INDEX(Curves!$AS$8:$AS$68,AV$4-$B203+1)</f>
        <v/>
      </c>
      <c r="AW203" s="75">
        <f>$C203*INDEX(Curves!$AS$8:$AS$68,AW$4-$B203+1)</f>
        <v/>
      </c>
      <c r="AX203" s="75">
        <f>$C203*INDEX(Curves!$AS$8:$AS$68,AX$4-$B203+1)</f>
        <v/>
      </c>
      <c r="AY203" s="75">
        <f>$C203*INDEX(Curves!$AS$8:$AS$68,AY$4-$B203+1)</f>
        <v/>
      </c>
      <c r="AZ203" s="75">
        <f>$C203*INDEX(Curves!$AS$8:$AS$68,AZ$4-$B203+1)</f>
        <v/>
      </c>
      <c r="BA203" s="75">
        <f>$C203*INDEX(Curves!$AS$8:$AS$68,BA$4-$B203+1)</f>
        <v/>
      </c>
      <c r="BB203" s="75">
        <f>$C203*INDEX(Curves!$AS$8:$AS$68,BB$4-$B203+1)</f>
        <v/>
      </c>
      <c r="BC203" s="75">
        <f>$C203*INDEX(Curves!$AS$8:$AS$68,BC$4-$B203+1)</f>
        <v/>
      </c>
      <c r="BD203" s="75">
        <f>$C203*INDEX(Curves!$AS$8:$AS$68,BD$4-$B203+1)</f>
        <v/>
      </c>
      <c r="BE203" s="75">
        <f>$C203*INDEX(Curves!$AS$8:$AS$68,BE$4-$B203+1)</f>
        <v/>
      </c>
      <c r="BF203" s="75">
        <f>$C203*INDEX(Curves!$AS$8:$AS$68,BF$4-$B203+1)</f>
        <v/>
      </c>
      <c r="BG203" s="75">
        <f>$C203*INDEX(Curves!$AS$8:$AS$68,BG$4-$B203+1)</f>
        <v/>
      </c>
      <c r="BH203" s="75">
        <f>$C203*INDEX(Curves!$AS$8:$AS$68,BH$4-$B203+1)</f>
        <v/>
      </c>
      <c r="BI203" s="75">
        <f>$C203*INDEX(Curves!$AS$8:$AS$68,BI$4-$B203+1)</f>
        <v/>
      </c>
      <c r="BJ203" s="75">
        <f>$C203*INDEX(Curves!$AS$8:$AS$68,BJ$4-$B203+1)</f>
        <v/>
      </c>
      <c r="BK203" s="75">
        <f>$C203*INDEX(Curves!$AS$8:$AS$68,BK$4-$B203+1)</f>
        <v/>
      </c>
      <c r="BL203" s="75">
        <f>$C203*INDEX(Curves!$AS$8:$AS$68,BL$4-$B203+1)</f>
        <v/>
      </c>
    </row>
    <row r="204">
      <c r="A204" s="74" t="inlineStr">
        <is>
          <t>Cohort month 6</t>
        </is>
      </c>
      <c r="B204" s="74" t="n">
        <v>6</v>
      </c>
      <c r="C204" s="17">
        <f>INDEX(Ops!$E$85:$BL$85,1,$B204)</f>
        <v/>
      </c>
      <c r="K204" s="75">
        <f>$C204*INDEX(Curves!$AS$8:$AS$68,K$4-$B204+1)</f>
        <v/>
      </c>
      <c r="L204" s="75">
        <f>$C204*INDEX(Curves!$AS$8:$AS$68,L$4-$B204+1)</f>
        <v/>
      </c>
      <c r="M204" s="75">
        <f>$C204*INDEX(Curves!$AS$8:$AS$68,M$4-$B204+1)</f>
        <v/>
      </c>
      <c r="N204" s="75">
        <f>$C204*INDEX(Curves!$AS$8:$AS$68,N$4-$B204+1)</f>
        <v/>
      </c>
      <c r="O204" s="75">
        <f>$C204*INDEX(Curves!$AS$8:$AS$68,O$4-$B204+1)</f>
        <v/>
      </c>
      <c r="P204" s="75">
        <f>$C204*INDEX(Curves!$AS$8:$AS$68,P$4-$B204+1)</f>
        <v/>
      </c>
      <c r="Q204" s="75">
        <f>$C204*INDEX(Curves!$AS$8:$AS$68,Q$4-$B204+1)</f>
        <v/>
      </c>
      <c r="R204" s="75">
        <f>$C204*INDEX(Curves!$AS$8:$AS$68,R$4-$B204+1)</f>
        <v/>
      </c>
      <c r="S204" s="75">
        <f>$C204*INDEX(Curves!$AS$8:$AS$68,S$4-$B204+1)</f>
        <v/>
      </c>
      <c r="T204" s="75">
        <f>$C204*INDEX(Curves!$AS$8:$AS$68,T$4-$B204+1)</f>
        <v/>
      </c>
      <c r="U204" s="75">
        <f>$C204*INDEX(Curves!$AS$8:$AS$68,U$4-$B204+1)</f>
        <v/>
      </c>
      <c r="V204" s="75">
        <f>$C204*INDEX(Curves!$AS$8:$AS$68,V$4-$B204+1)</f>
        <v/>
      </c>
      <c r="W204" s="75">
        <f>$C204*INDEX(Curves!$AS$8:$AS$68,W$4-$B204+1)</f>
        <v/>
      </c>
      <c r="X204" s="75">
        <f>$C204*INDEX(Curves!$AS$8:$AS$68,X$4-$B204+1)</f>
        <v/>
      </c>
      <c r="Y204" s="75">
        <f>$C204*INDEX(Curves!$AS$8:$AS$68,Y$4-$B204+1)</f>
        <v/>
      </c>
      <c r="Z204" s="75">
        <f>$C204*INDEX(Curves!$AS$8:$AS$68,Z$4-$B204+1)</f>
        <v/>
      </c>
      <c r="AA204" s="75">
        <f>$C204*INDEX(Curves!$AS$8:$AS$68,AA$4-$B204+1)</f>
        <v/>
      </c>
      <c r="AB204" s="75">
        <f>$C204*INDEX(Curves!$AS$8:$AS$68,AB$4-$B204+1)</f>
        <v/>
      </c>
      <c r="AC204" s="75">
        <f>$C204*INDEX(Curves!$AS$8:$AS$68,AC$4-$B204+1)</f>
        <v/>
      </c>
      <c r="AD204" s="75">
        <f>$C204*INDEX(Curves!$AS$8:$AS$68,AD$4-$B204+1)</f>
        <v/>
      </c>
      <c r="AE204" s="75">
        <f>$C204*INDEX(Curves!$AS$8:$AS$68,AE$4-$B204+1)</f>
        <v/>
      </c>
      <c r="AF204" s="75">
        <f>$C204*INDEX(Curves!$AS$8:$AS$68,AF$4-$B204+1)</f>
        <v/>
      </c>
      <c r="AG204" s="75">
        <f>$C204*INDEX(Curves!$AS$8:$AS$68,AG$4-$B204+1)</f>
        <v/>
      </c>
      <c r="AH204" s="75">
        <f>$C204*INDEX(Curves!$AS$8:$AS$68,AH$4-$B204+1)</f>
        <v/>
      </c>
      <c r="AI204" s="75">
        <f>$C204*INDEX(Curves!$AS$8:$AS$68,AI$4-$B204+1)</f>
        <v/>
      </c>
      <c r="AJ204" s="75">
        <f>$C204*INDEX(Curves!$AS$8:$AS$68,AJ$4-$B204+1)</f>
        <v/>
      </c>
      <c r="AK204" s="75">
        <f>$C204*INDEX(Curves!$AS$8:$AS$68,AK$4-$B204+1)</f>
        <v/>
      </c>
      <c r="AL204" s="75">
        <f>$C204*INDEX(Curves!$AS$8:$AS$68,AL$4-$B204+1)</f>
        <v/>
      </c>
      <c r="AM204" s="75">
        <f>$C204*INDEX(Curves!$AS$8:$AS$68,AM$4-$B204+1)</f>
        <v/>
      </c>
      <c r="AN204" s="75">
        <f>$C204*INDEX(Curves!$AS$8:$AS$68,AN$4-$B204+1)</f>
        <v/>
      </c>
      <c r="AO204" s="75">
        <f>$C204*INDEX(Curves!$AS$8:$AS$68,AO$4-$B204+1)</f>
        <v/>
      </c>
      <c r="AP204" s="75">
        <f>$C204*INDEX(Curves!$AS$8:$AS$68,AP$4-$B204+1)</f>
        <v/>
      </c>
      <c r="AQ204" s="75">
        <f>$C204*INDEX(Curves!$AS$8:$AS$68,AQ$4-$B204+1)</f>
        <v/>
      </c>
      <c r="AR204" s="75">
        <f>$C204*INDEX(Curves!$AS$8:$AS$68,AR$4-$B204+1)</f>
        <v/>
      </c>
      <c r="AS204" s="75">
        <f>$C204*INDEX(Curves!$AS$8:$AS$68,AS$4-$B204+1)</f>
        <v/>
      </c>
      <c r="AT204" s="75">
        <f>$C204*INDEX(Curves!$AS$8:$AS$68,AT$4-$B204+1)</f>
        <v/>
      </c>
      <c r="AU204" s="75">
        <f>$C204*INDEX(Curves!$AS$8:$AS$68,AU$4-$B204+1)</f>
        <v/>
      </c>
      <c r="AV204" s="75">
        <f>$C204*INDEX(Curves!$AS$8:$AS$68,AV$4-$B204+1)</f>
        <v/>
      </c>
      <c r="AW204" s="75">
        <f>$C204*INDEX(Curves!$AS$8:$AS$68,AW$4-$B204+1)</f>
        <v/>
      </c>
      <c r="AX204" s="75">
        <f>$C204*INDEX(Curves!$AS$8:$AS$68,AX$4-$B204+1)</f>
        <v/>
      </c>
      <c r="AY204" s="75">
        <f>$C204*INDEX(Curves!$AS$8:$AS$68,AY$4-$B204+1)</f>
        <v/>
      </c>
      <c r="AZ204" s="75">
        <f>$C204*INDEX(Curves!$AS$8:$AS$68,AZ$4-$B204+1)</f>
        <v/>
      </c>
      <c r="BA204" s="75">
        <f>$C204*INDEX(Curves!$AS$8:$AS$68,BA$4-$B204+1)</f>
        <v/>
      </c>
      <c r="BB204" s="75">
        <f>$C204*INDEX(Curves!$AS$8:$AS$68,BB$4-$B204+1)</f>
        <v/>
      </c>
      <c r="BC204" s="75">
        <f>$C204*INDEX(Curves!$AS$8:$AS$68,BC$4-$B204+1)</f>
        <v/>
      </c>
      <c r="BD204" s="75">
        <f>$C204*INDEX(Curves!$AS$8:$AS$68,BD$4-$B204+1)</f>
        <v/>
      </c>
      <c r="BE204" s="75">
        <f>$C204*INDEX(Curves!$AS$8:$AS$68,BE$4-$B204+1)</f>
        <v/>
      </c>
      <c r="BF204" s="75">
        <f>$C204*INDEX(Curves!$AS$8:$AS$68,BF$4-$B204+1)</f>
        <v/>
      </c>
      <c r="BG204" s="75">
        <f>$C204*INDEX(Curves!$AS$8:$AS$68,BG$4-$B204+1)</f>
        <v/>
      </c>
      <c r="BH204" s="75">
        <f>$C204*INDEX(Curves!$AS$8:$AS$68,BH$4-$B204+1)</f>
        <v/>
      </c>
      <c r="BI204" s="75">
        <f>$C204*INDEX(Curves!$AS$8:$AS$68,BI$4-$B204+1)</f>
        <v/>
      </c>
      <c r="BJ204" s="75">
        <f>$C204*INDEX(Curves!$AS$8:$AS$68,BJ$4-$B204+1)</f>
        <v/>
      </c>
      <c r="BK204" s="75">
        <f>$C204*INDEX(Curves!$AS$8:$AS$68,BK$4-$B204+1)</f>
        <v/>
      </c>
      <c r="BL204" s="75">
        <f>$C204*INDEX(Curves!$AS$8:$AS$68,BL$4-$B204+1)</f>
        <v/>
      </c>
    </row>
    <row r="205">
      <c r="A205" s="74" t="inlineStr">
        <is>
          <t>Cohort month 7</t>
        </is>
      </c>
      <c r="B205" s="74" t="n">
        <v>7</v>
      </c>
      <c r="C205" s="17">
        <f>INDEX(Ops!$E$85:$BL$85,1,$B205)</f>
        <v/>
      </c>
      <c r="L205" s="75">
        <f>$C205*INDEX(Curves!$AS$8:$AS$68,L$4-$B205+1)</f>
        <v/>
      </c>
      <c r="M205" s="75">
        <f>$C205*INDEX(Curves!$AS$8:$AS$68,M$4-$B205+1)</f>
        <v/>
      </c>
      <c r="N205" s="75">
        <f>$C205*INDEX(Curves!$AS$8:$AS$68,N$4-$B205+1)</f>
        <v/>
      </c>
      <c r="O205" s="75">
        <f>$C205*INDEX(Curves!$AS$8:$AS$68,O$4-$B205+1)</f>
        <v/>
      </c>
      <c r="P205" s="75">
        <f>$C205*INDEX(Curves!$AS$8:$AS$68,P$4-$B205+1)</f>
        <v/>
      </c>
      <c r="Q205" s="75">
        <f>$C205*INDEX(Curves!$AS$8:$AS$68,Q$4-$B205+1)</f>
        <v/>
      </c>
      <c r="R205" s="75">
        <f>$C205*INDEX(Curves!$AS$8:$AS$68,R$4-$B205+1)</f>
        <v/>
      </c>
      <c r="S205" s="75">
        <f>$C205*INDEX(Curves!$AS$8:$AS$68,S$4-$B205+1)</f>
        <v/>
      </c>
      <c r="T205" s="75">
        <f>$C205*INDEX(Curves!$AS$8:$AS$68,T$4-$B205+1)</f>
        <v/>
      </c>
      <c r="U205" s="75">
        <f>$C205*INDEX(Curves!$AS$8:$AS$68,U$4-$B205+1)</f>
        <v/>
      </c>
      <c r="V205" s="75">
        <f>$C205*INDEX(Curves!$AS$8:$AS$68,V$4-$B205+1)</f>
        <v/>
      </c>
      <c r="W205" s="75">
        <f>$C205*INDEX(Curves!$AS$8:$AS$68,W$4-$B205+1)</f>
        <v/>
      </c>
      <c r="X205" s="75">
        <f>$C205*INDEX(Curves!$AS$8:$AS$68,X$4-$B205+1)</f>
        <v/>
      </c>
      <c r="Y205" s="75">
        <f>$C205*INDEX(Curves!$AS$8:$AS$68,Y$4-$B205+1)</f>
        <v/>
      </c>
      <c r="Z205" s="75">
        <f>$C205*INDEX(Curves!$AS$8:$AS$68,Z$4-$B205+1)</f>
        <v/>
      </c>
      <c r="AA205" s="75">
        <f>$C205*INDEX(Curves!$AS$8:$AS$68,AA$4-$B205+1)</f>
        <v/>
      </c>
      <c r="AB205" s="75">
        <f>$C205*INDEX(Curves!$AS$8:$AS$68,AB$4-$B205+1)</f>
        <v/>
      </c>
      <c r="AC205" s="75">
        <f>$C205*INDEX(Curves!$AS$8:$AS$68,AC$4-$B205+1)</f>
        <v/>
      </c>
      <c r="AD205" s="75">
        <f>$C205*INDEX(Curves!$AS$8:$AS$68,AD$4-$B205+1)</f>
        <v/>
      </c>
      <c r="AE205" s="75">
        <f>$C205*INDEX(Curves!$AS$8:$AS$68,AE$4-$B205+1)</f>
        <v/>
      </c>
      <c r="AF205" s="75">
        <f>$C205*INDEX(Curves!$AS$8:$AS$68,AF$4-$B205+1)</f>
        <v/>
      </c>
      <c r="AG205" s="75">
        <f>$C205*INDEX(Curves!$AS$8:$AS$68,AG$4-$B205+1)</f>
        <v/>
      </c>
      <c r="AH205" s="75">
        <f>$C205*INDEX(Curves!$AS$8:$AS$68,AH$4-$B205+1)</f>
        <v/>
      </c>
      <c r="AI205" s="75">
        <f>$C205*INDEX(Curves!$AS$8:$AS$68,AI$4-$B205+1)</f>
        <v/>
      </c>
      <c r="AJ205" s="75">
        <f>$C205*INDEX(Curves!$AS$8:$AS$68,AJ$4-$B205+1)</f>
        <v/>
      </c>
      <c r="AK205" s="75">
        <f>$C205*INDEX(Curves!$AS$8:$AS$68,AK$4-$B205+1)</f>
        <v/>
      </c>
      <c r="AL205" s="75">
        <f>$C205*INDEX(Curves!$AS$8:$AS$68,AL$4-$B205+1)</f>
        <v/>
      </c>
      <c r="AM205" s="75">
        <f>$C205*INDEX(Curves!$AS$8:$AS$68,AM$4-$B205+1)</f>
        <v/>
      </c>
      <c r="AN205" s="75">
        <f>$C205*INDEX(Curves!$AS$8:$AS$68,AN$4-$B205+1)</f>
        <v/>
      </c>
      <c r="AO205" s="75">
        <f>$C205*INDEX(Curves!$AS$8:$AS$68,AO$4-$B205+1)</f>
        <v/>
      </c>
      <c r="AP205" s="75">
        <f>$C205*INDEX(Curves!$AS$8:$AS$68,AP$4-$B205+1)</f>
        <v/>
      </c>
      <c r="AQ205" s="75">
        <f>$C205*INDEX(Curves!$AS$8:$AS$68,AQ$4-$B205+1)</f>
        <v/>
      </c>
      <c r="AR205" s="75">
        <f>$C205*INDEX(Curves!$AS$8:$AS$68,AR$4-$B205+1)</f>
        <v/>
      </c>
      <c r="AS205" s="75">
        <f>$C205*INDEX(Curves!$AS$8:$AS$68,AS$4-$B205+1)</f>
        <v/>
      </c>
      <c r="AT205" s="75">
        <f>$C205*INDEX(Curves!$AS$8:$AS$68,AT$4-$B205+1)</f>
        <v/>
      </c>
      <c r="AU205" s="75">
        <f>$C205*INDEX(Curves!$AS$8:$AS$68,AU$4-$B205+1)</f>
        <v/>
      </c>
      <c r="AV205" s="75">
        <f>$C205*INDEX(Curves!$AS$8:$AS$68,AV$4-$B205+1)</f>
        <v/>
      </c>
      <c r="AW205" s="75">
        <f>$C205*INDEX(Curves!$AS$8:$AS$68,AW$4-$B205+1)</f>
        <v/>
      </c>
      <c r="AX205" s="75">
        <f>$C205*INDEX(Curves!$AS$8:$AS$68,AX$4-$B205+1)</f>
        <v/>
      </c>
      <c r="AY205" s="75">
        <f>$C205*INDEX(Curves!$AS$8:$AS$68,AY$4-$B205+1)</f>
        <v/>
      </c>
      <c r="AZ205" s="75">
        <f>$C205*INDEX(Curves!$AS$8:$AS$68,AZ$4-$B205+1)</f>
        <v/>
      </c>
      <c r="BA205" s="75">
        <f>$C205*INDEX(Curves!$AS$8:$AS$68,BA$4-$B205+1)</f>
        <v/>
      </c>
      <c r="BB205" s="75">
        <f>$C205*INDEX(Curves!$AS$8:$AS$68,BB$4-$B205+1)</f>
        <v/>
      </c>
      <c r="BC205" s="75">
        <f>$C205*INDEX(Curves!$AS$8:$AS$68,BC$4-$B205+1)</f>
        <v/>
      </c>
      <c r="BD205" s="75">
        <f>$C205*INDEX(Curves!$AS$8:$AS$68,BD$4-$B205+1)</f>
        <v/>
      </c>
      <c r="BE205" s="75">
        <f>$C205*INDEX(Curves!$AS$8:$AS$68,BE$4-$B205+1)</f>
        <v/>
      </c>
      <c r="BF205" s="75">
        <f>$C205*INDEX(Curves!$AS$8:$AS$68,BF$4-$B205+1)</f>
        <v/>
      </c>
      <c r="BG205" s="75">
        <f>$C205*INDEX(Curves!$AS$8:$AS$68,BG$4-$B205+1)</f>
        <v/>
      </c>
      <c r="BH205" s="75">
        <f>$C205*INDEX(Curves!$AS$8:$AS$68,BH$4-$B205+1)</f>
        <v/>
      </c>
      <c r="BI205" s="75">
        <f>$C205*INDEX(Curves!$AS$8:$AS$68,BI$4-$B205+1)</f>
        <v/>
      </c>
      <c r="BJ205" s="75">
        <f>$C205*INDEX(Curves!$AS$8:$AS$68,BJ$4-$B205+1)</f>
        <v/>
      </c>
      <c r="BK205" s="75">
        <f>$C205*INDEX(Curves!$AS$8:$AS$68,BK$4-$B205+1)</f>
        <v/>
      </c>
      <c r="BL205" s="75">
        <f>$C205*INDEX(Curves!$AS$8:$AS$68,BL$4-$B205+1)</f>
        <v/>
      </c>
    </row>
    <row r="206">
      <c r="A206" s="74" t="inlineStr">
        <is>
          <t>Cohort month 8</t>
        </is>
      </c>
      <c r="B206" s="74" t="n">
        <v>8</v>
      </c>
      <c r="C206" s="17">
        <f>INDEX(Ops!$E$85:$BL$85,1,$B206)</f>
        <v/>
      </c>
      <c r="M206" s="75">
        <f>$C206*INDEX(Curves!$AS$8:$AS$68,M$4-$B206+1)</f>
        <v/>
      </c>
      <c r="N206" s="75">
        <f>$C206*INDEX(Curves!$AS$8:$AS$68,N$4-$B206+1)</f>
        <v/>
      </c>
      <c r="O206" s="75">
        <f>$C206*INDEX(Curves!$AS$8:$AS$68,O$4-$B206+1)</f>
        <v/>
      </c>
      <c r="P206" s="75">
        <f>$C206*INDEX(Curves!$AS$8:$AS$68,P$4-$B206+1)</f>
        <v/>
      </c>
      <c r="Q206" s="75">
        <f>$C206*INDEX(Curves!$AS$8:$AS$68,Q$4-$B206+1)</f>
        <v/>
      </c>
      <c r="R206" s="75">
        <f>$C206*INDEX(Curves!$AS$8:$AS$68,R$4-$B206+1)</f>
        <v/>
      </c>
      <c r="S206" s="75">
        <f>$C206*INDEX(Curves!$AS$8:$AS$68,S$4-$B206+1)</f>
        <v/>
      </c>
      <c r="T206" s="75">
        <f>$C206*INDEX(Curves!$AS$8:$AS$68,T$4-$B206+1)</f>
        <v/>
      </c>
      <c r="U206" s="75">
        <f>$C206*INDEX(Curves!$AS$8:$AS$68,U$4-$B206+1)</f>
        <v/>
      </c>
      <c r="V206" s="75">
        <f>$C206*INDEX(Curves!$AS$8:$AS$68,V$4-$B206+1)</f>
        <v/>
      </c>
      <c r="W206" s="75">
        <f>$C206*INDEX(Curves!$AS$8:$AS$68,W$4-$B206+1)</f>
        <v/>
      </c>
      <c r="X206" s="75">
        <f>$C206*INDEX(Curves!$AS$8:$AS$68,X$4-$B206+1)</f>
        <v/>
      </c>
      <c r="Y206" s="75">
        <f>$C206*INDEX(Curves!$AS$8:$AS$68,Y$4-$B206+1)</f>
        <v/>
      </c>
      <c r="Z206" s="75">
        <f>$C206*INDEX(Curves!$AS$8:$AS$68,Z$4-$B206+1)</f>
        <v/>
      </c>
      <c r="AA206" s="75">
        <f>$C206*INDEX(Curves!$AS$8:$AS$68,AA$4-$B206+1)</f>
        <v/>
      </c>
      <c r="AB206" s="75">
        <f>$C206*INDEX(Curves!$AS$8:$AS$68,AB$4-$B206+1)</f>
        <v/>
      </c>
      <c r="AC206" s="75">
        <f>$C206*INDEX(Curves!$AS$8:$AS$68,AC$4-$B206+1)</f>
        <v/>
      </c>
      <c r="AD206" s="75">
        <f>$C206*INDEX(Curves!$AS$8:$AS$68,AD$4-$B206+1)</f>
        <v/>
      </c>
      <c r="AE206" s="75">
        <f>$C206*INDEX(Curves!$AS$8:$AS$68,AE$4-$B206+1)</f>
        <v/>
      </c>
      <c r="AF206" s="75">
        <f>$C206*INDEX(Curves!$AS$8:$AS$68,AF$4-$B206+1)</f>
        <v/>
      </c>
      <c r="AG206" s="75">
        <f>$C206*INDEX(Curves!$AS$8:$AS$68,AG$4-$B206+1)</f>
        <v/>
      </c>
      <c r="AH206" s="75">
        <f>$C206*INDEX(Curves!$AS$8:$AS$68,AH$4-$B206+1)</f>
        <v/>
      </c>
      <c r="AI206" s="75">
        <f>$C206*INDEX(Curves!$AS$8:$AS$68,AI$4-$B206+1)</f>
        <v/>
      </c>
      <c r="AJ206" s="75">
        <f>$C206*INDEX(Curves!$AS$8:$AS$68,AJ$4-$B206+1)</f>
        <v/>
      </c>
      <c r="AK206" s="75">
        <f>$C206*INDEX(Curves!$AS$8:$AS$68,AK$4-$B206+1)</f>
        <v/>
      </c>
      <c r="AL206" s="75">
        <f>$C206*INDEX(Curves!$AS$8:$AS$68,AL$4-$B206+1)</f>
        <v/>
      </c>
      <c r="AM206" s="75">
        <f>$C206*INDEX(Curves!$AS$8:$AS$68,AM$4-$B206+1)</f>
        <v/>
      </c>
      <c r="AN206" s="75">
        <f>$C206*INDEX(Curves!$AS$8:$AS$68,AN$4-$B206+1)</f>
        <v/>
      </c>
      <c r="AO206" s="75">
        <f>$C206*INDEX(Curves!$AS$8:$AS$68,AO$4-$B206+1)</f>
        <v/>
      </c>
      <c r="AP206" s="75">
        <f>$C206*INDEX(Curves!$AS$8:$AS$68,AP$4-$B206+1)</f>
        <v/>
      </c>
      <c r="AQ206" s="75">
        <f>$C206*INDEX(Curves!$AS$8:$AS$68,AQ$4-$B206+1)</f>
        <v/>
      </c>
      <c r="AR206" s="75">
        <f>$C206*INDEX(Curves!$AS$8:$AS$68,AR$4-$B206+1)</f>
        <v/>
      </c>
      <c r="AS206" s="75">
        <f>$C206*INDEX(Curves!$AS$8:$AS$68,AS$4-$B206+1)</f>
        <v/>
      </c>
      <c r="AT206" s="75">
        <f>$C206*INDEX(Curves!$AS$8:$AS$68,AT$4-$B206+1)</f>
        <v/>
      </c>
      <c r="AU206" s="75">
        <f>$C206*INDEX(Curves!$AS$8:$AS$68,AU$4-$B206+1)</f>
        <v/>
      </c>
      <c r="AV206" s="75">
        <f>$C206*INDEX(Curves!$AS$8:$AS$68,AV$4-$B206+1)</f>
        <v/>
      </c>
      <c r="AW206" s="75">
        <f>$C206*INDEX(Curves!$AS$8:$AS$68,AW$4-$B206+1)</f>
        <v/>
      </c>
      <c r="AX206" s="75">
        <f>$C206*INDEX(Curves!$AS$8:$AS$68,AX$4-$B206+1)</f>
        <v/>
      </c>
      <c r="AY206" s="75">
        <f>$C206*INDEX(Curves!$AS$8:$AS$68,AY$4-$B206+1)</f>
        <v/>
      </c>
      <c r="AZ206" s="75">
        <f>$C206*INDEX(Curves!$AS$8:$AS$68,AZ$4-$B206+1)</f>
        <v/>
      </c>
      <c r="BA206" s="75">
        <f>$C206*INDEX(Curves!$AS$8:$AS$68,BA$4-$B206+1)</f>
        <v/>
      </c>
      <c r="BB206" s="75">
        <f>$C206*INDEX(Curves!$AS$8:$AS$68,BB$4-$B206+1)</f>
        <v/>
      </c>
      <c r="BC206" s="75">
        <f>$C206*INDEX(Curves!$AS$8:$AS$68,BC$4-$B206+1)</f>
        <v/>
      </c>
      <c r="BD206" s="75">
        <f>$C206*INDEX(Curves!$AS$8:$AS$68,BD$4-$B206+1)</f>
        <v/>
      </c>
      <c r="BE206" s="75">
        <f>$C206*INDEX(Curves!$AS$8:$AS$68,BE$4-$B206+1)</f>
        <v/>
      </c>
      <c r="BF206" s="75">
        <f>$C206*INDEX(Curves!$AS$8:$AS$68,BF$4-$B206+1)</f>
        <v/>
      </c>
      <c r="BG206" s="75">
        <f>$C206*INDEX(Curves!$AS$8:$AS$68,BG$4-$B206+1)</f>
        <v/>
      </c>
      <c r="BH206" s="75">
        <f>$C206*INDEX(Curves!$AS$8:$AS$68,BH$4-$B206+1)</f>
        <v/>
      </c>
      <c r="BI206" s="75">
        <f>$C206*INDEX(Curves!$AS$8:$AS$68,BI$4-$B206+1)</f>
        <v/>
      </c>
      <c r="BJ206" s="75">
        <f>$C206*INDEX(Curves!$AS$8:$AS$68,BJ$4-$B206+1)</f>
        <v/>
      </c>
      <c r="BK206" s="75">
        <f>$C206*INDEX(Curves!$AS$8:$AS$68,BK$4-$B206+1)</f>
        <v/>
      </c>
      <c r="BL206" s="75">
        <f>$C206*INDEX(Curves!$AS$8:$AS$68,BL$4-$B206+1)</f>
        <v/>
      </c>
    </row>
    <row r="207">
      <c r="A207" s="74" t="inlineStr">
        <is>
          <t>Cohort month 9</t>
        </is>
      </c>
      <c r="B207" s="74" t="n">
        <v>9</v>
      </c>
      <c r="C207" s="17">
        <f>INDEX(Ops!$E$85:$BL$85,1,$B207)</f>
        <v/>
      </c>
      <c r="N207" s="75">
        <f>$C207*INDEX(Curves!$AS$8:$AS$68,N$4-$B207+1)</f>
        <v/>
      </c>
      <c r="O207" s="75">
        <f>$C207*INDEX(Curves!$AS$8:$AS$68,O$4-$B207+1)</f>
        <v/>
      </c>
      <c r="P207" s="75">
        <f>$C207*INDEX(Curves!$AS$8:$AS$68,P$4-$B207+1)</f>
        <v/>
      </c>
      <c r="Q207" s="75">
        <f>$C207*INDEX(Curves!$AS$8:$AS$68,Q$4-$B207+1)</f>
        <v/>
      </c>
      <c r="R207" s="75">
        <f>$C207*INDEX(Curves!$AS$8:$AS$68,R$4-$B207+1)</f>
        <v/>
      </c>
      <c r="S207" s="75">
        <f>$C207*INDEX(Curves!$AS$8:$AS$68,S$4-$B207+1)</f>
        <v/>
      </c>
      <c r="T207" s="75">
        <f>$C207*INDEX(Curves!$AS$8:$AS$68,T$4-$B207+1)</f>
        <v/>
      </c>
      <c r="U207" s="75">
        <f>$C207*INDEX(Curves!$AS$8:$AS$68,U$4-$B207+1)</f>
        <v/>
      </c>
      <c r="V207" s="75">
        <f>$C207*INDEX(Curves!$AS$8:$AS$68,V$4-$B207+1)</f>
        <v/>
      </c>
      <c r="W207" s="75">
        <f>$C207*INDEX(Curves!$AS$8:$AS$68,W$4-$B207+1)</f>
        <v/>
      </c>
      <c r="X207" s="75">
        <f>$C207*INDEX(Curves!$AS$8:$AS$68,X$4-$B207+1)</f>
        <v/>
      </c>
      <c r="Y207" s="75">
        <f>$C207*INDEX(Curves!$AS$8:$AS$68,Y$4-$B207+1)</f>
        <v/>
      </c>
      <c r="Z207" s="75">
        <f>$C207*INDEX(Curves!$AS$8:$AS$68,Z$4-$B207+1)</f>
        <v/>
      </c>
      <c r="AA207" s="75">
        <f>$C207*INDEX(Curves!$AS$8:$AS$68,AA$4-$B207+1)</f>
        <v/>
      </c>
      <c r="AB207" s="75">
        <f>$C207*INDEX(Curves!$AS$8:$AS$68,AB$4-$B207+1)</f>
        <v/>
      </c>
      <c r="AC207" s="75">
        <f>$C207*INDEX(Curves!$AS$8:$AS$68,AC$4-$B207+1)</f>
        <v/>
      </c>
      <c r="AD207" s="75">
        <f>$C207*INDEX(Curves!$AS$8:$AS$68,AD$4-$B207+1)</f>
        <v/>
      </c>
      <c r="AE207" s="75">
        <f>$C207*INDEX(Curves!$AS$8:$AS$68,AE$4-$B207+1)</f>
        <v/>
      </c>
      <c r="AF207" s="75">
        <f>$C207*INDEX(Curves!$AS$8:$AS$68,AF$4-$B207+1)</f>
        <v/>
      </c>
      <c r="AG207" s="75">
        <f>$C207*INDEX(Curves!$AS$8:$AS$68,AG$4-$B207+1)</f>
        <v/>
      </c>
      <c r="AH207" s="75">
        <f>$C207*INDEX(Curves!$AS$8:$AS$68,AH$4-$B207+1)</f>
        <v/>
      </c>
      <c r="AI207" s="75">
        <f>$C207*INDEX(Curves!$AS$8:$AS$68,AI$4-$B207+1)</f>
        <v/>
      </c>
      <c r="AJ207" s="75">
        <f>$C207*INDEX(Curves!$AS$8:$AS$68,AJ$4-$B207+1)</f>
        <v/>
      </c>
      <c r="AK207" s="75">
        <f>$C207*INDEX(Curves!$AS$8:$AS$68,AK$4-$B207+1)</f>
        <v/>
      </c>
      <c r="AL207" s="75">
        <f>$C207*INDEX(Curves!$AS$8:$AS$68,AL$4-$B207+1)</f>
        <v/>
      </c>
      <c r="AM207" s="75">
        <f>$C207*INDEX(Curves!$AS$8:$AS$68,AM$4-$B207+1)</f>
        <v/>
      </c>
      <c r="AN207" s="75">
        <f>$C207*INDEX(Curves!$AS$8:$AS$68,AN$4-$B207+1)</f>
        <v/>
      </c>
      <c r="AO207" s="75">
        <f>$C207*INDEX(Curves!$AS$8:$AS$68,AO$4-$B207+1)</f>
        <v/>
      </c>
      <c r="AP207" s="75">
        <f>$C207*INDEX(Curves!$AS$8:$AS$68,AP$4-$B207+1)</f>
        <v/>
      </c>
      <c r="AQ207" s="75">
        <f>$C207*INDEX(Curves!$AS$8:$AS$68,AQ$4-$B207+1)</f>
        <v/>
      </c>
      <c r="AR207" s="75">
        <f>$C207*INDEX(Curves!$AS$8:$AS$68,AR$4-$B207+1)</f>
        <v/>
      </c>
      <c r="AS207" s="75">
        <f>$C207*INDEX(Curves!$AS$8:$AS$68,AS$4-$B207+1)</f>
        <v/>
      </c>
      <c r="AT207" s="75">
        <f>$C207*INDEX(Curves!$AS$8:$AS$68,AT$4-$B207+1)</f>
        <v/>
      </c>
      <c r="AU207" s="75">
        <f>$C207*INDEX(Curves!$AS$8:$AS$68,AU$4-$B207+1)</f>
        <v/>
      </c>
      <c r="AV207" s="75">
        <f>$C207*INDEX(Curves!$AS$8:$AS$68,AV$4-$B207+1)</f>
        <v/>
      </c>
      <c r="AW207" s="75">
        <f>$C207*INDEX(Curves!$AS$8:$AS$68,AW$4-$B207+1)</f>
        <v/>
      </c>
      <c r="AX207" s="75">
        <f>$C207*INDEX(Curves!$AS$8:$AS$68,AX$4-$B207+1)</f>
        <v/>
      </c>
      <c r="AY207" s="75">
        <f>$C207*INDEX(Curves!$AS$8:$AS$68,AY$4-$B207+1)</f>
        <v/>
      </c>
      <c r="AZ207" s="75">
        <f>$C207*INDEX(Curves!$AS$8:$AS$68,AZ$4-$B207+1)</f>
        <v/>
      </c>
      <c r="BA207" s="75">
        <f>$C207*INDEX(Curves!$AS$8:$AS$68,BA$4-$B207+1)</f>
        <v/>
      </c>
      <c r="BB207" s="75">
        <f>$C207*INDEX(Curves!$AS$8:$AS$68,BB$4-$B207+1)</f>
        <v/>
      </c>
      <c r="BC207" s="75">
        <f>$C207*INDEX(Curves!$AS$8:$AS$68,BC$4-$B207+1)</f>
        <v/>
      </c>
      <c r="BD207" s="75">
        <f>$C207*INDEX(Curves!$AS$8:$AS$68,BD$4-$B207+1)</f>
        <v/>
      </c>
      <c r="BE207" s="75">
        <f>$C207*INDEX(Curves!$AS$8:$AS$68,BE$4-$B207+1)</f>
        <v/>
      </c>
      <c r="BF207" s="75">
        <f>$C207*INDEX(Curves!$AS$8:$AS$68,BF$4-$B207+1)</f>
        <v/>
      </c>
      <c r="BG207" s="75">
        <f>$C207*INDEX(Curves!$AS$8:$AS$68,BG$4-$B207+1)</f>
        <v/>
      </c>
      <c r="BH207" s="75">
        <f>$C207*INDEX(Curves!$AS$8:$AS$68,BH$4-$B207+1)</f>
        <v/>
      </c>
      <c r="BI207" s="75">
        <f>$C207*INDEX(Curves!$AS$8:$AS$68,BI$4-$B207+1)</f>
        <v/>
      </c>
      <c r="BJ207" s="75">
        <f>$C207*INDEX(Curves!$AS$8:$AS$68,BJ$4-$B207+1)</f>
        <v/>
      </c>
      <c r="BK207" s="75">
        <f>$C207*INDEX(Curves!$AS$8:$AS$68,BK$4-$B207+1)</f>
        <v/>
      </c>
      <c r="BL207" s="75">
        <f>$C207*INDEX(Curves!$AS$8:$AS$68,BL$4-$B207+1)</f>
        <v/>
      </c>
    </row>
    <row r="208">
      <c r="A208" s="74" t="inlineStr">
        <is>
          <t>Cohort month 10</t>
        </is>
      </c>
      <c r="B208" s="74" t="n">
        <v>10</v>
      </c>
      <c r="C208" s="17">
        <f>INDEX(Ops!$E$85:$BL$85,1,$B208)</f>
        <v/>
      </c>
      <c r="O208" s="75">
        <f>$C208*INDEX(Curves!$AS$8:$AS$68,O$4-$B208+1)</f>
        <v/>
      </c>
      <c r="P208" s="75">
        <f>$C208*INDEX(Curves!$AS$8:$AS$68,P$4-$B208+1)</f>
        <v/>
      </c>
      <c r="Q208" s="75">
        <f>$C208*INDEX(Curves!$AS$8:$AS$68,Q$4-$B208+1)</f>
        <v/>
      </c>
      <c r="R208" s="75">
        <f>$C208*INDEX(Curves!$AS$8:$AS$68,R$4-$B208+1)</f>
        <v/>
      </c>
      <c r="S208" s="75">
        <f>$C208*INDEX(Curves!$AS$8:$AS$68,S$4-$B208+1)</f>
        <v/>
      </c>
      <c r="T208" s="75">
        <f>$C208*INDEX(Curves!$AS$8:$AS$68,T$4-$B208+1)</f>
        <v/>
      </c>
      <c r="U208" s="75">
        <f>$C208*INDEX(Curves!$AS$8:$AS$68,U$4-$B208+1)</f>
        <v/>
      </c>
      <c r="V208" s="75">
        <f>$C208*INDEX(Curves!$AS$8:$AS$68,V$4-$B208+1)</f>
        <v/>
      </c>
      <c r="W208" s="75">
        <f>$C208*INDEX(Curves!$AS$8:$AS$68,W$4-$B208+1)</f>
        <v/>
      </c>
      <c r="X208" s="75">
        <f>$C208*INDEX(Curves!$AS$8:$AS$68,X$4-$B208+1)</f>
        <v/>
      </c>
      <c r="Y208" s="75">
        <f>$C208*INDEX(Curves!$AS$8:$AS$68,Y$4-$B208+1)</f>
        <v/>
      </c>
      <c r="Z208" s="75">
        <f>$C208*INDEX(Curves!$AS$8:$AS$68,Z$4-$B208+1)</f>
        <v/>
      </c>
      <c r="AA208" s="75">
        <f>$C208*INDEX(Curves!$AS$8:$AS$68,AA$4-$B208+1)</f>
        <v/>
      </c>
      <c r="AB208" s="75">
        <f>$C208*INDEX(Curves!$AS$8:$AS$68,AB$4-$B208+1)</f>
        <v/>
      </c>
      <c r="AC208" s="75">
        <f>$C208*INDEX(Curves!$AS$8:$AS$68,AC$4-$B208+1)</f>
        <v/>
      </c>
      <c r="AD208" s="75">
        <f>$C208*INDEX(Curves!$AS$8:$AS$68,AD$4-$B208+1)</f>
        <v/>
      </c>
      <c r="AE208" s="75">
        <f>$C208*INDEX(Curves!$AS$8:$AS$68,AE$4-$B208+1)</f>
        <v/>
      </c>
      <c r="AF208" s="75">
        <f>$C208*INDEX(Curves!$AS$8:$AS$68,AF$4-$B208+1)</f>
        <v/>
      </c>
      <c r="AG208" s="75">
        <f>$C208*INDEX(Curves!$AS$8:$AS$68,AG$4-$B208+1)</f>
        <v/>
      </c>
      <c r="AH208" s="75">
        <f>$C208*INDEX(Curves!$AS$8:$AS$68,AH$4-$B208+1)</f>
        <v/>
      </c>
      <c r="AI208" s="75">
        <f>$C208*INDEX(Curves!$AS$8:$AS$68,AI$4-$B208+1)</f>
        <v/>
      </c>
      <c r="AJ208" s="75">
        <f>$C208*INDEX(Curves!$AS$8:$AS$68,AJ$4-$B208+1)</f>
        <v/>
      </c>
      <c r="AK208" s="75">
        <f>$C208*INDEX(Curves!$AS$8:$AS$68,AK$4-$B208+1)</f>
        <v/>
      </c>
      <c r="AL208" s="75">
        <f>$C208*INDEX(Curves!$AS$8:$AS$68,AL$4-$B208+1)</f>
        <v/>
      </c>
      <c r="AM208" s="75">
        <f>$C208*INDEX(Curves!$AS$8:$AS$68,AM$4-$B208+1)</f>
        <v/>
      </c>
      <c r="AN208" s="75">
        <f>$C208*INDEX(Curves!$AS$8:$AS$68,AN$4-$B208+1)</f>
        <v/>
      </c>
      <c r="AO208" s="75">
        <f>$C208*INDEX(Curves!$AS$8:$AS$68,AO$4-$B208+1)</f>
        <v/>
      </c>
      <c r="AP208" s="75">
        <f>$C208*INDEX(Curves!$AS$8:$AS$68,AP$4-$B208+1)</f>
        <v/>
      </c>
      <c r="AQ208" s="75">
        <f>$C208*INDEX(Curves!$AS$8:$AS$68,AQ$4-$B208+1)</f>
        <v/>
      </c>
      <c r="AR208" s="75">
        <f>$C208*INDEX(Curves!$AS$8:$AS$68,AR$4-$B208+1)</f>
        <v/>
      </c>
      <c r="AS208" s="75">
        <f>$C208*INDEX(Curves!$AS$8:$AS$68,AS$4-$B208+1)</f>
        <v/>
      </c>
      <c r="AT208" s="75">
        <f>$C208*INDEX(Curves!$AS$8:$AS$68,AT$4-$B208+1)</f>
        <v/>
      </c>
      <c r="AU208" s="75">
        <f>$C208*INDEX(Curves!$AS$8:$AS$68,AU$4-$B208+1)</f>
        <v/>
      </c>
      <c r="AV208" s="75">
        <f>$C208*INDEX(Curves!$AS$8:$AS$68,AV$4-$B208+1)</f>
        <v/>
      </c>
      <c r="AW208" s="75">
        <f>$C208*INDEX(Curves!$AS$8:$AS$68,AW$4-$B208+1)</f>
        <v/>
      </c>
      <c r="AX208" s="75">
        <f>$C208*INDEX(Curves!$AS$8:$AS$68,AX$4-$B208+1)</f>
        <v/>
      </c>
      <c r="AY208" s="75">
        <f>$C208*INDEX(Curves!$AS$8:$AS$68,AY$4-$B208+1)</f>
        <v/>
      </c>
      <c r="AZ208" s="75">
        <f>$C208*INDEX(Curves!$AS$8:$AS$68,AZ$4-$B208+1)</f>
        <v/>
      </c>
      <c r="BA208" s="75">
        <f>$C208*INDEX(Curves!$AS$8:$AS$68,BA$4-$B208+1)</f>
        <v/>
      </c>
      <c r="BB208" s="75">
        <f>$C208*INDEX(Curves!$AS$8:$AS$68,BB$4-$B208+1)</f>
        <v/>
      </c>
      <c r="BC208" s="75">
        <f>$C208*INDEX(Curves!$AS$8:$AS$68,BC$4-$B208+1)</f>
        <v/>
      </c>
      <c r="BD208" s="75">
        <f>$C208*INDEX(Curves!$AS$8:$AS$68,BD$4-$B208+1)</f>
        <v/>
      </c>
      <c r="BE208" s="75">
        <f>$C208*INDEX(Curves!$AS$8:$AS$68,BE$4-$B208+1)</f>
        <v/>
      </c>
      <c r="BF208" s="75">
        <f>$C208*INDEX(Curves!$AS$8:$AS$68,BF$4-$B208+1)</f>
        <v/>
      </c>
      <c r="BG208" s="75">
        <f>$C208*INDEX(Curves!$AS$8:$AS$68,BG$4-$B208+1)</f>
        <v/>
      </c>
      <c r="BH208" s="75">
        <f>$C208*INDEX(Curves!$AS$8:$AS$68,BH$4-$B208+1)</f>
        <v/>
      </c>
      <c r="BI208" s="75">
        <f>$C208*INDEX(Curves!$AS$8:$AS$68,BI$4-$B208+1)</f>
        <v/>
      </c>
      <c r="BJ208" s="75">
        <f>$C208*INDEX(Curves!$AS$8:$AS$68,BJ$4-$B208+1)</f>
        <v/>
      </c>
      <c r="BK208" s="75">
        <f>$C208*INDEX(Curves!$AS$8:$AS$68,BK$4-$B208+1)</f>
        <v/>
      </c>
      <c r="BL208" s="75">
        <f>$C208*INDEX(Curves!$AS$8:$AS$68,BL$4-$B208+1)</f>
        <v/>
      </c>
    </row>
    <row r="209">
      <c r="A209" s="74" t="inlineStr">
        <is>
          <t>Cohort month 11</t>
        </is>
      </c>
      <c r="B209" s="74" t="n">
        <v>11</v>
      </c>
      <c r="C209" s="17">
        <f>INDEX(Ops!$E$85:$BL$85,1,$B209)</f>
        <v/>
      </c>
      <c r="P209" s="75">
        <f>$C209*INDEX(Curves!$AS$8:$AS$68,P$4-$B209+1)</f>
        <v/>
      </c>
      <c r="Q209" s="75">
        <f>$C209*INDEX(Curves!$AS$8:$AS$68,Q$4-$B209+1)</f>
        <v/>
      </c>
      <c r="R209" s="75">
        <f>$C209*INDEX(Curves!$AS$8:$AS$68,R$4-$B209+1)</f>
        <v/>
      </c>
      <c r="S209" s="75">
        <f>$C209*INDEX(Curves!$AS$8:$AS$68,S$4-$B209+1)</f>
        <v/>
      </c>
      <c r="T209" s="75">
        <f>$C209*INDEX(Curves!$AS$8:$AS$68,T$4-$B209+1)</f>
        <v/>
      </c>
      <c r="U209" s="75">
        <f>$C209*INDEX(Curves!$AS$8:$AS$68,U$4-$B209+1)</f>
        <v/>
      </c>
      <c r="V209" s="75">
        <f>$C209*INDEX(Curves!$AS$8:$AS$68,V$4-$B209+1)</f>
        <v/>
      </c>
      <c r="W209" s="75">
        <f>$C209*INDEX(Curves!$AS$8:$AS$68,W$4-$B209+1)</f>
        <v/>
      </c>
      <c r="X209" s="75">
        <f>$C209*INDEX(Curves!$AS$8:$AS$68,X$4-$B209+1)</f>
        <v/>
      </c>
      <c r="Y209" s="75">
        <f>$C209*INDEX(Curves!$AS$8:$AS$68,Y$4-$B209+1)</f>
        <v/>
      </c>
      <c r="Z209" s="75">
        <f>$C209*INDEX(Curves!$AS$8:$AS$68,Z$4-$B209+1)</f>
        <v/>
      </c>
      <c r="AA209" s="75">
        <f>$C209*INDEX(Curves!$AS$8:$AS$68,AA$4-$B209+1)</f>
        <v/>
      </c>
      <c r="AB209" s="75">
        <f>$C209*INDEX(Curves!$AS$8:$AS$68,AB$4-$B209+1)</f>
        <v/>
      </c>
      <c r="AC209" s="75">
        <f>$C209*INDEX(Curves!$AS$8:$AS$68,AC$4-$B209+1)</f>
        <v/>
      </c>
      <c r="AD209" s="75">
        <f>$C209*INDEX(Curves!$AS$8:$AS$68,AD$4-$B209+1)</f>
        <v/>
      </c>
      <c r="AE209" s="75">
        <f>$C209*INDEX(Curves!$AS$8:$AS$68,AE$4-$B209+1)</f>
        <v/>
      </c>
      <c r="AF209" s="75">
        <f>$C209*INDEX(Curves!$AS$8:$AS$68,AF$4-$B209+1)</f>
        <v/>
      </c>
      <c r="AG209" s="75">
        <f>$C209*INDEX(Curves!$AS$8:$AS$68,AG$4-$B209+1)</f>
        <v/>
      </c>
      <c r="AH209" s="75">
        <f>$C209*INDEX(Curves!$AS$8:$AS$68,AH$4-$B209+1)</f>
        <v/>
      </c>
      <c r="AI209" s="75">
        <f>$C209*INDEX(Curves!$AS$8:$AS$68,AI$4-$B209+1)</f>
        <v/>
      </c>
      <c r="AJ209" s="75">
        <f>$C209*INDEX(Curves!$AS$8:$AS$68,AJ$4-$B209+1)</f>
        <v/>
      </c>
      <c r="AK209" s="75">
        <f>$C209*INDEX(Curves!$AS$8:$AS$68,AK$4-$B209+1)</f>
        <v/>
      </c>
      <c r="AL209" s="75">
        <f>$C209*INDEX(Curves!$AS$8:$AS$68,AL$4-$B209+1)</f>
        <v/>
      </c>
      <c r="AM209" s="75">
        <f>$C209*INDEX(Curves!$AS$8:$AS$68,AM$4-$B209+1)</f>
        <v/>
      </c>
      <c r="AN209" s="75">
        <f>$C209*INDEX(Curves!$AS$8:$AS$68,AN$4-$B209+1)</f>
        <v/>
      </c>
      <c r="AO209" s="75">
        <f>$C209*INDEX(Curves!$AS$8:$AS$68,AO$4-$B209+1)</f>
        <v/>
      </c>
      <c r="AP209" s="75">
        <f>$C209*INDEX(Curves!$AS$8:$AS$68,AP$4-$B209+1)</f>
        <v/>
      </c>
      <c r="AQ209" s="75">
        <f>$C209*INDEX(Curves!$AS$8:$AS$68,AQ$4-$B209+1)</f>
        <v/>
      </c>
      <c r="AR209" s="75">
        <f>$C209*INDEX(Curves!$AS$8:$AS$68,AR$4-$B209+1)</f>
        <v/>
      </c>
      <c r="AS209" s="75">
        <f>$C209*INDEX(Curves!$AS$8:$AS$68,AS$4-$B209+1)</f>
        <v/>
      </c>
      <c r="AT209" s="75">
        <f>$C209*INDEX(Curves!$AS$8:$AS$68,AT$4-$B209+1)</f>
        <v/>
      </c>
      <c r="AU209" s="75">
        <f>$C209*INDEX(Curves!$AS$8:$AS$68,AU$4-$B209+1)</f>
        <v/>
      </c>
      <c r="AV209" s="75">
        <f>$C209*INDEX(Curves!$AS$8:$AS$68,AV$4-$B209+1)</f>
        <v/>
      </c>
      <c r="AW209" s="75">
        <f>$C209*INDEX(Curves!$AS$8:$AS$68,AW$4-$B209+1)</f>
        <v/>
      </c>
      <c r="AX209" s="75">
        <f>$C209*INDEX(Curves!$AS$8:$AS$68,AX$4-$B209+1)</f>
        <v/>
      </c>
      <c r="AY209" s="75">
        <f>$C209*INDEX(Curves!$AS$8:$AS$68,AY$4-$B209+1)</f>
        <v/>
      </c>
      <c r="AZ209" s="75">
        <f>$C209*INDEX(Curves!$AS$8:$AS$68,AZ$4-$B209+1)</f>
        <v/>
      </c>
      <c r="BA209" s="75">
        <f>$C209*INDEX(Curves!$AS$8:$AS$68,BA$4-$B209+1)</f>
        <v/>
      </c>
      <c r="BB209" s="75">
        <f>$C209*INDEX(Curves!$AS$8:$AS$68,BB$4-$B209+1)</f>
        <v/>
      </c>
      <c r="BC209" s="75">
        <f>$C209*INDEX(Curves!$AS$8:$AS$68,BC$4-$B209+1)</f>
        <v/>
      </c>
      <c r="BD209" s="75">
        <f>$C209*INDEX(Curves!$AS$8:$AS$68,BD$4-$B209+1)</f>
        <v/>
      </c>
      <c r="BE209" s="75">
        <f>$C209*INDEX(Curves!$AS$8:$AS$68,BE$4-$B209+1)</f>
        <v/>
      </c>
      <c r="BF209" s="75">
        <f>$C209*INDEX(Curves!$AS$8:$AS$68,BF$4-$B209+1)</f>
        <v/>
      </c>
      <c r="BG209" s="75">
        <f>$C209*INDEX(Curves!$AS$8:$AS$68,BG$4-$B209+1)</f>
        <v/>
      </c>
      <c r="BH209" s="75">
        <f>$C209*INDEX(Curves!$AS$8:$AS$68,BH$4-$B209+1)</f>
        <v/>
      </c>
      <c r="BI209" s="75">
        <f>$C209*INDEX(Curves!$AS$8:$AS$68,BI$4-$B209+1)</f>
        <v/>
      </c>
      <c r="BJ209" s="75">
        <f>$C209*INDEX(Curves!$AS$8:$AS$68,BJ$4-$B209+1)</f>
        <v/>
      </c>
      <c r="BK209" s="75">
        <f>$C209*INDEX(Curves!$AS$8:$AS$68,BK$4-$B209+1)</f>
        <v/>
      </c>
      <c r="BL209" s="75">
        <f>$C209*INDEX(Curves!$AS$8:$AS$68,BL$4-$B209+1)</f>
        <v/>
      </c>
    </row>
    <row r="210">
      <c r="A210" s="74" t="inlineStr">
        <is>
          <t>Cohort month 12</t>
        </is>
      </c>
      <c r="B210" s="74" t="n">
        <v>12</v>
      </c>
      <c r="C210" s="17">
        <f>INDEX(Ops!$E$85:$BL$85,1,$B210)</f>
        <v/>
      </c>
      <c r="Q210" s="75">
        <f>$C210*INDEX(Curves!$AS$8:$AS$68,Q$4-$B210+1)</f>
        <v/>
      </c>
      <c r="R210" s="75">
        <f>$C210*INDEX(Curves!$AS$8:$AS$68,R$4-$B210+1)</f>
        <v/>
      </c>
      <c r="S210" s="75">
        <f>$C210*INDEX(Curves!$AS$8:$AS$68,S$4-$B210+1)</f>
        <v/>
      </c>
      <c r="T210" s="75">
        <f>$C210*INDEX(Curves!$AS$8:$AS$68,T$4-$B210+1)</f>
        <v/>
      </c>
      <c r="U210" s="75">
        <f>$C210*INDEX(Curves!$AS$8:$AS$68,U$4-$B210+1)</f>
        <v/>
      </c>
      <c r="V210" s="75">
        <f>$C210*INDEX(Curves!$AS$8:$AS$68,V$4-$B210+1)</f>
        <v/>
      </c>
      <c r="W210" s="75">
        <f>$C210*INDEX(Curves!$AS$8:$AS$68,W$4-$B210+1)</f>
        <v/>
      </c>
      <c r="X210" s="75">
        <f>$C210*INDEX(Curves!$AS$8:$AS$68,X$4-$B210+1)</f>
        <v/>
      </c>
      <c r="Y210" s="75">
        <f>$C210*INDEX(Curves!$AS$8:$AS$68,Y$4-$B210+1)</f>
        <v/>
      </c>
      <c r="Z210" s="75">
        <f>$C210*INDEX(Curves!$AS$8:$AS$68,Z$4-$B210+1)</f>
        <v/>
      </c>
      <c r="AA210" s="75">
        <f>$C210*INDEX(Curves!$AS$8:$AS$68,AA$4-$B210+1)</f>
        <v/>
      </c>
      <c r="AB210" s="75">
        <f>$C210*INDEX(Curves!$AS$8:$AS$68,AB$4-$B210+1)</f>
        <v/>
      </c>
      <c r="AC210" s="75">
        <f>$C210*INDEX(Curves!$AS$8:$AS$68,AC$4-$B210+1)</f>
        <v/>
      </c>
      <c r="AD210" s="75">
        <f>$C210*INDEX(Curves!$AS$8:$AS$68,AD$4-$B210+1)</f>
        <v/>
      </c>
      <c r="AE210" s="75">
        <f>$C210*INDEX(Curves!$AS$8:$AS$68,AE$4-$B210+1)</f>
        <v/>
      </c>
      <c r="AF210" s="75">
        <f>$C210*INDEX(Curves!$AS$8:$AS$68,AF$4-$B210+1)</f>
        <v/>
      </c>
      <c r="AG210" s="75">
        <f>$C210*INDEX(Curves!$AS$8:$AS$68,AG$4-$B210+1)</f>
        <v/>
      </c>
      <c r="AH210" s="75">
        <f>$C210*INDEX(Curves!$AS$8:$AS$68,AH$4-$B210+1)</f>
        <v/>
      </c>
      <c r="AI210" s="75">
        <f>$C210*INDEX(Curves!$AS$8:$AS$68,AI$4-$B210+1)</f>
        <v/>
      </c>
      <c r="AJ210" s="75">
        <f>$C210*INDEX(Curves!$AS$8:$AS$68,AJ$4-$B210+1)</f>
        <v/>
      </c>
      <c r="AK210" s="75">
        <f>$C210*INDEX(Curves!$AS$8:$AS$68,AK$4-$B210+1)</f>
        <v/>
      </c>
      <c r="AL210" s="75">
        <f>$C210*INDEX(Curves!$AS$8:$AS$68,AL$4-$B210+1)</f>
        <v/>
      </c>
      <c r="AM210" s="75">
        <f>$C210*INDEX(Curves!$AS$8:$AS$68,AM$4-$B210+1)</f>
        <v/>
      </c>
      <c r="AN210" s="75">
        <f>$C210*INDEX(Curves!$AS$8:$AS$68,AN$4-$B210+1)</f>
        <v/>
      </c>
      <c r="AO210" s="75">
        <f>$C210*INDEX(Curves!$AS$8:$AS$68,AO$4-$B210+1)</f>
        <v/>
      </c>
      <c r="AP210" s="75">
        <f>$C210*INDEX(Curves!$AS$8:$AS$68,AP$4-$B210+1)</f>
        <v/>
      </c>
      <c r="AQ210" s="75">
        <f>$C210*INDEX(Curves!$AS$8:$AS$68,AQ$4-$B210+1)</f>
        <v/>
      </c>
      <c r="AR210" s="75">
        <f>$C210*INDEX(Curves!$AS$8:$AS$68,AR$4-$B210+1)</f>
        <v/>
      </c>
      <c r="AS210" s="75">
        <f>$C210*INDEX(Curves!$AS$8:$AS$68,AS$4-$B210+1)</f>
        <v/>
      </c>
      <c r="AT210" s="75">
        <f>$C210*INDEX(Curves!$AS$8:$AS$68,AT$4-$B210+1)</f>
        <v/>
      </c>
      <c r="AU210" s="75">
        <f>$C210*INDEX(Curves!$AS$8:$AS$68,AU$4-$B210+1)</f>
        <v/>
      </c>
      <c r="AV210" s="75">
        <f>$C210*INDEX(Curves!$AS$8:$AS$68,AV$4-$B210+1)</f>
        <v/>
      </c>
      <c r="AW210" s="75">
        <f>$C210*INDEX(Curves!$AS$8:$AS$68,AW$4-$B210+1)</f>
        <v/>
      </c>
      <c r="AX210" s="75">
        <f>$C210*INDEX(Curves!$AS$8:$AS$68,AX$4-$B210+1)</f>
        <v/>
      </c>
      <c r="AY210" s="75">
        <f>$C210*INDEX(Curves!$AS$8:$AS$68,AY$4-$B210+1)</f>
        <v/>
      </c>
      <c r="AZ210" s="75">
        <f>$C210*INDEX(Curves!$AS$8:$AS$68,AZ$4-$B210+1)</f>
        <v/>
      </c>
      <c r="BA210" s="75">
        <f>$C210*INDEX(Curves!$AS$8:$AS$68,BA$4-$B210+1)</f>
        <v/>
      </c>
      <c r="BB210" s="75">
        <f>$C210*INDEX(Curves!$AS$8:$AS$68,BB$4-$B210+1)</f>
        <v/>
      </c>
      <c r="BC210" s="75">
        <f>$C210*INDEX(Curves!$AS$8:$AS$68,BC$4-$B210+1)</f>
        <v/>
      </c>
      <c r="BD210" s="75">
        <f>$C210*INDEX(Curves!$AS$8:$AS$68,BD$4-$B210+1)</f>
        <v/>
      </c>
      <c r="BE210" s="75">
        <f>$C210*INDEX(Curves!$AS$8:$AS$68,BE$4-$B210+1)</f>
        <v/>
      </c>
      <c r="BF210" s="75">
        <f>$C210*INDEX(Curves!$AS$8:$AS$68,BF$4-$B210+1)</f>
        <v/>
      </c>
      <c r="BG210" s="75">
        <f>$C210*INDEX(Curves!$AS$8:$AS$68,BG$4-$B210+1)</f>
        <v/>
      </c>
      <c r="BH210" s="75">
        <f>$C210*INDEX(Curves!$AS$8:$AS$68,BH$4-$B210+1)</f>
        <v/>
      </c>
      <c r="BI210" s="75">
        <f>$C210*INDEX(Curves!$AS$8:$AS$68,BI$4-$B210+1)</f>
        <v/>
      </c>
      <c r="BJ210" s="75">
        <f>$C210*INDEX(Curves!$AS$8:$AS$68,BJ$4-$B210+1)</f>
        <v/>
      </c>
      <c r="BK210" s="75">
        <f>$C210*INDEX(Curves!$AS$8:$AS$68,BK$4-$B210+1)</f>
        <v/>
      </c>
      <c r="BL210" s="75">
        <f>$C210*INDEX(Curves!$AS$8:$AS$68,BL$4-$B210+1)</f>
        <v/>
      </c>
    </row>
    <row r="211">
      <c r="A211" s="74" t="inlineStr">
        <is>
          <t>Cohort month 13</t>
        </is>
      </c>
      <c r="B211" s="74" t="n">
        <v>13</v>
      </c>
      <c r="C211" s="17">
        <f>INDEX(Ops!$E$85:$BL$85,1,$B211)</f>
        <v/>
      </c>
      <c r="R211" s="75">
        <f>$C211*INDEX(Curves!$AS$8:$AS$68,R$4-$B211+1)</f>
        <v/>
      </c>
      <c r="S211" s="75">
        <f>$C211*INDEX(Curves!$AS$8:$AS$68,S$4-$B211+1)</f>
        <v/>
      </c>
      <c r="T211" s="75">
        <f>$C211*INDEX(Curves!$AS$8:$AS$68,T$4-$B211+1)</f>
        <v/>
      </c>
      <c r="U211" s="75">
        <f>$C211*INDEX(Curves!$AS$8:$AS$68,U$4-$B211+1)</f>
        <v/>
      </c>
      <c r="V211" s="75">
        <f>$C211*INDEX(Curves!$AS$8:$AS$68,V$4-$B211+1)</f>
        <v/>
      </c>
      <c r="W211" s="75">
        <f>$C211*INDEX(Curves!$AS$8:$AS$68,W$4-$B211+1)</f>
        <v/>
      </c>
      <c r="X211" s="75">
        <f>$C211*INDEX(Curves!$AS$8:$AS$68,X$4-$B211+1)</f>
        <v/>
      </c>
      <c r="Y211" s="75">
        <f>$C211*INDEX(Curves!$AS$8:$AS$68,Y$4-$B211+1)</f>
        <v/>
      </c>
      <c r="Z211" s="75">
        <f>$C211*INDEX(Curves!$AS$8:$AS$68,Z$4-$B211+1)</f>
        <v/>
      </c>
      <c r="AA211" s="75">
        <f>$C211*INDEX(Curves!$AS$8:$AS$68,AA$4-$B211+1)</f>
        <v/>
      </c>
      <c r="AB211" s="75">
        <f>$C211*INDEX(Curves!$AS$8:$AS$68,AB$4-$B211+1)</f>
        <v/>
      </c>
      <c r="AC211" s="75">
        <f>$C211*INDEX(Curves!$AS$8:$AS$68,AC$4-$B211+1)</f>
        <v/>
      </c>
      <c r="AD211" s="75">
        <f>$C211*INDEX(Curves!$AS$8:$AS$68,AD$4-$B211+1)</f>
        <v/>
      </c>
      <c r="AE211" s="75">
        <f>$C211*INDEX(Curves!$AS$8:$AS$68,AE$4-$B211+1)</f>
        <v/>
      </c>
      <c r="AF211" s="75">
        <f>$C211*INDEX(Curves!$AS$8:$AS$68,AF$4-$B211+1)</f>
        <v/>
      </c>
      <c r="AG211" s="75">
        <f>$C211*INDEX(Curves!$AS$8:$AS$68,AG$4-$B211+1)</f>
        <v/>
      </c>
      <c r="AH211" s="75">
        <f>$C211*INDEX(Curves!$AS$8:$AS$68,AH$4-$B211+1)</f>
        <v/>
      </c>
      <c r="AI211" s="75">
        <f>$C211*INDEX(Curves!$AS$8:$AS$68,AI$4-$B211+1)</f>
        <v/>
      </c>
      <c r="AJ211" s="75">
        <f>$C211*INDEX(Curves!$AS$8:$AS$68,AJ$4-$B211+1)</f>
        <v/>
      </c>
      <c r="AK211" s="75">
        <f>$C211*INDEX(Curves!$AS$8:$AS$68,AK$4-$B211+1)</f>
        <v/>
      </c>
      <c r="AL211" s="75">
        <f>$C211*INDEX(Curves!$AS$8:$AS$68,AL$4-$B211+1)</f>
        <v/>
      </c>
      <c r="AM211" s="75">
        <f>$C211*INDEX(Curves!$AS$8:$AS$68,AM$4-$B211+1)</f>
        <v/>
      </c>
      <c r="AN211" s="75">
        <f>$C211*INDEX(Curves!$AS$8:$AS$68,AN$4-$B211+1)</f>
        <v/>
      </c>
      <c r="AO211" s="75">
        <f>$C211*INDEX(Curves!$AS$8:$AS$68,AO$4-$B211+1)</f>
        <v/>
      </c>
      <c r="AP211" s="75">
        <f>$C211*INDEX(Curves!$AS$8:$AS$68,AP$4-$B211+1)</f>
        <v/>
      </c>
      <c r="AQ211" s="75">
        <f>$C211*INDEX(Curves!$AS$8:$AS$68,AQ$4-$B211+1)</f>
        <v/>
      </c>
      <c r="AR211" s="75">
        <f>$C211*INDEX(Curves!$AS$8:$AS$68,AR$4-$B211+1)</f>
        <v/>
      </c>
      <c r="AS211" s="75">
        <f>$C211*INDEX(Curves!$AS$8:$AS$68,AS$4-$B211+1)</f>
        <v/>
      </c>
      <c r="AT211" s="75">
        <f>$C211*INDEX(Curves!$AS$8:$AS$68,AT$4-$B211+1)</f>
        <v/>
      </c>
      <c r="AU211" s="75">
        <f>$C211*INDEX(Curves!$AS$8:$AS$68,AU$4-$B211+1)</f>
        <v/>
      </c>
      <c r="AV211" s="75">
        <f>$C211*INDEX(Curves!$AS$8:$AS$68,AV$4-$B211+1)</f>
        <v/>
      </c>
      <c r="AW211" s="75">
        <f>$C211*INDEX(Curves!$AS$8:$AS$68,AW$4-$B211+1)</f>
        <v/>
      </c>
      <c r="AX211" s="75">
        <f>$C211*INDEX(Curves!$AS$8:$AS$68,AX$4-$B211+1)</f>
        <v/>
      </c>
      <c r="AY211" s="75">
        <f>$C211*INDEX(Curves!$AS$8:$AS$68,AY$4-$B211+1)</f>
        <v/>
      </c>
      <c r="AZ211" s="75">
        <f>$C211*INDEX(Curves!$AS$8:$AS$68,AZ$4-$B211+1)</f>
        <v/>
      </c>
      <c r="BA211" s="75">
        <f>$C211*INDEX(Curves!$AS$8:$AS$68,BA$4-$B211+1)</f>
        <v/>
      </c>
      <c r="BB211" s="75">
        <f>$C211*INDEX(Curves!$AS$8:$AS$68,BB$4-$B211+1)</f>
        <v/>
      </c>
      <c r="BC211" s="75">
        <f>$C211*INDEX(Curves!$AS$8:$AS$68,BC$4-$B211+1)</f>
        <v/>
      </c>
      <c r="BD211" s="75">
        <f>$C211*INDEX(Curves!$AS$8:$AS$68,BD$4-$B211+1)</f>
        <v/>
      </c>
      <c r="BE211" s="75">
        <f>$C211*INDEX(Curves!$AS$8:$AS$68,BE$4-$B211+1)</f>
        <v/>
      </c>
      <c r="BF211" s="75">
        <f>$C211*INDEX(Curves!$AS$8:$AS$68,BF$4-$B211+1)</f>
        <v/>
      </c>
      <c r="BG211" s="75">
        <f>$C211*INDEX(Curves!$AS$8:$AS$68,BG$4-$B211+1)</f>
        <v/>
      </c>
      <c r="BH211" s="75">
        <f>$C211*INDEX(Curves!$AS$8:$AS$68,BH$4-$B211+1)</f>
        <v/>
      </c>
      <c r="BI211" s="75">
        <f>$C211*INDEX(Curves!$AS$8:$AS$68,BI$4-$B211+1)</f>
        <v/>
      </c>
      <c r="BJ211" s="75">
        <f>$C211*INDEX(Curves!$AS$8:$AS$68,BJ$4-$B211+1)</f>
        <v/>
      </c>
      <c r="BK211" s="75">
        <f>$C211*INDEX(Curves!$AS$8:$AS$68,BK$4-$B211+1)</f>
        <v/>
      </c>
      <c r="BL211" s="75">
        <f>$C211*INDEX(Curves!$AS$8:$AS$68,BL$4-$B211+1)</f>
        <v/>
      </c>
    </row>
    <row r="212">
      <c r="A212" s="74" t="inlineStr">
        <is>
          <t>Cohort month 14</t>
        </is>
      </c>
      <c r="B212" s="74" t="n">
        <v>14</v>
      </c>
      <c r="C212" s="17">
        <f>INDEX(Ops!$E$85:$BL$85,1,$B212)</f>
        <v/>
      </c>
      <c r="S212" s="75">
        <f>$C212*INDEX(Curves!$AS$8:$AS$68,S$4-$B212+1)</f>
        <v/>
      </c>
      <c r="T212" s="75">
        <f>$C212*INDEX(Curves!$AS$8:$AS$68,T$4-$B212+1)</f>
        <v/>
      </c>
      <c r="U212" s="75">
        <f>$C212*INDEX(Curves!$AS$8:$AS$68,U$4-$B212+1)</f>
        <v/>
      </c>
      <c r="V212" s="75">
        <f>$C212*INDEX(Curves!$AS$8:$AS$68,V$4-$B212+1)</f>
        <v/>
      </c>
      <c r="W212" s="75">
        <f>$C212*INDEX(Curves!$AS$8:$AS$68,W$4-$B212+1)</f>
        <v/>
      </c>
      <c r="X212" s="75">
        <f>$C212*INDEX(Curves!$AS$8:$AS$68,X$4-$B212+1)</f>
        <v/>
      </c>
      <c r="Y212" s="75">
        <f>$C212*INDEX(Curves!$AS$8:$AS$68,Y$4-$B212+1)</f>
        <v/>
      </c>
      <c r="Z212" s="75">
        <f>$C212*INDEX(Curves!$AS$8:$AS$68,Z$4-$B212+1)</f>
        <v/>
      </c>
      <c r="AA212" s="75">
        <f>$C212*INDEX(Curves!$AS$8:$AS$68,AA$4-$B212+1)</f>
        <v/>
      </c>
      <c r="AB212" s="75">
        <f>$C212*INDEX(Curves!$AS$8:$AS$68,AB$4-$B212+1)</f>
        <v/>
      </c>
      <c r="AC212" s="75">
        <f>$C212*INDEX(Curves!$AS$8:$AS$68,AC$4-$B212+1)</f>
        <v/>
      </c>
      <c r="AD212" s="75">
        <f>$C212*INDEX(Curves!$AS$8:$AS$68,AD$4-$B212+1)</f>
        <v/>
      </c>
      <c r="AE212" s="75">
        <f>$C212*INDEX(Curves!$AS$8:$AS$68,AE$4-$B212+1)</f>
        <v/>
      </c>
      <c r="AF212" s="75">
        <f>$C212*INDEX(Curves!$AS$8:$AS$68,AF$4-$B212+1)</f>
        <v/>
      </c>
      <c r="AG212" s="75">
        <f>$C212*INDEX(Curves!$AS$8:$AS$68,AG$4-$B212+1)</f>
        <v/>
      </c>
      <c r="AH212" s="75">
        <f>$C212*INDEX(Curves!$AS$8:$AS$68,AH$4-$B212+1)</f>
        <v/>
      </c>
      <c r="AI212" s="75">
        <f>$C212*INDEX(Curves!$AS$8:$AS$68,AI$4-$B212+1)</f>
        <v/>
      </c>
      <c r="AJ212" s="75">
        <f>$C212*INDEX(Curves!$AS$8:$AS$68,AJ$4-$B212+1)</f>
        <v/>
      </c>
      <c r="AK212" s="75">
        <f>$C212*INDEX(Curves!$AS$8:$AS$68,AK$4-$B212+1)</f>
        <v/>
      </c>
      <c r="AL212" s="75">
        <f>$C212*INDEX(Curves!$AS$8:$AS$68,AL$4-$B212+1)</f>
        <v/>
      </c>
      <c r="AM212" s="75">
        <f>$C212*INDEX(Curves!$AS$8:$AS$68,AM$4-$B212+1)</f>
        <v/>
      </c>
      <c r="AN212" s="75">
        <f>$C212*INDEX(Curves!$AS$8:$AS$68,AN$4-$B212+1)</f>
        <v/>
      </c>
      <c r="AO212" s="75">
        <f>$C212*INDEX(Curves!$AS$8:$AS$68,AO$4-$B212+1)</f>
        <v/>
      </c>
      <c r="AP212" s="75">
        <f>$C212*INDEX(Curves!$AS$8:$AS$68,AP$4-$B212+1)</f>
        <v/>
      </c>
      <c r="AQ212" s="75">
        <f>$C212*INDEX(Curves!$AS$8:$AS$68,AQ$4-$B212+1)</f>
        <v/>
      </c>
      <c r="AR212" s="75">
        <f>$C212*INDEX(Curves!$AS$8:$AS$68,AR$4-$B212+1)</f>
        <v/>
      </c>
      <c r="AS212" s="75">
        <f>$C212*INDEX(Curves!$AS$8:$AS$68,AS$4-$B212+1)</f>
        <v/>
      </c>
      <c r="AT212" s="75">
        <f>$C212*INDEX(Curves!$AS$8:$AS$68,AT$4-$B212+1)</f>
        <v/>
      </c>
      <c r="AU212" s="75">
        <f>$C212*INDEX(Curves!$AS$8:$AS$68,AU$4-$B212+1)</f>
        <v/>
      </c>
      <c r="AV212" s="75">
        <f>$C212*INDEX(Curves!$AS$8:$AS$68,AV$4-$B212+1)</f>
        <v/>
      </c>
      <c r="AW212" s="75">
        <f>$C212*INDEX(Curves!$AS$8:$AS$68,AW$4-$B212+1)</f>
        <v/>
      </c>
      <c r="AX212" s="75">
        <f>$C212*INDEX(Curves!$AS$8:$AS$68,AX$4-$B212+1)</f>
        <v/>
      </c>
      <c r="AY212" s="75">
        <f>$C212*INDEX(Curves!$AS$8:$AS$68,AY$4-$B212+1)</f>
        <v/>
      </c>
      <c r="AZ212" s="75">
        <f>$C212*INDEX(Curves!$AS$8:$AS$68,AZ$4-$B212+1)</f>
        <v/>
      </c>
      <c r="BA212" s="75">
        <f>$C212*INDEX(Curves!$AS$8:$AS$68,BA$4-$B212+1)</f>
        <v/>
      </c>
      <c r="BB212" s="75">
        <f>$C212*INDEX(Curves!$AS$8:$AS$68,BB$4-$B212+1)</f>
        <v/>
      </c>
      <c r="BC212" s="75">
        <f>$C212*INDEX(Curves!$AS$8:$AS$68,BC$4-$B212+1)</f>
        <v/>
      </c>
      <c r="BD212" s="75">
        <f>$C212*INDEX(Curves!$AS$8:$AS$68,BD$4-$B212+1)</f>
        <v/>
      </c>
      <c r="BE212" s="75">
        <f>$C212*INDEX(Curves!$AS$8:$AS$68,BE$4-$B212+1)</f>
        <v/>
      </c>
      <c r="BF212" s="75">
        <f>$C212*INDEX(Curves!$AS$8:$AS$68,BF$4-$B212+1)</f>
        <v/>
      </c>
      <c r="BG212" s="75">
        <f>$C212*INDEX(Curves!$AS$8:$AS$68,BG$4-$B212+1)</f>
        <v/>
      </c>
      <c r="BH212" s="75">
        <f>$C212*INDEX(Curves!$AS$8:$AS$68,BH$4-$B212+1)</f>
        <v/>
      </c>
      <c r="BI212" s="75">
        <f>$C212*INDEX(Curves!$AS$8:$AS$68,BI$4-$B212+1)</f>
        <v/>
      </c>
      <c r="BJ212" s="75">
        <f>$C212*INDEX(Curves!$AS$8:$AS$68,BJ$4-$B212+1)</f>
        <v/>
      </c>
      <c r="BK212" s="75">
        <f>$C212*INDEX(Curves!$AS$8:$AS$68,BK$4-$B212+1)</f>
        <v/>
      </c>
      <c r="BL212" s="75">
        <f>$C212*INDEX(Curves!$AS$8:$AS$68,BL$4-$B212+1)</f>
        <v/>
      </c>
    </row>
    <row r="213">
      <c r="A213" s="74" t="inlineStr">
        <is>
          <t>Cohort month 15</t>
        </is>
      </c>
      <c r="B213" s="74" t="n">
        <v>15</v>
      </c>
      <c r="C213" s="17">
        <f>INDEX(Ops!$E$85:$BL$85,1,$B213)</f>
        <v/>
      </c>
      <c r="T213" s="75">
        <f>$C213*INDEX(Curves!$AS$8:$AS$68,T$4-$B213+1)</f>
        <v/>
      </c>
      <c r="U213" s="75">
        <f>$C213*INDEX(Curves!$AS$8:$AS$68,U$4-$B213+1)</f>
        <v/>
      </c>
      <c r="V213" s="75">
        <f>$C213*INDEX(Curves!$AS$8:$AS$68,V$4-$B213+1)</f>
        <v/>
      </c>
      <c r="W213" s="75">
        <f>$C213*INDEX(Curves!$AS$8:$AS$68,W$4-$B213+1)</f>
        <v/>
      </c>
      <c r="X213" s="75">
        <f>$C213*INDEX(Curves!$AS$8:$AS$68,X$4-$B213+1)</f>
        <v/>
      </c>
      <c r="Y213" s="75">
        <f>$C213*INDEX(Curves!$AS$8:$AS$68,Y$4-$B213+1)</f>
        <v/>
      </c>
      <c r="Z213" s="75">
        <f>$C213*INDEX(Curves!$AS$8:$AS$68,Z$4-$B213+1)</f>
        <v/>
      </c>
      <c r="AA213" s="75">
        <f>$C213*INDEX(Curves!$AS$8:$AS$68,AA$4-$B213+1)</f>
        <v/>
      </c>
      <c r="AB213" s="75">
        <f>$C213*INDEX(Curves!$AS$8:$AS$68,AB$4-$B213+1)</f>
        <v/>
      </c>
      <c r="AC213" s="75">
        <f>$C213*INDEX(Curves!$AS$8:$AS$68,AC$4-$B213+1)</f>
        <v/>
      </c>
      <c r="AD213" s="75">
        <f>$C213*INDEX(Curves!$AS$8:$AS$68,AD$4-$B213+1)</f>
        <v/>
      </c>
      <c r="AE213" s="75">
        <f>$C213*INDEX(Curves!$AS$8:$AS$68,AE$4-$B213+1)</f>
        <v/>
      </c>
      <c r="AF213" s="75">
        <f>$C213*INDEX(Curves!$AS$8:$AS$68,AF$4-$B213+1)</f>
        <v/>
      </c>
      <c r="AG213" s="75">
        <f>$C213*INDEX(Curves!$AS$8:$AS$68,AG$4-$B213+1)</f>
        <v/>
      </c>
      <c r="AH213" s="75">
        <f>$C213*INDEX(Curves!$AS$8:$AS$68,AH$4-$B213+1)</f>
        <v/>
      </c>
      <c r="AI213" s="75">
        <f>$C213*INDEX(Curves!$AS$8:$AS$68,AI$4-$B213+1)</f>
        <v/>
      </c>
      <c r="AJ213" s="75">
        <f>$C213*INDEX(Curves!$AS$8:$AS$68,AJ$4-$B213+1)</f>
        <v/>
      </c>
      <c r="AK213" s="75">
        <f>$C213*INDEX(Curves!$AS$8:$AS$68,AK$4-$B213+1)</f>
        <v/>
      </c>
      <c r="AL213" s="75">
        <f>$C213*INDEX(Curves!$AS$8:$AS$68,AL$4-$B213+1)</f>
        <v/>
      </c>
      <c r="AM213" s="75">
        <f>$C213*INDEX(Curves!$AS$8:$AS$68,AM$4-$B213+1)</f>
        <v/>
      </c>
      <c r="AN213" s="75">
        <f>$C213*INDEX(Curves!$AS$8:$AS$68,AN$4-$B213+1)</f>
        <v/>
      </c>
      <c r="AO213" s="75">
        <f>$C213*INDEX(Curves!$AS$8:$AS$68,AO$4-$B213+1)</f>
        <v/>
      </c>
      <c r="AP213" s="75">
        <f>$C213*INDEX(Curves!$AS$8:$AS$68,AP$4-$B213+1)</f>
        <v/>
      </c>
      <c r="AQ213" s="75">
        <f>$C213*INDEX(Curves!$AS$8:$AS$68,AQ$4-$B213+1)</f>
        <v/>
      </c>
      <c r="AR213" s="75">
        <f>$C213*INDEX(Curves!$AS$8:$AS$68,AR$4-$B213+1)</f>
        <v/>
      </c>
      <c r="AS213" s="75">
        <f>$C213*INDEX(Curves!$AS$8:$AS$68,AS$4-$B213+1)</f>
        <v/>
      </c>
      <c r="AT213" s="75">
        <f>$C213*INDEX(Curves!$AS$8:$AS$68,AT$4-$B213+1)</f>
        <v/>
      </c>
      <c r="AU213" s="75">
        <f>$C213*INDEX(Curves!$AS$8:$AS$68,AU$4-$B213+1)</f>
        <v/>
      </c>
      <c r="AV213" s="75">
        <f>$C213*INDEX(Curves!$AS$8:$AS$68,AV$4-$B213+1)</f>
        <v/>
      </c>
      <c r="AW213" s="75">
        <f>$C213*INDEX(Curves!$AS$8:$AS$68,AW$4-$B213+1)</f>
        <v/>
      </c>
      <c r="AX213" s="75">
        <f>$C213*INDEX(Curves!$AS$8:$AS$68,AX$4-$B213+1)</f>
        <v/>
      </c>
      <c r="AY213" s="75">
        <f>$C213*INDEX(Curves!$AS$8:$AS$68,AY$4-$B213+1)</f>
        <v/>
      </c>
      <c r="AZ213" s="75">
        <f>$C213*INDEX(Curves!$AS$8:$AS$68,AZ$4-$B213+1)</f>
        <v/>
      </c>
      <c r="BA213" s="75">
        <f>$C213*INDEX(Curves!$AS$8:$AS$68,BA$4-$B213+1)</f>
        <v/>
      </c>
      <c r="BB213" s="75">
        <f>$C213*INDEX(Curves!$AS$8:$AS$68,BB$4-$B213+1)</f>
        <v/>
      </c>
      <c r="BC213" s="75">
        <f>$C213*INDEX(Curves!$AS$8:$AS$68,BC$4-$B213+1)</f>
        <v/>
      </c>
      <c r="BD213" s="75">
        <f>$C213*INDEX(Curves!$AS$8:$AS$68,BD$4-$B213+1)</f>
        <v/>
      </c>
      <c r="BE213" s="75">
        <f>$C213*INDEX(Curves!$AS$8:$AS$68,BE$4-$B213+1)</f>
        <v/>
      </c>
      <c r="BF213" s="75">
        <f>$C213*INDEX(Curves!$AS$8:$AS$68,BF$4-$B213+1)</f>
        <v/>
      </c>
      <c r="BG213" s="75">
        <f>$C213*INDEX(Curves!$AS$8:$AS$68,BG$4-$B213+1)</f>
        <v/>
      </c>
      <c r="BH213" s="75">
        <f>$C213*INDEX(Curves!$AS$8:$AS$68,BH$4-$B213+1)</f>
        <v/>
      </c>
      <c r="BI213" s="75">
        <f>$C213*INDEX(Curves!$AS$8:$AS$68,BI$4-$B213+1)</f>
        <v/>
      </c>
      <c r="BJ213" s="75">
        <f>$C213*INDEX(Curves!$AS$8:$AS$68,BJ$4-$B213+1)</f>
        <v/>
      </c>
      <c r="BK213" s="75">
        <f>$C213*INDEX(Curves!$AS$8:$AS$68,BK$4-$B213+1)</f>
        <v/>
      </c>
      <c r="BL213" s="75">
        <f>$C213*INDEX(Curves!$AS$8:$AS$68,BL$4-$B213+1)</f>
        <v/>
      </c>
    </row>
    <row r="214">
      <c r="A214" s="74" t="inlineStr">
        <is>
          <t>Cohort month 16</t>
        </is>
      </c>
      <c r="B214" s="74" t="n">
        <v>16</v>
      </c>
      <c r="C214" s="17">
        <f>INDEX(Ops!$E$85:$BL$85,1,$B214)</f>
        <v/>
      </c>
      <c r="U214" s="75">
        <f>$C214*INDEX(Curves!$AS$8:$AS$68,U$4-$B214+1)</f>
        <v/>
      </c>
      <c r="V214" s="75">
        <f>$C214*INDEX(Curves!$AS$8:$AS$68,V$4-$B214+1)</f>
        <v/>
      </c>
      <c r="W214" s="75">
        <f>$C214*INDEX(Curves!$AS$8:$AS$68,W$4-$B214+1)</f>
        <v/>
      </c>
      <c r="X214" s="75">
        <f>$C214*INDEX(Curves!$AS$8:$AS$68,X$4-$B214+1)</f>
        <v/>
      </c>
      <c r="Y214" s="75">
        <f>$C214*INDEX(Curves!$AS$8:$AS$68,Y$4-$B214+1)</f>
        <v/>
      </c>
      <c r="Z214" s="75">
        <f>$C214*INDEX(Curves!$AS$8:$AS$68,Z$4-$B214+1)</f>
        <v/>
      </c>
      <c r="AA214" s="75">
        <f>$C214*INDEX(Curves!$AS$8:$AS$68,AA$4-$B214+1)</f>
        <v/>
      </c>
      <c r="AB214" s="75">
        <f>$C214*INDEX(Curves!$AS$8:$AS$68,AB$4-$B214+1)</f>
        <v/>
      </c>
      <c r="AC214" s="75">
        <f>$C214*INDEX(Curves!$AS$8:$AS$68,AC$4-$B214+1)</f>
        <v/>
      </c>
      <c r="AD214" s="75">
        <f>$C214*INDEX(Curves!$AS$8:$AS$68,AD$4-$B214+1)</f>
        <v/>
      </c>
      <c r="AE214" s="75">
        <f>$C214*INDEX(Curves!$AS$8:$AS$68,AE$4-$B214+1)</f>
        <v/>
      </c>
      <c r="AF214" s="75">
        <f>$C214*INDEX(Curves!$AS$8:$AS$68,AF$4-$B214+1)</f>
        <v/>
      </c>
      <c r="AG214" s="75">
        <f>$C214*INDEX(Curves!$AS$8:$AS$68,AG$4-$B214+1)</f>
        <v/>
      </c>
      <c r="AH214" s="75">
        <f>$C214*INDEX(Curves!$AS$8:$AS$68,AH$4-$B214+1)</f>
        <v/>
      </c>
      <c r="AI214" s="75">
        <f>$C214*INDEX(Curves!$AS$8:$AS$68,AI$4-$B214+1)</f>
        <v/>
      </c>
      <c r="AJ214" s="75">
        <f>$C214*INDEX(Curves!$AS$8:$AS$68,AJ$4-$B214+1)</f>
        <v/>
      </c>
      <c r="AK214" s="75">
        <f>$C214*INDEX(Curves!$AS$8:$AS$68,AK$4-$B214+1)</f>
        <v/>
      </c>
      <c r="AL214" s="75">
        <f>$C214*INDEX(Curves!$AS$8:$AS$68,AL$4-$B214+1)</f>
        <v/>
      </c>
      <c r="AM214" s="75">
        <f>$C214*INDEX(Curves!$AS$8:$AS$68,AM$4-$B214+1)</f>
        <v/>
      </c>
      <c r="AN214" s="75">
        <f>$C214*INDEX(Curves!$AS$8:$AS$68,AN$4-$B214+1)</f>
        <v/>
      </c>
      <c r="AO214" s="75">
        <f>$C214*INDEX(Curves!$AS$8:$AS$68,AO$4-$B214+1)</f>
        <v/>
      </c>
      <c r="AP214" s="75">
        <f>$C214*INDEX(Curves!$AS$8:$AS$68,AP$4-$B214+1)</f>
        <v/>
      </c>
      <c r="AQ214" s="75">
        <f>$C214*INDEX(Curves!$AS$8:$AS$68,AQ$4-$B214+1)</f>
        <v/>
      </c>
      <c r="AR214" s="75">
        <f>$C214*INDEX(Curves!$AS$8:$AS$68,AR$4-$B214+1)</f>
        <v/>
      </c>
      <c r="AS214" s="75">
        <f>$C214*INDEX(Curves!$AS$8:$AS$68,AS$4-$B214+1)</f>
        <v/>
      </c>
      <c r="AT214" s="75">
        <f>$C214*INDEX(Curves!$AS$8:$AS$68,AT$4-$B214+1)</f>
        <v/>
      </c>
      <c r="AU214" s="75">
        <f>$C214*INDEX(Curves!$AS$8:$AS$68,AU$4-$B214+1)</f>
        <v/>
      </c>
      <c r="AV214" s="75">
        <f>$C214*INDEX(Curves!$AS$8:$AS$68,AV$4-$B214+1)</f>
        <v/>
      </c>
      <c r="AW214" s="75">
        <f>$C214*INDEX(Curves!$AS$8:$AS$68,AW$4-$B214+1)</f>
        <v/>
      </c>
      <c r="AX214" s="75">
        <f>$C214*INDEX(Curves!$AS$8:$AS$68,AX$4-$B214+1)</f>
        <v/>
      </c>
      <c r="AY214" s="75">
        <f>$C214*INDEX(Curves!$AS$8:$AS$68,AY$4-$B214+1)</f>
        <v/>
      </c>
      <c r="AZ214" s="75">
        <f>$C214*INDEX(Curves!$AS$8:$AS$68,AZ$4-$B214+1)</f>
        <v/>
      </c>
      <c r="BA214" s="75">
        <f>$C214*INDEX(Curves!$AS$8:$AS$68,BA$4-$B214+1)</f>
        <v/>
      </c>
      <c r="BB214" s="75">
        <f>$C214*INDEX(Curves!$AS$8:$AS$68,BB$4-$B214+1)</f>
        <v/>
      </c>
      <c r="BC214" s="75">
        <f>$C214*INDEX(Curves!$AS$8:$AS$68,BC$4-$B214+1)</f>
        <v/>
      </c>
      <c r="BD214" s="75">
        <f>$C214*INDEX(Curves!$AS$8:$AS$68,BD$4-$B214+1)</f>
        <v/>
      </c>
      <c r="BE214" s="75">
        <f>$C214*INDEX(Curves!$AS$8:$AS$68,BE$4-$B214+1)</f>
        <v/>
      </c>
      <c r="BF214" s="75">
        <f>$C214*INDEX(Curves!$AS$8:$AS$68,BF$4-$B214+1)</f>
        <v/>
      </c>
      <c r="BG214" s="75">
        <f>$C214*INDEX(Curves!$AS$8:$AS$68,BG$4-$B214+1)</f>
        <v/>
      </c>
      <c r="BH214" s="75">
        <f>$C214*INDEX(Curves!$AS$8:$AS$68,BH$4-$B214+1)</f>
        <v/>
      </c>
      <c r="BI214" s="75">
        <f>$C214*INDEX(Curves!$AS$8:$AS$68,BI$4-$B214+1)</f>
        <v/>
      </c>
      <c r="BJ214" s="75">
        <f>$C214*INDEX(Curves!$AS$8:$AS$68,BJ$4-$B214+1)</f>
        <v/>
      </c>
      <c r="BK214" s="75">
        <f>$C214*INDEX(Curves!$AS$8:$AS$68,BK$4-$B214+1)</f>
        <v/>
      </c>
      <c r="BL214" s="75">
        <f>$C214*INDEX(Curves!$AS$8:$AS$68,BL$4-$B214+1)</f>
        <v/>
      </c>
    </row>
    <row r="215">
      <c r="A215" s="74" t="inlineStr">
        <is>
          <t>Cohort month 17</t>
        </is>
      </c>
      <c r="B215" s="74" t="n">
        <v>17</v>
      </c>
      <c r="C215" s="17">
        <f>INDEX(Ops!$E$85:$BL$85,1,$B215)</f>
        <v/>
      </c>
      <c r="V215" s="75">
        <f>$C215*INDEX(Curves!$AS$8:$AS$68,V$4-$B215+1)</f>
        <v/>
      </c>
      <c r="W215" s="75">
        <f>$C215*INDEX(Curves!$AS$8:$AS$68,W$4-$B215+1)</f>
        <v/>
      </c>
      <c r="X215" s="75">
        <f>$C215*INDEX(Curves!$AS$8:$AS$68,X$4-$B215+1)</f>
        <v/>
      </c>
      <c r="Y215" s="75">
        <f>$C215*INDEX(Curves!$AS$8:$AS$68,Y$4-$B215+1)</f>
        <v/>
      </c>
      <c r="Z215" s="75">
        <f>$C215*INDEX(Curves!$AS$8:$AS$68,Z$4-$B215+1)</f>
        <v/>
      </c>
      <c r="AA215" s="75">
        <f>$C215*INDEX(Curves!$AS$8:$AS$68,AA$4-$B215+1)</f>
        <v/>
      </c>
      <c r="AB215" s="75">
        <f>$C215*INDEX(Curves!$AS$8:$AS$68,AB$4-$B215+1)</f>
        <v/>
      </c>
      <c r="AC215" s="75">
        <f>$C215*INDEX(Curves!$AS$8:$AS$68,AC$4-$B215+1)</f>
        <v/>
      </c>
      <c r="AD215" s="75">
        <f>$C215*INDEX(Curves!$AS$8:$AS$68,AD$4-$B215+1)</f>
        <v/>
      </c>
      <c r="AE215" s="75">
        <f>$C215*INDEX(Curves!$AS$8:$AS$68,AE$4-$B215+1)</f>
        <v/>
      </c>
      <c r="AF215" s="75">
        <f>$C215*INDEX(Curves!$AS$8:$AS$68,AF$4-$B215+1)</f>
        <v/>
      </c>
      <c r="AG215" s="75">
        <f>$C215*INDEX(Curves!$AS$8:$AS$68,AG$4-$B215+1)</f>
        <v/>
      </c>
      <c r="AH215" s="75">
        <f>$C215*INDEX(Curves!$AS$8:$AS$68,AH$4-$B215+1)</f>
        <v/>
      </c>
      <c r="AI215" s="75">
        <f>$C215*INDEX(Curves!$AS$8:$AS$68,AI$4-$B215+1)</f>
        <v/>
      </c>
      <c r="AJ215" s="75">
        <f>$C215*INDEX(Curves!$AS$8:$AS$68,AJ$4-$B215+1)</f>
        <v/>
      </c>
      <c r="AK215" s="75">
        <f>$C215*INDEX(Curves!$AS$8:$AS$68,AK$4-$B215+1)</f>
        <v/>
      </c>
      <c r="AL215" s="75">
        <f>$C215*INDEX(Curves!$AS$8:$AS$68,AL$4-$B215+1)</f>
        <v/>
      </c>
      <c r="AM215" s="75">
        <f>$C215*INDEX(Curves!$AS$8:$AS$68,AM$4-$B215+1)</f>
        <v/>
      </c>
      <c r="AN215" s="75">
        <f>$C215*INDEX(Curves!$AS$8:$AS$68,AN$4-$B215+1)</f>
        <v/>
      </c>
      <c r="AO215" s="75">
        <f>$C215*INDEX(Curves!$AS$8:$AS$68,AO$4-$B215+1)</f>
        <v/>
      </c>
      <c r="AP215" s="75">
        <f>$C215*INDEX(Curves!$AS$8:$AS$68,AP$4-$B215+1)</f>
        <v/>
      </c>
      <c r="AQ215" s="75">
        <f>$C215*INDEX(Curves!$AS$8:$AS$68,AQ$4-$B215+1)</f>
        <v/>
      </c>
      <c r="AR215" s="75">
        <f>$C215*INDEX(Curves!$AS$8:$AS$68,AR$4-$B215+1)</f>
        <v/>
      </c>
      <c r="AS215" s="75">
        <f>$C215*INDEX(Curves!$AS$8:$AS$68,AS$4-$B215+1)</f>
        <v/>
      </c>
      <c r="AT215" s="75">
        <f>$C215*INDEX(Curves!$AS$8:$AS$68,AT$4-$B215+1)</f>
        <v/>
      </c>
      <c r="AU215" s="75">
        <f>$C215*INDEX(Curves!$AS$8:$AS$68,AU$4-$B215+1)</f>
        <v/>
      </c>
      <c r="AV215" s="75">
        <f>$C215*INDEX(Curves!$AS$8:$AS$68,AV$4-$B215+1)</f>
        <v/>
      </c>
      <c r="AW215" s="75">
        <f>$C215*INDEX(Curves!$AS$8:$AS$68,AW$4-$B215+1)</f>
        <v/>
      </c>
      <c r="AX215" s="75">
        <f>$C215*INDEX(Curves!$AS$8:$AS$68,AX$4-$B215+1)</f>
        <v/>
      </c>
      <c r="AY215" s="75">
        <f>$C215*INDEX(Curves!$AS$8:$AS$68,AY$4-$B215+1)</f>
        <v/>
      </c>
      <c r="AZ215" s="75">
        <f>$C215*INDEX(Curves!$AS$8:$AS$68,AZ$4-$B215+1)</f>
        <v/>
      </c>
      <c r="BA215" s="75">
        <f>$C215*INDEX(Curves!$AS$8:$AS$68,BA$4-$B215+1)</f>
        <v/>
      </c>
      <c r="BB215" s="75">
        <f>$C215*INDEX(Curves!$AS$8:$AS$68,BB$4-$B215+1)</f>
        <v/>
      </c>
      <c r="BC215" s="75">
        <f>$C215*INDEX(Curves!$AS$8:$AS$68,BC$4-$B215+1)</f>
        <v/>
      </c>
      <c r="BD215" s="75">
        <f>$C215*INDEX(Curves!$AS$8:$AS$68,BD$4-$B215+1)</f>
        <v/>
      </c>
      <c r="BE215" s="75">
        <f>$C215*INDEX(Curves!$AS$8:$AS$68,BE$4-$B215+1)</f>
        <v/>
      </c>
      <c r="BF215" s="75">
        <f>$C215*INDEX(Curves!$AS$8:$AS$68,BF$4-$B215+1)</f>
        <v/>
      </c>
      <c r="BG215" s="75">
        <f>$C215*INDEX(Curves!$AS$8:$AS$68,BG$4-$B215+1)</f>
        <v/>
      </c>
      <c r="BH215" s="75">
        <f>$C215*INDEX(Curves!$AS$8:$AS$68,BH$4-$B215+1)</f>
        <v/>
      </c>
      <c r="BI215" s="75">
        <f>$C215*INDEX(Curves!$AS$8:$AS$68,BI$4-$B215+1)</f>
        <v/>
      </c>
      <c r="BJ215" s="75">
        <f>$C215*INDEX(Curves!$AS$8:$AS$68,BJ$4-$B215+1)</f>
        <v/>
      </c>
      <c r="BK215" s="75">
        <f>$C215*INDEX(Curves!$AS$8:$AS$68,BK$4-$B215+1)</f>
        <v/>
      </c>
      <c r="BL215" s="75">
        <f>$C215*INDEX(Curves!$AS$8:$AS$68,BL$4-$B215+1)</f>
        <v/>
      </c>
    </row>
    <row r="216">
      <c r="A216" s="74" t="inlineStr">
        <is>
          <t>Cohort month 18</t>
        </is>
      </c>
      <c r="B216" s="74" t="n">
        <v>18</v>
      </c>
      <c r="C216" s="17">
        <f>INDEX(Ops!$E$85:$BL$85,1,$B216)</f>
        <v/>
      </c>
      <c r="W216" s="75">
        <f>$C216*INDEX(Curves!$AS$8:$AS$68,W$4-$B216+1)</f>
        <v/>
      </c>
      <c r="X216" s="75">
        <f>$C216*INDEX(Curves!$AS$8:$AS$68,X$4-$B216+1)</f>
        <v/>
      </c>
      <c r="Y216" s="75">
        <f>$C216*INDEX(Curves!$AS$8:$AS$68,Y$4-$B216+1)</f>
        <v/>
      </c>
      <c r="Z216" s="75">
        <f>$C216*INDEX(Curves!$AS$8:$AS$68,Z$4-$B216+1)</f>
        <v/>
      </c>
      <c r="AA216" s="75">
        <f>$C216*INDEX(Curves!$AS$8:$AS$68,AA$4-$B216+1)</f>
        <v/>
      </c>
      <c r="AB216" s="75">
        <f>$C216*INDEX(Curves!$AS$8:$AS$68,AB$4-$B216+1)</f>
        <v/>
      </c>
      <c r="AC216" s="75">
        <f>$C216*INDEX(Curves!$AS$8:$AS$68,AC$4-$B216+1)</f>
        <v/>
      </c>
      <c r="AD216" s="75">
        <f>$C216*INDEX(Curves!$AS$8:$AS$68,AD$4-$B216+1)</f>
        <v/>
      </c>
      <c r="AE216" s="75">
        <f>$C216*INDEX(Curves!$AS$8:$AS$68,AE$4-$B216+1)</f>
        <v/>
      </c>
      <c r="AF216" s="75">
        <f>$C216*INDEX(Curves!$AS$8:$AS$68,AF$4-$B216+1)</f>
        <v/>
      </c>
      <c r="AG216" s="75">
        <f>$C216*INDEX(Curves!$AS$8:$AS$68,AG$4-$B216+1)</f>
        <v/>
      </c>
      <c r="AH216" s="75">
        <f>$C216*INDEX(Curves!$AS$8:$AS$68,AH$4-$B216+1)</f>
        <v/>
      </c>
      <c r="AI216" s="75">
        <f>$C216*INDEX(Curves!$AS$8:$AS$68,AI$4-$B216+1)</f>
        <v/>
      </c>
      <c r="AJ216" s="75">
        <f>$C216*INDEX(Curves!$AS$8:$AS$68,AJ$4-$B216+1)</f>
        <v/>
      </c>
      <c r="AK216" s="75">
        <f>$C216*INDEX(Curves!$AS$8:$AS$68,AK$4-$B216+1)</f>
        <v/>
      </c>
      <c r="AL216" s="75">
        <f>$C216*INDEX(Curves!$AS$8:$AS$68,AL$4-$B216+1)</f>
        <v/>
      </c>
      <c r="AM216" s="75">
        <f>$C216*INDEX(Curves!$AS$8:$AS$68,AM$4-$B216+1)</f>
        <v/>
      </c>
      <c r="AN216" s="75">
        <f>$C216*INDEX(Curves!$AS$8:$AS$68,AN$4-$B216+1)</f>
        <v/>
      </c>
      <c r="AO216" s="75">
        <f>$C216*INDEX(Curves!$AS$8:$AS$68,AO$4-$B216+1)</f>
        <v/>
      </c>
      <c r="AP216" s="75">
        <f>$C216*INDEX(Curves!$AS$8:$AS$68,AP$4-$B216+1)</f>
        <v/>
      </c>
      <c r="AQ216" s="75">
        <f>$C216*INDEX(Curves!$AS$8:$AS$68,AQ$4-$B216+1)</f>
        <v/>
      </c>
      <c r="AR216" s="75">
        <f>$C216*INDEX(Curves!$AS$8:$AS$68,AR$4-$B216+1)</f>
        <v/>
      </c>
      <c r="AS216" s="75">
        <f>$C216*INDEX(Curves!$AS$8:$AS$68,AS$4-$B216+1)</f>
        <v/>
      </c>
      <c r="AT216" s="75">
        <f>$C216*INDEX(Curves!$AS$8:$AS$68,AT$4-$B216+1)</f>
        <v/>
      </c>
      <c r="AU216" s="75">
        <f>$C216*INDEX(Curves!$AS$8:$AS$68,AU$4-$B216+1)</f>
        <v/>
      </c>
      <c r="AV216" s="75">
        <f>$C216*INDEX(Curves!$AS$8:$AS$68,AV$4-$B216+1)</f>
        <v/>
      </c>
      <c r="AW216" s="75">
        <f>$C216*INDEX(Curves!$AS$8:$AS$68,AW$4-$B216+1)</f>
        <v/>
      </c>
      <c r="AX216" s="75">
        <f>$C216*INDEX(Curves!$AS$8:$AS$68,AX$4-$B216+1)</f>
        <v/>
      </c>
      <c r="AY216" s="75">
        <f>$C216*INDEX(Curves!$AS$8:$AS$68,AY$4-$B216+1)</f>
        <v/>
      </c>
      <c r="AZ216" s="75">
        <f>$C216*INDEX(Curves!$AS$8:$AS$68,AZ$4-$B216+1)</f>
        <v/>
      </c>
      <c r="BA216" s="75">
        <f>$C216*INDEX(Curves!$AS$8:$AS$68,BA$4-$B216+1)</f>
        <v/>
      </c>
      <c r="BB216" s="75">
        <f>$C216*INDEX(Curves!$AS$8:$AS$68,BB$4-$B216+1)</f>
        <v/>
      </c>
      <c r="BC216" s="75">
        <f>$C216*INDEX(Curves!$AS$8:$AS$68,BC$4-$B216+1)</f>
        <v/>
      </c>
      <c r="BD216" s="75">
        <f>$C216*INDEX(Curves!$AS$8:$AS$68,BD$4-$B216+1)</f>
        <v/>
      </c>
      <c r="BE216" s="75">
        <f>$C216*INDEX(Curves!$AS$8:$AS$68,BE$4-$B216+1)</f>
        <v/>
      </c>
      <c r="BF216" s="75">
        <f>$C216*INDEX(Curves!$AS$8:$AS$68,BF$4-$B216+1)</f>
        <v/>
      </c>
      <c r="BG216" s="75">
        <f>$C216*INDEX(Curves!$AS$8:$AS$68,BG$4-$B216+1)</f>
        <v/>
      </c>
      <c r="BH216" s="75">
        <f>$C216*INDEX(Curves!$AS$8:$AS$68,BH$4-$B216+1)</f>
        <v/>
      </c>
      <c r="BI216" s="75">
        <f>$C216*INDEX(Curves!$AS$8:$AS$68,BI$4-$B216+1)</f>
        <v/>
      </c>
      <c r="BJ216" s="75">
        <f>$C216*INDEX(Curves!$AS$8:$AS$68,BJ$4-$B216+1)</f>
        <v/>
      </c>
      <c r="BK216" s="75">
        <f>$C216*INDEX(Curves!$AS$8:$AS$68,BK$4-$B216+1)</f>
        <v/>
      </c>
      <c r="BL216" s="75">
        <f>$C216*INDEX(Curves!$AS$8:$AS$68,BL$4-$B216+1)</f>
        <v/>
      </c>
    </row>
    <row r="217">
      <c r="A217" s="74" t="inlineStr">
        <is>
          <t>Cohort month 19</t>
        </is>
      </c>
      <c r="B217" s="74" t="n">
        <v>19</v>
      </c>
      <c r="C217" s="17">
        <f>INDEX(Ops!$E$85:$BL$85,1,$B217)</f>
        <v/>
      </c>
      <c r="X217" s="75">
        <f>$C217*INDEX(Curves!$AS$8:$AS$68,X$4-$B217+1)</f>
        <v/>
      </c>
      <c r="Y217" s="75">
        <f>$C217*INDEX(Curves!$AS$8:$AS$68,Y$4-$B217+1)</f>
        <v/>
      </c>
      <c r="Z217" s="75">
        <f>$C217*INDEX(Curves!$AS$8:$AS$68,Z$4-$B217+1)</f>
        <v/>
      </c>
      <c r="AA217" s="75">
        <f>$C217*INDEX(Curves!$AS$8:$AS$68,AA$4-$B217+1)</f>
        <v/>
      </c>
      <c r="AB217" s="75">
        <f>$C217*INDEX(Curves!$AS$8:$AS$68,AB$4-$B217+1)</f>
        <v/>
      </c>
      <c r="AC217" s="75">
        <f>$C217*INDEX(Curves!$AS$8:$AS$68,AC$4-$B217+1)</f>
        <v/>
      </c>
      <c r="AD217" s="75">
        <f>$C217*INDEX(Curves!$AS$8:$AS$68,AD$4-$B217+1)</f>
        <v/>
      </c>
      <c r="AE217" s="75">
        <f>$C217*INDEX(Curves!$AS$8:$AS$68,AE$4-$B217+1)</f>
        <v/>
      </c>
      <c r="AF217" s="75">
        <f>$C217*INDEX(Curves!$AS$8:$AS$68,AF$4-$B217+1)</f>
        <v/>
      </c>
      <c r="AG217" s="75">
        <f>$C217*INDEX(Curves!$AS$8:$AS$68,AG$4-$B217+1)</f>
        <v/>
      </c>
      <c r="AH217" s="75">
        <f>$C217*INDEX(Curves!$AS$8:$AS$68,AH$4-$B217+1)</f>
        <v/>
      </c>
      <c r="AI217" s="75">
        <f>$C217*INDEX(Curves!$AS$8:$AS$68,AI$4-$B217+1)</f>
        <v/>
      </c>
      <c r="AJ217" s="75">
        <f>$C217*INDEX(Curves!$AS$8:$AS$68,AJ$4-$B217+1)</f>
        <v/>
      </c>
      <c r="AK217" s="75">
        <f>$C217*INDEX(Curves!$AS$8:$AS$68,AK$4-$B217+1)</f>
        <v/>
      </c>
      <c r="AL217" s="75">
        <f>$C217*INDEX(Curves!$AS$8:$AS$68,AL$4-$B217+1)</f>
        <v/>
      </c>
      <c r="AM217" s="75">
        <f>$C217*INDEX(Curves!$AS$8:$AS$68,AM$4-$B217+1)</f>
        <v/>
      </c>
      <c r="AN217" s="75">
        <f>$C217*INDEX(Curves!$AS$8:$AS$68,AN$4-$B217+1)</f>
        <v/>
      </c>
      <c r="AO217" s="75">
        <f>$C217*INDEX(Curves!$AS$8:$AS$68,AO$4-$B217+1)</f>
        <v/>
      </c>
      <c r="AP217" s="75">
        <f>$C217*INDEX(Curves!$AS$8:$AS$68,AP$4-$B217+1)</f>
        <v/>
      </c>
      <c r="AQ217" s="75">
        <f>$C217*INDEX(Curves!$AS$8:$AS$68,AQ$4-$B217+1)</f>
        <v/>
      </c>
      <c r="AR217" s="75">
        <f>$C217*INDEX(Curves!$AS$8:$AS$68,AR$4-$B217+1)</f>
        <v/>
      </c>
      <c r="AS217" s="75">
        <f>$C217*INDEX(Curves!$AS$8:$AS$68,AS$4-$B217+1)</f>
        <v/>
      </c>
      <c r="AT217" s="75">
        <f>$C217*INDEX(Curves!$AS$8:$AS$68,AT$4-$B217+1)</f>
        <v/>
      </c>
      <c r="AU217" s="75">
        <f>$C217*INDEX(Curves!$AS$8:$AS$68,AU$4-$B217+1)</f>
        <v/>
      </c>
      <c r="AV217" s="75">
        <f>$C217*INDEX(Curves!$AS$8:$AS$68,AV$4-$B217+1)</f>
        <v/>
      </c>
      <c r="AW217" s="75">
        <f>$C217*INDEX(Curves!$AS$8:$AS$68,AW$4-$B217+1)</f>
        <v/>
      </c>
      <c r="AX217" s="75">
        <f>$C217*INDEX(Curves!$AS$8:$AS$68,AX$4-$B217+1)</f>
        <v/>
      </c>
      <c r="AY217" s="75">
        <f>$C217*INDEX(Curves!$AS$8:$AS$68,AY$4-$B217+1)</f>
        <v/>
      </c>
      <c r="AZ217" s="75">
        <f>$C217*INDEX(Curves!$AS$8:$AS$68,AZ$4-$B217+1)</f>
        <v/>
      </c>
      <c r="BA217" s="75">
        <f>$C217*INDEX(Curves!$AS$8:$AS$68,BA$4-$B217+1)</f>
        <v/>
      </c>
      <c r="BB217" s="75">
        <f>$C217*INDEX(Curves!$AS$8:$AS$68,BB$4-$B217+1)</f>
        <v/>
      </c>
      <c r="BC217" s="75">
        <f>$C217*INDEX(Curves!$AS$8:$AS$68,BC$4-$B217+1)</f>
        <v/>
      </c>
      <c r="BD217" s="75">
        <f>$C217*INDEX(Curves!$AS$8:$AS$68,BD$4-$B217+1)</f>
        <v/>
      </c>
      <c r="BE217" s="75">
        <f>$C217*INDEX(Curves!$AS$8:$AS$68,BE$4-$B217+1)</f>
        <v/>
      </c>
      <c r="BF217" s="75">
        <f>$C217*INDEX(Curves!$AS$8:$AS$68,BF$4-$B217+1)</f>
        <v/>
      </c>
      <c r="BG217" s="75">
        <f>$C217*INDEX(Curves!$AS$8:$AS$68,BG$4-$B217+1)</f>
        <v/>
      </c>
      <c r="BH217" s="75">
        <f>$C217*INDEX(Curves!$AS$8:$AS$68,BH$4-$B217+1)</f>
        <v/>
      </c>
      <c r="BI217" s="75">
        <f>$C217*INDEX(Curves!$AS$8:$AS$68,BI$4-$B217+1)</f>
        <v/>
      </c>
      <c r="BJ217" s="75">
        <f>$C217*INDEX(Curves!$AS$8:$AS$68,BJ$4-$B217+1)</f>
        <v/>
      </c>
      <c r="BK217" s="75">
        <f>$C217*INDEX(Curves!$AS$8:$AS$68,BK$4-$B217+1)</f>
        <v/>
      </c>
      <c r="BL217" s="75">
        <f>$C217*INDEX(Curves!$AS$8:$AS$68,BL$4-$B217+1)</f>
        <v/>
      </c>
    </row>
    <row r="218">
      <c r="A218" s="74" t="inlineStr">
        <is>
          <t>Cohort month 20</t>
        </is>
      </c>
      <c r="B218" s="74" t="n">
        <v>20</v>
      </c>
      <c r="C218" s="17">
        <f>INDEX(Ops!$E$85:$BL$85,1,$B218)</f>
        <v/>
      </c>
      <c r="Y218" s="75">
        <f>$C218*INDEX(Curves!$AS$8:$AS$68,Y$4-$B218+1)</f>
        <v/>
      </c>
      <c r="Z218" s="75">
        <f>$C218*INDEX(Curves!$AS$8:$AS$68,Z$4-$B218+1)</f>
        <v/>
      </c>
      <c r="AA218" s="75">
        <f>$C218*INDEX(Curves!$AS$8:$AS$68,AA$4-$B218+1)</f>
        <v/>
      </c>
      <c r="AB218" s="75">
        <f>$C218*INDEX(Curves!$AS$8:$AS$68,AB$4-$B218+1)</f>
        <v/>
      </c>
      <c r="AC218" s="75">
        <f>$C218*INDEX(Curves!$AS$8:$AS$68,AC$4-$B218+1)</f>
        <v/>
      </c>
      <c r="AD218" s="75">
        <f>$C218*INDEX(Curves!$AS$8:$AS$68,AD$4-$B218+1)</f>
        <v/>
      </c>
      <c r="AE218" s="75">
        <f>$C218*INDEX(Curves!$AS$8:$AS$68,AE$4-$B218+1)</f>
        <v/>
      </c>
      <c r="AF218" s="75">
        <f>$C218*INDEX(Curves!$AS$8:$AS$68,AF$4-$B218+1)</f>
        <v/>
      </c>
      <c r="AG218" s="75">
        <f>$C218*INDEX(Curves!$AS$8:$AS$68,AG$4-$B218+1)</f>
        <v/>
      </c>
      <c r="AH218" s="75">
        <f>$C218*INDEX(Curves!$AS$8:$AS$68,AH$4-$B218+1)</f>
        <v/>
      </c>
      <c r="AI218" s="75">
        <f>$C218*INDEX(Curves!$AS$8:$AS$68,AI$4-$B218+1)</f>
        <v/>
      </c>
      <c r="AJ218" s="75">
        <f>$C218*INDEX(Curves!$AS$8:$AS$68,AJ$4-$B218+1)</f>
        <v/>
      </c>
      <c r="AK218" s="75">
        <f>$C218*INDEX(Curves!$AS$8:$AS$68,AK$4-$B218+1)</f>
        <v/>
      </c>
      <c r="AL218" s="75">
        <f>$C218*INDEX(Curves!$AS$8:$AS$68,AL$4-$B218+1)</f>
        <v/>
      </c>
      <c r="AM218" s="75">
        <f>$C218*INDEX(Curves!$AS$8:$AS$68,AM$4-$B218+1)</f>
        <v/>
      </c>
      <c r="AN218" s="75">
        <f>$C218*INDEX(Curves!$AS$8:$AS$68,AN$4-$B218+1)</f>
        <v/>
      </c>
      <c r="AO218" s="75">
        <f>$C218*INDEX(Curves!$AS$8:$AS$68,AO$4-$B218+1)</f>
        <v/>
      </c>
      <c r="AP218" s="75">
        <f>$C218*INDEX(Curves!$AS$8:$AS$68,AP$4-$B218+1)</f>
        <v/>
      </c>
      <c r="AQ218" s="75">
        <f>$C218*INDEX(Curves!$AS$8:$AS$68,AQ$4-$B218+1)</f>
        <v/>
      </c>
      <c r="AR218" s="75">
        <f>$C218*INDEX(Curves!$AS$8:$AS$68,AR$4-$B218+1)</f>
        <v/>
      </c>
      <c r="AS218" s="75">
        <f>$C218*INDEX(Curves!$AS$8:$AS$68,AS$4-$B218+1)</f>
        <v/>
      </c>
      <c r="AT218" s="75">
        <f>$C218*INDEX(Curves!$AS$8:$AS$68,AT$4-$B218+1)</f>
        <v/>
      </c>
      <c r="AU218" s="75">
        <f>$C218*INDEX(Curves!$AS$8:$AS$68,AU$4-$B218+1)</f>
        <v/>
      </c>
      <c r="AV218" s="75">
        <f>$C218*INDEX(Curves!$AS$8:$AS$68,AV$4-$B218+1)</f>
        <v/>
      </c>
      <c r="AW218" s="75">
        <f>$C218*INDEX(Curves!$AS$8:$AS$68,AW$4-$B218+1)</f>
        <v/>
      </c>
      <c r="AX218" s="75">
        <f>$C218*INDEX(Curves!$AS$8:$AS$68,AX$4-$B218+1)</f>
        <v/>
      </c>
      <c r="AY218" s="75">
        <f>$C218*INDEX(Curves!$AS$8:$AS$68,AY$4-$B218+1)</f>
        <v/>
      </c>
      <c r="AZ218" s="75">
        <f>$C218*INDEX(Curves!$AS$8:$AS$68,AZ$4-$B218+1)</f>
        <v/>
      </c>
      <c r="BA218" s="75">
        <f>$C218*INDEX(Curves!$AS$8:$AS$68,BA$4-$B218+1)</f>
        <v/>
      </c>
      <c r="BB218" s="75">
        <f>$C218*INDEX(Curves!$AS$8:$AS$68,BB$4-$B218+1)</f>
        <v/>
      </c>
      <c r="BC218" s="75">
        <f>$C218*INDEX(Curves!$AS$8:$AS$68,BC$4-$B218+1)</f>
        <v/>
      </c>
      <c r="BD218" s="75">
        <f>$C218*INDEX(Curves!$AS$8:$AS$68,BD$4-$B218+1)</f>
        <v/>
      </c>
      <c r="BE218" s="75">
        <f>$C218*INDEX(Curves!$AS$8:$AS$68,BE$4-$B218+1)</f>
        <v/>
      </c>
      <c r="BF218" s="75">
        <f>$C218*INDEX(Curves!$AS$8:$AS$68,BF$4-$B218+1)</f>
        <v/>
      </c>
      <c r="BG218" s="75">
        <f>$C218*INDEX(Curves!$AS$8:$AS$68,BG$4-$B218+1)</f>
        <v/>
      </c>
      <c r="BH218" s="75">
        <f>$C218*INDEX(Curves!$AS$8:$AS$68,BH$4-$B218+1)</f>
        <v/>
      </c>
      <c r="BI218" s="75">
        <f>$C218*INDEX(Curves!$AS$8:$AS$68,BI$4-$B218+1)</f>
        <v/>
      </c>
      <c r="BJ218" s="75">
        <f>$C218*INDEX(Curves!$AS$8:$AS$68,BJ$4-$B218+1)</f>
        <v/>
      </c>
      <c r="BK218" s="75">
        <f>$C218*INDEX(Curves!$AS$8:$AS$68,BK$4-$B218+1)</f>
        <v/>
      </c>
      <c r="BL218" s="75">
        <f>$C218*INDEX(Curves!$AS$8:$AS$68,BL$4-$B218+1)</f>
        <v/>
      </c>
    </row>
    <row r="219">
      <c r="A219" s="74" t="inlineStr">
        <is>
          <t>Cohort month 21</t>
        </is>
      </c>
      <c r="B219" s="74" t="n">
        <v>21</v>
      </c>
      <c r="C219" s="17">
        <f>INDEX(Ops!$E$85:$BL$85,1,$B219)</f>
        <v/>
      </c>
      <c r="Z219" s="75">
        <f>$C219*INDEX(Curves!$AS$8:$AS$68,Z$4-$B219+1)</f>
        <v/>
      </c>
      <c r="AA219" s="75">
        <f>$C219*INDEX(Curves!$AS$8:$AS$68,AA$4-$B219+1)</f>
        <v/>
      </c>
      <c r="AB219" s="75">
        <f>$C219*INDEX(Curves!$AS$8:$AS$68,AB$4-$B219+1)</f>
        <v/>
      </c>
      <c r="AC219" s="75">
        <f>$C219*INDEX(Curves!$AS$8:$AS$68,AC$4-$B219+1)</f>
        <v/>
      </c>
      <c r="AD219" s="75">
        <f>$C219*INDEX(Curves!$AS$8:$AS$68,AD$4-$B219+1)</f>
        <v/>
      </c>
      <c r="AE219" s="75">
        <f>$C219*INDEX(Curves!$AS$8:$AS$68,AE$4-$B219+1)</f>
        <v/>
      </c>
      <c r="AF219" s="75">
        <f>$C219*INDEX(Curves!$AS$8:$AS$68,AF$4-$B219+1)</f>
        <v/>
      </c>
      <c r="AG219" s="75">
        <f>$C219*INDEX(Curves!$AS$8:$AS$68,AG$4-$B219+1)</f>
        <v/>
      </c>
      <c r="AH219" s="75">
        <f>$C219*INDEX(Curves!$AS$8:$AS$68,AH$4-$B219+1)</f>
        <v/>
      </c>
      <c r="AI219" s="75">
        <f>$C219*INDEX(Curves!$AS$8:$AS$68,AI$4-$B219+1)</f>
        <v/>
      </c>
      <c r="AJ219" s="75">
        <f>$C219*INDEX(Curves!$AS$8:$AS$68,AJ$4-$B219+1)</f>
        <v/>
      </c>
      <c r="AK219" s="75">
        <f>$C219*INDEX(Curves!$AS$8:$AS$68,AK$4-$B219+1)</f>
        <v/>
      </c>
      <c r="AL219" s="75">
        <f>$C219*INDEX(Curves!$AS$8:$AS$68,AL$4-$B219+1)</f>
        <v/>
      </c>
      <c r="AM219" s="75">
        <f>$C219*INDEX(Curves!$AS$8:$AS$68,AM$4-$B219+1)</f>
        <v/>
      </c>
      <c r="AN219" s="75">
        <f>$C219*INDEX(Curves!$AS$8:$AS$68,AN$4-$B219+1)</f>
        <v/>
      </c>
      <c r="AO219" s="75">
        <f>$C219*INDEX(Curves!$AS$8:$AS$68,AO$4-$B219+1)</f>
        <v/>
      </c>
      <c r="AP219" s="75">
        <f>$C219*INDEX(Curves!$AS$8:$AS$68,AP$4-$B219+1)</f>
        <v/>
      </c>
      <c r="AQ219" s="75">
        <f>$C219*INDEX(Curves!$AS$8:$AS$68,AQ$4-$B219+1)</f>
        <v/>
      </c>
      <c r="AR219" s="75">
        <f>$C219*INDEX(Curves!$AS$8:$AS$68,AR$4-$B219+1)</f>
        <v/>
      </c>
      <c r="AS219" s="75">
        <f>$C219*INDEX(Curves!$AS$8:$AS$68,AS$4-$B219+1)</f>
        <v/>
      </c>
      <c r="AT219" s="75">
        <f>$C219*INDEX(Curves!$AS$8:$AS$68,AT$4-$B219+1)</f>
        <v/>
      </c>
      <c r="AU219" s="75">
        <f>$C219*INDEX(Curves!$AS$8:$AS$68,AU$4-$B219+1)</f>
        <v/>
      </c>
      <c r="AV219" s="75">
        <f>$C219*INDEX(Curves!$AS$8:$AS$68,AV$4-$B219+1)</f>
        <v/>
      </c>
      <c r="AW219" s="75">
        <f>$C219*INDEX(Curves!$AS$8:$AS$68,AW$4-$B219+1)</f>
        <v/>
      </c>
      <c r="AX219" s="75">
        <f>$C219*INDEX(Curves!$AS$8:$AS$68,AX$4-$B219+1)</f>
        <v/>
      </c>
      <c r="AY219" s="75">
        <f>$C219*INDEX(Curves!$AS$8:$AS$68,AY$4-$B219+1)</f>
        <v/>
      </c>
      <c r="AZ219" s="75">
        <f>$C219*INDEX(Curves!$AS$8:$AS$68,AZ$4-$B219+1)</f>
        <v/>
      </c>
      <c r="BA219" s="75">
        <f>$C219*INDEX(Curves!$AS$8:$AS$68,BA$4-$B219+1)</f>
        <v/>
      </c>
      <c r="BB219" s="75">
        <f>$C219*INDEX(Curves!$AS$8:$AS$68,BB$4-$B219+1)</f>
        <v/>
      </c>
      <c r="BC219" s="75">
        <f>$C219*INDEX(Curves!$AS$8:$AS$68,BC$4-$B219+1)</f>
        <v/>
      </c>
      <c r="BD219" s="75">
        <f>$C219*INDEX(Curves!$AS$8:$AS$68,BD$4-$B219+1)</f>
        <v/>
      </c>
      <c r="BE219" s="75">
        <f>$C219*INDEX(Curves!$AS$8:$AS$68,BE$4-$B219+1)</f>
        <v/>
      </c>
      <c r="BF219" s="75">
        <f>$C219*INDEX(Curves!$AS$8:$AS$68,BF$4-$B219+1)</f>
        <v/>
      </c>
      <c r="BG219" s="75">
        <f>$C219*INDEX(Curves!$AS$8:$AS$68,BG$4-$B219+1)</f>
        <v/>
      </c>
      <c r="BH219" s="75">
        <f>$C219*INDEX(Curves!$AS$8:$AS$68,BH$4-$B219+1)</f>
        <v/>
      </c>
      <c r="BI219" s="75">
        <f>$C219*INDEX(Curves!$AS$8:$AS$68,BI$4-$B219+1)</f>
        <v/>
      </c>
      <c r="BJ219" s="75">
        <f>$C219*INDEX(Curves!$AS$8:$AS$68,BJ$4-$B219+1)</f>
        <v/>
      </c>
      <c r="BK219" s="75">
        <f>$C219*INDEX(Curves!$AS$8:$AS$68,BK$4-$B219+1)</f>
        <v/>
      </c>
      <c r="BL219" s="75">
        <f>$C219*INDEX(Curves!$AS$8:$AS$68,BL$4-$B219+1)</f>
        <v/>
      </c>
    </row>
    <row r="220">
      <c r="A220" s="74" t="inlineStr">
        <is>
          <t>Cohort month 22</t>
        </is>
      </c>
      <c r="B220" s="74" t="n">
        <v>22</v>
      </c>
      <c r="C220" s="17">
        <f>INDEX(Ops!$E$85:$BL$85,1,$B220)</f>
        <v/>
      </c>
      <c r="AA220" s="75">
        <f>$C220*INDEX(Curves!$AS$8:$AS$68,AA$4-$B220+1)</f>
        <v/>
      </c>
      <c r="AB220" s="75">
        <f>$C220*INDEX(Curves!$AS$8:$AS$68,AB$4-$B220+1)</f>
        <v/>
      </c>
      <c r="AC220" s="75">
        <f>$C220*INDEX(Curves!$AS$8:$AS$68,AC$4-$B220+1)</f>
        <v/>
      </c>
      <c r="AD220" s="75">
        <f>$C220*INDEX(Curves!$AS$8:$AS$68,AD$4-$B220+1)</f>
        <v/>
      </c>
      <c r="AE220" s="75">
        <f>$C220*INDEX(Curves!$AS$8:$AS$68,AE$4-$B220+1)</f>
        <v/>
      </c>
      <c r="AF220" s="75">
        <f>$C220*INDEX(Curves!$AS$8:$AS$68,AF$4-$B220+1)</f>
        <v/>
      </c>
      <c r="AG220" s="75">
        <f>$C220*INDEX(Curves!$AS$8:$AS$68,AG$4-$B220+1)</f>
        <v/>
      </c>
      <c r="AH220" s="75">
        <f>$C220*INDEX(Curves!$AS$8:$AS$68,AH$4-$B220+1)</f>
        <v/>
      </c>
      <c r="AI220" s="75">
        <f>$C220*INDEX(Curves!$AS$8:$AS$68,AI$4-$B220+1)</f>
        <v/>
      </c>
      <c r="AJ220" s="75">
        <f>$C220*INDEX(Curves!$AS$8:$AS$68,AJ$4-$B220+1)</f>
        <v/>
      </c>
      <c r="AK220" s="75">
        <f>$C220*INDEX(Curves!$AS$8:$AS$68,AK$4-$B220+1)</f>
        <v/>
      </c>
      <c r="AL220" s="75">
        <f>$C220*INDEX(Curves!$AS$8:$AS$68,AL$4-$B220+1)</f>
        <v/>
      </c>
      <c r="AM220" s="75">
        <f>$C220*INDEX(Curves!$AS$8:$AS$68,AM$4-$B220+1)</f>
        <v/>
      </c>
      <c r="AN220" s="75">
        <f>$C220*INDEX(Curves!$AS$8:$AS$68,AN$4-$B220+1)</f>
        <v/>
      </c>
      <c r="AO220" s="75">
        <f>$C220*INDEX(Curves!$AS$8:$AS$68,AO$4-$B220+1)</f>
        <v/>
      </c>
      <c r="AP220" s="75">
        <f>$C220*INDEX(Curves!$AS$8:$AS$68,AP$4-$B220+1)</f>
        <v/>
      </c>
      <c r="AQ220" s="75">
        <f>$C220*INDEX(Curves!$AS$8:$AS$68,AQ$4-$B220+1)</f>
        <v/>
      </c>
      <c r="AR220" s="75">
        <f>$C220*INDEX(Curves!$AS$8:$AS$68,AR$4-$B220+1)</f>
        <v/>
      </c>
      <c r="AS220" s="75">
        <f>$C220*INDEX(Curves!$AS$8:$AS$68,AS$4-$B220+1)</f>
        <v/>
      </c>
      <c r="AT220" s="75">
        <f>$C220*INDEX(Curves!$AS$8:$AS$68,AT$4-$B220+1)</f>
        <v/>
      </c>
      <c r="AU220" s="75">
        <f>$C220*INDEX(Curves!$AS$8:$AS$68,AU$4-$B220+1)</f>
        <v/>
      </c>
      <c r="AV220" s="75">
        <f>$C220*INDEX(Curves!$AS$8:$AS$68,AV$4-$B220+1)</f>
        <v/>
      </c>
      <c r="AW220" s="75">
        <f>$C220*INDEX(Curves!$AS$8:$AS$68,AW$4-$B220+1)</f>
        <v/>
      </c>
      <c r="AX220" s="75">
        <f>$C220*INDEX(Curves!$AS$8:$AS$68,AX$4-$B220+1)</f>
        <v/>
      </c>
      <c r="AY220" s="75">
        <f>$C220*INDEX(Curves!$AS$8:$AS$68,AY$4-$B220+1)</f>
        <v/>
      </c>
      <c r="AZ220" s="75">
        <f>$C220*INDEX(Curves!$AS$8:$AS$68,AZ$4-$B220+1)</f>
        <v/>
      </c>
      <c r="BA220" s="75">
        <f>$C220*INDEX(Curves!$AS$8:$AS$68,BA$4-$B220+1)</f>
        <v/>
      </c>
      <c r="BB220" s="75">
        <f>$C220*INDEX(Curves!$AS$8:$AS$68,BB$4-$B220+1)</f>
        <v/>
      </c>
      <c r="BC220" s="75">
        <f>$C220*INDEX(Curves!$AS$8:$AS$68,BC$4-$B220+1)</f>
        <v/>
      </c>
      <c r="BD220" s="75">
        <f>$C220*INDEX(Curves!$AS$8:$AS$68,BD$4-$B220+1)</f>
        <v/>
      </c>
      <c r="BE220" s="75">
        <f>$C220*INDEX(Curves!$AS$8:$AS$68,BE$4-$B220+1)</f>
        <v/>
      </c>
      <c r="BF220" s="75">
        <f>$C220*INDEX(Curves!$AS$8:$AS$68,BF$4-$B220+1)</f>
        <v/>
      </c>
      <c r="BG220" s="75">
        <f>$C220*INDEX(Curves!$AS$8:$AS$68,BG$4-$B220+1)</f>
        <v/>
      </c>
      <c r="BH220" s="75">
        <f>$C220*INDEX(Curves!$AS$8:$AS$68,BH$4-$B220+1)</f>
        <v/>
      </c>
      <c r="BI220" s="75">
        <f>$C220*INDEX(Curves!$AS$8:$AS$68,BI$4-$B220+1)</f>
        <v/>
      </c>
      <c r="BJ220" s="75">
        <f>$C220*INDEX(Curves!$AS$8:$AS$68,BJ$4-$B220+1)</f>
        <v/>
      </c>
      <c r="BK220" s="75">
        <f>$C220*INDEX(Curves!$AS$8:$AS$68,BK$4-$B220+1)</f>
        <v/>
      </c>
      <c r="BL220" s="75">
        <f>$C220*INDEX(Curves!$AS$8:$AS$68,BL$4-$B220+1)</f>
        <v/>
      </c>
    </row>
    <row r="221">
      <c r="A221" s="74" t="inlineStr">
        <is>
          <t>Cohort month 23</t>
        </is>
      </c>
      <c r="B221" s="74" t="n">
        <v>23</v>
      </c>
      <c r="C221" s="17">
        <f>INDEX(Ops!$E$85:$BL$85,1,$B221)</f>
        <v/>
      </c>
      <c r="AB221" s="75">
        <f>$C221*INDEX(Curves!$AS$8:$AS$68,AB$4-$B221+1)</f>
        <v/>
      </c>
      <c r="AC221" s="75">
        <f>$C221*INDEX(Curves!$AS$8:$AS$68,AC$4-$B221+1)</f>
        <v/>
      </c>
      <c r="AD221" s="75">
        <f>$C221*INDEX(Curves!$AS$8:$AS$68,AD$4-$B221+1)</f>
        <v/>
      </c>
      <c r="AE221" s="75">
        <f>$C221*INDEX(Curves!$AS$8:$AS$68,AE$4-$B221+1)</f>
        <v/>
      </c>
      <c r="AF221" s="75">
        <f>$C221*INDEX(Curves!$AS$8:$AS$68,AF$4-$B221+1)</f>
        <v/>
      </c>
      <c r="AG221" s="75">
        <f>$C221*INDEX(Curves!$AS$8:$AS$68,AG$4-$B221+1)</f>
        <v/>
      </c>
      <c r="AH221" s="75">
        <f>$C221*INDEX(Curves!$AS$8:$AS$68,AH$4-$B221+1)</f>
        <v/>
      </c>
      <c r="AI221" s="75">
        <f>$C221*INDEX(Curves!$AS$8:$AS$68,AI$4-$B221+1)</f>
        <v/>
      </c>
      <c r="AJ221" s="75">
        <f>$C221*INDEX(Curves!$AS$8:$AS$68,AJ$4-$B221+1)</f>
        <v/>
      </c>
      <c r="AK221" s="75">
        <f>$C221*INDEX(Curves!$AS$8:$AS$68,AK$4-$B221+1)</f>
        <v/>
      </c>
      <c r="AL221" s="75">
        <f>$C221*INDEX(Curves!$AS$8:$AS$68,AL$4-$B221+1)</f>
        <v/>
      </c>
      <c r="AM221" s="75">
        <f>$C221*INDEX(Curves!$AS$8:$AS$68,AM$4-$B221+1)</f>
        <v/>
      </c>
      <c r="AN221" s="75">
        <f>$C221*INDEX(Curves!$AS$8:$AS$68,AN$4-$B221+1)</f>
        <v/>
      </c>
      <c r="AO221" s="75">
        <f>$C221*INDEX(Curves!$AS$8:$AS$68,AO$4-$B221+1)</f>
        <v/>
      </c>
      <c r="AP221" s="75">
        <f>$C221*INDEX(Curves!$AS$8:$AS$68,AP$4-$B221+1)</f>
        <v/>
      </c>
      <c r="AQ221" s="75">
        <f>$C221*INDEX(Curves!$AS$8:$AS$68,AQ$4-$B221+1)</f>
        <v/>
      </c>
      <c r="AR221" s="75">
        <f>$C221*INDEX(Curves!$AS$8:$AS$68,AR$4-$B221+1)</f>
        <v/>
      </c>
      <c r="AS221" s="75">
        <f>$C221*INDEX(Curves!$AS$8:$AS$68,AS$4-$B221+1)</f>
        <v/>
      </c>
      <c r="AT221" s="75">
        <f>$C221*INDEX(Curves!$AS$8:$AS$68,AT$4-$B221+1)</f>
        <v/>
      </c>
      <c r="AU221" s="75">
        <f>$C221*INDEX(Curves!$AS$8:$AS$68,AU$4-$B221+1)</f>
        <v/>
      </c>
      <c r="AV221" s="75">
        <f>$C221*INDEX(Curves!$AS$8:$AS$68,AV$4-$B221+1)</f>
        <v/>
      </c>
      <c r="AW221" s="75">
        <f>$C221*INDEX(Curves!$AS$8:$AS$68,AW$4-$B221+1)</f>
        <v/>
      </c>
      <c r="AX221" s="75">
        <f>$C221*INDEX(Curves!$AS$8:$AS$68,AX$4-$B221+1)</f>
        <v/>
      </c>
      <c r="AY221" s="75">
        <f>$C221*INDEX(Curves!$AS$8:$AS$68,AY$4-$B221+1)</f>
        <v/>
      </c>
      <c r="AZ221" s="75">
        <f>$C221*INDEX(Curves!$AS$8:$AS$68,AZ$4-$B221+1)</f>
        <v/>
      </c>
      <c r="BA221" s="75">
        <f>$C221*INDEX(Curves!$AS$8:$AS$68,BA$4-$B221+1)</f>
        <v/>
      </c>
      <c r="BB221" s="75">
        <f>$C221*INDEX(Curves!$AS$8:$AS$68,BB$4-$B221+1)</f>
        <v/>
      </c>
      <c r="BC221" s="75">
        <f>$C221*INDEX(Curves!$AS$8:$AS$68,BC$4-$B221+1)</f>
        <v/>
      </c>
      <c r="BD221" s="75">
        <f>$C221*INDEX(Curves!$AS$8:$AS$68,BD$4-$B221+1)</f>
        <v/>
      </c>
      <c r="BE221" s="75">
        <f>$C221*INDEX(Curves!$AS$8:$AS$68,BE$4-$B221+1)</f>
        <v/>
      </c>
      <c r="BF221" s="75">
        <f>$C221*INDEX(Curves!$AS$8:$AS$68,BF$4-$B221+1)</f>
        <v/>
      </c>
      <c r="BG221" s="75">
        <f>$C221*INDEX(Curves!$AS$8:$AS$68,BG$4-$B221+1)</f>
        <v/>
      </c>
      <c r="BH221" s="75">
        <f>$C221*INDEX(Curves!$AS$8:$AS$68,BH$4-$B221+1)</f>
        <v/>
      </c>
      <c r="BI221" s="75">
        <f>$C221*INDEX(Curves!$AS$8:$AS$68,BI$4-$B221+1)</f>
        <v/>
      </c>
      <c r="BJ221" s="75">
        <f>$C221*INDEX(Curves!$AS$8:$AS$68,BJ$4-$B221+1)</f>
        <v/>
      </c>
      <c r="BK221" s="75">
        <f>$C221*INDEX(Curves!$AS$8:$AS$68,BK$4-$B221+1)</f>
        <v/>
      </c>
      <c r="BL221" s="75">
        <f>$C221*INDEX(Curves!$AS$8:$AS$68,BL$4-$B221+1)</f>
        <v/>
      </c>
    </row>
    <row r="222">
      <c r="A222" s="74" t="inlineStr">
        <is>
          <t>Cohort month 24</t>
        </is>
      </c>
      <c r="B222" s="74" t="n">
        <v>24</v>
      </c>
      <c r="C222" s="17">
        <f>INDEX(Ops!$E$85:$BL$85,1,$B222)</f>
        <v/>
      </c>
      <c r="AC222" s="75">
        <f>$C222*INDEX(Curves!$AS$8:$AS$68,AC$4-$B222+1)</f>
        <v/>
      </c>
      <c r="AD222" s="75">
        <f>$C222*INDEX(Curves!$AS$8:$AS$68,AD$4-$B222+1)</f>
        <v/>
      </c>
      <c r="AE222" s="75">
        <f>$C222*INDEX(Curves!$AS$8:$AS$68,AE$4-$B222+1)</f>
        <v/>
      </c>
      <c r="AF222" s="75">
        <f>$C222*INDEX(Curves!$AS$8:$AS$68,AF$4-$B222+1)</f>
        <v/>
      </c>
      <c r="AG222" s="75">
        <f>$C222*INDEX(Curves!$AS$8:$AS$68,AG$4-$B222+1)</f>
        <v/>
      </c>
      <c r="AH222" s="75">
        <f>$C222*INDEX(Curves!$AS$8:$AS$68,AH$4-$B222+1)</f>
        <v/>
      </c>
      <c r="AI222" s="75">
        <f>$C222*INDEX(Curves!$AS$8:$AS$68,AI$4-$B222+1)</f>
        <v/>
      </c>
      <c r="AJ222" s="75">
        <f>$C222*INDEX(Curves!$AS$8:$AS$68,AJ$4-$B222+1)</f>
        <v/>
      </c>
      <c r="AK222" s="75">
        <f>$C222*INDEX(Curves!$AS$8:$AS$68,AK$4-$B222+1)</f>
        <v/>
      </c>
      <c r="AL222" s="75">
        <f>$C222*INDEX(Curves!$AS$8:$AS$68,AL$4-$B222+1)</f>
        <v/>
      </c>
      <c r="AM222" s="75">
        <f>$C222*INDEX(Curves!$AS$8:$AS$68,AM$4-$B222+1)</f>
        <v/>
      </c>
      <c r="AN222" s="75">
        <f>$C222*INDEX(Curves!$AS$8:$AS$68,AN$4-$B222+1)</f>
        <v/>
      </c>
      <c r="AO222" s="75">
        <f>$C222*INDEX(Curves!$AS$8:$AS$68,AO$4-$B222+1)</f>
        <v/>
      </c>
      <c r="AP222" s="75">
        <f>$C222*INDEX(Curves!$AS$8:$AS$68,AP$4-$B222+1)</f>
        <v/>
      </c>
      <c r="AQ222" s="75">
        <f>$C222*INDEX(Curves!$AS$8:$AS$68,AQ$4-$B222+1)</f>
        <v/>
      </c>
      <c r="AR222" s="75">
        <f>$C222*INDEX(Curves!$AS$8:$AS$68,AR$4-$B222+1)</f>
        <v/>
      </c>
      <c r="AS222" s="75">
        <f>$C222*INDEX(Curves!$AS$8:$AS$68,AS$4-$B222+1)</f>
        <v/>
      </c>
      <c r="AT222" s="75">
        <f>$C222*INDEX(Curves!$AS$8:$AS$68,AT$4-$B222+1)</f>
        <v/>
      </c>
      <c r="AU222" s="75">
        <f>$C222*INDEX(Curves!$AS$8:$AS$68,AU$4-$B222+1)</f>
        <v/>
      </c>
      <c r="AV222" s="75">
        <f>$C222*INDEX(Curves!$AS$8:$AS$68,AV$4-$B222+1)</f>
        <v/>
      </c>
      <c r="AW222" s="75">
        <f>$C222*INDEX(Curves!$AS$8:$AS$68,AW$4-$B222+1)</f>
        <v/>
      </c>
      <c r="AX222" s="75">
        <f>$C222*INDEX(Curves!$AS$8:$AS$68,AX$4-$B222+1)</f>
        <v/>
      </c>
      <c r="AY222" s="75">
        <f>$C222*INDEX(Curves!$AS$8:$AS$68,AY$4-$B222+1)</f>
        <v/>
      </c>
      <c r="AZ222" s="75">
        <f>$C222*INDEX(Curves!$AS$8:$AS$68,AZ$4-$B222+1)</f>
        <v/>
      </c>
      <c r="BA222" s="75">
        <f>$C222*INDEX(Curves!$AS$8:$AS$68,BA$4-$B222+1)</f>
        <v/>
      </c>
      <c r="BB222" s="75">
        <f>$C222*INDEX(Curves!$AS$8:$AS$68,BB$4-$B222+1)</f>
        <v/>
      </c>
      <c r="BC222" s="75">
        <f>$C222*INDEX(Curves!$AS$8:$AS$68,BC$4-$B222+1)</f>
        <v/>
      </c>
      <c r="BD222" s="75">
        <f>$C222*INDEX(Curves!$AS$8:$AS$68,BD$4-$B222+1)</f>
        <v/>
      </c>
      <c r="BE222" s="75">
        <f>$C222*INDEX(Curves!$AS$8:$AS$68,BE$4-$B222+1)</f>
        <v/>
      </c>
      <c r="BF222" s="75">
        <f>$C222*INDEX(Curves!$AS$8:$AS$68,BF$4-$B222+1)</f>
        <v/>
      </c>
      <c r="BG222" s="75">
        <f>$C222*INDEX(Curves!$AS$8:$AS$68,BG$4-$B222+1)</f>
        <v/>
      </c>
      <c r="BH222" s="75">
        <f>$C222*INDEX(Curves!$AS$8:$AS$68,BH$4-$B222+1)</f>
        <v/>
      </c>
      <c r="BI222" s="75">
        <f>$C222*INDEX(Curves!$AS$8:$AS$68,BI$4-$B222+1)</f>
        <v/>
      </c>
      <c r="BJ222" s="75">
        <f>$C222*INDEX(Curves!$AS$8:$AS$68,BJ$4-$B222+1)</f>
        <v/>
      </c>
      <c r="BK222" s="75">
        <f>$C222*INDEX(Curves!$AS$8:$AS$68,BK$4-$B222+1)</f>
        <v/>
      </c>
      <c r="BL222" s="75">
        <f>$C222*INDEX(Curves!$AS$8:$AS$68,BL$4-$B222+1)</f>
        <v/>
      </c>
    </row>
    <row r="223">
      <c r="A223" s="74" t="inlineStr">
        <is>
          <t>Cohort month 25</t>
        </is>
      </c>
      <c r="B223" s="74" t="n">
        <v>25</v>
      </c>
      <c r="C223" s="17">
        <f>INDEX(Ops!$E$85:$BL$85,1,$B223)</f>
        <v/>
      </c>
      <c r="AD223" s="75">
        <f>$C223*INDEX(Curves!$AS$8:$AS$68,AD$4-$B223+1)</f>
        <v/>
      </c>
      <c r="AE223" s="75">
        <f>$C223*INDEX(Curves!$AS$8:$AS$68,AE$4-$B223+1)</f>
        <v/>
      </c>
      <c r="AF223" s="75">
        <f>$C223*INDEX(Curves!$AS$8:$AS$68,AF$4-$B223+1)</f>
        <v/>
      </c>
      <c r="AG223" s="75">
        <f>$C223*INDEX(Curves!$AS$8:$AS$68,AG$4-$B223+1)</f>
        <v/>
      </c>
      <c r="AH223" s="75">
        <f>$C223*INDEX(Curves!$AS$8:$AS$68,AH$4-$B223+1)</f>
        <v/>
      </c>
      <c r="AI223" s="75">
        <f>$C223*INDEX(Curves!$AS$8:$AS$68,AI$4-$B223+1)</f>
        <v/>
      </c>
      <c r="AJ223" s="75">
        <f>$C223*INDEX(Curves!$AS$8:$AS$68,AJ$4-$B223+1)</f>
        <v/>
      </c>
      <c r="AK223" s="75">
        <f>$C223*INDEX(Curves!$AS$8:$AS$68,AK$4-$B223+1)</f>
        <v/>
      </c>
      <c r="AL223" s="75">
        <f>$C223*INDEX(Curves!$AS$8:$AS$68,AL$4-$B223+1)</f>
        <v/>
      </c>
      <c r="AM223" s="75">
        <f>$C223*INDEX(Curves!$AS$8:$AS$68,AM$4-$B223+1)</f>
        <v/>
      </c>
      <c r="AN223" s="75">
        <f>$C223*INDEX(Curves!$AS$8:$AS$68,AN$4-$B223+1)</f>
        <v/>
      </c>
      <c r="AO223" s="75">
        <f>$C223*INDEX(Curves!$AS$8:$AS$68,AO$4-$B223+1)</f>
        <v/>
      </c>
      <c r="AP223" s="75">
        <f>$C223*INDEX(Curves!$AS$8:$AS$68,AP$4-$B223+1)</f>
        <v/>
      </c>
      <c r="AQ223" s="75">
        <f>$C223*INDEX(Curves!$AS$8:$AS$68,AQ$4-$B223+1)</f>
        <v/>
      </c>
      <c r="AR223" s="75">
        <f>$C223*INDEX(Curves!$AS$8:$AS$68,AR$4-$B223+1)</f>
        <v/>
      </c>
      <c r="AS223" s="75">
        <f>$C223*INDEX(Curves!$AS$8:$AS$68,AS$4-$B223+1)</f>
        <v/>
      </c>
      <c r="AT223" s="75">
        <f>$C223*INDEX(Curves!$AS$8:$AS$68,AT$4-$B223+1)</f>
        <v/>
      </c>
      <c r="AU223" s="75">
        <f>$C223*INDEX(Curves!$AS$8:$AS$68,AU$4-$B223+1)</f>
        <v/>
      </c>
      <c r="AV223" s="75">
        <f>$C223*INDEX(Curves!$AS$8:$AS$68,AV$4-$B223+1)</f>
        <v/>
      </c>
      <c r="AW223" s="75">
        <f>$C223*INDEX(Curves!$AS$8:$AS$68,AW$4-$B223+1)</f>
        <v/>
      </c>
      <c r="AX223" s="75">
        <f>$C223*INDEX(Curves!$AS$8:$AS$68,AX$4-$B223+1)</f>
        <v/>
      </c>
      <c r="AY223" s="75">
        <f>$C223*INDEX(Curves!$AS$8:$AS$68,AY$4-$B223+1)</f>
        <v/>
      </c>
      <c r="AZ223" s="75">
        <f>$C223*INDEX(Curves!$AS$8:$AS$68,AZ$4-$B223+1)</f>
        <v/>
      </c>
      <c r="BA223" s="75">
        <f>$C223*INDEX(Curves!$AS$8:$AS$68,BA$4-$B223+1)</f>
        <v/>
      </c>
      <c r="BB223" s="75">
        <f>$C223*INDEX(Curves!$AS$8:$AS$68,BB$4-$B223+1)</f>
        <v/>
      </c>
      <c r="BC223" s="75">
        <f>$C223*INDEX(Curves!$AS$8:$AS$68,BC$4-$B223+1)</f>
        <v/>
      </c>
      <c r="BD223" s="75">
        <f>$C223*INDEX(Curves!$AS$8:$AS$68,BD$4-$B223+1)</f>
        <v/>
      </c>
      <c r="BE223" s="75">
        <f>$C223*INDEX(Curves!$AS$8:$AS$68,BE$4-$B223+1)</f>
        <v/>
      </c>
      <c r="BF223" s="75">
        <f>$C223*INDEX(Curves!$AS$8:$AS$68,BF$4-$B223+1)</f>
        <v/>
      </c>
      <c r="BG223" s="75">
        <f>$C223*INDEX(Curves!$AS$8:$AS$68,BG$4-$B223+1)</f>
        <v/>
      </c>
      <c r="BH223" s="75">
        <f>$C223*INDEX(Curves!$AS$8:$AS$68,BH$4-$B223+1)</f>
        <v/>
      </c>
      <c r="BI223" s="75">
        <f>$C223*INDEX(Curves!$AS$8:$AS$68,BI$4-$B223+1)</f>
        <v/>
      </c>
      <c r="BJ223" s="75">
        <f>$C223*INDEX(Curves!$AS$8:$AS$68,BJ$4-$B223+1)</f>
        <v/>
      </c>
      <c r="BK223" s="75">
        <f>$C223*INDEX(Curves!$AS$8:$AS$68,BK$4-$B223+1)</f>
        <v/>
      </c>
      <c r="BL223" s="75">
        <f>$C223*INDEX(Curves!$AS$8:$AS$68,BL$4-$B223+1)</f>
        <v/>
      </c>
    </row>
    <row r="224">
      <c r="A224" s="74" t="inlineStr">
        <is>
          <t>Cohort month 26</t>
        </is>
      </c>
      <c r="B224" s="74" t="n">
        <v>26</v>
      </c>
      <c r="C224" s="17">
        <f>INDEX(Ops!$E$85:$BL$85,1,$B224)</f>
        <v/>
      </c>
      <c r="AE224" s="75">
        <f>$C224*INDEX(Curves!$AS$8:$AS$68,AE$4-$B224+1)</f>
        <v/>
      </c>
      <c r="AF224" s="75">
        <f>$C224*INDEX(Curves!$AS$8:$AS$68,AF$4-$B224+1)</f>
        <v/>
      </c>
      <c r="AG224" s="75">
        <f>$C224*INDEX(Curves!$AS$8:$AS$68,AG$4-$B224+1)</f>
        <v/>
      </c>
      <c r="AH224" s="75">
        <f>$C224*INDEX(Curves!$AS$8:$AS$68,AH$4-$B224+1)</f>
        <v/>
      </c>
      <c r="AI224" s="75">
        <f>$C224*INDEX(Curves!$AS$8:$AS$68,AI$4-$B224+1)</f>
        <v/>
      </c>
      <c r="AJ224" s="75">
        <f>$C224*INDEX(Curves!$AS$8:$AS$68,AJ$4-$B224+1)</f>
        <v/>
      </c>
      <c r="AK224" s="75">
        <f>$C224*INDEX(Curves!$AS$8:$AS$68,AK$4-$B224+1)</f>
        <v/>
      </c>
      <c r="AL224" s="75">
        <f>$C224*INDEX(Curves!$AS$8:$AS$68,AL$4-$B224+1)</f>
        <v/>
      </c>
      <c r="AM224" s="75">
        <f>$C224*INDEX(Curves!$AS$8:$AS$68,AM$4-$B224+1)</f>
        <v/>
      </c>
      <c r="AN224" s="75">
        <f>$C224*INDEX(Curves!$AS$8:$AS$68,AN$4-$B224+1)</f>
        <v/>
      </c>
      <c r="AO224" s="75">
        <f>$C224*INDEX(Curves!$AS$8:$AS$68,AO$4-$B224+1)</f>
        <v/>
      </c>
      <c r="AP224" s="75">
        <f>$C224*INDEX(Curves!$AS$8:$AS$68,AP$4-$B224+1)</f>
        <v/>
      </c>
      <c r="AQ224" s="75">
        <f>$C224*INDEX(Curves!$AS$8:$AS$68,AQ$4-$B224+1)</f>
        <v/>
      </c>
      <c r="AR224" s="75">
        <f>$C224*INDEX(Curves!$AS$8:$AS$68,AR$4-$B224+1)</f>
        <v/>
      </c>
      <c r="AS224" s="75">
        <f>$C224*INDEX(Curves!$AS$8:$AS$68,AS$4-$B224+1)</f>
        <v/>
      </c>
      <c r="AT224" s="75">
        <f>$C224*INDEX(Curves!$AS$8:$AS$68,AT$4-$B224+1)</f>
        <v/>
      </c>
      <c r="AU224" s="75">
        <f>$C224*INDEX(Curves!$AS$8:$AS$68,AU$4-$B224+1)</f>
        <v/>
      </c>
      <c r="AV224" s="75">
        <f>$C224*INDEX(Curves!$AS$8:$AS$68,AV$4-$B224+1)</f>
        <v/>
      </c>
      <c r="AW224" s="75">
        <f>$C224*INDEX(Curves!$AS$8:$AS$68,AW$4-$B224+1)</f>
        <v/>
      </c>
      <c r="AX224" s="75">
        <f>$C224*INDEX(Curves!$AS$8:$AS$68,AX$4-$B224+1)</f>
        <v/>
      </c>
      <c r="AY224" s="75">
        <f>$C224*INDEX(Curves!$AS$8:$AS$68,AY$4-$B224+1)</f>
        <v/>
      </c>
      <c r="AZ224" s="75">
        <f>$C224*INDEX(Curves!$AS$8:$AS$68,AZ$4-$B224+1)</f>
        <v/>
      </c>
      <c r="BA224" s="75">
        <f>$C224*INDEX(Curves!$AS$8:$AS$68,BA$4-$B224+1)</f>
        <v/>
      </c>
      <c r="BB224" s="75">
        <f>$C224*INDEX(Curves!$AS$8:$AS$68,BB$4-$B224+1)</f>
        <v/>
      </c>
      <c r="BC224" s="75">
        <f>$C224*INDEX(Curves!$AS$8:$AS$68,BC$4-$B224+1)</f>
        <v/>
      </c>
      <c r="BD224" s="75">
        <f>$C224*INDEX(Curves!$AS$8:$AS$68,BD$4-$B224+1)</f>
        <v/>
      </c>
      <c r="BE224" s="75">
        <f>$C224*INDEX(Curves!$AS$8:$AS$68,BE$4-$B224+1)</f>
        <v/>
      </c>
      <c r="BF224" s="75">
        <f>$C224*INDEX(Curves!$AS$8:$AS$68,BF$4-$B224+1)</f>
        <v/>
      </c>
      <c r="BG224" s="75">
        <f>$C224*INDEX(Curves!$AS$8:$AS$68,BG$4-$B224+1)</f>
        <v/>
      </c>
      <c r="BH224" s="75">
        <f>$C224*INDEX(Curves!$AS$8:$AS$68,BH$4-$B224+1)</f>
        <v/>
      </c>
      <c r="BI224" s="75">
        <f>$C224*INDEX(Curves!$AS$8:$AS$68,BI$4-$B224+1)</f>
        <v/>
      </c>
      <c r="BJ224" s="75">
        <f>$C224*INDEX(Curves!$AS$8:$AS$68,BJ$4-$B224+1)</f>
        <v/>
      </c>
      <c r="BK224" s="75">
        <f>$C224*INDEX(Curves!$AS$8:$AS$68,BK$4-$B224+1)</f>
        <v/>
      </c>
      <c r="BL224" s="75">
        <f>$C224*INDEX(Curves!$AS$8:$AS$68,BL$4-$B224+1)</f>
        <v/>
      </c>
    </row>
    <row r="225">
      <c r="A225" s="74" t="inlineStr">
        <is>
          <t>Cohort month 27</t>
        </is>
      </c>
      <c r="B225" s="74" t="n">
        <v>27</v>
      </c>
      <c r="C225" s="17">
        <f>INDEX(Ops!$E$85:$BL$85,1,$B225)</f>
        <v/>
      </c>
      <c r="AF225" s="75">
        <f>$C225*INDEX(Curves!$AS$8:$AS$68,AF$4-$B225+1)</f>
        <v/>
      </c>
      <c r="AG225" s="75">
        <f>$C225*INDEX(Curves!$AS$8:$AS$68,AG$4-$B225+1)</f>
        <v/>
      </c>
      <c r="AH225" s="75">
        <f>$C225*INDEX(Curves!$AS$8:$AS$68,AH$4-$B225+1)</f>
        <v/>
      </c>
      <c r="AI225" s="75">
        <f>$C225*INDEX(Curves!$AS$8:$AS$68,AI$4-$B225+1)</f>
        <v/>
      </c>
      <c r="AJ225" s="75">
        <f>$C225*INDEX(Curves!$AS$8:$AS$68,AJ$4-$B225+1)</f>
        <v/>
      </c>
      <c r="AK225" s="75">
        <f>$C225*INDEX(Curves!$AS$8:$AS$68,AK$4-$B225+1)</f>
        <v/>
      </c>
      <c r="AL225" s="75">
        <f>$C225*INDEX(Curves!$AS$8:$AS$68,AL$4-$B225+1)</f>
        <v/>
      </c>
      <c r="AM225" s="75">
        <f>$C225*INDEX(Curves!$AS$8:$AS$68,AM$4-$B225+1)</f>
        <v/>
      </c>
      <c r="AN225" s="75">
        <f>$C225*INDEX(Curves!$AS$8:$AS$68,AN$4-$B225+1)</f>
        <v/>
      </c>
      <c r="AO225" s="75">
        <f>$C225*INDEX(Curves!$AS$8:$AS$68,AO$4-$B225+1)</f>
        <v/>
      </c>
      <c r="AP225" s="75">
        <f>$C225*INDEX(Curves!$AS$8:$AS$68,AP$4-$B225+1)</f>
        <v/>
      </c>
      <c r="AQ225" s="75">
        <f>$C225*INDEX(Curves!$AS$8:$AS$68,AQ$4-$B225+1)</f>
        <v/>
      </c>
      <c r="AR225" s="75">
        <f>$C225*INDEX(Curves!$AS$8:$AS$68,AR$4-$B225+1)</f>
        <v/>
      </c>
      <c r="AS225" s="75">
        <f>$C225*INDEX(Curves!$AS$8:$AS$68,AS$4-$B225+1)</f>
        <v/>
      </c>
      <c r="AT225" s="75">
        <f>$C225*INDEX(Curves!$AS$8:$AS$68,AT$4-$B225+1)</f>
        <v/>
      </c>
      <c r="AU225" s="75">
        <f>$C225*INDEX(Curves!$AS$8:$AS$68,AU$4-$B225+1)</f>
        <v/>
      </c>
      <c r="AV225" s="75">
        <f>$C225*INDEX(Curves!$AS$8:$AS$68,AV$4-$B225+1)</f>
        <v/>
      </c>
      <c r="AW225" s="75">
        <f>$C225*INDEX(Curves!$AS$8:$AS$68,AW$4-$B225+1)</f>
        <v/>
      </c>
      <c r="AX225" s="75">
        <f>$C225*INDEX(Curves!$AS$8:$AS$68,AX$4-$B225+1)</f>
        <v/>
      </c>
      <c r="AY225" s="75">
        <f>$C225*INDEX(Curves!$AS$8:$AS$68,AY$4-$B225+1)</f>
        <v/>
      </c>
      <c r="AZ225" s="75">
        <f>$C225*INDEX(Curves!$AS$8:$AS$68,AZ$4-$B225+1)</f>
        <v/>
      </c>
      <c r="BA225" s="75">
        <f>$C225*INDEX(Curves!$AS$8:$AS$68,BA$4-$B225+1)</f>
        <v/>
      </c>
      <c r="BB225" s="75">
        <f>$C225*INDEX(Curves!$AS$8:$AS$68,BB$4-$B225+1)</f>
        <v/>
      </c>
      <c r="BC225" s="75">
        <f>$C225*INDEX(Curves!$AS$8:$AS$68,BC$4-$B225+1)</f>
        <v/>
      </c>
      <c r="BD225" s="75">
        <f>$C225*INDEX(Curves!$AS$8:$AS$68,BD$4-$B225+1)</f>
        <v/>
      </c>
      <c r="BE225" s="75">
        <f>$C225*INDEX(Curves!$AS$8:$AS$68,BE$4-$B225+1)</f>
        <v/>
      </c>
      <c r="BF225" s="75">
        <f>$C225*INDEX(Curves!$AS$8:$AS$68,BF$4-$B225+1)</f>
        <v/>
      </c>
      <c r="BG225" s="75">
        <f>$C225*INDEX(Curves!$AS$8:$AS$68,BG$4-$B225+1)</f>
        <v/>
      </c>
      <c r="BH225" s="75">
        <f>$C225*INDEX(Curves!$AS$8:$AS$68,BH$4-$B225+1)</f>
        <v/>
      </c>
      <c r="BI225" s="75">
        <f>$C225*INDEX(Curves!$AS$8:$AS$68,BI$4-$B225+1)</f>
        <v/>
      </c>
      <c r="BJ225" s="75">
        <f>$C225*INDEX(Curves!$AS$8:$AS$68,BJ$4-$B225+1)</f>
        <v/>
      </c>
      <c r="BK225" s="75">
        <f>$C225*INDEX(Curves!$AS$8:$AS$68,BK$4-$B225+1)</f>
        <v/>
      </c>
      <c r="BL225" s="75">
        <f>$C225*INDEX(Curves!$AS$8:$AS$68,BL$4-$B225+1)</f>
        <v/>
      </c>
    </row>
    <row r="226">
      <c r="A226" s="74" t="inlineStr">
        <is>
          <t>Cohort month 28</t>
        </is>
      </c>
      <c r="B226" s="74" t="n">
        <v>28</v>
      </c>
      <c r="C226" s="17">
        <f>INDEX(Ops!$E$85:$BL$85,1,$B226)</f>
        <v/>
      </c>
      <c r="AG226" s="75">
        <f>$C226*INDEX(Curves!$AS$8:$AS$68,AG$4-$B226+1)</f>
        <v/>
      </c>
      <c r="AH226" s="75">
        <f>$C226*INDEX(Curves!$AS$8:$AS$68,AH$4-$B226+1)</f>
        <v/>
      </c>
      <c r="AI226" s="75">
        <f>$C226*INDEX(Curves!$AS$8:$AS$68,AI$4-$B226+1)</f>
        <v/>
      </c>
      <c r="AJ226" s="75">
        <f>$C226*INDEX(Curves!$AS$8:$AS$68,AJ$4-$B226+1)</f>
        <v/>
      </c>
      <c r="AK226" s="75">
        <f>$C226*INDEX(Curves!$AS$8:$AS$68,AK$4-$B226+1)</f>
        <v/>
      </c>
      <c r="AL226" s="75">
        <f>$C226*INDEX(Curves!$AS$8:$AS$68,AL$4-$B226+1)</f>
        <v/>
      </c>
      <c r="AM226" s="75">
        <f>$C226*INDEX(Curves!$AS$8:$AS$68,AM$4-$B226+1)</f>
        <v/>
      </c>
      <c r="AN226" s="75">
        <f>$C226*INDEX(Curves!$AS$8:$AS$68,AN$4-$B226+1)</f>
        <v/>
      </c>
      <c r="AO226" s="75">
        <f>$C226*INDEX(Curves!$AS$8:$AS$68,AO$4-$B226+1)</f>
        <v/>
      </c>
      <c r="AP226" s="75">
        <f>$C226*INDEX(Curves!$AS$8:$AS$68,AP$4-$B226+1)</f>
        <v/>
      </c>
      <c r="AQ226" s="75">
        <f>$C226*INDEX(Curves!$AS$8:$AS$68,AQ$4-$B226+1)</f>
        <v/>
      </c>
      <c r="AR226" s="75">
        <f>$C226*INDEX(Curves!$AS$8:$AS$68,AR$4-$B226+1)</f>
        <v/>
      </c>
      <c r="AS226" s="75">
        <f>$C226*INDEX(Curves!$AS$8:$AS$68,AS$4-$B226+1)</f>
        <v/>
      </c>
      <c r="AT226" s="75">
        <f>$C226*INDEX(Curves!$AS$8:$AS$68,AT$4-$B226+1)</f>
        <v/>
      </c>
      <c r="AU226" s="75">
        <f>$C226*INDEX(Curves!$AS$8:$AS$68,AU$4-$B226+1)</f>
        <v/>
      </c>
      <c r="AV226" s="75">
        <f>$C226*INDEX(Curves!$AS$8:$AS$68,AV$4-$B226+1)</f>
        <v/>
      </c>
      <c r="AW226" s="75">
        <f>$C226*INDEX(Curves!$AS$8:$AS$68,AW$4-$B226+1)</f>
        <v/>
      </c>
      <c r="AX226" s="75">
        <f>$C226*INDEX(Curves!$AS$8:$AS$68,AX$4-$B226+1)</f>
        <v/>
      </c>
      <c r="AY226" s="75">
        <f>$C226*INDEX(Curves!$AS$8:$AS$68,AY$4-$B226+1)</f>
        <v/>
      </c>
      <c r="AZ226" s="75">
        <f>$C226*INDEX(Curves!$AS$8:$AS$68,AZ$4-$B226+1)</f>
        <v/>
      </c>
      <c r="BA226" s="75">
        <f>$C226*INDEX(Curves!$AS$8:$AS$68,BA$4-$B226+1)</f>
        <v/>
      </c>
      <c r="BB226" s="75">
        <f>$C226*INDEX(Curves!$AS$8:$AS$68,BB$4-$B226+1)</f>
        <v/>
      </c>
      <c r="BC226" s="75">
        <f>$C226*INDEX(Curves!$AS$8:$AS$68,BC$4-$B226+1)</f>
        <v/>
      </c>
      <c r="BD226" s="75">
        <f>$C226*INDEX(Curves!$AS$8:$AS$68,BD$4-$B226+1)</f>
        <v/>
      </c>
      <c r="BE226" s="75">
        <f>$C226*INDEX(Curves!$AS$8:$AS$68,BE$4-$B226+1)</f>
        <v/>
      </c>
      <c r="BF226" s="75">
        <f>$C226*INDEX(Curves!$AS$8:$AS$68,BF$4-$B226+1)</f>
        <v/>
      </c>
      <c r="BG226" s="75">
        <f>$C226*INDEX(Curves!$AS$8:$AS$68,BG$4-$B226+1)</f>
        <v/>
      </c>
      <c r="BH226" s="75">
        <f>$C226*INDEX(Curves!$AS$8:$AS$68,BH$4-$B226+1)</f>
        <v/>
      </c>
      <c r="BI226" s="75">
        <f>$C226*INDEX(Curves!$AS$8:$AS$68,BI$4-$B226+1)</f>
        <v/>
      </c>
      <c r="BJ226" s="75">
        <f>$C226*INDEX(Curves!$AS$8:$AS$68,BJ$4-$B226+1)</f>
        <v/>
      </c>
      <c r="BK226" s="75">
        <f>$C226*INDEX(Curves!$AS$8:$AS$68,BK$4-$B226+1)</f>
        <v/>
      </c>
      <c r="BL226" s="75">
        <f>$C226*INDEX(Curves!$AS$8:$AS$68,BL$4-$B226+1)</f>
        <v/>
      </c>
    </row>
    <row r="227">
      <c r="A227" s="74" t="inlineStr">
        <is>
          <t>Cohort month 29</t>
        </is>
      </c>
      <c r="B227" s="74" t="n">
        <v>29</v>
      </c>
      <c r="C227" s="17">
        <f>INDEX(Ops!$E$85:$BL$85,1,$B227)</f>
        <v/>
      </c>
      <c r="AH227" s="75">
        <f>$C227*INDEX(Curves!$AS$8:$AS$68,AH$4-$B227+1)</f>
        <v/>
      </c>
      <c r="AI227" s="75">
        <f>$C227*INDEX(Curves!$AS$8:$AS$68,AI$4-$B227+1)</f>
        <v/>
      </c>
      <c r="AJ227" s="75">
        <f>$C227*INDEX(Curves!$AS$8:$AS$68,AJ$4-$B227+1)</f>
        <v/>
      </c>
      <c r="AK227" s="75">
        <f>$C227*INDEX(Curves!$AS$8:$AS$68,AK$4-$B227+1)</f>
        <v/>
      </c>
      <c r="AL227" s="75">
        <f>$C227*INDEX(Curves!$AS$8:$AS$68,AL$4-$B227+1)</f>
        <v/>
      </c>
      <c r="AM227" s="75">
        <f>$C227*INDEX(Curves!$AS$8:$AS$68,AM$4-$B227+1)</f>
        <v/>
      </c>
      <c r="AN227" s="75">
        <f>$C227*INDEX(Curves!$AS$8:$AS$68,AN$4-$B227+1)</f>
        <v/>
      </c>
      <c r="AO227" s="75">
        <f>$C227*INDEX(Curves!$AS$8:$AS$68,AO$4-$B227+1)</f>
        <v/>
      </c>
      <c r="AP227" s="75">
        <f>$C227*INDEX(Curves!$AS$8:$AS$68,AP$4-$B227+1)</f>
        <v/>
      </c>
      <c r="AQ227" s="75">
        <f>$C227*INDEX(Curves!$AS$8:$AS$68,AQ$4-$B227+1)</f>
        <v/>
      </c>
      <c r="AR227" s="75">
        <f>$C227*INDEX(Curves!$AS$8:$AS$68,AR$4-$B227+1)</f>
        <v/>
      </c>
      <c r="AS227" s="75">
        <f>$C227*INDEX(Curves!$AS$8:$AS$68,AS$4-$B227+1)</f>
        <v/>
      </c>
      <c r="AT227" s="75">
        <f>$C227*INDEX(Curves!$AS$8:$AS$68,AT$4-$B227+1)</f>
        <v/>
      </c>
      <c r="AU227" s="75">
        <f>$C227*INDEX(Curves!$AS$8:$AS$68,AU$4-$B227+1)</f>
        <v/>
      </c>
      <c r="AV227" s="75">
        <f>$C227*INDEX(Curves!$AS$8:$AS$68,AV$4-$B227+1)</f>
        <v/>
      </c>
      <c r="AW227" s="75">
        <f>$C227*INDEX(Curves!$AS$8:$AS$68,AW$4-$B227+1)</f>
        <v/>
      </c>
      <c r="AX227" s="75">
        <f>$C227*INDEX(Curves!$AS$8:$AS$68,AX$4-$B227+1)</f>
        <v/>
      </c>
      <c r="AY227" s="75">
        <f>$C227*INDEX(Curves!$AS$8:$AS$68,AY$4-$B227+1)</f>
        <v/>
      </c>
      <c r="AZ227" s="75">
        <f>$C227*INDEX(Curves!$AS$8:$AS$68,AZ$4-$B227+1)</f>
        <v/>
      </c>
      <c r="BA227" s="75">
        <f>$C227*INDEX(Curves!$AS$8:$AS$68,BA$4-$B227+1)</f>
        <v/>
      </c>
      <c r="BB227" s="75">
        <f>$C227*INDEX(Curves!$AS$8:$AS$68,BB$4-$B227+1)</f>
        <v/>
      </c>
      <c r="BC227" s="75">
        <f>$C227*INDEX(Curves!$AS$8:$AS$68,BC$4-$B227+1)</f>
        <v/>
      </c>
      <c r="BD227" s="75">
        <f>$C227*INDEX(Curves!$AS$8:$AS$68,BD$4-$B227+1)</f>
        <v/>
      </c>
      <c r="BE227" s="75">
        <f>$C227*INDEX(Curves!$AS$8:$AS$68,BE$4-$B227+1)</f>
        <v/>
      </c>
      <c r="BF227" s="75">
        <f>$C227*INDEX(Curves!$AS$8:$AS$68,BF$4-$B227+1)</f>
        <v/>
      </c>
      <c r="BG227" s="75">
        <f>$C227*INDEX(Curves!$AS$8:$AS$68,BG$4-$B227+1)</f>
        <v/>
      </c>
      <c r="BH227" s="75">
        <f>$C227*INDEX(Curves!$AS$8:$AS$68,BH$4-$B227+1)</f>
        <v/>
      </c>
      <c r="BI227" s="75">
        <f>$C227*INDEX(Curves!$AS$8:$AS$68,BI$4-$B227+1)</f>
        <v/>
      </c>
      <c r="BJ227" s="75">
        <f>$C227*INDEX(Curves!$AS$8:$AS$68,BJ$4-$B227+1)</f>
        <v/>
      </c>
      <c r="BK227" s="75">
        <f>$C227*INDEX(Curves!$AS$8:$AS$68,BK$4-$B227+1)</f>
        <v/>
      </c>
      <c r="BL227" s="75">
        <f>$C227*INDEX(Curves!$AS$8:$AS$68,BL$4-$B227+1)</f>
        <v/>
      </c>
    </row>
    <row r="228">
      <c r="A228" s="74" t="inlineStr">
        <is>
          <t>Cohort month 30</t>
        </is>
      </c>
      <c r="B228" s="74" t="n">
        <v>30</v>
      </c>
      <c r="C228" s="17">
        <f>INDEX(Ops!$E$85:$BL$85,1,$B228)</f>
        <v/>
      </c>
      <c r="AI228" s="75">
        <f>$C228*INDEX(Curves!$AS$8:$AS$68,AI$4-$B228+1)</f>
        <v/>
      </c>
      <c r="AJ228" s="75">
        <f>$C228*INDEX(Curves!$AS$8:$AS$68,AJ$4-$B228+1)</f>
        <v/>
      </c>
      <c r="AK228" s="75">
        <f>$C228*INDEX(Curves!$AS$8:$AS$68,AK$4-$B228+1)</f>
        <v/>
      </c>
      <c r="AL228" s="75">
        <f>$C228*INDEX(Curves!$AS$8:$AS$68,AL$4-$B228+1)</f>
        <v/>
      </c>
      <c r="AM228" s="75">
        <f>$C228*INDEX(Curves!$AS$8:$AS$68,AM$4-$B228+1)</f>
        <v/>
      </c>
      <c r="AN228" s="75">
        <f>$C228*INDEX(Curves!$AS$8:$AS$68,AN$4-$B228+1)</f>
        <v/>
      </c>
      <c r="AO228" s="75">
        <f>$C228*INDEX(Curves!$AS$8:$AS$68,AO$4-$B228+1)</f>
        <v/>
      </c>
      <c r="AP228" s="75">
        <f>$C228*INDEX(Curves!$AS$8:$AS$68,AP$4-$B228+1)</f>
        <v/>
      </c>
      <c r="AQ228" s="75">
        <f>$C228*INDEX(Curves!$AS$8:$AS$68,AQ$4-$B228+1)</f>
        <v/>
      </c>
      <c r="AR228" s="75">
        <f>$C228*INDEX(Curves!$AS$8:$AS$68,AR$4-$B228+1)</f>
        <v/>
      </c>
      <c r="AS228" s="75">
        <f>$C228*INDEX(Curves!$AS$8:$AS$68,AS$4-$B228+1)</f>
        <v/>
      </c>
      <c r="AT228" s="75">
        <f>$C228*INDEX(Curves!$AS$8:$AS$68,AT$4-$B228+1)</f>
        <v/>
      </c>
      <c r="AU228" s="75">
        <f>$C228*INDEX(Curves!$AS$8:$AS$68,AU$4-$B228+1)</f>
        <v/>
      </c>
      <c r="AV228" s="75">
        <f>$C228*INDEX(Curves!$AS$8:$AS$68,AV$4-$B228+1)</f>
        <v/>
      </c>
      <c r="AW228" s="75">
        <f>$C228*INDEX(Curves!$AS$8:$AS$68,AW$4-$B228+1)</f>
        <v/>
      </c>
      <c r="AX228" s="75">
        <f>$C228*INDEX(Curves!$AS$8:$AS$68,AX$4-$B228+1)</f>
        <v/>
      </c>
      <c r="AY228" s="75">
        <f>$C228*INDEX(Curves!$AS$8:$AS$68,AY$4-$B228+1)</f>
        <v/>
      </c>
      <c r="AZ228" s="75">
        <f>$C228*INDEX(Curves!$AS$8:$AS$68,AZ$4-$B228+1)</f>
        <v/>
      </c>
      <c r="BA228" s="75">
        <f>$C228*INDEX(Curves!$AS$8:$AS$68,BA$4-$B228+1)</f>
        <v/>
      </c>
      <c r="BB228" s="75">
        <f>$C228*INDEX(Curves!$AS$8:$AS$68,BB$4-$B228+1)</f>
        <v/>
      </c>
      <c r="BC228" s="75">
        <f>$C228*INDEX(Curves!$AS$8:$AS$68,BC$4-$B228+1)</f>
        <v/>
      </c>
      <c r="BD228" s="75">
        <f>$C228*INDEX(Curves!$AS$8:$AS$68,BD$4-$B228+1)</f>
        <v/>
      </c>
      <c r="BE228" s="75">
        <f>$C228*INDEX(Curves!$AS$8:$AS$68,BE$4-$B228+1)</f>
        <v/>
      </c>
      <c r="BF228" s="75">
        <f>$C228*INDEX(Curves!$AS$8:$AS$68,BF$4-$B228+1)</f>
        <v/>
      </c>
      <c r="BG228" s="75">
        <f>$C228*INDEX(Curves!$AS$8:$AS$68,BG$4-$B228+1)</f>
        <v/>
      </c>
      <c r="BH228" s="75">
        <f>$C228*INDEX(Curves!$AS$8:$AS$68,BH$4-$B228+1)</f>
        <v/>
      </c>
      <c r="BI228" s="75">
        <f>$C228*INDEX(Curves!$AS$8:$AS$68,BI$4-$B228+1)</f>
        <v/>
      </c>
      <c r="BJ228" s="75">
        <f>$C228*INDEX(Curves!$AS$8:$AS$68,BJ$4-$B228+1)</f>
        <v/>
      </c>
      <c r="BK228" s="75">
        <f>$C228*INDEX(Curves!$AS$8:$AS$68,BK$4-$B228+1)</f>
        <v/>
      </c>
      <c r="BL228" s="75">
        <f>$C228*INDEX(Curves!$AS$8:$AS$68,BL$4-$B228+1)</f>
        <v/>
      </c>
    </row>
    <row r="229">
      <c r="A229" s="74" t="inlineStr">
        <is>
          <t>Cohort month 31</t>
        </is>
      </c>
      <c r="B229" s="74" t="n">
        <v>31</v>
      </c>
      <c r="C229" s="17">
        <f>INDEX(Ops!$E$85:$BL$85,1,$B229)</f>
        <v/>
      </c>
      <c r="AJ229" s="75">
        <f>$C229*INDEX(Curves!$AS$8:$AS$68,AJ$4-$B229+1)</f>
        <v/>
      </c>
      <c r="AK229" s="75">
        <f>$C229*INDEX(Curves!$AS$8:$AS$68,AK$4-$B229+1)</f>
        <v/>
      </c>
      <c r="AL229" s="75">
        <f>$C229*INDEX(Curves!$AS$8:$AS$68,AL$4-$B229+1)</f>
        <v/>
      </c>
      <c r="AM229" s="75">
        <f>$C229*INDEX(Curves!$AS$8:$AS$68,AM$4-$B229+1)</f>
        <v/>
      </c>
      <c r="AN229" s="75">
        <f>$C229*INDEX(Curves!$AS$8:$AS$68,AN$4-$B229+1)</f>
        <v/>
      </c>
      <c r="AO229" s="75">
        <f>$C229*INDEX(Curves!$AS$8:$AS$68,AO$4-$B229+1)</f>
        <v/>
      </c>
      <c r="AP229" s="75">
        <f>$C229*INDEX(Curves!$AS$8:$AS$68,AP$4-$B229+1)</f>
        <v/>
      </c>
      <c r="AQ229" s="75">
        <f>$C229*INDEX(Curves!$AS$8:$AS$68,AQ$4-$B229+1)</f>
        <v/>
      </c>
      <c r="AR229" s="75">
        <f>$C229*INDEX(Curves!$AS$8:$AS$68,AR$4-$B229+1)</f>
        <v/>
      </c>
      <c r="AS229" s="75">
        <f>$C229*INDEX(Curves!$AS$8:$AS$68,AS$4-$B229+1)</f>
        <v/>
      </c>
      <c r="AT229" s="75">
        <f>$C229*INDEX(Curves!$AS$8:$AS$68,AT$4-$B229+1)</f>
        <v/>
      </c>
      <c r="AU229" s="75">
        <f>$C229*INDEX(Curves!$AS$8:$AS$68,AU$4-$B229+1)</f>
        <v/>
      </c>
      <c r="AV229" s="75">
        <f>$C229*INDEX(Curves!$AS$8:$AS$68,AV$4-$B229+1)</f>
        <v/>
      </c>
      <c r="AW229" s="75">
        <f>$C229*INDEX(Curves!$AS$8:$AS$68,AW$4-$B229+1)</f>
        <v/>
      </c>
      <c r="AX229" s="75">
        <f>$C229*INDEX(Curves!$AS$8:$AS$68,AX$4-$B229+1)</f>
        <v/>
      </c>
      <c r="AY229" s="75">
        <f>$C229*INDEX(Curves!$AS$8:$AS$68,AY$4-$B229+1)</f>
        <v/>
      </c>
      <c r="AZ229" s="75">
        <f>$C229*INDEX(Curves!$AS$8:$AS$68,AZ$4-$B229+1)</f>
        <v/>
      </c>
      <c r="BA229" s="75">
        <f>$C229*INDEX(Curves!$AS$8:$AS$68,BA$4-$B229+1)</f>
        <v/>
      </c>
      <c r="BB229" s="75">
        <f>$C229*INDEX(Curves!$AS$8:$AS$68,BB$4-$B229+1)</f>
        <v/>
      </c>
      <c r="BC229" s="75">
        <f>$C229*INDEX(Curves!$AS$8:$AS$68,BC$4-$B229+1)</f>
        <v/>
      </c>
      <c r="BD229" s="75">
        <f>$C229*INDEX(Curves!$AS$8:$AS$68,BD$4-$B229+1)</f>
        <v/>
      </c>
      <c r="BE229" s="75">
        <f>$C229*INDEX(Curves!$AS$8:$AS$68,BE$4-$B229+1)</f>
        <v/>
      </c>
      <c r="BF229" s="75">
        <f>$C229*INDEX(Curves!$AS$8:$AS$68,BF$4-$B229+1)</f>
        <v/>
      </c>
      <c r="BG229" s="75">
        <f>$C229*INDEX(Curves!$AS$8:$AS$68,BG$4-$B229+1)</f>
        <v/>
      </c>
      <c r="BH229" s="75">
        <f>$C229*INDEX(Curves!$AS$8:$AS$68,BH$4-$B229+1)</f>
        <v/>
      </c>
      <c r="BI229" s="75">
        <f>$C229*INDEX(Curves!$AS$8:$AS$68,BI$4-$B229+1)</f>
        <v/>
      </c>
      <c r="BJ229" s="75">
        <f>$C229*INDEX(Curves!$AS$8:$AS$68,BJ$4-$B229+1)</f>
        <v/>
      </c>
      <c r="BK229" s="75">
        <f>$C229*INDEX(Curves!$AS$8:$AS$68,BK$4-$B229+1)</f>
        <v/>
      </c>
      <c r="BL229" s="75">
        <f>$C229*INDEX(Curves!$AS$8:$AS$68,BL$4-$B229+1)</f>
        <v/>
      </c>
    </row>
    <row r="230">
      <c r="A230" s="74" t="inlineStr">
        <is>
          <t>Cohort month 32</t>
        </is>
      </c>
      <c r="B230" s="74" t="n">
        <v>32</v>
      </c>
      <c r="C230" s="17">
        <f>INDEX(Ops!$E$85:$BL$85,1,$B230)</f>
        <v/>
      </c>
      <c r="AK230" s="75">
        <f>$C230*INDEX(Curves!$AS$8:$AS$68,AK$4-$B230+1)</f>
        <v/>
      </c>
      <c r="AL230" s="75">
        <f>$C230*INDEX(Curves!$AS$8:$AS$68,AL$4-$B230+1)</f>
        <v/>
      </c>
      <c r="AM230" s="75">
        <f>$C230*INDEX(Curves!$AS$8:$AS$68,AM$4-$B230+1)</f>
        <v/>
      </c>
      <c r="AN230" s="75">
        <f>$C230*INDEX(Curves!$AS$8:$AS$68,AN$4-$B230+1)</f>
        <v/>
      </c>
      <c r="AO230" s="75">
        <f>$C230*INDEX(Curves!$AS$8:$AS$68,AO$4-$B230+1)</f>
        <v/>
      </c>
      <c r="AP230" s="75">
        <f>$C230*INDEX(Curves!$AS$8:$AS$68,AP$4-$B230+1)</f>
        <v/>
      </c>
      <c r="AQ230" s="75">
        <f>$C230*INDEX(Curves!$AS$8:$AS$68,AQ$4-$B230+1)</f>
        <v/>
      </c>
      <c r="AR230" s="75">
        <f>$C230*INDEX(Curves!$AS$8:$AS$68,AR$4-$B230+1)</f>
        <v/>
      </c>
      <c r="AS230" s="75">
        <f>$C230*INDEX(Curves!$AS$8:$AS$68,AS$4-$B230+1)</f>
        <v/>
      </c>
      <c r="AT230" s="75">
        <f>$C230*INDEX(Curves!$AS$8:$AS$68,AT$4-$B230+1)</f>
        <v/>
      </c>
      <c r="AU230" s="75">
        <f>$C230*INDEX(Curves!$AS$8:$AS$68,AU$4-$B230+1)</f>
        <v/>
      </c>
      <c r="AV230" s="75">
        <f>$C230*INDEX(Curves!$AS$8:$AS$68,AV$4-$B230+1)</f>
        <v/>
      </c>
      <c r="AW230" s="75">
        <f>$C230*INDEX(Curves!$AS$8:$AS$68,AW$4-$B230+1)</f>
        <v/>
      </c>
      <c r="AX230" s="75">
        <f>$C230*INDEX(Curves!$AS$8:$AS$68,AX$4-$B230+1)</f>
        <v/>
      </c>
      <c r="AY230" s="75">
        <f>$C230*INDEX(Curves!$AS$8:$AS$68,AY$4-$B230+1)</f>
        <v/>
      </c>
      <c r="AZ230" s="75">
        <f>$C230*INDEX(Curves!$AS$8:$AS$68,AZ$4-$B230+1)</f>
        <v/>
      </c>
      <c r="BA230" s="75">
        <f>$C230*INDEX(Curves!$AS$8:$AS$68,BA$4-$B230+1)</f>
        <v/>
      </c>
      <c r="BB230" s="75">
        <f>$C230*INDEX(Curves!$AS$8:$AS$68,BB$4-$B230+1)</f>
        <v/>
      </c>
      <c r="BC230" s="75">
        <f>$C230*INDEX(Curves!$AS$8:$AS$68,BC$4-$B230+1)</f>
        <v/>
      </c>
      <c r="BD230" s="75">
        <f>$C230*INDEX(Curves!$AS$8:$AS$68,BD$4-$B230+1)</f>
        <v/>
      </c>
      <c r="BE230" s="75">
        <f>$C230*INDEX(Curves!$AS$8:$AS$68,BE$4-$B230+1)</f>
        <v/>
      </c>
      <c r="BF230" s="75">
        <f>$C230*INDEX(Curves!$AS$8:$AS$68,BF$4-$B230+1)</f>
        <v/>
      </c>
      <c r="BG230" s="75">
        <f>$C230*INDEX(Curves!$AS$8:$AS$68,BG$4-$B230+1)</f>
        <v/>
      </c>
      <c r="BH230" s="75">
        <f>$C230*INDEX(Curves!$AS$8:$AS$68,BH$4-$B230+1)</f>
        <v/>
      </c>
      <c r="BI230" s="75">
        <f>$C230*INDEX(Curves!$AS$8:$AS$68,BI$4-$B230+1)</f>
        <v/>
      </c>
      <c r="BJ230" s="75">
        <f>$C230*INDEX(Curves!$AS$8:$AS$68,BJ$4-$B230+1)</f>
        <v/>
      </c>
      <c r="BK230" s="75">
        <f>$C230*INDEX(Curves!$AS$8:$AS$68,BK$4-$B230+1)</f>
        <v/>
      </c>
      <c r="BL230" s="75">
        <f>$C230*INDEX(Curves!$AS$8:$AS$68,BL$4-$B230+1)</f>
        <v/>
      </c>
    </row>
    <row r="231">
      <c r="A231" s="74" t="inlineStr">
        <is>
          <t>Cohort month 33</t>
        </is>
      </c>
      <c r="B231" s="74" t="n">
        <v>33</v>
      </c>
      <c r="C231" s="17">
        <f>INDEX(Ops!$E$85:$BL$85,1,$B231)</f>
        <v/>
      </c>
      <c r="AL231" s="75">
        <f>$C231*INDEX(Curves!$AS$8:$AS$68,AL$4-$B231+1)</f>
        <v/>
      </c>
      <c r="AM231" s="75">
        <f>$C231*INDEX(Curves!$AS$8:$AS$68,AM$4-$B231+1)</f>
        <v/>
      </c>
      <c r="AN231" s="75">
        <f>$C231*INDEX(Curves!$AS$8:$AS$68,AN$4-$B231+1)</f>
        <v/>
      </c>
      <c r="AO231" s="75">
        <f>$C231*INDEX(Curves!$AS$8:$AS$68,AO$4-$B231+1)</f>
        <v/>
      </c>
      <c r="AP231" s="75">
        <f>$C231*INDEX(Curves!$AS$8:$AS$68,AP$4-$B231+1)</f>
        <v/>
      </c>
      <c r="AQ231" s="75">
        <f>$C231*INDEX(Curves!$AS$8:$AS$68,AQ$4-$B231+1)</f>
        <v/>
      </c>
      <c r="AR231" s="75">
        <f>$C231*INDEX(Curves!$AS$8:$AS$68,AR$4-$B231+1)</f>
        <v/>
      </c>
      <c r="AS231" s="75">
        <f>$C231*INDEX(Curves!$AS$8:$AS$68,AS$4-$B231+1)</f>
        <v/>
      </c>
      <c r="AT231" s="75">
        <f>$C231*INDEX(Curves!$AS$8:$AS$68,AT$4-$B231+1)</f>
        <v/>
      </c>
      <c r="AU231" s="75">
        <f>$C231*INDEX(Curves!$AS$8:$AS$68,AU$4-$B231+1)</f>
        <v/>
      </c>
      <c r="AV231" s="75">
        <f>$C231*INDEX(Curves!$AS$8:$AS$68,AV$4-$B231+1)</f>
        <v/>
      </c>
      <c r="AW231" s="75">
        <f>$C231*INDEX(Curves!$AS$8:$AS$68,AW$4-$B231+1)</f>
        <v/>
      </c>
      <c r="AX231" s="75">
        <f>$C231*INDEX(Curves!$AS$8:$AS$68,AX$4-$B231+1)</f>
        <v/>
      </c>
      <c r="AY231" s="75">
        <f>$C231*INDEX(Curves!$AS$8:$AS$68,AY$4-$B231+1)</f>
        <v/>
      </c>
      <c r="AZ231" s="75">
        <f>$C231*INDEX(Curves!$AS$8:$AS$68,AZ$4-$B231+1)</f>
        <v/>
      </c>
      <c r="BA231" s="75">
        <f>$C231*INDEX(Curves!$AS$8:$AS$68,BA$4-$B231+1)</f>
        <v/>
      </c>
      <c r="BB231" s="75">
        <f>$C231*INDEX(Curves!$AS$8:$AS$68,BB$4-$B231+1)</f>
        <v/>
      </c>
      <c r="BC231" s="75">
        <f>$C231*INDEX(Curves!$AS$8:$AS$68,BC$4-$B231+1)</f>
        <v/>
      </c>
      <c r="BD231" s="75">
        <f>$C231*INDEX(Curves!$AS$8:$AS$68,BD$4-$B231+1)</f>
        <v/>
      </c>
      <c r="BE231" s="75">
        <f>$C231*INDEX(Curves!$AS$8:$AS$68,BE$4-$B231+1)</f>
        <v/>
      </c>
      <c r="BF231" s="75">
        <f>$C231*INDEX(Curves!$AS$8:$AS$68,BF$4-$B231+1)</f>
        <v/>
      </c>
      <c r="BG231" s="75">
        <f>$C231*INDEX(Curves!$AS$8:$AS$68,BG$4-$B231+1)</f>
        <v/>
      </c>
      <c r="BH231" s="75">
        <f>$C231*INDEX(Curves!$AS$8:$AS$68,BH$4-$B231+1)</f>
        <v/>
      </c>
      <c r="BI231" s="75">
        <f>$C231*INDEX(Curves!$AS$8:$AS$68,BI$4-$B231+1)</f>
        <v/>
      </c>
      <c r="BJ231" s="75">
        <f>$C231*INDEX(Curves!$AS$8:$AS$68,BJ$4-$B231+1)</f>
        <v/>
      </c>
      <c r="BK231" s="75">
        <f>$C231*INDEX(Curves!$AS$8:$AS$68,BK$4-$B231+1)</f>
        <v/>
      </c>
      <c r="BL231" s="75">
        <f>$C231*INDEX(Curves!$AS$8:$AS$68,BL$4-$B231+1)</f>
        <v/>
      </c>
    </row>
    <row r="232">
      <c r="A232" s="74" t="inlineStr">
        <is>
          <t>Cohort month 34</t>
        </is>
      </c>
      <c r="B232" s="74" t="n">
        <v>34</v>
      </c>
      <c r="C232" s="17">
        <f>INDEX(Ops!$E$85:$BL$85,1,$B232)</f>
        <v/>
      </c>
      <c r="AM232" s="75">
        <f>$C232*INDEX(Curves!$AS$8:$AS$68,AM$4-$B232+1)</f>
        <v/>
      </c>
      <c r="AN232" s="75">
        <f>$C232*INDEX(Curves!$AS$8:$AS$68,AN$4-$B232+1)</f>
        <v/>
      </c>
      <c r="AO232" s="75">
        <f>$C232*INDEX(Curves!$AS$8:$AS$68,AO$4-$B232+1)</f>
        <v/>
      </c>
      <c r="AP232" s="75">
        <f>$C232*INDEX(Curves!$AS$8:$AS$68,AP$4-$B232+1)</f>
        <v/>
      </c>
      <c r="AQ232" s="75">
        <f>$C232*INDEX(Curves!$AS$8:$AS$68,AQ$4-$B232+1)</f>
        <v/>
      </c>
      <c r="AR232" s="75">
        <f>$C232*INDEX(Curves!$AS$8:$AS$68,AR$4-$B232+1)</f>
        <v/>
      </c>
      <c r="AS232" s="75">
        <f>$C232*INDEX(Curves!$AS$8:$AS$68,AS$4-$B232+1)</f>
        <v/>
      </c>
      <c r="AT232" s="75">
        <f>$C232*INDEX(Curves!$AS$8:$AS$68,AT$4-$B232+1)</f>
        <v/>
      </c>
      <c r="AU232" s="75">
        <f>$C232*INDEX(Curves!$AS$8:$AS$68,AU$4-$B232+1)</f>
        <v/>
      </c>
      <c r="AV232" s="75">
        <f>$C232*INDEX(Curves!$AS$8:$AS$68,AV$4-$B232+1)</f>
        <v/>
      </c>
      <c r="AW232" s="75">
        <f>$C232*INDEX(Curves!$AS$8:$AS$68,AW$4-$B232+1)</f>
        <v/>
      </c>
      <c r="AX232" s="75">
        <f>$C232*INDEX(Curves!$AS$8:$AS$68,AX$4-$B232+1)</f>
        <v/>
      </c>
      <c r="AY232" s="75">
        <f>$C232*INDEX(Curves!$AS$8:$AS$68,AY$4-$B232+1)</f>
        <v/>
      </c>
      <c r="AZ232" s="75">
        <f>$C232*INDEX(Curves!$AS$8:$AS$68,AZ$4-$B232+1)</f>
        <v/>
      </c>
      <c r="BA232" s="75">
        <f>$C232*INDEX(Curves!$AS$8:$AS$68,BA$4-$B232+1)</f>
        <v/>
      </c>
      <c r="BB232" s="75">
        <f>$C232*INDEX(Curves!$AS$8:$AS$68,BB$4-$B232+1)</f>
        <v/>
      </c>
      <c r="BC232" s="75">
        <f>$C232*INDEX(Curves!$AS$8:$AS$68,BC$4-$B232+1)</f>
        <v/>
      </c>
      <c r="BD232" s="75">
        <f>$C232*INDEX(Curves!$AS$8:$AS$68,BD$4-$B232+1)</f>
        <v/>
      </c>
      <c r="BE232" s="75">
        <f>$C232*INDEX(Curves!$AS$8:$AS$68,BE$4-$B232+1)</f>
        <v/>
      </c>
      <c r="BF232" s="75">
        <f>$C232*INDEX(Curves!$AS$8:$AS$68,BF$4-$B232+1)</f>
        <v/>
      </c>
      <c r="BG232" s="75">
        <f>$C232*INDEX(Curves!$AS$8:$AS$68,BG$4-$B232+1)</f>
        <v/>
      </c>
      <c r="BH232" s="75">
        <f>$C232*INDEX(Curves!$AS$8:$AS$68,BH$4-$B232+1)</f>
        <v/>
      </c>
      <c r="BI232" s="75">
        <f>$C232*INDEX(Curves!$AS$8:$AS$68,BI$4-$B232+1)</f>
        <v/>
      </c>
      <c r="BJ232" s="75">
        <f>$C232*INDEX(Curves!$AS$8:$AS$68,BJ$4-$B232+1)</f>
        <v/>
      </c>
      <c r="BK232" s="75">
        <f>$C232*INDEX(Curves!$AS$8:$AS$68,BK$4-$B232+1)</f>
        <v/>
      </c>
      <c r="BL232" s="75">
        <f>$C232*INDEX(Curves!$AS$8:$AS$68,BL$4-$B232+1)</f>
        <v/>
      </c>
    </row>
    <row r="233">
      <c r="A233" s="74" t="inlineStr">
        <is>
          <t>Cohort month 35</t>
        </is>
      </c>
      <c r="B233" s="74" t="n">
        <v>35</v>
      </c>
      <c r="C233" s="17">
        <f>INDEX(Ops!$E$85:$BL$85,1,$B233)</f>
        <v/>
      </c>
      <c r="AN233" s="75">
        <f>$C233*INDEX(Curves!$AS$8:$AS$68,AN$4-$B233+1)</f>
        <v/>
      </c>
      <c r="AO233" s="75">
        <f>$C233*INDEX(Curves!$AS$8:$AS$68,AO$4-$B233+1)</f>
        <v/>
      </c>
      <c r="AP233" s="75">
        <f>$C233*INDEX(Curves!$AS$8:$AS$68,AP$4-$B233+1)</f>
        <v/>
      </c>
      <c r="AQ233" s="75">
        <f>$C233*INDEX(Curves!$AS$8:$AS$68,AQ$4-$B233+1)</f>
        <v/>
      </c>
      <c r="AR233" s="75">
        <f>$C233*INDEX(Curves!$AS$8:$AS$68,AR$4-$B233+1)</f>
        <v/>
      </c>
      <c r="AS233" s="75">
        <f>$C233*INDEX(Curves!$AS$8:$AS$68,AS$4-$B233+1)</f>
        <v/>
      </c>
      <c r="AT233" s="75">
        <f>$C233*INDEX(Curves!$AS$8:$AS$68,AT$4-$B233+1)</f>
        <v/>
      </c>
      <c r="AU233" s="75">
        <f>$C233*INDEX(Curves!$AS$8:$AS$68,AU$4-$B233+1)</f>
        <v/>
      </c>
      <c r="AV233" s="75">
        <f>$C233*INDEX(Curves!$AS$8:$AS$68,AV$4-$B233+1)</f>
        <v/>
      </c>
      <c r="AW233" s="75">
        <f>$C233*INDEX(Curves!$AS$8:$AS$68,AW$4-$B233+1)</f>
        <v/>
      </c>
      <c r="AX233" s="75">
        <f>$C233*INDEX(Curves!$AS$8:$AS$68,AX$4-$B233+1)</f>
        <v/>
      </c>
      <c r="AY233" s="75">
        <f>$C233*INDEX(Curves!$AS$8:$AS$68,AY$4-$B233+1)</f>
        <v/>
      </c>
      <c r="AZ233" s="75">
        <f>$C233*INDEX(Curves!$AS$8:$AS$68,AZ$4-$B233+1)</f>
        <v/>
      </c>
      <c r="BA233" s="75">
        <f>$C233*INDEX(Curves!$AS$8:$AS$68,BA$4-$B233+1)</f>
        <v/>
      </c>
      <c r="BB233" s="75">
        <f>$C233*INDEX(Curves!$AS$8:$AS$68,BB$4-$B233+1)</f>
        <v/>
      </c>
      <c r="BC233" s="75">
        <f>$C233*INDEX(Curves!$AS$8:$AS$68,BC$4-$B233+1)</f>
        <v/>
      </c>
      <c r="BD233" s="75">
        <f>$C233*INDEX(Curves!$AS$8:$AS$68,BD$4-$B233+1)</f>
        <v/>
      </c>
      <c r="BE233" s="75">
        <f>$C233*INDEX(Curves!$AS$8:$AS$68,BE$4-$B233+1)</f>
        <v/>
      </c>
      <c r="BF233" s="75">
        <f>$C233*INDEX(Curves!$AS$8:$AS$68,BF$4-$B233+1)</f>
        <v/>
      </c>
      <c r="BG233" s="75">
        <f>$C233*INDEX(Curves!$AS$8:$AS$68,BG$4-$B233+1)</f>
        <v/>
      </c>
      <c r="BH233" s="75">
        <f>$C233*INDEX(Curves!$AS$8:$AS$68,BH$4-$B233+1)</f>
        <v/>
      </c>
      <c r="BI233" s="75">
        <f>$C233*INDEX(Curves!$AS$8:$AS$68,BI$4-$B233+1)</f>
        <v/>
      </c>
      <c r="BJ233" s="75">
        <f>$C233*INDEX(Curves!$AS$8:$AS$68,BJ$4-$B233+1)</f>
        <v/>
      </c>
      <c r="BK233" s="75">
        <f>$C233*INDEX(Curves!$AS$8:$AS$68,BK$4-$B233+1)</f>
        <v/>
      </c>
      <c r="BL233" s="75">
        <f>$C233*INDEX(Curves!$AS$8:$AS$68,BL$4-$B233+1)</f>
        <v/>
      </c>
    </row>
    <row r="234">
      <c r="A234" s="74" t="inlineStr">
        <is>
          <t>Cohort month 36</t>
        </is>
      </c>
      <c r="B234" s="74" t="n">
        <v>36</v>
      </c>
      <c r="C234" s="17">
        <f>INDEX(Ops!$E$85:$BL$85,1,$B234)</f>
        <v/>
      </c>
      <c r="AO234" s="75">
        <f>$C234*INDEX(Curves!$AS$8:$AS$68,AO$4-$B234+1)</f>
        <v/>
      </c>
      <c r="AP234" s="75">
        <f>$C234*INDEX(Curves!$AS$8:$AS$68,AP$4-$B234+1)</f>
        <v/>
      </c>
      <c r="AQ234" s="75">
        <f>$C234*INDEX(Curves!$AS$8:$AS$68,AQ$4-$B234+1)</f>
        <v/>
      </c>
      <c r="AR234" s="75">
        <f>$C234*INDEX(Curves!$AS$8:$AS$68,AR$4-$B234+1)</f>
        <v/>
      </c>
      <c r="AS234" s="75">
        <f>$C234*INDEX(Curves!$AS$8:$AS$68,AS$4-$B234+1)</f>
        <v/>
      </c>
      <c r="AT234" s="75">
        <f>$C234*INDEX(Curves!$AS$8:$AS$68,AT$4-$B234+1)</f>
        <v/>
      </c>
      <c r="AU234" s="75">
        <f>$C234*INDEX(Curves!$AS$8:$AS$68,AU$4-$B234+1)</f>
        <v/>
      </c>
      <c r="AV234" s="75">
        <f>$C234*INDEX(Curves!$AS$8:$AS$68,AV$4-$B234+1)</f>
        <v/>
      </c>
      <c r="AW234" s="75">
        <f>$C234*INDEX(Curves!$AS$8:$AS$68,AW$4-$B234+1)</f>
        <v/>
      </c>
      <c r="AX234" s="75">
        <f>$C234*INDEX(Curves!$AS$8:$AS$68,AX$4-$B234+1)</f>
        <v/>
      </c>
      <c r="AY234" s="75">
        <f>$C234*INDEX(Curves!$AS$8:$AS$68,AY$4-$B234+1)</f>
        <v/>
      </c>
      <c r="AZ234" s="75">
        <f>$C234*INDEX(Curves!$AS$8:$AS$68,AZ$4-$B234+1)</f>
        <v/>
      </c>
      <c r="BA234" s="75">
        <f>$C234*INDEX(Curves!$AS$8:$AS$68,BA$4-$B234+1)</f>
        <v/>
      </c>
      <c r="BB234" s="75">
        <f>$C234*INDEX(Curves!$AS$8:$AS$68,BB$4-$B234+1)</f>
        <v/>
      </c>
      <c r="BC234" s="75">
        <f>$C234*INDEX(Curves!$AS$8:$AS$68,BC$4-$B234+1)</f>
        <v/>
      </c>
      <c r="BD234" s="75">
        <f>$C234*INDEX(Curves!$AS$8:$AS$68,BD$4-$B234+1)</f>
        <v/>
      </c>
      <c r="BE234" s="75">
        <f>$C234*INDEX(Curves!$AS$8:$AS$68,BE$4-$B234+1)</f>
        <v/>
      </c>
      <c r="BF234" s="75">
        <f>$C234*INDEX(Curves!$AS$8:$AS$68,BF$4-$B234+1)</f>
        <v/>
      </c>
      <c r="BG234" s="75">
        <f>$C234*INDEX(Curves!$AS$8:$AS$68,BG$4-$B234+1)</f>
        <v/>
      </c>
      <c r="BH234" s="75">
        <f>$C234*INDEX(Curves!$AS$8:$AS$68,BH$4-$B234+1)</f>
        <v/>
      </c>
      <c r="BI234" s="75">
        <f>$C234*INDEX(Curves!$AS$8:$AS$68,BI$4-$B234+1)</f>
        <v/>
      </c>
      <c r="BJ234" s="75">
        <f>$C234*INDEX(Curves!$AS$8:$AS$68,BJ$4-$B234+1)</f>
        <v/>
      </c>
      <c r="BK234" s="75">
        <f>$C234*INDEX(Curves!$AS$8:$AS$68,BK$4-$B234+1)</f>
        <v/>
      </c>
      <c r="BL234" s="75">
        <f>$C234*INDEX(Curves!$AS$8:$AS$68,BL$4-$B234+1)</f>
        <v/>
      </c>
    </row>
    <row r="235">
      <c r="A235" s="74" t="inlineStr">
        <is>
          <t>Cohort month 37</t>
        </is>
      </c>
      <c r="B235" s="74" t="n">
        <v>37</v>
      </c>
      <c r="C235" s="17">
        <f>INDEX(Ops!$E$85:$BL$85,1,$B235)</f>
        <v/>
      </c>
      <c r="AP235" s="75">
        <f>$C235*INDEX(Curves!$AS$8:$AS$68,AP$4-$B235+1)</f>
        <v/>
      </c>
      <c r="AQ235" s="75">
        <f>$C235*INDEX(Curves!$AS$8:$AS$68,AQ$4-$B235+1)</f>
        <v/>
      </c>
      <c r="AR235" s="75">
        <f>$C235*INDEX(Curves!$AS$8:$AS$68,AR$4-$B235+1)</f>
        <v/>
      </c>
      <c r="AS235" s="75">
        <f>$C235*INDEX(Curves!$AS$8:$AS$68,AS$4-$B235+1)</f>
        <v/>
      </c>
      <c r="AT235" s="75">
        <f>$C235*INDEX(Curves!$AS$8:$AS$68,AT$4-$B235+1)</f>
        <v/>
      </c>
      <c r="AU235" s="75">
        <f>$C235*INDEX(Curves!$AS$8:$AS$68,AU$4-$B235+1)</f>
        <v/>
      </c>
      <c r="AV235" s="75">
        <f>$C235*INDEX(Curves!$AS$8:$AS$68,AV$4-$B235+1)</f>
        <v/>
      </c>
      <c r="AW235" s="75">
        <f>$C235*INDEX(Curves!$AS$8:$AS$68,AW$4-$B235+1)</f>
        <v/>
      </c>
      <c r="AX235" s="75">
        <f>$C235*INDEX(Curves!$AS$8:$AS$68,AX$4-$B235+1)</f>
        <v/>
      </c>
      <c r="AY235" s="75">
        <f>$C235*INDEX(Curves!$AS$8:$AS$68,AY$4-$B235+1)</f>
        <v/>
      </c>
      <c r="AZ235" s="75">
        <f>$C235*INDEX(Curves!$AS$8:$AS$68,AZ$4-$B235+1)</f>
        <v/>
      </c>
      <c r="BA235" s="75">
        <f>$C235*INDEX(Curves!$AS$8:$AS$68,BA$4-$B235+1)</f>
        <v/>
      </c>
      <c r="BB235" s="75">
        <f>$C235*INDEX(Curves!$AS$8:$AS$68,BB$4-$B235+1)</f>
        <v/>
      </c>
      <c r="BC235" s="75">
        <f>$C235*INDEX(Curves!$AS$8:$AS$68,BC$4-$B235+1)</f>
        <v/>
      </c>
      <c r="BD235" s="75">
        <f>$C235*INDEX(Curves!$AS$8:$AS$68,BD$4-$B235+1)</f>
        <v/>
      </c>
      <c r="BE235" s="75">
        <f>$C235*INDEX(Curves!$AS$8:$AS$68,BE$4-$B235+1)</f>
        <v/>
      </c>
      <c r="BF235" s="75">
        <f>$C235*INDEX(Curves!$AS$8:$AS$68,BF$4-$B235+1)</f>
        <v/>
      </c>
      <c r="BG235" s="75">
        <f>$C235*INDEX(Curves!$AS$8:$AS$68,BG$4-$B235+1)</f>
        <v/>
      </c>
      <c r="BH235" s="75">
        <f>$C235*INDEX(Curves!$AS$8:$AS$68,BH$4-$B235+1)</f>
        <v/>
      </c>
      <c r="BI235" s="75">
        <f>$C235*INDEX(Curves!$AS$8:$AS$68,BI$4-$B235+1)</f>
        <v/>
      </c>
      <c r="BJ235" s="75">
        <f>$C235*INDEX(Curves!$AS$8:$AS$68,BJ$4-$B235+1)</f>
        <v/>
      </c>
      <c r="BK235" s="75">
        <f>$C235*INDEX(Curves!$AS$8:$AS$68,BK$4-$B235+1)</f>
        <v/>
      </c>
      <c r="BL235" s="75">
        <f>$C235*INDEX(Curves!$AS$8:$AS$68,BL$4-$B235+1)</f>
        <v/>
      </c>
    </row>
    <row r="236">
      <c r="A236" s="74" t="inlineStr">
        <is>
          <t>Cohort month 38</t>
        </is>
      </c>
      <c r="B236" s="74" t="n">
        <v>38</v>
      </c>
      <c r="C236" s="17">
        <f>INDEX(Ops!$E$85:$BL$85,1,$B236)</f>
        <v/>
      </c>
      <c r="AQ236" s="75">
        <f>$C236*INDEX(Curves!$AS$8:$AS$68,AQ$4-$B236+1)</f>
        <v/>
      </c>
      <c r="AR236" s="75">
        <f>$C236*INDEX(Curves!$AS$8:$AS$68,AR$4-$B236+1)</f>
        <v/>
      </c>
      <c r="AS236" s="75">
        <f>$C236*INDEX(Curves!$AS$8:$AS$68,AS$4-$B236+1)</f>
        <v/>
      </c>
      <c r="AT236" s="75">
        <f>$C236*INDEX(Curves!$AS$8:$AS$68,AT$4-$B236+1)</f>
        <v/>
      </c>
      <c r="AU236" s="75">
        <f>$C236*INDEX(Curves!$AS$8:$AS$68,AU$4-$B236+1)</f>
        <v/>
      </c>
      <c r="AV236" s="75">
        <f>$C236*INDEX(Curves!$AS$8:$AS$68,AV$4-$B236+1)</f>
        <v/>
      </c>
      <c r="AW236" s="75">
        <f>$C236*INDEX(Curves!$AS$8:$AS$68,AW$4-$B236+1)</f>
        <v/>
      </c>
      <c r="AX236" s="75">
        <f>$C236*INDEX(Curves!$AS$8:$AS$68,AX$4-$B236+1)</f>
        <v/>
      </c>
      <c r="AY236" s="75">
        <f>$C236*INDEX(Curves!$AS$8:$AS$68,AY$4-$B236+1)</f>
        <v/>
      </c>
      <c r="AZ236" s="75">
        <f>$C236*INDEX(Curves!$AS$8:$AS$68,AZ$4-$B236+1)</f>
        <v/>
      </c>
      <c r="BA236" s="75">
        <f>$C236*INDEX(Curves!$AS$8:$AS$68,BA$4-$B236+1)</f>
        <v/>
      </c>
      <c r="BB236" s="75">
        <f>$C236*INDEX(Curves!$AS$8:$AS$68,BB$4-$B236+1)</f>
        <v/>
      </c>
      <c r="BC236" s="75">
        <f>$C236*INDEX(Curves!$AS$8:$AS$68,BC$4-$B236+1)</f>
        <v/>
      </c>
      <c r="BD236" s="75">
        <f>$C236*INDEX(Curves!$AS$8:$AS$68,BD$4-$B236+1)</f>
        <v/>
      </c>
      <c r="BE236" s="75">
        <f>$C236*INDEX(Curves!$AS$8:$AS$68,BE$4-$B236+1)</f>
        <v/>
      </c>
      <c r="BF236" s="75">
        <f>$C236*INDEX(Curves!$AS$8:$AS$68,BF$4-$B236+1)</f>
        <v/>
      </c>
      <c r="BG236" s="75">
        <f>$C236*INDEX(Curves!$AS$8:$AS$68,BG$4-$B236+1)</f>
        <v/>
      </c>
      <c r="BH236" s="75">
        <f>$C236*INDEX(Curves!$AS$8:$AS$68,BH$4-$B236+1)</f>
        <v/>
      </c>
      <c r="BI236" s="75">
        <f>$C236*INDEX(Curves!$AS$8:$AS$68,BI$4-$B236+1)</f>
        <v/>
      </c>
      <c r="BJ236" s="75">
        <f>$C236*INDEX(Curves!$AS$8:$AS$68,BJ$4-$B236+1)</f>
        <v/>
      </c>
      <c r="BK236" s="75">
        <f>$C236*INDEX(Curves!$AS$8:$AS$68,BK$4-$B236+1)</f>
        <v/>
      </c>
      <c r="BL236" s="75">
        <f>$C236*INDEX(Curves!$AS$8:$AS$68,BL$4-$B236+1)</f>
        <v/>
      </c>
    </row>
    <row r="237">
      <c r="A237" s="74" t="inlineStr">
        <is>
          <t>Cohort month 39</t>
        </is>
      </c>
      <c r="B237" s="74" t="n">
        <v>39</v>
      </c>
      <c r="C237" s="17">
        <f>INDEX(Ops!$E$85:$BL$85,1,$B237)</f>
        <v/>
      </c>
      <c r="AR237" s="75">
        <f>$C237*INDEX(Curves!$AS$8:$AS$68,AR$4-$B237+1)</f>
        <v/>
      </c>
      <c r="AS237" s="75">
        <f>$C237*INDEX(Curves!$AS$8:$AS$68,AS$4-$B237+1)</f>
        <v/>
      </c>
      <c r="AT237" s="75">
        <f>$C237*INDEX(Curves!$AS$8:$AS$68,AT$4-$B237+1)</f>
        <v/>
      </c>
      <c r="AU237" s="75">
        <f>$C237*INDEX(Curves!$AS$8:$AS$68,AU$4-$B237+1)</f>
        <v/>
      </c>
      <c r="AV237" s="75">
        <f>$C237*INDEX(Curves!$AS$8:$AS$68,AV$4-$B237+1)</f>
        <v/>
      </c>
      <c r="AW237" s="75">
        <f>$C237*INDEX(Curves!$AS$8:$AS$68,AW$4-$B237+1)</f>
        <v/>
      </c>
      <c r="AX237" s="75">
        <f>$C237*INDEX(Curves!$AS$8:$AS$68,AX$4-$B237+1)</f>
        <v/>
      </c>
      <c r="AY237" s="75">
        <f>$C237*INDEX(Curves!$AS$8:$AS$68,AY$4-$B237+1)</f>
        <v/>
      </c>
      <c r="AZ237" s="75">
        <f>$C237*INDEX(Curves!$AS$8:$AS$68,AZ$4-$B237+1)</f>
        <v/>
      </c>
      <c r="BA237" s="75">
        <f>$C237*INDEX(Curves!$AS$8:$AS$68,BA$4-$B237+1)</f>
        <v/>
      </c>
      <c r="BB237" s="75">
        <f>$C237*INDEX(Curves!$AS$8:$AS$68,BB$4-$B237+1)</f>
        <v/>
      </c>
      <c r="BC237" s="75">
        <f>$C237*INDEX(Curves!$AS$8:$AS$68,BC$4-$B237+1)</f>
        <v/>
      </c>
      <c r="BD237" s="75">
        <f>$C237*INDEX(Curves!$AS$8:$AS$68,BD$4-$B237+1)</f>
        <v/>
      </c>
      <c r="BE237" s="75">
        <f>$C237*INDEX(Curves!$AS$8:$AS$68,BE$4-$B237+1)</f>
        <v/>
      </c>
      <c r="BF237" s="75">
        <f>$C237*INDEX(Curves!$AS$8:$AS$68,BF$4-$B237+1)</f>
        <v/>
      </c>
      <c r="BG237" s="75">
        <f>$C237*INDEX(Curves!$AS$8:$AS$68,BG$4-$B237+1)</f>
        <v/>
      </c>
      <c r="BH237" s="75">
        <f>$C237*INDEX(Curves!$AS$8:$AS$68,BH$4-$B237+1)</f>
        <v/>
      </c>
      <c r="BI237" s="75">
        <f>$C237*INDEX(Curves!$AS$8:$AS$68,BI$4-$B237+1)</f>
        <v/>
      </c>
      <c r="BJ237" s="75">
        <f>$C237*INDEX(Curves!$AS$8:$AS$68,BJ$4-$B237+1)</f>
        <v/>
      </c>
      <c r="BK237" s="75">
        <f>$C237*INDEX(Curves!$AS$8:$AS$68,BK$4-$B237+1)</f>
        <v/>
      </c>
      <c r="BL237" s="75">
        <f>$C237*INDEX(Curves!$AS$8:$AS$68,BL$4-$B237+1)</f>
        <v/>
      </c>
    </row>
    <row r="238">
      <c r="A238" s="74" t="inlineStr">
        <is>
          <t>Cohort month 40</t>
        </is>
      </c>
      <c r="B238" s="74" t="n">
        <v>40</v>
      </c>
      <c r="C238" s="17">
        <f>INDEX(Ops!$E$85:$BL$85,1,$B238)</f>
        <v/>
      </c>
      <c r="AS238" s="75">
        <f>$C238*INDEX(Curves!$AS$8:$AS$68,AS$4-$B238+1)</f>
        <v/>
      </c>
      <c r="AT238" s="75">
        <f>$C238*INDEX(Curves!$AS$8:$AS$68,AT$4-$B238+1)</f>
        <v/>
      </c>
      <c r="AU238" s="75">
        <f>$C238*INDEX(Curves!$AS$8:$AS$68,AU$4-$B238+1)</f>
        <v/>
      </c>
      <c r="AV238" s="75">
        <f>$C238*INDEX(Curves!$AS$8:$AS$68,AV$4-$B238+1)</f>
        <v/>
      </c>
      <c r="AW238" s="75">
        <f>$C238*INDEX(Curves!$AS$8:$AS$68,AW$4-$B238+1)</f>
        <v/>
      </c>
      <c r="AX238" s="75">
        <f>$C238*INDEX(Curves!$AS$8:$AS$68,AX$4-$B238+1)</f>
        <v/>
      </c>
      <c r="AY238" s="75">
        <f>$C238*INDEX(Curves!$AS$8:$AS$68,AY$4-$B238+1)</f>
        <v/>
      </c>
      <c r="AZ238" s="75">
        <f>$C238*INDEX(Curves!$AS$8:$AS$68,AZ$4-$B238+1)</f>
        <v/>
      </c>
      <c r="BA238" s="75">
        <f>$C238*INDEX(Curves!$AS$8:$AS$68,BA$4-$B238+1)</f>
        <v/>
      </c>
      <c r="BB238" s="75">
        <f>$C238*INDEX(Curves!$AS$8:$AS$68,BB$4-$B238+1)</f>
        <v/>
      </c>
      <c r="BC238" s="75">
        <f>$C238*INDEX(Curves!$AS$8:$AS$68,BC$4-$B238+1)</f>
        <v/>
      </c>
      <c r="BD238" s="75">
        <f>$C238*INDEX(Curves!$AS$8:$AS$68,BD$4-$B238+1)</f>
        <v/>
      </c>
      <c r="BE238" s="75">
        <f>$C238*INDEX(Curves!$AS$8:$AS$68,BE$4-$B238+1)</f>
        <v/>
      </c>
      <c r="BF238" s="75">
        <f>$C238*INDEX(Curves!$AS$8:$AS$68,BF$4-$B238+1)</f>
        <v/>
      </c>
      <c r="BG238" s="75">
        <f>$C238*INDEX(Curves!$AS$8:$AS$68,BG$4-$B238+1)</f>
        <v/>
      </c>
      <c r="BH238" s="75">
        <f>$C238*INDEX(Curves!$AS$8:$AS$68,BH$4-$B238+1)</f>
        <v/>
      </c>
      <c r="BI238" s="75">
        <f>$C238*INDEX(Curves!$AS$8:$AS$68,BI$4-$B238+1)</f>
        <v/>
      </c>
      <c r="BJ238" s="75">
        <f>$C238*INDEX(Curves!$AS$8:$AS$68,BJ$4-$B238+1)</f>
        <v/>
      </c>
      <c r="BK238" s="75">
        <f>$C238*INDEX(Curves!$AS$8:$AS$68,BK$4-$B238+1)</f>
        <v/>
      </c>
      <c r="BL238" s="75">
        <f>$C238*INDEX(Curves!$AS$8:$AS$68,BL$4-$B238+1)</f>
        <v/>
      </c>
    </row>
    <row r="239">
      <c r="A239" s="74" t="inlineStr">
        <is>
          <t>Cohort month 41</t>
        </is>
      </c>
      <c r="B239" s="74" t="n">
        <v>41</v>
      </c>
      <c r="C239" s="17">
        <f>INDEX(Ops!$E$85:$BL$85,1,$B239)</f>
        <v/>
      </c>
      <c r="AT239" s="75">
        <f>$C239*INDEX(Curves!$AS$8:$AS$68,AT$4-$B239+1)</f>
        <v/>
      </c>
      <c r="AU239" s="75">
        <f>$C239*INDEX(Curves!$AS$8:$AS$68,AU$4-$B239+1)</f>
        <v/>
      </c>
      <c r="AV239" s="75">
        <f>$C239*INDEX(Curves!$AS$8:$AS$68,AV$4-$B239+1)</f>
        <v/>
      </c>
      <c r="AW239" s="75">
        <f>$C239*INDEX(Curves!$AS$8:$AS$68,AW$4-$B239+1)</f>
        <v/>
      </c>
      <c r="AX239" s="75">
        <f>$C239*INDEX(Curves!$AS$8:$AS$68,AX$4-$B239+1)</f>
        <v/>
      </c>
      <c r="AY239" s="75">
        <f>$C239*INDEX(Curves!$AS$8:$AS$68,AY$4-$B239+1)</f>
        <v/>
      </c>
      <c r="AZ239" s="75">
        <f>$C239*INDEX(Curves!$AS$8:$AS$68,AZ$4-$B239+1)</f>
        <v/>
      </c>
      <c r="BA239" s="75">
        <f>$C239*INDEX(Curves!$AS$8:$AS$68,BA$4-$B239+1)</f>
        <v/>
      </c>
      <c r="BB239" s="75">
        <f>$C239*INDEX(Curves!$AS$8:$AS$68,BB$4-$B239+1)</f>
        <v/>
      </c>
      <c r="BC239" s="75">
        <f>$C239*INDEX(Curves!$AS$8:$AS$68,BC$4-$B239+1)</f>
        <v/>
      </c>
      <c r="BD239" s="75">
        <f>$C239*INDEX(Curves!$AS$8:$AS$68,BD$4-$B239+1)</f>
        <v/>
      </c>
      <c r="BE239" s="75">
        <f>$C239*INDEX(Curves!$AS$8:$AS$68,BE$4-$B239+1)</f>
        <v/>
      </c>
      <c r="BF239" s="75">
        <f>$C239*INDEX(Curves!$AS$8:$AS$68,BF$4-$B239+1)</f>
        <v/>
      </c>
      <c r="BG239" s="75">
        <f>$C239*INDEX(Curves!$AS$8:$AS$68,BG$4-$B239+1)</f>
        <v/>
      </c>
      <c r="BH239" s="75">
        <f>$C239*INDEX(Curves!$AS$8:$AS$68,BH$4-$B239+1)</f>
        <v/>
      </c>
      <c r="BI239" s="75">
        <f>$C239*INDEX(Curves!$AS$8:$AS$68,BI$4-$B239+1)</f>
        <v/>
      </c>
      <c r="BJ239" s="75">
        <f>$C239*INDEX(Curves!$AS$8:$AS$68,BJ$4-$B239+1)</f>
        <v/>
      </c>
      <c r="BK239" s="75">
        <f>$C239*INDEX(Curves!$AS$8:$AS$68,BK$4-$B239+1)</f>
        <v/>
      </c>
      <c r="BL239" s="75">
        <f>$C239*INDEX(Curves!$AS$8:$AS$68,BL$4-$B239+1)</f>
        <v/>
      </c>
    </row>
    <row r="240">
      <c r="A240" s="74" t="inlineStr">
        <is>
          <t>Cohort month 42</t>
        </is>
      </c>
      <c r="B240" s="74" t="n">
        <v>42</v>
      </c>
      <c r="C240" s="17">
        <f>INDEX(Ops!$E$85:$BL$85,1,$B240)</f>
        <v/>
      </c>
      <c r="AU240" s="75">
        <f>$C240*INDEX(Curves!$AS$8:$AS$68,AU$4-$B240+1)</f>
        <v/>
      </c>
      <c r="AV240" s="75">
        <f>$C240*INDEX(Curves!$AS$8:$AS$68,AV$4-$B240+1)</f>
        <v/>
      </c>
      <c r="AW240" s="75">
        <f>$C240*INDEX(Curves!$AS$8:$AS$68,AW$4-$B240+1)</f>
        <v/>
      </c>
      <c r="AX240" s="75">
        <f>$C240*INDEX(Curves!$AS$8:$AS$68,AX$4-$B240+1)</f>
        <v/>
      </c>
      <c r="AY240" s="75">
        <f>$C240*INDEX(Curves!$AS$8:$AS$68,AY$4-$B240+1)</f>
        <v/>
      </c>
      <c r="AZ240" s="75">
        <f>$C240*INDEX(Curves!$AS$8:$AS$68,AZ$4-$B240+1)</f>
        <v/>
      </c>
      <c r="BA240" s="75">
        <f>$C240*INDEX(Curves!$AS$8:$AS$68,BA$4-$B240+1)</f>
        <v/>
      </c>
      <c r="BB240" s="75">
        <f>$C240*INDEX(Curves!$AS$8:$AS$68,BB$4-$B240+1)</f>
        <v/>
      </c>
      <c r="BC240" s="75">
        <f>$C240*INDEX(Curves!$AS$8:$AS$68,BC$4-$B240+1)</f>
        <v/>
      </c>
      <c r="BD240" s="75">
        <f>$C240*INDEX(Curves!$AS$8:$AS$68,BD$4-$B240+1)</f>
        <v/>
      </c>
      <c r="BE240" s="75">
        <f>$C240*INDEX(Curves!$AS$8:$AS$68,BE$4-$B240+1)</f>
        <v/>
      </c>
      <c r="BF240" s="75">
        <f>$C240*INDEX(Curves!$AS$8:$AS$68,BF$4-$B240+1)</f>
        <v/>
      </c>
      <c r="BG240" s="75">
        <f>$C240*INDEX(Curves!$AS$8:$AS$68,BG$4-$B240+1)</f>
        <v/>
      </c>
      <c r="BH240" s="75">
        <f>$C240*INDEX(Curves!$AS$8:$AS$68,BH$4-$B240+1)</f>
        <v/>
      </c>
      <c r="BI240" s="75">
        <f>$C240*INDEX(Curves!$AS$8:$AS$68,BI$4-$B240+1)</f>
        <v/>
      </c>
      <c r="BJ240" s="75">
        <f>$C240*INDEX(Curves!$AS$8:$AS$68,BJ$4-$B240+1)</f>
        <v/>
      </c>
      <c r="BK240" s="75">
        <f>$C240*INDEX(Curves!$AS$8:$AS$68,BK$4-$B240+1)</f>
        <v/>
      </c>
      <c r="BL240" s="75">
        <f>$C240*INDEX(Curves!$AS$8:$AS$68,BL$4-$B240+1)</f>
        <v/>
      </c>
    </row>
    <row r="241">
      <c r="A241" s="74" t="inlineStr">
        <is>
          <t>Cohort month 43</t>
        </is>
      </c>
      <c r="B241" s="74" t="n">
        <v>43</v>
      </c>
      <c r="C241" s="17">
        <f>INDEX(Ops!$E$85:$BL$85,1,$B241)</f>
        <v/>
      </c>
      <c r="AV241" s="75">
        <f>$C241*INDEX(Curves!$AS$8:$AS$68,AV$4-$B241+1)</f>
        <v/>
      </c>
      <c r="AW241" s="75">
        <f>$C241*INDEX(Curves!$AS$8:$AS$68,AW$4-$B241+1)</f>
        <v/>
      </c>
      <c r="AX241" s="75">
        <f>$C241*INDEX(Curves!$AS$8:$AS$68,AX$4-$B241+1)</f>
        <v/>
      </c>
      <c r="AY241" s="75">
        <f>$C241*INDEX(Curves!$AS$8:$AS$68,AY$4-$B241+1)</f>
        <v/>
      </c>
      <c r="AZ241" s="75">
        <f>$C241*INDEX(Curves!$AS$8:$AS$68,AZ$4-$B241+1)</f>
        <v/>
      </c>
      <c r="BA241" s="75">
        <f>$C241*INDEX(Curves!$AS$8:$AS$68,BA$4-$B241+1)</f>
        <v/>
      </c>
      <c r="BB241" s="75">
        <f>$C241*INDEX(Curves!$AS$8:$AS$68,BB$4-$B241+1)</f>
        <v/>
      </c>
      <c r="BC241" s="75">
        <f>$C241*INDEX(Curves!$AS$8:$AS$68,BC$4-$B241+1)</f>
        <v/>
      </c>
      <c r="BD241" s="75">
        <f>$C241*INDEX(Curves!$AS$8:$AS$68,BD$4-$B241+1)</f>
        <v/>
      </c>
      <c r="BE241" s="75">
        <f>$C241*INDEX(Curves!$AS$8:$AS$68,BE$4-$B241+1)</f>
        <v/>
      </c>
      <c r="BF241" s="75">
        <f>$C241*INDEX(Curves!$AS$8:$AS$68,BF$4-$B241+1)</f>
        <v/>
      </c>
      <c r="BG241" s="75">
        <f>$C241*INDEX(Curves!$AS$8:$AS$68,BG$4-$B241+1)</f>
        <v/>
      </c>
      <c r="BH241" s="75">
        <f>$C241*INDEX(Curves!$AS$8:$AS$68,BH$4-$B241+1)</f>
        <v/>
      </c>
      <c r="BI241" s="75">
        <f>$C241*INDEX(Curves!$AS$8:$AS$68,BI$4-$B241+1)</f>
        <v/>
      </c>
      <c r="BJ241" s="75">
        <f>$C241*INDEX(Curves!$AS$8:$AS$68,BJ$4-$B241+1)</f>
        <v/>
      </c>
      <c r="BK241" s="75">
        <f>$C241*INDEX(Curves!$AS$8:$AS$68,BK$4-$B241+1)</f>
        <v/>
      </c>
      <c r="BL241" s="75">
        <f>$C241*INDEX(Curves!$AS$8:$AS$68,BL$4-$B241+1)</f>
        <v/>
      </c>
    </row>
    <row r="242">
      <c r="A242" s="74" t="inlineStr">
        <is>
          <t>Cohort month 44</t>
        </is>
      </c>
      <c r="B242" s="74" t="n">
        <v>44</v>
      </c>
      <c r="C242" s="17">
        <f>INDEX(Ops!$E$85:$BL$85,1,$B242)</f>
        <v/>
      </c>
      <c r="AW242" s="75">
        <f>$C242*INDEX(Curves!$AS$8:$AS$68,AW$4-$B242+1)</f>
        <v/>
      </c>
      <c r="AX242" s="75">
        <f>$C242*INDEX(Curves!$AS$8:$AS$68,AX$4-$B242+1)</f>
        <v/>
      </c>
      <c r="AY242" s="75">
        <f>$C242*INDEX(Curves!$AS$8:$AS$68,AY$4-$B242+1)</f>
        <v/>
      </c>
      <c r="AZ242" s="75">
        <f>$C242*INDEX(Curves!$AS$8:$AS$68,AZ$4-$B242+1)</f>
        <v/>
      </c>
      <c r="BA242" s="75">
        <f>$C242*INDEX(Curves!$AS$8:$AS$68,BA$4-$B242+1)</f>
        <v/>
      </c>
      <c r="BB242" s="75">
        <f>$C242*INDEX(Curves!$AS$8:$AS$68,BB$4-$B242+1)</f>
        <v/>
      </c>
      <c r="BC242" s="75">
        <f>$C242*INDEX(Curves!$AS$8:$AS$68,BC$4-$B242+1)</f>
        <v/>
      </c>
      <c r="BD242" s="75">
        <f>$C242*INDEX(Curves!$AS$8:$AS$68,BD$4-$B242+1)</f>
        <v/>
      </c>
      <c r="BE242" s="75">
        <f>$C242*INDEX(Curves!$AS$8:$AS$68,BE$4-$B242+1)</f>
        <v/>
      </c>
      <c r="BF242" s="75">
        <f>$C242*INDEX(Curves!$AS$8:$AS$68,BF$4-$B242+1)</f>
        <v/>
      </c>
      <c r="BG242" s="75">
        <f>$C242*INDEX(Curves!$AS$8:$AS$68,BG$4-$B242+1)</f>
        <v/>
      </c>
      <c r="BH242" s="75">
        <f>$C242*INDEX(Curves!$AS$8:$AS$68,BH$4-$B242+1)</f>
        <v/>
      </c>
      <c r="BI242" s="75">
        <f>$C242*INDEX(Curves!$AS$8:$AS$68,BI$4-$B242+1)</f>
        <v/>
      </c>
      <c r="BJ242" s="75">
        <f>$C242*INDEX(Curves!$AS$8:$AS$68,BJ$4-$B242+1)</f>
        <v/>
      </c>
      <c r="BK242" s="75">
        <f>$C242*INDEX(Curves!$AS$8:$AS$68,BK$4-$B242+1)</f>
        <v/>
      </c>
      <c r="BL242" s="75">
        <f>$C242*INDEX(Curves!$AS$8:$AS$68,BL$4-$B242+1)</f>
        <v/>
      </c>
    </row>
    <row r="243">
      <c r="A243" s="74" t="inlineStr">
        <is>
          <t>Cohort month 45</t>
        </is>
      </c>
      <c r="B243" s="74" t="n">
        <v>45</v>
      </c>
      <c r="C243" s="17">
        <f>INDEX(Ops!$E$85:$BL$85,1,$B243)</f>
        <v/>
      </c>
      <c r="AX243" s="75">
        <f>$C243*INDEX(Curves!$AS$8:$AS$68,AX$4-$B243+1)</f>
        <v/>
      </c>
      <c r="AY243" s="75">
        <f>$C243*INDEX(Curves!$AS$8:$AS$68,AY$4-$B243+1)</f>
        <v/>
      </c>
      <c r="AZ243" s="75">
        <f>$C243*INDEX(Curves!$AS$8:$AS$68,AZ$4-$B243+1)</f>
        <v/>
      </c>
      <c r="BA243" s="75">
        <f>$C243*INDEX(Curves!$AS$8:$AS$68,BA$4-$B243+1)</f>
        <v/>
      </c>
      <c r="BB243" s="75">
        <f>$C243*INDEX(Curves!$AS$8:$AS$68,BB$4-$B243+1)</f>
        <v/>
      </c>
      <c r="BC243" s="75">
        <f>$C243*INDEX(Curves!$AS$8:$AS$68,BC$4-$B243+1)</f>
        <v/>
      </c>
      <c r="BD243" s="75">
        <f>$C243*INDEX(Curves!$AS$8:$AS$68,BD$4-$B243+1)</f>
        <v/>
      </c>
      <c r="BE243" s="75">
        <f>$C243*INDEX(Curves!$AS$8:$AS$68,BE$4-$B243+1)</f>
        <v/>
      </c>
      <c r="BF243" s="75">
        <f>$C243*INDEX(Curves!$AS$8:$AS$68,BF$4-$B243+1)</f>
        <v/>
      </c>
      <c r="BG243" s="75">
        <f>$C243*INDEX(Curves!$AS$8:$AS$68,BG$4-$B243+1)</f>
        <v/>
      </c>
      <c r="BH243" s="75">
        <f>$C243*INDEX(Curves!$AS$8:$AS$68,BH$4-$B243+1)</f>
        <v/>
      </c>
      <c r="BI243" s="75">
        <f>$C243*INDEX(Curves!$AS$8:$AS$68,BI$4-$B243+1)</f>
        <v/>
      </c>
      <c r="BJ243" s="75">
        <f>$C243*INDEX(Curves!$AS$8:$AS$68,BJ$4-$B243+1)</f>
        <v/>
      </c>
      <c r="BK243" s="75">
        <f>$C243*INDEX(Curves!$AS$8:$AS$68,BK$4-$B243+1)</f>
        <v/>
      </c>
      <c r="BL243" s="75">
        <f>$C243*INDEX(Curves!$AS$8:$AS$68,BL$4-$B243+1)</f>
        <v/>
      </c>
    </row>
    <row r="244">
      <c r="A244" s="74" t="inlineStr">
        <is>
          <t>Cohort month 46</t>
        </is>
      </c>
      <c r="B244" s="74" t="n">
        <v>46</v>
      </c>
      <c r="C244" s="17">
        <f>INDEX(Ops!$E$85:$BL$85,1,$B244)</f>
        <v/>
      </c>
      <c r="AY244" s="75">
        <f>$C244*INDEX(Curves!$AS$8:$AS$68,AY$4-$B244+1)</f>
        <v/>
      </c>
      <c r="AZ244" s="75">
        <f>$C244*INDEX(Curves!$AS$8:$AS$68,AZ$4-$B244+1)</f>
        <v/>
      </c>
      <c r="BA244" s="75">
        <f>$C244*INDEX(Curves!$AS$8:$AS$68,BA$4-$B244+1)</f>
        <v/>
      </c>
      <c r="BB244" s="75">
        <f>$C244*INDEX(Curves!$AS$8:$AS$68,BB$4-$B244+1)</f>
        <v/>
      </c>
      <c r="BC244" s="75">
        <f>$C244*INDEX(Curves!$AS$8:$AS$68,BC$4-$B244+1)</f>
        <v/>
      </c>
      <c r="BD244" s="75">
        <f>$C244*INDEX(Curves!$AS$8:$AS$68,BD$4-$B244+1)</f>
        <v/>
      </c>
      <c r="BE244" s="75">
        <f>$C244*INDEX(Curves!$AS$8:$AS$68,BE$4-$B244+1)</f>
        <v/>
      </c>
      <c r="BF244" s="75">
        <f>$C244*INDEX(Curves!$AS$8:$AS$68,BF$4-$B244+1)</f>
        <v/>
      </c>
      <c r="BG244" s="75">
        <f>$C244*INDEX(Curves!$AS$8:$AS$68,BG$4-$B244+1)</f>
        <v/>
      </c>
      <c r="BH244" s="75">
        <f>$C244*INDEX(Curves!$AS$8:$AS$68,BH$4-$B244+1)</f>
        <v/>
      </c>
      <c r="BI244" s="75">
        <f>$C244*INDEX(Curves!$AS$8:$AS$68,BI$4-$B244+1)</f>
        <v/>
      </c>
      <c r="BJ244" s="75">
        <f>$C244*INDEX(Curves!$AS$8:$AS$68,BJ$4-$B244+1)</f>
        <v/>
      </c>
      <c r="BK244" s="75">
        <f>$C244*INDEX(Curves!$AS$8:$AS$68,BK$4-$B244+1)</f>
        <v/>
      </c>
      <c r="BL244" s="75">
        <f>$C244*INDEX(Curves!$AS$8:$AS$68,BL$4-$B244+1)</f>
        <v/>
      </c>
    </row>
    <row r="245">
      <c r="A245" s="74" t="inlineStr">
        <is>
          <t>Cohort month 47</t>
        </is>
      </c>
      <c r="B245" s="74" t="n">
        <v>47</v>
      </c>
      <c r="C245" s="17">
        <f>INDEX(Ops!$E$85:$BL$85,1,$B245)</f>
        <v/>
      </c>
      <c r="AZ245" s="75">
        <f>$C245*INDEX(Curves!$AS$8:$AS$68,AZ$4-$B245+1)</f>
        <v/>
      </c>
      <c r="BA245" s="75">
        <f>$C245*INDEX(Curves!$AS$8:$AS$68,BA$4-$B245+1)</f>
        <v/>
      </c>
      <c r="BB245" s="75">
        <f>$C245*INDEX(Curves!$AS$8:$AS$68,BB$4-$B245+1)</f>
        <v/>
      </c>
      <c r="BC245" s="75">
        <f>$C245*INDEX(Curves!$AS$8:$AS$68,BC$4-$B245+1)</f>
        <v/>
      </c>
      <c r="BD245" s="75">
        <f>$C245*INDEX(Curves!$AS$8:$AS$68,BD$4-$B245+1)</f>
        <v/>
      </c>
      <c r="BE245" s="75">
        <f>$C245*INDEX(Curves!$AS$8:$AS$68,BE$4-$B245+1)</f>
        <v/>
      </c>
      <c r="BF245" s="75">
        <f>$C245*INDEX(Curves!$AS$8:$AS$68,BF$4-$B245+1)</f>
        <v/>
      </c>
      <c r="BG245" s="75">
        <f>$C245*INDEX(Curves!$AS$8:$AS$68,BG$4-$B245+1)</f>
        <v/>
      </c>
      <c r="BH245" s="75">
        <f>$C245*INDEX(Curves!$AS$8:$AS$68,BH$4-$B245+1)</f>
        <v/>
      </c>
      <c r="BI245" s="75">
        <f>$C245*INDEX(Curves!$AS$8:$AS$68,BI$4-$B245+1)</f>
        <v/>
      </c>
      <c r="BJ245" s="75">
        <f>$C245*INDEX(Curves!$AS$8:$AS$68,BJ$4-$B245+1)</f>
        <v/>
      </c>
      <c r="BK245" s="75">
        <f>$C245*INDEX(Curves!$AS$8:$AS$68,BK$4-$B245+1)</f>
        <v/>
      </c>
      <c r="BL245" s="75">
        <f>$C245*INDEX(Curves!$AS$8:$AS$68,BL$4-$B245+1)</f>
        <v/>
      </c>
    </row>
    <row r="246">
      <c r="A246" s="74" t="inlineStr">
        <is>
          <t>Cohort month 48</t>
        </is>
      </c>
      <c r="B246" s="74" t="n">
        <v>48</v>
      </c>
      <c r="C246" s="17">
        <f>INDEX(Ops!$E$85:$BL$85,1,$B246)</f>
        <v/>
      </c>
      <c r="BA246" s="75">
        <f>$C246*INDEX(Curves!$AS$8:$AS$68,BA$4-$B246+1)</f>
        <v/>
      </c>
      <c r="BB246" s="75">
        <f>$C246*INDEX(Curves!$AS$8:$AS$68,BB$4-$B246+1)</f>
        <v/>
      </c>
      <c r="BC246" s="75">
        <f>$C246*INDEX(Curves!$AS$8:$AS$68,BC$4-$B246+1)</f>
        <v/>
      </c>
      <c r="BD246" s="75">
        <f>$C246*INDEX(Curves!$AS$8:$AS$68,BD$4-$B246+1)</f>
        <v/>
      </c>
      <c r="BE246" s="75">
        <f>$C246*INDEX(Curves!$AS$8:$AS$68,BE$4-$B246+1)</f>
        <v/>
      </c>
      <c r="BF246" s="75">
        <f>$C246*INDEX(Curves!$AS$8:$AS$68,BF$4-$B246+1)</f>
        <v/>
      </c>
      <c r="BG246" s="75">
        <f>$C246*INDEX(Curves!$AS$8:$AS$68,BG$4-$B246+1)</f>
        <v/>
      </c>
      <c r="BH246" s="75">
        <f>$C246*INDEX(Curves!$AS$8:$AS$68,BH$4-$B246+1)</f>
        <v/>
      </c>
      <c r="BI246" s="75">
        <f>$C246*INDEX(Curves!$AS$8:$AS$68,BI$4-$B246+1)</f>
        <v/>
      </c>
      <c r="BJ246" s="75">
        <f>$C246*INDEX(Curves!$AS$8:$AS$68,BJ$4-$B246+1)</f>
        <v/>
      </c>
      <c r="BK246" s="75">
        <f>$C246*INDEX(Curves!$AS$8:$AS$68,BK$4-$B246+1)</f>
        <v/>
      </c>
      <c r="BL246" s="75">
        <f>$C246*INDEX(Curves!$AS$8:$AS$68,BL$4-$B246+1)</f>
        <v/>
      </c>
    </row>
    <row r="247">
      <c r="A247" s="74" t="inlineStr">
        <is>
          <t>Cohort month 49</t>
        </is>
      </c>
      <c r="B247" s="74" t="n">
        <v>49</v>
      </c>
      <c r="C247" s="17">
        <f>INDEX(Ops!$E$85:$BL$85,1,$B247)</f>
        <v/>
      </c>
      <c r="BB247" s="75">
        <f>$C247*INDEX(Curves!$AS$8:$AS$68,BB$4-$B247+1)</f>
        <v/>
      </c>
      <c r="BC247" s="75">
        <f>$C247*INDEX(Curves!$AS$8:$AS$68,BC$4-$B247+1)</f>
        <v/>
      </c>
      <c r="BD247" s="75">
        <f>$C247*INDEX(Curves!$AS$8:$AS$68,BD$4-$B247+1)</f>
        <v/>
      </c>
      <c r="BE247" s="75">
        <f>$C247*INDEX(Curves!$AS$8:$AS$68,BE$4-$B247+1)</f>
        <v/>
      </c>
      <c r="BF247" s="75">
        <f>$C247*INDEX(Curves!$AS$8:$AS$68,BF$4-$B247+1)</f>
        <v/>
      </c>
      <c r="BG247" s="75">
        <f>$C247*INDEX(Curves!$AS$8:$AS$68,BG$4-$B247+1)</f>
        <v/>
      </c>
      <c r="BH247" s="75">
        <f>$C247*INDEX(Curves!$AS$8:$AS$68,BH$4-$B247+1)</f>
        <v/>
      </c>
      <c r="BI247" s="75">
        <f>$C247*INDEX(Curves!$AS$8:$AS$68,BI$4-$B247+1)</f>
        <v/>
      </c>
      <c r="BJ247" s="75">
        <f>$C247*INDEX(Curves!$AS$8:$AS$68,BJ$4-$B247+1)</f>
        <v/>
      </c>
      <c r="BK247" s="75">
        <f>$C247*INDEX(Curves!$AS$8:$AS$68,BK$4-$B247+1)</f>
        <v/>
      </c>
      <c r="BL247" s="75">
        <f>$C247*INDEX(Curves!$AS$8:$AS$68,BL$4-$B247+1)</f>
        <v/>
      </c>
    </row>
    <row r="248">
      <c r="A248" s="74" t="inlineStr">
        <is>
          <t>Cohort month 50</t>
        </is>
      </c>
      <c r="B248" s="74" t="n">
        <v>50</v>
      </c>
      <c r="C248" s="17">
        <f>INDEX(Ops!$E$85:$BL$85,1,$B248)</f>
        <v/>
      </c>
      <c r="BC248" s="75">
        <f>$C248*INDEX(Curves!$AS$8:$AS$68,BC$4-$B248+1)</f>
        <v/>
      </c>
      <c r="BD248" s="75">
        <f>$C248*INDEX(Curves!$AS$8:$AS$68,BD$4-$B248+1)</f>
        <v/>
      </c>
      <c r="BE248" s="75">
        <f>$C248*INDEX(Curves!$AS$8:$AS$68,BE$4-$B248+1)</f>
        <v/>
      </c>
      <c r="BF248" s="75">
        <f>$C248*INDEX(Curves!$AS$8:$AS$68,BF$4-$B248+1)</f>
        <v/>
      </c>
      <c r="BG248" s="75">
        <f>$C248*INDEX(Curves!$AS$8:$AS$68,BG$4-$B248+1)</f>
        <v/>
      </c>
      <c r="BH248" s="75">
        <f>$C248*INDEX(Curves!$AS$8:$AS$68,BH$4-$B248+1)</f>
        <v/>
      </c>
      <c r="BI248" s="75">
        <f>$C248*INDEX(Curves!$AS$8:$AS$68,BI$4-$B248+1)</f>
        <v/>
      </c>
      <c r="BJ248" s="75">
        <f>$C248*INDEX(Curves!$AS$8:$AS$68,BJ$4-$B248+1)</f>
        <v/>
      </c>
      <c r="BK248" s="75">
        <f>$C248*INDEX(Curves!$AS$8:$AS$68,BK$4-$B248+1)</f>
        <v/>
      </c>
      <c r="BL248" s="75">
        <f>$C248*INDEX(Curves!$AS$8:$AS$68,BL$4-$B248+1)</f>
        <v/>
      </c>
    </row>
    <row r="249">
      <c r="A249" s="74" t="inlineStr">
        <is>
          <t>Cohort month 51</t>
        </is>
      </c>
      <c r="B249" s="74" t="n">
        <v>51</v>
      </c>
      <c r="C249" s="17">
        <f>INDEX(Ops!$E$85:$BL$85,1,$B249)</f>
        <v/>
      </c>
      <c r="BD249" s="75">
        <f>$C249*INDEX(Curves!$AS$8:$AS$68,BD$4-$B249+1)</f>
        <v/>
      </c>
      <c r="BE249" s="75">
        <f>$C249*INDEX(Curves!$AS$8:$AS$68,BE$4-$B249+1)</f>
        <v/>
      </c>
      <c r="BF249" s="75">
        <f>$C249*INDEX(Curves!$AS$8:$AS$68,BF$4-$B249+1)</f>
        <v/>
      </c>
      <c r="BG249" s="75">
        <f>$C249*INDEX(Curves!$AS$8:$AS$68,BG$4-$B249+1)</f>
        <v/>
      </c>
      <c r="BH249" s="75">
        <f>$C249*INDEX(Curves!$AS$8:$AS$68,BH$4-$B249+1)</f>
        <v/>
      </c>
      <c r="BI249" s="75">
        <f>$C249*INDEX(Curves!$AS$8:$AS$68,BI$4-$B249+1)</f>
        <v/>
      </c>
      <c r="BJ249" s="75">
        <f>$C249*INDEX(Curves!$AS$8:$AS$68,BJ$4-$B249+1)</f>
        <v/>
      </c>
      <c r="BK249" s="75">
        <f>$C249*INDEX(Curves!$AS$8:$AS$68,BK$4-$B249+1)</f>
        <v/>
      </c>
      <c r="BL249" s="75">
        <f>$C249*INDEX(Curves!$AS$8:$AS$68,BL$4-$B249+1)</f>
        <v/>
      </c>
    </row>
    <row r="250">
      <c r="A250" s="74" t="inlineStr">
        <is>
          <t>Cohort month 52</t>
        </is>
      </c>
      <c r="B250" s="74" t="n">
        <v>52</v>
      </c>
      <c r="C250" s="17">
        <f>INDEX(Ops!$E$85:$BL$85,1,$B250)</f>
        <v/>
      </c>
      <c r="BE250" s="75">
        <f>$C250*INDEX(Curves!$AS$8:$AS$68,BE$4-$B250+1)</f>
        <v/>
      </c>
      <c r="BF250" s="75">
        <f>$C250*INDEX(Curves!$AS$8:$AS$68,BF$4-$B250+1)</f>
        <v/>
      </c>
      <c r="BG250" s="75">
        <f>$C250*INDEX(Curves!$AS$8:$AS$68,BG$4-$B250+1)</f>
        <v/>
      </c>
      <c r="BH250" s="75">
        <f>$C250*INDEX(Curves!$AS$8:$AS$68,BH$4-$B250+1)</f>
        <v/>
      </c>
      <c r="BI250" s="75">
        <f>$C250*INDEX(Curves!$AS$8:$AS$68,BI$4-$B250+1)</f>
        <v/>
      </c>
      <c r="BJ250" s="75">
        <f>$C250*INDEX(Curves!$AS$8:$AS$68,BJ$4-$B250+1)</f>
        <v/>
      </c>
      <c r="BK250" s="75">
        <f>$C250*INDEX(Curves!$AS$8:$AS$68,BK$4-$B250+1)</f>
        <v/>
      </c>
      <c r="BL250" s="75">
        <f>$C250*INDEX(Curves!$AS$8:$AS$68,BL$4-$B250+1)</f>
        <v/>
      </c>
    </row>
    <row r="251">
      <c r="A251" s="74" t="inlineStr">
        <is>
          <t>Cohort month 53</t>
        </is>
      </c>
      <c r="B251" s="74" t="n">
        <v>53</v>
      </c>
      <c r="C251" s="17">
        <f>INDEX(Ops!$E$85:$BL$85,1,$B251)</f>
        <v/>
      </c>
      <c r="BF251" s="75">
        <f>$C251*INDEX(Curves!$AS$8:$AS$68,BF$4-$B251+1)</f>
        <v/>
      </c>
      <c r="BG251" s="75">
        <f>$C251*INDEX(Curves!$AS$8:$AS$68,BG$4-$B251+1)</f>
        <v/>
      </c>
      <c r="BH251" s="75">
        <f>$C251*INDEX(Curves!$AS$8:$AS$68,BH$4-$B251+1)</f>
        <v/>
      </c>
      <c r="BI251" s="75">
        <f>$C251*INDEX(Curves!$AS$8:$AS$68,BI$4-$B251+1)</f>
        <v/>
      </c>
      <c r="BJ251" s="75">
        <f>$C251*INDEX(Curves!$AS$8:$AS$68,BJ$4-$B251+1)</f>
        <v/>
      </c>
      <c r="BK251" s="75">
        <f>$C251*INDEX(Curves!$AS$8:$AS$68,BK$4-$B251+1)</f>
        <v/>
      </c>
      <c r="BL251" s="75">
        <f>$C251*INDEX(Curves!$AS$8:$AS$68,BL$4-$B251+1)</f>
        <v/>
      </c>
    </row>
    <row r="252">
      <c r="A252" s="74" t="inlineStr">
        <is>
          <t>Cohort month 54</t>
        </is>
      </c>
      <c r="B252" s="74" t="n">
        <v>54</v>
      </c>
      <c r="C252" s="17">
        <f>INDEX(Ops!$E$85:$BL$85,1,$B252)</f>
        <v/>
      </c>
      <c r="BG252" s="75">
        <f>$C252*INDEX(Curves!$AS$8:$AS$68,BG$4-$B252+1)</f>
        <v/>
      </c>
      <c r="BH252" s="75">
        <f>$C252*INDEX(Curves!$AS$8:$AS$68,BH$4-$B252+1)</f>
        <v/>
      </c>
      <c r="BI252" s="75">
        <f>$C252*INDEX(Curves!$AS$8:$AS$68,BI$4-$B252+1)</f>
        <v/>
      </c>
      <c r="BJ252" s="75">
        <f>$C252*INDEX(Curves!$AS$8:$AS$68,BJ$4-$B252+1)</f>
        <v/>
      </c>
      <c r="BK252" s="75">
        <f>$C252*INDEX(Curves!$AS$8:$AS$68,BK$4-$B252+1)</f>
        <v/>
      </c>
      <c r="BL252" s="75">
        <f>$C252*INDEX(Curves!$AS$8:$AS$68,BL$4-$B252+1)</f>
        <v/>
      </c>
    </row>
    <row r="253">
      <c r="A253" s="74" t="inlineStr">
        <is>
          <t>Cohort month 55</t>
        </is>
      </c>
      <c r="B253" s="74" t="n">
        <v>55</v>
      </c>
      <c r="C253" s="17">
        <f>INDEX(Ops!$E$85:$BL$85,1,$B253)</f>
        <v/>
      </c>
      <c r="BH253" s="75">
        <f>$C253*INDEX(Curves!$AS$8:$AS$68,BH$4-$B253+1)</f>
        <v/>
      </c>
      <c r="BI253" s="75">
        <f>$C253*INDEX(Curves!$AS$8:$AS$68,BI$4-$B253+1)</f>
        <v/>
      </c>
      <c r="BJ253" s="75">
        <f>$C253*INDEX(Curves!$AS$8:$AS$68,BJ$4-$B253+1)</f>
        <v/>
      </c>
      <c r="BK253" s="75">
        <f>$C253*INDEX(Curves!$AS$8:$AS$68,BK$4-$B253+1)</f>
        <v/>
      </c>
      <c r="BL253" s="75">
        <f>$C253*INDEX(Curves!$AS$8:$AS$68,BL$4-$B253+1)</f>
        <v/>
      </c>
    </row>
    <row r="254">
      <c r="A254" s="74" t="inlineStr">
        <is>
          <t>Cohort month 56</t>
        </is>
      </c>
      <c r="B254" s="74" t="n">
        <v>56</v>
      </c>
      <c r="C254" s="17">
        <f>INDEX(Ops!$E$85:$BL$85,1,$B254)</f>
        <v/>
      </c>
      <c r="BI254" s="75">
        <f>$C254*INDEX(Curves!$AS$8:$AS$68,BI$4-$B254+1)</f>
        <v/>
      </c>
      <c r="BJ254" s="75">
        <f>$C254*INDEX(Curves!$AS$8:$AS$68,BJ$4-$B254+1)</f>
        <v/>
      </c>
      <c r="BK254" s="75">
        <f>$C254*INDEX(Curves!$AS$8:$AS$68,BK$4-$B254+1)</f>
        <v/>
      </c>
      <c r="BL254" s="75">
        <f>$C254*INDEX(Curves!$AS$8:$AS$68,BL$4-$B254+1)</f>
        <v/>
      </c>
    </row>
    <row r="255">
      <c r="A255" s="74" t="inlineStr">
        <is>
          <t>Cohort month 57</t>
        </is>
      </c>
      <c r="B255" s="74" t="n">
        <v>57</v>
      </c>
      <c r="C255" s="17">
        <f>INDEX(Ops!$E$85:$BL$85,1,$B255)</f>
        <v/>
      </c>
      <c r="BJ255" s="75">
        <f>$C255*INDEX(Curves!$AS$8:$AS$68,BJ$4-$B255+1)</f>
        <v/>
      </c>
      <c r="BK255" s="75">
        <f>$C255*INDEX(Curves!$AS$8:$AS$68,BK$4-$B255+1)</f>
        <v/>
      </c>
      <c r="BL255" s="75">
        <f>$C255*INDEX(Curves!$AS$8:$AS$68,BL$4-$B255+1)</f>
        <v/>
      </c>
    </row>
    <row r="256">
      <c r="A256" s="74" t="inlineStr">
        <is>
          <t>Cohort month 58</t>
        </is>
      </c>
      <c r="B256" s="74" t="n">
        <v>58</v>
      </c>
      <c r="C256" s="17">
        <f>INDEX(Ops!$E$85:$BL$85,1,$B256)</f>
        <v/>
      </c>
      <c r="BK256" s="75">
        <f>$C256*INDEX(Curves!$AS$8:$AS$68,BK$4-$B256+1)</f>
        <v/>
      </c>
      <c r="BL256" s="75">
        <f>$C256*INDEX(Curves!$AS$8:$AS$68,BL$4-$B256+1)</f>
        <v/>
      </c>
    </row>
    <row r="257">
      <c r="A257" s="74" t="inlineStr">
        <is>
          <t>Cohort month 59</t>
        </is>
      </c>
      <c r="B257" s="74" t="n">
        <v>59</v>
      </c>
      <c r="C257" s="17">
        <f>INDEX(Ops!$E$85:$BL$85,1,$B257)</f>
        <v/>
      </c>
      <c r="BL257" s="75">
        <f>$C257*INDEX(Curves!$AS$8:$AS$68,BL$4-$B257+1)</f>
        <v/>
      </c>
    </row>
    <row r="258">
      <c r="A258" s="74" t="inlineStr">
        <is>
          <t>Cohort month 60</t>
        </is>
      </c>
      <c r="B258" s="74" t="n">
        <v>60</v>
      </c>
      <c r="C258" s="17">
        <f>INDEX(Ops!$E$85:$BL$85,1,$B258)</f>
        <v/>
      </c>
    </row>
  </sheetData>
  <pageMargins left="0.75" right="0.75" top="1" bottom="1" header="0.5" footer="0.5"/>
  <pageSetup orientation="landscape" fitToHeight="0" fitToWidth="1"/>
</worksheet>
</file>

<file path=xl/worksheets/sheet22.xml><?xml version="1.0" encoding="utf-8"?>
<worksheet xmlns="http://schemas.openxmlformats.org/spreadsheetml/2006/main">
  <sheetPr>
    <outlinePr summaryBelow="1" summaryRight="1"/>
    <pageSetUpPr fitToPage="1"/>
  </sheetPr>
  <dimension ref="A1:BL2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30"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Cohort (vintage) analysis - Tier 5 - Solar inverter + lithium (~3 kWp / 10 kWh)</t>
        </is>
      </c>
    </row>
    <row r="2">
      <c r="A2" s="2" t="inlineStr">
        <is>
          <t>Rows = sales cohort (month of sale); columns = calendar month. Cohort size in column C.</t>
        </is>
      </c>
    </row>
    <row r="3"/>
    <row r="4">
      <c r="A4" s="51" t="inlineStr">
        <is>
          <t>Month #</t>
        </is>
      </c>
      <c r="B4" s="52" t="n"/>
      <c r="C4" s="52" t="n"/>
      <c r="D4" s="51" t="inlineStr">
        <is>
          <t>Opening</t>
        </is>
      </c>
      <c r="E4" s="53">
        <f>Timeline!E4</f>
        <v/>
      </c>
      <c r="F4" s="53">
        <f>Timeline!F4</f>
        <v/>
      </c>
      <c r="G4" s="53">
        <f>Timeline!G4</f>
        <v/>
      </c>
      <c r="H4" s="53">
        <f>Timeline!H4</f>
        <v/>
      </c>
      <c r="I4" s="53">
        <f>Timeline!I4</f>
        <v/>
      </c>
      <c r="J4" s="53">
        <f>Timeline!J4</f>
        <v/>
      </c>
      <c r="K4" s="53">
        <f>Timeline!K4</f>
        <v/>
      </c>
      <c r="L4" s="53">
        <f>Timeline!L4</f>
        <v/>
      </c>
      <c r="M4" s="53">
        <f>Timeline!M4</f>
        <v/>
      </c>
      <c r="N4" s="53">
        <f>Timeline!N4</f>
        <v/>
      </c>
      <c r="O4" s="53">
        <f>Timeline!O4</f>
        <v/>
      </c>
      <c r="P4" s="53">
        <f>Timeline!P4</f>
        <v/>
      </c>
      <c r="Q4" s="53">
        <f>Timeline!Q4</f>
        <v/>
      </c>
      <c r="R4" s="53">
        <f>Timeline!R4</f>
        <v/>
      </c>
      <c r="S4" s="53">
        <f>Timeline!S4</f>
        <v/>
      </c>
      <c r="T4" s="53">
        <f>Timeline!T4</f>
        <v/>
      </c>
      <c r="U4" s="53">
        <f>Timeline!U4</f>
        <v/>
      </c>
      <c r="V4" s="53">
        <f>Timeline!V4</f>
        <v/>
      </c>
      <c r="W4" s="53">
        <f>Timeline!W4</f>
        <v/>
      </c>
      <c r="X4" s="53">
        <f>Timeline!X4</f>
        <v/>
      </c>
      <c r="Y4" s="53">
        <f>Timeline!Y4</f>
        <v/>
      </c>
      <c r="Z4" s="53">
        <f>Timeline!Z4</f>
        <v/>
      </c>
      <c r="AA4" s="53">
        <f>Timeline!AA4</f>
        <v/>
      </c>
      <c r="AB4" s="53">
        <f>Timeline!AB4</f>
        <v/>
      </c>
      <c r="AC4" s="53">
        <f>Timeline!AC4</f>
        <v/>
      </c>
      <c r="AD4" s="53">
        <f>Timeline!AD4</f>
        <v/>
      </c>
      <c r="AE4" s="53">
        <f>Timeline!AE4</f>
        <v/>
      </c>
      <c r="AF4" s="53">
        <f>Timeline!AF4</f>
        <v/>
      </c>
      <c r="AG4" s="53">
        <f>Timeline!AG4</f>
        <v/>
      </c>
      <c r="AH4" s="53">
        <f>Timeline!AH4</f>
        <v/>
      </c>
      <c r="AI4" s="53">
        <f>Timeline!AI4</f>
        <v/>
      </c>
      <c r="AJ4" s="53">
        <f>Timeline!AJ4</f>
        <v/>
      </c>
      <c r="AK4" s="53">
        <f>Timeline!AK4</f>
        <v/>
      </c>
      <c r="AL4" s="53">
        <f>Timeline!AL4</f>
        <v/>
      </c>
      <c r="AM4" s="53">
        <f>Timeline!AM4</f>
        <v/>
      </c>
      <c r="AN4" s="53">
        <f>Timeline!AN4</f>
        <v/>
      </c>
      <c r="AO4" s="53">
        <f>Timeline!AO4</f>
        <v/>
      </c>
      <c r="AP4" s="53">
        <f>Timeline!AP4</f>
        <v/>
      </c>
      <c r="AQ4" s="53">
        <f>Timeline!AQ4</f>
        <v/>
      </c>
      <c r="AR4" s="53">
        <f>Timeline!AR4</f>
        <v/>
      </c>
      <c r="AS4" s="53">
        <f>Timeline!AS4</f>
        <v/>
      </c>
      <c r="AT4" s="53">
        <f>Timeline!AT4</f>
        <v/>
      </c>
      <c r="AU4" s="53">
        <f>Timeline!AU4</f>
        <v/>
      </c>
      <c r="AV4" s="53">
        <f>Timeline!AV4</f>
        <v/>
      </c>
      <c r="AW4" s="53">
        <f>Timeline!AW4</f>
        <v/>
      </c>
      <c r="AX4" s="53">
        <f>Timeline!AX4</f>
        <v/>
      </c>
      <c r="AY4" s="53">
        <f>Timeline!AY4</f>
        <v/>
      </c>
      <c r="AZ4" s="53">
        <f>Timeline!AZ4</f>
        <v/>
      </c>
      <c r="BA4" s="53">
        <f>Timeline!BA4</f>
        <v/>
      </c>
      <c r="BB4" s="53">
        <f>Timeline!BB4</f>
        <v/>
      </c>
      <c r="BC4" s="53">
        <f>Timeline!BC4</f>
        <v/>
      </c>
      <c r="BD4" s="53">
        <f>Timeline!BD4</f>
        <v/>
      </c>
      <c r="BE4" s="53">
        <f>Timeline!BE4</f>
        <v/>
      </c>
      <c r="BF4" s="53">
        <f>Timeline!BF4</f>
        <v/>
      </c>
      <c r="BG4" s="53">
        <f>Timeline!BG4</f>
        <v/>
      </c>
      <c r="BH4" s="53">
        <f>Timeline!BH4</f>
        <v/>
      </c>
      <c r="BI4" s="53">
        <f>Timeline!BI4</f>
        <v/>
      </c>
      <c r="BJ4" s="53">
        <f>Timeline!BJ4</f>
        <v/>
      </c>
      <c r="BK4" s="53">
        <f>Timeline!BK4</f>
        <v/>
      </c>
      <c r="BL4" s="53">
        <f>Timeline!BL4</f>
        <v/>
      </c>
    </row>
    <row r="5">
      <c r="A5" s="51" t="inlineStr">
        <is>
          <t>Period end</t>
        </is>
      </c>
      <c r="B5" s="52" t="n"/>
      <c r="C5" s="52" t="n"/>
      <c r="D5" s="51" t="n"/>
      <c r="E5" s="54">
        <f>Timeline!E5</f>
        <v/>
      </c>
      <c r="F5" s="54">
        <f>Timeline!F5</f>
        <v/>
      </c>
      <c r="G5" s="54">
        <f>Timeline!G5</f>
        <v/>
      </c>
      <c r="H5" s="54">
        <f>Timeline!H5</f>
        <v/>
      </c>
      <c r="I5" s="54">
        <f>Timeline!I5</f>
        <v/>
      </c>
      <c r="J5" s="54">
        <f>Timeline!J5</f>
        <v/>
      </c>
      <c r="K5" s="54">
        <f>Timeline!K5</f>
        <v/>
      </c>
      <c r="L5" s="54">
        <f>Timeline!L5</f>
        <v/>
      </c>
      <c r="M5" s="54">
        <f>Timeline!M5</f>
        <v/>
      </c>
      <c r="N5" s="54">
        <f>Timeline!N5</f>
        <v/>
      </c>
      <c r="O5" s="54">
        <f>Timeline!O5</f>
        <v/>
      </c>
      <c r="P5" s="54">
        <f>Timeline!P5</f>
        <v/>
      </c>
      <c r="Q5" s="54">
        <f>Timeline!Q5</f>
        <v/>
      </c>
      <c r="R5" s="54">
        <f>Timeline!R5</f>
        <v/>
      </c>
      <c r="S5" s="54">
        <f>Timeline!S5</f>
        <v/>
      </c>
      <c r="T5" s="54">
        <f>Timeline!T5</f>
        <v/>
      </c>
      <c r="U5" s="54">
        <f>Timeline!U5</f>
        <v/>
      </c>
      <c r="V5" s="54">
        <f>Timeline!V5</f>
        <v/>
      </c>
      <c r="W5" s="54">
        <f>Timeline!W5</f>
        <v/>
      </c>
      <c r="X5" s="54">
        <f>Timeline!X5</f>
        <v/>
      </c>
      <c r="Y5" s="54">
        <f>Timeline!Y5</f>
        <v/>
      </c>
      <c r="Z5" s="54">
        <f>Timeline!Z5</f>
        <v/>
      </c>
      <c r="AA5" s="54">
        <f>Timeline!AA5</f>
        <v/>
      </c>
      <c r="AB5" s="54">
        <f>Timeline!AB5</f>
        <v/>
      </c>
      <c r="AC5" s="54">
        <f>Timeline!AC5</f>
        <v/>
      </c>
      <c r="AD5" s="54">
        <f>Timeline!AD5</f>
        <v/>
      </c>
      <c r="AE5" s="54">
        <f>Timeline!AE5</f>
        <v/>
      </c>
      <c r="AF5" s="54">
        <f>Timeline!AF5</f>
        <v/>
      </c>
      <c r="AG5" s="54">
        <f>Timeline!AG5</f>
        <v/>
      </c>
      <c r="AH5" s="54">
        <f>Timeline!AH5</f>
        <v/>
      </c>
      <c r="AI5" s="54">
        <f>Timeline!AI5</f>
        <v/>
      </c>
      <c r="AJ5" s="54">
        <f>Timeline!AJ5</f>
        <v/>
      </c>
      <c r="AK5" s="54">
        <f>Timeline!AK5</f>
        <v/>
      </c>
      <c r="AL5" s="54">
        <f>Timeline!AL5</f>
        <v/>
      </c>
      <c r="AM5" s="54">
        <f>Timeline!AM5</f>
        <v/>
      </c>
      <c r="AN5" s="54">
        <f>Timeline!AN5</f>
        <v/>
      </c>
      <c r="AO5" s="54">
        <f>Timeline!AO5</f>
        <v/>
      </c>
      <c r="AP5" s="54">
        <f>Timeline!AP5</f>
        <v/>
      </c>
      <c r="AQ5" s="54">
        <f>Timeline!AQ5</f>
        <v/>
      </c>
      <c r="AR5" s="54">
        <f>Timeline!AR5</f>
        <v/>
      </c>
      <c r="AS5" s="54">
        <f>Timeline!AS5</f>
        <v/>
      </c>
      <c r="AT5" s="54">
        <f>Timeline!AT5</f>
        <v/>
      </c>
      <c r="AU5" s="54">
        <f>Timeline!AU5</f>
        <v/>
      </c>
      <c r="AV5" s="54">
        <f>Timeline!AV5</f>
        <v/>
      </c>
      <c r="AW5" s="54">
        <f>Timeline!AW5</f>
        <v/>
      </c>
      <c r="AX5" s="54">
        <f>Timeline!AX5</f>
        <v/>
      </c>
      <c r="AY5" s="54">
        <f>Timeline!AY5</f>
        <v/>
      </c>
      <c r="AZ5" s="54">
        <f>Timeline!AZ5</f>
        <v/>
      </c>
      <c r="BA5" s="54">
        <f>Timeline!BA5</f>
        <v/>
      </c>
      <c r="BB5" s="54">
        <f>Timeline!BB5</f>
        <v/>
      </c>
      <c r="BC5" s="54">
        <f>Timeline!BC5</f>
        <v/>
      </c>
      <c r="BD5" s="54">
        <f>Timeline!BD5</f>
        <v/>
      </c>
      <c r="BE5" s="54">
        <f>Timeline!BE5</f>
        <v/>
      </c>
      <c r="BF5" s="54">
        <f>Timeline!BF5</f>
        <v/>
      </c>
      <c r="BG5" s="54">
        <f>Timeline!BG5</f>
        <v/>
      </c>
      <c r="BH5" s="54">
        <f>Timeline!BH5</f>
        <v/>
      </c>
      <c r="BI5" s="54">
        <f>Timeline!BI5</f>
        <v/>
      </c>
      <c r="BJ5" s="54">
        <f>Timeline!BJ5</f>
        <v/>
      </c>
      <c r="BK5" s="54">
        <f>Timeline!BK5</f>
        <v/>
      </c>
      <c r="BL5" s="54">
        <f>Timeline!BL5</f>
        <v/>
      </c>
    </row>
    <row r="6">
      <c r="A6" s="51" t="inlineStr">
        <is>
          <t>Year #</t>
        </is>
      </c>
      <c r="B6" s="52" t="n"/>
      <c r="C6" s="52" t="n"/>
      <c r="D6" s="51" t="n"/>
      <c r="E6" s="53">
        <f>Timeline!E6</f>
        <v/>
      </c>
      <c r="F6" s="53">
        <f>Timeline!F6</f>
        <v/>
      </c>
      <c r="G6" s="53">
        <f>Timeline!G6</f>
        <v/>
      </c>
      <c r="H6" s="53">
        <f>Timeline!H6</f>
        <v/>
      </c>
      <c r="I6" s="53">
        <f>Timeline!I6</f>
        <v/>
      </c>
      <c r="J6" s="53">
        <f>Timeline!J6</f>
        <v/>
      </c>
      <c r="K6" s="53">
        <f>Timeline!K6</f>
        <v/>
      </c>
      <c r="L6" s="53">
        <f>Timeline!L6</f>
        <v/>
      </c>
      <c r="M6" s="53">
        <f>Timeline!M6</f>
        <v/>
      </c>
      <c r="N6" s="53">
        <f>Timeline!N6</f>
        <v/>
      </c>
      <c r="O6" s="53">
        <f>Timeline!O6</f>
        <v/>
      </c>
      <c r="P6" s="53">
        <f>Timeline!P6</f>
        <v/>
      </c>
      <c r="Q6" s="53">
        <f>Timeline!Q6</f>
        <v/>
      </c>
      <c r="R6" s="53">
        <f>Timeline!R6</f>
        <v/>
      </c>
      <c r="S6" s="53">
        <f>Timeline!S6</f>
        <v/>
      </c>
      <c r="T6" s="53">
        <f>Timeline!T6</f>
        <v/>
      </c>
      <c r="U6" s="53">
        <f>Timeline!U6</f>
        <v/>
      </c>
      <c r="V6" s="53">
        <f>Timeline!V6</f>
        <v/>
      </c>
      <c r="W6" s="53">
        <f>Timeline!W6</f>
        <v/>
      </c>
      <c r="X6" s="53">
        <f>Timeline!X6</f>
        <v/>
      </c>
      <c r="Y6" s="53">
        <f>Timeline!Y6</f>
        <v/>
      </c>
      <c r="Z6" s="53">
        <f>Timeline!Z6</f>
        <v/>
      </c>
      <c r="AA6" s="53">
        <f>Timeline!AA6</f>
        <v/>
      </c>
      <c r="AB6" s="53">
        <f>Timeline!AB6</f>
        <v/>
      </c>
      <c r="AC6" s="53">
        <f>Timeline!AC6</f>
        <v/>
      </c>
      <c r="AD6" s="53">
        <f>Timeline!AD6</f>
        <v/>
      </c>
      <c r="AE6" s="53">
        <f>Timeline!AE6</f>
        <v/>
      </c>
      <c r="AF6" s="53">
        <f>Timeline!AF6</f>
        <v/>
      </c>
      <c r="AG6" s="53">
        <f>Timeline!AG6</f>
        <v/>
      </c>
      <c r="AH6" s="53">
        <f>Timeline!AH6</f>
        <v/>
      </c>
      <c r="AI6" s="53">
        <f>Timeline!AI6</f>
        <v/>
      </c>
      <c r="AJ6" s="53">
        <f>Timeline!AJ6</f>
        <v/>
      </c>
      <c r="AK6" s="53">
        <f>Timeline!AK6</f>
        <v/>
      </c>
      <c r="AL6" s="53">
        <f>Timeline!AL6</f>
        <v/>
      </c>
      <c r="AM6" s="53">
        <f>Timeline!AM6</f>
        <v/>
      </c>
      <c r="AN6" s="53">
        <f>Timeline!AN6</f>
        <v/>
      </c>
      <c r="AO6" s="53">
        <f>Timeline!AO6</f>
        <v/>
      </c>
      <c r="AP6" s="53">
        <f>Timeline!AP6</f>
        <v/>
      </c>
      <c r="AQ6" s="53">
        <f>Timeline!AQ6</f>
        <v/>
      </c>
      <c r="AR6" s="53">
        <f>Timeline!AR6</f>
        <v/>
      </c>
      <c r="AS6" s="53">
        <f>Timeline!AS6</f>
        <v/>
      </c>
      <c r="AT6" s="53">
        <f>Timeline!AT6</f>
        <v/>
      </c>
      <c r="AU6" s="53">
        <f>Timeline!AU6</f>
        <v/>
      </c>
      <c r="AV6" s="53">
        <f>Timeline!AV6</f>
        <v/>
      </c>
      <c r="AW6" s="53">
        <f>Timeline!AW6</f>
        <v/>
      </c>
      <c r="AX6" s="53">
        <f>Timeline!AX6</f>
        <v/>
      </c>
      <c r="AY6" s="53">
        <f>Timeline!AY6</f>
        <v/>
      </c>
      <c r="AZ6" s="53">
        <f>Timeline!AZ6</f>
        <v/>
      </c>
      <c r="BA6" s="53">
        <f>Timeline!BA6</f>
        <v/>
      </c>
      <c r="BB6" s="53">
        <f>Timeline!BB6</f>
        <v/>
      </c>
      <c r="BC6" s="53">
        <f>Timeline!BC6</f>
        <v/>
      </c>
      <c r="BD6" s="53">
        <f>Timeline!BD6</f>
        <v/>
      </c>
      <c r="BE6" s="53">
        <f>Timeline!BE6</f>
        <v/>
      </c>
      <c r="BF6" s="53">
        <f>Timeline!BF6</f>
        <v/>
      </c>
      <c r="BG6" s="53">
        <f>Timeline!BG6</f>
        <v/>
      </c>
      <c r="BH6" s="53">
        <f>Timeline!BH6</f>
        <v/>
      </c>
      <c r="BI6" s="53">
        <f>Timeline!BI6</f>
        <v/>
      </c>
      <c r="BJ6" s="53">
        <f>Timeline!BJ6</f>
        <v/>
      </c>
      <c r="BK6" s="53">
        <f>Timeline!BK6</f>
        <v/>
      </c>
      <c r="BL6" s="53">
        <f>Timeline!BL6</f>
        <v/>
      </c>
    </row>
    <row r="7"/>
    <row r="8">
      <c r="A8" s="14" t="inlineStr">
        <is>
          <t>Instalments collected by cohort (LCY)</t>
        </is>
      </c>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c r="AA8" s="15" t="n"/>
      <c r="AB8" s="15" t="n"/>
      <c r="AC8" s="15" t="n"/>
      <c r="AD8" s="15" t="n"/>
      <c r="AE8" s="15" t="n"/>
      <c r="AF8" s="15" t="n"/>
      <c r="AG8" s="15" t="n"/>
      <c r="AH8" s="15" t="n"/>
      <c r="AI8" s="15" t="n"/>
      <c r="AJ8" s="15" t="n"/>
      <c r="AK8" s="15" t="n"/>
      <c r="AL8" s="15" t="n"/>
      <c r="AM8" s="15" t="n"/>
      <c r="AN8" s="15" t="n"/>
      <c r="AO8" s="15" t="n"/>
      <c r="AP8" s="15" t="n"/>
      <c r="AQ8" s="15" t="n"/>
      <c r="AR8" s="15" t="n"/>
      <c r="AS8" s="15" t="n"/>
      <c r="AT8" s="15" t="n"/>
      <c r="AU8" s="15" t="n"/>
      <c r="AV8" s="15" t="n"/>
      <c r="AW8" s="15" t="n"/>
      <c r="AX8" s="15" t="n"/>
      <c r="AY8" s="15" t="n"/>
      <c r="AZ8" s="15" t="n"/>
      <c r="BA8" s="15" t="n"/>
      <c r="BB8" s="15" t="n"/>
      <c r="BC8" s="15" t="n"/>
      <c r="BD8" s="15" t="n"/>
      <c r="BE8" s="15" t="n"/>
      <c r="BF8" s="15" t="n"/>
      <c r="BG8" s="15" t="n"/>
      <c r="BH8" s="15" t="n"/>
      <c r="BI8" s="15" t="n"/>
      <c r="BJ8" s="15" t="n"/>
      <c r="BK8" s="15" t="n"/>
      <c r="BL8" s="15" t="n"/>
    </row>
    <row r="9">
      <c r="A9" s="60" t="inlineStr">
        <is>
          <t>Total</t>
        </is>
      </c>
      <c r="B9" s="61" t="inlineStr"/>
      <c r="C9" s="63" t="n"/>
      <c r="D9" s="63" t="n"/>
      <c r="E9" s="71">
        <f>SUM(E10:E69)</f>
        <v/>
      </c>
      <c r="F9" s="71">
        <f>SUM(F10:F69)</f>
        <v/>
      </c>
      <c r="G9" s="71">
        <f>SUM(G10:G69)</f>
        <v/>
      </c>
      <c r="H9" s="71">
        <f>SUM(H10:H69)</f>
        <v/>
      </c>
      <c r="I9" s="71">
        <f>SUM(I10:I69)</f>
        <v/>
      </c>
      <c r="J9" s="71">
        <f>SUM(J10:J69)</f>
        <v/>
      </c>
      <c r="K9" s="71">
        <f>SUM(K10:K69)</f>
        <v/>
      </c>
      <c r="L9" s="71">
        <f>SUM(L10:L69)</f>
        <v/>
      </c>
      <c r="M9" s="71">
        <f>SUM(M10:M69)</f>
        <v/>
      </c>
      <c r="N9" s="71">
        <f>SUM(N10:N69)</f>
        <v/>
      </c>
      <c r="O9" s="71">
        <f>SUM(O10:O69)</f>
        <v/>
      </c>
      <c r="P9" s="71">
        <f>SUM(P10:P69)</f>
        <v/>
      </c>
      <c r="Q9" s="71">
        <f>SUM(Q10:Q69)</f>
        <v/>
      </c>
      <c r="R9" s="71">
        <f>SUM(R10:R69)</f>
        <v/>
      </c>
      <c r="S9" s="71">
        <f>SUM(S10:S69)</f>
        <v/>
      </c>
      <c r="T9" s="71">
        <f>SUM(T10:T69)</f>
        <v/>
      </c>
      <c r="U9" s="71">
        <f>SUM(U10:U69)</f>
        <v/>
      </c>
      <c r="V9" s="71">
        <f>SUM(V10:V69)</f>
        <v/>
      </c>
      <c r="W9" s="71">
        <f>SUM(W10:W69)</f>
        <v/>
      </c>
      <c r="X9" s="71">
        <f>SUM(X10:X69)</f>
        <v/>
      </c>
      <c r="Y9" s="71">
        <f>SUM(Y10:Y69)</f>
        <v/>
      </c>
      <c r="Z9" s="71">
        <f>SUM(Z10:Z69)</f>
        <v/>
      </c>
      <c r="AA9" s="71">
        <f>SUM(AA10:AA69)</f>
        <v/>
      </c>
      <c r="AB9" s="71">
        <f>SUM(AB10:AB69)</f>
        <v/>
      </c>
      <c r="AC9" s="71">
        <f>SUM(AC10:AC69)</f>
        <v/>
      </c>
      <c r="AD9" s="71">
        <f>SUM(AD10:AD69)</f>
        <v/>
      </c>
      <c r="AE9" s="71">
        <f>SUM(AE10:AE69)</f>
        <v/>
      </c>
      <c r="AF9" s="71">
        <f>SUM(AF10:AF69)</f>
        <v/>
      </c>
      <c r="AG9" s="71">
        <f>SUM(AG10:AG69)</f>
        <v/>
      </c>
      <c r="AH9" s="71">
        <f>SUM(AH10:AH69)</f>
        <v/>
      </c>
      <c r="AI9" s="71">
        <f>SUM(AI10:AI69)</f>
        <v/>
      </c>
      <c r="AJ9" s="71">
        <f>SUM(AJ10:AJ69)</f>
        <v/>
      </c>
      <c r="AK9" s="71">
        <f>SUM(AK10:AK69)</f>
        <v/>
      </c>
      <c r="AL9" s="71">
        <f>SUM(AL10:AL69)</f>
        <v/>
      </c>
      <c r="AM9" s="71">
        <f>SUM(AM10:AM69)</f>
        <v/>
      </c>
      <c r="AN9" s="71">
        <f>SUM(AN10:AN69)</f>
        <v/>
      </c>
      <c r="AO9" s="71">
        <f>SUM(AO10:AO69)</f>
        <v/>
      </c>
      <c r="AP9" s="71">
        <f>SUM(AP10:AP69)</f>
        <v/>
      </c>
      <c r="AQ9" s="71">
        <f>SUM(AQ10:AQ69)</f>
        <v/>
      </c>
      <c r="AR9" s="71">
        <f>SUM(AR10:AR69)</f>
        <v/>
      </c>
      <c r="AS9" s="71">
        <f>SUM(AS10:AS69)</f>
        <v/>
      </c>
      <c r="AT9" s="71">
        <f>SUM(AT10:AT69)</f>
        <v/>
      </c>
      <c r="AU9" s="71">
        <f>SUM(AU10:AU69)</f>
        <v/>
      </c>
      <c r="AV9" s="71">
        <f>SUM(AV10:AV69)</f>
        <v/>
      </c>
      <c r="AW9" s="71">
        <f>SUM(AW10:AW69)</f>
        <v/>
      </c>
      <c r="AX9" s="71">
        <f>SUM(AX10:AX69)</f>
        <v/>
      </c>
      <c r="AY9" s="71">
        <f>SUM(AY10:AY69)</f>
        <v/>
      </c>
      <c r="AZ9" s="71">
        <f>SUM(AZ10:AZ69)</f>
        <v/>
      </c>
      <c r="BA9" s="71">
        <f>SUM(BA10:BA69)</f>
        <v/>
      </c>
      <c r="BB9" s="71">
        <f>SUM(BB10:BB69)</f>
        <v/>
      </c>
      <c r="BC9" s="71">
        <f>SUM(BC10:BC69)</f>
        <v/>
      </c>
      <c r="BD9" s="71">
        <f>SUM(BD10:BD69)</f>
        <v/>
      </c>
      <c r="BE9" s="71">
        <f>SUM(BE10:BE69)</f>
        <v/>
      </c>
      <c r="BF9" s="71">
        <f>SUM(BF10:BF69)</f>
        <v/>
      </c>
      <c r="BG9" s="71">
        <f>SUM(BG10:BG69)</f>
        <v/>
      </c>
      <c r="BH9" s="71">
        <f>SUM(BH10:BH69)</f>
        <v/>
      </c>
      <c r="BI9" s="71">
        <f>SUM(BI10:BI69)</f>
        <v/>
      </c>
      <c r="BJ9" s="71">
        <f>SUM(BJ10:BJ69)</f>
        <v/>
      </c>
      <c r="BK9" s="71">
        <f>SUM(BK10:BK69)</f>
        <v/>
      </c>
      <c r="BL9" s="71">
        <f>SUM(BL10:BL69)</f>
        <v/>
      </c>
    </row>
    <row r="10">
      <c r="A10" s="74" t="inlineStr">
        <is>
          <t>Cohort month 1</t>
        </is>
      </c>
      <c r="B10" s="74" t="n">
        <v>1</v>
      </c>
      <c r="C10" s="17">
        <f>INDEX(Ops!$E$110:$BL$110,1,$B10)</f>
        <v/>
      </c>
      <c r="F10" s="75">
        <f>$C10*INDEX(Curves!$AZ$8:$AZ$68,F$4-$B10+1)</f>
        <v/>
      </c>
      <c r="G10" s="75">
        <f>$C10*INDEX(Curves!$AZ$8:$AZ$68,G$4-$B10+1)</f>
        <v/>
      </c>
      <c r="H10" s="75">
        <f>$C10*INDEX(Curves!$AZ$8:$AZ$68,H$4-$B10+1)</f>
        <v/>
      </c>
      <c r="I10" s="75">
        <f>$C10*INDEX(Curves!$AZ$8:$AZ$68,I$4-$B10+1)</f>
        <v/>
      </c>
      <c r="J10" s="75">
        <f>$C10*INDEX(Curves!$AZ$8:$AZ$68,J$4-$B10+1)</f>
        <v/>
      </c>
      <c r="K10" s="75">
        <f>$C10*INDEX(Curves!$AZ$8:$AZ$68,K$4-$B10+1)</f>
        <v/>
      </c>
      <c r="L10" s="75">
        <f>$C10*INDEX(Curves!$AZ$8:$AZ$68,L$4-$B10+1)</f>
        <v/>
      </c>
      <c r="M10" s="75">
        <f>$C10*INDEX(Curves!$AZ$8:$AZ$68,M$4-$B10+1)</f>
        <v/>
      </c>
      <c r="N10" s="75">
        <f>$C10*INDEX(Curves!$AZ$8:$AZ$68,N$4-$B10+1)</f>
        <v/>
      </c>
      <c r="O10" s="75">
        <f>$C10*INDEX(Curves!$AZ$8:$AZ$68,O$4-$B10+1)</f>
        <v/>
      </c>
      <c r="P10" s="75">
        <f>$C10*INDEX(Curves!$AZ$8:$AZ$68,P$4-$B10+1)</f>
        <v/>
      </c>
      <c r="Q10" s="75">
        <f>$C10*INDEX(Curves!$AZ$8:$AZ$68,Q$4-$B10+1)</f>
        <v/>
      </c>
      <c r="R10" s="75">
        <f>$C10*INDEX(Curves!$AZ$8:$AZ$68,R$4-$B10+1)</f>
        <v/>
      </c>
      <c r="S10" s="75">
        <f>$C10*INDEX(Curves!$AZ$8:$AZ$68,S$4-$B10+1)</f>
        <v/>
      </c>
      <c r="T10" s="75">
        <f>$C10*INDEX(Curves!$AZ$8:$AZ$68,T$4-$B10+1)</f>
        <v/>
      </c>
      <c r="U10" s="75">
        <f>$C10*INDEX(Curves!$AZ$8:$AZ$68,U$4-$B10+1)</f>
        <v/>
      </c>
      <c r="V10" s="75">
        <f>$C10*INDEX(Curves!$AZ$8:$AZ$68,V$4-$B10+1)</f>
        <v/>
      </c>
      <c r="W10" s="75">
        <f>$C10*INDEX(Curves!$AZ$8:$AZ$68,W$4-$B10+1)</f>
        <v/>
      </c>
      <c r="X10" s="75">
        <f>$C10*INDEX(Curves!$AZ$8:$AZ$68,X$4-$B10+1)</f>
        <v/>
      </c>
      <c r="Y10" s="75">
        <f>$C10*INDEX(Curves!$AZ$8:$AZ$68,Y$4-$B10+1)</f>
        <v/>
      </c>
      <c r="Z10" s="75">
        <f>$C10*INDEX(Curves!$AZ$8:$AZ$68,Z$4-$B10+1)</f>
        <v/>
      </c>
      <c r="AA10" s="75">
        <f>$C10*INDEX(Curves!$AZ$8:$AZ$68,AA$4-$B10+1)</f>
        <v/>
      </c>
      <c r="AB10" s="75">
        <f>$C10*INDEX(Curves!$AZ$8:$AZ$68,AB$4-$B10+1)</f>
        <v/>
      </c>
      <c r="AC10" s="75">
        <f>$C10*INDEX(Curves!$AZ$8:$AZ$68,AC$4-$B10+1)</f>
        <v/>
      </c>
      <c r="AD10" s="75">
        <f>$C10*INDEX(Curves!$AZ$8:$AZ$68,AD$4-$B10+1)</f>
        <v/>
      </c>
      <c r="AE10" s="75">
        <f>$C10*INDEX(Curves!$AZ$8:$AZ$68,AE$4-$B10+1)</f>
        <v/>
      </c>
      <c r="AF10" s="75">
        <f>$C10*INDEX(Curves!$AZ$8:$AZ$68,AF$4-$B10+1)</f>
        <v/>
      </c>
      <c r="AG10" s="75">
        <f>$C10*INDEX(Curves!$AZ$8:$AZ$68,AG$4-$B10+1)</f>
        <v/>
      </c>
      <c r="AH10" s="75">
        <f>$C10*INDEX(Curves!$AZ$8:$AZ$68,AH$4-$B10+1)</f>
        <v/>
      </c>
      <c r="AI10" s="75">
        <f>$C10*INDEX(Curves!$AZ$8:$AZ$68,AI$4-$B10+1)</f>
        <v/>
      </c>
      <c r="AJ10" s="75">
        <f>$C10*INDEX(Curves!$AZ$8:$AZ$68,AJ$4-$B10+1)</f>
        <v/>
      </c>
      <c r="AK10" s="75">
        <f>$C10*INDEX(Curves!$AZ$8:$AZ$68,AK$4-$B10+1)</f>
        <v/>
      </c>
      <c r="AL10" s="75">
        <f>$C10*INDEX(Curves!$AZ$8:$AZ$68,AL$4-$B10+1)</f>
        <v/>
      </c>
      <c r="AM10" s="75">
        <f>$C10*INDEX(Curves!$AZ$8:$AZ$68,AM$4-$B10+1)</f>
        <v/>
      </c>
      <c r="AN10" s="75">
        <f>$C10*INDEX(Curves!$AZ$8:$AZ$68,AN$4-$B10+1)</f>
        <v/>
      </c>
      <c r="AO10" s="75">
        <f>$C10*INDEX(Curves!$AZ$8:$AZ$68,AO$4-$B10+1)</f>
        <v/>
      </c>
      <c r="AP10" s="75">
        <f>$C10*INDEX(Curves!$AZ$8:$AZ$68,AP$4-$B10+1)</f>
        <v/>
      </c>
      <c r="AQ10" s="75">
        <f>$C10*INDEX(Curves!$AZ$8:$AZ$68,AQ$4-$B10+1)</f>
        <v/>
      </c>
      <c r="AR10" s="75">
        <f>$C10*INDEX(Curves!$AZ$8:$AZ$68,AR$4-$B10+1)</f>
        <v/>
      </c>
      <c r="AS10" s="75">
        <f>$C10*INDEX(Curves!$AZ$8:$AZ$68,AS$4-$B10+1)</f>
        <v/>
      </c>
      <c r="AT10" s="75">
        <f>$C10*INDEX(Curves!$AZ$8:$AZ$68,AT$4-$B10+1)</f>
        <v/>
      </c>
      <c r="AU10" s="75">
        <f>$C10*INDEX(Curves!$AZ$8:$AZ$68,AU$4-$B10+1)</f>
        <v/>
      </c>
      <c r="AV10" s="75">
        <f>$C10*INDEX(Curves!$AZ$8:$AZ$68,AV$4-$B10+1)</f>
        <v/>
      </c>
      <c r="AW10" s="75">
        <f>$C10*INDEX(Curves!$AZ$8:$AZ$68,AW$4-$B10+1)</f>
        <v/>
      </c>
      <c r="AX10" s="75">
        <f>$C10*INDEX(Curves!$AZ$8:$AZ$68,AX$4-$B10+1)</f>
        <v/>
      </c>
      <c r="AY10" s="75">
        <f>$C10*INDEX(Curves!$AZ$8:$AZ$68,AY$4-$B10+1)</f>
        <v/>
      </c>
      <c r="AZ10" s="75">
        <f>$C10*INDEX(Curves!$AZ$8:$AZ$68,AZ$4-$B10+1)</f>
        <v/>
      </c>
      <c r="BA10" s="75">
        <f>$C10*INDEX(Curves!$AZ$8:$AZ$68,BA$4-$B10+1)</f>
        <v/>
      </c>
      <c r="BB10" s="75">
        <f>$C10*INDEX(Curves!$AZ$8:$AZ$68,BB$4-$B10+1)</f>
        <v/>
      </c>
      <c r="BC10" s="75">
        <f>$C10*INDEX(Curves!$AZ$8:$AZ$68,BC$4-$B10+1)</f>
        <v/>
      </c>
      <c r="BD10" s="75">
        <f>$C10*INDEX(Curves!$AZ$8:$AZ$68,BD$4-$B10+1)</f>
        <v/>
      </c>
      <c r="BE10" s="75">
        <f>$C10*INDEX(Curves!$AZ$8:$AZ$68,BE$4-$B10+1)</f>
        <v/>
      </c>
      <c r="BF10" s="75">
        <f>$C10*INDEX(Curves!$AZ$8:$AZ$68,BF$4-$B10+1)</f>
        <v/>
      </c>
      <c r="BG10" s="75">
        <f>$C10*INDEX(Curves!$AZ$8:$AZ$68,BG$4-$B10+1)</f>
        <v/>
      </c>
      <c r="BH10" s="75">
        <f>$C10*INDEX(Curves!$AZ$8:$AZ$68,BH$4-$B10+1)</f>
        <v/>
      </c>
      <c r="BI10" s="75">
        <f>$C10*INDEX(Curves!$AZ$8:$AZ$68,BI$4-$B10+1)</f>
        <v/>
      </c>
      <c r="BJ10" s="75">
        <f>$C10*INDEX(Curves!$AZ$8:$AZ$68,BJ$4-$B10+1)</f>
        <v/>
      </c>
      <c r="BK10" s="75">
        <f>$C10*INDEX(Curves!$AZ$8:$AZ$68,BK$4-$B10+1)</f>
        <v/>
      </c>
      <c r="BL10" s="75">
        <f>$C10*INDEX(Curves!$AZ$8:$AZ$68,BL$4-$B10+1)</f>
        <v/>
      </c>
    </row>
    <row r="11">
      <c r="A11" s="74" t="inlineStr">
        <is>
          <t>Cohort month 2</t>
        </is>
      </c>
      <c r="B11" s="74" t="n">
        <v>2</v>
      </c>
      <c r="C11" s="17">
        <f>INDEX(Ops!$E$110:$BL$110,1,$B11)</f>
        <v/>
      </c>
      <c r="G11" s="75">
        <f>$C11*INDEX(Curves!$AZ$8:$AZ$68,G$4-$B11+1)</f>
        <v/>
      </c>
      <c r="H11" s="75">
        <f>$C11*INDEX(Curves!$AZ$8:$AZ$68,H$4-$B11+1)</f>
        <v/>
      </c>
      <c r="I11" s="75">
        <f>$C11*INDEX(Curves!$AZ$8:$AZ$68,I$4-$B11+1)</f>
        <v/>
      </c>
      <c r="J11" s="75">
        <f>$C11*INDEX(Curves!$AZ$8:$AZ$68,J$4-$B11+1)</f>
        <v/>
      </c>
      <c r="K11" s="75">
        <f>$C11*INDEX(Curves!$AZ$8:$AZ$68,K$4-$B11+1)</f>
        <v/>
      </c>
      <c r="L11" s="75">
        <f>$C11*INDEX(Curves!$AZ$8:$AZ$68,L$4-$B11+1)</f>
        <v/>
      </c>
      <c r="M11" s="75">
        <f>$C11*INDEX(Curves!$AZ$8:$AZ$68,M$4-$B11+1)</f>
        <v/>
      </c>
      <c r="N11" s="75">
        <f>$C11*INDEX(Curves!$AZ$8:$AZ$68,N$4-$B11+1)</f>
        <v/>
      </c>
      <c r="O11" s="75">
        <f>$C11*INDEX(Curves!$AZ$8:$AZ$68,O$4-$B11+1)</f>
        <v/>
      </c>
      <c r="P11" s="75">
        <f>$C11*INDEX(Curves!$AZ$8:$AZ$68,P$4-$B11+1)</f>
        <v/>
      </c>
      <c r="Q11" s="75">
        <f>$C11*INDEX(Curves!$AZ$8:$AZ$68,Q$4-$B11+1)</f>
        <v/>
      </c>
      <c r="R11" s="75">
        <f>$C11*INDEX(Curves!$AZ$8:$AZ$68,R$4-$B11+1)</f>
        <v/>
      </c>
      <c r="S11" s="75">
        <f>$C11*INDEX(Curves!$AZ$8:$AZ$68,S$4-$B11+1)</f>
        <v/>
      </c>
      <c r="T11" s="75">
        <f>$C11*INDEX(Curves!$AZ$8:$AZ$68,T$4-$B11+1)</f>
        <v/>
      </c>
      <c r="U11" s="75">
        <f>$C11*INDEX(Curves!$AZ$8:$AZ$68,U$4-$B11+1)</f>
        <v/>
      </c>
      <c r="V11" s="75">
        <f>$C11*INDEX(Curves!$AZ$8:$AZ$68,V$4-$B11+1)</f>
        <v/>
      </c>
      <c r="W11" s="75">
        <f>$C11*INDEX(Curves!$AZ$8:$AZ$68,W$4-$B11+1)</f>
        <v/>
      </c>
      <c r="X11" s="75">
        <f>$C11*INDEX(Curves!$AZ$8:$AZ$68,X$4-$B11+1)</f>
        <v/>
      </c>
      <c r="Y11" s="75">
        <f>$C11*INDEX(Curves!$AZ$8:$AZ$68,Y$4-$B11+1)</f>
        <v/>
      </c>
      <c r="Z11" s="75">
        <f>$C11*INDEX(Curves!$AZ$8:$AZ$68,Z$4-$B11+1)</f>
        <v/>
      </c>
      <c r="AA11" s="75">
        <f>$C11*INDEX(Curves!$AZ$8:$AZ$68,AA$4-$B11+1)</f>
        <v/>
      </c>
      <c r="AB11" s="75">
        <f>$C11*INDEX(Curves!$AZ$8:$AZ$68,AB$4-$B11+1)</f>
        <v/>
      </c>
      <c r="AC11" s="75">
        <f>$C11*INDEX(Curves!$AZ$8:$AZ$68,AC$4-$B11+1)</f>
        <v/>
      </c>
      <c r="AD11" s="75">
        <f>$C11*INDEX(Curves!$AZ$8:$AZ$68,AD$4-$B11+1)</f>
        <v/>
      </c>
      <c r="AE11" s="75">
        <f>$C11*INDEX(Curves!$AZ$8:$AZ$68,AE$4-$B11+1)</f>
        <v/>
      </c>
      <c r="AF11" s="75">
        <f>$C11*INDEX(Curves!$AZ$8:$AZ$68,AF$4-$B11+1)</f>
        <v/>
      </c>
      <c r="AG11" s="75">
        <f>$C11*INDEX(Curves!$AZ$8:$AZ$68,AG$4-$B11+1)</f>
        <v/>
      </c>
      <c r="AH11" s="75">
        <f>$C11*INDEX(Curves!$AZ$8:$AZ$68,AH$4-$B11+1)</f>
        <v/>
      </c>
      <c r="AI11" s="75">
        <f>$C11*INDEX(Curves!$AZ$8:$AZ$68,AI$4-$B11+1)</f>
        <v/>
      </c>
      <c r="AJ11" s="75">
        <f>$C11*INDEX(Curves!$AZ$8:$AZ$68,AJ$4-$B11+1)</f>
        <v/>
      </c>
      <c r="AK11" s="75">
        <f>$C11*INDEX(Curves!$AZ$8:$AZ$68,AK$4-$B11+1)</f>
        <v/>
      </c>
      <c r="AL11" s="75">
        <f>$C11*INDEX(Curves!$AZ$8:$AZ$68,AL$4-$B11+1)</f>
        <v/>
      </c>
      <c r="AM11" s="75">
        <f>$C11*INDEX(Curves!$AZ$8:$AZ$68,AM$4-$B11+1)</f>
        <v/>
      </c>
      <c r="AN11" s="75">
        <f>$C11*INDEX(Curves!$AZ$8:$AZ$68,AN$4-$B11+1)</f>
        <v/>
      </c>
      <c r="AO11" s="75">
        <f>$C11*INDEX(Curves!$AZ$8:$AZ$68,AO$4-$B11+1)</f>
        <v/>
      </c>
      <c r="AP11" s="75">
        <f>$C11*INDEX(Curves!$AZ$8:$AZ$68,AP$4-$B11+1)</f>
        <v/>
      </c>
      <c r="AQ11" s="75">
        <f>$C11*INDEX(Curves!$AZ$8:$AZ$68,AQ$4-$B11+1)</f>
        <v/>
      </c>
      <c r="AR11" s="75">
        <f>$C11*INDEX(Curves!$AZ$8:$AZ$68,AR$4-$B11+1)</f>
        <v/>
      </c>
      <c r="AS11" s="75">
        <f>$C11*INDEX(Curves!$AZ$8:$AZ$68,AS$4-$B11+1)</f>
        <v/>
      </c>
      <c r="AT11" s="75">
        <f>$C11*INDEX(Curves!$AZ$8:$AZ$68,AT$4-$B11+1)</f>
        <v/>
      </c>
      <c r="AU11" s="75">
        <f>$C11*INDEX(Curves!$AZ$8:$AZ$68,AU$4-$B11+1)</f>
        <v/>
      </c>
      <c r="AV11" s="75">
        <f>$C11*INDEX(Curves!$AZ$8:$AZ$68,AV$4-$B11+1)</f>
        <v/>
      </c>
      <c r="AW11" s="75">
        <f>$C11*INDEX(Curves!$AZ$8:$AZ$68,AW$4-$B11+1)</f>
        <v/>
      </c>
      <c r="AX11" s="75">
        <f>$C11*INDEX(Curves!$AZ$8:$AZ$68,AX$4-$B11+1)</f>
        <v/>
      </c>
      <c r="AY11" s="75">
        <f>$C11*INDEX(Curves!$AZ$8:$AZ$68,AY$4-$B11+1)</f>
        <v/>
      </c>
      <c r="AZ11" s="75">
        <f>$C11*INDEX(Curves!$AZ$8:$AZ$68,AZ$4-$B11+1)</f>
        <v/>
      </c>
      <c r="BA11" s="75">
        <f>$C11*INDEX(Curves!$AZ$8:$AZ$68,BA$4-$B11+1)</f>
        <v/>
      </c>
      <c r="BB11" s="75">
        <f>$C11*INDEX(Curves!$AZ$8:$AZ$68,BB$4-$B11+1)</f>
        <v/>
      </c>
      <c r="BC11" s="75">
        <f>$C11*INDEX(Curves!$AZ$8:$AZ$68,BC$4-$B11+1)</f>
        <v/>
      </c>
      <c r="BD11" s="75">
        <f>$C11*INDEX(Curves!$AZ$8:$AZ$68,BD$4-$B11+1)</f>
        <v/>
      </c>
      <c r="BE11" s="75">
        <f>$C11*INDEX(Curves!$AZ$8:$AZ$68,BE$4-$B11+1)</f>
        <v/>
      </c>
      <c r="BF11" s="75">
        <f>$C11*INDEX(Curves!$AZ$8:$AZ$68,BF$4-$B11+1)</f>
        <v/>
      </c>
      <c r="BG11" s="75">
        <f>$C11*INDEX(Curves!$AZ$8:$AZ$68,BG$4-$B11+1)</f>
        <v/>
      </c>
      <c r="BH11" s="75">
        <f>$C11*INDEX(Curves!$AZ$8:$AZ$68,BH$4-$B11+1)</f>
        <v/>
      </c>
      <c r="BI11" s="75">
        <f>$C11*INDEX(Curves!$AZ$8:$AZ$68,BI$4-$B11+1)</f>
        <v/>
      </c>
      <c r="BJ11" s="75">
        <f>$C11*INDEX(Curves!$AZ$8:$AZ$68,BJ$4-$B11+1)</f>
        <v/>
      </c>
      <c r="BK11" s="75">
        <f>$C11*INDEX(Curves!$AZ$8:$AZ$68,BK$4-$B11+1)</f>
        <v/>
      </c>
      <c r="BL11" s="75">
        <f>$C11*INDEX(Curves!$AZ$8:$AZ$68,BL$4-$B11+1)</f>
        <v/>
      </c>
    </row>
    <row r="12">
      <c r="A12" s="74" t="inlineStr">
        <is>
          <t>Cohort month 3</t>
        </is>
      </c>
      <c r="B12" s="74" t="n">
        <v>3</v>
      </c>
      <c r="C12" s="17">
        <f>INDEX(Ops!$E$110:$BL$110,1,$B12)</f>
        <v/>
      </c>
      <c r="H12" s="75">
        <f>$C12*INDEX(Curves!$AZ$8:$AZ$68,H$4-$B12+1)</f>
        <v/>
      </c>
      <c r="I12" s="75">
        <f>$C12*INDEX(Curves!$AZ$8:$AZ$68,I$4-$B12+1)</f>
        <v/>
      </c>
      <c r="J12" s="75">
        <f>$C12*INDEX(Curves!$AZ$8:$AZ$68,J$4-$B12+1)</f>
        <v/>
      </c>
      <c r="K12" s="75">
        <f>$C12*INDEX(Curves!$AZ$8:$AZ$68,K$4-$B12+1)</f>
        <v/>
      </c>
      <c r="L12" s="75">
        <f>$C12*INDEX(Curves!$AZ$8:$AZ$68,L$4-$B12+1)</f>
        <v/>
      </c>
      <c r="M12" s="75">
        <f>$C12*INDEX(Curves!$AZ$8:$AZ$68,M$4-$B12+1)</f>
        <v/>
      </c>
      <c r="N12" s="75">
        <f>$C12*INDEX(Curves!$AZ$8:$AZ$68,N$4-$B12+1)</f>
        <v/>
      </c>
      <c r="O12" s="75">
        <f>$C12*INDEX(Curves!$AZ$8:$AZ$68,O$4-$B12+1)</f>
        <v/>
      </c>
      <c r="P12" s="75">
        <f>$C12*INDEX(Curves!$AZ$8:$AZ$68,P$4-$B12+1)</f>
        <v/>
      </c>
      <c r="Q12" s="75">
        <f>$C12*INDEX(Curves!$AZ$8:$AZ$68,Q$4-$B12+1)</f>
        <v/>
      </c>
      <c r="R12" s="75">
        <f>$C12*INDEX(Curves!$AZ$8:$AZ$68,R$4-$B12+1)</f>
        <v/>
      </c>
      <c r="S12" s="75">
        <f>$C12*INDEX(Curves!$AZ$8:$AZ$68,S$4-$B12+1)</f>
        <v/>
      </c>
      <c r="T12" s="75">
        <f>$C12*INDEX(Curves!$AZ$8:$AZ$68,T$4-$B12+1)</f>
        <v/>
      </c>
      <c r="U12" s="75">
        <f>$C12*INDEX(Curves!$AZ$8:$AZ$68,U$4-$B12+1)</f>
        <v/>
      </c>
      <c r="V12" s="75">
        <f>$C12*INDEX(Curves!$AZ$8:$AZ$68,V$4-$B12+1)</f>
        <v/>
      </c>
      <c r="W12" s="75">
        <f>$C12*INDEX(Curves!$AZ$8:$AZ$68,W$4-$B12+1)</f>
        <v/>
      </c>
      <c r="X12" s="75">
        <f>$C12*INDEX(Curves!$AZ$8:$AZ$68,X$4-$B12+1)</f>
        <v/>
      </c>
      <c r="Y12" s="75">
        <f>$C12*INDEX(Curves!$AZ$8:$AZ$68,Y$4-$B12+1)</f>
        <v/>
      </c>
      <c r="Z12" s="75">
        <f>$C12*INDEX(Curves!$AZ$8:$AZ$68,Z$4-$B12+1)</f>
        <v/>
      </c>
      <c r="AA12" s="75">
        <f>$C12*INDEX(Curves!$AZ$8:$AZ$68,AA$4-$B12+1)</f>
        <v/>
      </c>
      <c r="AB12" s="75">
        <f>$C12*INDEX(Curves!$AZ$8:$AZ$68,AB$4-$B12+1)</f>
        <v/>
      </c>
      <c r="AC12" s="75">
        <f>$C12*INDEX(Curves!$AZ$8:$AZ$68,AC$4-$B12+1)</f>
        <v/>
      </c>
      <c r="AD12" s="75">
        <f>$C12*INDEX(Curves!$AZ$8:$AZ$68,AD$4-$B12+1)</f>
        <v/>
      </c>
      <c r="AE12" s="75">
        <f>$C12*INDEX(Curves!$AZ$8:$AZ$68,AE$4-$B12+1)</f>
        <v/>
      </c>
      <c r="AF12" s="75">
        <f>$C12*INDEX(Curves!$AZ$8:$AZ$68,AF$4-$B12+1)</f>
        <v/>
      </c>
      <c r="AG12" s="75">
        <f>$C12*INDEX(Curves!$AZ$8:$AZ$68,AG$4-$B12+1)</f>
        <v/>
      </c>
      <c r="AH12" s="75">
        <f>$C12*INDEX(Curves!$AZ$8:$AZ$68,AH$4-$B12+1)</f>
        <v/>
      </c>
      <c r="AI12" s="75">
        <f>$C12*INDEX(Curves!$AZ$8:$AZ$68,AI$4-$B12+1)</f>
        <v/>
      </c>
      <c r="AJ12" s="75">
        <f>$C12*INDEX(Curves!$AZ$8:$AZ$68,AJ$4-$B12+1)</f>
        <v/>
      </c>
      <c r="AK12" s="75">
        <f>$C12*INDEX(Curves!$AZ$8:$AZ$68,AK$4-$B12+1)</f>
        <v/>
      </c>
      <c r="AL12" s="75">
        <f>$C12*INDEX(Curves!$AZ$8:$AZ$68,AL$4-$B12+1)</f>
        <v/>
      </c>
      <c r="AM12" s="75">
        <f>$C12*INDEX(Curves!$AZ$8:$AZ$68,AM$4-$B12+1)</f>
        <v/>
      </c>
      <c r="AN12" s="75">
        <f>$C12*INDEX(Curves!$AZ$8:$AZ$68,AN$4-$B12+1)</f>
        <v/>
      </c>
      <c r="AO12" s="75">
        <f>$C12*INDEX(Curves!$AZ$8:$AZ$68,AO$4-$B12+1)</f>
        <v/>
      </c>
      <c r="AP12" s="75">
        <f>$C12*INDEX(Curves!$AZ$8:$AZ$68,AP$4-$B12+1)</f>
        <v/>
      </c>
      <c r="AQ12" s="75">
        <f>$C12*INDEX(Curves!$AZ$8:$AZ$68,AQ$4-$B12+1)</f>
        <v/>
      </c>
      <c r="AR12" s="75">
        <f>$C12*INDEX(Curves!$AZ$8:$AZ$68,AR$4-$B12+1)</f>
        <v/>
      </c>
      <c r="AS12" s="75">
        <f>$C12*INDEX(Curves!$AZ$8:$AZ$68,AS$4-$B12+1)</f>
        <v/>
      </c>
      <c r="AT12" s="75">
        <f>$C12*INDEX(Curves!$AZ$8:$AZ$68,AT$4-$B12+1)</f>
        <v/>
      </c>
      <c r="AU12" s="75">
        <f>$C12*INDEX(Curves!$AZ$8:$AZ$68,AU$4-$B12+1)</f>
        <v/>
      </c>
      <c r="AV12" s="75">
        <f>$C12*INDEX(Curves!$AZ$8:$AZ$68,AV$4-$B12+1)</f>
        <v/>
      </c>
      <c r="AW12" s="75">
        <f>$C12*INDEX(Curves!$AZ$8:$AZ$68,AW$4-$B12+1)</f>
        <v/>
      </c>
      <c r="AX12" s="75">
        <f>$C12*INDEX(Curves!$AZ$8:$AZ$68,AX$4-$B12+1)</f>
        <v/>
      </c>
      <c r="AY12" s="75">
        <f>$C12*INDEX(Curves!$AZ$8:$AZ$68,AY$4-$B12+1)</f>
        <v/>
      </c>
      <c r="AZ12" s="75">
        <f>$C12*INDEX(Curves!$AZ$8:$AZ$68,AZ$4-$B12+1)</f>
        <v/>
      </c>
      <c r="BA12" s="75">
        <f>$C12*INDEX(Curves!$AZ$8:$AZ$68,BA$4-$B12+1)</f>
        <v/>
      </c>
      <c r="BB12" s="75">
        <f>$C12*INDEX(Curves!$AZ$8:$AZ$68,BB$4-$B12+1)</f>
        <v/>
      </c>
      <c r="BC12" s="75">
        <f>$C12*INDEX(Curves!$AZ$8:$AZ$68,BC$4-$B12+1)</f>
        <v/>
      </c>
      <c r="BD12" s="75">
        <f>$C12*INDEX(Curves!$AZ$8:$AZ$68,BD$4-$B12+1)</f>
        <v/>
      </c>
      <c r="BE12" s="75">
        <f>$C12*INDEX(Curves!$AZ$8:$AZ$68,BE$4-$B12+1)</f>
        <v/>
      </c>
      <c r="BF12" s="75">
        <f>$C12*INDEX(Curves!$AZ$8:$AZ$68,BF$4-$B12+1)</f>
        <v/>
      </c>
      <c r="BG12" s="75">
        <f>$C12*INDEX(Curves!$AZ$8:$AZ$68,BG$4-$B12+1)</f>
        <v/>
      </c>
      <c r="BH12" s="75">
        <f>$C12*INDEX(Curves!$AZ$8:$AZ$68,BH$4-$B12+1)</f>
        <v/>
      </c>
      <c r="BI12" s="75">
        <f>$C12*INDEX(Curves!$AZ$8:$AZ$68,BI$4-$B12+1)</f>
        <v/>
      </c>
      <c r="BJ12" s="75">
        <f>$C12*INDEX(Curves!$AZ$8:$AZ$68,BJ$4-$B12+1)</f>
        <v/>
      </c>
      <c r="BK12" s="75">
        <f>$C12*INDEX(Curves!$AZ$8:$AZ$68,BK$4-$B12+1)</f>
        <v/>
      </c>
      <c r="BL12" s="75">
        <f>$C12*INDEX(Curves!$AZ$8:$AZ$68,BL$4-$B12+1)</f>
        <v/>
      </c>
    </row>
    <row r="13">
      <c r="A13" s="74" t="inlineStr">
        <is>
          <t>Cohort month 4</t>
        </is>
      </c>
      <c r="B13" s="74" t="n">
        <v>4</v>
      </c>
      <c r="C13" s="17">
        <f>INDEX(Ops!$E$110:$BL$110,1,$B13)</f>
        <v/>
      </c>
      <c r="I13" s="75">
        <f>$C13*INDEX(Curves!$AZ$8:$AZ$68,I$4-$B13+1)</f>
        <v/>
      </c>
      <c r="J13" s="75">
        <f>$C13*INDEX(Curves!$AZ$8:$AZ$68,J$4-$B13+1)</f>
        <v/>
      </c>
      <c r="K13" s="75">
        <f>$C13*INDEX(Curves!$AZ$8:$AZ$68,K$4-$B13+1)</f>
        <v/>
      </c>
      <c r="L13" s="75">
        <f>$C13*INDEX(Curves!$AZ$8:$AZ$68,L$4-$B13+1)</f>
        <v/>
      </c>
      <c r="M13" s="75">
        <f>$C13*INDEX(Curves!$AZ$8:$AZ$68,M$4-$B13+1)</f>
        <v/>
      </c>
      <c r="N13" s="75">
        <f>$C13*INDEX(Curves!$AZ$8:$AZ$68,N$4-$B13+1)</f>
        <v/>
      </c>
      <c r="O13" s="75">
        <f>$C13*INDEX(Curves!$AZ$8:$AZ$68,O$4-$B13+1)</f>
        <v/>
      </c>
      <c r="P13" s="75">
        <f>$C13*INDEX(Curves!$AZ$8:$AZ$68,P$4-$B13+1)</f>
        <v/>
      </c>
      <c r="Q13" s="75">
        <f>$C13*INDEX(Curves!$AZ$8:$AZ$68,Q$4-$B13+1)</f>
        <v/>
      </c>
      <c r="R13" s="75">
        <f>$C13*INDEX(Curves!$AZ$8:$AZ$68,R$4-$B13+1)</f>
        <v/>
      </c>
      <c r="S13" s="75">
        <f>$C13*INDEX(Curves!$AZ$8:$AZ$68,S$4-$B13+1)</f>
        <v/>
      </c>
      <c r="T13" s="75">
        <f>$C13*INDEX(Curves!$AZ$8:$AZ$68,T$4-$B13+1)</f>
        <v/>
      </c>
      <c r="U13" s="75">
        <f>$C13*INDEX(Curves!$AZ$8:$AZ$68,U$4-$B13+1)</f>
        <v/>
      </c>
      <c r="V13" s="75">
        <f>$C13*INDEX(Curves!$AZ$8:$AZ$68,V$4-$B13+1)</f>
        <v/>
      </c>
      <c r="W13" s="75">
        <f>$C13*INDEX(Curves!$AZ$8:$AZ$68,W$4-$B13+1)</f>
        <v/>
      </c>
      <c r="X13" s="75">
        <f>$C13*INDEX(Curves!$AZ$8:$AZ$68,X$4-$B13+1)</f>
        <v/>
      </c>
      <c r="Y13" s="75">
        <f>$C13*INDEX(Curves!$AZ$8:$AZ$68,Y$4-$B13+1)</f>
        <v/>
      </c>
      <c r="Z13" s="75">
        <f>$C13*INDEX(Curves!$AZ$8:$AZ$68,Z$4-$B13+1)</f>
        <v/>
      </c>
      <c r="AA13" s="75">
        <f>$C13*INDEX(Curves!$AZ$8:$AZ$68,AA$4-$B13+1)</f>
        <v/>
      </c>
      <c r="AB13" s="75">
        <f>$C13*INDEX(Curves!$AZ$8:$AZ$68,AB$4-$B13+1)</f>
        <v/>
      </c>
      <c r="AC13" s="75">
        <f>$C13*INDEX(Curves!$AZ$8:$AZ$68,AC$4-$B13+1)</f>
        <v/>
      </c>
      <c r="AD13" s="75">
        <f>$C13*INDEX(Curves!$AZ$8:$AZ$68,AD$4-$B13+1)</f>
        <v/>
      </c>
      <c r="AE13" s="75">
        <f>$C13*INDEX(Curves!$AZ$8:$AZ$68,AE$4-$B13+1)</f>
        <v/>
      </c>
      <c r="AF13" s="75">
        <f>$C13*INDEX(Curves!$AZ$8:$AZ$68,AF$4-$B13+1)</f>
        <v/>
      </c>
      <c r="AG13" s="75">
        <f>$C13*INDEX(Curves!$AZ$8:$AZ$68,AG$4-$B13+1)</f>
        <v/>
      </c>
      <c r="AH13" s="75">
        <f>$C13*INDEX(Curves!$AZ$8:$AZ$68,AH$4-$B13+1)</f>
        <v/>
      </c>
      <c r="AI13" s="75">
        <f>$C13*INDEX(Curves!$AZ$8:$AZ$68,AI$4-$B13+1)</f>
        <v/>
      </c>
      <c r="AJ13" s="75">
        <f>$C13*INDEX(Curves!$AZ$8:$AZ$68,AJ$4-$B13+1)</f>
        <v/>
      </c>
      <c r="AK13" s="75">
        <f>$C13*INDEX(Curves!$AZ$8:$AZ$68,AK$4-$B13+1)</f>
        <v/>
      </c>
      <c r="AL13" s="75">
        <f>$C13*INDEX(Curves!$AZ$8:$AZ$68,AL$4-$B13+1)</f>
        <v/>
      </c>
      <c r="AM13" s="75">
        <f>$C13*INDEX(Curves!$AZ$8:$AZ$68,AM$4-$B13+1)</f>
        <v/>
      </c>
      <c r="AN13" s="75">
        <f>$C13*INDEX(Curves!$AZ$8:$AZ$68,AN$4-$B13+1)</f>
        <v/>
      </c>
      <c r="AO13" s="75">
        <f>$C13*INDEX(Curves!$AZ$8:$AZ$68,AO$4-$B13+1)</f>
        <v/>
      </c>
      <c r="AP13" s="75">
        <f>$C13*INDEX(Curves!$AZ$8:$AZ$68,AP$4-$B13+1)</f>
        <v/>
      </c>
      <c r="AQ13" s="75">
        <f>$C13*INDEX(Curves!$AZ$8:$AZ$68,AQ$4-$B13+1)</f>
        <v/>
      </c>
      <c r="AR13" s="75">
        <f>$C13*INDEX(Curves!$AZ$8:$AZ$68,AR$4-$B13+1)</f>
        <v/>
      </c>
      <c r="AS13" s="75">
        <f>$C13*INDEX(Curves!$AZ$8:$AZ$68,AS$4-$B13+1)</f>
        <v/>
      </c>
      <c r="AT13" s="75">
        <f>$C13*INDEX(Curves!$AZ$8:$AZ$68,AT$4-$B13+1)</f>
        <v/>
      </c>
      <c r="AU13" s="75">
        <f>$C13*INDEX(Curves!$AZ$8:$AZ$68,AU$4-$B13+1)</f>
        <v/>
      </c>
      <c r="AV13" s="75">
        <f>$C13*INDEX(Curves!$AZ$8:$AZ$68,AV$4-$B13+1)</f>
        <v/>
      </c>
      <c r="AW13" s="75">
        <f>$C13*INDEX(Curves!$AZ$8:$AZ$68,AW$4-$B13+1)</f>
        <v/>
      </c>
      <c r="AX13" s="75">
        <f>$C13*INDEX(Curves!$AZ$8:$AZ$68,AX$4-$B13+1)</f>
        <v/>
      </c>
      <c r="AY13" s="75">
        <f>$C13*INDEX(Curves!$AZ$8:$AZ$68,AY$4-$B13+1)</f>
        <v/>
      </c>
      <c r="AZ13" s="75">
        <f>$C13*INDEX(Curves!$AZ$8:$AZ$68,AZ$4-$B13+1)</f>
        <v/>
      </c>
      <c r="BA13" s="75">
        <f>$C13*INDEX(Curves!$AZ$8:$AZ$68,BA$4-$B13+1)</f>
        <v/>
      </c>
      <c r="BB13" s="75">
        <f>$C13*INDEX(Curves!$AZ$8:$AZ$68,BB$4-$B13+1)</f>
        <v/>
      </c>
      <c r="BC13" s="75">
        <f>$C13*INDEX(Curves!$AZ$8:$AZ$68,BC$4-$B13+1)</f>
        <v/>
      </c>
      <c r="BD13" s="75">
        <f>$C13*INDEX(Curves!$AZ$8:$AZ$68,BD$4-$B13+1)</f>
        <v/>
      </c>
      <c r="BE13" s="75">
        <f>$C13*INDEX(Curves!$AZ$8:$AZ$68,BE$4-$B13+1)</f>
        <v/>
      </c>
      <c r="BF13" s="75">
        <f>$C13*INDEX(Curves!$AZ$8:$AZ$68,BF$4-$B13+1)</f>
        <v/>
      </c>
      <c r="BG13" s="75">
        <f>$C13*INDEX(Curves!$AZ$8:$AZ$68,BG$4-$B13+1)</f>
        <v/>
      </c>
      <c r="BH13" s="75">
        <f>$C13*INDEX(Curves!$AZ$8:$AZ$68,BH$4-$B13+1)</f>
        <v/>
      </c>
      <c r="BI13" s="75">
        <f>$C13*INDEX(Curves!$AZ$8:$AZ$68,BI$4-$B13+1)</f>
        <v/>
      </c>
      <c r="BJ13" s="75">
        <f>$C13*INDEX(Curves!$AZ$8:$AZ$68,BJ$4-$B13+1)</f>
        <v/>
      </c>
      <c r="BK13" s="75">
        <f>$C13*INDEX(Curves!$AZ$8:$AZ$68,BK$4-$B13+1)</f>
        <v/>
      </c>
      <c r="BL13" s="75">
        <f>$C13*INDEX(Curves!$AZ$8:$AZ$68,BL$4-$B13+1)</f>
        <v/>
      </c>
    </row>
    <row r="14">
      <c r="A14" s="74" t="inlineStr">
        <is>
          <t>Cohort month 5</t>
        </is>
      </c>
      <c r="B14" s="74" t="n">
        <v>5</v>
      </c>
      <c r="C14" s="17">
        <f>INDEX(Ops!$E$110:$BL$110,1,$B14)</f>
        <v/>
      </c>
      <c r="J14" s="75">
        <f>$C14*INDEX(Curves!$AZ$8:$AZ$68,J$4-$B14+1)</f>
        <v/>
      </c>
      <c r="K14" s="75">
        <f>$C14*INDEX(Curves!$AZ$8:$AZ$68,K$4-$B14+1)</f>
        <v/>
      </c>
      <c r="L14" s="75">
        <f>$C14*INDEX(Curves!$AZ$8:$AZ$68,L$4-$B14+1)</f>
        <v/>
      </c>
      <c r="M14" s="75">
        <f>$C14*INDEX(Curves!$AZ$8:$AZ$68,M$4-$B14+1)</f>
        <v/>
      </c>
      <c r="N14" s="75">
        <f>$C14*INDEX(Curves!$AZ$8:$AZ$68,N$4-$B14+1)</f>
        <v/>
      </c>
      <c r="O14" s="75">
        <f>$C14*INDEX(Curves!$AZ$8:$AZ$68,O$4-$B14+1)</f>
        <v/>
      </c>
      <c r="P14" s="75">
        <f>$C14*INDEX(Curves!$AZ$8:$AZ$68,P$4-$B14+1)</f>
        <v/>
      </c>
      <c r="Q14" s="75">
        <f>$C14*INDEX(Curves!$AZ$8:$AZ$68,Q$4-$B14+1)</f>
        <v/>
      </c>
      <c r="R14" s="75">
        <f>$C14*INDEX(Curves!$AZ$8:$AZ$68,R$4-$B14+1)</f>
        <v/>
      </c>
      <c r="S14" s="75">
        <f>$C14*INDEX(Curves!$AZ$8:$AZ$68,S$4-$B14+1)</f>
        <v/>
      </c>
      <c r="T14" s="75">
        <f>$C14*INDEX(Curves!$AZ$8:$AZ$68,T$4-$B14+1)</f>
        <v/>
      </c>
      <c r="U14" s="75">
        <f>$C14*INDEX(Curves!$AZ$8:$AZ$68,U$4-$B14+1)</f>
        <v/>
      </c>
      <c r="V14" s="75">
        <f>$C14*INDEX(Curves!$AZ$8:$AZ$68,V$4-$B14+1)</f>
        <v/>
      </c>
      <c r="W14" s="75">
        <f>$C14*INDEX(Curves!$AZ$8:$AZ$68,W$4-$B14+1)</f>
        <v/>
      </c>
      <c r="X14" s="75">
        <f>$C14*INDEX(Curves!$AZ$8:$AZ$68,X$4-$B14+1)</f>
        <v/>
      </c>
      <c r="Y14" s="75">
        <f>$C14*INDEX(Curves!$AZ$8:$AZ$68,Y$4-$B14+1)</f>
        <v/>
      </c>
      <c r="Z14" s="75">
        <f>$C14*INDEX(Curves!$AZ$8:$AZ$68,Z$4-$B14+1)</f>
        <v/>
      </c>
      <c r="AA14" s="75">
        <f>$C14*INDEX(Curves!$AZ$8:$AZ$68,AA$4-$B14+1)</f>
        <v/>
      </c>
      <c r="AB14" s="75">
        <f>$C14*INDEX(Curves!$AZ$8:$AZ$68,AB$4-$B14+1)</f>
        <v/>
      </c>
      <c r="AC14" s="75">
        <f>$C14*INDEX(Curves!$AZ$8:$AZ$68,AC$4-$B14+1)</f>
        <v/>
      </c>
      <c r="AD14" s="75">
        <f>$C14*INDEX(Curves!$AZ$8:$AZ$68,AD$4-$B14+1)</f>
        <v/>
      </c>
      <c r="AE14" s="75">
        <f>$C14*INDEX(Curves!$AZ$8:$AZ$68,AE$4-$B14+1)</f>
        <v/>
      </c>
      <c r="AF14" s="75">
        <f>$C14*INDEX(Curves!$AZ$8:$AZ$68,AF$4-$B14+1)</f>
        <v/>
      </c>
      <c r="AG14" s="75">
        <f>$C14*INDEX(Curves!$AZ$8:$AZ$68,AG$4-$B14+1)</f>
        <v/>
      </c>
      <c r="AH14" s="75">
        <f>$C14*INDEX(Curves!$AZ$8:$AZ$68,AH$4-$B14+1)</f>
        <v/>
      </c>
      <c r="AI14" s="75">
        <f>$C14*INDEX(Curves!$AZ$8:$AZ$68,AI$4-$B14+1)</f>
        <v/>
      </c>
      <c r="AJ14" s="75">
        <f>$C14*INDEX(Curves!$AZ$8:$AZ$68,AJ$4-$B14+1)</f>
        <v/>
      </c>
      <c r="AK14" s="75">
        <f>$C14*INDEX(Curves!$AZ$8:$AZ$68,AK$4-$B14+1)</f>
        <v/>
      </c>
      <c r="AL14" s="75">
        <f>$C14*INDEX(Curves!$AZ$8:$AZ$68,AL$4-$B14+1)</f>
        <v/>
      </c>
      <c r="AM14" s="75">
        <f>$C14*INDEX(Curves!$AZ$8:$AZ$68,AM$4-$B14+1)</f>
        <v/>
      </c>
      <c r="AN14" s="75">
        <f>$C14*INDEX(Curves!$AZ$8:$AZ$68,AN$4-$B14+1)</f>
        <v/>
      </c>
      <c r="AO14" s="75">
        <f>$C14*INDEX(Curves!$AZ$8:$AZ$68,AO$4-$B14+1)</f>
        <v/>
      </c>
      <c r="AP14" s="75">
        <f>$C14*INDEX(Curves!$AZ$8:$AZ$68,AP$4-$B14+1)</f>
        <v/>
      </c>
      <c r="AQ14" s="75">
        <f>$C14*INDEX(Curves!$AZ$8:$AZ$68,AQ$4-$B14+1)</f>
        <v/>
      </c>
      <c r="AR14" s="75">
        <f>$C14*INDEX(Curves!$AZ$8:$AZ$68,AR$4-$B14+1)</f>
        <v/>
      </c>
      <c r="AS14" s="75">
        <f>$C14*INDEX(Curves!$AZ$8:$AZ$68,AS$4-$B14+1)</f>
        <v/>
      </c>
      <c r="AT14" s="75">
        <f>$C14*INDEX(Curves!$AZ$8:$AZ$68,AT$4-$B14+1)</f>
        <v/>
      </c>
      <c r="AU14" s="75">
        <f>$C14*INDEX(Curves!$AZ$8:$AZ$68,AU$4-$B14+1)</f>
        <v/>
      </c>
      <c r="AV14" s="75">
        <f>$C14*INDEX(Curves!$AZ$8:$AZ$68,AV$4-$B14+1)</f>
        <v/>
      </c>
      <c r="AW14" s="75">
        <f>$C14*INDEX(Curves!$AZ$8:$AZ$68,AW$4-$B14+1)</f>
        <v/>
      </c>
      <c r="AX14" s="75">
        <f>$C14*INDEX(Curves!$AZ$8:$AZ$68,AX$4-$B14+1)</f>
        <v/>
      </c>
      <c r="AY14" s="75">
        <f>$C14*INDEX(Curves!$AZ$8:$AZ$68,AY$4-$B14+1)</f>
        <v/>
      </c>
      <c r="AZ14" s="75">
        <f>$C14*INDEX(Curves!$AZ$8:$AZ$68,AZ$4-$B14+1)</f>
        <v/>
      </c>
      <c r="BA14" s="75">
        <f>$C14*INDEX(Curves!$AZ$8:$AZ$68,BA$4-$B14+1)</f>
        <v/>
      </c>
      <c r="BB14" s="75">
        <f>$C14*INDEX(Curves!$AZ$8:$AZ$68,BB$4-$B14+1)</f>
        <v/>
      </c>
      <c r="BC14" s="75">
        <f>$C14*INDEX(Curves!$AZ$8:$AZ$68,BC$4-$B14+1)</f>
        <v/>
      </c>
      <c r="BD14" s="75">
        <f>$C14*INDEX(Curves!$AZ$8:$AZ$68,BD$4-$B14+1)</f>
        <v/>
      </c>
      <c r="BE14" s="75">
        <f>$C14*INDEX(Curves!$AZ$8:$AZ$68,BE$4-$B14+1)</f>
        <v/>
      </c>
      <c r="BF14" s="75">
        <f>$C14*INDEX(Curves!$AZ$8:$AZ$68,BF$4-$B14+1)</f>
        <v/>
      </c>
      <c r="BG14" s="75">
        <f>$C14*INDEX(Curves!$AZ$8:$AZ$68,BG$4-$B14+1)</f>
        <v/>
      </c>
      <c r="BH14" s="75">
        <f>$C14*INDEX(Curves!$AZ$8:$AZ$68,BH$4-$B14+1)</f>
        <v/>
      </c>
      <c r="BI14" s="75">
        <f>$C14*INDEX(Curves!$AZ$8:$AZ$68,BI$4-$B14+1)</f>
        <v/>
      </c>
      <c r="BJ14" s="75">
        <f>$C14*INDEX(Curves!$AZ$8:$AZ$68,BJ$4-$B14+1)</f>
        <v/>
      </c>
      <c r="BK14" s="75">
        <f>$C14*INDEX(Curves!$AZ$8:$AZ$68,BK$4-$B14+1)</f>
        <v/>
      </c>
      <c r="BL14" s="75">
        <f>$C14*INDEX(Curves!$AZ$8:$AZ$68,BL$4-$B14+1)</f>
        <v/>
      </c>
    </row>
    <row r="15">
      <c r="A15" s="74" t="inlineStr">
        <is>
          <t>Cohort month 6</t>
        </is>
      </c>
      <c r="B15" s="74" t="n">
        <v>6</v>
      </c>
      <c r="C15" s="17">
        <f>INDEX(Ops!$E$110:$BL$110,1,$B15)</f>
        <v/>
      </c>
      <c r="K15" s="75">
        <f>$C15*INDEX(Curves!$AZ$8:$AZ$68,K$4-$B15+1)</f>
        <v/>
      </c>
      <c r="L15" s="75">
        <f>$C15*INDEX(Curves!$AZ$8:$AZ$68,L$4-$B15+1)</f>
        <v/>
      </c>
      <c r="M15" s="75">
        <f>$C15*INDEX(Curves!$AZ$8:$AZ$68,M$4-$B15+1)</f>
        <v/>
      </c>
      <c r="N15" s="75">
        <f>$C15*INDEX(Curves!$AZ$8:$AZ$68,N$4-$B15+1)</f>
        <v/>
      </c>
      <c r="O15" s="75">
        <f>$C15*INDEX(Curves!$AZ$8:$AZ$68,O$4-$B15+1)</f>
        <v/>
      </c>
      <c r="P15" s="75">
        <f>$C15*INDEX(Curves!$AZ$8:$AZ$68,P$4-$B15+1)</f>
        <v/>
      </c>
      <c r="Q15" s="75">
        <f>$C15*INDEX(Curves!$AZ$8:$AZ$68,Q$4-$B15+1)</f>
        <v/>
      </c>
      <c r="R15" s="75">
        <f>$C15*INDEX(Curves!$AZ$8:$AZ$68,R$4-$B15+1)</f>
        <v/>
      </c>
      <c r="S15" s="75">
        <f>$C15*INDEX(Curves!$AZ$8:$AZ$68,S$4-$B15+1)</f>
        <v/>
      </c>
      <c r="T15" s="75">
        <f>$C15*INDEX(Curves!$AZ$8:$AZ$68,T$4-$B15+1)</f>
        <v/>
      </c>
      <c r="U15" s="75">
        <f>$C15*INDEX(Curves!$AZ$8:$AZ$68,U$4-$B15+1)</f>
        <v/>
      </c>
      <c r="V15" s="75">
        <f>$C15*INDEX(Curves!$AZ$8:$AZ$68,V$4-$B15+1)</f>
        <v/>
      </c>
      <c r="W15" s="75">
        <f>$C15*INDEX(Curves!$AZ$8:$AZ$68,W$4-$B15+1)</f>
        <v/>
      </c>
      <c r="X15" s="75">
        <f>$C15*INDEX(Curves!$AZ$8:$AZ$68,X$4-$B15+1)</f>
        <v/>
      </c>
      <c r="Y15" s="75">
        <f>$C15*INDEX(Curves!$AZ$8:$AZ$68,Y$4-$B15+1)</f>
        <v/>
      </c>
      <c r="Z15" s="75">
        <f>$C15*INDEX(Curves!$AZ$8:$AZ$68,Z$4-$B15+1)</f>
        <v/>
      </c>
      <c r="AA15" s="75">
        <f>$C15*INDEX(Curves!$AZ$8:$AZ$68,AA$4-$B15+1)</f>
        <v/>
      </c>
      <c r="AB15" s="75">
        <f>$C15*INDEX(Curves!$AZ$8:$AZ$68,AB$4-$B15+1)</f>
        <v/>
      </c>
      <c r="AC15" s="75">
        <f>$C15*INDEX(Curves!$AZ$8:$AZ$68,AC$4-$B15+1)</f>
        <v/>
      </c>
      <c r="AD15" s="75">
        <f>$C15*INDEX(Curves!$AZ$8:$AZ$68,AD$4-$B15+1)</f>
        <v/>
      </c>
      <c r="AE15" s="75">
        <f>$C15*INDEX(Curves!$AZ$8:$AZ$68,AE$4-$B15+1)</f>
        <v/>
      </c>
      <c r="AF15" s="75">
        <f>$C15*INDEX(Curves!$AZ$8:$AZ$68,AF$4-$B15+1)</f>
        <v/>
      </c>
      <c r="AG15" s="75">
        <f>$C15*INDEX(Curves!$AZ$8:$AZ$68,AG$4-$B15+1)</f>
        <v/>
      </c>
      <c r="AH15" s="75">
        <f>$C15*INDEX(Curves!$AZ$8:$AZ$68,AH$4-$B15+1)</f>
        <v/>
      </c>
      <c r="AI15" s="75">
        <f>$C15*INDEX(Curves!$AZ$8:$AZ$68,AI$4-$B15+1)</f>
        <v/>
      </c>
      <c r="AJ15" s="75">
        <f>$C15*INDEX(Curves!$AZ$8:$AZ$68,AJ$4-$B15+1)</f>
        <v/>
      </c>
      <c r="AK15" s="75">
        <f>$C15*INDEX(Curves!$AZ$8:$AZ$68,AK$4-$B15+1)</f>
        <v/>
      </c>
      <c r="AL15" s="75">
        <f>$C15*INDEX(Curves!$AZ$8:$AZ$68,AL$4-$B15+1)</f>
        <v/>
      </c>
      <c r="AM15" s="75">
        <f>$C15*INDEX(Curves!$AZ$8:$AZ$68,AM$4-$B15+1)</f>
        <v/>
      </c>
      <c r="AN15" s="75">
        <f>$C15*INDEX(Curves!$AZ$8:$AZ$68,AN$4-$B15+1)</f>
        <v/>
      </c>
      <c r="AO15" s="75">
        <f>$C15*INDEX(Curves!$AZ$8:$AZ$68,AO$4-$B15+1)</f>
        <v/>
      </c>
      <c r="AP15" s="75">
        <f>$C15*INDEX(Curves!$AZ$8:$AZ$68,AP$4-$B15+1)</f>
        <v/>
      </c>
      <c r="AQ15" s="75">
        <f>$C15*INDEX(Curves!$AZ$8:$AZ$68,AQ$4-$B15+1)</f>
        <v/>
      </c>
      <c r="AR15" s="75">
        <f>$C15*INDEX(Curves!$AZ$8:$AZ$68,AR$4-$B15+1)</f>
        <v/>
      </c>
      <c r="AS15" s="75">
        <f>$C15*INDEX(Curves!$AZ$8:$AZ$68,AS$4-$B15+1)</f>
        <v/>
      </c>
      <c r="AT15" s="75">
        <f>$C15*INDEX(Curves!$AZ$8:$AZ$68,AT$4-$B15+1)</f>
        <v/>
      </c>
      <c r="AU15" s="75">
        <f>$C15*INDEX(Curves!$AZ$8:$AZ$68,AU$4-$B15+1)</f>
        <v/>
      </c>
      <c r="AV15" s="75">
        <f>$C15*INDEX(Curves!$AZ$8:$AZ$68,AV$4-$B15+1)</f>
        <v/>
      </c>
      <c r="AW15" s="75">
        <f>$C15*INDEX(Curves!$AZ$8:$AZ$68,AW$4-$B15+1)</f>
        <v/>
      </c>
      <c r="AX15" s="75">
        <f>$C15*INDEX(Curves!$AZ$8:$AZ$68,AX$4-$B15+1)</f>
        <v/>
      </c>
      <c r="AY15" s="75">
        <f>$C15*INDEX(Curves!$AZ$8:$AZ$68,AY$4-$B15+1)</f>
        <v/>
      </c>
      <c r="AZ15" s="75">
        <f>$C15*INDEX(Curves!$AZ$8:$AZ$68,AZ$4-$B15+1)</f>
        <v/>
      </c>
      <c r="BA15" s="75">
        <f>$C15*INDEX(Curves!$AZ$8:$AZ$68,BA$4-$B15+1)</f>
        <v/>
      </c>
      <c r="BB15" s="75">
        <f>$C15*INDEX(Curves!$AZ$8:$AZ$68,BB$4-$B15+1)</f>
        <v/>
      </c>
      <c r="BC15" s="75">
        <f>$C15*INDEX(Curves!$AZ$8:$AZ$68,BC$4-$B15+1)</f>
        <v/>
      </c>
      <c r="BD15" s="75">
        <f>$C15*INDEX(Curves!$AZ$8:$AZ$68,BD$4-$B15+1)</f>
        <v/>
      </c>
      <c r="BE15" s="75">
        <f>$C15*INDEX(Curves!$AZ$8:$AZ$68,BE$4-$B15+1)</f>
        <v/>
      </c>
      <c r="BF15" s="75">
        <f>$C15*INDEX(Curves!$AZ$8:$AZ$68,BF$4-$B15+1)</f>
        <v/>
      </c>
      <c r="BG15" s="75">
        <f>$C15*INDEX(Curves!$AZ$8:$AZ$68,BG$4-$B15+1)</f>
        <v/>
      </c>
      <c r="BH15" s="75">
        <f>$C15*INDEX(Curves!$AZ$8:$AZ$68,BH$4-$B15+1)</f>
        <v/>
      </c>
      <c r="BI15" s="75">
        <f>$C15*INDEX(Curves!$AZ$8:$AZ$68,BI$4-$B15+1)</f>
        <v/>
      </c>
      <c r="BJ15" s="75">
        <f>$C15*INDEX(Curves!$AZ$8:$AZ$68,BJ$4-$B15+1)</f>
        <v/>
      </c>
      <c r="BK15" s="75">
        <f>$C15*INDEX(Curves!$AZ$8:$AZ$68,BK$4-$B15+1)</f>
        <v/>
      </c>
      <c r="BL15" s="75">
        <f>$C15*INDEX(Curves!$AZ$8:$AZ$68,BL$4-$B15+1)</f>
        <v/>
      </c>
    </row>
    <row r="16">
      <c r="A16" s="74" t="inlineStr">
        <is>
          <t>Cohort month 7</t>
        </is>
      </c>
      <c r="B16" s="74" t="n">
        <v>7</v>
      </c>
      <c r="C16" s="17">
        <f>INDEX(Ops!$E$110:$BL$110,1,$B16)</f>
        <v/>
      </c>
      <c r="L16" s="75">
        <f>$C16*INDEX(Curves!$AZ$8:$AZ$68,L$4-$B16+1)</f>
        <v/>
      </c>
      <c r="M16" s="75">
        <f>$C16*INDEX(Curves!$AZ$8:$AZ$68,M$4-$B16+1)</f>
        <v/>
      </c>
      <c r="N16" s="75">
        <f>$C16*INDEX(Curves!$AZ$8:$AZ$68,N$4-$B16+1)</f>
        <v/>
      </c>
      <c r="O16" s="75">
        <f>$C16*INDEX(Curves!$AZ$8:$AZ$68,O$4-$B16+1)</f>
        <v/>
      </c>
      <c r="P16" s="75">
        <f>$C16*INDEX(Curves!$AZ$8:$AZ$68,P$4-$B16+1)</f>
        <v/>
      </c>
      <c r="Q16" s="75">
        <f>$C16*INDEX(Curves!$AZ$8:$AZ$68,Q$4-$B16+1)</f>
        <v/>
      </c>
      <c r="R16" s="75">
        <f>$C16*INDEX(Curves!$AZ$8:$AZ$68,R$4-$B16+1)</f>
        <v/>
      </c>
      <c r="S16" s="75">
        <f>$C16*INDEX(Curves!$AZ$8:$AZ$68,S$4-$B16+1)</f>
        <v/>
      </c>
      <c r="T16" s="75">
        <f>$C16*INDEX(Curves!$AZ$8:$AZ$68,T$4-$B16+1)</f>
        <v/>
      </c>
      <c r="U16" s="75">
        <f>$C16*INDEX(Curves!$AZ$8:$AZ$68,U$4-$B16+1)</f>
        <v/>
      </c>
      <c r="V16" s="75">
        <f>$C16*INDEX(Curves!$AZ$8:$AZ$68,V$4-$B16+1)</f>
        <v/>
      </c>
      <c r="W16" s="75">
        <f>$C16*INDEX(Curves!$AZ$8:$AZ$68,W$4-$B16+1)</f>
        <v/>
      </c>
      <c r="X16" s="75">
        <f>$C16*INDEX(Curves!$AZ$8:$AZ$68,X$4-$B16+1)</f>
        <v/>
      </c>
      <c r="Y16" s="75">
        <f>$C16*INDEX(Curves!$AZ$8:$AZ$68,Y$4-$B16+1)</f>
        <v/>
      </c>
      <c r="Z16" s="75">
        <f>$C16*INDEX(Curves!$AZ$8:$AZ$68,Z$4-$B16+1)</f>
        <v/>
      </c>
      <c r="AA16" s="75">
        <f>$C16*INDEX(Curves!$AZ$8:$AZ$68,AA$4-$B16+1)</f>
        <v/>
      </c>
      <c r="AB16" s="75">
        <f>$C16*INDEX(Curves!$AZ$8:$AZ$68,AB$4-$B16+1)</f>
        <v/>
      </c>
      <c r="AC16" s="75">
        <f>$C16*INDEX(Curves!$AZ$8:$AZ$68,AC$4-$B16+1)</f>
        <v/>
      </c>
      <c r="AD16" s="75">
        <f>$C16*INDEX(Curves!$AZ$8:$AZ$68,AD$4-$B16+1)</f>
        <v/>
      </c>
      <c r="AE16" s="75">
        <f>$C16*INDEX(Curves!$AZ$8:$AZ$68,AE$4-$B16+1)</f>
        <v/>
      </c>
      <c r="AF16" s="75">
        <f>$C16*INDEX(Curves!$AZ$8:$AZ$68,AF$4-$B16+1)</f>
        <v/>
      </c>
      <c r="AG16" s="75">
        <f>$C16*INDEX(Curves!$AZ$8:$AZ$68,AG$4-$B16+1)</f>
        <v/>
      </c>
      <c r="AH16" s="75">
        <f>$C16*INDEX(Curves!$AZ$8:$AZ$68,AH$4-$B16+1)</f>
        <v/>
      </c>
      <c r="AI16" s="75">
        <f>$C16*INDEX(Curves!$AZ$8:$AZ$68,AI$4-$B16+1)</f>
        <v/>
      </c>
      <c r="AJ16" s="75">
        <f>$C16*INDEX(Curves!$AZ$8:$AZ$68,AJ$4-$B16+1)</f>
        <v/>
      </c>
      <c r="AK16" s="75">
        <f>$C16*INDEX(Curves!$AZ$8:$AZ$68,AK$4-$B16+1)</f>
        <v/>
      </c>
      <c r="AL16" s="75">
        <f>$C16*INDEX(Curves!$AZ$8:$AZ$68,AL$4-$B16+1)</f>
        <v/>
      </c>
      <c r="AM16" s="75">
        <f>$C16*INDEX(Curves!$AZ$8:$AZ$68,AM$4-$B16+1)</f>
        <v/>
      </c>
      <c r="AN16" s="75">
        <f>$C16*INDEX(Curves!$AZ$8:$AZ$68,AN$4-$B16+1)</f>
        <v/>
      </c>
      <c r="AO16" s="75">
        <f>$C16*INDEX(Curves!$AZ$8:$AZ$68,AO$4-$B16+1)</f>
        <v/>
      </c>
      <c r="AP16" s="75">
        <f>$C16*INDEX(Curves!$AZ$8:$AZ$68,AP$4-$B16+1)</f>
        <v/>
      </c>
      <c r="AQ16" s="75">
        <f>$C16*INDEX(Curves!$AZ$8:$AZ$68,AQ$4-$B16+1)</f>
        <v/>
      </c>
      <c r="AR16" s="75">
        <f>$C16*INDEX(Curves!$AZ$8:$AZ$68,AR$4-$B16+1)</f>
        <v/>
      </c>
      <c r="AS16" s="75">
        <f>$C16*INDEX(Curves!$AZ$8:$AZ$68,AS$4-$B16+1)</f>
        <v/>
      </c>
      <c r="AT16" s="75">
        <f>$C16*INDEX(Curves!$AZ$8:$AZ$68,AT$4-$B16+1)</f>
        <v/>
      </c>
      <c r="AU16" s="75">
        <f>$C16*INDEX(Curves!$AZ$8:$AZ$68,AU$4-$B16+1)</f>
        <v/>
      </c>
      <c r="AV16" s="75">
        <f>$C16*INDEX(Curves!$AZ$8:$AZ$68,AV$4-$B16+1)</f>
        <v/>
      </c>
      <c r="AW16" s="75">
        <f>$C16*INDEX(Curves!$AZ$8:$AZ$68,AW$4-$B16+1)</f>
        <v/>
      </c>
      <c r="AX16" s="75">
        <f>$C16*INDEX(Curves!$AZ$8:$AZ$68,AX$4-$B16+1)</f>
        <v/>
      </c>
      <c r="AY16" s="75">
        <f>$C16*INDEX(Curves!$AZ$8:$AZ$68,AY$4-$B16+1)</f>
        <v/>
      </c>
      <c r="AZ16" s="75">
        <f>$C16*INDEX(Curves!$AZ$8:$AZ$68,AZ$4-$B16+1)</f>
        <v/>
      </c>
      <c r="BA16" s="75">
        <f>$C16*INDEX(Curves!$AZ$8:$AZ$68,BA$4-$B16+1)</f>
        <v/>
      </c>
      <c r="BB16" s="75">
        <f>$C16*INDEX(Curves!$AZ$8:$AZ$68,BB$4-$B16+1)</f>
        <v/>
      </c>
      <c r="BC16" s="75">
        <f>$C16*INDEX(Curves!$AZ$8:$AZ$68,BC$4-$B16+1)</f>
        <v/>
      </c>
      <c r="BD16" s="75">
        <f>$C16*INDEX(Curves!$AZ$8:$AZ$68,BD$4-$B16+1)</f>
        <v/>
      </c>
      <c r="BE16" s="75">
        <f>$C16*INDEX(Curves!$AZ$8:$AZ$68,BE$4-$B16+1)</f>
        <v/>
      </c>
      <c r="BF16" s="75">
        <f>$C16*INDEX(Curves!$AZ$8:$AZ$68,BF$4-$B16+1)</f>
        <v/>
      </c>
      <c r="BG16" s="75">
        <f>$C16*INDEX(Curves!$AZ$8:$AZ$68,BG$4-$B16+1)</f>
        <v/>
      </c>
      <c r="BH16" s="75">
        <f>$C16*INDEX(Curves!$AZ$8:$AZ$68,BH$4-$B16+1)</f>
        <v/>
      </c>
      <c r="BI16" s="75">
        <f>$C16*INDEX(Curves!$AZ$8:$AZ$68,BI$4-$B16+1)</f>
        <v/>
      </c>
      <c r="BJ16" s="75">
        <f>$C16*INDEX(Curves!$AZ$8:$AZ$68,BJ$4-$B16+1)</f>
        <v/>
      </c>
      <c r="BK16" s="75">
        <f>$C16*INDEX(Curves!$AZ$8:$AZ$68,BK$4-$B16+1)</f>
        <v/>
      </c>
      <c r="BL16" s="75">
        <f>$C16*INDEX(Curves!$AZ$8:$AZ$68,BL$4-$B16+1)</f>
        <v/>
      </c>
    </row>
    <row r="17">
      <c r="A17" s="74" t="inlineStr">
        <is>
          <t>Cohort month 8</t>
        </is>
      </c>
      <c r="B17" s="74" t="n">
        <v>8</v>
      </c>
      <c r="C17" s="17">
        <f>INDEX(Ops!$E$110:$BL$110,1,$B17)</f>
        <v/>
      </c>
      <c r="M17" s="75">
        <f>$C17*INDEX(Curves!$AZ$8:$AZ$68,M$4-$B17+1)</f>
        <v/>
      </c>
      <c r="N17" s="75">
        <f>$C17*INDEX(Curves!$AZ$8:$AZ$68,N$4-$B17+1)</f>
        <v/>
      </c>
      <c r="O17" s="75">
        <f>$C17*INDEX(Curves!$AZ$8:$AZ$68,O$4-$B17+1)</f>
        <v/>
      </c>
      <c r="P17" s="75">
        <f>$C17*INDEX(Curves!$AZ$8:$AZ$68,P$4-$B17+1)</f>
        <v/>
      </c>
      <c r="Q17" s="75">
        <f>$C17*INDEX(Curves!$AZ$8:$AZ$68,Q$4-$B17+1)</f>
        <v/>
      </c>
      <c r="R17" s="75">
        <f>$C17*INDEX(Curves!$AZ$8:$AZ$68,R$4-$B17+1)</f>
        <v/>
      </c>
      <c r="S17" s="75">
        <f>$C17*INDEX(Curves!$AZ$8:$AZ$68,S$4-$B17+1)</f>
        <v/>
      </c>
      <c r="T17" s="75">
        <f>$C17*INDEX(Curves!$AZ$8:$AZ$68,T$4-$B17+1)</f>
        <v/>
      </c>
      <c r="U17" s="75">
        <f>$C17*INDEX(Curves!$AZ$8:$AZ$68,U$4-$B17+1)</f>
        <v/>
      </c>
      <c r="V17" s="75">
        <f>$C17*INDEX(Curves!$AZ$8:$AZ$68,V$4-$B17+1)</f>
        <v/>
      </c>
      <c r="W17" s="75">
        <f>$C17*INDEX(Curves!$AZ$8:$AZ$68,W$4-$B17+1)</f>
        <v/>
      </c>
      <c r="X17" s="75">
        <f>$C17*INDEX(Curves!$AZ$8:$AZ$68,X$4-$B17+1)</f>
        <v/>
      </c>
      <c r="Y17" s="75">
        <f>$C17*INDEX(Curves!$AZ$8:$AZ$68,Y$4-$B17+1)</f>
        <v/>
      </c>
      <c r="Z17" s="75">
        <f>$C17*INDEX(Curves!$AZ$8:$AZ$68,Z$4-$B17+1)</f>
        <v/>
      </c>
      <c r="AA17" s="75">
        <f>$C17*INDEX(Curves!$AZ$8:$AZ$68,AA$4-$B17+1)</f>
        <v/>
      </c>
      <c r="AB17" s="75">
        <f>$C17*INDEX(Curves!$AZ$8:$AZ$68,AB$4-$B17+1)</f>
        <v/>
      </c>
      <c r="AC17" s="75">
        <f>$C17*INDEX(Curves!$AZ$8:$AZ$68,AC$4-$B17+1)</f>
        <v/>
      </c>
      <c r="AD17" s="75">
        <f>$C17*INDEX(Curves!$AZ$8:$AZ$68,AD$4-$B17+1)</f>
        <v/>
      </c>
      <c r="AE17" s="75">
        <f>$C17*INDEX(Curves!$AZ$8:$AZ$68,AE$4-$B17+1)</f>
        <v/>
      </c>
      <c r="AF17" s="75">
        <f>$C17*INDEX(Curves!$AZ$8:$AZ$68,AF$4-$B17+1)</f>
        <v/>
      </c>
      <c r="AG17" s="75">
        <f>$C17*INDEX(Curves!$AZ$8:$AZ$68,AG$4-$B17+1)</f>
        <v/>
      </c>
      <c r="AH17" s="75">
        <f>$C17*INDEX(Curves!$AZ$8:$AZ$68,AH$4-$B17+1)</f>
        <v/>
      </c>
      <c r="AI17" s="75">
        <f>$C17*INDEX(Curves!$AZ$8:$AZ$68,AI$4-$B17+1)</f>
        <v/>
      </c>
      <c r="AJ17" s="75">
        <f>$C17*INDEX(Curves!$AZ$8:$AZ$68,AJ$4-$B17+1)</f>
        <v/>
      </c>
      <c r="AK17" s="75">
        <f>$C17*INDEX(Curves!$AZ$8:$AZ$68,AK$4-$B17+1)</f>
        <v/>
      </c>
      <c r="AL17" s="75">
        <f>$C17*INDEX(Curves!$AZ$8:$AZ$68,AL$4-$B17+1)</f>
        <v/>
      </c>
      <c r="AM17" s="75">
        <f>$C17*INDEX(Curves!$AZ$8:$AZ$68,AM$4-$B17+1)</f>
        <v/>
      </c>
      <c r="AN17" s="75">
        <f>$C17*INDEX(Curves!$AZ$8:$AZ$68,AN$4-$B17+1)</f>
        <v/>
      </c>
      <c r="AO17" s="75">
        <f>$C17*INDEX(Curves!$AZ$8:$AZ$68,AO$4-$B17+1)</f>
        <v/>
      </c>
      <c r="AP17" s="75">
        <f>$C17*INDEX(Curves!$AZ$8:$AZ$68,AP$4-$B17+1)</f>
        <v/>
      </c>
      <c r="AQ17" s="75">
        <f>$C17*INDEX(Curves!$AZ$8:$AZ$68,AQ$4-$B17+1)</f>
        <v/>
      </c>
      <c r="AR17" s="75">
        <f>$C17*INDEX(Curves!$AZ$8:$AZ$68,AR$4-$B17+1)</f>
        <v/>
      </c>
      <c r="AS17" s="75">
        <f>$C17*INDEX(Curves!$AZ$8:$AZ$68,AS$4-$B17+1)</f>
        <v/>
      </c>
      <c r="AT17" s="75">
        <f>$C17*INDEX(Curves!$AZ$8:$AZ$68,AT$4-$B17+1)</f>
        <v/>
      </c>
      <c r="AU17" s="75">
        <f>$C17*INDEX(Curves!$AZ$8:$AZ$68,AU$4-$B17+1)</f>
        <v/>
      </c>
      <c r="AV17" s="75">
        <f>$C17*INDEX(Curves!$AZ$8:$AZ$68,AV$4-$B17+1)</f>
        <v/>
      </c>
      <c r="AW17" s="75">
        <f>$C17*INDEX(Curves!$AZ$8:$AZ$68,AW$4-$B17+1)</f>
        <v/>
      </c>
      <c r="AX17" s="75">
        <f>$C17*INDEX(Curves!$AZ$8:$AZ$68,AX$4-$B17+1)</f>
        <v/>
      </c>
      <c r="AY17" s="75">
        <f>$C17*INDEX(Curves!$AZ$8:$AZ$68,AY$4-$B17+1)</f>
        <v/>
      </c>
      <c r="AZ17" s="75">
        <f>$C17*INDEX(Curves!$AZ$8:$AZ$68,AZ$4-$B17+1)</f>
        <v/>
      </c>
      <c r="BA17" s="75">
        <f>$C17*INDEX(Curves!$AZ$8:$AZ$68,BA$4-$B17+1)</f>
        <v/>
      </c>
      <c r="BB17" s="75">
        <f>$C17*INDEX(Curves!$AZ$8:$AZ$68,BB$4-$B17+1)</f>
        <v/>
      </c>
      <c r="BC17" s="75">
        <f>$C17*INDEX(Curves!$AZ$8:$AZ$68,BC$4-$B17+1)</f>
        <v/>
      </c>
      <c r="BD17" s="75">
        <f>$C17*INDEX(Curves!$AZ$8:$AZ$68,BD$4-$B17+1)</f>
        <v/>
      </c>
      <c r="BE17" s="75">
        <f>$C17*INDEX(Curves!$AZ$8:$AZ$68,BE$4-$B17+1)</f>
        <v/>
      </c>
      <c r="BF17" s="75">
        <f>$C17*INDEX(Curves!$AZ$8:$AZ$68,BF$4-$B17+1)</f>
        <v/>
      </c>
      <c r="BG17" s="75">
        <f>$C17*INDEX(Curves!$AZ$8:$AZ$68,BG$4-$B17+1)</f>
        <v/>
      </c>
      <c r="BH17" s="75">
        <f>$C17*INDEX(Curves!$AZ$8:$AZ$68,BH$4-$B17+1)</f>
        <v/>
      </c>
      <c r="BI17" s="75">
        <f>$C17*INDEX(Curves!$AZ$8:$AZ$68,BI$4-$B17+1)</f>
        <v/>
      </c>
      <c r="BJ17" s="75">
        <f>$C17*INDEX(Curves!$AZ$8:$AZ$68,BJ$4-$B17+1)</f>
        <v/>
      </c>
      <c r="BK17" s="75">
        <f>$C17*INDEX(Curves!$AZ$8:$AZ$68,BK$4-$B17+1)</f>
        <v/>
      </c>
      <c r="BL17" s="75">
        <f>$C17*INDEX(Curves!$AZ$8:$AZ$68,BL$4-$B17+1)</f>
        <v/>
      </c>
    </row>
    <row r="18">
      <c r="A18" s="74" t="inlineStr">
        <is>
          <t>Cohort month 9</t>
        </is>
      </c>
      <c r="B18" s="74" t="n">
        <v>9</v>
      </c>
      <c r="C18" s="17">
        <f>INDEX(Ops!$E$110:$BL$110,1,$B18)</f>
        <v/>
      </c>
      <c r="N18" s="75">
        <f>$C18*INDEX(Curves!$AZ$8:$AZ$68,N$4-$B18+1)</f>
        <v/>
      </c>
      <c r="O18" s="75">
        <f>$C18*INDEX(Curves!$AZ$8:$AZ$68,O$4-$B18+1)</f>
        <v/>
      </c>
      <c r="P18" s="75">
        <f>$C18*INDEX(Curves!$AZ$8:$AZ$68,P$4-$B18+1)</f>
        <v/>
      </c>
      <c r="Q18" s="75">
        <f>$C18*INDEX(Curves!$AZ$8:$AZ$68,Q$4-$B18+1)</f>
        <v/>
      </c>
      <c r="R18" s="75">
        <f>$C18*INDEX(Curves!$AZ$8:$AZ$68,R$4-$B18+1)</f>
        <v/>
      </c>
      <c r="S18" s="75">
        <f>$C18*INDEX(Curves!$AZ$8:$AZ$68,S$4-$B18+1)</f>
        <v/>
      </c>
      <c r="T18" s="75">
        <f>$C18*INDEX(Curves!$AZ$8:$AZ$68,T$4-$B18+1)</f>
        <v/>
      </c>
      <c r="U18" s="75">
        <f>$C18*INDEX(Curves!$AZ$8:$AZ$68,U$4-$B18+1)</f>
        <v/>
      </c>
      <c r="V18" s="75">
        <f>$C18*INDEX(Curves!$AZ$8:$AZ$68,V$4-$B18+1)</f>
        <v/>
      </c>
      <c r="W18" s="75">
        <f>$C18*INDEX(Curves!$AZ$8:$AZ$68,W$4-$B18+1)</f>
        <v/>
      </c>
      <c r="X18" s="75">
        <f>$C18*INDEX(Curves!$AZ$8:$AZ$68,X$4-$B18+1)</f>
        <v/>
      </c>
      <c r="Y18" s="75">
        <f>$C18*INDEX(Curves!$AZ$8:$AZ$68,Y$4-$B18+1)</f>
        <v/>
      </c>
      <c r="Z18" s="75">
        <f>$C18*INDEX(Curves!$AZ$8:$AZ$68,Z$4-$B18+1)</f>
        <v/>
      </c>
      <c r="AA18" s="75">
        <f>$C18*INDEX(Curves!$AZ$8:$AZ$68,AA$4-$B18+1)</f>
        <v/>
      </c>
      <c r="AB18" s="75">
        <f>$C18*INDEX(Curves!$AZ$8:$AZ$68,AB$4-$B18+1)</f>
        <v/>
      </c>
      <c r="AC18" s="75">
        <f>$C18*INDEX(Curves!$AZ$8:$AZ$68,AC$4-$B18+1)</f>
        <v/>
      </c>
      <c r="AD18" s="75">
        <f>$C18*INDEX(Curves!$AZ$8:$AZ$68,AD$4-$B18+1)</f>
        <v/>
      </c>
      <c r="AE18" s="75">
        <f>$C18*INDEX(Curves!$AZ$8:$AZ$68,AE$4-$B18+1)</f>
        <v/>
      </c>
      <c r="AF18" s="75">
        <f>$C18*INDEX(Curves!$AZ$8:$AZ$68,AF$4-$B18+1)</f>
        <v/>
      </c>
      <c r="AG18" s="75">
        <f>$C18*INDEX(Curves!$AZ$8:$AZ$68,AG$4-$B18+1)</f>
        <v/>
      </c>
      <c r="AH18" s="75">
        <f>$C18*INDEX(Curves!$AZ$8:$AZ$68,AH$4-$B18+1)</f>
        <v/>
      </c>
      <c r="AI18" s="75">
        <f>$C18*INDEX(Curves!$AZ$8:$AZ$68,AI$4-$B18+1)</f>
        <v/>
      </c>
      <c r="AJ18" s="75">
        <f>$C18*INDEX(Curves!$AZ$8:$AZ$68,AJ$4-$B18+1)</f>
        <v/>
      </c>
      <c r="AK18" s="75">
        <f>$C18*INDEX(Curves!$AZ$8:$AZ$68,AK$4-$B18+1)</f>
        <v/>
      </c>
      <c r="AL18" s="75">
        <f>$C18*INDEX(Curves!$AZ$8:$AZ$68,AL$4-$B18+1)</f>
        <v/>
      </c>
      <c r="AM18" s="75">
        <f>$C18*INDEX(Curves!$AZ$8:$AZ$68,AM$4-$B18+1)</f>
        <v/>
      </c>
      <c r="AN18" s="75">
        <f>$C18*INDEX(Curves!$AZ$8:$AZ$68,AN$4-$B18+1)</f>
        <v/>
      </c>
      <c r="AO18" s="75">
        <f>$C18*INDEX(Curves!$AZ$8:$AZ$68,AO$4-$B18+1)</f>
        <v/>
      </c>
      <c r="AP18" s="75">
        <f>$C18*INDEX(Curves!$AZ$8:$AZ$68,AP$4-$B18+1)</f>
        <v/>
      </c>
      <c r="AQ18" s="75">
        <f>$C18*INDEX(Curves!$AZ$8:$AZ$68,AQ$4-$B18+1)</f>
        <v/>
      </c>
      <c r="AR18" s="75">
        <f>$C18*INDEX(Curves!$AZ$8:$AZ$68,AR$4-$B18+1)</f>
        <v/>
      </c>
      <c r="AS18" s="75">
        <f>$C18*INDEX(Curves!$AZ$8:$AZ$68,AS$4-$B18+1)</f>
        <v/>
      </c>
      <c r="AT18" s="75">
        <f>$C18*INDEX(Curves!$AZ$8:$AZ$68,AT$4-$B18+1)</f>
        <v/>
      </c>
      <c r="AU18" s="75">
        <f>$C18*INDEX(Curves!$AZ$8:$AZ$68,AU$4-$B18+1)</f>
        <v/>
      </c>
      <c r="AV18" s="75">
        <f>$C18*INDEX(Curves!$AZ$8:$AZ$68,AV$4-$B18+1)</f>
        <v/>
      </c>
      <c r="AW18" s="75">
        <f>$C18*INDEX(Curves!$AZ$8:$AZ$68,AW$4-$B18+1)</f>
        <v/>
      </c>
      <c r="AX18" s="75">
        <f>$C18*INDEX(Curves!$AZ$8:$AZ$68,AX$4-$B18+1)</f>
        <v/>
      </c>
      <c r="AY18" s="75">
        <f>$C18*INDEX(Curves!$AZ$8:$AZ$68,AY$4-$B18+1)</f>
        <v/>
      </c>
      <c r="AZ18" s="75">
        <f>$C18*INDEX(Curves!$AZ$8:$AZ$68,AZ$4-$B18+1)</f>
        <v/>
      </c>
      <c r="BA18" s="75">
        <f>$C18*INDEX(Curves!$AZ$8:$AZ$68,BA$4-$B18+1)</f>
        <v/>
      </c>
      <c r="BB18" s="75">
        <f>$C18*INDEX(Curves!$AZ$8:$AZ$68,BB$4-$B18+1)</f>
        <v/>
      </c>
      <c r="BC18" s="75">
        <f>$C18*INDEX(Curves!$AZ$8:$AZ$68,BC$4-$B18+1)</f>
        <v/>
      </c>
      <c r="BD18" s="75">
        <f>$C18*INDEX(Curves!$AZ$8:$AZ$68,BD$4-$B18+1)</f>
        <v/>
      </c>
      <c r="BE18" s="75">
        <f>$C18*INDEX(Curves!$AZ$8:$AZ$68,BE$4-$B18+1)</f>
        <v/>
      </c>
      <c r="BF18" s="75">
        <f>$C18*INDEX(Curves!$AZ$8:$AZ$68,BF$4-$B18+1)</f>
        <v/>
      </c>
      <c r="BG18" s="75">
        <f>$C18*INDEX(Curves!$AZ$8:$AZ$68,BG$4-$B18+1)</f>
        <v/>
      </c>
      <c r="BH18" s="75">
        <f>$C18*INDEX(Curves!$AZ$8:$AZ$68,BH$4-$B18+1)</f>
        <v/>
      </c>
      <c r="BI18" s="75">
        <f>$C18*INDEX(Curves!$AZ$8:$AZ$68,BI$4-$B18+1)</f>
        <v/>
      </c>
      <c r="BJ18" s="75">
        <f>$C18*INDEX(Curves!$AZ$8:$AZ$68,BJ$4-$B18+1)</f>
        <v/>
      </c>
      <c r="BK18" s="75">
        <f>$C18*INDEX(Curves!$AZ$8:$AZ$68,BK$4-$B18+1)</f>
        <v/>
      </c>
      <c r="BL18" s="75">
        <f>$C18*INDEX(Curves!$AZ$8:$AZ$68,BL$4-$B18+1)</f>
        <v/>
      </c>
    </row>
    <row r="19">
      <c r="A19" s="74" t="inlineStr">
        <is>
          <t>Cohort month 10</t>
        </is>
      </c>
      <c r="B19" s="74" t="n">
        <v>10</v>
      </c>
      <c r="C19" s="17">
        <f>INDEX(Ops!$E$110:$BL$110,1,$B19)</f>
        <v/>
      </c>
      <c r="O19" s="75">
        <f>$C19*INDEX(Curves!$AZ$8:$AZ$68,O$4-$B19+1)</f>
        <v/>
      </c>
      <c r="P19" s="75">
        <f>$C19*INDEX(Curves!$AZ$8:$AZ$68,P$4-$B19+1)</f>
        <v/>
      </c>
      <c r="Q19" s="75">
        <f>$C19*INDEX(Curves!$AZ$8:$AZ$68,Q$4-$B19+1)</f>
        <v/>
      </c>
      <c r="R19" s="75">
        <f>$C19*INDEX(Curves!$AZ$8:$AZ$68,R$4-$B19+1)</f>
        <v/>
      </c>
      <c r="S19" s="75">
        <f>$C19*INDEX(Curves!$AZ$8:$AZ$68,S$4-$B19+1)</f>
        <v/>
      </c>
      <c r="T19" s="75">
        <f>$C19*INDEX(Curves!$AZ$8:$AZ$68,T$4-$B19+1)</f>
        <v/>
      </c>
      <c r="U19" s="75">
        <f>$C19*INDEX(Curves!$AZ$8:$AZ$68,U$4-$B19+1)</f>
        <v/>
      </c>
      <c r="V19" s="75">
        <f>$C19*INDEX(Curves!$AZ$8:$AZ$68,V$4-$B19+1)</f>
        <v/>
      </c>
      <c r="W19" s="75">
        <f>$C19*INDEX(Curves!$AZ$8:$AZ$68,W$4-$B19+1)</f>
        <v/>
      </c>
      <c r="X19" s="75">
        <f>$C19*INDEX(Curves!$AZ$8:$AZ$68,X$4-$B19+1)</f>
        <v/>
      </c>
      <c r="Y19" s="75">
        <f>$C19*INDEX(Curves!$AZ$8:$AZ$68,Y$4-$B19+1)</f>
        <v/>
      </c>
      <c r="Z19" s="75">
        <f>$C19*INDEX(Curves!$AZ$8:$AZ$68,Z$4-$B19+1)</f>
        <v/>
      </c>
      <c r="AA19" s="75">
        <f>$C19*INDEX(Curves!$AZ$8:$AZ$68,AA$4-$B19+1)</f>
        <v/>
      </c>
      <c r="AB19" s="75">
        <f>$C19*INDEX(Curves!$AZ$8:$AZ$68,AB$4-$B19+1)</f>
        <v/>
      </c>
      <c r="AC19" s="75">
        <f>$C19*INDEX(Curves!$AZ$8:$AZ$68,AC$4-$B19+1)</f>
        <v/>
      </c>
      <c r="AD19" s="75">
        <f>$C19*INDEX(Curves!$AZ$8:$AZ$68,AD$4-$B19+1)</f>
        <v/>
      </c>
      <c r="AE19" s="75">
        <f>$C19*INDEX(Curves!$AZ$8:$AZ$68,AE$4-$B19+1)</f>
        <v/>
      </c>
      <c r="AF19" s="75">
        <f>$C19*INDEX(Curves!$AZ$8:$AZ$68,AF$4-$B19+1)</f>
        <v/>
      </c>
      <c r="AG19" s="75">
        <f>$C19*INDEX(Curves!$AZ$8:$AZ$68,AG$4-$B19+1)</f>
        <v/>
      </c>
      <c r="AH19" s="75">
        <f>$C19*INDEX(Curves!$AZ$8:$AZ$68,AH$4-$B19+1)</f>
        <v/>
      </c>
      <c r="AI19" s="75">
        <f>$C19*INDEX(Curves!$AZ$8:$AZ$68,AI$4-$B19+1)</f>
        <v/>
      </c>
      <c r="AJ19" s="75">
        <f>$C19*INDEX(Curves!$AZ$8:$AZ$68,AJ$4-$B19+1)</f>
        <v/>
      </c>
      <c r="AK19" s="75">
        <f>$C19*INDEX(Curves!$AZ$8:$AZ$68,AK$4-$B19+1)</f>
        <v/>
      </c>
      <c r="AL19" s="75">
        <f>$C19*INDEX(Curves!$AZ$8:$AZ$68,AL$4-$B19+1)</f>
        <v/>
      </c>
      <c r="AM19" s="75">
        <f>$C19*INDEX(Curves!$AZ$8:$AZ$68,AM$4-$B19+1)</f>
        <v/>
      </c>
      <c r="AN19" s="75">
        <f>$C19*INDEX(Curves!$AZ$8:$AZ$68,AN$4-$B19+1)</f>
        <v/>
      </c>
      <c r="AO19" s="75">
        <f>$C19*INDEX(Curves!$AZ$8:$AZ$68,AO$4-$B19+1)</f>
        <v/>
      </c>
      <c r="AP19" s="75">
        <f>$C19*INDEX(Curves!$AZ$8:$AZ$68,AP$4-$B19+1)</f>
        <v/>
      </c>
      <c r="AQ19" s="75">
        <f>$C19*INDEX(Curves!$AZ$8:$AZ$68,AQ$4-$B19+1)</f>
        <v/>
      </c>
      <c r="AR19" s="75">
        <f>$C19*INDEX(Curves!$AZ$8:$AZ$68,AR$4-$B19+1)</f>
        <v/>
      </c>
      <c r="AS19" s="75">
        <f>$C19*INDEX(Curves!$AZ$8:$AZ$68,AS$4-$B19+1)</f>
        <v/>
      </c>
      <c r="AT19" s="75">
        <f>$C19*INDEX(Curves!$AZ$8:$AZ$68,AT$4-$B19+1)</f>
        <v/>
      </c>
      <c r="AU19" s="75">
        <f>$C19*INDEX(Curves!$AZ$8:$AZ$68,AU$4-$B19+1)</f>
        <v/>
      </c>
      <c r="AV19" s="75">
        <f>$C19*INDEX(Curves!$AZ$8:$AZ$68,AV$4-$B19+1)</f>
        <v/>
      </c>
      <c r="AW19" s="75">
        <f>$C19*INDEX(Curves!$AZ$8:$AZ$68,AW$4-$B19+1)</f>
        <v/>
      </c>
      <c r="AX19" s="75">
        <f>$C19*INDEX(Curves!$AZ$8:$AZ$68,AX$4-$B19+1)</f>
        <v/>
      </c>
      <c r="AY19" s="75">
        <f>$C19*INDEX(Curves!$AZ$8:$AZ$68,AY$4-$B19+1)</f>
        <v/>
      </c>
      <c r="AZ19" s="75">
        <f>$C19*INDEX(Curves!$AZ$8:$AZ$68,AZ$4-$B19+1)</f>
        <v/>
      </c>
      <c r="BA19" s="75">
        <f>$C19*INDEX(Curves!$AZ$8:$AZ$68,BA$4-$B19+1)</f>
        <v/>
      </c>
      <c r="BB19" s="75">
        <f>$C19*INDEX(Curves!$AZ$8:$AZ$68,BB$4-$B19+1)</f>
        <v/>
      </c>
      <c r="BC19" s="75">
        <f>$C19*INDEX(Curves!$AZ$8:$AZ$68,BC$4-$B19+1)</f>
        <v/>
      </c>
      <c r="BD19" s="75">
        <f>$C19*INDEX(Curves!$AZ$8:$AZ$68,BD$4-$B19+1)</f>
        <v/>
      </c>
      <c r="BE19" s="75">
        <f>$C19*INDEX(Curves!$AZ$8:$AZ$68,BE$4-$B19+1)</f>
        <v/>
      </c>
      <c r="BF19" s="75">
        <f>$C19*INDEX(Curves!$AZ$8:$AZ$68,BF$4-$B19+1)</f>
        <v/>
      </c>
      <c r="BG19" s="75">
        <f>$C19*INDEX(Curves!$AZ$8:$AZ$68,BG$4-$B19+1)</f>
        <v/>
      </c>
      <c r="BH19" s="75">
        <f>$C19*INDEX(Curves!$AZ$8:$AZ$68,BH$4-$B19+1)</f>
        <v/>
      </c>
      <c r="BI19" s="75">
        <f>$C19*INDEX(Curves!$AZ$8:$AZ$68,BI$4-$B19+1)</f>
        <v/>
      </c>
      <c r="BJ19" s="75">
        <f>$C19*INDEX(Curves!$AZ$8:$AZ$68,BJ$4-$B19+1)</f>
        <v/>
      </c>
      <c r="BK19" s="75">
        <f>$C19*INDEX(Curves!$AZ$8:$AZ$68,BK$4-$B19+1)</f>
        <v/>
      </c>
      <c r="BL19" s="75">
        <f>$C19*INDEX(Curves!$AZ$8:$AZ$68,BL$4-$B19+1)</f>
        <v/>
      </c>
    </row>
    <row r="20">
      <c r="A20" s="74" t="inlineStr">
        <is>
          <t>Cohort month 11</t>
        </is>
      </c>
      <c r="B20" s="74" t="n">
        <v>11</v>
      </c>
      <c r="C20" s="17">
        <f>INDEX(Ops!$E$110:$BL$110,1,$B20)</f>
        <v/>
      </c>
      <c r="P20" s="75">
        <f>$C20*INDEX(Curves!$AZ$8:$AZ$68,P$4-$B20+1)</f>
        <v/>
      </c>
      <c r="Q20" s="75">
        <f>$C20*INDEX(Curves!$AZ$8:$AZ$68,Q$4-$B20+1)</f>
        <v/>
      </c>
      <c r="R20" s="75">
        <f>$C20*INDEX(Curves!$AZ$8:$AZ$68,R$4-$B20+1)</f>
        <v/>
      </c>
      <c r="S20" s="75">
        <f>$C20*INDEX(Curves!$AZ$8:$AZ$68,S$4-$B20+1)</f>
        <v/>
      </c>
      <c r="T20" s="75">
        <f>$C20*INDEX(Curves!$AZ$8:$AZ$68,T$4-$B20+1)</f>
        <v/>
      </c>
      <c r="U20" s="75">
        <f>$C20*INDEX(Curves!$AZ$8:$AZ$68,U$4-$B20+1)</f>
        <v/>
      </c>
      <c r="V20" s="75">
        <f>$C20*INDEX(Curves!$AZ$8:$AZ$68,V$4-$B20+1)</f>
        <v/>
      </c>
      <c r="W20" s="75">
        <f>$C20*INDEX(Curves!$AZ$8:$AZ$68,W$4-$B20+1)</f>
        <v/>
      </c>
      <c r="X20" s="75">
        <f>$C20*INDEX(Curves!$AZ$8:$AZ$68,X$4-$B20+1)</f>
        <v/>
      </c>
      <c r="Y20" s="75">
        <f>$C20*INDEX(Curves!$AZ$8:$AZ$68,Y$4-$B20+1)</f>
        <v/>
      </c>
      <c r="Z20" s="75">
        <f>$C20*INDEX(Curves!$AZ$8:$AZ$68,Z$4-$B20+1)</f>
        <v/>
      </c>
      <c r="AA20" s="75">
        <f>$C20*INDEX(Curves!$AZ$8:$AZ$68,AA$4-$B20+1)</f>
        <v/>
      </c>
      <c r="AB20" s="75">
        <f>$C20*INDEX(Curves!$AZ$8:$AZ$68,AB$4-$B20+1)</f>
        <v/>
      </c>
      <c r="AC20" s="75">
        <f>$C20*INDEX(Curves!$AZ$8:$AZ$68,AC$4-$B20+1)</f>
        <v/>
      </c>
      <c r="AD20" s="75">
        <f>$C20*INDEX(Curves!$AZ$8:$AZ$68,AD$4-$B20+1)</f>
        <v/>
      </c>
      <c r="AE20" s="75">
        <f>$C20*INDEX(Curves!$AZ$8:$AZ$68,AE$4-$B20+1)</f>
        <v/>
      </c>
      <c r="AF20" s="75">
        <f>$C20*INDEX(Curves!$AZ$8:$AZ$68,AF$4-$B20+1)</f>
        <v/>
      </c>
      <c r="AG20" s="75">
        <f>$C20*INDEX(Curves!$AZ$8:$AZ$68,AG$4-$B20+1)</f>
        <v/>
      </c>
      <c r="AH20" s="75">
        <f>$C20*INDEX(Curves!$AZ$8:$AZ$68,AH$4-$B20+1)</f>
        <v/>
      </c>
      <c r="AI20" s="75">
        <f>$C20*INDEX(Curves!$AZ$8:$AZ$68,AI$4-$B20+1)</f>
        <v/>
      </c>
      <c r="AJ20" s="75">
        <f>$C20*INDEX(Curves!$AZ$8:$AZ$68,AJ$4-$B20+1)</f>
        <v/>
      </c>
      <c r="AK20" s="75">
        <f>$C20*INDEX(Curves!$AZ$8:$AZ$68,AK$4-$B20+1)</f>
        <v/>
      </c>
      <c r="AL20" s="75">
        <f>$C20*INDEX(Curves!$AZ$8:$AZ$68,AL$4-$B20+1)</f>
        <v/>
      </c>
      <c r="AM20" s="75">
        <f>$C20*INDEX(Curves!$AZ$8:$AZ$68,AM$4-$B20+1)</f>
        <v/>
      </c>
      <c r="AN20" s="75">
        <f>$C20*INDEX(Curves!$AZ$8:$AZ$68,AN$4-$B20+1)</f>
        <v/>
      </c>
      <c r="AO20" s="75">
        <f>$C20*INDEX(Curves!$AZ$8:$AZ$68,AO$4-$B20+1)</f>
        <v/>
      </c>
      <c r="AP20" s="75">
        <f>$C20*INDEX(Curves!$AZ$8:$AZ$68,AP$4-$B20+1)</f>
        <v/>
      </c>
      <c r="AQ20" s="75">
        <f>$C20*INDEX(Curves!$AZ$8:$AZ$68,AQ$4-$B20+1)</f>
        <v/>
      </c>
      <c r="AR20" s="75">
        <f>$C20*INDEX(Curves!$AZ$8:$AZ$68,AR$4-$B20+1)</f>
        <v/>
      </c>
      <c r="AS20" s="75">
        <f>$C20*INDEX(Curves!$AZ$8:$AZ$68,AS$4-$B20+1)</f>
        <v/>
      </c>
      <c r="AT20" s="75">
        <f>$C20*INDEX(Curves!$AZ$8:$AZ$68,AT$4-$B20+1)</f>
        <v/>
      </c>
      <c r="AU20" s="75">
        <f>$C20*INDEX(Curves!$AZ$8:$AZ$68,AU$4-$B20+1)</f>
        <v/>
      </c>
      <c r="AV20" s="75">
        <f>$C20*INDEX(Curves!$AZ$8:$AZ$68,AV$4-$B20+1)</f>
        <v/>
      </c>
      <c r="AW20" s="75">
        <f>$C20*INDEX(Curves!$AZ$8:$AZ$68,AW$4-$B20+1)</f>
        <v/>
      </c>
      <c r="AX20" s="75">
        <f>$C20*INDEX(Curves!$AZ$8:$AZ$68,AX$4-$B20+1)</f>
        <v/>
      </c>
      <c r="AY20" s="75">
        <f>$C20*INDEX(Curves!$AZ$8:$AZ$68,AY$4-$B20+1)</f>
        <v/>
      </c>
      <c r="AZ20" s="75">
        <f>$C20*INDEX(Curves!$AZ$8:$AZ$68,AZ$4-$B20+1)</f>
        <v/>
      </c>
      <c r="BA20" s="75">
        <f>$C20*INDEX(Curves!$AZ$8:$AZ$68,BA$4-$B20+1)</f>
        <v/>
      </c>
      <c r="BB20" s="75">
        <f>$C20*INDEX(Curves!$AZ$8:$AZ$68,BB$4-$B20+1)</f>
        <v/>
      </c>
      <c r="BC20" s="75">
        <f>$C20*INDEX(Curves!$AZ$8:$AZ$68,BC$4-$B20+1)</f>
        <v/>
      </c>
      <c r="BD20" s="75">
        <f>$C20*INDEX(Curves!$AZ$8:$AZ$68,BD$4-$B20+1)</f>
        <v/>
      </c>
      <c r="BE20" s="75">
        <f>$C20*INDEX(Curves!$AZ$8:$AZ$68,BE$4-$B20+1)</f>
        <v/>
      </c>
      <c r="BF20" s="75">
        <f>$C20*INDEX(Curves!$AZ$8:$AZ$68,BF$4-$B20+1)</f>
        <v/>
      </c>
      <c r="BG20" s="75">
        <f>$C20*INDEX(Curves!$AZ$8:$AZ$68,BG$4-$B20+1)</f>
        <v/>
      </c>
      <c r="BH20" s="75">
        <f>$C20*INDEX(Curves!$AZ$8:$AZ$68,BH$4-$B20+1)</f>
        <v/>
      </c>
      <c r="BI20" s="75">
        <f>$C20*INDEX(Curves!$AZ$8:$AZ$68,BI$4-$B20+1)</f>
        <v/>
      </c>
      <c r="BJ20" s="75">
        <f>$C20*INDEX(Curves!$AZ$8:$AZ$68,BJ$4-$B20+1)</f>
        <v/>
      </c>
      <c r="BK20" s="75">
        <f>$C20*INDEX(Curves!$AZ$8:$AZ$68,BK$4-$B20+1)</f>
        <v/>
      </c>
      <c r="BL20" s="75">
        <f>$C20*INDEX(Curves!$AZ$8:$AZ$68,BL$4-$B20+1)</f>
        <v/>
      </c>
    </row>
    <row r="21">
      <c r="A21" s="74" t="inlineStr">
        <is>
          <t>Cohort month 12</t>
        </is>
      </c>
      <c r="B21" s="74" t="n">
        <v>12</v>
      </c>
      <c r="C21" s="17">
        <f>INDEX(Ops!$E$110:$BL$110,1,$B21)</f>
        <v/>
      </c>
      <c r="Q21" s="75">
        <f>$C21*INDEX(Curves!$AZ$8:$AZ$68,Q$4-$B21+1)</f>
        <v/>
      </c>
      <c r="R21" s="75">
        <f>$C21*INDEX(Curves!$AZ$8:$AZ$68,R$4-$B21+1)</f>
        <v/>
      </c>
      <c r="S21" s="75">
        <f>$C21*INDEX(Curves!$AZ$8:$AZ$68,S$4-$B21+1)</f>
        <v/>
      </c>
      <c r="T21" s="75">
        <f>$C21*INDEX(Curves!$AZ$8:$AZ$68,T$4-$B21+1)</f>
        <v/>
      </c>
      <c r="U21" s="75">
        <f>$C21*INDEX(Curves!$AZ$8:$AZ$68,U$4-$B21+1)</f>
        <v/>
      </c>
      <c r="V21" s="75">
        <f>$C21*INDEX(Curves!$AZ$8:$AZ$68,V$4-$B21+1)</f>
        <v/>
      </c>
      <c r="W21" s="75">
        <f>$C21*INDEX(Curves!$AZ$8:$AZ$68,W$4-$B21+1)</f>
        <v/>
      </c>
      <c r="X21" s="75">
        <f>$C21*INDEX(Curves!$AZ$8:$AZ$68,X$4-$B21+1)</f>
        <v/>
      </c>
      <c r="Y21" s="75">
        <f>$C21*INDEX(Curves!$AZ$8:$AZ$68,Y$4-$B21+1)</f>
        <v/>
      </c>
      <c r="Z21" s="75">
        <f>$C21*INDEX(Curves!$AZ$8:$AZ$68,Z$4-$B21+1)</f>
        <v/>
      </c>
      <c r="AA21" s="75">
        <f>$C21*INDEX(Curves!$AZ$8:$AZ$68,AA$4-$B21+1)</f>
        <v/>
      </c>
      <c r="AB21" s="75">
        <f>$C21*INDEX(Curves!$AZ$8:$AZ$68,AB$4-$B21+1)</f>
        <v/>
      </c>
      <c r="AC21" s="75">
        <f>$C21*INDEX(Curves!$AZ$8:$AZ$68,AC$4-$B21+1)</f>
        <v/>
      </c>
      <c r="AD21" s="75">
        <f>$C21*INDEX(Curves!$AZ$8:$AZ$68,AD$4-$B21+1)</f>
        <v/>
      </c>
      <c r="AE21" s="75">
        <f>$C21*INDEX(Curves!$AZ$8:$AZ$68,AE$4-$B21+1)</f>
        <v/>
      </c>
      <c r="AF21" s="75">
        <f>$C21*INDEX(Curves!$AZ$8:$AZ$68,AF$4-$B21+1)</f>
        <v/>
      </c>
      <c r="AG21" s="75">
        <f>$C21*INDEX(Curves!$AZ$8:$AZ$68,AG$4-$B21+1)</f>
        <v/>
      </c>
      <c r="AH21" s="75">
        <f>$C21*INDEX(Curves!$AZ$8:$AZ$68,AH$4-$B21+1)</f>
        <v/>
      </c>
      <c r="AI21" s="75">
        <f>$C21*INDEX(Curves!$AZ$8:$AZ$68,AI$4-$B21+1)</f>
        <v/>
      </c>
      <c r="AJ21" s="75">
        <f>$C21*INDEX(Curves!$AZ$8:$AZ$68,AJ$4-$B21+1)</f>
        <v/>
      </c>
      <c r="AK21" s="75">
        <f>$C21*INDEX(Curves!$AZ$8:$AZ$68,AK$4-$B21+1)</f>
        <v/>
      </c>
      <c r="AL21" s="75">
        <f>$C21*INDEX(Curves!$AZ$8:$AZ$68,AL$4-$B21+1)</f>
        <v/>
      </c>
      <c r="AM21" s="75">
        <f>$C21*INDEX(Curves!$AZ$8:$AZ$68,AM$4-$B21+1)</f>
        <v/>
      </c>
      <c r="AN21" s="75">
        <f>$C21*INDEX(Curves!$AZ$8:$AZ$68,AN$4-$B21+1)</f>
        <v/>
      </c>
      <c r="AO21" s="75">
        <f>$C21*INDEX(Curves!$AZ$8:$AZ$68,AO$4-$B21+1)</f>
        <v/>
      </c>
      <c r="AP21" s="75">
        <f>$C21*INDEX(Curves!$AZ$8:$AZ$68,AP$4-$B21+1)</f>
        <v/>
      </c>
      <c r="AQ21" s="75">
        <f>$C21*INDEX(Curves!$AZ$8:$AZ$68,AQ$4-$B21+1)</f>
        <v/>
      </c>
      <c r="AR21" s="75">
        <f>$C21*INDEX(Curves!$AZ$8:$AZ$68,AR$4-$B21+1)</f>
        <v/>
      </c>
      <c r="AS21" s="75">
        <f>$C21*INDEX(Curves!$AZ$8:$AZ$68,AS$4-$B21+1)</f>
        <v/>
      </c>
      <c r="AT21" s="75">
        <f>$C21*INDEX(Curves!$AZ$8:$AZ$68,AT$4-$B21+1)</f>
        <v/>
      </c>
      <c r="AU21" s="75">
        <f>$C21*INDEX(Curves!$AZ$8:$AZ$68,AU$4-$B21+1)</f>
        <v/>
      </c>
      <c r="AV21" s="75">
        <f>$C21*INDEX(Curves!$AZ$8:$AZ$68,AV$4-$B21+1)</f>
        <v/>
      </c>
      <c r="AW21" s="75">
        <f>$C21*INDEX(Curves!$AZ$8:$AZ$68,AW$4-$B21+1)</f>
        <v/>
      </c>
      <c r="AX21" s="75">
        <f>$C21*INDEX(Curves!$AZ$8:$AZ$68,AX$4-$B21+1)</f>
        <v/>
      </c>
      <c r="AY21" s="75">
        <f>$C21*INDEX(Curves!$AZ$8:$AZ$68,AY$4-$B21+1)</f>
        <v/>
      </c>
      <c r="AZ21" s="75">
        <f>$C21*INDEX(Curves!$AZ$8:$AZ$68,AZ$4-$B21+1)</f>
        <v/>
      </c>
      <c r="BA21" s="75">
        <f>$C21*INDEX(Curves!$AZ$8:$AZ$68,BA$4-$B21+1)</f>
        <v/>
      </c>
      <c r="BB21" s="75">
        <f>$C21*INDEX(Curves!$AZ$8:$AZ$68,BB$4-$B21+1)</f>
        <v/>
      </c>
      <c r="BC21" s="75">
        <f>$C21*INDEX(Curves!$AZ$8:$AZ$68,BC$4-$B21+1)</f>
        <v/>
      </c>
      <c r="BD21" s="75">
        <f>$C21*INDEX(Curves!$AZ$8:$AZ$68,BD$4-$B21+1)</f>
        <v/>
      </c>
      <c r="BE21" s="75">
        <f>$C21*INDEX(Curves!$AZ$8:$AZ$68,BE$4-$B21+1)</f>
        <v/>
      </c>
      <c r="BF21" s="75">
        <f>$C21*INDEX(Curves!$AZ$8:$AZ$68,BF$4-$B21+1)</f>
        <v/>
      </c>
      <c r="BG21" s="75">
        <f>$C21*INDEX(Curves!$AZ$8:$AZ$68,BG$4-$B21+1)</f>
        <v/>
      </c>
      <c r="BH21" s="75">
        <f>$C21*INDEX(Curves!$AZ$8:$AZ$68,BH$4-$B21+1)</f>
        <v/>
      </c>
      <c r="BI21" s="75">
        <f>$C21*INDEX(Curves!$AZ$8:$AZ$68,BI$4-$B21+1)</f>
        <v/>
      </c>
      <c r="BJ21" s="75">
        <f>$C21*INDEX(Curves!$AZ$8:$AZ$68,BJ$4-$B21+1)</f>
        <v/>
      </c>
      <c r="BK21" s="75">
        <f>$C21*INDEX(Curves!$AZ$8:$AZ$68,BK$4-$B21+1)</f>
        <v/>
      </c>
      <c r="BL21" s="75">
        <f>$C21*INDEX(Curves!$AZ$8:$AZ$68,BL$4-$B21+1)</f>
        <v/>
      </c>
    </row>
    <row r="22">
      <c r="A22" s="74" t="inlineStr">
        <is>
          <t>Cohort month 13</t>
        </is>
      </c>
      <c r="B22" s="74" t="n">
        <v>13</v>
      </c>
      <c r="C22" s="17">
        <f>INDEX(Ops!$E$110:$BL$110,1,$B22)</f>
        <v/>
      </c>
      <c r="R22" s="75">
        <f>$C22*INDEX(Curves!$AZ$8:$AZ$68,R$4-$B22+1)</f>
        <v/>
      </c>
      <c r="S22" s="75">
        <f>$C22*INDEX(Curves!$AZ$8:$AZ$68,S$4-$B22+1)</f>
        <v/>
      </c>
      <c r="T22" s="75">
        <f>$C22*INDEX(Curves!$AZ$8:$AZ$68,T$4-$B22+1)</f>
        <v/>
      </c>
      <c r="U22" s="75">
        <f>$C22*INDEX(Curves!$AZ$8:$AZ$68,U$4-$B22+1)</f>
        <v/>
      </c>
      <c r="V22" s="75">
        <f>$C22*INDEX(Curves!$AZ$8:$AZ$68,V$4-$B22+1)</f>
        <v/>
      </c>
      <c r="W22" s="75">
        <f>$C22*INDEX(Curves!$AZ$8:$AZ$68,W$4-$B22+1)</f>
        <v/>
      </c>
      <c r="X22" s="75">
        <f>$C22*INDEX(Curves!$AZ$8:$AZ$68,X$4-$B22+1)</f>
        <v/>
      </c>
      <c r="Y22" s="75">
        <f>$C22*INDEX(Curves!$AZ$8:$AZ$68,Y$4-$B22+1)</f>
        <v/>
      </c>
      <c r="Z22" s="75">
        <f>$C22*INDEX(Curves!$AZ$8:$AZ$68,Z$4-$B22+1)</f>
        <v/>
      </c>
      <c r="AA22" s="75">
        <f>$C22*INDEX(Curves!$AZ$8:$AZ$68,AA$4-$B22+1)</f>
        <v/>
      </c>
      <c r="AB22" s="75">
        <f>$C22*INDEX(Curves!$AZ$8:$AZ$68,AB$4-$B22+1)</f>
        <v/>
      </c>
      <c r="AC22" s="75">
        <f>$C22*INDEX(Curves!$AZ$8:$AZ$68,AC$4-$B22+1)</f>
        <v/>
      </c>
      <c r="AD22" s="75">
        <f>$C22*INDEX(Curves!$AZ$8:$AZ$68,AD$4-$B22+1)</f>
        <v/>
      </c>
      <c r="AE22" s="75">
        <f>$C22*INDEX(Curves!$AZ$8:$AZ$68,AE$4-$B22+1)</f>
        <v/>
      </c>
      <c r="AF22" s="75">
        <f>$C22*INDEX(Curves!$AZ$8:$AZ$68,AF$4-$B22+1)</f>
        <v/>
      </c>
      <c r="AG22" s="75">
        <f>$C22*INDEX(Curves!$AZ$8:$AZ$68,AG$4-$B22+1)</f>
        <v/>
      </c>
      <c r="AH22" s="75">
        <f>$C22*INDEX(Curves!$AZ$8:$AZ$68,AH$4-$B22+1)</f>
        <v/>
      </c>
      <c r="AI22" s="75">
        <f>$C22*INDEX(Curves!$AZ$8:$AZ$68,AI$4-$B22+1)</f>
        <v/>
      </c>
      <c r="AJ22" s="75">
        <f>$C22*INDEX(Curves!$AZ$8:$AZ$68,AJ$4-$B22+1)</f>
        <v/>
      </c>
      <c r="AK22" s="75">
        <f>$C22*INDEX(Curves!$AZ$8:$AZ$68,AK$4-$B22+1)</f>
        <v/>
      </c>
      <c r="AL22" s="75">
        <f>$C22*INDEX(Curves!$AZ$8:$AZ$68,AL$4-$B22+1)</f>
        <v/>
      </c>
      <c r="AM22" s="75">
        <f>$C22*INDEX(Curves!$AZ$8:$AZ$68,AM$4-$B22+1)</f>
        <v/>
      </c>
      <c r="AN22" s="75">
        <f>$C22*INDEX(Curves!$AZ$8:$AZ$68,AN$4-$B22+1)</f>
        <v/>
      </c>
      <c r="AO22" s="75">
        <f>$C22*INDEX(Curves!$AZ$8:$AZ$68,AO$4-$B22+1)</f>
        <v/>
      </c>
      <c r="AP22" s="75">
        <f>$C22*INDEX(Curves!$AZ$8:$AZ$68,AP$4-$B22+1)</f>
        <v/>
      </c>
      <c r="AQ22" s="75">
        <f>$C22*INDEX(Curves!$AZ$8:$AZ$68,AQ$4-$B22+1)</f>
        <v/>
      </c>
      <c r="AR22" s="75">
        <f>$C22*INDEX(Curves!$AZ$8:$AZ$68,AR$4-$B22+1)</f>
        <v/>
      </c>
      <c r="AS22" s="75">
        <f>$C22*INDEX(Curves!$AZ$8:$AZ$68,AS$4-$B22+1)</f>
        <v/>
      </c>
      <c r="AT22" s="75">
        <f>$C22*INDEX(Curves!$AZ$8:$AZ$68,AT$4-$B22+1)</f>
        <v/>
      </c>
      <c r="AU22" s="75">
        <f>$C22*INDEX(Curves!$AZ$8:$AZ$68,AU$4-$B22+1)</f>
        <v/>
      </c>
      <c r="AV22" s="75">
        <f>$C22*INDEX(Curves!$AZ$8:$AZ$68,AV$4-$B22+1)</f>
        <v/>
      </c>
      <c r="AW22" s="75">
        <f>$C22*INDEX(Curves!$AZ$8:$AZ$68,AW$4-$B22+1)</f>
        <v/>
      </c>
      <c r="AX22" s="75">
        <f>$C22*INDEX(Curves!$AZ$8:$AZ$68,AX$4-$B22+1)</f>
        <v/>
      </c>
      <c r="AY22" s="75">
        <f>$C22*INDEX(Curves!$AZ$8:$AZ$68,AY$4-$B22+1)</f>
        <v/>
      </c>
      <c r="AZ22" s="75">
        <f>$C22*INDEX(Curves!$AZ$8:$AZ$68,AZ$4-$B22+1)</f>
        <v/>
      </c>
      <c r="BA22" s="75">
        <f>$C22*INDEX(Curves!$AZ$8:$AZ$68,BA$4-$B22+1)</f>
        <v/>
      </c>
      <c r="BB22" s="75">
        <f>$C22*INDEX(Curves!$AZ$8:$AZ$68,BB$4-$B22+1)</f>
        <v/>
      </c>
      <c r="BC22" s="75">
        <f>$C22*INDEX(Curves!$AZ$8:$AZ$68,BC$4-$B22+1)</f>
        <v/>
      </c>
      <c r="BD22" s="75">
        <f>$C22*INDEX(Curves!$AZ$8:$AZ$68,BD$4-$B22+1)</f>
        <v/>
      </c>
      <c r="BE22" s="75">
        <f>$C22*INDEX(Curves!$AZ$8:$AZ$68,BE$4-$B22+1)</f>
        <v/>
      </c>
      <c r="BF22" s="75">
        <f>$C22*INDEX(Curves!$AZ$8:$AZ$68,BF$4-$B22+1)</f>
        <v/>
      </c>
      <c r="BG22" s="75">
        <f>$C22*INDEX(Curves!$AZ$8:$AZ$68,BG$4-$B22+1)</f>
        <v/>
      </c>
      <c r="BH22" s="75">
        <f>$C22*INDEX(Curves!$AZ$8:$AZ$68,BH$4-$B22+1)</f>
        <v/>
      </c>
      <c r="BI22" s="75">
        <f>$C22*INDEX(Curves!$AZ$8:$AZ$68,BI$4-$B22+1)</f>
        <v/>
      </c>
      <c r="BJ22" s="75">
        <f>$C22*INDEX(Curves!$AZ$8:$AZ$68,BJ$4-$B22+1)</f>
        <v/>
      </c>
      <c r="BK22" s="75">
        <f>$C22*INDEX(Curves!$AZ$8:$AZ$68,BK$4-$B22+1)</f>
        <v/>
      </c>
      <c r="BL22" s="75">
        <f>$C22*INDEX(Curves!$AZ$8:$AZ$68,BL$4-$B22+1)</f>
        <v/>
      </c>
    </row>
    <row r="23">
      <c r="A23" s="74" t="inlineStr">
        <is>
          <t>Cohort month 14</t>
        </is>
      </c>
      <c r="B23" s="74" t="n">
        <v>14</v>
      </c>
      <c r="C23" s="17">
        <f>INDEX(Ops!$E$110:$BL$110,1,$B23)</f>
        <v/>
      </c>
      <c r="S23" s="75">
        <f>$C23*INDEX(Curves!$AZ$8:$AZ$68,S$4-$B23+1)</f>
        <v/>
      </c>
      <c r="T23" s="75">
        <f>$C23*INDEX(Curves!$AZ$8:$AZ$68,T$4-$B23+1)</f>
        <v/>
      </c>
      <c r="U23" s="75">
        <f>$C23*INDEX(Curves!$AZ$8:$AZ$68,U$4-$B23+1)</f>
        <v/>
      </c>
      <c r="V23" s="75">
        <f>$C23*INDEX(Curves!$AZ$8:$AZ$68,V$4-$B23+1)</f>
        <v/>
      </c>
      <c r="W23" s="75">
        <f>$C23*INDEX(Curves!$AZ$8:$AZ$68,W$4-$B23+1)</f>
        <v/>
      </c>
      <c r="X23" s="75">
        <f>$C23*INDEX(Curves!$AZ$8:$AZ$68,X$4-$B23+1)</f>
        <v/>
      </c>
      <c r="Y23" s="75">
        <f>$C23*INDEX(Curves!$AZ$8:$AZ$68,Y$4-$B23+1)</f>
        <v/>
      </c>
      <c r="Z23" s="75">
        <f>$C23*INDEX(Curves!$AZ$8:$AZ$68,Z$4-$B23+1)</f>
        <v/>
      </c>
      <c r="AA23" s="75">
        <f>$C23*INDEX(Curves!$AZ$8:$AZ$68,AA$4-$B23+1)</f>
        <v/>
      </c>
      <c r="AB23" s="75">
        <f>$C23*INDEX(Curves!$AZ$8:$AZ$68,AB$4-$B23+1)</f>
        <v/>
      </c>
      <c r="AC23" s="75">
        <f>$C23*INDEX(Curves!$AZ$8:$AZ$68,AC$4-$B23+1)</f>
        <v/>
      </c>
      <c r="AD23" s="75">
        <f>$C23*INDEX(Curves!$AZ$8:$AZ$68,AD$4-$B23+1)</f>
        <v/>
      </c>
      <c r="AE23" s="75">
        <f>$C23*INDEX(Curves!$AZ$8:$AZ$68,AE$4-$B23+1)</f>
        <v/>
      </c>
      <c r="AF23" s="75">
        <f>$C23*INDEX(Curves!$AZ$8:$AZ$68,AF$4-$B23+1)</f>
        <v/>
      </c>
      <c r="AG23" s="75">
        <f>$C23*INDEX(Curves!$AZ$8:$AZ$68,AG$4-$B23+1)</f>
        <v/>
      </c>
      <c r="AH23" s="75">
        <f>$C23*INDEX(Curves!$AZ$8:$AZ$68,AH$4-$B23+1)</f>
        <v/>
      </c>
      <c r="AI23" s="75">
        <f>$C23*INDEX(Curves!$AZ$8:$AZ$68,AI$4-$B23+1)</f>
        <v/>
      </c>
      <c r="AJ23" s="75">
        <f>$C23*INDEX(Curves!$AZ$8:$AZ$68,AJ$4-$B23+1)</f>
        <v/>
      </c>
      <c r="AK23" s="75">
        <f>$C23*INDEX(Curves!$AZ$8:$AZ$68,AK$4-$B23+1)</f>
        <v/>
      </c>
      <c r="AL23" s="75">
        <f>$C23*INDEX(Curves!$AZ$8:$AZ$68,AL$4-$B23+1)</f>
        <v/>
      </c>
      <c r="AM23" s="75">
        <f>$C23*INDEX(Curves!$AZ$8:$AZ$68,AM$4-$B23+1)</f>
        <v/>
      </c>
      <c r="AN23" s="75">
        <f>$C23*INDEX(Curves!$AZ$8:$AZ$68,AN$4-$B23+1)</f>
        <v/>
      </c>
      <c r="AO23" s="75">
        <f>$C23*INDEX(Curves!$AZ$8:$AZ$68,AO$4-$B23+1)</f>
        <v/>
      </c>
      <c r="AP23" s="75">
        <f>$C23*INDEX(Curves!$AZ$8:$AZ$68,AP$4-$B23+1)</f>
        <v/>
      </c>
      <c r="AQ23" s="75">
        <f>$C23*INDEX(Curves!$AZ$8:$AZ$68,AQ$4-$B23+1)</f>
        <v/>
      </c>
      <c r="AR23" s="75">
        <f>$C23*INDEX(Curves!$AZ$8:$AZ$68,AR$4-$B23+1)</f>
        <v/>
      </c>
      <c r="AS23" s="75">
        <f>$C23*INDEX(Curves!$AZ$8:$AZ$68,AS$4-$B23+1)</f>
        <v/>
      </c>
      <c r="AT23" s="75">
        <f>$C23*INDEX(Curves!$AZ$8:$AZ$68,AT$4-$B23+1)</f>
        <v/>
      </c>
      <c r="AU23" s="75">
        <f>$C23*INDEX(Curves!$AZ$8:$AZ$68,AU$4-$B23+1)</f>
        <v/>
      </c>
      <c r="AV23" s="75">
        <f>$C23*INDEX(Curves!$AZ$8:$AZ$68,AV$4-$B23+1)</f>
        <v/>
      </c>
      <c r="AW23" s="75">
        <f>$C23*INDEX(Curves!$AZ$8:$AZ$68,AW$4-$B23+1)</f>
        <v/>
      </c>
      <c r="AX23" s="75">
        <f>$C23*INDEX(Curves!$AZ$8:$AZ$68,AX$4-$B23+1)</f>
        <v/>
      </c>
      <c r="AY23" s="75">
        <f>$C23*INDEX(Curves!$AZ$8:$AZ$68,AY$4-$B23+1)</f>
        <v/>
      </c>
      <c r="AZ23" s="75">
        <f>$C23*INDEX(Curves!$AZ$8:$AZ$68,AZ$4-$B23+1)</f>
        <v/>
      </c>
      <c r="BA23" s="75">
        <f>$C23*INDEX(Curves!$AZ$8:$AZ$68,BA$4-$B23+1)</f>
        <v/>
      </c>
      <c r="BB23" s="75">
        <f>$C23*INDEX(Curves!$AZ$8:$AZ$68,BB$4-$B23+1)</f>
        <v/>
      </c>
      <c r="BC23" s="75">
        <f>$C23*INDEX(Curves!$AZ$8:$AZ$68,BC$4-$B23+1)</f>
        <v/>
      </c>
      <c r="BD23" s="75">
        <f>$C23*INDEX(Curves!$AZ$8:$AZ$68,BD$4-$B23+1)</f>
        <v/>
      </c>
      <c r="BE23" s="75">
        <f>$C23*INDEX(Curves!$AZ$8:$AZ$68,BE$4-$B23+1)</f>
        <v/>
      </c>
      <c r="BF23" s="75">
        <f>$C23*INDEX(Curves!$AZ$8:$AZ$68,BF$4-$B23+1)</f>
        <v/>
      </c>
      <c r="BG23" s="75">
        <f>$C23*INDEX(Curves!$AZ$8:$AZ$68,BG$4-$B23+1)</f>
        <v/>
      </c>
      <c r="BH23" s="75">
        <f>$C23*INDEX(Curves!$AZ$8:$AZ$68,BH$4-$B23+1)</f>
        <v/>
      </c>
      <c r="BI23" s="75">
        <f>$C23*INDEX(Curves!$AZ$8:$AZ$68,BI$4-$B23+1)</f>
        <v/>
      </c>
      <c r="BJ23" s="75">
        <f>$C23*INDEX(Curves!$AZ$8:$AZ$68,BJ$4-$B23+1)</f>
        <v/>
      </c>
      <c r="BK23" s="75">
        <f>$C23*INDEX(Curves!$AZ$8:$AZ$68,BK$4-$B23+1)</f>
        <v/>
      </c>
      <c r="BL23" s="75">
        <f>$C23*INDEX(Curves!$AZ$8:$AZ$68,BL$4-$B23+1)</f>
        <v/>
      </c>
    </row>
    <row r="24">
      <c r="A24" s="74" t="inlineStr">
        <is>
          <t>Cohort month 15</t>
        </is>
      </c>
      <c r="B24" s="74" t="n">
        <v>15</v>
      </c>
      <c r="C24" s="17">
        <f>INDEX(Ops!$E$110:$BL$110,1,$B24)</f>
        <v/>
      </c>
      <c r="T24" s="75">
        <f>$C24*INDEX(Curves!$AZ$8:$AZ$68,T$4-$B24+1)</f>
        <v/>
      </c>
      <c r="U24" s="75">
        <f>$C24*INDEX(Curves!$AZ$8:$AZ$68,U$4-$B24+1)</f>
        <v/>
      </c>
      <c r="V24" s="75">
        <f>$C24*INDEX(Curves!$AZ$8:$AZ$68,V$4-$B24+1)</f>
        <v/>
      </c>
      <c r="W24" s="75">
        <f>$C24*INDEX(Curves!$AZ$8:$AZ$68,W$4-$B24+1)</f>
        <v/>
      </c>
      <c r="X24" s="75">
        <f>$C24*INDEX(Curves!$AZ$8:$AZ$68,X$4-$B24+1)</f>
        <v/>
      </c>
      <c r="Y24" s="75">
        <f>$C24*INDEX(Curves!$AZ$8:$AZ$68,Y$4-$B24+1)</f>
        <v/>
      </c>
      <c r="Z24" s="75">
        <f>$C24*INDEX(Curves!$AZ$8:$AZ$68,Z$4-$B24+1)</f>
        <v/>
      </c>
      <c r="AA24" s="75">
        <f>$C24*INDEX(Curves!$AZ$8:$AZ$68,AA$4-$B24+1)</f>
        <v/>
      </c>
      <c r="AB24" s="75">
        <f>$C24*INDEX(Curves!$AZ$8:$AZ$68,AB$4-$B24+1)</f>
        <v/>
      </c>
      <c r="AC24" s="75">
        <f>$C24*INDEX(Curves!$AZ$8:$AZ$68,AC$4-$B24+1)</f>
        <v/>
      </c>
      <c r="AD24" s="75">
        <f>$C24*INDEX(Curves!$AZ$8:$AZ$68,AD$4-$B24+1)</f>
        <v/>
      </c>
      <c r="AE24" s="75">
        <f>$C24*INDEX(Curves!$AZ$8:$AZ$68,AE$4-$B24+1)</f>
        <v/>
      </c>
      <c r="AF24" s="75">
        <f>$C24*INDEX(Curves!$AZ$8:$AZ$68,AF$4-$B24+1)</f>
        <v/>
      </c>
      <c r="AG24" s="75">
        <f>$C24*INDEX(Curves!$AZ$8:$AZ$68,AG$4-$B24+1)</f>
        <v/>
      </c>
      <c r="AH24" s="75">
        <f>$C24*INDEX(Curves!$AZ$8:$AZ$68,AH$4-$B24+1)</f>
        <v/>
      </c>
      <c r="AI24" s="75">
        <f>$C24*INDEX(Curves!$AZ$8:$AZ$68,AI$4-$B24+1)</f>
        <v/>
      </c>
      <c r="AJ24" s="75">
        <f>$C24*INDEX(Curves!$AZ$8:$AZ$68,AJ$4-$B24+1)</f>
        <v/>
      </c>
      <c r="AK24" s="75">
        <f>$C24*INDEX(Curves!$AZ$8:$AZ$68,AK$4-$B24+1)</f>
        <v/>
      </c>
      <c r="AL24" s="75">
        <f>$C24*INDEX(Curves!$AZ$8:$AZ$68,AL$4-$B24+1)</f>
        <v/>
      </c>
      <c r="AM24" s="75">
        <f>$C24*INDEX(Curves!$AZ$8:$AZ$68,AM$4-$B24+1)</f>
        <v/>
      </c>
      <c r="AN24" s="75">
        <f>$C24*INDEX(Curves!$AZ$8:$AZ$68,AN$4-$B24+1)</f>
        <v/>
      </c>
      <c r="AO24" s="75">
        <f>$C24*INDEX(Curves!$AZ$8:$AZ$68,AO$4-$B24+1)</f>
        <v/>
      </c>
      <c r="AP24" s="75">
        <f>$C24*INDEX(Curves!$AZ$8:$AZ$68,AP$4-$B24+1)</f>
        <v/>
      </c>
      <c r="AQ24" s="75">
        <f>$C24*INDEX(Curves!$AZ$8:$AZ$68,AQ$4-$B24+1)</f>
        <v/>
      </c>
      <c r="AR24" s="75">
        <f>$C24*INDEX(Curves!$AZ$8:$AZ$68,AR$4-$B24+1)</f>
        <v/>
      </c>
      <c r="AS24" s="75">
        <f>$C24*INDEX(Curves!$AZ$8:$AZ$68,AS$4-$B24+1)</f>
        <v/>
      </c>
      <c r="AT24" s="75">
        <f>$C24*INDEX(Curves!$AZ$8:$AZ$68,AT$4-$B24+1)</f>
        <v/>
      </c>
      <c r="AU24" s="75">
        <f>$C24*INDEX(Curves!$AZ$8:$AZ$68,AU$4-$B24+1)</f>
        <v/>
      </c>
      <c r="AV24" s="75">
        <f>$C24*INDEX(Curves!$AZ$8:$AZ$68,AV$4-$B24+1)</f>
        <v/>
      </c>
      <c r="AW24" s="75">
        <f>$C24*INDEX(Curves!$AZ$8:$AZ$68,AW$4-$B24+1)</f>
        <v/>
      </c>
      <c r="AX24" s="75">
        <f>$C24*INDEX(Curves!$AZ$8:$AZ$68,AX$4-$B24+1)</f>
        <v/>
      </c>
      <c r="AY24" s="75">
        <f>$C24*INDEX(Curves!$AZ$8:$AZ$68,AY$4-$B24+1)</f>
        <v/>
      </c>
      <c r="AZ24" s="75">
        <f>$C24*INDEX(Curves!$AZ$8:$AZ$68,AZ$4-$B24+1)</f>
        <v/>
      </c>
      <c r="BA24" s="75">
        <f>$C24*INDEX(Curves!$AZ$8:$AZ$68,BA$4-$B24+1)</f>
        <v/>
      </c>
      <c r="BB24" s="75">
        <f>$C24*INDEX(Curves!$AZ$8:$AZ$68,BB$4-$B24+1)</f>
        <v/>
      </c>
      <c r="BC24" s="75">
        <f>$C24*INDEX(Curves!$AZ$8:$AZ$68,BC$4-$B24+1)</f>
        <v/>
      </c>
      <c r="BD24" s="75">
        <f>$C24*INDEX(Curves!$AZ$8:$AZ$68,BD$4-$B24+1)</f>
        <v/>
      </c>
      <c r="BE24" s="75">
        <f>$C24*INDEX(Curves!$AZ$8:$AZ$68,BE$4-$B24+1)</f>
        <v/>
      </c>
      <c r="BF24" s="75">
        <f>$C24*INDEX(Curves!$AZ$8:$AZ$68,BF$4-$B24+1)</f>
        <v/>
      </c>
      <c r="BG24" s="75">
        <f>$C24*INDEX(Curves!$AZ$8:$AZ$68,BG$4-$B24+1)</f>
        <v/>
      </c>
      <c r="BH24" s="75">
        <f>$C24*INDEX(Curves!$AZ$8:$AZ$68,BH$4-$B24+1)</f>
        <v/>
      </c>
      <c r="BI24" s="75">
        <f>$C24*INDEX(Curves!$AZ$8:$AZ$68,BI$4-$B24+1)</f>
        <v/>
      </c>
      <c r="BJ24" s="75">
        <f>$C24*INDEX(Curves!$AZ$8:$AZ$68,BJ$4-$B24+1)</f>
        <v/>
      </c>
      <c r="BK24" s="75">
        <f>$C24*INDEX(Curves!$AZ$8:$AZ$68,BK$4-$B24+1)</f>
        <v/>
      </c>
      <c r="BL24" s="75">
        <f>$C24*INDEX(Curves!$AZ$8:$AZ$68,BL$4-$B24+1)</f>
        <v/>
      </c>
    </row>
    <row r="25">
      <c r="A25" s="74" t="inlineStr">
        <is>
          <t>Cohort month 16</t>
        </is>
      </c>
      <c r="B25" s="74" t="n">
        <v>16</v>
      </c>
      <c r="C25" s="17">
        <f>INDEX(Ops!$E$110:$BL$110,1,$B25)</f>
        <v/>
      </c>
      <c r="U25" s="75">
        <f>$C25*INDEX(Curves!$AZ$8:$AZ$68,U$4-$B25+1)</f>
        <v/>
      </c>
      <c r="V25" s="75">
        <f>$C25*INDEX(Curves!$AZ$8:$AZ$68,V$4-$B25+1)</f>
        <v/>
      </c>
      <c r="W25" s="75">
        <f>$C25*INDEX(Curves!$AZ$8:$AZ$68,W$4-$B25+1)</f>
        <v/>
      </c>
      <c r="X25" s="75">
        <f>$C25*INDEX(Curves!$AZ$8:$AZ$68,X$4-$B25+1)</f>
        <v/>
      </c>
      <c r="Y25" s="75">
        <f>$C25*INDEX(Curves!$AZ$8:$AZ$68,Y$4-$B25+1)</f>
        <v/>
      </c>
      <c r="Z25" s="75">
        <f>$C25*INDEX(Curves!$AZ$8:$AZ$68,Z$4-$B25+1)</f>
        <v/>
      </c>
      <c r="AA25" s="75">
        <f>$C25*INDEX(Curves!$AZ$8:$AZ$68,AA$4-$B25+1)</f>
        <v/>
      </c>
      <c r="AB25" s="75">
        <f>$C25*INDEX(Curves!$AZ$8:$AZ$68,AB$4-$B25+1)</f>
        <v/>
      </c>
      <c r="AC25" s="75">
        <f>$C25*INDEX(Curves!$AZ$8:$AZ$68,AC$4-$B25+1)</f>
        <v/>
      </c>
      <c r="AD25" s="75">
        <f>$C25*INDEX(Curves!$AZ$8:$AZ$68,AD$4-$B25+1)</f>
        <v/>
      </c>
      <c r="AE25" s="75">
        <f>$C25*INDEX(Curves!$AZ$8:$AZ$68,AE$4-$B25+1)</f>
        <v/>
      </c>
      <c r="AF25" s="75">
        <f>$C25*INDEX(Curves!$AZ$8:$AZ$68,AF$4-$B25+1)</f>
        <v/>
      </c>
      <c r="AG25" s="75">
        <f>$C25*INDEX(Curves!$AZ$8:$AZ$68,AG$4-$B25+1)</f>
        <v/>
      </c>
      <c r="AH25" s="75">
        <f>$C25*INDEX(Curves!$AZ$8:$AZ$68,AH$4-$B25+1)</f>
        <v/>
      </c>
      <c r="AI25" s="75">
        <f>$C25*INDEX(Curves!$AZ$8:$AZ$68,AI$4-$B25+1)</f>
        <v/>
      </c>
      <c r="AJ25" s="75">
        <f>$C25*INDEX(Curves!$AZ$8:$AZ$68,AJ$4-$B25+1)</f>
        <v/>
      </c>
      <c r="AK25" s="75">
        <f>$C25*INDEX(Curves!$AZ$8:$AZ$68,AK$4-$B25+1)</f>
        <v/>
      </c>
      <c r="AL25" s="75">
        <f>$C25*INDEX(Curves!$AZ$8:$AZ$68,AL$4-$B25+1)</f>
        <v/>
      </c>
      <c r="AM25" s="75">
        <f>$C25*INDEX(Curves!$AZ$8:$AZ$68,AM$4-$B25+1)</f>
        <v/>
      </c>
      <c r="AN25" s="75">
        <f>$C25*INDEX(Curves!$AZ$8:$AZ$68,AN$4-$B25+1)</f>
        <v/>
      </c>
      <c r="AO25" s="75">
        <f>$C25*INDEX(Curves!$AZ$8:$AZ$68,AO$4-$B25+1)</f>
        <v/>
      </c>
      <c r="AP25" s="75">
        <f>$C25*INDEX(Curves!$AZ$8:$AZ$68,AP$4-$B25+1)</f>
        <v/>
      </c>
      <c r="AQ25" s="75">
        <f>$C25*INDEX(Curves!$AZ$8:$AZ$68,AQ$4-$B25+1)</f>
        <v/>
      </c>
      <c r="AR25" s="75">
        <f>$C25*INDEX(Curves!$AZ$8:$AZ$68,AR$4-$B25+1)</f>
        <v/>
      </c>
      <c r="AS25" s="75">
        <f>$C25*INDEX(Curves!$AZ$8:$AZ$68,AS$4-$B25+1)</f>
        <v/>
      </c>
      <c r="AT25" s="75">
        <f>$C25*INDEX(Curves!$AZ$8:$AZ$68,AT$4-$B25+1)</f>
        <v/>
      </c>
      <c r="AU25" s="75">
        <f>$C25*INDEX(Curves!$AZ$8:$AZ$68,AU$4-$B25+1)</f>
        <v/>
      </c>
      <c r="AV25" s="75">
        <f>$C25*INDEX(Curves!$AZ$8:$AZ$68,AV$4-$B25+1)</f>
        <v/>
      </c>
      <c r="AW25" s="75">
        <f>$C25*INDEX(Curves!$AZ$8:$AZ$68,AW$4-$B25+1)</f>
        <v/>
      </c>
      <c r="AX25" s="75">
        <f>$C25*INDEX(Curves!$AZ$8:$AZ$68,AX$4-$B25+1)</f>
        <v/>
      </c>
      <c r="AY25" s="75">
        <f>$C25*INDEX(Curves!$AZ$8:$AZ$68,AY$4-$B25+1)</f>
        <v/>
      </c>
      <c r="AZ25" s="75">
        <f>$C25*INDEX(Curves!$AZ$8:$AZ$68,AZ$4-$B25+1)</f>
        <v/>
      </c>
      <c r="BA25" s="75">
        <f>$C25*INDEX(Curves!$AZ$8:$AZ$68,BA$4-$B25+1)</f>
        <v/>
      </c>
      <c r="BB25" s="75">
        <f>$C25*INDEX(Curves!$AZ$8:$AZ$68,BB$4-$B25+1)</f>
        <v/>
      </c>
      <c r="BC25" s="75">
        <f>$C25*INDEX(Curves!$AZ$8:$AZ$68,BC$4-$B25+1)</f>
        <v/>
      </c>
      <c r="BD25" s="75">
        <f>$C25*INDEX(Curves!$AZ$8:$AZ$68,BD$4-$B25+1)</f>
        <v/>
      </c>
      <c r="BE25" s="75">
        <f>$C25*INDEX(Curves!$AZ$8:$AZ$68,BE$4-$B25+1)</f>
        <v/>
      </c>
      <c r="BF25" s="75">
        <f>$C25*INDEX(Curves!$AZ$8:$AZ$68,BF$4-$B25+1)</f>
        <v/>
      </c>
      <c r="BG25" s="75">
        <f>$C25*INDEX(Curves!$AZ$8:$AZ$68,BG$4-$B25+1)</f>
        <v/>
      </c>
      <c r="BH25" s="75">
        <f>$C25*INDEX(Curves!$AZ$8:$AZ$68,BH$4-$B25+1)</f>
        <v/>
      </c>
      <c r="BI25" s="75">
        <f>$C25*INDEX(Curves!$AZ$8:$AZ$68,BI$4-$B25+1)</f>
        <v/>
      </c>
      <c r="BJ25" s="75">
        <f>$C25*INDEX(Curves!$AZ$8:$AZ$68,BJ$4-$B25+1)</f>
        <v/>
      </c>
      <c r="BK25" s="75">
        <f>$C25*INDEX(Curves!$AZ$8:$AZ$68,BK$4-$B25+1)</f>
        <v/>
      </c>
      <c r="BL25" s="75">
        <f>$C25*INDEX(Curves!$AZ$8:$AZ$68,BL$4-$B25+1)</f>
        <v/>
      </c>
    </row>
    <row r="26">
      <c r="A26" s="74" t="inlineStr">
        <is>
          <t>Cohort month 17</t>
        </is>
      </c>
      <c r="B26" s="74" t="n">
        <v>17</v>
      </c>
      <c r="C26" s="17">
        <f>INDEX(Ops!$E$110:$BL$110,1,$B26)</f>
        <v/>
      </c>
      <c r="V26" s="75">
        <f>$C26*INDEX(Curves!$AZ$8:$AZ$68,V$4-$B26+1)</f>
        <v/>
      </c>
      <c r="W26" s="75">
        <f>$C26*INDEX(Curves!$AZ$8:$AZ$68,W$4-$B26+1)</f>
        <v/>
      </c>
      <c r="X26" s="75">
        <f>$C26*INDEX(Curves!$AZ$8:$AZ$68,X$4-$B26+1)</f>
        <v/>
      </c>
      <c r="Y26" s="75">
        <f>$C26*INDEX(Curves!$AZ$8:$AZ$68,Y$4-$B26+1)</f>
        <v/>
      </c>
      <c r="Z26" s="75">
        <f>$C26*INDEX(Curves!$AZ$8:$AZ$68,Z$4-$B26+1)</f>
        <v/>
      </c>
      <c r="AA26" s="75">
        <f>$C26*INDEX(Curves!$AZ$8:$AZ$68,AA$4-$B26+1)</f>
        <v/>
      </c>
      <c r="AB26" s="75">
        <f>$C26*INDEX(Curves!$AZ$8:$AZ$68,AB$4-$B26+1)</f>
        <v/>
      </c>
      <c r="AC26" s="75">
        <f>$C26*INDEX(Curves!$AZ$8:$AZ$68,AC$4-$B26+1)</f>
        <v/>
      </c>
      <c r="AD26" s="75">
        <f>$C26*INDEX(Curves!$AZ$8:$AZ$68,AD$4-$B26+1)</f>
        <v/>
      </c>
      <c r="AE26" s="75">
        <f>$C26*INDEX(Curves!$AZ$8:$AZ$68,AE$4-$B26+1)</f>
        <v/>
      </c>
      <c r="AF26" s="75">
        <f>$C26*INDEX(Curves!$AZ$8:$AZ$68,AF$4-$B26+1)</f>
        <v/>
      </c>
      <c r="AG26" s="75">
        <f>$C26*INDEX(Curves!$AZ$8:$AZ$68,AG$4-$B26+1)</f>
        <v/>
      </c>
      <c r="AH26" s="75">
        <f>$C26*INDEX(Curves!$AZ$8:$AZ$68,AH$4-$B26+1)</f>
        <v/>
      </c>
      <c r="AI26" s="75">
        <f>$C26*INDEX(Curves!$AZ$8:$AZ$68,AI$4-$B26+1)</f>
        <v/>
      </c>
      <c r="AJ26" s="75">
        <f>$C26*INDEX(Curves!$AZ$8:$AZ$68,AJ$4-$B26+1)</f>
        <v/>
      </c>
      <c r="AK26" s="75">
        <f>$C26*INDEX(Curves!$AZ$8:$AZ$68,AK$4-$B26+1)</f>
        <v/>
      </c>
      <c r="AL26" s="75">
        <f>$C26*INDEX(Curves!$AZ$8:$AZ$68,AL$4-$B26+1)</f>
        <v/>
      </c>
      <c r="AM26" s="75">
        <f>$C26*INDEX(Curves!$AZ$8:$AZ$68,AM$4-$B26+1)</f>
        <v/>
      </c>
      <c r="AN26" s="75">
        <f>$C26*INDEX(Curves!$AZ$8:$AZ$68,AN$4-$B26+1)</f>
        <v/>
      </c>
      <c r="AO26" s="75">
        <f>$C26*INDEX(Curves!$AZ$8:$AZ$68,AO$4-$B26+1)</f>
        <v/>
      </c>
      <c r="AP26" s="75">
        <f>$C26*INDEX(Curves!$AZ$8:$AZ$68,AP$4-$B26+1)</f>
        <v/>
      </c>
      <c r="AQ26" s="75">
        <f>$C26*INDEX(Curves!$AZ$8:$AZ$68,AQ$4-$B26+1)</f>
        <v/>
      </c>
      <c r="AR26" s="75">
        <f>$C26*INDEX(Curves!$AZ$8:$AZ$68,AR$4-$B26+1)</f>
        <v/>
      </c>
      <c r="AS26" s="75">
        <f>$C26*INDEX(Curves!$AZ$8:$AZ$68,AS$4-$B26+1)</f>
        <v/>
      </c>
      <c r="AT26" s="75">
        <f>$C26*INDEX(Curves!$AZ$8:$AZ$68,AT$4-$B26+1)</f>
        <v/>
      </c>
      <c r="AU26" s="75">
        <f>$C26*INDEX(Curves!$AZ$8:$AZ$68,AU$4-$B26+1)</f>
        <v/>
      </c>
      <c r="AV26" s="75">
        <f>$C26*INDEX(Curves!$AZ$8:$AZ$68,AV$4-$B26+1)</f>
        <v/>
      </c>
      <c r="AW26" s="75">
        <f>$C26*INDEX(Curves!$AZ$8:$AZ$68,AW$4-$B26+1)</f>
        <v/>
      </c>
      <c r="AX26" s="75">
        <f>$C26*INDEX(Curves!$AZ$8:$AZ$68,AX$4-$B26+1)</f>
        <v/>
      </c>
      <c r="AY26" s="75">
        <f>$C26*INDEX(Curves!$AZ$8:$AZ$68,AY$4-$B26+1)</f>
        <v/>
      </c>
      <c r="AZ26" s="75">
        <f>$C26*INDEX(Curves!$AZ$8:$AZ$68,AZ$4-$B26+1)</f>
        <v/>
      </c>
      <c r="BA26" s="75">
        <f>$C26*INDEX(Curves!$AZ$8:$AZ$68,BA$4-$B26+1)</f>
        <v/>
      </c>
      <c r="BB26" s="75">
        <f>$C26*INDEX(Curves!$AZ$8:$AZ$68,BB$4-$B26+1)</f>
        <v/>
      </c>
      <c r="BC26" s="75">
        <f>$C26*INDEX(Curves!$AZ$8:$AZ$68,BC$4-$B26+1)</f>
        <v/>
      </c>
      <c r="BD26" s="75">
        <f>$C26*INDEX(Curves!$AZ$8:$AZ$68,BD$4-$B26+1)</f>
        <v/>
      </c>
      <c r="BE26" s="75">
        <f>$C26*INDEX(Curves!$AZ$8:$AZ$68,BE$4-$B26+1)</f>
        <v/>
      </c>
      <c r="BF26" s="75">
        <f>$C26*INDEX(Curves!$AZ$8:$AZ$68,BF$4-$B26+1)</f>
        <v/>
      </c>
      <c r="BG26" s="75">
        <f>$C26*INDEX(Curves!$AZ$8:$AZ$68,BG$4-$B26+1)</f>
        <v/>
      </c>
      <c r="BH26" s="75">
        <f>$C26*INDEX(Curves!$AZ$8:$AZ$68,BH$4-$B26+1)</f>
        <v/>
      </c>
      <c r="BI26" s="75">
        <f>$C26*INDEX(Curves!$AZ$8:$AZ$68,BI$4-$B26+1)</f>
        <v/>
      </c>
      <c r="BJ26" s="75">
        <f>$C26*INDEX(Curves!$AZ$8:$AZ$68,BJ$4-$B26+1)</f>
        <v/>
      </c>
      <c r="BK26" s="75">
        <f>$C26*INDEX(Curves!$AZ$8:$AZ$68,BK$4-$B26+1)</f>
        <v/>
      </c>
      <c r="BL26" s="75">
        <f>$C26*INDEX(Curves!$AZ$8:$AZ$68,BL$4-$B26+1)</f>
        <v/>
      </c>
    </row>
    <row r="27">
      <c r="A27" s="74" t="inlineStr">
        <is>
          <t>Cohort month 18</t>
        </is>
      </c>
      <c r="B27" s="74" t="n">
        <v>18</v>
      </c>
      <c r="C27" s="17">
        <f>INDEX(Ops!$E$110:$BL$110,1,$B27)</f>
        <v/>
      </c>
      <c r="W27" s="75">
        <f>$C27*INDEX(Curves!$AZ$8:$AZ$68,W$4-$B27+1)</f>
        <v/>
      </c>
      <c r="X27" s="75">
        <f>$C27*INDEX(Curves!$AZ$8:$AZ$68,X$4-$B27+1)</f>
        <v/>
      </c>
      <c r="Y27" s="75">
        <f>$C27*INDEX(Curves!$AZ$8:$AZ$68,Y$4-$B27+1)</f>
        <v/>
      </c>
      <c r="Z27" s="75">
        <f>$C27*INDEX(Curves!$AZ$8:$AZ$68,Z$4-$B27+1)</f>
        <v/>
      </c>
      <c r="AA27" s="75">
        <f>$C27*INDEX(Curves!$AZ$8:$AZ$68,AA$4-$B27+1)</f>
        <v/>
      </c>
      <c r="AB27" s="75">
        <f>$C27*INDEX(Curves!$AZ$8:$AZ$68,AB$4-$B27+1)</f>
        <v/>
      </c>
      <c r="AC27" s="75">
        <f>$C27*INDEX(Curves!$AZ$8:$AZ$68,AC$4-$B27+1)</f>
        <v/>
      </c>
      <c r="AD27" s="75">
        <f>$C27*INDEX(Curves!$AZ$8:$AZ$68,AD$4-$B27+1)</f>
        <v/>
      </c>
      <c r="AE27" s="75">
        <f>$C27*INDEX(Curves!$AZ$8:$AZ$68,AE$4-$B27+1)</f>
        <v/>
      </c>
      <c r="AF27" s="75">
        <f>$C27*INDEX(Curves!$AZ$8:$AZ$68,AF$4-$B27+1)</f>
        <v/>
      </c>
      <c r="AG27" s="75">
        <f>$C27*INDEX(Curves!$AZ$8:$AZ$68,AG$4-$B27+1)</f>
        <v/>
      </c>
      <c r="AH27" s="75">
        <f>$C27*INDEX(Curves!$AZ$8:$AZ$68,AH$4-$B27+1)</f>
        <v/>
      </c>
      <c r="AI27" s="75">
        <f>$C27*INDEX(Curves!$AZ$8:$AZ$68,AI$4-$B27+1)</f>
        <v/>
      </c>
      <c r="AJ27" s="75">
        <f>$C27*INDEX(Curves!$AZ$8:$AZ$68,AJ$4-$B27+1)</f>
        <v/>
      </c>
      <c r="AK27" s="75">
        <f>$C27*INDEX(Curves!$AZ$8:$AZ$68,AK$4-$B27+1)</f>
        <v/>
      </c>
      <c r="AL27" s="75">
        <f>$C27*INDEX(Curves!$AZ$8:$AZ$68,AL$4-$B27+1)</f>
        <v/>
      </c>
      <c r="AM27" s="75">
        <f>$C27*INDEX(Curves!$AZ$8:$AZ$68,AM$4-$B27+1)</f>
        <v/>
      </c>
      <c r="AN27" s="75">
        <f>$C27*INDEX(Curves!$AZ$8:$AZ$68,AN$4-$B27+1)</f>
        <v/>
      </c>
      <c r="AO27" s="75">
        <f>$C27*INDEX(Curves!$AZ$8:$AZ$68,AO$4-$B27+1)</f>
        <v/>
      </c>
      <c r="AP27" s="75">
        <f>$C27*INDEX(Curves!$AZ$8:$AZ$68,AP$4-$B27+1)</f>
        <v/>
      </c>
      <c r="AQ27" s="75">
        <f>$C27*INDEX(Curves!$AZ$8:$AZ$68,AQ$4-$B27+1)</f>
        <v/>
      </c>
      <c r="AR27" s="75">
        <f>$C27*INDEX(Curves!$AZ$8:$AZ$68,AR$4-$B27+1)</f>
        <v/>
      </c>
      <c r="AS27" s="75">
        <f>$C27*INDEX(Curves!$AZ$8:$AZ$68,AS$4-$B27+1)</f>
        <v/>
      </c>
      <c r="AT27" s="75">
        <f>$C27*INDEX(Curves!$AZ$8:$AZ$68,AT$4-$B27+1)</f>
        <v/>
      </c>
      <c r="AU27" s="75">
        <f>$C27*INDEX(Curves!$AZ$8:$AZ$68,AU$4-$B27+1)</f>
        <v/>
      </c>
      <c r="AV27" s="75">
        <f>$C27*INDEX(Curves!$AZ$8:$AZ$68,AV$4-$B27+1)</f>
        <v/>
      </c>
      <c r="AW27" s="75">
        <f>$C27*INDEX(Curves!$AZ$8:$AZ$68,AW$4-$B27+1)</f>
        <v/>
      </c>
      <c r="AX27" s="75">
        <f>$C27*INDEX(Curves!$AZ$8:$AZ$68,AX$4-$B27+1)</f>
        <v/>
      </c>
      <c r="AY27" s="75">
        <f>$C27*INDEX(Curves!$AZ$8:$AZ$68,AY$4-$B27+1)</f>
        <v/>
      </c>
      <c r="AZ27" s="75">
        <f>$C27*INDEX(Curves!$AZ$8:$AZ$68,AZ$4-$B27+1)</f>
        <v/>
      </c>
      <c r="BA27" s="75">
        <f>$C27*INDEX(Curves!$AZ$8:$AZ$68,BA$4-$B27+1)</f>
        <v/>
      </c>
      <c r="BB27" s="75">
        <f>$C27*INDEX(Curves!$AZ$8:$AZ$68,BB$4-$B27+1)</f>
        <v/>
      </c>
      <c r="BC27" s="75">
        <f>$C27*INDEX(Curves!$AZ$8:$AZ$68,BC$4-$B27+1)</f>
        <v/>
      </c>
      <c r="BD27" s="75">
        <f>$C27*INDEX(Curves!$AZ$8:$AZ$68,BD$4-$B27+1)</f>
        <v/>
      </c>
      <c r="BE27" s="75">
        <f>$C27*INDEX(Curves!$AZ$8:$AZ$68,BE$4-$B27+1)</f>
        <v/>
      </c>
      <c r="BF27" s="75">
        <f>$C27*INDEX(Curves!$AZ$8:$AZ$68,BF$4-$B27+1)</f>
        <v/>
      </c>
      <c r="BG27" s="75">
        <f>$C27*INDEX(Curves!$AZ$8:$AZ$68,BG$4-$B27+1)</f>
        <v/>
      </c>
      <c r="BH27" s="75">
        <f>$C27*INDEX(Curves!$AZ$8:$AZ$68,BH$4-$B27+1)</f>
        <v/>
      </c>
      <c r="BI27" s="75">
        <f>$C27*INDEX(Curves!$AZ$8:$AZ$68,BI$4-$B27+1)</f>
        <v/>
      </c>
      <c r="BJ27" s="75">
        <f>$C27*INDEX(Curves!$AZ$8:$AZ$68,BJ$4-$B27+1)</f>
        <v/>
      </c>
      <c r="BK27" s="75">
        <f>$C27*INDEX(Curves!$AZ$8:$AZ$68,BK$4-$B27+1)</f>
        <v/>
      </c>
      <c r="BL27" s="75">
        <f>$C27*INDEX(Curves!$AZ$8:$AZ$68,BL$4-$B27+1)</f>
        <v/>
      </c>
    </row>
    <row r="28">
      <c r="A28" s="74" t="inlineStr">
        <is>
          <t>Cohort month 19</t>
        </is>
      </c>
      <c r="B28" s="74" t="n">
        <v>19</v>
      </c>
      <c r="C28" s="17">
        <f>INDEX(Ops!$E$110:$BL$110,1,$B28)</f>
        <v/>
      </c>
      <c r="X28" s="75">
        <f>$C28*INDEX(Curves!$AZ$8:$AZ$68,X$4-$B28+1)</f>
        <v/>
      </c>
      <c r="Y28" s="75">
        <f>$C28*INDEX(Curves!$AZ$8:$AZ$68,Y$4-$B28+1)</f>
        <v/>
      </c>
      <c r="Z28" s="75">
        <f>$C28*INDEX(Curves!$AZ$8:$AZ$68,Z$4-$B28+1)</f>
        <v/>
      </c>
      <c r="AA28" s="75">
        <f>$C28*INDEX(Curves!$AZ$8:$AZ$68,AA$4-$B28+1)</f>
        <v/>
      </c>
      <c r="AB28" s="75">
        <f>$C28*INDEX(Curves!$AZ$8:$AZ$68,AB$4-$B28+1)</f>
        <v/>
      </c>
      <c r="AC28" s="75">
        <f>$C28*INDEX(Curves!$AZ$8:$AZ$68,AC$4-$B28+1)</f>
        <v/>
      </c>
      <c r="AD28" s="75">
        <f>$C28*INDEX(Curves!$AZ$8:$AZ$68,AD$4-$B28+1)</f>
        <v/>
      </c>
      <c r="AE28" s="75">
        <f>$C28*INDEX(Curves!$AZ$8:$AZ$68,AE$4-$B28+1)</f>
        <v/>
      </c>
      <c r="AF28" s="75">
        <f>$C28*INDEX(Curves!$AZ$8:$AZ$68,AF$4-$B28+1)</f>
        <v/>
      </c>
      <c r="AG28" s="75">
        <f>$C28*INDEX(Curves!$AZ$8:$AZ$68,AG$4-$B28+1)</f>
        <v/>
      </c>
      <c r="AH28" s="75">
        <f>$C28*INDEX(Curves!$AZ$8:$AZ$68,AH$4-$B28+1)</f>
        <v/>
      </c>
      <c r="AI28" s="75">
        <f>$C28*INDEX(Curves!$AZ$8:$AZ$68,AI$4-$B28+1)</f>
        <v/>
      </c>
      <c r="AJ28" s="75">
        <f>$C28*INDEX(Curves!$AZ$8:$AZ$68,AJ$4-$B28+1)</f>
        <v/>
      </c>
      <c r="AK28" s="75">
        <f>$C28*INDEX(Curves!$AZ$8:$AZ$68,AK$4-$B28+1)</f>
        <v/>
      </c>
      <c r="AL28" s="75">
        <f>$C28*INDEX(Curves!$AZ$8:$AZ$68,AL$4-$B28+1)</f>
        <v/>
      </c>
      <c r="AM28" s="75">
        <f>$C28*INDEX(Curves!$AZ$8:$AZ$68,AM$4-$B28+1)</f>
        <v/>
      </c>
      <c r="AN28" s="75">
        <f>$C28*INDEX(Curves!$AZ$8:$AZ$68,AN$4-$B28+1)</f>
        <v/>
      </c>
      <c r="AO28" s="75">
        <f>$C28*INDEX(Curves!$AZ$8:$AZ$68,AO$4-$B28+1)</f>
        <v/>
      </c>
      <c r="AP28" s="75">
        <f>$C28*INDEX(Curves!$AZ$8:$AZ$68,AP$4-$B28+1)</f>
        <v/>
      </c>
      <c r="AQ28" s="75">
        <f>$C28*INDEX(Curves!$AZ$8:$AZ$68,AQ$4-$B28+1)</f>
        <v/>
      </c>
      <c r="AR28" s="75">
        <f>$C28*INDEX(Curves!$AZ$8:$AZ$68,AR$4-$B28+1)</f>
        <v/>
      </c>
      <c r="AS28" s="75">
        <f>$C28*INDEX(Curves!$AZ$8:$AZ$68,AS$4-$B28+1)</f>
        <v/>
      </c>
      <c r="AT28" s="75">
        <f>$C28*INDEX(Curves!$AZ$8:$AZ$68,AT$4-$B28+1)</f>
        <v/>
      </c>
      <c r="AU28" s="75">
        <f>$C28*INDEX(Curves!$AZ$8:$AZ$68,AU$4-$B28+1)</f>
        <v/>
      </c>
      <c r="AV28" s="75">
        <f>$C28*INDEX(Curves!$AZ$8:$AZ$68,AV$4-$B28+1)</f>
        <v/>
      </c>
      <c r="AW28" s="75">
        <f>$C28*INDEX(Curves!$AZ$8:$AZ$68,AW$4-$B28+1)</f>
        <v/>
      </c>
      <c r="AX28" s="75">
        <f>$C28*INDEX(Curves!$AZ$8:$AZ$68,AX$4-$B28+1)</f>
        <v/>
      </c>
      <c r="AY28" s="75">
        <f>$C28*INDEX(Curves!$AZ$8:$AZ$68,AY$4-$B28+1)</f>
        <v/>
      </c>
      <c r="AZ28" s="75">
        <f>$C28*INDEX(Curves!$AZ$8:$AZ$68,AZ$4-$B28+1)</f>
        <v/>
      </c>
      <c r="BA28" s="75">
        <f>$C28*INDEX(Curves!$AZ$8:$AZ$68,BA$4-$B28+1)</f>
        <v/>
      </c>
      <c r="BB28" s="75">
        <f>$C28*INDEX(Curves!$AZ$8:$AZ$68,BB$4-$B28+1)</f>
        <v/>
      </c>
      <c r="BC28" s="75">
        <f>$C28*INDEX(Curves!$AZ$8:$AZ$68,BC$4-$B28+1)</f>
        <v/>
      </c>
      <c r="BD28" s="75">
        <f>$C28*INDEX(Curves!$AZ$8:$AZ$68,BD$4-$B28+1)</f>
        <v/>
      </c>
      <c r="BE28" s="75">
        <f>$C28*INDEX(Curves!$AZ$8:$AZ$68,BE$4-$B28+1)</f>
        <v/>
      </c>
      <c r="BF28" s="75">
        <f>$C28*INDEX(Curves!$AZ$8:$AZ$68,BF$4-$B28+1)</f>
        <v/>
      </c>
      <c r="BG28" s="75">
        <f>$C28*INDEX(Curves!$AZ$8:$AZ$68,BG$4-$B28+1)</f>
        <v/>
      </c>
      <c r="BH28" s="75">
        <f>$C28*INDEX(Curves!$AZ$8:$AZ$68,BH$4-$B28+1)</f>
        <v/>
      </c>
      <c r="BI28" s="75">
        <f>$C28*INDEX(Curves!$AZ$8:$AZ$68,BI$4-$B28+1)</f>
        <v/>
      </c>
      <c r="BJ28" s="75">
        <f>$C28*INDEX(Curves!$AZ$8:$AZ$68,BJ$4-$B28+1)</f>
        <v/>
      </c>
      <c r="BK28" s="75">
        <f>$C28*INDEX(Curves!$AZ$8:$AZ$68,BK$4-$B28+1)</f>
        <v/>
      </c>
      <c r="BL28" s="75">
        <f>$C28*INDEX(Curves!$AZ$8:$AZ$68,BL$4-$B28+1)</f>
        <v/>
      </c>
    </row>
    <row r="29">
      <c r="A29" s="74" t="inlineStr">
        <is>
          <t>Cohort month 20</t>
        </is>
      </c>
      <c r="B29" s="74" t="n">
        <v>20</v>
      </c>
      <c r="C29" s="17">
        <f>INDEX(Ops!$E$110:$BL$110,1,$B29)</f>
        <v/>
      </c>
      <c r="Y29" s="75">
        <f>$C29*INDEX(Curves!$AZ$8:$AZ$68,Y$4-$B29+1)</f>
        <v/>
      </c>
      <c r="Z29" s="75">
        <f>$C29*INDEX(Curves!$AZ$8:$AZ$68,Z$4-$B29+1)</f>
        <v/>
      </c>
      <c r="AA29" s="75">
        <f>$C29*INDEX(Curves!$AZ$8:$AZ$68,AA$4-$B29+1)</f>
        <v/>
      </c>
      <c r="AB29" s="75">
        <f>$C29*INDEX(Curves!$AZ$8:$AZ$68,AB$4-$B29+1)</f>
        <v/>
      </c>
      <c r="AC29" s="75">
        <f>$C29*INDEX(Curves!$AZ$8:$AZ$68,AC$4-$B29+1)</f>
        <v/>
      </c>
      <c r="AD29" s="75">
        <f>$C29*INDEX(Curves!$AZ$8:$AZ$68,AD$4-$B29+1)</f>
        <v/>
      </c>
      <c r="AE29" s="75">
        <f>$C29*INDEX(Curves!$AZ$8:$AZ$68,AE$4-$B29+1)</f>
        <v/>
      </c>
      <c r="AF29" s="75">
        <f>$C29*INDEX(Curves!$AZ$8:$AZ$68,AF$4-$B29+1)</f>
        <v/>
      </c>
      <c r="AG29" s="75">
        <f>$C29*INDEX(Curves!$AZ$8:$AZ$68,AG$4-$B29+1)</f>
        <v/>
      </c>
      <c r="AH29" s="75">
        <f>$C29*INDEX(Curves!$AZ$8:$AZ$68,AH$4-$B29+1)</f>
        <v/>
      </c>
      <c r="AI29" s="75">
        <f>$C29*INDEX(Curves!$AZ$8:$AZ$68,AI$4-$B29+1)</f>
        <v/>
      </c>
      <c r="AJ29" s="75">
        <f>$C29*INDEX(Curves!$AZ$8:$AZ$68,AJ$4-$B29+1)</f>
        <v/>
      </c>
      <c r="AK29" s="75">
        <f>$C29*INDEX(Curves!$AZ$8:$AZ$68,AK$4-$B29+1)</f>
        <v/>
      </c>
      <c r="AL29" s="75">
        <f>$C29*INDEX(Curves!$AZ$8:$AZ$68,AL$4-$B29+1)</f>
        <v/>
      </c>
      <c r="AM29" s="75">
        <f>$C29*INDEX(Curves!$AZ$8:$AZ$68,AM$4-$B29+1)</f>
        <v/>
      </c>
      <c r="AN29" s="75">
        <f>$C29*INDEX(Curves!$AZ$8:$AZ$68,AN$4-$B29+1)</f>
        <v/>
      </c>
      <c r="AO29" s="75">
        <f>$C29*INDEX(Curves!$AZ$8:$AZ$68,AO$4-$B29+1)</f>
        <v/>
      </c>
      <c r="AP29" s="75">
        <f>$C29*INDEX(Curves!$AZ$8:$AZ$68,AP$4-$B29+1)</f>
        <v/>
      </c>
      <c r="AQ29" s="75">
        <f>$C29*INDEX(Curves!$AZ$8:$AZ$68,AQ$4-$B29+1)</f>
        <v/>
      </c>
      <c r="AR29" s="75">
        <f>$C29*INDEX(Curves!$AZ$8:$AZ$68,AR$4-$B29+1)</f>
        <v/>
      </c>
      <c r="AS29" s="75">
        <f>$C29*INDEX(Curves!$AZ$8:$AZ$68,AS$4-$B29+1)</f>
        <v/>
      </c>
      <c r="AT29" s="75">
        <f>$C29*INDEX(Curves!$AZ$8:$AZ$68,AT$4-$B29+1)</f>
        <v/>
      </c>
      <c r="AU29" s="75">
        <f>$C29*INDEX(Curves!$AZ$8:$AZ$68,AU$4-$B29+1)</f>
        <v/>
      </c>
      <c r="AV29" s="75">
        <f>$C29*INDEX(Curves!$AZ$8:$AZ$68,AV$4-$B29+1)</f>
        <v/>
      </c>
      <c r="AW29" s="75">
        <f>$C29*INDEX(Curves!$AZ$8:$AZ$68,AW$4-$B29+1)</f>
        <v/>
      </c>
      <c r="AX29" s="75">
        <f>$C29*INDEX(Curves!$AZ$8:$AZ$68,AX$4-$B29+1)</f>
        <v/>
      </c>
      <c r="AY29" s="75">
        <f>$C29*INDEX(Curves!$AZ$8:$AZ$68,AY$4-$B29+1)</f>
        <v/>
      </c>
      <c r="AZ29" s="75">
        <f>$C29*INDEX(Curves!$AZ$8:$AZ$68,AZ$4-$B29+1)</f>
        <v/>
      </c>
      <c r="BA29" s="75">
        <f>$C29*INDEX(Curves!$AZ$8:$AZ$68,BA$4-$B29+1)</f>
        <v/>
      </c>
      <c r="BB29" s="75">
        <f>$C29*INDEX(Curves!$AZ$8:$AZ$68,BB$4-$B29+1)</f>
        <v/>
      </c>
      <c r="BC29" s="75">
        <f>$C29*INDEX(Curves!$AZ$8:$AZ$68,BC$4-$B29+1)</f>
        <v/>
      </c>
      <c r="BD29" s="75">
        <f>$C29*INDEX(Curves!$AZ$8:$AZ$68,BD$4-$B29+1)</f>
        <v/>
      </c>
      <c r="BE29" s="75">
        <f>$C29*INDEX(Curves!$AZ$8:$AZ$68,BE$4-$B29+1)</f>
        <v/>
      </c>
      <c r="BF29" s="75">
        <f>$C29*INDEX(Curves!$AZ$8:$AZ$68,BF$4-$B29+1)</f>
        <v/>
      </c>
      <c r="BG29" s="75">
        <f>$C29*INDEX(Curves!$AZ$8:$AZ$68,BG$4-$B29+1)</f>
        <v/>
      </c>
      <c r="BH29" s="75">
        <f>$C29*INDEX(Curves!$AZ$8:$AZ$68,BH$4-$B29+1)</f>
        <v/>
      </c>
      <c r="BI29" s="75">
        <f>$C29*INDEX(Curves!$AZ$8:$AZ$68,BI$4-$B29+1)</f>
        <v/>
      </c>
      <c r="BJ29" s="75">
        <f>$C29*INDEX(Curves!$AZ$8:$AZ$68,BJ$4-$B29+1)</f>
        <v/>
      </c>
      <c r="BK29" s="75">
        <f>$C29*INDEX(Curves!$AZ$8:$AZ$68,BK$4-$B29+1)</f>
        <v/>
      </c>
      <c r="BL29" s="75">
        <f>$C29*INDEX(Curves!$AZ$8:$AZ$68,BL$4-$B29+1)</f>
        <v/>
      </c>
    </row>
    <row r="30">
      <c r="A30" s="74" t="inlineStr">
        <is>
          <t>Cohort month 21</t>
        </is>
      </c>
      <c r="B30" s="74" t="n">
        <v>21</v>
      </c>
      <c r="C30" s="17">
        <f>INDEX(Ops!$E$110:$BL$110,1,$B30)</f>
        <v/>
      </c>
      <c r="Z30" s="75">
        <f>$C30*INDEX(Curves!$AZ$8:$AZ$68,Z$4-$B30+1)</f>
        <v/>
      </c>
      <c r="AA30" s="75">
        <f>$C30*INDEX(Curves!$AZ$8:$AZ$68,AA$4-$B30+1)</f>
        <v/>
      </c>
      <c r="AB30" s="75">
        <f>$C30*INDEX(Curves!$AZ$8:$AZ$68,AB$4-$B30+1)</f>
        <v/>
      </c>
      <c r="AC30" s="75">
        <f>$C30*INDEX(Curves!$AZ$8:$AZ$68,AC$4-$B30+1)</f>
        <v/>
      </c>
      <c r="AD30" s="75">
        <f>$C30*INDEX(Curves!$AZ$8:$AZ$68,AD$4-$B30+1)</f>
        <v/>
      </c>
      <c r="AE30" s="75">
        <f>$C30*INDEX(Curves!$AZ$8:$AZ$68,AE$4-$B30+1)</f>
        <v/>
      </c>
      <c r="AF30" s="75">
        <f>$C30*INDEX(Curves!$AZ$8:$AZ$68,AF$4-$B30+1)</f>
        <v/>
      </c>
      <c r="AG30" s="75">
        <f>$C30*INDEX(Curves!$AZ$8:$AZ$68,AG$4-$B30+1)</f>
        <v/>
      </c>
      <c r="AH30" s="75">
        <f>$C30*INDEX(Curves!$AZ$8:$AZ$68,AH$4-$B30+1)</f>
        <v/>
      </c>
      <c r="AI30" s="75">
        <f>$C30*INDEX(Curves!$AZ$8:$AZ$68,AI$4-$B30+1)</f>
        <v/>
      </c>
      <c r="AJ30" s="75">
        <f>$C30*INDEX(Curves!$AZ$8:$AZ$68,AJ$4-$B30+1)</f>
        <v/>
      </c>
      <c r="AK30" s="75">
        <f>$C30*INDEX(Curves!$AZ$8:$AZ$68,AK$4-$B30+1)</f>
        <v/>
      </c>
      <c r="AL30" s="75">
        <f>$C30*INDEX(Curves!$AZ$8:$AZ$68,AL$4-$B30+1)</f>
        <v/>
      </c>
      <c r="AM30" s="75">
        <f>$C30*INDEX(Curves!$AZ$8:$AZ$68,AM$4-$B30+1)</f>
        <v/>
      </c>
      <c r="AN30" s="75">
        <f>$C30*INDEX(Curves!$AZ$8:$AZ$68,AN$4-$B30+1)</f>
        <v/>
      </c>
      <c r="AO30" s="75">
        <f>$C30*INDEX(Curves!$AZ$8:$AZ$68,AO$4-$B30+1)</f>
        <v/>
      </c>
      <c r="AP30" s="75">
        <f>$C30*INDEX(Curves!$AZ$8:$AZ$68,AP$4-$B30+1)</f>
        <v/>
      </c>
      <c r="AQ30" s="75">
        <f>$C30*INDEX(Curves!$AZ$8:$AZ$68,AQ$4-$B30+1)</f>
        <v/>
      </c>
      <c r="AR30" s="75">
        <f>$C30*INDEX(Curves!$AZ$8:$AZ$68,AR$4-$B30+1)</f>
        <v/>
      </c>
      <c r="AS30" s="75">
        <f>$C30*INDEX(Curves!$AZ$8:$AZ$68,AS$4-$B30+1)</f>
        <v/>
      </c>
      <c r="AT30" s="75">
        <f>$C30*INDEX(Curves!$AZ$8:$AZ$68,AT$4-$B30+1)</f>
        <v/>
      </c>
      <c r="AU30" s="75">
        <f>$C30*INDEX(Curves!$AZ$8:$AZ$68,AU$4-$B30+1)</f>
        <v/>
      </c>
      <c r="AV30" s="75">
        <f>$C30*INDEX(Curves!$AZ$8:$AZ$68,AV$4-$B30+1)</f>
        <v/>
      </c>
      <c r="AW30" s="75">
        <f>$C30*INDEX(Curves!$AZ$8:$AZ$68,AW$4-$B30+1)</f>
        <v/>
      </c>
      <c r="AX30" s="75">
        <f>$C30*INDEX(Curves!$AZ$8:$AZ$68,AX$4-$B30+1)</f>
        <v/>
      </c>
      <c r="AY30" s="75">
        <f>$C30*INDEX(Curves!$AZ$8:$AZ$68,AY$4-$B30+1)</f>
        <v/>
      </c>
      <c r="AZ30" s="75">
        <f>$C30*INDEX(Curves!$AZ$8:$AZ$68,AZ$4-$B30+1)</f>
        <v/>
      </c>
      <c r="BA30" s="75">
        <f>$C30*INDEX(Curves!$AZ$8:$AZ$68,BA$4-$B30+1)</f>
        <v/>
      </c>
      <c r="BB30" s="75">
        <f>$C30*INDEX(Curves!$AZ$8:$AZ$68,BB$4-$B30+1)</f>
        <v/>
      </c>
      <c r="BC30" s="75">
        <f>$C30*INDEX(Curves!$AZ$8:$AZ$68,BC$4-$B30+1)</f>
        <v/>
      </c>
      <c r="BD30" s="75">
        <f>$C30*INDEX(Curves!$AZ$8:$AZ$68,BD$4-$B30+1)</f>
        <v/>
      </c>
      <c r="BE30" s="75">
        <f>$C30*INDEX(Curves!$AZ$8:$AZ$68,BE$4-$B30+1)</f>
        <v/>
      </c>
      <c r="BF30" s="75">
        <f>$C30*INDEX(Curves!$AZ$8:$AZ$68,BF$4-$B30+1)</f>
        <v/>
      </c>
      <c r="BG30" s="75">
        <f>$C30*INDEX(Curves!$AZ$8:$AZ$68,BG$4-$B30+1)</f>
        <v/>
      </c>
      <c r="BH30" s="75">
        <f>$C30*INDEX(Curves!$AZ$8:$AZ$68,BH$4-$B30+1)</f>
        <v/>
      </c>
      <c r="BI30" s="75">
        <f>$C30*INDEX(Curves!$AZ$8:$AZ$68,BI$4-$B30+1)</f>
        <v/>
      </c>
      <c r="BJ30" s="75">
        <f>$C30*INDEX(Curves!$AZ$8:$AZ$68,BJ$4-$B30+1)</f>
        <v/>
      </c>
      <c r="BK30" s="75">
        <f>$C30*INDEX(Curves!$AZ$8:$AZ$68,BK$4-$B30+1)</f>
        <v/>
      </c>
      <c r="BL30" s="75">
        <f>$C30*INDEX(Curves!$AZ$8:$AZ$68,BL$4-$B30+1)</f>
        <v/>
      </c>
    </row>
    <row r="31">
      <c r="A31" s="74" t="inlineStr">
        <is>
          <t>Cohort month 22</t>
        </is>
      </c>
      <c r="B31" s="74" t="n">
        <v>22</v>
      </c>
      <c r="C31" s="17">
        <f>INDEX(Ops!$E$110:$BL$110,1,$B31)</f>
        <v/>
      </c>
      <c r="AA31" s="75">
        <f>$C31*INDEX(Curves!$AZ$8:$AZ$68,AA$4-$B31+1)</f>
        <v/>
      </c>
      <c r="AB31" s="75">
        <f>$C31*INDEX(Curves!$AZ$8:$AZ$68,AB$4-$B31+1)</f>
        <v/>
      </c>
      <c r="AC31" s="75">
        <f>$C31*INDEX(Curves!$AZ$8:$AZ$68,AC$4-$B31+1)</f>
        <v/>
      </c>
      <c r="AD31" s="75">
        <f>$C31*INDEX(Curves!$AZ$8:$AZ$68,AD$4-$B31+1)</f>
        <v/>
      </c>
      <c r="AE31" s="75">
        <f>$C31*INDEX(Curves!$AZ$8:$AZ$68,AE$4-$B31+1)</f>
        <v/>
      </c>
      <c r="AF31" s="75">
        <f>$C31*INDEX(Curves!$AZ$8:$AZ$68,AF$4-$B31+1)</f>
        <v/>
      </c>
      <c r="AG31" s="75">
        <f>$C31*INDEX(Curves!$AZ$8:$AZ$68,AG$4-$B31+1)</f>
        <v/>
      </c>
      <c r="AH31" s="75">
        <f>$C31*INDEX(Curves!$AZ$8:$AZ$68,AH$4-$B31+1)</f>
        <v/>
      </c>
      <c r="AI31" s="75">
        <f>$C31*INDEX(Curves!$AZ$8:$AZ$68,AI$4-$B31+1)</f>
        <v/>
      </c>
      <c r="AJ31" s="75">
        <f>$C31*INDEX(Curves!$AZ$8:$AZ$68,AJ$4-$B31+1)</f>
        <v/>
      </c>
      <c r="AK31" s="75">
        <f>$C31*INDEX(Curves!$AZ$8:$AZ$68,AK$4-$B31+1)</f>
        <v/>
      </c>
      <c r="AL31" s="75">
        <f>$C31*INDEX(Curves!$AZ$8:$AZ$68,AL$4-$B31+1)</f>
        <v/>
      </c>
      <c r="AM31" s="75">
        <f>$C31*INDEX(Curves!$AZ$8:$AZ$68,AM$4-$B31+1)</f>
        <v/>
      </c>
      <c r="AN31" s="75">
        <f>$C31*INDEX(Curves!$AZ$8:$AZ$68,AN$4-$B31+1)</f>
        <v/>
      </c>
      <c r="AO31" s="75">
        <f>$C31*INDEX(Curves!$AZ$8:$AZ$68,AO$4-$B31+1)</f>
        <v/>
      </c>
      <c r="AP31" s="75">
        <f>$C31*INDEX(Curves!$AZ$8:$AZ$68,AP$4-$B31+1)</f>
        <v/>
      </c>
      <c r="AQ31" s="75">
        <f>$C31*INDEX(Curves!$AZ$8:$AZ$68,AQ$4-$B31+1)</f>
        <v/>
      </c>
      <c r="AR31" s="75">
        <f>$C31*INDEX(Curves!$AZ$8:$AZ$68,AR$4-$B31+1)</f>
        <v/>
      </c>
      <c r="AS31" s="75">
        <f>$C31*INDEX(Curves!$AZ$8:$AZ$68,AS$4-$B31+1)</f>
        <v/>
      </c>
      <c r="AT31" s="75">
        <f>$C31*INDEX(Curves!$AZ$8:$AZ$68,AT$4-$B31+1)</f>
        <v/>
      </c>
      <c r="AU31" s="75">
        <f>$C31*INDEX(Curves!$AZ$8:$AZ$68,AU$4-$B31+1)</f>
        <v/>
      </c>
      <c r="AV31" s="75">
        <f>$C31*INDEX(Curves!$AZ$8:$AZ$68,AV$4-$B31+1)</f>
        <v/>
      </c>
      <c r="AW31" s="75">
        <f>$C31*INDEX(Curves!$AZ$8:$AZ$68,AW$4-$B31+1)</f>
        <v/>
      </c>
      <c r="AX31" s="75">
        <f>$C31*INDEX(Curves!$AZ$8:$AZ$68,AX$4-$B31+1)</f>
        <v/>
      </c>
      <c r="AY31" s="75">
        <f>$C31*INDEX(Curves!$AZ$8:$AZ$68,AY$4-$B31+1)</f>
        <v/>
      </c>
      <c r="AZ31" s="75">
        <f>$C31*INDEX(Curves!$AZ$8:$AZ$68,AZ$4-$B31+1)</f>
        <v/>
      </c>
      <c r="BA31" s="75">
        <f>$C31*INDEX(Curves!$AZ$8:$AZ$68,BA$4-$B31+1)</f>
        <v/>
      </c>
      <c r="BB31" s="75">
        <f>$C31*INDEX(Curves!$AZ$8:$AZ$68,BB$4-$B31+1)</f>
        <v/>
      </c>
      <c r="BC31" s="75">
        <f>$C31*INDEX(Curves!$AZ$8:$AZ$68,BC$4-$B31+1)</f>
        <v/>
      </c>
      <c r="BD31" s="75">
        <f>$C31*INDEX(Curves!$AZ$8:$AZ$68,BD$4-$B31+1)</f>
        <v/>
      </c>
      <c r="BE31" s="75">
        <f>$C31*INDEX(Curves!$AZ$8:$AZ$68,BE$4-$B31+1)</f>
        <v/>
      </c>
      <c r="BF31" s="75">
        <f>$C31*INDEX(Curves!$AZ$8:$AZ$68,BF$4-$B31+1)</f>
        <v/>
      </c>
      <c r="BG31" s="75">
        <f>$C31*INDEX(Curves!$AZ$8:$AZ$68,BG$4-$B31+1)</f>
        <v/>
      </c>
      <c r="BH31" s="75">
        <f>$C31*INDEX(Curves!$AZ$8:$AZ$68,BH$4-$B31+1)</f>
        <v/>
      </c>
      <c r="BI31" s="75">
        <f>$C31*INDEX(Curves!$AZ$8:$AZ$68,BI$4-$B31+1)</f>
        <v/>
      </c>
      <c r="BJ31" s="75">
        <f>$C31*INDEX(Curves!$AZ$8:$AZ$68,BJ$4-$B31+1)</f>
        <v/>
      </c>
      <c r="BK31" s="75">
        <f>$C31*INDEX(Curves!$AZ$8:$AZ$68,BK$4-$B31+1)</f>
        <v/>
      </c>
      <c r="BL31" s="75">
        <f>$C31*INDEX(Curves!$AZ$8:$AZ$68,BL$4-$B31+1)</f>
        <v/>
      </c>
    </row>
    <row r="32">
      <c r="A32" s="74" t="inlineStr">
        <is>
          <t>Cohort month 23</t>
        </is>
      </c>
      <c r="B32" s="74" t="n">
        <v>23</v>
      </c>
      <c r="C32" s="17">
        <f>INDEX(Ops!$E$110:$BL$110,1,$B32)</f>
        <v/>
      </c>
      <c r="AB32" s="75">
        <f>$C32*INDEX(Curves!$AZ$8:$AZ$68,AB$4-$B32+1)</f>
        <v/>
      </c>
      <c r="AC32" s="75">
        <f>$C32*INDEX(Curves!$AZ$8:$AZ$68,AC$4-$B32+1)</f>
        <v/>
      </c>
      <c r="AD32" s="75">
        <f>$C32*INDEX(Curves!$AZ$8:$AZ$68,AD$4-$B32+1)</f>
        <v/>
      </c>
      <c r="AE32" s="75">
        <f>$C32*INDEX(Curves!$AZ$8:$AZ$68,AE$4-$B32+1)</f>
        <v/>
      </c>
      <c r="AF32" s="75">
        <f>$C32*INDEX(Curves!$AZ$8:$AZ$68,AF$4-$B32+1)</f>
        <v/>
      </c>
      <c r="AG32" s="75">
        <f>$C32*INDEX(Curves!$AZ$8:$AZ$68,AG$4-$B32+1)</f>
        <v/>
      </c>
      <c r="AH32" s="75">
        <f>$C32*INDEX(Curves!$AZ$8:$AZ$68,AH$4-$B32+1)</f>
        <v/>
      </c>
      <c r="AI32" s="75">
        <f>$C32*INDEX(Curves!$AZ$8:$AZ$68,AI$4-$B32+1)</f>
        <v/>
      </c>
      <c r="AJ32" s="75">
        <f>$C32*INDEX(Curves!$AZ$8:$AZ$68,AJ$4-$B32+1)</f>
        <v/>
      </c>
      <c r="AK32" s="75">
        <f>$C32*INDEX(Curves!$AZ$8:$AZ$68,AK$4-$B32+1)</f>
        <v/>
      </c>
      <c r="AL32" s="75">
        <f>$C32*INDEX(Curves!$AZ$8:$AZ$68,AL$4-$B32+1)</f>
        <v/>
      </c>
      <c r="AM32" s="75">
        <f>$C32*INDEX(Curves!$AZ$8:$AZ$68,AM$4-$B32+1)</f>
        <v/>
      </c>
      <c r="AN32" s="75">
        <f>$C32*INDEX(Curves!$AZ$8:$AZ$68,AN$4-$B32+1)</f>
        <v/>
      </c>
      <c r="AO32" s="75">
        <f>$C32*INDEX(Curves!$AZ$8:$AZ$68,AO$4-$B32+1)</f>
        <v/>
      </c>
      <c r="AP32" s="75">
        <f>$C32*INDEX(Curves!$AZ$8:$AZ$68,AP$4-$B32+1)</f>
        <v/>
      </c>
      <c r="AQ32" s="75">
        <f>$C32*INDEX(Curves!$AZ$8:$AZ$68,AQ$4-$B32+1)</f>
        <v/>
      </c>
      <c r="AR32" s="75">
        <f>$C32*INDEX(Curves!$AZ$8:$AZ$68,AR$4-$B32+1)</f>
        <v/>
      </c>
      <c r="AS32" s="75">
        <f>$C32*INDEX(Curves!$AZ$8:$AZ$68,AS$4-$B32+1)</f>
        <v/>
      </c>
      <c r="AT32" s="75">
        <f>$C32*INDEX(Curves!$AZ$8:$AZ$68,AT$4-$B32+1)</f>
        <v/>
      </c>
      <c r="AU32" s="75">
        <f>$C32*INDEX(Curves!$AZ$8:$AZ$68,AU$4-$B32+1)</f>
        <v/>
      </c>
      <c r="AV32" s="75">
        <f>$C32*INDEX(Curves!$AZ$8:$AZ$68,AV$4-$B32+1)</f>
        <v/>
      </c>
      <c r="AW32" s="75">
        <f>$C32*INDEX(Curves!$AZ$8:$AZ$68,AW$4-$B32+1)</f>
        <v/>
      </c>
      <c r="AX32" s="75">
        <f>$C32*INDEX(Curves!$AZ$8:$AZ$68,AX$4-$B32+1)</f>
        <v/>
      </c>
      <c r="AY32" s="75">
        <f>$C32*INDEX(Curves!$AZ$8:$AZ$68,AY$4-$B32+1)</f>
        <v/>
      </c>
      <c r="AZ32" s="75">
        <f>$C32*INDEX(Curves!$AZ$8:$AZ$68,AZ$4-$B32+1)</f>
        <v/>
      </c>
      <c r="BA32" s="75">
        <f>$C32*INDEX(Curves!$AZ$8:$AZ$68,BA$4-$B32+1)</f>
        <v/>
      </c>
      <c r="BB32" s="75">
        <f>$C32*INDEX(Curves!$AZ$8:$AZ$68,BB$4-$B32+1)</f>
        <v/>
      </c>
      <c r="BC32" s="75">
        <f>$C32*INDEX(Curves!$AZ$8:$AZ$68,BC$4-$B32+1)</f>
        <v/>
      </c>
      <c r="BD32" s="75">
        <f>$C32*INDEX(Curves!$AZ$8:$AZ$68,BD$4-$B32+1)</f>
        <v/>
      </c>
      <c r="BE32" s="75">
        <f>$C32*INDEX(Curves!$AZ$8:$AZ$68,BE$4-$B32+1)</f>
        <v/>
      </c>
      <c r="BF32" s="75">
        <f>$C32*INDEX(Curves!$AZ$8:$AZ$68,BF$4-$B32+1)</f>
        <v/>
      </c>
      <c r="BG32" s="75">
        <f>$C32*INDEX(Curves!$AZ$8:$AZ$68,BG$4-$B32+1)</f>
        <v/>
      </c>
      <c r="BH32" s="75">
        <f>$C32*INDEX(Curves!$AZ$8:$AZ$68,BH$4-$B32+1)</f>
        <v/>
      </c>
      <c r="BI32" s="75">
        <f>$C32*INDEX(Curves!$AZ$8:$AZ$68,BI$4-$B32+1)</f>
        <v/>
      </c>
      <c r="BJ32" s="75">
        <f>$C32*INDEX(Curves!$AZ$8:$AZ$68,BJ$4-$B32+1)</f>
        <v/>
      </c>
      <c r="BK32" s="75">
        <f>$C32*INDEX(Curves!$AZ$8:$AZ$68,BK$4-$B32+1)</f>
        <v/>
      </c>
      <c r="BL32" s="75">
        <f>$C32*INDEX(Curves!$AZ$8:$AZ$68,BL$4-$B32+1)</f>
        <v/>
      </c>
    </row>
    <row r="33">
      <c r="A33" s="74" t="inlineStr">
        <is>
          <t>Cohort month 24</t>
        </is>
      </c>
      <c r="B33" s="74" t="n">
        <v>24</v>
      </c>
      <c r="C33" s="17">
        <f>INDEX(Ops!$E$110:$BL$110,1,$B33)</f>
        <v/>
      </c>
      <c r="AC33" s="75">
        <f>$C33*INDEX(Curves!$AZ$8:$AZ$68,AC$4-$B33+1)</f>
        <v/>
      </c>
      <c r="AD33" s="75">
        <f>$C33*INDEX(Curves!$AZ$8:$AZ$68,AD$4-$B33+1)</f>
        <v/>
      </c>
      <c r="AE33" s="75">
        <f>$C33*INDEX(Curves!$AZ$8:$AZ$68,AE$4-$B33+1)</f>
        <v/>
      </c>
      <c r="AF33" s="75">
        <f>$C33*INDEX(Curves!$AZ$8:$AZ$68,AF$4-$B33+1)</f>
        <v/>
      </c>
      <c r="AG33" s="75">
        <f>$C33*INDEX(Curves!$AZ$8:$AZ$68,AG$4-$B33+1)</f>
        <v/>
      </c>
      <c r="AH33" s="75">
        <f>$C33*INDEX(Curves!$AZ$8:$AZ$68,AH$4-$B33+1)</f>
        <v/>
      </c>
      <c r="AI33" s="75">
        <f>$C33*INDEX(Curves!$AZ$8:$AZ$68,AI$4-$B33+1)</f>
        <v/>
      </c>
      <c r="AJ33" s="75">
        <f>$C33*INDEX(Curves!$AZ$8:$AZ$68,AJ$4-$B33+1)</f>
        <v/>
      </c>
      <c r="AK33" s="75">
        <f>$C33*INDEX(Curves!$AZ$8:$AZ$68,AK$4-$B33+1)</f>
        <v/>
      </c>
      <c r="AL33" s="75">
        <f>$C33*INDEX(Curves!$AZ$8:$AZ$68,AL$4-$B33+1)</f>
        <v/>
      </c>
      <c r="AM33" s="75">
        <f>$C33*INDEX(Curves!$AZ$8:$AZ$68,AM$4-$B33+1)</f>
        <v/>
      </c>
      <c r="AN33" s="75">
        <f>$C33*INDEX(Curves!$AZ$8:$AZ$68,AN$4-$B33+1)</f>
        <v/>
      </c>
      <c r="AO33" s="75">
        <f>$C33*INDEX(Curves!$AZ$8:$AZ$68,AO$4-$B33+1)</f>
        <v/>
      </c>
      <c r="AP33" s="75">
        <f>$C33*INDEX(Curves!$AZ$8:$AZ$68,AP$4-$B33+1)</f>
        <v/>
      </c>
      <c r="AQ33" s="75">
        <f>$C33*INDEX(Curves!$AZ$8:$AZ$68,AQ$4-$B33+1)</f>
        <v/>
      </c>
      <c r="AR33" s="75">
        <f>$C33*INDEX(Curves!$AZ$8:$AZ$68,AR$4-$B33+1)</f>
        <v/>
      </c>
      <c r="AS33" s="75">
        <f>$C33*INDEX(Curves!$AZ$8:$AZ$68,AS$4-$B33+1)</f>
        <v/>
      </c>
      <c r="AT33" s="75">
        <f>$C33*INDEX(Curves!$AZ$8:$AZ$68,AT$4-$B33+1)</f>
        <v/>
      </c>
      <c r="AU33" s="75">
        <f>$C33*INDEX(Curves!$AZ$8:$AZ$68,AU$4-$B33+1)</f>
        <v/>
      </c>
      <c r="AV33" s="75">
        <f>$C33*INDEX(Curves!$AZ$8:$AZ$68,AV$4-$B33+1)</f>
        <v/>
      </c>
      <c r="AW33" s="75">
        <f>$C33*INDEX(Curves!$AZ$8:$AZ$68,AW$4-$B33+1)</f>
        <v/>
      </c>
      <c r="AX33" s="75">
        <f>$C33*INDEX(Curves!$AZ$8:$AZ$68,AX$4-$B33+1)</f>
        <v/>
      </c>
      <c r="AY33" s="75">
        <f>$C33*INDEX(Curves!$AZ$8:$AZ$68,AY$4-$B33+1)</f>
        <v/>
      </c>
      <c r="AZ33" s="75">
        <f>$C33*INDEX(Curves!$AZ$8:$AZ$68,AZ$4-$B33+1)</f>
        <v/>
      </c>
      <c r="BA33" s="75">
        <f>$C33*INDEX(Curves!$AZ$8:$AZ$68,BA$4-$B33+1)</f>
        <v/>
      </c>
      <c r="BB33" s="75">
        <f>$C33*INDEX(Curves!$AZ$8:$AZ$68,BB$4-$B33+1)</f>
        <v/>
      </c>
      <c r="BC33" s="75">
        <f>$C33*INDEX(Curves!$AZ$8:$AZ$68,BC$4-$B33+1)</f>
        <v/>
      </c>
      <c r="BD33" s="75">
        <f>$C33*INDEX(Curves!$AZ$8:$AZ$68,BD$4-$B33+1)</f>
        <v/>
      </c>
      <c r="BE33" s="75">
        <f>$C33*INDEX(Curves!$AZ$8:$AZ$68,BE$4-$B33+1)</f>
        <v/>
      </c>
      <c r="BF33" s="75">
        <f>$C33*INDEX(Curves!$AZ$8:$AZ$68,BF$4-$B33+1)</f>
        <v/>
      </c>
      <c r="BG33" s="75">
        <f>$C33*INDEX(Curves!$AZ$8:$AZ$68,BG$4-$B33+1)</f>
        <v/>
      </c>
      <c r="BH33" s="75">
        <f>$C33*INDEX(Curves!$AZ$8:$AZ$68,BH$4-$B33+1)</f>
        <v/>
      </c>
      <c r="BI33" s="75">
        <f>$C33*INDEX(Curves!$AZ$8:$AZ$68,BI$4-$B33+1)</f>
        <v/>
      </c>
      <c r="BJ33" s="75">
        <f>$C33*INDEX(Curves!$AZ$8:$AZ$68,BJ$4-$B33+1)</f>
        <v/>
      </c>
      <c r="BK33" s="75">
        <f>$C33*INDEX(Curves!$AZ$8:$AZ$68,BK$4-$B33+1)</f>
        <v/>
      </c>
      <c r="BL33" s="75">
        <f>$C33*INDEX(Curves!$AZ$8:$AZ$68,BL$4-$B33+1)</f>
        <v/>
      </c>
    </row>
    <row r="34">
      <c r="A34" s="74" t="inlineStr">
        <is>
          <t>Cohort month 25</t>
        </is>
      </c>
      <c r="B34" s="74" t="n">
        <v>25</v>
      </c>
      <c r="C34" s="17">
        <f>INDEX(Ops!$E$110:$BL$110,1,$B34)</f>
        <v/>
      </c>
      <c r="AD34" s="75">
        <f>$C34*INDEX(Curves!$AZ$8:$AZ$68,AD$4-$B34+1)</f>
        <v/>
      </c>
      <c r="AE34" s="75">
        <f>$C34*INDEX(Curves!$AZ$8:$AZ$68,AE$4-$B34+1)</f>
        <v/>
      </c>
      <c r="AF34" s="75">
        <f>$C34*INDEX(Curves!$AZ$8:$AZ$68,AF$4-$B34+1)</f>
        <v/>
      </c>
      <c r="AG34" s="75">
        <f>$C34*INDEX(Curves!$AZ$8:$AZ$68,AG$4-$B34+1)</f>
        <v/>
      </c>
      <c r="AH34" s="75">
        <f>$C34*INDEX(Curves!$AZ$8:$AZ$68,AH$4-$B34+1)</f>
        <v/>
      </c>
      <c r="AI34" s="75">
        <f>$C34*INDEX(Curves!$AZ$8:$AZ$68,AI$4-$B34+1)</f>
        <v/>
      </c>
      <c r="AJ34" s="75">
        <f>$C34*INDEX(Curves!$AZ$8:$AZ$68,AJ$4-$B34+1)</f>
        <v/>
      </c>
      <c r="AK34" s="75">
        <f>$C34*INDEX(Curves!$AZ$8:$AZ$68,AK$4-$B34+1)</f>
        <v/>
      </c>
      <c r="AL34" s="75">
        <f>$C34*INDEX(Curves!$AZ$8:$AZ$68,AL$4-$B34+1)</f>
        <v/>
      </c>
      <c r="AM34" s="75">
        <f>$C34*INDEX(Curves!$AZ$8:$AZ$68,AM$4-$B34+1)</f>
        <v/>
      </c>
      <c r="AN34" s="75">
        <f>$C34*INDEX(Curves!$AZ$8:$AZ$68,AN$4-$B34+1)</f>
        <v/>
      </c>
      <c r="AO34" s="75">
        <f>$C34*INDEX(Curves!$AZ$8:$AZ$68,AO$4-$B34+1)</f>
        <v/>
      </c>
      <c r="AP34" s="75">
        <f>$C34*INDEX(Curves!$AZ$8:$AZ$68,AP$4-$B34+1)</f>
        <v/>
      </c>
      <c r="AQ34" s="75">
        <f>$C34*INDEX(Curves!$AZ$8:$AZ$68,AQ$4-$B34+1)</f>
        <v/>
      </c>
      <c r="AR34" s="75">
        <f>$C34*INDEX(Curves!$AZ$8:$AZ$68,AR$4-$B34+1)</f>
        <v/>
      </c>
      <c r="AS34" s="75">
        <f>$C34*INDEX(Curves!$AZ$8:$AZ$68,AS$4-$B34+1)</f>
        <v/>
      </c>
      <c r="AT34" s="75">
        <f>$C34*INDEX(Curves!$AZ$8:$AZ$68,AT$4-$B34+1)</f>
        <v/>
      </c>
      <c r="AU34" s="75">
        <f>$C34*INDEX(Curves!$AZ$8:$AZ$68,AU$4-$B34+1)</f>
        <v/>
      </c>
      <c r="AV34" s="75">
        <f>$C34*INDEX(Curves!$AZ$8:$AZ$68,AV$4-$B34+1)</f>
        <v/>
      </c>
      <c r="AW34" s="75">
        <f>$C34*INDEX(Curves!$AZ$8:$AZ$68,AW$4-$B34+1)</f>
        <v/>
      </c>
      <c r="AX34" s="75">
        <f>$C34*INDEX(Curves!$AZ$8:$AZ$68,AX$4-$B34+1)</f>
        <v/>
      </c>
      <c r="AY34" s="75">
        <f>$C34*INDEX(Curves!$AZ$8:$AZ$68,AY$4-$B34+1)</f>
        <v/>
      </c>
      <c r="AZ34" s="75">
        <f>$C34*INDEX(Curves!$AZ$8:$AZ$68,AZ$4-$B34+1)</f>
        <v/>
      </c>
      <c r="BA34" s="75">
        <f>$C34*INDEX(Curves!$AZ$8:$AZ$68,BA$4-$B34+1)</f>
        <v/>
      </c>
      <c r="BB34" s="75">
        <f>$C34*INDEX(Curves!$AZ$8:$AZ$68,BB$4-$B34+1)</f>
        <v/>
      </c>
      <c r="BC34" s="75">
        <f>$C34*INDEX(Curves!$AZ$8:$AZ$68,BC$4-$B34+1)</f>
        <v/>
      </c>
      <c r="BD34" s="75">
        <f>$C34*INDEX(Curves!$AZ$8:$AZ$68,BD$4-$B34+1)</f>
        <v/>
      </c>
      <c r="BE34" s="75">
        <f>$C34*INDEX(Curves!$AZ$8:$AZ$68,BE$4-$B34+1)</f>
        <v/>
      </c>
      <c r="BF34" s="75">
        <f>$C34*INDEX(Curves!$AZ$8:$AZ$68,BF$4-$B34+1)</f>
        <v/>
      </c>
      <c r="BG34" s="75">
        <f>$C34*INDEX(Curves!$AZ$8:$AZ$68,BG$4-$B34+1)</f>
        <v/>
      </c>
      <c r="BH34" s="75">
        <f>$C34*INDEX(Curves!$AZ$8:$AZ$68,BH$4-$B34+1)</f>
        <v/>
      </c>
      <c r="BI34" s="75">
        <f>$C34*INDEX(Curves!$AZ$8:$AZ$68,BI$4-$B34+1)</f>
        <v/>
      </c>
      <c r="BJ34" s="75">
        <f>$C34*INDEX(Curves!$AZ$8:$AZ$68,BJ$4-$B34+1)</f>
        <v/>
      </c>
      <c r="BK34" s="75">
        <f>$C34*INDEX(Curves!$AZ$8:$AZ$68,BK$4-$B34+1)</f>
        <v/>
      </c>
      <c r="BL34" s="75">
        <f>$C34*INDEX(Curves!$AZ$8:$AZ$68,BL$4-$B34+1)</f>
        <v/>
      </c>
    </row>
    <row r="35">
      <c r="A35" s="74" t="inlineStr">
        <is>
          <t>Cohort month 26</t>
        </is>
      </c>
      <c r="B35" s="74" t="n">
        <v>26</v>
      </c>
      <c r="C35" s="17">
        <f>INDEX(Ops!$E$110:$BL$110,1,$B35)</f>
        <v/>
      </c>
      <c r="AE35" s="75">
        <f>$C35*INDEX(Curves!$AZ$8:$AZ$68,AE$4-$B35+1)</f>
        <v/>
      </c>
      <c r="AF35" s="75">
        <f>$C35*INDEX(Curves!$AZ$8:$AZ$68,AF$4-$B35+1)</f>
        <v/>
      </c>
      <c r="AG35" s="75">
        <f>$C35*INDEX(Curves!$AZ$8:$AZ$68,AG$4-$B35+1)</f>
        <v/>
      </c>
      <c r="AH35" s="75">
        <f>$C35*INDEX(Curves!$AZ$8:$AZ$68,AH$4-$B35+1)</f>
        <v/>
      </c>
      <c r="AI35" s="75">
        <f>$C35*INDEX(Curves!$AZ$8:$AZ$68,AI$4-$B35+1)</f>
        <v/>
      </c>
      <c r="AJ35" s="75">
        <f>$C35*INDEX(Curves!$AZ$8:$AZ$68,AJ$4-$B35+1)</f>
        <v/>
      </c>
      <c r="AK35" s="75">
        <f>$C35*INDEX(Curves!$AZ$8:$AZ$68,AK$4-$B35+1)</f>
        <v/>
      </c>
      <c r="AL35" s="75">
        <f>$C35*INDEX(Curves!$AZ$8:$AZ$68,AL$4-$B35+1)</f>
        <v/>
      </c>
      <c r="AM35" s="75">
        <f>$C35*INDEX(Curves!$AZ$8:$AZ$68,AM$4-$B35+1)</f>
        <v/>
      </c>
      <c r="AN35" s="75">
        <f>$C35*INDEX(Curves!$AZ$8:$AZ$68,AN$4-$B35+1)</f>
        <v/>
      </c>
      <c r="AO35" s="75">
        <f>$C35*INDEX(Curves!$AZ$8:$AZ$68,AO$4-$B35+1)</f>
        <v/>
      </c>
      <c r="AP35" s="75">
        <f>$C35*INDEX(Curves!$AZ$8:$AZ$68,AP$4-$B35+1)</f>
        <v/>
      </c>
      <c r="AQ35" s="75">
        <f>$C35*INDEX(Curves!$AZ$8:$AZ$68,AQ$4-$B35+1)</f>
        <v/>
      </c>
      <c r="AR35" s="75">
        <f>$C35*INDEX(Curves!$AZ$8:$AZ$68,AR$4-$B35+1)</f>
        <v/>
      </c>
      <c r="AS35" s="75">
        <f>$C35*INDEX(Curves!$AZ$8:$AZ$68,AS$4-$B35+1)</f>
        <v/>
      </c>
      <c r="AT35" s="75">
        <f>$C35*INDEX(Curves!$AZ$8:$AZ$68,AT$4-$B35+1)</f>
        <v/>
      </c>
      <c r="AU35" s="75">
        <f>$C35*INDEX(Curves!$AZ$8:$AZ$68,AU$4-$B35+1)</f>
        <v/>
      </c>
      <c r="AV35" s="75">
        <f>$C35*INDEX(Curves!$AZ$8:$AZ$68,AV$4-$B35+1)</f>
        <v/>
      </c>
      <c r="AW35" s="75">
        <f>$C35*INDEX(Curves!$AZ$8:$AZ$68,AW$4-$B35+1)</f>
        <v/>
      </c>
      <c r="AX35" s="75">
        <f>$C35*INDEX(Curves!$AZ$8:$AZ$68,AX$4-$B35+1)</f>
        <v/>
      </c>
      <c r="AY35" s="75">
        <f>$C35*INDEX(Curves!$AZ$8:$AZ$68,AY$4-$B35+1)</f>
        <v/>
      </c>
      <c r="AZ35" s="75">
        <f>$C35*INDEX(Curves!$AZ$8:$AZ$68,AZ$4-$B35+1)</f>
        <v/>
      </c>
      <c r="BA35" s="75">
        <f>$C35*INDEX(Curves!$AZ$8:$AZ$68,BA$4-$B35+1)</f>
        <v/>
      </c>
      <c r="BB35" s="75">
        <f>$C35*INDEX(Curves!$AZ$8:$AZ$68,BB$4-$B35+1)</f>
        <v/>
      </c>
      <c r="BC35" s="75">
        <f>$C35*INDEX(Curves!$AZ$8:$AZ$68,BC$4-$B35+1)</f>
        <v/>
      </c>
      <c r="BD35" s="75">
        <f>$C35*INDEX(Curves!$AZ$8:$AZ$68,BD$4-$B35+1)</f>
        <v/>
      </c>
      <c r="BE35" s="75">
        <f>$C35*INDEX(Curves!$AZ$8:$AZ$68,BE$4-$B35+1)</f>
        <v/>
      </c>
      <c r="BF35" s="75">
        <f>$C35*INDEX(Curves!$AZ$8:$AZ$68,BF$4-$B35+1)</f>
        <v/>
      </c>
      <c r="BG35" s="75">
        <f>$C35*INDEX(Curves!$AZ$8:$AZ$68,BG$4-$B35+1)</f>
        <v/>
      </c>
      <c r="BH35" s="75">
        <f>$C35*INDEX(Curves!$AZ$8:$AZ$68,BH$4-$B35+1)</f>
        <v/>
      </c>
      <c r="BI35" s="75">
        <f>$C35*INDEX(Curves!$AZ$8:$AZ$68,BI$4-$B35+1)</f>
        <v/>
      </c>
      <c r="BJ35" s="75">
        <f>$C35*INDEX(Curves!$AZ$8:$AZ$68,BJ$4-$B35+1)</f>
        <v/>
      </c>
      <c r="BK35" s="75">
        <f>$C35*INDEX(Curves!$AZ$8:$AZ$68,BK$4-$B35+1)</f>
        <v/>
      </c>
      <c r="BL35" s="75">
        <f>$C35*INDEX(Curves!$AZ$8:$AZ$68,BL$4-$B35+1)</f>
        <v/>
      </c>
    </row>
    <row r="36">
      <c r="A36" s="74" t="inlineStr">
        <is>
          <t>Cohort month 27</t>
        </is>
      </c>
      <c r="B36" s="74" t="n">
        <v>27</v>
      </c>
      <c r="C36" s="17">
        <f>INDEX(Ops!$E$110:$BL$110,1,$B36)</f>
        <v/>
      </c>
      <c r="AF36" s="75">
        <f>$C36*INDEX(Curves!$AZ$8:$AZ$68,AF$4-$B36+1)</f>
        <v/>
      </c>
      <c r="AG36" s="75">
        <f>$C36*INDEX(Curves!$AZ$8:$AZ$68,AG$4-$B36+1)</f>
        <v/>
      </c>
      <c r="AH36" s="75">
        <f>$C36*INDEX(Curves!$AZ$8:$AZ$68,AH$4-$B36+1)</f>
        <v/>
      </c>
      <c r="AI36" s="75">
        <f>$C36*INDEX(Curves!$AZ$8:$AZ$68,AI$4-$B36+1)</f>
        <v/>
      </c>
      <c r="AJ36" s="75">
        <f>$C36*INDEX(Curves!$AZ$8:$AZ$68,AJ$4-$B36+1)</f>
        <v/>
      </c>
      <c r="AK36" s="75">
        <f>$C36*INDEX(Curves!$AZ$8:$AZ$68,AK$4-$B36+1)</f>
        <v/>
      </c>
      <c r="AL36" s="75">
        <f>$C36*INDEX(Curves!$AZ$8:$AZ$68,AL$4-$B36+1)</f>
        <v/>
      </c>
      <c r="AM36" s="75">
        <f>$C36*INDEX(Curves!$AZ$8:$AZ$68,AM$4-$B36+1)</f>
        <v/>
      </c>
      <c r="AN36" s="75">
        <f>$C36*INDEX(Curves!$AZ$8:$AZ$68,AN$4-$B36+1)</f>
        <v/>
      </c>
      <c r="AO36" s="75">
        <f>$C36*INDEX(Curves!$AZ$8:$AZ$68,AO$4-$B36+1)</f>
        <v/>
      </c>
      <c r="AP36" s="75">
        <f>$C36*INDEX(Curves!$AZ$8:$AZ$68,AP$4-$B36+1)</f>
        <v/>
      </c>
      <c r="AQ36" s="75">
        <f>$C36*INDEX(Curves!$AZ$8:$AZ$68,AQ$4-$B36+1)</f>
        <v/>
      </c>
      <c r="AR36" s="75">
        <f>$C36*INDEX(Curves!$AZ$8:$AZ$68,AR$4-$B36+1)</f>
        <v/>
      </c>
      <c r="AS36" s="75">
        <f>$C36*INDEX(Curves!$AZ$8:$AZ$68,AS$4-$B36+1)</f>
        <v/>
      </c>
      <c r="AT36" s="75">
        <f>$C36*INDEX(Curves!$AZ$8:$AZ$68,AT$4-$B36+1)</f>
        <v/>
      </c>
      <c r="AU36" s="75">
        <f>$C36*INDEX(Curves!$AZ$8:$AZ$68,AU$4-$B36+1)</f>
        <v/>
      </c>
      <c r="AV36" s="75">
        <f>$C36*INDEX(Curves!$AZ$8:$AZ$68,AV$4-$B36+1)</f>
        <v/>
      </c>
      <c r="AW36" s="75">
        <f>$C36*INDEX(Curves!$AZ$8:$AZ$68,AW$4-$B36+1)</f>
        <v/>
      </c>
      <c r="AX36" s="75">
        <f>$C36*INDEX(Curves!$AZ$8:$AZ$68,AX$4-$B36+1)</f>
        <v/>
      </c>
      <c r="AY36" s="75">
        <f>$C36*INDEX(Curves!$AZ$8:$AZ$68,AY$4-$B36+1)</f>
        <v/>
      </c>
      <c r="AZ36" s="75">
        <f>$C36*INDEX(Curves!$AZ$8:$AZ$68,AZ$4-$B36+1)</f>
        <v/>
      </c>
      <c r="BA36" s="75">
        <f>$C36*INDEX(Curves!$AZ$8:$AZ$68,BA$4-$B36+1)</f>
        <v/>
      </c>
      <c r="BB36" s="75">
        <f>$C36*INDEX(Curves!$AZ$8:$AZ$68,BB$4-$B36+1)</f>
        <v/>
      </c>
      <c r="BC36" s="75">
        <f>$C36*INDEX(Curves!$AZ$8:$AZ$68,BC$4-$B36+1)</f>
        <v/>
      </c>
      <c r="BD36" s="75">
        <f>$C36*INDEX(Curves!$AZ$8:$AZ$68,BD$4-$B36+1)</f>
        <v/>
      </c>
      <c r="BE36" s="75">
        <f>$C36*INDEX(Curves!$AZ$8:$AZ$68,BE$4-$B36+1)</f>
        <v/>
      </c>
      <c r="BF36" s="75">
        <f>$C36*INDEX(Curves!$AZ$8:$AZ$68,BF$4-$B36+1)</f>
        <v/>
      </c>
      <c r="BG36" s="75">
        <f>$C36*INDEX(Curves!$AZ$8:$AZ$68,BG$4-$B36+1)</f>
        <v/>
      </c>
      <c r="BH36" s="75">
        <f>$C36*INDEX(Curves!$AZ$8:$AZ$68,BH$4-$B36+1)</f>
        <v/>
      </c>
      <c r="BI36" s="75">
        <f>$C36*INDEX(Curves!$AZ$8:$AZ$68,BI$4-$B36+1)</f>
        <v/>
      </c>
      <c r="BJ36" s="75">
        <f>$C36*INDEX(Curves!$AZ$8:$AZ$68,BJ$4-$B36+1)</f>
        <v/>
      </c>
      <c r="BK36" s="75">
        <f>$C36*INDEX(Curves!$AZ$8:$AZ$68,BK$4-$B36+1)</f>
        <v/>
      </c>
      <c r="BL36" s="75">
        <f>$C36*INDEX(Curves!$AZ$8:$AZ$68,BL$4-$B36+1)</f>
        <v/>
      </c>
    </row>
    <row r="37">
      <c r="A37" s="74" t="inlineStr">
        <is>
          <t>Cohort month 28</t>
        </is>
      </c>
      <c r="B37" s="74" t="n">
        <v>28</v>
      </c>
      <c r="C37" s="17">
        <f>INDEX(Ops!$E$110:$BL$110,1,$B37)</f>
        <v/>
      </c>
      <c r="AG37" s="75">
        <f>$C37*INDEX(Curves!$AZ$8:$AZ$68,AG$4-$B37+1)</f>
        <v/>
      </c>
      <c r="AH37" s="75">
        <f>$C37*INDEX(Curves!$AZ$8:$AZ$68,AH$4-$B37+1)</f>
        <v/>
      </c>
      <c r="AI37" s="75">
        <f>$C37*INDEX(Curves!$AZ$8:$AZ$68,AI$4-$B37+1)</f>
        <v/>
      </c>
      <c r="AJ37" s="75">
        <f>$C37*INDEX(Curves!$AZ$8:$AZ$68,AJ$4-$B37+1)</f>
        <v/>
      </c>
      <c r="AK37" s="75">
        <f>$C37*INDEX(Curves!$AZ$8:$AZ$68,AK$4-$B37+1)</f>
        <v/>
      </c>
      <c r="AL37" s="75">
        <f>$C37*INDEX(Curves!$AZ$8:$AZ$68,AL$4-$B37+1)</f>
        <v/>
      </c>
      <c r="AM37" s="75">
        <f>$C37*INDEX(Curves!$AZ$8:$AZ$68,AM$4-$B37+1)</f>
        <v/>
      </c>
      <c r="AN37" s="75">
        <f>$C37*INDEX(Curves!$AZ$8:$AZ$68,AN$4-$B37+1)</f>
        <v/>
      </c>
      <c r="AO37" s="75">
        <f>$C37*INDEX(Curves!$AZ$8:$AZ$68,AO$4-$B37+1)</f>
        <v/>
      </c>
      <c r="AP37" s="75">
        <f>$C37*INDEX(Curves!$AZ$8:$AZ$68,AP$4-$B37+1)</f>
        <v/>
      </c>
      <c r="AQ37" s="75">
        <f>$C37*INDEX(Curves!$AZ$8:$AZ$68,AQ$4-$B37+1)</f>
        <v/>
      </c>
      <c r="AR37" s="75">
        <f>$C37*INDEX(Curves!$AZ$8:$AZ$68,AR$4-$B37+1)</f>
        <v/>
      </c>
      <c r="AS37" s="75">
        <f>$C37*INDEX(Curves!$AZ$8:$AZ$68,AS$4-$B37+1)</f>
        <v/>
      </c>
      <c r="AT37" s="75">
        <f>$C37*INDEX(Curves!$AZ$8:$AZ$68,AT$4-$B37+1)</f>
        <v/>
      </c>
      <c r="AU37" s="75">
        <f>$C37*INDEX(Curves!$AZ$8:$AZ$68,AU$4-$B37+1)</f>
        <v/>
      </c>
      <c r="AV37" s="75">
        <f>$C37*INDEX(Curves!$AZ$8:$AZ$68,AV$4-$B37+1)</f>
        <v/>
      </c>
      <c r="AW37" s="75">
        <f>$C37*INDEX(Curves!$AZ$8:$AZ$68,AW$4-$B37+1)</f>
        <v/>
      </c>
      <c r="AX37" s="75">
        <f>$C37*INDEX(Curves!$AZ$8:$AZ$68,AX$4-$B37+1)</f>
        <v/>
      </c>
      <c r="AY37" s="75">
        <f>$C37*INDEX(Curves!$AZ$8:$AZ$68,AY$4-$B37+1)</f>
        <v/>
      </c>
      <c r="AZ37" s="75">
        <f>$C37*INDEX(Curves!$AZ$8:$AZ$68,AZ$4-$B37+1)</f>
        <v/>
      </c>
      <c r="BA37" s="75">
        <f>$C37*INDEX(Curves!$AZ$8:$AZ$68,BA$4-$B37+1)</f>
        <v/>
      </c>
      <c r="BB37" s="75">
        <f>$C37*INDEX(Curves!$AZ$8:$AZ$68,BB$4-$B37+1)</f>
        <v/>
      </c>
      <c r="BC37" s="75">
        <f>$C37*INDEX(Curves!$AZ$8:$AZ$68,BC$4-$B37+1)</f>
        <v/>
      </c>
      <c r="BD37" s="75">
        <f>$C37*INDEX(Curves!$AZ$8:$AZ$68,BD$4-$B37+1)</f>
        <v/>
      </c>
      <c r="BE37" s="75">
        <f>$C37*INDEX(Curves!$AZ$8:$AZ$68,BE$4-$B37+1)</f>
        <v/>
      </c>
      <c r="BF37" s="75">
        <f>$C37*INDEX(Curves!$AZ$8:$AZ$68,BF$4-$B37+1)</f>
        <v/>
      </c>
      <c r="BG37" s="75">
        <f>$C37*INDEX(Curves!$AZ$8:$AZ$68,BG$4-$B37+1)</f>
        <v/>
      </c>
      <c r="BH37" s="75">
        <f>$C37*INDEX(Curves!$AZ$8:$AZ$68,BH$4-$B37+1)</f>
        <v/>
      </c>
      <c r="BI37" s="75">
        <f>$C37*INDEX(Curves!$AZ$8:$AZ$68,BI$4-$B37+1)</f>
        <v/>
      </c>
      <c r="BJ37" s="75">
        <f>$C37*INDEX(Curves!$AZ$8:$AZ$68,BJ$4-$B37+1)</f>
        <v/>
      </c>
      <c r="BK37" s="75">
        <f>$C37*INDEX(Curves!$AZ$8:$AZ$68,BK$4-$B37+1)</f>
        <v/>
      </c>
      <c r="BL37" s="75">
        <f>$C37*INDEX(Curves!$AZ$8:$AZ$68,BL$4-$B37+1)</f>
        <v/>
      </c>
    </row>
    <row r="38">
      <c r="A38" s="74" t="inlineStr">
        <is>
          <t>Cohort month 29</t>
        </is>
      </c>
      <c r="B38" s="74" t="n">
        <v>29</v>
      </c>
      <c r="C38" s="17">
        <f>INDEX(Ops!$E$110:$BL$110,1,$B38)</f>
        <v/>
      </c>
      <c r="AH38" s="75">
        <f>$C38*INDEX(Curves!$AZ$8:$AZ$68,AH$4-$B38+1)</f>
        <v/>
      </c>
      <c r="AI38" s="75">
        <f>$C38*INDEX(Curves!$AZ$8:$AZ$68,AI$4-$B38+1)</f>
        <v/>
      </c>
      <c r="AJ38" s="75">
        <f>$C38*INDEX(Curves!$AZ$8:$AZ$68,AJ$4-$B38+1)</f>
        <v/>
      </c>
      <c r="AK38" s="75">
        <f>$C38*INDEX(Curves!$AZ$8:$AZ$68,AK$4-$B38+1)</f>
        <v/>
      </c>
      <c r="AL38" s="75">
        <f>$C38*INDEX(Curves!$AZ$8:$AZ$68,AL$4-$B38+1)</f>
        <v/>
      </c>
      <c r="AM38" s="75">
        <f>$C38*INDEX(Curves!$AZ$8:$AZ$68,AM$4-$B38+1)</f>
        <v/>
      </c>
      <c r="AN38" s="75">
        <f>$C38*INDEX(Curves!$AZ$8:$AZ$68,AN$4-$B38+1)</f>
        <v/>
      </c>
      <c r="AO38" s="75">
        <f>$C38*INDEX(Curves!$AZ$8:$AZ$68,AO$4-$B38+1)</f>
        <v/>
      </c>
      <c r="AP38" s="75">
        <f>$C38*INDEX(Curves!$AZ$8:$AZ$68,AP$4-$B38+1)</f>
        <v/>
      </c>
      <c r="AQ38" s="75">
        <f>$C38*INDEX(Curves!$AZ$8:$AZ$68,AQ$4-$B38+1)</f>
        <v/>
      </c>
      <c r="AR38" s="75">
        <f>$C38*INDEX(Curves!$AZ$8:$AZ$68,AR$4-$B38+1)</f>
        <v/>
      </c>
      <c r="AS38" s="75">
        <f>$C38*INDEX(Curves!$AZ$8:$AZ$68,AS$4-$B38+1)</f>
        <v/>
      </c>
      <c r="AT38" s="75">
        <f>$C38*INDEX(Curves!$AZ$8:$AZ$68,AT$4-$B38+1)</f>
        <v/>
      </c>
      <c r="AU38" s="75">
        <f>$C38*INDEX(Curves!$AZ$8:$AZ$68,AU$4-$B38+1)</f>
        <v/>
      </c>
      <c r="AV38" s="75">
        <f>$C38*INDEX(Curves!$AZ$8:$AZ$68,AV$4-$B38+1)</f>
        <v/>
      </c>
      <c r="AW38" s="75">
        <f>$C38*INDEX(Curves!$AZ$8:$AZ$68,AW$4-$B38+1)</f>
        <v/>
      </c>
      <c r="AX38" s="75">
        <f>$C38*INDEX(Curves!$AZ$8:$AZ$68,AX$4-$B38+1)</f>
        <v/>
      </c>
      <c r="AY38" s="75">
        <f>$C38*INDEX(Curves!$AZ$8:$AZ$68,AY$4-$B38+1)</f>
        <v/>
      </c>
      <c r="AZ38" s="75">
        <f>$C38*INDEX(Curves!$AZ$8:$AZ$68,AZ$4-$B38+1)</f>
        <v/>
      </c>
      <c r="BA38" s="75">
        <f>$C38*INDEX(Curves!$AZ$8:$AZ$68,BA$4-$B38+1)</f>
        <v/>
      </c>
      <c r="BB38" s="75">
        <f>$C38*INDEX(Curves!$AZ$8:$AZ$68,BB$4-$B38+1)</f>
        <v/>
      </c>
      <c r="BC38" s="75">
        <f>$C38*INDEX(Curves!$AZ$8:$AZ$68,BC$4-$B38+1)</f>
        <v/>
      </c>
      <c r="BD38" s="75">
        <f>$C38*INDEX(Curves!$AZ$8:$AZ$68,BD$4-$B38+1)</f>
        <v/>
      </c>
      <c r="BE38" s="75">
        <f>$C38*INDEX(Curves!$AZ$8:$AZ$68,BE$4-$B38+1)</f>
        <v/>
      </c>
      <c r="BF38" s="75">
        <f>$C38*INDEX(Curves!$AZ$8:$AZ$68,BF$4-$B38+1)</f>
        <v/>
      </c>
      <c r="BG38" s="75">
        <f>$C38*INDEX(Curves!$AZ$8:$AZ$68,BG$4-$B38+1)</f>
        <v/>
      </c>
      <c r="BH38" s="75">
        <f>$C38*INDEX(Curves!$AZ$8:$AZ$68,BH$4-$B38+1)</f>
        <v/>
      </c>
      <c r="BI38" s="75">
        <f>$C38*INDEX(Curves!$AZ$8:$AZ$68,BI$4-$B38+1)</f>
        <v/>
      </c>
      <c r="BJ38" s="75">
        <f>$C38*INDEX(Curves!$AZ$8:$AZ$68,BJ$4-$B38+1)</f>
        <v/>
      </c>
      <c r="BK38" s="75">
        <f>$C38*INDEX(Curves!$AZ$8:$AZ$68,BK$4-$B38+1)</f>
        <v/>
      </c>
      <c r="BL38" s="75">
        <f>$C38*INDEX(Curves!$AZ$8:$AZ$68,BL$4-$B38+1)</f>
        <v/>
      </c>
    </row>
    <row r="39">
      <c r="A39" s="74" t="inlineStr">
        <is>
          <t>Cohort month 30</t>
        </is>
      </c>
      <c r="B39" s="74" t="n">
        <v>30</v>
      </c>
      <c r="C39" s="17">
        <f>INDEX(Ops!$E$110:$BL$110,1,$B39)</f>
        <v/>
      </c>
      <c r="AI39" s="75">
        <f>$C39*INDEX(Curves!$AZ$8:$AZ$68,AI$4-$B39+1)</f>
        <v/>
      </c>
      <c r="AJ39" s="75">
        <f>$C39*INDEX(Curves!$AZ$8:$AZ$68,AJ$4-$B39+1)</f>
        <v/>
      </c>
      <c r="AK39" s="75">
        <f>$C39*INDEX(Curves!$AZ$8:$AZ$68,AK$4-$B39+1)</f>
        <v/>
      </c>
      <c r="AL39" s="75">
        <f>$C39*INDEX(Curves!$AZ$8:$AZ$68,AL$4-$B39+1)</f>
        <v/>
      </c>
      <c r="AM39" s="75">
        <f>$C39*INDEX(Curves!$AZ$8:$AZ$68,AM$4-$B39+1)</f>
        <v/>
      </c>
      <c r="AN39" s="75">
        <f>$C39*INDEX(Curves!$AZ$8:$AZ$68,AN$4-$B39+1)</f>
        <v/>
      </c>
      <c r="AO39" s="75">
        <f>$C39*INDEX(Curves!$AZ$8:$AZ$68,AO$4-$B39+1)</f>
        <v/>
      </c>
      <c r="AP39" s="75">
        <f>$C39*INDEX(Curves!$AZ$8:$AZ$68,AP$4-$B39+1)</f>
        <v/>
      </c>
      <c r="AQ39" s="75">
        <f>$C39*INDEX(Curves!$AZ$8:$AZ$68,AQ$4-$B39+1)</f>
        <v/>
      </c>
      <c r="AR39" s="75">
        <f>$C39*INDEX(Curves!$AZ$8:$AZ$68,AR$4-$B39+1)</f>
        <v/>
      </c>
      <c r="AS39" s="75">
        <f>$C39*INDEX(Curves!$AZ$8:$AZ$68,AS$4-$B39+1)</f>
        <v/>
      </c>
      <c r="AT39" s="75">
        <f>$C39*INDEX(Curves!$AZ$8:$AZ$68,AT$4-$B39+1)</f>
        <v/>
      </c>
      <c r="AU39" s="75">
        <f>$C39*INDEX(Curves!$AZ$8:$AZ$68,AU$4-$B39+1)</f>
        <v/>
      </c>
      <c r="AV39" s="75">
        <f>$C39*INDEX(Curves!$AZ$8:$AZ$68,AV$4-$B39+1)</f>
        <v/>
      </c>
      <c r="AW39" s="75">
        <f>$C39*INDEX(Curves!$AZ$8:$AZ$68,AW$4-$B39+1)</f>
        <v/>
      </c>
      <c r="AX39" s="75">
        <f>$C39*INDEX(Curves!$AZ$8:$AZ$68,AX$4-$B39+1)</f>
        <v/>
      </c>
      <c r="AY39" s="75">
        <f>$C39*INDEX(Curves!$AZ$8:$AZ$68,AY$4-$B39+1)</f>
        <v/>
      </c>
      <c r="AZ39" s="75">
        <f>$C39*INDEX(Curves!$AZ$8:$AZ$68,AZ$4-$B39+1)</f>
        <v/>
      </c>
      <c r="BA39" s="75">
        <f>$C39*INDEX(Curves!$AZ$8:$AZ$68,BA$4-$B39+1)</f>
        <v/>
      </c>
      <c r="BB39" s="75">
        <f>$C39*INDEX(Curves!$AZ$8:$AZ$68,BB$4-$B39+1)</f>
        <v/>
      </c>
      <c r="BC39" s="75">
        <f>$C39*INDEX(Curves!$AZ$8:$AZ$68,BC$4-$B39+1)</f>
        <v/>
      </c>
      <c r="BD39" s="75">
        <f>$C39*INDEX(Curves!$AZ$8:$AZ$68,BD$4-$B39+1)</f>
        <v/>
      </c>
      <c r="BE39" s="75">
        <f>$C39*INDEX(Curves!$AZ$8:$AZ$68,BE$4-$B39+1)</f>
        <v/>
      </c>
      <c r="BF39" s="75">
        <f>$C39*INDEX(Curves!$AZ$8:$AZ$68,BF$4-$B39+1)</f>
        <v/>
      </c>
      <c r="BG39" s="75">
        <f>$C39*INDEX(Curves!$AZ$8:$AZ$68,BG$4-$B39+1)</f>
        <v/>
      </c>
      <c r="BH39" s="75">
        <f>$C39*INDEX(Curves!$AZ$8:$AZ$68,BH$4-$B39+1)</f>
        <v/>
      </c>
      <c r="BI39" s="75">
        <f>$C39*INDEX(Curves!$AZ$8:$AZ$68,BI$4-$B39+1)</f>
        <v/>
      </c>
      <c r="BJ39" s="75">
        <f>$C39*INDEX(Curves!$AZ$8:$AZ$68,BJ$4-$B39+1)</f>
        <v/>
      </c>
      <c r="BK39" s="75">
        <f>$C39*INDEX(Curves!$AZ$8:$AZ$68,BK$4-$B39+1)</f>
        <v/>
      </c>
      <c r="BL39" s="75">
        <f>$C39*INDEX(Curves!$AZ$8:$AZ$68,BL$4-$B39+1)</f>
        <v/>
      </c>
    </row>
    <row r="40">
      <c r="A40" s="74" t="inlineStr">
        <is>
          <t>Cohort month 31</t>
        </is>
      </c>
      <c r="B40" s="74" t="n">
        <v>31</v>
      </c>
      <c r="C40" s="17">
        <f>INDEX(Ops!$E$110:$BL$110,1,$B40)</f>
        <v/>
      </c>
      <c r="AJ40" s="75">
        <f>$C40*INDEX(Curves!$AZ$8:$AZ$68,AJ$4-$B40+1)</f>
        <v/>
      </c>
      <c r="AK40" s="75">
        <f>$C40*INDEX(Curves!$AZ$8:$AZ$68,AK$4-$B40+1)</f>
        <v/>
      </c>
      <c r="AL40" s="75">
        <f>$C40*INDEX(Curves!$AZ$8:$AZ$68,AL$4-$B40+1)</f>
        <v/>
      </c>
      <c r="AM40" s="75">
        <f>$C40*INDEX(Curves!$AZ$8:$AZ$68,AM$4-$B40+1)</f>
        <v/>
      </c>
      <c r="AN40" s="75">
        <f>$C40*INDEX(Curves!$AZ$8:$AZ$68,AN$4-$B40+1)</f>
        <v/>
      </c>
      <c r="AO40" s="75">
        <f>$C40*INDEX(Curves!$AZ$8:$AZ$68,AO$4-$B40+1)</f>
        <v/>
      </c>
      <c r="AP40" s="75">
        <f>$C40*INDEX(Curves!$AZ$8:$AZ$68,AP$4-$B40+1)</f>
        <v/>
      </c>
      <c r="AQ40" s="75">
        <f>$C40*INDEX(Curves!$AZ$8:$AZ$68,AQ$4-$B40+1)</f>
        <v/>
      </c>
      <c r="AR40" s="75">
        <f>$C40*INDEX(Curves!$AZ$8:$AZ$68,AR$4-$B40+1)</f>
        <v/>
      </c>
      <c r="AS40" s="75">
        <f>$C40*INDEX(Curves!$AZ$8:$AZ$68,AS$4-$B40+1)</f>
        <v/>
      </c>
      <c r="AT40" s="75">
        <f>$C40*INDEX(Curves!$AZ$8:$AZ$68,AT$4-$B40+1)</f>
        <v/>
      </c>
      <c r="AU40" s="75">
        <f>$C40*INDEX(Curves!$AZ$8:$AZ$68,AU$4-$B40+1)</f>
        <v/>
      </c>
      <c r="AV40" s="75">
        <f>$C40*INDEX(Curves!$AZ$8:$AZ$68,AV$4-$B40+1)</f>
        <v/>
      </c>
      <c r="AW40" s="75">
        <f>$C40*INDEX(Curves!$AZ$8:$AZ$68,AW$4-$B40+1)</f>
        <v/>
      </c>
      <c r="AX40" s="75">
        <f>$C40*INDEX(Curves!$AZ$8:$AZ$68,AX$4-$B40+1)</f>
        <v/>
      </c>
      <c r="AY40" s="75">
        <f>$C40*INDEX(Curves!$AZ$8:$AZ$68,AY$4-$B40+1)</f>
        <v/>
      </c>
      <c r="AZ40" s="75">
        <f>$C40*INDEX(Curves!$AZ$8:$AZ$68,AZ$4-$B40+1)</f>
        <v/>
      </c>
      <c r="BA40" s="75">
        <f>$C40*INDEX(Curves!$AZ$8:$AZ$68,BA$4-$B40+1)</f>
        <v/>
      </c>
      <c r="BB40" s="75">
        <f>$C40*INDEX(Curves!$AZ$8:$AZ$68,BB$4-$B40+1)</f>
        <v/>
      </c>
      <c r="BC40" s="75">
        <f>$C40*INDEX(Curves!$AZ$8:$AZ$68,BC$4-$B40+1)</f>
        <v/>
      </c>
      <c r="BD40" s="75">
        <f>$C40*INDEX(Curves!$AZ$8:$AZ$68,BD$4-$B40+1)</f>
        <v/>
      </c>
      <c r="BE40" s="75">
        <f>$C40*INDEX(Curves!$AZ$8:$AZ$68,BE$4-$B40+1)</f>
        <v/>
      </c>
      <c r="BF40" s="75">
        <f>$C40*INDEX(Curves!$AZ$8:$AZ$68,BF$4-$B40+1)</f>
        <v/>
      </c>
      <c r="BG40" s="75">
        <f>$C40*INDEX(Curves!$AZ$8:$AZ$68,BG$4-$B40+1)</f>
        <v/>
      </c>
      <c r="BH40" s="75">
        <f>$C40*INDEX(Curves!$AZ$8:$AZ$68,BH$4-$B40+1)</f>
        <v/>
      </c>
      <c r="BI40" s="75">
        <f>$C40*INDEX(Curves!$AZ$8:$AZ$68,BI$4-$B40+1)</f>
        <v/>
      </c>
      <c r="BJ40" s="75">
        <f>$C40*INDEX(Curves!$AZ$8:$AZ$68,BJ$4-$B40+1)</f>
        <v/>
      </c>
      <c r="BK40" s="75">
        <f>$C40*INDEX(Curves!$AZ$8:$AZ$68,BK$4-$B40+1)</f>
        <v/>
      </c>
      <c r="BL40" s="75">
        <f>$C40*INDEX(Curves!$AZ$8:$AZ$68,BL$4-$B40+1)</f>
        <v/>
      </c>
    </row>
    <row r="41">
      <c r="A41" s="74" t="inlineStr">
        <is>
          <t>Cohort month 32</t>
        </is>
      </c>
      <c r="B41" s="74" t="n">
        <v>32</v>
      </c>
      <c r="C41" s="17">
        <f>INDEX(Ops!$E$110:$BL$110,1,$B41)</f>
        <v/>
      </c>
      <c r="AK41" s="75">
        <f>$C41*INDEX(Curves!$AZ$8:$AZ$68,AK$4-$B41+1)</f>
        <v/>
      </c>
      <c r="AL41" s="75">
        <f>$C41*INDEX(Curves!$AZ$8:$AZ$68,AL$4-$B41+1)</f>
        <v/>
      </c>
      <c r="AM41" s="75">
        <f>$C41*INDEX(Curves!$AZ$8:$AZ$68,AM$4-$B41+1)</f>
        <v/>
      </c>
      <c r="AN41" s="75">
        <f>$C41*INDEX(Curves!$AZ$8:$AZ$68,AN$4-$B41+1)</f>
        <v/>
      </c>
      <c r="AO41" s="75">
        <f>$C41*INDEX(Curves!$AZ$8:$AZ$68,AO$4-$B41+1)</f>
        <v/>
      </c>
      <c r="AP41" s="75">
        <f>$C41*INDEX(Curves!$AZ$8:$AZ$68,AP$4-$B41+1)</f>
        <v/>
      </c>
      <c r="AQ41" s="75">
        <f>$C41*INDEX(Curves!$AZ$8:$AZ$68,AQ$4-$B41+1)</f>
        <v/>
      </c>
      <c r="AR41" s="75">
        <f>$C41*INDEX(Curves!$AZ$8:$AZ$68,AR$4-$B41+1)</f>
        <v/>
      </c>
      <c r="AS41" s="75">
        <f>$C41*INDEX(Curves!$AZ$8:$AZ$68,AS$4-$B41+1)</f>
        <v/>
      </c>
      <c r="AT41" s="75">
        <f>$C41*INDEX(Curves!$AZ$8:$AZ$68,AT$4-$B41+1)</f>
        <v/>
      </c>
      <c r="AU41" s="75">
        <f>$C41*INDEX(Curves!$AZ$8:$AZ$68,AU$4-$B41+1)</f>
        <v/>
      </c>
      <c r="AV41" s="75">
        <f>$C41*INDEX(Curves!$AZ$8:$AZ$68,AV$4-$B41+1)</f>
        <v/>
      </c>
      <c r="AW41" s="75">
        <f>$C41*INDEX(Curves!$AZ$8:$AZ$68,AW$4-$B41+1)</f>
        <v/>
      </c>
      <c r="AX41" s="75">
        <f>$C41*INDEX(Curves!$AZ$8:$AZ$68,AX$4-$B41+1)</f>
        <v/>
      </c>
      <c r="AY41" s="75">
        <f>$C41*INDEX(Curves!$AZ$8:$AZ$68,AY$4-$B41+1)</f>
        <v/>
      </c>
      <c r="AZ41" s="75">
        <f>$C41*INDEX(Curves!$AZ$8:$AZ$68,AZ$4-$B41+1)</f>
        <v/>
      </c>
      <c r="BA41" s="75">
        <f>$C41*INDEX(Curves!$AZ$8:$AZ$68,BA$4-$B41+1)</f>
        <v/>
      </c>
      <c r="BB41" s="75">
        <f>$C41*INDEX(Curves!$AZ$8:$AZ$68,BB$4-$B41+1)</f>
        <v/>
      </c>
      <c r="BC41" s="75">
        <f>$C41*INDEX(Curves!$AZ$8:$AZ$68,BC$4-$B41+1)</f>
        <v/>
      </c>
      <c r="BD41" s="75">
        <f>$C41*INDEX(Curves!$AZ$8:$AZ$68,BD$4-$B41+1)</f>
        <v/>
      </c>
      <c r="BE41" s="75">
        <f>$C41*INDEX(Curves!$AZ$8:$AZ$68,BE$4-$B41+1)</f>
        <v/>
      </c>
      <c r="BF41" s="75">
        <f>$C41*INDEX(Curves!$AZ$8:$AZ$68,BF$4-$B41+1)</f>
        <v/>
      </c>
      <c r="BG41" s="75">
        <f>$C41*INDEX(Curves!$AZ$8:$AZ$68,BG$4-$B41+1)</f>
        <v/>
      </c>
      <c r="BH41" s="75">
        <f>$C41*INDEX(Curves!$AZ$8:$AZ$68,BH$4-$B41+1)</f>
        <v/>
      </c>
      <c r="BI41" s="75">
        <f>$C41*INDEX(Curves!$AZ$8:$AZ$68,BI$4-$B41+1)</f>
        <v/>
      </c>
      <c r="BJ41" s="75">
        <f>$C41*INDEX(Curves!$AZ$8:$AZ$68,BJ$4-$B41+1)</f>
        <v/>
      </c>
      <c r="BK41" s="75">
        <f>$C41*INDEX(Curves!$AZ$8:$AZ$68,BK$4-$B41+1)</f>
        <v/>
      </c>
      <c r="BL41" s="75">
        <f>$C41*INDEX(Curves!$AZ$8:$AZ$68,BL$4-$B41+1)</f>
        <v/>
      </c>
    </row>
    <row r="42">
      <c r="A42" s="74" t="inlineStr">
        <is>
          <t>Cohort month 33</t>
        </is>
      </c>
      <c r="B42" s="74" t="n">
        <v>33</v>
      </c>
      <c r="C42" s="17">
        <f>INDEX(Ops!$E$110:$BL$110,1,$B42)</f>
        <v/>
      </c>
      <c r="AL42" s="75">
        <f>$C42*INDEX(Curves!$AZ$8:$AZ$68,AL$4-$B42+1)</f>
        <v/>
      </c>
      <c r="AM42" s="75">
        <f>$C42*INDEX(Curves!$AZ$8:$AZ$68,AM$4-$B42+1)</f>
        <v/>
      </c>
      <c r="AN42" s="75">
        <f>$C42*INDEX(Curves!$AZ$8:$AZ$68,AN$4-$B42+1)</f>
        <v/>
      </c>
      <c r="AO42" s="75">
        <f>$C42*INDEX(Curves!$AZ$8:$AZ$68,AO$4-$B42+1)</f>
        <v/>
      </c>
      <c r="AP42" s="75">
        <f>$C42*INDEX(Curves!$AZ$8:$AZ$68,AP$4-$B42+1)</f>
        <v/>
      </c>
      <c r="AQ42" s="75">
        <f>$C42*INDEX(Curves!$AZ$8:$AZ$68,AQ$4-$B42+1)</f>
        <v/>
      </c>
      <c r="AR42" s="75">
        <f>$C42*INDEX(Curves!$AZ$8:$AZ$68,AR$4-$B42+1)</f>
        <v/>
      </c>
      <c r="AS42" s="75">
        <f>$C42*INDEX(Curves!$AZ$8:$AZ$68,AS$4-$B42+1)</f>
        <v/>
      </c>
      <c r="AT42" s="75">
        <f>$C42*INDEX(Curves!$AZ$8:$AZ$68,AT$4-$B42+1)</f>
        <v/>
      </c>
      <c r="AU42" s="75">
        <f>$C42*INDEX(Curves!$AZ$8:$AZ$68,AU$4-$B42+1)</f>
        <v/>
      </c>
      <c r="AV42" s="75">
        <f>$C42*INDEX(Curves!$AZ$8:$AZ$68,AV$4-$B42+1)</f>
        <v/>
      </c>
      <c r="AW42" s="75">
        <f>$C42*INDEX(Curves!$AZ$8:$AZ$68,AW$4-$B42+1)</f>
        <v/>
      </c>
      <c r="AX42" s="75">
        <f>$C42*INDEX(Curves!$AZ$8:$AZ$68,AX$4-$B42+1)</f>
        <v/>
      </c>
      <c r="AY42" s="75">
        <f>$C42*INDEX(Curves!$AZ$8:$AZ$68,AY$4-$B42+1)</f>
        <v/>
      </c>
      <c r="AZ42" s="75">
        <f>$C42*INDEX(Curves!$AZ$8:$AZ$68,AZ$4-$B42+1)</f>
        <v/>
      </c>
      <c r="BA42" s="75">
        <f>$C42*INDEX(Curves!$AZ$8:$AZ$68,BA$4-$B42+1)</f>
        <v/>
      </c>
      <c r="BB42" s="75">
        <f>$C42*INDEX(Curves!$AZ$8:$AZ$68,BB$4-$B42+1)</f>
        <v/>
      </c>
      <c r="BC42" s="75">
        <f>$C42*INDEX(Curves!$AZ$8:$AZ$68,BC$4-$B42+1)</f>
        <v/>
      </c>
      <c r="BD42" s="75">
        <f>$C42*INDEX(Curves!$AZ$8:$AZ$68,BD$4-$B42+1)</f>
        <v/>
      </c>
      <c r="BE42" s="75">
        <f>$C42*INDEX(Curves!$AZ$8:$AZ$68,BE$4-$B42+1)</f>
        <v/>
      </c>
      <c r="BF42" s="75">
        <f>$C42*INDEX(Curves!$AZ$8:$AZ$68,BF$4-$B42+1)</f>
        <v/>
      </c>
      <c r="BG42" s="75">
        <f>$C42*INDEX(Curves!$AZ$8:$AZ$68,BG$4-$B42+1)</f>
        <v/>
      </c>
      <c r="BH42" s="75">
        <f>$C42*INDEX(Curves!$AZ$8:$AZ$68,BH$4-$B42+1)</f>
        <v/>
      </c>
      <c r="BI42" s="75">
        <f>$C42*INDEX(Curves!$AZ$8:$AZ$68,BI$4-$B42+1)</f>
        <v/>
      </c>
      <c r="BJ42" s="75">
        <f>$C42*INDEX(Curves!$AZ$8:$AZ$68,BJ$4-$B42+1)</f>
        <v/>
      </c>
      <c r="BK42" s="75">
        <f>$C42*INDEX(Curves!$AZ$8:$AZ$68,BK$4-$B42+1)</f>
        <v/>
      </c>
      <c r="BL42" s="75">
        <f>$C42*INDEX(Curves!$AZ$8:$AZ$68,BL$4-$B42+1)</f>
        <v/>
      </c>
    </row>
    <row r="43">
      <c r="A43" s="74" t="inlineStr">
        <is>
          <t>Cohort month 34</t>
        </is>
      </c>
      <c r="B43" s="74" t="n">
        <v>34</v>
      </c>
      <c r="C43" s="17">
        <f>INDEX(Ops!$E$110:$BL$110,1,$B43)</f>
        <v/>
      </c>
      <c r="AM43" s="75">
        <f>$C43*INDEX(Curves!$AZ$8:$AZ$68,AM$4-$B43+1)</f>
        <v/>
      </c>
      <c r="AN43" s="75">
        <f>$C43*INDEX(Curves!$AZ$8:$AZ$68,AN$4-$B43+1)</f>
        <v/>
      </c>
      <c r="AO43" s="75">
        <f>$C43*INDEX(Curves!$AZ$8:$AZ$68,AO$4-$B43+1)</f>
        <v/>
      </c>
      <c r="AP43" s="75">
        <f>$C43*INDEX(Curves!$AZ$8:$AZ$68,AP$4-$B43+1)</f>
        <v/>
      </c>
      <c r="AQ43" s="75">
        <f>$C43*INDEX(Curves!$AZ$8:$AZ$68,AQ$4-$B43+1)</f>
        <v/>
      </c>
      <c r="AR43" s="75">
        <f>$C43*INDEX(Curves!$AZ$8:$AZ$68,AR$4-$B43+1)</f>
        <v/>
      </c>
      <c r="AS43" s="75">
        <f>$C43*INDEX(Curves!$AZ$8:$AZ$68,AS$4-$B43+1)</f>
        <v/>
      </c>
      <c r="AT43" s="75">
        <f>$C43*INDEX(Curves!$AZ$8:$AZ$68,AT$4-$B43+1)</f>
        <v/>
      </c>
      <c r="AU43" s="75">
        <f>$C43*INDEX(Curves!$AZ$8:$AZ$68,AU$4-$B43+1)</f>
        <v/>
      </c>
      <c r="AV43" s="75">
        <f>$C43*INDEX(Curves!$AZ$8:$AZ$68,AV$4-$B43+1)</f>
        <v/>
      </c>
      <c r="AW43" s="75">
        <f>$C43*INDEX(Curves!$AZ$8:$AZ$68,AW$4-$B43+1)</f>
        <v/>
      </c>
      <c r="AX43" s="75">
        <f>$C43*INDEX(Curves!$AZ$8:$AZ$68,AX$4-$B43+1)</f>
        <v/>
      </c>
      <c r="AY43" s="75">
        <f>$C43*INDEX(Curves!$AZ$8:$AZ$68,AY$4-$B43+1)</f>
        <v/>
      </c>
      <c r="AZ43" s="75">
        <f>$C43*INDEX(Curves!$AZ$8:$AZ$68,AZ$4-$B43+1)</f>
        <v/>
      </c>
      <c r="BA43" s="75">
        <f>$C43*INDEX(Curves!$AZ$8:$AZ$68,BA$4-$B43+1)</f>
        <v/>
      </c>
      <c r="BB43" s="75">
        <f>$C43*INDEX(Curves!$AZ$8:$AZ$68,BB$4-$B43+1)</f>
        <v/>
      </c>
      <c r="BC43" s="75">
        <f>$C43*INDEX(Curves!$AZ$8:$AZ$68,BC$4-$B43+1)</f>
        <v/>
      </c>
      <c r="BD43" s="75">
        <f>$C43*INDEX(Curves!$AZ$8:$AZ$68,BD$4-$B43+1)</f>
        <v/>
      </c>
      <c r="BE43" s="75">
        <f>$C43*INDEX(Curves!$AZ$8:$AZ$68,BE$4-$B43+1)</f>
        <v/>
      </c>
      <c r="BF43" s="75">
        <f>$C43*INDEX(Curves!$AZ$8:$AZ$68,BF$4-$B43+1)</f>
        <v/>
      </c>
      <c r="BG43" s="75">
        <f>$C43*INDEX(Curves!$AZ$8:$AZ$68,BG$4-$B43+1)</f>
        <v/>
      </c>
      <c r="BH43" s="75">
        <f>$C43*INDEX(Curves!$AZ$8:$AZ$68,BH$4-$B43+1)</f>
        <v/>
      </c>
      <c r="BI43" s="75">
        <f>$C43*INDEX(Curves!$AZ$8:$AZ$68,BI$4-$B43+1)</f>
        <v/>
      </c>
      <c r="BJ43" s="75">
        <f>$C43*INDEX(Curves!$AZ$8:$AZ$68,BJ$4-$B43+1)</f>
        <v/>
      </c>
      <c r="BK43" s="75">
        <f>$C43*INDEX(Curves!$AZ$8:$AZ$68,BK$4-$B43+1)</f>
        <v/>
      </c>
      <c r="BL43" s="75">
        <f>$C43*INDEX(Curves!$AZ$8:$AZ$68,BL$4-$B43+1)</f>
        <v/>
      </c>
    </row>
    <row r="44">
      <c r="A44" s="74" t="inlineStr">
        <is>
          <t>Cohort month 35</t>
        </is>
      </c>
      <c r="B44" s="74" t="n">
        <v>35</v>
      </c>
      <c r="C44" s="17">
        <f>INDEX(Ops!$E$110:$BL$110,1,$B44)</f>
        <v/>
      </c>
      <c r="AN44" s="75">
        <f>$C44*INDEX(Curves!$AZ$8:$AZ$68,AN$4-$B44+1)</f>
        <v/>
      </c>
      <c r="AO44" s="75">
        <f>$C44*INDEX(Curves!$AZ$8:$AZ$68,AO$4-$B44+1)</f>
        <v/>
      </c>
      <c r="AP44" s="75">
        <f>$C44*INDEX(Curves!$AZ$8:$AZ$68,AP$4-$B44+1)</f>
        <v/>
      </c>
      <c r="AQ44" s="75">
        <f>$C44*INDEX(Curves!$AZ$8:$AZ$68,AQ$4-$B44+1)</f>
        <v/>
      </c>
      <c r="AR44" s="75">
        <f>$C44*INDEX(Curves!$AZ$8:$AZ$68,AR$4-$B44+1)</f>
        <v/>
      </c>
      <c r="AS44" s="75">
        <f>$C44*INDEX(Curves!$AZ$8:$AZ$68,AS$4-$B44+1)</f>
        <v/>
      </c>
      <c r="AT44" s="75">
        <f>$C44*INDEX(Curves!$AZ$8:$AZ$68,AT$4-$B44+1)</f>
        <v/>
      </c>
      <c r="AU44" s="75">
        <f>$C44*INDEX(Curves!$AZ$8:$AZ$68,AU$4-$B44+1)</f>
        <v/>
      </c>
      <c r="AV44" s="75">
        <f>$C44*INDEX(Curves!$AZ$8:$AZ$68,AV$4-$B44+1)</f>
        <v/>
      </c>
      <c r="AW44" s="75">
        <f>$C44*INDEX(Curves!$AZ$8:$AZ$68,AW$4-$B44+1)</f>
        <v/>
      </c>
      <c r="AX44" s="75">
        <f>$C44*INDEX(Curves!$AZ$8:$AZ$68,AX$4-$B44+1)</f>
        <v/>
      </c>
      <c r="AY44" s="75">
        <f>$C44*INDEX(Curves!$AZ$8:$AZ$68,AY$4-$B44+1)</f>
        <v/>
      </c>
      <c r="AZ44" s="75">
        <f>$C44*INDEX(Curves!$AZ$8:$AZ$68,AZ$4-$B44+1)</f>
        <v/>
      </c>
      <c r="BA44" s="75">
        <f>$C44*INDEX(Curves!$AZ$8:$AZ$68,BA$4-$B44+1)</f>
        <v/>
      </c>
      <c r="BB44" s="75">
        <f>$C44*INDEX(Curves!$AZ$8:$AZ$68,BB$4-$B44+1)</f>
        <v/>
      </c>
      <c r="BC44" s="75">
        <f>$C44*INDEX(Curves!$AZ$8:$AZ$68,BC$4-$B44+1)</f>
        <v/>
      </c>
      <c r="BD44" s="75">
        <f>$C44*INDEX(Curves!$AZ$8:$AZ$68,BD$4-$B44+1)</f>
        <v/>
      </c>
      <c r="BE44" s="75">
        <f>$C44*INDEX(Curves!$AZ$8:$AZ$68,BE$4-$B44+1)</f>
        <v/>
      </c>
      <c r="BF44" s="75">
        <f>$C44*INDEX(Curves!$AZ$8:$AZ$68,BF$4-$B44+1)</f>
        <v/>
      </c>
      <c r="BG44" s="75">
        <f>$C44*INDEX(Curves!$AZ$8:$AZ$68,BG$4-$B44+1)</f>
        <v/>
      </c>
      <c r="BH44" s="75">
        <f>$C44*INDEX(Curves!$AZ$8:$AZ$68,BH$4-$B44+1)</f>
        <v/>
      </c>
      <c r="BI44" s="75">
        <f>$C44*INDEX(Curves!$AZ$8:$AZ$68,BI$4-$B44+1)</f>
        <v/>
      </c>
      <c r="BJ44" s="75">
        <f>$C44*INDEX(Curves!$AZ$8:$AZ$68,BJ$4-$B44+1)</f>
        <v/>
      </c>
      <c r="BK44" s="75">
        <f>$C44*INDEX(Curves!$AZ$8:$AZ$68,BK$4-$B44+1)</f>
        <v/>
      </c>
      <c r="BL44" s="75">
        <f>$C44*INDEX(Curves!$AZ$8:$AZ$68,BL$4-$B44+1)</f>
        <v/>
      </c>
    </row>
    <row r="45">
      <c r="A45" s="74" t="inlineStr">
        <is>
          <t>Cohort month 36</t>
        </is>
      </c>
      <c r="B45" s="74" t="n">
        <v>36</v>
      </c>
      <c r="C45" s="17">
        <f>INDEX(Ops!$E$110:$BL$110,1,$B45)</f>
        <v/>
      </c>
      <c r="AO45" s="75">
        <f>$C45*INDEX(Curves!$AZ$8:$AZ$68,AO$4-$B45+1)</f>
        <v/>
      </c>
      <c r="AP45" s="75">
        <f>$C45*INDEX(Curves!$AZ$8:$AZ$68,AP$4-$B45+1)</f>
        <v/>
      </c>
      <c r="AQ45" s="75">
        <f>$C45*INDEX(Curves!$AZ$8:$AZ$68,AQ$4-$B45+1)</f>
        <v/>
      </c>
      <c r="AR45" s="75">
        <f>$C45*INDEX(Curves!$AZ$8:$AZ$68,AR$4-$B45+1)</f>
        <v/>
      </c>
      <c r="AS45" s="75">
        <f>$C45*INDEX(Curves!$AZ$8:$AZ$68,AS$4-$B45+1)</f>
        <v/>
      </c>
      <c r="AT45" s="75">
        <f>$C45*INDEX(Curves!$AZ$8:$AZ$68,AT$4-$B45+1)</f>
        <v/>
      </c>
      <c r="AU45" s="75">
        <f>$C45*INDEX(Curves!$AZ$8:$AZ$68,AU$4-$B45+1)</f>
        <v/>
      </c>
      <c r="AV45" s="75">
        <f>$C45*INDEX(Curves!$AZ$8:$AZ$68,AV$4-$B45+1)</f>
        <v/>
      </c>
      <c r="AW45" s="75">
        <f>$C45*INDEX(Curves!$AZ$8:$AZ$68,AW$4-$B45+1)</f>
        <v/>
      </c>
      <c r="AX45" s="75">
        <f>$C45*INDEX(Curves!$AZ$8:$AZ$68,AX$4-$B45+1)</f>
        <v/>
      </c>
      <c r="AY45" s="75">
        <f>$C45*INDEX(Curves!$AZ$8:$AZ$68,AY$4-$B45+1)</f>
        <v/>
      </c>
      <c r="AZ45" s="75">
        <f>$C45*INDEX(Curves!$AZ$8:$AZ$68,AZ$4-$B45+1)</f>
        <v/>
      </c>
      <c r="BA45" s="75">
        <f>$C45*INDEX(Curves!$AZ$8:$AZ$68,BA$4-$B45+1)</f>
        <v/>
      </c>
      <c r="BB45" s="75">
        <f>$C45*INDEX(Curves!$AZ$8:$AZ$68,BB$4-$B45+1)</f>
        <v/>
      </c>
      <c r="BC45" s="75">
        <f>$C45*INDEX(Curves!$AZ$8:$AZ$68,BC$4-$B45+1)</f>
        <v/>
      </c>
      <c r="BD45" s="75">
        <f>$C45*INDEX(Curves!$AZ$8:$AZ$68,BD$4-$B45+1)</f>
        <v/>
      </c>
      <c r="BE45" s="75">
        <f>$C45*INDEX(Curves!$AZ$8:$AZ$68,BE$4-$B45+1)</f>
        <v/>
      </c>
      <c r="BF45" s="75">
        <f>$C45*INDEX(Curves!$AZ$8:$AZ$68,BF$4-$B45+1)</f>
        <v/>
      </c>
      <c r="BG45" s="75">
        <f>$C45*INDEX(Curves!$AZ$8:$AZ$68,BG$4-$B45+1)</f>
        <v/>
      </c>
      <c r="BH45" s="75">
        <f>$C45*INDEX(Curves!$AZ$8:$AZ$68,BH$4-$B45+1)</f>
        <v/>
      </c>
      <c r="BI45" s="75">
        <f>$C45*INDEX(Curves!$AZ$8:$AZ$68,BI$4-$B45+1)</f>
        <v/>
      </c>
      <c r="BJ45" s="75">
        <f>$C45*INDEX(Curves!$AZ$8:$AZ$68,BJ$4-$B45+1)</f>
        <v/>
      </c>
      <c r="BK45" s="75">
        <f>$C45*INDEX(Curves!$AZ$8:$AZ$68,BK$4-$B45+1)</f>
        <v/>
      </c>
      <c r="BL45" s="75">
        <f>$C45*INDEX(Curves!$AZ$8:$AZ$68,BL$4-$B45+1)</f>
        <v/>
      </c>
    </row>
    <row r="46">
      <c r="A46" s="74" t="inlineStr">
        <is>
          <t>Cohort month 37</t>
        </is>
      </c>
      <c r="B46" s="74" t="n">
        <v>37</v>
      </c>
      <c r="C46" s="17">
        <f>INDEX(Ops!$E$110:$BL$110,1,$B46)</f>
        <v/>
      </c>
      <c r="AP46" s="75">
        <f>$C46*INDEX(Curves!$AZ$8:$AZ$68,AP$4-$B46+1)</f>
        <v/>
      </c>
      <c r="AQ46" s="75">
        <f>$C46*INDEX(Curves!$AZ$8:$AZ$68,AQ$4-$B46+1)</f>
        <v/>
      </c>
      <c r="AR46" s="75">
        <f>$C46*INDEX(Curves!$AZ$8:$AZ$68,AR$4-$B46+1)</f>
        <v/>
      </c>
      <c r="AS46" s="75">
        <f>$C46*INDEX(Curves!$AZ$8:$AZ$68,AS$4-$B46+1)</f>
        <v/>
      </c>
      <c r="AT46" s="75">
        <f>$C46*INDEX(Curves!$AZ$8:$AZ$68,AT$4-$B46+1)</f>
        <v/>
      </c>
      <c r="AU46" s="75">
        <f>$C46*INDEX(Curves!$AZ$8:$AZ$68,AU$4-$B46+1)</f>
        <v/>
      </c>
      <c r="AV46" s="75">
        <f>$C46*INDEX(Curves!$AZ$8:$AZ$68,AV$4-$B46+1)</f>
        <v/>
      </c>
      <c r="AW46" s="75">
        <f>$C46*INDEX(Curves!$AZ$8:$AZ$68,AW$4-$B46+1)</f>
        <v/>
      </c>
      <c r="AX46" s="75">
        <f>$C46*INDEX(Curves!$AZ$8:$AZ$68,AX$4-$B46+1)</f>
        <v/>
      </c>
      <c r="AY46" s="75">
        <f>$C46*INDEX(Curves!$AZ$8:$AZ$68,AY$4-$B46+1)</f>
        <v/>
      </c>
      <c r="AZ46" s="75">
        <f>$C46*INDEX(Curves!$AZ$8:$AZ$68,AZ$4-$B46+1)</f>
        <v/>
      </c>
      <c r="BA46" s="75">
        <f>$C46*INDEX(Curves!$AZ$8:$AZ$68,BA$4-$B46+1)</f>
        <v/>
      </c>
      <c r="BB46" s="75">
        <f>$C46*INDEX(Curves!$AZ$8:$AZ$68,BB$4-$B46+1)</f>
        <v/>
      </c>
      <c r="BC46" s="75">
        <f>$C46*INDEX(Curves!$AZ$8:$AZ$68,BC$4-$B46+1)</f>
        <v/>
      </c>
      <c r="BD46" s="75">
        <f>$C46*INDEX(Curves!$AZ$8:$AZ$68,BD$4-$B46+1)</f>
        <v/>
      </c>
      <c r="BE46" s="75">
        <f>$C46*INDEX(Curves!$AZ$8:$AZ$68,BE$4-$B46+1)</f>
        <v/>
      </c>
      <c r="BF46" s="75">
        <f>$C46*INDEX(Curves!$AZ$8:$AZ$68,BF$4-$B46+1)</f>
        <v/>
      </c>
      <c r="BG46" s="75">
        <f>$C46*INDEX(Curves!$AZ$8:$AZ$68,BG$4-$B46+1)</f>
        <v/>
      </c>
      <c r="BH46" s="75">
        <f>$C46*INDEX(Curves!$AZ$8:$AZ$68,BH$4-$B46+1)</f>
        <v/>
      </c>
      <c r="BI46" s="75">
        <f>$C46*INDEX(Curves!$AZ$8:$AZ$68,BI$4-$B46+1)</f>
        <v/>
      </c>
      <c r="BJ46" s="75">
        <f>$C46*INDEX(Curves!$AZ$8:$AZ$68,BJ$4-$B46+1)</f>
        <v/>
      </c>
      <c r="BK46" s="75">
        <f>$C46*INDEX(Curves!$AZ$8:$AZ$68,BK$4-$B46+1)</f>
        <v/>
      </c>
      <c r="BL46" s="75">
        <f>$C46*INDEX(Curves!$AZ$8:$AZ$68,BL$4-$B46+1)</f>
        <v/>
      </c>
    </row>
    <row r="47">
      <c r="A47" s="74" t="inlineStr">
        <is>
          <t>Cohort month 38</t>
        </is>
      </c>
      <c r="B47" s="74" t="n">
        <v>38</v>
      </c>
      <c r="C47" s="17">
        <f>INDEX(Ops!$E$110:$BL$110,1,$B47)</f>
        <v/>
      </c>
      <c r="AQ47" s="75">
        <f>$C47*INDEX(Curves!$AZ$8:$AZ$68,AQ$4-$B47+1)</f>
        <v/>
      </c>
      <c r="AR47" s="75">
        <f>$C47*INDEX(Curves!$AZ$8:$AZ$68,AR$4-$B47+1)</f>
        <v/>
      </c>
      <c r="AS47" s="75">
        <f>$C47*INDEX(Curves!$AZ$8:$AZ$68,AS$4-$B47+1)</f>
        <v/>
      </c>
      <c r="AT47" s="75">
        <f>$C47*INDEX(Curves!$AZ$8:$AZ$68,AT$4-$B47+1)</f>
        <v/>
      </c>
      <c r="AU47" s="75">
        <f>$C47*INDEX(Curves!$AZ$8:$AZ$68,AU$4-$B47+1)</f>
        <v/>
      </c>
      <c r="AV47" s="75">
        <f>$C47*INDEX(Curves!$AZ$8:$AZ$68,AV$4-$B47+1)</f>
        <v/>
      </c>
      <c r="AW47" s="75">
        <f>$C47*INDEX(Curves!$AZ$8:$AZ$68,AW$4-$B47+1)</f>
        <v/>
      </c>
      <c r="AX47" s="75">
        <f>$C47*INDEX(Curves!$AZ$8:$AZ$68,AX$4-$B47+1)</f>
        <v/>
      </c>
      <c r="AY47" s="75">
        <f>$C47*INDEX(Curves!$AZ$8:$AZ$68,AY$4-$B47+1)</f>
        <v/>
      </c>
      <c r="AZ47" s="75">
        <f>$C47*INDEX(Curves!$AZ$8:$AZ$68,AZ$4-$B47+1)</f>
        <v/>
      </c>
      <c r="BA47" s="75">
        <f>$C47*INDEX(Curves!$AZ$8:$AZ$68,BA$4-$B47+1)</f>
        <v/>
      </c>
      <c r="BB47" s="75">
        <f>$C47*INDEX(Curves!$AZ$8:$AZ$68,BB$4-$B47+1)</f>
        <v/>
      </c>
      <c r="BC47" s="75">
        <f>$C47*INDEX(Curves!$AZ$8:$AZ$68,BC$4-$B47+1)</f>
        <v/>
      </c>
      <c r="BD47" s="75">
        <f>$C47*INDEX(Curves!$AZ$8:$AZ$68,BD$4-$B47+1)</f>
        <v/>
      </c>
      <c r="BE47" s="75">
        <f>$C47*INDEX(Curves!$AZ$8:$AZ$68,BE$4-$B47+1)</f>
        <v/>
      </c>
      <c r="BF47" s="75">
        <f>$C47*INDEX(Curves!$AZ$8:$AZ$68,BF$4-$B47+1)</f>
        <v/>
      </c>
      <c r="BG47" s="75">
        <f>$C47*INDEX(Curves!$AZ$8:$AZ$68,BG$4-$B47+1)</f>
        <v/>
      </c>
      <c r="BH47" s="75">
        <f>$C47*INDEX(Curves!$AZ$8:$AZ$68,BH$4-$B47+1)</f>
        <v/>
      </c>
      <c r="BI47" s="75">
        <f>$C47*INDEX(Curves!$AZ$8:$AZ$68,BI$4-$B47+1)</f>
        <v/>
      </c>
      <c r="BJ47" s="75">
        <f>$C47*INDEX(Curves!$AZ$8:$AZ$68,BJ$4-$B47+1)</f>
        <v/>
      </c>
      <c r="BK47" s="75">
        <f>$C47*INDEX(Curves!$AZ$8:$AZ$68,BK$4-$B47+1)</f>
        <v/>
      </c>
      <c r="BL47" s="75">
        <f>$C47*INDEX(Curves!$AZ$8:$AZ$68,BL$4-$B47+1)</f>
        <v/>
      </c>
    </row>
    <row r="48">
      <c r="A48" s="74" t="inlineStr">
        <is>
          <t>Cohort month 39</t>
        </is>
      </c>
      <c r="B48" s="74" t="n">
        <v>39</v>
      </c>
      <c r="C48" s="17">
        <f>INDEX(Ops!$E$110:$BL$110,1,$B48)</f>
        <v/>
      </c>
      <c r="AR48" s="75">
        <f>$C48*INDEX(Curves!$AZ$8:$AZ$68,AR$4-$B48+1)</f>
        <v/>
      </c>
      <c r="AS48" s="75">
        <f>$C48*INDEX(Curves!$AZ$8:$AZ$68,AS$4-$B48+1)</f>
        <v/>
      </c>
      <c r="AT48" s="75">
        <f>$C48*INDEX(Curves!$AZ$8:$AZ$68,AT$4-$B48+1)</f>
        <v/>
      </c>
      <c r="AU48" s="75">
        <f>$C48*INDEX(Curves!$AZ$8:$AZ$68,AU$4-$B48+1)</f>
        <v/>
      </c>
      <c r="AV48" s="75">
        <f>$C48*INDEX(Curves!$AZ$8:$AZ$68,AV$4-$B48+1)</f>
        <v/>
      </c>
      <c r="AW48" s="75">
        <f>$C48*INDEX(Curves!$AZ$8:$AZ$68,AW$4-$B48+1)</f>
        <v/>
      </c>
      <c r="AX48" s="75">
        <f>$C48*INDEX(Curves!$AZ$8:$AZ$68,AX$4-$B48+1)</f>
        <v/>
      </c>
      <c r="AY48" s="75">
        <f>$C48*INDEX(Curves!$AZ$8:$AZ$68,AY$4-$B48+1)</f>
        <v/>
      </c>
      <c r="AZ48" s="75">
        <f>$C48*INDEX(Curves!$AZ$8:$AZ$68,AZ$4-$B48+1)</f>
        <v/>
      </c>
      <c r="BA48" s="75">
        <f>$C48*INDEX(Curves!$AZ$8:$AZ$68,BA$4-$B48+1)</f>
        <v/>
      </c>
      <c r="BB48" s="75">
        <f>$C48*INDEX(Curves!$AZ$8:$AZ$68,BB$4-$B48+1)</f>
        <v/>
      </c>
      <c r="BC48" s="75">
        <f>$C48*INDEX(Curves!$AZ$8:$AZ$68,BC$4-$B48+1)</f>
        <v/>
      </c>
      <c r="BD48" s="75">
        <f>$C48*INDEX(Curves!$AZ$8:$AZ$68,BD$4-$B48+1)</f>
        <v/>
      </c>
      <c r="BE48" s="75">
        <f>$C48*INDEX(Curves!$AZ$8:$AZ$68,BE$4-$B48+1)</f>
        <v/>
      </c>
      <c r="BF48" s="75">
        <f>$C48*INDEX(Curves!$AZ$8:$AZ$68,BF$4-$B48+1)</f>
        <v/>
      </c>
      <c r="BG48" s="75">
        <f>$C48*INDEX(Curves!$AZ$8:$AZ$68,BG$4-$B48+1)</f>
        <v/>
      </c>
      <c r="BH48" s="75">
        <f>$C48*INDEX(Curves!$AZ$8:$AZ$68,BH$4-$B48+1)</f>
        <v/>
      </c>
      <c r="BI48" s="75">
        <f>$C48*INDEX(Curves!$AZ$8:$AZ$68,BI$4-$B48+1)</f>
        <v/>
      </c>
      <c r="BJ48" s="75">
        <f>$C48*INDEX(Curves!$AZ$8:$AZ$68,BJ$4-$B48+1)</f>
        <v/>
      </c>
      <c r="BK48" s="75">
        <f>$C48*INDEX(Curves!$AZ$8:$AZ$68,BK$4-$B48+1)</f>
        <v/>
      </c>
      <c r="BL48" s="75">
        <f>$C48*INDEX(Curves!$AZ$8:$AZ$68,BL$4-$B48+1)</f>
        <v/>
      </c>
    </row>
    <row r="49">
      <c r="A49" s="74" t="inlineStr">
        <is>
          <t>Cohort month 40</t>
        </is>
      </c>
      <c r="B49" s="74" t="n">
        <v>40</v>
      </c>
      <c r="C49" s="17">
        <f>INDEX(Ops!$E$110:$BL$110,1,$B49)</f>
        <v/>
      </c>
      <c r="AS49" s="75">
        <f>$C49*INDEX(Curves!$AZ$8:$AZ$68,AS$4-$B49+1)</f>
        <v/>
      </c>
      <c r="AT49" s="75">
        <f>$C49*INDEX(Curves!$AZ$8:$AZ$68,AT$4-$B49+1)</f>
        <v/>
      </c>
      <c r="AU49" s="75">
        <f>$C49*INDEX(Curves!$AZ$8:$AZ$68,AU$4-$B49+1)</f>
        <v/>
      </c>
      <c r="AV49" s="75">
        <f>$C49*INDEX(Curves!$AZ$8:$AZ$68,AV$4-$B49+1)</f>
        <v/>
      </c>
      <c r="AW49" s="75">
        <f>$C49*INDEX(Curves!$AZ$8:$AZ$68,AW$4-$B49+1)</f>
        <v/>
      </c>
      <c r="AX49" s="75">
        <f>$C49*INDEX(Curves!$AZ$8:$AZ$68,AX$4-$B49+1)</f>
        <v/>
      </c>
      <c r="AY49" s="75">
        <f>$C49*INDEX(Curves!$AZ$8:$AZ$68,AY$4-$B49+1)</f>
        <v/>
      </c>
      <c r="AZ49" s="75">
        <f>$C49*INDEX(Curves!$AZ$8:$AZ$68,AZ$4-$B49+1)</f>
        <v/>
      </c>
      <c r="BA49" s="75">
        <f>$C49*INDEX(Curves!$AZ$8:$AZ$68,BA$4-$B49+1)</f>
        <v/>
      </c>
      <c r="BB49" s="75">
        <f>$C49*INDEX(Curves!$AZ$8:$AZ$68,BB$4-$B49+1)</f>
        <v/>
      </c>
      <c r="BC49" s="75">
        <f>$C49*INDEX(Curves!$AZ$8:$AZ$68,BC$4-$B49+1)</f>
        <v/>
      </c>
      <c r="BD49" s="75">
        <f>$C49*INDEX(Curves!$AZ$8:$AZ$68,BD$4-$B49+1)</f>
        <v/>
      </c>
      <c r="BE49" s="75">
        <f>$C49*INDEX(Curves!$AZ$8:$AZ$68,BE$4-$B49+1)</f>
        <v/>
      </c>
      <c r="BF49" s="75">
        <f>$C49*INDEX(Curves!$AZ$8:$AZ$68,BF$4-$B49+1)</f>
        <v/>
      </c>
      <c r="BG49" s="75">
        <f>$C49*INDEX(Curves!$AZ$8:$AZ$68,BG$4-$B49+1)</f>
        <v/>
      </c>
      <c r="BH49" s="75">
        <f>$C49*INDEX(Curves!$AZ$8:$AZ$68,BH$4-$B49+1)</f>
        <v/>
      </c>
      <c r="BI49" s="75">
        <f>$C49*INDEX(Curves!$AZ$8:$AZ$68,BI$4-$B49+1)</f>
        <v/>
      </c>
      <c r="BJ49" s="75">
        <f>$C49*INDEX(Curves!$AZ$8:$AZ$68,BJ$4-$B49+1)</f>
        <v/>
      </c>
      <c r="BK49" s="75">
        <f>$C49*INDEX(Curves!$AZ$8:$AZ$68,BK$4-$B49+1)</f>
        <v/>
      </c>
      <c r="BL49" s="75">
        <f>$C49*INDEX(Curves!$AZ$8:$AZ$68,BL$4-$B49+1)</f>
        <v/>
      </c>
    </row>
    <row r="50">
      <c r="A50" s="74" t="inlineStr">
        <is>
          <t>Cohort month 41</t>
        </is>
      </c>
      <c r="B50" s="74" t="n">
        <v>41</v>
      </c>
      <c r="C50" s="17">
        <f>INDEX(Ops!$E$110:$BL$110,1,$B50)</f>
        <v/>
      </c>
      <c r="AT50" s="75">
        <f>$C50*INDEX(Curves!$AZ$8:$AZ$68,AT$4-$B50+1)</f>
        <v/>
      </c>
      <c r="AU50" s="75">
        <f>$C50*INDEX(Curves!$AZ$8:$AZ$68,AU$4-$B50+1)</f>
        <v/>
      </c>
      <c r="AV50" s="75">
        <f>$C50*INDEX(Curves!$AZ$8:$AZ$68,AV$4-$B50+1)</f>
        <v/>
      </c>
      <c r="AW50" s="75">
        <f>$C50*INDEX(Curves!$AZ$8:$AZ$68,AW$4-$B50+1)</f>
        <v/>
      </c>
      <c r="AX50" s="75">
        <f>$C50*INDEX(Curves!$AZ$8:$AZ$68,AX$4-$B50+1)</f>
        <v/>
      </c>
      <c r="AY50" s="75">
        <f>$C50*INDEX(Curves!$AZ$8:$AZ$68,AY$4-$B50+1)</f>
        <v/>
      </c>
      <c r="AZ50" s="75">
        <f>$C50*INDEX(Curves!$AZ$8:$AZ$68,AZ$4-$B50+1)</f>
        <v/>
      </c>
      <c r="BA50" s="75">
        <f>$C50*INDEX(Curves!$AZ$8:$AZ$68,BA$4-$B50+1)</f>
        <v/>
      </c>
      <c r="BB50" s="75">
        <f>$C50*INDEX(Curves!$AZ$8:$AZ$68,BB$4-$B50+1)</f>
        <v/>
      </c>
      <c r="BC50" s="75">
        <f>$C50*INDEX(Curves!$AZ$8:$AZ$68,BC$4-$B50+1)</f>
        <v/>
      </c>
      <c r="BD50" s="75">
        <f>$C50*INDEX(Curves!$AZ$8:$AZ$68,BD$4-$B50+1)</f>
        <v/>
      </c>
      <c r="BE50" s="75">
        <f>$C50*INDEX(Curves!$AZ$8:$AZ$68,BE$4-$B50+1)</f>
        <v/>
      </c>
      <c r="BF50" s="75">
        <f>$C50*INDEX(Curves!$AZ$8:$AZ$68,BF$4-$B50+1)</f>
        <v/>
      </c>
      <c r="BG50" s="75">
        <f>$C50*INDEX(Curves!$AZ$8:$AZ$68,BG$4-$B50+1)</f>
        <v/>
      </c>
      <c r="BH50" s="75">
        <f>$C50*INDEX(Curves!$AZ$8:$AZ$68,BH$4-$B50+1)</f>
        <v/>
      </c>
      <c r="BI50" s="75">
        <f>$C50*INDEX(Curves!$AZ$8:$AZ$68,BI$4-$B50+1)</f>
        <v/>
      </c>
      <c r="BJ50" s="75">
        <f>$C50*INDEX(Curves!$AZ$8:$AZ$68,BJ$4-$B50+1)</f>
        <v/>
      </c>
      <c r="BK50" s="75">
        <f>$C50*INDEX(Curves!$AZ$8:$AZ$68,BK$4-$B50+1)</f>
        <v/>
      </c>
      <c r="BL50" s="75">
        <f>$C50*INDEX(Curves!$AZ$8:$AZ$68,BL$4-$B50+1)</f>
        <v/>
      </c>
    </row>
    <row r="51">
      <c r="A51" s="74" t="inlineStr">
        <is>
          <t>Cohort month 42</t>
        </is>
      </c>
      <c r="B51" s="74" t="n">
        <v>42</v>
      </c>
      <c r="C51" s="17">
        <f>INDEX(Ops!$E$110:$BL$110,1,$B51)</f>
        <v/>
      </c>
      <c r="AU51" s="75">
        <f>$C51*INDEX(Curves!$AZ$8:$AZ$68,AU$4-$B51+1)</f>
        <v/>
      </c>
      <c r="AV51" s="75">
        <f>$C51*INDEX(Curves!$AZ$8:$AZ$68,AV$4-$B51+1)</f>
        <v/>
      </c>
      <c r="AW51" s="75">
        <f>$C51*INDEX(Curves!$AZ$8:$AZ$68,AW$4-$B51+1)</f>
        <v/>
      </c>
      <c r="AX51" s="75">
        <f>$C51*INDEX(Curves!$AZ$8:$AZ$68,AX$4-$B51+1)</f>
        <v/>
      </c>
      <c r="AY51" s="75">
        <f>$C51*INDEX(Curves!$AZ$8:$AZ$68,AY$4-$B51+1)</f>
        <v/>
      </c>
      <c r="AZ51" s="75">
        <f>$C51*INDEX(Curves!$AZ$8:$AZ$68,AZ$4-$B51+1)</f>
        <v/>
      </c>
      <c r="BA51" s="75">
        <f>$C51*INDEX(Curves!$AZ$8:$AZ$68,BA$4-$B51+1)</f>
        <v/>
      </c>
      <c r="BB51" s="75">
        <f>$C51*INDEX(Curves!$AZ$8:$AZ$68,BB$4-$B51+1)</f>
        <v/>
      </c>
      <c r="BC51" s="75">
        <f>$C51*INDEX(Curves!$AZ$8:$AZ$68,BC$4-$B51+1)</f>
        <v/>
      </c>
      <c r="BD51" s="75">
        <f>$C51*INDEX(Curves!$AZ$8:$AZ$68,BD$4-$B51+1)</f>
        <v/>
      </c>
      <c r="BE51" s="75">
        <f>$C51*INDEX(Curves!$AZ$8:$AZ$68,BE$4-$B51+1)</f>
        <v/>
      </c>
      <c r="BF51" s="75">
        <f>$C51*INDEX(Curves!$AZ$8:$AZ$68,BF$4-$B51+1)</f>
        <v/>
      </c>
      <c r="BG51" s="75">
        <f>$C51*INDEX(Curves!$AZ$8:$AZ$68,BG$4-$B51+1)</f>
        <v/>
      </c>
      <c r="BH51" s="75">
        <f>$C51*INDEX(Curves!$AZ$8:$AZ$68,BH$4-$B51+1)</f>
        <v/>
      </c>
      <c r="BI51" s="75">
        <f>$C51*INDEX(Curves!$AZ$8:$AZ$68,BI$4-$B51+1)</f>
        <v/>
      </c>
      <c r="BJ51" s="75">
        <f>$C51*INDEX(Curves!$AZ$8:$AZ$68,BJ$4-$B51+1)</f>
        <v/>
      </c>
      <c r="BK51" s="75">
        <f>$C51*INDEX(Curves!$AZ$8:$AZ$68,BK$4-$B51+1)</f>
        <v/>
      </c>
      <c r="BL51" s="75">
        <f>$C51*INDEX(Curves!$AZ$8:$AZ$68,BL$4-$B51+1)</f>
        <v/>
      </c>
    </row>
    <row r="52">
      <c r="A52" s="74" t="inlineStr">
        <is>
          <t>Cohort month 43</t>
        </is>
      </c>
      <c r="B52" s="74" t="n">
        <v>43</v>
      </c>
      <c r="C52" s="17">
        <f>INDEX(Ops!$E$110:$BL$110,1,$B52)</f>
        <v/>
      </c>
      <c r="AV52" s="75">
        <f>$C52*INDEX(Curves!$AZ$8:$AZ$68,AV$4-$B52+1)</f>
        <v/>
      </c>
      <c r="AW52" s="75">
        <f>$C52*INDEX(Curves!$AZ$8:$AZ$68,AW$4-$B52+1)</f>
        <v/>
      </c>
      <c r="AX52" s="75">
        <f>$C52*INDEX(Curves!$AZ$8:$AZ$68,AX$4-$B52+1)</f>
        <v/>
      </c>
      <c r="AY52" s="75">
        <f>$C52*INDEX(Curves!$AZ$8:$AZ$68,AY$4-$B52+1)</f>
        <v/>
      </c>
      <c r="AZ52" s="75">
        <f>$C52*INDEX(Curves!$AZ$8:$AZ$68,AZ$4-$B52+1)</f>
        <v/>
      </c>
      <c r="BA52" s="75">
        <f>$C52*INDEX(Curves!$AZ$8:$AZ$68,BA$4-$B52+1)</f>
        <v/>
      </c>
      <c r="BB52" s="75">
        <f>$C52*INDEX(Curves!$AZ$8:$AZ$68,BB$4-$B52+1)</f>
        <v/>
      </c>
      <c r="BC52" s="75">
        <f>$C52*INDEX(Curves!$AZ$8:$AZ$68,BC$4-$B52+1)</f>
        <v/>
      </c>
      <c r="BD52" s="75">
        <f>$C52*INDEX(Curves!$AZ$8:$AZ$68,BD$4-$B52+1)</f>
        <v/>
      </c>
      <c r="BE52" s="75">
        <f>$C52*INDEX(Curves!$AZ$8:$AZ$68,BE$4-$B52+1)</f>
        <v/>
      </c>
      <c r="BF52" s="75">
        <f>$C52*INDEX(Curves!$AZ$8:$AZ$68,BF$4-$B52+1)</f>
        <v/>
      </c>
      <c r="BG52" s="75">
        <f>$C52*INDEX(Curves!$AZ$8:$AZ$68,BG$4-$B52+1)</f>
        <v/>
      </c>
      <c r="BH52" s="75">
        <f>$C52*INDEX(Curves!$AZ$8:$AZ$68,BH$4-$B52+1)</f>
        <v/>
      </c>
      <c r="BI52" s="75">
        <f>$C52*INDEX(Curves!$AZ$8:$AZ$68,BI$4-$B52+1)</f>
        <v/>
      </c>
      <c r="BJ52" s="75">
        <f>$C52*INDEX(Curves!$AZ$8:$AZ$68,BJ$4-$B52+1)</f>
        <v/>
      </c>
      <c r="BK52" s="75">
        <f>$C52*INDEX(Curves!$AZ$8:$AZ$68,BK$4-$B52+1)</f>
        <v/>
      </c>
      <c r="BL52" s="75">
        <f>$C52*INDEX(Curves!$AZ$8:$AZ$68,BL$4-$B52+1)</f>
        <v/>
      </c>
    </row>
    <row r="53">
      <c r="A53" s="74" t="inlineStr">
        <is>
          <t>Cohort month 44</t>
        </is>
      </c>
      <c r="B53" s="74" t="n">
        <v>44</v>
      </c>
      <c r="C53" s="17">
        <f>INDEX(Ops!$E$110:$BL$110,1,$B53)</f>
        <v/>
      </c>
      <c r="AW53" s="75">
        <f>$C53*INDEX(Curves!$AZ$8:$AZ$68,AW$4-$B53+1)</f>
        <v/>
      </c>
      <c r="AX53" s="75">
        <f>$C53*INDEX(Curves!$AZ$8:$AZ$68,AX$4-$B53+1)</f>
        <v/>
      </c>
      <c r="AY53" s="75">
        <f>$C53*INDEX(Curves!$AZ$8:$AZ$68,AY$4-$B53+1)</f>
        <v/>
      </c>
      <c r="AZ53" s="75">
        <f>$C53*INDEX(Curves!$AZ$8:$AZ$68,AZ$4-$B53+1)</f>
        <v/>
      </c>
      <c r="BA53" s="75">
        <f>$C53*INDEX(Curves!$AZ$8:$AZ$68,BA$4-$B53+1)</f>
        <v/>
      </c>
      <c r="BB53" s="75">
        <f>$C53*INDEX(Curves!$AZ$8:$AZ$68,BB$4-$B53+1)</f>
        <v/>
      </c>
      <c r="BC53" s="75">
        <f>$C53*INDEX(Curves!$AZ$8:$AZ$68,BC$4-$B53+1)</f>
        <v/>
      </c>
      <c r="BD53" s="75">
        <f>$C53*INDEX(Curves!$AZ$8:$AZ$68,BD$4-$B53+1)</f>
        <v/>
      </c>
      <c r="BE53" s="75">
        <f>$C53*INDEX(Curves!$AZ$8:$AZ$68,BE$4-$B53+1)</f>
        <v/>
      </c>
      <c r="BF53" s="75">
        <f>$C53*INDEX(Curves!$AZ$8:$AZ$68,BF$4-$B53+1)</f>
        <v/>
      </c>
      <c r="BG53" s="75">
        <f>$C53*INDEX(Curves!$AZ$8:$AZ$68,BG$4-$B53+1)</f>
        <v/>
      </c>
      <c r="BH53" s="75">
        <f>$C53*INDEX(Curves!$AZ$8:$AZ$68,BH$4-$B53+1)</f>
        <v/>
      </c>
      <c r="BI53" s="75">
        <f>$C53*INDEX(Curves!$AZ$8:$AZ$68,BI$4-$B53+1)</f>
        <v/>
      </c>
      <c r="BJ53" s="75">
        <f>$C53*INDEX(Curves!$AZ$8:$AZ$68,BJ$4-$B53+1)</f>
        <v/>
      </c>
      <c r="BK53" s="75">
        <f>$C53*INDEX(Curves!$AZ$8:$AZ$68,BK$4-$B53+1)</f>
        <v/>
      </c>
      <c r="BL53" s="75">
        <f>$C53*INDEX(Curves!$AZ$8:$AZ$68,BL$4-$B53+1)</f>
        <v/>
      </c>
    </row>
    <row r="54">
      <c r="A54" s="74" t="inlineStr">
        <is>
          <t>Cohort month 45</t>
        </is>
      </c>
      <c r="B54" s="74" t="n">
        <v>45</v>
      </c>
      <c r="C54" s="17">
        <f>INDEX(Ops!$E$110:$BL$110,1,$B54)</f>
        <v/>
      </c>
      <c r="AX54" s="75">
        <f>$C54*INDEX(Curves!$AZ$8:$AZ$68,AX$4-$B54+1)</f>
        <v/>
      </c>
      <c r="AY54" s="75">
        <f>$C54*INDEX(Curves!$AZ$8:$AZ$68,AY$4-$B54+1)</f>
        <v/>
      </c>
      <c r="AZ54" s="75">
        <f>$C54*INDEX(Curves!$AZ$8:$AZ$68,AZ$4-$B54+1)</f>
        <v/>
      </c>
      <c r="BA54" s="75">
        <f>$C54*INDEX(Curves!$AZ$8:$AZ$68,BA$4-$B54+1)</f>
        <v/>
      </c>
      <c r="BB54" s="75">
        <f>$C54*INDEX(Curves!$AZ$8:$AZ$68,BB$4-$B54+1)</f>
        <v/>
      </c>
      <c r="BC54" s="75">
        <f>$C54*INDEX(Curves!$AZ$8:$AZ$68,BC$4-$B54+1)</f>
        <v/>
      </c>
      <c r="BD54" s="75">
        <f>$C54*INDEX(Curves!$AZ$8:$AZ$68,BD$4-$B54+1)</f>
        <v/>
      </c>
      <c r="BE54" s="75">
        <f>$C54*INDEX(Curves!$AZ$8:$AZ$68,BE$4-$B54+1)</f>
        <v/>
      </c>
      <c r="BF54" s="75">
        <f>$C54*INDEX(Curves!$AZ$8:$AZ$68,BF$4-$B54+1)</f>
        <v/>
      </c>
      <c r="BG54" s="75">
        <f>$C54*INDEX(Curves!$AZ$8:$AZ$68,BG$4-$B54+1)</f>
        <v/>
      </c>
      <c r="BH54" s="75">
        <f>$C54*INDEX(Curves!$AZ$8:$AZ$68,BH$4-$B54+1)</f>
        <v/>
      </c>
      <c r="BI54" s="75">
        <f>$C54*INDEX(Curves!$AZ$8:$AZ$68,BI$4-$B54+1)</f>
        <v/>
      </c>
      <c r="BJ54" s="75">
        <f>$C54*INDEX(Curves!$AZ$8:$AZ$68,BJ$4-$B54+1)</f>
        <v/>
      </c>
      <c r="BK54" s="75">
        <f>$C54*INDEX(Curves!$AZ$8:$AZ$68,BK$4-$B54+1)</f>
        <v/>
      </c>
      <c r="BL54" s="75">
        <f>$C54*INDEX(Curves!$AZ$8:$AZ$68,BL$4-$B54+1)</f>
        <v/>
      </c>
    </row>
    <row r="55">
      <c r="A55" s="74" t="inlineStr">
        <is>
          <t>Cohort month 46</t>
        </is>
      </c>
      <c r="B55" s="74" t="n">
        <v>46</v>
      </c>
      <c r="C55" s="17">
        <f>INDEX(Ops!$E$110:$BL$110,1,$B55)</f>
        <v/>
      </c>
      <c r="AY55" s="75">
        <f>$C55*INDEX(Curves!$AZ$8:$AZ$68,AY$4-$B55+1)</f>
        <v/>
      </c>
      <c r="AZ55" s="75">
        <f>$C55*INDEX(Curves!$AZ$8:$AZ$68,AZ$4-$B55+1)</f>
        <v/>
      </c>
      <c r="BA55" s="75">
        <f>$C55*INDEX(Curves!$AZ$8:$AZ$68,BA$4-$B55+1)</f>
        <v/>
      </c>
      <c r="BB55" s="75">
        <f>$C55*INDEX(Curves!$AZ$8:$AZ$68,BB$4-$B55+1)</f>
        <v/>
      </c>
      <c r="BC55" s="75">
        <f>$C55*INDEX(Curves!$AZ$8:$AZ$68,BC$4-$B55+1)</f>
        <v/>
      </c>
      <c r="BD55" s="75">
        <f>$C55*INDEX(Curves!$AZ$8:$AZ$68,BD$4-$B55+1)</f>
        <v/>
      </c>
      <c r="BE55" s="75">
        <f>$C55*INDEX(Curves!$AZ$8:$AZ$68,BE$4-$B55+1)</f>
        <v/>
      </c>
      <c r="BF55" s="75">
        <f>$C55*INDEX(Curves!$AZ$8:$AZ$68,BF$4-$B55+1)</f>
        <v/>
      </c>
      <c r="BG55" s="75">
        <f>$C55*INDEX(Curves!$AZ$8:$AZ$68,BG$4-$B55+1)</f>
        <v/>
      </c>
      <c r="BH55" s="75">
        <f>$C55*INDEX(Curves!$AZ$8:$AZ$68,BH$4-$B55+1)</f>
        <v/>
      </c>
      <c r="BI55" s="75">
        <f>$C55*INDEX(Curves!$AZ$8:$AZ$68,BI$4-$B55+1)</f>
        <v/>
      </c>
      <c r="BJ55" s="75">
        <f>$C55*INDEX(Curves!$AZ$8:$AZ$68,BJ$4-$B55+1)</f>
        <v/>
      </c>
      <c r="BK55" s="75">
        <f>$C55*INDEX(Curves!$AZ$8:$AZ$68,BK$4-$B55+1)</f>
        <v/>
      </c>
      <c r="BL55" s="75">
        <f>$C55*INDEX(Curves!$AZ$8:$AZ$68,BL$4-$B55+1)</f>
        <v/>
      </c>
    </row>
    <row r="56">
      <c r="A56" s="74" t="inlineStr">
        <is>
          <t>Cohort month 47</t>
        </is>
      </c>
      <c r="B56" s="74" t="n">
        <v>47</v>
      </c>
      <c r="C56" s="17">
        <f>INDEX(Ops!$E$110:$BL$110,1,$B56)</f>
        <v/>
      </c>
      <c r="AZ56" s="75">
        <f>$C56*INDEX(Curves!$AZ$8:$AZ$68,AZ$4-$B56+1)</f>
        <v/>
      </c>
      <c r="BA56" s="75">
        <f>$C56*INDEX(Curves!$AZ$8:$AZ$68,BA$4-$B56+1)</f>
        <v/>
      </c>
      <c r="BB56" s="75">
        <f>$C56*INDEX(Curves!$AZ$8:$AZ$68,BB$4-$B56+1)</f>
        <v/>
      </c>
      <c r="BC56" s="75">
        <f>$C56*INDEX(Curves!$AZ$8:$AZ$68,BC$4-$B56+1)</f>
        <v/>
      </c>
      <c r="BD56" s="75">
        <f>$C56*INDEX(Curves!$AZ$8:$AZ$68,BD$4-$B56+1)</f>
        <v/>
      </c>
      <c r="BE56" s="75">
        <f>$C56*INDEX(Curves!$AZ$8:$AZ$68,BE$4-$B56+1)</f>
        <v/>
      </c>
      <c r="BF56" s="75">
        <f>$C56*INDEX(Curves!$AZ$8:$AZ$68,BF$4-$B56+1)</f>
        <v/>
      </c>
      <c r="BG56" s="75">
        <f>$C56*INDEX(Curves!$AZ$8:$AZ$68,BG$4-$B56+1)</f>
        <v/>
      </c>
      <c r="BH56" s="75">
        <f>$C56*INDEX(Curves!$AZ$8:$AZ$68,BH$4-$B56+1)</f>
        <v/>
      </c>
      <c r="BI56" s="75">
        <f>$C56*INDEX(Curves!$AZ$8:$AZ$68,BI$4-$B56+1)</f>
        <v/>
      </c>
      <c r="BJ56" s="75">
        <f>$C56*INDEX(Curves!$AZ$8:$AZ$68,BJ$4-$B56+1)</f>
        <v/>
      </c>
      <c r="BK56" s="75">
        <f>$C56*INDEX(Curves!$AZ$8:$AZ$68,BK$4-$B56+1)</f>
        <v/>
      </c>
      <c r="BL56" s="75">
        <f>$C56*INDEX(Curves!$AZ$8:$AZ$68,BL$4-$B56+1)</f>
        <v/>
      </c>
    </row>
    <row r="57">
      <c r="A57" s="74" t="inlineStr">
        <is>
          <t>Cohort month 48</t>
        </is>
      </c>
      <c r="B57" s="74" t="n">
        <v>48</v>
      </c>
      <c r="C57" s="17">
        <f>INDEX(Ops!$E$110:$BL$110,1,$B57)</f>
        <v/>
      </c>
      <c r="BA57" s="75">
        <f>$C57*INDEX(Curves!$AZ$8:$AZ$68,BA$4-$B57+1)</f>
        <v/>
      </c>
      <c r="BB57" s="75">
        <f>$C57*INDEX(Curves!$AZ$8:$AZ$68,BB$4-$B57+1)</f>
        <v/>
      </c>
      <c r="BC57" s="75">
        <f>$C57*INDEX(Curves!$AZ$8:$AZ$68,BC$4-$B57+1)</f>
        <v/>
      </c>
      <c r="BD57" s="75">
        <f>$C57*INDEX(Curves!$AZ$8:$AZ$68,BD$4-$B57+1)</f>
        <v/>
      </c>
      <c r="BE57" s="75">
        <f>$C57*INDEX(Curves!$AZ$8:$AZ$68,BE$4-$B57+1)</f>
        <v/>
      </c>
      <c r="BF57" s="75">
        <f>$C57*INDEX(Curves!$AZ$8:$AZ$68,BF$4-$B57+1)</f>
        <v/>
      </c>
      <c r="BG57" s="75">
        <f>$C57*INDEX(Curves!$AZ$8:$AZ$68,BG$4-$B57+1)</f>
        <v/>
      </c>
      <c r="BH57" s="75">
        <f>$C57*INDEX(Curves!$AZ$8:$AZ$68,BH$4-$B57+1)</f>
        <v/>
      </c>
      <c r="BI57" s="75">
        <f>$C57*INDEX(Curves!$AZ$8:$AZ$68,BI$4-$B57+1)</f>
        <v/>
      </c>
      <c r="BJ57" s="75">
        <f>$C57*INDEX(Curves!$AZ$8:$AZ$68,BJ$4-$B57+1)</f>
        <v/>
      </c>
      <c r="BK57" s="75">
        <f>$C57*INDEX(Curves!$AZ$8:$AZ$68,BK$4-$B57+1)</f>
        <v/>
      </c>
      <c r="BL57" s="75">
        <f>$C57*INDEX(Curves!$AZ$8:$AZ$68,BL$4-$B57+1)</f>
        <v/>
      </c>
    </row>
    <row r="58">
      <c r="A58" s="74" t="inlineStr">
        <is>
          <t>Cohort month 49</t>
        </is>
      </c>
      <c r="B58" s="74" t="n">
        <v>49</v>
      </c>
      <c r="C58" s="17">
        <f>INDEX(Ops!$E$110:$BL$110,1,$B58)</f>
        <v/>
      </c>
      <c r="BB58" s="75">
        <f>$C58*INDEX(Curves!$AZ$8:$AZ$68,BB$4-$B58+1)</f>
        <v/>
      </c>
      <c r="BC58" s="75">
        <f>$C58*INDEX(Curves!$AZ$8:$AZ$68,BC$4-$B58+1)</f>
        <v/>
      </c>
      <c r="BD58" s="75">
        <f>$C58*INDEX(Curves!$AZ$8:$AZ$68,BD$4-$B58+1)</f>
        <v/>
      </c>
      <c r="BE58" s="75">
        <f>$C58*INDEX(Curves!$AZ$8:$AZ$68,BE$4-$B58+1)</f>
        <v/>
      </c>
      <c r="BF58" s="75">
        <f>$C58*INDEX(Curves!$AZ$8:$AZ$68,BF$4-$B58+1)</f>
        <v/>
      </c>
      <c r="BG58" s="75">
        <f>$C58*INDEX(Curves!$AZ$8:$AZ$68,BG$4-$B58+1)</f>
        <v/>
      </c>
      <c r="BH58" s="75">
        <f>$C58*INDEX(Curves!$AZ$8:$AZ$68,BH$4-$B58+1)</f>
        <v/>
      </c>
      <c r="BI58" s="75">
        <f>$C58*INDEX(Curves!$AZ$8:$AZ$68,BI$4-$B58+1)</f>
        <v/>
      </c>
      <c r="BJ58" s="75">
        <f>$C58*INDEX(Curves!$AZ$8:$AZ$68,BJ$4-$B58+1)</f>
        <v/>
      </c>
      <c r="BK58" s="75">
        <f>$C58*INDEX(Curves!$AZ$8:$AZ$68,BK$4-$B58+1)</f>
        <v/>
      </c>
      <c r="BL58" s="75">
        <f>$C58*INDEX(Curves!$AZ$8:$AZ$68,BL$4-$B58+1)</f>
        <v/>
      </c>
    </row>
    <row r="59">
      <c r="A59" s="74" t="inlineStr">
        <is>
          <t>Cohort month 50</t>
        </is>
      </c>
      <c r="B59" s="74" t="n">
        <v>50</v>
      </c>
      <c r="C59" s="17">
        <f>INDEX(Ops!$E$110:$BL$110,1,$B59)</f>
        <v/>
      </c>
      <c r="BC59" s="75">
        <f>$C59*INDEX(Curves!$AZ$8:$AZ$68,BC$4-$B59+1)</f>
        <v/>
      </c>
      <c r="BD59" s="75">
        <f>$C59*INDEX(Curves!$AZ$8:$AZ$68,BD$4-$B59+1)</f>
        <v/>
      </c>
      <c r="BE59" s="75">
        <f>$C59*INDEX(Curves!$AZ$8:$AZ$68,BE$4-$B59+1)</f>
        <v/>
      </c>
      <c r="BF59" s="75">
        <f>$C59*INDEX(Curves!$AZ$8:$AZ$68,BF$4-$B59+1)</f>
        <v/>
      </c>
      <c r="BG59" s="75">
        <f>$C59*INDEX(Curves!$AZ$8:$AZ$68,BG$4-$B59+1)</f>
        <v/>
      </c>
      <c r="BH59" s="75">
        <f>$C59*INDEX(Curves!$AZ$8:$AZ$68,BH$4-$B59+1)</f>
        <v/>
      </c>
      <c r="BI59" s="75">
        <f>$C59*INDEX(Curves!$AZ$8:$AZ$68,BI$4-$B59+1)</f>
        <v/>
      </c>
      <c r="BJ59" s="75">
        <f>$C59*INDEX(Curves!$AZ$8:$AZ$68,BJ$4-$B59+1)</f>
        <v/>
      </c>
      <c r="BK59" s="75">
        <f>$C59*INDEX(Curves!$AZ$8:$AZ$68,BK$4-$B59+1)</f>
        <v/>
      </c>
      <c r="BL59" s="75">
        <f>$C59*INDEX(Curves!$AZ$8:$AZ$68,BL$4-$B59+1)</f>
        <v/>
      </c>
    </row>
    <row r="60">
      <c r="A60" s="74" t="inlineStr">
        <is>
          <t>Cohort month 51</t>
        </is>
      </c>
      <c r="B60" s="74" t="n">
        <v>51</v>
      </c>
      <c r="C60" s="17">
        <f>INDEX(Ops!$E$110:$BL$110,1,$B60)</f>
        <v/>
      </c>
      <c r="BD60" s="75">
        <f>$C60*INDEX(Curves!$AZ$8:$AZ$68,BD$4-$B60+1)</f>
        <v/>
      </c>
      <c r="BE60" s="75">
        <f>$C60*INDEX(Curves!$AZ$8:$AZ$68,BE$4-$B60+1)</f>
        <v/>
      </c>
      <c r="BF60" s="75">
        <f>$C60*INDEX(Curves!$AZ$8:$AZ$68,BF$4-$B60+1)</f>
        <v/>
      </c>
      <c r="BG60" s="75">
        <f>$C60*INDEX(Curves!$AZ$8:$AZ$68,BG$4-$B60+1)</f>
        <v/>
      </c>
      <c r="BH60" s="75">
        <f>$C60*INDEX(Curves!$AZ$8:$AZ$68,BH$4-$B60+1)</f>
        <v/>
      </c>
      <c r="BI60" s="75">
        <f>$C60*INDEX(Curves!$AZ$8:$AZ$68,BI$4-$B60+1)</f>
        <v/>
      </c>
      <c r="BJ60" s="75">
        <f>$C60*INDEX(Curves!$AZ$8:$AZ$68,BJ$4-$B60+1)</f>
        <v/>
      </c>
      <c r="BK60" s="75">
        <f>$C60*INDEX(Curves!$AZ$8:$AZ$68,BK$4-$B60+1)</f>
        <v/>
      </c>
      <c r="BL60" s="75">
        <f>$C60*INDEX(Curves!$AZ$8:$AZ$68,BL$4-$B60+1)</f>
        <v/>
      </c>
    </row>
    <row r="61">
      <c r="A61" s="74" t="inlineStr">
        <is>
          <t>Cohort month 52</t>
        </is>
      </c>
      <c r="B61" s="74" t="n">
        <v>52</v>
      </c>
      <c r="C61" s="17">
        <f>INDEX(Ops!$E$110:$BL$110,1,$B61)</f>
        <v/>
      </c>
      <c r="BE61" s="75">
        <f>$C61*INDEX(Curves!$AZ$8:$AZ$68,BE$4-$B61+1)</f>
        <v/>
      </c>
      <c r="BF61" s="75">
        <f>$C61*INDEX(Curves!$AZ$8:$AZ$68,BF$4-$B61+1)</f>
        <v/>
      </c>
      <c r="BG61" s="75">
        <f>$C61*INDEX(Curves!$AZ$8:$AZ$68,BG$4-$B61+1)</f>
        <v/>
      </c>
      <c r="BH61" s="75">
        <f>$C61*INDEX(Curves!$AZ$8:$AZ$68,BH$4-$B61+1)</f>
        <v/>
      </c>
      <c r="BI61" s="75">
        <f>$C61*INDEX(Curves!$AZ$8:$AZ$68,BI$4-$B61+1)</f>
        <v/>
      </c>
      <c r="BJ61" s="75">
        <f>$C61*INDEX(Curves!$AZ$8:$AZ$68,BJ$4-$B61+1)</f>
        <v/>
      </c>
      <c r="BK61" s="75">
        <f>$C61*INDEX(Curves!$AZ$8:$AZ$68,BK$4-$B61+1)</f>
        <v/>
      </c>
      <c r="BL61" s="75">
        <f>$C61*INDEX(Curves!$AZ$8:$AZ$68,BL$4-$B61+1)</f>
        <v/>
      </c>
    </row>
    <row r="62">
      <c r="A62" s="74" t="inlineStr">
        <is>
          <t>Cohort month 53</t>
        </is>
      </c>
      <c r="B62" s="74" t="n">
        <v>53</v>
      </c>
      <c r="C62" s="17">
        <f>INDEX(Ops!$E$110:$BL$110,1,$B62)</f>
        <v/>
      </c>
      <c r="BF62" s="75">
        <f>$C62*INDEX(Curves!$AZ$8:$AZ$68,BF$4-$B62+1)</f>
        <v/>
      </c>
      <c r="BG62" s="75">
        <f>$C62*INDEX(Curves!$AZ$8:$AZ$68,BG$4-$B62+1)</f>
        <v/>
      </c>
      <c r="BH62" s="75">
        <f>$C62*INDEX(Curves!$AZ$8:$AZ$68,BH$4-$B62+1)</f>
        <v/>
      </c>
      <c r="BI62" s="75">
        <f>$C62*INDEX(Curves!$AZ$8:$AZ$68,BI$4-$B62+1)</f>
        <v/>
      </c>
      <c r="BJ62" s="75">
        <f>$C62*INDEX(Curves!$AZ$8:$AZ$68,BJ$4-$B62+1)</f>
        <v/>
      </c>
      <c r="BK62" s="75">
        <f>$C62*INDEX(Curves!$AZ$8:$AZ$68,BK$4-$B62+1)</f>
        <v/>
      </c>
      <c r="BL62" s="75">
        <f>$C62*INDEX(Curves!$AZ$8:$AZ$68,BL$4-$B62+1)</f>
        <v/>
      </c>
    </row>
    <row r="63">
      <c r="A63" s="74" t="inlineStr">
        <is>
          <t>Cohort month 54</t>
        </is>
      </c>
      <c r="B63" s="74" t="n">
        <v>54</v>
      </c>
      <c r="C63" s="17">
        <f>INDEX(Ops!$E$110:$BL$110,1,$B63)</f>
        <v/>
      </c>
      <c r="BG63" s="75">
        <f>$C63*INDEX(Curves!$AZ$8:$AZ$68,BG$4-$B63+1)</f>
        <v/>
      </c>
      <c r="BH63" s="75">
        <f>$C63*INDEX(Curves!$AZ$8:$AZ$68,BH$4-$B63+1)</f>
        <v/>
      </c>
      <c r="BI63" s="75">
        <f>$C63*INDEX(Curves!$AZ$8:$AZ$68,BI$4-$B63+1)</f>
        <v/>
      </c>
      <c r="BJ63" s="75">
        <f>$C63*INDEX(Curves!$AZ$8:$AZ$68,BJ$4-$B63+1)</f>
        <v/>
      </c>
      <c r="BK63" s="75">
        <f>$C63*INDEX(Curves!$AZ$8:$AZ$68,BK$4-$B63+1)</f>
        <v/>
      </c>
      <c r="BL63" s="75">
        <f>$C63*INDEX(Curves!$AZ$8:$AZ$68,BL$4-$B63+1)</f>
        <v/>
      </c>
    </row>
    <row r="64">
      <c r="A64" s="74" t="inlineStr">
        <is>
          <t>Cohort month 55</t>
        </is>
      </c>
      <c r="B64" s="74" t="n">
        <v>55</v>
      </c>
      <c r="C64" s="17">
        <f>INDEX(Ops!$E$110:$BL$110,1,$B64)</f>
        <v/>
      </c>
      <c r="BH64" s="75">
        <f>$C64*INDEX(Curves!$AZ$8:$AZ$68,BH$4-$B64+1)</f>
        <v/>
      </c>
      <c r="BI64" s="75">
        <f>$C64*INDEX(Curves!$AZ$8:$AZ$68,BI$4-$B64+1)</f>
        <v/>
      </c>
      <c r="BJ64" s="75">
        <f>$C64*INDEX(Curves!$AZ$8:$AZ$68,BJ$4-$B64+1)</f>
        <v/>
      </c>
      <c r="BK64" s="75">
        <f>$C64*INDEX(Curves!$AZ$8:$AZ$68,BK$4-$B64+1)</f>
        <v/>
      </c>
      <c r="BL64" s="75">
        <f>$C64*INDEX(Curves!$AZ$8:$AZ$68,BL$4-$B64+1)</f>
        <v/>
      </c>
    </row>
    <row r="65">
      <c r="A65" s="74" t="inlineStr">
        <is>
          <t>Cohort month 56</t>
        </is>
      </c>
      <c r="B65" s="74" t="n">
        <v>56</v>
      </c>
      <c r="C65" s="17">
        <f>INDEX(Ops!$E$110:$BL$110,1,$B65)</f>
        <v/>
      </c>
      <c r="BI65" s="75">
        <f>$C65*INDEX(Curves!$AZ$8:$AZ$68,BI$4-$B65+1)</f>
        <v/>
      </c>
      <c r="BJ65" s="75">
        <f>$C65*INDEX(Curves!$AZ$8:$AZ$68,BJ$4-$B65+1)</f>
        <v/>
      </c>
      <c r="BK65" s="75">
        <f>$C65*INDEX(Curves!$AZ$8:$AZ$68,BK$4-$B65+1)</f>
        <v/>
      </c>
      <c r="BL65" s="75">
        <f>$C65*INDEX(Curves!$AZ$8:$AZ$68,BL$4-$B65+1)</f>
        <v/>
      </c>
    </row>
    <row r="66">
      <c r="A66" s="74" t="inlineStr">
        <is>
          <t>Cohort month 57</t>
        </is>
      </c>
      <c r="B66" s="74" t="n">
        <v>57</v>
      </c>
      <c r="C66" s="17">
        <f>INDEX(Ops!$E$110:$BL$110,1,$B66)</f>
        <v/>
      </c>
      <c r="BJ66" s="75">
        <f>$C66*INDEX(Curves!$AZ$8:$AZ$68,BJ$4-$B66+1)</f>
        <v/>
      </c>
      <c r="BK66" s="75">
        <f>$C66*INDEX(Curves!$AZ$8:$AZ$68,BK$4-$B66+1)</f>
        <v/>
      </c>
      <c r="BL66" s="75">
        <f>$C66*INDEX(Curves!$AZ$8:$AZ$68,BL$4-$B66+1)</f>
        <v/>
      </c>
    </row>
    <row r="67">
      <c r="A67" s="74" t="inlineStr">
        <is>
          <t>Cohort month 58</t>
        </is>
      </c>
      <c r="B67" s="74" t="n">
        <v>58</v>
      </c>
      <c r="C67" s="17">
        <f>INDEX(Ops!$E$110:$BL$110,1,$B67)</f>
        <v/>
      </c>
      <c r="BK67" s="75">
        <f>$C67*INDEX(Curves!$AZ$8:$AZ$68,BK$4-$B67+1)</f>
        <v/>
      </c>
      <c r="BL67" s="75">
        <f>$C67*INDEX(Curves!$AZ$8:$AZ$68,BL$4-$B67+1)</f>
        <v/>
      </c>
    </row>
    <row r="68">
      <c r="A68" s="74" t="inlineStr">
        <is>
          <t>Cohort month 59</t>
        </is>
      </c>
      <c r="B68" s="74" t="n">
        <v>59</v>
      </c>
      <c r="C68" s="17">
        <f>INDEX(Ops!$E$110:$BL$110,1,$B68)</f>
        <v/>
      </c>
      <c r="BL68" s="75">
        <f>$C68*INDEX(Curves!$AZ$8:$AZ$68,BL$4-$B68+1)</f>
        <v/>
      </c>
    </row>
    <row r="69">
      <c r="A69" s="74" t="inlineStr">
        <is>
          <t>Cohort month 60</t>
        </is>
      </c>
      <c r="B69" s="74" t="n">
        <v>60</v>
      </c>
      <c r="C69" s="17">
        <f>INDEX(Ops!$E$110:$BL$110,1,$B69)</f>
        <v/>
      </c>
    </row>
    <row r="70"/>
    <row r="71">
      <c r="A71" s="14" t="inlineStr">
        <is>
          <t>Active accounts by cohort</t>
        </is>
      </c>
      <c r="B71" s="15" t="n"/>
      <c r="C71" s="15" t="n"/>
      <c r="D71" s="15" t="n"/>
      <c r="E71" s="15" t="n"/>
      <c r="F71" s="15" t="n"/>
      <c r="G71" s="15" t="n"/>
      <c r="H71" s="15" t="n"/>
      <c r="I71" s="15" t="n"/>
      <c r="J71" s="15" t="n"/>
      <c r="K71" s="15" t="n"/>
      <c r="L71" s="15" t="n"/>
      <c r="M71" s="15" t="n"/>
      <c r="N71" s="15" t="n"/>
      <c r="O71" s="15" t="n"/>
      <c r="P71" s="15" t="n"/>
      <c r="Q71" s="15" t="n"/>
      <c r="R71" s="15" t="n"/>
      <c r="S71" s="15" t="n"/>
      <c r="T71" s="15" t="n"/>
      <c r="U71" s="15" t="n"/>
      <c r="V71" s="15" t="n"/>
      <c r="W71" s="15" t="n"/>
      <c r="X71" s="15" t="n"/>
      <c r="Y71" s="15" t="n"/>
      <c r="Z71" s="15" t="n"/>
      <c r="AA71" s="15" t="n"/>
      <c r="AB71" s="15" t="n"/>
      <c r="AC71" s="15" t="n"/>
      <c r="AD71" s="15" t="n"/>
      <c r="AE71" s="15" t="n"/>
      <c r="AF71" s="15" t="n"/>
      <c r="AG71" s="15" t="n"/>
      <c r="AH71" s="15" t="n"/>
      <c r="AI71" s="15" t="n"/>
      <c r="AJ71" s="15" t="n"/>
      <c r="AK71" s="15" t="n"/>
      <c r="AL71" s="15" t="n"/>
      <c r="AM71" s="15" t="n"/>
      <c r="AN71" s="15" t="n"/>
      <c r="AO71" s="15" t="n"/>
      <c r="AP71" s="15" t="n"/>
      <c r="AQ71" s="15" t="n"/>
      <c r="AR71" s="15" t="n"/>
      <c r="AS71" s="15" t="n"/>
      <c r="AT71" s="15" t="n"/>
      <c r="AU71" s="15" t="n"/>
      <c r="AV71" s="15" t="n"/>
      <c r="AW71" s="15" t="n"/>
      <c r="AX71" s="15" t="n"/>
      <c r="AY71" s="15" t="n"/>
      <c r="AZ71" s="15" t="n"/>
      <c r="BA71" s="15" t="n"/>
      <c r="BB71" s="15" t="n"/>
      <c r="BC71" s="15" t="n"/>
      <c r="BD71" s="15" t="n"/>
      <c r="BE71" s="15" t="n"/>
      <c r="BF71" s="15" t="n"/>
      <c r="BG71" s="15" t="n"/>
      <c r="BH71" s="15" t="n"/>
      <c r="BI71" s="15" t="n"/>
      <c r="BJ71" s="15" t="n"/>
      <c r="BK71" s="15" t="n"/>
      <c r="BL71" s="15" t="n"/>
    </row>
    <row r="72">
      <c r="A72" s="60" t="inlineStr">
        <is>
          <t>Total</t>
        </is>
      </c>
      <c r="B72" s="61" t="inlineStr"/>
      <c r="C72" s="63" t="n"/>
      <c r="D72" s="63" t="n"/>
      <c r="E72" s="71">
        <f>SUM(E73:E132)</f>
        <v/>
      </c>
      <c r="F72" s="71">
        <f>SUM(F73:F132)</f>
        <v/>
      </c>
      <c r="G72" s="71">
        <f>SUM(G73:G132)</f>
        <v/>
      </c>
      <c r="H72" s="71">
        <f>SUM(H73:H132)</f>
        <v/>
      </c>
      <c r="I72" s="71">
        <f>SUM(I73:I132)</f>
        <v/>
      </c>
      <c r="J72" s="71">
        <f>SUM(J73:J132)</f>
        <v/>
      </c>
      <c r="K72" s="71">
        <f>SUM(K73:K132)</f>
        <v/>
      </c>
      <c r="L72" s="71">
        <f>SUM(L73:L132)</f>
        <v/>
      </c>
      <c r="M72" s="71">
        <f>SUM(M73:M132)</f>
        <v/>
      </c>
      <c r="N72" s="71">
        <f>SUM(N73:N132)</f>
        <v/>
      </c>
      <c r="O72" s="71">
        <f>SUM(O73:O132)</f>
        <v/>
      </c>
      <c r="P72" s="71">
        <f>SUM(P73:P132)</f>
        <v/>
      </c>
      <c r="Q72" s="71">
        <f>SUM(Q73:Q132)</f>
        <v/>
      </c>
      <c r="R72" s="71">
        <f>SUM(R73:R132)</f>
        <v/>
      </c>
      <c r="S72" s="71">
        <f>SUM(S73:S132)</f>
        <v/>
      </c>
      <c r="T72" s="71">
        <f>SUM(T73:T132)</f>
        <v/>
      </c>
      <c r="U72" s="71">
        <f>SUM(U73:U132)</f>
        <v/>
      </c>
      <c r="V72" s="71">
        <f>SUM(V73:V132)</f>
        <v/>
      </c>
      <c r="W72" s="71">
        <f>SUM(W73:W132)</f>
        <v/>
      </c>
      <c r="X72" s="71">
        <f>SUM(X73:X132)</f>
        <v/>
      </c>
      <c r="Y72" s="71">
        <f>SUM(Y73:Y132)</f>
        <v/>
      </c>
      <c r="Z72" s="71">
        <f>SUM(Z73:Z132)</f>
        <v/>
      </c>
      <c r="AA72" s="71">
        <f>SUM(AA73:AA132)</f>
        <v/>
      </c>
      <c r="AB72" s="71">
        <f>SUM(AB73:AB132)</f>
        <v/>
      </c>
      <c r="AC72" s="71">
        <f>SUM(AC73:AC132)</f>
        <v/>
      </c>
      <c r="AD72" s="71">
        <f>SUM(AD73:AD132)</f>
        <v/>
      </c>
      <c r="AE72" s="71">
        <f>SUM(AE73:AE132)</f>
        <v/>
      </c>
      <c r="AF72" s="71">
        <f>SUM(AF73:AF132)</f>
        <v/>
      </c>
      <c r="AG72" s="71">
        <f>SUM(AG73:AG132)</f>
        <v/>
      </c>
      <c r="AH72" s="71">
        <f>SUM(AH73:AH132)</f>
        <v/>
      </c>
      <c r="AI72" s="71">
        <f>SUM(AI73:AI132)</f>
        <v/>
      </c>
      <c r="AJ72" s="71">
        <f>SUM(AJ73:AJ132)</f>
        <v/>
      </c>
      <c r="AK72" s="71">
        <f>SUM(AK73:AK132)</f>
        <v/>
      </c>
      <c r="AL72" s="71">
        <f>SUM(AL73:AL132)</f>
        <v/>
      </c>
      <c r="AM72" s="71">
        <f>SUM(AM73:AM132)</f>
        <v/>
      </c>
      <c r="AN72" s="71">
        <f>SUM(AN73:AN132)</f>
        <v/>
      </c>
      <c r="AO72" s="71">
        <f>SUM(AO73:AO132)</f>
        <v/>
      </c>
      <c r="AP72" s="71">
        <f>SUM(AP73:AP132)</f>
        <v/>
      </c>
      <c r="AQ72" s="71">
        <f>SUM(AQ73:AQ132)</f>
        <v/>
      </c>
      <c r="AR72" s="71">
        <f>SUM(AR73:AR132)</f>
        <v/>
      </c>
      <c r="AS72" s="71">
        <f>SUM(AS73:AS132)</f>
        <v/>
      </c>
      <c r="AT72" s="71">
        <f>SUM(AT73:AT132)</f>
        <v/>
      </c>
      <c r="AU72" s="71">
        <f>SUM(AU73:AU132)</f>
        <v/>
      </c>
      <c r="AV72" s="71">
        <f>SUM(AV73:AV132)</f>
        <v/>
      </c>
      <c r="AW72" s="71">
        <f>SUM(AW73:AW132)</f>
        <v/>
      </c>
      <c r="AX72" s="71">
        <f>SUM(AX73:AX132)</f>
        <v/>
      </c>
      <c r="AY72" s="71">
        <f>SUM(AY73:AY132)</f>
        <v/>
      </c>
      <c r="AZ72" s="71">
        <f>SUM(AZ73:AZ132)</f>
        <v/>
      </c>
      <c r="BA72" s="71">
        <f>SUM(BA73:BA132)</f>
        <v/>
      </c>
      <c r="BB72" s="71">
        <f>SUM(BB73:BB132)</f>
        <v/>
      </c>
      <c r="BC72" s="71">
        <f>SUM(BC73:BC132)</f>
        <v/>
      </c>
      <c r="BD72" s="71">
        <f>SUM(BD73:BD132)</f>
        <v/>
      </c>
      <c r="BE72" s="71">
        <f>SUM(BE73:BE132)</f>
        <v/>
      </c>
      <c r="BF72" s="71">
        <f>SUM(BF73:BF132)</f>
        <v/>
      </c>
      <c r="BG72" s="71">
        <f>SUM(BG73:BG132)</f>
        <v/>
      </c>
      <c r="BH72" s="71">
        <f>SUM(BH73:BH132)</f>
        <v/>
      </c>
      <c r="BI72" s="71">
        <f>SUM(BI73:BI132)</f>
        <v/>
      </c>
      <c r="BJ72" s="71">
        <f>SUM(BJ73:BJ132)</f>
        <v/>
      </c>
      <c r="BK72" s="71">
        <f>SUM(BK73:BK132)</f>
        <v/>
      </c>
      <c r="BL72" s="71">
        <f>SUM(BL73:BL132)</f>
        <v/>
      </c>
    </row>
    <row r="73">
      <c r="A73" s="74" t="inlineStr">
        <is>
          <t>Cohort month 1</t>
        </is>
      </c>
      <c r="B73" s="74" t="n">
        <v>1</v>
      </c>
      <c r="C73" s="17">
        <f>INDEX(Ops!$E$109:$BL$109,1,$B73)</f>
        <v/>
      </c>
      <c r="F73" s="75">
        <f>$C73*INDEX(Curves!$BC$8:$BC$68,F$4-$B73+1)</f>
        <v/>
      </c>
      <c r="G73" s="75">
        <f>$C73*INDEX(Curves!$BC$8:$BC$68,G$4-$B73+1)</f>
        <v/>
      </c>
      <c r="H73" s="75">
        <f>$C73*INDEX(Curves!$BC$8:$BC$68,H$4-$B73+1)</f>
        <v/>
      </c>
      <c r="I73" s="75">
        <f>$C73*INDEX(Curves!$BC$8:$BC$68,I$4-$B73+1)</f>
        <v/>
      </c>
      <c r="J73" s="75">
        <f>$C73*INDEX(Curves!$BC$8:$BC$68,J$4-$B73+1)</f>
        <v/>
      </c>
      <c r="K73" s="75">
        <f>$C73*INDEX(Curves!$BC$8:$BC$68,K$4-$B73+1)</f>
        <v/>
      </c>
      <c r="L73" s="75">
        <f>$C73*INDEX(Curves!$BC$8:$BC$68,L$4-$B73+1)</f>
        <v/>
      </c>
      <c r="M73" s="75">
        <f>$C73*INDEX(Curves!$BC$8:$BC$68,M$4-$B73+1)</f>
        <v/>
      </c>
      <c r="N73" s="75">
        <f>$C73*INDEX(Curves!$BC$8:$BC$68,N$4-$B73+1)</f>
        <v/>
      </c>
      <c r="O73" s="75">
        <f>$C73*INDEX(Curves!$BC$8:$BC$68,O$4-$B73+1)</f>
        <v/>
      </c>
      <c r="P73" s="75">
        <f>$C73*INDEX(Curves!$BC$8:$BC$68,P$4-$B73+1)</f>
        <v/>
      </c>
      <c r="Q73" s="75">
        <f>$C73*INDEX(Curves!$BC$8:$BC$68,Q$4-$B73+1)</f>
        <v/>
      </c>
      <c r="R73" s="75">
        <f>$C73*INDEX(Curves!$BC$8:$BC$68,R$4-$B73+1)</f>
        <v/>
      </c>
      <c r="S73" s="75">
        <f>$C73*INDEX(Curves!$BC$8:$BC$68,S$4-$B73+1)</f>
        <v/>
      </c>
      <c r="T73" s="75">
        <f>$C73*INDEX(Curves!$BC$8:$BC$68,T$4-$B73+1)</f>
        <v/>
      </c>
      <c r="U73" s="75">
        <f>$C73*INDEX(Curves!$BC$8:$BC$68,U$4-$B73+1)</f>
        <v/>
      </c>
      <c r="V73" s="75">
        <f>$C73*INDEX(Curves!$BC$8:$BC$68,V$4-$B73+1)</f>
        <v/>
      </c>
      <c r="W73" s="75">
        <f>$C73*INDEX(Curves!$BC$8:$BC$68,W$4-$B73+1)</f>
        <v/>
      </c>
      <c r="X73" s="75">
        <f>$C73*INDEX(Curves!$BC$8:$BC$68,X$4-$B73+1)</f>
        <v/>
      </c>
      <c r="Y73" s="75">
        <f>$C73*INDEX(Curves!$BC$8:$BC$68,Y$4-$B73+1)</f>
        <v/>
      </c>
      <c r="Z73" s="75">
        <f>$C73*INDEX(Curves!$BC$8:$BC$68,Z$4-$B73+1)</f>
        <v/>
      </c>
      <c r="AA73" s="75">
        <f>$C73*INDEX(Curves!$BC$8:$BC$68,AA$4-$B73+1)</f>
        <v/>
      </c>
      <c r="AB73" s="75">
        <f>$C73*INDEX(Curves!$BC$8:$BC$68,AB$4-$B73+1)</f>
        <v/>
      </c>
      <c r="AC73" s="75">
        <f>$C73*INDEX(Curves!$BC$8:$BC$68,AC$4-$B73+1)</f>
        <v/>
      </c>
      <c r="AD73" s="75">
        <f>$C73*INDEX(Curves!$BC$8:$BC$68,AD$4-$B73+1)</f>
        <v/>
      </c>
      <c r="AE73" s="75">
        <f>$C73*INDEX(Curves!$BC$8:$BC$68,AE$4-$B73+1)</f>
        <v/>
      </c>
      <c r="AF73" s="75">
        <f>$C73*INDEX(Curves!$BC$8:$BC$68,AF$4-$B73+1)</f>
        <v/>
      </c>
      <c r="AG73" s="75">
        <f>$C73*INDEX(Curves!$BC$8:$BC$68,AG$4-$B73+1)</f>
        <v/>
      </c>
      <c r="AH73" s="75">
        <f>$C73*INDEX(Curves!$BC$8:$BC$68,AH$4-$B73+1)</f>
        <v/>
      </c>
      <c r="AI73" s="75">
        <f>$C73*INDEX(Curves!$BC$8:$BC$68,AI$4-$B73+1)</f>
        <v/>
      </c>
      <c r="AJ73" s="75">
        <f>$C73*INDEX(Curves!$BC$8:$BC$68,AJ$4-$B73+1)</f>
        <v/>
      </c>
      <c r="AK73" s="75">
        <f>$C73*INDEX(Curves!$BC$8:$BC$68,AK$4-$B73+1)</f>
        <v/>
      </c>
      <c r="AL73" s="75">
        <f>$C73*INDEX(Curves!$BC$8:$BC$68,AL$4-$B73+1)</f>
        <v/>
      </c>
      <c r="AM73" s="75">
        <f>$C73*INDEX(Curves!$BC$8:$BC$68,AM$4-$B73+1)</f>
        <v/>
      </c>
      <c r="AN73" s="75">
        <f>$C73*INDEX(Curves!$BC$8:$BC$68,AN$4-$B73+1)</f>
        <v/>
      </c>
      <c r="AO73" s="75">
        <f>$C73*INDEX(Curves!$BC$8:$BC$68,AO$4-$B73+1)</f>
        <v/>
      </c>
      <c r="AP73" s="75">
        <f>$C73*INDEX(Curves!$BC$8:$BC$68,AP$4-$B73+1)</f>
        <v/>
      </c>
      <c r="AQ73" s="75">
        <f>$C73*INDEX(Curves!$BC$8:$BC$68,AQ$4-$B73+1)</f>
        <v/>
      </c>
      <c r="AR73" s="75">
        <f>$C73*INDEX(Curves!$BC$8:$BC$68,AR$4-$B73+1)</f>
        <v/>
      </c>
      <c r="AS73" s="75">
        <f>$C73*INDEX(Curves!$BC$8:$BC$68,AS$4-$B73+1)</f>
        <v/>
      </c>
      <c r="AT73" s="75">
        <f>$C73*INDEX(Curves!$BC$8:$BC$68,AT$4-$B73+1)</f>
        <v/>
      </c>
      <c r="AU73" s="75">
        <f>$C73*INDEX(Curves!$BC$8:$BC$68,AU$4-$B73+1)</f>
        <v/>
      </c>
      <c r="AV73" s="75">
        <f>$C73*INDEX(Curves!$BC$8:$BC$68,AV$4-$B73+1)</f>
        <v/>
      </c>
      <c r="AW73" s="75">
        <f>$C73*INDEX(Curves!$BC$8:$BC$68,AW$4-$B73+1)</f>
        <v/>
      </c>
      <c r="AX73" s="75">
        <f>$C73*INDEX(Curves!$BC$8:$BC$68,AX$4-$B73+1)</f>
        <v/>
      </c>
      <c r="AY73" s="75">
        <f>$C73*INDEX(Curves!$BC$8:$BC$68,AY$4-$B73+1)</f>
        <v/>
      </c>
      <c r="AZ73" s="75">
        <f>$C73*INDEX(Curves!$BC$8:$BC$68,AZ$4-$B73+1)</f>
        <v/>
      </c>
      <c r="BA73" s="75">
        <f>$C73*INDEX(Curves!$BC$8:$BC$68,BA$4-$B73+1)</f>
        <v/>
      </c>
      <c r="BB73" s="75">
        <f>$C73*INDEX(Curves!$BC$8:$BC$68,BB$4-$B73+1)</f>
        <v/>
      </c>
      <c r="BC73" s="75">
        <f>$C73*INDEX(Curves!$BC$8:$BC$68,BC$4-$B73+1)</f>
        <v/>
      </c>
      <c r="BD73" s="75">
        <f>$C73*INDEX(Curves!$BC$8:$BC$68,BD$4-$B73+1)</f>
        <v/>
      </c>
      <c r="BE73" s="75">
        <f>$C73*INDEX(Curves!$BC$8:$BC$68,BE$4-$B73+1)</f>
        <v/>
      </c>
      <c r="BF73" s="75">
        <f>$C73*INDEX(Curves!$BC$8:$BC$68,BF$4-$B73+1)</f>
        <v/>
      </c>
      <c r="BG73" s="75">
        <f>$C73*INDEX(Curves!$BC$8:$BC$68,BG$4-$B73+1)</f>
        <v/>
      </c>
      <c r="BH73" s="75">
        <f>$C73*INDEX(Curves!$BC$8:$BC$68,BH$4-$B73+1)</f>
        <v/>
      </c>
      <c r="BI73" s="75">
        <f>$C73*INDEX(Curves!$BC$8:$BC$68,BI$4-$B73+1)</f>
        <v/>
      </c>
      <c r="BJ73" s="75">
        <f>$C73*INDEX(Curves!$BC$8:$BC$68,BJ$4-$B73+1)</f>
        <v/>
      </c>
      <c r="BK73" s="75">
        <f>$C73*INDEX(Curves!$BC$8:$BC$68,BK$4-$B73+1)</f>
        <v/>
      </c>
      <c r="BL73" s="75">
        <f>$C73*INDEX(Curves!$BC$8:$BC$68,BL$4-$B73+1)</f>
        <v/>
      </c>
    </row>
    <row r="74">
      <c r="A74" s="74" t="inlineStr">
        <is>
          <t>Cohort month 2</t>
        </is>
      </c>
      <c r="B74" s="74" t="n">
        <v>2</v>
      </c>
      <c r="C74" s="17">
        <f>INDEX(Ops!$E$109:$BL$109,1,$B74)</f>
        <v/>
      </c>
      <c r="G74" s="75">
        <f>$C74*INDEX(Curves!$BC$8:$BC$68,G$4-$B74+1)</f>
        <v/>
      </c>
      <c r="H74" s="75">
        <f>$C74*INDEX(Curves!$BC$8:$BC$68,H$4-$B74+1)</f>
        <v/>
      </c>
      <c r="I74" s="75">
        <f>$C74*INDEX(Curves!$BC$8:$BC$68,I$4-$B74+1)</f>
        <v/>
      </c>
      <c r="J74" s="75">
        <f>$C74*INDEX(Curves!$BC$8:$BC$68,J$4-$B74+1)</f>
        <v/>
      </c>
      <c r="K74" s="75">
        <f>$C74*INDEX(Curves!$BC$8:$BC$68,K$4-$B74+1)</f>
        <v/>
      </c>
      <c r="L74" s="75">
        <f>$C74*INDEX(Curves!$BC$8:$BC$68,L$4-$B74+1)</f>
        <v/>
      </c>
      <c r="M74" s="75">
        <f>$C74*INDEX(Curves!$BC$8:$BC$68,M$4-$B74+1)</f>
        <v/>
      </c>
      <c r="N74" s="75">
        <f>$C74*INDEX(Curves!$BC$8:$BC$68,N$4-$B74+1)</f>
        <v/>
      </c>
      <c r="O74" s="75">
        <f>$C74*INDEX(Curves!$BC$8:$BC$68,O$4-$B74+1)</f>
        <v/>
      </c>
      <c r="P74" s="75">
        <f>$C74*INDEX(Curves!$BC$8:$BC$68,P$4-$B74+1)</f>
        <v/>
      </c>
      <c r="Q74" s="75">
        <f>$C74*INDEX(Curves!$BC$8:$BC$68,Q$4-$B74+1)</f>
        <v/>
      </c>
      <c r="R74" s="75">
        <f>$C74*INDEX(Curves!$BC$8:$BC$68,R$4-$B74+1)</f>
        <v/>
      </c>
      <c r="S74" s="75">
        <f>$C74*INDEX(Curves!$BC$8:$BC$68,S$4-$B74+1)</f>
        <v/>
      </c>
      <c r="T74" s="75">
        <f>$C74*INDEX(Curves!$BC$8:$BC$68,T$4-$B74+1)</f>
        <v/>
      </c>
      <c r="U74" s="75">
        <f>$C74*INDEX(Curves!$BC$8:$BC$68,U$4-$B74+1)</f>
        <v/>
      </c>
      <c r="V74" s="75">
        <f>$C74*INDEX(Curves!$BC$8:$BC$68,V$4-$B74+1)</f>
        <v/>
      </c>
      <c r="W74" s="75">
        <f>$C74*INDEX(Curves!$BC$8:$BC$68,W$4-$B74+1)</f>
        <v/>
      </c>
      <c r="X74" s="75">
        <f>$C74*INDEX(Curves!$BC$8:$BC$68,X$4-$B74+1)</f>
        <v/>
      </c>
      <c r="Y74" s="75">
        <f>$C74*INDEX(Curves!$BC$8:$BC$68,Y$4-$B74+1)</f>
        <v/>
      </c>
      <c r="Z74" s="75">
        <f>$C74*INDEX(Curves!$BC$8:$BC$68,Z$4-$B74+1)</f>
        <v/>
      </c>
      <c r="AA74" s="75">
        <f>$C74*INDEX(Curves!$BC$8:$BC$68,AA$4-$B74+1)</f>
        <v/>
      </c>
      <c r="AB74" s="75">
        <f>$C74*INDEX(Curves!$BC$8:$BC$68,AB$4-$B74+1)</f>
        <v/>
      </c>
      <c r="AC74" s="75">
        <f>$C74*INDEX(Curves!$BC$8:$BC$68,AC$4-$B74+1)</f>
        <v/>
      </c>
      <c r="AD74" s="75">
        <f>$C74*INDEX(Curves!$BC$8:$BC$68,AD$4-$B74+1)</f>
        <v/>
      </c>
      <c r="AE74" s="75">
        <f>$C74*INDEX(Curves!$BC$8:$BC$68,AE$4-$B74+1)</f>
        <v/>
      </c>
      <c r="AF74" s="75">
        <f>$C74*INDEX(Curves!$BC$8:$BC$68,AF$4-$B74+1)</f>
        <v/>
      </c>
      <c r="AG74" s="75">
        <f>$C74*INDEX(Curves!$BC$8:$BC$68,AG$4-$B74+1)</f>
        <v/>
      </c>
      <c r="AH74" s="75">
        <f>$C74*INDEX(Curves!$BC$8:$BC$68,AH$4-$B74+1)</f>
        <v/>
      </c>
      <c r="AI74" s="75">
        <f>$C74*INDEX(Curves!$BC$8:$BC$68,AI$4-$B74+1)</f>
        <v/>
      </c>
      <c r="AJ74" s="75">
        <f>$C74*INDEX(Curves!$BC$8:$BC$68,AJ$4-$B74+1)</f>
        <v/>
      </c>
      <c r="AK74" s="75">
        <f>$C74*INDEX(Curves!$BC$8:$BC$68,AK$4-$B74+1)</f>
        <v/>
      </c>
      <c r="AL74" s="75">
        <f>$C74*INDEX(Curves!$BC$8:$BC$68,AL$4-$B74+1)</f>
        <v/>
      </c>
      <c r="AM74" s="75">
        <f>$C74*INDEX(Curves!$BC$8:$BC$68,AM$4-$B74+1)</f>
        <v/>
      </c>
      <c r="AN74" s="75">
        <f>$C74*INDEX(Curves!$BC$8:$BC$68,AN$4-$B74+1)</f>
        <v/>
      </c>
      <c r="AO74" s="75">
        <f>$C74*INDEX(Curves!$BC$8:$BC$68,AO$4-$B74+1)</f>
        <v/>
      </c>
      <c r="AP74" s="75">
        <f>$C74*INDEX(Curves!$BC$8:$BC$68,AP$4-$B74+1)</f>
        <v/>
      </c>
      <c r="AQ74" s="75">
        <f>$C74*INDEX(Curves!$BC$8:$BC$68,AQ$4-$B74+1)</f>
        <v/>
      </c>
      <c r="AR74" s="75">
        <f>$C74*INDEX(Curves!$BC$8:$BC$68,AR$4-$B74+1)</f>
        <v/>
      </c>
      <c r="AS74" s="75">
        <f>$C74*INDEX(Curves!$BC$8:$BC$68,AS$4-$B74+1)</f>
        <v/>
      </c>
      <c r="AT74" s="75">
        <f>$C74*INDEX(Curves!$BC$8:$BC$68,AT$4-$B74+1)</f>
        <v/>
      </c>
      <c r="AU74" s="75">
        <f>$C74*INDEX(Curves!$BC$8:$BC$68,AU$4-$B74+1)</f>
        <v/>
      </c>
      <c r="AV74" s="75">
        <f>$C74*INDEX(Curves!$BC$8:$BC$68,AV$4-$B74+1)</f>
        <v/>
      </c>
      <c r="AW74" s="75">
        <f>$C74*INDEX(Curves!$BC$8:$BC$68,AW$4-$B74+1)</f>
        <v/>
      </c>
      <c r="AX74" s="75">
        <f>$C74*INDEX(Curves!$BC$8:$BC$68,AX$4-$B74+1)</f>
        <v/>
      </c>
      <c r="AY74" s="75">
        <f>$C74*INDEX(Curves!$BC$8:$BC$68,AY$4-$B74+1)</f>
        <v/>
      </c>
      <c r="AZ74" s="75">
        <f>$C74*INDEX(Curves!$BC$8:$BC$68,AZ$4-$B74+1)</f>
        <v/>
      </c>
      <c r="BA74" s="75">
        <f>$C74*INDEX(Curves!$BC$8:$BC$68,BA$4-$B74+1)</f>
        <v/>
      </c>
      <c r="BB74" s="75">
        <f>$C74*INDEX(Curves!$BC$8:$BC$68,BB$4-$B74+1)</f>
        <v/>
      </c>
      <c r="BC74" s="75">
        <f>$C74*INDEX(Curves!$BC$8:$BC$68,BC$4-$B74+1)</f>
        <v/>
      </c>
      <c r="BD74" s="75">
        <f>$C74*INDEX(Curves!$BC$8:$BC$68,BD$4-$B74+1)</f>
        <v/>
      </c>
      <c r="BE74" s="75">
        <f>$C74*INDEX(Curves!$BC$8:$BC$68,BE$4-$B74+1)</f>
        <v/>
      </c>
      <c r="BF74" s="75">
        <f>$C74*INDEX(Curves!$BC$8:$BC$68,BF$4-$B74+1)</f>
        <v/>
      </c>
      <c r="BG74" s="75">
        <f>$C74*INDEX(Curves!$BC$8:$BC$68,BG$4-$B74+1)</f>
        <v/>
      </c>
      <c r="BH74" s="75">
        <f>$C74*INDEX(Curves!$BC$8:$BC$68,BH$4-$B74+1)</f>
        <v/>
      </c>
      <c r="BI74" s="75">
        <f>$C74*INDEX(Curves!$BC$8:$BC$68,BI$4-$B74+1)</f>
        <v/>
      </c>
      <c r="BJ74" s="75">
        <f>$C74*INDEX(Curves!$BC$8:$BC$68,BJ$4-$B74+1)</f>
        <v/>
      </c>
      <c r="BK74" s="75">
        <f>$C74*INDEX(Curves!$BC$8:$BC$68,BK$4-$B74+1)</f>
        <v/>
      </c>
      <c r="BL74" s="75">
        <f>$C74*INDEX(Curves!$BC$8:$BC$68,BL$4-$B74+1)</f>
        <v/>
      </c>
    </row>
    <row r="75">
      <c r="A75" s="74" t="inlineStr">
        <is>
          <t>Cohort month 3</t>
        </is>
      </c>
      <c r="B75" s="74" t="n">
        <v>3</v>
      </c>
      <c r="C75" s="17">
        <f>INDEX(Ops!$E$109:$BL$109,1,$B75)</f>
        <v/>
      </c>
      <c r="H75" s="75">
        <f>$C75*INDEX(Curves!$BC$8:$BC$68,H$4-$B75+1)</f>
        <v/>
      </c>
      <c r="I75" s="75">
        <f>$C75*INDEX(Curves!$BC$8:$BC$68,I$4-$B75+1)</f>
        <v/>
      </c>
      <c r="J75" s="75">
        <f>$C75*INDEX(Curves!$BC$8:$BC$68,J$4-$B75+1)</f>
        <v/>
      </c>
      <c r="K75" s="75">
        <f>$C75*INDEX(Curves!$BC$8:$BC$68,K$4-$B75+1)</f>
        <v/>
      </c>
      <c r="L75" s="75">
        <f>$C75*INDEX(Curves!$BC$8:$BC$68,L$4-$B75+1)</f>
        <v/>
      </c>
      <c r="M75" s="75">
        <f>$C75*INDEX(Curves!$BC$8:$BC$68,M$4-$B75+1)</f>
        <v/>
      </c>
      <c r="N75" s="75">
        <f>$C75*INDEX(Curves!$BC$8:$BC$68,N$4-$B75+1)</f>
        <v/>
      </c>
      <c r="O75" s="75">
        <f>$C75*INDEX(Curves!$BC$8:$BC$68,O$4-$B75+1)</f>
        <v/>
      </c>
      <c r="P75" s="75">
        <f>$C75*INDEX(Curves!$BC$8:$BC$68,P$4-$B75+1)</f>
        <v/>
      </c>
      <c r="Q75" s="75">
        <f>$C75*INDEX(Curves!$BC$8:$BC$68,Q$4-$B75+1)</f>
        <v/>
      </c>
      <c r="R75" s="75">
        <f>$C75*INDEX(Curves!$BC$8:$BC$68,R$4-$B75+1)</f>
        <v/>
      </c>
      <c r="S75" s="75">
        <f>$C75*INDEX(Curves!$BC$8:$BC$68,S$4-$B75+1)</f>
        <v/>
      </c>
      <c r="T75" s="75">
        <f>$C75*INDEX(Curves!$BC$8:$BC$68,T$4-$B75+1)</f>
        <v/>
      </c>
      <c r="U75" s="75">
        <f>$C75*INDEX(Curves!$BC$8:$BC$68,U$4-$B75+1)</f>
        <v/>
      </c>
      <c r="V75" s="75">
        <f>$C75*INDEX(Curves!$BC$8:$BC$68,V$4-$B75+1)</f>
        <v/>
      </c>
      <c r="W75" s="75">
        <f>$C75*INDEX(Curves!$BC$8:$BC$68,W$4-$B75+1)</f>
        <v/>
      </c>
      <c r="X75" s="75">
        <f>$C75*INDEX(Curves!$BC$8:$BC$68,X$4-$B75+1)</f>
        <v/>
      </c>
      <c r="Y75" s="75">
        <f>$C75*INDEX(Curves!$BC$8:$BC$68,Y$4-$B75+1)</f>
        <v/>
      </c>
      <c r="Z75" s="75">
        <f>$C75*INDEX(Curves!$BC$8:$BC$68,Z$4-$B75+1)</f>
        <v/>
      </c>
      <c r="AA75" s="75">
        <f>$C75*INDEX(Curves!$BC$8:$BC$68,AA$4-$B75+1)</f>
        <v/>
      </c>
      <c r="AB75" s="75">
        <f>$C75*INDEX(Curves!$BC$8:$BC$68,AB$4-$B75+1)</f>
        <v/>
      </c>
      <c r="AC75" s="75">
        <f>$C75*INDEX(Curves!$BC$8:$BC$68,AC$4-$B75+1)</f>
        <v/>
      </c>
      <c r="AD75" s="75">
        <f>$C75*INDEX(Curves!$BC$8:$BC$68,AD$4-$B75+1)</f>
        <v/>
      </c>
      <c r="AE75" s="75">
        <f>$C75*INDEX(Curves!$BC$8:$BC$68,AE$4-$B75+1)</f>
        <v/>
      </c>
      <c r="AF75" s="75">
        <f>$C75*INDEX(Curves!$BC$8:$BC$68,AF$4-$B75+1)</f>
        <v/>
      </c>
      <c r="AG75" s="75">
        <f>$C75*INDEX(Curves!$BC$8:$BC$68,AG$4-$B75+1)</f>
        <v/>
      </c>
      <c r="AH75" s="75">
        <f>$C75*INDEX(Curves!$BC$8:$BC$68,AH$4-$B75+1)</f>
        <v/>
      </c>
      <c r="AI75" s="75">
        <f>$C75*INDEX(Curves!$BC$8:$BC$68,AI$4-$B75+1)</f>
        <v/>
      </c>
      <c r="AJ75" s="75">
        <f>$C75*INDEX(Curves!$BC$8:$BC$68,AJ$4-$B75+1)</f>
        <v/>
      </c>
      <c r="AK75" s="75">
        <f>$C75*INDEX(Curves!$BC$8:$BC$68,AK$4-$B75+1)</f>
        <v/>
      </c>
      <c r="AL75" s="75">
        <f>$C75*INDEX(Curves!$BC$8:$BC$68,AL$4-$B75+1)</f>
        <v/>
      </c>
      <c r="AM75" s="75">
        <f>$C75*INDEX(Curves!$BC$8:$BC$68,AM$4-$B75+1)</f>
        <v/>
      </c>
      <c r="AN75" s="75">
        <f>$C75*INDEX(Curves!$BC$8:$BC$68,AN$4-$B75+1)</f>
        <v/>
      </c>
      <c r="AO75" s="75">
        <f>$C75*INDEX(Curves!$BC$8:$BC$68,AO$4-$B75+1)</f>
        <v/>
      </c>
      <c r="AP75" s="75">
        <f>$C75*INDEX(Curves!$BC$8:$BC$68,AP$4-$B75+1)</f>
        <v/>
      </c>
      <c r="AQ75" s="75">
        <f>$C75*INDEX(Curves!$BC$8:$BC$68,AQ$4-$B75+1)</f>
        <v/>
      </c>
      <c r="AR75" s="75">
        <f>$C75*INDEX(Curves!$BC$8:$BC$68,AR$4-$B75+1)</f>
        <v/>
      </c>
      <c r="AS75" s="75">
        <f>$C75*INDEX(Curves!$BC$8:$BC$68,AS$4-$B75+1)</f>
        <v/>
      </c>
      <c r="AT75" s="75">
        <f>$C75*INDEX(Curves!$BC$8:$BC$68,AT$4-$B75+1)</f>
        <v/>
      </c>
      <c r="AU75" s="75">
        <f>$C75*INDEX(Curves!$BC$8:$BC$68,AU$4-$B75+1)</f>
        <v/>
      </c>
      <c r="AV75" s="75">
        <f>$C75*INDEX(Curves!$BC$8:$BC$68,AV$4-$B75+1)</f>
        <v/>
      </c>
      <c r="AW75" s="75">
        <f>$C75*INDEX(Curves!$BC$8:$BC$68,AW$4-$B75+1)</f>
        <v/>
      </c>
      <c r="AX75" s="75">
        <f>$C75*INDEX(Curves!$BC$8:$BC$68,AX$4-$B75+1)</f>
        <v/>
      </c>
      <c r="AY75" s="75">
        <f>$C75*INDEX(Curves!$BC$8:$BC$68,AY$4-$B75+1)</f>
        <v/>
      </c>
      <c r="AZ75" s="75">
        <f>$C75*INDEX(Curves!$BC$8:$BC$68,AZ$4-$B75+1)</f>
        <v/>
      </c>
      <c r="BA75" s="75">
        <f>$C75*INDEX(Curves!$BC$8:$BC$68,BA$4-$B75+1)</f>
        <v/>
      </c>
      <c r="BB75" s="75">
        <f>$C75*INDEX(Curves!$BC$8:$BC$68,BB$4-$B75+1)</f>
        <v/>
      </c>
      <c r="BC75" s="75">
        <f>$C75*INDEX(Curves!$BC$8:$BC$68,BC$4-$B75+1)</f>
        <v/>
      </c>
      <c r="BD75" s="75">
        <f>$C75*INDEX(Curves!$BC$8:$BC$68,BD$4-$B75+1)</f>
        <v/>
      </c>
      <c r="BE75" s="75">
        <f>$C75*INDEX(Curves!$BC$8:$BC$68,BE$4-$B75+1)</f>
        <v/>
      </c>
      <c r="BF75" s="75">
        <f>$C75*INDEX(Curves!$BC$8:$BC$68,BF$4-$B75+1)</f>
        <v/>
      </c>
      <c r="BG75" s="75">
        <f>$C75*INDEX(Curves!$BC$8:$BC$68,BG$4-$B75+1)</f>
        <v/>
      </c>
      <c r="BH75" s="75">
        <f>$C75*INDEX(Curves!$BC$8:$BC$68,BH$4-$B75+1)</f>
        <v/>
      </c>
      <c r="BI75" s="75">
        <f>$C75*INDEX(Curves!$BC$8:$BC$68,BI$4-$B75+1)</f>
        <v/>
      </c>
      <c r="BJ75" s="75">
        <f>$C75*INDEX(Curves!$BC$8:$BC$68,BJ$4-$B75+1)</f>
        <v/>
      </c>
      <c r="BK75" s="75">
        <f>$C75*INDEX(Curves!$BC$8:$BC$68,BK$4-$B75+1)</f>
        <v/>
      </c>
      <c r="BL75" s="75">
        <f>$C75*INDEX(Curves!$BC$8:$BC$68,BL$4-$B75+1)</f>
        <v/>
      </c>
    </row>
    <row r="76">
      <c r="A76" s="74" t="inlineStr">
        <is>
          <t>Cohort month 4</t>
        </is>
      </c>
      <c r="B76" s="74" t="n">
        <v>4</v>
      </c>
      <c r="C76" s="17">
        <f>INDEX(Ops!$E$109:$BL$109,1,$B76)</f>
        <v/>
      </c>
      <c r="I76" s="75">
        <f>$C76*INDEX(Curves!$BC$8:$BC$68,I$4-$B76+1)</f>
        <v/>
      </c>
      <c r="J76" s="75">
        <f>$C76*INDEX(Curves!$BC$8:$BC$68,J$4-$B76+1)</f>
        <v/>
      </c>
      <c r="K76" s="75">
        <f>$C76*INDEX(Curves!$BC$8:$BC$68,K$4-$B76+1)</f>
        <v/>
      </c>
      <c r="L76" s="75">
        <f>$C76*INDEX(Curves!$BC$8:$BC$68,L$4-$B76+1)</f>
        <v/>
      </c>
      <c r="M76" s="75">
        <f>$C76*INDEX(Curves!$BC$8:$BC$68,M$4-$B76+1)</f>
        <v/>
      </c>
      <c r="N76" s="75">
        <f>$C76*INDEX(Curves!$BC$8:$BC$68,N$4-$B76+1)</f>
        <v/>
      </c>
      <c r="O76" s="75">
        <f>$C76*INDEX(Curves!$BC$8:$BC$68,O$4-$B76+1)</f>
        <v/>
      </c>
      <c r="P76" s="75">
        <f>$C76*INDEX(Curves!$BC$8:$BC$68,P$4-$B76+1)</f>
        <v/>
      </c>
      <c r="Q76" s="75">
        <f>$C76*INDEX(Curves!$BC$8:$BC$68,Q$4-$B76+1)</f>
        <v/>
      </c>
      <c r="R76" s="75">
        <f>$C76*INDEX(Curves!$BC$8:$BC$68,R$4-$B76+1)</f>
        <v/>
      </c>
      <c r="S76" s="75">
        <f>$C76*INDEX(Curves!$BC$8:$BC$68,S$4-$B76+1)</f>
        <v/>
      </c>
      <c r="T76" s="75">
        <f>$C76*INDEX(Curves!$BC$8:$BC$68,T$4-$B76+1)</f>
        <v/>
      </c>
      <c r="U76" s="75">
        <f>$C76*INDEX(Curves!$BC$8:$BC$68,U$4-$B76+1)</f>
        <v/>
      </c>
      <c r="V76" s="75">
        <f>$C76*INDEX(Curves!$BC$8:$BC$68,V$4-$B76+1)</f>
        <v/>
      </c>
      <c r="W76" s="75">
        <f>$C76*INDEX(Curves!$BC$8:$BC$68,W$4-$B76+1)</f>
        <v/>
      </c>
      <c r="X76" s="75">
        <f>$C76*INDEX(Curves!$BC$8:$BC$68,X$4-$B76+1)</f>
        <v/>
      </c>
      <c r="Y76" s="75">
        <f>$C76*INDEX(Curves!$BC$8:$BC$68,Y$4-$B76+1)</f>
        <v/>
      </c>
      <c r="Z76" s="75">
        <f>$C76*INDEX(Curves!$BC$8:$BC$68,Z$4-$B76+1)</f>
        <v/>
      </c>
      <c r="AA76" s="75">
        <f>$C76*INDEX(Curves!$BC$8:$BC$68,AA$4-$B76+1)</f>
        <v/>
      </c>
      <c r="AB76" s="75">
        <f>$C76*INDEX(Curves!$BC$8:$BC$68,AB$4-$B76+1)</f>
        <v/>
      </c>
      <c r="AC76" s="75">
        <f>$C76*INDEX(Curves!$BC$8:$BC$68,AC$4-$B76+1)</f>
        <v/>
      </c>
      <c r="AD76" s="75">
        <f>$C76*INDEX(Curves!$BC$8:$BC$68,AD$4-$B76+1)</f>
        <v/>
      </c>
      <c r="AE76" s="75">
        <f>$C76*INDEX(Curves!$BC$8:$BC$68,AE$4-$B76+1)</f>
        <v/>
      </c>
      <c r="AF76" s="75">
        <f>$C76*INDEX(Curves!$BC$8:$BC$68,AF$4-$B76+1)</f>
        <v/>
      </c>
      <c r="AG76" s="75">
        <f>$C76*INDEX(Curves!$BC$8:$BC$68,AG$4-$B76+1)</f>
        <v/>
      </c>
      <c r="AH76" s="75">
        <f>$C76*INDEX(Curves!$BC$8:$BC$68,AH$4-$B76+1)</f>
        <v/>
      </c>
      <c r="AI76" s="75">
        <f>$C76*INDEX(Curves!$BC$8:$BC$68,AI$4-$B76+1)</f>
        <v/>
      </c>
      <c r="AJ76" s="75">
        <f>$C76*INDEX(Curves!$BC$8:$BC$68,AJ$4-$B76+1)</f>
        <v/>
      </c>
      <c r="AK76" s="75">
        <f>$C76*INDEX(Curves!$BC$8:$BC$68,AK$4-$B76+1)</f>
        <v/>
      </c>
      <c r="AL76" s="75">
        <f>$C76*INDEX(Curves!$BC$8:$BC$68,AL$4-$B76+1)</f>
        <v/>
      </c>
      <c r="AM76" s="75">
        <f>$C76*INDEX(Curves!$BC$8:$BC$68,AM$4-$B76+1)</f>
        <v/>
      </c>
      <c r="AN76" s="75">
        <f>$C76*INDEX(Curves!$BC$8:$BC$68,AN$4-$B76+1)</f>
        <v/>
      </c>
      <c r="AO76" s="75">
        <f>$C76*INDEX(Curves!$BC$8:$BC$68,AO$4-$B76+1)</f>
        <v/>
      </c>
      <c r="AP76" s="75">
        <f>$C76*INDEX(Curves!$BC$8:$BC$68,AP$4-$B76+1)</f>
        <v/>
      </c>
      <c r="AQ76" s="75">
        <f>$C76*INDEX(Curves!$BC$8:$BC$68,AQ$4-$B76+1)</f>
        <v/>
      </c>
      <c r="AR76" s="75">
        <f>$C76*INDEX(Curves!$BC$8:$BC$68,AR$4-$B76+1)</f>
        <v/>
      </c>
      <c r="AS76" s="75">
        <f>$C76*INDEX(Curves!$BC$8:$BC$68,AS$4-$B76+1)</f>
        <v/>
      </c>
      <c r="AT76" s="75">
        <f>$C76*INDEX(Curves!$BC$8:$BC$68,AT$4-$B76+1)</f>
        <v/>
      </c>
      <c r="AU76" s="75">
        <f>$C76*INDEX(Curves!$BC$8:$BC$68,AU$4-$B76+1)</f>
        <v/>
      </c>
      <c r="AV76" s="75">
        <f>$C76*INDEX(Curves!$BC$8:$BC$68,AV$4-$B76+1)</f>
        <v/>
      </c>
      <c r="AW76" s="75">
        <f>$C76*INDEX(Curves!$BC$8:$BC$68,AW$4-$B76+1)</f>
        <v/>
      </c>
      <c r="AX76" s="75">
        <f>$C76*INDEX(Curves!$BC$8:$BC$68,AX$4-$B76+1)</f>
        <v/>
      </c>
      <c r="AY76" s="75">
        <f>$C76*INDEX(Curves!$BC$8:$BC$68,AY$4-$B76+1)</f>
        <v/>
      </c>
      <c r="AZ76" s="75">
        <f>$C76*INDEX(Curves!$BC$8:$BC$68,AZ$4-$B76+1)</f>
        <v/>
      </c>
      <c r="BA76" s="75">
        <f>$C76*INDEX(Curves!$BC$8:$BC$68,BA$4-$B76+1)</f>
        <v/>
      </c>
      <c r="BB76" s="75">
        <f>$C76*INDEX(Curves!$BC$8:$BC$68,BB$4-$B76+1)</f>
        <v/>
      </c>
      <c r="BC76" s="75">
        <f>$C76*INDEX(Curves!$BC$8:$BC$68,BC$4-$B76+1)</f>
        <v/>
      </c>
      <c r="BD76" s="75">
        <f>$C76*INDEX(Curves!$BC$8:$BC$68,BD$4-$B76+1)</f>
        <v/>
      </c>
      <c r="BE76" s="75">
        <f>$C76*INDEX(Curves!$BC$8:$BC$68,BE$4-$B76+1)</f>
        <v/>
      </c>
      <c r="BF76" s="75">
        <f>$C76*INDEX(Curves!$BC$8:$BC$68,BF$4-$B76+1)</f>
        <v/>
      </c>
      <c r="BG76" s="75">
        <f>$C76*INDEX(Curves!$BC$8:$BC$68,BG$4-$B76+1)</f>
        <v/>
      </c>
      <c r="BH76" s="75">
        <f>$C76*INDEX(Curves!$BC$8:$BC$68,BH$4-$B76+1)</f>
        <v/>
      </c>
      <c r="BI76" s="75">
        <f>$C76*INDEX(Curves!$BC$8:$BC$68,BI$4-$B76+1)</f>
        <v/>
      </c>
      <c r="BJ76" s="75">
        <f>$C76*INDEX(Curves!$BC$8:$BC$68,BJ$4-$B76+1)</f>
        <v/>
      </c>
      <c r="BK76" s="75">
        <f>$C76*INDEX(Curves!$BC$8:$BC$68,BK$4-$B76+1)</f>
        <v/>
      </c>
      <c r="BL76" s="75">
        <f>$C76*INDEX(Curves!$BC$8:$BC$68,BL$4-$B76+1)</f>
        <v/>
      </c>
    </row>
    <row r="77">
      <c r="A77" s="74" t="inlineStr">
        <is>
          <t>Cohort month 5</t>
        </is>
      </c>
      <c r="B77" s="74" t="n">
        <v>5</v>
      </c>
      <c r="C77" s="17">
        <f>INDEX(Ops!$E$109:$BL$109,1,$B77)</f>
        <v/>
      </c>
      <c r="J77" s="75">
        <f>$C77*INDEX(Curves!$BC$8:$BC$68,J$4-$B77+1)</f>
        <v/>
      </c>
      <c r="K77" s="75">
        <f>$C77*INDEX(Curves!$BC$8:$BC$68,K$4-$B77+1)</f>
        <v/>
      </c>
      <c r="L77" s="75">
        <f>$C77*INDEX(Curves!$BC$8:$BC$68,L$4-$B77+1)</f>
        <v/>
      </c>
      <c r="M77" s="75">
        <f>$C77*INDEX(Curves!$BC$8:$BC$68,M$4-$B77+1)</f>
        <v/>
      </c>
      <c r="N77" s="75">
        <f>$C77*INDEX(Curves!$BC$8:$BC$68,N$4-$B77+1)</f>
        <v/>
      </c>
      <c r="O77" s="75">
        <f>$C77*INDEX(Curves!$BC$8:$BC$68,O$4-$B77+1)</f>
        <v/>
      </c>
      <c r="P77" s="75">
        <f>$C77*INDEX(Curves!$BC$8:$BC$68,P$4-$B77+1)</f>
        <v/>
      </c>
      <c r="Q77" s="75">
        <f>$C77*INDEX(Curves!$BC$8:$BC$68,Q$4-$B77+1)</f>
        <v/>
      </c>
      <c r="R77" s="75">
        <f>$C77*INDEX(Curves!$BC$8:$BC$68,R$4-$B77+1)</f>
        <v/>
      </c>
      <c r="S77" s="75">
        <f>$C77*INDEX(Curves!$BC$8:$BC$68,S$4-$B77+1)</f>
        <v/>
      </c>
      <c r="T77" s="75">
        <f>$C77*INDEX(Curves!$BC$8:$BC$68,T$4-$B77+1)</f>
        <v/>
      </c>
      <c r="U77" s="75">
        <f>$C77*INDEX(Curves!$BC$8:$BC$68,U$4-$B77+1)</f>
        <v/>
      </c>
      <c r="V77" s="75">
        <f>$C77*INDEX(Curves!$BC$8:$BC$68,V$4-$B77+1)</f>
        <v/>
      </c>
      <c r="W77" s="75">
        <f>$C77*INDEX(Curves!$BC$8:$BC$68,W$4-$B77+1)</f>
        <v/>
      </c>
      <c r="X77" s="75">
        <f>$C77*INDEX(Curves!$BC$8:$BC$68,X$4-$B77+1)</f>
        <v/>
      </c>
      <c r="Y77" s="75">
        <f>$C77*INDEX(Curves!$BC$8:$BC$68,Y$4-$B77+1)</f>
        <v/>
      </c>
      <c r="Z77" s="75">
        <f>$C77*INDEX(Curves!$BC$8:$BC$68,Z$4-$B77+1)</f>
        <v/>
      </c>
      <c r="AA77" s="75">
        <f>$C77*INDEX(Curves!$BC$8:$BC$68,AA$4-$B77+1)</f>
        <v/>
      </c>
      <c r="AB77" s="75">
        <f>$C77*INDEX(Curves!$BC$8:$BC$68,AB$4-$B77+1)</f>
        <v/>
      </c>
      <c r="AC77" s="75">
        <f>$C77*INDEX(Curves!$BC$8:$BC$68,AC$4-$B77+1)</f>
        <v/>
      </c>
      <c r="AD77" s="75">
        <f>$C77*INDEX(Curves!$BC$8:$BC$68,AD$4-$B77+1)</f>
        <v/>
      </c>
      <c r="AE77" s="75">
        <f>$C77*INDEX(Curves!$BC$8:$BC$68,AE$4-$B77+1)</f>
        <v/>
      </c>
      <c r="AF77" s="75">
        <f>$C77*INDEX(Curves!$BC$8:$BC$68,AF$4-$B77+1)</f>
        <v/>
      </c>
      <c r="AG77" s="75">
        <f>$C77*INDEX(Curves!$BC$8:$BC$68,AG$4-$B77+1)</f>
        <v/>
      </c>
      <c r="AH77" s="75">
        <f>$C77*INDEX(Curves!$BC$8:$BC$68,AH$4-$B77+1)</f>
        <v/>
      </c>
      <c r="AI77" s="75">
        <f>$C77*INDEX(Curves!$BC$8:$BC$68,AI$4-$B77+1)</f>
        <v/>
      </c>
      <c r="AJ77" s="75">
        <f>$C77*INDEX(Curves!$BC$8:$BC$68,AJ$4-$B77+1)</f>
        <v/>
      </c>
      <c r="AK77" s="75">
        <f>$C77*INDEX(Curves!$BC$8:$BC$68,AK$4-$B77+1)</f>
        <v/>
      </c>
      <c r="AL77" s="75">
        <f>$C77*INDEX(Curves!$BC$8:$BC$68,AL$4-$B77+1)</f>
        <v/>
      </c>
      <c r="AM77" s="75">
        <f>$C77*INDEX(Curves!$BC$8:$BC$68,AM$4-$B77+1)</f>
        <v/>
      </c>
      <c r="AN77" s="75">
        <f>$C77*INDEX(Curves!$BC$8:$BC$68,AN$4-$B77+1)</f>
        <v/>
      </c>
      <c r="AO77" s="75">
        <f>$C77*INDEX(Curves!$BC$8:$BC$68,AO$4-$B77+1)</f>
        <v/>
      </c>
      <c r="AP77" s="75">
        <f>$C77*INDEX(Curves!$BC$8:$BC$68,AP$4-$B77+1)</f>
        <v/>
      </c>
      <c r="AQ77" s="75">
        <f>$C77*INDEX(Curves!$BC$8:$BC$68,AQ$4-$B77+1)</f>
        <v/>
      </c>
      <c r="AR77" s="75">
        <f>$C77*INDEX(Curves!$BC$8:$BC$68,AR$4-$B77+1)</f>
        <v/>
      </c>
      <c r="AS77" s="75">
        <f>$C77*INDEX(Curves!$BC$8:$BC$68,AS$4-$B77+1)</f>
        <v/>
      </c>
      <c r="AT77" s="75">
        <f>$C77*INDEX(Curves!$BC$8:$BC$68,AT$4-$B77+1)</f>
        <v/>
      </c>
      <c r="AU77" s="75">
        <f>$C77*INDEX(Curves!$BC$8:$BC$68,AU$4-$B77+1)</f>
        <v/>
      </c>
      <c r="AV77" s="75">
        <f>$C77*INDEX(Curves!$BC$8:$BC$68,AV$4-$B77+1)</f>
        <v/>
      </c>
      <c r="AW77" s="75">
        <f>$C77*INDEX(Curves!$BC$8:$BC$68,AW$4-$B77+1)</f>
        <v/>
      </c>
      <c r="AX77" s="75">
        <f>$C77*INDEX(Curves!$BC$8:$BC$68,AX$4-$B77+1)</f>
        <v/>
      </c>
      <c r="AY77" s="75">
        <f>$C77*INDEX(Curves!$BC$8:$BC$68,AY$4-$B77+1)</f>
        <v/>
      </c>
      <c r="AZ77" s="75">
        <f>$C77*INDEX(Curves!$BC$8:$BC$68,AZ$4-$B77+1)</f>
        <v/>
      </c>
      <c r="BA77" s="75">
        <f>$C77*INDEX(Curves!$BC$8:$BC$68,BA$4-$B77+1)</f>
        <v/>
      </c>
      <c r="BB77" s="75">
        <f>$C77*INDEX(Curves!$BC$8:$BC$68,BB$4-$B77+1)</f>
        <v/>
      </c>
      <c r="BC77" s="75">
        <f>$C77*INDEX(Curves!$BC$8:$BC$68,BC$4-$B77+1)</f>
        <v/>
      </c>
      <c r="BD77" s="75">
        <f>$C77*INDEX(Curves!$BC$8:$BC$68,BD$4-$B77+1)</f>
        <v/>
      </c>
      <c r="BE77" s="75">
        <f>$C77*INDEX(Curves!$BC$8:$BC$68,BE$4-$B77+1)</f>
        <v/>
      </c>
      <c r="BF77" s="75">
        <f>$C77*INDEX(Curves!$BC$8:$BC$68,BF$4-$B77+1)</f>
        <v/>
      </c>
      <c r="BG77" s="75">
        <f>$C77*INDEX(Curves!$BC$8:$BC$68,BG$4-$B77+1)</f>
        <v/>
      </c>
      <c r="BH77" s="75">
        <f>$C77*INDEX(Curves!$BC$8:$BC$68,BH$4-$B77+1)</f>
        <v/>
      </c>
      <c r="BI77" s="75">
        <f>$C77*INDEX(Curves!$BC$8:$BC$68,BI$4-$B77+1)</f>
        <v/>
      </c>
      <c r="BJ77" s="75">
        <f>$C77*INDEX(Curves!$BC$8:$BC$68,BJ$4-$B77+1)</f>
        <v/>
      </c>
      <c r="BK77" s="75">
        <f>$C77*INDEX(Curves!$BC$8:$BC$68,BK$4-$B77+1)</f>
        <v/>
      </c>
      <c r="BL77" s="75">
        <f>$C77*INDEX(Curves!$BC$8:$BC$68,BL$4-$B77+1)</f>
        <v/>
      </c>
    </row>
    <row r="78">
      <c r="A78" s="74" t="inlineStr">
        <is>
          <t>Cohort month 6</t>
        </is>
      </c>
      <c r="B78" s="74" t="n">
        <v>6</v>
      </c>
      <c r="C78" s="17">
        <f>INDEX(Ops!$E$109:$BL$109,1,$B78)</f>
        <v/>
      </c>
      <c r="K78" s="75">
        <f>$C78*INDEX(Curves!$BC$8:$BC$68,K$4-$B78+1)</f>
        <v/>
      </c>
      <c r="L78" s="75">
        <f>$C78*INDEX(Curves!$BC$8:$BC$68,L$4-$B78+1)</f>
        <v/>
      </c>
      <c r="M78" s="75">
        <f>$C78*INDEX(Curves!$BC$8:$BC$68,M$4-$B78+1)</f>
        <v/>
      </c>
      <c r="N78" s="75">
        <f>$C78*INDEX(Curves!$BC$8:$BC$68,N$4-$B78+1)</f>
        <v/>
      </c>
      <c r="O78" s="75">
        <f>$C78*INDEX(Curves!$BC$8:$BC$68,O$4-$B78+1)</f>
        <v/>
      </c>
      <c r="P78" s="75">
        <f>$C78*INDEX(Curves!$BC$8:$BC$68,P$4-$B78+1)</f>
        <v/>
      </c>
      <c r="Q78" s="75">
        <f>$C78*INDEX(Curves!$BC$8:$BC$68,Q$4-$B78+1)</f>
        <v/>
      </c>
      <c r="R78" s="75">
        <f>$C78*INDEX(Curves!$BC$8:$BC$68,R$4-$B78+1)</f>
        <v/>
      </c>
      <c r="S78" s="75">
        <f>$C78*INDEX(Curves!$BC$8:$BC$68,S$4-$B78+1)</f>
        <v/>
      </c>
      <c r="T78" s="75">
        <f>$C78*INDEX(Curves!$BC$8:$BC$68,T$4-$B78+1)</f>
        <v/>
      </c>
      <c r="U78" s="75">
        <f>$C78*INDEX(Curves!$BC$8:$BC$68,U$4-$B78+1)</f>
        <v/>
      </c>
      <c r="V78" s="75">
        <f>$C78*INDEX(Curves!$BC$8:$BC$68,V$4-$B78+1)</f>
        <v/>
      </c>
      <c r="W78" s="75">
        <f>$C78*INDEX(Curves!$BC$8:$BC$68,W$4-$B78+1)</f>
        <v/>
      </c>
      <c r="X78" s="75">
        <f>$C78*INDEX(Curves!$BC$8:$BC$68,X$4-$B78+1)</f>
        <v/>
      </c>
      <c r="Y78" s="75">
        <f>$C78*INDEX(Curves!$BC$8:$BC$68,Y$4-$B78+1)</f>
        <v/>
      </c>
      <c r="Z78" s="75">
        <f>$C78*INDEX(Curves!$BC$8:$BC$68,Z$4-$B78+1)</f>
        <v/>
      </c>
      <c r="AA78" s="75">
        <f>$C78*INDEX(Curves!$BC$8:$BC$68,AA$4-$B78+1)</f>
        <v/>
      </c>
      <c r="AB78" s="75">
        <f>$C78*INDEX(Curves!$BC$8:$BC$68,AB$4-$B78+1)</f>
        <v/>
      </c>
      <c r="AC78" s="75">
        <f>$C78*INDEX(Curves!$BC$8:$BC$68,AC$4-$B78+1)</f>
        <v/>
      </c>
      <c r="AD78" s="75">
        <f>$C78*INDEX(Curves!$BC$8:$BC$68,AD$4-$B78+1)</f>
        <v/>
      </c>
      <c r="AE78" s="75">
        <f>$C78*INDEX(Curves!$BC$8:$BC$68,AE$4-$B78+1)</f>
        <v/>
      </c>
      <c r="AF78" s="75">
        <f>$C78*INDEX(Curves!$BC$8:$BC$68,AF$4-$B78+1)</f>
        <v/>
      </c>
      <c r="AG78" s="75">
        <f>$C78*INDEX(Curves!$BC$8:$BC$68,AG$4-$B78+1)</f>
        <v/>
      </c>
      <c r="AH78" s="75">
        <f>$C78*INDEX(Curves!$BC$8:$BC$68,AH$4-$B78+1)</f>
        <v/>
      </c>
      <c r="AI78" s="75">
        <f>$C78*INDEX(Curves!$BC$8:$BC$68,AI$4-$B78+1)</f>
        <v/>
      </c>
      <c r="AJ78" s="75">
        <f>$C78*INDEX(Curves!$BC$8:$BC$68,AJ$4-$B78+1)</f>
        <v/>
      </c>
      <c r="AK78" s="75">
        <f>$C78*INDEX(Curves!$BC$8:$BC$68,AK$4-$B78+1)</f>
        <v/>
      </c>
      <c r="AL78" s="75">
        <f>$C78*INDEX(Curves!$BC$8:$BC$68,AL$4-$B78+1)</f>
        <v/>
      </c>
      <c r="AM78" s="75">
        <f>$C78*INDEX(Curves!$BC$8:$BC$68,AM$4-$B78+1)</f>
        <v/>
      </c>
      <c r="AN78" s="75">
        <f>$C78*INDEX(Curves!$BC$8:$BC$68,AN$4-$B78+1)</f>
        <v/>
      </c>
      <c r="AO78" s="75">
        <f>$C78*INDEX(Curves!$BC$8:$BC$68,AO$4-$B78+1)</f>
        <v/>
      </c>
      <c r="AP78" s="75">
        <f>$C78*INDEX(Curves!$BC$8:$BC$68,AP$4-$B78+1)</f>
        <v/>
      </c>
      <c r="AQ78" s="75">
        <f>$C78*INDEX(Curves!$BC$8:$BC$68,AQ$4-$B78+1)</f>
        <v/>
      </c>
      <c r="AR78" s="75">
        <f>$C78*INDEX(Curves!$BC$8:$BC$68,AR$4-$B78+1)</f>
        <v/>
      </c>
      <c r="AS78" s="75">
        <f>$C78*INDEX(Curves!$BC$8:$BC$68,AS$4-$B78+1)</f>
        <v/>
      </c>
      <c r="AT78" s="75">
        <f>$C78*INDEX(Curves!$BC$8:$BC$68,AT$4-$B78+1)</f>
        <v/>
      </c>
      <c r="AU78" s="75">
        <f>$C78*INDEX(Curves!$BC$8:$BC$68,AU$4-$B78+1)</f>
        <v/>
      </c>
      <c r="AV78" s="75">
        <f>$C78*INDEX(Curves!$BC$8:$BC$68,AV$4-$B78+1)</f>
        <v/>
      </c>
      <c r="AW78" s="75">
        <f>$C78*INDEX(Curves!$BC$8:$BC$68,AW$4-$B78+1)</f>
        <v/>
      </c>
      <c r="AX78" s="75">
        <f>$C78*INDEX(Curves!$BC$8:$BC$68,AX$4-$B78+1)</f>
        <v/>
      </c>
      <c r="AY78" s="75">
        <f>$C78*INDEX(Curves!$BC$8:$BC$68,AY$4-$B78+1)</f>
        <v/>
      </c>
      <c r="AZ78" s="75">
        <f>$C78*INDEX(Curves!$BC$8:$BC$68,AZ$4-$B78+1)</f>
        <v/>
      </c>
      <c r="BA78" s="75">
        <f>$C78*INDEX(Curves!$BC$8:$BC$68,BA$4-$B78+1)</f>
        <v/>
      </c>
      <c r="BB78" s="75">
        <f>$C78*INDEX(Curves!$BC$8:$BC$68,BB$4-$B78+1)</f>
        <v/>
      </c>
      <c r="BC78" s="75">
        <f>$C78*INDEX(Curves!$BC$8:$BC$68,BC$4-$B78+1)</f>
        <v/>
      </c>
      <c r="BD78" s="75">
        <f>$C78*INDEX(Curves!$BC$8:$BC$68,BD$4-$B78+1)</f>
        <v/>
      </c>
      <c r="BE78" s="75">
        <f>$C78*INDEX(Curves!$BC$8:$BC$68,BE$4-$B78+1)</f>
        <v/>
      </c>
      <c r="BF78" s="75">
        <f>$C78*INDEX(Curves!$BC$8:$BC$68,BF$4-$B78+1)</f>
        <v/>
      </c>
      <c r="BG78" s="75">
        <f>$C78*INDEX(Curves!$BC$8:$BC$68,BG$4-$B78+1)</f>
        <v/>
      </c>
      <c r="BH78" s="75">
        <f>$C78*INDEX(Curves!$BC$8:$BC$68,BH$4-$B78+1)</f>
        <v/>
      </c>
      <c r="BI78" s="75">
        <f>$C78*INDEX(Curves!$BC$8:$BC$68,BI$4-$B78+1)</f>
        <v/>
      </c>
      <c r="BJ78" s="75">
        <f>$C78*INDEX(Curves!$BC$8:$BC$68,BJ$4-$B78+1)</f>
        <v/>
      </c>
      <c r="BK78" s="75">
        <f>$C78*INDEX(Curves!$BC$8:$BC$68,BK$4-$B78+1)</f>
        <v/>
      </c>
      <c r="BL78" s="75">
        <f>$C78*INDEX(Curves!$BC$8:$BC$68,BL$4-$B78+1)</f>
        <v/>
      </c>
    </row>
    <row r="79">
      <c r="A79" s="74" t="inlineStr">
        <is>
          <t>Cohort month 7</t>
        </is>
      </c>
      <c r="B79" s="74" t="n">
        <v>7</v>
      </c>
      <c r="C79" s="17">
        <f>INDEX(Ops!$E$109:$BL$109,1,$B79)</f>
        <v/>
      </c>
      <c r="L79" s="75">
        <f>$C79*INDEX(Curves!$BC$8:$BC$68,L$4-$B79+1)</f>
        <v/>
      </c>
      <c r="M79" s="75">
        <f>$C79*INDEX(Curves!$BC$8:$BC$68,M$4-$B79+1)</f>
        <v/>
      </c>
      <c r="N79" s="75">
        <f>$C79*INDEX(Curves!$BC$8:$BC$68,N$4-$B79+1)</f>
        <v/>
      </c>
      <c r="O79" s="75">
        <f>$C79*INDEX(Curves!$BC$8:$BC$68,O$4-$B79+1)</f>
        <v/>
      </c>
      <c r="P79" s="75">
        <f>$C79*INDEX(Curves!$BC$8:$BC$68,P$4-$B79+1)</f>
        <v/>
      </c>
      <c r="Q79" s="75">
        <f>$C79*INDEX(Curves!$BC$8:$BC$68,Q$4-$B79+1)</f>
        <v/>
      </c>
      <c r="R79" s="75">
        <f>$C79*INDEX(Curves!$BC$8:$BC$68,R$4-$B79+1)</f>
        <v/>
      </c>
      <c r="S79" s="75">
        <f>$C79*INDEX(Curves!$BC$8:$BC$68,S$4-$B79+1)</f>
        <v/>
      </c>
      <c r="T79" s="75">
        <f>$C79*INDEX(Curves!$BC$8:$BC$68,T$4-$B79+1)</f>
        <v/>
      </c>
      <c r="U79" s="75">
        <f>$C79*INDEX(Curves!$BC$8:$BC$68,U$4-$B79+1)</f>
        <v/>
      </c>
      <c r="V79" s="75">
        <f>$C79*INDEX(Curves!$BC$8:$BC$68,V$4-$B79+1)</f>
        <v/>
      </c>
      <c r="W79" s="75">
        <f>$C79*INDEX(Curves!$BC$8:$BC$68,W$4-$B79+1)</f>
        <v/>
      </c>
      <c r="X79" s="75">
        <f>$C79*INDEX(Curves!$BC$8:$BC$68,X$4-$B79+1)</f>
        <v/>
      </c>
      <c r="Y79" s="75">
        <f>$C79*INDEX(Curves!$BC$8:$BC$68,Y$4-$B79+1)</f>
        <v/>
      </c>
      <c r="Z79" s="75">
        <f>$C79*INDEX(Curves!$BC$8:$BC$68,Z$4-$B79+1)</f>
        <v/>
      </c>
      <c r="AA79" s="75">
        <f>$C79*INDEX(Curves!$BC$8:$BC$68,AA$4-$B79+1)</f>
        <v/>
      </c>
      <c r="AB79" s="75">
        <f>$C79*INDEX(Curves!$BC$8:$BC$68,AB$4-$B79+1)</f>
        <v/>
      </c>
      <c r="AC79" s="75">
        <f>$C79*INDEX(Curves!$BC$8:$BC$68,AC$4-$B79+1)</f>
        <v/>
      </c>
      <c r="AD79" s="75">
        <f>$C79*INDEX(Curves!$BC$8:$BC$68,AD$4-$B79+1)</f>
        <v/>
      </c>
      <c r="AE79" s="75">
        <f>$C79*INDEX(Curves!$BC$8:$BC$68,AE$4-$B79+1)</f>
        <v/>
      </c>
      <c r="AF79" s="75">
        <f>$C79*INDEX(Curves!$BC$8:$BC$68,AF$4-$B79+1)</f>
        <v/>
      </c>
      <c r="AG79" s="75">
        <f>$C79*INDEX(Curves!$BC$8:$BC$68,AG$4-$B79+1)</f>
        <v/>
      </c>
      <c r="AH79" s="75">
        <f>$C79*INDEX(Curves!$BC$8:$BC$68,AH$4-$B79+1)</f>
        <v/>
      </c>
      <c r="AI79" s="75">
        <f>$C79*INDEX(Curves!$BC$8:$BC$68,AI$4-$B79+1)</f>
        <v/>
      </c>
      <c r="AJ79" s="75">
        <f>$C79*INDEX(Curves!$BC$8:$BC$68,AJ$4-$B79+1)</f>
        <v/>
      </c>
      <c r="AK79" s="75">
        <f>$C79*INDEX(Curves!$BC$8:$BC$68,AK$4-$B79+1)</f>
        <v/>
      </c>
      <c r="AL79" s="75">
        <f>$C79*INDEX(Curves!$BC$8:$BC$68,AL$4-$B79+1)</f>
        <v/>
      </c>
      <c r="AM79" s="75">
        <f>$C79*INDEX(Curves!$BC$8:$BC$68,AM$4-$B79+1)</f>
        <v/>
      </c>
      <c r="AN79" s="75">
        <f>$C79*INDEX(Curves!$BC$8:$BC$68,AN$4-$B79+1)</f>
        <v/>
      </c>
      <c r="AO79" s="75">
        <f>$C79*INDEX(Curves!$BC$8:$BC$68,AO$4-$B79+1)</f>
        <v/>
      </c>
      <c r="AP79" s="75">
        <f>$C79*INDEX(Curves!$BC$8:$BC$68,AP$4-$B79+1)</f>
        <v/>
      </c>
      <c r="AQ79" s="75">
        <f>$C79*INDEX(Curves!$BC$8:$BC$68,AQ$4-$B79+1)</f>
        <v/>
      </c>
      <c r="AR79" s="75">
        <f>$C79*INDEX(Curves!$BC$8:$BC$68,AR$4-$B79+1)</f>
        <v/>
      </c>
      <c r="AS79" s="75">
        <f>$C79*INDEX(Curves!$BC$8:$BC$68,AS$4-$B79+1)</f>
        <v/>
      </c>
      <c r="AT79" s="75">
        <f>$C79*INDEX(Curves!$BC$8:$BC$68,AT$4-$B79+1)</f>
        <v/>
      </c>
      <c r="AU79" s="75">
        <f>$C79*INDEX(Curves!$BC$8:$BC$68,AU$4-$B79+1)</f>
        <v/>
      </c>
      <c r="AV79" s="75">
        <f>$C79*INDEX(Curves!$BC$8:$BC$68,AV$4-$B79+1)</f>
        <v/>
      </c>
      <c r="AW79" s="75">
        <f>$C79*INDEX(Curves!$BC$8:$BC$68,AW$4-$B79+1)</f>
        <v/>
      </c>
      <c r="AX79" s="75">
        <f>$C79*INDEX(Curves!$BC$8:$BC$68,AX$4-$B79+1)</f>
        <v/>
      </c>
      <c r="AY79" s="75">
        <f>$C79*INDEX(Curves!$BC$8:$BC$68,AY$4-$B79+1)</f>
        <v/>
      </c>
      <c r="AZ79" s="75">
        <f>$C79*INDEX(Curves!$BC$8:$BC$68,AZ$4-$B79+1)</f>
        <v/>
      </c>
      <c r="BA79" s="75">
        <f>$C79*INDEX(Curves!$BC$8:$BC$68,BA$4-$B79+1)</f>
        <v/>
      </c>
      <c r="BB79" s="75">
        <f>$C79*INDEX(Curves!$BC$8:$BC$68,BB$4-$B79+1)</f>
        <v/>
      </c>
      <c r="BC79" s="75">
        <f>$C79*INDEX(Curves!$BC$8:$BC$68,BC$4-$B79+1)</f>
        <v/>
      </c>
      <c r="BD79" s="75">
        <f>$C79*INDEX(Curves!$BC$8:$BC$68,BD$4-$B79+1)</f>
        <v/>
      </c>
      <c r="BE79" s="75">
        <f>$C79*INDEX(Curves!$BC$8:$BC$68,BE$4-$B79+1)</f>
        <v/>
      </c>
      <c r="BF79" s="75">
        <f>$C79*INDEX(Curves!$BC$8:$BC$68,BF$4-$B79+1)</f>
        <v/>
      </c>
      <c r="BG79" s="75">
        <f>$C79*INDEX(Curves!$BC$8:$BC$68,BG$4-$B79+1)</f>
        <v/>
      </c>
      <c r="BH79" s="75">
        <f>$C79*INDEX(Curves!$BC$8:$BC$68,BH$4-$B79+1)</f>
        <v/>
      </c>
      <c r="BI79" s="75">
        <f>$C79*INDEX(Curves!$BC$8:$BC$68,BI$4-$B79+1)</f>
        <v/>
      </c>
      <c r="BJ79" s="75">
        <f>$C79*INDEX(Curves!$BC$8:$BC$68,BJ$4-$B79+1)</f>
        <v/>
      </c>
      <c r="BK79" s="75">
        <f>$C79*INDEX(Curves!$BC$8:$BC$68,BK$4-$B79+1)</f>
        <v/>
      </c>
      <c r="BL79" s="75">
        <f>$C79*INDEX(Curves!$BC$8:$BC$68,BL$4-$B79+1)</f>
        <v/>
      </c>
    </row>
    <row r="80">
      <c r="A80" s="74" t="inlineStr">
        <is>
          <t>Cohort month 8</t>
        </is>
      </c>
      <c r="B80" s="74" t="n">
        <v>8</v>
      </c>
      <c r="C80" s="17">
        <f>INDEX(Ops!$E$109:$BL$109,1,$B80)</f>
        <v/>
      </c>
      <c r="M80" s="75">
        <f>$C80*INDEX(Curves!$BC$8:$BC$68,M$4-$B80+1)</f>
        <v/>
      </c>
      <c r="N80" s="75">
        <f>$C80*INDEX(Curves!$BC$8:$BC$68,N$4-$B80+1)</f>
        <v/>
      </c>
      <c r="O80" s="75">
        <f>$C80*INDEX(Curves!$BC$8:$BC$68,O$4-$B80+1)</f>
        <v/>
      </c>
      <c r="P80" s="75">
        <f>$C80*INDEX(Curves!$BC$8:$BC$68,P$4-$B80+1)</f>
        <v/>
      </c>
      <c r="Q80" s="75">
        <f>$C80*INDEX(Curves!$BC$8:$BC$68,Q$4-$B80+1)</f>
        <v/>
      </c>
      <c r="R80" s="75">
        <f>$C80*INDEX(Curves!$BC$8:$BC$68,R$4-$B80+1)</f>
        <v/>
      </c>
      <c r="S80" s="75">
        <f>$C80*INDEX(Curves!$BC$8:$BC$68,S$4-$B80+1)</f>
        <v/>
      </c>
      <c r="T80" s="75">
        <f>$C80*INDEX(Curves!$BC$8:$BC$68,T$4-$B80+1)</f>
        <v/>
      </c>
      <c r="U80" s="75">
        <f>$C80*INDEX(Curves!$BC$8:$BC$68,U$4-$B80+1)</f>
        <v/>
      </c>
      <c r="V80" s="75">
        <f>$C80*INDEX(Curves!$BC$8:$BC$68,V$4-$B80+1)</f>
        <v/>
      </c>
      <c r="W80" s="75">
        <f>$C80*INDEX(Curves!$BC$8:$BC$68,W$4-$B80+1)</f>
        <v/>
      </c>
      <c r="X80" s="75">
        <f>$C80*INDEX(Curves!$BC$8:$BC$68,X$4-$B80+1)</f>
        <v/>
      </c>
      <c r="Y80" s="75">
        <f>$C80*INDEX(Curves!$BC$8:$BC$68,Y$4-$B80+1)</f>
        <v/>
      </c>
      <c r="Z80" s="75">
        <f>$C80*INDEX(Curves!$BC$8:$BC$68,Z$4-$B80+1)</f>
        <v/>
      </c>
      <c r="AA80" s="75">
        <f>$C80*INDEX(Curves!$BC$8:$BC$68,AA$4-$B80+1)</f>
        <v/>
      </c>
      <c r="AB80" s="75">
        <f>$C80*INDEX(Curves!$BC$8:$BC$68,AB$4-$B80+1)</f>
        <v/>
      </c>
      <c r="AC80" s="75">
        <f>$C80*INDEX(Curves!$BC$8:$BC$68,AC$4-$B80+1)</f>
        <v/>
      </c>
      <c r="AD80" s="75">
        <f>$C80*INDEX(Curves!$BC$8:$BC$68,AD$4-$B80+1)</f>
        <v/>
      </c>
      <c r="AE80" s="75">
        <f>$C80*INDEX(Curves!$BC$8:$BC$68,AE$4-$B80+1)</f>
        <v/>
      </c>
      <c r="AF80" s="75">
        <f>$C80*INDEX(Curves!$BC$8:$BC$68,AF$4-$B80+1)</f>
        <v/>
      </c>
      <c r="AG80" s="75">
        <f>$C80*INDEX(Curves!$BC$8:$BC$68,AG$4-$B80+1)</f>
        <v/>
      </c>
      <c r="AH80" s="75">
        <f>$C80*INDEX(Curves!$BC$8:$BC$68,AH$4-$B80+1)</f>
        <v/>
      </c>
      <c r="AI80" s="75">
        <f>$C80*INDEX(Curves!$BC$8:$BC$68,AI$4-$B80+1)</f>
        <v/>
      </c>
      <c r="AJ80" s="75">
        <f>$C80*INDEX(Curves!$BC$8:$BC$68,AJ$4-$B80+1)</f>
        <v/>
      </c>
      <c r="AK80" s="75">
        <f>$C80*INDEX(Curves!$BC$8:$BC$68,AK$4-$B80+1)</f>
        <v/>
      </c>
      <c r="AL80" s="75">
        <f>$C80*INDEX(Curves!$BC$8:$BC$68,AL$4-$B80+1)</f>
        <v/>
      </c>
      <c r="AM80" s="75">
        <f>$C80*INDEX(Curves!$BC$8:$BC$68,AM$4-$B80+1)</f>
        <v/>
      </c>
      <c r="AN80" s="75">
        <f>$C80*INDEX(Curves!$BC$8:$BC$68,AN$4-$B80+1)</f>
        <v/>
      </c>
      <c r="AO80" s="75">
        <f>$C80*INDEX(Curves!$BC$8:$BC$68,AO$4-$B80+1)</f>
        <v/>
      </c>
      <c r="AP80" s="75">
        <f>$C80*INDEX(Curves!$BC$8:$BC$68,AP$4-$B80+1)</f>
        <v/>
      </c>
      <c r="AQ80" s="75">
        <f>$C80*INDEX(Curves!$BC$8:$BC$68,AQ$4-$B80+1)</f>
        <v/>
      </c>
      <c r="AR80" s="75">
        <f>$C80*INDEX(Curves!$BC$8:$BC$68,AR$4-$B80+1)</f>
        <v/>
      </c>
      <c r="AS80" s="75">
        <f>$C80*INDEX(Curves!$BC$8:$BC$68,AS$4-$B80+1)</f>
        <v/>
      </c>
      <c r="AT80" s="75">
        <f>$C80*INDEX(Curves!$BC$8:$BC$68,AT$4-$B80+1)</f>
        <v/>
      </c>
      <c r="AU80" s="75">
        <f>$C80*INDEX(Curves!$BC$8:$BC$68,AU$4-$B80+1)</f>
        <v/>
      </c>
      <c r="AV80" s="75">
        <f>$C80*INDEX(Curves!$BC$8:$BC$68,AV$4-$B80+1)</f>
        <v/>
      </c>
      <c r="AW80" s="75">
        <f>$C80*INDEX(Curves!$BC$8:$BC$68,AW$4-$B80+1)</f>
        <v/>
      </c>
      <c r="AX80" s="75">
        <f>$C80*INDEX(Curves!$BC$8:$BC$68,AX$4-$B80+1)</f>
        <v/>
      </c>
      <c r="AY80" s="75">
        <f>$C80*INDEX(Curves!$BC$8:$BC$68,AY$4-$B80+1)</f>
        <v/>
      </c>
      <c r="AZ80" s="75">
        <f>$C80*INDEX(Curves!$BC$8:$BC$68,AZ$4-$B80+1)</f>
        <v/>
      </c>
      <c r="BA80" s="75">
        <f>$C80*INDEX(Curves!$BC$8:$BC$68,BA$4-$B80+1)</f>
        <v/>
      </c>
      <c r="BB80" s="75">
        <f>$C80*INDEX(Curves!$BC$8:$BC$68,BB$4-$B80+1)</f>
        <v/>
      </c>
      <c r="BC80" s="75">
        <f>$C80*INDEX(Curves!$BC$8:$BC$68,BC$4-$B80+1)</f>
        <v/>
      </c>
      <c r="BD80" s="75">
        <f>$C80*INDEX(Curves!$BC$8:$BC$68,BD$4-$B80+1)</f>
        <v/>
      </c>
      <c r="BE80" s="75">
        <f>$C80*INDEX(Curves!$BC$8:$BC$68,BE$4-$B80+1)</f>
        <v/>
      </c>
      <c r="BF80" s="75">
        <f>$C80*INDEX(Curves!$BC$8:$BC$68,BF$4-$B80+1)</f>
        <v/>
      </c>
      <c r="BG80" s="75">
        <f>$C80*INDEX(Curves!$BC$8:$BC$68,BG$4-$B80+1)</f>
        <v/>
      </c>
      <c r="BH80" s="75">
        <f>$C80*INDEX(Curves!$BC$8:$BC$68,BH$4-$B80+1)</f>
        <v/>
      </c>
      <c r="BI80" s="75">
        <f>$C80*INDEX(Curves!$BC$8:$BC$68,BI$4-$B80+1)</f>
        <v/>
      </c>
      <c r="BJ80" s="75">
        <f>$C80*INDEX(Curves!$BC$8:$BC$68,BJ$4-$B80+1)</f>
        <v/>
      </c>
      <c r="BK80" s="75">
        <f>$C80*INDEX(Curves!$BC$8:$BC$68,BK$4-$B80+1)</f>
        <v/>
      </c>
      <c r="BL80" s="75">
        <f>$C80*INDEX(Curves!$BC$8:$BC$68,BL$4-$B80+1)</f>
        <v/>
      </c>
    </row>
    <row r="81">
      <c r="A81" s="74" t="inlineStr">
        <is>
          <t>Cohort month 9</t>
        </is>
      </c>
      <c r="B81" s="74" t="n">
        <v>9</v>
      </c>
      <c r="C81" s="17">
        <f>INDEX(Ops!$E$109:$BL$109,1,$B81)</f>
        <v/>
      </c>
      <c r="N81" s="75">
        <f>$C81*INDEX(Curves!$BC$8:$BC$68,N$4-$B81+1)</f>
        <v/>
      </c>
      <c r="O81" s="75">
        <f>$C81*INDEX(Curves!$BC$8:$BC$68,O$4-$B81+1)</f>
        <v/>
      </c>
      <c r="P81" s="75">
        <f>$C81*INDEX(Curves!$BC$8:$BC$68,P$4-$B81+1)</f>
        <v/>
      </c>
      <c r="Q81" s="75">
        <f>$C81*INDEX(Curves!$BC$8:$BC$68,Q$4-$B81+1)</f>
        <v/>
      </c>
      <c r="R81" s="75">
        <f>$C81*INDEX(Curves!$BC$8:$BC$68,R$4-$B81+1)</f>
        <v/>
      </c>
      <c r="S81" s="75">
        <f>$C81*INDEX(Curves!$BC$8:$BC$68,S$4-$B81+1)</f>
        <v/>
      </c>
      <c r="T81" s="75">
        <f>$C81*INDEX(Curves!$BC$8:$BC$68,T$4-$B81+1)</f>
        <v/>
      </c>
      <c r="U81" s="75">
        <f>$C81*INDEX(Curves!$BC$8:$BC$68,U$4-$B81+1)</f>
        <v/>
      </c>
      <c r="V81" s="75">
        <f>$C81*INDEX(Curves!$BC$8:$BC$68,V$4-$B81+1)</f>
        <v/>
      </c>
      <c r="W81" s="75">
        <f>$C81*INDEX(Curves!$BC$8:$BC$68,W$4-$B81+1)</f>
        <v/>
      </c>
      <c r="X81" s="75">
        <f>$C81*INDEX(Curves!$BC$8:$BC$68,X$4-$B81+1)</f>
        <v/>
      </c>
      <c r="Y81" s="75">
        <f>$C81*INDEX(Curves!$BC$8:$BC$68,Y$4-$B81+1)</f>
        <v/>
      </c>
      <c r="Z81" s="75">
        <f>$C81*INDEX(Curves!$BC$8:$BC$68,Z$4-$B81+1)</f>
        <v/>
      </c>
      <c r="AA81" s="75">
        <f>$C81*INDEX(Curves!$BC$8:$BC$68,AA$4-$B81+1)</f>
        <v/>
      </c>
      <c r="AB81" s="75">
        <f>$C81*INDEX(Curves!$BC$8:$BC$68,AB$4-$B81+1)</f>
        <v/>
      </c>
      <c r="AC81" s="75">
        <f>$C81*INDEX(Curves!$BC$8:$BC$68,AC$4-$B81+1)</f>
        <v/>
      </c>
      <c r="AD81" s="75">
        <f>$C81*INDEX(Curves!$BC$8:$BC$68,AD$4-$B81+1)</f>
        <v/>
      </c>
      <c r="AE81" s="75">
        <f>$C81*INDEX(Curves!$BC$8:$BC$68,AE$4-$B81+1)</f>
        <v/>
      </c>
      <c r="AF81" s="75">
        <f>$C81*INDEX(Curves!$BC$8:$BC$68,AF$4-$B81+1)</f>
        <v/>
      </c>
      <c r="AG81" s="75">
        <f>$C81*INDEX(Curves!$BC$8:$BC$68,AG$4-$B81+1)</f>
        <v/>
      </c>
      <c r="AH81" s="75">
        <f>$C81*INDEX(Curves!$BC$8:$BC$68,AH$4-$B81+1)</f>
        <v/>
      </c>
      <c r="AI81" s="75">
        <f>$C81*INDEX(Curves!$BC$8:$BC$68,AI$4-$B81+1)</f>
        <v/>
      </c>
      <c r="AJ81" s="75">
        <f>$C81*INDEX(Curves!$BC$8:$BC$68,AJ$4-$B81+1)</f>
        <v/>
      </c>
      <c r="AK81" s="75">
        <f>$C81*INDEX(Curves!$BC$8:$BC$68,AK$4-$B81+1)</f>
        <v/>
      </c>
      <c r="AL81" s="75">
        <f>$C81*INDEX(Curves!$BC$8:$BC$68,AL$4-$B81+1)</f>
        <v/>
      </c>
      <c r="AM81" s="75">
        <f>$C81*INDEX(Curves!$BC$8:$BC$68,AM$4-$B81+1)</f>
        <v/>
      </c>
      <c r="AN81" s="75">
        <f>$C81*INDEX(Curves!$BC$8:$BC$68,AN$4-$B81+1)</f>
        <v/>
      </c>
      <c r="AO81" s="75">
        <f>$C81*INDEX(Curves!$BC$8:$BC$68,AO$4-$B81+1)</f>
        <v/>
      </c>
      <c r="AP81" s="75">
        <f>$C81*INDEX(Curves!$BC$8:$BC$68,AP$4-$B81+1)</f>
        <v/>
      </c>
      <c r="AQ81" s="75">
        <f>$C81*INDEX(Curves!$BC$8:$BC$68,AQ$4-$B81+1)</f>
        <v/>
      </c>
      <c r="AR81" s="75">
        <f>$C81*INDEX(Curves!$BC$8:$BC$68,AR$4-$B81+1)</f>
        <v/>
      </c>
      <c r="AS81" s="75">
        <f>$C81*INDEX(Curves!$BC$8:$BC$68,AS$4-$B81+1)</f>
        <v/>
      </c>
      <c r="AT81" s="75">
        <f>$C81*INDEX(Curves!$BC$8:$BC$68,AT$4-$B81+1)</f>
        <v/>
      </c>
      <c r="AU81" s="75">
        <f>$C81*INDEX(Curves!$BC$8:$BC$68,AU$4-$B81+1)</f>
        <v/>
      </c>
      <c r="AV81" s="75">
        <f>$C81*INDEX(Curves!$BC$8:$BC$68,AV$4-$B81+1)</f>
        <v/>
      </c>
      <c r="AW81" s="75">
        <f>$C81*INDEX(Curves!$BC$8:$BC$68,AW$4-$B81+1)</f>
        <v/>
      </c>
      <c r="AX81" s="75">
        <f>$C81*INDEX(Curves!$BC$8:$BC$68,AX$4-$B81+1)</f>
        <v/>
      </c>
      <c r="AY81" s="75">
        <f>$C81*INDEX(Curves!$BC$8:$BC$68,AY$4-$B81+1)</f>
        <v/>
      </c>
      <c r="AZ81" s="75">
        <f>$C81*INDEX(Curves!$BC$8:$BC$68,AZ$4-$B81+1)</f>
        <v/>
      </c>
      <c r="BA81" s="75">
        <f>$C81*INDEX(Curves!$BC$8:$BC$68,BA$4-$B81+1)</f>
        <v/>
      </c>
      <c r="BB81" s="75">
        <f>$C81*INDEX(Curves!$BC$8:$BC$68,BB$4-$B81+1)</f>
        <v/>
      </c>
      <c r="BC81" s="75">
        <f>$C81*INDEX(Curves!$BC$8:$BC$68,BC$4-$B81+1)</f>
        <v/>
      </c>
      <c r="BD81" s="75">
        <f>$C81*INDEX(Curves!$BC$8:$BC$68,BD$4-$B81+1)</f>
        <v/>
      </c>
      <c r="BE81" s="75">
        <f>$C81*INDEX(Curves!$BC$8:$BC$68,BE$4-$B81+1)</f>
        <v/>
      </c>
      <c r="BF81" s="75">
        <f>$C81*INDEX(Curves!$BC$8:$BC$68,BF$4-$B81+1)</f>
        <v/>
      </c>
      <c r="BG81" s="75">
        <f>$C81*INDEX(Curves!$BC$8:$BC$68,BG$4-$B81+1)</f>
        <v/>
      </c>
      <c r="BH81" s="75">
        <f>$C81*INDEX(Curves!$BC$8:$BC$68,BH$4-$B81+1)</f>
        <v/>
      </c>
      <c r="BI81" s="75">
        <f>$C81*INDEX(Curves!$BC$8:$BC$68,BI$4-$B81+1)</f>
        <v/>
      </c>
      <c r="BJ81" s="75">
        <f>$C81*INDEX(Curves!$BC$8:$BC$68,BJ$4-$B81+1)</f>
        <v/>
      </c>
      <c r="BK81" s="75">
        <f>$C81*INDEX(Curves!$BC$8:$BC$68,BK$4-$B81+1)</f>
        <v/>
      </c>
      <c r="BL81" s="75">
        <f>$C81*INDEX(Curves!$BC$8:$BC$68,BL$4-$B81+1)</f>
        <v/>
      </c>
    </row>
    <row r="82">
      <c r="A82" s="74" t="inlineStr">
        <is>
          <t>Cohort month 10</t>
        </is>
      </c>
      <c r="B82" s="74" t="n">
        <v>10</v>
      </c>
      <c r="C82" s="17">
        <f>INDEX(Ops!$E$109:$BL$109,1,$B82)</f>
        <v/>
      </c>
      <c r="O82" s="75">
        <f>$C82*INDEX(Curves!$BC$8:$BC$68,O$4-$B82+1)</f>
        <v/>
      </c>
      <c r="P82" s="75">
        <f>$C82*INDEX(Curves!$BC$8:$BC$68,P$4-$B82+1)</f>
        <v/>
      </c>
      <c r="Q82" s="75">
        <f>$C82*INDEX(Curves!$BC$8:$BC$68,Q$4-$B82+1)</f>
        <v/>
      </c>
      <c r="R82" s="75">
        <f>$C82*INDEX(Curves!$BC$8:$BC$68,R$4-$B82+1)</f>
        <v/>
      </c>
      <c r="S82" s="75">
        <f>$C82*INDEX(Curves!$BC$8:$BC$68,S$4-$B82+1)</f>
        <v/>
      </c>
      <c r="T82" s="75">
        <f>$C82*INDEX(Curves!$BC$8:$BC$68,T$4-$B82+1)</f>
        <v/>
      </c>
      <c r="U82" s="75">
        <f>$C82*INDEX(Curves!$BC$8:$BC$68,U$4-$B82+1)</f>
        <v/>
      </c>
      <c r="V82" s="75">
        <f>$C82*INDEX(Curves!$BC$8:$BC$68,V$4-$B82+1)</f>
        <v/>
      </c>
      <c r="W82" s="75">
        <f>$C82*INDEX(Curves!$BC$8:$BC$68,W$4-$B82+1)</f>
        <v/>
      </c>
      <c r="X82" s="75">
        <f>$C82*INDEX(Curves!$BC$8:$BC$68,X$4-$B82+1)</f>
        <v/>
      </c>
      <c r="Y82" s="75">
        <f>$C82*INDEX(Curves!$BC$8:$BC$68,Y$4-$B82+1)</f>
        <v/>
      </c>
      <c r="Z82" s="75">
        <f>$C82*INDEX(Curves!$BC$8:$BC$68,Z$4-$B82+1)</f>
        <v/>
      </c>
      <c r="AA82" s="75">
        <f>$C82*INDEX(Curves!$BC$8:$BC$68,AA$4-$B82+1)</f>
        <v/>
      </c>
      <c r="AB82" s="75">
        <f>$C82*INDEX(Curves!$BC$8:$BC$68,AB$4-$B82+1)</f>
        <v/>
      </c>
      <c r="AC82" s="75">
        <f>$C82*INDEX(Curves!$BC$8:$BC$68,AC$4-$B82+1)</f>
        <v/>
      </c>
      <c r="AD82" s="75">
        <f>$C82*INDEX(Curves!$BC$8:$BC$68,AD$4-$B82+1)</f>
        <v/>
      </c>
      <c r="AE82" s="75">
        <f>$C82*INDEX(Curves!$BC$8:$BC$68,AE$4-$B82+1)</f>
        <v/>
      </c>
      <c r="AF82" s="75">
        <f>$C82*INDEX(Curves!$BC$8:$BC$68,AF$4-$B82+1)</f>
        <v/>
      </c>
      <c r="AG82" s="75">
        <f>$C82*INDEX(Curves!$BC$8:$BC$68,AG$4-$B82+1)</f>
        <v/>
      </c>
      <c r="AH82" s="75">
        <f>$C82*INDEX(Curves!$BC$8:$BC$68,AH$4-$B82+1)</f>
        <v/>
      </c>
      <c r="AI82" s="75">
        <f>$C82*INDEX(Curves!$BC$8:$BC$68,AI$4-$B82+1)</f>
        <v/>
      </c>
      <c r="AJ82" s="75">
        <f>$C82*INDEX(Curves!$BC$8:$BC$68,AJ$4-$B82+1)</f>
        <v/>
      </c>
      <c r="AK82" s="75">
        <f>$C82*INDEX(Curves!$BC$8:$BC$68,AK$4-$B82+1)</f>
        <v/>
      </c>
      <c r="AL82" s="75">
        <f>$C82*INDEX(Curves!$BC$8:$BC$68,AL$4-$B82+1)</f>
        <v/>
      </c>
      <c r="AM82" s="75">
        <f>$C82*INDEX(Curves!$BC$8:$BC$68,AM$4-$B82+1)</f>
        <v/>
      </c>
      <c r="AN82" s="75">
        <f>$C82*INDEX(Curves!$BC$8:$BC$68,AN$4-$B82+1)</f>
        <v/>
      </c>
      <c r="AO82" s="75">
        <f>$C82*INDEX(Curves!$BC$8:$BC$68,AO$4-$B82+1)</f>
        <v/>
      </c>
      <c r="AP82" s="75">
        <f>$C82*INDEX(Curves!$BC$8:$BC$68,AP$4-$B82+1)</f>
        <v/>
      </c>
      <c r="AQ82" s="75">
        <f>$C82*INDEX(Curves!$BC$8:$BC$68,AQ$4-$B82+1)</f>
        <v/>
      </c>
      <c r="AR82" s="75">
        <f>$C82*INDEX(Curves!$BC$8:$BC$68,AR$4-$B82+1)</f>
        <v/>
      </c>
      <c r="AS82" s="75">
        <f>$C82*INDEX(Curves!$BC$8:$BC$68,AS$4-$B82+1)</f>
        <v/>
      </c>
      <c r="AT82" s="75">
        <f>$C82*INDEX(Curves!$BC$8:$BC$68,AT$4-$B82+1)</f>
        <v/>
      </c>
      <c r="AU82" s="75">
        <f>$C82*INDEX(Curves!$BC$8:$BC$68,AU$4-$B82+1)</f>
        <v/>
      </c>
      <c r="AV82" s="75">
        <f>$C82*INDEX(Curves!$BC$8:$BC$68,AV$4-$B82+1)</f>
        <v/>
      </c>
      <c r="AW82" s="75">
        <f>$C82*INDEX(Curves!$BC$8:$BC$68,AW$4-$B82+1)</f>
        <v/>
      </c>
      <c r="AX82" s="75">
        <f>$C82*INDEX(Curves!$BC$8:$BC$68,AX$4-$B82+1)</f>
        <v/>
      </c>
      <c r="AY82" s="75">
        <f>$C82*INDEX(Curves!$BC$8:$BC$68,AY$4-$B82+1)</f>
        <v/>
      </c>
      <c r="AZ82" s="75">
        <f>$C82*INDEX(Curves!$BC$8:$BC$68,AZ$4-$B82+1)</f>
        <v/>
      </c>
      <c r="BA82" s="75">
        <f>$C82*INDEX(Curves!$BC$8:$BC$68,BA$4-$B82+1)</f>
        <v/>
      </c>
      <c r="BB82" s="75">
        <f>$C82*INDEX(Curves!$BC$8:$BC$68,BB$4-$B82+1)</f>
        <v/>
      </c>
      <c r="BC82" s="75">
        <f>$C82*INDEX(Curves!$BC$8:$BC$68,BC$4-$B82+1)</f>
        <v/>
      </c>
      <c r="BD82" s="75">
        <f>$C82*INDEX(Curves!$BC$8:$BC$68,BD$4-$B82+1)</f>
        <v/>
      </c>
      <c r="BE82" s="75">
        <f>$C82*INDEX(Curves!$BC$8:$BC$68,BE$4-$B82+1)</f>
        <v/>
      </c>
      <c r="BF82" s="75">
        <f>$C82*INDEX(Curves!$BC$8:$BC$68,BF$4-$B82+1)</f>
        <v/>
      </c>
      <c r="BG82" s="75">
        <f>$C82*INDEX(Curves!$BC$8:$BC$68,BG$4-$B82+1)</f>
        <v/>
      </c>
      <c r="BH82" s="75">
        <f>$C82*INDEX(Curves!$BC$8:$BC$68,BH$4-$B82+1)</f>
        <v/>
      </c>
      <c r="BI82" s="75">
        <f>$C82*INDEX(Curves!$BC$8:$BC$68,BI$4-$B82+1)</f>
        <v/>
      </c>
      <c r="BJ82" s="75">
        <f>$C82*INDEX(Curves!$BC$8:$BC$68,BJ$4-$B82+1)</f>
        <v/>
      </c>
      <c r="BK82" s="75">
        <f>$C82*INDEX(Curves!$BC$8:$BC$68,BK$4-$B82+1)</f>
        <v/>
      </c>
      <c r="BL82" s="75">
        <f>$C82*INDEX(Curves!$BC$8:$BC$68,BL$4-$B82+1)</f>
        <v/>
      </c>
    </row>
    <row r="83">
      <c r="A83" s="74" t="inlineStr">
        <is>
          <t>Cohort month 11</t>
        </is>
      </c>
      <c r="B83" s="74" t="n">
        <v>11</v>
      </c>
      <c r="C83" s="17">
        <f>INDEX(Ops!$E$109:$BL$109,1,$B83)</f>
        <v/>
      </c>
      <c r="P83" s="75">
        <f>$C83*INDEX(Curves!$BC$8:$BC$68,P$4-$B83+1)</f>
        <v/>
      </c>
      <c r="Q83" s="75">
        <f>$C83*INDEX(Curves!$BC$8:$BC$68,Q$4-$B83+1)</f>
        <v/>
      </c>
      <c r="R83" s="75">
        <f>$C83*INDEX(Curves!$BC$8:$BC$68,R$4-$B83+1)</f>
        <v/>
      </c>
      <c r="S83" s="75">
        <f>$C83*INDEX(Curves!$BC$8:$BC$68,S$4-$B83+1)</f>
        <v/>
      </c>
      <c r="T83" s="75">
        <f>$C83*INDEX(Curves!$BC$8:$BC$68,T$4-$B83+1)</f>
        <v/>
      </c>
      <c r="U83" s="75">
        <f>$C83*INDEX(Curves!$BC$8:$BC$68,U$4-$B83+1)</f>
        <v/>
      </c>
      <c r="V83" s="75">
        <f>$C83*INDEX(Curves!$BC$8:$BC$68,V$4-$B83+1)</f>
        <v/>
      </c>
      <c r="W83" s="75">
        <f>$C83*INDEX(Curves!$BC$8:$BC$68,W$4-$B83+1)</f>
        <v/>
      </c>
      <c r="X83" s="75">
        <f>$C83*INDEX(Curves!$BC$8:$BC$68,X$4-$B83+1)</f>
        <v/>
      </c>
      <c r="Y83" s="75">
        <f>$C83*INDEX(Curves!$BC$8:$BC$68,Y$4-$B83+1)</f>
        <v/>
      </c>
      <c r="Z83" s="75">
        <f>$C83*INDEX(Curves!$BC$8:$BC$68,Z$4-$B83+1)</f>
        <v/>
      </c>
      <c r="AA83" s="75">
        <f>$C83*INDEX(Curves!$BC$8:$BC$68,AA$4-$B83+1)</f>
        <v/>
      </c>
      <c r="AB83" s="75">
        <f>$C83*INDEX(Curves!$BC$8:$BC$68,AB$4-$B83+1)</f>
        <v/>
      </c>
      <c r="AC83" s="75">
        <f>$C83*INDEX(Curves!$BC$8:$BC$68,AC$4-$B83+1)</f>
        <v/>
      </c>
      <c r="AD83" s="75">
        <f>$C83*INDEX(Curves!$BC$8:$BC$68,AD$4-$B83+1)</f>
        <v/>
      </c>
      <c r="AE83" s="75">
        <f>$C83*INDEX(Curves!$BC$8:$BC$68,AE$4-$B83+1)</f>
        <v/>
      </c>
      <c r="AF83" s="75">
        <f>$C83*INDEX(Curves!$BC$8:$BC$68,AF$4-$B83+1)</f>
        <v/>
      </c>
      <c r="AG83" s="75">
        <f>$C83*INDEX(Curves!$BC$8:$BC$68,AG$4-$B83+1)</f>
        <v/>
      </c>
      <c r="AH83" s="75">
        <f>$C83*INDEX(Curves!$BC$8:$BC$68,AH$4-$B83+1)</f>
        <v/>
      </c>
      <c r="AI83" s="75">
        <f>$C83*INDEX(Curves!$BC$8:$BC$68,AI$4-$B83+1)</f>
        <v/>
      </c>
      <c r="AJ83" s="75">
        <f>$C83*INDEX(Curves!$BC$8:$BC$68,AJ$4-$B83+1)</f>
        <v/>
      </c>
      <c r="AK83" s="75">
        <f>$C83*INDEX(Curves!$BC$8:$BC$68,AK$4-$B83+1)</f>
        <v/>
      </c>
      <c r="AL83" s="75">
        <f>$C83*INDEX(Curves!$BC$8:$BC$68,AL$4-$B83+1)</f>
        <v/>
      </c>
      <c r="AM83" s="75">
        <f>$C83*INDEX(Curves!$BC$8:$BC$68,AM$4-$B83+1)</f>
        <v/>
      </c>
      <c r="AN83" s="75">
        <f>$C83*INDEX(Curves!$BC$8:$BC$68,AN$4-$B83+1)</f>
        <v/>
      </c>
      <c r="AO83" s="75">
        <f>$C83*INDEX(Curves!$BC$8:$BC$68,AO$4-$B83+1)</f>
        <v/>
      </c>
      <c r="AP83" s="75">
        <f>$C83*INDEX(Curves!$BC$8:$BC$68,AP$4-$B83+1)</f>
        <v/>
      </c>
      <c r="AQ83" s="75">
        <f>$C83*INDEX(Curves!$BC$8:$BC$68,AQ$4-$B83+1)</f>
        <v/>
      </c>
      <c r="AR83" s="75">
        <f>$C83*INDEX(Curves!$BC$8:$BC$68,AR$4-$B83+1)</f>
        <v/>
      </c>
      <c r="AS83" s="75">
        <f>$C83*INDEX(Curves!$BC$8:$BC$68,AS$4-$B83+1)</f>
        <v/>
      </c>
      <c r="AT83" s="75">
        <f>$C83*INDEX(Curves!$BC$8:$BC$68,AT$4-$B83+1)</f>
        <v/>
      </c>
      <c r="AU83" s="75">
        <f>$C83*INDEX(Curves!$BC$8:$BC$68,AU$4-$B83+1)</f>
        <v/>
      </c>
      <c r="AV83" s="75">
        <f>$C83*INDEX(Curves!$BC$8:$BC$68,AV$4-$B83+1)</f>
        <v/>
      </c>
      <c r="AW83" s="75">
        <f>$C83*INDEX(Curves!$BC$8:$BC$68,AW$4-$B83+1)</f>
        <v/>
      </c>
      <c r="AX83" s="75">
        <f>$C83*INDEX(Curves!$BC$8:$BC$68,AX$4-$B83+1)</f>
        <v/>
      </c>
      <c r="AY83" s="75">
        <f>$C83*INDEX(Curves!$BC$8:$BC$68,AY$4-$B83+1)</f>
        <v/>
      </c>
      <c r="AZ83" s="75">
        <f>$C83*INDEX(Curves!$BC$8:$BC$68,AZ$4-$B83+1)</f>
        <v/>
      </c>
      <c r="BA83" s="75">
        <f>$C83*INDEX(Curves!$BC$8:$BC$68,BA$4-$B83+1)</f>
        <v/>
      </c>
      <c r="BB83" s="75">
        <f>$C83*INDEX(Curves!$BC$8:$BC$68,BB$4-$B83+1)</f>
        <v/>
      </c>
      <c r="BC83" s="75">
        <f>$C83*INDEX(Curves!$BC$8:$BC$68,BC$4-$B83+1)</f>
        <v/>
      </c>
      <c r="BD83" s="75">
        <f>$C83*INDEX(Curves!$BC$8:$BC$68,BD$4-$B83+1)</f>
        <v/>
      </c>
      <c r="BE83" s="75">
        <f>$C83*INDEX(Curves!$BC$8:$BC$68,BE$4-$B83+1)</f>
        <v/>
      </c>
      <c r="BF83" s="75">
        <f>$C83*INDEX(Curves!$BC$8:$BC$68,BF$4-$B83+1)</f>
        <v/>
      </c>
      <c r="BG83" s="75">
        <f>$C83*INDEX(Curves!$BC$8:$BC$68,BG$4-$B83+1)</f>
        <v/>
      </c>
      <c r="BH83" s="75">
        <f>$C83*INDEX(Curves!$BC$8:$BC$68,BH$4-$B83+1)</f>
        <v/>
      </c>
      <c r="BI83" s="75">
        <f>$C83*INDEX(Curves!$BC$8:$BC$68,BI$4-$B83+1)</f>
        <v/>
      </c>
      <c r="BJ83" s="75">
        <f>$C83*INDEX(Curves!$BC$8:$BC$68,BJ$4-$B83+1)</f>
        <v/>
      </c>
      <c r="BK83" s="75">
        <f>$C83*INDEX(Curves!$BC$8:$BC$68,BK$4-$B83+1)</f>
        <v/>
      </c>
      <c r="BL83" s="75">
        <f>$C83*INDEX(Curves!$BC$8:$BC$68,BL$4-$B83+1)</f>
        <v/>
      </c>
    </row>
    <row r="84">
      <c r="A84" s="74" t="inlineStr">
        <is>
          <t>Cohort month 12</t>
        </is>
      </c>
      <c r="B84" s="74" t="n">
        <v>12</v>
      </c>
      <c r="C84" s="17">
        <f>INDEX(Ops!$E$109:$BL$109,1,$B84)</f>
        <v/>
      </c>
      <c r="Q84" s="75">
        <f>$C84*INDEX(Curves!$BC$8:$BC$68,Q$4-$B84+1)</f>
        <v/>
      </c>
      <c r="R84" s="75">
        <f>$C84*INDEX(Curves!$BC$8:$BC$68,R$4-$B84+1)</f>
        <v/>
      </c>
      <c r="S84" s="75">
        <f>$C84*INDEX(Curves!$BC$8:$BC$68,S$4-$B84+1)</f>
        <v/>
      </c>
      <c r="T84" s="75">
        <f>$C84*INDEX(Curves!$BC$8:$BC$68,T$4-$B84+1)</f>
        <v/>
      </c>
      <c r="U84" s="75">
        <f>$C84*INDEX(Curves!$BC$8:$BC$68,U$4-$B84+1)</f>
        <v/>
      </c>
      <c r="V84" s="75">
        <f>$C84*INDEX(Curves!$BC$8:$BC$68,V$4-$B84+1)</f>
        <v/>
      </c>
      <c r="W84" s="75">
        <f>$C84*INDEX(Curves!$BC$8:$BC$68,W$4-$B84+1)</f>
        <v/>
      </c>
      <c r="X84" s="75">
        <f>$C84*INDEX(Curves!$BC$8:$BC$68,X$4-$B84+1)</f>
        <v/>
      </c>
      <c r="Y84" s="75">
        <f>$C84*INDEX(Curves!$BC$8:$BC$68,Y$4-$B84+1)</f>
        <v/>
      </c>
      <c r="Z84" s="75">
        <f>$C84*INDEX(Curves!$BC$8:$BC$68,Z$4-$B84+1)</f>
        <v/>
      </c>
      <c r="AA84" s="75">
        <f>$C84*INDEX(Curves!$BC$8:$BC$68,AA$4-$B84+1)</f>
        <v/>
      </c>
      <c r="AB84" s="75">
        <f>$C84*INDEX(Curves!$BC$8:$BC$68,AB$4-$B84+1)</f>
        <v/>
      </c>
      <c r="AC84" s="75">
        <f>$C84*INDEX(Curves!$BC$8:$BC$68,AC$4-$B84+1)</f>
        <v/>
      </c>
      <c r="AD84" s="75">
        <f>$C84*INDEX(Curves!$BC$8:$BC$68,AD$4-$B84+1)</f>
        <v/>
      </c>
      <c r="AE84" s="75">
        <f>$C84*INDEX(Curves!$BC$8:$BC$68,AE$4-$B84+1)</f>
        <v/>
      </c>
      <c r="AF84" s="75">
        <f>$C84*INDEX(Curves!$BC$8:$BC$68,AF$4-$B84+1)</f>
        <v/>
      </c>
      <c r="AG84" s="75">
        <f>$C84*INDEX(Curves!$BC$8:$BC$68,AG$4-$B84+1)</f>
        <v/>
      </c>
      <c r="AH84" s="75">
        <f>$C84*INDEX(Curves!$BC$8:$BC$68,AH$4-$B84+1)</f>
        <v/>
      </c>
      <c r="AI84" s="75">
        <f>$C84*INDEX(Curves!$BC$8:$BC$68,AI$4-$B84+1)</f>
        <v/>
      </c>
      <c r="AJ84" s="75">
        <f>$C84*INDEX(Curves!$BC$8:$BC$68,AJ$4-$B84+1)</f>
        <v/>
      </c>
      <c r="AK84" s="75">
        <f>$C84*INDEX(Curves!$BC$8:$BC$68,AK$4-$B84+1)</f>
        <v/>
      </c>
      <c r="AL84" s="75">
        <f>$C84*INDEX(Curves!$BC$8:$BC$68,AL$4-$B84+1)</f>
        <v/>
      </c>
      <c r="AM84" s="75">
        <f>$C84*INDEX(Curves!$BC$8:$BC$68,AM$4-$B84+1)</f>
        <v/>
      </c>
      <c r="AN84" s="75">
        <f>$C84*INDEX(Curves!$BC$8:$BC$68,AN$4-$B84+1)</f>
        <v/>
      </c>
      <c r="AO84" s="75">
        <f>$C84*INDEX(Curves!$BC$8:$BC$68,AO$4-$B84+1)</f>
        <v/>
      </c>
      <c r="AP84" s="75">
        <f>$C84*INDEX(Curves!$BC$8:$BC$68,AP$4-$B84+1)</f>
        <v/>
      </c>
      <c r="AQ84" s="75">
        <f>$C84*INDEX(Curves!$BC$8:$BC$68,AQ$4-$B84+1)</f>
        <v/>
      </c>
      <c r="AR84" s="75">
        <f>$C84*INDEX(Curves!$BC$8:$BC$68,AR$4-$B84+1)</f>
        <v/>
      </c>
      <c r="AS84" s="75">
        <f>$C84*INDEX(Curves!$BC$8:$BC$68,AS$4-$B84+1)</f>
        <v/>
      </c>
      <c r="AT84" s="75">
        <f>$C84*INDEX(Curves!$BC$8:$BC$68,AT$4-$B84+1)</f>
        <v/>
      </c>
      <c r="AU84" s="75">
        <f>$C84*INDEX(Curves!$BC$8:$BC$68,AU$4-$B84+1)</f>
        <v/>
      </c>
      <c r="AV84" s="75">
        <f>$C84*INDEX(Curves!$BC$8:$BC$68,AV$4-$B84+1)</f>
        <v/>
      </c>
      <c r="AW84" s="75">
        <f>$C84*INDEX(Curves!$BC$8:$BC$68,AW$4-$B84+1)</f>
        <v/>
      </c>
      <c r="AX84" s="75">
        <f>$C84*INDEX(Curves!$BC$8:$BC$68,AX$4-$B84+1)</f>
        <v/>
      </c>
      <c r="AY84" s="75">
        <f>$C84*INDEX(Curves!$BC$8:$BC$68,AY$4-$B84+1)</f>
        <v/>
      </c>
      <c r="AZ84" s="75">
        <f>$C84*INDEX(Curves!$BC$8:$BC$68,AZ$4-$B84+1)</f>
        <v/>
      </c>
      <c r="BA84" s="75">
        <f>$C84*INDEX(Curves!$BC$8:$BC$68,BA$4-$B84+1)</f>
        <v/>
      </c>
      <c r="BB84" s="75">
        <f>$C84*INDEX(Curves!$BC$8:$BC$68,BB$4-$B84+1)</f>
        <v/>
      </c>
      <c r="BC84" s="75">
        <f>$C84*INDEX(Curves!$BC$8:$BC$68,BC$4-$B84+1)</f>
        <v/>
      </c>
      <c r="BD84" s="75">
        <f>$C84*INDEX(Curves!$BC$8:$BC$68,BD$4-$B84+1)</f>
        <v/>
      </c>
      <c r="BE84" s="75">
        <f>$C84*INDEX(Curves!$BC$8:$BC$68,BE$4-$B84+1)</f>
        <v/>
      </c>
      <c r="BF84" s="75">
        <f>$C84*INDEX(Curves!$BC$8:$BC$68,BF$4-$B84+1)</f>
        <v/>
      </c>
      <c r="BG84" s="75">
        <f>$C84*INDEX(Curves!$BC$8:$BC$68,BG$4-$B84+1)</f>
        <v/>
      </c>
      <c r="BH84" s="75">
        <f>$C84*INDEX(Curves!$BC$8:$BC$68,BH$4-$B84+1)</f>
        <v/>
      </c>
      <c r="BI84" s="75">
        <f>$C84*INDEX(Curves!$BC$8:$BC$68,BI$4-$B84+1)</f>
        <v/>
      </c>
      <c r="BJ84" s="75">
        <f>$C84*INDEX(Curves!$BC$8:$BC$68,BJ$4-$B84+1)</f>
        <v/>
      </c>
      <c r="BK84" s="75">
        <f>$C84*INDEX(Curves!$BC$8:$BC$68,BK$4-$B84+1)</f>
        <v/>
      </c>
      <c r="BL84" s="75">
        <f>$C84*INDEX(Curves!$BC$8:$BC$68,BL$4-$B84+1)</f>
        <v/>
      </c>
    </row>
    <row r="85">
      <c r="A85" s="74" t="inlineStr">
        <is>
          <t>Cohort month 13</t>
        </is>
      </c>
      <c r="B85" s="74" t="n">
        <v>13</v>
      </c>
      <c r="C85" s="17">
        <f>INDEX(Ops!$E$109:$BL$109,1,$B85)</f>
        <v/>
      </c>
      <c r="R85" s="75">
        <f>$C85*INDEX(Curves!$BC$8:$BC$68,R$4-$B85+1)</f>
        <v/>
      </c>
      <c r="S85" s="75">
        <f>$C85*INDEX(Curves!$BC$8:$BC$68,S$4-$B85+1)</f>
        <v/>
      </c>
      <c r="T85" s="75">
        <f>$C85*INDEX(Curves!$BC$8:$BC$68,T$4-$B85+1)</f>
        <v/>
      </c>
      <c r="U85" s="75">
        <f>$C85*INDEX(Curves!$BC$8:$BC$68,U$4-$B85+1)</f>
        <v/>
      </c>
      <c r="V85" s="75">
        <f>$C85*INDEX(Curves!$BC$8:$BC$68,V$4-$B85+1)</f>
        <v/>
      </c>
      <c r="W85" s="75">
        <f>$C85*INDEX(Curves!$BC$8:$BC$68,W$4-$B85+1)</f>
        <v/>
      </c>
      <c r="X85" s="75">
        <f>$C85*INDEX(Curves!$BC$8:$BC$68,X$4-$B85+1)</f>
        <v/>
      </c>
      <c r="Y85" s="75">
        <f>$C85*INDEX(Curves!$BC$8:$BC$68,Y$4-$B85+1)</f>
        <v/>
      </c>
      <c r="Z85" s="75">
        <f>$C85*INDEX(Curves!$BC$8:$BC$68,Z$4-$B85+1)</f>
        <v/>
      </c>
      <c r="AA85" s="75">
        <f>$C85*INDEX(Curves!$BC$8:$BC$68,AA$4-$B85+1)</f>
        <v/>
      </c>
      <c r="AB85" s="75">
        <f>$C85*INDEX(Curves!$BC$8:$BC$68,AB$4-$B85+1)</f>
        <v/>
      </c>
      <c r="AC85" s="75">
        <f>$C85*INDEX(Curves!$BC$8:$BC$68,AC$4-$B85+1)</f>
        <v/>
      </c>
      <c r="AD85" s="75">
        <f>$C85*INDEX(Curves!$BC$8:$BC$68,AD$4-$B85+1)</f>
        <v/>
      </c>
      <c r="AE85" s="75">
        <f>$C85*INDEX(Curves!$BC$8:$BC$68,AE$4-$B85+1)</f>
        <v/>
      </c>
      <c r="AF85" s="75">
        <f>$C85*INDEX(Curves!$BC$8:$BC$68,AF$4-$B85+1)</f>
        <v/>
      </c>
      <c r="AG85" s="75">
        <f>$C85*INDEX(Curves!$BC$8:$BC$68,AG$4-$B85+1)</f>
        <v/>
      </c>
      <c r="AH85" s="75">
        <f>$C85*INDEX(Curves!$BC$8:$BC$68,AH$4-$B85+1)</f>
        <v/>
      </c>
      <c r="AI85" s="75">
        <f>$C85*INDEX(Curves!$BC$8:$BC$68,AI$4-$B85+1)</f>
        <v/>
      </c>
      <c r="AJ85" s="75">
        <f>$C85*INDEX(Curves!$BC$8:$BC$68,AJ$4-$B85+1)</f>
        <v/>
      </c>
      <c r="AK85" s="75">
        <f>$C85*INDEX(Curves!$BC$8:$BC$68,AK$4-$B85+1)</f>
        <v/>
      </c>
      <c r="AL85" s="75">
        <f>$C85*INDEX(Curves!$BC$8:$BC$68,AL$4-$B85+1)</f>
        <v/>
      </c>
      <c r="AM85" s="75">
        <f>$C85*INDEX(Curves!$BC$8:$BC$68,AM$4-$B85+1)</f>
        <v/>
      </c>
      <c r="AN85" s="75">
        <f>$C85*INDEX(Curves!$BC$8:$BC$68,AN$4-$B85+1)</f>
        <v/>
      </c>
      <c r="AO85" s="75">
        <f>$C85*INDEX(Curves!$BC$8:$BC$68,AO$4-$B85+1)</f>
        <v/>
      </c>
      <c r="AP85" s="75">
        <f>$C85*INDEX(Curves!$BC$8:$BC$68,AP$4-$B85+1)</f>
        <v/>
      </c>
      <c r="AQ85" s="75">
        <f>$C85*INDEX(Curves!$BC$8:$BC$68,AQ$4-$B85+1)</f>
        <v/>
      </c>
      <c r="AR85" s="75">
        <f>$C85*INDEX(Curves!$BC$8:$BC$68,AR$4-$B85+1)</f>
        <v/>
      </c>
      <c r="AS85" s="75">
        <f>$C85*INDEX(Curves!$BC$8:$BC$68,AS$4-$B85+1)</f>
        <v/>
      </c>
      <c r="AT85" s="75">
        <f>$C85*INDEX(Curves!$BC$8:$BC$68,AT$4-$B85+1)</f>
        <v/>
      </c>
      <c r="AU85" s="75">
        <f>$C85*INDEX(Curves!$BC$8:$BC$68,AU$4-$B85+1)</f>
        <v/>
      </c>
      <c r="AV85" s="75">
        <f>$C85*INDEX(Curves!$BC$8:$BC$68,AV$4-$B85+1)</f>
        <v/>
      </c>
      <c r="AW85" s="75">
        <f>$C85*INDEX(Curves!$BC$8:$BC$68,AW$4-$B85+1)</f>
        <v/>
      </c>
      <c r="AX85" s="75">
        <f>$C85*INDEX(Curves!$BC$8:$BC$68,AX$4-$B85+1)</f>
        <v/>
      </c>
      <c r="AY85" s="75">
        <f>$C85*INDEX(Curves!$BC$8:$BC$68,AY$4-$B85+1)</f>
        <v/>
      </c>
      <c r="AZ85" s="75">
        <f>$C85*INDEX(Curves!$BC$8:$BC$68,AZ$4-$B85+1)</f>
        <v/>
      </c>
      <c r="BA85" s="75">
        <f>$C85*INDEX(Curves!$BC$8:$BC$68,BA$4-$B85+1)</f>
        <v/>
      </c>
      <c r="BB85" s="75">
        <f>$C85*INDEX(Curves!$BC$8:$BC$68,BB$4-$B85+1)</f>
        <v/>
      </c>
      <c r="BC85" s="75">
        <f>$C85*INDEX(Curves!$BC$8:$BC$68,BC$4-$B85+1)</f>
        <v/>
      </c>
      <c r="BD85" s="75">
        <f>$C85*INDEX(Curves!$BC$8:$BC$68,BD$4-$B85+1)</f>
        <v/>
      </c>
      <c r="BE85" s="75">
        <f>$C85*INDEX(Curves!$BC$8:$BC$68,BE$4-$B85+1)</f>
        <v/>
      </c>
      <c r="BF85" s="75">
        <f>$C85*INDEX(Curves!$BC$8:$BC$68,BF$4-$B85+1)</f>
        <v/>
      </c>
      <c r="BG85" s="75">
        <f>$C85*INDEX(Curves!$BC$8:$BC$68,BG$4-$B85+1)</f>
        <v/>
      </c>
      <c r="BH85" s="75">
        <f>$C85*INDEX(Curves!$BC$8:$BC$68,BH$4-$B85+1)</f>
        <v/>
      </c>
      <c r="BI85" s="75">
        <f>$C85*INDEX(Curves!$BC$8:$BC$68,BI$4-$B85+1)</f>
        <v/>
      </c>
      <c r="BJ85" s="75">
        <f>$C85*INDEX(Curves!$BC$8:$BC$68,BJ$4-$B85+1)</f>
        <v/>
      </c>
      <c r="BK85" s="75">
        <f>$C85*INDEX(Curves!$BC$8:$BC$68,BK$4-$B85+1)</f>
        <v/>
      </c>
      <c r="BL85" s="75">
        <f>$C85*INDEX(Curves!$BC$8:$BC$68,BL$4-$B85+1)</f>
        <v/>
      </c>
    </row>
    <row r="86">
      <c r="A86" s="74" t="inlineStr">
        <is>
          <t>Cohort month 14</t>
        </is>
      </c>
      <c r="B86" s="74" t="n">
        <v>14</v>
      </c>
      <c r="C86" s="17">
        <f>INDEX(Ops!$E$109:$BL$109,1,$B86)</f>
        <v/>
      </c>
      <c r="S86" s="75">
        <f>$C86*INDEX(Curves!$BC$8:$BC$68,S$4-$B86+1)</f>
        <v/>
      </c>
      <c r="T86" s="75">
        <f>$C86*INDEX(Curves!$BC$8:$BC$68,T$4-$B86+1)</f>
        <v/>
      </c>
      <c r="U86" s="75">
        <f>$C86*INDEX(Curves!$BC$8:$BC$68,U$4-$B86+1)</f>
        <v/>
      </c>
      <c r="V86" s="75">
        <f>$C86*INDEX(Curves!$BC$8:$BC$68,V$4-$B86+1)</f>
        <v/>
      </c>
      <c r="W86" s="75">
        <f>$C86*INDEX(Curves!$BC$8:$BC$68,W$4-$B86+1)</f>
        <v/>
      </c>
      <c r="X86" s="75">
        <f>$C86*INDEX(Curves!$BC$8:$BC$68,X$4-$B86+1)</f>
        <v/>
      </c>
      <c r="Y86" s="75">
        <f>$C86*INDEX(Curves!$BC$8:$BC$68,Y$4-$B86+1)</f>
        <v/>
      </c>
      <c r="Z86" s="75">
        <f>$C86*INDEX(Curves!$BC$8:$BC$68,Z$4-$B86+1)</f>
        <v/>
      </c>
      <c r="AA86" s="75">
        <f>$C86*INDEX(Curves!$BC$8:$BC$68,AA$4-$B86+1)</f>
        <v/>
      </c>
      <c r="AB86" s="75">
        <f>$C86*INDEX(Curves!$BC$8:$BC$68,AB$4-$B86+1)</f>
        <v/>
      </c>
      <c r="AC86" s="75">
        <f>$C86*INDEX(Curves!$BC$8:$BC$68,AC$4-$B86+1)</f>
        <v/>
      </c>
      <c r="AD86" s="75">
        <f>$C86*INDEX(Curves!$BC$8:$BC$68,AD$4-$B86+1)</f>
        <v/>
      </c>
      <c r="AE86" s="75">
        <f>$C86*INDEX(Curves!$BC$8:$BC$68,AE$4-$B86+1)</f>
        <v/>
      </c>
      <c r="AF86" s="75">
        <f>$C86*INDEX(Curves!$BC$8:$BC$68,AF$4-$B86+1)</f>
        <v/>
      </c>
      <c r="AG86" s="75">
        <f>$C86*INDEX(Curves!$BC$8:$BC$68,AG$4-$B86+1)</f>
        <v/>
      </c>
      <c r="AH86" s="75">
        <f>$C86*INDEX(Curves!$BC$8:$BC$68,AH$4-$B86+1)</f>
        <v/>
      </c>
      <c r="AI86" s="75">
        <f>$C86*INDEX(Curves!$BC$8:$BC$68,AI$4-$B86+1)</f>
        <v/>
      </c>
      <c r="AJ86" s="75">
        <f>$C86*INDEX(Curves!$BC$8:$BC$68,AJ$4-$B86+1)</f>
        <v/>
      </c>
      <c r="AK86" s="75">
        <f>$C86*INDEX(Curves!$BC$8:$BC$68,AK$4-$B86+1)</f>
        <v/>
      </c>
      <c r="AL86" s="75">
        <f>$C86*INDEX(Curves!$BC$8:$BC$68,AL$4-$B86+1)</f>
        <v/>
      </c>
      <c r="AM86" s="75">
        <f>$C86*INDEX(Curves!$BC$8:$BC$68,AM$4-$B86+1)</f>
        <v/>
      </c>
      <c r="AN86" s="75">
        <f>$C86*INDEX(Curves!$BC$8:$BC$68,AN$4-$B86+1)</f>
        <v/>
      </c>
      <c r="AO86" s="75">
        <f>$C86*INDEX(Curves!$BC$8:$BC$68,AO$4-$B86+1)</f>
        <v/>
      </c>
      <c r="AP86" s="75">
        <f>$C86*INDEX(Curves!$BC$8:$BC$68,AP$4-$B86+1)</f>
        <v/>
      </c>
      <c r="AQ86" s="75">
        <f>$C86*INDEX(Curves!$BC$8:$BC$68,AQ$4-$B86+1)</f>
        <v/>
      </c>
      <c r="AR86" s="75">
        <f>$C86*INDEX(Curves!$BC$8:$BC$68,AR$4-$B86+1)</f>
        <v/>
      </c>
      <c r="AS86" s="75">
        <f>$C86*INDEX(Curves!$BC$8:$BC$68,AS$4-$B86+1)</f>
        <v/>
      </c>
      <c r="AT86" s="75">
        <f>$C86*INDEX(Curves!$BC$8:$BC$68,AT$4-$B86+1)</f>
        <v/>
      </c>
      <c r="AU86" s="75">
        <f>$C86*INDEX(Curves!$BC$8:$BC$68,AU$4-$B86+1)</f>
        <v/>
      </c>
      <c r="AV86" s="75">
        <f>$C86*INDEX(Curves!$BC$8:$BC$68,AV$4-$B86+1)</f>
        <v/>
      </c>
      <c r="AW86" s="75">
        <f>$C86*INDEX(Curves!$BC$8:$BC$68,AW$4-$B86+1)</f>
        <v/>
      </c>
      <c r="AX86" s="75">
        <f>$C86*INDEX(Curves!$BC$8:$BC$68,AX$4-$B86+1)</f>
        <v/>
      </c>
      <c r="AY86" s="75">
        <f>$C86*INDEX(Curves!$BC$8:$BC$68,AY$4-$B86+1)</f>
        <v/>
      </c>
      <c r="AZ86" s="75">
        <f>$C86*INDEX(Curves!$BC$8:$BC$68,AZ$4-$B86+1)</f>
        <v/>
      </c>
      <c r="BA86" s="75">
        <f>$C86*INDEX(Curves!$BC$8:$BC$68,BA$4-$B86+1)</f>
        <v/>
      </c>
      <c r="BB86" s="75">
        <f>$C86*INDEX(Curves!$BC$8:$BC$68,BB$4-$B86+1)</f>
        <v/>
      </c>
      <c r="BC86" s="75">
        <f>$C86*INDEX(Curves!$BC$8:$BC$68,BC$4-$B86+1)</f>
        <v/>
      </c>
      <c r="BD86" s="75">
        <f>$C86*INDEX(Curves!$BC$8:$BC$68,BD$4-$B86+1)</f>
        <v/>
      </c>
      <c r="BE86" s="75">
        <f>$C86*INDEX(Curves!$BC$8:$BC$68,BE$4-$B86+1)</f>
        <v/>
      </c>
      <c r="BF86" s="75">
        <f>$C86*INDEX(Curves!$BC$8:$BC$68,BF$4-$B86+1)</f>
        <v/>
      </c>
      <c r="BG86" s="75">
        <f>$C86*INDEX(Curves!$BC$8:$BC$68,BG$4-$B86+1)</f>
        <v/>
      </c>
      <c r="BH86" s="75">
        <f>$C86*INDEX(Curves!$BC$8:$BC$68,BH$4-$B86+1)</f>
        <v/>
      </c>
      <c r="BI86" s="75">
        <f>$C86*INDEX(Curves!$BC$8:$BC$68,BI$4-$B86+1)</f>
        <v/>
      </c>
      <c r="BJ86" s="75">
        <f>$C86*INDEX(Curves!$BC$8:$BC$68,BJ$4-$B86+1)</f>
        <v/>
      </c>
      <c r="BK86" s="75">
        <f>$C86*INDEX(Curves!$BC$8:$BC$68,BK$4-$B86+1)</f>
        <v/>
      </c>
      <c r="BL86" s="75">
        <f>$C86*INDEX(Curves!$BC$8:$BC$68,BL$4-$B86+1)</f>
        <v/>
      </c>
    </row>
    <row r="87">
      <c r="A87" s="74" t="inlineStr">
        <is>
          <t>Cohort month 15</t>
        </is>
      </c>
      <c r="B87" s="74" t="n">
        <v>15</v>
      </c>
      <c r="C87" s="17">
        <f>INDEX(Ops!$E$109:$BL$109,1,$B87)</f>
        <v/>
      </c>
      <c r="T87" s="75">
        <f>$C87*INDEX(Curves!$BC$8:$BC$68,T$4-$B87+1)</f>
        <v/>
      </c>
      <c r="U87" s="75">
        <f>$C87*INDEX(Curves!$BC$8:$BC$68,U$4-$B87+1)</f>
        <v/>
      </c>
      <c r="V87" s="75">
        <f>$C87*INDEX(Curves!$BC$8:$BC$68,V$4-$B87+1)</f>
        <v/>
      </c>
      <c r="W87" s="75">
        <f>$C87*INDEX(Curves!$BC$8:$BC$68,W$4-$B87+1)</f>
        <v/>
      </c>
      <c r="X87" s="75">
        <f>$C87*INDEX(Curves!$BC$8:$BC$68,X$4-$B87+1)</f>
        <v/>
      </c>
      <c r="Y87" s="75">
        <f>$C87*INDEX(Curves!$BC$8:$BC$68,Y$4-$B87+1)</f>
        <v/>
      </c>
      <c r="Z87" s="75">
        <f>$C87*INDEX(Curves!$BC$8:$BC$68,Z$4-$B87+1)</f>
        <v/>
      </c>
      <c r="AA87" s="75">
        <f>$C87*INDEX(Curves!$BC$8:$BC$68,AA$4-$B87+1)</f>
        <v/>
      </c>
      <c r="AB87" s="75">
        <f>$C87*INDEX(Curves!$BC$8:$BC$68,AB$4-$B87+1)</f>
        <v/>
      </c>
      <c r="AC87" s="75">
        <f>$C87*INDEX(Curves!$BC$8:$BC$68,AC$4-$B87+1)</f>
        <v/>
      </c>
      <c r="AD87" s="75">
        <f>$C87*INDEX(Curves!$BC$8:$BC$68,AD$4-$B87+1)</f>
        <v/>
      </c>
      <c r="AE87" s="75">
        <f>$C87*INDEX(Curves!$BC$8:$BC$68,AE$4-$B87+1)</f>
        <v/>
      </c>
      <c r="AF87" s="75">
        <f>$C87*INDEX(Curves!$BC$8:$BC$68,AF$4-$B87+1)</f>
        <v/>
      </c>
      <c r="AG87" s="75">
        <f>$C87*INDEX(Curves!$BC$8:$BC$68,AG$4-$B87+1)</f>
        <v/>
      </c>
      <c r="AH87" s="75">
        <f>$C87*INDEX(Curves!$BC$8:$BC$68,AH$4-$B87+1)</f>
        <v/>
      </c>
      <c r="AI87" s="75">
        <f>$C87*INDEX(Curves!$BC$8:$BC$68,AI$4-$B87+1)</f>
        <v/>
      </c>
      <c r="AJ87" s="75">
        <f>$C87*INDEX(Curves!$BC$8:$BC$68,AJ$4-$B87+1)</f>
        <v/>
      </c>
      <c r="AK87" s="75">
        <f>$C87*INDEX(Curves!$BC$8:$BC$68,AK$4-$B87+1)</f>
        <v/>
      </c>
      <c r="AL87" s="75">
        <f>$C87*INDEX(Curves!$BC$8:$BC$68,AL$4-$B87+1)</f>
        <v/>
      </c>
      <c r="AM87" s="75">
        <f>$C87*INDEX(Curves!$BC$8:$BC$68,AM$4-$B87+1)</f>
        <v/>
      </c>
      <c r="AN87" s="75">
        <f>$C87*INDEX(Curves!$BC$8:$BC$68,AN$4-$B87+1)</f>
        <v/>
      </c>
      <c r="AO87" s="75">
        <f>$C87*INDEX(Curves!$BC$8:$BC$68,AO$4-$B87+1)</f>
        <v/>
      </c>
      <c r="AP87" s="75">
        <f>$C87*INDEX(Curves!$BC$8:$BC$68,AP$4-$B87+1)</f>
        <v/>
      </c>
      <c r="AQ87" s="75">
        <f>$C87*INDEX(Curves!$BC$8:$BC$68,AQ$4-$B87+1)</f>
        <v/>
      </c>
      <c r="AR87" s="75">
        <f>$C87*INDEX(Curves!$BC$8:$BC$68,AR$4-$B87+1)</f>
        <v/>
      </c>
      <c r="AS87" s="75">
        <f>$C87*INDEX(Curves!$BC$8:$BC$68,AS$4-$B87+1)</f>
        <v/>
      </c>
      <c r="AT87" s="75">
        <f>$C87*INDEX(Curves!$BC$8:$BC$68,AT$4-$B87+1)</f>
        <v/>
      </c>
      <c r="AU87" s="75">
        <f>$C87*INDEX(Curves!$BC$8:$BC$68,AU$4-$B87+1)</f>
        <v/>
      </c>
      <c r="AV87" s="75">
        <f>$C87*INDEX(Curves!$BC$8:$BC$68,AV$4-$B87+1)</f>
        <v/>
      </c>
      <c r="AW87" s="75">
        <f>$C87*INDEX(Curves!$BC$8:$BC$68,AW$4-$B87+1)</f>
        <v/>
      </c>
      <c r="AX87" s="75">
        <f>$C87*INDEX(Curves!$BC$8:$BC$68,AX$4-$B87+1)</f>
        <v/>
      </c>
      <c r="AY87" s="75">
        <f>$C87*INDEX(Curves!$BC$8:$BC$68,AY$4-$B87+1)</f>
        <v/>
      </c>
      <c r="AZ87" s="75">
        <f>$C87*INDEX(Curves!$BC$8:$BC$68,AZ$4-$B87+1)</f>
        <v/>
      </c>
      <c r="BA87" s="75">
        <f>$C87*INDEX(Curves!$BC$8:$BC$68,BA$4-$B87+1)</f>
        <v/>
      </c>
      <c r="BB87" s="75">
        <f>$C87*INDEX(Curves!$BC$8:$BC$68,BB$4-$B87+1)</f>
        <v/>
      </c>
      <c r="BC87" s="75">
        <f>$C87*INDEX(Curves!$BC$8:$BC$68,BC$4-$B87+1)</f>
        <v/>
      </c>
      <c r="BD87" s="75">
        <f>$C87*INDEX(Curves!$BC$8:$BC$68,BD$4-$B87+1)</f>
        <v/>
      </c>
      <c r="BE87" s="75">
        <f>$C87*INDEX(Curves!$BC$8:$BC$68,BE$4-$B87+1)</f>
        <v/>
      </c>
      <c r="BF87" s="75">
        <f>$C87*INDEX(Curves!$BC$8:$BC$68,BF$4-$B87+1)</f>
        <v/>
      </c>
      <c r="BG87" s="75">
        <f>$C87*INDEX(Curves!$BC$8:$BC$68,BG$4-$B87+1)</f>
        <v/>
      </c>
      <c r="BH87" s="75">
        <f>$C87*INDEX(Curves!$BC$8:$BC$68,BH$4-$B87+1)</f>
        <v/>
      </c>
      <c r="BI87" s="75">
        <f>$C87*INDEX(Curves!$BC$8:$BC$68,BI$4-$B87+1)</f>
        <v/>
      </c>
      <c r="BJ87" s="75">
        <f>$C87*INDEX(Curves!$BC$8:$BC$68,BJ$4-$B87+1)</f>
        <v/>
      </c>
      <c r="BK87" s="75">
        <f>$C87*INDEX(Curves!$BC$8:$BC$68,BK$4-$B87+1)</f>
        <v/>
      </c>
      <c r="BL87" s="75">
        <f>$C87*INDEX(Curves!$BC$8:$BC$68,BL$4-$B87+1)</f>
        <v/>
      </c>
    </row>
    <row r="88">
      <c r="A88" s="74" t="inlineStr">
        <is>
          <t>Cohort month 16</t>
        </is>
      </c>
      <c r="B88" s="74" t="n">
        <v>16</v>
      </c>
      <c r="C88" s="17">
        <f>INDEX(Ops!$E$109:$BL$109,1,$B88)</f>
        <v/>
      </c>
      <c r="U88" s="75">
        <f>$C88*INDEX(Curves!$BC$8:$BC$68,U$4-$B88+1)</f>
        <v/>
      </c>
      <c r="V88" s="75">
        <f>$C88*INDEX(Curves!$BC$8:$BC$68,V$4-$B88+1)</f>
        <v/>
      </c>
      <c r="W88" s="75">
        <f>$C88*INDEX(Curves!$BC$8:$BC$68,W$4-$B88+1)</f>
        <v/>
      </c>
      <c r="X88" s="75">
        <f>$C88*INDEX(Curves!$BC$8:$BC$68,X$4-$B88+1)</f>
        <v/>
      </c>
      <c r="Y88" s="75">
        <f>$C88*INDEX(Curves!$BC$8:$BC$68,Y$4-$B88+1)</f>
        <v/>
      </c>
      <c r="Z88" s="75">
        <f>$C88*INDEX(Curves!$BC$8:$BC$68,Z$4-$B88+1)</f>
        <v/>
      </c>
      <c r="AA88" s="75">
        <f>$C88*INDEX(Curves!$BC$8:$BC$68,AA$4-$B88+1)</f>
        <v/>
      </c>
      <c r="AB88" s="75">
        <f>$C88*INDEX(Curves!$BC$8:$BC$68,AB$4-$B88+1)</f>
        <v/>
      </c>
      <c r="AC88" s="75">
        <f>$C88*INDEX(Curves!$BC$8:$BC$68,AC$4-$B88+1)</f>
        <v/>
      </c>
      <c r="AD88" s="75">
        <f>$C88*INDEX(Curves!$BC$8:$BC$68,AD$4-$B88+1)</f>
        <v/>
      </c>
      <c r="AE88" s="75">
        <f>$C88*INDEX(Curves!$BC$8:$BC$68,AE$4-$B88+1)</f>
        <v/>
      </c>
      <c r="AF88" s="75">
        <f>$C88*INDEX(Curves!$BC$8:$BC$68,AF$4-$B88+1)</f>
        <v/>
      </c>
      <c r="AG88" s="75">
        <f>$C88*INDEX(Curves!$BC$8:$BC$68,AG$4-$B88+1)</f>
        <v/>
      </c>
      <c r="AH88" s="75">
        <f>$C88*INDEX(Curves!$BC$8:$BC$68,AH$4-$B88+1)</f>
        <v/>
      </c>
      <c r="AI88" s="75">
        <f>$C88*INDEX(Curves!$BC$8:$BC$68,AI$4-$B88+1)</f>
        <v/>
      </c>
      <c r="AJ88" s="75">
        <f>$C88*INDEX(Curves!$BC$8:$BC$68,AJ$4-$B88+1)</f>
        <v/>
      </c>
      <c r="AK88" s="75">
        <f>$C88*INDEX(Curves!$BC$8:$BC$68,AK$4-$B88+1)</f>
        <v/>
      </c>
      <c r="AL88" s="75">
        <f>$C88*INDEX(Curves!$BC$8:$BC$68,AL$4-$B88+1)</f>
        <v/>
      </c>
      <c r="AM88" s="75">
        <f>$C88*INDEX(Curves!$BC$8:$BC$68,AM$4-$B88+1)</f>
        <v/>
      </c>
      <c r="AN88" s="75">
        <f>$C88*INDEX(Curves!$BC$8:$BC$68,AN$4-$B88+1)</f>
        <v/>
      </c>
      <c r="AO88" s="75">
        <f>$C88*INDEX(Curves!$BC$8:$BC$68,AO$4-$B88+1)</f>
        <v/>
      </c>
      <c r="AP88" s="75">
        <f>$C88*INDEX(Curves!$BC$8:$BC$68,AP$4-$B88+1)</f>
        <v/>
      </c>
      <c r="AQ88" s="75">
        <f>$C88*INDEX(Curves!$BC$8:$BC$68,AQ$4-$B88+1)</f>
        <v/>
      </c>
      <c r="AR88" s="75">
        <f>$C88*INDEX(Curves!$BC$8:$BC$68,AR$4-$B88+1)</f>
        <v/>
      </c>
      <c r="AS88" s="75">
        <f>$C88*INDEX(Curves!$BC$8:$BC$68,AS$4-$B88+1)</f>
        <v/>
      </c>
      <c r="AT88" s="75">
        <f>$C88*INDEX(Curves!$BC$8:$BC$68,AT$4-$B88+1)</f>
        <v/>
      </c>
      <c r="AU88" s="75">
        <f>$C88*INDEX(Curves!$BC$8:$BC$68,AU$4-$B88+1)</f>
        <v/>
      </c>
      <c r="AV88" s="75">
        <f>$C88*INDEX(Curves!$BC$8:$BC$68,AV$4-$B88+1)</f>
        <v/>
      </c>
      <c r="AW88" s="75">
        <f>$C88*INDEX(Curves!$BC$8:$BC$68,AW$4-$B88+1)</f>
        <v/>
      </c>
      <c r="AX88" s="75">
        <f>$C88*INDEX(Curves!$BC$8:$BC$68,AX$4-$B88+1)</f>
        <v/>
      </c>
      <c r="AY88" s="75">
        <f>$C88*INDEX(Curves!$BC$8:$BC$68,AY$4-$B88+1)</f>
        <v/>
      </c>
      <c r="AZ88" s="75">
        <f>$C88*INDEX(Curves!$BC$8:$BC$68,AZ$4-$B88+1)</f>
        <v/>
      </c>
      <c r="BA88" s="75">
        <f>$C88*INDEX(Curves!$BC$8:$BC$68,BA$4-$B88+1)</f>
        <v/>
      </c>
      <c r="BB88" s="75">
        <f>$C88*INDEX(Curves!$BC$8:$BC$68,BB$4-$B88+1)</f>
        <v/>
      </c>
      <c r="BC88" s="75">
        <f>$C88*INDEX(Curves!$BC$8:$BC$68,BC$4-$B88+1)</f>
        <v/>
      </c>
      <c r="BD88" s="75">
        <f>$C88*INDEX(Curves!$BC$8:$BC$68,BD$4-$B88+1)</f>
        <v/>
      </c>
      <c r="BE88" s="75">
        <f>$C88*INDEX(Curves!$BC$8:$BC$68,BE$4-$B88+1)</f>
        <v/>
      </c>
      <c r="BF88" s="75">
        <f>$C88*INDEX(Curves!$BC$8:$BC$68,BF$4-$B88+1)</f>
        <v/>
      </c>
      <c r="BG88" s="75">
        <f>$C88*INDEX(Curves!$BC$8:$BC$68,BG$4-$B88+1)</f>
        <v/>
      </c>
      <c r="BH88" s="75">
        <f>$C88*INDEX(Curves!$BC$8:$BC$68,BH$4-$B88+1)</f>
        <v/>
      </c>
      <c r="BI88" s="75">
        <f>$C88*INDEX(Curves!$BC$8:$BC$68,BI$4-$B88+1)</f>
        <v/>
      </c>
      <c r="BJ88" s="75">
        <f>$C88*INDEX(Curves!$BC$8:$BC$68,BJ$4-$B88+1)</f>
        <v/>
      </c>
      <c r="BK88" s="75">
        <f>$C88*INDEX(Curves!$BC$8:$BC$68,BK$4-$B88+1)</f>
        <v/>
      </c>
      <c r="BL88" s="75">
        <f>$C88*INDEX(Curves!$BC$8:$BC$68,BL$4-$B88+1)</f>
        <v/>
      </c>
    </row>
    <row r="89">
      <c r="A89" s="74" t="inlineStr">
        <is>
          <t>Cohort month 17</t>
        </is>
      </c>
      <c r="B89" s="74" t="n">
        <v>17</v>
      </c>
      <c r="C89" s="17">
        <f>INDEX(Ops!$E$109:$BL$109,1,$B89)</f>
        <v/>
      </c>
      <c r="V89" s="75">
        <f>$C89*INDEX(Curves!$BC$8:$BC$68,V$4-$B89+1)</f>
        <v/>
      </c>
      <c r="W89" s="75">
        <f>$C89*INDEX(Curves!$BC$8:$BC$68,W$4-$B89+1)</f>
        <v/>
      </c>
      <c r="X89" s="75">
        <f>$C89*INDEX(Curves!$BC$8:$BC$68,X$4-$B89+1)</f>
        <v/>
      </c>
      <c r="Y89" s="75">
        <f>$C89*INDEX(Curves!$BC$8:$BC$68,Y$4-$B89+1)</f>
        <v/>
      </c>
      <c r="Z89" s="75">
        <f>$C89*INDEX(Curves!$BC$8:$BC$68,Z$4-$B89+1)</f>
        <v/>
      </c>
      <c r="AA89" s="75">
        <f>$C89*INDEX(Curves!$BC$8:$BC$68,AA$4-$B89+1)</f>
        <v/>
      </c>
      <c r="AB89" s="75">
        <f>$C89*INDEX(Curves!$BC$8:$BC$68,AB$4-$B89+1)</f>
        <v/>
      </c>
      <c r="AC89" s="75">
        <f>$C89*INDEX(Curves!$BC$8:$BC$68,AC$4-$B89+1)</f>
        <v/>
      </c>
      <c r="AD89" s="75">
        <f>$C89*INDEX(Curves!$BC$8:$BC$68,AD$4-$B89+1)</f>
        <v/>
      </c>
      <c r="AE89" s="75">
        <f>$C89*INDEX(Curves!$BC$8:$BC$68,AE$4-$B89+1)</f>
        <v/>
      </c>
      <c r="AF89" s="75">
        <f>$C89*INDEX(Curves!$BC$8:$BC$68,AF$4-$B89+1)</f>
        <v/>
      </c>
      <c r="AG89" s="75">
        <f>$C89*INDEX(Curves!$BC$8:$BC$68,AG$4-$B89+1)</f>
        <v/>
      </c>
      <c r="AH89" s="75">
        <f>$C89*INDEX(Curves!$BC$8:$BC$68,AH$4-$B89+1)</f>
        <v/>
      </c>
      <c r="AI89" s="75">
        <f>$C89*INDEX(Curves!$BC$8:$BC$68,AI$4-$B89+1)</f>
        <v/>
      </c>
      <c r="AJ89" s="75">
        <f>$C89*INDEX(Curves!$BC$8:$BC$68,AJ$4-$B89+1)</f>
        <v/>
      </c>
      <c r="AK89" s="75">
        <f>$C89*INDEX(Curves!$BC$8:$BC$68,AK$4-$B89+1)</f>
        <v/>
      </c>
      <c r="AL89" s="75">
        <f>$C89*INDEX(Curves!$BC$8:$BC$68,AL$4-$B89+1)</f>
        <v/>
      </c>
      <c r="AM89" s="75">
        <f>$C89*INDEX(Curves!$BC$8:$BC$68,AM$4-$B89+1)</f>
        <v/>
      </c>
      <c r="AN89" s="75">
        <f>$C89*INDEX(Curves!$BC$8:$BC$68,AN$4-$B89+1)</f>
        <v/>
      </c>
      <c r="AO89" s="75">
        <f>$C89*INDEX(Curves!$BC$8:$BC$68,AO$4-$B89+1)</f>
        <v/>
      </c>
      <c r="AP89" s="75">
        <f>$C89*INDEX(Curves!$BC$8:$BC$68,AP$4-$B89+1)</f>
        <v/>
      </c>
      <c r="AQ89" s="75">
        <f>$C89*INDEX(Curves!$BC$8:$BC$68,AQ$4-$B89+1)</f>
        <v/>
      </c>
      <c r="AR89" s="75">
        <f>$C89*INDEX(Curves!$BC$8:$BC$68,AR$4-$B89+1)</f>
        <v/>
      </c>
      <c r="AS89" s="75">
        <f>$C89*INDEX(Curves!$BC$8:$BC$68,AS$4-$B89+1)</f>
        <v/>
      </c>
      <c r="AT89" s="75">
        <f>$C89*INDEX(Curves!$BC$8:$BC$68,AT$4-$B89+1)</f>
        <v/>
      </c>
      <c r="AU89" s="75">
        <f>$C89*INDEX(Curves!$BC$8:$BC$68,AU$4-$B89+1)</f>
        <v/>
      </c>
      <c r="AV89" s="75">
        <f>$C89*INDEX(Curves!$BC$8:$BC$68,AV$4-$B89+1)</f>
        <v/>
      </c>
      <c r="AW89" s="75">
        <f>$C89*INDEX(Curves!$BC$8:$BC$68,AW$4-$B89+1)</f>
        <v/>
      </c>
      <c r="AX89" s="75">
        <f>$C89*INDEX(Curves!$BC$8:$BC$68,AX$4-$B89+1)</f>
        <v/>
      </c>
      <c r="AY89" s="75">
        <f>$C89*INDEX(Curves!$BC$8:$BC$68,AY$4-$B89+1)</f>
        <v/>
      </c>
      <c r="AZ89" s="75">
        <f>$C89*INDEX(Curves!$BC$8:$BC$68,AZ$4-$B89+1)</f>
        <v/>
      </c>
      <c r="BA89" s="75">
        <f>$C89*INDEX(Curves!$BC$8:$BC$68,BA$4-$B89+1)</f>
        <v/>
      </c>
      <c r="BB89" s="75">
        <f>$C89*INDEX(Curves!$BC$8:$BC$68,BB$4-$B89+1)</f>
        <v/>
      </c>
      <c r="BC89" s="75">
        <f>$C89*INDEX(Curves!$BC$8:$BC$68,BC$4-$B89+1)</f>
        <v/>
      </c>
      <c r="BD89" s="75">
        <f>$C89*INDEX(Curves!$BC$8:$BC$68,BD$4-$B89+1)</f>
        <v/>
      </c>
      <c r="BE89" s="75">
        <f>$C89*INDEX(Curves!$BC$8:$BC$68,BE$4-$B89+1)</f>
        <v/>
      </c>
      <c r="BF89" s="75">
        <f>$C89*INDEX(Curves!$BC$8:$BC$68,BF$4-$B89+1)</f>
        <v/>
      </c>
      <c r="BG89" s="75">
        <f>$C89*INDEX(Curves!$BC$8:$BC$68,BG$4-$B89+1)</f>
        <v/>
      </c>
      <c r="BH89" s="75">
        <f>$C89*INDEX(Curves!$BC$8:$BC$68,BH$4-$B89+1)</f>
        <v/>
      </c>
      <c r="BI89" s="75">
        <f>$C89*INDEX(Curves!$BC$8:$BC$68,BI$4-$B89+1)</f>
        <v/>
      </c>
      <c r="BJ89" s="75">
        <f>$C89*INDEX(Curves!$BC$8:$BC$68,BJ$4-$B89+1)</f>
        <v/>
      </c>
      <c r="BK89" s="75">
        <f>$C89*INDEX(Curves!$BC$8:$BC$68,BK$4-$B89+1)</f>
        <v/>
      </c>
      <c r="BL89" s="75">
        <f>$C89*INDEX(Curves!$BC$8:$BC$68,BL$4-$B89+1)</f>
        <v/>
      </c>
    </row>
    <row r="90">
      <c r="A90" s="74" t="inlineStr">
        <is>
          <t>Cohort month 18</t>
        </is>
      </c>
      <c r="B90" s="74" t="n">
        <v>18</v>
      </c>
      <c r="C90" s="17">
        <f>INDEX(Ops!$E$109:$BL$109,1,$B90)</f>
        <v/>
      </c>
      <c r="W90" s="75">
        <f>$C90*INDEX(Curves!$BC$8:$BC$68,W$4-$B90+1)</f>
        <v/>
      </c>
      <c r="X90" s="75">
        <f>$C90*INDEX(Curves!$BC$8:$BC$68,X$4-$B90+1)</f>
        <v/>
      </c>
      <c r="Y90" s="75">
        <f>$C90*INDEX(Curves!$BC$8:$BC$68,Y$4-$B90+1)</f>
        <v/>
      </c>
      <c r="Z90" s="75">
        <f>$C90*INDEX(Curves!$BC$8:$BC$68,Z$4-$B90+1)</f>
        <v/>
      </c>
      <c r="AA90" s="75">
        <f>$C90*INDEX(Curves!$BC$8:$BC$68,AA$4-$B90+1)</f>
        <v/>
      </c>
      <c r="AB90" s="75">
        <f>$C90*INDEX(Curves!$BC$8:$BC$68,AB$4-$B90+1)</f>
        <v/>
      </c>
      <c r="AC90" s="75">
        <f>$C90*INDEX(Curves!$BC$8:$BC$68,AC$4-$B90+1)</f>
        <v/>
      </c>
      <c r="AD90" s="75">
        <f>$C90*INDEX(Curves!$BC$8:$BC$68,AD$4-$B90+1)</f>
        <v/>
      </c>
      <c r="AE90" s="75">
        <f>$C90*INDEX(Curves!$BC$8:$BC$68,AE$4-$B90+1)</f>
        <v/>
      </c>
      <c r="AF90" s="75">
        <f>$C90*INDEX(Curves!$BC$8:$BC$68,AF$4-$B90+1)</f>
        <v/>
      </c>
      <c r="AG90" s="75">
        <f>$C90*INDEX(Curves!$BC$8:$BC$68,AG$4-$B90+1)</f>
        <v/>
      </c>
      <c r="AH90" s="75">
        <f>$C90*INDEX(Curves!$BC$8:$BC$68,AH$4-$B90+1)</f>
        <v/>
      </c>
      <c r="AI90" s="75">
        <f>$C90*INDEX(Curves!$BC$8:$BC$68,AI$4-$B90+1)</f>
        <v/>
      </c>
      <c r="AJ90" s="75">
        <f>$C90*INDEX(Curves!$BC$8:$BC$68,AJ$4-$B90+1)</f>
        <v/>
      </c>
      <c r="AK90" s="75">
        <f>$C90*INDEX(Curves!$BC$8:$BC$68,AK$4-$B90+1)</f>
        <v/>
      </c>
      <c r="AL90" s="75">
        <f>$C90*INDEX(Curves!$BC$8:$BC$68,AL$4-$B90+1)</f>
        <v/>
      </c>
      <c r="AM90" s="75">
        <f>$C90*INDEX(Curves!$BC$8:$BC$68,AM$4-$B90+1)</f>
        <v/>
      </c>
      <c r="AN90" s="75">
        <f>$C90*INDEX(Curves!$BC$8:$BC$68,AN$4-$B90+1)</f>
        <v/>
      </c>
      <c r="AO90" s="75">
        <f>$C90*INDEX(Curves!$BC$8:$BC$68,AO$4-$B90+1)</f>
        <v/>
      </c>
      <c r="AP90" s="75">
        <f>$C90*INDEX(Curves!$BC$8:$BC$68,AP$4-$B90+1)</f>
        <v/>
      </c>
      <c r="AQ90" s="75">
        <f>$C90*INDEX(Curves!$BC$8:$BC$68,AQ$4-$B90+1)</f>
        <v/>
      </c>
      <c r="AR90" s="75">
        <f>$C90*INDEX(Curves!$BC$8:$BC$68,AR$4-$B90+1)</f>
        <v/>
      </c>
      <c r="AS90" s="75">
        <f>$C90*INDEX(Curves!$BC$8:$BC$68,AS$4-$B90+1)</f>
        <v/>
      </c>
      <c r="AT90" s="75">
        <f>$C90*INDEX(Curves!$BC$8:$BC$68,AT$4-$B90+1)</f>
        <v/>
      </c>
      <c r="AU90" s="75">
        <f>$C90*INDEX(Curves!$BC$8:$BC$68,AU$4-$B90+1)</f>
        <v/>
      </c>
      <c r="AV90" s="75">
        <f>$C90*INDEX(Curves!$BC$8:$BC$68,AV$4-$B90+1)</f>
        <v/>
      </c>
      <c r="AW90" s="75">
        <f>$C90*INDEX(Curves!$BC$8:$BC$68,AW$4-$B90+1)</f>
        <v/>
      </c>
      <c r="AX90" s="75">
        <f>$C90*INDEX(Curves!$BC$8:$BC$68,AX$4-$B90+1)</f>
        <v/>
      </c>
      <c r="AY90" s="75">
        <f>$C90*INDEX(Curves!$BC$8:$BC$68,AY$4-$B90+1)</f>
        <v/>
      </c>
      <c r="AZ90" s="75">
        <f>$C90*INDEX(Curves!$BC$8:$BC$68,AZ$4-$B90+1)</f>
        <v/>
      </c>
      <c r="BA90" s="75">
        <f>$C90*INDEX(Curves!$BC$8:$BC$68,BA$4-$B90+1)</f>
        <v/>
      </c>
      <c r="BB90" s="75">
        <f>$C90*INDEX(Curves!$BC$8:$BC$68,BB$4-$B90+1)</f>
        <v/>
      </c>
      <c r="BC90" s="75">
        <f>$C90*INDEX(Curves!$BC$8:$BC$68,BC$4-$B90+1)</f>
        <v/>
      </c>
      <c r="BD90" s="75">
        <f>$C90*INDEX(Curves!$BC$8:$BC$68,BD$4-$B90+1)</f>
        <v/>
      </c>
      <c r="BE90" s="75">
        <f>$C90*INDEX(Curves!$BC$8:$BC$68,BE$4-$B90+1)</f>
        <v/>
      </c>
      <c r="BF90" s="75">
        <f>$C90*INDEX(Curves!$BC$8:$BC$68,BF$4-$B90+1)</f>
        <v/>
      </c>
      <c r="BG90" s="75">
        <f>$C90*INDEX(Curves!$BC$8:$BC$68,BG$4-$B90+1)</f>
        <v/>
      </c>
      <c r="BH90" s="75">
        <f>$C90*INDEX(Curves!$BC$8:$BC$68,BH$4-$B90+1)</f>
        <v/>
      </c>
      <c r="BI90" s="75">
        <f>$C90*INDEX(Curves!$BC$8:$BC$68,BI$4-$B90+1)</f>
        <v/>
      </c>
      <c r="BJ90" s="75">
        <f>$C90*INDEX(Curves!$BC$8:$BC$68,BJ$4-$B90+1)</f>
        <v/>
      </c>
      <c r="BK90" s="75">
        <f>$C90*INDEX(Curves!$BC$8:$BC$68,BK$4-$B90+1)</f>
        <v/>
      </c>
      <c r="BL90" s="75">
        <f>$C90*INDEX(Curves!$BC$8:$BC$68,BL$4-$B90+1)</f>
        <v/>
      </c>
    </row>
    <row r="91">
      <c r="A91" s="74" t="inlineStr">
        <is>
          <t>Cohort month 19</t>
        </is>
      </c>
      <c r="B91" s="74" t="n">
        <v>19</v>
      </c>
      <c r="C91" s="17">
        <f>INDEX(Ops!$E$109:$BL$109,1,$B91)</f>
        <v/>
      </c>
      <c r="X91" s="75">
        <f>$C91*INDEX(Curves!$BC$8:$BC$68,X$4-$B91+1)</f>
        <v/>
      </c>
      <c r="Y91" s="75">
        <f>$C91*INDEX(Curves!$BC$8:$BC$68,Y$4-$B91+1)</f>
        <v/>
      </c>
      <c r="Z91" s="75">
        <f>$C91*INDEX(Curves!$BC$8:$BC$68,Z$4-$B91+1)</f>
        <v/>
      </c>
      <c r="AA91" s="75">
        <f>$C91*INDEX(Curves!$BC$8:$BC$68,AA$4-$B91+1)</f>
        <v/>
      </c>
      <c r="AB91" s="75">
        <f>$C91*INDEX(Curves!$BC$8:$BC$68,AB$4-$B91+1)</f>
        <v/>
      </c>
      <c r="AC91" s="75">
        <f>$C91*INDEX(Curves!$BC$8:$BC$68,AC$4-$B91+1)</f>
        <v/>
      </c>
      <c r="AD91" s="75">
        <f>$C91*INDEX(Curves!$BC$8:$BC$68,AD$4-$B91+1)</f>
        <v/>
      </c>
      <c r="AE91" s="75">
        <f>$C91*INDEX(Curves!$BC$8:$BC$68,AE$4-$B91+1)</f>
        <v/>
      </c>
      <c r="AF91" s="75">
        <f>$C91*INDEX(Curves!$BC$8:$BC$68,AF$4-$B91+1)</f>
        <v/>
      </c>
      <c r="AG91" s="75">
        <f>$C91*INDEX(Curves!$BC$8:$BC$68,AG$4-$B91+1)</f>
        <v/>
      </c>
      <c r="AH91" s="75">
        <f>$C91*INDEX(Curves!$BC$8:$BC$68,AH$4-$B91+1)</f>
        <v/>
      </c>
      <c r="AI91" s="75">
        <f>$C91*INDEX(Curves!$BC$8:$BC$68,AI$4-$B91+1)</f>
        <v/>
      </c>
      <c r="AJ91" s="75">
        <f>$C91*INDEX(Curves!$BC$8:$BC$68,AJ$4-$B91+1)</f>
        <v/>
      </c>
      <c r="AK91" s="75">
        <f>$C91*INDEX(Curves!$BC$8:$BC$68,AK$4-$B91+1)</f>
        <v/>
      </c>
      <c r="AL91" s="75">
        <f>$C91*INDEX(Curves!$BC$8:$BC$68,AL$4-$B91+1)</f>
        <v/>
      </c>
      <c r="AM91" s="75">
        <f>$C91*INDEX(Curves!$BC$8:$BC$68,AM$4-$B91+1)</f>
        <v/>
      </c>
      <c r="AN91" s="75">
        <f>$C91*INDEX(Curves!$BC$8:$BC$68,AN$4-$B91+1)</f>
        <v/>
      </c>
      <c r="AO91" s="75">
        <f>$C91*INDEX(Curves!$BC$8:$BC$68,AO$4-$B91+1)</f>
        <v/>
      </c>
      <c r="AP91" s="75">
        <f>$C91*INDEX(Curves!$BC$8:$BC$68,AP$4-$B91+1)</f>
        <v/>
      </c>
      <c r="AQ91" s="75">
        <f>$C91*INDEX(Curves!$BC$8:$BC$68,AQ$4-$B91+1)</f>
        <v/>
      </c>
      <c r="AR91" s="75">
        <f>$C91*INDEX(Curves!$BC$8:$BC$68,AR$4-$B91+1)</f>
        <v/>
      </c>
      <c r="AS91" s="75">
        <f>$C91*INDEX(Curves!$BC$8:$BC$68,AS$4-$B91+1)</f>
        <v/>
      </c>
      <c r="AT91" s="75">
        <f>$C91*INDEX(Curves!$BC$8:$BC$68,AT$4-$B91+1)</f>
        <v/>
      </c>
      <c r="AU91" s="75">
        <f>$C91*INDEX(Curves!$BC$8:$BC$68,AU$4-$B91+1)</f>
        <v/>
      </c>
      <c r="AV91" s="75">
        <f>$C91*INDEX(Curves!$BC$8:$BC$68,AV$4-$B91+1)</f>
        <v/>
      </c>
      <c r="AW91" s="75">
        <f>$C91*INDEX(Curves!$BC$8:$BC$68,AW$4-$B91+1)</f>
        <v/>
      </c>
      <c r="AX91" s="75">
        <f>$C91*INDEX(Curves!$BC$8:$BC$68,AX$4-$B91+1)</f>
        <v/>
      </c>
      <c r="AY91" s="75">
        <f>$C91*INDEX(Curves!$BC$8:$BC$68,AY$4-$B91+1)</f>
        <v/>
      </c>
      <c r="AZ91" s="75">
        <f>$C91*INDEX(Curves!$BC$8:$BC$68,AZ$4-$B91+1)</f>
        <v/>
      </c>
      <c r="BA91" s="75">
        <f>$C91*INDEX(Curves!$BC$8:$BC$68,BA$4-$B91+1)</f>
        <v/>
      </c>
      <c r="BB91" s="75">
        <f>$C91*INDEX(Curves!$BC$8:$BC$68,BB$4-$B91+1)</f>
        <v/>
      </c>
      <c r="BC91" s="75">
        <f>$C91*INDEX(Curves!$BC$8:$BC$68,BC$4-$B91+1)</f>
        <v/>
      </c>
      <c r="BD91" s="75">
        <f>$C91*INDEX(Curves!$BC$8:$BC$68,BD$4-$B91+1)</f>
        <v/>
      </c>
      <c r="BE91" s="75">
        <f>$C91*INDEX(Curves!$BC$8:$BC$68,BE$4-$B91+1)</f>
        <v/>
      </c>
      <c r="BF91" s="75">
        <f>$C91*INDEX(Curves!$BC$8:$BC$68,BF$4-$B91+1)</f>
        <v/>
      </c>
      <c r="BG91" s="75">
        <f>$C91*INDEX(Curves!$BC$8:$BC$68,BG$4-$B91+1)</f>
        <v/>
      </c>
      <c r="BH91" s="75">
        <f>$C91*INDEX(Curves!$BC$8:$BC$68,BH$4-$B91+1)</f>
        <v/>
      </c>
      <c r="BI91" s="75">
        <f>$C91*INDEX(Curves!$BC$8:$BC$68,BI$4-$B91+1)</f>
        <v/>
      </c>
      <c r="BJ91" s="75">
        <f>$C91*INDEX(Curves!$BC$8:$BC$68,BJ$4-$B91+1)</f>
        <v/>
      </c>
      <c r="BK91" s="75">
        <f>$C91*INDEX(Curves!$BC$8:$BC$68,BK$4-$B91+1)</f>
        <v/>
      </c>
      <c r="BL91" s="75">
        <f>$C91*INDEX(Curves!$BC$8:$BC$68,BL$4-$B91+1)</f>
        <v/>
      </c>
    </row>
    <row r="92">
      <c r="A92" s="74" t="inlineStr">
        <is>
          <t>Cohort month 20</t>
        </is>
      </c>
      <c r="B92" s="74" t="n">
        <v>20</v>
      </c>
      <c r="C92" s="17">
        <f>INDEX(Ops!$E$109:$BL$109,1,$B92)</f>
        <v/>
      </c>
      <c r="Y92" s="75">
        <f>$C92*INDEX(Curves!$BC$8:$BC$68,Y$4-$B92+1)</f>
        <v/>
      </c>
      <c r="Z92" s="75">
        <f>$C92*INDEX(Curves!$BC$8:$BC$68,Z$4-$B92+1)</f>
        <v/>
      </c>
      <c r="AA92" s="75">
        <f>$C92*INDEX(Curves!$BC$8:$BC$68,AA$4-$B92+1)</f>
        <v/>
      </c>
      <c r="AB92" s="75">
        <f>$C92*INDEX(Curves!$BC$8:$BC$68,AB$4-$B92+1)</f>
        <v/>
      </c>
      <c r="AC92" s="75">
        <f>$C92*INDEX(Curves!$BC$8:$BC$68,AC$4-$B92+1)</f>
        <v/>
      </c>
      <c r="AD92" s="75">
        <f>$C92*INDEX(Curves!$BC$8:$BC$68,AD$4-$B92+1)</f>
        <v/>
      </c>
      <c r="AE92" s="75">
        <f>$C92*INDEX(Curves!$BC$8:$BC$68,AE$4-$B92+1)</f>
        <v/>
      </c>
      <c r="AF92" s="75">
        <f>$C92*INDEX(Curves!$BC$8:$BC$68,AF$4-$B92+1)</f>
        <v/>
      </c>
      <c r="AG92" s="75">
        <f>$C92*INDEX(Curves!$BC$8:$BC$68,AG$4-$B92+1)</f>
        <v/>
      </c>
      <c r="AH92" s="75">
        <f>$C92*INDEX(Curves!$BC$8:$BC$68,AH$4-$B92+1)</f>
        <v/>
      </c>
      <c r="AI92" s="75">
        <f>$C92*INDEX(Curves!$BC$8:$BC$68,AI$4-$B92+1)</f>
        <v/>
      </c>
      <c r="AJ92" s="75">
        <f>$C92*INDEX(Curves!$BC$8:$BC$68,AJ$4-$B92+1)</f>
        <v/>
      </c>
      <c r="AK92" s="75">
        <f>$C92*INDEX(Curves!$BC$8:$BC$68,AK$4-$B92+1)</f>
        <v/>
      </c>
      <c r="AL92" s="75">
        <f>$C92*INDEX(Curves!$BC$8:$BC$68,AL$4-$B92+1)</f>
        <v/>
      </c>
      <c r="AM92" s="75">
        <f>$C92*INDEX(Curves!$BC$8:$BC$68,AM$4-$B92+1)</f>
        <v/>
      </c>
      <c r="AN92" s="75">
        <f>$C92*INDEX(Curves!$BC$8:$BC$68,AN$4-$B92+1)</f>
        <v/>
      </c>
      <c r="AO92" s="75">
        <f>$C92*INDEX(Curves!$BC$8:$BC$68,AO$4-$B92+1)</f>
        <v/>
      </c>
      <c r="AP92" s="75">
        <f>$C92*INDEX(Curves!$BC$8:$BC$68,AP$4-$B92+1)</f>
        <v/>
      </c>
      <c r="AQ92" s="75">
        <f>$C92*INDEX(Curves!$BC$8:$BC$68,AQ$4-$B92+1)</f>
        <v/>
      </c>
      <c r="AR92" s="75">
        <f>$C92*INDEX(Curves!$BC$8:$BC$68,AR$4-$B92+1)</f>
        <v/>
      </c>
      <c r="AS92" s="75">
        <f>$C92*INDEX(Curves!$BC$8:$BC$68,AS$4-$B92+1)</f>
        <v/>
      </c>
      <c r="AT92" s="75">
        <f>$C92*INDEX(Curves!$BC$8:$BC$68,AT$4-$B92+1)</f>
        <v/>
      </c>
      <c r="AU92" s="75">
        <f>$C92*INDEX(Curves!$BC$8:$BC$68,AU$4-$B92+1)</f>
        <v/>
      </c>
      <c r="AV92" s="75">
        <f>$C92*INDEX(Curves!$BC$8:$BC$68,AV$4-$B92+1)</f>
        <v/>
      </c>
      <c r="AW92" s="75">
        <f>$C92*INDEX(Curves!$BC$8:$BC$68,AW$4-$B92+1)</f>
        <v/>
      </c>
      <c r="AX92" s="75">
        <f>$C92*INDEX(Curves!$BC$8:$BC$68,AX$4-$B92+1)</f>
        <v/>
      </c>
      <c r="AY92" s="75">
        <f>$C92*INDEX(Curves!$BC$8:$BC$68,AY$4-$B92+1)</f>
        <v/>
      </c>
      <c r="AZ92" s="75">
        <f>$C92*INDEX(Curves!$BC$8:$BC$68,AZ$4-$B92+1)</f>
        <v/>
      </c>
      <c r="BA92" s="75">
        <f>$C92*INDEX(Curves!$BC$8:$BC$68,BA$4-$B92+1)</f>
        <v/>
      </c>
      <c r="BB92" s="75">
        <f>$C92*INDEX(Curves!$BC$8:$BC$68,BB$4-$B92+1)</f>
        <v/>
      </c>
      <c r="BC92" s="75">
        <f>$C92*INDEX(Curves!$BC$8:$BC$68,BC$4-$B92+1)</f>
        <v/>
      </c>
      <c r="BD92" s="75">
        <f>$C92*INDEX(Curves!$BC$8:$BC$68,BD$4-$B92+1)</f>
        <v/>
      </c>
      <c r="BE92" s="75">
        <f>$C92*INDEX(Curves!$BC$8:$BC$68,BE$4-$B92+1)</f>
        <v/>
      </c>
      <c r="BF92" s="75">
        <f>$C92*INDEX(Curves!$BC$8:$BC$68,BF$4-$B92+1)</f>
        <v/>
      </c>
      <c r="BG92" s="75">
        <f>$C92*INDEX(Curves!$BC$8:$BC$68,BG$4-$B92+1)</f>
        <v/>
      </c>
      <c r="BH92" s="75">
        <f>$C92*INDEX(Curves!$BC$8:$BC$68,BH$4-$B92+1)</f>
        <v/>
      </c>
      <c r="BI92" s="75">
        <f>$C92*INDEX(Curves!$BC$8:$BC$68,BI$4-$B92+1)</f>
        <v/>
      </c>
      <c r="BJ92" s="75">
        <f>$C92*INDEX(Curves!$BC$8:$BC$68,BJ$4-$B92+1)</f>
        <v/>
      </c>
      <c r="BK92" s="75">
        <f>$C92*INDEX(Curves!$BC$8:$BC$68,BK$4-$B92+1)</f>
        <v/>
      </c>
      <c r="BL92" s="75">
        <f>$C92*INDEX(Curves!$BC$8:$BC$68,BL$4-$B92+1)</f>
        <v/>
      </c>
    </row>
    <row r="93">
      <c r="A93" s="74" t="inlineStr">
        <is>
          <t>Cohort month 21</t>
        </is>
      </c>
      <c r="B93" s="74" t="n">
        <v>21</v>
      </c>
      <c r="C93" s="17">
        <f>INDEX(Ops!$E$109:$BL$109,1,$B93)</f>
        <v/>
      </c>
      <c r="Z93" s="75">
        <f>$C93*INDEX(Curves!$BC$8:$BC$68,Z$4-$B93+1)</f>
        <v/>
      </c>
      <c r="AA93" s="75">
        <f>$C93*INDEX(Curves!$BC$8:$BC$68,AA$4-$B93+1)</f>
        <v/>
      </c>
      <c r="AB93" s="75">
        <f>$C93*INDEX(Curves!$BC$8:$BC$68,AB$4-$B93+1)</f>
        <v/>
      </c>
      <c r="AC93" s="75">
        <f>$C93*INDEX(Curves!$BC$8:$BC$68,AC$4-$B93+1)</f>
        <v/>
      </c>
      <c r="AD93" s="75">
        <f>$C93*INDEX(Curves!$BC$8:$BC$68,AD$4-$B93+1)</f>
        <v/>
      </c>
      <c r="AE93" s="75">
        <f>$C93*INDEX(Curves!$BC$8:$BC$68,AE$4-$B93+1)</f>
        <v/>
      </c>
      <c r="AF93" s="75">
        <f>$C93*INDEX(Curves!$BC$8:$BC$68,AF$4-$B93+1)</f>
        <v/>
      </c>
      <c r="AG93" s="75">
        <f>$C93*INDEX(Curves!$BC$8:$BC$68,AG$4-$B93+1)</f>
        <v/>
      </c>
      <c r="AH93" s="75">
        <f>$C93*INDEX(Curves!$BC$8:$BC$68,AH$4-$B93+1)</f>
        <v/>
      </c>
      <c r="AI93" s="75">
        <f>$C93*INDEX(Curves!$BC$8:$BC$68,AI$4-$B93+1)</f>
        <v/>
      </c>
      <c r="AJ93" s="75">
        <f>$C93*INDEX(Curves!$BC$8:$BC$68,AJ$4-$B93+1)</f>
        <v/>
      </c>
      <c r="AK93" s="75">
        <f>$C93*INDEX(Curves!$BC$8:$BC$68,AK$4-$B93+1)</f>
        <v/>
      </c>
      <c r="AL93" s="75">
        <f>$C93*INDEX(Curves!$BC$8:$BC$68,AL$4-$B93+1)</f>
        <v/>
      </c>
      <c r="AM93" s="75">
        <f>$C93*INDEX(Curves!$BC$8:$BC$68,AM$4-$B93+1)</f>
        <v/>
      </c>
      <c r="AN93" s="75">
        <f>$C93*INDEX(Curves!$BC$8:$BC$68,AN$4-$B93+1)</f>
        <v/>
      </c>
      <c r="AO93" s="75">
        <f>$C93*INDEX(Curves!$BC$8:$BC$68,AO$4-$B93+1)</f>
        <v/>
      </c>
      <c r="AP93" s="75">
        <f>$C93*INDEX(Curves!$BC$8:$BC$68,AP$4-$B93+1)</f>
        <v/>
      </c>
      <c r="AQ93" s="75">
        <f>$C93*INDEX(Curves!$BC$8:$BC$68,AQ$4-$B93+1)</f>
        <v/>
      </c>
      <c r="AR93" s="75">
        <f>$C93*INDEX(Curves!$BC$8:$BC$68,AR$4-$B93+1)</f>
        <v/>
      </c>
      <c r="AS93" s="75">
        <f>$C93*INDEX(Curves!$BC$8:$BC$68,AS$4-$B93+1)</f>
        <v/>
      </c>
      <c r="AT93" s="75">
        <f>$C93*INDEX(Curves!$BC$8:$BC$68,AT$4-$B93+1)</f>
        <v/>
      </c>
      <c r="AU93" s="75">
        <f>$C93*INDEX(Curves!$BC$8:$BC$68,AU$4-$B93+1)</f>
        <v/>
      </c>
      <c r="AV93" s="75">
        <f>$C93*INDEX(Curves!$BC$8:$BC$68,AV$4-$B93+1)</f>
        <v/>
      </c>
      <c r="AW93" s="75">
        <f>$C93*INDEX(Curves!$BC$8:$BC$68,AW$4-$B93+1)</f>
        <v/>
      </c>
      <c r="AX93" s="75">
        <f>$C93*INDEX(Curves!$BC$8:$BC$68,AX$4-$B93+1)</f>
        <v/>
      </c>
      <c r="AY93" s="75">
        <f>$C93*INDEX(Curves!$BC$8:$BC$68,AY$4-$B93+1)</f>
        <v/>
      </c>
      <c r="AZ93" s="75">
        <f>$C93*INDEX(Curves!$BC$8:$BC$68,AZ$4-$B93+1)</f>
        <v/>
      </c>
      <c r="BA93" s="75">
        <f>$C93*INDEX(Curves!$BC$8:$BC$68,BA$4-$B93+1)</f>
        <v/>
      </c>
      <c r="BB93" s="75">
        <f>$C93*INDEX(Curves!$BC$8:$BC$68,BB$4-$B93+1)</f>
        <v/>
      </c>
      <c r="BC93" s="75">
        <f>$C93*INDEX(Curves!$BC$8:$BC$68,BC$4-$B93+1)</f>
        <v/>
      </c>
      <c r="BD93" s="75">
        <f>$C93*INDEX(Curves!$BC$8:$BC$68,BD$4-$B93+1)</f>
        <v/>
      </c>
      <c r="BE93" s="75">
        <f>$C93*INDEX(Curves!$BC$8:$BC$68,BE$4-$B93+1)</f>
        <v/>
      </c>
      <c r="BF93" s="75">
        <f>$C93*INDEX(Curves!$BC$8:$BC$68,BF$4-$B93+1)</f>
        <v/>
      </c>
      <c r="BG93" s="75">
        <f>$C93*INDEX(Curves!$BC$8:$BC$68,BG$4-$B93+1)</f>
        <v/>
      </c>
      <c r="BH93" s="75">
        <f>$C93*INDEX(Curves!$BC$8:$BC$68,BH$4-$B93+1)</f>
        <v/>
      </c>
      <c r="BI93" s="75">
        <f>$C93*INDEX(Curves!$BC$8:$BC$68,BI$4-$B93+1)</f>
        <v/>
      </c>
      <c r="BJ93" s="75">
        <f>$C93*INDEX(Curves!$BC$8:$BC$68,BJ$4-$B93+1)</f>
        <v/>
      </c>
      <c r="BK93" s="75">
        <f>$C93*INDEX(Curves!$BC$8:$BC$68,BK$4-$B93+1)</f>
        <v/>
      </c>
      <c r="BL93" s="75">
        <f>$C93*INDEX(Curves!$BC$8:$BC$68,BL$4-$B93+1)</f>
        <v/>
      </c>
    </row>
    <row r="94">
      <c r="A94" s="74" t="inlineStr">
        <is>
          <t>Cohort month 22</t>
        </is>
      </c>
      <c r="B94" s="74" t="n">
        <v>22</v>
      </c>
      <c r="C94" s="17">
        <f>INDEX(Ops!$E$109:$BL$109,1,$B94)</f>
        <v/>
      </c>
      <c r="AA94" s="75">
        <f>$C94*INDEX(Curves!$BC$8:$BC$68,AA$4-$B94+1)</f>
        <v/>
      </c>
      <c r="AB94" s="75">
        <f>$C94*INDEX(Curves!$BC$8:$BC$68,AB$4-$B94+1)</f>
        <v/>
      </c>
      <c r="AC94" s="75">
        <f>$C94*INDEX(Curves!$BC$8:$BC$68,AC$4-$B94+1)</f>
        <v/>
      </c>
      <c r="AD94" s="75">
        <f>$C94*INDEX(Curves!$BC$8:$BC$68,AD$4-$B94+1)</f>
        <v/>
      </c>
      <c r="AE94" s="75">
        <f>$C94*INDEX(Curves!$BC$8:$BC$68,AE$4-$B94+1)</f>
        <v/>
      </c>
      <c r="AF94" s="75">
        <f>$C94*INDEX(Curves!$BC$8:$BC$68,AF$4-$B94+1)</f>
        <v/>
      </c>
      <c r="AG94" s="75">
        <f>$C94*INDEX(Curves!$BC$8:$BC$68,AG$4-$B94+1)</f>
        <v/>
      </c>
      <c r="AH94" s="75">
        <f>$C94*INDEX(Curves!$BC$8:$BC$68,AH$4-$B94+1)</f>
        <v/>
      </c>
      <c r="AI94" s="75">
        <f>$C94*INDEX(Curves!$BC$8:$BC$68,AI$4-$B94+1)</f>
        <v/>
      </c>
      <c r="AJ94" s="75">
        <f>$C94*INDEX(Curves!$BC$8:$BC$68,AJ$4-$B94+1)</f>
        <v/>
      </c>
      <c r="AK94" s="75">
        <f>$C94*INDEX(Curves!$BC$8:$BC$68,AK$4-$B94+1)</f>
        <v/>
      </c>
      <c r="AL94" s="75">
        <f>$C94*INDEX(Curves!$BC$8:$BC$68,AL$4-$B94+1)</f>
        <v/>
      </c>
      <c r="AM94" s="75">
        <f>$C94*INDEX(Curves!$BC$8:$BC$68,AM$4-$B94+1)</f>
        <v/>
      </c>
      <c r="AN94" s="75">
        <f>$C94*INDEX(Curves!$BC$8:$BC$68,AN$4-$B94+1)</f>
        <v/>
      </c>
      <c r="AO94" s="75">
        <f>$C94*INDEX(Curves!$BC$8:$BC$68,AO$4-$B94+1)</f>
        <v/>
      </c>
      <c r="AP94" s="75">
        <f>$C94*INDEX(Curves!$BC$8:$BC$68,AP$4-$B94+1)</f>
        <v/>
      </c>
      <c r="AQ94" s="75">
        <f>$C94*INDEX(Curves!$BC$8:$BC$68,AQ$4-$B94+1)</f>
        <v/>
      </c>
      <c r="AR94" s="75">
        <f>$C94*INDEX(Curves!$BC$8:$BC$68,AR$4-$B94+1)</f>
        <v/>
      </c>
      <c r="AS94" s="75">
        <f>$C94*INDEX(Curves!$BC$8:$BC$68,AS$4-$B94+1)</f>
        <v/>
      </c>
      <c r="AT94" s="75">
        <f>$C94*INDEX(Curves!$BC$8:$BC$68,AT$4-$B94+1)</f>
        <v/>
      </c>
      <c r="AU94" s="75">
        <f>$C94*INDEX(Curves!$BC$8:$BC$68,AU$4-$B94+1)</f>
        <v/>
      </c>
      <c r="AV94" s="75">
        <f>$C94*INDEX(Curves!$BC$8:$BC$68,AV$4-$B94+1)</f>
        <v/>
      </c>
      <c r="AW94" s="75">
        <f>$C94*INDEX(Curves!$BC$8:$BC$68,AW$4-$B94+1)</f>
        <v/>
      </c>
      <c r="AX94" s="75">
        <f>$C94*INDEX(Curves!$BC$8:$BC$68,AX$4-$B94+1)</f>
        <v/>
      </c>
      <c r="AY94" s="75">
        <f>$C94*INDEX(Curves!$BC$8:$BC$68,AY$4-$B94+1)</f>
        <v/>
      </c>
      <c r="AZ94" s="75">
        <f>$C94*INDEX(Curves!$BC$8:$BC$68,AZ$4-$B94+1)</f>
        <v/>
      </c>
      <c r="BA94" s="75">
        <f>$C94*INDEX(Curves!$BC$8:$BC$68,BA$4-$B94+1)</f>
        <v/>
      </c>
      <c r="BB94" s="75">
        <f>$C94*INDEX(Curves!$BC$8:$BC$68,BB$4-$B94+1)</f>
        <v/>
      </c>
      <c r="BC94" s="75">
        <f>$C94*INDEX(Curves!$BC$8:$BC$68,BC$4-$B94+1)</f>
        <v/>
      </c>
      <c r="BD94" s="75">
        <f>$C94*INDEX(Curves!$BC$8:$BC$68,BD$4-$B94+1)</f>
        <v/>
      </c>
      <c r="BE94" s="75">
        <f>$C94*INDEX(Curves!$BC$8:$BC$68,BE$4-$B94+1)</f>
        <v/>
      </c>
      <c r="BF94" s="75">
        <f>$C94*INDEX(Curves!$BC$8:$BC$68,BF$4-$B94+1)</f>
        <v/>
      </c>
      <c r="BG94" s="75">
        <f>$C94*INDEX(Curves!$BC$8:$BC$68,BG$4-$B94+1)</f>
        <v/>
      </c>
      <c r="BH94" s="75">
        <f>$C94*INDEX(Curves!$BC$8:$BC$68,BH$4-$B94+1)</f>
        <v/>
      </c>
      <c r="BI94" s="75">
        <f>$C94*INDEX(Curves!$BC$8:$BC$68,BI$4-$B94+1)</f>
        <v/>
      </c>
      <c r="BJ94" s="75">
        <f>$C94*INDEX(Curves!$BC$8:$BC$68,BJ$4-$B94+1)</f>
        <v/>
      </c>
      <c r="BK94" s="75">
        <f>$C94*INDEX(Curves!$BC$8:$BC$68,BK$4-$B94+1)</f>
        <v/>
      </c>
      <c r="BL94" s="75">
        <f>$C94*INDEX(Curves!$BC$8:$BC$68,BL$4-$B94+1)</f>
        <v/>
      </c>
    </row>
    <row r="95">
      <c r="A95" s="74" t="inlineStr">
        <is>
          <t>Cohort month 23</t>
        </is>
      </c>
      <c r="B95" s="74" t="n">
        <v>23</v>
      </c>
      <c r="C95" s="17">
        <f>INDEX(Ops!$E$109:$BL$109,1,$B95)</f>
        <v/>
      </c>
      <c r="AB95" s="75">
        <f>$C95*INDEX(Curves!$BC$8:$BC$68,AB$4-$B95+1)</f>
        <v/>
      </c>
      <c r="AC95" s="75">
        <f>$C95*INDEX(Curves!$BC$8:$BC$68,AC$4-$B95+1)</f>
        <v/>
      </c>
      <c r="AD95" s="75">
        <f>$C95*INDEX(Curves!$BC$8:$BC$68,AD$4-$B95+1)</f>
        <v/>
      </c>
      <c r="AE95" s="75">
        <f>$C95*INDEX(Curves!$BC$8:$BC$68,AE$4-$B95+1)</f>
        <v/>
      </c>
      <c r="AF95" s="75">
        <f>$C95*INDEX(Curves!$BC$8:$BC$68,AF$4-$B95+1)</f>
        <v/>
      </c>
      <c r="AG95" s="75">
        <f>$C95*INDEX(Curves!$BC$8:$BC$68,AG$4-$B95+1)</f>
        <v/>
      </c>
      <c r="AH95" s="75">
        <f>$C95*INDEX(Curves!$BC$8:$BC$68,AH$4-$B95+1)</f>
        <v/>
      </c>
      <c r="AI95" s="75">
        <f>$C95*INDEX(Curves!$BC$8:$BC$68,AI$4-$B95+1)</f>
        <v/>
      </c>
      <c r="AJ95" s="75">
        <f>$C95*INDEX(Curves!$BC$8:$BC$68,AJ$4-$B95+1)</f>
        <v/>
      </c>
      <c r="AK95" s="75">
        <f>$C95*INDEX(Curves!$BC$8:$BC$68,AK$4-$B95+1)</f>
        <v/>
      </c>
      <c r="AL95" s="75">
        <f>$C95*INDEX(Curves!$BC$8:$BC$68,AL$4-$B95+1)</f>
        <v/>
      </c>
      <c r="AM95" s="75">
        <f>$C95*INDEX(Curves!$BC$8:$BC$68,AM$4-$B95+1)</f>
        <v/>
      </c>
      <c r="AN95" s="75">
        <f>$C95*INDEX(Curves!$BC$8:$BC$68,AN$4-$B95+1)</f>
        <v/>
      </c>
      <c r="AO95" s="75">
        <f>$C95*INDEX(Curves!$BC$8:$BC$68,AO$4-$B95+1)</f>
        <v/>
      </c>
      <c r="AP95" s="75">
        <f>$C95*INDEX(Curves!$BC$8:$BC$68,AP$4-$B95+1)</f>
        <v/>
      </c>
      <c r="AQ95" s="75">
        <f>$C95*INDEX(Curves!$BC$8:$BC$68,AQ$4-$B95+1)</f>
        <v/>
      </c>
      <c r="AR95" s="75">
        <f>$C95*INDEX(Curves!$BC$8:$BC$68,AR$4-$B95+1)</f>
        <v/>
      </c>
      <c r="AS95" s="75">
        <f>$C95*INDEX(Curves!$BC$8:$BC$68,AS$4-$B95+1)</f>
        <v/>
      </c>
      <c r="AT95" s="75">
        <f>$C95*INDEX(Curves!$BC$8:$BC$68,AT$4-$B95+1)</f>
        <v/>
      </c>
      <c r="AU95" s="75">
        <f>$C95*INDEX(Curves!$BC$8:$BC$68,AU$4-$B95+1)</f>
        <v/>
      </c>
      <c r="AV95" s="75">
        <f>$C95*INDEX(Curves!$BC$8:$BC$68,AV$4-$B95+1)</f>
        <v/>
      </c>
      <c r="AW95" s="75">
        <f>$C95*INDEX(Curves!$BC$8:$BC$68,AW$4-$B95+1)</f>
        <v/>
      </c>
      <c r="AX95" s="75">
        <f>$C95*INDEX(Curves!$BC$8:$BC$68,AX$4-$B95+1)</f>
        <v/>
      </c>
      <c r="AY95" s="75">
        <f>$C95*INDEX(Curves!$BC$8:$BC$68,AY$4-$B95+1)</f>
        <v/>
      </c>
      <c r="AZ95" s="75">
        <f>$C95*INDEX(Curves!$BC$8:$BC$68,AZ$4-$B95+1)</f>
        <v/>
      </c>
      <c r="BA95" s="75">
        <f>$C95*INDEX(Curves!$BC$8:$BC$68,BA$4-$B95+1)</f>
        <v/>
      </c>
      <c r="BB95" s="75">
        <f>$C95*INDEX(Curves!$BC$8:$BC$68,BB$4-$B95+1)</f>
        <v/>
      </c>
      <c r="BC95" s="75">
        <f>$C95*INDEX(Curves!$BC$8:$BC$68,BC$4-$B95+1)</f>
        <v/>
      </c>
      <c r="BD95" s="75">
        <f>$C95*INDEX(Curves!$BC$8:$BC$68,BD$4-$B95+1)</f>
        <v/>
      </c>
      <c r="BE95" s="75">
        <f>$C95*INDEX(Curves!$BC$8:$BC$68,BE$4-$B95+1)</f>
        <v/>
      </c>
      <c r="BF95" s="75">
        <f>$C95*INDEX(Curves!$BC$8:$BC$68,BF$4-$B95+1)</f>
        <v/>
      </c>
      <c r="BG95" s="75">
        <f>$C95*INDEX(Curves!$BC$8:$BC$68,BG$4-$B95+1)</f>
        <v/>
      </c>
      <c r="BH95" s="75">
        <f>$C95*INDEX(Curves!$BC$8:$BC$68,BH$4-$B95+1)</f>
        <v/>
      </c>
      <c r="BI95" s="75">
        <f>$C95*INDEX(Curves!$BC$8:$BC$68,BI$4-$B95+1)</f>
        <v/>
      </c>
      <c r="BJ95" s="75">
        <f>$C95*INDEX(Curves!$BC$8:$BC$68,BJ$4-$B95+1)</f>
        <v/>
      </c>
      <c r="BK95" s="75">
        <f>$C95*INDEX(Curves!$BC$8:$BC$68,BK$4-$B95+1)</f>
        <v/>
      </c>
      <c r="BL95" s="75">
        <f>$C95*INDEX(Curves!$BC$8:$BC$68,BL$4-$B95+1)</f>
        <v/>
      </c>
    </row>
    <row r="96">
      <c r="A96" s="74" t="inlineStr">
        <is>
          <t>Cohort month 24</t>
        </is>
      </c>
      <c r="B96" s="74" t="n">
        <v>24</v>
      </c>
      <c r="C96" s="17">
        <f>INDEX(Ops!$E$109:$BL$109,1,$B96)</f>
        <v/>
      </c>
      <c r="AC96" s="75">
        <f>$C96*INDEX(Curves!$BC$8:$BC$68,AC$4-$B96+1)</f>
        <v/>
      </c>
      <c r="AD96" s="75">
        <f>$C96*INDEX(Curves!$BC$8:$BC$68,AD$4-$B96+1)</f>
        <v/>
      </c>
      <c r="AE96" s="75">
        <f>$C96*INDEX(Curves!$BC$8:$BC$68,AE$4-$B96+1)</f>
        <v/>
      </c>
      <c r="AF96" s="75">
        <f>$C96*INDEX(Curves!$BC$8:$BC$68,AF$4-$B96+1)</f>
        <v/>
      </c>
      <c r="AG96" s="75">
        <f>$C96*INDEX(Curves!$BC$8:$BC$68,AG$4-$B96+1)</f>
        <v/>
      </c>
      <c r="AH96" s="75">
        <f>$C96*INDEX(Curves!$BC$8:$BC$68,AH$4-$B96+1)</f>
        <v/>
      </c>
      <c r="AI96" s="75">
        <f>$C96*INDEX(Curves!$BC$8:$BC$68,AI$4-$B96+1)</f>
        <v/>
      </c>
      <c r="AJ96" s="75">
        <f>$C96*INDEX(Curves!$BC$8:$BC$68,AJ$4-$B96+1)</f>
        <v/>
      </c>
      <c r="AK96" s="75">
        <f>$C96*INDEX(Curves!$BC$8:$BC$68,AK$4-$B96+1)</f>
        <v/>
      </c>
      <c r="AL96" s="75">
        <f>$C96*INDEX(Curves!$BC$8:$BC$68,AL$4-$B96+1)</f>
        <v/>
      </c>
      <c r="AM96" s="75">
        <f>$C96*INDEX(Curves!$BC$8:$BC$68,AM$4-$B96+1)</f>
        <v/>
      </c>
      <c r="AN96" s="75">
        <f>$C96*INDEX(Curves!$BC$8:$BC$68,AN$4-$B96+1)</f>
        <v/>
      </c>
      <c r="AO96" s="75">
        <f>$C96*INDEX(Curves!$BC$8:$BC$68,AO$4-$B96+1)</f>
        <v/>
      </c>
      <c r="AP96" s="75">
        <f>$C96*INDEX(Curves!$BC$8:$BC$68,AP$4-$B96+1)</f>
        <v/>
      </c>
      <c r="AQ96" s="75">
        <f>$C96*INDEX(Curves!$BC$8:$BC$68,AQ$4-$B96+1)</f>
        <v/>
      </c>
      <c r="AR96" s="75">
        <f>$C96*INDEX(Curves!$BC$8:$BC$68,AR$4-$B96+1)</f>
        <v/>
      </c>
      <c r="AS96" s="75">
        <f>$C96*INDEX(Curves!$BC$8:$BC$68,AS$4-$B96+1)</f>
        <v/>
      </c>
      <c r="AT96" s="75">
        <f>$C96*INDEX(Curves!$BC$8:$BC$68,AT$4-$B96+1)</f>
        <v/>
      </c>
      <c r="AU96" s="75">
        <f>$C96*INDEX(Curves!$BC$8:$BC$68,AU$4-$B96+1)</f>
        <v/>
      </c>
      <c r="AV96" s="75">
        <f>$C96*INDEX(Curves!$BC$8:$BC$68,AV$4-$B96+1)</f>
        <v/>
      </c>
      <c r="AW96" s="75">
        <f>$C96*INDEX(Curves!$BC$8:$BC$68,AW$4-$B96+1)</f>
        <v/>
      </c>
      <c r="AX96" s="75">
        <f>$C96*INDEX(Curves!$BC$8:$BC$68,AX$4-$B96+1)</f>
        <v/>
      </c>
      <c r="AY96" s="75">
        <f>$C96*INDEX(Curves!$BC$8:$BC$68,AY$4-$B96+1)</f>
        <v/>
      </c>
      <c r="AZ96" s="75">
        <f>$C96*INDEX(Curves!$BC$8:$BC$68,AZ$4-$B96+1)</f>
        <v/>
      </c>
      <c r="BA96" s="75">
        <f>$C96*INDEX(Curves!$BC$8:$BC$68,BA$4-$B96+1)</f>
        <v/>
      </c>
      <c r="BB96" s="75">
        <f>$C96*INDEX(Curves!$BC$8:$BC$68,BB$4-$B96+1)</f>
        <v/>
      </c>
      <c r="BC96" s="75">
        <f>$C96*INDEX(Curves!$BC$8:$BC$68,BC$4-$B96+1)</f>
        <v/>
      </c>
      <c r="BD96" s="75">
        <f>$C96*INDEX(Curves!$BC$8:$BC$68,BD$4-$B96+1)</f>
        <v/>
      </c>
      <c r="BE96" s="75">
        <f>$C96*INDEX(Curves!$BC$8:$BC$68,BE$4-$B96+1)</f>
        <v/>
      </c>
      <c r="BF96" s="75">
        <f>$C96*INDEX(Curves!$BC$8:$BC$68,BF$4-$B96+1)</f>
        <v/>
      </c>
      <c r="BG96" s="75">
        <f>$C96*INDEX(Curves!$BC$8:$BC$68,BG$4-$B96+1)</f>
        <v/>
      </c>
      <c r="BH96" s="75">
        <f>$C96*INDEX(Curves!$BC$8:$BC$68,BH$4-$B96+1)</f>
        <v/>
      </c>
      <c r="BI96" s="75">
        <f>$C96*INDEX(Curves!$BC$8:$BC$68,BI$4-$B96+1)</f>
        <v/>
      </c>
      <c r="BJ96" s="75">
        <f>$C96*INDEX(Curves!$BC$8:$BC$68,BJ$4-$B96+1)</f>
        <v/>
      </c>
      <c r="BK96" s="75">
        <f>$C96*INDEX(Curves!$BC$8:$BC$68,BK$4-$B96+1)</f>
        <v/>
      </c>
      <c r="BL96" s="75">
        <f>$C96*INDEX(Curves!$BC$8:$BC$68,BL$4-$B96+1)</f>
        <v/>
      </c>
    </row>
    <row r="97">
      <c r="A97" s="74" t="inlineStr">
        <is>
          <t>Cohort month 25</t>
        </is>
      </c>
      <c r="B97" s="74" t="n">
        <v>25</v>
      </c>
      <c r="C97" s="17">
        <f>INDEX(Ops!$E$109:$BL$109,1,$B97)</f>
        <v/>
      </c>
      <c r="AD97" s="75">
        <f>$C97*INDEX(Curves!$BC$8:$BC$68,AD$4-$B97+1)</f>
        <v/>
      </c>
      <c r="AE97" s="75">
        <f>$C97*INDEX(Curves!$BC$8:$BC$68,AE$4-$B97+1)</f>
        <v/>
      </c>
      <c r="AF97" s="75">
        <f>$C97*INDEX(Curves!$BC$8:$BC$68,AF$4-$B97+1)</f>
        <v/>
      </c>
      <c r="AG97" s="75">
        <f>$C97*INDEX(Curves!$BC$8:$BC$68,AG$4-$B97+1)</f>
        <v/>
      </c>
      <c r="AH97" s="75">
        <f>$C97*INDEX(Curves!$BC$8:$BC$68,AH$4-$B97+1)</f>
        <v/>
      </c>
      <c r="AI97" s="75">
        <f>$C97*INDEX(Curves!$BC$8:$BC$68,AI$4-$B97+1)</f>
        <v/>
      </c>
      <c r="AJ97" s="75">
        <f>$C97*INDEX(Curves!$BC$8:$BC$68,AJ$4-$B97+1)</f>
        <v/>
      </c>
      <c r="AK97" s="75">
        <f>$C97*INDEX(Curves!$BC$8:$BC$68,AK$4-$B97+1)</f>
        <v/>
      </c>
      <c r="AL97" s="75">
        <f>$C97*INDEX(Curves!$BC$8:$BC$68,AL$4-$B97+1)</f>
        <v/>
      </c>
      <c r="AM97" s="75">
        <f>$C97*INDEX(Curves!$BC$8:$BC$68,AM$4-$B97+1)</f>
        <v/>
      </c>
      <c r="AN97" s="75">
        <f>$C97*INDEX(Curves!$BC$8:$BC$68,AN$4-$B97+1)</f>
        <v/>
      </c>
      <c r="AO97" s="75">
        <f>$C97*INDEX(Curves!$BC$8:$BC$68,AO$4-$B97+1)</f>
        <v/>
      </c>
      <c r="AP97" s="75">
        <f>$C97*INDEX(Curves!$BC$8:$BC$68,AP$4-$B97+1)</f>
        <v/>
      </c>
      <c r="AQ97" s="75">
        <f>$C97*INDEX(Curves!$BC$8:$BC$68,AQ$4-$B97+1)</f>
        <v/>
      </c>
      <c r="AR97" s="75">
        <f>$C97*INDEX(Curves!$BC$8:$BC$68,AR$4-$B97+1)</f>
        <v/>
      </c>
      <c r="AS97" s="75">
        <f>$C97*INDEX(Curves!$BC$8:$BC$68,AS$4-$B97+1)</f>
        <v/>
      </c>
      <c r="AT97" s="75">
        <f>$C97*INDEX(Curves!$BC$8:$BC$68,AT$4-$B97+1)</f>
        <v/>
      </c>
      <c r="AU97" s="75">
        <f>$C97*INDEX(Curves!$BC$8:$BC$68,AU$4-$B97+1)</f>
        <v/>
      </c>
      <c r="AV97" s="75">
        <f>$C97*INDEX(Curves!$BC$8:$BC$68,AV$4-$B97+1)</f>
        <v/>
      </c>
      <c r="AW97" s="75">
        <f>$C97*INDEX(Curves!$BC$8:$BC$68,AW$4-$B97+1)</f>
        <v/>
      </c>
      <c r="AX97" s="75">
        <f>$C97*INDEX(Curves!$BC$8:$BC$68,AX$4-$B97+1)</f>
        <v/>
      </c>
      <c r="AY97" s="75">
        <f>$C97*INDEX(Curves!$BC$8:$BC$68,AY$4-$B97+1)</f>
        <v/>
      </c>
      <c r="AZ97" s="75">
        <f>$C97*INDEX(Curves!$BC$8:$BC$68,AZ$4-$B97+1)</f>
        <v/>
      </c>
      <c r="BA97" s="75">
        <f>$C97*INDEX(Curves!$BC$8:$BC$68,BA$4-$B97+1)</f>
        <v/>
      </c>
      <c r="BB97" s="75">
        <f>$C97*INDEX(Curves!$BC$8:$BC$68,BB$4-$B97+1)</f>
        <v/>
      </c>
      <c r="BC97" s="75">
        <f>$C97*INDEX(Curves!$BC$8:$BC$68,BC$4-$B97+1)</f>
        <v/>
      </c>
      <c r="BD97" s="75">
        <f>$C97*INDEX(Curves!$BC$8:$BC$68,BD$4-$B97+1)</f>
        <v/>
      </c>
      <c r="BE97" s="75">
        <f>$C97*INDEX(Curves!$BC$8:$BC$68,BE$4-$B97+1)</f>
        <v/>
      </c>
      <c r="BF97" s="75">
        <f>$C97*INDEX(Curves!$BC$8:$BC$68,BF$4-$B97+1)</f>
        <v/>
      </c>
      <c r="BG97" s="75">
        <f>$C97*INDEX(Curves!$BC$8:$BC$68,BG$4-$B97+1)</f>
        <v/>
      </c>
      <c r="BH97" s="75">
        <f>$C97*INDEX(Curves!$BC$8:$BC$68,BH$4-$B97+1)</f>
        <v/>
      </c>
      <c r="BI97" s="75">
        <f>$C97*INDEX(Curves!$BC$8:$BC$68,BI$4-$B97+1)</f>
        <v/>
      </c>
      <c r="BJ97" s="75">
        <f>$C97*INDEX(Curves!$BC$8:$BC$68,BJ$4-$B97+1)</f>
        <v/>
      </c>
      <c r="BK97" s="75">
        <f>$C97*INDEX(Curves!$BC$8:$BC$68,BK$4-$B97+1)</f>
        <v/>
      </c>
      <c r="BL97" s="75">
        <f>$C97*INDEX(Curves!$BC$8:$BC$68,BL$4-$B97+1)</f>
        <v/>
      </c>
    </row>
    <row r="98">
      <c r="A98" s="74" t="inlineStr">
        <is>
          <t>Cohort month 26</t>
        </is>
      </c>
      <c r="B98" s="74" t="n">
        <v>26</v>
      </c>
      <c r="C98" s="17">
        <f>INDEX(Ops!$E$109:$BL$109,1,$B98)</f>
        <v/>
      </c>
      <c r="AE98" s="75">
        <f>$C98*INDEX(Curves!$BC$8:$BC$68,AE$4-$B98+1)</f>
        <v/>
      </c>
      <c r="AF98" s="75">
        <f>$C98*INDEX(Curves!$BC$8:$BC$68,AF$4-$B98+1)</f>
        <v/>
      </c>
      <c r="AG98" s="75">
        <f>$C98*INDEX(Curves!$BC$8:$BC$68,AG$4-$B98+1)</f>
        <v/>
      </c>
      <c r="AH98" s="75">
        <f>$C98*INDEX(Curves!$BC$8:$BC$68,AH$4-$B98+1)</f>
        <v/>
      </c>
      <c r="AI98" s="75">
        <f>$C98*INDEX(Curves!$BC$8:$BC$68,AI$4-$B98+1)</f>
        <v/>
      </c>
      <c r="AJ98" s="75">
        <f>$C98*INDEX(Curves!$BC$8:$BC$68,AJ$4-$B98+1)</f>
        <v/>
      </c>
      <c r="AK98" s="75">
        <f>$C98*INDEX(Curves!$BC$8:$BC$68,AK$4-$B98+1)</f>
        <v/>
      </c>
      <c r="AL98" s="75">
        <f>$C98*INDEX(Curves!$BC$8:$BC$68,AL$4-$B98+1)</f>
        <v/>
      </c>
      <c r="AM98" s="75">
        <f>$C98*INDEX(Curves!$BC$8:$BC$68,AM$4-$B98+1)</f>
        <v/>
      </c>
      <c r="AN98" s="75">
        <f>$C98*INDEX(Curves!$BC$8:$BC$68,AN$4-$B98+1)</f>
        <v/>
      </c>
      <c r="AO98" s="75">
        <f>$C98*INDEX(Curves!$BC$8:$BC$68,AO$4-$B98+1)</f>
        <v/>
      </c>
      <c r="AP98" s="75">
        <f>$C98*INDEX(Curves!$BC$8:$BC$68,AP$4-$B98+1)</f>
        <v/>
      </c>
      <c r="AQ98" s="75">
        <f>$C98*INDEX(Curves!$BC$8:$BC$68,AQ$4-$B98+1)</f>
        <v/>
      </c>
      <c r="AR98" s="75">
        <f>$C98*INDEX(Curves!$BC$8:$BC$68,AR$4-$B98+1)</f>
        <v/>
      </c>
      <c r="AS98" s="75">
        <f>$C98*INDEX(Curves!$BC$8:$BC$68,AS$4-$B98+1)</f>
        <v/>
      </c>
      <c r="AT98" s="75">
        <f>$C98*INDEX(Curves!$BC$8:$BC$68,AT$4-$B98+1)</f>
        <v/>
      </c>
      <c r="AU98" s="75">
        <f>$C98*INDEX(Curves!$BC$8:$BC$68,AU$4-$B98+1)</f>
        <v/>
      </c>
      <c r="AV98" s="75">
        <f>$C98*INDEX(Curves!$BC$8:$BC$68,AV$4-$B98+1)</f>
        <v/>
      </c>
      <c r="AW98" s="75">
        <f>$C98*INDEX(Curves!$BC$8:$BC$68,AW$4-$B98+1)</f>
        <v/>
      </c>
      <c r="AX98" s="75">
        <f>$C98*INDEX(Curves!$BC$8:$BC$68,AX$4-$B98+1)</f>
        <v/>
      </c>
      <c r="AY98" s="75">
        <f>$C98*INDEX(Curves!$BC$8:$BC$68,AY$4-$B98+1)</f>
        <v/>
      </c>
      <c r="AZ98" s="75">
        <f>$C98*INDEX(Curves!$BC$8:$BC$68,AZ$4-$B98+1)</f>
        <v/>
      </c>
      <c r="BA98" s="75">
        <f>$C98*INDEX(Curves!$BC$8:$BC$68,BA$4-$B98+1)</f>
        <v/>
      </c>
      <c r="BB98" s="75">
        <f>$C98*INDEX(Curves!$BC$8:$BC$68,BB$4-$B98+1)</f>
        <v/>
      </c>
      <c r="BC98" s="75">
        <f>$C98*INDEX(Curves!$BC$8:$BC$68,BC$4-$B98+1)</f>
        <v/>
      </c>
      <c r="BD98" s="75">
        <f>$C98*INDEX(Curves!$BC$8:$BC$68,BD$4-$B98+1)</f>
        <v/>
      </c>
      <c r="BE98" s="75">
        <f>$C98*INDEX(Curves!$BC$8:$BC$68,BE$4-$B98+1)</f>
        <v/>
      </c>
      <c r="BF98" s="75">
        <f>$C98*INDEX(Curves!$BC$8:$BC$68,BF$4-$B98+1)</f>
        <v/>
      </c>
      <c r="BG98" s="75">
        <f>$C98*INDEX(Curves!$BC$8:$BC$68,BG$4-$B98+1)</f>
        <v/>
      </c>
      <c r="BH98" s="75">
        <f>$C98*INDEX(Curves!$BC$8:$BC$68,BH$4-$B98+1)</f>
        <v/>
      </c>
      <c r="BI98" s="75">
        <f>$C98*INDEX(Curves!$BC$8:$BC$68,BI$4-$B98+1)</f>
        <v/>
      </c>
      <c r="BJ98" s="75">
        <f>$C98*INDEX(Curves!$BC$8:$BC$68,BJ$4-$B98+1)</f>
        <v/>
      </c>
      <c r="BK98" s="75">
        <f>$C98*INDEX(Curves!$BC$8:$BC$68,BK$4-$B98+1)</f>
        <v/>
      </c>
      <c r="BL98" s="75">
        <f>$C98*INDEX(Curves!$BC$8:$BC$68,BL$4-$B98+1)</f>
        <v/>
      </c>
    </row>
    <row r="99">
      <c r="A99" s="74" t="inlineStr">
        <is>
          <t>Cohort month 27</t>
        </is>
      </c>
      <c r="B99" s="74" t="n">
        <v>27</v>
      </c>
      <c r="C99" s="17">
        <f>INDEX(Ops!$E$109:$BL$109,1,$B99)</f>
        <v/>
      </c>
      <c r="AF99" s="75">
        <f>$C99*INDEX(Curves!$BC$8:$BC$68,AF$4-$B99+1)</f>
        <v/>
      </c>
      <c r="AG99" s="75">
        <f>$C99*INDEX(Curves!$BC$8:$BC$68,AG$4-$B99+1)</f>
        <v/>
      </c>
      <c r="AH99" s="75">
        <f>$C99*INDEX(Curves!$BC$8:$BC$68,AH$4-$B99+1)</f>
        <v/>
      </c>
      <c r="AI99" s="75">
        <f>$C99*INDEX(Curves!$BC$8:$BC$68,AI$4-$B99+1)</f>
        <v/>
      </c>
      <c r="AJ99" s="75">
        <f>$C99*INDEX(Curves!$BC$8:$BC$68,AJ$4-$B99+1)</f>
        <v/>
      </c>
      <c r="AK99" s="75">
        <f>$C99*INDEX(Curves!$BC$8:$BC$68,AK$4-$B99+1)</f>
        <v/>
      </c>
      <c r="AL99" s="75">
        <f>$C99*INDEX(Curves!$BC$8:$BC$68,AL$4-$B99+1)</f>
        <v/>
      </c>
      <c r="AM99" s="75">
        <f>$C99*INDEX(Curves!$BC$8:$BC$68,AM$4-$B99+1)</f>
        <v/>
      </c>
      <c r="AN99" s="75">
        <f>$C99*INDEX(Curves!$BC$8:$BC$68,AN$4-$B99+1)</f>
        <v/>
      </c>
      <c r="AO99" s="75">
        <f>$C99*INDEX(Curves!$BC$8:$BC$68,AO$4-$B99+1)</f>
        <v/>
      </c>
      <c r="AP99" s="75">
        <f>$C99*INDEX(Curves!$BC$8:$BC$68,AP$4-$B99+1)</f>
        <v/>
      </c>
      <c r="AQ99" s="75">
        <f>$C99*INDEX(Curves!$BC$8:$BC$68,AQ$4-$B99+1)</f>
        <v/>
      </c>
      <c r="AR99" s="75">
        <f>$C99*INDEX(Curves!$BC$8:$BC$68,AR$4-$B99+1)</f>
        <v/>
      </c>
      <c r="AS99" s="75">
        <f>$C99*INDEX(Curves!$BC$8:$BC$68,AS$4-$B99+1)</f>
        <v/>
      </c>
      <c r="AT99" s="75">
        <f>$C99*INDEX(Curves!$BC$8:$BC$68,AT$4-$B99+1)</f>
        <v/>
      </c>
      <c r="AU99" s="75">
        <f>$C99*INDEX(Curves!$BC$8:$BC$68,AU$4-$B99+1)</f>
        <v/>
      </c>
      <c r="AV99" s="75">
        <f>$C99*INDEX(Curves!$BC$8:$BC$68,AV$4-$B99+1)</f>
        <v/>
      </c>
      <c r="AW99" s="75">
        <f>$C99*INDEX(Curves!$BC$8:$BC$68,AW$4-$B99+1)</f>
        <v/>
      </c>
      <c r="AX99" s="75">
        <f>$C99*INDEX(Curves!$BC$8:$BC$68,AX$4-$B99+1)</f>
        <v/>
      </c>
      <c r="AY99" s="75">
        <f>$C99*INDEX(Curves!$BC$8:$BC$68,AY$4-$B99+1)</f>
        <v/>
      </c>
      <c r="AZ99" s="75">
        <f>$C99*INDEX(Curves!$BC$8:$BC$68,AZ$4-$B99+1)</f>
        <v/>
      </c>
      <c r="BA99" s="75">
        <f>$C99*INDEX(Curves!$BC$8:$BC$68,BA$4-$B99+1)</f>
        <v/>
      </c>
      <c r="BB99" s="75">
        <f>$C99*INDEX(Curves!$BC$8:$BC$68,BB$4-$B99+1)</f>
        <v/>
      </c>
      <c r="BC99" s="75">
        <f>$C99*INDEX(Curves!$BC$8:$BC$68,BC$4-$B99+1)</f>
        <v/>
      </c>
      <c r="BD99" s="75">
        <f>$C99*INDEX(Curves!$BC$8:$BC$68,BD$4-$B99+1)</f>
        <v/>
      </c>
      <c r="BE99" s="75">
        <f>$C99*INDEX(Curves!$BC$8:$BC$68,BE$4-$B99+1)</f>
        <v/>
      </c>
      <c r="BF99" s="75">
        <f>$C99*INDEX(Curves!$BC$8:$BC$68,BF$4-$B99+1)</f>
        <v/>
      </c>
      <c r="BG99" s="75">
        <f>$C99*INDEX(Curves!$BC$8:$BC$68,BG$4-$B99+1)</f>
        <v/>
      </c>
      <c r="BH99" s="75">
        <f>$C99*INDEX(Curves!$BC$8:$BC$68,BH$4-$B99+1)</f>
        <v/>
      </c>
      <c r="BI99" s="75">
        <f>$C99*INDEX(Curves!$BC$8:$BC$68,BI$4-$B99+1)</f>
        <v/>
      </c>
      <c r="BJ99" s="75">
        <f>$C99*INDEX(Curves!$BC$8:$BC$68,BJ$4-$B99+1)</f>
        <v/>
      </c>
      <c r="BK99" s="75">
        <f>$C99*INDEX(Curves!$BC$8:$BC$68,BK$4-$B99+1)</f>
        <v/>
      </c>
      <c r="BL99" s="75">
        <f>$C99*INDEX(Curves!$BC$8:$BC$68,BL$4-$B99+1)</f>
        <v/>
      </c>
    </row>
    <row r="100">
      <c r="A100" s="74" t="inlineStr">
        <is>
          <t>Cohort month 28</t>
        </is>
      </c>
      <c r="B100" s="74" t="n">
        <v>28</v>
      </c>
      <c r="C100" s="17">
        <f>INDEX(Ops!$E$109:$BL$109,1,$B100)</f>
        <v/>
      </c>
      <c r="AG100" s="75">
        <f>$C100*INDEX(Curves!$BC$8:$BC$68,AG$4-$B100+1)</f>
        <v/>
      </c>
      <c r="AH100" s="75">
        <f>$C100*INDEX(Curves!$BC$8:$BC$68,AH$4-$B100+1)</f>
        <v/>
      </c>
      <c r="AI100" s="75">
        <f>$C100*INDEX(Curves!$BC$8:$BC$68,AI$4-$B100+1)</f>
        <v/>
      </c>
      <c r="AJ100" s="75">
        <f>$C100*INDEX(Curves!$BC$8:$BC$68,AJ$4-$B100+1)</f>
        <v/>
      </c>
      <c r="AK100" s="75">
        <f>$C100*INDEX(Curves!$BC$8:$BC$68,AK$4-$B100+1)</f>
        <v/>
      </c>
      <c r="AL100" s="75">
        <f>$C100*INDEX(Curves!$BC$8:$BC$68,AL$4-$B100+1)</f>
        <v/>
      </c>
      <c r="AM100" s="75">
        <f>$C100*INDEX(Curves!$BC$8:$BC$68,AM$4-$B100+1)</f>
        <v/>
      </c>
      <c r="AN100" s="75">
        <f>$C100*INDEX(Curves!$BC$8:$BC$68,AN$4-$B100+1)</f>
        <v/>
      </c>
      <c r="AO100" s="75">
        <f>$C100*INDEX(Curves!$BC$8:$BC$68,AO$4-$B100+1)</f>
        <v/>
      </c>
      <c r="AP100" s="75">
        <f>$C100*INDEX(Curves!$BC$8:$BC$68,AP$4-$B100+1)</f>
        <v/>
      </c>
      <c r="AQ100" s="75">
        <f>$C100*INDEX(Curves!$BC$8:$BC$68,AQ$4-$B100+1)</f>
        <v/>
      </c>
      <c r="AR100" s="75">
        <f>$C100*INDEX(Curves!$BC$8:$BC$68,AR$4-$B100+1)</f>
        <v/>
      </c>
      <c r="AS100" s="75">
        <f>$C100*INDEX(Curves!$BC$8:$BC$68,AS$4-$B100+1)</f>
        <v/>
      </c>
      <c r="AT100" s="75">
        <f>$C100*INDEX(Curves!$BC$8:$BC$68,AT$4-$B100+1)</f>
        <v/>
      </c>
      <c r="AU100" s="75">
        <f>$C100*INDEX(Curves!$BC$8:$BC$68,AU$4-$B100+1)</f>
        <v/>
      </c>
      <c r="AV100" s="75">
        <f>$C100*INDEX(Curves!$BC$8:$BC$68,AV$4-$B100+1)</f>
        <v/>
      </c>
      <c r="AW100" s="75">
        <f>$C100*INDEX(Curves!$BC$8:$BC$68,AW$4-$B100+1)</f>
        <v/>
      </c>
      <c r="AX100" s="75">
        <f>$C100*INDEX(Curves!$BC$8:$BC$68,AX$4-$B100+1)</f>
        <v/>
      </c>
      <c r="AY100" s="75">
        <f>$C100*INDEX(Curves!$BC$8:$BC$68,AY$4-$B100+1)</f>
        <v/>
      </c>
      <c r="AZ100" s="75">
        <f>$C100*INDEX(Curves!$BC$8:$BC$68,AZ$4-$B100+1)</f>
        <v/>
      </c>
      <c r="BA100" s="75">
        <f>$C100*INDEX(Curves!$BC$8:$BC$68,BA$4-$B100+1)</f>
        <v/>
      </c>
      <c r="BB100" s="75">
        <f>$C100*INDEX(Curves!$BC$8:$BC$68,BB$4-$B100+1)</f>
        <v/>
      </c>
      <c r="BC100" s="75">
        <f>$C100*INDEX(Curves!$BC$8:$BC$68,BC$4-$B100+1)</f>
        <v/>
      </c>
      <c r="BD100" s="75">
        <f>$C100*INDEX(Curves!$BC$8:$BC$68,BD$4-$B100+1)</f>
        <v/>
      </c>
      <c r="BE100" s="75">
        <f>$C100*INDEX(Curves!$BC$8:$BC$68,BE$4-$B100+1)</f>
        <v/>
      </c>
      <c r="BF100" s="75">
        <f>$C100*INDEX(Curves!$BC$8:$BC$68,BF$4-$B100+1)</f>
        <v/>
      </c>
      <c r="BG100" s="75">
        <f>$C100*INDEX(Curves!$BC$8:$BC$68,BG$4-$B100+1)</f>
        <v/>
      </c>
      <c r="BH100" s="75">
        <f>$C100*INDEX(Curves!$BC$8:$BC$68,BH$4-$B100+1)</f>
        <v/>
      </c>
      <c r="BI100" s="75">
        <f>$C100*INDEX(Curves!$BC$8:$BC$68,BI$4-$B100+1)</f>
        <v/>
      </c>
      <c r="BJ100" s="75">
        <f>$C100*INDEX(Curves!$BC$8:$BC$68,BJ$4-$B100+1)</f>
        <v/>
      </c>
      <c r="BK100" s="75">
        <f>$C100*INDEX(Curves!$BC$8:$BC$68,BK$4-$B100+1)</f>
        <v/>
      </c>
      <c r="BL100" s="75">
        <f>$C100*INDEX(Curves!$BC$8:$BC$68,BL$4-$B100+1)</f>
        <v/>
      </c>
    </row>
    <row r="101">
      <c r="A101" s="74" t="inlineStr">
        <is>
          <t>Cohort month 29</t>
        </is>
      </c>
      <c r="B101" s="74" t="n">
        <v>29</v>
      </c>
      <c r="C101" s="17">
        <f>INDEX(Ops!$E$109:$BL$109,1,$B101)</f>
        <v/>
      </c>
      <c r="AH101" s="75">
        <f>$C101*INDEX(Curves!$BC$8:$BC$68,AH$4-$B101+1)</f>
        <v/>
      </c>
      <c r="AI101" s="75">
        <f>$C101*INDEX(Curves!$BC$8:$BC$68,AI$4-$B101+1)</f>
        <v/>
      </c>
      <c r="AJ101" s="75">
        <f>$C101*INDEX(Curves!$BC$8:$BC$68,AJ$4-$B101+1)</f>
        <v/>
      </c>
      <c r="AK101" s="75">
        <f>$C101*INDEX(Curves!$BC$8:$BC$68,AK$4-$B101+1)</f>
        <v/>
      </c>
      <c r="AL101" s="75">
        <f>$C101*INDEX(Curves!$BC$8:$BC$68,AL$4-$B101+1)</f>
        <v/>
      </c>
      <c r="AM101" s="75">
        <f>$C101*INDEX(Curves!$BC$8:$BC$68,AM$4-$B101+1)</f>
        <v/>
      </c>
      <c r="AN101" s="75">
        <f>$C101*INDEX(Curves!$BC$8:$BC$68,AN$4-$B101+1)</f>
        <v/>
      </c>
      <c r="AO101" s="75">
        <f>$C101*INDEX(Curves!$BC$8:$BC$68,AO$4-$B101+1)</f>
        <v/>
      </c>
      <c r="AP101" s="75">
        <f>$C101*INDEX(Curves!$BC$8:$BC$68,AP$4-$B101+1)</f>
        <v/>
      </c>
      <c r="AQ101" s="75">
        <f>$C101*INDEX(Curves!$BC$8:$BC$68,AQ$4-$B101+1)</f>
        <v/>
      </c>
      <c r="AR101" s="75">
        <f>$C101*INDEX(Curves!$BC$8:$BC$68,AR$4-$B101+1)</f>
        <v/>
      </c>
      <c r="AS101" s="75">
        <f>$C101*INDEX(Curves!$BC$8:$BC$68,AS$4-$B101+1)</f>
        <v/>
      </c>
      <c r="AT101" s="75">
        <f>$C101*INDEX(Curves!$BC$8:$BC$68,AT$4-$B101+1)</f>
        <v/>
      </c>
      <c r="AU101" s="75">
        <f>$C101*INDEX(Curves!$BC$8:$BC$68,AU$4-$B101+1)</f>
        <v/>
      </c>
      <c r="AV101" s="75">
        <f>$C101*INDEX(Curves!$BC$8:$BC$68,AV$4-$B101+1)</f>
        <v/>
      </c>
      <c r="AW101" s="75">
        <f>$C101*INDEX(Curves!$BC$8:$BC$68,AW$4-$B101+1)</f>
        <v/>
      </c>
      <c r="AX101" s="75">
        <f>$C101*INDEX(Curves!$BC$8:$BC$68,AX$4-$B101+1)</f>
        <v/>
      </c>
      <c r="AY101" s="75">
        <f>$C101*INDEX(Curves!$BC$8:$BC$68,AY$4-$B101+1)</f>
        <v/>
      </c>
      <c r="AZ101" s="75">
        <f>$C101*INDEX(Curves!$BC$8:$BC$68,AZ$4-$B101+1)</f>
        <v/>
      </c>
      <c r="BA101" s="75">
        <f>$C101*INDEX(Curves!$BC$8:$BC$68,BA$4-$B101+1)</f>
        <v/>
      </c>
      <c r="BB101" s="75">
        <f>$C101*INDEX(Curves!$BC$8:$BC$68,BB$4-$B101+1)</f>
        <v/>
      </c>
      <c r="BC101" s="75">
        <f>$C101*INDEX(Curves!$BC$8:$BC$68,BC$4-$B101+1)</f>
        <v/>
      </c>
      <c r="BD101" s="75">
        <f>$C101*INDEX(Curves!$BC$8:$BC$68,BD$4-$B101+1)</f>
        <v/>
      </c>
      <c r="BE101" s="75">
        <f>$C101*INDEX(Curves!$BC$8:$BC$68,BE$4-$B101+1)</f>
        <v/>
      </c>
      <c r="BF101" s="75">
        <f>$C101*INDEX(Curves!$BC$8:$BC$68,BF$4-$B101+1)</f>
        <v/>
      </c>
      <c r="BG101" s="75">
        <f>$C101*INDEX(Curves!$BC$8:$BC$68,BG$4-$B101+1)</f>
        <v/>
      </c>
      <c r="BH101" s="75">
        <f>$C101*INDEX(Curves!$BC$8:$BC$68,BH$4-$B101+1)</f>
        <v/>
      </c>
      <c r="BI101" s="75">
        <f>$C101*INDEX(Curves!$BC$8:$BC$68,BI$4-$B101+1)</f>
        <v/>
      </c>
      <c r="BJ101" s="75">
        <f>$C101*INDEX(Curves!$BC$8:$BC$68,BJ$4-$B101+1)</f>
        <v/>
      </c>
      <c r="BK101" s="75">
        <f>$C101*INDEX(Curves!$BC$8:$BC$68,BK$4-$B101+1)</f>
        <v/>
      </c>
      <c r="BL101" s="75">
        <f>$C101*INDEX(Curves!$BC$8:$BC$68,BL$4-$B101+1)</f>
        <v/>
      </c>
    </row>
    <row r="102">
      <c r="A102" s="74" t="inlineStr">
        <is>
          <t>Cohort month 30</t>
        </is>
      </c>
      <c r="B102" s="74" t="n">
        <v>30</v>
      </c>
      <c r="C102" s="17">
        <f>INDEX(Ops!$E$109:$BL$109,1,$B102)</f>
        <v/>
      </c>
      <c r="AI102" s="75">
        <f>$C102*INDEX(Curves!$BC$8:$BC$68,AI$4-$B102+1)</f>
        <v/>
      </c>
      <c r="AJ102" s="75">
        <f>$C102*INDEX(Curves!$BC$8:$BC$68,AJ$4-$B102+1)</f>
        <v/>
      </c>
      <c r="AK102" s="75">
        <f>$C102*INDEX(Curves!$BC$8:$BC$68,AK$4-$B102+1)</f>
        <v/>
      </c>
      <c r="AL102" s="75">
        <f>$C102*INDEX(Curves!$BC$8:$BC$68,AL$4-$B102+1)</f>
        <v/>
      </c>
      <c r="AM102" s="75">
        <f>$C102*INDEX(Curves!$BC$8:$BC$68,AM$4-$B102+1)</f>
        <v/>
      </c>
      <c r="AN102" s="75">
        <f>$C102*INDEX(Curves!$BC$8:$BC$68,AN$4-$B102+1)</f>
        <v/>
      </c>
      <c r="AO102" s="75">
        <f>$C102*INDEX(Curves!$BC$8:$BC$68,AO$4-$B102+1)</f>
        <v/>
      </c>
      <c r="AP102" s="75">
        <f>$C102*INDEX(Curves!$BC$8:$BC$68,AP$4-$B102+1)</f>
        <v/>
      </c>
      <c r="AQ102" s="75">
        <f>$C102*INDEX(Curves!$BC$8:$BC$68,AQ$4-$B102+1)</f>
        <v/>
      </c>
      <c r="AR102" s="75">
        <f>$C102*INDEX(Curves!$BC$8:$BC$68,AR$4-$B102+1)</f>
        <v/>
      </c>
      <c r="AS102" s="75">
        <f>$C102*INDEX(Curves!$BC$8:$BC$68,AS$4-$B102+1)</f>
        <v/>
      </c>
      <c r="AT102" s="75">
        <f>$C102*INDEX(Curves!$BC$8:$BC$68,AT$4-$B102+1)</f>
        <v/>
      </c>
      <c r="AU102" s="75">
        <f>$C102*INDEX(Curves!$BC$8:$BC$68,AU$4-$B102+1)</f>
        <v/>
      </c>
      <c r="AV102" s="75">
        <f>$C102*INDEX(Curves!$BC$8:$BC$68,AV$4-$B102+1)</f>
        <v/>
      </c>
      <c r="AW102" s="75">
        <f>$C102*INDEX(Curves!$BC$8:$BC$68,AW$4-$B102+1)</f>
        <v/>
      </c>
      <c r="AX102" s="75">
        <f>$C102*INDEX(Curves!$BC$8:$BC$68,AX$4-$B102+1)</f>
        <v/>
      </c>
      <c r="AY102" s="75">
        <f>$C102*INDEX(Curves!$BC$8:$BC$68,AY$4-$B102+1)</f>
        <v/>
      </c>
      <c r="AZ102" s="75">
        <f>$C102*INDEX(Curves!$BC$8:$BC$68,AZ$4-$B102+1)</f>
        <v/>
      </c>
      <c r="BA102" s="75">
        <f>$C102*INDEX(Curves!$BC$8:$BC$68,BA$4-$B102+1)</f>
        <v/>
      </c>
      <c r="BB102" s="75">
        <f>$C102*INDEX(Curves!$BC$8:$BC$68,BB$4-$B102+1)</f>
        <v/>
      </c>
      <c r="BC102" s="75">
        <f>$C102*INDEX(Curves!$BC$8:$BC$68,BC$4-$B102+1)</f>
        <v/>
      </c>
      <c r="BD102" s="75">
        <f>$C102*INDEX(Curves!$BC$8:$BC$68,BD$4-$B102+1)</f>
        <v/>
      </c>
      <c r="BE102" s="75">
        <f>$C102*INDEX(Curves!$BC$8:$BC$68,BE$4-$B102+1)</f>
        <v/>
      </c>
      <c r="BF102" s="75">
        <f>$C102*INDEX(Curves!$BC$8:$BC$68,BF$4-$B102+1)</f>
        <v/>
      </c>
      <c r="BG102" s="75">
        <f>$C102*INDEX(Curves!$BC$8:$BC$68,BG$4-$B102+1)</f>
        <v/>
      </c>
      <c r="BH102" s="75">
        <f>$C102*INDEX(Curves!$BC$8:$BC$68,BH$4-$B102+1)</f>
        <v/>
      </c>
      <c r="BI102" s="75">
        <f>$C102*INDEX(Curves!$BC$8:$BC$68,BI$4-$B102+1)</f>
        <v/>
      </c>
      <c r="BJ102" s="75">
        <f>$C102*INDEX(Curves!$BC$8:$BC$68,BJ$4-$B102+1)</f>
        <v/>
      </c>
      <c r="BK102" s="75">
        <f>$C102*INDEX(Curves!$BC$8:$BC$68,BK$4-$B102+1)</f>
        <v/>
      </c>
      <c r="BL102" s="75">
        <f>$C102*INDEX(Curves!$BC$8:$BC$68,BL$4-$B102+1)</f>
        <v/>
      </c>
    </row>
    <row r="103">
      <c r="A103" s="74" t="inlineStr">
        <is>
          <t>Cohort month 31</t>
        </is>
      </c>
      <c r="B103" s="74" t="n">
        <v>31</v>
      </c>
      <c r="C103" s="17">
        <f>INDEX(Ops!$E$109:$BL$109,1,$B103)</f>
        <v/>
      </c>
      <c r="AJ103" s="75">
        <f>$C103*INDEX(Curves!$BC$8:$BC$68,AJ$4-$B103+1)</f>
        <v/>
      </c>
      <c r="AK103" s="75">
        <f>$C103*INDEX(Curves!$BC$8:$BC$68,AK$4-$B103+1)</f>
        <v/>
      </c>
      <c r="AL103" s="75">
        <f>$C103*INDEX(Curves!$BC$8:$BC$68,AL$4-$B103+1)</f>
        <v/>
      </c>
      <c r="AM103" s="75">
        <f>$C103*INDEX(Curves!$BC$8:$BC$68,AM$4-$B103+1)</f>
        <v/>
      </c>
      <c r="AN103" s="75">
        <f>$C103*INDEX(Curves!$BC$8:$BC$68,AN$4-$B103+1)</f>
        <v/>
      </c>
      <c r="AO103" s="75">
        <f>$C103*INDEX(Curves!$BC$8:$BC$68,AO$4-$B103+1)</f>
        <v/>
      </c>
      <c r="AP103" s="75">
        <f>$C103*INDEX(Curves!$BC$8:$BC$68,AP$4-$B103+1)</f>
        <v/>
      </c>
      <c r="AQ103" s="75">
        <f>$C103*INDEX(Curves!$BC$8:$BC$68,AQ$4-$B103+1)</f>
        <v/>
      </c>
      <c r="AR103" s="75">
        <f>$C103*INDEX(Curves!$BC$8:$BC$68,AR$4-$B103+1)</f>
        <v/>
      </c>
      <c r="AS103" s="75">
        <f>$C103*INDEX(Curves!$BC$8:$BC$68,AS$4-$B103+1)</f>
        <v/>
      </c>
      <c r="AT103" s="75">
        <f>$C103*INDEX(Curves!$BC$8:$BC$68,AT$4-$B103+1)</f>
        <v/>
      </c>
      <c r="AU103" s="75">
        <f>$C103*INDEX(Curves!$BC$8:$BC$68,AU$4-$B103+1)</f>
        <v/>
      </c>
      <c r="AV103" s="75">
        <f>$C103*INDEX(Curves!$BC$8:$BC$68,AV$4-$B103+1)</f>
        <v/>
      </c>
      <c r="AW103" s="75">
        <f>$C103*INDEX(Curves!$BC$8:$BC$68,AW$4-$B103+1)</f>
        <v/>
      </c>
      <c r="AX103" s="75">
        <f>$C103*INDEX(Curves!$BC$8:$BC$68,AX$4-$B103+1)</f>
        <v/>
      </c>
      <c r="AY103" s="75">
        <f>$C103*INDEX(Curves!$BC$8:$BC$68,AY$4-$B103+1)</f>
        <v/>
      </c>
      <c r="AZ103" s="75">
        <f>$C103*INDEX(Curves!$BC$8:$BC$68,AZ$4-$B103+1)</f>
        <v/>
      </c>
      <c r="BA103" s="75">
        <f>$C103*INDEX(Curves!$BC$8:$BC$68,BA$4-$B103+1)</f>
        <v/>
      </c>
      <c r="BB103" s="75">
        <f>$C103*INDEX(Curves!$BC$8:$BC$68,BB$4-$B103+1)</f>
        <v/>
      </c>
      <c r="BC103" s="75">
        <f>$C103*INDEX(Curves!$BC$8:$BC$68,BC$4-$B103+1)</f>
        <v/>
      </c>
      <c r="BD103" s="75">
        <f>$C103*INDEX(Curves!$BC$8:$BC$68,BD$4-$B103+1)</f>
        <v/>
      </c>
      <c r="BE103" s="75">
        <f>$C103*INDEX(Curves!$BC$8:$BC$68,BE$4-$B103+1)</f>
        <v/>
      </c>
      <c r="BF103" s="75">
        <f>$C103*INDEX(Curves!$BC$8:$BC$68,BF$4-$B103+1)</f>
        <v/>
      </c>
      <c r="BG103" s="75">
        <f>$C103*INDEX(Curves!$BC$8:$BC$68,BG$4-$B103+1)</f>
        <v/>
      </c>
      <c r="BH103" s="75">
        <f>$C103*INDEX(Curves!$BC$8:$BC$68,BH$4-$B103+1)</f>
        <v/>
      </c>
      <c r="BI103" s="75">
        <f>$C103*INDEX(Curves!$BC$8:$BC$68,BI$4-$B103+1)</f>
        <v/>
      </c>
      <c r="BJ103" s="75">
        <f>$C103*INDEX(Curves!$BC$8:$BC$68,BJ$4-$B103+1)</f>
        <v/>
      </c>
      <c r="BK103" s="75">
        <f>$C103*INDEX(Curves!$BC$8:$BC$68,BK$4-$B103+1)</f>
        <v/>
      </c>
      <c r="BL103" s="75">
        <f>$C103*INDEX(Curves!$BC$8:$BC$68,BL$4-$B103+1)</f>
        <v/>
      </c>
    </row>
    <row r="104">
      <c r="A104" s="74" t="inlineStr">
        <is>
          <t>Cohort month 32</t>
        </is>
      </c>
      <c r="B104" s="74" t="n">
        <v>32</v>
      </c>
      <c r="C104" s="17">
        <f>INDEX(Ops!$E$109:$BL$109,1,$B104)</f>
        <v/>
      </c>
      <c r="AK104" s="75">
        <f>$C104*INDEX(Curves!$BC$8:$BC$68,AK$4-$B104+1)</f>
        <v/>
      </c>
      <c r="AL104" s="75">
        <f>$C104*INDEX(Curves!$BC$8:$BC$68,AL$4-$B104+1)</f>
        <v/>
      </c>
      <c r="AM104" s="75">
        <f>$C104*INDEX(Curves!$BC$8:$BC$68,AM$4-$B104+1)</f>
        <v/>
      </c>
      <c r="AN104" s="75">
        <f>$C104*INDEX(Curves!$BC$8:$BC$68,AN$4-$B104+1)</f>
        <v/>
      </c>
      <c r="AO104" s="75">
        <f>$C104*INDEX(Curves!$BC$8:$BC$68,AO$4-$B104+1)</f>
        <v/>
      </c>
      <c r="AP104" s="75">
        <f>$C104*INDEX(Curves!$BC$8:$BC$68,AP$4-$B104+1)</f>
        <v/>
      </c>
      <c r="AQ104" s="75">
        <f>$C104*INDEX(Curves!$BC$8:$BC$68,AQ$4-$B104+1)</f>
        <v/>
      </c>
      <c r="AR104" s="75">
        <f>$C104*INDEX(Curves!$BC$8:$BC$68,AR$4-$B104+1)</f>
        <v/>
      </c>
      <c r="AS104" s="75">
        <f>$C104*INDEX(Curves!$BC$8:$BC$68,AS$4-$B104+1)</f>
        <v/>
      </c>
      <c r="AT104" s="75">
        <f>$C104*INDEX(Curves!$BC$8:$BC$68,AT$4-$B104+1)</f>
        <v/>
      </c>
      <c r="AU104" s="75">
        <f>$C104*INDEX(Curves!$BC$8:$BC$68,AU$4-$B104+1)</f>
        <v/>
      </c>
      <c r="AV104" s="75">
        <f>$C104*INDEX(Curves!$BC$8:$BC$68,AV$4-$B104+1)</f>
        <v/>
      </c>
      <c r="AW104" s="75">
        <f>$C104*INDEX(Curves!$BC$8:$BC$68,AW$4-$B104+1)</f>
        <v/>
      </c>
      <c r="AX104" s="75">
        <f>$C104*INDEX(Curves!$BC$8:$BC$68,AX$4-$B104+1)</f>
        <v/>
      </c>
      <c r="AY104" s="75">
        <f>$C104*INDEX(Curves!$BC$8:$BC$68,AY$4-$B104+1)</f>
        <v/>
      </c>
      <c r="AZ104" s="75">
        <f>$C104*INDEX(Curves!$BC$8:$BC$68,AZ$4-$B104+1)</f>
        <v/>
      </c>
      <c r="BA104" s="75">
        <f>$C104*INDEX(Curves!$BC$8:$BC$68,BA$4-$B104+1)</f>
        <v/>
      </c>
      <c r="BB104" s="75">
        <f>$C104*INDEX(Curves!$BC$8:$BC$68,BB$4-$B104+1)</f>
        <v/>
      </c>
      <c r="BC104" s="75">
        <f>$C104*INDEX(Curves!$BC$8:$BC$68,BC$4-$B104+1)</f>
        <v/>
      </c>
      <c r="BD104" s="75">
        <f>$C104*INDEX(Curves!$BC$8:$BC$68,BD$4-$B104+1)</f>
        <v/>
      </c>
      <c r="BE104" s="75">
        <f>$C104*INDEX(Curves!$BC$8:$BC$68,BE$4-$B104+1)</f>
        <v/>
      </c>
      <c r="BF104" s="75">
        <f>$C104*INDEX(Curves!$BC$8:$BC$68,BF$4-$B104+1)</f>
        <v/>
      </c>
      <c r="BG104" s="75">
        <f>$C104*INDEX(Curves!$BC$8:$BC$68,BG$4-$B104+1)</f>
        <v/>
      </c>
      <c r="BH104" s="75">
        <f>$C104*INDEX(Curves!$BC$8:$BC$68,BH$4-$B104+1)</f>
        <v/>
      </c>
      <c r="BI104" s="75">
        <f>$C104*INDEX(Curves!$BC$8:$BC$68,BI$4-$B104+1)</f>
        <v/>
      </c>
      <c r="BJ104" s="75">
        <f>$C104*INDEX(Curves!$BC$8:$BC$68,BJ$4-$B104+1)</f>
        <v/>
      </c>
      <c r="BK104" s="75">
        <f>$C104*INDEX(Curves!$BC$8:$BC$68,BK$4-$B104+1)</f>
        <v/>
      </c>
      <c r="BL104" s="75">
        <f>$C104*INDEX(Curves!$BC$8:$BC$68,BL$4-$B104+1)</f>
        <v/>
      </c>
    </row>
    <row r="105">
      <c r="A105" s="74" t="inlineStr">
        <is>
          <t>Cohort month 33</t>
        </is>
      </c>
      <c r="B105" s="74" t="n">
        <v>33</v>
      </c>
      <c r="C105" s="17">
        <f>INDEX(Ops!$E$109:$BL$109,1,$B105)</f>
        <v/>
      </c>
      <c r="AL105" s="75">
        <f>$C105*INDEX(Curves!$BC$8:$BC$68,AL$4-$B105+1)</f>
        <v/>
      </c>
      <c r="AM105" s="75">
        <f>$C105*INDEX(Curves!$BC$8:$BC$68,AM$4-$B105+1)</f>
        <v/>
      </c>
      <c r="AN105" s="75">
        <f>$C105*INDEX(Curves!$BC$8:$BC$68,AN$4-$B105+1)</f>
        <v/>
      </c>
      <c r="AO105" s="75">
        <f>$C105*INDEX(Curves!$BC$8:$BC$68,AO$4-$B105+1)</f>
        <v/>
      </c>
      <c r="AP105" s="75">
        <f>$C105*INDEX(Curves!$BC$8:$BC$68,AP$4-$B105+1)</f>
        <v/>
      </c>
      <c r="AQ105" s="75">
        <f>$C105*INDEX(Curves!$BC$8:$BC$68,AQ$4-$B105+1)</f>
        <v/>
      </c>
      <c r="AR105" s="75">
        <f>$C105*INDEX(Curves!$BC$8:$BC$68,AR$4-$B105+1)</f>
        <v/>
      </c>
      <c r="AS105" s="75">
        <f>$C105*INDEX(Curves!$BC$8:$BC$68,AS$4-$B105+1)</f>
        <v/>
      </c>
      <c r="AT105" s="75">
        <f>$C105*INDEX(Curves!$BC$8:$BC$68,AT$4-$B105+1)</f>
        <v/>
      </c>
      <c r="AU105" s="75">
        <f>$C105*INDEX(Curves!$BC$8:$BC$68,AU$4-$B105+1)</f>
        <v/>
      </c>
      <c r="AV105" s="75">
        <f>$C105*INDEX(Curves!$BC$8:$BC$68,AV$4-$B105+1)</f>
        <v/>
      </c>
      <c r="AW105" s="75">
        <f>$C105*INDEX(Curves!$BC$8:$BC$68,AW$4-$B105+1)</f>
        <v/>
      </c>
      <c r="AX105" s="75">
        <f>$C105*INDEX(Curves!$BC$8:$BC$68,AX$4-$B105+1)</f>
        <v/>
      </c>
      <c r="AY105" s="75">
        <f>$C105*INDEX(Curves!$BC$8:$BC$68,AY$4-$B105+1)</f>
        <v/>
      </c>
      <c r="AZ105" s="75">
        <f>$C105*INDEX(Curves!$BC$8:$BC$68,AZ$4-$B105+1)</f>
        <v/>
      </c>
      <c r="BA105" s="75">
        <f>$C105*INDEX(Curves!$BC$8:$BC$68,BA$4-$B105+1)</f>
        <v/>
      </c>
      <c r="BB105" s="75">
        <f>$C105*INDEX(Curves!$BC$8:$BC$68,BB$4-$B105+1)</f>
        <v/>
      </c>
      <c r="BC105" s="75">
        <f>$C105*INDEX(Curves!$BC$8:$BC$68,BC$4-$B105+1)</f>
        <v/>
      </c>
      <c r="BD105" s="75">
        <f>$C105*INDEX(Curves!$BC$8:$BC$68,BD$4-$B105+1)</f>
        <v/>
      </c>
      <c r="BE105" s="75">
        <f>$C105*INDEX(Curves!$BC$8:$BC$68,BE$4-$B105+1)</f>
        <v/>
      </c>
      <c r="BF105" s="75">
        <f>$C105*INDEX(Curves!$BC$8:$BC$68,BF$4-$B105+1)</f>
        <v/>
      </c>
      <c r="BG105" s="75">
        <f>$C105*INDEX(Curves!$BC$8:$BC$68,BG$4-$B105+1)</f>
        <v/>
      </c>
      <c r="BH105" s="75">
        <f>$C105*INDEX(Curves!$BC$8:$BC$68,BH$4-$B105+1)</f>
        <v/>
      </c>
      <c r="BI105" s="75">
        <f>$C105*INDEX(Curves!$BC$8:$BC$68,BI$4-$B105+1)</f>
        <v/>
      </c>
      <c r="BJ105" s="75">
        <f>$C105*INDEX(Curves!$BC$8:$BC$68,BJ$4-$B105+1)</f>
        <v/>
      </c>
      <c r="BK105" s="75">
        <f>$C105*INDEX(Curves!$BC$8:$BC$68,BK$4-$B105+1)</f>
        <v/>
      </c>
      <c r="BL105" s="75">
        <f>$C105*INDEX(Curves!$BC$8:$BC$68,BL$4-$B105+1)</f>
        <v/>
      </c>
    </row>
    <row r="106">
      <c r="A106" s="74" t="inlineStr">
        <is>
          <t>Cohort month 34</t>
        </is>
      </c>
      <c r="B106" s="74" t="n">
        <v>34</v>
      </c>
      <c r="C106" s="17">
        <f>INDEX(Ops!$E$109:$BL$109,1,$B106)</f>
        <v/>
      </c>
      <c r="AM106" s="75">
        <f>$C106*INDEX(Curves!$BC$8:$BC$68,AM$4-$B106+1)</f>
        <v/>
      </c>
      <c r="AN106" s="75">
        <f>$C106*INDEX(Curves!$BC$8:$BC$68,AN$4-$B106+1)</f>
        <v/>
      </c>
      <c r="AO106" s="75">
        <f>$C106*INDEX(Curves!$BC$8:$BC$68,AO$4-$B106+1)</f>
        <v/>
      </c>
      <c r="AP106" s="75">
        <f>$C106*INDEX(Curves!$BC$8:$BC$68,AP$4-$B106+1)</f>
        <v/>
      </c>
      <c r="AQ106" s="75">
        <f>$C106*INDEX(Curves!$BC$8:$BC$68,AQ$4-$B106+1)</f>
        <v/>
      </c>
      <c r="AR106" s="75">
        <f>$C106*INDEX(Curves!$BC$8:$BC$68,AR$4-$B106+1)</f>
        <v/>
      </c>
      <c r="AS106" s="75">
        <f>$C106*INDEX(Curves!$BC$8:$BC$68,AS$4-$B106+1)</f>
        <v/>
      </c>
      <c r="AT106" s="75">
        <f>$C106*INDEX(Curves!$BC$8:$BC$68,AT$4-$B106+1)</f>
        <v/>
      </c>
      <c r="AU106" s="75">
        <f>$C106*INDEX(Curves!$BC$8:$BC$68,AU$4-$B106+1)</f>
        <v/>
      </c>
      <c r="AV106" s="75">
        <f>$C106*INDEX(Curves!$BC$8:$BC$68,AV$4-$B106+1)</f>
        <v/>
      </c>
      <c r="AW106" s="75">
        <f>$C106*INDEX(Curves!$BC$8:$BC$68,AW$4-$B106+1)</f>
        <v/>
      </c>
      <c r="AX106" s="75">
        <f>$C106*INDEX(Curves!$BC$8:$BC$68,AX$4-$B106+1)</f>
        <v/>
      </c>
      <c r="AY106" s="75">
        <f>$C106*INDEX(Curves!$BC$8:$BC$68,AY$4-$B106+1)</f>
        <v/>
      </c>
      <c r="AZ106" s="75">
        <f>$C106*INDEX(Curves!$BC$8:$BC$68,AZ$4-$B106+1)</f>
        <v/>
      </c>
      <c r="BA106" s="75">
        <f>$C106*INDEX(Curves!$BC$8:$BC$68,BA$4-$B106+1)</f>
        <v/>
      </c>
      <c r="BB106" s="75">
        <f>$C106*INDEX(Curves!$BC$8:$BC$68,BB$4-$B106+1)</f>
        <v/>
      </c>
      <c r="BC106" s="75">
        <f>$C106*INDEX(Curves!$BC$8:$BC$68,BC$4-$B106+1)</f>
        <v/>
      </c>
      <c r="BD106" s="75">
        <f>$C106*INDEX(Curves!$BC$8:$BC$68,BD$4-$B106+1)</f>
        <v/>
      </c>
      <c r="BE106" s="75">
        <f>$C106*INDEX(Curves!$BC$8:$BC$68,BE$4-$B106+1)</f>
        <v/>
      </c>
      <c r="BF106" s="75">
        <f>$C106*INDEX(Curves!$BC$8:$BC$68,BF$4-$B106+1)</f>
        <v/>
      </c>
      <c r="BG106" s="75">
        <f>$C106*INDEX(Curves!$BC$8:$BC$68,BG$4-$B106+1)</f>
        <v/>
      </c>
      <c r="BH106" s="75">
        <f>$C106*INDEX(Curves!$BC$8:$BC$68,BH$4-$B106+1)</f>
        <v/>
      </c>
      <c r="BI106" s="75">
        <f>$C106*INDEX(Curves!$BC$8:$BC$68,BI$4-$B106+1)</f>
        <v/>
      </c>
      <c r="BJ106" s="75">
        <f>$C106*INDEX(Curves!$BC$8:$BC$68,BJ$4-$B106+1)</f>
        <v/>
      </c>
      <c r="BK106" s="75">
        <f>$C106*INDEX(Curves!$BC$8:$BC$68,BK$4-$B106+1)</f>
        <v/>
      </c>
      <c r="BL106" s="75">
        <f>$C106*INDEX(Curves!$BC$8:$BC$68,BL$4-$B106+1)</f>
        <v/>
      </c>
    </row>
    <row r="107">
      <c r="A107" s="74" t="inlineStr">
        <is>
          <t>Cohort month 35</t>
        </is>
      </c>
      <c r="B107" s="74" t="n">
        <v>35</v>
      </c>
      <c r="C107" s="17">
        <f>INDEX(Ops!$E$109:$BL$109,1,$B107)</f>
        <v/>
      </c>
      <c r="AN107" s="75">
        <f>$C107*INDEX(Curves!$BC$8:$BC$68,AN$4-$B107+1)</f>
        <v/>
      </c>
      <c r="AO107" s="75">
        <f>$C107*INDEX(Curves!$BC$8:$BC$68,AO$4-$B107+1)</f>
        <v/>
      </c>
      <c r="AP107" s="75">
        <f>$C107*INDEX(Curves!$BC$8:$BC$68,AP$4-$B107+1)</f>
        <v/>
      </c>
      <c r="AQ107" s="75">
        <f>$C107*INDEX(Curves!$BC$8:$BC$68,AQ$4-$B107+1)</f>
        <v/>
      </c>
      <c r="AR107" s="75">
        <f>$C107*INDEX(Curves!$BC$8:$BC$68,AR$4-$B107+1)</f>
        <v/>
      </c>
      <c r="AS107" s="75">
        <f>$C107*INDEX(Curves!$BC$8:$BC$68,AS$4-$B107+1)</f>
        <v/>
      </c>
      <c r="AT107" s="75">
        <f>$C107*INDEX(Curves!$BC$8:$BC$68,AT$4-$B107+1)</f>
        <v/>
      </c>
      <c r="AU107" s="75">
        <f>$C107*INDEX(Curves!$BC$8:$BC$68,AU$4-$B107+1)</f>
        <v/>
      </c>
      <c r="AV107" s="75">
        <f>$C107*INDEX(Curves!$BC$8:$BC$68,AV$4-$B107+1)</f>
        <v/>
      </c>
      <c r="AW107" s="75">
        <f>$C107*INDEX(Curves!$BC$8:$BC$68,AW$4-$B107+1)</f>
        <v/>
      </c>
      <c r="AX107" s="75">
        <f>$C107*INDEX(Curves!$BC$8:$BC$68,AX$4-$B107+1)</f>
        <v/>
      </c>
      <c r="AY107" s="75">
        <f>$C107*INDEX(Curves!$BC$8:$BC$68,AY$4-$B107+1)</f>
        <v/>
      </c>
      <c r="AZ107" s="75">
        <f>$C107*INDEX(Curves!$BC$8:$BC$68,AZ$4-$B107+1)</f>
        <v/>
      </c>
      <c r="BA107" s="75">
        <f>$C107*INDEX(Curves!$BC$8:$BC$68,BA$4-$B107+1)</f>
        <v/>
      </c>
      <c r="BB107" s="75">
        <f>$C107*INDEX(Curves!$BC$8:$BC$68,BB$4-$B107+1)</f>
        <v/>
      </c>
      <c r="BC107" s="75">
        <f>$C107*INDEX(Curves!$BC$8:$BC$68,BC$4-$B107+1)</f>
        <v/>
      </c>
      <c r="BD107" s="75">
        <f>$C107*INDEX(Curves!$BC$8:$BC$68,BD$4-$B107+1)</f>
        <v/>
      </c>
      <c r="BE107" s="75">
        <f>$C107*INDEX(Curves!$BC$8:$BC$68,BE$4-$B107+1)</f>
        <v/>
      </c>
      <c r="BF107" s="75">
        <f>$C107*INDEX(Curves!$BC$8:$BC$68,BF$4-$B107+1)</f>
        <v/>
      </c>
      <c r="BG107" s="75">
        <f>$C107*INDEX(Curves!$BC$8:$BC$68,BG$4-$B107+1)</f>
        <v/>
      </c>
      <c r="BH107" s="75">
        <f>$C107*INDEX(Curves!$BC$8:$BC$68,BH$4-$B107+1)</f>
        <v/>
      </c>
      <c r="BI107" s="75">
        <f>$C107*INDEX(Curves!$BC$8:$BC$68,BI$4-$B107+1)</f>
        <v/>
      </c>
      <c r="BJ107" s="75">
        <f>$C107*INDEX(Curves!$BC$8:$BC$68,BJ$4-$B107+1)</f>
        <v/>
      </c>
      <c r="BK107" s="75">
        <f>$C107*INDEX(Curves!$BC$8:$BC$68,BK$4-$B107+1)</f>
        <v/>
      </c>
      <c r="BL107" s="75">
        <f>$C107*INDEX(Curves!$BC$8:$BC$68,BL$4-$B107+1)</f>
        <v/>
      </c>
    </row>
    <row r="108">
      <c r="A108" s="74" t="inlineStr">
        <is>
          <t>Cohort month 36</t>
        </is>
      </c>
      <c r="B108" s="74" t="n">
        <v>36</v>
      </c>
      <c r="C108" s="17">
        <f>INDEX(Ops!$E$109:$BL$109,1,$B108)</f>
        <v/>
      </c>
      <c r="AO108" s="75">
        <f>$C108*INDEX(Curves!$BC$8:$BC$68,AO$4-$B108+1)</f>
        <v/>
      </c>
      <c r="AP108" s="75">
        <f>$C108*INDEX(Curves!$BC$8:$BC$68,AP$4-$B108+1)</f>
        <v/>
      </c>
      <c r="AQ108" s="75">
        <f>$C108*INDEX(Curves!$BC$8:$BC$68,AQ$4-$B108+1)</f>
        <v/>
      </c>
      <c r="AR108" s="75">
        <f>$C108*INDEX(Curves!$BC$8:$BC$68,AR$4-$B108+1)</f>
        <v/>
      </c>
      <c r="AS108" s="75">
        <f>$C108*INDEX(Curves!$BC$8:$BC$68,AS$4-$B108+1)</f>
        <v/>
      </c>
      <c r="AT108" s="75">
        <f>$C108*INDEX(Curves!$BC$8:$BC$68,AT$4-$B108+1)</f>
        <v/>
      </c>
      <c r="AU108" s="75">
        <f>$C108*INDEX(Curves!$BC$8:$BC$68,AU$4-$B108+1)</f>
        <v/>
      </c>
      <c r="AV108" s="75">
        <f>$C108*INDEX(Curves!$BC$8:$BC$68,AV$4-$B108+1)</f>
        <v/>
      </c>
      <c r="AW108" s="75">
        <f>$C108*INDEX(Curves!$BC$8:$BC$68,AW$4-$B108+1)</f>
        <v/>
      </c>
      <c r="AX108" s="75">
        <f>$C108*INDEX(Curves!$BC$8:$BC$68,AX$4-$B108+1)</f>
        <v/>
      </c>
      <c r="AY108" s="75">
        <f>$C108*INDEX(Curves!$BC$8:$BC$68,AY$4-$B108+1)</f>
        <v/>
      </c>
      <c r="AZ108" s="75">
        <f>$C108*INDEX(Curves!$BC$8:$BC$68,AZ$4-$B108+1)</f>
        <v/>
      </c>
      <c r="BA108" s="75">
        <f>$C108*INDEX(Curves!$BC$8:$BC$68,BA$4-$B108+1)</f>
        <v/>
      </c>
      <c r="BB108" s="75">
        <f>$C108*INDEX(Curves!$BC$8:$BC$68,BB$4-$B108+1)</f>
        <v/>
      </c>
      <c r="BC108" s="75">
        <f>$C108*INDEX(Curves!$BC$8:$BC$68,BC$4-$B108+1)</f>
        <v/>
      </c>
      <c r="BD108" s="75">
        <f>$C108*INDEX(Curves!$BC$8:$BC$68,BD$4-$B108+1)</f>
        <v/>
      </c>
      <c r="BE108" s="75">
        <f>$C108*INDEX(Curves!$BC$8:$BC$68,BE$4-$B108+1)</f>
        <v/>
      </c>
      <c r="BF108" s="75">
        <f>$C108*INDEX(Curves!$BC$8:$BC$68,BF$4-$B108+1)</f>
        <v/>
      </c>
      <c r="BG108" s="75">
        <f>$C108*INDEX(Curves!$BC$8:$BC$68,BG$4-$B108+1)</f>
        <v/>
      </c>
      <c r="BH108" s="75">
        <f>$C108*INDEX(Curves!$BC$8:$BC$68,BH$4-$B108+1)</f>
        <v/>
      </c>
      <c r="BI108" s="75">
        <f>$C108*INDEX(Curves!$BC$8:$BC$68,BI$4-$B108+1)</f>
        <v/>
      </c>
      <c r="BJ108" s="75">
        <f>$C108*INDEX(Curves!$BC$8:$BC$68,BJ$4-$B108+1)</f>
        <v/>
      </c>
      <c r="BK108" s="75">
        <f>$C108*INDEX(Curves!$BC$8:$BC$68,BK$4-$B108+1)</f>
        <v/>
      </c>
      <c r="BL108" s="75">
        <f>$C108*INDEX(Curves!$BC$8:$BC$68,BL$4-$B108+1)</f>
        <v/>
      </c>
    </row>
    <row r="109">
      <c r="A109" s="74" t="inlineStr">
        <is>
          <t>Cohort month 37</t>
        </is>
      </c>
      <c r="B109" s="74" t="n">
        <v>37</v>
      </c>
      <c r="C109" s="17">
        <f>INDEX(Ops!$E$109:$BL$109,1,$B109)</f>
        <v/>
      </c>
      <c r="AP109" s="75">
        <f>$C109*INDEX(Curves!$BC$8:$BC$68,AP$4-$B109+1)</f>
        <v/>
      </c>
      <c r="AQ109" s="75">
        <f>$C109*INDEX(Curves!$BC$8:$BC$68,AQ$4-$B109+1)</f>
        <v/>
      </c>
      <c r="AR109" s="75">
        <f>$C109*INDEX(Curves!$BC$8:$BC$68,AR$4-$B109+1)</f>
        <v/>
      </c>
      <c r="AS109" s="75">
        <f>$C109*INDEX(Curves!$BC$8:$BC$68,AS$4-$B109+1)</f>
        <v/>
      </c>
      <c r="AT109" s="75">
        <f>$C109*INDEX(Curves!$BC$8:$BC$68,AT$4-$B109+1)</f>
        <v/>
      </c>
      <c r="AU109" s="75">
        <f>$C109*INDEX(Curves!$BC$8:$BC$68,AU$4-$B109+1)</f>
        <v/>
      </c>
      <c r="AV109" s="75">
        <f>$C109*INDEX(Curves!$BC$8:$BC$68,AV$4-$B109+1)</f>
        <v/>
      </c>
      <c r="AW109" s="75">
        <f>$C109*INDEX(Curves!$BC$8:$BC$68,AW$4-$B109+1)</f>
        <v/>
      </c>
      <c r="AX109" s="75">
        <f>$C109*INDEX(Curves!$BC$8:$BC$68,AX$4-$B109+1)</f>
        <v/>
      </c>
      <c r="AY109" s="75">
        <f>$C109*INDEX(Curves!$BC$8:$BC$68,AY$4-$B109+1)</f>
        <v/>
      </c>
      <c r="AZ109" s="75">
        <f>$C109*INDEX(Curves!$BC$8:$BC$68,AZ$4-$B109+1)</f>
        <v/>
      </c>
      <c r="BA109" s="75">
        <f>$C109*INDEX(Curves!$BC$8:$BC$68,BA$4-$B109+1)</f>
        <v/>
      </c>
      <c r="BB109" s="75">
        <f>$C109*INDEX(Curves!$BC$8:$BC$68,BB$4-$B109+1)</f>
        <v/>
      </c>
      <c r="BC109" s="75">
        <f>$C109*INDEX(Curves!$BC$8:$BC$68,BC$4-$B109+1)</f>
        <v/>
      </c>
      <c r="BD109" s="75">
        <f>$C109*INDEX(Curves!$BC$8:$BC$68,BD$4-$B109+1)</f>
        <v/>
      </c>
      <c r="BE109" s="75">
        <f>$C109*INDEX(Curves!$BC$8:$BC$68,BE$4-$B109+1)</f>
        <v/>
      </c>
      <c r="BF109" s="75">
        <f>$C109*INDEX(Curves!$BC$8:$BC$68,BF$4-$B109+1)</f>
        <v/>
      </c>
      <c r="BG109" s="75">
        <f>$C109*INDEX(Curves!$BC$8:$BC$68,BG$4-$B109+1)</f>
        <v/>
      </c>
      <c r="BH109" s="75">
        <f>$C109*INDEX(Curves!$BC$8:$BC$68,BH$4-$B109+1)</f>
        <v/>
      </c>
      <c r="BI109" s="75">
        <f>$C109*INDEX(Curves!$BC$8:$BC$68,BI$4-$B109+1)</f>
        <v/>
      </c>
      <c r="BJ109" s="75">
        <f>$C109*INDEX(Curves!$BC$8:$BC$68,BJ$4-$B109+1)</f>
        <v/>
      </c>
      <c r="BK109" s="75">
        <f>$C109*INDEX(Curves!$BC$8:$BC$68,BK$4-$B109+1)</f>
        <v/>
      </c>
      <c r="BL109" s="75">
        <f>$C109*INDEX(Curves!$BC$8:$BC$68,BL$4-$B109+1)</f>
        <v/>
      </c>
    </row>
    <row r="110">
      <c r="A110" s="74" t="inlineStr">
        <is>
          <t>Cohort month 38</t>
        </is>
      </c>
      <c r="B110" s="74" t="n">
        <v>38</v>
      </c>
      <c r="C110" s="17">
        <f>INDEX(Ops!$E$109:$BL$109,1,$B110)</f>
        <v/>
      </c>
      <c r="AQ110" s="75">
        <f>$C110*INDEX(Curves!$BC$8:$BC$68,AQ$4-$B110+1)</f>
        <v/>
      </c>
      <c r="AR110" s="75">
        <f>$C110*INDEX(Curves!$BC$8:$BC$68,AR$4-$B110+1)</f>
        <v/>
      </c>
      <c r="AS110" s="75">
        <f>$C110*INDEX(Curves!$BC$8:$BC$68,AS$4-$B110+1)</f>
        <v/>
      </c>
      <c r="AT110" s="75">
        <f>$C110*INDEX(Curves!$BC$8:$BC$68,AT$4-$B110+1)</f>
        <v/>
      </c>
      <c r="AU110" s="75">
        <f>$C110*INDEX(Curves!$BC$8:$BC$68,AU$4-$B110+1)</f>
        <v/>
      </c>
      <c r="AV110" s="75">
        <f>$C110*INDEX(Curves!$BC$8:$BC$68,AV$4-$B110+1)</f>
        <v/>
      </c>
      <c r="AW110" s="75">
        <f>$C110*INDEX(Curves!$BC$8:$BC$68,AW$4-$B110+1)</f>
        <v/>
      </c>
      <c r="AX110" s="75">
        <f>$C110*INDEX(Curves!$BC$8:$BC$68,AX$4-$B110+1)</f>
        <v/>
      </c>
      <c r="AY110" s="75">
        <f>$C110*INDEX(Curves!$BC$8:$BC$68,AY$4-$B110+1)</f>
        <v/>
      </c>
      <c r="AZ110" s="75">
        <f>$C110*INDEX(Curves!$BC$8:$BC$68,AZ$4-$B110+1)</f>
        <v/>
      </c>
      <c r="BA110" s="75">
        <f>$C110*INDEX(Curves!$BC$8:$BC$68,BA$4-$B110+1)</f>
        <v/>
      </c>
      <c r="BB110" s="75">
        <f>$C110*INDEX(Curves!$BC$8:$BC$68,BB$4-$B110+1)</f>
        <v/>
      </c>
      <c r="BC110" s="75">
        <f>$C110*INDEX(Curves!$BC$8:$BC$68,BC$4-$B110+1)</f>
        <v/>
      </c>
      <c r="BD110" s="75">
        <f>$C110*INDEX(Curves!$BC$8:$BC$68,BD$4-$B110+1)</f>
        <v/>
      </c>
      <c r="BE110" s="75">
        <f>$C110*INDEX(Curves!$BC$8:$BC$68,BE$4-$B110+1)</f>
        <v/>
      </c>
      <c r="BF110" s="75">
        <f>$C110*INDEX(Curves!$BC$8:$BC$68,BF$4-$B110+1)</f>
        <v/>
      </c>
      <c r="BG110" s="75">
        <f>$C110*INDEX(Curves!$BC$8:$BC$68,BG$4-$B110+1)</f>
        <v/>
      </c>
      <c r="BH110" s="75">
        <f>$C110*INDEX(Curves!$BC$8:$BC$68,BH$4-$B110+1)</f>
        <v/>
      </c>
      <c r="BI110" s="75">
        <f>$C110*INDEX(Curves!$BC$8:$BC$68,BI$4-$B110+1)</f>
        <v/>
      </c>
      <c r="BJ110" s="75">
        <f>$C110*INDEX(Curves!$BC$8:$BC$68,BJ$4-$B110+1)</f>
        <v/>
      </c>
      <c r="BK110" s="75">
        <f>$C110*INDEX(Curves!$BC$8:$BC$68,BK$4-$B110+1)</f>
        <v/>
      </c>
      <c r="BL110" s="75">
        <f>$C110*INDEX(Curves!$BC$8:$BC$68,BL$4-$B110+1)</f>
        <v/>
      </c>
    </row>
    <row r="111">
      <c r="A111" s="74" t="inlineStr">
        <is>
          <t>Cohort month 39</t>
        </is>
      </c>
      <c r="B111" s="74" t="n">
        <v>39</v>
      </c>
      <c r="C111" s="17">
        <f>INDEX(Ops!$E$109:$BL$109,1,$B111)</f>
        <v/>
      </c>
      <c r="AR111" s="75">
        <f>$C111*INDEX(Curves!$BC$8:$BC$68,AR$4-$B111+1)</f>
        <v/>
      </c>
      <c r="AS111" s="75">
        <f>$C111*INDEX(Curves!$BC$8:$BC$68,AS$4-$B111+1)</f>
        <v/>
      </c>
      <c r="AT111" s="75">
        <f>$C111*INDEX(Curves!$BC$8:$BC$68,AT$4-$B111+1)</f>
        <v/>
      </c>
      <c r="AU111" s="75">
        <f>$C111*INDEX(Curves!$BC$8:$BC$68,AU$4-$B111+1)</f>
        <v/>
      </c>
      <c r="AV111" s="75">
        <f>$C111*INDEX(Curves!$BC$8:$BC$68,AV$4-$B111+1)</f>
        <v/>
      </c>
      <c r="AW111" s="75">
        <f>$C111*INDEX(Curves!$BC$8:$BC$68,AW$4-$B111+1)</f>
        <v/>
      </c>
      <c r="AX111" s="75">
        <f>$C111*INDEX(Curves!$BC$8:$BC$68,AX$4-$B111+1)</f>
        <v/>
      </c>
      <c r="AY111" s="75">
        <f>$C111*INDEX(Curves!$BC$8:$BC$68,AY$4-$B111+1)</f>
        <v/>
      </c>
      <c r="AZ111" s="75">
        <f>$C111*INDEX(Curves!$BC$8:$BC$68,AZ$4-$B111+1)</f>
        <v/>
      </c>
      <c r="BA111" s="75">
        <f>$C111*INDEX(Curves!$BC$8:$BC$68,BA$4-$B111+1)</f>
        <v/>
      </c>
      <c r="BB111" s="75">
        <f>$C111*INDEX(Curves!$BC$8:$BC$68,BB$4-$B111+1)</f>
        <v/>
      </c>
      <c r="BC111" s="75">
        <f>$C111*INDEX(Curves!$BC$8:$BC$68,BC$4-$B111+1)</f>
        <v/>
      </c>
      <c r="BD111" s="75">
        <f>$C111*INDEX(Curves!$BC$8:$BC$68,BD$4-$B111+1)</f>
        <v/>
      </c>
      <c r="BE111" s="75">
        <f>$C111*INDEX(Curves!$BC$8:$BC$68,BE$4-$B111+1)</f>
        <v/>
      </c>
      <c r="BF111" s="75">
        <f>$C111*INDEX(Curves!$BC$8:$BC$68,BF$4-$B111+1)</f>
        <v/>
      </c>
      <c r="BG111" s="75">
        <f>$C111*INDEX(Curves!$BC$8:$BC$68,BG$4-$B111+1)</f>
        <v/>
      </c>
      <c r="BH111" s="75">
        <f>$C111*INDEX(Curves!$BC$8:$BC$68,BH$4-$B111+1)</f>
        <v/>
      </c>
      <c r="BI111" s="75">
        <f>$C111*INDEX(Curves!$BC$8:$BC$68,BI$4-$B111+1)</f>
        <v/>
      </c>
      <c r="BJ111" s="75">
        <f>$C111*INDEX(Curves!$BC$8:$BC$68,BJ$4-$B111+1)</f>
        <v/>
      </c>
      <c r="BK111" s="75">
        <f>$C111*INDEX(Curves!$BC$8:$BC$68,BK$4-$B111+1)</f>
        <v/>
      </c>
      <c r="BL111" s="75">
        <f>$C111*INDEX(Curves!$BC$8:$BC$68,BL$4-$B111+1)</f>
        <v/>
      </c>
    </row>
    <row r="112">
      <c r="A112" s="74" t="inlineStr">
        <is>
          <t>Cohort month 40</t>
        </is>
      </c>
      <c r="B112" s="74" t="n">
        <v>40</v>
      </c>
      <c r="C112" s="17">
        <f>INDEX(Ops!$E$109:$BL$109,1,$B112)</f>
        <v/>
      </c>
      <c r="AS112" s="75">
        <f>$C112*INDEX(Curves!$BC$8:$BC$68,AS$4-$B112+1)</f>
        <v/>
      </c>
      <c r="AT112" s="75">
        <f>$C112*INDEX(Curves!$BC$8:$BC$68,AT$4-$B112+1)</f>
        <v/>
      </c>
      <c r="AU112" s="75">
        <f>$C112*INDEX(Curves!$BC$8:$BC$68,AU$4-$B112+1)</f>
        <v/>
      </c>
      <c r="AV112" s="75">
        <f>$C112*INDEX(Curves!$BC$8:$BC$68,AV$4-$B112+1)</f>
        <v/>
      </c>
      <c r="AW112" s="75">
        <f>$C112*INDEX(Curves!$BC$8:$BC$68,AW$4-$B112+1)</f>
        <v/>
      </c>
      <c r="AX112" s="75">
        <f>$C112*INDEX(Curves!$BC$8:$BC$68,AX$4-$B112+1)</f>
        <v/>
      </c>
      <c r="AY112" s="75">
        <f>$C112*INDEX(Curves!$BC$8:$BC$68,AY$4-$B112+1)</f>
        <v/>
      </c>
      <c r="AZ112" s="75">
        <f>$C112*INDEX(Curves!$BC$8:$BC$68,AZ$4-$B112+1)</f>
        <v/>
      </c>
      <c r="BA112" s="75">
        <f>$C112*INDEX(Curves!$BC$8:$BC$68,BA$4-$B112+1)</f>
        <v/>
      </c>
      <c r="BB112" s="75">
        <f>$C112*INDEX(Curves!$BC$8:$BC$68,BB$4-$B112+1)</f>
        <v/>
      </c>
      <c r="BC112" s="75">
        <f>$C112*INDEX(Curves!$BC$8:$BC$68,BC$4-$B112+1)</f>
        <v/>
      </c>
      <c r="BD112" s="75">
        <f>$C112*INDEX(Curves!$BC$8:$BC$68,BD$4-$B112+1)</f>
        <v/>
      </c>
      <c r="BE112" s="75">
        <f>$C112*INDEX(Curves!$BC$8:$BC$68,BE$4-$B112+1)</f>
        <v/>
      </c>
      <c r="BF112" s="75">
        <f>$C112*INDEX(Curves!$BC$8:$BC$68,BF$4-$B112+1)</f>
        <v/>
      </c>
      <c r="BG112" s="75">
        <f>$C112*INDEX(Curves!$BC$8:$BC$68,BG$4-$B112+1)</f>
        <v/>
      </c>
      <c r="BH112" s="75">
        <f>$C112*INDEX(Curves!$BC$8:$BC$68,BH$4-$B112+1)</f>
        <v/>
      </c>
      <c r="BI112" s="75">
        <f>$C112*INDEX(Curves!$BC$8:$BC$68,BI$4-$B112+1)</f>
        <v/>
      </c>
      <c r="BJ112" s="75">
        <f>$C112*INDEX(Curves!$BC$8:$BC$68,BJ$4-$B112+1)</f>
        <v/>
      </c>
      <c r="BK112" s="75">
        <f>$C112*INDEX(Curves!$BC$8:$BC$68,BK$4-$B112+1)</f>
        <v/>
      </c>
      <c r="BL112" s="75">
        <f>$C112*INDEX(Curves!$BC$8:$BC$68,BL$4-$B112+1)</f>
        <v/>
      </c>
    </row>
    <row r="113">
      <c r="A113" s="74" t="inlineStr">
        <is>
          <t>Cohort month 41</t>
        </is>
      </c>
      <c r="B113" s="74" t="n">
        <v>41</v>
      </c>
      <c r="C113" s="17">
        <f>INDEX(Ops!$E$109:$BL$109,1,$B113)</f>
        <v/>
      </c>
      <c r="AT113" s="75">
        <f>$C113*INDEX(Curves!$BC$8:$BC$68,AT$4-$B113+1)</f>
        <v/>
      </c>
      <c r="AU113" s="75">
        <f>$C113*INDEX(Curves!$BC$8:$BC$68,AU$4-$B113+1)</f>
        <v/>
      </c>
      <c r="AV113" s="75">
        <f>$C113*INDEX(Curves!$BC$8:$BC$68,AV$4-$B113+1)</f>
        <v/>
      </c>
      <c r="AW113" s="75">
        <f>$C113*INDEX(Curves!$BC$8:$BC$68,AW$4-$B113+1)</f>
        <v/>
      </c>
      <c r="AX113" s="75">
        <f>$C113*INDEX(Curves!$BC$8:$BC$68,AX$4-$B113+1)</f>
        <v/>
      </c>
      <c r="AY113" s="75">
        <f>$C113*INDEX(Curves!$BC$8:$BC$68,AY$4-$B113+1)</f>
        <v/>
      </c>
      <c r="AZ113" s="75">
        <f>$C113*INDEX(Curves!$BC$8:$BC$68,AZ$4-$B113+1)</f>
        <v/>
      </c>
      <c r="BA113" s="75">
        <f>$C113*INDEX(Curves!$BC$8:$BC$68,BA$4-$B113+1)</f>
        <v/>
      </c>
      <c r="BB113" s="75">
        <f>$C113*INDEX(Curves!$BC$8:$BC$68,BB$4-$B113+1)</f>
        <v/>
      </c>
      <c r="BC113" s="75">
        <f>$C113*INDEX(Curves!$BC$8:$BC$68,BC$4-$B113+1)</f>
        <v/>
      </c>
      <c r="BD113" s="75">
        <f>$C113*INDEX(Curves!$BC$8:$BC$68,BD$4-$B113+1)</f>
        <v/>
      </c>
      <c r="BE113" s="75">
        <f>$C113*INDEX(Curves!$BC$8:$BC$68,BE$4-$B113+1)</f>
        <v/>
      </c>
      <c r="BF113" s="75">
        <f>$C113*INDEX(Curves!$BC$8:$BC$68,BF$4-$B113+1)</f>
        <v/>
      </c>
      <c r="BG113" s="75">
        <f>$C113*INDEX(Curves!$BC$8:$BC$68,BG$4-$B113+1)</f>
        <v/>
      </c>
      <c r="BH113" s="75">
        <f>$C113*INDEX(Curves!$BC$8:$BC$68,BH$4-$B113+1)</f>
        <v/>
      </c>
      <c r="BI113" s="75">
        <f>$C113*INDEX(Curves!$BC$8:$BC$68,BI$4-$B113+1)</f>
        <v/>
      </c>
      <c r="BJ113" s="75">
        <f>$C113*INDEX(Curves!$BC$8:$BC$68,BJ$4-$B113+1)</f>
        <v/>
      </c>
      <c r="BK113" s="75">
        <f>$C113*INDEX(Curves!$BC$8:$BC$68,BK$4-$B113+1)</f>
        <v/>
      </c>
      <c r="BL113" s="75">
        <f>$C113*INDEX(Curves!$BC$8:$BC$68,BL$4-$B113+1)</f>
        <v/>
      </c>
    </row>
    <row r="114">
      <c r="A114" s="74" t="inlineStr">
        <is>
          <t>Cohort month 42</t>
        </is>
      </c>
      <c r="B114" s="74" t="n">
        <v>42</v>
      </c>
      <c r="C114" s="17">
        <f>INDEX(Ops!$E$109:$BL$109,1,$B114)</f>
        <v/>
      </c>
      <c r="AU114" s="75">
        <f>$C114*INDEX(Curves!$BC$8:$BC$68,AU$4-$B114+1)</f>
        <v/>
      </c>
      <c r="AV114" s="75">
        <f>$C114*INDEX(Curves!$BC$8:$BC$68,AV$4-$B114+1)</f>
        <v/>
      </c>
      <c r="AW114" s="75">
        <f>$C114*INDEX(Curves!$BC$8:$BC$68,AW$4-$B114+1)</f>
        <v/>
      </c>
      <c r="AX114" s="75">
        <f>$C114*INDEX(Curves!$BC$8:$BC$68,AX$4-$B114+1)</f>
        <v/>
      </c>
      <c r="AY114" s="75">
        <f>$C114*INDEX(Curves!$BC$8:$BC$68,AY$4-$B114+1)</f>
        <v/>
      </c>
      <c r="AZ114" s="75">
        <f>$C114*INDEX(Curves!$BC$8:$BC$68,AZ$4-$B114+1)</f>
        <v/>
      </c>
      <c r="BA114" s="75">
        <f>$C114*INDEX(Curves!$BC$8:$BC$68,BA$4-$B114+1)</f>
        <v/>
      </c>
      <c r="BB114" s="75">
        <f>$C114*INDEX(Curves!$BC$8:$BC$68,BB$4-$B114+1)</f>
        <v/>
      </c>
      <c r="BC114" s="75">
        <f>$C114*INDEX(Curves!$BC$8:$BC$68,BC$4-$B114+1)</f>
        <v/>
      </c>
      <c r="BD114" s="75">
        <f>$C114*INDEX(Curves!$BC$8:$BC$68,BD$4-$B114+1)</f>
        <v/>
      </c>
      <c r="BE114" s="75">
        <f>$C114*INDEX(Curves!$BC$8:$BC$68,BE$4-$B114+1)</f>
        <v/>
      </c>
      <c r="BF114" s="75">
        <f>$C114*INDEX(Curves!$BC$8:$BC$68,BF$4-$B114+1)</f>
        <v/>
      </c>
      <c r="BG114" s="75">
        <f>$C114*INDEX(Curves!$BC$8:$BC$68,BG$4-$B114+1)</f>
        <v/>
      </c>
      <c r="BH114" s="75">
        <f>$C114*INDEX(Curves!$BC$8:$BC$68,BH$4-$B114+1)</f>
        <v/>
      </c>
      <c r="BI114" s="75">
        <f>$C114*INDEX(Curves!$BC$8:$BC$68,BI$4-$B114+1)</f>
        <v/>
      </c>
      <c r="BJ114" s="75">
        <f>$C114*INDEX(Curves!$BC$8:$BC$68,BJ$4-$B114+1)</f>
        <v/>
      </c>
      <c r="BK114" s="75">
        <f>$C114*INDEX(Curves!$BC$8:$BC$68,BK$4-$B114+1)</f>
        <v/>
      </c>
      <c r="BL114" s="75">
        <f>$C114*INDEX(Curves!$BC$8:$BC$68,BL$4-$B114+1)</f>
        <v/>
      </c>
    </row>
    <row r="115">
      <c r="A115" s="74" t="inlineStr">
        <is>
          <t>Cohort month 43</t>
        </is>
      </c>
      <c r="B115" s="74" t="n">
        <v>43</v>
      </c>
      <c r="C115" s="17">
        <f>INDEX(Ops!$E$109:$BL$109,1,$B115)</f>
        <v/>
      </c>
      <c r="AV115" s="75">
        <f>$C115*INDEX(Curves!$BC$8:$BC$68,AV$4-$B115+1)</f>
        <v/>
      </c>
      <c r="AW115" s="75">
        <f>$C115*INDEX(Curves!$BC$8:$BC$68,AW$4-$B115+1)</f>
        <v/>
      </c>
      <c r="AX115" s="75">
        <f>$C115*INDEX(Curves!$BC$8:$BC$68,AX$4-$B115+1)</f>
        <v/>
      </c>
      <c r="AY115" s="75">
        <f>$C115*INDEX(Curves!$BC$8:$BC$68,AY$4-$B115+1)</f>
        <v/>
      </c>
      <c r="AZ115" s="75">
        <f>$C115*INDEX(Curves!$BC$8:$BC$68,AZ$4-$B115+1)</f>
        <v/>
      </c>
      <c r="BA115" s="75">
        <f>$C115*INDEX(Curves!$BC$8:$BC$68,BA$4-$B115+1)</f>
        <v/>
      </c>
      <c r="BB115" s="75">
        <f>$C115*INDEX(Curves!$BC$8:$BC$68,BB$4-$B115+1)</f>
        <v/>
      </c>
      <c r="BC115" s="75">
        <f>$C115*INDEX(Curves!$BC$8:$BC$68,BC$4-$B115+1)</f>
        <v/>
      </c>
      <c r="BD115" s="75">
        <f>$C115*INDEX(Curves!$BC$8:$BC$68,BD$4-$B115+1)</f>
        <v/>
      </c>
      <c r="BE115" s="75">
        <f>$C115*INDEX(Curves!$BC$8:$BC$68,BE$4-$B115+1)</f>
        <v/>
      </c>
      <c r="BF115" s="75">
        <f>$C115*INDEX(Curves!$BC$8:$BC$68,BF$4-$B115+1)</f>
        <v/>
      </c>
      <c r="BG115" s="75">
        <f>$C115*INDEX(Curves!$BC$8:$BC$68,BG$4-$B115+1)</f>
        <v/>
      </c>
      <c r="BH115" s="75">
        <f>$C115*INDEX(Curves!$BC$8:$BC$68,BH$4-$B115+1)</f>
        <v/>
      </c>
      <c r="BI115" s="75">
        <f>$C115*INDEX(Curves!$BC$8:$BC$68,BI$4-$B115+1)</f>
        <v/>
      </c>
      <c r="BJ115" s="75">
        <f>$C115*INDEX(Curves!$BC$8:$BC$68,BJ$4-$B115+1)</f>
        <v/>
      </c>
      <c r="BK115" s="75">
        <f>$C115*INDEX(Curves!$BC$8:$BC$68,BK$4-$B115+1)</f>
        <v/>
      </c>
      <c r="BL115" s="75">
        <f>$C115*INDEX(Curves!$BC$8:$BC$68,BL$4-$B115+1)</f>
        <v/>
      </c>
    </row>
    <row r="116">
      <c r="A116" s="74" t="inlineStr">
        <is>
          <t>Cohort month 44</t>
        </is>
      </c>
      <c r="B116" s="74" t="n">
        <v>44</v>
      </c>
      <c r="C116" s="17">
        <f>INDEX(Ops!$E$109:$BL$109,1,$B116)</f>
        <v/>
      </c>
      <c r="AW116" s="75">
        <f>$C116*INDEX(Curves!$BC$8:$BC$68,AW$4-$B116+1)</f>
        <v/>
      </c>
      <c r="AX116" s="75">
        <f>$C116*INDEX(Curves!$BC$8:$BC$68,AX$4-$B116+1)</f>
        <v/>
      </c>
      <c r="AY116" s="75">
        <f>$C116*INDEX(Curves!$BC$8:$BC$68,AY$4-$B116+1)</f>
        <v/>
      </c>
      <c r="AZ116" s="75">
        <f>$C116*INDEX(Curves!$BC$8:$BC$68,AZ$4-$B116+1)</f>
        <v/>
      </c>
      <c r="BA116" s="75">
        <f>$C116*INDEX(Curves!$BC$8:$BC$68,BA$4-$B116+1)</f>
        <v/>
      </c>
      <c r="BB116" s="75">
        <f>$C116*INDEX(Curves!$BC$8:$BC$68,BB$4-$B116+1)</f>
        <v/>
      </c>
      <c r="BC116" s="75">
        <f>$C116*INDEX(Curves!$BC$8:$BC$68,BC$4-$B116+1)</f>
        <v/>
      </c>
      <c r="BD116" s="75">
        <f>$C116*INDEX(Curves!$BC$8:$BC$68,BD$4-$B116+1)</f>
        <v/>
      </c>
      <c r="BE116" s="75">
        <f>$C116*INDEX(Curves!$BC$8:$BC$68,BE$4-$B116+1)</f>
        <v/>
      </c>
      <c r="BF116" s="75">
        <f>$C116*INDEX(Curves!$BC$8:$BC$68,BF$4-$B116+1)</f>
        <v/>
      </c>
      <c r="BG116" s="75">
        <f>$C116*INDEX(Curves!$BC$8:$BC$68,BG$4-$B116+1)</f>
        <v/>
      </c>
      <c r="BH116" s="75">
        <f>$C116*INDEX(Curves!$BC$8:$BC$68,BH$4-$B116+1)</f>
        <v/>
      </c>
      <c r="BI116" s="75">
        <f>$C116*INDEX(Curves!$BC$8:$BC$68,BI$4-$B116+1)</f>
        <v/>
      </c>
      <c r="BJ116" s="75">
        <f>$C116*INDEX(Curves!$BC$8:$BC$68,BJ$4-$B116+1)</f>
        <v/>
      </c>
      <c r="BK116" s="75">
        <f>$C116*INDEX(Curves!$BC$8:$BC$68,BK$4-$B116+1)</f>
        <v/>
      </c>
      <c r="BL116" s="75">
        <f>$C116*INDEX(Curves!$BC$8:$BC$68,BL$4-$B116+1)</f>
        <v/>
      </c>
    </row>
    <row r="117">
      <c r="A117" s="74" t="inlineStr">
        <is>
          <t>Cohort month 45</t>
        </is>
      </c>
      <c r="B117" s="74" t="n">
        <v>45</v>
      </c>
      <c r="C117" s="17">
        <f>INDEX(Ops!$E$109:$BL$109,1,$B117)</f>
        <v/>
      </c>
      <c r="AX117" s="75">
        <f>$C117*INDEX(Curves!$BC$8:$BC$68,AX$4-$B117+1)</f>
        <v/>
      </c>
      <c r="AY117" s="75">
        <f>$C117*INDEX(Curves!$BC$8:$BC$68,AY$4-$B117+1)</f>
        <v/>
      </c>
      <c r="AZ117" s="75">
        <f>$C117*INDEX(Curves!$BC$8:$BC$68,AZ$4-$B117+1)</f>
        <v/>
      </c>
      <c r="BA117" s="75">
        <f>$C117*INDEX(Curves!$BC$8:$BC$68,BA$4-$B117+1)</f>
        <v/>
      </c>
      <c r="BB117" s="75">
        <f>$C117*INDEX(Curves!$BC$8:$BC$68,BB$4-$B117+1)</f>
        <v/>
      </c>
      <c r="BC117" s="75">
        <f>$C117*INDEX(Curves!$BC$8:$BC$68,BC$4-$B117+1)</f>
        <v/>
      </c>
      <c r="BD117" s="75">
        <f>$C117*INDEX(Curves!$BC$8:$BC$68,BD$4-$B117+1)</f>
        <v/>
      </c>
      <c r="BE117" s="75">
        <f>$C117*INDEX(Curves!$BC$8:$BC$68,BE$4-$B117+1)</f>
        <v/>
      </c>
      <c r="BF117" s="75">
        <f>$C117*INDEX(Curves!$BC$8:$BC$68,BF$4-$B117+1)</f>
        <v/>
      </c>
      <c r="BG117" s="75">
        <f>$C117*INDEX(Curves!$BC$8:$BC$68,BG$4-$B117+1)</f>
        <v/>
      </c>
      <c r="BH117" s="75">
        <f>$C117*INDEX(Curves!$BC$8:$BC$68,BH$4-$B117+1)</f>
        <v/>
      </c>
      <c r="BI117" s="75">
        <f>$C117*INDEX(Curves!$BC$8:$BC$68,BI$4-$B117+1)</f>
        <v/>
      </c>
      <c r="BJ117" s="75">
        <f>$C117*INDEX(Curves!$BC$8:$BC$68,BJ$4-$B117+1)</f>
        <v/>
      </c>
      <c r="BK117" s="75">
        <f>$C117*INDEX(Curves!$BC$8:$BC$68,BK$4-$B117+1)</f>
        <v/>
      </c>
      <c r="BL117" s="75">
        <f>$C117*INDEX(Curves!$BC$8:$BC$68,BL$4-$B117+1)</f>
        <v/>
      </c>
    </row>
    <row r="118">
      <c r="A118" s="74" t="inlineStr">
        <is>
          <t>Cohort month 46</t>
        </is>
      </c>
      <c r="B118" s="74" t="n">
        <v>46</v>
      </c>
      <c r="C118" s="17">
        <f>INDEX(Ops!$E$109:$BL$109,1,$B118)</f>
        <v/>
      </c>
      <c r="AY118" s="75">
        <f>$C118*INDEX(Curves!$BC$8:$BC$68,AY$4-$B118+1)</f>
        <v/>
      </c>
      <c r="AZ118" s="75">
        <f>$C118*INDEX(Curves!$BC$8:$BC$68,AZ$4-$B118+1)</f>
        <v/>
      </c>
      <c r="BA118" s="75">
        <f>$C118*INDEX(Curves!$BC$8:$BC$68,BA$4-$B118+1)</f>
        <v/>
      </c>
      <c r="BB118" s="75">
        <f>$C118*INDEX(Curves!$BC$8:$BC$68,BB$4-$B118+1)</f>
        <v/>
      </c>
      <c r="BC118" s="75">
        <f>$C118*INDEX(Curves!$BC$8:$BC$68,BC$4-$B118+1)</f>
        <v/>
      </c>
      <c r="BD118" s="75">
        <f>$C118*INDEX(Curves!$BC$8:$BC$68,BD$4-$B118+1)</f>
        <v/>
      </c>
      <c r="BE118" s="75">
        <f>$C118*INDEX(Curves!$BC$8:$BC$68,BE$4-$B118+1)</f>
        <v/>
      </c>
      <c r="BF118" s="75">
        <f>$C118*INDEX(Curves!$BC$8:$BC$68,BF$4-$B118+1)</f>
        <v/>
      </c>
      <c r="BG118" s="75">
        <f>$C118*INDEX(Curves!$BC$8:$BC$68,BG$4-$B118+1)</f>
        <v/>
      </c>
      <c r="BH118" s="75">
        <f>$C118*INDEX(Curves!$BC$8:$BC$68,BH$4-$B118+1)</f>
        <v/>
      </c>
      <c r="BI118" s="75">
        <f>$C118*INDEX(Curves!$BC$8:$BC$68,BI$4-$B118+1)</f>
        <v/>
      </c>
      <c r="BJ118" s="75">
        <f>$C118*INDEX(Curves!$BC$8:$BC$68,BJ$4-$B118+1)</f>
        <v/>
      </c>
      <c r="BK118" s="75">
        <f>$C118*INDEX(Curves!$BC$8:$BC$68,BK$4-$B118+1)</f>
        <v/>
      </c>
      <c r="BL118" s="75">
        <f>$C118*INDEX(Curves!$BC$8:$BC$68,BL$4-$B118+1)</f>
        <v/>
      </c>
    </row>
    <row r="119">
      <c r="A119" s="74" t="inlineStr">
        <is>
          <t>Cohort month 47</t>
        </is>
      </c>
      <c r="B119" s="74" t="n">
        <v>47</v>
      </c>
      <c r="C119" s="17">
        <f>INDEX(Ops!$E$109:$BL$109,1,$B119)</f>
        <v/>
      </c>
      <c r="AZ119" s="75">
        <f>$C119*INDEX(Curves!$BC$8:$BC$68,AZ$4-$B119+1)</f>
        <v/>
      </c>
      <c r="BA119" s="75">
        <f>$C119*INDEX(Curves!$BC$8:$BC$68,BA$4-$B119+1)</f>
        <v/>
      </c>
      <c r="BB119" s="75">
        <f>$C119*INDEX(Curves!$BC$8:$BC$68,BB$4-$B119+1)</f>
        <v/>
      </c>
      <c r="BC119" s="75">
        <f>$C119*INDEX(Curves!$BC$8:$BC$68,BC$4-$B119+1)</f>
        <v/>
      </c>
      <c r="BD119" s="75">
        <f>$C119*INDEX(Curves!$BC$8:$BC$68,BD$4-$B119+1)</f>
        <v/>
      </c>
      <c r="BE119" s="75">
        <f>$C119*INDEX(Curves!$BC$8:$BC$68,BE$4-$B119+1)</f>
        <v/>
      </c>
      <c r="BF119" s="75">
        <f>$C119*INDEX(Curves!$BC$8:$BC$68,BF$4-$B119+1)</f>
        <v/>
      </c>
      <c r="BG119" s="75">
        <f>$C119*INDEX(Curves!$BC$8:$BC$68,BG$4-$B119+1)</f>
        <v/>
      </c>
      <c r="BH119" s="75">
        <f>$C119*INDEX(Curves!$BC$8:$BC$68,BH$4-$B119+1)</f>
        <v/>
      </c>
      <c r="BI119" s="75">
        <f>$C119*INDEX(Curves!$BC$8:$BC$68,BI$4-$B119+1)</f>
        <v/>
      </c>
      <c r="BJ119" s="75">
        <f>$C119*INDEX(Curves!$BC$8:$BC$68,BJ$4-$B119+1)</f>
        <v/>
      </c>
      <c r="BK119" s="75">
        <f>$C119*INDEX(Curves!$BC$8:$BC$68,BK$4-$B119+1)</f>
        <v/>
      </c>
      <c r="BL119" s="75">
        <f>$C119*INDEX(Curves!$BC$8:$BC$68,BL$4-$B119+1)</f>
        <v/>
      </c>
    </row>
    <row r="120">
      <c r="A120" s="74" t="inlineStr">
        <is>
          <t>Cohort month 48</t>
        </is>
      </c>
      <c r="B120" s="74" t="n">
        <v>48</v>
      </c>
      <c r="C120" s="17">
        <f>INDEX(Ops!$E$109:$BL$109,1,$B120)</f>
        <v/>
      </c>
      <c r="BA120" s="75">
        <f>$C120*INDEX(Curves!$BC$8:$BC$68,BA$4-$B120+1)</f>
        <v/>
      </c>
      <c r="BB120" s="75">
        <f>$C120*INDEX(Curves!$BC$8:$BC$68,BB$4-$B120+1)</f>
        <v/>
      </c>
      <c r="BC120" s="75">
        <f>$C120*INDEX(Curves!$BC$8:$BC$68,BC$4-$B120+1)</f>
        <v/>
      </c>
      <c r="BD120" s="75">
        <f>$C120*INDEX(Curves!$BC$8:$BC$68,BD$4-$B120+1)</f>
        <v/>
      </c>
      <c r="BE120" s="75">
        <f>$C120*INDEX(Curves!$BC$8:$BC$68,BE$4-$B120+1)</f>
        <v/>
      </c>
      <c r="BF120" s="75">
        <f>$C120*INDEX(Curves!$BC$8:$BC$68,BF$4-$B120+1)</f>
        <v/>
      </c>
      <c r="BG120" s="75">
        <f>$C120*INDEX(Curves!$BC$8:$BC$68,BG$4-$B120+1)</f>
        <v/>
      </c>
      <c r="BH120" s="75">
        <f>$C120*INDEX(Curves!$BC$8:$BC$68,BH$4-$B120+1)</f>
        <v/>
      </c>
      <c r="BI120" s="75">
        <f>$C120*INDEX(Curves!$BC$8:$BC$68,BI$4-$B120+1)</f>
        <v/>
      </c>
      <c r="BJ120" s="75">
        <f>$C120*INDEX(Curves!$BC$8:$BC$68,BJ$4-$B120+1)</f>
        <v/>
      </c>
      <c r="BK120" s="75">
        <f>$C120*INDEX(Curves!$BC$8:$BC$68,BK$4-$B120+1)</f>
        <v/>
      </c>
      <c r="BL120" s="75">
        <f>$C120*INDEX(Curves!$BC$8:$BC$68,BL$4-$B120+1)</f>
        <v/>
      </c>
    </row>
    <row r="121">
      <c r="A121" s="74" t="inlineStr">
        <is>
          <t>Cohort month 49</t>
        </is>
      </c>
      <c r="B121" s="74" t="n">
        <v>49</v>
      </c>
      <c r="C121" s="17">
        <f>INDEX(Ops!$E$109:$BL$109,1,$B121)</f>
        <v/>
      </c>
      <c r="BB121" s="75">
        <f>$C121*INDEX(Curves!$BC$8:$BC$68,BB$4-$B121+1)</f>
        <v/>
      </c>
      <c r="BC121" s="75">
        <f>$C121*INDEX(Curves!$BC$8:$BC$68,BC$4-$B121+1)</f>
        <v/>
      </c>
      <c r="BD121" s="75">
        <f>$C121*INDEX(Curves!$BC$8:$BC$68,BD$4-$B121+1)</f>
        <v/>
      </c>
      <c r="BE121" s="75">
        <f>$C121*INDEX(Curves!$BC$8:$BC$68,BE$4-$B121+1)</f>
        <v/>
      </c>
      <c r="BF121" s="75">
        <f>$C121*INDEX(Curves!$BC$8:$BC$68,BF$4-$B121+1)</f>
        <v/>
      </c>
      <c r="BG121" s="75">
        <f>$C121*INDEX(Curves!$BC$8:$BC$68,BG$4-$B121+1)</f>
        <v/>
      </c>
      <c r="BH121" s="75">
        <f>$C121*INDEX(Curves!$BC$8:$BC$68,BH$4-$B121+1)</f>
        <v/>
      </c>
      <c r="BI121" s="75">
        <f>$C121*INDEX(Curves!$BC$8:$BC$68,BI$4-$B121+1)</f>
        <v/>
      </c>
      <c r="BJ121" s="75">
        <f>$C121*INDEX(Curves!$BC$8:$BC$68,BJ$4-$B121+1)</f>
        <v/>
      </c>
      <c r="BK121" s="75">
        <f>$C121*INDEX(Curves!$BC$8:$BC$68,BK$4-$B121+1)</f>
        <v/>
      </c>
      <c r="BL121" s="75">
        <f>$C121*INDEX(Curves!$BC$8:$BC$68,BL$4-$B121+1)</f>
        <v/>
      </c>
    </row>
    <row r="122">
      <c r="A122" s="74" t="inlineStr">
        <is>
          <t>Cohort month 50</t>
        </is>
      </c>
      <c r="B122" s="74" t="n">
        <v>50</v>
      </c>
      <c r="C122" s="17">
        <f>INDEX(Ops!$E$109:$BL$109,1,$B122)</f>
        <v/>
      </c>
      <c r="BC122" s="75">
        <f>$C122*INDEX(Curves!$BC$8:$BC$68,BC$4-$B122+1)</f>
        <v/>
      </c>
      <c r="BD122" s="75">
        <f>$C122*INDEX(Curves!$BC$8:$BC$68,BD$4-$B122+1)</f>
        <v/>
      </c>
      <c r="BE122" s="75">
        <f>$C122*INDEX(Curves!$BC$8:$BC$68,BE$4-$B122+1)</f>
        <v/>
      </c>
      <c r="BF122" s="75">
        <f>$C122*INDEX(Curves!$BC$8:$BC$68,BF$4-$B122+1)</f>
        <v/>
      </c>
      <c r="BG122" s="75">
        <f>$C122*INDEX(Curves!$BC$8:$BC$68,BG$4-$B122+1)</f>
        <v/>
      </c>
      <c r="BH122" s="75">
        <f>$C122*INDEX(Curves!$BC$8:$BC$68,BH$4-$B122+1)</f>
        <v/>
      </c>
      <c r="BI122" s="75">
        <f>$C122*INDEX(Curves!$BC$8:$BC$68,BI$4-$B122+1)</f>
        <v/>
      </c>
      <c r="BJ122" s="75">
        <f>$C122*INDEX(Curves!$BC$8:$BC$68,BJ$4-$B122+1)</f>
        <v/>
      </c>
      <c r="BK122" s="75">
        <f>$C122*INDEX(Curves!$BC$8:$BC$68,BK$4-$B122+1)</f>
        <v/>
      </c>
      <c r="BL122" s="75">
        <f>$C122*INDEX(Curves!$BC$8:$BC$68,BL$4-$B122+1)</f>
        <v/>
      </c>
    </row>
    <row r="123">
      <c r="A123" s="74" t="inlineStr">
        <is>
          <t>Cohort month 51</t>
        </is>
      </c>
      <c r="B123" s="74" t="n">
        <v>51</v>
      </c>
      <c r="C123" s="17">
        <f>INDEX(Ops!$E$109:$BL$109,1,$B123)</f>
        <v/>
      </c>
      <c r="BD123" s="75">
        <f>$C123*INDEX(Curves!$BC$8:$BC$68,BD$4-$B123+1)</f>
        <v/>
      </c>
      <c r="BE123" s="75">
        <f>$C123*INDEX(Curves!$BC$8:$BC$68,BE$4-$B123+1)</f>
        <v/>
      </c>
      <c r="BF123" s="75">
        <f>$C123*INDEX(Curves!$BC$8:$BC$68,BF$4-$B123+1)</f>
        <v/>
      </c>
      <c r="BG123" s="75">
        <f>$C123*INDEX(Curves!$BC$8:$BC$68,BG$4-$B123+1)</f>
        <v/>
      </c>
      <c r="BH123" s="75">
        <f>$C123*INDEX(Curves!$BC$8:$BC$68,BH$4-$B123+1)</f>
        <v/>
      </c>
      <c r="BI123" s="75">
        <f>$C123*INDEX(Curves!$BC$8:$BC$68,BI$4-$B123+1)</f>
        <v/>
      </c>
      <c r="BJ123" s="75">
        <f>$C123*INDEX(Curves!$BC$8:$BC$68,BJ$4-$B123+1)</f>
        <v/>
      </c>
      <c r="BK123" s="75">
        <f>$C123*INDEX(Curves!$BC$8:$BC$68,BK$4-$B123+1)</f>
        <v/>
      </c>
      <c r="BL123" s="75">
        <f>$C123*INDEX(Curves!$BC$8:$BC$68,BL$4-$B123+1)</f>
        <v/>
      </c>
    </row>
    <row r="124">
      <c r="A124" s="74" t="inlineStr">
        <is>
          <t>Cohort month 52</t>
        </is>
      </c>
      <c r="B124" s="74" t="n">
        <v>52</v>
      </c>
      <c r="C124" s="17">
        <f>INDEX(Ops!$E$109:$BL$109,1,$B124)</f>
        <v/>
      </c>
      <c r="BE124" s="75">
        <f>$C124*INDEX(Curves!$BC$8:$BC$68,BE$4-$B124+1)</f>
        <v/>
      </c>
      <c r="BF124" s="75">
        <f>$C124*INDEX(Curves!$BC$8:$BC$68,BF$4-$B124+1)</f>
        <v/>
      </c>
      <c r="BG124" s="75">
        <f>$C124*INDEX(Curves!$BC$8:$BC$68,BG$4-$B124+1)</f>
        <v/>
      </c>
      <c r="BH124" s="75">
        <f>$C124*INDEX(Curves!$BC$8:$BC$68,BH$4-$B124+1)</f>
        <v/>
      </c>
      <c r="BI124" s="75">
        <f>$C124*INDEX(Curves!$BC$8:$BC$68,BI$4-$B124+1)</f>
        <v/>
      </c>
      <c r="BJ124" s="75">
        <f>$C124*INDEX(Curves!$BC$8:$BC$68,BJ$4-$B124+1)</f>
        <v/>
      </c>
      <c r="BK124" s="75">
        <f>$C124*INDEX(Curves!$BC$8:$BC$68,BK$4-$B124+1)</f>
        <v/>
      </c>
      <c r="BL124" s="75">
        <f>$C124*INDEX(Curves!$BC$8:$BC$68,BL$4-$B124+1)</f>
        <v/>
      </c>
    </row>
    <row r="125">
      <c r="A125" s="74" t="inlineStr">
        <is>
          <t>Cohort month 53</t>
        </is>
      </c>
      <c r="B125" s="74" t="n">
        <v>53</v>
      </c>
      <c r="C125" s="17">
        <f>INDEX(Ops!$E$109:$BL$109,1,$B125)</f>
        <v/>
      </c>
      <c r="BF125" s="75">
        <f>$C125*INDEX(Curves!$BC$8:$BC$68,BF$4-$B125+1)</f>
        <v/>
      </c>
      <c r="BG125" s="75">
        <f>$C125*INDEX(Curves!$BC$8:$BC$68,BG$4-$B125+1)</f>
        <v/>
      </c>
      <c r="BH125" s="75">
        <f>$C125*INDEX(Curves!$BC$8:$BC$68,BH$4-$B125+1)</f>
        <v/>
      </c>
      <c r="BI125" s="75">
        <f>$C125*INDEX(Curves!$BC$8:$BC$68,BI$4-$B125+1)</f>
        <v/>
      </c>
      <c r="BJ125" s="75">
        <f>$C125*INDEX(Curves!$BC$8:$BC$68,BJ$4-$B125+1)</f>
        <v/>
      </c>
      <c r="BK125" s="75">
        <f>$C125*INDEX(Curves!$BC$8:$BC$68,BK$4-$B125+1)</f>
        <v/>
      </c>
      <c r="BL125" s="75">
        <f>$C125*INDEX(Curves!$BC$8:$BC$68,BL$4-$B125+1)</f>
        <v/>
      </c>
    </row>
    <row r="126">
      <c r="A126" s="74" t="inlineStr">
        <is>
          <t>Cohort month 54</t>
        </is>
      </c>
      <c r="B126" s="74" t="n">
        <v>54</v>
      </c>
      <c r="C126" s="17">
        <f>INDEX(Ops!$E$109:$BL$109,1,$B126)</f>
        <v/>
      </c>
      <c r="BG126" s="75">
        <f>$C126*INDEX(Curves!$BC$8:$BC$68,BG$4-$B126+1)</f>
        <v/>
      </c>
      <c r="BH126" s="75">
        <f>$C126*INDEX(Curves!$BC$8:$BC$68,BH$4-$B126+1)</f>
        <v/>
      </c>
      <c r="BI126" s="75">
        <f>$C126*INDEX(Curves!$BC$8:$BC$68,BI$4-$B126+1)</f>
        <v/>
      </c>
      <c r="BJ126" s="75">
        <f>$C126*INDEX(Curves!$BC$8:$BC$68,BJ$4-$B126+1)</f>
        <v/>
      </c>
      <c r="BK126" s="75">
        <f>$C126*INDEX(Curves!$BC$8:$BC$68,BK$4-$B126+1)</f>
        <v/>
      </c>
      <c r="BL126" s="75">
        <f>$C126*INDEX(Curves!$BC$8:$BC$68,BL$4-$B126+1)</f>
        <v/>
      </c>
    </row>
    <row r="127">
      <c r="A127" s="74" t="inlineStr">
        <is>
          <t>Cohort month 55</t>
        </is>
      </c>
      <c r="B127" s="74" t="n">
        <v>55</v>
      </c>
      <c r="C127" s="17">
        <f>INDEX(Ops!$E$109:$BL$109,1,$B127)</f>
        <v/>
      </c>
      <c r="BH127" s="75">
        <f>$C127*INDEX(Curves!$BC$8:$BC$68,BH$4-$B127+1)</f>
        <v/>
      </c>
      <c r="BI127" s="75">
        <f>$C127*INDEX(Curves!$BC$8:$BC$68,BI$4-$B127+1)</f>
        <v/>
      </c>
      <c r="BJ127" s="75">
        <f>$C127*INDEX(Curves!$BC$8:$BC$68,BJ$4-$B127+1)</f>
        <v/>
      </c>
      <c r="BK127" s="75">
        <f>$C127*INDEX(Curves!$BC$8:$BC$68,BK$4-$B127+1)</f>
        <v/>
      </c>
      <c r="BL127" s="75">
        <f>$C127*INDEX(Curves!$BC$8:$BC$68,BL$4-$B127+1)</f>
        <v/>
      </c>
    </row>
    <row r="128">
      <c r="A128" s="74" t="inlineStr">
        <is>
          <t>Cohort month 56</t>
        </is>
      </c>
      <c r="B128" s="74" t="n">
        <v>56</v>
      </c>
      <c r="C128" s="17">
        <f>INDEX(Ops!$E$109:$BL$109,1,$B128)</f>
        <v/>
      </c>
      <c r="BI128" s="75">
        <f>$C128*INDEX(Curves!$BC$8:$BC$68,BI$4-$B128+1)</f>
        <v/>
      </c>
      <c r="BJ128" s="75">
        <f>$C128*INDEX(Curves!$BC$8:$BC$68,BJ$4-$B128+1)</f>
        <v/>
      </c>
      <c r="BK128" s="75">
        <f>$C128*INDEX(Curves!$BC$8:$BC$68,BK$4-$B128+1)</f>
        <v/>
      </c>
      <c r="BL128" s="75">
        <f>$C128*INDEX(Curves!$BC$8:$BC$68,BL$4-$B128+1)</f>
        <v/>
      </c>
    </row>
    <row r="129">
      <c r="A129" s="74" t="inlineStr">
        <is>
          <t>Cohort month 57</t>
        </is>
      </c>
      <c r="B129" s="74" t="n">
        <v>57</v>
      </c>
      <c r="C129" s="17">
        <f>INDEX(Ops!$E$109:$BL$109,1,$B129)</f>
        <v/>
      </c>
      <c r="BJ129" s="75">
        <f>$C129*INDEX(Curves!$BC$8:$BC$68,BJ$4-$B129+1)</f>
        <v/>
      </c>
      <c r="BK129" s="75">
        <f>$C129*INDEX(Curves!$BC$8:$BC$68,BK$4-$B129+1)</f>
        <v/>
      </c>
      <c r="BL129" s="75">
        <f>$C129*INDEX(Curves!$BC$8:$BC$68,BL$4-$B129+1)</f>
        <v/>
      </c>
    </row>
    <row r="130">
      <c r="A130" s="74" t="inlineStr">
        <is>
          <t>Cohort month 58</t>
        </is>
      </c>
      <c r="B130" s="74" t="n">
        <v>58</v>
      </c>
      <c r="C130" s="17">
        <f>INDEX(Ops!$E$109:$BL$109,1,$B130)</f>
        <v/>
      </c>
      <c r="BK130" s="75">
        <f>$C130*INDEX(Curves!$BC$8:$BC$68,BK$4-$B130+1)</f>
        <v/>
      </c>
      <c r="BL130" s="75">
        <f>$C130*INDEX(Curves!$BC$8:$BC$68,BL$4-$B130+1)</f>
        <v/>
      </c>
    </row>
    <row r="131">
      <c r="A131" s="74" t="inlineStr">
        <is>
          <t>Cohort month 59</t>
        </is>
      </c>
      <c r="B131" s="74" t="n">
        <v>59</v>
      </c>
      <c r="C131" s="17">
        <f>INDEX(Ops!$E$109:$BL$109,1,$B131)</f>
        <v/>
      </c>
      <c r="BL131" s="75">
        <f>$C131*INDEX(Curves!$BC$8:$BC$68,BL$4-$B131+1)</f>
        <v/>
      </c>
    </row>
    <row r="132">
      <c r="A132" s="74" t="inlineStr">
        <is>
          <t>Cohort month 60</t>
        </is>
      </c>
      <c r="B132" s="74" t="n">
        <v>60</v>
      </c>
      <c r="C132" s="17">
        <f>INDEX(Ops!$E$109:$BL$109,1,$B132)</f>
        <v/>
      </c>
    </row>
    <row r="133"/>
    <row r="134">
      <c r="A134" s="14" t="inlineStr">
        <is>
          <t>Receivables at risk by cohort (LCY)</t>
        </is>
      </c>
      <c r="B134" s="15" t="n"/>
      <c r="C134" s="15" t="n"/>
      <c r="D134" s="15" t="n"/>
      <c r="E134" s="15" t="n"/>
      <c r="F134" s="15" t="n"/>
      <c r="G134" s="15" t="n"/>
      <c r="H134" s="15" t="n"/>
      <c r="I134" s="15" t="n"/>
      <c r="J134" s="15" t="n"/>
      <c r="K134" s="15" t="n"/>
      <c r="L134" s="15" t="n"/>
      <c r="M134" s="15" t="n"/>
      <c r="N134" s="15" t="n"/>
      <c r="O134" s="15" t="n"/>
      <c r="P134" s="15" t="n"/>
      <c r="Q134" s="15" t="n"/>
      <c r="R134" s="15" t="n"/>
      <c r="S134" s="15" t="n"/>
      <c r="T134" s="15" t="n"/>
      <c r="U134" s="15" t="n"/>
      <c r="V134" s="15" t="n"/>
      <c r="W134" s="15" t="n"/>
      <c r="X134" s="15" t="n"/>
      <c r="Y134" s="15" t="n"/>
      <c r="Z134" s="15" t="n"/>
      <c r="AA134" s="15" t="n"/>
      <c r="AB134" s="15" t="n"/>
      <c r="AC134" s="15" t="n"/>
      <c r="AD134" s="15" t="n"/>
      <c r="AE134" s="15" t="n"/>
      <c r="AF134" s="15" t="n"/>
      <c r="AG134" s="15" t="n"/>
      <c r="AH134" s="15" t="n"/>
      <c r="AI134" s="15" t="n"/>
      <c r="AJ134" s="15" t="n"/>
      <c r="AK134" s="15" t="n"/>
      <c r="AL134" s="15" t="n"/>
      <c r="AM134" s="15" t="n"/>
      <c r="AN134" s="15" t="n"/>
      <c r="AO134" s="15" t="n"/>
      <c r="AP134" s="15" t="n"/>
      <c r="AQ134" s="15" t="n"/>
      <c r="AR134" s="15" t="n"/>
      <c r="AS134" s="15" t="n"/>
      <c r="AT134" s="15" t="n"/>
      <c r="AU134" s="15" t="n"/>
      <c r="AV134" s="15" t="n"/>
      <c r="AW134" s="15" t="n"/>
      <c r="AX134" s="15" t="n"/>
      <c r="AY134" s="15" t="n"/>
      <c r="AZ134" s="15" t="n"/>
      <c r="BA134" s="15" t="n"/>
      <c r="BB134" s="15" t="n"/>
      <c r="BC134" s="15" t="n"/>
      <c r="BD134" s="15" t="n"/>
      <c r="BE134" s="15" t="n"/>
      <c r="BF134" s="15" t="n"/>
      <c r="BG134" s="15" t="n"/>
      <c r="BH134" s="15" t="n"/>
      <c r="BI134" s="15" t="n"/>
      <c r="BJ134" s="15" t="n"/>
      <c r="BK134" s="15" t="n"/>
      <c r="BL134" s="15" t="n"/>
    </row>
    <row r="135">
      <c r="A135" s="60" t="inlineStr">
        <is>
          <t>Total</t>
        </is>
      </c>
      <c r="B135" s="61" t="inlineStr"/>
      <c r="C135" s="63" t="n"/>
      <c r="D135" s="63" t="n"/>
      <c r="E135" s="71">
        <f>SUM(E136:E195)</f>
        <v/>
      </c>
      <c r="F135" s="71">
        <f>SUM(F136:F195)</f>
        <v/>
      </c>
      <c r="G135" s="71">
        <f>SUM(G136:G195)</f>
        <v/>
      </c>
      <c r="H135" s="71">
        <f>SUM(H136:H195)</f>
        <v/>
      </c>
      <c r="I135" s="71">
        <f>SUM(I136:I195)</f>
        <v/>
      </c>
      <c r="J135" s="71">
        <f>SUM(J136:J195)</f>
        <v/>
      </c>
      <c r="K135" s="71">
        <f>SUM(K136:K195)</f>
        <v/>
      </c>
      <c r="L135" s="71">
        <f>SUM(L136:L195)</f>
        <v/>
      </c>
      <c r="M135" s="71">
        <f>SUM(M136:M195)</f>
        <v/>
      </c>
      <c r="N135" s="71">
        <f>SUM(N136:N195)</f>
        <v/>
      </c>
      <c r="O135" s="71">
        <f>SUM(O136:O195)</f>
        <v/>
      </c>
      <c r="P135" s="71">
        <f>SUM(P136:P195)</f>
        <v/>
      </c>
      <c r="Q135" s="71">
        <f>SUM(Q136:Q195)</f>
        <v/>
      </c>
      <c r="R135" s="71">
        <f>SUM(R136:R195)</f>
        <v/>
      </c>
      <c r="S135" s="71">
        <f>SUM(S136:S195)</f>
        <v/>
      </c>
      <c r="T135" s="71">
        <f>SUM(T136:T195)</f>
        <v/>
      </c>
      <c r="U135" s="71">
        <f>SUM(U136:U195)</f>
        <v/>
      </c>
      <c r="V135" s="71">
        <f>SUM(V136:V195)</f>
        <v/>
      </c>
      <c r="W135" s="71">
        <f>SUM(W136:W195)</f>
        <v/>
      </c>
      <c r="X135" s="71">
        <f>SUM(X136:X195)</f>
        <v/>
      </c>
      <c r="Y135" s="71">
        <f>SUM(Y136:Y195)</f>
        <v/>
      </c>
      <c r="Z135" s="71">
        <f>SUM(Z136:Z195)</f>
        <v/>
      </c>
      <c r="AA135" s="71">
        <f>SUM(AA136:AA195)</f>
        <v/>
      </c>
      <c r="AB135" s="71">
        <f>SUM(AB136:AB195)</f>
        <v/>
      </c>
      <c r="AC135" s="71">
        <f>SUM(AC136:AC195)</f>
        <v/>
      </c>
      <c r="AD135" s="71">
        <f>SUM(AD136:AD195)</f>
        <v/>
      </c>
      <c r="AE135" s="71">
        <f>SUM(AE136:AE195)</f>
        <v/>
      </c>
      <c r="AF135" s="71">
        <f>SUM(AF136:AF195)</f>
        <v/>
      </c>
      <c r="AG135" s="71">
        <f>SUM(AG136:AG195)</f>
        <v/>
      </c>
      <c r="AH135" s="71">
        <f>SUM(AH136:AH195)</f>
        <v/>
      </c>
      <c r="AI135" s="71">
        <f>SUM(AI136:AI195)</f>
        <v/>
      </c>
      <c r="AJ135" s="71">
        <f>SUM(AJ136:AJ195)</f>
        <v/>
      </c>
      <c r="AK135" s="71">
        <f>SUM(AK136:AK195)</f>
        <v/>
      </c>
      <c r="AL135" s="71">
        <f>SUM(AL136:AL195)</f>
        <v/>
      </c>
      <c r="AM135" s="71">
        <f>SUM(AM136:AM195)</f>
        <v/>
      </c>
      <c r="AN135" s="71">
        <f>SUM(AN136:AN195)</f>
        <v/>
      </c>
      <c r="AO135" s="71">
        <f>SUM(AO136:AO195)</f>
        <v/>
      </c>
      <c r="AP135" s="71">
        <f>SUM(AP136:AP195)</f>
        <v/>
      </c>
      <c r="AQ135" s="71">
        <f>SUM(AQ136:AQ195)</f>
        <v/>
      </c>
      <c r="AR135" s="71">
        <f>SUM(AR136:AR195)</f>
        <v/>
      </c>
      <c r="AS135" s="71">
        <f>SUM(AS136:AS195)</f>
        <v/>
      </c>
      <c r="AT135" s="71">
        <f>SUM(AT136:AT195)</f>
        <v/>
      </c>
      <c r="AU135" s="71">
        <f>SUM(AU136:AU195)</f>
        <v/>
      </c>
      <c r="AV135" s="71">
        <f>SUM(AV136:AV195)</f>
        <v/>
      </c>
      <c r="AW135" s="71">
        <f>SUM(AW136:AW195)</f>
        <v/>
      </c>
      <c r="AX135" s="71">
        <f>SUM(AX136:AX195)</f>
        <v/>
      </c>
      <c r="AY135" s="71">
        <f>SUM(AY136:AY195)</f>
        <v/>
      </c>
      <c r="AZ135" s="71">
        <f>SUM(AZ136:AZ195)</f>
        <v/>
      </c>
      <c r="BA135" s="71">
        <f>SUM(BA136:BA195)</f>
        <v/>
      </c>
      <c r="BB135" s="71">
        <f>SUM(BB136:BB195)</f>
        <v/>
      </c>
      <c r="BC135" s="71">
        <f>SUM(BC136:BC195)</f>
        <v/>
      </c>
      <c r="BD135" s="71">
        <f>SUM(BD136:BD195)</f>
        <v/>
      </c>
      <c r="BE135" s="71">
        <f>SUM(BE136:BE195)</f>
        <v/>
      </c>
      <c r="BF135" s="71">
        <f>SUM(BF136:BF195)</f>
        <v/>
      </c>
      <c r="BG135" s="71">
        <f>SUM(BG136:BG195)</f>
        <v/>
      </c>
      <c r="BH135" s="71">
        <f>SUM(BH136:BH195)</f>
        <v/>
      </c>
      <c r="BI135" s="71">
        <f>SUM(BI136:BI195)</f>
        <v/>
      </c>
      <c r="BJ135" s="71">
        <f>SUM(BJ136:BJ195)</f>
        <v/>
      </c>
      <c r="BK135" s="71">
        <f>SUM(BK136:BK195)</f>
        <v/>
      </c>
      <c r="BL135" s="71">
        <f>SUM(BL136:BL195)</f>
        <v/>
      </c>
    </row>
    <row r="136">
      <c r="A136" s="74" t="inlineStr">
        <is>
          <t>Cohort month 1</t>
        </is>
      </c>
      <c r="B136" s="74" t="n">
        <v>1</v>
      </c>
      <c r="C136" s="17">
        <f>INDEX(Ops!$E$110:$BL$110,1,$B136)</f>
        <v/>
      </c>
      <c r="F136" s="75">
        <f>$C136*INDEX(Curves!$BB$8:$BB$68,F$4-$B136+1)</f>
        <v/>
      </c>
      <c r="G136" s="75">
        <f>$C136*INDEX(Curves!$BB$8:$BB$68,G$4-$B136+1)</f>
        <v/>
      </c>
      <c r="H136" s="75">
        <f>$C136*INDEX(Curves!$BB$8:$BB$68,H$4-$B136+1)</f>
        <v/>
      </c>
      <c r="I136" s="75">
        <f>$C136*INDEX(Curves!$BB$8:$BB$68,I$4-$B136+1)</f>
        <v/>
      </c>
      <c r="J136" s="75">
        <f>$C136*INDEX(Curves!$BB$8:$BB$68,J$4-$B136+1)</f>
        <v/>
      </c>
      <c r="K136" s="75">
        <f>$C136*INDEX(Curves!$BB$8:$BB$68,K$4-$B136+1)</f>
        <v/>
      </c>
      <c r="L136" s="75">
        <f>$C136*INDEX(Curves!$BB$8:$BB$68,L$4-$B136+1)</f>
        <v/>
      </c>
      <c r="M136" s="75">
        <f>$C136*INDEX(Curves!$BB$8:$BB$68,M$4-$B136+1)</f>
        <v/>
      </c>
      <c r="N136" s="75">
        <f>$C136*INDEX(Curves!$BB$8:$BB$68,N$4-$B136+1)</f>
        <v/>
      </c>
      <c r="O136" s="75">
        <f>$C136*INDEX(Curves!$BB$8:$BB$68,O$4-$B136+1)</f>
        <v/>
      </c>
      <c r="P136" s="75">
        <f>$C136*INDEX(Curves!$BB$8:$BB$68,P$4-$B136+1)</f>
        <v/>
      </c>
      <c r="Q136" s="75">
        <f>$C136*INDEX(Curves!$BB$8:$BB$68,Q$4-$B136+1)</f>
        <v/>
      </c>
      <c r="R136" s="75">
        <f>$C136*INDEX(Curves!$BB$8:$BB$68,R$4-$B136+1)</f>
        <v/>
      </c>
      <c r="S136" s="75">
        <f>$C136*INDEX(Curves!$BB$8:$BB$68,S$4-$B136+1)</f>
        <v/>
      </c>
      <c r="T136" s="75">
        <f>$C136*INDEX(Curves!$BB$8:$BB$68,T$4-$B136+1)</f>
        <v/>
      </c>
      <c r="U136" s="75">
        <f>$C136*INDEX(Curves!$BB$8:$BB$68,U$4-$B136+1)</f>
        <v/>
      </c>
      <c r="V136" s="75">
        <f>$C136*INDEX(Curves!$BB$8:$BB$68,V$4-$B136+1)</f>
        <v/>
      </c>
      <c r="W136" s="75">
        <f>$C136*INDEX(Curves!$BB$8:$BB$68,W$4-$B136+1)</f>
        <v/>
      </c>
      <c r="X136" s="75">
        <f>$C136*INDEX(Curves!$BB$8:$BB$68,X$4-$B136+1)</f>
        <v/>
      </c>
      <c r="Y136" s="75">
        <f>$C136*INDEX(Curves!$BB$8:$BB$68,Y$4-$B136+1)</f>
        <v/>
      </c>
      <c r="Z136" s="75">
        <f>$C136*INDEX(Curves!$BB$8:$BB$68,Z$4-$B136+1)</f>
        <v/>
      </c>
      <c r="AA136" s="75">
        <f>$C136*INDEX(Curves!$BB$8:$BB$68,AA$4-$B136+1)</f>
        <v/>
      </c>
      <c r="AB136" s="75">
        <f>$C136*INDEX(Curves!$BB$8:$BB$68,AB$4-$B136+1)</f>
        <v/>
      </c>
      <c r="AC136" s="75">
        <f>$C136*INDEX(Curves!$BB$8:$BB$68,AC$4-$B136+1)</f>
        <v/>
      </c>
      <c r="AD136" s="75">
        <f>$C136*INDEX(Curves!$BB$8:$BB$68,AD$4-$B136+1)</f>
        <v/>
      </c>
      <c r="AE136" s="75">
        <f>$C136*INDEX(Curves!$BB$8:$BB$68,AE$4-$B136+1)</f>
        <v/>
      </c>
      <c r="AF136" s="75">
        <f>$C136*INDEX(Curves!$BB$8:$BB$68,AF$4-$B136+1)</f>
        <v/>
      </c>
      <c r="AG136" s="75">
        <f>$C136*INDEX(Curves!$BB$8:$BB$68,AG$4-$B136+1)</f>
        <v/>
      </c>
      <c r="AH136" s="75">
        <f>$C136*INDEX(Curves!$BB$8:$BB$68,AH$4-$B136+1)</f>
        <v/>
      </c>
      <c r="AI136" s="75">
        <f>$C136*INDEX(Curves!$BB$8:$BB$68,AI$4-$B136+1)</f>
        <v/>
      </c>
      <c r="AJ136" s="75">
        <f>$C136*INDEX(Curves!$BB$8:$BB$68,AJ$4-$B136+1)</f>
        <v/>
      </c>
      <c r="AK136" s="75">
        <f>$C136*INDEX(Curves!$BB$8:$BB$68,AK$4-$B136+1)</f>
        <v/>
      </c>
      <c r="AL136" s="75">
        <f>$C136*INDEX(Curves!$BB$8:$BB$68,AL$4-$B136+1)</f>
        <v/>
      </c>
      <c r="AM136" s="75">
        <f>$C136*INDEX(Curves!$BB$8:$BB$68,AM$4-$B136+1)</f>
        <v/>
      </c>
      <c r="AN136" s="75">
        <f>$C136*INDEX(Curves!$BB$8:$BB$68,AN$4-$B136+1)</f>
        <v/>
      </c>
      <c r="AO136" s="75">
        <f>$C136*INDEX(Curves!$BB$8:$BB$68,AO$4-$B136+1)</f>
        <v/>
      </c>
      <c r="AP136" s="75">
        <f>$C136*INDEX(Curves!$BB$8:$BB$68,AP$4-$B136+1)</f>
        <v/>
      </c>
      <c r="AQ136" s="75">
        <f>$C136*INDEX(Curves!$BB$8:$BB$68,AQ$4-$B136+1)</f>
        <v/>
      </c>
      <c r="AR136" s="75">
        <f>$C136*INDEX(Curves!$BB$8:$BB$68,AR$4-$B136+1)</f>
        <v/>
      </c>
      <c r="AS136" s="75">
        <f>$C136*INDEX(Curves!$BB$8:$BB$68,AS$4-$B136+1)</f>
        <v/>
      </c>
      <c r="AT136" s="75">
        <f>$C136*INDEX(Curves!$BB$8:$BB$68,AT$4-$B136+1)</f>
        <v/>
      </c>
      <c r="AU136" s="75">
        <f>$C136*INDEX(Curves!$BB$8:$BB$68,AU$4-$B136+1)</f>
        <v/>
      </c>
      <c r="AV136" s="75">
        <f>$C136*INDEX(Curves!$BB$8:$BB$68,AV$4-$B136+1)</f>
        <v/>
      </c>
      <c r="AW136" s="75">
        <f>$C136*INDEX(Curves!$BB$8:$BB$68,AW$4-$B136+1)</f>
        <v/>
      </c>
      <c r="AX136" s="75">
        <f>$C136*INDEX(Curves!$BB$8:$BB$68,AX$4-$B136+1)</f>
        <v/>
      </c>
      <c r="AY136" s="75">
        <f>$C136*INDEX(Curves!$BB$8:$BB$68,AY$4-$B136+1)</f>
        <v/>
      </c>
      <c r="AZ136" s="75">
        <f>$C136*INDEX(Curves!$BB$8:$BB$68,AZ$4-$B136+1)</f>
        <v/>
      </c>
      <c r="BA136" s="75">
        <f>$C136*INDEX(Curves!$BB$8:$BB$68,BA$4-$B136+1)</f>
        <v/>
      </c>
      <c r="BB136" s="75">
        <f>$C136*INDEX(Curves!$BB$8:$BB$68,BB$4-$B136+1)</f>
        <v/>
      </c>
      <c r="BC136" s="75">
        <f>$C136*INDEX(Curves!$BB$8:$BB$68,BC$4-$B136+1)</f>
        <v/>
      </c>
      <c r="BD136" s="75">
        <f>$C136*INDEX(Curves!$BB$8:$BB$68,BD$4-$B136+1)</f>
        <v/>
      </c>
      <c r="BE136" s="75">
        <f>$C136*INDEX(Curves!$BB$8:$BB$68,BE$4-$B136+1)</f>
        <v/>
      </c>
      <c r="BF136" s="75">
        <f>$C136*INDEX(Curves!$BB$8:$BB$68,BF$4-$B136+1)</f>
        <v/>
      </c>
      <c r="BG136" s="75">
        <f>$C136*INDEX(Curves!$BB$8:$BB$68,BG$4-$B136+1)</f>
        <v/>
      </c>
      <c r="BH136" s="75">
        <f>$C136*INDEX(Curves!$BB$8:$BB$68,BH$4-$B136+1)</f>
        <v/>
      </c>
      <c r="BI136" s="75">
        <f>$C136*INDEX(Curves!$BB$8:$BB$68,BI$4-$B136+1)</f>
        <v/>
      </c>
      <c r="BJ136" s="75">
        <f>$C136*INDEX(Curves!$BB$8:$BB$68,BJ$4-$B136+1)</f>
        <v/>
      </c>
      <c r="BK136" s="75">
        <f>$C136*INDEX(Curves!$BB$8:$BB$68,BK$4-$B136+1)</f>
        <v/>
      </c>
      <c r="BL136" s="75">
        <f>$C136*INDEX(Curves!$BB$8:$BB$68,BL$4-$B136+1)</f>
        <v/>
      </c>
    </row>
    <row r="137">
      <c r="A137" s="74" t="inlineStr">
        <is>
          <t>Cohort month 2</t>
        </is>
      </c>
      <c r="B137" s="74" t="n">
        <v>2</v>
      </c>
      <c r="C137" s="17">
        <f>INDEX(Ops!$E$110:$BL$110,1,$B137)</f>
        <v/>
      </c>
      <c r="G137" s="75">
        <f>$C137*INDEX(Curves!$BB$8:$BB$68,G$4-$B137+1)</f>
        <v/>
      </c>
      <c r="H137" s="75">
        <f>$C137*INDEX(Curves!$BB$8:$BB$68,H$4-$B137+1)</f>
        <v/>
      </c>
      <c r="I137" s="75">
        <f>$C137*INDEX(Curves!$BB$8:$BB$68,I$4-$B137+1)</f>
        <v/>
      </c>
      <c r="J137" s="75">
        <f>$C137*INDEX(Curves!$BB$8:$BB$68,J$4-$B137+1)</f>
        <v/>
      </c>
      <c r="K137" s="75">
        <f>$C137*INDEX(Curves!$BB$8:$BB$68,K$4-$B137+1)</f>
        <v/>
      </c>
      <c r="L137" s="75">
        <f>$C137*INDEX(Curves!$BB$8:$BB$68,L$4-$B137+1)</f>
        <v/>
      </c>
      <c r="M137" s="75">
        <f>$C137*INDEX(Curves!$BB$8:$BB$68,M$4-$B137+1)</f>
        <v/>
      </c>
      <c r="N137" s="75">
        <f>$C137*INDEX(Curves!$BB$8:$BB$68,N$4-$B137+1)</f>
        <v/>
      </c>
      <c r="O137" s="75">
        <f>$C137*INDEX(Curves!$BB$8:$BB$68,O$4-$B137+1)</f>
        <v/>
      </c>
      <c r="P137" s="75">
        <f>$C137*INDEX(Curves!$BB$8:$BB$68,P$4-$B137+1)</f>
        <v/>
      </c>
      <c r="Q137" s="75">
        <f>$C137*INDEX(Curves!$BB$8:$BB$68,Q$4-$B137+1)</f>
        <v/>
      </c>
      <c r="R137" s="75">
        <f>$C137*INDEX(Curves!$BB$8:$BB$68,R$4-$B137+1)</f>
        <v/>
      </c>
      <c r="S137" s="75">
        <f>$C137*INDEX(Curves!$BB$8:$BB$68,S$4-$B137+1)</f>
        <v/>
      </c>
      <c r="T137" s="75">
        <f>$C137*INDEX(Curves!$BB$8:$BB$68,T$4-$B137+1)</f>
        <v/>
      </c>
      <c r="U137" s="75">
        <f>$C137*INDEX(Curves!$BB$8:$BB$68,U$4-$B137+1)</f>
        <v/>
      </c>
      <c r="V137" s="75">
        <f>$C137*INDEX(Curves!$BB$8:$BB$68,V$4-$B137+1)</f>
        <v/>
      </c>
      <c r="W137" s="75">
        <f>$C137*INDEX(Curves!$BB$8:$BB$68,W$4-$B137+1)</f>
        <v/>
      </c>
      <c r="X137" s="75">
        <f>$C137*INDEX(Curves!$BB$8:$BB$68,X$4-$B137+1)</f>
        <v/>
      </c>
      <c r="Y137" s="75">
        <f>$C137*INDEX(Curves!$BB$8:$BB$68,Y$4-$B137+1)</f>
        <v/>
      </c>
      <c r="Z137" s="75">
        <f>$C137*INDEX(Curves!$BB$8:$BB$68,Z$4-$B137+1)</f>
        <v/>
      </c>
      <c r="AA137" s="75">
        <f>$C137*INDEX(Curves!$BB$8:$BB$68,AA$4-$B137+1)</f>
        <v/>
      </c>
      <c r="AB137" s="75">
        <f>$C137*INDEX(Curves!$BB$8:$BB$68,AB$4-$B137+1)</f>
        <v/>
      </c>
      <c r="AC137" s="75">
        <f>$C137*INDEX(Curves!$BB$8:$BB$68,AC$4-$B137+1)</f>
        <v/>
      </c>
      <c r="AD137" s="75">
        <f>$C137*INDEX(Curves!$BB$8:$BB$68,AD$4-$B137+1)</f>
        <v/>
      </c>
      <c r="AE137" s="75">
        <f>$C137*INDEX(Curves!$BB$8:$BB$68,AE$4-$B137+1)</f>
        <v/>
      </c>
      <c r="AF137" s="75">
        <f>$C137*INDEX(Curves!$BB$8:$BB$68,AF$4-$B137+1)</f>
        <v/>
      </c>
      <c r="AG137" s="75">
        <f>$C137*INDEX(Curves!$BB$8:$BB$68,AG$4-$B137+1)</f>
        <v/>
      </c>
      <c r="AH137" s="75">
        <f>$C137*INDEX(Curves!$BB$8:$BB$68,AH$4-$B137+1)</f>
        <v/>
      </c>
      <c r="AI137" s="75">
        <f>$C137*INDEX(Curves!$BB$8:$BB$68,AI$4-$B137+1)</f>
        <v/>
      </c>
      <c r="AJ137" s="75">
        <f>$C137*INDEX(Curves!$BB$8:$BB$68,AJ$4-$B137+1)</f>
        <v/>
      </c>
      <c r="AK137" s="75">
        <f>$C137*INDEX(Curves!$BB$8:$BB$68,AK$4-$B137+1)</f>
        <v/>
      </c>
      <c r="AL137" s="75">
        <f>$C137*INDEX(Curves!$BB$8:$BB$68,AL$4-$B137+1)</f>
        <v/>
      </c>
      <c r="AM137" s="75">
        <f>$C137*INDEX(Curves!$BB$8:$BB$68,AM$4-$B137+1)</f>
        <v/>
      </c>
      <c r="AN137" s="75">
        <f>$C137*INDEX(Curves!$BB$8:$BB$68,AN$4-$B137+1)</f>
        <v/>
      </c>
      <c r="AO137" s="75">
        <f>$C137*INDEX(Curves!$BB$8:$BB$68,AO$4-$B137+1)</f>
        <v/>
      </c>
      <c r="AP137" s="75">
        <f>$C137*INDEX(Curves!$BB$8:$BB$68,AP$4-$B137+1)</f>
        <v/>
      </c>
      <c r="AQ137" s="75">
        <f>$C137*INDEX(Curves!$BB$8:$BB$68,AQ$4-$B137+1)</f>
        <v/>
      </c>
      <c r="AR137" s="75">
        <f>$C137*INDEX(Curves!$BB$8:$BB$68,AR$4-$B137+1)</f>
        <v/>
      </c>
      <c r="AS137" s="75">
        <f>$C137*INDEX(Curves!$BB$8:$BB$68,AS$4-$B137+1)</f>
        <v/>
      </c>
      <c r="AT137" s="75">
        <f>$C137*INDEX(Curves!$BB$8:$BB$68,AT$4-$B137+1)</f>
        <v/>
      </c>
      <c r="AU137" s="75">
        <f>$C137*INDEX(Curves!$BB$8:$BB$68,AU$4-$B137+1)</f>
        <v/>
      </c>
      <c r="AV137" s="75">
        <f>$C137*INDEX(Curves!$BB$8:$BB$68,AV$4-$B137+1)</f>
        <v/>
      </c>
      <c r="AW137" s="75">
        <f>$C137*INDEX(Curves!$BB$8:$BB$68,AW$4-$B137+1)</f>
        <v/>
      </c>
      <c r="AX137" s="75">
        <f>$C137*INDEX(Curves!$BB$8:$BB$68,AX$4-$B137+1)</f>
        <v/>
      </c>
      <c r="AY137" s="75">
        <f>$C137*INDEX(Curves!$BB$8:$BB$68,AY$4-$B137+1)</f>
        <v/>
      </c>
      <c r="AZ137" s="75">
        <f>$C137*INDEX(Curves!$BB$8:$BB$68,AZ$4-$B137+1)</f>
        <v/>
      </c>
      <c r="BA137" s="75">
        <f>$C137*INDEX(Curves!$BB$8:$BB$68,BA$4-$B137+1)</f>
        <v/>
      </c>
      <c r="BB137" s="75">
        <f>$C137*INDEX(Curves!$BB$8:$BB$68,BB$4-$B137+1)</f>
        <v/>
      </c>
      <c r="BC137" s="75">
        <f>$C137*INDEX(Curves!$BB$8:$BB$68,BC$4-$B137+1)</f>
        <v/>
      </c>
      <c r="BD137" s="75">
        <f>$C137*INDEX(Curves!$BB$8:$BB$68,BD$4-$B137+1)</f>
        <v/>
      </c>
      <c r="BE137" s="75">
        <f>$C137*INDEX(Curves!$BB$8:$BB$68,BE$4-$B137+1)</f>
        <v/>
      </c>
      <c r="BF137" s="75">
        <f>$C137*INDEX(Curves!$BB$8:$BB$68,BF$4-$B137+1)</f>
        <v/>
      </c>
      <c r="BG137" s="75">
        <f>$C137*INDEX(Curves!$BB$8:$BB$68,BG$4-$B137+1)</f>
        <v/>
      </c>
      <c r="BH137" s="75">
        <f>$C137*INDEX(Curves!$BB$8:$BB$68,BH$4-$B137+1)</f>
        <v/>
      </c>
      <c r="BI137" s="75">
        <f>$C137*INDEX(Curves!$BB$8:$BB$68,BI$4-$B137+1)</f>
        <v/>
      </c>
      <c r="BJ137" s="75">
        <f>$C137*INDEX(Curves!$BB$8:$BB$68,BJ$4-$B137+1)</f>
        <v/>
      </c>
      <c r="BK137" s="75">
        <f>$C137*INDEX(Curves!$BB$8:$BB$68,BK$4-$B137+1)</f>
        <v/>
      </c>
      <c r="BL137" s="75">
        <f>$C137*INDEX(Curves!$BB$8:$BB$68,BL$4-$B137+1)</f>
        <v/>
      </c>
    </row>
    <row r="138">
      <c r="A138" s="74" t="inlineStr">
        <is>
          <t>Cohort month 3</t>
        </is>
      </c>
      <c r="B138" s="74" t="n">
        <v>3</v>
      </c>
      <c r="C138" s="17">
        <f>INDEX(Ops!$E$110:$BL$110,1,$B138)</f>
        <v/>
      </c>
      <c r="H138" s="75">
        <f>$C138*INDEX(Curves!$BB$8:$BB$68,H$4-$B138+1)</f>
        <v/>
      </c>
      <c r="I138" s="75">
        <f>$C138*INDEX(Curves!$BB$8:$BB$68,I$4-$B138+1)</f>
        <v/>
      </c>
      <c r="J138" s="75">
        <f>$C138*INDEX(Curves!$BB$8:$BB$68,J$4-$B138+1)</f>
        <v/>
      </c>
      <c r="K138" s="75">
        <f>$C138*INDEX(Curves!$BB$8:$BB$68,K$4-$B138+1)</f>
        <v/>
      </c>
      <c r="L138" s="75">
        <f>$C138*INDEX(Curves!$BB$8:$BB$68,L$4-$B138+1)</f>
        <v/>
      </c>
      <c r="M138" s="75">
        <f>$C138*INDEX(Curves!$BB$8:$BB$68,M$4-$B138+1)</f>
        <v/>
      </c>
      <c r="N138" s="75">
        <f>$C138*INDEX(Curves!$BB$8:$BB$68,N$4-$B138+1)</f>
        <v/>
      </c>
      <c r="O138" s="75">
        <f>$C138*INDEX(Curves!$BB$8:$BB$68,O$4-$B138+1)</f>
        <v/>
      </c>
      <c r="P138" s="75">
        <f>$C138*INDEX(Curves!$BB$8:$BB$68,P$4-$B138+1)</f>
        <v/>
      </c>
      <c r="Q138" s="75">
        <f>$C138*INDEX(Curves!$BB$8:$BB$68,Q$4-$B138+1)</f>
        <v/>
      </c>
      <c r="R138" s="75">
        <f>$C138*INDEX(Curves!$BB$8:$BB$68,R$4-$B138+1)</f>
        <v/>
      </c>
      <c r="S138" s="75">
        <f>$C138*INDEX(Curves!$BB$8:$BB$68,S$4-$B138+1)</f>
        <v/>
      </c>
      <c r="T138" s="75">
        <f>$C138*INDEX(Curves!$BB$8:$BB$68,T$4-$B138+1)</f>
        <v/>
      </c>
      <c r="U138" s="75">
        <f>$C138*INDEX(Curves!$BB$8:$BB$68,U$4-$B138+1)</f>
        <v/>
      </c>
      <c r="V138" s="75">
        <f>$C138*INDEX(Curves!$BB$8:$BB$68,V$4-$B138+1)</f>
        <v/>
      </c>
      <c r="W138" s="75">
        <f>$C138*INDEX(Curves!$BB$8:$BB$68,W$4-$B138+1)</f>
        <v/>
      </c>
      <c r="X138" s="75">
        <f>$C138*INDEX(Curves!$BB$8:$BB$68,X$4-$B138+1)</f>
        <v/>
      </c>
      <c r="Y138" s="75">
        <f>$C138*INDEX(Curves!$BB$8:$BB$68,Y$4-$B138+1)</f>
        <v/>
      </c>
      <c r="Z138" s="75">
        <f>$C138*INDEX(Curves!$BB$8:$BB$68,Z$4-$B138+1)</f>
        <v/>
      </c>
      <c r="AA138" s="75">
        <f>$C138*INDEX(Curves!$BB$8:$BB$68,AA$4-$B138+1)</f>
        <v/>
      </c>
      <c r="AB138" s="75">
        <f>$C138*INDEX(Curves!$BB$8:$BB$68,AB$4-$B138+1)</f>
        <v/>
      </c>
      <c r="AC138" s="75">
        <f>$C138*INDEX(Curves!$BB$8:$BB$68,AC$4-$B138+1)</f>
        <v/>
      </c>
      <c r="AD138" s="75">
        <f>$C138*INDEX(Curves!$BB$8:$BB$68,AD$4-$B138+1)</f>
        <v/>
      </c>
      <c r="AE138" s="75">
        <f>$C138*INDEX(Curves!$BB$8:$BB$68,AE$4-$B138+1)</f>
        <v/>
      </c>
      <c r="AF138" s="75">
        <f>$C138*INDEX(Curves!$BB$8:$BB$68,AF$4-$B138+1)</f>
        <v/>
      </c>
      <c r="AG138" s="75">
        <f>$C138*INDEX(Curves!$BB$8:$BB$68,AG$4-$B138+1)</f>
        <v/>
      </c>
      <c r="AH138" s="75">
        <f>$C138*INDEX(Curves!$BB$8:$BB$68,AH$4-$B138+1)</f>
        <v/>
      </c>
      <c r="AI138" s="75">
        <f>$C138*INDEX(Curves!$BB$8:$BB$68,AI$4-$B138+1)</f>
        <v/>
      </c>
      <c r="AJ138" s="75">
        <f>$C138*INDEX(Curves!$BB$8:$BB$68,AJ$4-$B138+1)</f>
        <v/>
      </c>
      <c r="AK138" s="75">
        <f>$C138*INDEX(Curves!$BB$8:$BB$68,AK$4-$B138+1)</f>
        <v/>
      </c>
      <c r="AL138" s="75">
        <f>$C138*INDEX(Curves!$BB$8:$BB$68,AL$4-$B138+1)</f>
        <v/>
      </c>
      <c r="AM138" s="75">
        <f>$C138*INDEX(Curves!$BB$8:$BB$68,AM$4-$B138+1)</f>
        <v/>
      </c>
      <c r="AN138" s="75">
        <f>$C138*INDEX(Curves!$BB$8:$BB$68,AN$4-$B138+1)</f>
        <v/>
      </c>
      <c r="AO138" s="75">
        <f>$C138*INDEX(Curves!$BB$8:$BB$68,AO$4-$B138+1)</f>
        <v/>
      </c>
      <c r="AP138" s="75">
        <f>$C138*INDEX(Curves!$BB$8:$BB$68,AP$4-$B138+1)</f>
        <v/>
      </c>
      <c r="AQ138" s="75">
        <f>$C138*INDEX(Curves!$BB$8:$BB$68,AQ$4-$B138+1)</f>
        <v/>
      </c>
      <c r="AR138" s="75">
        <f>$C138*INDEX(Curves!$BB$8:$BB$68,AR$4-$B138+1)</f>
        <v/>
      </c>
      <c r="AS138" s="75">
        <f>$C138*INDEX(Curves!$BB$8:$BB$68,AS$4-$B138+1)</f>
        <v/>
      </c>
      <c r="AT138" s="75">
        <f>$C138*INDEX(Curves!$BB$8:$BB$68,AT$4-$B138+1)</f>
        <v/>
      </c>
      <c r="AU138" s="75">
        <f>$C138*INDEX(Curves!$BB$8:$BB$68,AU$4-$B138+1)</f>
        <v/>
      </c>
      <c r="AV138" s="75">
        <f>$C138*INDEX(Curves!$BB$8:$BB$68,AV$4-$B138+1)</f>
        <v/>
      </c>
      <c r="AW138" s="75">
        <f>$C138*INDEX(Curves!$BB$8:$BB$68,AW$4-$B138+1)</f>
        <v/>
      </c>
      <c r="AX138" s="75">
        <f>$C138*INDEX(Curves!$BB$8:$BB$68,AX$4-$B138+1)</f>
        <v/>
      </c>
      <c r="AY138" s="75">
        <f>$C138*INDEX(Curves!$BB$8:$BB$68,AY$4-$B138+1)</f>
        <v/>
      </c>
      <c r="AZ138" s="75">
        <f>$C138*INDEX(Curves!$BB$8:$BB$68,AZ$4-$B138+1)</f>
        <v/>
      </c>
      <c r="BA138" s="75">
        <f>$C138*INDEX(Curves!$BB$8:$BB$68,BA$4-$B138+1)</f>
        <v/>
      </c>
      <c r="BB138" s="75">
        <f>$C138*INDEX(Curves!$BB$8:$BB$68,BB$4-$B138+1)</f>
        <v/>
      </c>
      <c r="BC138" s="75">
        <f>$C138*INDEX(Curves!$BB$8:$BB$68,BC$4-$B138+1)</f>
        <v/>
      </c>
      <c r="BD138" s="75">
        <f>$C138*INDEX(Curves!$BB$8:$BB$68,BD$4-$B138+1)</f>
        <v/>
      </c>
      <c r="BE138" s="75">
        <f>$C138*INDEX(Curves!$BB$8:$BB$68,BE$4-$B138+1)</f>
        <v/>
      </c>
      <c r="BF138" s="75">
        <f>$C138*INDEX(Curves!$BB$8:$BB$68,BF$4-$B138+1)</f>
        <v/>
      </c>
      <c r="BG138" s="75">
        <f>$C138*INDEX(Curves!$BB$8:$BB$68,BG$4-$B138+1)</f>
        <v/>
      </c>
      <c r="BH138" s="75">
        <f>$C138*INDEX(Curves!$BB$8:$BB$68,BH$4-$B138+1)</f>
        <v/>
      </c>
      <c r="BI138" s="75">
        <f>$C138*INDEX(Curves!$BB$8:$BB$68,BI$4-$B138+1)</f>
        <v/>
      </c>
      <c r="BJ138" s="75">
        <f>$C138*INDEX(Curves!$BB$8:$BB$68,BJ$4-$B138+1)</f>
        <v/>
      </c>
      <c r="BK138" s="75">
        <f>$C138*INDEX(Curves!$BB$8:$BB$68,BK$4-$B138+1)</f>
        <v/>
      </c>
      <c r="BL138" s="75">
        <f>$C138*INDEX(Curves!$BB$8:$BB$68,BL$4-$B138+1)</f>
        <v/>
      </c>
    </row>
    <row r="139">
      <c r="A139" s="74" t="inlineStr">
        <is>
          <t>Cohort month 4</t>
        </is>
      </c>
      <c r="B139" s="74" t="n">
        <v>4</v>
      </c>
      <c r="C139" s="17">
        <f>INDEX(Ops!$E$110:$BL$110,1,$B139)</f>
        <v/>
      </c>
      <c r="I139" s="75">
        <f>$C139*INDEX(Curves!$BB$8:$BB$68,I$4-$B139+1)</f>
        <v/>
      </c>
      <c r="J139" s="75">
        <f>$C139*INDEX(Curves!$BB$8:$BB$68,J$4-$B139+1)</f>
        <v/>
      </c>
      <c r="K139" s="75">
        <f>$C139*INDEX(Curves!$BB$8:$BB$68,K$4-$B139+1)</f>
        <v/>
      </c>
      <c r="L139" s="75">
        <f>$C139*INDEX(Curves!$BB$8:$BB$68,L$4-$B139+1)</f>
        <v/>
      </c>
      <c r="M139" s="75">
        <f>$C139*INDEX(Curves!$BB$8:$BB$68,M$4-$B139+1)</f>
        <v/>
      </c>
      <c r="N139" s="75">
        <f>$C139*INDEX(Curves!$BB$8:$BB$68,N$4-$B139+1)</f>
        <v/>
      </c>
      <c r="O139" s="75">
        <f>$C139*INDEX(Curves!$BB$8:$BB$68,O$4-$B139+1)</f>
        <v/>
      </c>
      <c r="P139" s="75">
        <f>$C139*INDEX(Curves!$BB$8:$BB$68,P$4-$B139+1)</f>
        <v/>
      </c>
      <c r="Q139" s="75">
        <f>$C139*INDEX(Curves!$BB$8:$BB$68,Q$4-$B139+1)</f>
        <v/>
      </c>
      <c r="R139" s="75">
        <f>$C139*INDEX(Curves!$BB$8:$BB$68,R$4-$B139+1)</f>
        <v/>
      </c>
      <c r="S139" s="75">
        <f>$C139*INDEX(Curves!$BB$8:$BB$68,S$4-$B139+1)</f>
        <v/>
      </c>
      <c r="T139" s="75">
        <f>$C139*INDEX(Curves!$BB$8:$BB$68,T$4-$B139+1)</f>
        <v/>
      </c>
      <c r="U139" s="75">
        <f>$C139*INDEX(Curves!$BB$8:$BB$68,U$4-$B139+1)</f>
        <v/>
      </c>
      <c r="V139" s="75">
        <f>$C139*INDEX(Curves!$BB$8:$BB$68,V$4-$B139+1)</f>
        <v/>
      </c>
      <c r="W139" s="75">
        <f>$C139*INDEX(Curves!$BB$8:$BB$68,W$4-$B139+1)</f>
        <v/>
      </c>
      <c r="X139" s="75">
        <f>$C139*INDEX(Curves!$BB$8:$BB$68,X$4-$B139+1)</f>
        <v/>
      </c>
      <c r="Y139" s="75">
        <f>$C139*INDEX(Curves!$BB$8:$BB$68,Y$4-$B139+1)</f>
        <v/>
      </c>
      <c r="Z139" s="75">
        <f>$C139*INDEX(Curves!$BB$8:$BB$68,Z$4-$B139+1)</f>
        <v/>
      </c>
      <c r="AA139" s="75">
        <f>$C139*INDEX(Curves!$BB$8:$BB$68,AA$4-$B139+1)</f>
        <v/>
      </c>
      <c r="AB139" s="75">
        <f>$C139*INDEX(Curves!$BB$8:$BB$68,AB$4-$B139+1)</f>
        <v/>
      </c>
      <c r="AC139" s="75">
        <f>$C139*INDEX(Curves!$BB$8:$BB$68,AC$4-$B139+1)</f>
        <v/>
      </c>
      <c r="AD139" s="75">
        <f>$C139*INDEX(Curves!$BB$8:$BB$68,AD$4-$B139+1)</f>
        <v/>
      </c>
      <c r="AE139" s="75">
        <f>$C139*INDEX(Curves!$BB$8:$BB$68,AE$4-$B139+1)</f>
        <v/>
      </c>
      <c r="AF139" s="75">
        <f>$C139*INDEX(Curves!$BB$8:$BB$68,AF$4-$B139+1)</f>
        <v/>
      </c>
      <c r="AG139" s="75">
        <f>$C139*INDEX(Curves!$BB$8:$BB$68,AG$4-$B139+1)</f>
        <v/>
      </c>
      <c r="AH139" s="75">
        <f>$C139*INDEX(Curves!$BB$8:$BB$68,AH$4-$B139+1)</f>
        <v/>
      </c>
      <c r="AI139" s="75">
        <f>$C139*INDEX(Curves!$BB$8:$BB$68,AI$4-$B139+1)</f>
        <v/>
      </c>
      <c r="AJ139" s="75">
        <f>$C139*INDEX(Curves!$BB$8:$BB$68,AJ$4-$B139+1)</f>
        <v/>
      </c>
      <c r="AK139" s="75">
        <f>$C139*INDEX(Curves!$BB$8:$BB$68,AK$4-$B139+1)</f>
        <v/>
      </c>
      <c r="AL139" s="75">
        <f>$C139*INDEX(Curves!$BB$8:$BB$68,AL$4-$B139+1)</f>
        <v/>
      </c>
      <c r="AM139" s="75">
        <f>$C139*INDEX(Curves!$BB$8:$BB$68,AM$4-$B139+1)</f>
        <v/>
      </c>
      <c r="AN139" s="75">
        <f>$C139*INDEX(Curves!$BB$8:$BB$68,AN$4-$B139+1)</f>
        <v/>
      </c>
      <c r="AO139" s="75">
        <f>$C139*INDEX(Curves!$BB$8:$BB$68,AO$4-$B139+1)</f>
        <v/>
      </c>
      <c r="AP139" s="75">
        <f>$C139*INDEX(Curves!$BB$8:$BB$68,AP$4-$B139+1)</f>
        <v/>
      </c>
      <c r="AQ139" s="75">
        <f>$C139*INDEX(Curves!$BB$8:$BB$68,AQ$4-$B139+1)</f>
        <v/>
      </c>
      <c r="AR139" s="75">
        <f>$C139*INDEX(Curves!$BB$8:$BB$68,AR$4-$B139+1)</f>
        <v/>
      </c>
      <c r="AS139" s="75">
        <f>$C139*INDEX(Curves!$BB$8:$BB$68,AS$4-$B139+1)</f>
        <v/>
      </c>
      <c r="AT139" s="75">
        <f>$C139*INDEX(Curves!$BB$8:$BB$68,AT$4-$B139+1)</f>
        <v/>
      </c>
      <c r="AU139" s="75">
        <f>$C139*INDEX(Curves!$BB$8:$BB$68,AU$4-$B139+1)</f>
        <v/>
      </c>
      <c r="AV139" s="75">
        <f>$C139*INDEX(Curves!$BB$8:$BB$68,AV$4-$B139+1)</f>
        <v/>
      </c>
      <c r="AW139" s="75">
        <f>$C139*INDEX(Curves!$BB$8:$BB$68,AW$4-$B139+1)</f>
        <v/>
      </c>
      <c r="AX139" s="75">
        <f>$C139*INDEX(Curves!$BB$8:$BB$68,AX$4-$B139+1)</f>
        <v/>
      </c>
      <c r="AY139" s="75">
        <f>$C139*INDEX(Curves!$BB$8:$BB$68,AY$4-$B139+1)</f>
        <v/>
      </c>
      <c r="AZ139" s="75">
        <f>$C139*INDEX(Curves!$BB$8:$BB$68,AZ$4-$B139+1)</f>
        <v/>
      </c>
      <c r="BA139" s="75">
        <f>$C139*INDEX(Curves!$BB$8:$BB$68,BA$4-$B139+1)</f>
        <v/>
      </c>
      <c r="BB139" s="75">
        <f>$C139*INDEX(Curves!$BB$8:$BB$68,BB$4-$B139+1)</f>
        <v/>
      </c>
      <c r="BC139" s="75">
        <f>$C139*INDEX(Curves!$BB$8:$BB$68,BC$4-$B139+1)</f>
        <v/>
      </c>
      <c r="BD139" s="75">
        <f>$C139*INDEX(Curves!$BB$8:$BB$68,BD$4-$B139+1)</f>
        <v/>
      </c>
      <c r="BE139" s="75">
        <f>$C139*INDEX(Curves!$BB$8:$BB$68,BE$4-$B139+1)</f>
        <v/>
      </c>
      <c r="BF139" s="75">
        <f>$C139*INDEX(Curves!$BB$8:$BB$68,BF$4-$B139+1)</f>
        <v/>
      </c>
      <c r="BG139" s="75">
        <f>$C139*INDEX(Curves!$BB$8:$BB$68,BG$4-$B139+1)</f>
        <v/>
      </c>
      <c r="BH139" s="75">
        <f>$C139*INDEX(Curves!$BB$8:$BB$68,BH$4-$B139+1)</f>
        <v/>
      </c>
      <c r="BI139" s="75">
        <f>$C139*INDEX(Curves!$BB$8:$BB$68,BI$4-$B139+1)</f>
        <v/>
      </c>
      <c r="BJ139" s="75">
        <f>$C139*INDEX(Curves!$BB$8:$BB$68,BJ$4-$B139+1)</f>
        <v/>
      </c>
      <c r="BK139" s="75">
        <f>$C139*INDEX(Curves!$BB$8:$BB$68,BK$4-$B139+1)</f>
        <v/>
      </c>
      <c r="BL139" s="75">
        <f>$C139*INDEX(Curves!$BB$8:$BB$68,BL$4-$B139+1)</f>
        <v/>
      </c>
    </row>
    <row r="140">
      <c r="A140" s="74" t="inlineStr">
        <is>
          <t>Cohort month 5</t>
        </is>
      </c>
      <c r="B140" s="74" t="n">
        <v>5</v>
      </c>
      <c r="C140" s="17">
        <f>INDEX(Ops!$E$110:$BL$110,1,$B140)</f>
        <v/>
      </c>
      <c r="J140" s="75">
        <f>$C140*INDEX(Curves!$BB$8:$BB$68,J$4-$B140+1)</f>
        <v/>
      </c>
      <c r="K140" s="75">
        <f>$C140*INDEX(Curves!$BB$8:$BB$68,K$4-$B140+1)</f>
        <v/>
      </c>
      <c r="L140" s="75">
        <f>$C140*INDEX(Curves!$BB$8:$BB$68,L$4-$B140+1)</f>
        <v/>
      </c>
      <c r="M140" s="75">
        <f>$C140*INDEX(Curves!$BB$8:$BB$68,M$4-$B140+1)</f>
        <v/>
      </c>
      <c r="N140" s="75">
        <f>$C140*INDEX(Curves!$BB$8:$BB$68,N$4-$B140+1)</f>
        <v/>
      </c>
      <c r="O140" s="75">
        <f>$C140*INDEX(Curves!$BB$8:$BB$68,O$4-$B140+1)</f>
        <v/>
      </c>
      <c r="P140" s="75">
        <f>$C140*INDEX(Curves!$BB$8:$BB$68,P$4-$B140+1)</f>
        <v/>
      </c>
      <c r="Q140" s="75">
        <f>$C140*INDEX(Curves!$BB$8:$BB$68,Q$4-$B140+1)</f>
        <v/>
      </c>
      <c r="R140" s="75">
        <f>$C140*INDEX(Curves!$BB$8:$BB$68,R$4-$B140+1)</f>
        <v/>
      </c>
      <c r="S140" s="75">
        <f>$C140*INDEX(Curves!$BB$8:$BB$68,S$4-$B140+1)</f>
        <v/>
      </c>
      <c r="T140" s="75">
        <f>$C140*INDEX(Curves!$BB$8:$BB$68,T$4-$B140+1)</f>
        <v/>
      </c>
      <c r="U140" s="75">
        <f>$C140*INDEX(Curves!$BB$8:$BB$68,U$4-$B140+1)</f>
        <v/>
      </c>
      <c r="V140" s="75">
        <f>$C140*INDEX(Curves!$BB$8:$BB$68,V$4-$B140+1)</f>
        <v/>
      </c>
      <c r="W140" s="75">
        <f>$C140*INDEX(Curves!$BB$8:$BB$68,W$4-$B140+1)</f>
        <v/>
      </c>
      <c r="X140" s="75">
        <f>$C140*INDEX(Curves!$BB$8:$BB$68,X$4-$B140+1)</f>
        <v/>
      </c>
      <c r="Y140" s="75">
        <f>$C140*INDEX(Curves!$BB$8:$BB$68,Y$4-$B140+1)</f>
        <v/>
      </c>
      <c r="Z140" s="75">
        <f>$C140*INDEX(Curves!$BB$8:$BB$68,Z$4-$B140+1)</f>
        <v/>
      </c>
      <c r="AA140" s="75">
        <f>$C140*INDEX(Curves!$BB$8:$BB$68,AA$4-$B140+1)</f>
        <v/>
      </c>
      <c r="AB140" s="75">
        <f>$C140*INDEX(Curves!$BB$8:$BB$68,AB$4-$B140+1)</f>
        <v/>
      </c>
      <c r="AC140" s="75">
        <f>$C140*INDEX(Curves!$BB$8:$BB$68,AC$4-$B140+1)</f>
        <v/>
      </c>
      <c r="AD140" s="75">
        <f>$C140*INDEX(Curves!$BB$8:$BB$68,AD$4-$B140+1)</f>
        <v/>
      </c>
      <c r="AE140" s="75">
        <f>$C140*INDEX(Curves!$BB$8:$BB$68,AE$4-$B140+1)</f>
        <v/>
      </c>
      <c r="AF140" s="75">
        <f>$C140*INDEX(Curves!$BB$8:$BB$68,AF$4-$B140+1)</f>
        <v/>
      </c>
      <c r="AG140" s="75">
        <f>$C140*INDEX(Curves!$BB$8:$BB$68,AG$4-$B140+1)</f>
        <v/>
      </c>
      <c r="AH140" s="75">
        <f>$C140*INDEX(Curves!$BB$8:$BB$68,AH$4-$B140+1)</f>
        <v/>
      </c>
      <c r="AI140" s="75">
        <f>$C140*INDEX(Curves!$BB$8:$BB$68,AI$4-$B140+1)</f>
        <v/>
      </c>
      <c r="AJ140" s="75">
        <f>$C140*INDEX(Curves!$BB$8:$BB$68,AJ$4-$B140+1)</f>
        <v/>
      </c>
      <c r="AK140" s="75">
        <f>$C140*INDEX(Curves!$BB$8:$BB$68,AK$4-$B140+1)</f>
        <v/>
      </c>
      <c r="AL140" s="75">
        <f>$C140*INDEX(Curves!$BB$8:$BB$68,AL$4-$B140+1)</f>
        <v/>
      </c>
      <c r="AM140" s="75">
        <f>$C140*INDEX(Curves!$BB$8:$BB$68,AM$4-$B140+1)</f>
        <v/>
      </c>
      <c r="AN140" s="75">
        <f>$C140*INDEX(Curves!$BB$8:$BB$68,AN$4-$B140+1)</f>
        <v/>
      </c>
      <c r="AO140" s="75">
        <f>$C140*INDEX(Curves!$BB$8:$BB$68,AO$4-$B140+1)</f>
        <v/>
      </c>
      <c r="AP140" s="75">
        <f>$C140*INDEX(Curves!$BB$8:$BB$68,AP$4-$B140+1)</f>
        <v/>
      </c>
      <c r="AQ140" s="75">
        <f>$C140*INDEX(Curves!$BB$8:$BB$68,AQ$4-$B140+1)</f>
        <v/>
      </c>
      <c r="AR140" s="75">
        <f>$C140*INDEX(Curves!$BB$8:$BB$68,AR$4-$B140+1)</f>
        <v/>
      </c>
      <c r="AS140" s="75">
        <f>$C140*INDEX(Curves!$BB$8:$BB$68,AS$4-$B140+1)</f>
        <v/>
      </c>
      <c r="AT140" s="75">
        <f>$C140*INDEX(Curves!$BB$8:$BB$68,AT$4-$B140+1)</f>
        <v/>
      </c>
      <c r="AU140" s="75">
        <f>$C140*INDEX(Curves!$BB$8:$BB$68,AU$4-$B140+1)</f>
        <v/>
      </c>
      <c r="AV140" s="75">
        <f>$C140*INDEX(Curves!$BB$8:$BB$68,AV$4-$B140+1)</f>
        <v/>
      </c>
      <c r="AW140" s="75">
        <f>$C140*INDEX(Curves!$BB$8:$BB$68,AW$4-$B140+1)</f>
        <v/>
      </c>
      <c r="AX140" s="75">
        <f>$C140*INDEX(Curves!$BB$8:$BB$68,AX$4-$B140+1)</f>
        <v/>
      </c>
      <c r="AY140" s="75">
        <f>$C140*INDEX(Curves!$BB$8:$BB$68,AY$4-$B140+1)</f>
        <v/>
      </c>
      <c r="AZ140" s="75">
        <f>$C140*INDEX(Curves!$BB$8:$BB$68,AZ$4-$B140+1)</f>
        <v/>
      </c>
      <c r="BA140" s="75">
        <f>$C140*INDEX(Curves!$BB$8:$BB$68,BA$4-$B140+1)</f>
        <v/>
      </c>
      <c r="BB140" s="75">
        <f>$C140*INDEX(Curves!$BB$8:$BB$68,BB$4-$B140+1)</f>
        <v/>
      </c>
      <c r="BC140" s="75">
        <f>$C140*INDEX(Curves!$BB$8:$BB$68,BC$4-$B140+1)</f>
        <v/>
      </c>
      <c r="BD140" s="75">
        <f>$C140*INDEX(Curves!$BB$8:$BB$68,BD$4-$B140+1)</f>
        <v/>
      </c>
      <c r="BE140" s="75">
        <f>$C140*INDEX(Curves!$BB$8:$BB$68,BE$4-$B140+1)</f>
        <v/>
      </c>
      <c r="BF140" s="75">
        <f>$C140*INDEX(Curves!$BB$8:$BB$68,BF$4-$B140+1)</f>
        <v/>
      </c>
      <c r="BG140" s="75">
        <f>$C140*INDEX(Curves!$BB$8:$BB$68,BG$4-$B140+1)</f>
        <v/>
      </c>
      <c r="BH140" s="75">
        <f>$C140*INDEX(Curves!$BB$8:$BB$68,BH$4-$B140+1)</f>
        <v/>
      </c>
      <c r="BI140" s="75">
        <f>$C140*INDEX(Curves!$BB$8:$BB$68,BI$4-$B140+1)</f>
        <v/>
      </c>
      <c r="BJ140" s="75">
        <f>$C140*INDEX(Curves!$BB$8:$BB$68,BJ$4-$B140+1)</f>
        <v/>
      </c>
      <c r="BK140" s="75">
        <f>$C140*INDEX(Curves!$BB$8:$BB$68,BK$4-$B140+1)</f>
        <v/>
      </c>
      <c r="BL140" s="75">
        <f>$C140*INDEX(Curves!$BB$8:$BB$68,BL$4-$B140+1)</f>
        <v/>
      </c>
    </row>
    <row r="141">
      <c r="A141" s="74" t="inlineStr">
        <is>
          <t>Cohort month 6</t>
        </is>
      </c>
      <c r="B141" s="74" t="n">
        <v>6</v>
      </c>
      <c r="C141" s="17">
        <f>INDEX(Ops!$E$110:$BL$110,1,$B141)</f>
        <v/>
      </c>
      <c r="K141" s="75">
        <f>$C141*INDEX(Curves!$BB$8:$BB$68,K$4-$B141+1)</f>
        <v/>
      </c>
      <c r="L141" s="75">
        <f>$C141*INDEX(Curves!$BB$8:$BB$68,L$4-$B141+1)</f>
        <v/>
      </c>
      <c r="M141" s="75">
        <f>$C141*INDEX(Curves!$BB$8:$BB$68,M$4-$B141+1)</f>
        <v/>
      </c>
      <c r="N141" s="75">
        <f>$C141*INDEX(Curves!$BB$8:$BB$68,N$4-$B141+1)</f>
        <v/>
      </c>
      <c r="O141" s="75">
        <f>$C141*INDEX(Curves!$BB$8:$BB$68,O$4-$B141+1)</f>
        <v/>
      </c>
      <c r="P141" s="75">
        <f>$C141*INDEX(Curves!$BB$8:$BB$68,P$4-$B141+1)</f>
        <v/>
      </c>
      <c r="Q141" s="75">
        <f>$C141*INDEX(Curves!$BB$8:$BB$68,Q$4-$B141+1)</f>
        <v/>
      </c>
      <c r="R141" s="75">
        <f>$C141*INDEX(Curves!$BB$8:$BB$68,R$4-$B141+1)</f>
        <v/>
      </c>
      <c r="S141" s="75">
        <f>$C141*INDEX(Curves!$BB$8:$BB$68,S$4-$B141+1)</f>
        <v/>
      </c>
      <c r="T141" s="75">
        <f>$C141*INDEX(Curves!$BB$8:$BB$68,T$4-$B141+1)</f>
        <v/>
      </c>
      <c r="U141" s="75">
        <f>$C141*INDEX(Curves!$BB$8:$BB$68,U$4-$B141+1)</f>
        <v/>
      </c>
      <c r="V141" s="75">
        <f>$C141*INDEX(Curves!$BB$8:$BB$68,V$4-$B141+1)</f>
        <v/>
      </c>
      <c r="W141" s="75">
        <f>$C141*INDEX(Curves!$BB$8:$BB$68,W$4-$B141+1)</f>
        <v/>
      </c>
      <c r="X141" s="75">
        <f>$C141*INDEX(Curves!$BB$8:$BB$68,X$4-$B141+1)</f>
        <v/>
      </c>
      <c r="Y141" s="75">
        <f>$C141*INDEX(Curves!$BB$8:$BB$68,Y$4-$B141+1)</f>
        <v/>
      </c>
      <c r="Z141" s="75">
        <f>$C141*INDEX(Curves!$BB$8:$BB$68,Z$4-$B141+1)</f>
        <v/>
      </c>
      <c r="AA141" s="75">
        <f>$C141*INDEX(Curves!$BB$8:$BB$68,AA$4-$B141+1)</f>
        <v/>
      </c>
      <c r="AB141" s="75">
        <f>$C141*INDEX(Curves!$BB$8:$BB$68,AB$4-$B141+1)</f>
        <v/>
      </c>
      <c r="AC141" s="75">
        <f>$C141*INDEX(Curves!$BB$8:$BB$68,AC$4-$B141+1)</f>
        <v/>
      </c>
      <c r="AD141" s="75">
        <f>$C141*INDEX(Curves!$BB$8:$BB$68,AD$4-$B141+1)</f>
        <v/>
      </c>
      <c r="AE141" s="75">
        <f>$C141*INDEX(Curves!$BB$8:$BB$68,AE$4-$B141+1)</f>
        <v/>
      </c>
      <c r="AF141" s="75">
        <f>$C141*INDEX(Curves!$BB$8:$BB$68,AF$4-$B141+1)</f>
        <v/>
      </c>
      <c r="AG141" s="75">
        <f>$C141*INDEX(Curves!$BB$8:$BB$68,AG$4-$B141+1)</f>
        <v/>
      </c>
      <c r="AH141" s="75">
        <f>$C141*INDEX(Curves!$BB$8:$BB$68,AH$4-$B141+1)</f>
        <v/>
      </c>
      <c r="AI141" s="75">
        <f>$C141*INDEX(Curves!$BB$8:$BB$68,AI$4-$B141+1)</f>
        <v/>
      </c>
      <c r="AJ141" s="75">
        <f>$C141*INDEX(Curves!$BB$8:$BB$68,AJ$4-$B141+1)</f>
        <v/>
      </c>
      <c r="AK141" s="75">
        <f>$C141*INDEX(Curves!$BB$8:$BB$68,AK$4-$B141+1)</f>
        <v/>
      </c>
      <c r="AL141" s="75">
        <f>$C141*INDEX(Curves!$BB$8:$BB$68,AL$4-$B141+1)</f>
        <v/>
      </c>
      <c r="AM141" s="75">
        <f>$C141*INDEX(Curves!$BB$8:$BB$68,AM$4-$B141+1)</f>
        <v/>
      </c>
      <c r="AN141" s="75">
        <f>$C141*INDEX(Curves!$BB$8:$BB$68,AN$4-$B141+1)</f>
        <v/>
      </c>
      <c r="AO141" s="75">
        <f>$C141*INDEX(Curves!$BB$8:$BB$68,AO$4-$B141+1)</f>
        <v/>
      </c>
      <c r="AP141" s="75">
        <f>$C141*INDEX(Curves!$BB$8:$BB$68,AP$4-$B141+1)</f>
        <v/>
      </c>
      <c r="AQ141" s="75">
        <f>$C141*INDEX(Curves!$BB$8:$BB$68,AQ$4-$B141+1)</f>
        <v/>
      </c>
      <c r="AR141" s="75">
        <f>$C141*INDEX(Curves!$BB$8:$BB$68,AR$4-$B141+1)</f>
        <v/>
      </c>
      <c r="AS141" s="75">
        <f>$C141*INDEX(Curves!$BB$8:$BB$68,AS$4-$B141+1)</f>
        <v/>
      </c>
      <c r="AT141" s="75">
        <f>$C141*INDEX(Curves!$BB$8:$BB$68,AT$4-$B141+1)</f>
        <v/>
      </c>
      <c r="AU141" s="75">
        <f>$C141*INDEX(Curves!$BB$8:$BB$68,AU$4-$B141+1)</f>
        <v/>
      </c>
      <c r="AV141" s="75">
        <f>$C141*INDEX(Curves!$BB$8:$BB$68,AV$4-$B141+1)</f>
        <v/>
      </c>
      <c r="AW141" s="75">
        <f>$C141*INDEX(Curves!$BB$8:$BB$68,AW$4-$B141+1)</f>
        <v/>
      </c>
      <c r="AX141" s="75">
        <f>$C141*INDEX(Curves!$BB$8:$BB$68,AX$4-$B141+1)</f>
        <v/>
      </c>
      <c r="AY141" s="75">
        <f>$C141*INDEX(Curves!$BB$8:$BB$68,AY$4-$B141+1)</f>
        <v/>
      </c>
      <c r="AZ141" s="75">
        <f>$C141*INDEX(Curves!$BB$8:$BB$68,AZ$4-$B141+1)</f>
        <v/>
      </c>
      <c r="BA141" s="75">
        <f>$C141*INDEX(Curves!$BB$8:$BB$68,BA$4-$B141+1)</f>
        <v/>
      </c>
      <c r="BB141" s="75">
        <f>$C141*INDEX(Curves!$BB$8:$BB$68,BB$4-$B141+1)</f>
        <v/>
      </c>
      <c r="BC141" s="75">
        <f>$C141*INDEX(Curves!$BB$8:$BB$68,BC$4-$B141+1)</f>
        <v/>
      </c>
      <c r="BD141" s="75">
        <f>$C141*INDEX(Curves!$BB$8:$BB$68,BD$4-$B141+1)</f>
        <v/>
      </c>
      <c r="BE141" s="75">
        <f>$C141*INDEX(Curves!$BB$8:$BB$68,BE$4-$B141+1)</f>
        <v/>
      </c>
      <c r="BF141" s="75">
        <f>$C141*INDEX(Curves!$BB$8:$BB$68,BF$4-$B141+1)</f>
        <v/>
      </c>
      <c r="BG141" s="75">
        <f>$C141*INDEX(Curves!$BB$8:$BB$68,BG$4-$B141+1)</f>
        <v/>
      </c>
      <c r="BH141" s="75">
        <f>$C141*INDEX(Curves!$BB$8:$BB$68,BH$4-$B141+1)</f>
        <v/>
      </c>
      <c r="BI141" s="75">
        <f>$C141*INDEX(Curves!$BB$8:$BB$68,BI$4-$B141+1)</f>
        <v/>
      </c>
      <c r="BJ141" s="75">
        <f>$C141*INDEX(Curves!$BB$8:$BB$68,BJ$4-$B141+1)</f>
        <v/>
      </c>
      <c r="BK141" s="75">
        <f>$C141*INDEX(Curves!$BB$8:$BB$68,BK$4-$B141+1)</f>
        <v/>
      </c>
      <c r="BL141" s="75">
        <f>$C141*INDEX(Curves!$BB$8:$BB$68,BL$4-$B141+1)</f>
        <v/>
      </c>
    </row>
    <row r="142">
      <c r="A142" s="74" t="inlineStr">
        <is>
          <t>Cohort month 7</t>
        </is>
      </c>
      <c r="B142" s="74" t="n">
        <v>7</v>
      </c>
      <c r="C142" s="17">
        <f>INDEX(Ops!$E$110:$BL$110,1,$B142)</f>
        <v/>
      </c>
      <c r="L142" s="75">
        <f>$C142*INDEX(Curves!$BB$8:$BB$68,L$4-$B142+1)</f>
        <v/>
      </c>
      <c r="M142" s="75">
        <f>$C142*INDEX(Curves!$BB$8:$BB$68,M$4-$B142+1)</f>
        <v/>
      </c>
      <c r="N142" s="75">
        <f>$C142*INDEX(Curves!$BB$8:$BB$68,N$4-$B142+1)</f>
        <v/>
      </c>
      <c r="O142" s="75">
        <f>$C142*INDEX(Curves!$BB$8:$BB$68,O$4-$B142+1)</f>
        <v/>
      </c>
      <c r="P142" s="75">
        <f>$C142*INDEX(Curves!$BB$8:$BB$68,P$4-$B142+1)</f>
        <v/>
      </c>
      <c r="Q142" s="75">
        <f>$C142*INDEX(Curves!$BB$8:$BB$68,Q$4-$B142+1)</f>
        <v/>
      </c>
      <c r="R142" s="75">
        <f>$C142*INDEX(Curves!$BB$8:$BB$68,R$4-$B142+1)</f>
        <v/>
      </c>
      <c r="S142" s="75">
        <f>$C142*INDEX(Curves!$BB$8:$BB$68,S$4-$B142+1)</f>
        <v/>
      </c>
      <c r="T142" s="75">
        <f>$C142*INDEX(Curves!$BB$8:$BB$68,T$4-$B142+1)</f>
        <v/>
      </c>
      <c r="U142" s="75">
        <f>$C142*INDEX(Curves!$BB$8:$BB$68,U$4-$B142+1)</f>
        <v/>
      </c>
      <c r="V142" s="75">
        <f>$C142*INDEX(Curves!$BB$8:$BB$68,V$4-$B142+1)</f>
        <v/>
      </c>
      <c r="W142" s="75">
        <f>$C142*INDEX(Curves!$BB$8:$BB$68,W$4-$B142+1)</f>
        <v/>
      </c>
      <c r="X142" s="75">
        <f>$C142*INDEX(Curves!$BB$8:$BB$68,X$4-$B142+1)</f>
        <v/>
      </c>
      <c r="Y142" s="75">
        <f>$C142*INDEX(Curves!$BB$8:$BB$68,Y$4-$B142+1)</f>
        <v/>
      </c>
      <c r="Z142" s="75">
        <f>$C142*INDEX(Curves!$BB$8:$BB$68,Z$4-$B142+1)</f>
        <v/>
      </c>
      <c r="AA142" s="75">
        <f>$C142*INDEX(Curves!$BB$8:$BB$68,AA$4-$B142+1)</f>
        <v/>
      </c>
      <c r="AB142" s="75">
        <f>$C142*INDEX(Curves!$BB$8:$BB$68,AB$4-$B142+1)</f>
        <v/>
      </c>
      <c r="AC142" s="75">
        <f>$C142*INDEX(Curves!$BB$8:$BB$68,AC$4-$B142+1)</f>
        <v/>
      </c>
      <c r="AD142" s="75">
        <f>$C142*INDEX(Curves!$BB$8:$BB$68,AD$4-$B142+1)</f>
        <v/>
      </c>
      <c r="AE142" s="75">
        <f>$C142*INDEX(Curves!$BB$8:$BB$68,AE$4-$B142+1)</f>
        <v/>
      </c>
      <c r="AF142" s="75">
        <f>$C142*INDEX(Curves!$BB$8:$BB$68,AF$4-$B142+1)</f>
        <v/>
      </c>
      <c r="AG142" s="75">
        <f>$C142*INDEX(Curves!$BB$8:$BB$68,AG$4-$B142+1)</f>
        <v/>
      </c>
      <c r="AH142" s="75">
        <f>$C142*INDEX(Curves!$BB$8:$BB$68,AH$4-$B142+1)</f>
        <v/>
      </c>
      <c r="AI142" s="75">
        <f>$C142*INDEX(Curves!$BB$8:$BB$68,AI$4-$B142+1)</f>
        <v/>
      </c>
      <c r="AJ142" s="75">
        <f>$C142*INDEX(Curves!$BB$8:$BB$68,AJ$4-$B142+1)</f>
        <v/>
      </c>
      <c r="AK142" s="75">
        <f>$C142*INDEX(Curves!$BB$8:$BB$68,AK$4-$B142+1)</f>
        <v/>
      </c>
      <c r="AL142" s="75">
        <f>$C142*INDEX(Curves!$BB$8:$BB$68,AL$4-$B142+1)</f>
        <v/>
      </c>
      <c r="AM142" s="75">
        <f>$C142*INDEX(Curves!$BB$8:$BB$68,AM$4-$B142+1)</f>
        <v/>
      </c>
      <c r="AN142" s="75">
        <f>$C142*INDEX(Curves!$BB$8:$BB$68,AN$4-$B142+1)</f>
        <v/>
      </c>
      <c r="AO142" s="75">
        <f>$C142*INDEX(Curves!$BB$8:$BB$68,AO$4-$B142+1)</f>
        <v/>
      </c>
      <c r="AP142" s="75">
        <f>$C142*INDEX(Curves!$BB$8:$BB$68,AP$4-$B142+1)</f>
        <v/>
      </c>
      <c r="AQ142" s="75">
        <f>$C142*INDEX(Curves!$BB$8:$BB$68,AQ$4-$B142+1)</f>
        <v/>
      </c>
      <c r="AR142" s="75">
        <f>$C142*INDEX(Curves!$BB$8:$BB$68,AR$4-$B142+1)</f>
        <v/>
      </c>
      <c r="AS142" s="75">
        <f>$C142*INDEX(Curves!$BB$8:$BB$68,AS$4-$B142+1)</f>
        <v/>
      </c>
      <c r="AT142" s="75">
        <f>$C142*INDEX(Curves!$BB$8:$BB$68,AT$4-$B142+1)</f>
        <v/>
      </c>
      <c r="AU142" s="75">
        <f>$C142*INDEX(Curves!$BB$8:$BB$68,AU$4-$B142+1)</f>
        <v/>
      </c>
      <c r="AV142" s="75">
        <f>$C142*INDEX(Curves!$BB$8:$BB$68,AV$4-$B142+1)</f>
        <v/>
      </c>
      <c r="AW142" s="75">
        <f>$C142*INDEX(Curves!$BB$8:$BB$68,AW$4-$B142+1)</f>
        <v/>
      </c>
      <c r="AX142" s="75">
        <f>$C142*INDEX(Curves!$BB$8:$BB$68,AX$4-$B142+1)</f>
        <v/>
      </c>
      <c r="AY142" s="75">
        <f>$C142*INDEX(Curves!$BB$8:$BB$68,AY$4-$B142+1)</f>
        <v/>
      </c>
      <c r="AZ142" s="75">
        <f>$C142*INDEX(Curves!$BB$8:$BB$68,AZ$4-$B142+1)</f>
        <v/>
      </c>
      <c r="BA142" s="75">
        <f>$C142*INDEX(Curves!$BB$8:$BB$68,BA$4-$B142+1)</f>
        <v/>
      </c>
      <c r="BB142" s="75">
        <f>$C142*INDEX(Curves!$BB$8:$BB$68,BB$4-$B142+1)</f>
        <v/>
      </c>
      <c r="BC142" s="75">
        <f>$C142*INDEX(Curves!$BB$8:$BB$68,BC$4-$B142+1)</f>
        <v/>
      </c>
      <c r="BD142" s="75">
        <f>$C142*INDEX(Curves!$BB$8:$BB$68,BD$4-$B142+1)</f>
        <v/>
      </c>
      <c r="BE142" s="75">
        <f>$C142*INDEX(Curves!$BB$8:$BB$68,BE$4-$B142+1)</f>
        <v/>
      </c>
      <c r="BF142" s="75">
        <f>$C142*INDEX(Curves!$BB$8:$BB$68,BF$4-$B142+1)</f>
        <v/>
      </c>
      <c r="BG142" s="75">
        <f>$C142*INDEX(Curves!$BB$8:$BB$68,BG$4-$B142+1)</f>
        <v/>
      </c>
      <c r="BH142" s="75">
        <f>$C142*INDEX(Curves!$BB$8:$BB$68,BH$4-$B142+1)</f>
        <v/>
      </c>
      <c r="BI142" s="75">
        <f>$C142*INDEX(Curves!$BB$8:$BB$68,BI$4-$B142+1)</f>
        <v/>
      </c>
      <c r="BJ142" s="75">
        <f>$C142*INDEX(Curves!$BB$8:$BB$68,BJ$4-$B142+1)</f>
        <v/>
      </c>
      <c r="BK142" s="75">
        <f>$C142*INDEX(Curves!$BB$8:$BB$68,BK$4-$B142+1)</f>
        <v/>
      </c>
      <c r="BL142" s="75">
        <f>$C142*INDEX(Curves!$BB$8:$BB$68,BL$4-$B142+1)</f>
        <v/>
      </c>
    </row>
    <row r="143">
      <c r="A143" s="74" t="inlineStr">
        <is>
          <t>Cohort month 8</t>
        </is>
      </c>
      <c r="B143" s="74" t="n">
        <v>8</v>
      </c>
      <c r="C143" s="17">
        <f>INDEX(Ops!$E$110:$BL$110,1,$B143)</f>
        <v/>
      </c>
      <c r="M143" s="75">
        <f>$C143*INDEX(Curves!$BB$8:$BB$68,M$4-$B143+1)</f>
        <v/>
      </c>
      <c r="N143" s="75">
        <f>$C143*INDEX(Curves!$BB$8:$BB$68,N$4-$B143+1)</f>
        <v/>
      </c>
      <c r="O143" s="75">
        <f>$C143*INDEX(Curves!$BB$8:$BB$68,O$4-$B143+1)</f>
        <v/>
      </c>
      <c r="P143" s="75">
        <f>$C143*INDEX(Curves!$BB$8:$BB$68,P$4-$B143+1)</f>
        <v/>
      </c>
      <c r="Q143" s="75">
        <f>$C143*INDEX(Curves!$BB$8:$BB$68,Q$4-$B143+1)</f>
        <v/>
      </c>
      <c r="R143" s="75">
        <f>$C143*INDEX(Curves!$BB$8:$BB$68,R$4-$B143+1)</f>
        <v/>
      </c>
      <c r="S143" s="75">
        <f>$C143*INDEX(Curves!$BB$8:$BB$68,S$4-$B143+1)</f>
        <v/>
      </c>
      <c r="T143" s="75">
        <f>$C143*INDEX(Curves!$BB$8:$BB$68,T$4-$B143+1)</f>
        <v/>
      </c>
      <c r="U143" s="75">
        <f>$C143*INDEX(Curves!$BB$8:$BB$68,U$4-$B143+1)</f>
        <v/>
      </c>
      <c r="V143" s="75">
        <f>$C143*INDEX(Curves!$BB$8:$BB$68,V$4-$B143+1)</f>
        <v/>
      </c>
      <c r="W143" s="75">
        <f>$C143*INDEX(Curves!$BB$8:$BB$68,W$4-$B143+1)</f>
        <v/>
      </c>
      <c r="X143" s="75">
        <f>$C143*INDEX(Curves!$BB$8:$BB$68,X$4-$B143+1)</f>
        <v/>
      </c>
      <c r="Y143" s="75">
        <f>$C143*INDEX(Curves!$BB$8:$BB$68,Y$4-$B143+1)</f>
        <v/>
      </c>
      <c r="Z143" s="75">
        <f>$C143*INDEX(Curves!$BB$8:$BB$68,Z$4-$B143+1)</f>
        <v/>
      </c>
      <c r="AA143" s="75">
        <f>$C143*INDEX(Curves!$BB$8:$BB$68,AA$4-$B143+1)</f>
        <v/>
      </c>
      <c r="AB143" s="75">
        <f>$C143*INDEX(Curves!$BB$8:$BB$68,AB$4-$B143+1)</f>
        <v/>
      </c>
      <c r="AC143" s="75">
        <f>$C143*INDEX(Curves!$BB$8:$BB$68,AC$4-$B143+1)</f>
        <v/>
      </c>
      <c r="AD143" s="75">
        <f>$C143*INDEX(Curves!$BB$8:$BB$68,AD$4-$B143+1)</f>
        <v/>
      </c>
      <c r="AE143" s="75">
        <f>$C143*INDEX(Curves!$BB$8:$BB$68,AE$4-$B143+1)</f>
        <v/>
      </c>
      <c r="AF143" s="75">
        <f>$C143*INDEX(Curves!$BB$8:$BB$68,AF$4-$B143+1)</f>
        <v/>
      </c>
      <c r="AG143" s="75">
        <f>$C143*INDEX(Curves!$BB$8:$BB$68,AG$4-$B143+1)</f>
        <v/>
      </c>
      <c r="AH143" s="75">
        <f>$C143*INDEX(Curves!$BB$8:$BB$68,AH$4-$B143+1)</f>
        <v/>
      </c>
      <c r="AI143" s="75">
        <f>$C143*INDEX(Curves!$BB$8:$BB$68,AI$4-$B143+1)</f>
        <v/>
      </c>
      <c r="AJ143" s="75">
        <f>$C143*INDEX(Curves!$BB$8:$BB$68,AJ$4-$B143+1)</f>
        <v/>
      </c>
      <c r="AK143" s="75">
        <f>$C143*INDEX(Curves!$BB$8:$BB$68,AK$4-$B143+1)</f>
        <v/>
      </c>
      <c r="AL143" s="75">
        <f>$C143*INDEX(Curves!$BB$8:$BB$68,AL$4-$B143+1)</f>
        <v/>
      </c>
      <c r="AM143" s="75">
        <f>$C143*INDEX(Curves!$BB$8:$BB$68,AM$4-$B143+1)</f>
        <v/>
      </c>
      <c r="AN143" s="75">
        <f>$C143*INDEX(Curves!$BB$8:$BB$68,AN$4-$B143+1)</f>
        <v/>
      </c>
      <c r="AO143" s="75">
        <f>$C143*INDEX(Curves!$BB$8:$BB$68,AO$4-$B143+1)</f>
        <v/>
      </c>
      <c r="AP143" s="75">
        <f>$C143*INDEX(Curves!$BB$8:$BB$68,AP$4-$B143+1)</f>
        <v/>
      </c>
      <c r="AQ143" s="75">
        <f>$C143*INDEX(Curves!$BB$8:$BB$68,AQ$4-$B143+1)</f>
        <v/>
      </c>
      <c r="AR143" s="75">
        <f>$C143*INDEX(Curves!$BB$8:$BB$68,AR$4-$B143+1)</f>
        <v/>
      </c>
      <c r="AS143" s="75">
        <f>$C143*INDEX(Curves!$BB$8:$BB$68,AS$4-$B143+1)</f>
        <v/>
      </c>
      <c r="AT143" s="75">
        <f>$C143*INDEX(Curves!$BB$8:$BB$68,AT$4-$B143+1)</f>
        <v/>
      </c>
      <c r="AU143" s="75">
        <f>$C143*INDEX(Curves!$BB$8:$BB$68,AU$4-$B143+1)</f>
        <v/>
      </c>
      <c r="AV143" s="75">
        <f>$C143*INDEX(Curves!$BB$8:$BB$68,AV$4-$B143+1)</f>
        <v/>
      </c>
      <c r="AW143" s="75">
        <f>$C143*INDEX(Curves!$BB$8:$BB$68,AW$4-$B143+1)</f>
        <v/>
      </c>
      <c r="AX143" s="75">
        <f>$C143*INDEX(Curves!$BB$8:$BB$68,AX$4-$B143+1)</f>
        <v/>
      </c>
      <c r="AY143" s="75">
        <f>$C143*INDEX(Curves!$BB$8:$BB$68,AY$4-$B143+1)</f>
        <v/>
      </c>
      <c r="AZ143" s="75">
        <f>$C143*INDEX(Curves!$BB$8:$BB$68,AZ$4-$B143+1)</f>
        <v/>
      </c>
      <c r="BA143" s="75">
        <f>$C143*INDEX(Curves!$BB$8:$BB$68,BA$4-$B143+1)</f>
        <v/>
      </c>
      <c r="BB143" s="75">
        <f>$C143*INDEX(Curves!$BB$8:$BB$68,BB$4-$B143+1)</f>
        <v/>
      </c>
      <c r="BC143" s="75">
        <f>$C143*INDEX(Curves!$BB$8:$BB$68,BC$4-$B143+1)</f>
        <v/>
      </c>
      <c r="BD143" s="75">
        <f>$C143*INDEX(Curves!$BB$8:$BB$68,BD$4-$B143+1)</f>
        <v/>
      </c>
      <c r="BE143" s="75">
        <f>$C143*INDEX(Curves!$BB$8:$BB$68,BE$4-$B143+1)</f>
        <v/>
      </c>
      <c r="BF143" s="75">
        <f>$C143*INDEX(Curves!$BB$8:$BB$68,BF$4-$B143+1)</f>
        <v/>
      </c>
      <c r="BG143" s="75">
        <f>$C143*INDEX(Curves!$BB$8:$BB$68,BG$4-$B143+1)</f>
        <v/>
      </c>
      <c r="BH143" s="75">
        <f>$C143*INDEX(Curves!$BB$8:$BB$68,BH$4-$B143+1)</f>
        <v/>
      </c>
      <c r="BI143" s="75">
        <f>$C143*INDEX(Curves!$BB$8:$BB$68,BI$4-$B143+1)</f>
        <v/>
      </c>
      <c r="BJ143" s="75">
        <f>$C143*INDEX(Curves!$BB$8:$BB$68,BJ$4-$B143+1)</f>
        <v/>
      </c>
      <c r="BK143" s="75">
        <f>$C143*INDEX(Curves!$BB$8:$BB$68,BK$4-$B143+1)</f>
        <v/>
      </c>
      <c r="BL143" s="75">
        <f>$C143*INDEX(Curves!$BB$8:$BB$68,BL$4-$B143+1)</f>
        <v/>
      </c>
    </row>
    <row r="144">
      <c r="A144" s="74" t="inlineStr">
        <is>
          <t>Cohort month 9</t>
        </is>
      </c>
      <c r="B144" s="74" t="n">
        <v>9</v>
      </c>
      <c r="C144" s="17">
        <f>INDEX(Ops!$E$110:$BL$110,1,$B144)</f>
        <v/>
      </c>
      <c r="N144" s="75">
        <f>$C144*INDEX(Curves!$BB$8:$BB$68,N$4-$B144+1)</f>
        <v/>
      </c>
      <c r="O144" s="75">
        <f>$C144*INDEX(Curves!$BB$8:$BB$68,O$4-$B144+1)</f>
        <v/>
      </c>
      <c r="P144" s="75">
        <f>$C144*INDEX(Curves!$BB$8:$BB$68,P$4-$B144+1)</f>
        <v/>
      </c>
      <c r="Q144" s="75">
        <f>$C144*INDEX(Curves!$BB$8:$BB$68,Q$4-$B144+1)</f>
        <v/>
      </c>
      <c r="R144" s="75">
        <f>$C144*INDEX(Curves!$BB$8:$BB$68,R$4-$B144+1)</f>
        <v/>
      </c>
      <c r="S144" s="75">
        <f>$C144*INDEX(Curves!$BB$8:$BB$68,S$4-$B144+1)</f>
        <v/>
      </c>
      <c r="T144" s="75">
        <f>$C144*INDEX(Curves!$BB$8:$BB$68,T$4-$B144+1)</f>
        <v/>
      </c>
      <c r="U144" s="75">
        <f>$C144*INDEX(Curves!$BB$8:$BB$68,U$4-$B144+1)</f>
        <v/>
      </c>
      <c r="V144" s="75">
        <f>$C144*INDEX(Curves!$BB$8:$BB$68,V$4-$B144+1)</f>
        <v/>
      </c>
      <c r="W144" s="75">
        <f>$C144*INDEX(Curves!$BB$8:$BB$68,W$4-$B144+1)</f>
        <v/>
      </c>
      <c r="X144" s="75">
        <f>$C144*INDEX(Curves!$BB$8:$BB$68,X$4-$B144+1)</f>
        <v/>
      </c>
      <c r="Y144" s="75">
        <f>$C144*INDEX(Curves!$BB$8:$BB$68,Y$4-$B144+1)</f>
        <v/>
      </c>
      <c r="Z144" s="75">
        <f>$C144*INDEX(Curves!$BB$8:$BB$68,Z$4-$B144+1)</f>
        <v/>
      </c>
      <c r="AA144" s="75">
        <f>$C144*INDEX(Curves!$BB$8:$BB$68,AA$4-$B144+1)</f>
        <v/>
      </c>
      <c r="AB144" s="75">
        <f>$C144*INDEX(Curves!$BB$8:$BB$68,AB$4-$B144+1)</f>
        <v/>
      </c>
      <c r="AC144" s="75">
        <f>$C144*INDEX(Curves!$BB$8:$BB$68,AC$4-$B144+1)</f>
        <v/>
      </c>
      <c r="AD144" s="75">
        <f>$C144*INDEX(Curves!$BB$8:$BB$68,AD$4-$B144+1)</f>
        <v/>
      </c>
      <c r="AE144" s="75">
        <f>$C144*INDEX(Curves!$BB$8:$BB$68,AE$4-$B144+1)</f>
        <v/>
      </c>
      <c r="AF144" s="75">
        <f>$C144*INDEX(Curves!$BB$8:$BB$68,AF$4-$B144+1)</f>
        <v/>
      </c>
      <c r="AG144" s="75">
        <f>$C144*INDEX(Curves!$BB$8:$BB$68,AG$4-$B144+1)</f>
        <v/>
      </c>
      <c r="AH144" s="75">
        <f>$C144*INDEX(Curves!$BB$8:$BB$68,AH$4-$B144+1)</f>
        <v/>
      </c>
      <c r="AI144" s="75">
        <f>$C144*INDEX(Curves!$BB$8:$BB$68,AI$4-$B144+1)</f>
        <v/>
      </c>
      <c r="AJ144" s="75">
        <f>$C144*INDEX(Curves!$BB$8:$BB$68,AJ$4-$B144+1)</f>
        <v/>
      </c>
      <c r="AK144" s="75">
        <f>$C144*INDEX(Curves!$BB$8:$BB$68,AK$4-$B144+1)</f>
        <v/>
      </c>
      <c r="AL144" s="75">
        <f>$C144*INDEX(Curves!$BB$8:$BB$68,AL$4-$B144+1)</f>
        <v/>
      </c>
      <c r="AM144" s="75">
        <f>$C144*INDEX(Curves!$BB$8:$BB$68,AM$4-$B144+1)</f>
        <v/>
      </c>
      <c r="AN144" s="75">
        <f>$C144*INDEX(Curves!$BB$8:$BB$68,AN$4-$B144+1)</f>
        <v/>
      </c>
      <c r="AO144" s="75">
        <f>$C144*INDEX(Curves!$BB$8:$BB$68,AO$4-$B144+1)</f>
        <v/>
      </c>
      <c r="AP144" s="75">
        <f>$C144*INDEX(Curves!$BB$8:$BB$68,AP$4-$B144+1)</f>
        <v/>
      </c>
      <c r="AQ144" s="75">
        <f>$C144*INDEX(Curves!$BB$8:$BB$68,AQ$4-$B144+1)</f>
        <v/>
      </c>
      <c r="AR144" s="75">
        <f>$C144*INDEX(Curves!$BB$8:$BB$68,AR$4-$B144+1)</f>
        <v/>
      </c>
      <c r="AS144" s="75">
        <f>$C144*INDEX(Curves!$BB$8:$BB$68,AS$4-$B144+1)</f>
        <v/>
      </c>
      <c r="AT144" s="75">
        <f>$C144*INDEX(Curves!$BB$8:$BB$68,AT$4-$B144+1)</f>
        <v/>
      </c>
      <c r="AU144" s="75">
        <f>$C144*INDEX(Curves!$BB$8:$BB$68,AU$4-$B144+1)</f>
        <v/>
      </c>
      <c r="AV144" s="75">
        <f>$C144*INDEX(Curves!$BB$8:$BB$68,AV$4-$B144+1)</f>
        <v/>
      </c>
      <c r="AW144" s="75">
        <f>$C144*INDEX(Curves!$BB$8:$BB$68,AW$4-$B144+1)</f>
        <v/>
      </c>
      <c r="AX144" s="75">
        <f>$C144*INDEX(Curves!$BB$8:$BB$68,AX$4-$B144+1)</f>
        <v/>
      </c>
      <c r="AY144" s="75">
        <f>$C144*INDEX(Curves!$BB$8:$BB$68,AY$4-$B144+1)</f>
        <v/>
      </c>
      <c r="AZ144" s="75">
        <f>$C144*INDEX(Curves!$BB$8:$BB$68,AZ$4-$B144+1)</f>
        <v/>
      </c>
      <c r="BA144" s="75">
        <f>$C144*INDEX(Curves!$BB$8:$BB$68,BA$4-$B144+1)</f>
        <v/>
      </c>
      <c r="BB144" s="75">
        <f>$C144*INDEX(Curves!$BB$8:$BB$68,BB$4-$B144+1)</f>
        <v/>
      </c>
      <c r="BC144" s="75">
        <f>$C144*INDEX(Curves!$BB$8:$BB$68,BC$4-$B144+1)</f>
        <v/>
      </c>
      <c r="BD144" s="75">
        <f>$C144*INDEX(Curves!$BB$8:$BB$68,BD$4-$B144+1)</f>
        <v/>
      </c>
      <c r="BE144" s="75">
        <f>$C144*INDEX(Curves!$BB$8:$BB$68,BE$4-$B144+1)</f>
        <v/>
      </c>
      <c r="BF144" s="75">
        <f>$C144*INDEX(Curves!$BB$8:$BB$68,BF$4-$B144+1)</f>
        <v/>
      </c>
      <c r="BG144" s="75">
        <f>$C144*INDEX(Curves!$BB$8:$BB$68,BG$4-$B144+1)</f>
        <v/>
      </c>
      <c r="BH144" s="75">
        <f>$C144*INDEX(Curves!$BB$8:$BB$68,BH$4-$B144+1)</f>
        <v/>
      </c>
      <c r="BI144" s="75">
        <f>$C144*INDEX(Curves!$BB$8:$BB$68,BI$4-$B144+1)</f>
        <v/>
      </c>
      <c r="BJ144" s="75">
        <f>$C144*INDEX(Curves!$BB$8:$BB$68,BJ$4-$B144+1)</f>
        <v/>
      </c>
      <c r="BK144" s="75">
        <f>$C144*INDEX(Curves!$BB$8:$BB$68,BK$4-$B144+1)</f>
        <v/>
      </c>
      <c r="BL144" s="75">
        <f>$C144*INDEX(Curves!$BB$8:$BB$68,BL$4-$B144+1)</f>
        <v/>
      </c>
    </row>
    <row r="145">
      <c r="A145" s="74" t="inlineStr">
        <is>
          <t>Cohort month 10</t>
        </is>
      </c>
      <c r="B145" s="74" t="n">
        <v>10</v>
      </c>
      <c r="C145" s="17">
        <f>INDEX(Ops!$E$110:$BL$110,1,$B145)</f>
        <v/>
      </c>
      <c r="O145" s="75">
        <f>$C145*INDEX(Curves!$BB$8:$BB$68,O$4-$B145+1)</f>
        <v/>
      </c>
      <c r="P145" s="75">
        <f>$C145*INDEX(Curves!$BB$8:$BB$68,P$4-$B145+1)</f>
        <v/>
      </c>
      <c r="Q145" s="75">
        <f>$C145*INDEX(Curves!$BB$8:$BB$68,Q$4-$B145+1)</f>
        <v/>
      </c>
      <c r="R145" s="75">
        <f>$C145*INDEX(Curves!$BB$8:$BB$68,R$4-$B145+1)</f>
        <v/>
      </c>
      <c r="S145" s="75">
        <f>$C145*INDEX(Curves!$BB$8:$BB$68,S$4-$B145+1)</f>
        <v/>
      </c>
      <c r="T145" s="75">
        <f>$C145*INDEX(Curves!$BB$8:$BB$68,T$4-$B145+1)</f>
        <v/>
      </c>
      <c r="U145" s="75">
        <f>$C145*INDEX(Curves!$BB$8:$BB$68,U$4-$B145+1)</f>
        <v/>
      </c>
      <c r="V145" s="75">
        <f>$C145*INDEX(Curves!$BB$8:$BB$68,V$4-$B145+1)</f>
        <v/>
      </c>
      <c r="W145" s="75">
        <f>$C145*INDEX(Curves!$BB$8:$BB$68,W$4-$B145+1)</f>
        <v/>
      </c>
      <c r="X145" s="75">
        <f>$C145*INDEX(Curves!$BB$8:$BB$68,X$4-$B145+1)</f>
        <v/>
      </c>
      <c r="Y145" s="75">
        <f>$C145*INDEX(Curves!$BB$8:$BB$68,Y$4-$B145+1)</f>
        <v/>
      </c>
      <c r="Z145" s="75">
        <f>$C145*INDEX(Curves!$BB$8:$BB$68,Z$4-$B145+1)</f>
        <v/>
      </c>
      <c r="AA145" s="75">
        <f>$C145*INDEX(Curves!$BB$8:$BB$68,AA$4-$B145+1)</f>
        <v/>
      </c>
      <c r="AB145" s="75">
        <f>$C145*INDEX(Curves!$BB$8:$BB$68,AB$4-$B145+1)</f>
        <v/>
      </c>
      <c r="AC145" s="75">
        <f>$C145*INDEX(Curves!$BB$8:$BB$68,AC$4-$B145+1)</f>
        <v/>
      </c>
      <c r="AD145" s="75">
        <f>$C145*INDEX(Curves!$BB$8:$BB$68,AD$4-$B145+1)</f>
        <v/>
      </c>
      <c r="AE145" s="75">
        <f>$C145*INDEX(Curves!$BB$8:$BB$68,AE$4-$B145+1)</f>
        <v/>
      </c>
      <c r="AF145" s="75">
        <f>$C145*INDEX(Curves!$BB$8:$BB$68,AF$4-$B145+1)</f>
        <v/>
      </c>
      <c r="AG145" s="75">
        <f>$C145*INDEX(Curves!$BB$8:$BB$68,AG$4-$B145+1)</f>
        <v/>
      </c>
      <c r="AH145" s="75">
        <f>$C145*INDEX(Curves!$BB$8:$BB$68,AH$4-$B145+1)</f>
        <v/>
      </c>
      <c r="AI145" s="75">
        <f>$C145*INDEX(Curves!$BB$8:$BB$68,AI$4-$B145+1)</f>
        <v/>
      </c>
      <c r="AJ145" s="75">
        <f>$C145*INDEX(Curves!$BB$8:$BB$68,AJ$4-$B145+1)</f>
        <v/>
      </c>
      <c r="AK145" s="75">
        <f>$C145*INDEX(Curves!$BB$8:$BB$68,AK$4-$B145+1)</f>
        <v/>
      </c>
      <c r="AL145" s="75">
        <f>$C145*INDEX(Curves!$BB$8:$BB$68,AL$4-$B145+1)</f>
        <v/>
      </c>
      <c r="AM145" s="75">
        <f>$C145*INDEX(Curves!$BB$8:$BB$68,AM$4-$B145+1)</f>
        <v/>
      </c>
      <c r="AN145" s="75">
        <f>$C145*INDEX(Curves!$BB$8:$BB$68,AN$4-$B145+1)</f>
        <v/>
      </c>
      <c r="AO145" s="75">
        <f>$C145*INDEX(Curves!$BB$8:$BB$68,AO$4-$B145+1)</f>
        <v/>
      </c>
      <c r="AP145" s="75">
        <f>$C145*INDEX(Curves!$BB$8:$BB$68,AP$4-$B145+1)</f>
        <v/>
      </c>
      <c r="AQ145" s="75">
        <f>$C145*INDEX(Curves!$BB$8:$BB$68,AQ$4-$B145+1)</f>
        <v/>
      </c>
      <c r="AR145" s="75">
        <f>$C145*INDEX(Curves!$BB$8:$BB$68,AR$4-$B145+1)</f>
        <v/>
      </c>
      <c r="AS145" s="75">
        <f>$C145*INDEX(Curves!$BB$8:$BB$68,AS$4-$B145+1)</f>
        <v/>
      </c>
      <c r="AT145" s="75">
        <f>$C145*INDEX(Curves!$BB$8:$BB$68,AT$4-$B145+1)</f>
        <v/>
      </c>
      <c r="AU145" s="75">
        <f>$C145*INDEX(Curves!$BB$8:$BB$68,AU$4-$B145+1)</f>
        <v/>
      </c>
      <c r="AV145" s="75">
        <f>$C145*INDEX(Curves!$BB$8:$BB$68,AV$4-$B145+1)</f>
        <v/>
      </c>
      <c r="AW145" s="75">
        <f>$C145*INDEX(Curves!$BB$8:$BB$68,AW$4-$B145+1)</f>
        <v/>
      </c>
      <c r="AX145" s="75">
        <f>$C145*INDEX(Curves!$BB$8:$BB$68,AX$4-$B145+1)</f>
        <v/>
      </c>
      <c r="AY145" s="75">
        <f>$C145*INDEX(Curves!$BB$8:$BB$68,AY$4-$B145+1)</f>
        <v/>
      </c>
      <c r="AZ145" s="75">
        <f>$C145*INDEX(Curves!$BB$8:$BB$68,AZ$4-$B145+1)</f>
        <v/>
      </c>
      <c r="BA145" s="75">
        <f>$C145*INDEX(Curves!$BB$8:$BB$68,BA$4-$B145+1)</f>
        <v/>
      </c>
      <c r="BB145" s="75">
        <f>$C145*INDEX(Curves!$BB$8:$BB$68,BB$4-$B145+1)</f>
        <v/>
      </c>
      <c r="BC145" s="75">
        <f>$C145*INDEX(Curves!$BB$8:$BB$68,BC$4-$B145+1)</f>
        <v/>
      </c>
      <c r="BD145" s="75">
        <f>$C145*INDEX(Curves!$BB$8:$BB$68,BD$4-$B145+1)</f>
        <v/>
      </c>
      <c r="BE145" s="75">
        <f>$C145*INDEX(Curves!$BB$8:$BB$68,BE$4-$B145+1)</f>
        <v/>
      </c>
      <c r="BF145" s="75">
        <f>$C145*INDEX(Curves!$BB$8:$BB$68,BF$4-$B145+1)</f>
        <v/>
      </c>
      <c r="BG145" s="75">
        <f>$C145*INDEX(Curves!$BB$8:$BB$68,BG$4-$B145+1)</f>
        <v/>
      </c>
      <c r="BH145" s="75">
        <f>$C145*INDEX(Curves!$BB$8:$BB$68,BH$4-$B145+1)</f>
        <v/>
      </c>
      <c r="BI145" s="75">
        <f>$C145*INDEX(Curves!$BB$8:$BB$68,BI$4-$B145+1)</f>
        <v/>
      </c>
      <c r="BJ145" s="75">
        <f>$C145*INDEX(Curves!$BB$8:$BB$68,BJ$4-$B145+1)</f>
        <v/>
      </c>
      <c r="BK145" s="75">
        <f>$C145*INDEX(Curves!$BB$8:$BB$68,BK$4-$B145+1)</f>
        <v/>
      </c>
      <c r="BL145" s="75">
        <f>$C145*INDEX(Curves!$BB$8:$BB$68,BL$4-$B145+1)</f>
        <v/>
      </c>
    </row>
    <row r="146">
      <c r="A146" s="74" t="inlineStr">
        <is>
          <t>Cohort month 11</t>
        </is>
      </c>
      <c r="B146" s="74" t="n">
        <v>11</v>
      </c>
      <c r="C146" s="17">
        <f>INDEX(Ops!$E$110:$BL$110,1,$B146)</f>
        <v/>
      </c>
      <c r="P146" s="75">
        <f>$C146*INDEX(Curves!$BB$8:$BB$68,P$4-$B146+1)</f>
        <v/>
      </c>
      <c r="Q146" s="75">
        <f>$C146*INDEX(Curves!$BB$8:$BB$68,Q$4-$B146+1)</f>
        <v/>
      </c>
      <c r="R146" s="75">
        <f>$C146*INDEX(Curves!$BB$8:$BB$68,R$4-$B146+1)</f>
        <v/>
      </c>
      <c r="S146" s="75">
        <f>$C146*INDEX(Curves!$BB$8:$BB$68,S$4-$B146+1)</f>
        <v/>
      </c>
      <c r="T146" s="75">
        <f>$C146*INDEX(Curves!$BB$8:$BB$68,T$4-$B146+1)</f>
        <v/>
      </c>
      <c r="U146" s="75">
        <f>$C146*INDEX(Curves!$BB$8:$BB$68,U$4-$B146+1)</f>
        <v/>
      </c>
      <c r="V146" s="75">
        <f>$C146*INDEX(Curves!$BB$8:$BB$68,V$4-$B146+1)</f>
        <v/>
      </c>
      <c r="W146" s="75">
        <f>$C146*INDEX(Curves!$BB$8:$BB$68,W$4-$B146+1)</f>
        <v/>
      </c>
      <c r="X146" s="75">
        <f>$C146*INDEX(Curves!$BB$8:$BB$68,X$4-$B146+1)</f>
        <v/>
      </c>
      <c r="Y146" s="75">
        <f>$C146*INDEX(Curves!$BB$8:$BB$68,Y$4-$B146+1)</f>
        <v/>
      </c>
      <c r="Z146" s="75">
        <f>$C146*INDEX(Curves!$BB$8:$BB$68,Z$4-$B146+1)</f>
        <v/>
      </c>
      <c r="AA146" s="75">
        <f>$C146*INDEX(Curves!$BB$8:$BB$68,AA$4-$B146+1)</f>
        <v/>
      </c>
      <c r="AB146" s="75">
        <f>$C146*INDEX(Curves!$BB$8:$BB$68,AB$4-$B146+1)</f>
        <v/>
      </c>
      <c r="AC146" s="75">
        <f>$C146*INDEX(Curves!$BB$8:$BB$68,AC$4-$B146+1)</f>
        <v/>
      </c>
      <c r="AD146" s="75">
        <f>$C146*INDEX(Curves!$BB$8:$BB$68,AD$4-$B146+1)</f>
        <v/>
      </c>
      <c r="AE146" s="75">
        <f>$C146*INDEX(Curves!$BB$8:$BB$68,AE$4-$B146+1)</f>
        <v/>
      </c>
      <c r="AF146" s="75">
        <f>$C146*INDEX(Curves!$BB$8:$BB$68,AF$4-$B146+1)</f>
        <v/>
      </c>
      <c r="AG146" s="75">
        <f>$C146*INDEX(Curves!$BB$8:$BB$68,AG$4-$B146+1)</f>
        <v/>
      </c>
      <c r="AH146" s="75">
        <f>$C146*INDEX(Curves!$BB$8:$BB$68,AH$4-$B146+1)</f>
        <v/>
      </c>
      <c r="AI146" s="75">
        <f>$C146*INDEX(Curves!$BB$8:$BB$68,AI$4-$B146+1)</f>
        <v/>
      </c>
      <c r="AJ146" s="75">
        <f>$C146*INDEX(Curves!$BB$8:$BB$68,AJ$4-$B146+1)</f>
        <v/>
      </c>
      <c r="AK146" s="75">
        <f>$C146*INDEX(Curves!$BB$8:$BB$68,AK$4-$B146+1)</f>
        <v/>
      </c>
      <c r="AL146" s="75">
        <f>$C146*INDEX(Curves!$BB$8:$BB$68,AL$4-$B146+1)</f>
        <v/>
      </c>
      <c r="AM146" s="75">
        <f>$C146*INDEX(Curves!$BB$8:$BB$68,AM$4-$B146+1)</f>
        <v/>
      </c>
      <c r="AN146" s="75">
        <f>$C146*INDEX(Curves!$BB$8:$BB$68,AN$4-$B146+1)</f>
        <v/>
      </c>
      <c r="AO146" s="75">
        <f>$C146*INDEX(Curves!$BB$8:$BB$68,AO$4-$B146+1)</f>
        <v/>
      </c>
      <c r="AP146" s="75">
        <f>$C146*INDEX(Curves!$BB$8:$BB$68,AP$4-$B146+1)</f>
        <v/>
      </c>
      <c r="AQ146" s="75">
        <f>$C146*INDEX(Curves!$BB$8:$BB$68,AQ$4-$B146+1)</f>
        <v/>
      </c>
      <c r="AR146" s="75">
        <f>$C146*INDEX(Curves!$BB$8:$BB$68,AR$4-$B146+1)</f>
        <v/>
      </c>
      <c r="AS146" s="75">
        <f>$C146*INDEX(Curves!$BB$8:$BB$68,AS$4-$B146+1)</f>
        <v/>
      </c>
      <c r="AT146" s="75">
        <f>$C146*INDEX(Curves!$BB$8:$BB$68,AT$4-$B146+1)</f>
        <v/>
      </c>
      <c r="AU146" s="75">
        <f>$C146*INDEX(Curves!$BB$8:$BB$68,AU$4-$B146+1)</f>
        <v/>
      </c>
      <c r="AV146" s="75">
        <f>$C146*INDEX(Curves!$BB$8:$BB$68,AV$4-$B146+1)</f>
        <v/>
      </c>
      <c r="AW146" s="75">
        <f>$C146*INDEX(Curves!$BB$8:$BB$68,AW$4-$B146+1)</f>
        <v/>
      </c>
      <c r="AX146" s="75">
        <f>$C146*INDEX(Curves!$BB$8:$BB$68,AX$4-$B146+1)</f>
        <v/>
      </c>
      <c r="AY146" s="75">
        <f>$C146*INDEX(Curves!$BB$8:$BB$68,AY$4-$B146+1)</f>
        <v/>
      </c>
      <c r="AZ146" s="75">
        <f>$C146*INDEX(Curves!$BB$8:$BB$68,AZ$4-$B146+1)</f>
        <v/>
      </c>
      <c r="BA146" s="75">
        <f>$C146*INDEX(Curves!$BB$8:$BB$68,BA$4-$B146+1)</f>
        <v/>
      </c>
      <c r="BB146" s="75">
        <f>$C146*INDEX(Curves!$BB$8:$BB$68,BB$4-$B146+1)</f>
        <v/>
      </c>
      <c r="BC146" s="75">
        <f>$C146*INDEX(Curves!$BB$8:$BB$68,BC$4-$B146+1)</f>
        <v/>
      </c>
      <c r="BD146" s="75">
        <f>$C146*INDEX(Curves!$BB$8:$BB$68,BD$4-$B146+1)</f>
        <v/>
      </c>
      <c r="BE146" s="75">
        <f>$C146*INDEX(Curves!$BB$8:$BB$68,BE$4-$B146+1)</f>
        <v/>
      </c>
      <c r="BF146" s="75">
        <f>$C146*INDEX(Curves!$BB$8:$BB$68,BF$4-$B146+1)</f>
        <v/>
      </c>
      <c r="BG146" s="75">
        <f>$C146*INDEX(Curves!$BB$8:$BB$68,BG$4-$B146+1)</f>
        <v/>
      </c>
      <c r="BH146" s="75">
        <f>$C146*INDEX(Curves!$BB$8:$BB$68,BH$4-$B146+1)</f>
        <v/>
      </c>
      <c r="BI146" s="75">
        <f>$C146*INDEX(Curves!$BB$8:$BB$68,BI$4-$B146+1)</f>
        <v/>
      </c>
      <c r="BJ146" s="75">
        <f>$C146*INDEX(Curves!$BB$8:$BB$68,BJ$4-$B146+1)</f>
        <v/>
      </c>
      <c r="BK146" s="75">
        <f>$C146*INDEX(Curves!$BB$8:$BB$68,BK$4-$B146+1)</f>
        <v/>
      </c>
      <c r="BL146" s="75">
        <f>$C146*INDEX(Curves!$BB$8:$BB$68,BL$4-$B146+1)</f>
        <v/>
      </c>
    </row>
    <row r="147">
      <c r="A147" s="74" t="inlineStr">
        <is>
          <t>Cohort month 12</t>
        </is>
      </c>
      <c r="B147" s="74" t="n">
        <v>12</v>
      </c>
      <c r="C147" s="17">
        <f>INDEX(Ops!$E$110:$BL$110,1,$B147)</f>
        <v/>
      </c>
      <c r="Q147" s="75">
        <f>$C147*INDEX(Curves!$BB$8:$BB$68,Q$4-$B147+1)</f>
        <v/>
      </c>
      <c r="R147" s="75">
        <f>$C147*INDEX(Curves!$BB$8:$BB$68,R$4-$B147+1)</f>
        <v/>
      </c>
      <c r="S147" s="75">
        <f>$C147*INDEX(Curves!$BB$8:$BB$68,S$4-$B147+1)</f>
        <v/>
      </c>
      <c r="T147" s="75">
        <f>$C147*INDEX(Curves!$BB$8:$BB$68,T$4-$B147+1)</f>
        <v/>
      </c>
      <c r="U147" s="75">
        <f>$C147*INDEX(Curves!$BB$8:$BB$68,U$4-$B147+1)</f>
        <v/>
      </c>
      <c r="V147" s="75">
        <f>$C147*INDEX(Curves!$BB$8:$BB$68,V$4-$B147+1)</f>
        <v/>
      </c>
      <c r="W147" s="75">
        <f>$C147*INDEX(Curves!$BB$8:$BB$68,W$4-$B147+1)</f>
        <v/>
      </c>
      <c r="X147" s="75">
        <f>$C147*INDEX(Curves!$BB$8:$BB$68,X$4-$B147+1)</f>
        <v/>
      </c>
      <c r="Y147" s="75">
        <f>$C147*INDEX(Curves!$BB$8:$BB$68,Y$4-$B147+1)</f>
        <v/>
      </c>
      <c r="Z147" s="75">
        <f>$C147*INDEX(Curves!$BB$8:$BB$68,Z$4-$B147+1)</f>
        <v/>
      </c>
      <c r="AA147" s="75">
        <f>$C147*INDEX(Curves!$BB$8:$BB$68,AA$4-$B147+1)</f>
        <v/>
      </c>
      <c r="AB147" s="75">
        <f>$C147*INDEX(Curves!$BB$8:$BB$68,AB$4-$B147+1)</f>
        <v/>
      </c>
      <c r="AC147" s="75">
        <f>$C147*INDEX(Curves!$BB$8:$BB$68,AC$4-$B147+1)</f>
        <v/>
      </c>
      <c r="AD147" s="75">
        <f>$C147*INDEX(Curves!$BB$8:$BB$68,AD$4-$B147+1)</f>
        <v/>
      </c>
      <c r="AE147" s="75">
        <f>$C147*INDEX(Curves!$BB$8:$BB$68,AE$4-$B147+1)</f>
        <v/>
      </c>
      <c r="AF147" s="75">
        <f>$C147*INDEX(Curves!$BB$8:$BB$68,AF$4-$B147+1)</f>
        <v/>
      </c>
      <c r="AG147" s="75">
        <f>$C147*INDEX(Curves!$BB$8:$BB$68,AG$4-$B147+1)</f>
        <v/>
      </c>
      <c r="AH147" s="75">
        <f>$C147*INDEX(Curves!$BB$8:$BB$68,AH$4-$B147+1)</f>
        <v/>
      </c>
      <c r="AI147" s="75">
        <f>$C147*INDEX(Curves!$BB$8:$BB$68,AI$4-$B147+1)</f>
        <v/>
      </c>
      <c r="AJ147" s="75">
        <f>$C147*INDEX(Curves!$BB$8:$BB$68,AJ$4-$B147+1)</f>
        <v/>
      </c>
      <c r="AK147" s="75">
        <f>$C147*INDEX(Curves!$BB$8:$BB$68,AK$4-$B147+1)</f>
        <v/>
      </c>
      <c r="AL147" s="75">
        <f>$C147*INDEX(Curves!$BB$8:$BB$68,AL$4-$B147+1)</f>
        <v/>
      </c>
      <c r="AM147" s="75">
        <f>$C147*INDEX(Curves!$BB$8:$BB$68,AM$4-$B147+1)</f>
        <v/>
      </c>
      <c r="AN147" s="75">
        <f>$C147*INDEX(Curves!$BB$8:$BB$68,AN$4-$B147+1)</f>
        <v/>
      </c>
      <c r="AO147" s="75">
        <f>$C147*INDEX(Curves!$BB$8:$BB$68,AO$4-$B147+1)</f>
        <v/>
      </c>
      <c r="AP147" s="75">
        <f>$C147*INDEX(Curves!$BB$8:$BB$68,AP$4-$B147+1)</f>
        <v/>
      </c>
      <c r="AQ147" s="75">
        <f>$C147*INDEX(Curves!$BB$8:$BB$68,AQ$4-$B147+1)</f>
        <v/>
      </c>
      <c r="AR147" s="75">
        <f>$C147*INDEX(Curves!$BB$8:$BB$68,AR$4-$B147+1)</f>
        <v/>
      </c>
      <c r="AS147" s="75">
        <f>$C147*INDEX(Curves!$BB$8:$BB$68,AS$4-$B147+1)</f>
        <v/>
      </c>
      <c r="AT147" s="75">
        <f>$C147*INDEX(Curves!$BB$8:$BB$68,AT$4-$B147+1)</f>
        <v/>
      </c>
      <c r="AU147" s="75">
        <f>$C147*INDEX(Curves!$BB$8:$BB$68,AU$4-$B147+1)</f>
        <v/>
      </c>
      <c r="AV147" s="75">
        <f>$C147*INDEX(Curves!$BB$8:$BB$68,AV$4-$B147+1)</f>
        <v/>
      </c>
      <c r="AW147" s="75">
        <f>$C147*INDEX(Curves!$BB$8:$BB$68,AW$4-$B147+1)</f>
        <v/>
      </c>
      <c r="AX147" s="75">
        <f>$C147*INDEX(Curves!$BB$8:$BB$68,AX$4-$B147+1)</f>
        <v/>
      </c>
      <c r="AY147" s="75">
        <f>$C147*INDEX(Curves!$BB$8:$BB$68,AY$4-$B147+1)</f>
        <v/>
      </c>
      <c r="AZ147" s="75">
        <f>$C147*INDEX(Curves!$BB$8:$BB$68,AZ$4-$B147+1)</f>
        <v/>
      </c>
      <c r="BA147" s="75">
        <f>$C147*INDEX(Curves!$BB$8:$BB$68,BA$4-$B147+1)</f>
        <v/>
      </c>
      <c r="BB147" s="75">
        <f>$C147*INDEX(Curves!$BB$8:$BB$68,BB$4-$B147+1)</f>
        <v/>
      </c>
      <c r="BC147" s="75">
        <f>$C147*INDEX(Curves!$BB$8:$BB$68,BC$4-$B147+1)</f>
        <v/>
      </c>
      <c r="BD147" s="75">
        <f>$C147*INDEX(Curves!$BB$8:$BB$68,BD$4-$B147+1)</f>
        <v/>
      </c>
      <c r="BE147" s="75">
        <f>$C147*INDEX(Curves!$BB$8:$BB$68,BE$4-$B147+1)</f>
        <v/>
      </c>
      <c r="BF147" s="75">
        <f>$C147*INDEX(Curves!$BB$8:$BB$68,BF$4-$B147+1)</f>
        <v/>
      </c>
      <c r="BG147" s="75">
        <f>$C147*INDEX(Curves!$BB$8:$BB$68,BG$4-$B147+1)</f>
        <v/>
      </c>
      <c r="BH147" s="75">
        <f>$C147*INDEX(Curves!$BB$8:$BB$68,BH$4-$B147+1)</f>
        <v/>
      </c>
      <c r="BI147" s="75">
        <f>$C147*INDEX(Curves!$BB$8:$BB$68,BI$4-$B147+1)</f>
        <v/>
      </c>
      <c r="BJ147" s="75">
        <f>$C147*INDEX(Curves!$BB$8:$BB$68,BJ$4-$B147+1)</f>
        <v/>
      </c>
      <c r="BK147" s="75">
        <f>$C147*INDEX(Curves!$BB$8:$BB$68,BK$4-$B147+1)</f>
        <v/>
      </c>
      <c r="BL147" s="75">
        <f>$C147*INDEX(Curves!$BB$8:$BB$68,BL$4-$B147+1)</f>
        <v/>
      </c>
    </row>
    <row r="148">
      <c r="A148" s="74" t="inlineStr">
        <is>
          <t>Cohort month 13</t>
        </is>
      </c>
      <c r="B148" s="74" t="n">
        <v>13</v>
      </c>
      <c r="C148" s="17">
        <f>INDEX(Ops!$E$110:$BL$110,1,$B148)</f>
        <v/>
      </c>
      <c r="R148" s="75">
        <f>$C148*INDEX(Curves!$BB$8:$BB$68,R$4-$B148+1)</f>
        <v/>
      </c>
      <c r="S148" s="75">
        <f>$C148*INDEX(Curves!$BB$8:$BB$68,S$4-$B148+1)</f>
        <v/>
      </c>
      <c r="T148" s="75">
        <f>$C148*INDEX(Curves!$BB$8:$BB$68,T$4-$B148+1)</f>
        <v/>
      </c>
      <c r="U148" s="75">
        <f>$C148*INDEX(Curves!$BB$8:$BB$68,U$4-$B148+1)</f>
        <v/>
      </c>
      <c r="V148" s="75">
        <f>$C148*INDEX(Curves!$BB$8:$BB$68,V$4-$B148+1)</f>
        <v/>
      </c>
      <c r="W148" s="75">
        <f>$C148*INDEX(Curves!$BB$8:$BB$68,W$4-$B148+1)</f>
        <v/>
      </c>
      <c r="X148" s="75">
        <f>$C148*INDEX(Curves!$BB$8:$BB$68,X$4-$B148+1)</f>
        <v/>
      </c>
      <c r="Y148" s="75">
        <f>$C148*INDEX(Curves!$BB$8:$BB$68,Y$4-$B148+1)</f>
        <v/>
      </c>
      <c r="Z148" s="75">
        <f>$C148*INDEX(Curves!$BB$8:$BB$68,Z$4-$B148+1)</f>
        <v/>
      </c>
      <c r="AA148" s="75">
        <f>$C148*INDEX(Curves!$BB$8:$BB$68,AA$4-$B148+1)</f>
        <v/>
      </c>
      <c r="AB148" s="75">
        <f>$C148*INDEX(Curves!$BB$8:$BB$68,AB$4-$B148+1)</f>
        <v/>
      </c>
      <c r="AC148" s="75">
        <f>$C148*INDEX(Curves!$BB$8:$BB$68,AC$4-$B148+1)</f>
        <v/>
      </c>
      <c r="AD148" s="75">
        <f>$C148*INDEX(Curves!$BB$8:$BB$68,AD$4-$B148+1)</f>
        <v/>
      </c>
      <c r="AE148" s="75">
        <f>$C148*INDEX(Curves!$BB$8:$BB$68,AE$4-$B148+1)</f>
        <v/>
      </c>
      <c r="AF148" s="75">
        <f>$C148*INDEX(Curves!$BB$8:$BB$68,AF$4-$B148+1)</f>
        <v/>
      </c>
      <c r="AG148" s="75">
        <f>$C148*INDEX(Curves!$BB$8:$BB$68,AG$4-$B148+1)</f>
        <v/>
      </c>
      <c r="AH148" s="75">
        <f>$C148*INDEX(Curves!$BB$8:$BB$68,AH$4-$B148+1)</f>
        <v/>
      </c>
      <c r="AI148" s="75">
        <f>$C148*INDEX(Curves!$BB$8:$BB$68,AI$4-$B148+1)</f>
        <v/>
      </c>
      <c r="AJ148" s="75">
        <f>$C148*INDEX(Curves!$BB$8:$BB$68,AJ$4-$B148+1)</f>
        <v/>
      </c>
      <c r="AK148" s="75">
        <f>$C148*INDEX(Curves!$BB$8:$BB$68,AK$4-$B148+1)</f>
        <v/>
      </c>
      <c r="AL148" s="75">
        <f>$C148*INDEX(Curves!$BB$8:$BB$68,AL$4-$B148+1)</f>
        <v/>
      </c>
      <c r="AM148" s="75">
        <f>$C148*INDEX(Curves!$BB$8:$BB$68,AM$4-$B148+1)</f>
        <v/>
      </c>
      <c r="AN148" s="75">
        <f>$C148*INDEX(Curves!$BB$8:$BB$68,AN$4-$B148+1)</f>
        <v/>
      </c>
      <c r="AO148" s="75">
        <f>$C148*INDEX(Curves!$BB$8:$BB$68,AO$4-$B148+1)</f>
        <v/>
      </c>
      <c r="AP148" s="75">
        <f>$C148*INDEX(Curves!$BB$8:$BB$68,AP$4-$B148+1)</f>
        <v/>
      </c>
      <c r="AQ148" s="75">
        <f>$C148*INDEX(Curves!$BB$8:$BB$68,AQ$4-$B148+1)</f>
        <v/>
      </c>
      <c r="AR148" s="75">
        <f>$C148*INDEX(Curves!$BB$8:$BB$68,AR$4-$B148+1)</f>
        <v/>
      </c>
      <c r="AS148" s="75">
        <f>$C148*INDEX(Curves!$BB$8:$BB$68,AS$4-$B148+1)</f>
        <v/>
      </c>
      <c r="AT148" s="75">
        <f>$C148*INDEX(Curves!$BB$8:$BB$68,AT$4-$B148+1)</f>
        <v/>
      </c>
      <c r="AU148" s="75">
        <f>$C148*INDEX(Curves!$BB$8:$BB$68,AU$4-$B148+1)</f>
        <v/>
      </c>
      <c r="AV148" s="75">
        <f>$C148*INDEX(Curves!$BB$8:$BB$68,AV$4-$B148+1)</f>
        <v/>
      </c>
      <c r="AW148" s="75">
        <f>$C148*INDEX(Curves!$BB$8:$BB$68,AW$4-$B148+1)</f>
        <v/>
      </c>
      <c r="AX148" s="75">
        <f>$C148*INDEX(Curves!$BB$8:$BB$68,AX$4-$B148+1)</f>
        <v/>
      </c>
      <c r="AY148" s="75">
        <f>$C148*INDEX(Curves!$BB$8:$BB$68,AY$4-$B148+1)</f>
        <v/>
      </c>
      <c r="AZ148" s="75">
        <f>$C148*INDEX(Curves!$BB$8:$BB$68,AZ$4-$B148+1)</f>
        <v/>
      </c>
      <c r="BA148" s="75">
        <f>$C148*INDEX(Curves!$BB$8:$BB$68,BA$4-$B148+1)</f>
        <v/>
      </c>
      <c r="BB148" s="75">
        <f>$C148*INDEX(Curves!$BB$8:$BB$68,BB$4-$B148+1)</f>
        <v/>
      </c>
      <c r="BC148" s="75">
        <f>$C148*INDEX(Curves!$BB$8:$BB$68,BC$4-$B148+1)</f>
        <v/>
      </c>
      <c r="BD148" s="75">
        <f>$C148*INDEX(Curves!$BB$8:$BB$68,BD$4-$B148+1)</f>
        <v/>
      </c>
      <c r="BE148" s="75">
        <f>$C148*INDEX(Curves!$BB$8:$BB$68,BE$4-$B148+1)</f>
        <v/>
      </c>
      <c r="BF148" s="75">
        <f>$C148*INDEX(Curves!$BB$8:$BB$68,BF$4-$B148+1)</f>
        <v/>
      </c>
      <c r="BG148" s="75">
        <f>$C148*INDEX(Curves!$BB$8:$BB$68,BG$4-$B148+1)</f>
        <v/>
      </c>
      <c r="BH148" s="75">
        <f>$C148*INDEX(Curves!$BB$8:$BB$68,BH$4-$B148+1)</f>
        <v/>
      </c>
      <c r="BI148" s="75">
        <f>$C148*INDEX(Curves!$BB$8:$BB$68,BI$4-$B148+1)</f>
        <v/>
      </c>
      <c r="BJ148" s="75">
        <f>$C148*INDEX(Curves!$BB$8:$BB$68,BJ$4-$B148+1)</f>
        <v/>
      </c>
      <c r="BK148" s="75">
        <f>$C148*INDEX(Curves!$BB$8:$BB$68,BK$4-$B148+1)</f>
        <v/>
      </c>
      <c r="BL148" s="75">
        <f>$C148*INDEX(Curves!$BB$8:$BB$68,BL$4-$B148+1)</f>
        <v/>
      </c>
    </row>
    <row r="149">
      <c r="A149" s="74" t="inlineStr">
        <is>
          <t>Cohort month 14</t>
        </is>
      </c>
      <c r="B149" s="74" t="n">
        <v>14</v>
      </c>
      <c r="C149" s="17">
        <f>INDEX(Ops!$E$110:$BL$110,1,$B149)</f>
        <v/>
      </c>
      <c r="S149" s="75">
        <f>$C149*INDEX(Curves!$BB$8:$BB$68,S$4-$B149+1)</f>
        <v/>
      </c>
      <c r="T149" s="75">
        <f>$C149*INDEX(Curves!$BB$8:$BB$68,T$4-$B149+1)</f>
        <v/>
      </c>
      <c r="U149" s="75">
        <f>$C149*INDEX(Curves!$BB$8:$BB$68,U$4-$B149+1)</f>
        <v/>
      </c>
      <c r="V149" s="75">
        <f>$C149*INDEX(Curves!$BB$8:$BB$68,V$4-$B149+1)</f>
        <v/>
      </c>
      <c r="W149" s="75">
        <f>$C149*INDEX(Curves!$BB$8:$BB$68,W$4-$B149+1)</f>
        <v/>
      </c>
      <c r="X149" s="75">
        <f>$C149*INDEX(Curves!$BB$8:$BB$68,X$4-$B149+1)</f>
        <v/>
      </c>
      <c r="Y149" s="75">
        <f>$C149*INDEX(Curves!$BB$8:$BB$68,Y$4-$B149+1)</f>
        <v/>
      </c>
      <c r="Z149" s="75">
        <f>$C149*INDEX(Curves!$BB$8:$BB$68,Z$4-$B149+1)</f>
        <v/>
      </c>
      <c r="AA149" s="75">
        <f>$C149*INDEX(Curves!$BB$8:$BB$68,AA$4-$B149+1)</f>
        <v/>
      </c>
      <c r="AB149" s="75">
        <f>$C149*INDEX(Curves!$BB$8:$BB$68,AB$4-$B149+1)</f>
        <v/>
      </c>
      <c r="AC149" s="75">
        <f>$C149*INDEX(Curves!$BB$8:$BB$68,AC$4-$B149+1)</f>
        <v/>
      </c>
      <c r="AD149" s="75">
        <f>$C149*INDEX(Curves!$BB$8:$BB$68,AD$4-$B149+1)</f>
        <v/>
      </c>
      <c r="AE149" s="75">
        <f>$C149*INDEX(Curves!$BB$8:$BB$68,AE$4-$B149+1)</f>
        <v/>
      </c>
      <c r="AF149" s="75">
        <f>$C149*INDEX(Curves!$BB$8:$BB$68,AF$4-$B149+1)</f>
        <v/>
      </c>
      <c r="AG149" s="75">
        <f>$C149*INDEX(Curves!$BB$8:$BB$68,AG$4-$B149+1)</f>
        <v/>
      </c>
      <c r="AH149" s="75">
        <f>$C149*INDEX(Curves!$BB$8:$BB$68,AH$4-$B149+1)</f>
        <v/>
      </c>
      <c r="AI149" s="75">
        <f>$C149*INDEX(Curves!$BB$8:$BB$68,AI$4-$B149+1)</f>
        <v/>
      </c>
      <c r="AJ149" s="75">
        <f>$C149*INDEX(Curves!$BB$8:$BB$68,AJ$4-$B149+1)</f>
        <v/>
      </c>
      <c r="AK149" s="75">
        <f>$C149*INDEX(Curves!$BB$8:$BB$68,AK$4-$B149+1)</f>
        <v/>
      </c>
      <c r="AL149" s="75">
        <f>$C149*INDEX(Curves!$BB$8:$BB$68,AL$4-$B149+1)</f>
        <v/>
      </c>
      <c r="AM149" s="75">
        <f>$C149*INDEX(Curves!$BB$8:$BB$68,AM$4-$B149+1)</f>
        <v/>
      </c>
      <c r="AN149" s="75">
        <f>$C149*INDEX(Curves!$BB$8:$BB$68,AN$4-$B149+1)</f>
        <v/>
      </c>
      <c r="AO149" s="75">
        <f>$C149*INDEX(Curves!$BB$8:$BB$68,AO$4-$B149+1)</f>
        <v/>
      </c>
      <c r="AP149" s="75">
        <f>$C149*INDEX(Curves!$BB$8:$BB$68,AP$4-$B149+1)</f>
        <v/>
      </c>
      <c r="AQ149" s="75">
        <f>$C149*INDEX(Curves!$BB$8:$BB$68,AQ$4-$B149+1)</f>
        <v/>
      </c>
      <c r="AR149" s="75">
        <f>$C149*INDEX(Curves!$BB$8:$BB$68,AR$4-$B149+1)</f>
        <v/>
      </c>
      <c r="AS149" s="75">
        <f>$C149*INDEX(Curves!$BB$8:$BB$68,AS$4-$B149+1)</f>
        <v/>
      </c>
      <c r="AT149" s="75">
        <f>$C149*INDEX(Curves!$BB$8:$BB$68,AT$4-$B149+1)</f>
        <v/>
      </c>
      <c r="AU149" s="75">
        <f>$C149*INDEX(Curves!$BB$8:$BB$68,AU$4-$B149+1)</f>
        <v/>
      </c>
      <c r="AV149" s="75">
        <f>$C149*INDEX(Curves!$BB$8:$BB$68,AV$4-$B149+1)</f>
        <v/>
      </c>
      <c r="AW149" s="75">
        <f>$C149*INDEX(Curves!$BB$8:$BB$68,AW$4-$B149+1)</f>
        <v/>
      </c>
      <c r="AX149" s="75">
        <f>$C149*INDEX(Curves!$BB$8:$BB$68,AX$4-$B149+1)</f>
        <v/>
      </c>
      <c r="AY149" s="75">
        <f>$C149*INDEX(Curves!$BB$8:$BB$68,AY$4-$B149+1)</f>
        <v/>
      </c>
      <c r="AZ149" s="75">
        <f>$C149*INDEX(Curves!$BB$8:$BB$68,AZ$4-$B149+1)</f>
        <v/>
      </c>
      <c r="BA149" s="75">
        <f>$C149*INDEX(Curves!$BB$8:$BB$68,BA$4-$B149+1)</f>
        <v/>
      </c>
      <c r="BB149" s="75">
        <f>$C149*INDEX(Curves!$BB$8:$BB$68,BB$4-$B149+1)</f>
        <v/>
      </c>
      <c r="BC149" s="75">
        <f>$C149*INDEX(Curves!$BB$8:$BB$68,BC$4-$B149+1)</f>
        <v/>
      </c>
      <c r="BD149" s="75">
        <f>$C149*INDEX(Curves!$BB$8:$BB$68,BD$4-$B149+1)</f>
        <v/>
      </c>
      <c r="BE149" s="75">
        <f>$C149*INDEX(Curves!$BB$8:$BB$68,BE$4-$B149+1)</f>
        <v/>
      </c>
      <c r="BF149" s="75">
        <f>$C149*INDEX(Curves!$BB$8:$BB$68,BF$4-$B149+1)</f>
        <v/>
      </c>
      <c r="BG149" s="75">
        <f>$C149*INDEX(Curves!$BB$8:$BB$68,BG$4-$B149+1)</f>
        <v/>
      </c>
      <c r="BH149" s="75">
        <f>$C149*INDEX(Curves!$BB$8:$BB$68,BH$4-$B149+1)</f>
        <v/>
      </c>
      <c r="BI149" s="75">
        <f>$C149*INDEX(Curves!$BB$8:$BB$68,BI$4-$B149+1)</f>
        <v/>
      </c>
      <c r="BJ149" s="75">
        <f>$C149*INDEX(Curves!$BB$8:$BB$68,BJ$4-$B149+1)</f>
        <v/>
      </c>
      <c r="BK149" s="75">
        <f>$C149*INDEX(Curves!$BB$8:$BB$68,BK$4-$B149+1)</f>
        <v/>
      </c>
      <c r="BL149" s="75">
        <f>$C149*INDEX(Curves!$BB$8:$BB$68,BL$4-$B149+1)</f>
        <v/>
      </c>
    </row>
    <row r="150">
      <c r="A150" s="74" t="inlineStr">
        <is>
          <t>Cohort month 15</t>
        </is>
      </c>
      <c r="B150" s="74" t="n">
        <v>15</v>
      </c>
      <c r="C150" s="17">
        <f>INDEX(Ops!$E$110:$BL$110,1,$B150)</f>
        <v/>
      </c>
      <c r="T150" s="75">
        <f>$C150*INDEX(Curves!$BB$8:$BB$68,T$4-$B150+1)</f>
        <v/>
      </c>
      <c r="U150" s="75">
        <f>$C150*INDEX(Curves!$BB$8:$BB$68,U$4-$B150+1)</f>
        <v/>
      </c>
      <c r="V150" s="75">
        <f>$C150*INDEX(Curves!$BB$8:$BB$68,V$4-$B150+1)</f>
        <v/>
      </c>
      <c r="W150" s="75">
        <f>$C150*INDEX(Curves!$BB$8:$BB$68,W$4-$B150+1)</f>
        <v/>
      </c>
      <c r="X150" s="75">
        <f>$C150*INDEX(Curves!$BB$8:$BB$68,X$4-$B150+1)</f>
        <v/>
      </c>
      <c r="Y150" s="75">
        <f>$C150*INDEX(Curves!$BB$8:$BB$68,Y$4-$B150+1)</f>
        <v/>
      </c>
      <c r="Z150" s="75">
        <f>$C150*INDEX(Curves!$BB$8:$BB$68,Z$4-$B150+1)</f>
        <v/>
      </c>
      <c r="AA150" s="75">
        <f>$C150*INDEX(Curves!$BB$8:$BB$68,AA$4-$B150+1)</f>
        <v/>
      </c>
      <c r="AB150" s="75">
        <f>$C150*INDEX(Curves!$BB$8:$BB$68,AB$4-$B150+1)</f>
        <v/>
      </c>
      <c r="AC150" s="75">
        <f>$C150*INDEX(Curves!$BB$8:$BB$68,AC$4-$B150+1)</f>
        <v/>
      </c>
      <c r="AD150" s="75">
        <f>$C150*INDEX(Curves!$BB$8:$BB$68,AD$4-$B150+1)</f>
        <v/>
      </c>
      <c r="AE150" s="75">
        <f>$C150*INDEX(Curves!$BB$8:$BB$68,AE$4-$B150+1)</f>
        <v/>
      </c>
      <c r="AF150" s="75">
        <f>$C150*INDEX(Curves!$BB$8:$BB$68,AF$4-$B150+1)</f>
        <v/>
      </c>
      <c r="AG150" s="75">
        <f>$C150*INDEX(Curves!$BB$8:$BB$68,AG$4-$B150+1)</f>
        <v/>
      </c>
      <c r="AH150" s="75">
        <f>$C150*INDEX(Curves!$BB$8:$BB$68,AH$4-$B150+1)</f>
        <v/>
      </c>
      <c r="AI150" s="75">
        <f>$C150*INDEX(Curves!$BB$8:$BB$68,AI$4-$B150+1)</f>
        <v/>
      </c>
      <c r="AJ150" s="75">
        <f>$C150*INDEX(Curves!$BB$8:$BB$68,AJ$4-$B150+1)</f>
        <v/>
      </c>
      <c r="AK150" s="75">
        <f>$C150*INDEX(Curves!$BB$8:$BB$68,AK$4-$B150+1)</f>
        <v/>
      </c>
      <c r="AL150" s="75">
        <f>$C150*INDEX(Curves!$BB$8:$BB$68,AL$4-$B150+1)</f>
        <v/>
      </c>
      <c r="AM150" s="75">
        <f>$C150*INDEX(Curves!$BB$8:$BB$68,AM$4-$B150+1)</f>
        <v/>
      </c>
      <c r="AN150" s="75">
        <f>$C150*INDEX(Curves!$BB$8:$BB$68,AN$4-$B150+1)</f>
        <v/>
      </c>
      <c r="AO150" s="75">
        <f>$C150*INDEX(Curves!$BB$8:$BB$68,AO$4-$B150+1)</f>
        <v/>
      </c>
      <c r="AP150" s="75">
        <f>$C150*INDEX(Curves!$BB$8:$BB$68,AP$4-$B150+1)</f>
        <v/>
      </c>
      <c r="AQ150" s="75">
        <f>$C150*INDEX(Curves!$BB$8:$BB$68,AQ$4-$B150+1)</f>
        <v/>
      </c>
      <c r="AR150" s="75">
        <f>$C150*INDEX(Curves!$BB$8:$BB$68,AR$4-$B150+1)</f>
        <v/>
      </c>
      <c r="AS150" s="75">
        <f>$C150*INDEX(Curves!$BB$8:$BB$68,AS$4-$B150+1)</f>
        <v/>
      </c>
      <c r="AT150" s="75">
        <f>$C150*INDEX(Curves!$BB$8:$BB$68,AT$4-$B150+1)</f>
        <v/>
      </c>
      <c r="AU150" s="75">
        <f>$C150*INDEX(Curves!$BB$8:$BB$68,AU$4-$B150+1)</f>
        <v/>
      </c>
      <c r="AV150" s="75">
        <f>$C150*INDEX(Curves!$BB$8:$BB$68,AV$4-$B150+1)</f>
        <v/>
      </c>
      <c r="AW150" s="75">
        <f>$C150*INDEX(Curves!$BB$8:$BB$68,AW$4-$B150+1)</f>
        <v/>
      </c>
      <c r="AX150" s="75">
        <f>$C150*INDEX(Curves!$BB$8:$BB$68,AX$4-$B150+1)</f>
        <v/>
      </c>
      <c r="AY150" s="75">
        <f>$C150*INDEX(Curves!$BB$8:$BB$68,AY$4-$B150+1)</f>
        <v/>
      </c>
      <c r="AZ150" s="75">
        <f>$C150*INDEX(Curves!$BB$8:$BB$68,AZ$4-$B150+1)</f>
        <v/>
      </c>
      <c r="BA150" s="75">
        <f>$C150*INDEX(Curves!$BB$8:$BB$68,BA$4-$B150+1)</f>
        <v/>
      </c>
      <c r="BB150" s="75">
        <f>$C150*INDEX(Curves!$BB$8:$BB$68,BB$4-$B150+1)</f>
        <v/>
      </c>
      <c r="BC150" s="75">
        <f>$C150*INDEX(Curves!$BB$8:$BB$68,BC$4-$B150+1)</f>
        <v/>
      </c>
      <c r="BD150" s="75">
        <f>$C150*INDEX(Curves!$BB$8:$BB$68,BD$4-$B150+1)</f>
        <v/>
      </c>
      <c r="BE150" s="75">
        <f>$C150*INDEX(Curves!$BB$8:$BB$68,BE$4-$B150+1)</f>
        <v/>
      </c>
      <c r="BF150" s="75">
        <f>$C150*INDEX(Curves!$BB$8:$BB$68,BF$4-$B150+1)</f>
        <v/>
      </c>
      <c r="BG150" s="75">
        <f>$C150*INDEX(Curves!$BB$8:$BB$68,BG$4-$B150+1)</f>
        <v/>
      </c>
      <c r="BH150" s="75">
        <f>$C150*INDEX(Curves!$BB$8:$BB$68,BH$4-$B150+1)</f>
        <v/>
      </c>
      <c r="BI150" s="75">
        <f>$C150*INDEX(Curves!$BB$8:$BB$68,BI$4-$B150+1)</f>
        <v/>
      </c>
      <c r="BJ150" s="75">
        <f>$C150*INDEX(Curves!$BB$8:$BB$68,BJ$4-$B150+1)</f>
        <v/>
      </c>
      <c r="BK150" s="75">
        <f>$C150*INDEX(Curves!$BB$8:$BB$68,BK$4-$B150+1)</f>
        <v/>
      </c>
      <c r="BL150" s="75">
        <f>$C150*INDEX(Curves!$BB$8:$BB$68,BL$4-$B150+1)</f>
        <v/>
      </c>
    </row>
    <row r="151">
      <c r="A151" s="74" t="inlineStr">
        <is>
          <t>Cohort month 16</t>
        </is>
      </c>
      <c r="B151" s="74" t="n">
        <v>16</v>
      </c>
      <c r="C151" s="17">
        <f>INDEX(Ops!$E$110:$BL$110,1,$B151)</f>
        <v/>
      </c>
      <c r="U151" s="75">
        <f>$C151*INDEX(Curves!$BB$8:$BB$68,U$4-$B151+1)</f>
        <v/>
      </c>
      <c r="V151" s="75">
        <f>$C151*INDEX(Curves!$BB$8:$BB$68,V$4-$B151+1)</f>
        <v/>
      </c>
      <c r="W151" s="75">
        <f>$C151*INDEX(Curves!$BB$8:$BB$68,W$4-$B151+1)</f>
        <v/>
      </c>
      <c r="X151" s="75">
        <f>$C151*INDEX(Curves!$BB$8:$BB$68,X$4-$B151+1)</f>
        <v/>
      </c>
      <c r="Y151" s="75">
        <f>$C151*INDEX(Curves!$BB$8:$BB$68,Y$4-$B151+1)</f>
        <v/>
      </c>
      <c r="Z151" s="75">
        <f>$C151*INDEX(Curves!$BB$8:$BB$68,Z$4-$B151+1)</f>
        <v/>
      </c>
      <c r="AA151" s="75">
        <f>$C151*INDEX(Curves!$BB$8:$BB$68,AA$4-$B151+1)</f>
        <v/>
      </c>
      <c r="AB151" s="75">
        <f>$C151*INDEX(Curves!$BB$8:$BB$68,AB$4-$B151+1)</f>
        <v/>
      </c>
      <c r="AC151" s="75">
        <f>$C151*INDEX(Curves!$BB$8:$BB$68,AC$4-$B151+1)</f>
        <v/>
      </c>
      <c r="AD151" s="75">
        <f>$C151*INDEX(Curves!$BB$8:$BB$68,AD$4-$B151+1)</f>
        <v/>
      </c>
      <c r="AE151" s="75">
        <f>$C151*INDEX(Curves!$BB$8:$BB$68,AE$4-$B151+1)</f>
        <v/>
      </c>
      <c r="AF151" s="75">
        <f>$C151*INDEX(Curves!$BB$8:$BB$68,AF$4-$B151+1)</f>
        <v/>
      </c>
      <c r="AG151" s="75">
        <f>$C151*INDEX(Curves!$BB$8:$BB$68,AG$4-$B151+1)</f>
        <v/>
      </c>
      <c r="AH151" s="75">
        <f>$C151*INDEX(Curves!$BB$8:$BB$68,AH$4-$B151+1)</f>
        <v/>
      </c>
      <c r="AI151" s="75">
        <f>$C151*INDEX(Curves!$BB$8:$BB$68,AI$4-$B151+1)</f>
        <v/>
      </c>
      <c r="AJ151" s="75">
        <f>$C151*INDEX(Curves!$BB$8:$BB$68,AJ$4-$B151+1)</f>
        <v/>
      </c>
      <c r="AK151" s="75">
        <f>$C151*INDEX(Curves!$BB$8:$BB$68,AK$4-$B151+1)</f>
        <v/>
      </c>
      <c r="AL151" s="75">
        <f>$C151*INDEX(Curves!$BB$8:$BB$68,AL$4-$B151+1)</f>
        <v/>
      </c>
      <c r="AM151" s="75">
        <f>$C151*INDEX(Curves!$BB$8:$BB$68,AM$4-$B151+1)</f>
        <v/>
      </c>
      <c r="AN151" s="75">
        <f>$C151*INDEX(Curves!$BB$8:$BB$68,AN$4-$B151+1)</f>
        <v/>
      </c>
      <c r="AO151" s="75">
        <f>$C151*INDEX(Curves!$BB$8:$BB$68,AO$4-$B151+1)</f>
        <v/>
      </c>
      <c r="AP151" s="75">
        <f>$C151*INDEX(Curves!$BB$8:$BB$68,AP$4-$B151+1)</f>
        <v/>
      </c>
      <c r="AQ151" s="75">
        <f>$C151*INDEX(Curves!$BB$8:$BB$68,AQ$4-$B151+1)</f>
        <v/>
      </c>
      <c r="AR151" s="75">
        <f>$C151*INDEX(Curves!$BB$8:$BB$68,AR$4-$B151+1)</f>
        <v/>
      </c>
      <c r="AS151" s="75">
        <f>$C151*INDEX(Curves!$BB$8:$BB$68,AS$4-$B151+1)</f>
        <v/>
      </c>
      <c r="AT151" s="75">
        <f>$C151*INDEX(Curves!$BB$8:$BB$68,AT$4-$B151+1)</f>
        <v/>
      </c>
      <c r="AU151" s="75">
        <f>$C151*INDEX(Curves!$BB$8:$BB$68,AU$4-$B151+1)</f>
        <v/>
      </c>
      <c r="AV151" s="75">
        <f>$C151*INDEX(Curves!$BB$8:$BB$68,AV$4-$B151+1)</f>
        <v/>
      </c>
      <c r="AW151" s="75">
        <f>$C151*INDEX(Curves!$BB$8:$BB$68,AW$4-$B151+1)</f>
        <v/>
      </c>
      <c r="AX151" s="75">
        <f>$C151*INDEX(Curves!$BB$8:$BB$68,AX$4-$B151+1)</f>
        <v/>
      </c>
      <c r="AY151" s="75">
        <f>$C151*INDEX(Curves!$BB$8:$BB$68,AY$4-$B151+1)</f>
        <v/>
      </c>
      <c r="AZ151" s="75">
        <f>$C151*INDEX(Curves!$BB$8:$BB$68,AZ$4-$B151+1)</f>
        <v/>
      </c>
      <c r="BA151" s="75">
        <f>$C151*INDEX(Curves!$BB$8:$BB$68,BA$4-$B151+1)</f>
        <v/>
      </c>
      <c r="BB151" s="75">
        <f>$C151*INDEX(Curves!$BB$8:$BB$68,BB$4-$B151+1)</f>
        <v/>
      </c>
      <c r="BC151" s="75">
        <f>$C151*INDEX(Curves!$BB$8:$BB$68,BC$4-$B151+1)</f>
        <v/>
      </c>
      <c r="BD151" s="75">
        <f>$C151*INDEX(Curves!$BB$8:$BB$68,BD$4-$B151+1)</f>
        <v/>
      </c>
      <c r="BE151" s="75">
        <f>$C151*INDEX(Curves!$BB$8:$BB$68,BE$4-$B151+1)</f>
        <v/>
      </c>
      <c r="BF151" s="75">
        <f>$C151*INDEX(Curves!$BB$8:$BB$68,BF$4-$B151+1)</f>
        <v/>
      </c>
      <c r="BG151" s="75">
        <f>$C151*INDEX(Curves!$BB$8:$BB$68,BG$4-$B151+1)</f>
        <v/>
      </c>
      <c r="BH151" s="75">
        <f>$C151*INDEX(Curves!$BB$8:$BB$68,BH$4-$B151+1)</f>
        <v/>
      </c>
      <c r="BI151" s="75">
        <f>$C151*INDEX(Curves!$BB$8:$BB$68,BI$4-$B151+1)</f>
        <v/>
      </c>
      <c r="BJ151" s="75">
        <f>$C151*INDEX(Curves!$BB$8:$BB$68,BJ$4-$B151+1)</f>
        <v/>
      </c>
      <c r="BK151" s="75">
        <f>$C151*INDEX(Curves!$BB$8:$BB$68,BK$4-$B151+1)</f>
        <v/>
      </c>
      <c r="BL151" s="75">
        <f>$C151*INDEX(Curves!$BB$8:$BB$68,BL$4-$B151+1)</f>
        <v/>
      </c>
    </row>
    <row r="152">
      <c r="A152" s="74" t="inlineStr">
        <is>
          <t>Cohort month 17</t>
        </is>
      </c>
      <c r="B152" s="74" t="n">
        <v>17</v>
      </c>
      <c r="C152" s="17">
        <f>INDEX(Ops!$E$110:$BL$110,1,$B152)</f>
        <v/>
      </c>
      <c r="V152" s="75">
        <f>$C152*INDEX(Curves!$BB$8:$BB$68,V$4-$B152+1)</f>
        <v/>
      </c>
      <c r="W152" s="75">
        <f>$C152*INDEX(Curves!$BB$8:$BB$68,W$4-$B152+1)</f>
        <v/>
      </c>
      <c r="X152" s="75">
        <f>$C152*INDEX(Curves!$BB$8:$BB$68,X$4-$B152+1)</f>
        <v/>
      </c>
      <c r="Y152" s="75">
        <f>$C152*INDEX(Curves!$BB$8:$BB$68,Y$4-$B152+1)</f>
        <v/>
      </c>
      <c r="Z152" s="75">
        <f>$C152*INDEX(Curves!$BB$8:$BB$68,Z$4-$B152+1)</f>
        <v/>
      </c>
      <c r="AA152" s="75">
        <f>$C152*INDEX(Curves!$BB$8:$BB$68,AA$4-$B152+1)</f>
        <v/>
      </c>
      <c r="AB152" s="75">
        <f>$C152*INDEX(Curves!$BB$8:$BB$68,AB$4-$B152+1)</f>
        <v/>
      </c>
      <c r="AC152" s="75">
        <f>$C152*INDEX(Curves!$BB$8:$BB$68,AC$4-$B152+1)</f>
        <v/>
      </c>
      <c r="AD152" s="75">
        <f>$C152*INDEX(Curves!$BB$8:$BB$68,AD$4-$B152+1)</f>
        <v/>
      </c>
      <c r="AE152" s="75">
        <f>$C152*INDEX(Curves!$BB$8:$BB$68,AE$4-$B152+1)</f>
        <v/>
      </c>
      <c r="AF152" s="75">
        <f>$C152*INDEX(Curves!$BB$8:$BB$68,AF$4-$B152+1)</f>
        <v/>
      </c>
      <c r="AG152" s="75">
        <f>$C152*INDEX(Curves!$BB$8:$BB$68,AG$4-$B152+1)</f>
        <v/>
      </c>
      <c r="AH152" s="75">
        <f>$C152*INDEX(Curves!$BB$8:$BB$68,AH$4-$B152+1)</f>
        <v/>
      </c>
      <c r="AI152" s="75">
        <f>$C152*INDEX(Curves!$BB$8:$BB$68,AI$4-$B152+1)</f>
        <v/>
      </c>
      <c r="AJ152" s="75">
        <f>$C152*INDEX(Curves!$BB$8:$BB$68,AJ$4-$B152+1)</f>
        <v/>
      </c>
      <c r="AK152" s="75">
        <f>$C152*INDEX(Curves!$BB$8:$BB$68,AK$4-$B152+1)</f>
        <v/>
      </c>
      <c r="AL152" s="75">
        <f>$C152*INDEX(Curves!$BB$8:$BB$68,AL$4-$B152+1)</f>
        <v/>
      </c>
      <c r="AM152" s="75">
        <f>$C152*INDEX(Curves!$BB$8:$BB$68,AM$4-$B152+1)</f>
        <v/>
      </c>
      <c r="AN152" s="75">
        <f>$C152*INDEX(Curves!$BB$8:$BB$68,AN$4-$B152+1)</f>
        <v/>
      </c>
      <c r="AO152" s="75">
        <f>$C152*INDEX(Curves!$BB$8:$BB$68,AO$4-$B152+1)</f>
        <v/>
      </c>
      <c r="AP152" s="75">
        <f>$C152*INDEX(Curves!$BB$8:$BB$68,AP$4-$B152+1)</f>
        <v/>
      </c>
      <c r="AQ152" s="75">
        <f>$C152*INDEX(Curves!$BB$8:$BB$68,AQ$4-$B152+1)</f>
        <v/>
      </c>
      <c r="AR152" s="75">
        <f>$C152*INDEX(Curves!$BB$8:$BB$68,AR$4-$B152+1)</f>
        <v/>
      </c>
      <c r="AS152" s="75">
        <f>$C152*INDEX(Curves!$BB$8:$BB$68,AS$4-$B152+1)</f>
        <v/>
      </c>
      <c r="AT152" s="75">
        <f>$C152*INDEX(Curves!$BB$8:$BB$68,AT$4-$B152+1)</f>
        <v/>
      </c>
      <c r="AU152" s="75">
        <f>$C152*INDEX(Curves!$BB$8:$BB$68,AU$4-$B152+1)</f>
        <v/>
      </c>
      <c r="AV152" s="75">
        <f>$C152*INDEX(Curves!$BB$8:$BB$68,AV$4-$B152+1)</f>
        <v/>
      </c>
      <c r="AW152" s="75">
        <f>$C152*INDEX(Curves!$BB$8:$BB$68,AW$4-$B152+1)</f>
        <v/>
      </c>
      <c r="AX152" s="75">
        <f>$C152*INDEX(Curves!$BB$8:$BB$68,AX$4-$B152+1)</f>
        <v/>
      </c>
      <c r="AY152" s="75">
        <f>$C152*INDEX(Curves!$BB$8:$BB$68,AY$4-$B152+1)</f>
        <v/>
      </c>
      <c r="AZ152" s="75">
        <f>$C152*INDEX(Curves!$BB$8:$BB$68,AZ$4-$B152+1)</f>
        <v/>
      </c>
      <c r="BA152" s="75">
        <f>$C152*INDEX(Curves!$BB$8:$BB$68,BA$4-$B152+1)</f>
        <v/>
      </c>
      <c r="BB152" s="75">
        <f>$C152*INDEX(Curves!$BB$8:$BB$68,BB$4-$B152+1)</f>
        <v/>
      </c>
      <c r="BC152" s="75">
        <f>$C152*INDEX(Curves!$BB$8:$BB$68,BC$4-$B152+1)</f>
        <v/>
      </c>
      <c r="BD152" s="75">
        <f>$C152*INDEX(Curves!$BB$8:$BB$68,BD$4-$B152+1)</f>
        <v/>
      </c>
      <c r="BE152" s="75">
        <f>$C152*INDEX(Curves!$BB$8:$BB$68,BE$4-$B152+1)</f>
        <v/>
      </c>
      <c r="BF152" s="75">
        <f>$C152*INDEX(Curves!$BB$8:$BB$68,BF$4-$B152+1)</f>
        <v/>
      </c>
      <c r="BG152" s="75">
        <f>$C152*INDEX(Curves!$BB$8:$BB$68,BG$4-$B152+1)</f>
        <v/>
      </c>
      <c r="BH152" s="75">
        <f>$C152*INDEX(Curves!$BB$8:$BB$68,BH$4-$B152+1)</f>
        <v/>
      </c>
      <c r="BI152" s="75">
        <f>$C152*INDEX(Curves!$BB$8:$BB$68,BI$4-$B152+1)</f>
        <v/>
      </c>
      <c r="BJ152" s="75">
        <f>$C152*INDEX(Curves!$BB$8:$BB$68,BJ$4-$B152+1)</f>
        <v/>
      </c>
      <c r="BK152" s="75">
        <f>$C152*INDEX(Curves!$BB$8:$BB$68,BK$4-$B152+1)</f>
        <v/>
      </c>
      <c r="BL152" s="75">
        <f>$C152*INDEX(Curves!$BB$8:$BB$68,BL$4-$B152+1)</f>
        <v/>
      </c>
    </row>
    <row r="153">
      <c r="A153" s="74" t="inlineStr">
        <is>
          <t>Cohort month 18</t>
        </is>
      </c>
      <c r="B153" s="74" t="n">
        <v>18</v>
      </c>
      <c r="C153" s="17">
        <f>INDEX(Ops!$E$110:$BL$110,1,$B153)</f>
        <v/>
      </c>
      <c r="W153" s="75">
        <f>$C153*INDEX(Curves!$BB$8:$BB$68,W$4-$B153+1)</f>
        <v/>
      </c>
      <c r="X153" s="75">
        <f>$C153*INDEX(Curves!$BB$8:$BB$68,X$4-$B153+1)</f>
        <v/>
      </c>
      <c r="Y153" s="75">
        <f>$C153*INDEX(Curves!$BB$8:$BB$68,Y$4-$B153+1)</f>
        <v/>
      </c>
      <c r="Z153" s="75">
        <f>$C153*INDEX(Curves!$BB$8:$BB$68,Z$4-$B153+1)</f>
        <v/>
      </c>
      <c r="AA153" s="75">
        <f>$C153*INDEX(Curves!$BB$8:$BB$68,AA$4-$B153+1)</f>
        <v/>
      </c>
      <c r="AB153" s="75">
        <f>$C153*INDEX(Curves!$BB$8:$BB$68,AB$4-$B153+1)</f>
        <v/>
      </c>
      <c r="AC153" s="75">
        <f>$C153*INDEX(Curves!$BB$8:$BB$68,AC$4-$B153+1)</f>
        <v/>
      </c>
      <c r="AD153" s="75">
        <f>$C153*INDEX(Curves!$BB$8:$BB$68,AD$4-$B153+1)</f>
        <v/>
      </c>
      <c r="AE153" s="75">
        <f>$C153*INDEX(Curves!$BB$8:$BB$68,AE$4-$B153+1)</f>
        <v/>
      </c>
      <c r="AF153" s="75">
        <f>$C153*INDEX(Curves!$BB$8:$BB$68,AF$4-$B153+1)</f>
        <v/>
      </c>
      <c r="AG153" s="75">
        <f>$C153*INDEX(Curves!$BB$8:$BB$68,AG$4-$B153+1)</f>
        <v/>
      </c>
      <c r="AH153" s="75">
        <f>$C153*INDEX(Curves!$BB$8:$BB$68,AH$4-$B153+1)</f>
        <v/>
      </c>
      <c r="AI153" s="75">
        <f>$C153*INDEX(Curves!$BB$8:$BB$68,AI$4-$B153+1)</f>
        <v/>
      </c>
      <c r="AJ153" s="75">
        <f>$C153*INDEX(Curves!$BB$8:$BB$68,AJ$4-$B153+1)</f>
        <v/>
      </c>
      <c r="AK153" s="75">
        <f>$C153*INDEX(Curves!$BB$8:$BB$68,AK$4-$B153+1)</f>
        <v/>
      </c>
      <c r="AL153" s="75">
        <f>$C153*INDEX(Curves!$BB$8:$BB$68,AL$4-$B153+1)</f>
        <v/>
      </c>
      <c r="AM153" s="75">
        <f>$C153*INDEX(Curves!$BB$8:$BB$68,AM$4-$B153+1)</f>
        <v/>
      </c>
      <c r="AN153" s="75">
        <f>$C153*INDEX(Curves!$BB$8:$BB$68,AN$4-$B153+1)</f>
        <v/>
      </c>
      <c r="AO153" s="75">
        <f>$C153*INDEX(Curves!$BB$8:$BB$68,AO$4-$B153+1)</f>
        <v/>
      </c>
      <c r="AP153" s="75">
        <f>$C153*INDEX(Curves!$BB$8:$BB$68,AP$4-$B153+1)</f>
        <v/>
      </c>
      <c r="AQ153" s="75">
        <f>$C153*INDEX(Curves!$BB$8:$BB$68,AQ$4-$B153+1)</f>
        <v/>
      </c>
      <c r="AR153" s="75">
        <f>$C153*INDEX(Curves!$BB$8:$BB$68,AR$4-$B153+1)</f>
        <v/>
      </c>
      <c r="AS153" s="75">
        <f>$C153*INDEX(Curves!$BB$8:$BB$68,AS$4-$B153+1)</f>
        <v/>
      </c>
      <c r="AT153" s="75">
        <f>$C153*INDEX(Curves!$BB$8:$BB$68,AT$4-$B153+1)</f>
        <v/>
      </c>
      <c r="AU153" s="75">
        <f>$C153*INDEX(Curves!$BB$8:$BB$68,AU$4-$B153+1)</f>
        <v/>
      </c>
      <c r="AV153" s="75">
        <f>$C153*INDEX(Curves!$BB$8:$BB$68,AV$4-$B153+1)</f>
        <v/>
      </c>
      <c r="AW153" s="75">
        <f>$C153*INDEX(Curves!$BB$8:$BB$68,AW$4-$B153+1)</f>
        <v/>
      </c>
      <c r="AX153" s="75">
        <f>$C153*INDEX(Curves!$BB$8:$BB$68,AX$4-$B153+1)</f>
        <v/>
      </c>
      <c r="AY153" s="75">
        <f>$C153*INDEX(Curves!$BB$8:$BB$68,AY$4-$B153+1)</f>
        <v/>
      </c>
      <c r="AZ153" s="75">
        <f>$C153*INDEX(Curves!$BB$8:$BB$68,AZ$4-$B153+1)</f>
        <v/>
      </c>
      <c r="BA153" s="75">
        <f>$C153*INDEX(Curves!$BB$8:$BB$68,BA$4-$B153+1)</f>
        <v/>
      </c>
      <c r="BB153" s="75">
        <f>$C153*INDEX(Curves!$BB$8:$BB$68,BB$4-$B153+1)</f>
        <v/>
      </c>
      <c r="BC153" s="75">
        <f>$C153*INDEX(Curves!$BB$8:$BB$68,BC$4-$B153+1)</f>
        <v/>
      </c>
      <c r="BD153" s="75">
        <f>$C153*INDEX(Curves!$BB$8:$BB$68,BD$4-$B153+1)</f>
        <v/>
      </c>
      <c r="BE153" s="75">
        <f>$C153*INDEX(Curves!$BB$8:$BB$68,BE$4-$B153+1)</f>
        <v/>
      </c>
      <c r="BF153" s="75">
        <f>$C153*INDEX(Curves!$BB$8:$BB$68,BF$4-$B153+1)</f>
        <v/>
      </c>
      <c r="BG153" s="75">
        <f>$C153*INDEX(Curves!$BB$8:$BB$68,BG$4-$B153+1)</f>
        <v/>
      </c>
      <c r="BH153" s="75">
        <f>$C153*INDEX(Curves!$BB$8:$BB$68,BH$4-$B153+1)</f>
        <v/>
      </c>
      <c r="BI153" s="75">
        <f>$C153*INDEX(Curves!$BB$8:$BB$68,BI$4-$B153+1)</f>
        <v/>
      </c>
      <c r="BJ153" s="75">
        <f>$C153*INDEX(Curves!$BB$8:$BB$68,BJ$4-$B153+1)</f>
        <v/>
      </c>
      <c r="BK153" s="75">
        <f>$C153*INDEX(Curves!$BB$8:$BB$68,BK$4-$B153+1)</f>
        <v/>
      </c>
      <c r="BL153" s="75">
        <f>$C153*INDEX(Curves!$BB$8:$BB$68,BL$4-$B153+1)</f>
        <v/>
      </c>
    </row>
    <row r="154">
      <c r="A154" s="74" t="inlineStr">
        <is>
          <t>Cohort month 19</t>
        </is>
      </c>
      <c r="B154" s="74" t="n">
        <v>19</v>
      </c>
      <c r="C154" s="17">
        <f>INDEX(Ops!$E$110:$BL$110,1,$B154)</f>
        <v/>
      </c>
      <c r="X154" s="75">
        <f>$C154*INDEX(Curves!$BB$8:$BB$68,X$4-$B154+1)</f>
        <v/>
      </c>
      <c r="Y154" s="75">
        <f>$C154*INDEX(Curves!$BB$8:$BB$68,Y$4-$B154+1)</f>
        <v/>
      </c>
      <c r="Z154" s="75">
        <f>$C154*INDEX(Curves!$BB$8:$BB$68,Z$4-$B154+1)</f>
        <v/>
      </c>
      <c r="AA154" s="75">
        <f>$C154*INDEX(Curves!$BB$8:$BB$68,AA$4-$B154+1)</f>
        <v/>
      </c>
      <c r="AB154" s="75">
        <f>$C154*INDEX(Curves!$BB$8:$BB$68,AB$4-$B154+1)</f>
        <v/>
      </c>
      <c r="AC154" s="75">
        <f>$C154*INDEX(Curves!$BB$8:$BB$68,AC$4-$B154+1)</f>
        <v/>
      </c>
      <c r="AD154" s="75">
        <f>$C154*INDEX(Curves!$BB$8:$BB$68,AD$4-$B154+1)</f>
        <v/>
      </c>
      <c r="AE154" s="75">
        <f>$C154*INDEX(Curves!$BB$8:$BB$68,AE$4-$B154+1)</f>
        <v/>
      </c>
      <c r="AF154" s="75">
        <f>$C154*INDEX(Curves!$BB$8:$BB$68,AF$4-$B154+1)</f>
        <v/>
      </c>
      <c r="AG154" s="75">
        <f>$C154*INDEX(Curves!$BB$8:$BB$68,AG$4-$B154+1)</f>
        <v/>
      </c>
      <c r="AH154" s="75">
        <f>$C154*INDEX(Curves!$BB$8:$BB$68,AH$4-$B154+1)</f>
        <v/>
      </c>
      <c r="AI154" s="75">
        <f>$C154*INDEX(Curves!$BB$8:$BB$68,AI$4-$B154+1)</f>
        <v/>
      </c>
      <c r="AJ154" s="75">
        <f>$C154*INDEX(Curves!$BB$8:$BB$68,AJ$4-$B154+1)</f>
        <v/>
      </c>
      <c r="AK154" s="75">
        <f>$C154*INDEX(Curves!$BB$8:$BB$68,AK$4-$B154+1)</f>
        <v/>
      </c>
      <c r="AL154" s="75">
        <f>$C154*INDEX(Curves!$BB$8:$BB$68,AL$4-$B154+1)</f>
        <v/>
      </c>
      <c r="AM154" s="75">
        <f>$C154*INDEX(Curves!$BB$8:$BB$68,AM$4-$B154+1)</f>
        <v/>
      </c>
      <c r="AN154" s="75">
        <f>$C154*INDEX(Curves!$BB$8:$BB$68,AN$4-$B154+1)</f>
        <v/>
      </c>
      <c r="AO154" s="75">
        <f>$C154*INDEX(Curves!$BB$8:$BB$68,AO$4-$B154+1)</f>
        <v/>
      </c>
      <c r="AP154" s="75">
        <f>$C154*INDEX(Curves!$BB$8:$BB$68,AP$4-$B154+1)</f>
        <v/>
      </c>
      <c r="AQ154" s="75">
        <f>$C154*INDEX(Curves!$BB$8:$BB$68,AQ$4-$B154+1)</f>
        <v/>
      </c>
      <c r="AR154" s="75">
        <f>$C154*INDEX(Curves!$BB$8:$BB$68,AR$4-$B154+1)</f>
        <v/>
      </c>
      <c r="AS154" s="75">
        <f>$C154*INDEX(Curves!$BB$8:$BB$68,AS$4-$B154+1)</f>
        <v/>
      </c>
      <c r="AT154" s="75">
        <f>$C154*INDEX(Curves!$BB$8:$BB$68,AT$4-$B154+1)</f>
        <v/>
      </c>
      <c r="AU154" s="75">
        <f>$C154*INDEX(Curves!$BB$8:$BB$68,AU$4-$B154+1)</f>
        <v/>
      </c>
      <c r="AV154" s="75">
        <f>$C154*INDEX(Curves!$BB$8:$BB$68,AV$4-$B154+1)</f>
        <v/>
      </c>
      <c r="AW154" s="75">
        <f>$C154*INDEX(Curves!$BB$8:$BB$68,AW$4-$B154+1)</f>
        <v/>
      </c>
      <c r="AX154" s="75">
        <f>$C154*INDEX(Curves!$BB$8:$BB$68,AX$4-$B154+1)</f>
        <v/>
      </c>
      <c r="AY154" s="75">
        <f>$C154*INDEX(Curves!$BB$8:$BB$68,AY$4-$B154+1)</f>
        <v/>
      </c>
      <c r="AZ154" s="75">
        <f>$C154*INDEX(Curves!$BB$8:$BB$68,AZ$4-$B154+1)</f>
        <v/>
      </c>
      <c r="BA154" s="75">
        <f>$C154*INDEX(Curves!$BB$8:$BB$68,BA$4-$B154+1)</f>
        <v/>
      </c>
      <c r="BB154" s="75">
        <f>$C154*INDEX(Curves!$BB$8:$BB$68,BB$4-$B154+1)</f>
        <v/>
      </c>
      <c r="BC154" s="75">
        <f>$C154*INDEX(Curves!$BB$8:$BB$68,BC$4-$B154+1)</f>
        <v/>
      </c>
      <c r="BD154" s="75">
        <f>$C154*INDEX(Curves!$BB$8:$BB$68,BD$4-$B154+1)</f>
        <v/>
      </c>
      <c r="BE154" s="75">
        <f>$C154*INDEX(Curves!$BB$8:$BB$68,BE$4-$B154+1)</f>
        <v/>
      </c>
      <c r="BF154" s="75">
        <f>$C154*INDEX(Curves!$BB$8:$BB$68,BF$4-$B154+1)</f>
        <v/>
      </c>
      <c r="BG154" s="75">
        <f>$C154*INDEX(Curves!$BB$8:$BB$68,BG$4-$B154+1)</f>
        <v/>
      </c>
      <c r="BH154" s="75">
        <f>$C154*INDEX(Curves!$BB$8:$BB$68,BH$4-$B154+1)</f>
        <v/>
      </c>
      <c r="BI154" s="75">
        <f>$C154*INDEX(Curves!$BB$8:$BB$68,BI$4-$B154+1)</f>
        <v/>
      </c>
      <c r="BJ154" s="75">
        <f>$C154*INDEX(Curves!$BB$8:$BB$68,BJ$4-$B154+1)</f>
        <v/>
      </c>
      <c r="BK154" s="75">
        <f>$C154*INDEX(Curves!$BB$8:$BB$68,BK$4-$B154+1)</f>
        <v/>
      </c>
      <c r="BL154" s="75">
        <f>$C154*INDEX(Curves!$BB$8:$BB$68,BL$4-$B154+1)</f>
        <v/>
      </c>
    </row>
    <row r="155">
      <c r="A155" s="74" t="inlineStr">
        <is>
          <t>Cohort month 20</t>
        </is>
      </c>
      <c r="B155" s="74" t="n">
        <v>20</v>
      </c>
      <c r="C155" s="17">
        <f>INDEX(Ops!$E$110:$BL$110,1,$B155)</f>
        <v/>
      </c>
      <c r="Y155" s="75">
        <f>$C155*INDEX(Curves!$BB$8:$BB$68,Y$4-$B155+1)</f>
        <v/>
      </c>
      <c r="Z155" s="75">
        <f>$C155*INDEX(Curves!$BB$8:$BB$68,Z$4-$B155+1)</f>
        <v/>
      </c>
      <c r="AA155" s="75">
        <f>$C155*INDEX(Curves!$BB$8:$BB$68,AA$4-$B155+1)</f>
        <v/>
      </c>
      <c r="AB155" s="75">
        <f>$C155*INDEX(Curves!$BB$8:$BB$68,AB$4-$B155+1)</f>
        <v/>
      </c>
      <c r="AC155" s="75">
        <f>$C155*INDEX(Curves!$BB$8:$BB$68,AC$4-$B155+1)</f>
        <v/>
      </c>
      <c r="AD155" s="75">
        <f>$C155*INDEX(Curves!$BB$8:$BB$68,AD$4-$B155+1)</f>
        <v/>
      </c>
      <c r="AE155" s="75">
        <f>$C155*INDEX(Curves!$BB$8:$BB$68,AE$4-$B155+1)</f>
        <v/>
      </c>
      <c r="AF155" s="75">
        <f>$C155*INDEX(Curves!$BB$8:$BB$68,AF$4-$B155+1)</f>
        <v/>
      </c>
      <c r="AG155" s="75">
        <f>$C155*INDEX(Curves!$BB$8:$BB$68,AG$4-$B155+1)</f>
        <v/>
      </c>
      <c r="AH155" s="75">
        <f>$C155*INDEX(Curves!$BB$8:$BB$68,AH$4-$B155+1)</f>
        <v/>
      </c>
      <c r="AI155" s="75">
        <f>$C155*INDEX(Curves!$BB$8:$BB$68,AI$4-$B155+1)</f>
        <v/>
      </c>
      <c r="AJ155" s="75">
        <f>$C155*INDEX(Curves!$BB$8:$BB$68,AJ$4-$B155+1)</f>
        <v/>
      </c>
      <c r="AK155" s="75">
        <f>$C155*INDEX(Curves!$BB$8:$BB$68,AK$4-$B155+1)</f>
        <v/>
      </c>
      <c r="AL155" s="75">
        <f>$C155*INDEX(Curves!$BB$8:$BB$68,AL$4-$B155+1)</f>
        <v/>
      </c>
      <c r="AM155" s="75">
        <f>$C155*INDEX(Curves!$BB$8:$BB$68,AM$4-$B155+1)</f>
        <v/>
      </c>
      <c r="AN155" s="75">
        <f>$C155*INDEX(Curves!$BB$8:$BB$68,AN$4-$B155+1)</f>
        <v/>
      </c>
      <c r="AO155" s="75">
        <f>$C155*INDEX(Curves!$BB$8:$BB$68,AO$4-$B155+1)</f>
        <v/>
      </c>
      <c r="AP155" s="75">
        <f>$C155*INDEX(Curves!$BB$8:$BB$68,AP$4-$B155+1)</f>
        <v/>
      </c>
      <c r="AQ155" s="75">
        <f>$C155*INDEX(Curves!$BB$8:$BB$68,AQ$4-$B155+1)</f>
        <v/>
      </c>
      <c r="AR155" s="75">
        <f>$C155*INDEX(Curves!$BB$8:$BB$68,AR$4-$B155+1)</f>
        <v/>
      </c>
      <c r="AS155" s="75">
        <f>$C155*INDEX(Curves!$BB$8:$BB$68,AS$4-$B155+1)</f>
        <v/>
      </c>
      <c r="AT155" s="75">
        <f>$C155*INDEX(Curves!$BB$8:$BB$68,AT$4-$B155+1)</f>
        <v/>
      </c>
      <c r="AU155" s="75">
        <f>$C155*INDEX(Curves!$BB$8:$BB$68,AU$4-$B155+1)</f>
        <v/>
      </c>
      <c r="AV155" s="75">
        <f>$C155*INDEX(Curves!$BB$8:$BB$68,AV$4-$B155+1)</f>
        <v/>
      </c>
      <c r="AW155" s="75">
        <f>$C155*INDEX(Curves!$BB$8:$BB$68,AW$4-$B155+1)</f>
        <v/>
      </c>
      <c r="AX155" s="75">
        <f>$C155*INDEX(Curves!$BB$8:$BB$68,AX$4-$B155+1)</f>
        <v/>
      </c>
      <c r="AY155" s="75">
        <f>$C155*INDEX(Curves!$BB$8:$BB$68,AY$4-$B155+1)</f>
        <v/>
      </c>
      <c r="AZ155" s="75">
        <f>$C155*INDEX(Curves!$BB$8:$BB$68,AZ$4-$B155+1)</f>
        <v/>
      </c>
      <c r="BA155" s="75">
        <f>$C155*INDEX(Curves!$BB$8:$BB$68,BA$4-$B155+1)</f>
        <v/>
      </c>
      <c r="BB155" s="75">
        <f>$C155*INDEX(Curves!$BB$8:$BB$68,BB$4-$B155+1)</f>
        <v/>
      </c>
      <c r="BC155" s="75">
        <f>$C155*INDEX(Curves!$BB$8:$BB$68,BC$4-$B155+1)</f>
        <v/>
      </c>
      <c r="BD155" s="75">
        <f>$C155*INDEX(Curves!$BB$8:$BB$68,BD$4-$B155+1)</f>
        <v/>
      </c>
      <c r="BE155" s="75">
        <f>$C155*INDEX(Curves!$BB$8:$BB$68,BE$4-$B155+1)</f>
        <v/>
      </c>
      <c r="BF155" s="75">
        <f>$C155*INDEX(Curves!$BB$8:$BB$68,BF$4-$B155+1)</f>
        <v/>
      </c>
      <c r="BG155" s="75">
        <f>$C155*INDEX(Curves!$BB$8:$BB$68,BG$4-$B155+1)</f>
        <v/>
      </c>
      <c r="BH155" s="75">
        <f>$C155*INDEX(Curves!$BB$8:$BB$68,BH$4-$B155+1)</f>
        <v/>
      </c>
      <c r="BI155" s="75">
        <f>$C155*INDEX(Curves!$BB$8:$BB$68,BI$4-$B155+1)</f>
        <v/>
      </c>
      <c r="BJ155" s="75">
        <f>$C155*INDEX(Curves!$BB$8:$BB$68,BJ$4-$B155+1)</f>
        <v/>
      </c>
      <c r="BK155" s="75">
        <f>$C155*INDEX(Curves!$BB$8:$BB$68,BK$4-$B155+1)</f>
        <v/>
      </c>
      <c r="BL155" s="75">
        <f>$C155*INDEX(Curves!$BB$8:$BB$68,BL$4-$B155+1)</f>
        <v/>
      </c>
    </row>
    <row r="156">
      <c r="A156" s="74" t="inlineStr">
        <is>
          <t>Cohort month 21</t>
        </is>
      </c>
      <c r="B156" s="74" t="n">
        <v>21</v>
      </c>
      <c r="C156" s="17">
        <f>INDEX(Ops!$E$110:$BL$110,1,$B156)</f>
        <v/>
      </c>
      <c r="Z156" s="75">
        <f>$C156*INDEX(Curves!$BB$8:$BB$68,Z$4-$B156+1)</f>
        <v/>
      </c>
      <c r="AA156" s="75">
        <f>$C156*INDEX(Curves!$BB$8:$BB$68,AA$4-$B156+1)</f>
        <v/>
      </c>
      <c r="AB156" s="75">
        <f>$C156*INDEX(Curves!$BB$8:$BB$68,AB$4-$B156+1)</f>
        <v/>
      </c>
      <c r="AC156" s="75">
        <f>$C156*INDEX(Curves!$BB$8:$BB$68,AC$4-$B156+1)</f>
        <v/>
      </c>
      <c r="AD156" s="75">
        <f>$C156*INDEX(Curves!$BB$8:$BB$68,AD$4-$B156+1)</f>
        <v/>
      </c>
      <c r="AE156" s="75">
        <f>$C156*INDEX(Curves!$BB$8:$BB$68,AE$4-$B156+1)</f>
        <v/>
      </c>
      <c r="AF156" s="75">
        <f>$C156*INDEX(Curves!$BB$8:$BB$68,AF$4-$B156+1)</f>
        <v/>
      </c>
      <c r="AG156" s="75">
        <f>$C156*INDEX(Curves!$BB$8:$BB$68,AG$4-$B156+1)</f>
        <v/>
      </c>
      <c r="AH156" s="75">
        <f>$C156*INDEX(Curves!$BB$8:$BB$68,AH$4-$B156+1)</f>
        <v/>
      </c>
      <c r="AI156" s="75">
        <f>$C156*INDEX(Curves!$BB$8:$BB$68,AI$4-$B156+1)</f>
        <v/>
      </c>
      <c r="AJ156" s="75">
        <f>$C156*INDEX(Curves!$BB$8:$BB$68,AJ$4-$B156+1)</f>
        <v/>
      </c>
      <c r="AK156" s="75">
        <f>$C156*INDEX(Curves!$BB$8:$BB$68,AK$4-$B156+1)</f>
        <v/>
      </c>
      <c r="AL156" s="75">
        <f>$C156*INDEX(Curves!$BB$8:$BB$68,AL$4-$B156+1)</f>
        <v/>
      </c>
      <c r="AM156" s="75">
        <f>$C156*INDEX(Curves!$BB$8:$BB$68,AM$4-$B156+1)</f>
        <v/>
      </c>
      <c r="AN156" s="75">
        <f>$C156*INDEX(Curves!$BB$8:$BB$68,AN$4-$B156+1)</f>
        <v/>
      </c>
      <c r="AO156" s="75">
        <f>$C156*INDEX(Curves!$BB$8:$BB$68,AO$4-$B156+1)</f>
        <v/>
      </c>
      <c r="AP156" s="75">
        <f>$C156*INDEX(Curves!$BB$8:$BB$68,AP$4-$B156+1)</f>
        <v/>
      </c>
      <c r="AQ156" s="75">
        <f>$C156*INDEX(Curves!$BB$8:$BB$68,AQ$4-$B156+1)</f>
        <v/>
      </c>
      <c r="AR156" s="75">
        <f>$C156*INDEX(Curves!$BB$8:$BB$68,AR$4-$B156+1)</f>
        <v/>
      </c>
      <c r="AS156" s="75">
        <f>$C156*INDEX(Curves!$BB$8:$BB$68,AS$4-$B156+1)</f>
        <v/>
      </c>
      <c r="AT156" s="75">
        <f>$C156*INDEX(Curves!$BB$8:$BB$68,AT$4-$B156+1)</f>
        <v/>
      </c>
      <c r="AU156" s="75">
        <f>$C156*INDEX(Curves!$BB$8:$BB$68,AU$4-$B156+1)</f>
        <v/>
      </c>
      <c r="AV156" s="75">
        <f>$C156*INDEX(Curves!$BB$8:$BB$68,AV$4-$B156+1)</f>
        <v/>
      </c>
      <c r="AW156" s="75">
        <f>$C156*INDEX(Curves!$BB$8:$BB$68,AW$4-$B156+1)</f>
        <v/>
      </c>
      <c r="AX156" s="75">
        <f>$C156*INDEX(Curves!$BB$8:$BB$68,AX$4-$B156+1)</f>
        <v/>
      </c>
      <c r="AY156" s="75">
        <f>$C156*INDEX(Curves!$BB$8:$BB$68,AY$4-$B156+1)</f>
        <v/>
      </c>
      <c r="AZ156" s="75">
        <f>$C156*INDEX(Curves!$BB$8:$BB$68,AZ$4-$B156+1)</f>
        <v/>
      </c>
      <c r="BA156" s="75">
        <f>$C156*INDEX(Curves!$BB$8:$BB$68,BA$4-$B156+1)</f>
        <v/>
      </c>
      <c r="BB156" s="75">
        <f>$C156*INDEX(Curves!$BB$8:$BB$68,BB$4-$B156+1)</f>
        <v/>
      </c>
      <c r="BC156" s="75">
        <f>$C156*INDEX(Curves!$BB$8:$BB$68,BC$4-$B156+1)</f>
        <v/>
      </c>
      <c r="BD156" s="75">
        <f>$C156*INDEX(Curves!$BB$8:$BB$68,BD$4-$B156+1)</f>
        <v/>
      </c>
      <c r="BE156" s="75">
        <f>$C156*INDEX(Curves!$BB$8:$BB$68,BE$4-$B156+1)</f>
        <v/>
      </c>
      <c r="BF156" s="75">
        <f>$C156*INDEX(Curves!$BB$8:$BB$68,BF$4-$B156+1)</f>
        <v/>
      </c>
      <c r="BG156" s="75">
        <f>$C156*INDEX(Curves!$BB$8:$BB$68,BG$4-$B156+1)</f>
        <v/>
      </c>
      <c r="BH156" s="75">
        <f>$C156*INDEX(Curves!$BB$8:$BB$68,BH$4-$B156+1)</f>
        <v/>
      </c>
      <c r="BI156" s="75">
        <f>$C156*INDEX(Curves!$BB$8:$BB$68,BI$4-$B156+1)</f>
        <v/>
      </c>
      <c r="BJ156" s="75">
        <f>$C156*INDEX(Curves!$BB$8:$BB$68,BJ$4-$B156+1)</f>
        <v/>
      </c>
      <c r="BK156" s="75">
        <f>$C156*INDEX(Curves!$BB$8:$BB$68,BK$4-$B156+1)</f>
        <v/>
      </c>
      <c r="BL156" s="75">
        <f>$C156*INDEX(Curves!$BB$8:$BB$68,BL$4-$B156+1)</f>
        <v/>
      </c>
    </row>
    <row r="157">
      <c r="A157" s="74" t="inlineStr">
        <is>
          <t>Cohort month 22</t>
        </is>
      </c>
      <c r="B157" s="74" t="n">
        <v>22</v>
      </c>
      <c r="C157" s="17">
        <f>INDEX(Ops!$E$110:$BL$110,1,$B157)</f>
        <v/>
      </c>
      <c r="AA157" s="75">
        <f>$C157*INDEX(Curves!$BB$8:$BB$68,AA$4-$B157+1)</f>
        <v/>
      </c>
      <c r="AB157" s="75">
        <f>$C157*INDEX(Curves!$BB$8:$BB$68,AB$4-$B157+1)</f>
        <v/>
      </c>
      <c r="AC157" s="75">
        <f>$C157*INDEX(Curves!$BB$8:$BB$68,AC$4-$B157+1)</f>
        <v/>
      </c>
      <c r="AD157" s="75">
        <f>$C157*INDEX(Curves!$BB$8:$BB$68,AD$4-$B157+1)</f>
        <v/>
      </c>
      <c r="AE157" s="75">
        <f>$C157*INDEX(Curves!$BB$8:$BB$68,AE$4-$B157+1)</f>
        <v/>
      </c>
      <c r="AF157" s="75">
        <f>$C157*INDEX(Curves!$BB$8:$BB$68,AF$4-$B157+1)</f>
        <v/>
      </c>
      <c r="AG157" s="75">
        <f>$C157*INDEX(Curves!$BB$8:$BB$68,AG$4-$B157+1)</f>
        <v/>
      </c>
      <c r="AH157" s="75">
        <f>$C157*INDEX(Curves!$BB$8:$BB$68,AH$4-$B157+1)</f>
        <v/>
      </c>
      <c r="AI157" s="75">
        <f>$C157*INDEX(Curves!$BB$8:$BB$68,AI$4-$B157+1)</f>
        <v/>
      </c>
      <c r="AJ157" s="75">
        <f>$C157*INDEX(Curves!$BB$8:$BB$68,AJ$4-$B157+1)</f>
        <v/>
      </c>
      <c r="AK157" s="75">
        <f>$C157*INDEX(Curves!$BB$8:$BB$68,AK$4-$B157+1)</f>
        <v/>
      </c>
      <c r="AL157" s="75">
        <f>$C157*INDEX(Curves!$BB$8:$BB$68,AL$4-$B157+1)</f>
        <v/>
      </c>
      <c r="AM157" s="75">
        <f>$C157*INDEX(Curves!$BB$8:$BB$68,AM$4-$B157+1)</f>
        <v/>
      </c>
      <c r="AN157" s="75">
        <f>$C157*INDEX(Curves!$BB$8:$BB$68,AN$4-$B157+1)</f>
        <v/>
      </c>
      <c r="AO157" s="75">
        <f>$C157*INDEX(Curves!$BB$8:$BB$68,AO$4-$B157+1)</f>
        <v/>
      </c>
      <c r="AP157" s="75">
        <f>$C157*INDEX(Curves!$BB$8:$BB$68,AP$4-$B157+1)</f>
        <v/>
      </c>
      <c r="AQ157" s="75">
        <f>$C157*INDEX(Curves!$BB$8:$BB$68,AQ$4-$B157+1)</f>
        <v/>
      </c>
      <c r="AR157" s="75">
        <f>$C157*INDEX(Curves!$BB$8:$BB$68,AR$4-$B157+1)</f>
        <v/>
      </c>
      <c r="AS157" s="75">
        <f>$C157*INDEX(Curves!$BB$8:$BB$68,AS$4-$B157+1)</f>
        <v/>
      </c>
      <c r="AT157" s="75">
        <f>$C157*INDEX(Curves!$BB$8:$BB$68,AT$4-$B157+1)</f>
        <v/>
      </c>
      <c r="AU157" s="75">
        <f>$C157*INDEX(Curves!$BB$8:$BB$68,AU$4-$B157+1)</f>
        <v/>
      </c>
      <c r="AV157" s="75">
        <f>$C157*INDEX(Curves!$BB$8:$BB$68,AV$4-$B157+1)</f>
        <v/>
      </c>
      <c r="AW157" s="75">
        <f>$C157*INDEX(Curves!$BB$8:$BB$68,AW$4-$B157+1)</f>
        <v/>
      </c>
      <c r="AX157" s="75">
        <f>$C157*INDEX(Curves!$BB$8:$BB$68,AX$4-$B157+1)</f>
        <v/>
      </c>
      <c r="AY157" s="75">
        <f>$C157*INDEX(Curves!$BB$8:$BB$68,AY$4-$B157+1)</f>
        <v/>
      </c>
      <c r="AZ157" s="75">
        <f>$C157*INDEX(Curves!$BB$8:$BB$68,AZ$4-$B157+1)</f>
        <v/>
      </c>
      <c r="BA157" s="75">
        <f>$C157*INDEX(Curves!$BB$8:$BB$68,BA$4-$B157+1)</f>
        <v/>
      </c>
      <c r="BB157" s="75">
        <f>$C157*INDEX(Curves!$BB$8:$BB$68,BB$4-$B157+1)</f>
        <v/>
      </c>
      <c r="BC157" s="75">
        <f>$C157*INDEX(Curves!$BB$8:$BB$68,BC$4-$B157+1)</f>
        <v/>
      </c>
      <c r="BD157" s="75">
        <f>$C157*INDEX(Curves!$BB$8:$BB$68,BD$4-$B157+1)</f>
        <v/>
      </c>
      <c r="BE157" s="75">
        <f>$C157*INDEX(Curves!$BB$8:$BB$68,BE$4-$B157+1)</f>
        <v/>
      </c>
      <c r="BF157" s="75">
        <f>$C157*INDEX(Curves!$BB$8:$BB$68,BF$4-$B157+1)</f>
        <v/>
      </c>
      <c r="BG157" s="75">
        <f>$C157*INDEX(Curves!$BB$8:$BB$68,BG$4-$B157+1)</f>
        <v/>
      </c>
      <c r="BH157" s="75">
        <f>$C157*INDEX(Curves!$BB$8:$BB$68,BH$4-$B157+1)</f>
        <v/>
      </c>
      <c r="BI157" s="75">
        <f>$C157*INDEX(Curves!$BB$8:$BB$68,BI$4-$B157+1)</f>
        <v/>
      </c>
      <c r="BJ157" s="75">
        <f>$C157*INDEX(Curves!$BB$8:$BB$68,BJ$4-$B157+1)</f>
        <v/>
      </c>
      <c r="BK157" s="75">
        <f>$C157*INDEX(Curves!$BB$8:$BB$68,BK$4-$B157+1)</f>
        <v/>
      </c>
      <c r="BL157" s="75">
        <f>$C157*INDEX(Curves!$BB$8:$BB$68,BL$4-$B157+1)</f>
        <v/>
      </c>
    </row>
    <row r="158">
      <c r="A158" s="74" t="inlineStr">
        <is>
          <t>Cohort month 23</t>
        </is>
      </c>
      <c r="B158" s="74" t="n">
        <v>23</v>
      </c>
      <c r="C158" s="17">
        <f>INDEX(Ops!$E$110:$BL$110,1,$B158)</f>
        <v/>
      </c>
      <c r="AB158" s="75">
        <f>$C158*INDEX(Curves!$BB$8:$BB$68,AB$4-$B158+1)</f>
        <v/>
      </c>
      <c r="AC158" s="75">
        <f>$C158*INDEX(Curves!$BB$8:$BB$68,AC$4-$B158+1)</f>
        <v/>
      </c>
      <c r="AD158" s="75">
        <f>$C158*INDEX(Curves!$BB$8:$BB$68,AD$4-$B158+1)</f>
        <v/>
      </c>
      <c r="AE158" s="75">
        <f>$C158*INDEX(Curves!$BB$8:$BB$68,AE$4-$B158+1)</f>
        <v/>
      </c>
      <c r="AF158" s="75">
        <f>$C158*INDEX(Curves!$BB$8:$BB$68,AF$4-$B158+1)</f>
        <v/>
      </c>
      <c r="AG158" s="75">
        <f>$C158*INDEX(Curves!$BB$8:$BB$68,AG$4-$B158+1)</f>
        <v/>
      </c>
      <c r="AH158" s="75">
        <f>$C158*INDEX(Curves!$BB$8:$BB$68,AH$4-$B158+1)</f>
        <v/>
      </c>
      <c r="AI158" s="75">
        <f>$C158*INDEX(Curves!$BB$8:$BB$68,AI$4-$B158+1)</f>
        <v/>
      </c>
      <c r="AJ158" s="75">
        <f>$C158*INDEX(Curves!$BB$8:$BB$68,AJ$4-$B158+1)</f>
        <v/>
      </c>
      <c r="AK158" s="75">
        <f>$C158*INDEX(Curves!$BB$8:$BB$68,AK$4-$B158+1)</f>
        <v/>
      </c>
      <c r="AL158" s="75">
        <f>$C158*INDEX(Curves!$BB$8:$BB$68,AL$4-$B158+1)</f>
        <v/>
      </c>
      <c r="AM158" s="75">
        <f>$C158*INDEX(Curves!$BB$8:$BB$68,AM$4-$B158+1)</f>
        <v/>
      </c>
      <c r="AN158" s="75">
        <f>$C158*INDEX(Curves!$BB$8:$BB$68,AN$4-$B158+1)</f>
        <v/>
      </c>
      <c r="AO158" s="75">
        <f>$C158*INDEX(Curves!$BB$8:$BB$68,AO$4-$B158+1)</f>
        <v/>
      </c>
      <c r="AP158" s="75">
        <f>$C158*INDEX(Curves!$BB$8:$BB$68,AP$4-$B158+1)</f>
        <v/>
      </c>
      <c r="AQ158" s="75">
        <f>$C158*INDEX(Curves!$BB$8:$BB$68,AQ$4-$B158+1)</f>
        <v/>
      </c>
      <c r="AR158" s="75">
        <f>$C158*INDEX(Curves!$BB$8:$BB$68,AR$4-$B158+1)</f>
        <v/>
      </c>
      <c r="AS158" s="75">
        <f>$C158*INDEX(Curves!$BB$8:$BB$68,AS$4-$B158+1)</f>
        <v/>
      </c>
      <c r="AT158" s="75">
        <f>$C158*INDEX(Curves!$BB$8:$BB$68,AT$4-$B158+1)</f>
        <v/>
      </c>
      <c r="AU158" s="75">
        <f>$C158*INDEX(Curves!$BB$8:$BB$68,AU$4-$B158+1)</f>
        <v/>
      </c>
      <c r="AV158" s="75">
        <f>$C158*INDEX(Curves!$BB$8:$BB$68,AV$4-$B158+1)</f>
        <v/>
      </c>
      <c r="AW158" s="75">
        <f>$C158*INDEX(Curves!$BB$8:$BB$68,AW$4-$B158+1)</f>
        <v/>
      </c>
      <c r="AX158" s="75">
        <f>$C158*INDEX(Curves!$BB$8:$BB$68,AX$4-$B158+1)</f>
        <v/>
      </c>
      <c r="AY158" s="75">
        <f>$C158*INDEX(Curves!$BB$8:$BB$68,AY$4-$B158+1)</f>
        <v/>
      </c>
      <c r="AZ158" s="75">
        <f>$C158*INDEX(Curves!$BB$8:$BB$68,AZ$4-$B158+1)</f>
        <v/>
      </c>
      <c r="BA158" s="75">
        <f>$C158*INDEX(Curves!$BB$8:$BB$68,BA$4-$B158+1)</f>
        <v/>
      </c>
      <c r="BB158" s="75">
        <f>$C158*INDEX(Curves!$BB$8:$BB$68,BB$4-$B158+1)</f>
        <v/>
      </c>
      <c r="BC158" s="75">
        <f>$C158*INDEX(Curves!$BB$8:$BB$68,BC$4-$B158+1)</f>
        <v/>
      </c>
      <c r="BD158" s="75">
        <f>$C158*INDEX(Curves!$BB$8:$BB$68,BD$4-$B158+1)</f>
        <v/>
      </c>
      <c r="BE158" s="75">
        <f>$C158*INDEX(Curves!$BB$8:$BB$68,BE$4-$B158+1)</f>
        <v/>
      </c>
      <c r="BF158" s="75">
        <f>$C158*INDEX(Curves!$BB$8:$BB$68,BF$4-$B158+1)</f>
        <v/>
      </c>
      <c r="BG158" s="75">
        <f>$C158*INDEX(Curves!$BB$8:$BB$68,BG$4-$B158+1)</f>
        <v/>
      </c>
      <c r="BH158" s="75">
        <f>$C158*INDEX(Curves!$BB$8:$BB$68,BH$4-$B158+1)</f>
        <v/>
      </c>
      <c r="BI158" s="75">
        <f>$C158*INDEX(Curves!$BB$8:$BB$68,BI$4-$B158+1)</f>
        <v/>
      </c>
      <c r="BJ158" s="75">
        <f>$C158*INDEX(Curves!$BB$8:$BB$68,BJ$4-$B158+1)</f>
        <v/>
      </c>
      <c r="BK158" s="75">
        <f>$C158*INDEX(Curves!$BB$8:$BB$68,BK$4-$B158+1)</f>
        <v/>
      </c>
      <c r="BL158" s="75">
        <f>$C158*INDEX(Curves!$BB$8:$BB$68,BL$4-$B158+1)</f>
        <v/>
      </c>
    </row>
    <row r="159">
      <c r="A159" s="74" t="inlineStr">
        <is>
          <t>Cohort month 24</t>
        </is>
      </c>
      <c r="B159" s="74" t="n">
        <v>24</v>
      </c>
      <c r="C159" s="17">
        <f>INDEX(Ops!$E$110:$BL$110,1,$B159)</f>
        <v/>
      </c>
      <c r="AC159" s="75">
        <f>$C159*INDEX(Curves!$BB$8:$BB$68,AC$4-$B159+1)</f>
        <v/>
      </c>
      <c r="AD159" s="75">
        <f>$C159*INDEX(Curves!$BB$8:$BB$68,AD$4-$B159+1)</f>
        <v/>
      </c>
      <c r="AE159" s="75">
        <f>$C159*INDEX(Curves!$BB$8:$BB$68,AE$4-$B159+1)</f>
        <v/>
      </c>
      <c r="AF159" s="75">
        <f>$C159*INDEX(Curves!$BB$8:$BB$68,AF$4-$B159+1)</f>
        <v/>
      </c>
      <c r="AG159" s="75">
        <f>$C159*INDEX(Curves!$BB$8:$BB$68,AG$4-$B159+1)</f>
        <v/>
      </c>
      <c r="AH159" s="75">
        <f>$C159*INDEX(Curves!$BB$8:$BB$68,AH$4-$B159+1)</f>
        <v/>
      </c>
      <c r="AI159" s="75">
        <f>$C159*INDEX(Curves!$BB$8:$BB$68,AI$4-$B159+1)</f>
        <v/>
      </c>
      <c r="AJ159" s="75">
        <f>$C159*INDEX(Curves!$BB$8:$BB$68,AJ$4-$B159+1)</f>
        <v/>
      </c>
      <c r="AK159" s="75">
        <f>$C159*INDEX(Curves!$BB$8:$BB$68,AK$4-$B159+1)</f>
        <v/>
      </c>
      <c r="AL159" s="75">
        <f>$C159*INDEX(Curves!$BB$8:$BB$68,AL$4-$B159+1)</f>
        <v/>
      </c>
      <c r="AM159" s="75">
        <f>$C159*INDEX(Curves!$BB$8:$BB$68,AM$4-$B159+1)</f>
        <v/>
      </c>
      <c r="AN159" s="75">
        <f>$C159*INDEX(Curves!$BB$8:$BB$68,AN$4-$B159+1)</f>
        <v/>
      </c>
      <c r="AO159" s="75">
        <f>$C159*INDEX(Curves!$BB$8:$BB$68,AO$4-$B159+1)</f>
        <v/>
      </c>
      <c r="AP159" s="75">
        <f>$C159*INDEX(Curves!$BB$8:$BB$68,AP$4-$B159+1)</f>
        <v/>
      </c>
      <c r="AQ159" s="75">
        <f>$C159*INDEX(Curves!$BB$8:$BB$68,AQ$4-$B159+1)</f>
        <v/>
      </c>
      <c r="AR159" s="75">
        <f>$C159*INDEX(Curves!$BB$8:$BB$68,AR$4-$B159+1)</f>
        <v/>
      </c>
      <c r="AS159" s="75">
        <f>$C159*INDEX(Curves!$BB$8:$BB$68,AS$4-$B159+1)</f>
        <v/>
      </c>
      <c r="AT159" s="75">
        <f>$C159*INDEX(Curves!$BB$8:$BB$68,AT$4-$B159+1)</f>
        <v/>
      </c>
      <c r="AU159" s="75">
        <f>$C159*INDEX(Curves!$BB$8:$BB$68,AU$4-$B159+1)</f>
        <v/>
      </c>
      <c r="AV159" s="75">
        <f>$C159*INDEX(Curves!$BB$8:$BB$68,AV$4-$B159+1)</f>
        <v/>
      </c>
      <c r="AW159" s="75">
        <f>$C159*INDEX(Curves!$BB$8:$BB$68,AW$4-$B159+1)</f>
        <v/>
      </c>
      <c r="AX159" s="75">
        <f>$C159*INDEX(Curves!$BB$8:$BB$68,AX$4-$B159+1)</f>
        <v/>
      </c>
      <c r="AY159" s="75">
        <f>$C159*INDEX(Curves!$BB$8:$BB$68,AY$4-$B159+1)</f>
        <v/>
      </c>
      <c r="AZ159" s="75">
        <f>$C159*INDEX(Curves!$BB$8:$BB$68,AZ$4-$B159+1)</f>
        <v/>
      </c>
      <c r="BA159" s="75">
        <f>$C159*INDEX(Curves!$BB$8:$BB$68,BA$4-$B159+1)</f>
        <v/>
      </c>
      <c r="BB159" s="75">
        <f>$C159*INDEX(Curves!$BB$8:$BB$68,BB$4-$B159+1)</f>
        <v/>
      </c>
      <c r="BC159" s="75">
        <f>$C159*INDEX(Curves!$BB$8:$BB$68,BC$4-$B159+1)</f>
        <v/>
      </c>
      <c r="BD159" s="75">
        <f>$C159*INDEX(Curves!$BB$8:$BB$68,BD$4-$B159+1)</f>
        <v/>
      </c>
      <c r="BE159" s="75">
        <f>$C159*INDEX(Curves!$BB$8:$BB$68,BE$4-$B159+1)</f>
        <v/>
      </c>
      <c r="BF159" s="75">
        <f>$C159*INDEX(Curves!$BB$8:$BB$68,BF$4-$B159+1)</f>
        <v/>
      </c>
      <c r="BG159" s="75">
        <f>$C159*INDEX(Curves!$BB$8:$BB$68,BG$4-$B159+1)</f>
        <v/>
      </c>
      <c r="BH159" s="75">
        <f>$C159*INDEX(Curves!$BB$8:$BB$68,BH$4-$B159+1)</f>
        <v/>
      </c>
      <c r="BI159" s="75">
        <f>$C159*INDEX(Curves!$BB$8:$BB$68,BI$4-$B159+1)</f>
        <v/>
      </c>
      <c r="BJ159" s="75">
        <f>$C159*INDEX(Curves!$BB$8:$BB$68,BJ$4-$B159+1)</f>
        <v/>
      </c>
      <c r="BK159" s="75">
        <f>$C159*INDEX(Curves!$BB$8:$BB$68,BK$4-$B159+1)</f>
        <v/>
      </c>
      <c r="BL159" s="75">
        <f>$C159*INDEX(Curves!$BB$8:$BB$68,BL$4-$B159+1)</f>
        <v/>
      </c>
    </row>
    <row r="160">
      <c r="A160" s="74" t="inlineStr">
        <is>
          <t>Cohort month 25</t>
        </is>
      </c>
      <c r="B160" s="74" t="n">
        <v>25</v>
      </c>
      <c r="C160" s="17">
        <f>INDEX(Ops!$E$110:$BL$110,1,$B160)</f>
        <v/>
      </c>
      <c r="AD160" s="75">
        <f>$C160*INDEX(Curves!$BB$8:$BB$68,AD$4-$B160+1)</f>
        <v/>
      </c>
      <c r="AE160" s="75">
        <f>$C160*INDEX(Curves!$BB$8:$BB$68,AE$4-$B160+1)</f>
        <v/>
      </c>
      <c r="AF160" s="75">
        <f>$C160*INDEX(Curves!$BB$8:$BB$68,AF$4-$B160+1)</f>
        <v/>
      </c>
      <c r="AG160" s="75">
        <f>$C160*INDEX(Curves!$BB$8:$BB$68,AG$4-$B160+1)</f>
        <v/>
      </c>
      <c r="AH160" s="75">
        <f>$C160*INDEX(Curves!$BB$8:$BB$68,AH$4-$B160+1)</f>
        <v/>
      </c>
      <c r="AI160" s="75">
        <f>$C160*INDEX(Curves!$BB$8:$BB$68,AI$4-$B160+1)</f>
        <v/>
      </c>
      <c r="AJ160" s="75">
        <f>$C160*INDEX(Curves!$BB$8:$BB$68,AJ$4-$B160+1)</f>
        <v/>
      </c>
      <c r="AK160" s="75">
        <f>$C160*INDEX(Curves!$BB$8:$BB$68,AK$4-$B160+1)</f>
        <v/>
      </c>
      <c r="AL160" s="75">
        <f>$C160*INDEX(Curves!$BB$8:$BB$68,AL$4-$B160+1)</f>
        <v/>
      </c>
      <c r="AM160" s="75">
        <f>$C160*INDEX(Curves!$BB$8:$BB$68,AM$4-$B160+1)</f>
        <v/>
      </c>
      <c r="AN160" s="75">
        <f>$C160*INDEX(Curves!$BB$8:$BB$68,AN$4-$B160+1)</f>
        <v/>
      </c>
      <c r="AO160" s="75">
        <f>$C160*INDEX(Curves!$BB$8:$BB$68,AO$4-$B160+1)</f>
        <v/>
      </c>
      <c r="AP160" s="75">
        <f>$C160*INDEX(Curves!$BB$8:$BB$68,AP$4-$B160+1)</f>
        <v/>
      </c>
      <c r="AQ160" s="75">
        <f>$C160*INDEX(Curves!$BB$8:$BB$68,AQ$4-$B160+1)</f>
        <v/>
      </c>
      <c r="AR160" s="75">
        <f>$C160*INDEX(Curves!$BB$8:$BB$68,AR$4-$B160+1)</f>
        <v/>
      </c>
      <c r="AS160" s="75">
        <f>$C160*INDEX(Curves!$BB$8:$BB$68,AS$4-$B160+1)</f>
        <v/>
      </c>
      <c r="AT160" s="75">
        <f>$C160*INDEX(Curves!$BB$8:$BB$68,AT$4-$B160+1)</f>
        <v/>
      </c>
      <c r="AU160" s="75">
        <f>$C160*INDEX(Curves!$BB$8:$BB$68,AU$4-$B160+1)</f>
        <v/>
      </c>
      <c r="AV160" s="75">
        <f>$C160*INDEX(Curves!$BB$8:$BB$68,AV$4-$B160+1)</f>
        <v/>
      </c>
      <c r="AW160" s="75">
        <f>$C160*INDEX(Curves!$BB$8:$BB$68,AW$4-$B160+1)</f>
        <v/>
      </c>
      <c r="AX160" s="75">
        <f>$C160*INDEX(Curves!$BB$8:$BB$68,AX$4-$B160+1)</f>
        <v/>
      </c>
      <c r="AY160" s="75">
        <f>$C160*INDEX(Curves!$BB$8:$BB$68,AY$4-$B160+1)</f>
        <v/>
      </c>
      <c r="AZ160" s="75">
        <f>$C160*INDEX(Curves!$BB$8:$BB$68,AZ$4-$B160+1)</f>
        <v/>
      </c>
      <c r="BA160" s="75">
        <f>$C160*INDEX(Curves!$BB$8:$BB$68,BA$4-$B160+1)</f>
        <v/>
      </c>
      <c r="BB160" s="75">
        <f>$C160*INDEX(Curves!$BB$8:$BB$68,BB$4-$B160+1)</f>
        <v/>
      </c>
      <c r="BC160" s="75">
        <f>$C160*INDEX(Curves!$BB$8:$BB$68,BC$4-$B160+1)</f>
        <v/>
      </c>
      <c r="BD160" s="75">
        <f>$C160*INDEX(Curves!$BB$8:$BB$68,BD$4-$B160+1)</f>
        <v/>
      </c>
      <c r="BE160" s="75">
        <f>$C160*INDEX(Curves!$BB$8:$BB$68,BE$4-$B160+1)</f>
        <v/>
      </c>
      <c r="BF160" s="75">
        <f>$C160*INDEX(Curves!$BB$8:$BB$68,BF$4-$B160+1)</f>
        <v/>
      </c>
      <c r="BG160" s="75">
        <f>$C160*INDEX(Curves!$BB$8:$BB$68,BG$4-$B160+1)</f>
        <v/>
      </c>
      <c r="BH160" s="75">
        <f>$C160*INDEX(Curves!$BB$8:$BB$68,BH$4-$B160+1)</f>
        <v/>
      </c>
      <c r="BI160" s="75">
        <f>$C160*INDEX(Curves!$BB$8:$BB$68,BI$4-$B160+1)</f>
        <v/>
      </c>
      <c r="BJ160" s="75">
        <f>$C160*INDEX(Curves!$BB$8:$BB$68,BJ$4-$B160+1)</f>
        <v/>
      </c>
      <c r="BK160" s="75">
        <f>$C160*INDEX(Curves!$BB$8:$BB$68,BK$4-$B160+1)</f>
        <v/>
      </c>
      <c r="BL160" s="75">
        <f>$C160*INDEX(Curves!$BB$8:$BB$68,BL$4-$B160+1)</f>
        <v/>
      </c>
    </row>
    <row r="161">
      <c r="A161" s="74" t="inlineStr">
        <is>
          <t>Cohort month 26</t>
        </is>
      </c>
      <c r="B161" s="74" t="n">
        <v>26</v>
      </c>
      <c r="C161" s="17">
        <f>INDEX(Ops!$E$110:$BL$110,1,$B161)</f>
        <v/>
      </c>
      <c r="AE161" s="75">
        <f>$C161*INDEX(Curves!$BB$8:$BB$68,AE$4-$B161+1)</f>
        <v/>
      </c>
      <c r="AF161" s="75">
        <f>$C161*INDEX(Curves!$BB$8:$BB$68,AF$4-$B161+1)</f>
        <v/>
      </c>
      <c r="AG161" s="75">
        <f>$C161*INDEX(Curves!$BB$8:$BB$68,AG$4-$B161+1)</f>
        <v/>
      </c>
      <c r="AH161" s="75">
        <f>$C161*INDEX(Curves!$BB$8:$BB$68,AH$4-$B161+1)</f>
        <v/>
      </c>
      <c r="AI161" s="75">
        <f>$C161*INDEX(Curves!$BB$8:$BB$68,AI$4-$B161+1)</f>
        <v/>
      </c>
      <c r="AJ161" s="75">
        <f>$C161*INDEX(Curves!$BB$8:$BB$68,AJ$4-$B161+1)</f>
        <v/>
      </c>
      <c r="AK161" s="75">
        <f>$C161*INDEX(Curves!$BB$8:$BB$68,AK$4-$B161+1)</f>
        <v/>
      </c>
      <c r="AL161" s="75">
        <f>$C161*INDEX(Curves!$BB$8:$BB$68,AL$4-$B161+1)</f>
        <v/>
      </c>
      <c r="AM161" s="75">
        <f>$C161*INDEX(Curves!$BB$8:$BB$68,AM$4-$B161+1)</f>
        <v/>
      </c>
      <c r="AN161" s="75">
        <f>$C161*INDEX(Curves!$BB$8:$BB$68,AN$4-$B161+1)</f>
        <v/>
      </c>
      <c r="AO161" s="75">
        <f>$C161*INDEX(Curves!$BB$8:$BB$68,AO$4-$B161+1)</f>
        <v/>
      </c>
      <c r="AP161" s="75">
        <f>$C161*INDEX(Curves!$BB$8:$BB$68,AP$4-$B161+1)</f>
        <v/>
      </c>
      <c r="AQ161" s="75">
        <f>$C161*INDEX(Curves!$BB$8:$BB$68,AQ$4-$B161+1)</f>
        <v/>
      </c>
      <c r="AR161" s="75">
        <f>$C161*INDEX(Curves!$BB$8:$BB$68,AR$4-$B161+1)</f>
        <v/>
      </c>
      <c r="AS161" s="75">
        <f>$C161*INDEX(Curves!$BB$8:$BB$68,AS$4-$B161+1)</f>
        <v/>
      </c>
      <c r="AT161" s="75">
        <f>$C161*INDEX(Curves!$BB$8:$BB$68,AT$4-$B161+1)</f>
        <v/>
      </c>
      <c r="AU161" s="75">
        <f>$C161*INDEX(Curves!$BB$8:$BB$68,AU$4-$B161+1)</f>
        <v/>
      </c>
      <c r="AV161" s="75">
        <f>$C161*INDEX(Curves!$BB$8:$BB$68,AV$4-$B161+1)</f>
        <v/>
      </c>
      <c r="AW161" s="75">
        <f>$C161*INDEX(Curves!$BB$8:$BB$68,AW$4-$B161+1)</f>
        <v/>
      </c>
      <c r="AX161" s="75">
        <f>$C161*INDEX(Curves!$BB$8:$BB$68,AX$4-$B161+1)</f>
        <v/>
      </c>
      <c r="AY161" s="75">
        <f>$C161*INDEX(Curves!$BB$8:$BB$68,AY$4-$B161+1)</f>
        <v/>
      </c>
      <c r="AZ161" s="75">
        <f>$C161*INDEX(Curves!$BB$8:$BB$68,AZ$4-$B161+1)</f>
        <v/>
      </c>
      <c r="BA161" s="75">
        <f>$C161*INDEX(Curves!$BB$8:$BB$68,BA$4-$B161+1)</f>
        <v/>
      </c>
      <c r="BB161" s="75">
        <f>$C161*INDEX(Curves!$BB$8:$BB$68,BB$4-$B161+1)</f>
        <v/>
      </c>
      <c r="BC161" s="75">
        <f>$C161*INDEX(Curves!$BB$8:$BB$68,BC$4-$B161+1)</f>
        <v/>
      </c>
      <c r="BD161" s="75">
        <f>$C161*INDEX(Curves!$BB$8:$BB$68,BD$4-$B161+1)</f>
        <v/>
      </c>
      <c r="BE161" s="75">
        <f>$C161*INDEX(Curves!$BB$8:$BB$68,BE$4-$B161+1)</f>
        <v/>
      </c>
      <c r="BF161" s="75">
        <f>$C161*INDEX(Curves!$BB$8:$BB$68,BF$4-$B161+1)</f>
        <v/>
      </c>
      <c r="BG161" s="75">
        <f>$C161*INDEX(Curves!$BB$8:$BB$68,BG$4-$B161+1)</f>
        <v/>
      </c>
      <c r="BH161" s="75">
        <f>$C161*INDEX(Curves!$BB$8:$BB$68,BH$4-$B161+1)</f>
        <v/>
      </c>
      <c r="BI161" s="75">
        <f>$C161*INDEX(Curves!$BB$8:$BB$68,BI$4-$B161+1)</f>
        <v/>
      </c>
      <c r="BJ161" s="75">
        <f>$C161*INDEX(Curves!$BB$8:$BB$68,BJ$4-$B161+1)</f>
        <v/>
      </c>
      <c r="BK161" s="75">
        <f>$C161*INDEX(Curves!$BB$8:$BB$68,BK$4-$B161+1)</f>
        <v/>
      </c>
      <c r="BL161" s="75">
        <f>$C161*INDEX(Curves!$BB$8:$BB$68,BL$4-$B161+1)</f>
        <v/>
      </c>
    </row>
    <row r="162">
      <c r="A162" s="74" t="inlineStr">
        <is>
          <t>Cohort month 27</t>
        </is>
      </c>
      <c r="B162" s="74" t="n">
        <v>27</v>
      </c>
      <c r="C162" s="17">
        <f>INDEX(Ops!$E$110:$BL$110,1,$B162)</f>
        <v/>
      </c>
      <c r="AF162" s="75">
        <f>$C162*INDEX(Curves!$BB$8:$BB$68,AF$4-$B162+1)</f>
        <v/>
      </c>
      <c r="AG162" s="75">
        <f>$C162*INDEX(Curves!$BB$8:$BB$68,AG$4-$B162+1)</f>
        <v/>
      </c>
      <c r="AH162" s="75">
        <f>$C162*INDEX(Curves!$BB$8:$BB$68,AH$4-$B162+1)</f>
        <v/>
      </c>
      <c r="AI162" s="75">
        <f>$C162*INDEX(Curves!$BB$8:$BB$68,AI$4-$B162+1)</f>
        <v/>
      </c>
      <c r="AJ162" s="75">
        <f>$C162*INDEX(Curves!$BB$8:$BB$68,AJ$4-$B162+1)</f>
        <v/>
      </c>
      <c r="AK162" s="75">
        <f>$C162*INDEX(Curves!$BB$8:$BB$68,AK$4-$B162+1)</f>
        <v/>
      </c>
      <c r="AL162" s="75">
        <f>$C162*INDEX(Curves!$BB$8:$BB$68,AL$4-$B162+1)</f>
        <v/>
      </c>
      <c r="AM162" s="75">
        <f>$C162*INDEX(Curves!$BB$8:$BB$68,AM$4-$B162+1)</f>
        <v/>
      </c>
      <c r="AN162" s="75">
        <f>$C162*INDEX(Curves!$BB$8:$BB$68,AN$4-$B162+1)</f>
        <v/>
      </c>
      <c r="AO162" s="75">
        <f>$C162*INDEX(Curves!$BB$8:$BB$68,AO$4-$B162+1)</f>
        <v/>
      </c>
      <c r="AP162" s="75">
        <f>$C162*INDEX(Curves!$BB$8:$BB$68,AP$4-$B162+1)</f>
        <v/>
      </c>
      <c r="AQ162" s="75">
        <f>$C162*INDEX(Curves!$BB$8:$BB$68,AQ$4-$B162+1)</f>
        <v/>
      </c>
      <c r="AR162" s="75">
        <f>$C162*INDEX(Curves!$BB$8:$BB$68,AR$4-$B162+1)</f>
        <v/>
      </c>
      <c r="AS162" s="75">
        <f>$C162*INDEX(Curves!$BB$8:$BB$68,AS$4-$B162+1)</f>
        <v/>
      </c>
      <c r="AT162" s="75">
        <f>$C162*INDEX(Curves!$BB$8:$BB$68,AT$4-$B162+1)</f>
        <v/>
      </c>
      <c r="AU162" s="75">
        <f>$C162*INDEX(Curves!$BB$8:$BB$68,AU$4-$B162+1)</f>
        <v/>
      </c>
      <c r="AV162" s="75">
        <f>$C162*INDEX(Curves!$BB$8:$BB$68,AV$4-$B162+1)</f>
        <v/>
      </c>
      <c r="AW162" s="75">
        <f>$C162*INDEX(Curves!$BB$8:$BB$68,AW$4-$B162+1)</f>
        <v/>
      </c>
      <c r="AX162" s="75">
        <f>$C162*INDEX(Curves!$BB$8:$BB$68,AX$4-$B162+1)</f>
        <v/>
      </c>
      <c r="AY162" s="75">
        <f>$C162*INDEX(Curves!$BB$8:$BB$68,AY$4-$B162+1)</f>
        <v/>
      </c>
      <c r="AZ162" s="75">
        <f>$C162*INDEX(Curves!$BB$8:$BB$68,AZ$4-$B162+1)</f>
        <v/>
      </c>
      <c r="BA162" s="75">
        <f>$C162*INDEX(Curves!$BB$8:$BB$68,BA$4-$B162+1)</f>
        <v/>
      </c>
      <c r="BB162" s="75">
        <f>$C162*INDEX(Curves!$BB$8:$BB$68,BB$4-$B162+1)</f>
        <v/>
      </c>
      <c r="BC162" s="75">
        <f>$C162*INDEX(Curves!$BB$8:$BB$68,BC$4-$B162+1)</f>
        <v/>
      </c>
      <c r="BD162" s="75">
        <f>$C162*INDEX(Curves!$BB$8:$BB$68,BD$4-$B162+1)</f>
        <v/>
      </c>
      <c r="BE162" s="75">
        <f>$C162*INDEX(Curves!$BB$8:$BB$68,BE$4-$B162+1)</f>
        <v/>
      </c>
      <c r="BF162" s="75">
        <f>$C162*INDEX(Curves!$BB$8:$BB$68,BF$4-$B162+1)</f>
        <v/>
      </c>
      <c r="BG162" s="75">
        <f>$C162*INDEX(Curves!$BB$8:$BB$68,BG$4-$B162+1)</f>
        <v/>
      </c>
      <c r="BH162" s="75">
        <f>$C162*INDEX(Curves!$BB$8:$BB$68,BH$4-$B162+1)</f>
        <v/>
      </c>
      <c r="BI162" s="75">
        <f>$C162*INDEX(Curves!$BB$8:$BB$68,BI$4-$B162+1)</f>
        <v/>
      </c>
      <c r="BJ162" s="75">
        <f>$C162*INDEX(Curves!$BB$8:$BB$68,BJ$4-$B162+1)</f>
        <v/>
      </c>
      <c r="BK162" s="75">
        <f>$C162*INDEX(Curves!$BB$8:$BB$68,BK$4-$B162+1)</f>
        <v/>
      </c>
      <c r="BL162" s="75">
        <f>$C162*INDEX(Curves!$BB$8:$BB$68,BL$4-$B162+1)</f>
        <v/>
      </c>
    </row>
    <row r="163">
      <c r="A163" s="74" t="inlineStr">
        <is>
          <t>Cohort month 28</t>
        </is>
      </c>
      <c r="B163" s="74" t="n">
        <v>28</v>
      </c>
      <c r="C163" s="17">
        <f>INDEX(Ops!$E$110:$BL$110,1,$B163)</f>
        <v/>
      </c>
      <c r="AG163" s="75">
        <f>$C163*INDEX(Curves!$BB$8:$BB$68,AG$4-$B163+1)</f>
        <v/>
      </c>
      <c r="AH163" s="75">
        <f>$C163*INDEX(Curves!$BB$8:$BB$68,AH$4-$B163+1)</f>
        <v/>
      </c>
      <c r="AI163" s="75">
        <f>$C163*INDEX(Curves!$BB$8:$BB$68,AI$4-$B163+1)</f>
        <v/>
      </c>
      <c r="AJ163" s="75">
        <f>$C163*INDEX(Curves!$BB$8:$BB$68,AJ$4-$B163+1)</f>
        <v/>
      </c>
      <c r="AK163" s="75">
        <f>$C163*INDEX(Curves!$BB$8:$BB$68,AK$4-$B163+1)</f>
        <v/>
      </c>
      <c r="AL163" s="75">
        <f>$C163*INDEX(Curves!$BB$8:$BB$68,AL$4-$B163+1)</f>
        <v/>
      </c>
      <c r="AM163" s="75">
        <f>$C163*INDEX(Curves!$BB$8:$BB$68,AM$4-$B163+1)</f>
        <v/>
      </c>
      <c r="AN163" s="75">
        <f>$C163*INDEX(Curves!$BB$8:$BB$68,AN$4-$B163+1)</f>
        <v/>
      </c>
      <c r="AO163" s="75">
        <f>$C163*INDEX(Curves!$BB$8:$BB$68,AO$4-$B163+1)</f>
        <v/>
      </c>
      <c r="AP163" s="75">
        <f>$C163*INDEX(Curves!$BB$8:$BB$68,AP$4-$B163+1)</f>
        <v/>
      </c>
      <c r="AQ163" s="75">
        <f>$C163*INDEX(Curves!$BB$8:$BB$68,AQ$4-$B163+1)</f>
        <v/>
      </c>
      <c r="AR163" s="75">
        <f>$C163*INDEX(Curves!$BB$8:$BB$68,AR$4-$B163+1)</f>
        <v/>
      </c>
      <c r="AS163" s="75">
        <f>$C163*INDEX(Curves!$BB$8:$BB$68,AS$4-$B163+1)</f>
        <v/>
      </c>
      <c r="AT163" s="75">
        <f>$C163*INDEX(Curves!$BB$8:$BB$68,AT$4-$B163+1)</f>
        <v/>
      </c>
      <c r="AU163" s="75">
        <f>$C163*INDEX(Curves!$BB$8:$BB$68,AU$4-$B163+1)</f>
        <v/>
      </c>
      <c r="AV163" s="75">
        <f>$C163*INDEX(Curves!$BB$8:$BB$68,AV$4-$B163+1)</f>
        <v/>
      </c>
      <c r="AW163" s="75">
        <f>$C163*INDEX(Curves!$BB$8:$BB$68,AW$4-$B163+1)</f>
        <v/>
      </c>
      <c r="AX163" s="75">
        <f>$C163*INDEX(Curves!$BB$8:$BB$68,AX$4-$B163+1)</f>
        <v/>
      </c>
      <c r="AY163" s="75">
        <f>$C163*INDEX(Curves!$BB$8:$BB$68,AY$4-$B163+1)</f>
        <v/>
      </c>
      <c r="AZ163" s="75">
        <f>$C163*INDEX(Curves!$BB$8:$BB$68,AZ$4-$B163+1)</f>
        <v/>
      </c>
      <c r="BA163" s="75">
        <f>$C163*INDEX(Curves!$BB$8:$BB$68,BA$4-$B163+1)</f>
        <v/>
      </c>
      <c r="BB163" s="75">
        <f>$C163*INDEX(Curves!$BB$8:$BB$68,BB$4-$B163+1)</f>
        <v/>
      </c>
      <c r="BC163" s="75">
        <f>$C163*INDEX(Curves!$BB$8:$BB$68,BC$4-$B163+1)</f>
        <v/>
      </c>
      <c r="BD163" s="75">
        <f>$C163*INDEX(Curves!$BB$8:$BB$68,BD$4-$B163+1)</f>
        <v/>
      </c>
      <c r="BE163" s="75">
        <f>$C163*INDEX(Curves!$BB$8:$BB$68,BE$4-$B163+1)</f>
        <v/>
      </c>
      <c r="BF163" s="75">
        <f>$C163*INDEX(Curves!$BB$8:$BB$68,BF$4-$B163+1)</f>
        <v/>
      </c>
      <c r="BG163" s="75">
        <f>$C163*INDEX(Curves!$BB$8:$BB$68,BG$4-$B163+1)</f>
        <v/>
      </c>
      <c r="BH163" s="75">
        <f>$C163*INDEX(Curves!$BB$8:$BB$68,BH$4-$B163+1)</f>
        <v/>
      </c>
      <c r="BI163" s="75">
        <f>$C163*INDEX(Curves!$BB$8:$BB$68,BI$4-$B163+1)</f>
        <v/>
      </c>
      <c r="BJ163" s="75">
        <f>$C163*INDEX(Curves!$BB$8:$BB$68,BJ$4-$B163+1)</f>
        <v/>
      </c>
      <c r="BK163" s="75">
        <f>$C163*INDEX(Curves!$BB$8:$BB$68,BK$4-$B163+1)</f>
        <v/>
      </c>
      <c r="BL163" s="75">
        <f>$C163*INDEX(Curves!$BB$8:$BB$68,BL$4-$B163+1)</f>
        <v/>
      </c>
    </row>
    <row r="164">
      <c r="A164" s="74" t="inlineStr">
        <is>
          <t>Cohort month 29</t>
        </is>
      </c>
      <c r="B164" s="74" t="n">
        <v>29</v>
      </c>
      <c r="C164" s="17">
        <f>INDEX(Ops!$E$110:$BL$110,1,$B164)</f>
        <v/>
      </c>
      <c r="AH164" s="75">
        <f>$C164*INDEX(Curves!$BB$8:$BB$68,AH$4-$B164+1)</f>
        <v/>
      </c>
      <c r="AI164" s="75">
        <f>$C164*INDEX(Curves!$BB$8:$BB$68,AI$4-$B164+1)</f>
        <v/>
      </c>
      <c r="AJ164" s="75">
        <f>$C164*INDEX(Curves!$BB$8:$BB$68,AJ$4-$B164+1)</f>
        <v/>
      </c>
      <c r="AK164" s="75">
        <f>$C164*INDEX(Curves!$BB$8:$BB$68,AK$4-$B164+1)</f>
        <v/>
      </c>
      <c r="AL164" s="75">
        <f>$C164*INDEX(Curves!$BB$8:$BB$68,AL$4-$B164+1)</f>
        <v/>
      </c>
      <c r="AM164" s="75">
        <f>$C164*INDEX(Curves!$BB$8:$BB$68,AM$4-$B164+1)</f>
        <v/>
      </c>
      <c r="AN164" s="75">
        <f>$C164*INDEX(Curves!$BB$8:$BB$68,AN$4-$B164+1)</f>
        <v/>
      </c>
      <c r="AO164" s="75">
        <f>$C164*INDEX(Curves!$BB$8:$BB$68,AO$4-$B164+1)</f>
        <v/>
      </c>
      <c r="AP164" s="75">
        <f>$C164*INDEX(Curves!$BB$8:$BB$68,AP$4-$B164+1)</f>
        <v/>
      </c>
      <c r="AQ164" s="75">
        <f>$C164*INDEX(Curves!$BB$8:$BB$68,AQ$4-$B164+1)</f>
        <v/>
      </c>
      <c r="AR164" s="75">
        <f>$C164*INDEX(Curves!$BB$8:$BB$68,AR$4-$B164+1)</f>
        <v/>
      </c>
      <c r="AS164" s="75">
        <f>$C164*INDEX(Curves!$BB$8:$BB$68,AS$4-$B164+1)</f>
        <v/>
      </c>
      <c r="AT164" s="75">
        <f>$C164*INDEX(Curves!$BB$8:$BB$68,AT$4-$B164+1)</f>
        <v/>
      </c>
      <c r="AU164" s="75">
        <f>$C164*INDEX(Curves!$BB$8:$BB$68,AU$4-$B164+1)</f>
        <v/>
      </c>
      <c r="AV164" s="75">
        <f>$C164*INDEX(Curves!$BB$8:$BB$68,AV$4-$B164+1)</f>
        <v/>
      </c>
      <c r="AW164" s="75">
        <f>$C164*INDEX(Curves!$BB$8:$BB$68,AW$4-$B164+1)</f>
        <v/>
      </c>
      <c r="AX164" s="75">
        <f>$C164*INDEX(Curves!$BB$8:$BB$68,AX$4-$B164+1)</f>
        <v/>
      </c>
      <c r="AY164" s="75">
        <f>$C164*INDEX(Curves!$BB$8:$BB$68,AY$4-$B164+1)</f>
        <v/>
      </c>
      <c r="AZ164" s="75">
        <f>$C164*INDEX(Curves!$BB$8:$BB$68,AZ$4-$B164+1)</f>
        <v/>
      </c>
      <c r="BA164" s="75">
        <f>$C164*INDEX(Curves!$BB$8:$BB$68,BA$4-$B164+1)</f>
        <v/>
      </c>
      <c r="BB164" s="75">
        <f>$C164*INDEX(Curves!$BB$8:$BB$68,BB$4-$B164+1)</f>
        <v/>
      </c>
      <c r="BC164" s="75">
        <f>$C164*INDEX(Curves!$BB$8:$BB$68,BC$4-$B164+1)</f>
        <v/>
      </c>
      <c r="BD164" s="75">
        <f>$C164*INDEX(Curves!$BB$8:$BB$68,BD$4-$B164+1)</f>
        <v/>
      </c>
      <c r="BE164" s="75">
        <f>$C164*INDEX(Curves!$BB$8:$BB$68,BE$4-$B164+1)</f>
        <v/>
      </c>
      <c r="BF164" s="75">
        <f>$C164*INDEX(Curves!$BB$8:$BB$68,BF$4-$B164+1)</f>
        <v/>
      </c>
      <c r="BG164" s="75">
        <f>$C164*INDEX(Curves!$BB$8:$BB$68,BG$4-$B164+1)</f>
        <v/>
      </c>
      <c r="BH164" s="75">
        <f>$C164*INDEX(Curves!$BB$8:$BB$68,BH$4-$B164+1)</f>
        <v/>
      </c>
      <c r="BI164" s="75">
        <f>$C164*INDEX(Curves!$BB$8:$BB$68,BI$4-$B164+1)</f>
        <v/>
      </c>
      <c r="BJ164" s="75">
        <f>$C164*INDEX(Curves!$BB$8:$BB$68,BJ$4-$B164+1)</f>
        <v/>
      </c>
      <c r="BK164" s="75">
        <f>$C164*INDEX(Curves!$BB$8:$BB$68,BK$4-$B164+1)</f>
        <v/>
      </c>
      <c r="BL164" s="75">
        <f>$C164*INDEX(Curves!$BB$8:$BB$68,BL$4-$B164+1)</f>
        <v/>
      </c>
    </row>
    <row r="165">
      <c r="A165" s="74" t="inlineStr">
        <is>
          <t>Cohort month 30</t>
        </is>
      </c>
      <c r="B165" s="74" t="n">
        <v>30</v>
      </c>
      <c r="C165" s="17">
        <f>INDEX(Ops!$E$110:$BL$110,1,$B165)</f>
        <v/>
      </c>
      <c r="AI165" s="75">
        <f>$C165*INDEX(Curves!$BB$8:$BB$68,AI$4-$B165+1)</f>
        <v/>
      </c>
      <c r="AJ165" s="75">
        <f>$C165*INDEX(Curves!$BB$8:$BB$68,AJ$4-$B165+1)</f>
        <v/>
      </c>
      <c r="AK165" s="75">
        <f>$C165*INDEX(Curves!$BB$8:$BB$68,AK$4-$B165+1)</f>
        <v/>
      </c>
      <c r="AL165" s="75">
        <f>$C165*INDEX(Curves!$BB$8:$BB$68,AL$4-$B165+1)</f>
        <v/>
      </c>
      <c r="AM165" s="75">
        <f>$C165*INDEX(Curves!$BB$8:$BB$68,AM$4-$B165+1)</f>
        <v/>
      </c>
      <c r="AN165" s="75">
        <f>$C165*INDEX(Curves!$BB$8:$BB$68,AN$4-$B165+1)</f>
        <v/>
      </c>
      <c r="AO165" s="75">
        <f>$C165*INDEX(Curves!$BB$8:$BB$68,AO$4-$B165+1)</f>
        <v/>
      </c>
      <c r="AP165" s="75">
        <f>$C165*INDEX(Curves!$BB$8:$BB$68,AP$4-$B165+1)</f>
        <v/>
      </c>
      <c r="AQ165" s="75">
        <f>$C165*INDEX(Curves!$BB$8:$BB$68,AQ$4-$B165+1)</f>
        <v/>
      </c>
      <c r="AR165" s="75">
        <f>$C165*INDEX(Curves!$BB$8:$BB$68,AR$4-$B165+1)</f>
        <v/>
      </c>
      <c r="AS165" s="75">
        <f>$C165*INDEX(Curves!$BB$8:$BB$68,AS$4-$B165+1)</f>
        <v/>
      </c>
      <c r="AT165" s="75">
        <f>$C165*INDEX(Curves!$BB$8:$BB$68,AT$4-$B165+1)</f>
        <v/>
      </c>
      <c r="AU165" s="75">
        <f>$C165*INDEX(Curves!$BB$8:$BB$68,AU$4-$B165+1)</f>
        <v/>
      </c>
      <c r="AV165" s="75">
        <f>$C165*INDEX(Curves!$BB$8:$BB$68,AV$4-$B165+1)</f>
        <v/>
      </c>
      <c r="AW165" s="75">
        <f>$C165*INDEX(Curves!$BB$8:$BB$68,AW$4-$B165+1)</f>
        <v/>
      </c>
      <c r="AX165" s="75">
        <f>$C165*INDEX(Curves!$BB$8:$BB$68,AX$4-$B165+1)</f>
        <v/>
      </c>
      <c r="AY165" s="75">
        <f>$C165*INDEX(Curves!$BB$8:$BB$68,AY$4-$B165+1)</f>
        <v/>
      </c>
      <c r="AZ165" s="75">
        <f>$C165*INDEX(Curves!$BB$8:$BB$68,AZ$4-$B165+1)</f>
        <v/>
      </c>
      <c r="BA165" s="75">
        <f>$C165*INDEX(Curves!$BB$8:$BB$68,BA$4-$B165+1)</f>
        <v/>
      </c>
      <c r="BB165" s="75">
        <f>$C165*INDEX(Curves!$BB$8:$BB$68,BB$4-$B165+1)</f>
        <v/>
      </c>
      <c r="BC165" s="75">
        <f>$C165*INDEX(Curves!$BB$8:$BB$68,BC$4-$B165+1)</f>
        <v/>
      </c>
      <c r="BD165" s="75">
        <f>$C165*INDEX(Curves!$BB$8:$BB$68,BD$4-$B165+1)</f>
        <v/>
      </c>
      <c r="BE165" s="75">
        <f>$C165*INDEX(Curves!$BB$8:$BB$68,BE$4-$B165+1)</f>
        <v/>
      </c>
      <c r="BF165" s="75">
        <f>$C165*INDEX(Curves!$BB$8:$BB$68,BF$4-$B165+1)</f>
        <v/>
      </c>
      <c r="BG165" s="75">
        <f>$C165*INDEX(Curves!$BB$8:$BB$68,BG$4-$B165+1)</f>
        <v/>
      </c>
      <c r="BH165" s="75">
        <f>$C165*INDEX(Curves!$BB$8:$BB$68,BH$4-$B165+1)</f>
        <v/>
      </c>
      <c r="BI165" s="75">
        <f>$C165*INDEX(Curves!$BB$8:$BB$68,BI$4-$B165+1)</f>
        <v/>
      </c>
      <c r="BJ165" s="75">
        <f>$C165*INDEX(Curves!$BB$8:$BB$68,BJ$4-$B165+1)</f>
        <v/>
      </c>
      <c r="BK165" s="75">
        <f>$C165*INDEX(Curves!$BB$8:$BB$68,BK$4-$B165+1)</f>
        <v/>
      </c>
      <c r="BL165" s="75">
        <f>$C165*INDEX(Curves!$BB$8:$BB$68,BL$4-$B165+1)</f>
        <v/>
      </c>
    </row>
    <row r="166">
      <c r="A166" s="74" t="inlineStr">
        <is>
          <t>Cohort month 31</t>
        </is>
      </c>
      <c r="B166" s="74" t="n">
        <v>31</v>
      </c>
      <c r="C166" s="17">
        <f>INDEX(Ops!$E$110:$BL$110,1,$B166)</f>
        <v/>
      </c>
      <c r="AJ166" s="75">
        <f>$C166*INDEX(Curves!$BB$8:$BB$68,AJ$4-$B166+1)</f>
        <v/>
      </c>
      <c r="AK166" s="75">
        <f>$C166*INDEX(Curves!$BB$8:$BB$68,AK$4-$B166+1)</f>
        <v/>
      </c>
      <c r="AL166" s="75">
        <f>$C166*INDEX(Curves!$BB$8:$BB$68,AL$4-$B166+1)</f>
        <v/>
      </c>
      <c r="AM166" s="75">
        <f>$C166*INDEX(Curves!$BB$8:$BB$68,AM$4-$B166+1)</f>
        <v/>
      </c>
      <c r="AN166" s="75">
        <f>$C166*INDEX(Curves!$BB$8:$BB$68,AN$4-$B166+1)</f>
        <v/>
      </c>
      <c r="AO166" s="75">
        <f>$C166*INDEX(Curves!$BB$8:$BB$68,AO$4-$B166+1)</f>
        <v/>
      </c>
      <c r="AP166" s="75">
        <f>$C166*INDEX(Curves!$BB$8:$BB$68,AP$4-$B166+1)</f>
        <v/>
      </c>
      <c r="AQ166" s="75">
        <f>$C166*INDEX(Curves!$BB$8:$BB$68,AQ$4-$B166+1)</f>
        <v/>
      </c>
      <c r="AR166" s="75">
        <f>$C166*INDEX(Curves!$BB$8:$BB$68,AR$4-$B166+1)</f>
        <v/>
      </c>
      <c r="AS166" s="75">
        <f>$C166*INDEX(Curves!$BB$8:$BB$68,AS$4-$B166+1)</f>
        <v/>
      </c>
      <c r="AT166" s="75">
        <f>$C166*INDEX(Curves!$BB$8:$BB$68,AT$4-$B166+1)</f>
        <v/>
      </c>
      <c r="AU166" s="75">
        <f>$C166*INDEX(Curves!$BB$8:$BB$68,AU$4-$B166+1)</f>
        <v/>
      </c>
      <c r="AV166" s="75">
        <f>$C166*INDEX(Curves!$BB$8:$BB$68,AV$4-$B166+1)</f>
        <v/>
      </c>
      <c r="AW166" s="75">
        <f>$C166*INDEX(Curves!$BB$8:$BB$68,AW$4-$B166+1)</f>
        <v/>
      </c>
      <c r="AX166" s="75">
        <f>$C166*INDEX(Curves!$BB$8:$BB$68,AX$4-$B166+1)</f>
        <v/>
      </c>
      <c r="AY166" s="75">
        <f>$C166*INDEX(Curves!$BB$8:$BB$68,AY$4-$B166+1)</f>
        <v/>
      </c>
      <c r="AZ166" s="75">
        <f>$C166*INDEX(Curves!$BB$8:$BB$68,AZ$4-$B166+1)</f>
        <v/>
      </c>
      <c r="BA166" s="75">
        <f>$C166*INDEX(Curves!$BB$8:$BB$68,BA$4-$B166+1)</f>
        <v/>
      </c>
      <c r="BB166" s="75">
        <f>$C166*INDEX(Curves!$BB$8:$BB$68,BB$4-$B166+1)</f>
        <v/>
      </c>
      <c r="BC166" s="75">
        <f>$C166*INDEX(Curves!$BB$8:$BB$68,BC$4-$B166+1)</f>
        <v/>
      </c>
      <c r="BD166" s="75">
        <f>$C166*INDEX(Curves!$BB$8:$BB$68,BD$4-$B166+1)</f>
        <v/>
      </c>
      <c r="BE166" s="75">
        <f>$C166*INDEX(Curves!$BB$8:$BB$68,BE$4-$B166+1)</f>
        <v/>
      </c>
      <c r="BF166" s="75">
        <f>$C166*INDEX(Curves!$BB$8:$BB$68,BF$4-$B166+1)</f>
        <v/>
      </c>
      <c r="BG166" s="75">
        <f>$C166*INDEX(Curves!$BB$8:$BB$68,BG$4-$B166+1)</f>
        <v/>
      </c>
      <c r="BH166" s="75">
        <f>$C166*INDEX(Curves!$BB$8:$BB$68,BH$4-$B166+1)</f>
        <v/>
      </c>
      <c r="BI166" s="75">
        <f>$C166*INDEX(Curves!$BB$8:$BB$68,BI$4-$B166+1)</f>
        <v/>
      </c>
      <c r="BJ166" s="75">
        <f>$C166*INDEX(Curves!$BB$8:$BB$68,BJ$4-$B166+1)</f>
        <v/>
      </c>
      <c r="BK166" s="75">
        <f>$C166*INDEX(Curves!$BB$8:$BB$68,BK$4-$B166+1)</f>
        <v/>
      </c>
      <c r="BL166" s="75">
        <f>$C166*INDEX(Curves!$BB$8:$BB$68,BL$4-$B166+1)</f>
        <v/>
      </c>
    </row>
    <row r="167">
      <c r="A167" s="74" t="inlineStr">
        <is>
          <t>Cohort month 32</t>
        </is>
      </c>
      <c r="B167" s="74" t="n">
        <v>32</v>
      </c>
      <c r="C167" s="17">
        <f>INDEX(Ops!$E$110:$BL$110,1,$B167)</f>
        <v/>
      </c>
      <c r="AK167" s="75">
        <f>$C167*INDEX(Curves!$BB$8:$BB$68,AK$4-$B167+1)</f>
        <v/>
      </c>
      <c r="AL167" s="75">
        <f>$C167*INDEX(Curves!$BB$8:$BB$68,AL$4-$B167+1)</f>
        <v/>
      </c>
      <c r="AM167" s="75">
        <f>$C167*INDEX(Curves!$BB$8:$BB$68,AM$4-$B167+1)</f>
        <v/>
      </c>
      <c r="AN167" s="75">
        <f>$C167*INDEX(Curves!$BB$8:$BB$68,AN$4-$B167+1)</f>
        <v/>
      </c>
      <c r="AO167" s="75">
        <f>$C167*INDEX(Curves!$BB$8:$BB$68,AO$4-$B167+1)</f>
        <v/>
      </c>
      <c r="AP167" s="75">
        <f>$C167*INDEX(Curves!$BB$8:$BB$68,AP$4-$B167+1)</f>
        <v/>
      </c>
      <c r="AQ167" s="75">
        <f>$C167*INDEX(Curves!$BB$8:$BB$68,AQ$4-$B167+1)</f>
        <v/>
      </c>
      <c r="AR167" s="75">
        <f>$C167*INDEX(Curves!$BB$8:$BB$68,AR$4-$B167+1)</f>
        <v/>
      </c>
      <c r="AS167" s="75">
        <f>$C167*INDEX(Curves!$BB$8:$BB$68,AS$4-$B167+1)</f>
        <v/>
      </c>
      <c r="AT167" s="75">
        <f>$C167*INDEX(Curves!$BB$8:$BB$68,AT$4-$B167+1)</f>
        <v/>
      </c>
      <c r="AU167" s="75">
        <f>$C167*INDEX(Curves!$BB$8:$BB$68,AU$4-$B167+1)</f>
        <v/>
      </c>
      <c r="AV167" s="75">
        <f>$C167*INDEX(Curves!$BB$8:$BB$68,AV$4-$B167+1)</f>
        <v/>
      </c>
      <c r="AW167" s="75">
        <f>$C167*INDEX(Curves!$BB$8:$BB$68,AW$4-$B167+1)</f>
        <v/>
      </c>
      <c r="AX167" s="75">
        <f>$C167*INDEX(Curves!$BB$8:$BB$68,AX$4-$B167+1)</f>
        <v/>
      </c>
      <c r="AY167" s="75">
        <f>$C167*INDEX(Curves!$BB$8:$BB$68,AY$4-$B167+1)</f>
        <v/>
      </c>
      <c r="AZ167" s="75">
        <f>$C167*INDEX(Curves!$BB$8:$BB$68,AZ$4-$B167+1)</f>
        <v/>
      </c>
      <c r="BA167" s="75">
        <f>$C167*INDEX(Curves!$BB$8:$BB$68,BA$4-$B167+1)</f>
        <v/>
      </c>
      <c r="BB167" s="75">
        <f>$C167*INDEX(Curves!$BB$8:$BB$68,BB$4-$B167+1)</f>
        <v/>
      </c>
      <c r="BC167" s="75">
        <f>$C167*INDEX(Curves!$BB$8:$BB$68,BC$4-$B167+1)</f>
        <v/>
      </c>
      <c r="BD167" s="75">
        <f>$C167*INDEX(Curves!$BB$8:$BB$68,BD$4-$B167+1)</f>
        <v/>
      </c>
      <c r="BE167" s="75">
        <f>$C167*INDEX(Curves!$BB$8:$BB$68,BE$4-$B167+1)</f>
        <v/>
      </c>
      <c r="BF167" s="75">
        <f>$C167*INDEX(Curves!$BB$8:$BB$68,BF$4-$B167+1)</f>
        <v/>
      </c>
      <c r="BG167" s="75">
        <f>$C167*INDEX(Curves!$BB$8:$BB$68,BG$4-$B167+1)</f>
        <v/>
      </c>
      <c r="BH167" s="75">
        <f>$C167*INDEX(Curves!$BB$8:$BB$68,BH$4-$B167+1)</f>
        <v/>
      </c>
      <c r="BI167" s="75">
        <f>$C167*INDEX(Curves!$BB$8:$BB$68,BI$4-$B167+1)</f>
        <v/>
      </c>
      <c r="BJ167" s="75">
        <f>$C167*INDEX(Curves!$BB$8:$BB$68,BJ$4-$B167+1)</f>
        <v/>
      </c>
      <c r="BK167" s="75">
        <f>$C167*INDEX(Curves!$BB$8:$BB$68,BK$4-$B167+1)</f>
        <v/>
      </c>
      <c r="BL167" s="75">
        <f>$C167*INDEX(Curves!$BB$8:$BB$68,BL$4-$B167+1)</f>
        <v/>
      </c>
    </row>
    <row r="168">
      <c r="A168" s="74" t="inlineStr">
        <is>
          <t>Cohort month 33</t>
        </is>
      </c>
      <c r="B168" s="74" t="n">
        <v>33</v>
      </c>
      <c r="C168" s="17">
        <f>INDEX(Ops!$E$110:$BL$110,1,$B168)</f>
        <v/>
      </c>
      <c r="AL168" s="75">
        <f>$C168*INDEX(Curves!$BB$8:$BB$68,AL$4-$B168+1)</f>
        <v/>
      </c>
      <c r="AM168" s="75">
        <f>$C168*INDEX(Curves!$BB$8:$BB$68,AM$4-$B168+1)</f>
        <v/>
      </c>
      <c r="AN168" s="75">
        <f>$C168*INDEX(Curves!$BB$8:$BB$68,AN$4-$B168+1)</f>
        <v/>
      </c>
      <c r="AO168" s="75">
        <f>$C168*INDEX(Curves!$BB$8:$BB$68,AO$4-$B168+1)</f>
        <v/>
      </c>
      <c r="AP168" s="75">
        <f>$C168*INDEX(Curves!$BB$8:$BB$68,AP$4-$B168+1)</f>
        <v/>
      </c>
      <c r="AQ168" s="75">
        <f>$C168*INDEX(Curves!$BB$8:$BB$68,AQ$4-$B168+1)</f>
        <v/>
      </c>
      <c r="AR168" s="75">
        <f>$C168*INDEX(Curves!$BB$8:$BB$68,AR$4-$B168+1)</f>
        <v/>
      </c>
      <c r="AS168" s="75">
        <f>$C168*INDEX(Curves!$BB$8:$BB$68,AS$4-$B168+1)</f>
        <v/>
      </c>
      <c r="AT168" s="75">
        <f>$C168*INDEX(Curves!$BB$8:$BB$68,AT$4-$B168+1)</f>
        <v/>
      </c>
      <c r="AU168" s="75">
        <f>$C168*INDEX(Curves!$BB$8:$BB$68,AU$4-$B168+1)</f>
        <v/>
      </c>
      <c r="AV168" s="75">
        <f>$C168*INDEX(Curves!$BB$8:$BB$68,AV$4-$B168+1)</f>
        <v/>
      </c>
      <c r="AW168" s="75">
        <f>$C168*INDEX(Curves!$BB$8:$BB$68,AW$4-$B168+1)</f>
        <v/>
      </c>
      <c r="AX168" s="75">
        <f>$C168*INDEX(Curves!$BB$8:$BB$68,AX$4-$B168+1)</f>
        <v/>
      </c>
      <c r="AY168" s="75">
        <f>$C168*INDEX(Curves!$BB$8:$BB$68,AY$4-$B168+1)</f>
        <v/>
      </c>
      <c r="AZ168" s="75">
        <f>$C168*INDEX(Curves!$BB$8:$BB$68,AZ$4-$B168+1)</f>
        <v/>
      </c>
      <c r="BA168" s="75">
        <f>$C168*INDEX(Curves!$BB$8:$BB$68,BA$4-$B168+1)</f>
        <v/>
      </c>
      <c r="BB168" s="75">
        <f>$C168*INDEX(Curves!$BB$8:$BB$68,BB$4-$B168+1)</f>
        <v/>
      </c>
      <c r="BC168" s="75">
        <f>$C168*INDEX(Curves!$BB$8:$BB$68,BC$4-$B168+1)</f>
        <v/>
      </c>
      <c r="BD168" s="75">
        <f>$C168*INDEX(Curves!$BB$8:$BB$68,BD$4-$B168+1)</f>
        <v/>
      </c>
      <c r="BE168" s="75">
        <f>$C168*INDEX(Curves!$BB$8:$BB$68,BE$4-$B168+1)</f>
        <v/>
      </c>
      <c r="BF168" s="75">
        <f>$C168*INDEX(Curves!$BB$8:$BB$68,BF$4-$B168+1)</f>
        <v/>
      </c>
      <c r="BG168" s="75">
        <f>$C168*INDEX(Curves!$BB$8:$BB$68,BG$4-$B168+1)</f>
        <v/>
      </c>
      <c r="BH168" s="75">
        <f>$C168*INDEX(Curves!$BB$8:$BB$68,BH$4-$B168+1)</f>
        <v/>
      </c>
      <c r="BI168" s="75">
        <f>$C168*INDEX(Curves!$BB$8:$BB$68,BI$4-$B168+1)</f>
        <v/>
      </c>
      <c r="BJ168" s="75">
        <f>$C168*INDEX(Curves!$BB$8:$BB$68,BJ$4-$B168+1)</f>
        <v/>
      </c>
      <c r="BK168" s="75">
        <f>$C168*INDEX(Curves!$BB$8:$BB$68,BK$4-$B168+1)</f>
        <v/>
      </c>
      <c r="BL168" s="75">
        <f>$C168*INDEX(Curves!$BB$8:$BB$68,BL$4-$B168+1)</f>
        <v/>
      </c>
    </row>
    <row r="169">
      <c r="A169" s="74" t="inlineStr">
        <is>
          <t>Cohort month 34</t>
        </is>
      </c>
      <c r="B169" s="74" t="n">
        <v>34</v>
      </c>
      <c r="C169" s="17">
        <f>INDEX(Ops!$E$110:$BL$110,1,$B169)</f>
        <v/>
      </c>
      <c r="AM169" s="75">
        <f>$C169*INDEX(Curves!$BB$8:$BB$68,AM$4-$B169+1)</f>
        <v/>
      </c>
      <c r="AN169" s="75">
        <f>$C169*INDEX(Curves!$BB$8:$BB$68,AN$4-$B169+1)</f>
        <v/>
      </c>
      <c r="AO169" s="75">
        <f>$C169*INDEX(Curves!$BB$8:$BB$68,AO$4-$B169+1)</f>
        <v/>
      </c>
      <c r="AP169" s="75">
        <f>$C169*INDEX(Curves!$BB$8:$BB$68,AP$4-$B169+1)</f>
        <v/>
      </c>
      <c r="AQ169" s="75">
        <f>$C169*INDEX(Curves!$BB$8:$BB$68,AQ$4-$B169+1)</f>
        <v/>
      </c>
      <c r="AR169" s="75">
        <f>$C169*INDEX(Curves!$BB$8:$BB$68,AR$4-$B169+1)</f>
        <v/>
      </c>
      <c r="AS169" s="75">
        <f>$C169*INDEX(Curves!$BB$8:$BB$68,AS$4-$B169+1)</f>
        <v/>
      </c>
      <c r="AT169" s="75">
        <f>$C169*INDEX(Curves!$BB$8:$BB$68,AT$4-$B169+1)</f>
        <v/>
      </c>
      <c r="AU169" s="75">
        <f>$C169*INDEX(Curves!$BB$8:$BB$68,AU$4-$B169+1)</f>
        <v/>
      </c>
      <c r="AV169" s="75">
        <f>$C169*INDEX(Curves!$BB$8:$BB$68,AV$4-$B169+1)</f>
        <v/>
      </c>
      <c r="AW169" s="75">
        <f>$C169*INDEX(Curves!$BB$8:$BB$68,AW$4-$B169+1)</f>
        <v/>
      </c>
      <c r="AX169" s="75">
        <f>$C169*INDEX(Curves!$BB$8:$BB$68,AX$4-$B169+1)</f>
        <v/>
      </c>
      <c r="AY169" s="75">
        <f>$C169*INDEX(Curves!$BB$8:$BB$68,AY$4-$B169+1)</f>
        <v/>
      </c>
      <c r="AZ169" s="75">
        <f>$C169*INDEX(Curves!$BB$8:$BB$68,AZ$4-$B169+1)</f>
        <v/>
      </c>
      <c r="BA169" s="75">
        <f>$C169*INDEX(Curves!$BB$8:$BB$68,BA$4-$B169+1)</f>
        <v/>
      </c>
      <c r="BB169" s="75">
        <f>$C169*INDEX(Curves!$BB$8:$BB$68,BB$4-$B169+1)</f>
        <v/>
      </c>
      <c r="BC169" s="75">
        <f>$C169*INDEX(Curves!$BB$8:$BB$68,BC$4-$B169+1)</f>
        <v/>
      </c>
      <c r="BD169" s="75">
        <f>$C169*INDEX(Curves!$BB$8:$BB$68,BD$4-$B169+1)</f>
        <v/>
      </c>
      <c r="BE169" s="75">
        <f>$C169*INDEX(Curves!$BB$8:$BB$68,BE$4-$B169+1)</f>
        <v/>
      </c>
      <c r="BF169" s="75">
        <f>$C169*INDEX(Curves!$BB$8:$BB$68,BF$4-$B169+1)</f>
        <v/>
      </c>
      <c r="BG169" s="75">
        <f>$C169*INDEX(Curves!$BB$8:$BB$68,BG$4-$B169+1)</f>
        <v/>
      </c>
      <c r="BH169" s="75">
        <f>$C169*INDEX(Curves!$BB$8:$BB$68,BH$4-$B169+1)</f>
        <v/>
      </c>
      <c r="BI169" s="75">
        <f>$C169*INDEX(Curves!$BB$8:$BB$68,BI$4-$B169+1)</f>
        <v/>
      </c>
      <c r="BJ169" s="75">
        <f>$C169*INDEX(Curves!$BB$8:$BB$68,BJ$4-$B169+1)</f>
        <v/>
      </c>
      <c r="BK169" s="75">
        <f>$C169*INDEX(Curves!$BB$8:$BB$68,BK$4-$B169+1)</f>
        <v/>
      </c>
      <c r="BL169" s="75">
        <f>$C169*INDEX(Curves!$BB$8:$BB$68,BL$4-$B169+1)</f>
        <v/>
      </c>
    </row>
    <row r="170">
      <c r="A170" s="74" t="inlineStr">
        <is>
          <t>Cohort month 35</t>
        </is>
      </c>
      <c r="B170" s="74" t="n">
        <v>35</v>
      </c>
      <c r="C170" s="17">
        <f>INDEX(Ops!$E$110:$BL$110,1,$B170)</f>
        <v/>
      </c>
      <c r="AN170" s="75">
        <f>$C170*INDEX(Curves!$BB$8:$BB$68,AN$4-$B170+1)</f>
        <v/>
      </c>
      <c r="AO170" s="75">
        <f>$C170*INDEX(Curves!$BB$8:$BB$68,AO$4-$B170+1)</f>
        <v/>
      </c>
      <c r="AP170" s="75">
        <f>$C170*INDEX(Curves!$BB$8:$BB$68,AP$4-$B170+1)</f>
        <v/>
      </c>
      <c r="AQ170" s="75">
        <f>$C170*INDEX(Curves!$BB$8:$BB$68,AQ$4-$B170+1)</f>
        <v/>
      </c>
      <c r="AR170" s="75">
        <f>$C170*INDEX(Curves!$BB$8:$BB$68,AR$4-$B170+1)</f>
        <v/>
      </c>
      <c r="AS170" s="75">
        <f>$C170*INDEX(Curves!$BB$8:$BB$68,AS$4-$B170+1)</f>
        <v/>
      </c>
      <c r="AT170" s="75">
        <f>$C170*INDEX(Curves!$BB$8:$BB$68,AT$4-$B170+1)</f>
        <v/>
      </c>
      <c r="AU170" s="75">
        <f>$C170*INDEX(Curves!$BB$8:$BB$68,AU$4-$B170+1)</f>
        <v/>
      </c>
      <c r="AV170" s="75">
        <f>$C170*INDEX(Curves!$BB$8:$BB$68,AV$4-$B170+1)</f>
        <v/>
      </c>
      <c r="AW170" s="75">
        <f>$C170*INDEX(Curves!$BB$8:$BB$68,AW$4-$B170+1)</f>
        <v/>
      </c>
      <c r="AX170" s="75">
        <f>$C170*INDEX(Curves!$BB$8:$BB$68,AX$4-$B170+1)</f>
        <v/>
      </c>
      <c r="AY170" s="75">
        <f>$C170*INDEX(Curves!$BB$8:$BB$68,AY$4-$B170+1)</f>
        <v/>
      </c>
      <c r="AZ170" s="75">
        <f>$C170*INDEX(Curves!$BB$8:$BB$68,AZ$4-$B170+1)</f>
        <v/>
      </c>
      <c r="BA170" s="75">
        <f>$C170*INDEX(Curves!$BB$8:$BB$68,BA$4-$B170+1)</f>
        <v/>
      </c>
      <c r="BB170" s="75">
        <f>$C170*INDEX(Curves!$BB$8:$BB$68,BB$4-$B170+1)</f>
        <v/>
      </c>
      <c r="BC170" s="75">
        <f>$C170*INDEX(Curves!$BB$8:$BB$68,BC$4-$B170+1)</f>
        <v/>
      </c>
      <c r="BD170" s="75">
        <f>$C170*INDEX(Curves!$BB$8:$BB$68,BD$4-$B170+1)</f>
        <v/>
      </c>
      <c r="BE170" s="75">
        <f>$C170*INDEX(Curves!$BB$8:$BB$68,BE$4-$B170+1)</f>
        <v/>
      </c>
      <c r="BF170" s="75">
        <f>$C170*INDEX(Curves!$BB$8:$BB$68,BF$4-$B170+1)</f>
        <v/>
      </c>
      <c r="BG170" s="75">
        <f>$C170*INDEX(Curves!$BB$8:$BB$68,BG$4-$B170+1)</f>
        <v/>
      </c>
      <c r="BH170" s="75">
        <f>$C170*INDEX(Curves!$BB$8:$BB$68,BH$4-$B170+1)</f>
        <v/>
      </c>
      <c r="BI170" s="75">
        <f>$C170*INDEX(Curves!$BB$8:$BB$68,BI$4-$B170+1)</f>
        <v/>
      </c>
      <c r="BJ170" s="75">
        <f>$C170*INDEX(Curves!$BB$8:$BB$68,BJ$4-$B170+1)</f>
        <v/>
      </c>
      <c r="BK170" s="75">
        <f>$C170*INDEX(Curves!$BB$8:$BB$68,BK$4-$B170+1)</f>
        <v/>
      </c>
      <c r="BL170" s="75">
        <f>$C170*INDEX(Curves!$BB$8:$BB$68,BL$4-$B170+1)</f>
        <v/>
      </c>
    </row>
    <row r="171">
      <c r="A171" s="74" t="inlineStr">
        <is>
          <t>Cohort month 36</t>
        </is>
      </c>
      <c r="B171" s="74" t="n">
        <v>36</v>
      </c>
      <c r="C171" s="17">
        <f>INDEX(Ops!$E$110:$BL$110,1,$B171)</f>
        <v/>
      </c>
      <c r="AO171" s="75">
        <f>$C171*INDEX(Curves!$BB$8:$BB$68,AO$4-$B171+1)</f>
        <v/>
      </c>
      <c r="AP171" s="75">
        <f>$C171*INDEX(Curves!$BB$8:$BB$68,AP$4-$B171+1)</f>
        <v/>
      </c>
      <c r="AQ171" s="75">
        <f>$C171*INDEX(Curves!$BB$8:$BB$68,AQ$4-$B171+1)</f>
        <v/>
      </c>
      <c r="AR171" s="75">
        <f>$C171*INDEX(Curves!$BB$8:$BB$68,AR$4-$B171+1)</f>
        <v/>
      </c>
      <c r="AS171" s="75">
        <f>$C171*INDEX(Curves!$BB$8:$BB$68,AS$4-$B171+1)</f>
        <v/>
      </c>
      <c r="AT171" s="75">
        <f>$C171*INDEX(Curves!$BB$8:$BB$68,AT$4-$B171+1)</f>
        <v/>
      </c>
      <c r="AU171" s="75">
        <f>$C171*INDEX(Curves!$BB$8:$BB$68,AU$4-$B171+1)</f>
        <v/>
      </c>
      <c r="AV171" s="75">
        <f>$C171*INDEX(Curves!$BB$8:$BB$68,AV$4-$B171+1)</f>
        <v/>
      </c>
      <c r="AW171" s="75">
        <f>$C171*INDEX(Curves!$BB$8:$BB$68,AW$4-$B171+1)</f>
        <v/>
      </c>
      <c r="AX171" s="75">
        <f>$C171*INDEX(Curves!$BB$8:$BB$68,AX$4-$B171+1)</f>
        <v/>
      </c>
      <c r="AY171" s="75">
        <f>$C171*INDEX(Curves!$BB$8:$BB$68,AY$4-$B171+1)</f>
        <v/>
      </c>
      <c r="AZ171" s="75">
        <f>$C171*INDEX(Curves!$BB$8:$BB$68,AZ$4-$B171+1)</f>
        <v/>
      </c>
      <c r="BA171" s="75">
        <f>$C171*INDEX(Curves!$BB$8:$BB$68,BA$4-$B171+1)</f>
        <v/>
      </c>
      <c r="BB171" s="75">
        <f>$C171*INDEX(Curves!$BB$8:$BB$68,BB$4-$B171+1)</f>
        <v/>
      </c>
      <c r="BC171" s="75">
        <f>$C171*INDEX(Curves!$BB$8:$BB$68,BC$4-$B171+1)</f>
        <v/>
      </c>
      <c r="BD171" s="75">
        <f>$C171*INDEX(Curves!$BB$8:$BB$68,BD$4-$B171+1)</f>
        <v/>
      </c>
      <c r="BE171" s="75">
        <f>$C171*INDEX(Curves!$BB$8:$BB$68,BE$4-$B171+1)</f>
        <v/>
      </c>
      <c r="BF171" s="75">
        <f>$C171*INDEX(Curves!$BB$8:$BB$68,BF$4-$B171+1)</f>
        <v/>
      </c>
      <c r="BG171" s="75">
        <f>$C171*INDEX(Curves!$BB$8:$BB$68,BG$4-$B171+1)</f>
        <v/>
      </c>
      <c r="BH171" s="75">
        <f>$C171*INDEX(Curves!$BB$8:$BB$68,BH$4-$B171+1)</f>
        <v/>
      </c>
      <c r="BI171" s="75">
        <f>$C171*INDEX(Curves!$BB$8:$BB$68,BI$4-$B171+1)</f>
        <v/>
      </c>
      <c r="BJ171" s="75">
        <f>$C171*INDEX(Curves!$BB$8:$BB$68,BJ$4-$B171+1)</f>
        <v/>
      </c>
      <c r="BK171" s="75">
        <f>$C171*INDEX(Curves!$BB$8:$BB$68,BK$4-$B171+1)</f>
        <v/>
      </c>
      <c r="BL171" s="75">
        <f>$C171*INDEX(Curves!$BB$8:$BB$68,BL$4-$B171+1)</f>
        <v/>
      </c>
    </row>
    <row r="172">
      <c r="A172" s="74" t="inlineStr">
        <is>
          <t>Cohort month 37</t>
        </is>
      </c>
      <c r="B172" s="74" t="n">
        <v>37</v>
      </c>
      <c r="C172" s="17">
        <f>INDEX(Ops!$E$110:$BL$110,1,$B172)</f>
        <v/>
      </c>
      <c r="AP172" s="75">
        <f>$C172*INDEX(Curves!$BB$8:$BB$68,AP$4-$B172+1)</f>
        <v/>
      </c>
      <c r="AQ172" s="75">
        <f>$C172*INDEX(Curves!$BB$8:$BB$68,AQ$4-$B172+1)</f>
        <v/>
      </c>
      <c r="AR172" s="75">
        <f>$C172*INDEX(Curves!$BB$8:$BB$68,AR$4-$B172+1)</f>
        <v/>
      </c>
      <c r="AS172" s="75">
        <f>$C172*INDEX(Curves!$BB$8:$BB$68,AS$4-$B172+1)</f>
        <v/>
      </c>
      <c r="AT172" s="75">
        <f>$C172*INDEX(Curves!$BB$8:$BB$68,AT$4-$B172+1)</f>
        <v/>
      </c>
      <c r="AU172" s="75">
        <f>$C172*INDEX(Curves!$BB$8:$BB$68,AU$4-$B172+1)</f>
        <v/>
      </c>
      <c r="AV172" s="75">
        <f>$C172*INDEX(Curves!$BB$8:$BB$68,AV$4-$B172+1)</f>
        <v/>
      </c>
      <c r="AW172" s="75">
        <f>$C172*INDEX(Curves!$BB$8:$BB$68,AW$4-$B172+1)</f>
        <v/>
      </c>
      <c r="AX172" s="75">
        <f>$C172*INDEX(Curves!$BB$8:$BB$68,AX$4-$B172+1)</f>
        <v/>
      </c>
      <c r="AY172" s="75">
        <f>$C172*INDEX(Curves!$BB$8:$BB$68,AY$4-$B172+1)</f>
        <v/>
      </c>
      <c r="AZ172" s="75">
        <f>$C172*INDEX(Curves!$BB$8:$BB$68,AZ$4-$B172+1)</f>
        <v/>
      </c>
      <c r="BA172" s="75">
        <f>$C172*INDEX(Curves!$BB$8:$BB$68,BA$4-$B172+1)</f>
        <v/>
      </c>
      <c r="BB172" s="75">
        <f>$C172*INDEX(Curves!$BB$8:$BB$68,BB$4-$B172+1)</f>
        <v/>
      </c>
      <c r="BC172" s="75">
        <f>$C172*INDEX(Curves!$BB$8:$BB$68,BC$4-$B172+1)</f>
        <v/>
      </c>
      <c r="BD172" s="75">
        <f>$C172*INDEX(Curves!$BB$8:$BB$68,BD$4-$B172+1)</f>
        <v/>
      </c>
      <c r="BE172" s="75">
        <f>$C172*INDEX(Curves!$BB$8:$BB$68,BE$4-$B172+1)</f>
        <v/>
      </c>
      <c r="BF172" s="75">
        <f>$C172*INDEX(Curves!$BB$8:$BB$68,BF$4-$B172+1)</f>
        <v/>
      </c>
      <c r="BG172" s="75">
        <f>$C172*INDEX(Curves!$BB$8:$BB$68,BG$4-$B172+1)</f>
        <v/>
      </c>
      <c r="BH172" s="75">
        <f>$C172*INDEX(Curves!$BB$8:$BB$68,BH$4-$B172+1)</f>
        <v/>
      </c>
      <c r="BI172" s="75">
        <f>$C172*INDEX(Curves!$BB$8:$BB$68,BI$4-$B172+1)</f>
        <v/>
      </c>
      <c r="BJ172" s="75">
        <f>$C172*INDEX(Curves!$BB$8:$BB$68,BJ$4-$B172+1)</f>
        <v/>
      </c>
      <c r="BK172" s="75">
        <f>$C172*INDEX(Curves!$BB$8:$BB$68,BK$4-$B172+1)</f>
        <v/>
      </c>
      <c r="BL172" s="75">
        <f>$C172*INDEX(Curves!$BB$8:$BB$68,BL$4-$B172+1)</f>
        <v/>
      </c>
    </row>
    <row r="173">
      <c r="A173" s="74" t="inlineStr">
        <is>
          <t>Cohort month 38</t>
        </is>
      </c>
      <c r="B173" s="74" t="n">
        <v>38</v>
      </c>
      <c r="C173" s="17">
        <f>INDEX(Ops!$E$110:$BL$110,1,$B173)</f>
        <v/>
      </c>
      <c r="AQ173" s="75">
        <f>$C173*INDEX(Curves!$BB$8:$BB$68,AQ$4-$B173+1)</f>
        <v/>
      </c>
      <c r="AR173" s="75">
        <f>$C173*INDEX(Curves!$BB$8:$BB$68,AR$4-$B173+1)</f>
        <v/>
      </c>
      <c r="AS173" s="75">
        <f>$C173*INDEX(Curves!$BB$8:$BB$68,AS$4-$B173+1)</f>
        <v/>
      </c>
      <c r="AT173" s="75">
        <f>$C173*INDEX(Curves!$BB$8:$BB$68,AT$4-$B173+1)</f>
        <v/>
      </c>
      <c r="AU173" s="75">
        <f>$C173*INDEX(Curves!$BB$8:$BB$68,AU$4-$B173+1)</f>
        <v/>
      </c>
      <c r="AV173" s="75">
        <f>$C173*INDEX(Curves!$BB$8:$BB$68,AV$4-$B173+1)</f>
        <v/>
      </c>
      <c r="AW173" s="75">
        <f>$C173*INDEX(Curves!$BB$8:$BB$68,AW$4-$B173+1)</f>
        <v/>
      </c>
      <c r="AX173" s="75">
        <f>$C173*INDEX(Curves!$BB$8:$BB$68,AX$4-$B173+1)</f>
        <v/>
      </c>
      <c r="AY173" s="75">
        <f>$C173*INDEX(Curves!$BB$8:$BB$68,AY$4-$B173+1)</f>
        <v/>
      </c>
      <c r="AZ173" s="75">
        <f>$C173*INDEX(Curves!$BB$8:$BB$68,AZ$4-$B173+1)</f>
        <v/>
      </c>
      <c r="BA173" s="75">
        <f>$C173*INDEX(Curves!$BB$8:$BB$68,BA$4-$B173+1)</f>
        <v/>
      </c>
      <c r="BB173" s="75">
        <f>$C173*INDEX(Curves!$BB$8:$BB$68,BB$4-$B173+1)</f>
        <v/>
      </c>
      <c r="BC173" s="75">
        <f>$C173*INDEX(Curves!$BB$8:$BB$68,BC$4-$B173+1)</f>
        <v/>
      </c>
      <c r="BD173" s="75">
        <f>$C173*INDEX(Curves!$BB$8:$BB$68,BD$4-$B173+1)</f>
        <v/>
      </c>
      <c r="BE173" s="75">
        <f>$C173*INDEX(Curves!$BB$8:$BB$68,BE$4-$B173+1)</f>
        <v/>
      </c>
      <c r="BF173" s="75">
        <f>$C173*INDEX(Curves!$BB$8:$BB$68,BF$4-$B173+1)</f>
        <v/>
      </c>
      <c r="BG173" s="75">
        <f>$C173*INDEX(Curves!$BB$8:$BB$68,BG$4-$B173+1)</f>
        <v/>
      </c>
      <c r="BH173" s="75">
        <f>$C173*INDEX(Curves!$BB$8:$BB$68,BH$4-$B173+1)</f>
        <v/>
      </c>
      <c r="BI173" s="75">
        <f>$C173*INDEX(Curves!$BB$8:$BB$68,BI$4-$B173+1)</f>
        <v/>
      </c>
      <c r="BJ173" s="75">
        <f>$C173*INDEX(Curves!$BB$8:$BB$68,BJ$4-$B173+1)</f>
        <v/>
      </c>
      <c r="BK173" s="75">
        <f>$C173*INDEX(Curves!$BB$8:$BB$68,BK$4-$B173+1)</f>
        <v/>
      </c>
      <c r="BL173" s="75">
        <f>$C173*INDEX(Curves!$BB$8:$BB$68,BL$4-$B173+1)</f>
        <v/>
      </c>
    </row>
    <row r="174">
      <c r="A174" s="74" t="inlineStr">
        <is>
          <t>Cohort month 39</t>
        </is>
      </c>
      <c r="B174" s="74" t="n">
        <v>39</v>
      </c>
      <c r="C174" s="17">
        <f>INDEX(Ops!$E$110:$BL$110,1,$B174)</f>
        <v/>
      </c>
      <c r="AR174" s="75">
        <f>$C174*INDEX(Curves!$BB$8:$BB$68,AR$4-$B174+1)</f>
        <v/>
      </c>
      <c r="AS174" s="75">
        <f>$C174*INDEX(Curves!$BB$8:$BB$68,AS$4-$B174+1)</f>
        <v/>
      </c>
      <c r="AT174" s="75">
        <f>$C174*INDEX(Curves!$BB$8:$BB$68,AT$4-$B174+1)</f>
        <v/>
      </c>
      <c r="AU174" s="75">
        <f>$C174*INDEX(Curves!$BB$8:$BB$68,AU$4-$B174+1)</f>
        <v/>
      </c>
      <c r="AV174" s="75">
        <f>$C174*INDEX(Curves!$BB$8:$BB$68,AV$4-$B174+1)</f>
        <v/>
      </c>
      <c r="AW174" s="75">
        <f>$C174*INDEX(Curves!$BB$8:$BB$68,AW$4-$B174+1)</f>
        <v/>
      </c>
      <c r="AX174" s="75">
        <f>$C174*INDEX(Curves!$BB$8:$BB$68,AX$4-$B174+1)</f>
        <v/>
      </c>
      <c r="AY174" s="75">
        <f>$C174*INDEX(Curves!$BB$8:$BB$68,AY$4-$B174+1)</f>
        <v/>
      </c>
      <c r="AZ174" s="75">
        <f>$C174*INDEX(Curves!$BB$8:$BB$68,AZ$4-$B174+1)</f>
        <v/>
      </c>
      <c r="BA174" s="75">
        <f>$C174*INDEX(Curves!$BB$8:$BB$68,BA$4-$B174+1)</f>
        <v/>
      </c>
      <c r="BB174" s="75">
        <f>$C174*INDEX(Curves!$BB$8:$BB$68,BB$4-$B174+1)</f>
        <v/>
      </c>
      <c r="BC174" s="75">
        <f>$C174*INDEX(Curves!$BB$8:$BB$68,BC$4-$B174+1)</f>
        <v/>
      </c>
      <c r="BD174" s="75">
        <f>$C174*INDEX(Curves!$BB$8:$BB$68,BD$4-$B174+1)</f>
        <v/>
      </c>
      <c r="BE174" s="75">
        <f>$C174*INDEX(Curves!$BB$8:$BB$68,BE$4-$B174+1)</f>
        <v/>
      </c>
      <c r="BF174" s="75">
        <f>$C174*INDEX(Curves!$BB$8:$BB$68,BF$4-$B174+1)</f>
        <v/>
      </c>
      <c r="BG174" s="75">
        <f>$C174*INDEX(Curves!$BB$8:$BB$68,BG$4-$B174+1)</f>
        <v/>
      </c>
      <c r="BH174" s="75">
        <f>$C174*INDEX(Curves!$BB$8:$BB$68,BH$4-$B174+1)</f>
        <v/>
      </c>
      <c r="BI174" s="75">
        <f>$C174*INDEX(Curves!$BB$8:$BB$68,BI$4-$B174+1)</f>
        <v/>
      </c>
      <c r="BJ174" s="75">
        <f>$C174*INDEX(Curves!$BB$8:$BB$68,BJ$4-$B174+1)</f>
        <v/>
      </c>
      <c r="BK174" s="75">
        <f>$C174*INDEX(Curves!$BB$8:$BB$68,BK$4-$B174+1)</f>
        <v/>
      </c>
      <c r="BL174" s="75">
        <f>$C174*INDEX(Curves!$BB$8:$BB$68,BL$4-$B174+1)</f>
        <v/>
      </c>
    </row>
    <row r="175">
      <c r="A175" s="74" t="inlineStr">
        <is>
          <t>Cohort month 40</t>
        </is>
      </c>
      <c r="B175" s="74" t="n">
        <v>40</v>
      </c>
      <c r="C175" s="17">
        <f>INDEX(Ops!$E$110:$BL$110,1,$B175)</f>
        <v/>
      </c>
      <c r="AS175" s="75">
        <f>$C175*INDEX(Curves!$BB$8:$BB$68,AS$4-$B175+1)</f>
        <v/>
      </c>
      <c r="AT175" s="75">
        <f>$C175*INDEX(Curves!$BB$8:$BB$68,AT$4-$B175+1)</f>
        <v/>
      </c>
      <c r="AU175" s="75">
        <f>$C175*INDEX(Curves!$BB$8:$BB$68,AU$4-$B175+1)</f>
        <v/>
      </c>
      <c r="AV175" s="75">
        <f>$C175*INDEX(Curves!$BB$8:$BB$68,AV$4-$B175+1)</f>
        <v/>
      </c>
      <c r="AW175" s="75">
        <f>$C175*INDEX(Curves!$BB$8:$BB$68,AW$4-$B175+1)</f>
        <v/>
      </c>
      <c r="AX175" s="75">
        <f>$C175*INDEX(Curves!$BB$8:$BB$68,AX$4-$B175+1)</f>
        <v/>
      </c>
      <c r="AY175" s="75">
        <f>$C175*INDEX(Curves!$BB$8:$BB$68,AY$4-$B175+1)</f>
        <v/>
      </c>
      <c r="AZ175" s="75">
        <f>$C175*INDEX(Curves!$BB$8:$BB$68,AZ$4-$B175+1)</f>
        <v/>
      </c>
      <c r="BA175" s="75">
        <f>$C175*INDEX(Curves!$BB$8:$BB$68,BA$4-$B175+1)</f>
        <v/>
      </c>
      <c r="BB175" s="75">
        <f>$C175*INDEX(Curves!$BB$8:$BB$68,BB$4-$B175+1)</f>
        <v/>
      </c>
      <c r="BC175" s="75">
        <f>$C175*INDEX(Curves!$BB$8:$BB$68,BC$4-$B175+1)</f>
        <v/>
      </c>
      <c r="BD175" s="75">
        <f>$C175*INDEX(Curves!$BB$8:$BB$68,BD$4-$B175+1)</f>
        <v/>
      </c>
      <c r="BE175" s="75">
        <f>$C175*INDEX(Curves!$BB$8:$BB$68,BE$4-$B175+1)</f>
        <v/>
      </c>
      <c r="BF175" s="75">
        <f>$C175*INDEX(Curves!$BB$8:$BB$68,BF$4-$B175+1)</f>
        <v/>
      </c>
      <c r="BG175" s="75">
        <f>$C175*INDEX(Curves!$BB$8:$BB$68,BG$4-$B175+1)</f>
        <v/>
      </c>
      <c r="BH175" s="75">
        <f>$C175*INDEX(Curves!$BB$8:$BB$68,BH$4-$B175+1)</f>
        <v/>
      </c>
      <c r="BI175" s="75">
        <f>$C175*INDEX(Curves!$BB$8:$BB$68,BI$4-$B175+1)</f>
        <v/>
      </c>
      <c r="BJ175" s="75">
        <f>$C175*INDEX(Curves!$BB$8:$BB$68,BJ$4-$B175+1)</f>
        <v/>
      </c>
      <c r="BK175" s="75">
        <f>$C175*INDEX(Curves!$BB$8:$BB$68,BK$4-$B175+1)</f>
        <v/>
      </c>
      <c r="BL175" s="75">
        <f>$C175*INDEX(Curves!$BB$8:$BB$68,BL$4-$B175+1)</f>
        <v/>
      </c>
    </row>
    <row r="176">
      <c r="A176" s="74" t="inlineStr">
        <is>
          <t>Cohort month 41</t>
        </is>
      </c>
      <c r="B176" s="74" t="n">
        <v>41</v>
      </c>
      <c r="C176" s="17">
        <f>INDEX(Ops!$E$110:$BL$110,1,$B176)</f>
        <v/>
      </c>
      <c r="AT176" s="75">
        <f>$C176*INDEX(Curves!$BB$8:$BB$68,AT$4-$B176+1)</f>
        <v/>
      </c>
      <c r="AU176" s="75">
        <f>$C176*INDEX(Curves!$BB$8:$BB$68,AU$4-$B176+1)</f>
        <v/>
      </c>
      <c r="AV176" s="75">
        <f>$C176*INDEX(Curves!$BB$8:$BB$68,AV$4-$B176+1)</f>
        <v/>
      </c>
      <c r="AW176" s="75">
        <f>$C176*INDEX(Curves!$BB$8:$BB$68,AW$4-$B176+1)</f>
        <v/>
      </c>
      <c r="AX176" s="75">
        <f>$C176*INDEX(Curves!$BB$8:$BB$68,AX$4-$B176+1)</f>
        <v/>
      </c>
      <c r="AY176" s="75">
        <f>$C176*INDEX(Curves!$BB$8:$BB$68,AY$4-$B176+1)</f>
        <v/>
      </c>
      <c r="AZ176" s="75">
        <f>$C176*INDEX(Curves!$BB$8:$BB$68,AZ$4-$B176+1)</f>
        <v/>
      </c>
      <c r="BA176" s="75">
        <f>$C176*INDEX(Curves!$BB$8:$BB$68,BA$4-$B176+1)</f>
        <v/>
      </c>
      <c r="BB176" s="75">
        <f>$C176*INDEX(Curves!$BB$8:$BB$68,BB$4-$B176+1)</f>
        <v/>
      </c>
      <c r="BC176" s="75">
        <f>$C176*INDEX(Curves!$BB$8:$BB$68,BC$4-$B176+1)</f>
        <v/>
      </c>
      <c r="BD176" s="75">
        <f>$C176*INDEX(Curves!$BB$8:$BB$68,BD$4-$B176+1)</f>
        <v/>
      </c>
      <c r="BE176" s="75">
        <f>$C176*INDEX(Curves!$BB$8:$BB$68,BE$4-$B176+1)</f>
        <v/>
      </c>
      <c r="BF176" s="75">
        <f>$C176*INDEX(Curves!$BB$8:$BB$68,BF$4-$B176+1)</f>
        <v/>
      </c>
      <c r="BG176" s="75">
        <f>$C176*INDEX(Curves!$BB$8:$BB$68,BG$4-$B176+1)</f>
        <v/>
      </c>
      <c r="BH176" s="75">
        <f>$C176*INDEX(Curves!$BB$8:$BB$68,BH$4-$B176+1)</f>
        <v/>
      </c>
      <c r="BI176" s="75">
        <f>$C176*INDEX(Curves!$BB$8:$BB$68,BI$4-$B176+1)</f>
        <v/>
      </c>
      <c r="BJ176" s="75">
        <f>$C176*INDEX(Curves!$BB$8:$BB$68,BJ$4-$B176+1)</f>
        <v/>
      </c>
      <c r="BK176" s="75">
        <f>$C176*INDEX(Curves!$BB$8:$BB$68,BK$4-$B176+1)</f>
        <v/>
      </c>
      <c r="BL176" s="75">
        <f>$C176*INDEX(Curves!$BB$8:$BB$68,BL$4-$B176+1)</f>
        <v/>
      </c>
    </row>
    <row r="177">
      <c r="A177" s="74" t="inlineStr">
        <is>
          <t>Cohort month 42</t>
        </is>
      </c>
      <c r="B177" s="74" t="n">
        <v>42</v>
      </c>
      <c r="C177" s="17">
        <f>INDEX(Ops!$E$110:$BL$110,1,$B177)</f>
        <v/>
      </c>
      <c r="AU177" s="75">
        <f>$C177*INDEX(Curves!$BB$8:$BB$68,AU$4-$B177+1)</f>
        <v/>
      </c>
      <c r="AV177" s="75">
        <f>$C177*INDEX(Curves!$BB$8:$BB$68,AV$4-$B177+1)</f>
        <v/>
      </c>
      <c r="AW177" s="75">
        <f>$C177*INDEX(Curves!$BB$8:$BB$68,AW$4-$B177+1)</f>
        <v/>
      </c>
      <c r="AX177" s="75">
        <f>$C177*INDEX(Curves!$BB$8:$BB$68,AX$4-$B177+1)</f>
        <v/>
      </c>
      <c r="AY177" s="75">
        <f>$C177*INDEX(Curves!$BB$8:$BB$68,AY$4-$B177+1)</f>
        <v/>
      </c>
      <c r="AZ177" s="75">
        <f>$C177*INDEX(Curves!$BB$8:$BB$68,AZ$4-$B177+1)</f>
        <v/>
      </c>
      <c r="BA177" s="75">
        <f>$C177*INDEX(Curves!$BB$8:$BB$68,BA$4-$B177+1)</f>
        <v/>
      </c>
      <c r="BB177" s="75">
        <f>$C177*INDEX(Curves!$BB$8:$BB$68,BB$4-$B177+1)</f>
        <v/>
      </c>
      <c r="BC177" s="75">
        <f>$C177*INDEX(Curves!$BB$8:$BB$68,BC$4-$B177+1)</f>
        <v/>
      </c>
      <c r="BD177" s="75">
        <f>$C177*INDEX(Curves!$BB$8:$BB$68,BD$4-$B177+1)</f>
        <v/>
      </c>
      <c r="BE177" s="75">
        <f>$C177*INDEX(Curves!$BB$8:$BB$68,BE$4-$B177+1)</f>
        <v/>
      </c>
      <c r="BF177" s="75">
        <f>$C177*INDEX(Curves!$BB$8:$BB$68,BF$4-$B177+1)</f>
        <v/>
      </c>
      <c r="BG177" s="75">
        <f>$C177*INDEX(Curves!$BB$8:$BB$68,BG$4-$B177+1)</f>
        <v/>
      </c>
      <c r="BH177" s="75">
        <f>$C177*INDEX(Curves!$BB$8:$BB$68,BH$4-$B177+1)</f>
        <v/>
      </c>
      <c r="BI177" s="75">
        <f>$C177*INDEX(Curves!$BB$8:$BB$68,BI$4-$B177+1)</f>
        <v/>
      </c>
      <c r="BJ177" s="75">
        <f>$C177*INDEX(Curves!$BB$8:$BB$68,BJ$4-$B177+1)</f>
        <v/>
      </c>
      <c r="BK177" s="75">
        <f>$C177*INDEX(Curves!$BB$8:$BB$68,BK$4-$B177+1)</f>
        <v/>
      </c>
      <c r="BL177" s="75">
        <f>$C177*INDEX(Curves!$BB$8:$BB$68,BL$4-$B177+1)</f>
        <v/>
      </c>
    </row>
    <row r="178">
      <c r="A178" s="74" t="inlineStr">
        <is>
          <t>Cohort month 43</t>
        </is>
      </c>
      <c r="B178" s="74" t="n">
        <v>43</v>
      </c>
      <c r="C178" s="17">
        <f>INDEX(Ops!$E$110:$BL$110,1,$B178)</f>
        <v/>
      </c>
      <c r="AV178" s="75">
        <f>$C178*INDEX(Curves!$BB$8:$BB$68,AV$4-$B178+1)</f>
        <v/>
      </c>
      <c r="AW178" s="75">
        <f>$C178*INDEX(Curves!$BB$8:$BB$68,AW$4-$B178+1)</f>
        <v/>
      </c>
      <c r="AX178" s="75">
        <f>$C178*INDEX(Curves!$BB$8:$BB$68,AX$4-$B178+1)</f>
        <v/>
      </c>
      <c r="AY178" s="75">
        <f>$C178*INDEX(Curves!$BB$8:$BB$68,AY$4-$B178+1)</f>
        <v/>
      </c>
      <c r="AZ178" s="75">
        <f>$C178*INDEX(Curves!$BB$8:$BB$68,AZ$4-$B178+1)</f>
        <v/>
      </c>
      <c r="BA178" s="75">
        <f>$C178*INDEX(Curves!$BB$8:$BB$68,BA$4-$B178+1)</f>
        <v/>
      </c>
      <c r="BB178" s="75">
        <f>$C178*INDEX(Curves!$BB$8:$BB$68,BB$4-$B178+1)</f>
        <v/>
      </c>
      <c r="BC178" s="75">
        <f>$C178*INDEX(Curves!$BB$8:$BB$68,BC$4-$B178+1)</f>
        <v/>
      </c>
      <c r="BD178" s="75">
        <f>$C178*INDEX(Curves!$BB$8:$BB$68,BD$4-$B178+1)</f>
        <v/>
      </c>
      <c r="BE178" s="75">
        <f>$C178*INDEX(Curves!$BB$8:$BB$68,BE$4-$B178+1)</f>
        <v/>
      </c>
      <c r="BF178" s="75">
        <f>$C178*INDEX(Curves!$BB$8:$BB$68,BF$4-$B178+1)</f>
        <v/>
      </c>
      <c r="BG178" s="75">
        <f>$C178*INDEX(Curves!$BB$8:$BB$68,BG$4-$B178+1)</f>
        <v/>
      </c>
      <c r="BH178" s="75">
        <f>$C178*INDEX(Curves!$BB$8:$BB$68,BH$4-$B178+1)</f>
        <v/>
      </c>
      <c r="BI178" s="75">
        <f>$C178*INDEX(Curves!$BB$8:$BB$68,BI$4-$B178+1)</f>
        <v/>
      </c>
      <c r="BJ178" s="75">
        <f>$C178*INDEX(Curves!$BB$8:$BB$68,BJ$4-$B178+1)</f>
        <v/>
      </c>
      <c r="BK178" s="75">
        <f>$C178*INDEX(Curves!$BB$8:$BB$68,BK$4-$B178+1)</f>
        <v/>
      </c>
      <c r="BL178" s="75">
        <f>$C178*INDEX(Curves!$BB$8:$BB$68,BL$4-$B178+1)</f>
        <v/>
      </c>
    </row>
    <row r="179">
      <c r="A179" s="74" t="inlineStr">
        <is>
          <t>Cohort month 44</t>
        </is>
      </c>
      <c r="B179" s="74" t="n">
        <v>44</v>
      </c>
      <c r="C179" s="17">
        <f>INDEX(Ops!$E$110:$BL$110,1,$B179)</f>
        <v/>
      </c>
      <c r="AW179" s="75">
        <f>$C179*INDEX(Curves!$BB$8:$BB$68,AW$4-$B179+1)</f>
        <v/>
      </c>
      <c r="AX179" s="75">
        <f>$C179*INDEX(Curves!$BB$8:$BB$68,AX$4-$B179+1)</f>
        <v/>
      </c>
      <c r="AY179" s="75">
        <f>$C179*INDEX(Curves!$BB$8:$BB$68,AY$4-$B179+1)</f>
        <v/>
      </c>
      <c r="AZ179" s="75">
        <f>$C179*INDEX(Curves!$BB$8:$BB$68,AZ$4-$B179+1)</f>
        <v/>
      </c>
      <c r="BA179" s="75">
        <f>$C179*INDEX(Curves!$BB$8:$BB$68,BA$4-$B179+1)</f>
        <v/>
      </c>
      <c r="BB179" s="75">
        <f>$C179*INDEX(Curves!$BB$8:$BB$68,BB$4-$B179+1)</f>
        <v/>
      </c>
      <c r="BC179" s="75">
        <f>$C179*INDEX(Curves!$BB$8:$BB$68,BC$4-$B179+1)</f>
        <v/>
      </c>
      <c r="BD179" s="75">
        <f>$C179*INDEX(Curves!$BB$8:$BB$68,BD$4-$B179+1)</f>
        <v/>
      </c>
      <c r="BE179" s="75">
        <f>$C179*INDEX(Curves!$BB$8:$BB$68,BE$4-$B179+1)</f>
        <v/>
      </c>
      <c r="BF179" s="75">
        <f>$C179*INDEX(Curves!$BB$8:$BB$68,BF$4-$B179+1)</f>
        <v/>
      </c>
      <c r="BG179" s="75">
        <f>$C179*INDEX(Curves!$BB$8:$BB$68,BG$4-$B179+1)</f>
        <v/>
      </c>
      <c r="BH179" s="75">
        <f>$C179*INDEX(Curves!$BB$8:$BB$68,BH$4-$B179+1)</f>
        <v/>
      </c>
      <c r="BI179" s="75">
        <f>$C179*INDEX(Curves!$BB$8:$BB$68,BI$4-$B179+1)</f>
        <v/>
      </c>
      <c r="BJ179" s="75">
        <f>$C179*INDEX(Curves!$BB$8:$BB$68,BJ$4-$B179+1)</f>
        <v/>
      </c>
      <c r="BK179" s="75">
        <f>$C179*INDEX(Curves!$BB$8:$BB$68,BK$4-$B179+1)</f>
        <v/>
      </c>
      <c r="BL179" s="75">
        <f>$C179*INDEX(Curves!$BB$8:$BB$68,BL$4-$B179+1)</f>
        <v/>
      </c>
    </row>
    <row r="180">
      <c r="A180" s="74" t="inlineStr">
        <is>
          <t>Cohort month 45</t>
        </is>
      </c>
      <c r="B180" s="74" t="n">
        <v>45</v>
      </c>
      <c r="C180" s="17">
        <f>INDEX(Ops!$E$110:$BL$110,1,$B180)</f>
        <v/>
      </c>
      <c r="AX180" s="75">
        <f>$C180*INDEX(Curves!$BB$8:$BB$68,AX$4-$B180+1)</f>
        <v/>
      </c>
      <c r="AY180" s="75">
        <f>$C180*INDEX(Curves!$BB$8:$BB$68,AY$4-$B180+1)</f>
        <v/>
      </c>
      <c r="AZ180" s="75">
        <f>$C180*INDEX(Curves!$BB$8:$BB$68,AZ$4-$B180+1)</f>
        <v/>
      </c>
      <c r="BA180" s="75">
        <f>$C180*INDEX(Curves!$BB$8:$BB$68,BA$4-$B180+1)</f>
        <v/>
      </c>
      <c r="BB180" s="75">
        <f>$C180*INDEX(Curves!$BB$8:$BB$68,BB$4-$B180+1)</f>
        <v/>
      </c>
      <c r="BC180" s="75">
        <f>$C180*INDEX(Curves!$BB$8:$BB$68,BC$4-$B180+1)</f>
        <v/>
      </c>
      <c r="BD180" s="75">
        <f>$C180*INDEX(Curves!$BB$8:$BB$68,BD$4-$B180+1)</f>
        <v/>
      </c>
      <c r="BE180" s="75">
        <f>$C180*INDEX(Curves!$BB$8:$BB$68,BE$4-$B180+1)</f>
        <v/>
      </c>
      <c r="BF180" s="75">
        <f>$C180*INDEX(Curves!$BB$8:$BB$68,BF$4-$B180+1)</f>
        <v/>
      </c>
      <c r="BG180" s="75">
        <f>$C180*INDEX(Curves!$BB$8:$BB$68,BG$4-$B180+1)</f>
        <v/>
      </c>
      <c r="BH180" s="75">
        <f>$C180*INDEX(Curves!$BB$8:$BB$68,BH$4-$B180+1)</f>
        <v/>
      </c>
      <c r="BI180" s="75">
        <f>$C180*INDEX(Curves!$BB$8:$BB$68,BI$4-$B180+1)</f>
        <v/>
      </c>
      <c r="BJ180" s="75">
        <f>$C180*INDEX(Curves!$BB$8:$BB$68,BJ$4-$B180+1)</f>
        <v/>
      </c>
      <c r="BK180" s="75">
        <f>$C180*INDEX(Curves!$BB$8:$BB$68,BK$4-$B180+1)</f>
        <v/>
      </c>
      <c r="BL180" s="75">
        <f>$C180*INDEX(Curves!$BB$8:$BB$68,BL$4-$B180+1)</f>
        <v/>
      </c>
    </row>
    <row r="181">
      <c r="A181" s="74" t="inlineStr">
        <is>
          <t>Cohort month 46</t>
        </is>
      </c>
      <c r="B181" s="74" t="n">
        <v>46</v>
      </c>
      <c r="C181" s="17">
        <f>INDEX(Ops!$E$110:$BL$110,1,$B181)</f>
        <v/>
      </c>
      <c r="AY181" s="75">
        <f>$C181*INDEX(Curves!$BB$8:$BB$68,AY$4-$B181+1)</f>
        <v/>
      </c>
      <c r="AZ181" s="75">
        <f>$C181*INDEX(Curves!$BB$8:$BB$68,AZ$4-$B181+1)</f>
        <v/>
      </c>
      <c r="BA181" s="75">
        <f>$C181*INDEX(Curves!$BB$8:$BB$68,BA$4-$B181+1)</f>
        <v/>
      </c>
      <c r="BB181" s="75">
        <f>$C181*INDEX(Curves!$BB$8:$BB$68,BB$4-$B181+1)</f>
        <v/>
      </c>
      <c r="BC181" s="75">
        <f>$C181*INDEX(Curves!$BB$8:$BB$68,BC$4-$B181+1)</f>
        <v/>
      </c>
      <c r="BD181" s="75">
        <f>$C181*INDEX(Curves!$BB$8:$BB$68,BD$4-$B181+1)</f>
        <v/>
      </c>
      <c r="BE181" s="75">
        <f>$C181*INDEX(Curves!$BB$8:$BB$68,BE$4-$B181+1)</f>
        <v/>
      </c>
      <c r="BF181" s="75">
        <f>$C181*INDEX(Curves!$BB$8:$BB$68,BF$4-$B181+1)</f>
        <v/>
      </c>
      <c r="BG181" s="75">
        <f>$C181*INDEX(Curves!$BB$8:$BB$68,BG$4-$B181+1)</f>
        <v/>
      </c>
      <c r="BH181" s="75">
        <f>$C181*INDEX(Curves!$BB$8:$BB$68,BH$4-$B181+1)</f>
        <v/>
      </c>
      <c r="BI181" s="75">
        <f>$C181*INDEX(Curves!$BB$8:$BB$68,BI$4-$B181+1)</f>
        <v/>
      </c>
      <c r="BJ181" s="75">
        <f>$C181*INDEX(Curves!$BB$8:$BB$68,BJ$4-$B181+1)</f>
        <v/>
      </c>
      <c r="BK181" s="75">
        <f>$C181*INDEX(Curves!$BB$8:$BB$68,BK$4-$B181+1)</f>
        <v/>
      </c>
      <c r="BL181" s="75">
        <f>$C181*INDEX(Curves!$BB$8:$BB$68,BL$4-$B181+1)</f>
        <v/>
      </c>
    </row>
    <row r="182">
      <c r="A182" s="74" t="inlineStr">
        <is>
          <t>Cohort month 47</t>
        </is>
      </c>
      <c r="B182" s="74" t="n">
        <v>47</v>
      </c>
      <c r="C182" s="17">
        <f>INDEX(Ops!$E$110:$BL$110,1,$B182)</f>
        <v/>
      </c>
      <c r="AZ182" s="75">
        <f>$C182*INDEX(Curves!$BB$8:$BB$68,AZ$4-$B182+1)</f>
        <v/>
      </c>
      <c r="BA182" s="75">
        <f>$C182*INDEX(Curves!$BB$8:$BB$68,BA$4-$B182+1)</f>
        <v/>
      </c>
      <c r="BB182" s="75">
        <f>$C182*INDEX(Curves!$BB$8:$BB$68,BB$4-$B182+1)</f>
        <v/>
      </c>
      <c r="BC182" s="75">
        <f>$C182*INDEX(Curves!$BB$8:$BB$68,BC$4-$B182+1)</f>
        <v/>
      </c>
      <c r="BD182" s="75">
        <f>$C182*INDEX(Curves!$BB$8:$BB$68,BD$4-$B182+1)</f>
        <v/>
      </c>
      <c r="BE182" s="75">
        <f>$C182*INDEX(Curves!$BB$8:$BB$68,BE$4-$B182+1)</f>
        <v/>
      </c>
      <c r="BF182" s="75">
        <f>$C182*INDEX(Curves!$BB$8:$BB$68,BF$4-$B182+1)</f>
        <v/>
      </c>
      <c r="BG182" s="75">
        <f>$C182*INDEX(Curves!$BB$8:$BB$68,BG$4-$B182+1)</f>
        <v/>
      </c>
      <c r="BH182" s="75">
        <f>$C182*INDEX(Curves!$BB$8:$BB$68,BH$4-$B182+1)</f>
        <v/>
      </c>
      <c r="BI182" s="75">
        <f>$C182*INDEX(Curves!$BB$8:$BB$68,BI$4-$B182+1)</f>
        <v/>
      </c>
      <c r="BJ182" s="75">
        <f>$C182*INDEX(Curves!$BB$8:$BB$68,BJ$4-$B182+1)</f>
        <v/>
      </c>
      <c r="BK182" s="75">
        <f>$C182*INDEX(Curves!$BB$8:$BB$68,BK$4-$B182+1)</f>
        <v/>
      </c>
      <c r="BL182" s="75">
        <f>$C182*INDEX(Curves!$BB$8:$BB$68,BL$4-$B182+1)</f>
        <v/>
      </c>
    </row>
    <row r="183">
      <c r="A183" s="74" t="inlineStr">
        <is>
          <t>Cohort month 48</t>
        </is>
      </c>
      <c r="B183" s="74" t="n">
        <v>48</v>
      </c>
      <c r="C183" s="17">
        <f>INDEX(Ops!$E$110:$BL$110,1,$B183)</f>
        <v/>
      </c>
      <c r="BA183" s="75">
        <f>$C183*INDEX(Curves!$BB$8:$BB$68,BA$4-$B183+1)</f>
        <v/>
      </c>
      <c r="BB183" s="75">
        <f>$C183*INDEX(Curves!$BB$8:$BB$68,BB$4-$B183+1)</f>
        <v/>
      </c>
      <c r="BC183" s="75">
        <f>$C183*INDEX(Curves!$BB$8:$BB$68,BC$4-$B183+1)</f>
        <v/>
      </c>
      <c r="BD183" s="75">
        <f>$C183*INDEX(Curves!$BB$8:$BB$68,BD$4-$B183+1)</f>
        <v/>
      </c>
      <c r="BE183" s="75">
        <f>$C183*INDEX(Curves!$BB$8:$BB$68,BE$4-$B183+1)</f>
        <v/>
      </c>
      <c r="BF183" s="75">
        <f>$C183*INDEX(Curves!$BB$8:$BB$68,BF$4-$B183+1)</f>
        <v/>
      </c>
      <c r="BG183" s="75">
        <f>$C183*INDEX(Curves!$BB$8:$BB$68,BG$4-$B183+1)</f>
        <v/>
      </c>
      <c r="BH183" s="75">
        <f>$C183*INDEX(Curves!$BB$8:$BB$68,BH$4-$B183+1)</f>
        <v/>
      </c>
      <c r="BI183" s="75">
        <f>$C183*INDEX(Curves!$BB$8:$BB$68,BI$4-$B183+1)</f>
        <v/>
      </c>
      <c r="BJ183" s="75">
        <f>$C183*INDEX(Curves!$BB$8:$BB$68,BJ$4-$B183+1)</f>
        <v/>
      </c>
      <c r="BK183" s="75">
        <f>$C183*INDEX(Curves!$BB$8:$BB$68,BK$4-$B183+1)</f>
        <v/>
      </c>
      <c r="BL183" s="75">
        <f>$C183*INDEX(Curves!$BB$8:$BB$68,BL$4-$B183+1)</f>
        <v/>
      </c>
    </row>
    <row r="184">
      <c r="A184" s="74" t="inlineStr">
        <is>
          <t>Cohort month 49</t>
        </is>
      </c>
      <c r="B184" s="74" t="n">
        <v>49</v>
      </c>
      <c r="C184" s="17">
        <f>INDEX(Ops!$E$110:$BL$110,1,$B184)</f>
        <v/>
      </c>
      <c r="BB184" s="75">
        <f>$C184*INDEX(Curves!$BB$8:$BB$68,BB$4-$B184+1)</f>
        <v/>
      </c>
      <c r="BC184" s="75">
        <f>$C184*INDEX(Curves!$BB$8:$BB$68,BC$4-$B184+1)</f>
        <v/>
      </c>
      <c r="BD184" s="75">
        <f>$C184*INDEX(Curves!$BB$8:$BB$68,BD$4-$B184+1)</f>
        <v/>
      </c>
      <c r="BE184" s="75">
        <f>$C184*INDEX(Curves!$BB$8:$BB$68,BE$4-$B184+1)</f>
        <v/>
      </c>
      <c r="BF184" s="75">
        <f>$C184*INDEX(Curves!$BB$8:$BB$68,BF$4-$B184+1)</f>
        <v/>
      </c>
      <c r="BG184" s="75">
        <f>$C184*INDEX(Curves!$BB$8:$BB$68,BG$4-$B184+1)</f>
        <v/>
      </c>
      <c r="BH184" s="75">
        <f>$C184*INDEX(Curves!$BB$8:$BB$68,BH$4-$B184+1)</f>
        <v/>
      </c>
      <c r="BI184" s="75">
        <f>$C184*INDEX(Curves!$BB$8:$BB$68,BI$4-$B184+1)</f>
        <v/>
      </c>
      <c r="BJ184" s="75">
        <f>$C184*INDEX(Curves!$BB$8:$BB$68,BJ$4-$B184+1)</f>
        <v/>
      </c>
      <c r="BK184" s="75">
        <f>$C184*INDEX(Curves!$BB$8:$BB$68,BK$4-$B184+1)</f>
        <v/>
      </c>
      <c r="BL184" s="75">
        <f>$C184*INDEX(Curves!$BB$8:$BB$68,BL$4-$B184+1)</f>
        <v/>
      </c>
    </row>
    <row r="185">
      <c r="A185" s="74" t="inlineStr">
        <is>
          <t>Cohort month 50</t>
        </is>
      </c>
      <c r="B185" s="74" t="n">
        <v>50</v>
      </c>
      <c r="C185" s="17">
        <f>INDEX(Ops!$E$110:$BL$110,1,$B185)</f>
        <v/>
      </c>
      <c r="BC185" s="75">
        <f>$C185*INDEX(Curves!$BB$8:$BB$68,BC$4-$B185+1)</f>
        <v/>
      </c>
      <c r="BD185" s="75">
        <f>$C185*INDEX(Curves!$BB$8:$BB$68,BD$4-$B185+1)</f>
        <v/>
      </c>
      <c r="BE185" s="75">
        <f>$C185*INDEX(Curves!$BB$8:$BB$68,BE$4-$B185+1)</f>
        <v/>
      </c>
      <c r="BF185" s="75">
        <f>$C185*INDEX(Curves!$BB$8:$BB$68,BF$4-$B185+1)</f>
        <v/>
      </c>
      <c r="BG185" s="75">
        <f>$C185*INDEX(Curves!$BB$8:$BB$68,BG$4-$B185+1)</f>
        <v/>
      </c>
      <c r="BH185" s="75">
        <f>$C185*INDEX(Curves!$BB$8:$BB$68,BH$4-$B185+1)</f>
        <v/>
      </c>
      <c r="BI185" s="75">
        <f>$C185*INDEX(Curves!$BB$8:$BB$68,BI$4-$B185+1)</f>
        <v/>
      </c>
      <c r="BJ185" s="75">
        <f>$C185*INDEX(Curves!$BB$8:$BB$68,BJ$4-$B185+1)</f>
        <v/>
      </c>
      <c r="BK185" s="75">
        <f>$C185*INDEX(Curves!$BB$8:$BB$68,BK$4-$B185+1)</f>
        <v/>
      </c>
      <c r="BL185" s="75">
        <f>$C185*INDEX(Curves!$BB$8:$BB$68,BL$4-$B185+1)</f>
        <v/>
      </c>
    </row>
    <row r="186">
      <c r="A186" s="74" t="inlineStr">
        <is>
          <t>Cohort month 51</t>
        </is>
      </c>
      <c r="B186" s="74" t="n">
        <v>51</v>
      </c>
      <c r="C186" s="17">
        <f>INDEX(Ops!$E$110:$BL$110,1,$B186)</f>
        <v/>
      </c>
      <c r="BD186" s="75">
        <f>$C186*INDEX(Curves!$BB$8:$BB$68,BD$4-$B186+1)</f>
        <v/>
      </c>
      <c r="BE186" s="75">
        <f>$C186*INDEX(Curves!$BB$8:$BB$68,BE$4-$B186+1)</f>
        <v/>
      </c>
      <c r="BF186" s="75">
        <f>$C186*INDEX(Curves!$BB$8:$BB$68,BF$4-$B186+1)</f>
        <v/>
      </c>
      <c r="BG186" s="75">
        <f>$C186*INDEX(Curves!$BB$8:$BB$68,BG$4-$B186+1)</f>
        <v/>
      </c>
      <c r="BH186" s="75">
        <f>$C186*INDEX(Curves!$BB$8:$BB$68,BH$4-$B186+1)</f>
        <v/>
      </c>
      <c r="BI186" s="75">
        <f>$C186*INDEX(Curves!$BB$8:$BB$68,BI$4-$B186+1)</f>
        <v/>
      </c>
      <c r="BJ186" s="75">
        <f>$C186*INDEX(Curves!$BB$8:$BB$68,BJ$4-$B186+1)</f>
        <v/>
      </c>
      <c r="BK186" s="75">
        <f>$C186*INDEX(Curves!$BB$8:$BB$68,BK$4-$B186+1)</f>
        <v/>
      </c>
      <c r="BL186" s="75">
        <f>$C186*INDEX(Curves!$BB$8:$BB$68,BL$4-$B186+1)</f>
        <v/>
      </c>
    </row>
    <row r="187">
      <c r="A187" s="74" t="inlineStr">
        <is>
          <t>Cohort month 52</t>
        </is>
      </c>
      <c r="B187" s="74" t="n">
        <v>52</v>
      </c>
      <c r="C187" s="17">
        <f>INDEX(Ops!$E$110:$BL$110,1,$B187)</f>
        <v/>
      </c>
      <c r="BE187" s="75">
        <f>$C187*INDEX(Curves!$BB$8:$BB$68,BE$4-$B187+1)</f>
        <v/>
      </c>
      <c r="BF187" s="75">
        <f>$C187*INDEX(Curves!$BB$8:$BB$68,BF$4-$B187+1)</f>
        <v/>
      </c>
      <c r="BG187" s="75">
        <f>$C187*INDEX(Curves!$BB$8:$BB$68,BG$4-$B187+1)</f>
        <v/>
      </c>
      <c r="BH187" s="75">
        <f>$C187*INDEX(Curves!$BB$8:$BB$68,BH$4-$B187+1)</f>
        <v/>
      </c>
      <c r="BI187" s="75">
        <f>$C187*INDEX(Curves!$BB$8:$BB$68,BI$4-$B187+1)</f>
        <v/>
      </c>
      <c r="BJ187" s="75">
        <f>$C187*INDEX(Curves!$BB$8:$BB$68,BJ$4-$B187+1)</f>
        <v/>
      </c>
      <c r="BK187" s="75">
        <f>$C187*INDEX(Curves!$BB$8:$BB$68,BK$4-$B187+1)</f>
        <v/>
      </c>
      <c r="BL187" s="75">
        <f>$C187*INDEX(Curves!$BB$8:$BB$68,BL$4-$B187+1)</f>
        <v/>
      </c>
    </row>
    <row r="188">
      <c r="A188" s="74" t="inlineStr">
        <is>
          <t>Cohort month 53</t>
        </is>
      </c>
      <c r="B188" s="74" t="n">
        <v>53</v>
      </c>
      <c r="C188" s="17">
        <f>INDEX(Ops!$E$110:$BL$110,1,$B188)</f>
        <v/>
      </c>
      <c r="BF188" s="75">
        <f>$C188*INDEX(Curves!$BB$8:$BB$68,BF$4-$B188+1)</f>
        <v/>
      </c>
      <c r="BG188" s="75">
        <f>$C188*INDEX(Curves!$BB$8:$BB$68,BG$4-$B188+1)</f>
        <v/>
      </c>
      <c r="BH188" s="75">
        <f>$C188*INDEX(Curves!$BB$8:$BB$68,BH$4-$B188+1)</f>
        <v/>
      </c>
      <c r="BI188" s="75">
        <f>$C188*INDEX(Curves!$BB$8:$BB$68,BI$4-$B188+1)</f>
        <v/>
      </c>
      <c r="BJ188" s="75">
        <f>$C188*INDEX(Curves!$BB$8:$BB$68,BJ$4-$B188+1)</f>
        <v/>
      </c>
      <c r="BK188" s="75">
        <f>$C188*INDEX(Curves!$BB$8:$BB$68,BK$4-$B188+1)</f>
        <v/>
      </c>
      <c r="BL188" s="75">
        <f>$C188*INDEX(Curves!$BB$8:$BB$68,BL$4-$B188+1)</f>
        <v/>
      </c>
    </row>
    <row r="189">
      <c r="A189" s="74" t="inlineStr">
        <is>
          <t>Cohort month 54</t>
        </is>
      </c>
      <c r="B189" s="74" t="n">
        <v>54</v>
      </c>
      <c r="C189" s="17">
        <f>INDEX(Ops!$E$110:$BL$110,1,$B189)</f>
        <v/>
      </c>
      <c r="BG189" s="75">
        <f>$C189*INDEX(Curves!$BB$8:$BB$68,BG$4-$B189+1)</f>
        <v/>
      </c>
      <c r="BH189" s="75">
        <f>$C189*INDEX(Curves!$BB$8:$BB$68,BH$4-$B189+1)</f>
        <v/>
      </c>
      <c r="BI189" s="75">
        <f>$C189*INDEX(Curves!$BB$8:$BB$68,BI$4-$B189+1)</f>
        <v/>
      </c>
      <c r="BJ189" s="75">
        <f>$C189*INDEX(Curves!$BB$8:$BB$68,BJ$4-$B189+1)</f>
        <v/>
      </c>
      <c r="BK189" s="75">
        <f>$C189*INDEX(Curves!$BB$8:$BB$68,BK$4-$B189+1)</f>
        <v/>
      </c>
      <c r="BL189" s="75">
        <f>$C189*INDEX(Curves!$BB$8:$BB$68,BL$4-$B189+1)</f>
        <v/>
      </c>
    </row>
    <row r="190">
      <c r="A190" s="74" t="inlineStr">
        <is>
          <t>Cohort month 55</t>
        </is>
      </c>
      <c r="B190" s="74" t="n">
        <v>55</v>
      </c>
      <c r="C190" s="17">
        <f>INDEX(Ops!$E$110:$BL$110,1,$B190)</f>
        <v/>
      </c>
      <c r="BH190" s="75">
        <f>$C190*INDEX(Curves!$BB$8:$BB$68,BH$4-$B190+1)</f>
        <v/>
      </c>
      <c r="BI190" s="75">
        <f>$C190*INDEX(Curves!$BB$8:$BB$68,BI$4-$B190+1)</f>
        <v/>
      </c>
      <c r="BJ190" s="75">
        <f>$C190*INDEX(Curves!$BB$8:$BB$68,BJ$4-$B190+1)</f>
        <v/>
      </c>
      <c r="BK190" s="75">
        <f>$C190*INDEX(Curves!$BB$8:$BB$68,BK$4-$B190+1)</f>
        <v/>
      </c>
      <c r="BL190" s="75">
        <f>$C190*INDEX(Curves!$BB$8:$BB$68,BL$4-$B190+1)</f>
        <v/>
      </c>
    </row>
    <row r="191">
      <c r="A191" s="74" t="inlineStr">
        <is>
          <t>Cohort month 56</t>
        </is>
      </c>
      <c r="B191" s="74" t="n">
        <v>56</v>
      </c>
      <c r="C191" s="17">
        <f>INDEX(Ops!$E$110:$BL$110,1,$B191)</f>
        <v/>
      </c>
      <c r="BI191" s="75">
        <f>$C191*INDEX(Curves!$BB$8:$BB$68,BI$4-$B191+1)</f>
        <v/>
      </c>
      <c r="BJ191" s="75">
        <f>$C191*INDEX(Curves!$BB$8:$BB$68,BJ$4-$B191+1)</f>
        <v/>
      </c>
      <c r="BK191" s="75">
        <f>$C191*INDEX(Curves!$BB$8:$BB$68,BK$4-$B191+1)</f>
        <v/>
      </c>
      <c r="BL191" s="75">
        <f>$C191*INDEX(Curves!$BB$8:$BB$68,BL$4-$B191+1)</f>
        <v/>
      </c>
    </row>
    <row r="192">
      <c r="A192" s="74" t="inlineStr">
        <is>
          <t>Cohort month 57</t>
        </is>
      </c>
      <c r="B192" s="74" t="n">
        <v>57</v>
      </c>
      <c r="C192" s="17">
        <f>INDEX(Ops!$E$110:$BL$110,1,$B192)</f>
        <v/>
      </c>
      <c r="BJ192" s="75">
        <f>$C192*INDEX(Curves!$BB$8:$BB$68,BJ$4-$B192+1)</f>
        <v/>
      </c>
      <c r="BK192" s="75">
        <f>$C192*INDEX(Curves!$BB$8:$BB$68,BK$4-$B192+1)</f>
        <v/>
      </c>
      <c r="BL192" s="75">
        <f>$C192*INDEX(Curves!$BB$8:$BB$68,BL$4-$B192+1)</f>
        <v/>
      </c>
    </row>
    <row r="193">
      <c r="A193" s="74" t="inlineStr">
        <is>
          <t>Cohort month 58</t>
        </is>
      </c>
      <c r="B193" s="74" t="n">
        <v>58</v>
      </c>
      <c r="C193" s="17">
        <f>INDEX(Ops!$E$110:$BL$110,1,$B193)</f>
        <v/>
      </c>
      <c r="BK193" s="75">
        <f>$C193*INDEX(Curves!$BB$8:$BB$68,BK$4-$B193+1)</f>
        <v/>
      </c>
      <c r="BL193" s="75">
        <f>$C193*INDEX(Curves!$BB$8:$BB$68,BL$4-$B193+1)</f>
        <v/>
      </c>
    </row>
    <row r="194">
      <c r="A194" s="74" t="inlineStr">
        <is>
          <t>Cohort month 59</t>
        </is>
      </c>
      <c r="B194" s="74" t="n">
        <v>59</v>
      </c>
      <c r="C194" s="17">
        <f>INDEX(Ops!$E$110:$BL$110,1,$B194)</f>
        <v/>
      </c>
      <c r="BL194" s="75">
        <f>$C194*INDEX(Curves!$BB$8:$BB$68,BL$4-$B194+1)</f>
        <v/>
      </c>
    </row>
    <row r="195">
      <c r="A195" s="74" t="inlineStr">
        <is>
          <t>Cohort month 60</t>
        </is>
      </c>
      <c r="B195" s="74" t="n">
        <v>60</v>
      </c>
      <c r="C195" s="17">
        <f>INDEX(Ops!$E$110:$BL$110,1,$B195)</f>
        <v/>
      </c>
    </row>
    <row r="196"/>
    <row r="197">
      <c r="A197" s="14" t="inlineStr">
        <is>
          <t>Recoveries by cohort (LCY)</t>
        </is>
      </c>
      <c r="B197" s="15" t="n"/>
      <c r="C197" s="15" t="n"/>
      <c r="D197" s="15" t="n"/>
      <c r="E197" s="15" t="n"/>
      <c r="F197" s="15" t="n"/>
      <c r="G197" s="15" t="n"/>
      <c r="H197" s="15" t="n"/>
      <c r="I197" s="15" t="n"/>
      <c r="J197" s="15" t="n"/>
      <c r="K197" s="15" t="n"/>
      <c r="L197" s="15" t="n"/>
      <c r="M197" s="15" t="n"/>
      <c r="N197" s="15" t="n"/>
      <c r="O197" s="15" t="n"/>
      <c r="P197" s="15" t="n"/>
      <c r="Q197" s="15" t="n"/>
      <c r="R197" s="15" t="n"/>
      <c r="S197" s="15" t="n"/>
      <c r="T197" s="15" t="n"/>
      <c r="U197" s="15" t="n"/>
      <c r="V197" s="15" t="n"/>
      <c r="W197" s="15" t="n"/>
      <c r="X197" s="15" t="n"/>
      <c r="Y197" s="15" t="n"/>
      <c r="Z197" s="15" t="n"/>
      <c r="AA197" s="15" t="n"/>
      <c r="AB197" s="15" t="n"/>
      <c r="AC197" s="15" t="n"/>
      <c r="AD197" s="15" t="n"/>
      <c r="AE197" s="15" t="n"/>
      <c r="AF197" s="15" t="n"/>
      <c r="AG197" s="15" t="n"/>
      <c r="AH197" s="15" t="n"/>
      <c r="AI197" s="15" t="n"/>
      <c r="AJ197" s="15" t="n"/>
      <c r="AK197" s="15" t="n"/>
      <c r="AL197" s="15" t="n"/>
      <c r="AM197" s="15" t="n"/>
      <c r="AN197" s="15" t="n"/>
      <c r="AO197" s="15" t="n"/>
      <c r="AP197" s="15" t="n"/>
      <c r="AQ197" s="15" t="n"/>
      <c r="AR197" s="15" t="n"/>
      <c r="AS197" s="15" t="n"/>
      <c r="AT197" s="15" t="n"/>
      <c r="AU197" s="15" t="n"/>
      <c r="AV197" s="15" t="n"/>
      <c r="AW197" s="15" t="n"/>
      <c r="AX197" s="15" t="n"/>
      <c r="AY197" s="15" t="n"/>
      <c r="AZ197" s="15" t="n"/>
      <c r="BA197" s="15" t="n"/>
      <c r="BB197" s="15" t="n"/>
      <c r="BC197" s="15" t="n"/>
      <c r="BD197" s="15" t="n"/>
      <c r="BE197" s="15" t="n"/>
      <c r="BF197" s="15" t="n"/>
      <c r="BG197" s="15" t="n"/>
      <c r="BH197" s="15" t="n"/>
      <c r="BI197" s="15" t="n"/>
      <c r="BJ197" s="15" t="n"/>
      <c r="BK197" s="15" t="n"/>
      <c r="BL197" s="15" t="n"/>
    </row>
    <row r="198">
      <c r="A198" s="60" t="inlineStr">
        <is>
          <t>Total</t>
        </is>
      </c>
      <c r="B198" s="61" t="inlineStr"/>
      <c r="C198" s="63" t="n"/>
      <c r="D198" s="63" t="n"/>
      <c r="E198" s="71">
        <f>SUM(E199:E258)</f>
        <v/>
      </c>
      <c r="F198" s="71">
        <f>SUM(F199:F258)</f>
        <v/>
      </c>
      <c r="G198" s="71">
        <f>SUM(G199:G258)</f>
        <v/>
      </c>
      <c r="H198" s="71">
        <f>SUM(H199:H258)</f>
        <v/>
      </c>
      <c r="I198" s="71">
        <f>SUM(I199:I258)</f>
        <v/>
      </c>
      <c r="J198" s="71">
        <f>SUM(J199:J258)</f>
        <v/>
      </c>
      <c r="K198" s="71">
        <f>SUM(K199:K258)</f>
        <v/>
      </c>
      <c r="L198" s="71">
        <f>SUM(L199:L258)</f>
        <v/>
      </c>
      <c r="M198" s="71">
        <f>SUM(M199:M258)</f>
        <v/>
      </c>
      <c r="N198" s="71">
        <f>SUM(N199:N258)</f>
        <v/>
      </c>
      <c r="O198" s="71">
        <f>SUM(O199:O258)</f>
        <v/>
      </c>
      <c r="P198" s="71">
        <f>SUM(P199:P258)</f>
        <v/>
      </c>
      <c r="Q198" s="71">
        <f>SUM(Q199:Q258)</f>
        <v/>
      </c>
      <c r="R198" s="71">
        <f>SUM(R199:R258)</f>
        <v/>
      </c>
      <c r="S198" s="71">
        <f>SUM(S199:S258)</f>
        <v/>
      </c>
      <c r="T198" s="71">
        <f>SUM(T199:T258)</f>
        <v/>
      </c>
      <c r="U198" s="71">
        <f>SUM(U199:U258)</f>
        <v/>
      </c>
      <c r="V198" s="71">
        <f>SUM(V199:V258)</f>
        <v/>
      </c>
      <c r="W198" s="71">
        <f>SUM(W199:W258)</f>
        <v/>
      </c>
      <c r="X198" s="71">
        <f>SUM(X199:X258)</f>
        <v/>
      </c>
      <c r="Y198" s="71">
        <f>SUM(Y199:Y258)</f>
        <v/>
      </c>
      <c r="Z198" s="71">
        <f>SUM(Z199:Z258)</f>
        <v/>
      </c>
      <c r="AA198" s="71">
        <f>SUM(AA199:AA258)</f>
        <v/>
      </c>
      <c r="AB198" s="71">
        <f>SUM(AB199:AB258)</f>
        <v/>
      </c>
      <c r="AC198" s="71">
        <f>SUM(AC199:AC258)</f>
        <v/>
      </c>
      <c r="AD198" s="71">
        <f>SUM(AD199:AD258)</f>
        <v/>
      </c>
      <c r="AE198" s="71">
        <f>SUM(AE199:AE258)</f>
        <v/>
      </c>
      <c r="AF198" s="71">
        <f>SUM(AF199:AF258)</f>
        <v/>
      </c>
      <c r="AG198" s="71">
        <f>SUM(AG199:AG258)</f>
        <v/>
      </c>
      <c r="AH198" s="71">
        <f>SUM(AH199:AH258)</f>
        <v/>
      </c>
      <c r="AI198" s="71">
        <f>SUM(AI199:AI258)</f>
        <v/>
      </c>
      <c r="AJ198" s="71">
        <f>SUM(AJ199:AJ258)</f>
        <v/>
      </c>
      <c r="AK198" s="71">
        <f>SUM(AK199:AK258)</f>
        <v/>
      </c>
      <c r="AL198" s="71">
        <f>SUM(AL199:AL258)</f>
        <v/>
      </c>
      <c r="AM198" s="71">
        <f>SUM(AM199:AM258)</f>
        <v/>
      </c>
      <c r="AN198" s="71">
        <f>SUM(AN199:AN258)</f>
        <v/>
      </c>
      <c r="AO198" s="71">
        <f>SUM(AO199:AO258)</f>
        <v/>
      </c>
      <c r="AP198" s="71">
        <f>SUM(AP199:AP258)</f>
        <v/>
      </c>
      <c r="AQ198" s="71">
        <f>SUM(AQ199:AQ258)</f>
        <v/>
      </c>
      <c r="AR198" s="71">
        <f>SUM(AR199:AR258)</f>
        <v/>
      </c>
      <c r="AS198" s="71">
        <f>SUM(AS199:AS258)</f>
        <v/>
      </c>
      <c r="AT198" s="71">
        <f>SUM(AT199:AT258)</f>
        <v/>
      </c>
      <c r="AU198" s="71">
        <f>SUM(AU199:AU258)</f>
        <v/>
      </c>
      <c r="AV198" s="71">
        <f>SUM(AV199:AV258)</f>
        <v/>
      </c>
      <c r="AW198" s="71">
        <f>SUM(AW199:AW258)</f>
        <v/>
      </c>
      <c r="AX198" s="71">
        <f>SUM(AX199:AX258)</f>
        <v/>
      </c>
      <c r="AY198" s="71">
        <f>SUM(AY199:AY258)</f>
        <v/>
      </c>
      <c r="AZ198" s="71">
        <f>SUM(AZ199:AZ258)</f>
        <v/>
      </c>
      <c r="BA198" s="71">
        <f>SUM(BA199:BA258)</f>
        <v/>
      </c>
      <c r="BB198" s="71">
        <f>SUM(BB199:BB258)</f>
        <v/>
      </c>
      <c r="BC198" s="71">
        <f>SUM(BC199:BC258)</f>
        <v/>
      </c>
      <c r="BD198" s="71">
        <f>SUM(BD199:BD258)</f>
        <v/>
      </c>
      <c r="BE198" s="71">
        <f>SUM(BE199:BE258)</f>
        <v/>
      </c>
      <c r="BF198" s="71">
        <f>SUM(BF199:BF258)</f>
        <v/>
      </c>
      <c r="BG198" s="71">
        <f>SUM(BG199:BG258)</f>
        <v/>
      </c>
      <c r="BH198" s="71">
        <f>SUM(BH199:BH258)</f>
        <v/>
      </c>
      <c r="BI198" s="71">
        <f>SUM(BI199:BI258)</f>
        <v/>
      </c>
      <c r="BJ198" s="71">
        <f>SUM(BJ199:BJ258)</f>
        <v/>
      </c>
      <c r="BK198" s="71">
        <f>SUM(BK199:BK258)</f>
        <v/>
      </c>
      <c r="BL198" s="71">
        <f>SUM(BL199:BL258)</f>
        <v/>
      </c>
    </row>
    <row r="199">
      <c r="A199" s="74" t="inlineStr">
        <is>
          <t>Cohort month 1</t>
        </is>
      </c>
      <c r="B199" s="74" t="n">
        <v>1</v>
      </c>
      <c r="C199" s="17">
        <f>INDEX(Ops!$E$110:$BL$110,1,$B199)</f>
        <v/>
      </c>
      <c r="F199" s="75">
        <f>$C199*INDEX(Curves!$BE$8:$BE$68,F$4-$B199+1)</f>
        <v/>
      </c>
      <c r="G199" s="75">
        <f>$C199*INDEX(Curves!$BE$8:$BE$68,G$4-$B199+1)</f>
        <v/>
      </c>
      <c r="H199" s="75">
        <f>$C199*INDEX(Curves!$BE$8:$BE$68,H$4-$B199+1)</f>
        <v/>
      </c>
      <c r="I199" s="75">
        <f>$C199*INDEX(Curves!$BE$8:$BE$68,I$4-$B199+1)</f>
        <v/>
      </c>
      <c r="J199" s="75">
        <f>$C199*INDEX(Curves!$BE$8:$BE$68,J$4-$B199+1)</f>
        <v/>
      </c>
      <c r="K199" s="75">
        <f>$C199*INDEX(Curves!$BE$8:$BE$68,K$4-$B199+1)</f>
        <v/>
      </c>
      <c r="L199" s="75">
        <f>$C199*INDEX(Curves!$BE$8:$BE$68,L$4-$B199+1)</f>
        <v/>
      </c>
      <c r="M199" s="75">
        <f>$C199*INDEX(Curves!$BE$8:$BE$68,M$4-$B199+1)</f>
        <v/>
      </c>
      <c r="N199" s="75">
        <f>$C199*INDEX(Curves!$BE$8:$BE$68,N$4-$B199+1)</f>
        <v/>
      </c>
      <c r="O199" s="75">
        <f>$C199*INDEX(Curves!$BE$8:$BE$68,O$4-$B199+1)</f>
        <v/>
      </c>
      <c r="P199" s="75">
        <f>$C199*INDEX(Curves!$BE$8:$BE$68,P$4-$B199+1)</f>
        <v/>
      </c>
      <c r="Q199" s="75">
        <f>$C199*INDEX(Curves!$BE$8:$BE$68,Q$4-$B199+1)</f>
        <v/>
      </c>
      <c r="R199" s="75">
        <f>$C199*INDEX(Curves!$BE$8:$BE$68,R$4-$B199+1)</f>
        <v/>
      </c>
      <c r="S199" s="75">
        <f>$C199*INDEX(Curves!$BE$8:$BE$68,S$4-$B199+1)</f>
        <v/>
      </c>
      <c r="T199" s="75">
        <f>$C199*INDEX(Curves!$BE$8:$BE$68,T$4-$B199+1)</f>
        <v/>
      </c>
      <c r="U199" s="75">
        <f>$C199*INDEX(Curves!$BE$8:$BE$68,U$4-$B199+1)</f>
        <v/>
      </c>
      <c r="V199" s="75">
        <f>$C199*INDEX(Curves!$BE$8:$BE$68,V$4-$B199+1)</f>
        <v/>
      </c>
      <c r="W199" s="75">
        <f>$C199*INDEX(Curves!$BE$8:$BE$68,W$4-$B199+1)</f>
        <v/>
      </c>
      <c r="X199" s="75">
        <f>$C199*INDEX(Curves!$BE$8:$BE$68,X$4-$B199+1)</f>
        <v/>
      </c>
      <c r="Y199" s="75">
        <f>$C199*INDEX(Curves!$BE$8:$BE$68,Y$4-$B199+1)</f>
        <v/>
      </c>
      <c r="Z199" s="75">
        <f>$C199*INDEX(Curves!$BE$8:$BE$68,Z$4-$B199+1)</f>
        <v/>
      </c>
      <c r="AA199" s="75">
        <f>$C199*INDEX(Curves!$BE$8:$BE$68,AA$4-$B199+1)</f>
        <v/>
      </c>
      <c r="AB199" s="75">
        <f>$C199*INDEX(Curves!$BE$8:$BE$68,AB$4-$B199+1)</f>
        <v/>
      </c>
      <c r="AC199" s="75">
        <f>$C199*INDEX(Curves!$BE$8:$BE$68,AC$4-$B199+1)</f>
        <v/>
      </c>
      <c r="AD199" s="75">
        <f>$C199*INDEX(Curves!$BE$8:$BE$68,AD$4-$B199+1)</f>
        <v/>
      </c>
      <c r="AE199" s="75">
        <f>$C199*INDEX(Curves!$BE$8:$BE$68,AE$4-$B199+1)</f>
        <v/>
      </c>
      <c r="AF199" s="75">
        <f>$C199*INDEX(Curves!$BE$8:$BE$68,AF$4-$B199+1)</f>
        <v/>
      </c>
      <c r="AG199" s="75">
        <f>$C199*INDEX(Curves!$BE$8:$BE$68,AG$4-$B199+1)</f>
        <v/>
      </c>
      <c r="AH199" s="75">
        <f>$C199*INDEX(Curves!$BE$8:$BE$68,AH$4-$B199+1)</f>
        <v/>
      </c>
      <c r="AI199" s="75">
        <f>$C199*INDEX(Curves!$BE$8:$BE$68,AI$4-$B199+1)</f>
        <v/>
      </c>
      <c r="AJ199" s="75">
        <f>$C199*INDEX(Curves!$BE$8:$BE$68,AJ$4-$B199+1)</f>
        <v/>
      </c>
      <c r="AK199" s="75">
        <f>$C199*INDEX(Curves!$BE$8:$BE$68,AK$4-$B199+1)</f>
        <v/>
      </c>
      <c r="AL199" s="75">
        <f>$C199*INDEX(Curves!$BE$8:$BE$68,AL$4-$B199+1)</f>
        <v/>
      </c>
      <c r="AM199" s="75">
        <f>$C199*INDEX(Curves!$BE$8:$BE$68,AM$4-$B199+1)</f>
        <v/>
      </c>
      <c r="AN199" s="75">
        <f>$C199*INDEX(Curves!$BE$8:$BE$68,AN$4-$B199+1)</f>
        <v/>
      </c>
      <c r="AO199" s="75">
        <f>$C199*INDEX(Curves!$BE$8:$BE$68,AO$4-$B199+1)</f>
        <v/>
      </c>
      <c r="AP199" s="75">
        <f>$C199*INDEX(Curves!$BE$8:$BE$68,AP$4-$B199+1)</f>
        <v/>
      </c>
      <c r="AQ199" s="75">
        <f>$C199*INDEX(Curves!$BE$8:$BE$68,AQ$4-$B199+1)</f>
        <v/>
      </c>
      <c r="AR199" s="75">
        <f>$C199*INDEX(Curves!$BE$8:$BE$68,AR$4-$B199+1)</f>
        <v/>
      </c>
      <c r="AS199" s="75">
        <f>$C199*INDEX(Curves!$BE$8:$BE$68,AS$4-$B199+1)</f>
        <v/>
      </c>
      <c r="AT199" s="75">
        <f>$C199*INDEX(Curves!$BE$8:$BE$68,AT$4-$B199+1)</f>
        <v/>
      </c>
      <c r="AU199" s="75">
        <f>$C199*INDEX(Curves!$BE$8:$BE$68,AU$4-$B199+1)</f>
        <v/>
      </c>
      <c r="AV199" s="75">
        <f>$C199*INDEX(Curves!$BE$8:$BE$68,AV$4-$B199+1)</f>
        <v/>
      </c>
      <c r="AW199" s="75">
        <f>$C199*INDEX(Curves!$BE$8:$BE$68,AW$4-$B199+1)</f>
        <v/>
      </c>
      <c r="AX199" s="75">
        <f>$C199*INDEX(Curves!$BE$8:$BE$68,AX$4-$B199+1)</f>
        <v/>
      </c>
      <c r="AY199" s="75">
        <f>$C199*INDEX(Curves!$BE$8:$BE$68,AY$4-$B199+1)</f>
        <v/>
      </c>
      <c r="AZ199" s="75">
        <f>$C199*INDEX(Curves!$BE$8:$BE$68,AZ$4-$B199+1)</f>
        <v/>
      </c>
      <c r="BA199" s="75">
        <f>$C199*INDEX(Curves!$BE$8:$BE$68,BA$4-$B199+1)</f>
        <v/>
      </c>
      <c r="BB199" s="75">
        <f>$C199*INDEX(Curves!$BE$8:$BE$68,BB$4-$B199+1)</f>
        <v/>
      </c>
      <c r="BC199" s="75">
        <f>$C199*INDEX(Curves!$BE$8:$BE$68,BC$4-$B199+1)</f>
        <v/>
      </c>
      <c r="BD199" s="75">
        <f>$C199*INDEX(Curves!$BE$8:$BE$68,BD$4-$B199+1)</f>
        <v/>
      </c>
      <c r="BE199" s="75">
        <f>$C199*INDEX(Curves!$BE$8:$BE$68,BE$4-$B199+1)</f>
        <v/>
      </c>
      <c r="BF199" s="75">
        <f>$C199*INDEX(Curves!$BE$8:$BE$68,BF$4-$B199+1)</f>
        <v/>
      </c>
      <c r="BG199" s="75">
        <f>$C199*INDEX(Curves!$BE$8:$BE$68,BG$4-$B199+1)</f>
        <v/>
      </c>
      <c r="BH199" s="75">
        <f>$C199*INDEX(Curves!$BE$8:$BE$68,BH$4-$B199+1)</f>
        <v/>
      </c>
      <c r="BI199" s="75">
        <f>$C199*INDEX(Curves!$BE$8:$BE$68,BI$4-$B199+1)</f>
        <v/>
      </c>
      <c r="BJ199" s="75">
        <f>$C199*INDEX(Curves!$BE$8:$BE$68,BJ$4-$B199+1)</f>
        <v/>
      </c>
      <c r="BK199" s="75">
        <f>$C199*INDEX(Curves!$BE$8:$BE$68,BK$4-$B199+1)</f>
        <v/>
      </c>
      <c r="BL199" s="75">
        <f>$C199*INDEX(Curves!$BE$8:$BE$68,BL$4-$B199+1)</f>
        <v/>
      </c>
    </row>
    <row r="200">
      <c r="A200" s="74" t="inlineStr">
        <is>
          <t>Cohort month 2</t>
        </is>
      </c>
      <c r="B200" s="74" t="n">
        <v>2</v>
      </c>
      <c r="C200" s="17">
        <f>INDEX(Ops!$E$110:$BL$110,1,$B200)</f>
        <v/>
      </c>
      <c r="G200" s="75">
        <f>$C200*INDEX(Curves!$BE$8:$BE$68,G$4-$B200+1)</f>
        <v/>
      </c>
      <c r="H200" s="75">
        <f>$C200*INDEX(Curves!$BE$8:$BE$68,H$4-$B200+1)</f>
        <v/>
      </c>
      <c r="I200" s="75">
        <f>$C200*INDEX(Curves!$BE$8:$BE$68,I$4-$B200+1)</f>
        <v/>
      </c>
      <c r="J200" s="75">
        <f>$C200*INDEX(Curves!$BE$8:$BE$68,J$4-$B200+1)</f>
        <v/>
      </c>
      <c r="K200" s="75">
        <f>$C200*INDEX(Curves!$BE$8:$BE$68,K$4-$B200+1)</f>
        <v/>
      </c>
      <c r="L200" s="75">
        <f>$C200*INDEX(Curves!$BE$8:$BE$68,L$4-$B200+1)</f>
        <v/>
      </c>
      <c r="M200" s="75">
        <f>$C200*INDEX(Curves!$BE$8:$BE$68,M$4-$B200+1)</f>
        <v/>
      </c>
      <c r="N200" s="75">
        <f>$C200*INDEX(Curves!$BE$8:$BE$68,N$4-$B200+1)</f>
        <v/>
      </c>
      <c r="O200" s="75">
        <f>$C200*INDEX(Curves!$BE$8:$BE$68,O$4-$B200+1)</f>
        <v/>
      </c>
      <c r="P200" s="75">
        <f>$C200*INDEX(Curves!$BE$8:$BE$68,P$4-$B200+1)</f>
        <v/>
      </c>
      <c r="Q200" s="75">
        <f>$C200*INDEX(Curves!$BE$8:$BE$68,Q$4-$B200+1)</f>
        <v/>
      </c>
      <c r="R200" s="75">
        <f>$C200*INDEX(Curves!$BE$8:$BE$68,R$4-$B200+1)</f>
        <v/>
      </c>
      <c r="S200" s="75">
        <f>$C200*INDEX(Curves!$BE$8:$BE$68,S$4-$B200+1)</f>
        <v/>
      </c>
      <c r="T200" s="75">
        <f>$C200*INDEX(Curves!$BE$8:$BE$68,T$4-$B200+1)</f>
        <v/>
      </c>
      <c r="U200" s="75">
        <f>$C200*INDEX(Curves!$BE$8:$BE$68,U$4-$B200+1)</f>
        <v/>
      </c>
      <c r="V200" s="75">
        <f>$C200*INDEX(Curves!$BE$8:$BE$68,V$4-$B200+1)</f>
        <v/>
      </c>
      <c r="W200" s="75">
        <f>$C200*INDEX(Curves!$BE$8:$BE$68,W$4-$B200+1)</f>
        <v/>
      </c>
      <c r="X200" s="75">
        <f>$C200*INDEX(Curves!$BE$8:$BE$68,X$4-$B200+1)</f>
        <v/>
      </c>
      <c r="Y200" s="75">
        <f>$C200*INDEX(Curves!$BE$8:$BE$68,Y$4-$B200+1)</f>
        <v/>
      </c>
      <c r="Z200" s="75">
        <f>$C200*INDEX(Curves!$BE$8:$BE$68,Z$4-$B200+1)</f>
        <v/>
      </c>
      <c r="AA200" s="75">
        <f>$C200*INDEX(Curves!$BE$8:$BE$68,AA$4-$B200+1)</f>
        <v/>
      </c>
      <c r="AB200" s="75">
        <f>$C200*INDEX(Curves!$BE$8:$BE$68,AB$4-$B200+1)</f>
        <v/>
      </c>
      <c r="AC200" s="75">
        <f>$C200*INDEX(Curves!$BE$8:$BE$68,AC$4-$B200+1)</f>
        <v/>
      </c>
      <c r="AD200" s="75">
        <f>$C200*INDEX(Curves!$BE$8:$BE$68,AD$4-$B200+1)</f>
        <v/>
      </c>
      <c r="AE200" s="75">
        <f>$C200*INDEX(Curves!$BE$8:$BE$68,AE$4-$B200+1)</f>
        <v/>
      </c>
      <c r="AF200" s="75">
        <f>$C200*INDEX(Curves!$BE$8:$BE$68,AF$4-$B200+1)</f>
        <v/>
      </c>
      <c r="AG200" s="75">
        <f>$C200*INDEX(Curves!$BE$8:$BE$68,AG$4-$B200+1)</f>
        <v/>
      </c>
      <c r="AH200" s="75">
        <f>$C200*INDEX(Curves!$BE$8:$BE$68,AH$4-$B200+1)</f>
        <v/>
      </c>
      <c r="AI200" s="75">
        <f>$C200*INDEX(Curves!$BE$8:$BE$68,AI$4-$B200+1)</f>
        <v/>
      </c>
      <c r="AJ200" s="75">
        <f>$C200*INDEX(Curves!$BE$8:$BE$68,AJ$4-$B200+1)</f>
        <v/>
      </c>
      <c r="AK200" s="75">
        <f>$C200*INDEX(Curves!$BE$8:$BE$68,AK$4-$B200+1)</f>
        <v/>
      </c>
      <c r="AL200" s="75">
        <f>$C200*INDEX(Curves!$BE$8:$BE$68,AL$4-$B200+1)</f>
        <v/>
      </c>
      <c r="AM200" s="75">
        <f>$C200*INDEX(Curves!$BE$8:$BE$68,AM$4-$B200+1)</f>
        <v/>
      </c>
      <c r="AN200" s="75">
        <f>$C200*INDEX(Curves!$BE$8:$BE$68,AN$4-$B200+1)</f>
        <v/>
      </c>
      <c r="AO200" s="75">
        <f>$C200*INDEX(Curves!$BE$8:$BE$68,AO$4-$B200+1)</f>
        <v/>
      </c>
      <c r="AP200" s="75">
        <f>$C200*INDEX(Curves!$BE$8:$BE$68,AP$4-$B200+1)</f>
        <v/>
      </c>
      <c r="AQ200" s="75">
        <f>$C200*INDEX(Curves!$BE$8:$BE$68,AQ$4-$B200+1)</f>
        <v/>
      </c>
      <c r="AR200" s="75">
        <f>$C200*INDEX(Curves!$BE$8:$BE$68,AR$4-$B200+1)</f>
        <v/>
      </c>
      <c r="AS200" s="75">
        <f>$C200*INDEX(Curves!$BE$8:$BE$68,AS$4-$B200+1)</f>
        <v/>
      </c>
      <c r="AT200" s="75">
        <f>$C200*INDEX(Curves!$BE$8:$BE$68,AT$4-$B200+1)</f>
        <v/>
      </c>
      <c r="AU200" s="75">
        <f>$C200*INDEX(Curves!$BE$8:$BE$68,AU$4-$B200+1)</f>
        <v/>
      </c>
      <c r="AV200" s="75">
        <f>$C200*INDEX(Curves!$BE$8:$BE$68,AV$4-$B200+1)</f>
        <v/>
      </c>
      <c r="AW200" s="75">
        <f>$C200*INDEX(Curves!$BE$8:$BE$68,AW$4-$B200+1)</f>
        <v/>
      </c>
      <c r="AX200" s="75">
        <f>$C200*INDEX(Curves!$BE$8:$BE$68,AX$4-$B200+1)</f>
        <v/>
      </c>
      <c r="AY200" s="75">
        <f>$C200*INDEX(Curves!$BE$8:$BE$68,AY$4-$B200+1)</f>
        <v/>
      </c>
      <c r="AZ200" s="75">
        <f>$C200*INDEX(Curves!$BE$8:$BE$68,AZ$4-$B200+1)</f>
        <v/>
      </c>
      <c r="BA200" s="75">
        <f>$C200*INDEX(Curves!$BE$8:$BE$68,BA$4-$B200+1)</f>
        <v/>
      </c>
      <c r="BB200" s="75">
        <f>$C200*INDEX(Curves!$BE$8:$BE$68,BB$4-$B200+1)</f>
        <v/>
      </c>
      <c r="BC200" s="75">
        <f>$C200*INDEX(Curves!$BE$8:$BE$68,BC$4-$B200+1)</f>
        <v/>
      </c>
      <c r="BD200" s="75">
        <f>$C200*INDEX(Curves!$BE$8:$BE$68,BD$4-$B200+1)</f>
        <v/>
      </c>
      <c r="BE200" s="75">
        <f>$C200*INDEX(Curves!$BE$8:$BE$68,BE$4-$B200+1)</f>
        <v/>
      </c>
      <c r="BF200" s="75">
        <f>$C200*INDEX(Curves!$BE$8:$BE$68,BF$4-$B200+1)</f>
        <v/>
      </c>
      <c r="BG200" s="75">
        <f>$C200*INDEX(Curves!$BE$8:$BE$68,BG$4-$B200+1)</f>
        <v/>
      </c>
      <c r="BH200" s="75">
        <f>$C200*INDEX(Curves!$BE$8:$BE$68,BH$4-$B200+1)</f>
        <v/>
      </c>
      <c r="BI200" s="75">
        <f>$C200*INDEX(Curves!$BE$8:$BE$68,BI$4-$B200+1)</f>
        <v/>
      </c>
      <c r="BJ200" s="75">
        <f>$C200*INDEX(Curves!$BE$8:$BE$68,BJ$4-$B200+1)</f>
        <v/>
      </c>
      <c r="BK200" s="75">
        <f>$C200*INDEX(Curves!$BE$8:$BE$68,BK$4-$B200+1)</f>
        <v/>
      </c>
      <c r="BL200" s="75">
        <f>$C200*INDEX(Curves!$BE$8:$BE$68,BL$4-$B200+1)</f>
        <v/>
      </c>
    </row>
    <row r="201">
      <c r="A201" s="74" t="inlineStr">
        <is>
          <t>Cohort month 3</t>
        </is>
      </c>
      <c r="B201" s="74" t="n">
        <v>3</v>
      </c>
      <c r="C201" s="17">
        <f>INDEX(Ops!$E$110:$BL$110,1,$B201)</f>
        <v/>
      </c>
      <c r="H201" s="75">
        <f>$C201*INDEX(Curves!$BE$8:$BE$68,H$4-$B201+1)</f>
        <v/>
      </c>
      <c r="I201" s="75">
        <f>$C201*INDEX(Curves!$BE$8:$BE$68,I$4-$B201+1)</f>
        <v/>
      </c>
      <c r="J201" s="75">
        <f>$C201*INDEX(Curves!$BE$8:$BE$68,J$4-$B201+1)</f>
        <v/>
      </c>
      <c r="K201" s="75">
        <f>$C201*INDEX(Curves!$BE$8:$BE$68,K$4-$B201+1)</f>
        <v/>
      </c>
      <c r="L201" s="75">
        <f>$C201*INDEX(Curves!$BE$8:$BE$68,L$4-$B201+1)</f>
        <v/>
      </c>
      <c r="M201" s="75">
        <f>$C201*INDEX(Curves!$BE$8:$BE$68,M$4-$B201+1)</f>
        <v/>
      </c>
      <c r="N201" s="75">
        <f>$C201*INDEX(Curves!$BE$8:$BE$68,N$4-$B201+1)</f>
        <v/>
      </c>
      <c r="O201" s="75">
        <f>$C201*INDEX(Curves!$BE$8:$BE$68,O$4-$B201+1)</f>
        <v/>
      </c>
      <c r="P201" s="75">
        <f>$C201*INDEX(Curves!$BE$8:$BE$68,P$4-$B201+1)</f>
        <v/>
      </c>
      <c r="Q201" s="75">
        <f>$C201*INDEX(Curves!$BE$8:$BE$68,Q$4-$B201+1)</f>
        <v/>
      </c>
      <c r="R201" s="75">
        <f>$C201*INDEX(Curves!$BE$8:$BE$68,R$4-$B201+1)</f>
        <v/>
      </c>
      <c r="S201" s="75">
        <f>$C201*INDEX(Curves!$BE$8:$BE$68,S$4-$B201+1)</f>
        <v/>
      </c>
      <c r="T201" s="75">
        <f>$C201*INDEX(Curves!$BE$8:$BE$68,T$4-$B201+1)</f>
        <v/>
      </c>
      <c r="U201" s="75">
        <f>$C201*INDEX(Curves!$BE$8:$BE$68,U$4-$B201+1)</f>
        <v/>
      </c>
      <c r="V201" s="75">
        <f>$C201*INDEX(Curves!$BE$8:$BE$68,V$4-$B201+1)</f>
        <v/>
      </c>
      <c r="W201" s="75">
        <f>$C201*INDEX(Curves!$BE$8:$BE$68,W$4-$B201+1)</f>
        <v/>
      </c>
      <c r="X201" s="75">
        <f>$C201*INDEX(Curves!$BE$8:$BE$68,X$4-$B201+1)</f>
        <v/>
      </c>
      <c r="Y201" s="75">
        <f>$C201*INDEX(Curves!$BE$8:$BE$68,Y$4-$B201+1)</f>
        <v/>
      </c>
      <c r="Z201" s="75">
        <f>$C201*INDEX(Curves!$BE$8:$BE$68,Z$4-$B201+1)</f>
        <v/>
      </c>
      <c r="AA201" s="75">
        <f>$C201*INDEX(Curves!$BE$8:$BE$68,AA$4-$B201+1)</f>
        <v/>
      </c>
      <c r="AB201" s="75">
        <f>$C201*INDEX(Curves!$BE$8:$BE$68,AB$4-$B201+1)</f>
        <v/>
      </c>
      <c r="AC201" s="75">
        <f>$C201*INDEX(Curves!$BE$8:$BE$68,AC$4-$B201+1)</f>
        <v/>
      </c>
      <c r="AD201" s="75">
        <f>$C201*INDEX(Curves!$BE$8:$BE$68,AD$4-$B201+1)</f>
        <v/>
      </c>
      <c r="AE201" s="75">
        <f>$C201*INDEX(Curves!$BE$8:$BE$68,AE$4-$B201+1)</f>
        <v/>
      </c>
      <c r="AF201" s="75">
        <f>$C201*INDEX(Curves!$BE$8:$BE$68,AF$4-$B201+1)</f>
        <v/>
      </c>
      <c r="AG201" s="75">
        <f>$C201*INDEX(Curves!$BE$8:$BE$68,AG$4-$B201+1)</f>
        <v/>
      </c>
      <c r="AH201" s="75">
        <f>$C201*INDEX(Curves!$BE$8:$BE$68,AH$4-$B201+1)</f>
        <v/>
      </c>
      <c r="AI201" s="75">
        <f>$C201*INDEX(Curves!$BE$8:$BE$68,AI$4-$B201+1)</f>
        <v/>
      </c>
      <c r="AJ201" s="75">
        <f>$C201*INDEX(Curves!$BE$8:$BE$68,AJ$4-$B201+1)</f>
        <v/>
      </c>
      <c r="AK201" s="75">
        <f>$C201*INDEX(Curves!$BE$8:$BE$68,AK$4-$B201+1)</f>
        <v/>
      </c>
      <c r="AL201" s="75">
        <f>$C201*INDEX(Curves!$BE$8:$BE$68,AL$4-$B201+1)</f>
        <v/>
      </c>
      <c r="AM201" s="75">
        <f>$C201*INDEX(Curves!$BE$8:$BE$68,AM$4-$B201+1)</f>
        <v/>
      </c>
      <c r="AN201" s="75">
        <f>$C201*INDEX(Curves!$BE$8:$BE$68,AN$4-$B201+1)</f>
        <v/>
      </c>
      <c r="AO201" s="75">
        <f>$C201*INDEX(Curves!$BE$8:$BE$68,AO$4-$B201+1)</f>
        <v/>
      </c>
      <c r="AP201" s="75">
        <f>$C201*INDEX(Curves!$BE$8:$BE$68,AP$4-$B201+1)</f>
        <v/>
      </c>
      <c r="AQ201" s="75">
        <f>$C201*INDEX(Curves!$BE$8:$BE$68,AQ$4-$B201+1)</f>
        <v/>
      </c>
      <c r="AR201" s="75">
        <f>$C201*INDEX(Curves!$BE$8:$BE$68,AR$4-$B201+1)</f>
        <v/>
      </c>
      <c r="AS201" s="75">
        <f>$C201*INDEX(Curves!$BE$8:$BE$68,AS$4-$B201+1)</f>
        <v/>
      </c>
      <c r="AT201" s="75">
        <f>$C201*INDEX(Curves!$BE$8:$BE$68,AT$4-$B201+1)</f>
        <v/>
      </c>
      <c r="AU201" s="75">
        <f>$C201*INDEX(Curves!$BE$8:$BE$68,AU$4-$B201+1)</f>
        <v/>
      </c>
      <c r="AV201" s="75">
        <f>$C201*INDEX(Curves!$BE$8:$BE$68,AV$4-$B201+1)</f>
        <v/>
      </c>
      <c r="AW201" s="75">
        <f>$C201*INDEX(Curves!$BE$8:$BE$68,AW$4-$B201+1)</f>
        <v/>
      </c>
      <c r="AX201" s="75">
        <f>$C201*INDEX(Curves!$BE$8:$BE$68,AX$4-$B201+1)</f>
        <v/>
      </c>
      <c r="AY201" s="75">
        <f>$C201*INDEX(Curves!$BE$8:$BE$68,AY$4-$B201+1)</f>
        <v/>
      </c>
      <c r="AZ201" s="75">
        <f>$C201*INDEX(Curves!$BE$8:$BE$68,AZ$4-$B201+1)</f>
        <v/>
      </c>
      <c r="BA201" s="75">
        <f>$C201*INDEX(Curves!$BE$8:$BE$68,BA$4-$B201+1)</f>
        <v/>
      </c>
      <c r="BB201" s="75">
        <f>$C201*INDEX(Curves!$BE$8:$BE$68,BB$4-$B201+1)</f>
        <v/>
      </c>
      <c r="BC201" s="75">
        <f>$C201*INDEX(Curves!$BE$8:$BE$68,BC$4-$B201+1)</f>
        <v/>
      </c>
      <c r="BD201" s="75">
        <f>$C201*INDEX(Curves!$BE$8:$BE$68,BD$4-$B201+1)</f>
        <v/>
      </c>
      <c r="BE201" s="75">
        <f>$C201*INDEX(Curves!$BE$8:$BE$68,BE$4-$B201+1)</f>
        <v/>
      </c>
      <c r="BF201" s="75">
        <f>$C201*INDEX(Curves!$BE$8:$BE$68,BF$4-$B201+1)</f>
        <v/>
      </c>
      <c r="BG201" s="75">
        <f>$C201*INDEX(Curves!$BE$8:$BE$68,BG$4-$B201+1)</f>
        <v/>
      </c>
      <c r="BH201" s="75">
        <f>$C201*INDEX(Curves!$BE$8:$BE$68,BH$4-$B201+1)</f>
        <v/>
      </c>
      <c r="BI201" s="75">
        <f>$C201*INDEX(Curves!$BE$8:$BE$68,BI$4-$B201+1)</f>
        <v/>
      </c>
      <c r="BJ201" s="75">
        <f>$C201*INDEX(Curves!$BE$8:$BE$68,BJ$4-$B201+1)</f>
        <v/>
      </c>
      <c r="BK201" s="75">
        <f>$C201*INDEX(Curves!$BE$8:$BE$68,BK$4-$B201+1)</f>
        <v/>
      </c>
      <c r="BL201" s="75">
        <f>$C201*INDEX(Curves!$BE$8:$BE$68,BL$4-$B201+1)</f>
        <v/>
      </c>
    </row>
    <row r="202">
      <c r="A202" s="74" t="inlineStr">
        <is>
          <t>Cohort month 4</t>
        </is>
      </c>
      <c r="B202" s="74" t="n">
        <v>4</v>
      </c>
      <c r="C202" s="17">
        <f>INDEX(Ops!$E$110:$BL$110,1,$B202)</f>
        <v/>
      </c>
      <c r="I202" s="75">
        <f>$C202*INDEX(Curves!$BE$8:$BE$68,I$4-$B202+1)</f>
        <v/>
      </c>
      <c r="J202" s="75">
        <f>$C202*INDEX(Curves!$BE$8:$BE$68,J$4-$B202+1)</f>
        <v/>
      </c>
      <c r="K202" s="75">
        <f>$C202*INDEX(Curves!$BE$8:$BE$68,K$4-$B202+1)</f>
        <v/>
      </c>
      <c r="L202" s="75">
        <f>$C202*INDEX(Curves!$BE$8:$BE$68,L$4-$B202+1)</f>
        <v/>
      </c>
      <c r="M202" s="75">
        <f>$C202*INDEX(Curves!$BE$8:$BE$68,M$4-$B202+1)</f>
        <v/>
      </c>
      <c r="N202" s="75">
        <f>$C202*INDEX(Curves!$BE$8:$BE$68,N$4-$B202+1)</f>
        <v/>
      </c>
      <c r="O202" s="75">
        <f>$C202*INDEX(Curves!$BE$8:$BE$68,O$4-$B202+1)</f>
        <v/>
      </c>
      <c r="P202" s="75">
        <f>$C202*INDEX(Curves!$BE$8:$BE$68,P$4-$B202+1)</f>
        <v/>
      </c>
      <c r="Q202" s="75">
        <f>$C202*INDEX(Curves!$BE$8:$BE$68,Q$4-$B202+1)</f>
        <v/>
      </c>
      <c r="R202" s="75">
        <f>$C202*INDEX(Curves!$BE$8:$BE$68,R$4-$B202+1)</f>
        <v/>
      </c>
      <c r="S202" s="75">
        <f>$C202*INDEX(Curves!$BE$8:$BE$68,S$4-$B202+1)</f>
        <v/>
      </c>
      <c r="T202" s="75">
        <f>$C202*INDEX(Curves!$BE$8:$BE$68,T$4-$B202+1)</f>
        <v/>
      </c>
      <c r="U202" s="75">
        <f>$C202*INDEX(Curves!$BE$8:$BE$68,U$4-$B202+1)</f>
        <v/>
      </c>
      <c r="V202" s="75">
        <f>$C202*INDEX(Curves!$BE$8:$BE$68,V$4-$B202+1)</f>
        <v/>
      </c>
      <c r="W202" s="75">
        <f>$C202*INDEX(Curves!$BE$8:$BE$68,W$4-$B202+1)</f>
        <v/>
      </c>
      <c r="X202" s="75">
        <f>$C202*INDEX(Curves!$BE$8:$BE$68,X$4-$B202+1)</f>
        <v/>
      </c>
      <c r="Y202" s="75">
        <f>$C202*INDEX(Curves!$BE$8:$BE$68,Y$4-$B202+1)</f>
        <v/>
      </c>
      <c r="Z202" s="75">
        <f>$C202*INDEX(Curves!$BE$8:$BE$68,Z$4-$B202+1)</f>
        <v/>
      </c>
      <c r="AA202" s="75">
        <f>$C202*INDEX(Curves!$BE$8:$BE$68,AA$4-$B202+1)</f>
        <v/>
      </c>
      <c r="AB202" s="75">
        <f>$C202*INDEX(Curves!$BE$8:$BE$68,AB$4-$B202+1)</f>
        <v/>
      </c>
      <c r="AC202" s="75">
        <f>$C202*INDEX(Curves!$BE$8:$BE$68,AC$4-$B202+1)</f>
        <v/>
      </c>
      <c r="AD202" s="75">
        <f>$C202*INDEX(Curves!$BE$8:$BE$68,AD$4-$B202+1)</f>
        <v/>
      </c>
      <c r="AE202" s="75">
        <f>$C202*INDEX(Curves!$BE$8:$BE$68,AE$4-$B202+1)</f>
        <v/>
      </c>
      <c r="AF202" s="75">
        <f>$C202*INDEX(Curves!$BE$8:$BE$68,AF$4-$B202+1)</f>
        <v/>
      </c>
      <c r="AG202" s="75">
        <f>$C202*INDEX(Curves!$BE$8:$BE$68,AG$4-$B202+1)</f>
        <v/>
      </c>
      <c r="AH202" s="75">
        <f>$C202*INDEX(Curves!$BE$8:$BE$68,AH$4-$B202+1)</f>
        <v/>
      </c>
      <c r="AI202" s="75">
        <f>$C202*INDEX(Curves!$BE$8:$BE$68,AI$4-$B202+1)</f>
        <v/>
      </c>
      <c r="AJ202" s="75">
        <f>$C202*INDEX(Curves!$BE$8:$BE$68,AJ$4-$B202+1)</f>
        <v/>
      </c>
      <c r="AK202" s="75">
        <f>$C202*INDEX(Curves!$BE$8:$BE$68,AK$4-$B202+1)</f>
        <v/>
      </c>
      <c r="AL202" s="75">
        <f>$C202*INDEX(Curves!$BE$8:$BE$68,AL$4-$B202+1)</f>
        <v/>
      </c>
      <c r="AM202" s="75">
        <f>$C202*INDEX(Curves!$BE$8:$BE$68,AM$4-$B202+1)</f>
        <v/>
      </c>
      <c r="AN202" s="75">
        <f>$C202*INDEX(Curves!$BE$8:$BE$68,AN$4-$B202+1)</f>
        <v/>
      </c>
      <c r="AO202" s="75">
        <f>$C202*INDEX(Curves!$BE$8:$BE$68,AO$4-$B202+1)</f>
        <v/>
      </c>
      <c r="AP202" s="75">
        <f>$C202*INDEX(Curves!$BE$8:$BE$68,AP$4-$B202+1)</f>
        <v/>
      </c>
      <c r="AQ202" s="75">
        <f>$C202*INDEX(Curves!$BE$8:$BE$68,AQ$4-$B202+1)</f>
        <v/>
      </c>
      <c r="AR202" s="75">
        <f>$C202*INDEX(Curves!$BE$8:$BE$68,AR$4-$B202+1)</f>
        <v/>
      </c>
      <c r="AS202" s="75">
        <f>$C202*INDEX(Curves!$BE$8:$BE$68,AS$4-$B202+1)</f>
        <v/>
      </c>
      <c r="AT202" s="75">
        <f>$C202*INDEX(Curves!$BE$8:$BE$68,AT$4-$B202+1)</f>
        <v/>
      </c>
      <c r="AU202" s="75">
        <f>$C202*INDEX(Curves!$BE$8:$BE$68,AU$4-$B202+1)</f>
        <v/>
      </c>
      <c r="AV202" s="75">
        <f>$C202*INDEX(Curves!$BE$8:$BE$68,AV$4-$B202+1)</f>
        <v/>
      </c>
      <c r="AW202" s="75">
        <f>$C202*INDEX(Curves!$BE$8:$BE$68,AW$4-$B202+1)</f>
        <v/>
      </c>
      <c r="AX202" s="75">
        <f>$C202*INDEX(Curves!$BE$8:$BE$68,AX$4-$B202+1)</f>
        <v/>
      </c>
      <c r="AY202" s="75">
        <f>$C202*INDEX(Curves!$BE$8:$BE$68,AY$4-$B202+1)</f>
        <v/>
      </c>
      <c r="AZ202" s="75">
        <f>$C202*INDEX(Curves!$BE$8:$BE$68,AZ$4-$B202+1)</f>
        <v/>
      </c>
      <c r="BA202" s="75">
        <f>$C202*INDEX(Curves!$BE$8:$BE$68,BA$4-$B202+1)</f>
        <v/>
      </c>
      <c r="BB202" s="75">
        <f>$C202*INDEX(Curves!$BE$8:$BE$68,BB$4-$B202+1)</f>
        <v/>
      </c>
      <c r="BC202" s="75">
        <f>$C202*INDEX(Curves!$BE$8:$BE$68,BC$4-$B202+1)</f>
        <v/>
      </c>
      <c r="BD202" s="75">
        <f>$C202*INDEX(Curves!$BE$8:$BE$68,BD$4-$B202+1)</f>
        <v/>
      </c>
      <c r="BE202" s="75">
        <f>$C202*INDEX(Curves!$BE$8:$BE$68,BE$4-$B202+1)</f>
        <v/>
      </c>
      <c r="BF202" s="75">
        <f>$C202*INDEX(Curves!$BE$8:$BE$68,BF$4-$B202+1)</f>
        <v/>
      </c>
      <c r="BG202" s="75">
        <f>$C202*INDEX(Curves!$BE$8:$BE$68,BG$4-$B202+1)</f>
        <v/>
      </c>
      <c r="BH202" s="75">
        <f>$C202*INDEX(Curves!$BE$8:$BE$68,BH$4-$B202+1)</f>
        <v/>
      </c>
      <c r="BI202" s="75">
        <f>$C202*INDEX(Curves!$BE$8:$BE$68,BI$4-$B202+1)</f>
        <v/>
      </c>
      <c r="BJ202" s="75">
        <f>$C202*INDEX(Curves!$BE$8:$BE$68,BJ$4-$B202+1)</f>
        <v/>
      </c>
      <c r="BK202" s="75">
        <f>$C202*INDEX(Curves!$BE$8:$BE$68,BK$4-$B202+1)</f>
        <v/>
      </c>
      <c r="BL202" s="75">
        <f>$C202*INDEX(Curves!$BE$8:$BE$68,BL$4-$B202+1)</f>
        <v/>
      </c>
    </row>
    <row r="203">
      <c r="A203" s="74" t="inlineStr">
        <is>
          <t>Cohort month 5</t>
        </is>
      </c>
      <c r="B203" s="74" t="n">
        <v>5</v>
      </c>
      <c r="C203" s="17">
        <f>INDEX(Ops!$E$110:$BL$110,1,$B203)</f>
        <v/>
      </c>
      <c r="J203" s="75">
        <f>$C203*INDEX(Curves!$BE$8:$BE$68,J$4-$B203+1)</f>
        <v/>
      </c>
      <c r="K203" s="75">
        <f>$C203*INDEX(Curves!$BE$8:$BE$68,K$4-$B203+1)</f>
        <v/>
      </c>
      <c r="L203" s="75">
        <f>$C203*INDEX(Curves!$BE$8:$BE$68,L$4-$B203+1)</f>
        <v/>
      </c>
      <c r="M203" s="75">
        <f>$C203*INDEX(Curves!$BE$8:$BE$68,M$4-$B203+1)</f>
        <v/>
      </c>
      <c r="N203" s="75">
        <f>$C203*INDEX(Curves!$BE$8:$BE$68,N$4-$B203+1)</f>
        <v/>
      </c>
      <c r="O203" s="75">
        <f>$C203*INDEX(Curves!$BE$8:$BE$68,O$4-$B203+1)</f>
        <v/>
      </c>
      <c r="P203" s="75">
        <f>$C203*INDEX(Curves!$BE$8:$BE$68,P$4-$B203+1)</f>
        <v/>
      </c>
      <c r="Q203" s="75">
        <f>$C203*INDEX(Curves!$BE$8:$BE$68,Q$4-$B203+1)</f>
        <v/>
      </c>
      <c r="R203" s="75">
        <f>$C203*INDEX(Curves!$BE$8:$BE$68,R$4-$B203+1)</f>
        <v/>
      </c>
      <c r="S203" s="75">
        <f>$C203*INDEX(Curves!$BE$8:$BE$68,S$4-$B203+1)</f>
        <v/>
      </c>
      <c r="T203" s="75">
        <f>$C203*INDEX(Curves!$BE$8:$BE$68,T$4-$B203+1)</f>
        <v/>
      </c>
      <c r="U203" s="75">
        <f>$C203*INDEX(Curves!$BE$8:$BE$68,U$4-$B203+1)</f>
        <v/>
      </c>
      <c r="V203" s="75">
        <f>$C203*INDEX(Curves!$BE$8:$BE$68,V$4-$B203+1)</f>
        <v/>
      </c>
      <c r="W203" s="75">
        <f>$C203*INDEX(Curves!$BE$8:$BE$68,W$4-$B203+1)</f>
        <v/>
      </c>
      <c r="X203" s="75">
        <f>$C203*INDEX(Curves!$BE$8:$BE$68,X$4-$B203+1)</f>
        <v/>
      </c>
      <c r="Y203" s="75">
        <f>$C203*INDEX(Curves!$BE$8:$BE$68,Y$4-$B203+1)</f>
        <v/>
      </c>
      <c r="Z203" s="75">
        <f>$C203*INDEX(Curves!$BE$8:$BE$68,Z$4-$B203+1)</f>
        <v/>
      </c>
      <c r="AA203" s="75">
        <f>$C203*INDEX(Curves!$BE$8:$BE$68,AA$4-$B203+1)</f>
        <v/>
      </c>
      <c r="AB203" s="75">
        <f>$C203*INDEX(Curves!$BE$8:$BE$68,AB$4-$B203+1)</f>
        <v/>
      </c>
      <c r="AC203" s="75">
        <f>$C203*INDEX(Curves!$BE$8:$BE$68,AC$4-$B203+1)</f>
        <v/>
      </c>
      <c r="AD203" s="75">
        <f>$C203*INDEX(Curves!$BE$8:$BE$68,AD$4-$B203+1)</f>
        <v/>
      </c>
      <c r="AE203" s="75">
        <f>$C203*INDEX(Curves!$BE$8:$BE$68,AE$4-$B203+1)</f>
        <v/>
      </c>
      <c r="AF203" s="75">
        <f>$C203*INDEX(Curves!$BE$8:$BE$68,AF$4-$B203+1)</f>
        <v/>
      </c>
      <c r="AG203" s="75">
        <f>$C203*INDEX(Curves!$BE$8:$BE$68,AG$4-$B203+1)</f>
        <v/>
      </c>
      <c r="AH203" s="75">
        <f>$C203*INDEX(Curves!$BE$8:$BE$68,AH$4-$B203+1)</f>
        <v/>
      </c>
      <c r="AI203" s="75">
        <f>$C203*INDEX(Curves!$BE$8:$BE$68,AI$4-$B203+1)</f>
        <v/>
      </c>
      <c r="AJ203" s="75">
        <f>$C203*INDEX(Curves!$BE$8:$BE$68,AJ$4-$B203+1)</f>
        <v/>
      </c>
      <c r="AK203" s="75">
        <f>$C203*INDEX(Curves!$BE$8:$BE$68,AK$4-$B203+1)</f>
        <v/>
      </c>
      <c r="AL203" s="75">
        <f>$C203*INDEX(Curves!$BE$8:$BE$68,AL$4-$B203+1)</f>
        <v/>
      </c>
      <c r="AM203" s="75">
        <f>$C203*INDEX(Curves!$BE$8:$BE$68,AM$4-$B203+1)</f>
        <v/>
      </c>
      <c r="AN203" s="75">
        <f>$C203*INDEX(Curves!$BE$8:$BE$68,AN$4-$B203+1)</f>
        <v/>
      </c>
      <c r="AO203" s="75">
        <f>$C203*INDEX(Curves!$BE$8:$BE$68,AO$4-$B203+1)</f>
        <v/>
      </c>
      <c r="AP203" s="75">
        <f>$C203*INDEX(Curves!$BE$8:$BE$68,AP$4-$B203+1)</f>
        <v/>
      </c>
      <c r="AQ203" s="75">
        <f>$C203*INDEX(Curves!$BE$8:$BE$68,AQ$4-$B203+1)</f>
        <v/>
      </c>
      <c r="AR203" s="75">
        <f>$C203*INDEX(Curves!$BE$8:$BE$68,AR$4-$B203+1)</f>
        <v/>
      </c>
      <c r="AS203" s="75">
        <f>$C203*INDEX(Curves!$BE$8:$BE$68,AS$4-$B203+1)</f>
        <v/>
      </c>
      <c r="AT203" s="75">
        <f>$C203*INDEX(Curves!$BE$8:$BE$68,AT$4-$B203+1)</f>
        <v/>
      </c>
      <c r="AU203" s="75">
        <f>$C203*INDEX(Curves!$BE$8:$BE$68,AU$4-$B203+1)</f>
        <v/>
      </c>
      <c r="AV203" s="75">
        <f>$C203*INDEX(Curves!$BE$8:$BE$68,AV$4-$B203+1)</f>
        <v/>
      </c>
      <c r="AW203" s="75">
        <f>$C203*INDEX(Curves!$BE$8:$BE$68,AW$4-$B203+1)</f>
        <v/>
      </c>
      <c r="AX203" s="75">
        <f>$C203*INDEX(Curves!$BE$8:$BE$68,AX$4-$B203+1)</f>
        <v/>
      </c>
      <c r="AY203" s="75">
        <f>$C203*INDEX(Curves!$BE$8:$BE$68,AY$4-$B203+1)</f>
        <v/>
      </c>
      <c r="AZ203" s="75">
        <f>$C203*INDEX(Curves!$BE$8:$BE$68,AZ$4-$B203+1)</f>
        <v/>
      </c>
      <c r="BA203" s="75">
        <f>$C203*INDEX(Curves!$BE$8:$BE$68,BA$4-$B203+1)</f>
        <v/>
      </c>
      <c r="BB203" s="75">
        <f>$C203*INDEX(Curves!$BE$8:$BE$68,BB$4-$B203+1)</f>
        <v/>
      </c>
      <c r="BC203" s="75">
        <f>$C203*INDEX(Curves!$BE$8:$BE$68,BC$4-$B203+1)</f>
        <v/>
      </c>
      <c r="BD203" s="75">
        <f>$C203*INDEX(Curves!$BE$8:$BE$68,BD$4-$B203+1)</f>
        <v/>
      </c>
      <c r="BE203" s="75">
        <f>$C203*INDEX(Curves!$BE$8:$BE$68,BE$4-$B203+1)</f>
        <v/>
      </c>
      <c r="BF203" s="75">
        <f>$C203*INDEX(Curves!$BE$8:$BE$68,BF$4-$B203+1)</f>
        <v/>
      </c>
      <c r="BG203" s="75">
        <f>$C203*INDEX(Curves!$BE$8:$BE$68,BG$4-$B203+1)</f>
        <v/>
      </c>
      <c r="BH203" s="75">
        <f>$C203*INDEX(Curves!$BE$8:$BE$68,BH$4-$B203+1)</f>
        <v/>
      </c>
      <c r="BI203" s="75">
        <f>$C203*INDEX(Curves!$BE$8:$BE$68,BI$4-$B203+1)</f>
        <v/>
      </c>
      <c r="BJ203" s="75">
        <f>$C203*INDEX(Curves!$BE$8:$BE$68,BJ$4-$B203+1)</f>
        <v/>
      </c>
      <c r="BK203" s="75">
        <f>$C203*INDEX(Curves!$BE$8:$BE$68,BK$4-$B203+1)</f>
        <v/>
      </c>
      <c r="BL203" s="75">
        <f>$C203*INDEX(Curves!$BE$8:$BE$68,BL$4-$B203+1)</f>
        <v/>
      </c>
    </row>
    <row r="204">
      <c r="A204" s="74" t="inlineStr">
        <is>
          <t>Cohort month 6</t>
        </is>
      </c>
      <c r="B204" s="74" t="n">
        <v>6</v>
      </c>
      <c r="C204" s="17">
        <f>INDEX(Ops!$E$110:$BL$110,1,$B204)</f>
        <v/>
      </c>
      <c r="K204" s="75">
        <f>$C204*INDEX(Curves!$BE$8:$BE$68,K$4-$B204+1)</f>
        <v/>
      </c>
      <c r="L204" s="75">
        <f>$C204*INDEX(Curves!$BE$8:$BE$68,L$4-$B204+1)</f>
        <v/>
      </c>
      <c r="M204" s="75">
        <f>$C204*INDEX(Curves!$BE$8:$BE$68,M$4-$B204+1)</f>
        <v/>
      </c>
      <c r="N204" s="75">
        <f>$C204*INDEX(Curves!$BE$8:$BE$68,N$4-$B204+1)</f>
        <v/>
      </c>
      <c r="O204" s="75">
        <f>$C204*INDEX(Curves!$BE$8:$BE$68,O$4-$B204+1)</f>
        <v/>
      </c>
      <c r="P204" s="75">
        <f>$C204*INDEX(Curves!$BE$8:$BE$68,P$4-$B204+1)</f>
        <v/>
      </c>
      <c r="Q204" s="75">
        <f>$C204*INDEX(Curves!$BE$8:$BE$68,Q$4-$B204+1)</f>
        <v/>
      </c>
      <c r="R204" s="75">
        <f>$C204*INDEX(Curves!$BE$8:$BE$68,R$4-$B204+1)</f>
        <v/>
      </c>
      <c r="S204" s="75">
        <f>$C204*INDEX(Curves!$BE$8:$BE$68,S$4-$B204+1)</f>
        <v/>
      </c>
      <c r="T204" s="75">
        <f>$C204*INDEX(Curves!$BE$8:$BE$68,T$4-$B204+1)</f>
        <v/>
      </c>
      <c r="U204" s="75">
        <f>$C204*INDEX(Curves!$BE$8:$BE$68,U$4-$B204+1)</f>
        <v/>
      </c>
      <c r="V204" s="75">
        <f>$C204*INDEX(Curves!$BE$8:$BE$68,V$4-$B204+1)</f>
        <v/>
      </c>
      <c r="W204" s="75">
        <f>$C204*INDEX(Curves!$BE$8:$BE$68,W$4-$B204+1)</f>
        <v/>
      </c>
      <c r="X204" s="75">
        <f>$C204*INDEX(Curves!$BE$8:$BE$68,X$4-$B204+1)</f>
        <v/>
      </c>
      <c r="Y204" s="75">
        <f>$C204*INDEX(Curves!$BE$8:$BE$68,Y$4-$B204+1)</f>
        <v/>
      </c>
      <c r="Z204" s="75">
        <f>$C204*INDEX(Curves!$BE$8:$BE$68,Z$4-$B204+1)</f>
        <v/>
      </c>
      <c r="AA204" s="75">
        <f>$C204*INDEX(Curves!$BE$8:$BE$68,AA$4-$B204+1)</f>
        <v/>
      </c>
      <c r="AB204" s="75">
        <f>$C204*INDEX(Curves!$BE$8:$BE$68,AB$4-$B204+1)</f>
        <v/>
      </c>
      <c r="AC204" s="75">
        <f>$C204*INDEX(Curves!$BE$8:$BE$68,AC$4-$B204+1)</f>
        <v/>
      </c>
      <c r="AD204" s="75">
        <f>$C204*INDEX(Curves!$BE$8:$BE$68,AD$4-$B204+1)</f>
        <v/>
      </c>
      <c r="AE204" s="75">
        <f>$C204*INDEX(Curves!$BE$8:$BE$68,AE$4-$B204+1)</f>
        <v/>
      </c>
      <c r="AF204" s="75">
        <f>$C204*INDEX(Curves!$BE$8:$BE$68,AF$4-$B204+1)</f>
        <v/>
      </c>
      <c r="AG204" s="75">
        <f>$C204*INDEX(Curves!$BE$8:$BE$68,AG$4-$B204+1)</f>
        <v/>
      </c>
      <c r="AH204" s="75">
        <f>$C204*INDEX(Curves!$BE$8:$BE$68,AH$4-$B204+1)</f>
        <v/>
      </c>
      <c r="AI204" s="75">
        <f>$C204*INDEX(Curves!$BE$8:$BE$68,AI$4-$B204+1)</f>
        <v/>
      </c>
      <c r="AJ204" s="75">
        <f>$C204*INDEX(Curves!$BE$8:$BE$68,AJ$4-$B204+1)</f>
        <v/>
      </c>
      <c r="AK204" s="75">
        <f>$C204*INDEX(Curves!$BE$8:$BE$68,AK$4-$B204+1)</f>
        <v/>
      </c>
      <c r="AL204" s="75">
        <f>$C204*INDEX(Curves!$BE$8:$BE$68,AL$4-$B204+1)</f>
        <v/>
      </c>
      <c r="AM204" s="75">
        <f>$C204*INDEX(Curves!$BE$8:$BE$68,AM$4-$B204+1)</f>
        <v/>
      </c>
      <c r="AN204" s="75">
        <f>$C204*INDEX(Curves!$BE$8:$BE$68,AN$4-$B204+1)</f>
        <v/>
      </c>
      <c r="AO204" s="75">
        <f>$C204*INDEX(Curves!$BE$8:$BE$68,AO$4-$B204+1)</f>
        <v/>
      </c>
      <c r="AP204" s="75">
        <f>$C204*INDEX(Curves!$BE$8:$BE$68,AP$4-$B204+1)</f>
        <v/>
      </c>
      <c r="AQ204" s="75">
        <f>$C204*INDEX(Curves!$BE$8:$BE$68,AQ$4-$B204+1)</f>
        <v/>
      </c>
      <c r="AR204" s="75">
        <f>$C204*INDEX(Curves!$BE$8:$BE$68,AR$4-$B204+1)</f>
        <v/>
      </c>
      <c r="AS204" s="75">
        <f>$C204*INDEX(Curves!$BE$8:$BE$68,AS$4-$B204+1)</f>
        <v/>
      </c>
      <c r="AT204" s="75">
        <f>$C204*INDEX(Curves!$BE$8:$BE$68,AT$4-$B204+1)</f>
        <v/>
      </c>
      <c r="AU204" s="75">
        <f>$C204*INDEX(Curves!$BE$8:$BE$68,AU$4-$B204+1)</f>
        <v/>
      </c>
      <c r="AV204" s="75">
        <f>$C204*INDEX(Curves!$BE$8:$BE$68,AV$4-$B204+1)</f>
        <v/>
      </c>
      <c r="AW204" s="75">
        <f>$C204*INDEX(Curves!$BE$8:$BE$68,AW$4-$B204+1)</f>
        <v/>
      </c>
      <c r="AX204" s="75">
        <f>$C204*INDEX(Curves!$BE$8:$BE$68,AX$4-$B204+1)</f>
        <v/>
      </c>
      <c r="AY204" s="75">
        <f>$C204*INDEX(Curves!$BE$8:$BE$68,AY$4-$B204+1)</f>
        <v/>
      </c>
      <c r="AZ204" s="75">
        <f>$C204*INDEX(Curves!$BE$8:$BE$68,AZ$4-$B204+1)</f>
        <v/>
      </c>
      <c r="BA204" s="75">
        <f>$C204*INDEX(Curves!$BE$8:$BE$68,BA$4-$B204+1)</f>
        <v/>
      </c>
      <c r="BB204" s="75">
        <f>$C204*INDEX(Curves!$BE$8:$BE$68,BB$4-$B204+1)</f>
        <v/>
      </c>
      <c r="BC204" s="75">
        <f>$C204*INDEX(Curves!$BE$8:$BE$68,BC$4-$B204+1)</f>
        <v/>
      </c>
      <c r="BD204" s="75">
        <f>$C204*INDEX(Curves!$BE$8:$BE$68,BD$4-$B204+1)</f>
        <v/>
      </c>
      <c r="BE204" s="75">
        <f>$C204*INDEX(Curves!$BE$8:$BE$68,BE$4-$B204+1)</f>
        <v/>
      </c>
      <c r="BF204" s="75">
        <f>$C204*INDEX(Curves!$BE$8:$BE$68,BF$4-$B204+1)</f>
        <v/>
      </c>
      <c r="BG204" s="75">
        <f>$C204*INDEX(Curves!$BE$8:$BE$68,BG$4-$B204+1)</f>
        <v/>
      </c>
      <c r="BH204" s="75">
        <f>$C204*INDEX(Curves!$BE$8:$BE$68,BH$4-$B204+1)</f>
        <v/>
      </c>
      <c r="BI204" s="75">
        <f>$C204*INDEX(Curves!$BE$8:$BE$68,BI$4-$B204+1)</f>
        <v/>
      </c>
      <c r="BJ204" s="75">
        <f>$C204*INDEX(Curves!$BE$8:$BE$68,BJ$4-$B204+1)</f>
        <v/>
      </c>
      <c r="BK204" s="75">
        <f>$C204*INDEX(Curves!$BE$8:$BE$68,BK$4-$B204+1)</f>
        <v/>
      </c>
      <c r="BL204" s="75">
        <f>$C204*INDEX(Curves!$BE$8:$BE$68,BL$4-$B204+1)</f>
        <v/>
      </c>
    </row>
    <row r="205">
      <c r="A205" s="74" t="inlineStr">
        <is>
          <t>Cohort month 7</t>
        </is>
      </c>
      <c r="B205" s="74" t="n">
        <v>7</v>
      </c>
      <c r="C205" s="17">
        <f>INDEX(Ops!$E$110:$BL$110,1,$B205)</f>
        <v/>
      </c>
      <c r="L205" s="75">
        <f>$C205*INDEX(Curves!$BE$8:$BE$68,L$4-$B205+1)</f>
        <v/>
      </c>
      <c r="M205" s="75">
        <f>$C205*INDEX(Curves!$BE$8:$BE$68,M$4-$B205+1)</f>
        <v/>
      </c>
      <c r="N205" s="75">
        <f>$C205*INDEX(Curves!$BE$8:$BE$68,N$4-$B205+1)</f>
        <v/>
      </c>
      <c r="O205" s="75">
        <f>$C205*INDEX(Curves!$BE$8:$BE$68,O$4-$B205+1)</f>
        <v/>
      </c>
      <c r="P205" s="75">
        <f>$C205*INDEX(Curves!$BE$8:$BE$68,P$4-$B205+1)</f>
        <v/>
      </c>
      <c r="Q205" s="75">
        <f>$C205*INDEX(Curves!$BE$8:$BE$68,Q$4-$B205+1)</f>
        <v/>
      </c>
      <c r="R205" s="75">
        <f>$C205*INDEX(Curves!$BE$8:$BE$68,R$4-$B205+1)</f>
        <v/>
      </c>
      <c r="S205" s="75">
        <f>$C205*INDEX(Curves!$BE$8:$BE$68,S$4-$B205+1)</f>
        <v/>
      </c>
      <c r="T205" s="75">
        <f>$C205*INDEX(Curves!$BE$8:$BE$68,T$4-$B205+1)</f>
        <v/>
      </c>
      <c r="U205" s="75">
        <f>$C205*INDEX(Curves!$BE$8:$BE$68,U$4-$B205+1)</f>
        <v/>
      </c>
      <c r="V205" s="75">
        <f>$C205*INDEX(Curves!$BE$8:$BE$68,V$4-$B205+1)</f>
        <v/>
      </c>
      <c r="W205" s="75">
        <f>$C205*INDEX(Curves!$BE$8:$BE$68,W$4-$B205+1)</f>
        <v/>
      </c>
      <c r="X205" s="75">
        <f>$C205*INDEX(Curves!$BE$8:$BE$68,X$4-$B205+1)</f>
        <v/>
      </c>
      <c r="Y205" s="75">
        <f>$C205*INDEX(Curves!$BE$8:$BE$68,Y$4-$B205+1)</f>
        <v/>
      </c>
      <c r="Z205" s="75">
        <f>$C205*INDEX(Curves!$BE$8:$BE$68,Z$4-$B205+1)</f>
        <v/>
      </c>
      <c r="AA205" s="75">
        <f>$C205*INDEX(Curves!$BE$8:$BE$68,AA$4-$B205+1)</f>
        <v/>
      </c>
      <c r="AB205" s="75">
        <f>$C205*INDEX(Curves!$BE$8:$BE$68,AB$4-$B205+1)</f>
        <v/>
      </c>
      <c r="AC205" s="75">
        <f>$C205*INDEX(Curves!$BE$8:$BE$68,AC$4-$B205+1)</f>
        <v/>
      </c>
      <c r="AD205" s="75">
        <f>$C205*INDEX(Curves!$BE$8:$BE$68,AD$4-$B205+1)</f>
        <v/>
      </c>
      <c r="AE205" s="75">
        <f>$C205*INDEX(Curves!$BE$8:$BE$68,AE$4-$B205+1)</f>
        <v/>
      </c>
      <c r="AF205" s="75">
        <f>$C205*INDEX(Curves!$BE$8:$BE$68,AF$4-$B205+1)</f>
        <v/>
      </c>
      <c r="AG205" s="75">
        <f>$C205*INDEX(Curves!$BE$8:$BE$68,AG$4-$B205+1)</f>
        <v/>
      </c>
      <c r="AH205" s="75">
        <f>$C205*INDEX(Curves!$BE$8:$BE$68,AH$4-$B205+1)</f>
        <v/>
      </c>
      <c r="AI205" s="75">
        <f>$C205*INDEX(Curves!$BE$8:$BE$68,AI$4-$B205+1)</f>
        <v/>
      </c>
      <c r="AJ205" s="75">
        <f>$C205*INDEX(Curves!$BE$8:$BE$68,AJ$4-$B205+1)</f>
        <v/>
      </c>
      <c r="AK205" s="75">
        <f>$C205*INDEX(Curves!$BE$8:$BE$68,AK$4-$B205+1)</f>
        <v/>
      </c>
      <c r="AL205" s="75">
        <f>$C205*INDEX(Curves!$BE$8:$BE$68,AL$4-$B205+1)</f>
        <v/>
      </c>
      <c r="AM205" s="75">
        <f>$C205*INDEX(Curves!$BE$8:$BE$68,AM$4-$B205+1)</f>
        <v/>
      </c>
      <c r="AN205" s="75">
        <f>$C205*INDEX(Curves!$BE$8:$BE$68,AN$4-$B205+1)</f>
        <v/>
      </c>
      <c r="AO205" s="75">
        <f>$C205*INDEX(Curves!$BE$8:$BE$68,AO$4-$B205+1)</f>
        <v/>
      </c>
      <c r="AP205" s="75">
        <f>$C205*INDEX(Curves!$BE$8:$BE$68,AP$4-$B205+1)</f>
        <v/>
      </c>
      <c r="AQ205" s="75">
        <f>$C205*INDEX(Curves!$BE$8:$BE$68,AQ$4-$B205+1)</f>
        <v/>
      </c>
      <c r="AR205" s="75">
        <f>$C205*INDEX(Curves!$BE$8:$BE$68,AR$4-$B205+1)</f>
        <v/>
      </c>
      <c r="AS205" s="75">
        <f>$C205*INDEX(Curves!$BE$8:$BE$68,AS$4-$B205+1)</f>
        <v/>
      </c>
      <c r="AT205" s="75">
        <f>$C205*INDEX(Curves!$BE$8:$BE$68,AT$4-$B205+1)</f>
        <v/>
      </c>
      <c r="AU205" s="75">
        <f>$C205*INDEX(Curves!$BE$8:$BE$68,AU$4-$B205+1)</f>
        <v/>
      </c>
      <c r="AV205" s="75">
        <f>$C205*INDEX(Curves!$BE$8:$BE$68,AV$4-$B205+1)</f>
        <v/>
      </c>
      <c r="AW205" s="75">
        <f>$C205*INDEX(Curves!$BE$8:$BE$68,AW$4-$B205+1)</f>
        <v/>
      </c>
      <c r="AX205" s="75">
        <f>$C205*INDEX(Curves!$BE$8:$BE$68,AX$4-$B205+1)</f>
        <v/>
      </c>
      <c r="AY205" s="75">
        <f>$C205*INDEX(Curves!$BE$8:$BE$68,AY$4-$B205+1)</f>
        <v/>
      </c>
      <c r="AZ205" s="75">
        <f>$C205*INDEX(Curves!$BE$8:$BE$68,AZ$4-$B205+1)</f>
        <v/>
      </c>
      <c r="BA205" s="75">
        <f>$C205*INDEX(Curves!$BE$8:$BE$68,BA$4-$B205+1)</f>
        <v/>
      </c>
      <c r="BB205" s="75">
        <f>$C205*INDEX(Curves!$BE$8:$BE$68,BB$4-$B205+1)</f>
        <v/>
      </c>
      <c r="BC205" s="75">
        <f>$C205*INDEX(Curves!$BE$8:$BE$68,BC$4-$B205+1)</f>
        <v/>
      </c>
      <c r="BD205" s="75">
        <f>$C205*INDEX(Curves!$BE$8:$BE$68,BD$4-$B205+1)</f>
        <v/>
      </c>
      <c r="BE205" s="75">
        <f>$C205*INDEX(Curves!$BE$8:$BE$68,BE$4-$B205+1)</f>
        <v/>
      </c>
      <c r="BF205" s="75">
        <f>$C205*INDEX(Curves!$BE$8:$BE$68,BF$4-$B205+1)</f>
        <v/>
      </c>
      <c r="BG205" s="75">
        <f>$C205*INDEX(Curves!$BE$8:$BE$68,BG$4-$B205+1)</f>
        <v/>
      </c>
      <c r="BH205" s="75">
        <f>$C205*INDEX(Curves!$BE$8:$BE$68,BH$4-$B205+1)</f>
        <v/>
      </c>
      <c r="BI205" s="75">
        <f>$C205*INDEX(Curves!$BE$8:$BE$68,BI$4-$B205+1)</f>
        <v/>
      </c>
      <c r="BJ205" s="75">
        <f>$C205*INDEX(Curves!$BE$8:$BE$68,BJ$4-$B205+1)</f>
        <v/>
      </c>
      <c r="BK205" s="75">
        <f>$C205*INDEX(Curves!$BE$8:$BE$68,BK$4-$B205+1)</f>
        <v/>
      </c>
      <c r="BL205" s="75">
        <f>$C205*INDEX(Curves!$BE$8:$BE$68,BL$4-$B205+1)</f>
        <v/>
      </c>
    </row>
    <row r="206">
      <c r="A206" s="74" t="inlineStr">
        <is>
          <t>Cohort month 8</t>
        </is>
      </c>
      <c r="B206" s="74" t="n">
        <v>8</v>
      </c>
      <c r="C206" s="17">
        <f>INDEX(Ops!$E$110:$BL$110,1,$B206)</f>
        <v/>
      </c>
      <c r="M206" s="75">
        <f>$C206*INDEX(Curves!$BE$8:$BE$68,M$4-$B206+1)</f>
        <v/>
      </c>
      <c r="N206" s="75">
        <f>$C206*INDEX(Curves!$BE$8:$BE$68,N$4-$B206+1)</f>
        <v/>
      </c>
      <c r="O206" s="75">
        <f>$C206*INDEX(Curves!$BE$8:$BE$68,O$4-$B206+1)</f>
        <v/>
      </c>
      <c r="P206" s="75">
        <f>$C206*INDEX(Curves!$BE$8:$BE$68,P$4-$B206+1)</f>
        <v/>
      </c>
      <c r="Q206" s="75">
        <f>$C206*INDEX(Curves!$BE$8:$BE$68,Q$4-$B206+1)</f>
        <v/>
      </c>
      <c r="R206" s="75">
        <f>$C206*INDEX(Curves!$BE$8:$BE$68,R$4-$B206+1)</f>
        <v/>
      </c>
      <c r="S206" s="75">
        <f>$C206*INDEX(Curves!$BE$8:$BE$68,S$4-$B206+1)</f>
        <v/>
      </c>
      <c r="T206" s="75">
        <f>$C206*INDEX(Curves!$BE$8:$BE$68,T$4-$B206+1)</f>
        <v/>
      </c>
      <c r="U206" s="75">
        <f>$C206*INDEX(Curves!$BE$8:$BE$68,U$4-$B206+1)</f>
        <v/>
      </c>
      <c r="V206" s="75">
        <f>$C206*INDEX(Curves!$BE$8:$BE$68,V$4-$B206+1)</f>
        <v/>
      </c>
      <c r="W206" s="75">
        <f>$C206*INDEX(Curves!$BE$8:$BE$68,W$4-$B206+1)</f>
        <v/>
      </c>
      <c r="X206" s="75">
        <f>$C206*INDEX(Curves!$BE$8:$BE$68,X$4-$B206+1)</f>
        <v/>
      </c>
      <c r="Y206" s="75">
        <f>$C206*INDEX(Curves!$BE$8:$BE$68,Y$4-$B206+1)</f>
        <v/>
      </c>
      <c r="Z206" s="75">
        <f>$C206*INDEX(Curves!$BE$8:$BE$68,Z$4-$B206+1)</f>
        <v/>
      </c>
      <c r="AA206" s="75">
        <f>$C206*INDEX(Curves!$BE$8:$BE$68,AA$4-$B206+1)</f>
        <v/>
      </c>
      <c r="AB206" s="75">
        <f>$C206*INDEX(Curves!$BE$8:$BE$68,AB$4-$B206+1)</f>
        <v/>
      </c>
      <c r="AC206" s="75">
        <f>$C206*INDEX(Curves!$BE$8:$BE$68,AC$4-$B206+1)</f>
        <v/>
      </c>
      <c r="AD206" s="75">
        <f>$C206*INDEX(Curves!$BE$8:$BE$68,AD$4-$B206+1)</f>
        <v/>
      </c>
      <c r="AE206" s="75">
        <f>$C206*INDEX(Curves!$BE$8:$BE$68,AE$4-$B206+1)</f>
        <v/>
      </c>
      <c r="AF206" s="75">
        <f>$C206*INDEX(Curves!$BE$8:$BE$68,AF$4-$B206+1)</f>
        <v/>
      </c>
      <c r="AG206" s="75">
        <f>$C206*INDEX(Curves!$BE$8:$BE$68,AG$4-$B206+1)</f>
        <v/>
      </c>
      <c r="AH206" s="75">
        <f>$C206*INDEX(Curves!$BE$8:$BE$68,AH$4-$B206+1)</f>
        <v/>
      </c>
      <c r="AI206" s="75">
        <f>$C206*INDEX(Curves!$BE$8:$BE$68,AI$4-$B206+1)</f>
        <v/>
      </c>
      <c r="AJ206" s="75">
        <f>$C206*INDEX(Curves!$BE$8:$BE$68,AJ$4-$B206+1)</f>
        <v/>
      </c>
      <c r="AK206" s="75">
        <f>$C206*INDEX(Curves!$BE$8:$BE$68,AK$4-$B206+1)</f>
        <v/>
      </c>
      <c r="AL206" s="75">
        <f>$C206*INDEX(Curves!$BE$8:$BE$68,AL$4-$B206+1)</f>
        <v/>
      </c>
      <c r="AM206" s="75">
        <f>$C206*INDEX(Curves!$BE$8:$BE$68,AM$4-$B206+1)</f>
        <v/>
      </c>
      <c r="AN206" s="75">
        <f>$C206*INDEX(Curves!$BE$8:$BE$68,AN$4-$B206+1)</f>
        <v/>
      </c>
      <c r="AO206" s="75">
        <f>$C206*INDEX(Curves!$BE$8:$BE$68,AO$4-$B206+1)</f>
        <v/>
      </c>
      <c r="AP206" s="75">
        <f>$C206*INDEX(Curves!$BE$8:$BE$68,AP$4-$B206+1)</f>
        <v/>
      </c>
      <c r="AQ206" s="75">
        <f>$C206*INDEX(Curves!$BE$8:$BE$68,AQ$4-$B206+1)</f>
        <v/>
      </c>
      <c r="AR206" s="75">
        <f>$C206*INDEX(Curves!$BE$8:$BE$68,AR$4-$B206+1)</f>
        <v/>
      </c>
      <c r="AS206" s="75">
        <f>$C206*INDEX(Curves!$BE$8:$BE$68,AS$4-$B206+1)</f>
        <v/>
      </c>
      <c r="AT206" s="75">
        <f>$C206*INDEX(Curves!$BE$8:$BE$68,AT$4-$B206+1)</f>
        <v/>
      </c>
      <c r="AU206" s="75">
        <f>$C206*INDEX(Curves!$BE$8:$BE$68,AU$4-$B206+1)</f>
        <v/>
      </c>
      <c r="AV206" s="75">
        <f>$C206*INDEX(Curves!$BE$8:$BE$68,AV$4-$B206+1)</f>
        <v/>
      </c>
      <c r="AW206" s="75">
        <f>$C206*INDEX(Curves!$BE$8:$BE$68,AW$4-$B206+1)</f>
        <v/>
      </c>
      <c r="AX206" s="75">
        <f>$C206*INDEX(Curves!$BE$8:$BE$68,AX$4-$B206+1)</f>
        <v/>
      </c>
      <c r="AY206" s="75">
        <f>$C206*INDEX(Curves!$BE$8:$BE$68,AY$4-$B206+1)</f>
        <v/>
      </c>
      <c r="AZ206" s="75">
        <f>$C206*INDEX(Curves!$BE$8:$BE$68,AZ$4-$B206+1)</f>
        <v/>
      </c>
      <c r="BA206" s="75">
        <f>$C206*INDEX(Curves!$BE$8:$BE$68,BA$4-$B206+1)</f>
        <v/>
      </c>
      <c r="BB206" s="75">
        <f>$C206*INDEX(Curves!$BE$8:$BE$68,BB$4-$B206+1)</f>
        <v/>
      </c>
      <c r="BC206" s="75">
        <f>$C206*INDEX(Curves!$BE$8:$BE$68,BC$4-$B206+1)</f>
        <v/>
      </c>
      <c r="BD206" s="75">
        <f>$C206*INDEX(Curves!$BE$8:$BE$68,BD$4-$B206+1)</f>
        <v/>
      </c>
      <c r="BE206" s="75">
        <f>$C206*INDEX(Curves!$BE$8:$BE$68,BE$4-$B206+1)</f>
        <v/>
      </c>
      <c r="BF206" s="75">
        <f>$C206*INDEX(Curves!$BE$8:$BE$68,BF$4-$B206+1)</f>
        <v/>
      </c>
      <c r="BG206" s="75">
        <f>$C206*INDEX(Curves!$BE$8:$BE$68,BG$4-$B206+1)</f>
        <v/>
      </c>
      <c r="BH206" s="75">
        <f>$C206*INDEX(Curves!$BE$8:$BE$68,BH$4-$B206+1)</f>
        <v/>
      </c>
      <c r="BI206" s="75">
        <f>$C206*INDEX(Curves!$BE$8:$BE$68,BI$4-$B206+1)</f>
        <v/>
      </c>
      <c r="BJ206" s="75">
        <f>$C206*INDEX(Curves!$BE$8:$BE$68,BJ$4-$B206+1)</f>
        <v/>
      </c>
      <c r="BK206" s="75">
        <f>$C206*INDEX(Curves!$BE$8:$BE$68,BK$4-$B206+1)</f>
        <v/>
      </c>
      <c r="BL206" s="75">
        <f>$C206*INDEX(Curves!$BE$8:$BE$68,BL$4-$B206+1)</f>
        <v/>
      </c>
    </row>
    <row r="207">
      <c r="A207" s="74" t="inlineStr">
        <is>
          <t>Cohort month 9</t>
        </is>
      </c>
      <c r="B207" s="74" t="n">
        <v>9</v>
      </c>
      <c r="C207" s="17">
        <f>INDEX(Ops!$E$110:$BL$110,1,$B207)</f>
        <v/>
      </c>
      <c r="N207" s="75">
        <f>$C207*INDEX(Curves!$BE$8:$BE$68,N$4-$B207+1)</f>
        <v/>
      </c>
      <c r="O207" s="75">
        <f>$C207*INDEX(Curves!$BE$8:$BE$68,O$4-$B207+1)</f>
        <v/>
      </c>
      <c r="P207" s="75">
        <f>$C207*INDEX(Curves!$BE$8:$BE$68,P$4-$B207+1)</f>
        <v/>
      </c>
      <c r="Q207" s="75">
        <f>$C207*INDEX(Curves!$BE$8:$BE$68,Q$4-$B207+1)</f>
        <v/>
      </c>
      <c r="R207" s="75">
        <f>$C207*INDEX(Curves!$BE$8:$BE$68,R$4-$B207+1)</f>
        <v/>
      </c>
      <c r="S207" s="75">
        <f>$C207*INDEX(Curves!$BE$8:$BE$68,S$4-$B207+1)</f>
        <v/>
      </c>
      <c r="T207" s="75">
        <f>$C207*INDEX(Curves!$BE$8:$BE$68,T$4-$B207+1)</f>
        <v/>
      </c>
      <c r="U207" s="75">
        <f>$C207*INDEX(Curves!$BE$8:$BE$68,U$4-$B207+1)</f>
        <v/>
      </c>
      <c r="V207" s="75">
        <f>$C207*INDEX(Curves!$BE$8:$BE$68,V$4-$B207+1)</f>
        <v/>
      </c>
      <c r="W207" s="75">
        <f>$C207*INDEX(Curves!$BE$8:$BE$68,W$4-$B207+1)</f>
        <v/>
      </c>
      <c r="X207" s="75">
        <f>$C207*INDEX(Curves!$BE$8:$BE$68,X$4-$B207+1)</f>
        <v/>
      </c>
      <c r="Y207" s="75">
        <f>$C207*INDEX(Curves!$BE$8:$BE$68,Y$4-$B207+1)</f>
        <v/>
      </c>
      <c r="Z207" s="75">
        <f>$C207*INDEX(Curves!$BE$8:$BE$68,Z$4-$B207+1)</f>
        <v/>
      </c>
      <c r="AA207" s="75">
        <f>$C207*INDEX(Curves!$BE$8:$BE$68,AA$4-$B207+1)</f>
        <v/>
      </c>
      <c r="AB207" s="75">
        <f>$C207*INDEX(Curves!$BE$8:$BE$68,AB$4-$B207+1)</f>
        <v/>
      </c>
      <c r="AC207" s="75">
        <f>$C207*INDEX(Curves!$BE$8:$BE$68,AC$4-$B207+1)</f>
        <v/>
      </c>
      <c r="AD207" s="75">
        <f>$C207*INDEX(Curves!$BE$8:$BE$68,AD$4-$B207+1)</f>
        <v/>
      </c>
      <c r="AE207" s="75">
        <f>$C207*INDEX(Curves!$BE$8:$BE$68,AE$4-$B207+1)</f>
        <v/>
      </c>
      <c r="AF207" s="75">
        <f>$C207*INDEX(Curves!$BE$8:$BE$68,AF$4-$B207+1)</f>
        <v/>
      </c>
      <c r="AG207" s="75">
        <f>$C207*INDEX(Curves!$BE$8:$BE$68,AG$4-$B207+1)</f>
        <v/>
      </c>
      <c r="AH207" s="75">
        <f>$C207*INDEX(Curves!$BE$8:$BE$68,AH$4-$B207+1)</f>
        <v/>
      </c>
      <c r="AI207" s="75">
        <f>$C207*INDEX(Curves!$BE$8:$BE$68,AI$4-$B207+1)</f>
        <v/>
      </c>
      <c r="AJ207" s="75">
        <f>$C207*INDEX(Curves!$BE$8:$BE$68,AJ$4-$B207+1)</f>
        <v/>
      </c>
      <c r="AK207" s="75">
        <f>$C207*INDEX(Curves!$BE$8:$BE$68,AK$4-$B207+1)</f>
        <v/>
      </c>
      <c r="AL207" s="75">
        <f>$C207*INDEX(Curves!$BE$8:$BE$68,AL$4-$B207+1)</f>
        <v/>
      </c>
      <c r="AM207" s="75">
        <f>$C207*INDEX(Curves!$BE$8:$BE$68,AM$4-$B207+1)</f>
        <v/>
      </c>
      <c r="AN207" s="75">
        <f>$C207*INDEX(Curves!$BE$8:$BE$68,AN$4-$B207+1)</f>
        <v/>
      </c>
      <c r="AO207" s="75">
        <f>$C207*INDEX(Curves!$BE$8:$BE$68,AO$4-$B207+1)</f>
        <v/>
      </c>
      <c r="AP207" s="75">
        <f>$C207*INDEX(Curves!$BE$8:$BE$68,AP$4-$B207+1)</f>
        <v/>
      </c>
      <c r="AQ207" s="75">
        <f>$C207*INDEX(Curves!$BE$8:$BE$68,AQ$4-$B207+1)</f>
        <v/>
      </c>
      <c r="AR207" s="75">
        <f>$C207*INDEX(Curves!$BE$8:$BE$68,AR$4-$B207+1)</f>
        <v/>
      </c>
      <c r="AS207" s="75">
        <f>$C207*INDEX(Curves!$BE$8:$BE$68,AS$4-$B207+1)</f>
        <v/>
      </c>
      <c r="AT207" s="75">
        <f>$C207*INDEX(Curves!$BE$8:$BE$68,AT$4-$B207+1)</f>
        <v/>
      </c>
      <c r="AU207" s="75">
        <f>$C207*INDEX(Curves!$BE$8:$BE$68,AU$4-$B207+1)</f>
        <v/>
      </c>
      <c r="AV207" s="75">
        <f>$C207*INDEX(Curves!$BE$8:$BE$68,AV$4-$B207+1)</f>
        <v/>
      </c>
      <c r="AW207" s="75">
        <f>$C207*INDEX(Curves!$BE$8:$BE$68,AW$4-$B207+1)</f>
        <v/>
      </c>
      <c r="AX207" s="75">
        <f>$C207*INDEX(Curves!$BE$8:$BE$68,AX$4-$B207+1)</f>
        <v/>
      </c>
      <c r="AY207" s="75">
        <f>$C207*INDEX(Curves!$BE$8:$BE$68,AY$4-$B207+1)</f>
        <v/>
      </c>
      <c r="AZ207" s="75">
        <f>$C207*INDEX(Curves!$BE$8:$BE$68,AZ$4-$B207+1)</f>
        <v/>
      </c>
      <c r="BA207" s="75">
        <f>$C207*INDEX(Curves!$BE$8:$BE$68,BA$4-$B207+1)</f>
        <v/>
      </c>
      <c r="BB207" s="75">
        <f>$C207*INDEX(Curves!$BE$8:$BE$68,BB$4-$B207+1)</f>
        <v/>
      </c>
      <c r="BC207" s="75">
        <f>$C207*INDEX(Curves!$BE$8:$BE$68,BC$4-$B207+1)</f>
        <v/>
      </c>
      <c r="BD207" s="75">
        <f>$C207*INDEX(Curves!$BE$8:$BE$68,BD$4-$B207+1)</f>
        <v/>
      </c>
      <c r="BE207" s="75">
        <f>$C207*INDEX(Curves!$BE$8:$BE$68,BE$4-$B207+1)</f>
        <v/>
      </c>
      <c r="BF207" s="75">
        <f>$C207*INDEX(Curves!$BE$8:$BE$68,BF$4-$B207+1)</f>
        <v/>
      </c>
      <c r="BG207" s="75">
        <f>$C207*INDEX(Curves!$BE$8:$BE$68,BG$4-$B207+1)</f>
        <v/>
      </c>
      <c r="BH207" s="75">
        <f>$C207*INDEX(Curves!$BE$8:$BE$68,BH$4-$B207+1)</f>
        <v/>
      </c>
      <c r="BI207" s="75">
        <f>$C207*INDEX(Curves!$BE$8:$BE$68,BI$4-$B207+1)</f>
        <v/>
      </c>
      <c r="BJ207" s="75">
        <f>$C207*INDEX(Curves!$BE$8:$BE$68,BJ$4-$B207+1)</f>
        <v/>
      </c>
      <c r="BK207" s="75">
        <f>$C207*INDEX(Curves!$BE$8:$BE$68,BK$4-$B207+1)</f>
        <v/>
      </c>
      <c r="BL207" s="75">
        <f>$C207*INDEX(Curves!$BE$8:$BE$68,BL$4-$B207+1)</f>
        <v/>
      </c>
    </row>
    <row r="208">
      <c r="A208" s="74" t="inlineStr">
        <is>
          <t>Cohort month 10</t>
        </is>
      </c>
      <c r="B208" s="74" t="n">
        <v>10</v>
      </c>
      <c r="C208" s="17">
        <f>INDEX(Ops!$E$110:$BL$110,1,$B208)</f>
        <v/>
      </c>
      <c r="O208" s="75">
        <f>$C208*INDEX(Curves!$BE$8:$BE$68,O$4-$B208+1)</f>
        <v/>
      </c>
      <c r="P208" s="75">
        <f>$C208*INDEX(Curves!$BE$8:$BE$68,P$4-$B208+1)</f>
        <v/>
      </c>
      <c r="Q208" s="75">
        <f>$C208*INDEX(Curves!$BE$8:$BE$68,Q$4-$B208+1)</f>
        <v/>
      </c>
      <c r="R208" s="75">
        <f>$C208*INDEX(Curves!$BE$8:$BE$68,R$4-$B208+1)</f>
        <v/>
      </c>
      <c r="S208" s="75">
        <f>$C208*INDEX(Curves!$BE$8:$BE$68,S$4-$B208+1)</f>
        <v/>
      </c>
      <c r="T208" s="75">
        <f>$C208*INDEX(Curves!$BE$8:$BE$68,T$4-$B208+1)</f>
        <v/>
      </c>
      <c r="U208" s="75">
        <f>$C208*INDEX(Curves!$BE$8:$BE$68,U$4-$B208+1)</f>
        <v/>
      </c>
      <c r="V208" s="75">
        <f>$C208*INDEX(Curves!$BE$8:$BE$68,V$4-$B208+1)</f>
        <v/>
      </c>
      <c r="W208" s="75">
        <f>$C208*INDEX(Curves!$BE$8:$BE$68,W$4-$B208+1)</f>
        <v/>
      </c>
      <c r="X208" s="75">
        <f>$C208*INDEX(Curves!$BE$8:$BE$68,X$4-$B208+1)</f>
        <v/>
      </c>
      <c r="Y208" s="75">
        <f>$C208*INDEX(Curves!$BE$8:$BE$68,Y$4-$B208+1)</f>
        <v/>
      </c>
      <c r="Z208" s="75">
        <f>$C208*INDEX(Curves!$BE$8:$BE$68,Z$4-$B208+1)</f>
        <v/>
      </c>
      <c r="AA208" s="75">
        <f>$C208*INDEX(Curves!$BE$8:$BE$68,AA$4-$B208+1)</f>
        <v/>
      </c>
      <c r="AB208" s="75">
        <f>$C208*INDEX(Curves!$BE$8:$BE$68,AB$4-$B208+1)</f>
        <v/>
      </c>
      <c r="AC208" s="75">
        <f>$C208*INDEX(Curves!$BE$8:$BE$68,AC$4-$B208+1)</f>
        <v/>
      </c>
      <c r="AD208" s="75">
        <f>$C208*INDEX(Curves!$BE$8:$BE$68,AD$4-$B208+1)</f>
        <v/>
      </c>
      <c r="AE208" s="75">
        <f>$C208*INDEX(Curves!$BE$8:$BE$68,AE$4-$B208+1)</f>
        <v/>
      </c>
      <c r="AF208" s="75">
        <f>$C208*INDEX(Curves!$BE$8:$BE$68,AF$4-$B208+1)</f>
        <v/>
      </c>
      <c r="AG208" s="75">
        <f>$C208*INDEX(Curves!$BE$8:$BE$68,AG$4-$B208+1)</f>
        <v/>
      </c>
      <c r="AH208" s="75">
        <f>$C208*INDEX(Curves!$BE$8:$BE$68,AH$4-$B208+1)</f>
        <v/>
      </c>
      <c r="AI208" s="75">
        <f>$C208*INDEX(Curves!$BE$8:$BE$68,AI$4-$B208+1)</f>
        <v/>
      </c>
      <c r="AJ208" s="75">
        <f>$C208*INDEX(Curves!$BE$8:$BE$68,AJ$4-$B208+1)</f>
        <v/>
      </c>
      <c r="AK208" s="75">
        <f>$C208*INDEX(Curves!$BE$8:$BE$68,AK$4-$B208+1)</f>
        <v/>
      </c>
      <c r="AL208" s="75">
        <f>$C208*INDEX(Curves!$BE$8:$BE$68,AL$4-$B208+1)</f>
        <v/>
      </c>
      <c r="AM208" s="75">
        <f>$C208*INDEX(Curves!$BE$8:$BE$68,AM$4-$B208+1)</f>
        <v/>
      </c>
      <c r="AN208" s="75">
        <f>$C208*INDEX(Curves!$BE$8:$BE$68,AN$4-$B208+1)</f>
        <v/>
      </c>
      <c r="AO208" s="75">
        <f>$C208*INDEX(Curves!$BE$8:$BE$68,AO$4-$B208+1)</f>
        <v/>
      </c>
      <c r="AP208" s="75">
        <f>$C208*INDEX(Curves!$BE$8:$BE$68,AP$4-$B208+1)</f>
        <v/>
      </c>
      <c r="AQ208" s="75">
        <f>$C208*INDEX(Curves!$BE$8:$BE$68,AQ$4-$B208+1)</f>
        <v/>
      </c>
      <c r="AR208" s="75">
        <f>$C208*INDEX(Curves!$BE$8:$BE$68,AR$4-$B208+1)</f>
        <v/>
      </c>
      <c r="AS208" s="75">
        <f>$C208*INDEX(Curves!$BE$8:$BE$68,AS$4-$B208+1)</f>
        <v/>
      </c>
      <c r="AT208" s="75">
        <f>$C208*INDEX(Curves!$BE$8:$BE$68,AT$4-$B208+1)</f>
        <v/>
      </c>
      <c r="AU208" s="75">
        <f>$C208*INDEX(Curves!$BE$8:$BE$68,AU$4-$B208+1)</f>
        <v/>
      </c>
      <c r="AV208" s="75">
        <f>$C208*INDEX(Curves!$BE$8:$BE$68,AV$4-$B208+1)</f>
        <v/>
      </c>
      <c r="AW208" s="75">
        <f>$C208*INDEX(Curves!$BE$8:$BE$68,AW$4-$B208+1)</f>
        <v/>
      </c>
      <c r="AX208" s="75">
        <f>$C208*INDEX(Curves!$BE$8:$BE$68,AX$4-$B208+1)</f>
        <v/>
      </c>
      <c r="AY208" s="75">
        <f>$C208*INDEX(Curves!$BE$8:$BE$68,AY$4-$B208+1)</f>
        <v/>
      </c>
      <c r="AZ208" s="75">
        <f>$C208*INDEX(Curves!$BE$8:$BE$68,AZ$4-$B208+1)</f>
        <v/>
      </c>
      <c r="BA208" s="75">
        <f>$C208*INDEX(Curves!$BE$8:$BE$68,BA$4-$B208+1)</f>
        <v/>
      </c>
      <c r="BB208" s="75">
        <f>$C208*INDEX(Curves!$BE$8:$BE$68,BB$4-$B208+1)</f>
        <v/>
      </c>
      <c r="BC208" s="75">
        <f>$C208*INDEX(Curves!$BE$8:$BE$68,BC$4-$B208+1)</f>
        <v/>
      </c>
      <c r="BD208" s="75">
        <f>$C208*INDEX(Curves!$BE$8:$BE$68,BD$4-$B208+1)</f>
        <v/>
      </c>
      <c r="BE208" s="75">
        <f>$C208*INDEX(Curves!$BE$8:$BE$68,BE$4-$B208+1)</f>
        <v/>
      </c>
      <c r="BF208" s="75">
        <f>$C208*INDEX(Curves!$BE$8:$BE$68,BF$4-$B208+1)</f>
        <v/>
      </c>
      <c r="BG208" s="75">
        <f>$C208*INDEX(Curves!$BE$8:$BE$68,BG$4-$B208+1)</f>
        <v/>
      </c>
      <c r="BH208" s="75">
        <f>$C208*INDEX(Curves!$BE$8:$BE$68,BH$4-$B208+1)</f>
        <v/>
      </c>
      <c r="BI208" s="75">
        <f>$C208*INDEX(Curves!$BE$8:$BE$68,BI$4-$B208+1)</f>
        <v/>
      </c>
      <c r="BJ208" s="75">
        <f>$C208*INDEX(Curves!$BE$8:$BE$68,BJ$4-$B208+1)</f>
        <v/>
      </c>
      <c r="BK208" s="75">
        <f>$C208*INDEX(Curves!$BE$8:$BE$68,BK$4-$B208+1)</f>
        <v/>
      </c>
      <c r="BL208" s="75">
        <f>$C208*INDEX(Curves!$BE$8:$BE$68,BL$4-$B208+1)</f>
        <v/>
      </c>
    </row>
    <row r="209">
      <c r="A209" s="74" t="inlineStr">
        <is>
          <t>Cohort month 11</t>
        </is>
      </c>
      <c r="B209" s="74" t="n">
        <v>11</v>
      </c>
      <c r="C209" s="17">
        <f>INDEX(Ops!$E$110:$BL$110,1,$B209)</f>
        <v/>
      </c>
      <c r="P209" s="75">
        <f>$C209*INDEX(Curves!$BE$8:$BE$68,P$4-$B209+1)</f>
        <v/>
      </c>
      <c r="Q209" s="75">
        <f>$C209*INDEX(Curves!$BE$8:$BE$68,Q$4-$B209+1)</f>
        <v/>
      </c>
      <c r="R209" s="75">
        <f>$C209*INDEX(Curves!$BE$8:$BE$68,R$4-$B209+1)</f>
        <v/>
      </c>
      <c r="S209" s="75">
        <f>$C209*INDEX(Curves!$BE$8:$BE$68,S$4-$B209+1)</f>
        <v/>
      </c>
      <c r="T209" s="75">
        <f>$C209*INDEX(Curves!$BE$8:$BE$68,T$4-$B209+1)</f>
        <v/>
      </c>
      <c r="U209" s="75">
        <f>$C209*INDEX(Curves!$BE$8:$BE$68,U$4-$B209+1)</f>
        <v/>
      </c>
      <c r="V209" s="75">
        <f>$C209*INDEX(Curves!$BE$8:$BE$68,V$4-$B209+1)</f>
        <v/>
      </c>
      <c r="W209" s="75">
        <f>$C209*INDEX(Curves!$BE$8:$BE$68,W$4-$B209+1)</f>
        <v/>
      </c>
      <c r="X209" s="75">
        <f>$C209*INDEX(Curves!$BE$8:$BE$68,X$4-$B209+1)</f>
        <v/>
      </c>
      <c r="Y209" s="75">
        <f>$C209*INDEX(Curves!$BE$8:$BE$68,Y$4-$B209+1)</f>
        <v/>
      </c>
      <c r="Z209" s="75">
        <f>$C209*INDEX(Curves!$BE$8:$BE$68,Z$4-$B209+1)</f>
        <v/>
      </c>
      <c r="AA209" s="75">
        <f>$C209*INDEX(Curves!$BE$8:$BE$68,AA$4-$B209+1)</f>
        <v/>
      </c>
      <c r="AB209" s="75">
        <f>$C209*INDEX(Curves!$BE$8:$BE$68,AB$4-$B209+1)</f>
        <v/>
      </c>
      <c r="AC209" s="75">
        <f>$C209*INDEX(Curves!$BE$8:$BE$68,AC$4-$B209+1)</f>
        <v/>
      </c>
      <c r="AD209" s="75">
        <f>$C209*INDEX(Curves!$BE$8:$BE$68,AD$4-$B209+1)</f>
        <v/>
      </c>
      <c r="AE209" s="75">
        <f>$C209*INDEX(Curves!$BE$8:$BE$68,AE$4-$B209+1)</f>
        <v/>
      </c>
      <c r="AF209" s="75">
        <f>$C209*INDEX(Curves!$BE$8:$BE$68,AF$4-$B209+1)</f>
        <v/>
      </c>
      <c r="AG209" s="75">
        <f>$C209*INDEX(Curves!$BE$8:$BE$68,AG$4-$B209+1)</f>
        <v/>
      </c>
      <c r="AH209" s="75">
        <f>$C209*INDEX(Curves!$BE$8:$BE$68,AH$4-$B209+1)</f>
        <v/>
      </c>
      <c r="AI209" s="75">
        <f>$C209*INDEX(Curves!$BE$8:$BE$68,AI$4-$B209+1)</f>
        <v/>
      </c>
      <c r="AJ209" s="75">
        <f>$C209*INDEX(Curves!$BE$8:$BE$68,AJ$4-$B209+1)</f>
        <v/>
      </c>
      <c r="AK209" s="75">
        <f>$C209*INDEX(Curves!$BE$8:$BE$68,AK$4-$B209+1)</f>
        <v/>
      </c>
      <c r="AL209" s="75">
        <f>$C209*INDEX(Curves!$BE$8:$BE$68,AL$4-$B209+1)</f>
        <v/>
      </c>
      <c r="AM209" s="75">
        <f>$C209*INDEX(Curves!$BE$8:$BE$68,AM$4-$B209+1)</f>
        <v/>
      </c>
      <c r="AN209" s="75">
        <f>$C209*INDEX(Curves!$BE$8:$BE$68,AN$4-$B209+1)</f>
        <v/>
      </c>
      <c r="AO209" s="75">
        <f>$C209*INDEX(Curves!$BE$8:$BE$68,AO$4-$B209+1)</f>
        <v/>
      </c>
      <c r="AP209" s="75">
        <f>$C209*INDEX(Curves!$BE$8:$BE$68,AP$4-$B209+1)</f>
        <v/>
      </c>
      <c r="AQ209" s="75">
        <f>$C209*INDEX(Curves!$BE$8:$BE$68,AQ$4-$B209+1)</f>
        <v/>
      </c>
      <c r="AR209" s="75">
        <f>$C209*INDEX(Curves!$BE$8:$BE$68,AR$4-$B209+1)</f>
        <v/>
      </c>
      <c r="AS209" s="75">
        <f>$C209*INDEX(Curves!$BE$8:$BE$68,AS$4-$B209+1)</f>
        <v/>
      </c>
      <c r="AT209" s="75">
        <f>$C209*INDEX(Curves!$BE$8:$BE$68,AT$4-$B209+1)</f>
        <v/>
      </c>
      <c r="AU209" s="75">
        <f>$C209*INDEX(Curves!$BE$8:$BE$68,AU$4-$B209+1)</f>
        <v/>
      </c>
      <c r="AV209" s="75">
        <f>$C209*INDEX(Curves!$BE$8:$BE$68,AV$4-$B209+1)</f>
        <v/>
      </c>
      <c r="AW209" s="75">
        <f>$C209*INDEX(Curves!$BE$8:$BE$68,AW$4-$B209+1)</f>
        <v/>
      </c>
      <c r="AX209" s="75">
        <f>$C209*INDEX(Curves!$BE$8:$BE$68,AX$4-$B209+1)</f>
        <v/>
      </c>
      <c r="AY209" s="75">
        <f>$C209*INDEX(Curves!$BE$8:$BE$68,AY$4-$B209+1)</f>
        <v/>
      </c>
      <c r="AZ209" s="75">
        <f>$C209*INDEX(Curves!$BE$8:$BE$68,AZ$4-$B209+1)</f>
        <v/>
      </c>
      <c r="BA209" s="75">
        <f>$C209*INDEX(Curves!$BE$8:$BE$68,BA$4-$B209+1)</f>
        <v/>
      </c>
      <c r="BB209" s="75">
        <f>$C209*INDEX(Curves!$BE$8:$BE$68,BB$4-$B209+1)</f>
        <v/>
      </c>
      <c r="BC209" s="75">
        <f>$C209*INDEX(Curves!$BE$8:$BE$68,BC$4-$B209+1)</f>
        <v/>
      </c>
      <c r="BD209" s="75">
        <f>$C209*INDEX(Curves!$BE$8:$BE$68,BD$4-$B209+1)</f>
        <v/>
      </c>
      <c r="BE209" s="75">
        <f>$C209*INDEX(Curves!$BE$8:$BE$68,BE$4-$B209+1)</f>
        <v/>
      </c>
      <c r="BF209" s="75">
        <f>$C209*INDEX(Curves!$BE$8:$BE$68,BF$4-$B209+1)</f>
        <v/>
      </c>
      <c r="BG209" s="75">
        <f>$C209*INDEX(Curves!$BE$8:$BE$68,BG$4-$B209+1)</f>
        <v/>
      </c>
      <c r="BH209" s="75">
        <f>$C209*INDEX(Curves!$BE$8:$BE$68,BH$4-$B209+1)</f>
        <v/>
      </c>
      <c r="BI209" s="75">
        <f>$C209*INDEX(Curves!$BE$8:$BE$68,BI$4-$B209+1)</f>
        <v/>
      </c>
      <c r="BJ209" s="75">
        <f>$C209*INDEX(Curves!$BE$8:$BE$68,BJ$4-$B209+1)</f>
        <v/>
      </c>
      <c r="BK209" s="75">
        <f>$C209*INDEX(Curves!$BE$8:$BE$68,BK$4-$B209+1)</f>
        <v/>
      </c>
      <c r="BL209" s="75">
        <f>$C209*INDEX(Curves!$BE$8:$BE$68,BL$4-$B209+1)</f>
        <v/>
      </c>
    </row>
    <row r="210">
      <c r="A210" s="74" t="inlineStr">
        <is>
          <t>Cohort month 12</t>
        </is>
      </c>
      <c r="B210" s="74" t="n">
        <v>12</v>
      </c>
      <c r="C210" s="17">
        <f>INDEX(Ops!$E$110:$BL$110,1,$B210)</f>
        <v/>
      </c>
      <c r="Q210" s="75">
        <f>$C210*INDEX(Curves!$BE$8:$BE$68,Q$4-$B210+1)</f>
        <v/>
      </c>
      <c r="R210" s="75">
        <f>$C210*INDEX(Curves!$BE$8:$BE$68,R$4-$B210+1)</f>
        <v/>
      </c>
      <c r="S210" s="75">
        <f>$C210*INDEX(Curves!$BE$8:$BE$68,S$4-$B210+1)</f>
        <v/>
      </c>
      <c r="T210" s="75">
        <f>$C210*INDEX(Curves!$BE$8:$BE$68,T$4-$B210+1)</f>
        <v/>
      </c>
      <c r="U210" s="75">
        <f>$C210*INDEX(Curves!$BE$8:$BE$68,U$4-$B210+1)</f>
        <v/>
      </c>
      <c r="V210" s="75">
        <f>$C210*INDEX(Curves!$BE$8:$BE$68,V$4-$B210+1)</f>
        <v/>
      </c>
      <c r="W210" s="75">
        <f>$C210*INDEX(Curves!$BE$8:$BE$68,W$4-$B210+1)</f>
        <v/>
      </c>
      <c r="X210" s="75">
        <f>$C210*INDEX(Curves!$BE$8:$BE$68,X$4-$B210+1)</f>
        <v/>
      </c>
      <c r="Y210" s="75">
        <f>$C210*INDEX(Curves!$BE$8:$BE$68,Y$4-$B210+1)</f>
        <v/>
      </c>
      <c r="Z210" s="75">
        <f>$C210*INDEX(Curves!$BE$8:$BE$68,Z$4-$B210+1)</f>
        <v/>
      </c>
      <c r="AA210" s="75">
        <f>$C210*INDEX(Curves!$BE$8:$BE$68,AA$4-$B210+1)</f>
        <v/>
      </c>
      <c r="AB210" s="75">
        <f>$C210*INDEX(Curves!$BE$8:$BE$68,AB$4-$B210+1)</f>
        <v/>
      </c>
      <c r="AC210" s="75">
        <f>$C210*INDEX(Curves!$BE$8:$BE$68,AC$4-$B210+1)</f>
        <v/>
      </c>
      <c r="AD210" s="75">
        <f>$C210*INDEX(Curves!$BE$8:$BE$68,AD$4-$B210+1)</f>
        <v/>
      </c>
      <c r="AE210" s="75">
        <f>$C210*INDEX(Curves!$BE$8:$BE$68,AE$4-$B210+1)</f>
        <v/>
      </c>
      <c r="AF210" s="75">
        <f>$C210*INDEX(Curves!$BE$8:$BE$68,AF$4-$B210+1)</f>
        <v/>
      </c>
      <c r="AG210" s="75">
        <f>$C210*INDEX(Curves!$BE$8:$BE$68,AG$4-$B210+1)</f>
        <v/>
      </c>
      <c r="AH210" s="75">
        <f>$C210*INDEX(Curves!$BE$8:$BE$68,AH$4-$B210+1)</f>
        <v/>
      </c>
      <c r="AI210" s="75">
        <f>$C210*INDEX(Curves!$BE$8:$BE$68,AI$4-$B210+1)</f>
        <v/>
      </c>
      <c r="AJ210" s="75">
        <f>$C210*INDEX(Curves!$BE$8:$BE$68,AJ$4-$B210+1)</f>
        <v/>
      </c>
      <c r="AK210" s="75">
        <f>$C210*INDEX(Curves!$BE$8:$BE$68,AK$4-$B210+1)</f>
        <v/>
      </c>
      <c r="AL210" s="75">
        <f>$C210*INDEX(Curves!$BE$8:$BE$68,AL$4-$B210+1)</f>
        <v/>
      </c>
      <c r="AM210" s="75">
        <f>$C210*INDEX(Curves!$BE$8:$BE$68,AM$4-$B210+1)</f>
        <v/>
      </c>
      <c r="AN210" s="75">
        <f>$C210*INDEX(Curves!$BE$8:$BE$68,AN$4-$B210+1)</f>
        <v/>
      </c>
      <c r="AO210" s="75">
        <f>$C210*INDEX(Curves!$BE$8:$BE$68,AO$4-$B210+1)</f>
        <v/>
      </c>
      <c r="AP210" s="75">
        <f>$C210*INDEX(Curves!$BE$8:$BE$68,AP$4-$B210+1)</f>
        <v/>
      </c>
      <c r="AQ210" s="75">
        <f>$C210*INDEX(Curves!$BE$8:$BE$68,AQ$4-$B210+1)</f>
        <v/>
      </c>
      <c r="AR210" s="75">
        <f>$C210*INDEX(Curves!$BE$8:$BE$68,AR$4-$B210+1)</f>
        <v/>
      </c>
      <c r="AS210" s="75">
        <f>$C210*INDEX(Curves!$BE$8:$BE$68,AS$4-$B210+1)</f>
        <v/>
      </c>
      <c r="AT210" s="75">
        <f>$C210*INDEX(Curves!$BE$8:$BE$68,AT$4-$B210+1)</f>
        <v/>
      </c>
      <c r="AU210" s="75">
        <f>$C210*INDEX(Curves!$BE$8:$BE$68,AU$4-$B210+1)</f>
        <v/>
      </c>
      <c r="AV210" s="75">
        <f>$C210*INDEX(Curves!$BE$8:$BE$68,AV$4-$B210+1)</f>
        <v/>
      </c>
      <c r="AW210" s="75">
        <f>$C210*INDEX(Curves!$BE$8:$BE$68,AW$4-$B210+1)</f>
        <v/>
      </c>
      <c r="AX210" s="75">
        <f>$C210*INDEX(Curves!$BE$8:$BE$68,AX$4-$B210+1)</f>
        <v/>
      </c>
      <c r="AY210" s="75">
        <f>$C210*INDEX(Curves!$BE$8:$BE$68,AY$4-$B210+1)</f>
        <v/>
      </c>
      <c r="AZ210" s="75">
        <f>$C210*INDEX(Curves!$BE$8:$BE$68,AZ$4-$B210+1)</f>
        <v/>
      </c>
      <c r="BA210" s="75">
        <f>$C210*INDEX(Curves!$BE$8:$BE$68,BA$4-$B210+1)</f>
        <v/>
      </c>
      <c r="BB210" s="75">
        <f>$C210*INDEX(Curves!$BE$8:$BE$68,BB$4-$B210+1)</f>
        <v/>
      </c>
      <c r="BC210" s="75">
        <f>$C210*INDEX(Curves!$BE$8:$BE$68,BC$4-$B210+1)</f>
        <v/>
      </c>
      <c r="BD210" s="75">
        <f>$C210*INDEX(Curves!$BE$8:$BE$68,BD$4-$B210+1)</f>
        <v/>
      </c>
      <c r="BE210" s="75">
        <f>$C210*INDEX(Curves!$BE$8:$BE$68,BE$4-$B210+1)</f>
        <v/>
      </c>
      <c r="BF210" s="75">
        <f>$C210*INDEX(Curves!$BE$8:$BE$68,BF$4-$B210+1)</f>
        <v/>
      </c>
      <c r="BG210" s="75">
        <f>$C210*INDEX(Curves!$BE$8:$BE$68,BG$4-$B210+1)</f>
        <v/>
      </c>
      <c r="BH210" s="75">
        <f>$C210*INDEX(Curves!$BE$8:$BE$68,BH$4-$B210+1)</f>
        <v/>
      </c>
      <c r="BI210" s="75">
        <f>$C210*INDEX(Curves!$BE$8:$BE$68,BI$4-$B210+1)</f>
        <v/>
      </c>
      <c r="BJ210" s="75">
        <f>$C210*INDEX(Curves!$BE$8:$BE$68,BJ$4-$B210+1)</f>
        <v/>
      </c>
      <c r="BK210" s="75">
        <f>$C210*INDEX(Curves!$BE$8:$BE$68,BK$4-$B210+1)</f>
        <v/>
      </c>
      <c r="BL210" s="75">
        <f>$C210*INDEX(Curves!$BE$8:$BE$68,BL$4-$B210+1)</f>
        <v/>
      </c>
    </row>
    <row r="211">
      <c r="A211" s="74" t="inlineStr">
        <is>
          <t>Cohort month 13</t>
        </is>
      </c>
      <c r="B211" s="74" t="n">
        <v>13</v>
      </c>
      <c r="C211" s="17">
        <f>INDEX(Ops!$E$110:$BL$110,1,$B211)</f>
        <v/>
      </c>
      <c r="R211" s="75">
        <f>$C211*INDEX(Curves!$BE$8:$BE$68,R$4-$B211+1)</f>
        <v/>
      </c>
      <c r="S211" s="75">
        <f>$C211*INDEX(Curves!$BE$8:$BE$68,S$4-$B211+1)</f>
        <v/>
      </c>
      <c r="T211" s="75">
        <f>$C211*INDEX(Curves!$BE$8:$BE$68,T$4-$B211+1)</f>
        <v/>
      </c>
      <c r="U211" s="75">
        <f>$C211*INDEX(Curves!$BE$8:$BE$68,U$4-$B211+1)</f>
        <v/>
      </c>
      <c r="V211" s="75">
        <f>$C211*INDEX(Curves!$BE$8:$BE$68,V$4-$B211+1)</f>
        <v/>
      </c>
      <c r="W211" s="75">
        <f>$C211*INDEX(Curves!$BE$8:$BE$68,W$4-$B211+1)</f>
        <v/>
      </c>
      <c r="X211" s="75">
        <f>$C211*INDEX(Curves!$BE$8:$BE$68,X$4-$B211+1)</f>
        <v/>
      </c>
      <c r="Y211" s="75">
        <f>$C211*INDEX(Curves!$BE$8:$BE$68,Y$4-$B211+1)</f>
        <v/>
      </c>
      <c r="Z211" s="75">
        <f>$C211*INDEX(Curves!$BE$8:$BE$68,Z$4-$B211+1)</f>
        <v/>
      </c>
      <c r="AA211" s="75">
        <f>$C211*INDEX(Curves!$BE$8:$BE$68,AA$4-$B211+1)</f>
        <v/>
      </c>
      <c r="AB211" s="75">
        <f>$C211*INDEX(Curves!$BE$8:$BE$68,AB$4-$B211+1)</f>
        <v/>
      </c>
      <c r="AC211" s="75">
        <f>$C211*INDEX(Curves!$BE$8:$BE$68,AC$4-$B211+1)</f>
        <v/>
      </c>
      <c r="AD211" s="75">
        <f>$C211*INDEX(Curves!$BE$8:$BE$68,AD$4-$B211+1)</f>
        <v/>
      </c>
      <c r="AE211" s="75">
        <f>$C211*INDEX(Curves!$BE$8:$BE$68,AE$4-$B211+1)</f>
        <v/>
      </c>
      <c r="AF211" s="75">
        <f>$C211*INDEX(Curves!$BE$8:$BE$68,AF$4-$B211+1)</f>
        <v/>
      </c>
      <c r="AG211" s="75">
        <f>$C211*INDEX(Curves!$BE$8:$BE$68,AG$4-$B211+1)</f>
        <v/>
      </c>
      <c r="AH211" s="75">
        <f>$C211*INDEX(Curves!$BE$8:$BE$68,AH$4-$B211+1)</f>
        <v/>
      </c>
      <c r="AI211" s="75">
        <f>$C211*INDEX(Curves!$BE$8:$BE$68,AI$4-$B211+1)</f>
        <v/>
      </c>
      <c r="AJ211" s="75">
        <f>$C211*INDEX(Curves!$BE$8:$BE$68,AJ$4-$B211+1)</f>
        <v/>
      </c>
      <c r="AK211" s="75">
        <f>$C211*INDEX(Curves!$BE$8:$BE$68,AK$4-$B211+1)</f>
        <v/>
      </c>
      <c r="AL211" s="75">
        <f>$C211*INDEX(Curves!$BE$8:$BE$68,AL$4-$B211+1)</f>
        <v/>
      </c>
      <c r="AM211" s="75">
        <f>$C211*INDEX(Curves!$BE$8:$BE$68,AM$4-$B211+1)</f>
        <v/>
      </c>
      <c r="AN211" s="75">
        <f>$C211*INDEX(Curves!$BE$8:$BE$68,AN$4-$B211+1)</f>
        <v/>
      </c>
      <c r="AO211" s="75">
        <f>$C211*INDEX(Curves!$BE$8:$BE$68,AO$4-$B211+1)</f>
        <v/>
      </c>
      <c r="AP211" s="75">
        <f>$C211*INDEX(Curves!$BE$8:$BE$68,AP$4-$B211+1)</f>
        <v/>
      </c>
      <c r="AQ211" s="75">
        <f>$C211*INDEX(Curves!$BE$8:$BE$68,AQ$4-$B211+1)</f>
        <v/>
      </c>
      <c r="AR211" s="75">
        <f>$C211*INDEX(Curves!$BE$8:$BE$68,AR$4-$B211+1)</f>
        <v/>
      </c>
      <c r="AS211" s="75">
        <f>$C211*INDEX(Curves!$BE$8:$BE$68,AS$4-$B211+1)</f>
        <v/>
      </c>
      <c r="AT211" s="75">
        <f>$C211*INDEX(Curves!$BE$8:$BE$68,AT$4-$B211+1)</f>
        <v/>
      </c>
      <c r="AU211" s="75">
        <f>$C211*INDEX(Curves!$BE$8:$BE$68,AU$4-$B211+1)</f>
        <v/>
      </c>
      <c r="AV211" s="75">
        <f>$C211*INDEX(Curves!$BE$8:$BE$68,AV$4-$B211+1)</f>
        <v/>
      </c>
      <c r="AW211" s="75">
        <f>$C211*INDEX(Curves!$BE$8:$BE$68,AW$4-$B211+1)</f>
        <v/>
      </c>
      <c r="AX211" s="75">
        <f>$C211*INDEX(Curves!$BE$8:$BE$68,AX$4-$B211+1)</f>
        <v/>
      </c>
      <c r="AY211" s="75">
        <f>$C211*INDEX(Curves!$BE$8:$BE$68,AY$4-$B211+1)</f>
        <v/>
      </c>
      <c r="AZ211" s="75">
        <f>$C211*INDEX(Curves!$BE$8:$BE$68,AZ$4-$B211+1)</f>
        <v/>
      </c>
      <c r="BA211" s="75">
        <f>$C211*INDEX(Curves!$BE$8:$BE$68,BA$4-$B211+1)</f>
        <v/>
      </c>
      <c r="BB211" s="75">
        <f>$C211*INDEX(Curves!$BE$8:$BE$68,BB$4-$B211+1)</f>
        <v/>
      </c>
      <c r="BC211" s="75">
        <f>$C211*INDEX(Curves!$BE$8:$BE$68,BC$4-$B211+1)</f>
        <v/>
      </c>
      <c r="BD211" s="75">
        <f>$C211*INDEX(Curves!$BE$8:$BE$68,BD$4-$B211+1)</f>
        <v/>
      </c>
      <c r="BE211" s="75">
        <f>$C211*INDEX(Curves!$BE$8:$BE$68,BE$4-$B211+1)</f>
        <v/>
      </c>
      <c r="BF211" s="75">
        <f>$C211*INDEX(Curves!$BE$8:$BE$68,BF$4-$B211+1)</f>
        <v/>
      </c>
      <c r="BG211" s="75">
        <f>$C211*INDEX(Curves!$BE$8:$BE$68,BG$4-$B211+1)</f>
        <v/>
      </c>
      <c r="BH211" s="75">
        <f>$C211*INDEX(Curves!$BE$8:$BE$68,BH$4-$B211+1)</f>
        <v/>
      </c>
      <c r="BI211" s="75">
        <f>$C211*INDEX(Curves!$BE$8:$BE$68,BI$4-$B211+1)</f>
        <v/>
      </c>
      <c r="BJ211" s="75">
        <f>$C211*INDEX(Curves!$BE$8:$BE$68,BJ$4-$B211+1)</f>
        <v/>
      </c>
      <c r="BK211" s="75">
        <f>$C211*INDEX(Curves!$BE$8:$BE$68,BK$4-$B211+1)</f>
        <v/>
      </c>
      <c r="BL211" s="75">
        <f>$C211*INDEX(Curves!$BE$8:$BE$68,BL$4-$B211+1)</f>
        <v/>
      </c>
    </row>
    <row r="212">
      <c r="A212" s="74" t="inlineStr">
        <is>
          <t>Cohort month 14</t>
        </is>
      </c>
      <c r="B212" s="74" t="n">
        <v>14</v>
      </c>
      <c r="C212" s="17">
        <f>INDEX(Ops!$E$110:$BL$110,1,$B212)</f>
        <v/>
      </c>
      <c r="S212" s="75">
        <f>$C212*INDEX(Curves!$BE$8:$BE$68,S$4-$B212+1)</f>
        <v/>
      </c>
      <c r="T212" s="75">
        <f>$C212*INDEX(Curves!$BE$8:$BE$68,T$4-$B212+1)</f>
        <v/>
      </c>
      <c r="U212" s="75">
        <f>$C212*INDEX(Curves!$BE$8:$BE$68,U$4-$B212+1)</f>
        <v/>
      </c>
      <c r="V212" s="75">
        <f>$C212*INDEX(Curves!$BE$8:$BE$68,V$4-$B212+1)</f>
        <v/>
      </c>
      <c r="W212" s="75">
        <f>$C212*INDEX(Curves!$BE$8:$BE$68,W$4-$B212+1)</f>
        <v/>
      </c>
      <c r="X212" s="75">
        <f>$C212*INDEX(Curves!$BE$8:$BE$68,X$4-$B212+1)</f>
        <v/>
      </c>
      <c r="Y212" s="75">
        <f>$C212*INDEX(Curves!$BE$8:$BE$68,Y$4-$B212+1)</f>
        <v/>
      </c>
      <c r="Z212" s="75">
        <f>$C212*INDEX(Curves!$BE$8:$BE$68,Z$4-$B212+1)</f>
        <v/>
      </c>
      <c r="AA212" s="75">
        <f>$C212*INDEX(Curves!$BE$8:$BE$68,AA$4-$B212+1)</f>
        <v/>
      </c>
      <c r="AB212" s="75">
        <f>$C212*INDEX(Curves!$BE$8:$BE$68,AB$4-$B212+1)</f>
        <v/>
      </c>
      <c r="AC212" s="75">
        <f>$C212*INDEX(Curves!$BE$8:$BE$68,AC$4-$B212+1)</f>
        <v/>
      </c>
      <c r="AD212" s="75">
        <f>$C212*INDEX(Curves!$BE$8:$BE$68,AD$4-$B212+1)</f>
        <v/>
      </c>
      <c r="AE212" s="75">
        <f>$C212*INDEX(Curves!$BE$8:$BE$68,AE$4-$B212+1)</f>
        <v/>
      </c>
      <c r="AF212" s="75">
        <f>$C212*INDEX(Curves!$BE$8:$BE$68,AF$4-$B212+1)</f>
        <v/>
      </c>
      <c r="AG212" s="75">
        <f>$C212*INDEX(Curves!$BE$8:$BE$68,AG$4-$B212+1)</f>
        <v/>
      </c>
      <c r="AH212" s="75">
        <f>$C212*INDEX(Curves!$BE$8:$BE$68,AH$4-$B212+1)</f>
        <v/>
      </c>
      <c r="AI212" s="75">
        <f>$C212*INDEX(Curves!$BE$8:$BE$68,AI$4-$B212+1)</f>
        <v/>
      </c>
      <c r="AJ212" s="75">
        <f>$C212*INDEX(Curves!$BE$8:$BE$68,AJ$4-$B212+1)</f>
        <v/>
      </c>
      <c r="AK212" s="75">
        <f>$C212*INDEX(Curves!$BE$8:$BE$68,AK$4-$B212+1)</f>
        <v/>
      </c>
      <c r="AL212" s="75">
        <f>$C212*INDEX(Curves!$BE$8:$BE$68,AL$4-$B212+1)</f>
        <v/>
      </c>
      <c r="AM212" s="75">
        <f>$C212*INDEX(Curves!$BE$8:$BE$68,AM$4-$B212+1)</f>
        <v/>
      </c>
      <c r="AN212" s="75">
        <f>$C212*INDEX(Curves!$BE$8:$BE$68,AN$4-$B212+1)</f>
        <v/>
      </c>
      <c r="AO212" s="75">
        <f>$C212*INDEX(Curves!$BE$8:$BE$68,AO$4-$B212+1)</f>
        <v/>
      </c>
      <c r="AP212" s="75">
        <f>$C212*INDEX(Curves!$BE$8:$BE$68,AP$4-$B212+1)</f>
        <v/>
      </c>
      <c r="AQ212" s="75">
        <f>$C212*INDEX(Curves!$BE$8:$BE$68,AQ$4-$B212+1)</f>
        <v/>
      </c>
      <c r="AR212" s="75">
        <f>$C212*INDEX(Curves!$BE$8:$BE$68,AR$4-$B212+1)</f>
        <v/>
      </c>
      <c r="AS212" s="75">
        <f>$C212*INDEX(Curves!$BE$8:$BE$68,AS$4-$B212+1)</f>
        <v/>
      </c>
      <c r="AT212" s="75">
        <f>$C212*INDEX(Curves!$BE$8:$BE$68,AT$4-$B212+1)</f>
        <v/>
      </c>
      <c r="AU212" s="75">
        <f>$C212*INDEX(Curves!$BE$8:$BE$68,AU$4-$B212+1)</f>
        <v/>
      </c>
      <c r="AV212" s="75">
        <f>$C212*INDEX(Curves!$BE$8:$BE$68,AV$4-$B212+1)</f>
        <v/>
      </c>
      <c r="AW212" s="75">
        <f>$C212*INDEX(Curves!$BE$8:$BE$68,AW$4-$B212+1)</f>
        <v/>
      </c>
      <c r="AX212" s="75">
        <f>$C212*INDEX(Curves!$BE$8:$BE$68,AX$4-$B212+1)</f>
        <v/>
      </c>
      <c r="AY212" s="75">
        <f>$C212*INDEX(Curves!$BE$8:$BE$68,AY$4-$B212+1)</f>
        <v/>
      </c>
      <c r="AZ212" s="75">
        <f>$C212*INDEX(Curves!$BE$8:$BE$68,AZ$4-$B212+1)</f>
        <v/>
      </c>
      <c r="BA212" s="75">
        <f>$C212*INDEX(Curves!$BE$8:$BE$68,BA$4-$B212+1)</f>
        <v/>
      </c>
      <c r="BB212" s="75">
        <f>$C212*INDEX(Curves!$BE$8:$BE$68,BB$4-$B212+1)</f>
        <v/>
      </c>
      <c r="BC212" s="75">
        <f>$C212*INDEX(Curves!$BE$8:$BE$68,BC$4-$B212+1)</f>
        <v/>
      </c>
      <c r="BD212" s="75">
        <f>$C212*INDEX(Curves!$BE$8:$BE$68,BD$4-$B212+1)</f>
        <v/>
      </c>
      <c r="BE212" s="75">
        <f>$C212*INDEX(Curves!$BE$8:$BE$68,BE$4-$B212+1)</f>
        <v/>
      </c>
      <c r="BF212" s="75">
        <f>$C212*INDEX(Curves!$BE$8:$BE$68,BF$4-$B212+1)</f>
        <v/>
      </c>
      <c r="BG212" s="75">
        <f>$C212*INDEX(Curves!$BE$8:$BE$68,BG$4-$B212+1)</f>
        <v/>
      </c>
      <c r="BH212" s="75">
        <f>$C212*INDEX(Curves!$BE$8:$BE$68,BH$4-$B212+1)</f>
        <v/>
      </c>
      <c r="BI212" s="75">
        <f>$C212*INDEX(Curves!$BE$8:$BE$68,BI$4-$B212+1)</f>
        <v/>
      </c>
      <c r="BJ212" s="75">
        <f>$C212*INDEX(Curves!$BE$8:$BE$68,BJ$4-$B212+1)</f>
        <v/>
      </c>
      <c r="BK212" s="75">
        <f>$C212*INDEX(Curves!$BE$8:$BE$68,BK$4-$B212+1)</f>
        <v/>
      </c>
      <c r="BL212" s="75">
        <f>$C212*INDEX(Curves!$BE$8:$BE$68,BL$4-$B212+1)</f>
        <v/>
      </c>
    </row>
    <row r="213">
      <c r="A213" s="74" t="inlineStr">
        <is>
          <t>Cohort month 15</t>
        </is>
      </c>
      <c r="B213" s="74" t="n">
        <v>15</v>
      </c>
      <c r="C213" s="17">
        <f>INDEX(Ops!$E$110:$BL$110,1,$B213)</f>
        <v/>
      </c>
      <c r="T213" s="75">
        <f>$C213*INDEX(Curves!$BE$8:$BE$68,T$4-$B213+1)</f>
        <v/>
      </c>
      <c r="U213" s="75">
        <f>$C213*INDEX(Curves!$BE$8:$BE$68,U$4-$B213+1)</f>
        <v/>
      </c>
      <c r="V213" s="75">
        <f>$C213*INDEX(Curves!$BE$8:$BE$68,V$4-$B213+1)</f>
        <v/>
      </c>
      <c r="W213" s="75">
        <f>$C213*INDEX(Curves!$BE$8:$BE$68,W$4-$B213+1)</f>
        <v/>
      </c>
      <c r="X213" s="75">
        <f>$C213*INDEX(Curves!$BE$8:$BE$68,X$4-$B213+1)</f>
        <v/>
      </c>
      <c r="Y213" s="75">
        <f>$C213*INDEX(Curves!$BE$8:$BE$68,Y$4-$B213+1)</f>
        <v/>
      </c>
      <c r="Z213" s="75">
        <f>$C213*INDEX(Curves!$BE$8:$BE$68,Z$4-$B213+1)</f>
        <v/>
      </c>
      <c r="AA213" s="75">
        <f>$C213*INDEX(Curves!$BE$8:$BE$68,AA$4-$B213+1)</f>
        <v/>
      </c>
      <c r="AB213" s="75">
        <f>$C213*INDEX(Curves!$BE$8:$BE$68,AB$4-$B213+1)</f>
        <v/>
      </c>
      <c r="AC213" s="75">
        <f>$C213*INDEX(Curves!$BE$8:$BE$68,AC$4-$B213+1)</f>
        <v/>
      </c>
      <c r="AD213" s="75">
        <f>$C213*INDEX(Curves!$BE$8:$BE$68,AD$4-$B213+1)</f>
        <v/>
      </c>
      <c r="AE213" s="75">
        <f>$C213*INDEX(Curves!$BE$8:$BE$68,AE$4-$B213+1)</f>
        <v/>
      </c>
      <c r="AF213" s="75">
        <f>$C213*INDEX(Curves!$BE$8:$BE$68,AF$4-$B213+1)</f>
        <v/>
      </c>
      <c r="AG213" s="75">
        <f>$C213*INDEX(Curves!$BE$8:$BE$68,AG$4-$B213+1)</f>
        <v/>
      </c>
      <c r="AH213" s="75">
        <f>$C213*INDEX(Curves!$BE$8:$BE$68,AH$4-$B213+1)</f>
        <v/>
      </c>
      <c r="AI213" s="75">
        <f>$C213*INDEX(Curves!$BE$8:$BE$68,AI$4-$B213+1)</f>
        <v/>
      </c>
      <c r="AJ213" s="75">
        <f>$C213*INDEX(Curves!$BE$8:$BE$68,AJ$4-$B213+1)</f>
        <v/>
      </c>
      <c r="AK213" s="75">
        <f>$C213*INDEX(Curves!$BE$8:$BE$68,AK$4-$B213+1)</f>
        <v/>
      </c>
      <c r="AL213" s="75">
        <f>$C213*INDEX(Curves!$BE$8:$BE$68,AL$4-$B213+1)</f>
        <v/>
      </c>
      <c r="AM213" s="75">
        <f>$C213*INDEX(Curves!$BE$8:$BE$68,AM$4-$B213+1)</f>
        <v/>
      </c>
      <c r="AN213" s="75">
        <f>$C213*INDEX(Curves!$BE$8:$BE$68,AN$4-$B213+1)</f>
        <v/>
      </c>
      <c r="AO213" s="75">
        <f>$C213*INDEX(Curves!$BE$8:$BE$68,AO$4-$B213+1)</f>
        <v/>
      </c>
      <c r="AP213" s="75">
        <f>$C213*INDEX(Curves!$BE$8:$BE$68,AP$4-$B213+1)</f>
        <v/>
      </c>
      <c r="AQ213" s="75">
        <f>$C213*INDEX(Curves!$BE$8:$BE$68,AQ$4-$B213+1)</f>
        <v/>
      </c>
      <c r="AR213" s="75">
        <f>$C213*INDEX(Curves!$BE$8:$BE$68,AR$4-$B213+1)</f>
        <v/>
      </c>
      <c r="AS213" s="75">
        <f>$C213*INDEX(Curves!$BE$8:$BE$68,AS$4-$B213+1)</f>
        <v/>
      </c>
      <c r="AT213" s="75">
        <f>$C213*INDEX(Curves!$BE$8:$BE$68,AT$4-$B213+1)</f>
        <v/>
      </c>
      <c r="AU213" s="75">
        <f>$C213*INDEX(Curves!$BE$8:$BE$68,AU$4-$B213+1)</f>
        <v/>
      </c>
      <c r="AV213" s="75">
        <f>$C213*INDEX(Curves!$BE$8:$BE$68,AV$4-$B213+1)</f>
        <v/>
      </c>
      <c r="AW213" s="75">
        <f>$C213*INDEX(Curves!$BE$8:$BE$68,AW$4-$B213+1)</f>
        <v/>
      </c>
      <c r="AX213" s="75">
        <f>$C213*INDEX(Curves!$BE$8:$BE$68,AX$4-$B213+1)</f>
        <v/>
      </c>
      <c r="AY213" s="75">
        <f>$C213*INDEX(Curves!$BE$8:$BE$68,AY$4-$B213+1)</f>
        <v/>
      </c>
      <c r="AZ213" s="75">
        <f>$C213*INDEX(Curves!$BE$8:$BE$68,AZ$4-$B213+1)</f>
        <v/>
      </c>
      <c r="BA213" s="75">
        <f>$C213*INDEX(Curves!$BE$8:$BE$68,BA$4-$B213+1)</f>
        <v/>
      </c>
      <c r="BB213" s="75">
        <f>$C213*INDEX(Curves!$BE$8:$BE$68,BB$4-$B213+1)</f>
        <v/>
      </c>
      <c r="BC213" s="75">
        <f>$C213*INDEX(Curves!$BE$8:$BE$68,BC$4-$B213+1)</f>
        <v/>
      </c>
      <c r="BD213" s="75">
        <f>$C213*INDEX(Curves!$BE$8:$BE$68,BD$4-$B213+1)</f>
        <v/>
      </c>
      <c r="BE213" s="75">
        <f>$C213*INDEX(Curves!$BE$8:$BE$68,BE$4-$B213+1)</f>
        <v/>
      </c>
      <c r="BF213" s="75">
        <f>$C213*INDEX(Curves!$BE$8:$BE$68,BF$4-$B213+1)</f>
        <v/>
      </c>
      <c r="BG213" s="75">
        <f>$C213*INDEX(Curves!$BE$8:$BE$68,BG$4-$B213+1)</f>
        <v/>
      </c>
      <c r="BH213" s="75">
        <f>$C213*INDEX(Curves!$BE$8:$BE$68,BH$4-$B213+1)</f>
        <v/>
      </c>
      <c r="BI213" s="75">
        <f>$C213*INDEX(Curves!$BE$8:$BE$68,BI$4-$B213+1)</f>
        <v/>
      </c>
      <c r="BJ213" s="75">
        <f>$C213*INDEX(Curves!$BE$8:$BE$68,BJ$4-$B213+1)</f>
        <v/>
      </c>
      <c r="BK213" s="75">
        <f>$C213*INDEX(Curves!$BE$8:$BE$68,BK$4-$B213+1)</f>
        <v/>
      </c>
      <c r="BL213" s="75">
        <f>$C213*INDEX(Curves!$BE$8:$BE$68,BL$4-$B213+1)</f>
        <v/>
      </c>
    </row>
    <row r="214">
      <c r="A214" s="74" t="inlineStr">
        <is>
          <t>Cohort month 16</t>
        </is>
      </c>
      <c r="B214" s="74" t="n">
        <v>16</v>
      </c>
      <c r="C214" s="17">
        <f>INDEX(Ops!$E$110:$BL$110,1,$B214)</f>
        <v/>
      </c>
      <c r="U214" s="75">
        <f>$C214*INDEX(Curves!$BE$8:$BE$68,U$4-$B214+1)</f>
        <v/>
      </c>
      <c r="V214" s="75">
        <f>$C214*INDEX(Curves!$BE$8:$BE$68,V$4-$B214+1)</f>
        <v/>
      </c>
      <c r="W214" s="75">
        <f>$C214*INDEX(Curves!$BE$8:$BE$68,W$4-$B214+1)</f>
        <v/>
      </c>
      <c r="X214" s="75">
        <f>$C214*INDEX(Curves!$BE$8:$BE$68,X$4-$B214+1)</f>
        <v/>
      </c>
      <c r="Y214" s="75">
        <f>$C214*INDEX(Curves!$BE$8:$BE$68,Y$4-$B214+1)</f>
        <v/>
      </c>
      <c r="Z214" s="75">
        <f>$C214*INDEX(Curves!$BE$8:$BE$68,Z$4-$B214+1)</f>
        <v/>
      </c>
      <c r="AA214" s="75">
        <f>$C214*INDEX(Curves!$BE$8:$BE$68,AA$4-$B214+1)</f>
        <v/>
      </c>
      <c r="AB214" s="75">
        <f>$C214*INDEX(Curves!$BE$8:$BE$68,AB$4-$B214+1)</f>
        <v/>
      </c>
      <c r="AC214" s="75">
        <f>$C214*INDEX(Curves!$BE$8:$BE$68,AC$4-$B214+1)</f>
        <v/>
      </c>
      <c r="AD214" s="75">
        <f>$C214*INDEX(Curves!$BE$8:$BE$68,AD$4-$B214+1)</f>
        <v/>
      </c>
      <c r="AE214" s="75">
        <f>$C214*INDEX(Curves!$BE$8:$BE$68,AE$4-$B214+1)</f>
        <v/>
      </c>
      <c r="AF214" s="75">
        <f>$C214*INDEX(Curves!$BE$8:$BE$68,AF$4-$B214+1)</f>
        <v/>
      </c>
      <c r="AG214" s="75">
        <f>$C214*INDEX(Curves!$BE$8:$BE$68,AG$4-$B214+1)</f>
        <v/>
      </c>
      <c r="AH214" s="75">
        <f>$C214*INDEX(Curves!$BE$8:$BE$68,AH$4-$B214+1)</f>
        <v/>
      </c>
      <c r="AI214" s="75">
        <f>$C214*INDEX(Curves!$BE$8:$BE$68,AI$4-$B214+1)</f>
        <v/>
      </c>
      <c r="AJ214" s="75">
        <f>$C214*INDEX(Curves!$BE$8:$BE$68,AJ$4-$B214+1)</f>
        <v/>
      </c>
      <c r="AK214" s="75">
        <f>$C214*INDEX(Curves!$BE$8:$BE$68,AK$4-$B214+1)</f>
        <v/>
      </c>
      <c r="AL214" s="75">
        <f>$C214*INDEX(Curves!$BE$8:$BE$68,AL$4-$B214+1)</f>
        <v/>
      </c>
      <c r="AM214" s="75">
        <f>$C214*INDEX(Curves!$BE$8:$BE$68,AM$4-$B214+1)</f>
        <v/>
      </c>
      <c r="AN214" s="75">
        <f>$C214*INDEX(Curves!$BE$8:$BE$68,AN$4-$B214+1)</f>
        <v/>
      </c>
      <c r="AO214" s="75">
        <f>$C214*INDEX(Curves!$BE$8:$BE$68,AO$4-$B214+1)</f>
        <v/>
      </c>
      <c r="AP214" s="75">
        <f>$C214*INDEX(Curves!$BE$8:$BE$68,AP$4-$B214+1)</f>
        <v/>
      </c>
      <c r="AQ214" s="75">
        <f>$C214*INDEX(Curves!$BE$8:$BE$68,AQ$4-$B214+1)</f>
        <v/>
      </c>
      <c r="AR214" s="75">
        <f>$C214*INDEX(Curves!$BE$8:$BE$68,AR$4-$B214+1)</f>
        <v/>
      </c>
      <c r="AS214" s="75">
        <f>$C214*INDEX(Curves!$BE$8:$BE$68,AS$4-$B214+1)</f>
        <v/>
      </c>
      <c r="AT214" s="75">
        <f>$C214*INDEX(Curves!$BE$8:$BE$68,AT$4-$B214+1)</f>
        <v/>
      </c>
      <c r="AU214" s="75">
        <f>$C214*INDEX(Curves!$BE$8:$BE$68,AU$4-$B214+1)</f>
        <v/>
      </c>
      <c r="AV214" s="75">
        <f>$C214*INDEX(Curves!$BE$8:$BE$68,AV$4-$B214+1)</f>
        <v/>
      </c>
      <c r="AW214" s="75">
        <f>$C214*INDEX(Curves!$BE$8:$BE$68,AW$4-$B214+1)</f>
        <v/>
      </c>
      <c r="AX214" s="75">
        <f>$C214*INDEX(Curves!$BE$8:$BE$68,AX$4-$B214+1)</f>
        <v/>
      </c>
      <c r="AY214" s="75">
        <f>$C214*INDEX(Curves!$BE$8:$BE$68,AY$4-$B214+1)</f>
        <v/>
      </c>
      <c r="AZ214" s="75">
        <f>$C214*INDEX(Curves!$BE$8:$BE$68,AZ$4-$B214+1)</f>
        <v/>
      </c>
      <c r="BA214" s="75">
        <f>$C214*INDEX(Curves!$BE$8:$BE$68,BA$4-$B214+1)</f>
        <v/>
      </c>
      <c r="BB214" s="75">
        <f>$C214*INDEX(Curves!$BE$8:$BE$68,BB$4-$B214+1)</f>
        <v/>
      </c>
      <c r="BC214" s="75">
        <f>$C214*INDEX(Curves!$BE$8:$BE$68,BC$4-$B214+1)</f>
        <v/>
      </c>
      <c r="BD214" s="75">
        <f>$C214*INDEX(Curves!$BE$8:$BE$68,BD$4-$B214+1)</f>
        <v/>
      </c>
      <c r="BE214" s="75">
        <f>$C214*INDEX(Curves!$BE$8:$BE$68,BE$4-$B214+1)</f>
        <v/>
      </c>
      <c r="BF214" s="75">
        <f>$C214*INDEX(Curves!$BE$8:$BE$68,BF$4-$B214+1)</f>
        <v/>
      </c>
      <c r="BG214" s="75">
        <f>$C214*INDEX(Curves!$BE$8:$BE$68,BG$4-$B214+1)</f>
        <v/>
      </c>
      <c r="BH214" s="75">
        <f>$C214*INDEX(Curves!$BE$8:$BE$68,BH$4-$B214+1)</f>
        <v/>
      </c>
      <c r="BI214" s="75">
        <f>$C214*INDEX(Curves!$BE$8:$BE$68,BI$4-$B214+1)</f>
        <v/>
      </c>
      <c r="BJ214" s="75">
        <f>$C214*INDEX(Curves!$BE$8:$BE$68,BJ$4-$B214+1)</f>
        <v/>
      </c>
      <c r="BK214" s="75">
        <f>$C214*INDEX(Curves!$BE$8:$BE$68,BK$4-$B214+1)</f>
        <v/>
      </c>
      <c r="BL214" s="75">
        <f>$C214*INDEX(Curves!$BE$8:$BE$68,BL$4-$B214+1)</f>
        <v/>
      </c>
    </row>
    <row r="215">
      <c r="A215" s="74" t="inlineStr">
        <is>
          <t>Cohort month 17</t>
        </is>
      </c>
      <c r="B215" s="74" t="n">
        <v>17</v>
      </c>
      <c r="C215" s="17">
        <f>INDEX(Ops!$E$110:$BL$110,1,$B215)</f>
        <v/>
      </c>
      <c r="V215" s="75">
        <f>$C215*INDEX(Curves!$BE$8:$BE$68,V$4-$B215+1)</f>
        <v/>
      </c>
      <c r="W215" s="75">
        <f>$C215*INDEX(Curves!$BE$8:$BE$68,W$4-$B215+1)</f>
        <v/>
      </c>
      <c r="X215" s="75">
        <f>$C215*INDEX(Curves!$BE$8:$BE$68,X$4-$B215+1)</f>
        <v/>
      </c>
      <c r="Y215" s="75">
        <f>$C215*INDEX(Curves!$BE$8:$BE$68,Y$4-$B215+1)</f>
        <v/>
      </c>
      <c r="Z215" s="75">
        <f>$C215*INDEX(Curves!$BE$8:$BE$68,Z$4-$B215+1)</f>
        <v/>
      </c>
      <c r="AA215" s="75">
        <f>$C215*INDEX(Curves!$BE$8:$BE$68,AA$4-$B215+1)</f>
        <v/>
      </c>
      <c r="AB215" s="75">
        <f>$C215*INDEX(Curves!$BE$8:$BE$68,AB$4-$B215+1)</f>
        <v/>
      </c>
      <c r="AC215" s="75">
        <f>$C215*INDEX(Curves!$BE$8:$BE$68,AC$4-$B215+1)</f>
        <v/>
      </c>
      <c r="AD215" s="75">
        <f>$C215*INDEX(Curves!$BE$8:$BE$68,AD$4-$B215+1)</f>
        <v/>
      </c>
      <c r="AE215" s="75">
        <f>$C215*INDEX(Curves!$BE$8:$BE$68,AE$4-$B215+1)</f>
        <v/>
      </c>
      <c r="AF215" s="75">
        <f>$C215*INDEX(Curves!$BE$8:$BE$68,AF$4-$B215+1)</f>
        <v/>
      </c>
      <c r="AG215" s="75">
        <f>$C215*INDEX(Curves!$BE$8:$BE$68,AG$4-$B215+1)</f>
        <v/>
      </c>
      <c r="AH215" s="75">
        <f>$C215*INDEX(Curves!$BE$8:$BE$68,AH$4-$B215+1)</f>
        <v/>
      </c>
      <c r="AI215" s="75">
        <f>$C215*INDEX(Curves!$BE$8:$BE$68,AI$4-$B215+1)</f>
        <v/>
      </c>
      <c r="AJ215" s="75">
        <f>$C215*INDEX(Curves!$BE$8:$BE$68,AJ$4-$B215+1)</f>
        <v/>
      </c>
      <c r="AK215" s="75">
        <f>$C215*INDEX(Curves!$BE$8:$BE$68,AK$4-$B215+1)</f>
        <v/>
      </c>
      <c r="AL215" s="75">
        <f>$C215*INDEX(Curves!$BE$8:$BE$68,AL$4-$B215+1)</f>
        <v/>
      </c>
      <c r="AM215" s="75">
        <f>$C215*INDEX(Curves!$BE$8:$BE$68,AM$4-$B215+1)</f>
        <v/>
      </c>
      <c r="AN215" s="75">
        <f>$C215*INDEX(Curves!$BE$8:$BE$68,AN$4-$B215+1)</f>
        <v/>
      </c>
      <c r="AO215" s="75">
        <f>$C215*INDEX(Curves!$BE$8:$BE$68,AO$4-$B215+1)</f>
        <v/>
      </c>
      <c r="AP215" s="75">
        <f>$C215*INDEX(Curves!$BE$8:$BE$68,AP$4-$B215+1)</f>
        <v/>
      </c>
      <c r="AQ215" s="75">
        <f>$C215*INDEX(Curves!$BE$8:$BE$68,AQ$4-$B215+1)</f>
        <v/>
      </c>
      <c r="AR215" s="75">
        <f>$C215*INDEX(Curves!$BE$8:$BE$68,AR$4-$B215+1)</f>
        <v/>
      </c>
      <c r="AS215" s="75">
        <f>$C215*INDEX(Curves!$BE$8:$BE$68,AS$4-$B215+1)</f>
        <v/>
      </c>
      <c r="AT215" s="75">
        <f>$C215*INDEX(Curves!$BE$8:$BE$68,AT$4-$B215+1)</f>
        <v/>
      </c>
      <c r="AU215" s="75">
        <f>$C215*INDEX(Curves!$BE$8:$BE$68,AU$4-$B215+1)</f>
        <v/>
      </c>
      <c r="AV215" s="75">
        <f>$C215*INDEX(Curves!$BE$8:$BE$68,AV$4-$B215+1)</f>
        <v/>
      </c>
      <c r="AW215" s="75">
        <f>$C215*INDEX(Curves!$BE$8:$BE$68,AW$4-$B215+1)</f>
        <v/>
      </c>
      <c r="AX215" s="75">
        <f>$C215*INDEX(Curves!$BE$8:$BE$68,AX$4-$B215+1)</f>
        <v/>
      </c>
      <c r="AY215" s="75">
        <f>$C215*INDEX(Curves!$BE$8:$BE$68,AY$4-$B215+1)</f>
        <v/>
      </c>
      <c r="AZ215" s="75">
        <f>$C215*INDEX(Curves!$BE$8:$BE$68,AZ$4-$B215+1)</f>
        <v/>
      </c>
      <c r="BA215" s="75">
        <f>$C215*INDEX(Curves!$BE$8:$BE$68,BA$4-$B215+1)</f>
        <v/>
      </c>
      <c r="BB215" s="75">
        <f>$C215*INDEX(Curves!$BE$8:$BE$68,BB$4-$B215+1)</f>
        <v/>
      </c>
      <c r="BC215" s="75">
        <f>$C215*INDEX(Curves!$BE$8:$BE$68,BC$4-$B215+1)</f>
        <v/>
      </c>
      <c r="BD215" s="75">
        <f>$C215*INDEX(Curves!$BE$8:$BE$68,BD$4-$B215+1)</f>
        <v/>
      </c>
      <c r="BE215" s="75">
        <f>$C215*INDEX(Curves!$BE$8:$BE$68,BE$4-$B215+1)</f>
        <v/>
      </c>
      <c r="BF215" s="75">
        <f>$C215*INDEX(Curves!$BE$8:$BE$68,BF$4-$B215+1)</f>
        <v/>
      </c>
      <c r="BG215" s="75">
        <f>$C215*INDEX(Curves!$BE$8:$BE$68,BG$4-$B215+1)</f>
        <v/>
      </c>
      <c r="BH215" s="75">
        <f>$C215*INDEX(Curves!$BE$8:$BE$68,BH$4-$B215+1)</f>
        <v/>
      </c>
      <c r="BI215" s="75">
        <f>$C215*INDEX(Curves!$BE$8:$BE$68,BI$4-$B215+1)</f>
        <v/>
      </c>
      <c r="BJ215" s="75">
        <f>$C215*INDEX(Curves!$BE$8:$BE$68,BJ$4-$B215+1)</f>
        <v/>
      </c>
      <c r="BK215" s="75">
        <f>$C215*INDEX(Curves!$BE$8:$BE$68,BK$4-$B215+1)</f>
        <v/>
      </c>
      <c r="BL215" s="75">
        <f>$C215*INDEX(Curves!$BE$8:$BE$68,BL$4-$B215+1)</f>
        <v/>
      </c>
    </row>
    <row r="216">
      <c r="A216" s="74" t="inlineStr">
        <is>
          <t>Cohort month 18</t>
        </is>
      </c>
      <c r="B216" s="74" t="n">
        <v>18</v>
      </c>
      <c r="C216" s="17">
        <f>INDEX(Ops!$E$110:$BL$110,1,$B216)</f>
        <v/>
      </c>
      <c r="W216" s="75">
        <f>$C216*INDEX(Curves!$BE$8:$BE$68,W$4-$B216+1)</f>
        <v/>
      </c>
      <c r="X216" s="75">
        <f>$C216*INDEX(Curves!$BE$8:$BE$68,X$4-$B216+1)</f>
        <v/>
      </c>
      <c r="Y216" s="75">
        <f>$C216*INDEX(Curves!$BE$8:$BE$68,Y$4-$B216+1)</f>
        <v/>
      </c>
      <c r="Z216" s="75">
        <f>$C216*INDEX(Curves!$BE$8:$BE$68,Z$4-$B216+1)</f>
        <v/>
      </c>
      <c r="AA216" s="75">
        <f>$C216*INDEX(Curves!$BE$8:$BE$68,AA$4-$B216+1)</f>
        <v/>
      </c>
      <c r="AB216" s="75">
        <f>$C216*INDEX(Curves!$BE$8:$BE$68,AB$4-$B216+1)</f>
        <v/>
      </c>
      <c r="AC216" s="75">
        <f>$C216*INDEX(Curves!$BE$8:$BE$68,AC$4-$B216+1)</f>
        <v/>
      </c>
      <c r="AD216" s="75">
        <f>$C216*INDEX(Curves!$BE$8:$BE$68,AD$4-$B216+1)</f>
        <v/>
      </c>
      <c r="AE216" s="75">
        <f>$C216*INDEX(Curves!$BE$8:$BE$68,AE$4-$B216+1)</f>
        <v/>
      </c>
      <c r="AF216" s="75">
        <f>$C216*INDEX(Curves!$BE$8:$BE$68,AF$4-$B216+1)</f>
        <v/>
      </c>
      <c r="AG216" s="75">
        <f>$C216*INDEX(Curves!$BE$8:$BE$68,AG$4-$B216+1)</f>
        <v/>
      </c>
      <c r="AH216" s="75">
        <f>$C216*INDEX(Curves!$BE$8:$BE$68,AH$4-$B216+1)</f>
        <v/>
      </c>
      <c r="AI216" s="75">
        <f>$C216*INDEX(Curves!$BE$8:$BE$68,AI$4-$B216+1)</f>
        <v/>
      </c>
      <c r="AJ216" s="75">
        <f>$C216*INDEX(Curves!$BE$8:$BE$68,AJ$4-$B216+1)</f>
        <v/>
      </c>
      <c r="AK216" s="75">
        <f>$C216*INDEX(Curves!$BE$8:$BE$68,AK$4-$B216+1)</f>
        <v/>
      </c>
      <c r="AL216" s="75">
        <f>$C216*INDEX(Curves!$BE$8:$BE$68,AL$4-$B216+1)</f>
        <v/>
      </c>
      <c r="AM216" s="75">
        <f>$C216*INDEX(Curves!$BE$8:$BE$68,AM$4-$B216+1)</f>
        <v/>
      </c>
      <c r="AN216" s="75">
        <f>$C216*INDEX(Curves!$BE$8:$BE$68,AN$4-$B216+1)</f>
        <v/>
      </c>
      <c r="AO216" s="75">
        <f>$C216*INDEX(Curves!$BE$8:$BE$68,AO$4-$B216+1)</f>
        <v/>
      </c>
      <c r="AP216" s="75">
        <f>$C216*INDEX(Curves!$BE$8:$BE$68,AP$4-$B216+1)</f>
        <v/>
      </c>
      <c r="AQ216" s="75">
        <f>$C216*INDEX(Curves!$BE$8:$BE$68,AQ$4-$B216+1)</f>
        <v/>
      </c>
      <c r="AR216" s="75">
        <f>$C216*INDEX(Curves!$BE$8:$BE$68,AR$4-$B216+1)</f>
        <v/>
      </c>
      <c r="AS216" s="75">
        <f>$C216*INDEX(Curves!$BE$8:$BE$68,AS$4-$B216+1)</f>
        <v/>
      </c>
      <c r="AT216" s="75">
        <f>$C216*INDEX(Curves!$BE$8:$BE$68,AT$4-$B216+1)</f>
        <v/>
      </c>
      <c r="AU216" s="75">
        <f>$C216*INDEX(Curves!$BE$8:$BE$68,AU$4-$B216+1)</f>
        <v/>
      </c>
      <c r="AV216" s="75">
        <f>$C216*INDEX(Curves!$BE$8:$BE$68,AV$4-$B216+1)</f>
        <v/>
      </c>
      <c r="AW216" s="75">
        <f>$C216*INDEX(Curves!$BE$8:$BE$68,AW$4-$B216+1)</f>
        <v/>
      </c>
      <c r="AX216" s="75">
        <f>$C216*INDEX(Curves!$BE$8:$BE$68,AX$4-$B216+1)</f>
        <v/>
      </c>
      <c r="AY216" s="75">
        <f>$C216*INDEX(Curves!$BE$8:$BE$68,AY$4-$B216+1)</f>
        <v/>
      </c>
      <c r="AZ216" s="75">
        <f>$C216*INDEX(Curves!$BE$8:$BE$68,AZ$4-$B216+1)</f>
        <v/>
      </c>
      <c r="BA216" s="75">
        <f>$C216*INDEX(Curves!$BE$8:$BE$68,BA$4-$B216+1)</f>
        <v/>
      </c>
      <c r="BB216" s="75">
        <f>$C216*INDEX(Curves!$BE$8:$BE$68,BB$4-$B216+1)</f>
        <v/>
      </c>
      <c r="BC216" s="75">
        <f>$C216*INDEX(Curves!$BE$8:$BE$68,BC$4-$B216+1)</f>
        <v/>
      </c>
      <c r="BD216" s="75">
        <f>$C216*INDEX(Curves!$BE$8:$BE$68,BD$4-$B216+1)</f>
        <v/>
      </c>
      <c r="BE216" s="75">
        <f>$C216*INDEX(Curves!$BE$8:$BE$68,BE$4-$B216+1)</f>
        <v/>
      </c>
      <c r="BF216" s="75">
        <f>$C216*INDEX(Curves!$BE$8:$BE$68,BF$4-$B216+1)</f>
        <v/>
      </c>
      <c r="BG216" s="75">
        <f>$C216*INDEX(Curves!$BE$8:$BE$68,BG$4-$B216+1)</f>
        <v/>
      </c>
      <c r="BH216" s="75">
        <f>$C216*INDEX(Curves!$BE$8:$BE$68,BH$4-$B216+1)</f>
        <v/>
      </c>
      <c r="BI216" s="75">
        <f>$C216*INDEX(Curves!$BE$8:$BE$68,BI$4-$B216+1)</f>
        <v/>
      </c>
      <c r="BJ216" s="75">
        <f>$C216*INDEX(Curves!$BE$8:$BE$68,BJ$4-$B216+1)</f>
        <v/>
      </c>
      <c r="BK216" s="75">
        <f>$C216*INDEX(Curves!$BE$8:$BE$68,BK$4-$B216+1)</f>
        <v/>
      </c>
      <c r="BL216" s="75">
        <f>$C216*INDEX(Curves!$BE$8:$BE$68,BL$4-$B216+1)</f>
        <v/>
      </c>
    </row>
    <row r="217">
      <c r="A217" s="74" t="inlineStr">
        <is>
          <t>Cohort month 19</t>
        </is>
      </c>
      <c r="B217" s="74" t="n">
        <v>19</v>
      </c>
      <c r="C217" s="17">
        <f>INDEX(Ops!$E$110:$BL$110,1,$B217)</f>
        <v/>
      </c>
      <c r="X217" s="75">
        <f>$C217*INDEX(Curves!$BE$8:$BE$68,X$4-$B217+1)</f>
        <v/>
      </c>
      <c r="Y217" s="75">
        <f>$C217*INDEX(Curves!$BE$8:$BE$68,Y$4-$B217+1)</f>
        <v/>
      </c>
      <c r="Z217" s="75">
        <f>$C217*INDEX(Curves!$BE$8:$BE$68,Z$4-$B217+1)</f>
        <v/>
      </c>
      <c r="AA217" s="75">
        <f>$C217*INDEX(Curves!$BE$8:$BE$68,AA$4-$B217+1)</f>
        <v/>
      </c>
      <c r="AB217" s="75">
        <f>$C217*INDEX(Curves!$BE$8:$BE$68,AB$4-$B217+1)</f>
        <v/>
      </c>
      <c r="AC217" s="75">
        <f>$C217*INDEX(Curves!$BE$8:$BE$68,AC$4-$B217+1)</f>
        <v/>
      </c>
      <c r="AD217" s="75">
        <f>$C217*INDEX(Curves!$BE$8:$BE$68,AD$4-$B217+1)</f>
        <v/>
      </c>
      <c r="AE217" s="75">
        <f>$C217*INDEX(Curves!$BE$8:$BE$68,AE$4-$B217+1)</f>
        <v/>
      </c>
      <c r="AF217" s="75">
        <f>$C217*INDEX(Curves!$BE$8:$BE$68,AF$4-$B217+1)</f>
        <v/>
      </c>
      <c r="AG217" s="75">
        <f>$C217*INDEX(Curves!$BE$8:$BE$68,AG$4-$B217+1)</f>
        <v/>
      </c>
      <c r="AH217" s="75">
        <f>$C217*INDEX(Curves!$BE$8:$BE$68,AH$4-$B217+1)</f>
        <v/>
      </c>
      <c r="AI217" s="75">
        <f>$C217*INDEX(Curves!$BE$8:$BE$68,AI$4-$B217+1)</f>
        <v/>
      </c>
      <c r="AJ217" s="75">
        <f>$C217*INDEX(Curves!$BE$8:$BE$68,AJ$4-$B217+1)</f>
        <v/>
      </c>
      <c r="AK217" s="75">
        <f>$C217*INDEX(Curves!$BE$8:$BE$68,AK$4-$B217+1)</f>
        <v/>
      </c>
      <c r="AL217" s="75">
        <f>$C217*INDEX(Curves!$BE$8:$BE$68,AL$4-$B217+1)</f>
        <v/>
      </c>
      <c r="AM217" s="75">
        <f>$C217*INDEX(Curves!$BE$8:$BE$68,AM$4-$B217+1)</f>
        <v/>
      </c>
      <c r="AN217" s="75">
        <f>$C217*INDEX(Curves!$BE$8:$BE$68,AN$4-$B217+1)</f>
        <v/>
      </c>
      <c r="AO217" s="75">
        <f>$C217*INDEX(Curves!$BE$8:$BE$68,AO$4-$B217+1)</f>
        <v/>
      </c>
      <c r="AP217" s="75">
        <f>$C217*INDEX(Curves!$BE$8:$BE$68,AP$4-$B217+1)</f>
        <v/>
      </c>
      <c r="AQ217" s="75">
        <f>$C217*INDEX(Curves!$BE$8:$BE$68,AQ$4-$B217+1)</f>
        <v/>
      </c>
      <c r="AR217" s="75">
        <f>$C217*INDEX(Curves!$BE$8:$BE$68,AR$4-$B217+1)</f>
        <v/>
      </c>
      <c r="AS217" s="75">
        <f>$C217*INDEX(Curves!$BE$8:$BE$68,AS$4-$B217+1)</f>
        <v/>
      </c>
      <c r="AT217" s="75">
        <f>$C217*INDEX(Curves!$BE$8:$BE$68,AT$4-$B217+1)</f>
        <v/>
      </c>
      <c r="AU217" s="75">
        <f>$C217*INDEX(Curves!$BE$8:$BE$68,AU$4-$B217+1)</f>
        <v/>
      </c>
      <c r="AV217" s="75">
        <f>$C217*INDEX(Curves!$BE$8:$BE$68,AV$4-$B217+1)</f>
        <v/>
      </c>
      <c r="AW217" s="75">
        <f>$C217*INDEX(Curves!$BE$8:$BE$68,AW$4-$B217+1)</f>
        <v/>
      </c>
      <c r="AX217" s="75">
        <f>$C217*INDEX(Curves!$BE$8:$BE$68,AX$4-$B217+1)</f>
        <v/>
      </c>
      <c r="AY217" s="75">
        <f>$C217*INDEX(Curves!$BE$8:$BE$68,AY$4-$B217+1)</f>
        <v/>
      </c>
      <c r="AZ217" s="75">
        <f>$C217*INDEX(Curves!$BE$8:$BE$68,AZ$4-$B217+1)</f>
        <v/>
      </c>
      <c r="BA217" s="75">
        <f>$C217*INDEX(Curves!$BE$8:$BE$68,BA$4-$B217+1)</f>
        <v/>
      </c>
      <c r="BB217" s="75">
        <f>$C217*INDEX(Curves!$BE$8:$BE$68,BB$4-$B217+1)</f>
        <v/>
      </c>
      <c r="BC217" s="75">
        <f>$C217*INDEX(Curves!$BE$8:$BE$68,BC$4-$B217+1)</f>
        <v/>
      </c>
      <c r="BD217" s="75">
        <f>$C217*INDEX(Curves!$BE$8:$BE$68,BD$4-$B217+1)</f>
        <v/>
      </c>
      <c r="BE217" s="75">
        <f>$C217*INDEX(Curves!$BE$8:$BE$68,BE$4-$B217+1)</f>
        <v/>
      </c>
      <c r="BF217" s="75">
        <f>$C217*INDEX(Curves!$BE$8:$BE$68,BF$4-$B217+1)</f>
        <v/>
      </c>
      <c r="BG217" s="75">
        <f>$C217*INDEX(Curves!$BE$8:$BE$68,BG$4-$B217+1)</f>
        <v/>
      </c>
      <c r="BH217" s="75">
        <f>$C217*INDEX(Curves!$BE$8:$BE$68,BH$4-$B217+1)</f>
        <v/>
      </c>
      <c r="BI217" s="75">
        <f>$C217*INDEX(Curves!$BE$8:$BE$68,BI$4-$B217+1)</f>
        <v/>
      </c>
      <c r="BJ217" s="75">
        <f>$C217*INDEX(Curves!$BE$8:$BE$68,BJ$4-$B217+1)</f>
        <v/>
      </c>
      <c r="BK217" s="75">
        <f>$C217*INDEX(Curves!$BE$8:$BE$68,BK$4-$B217+1)</f>
        <v/>
      </c>
      <c r="BL217" s="75">
        <f>$C217*INDEX(Curves!$BE$8:$BE$68,BL$4-$B217+1)</f>
        <v/>
      </c>
    </row>
    <row r="218">
      <c r="A218" s="74" t="inlineStr">
        <is>
          <t>Cohort month 20</t>
        </is>
      </c>
      <c r="B218" s="74" t="n">
        <v>20</v>
      </c>
      <c r="C218" s="17">
        <f>INDEX(Ops!$E$110:$BL$110,1,$B218)</f>
        <v/>
      </c>
      <c r="Y218" s="75">
        <f>$C218*INDEX(Curves!$BE$8:$BE$68,Y$4-$B218+1)</f>
        <v/>
      </c>
      <c r="Z218" s="75">
        <f>$C218*INDEX(Curves!$BE$8:$BE$68,Z$4-$B218+1)</f>
        <v/>
      </c>
      <c r="AA218" s="75">
        <f>$C218*INDEX(Curves!$BE$8:$BE$68,AA$4-$B218+1)</f>
        <v/>
      </c>
      <c r="AB218" s="75">
        <f>$C218*INDEX(Curves!$BE$8:$BE$68,AB$4-$B218+1)</f>
        <v/>
      </c>
      <c r="AC218" s="75">
        <f>$C218*INDEX(Curves!$BE$8:$BE$68,AC$4-$B218+1)</f>
        <v/>
      </c>
      <c r="AD218" s="75">
        <f>$C218*INDEX(Curves!$BE$8:$BE$68,AD$4-$B218+1)</f>
        <v/>
      </c>
      <c r="AE218" s="75">
        <f>$C218*INDEX(Curves!$BE$8:$BE$68,AE$4-$B218+1)</f>
        <v/>
      </c>
      <c r="AF218" s="75">
        <f>$C218*INDEX(Curves!$BE$8:$BE$68,AF$4-$B218+1)</f>
        <v/>
      </c>
      <c r="AG218" s="75">
        <f>$C218*INDEX(Curves!$BE$8:$BE$68,AG$4-$B218+1)</f>
        <v/>
      </c>
      <c r="AH218" s="75">
        <f>$C218*INDEX(Curves!$BE$8:$BE$68,AH$4-$B218+1)</f>
        <v/>
      </c>
      <c r="AI218" s="75">
        <f>$C218*INDEX(Curves!$BE$8:$BE$68,AI$4-$B218+1)</f>
        <v/>
      </c>
      <c r="AJ218" s="75">
        <f>$C218*INDEX(Curves!$BE$8:$BE$68,AJ$4-$B218+1)</f>
        <v/>
      </c>
      <c r="AK218" s="75">
        <f>$C218*INDEX(Curves!$BE$8:$BE$68,AK$4-$B218+1)</f>
        <v/>
      </c>
      <c r="AL218" s="75">
        <f>$C218*INDEX(Curves!$BE$8:$BE$68,AL$4-$B218+1)</f>
        <v/>
      </c>
      <c r="AM218" s="75">
        <f>$C218*INDEX(Curves!$BE$8:$BE$68,AM$4-$B218+1)</f>
        <v/>
      </c>
      <c r="AN218" s="75">
        <f>$C218*INDEX(Curves!$BE$8:$BE$68,AN$4-$B218+1)</f>
        <v/>
      </c>
      <c r="AO218" s="75">
        <f>$C218*INDEX(Curves!$BE$8:$BE$68,AO$4-$B218+1)</f>
        <v/>
      </c>
      <c r="AP218" s="75">
        <f>$C218*INDEX(Curves!$BE$8:$BE$68,AP$4-$B218+1)</f>
        <v/>
      </c>
      <c r="AQ218" s="75">
        <f>$C218*INDEX(Curves!$BE$8:$BE$68,AQ$4-$B218+1)</f>
        <v/>
      </c>
      <c r="AR218" s="75">
        <f>$C218*INDEX(Curves!$BE$8:$BE$68,AR$4-$B218+1)</f>
        <v/>
      </c>
      <c r="AS218" s="75">
        <f>$C218*INDEX(Curves!$BE$8:$BE$68,AS$4-$B218+1)</f>
        <v/>
      </c>
      <c r="AT218" s="75">
        <f>$C218*INDEX(Curves!$BE$8:$BE$68,AT$4-$B218+1)</f>
        <v/>
      </c>
      <c r="AU218" s="75">
        <f>$C218*INDEX(Curves!$BE$8:$BE$68,AU$4-$B218+1)</f>
        <v/>
      </c>
      <c r="AV218" s="75">
        <f>$C218*INDEX(Curves!$BE$8:$BE$68,AV$4-$B218+1)</f>
        <v/>
      </c>
      <c r="AW218" s="75">
        <f>$C218*INDEX(Curves!$BE$8:$BE$68,AW$4-$B218+1)</f>
        <v/>
      </c>
      <c r="AX218" s="75">
        <f>$C218*INDEX(Curves!$BE$8:$BE$68,AX$4-$B218+1)</f>
        <v/>
      </c>
      <c r="AY218" s="75">
        <f>$C218*INDEX(Curves!$BE$8:$BE$68,AY$4-$B218+1)</f>
        <v/>
      </c>
      <c r="AZ218" s="75">
        <f>$C218*INDEX(Curves!$BE$8:$BE$68,AZ$4-$B218+1)</f>
        <v/>
      </c>
      <c r="BA218" s="75">
        <f>$C218*INDEX(Curves!$BE$8:$BE$68,BA$4-$B218+1)</f>
        <v/>
      </c>
      <c r="BB218" s="75">
        <f>$C218*INDEX(Curves!$BE$8:$BE$68,BB$4-$B218+1)</f>
        <v/>
      </c>
      <c r="BC218" s="75">
        <f>$C218*INDEX(Curves!$BE$8:$BE$68,BC$4-$B218+1)</f>
        <v/>
      </c>
      <c r="BD218" s="75">
        <f>$C218*INDEX(Curves!$BE$8:$BE$68,BD$4-$B218+1)</f>
        <v/>
      </c>
      <c r="BE218" s="75">
        <f>$C218*INDEX(Curves!$BE$8:$BE$68,BE$4-$B218+1)</f>
        <v/>
      </c>
      <c r="BF218" s="75">
        <f>$C218*INDEX(Curves!$BE$8:$BE$68,BF$4-$B218+1)</f>
        <v/>
      </c>
      <c r="BG218" s="75">
        <f>$C218*INDEX(Curves!$BE$8:$BE$68,BG$4-$B218+1)</f>
        <v/>
      </c>
      <c r="BH218" s="75">
        <f>$C218*INDEX(Curves!$BE$8:$BE$68,BH$4-$B218+1)</f>
        <v/>
      </c>
      <c r="BI218" s="75">
        <f>$C218*INDEX(Curves!$BE$8:$BE$68,BI$4-$B218+1)</f>
        <v/>
      </c>
      <c r="BJ218" s="75">
        <f>$C218*INDEX(Curves!$BE$8:$BE$68,BJ$4-$B218+1)</f>
        <v/>
      </c>
      <c r="BK218" s="75">
        <f>$C218*INDEX(Curves!$BE$8:$BE$68,BK$4-$B218+1)</f>
        <v/>
      </c>
      <c r="BL218" s="75">
        <f>$C218*INDEX(Curves!$BE$8:$BE$68,BL$4-$B218+1)</f>
        <v/>
      </c>
    </row>
    <row r="219">
      <c r="A219" s="74" t="inlineStr">
        <is>
          <t>Cohort month 21</t>
        </is>
      </c>
      <c r="B219" s="74" t="n">
        <v>21</v>
      </c>
      <c r="C219" s="17">
        <f>INDEX(Ops!$E$110:$BL$110,1,$B219)</f>
        <v/>
      </c>
      <c r="Z219" s="75">
        <f>$C219*INDEX(Curves!$BE$8:$BE$68,Z$4-$B219+1)</f>
        <v/>
      </c>
      <c r="AA219" s="75">
        <f>$C219*INDEX(Curves!$BE$8:$BE$68,AA$4-$B219+1)</f>
        <v/>
      </c>
      <c r="AB219" s="75">
        <f>$C219*INDEX(Curves!$BE$8:$BE$68,AB$4-$B219+1)</f>
        <v/>
      </c>
      <c r="AC219" s="75">
        <f>$C219*INDEX(Curves!$BE$8:$BE$68,AC$4-$B219+1)</f>
        <v/>
      </c>
      <c r="AD219" s="75">
        <f>$C219*INDEX(Curves!$BE$8:$BE$68,AD$4-$B219+1)</f>
        <v/>
      </c>
      <c r="AE219" s="75">
        <f>$C219*INDEX(Curves!$BE$8:$BE$68,AE$4-$B219+1)</f>
        <v/>
      </c>
      <c r="AF219" s="75">
        <f>$C219*INDEX(Curves!$BE$8:$BE$68,AF$4-$B219+1)</f>
        <v/>
      </c>
      <c r="AG219" s="75">
        <f>$C219*INDEX(Curves!$BE$8:$BE$68,AG$4-$B219+1)</f>
        <v/>
      </c>
      <c r="AH219" s="75">
        <f>$C219*INDEX(Curves!$BE$8:$BE$68,AH$4-$B219+1)</f>
        <v/>
      </c>
      <c r="AI219" s="75">
        <f>$C219*INDEX(Curves!$BE$8:$BE$68,AI$4-$B219+1)</f>
        <v/>
      </c>
      <c r="AJ219" s="75">
        <f>$C219*INDEX(Curves!$BE$8:$BE$68,AJ$4-$B219+1)</f>
        <v/>
      </c>
      <c r="AK219" s="75">
        <f>$C219*INDEX(Curves!$BE$8:$BE$68,AK$4-$B219+1)</f>
        <v/>
      </c>
      <c r="AL219" s="75">
        <f>$C219*INDEX(Curves!$BE$8:$BE$68,AL$4-$B219+1)</f>
        <v/>
      </c>
      <c r="AM219" s="75">
        <f>$C219*INDEX(Curves!$BE$8:$BE$68,AM$4-$B219+1)</f>
        <v/>
      </c>
      <c r="AN219" s="75">
        <f>$C219*INDEX(Curves!$BE$8:$BE$68,AN$4-$B219+1)</f>
        <v/>
      </c>
      <c r="AO219" s="75">
        <f>$C219*INDEX(Curves!$BE$8:$BE$68,AO$4-$B219+1)</f>
        <v/>
      </c>
      <c r="AP219" s="75">
        <f>$C219*INDEX(Curves!$BE$8:$BE$68,AP$4-$B219+1)</f>
        <v/>
      </c>
      <c r="AQ219" s="75">
        <f>$C219*INDEX(Curves!$BE$8:$BE$68,AQ$4-$B219+1)</f>
        <v/>
      </c>
      <c r="AR219" s="75">
        <f>$C219*INDEX(Curves!$BE$8:$BE$68,AR$4-$B219+1)</f>
        <v/>
      </c>
      <c r="AS219" s="75">
        <f>$C219*INDEX(Curves!$BE$8:$BE$68,AS$4-$B219+1)</f>
        <v/>
      </c>
      <c r="AT219" s="75">
        <f>$C219*INDEX(Curves!$BE$8:$BE$68,AT$4-$B219+1)</f>
        <v/>
      </c>
      <c r="AU219" s="75">
        <f>$C219*INDEX(Curves!$BE$8:$BE$68,AU$4-$B219+1)</f>
        <v/>
      </c>
      <c r="AV219" s="75">
        <f>$C219*INDEX(Curves!$BE$8:$BE$68,AV$4-$B219+1)</f>
        <v/>
      </c>
      <c r="AW219" s="75">
        <f>$C219*INDEX(Curves!$BE$8:$BE$68,AW$4-$B219+1)</f>
        <v/>
      </c>
      <c r="AX219" s="75">
        <f>$C219*INDEX(Curves!$BE$8:$BE$68,AX$4-$B219+1)</f>
        <v/>
      </c>
      <c r="AY219" s="75">
        <f>$C219*INDEX(Curves!$BE$8:$BE$68,AY$4-$B219+1)</f>
        <v/>
      </c>
      <c r="AZ219" s="75">
        <f>$C219*INDEX(Curves!$BE$8:$BE$68,AZ$4-$B219+1)</f>
        <v/>
      </c>
      <c r="BA219" s="75">
        <f>$C219*INDEX(Curves!$BE$8:$BE$68,BA$4-$B219+1)</f>
        <v/>
      </c>
      <c r="BB219" s="75">
        <f>$C219*INDEX(Curves!$BE$8:$BE$68,BB$4-$B219+1)</f>
        <v/>
      </c>
      <c r="BC219" s="75">
        <f>$C219*INDEX(Curves!$BE$8:$BE$68,BC$4-$B219+1)</f>
        <v/>
      </c>
      <c r="BD219" s="75">
        <f>$C219*INDEX(Curves!$BE$8:$BE$68,BD$4-$B219+1)</f>
        <v/>
      </c>
      <c r="BE219" s="75">
        <f>$C219*INDEX(Curves!$BE$8:$BE$68,BE$4-$B219+1)</f>
        <v/>
      </c>
      <c r="BF219" s="75">
        <f>$C219*INDEX(Curves!$BE$8:$BE$68,BF$4-$B219+1)</f>
        <v/>
      </c>
      <c r="BG219" s="75">
        <f>$C219*INDEX(Curves!$BE$8:$BE$68,BG$4-$B219+1)</f>
        <v/>
      </c>
      <c r="BH219" s="75">
        <f>$C219*INDEX(Curves!$BE$8:$BE$68,BH$4-$B219+1)</f>
        <v/>
      </c>
      <c r="BI219" s="75">
        <f>$C219*INDEX(Curves!$BE$8:$BE$68,BI$4-$B219+1)</f>
        <v/>
      </c>
      <c r="BJ219" s="75">
        <f>$C219*INDEX(Curves!$BE$8:$BE$68,BJ$4-$B219+1)</f>
        <v/>
      </c>
      <c r="BK219" s="75">
        <f>$C219*INDEX(Curves!$BE$8:$BE$68,BK$4-$B219+1)</f>
        <v/>
      </c>
      <c r="BL219" s="75">
        <f>$C219*INDEX(Curves!$BE$8:$BE$68,BL$4-$B219+1)</f>
        <v/>
      </c>
    </row>
    <row r="220">
      <c r="A220" s="74" t="inlineStr">
        <is>
          <t>Cohort month 22</t>
        </is>
      </c>
      <c r="B220" s="74" t="n">
        <v>22</v>
      </c>
      <c r="C220" s="17">
        <f>INDEX(Ops!$E$110:$BL$110,1,$B220)</f>
        <v/>
      </c>
      <c r="AA220" s="75">
        <f>$C220*INDEX(Curves!$BE$8:$BE$68,AA$4-$B220+1)</f>
        <v/>
      </c>
      <c r="AB220" s="75">
        <f>$C220*INDEX(Curves!$BE$8:$BE$68,AB$4-$B220+1)</f>
        <v/>
      </c>
      <c r="AC220" s="75">
        <f>$C220*INDEX(Curves!$BE$8:$BE$68,AC$4-$B220+1)</f>
        <v/>
      </c>
      <c r="AD220" s="75">
        <f>$C220*INDEX(Curves!$BE$8:$BE$68,AD$4-$B220+1)</f>
        <v/>
      </c>
      <c r="AE220" s="75">
        <f>$C220*INDEX(Curves!$BE$8:$BE$68,AE$4-$B220+1)</f>
        <v/>
      </c>
      <c r="AF220" s="75">
        <f>$C220*INDEX(Curves!$BE$8:$BE$68,AF$4-$B220+1)</f>
        <v/>
      </c>
      <c r="AG220" s="75">
        <f>$C220*INDEX(Curves!$BE$8:$BE$68,AG$4-$B220+1)</f>
        <v/>
      </c>
      <c r="AH220" s="75">
        <f>$C220*INDEX(Curves!$BE$8:$BE$68,AH$4-$B220+1)</f>
        <v/>
      </c>
      <c r="AI220" s="75">
        <f>$C220*INDEX(Curves!$BE$8:$BE$68,AI$4-$B220+1)</f>
        <v/>
      </c>
      <c r="AJ220" s="75">
        <f>$C220*INDEX(Curves!$BE$8:$BE$68,AJ$4-$B220+1)</f>
        <v/>
      </c>
      <c r="AK220" s="75">
        <f>$C220*INDEX(Curves!$BE$8:$BE$68,AK$4-$B220+1)</f>
        <v/>
      </c>
      <c r="AL220" s="75">
        <f>$C220*INDEX(Curves!$BE$8:$BE$68,AL$4-$B220+1)</f>
        <v/>
      </c>
      <c r="AM220" s="75">
        <f>$C220*INDEX(Curves!$BE$8:$BE$68,AM$4-$B220+1)</f>
        <v/>
      </c>
      <c r="AN220" s="75">
        <f>$C220*INDEX(Curves!$BE$8:$BE$68,AN$4-$B220+1)</f>
        <v/>
      </c>
      <c r="AO220" s="75">
        <f>$C220*INDEX(Curves!$BE$8:$BE$68,AO$4-$B220+1)</f>
        <v/>
      </c>
      <c r="AP220" s="75">
        <f>$C220*INDEX(Curves!$BE$8:$BE$68,AP$4-$B220+1)</f>
        <v/>
      </c>
      <c r="AQ220" s="75">
        <f>$C220*INDEX(Curves!$BE$8:$BE$68,AQ$4-$B220+1)</f>
        <v/>
      </c>
      <c r="AR220" s="75">
        <f>$C220*INDEX(Curves!$BE$8:$BE$68,AR$4-$B220+1)</f>
        <v/>
      </c>
      <c r="AS220" s="75">
        <f>$C220*INDEX(Curves!$BE$8:$BE$68,AS$4-$B220+1)</f>
        <v/>
      </c>
      <c r="AT220" s="75">
        <f>$C220*INDEX(Curves!$BE$8:$BE$68,AT$4-$B220+1)</f>
        <v/>
      </c>
      <c r="AU220" s="75">
        <f>$C220*INDEX(Curves!$BE$8:$BE$68,AU$4-$B220+1)</f>
        <v/>
      </c>
      <c r="AV220" s="75">
        <f>$C220*INDEX(Curves!$BE$8:$BE$68,AV$4-$B220+1)</f>
        <v/>
      </c>
      <c r="AW220" s="75">
        <f>$C220*INDEX(Curves!$BE$8:$BE$68,AW$4-$B220+1)</f>
        <v/>
      </c>
      <c r="AX220" s="75">
        <f>$C220*INDEX(Curves!$BE$8:$BE$68,AX$4-$B220+1)</f>
        <v/>
      </c>
      <c r="AY220" s="75">
        <f>$C220*INDEX(Curves!$BE$8:$BE$68,AY$4-$B220+1)</f>
        <v/>
      </c>
      <c r="AZ220" s="75">
        <f>$C220*INDEX(Curves!$BE$8:$BE$68,AZ$4-$B220+1)</f>
        <v/>
      </c>
      <c r="BA220" s="75">
        <f>$C220*INDEX(Curves!$BE$8:$BE$68,BA$4-$B220+1)</f>
        <v/>
      </c>
      <c r="BB220" s="75">
        <f>$C220*INDEX(Curves!$BE$8:$BE$68,BB$4-$B220+1)</f>
        <v/>
      </c>
      <c r="BC220" s="75">
        <f>$C220*INDEX(Curves!$BE$8:$BE$68,BC$4-$B220+1)</f>
        <v/>
      </c>
      <c r="BD220" s="75">
        <f>$C220*INDEX(Curves!$BE$8:$BE$68,BD$4-$B220+1)</f>
        <v/>
      </c>
      <c r="BE220" s="75">
        <f>$C220*INDEX(Curves!$BE$8:$BE$68,BE$4-$B220+1)</f>
        <v/>
      </c>
      <c r="BF220" s="75">
        <f>$C220*INDEX(Curves!$BE$8:$BE$68,BF$4-$B220+1)</f>
        <v/>
      </c>
      <c r="BG220" s="75">
        <f>$C220*INDEX(Curves!$BE$8:$BE$68,BG$4-$B220+1)</f>
        <v/>
      </c>
      <c r="BH220" s="75">
        <f>$C220*INDEX(Curves!$BE$8:$BE$68,BH$4-$B220+1)</f>
        <v/>
      </c>
      <c r="BI220" s="75">
        <f>$C220*INDEX(Curves!$BE$8:$BE$68,BI$4-$B220+1)</f>
        <v/>
      </c>
      <c r="BJ220" s="75">
        <f>$C220*INDEX(Curves!$BE$8:$BE$68,BJ$4-$B220+1)</f>
        <v/>
      </c>
      <c r="BK220" s="75">
        <f>$C220*INDEX(Curves!$BE$8:$BE$68,BK$4-$B220+1)</f>
        <v/>
      </c>
      <c r="BL220" s="75">
        <f>$C220*INDEX(Curves!$BE$8:$BE$68,BL$4-$B220+1)</f>
        <v/>
      </c>
    </row>
    <row r="221">
      <c r="A221" s="74" t="inlineStr">
        <is>
          <t>Cohort month 23</t>
        </is>
      </c>
      <c r="B221" s="74" t="n">
        <v>23</v>
      </c>
      <c r="C221" s="17">
        <f>INDEX(Ops!$E$110:$BL$110,1,$B221)</f>
        <v/>
      </c>
      <c r="AB221" s="75">
        <f>$C221*INDEX(Curves!$BE$8:$BE$68,AB$4-$B221+1)</f>
        <v/>
      </c>
      <c r="AC221" s="75">
        <f>$C221*INDEX(Curves!$BE$8:$BE$68,AC$4-$B221+1)</f>
        <v/>
      </c>
      <c r="AD221" s="75">
        <f>$C221*INDEX(Curves!$BE$8:$BE$68,AD$4-$B221+1)</f>
        <v/>
      </c>
      <c r="AE221" s="75">
        <f>$C221*INDEX(Curves!$BE$8:$BE$68,AE$4-$B221+1)</f>
        <v/>
      </c>
      <c r="AF221" s="75">
        <f>$C221*INDEX(Curves!$BE$8:$BE$68,AF$4-$B221+1)</f>
        <v/>
      </c>
      <c r="AG221" s="75">
        <f>$C221*INDEX(Curves!$BE$8:$BE$68,AG$4-$B221+1)</f>
        <v/>
      </c>
      <c r="AH221" s="75">
        <f>$C221*INDEX(Curves!$BE$8:$BE$68,AH$4-$B221+1)</f>
        <v/>
      </c>
      <c r="AI221" s="75">
        <f>$C221*INDEX(Curves!$BE$8:$BE$68,AI$4-$B221+1)</f>
        <v/>
      </c>
      <c r="AJ221" s="75">
        <f>$C221*INDEX(Curves!$BE$8:$BE$68,AJ$4-$B221+1)</f>
        <v/>
      </c>
      <c r="AK221" s="75">
        <f>$C221*INDEX(Curves!$BE$8:$BE$68,AK$4-$B221+1)</f>
        <v/>
      </c>
      <c r="AL221" s="75">
        <f>$C221*INDEX(Curves!$BE$8:$BE$68,AL$4-$B221+1)</f>
        <v/>
      </c>
      <c r="AM221" s="75">
        <f>$C221*INDEX(Curves!$BE$8:$BE$68,AM$4-$B221+1)</f>
        <v/>
      </c>
      <c r="AN221" s="75">
        <f>$C221*INDEX(Curves!$BE$8:$BE$68,AN$4-$B221+1)</f>
        <v/>
      </c>
      <c r="AO221" s="75">
        <f>$C221*INDEX(Curves!$BE$8:$BE$68,AO$4-$B221+1)</f>
        <v/>
      </c>
      <c r="AP221" s="75">
        <f>$C221*INDEX(Curves!$BE$8:$BE$68,AP$4-$B221+1)</f>
        <v/>
      </c>
      <c r="AQ221" s="75">
        <f>$C221*INDEX(Curves!$BE$8:$BE$68,AQ$4-$B221+1)</f>
        <v/>
      </c>
      <c r="AR221" s="75">
        <f>$C221*INDEX(Curves!$BE$8:$BE$68,AR$4-$B221+1)</f>
        <v/>
      </c>
      <c r="AS221" s="75">
        <f>$C221*INDEX(Curves!$BE$8:$BE$68,AS$4-$B221+1)</f>
        <v/>
      </c>
      <c r="AT221" s="75">
        <f>$C221*INDEX(Curves!$BE$8:$BE$68,AT$4-$B221+1)</f>
        <v/>
      </c>
      <c r="AU221" s="75">
        <f>$C221*INDEX(Curves!$BE$8:$BE$68,AU$4-$B221+1)</f>
        <v/>
      </c>
      <c r="AV221" s="75">
        <f>$C221*INDEX(Curves!$BE$8:$BE$68,AV$4-$B221+1)</f>
        <v/>
      </c>
      <c r="AW221" s="75">
        <f>$C221*INDEX(Curves!$BE$8:$BE$68,AW$4-$B221+1)</f>
        <v/>
      </c>
      <c r="AX221" s="75">
        <f>$C221*INDEX(Curves!$BE$8:$BE$68,AX$4-$B221+1)</f>
        <v/>
      </c>
      <c r="AY221" s="75">
        <f>$C221*INDEX(Curves!$BE$8:$BE$68,AY$4-$B221+1)</f>
        <v/>
      </c>
      <c r="AZ221" s="75">
        <f>$C221*INDEX(Curves!$BE$8:$BE$68,AZ$4-$B221+1)</f>
        <v/>
      </c>
      <c r="BA221" s="75">
        <f>$C221*INDEX(Curves!$BE$8:$BE$68,BA$4-$B221+1)</f>
        <v/>
      </c>
      <c r="BB221" s="75">
        <f>$C221*INDEX(Curves!$BE$8:$BE$68,BB$4-$B221+1)</f>
        <v/>
      </c>
      <c r="BC221" s="75">
        <f>$C221*INDEX(Curves!$BE$8:$BE$68,BC$4-$B221+1)</f>
        <v/>
      </c>
      <c r="BD221" s="75">
        <f>$C221*INDEX(Curves!$BE$8:$BE$68,BD$4-$B221+1)</f>
        <v/>
      </c>
      <c r="BE221" s="75">
        <f>$C221*INDEX(Curves!$BE$8:$BE$68,BE$4-$B221+1)</f>
        <v/>
      </c>
      <c r="BF221" s="75">
        <f>$C221*INDEX(Curves!$BE$8:$BE$68,BF$4-$B221+1)</f>
        <v/>
      </c>
      <c r="BG221" s="75">
        <f>$C221*INDEX(Curves!$BE$8:$BE$68,BG$4-$B221+1)</f>
        <v/>
      </c>
      <c r="BH221" s="75">
        <f>$C221*INDEX(Curves!$BE$8:$BE$68,BH$4-$B221+1)</f>
        <v/>
      </c>
      <c r="BI221" s="75">
        <f>$C221*INDEX(Curves!$BE$8:$BE$68,BI$4-$B221+1)</f>
        <v/>
      </c>
      <c r="BJ221" s="75">
        <f>$C221*INDEX(Curves!$BE$8:$BE$68,BJ$4-$B221+1)</f>
        <v/>
      </c>
      <c r="BK221" s="75">
        <f>$C221*INDEX(Curves!$BE$8:$BE$68,BK$4-$B221+1)</f>
        <v/>
      </c>
      <c r="BL221" s="75">
        <f>$C221*INDEX(Curves!$BE$8:$BE$68,BL$4-$B221+1)</f>
        <v/>
      </c>
    </row>
    <row r="222">
      <c r="A222" s="74" t="inlineStr">
        <is>
          <t>Cohort month 24</t>
        </is>
      </c>
      <c r="B222" s="74" t="n">
        <v>24</v>
      </c>
      <c r="C222" s="17">
        <f>INDEX(Ops!$E$110:$BL$110,1,$B222)</f>
        <v/>
      </c>
      <c r="AC222" s="75">
        <f>$C222*INDEX(Curves!$BE$8:$BE$68,AC$4-$B222+1)</f>
        <v/>
      </c>
      <c r="AD222" s="75">
        <f>$C222*INDEX(Curves!$BE$8:$BE$68,AD$4-$B222+1)</f>
        <v/>
      </c>
      <c r="AE222" s="75">
        <f>$C222*INDEX(Curves!$BE$8:$BE$68,AE$4-$B222+1)</f>
        <v/>
      </c>
      <c r="AF222" s="75">
        <f>$C222*INDEX(Curves!$BE$8:$BE$68,AF$4-$B222+1)</f>
        <v/>
      </c>
      <c r="AG222" s="75">
        <f>$C222*INDEX(Curves!$BE$8:$BE$68,AG$4-$B222+1)</f>
        <v/>
      </c>
      <c r="AH222" s="75">
        <f>$C222*INDEX(Curves!$BE$8:$BE$68,AH$4-$B222+1)</f>
        <v/>
      </c>
      <c r="AI222" s="75">
        <f>$C222*INDEX(Curves!$BE$8:$BE$68,AI$4-$B222+1)</f>
        <v/>
      </c>
      <c r="AJ222" s="75">
        <f>$C222*INDEX(Curves!$BE$8:$BE$68,AJ$4-$B222+1)</f>
        <v/>
      </c>
      <c r="AK222" s="75">
        <f>$C222*INDEX(Curves!$BE$8:$BE$68,AK$4-$B222+1)</f>
        <v/>
      </c>
      <c r="AL222" s="75">
        <f>$C222*INDEX(Curves!$BE$8:$BE$68,AL$4-$B222+1)</f>
        <v/>
      </c>
      <c r="AM222" s="75">
        <f>$C222*INDEX(Curves!$BE$8:$BE$68,AM$4-$B222+1)</f>
        <v/>
      </c>
      <c r="AN222" s="75">
        <f>$C222*INDEX(Curves!$BE$8:$BE$68,AN$4-$B222+1)</f>
        <v/>
      </c>
      <c r="AO222" s="75">
        <f>$C222*INDEX(Curves!$BE$8:$BE$68,AO$4-$B222+1)</f>
        <v/>
      </c>
      <c r="AP222" s="75">
        <f>$C222*INDEX(Curves!$BE$8:$BE$68,AP$4-$B222+1)</f>
        <v/>
      </c>
      <c r="AQ222" s="75">
        <f>$C222*INDEX(Curves!$BE$8:$BE$68,AQ$4-$B222+1)</f>
        <v/>
      </c>
      <c r="AR222" s="75">
        <f>$C222*INDEX(Curves!$BE$8:$BE$68,AR$4-$B222+1)</f>
        <v/>
      </c>
      <c r="AS222" s="75">
        <f>$C222*INDEX(Curves!$BE$8:$BE$68,AS$4-$B222+1)</f>
        <v/>
      </c>
      <c r="AT222" s="75">
        <f>$C222*INDEX(Curves!$BE$8:$BE$68,AT$4-$B222+1)</f>
        <v/>
      </c>
      <c r="AU222" s="75">
        <f>$C222*INDEX(Curves!$BE$8:$BE$68,AU$4-$B222+1)</f>
        <v/>
      </c>
      <c r="AV222" s="75">
        <f>$C222*INDEX(Curves!$BE$8:$BE$68,AV$4-$B222+1)</f>
        <v/>
      </c>
      <c r="AW222" s="75">
        <f>$C222*INDEX(Curves!$BE$8:$BE$68,AW$4-$B222+1)</f>
        <v/>
      </c>
      <c r="AX222" s="75">
        <f>$C222*INDEX(Curves!$BE$8:$BE$68,AX$4-$B222+1)</f>
        <v/>
      </c>
      <c r="AY222" s="75">
        <f>$C222*INDEX(Curves!$BE$8:$BE$68,AY$4-$B222+1)</f>
        <v/>
      </c>
      <c r="AZ222" s="75">
        <f>$C222*INDEX(Curves!$BE$8:$BE$68,AZ$4-$B222+1)</f>
        <v/>
      </c>
      <c r="BA222" s="75">
        <f>$C222*INDEX(Curves!$BE$8:$BE$68,BA$4-$B222+1)</f>
        <v/>
      </c>
      <c r="BB222" s="75">
        <f>$C222*INDEX(Curves!$BE$8:$BE$68,BB$4-$B222+1)</f>
        <v/>
      </c>
      <c r="BC222" s="75">
        <f>$C222*INDEX(Curves!$BE$8:$BE$68,BC$4-$B222+1)</f>
        <v/>
      </c>
      <c r="BD222" s="75">
        <f>$C222*INDEX(Curves!$BE$8:$BE$68,BD$4-$B222+1)</f>
        <v/>
      </c>
      <c r="BE222" s="75">
        <f>$C222*INDEX(Curves!$BE$8:$BE$68,BE$4-$B222+1)</f>
        <v/>
      </c>
      <c r="BF222" s="75">
        <f>$C222*INDEX(Curves!$BE$8:$BE$68,BF$4-$B222+1)</f>
        <v/>
      </c>
      <c r="BG222" s="75">
        <f>$C222*INDEX(Curves!$BE$8:$BE$68,BG$4-$B222+1)</f>
        <v/>
      </c>
      <c r="BH222" s="75">
        <f>$C222*INDEX(Curves!$BE$8:$BE$68,BH$4-$B222+1)</f>
        <v/>
      </c>
      <c r="BI222" s="75">
        <f>$C222*INDEX(Curves!$BE$8:$BE$68,BI$4-$B222+1)</f>
        <v/>
      </c>
      <c r="BJ222" s="75">
        <f>$C222*INDEX(Curves!$BE$8:$BE$68,BJ$4-$B222+1)</f>
        <v/>
      </c>
      <c r="BK222" s="75">
        <f>$C222*INDEX(Curves!$BE$8:$BE$68,BK$4-$B222+1)</f>
        <v/>
      </c>
      <c r="BL222" s="75">
        <f>$C222*INDEX(Curves!$BE$8:$BE$68,BL$4-$B222+1)</f>
        <v/>
      </c>
    </row>
    <row r="223">
      <c r="A223" s="74" t="inlineStr">
        <is>
          <t>Cohort month 25</t>
        </is>
      </c>
      <c r="B223" s="74" t="n">
        <v>25</v>
      </c>
      <c r="C223" s="17">
        <f>INDEX(Ops!$E$110:$BL$110,1,$B223)</f>
        <v/>
      </c>
      <c r="AD223" s="75">
        <f>$C223*INDEX(Curves!$BE$8:$BE$68,AD$4-$B223+1)</f>
        <v/>
      </c>
      <c r="AE223" s="75">
        <f>$C223*INDEX(Curves!$BE$8:$BE$68,AE$4-$B223+1)</f>
        <v/>
      </c>
      <c r="AF223" s="75">
        <f>$C223*INDEX(Curves!$BE$8:$BE$68,AF$4-$B223+1)</f>
        <v/>
      </c>
      <c r="AG223" s="75">
        <f>$C223*INDEX(Curves!$BE$8:$BE$68,AG$4-$B223+1)</f>
        <v/>
      </c>
      <c r="AH223" s="75">
        <f>$C223*INDEX(Curves!$BE$8:$BE$68,AH$4-$B223+1)</f>
        <v/>
      </c>
      <c r="AI223" s="75">
        <f>$C223*INDEX(Curves!$BE$8:$BE$68,AI$4-$B223+1)</f>
        <v/>
      </c>
      <c r="AJ223" s="75">
        <f>$C223*INDEX(Curves!$BE$8:$BE$68,AJ$4-$B223+1)</f>
        <v/>
      </c>
      <c r="AK223" s="75">
        <f>$C223*INDEX(Curves!$BE$8:$BE$68,AK$4-$B223+1)</f>
        <v/>
      </c>
      <c r="AL223" s="75">
        <f>$C223*INDEX(Curves!$BE$8:$BE$68,AL$4-$B223+1)</f>
        <v/>
      </c>
      <c r="AM223" s="75">
        <f>$C223*INDEX(Curves!$BE$8:$BE$68,AM$4-$B223+1)</f>
        <v/>
      </c>
      <c r="AN223" s="75">
        <f>$C223*INDEX(Curves!$BE$8:$BE$68,AN$4-$B223+1)</f>
        <v/>
      </c>
      <c r="AO223" s="75">
        <f>$C223*INDEX(Curves!$BE$8:$BE$68,AO$4-$B223+1)</f>
        <v/>
      </c>
      <c r="AP223" s="75">
        <f>$C223*INDEX(Curves!$BE$8:$BE$68,AP$4-$B223+1)</f>
        <v/>
      </c>
      <c r="AQ223" s="75">
        <f>$C223*INDEX(Curves!$BE$8:$BE$68,AQ$4-$B223+1)</f>
        <v/>
      </c>
      <c r="AR223" s="75">
        <f>$C223*INDEX(Curves!$BE$8:$BE$68,AR$4-$B223+1)</f>
        <v/>
      </c>
      <c r="AS223" s="75">
        <f>$C223*INDEX(Curves!$BE$8:$BE$68,AS$4-$B223+1)</f>
        <v/>
      </c>
      <c r="AT223" s="75">
        <f>$C223*INDEX(Curves!$BE$8:$BE$68,AT$4-$B223+1)</f>
        <v/>
      </c>
      <c r="AU223" s="75">
        <f>$C223*INDEX(Curves!$BE$8:$BE$68,AU$4-$B223+1)</f>
        <v/>
      </c>
      <c r="AV223" s="75">
        <f>$C223*INDEX(Curves!$BE$8:$BE$68,AV$4-$B223+1)</f>
        <v/>
      </c>
      <c r="AW223" s="75">
        <f>$C223*INDEX(Curves!$BE$8:$BE$68,AW$4-$B223+1)</f>
        <v/>
      </c>
      <c r="AX223" s="75">
        <f>$C223*INDEX(Curves!$BE$8:$BE$68,AX$4-$B223+1)</f>
        <v/>
      </c>
      <c r="AY223" s="75">
        <f>$C223*INDEX(Curves!$BE$8:$BE$68,AY$4-$B223+1)</f>
        <v/>
      </c>
      <c r="AZ223" s="75">
        <f>$C223*INDEX(Curves!$BE$8:$BE$68,AZ$4-$B223+1)</f>
        <v/>
      </c>
      <c r="BA223" s="75">
        <f>$C223*INDEX(Curves!$BE$8:$BE$68,BA$4-$B223+1)</f>
        <v/>
      </c>
      <c r="BB223" s="75">
        <f>$C223*INDEX(Curves!$BE$8:$BE$68,BB$4-$B223+1)</f>
        <v/>
      </c>
      <c r="BC223" s="75">
        <f>$C223*INDEX(Curves!$BE$8:$BE$68,BC$4-$B223+1)</f>
        <v/>
      </c>
      <c r="BD223" s="75">
        <f>$C223*INDEX(Curves!$BE$8:$BE$68,BD$4-$B223+1)</f>
        <v/>
      </c>
      <c r="BE223" s="75">
        <f>$C223*INDEX(Curves!$BE$8:$BE$68,BE$4-$B223+1)</f>
        <v/>
      </c>
      <c r="BF223" s="75">
        <f>$C223*INDEX(Curves!$BE$8:$BE$68,BF$4-$B223+1)</f>
        <v/>
      </c>
      <c r="BG223" s="75">
        <f>$C223*INDEX(Curves!$BE$8:$BE$68,BG$4-$B223+1)</f>
        <v/>
      </c>
      <c r="BH223" s="75">
        <f>$C223*INDEX(Curves!$BE$8:$BE$68,BH$4-$B223+1)</f>
        <v/>
      </c>
      <c r="BI223" s="75">
        <f>$C223*INDEX(Curves!$BE$8:$BE$68,BI$4-$B223+1)</f>
        <v/>
      </c>
      <c r="BJ223" s="75">
        <f>$C223*INDEX(Curves!$BE$8:$BE$68,BJ$4-$B223+1)</f>
        <v/>
      </c>
      <c r="BK223" s="75">
        <f>$C223*INDEX(Curves!$BE$8:$BE$68,BK$4-$B223+1)</f>
        <v/>
      </c>
      <c r="BL223" s="75">
        <f>$C223*INDEX(Curves!$BE$8:$BE$68,BL$4-$B223+1)</f>
        <v/>
      </c>
    </row>
    <row r="224">
      <c r="A224" s="74" t="inlineStr">
        <is>
          <t>Cohort month 26</t>
        </is>
      </c>
      <c r="B224" s="74" t="n">
        <v>26</v>
      </c>
      <c r="C224" s="17">
        <f>INDEX(Ops!$E$110:$BL$110,1,$B224)</f>
        <v/>
      </c>
      <c r="AE224" s="75">
        <f>$C224*INDEX(Curves!$BE$8:$BE$68,AE$4-$B224+1)</f>
        <v/>
      </c>
      <c r="AF224" s="75">
        <f>$C224*INDEX(Curves!$BE$8:$BE$68,AF$4-$B224+1)</f>
        <v/>
      </c>
      <c r="AG224" s="75">
        <f>$C224*INDEX(Curves!$BE$8:$BE$68,AG$4-$B224+1)</f>
        <v/>
      </c>
      <c r="AH224" s="75">
        <f>$C224*INDEX(Curves!$BE$8:$BE$68,AH$4-$B224+1)</f>
        <v/>
      </c>
      <c r="AI224" s="75">
        <f>$C224*INDEX(Curves!$BE$8:$BE$68,AI$4-$B224+1)</f>
        <v/>
      </c>
      <c r="AJ224" s="75">
        <f>$C224*INDEX(Curves!$BE$8:$BE$68,AJ$4-$B224+1)</f>
        <v/>
      </c>
      <c r="AK224" s="75">
        <f>$C224*INDEX(Curves!$BE$8:$BE$68,AK$4-$B224+1)</f>
        <v/>
      </c>
      <c r="AL224" s="75">
        <f>$C224*INDEX(Curves!$BE$8:$BE$68,AL$4-$B224+1)</f>
        <v/>
      </c>
      <c r="AM224" s="75">
        <f>$C224*INDEX(Curves!$BE$8:$BE$68,AM$4-$B224+1)</f>
        <v/>
      </c>
      <c r="AN224" s="75">
        <f>$C224*INDEX(Curves!$BE$8:$BE$68,AN$4-$B224+1)</f>
        <v/>
      </c>
      <c r="AO224" s="75">
        <f>$C224*INDEX(Curves!$BE$8:$BE$68,AO$4-$B224+1)</f>
        <v/>
      </c>
      <c r="AP224" s="75">
        <f>$C224*INDEX(Curves!$BE$8:$BE$68,AP$4-$B224+1)</f>
        <v/>
      </c>
      <c r="AQ224" s="75">
        <f>$C224*INDEX(Curves!$BE$8:$BE$68,AQ$4-$B224+1)</f>
        <v/>
      </c>
      <c r="AR224" s="75">
        <f>$C224*INDEX(Curves!$BE$8:$BE$68,AR$4-$B224+1)</f>
        <v/>
      </c>
      <c r="AS224" s="75">
        <f>$C224*INDEX(Curves!$BE$8:$BE$68,AS$4-$B224+1)</f>
        <v/>
      </c>
      <c r="AT224" s="75">
        <f>$C224*INDEX(Curves!$BE$8:$BE$68,AT$4-$B224+1)</f>
        <v/>
      </c>
      <c r="AU224" s="75">
        <f>$C224*INDEX(Curves!$BE$8:$BE$68,AU$4-$B224+1)</f>
        <v/>
      </c>
      <c r="AV224" s="75">
        <f>$C224*INDEX(Curves!$BE$8:$BE$68,AV$4-$B224+1)</f>
        <v/>
      </c>
      <c r="AW224" s="75">
        <f>$C224*INDEX(Curves!$BE$8:$BE$68,AW$4-$B224+1)</f>
        <v/>
      </c>
      <c r="AX224" s="75">
        <f>$C224*INDEX(Curves!$BE$8:$BE$68,AX$4-$B224+1)</f>
        <v/>
      </c>
      <c r="AY224" s="75">
        <f>$C224*INDEX(Curves!$BE$8:$BE$68,AY$4-$B224+1)</f>
        <v/>
      </c>
      <c r="AZ224" s="75">
        <f>$C224*INDEX(Curves!$BE$8:$BE$68,AZ$4-$B224+1)</f>
        <v/>
      </c>
      <c r="BA224" s="75">
        <f>$C224*INDEX(Curves!$BE$8:$BE$68,BA$4-$B224+1)</f>
        <v/>
      </c>
      <c r="BB224" s="75">
        <f>$C224*INDEX(Curves!$BE$8:$BE$68,BB$4-$B224+1)</f>
        <v/>
      </c>
      <c r="BC224" s="75">
        <f>$C224*INDEX(Curves!$BE$8:$BE$68,BC$4-$B224+1)</f>
        <v/>
      </c>
      <c r="BD224" s="75">
        <f>$C224*INDEX(Curves!$BE$8:$BE$68,BD$4-$B224+1)</f>
        <v/>
      </c>
      <c r="BE224" s="75">
        <f>$C224*INDEX(Curves!$BE$8:$BE$68,BE$4-$B224+1)</f>
        <v/>
      </c>
      <c r="BF224" s="75">
        <f>$C224*INDEX(Curves!$BE$8:$BE$68,BF$4-$B224+1)</f>
        <v/>
      </c>
      <c r="BG224" s="75">
        <f>$C224*INDEX(Curves!$BE$8:$BE$68,BG$4-$B224+1)</f>
        <v/>
      </c>
      <c r="BH224" s="75">
        <f>$C224*INDEX(Curves!$BE$8:$BE$68,BH$4-$B224+1)</f>
        <v/>
      </c>
      <c r="BI224" s="75">
        <f>$C224*INDEX(Curves!$BE$8:$BE$68,BI$4-$B224+1)</f>
        <v/>
      </c>
      <c r="BJ224" s="75">
        <f>$C224*INDEX(Curves!$BE$8:$BE$68,BJ$4-$B224+1)</f>
        <v/>
      </c>
      <c r="BK224" s="75">
        <f>$C224*INDEX(Curves!$BE$8:$BE$68,BK$4-$B224+1)</f>
        <v/>
      </c>
      <c r="BL224" s="75">
        <f>$C224*INDEX(Curves!$BE$8:$BE$68,BL$4-$B224+1)</f>
        <v/>
      </c>
    </row>
    <row r="225">
      <c r="A225" s="74" t="inlineStr">
        <is>
          <t>Cohort month 27</t>
        </is>
      </c>
      <c r="B225" s="74" t="n">
        <v>27</v>
      </c>
      <c r="C225" s="17">
        <f>INDEX(Ops!$E$110:$BL$110,1,$B225)</f>
        <v/>
      </c>
      <c r="AF225" s="75">
        <f>$C225*INDEX(Curves!$BE$8:$BE$68,AF$4-$B225+1)</f>
        <v/>
      </c>
      <c r="AG225" s="75">
        <f>$C225*INDEX(Curves!$BE$8:$BE$68,AG$4-$B225+1)</f>
        <v/>
      </c>
      <c r="AH225" s="75">
        <f>$C225*INDEX(Curves!$BE$8:$BE$68,AH$4-$B225+1)</f>
        <v/>
      </c>
      <c r="AI225" s="75">
        <f>$C225*INDEX(Curves!$BE$8:$BE$68,AI$4-$B225+1)</f>
        <v/>
      </c>
      <c r="AJ225" s="75">
        <f>$C225*INDEX(Curves!$BE$8:$BE$68,AJ$4-$B225+1)</f>
        <v/>
      </c>
      <c r="AK225" s="75">
        <f>$C225*INDEX(Curves!$BE$8:$BE$68,AK$4-$B225+1)</f>
        <v/>
      </c>
      <c r="AL225" s="75">
        <f>$C225*INDEX(Curves!$BE$8:$BE$68,AL$4-$B225+1)</f>
        <v/>
      </c>
      <c r="AM225" s="75">
        <f>$C225*INDEX(Curves!$BE$8:$BE$68,AM$4-$B225+1)</f>
        <v/>
      </c>
      <c r="AN225" s="75">
        <f>$C225*INDEX(Curves!$BE$8:$BE$68,AN$4-$B225+1)</f>
        <v/>
      </c>
      <c r="AO225" s="75">
        <f>$C225*INDEX(Curves!$BE$8:$BE$68,AO$4-$B225+1)</f>
        <v/>
      </c>
      <c r="AP225" s="75">
        <f>$C225*INDEX(Curves!$BE$8:$BE$68,AP$4-$B225+1)</f>
        <v/>
      </c>
      <c r="AQ225" s="75">
        <f>$C225*INDEX(Curves!$BE$8:$BE$68,AQ$4-$B225+1)</f>
        <v/>
      </c>
      <c r="AR225" s="75">
        <f>$C225*INDEX(Curves!$BE$8:$BE$68,AR$4-$B225+1)</f>
        <v/>
      </c>
      <c r="AS225" s="75">
        <f>$C225*INDEX(Curves!$BE$8:$BE$68,AS$4-$B225+1)</f>
        <v/>
      </c>
      <c r="AT225" s="75">
        <f>$C225*INDEX(Curves!$BE$8:$BE$68,AT$4-$B225+1)</f>
        <v/>
      </c>
      <c r="AU225" s="75">
        <f>$C225*INDEX(Curves!$BE$8:$BE$68,AU$4-$B225+1)</f>
        <v/>
      </c>
      <c r="AV225" s="75">
        <f>$C225*INDEX(Curves!$BE$8:$BE$68,AV$4-$B225+1)</f>
        <v/>
      </c>
      <c r="AW225" s="75">
        <f>$C225*INDEX(Curves!$BE$8:$BE$68,AW$4-$B225+1)</f>
        <v/>
      </c>
      <c r="AX225" s="75">
        <f>$C225*INDEX(Curves!$BE$8:$BE$68,AX$4-$B225+1)</f>
        <v/>
      </c>
      <c r="AY225" s="75">
        <f>$C225*INDEX(Curves!$BE$8:$BE$68,AY$4-$B225+1)</f>
        <v/>
      </c>
      <c r="AZ225" s="75">
        <f>$C225*INDEX(Curves!$BE$8:$BE$68,AZ$4-$B225+1)</f>
        <v/>
      </c>
      <c r="BA225" s="75">
        <f>$C225*INDEX(Curves!$BE$8:$BE$68,BA$4-$B225+1)</f>
        <v/>
      </c>
      <c r="BB225" s="75">
        <f>$C225*INDEX(Curves!$BE$8:$BE$68,BB$4-$B225+1)</f>
        <v/>
      </c>
      <c r="BC225" s="75">
        <f>$C225*INDEX(Curves!$BE$8:$BE$68,BC$4-$B225+1)</f>
        <v/>
      </c>
      <c r="BD225" s="75">
        <f>$C225*INDEX(Curves!$BE$8:$BE$68,BD$4-$B225+1)</f>
        <v/>
      </c>
      <c r="BE225" s="75">
        <f>$C225*INDEX(Curves!$BE$8:$BE$68,BE$4-$B225+1)</f>
        <v/>
      </c>
      <c r="BF225" s="75">
        <f>$C225*INDEX(Curves!$BE$8:$BE$68,BF$4-$B225+1)</f>
        <v/>
      </c>
      <c r="BG225" s="75">
        <f>$C225*INDEX(Curves!$BE$8:$BE$68,BG$4-$B225+1)</f>
        <v/>
      </c>
      <c r="BH225" s="75">
        <f>$C225*INDEX(Curves!$BE$8:$BE$68,BH$4-$B225+1)</f>
        <v/>
      </c>
      <c r="BI225" s="75">
        <f>$C225*INDEX(Curves!$BE$8:$BE$68,BI$4-$B225+1)</f>
        <v/>
      </c>
      <c r="BJ225" s="75">
        <f>$C225*INDEX(Curves!$BE$8:$BE$68,BJ$4-$B225+1)</f>
        <v/>
      </c>
      <c r="BK225" s="75">
        <f>$C225*INDEX(Curves!$BE$8:$BE$68,BK$4-$B225+1)</f>
        <v/>
      </c>
      <c r="BL225" s="75">
        <f>$C225*INDEX(Curves!$BE$8:$BE$68,BL$4-$B225+1)</f>
        <v/>
      </c>
    </row>
    <row r="226">
      <c r="A226" s="74" t="inlineStr">
        <is>
          <t>Cohort month 28</t>
        </is>
      </c>
      <c r="B226" s="74" t="n">
        <v>28</v>
      </c>
      <c r="C226" s="17">
        <f>INDEX(Ops!$E$110:$BL$110,1,$B226)</f>
        <v/>
      </c>
      <c r="AG226" s="75">
        <f>$C226*INDEX(Curves!$BE$8:$BE$68,AG$4-$B226+1)</f>
        <v/>
      </c>
      <c r="AH226" s="75">
        <f>$C226*INDEX(Curves!$BE$8:$BE$68,AH$4-$B226+1)</f>
        <v/>
      </c>
      <c r="AI226" s="75">
        <f>$C226*INDEX(Curves!$BE$8:$BE$68,AI$4-$B226+1)</f>
        <v/>
      </c>
      <c r="AJ226" s="75">
        <f>$C226*INDEX(Curves!$BE$8:$BE$68,AJ$4-$B226+1)</f>
        <v/>
      </c>
      <c r="AK226" s="75">
        <f>$C226*INDEX(Curves!$BE$8:$BE$68,AK$4-$B226+1)</f>
        <v/>
      </c>
      <c r="AL226" s="75">
        <f>$C226*INDEX(Curves!$BE$8:$BE$68,AL$4-$B226+1)</f>
        <v/>
      </c>
      <c r="AM226" s="75">
        <f>$C226*INDEX(Curves!$BE$8:$BE$68,AM$4-$B226+1)</f>
        <v/>
      </c>
      <c r="AN226" s="75">
        <f>$C226*INDEX(Curves!$BE$8:$BE$68,AN$4-$B226+1)</f>
        <v/>
      </c>
      <c r="AO226" s="75">
        <f>$C226*INDEX(Curves!$BE$8:$BE$68,AO$4-$B226+1)</f>
        <v/>
      </c>
      <c r="AP226" s="75">
        <f>$C226*INDEX(Curves!$BE$8:$BE$68,AP$4-$B226+1)</f>
        <v/>
      </c>
      <c r="AQ226" s="75">
        <f>$C226*INDEX(Curves!$BE$8:$BE$68,AQ$4-$B226+1)</f>
        <v/>
      </c>
      <c r="AR226" s="75">
        <f>$C226*INDEX(Curves!$BE$8:$BE$68,AR$4-$B226+1)</f>
        <v/>
      </c>
      <c r="AS226" s="75">
        <f>$C226*INDEX(Curves!$BE$8:$BE$68,AS$4-$B226+1)</f>
        <v/>
      </c>
      <c r="AT226" s="75">
        <f>$C226*INDEX(Curves!$BE$8:$BE$68,AT$4-$B226+1)</f>
        <v/>
      </c>
      <c r="AU226" s="75">
        <f>$C226*INDEX(Curves!$BE$8:$BE$68,AU$4-$B226+1)</f>
        <v/>
      </c>
      <c r="AV226" s="75">
        <f>$C226*INDEX(Curves!$BE$8:$BE$68,AV$4-$B226+1)</f>
        <v/>
      </c>
      <c r="AW226" s="75">
        <f>$C226*INDEX(Curves!$BE$8:$BE$68,AW$4-$B226+1)</f>
        <v/>
      </c>
      <c r="AX226" s="75">
        <f>$C226*INDEX(Curves!$BE$8:$BE$68,AX$4-$B226+1)</f>
        <v/>
      </c>
      <c r="AY226" s="75">
        <f>$C226*INDEX(Curves!$BE$8:$BE$68,AY$4-$B226+1)</f>
        <v/>
      </c>
      <c r="AZ226" s="75">
        <f>$C226*INDEX(Curves!$BE$8:$BE$68,AZ$4-$B226+1)</f>
        <v/>
      </c>
      <c r="BA226" s="75">
        <f>$C226*INDEX(Curves!$BE$8:$BE$68,BA$4-$B226+1)</f>
        <v/>
      </c>
      <c r="BB226" s="75">
        <f>$C226*INDEX(Curves!$BE$8:$BE$68,BB$4-$B226+1)</f>
        <v/>
      </c>
      <c r="BC226" s="75">
        <f>$C226*INDEX(Curves!$BE$8:$BE$68,BC$4-$B226+1)</f>
        <v/>
      </c>
      <c r="BD226" s="75">
        <f>$C226*INDEX(Curves!$BE$8:$BE$68,BD$4-$B226+1)</f>
        <v/>
      </c>
      <c r="BE226" s="75">
        <f>$C226*INDEX(Curves!$BE$8:$BE$68,BE$4-$B226+1)</f>
        <v/>
      </c>
      <c r="BF226" s="75">
        <f>$C226*INDEX(Curves!$BE$8:$BE$68,BF$4-$B226+1)</f>
        <v/>
      </c>
      <c r="BG226" s="75">
        <f>$C226*INDEX(Curves!$BE$8:$BE$68,BG$4-$B226+1)</f>
        <v/>
      </c>
      <c r="BH226" s="75">
        <f>$C226*INDEX(Curves!$BE$8:$BE$68,BH$4-$B226+1)</f>
        <v/>
      </c>
      <c r="BI226" s="75">
        <f>$C226*INDEX(Curves!$BE$8:$BE$68,BI$4-$B226+1)</f>
        <v/>
      </c>
      <c r="BJ226" s="75">
        <f>$C226*INDEX(Curves!$BE$8:$BE$68,BJ$4-$B226+1)</f>
        <v/>
      </c>
      <c r="BK226" s="75">
        <f>$C226*INDEX(Curves!$BE$8:$BE$68,BK$4-$B226+1)</f>
        <v/>
      </c>
      <c r="BL226" s="75">
        <f>$C226*INDEX(Curves!$BE$8:$BE$68,BL$4-$B226+1)</f>
        <v/>
      </c>
    </row>
    <row r="227">
      <c r="A227" s="74" t="inlineStr">
        <is>
          <t>Cohort month 29</t>
        </is>
      </c>
      <c r="B227" s="74" t="n">
        <v>29</v>
      </c>
      <c r="C227" s="17">
        <f>INDEX(Ops!$E$110:$BL$110,1,$B227)</f>
        <v/>
      </c>
      <c r="AH227" s="75">
        <f>$C227*INDEX(Curves!$BE$8:$BE$68,AH$4-$B227+1)</f>
        <v/>
      </c>
      <c r="AI227" s="75">
        <f>$C227*INDEX(Curves!$BE$8:$BE$68,AI$4-$B227+1)</f>
        <v/>
      </c>
      <c r="AJ227" s="75">
        <f>$C227*INDEX(Curves!$BE$8:$BE$68,AJ$4-$B227+1)</f>
        <v/>
      </c>
      <c r="AK227" s="75">
        <f>$C227*INDEX(Curves!$BE$8:$BE$68,AK$4-$B227+1)</f>
        <v/>
      </c>
      <c r="AL227" s="75">
        <f>$C227*INDEX(Curves!$BE$8:$BE$68,AL$4-$B227+1)</f>
        <v/>
      </c>
      <c r="AM227" s="75">
        <f>$C227*INDEX(Curves!$BE$8:$BE$68,AM$4-$B227+1)</f>
        <v/>
      </c>
      <c r="AN227" s="75">
        <f>$C227*INDEX(Curves!$BE$8:$BE$68,AN$4-$B227+1)</f>
        <v/>
      </c>
      <c r="AO227" s="75">
        <f>$C227*INDEX(Curves!$BE$8:$BE$68,AO$4-$B227+1)</f>
        <v/>
      </c>
      <c r="AP227" s="75">
        <f>$C227*INDEX(Curves!$BE$8:$BE$68,AP$4-$B227+1)</f>
        <v/>
      </c>
      <c r="AQ227" s="75">
        <f>$C227*INDEX(Curves!$BE$8:$BE$68,AQ$4-$B227+1)</f>
        <v/>
      </c>
      <c r="AR227" s="75">
        <f>$C227*INDEX(Curves!$BE$8:$BE$68,AR$4-$B227+1)</f>
        <v/>
      </c>
      <c r="AS227" s="75">
        <f>$C227*INDEX(Curves!$BE$8:$BE$68,AS$4-$B227+1)</f>
        <v/>
      </c>
      <c r="AT227" s="75">
        <f>$C227*INDEX(Curves!$BE$8:$BE$68,AT$4-$B227+1)</f>
        <v/>
      </c>
      <c r="AU227" s="75">
        <f>$C227*INDEX(Curves!$BE$8:$BE$68,AU$4-$B227+1)</f>
        <v/>
      </c>
      <c r="AV227" s="75">
        <f>$C227*INDEX(Curves!$BE$8:$BE$68,AV$4-$B227+1)</f>
        <v/>
      </c>
      <c r="AW227" s="75">
        <f>$C227*INDEX(Curves!$BE$8:$BE$68,AW$4-$B227+1)</f>
        <v/>
      </c>
      <c r="AX227" s="75">
        <f>$C227*INDEX(Curves!$BE$8:$BE$68,AX$4-$B227+1)</f>
        <v/>
      </c>
      <c r="AY227" s="75">
        <f>$C227*INDEX(Curves!$BE$8:$BE$68,AY$4-$B227+1)</f>
        <v/>
      </c>
      <c r="AZ227" s="75">
        <f>$C227*INDEX(Curves!$BE$8:$BE$68,AZ$4-$B227+1)</f>
        <v/>
      </c>
      <c r="BA227" s="75">
        <f>$C227*INDEX(Curves!$BE$8:$BE$68,BA$4-$B227+1)</f>
        <v/>
      </c>
      <c r="BB227" s="75">
        <f>$C227*INDEX(Curves!$BE$8:$BE$68,BB$4-$B227+1)</f>
        <v/>
      </c>
      <c r="BC227" s="75">
        <f>$C227*INDEX(Curves!$BE$8:$BE$68,BC$4-$B227+1)</f>
        <v/>
      </c>
      <c r="BD227" s="75">
        <f>$C227*INDEX(Curves!$BE$8:$BE$68,BD$4-$B227+1)</f>
        <v/>
      </c>
      <c r="BE227" s="75">
        <f>$C227*INDEX(Curves!$BE$8:$BE$68,BE$4-$B227+1)</f>
        <v/>
      </c>
      <c r="BF227" s="75">
        <f>$C227*INDEX(Curves!$BE$8:$BE$68,BF$4-$B227+1)</f>
        <v/>
      </c>
      <c r="BG227" s="75">
        <f>$C227*INDEX(Curves!$BE$8:$BE$68,BG$4-$B227+1)</f>
        <v/>
      </c>
      <c r="BH227" s="75">
        <f>$C227*INDEX(Curves!$BE$8:$BE$68,BH$4-$B227+1)</f>
        <v/>
      </c>
      <c r="BI227" s="75">
        <f>$C227*INDEX(Curves!$BE$8:$BE$68,BI$4-$B227+1)</f>
        <v/>
      </c>
      <c r="BJ227" s="75">
        <f>$C227*INDEX(Curves!$BE$8:$BE$68,BJ$4-$B227+1)</f>
        <v/>
      </c>
      <c r="BK227" s="75">
        <f>$C227*INDEX(Curves!$BE$8:$BE$68,BK$4-$B227+1)</f>
        <v/>
      </c>
      <c r="BL227" s="75">
        <f>$C227*INDEX(Curves!$BE$8:$BE$68,BL$4-$B227+1)</f>
        <v/>
      </c>
    </row>
    <row r="228">
      <c r="A228" s="74" t="inlineStr">
        <is>
          <t>Cohort month 30</t>
        </is>
      </c>
      <c r="B228" s="74" t="n">
        <v>30</v>
      </c>
      <c r="C228" s="17">
        <f>INDEX(Ops!$E$110:$BL$110,1,$B228)</f>
        <v/>
      </c>
      <c r="AI228" s="75">
        <f>$C228*INDEX(Curves!$BE$8:$BE$68,AI$4-$B228+1)</f>
        <v/>
      </c>
      <c r="AJ228" s="75">
        <f>$C228*INDEX(Curves!$BE$8:$BE$68,AJ$4-$B228+1)</f>
        <v/>
      </c>
      <c r="AK228" s="75">
        <f>$C228*INDEX(Curves!$BE$8:$BE$68,AK$4-$B228+1)</f>
        <v/>
      </c>
      <c r="AL228" s="75">
        <f>$C228*INDEX(Curves!$BE$8:$BE$68,AL$4-$B228+1)</f>
        <v/>
      </c>
      <c r="AM228" s="75">
        <f>$C228*INDEX(Curves!$BE$8:$BE$68,AM$4-$B228+1)</f>
        <v/>
      </c>
      <c r="AN228" s="75">
        <f>$C228*INDEX(Curves!$BE$8:$BE$68,AN$4-$B228+1)</f>
        <v/>
      </c>
      <c r="AO228" s="75">
        <f>$C228*INDEX(Curves!$BE$8:$BE$68,AO$4-$B228+1)</f>
        <v/>
      </c>
      <c r="AP228" s="75">
        <f>$C228*INDEX(Curves!$BE$8:$BE$68,AP$4-$B228+1)</f>
        <v/>
      </c>
      <c r="AQ228" s="75">
        <f>$C228*INDEX(Curves!$BE$8:$BE$68,AQ$4-$B228+1)</f>
        <v/>
      </c>
      <c r="AR228" s="75">
        <f>$C228*INDEX(Curves!$BE$8:$BE$68,AR$4-$B228+1)</f>
        <v/>
      </c>
      <c r="AS228" s="75">
        <f>$C228*INDEX(Curves!$BE$8:$BE$68,AS$4-$B228+1)</f>
        <v/>
      </c>
      <c r="AT228" s="75">
        <f>$C228*INDEX(Curves!$BE$8:$BE$68,AT$4-$B228+1)</f>
        <v/>
      </c>
      <c r="AU228" s="75">
        <f>$C228*INDEX(Curves!$BE$8:$BE$68,AU$4-$B228+1)</f>
        <v/>
      </c>
      <c r="AV228" s="75">
        <f>$C228*INDEX(Curves!$BE$8:$BE$68,AV$4-$B228+1)</f>
        <v/>
      </c>
      <c r="AW228" s="75">
        <f>$C228*INDEX(Curves!$BE$8:$BE$68,AW$4-$B228+1)</f>
        <v/>
      </c>
      <c r="AX228" s="75">
        <f>$C228*INDEX(Curves!$BE$8:$BE$68,AX$4-$B228+1)</f>
        <v/>
      </c>
      <c r="AY228" s="75">
        <f>$C228*INDEX(Curves!$BE$8:$BE$68,AY$4-$B228+1)</f>
        <v/>
      </c>
      <c r="AZ228" s="75">
        <f>$C228*INDEX(Curves!$BE$8:$BE$68,AZ$4-$B228+1)</f>
        <v/>
      </c>
      <c r="BA228" s="75">
        <f>$C228*INDEX(Curves!$BE$8:$BE$68,BA$4-$B228+1)</f>
        <v/>
      </c>
      <c r="BB228" s="75">
        <f>$C228*INDEX(Curves!$BE$8:$BE$68,BB$4-$B228+1)</f>
        <v/>
      </c>
      <c r="BC228" s="75">
        <f>$C228*INDEX(Curves!$BE$8:$BE$68,BC$4-$B228+1)</f>
        <v/>
      </c>
      <c r="BD228" s="75">
        <f>$C228*INDEX(Curves!$BE$8:$BE$68,BD$4-$B228+1)</f>
        <v/>
      </c>
      <c r="BE228" s="75">
        <f>$C228*INDEX(Curves!$BE$8:$BE$68,BE$4-$B228+1)</f>
        <v/>
      </c>
      <c r="BF228" s="75">
        <f>$C228*INDEX(Curves!$BE$8:$BE$68,BF$4-$B228+1)</f>
        <v/>
      </c>
      <c r="BG228" s="75">
        <f>$C228*INDEX(Curves!$BE$8:$BE$68,BG$4-$B228+1)</f>
        <v/>
      </c>
      <c r="BH228" s="75">
        <f>$C228*INDEX(Curves!$BE$8:$BE$68,BH$4-$B228+1)</f>
        <v/>
      </c>
      <c r="BI228" s="75">
        <f>$C228*INDEX(Curves!$BE$8:$BE$68,BI$4-$B228+1)</f>
        <v/>
      </c>
      <c r="BJ228" s="75">
        <f>$C228*INDEX(Curves!$BE$8:$BE$68,BJ$4-$B228+1)</f>
        <v/>
      </c>
      <c r="BK228" s="75">
        <f>$C228*INDEX(Curves!$BE$8:$BE$68,BK$4-$B228+1)</f>
        <v/>
      </c>
      <c r="BL228" s="75">
        <f>$C228*INDEX(Curves!$BE$8:$BE$68,BL$4-$B228+1)</f>
        <v/>
      </c>
    </row>
    <row r="229">
      <c r="A229" s="74" t="inlineStr">
        <is>
          <t>Cohort month 31</t>
        </is>
      </c>
      <c r="B229" s="74" t="n">
        <v>31</v>
      </c>
      <c r="C229" s="17">
        <f>INDEX(Ops!$E$110:$BL$110,1,$B229)</f>
        <v/>
      </c>
      <c r="AJ229" s="75">
        <f>$C229*INDEX(Curves!$BE$8:$BE$68,AJ$4-$B229+1)</f>
        <v/>
      </c>
      <c r="AK229" s="75">
        <f>$C229*INDEX(Curves!$BE$8:$BE$68,AK$4-$B229+1)</f>
        <v/>
      </c>
      <c r="AL229" s="75">
        <f>$C229*INDEX(Curves!$BE$8:$BE$68,AL$4-$B229+1)</f>
        <v/>
      </c>
      <c r="AM229" s="75">
        <f>$C229*INDEX(Curves!$BE$8:$BE$68,AM$4-$B229+1)</f>
        <v/>
      </c>
      <c r="AN229" s="75">
        <f>$C229*INDEX(Curves!$BE$8:$BE$68,AN$4-$B229+1)</f>
        <v/>
      </c>
      <c r="AO229" s="75">
        <f>$C229*INDEX(Curves!$BE$8:$BE$68,AO$4-$B229+1)</f>
        <v/>
      </c>
      <c r="AP229" s="75">
        <f>$C229*INDEX(Curves!$BE$8:$BE$68,AP$4-$B229+1)</f>
        <v/>
      </c>
      <c r="AQ229" s="75">
        <f>$C229*INDEX(Curves!$BE$8:$BE$68,AQ$4-$B229+1)</f>
        <v/>
      </c>
      <c r="AR229" s="75">
        <f>$C229*INDEX(Curves!$BE$8:$BE$68,AR$4-$B229+1)</f>
        <v/>
      </c>
      <c r="AS229" s="75">
        <f>$C229*INDEX(Curves!$BE$8:$BE$68,AS$4-$B229+1)</f>
        <v/>
      </c>
      <c r="AT229" s="75">
        <f>$C229*INDEX(Curves!$BE$8:$BE$68,AT$4-$B229+1)</f>
        <v/>
      </c>
      <c r="AU229" s="75">
        <f>$C229*INDEX(Curves!$BE$8:$BE$68,AU$4-$B229+1)</f>
        <v/>
      </c>
      <c r="AV229" s="75">
        <f>$C229*INDEX(Curves!$BE$8:$BE$68,AV$4-$B229+1)</f>
        <v/>
      </c>
      <c r="AW229" s="75">
        <f>$C229*INDEX(Curves!$BE$8:$BE$68,AW$4-$B229+1)</f>
        <v/>
      </c>
      <c r="AX229" s="75">
        <f>$C229*INDEX(Curves!$BE$8:$BE$68,AX$4-$B229+1)</f>
        <v/>
      </c>
      <c r="AY229" s="75">
        <f>$C229*INDEX(Curves!$BE$8:$BE$68,AY$4-$B229+1)</f>
        <v/>
      </c>
      <c r="AZ229" s="75">
        <f>$C229*INDEX(Curves!$BE$8:$BE$68,AZ$4-$B229+1)</f>
        <v/>
      </c>
      <c r="BA229" s="75">
        <f>$C229*INDEX(Curves!$BE$8:$BE$68,BA$4-$B229+1)</f>
        <v/>
      </c>
      <c r="BB229" s="75">
        <f>$C229*INDEX(Curves!$BE$8:$BE$68,BB$4-$B229+1)</f>
        <v/>
      </c>
      <c r="BC229" s="75">
        <f>$C229*INDEX(Curves!$BE$8:$BE$68,BC$4-$B229+1)</f>
        <v/>
      </c>
      <c r="BD229" s="75">
        <f>$C229*INDEX(Curves!$BE$8:$BE$68,BD$4-$B229+1)</f>
        <v/>
      </c>
      <c r="BE229" s="75">
        <f>$C229*INDEX(Curves!$BE$8:$BE$68,BE$4-$B229+1)</f>
        <v/>
      </c>
      <c r="BF229" s="75">
        <f>$C229*INDEX(Curves!$BE$8:$BE$68,BF$4-$B229+1)</f>
        <v/>
      </c>
      <c r="BG229" s="75">
        <f>$C229*INDEX(Curves!$BE$8:$BE$68,BG$4-$B229+1)</f>
        <v/>
      </c>
      <c r="BH229" s="75">
        <f>$C229*INDEX(Curves!$BE$8:$BE$68,BH$4-$B229+1)</f>
        <v/>
      </c>
      <c r="BI229" s="75">
        <f>$C229*INDEX(Curves!$BE$8:$BE$68,BI$4-$B229+1)</f>
        <v/>
      </c>
      <c r="BJ229" s="75">
        <f>$C229*INDEX(Curves!$BE$8:$BE$68,BJ$4-$B229+1)</f>
        <v/>
      </c>
      <c r="BK229" s="75">
        <f>$C229*INDEX(Curves!$BE$8:$BE$68,BK$4-$B229+1)</f>
        <v/>
      </c>
      <c r="BL229" s="75">
        <f>$C229*INDEX(Curves!$BE$8:$BE$68,BL$4-$B229+1)</f>
        <v/>
      </c>
    </row>
    <row r="230">
      <c r="A230" s="74" t="inlineStr">
        <is>
          <t>Cohort month 32</t>
        </is>
      </c>
      <c r="B230" s="74" t="n">
        <v>32</v>
      </c>
      <c r="C230" s="17">
        <f>INDEX(Ops!$E$110:$BL$110,1,$B230)</f>
        <v/>
      </c>
      <c r="AK230" s="75">
        <f>$C230*INDEX(Curves!$BE$8:$BE$68,AK$4-$B230+1)</f>
        <v/>
      </c>
      <c r="AL230" s="75">
        <f>$C230*INDEX(Curves!$BE$8:$BE$68,AL$4-$B230+1)</f>
        <v/>
      </c>
      <c r="AM230" s="75">
        <f>$C230*INDEX(Curves!$BE$8:$BE$68,AM$4-$B230+1)</f>
        <v/>
      </c>
      <c r="AN230" s="75">
        <f>$C230*INDEX(Curves!$BE$8:$BE$68,AN$4-$B230+1)</f>
        <v/>
      </c>
      <c r="AO230" s="75">
        <f>$C230*INDEX(Curves!$BE$8:$BE$68,AO$4-$B230+1)</f>
        <v/>
      </c>
      <c r="AP230" s="75">
        <f>$C230*INDEX(Curves!$BE$8:$BE$68,AP$4-$B230+1)</f>
        <v/>
      </c>
      <c r="AQ230" s="75">
        <f>$C230*INDEX(Curves!$BE$8:$BE$68,AQ$4-$B230+1)</f>
        <v/>
      </c>
      <c r="AR230" s="75">
        <f>$C230*INDEX(Curves!$BE$8:$BE$68,AR$4-$B230+1)</f>
        <v/>
      </c>
      <c r="AS230" s="75">
        <f>$C230*INDEX(Curves!$BE$8:$BE$68,AS$4-$B230+1)</f>
        <v/>
      </c>
      <c r="AT230" s="75">
        <f>$C230*INDEX(Curves!$BE$8:$BE$68,AT$4-$B230+1)</f>
        <v/>
      </c>
      <c r="AU230" s="75">
        <f>$C230*INDEX(Curves!$BE$8:$BE$68,AU$4-$B230+1)</f>
        <v/>
      </c>
      <c r="AV230" s="75">
        <f>$C230*INDEX(Curves!$BE$8:$BE$68,AV$4-$B230+1)</f>
        <v/>
      </c>
      <c r="AW230" s="75">
        <f>$C230*INDEX(Curves!$BE$8:$BE$68,AW$4-$B230+1)</f>
        <v/>
      </c>
      <c r="AX230" s="75">
        <f>$C230*INDEX(Curves!$BE$8:$BE$68,AX$4-$B230+1)</f>
        <v/>
      </c>
      <c r="AY230" s="75">
        <f>$C230*INDEX(Curves!$BE$8:$BE$68,AY$4-$B230+1)</f>
        <v/>
      </c>
      <c r="AZ230" s="75">
        <f>$C230*INDEX(Curves!$BE$8:$BE$68,AZ$4-$B230+1)</f>
        <v/>
      </c>
      <c r="BA230" s="75">
        <f>$C230*INDEX(Curves!$BE$8:$BE$68,BA$4-$B230+1)</f>
        <v/>
      </c>
      <c r="BB230" s="75">
        <f>$C230*INDEX(Curves!$BE$8:$BE$68,BB$4-$B230+1)</f>
        <v/>
      </c>
      <c r="BC230" s="75">
        <f>$C230*INDEX(Curves!$BE$8:$BE$68,BC$4-$B230+1)</f>
        <v/>
      </c>
      <c r="BD230" s="75">
        <f>$C230*INDEX(Curves!$BE$8:$BE$68,BD$4-$B230+1)</f>
        <v/>
      </c>
      <c r="BE230" s="75">
        <f>$C230*INDEX(Curves!$BE$8:$BE$68,BE$4-$B230+1)</f>
        <v/>
      </c>
      <c r="BF230" s="75">
        <f>$C230*INDEX(Curves!$BE$8:$BE$68,BF$4-$B230+1)</f>
        <v/>
      </c>
      <c r="BG230" s="75">
        <f>$C230*INDEX(Curves!$BE$8:$BE$68,BG$4-$B230+1)</f>
        <v/>
      </c>
      <c r="BH230" s="75">
        <f>$C230*INDEX(Curves!$BE$8:$BE$68,BH$4-$B230+1)</f>
        <v/>
      </c>
      <c r="BI230" s="75">
        <f>$C230*INDEX(Curves!$BE$8:$BE$68,BI$4-$B230+1)</f>
        <v/>
      </c>
      <c r="BJ230" s="75">
        <f>$C230*INDEX(Curves!$BE$8:$BE$68,BJ$4-$B230+1)</f>
        <v/>
      </c>
      <c r="BK230" s="75">
        <f>$C230*INDEX(Curves!$BE$8:$BE$68,BK$4-$B230+1)</f>
        <v/>
      </c>
      <c r="BL230" s="75">
        <f>$C230*INDEX(Curves!$BE$8:$BE$68,BL$4-$B230+1)</f>
        <v/>
      </c>
    </row>
    <row r="231">
      <c r="A231" s="74" t="inlineStr">
        <is>
          <t>Cohort month 33</t>
        </is>
      </c>
      <c r="B231" s="74" t="n">
        <v>33</v>
      </c>
      <c r="C231" s="17">
        <f>INDEX(Ops!$E$110:$BL$110,1,$B231)</f>
        <v/>
      </c>
      <c r="AL231" s="75">
        <f>$C231*INDEX(Curves!$BE$8:$BE$68,AL$4-$B231+1)</f>
        <v/>
      </c>
      <c r="AM231" s="75">
        <f>$C231*INDEX(Curves!$BE$8:$BE$68,AM$4-$B231+1)</f>
        <v/>
      </c>
      <c r="AN231" s="75">
        <f>$C231*INDEX(Curves!$BE$8:$BE$68,AN$4-$B231+1)</f>
        <v/>
      </c>
      <c r="AO231" s="75">
        <f>$C231*INDEX(Curves!$BE$8:$BE$68,AO$4-$B231+1)</f>
        <v/>
      </c>
      <c r="AP231" s="75">
        <f>$C231*INDEX(Curves!$BE$8:$BE$68,AP$4-$B231+1)</f>
        <v/>
      </c>
      <c r="AQ231" s="75">
        <f>$C231*INDEX(Curves!$BE$8:$BE$68,AQ$4-$B231+1)</f>
        <v/>
      </c>
      <c r="AR231" s="75">
        <f>$C231*INDEX(Curves!$BE$8:$BE$68,AR$4-$B231+1)</f>
        <v/>
      </c>
      <c r="AS231" s="75">
        <f>$C231*INDEX(Curves!$BE$8:$BE$68,AS$4-$B231+1)</f>
        <v/>
      </c>
      <c r="AT231" s="75">
        <f>$C231*INDEX(Curves!$BE$8:$BE$68,AT$4-$B231+1)</f>
        <v/>
      </c>
      <c r="AU231" s="75">
        <f>$C231*INDEX(Curves!$BE$8:$BE$68,AU$4-$B231+1)</f>
        <v/>
      </c>
      <c r="AV231" s="75">
        <f>$C231*INDEX(Curves!$BE$8:$BE$68,AV$4-$B231+1)</f>
        <v/>
      </c>
      <c r="AW231" s="75">
        <f>$C231*INDEX(Curves!$BE$8:$BE$68,AW$4-$B231+1)</f>
        <v/>
      </c>
      <c r="AX231" s="75">
        <f>$C231*INDEX(Curves!$BE$8:$BE$68,AX$4-$B231+1)</f>
        <v/>
      </c>
      <c r="AY231" s="75">
        <f>$C231*INDEX(Curves!$BE$8:$BE$68,AY$4-$B231+1)</f>
        <v/>
      </c>
      <c r="AZ231" s="75">
        <f>$C231*INDEX(Curves!$BE$8:$BE$68,AZ$4-$B231+1)</f>
        <v/>
      </c>
      <c r="BA231" s="75">
        <f>$C231*INDEX(Curves!$BE$8:$BE$68,BA$4-$B231+1)</f>
        <v/>
      </c>
      <c r="BB231" s="75">
        <f>$C231*INDEX(Curves!$BE$8:$BE$68,BB$4-$B231+1)</f>
        <v/>
      </c>
      <c r="BC231" s="75">
        <f>$C231*INDEX(Curves!$BE$8:$BE$68,BC$4-$B231+1)</f>
        <v/>
      </c>
      <c r="BD231" s="75">
        <f>$C231*INDEX(Curves!$BE$8:$BE$68,BD$4-$B231+1)</f>
        <v/>
      </c>
      <c r="BE231" s="75">
        <f>$C231*INDEX(Curves!$BE$8:$BE$68,BE$4-$B231+1)</f>
        <v/>
      </c>
      <c r="BF231" s="75">
        <f>$C231*INDEX(Curves!$BE$8:$BE$68,BF$4-$B231+1)</f>
        <v/>
      </c>
      <c r="BG231" s="75">
        <f>$C231*INDEX(Curves!$BE$8:$BE$68,BG$4-$B231+1)</f>
        <v/>
      </c>
      <c r="BH231" s="75">
        <f>$C231*INDEX(Curves!$BE$8:$BE$68,BH$4-$B231+1)</f>
        <v/>
      </c>
      <c r="BI231" s="75">
        <f>$C231*INDEX(Curves!$BE$8:$BE$68,BI$4-$B231+1)</f>
        <v/>
      </c>
      <c r="BJ231" s="75">
        <f>$C231*INDEX(Curves!$BE$8:$BE$68,BJ$4-$B231+1)</f>
        <v/>
      </c>
      <c r="BK231" s="75">
        <f>$C231*INDEX(Curves!$BE$8:$BE$68,BK$4-$B231+1)</f>
        <v/>
      </c>
      <c r="BL231" s="75">
        <f>$C231*INDEX(Curves!$BE$8:$BE$68,BL$4-$B231+1)</f>
        <v/>
      </c>
    </row>
    <row r="232">
      <c r="A232" s="74" t="inlineStr">
        <is>
          <t>Cohort month 34</t>
        </is>
      </c>
      <c r="B232" s="74" t="n">
        <v>34</v>
      </c>
      <c r="C232" s="17">
        <f>INDEX(Ops!$E$110:$BL$110,1,$B232)</f>
        <v/>
      </c>
      <c r="AM232" s="75">
        <f>$C232*INDEX(Curves!$BE$8:$BE$68,AM$4-$B232+1)</f>
        <v/>
      </c>
      <c r="AN232" s="75">
        <f>$C232*INDEX(Curves!$BE$8:$BE$68,AN$4-$B232+1)</f>
        <v/>
      </c>
      <c r="AO232" s="75">
        <f>$C232*INDEX(Curves!$BE$8:$BE$68,AO$4-$B232+1)</f>
        <v/>
      </c>
      <c r="AP232" s="75">
        <f>$C232*INDEX(Curves!$BE$8:$BE$68,AP$4-$B232+1)</f>
        <v/>
      </c>
      <c r="AQ232" s="75">
        <f>$C232*INDEX(Curves!$BE$8:$BE$68,AQ$4-$B232+1)</f>
        <v/>
      </c>
      <c r="AR232" s="75">
        <f>$C232*INDEX(Curves!$BE$8:$BE$68,AR$4-$B232+1)</f>
        <v/>
      </c>
      <c r="AS232" s="75">
        <f>$C232*INDEX(Curves!$BE$8:$BE$68,AS$4-$B232+1)</f>
        <v/>
      </c>
      <c r="AT232" s="75">
        <f>$C232*INDEX(Curves!$BE$8:$BE$68,AT$4-$B232+1)</f>
        <v/>
      </c>
      <c r="AU232" s="75">
        <f>$C232*INDEX(Curves!$BE$8:$BE$68,AU$4-$B232+1)</f>
        <v/>
      </c>
      <c r="AV232" s="75">
        <f>$C232*INDEX(Curves!$BE$8:$BE$68,AV$4-$B232+1)</f>
        <v/>
      </c>
      <c r="AW232" s="75">
        <f>$C232*INDEX(Curves!$BE$8:$BE$68,AW$4-$B232+1)</f>
        <v/>
      </c>
      <c r="AX232" s="75">
        <f>$C232*INDEX(Curves!$BE$8:$BE$68,AX$4-$B232+1)</f>
        <v/>
      </c>
      <c r="AY232" s="75">
        <f>$C232*INDEX(Curves!$BE$8:$BE$68,AY$4-$B232+1)</f>
        <v/>
      </c>
      <c r="AZ232" s="75">
        <f>$C232*INDEX(Curves!$BE$8:$BE$68,AZ$4-$B232+1)</f>
        <v/>
      </c>
      <c r="BA232" s="75">
        <f>$C232*INDEX(Curves!$BE$8:$BE$68,BA$4-$B232+1)</f>
        <v/>
      </c>
      <c r="BB232" s="75">
        <f>$C232*INDEX(Curves!$BE$8:$BE$68,BB$4-$B232+1)</f>
        <v/>
      </c>
      <c r="BC232" s="75">
        <f>$C232*INDEX(Curves!$BE$8:$BE$68,BC$4-$B232+1)</f>
        <v/>
      </c>
      <c r="BD232" s="75">
        <f>$C232*INDEX(Curves!$BE$8:$BE$68,BD$4-$B232+1)</f>
        <v/>
      </c>
      <c r="BE232" s="75">
        <f>$C232*INDEX(Curves!$BE$8:$BE$68,BE$4-$B232+1)</f>
        <v/>
      </c>
      <c r="BF232" s="75">
        <f>$C232*INDEX(Curves!$BE$8:$BE$68,BF$4-$B232+1)</f>
        <v/>
      </c>
      <c r="BG232" s="75">
        <f>$C232*INDEX(Curves!$BE$8:$BE$68,BG$4-$B232+1)</f>
        <v/>
      </c>
      <c r="BH232" s="75">
        <f>$C232*INDEX(Curves!$BE$8:$BE$68,BH$4-$B232+1)</f>
        <v/>
      </c>
      <c r="BI232" s="75">
        <f>$C232*INDEX(Curves!$BE$8:$BE$68,BI$4-$B232+1)</f>
        <v/>
      </c>
      <c r="BJ232" s="75">
        <f>$C232*INDEX(Curves!$BE$8:$BE$68,BJ$4-$B232+1)</f>
        <v/>
      </c>
      <c r="BK232" s="75">
        <f>$C232*INDEX(Curves!$BE$8:$BE$68,BK$4-$B232+1)</f>
        <v/>
      </c>
      <c r="BL232" s="75">
        <f>$C232*INDEX(Curves!$BE$8:$BE$68,BL$4-$B232+1)</f>
        <v/>
      </c>
    </row>
    <row r="233">
      <c r="A233" s="74" t="inlineStr">
        <is>
          <t>Cohort month 35</t>
        </is>
      </c>
      <c r="B233" s="74" t="n">
        <v>35</v>
      </c>
      <c r="C233" s="17">
        <f>INDEX(Ops!$E$110:$BL$110,1,$B233)</f>
        <v/>
      </c>
      <c r="AN233" s="75">
        <f>$C233*INDEX(Curves!$BE$8:$BE$68,AN$4-$B233+1)</f>
        <v/>
      </c>
      <c r="AO233" s="75">
        <f>$C233*INDEX(Curves!$BE$8:$BE$68,AO$4-$B233+1)</f>
        <v/>
      </c>
      <c r="AP233" s="75">
        <f>$C233*INDEX(Curves!$BE$8:$BE$68,AP$4-$B233+1)</f>
        <v/>
      </c>
      <c r="AQ233" s="75">
        <f>$C233*INDEX(Curves!$BE$8:$BE$68,AQ$4-$B233+1)</f>
        <v/>
      </c>
      <c r="AR233" s="75">
        <f>$C233*INDEX(Curves!$BE$8:$BE$68,AR$4-$B233+1)</f>
        <v/>
      </c>
      <c r="AS233" s="75">
        <f>$C233*INDEX(Curves!$BE$8:$BE$68,AS$4-$B233+1)</f>
        <v/>
      </c>
      <c r="AT233" s="75">
        <f>$C233*INDEX(Curves!$BE$8:$BE$68,AT$4-$B233+1)</f>
        <v/>
      </c>
      <c r="AU233" s="75">
        <f>$C233*INDEX(Curves!$BE$8:$BE$68,AU$4-$B233+1)</f>
        <v/>
      </c>
      <c r="AV233" s="75">
        <f>$C233*INDEX(Curves!$BE$8:$BE$68,AV$4-$B233+1)</f>
        <v/>
      </c>
      <c r="AW233" s="75">
        <f>$C233*INDEX(Curves!$BE$8:$BE$68,AW$4-$B233+1)</f>
        <v/>
      </c>
      <c r="AX233" s="75">
        <f>$C233*INDEX(Curves!$BE$8:$BE$68,AX$4-$B233+1)</f>
        <v/>
      </c>
      <c r="AY233" s="75">
        <f>$C233*INDEX(Curves!$BE$8:$BE$68,AY$4-$B233+1)</f>
        <v/>
      </c>
      <c r="AZ233" s="75">
        <f>$C233*INDEX(Curves!$BE$8:$BE$68,AZ$4-$B233+1)</f>
        <v/>
      </c>
      <c r="BA233" s="75">
        <f>$C233*INDEX(Curves!$BE$8:$BE$68,BA$4-$B233+1)</f>
        <v/>
      </c>
      <c r="BB233" s="75">
        <f>$C233*INDEX(Curves!$BE$8:$BE$68,BB$4-$B233+1)</f>
        <v/>
      </c>
      <c r="BC233" s="75">
        <f>$C233*INDEX(Curves!$BE$8:$BE$68,BC$4-$B233+1)</f>
        <v/>
      </c>
      <c r="BD233" s="75">
        <f>$C233*INDEX(Curves!$BE$8:$BE$68,BD$4-$B233+1)</f>
        <v/>
      </c>
      <c r="BE233" s="75">
        <f>$C233*INDEX(Curves!$BE$8:$BE$68,BE$4-$B233+1)</f>
        <v/>
      </c>
      <c r="BF233" s="75">
        <f>$C233*INDEX(Curves!$BE$8:$BE$68,BF$4-$B233+1)</f>
        <v/>
      </c>
      <c r="BG233" s="75">
        <f>$C233*INDEX(Curves!$BE$8:$BE$68,BG$4-$B233+1)</f>
        <v/>
      </c>
      <c r="BH233" s="75">
        <f>$C233*INDEX(Curves!$BE$8:$BE$68,BH$4-$B233+1)</f>
        <v/>
      </c>
      <c r="BI233" s="75">
        <f>$C233*INDEX(Curves!$BE$8:$BE$68,BI$4-$B233+1)</f>
        <v/>
      </c>
      <c r="BJ233" s="75">
        <f>$C233*INDEX(Curves!$BE$8:$BE$68,BJ$4-$B233+1)</f>
        <v/>
      </c>
      <c r="BK233" s="75">
        <f>$C233*INDEX(Curves!$BE$8:$BE$68,BK$4-$B233+1)</f>
        <v/>
      </c>
      <c r="BL233" s="75">
        <f>$C233*INDEX(Curves!$BE$8:$BE$68,BL$4-$B233+1)</f>
        <v/>
      </c>
    </row>
    <row r="234">
      <c r="A234" s="74" t="inlineStr">
        <is>
          <t>Cohort month 36</t>
        </is>
      </c>
      <c r="B234" s="74" t="n">
        <v>36</v>
      </c>
      <c r="C234" s="17">
        <f>INDEX(Ops!$E$110:$BL$110,1,$B234)</f>
        <v/>
      </c>
      <c r="AO234" s="75">
        <f>$C234*INDEX(Curves!$BE$8:$BE$68,AO$4-$B234+1)</f>
        <v/>
      </c>
      <c r="AP234" s="75">
        <f>$C234*INDEX(Curves!$BE$8:$BE$68,AP$4-$B234+1)</f>
        <v/>
      </c>
      <c r="AQ234" s="75">
        <f>$C234*INDEX(Curves!$BE$8:$BE$68,AQ$4-$B234+1)</f>
        <v/>
      </c>
      <c r="AR234" s="75">
        <f>$C234*INDEX(Curves!$BE$8:$BE$68,AR$4-$B234+1)</f>
        <v/>
      </c>
      <c r="AS234" s="75">
        <f>$C234*INDEX(Curves!$BE$8:$BE$68,AS$4-$B234+1)</f>
        <v/>
      </c>
      <c r="AT234" s="75">
        <f>$C234*INDEX(Curves!$BE$8:$BE$68,AT$4-$B234+1)</f>
        <v/>
      </c>
      <c r="AU234" s="75">
        <f>$C234*INDEX(Curves!$BE$8:$BE$68,AU$4-$B234+1)</f>
        <v/>
      </c>
      <c r="AV234" s="75">
        <f>$C234*INDEX(Curves!$BE$8:$BE$68,AV$4-$B234+1)</f>
        <v/>
      </c>
      <c r="AW234" s="75">
        <f>$C234*INDEX(Curves!$BE$8:$BE$68,AW$4-$B234+1)</f>
        <v/>
      </c>
      <c r="AX234" s="75">
        <f>$C234*INDEX(Curves!$BE$8:$BE$68,AX$4-$B234+1)</f>
        <v/>
      </c>
      <c r="AY234" s="75">
        <f>$C234*INDEX(Curves!$BE$8:$BE$68,AY$4-$B234+1)</f>
        <v/>
      </c>
      <c r="AZ234" s="75">
        <f>$C234*INDEX(Curves!$BE$8:$BE$68,AZ$4-$B234+1)</f>
        <v/>
      </c>
      <c r="BA234" s="75">
        <f>$C234*INDEX(Curves!$BE$8:$BE$68,BA$4-$B234+1)</f>
        <v/>
      </c>
      <c r="BB234" s="75">
        <f>$C234*INDEX(Curves!$BE$8:$BE$68,BB$4-$B234+1)</f>
        <v/>
      </c>
      <c r="BC234" s="75">
        <f>$C234*INDEX(Curves!$BE$8:$BE$68,BC$4-$B234+1)</f>
        <v/>
      </c>
      <c r="BD234" s="75">
        <f>$C234*INDEX(Curves!$BE$8:$BE$68,BD$4-$B234+1)</f>
        <v/>
      </c>
      <c r="BE234" s="75">
        <f>$C234*INDEX(Curves!$BE$8:$BE$68,BE$4-$B234+1)</f>
        <v/>
      </c>
      <c r="BF234" s="75">
        <f>$C234*INDEX(Curves!$BE$8:$BE$68,BF$4-$B234+1)</f>
        <v/>
      </c>
      <c r="BG234" s="75">
        <f>$C234*INDEX(Curves!$BE$8:$BE$68,BG$4-$B234+1)</f>
        <v/>
      </c>
      <c r="BH234" s="75">
        <f>$C234*INDEX(Curves!$BE$8:$BE$68,BH$4-$B234+1)</f>
        <v/>
      </c>
      <c r="BI234" s="75">
        <f>$C234*INDEX(Curves!$BE$8:$BE$68,BI$4-$B234+1)</f>
        <v/>
      </c>
      <c r="BJ234" s="75">
        <f>$C234*INDEX(Curves!$BE$8:$BE$68,BJ$4-$B234+1)</f>
        <v/>
      </c>
      <c r="BK234" s="75">
        <f>$C234*INDEX(Curves!$BE$8:$BE$68,BK$4-$B234+1)</f>
        <v/>
      </c>
      <c r="BL234" s="75">
        <f>$C234*INDEX(Curves!$BE$8:$BE$68,BL$4-$B234+1)</f>
        <v/>
      </c>
    </row>
    <row r="235">
      <c r="A235" s="74" t="inlineStr">
        <is>
          <t>Cohort month 37</t>
        </is>
      </c>
      <c r="B235" s="74" t="n">
        <v>37</v>
      </c>
      <c r="C235" s="17">
        <f>INDEX(Ops!$E$110:$BL$110,1,$B235)</f>
        <v/>
      </c>
      <c r="AP235" s="75">
        <f>$C235*INDEX(Curves!$BE$8:$BE$68,AP$4-$B235+1)</f>
        <v/>
      </c>
      <c r="AQ235" s="75">
        <f>$C235*INDEX(Curves!$BE$8:$BE$68,AQ$4-$B235+1)</f>
        <v/>
      </c>
      <c r="AR235" s="75">
        <f>$C235*INDEX(Curves!$BE$8:$BE$68,AR$4-$B235+1)</f>
        <v/>
      </c>
      <c r="AS235" s="75">
        <f>$C235*INDEX(Curves!$BE$8:$BE$68,AS$4-$B235+1)</f>
        <v/>
      </c>
      <c r="AT235" s="75">
        <f>$C235*INDEX(Curves!$BE$8:$BE$68,AT$4-$B235+1)</f>
        <v/>
      </c>
      <c r="AU235" s="75">
        <f>$C235*INDEX(Curves!$BE$8:$BE$68,AU$4-$B235+1)</f>
        <v/>
      </c>
      <c r="AV235" s="75">
        <f>$C235*INDEX(Curves!$BE$8:$BE$68,AV$4-$B235+1)</f>
        <v/>
      </c>
      <c r="AW235" s="75">
        <f>$C235*INDEX(Curves!$BE$8:$BE$68,AW$4-$B235+1)</f>
        <v/>
      </c>
      <c r="AX235" s="75">
        <f>$C235*INDEX(Curves!$BE$8:$BE$68,AX$4-$B235+1)</f>
        <v/>
      </c>
      <c r="AY235" s="75">
        <f>$C235*INDEX(Curves!$BE$8:$BE$68,AY$4-$B235+1)</f>
        <v/>
      </c>
      <c r="AZ235" s="75">
        <f>$C235*INDEX(Curves!$BE$8:$BE$68,AZ$4-$B235+1)</f>
        <v/>
      </c>
      <c r="BA235" s="75">
        <f>$C235*INDEX(Curves!$BE$8:$BE$68,BA$4-$B235+1)</f>
        <v/>
      </c>
      <c r="BB235" s="75">
        <f>$C235*INDEX(Curves!$BE$8:$BE$68,BB$4-$B235+1)</f>
        <v/>
      </c>
      <c r="BC235" s="75">
        <f>$C235*INDEX(Curves!$BE$8:$BE$68,BC$4-$B235+1)</f>
        <v/>
      </c>
      <c r="BD235" s="75">
        <f>$C235*INDEX(Curves!$BE$8:$BE$68,BD$4-$B235+1)</f>
        <v/>
      </c>
      <c r="BE235" s="75">
        <f>$C235*INDEX(Curves!$BE$8:$BE$68,BE$4-$B235+1)</f>
        <v/>
      </c>
      <c r="BF235" s="75">
        <f>$C235*INDEX(Curves!$BE$8:$BE$68,BF$4-$B235+1)</f>
        <v/>
      </c>
      <c r="BG235" s="75">
        <f>$C235*INDEX(Curves!$BE$8:$BE$68,BG$4-$B235+1)</f>
        <v/>
      </c>
      <c r="BH235" s="75">
        <f>$C235*INDEX(Curves!$BE$8:$BE$68,BH$4-$B235+1)</f>
        <v/>
      </c>
      <c r="BI235" s="75">
        <f>$C235*INDEX(Curves!$BE$8:$BE$68,BI$4-$B235+1)</f>
        <v/>
      </c>
      <c r="BJ235" s="75">
        <f>$C235*INDEX(Curves!$BE$8:$BE$68,BJ$4-$B235+1)</f>
        <v/>
      </c>
      <c r="BK235" s="75">
        <f>$C235*INDEX(Curves!$BE$8:$BE$68,BK$4-$B235+1)</f>
        <v/>
      </c>
      <c r="BL235" s="75">
        <f>$C235*INDEX(Curves!$BE$8:$BE$68,BL$4-$B235+1)</f>
        <v/>
      </c>
    </row>
    <row r="236">
      <c r="A236" s="74" t="inlineStr">
        <is>
          <t>Cohort month 38</t>
        </is>
      </c>
      <c r="B236" s="74" t="n">
        <v>38</v>
      </c>
      <c r="C236" s="17">
        <f>INDEX(Ops!$E$110:$BL$110,1,$B236)</f>
        <v/>
      </c>
      <c r="AQ236" s="75">
        <f>$C236*INDEX(Curves!$BE$8:$BE$68,AQ$4-$B236+1)</f>
        <v/>
      </c>
      <c r="AR236" s="75">
        <f>$C236*INDEX(Curves!$BE$8:$BE$68,AR$4-$B236+1)</f>
        <v/>
      </c>
      <c r="AS236" s="75">
        <f>$C236*INDEX(Curves!$BE$8:$BE$68,AS$4-$B236+1)</f>
        <v/>
      </c>
      <c r="AT236" s="75">
        <f>$C236*INDEX(Curves!$BE$8:$BE$68,AT$4-$B236+1)</f>
        <v/>
      </c>
      <c r="AU236" s="75">
        <f>$C236*INDEX(Curves!$BE$8:$BE$68,AU$4-$B236+1)</f>
        <v/>
      </c>
      <c r="AV236" s="75">
        <f>$C236*INDEX(Curves!$BE$8:$BE$68,AV$4-$B236+1)</f>
        <v/>
      </c>
      <c r="AW236" s="75">
        <f>$C236*INDEX(Curves!$BE$8:$BE$68,AW$4-$B236+1)</f>
        <v/>
      </c>
      <c r="AX236" s="75">
        <f>$C236*INDEX(Curves!$BE$8:$BE$68,AX$4-$B236+1)</f>
        <v/>
      </c>
      <c r="AY236" s="75">
        <f>$C236*INDEX(Curves!$BE$8:$BE$68,AY$4-$B236+1)</f>
        <v/>
      </c>
      <c r="AZ236" s="75">
        <f>$C236*INDEX(Curves!$BE$8:$BE$68,AZ$4-$B236+1)</f>
        <v/>
      </c>
      <c r="BA236" s="75">
        <f>$C236*INDEX(Curves!$BE$8:$BE$68,BA$4-$B236+1)</f>
        <v/>
      </c>
      <c r="BB236" s="75">
        <f>$C236*INDEX(Curves!$BE$8:$BE$68,BB$4-$B236+1)</f>
        <v/>
      </c>
      <c r="BC236" s="75">
        <f>$C236*INDEX(Curves!$BE$8:$BE$68,BC$4-$B236+1)</f>
        <v/>
      </c>
      <c r="BD236" s="75">
        <f>$C236*INDEX(Curves!$BE$8:$BE$68,BD$4-$B236+1)</f>
        <v/>
      </c>
      <c r="BE236" s="75">
        <f>$C236*INDEX(Curves!$BE$8:$BE$68,BE$4-$B236+1)</f>
        <v/>
      </c>
      <c r="BF236" s="75">
        <f>$C236*INDEX(Curves!$BE$8:$BE$68,BF$4-$B236+1)</f>
        <v/>
      </c>
      <c r="BG236" s="75">
        <f>$C236*INDEX(Curves!$BE$8:$BE$68,BG$4-$B236+1)</f>
        <v/>
      </c>
      <c r="BH236" s="75">
        <f>$C236*INDEX(Curves!$BE$8:$BE$68,BH$4-$B236+1)</f>
        <v/>
      </c>
      <c r="BI236" s="75">
        <f>$C236*INDEX(Curves!$BE$8:$BE$68,BI$4-$B236+1)</f>
        <v/>
      </c>
      <c r="BJ236" s="75">
        <f>$C236*INDEX(Curves!$BE$8:$BE$68,BJ$4-$B236+1)</f>
        <v/>
      </c>
      <c r="BK236" s="75">
        <f>$C236*INDEX(Curves!$BE$8:$BE$68,BK$4-$B236+1)</f>
        <v/>
      </c>
      <c r="BL236" s="75">
        <f>$C236*INDEX(Curves!$BE$8:$BE$68,BL$4-$B236+1)</f>
        <v/>
      </c>
    </row>
    <row r="237">
      <c r="A237" s="74" t="inlineStr">
        <is>
          <t>Cohort month 39</t>
        </is>
      </c>
      <c r="B237" s="74" t="n">
        <v>39</v>
      </c>
      <c r="C237" s="17">
        <f>INDEX(Ops!$E$110:$BL$110,1,$B237)</f>
        <v/>
      </c>
      <c r="AR237" s="75">
        <f>$C237*INDEX(Curves!$BE$8:$BE$68,AR$4-$B237+1)</f>
        <v/>
      </c>
      <c r="AS237" s="75">
        <f>$C237*INDEX(Curves!$BE$8:$BE$68,AS$4-$B237+1)</f>
        <v/>
      </c>
      <c r="AT237" s="75">
        <f>$C237*INDEX(Curves!$BE$8:$BE$68,AT$4-$B237+1)</f>
        <v/>
      </c>
      <c r="AU237" s="75">
        <f>$C237*INDEX(Curves!$BE$8:$BE$68,AU$4-$B237+1)</f>
        <v/>
      </c>
      <c r="AV237" s="75">
        <f>$C237*INDEX(Curves!$BE$8:$BE$68,AV$4-$B237+1)</f>
        <v/>
      </c>
      <c r="AW237" s="75">
        <f>$C237*INDEX(Curves!$BE$8:$BE$68,AW$4-$B237+1)</f>
        <v/>
      </c>
      <c r="AX237" s="75">
        <f>$C237*INDEX(Curves!$BE$8:$BE$68,AX$4-$B237+1)</f>
        <v/>
      </c>
      <c r="AY237" s="75">
        <f>$C237*INDEX(Curves!$BE$8:$BE$68,AY$4-$B237+1)</f>
        <v/>
      </c>
      <c r="AZ237" s="75">
        <f>$C237*INDEX(Curves!$BE$8:$BE$68,AZ$4-$B237+1)</f>
        <v/>
      </c>
      <c r="BA237" s="75">
        <f>$C237*INDEX(Curves!$BE$8:$BE$68,BA$4-$B237+1)</f>
        <v/>
      </c>
      <c r="BB237" s="75">
        <f>$C237*INDEX(Curves!$BE$8:$BE$68,BB$4-$B237+1)</f>
        <v/>
      </c>
      <c r="BC237" s="75">
        <f>$C237*INDEX(Curves!$BE$8:$BE$68,BC$4-$B237+1)</f>
        <v/>
      </c>
      <c r="BD237" s="75">
        <f>$C237*INDEX(Curves!$BE$8:$BE$68,BD$4-$B237+1)</f>
        <v/>
      </c>
      <c r="BE237" s="75">
        <f>$C237*INDEX(Curves!$BE$8:$BE$68,BE$4-$B237+1)</f>
        <v/>
      </c>
      <c r="BF237" s="75">
        <f>$C237*INDEX(Curves!$BE$8:$BE$68,BF$4-$B237+1)</f>
        <v/>
      </c>
      <c r="BG237" s="75">
        <f>$C237*INDEX(Curves!$BE$8:$BE$68,BG$4-$B237+1)</f>
        <v/>
      </c>
      <c r="BH237" s="75">
        <f>$C237*INDEX(Curves!$BE$8:$BE$68,BH$4-$B237+1)</f>
        <v/>
      </c>
      <c r="BI237" s="75">
        <f>$C237*INDEX(Curves!$BE$8:$BE$68,BI$4-$B237+1)</f>
        <v/>
      </c>
      <c r="BJ237" s="75">
        <f>$C237*INDEX(Curves!$BE$8:$BE$68,BJ$4-$B237+1)</f>
        <v/>
      </c>
      <c r="BK237" s="75">
        <f>$C237*INDEX(Curves!$BE$8:$BE$68,BK$4-$B237+1)</f>
        <v/>
      </c>
      <c r="BL237" s="75">
        <f>$C237*INDEX(Curves!$BE$8:$BE$68,BL$4-$B237+1)</f>
        <v/>
      </c>
    </row>
    <row r="238">
      <c r="A238" s="74" t="inlineStr">
        <is>
          <t>Cohort month 40</t>
        </is>
      </c>
      <c r="B238" s="74" t="n">
        <v>40</v>
      </c>
      <c r="C238" s="17">
        <f>INDEX(Ops!$E$110:$BL$110,1,$B238)</f>
        <v/>
      </c>
      <c r="AS238" s="75">
        <f>$C238*INDEX(Curves!$BE$8:$BE$68,AS$4-$B238+1)</f>
        <v/>
      </c>
      <c r="AT238" s="75">
        <f>$C238*INDEX(Curves!$BE$8:$BE$68,AT$4-$B238+1)</f>
        <v/>
      </c>
      <c r="AU238" s="75">
        <f>$C238*INDEX(Curves!$BE$8:$BE$68,AU$4-$B238+1)</f>
        <v/>
      </c>
      <c r="AV238" s="75">
        <f>$C238*INDEX(Curves!$BE$8:$BE$68,AV$4-$B238+1)</f>
        <v/>
      </c>
      <c r="AW238" s="75">
        <f>$C238*INDEX(Curves!$BE$8:$BE$68,AW$4-$B238+1)</f>
        <v/>
      </c>
      <c r="AX238" s="75">
        <f>$C238*INDEX(Curves!$BE$8:$BE$68,AX$4-$B238+1)</f>
        <v/>
      </c>
      <c r="AY238" s="75">
        <f>$C238*INDEX(Curves!$BE$8:$BE$68,AY$4-$B238+1)</f>
        <v/>
      </c>
      <c r="AZ238" s="75">
        <f>$C238*INDEX(Curves!$BE$8:$BE$68,AZ$4-$B238+1)</f>
        <v/>
      </c>
      <c r="BA238" s="75">
        <f>$C238*INDEX(Curves!$BE$8:$BE$68,BA$4-$B238+1)</f>
        <v/>
      </c>
      <c r="BB238" s="75">
        <f>$C238*INDEX(Curves!$BE$8:$BE$68,BB$4-$B238+1)</f>
        <v/>
      </c>
      <c r="BC238" s="75">
        <f>$C238*INDEX(Curves!$BE$8:$BE$68,BC$4-$B238+1)</f>
        <v/>
      </c>
      <c r="BD238" s="75">
        <f>$C238*INDEX(Curves!$BE$8:$BE$68,BD$4-$B238+1)</f>
        <v/>
      </c>
      <c r="BE238" s="75">
        <f>$C238*INDEX(Curves!$BE$8:$BE$68,BE$4-$B238+1)</f>
        <v/>
      </c>
      <c r="BF238" s="75">
        <f>$C238*INDEX(Curves!$BE$8:$BE$68,BF$4-$B238+1)</f>
        <v/>
      </c>
      <c r="BG238" s="75">
        <f>$C238*INDEX(Curves!$BE$8:$BE$68,BG$4-$B238+1)</f>
        <v/>
      </c>
      <c r="BH238" s="75">
        <f>$C238*INDEX(Curves!$BE$8:$BE$68,BH$4-$B238+1)</f>
        <v/>
      </c>
      <c r="BI238" s="75">
        <f>$C238*INDEX(Curves!$BE$8:$BE$68,BI$4-$B238+1)</f>
        <v/>
      </c>
      <c r="BJ238" s="75">
        <f>$C238*INDEX(Curves!$BE$8:$BE$68,BJ$4-$B238+1)</f>
        <v/>
      </c>
      <c r="BK238" s="75">
        <f>$C238*INDEX(Curves!$BE$8:$BE$68,BK$4-$B238+1)</f>
        <v/>
      </c>
      <c r="BL238" s="75">
        <f>$C238*INDEX(Curves!$BE$8:$BE$68,BL$4-$B238+1)</f>
        <v/>
      </c>
    </row>
    <row r="239">
      <c r="A239" s="74" t="inlineStr">
        <is>
          <t>Cohort month 41</t>
        </is>
      </c>
      <c r="B239" s="74" t="n">
        <v>41</v>
      </c>
      <c r="C239" s="17">
        <f>INDEX(Ops!$E$110:$BL$110,1,$B239)</f>
        <v/>
      </c>
      <c r="AT239" s="75">
        <f>$C239*INDEX(Curves!$BE$8:$BE$68,AT$4-$B239+1)</f>
        <v/>
      </c>
      <c r="AU239" s="75">
        <f>$C239*INDEX(Curves!$BE$8:$BE$68,AU$4-$B239+1)</f>
        <v/>
      </c>
      <c r="AV239" s="75">
        <f>$C239*INDEX(Curves!$BE$8:$BE$68,AV$4-$B239+1)</f>
        <v/>
      </c>
      <c r="AW239" s="75">
        <f>$C239*INDEX(Curves!$BE$8:$BE$68,AW$4-$B239+1)</f>
        <v/>
      </c>
      <c r="AX239" s="75">
        <f>$C239*INDEX(Curves!$BE$8:$BE$68,AX$4-$B239+1)</f>
        <v/>
      </c>
      <c r="AY239" s="75">
        <f>$C239*INDEX(Curves!$BE$8:$BE$68,AY$4-$B239+1)</f>
        <v/>
      </c>
      <c r="AZ239" s="75">
        <f>$C239*INDEX(Curves!$BE$8:$BE$68,AZ$4-$B239+1)</f>
        <v/>
      </c>
      <c r="BA239" s="75">
        <f>$C239*INDEX(Curves!$BE$8:$BE$68,BA$4-$B239+1)</f>
        <v/>
      </c>
      <c r="BB239" s="75">
        <f>$C239*INDEX(Curves!$BE$8:$BE$68,BB$4-$B239+1)</f>
        <v/>
      </c>
      <c r="BC239" s="75">
        <f>$C239*INDEX(Curves!$BE$8:$BE$68,BC$4-$B239+1)</f>
        <v/>
      </c>
      <c r="BD239" s="75">
        <f>$C239*INDEX(Curves!$BE$8:$BE$68,BD$4-$B239+1)</f>
        <v/>
      </c>
      <c r="BE239" s="75">
        <f>$C239*INDEX(Curves!$BE$8:$BE$68,BE$4-$B239+1)</f>
        <v/>
      </c>
      <c r="BF239" s="75">
        <f>$C239*INDEX(Curves!$BE$8:$BE$68,BF$4-$B239+1)</f>
        <v/>
      </c>
      <c r="BG239" s="75">
        <f>$C239*INDEX(Curves!$BE$8:$BE$68,BG$4-$B239+1)</f>
        <v/>
      </c>
      <c r="BH239" s="75">
        <f>$C239*INDEX(Curves!$BE$8:$BE$68,BH$4-$B239+1)</f>
        <v/>
      </c>
      <c r="BI239" s="75">
        <f>$C239*INDEX(Curves!$BE$8:$BE$68,BI$4-$B239+1)</f>
        <v/>
      </c>
      <c r="BJ239" s="75">
        <f>$C239*INDEX(Curves!$BE$8:$BE$68,BJ$4-$B239+1)</f>
        <v/>
      </c>
      <c r="BK239" s="75">
        <f>$C239*INDEX(Curves!$BE$8:$BE$68,BK$4-$B239+1)</f>
        <v/>
      </c>
      <c r="BL239" s="75">
        <f>$C239*INDEX(Curves!$BE$8:$BE$68,BL$4-$B239+1)</f>
        <v/>
      </c>
    </row>
    <row r="240">
      <c r="A240" s="74" t="inlineStr">
        <is>
          <t>Cohort month 42</t>
        </is>
      </c>
      <c r="B240" s="74" t="n">
        <v>42</v>
      </c>
      <c r="C240" s="17">
        <f>INDEX(Ops!$E$110:$BL$110,1,$B240)</f>
        <v/>
      </c>
      <c r="AU240" s="75">
        <f>$C240*INDEX(Curves!$BE$8:$BE$68,AU$4-$B240+1)</f>
        <v/>
      </c>
      <c r="AV240" s="75">
        <f>$C240*INDEX(Curves!$BE$8:$BE$68,AV$4-$B240+1)</f>
        <v/>
      </c>
      <c r="AW240" s="75">
        <f>$C240*INDEX(Curves!$BE$8:$BE$68,AW$4-$B240+1)</f>
        <v/>
      </c>
      <c r="AX240" s="75">
        <f>$C240*INDEX(Curves!$BE$8:$BE$68,AX$4-$B240+1)</f>
        <v/>
      </c>
      <c r="AY240" s="75">
        <f>$C240*INDEX(Curves!$BE$8:$BE$68,AY$4-$B240+1)</f>
        <v/>
      </c>
      <c r="AZ240" s="75">
        <f>$C240*INDEX(Curves!$BE$8:$BE$68,AZ$4-$B240+1)</f>
        <v/>
      </c>
      <c r="BA240" s="75">
        <f>$C240*INDEX(Curves!$BE$8:$BE$68,BA$4-$B240+1)</f>
        <v/>
      </c>
      <c r="BB240" s="75">
        <f>$C240*INDEX(Curves!$BE$8:$BE$68,BB$4-$B240+1)</f>
        <v/>
      </c>
      <c r="BC240" s="75">
        <f>$C240*INDEX(Curves!$BE$8:$BE$68,BC$4-$B240+1)</f>
        <v/>
      </c>
      <c r="BD240" s="75">
        <f>$C240*INDEX(Curves!$BE$8:$BE$68,BD$4-$B240+1)</f>
        <v/>
      </c>
      <c r="BE240" s="75">
        <f>$C240*INDEX(Curves!$BE$8:$BE$68,BE$4-$B240+1)</f>
        <v/>
      </c>
      <c r="BF240" s="75">
        <f>$C240*INDEX(Curves!$BE$8:$BE$68,BF$4-$B240+1)</f>
        <v/>
      </c>
      <c r="BG240" s="75">
        <f>$C240*INDEX(Curves!$BE$8:$BE$68,BG$4-$B240+1)</f>
        <v/>
      </c>
      <c r="BH240" s="75">
        <f>$C240*INDEX(Curves!$BE$8:$BE$68,BH$4-$B240+1)</f>
        <v/>
      </c>
      <c r="BI240" s="75">
        <f>$C240*INDEX(Curves!$BE$8:$BE$68,BI$4-$B240+1)</f>
        <v/>
      </c>
      <c r="BJ240" s="75">
        <f>$C240*INDEX(Curves!$BE$8:$BE$68,BJ$4-$B240+1)</f>
        <v/>
      </c>
      <c r="BK240" s="75">
        <f>$C240*INDEX(Curves!$BE$8:$BE$68,BK$4-$B240+1)</f>
        <v/>
      </c>
      <c r="BL240" s="75">
        <f>$C240*INDEX(Curves!$BE$8:$BE$68,BL$4-$B240+1)</f>
        <v/>
      </c>
    </row>
    <row r="241">
      <c r="A241" s="74" t="inlineStr">
        <is>
          <t>Cohort month 43</t>
        </is>
      </c>
      <c r="B241" s="74" t="n">
        <v>43</v>
      </c>
      <c r="C241" s="17">
        <f>INDEX(Ops!$E$110:$BL$110,1,$B241)</f>
        <v/>
      </c>
      <c r="AV241" s="75">
        <f>$C241*INDEX(Curves!$BE$8:$BE$68,AV$4-$B241+1)</f>
        <v/>
      </c>
      <c r="AW241" s="75">
        <f>$C241*INDEX(Curves!$BE$8:$BE$68,AW$4-$B241+1)</f>
        <v/>
      </c>
      <c r="AX241" s="75">
        <f>$C241*INDEX(Curves!$BE$8:$BE$68,AX$4-$B241+1)</f>
        <v/>
      </c>
      <c r="AY241" s="75">
        <f>$C241*INDEX(Curves!$BE$8:$BE$68,AY$4-$B241+1)</f>
        <v/>
      </c>
      <c r="AZ241" s="75">
        <f>$C241*INDEX(Curves!$BE$8:$BE$68,AZ$4-$B241+1)</f>
        <v/>
      </c>
      <c r="BA241" s="75">
        <f>$C241*INDEX(Curves!$BE$8:$BE$68,BA$4-$B241+1)</f>
        <v/>
      </c>
      <c r="BB241" s="75">
        <f>$C241*INDEX(Curves!$BE$8:$BE$68,BB$4-$B241+1)</f>
        <v/>
      </c>
      <c r="BC241" s="75">
        <f>$C241*INDEX(Curves!$BE$8:$BE$68,BC$4-$B241+1)</f>
        <v/>
      </c>
      <c r="BD241" s="75">
        <f>$C241*INDEX(Curves!$BE$8:$BE$68,BD$4-$B241+1)</f>
        <v/>
      </c>
      <c r="BE241" s="75">
        <f>$C241*INDEX(Curves!$BE$8:$BE$68,BE$4-$B241+1)</f>
        <v/>
      </c>
      <c r="BF241" s="75">
        <f>$C241*INDEX(Curves!$BE$8:$BE$68,BF$4-$B241+1)</f>
        <v/>
      </c>
      <c r="BG241" s="75">
        <f>$C241*INDEX(Curves!$BE$8:$BE$68,BG$4-$B241+1)</f>
        <v/>
      </c>
      <c r="BH241" s="75">
        <f>$C241*INDEX(Curves!$BE$8:$BE$68,BH$4-$B241+1)</f>
        <v/>
      </c>
      <c r="BI241" s="75">
        <f>$C241*INDEX(Curves!$BE$8:$BE$68,BI$4-$B241+1)</f>
        <v/>
      </c>
      <c r="BJ241" s="75">
        <f>$C241*INDEX(Curves!$BE$8:$BE$68,BJ$4-$B241+1)</f>
        <v/>
      </c>
      <c r="BK241" s="75">
        <f>$C241*INDEX(Curves!$BE$8:$BE$68,BK$4-$B241+1)</f>
        <v/>
      </c>
      <c r="BL241" s="75">
        <f>$C241*INDEX(Curves!$BE$8:$BE$68,BL$4-$B241+1)</f>
        <v/>
      </c>
    </row>
    <row r="242">
      <c r="A242" s="74" t="inlineStr">
        <is>
          <t>Cohort month 44</t>
        </is>
      </c>
      <c r="B242" s="74" t="n">
        <v>44</v>
      </c>
      <c r="C242" s="17">
        <f>INDEX(Ops!$E$110:$BL$110,1,$B242)</f>
        <v/>
      </c>
      <c r="AW242" s="75">
        <f>$C242*INDEX(Curves!$BE$8:$BE$68,AW$4-$B242+1)</f>
        <v/>
      </c>
      <c r="AX242" s="75">
        <f>$C242*INDEX(Curves!$BE$8:$BE$68,AX$4-$B242+1)</f>
        <v/>
      </c>
      <c r="AY242" s="75">
        <f>$C242*INDEX(Curves!$BE$8:$BE$68,AY$4-$B242+1)</f>
        <v/>
      </c>
      <c r="AZ242" s="75">
        <f>$C242*INDEX(Curves!$BE$8:$BE$68,AZ$4-$B242+1)</f>
        <v/>
      </c>
      <c r="BA242" s="75">
        <f>$C242*INDEX(Curves!$BE$8:$BE$68,BA$4-$B242+1)</f>
        <v/>
      </c>
      <c r="BB242" s="75">
        <f>$C242*INDEX(Curves!$BE$8:$BE$68,BB$4-$B242+1)</f>
        <v/>
      </c>
      <c r="BC242" s="75">
        <f>$C242*INDEX(Curves!$BE$8:$BE$68,BC$4-$B242+1)</f>
        <v/>
      </c>
      <c r="BD242" s="75">
        <f>$C242*INDEX(Curves!$BE$8:$BE$68,BD$4-$B242+1)</f>
        <v/>
      </c>
      <c r="BE242" s="75">
        <f>$C242*INDEX(Curves!$BE$8:$BE$68,BE$4-$B242+1)</f>
        <v/>
      </c>
      <c r="BF242" s="75">
        <f>$C242*INDEX(Curves!$BE$8:$BE$68,BF$4-$B242+1)</f>
        <v/>
      </c>
      <c r="BG242" s="75">
        <f>$C242*INDEX(Curves!$BE$8:$BE$68,BG$4-$B242+1)</f>
        <v/>
      </c>
      <c r="BH242" s="75">
        <f>$C242*INDEX(Curves!$BE$8:$BE$68,BH$4-$B242+1)</f>
        <v/>
      </c>
      <c r="BI242" s="75">
        <f>$C242*INDEX(Curves!$BE$8:$BE$68,BI$4-$B242+1)</f>
        <v/>
      </c>
      <c r="BJ242" s="75">
        <f>$C242*INDEX(Curves!$BE$8:$BE$68,BJ$4-$B242+1)</f>
        <v/>
      </c>
      <c r="BK242" s="75">
        <f>$C242*INDEX(Curves!$BE$8:$BE$68,BK$4-$B242+1)</f>
        <v/>
      </c>
      <c r="BL242" s="75">
        <f>$C242*INDEX(Curves!$BE$8:$BE$68,BL$4-$B242+1)</f>
        <v/>
      </c>
    </row>
    <row r="243">
      <c r="A243" s="74" t="inlineStr">
        <is>
          <t>Cohort month 45</t>
        </is>
      </c>
      <c r="B243" s="74" t="n">
        <v>45</v>
      </c>
      <c r="C243" s="17">
        <f>INDEX(Ops!$E$110:$BL$110,1,$B243)</f>
        <v/>
      </c>
      <c r="AX243" s="75">
        <f>$C243*INDEX(Curves!$BE$8:$BE$68,AX$4-$B243+1)</f>
        <v/>
      </c>
      <c r="AY243" s="75">
        <f>$C243*INDEX(Curves!$BE$8:$BE$68,AY$4-$B243+1)</f>
        <v/>
      </c>
      <c r="AZ243" s="75">
        <f>$C243*INDEX(Curves!$BE$8:$BE$68,AZ$4-$B243+1)</f>
        <v/>
      </c>
      <c r="BA243" s="75">
        <f>$C243*INDEX(Curves!$BE$8:$BE$68,BA$4-$B243+1)</f>
        <v/>
      </c>
      <c r="BB243" s="75">
        <f>$C243*INDEX(Curves!$BE$8:$BE$68,BB$4-$B243+1)</f>
        <v/>
      </c>
      <c r="BC243" s="75">
        <f>$C243*INDEX(Curves!$BE$8:$BE$68,BC$4-$B243+1)</f>
        <v/>
      </c>
      <c r="BD243" s="75">
        <f>$C243*INDEX(Curves!$BE$8:$BE$68,BD$4-$B243+1)</f>
        <v/>
      </c>
      <c r="BE243" s="75">
        <f>$C243*INDEX(Curves!$BE$8:$BE$68,BE$4-$B243+1)</f>
        <v/>
      </c>
      <c r="BF243" s="75">
        <f>$C243*INDEX(Curves!$BE$8:$BE$68,BF$4-$B243+1)</f>
        <v/>
      </c>
      <c r="BG243" s="75">
        <f>$C243*INDEX(Curves!$BE$8:$BE$68,BG$4-$B243+1)</f>
        <v/>
      </c>
      <c r="BH243" s="75">
        <f>$C243*INDEX(Curves!$BE$8:$BE$68,BH$4-$B243+1)</f>
        <v/>
      </c>
      <c r="BI243" s="75">
        <f>$C243*INDEX(Curves!$BE$8:$BE$68,BI$4-$B243+1)</f>
        <v/>
      </c>
      <c r="BJ243" s="75">
        <f>$C243*INDEX(Curves!$BE$8:$BE$68,BJ$4-$B243+1)</f>
        <v/>
      </c>
      <c r="BK243" s="75">
        <f>$C243*INDEX(Curves!$BE$8:$BE$68,BK$4-$B243+1)</f>
        <v/>
      </c>
      <c r="BL243" s="75">
        <f>$C243*INDEX(Curves!$BE$8:$BE$68,BL$4-$B243+1)</f>
        <v/>
      </c>
    </row>
    <row r="244">
      <c r="A244" s="74" t="inlineStr">
        <is>
          <t>Cohort month 46</t>
        </is>
      </c>
      <c r="B244" s="74" t="n">
        <v>46</v>
      </c>
      <c r="C244" s="17">
        <f>INDEX(Ops!$E$110:$BL$110,1,$B244)</f>
        <v/>
      </c>
      <c r="AY244" s="75">
        <f>$C244*INDEX(Curves!$BE$8:$BE$68,AY$4-$B244+1)</f>
        <v/>
      </c>
      <c r="AZ244" s="75">
        <f>$C244*INDEX(Curves!$BE$8:$BE$68,AZ$4-$B244+1)</f>
        <v/>
      </c>
      <c r="BA244" s="75">
        <f>$C244*INDEX(Curves!$BE$8:$BE$68,BA$4-$B244+1)</f>
        <v/>
      </c>
      <c r="BB244" s="75">
        <f>$C244*INDEX(Curves!$BE$8:$BE$68,BB$4-$B244+1)</f>
        <v/>
      </c>
      <c r="BC244" s="75">
        <f>$C244*INDEX(Curves!$BE$8:$BE$68,BC$4-$B244+1)</f>
        <v/>
      </c>
      <c r="BD244" s="75">
        <f>$C244*INDEX(Curves!$BE$8:$BE$68,BD$4-$B244+1)</f>
        <v/>
      </c>
      <c r="BE244" s="75">
        <f>$C244*INDEX(Curves!$BE$8:$BE$68,BE$4-$B244+1)</f>
        <v/>
      </c>
      <c r="BF244" s="75">
        <f>$C244*INDEX(Curves!$BE$8:$BE$68,BF$4-$B244+1)</f>
        <v/>
      </c>
      <c r="BG244" s="75">
        <f>$C244*INDEX(Curves!$BE$8:$BE$68,BG$4-$B244+1)</f>
        <v/>
      </c>
      <c r="BH244" s="75">
        <f>$C244*INDEX(Curves!$BE$8:$BE$68,BH$4-$B244+1)</f>
        <v/>
      </c>
      <c r="BI244" s="75">
        <f>$C244*INDEX(Curves!$BE$8:$BE$68,BI$4-$B244+1)</f>
        <v/>
      </c>
      <c r="BJ244" s="75">
        <f>$C244*INDEX(Curves!$BE$8:$BE$68,BJ$4-$B244+1)</f>
        <v/>
      </c>
      <c r="BK244" s="75">
        <f>$C244*INDEX(Curves!$BE$8:$BE$68,BK$4-$B244+1)</f>
        <v/>
      </c>
      <c r="BL244" s="75">
        <f>$C244*INDEX(Curves!$BE$8:$BE$68,BL$4-$B244+1)</f>
        <v/>
      </c>
    </row>
    <row r="245">
      <c r="A245" s="74" t="inlineStr">
        <is>
          <t>Cohort month 47</t>
        </is>
      </c>
      <c r="B245" s="74" t="n">
        <v>47</v>
      </c>
      <c r="C245" s="17">
        <f>INDEX(Ops!$E$110:$BL$110,1,$B245)</f>
        <v/>
      </c>
      <c r="AZ245" s="75">
        <f>$C245*INDEX(Curves!$BE$8:$BE$68,AZ$4-$B245+1)</f>
        <v/>
      </c>
      <c r="BA245" s="75">
        <f>$C245*INDEX(Curves!$BE$8:$BE$68,BA$4-$B245+1)</f>
        <v/>
      </c>
      <c r="BB245" s="75">
        <f>$C245*INDEX(Curves!$BE$8:$BE$68,BB$4-$B245+1)</f>
        <v/>
      </c>
      <c r="BC245" s="75">
        <f>$C245*INDEX(Curves!$BE$8:$BE$68,BC$4-$B245+1)</f>
        <v/>
      </c>
      <c r="BD245" s="75">
        <f>$C245*INDEX(Curves!$BE$8:$BE$68,BD$4-$B245+1)</f>
        <v/>
      </c>
      <c r="BE245" s="75">
        <f>$C245*INDEX(Curves!$BE$8:$BE$68,BE$4-$B245+1)</f>
        <v/>
      </c>
      <c r="BF245" s="75">
        <f>$C245*INDEX(Curves!$BE$8:$BE$68,BF$4-$B245+1)</f>
        <v/>
      </c>
      <c r="BG245" s="75">
        <f>$C245*INDEX(Curves!$BE$8:$BE$68,BG$4-$B245+1)</f>
        <v/>
      </c>
      <c r="BH245" s="75">
        <f>$C245*INDEX(Curves!$BE$8:$BE$68,BH$4-$B245+1)</f>
        <v/>
      </c>
      <c r="BI245" s="75">
        <f>$C245*INDEX(Curves!$BE$8:$BE$68,BI$4-$B245+1)</f>
        <v/>
      </c>
      <c r="BJ245" s="75">
        <f>$C245*INDEX(Curves!$BE$8:$BE$68,BJ$4-$B245+1)</f>
        <v/>
      </c>
      <c r="BK245" s="75">
        <f>$C245*INDEX(Curves!$BE$8:$BE$68,BK$4-$B245+1)</f>
        <v/>
      </c>
      <c r="BL245" s="75">
        <f>$C245*INDEX(Curves!$BE$8:$BE$68,BL$4-$B245+1)</f>
        <v/>
      </c>
    </row>
    <row r="246">
      <c r="A246" s="74" t="inlineStr">
        <is>
          <t>Cohort month 48</t>
        </is>
      </c>
      <c r="B246" s="74" t="n">
        <v>48</v>
      </c>
      <c r="C246" s="17">
        <f>INDEX(Ops!$E$110:$BL$110,1,$B246)</f>
        <v/>
      </c>
      <c r="BA246" s="75">
        <f>$C246*INDEX(Curves!$BE$8:$BE$68,BA$4-$B246+1)</f>
        <v/>
      </c>
      <c r="BB246" s="75">
        <f>$C246*INDEX(Curves!$BE$8:$BE$68,BB$4-$B246+1)</f>
        <v/>
      </c>
      <c r="BC246" s="75">
        <f>$C246*INDEX(Curves!$BE$8:$BE$68,BC$4-$B246+1)</f>
        <v/>
      </c>
      <c r="BD246" s="75">
        <f>$C246*INDEX(Curves!$BE$8:$BE$68,BD$4-$B246+1)</f>
        <v/>
      </c>
      <c r="BE246" s="75">
        <f>$C246*INDEX(Curves!$BE$8:$BE$68,BE$4-$B246+1)</f>
        <v/>
      </c>
      <c r="BF246" s="75">
        <f>$C246*INDEX(Curves!$BE$8:$BE$68,BF$4-$B246+1)</f>
        <v/>
      </c>
      <c r="BG246" s="75">
        <f>$C246*INDEX(Curves!$BE$8:$BE$68,BG$4-$B246+1)</f>
        <v/>
      </c>
      <c r="BH246" s="75">
        <f>$C246*INDEX(Curves!$BE$8:$BE$68,BH$4-$B246+1)</f>
        <v/>
      </c>
      <c r="BI246" s="75">
        <f>$C246*INDEX(Curves!$BE$8:$BE$68,BI$4-$B246+1)</f>
        <v/>
      </c>
      <c r="BJ246" s="75">
        <f>$C246*INDEX(Curves!$BE$8:$BE$68,BJ$4-$B246+1)</f>
        <v/>
      </c>
      <c r="BK246" s="75">
        <f>$C246*INDEX(Curves!$BE$8:$BE$68,BK$4-$B246+1)</f>
        <v/>
      </c>
      <c r="BL246" s="75">
        <f>$C246*INDEX(Curves!$BE$8:$BE$68,BL$4-$B246+1)</f>
        <v/>
      </c>
    </row>
    <row r="247">
      <c r="A247" s="74" t="inlineStr">
        <is>
          <t>Cohort month 49</t>
        </is>
      </c>
      <c r="B247" s="74" t="n">
        <v>49</v>
      </c>
      <c r="C247" s="17">
        <f>INDEX(Ops!$E$110:$BL$110,1,$B247)</f>
        <v/>
      </c>
      <c r="BB247" s="75">
        <f>$C247*INDEX(Curves!$BE$8:$BE$68,BB$4-$B247+1)</f>
        <v/>
      </c>
      <c r="BC247" s="75">
        <f>$C247*INDEX(Curves!$BE$8:$BE$68,BC$4-$B247+1)</f>
        <v/>
      </c>
      <c r="BD247" s="75">
        <f>$C247*INDEX(Curves!$BE$8:$BE$68,BD$4-$B247+1)</f>
        <v/>
      </c>
      <c r="BE247" s="75">
        <f>$C247*INDEX(Curves!$BE$8:$BE$68,BE$4-$B247+1)</f>
        <v/>
      </c>
      <c r="BF247" s="75">
        <f>$C247*INDEX(Curves!$BE$8:$BE$68,BF$4-$B247+1)</f>
        <v/>
      </c>
      <c r="BG247" s="75">
        <f>$C247*INDEX(Curves!$BE$8:$BE$68,BG$4-$B247+1)</f>
        <v/>
      </c>
      <c r="BH247" s="75">
        <f>$C247*INDEX(Curves!$BE$8:$BE$68,BH$4-$B247+1)</f>
        <v/>
      </c>
      <c r="BI247" s="75">
        <f>$C247*INDEX(Curves!$BE$8:$BE$68,BI$4-$B247+1)</f>
        <v/>
      </c>
      <c r="BJ247" s="75">
        <f>$C247*INDEX(Curves!$BE$8:$BE$68,BJ$4-$B247+1)</f>
        <v/>
      </c>
      <c r="BK247" s="75">
        <f>$C247*INDEX(Curves!$BE$8:$BE$68,BK$4-$B247+1)</f>
        <v/>
      </c>
      <c r="BL247" s="75">
        <f>$C247*INDEX(Curves!$BE$8:$BE$68,BL$4-$B247+1)</f>
        <v/>
      </c>
    </row>
    <row r="248">
      <c r="A248" s="74" t="inlineStr">
        <is>
          <t>Cohort month 50</t>
        </is>
      </c>
      <c r="B248" s="74" t="n">
        <v>50</v>
      </c>
      <c r="C248" s="17">
        <f>INDEX(Ops!$E$110:$BL$110,1,$B248)</f>
        <v/>
      </c>
      <c r="BC248" s="75">
        <f>$C248*INDEX(Curves!$BE$8:$BE$68,BC$4-$B248+1)</f>
        <v/>
      </c>
      <c r="BD248" s="75">
        <f>$C248*INDEX(Curves!$BE$8:$BE$68,BD$4-$B248+1)</f>
        <v/>
      </c>
      <c r="BE248" s="75">
        <f>$C248*INDEX(Curves!$BE$8:$BE$68,BE$4-$B248+1)</f>
        <v/>
      </c>
      <c r="BF248" s="75">
        <f>$C248*INDEX(Curves!$BE$8:$BE$68,BF$4-$B248+1)</f>
        <v/>
      </c>
      <c r="BG248" s="75">
        <f>$C248*INDEX(Curves!$BE$8:$BE$68,BG$4-$B248+1)</f>
        <v/>
      </c>
      <c r="BH248" s="75">
        <f>$C248*INDEX(Curves!$BE$8:$BE$68,BH$4-$B248+1)</f>
        <v/>
      </c>
      <c r="BI248" s="75">
        <f>$C248*INDEX(Curves!$BE$8:$BE$68,BI$4-$B248+1)</f>
        <v/>
      </c>
      <c r="BJ248" s="75">
        <f>$C248*INDEX(Curves!$BE$8:$BE$68,BJ$4-$B248+1)</f>
        <v/>
      </c>
      <c r="BK248" s="75">
        <f>$C248*INDEX(Curves!$BE$8:$BE$68,BK$4-$B248+1)</f>
        <v/>
      </c>
      <c r="BL248" s="75">
        <f>$C248*INDEX(Curves!$BE$8:$BE$68,BL$4-$B248+1)</f>
        <v/>
      </c>
    </row>
    <row r="249">
      <c r="A249" s="74" t="inlineStr">
        <is>
          <t>Cohort month 51</t>
        </is>
      </c>
      <c r="B249" s="74" t="n">
        <v>51</v>
      </c>
      <c r="C249" s="17">
        <f>INDEX(Ops!$E$110:$BL$110,1,$B249)</f>
        <v/>
      </c>
      <c r="BD249" s="75">
        <f>$C249*INDEX(Curves!$BE$8:$BE$68,BD$4-$B249+1)</f>
        <v/>
      </c>
      <c r="BE249" s="75">
        <f>$C249*INDEX(Curves!$BE$8:$BE$68,BE$4-$B249+1)</f>
        <v/>
      </c>
      <c r="BF249" s="75">
        <f>$C249*INDEX(Curves!$BE$8:$BE$68,BF$4-$B249+1)</f>
        <v/>
      </c>
      <c r="BG249" s="75">
        <f>$C249*INDEX(Curves!$BE$8:$BE$68,BG$4-$B249+1)</f>
        <v/>
      </c>
      <c r="BH249" s="75">
        <f>$C249*INDEX(Curves!$BE$8:$BE$68,BH$4-$B249+1)</f>
        <v/>
      </c>
      <c r="BI249" s="75">
        <f>$C249*INDEX(Curves!$BE$8:$BE$68,BI$4-$B249+1)</f>
        <v/>
      </c>
      <c r="BJ249" s="75">
        <f>$C249*INDEX(Curves!$BE$8:$BE$68,BJ$4-$B249+1)</f>
        <v/>
      </c>
      <c r="BK249" s="75">
        <f>$C249*INDEX(Curves!$BE$8:$BE$68,BK$4-$B249+1)</f>
        <v/>
      </c>
      <c r="BL249" s="75">
        <f>$C249*INDEX(Curves!$BE$8:$BE$68,BL$4-$B249+1)</f>
        <v/>
      </c>
    </row>
    <row r="250">
      <c r="A250" s="74" t="inlineStr">
        <is>
          <t>Cohort month 52</t>
        </is>
      </c>
      <c r="B250" s="74" t="n">
        <v>52</v>
      </c>
      <c r="C250" s="17">
        <f>INDEX(Ops!$E$110:$BL$110,1,$B250)</f>
        <v/>
      </c>
      <c r="BE250" s="75">
        <f>$C250*INDEX(Curves!$BE$8:$BE$68,BE$4-$B250+1)</f>
        <v/>
      </c>
      <c r="BF250" s="75">
        <f>$C250*INDEX(Curves!$BE$8:$BE$68,BF$4-$B250+1)</f>
        <v/>
      </c>
      <c r="BG250" s="75">
        <f>$C250*INDEX(Curves!$BE$8:$BE$68,BG$4-$B250+1)</f>
        <v/>
      </c>
      <c r="BH250" s="75">
        <f>$C250*INDEX(Curves!$BE$8:$BE$68,BH$4-$B250+1)</f>
        <v/>
      </c>
      <c r="BI250" s="75">
        <f>$C250*INDEX(Curves!$BE$8:$BE$68,BI$4-$B250+1)</f>
        <v/>
      </c>
      <c r="BJ250" s="75">
        <f>$C250*INDEX(Curves!$BE$8:$BE$68,BJ$4-$B250+1)</f>
        <v/>
      </c>
      <c r="BK250" s="75">
        <f>$C250*INDEX(Curves!$BE$8:$BE$68,BK$4-$B250+1)</f>
        <v/>
      </c>
      <c r="BL250" s="75">
        <f>$C250*INDEX(Curves!$BE$8:$BE$68,BL$4-$B250+1)</f>
        <v/>
      </c>
    </row>
    <row r="251">
      <c r="A251" s="74" t="inlineStr">
        <is>
          <t>Cohort month 53</t>
        </is>
      </c>
      <c r="B251" s="74" t="n">
        <v>53</v>
      </c>
      <c r="C251" s="17">
        <f>INDEX(Ops!$E$110:$BL$110,1,$B251)</f>
        <v/>
      </c>
      <c r="BF251" s="75">
        <f>$C251*INDEX(Curves!$BE$8:$BE$68,BF$4-$B251+1)</f>
        <v/>
      </c>
      <c r="BG251" s="75">
        <f>$C251*INDEX(Curves!$BE$8:$BE$68,BG$4-$B251+1)</f>
        <v/>
      </c>
      <c r="BH251" s="75">
        <f>$C251*INDEX(Curves!$BE$8:$BE$68,BH$4-$B251+1)</f>
        <v/>
      </c>
      <c r="BI251" s="75">
        <f>$C251*INDEX(Curves!$BE$8:$BE$68,BI$4-$B251+1)</f>
        <v/>
      </c>
      <c r="BJ251" s="75">
        <f>$C251*INDEX(Curves!$BE$8:$BE$68,BJ$4-$B251+1)</f>
        <v/>
      </c>
      <c r="BK251" s="75">
        <f>$C251*INDEX(Curves!$BE$8:$BE$68,BK$4-$B251+1)</f>
        <v/>
      </c>
      <c r="BL251" s="75">
        <f>$C251*INDEX(Curves!$BE$8:$BE$68,BL$4-$B251+1)</f>
        <v/>
      </c>
    </row>
    <row r="252">
      <c r="A252" s="74" t="inlineStr">
        <is>
          <t>Cohort month 54</t>
        </is>
      </c>
      <c r="B252" s="74" t="n">
        <v>54</v>
      </c>
      <c r="C252" s="17">
        <f>INDEX(Ops!$E$110:$BL$110,1,$B252)</f>
        <v/>
      </c>
      <c r="BG252" s="75">
        <f>$C252*INDEX(Curves!$BE$8:$BE$68,BG$4-$B252+1)</f>
        <v/>
      </c>
      <c r="BH252" s="75">
        <f>$C252*INDEX(Curves!$BE$8:$BE$68,BH$4-$B252+1)</f>
        <v/>
      </c>
      <c r="BI252" s="75">
        <f>$C252*INDEX(Curves!$BE$8:$BE$68,BI$4-$B252+1)</f>
        <v/>
      </c>
      <c r="BJ252" s="75">
        <f>$C252*INDEX(Curves!$BE$8:$BE$68,BJ$4-$B252+1)</f>
        <v/>
      </c>
      <c r="BK252" s="75">
        <f>$C252*INDEX(Curves!$BE$8:$BE$68,BK$4-$B252+1)</f>
        <v/>
      </c>
      <c r="BL252" s="75">
        <f>$C252*INDEX(Curves!$BE$8:$BE$68,BL$4-$B252+1)</f>
        <v/>
      </c>
    </row>
    <row r="253">
      <c r="A253" s="74" t="inlineStr">
        <is>
          <t>Cohort month 55</t>
        </is>
      </c>
      <c r="B253" s="74" t="n">
        <v>55</v>
      </c>
      <c r="C253" s="17">
        <f>INDEX(Ops!$E$110:$BL$110,1,$B253)</f>
        <v/>
      </c>
      <c r="BH253" s="75">
        <f>$C253*INDEX(Curves!$BE$8:$BE$68,BH$4-$B253+1)</f>
        <v/>
      </c>
      <c r="BI253" s="75">
        <f>$C253*INDEX(Curves!$BE$8:$BE$68,BI$4-$B253+1)</f>
        <v/>
      </c>
      <c r="BJ253" s="75">
        <f>$C253*INDEX(Curves!$BE$8:$BE$68,BJ$4-$B253+1)</f>
        <v/>
      </c>
      <c r="BK253" s="75">
        <f>$C253*INDEX(Curves!$BE$8:$BE$68,BK$4-$B253+1)</f>
        <v/>
      </c>
      <c r="BL253" s="75">
        <f>$C253*INDEX(Curves!$BE$8:$BE$68,BL$4-$B253+1)</f>
        <v/>
      </c>
    </row>
    <row r="254">
      <c r="A254" s="74" t="inlineStr">
        <is>
          <t>Cohort month 56</t>
        </is>
      </c>
      <c r="B254" s="74" t="n">
        <v>56</v>
      </c>
      <c r="C254" s="17">
        <f>INDEX(Ops!$E$110:$BL$110,1,$B254)</f>
        <v/>
      </c>
      <c r="BI254" s="75">
        <f>$C254*INDEX(Curves!$BE$8:$BE$68,BI$4-$B254+1)</f>
        <v/>
      </c>
      <c r="BJ254" s="75">
        <f>$C254*INDEX(Curves!$BE$8:$BE$68,BJ$4-$B254+1)</f>
        <v/>
      </c>
      <c r="BK254" s="75">
        <f>$C254*INDEX(Curves!$BE$8:$BE$68,BK$4-$B254+1)</f>
        <v/>
      </c>
      <c r="BL254" s="75">
        <f>$C254*INDEX(Curves!$BE$8:$BE$68,BL$4-$B254+1)</f>
        <v/>
      </c>
    </row>
    <row r="255">
      <c r="A255" s="74" t="inlineStr">
        <is>
          <t>Cohort month 57</t>
        </is>
      </c>
      <c r="B255" s="74" t="n">
        <v>57</v>
      </c>
      <c r="C255" s="17">
        <f>INDEX(Ops!$E$110:$BL$110,1,$B255)</f>
        <v/>
      </c>
      <c r="BJ255" s="75">
        <f>$C255*INDEX(Curves!$BE$8:$BE$68,BJ$4-$B255+1)</f>
        <v/>
      </c>
      <c r="BK255" s="75">
        <f>$C255*INDEX(Curves!$BE$8:$BE$68,BK$4-$B255+1)</f>
        <v/>
      </c>
      <c r="BL255" s="75">
        <f>$C255*INDEX(Curves!$BE$8:$BE$68,BL$4-$B255+1)</f>
        <v/>
      </c>
    </row>
    <row r="256">
      <c r="A256" s="74" t="inlineStr">
        <is>
          <t>Cohort month 58</t>
        </is>
      </c>
      <c r="B256" s="74" t="n">
        <v>58</v>
      </c>
      <c r="C256" s="17">
        <f>INDEX(Ops!$E$110:$BL$110,1,$B256)</f>
        <v/>
      </c>
      <c r="BK256" s="75">
        <f>$C256*INDEX(Curves!$BE$8:$BE$68,BK$4-$B256+1)</f>
        <v/>
      </c>
      <c r="BL256" s="75">
        <f>$C256*INDEX(Curves!$BE$8:$BE$68,BL$4-$B256+1)</f>
        <v/>
      </c>
    </row>
    <row r="257">
      <c r="A257" s="74" t="inlineStr">
        <is>
          <t>Cohort month 59</t>
        </is>
      </c>
      <c r="B257" s="74" t="n">
        <v>59</v>
      </c>
      <c r="C257" s="17">
        <f>INDEX(Ops!$E$110:$BL$110,1,$B257)</f>
        <v/>
      </c>
      <c r="BL257" s="75">
        <f>$C257*INDEX(Curves!$BE$8:$BE$68,BL$4-$B257+1)</f>
        <v/>
      </c>
    </row>
    <row r="258">
      <c r="A258" s="74" t="inlineStr">
        <is>
          <t>Cohort month 60</t>
        </is>
      </c>
      <c r="B258" s="74" t="n">
        <v>60</v>
      </c>
      <c r="C258" s="17">
        <f>INDEX(Ops!$E$110:$BL$110,1,$B258)</f>
        <v/>
      </c>
    </row>
  </sheetData>
  <pageMargins left="0.75" right="0.75" top="1" bottom="1" header="0.5" footer="0.5"/>
  <pageSetup orientation="landscape" fitToHeight="0" fitToWidth="1"/>
</worksheet>
</file>

<file path=xl/worksheets/sheet23.xml><?xml version="1.0" encoding="utf-8"?>
<worksheet xmlns="http://schemas.openxmlformats.org/spreadsheetml/2006/main">
  <sheetPr>
    <outlinePr summaryBelow="1" summaryRight="1"/>
    <pageSetUpPr fitToPage="1"/>
  </sheetPr>
  <dimension ref="A1:BL11"/>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46" customWidth="1" min="1" max="1"/>
    <col width="12" customWidth="1" min="2" max="2"/>
    <col width="16"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s>
  <sheetData>
    <row r="1">
      <c r="A1" s="1" t="inlineStr">
        <is>
          <t>Timeline</t>
        </is>
      </c>
    </row>
    <row r="2">
      <c r="A2" s="2" t="inlineStr">
        <is>
          <t>Dates, FX path and indices</t>
        </is>
      </c>
    </row>
    <row r="3"/>
    <row r="4">
      <c r="A4" s="51" t="inlineStr">
        <is>
          <t>Month #</t>
        </is>
      </c>
      <c r="B4" s="52" t="n"/>
      <c r="C4" s="52" t="n"/>
      <c r="D4" s="51" t="inlineStr">
        <is>
          <t>Opening</t>
        </is>
      </c>
      <c r="E4" s="76" t="n">
        <v>1</v>
      </c>
      <c r="F4" s="76" t="n">
        <v>2</v>
      </c>
      <c r="G4" s="76" t="n">
        <v>3</v>
      </c>
      <c r="H4" s="76" t="n">
        <v>4</v>
      </c>
      <c r="I4" s="76" t="n">
        <v>5</v>
      </c>
      <c r="J4" s="76" t="n">
        <v>6</v>
      </c>
      <c r="K4" s="76" t="n">
        <v>7</v>
      </c>
      <c r="L4" s="76" t="n">
        <v>8</v>
      </c>
      <c r="M4" s="76" t="n">
        <v>9</v>
      </c>
      <c r="N4" s="76" t="n">
        <v>10</v>
      </c>
      <c r="O4" s="76" t="n">
        <v>11</v>
      </c>
      <c r="P4" s="76" t="n">
        <v>12</v>
      </c>
      <c r="Q4" s="76" t="n">
        <v>13</v>
      </c>
      <c r="R4" s="76" t="n">
        <v>14</v>
      </c>
      <c r="S4" s="76" t="n">
        <v>15</v>
      </c>
      <c r="T4" s="76" t="n">
        <v>16</v>
      </c>
      <c r="U4" s="76" t="n">
        <v>17</v>
      </c>
      <c r="V4" s="76" t="n">
        <v>18</v>
      </c>
      <c r="W4" s="76" t="n">
        <v>19</v>
      </c>
      <c r="X4" s="76" t="n">
        <v>20</v>
      </c>
      <c r="Y4" s="76" t="n">
        <v>21</v>
      </c>
      <c r="Z4" s="76" t="n">
        <v>22</v>
      </c>
      <c r="AA4" s="76" t="n">
        <v>23</v>
      </c>
      <c r="AB4" s="76" t="n">
        <v>24</v>
      </c>
      <c r="AC4" s="76" t="n">
        <v>25</v>
      </c>
      <c r="AD4" s="76" t="n">
        <v>26</v>
      </c>
      <c r="AE4" s="76" t="n">
        <v>27</v>
      </c>
      <c r="AF4" s="76" t="n">
        <v>28</v>
      </c>
      <c r="AG4" s="76" t="n">
        <v>29</v>
      </c>
      <c r="AH4" s="76" t="n">
        <v>30</v>
      </c>
      <c r="AI4" s="76" t="n">
        <v>31</v>
      </c>
      <c r="AJ4" s="76" t="n">
        <v>32</v>
      </c>
      <c r="AK4" s="76" t="n">
        <v>33</v>
      </c>
      <c r="AL4" s="76" t="n">
        <v>34</v>
      </c>
      <c r="AM4" s="76" t="n">
        <v>35</v>
      </c>
      <c r="AN4" s="76" t="n">
        <v>36</v>
      </c>
      <c r="AO4" s="76" t="n">
        <v>37</v>
      </c>
      <c r="AP4" s="76" t="n">
        <v>38</v>
      </c>
      <c r="AQ4" s="76" t="n">
        <v>39</v>
      </c>
      <c r="AR4" s="76" t="n">
        <v>40</v>
      </c>
      <c r="AS4" s="76" t="n">
        <v>41</v>
      </c>
      <c r="AT4" s="76" t="n">
        <v>42</v>
      </c>
      <c r="AU4" s="76" t="n">
        <v>43</v>
      </c>
      <c r="AV4" s="76" t="n">
        <v>44</v>
      </c>
      <c r="AW4" s="76" t="n">
        <v>45</v>
      </c>
      <c r="AX4" s="76" t="n">
        <v>46</v>
      </c>
      <c r="AY4" s="76" t="n">
        <v>47</v>
      </c>
      <c r="AZ4" s="76" t="n">
        <v>48</v>
      </c>
      <c r="BA4" s="76" t="n">
        <v>49</v>
      </c>
      <c r="BB4" s="76" t="n">
        <v>50</v>
      </c>
      <c r="BC4" s="76" t="n">
        <v>51</v>
      </c>
      <c r="BD4" s="76" t="n">
        <v>52</v>
      </c>
      <c r="BE4" s="76" t="n">
        <v>53</v>
      </c>
      <c r="BF4" s="76" t="n">
        <v>54</v>
      </c>
      <c r="BG4" s="76" t="n">
        <v>55</v>
      </c>
      <c r="BH4" s="76" t="n">
        <v>56</v>
      </c>
      <c r="BI4" s="76" t="n">
        <v>57</v>
      </c>
      <c r="BJ4" s="76" t="n">
        <v>58</v>
      </c>
      <c r="BK4" s="76" t="n">
        <v>59</v>
      </c>
      <c r="BL4" s="76" t="n">
        <v>60</v>
      </c>
    </row>
    <row r="5">
      <c r="A5" s="51" t="inlineStr">
        <is>
          <t>Period end</t>
        </is>
      </c>
      <c r="B5" s="52" t="n"/>
      <c r="C5" s="52" t="n"/>
      <c r="D5" s="51" t="n"/>
      <c r="E5" s="77">
        <f>EOMONTH(Inputs!$C$6,0)</f>
        <v/>
      </c>
      <c r="F5" s="77">
        <f>EOMONTH(Inputs!$C$6,1)</f>
        <v/>
      </c>
      <c r="G5" s="77">
        <f>EOMONTH(Inputs!$C$6,2)</f>
        <v/>
      </c>
      <c r="H5" s="77">
        <f>EOMONTH(Inputs!$C$6,3)</f>
        <v/>
      </c>
      <c r="I5" s="77">
        <f>EOMONTH(Inputs!$C$6,4)</f>
        <v/>
      </c>
      <c r="J5" s="77">
        <f>EOMONTH(Inputs!$C$6,5)</f>
        <v/>
      </c>
      <c r="K5" s="77">
        <f>EOMONTH(Inputs!$C$6,6)</f>
        <v/>
      </c>
      <c r="L5" s="77">
        <f>EOMONTH(Inputs!$C$6,7)</f>
        <v/>
      </c>
      <c r="M5" s="77">
        <f>EOMONTH(Inputs!$C$6,8)</f>
        <v/>
      </c>
      <c r="N5" s="77">
        <f>EOMONTH(Inputs!$C$6,9)</f>
        <v/>
      </c>
      <c r="O5" s="77">
        <f>EOMONTH(Inputs!$C$6,10)</f>
        <v/>
      </c>
      <c r="P5" s="77">
        <f>EOMONTH(Inputs!$C$6,11)</f>
        <v/>
      </c>
      <c r="Q5" s="77">
        <f>EOMONTH(Inputs!$C$6,12)</f>
        <v/>
      </c>
      <c r="R5" s="77">
        <f>EOMONTH(Inputs!$C$6,13)</f>
        <v/>
      </c>
      <c r="S5" s="77">
        <f>EOMONTH(Inputs!$C$6,14)</f>
        <v/>
      </c>
      <c r="T5" s="77">
        <f>EOMONTH(Inputs!$C$6,15)</f>
        <v/>
      </c>
      <c r="U5" s="77">
        <f>EOMONTH(Inputs!$C$6,16)</f>
        <v/>
      </c>
      <c r="V5" s="77">
        <f>EOMONTH(Inputs!$C$6,17)</f>
        <v/>
      </c>
      <c r="W5" s="77">
        <f>EOMONTH(Inputs!$C$6,18)</f>
        <v/>
      </c>
      <c r="X5" s="77">
        <f>EOMONTH(Inputs!$C$6,19)</f>
        <v/>
      </c>
      <c r="Y5" s="77">
        <f>EOMONTH(Inputs!$C$6,20)</f>
        <v/>
      </c>
      <c r="Z5" s="77">
        <f>EOMONTH(Inputs!$C$6,21)</f>
        <v/>
      </c>
      <c r="AA5" s="77">
        <f>EOMONTH(Inputs!$C$6,22)</f>
        <v/>
      </c>
      <c r="AB5" s="77">
        <f>EOMONTH(Inputs!$C$6,23)</f>
        <v/>
      </c>
      <c r="AC5" s="77">
        <f>EOMONTH(Inputs!$C$6,24)</f>
        <v/>
      </c>
      <c r="AD5" s="77">
        <f>EOMONTH(Inputs!$C$6,25)</f>
        <v/>
      </c>
      <c r="AE5" s="77">
        <f>EOMONTH(Inputs!$C$6,26)</f>
        <v/>
      </c>
      <c r="AF5" s="77">
        <f>EOMONTH(Inputs!$C$6,27)</f>
        <v/>
      </c>
      <c r="AG5" s="77">
        <f>EOMONTH(Inputs!$C$6,28)</f>
        <v/>
      </c>
      <c r="AH5" s="77">
        <f>EOMONTH(Inputs!$C$6,29)</f>
        <v/>
      </c>
      <c r="AI5" s="77">
        <f>EOMONTH(Inputs!$C$6,30)</f>
        <v/>
      </c>
      <c r="AJ5" s="77">
        <f>EOMONTH(Inputs!$C$6,31)</f>
        <v/>
      </c>
      <c r="AK5" s="77">
        <f>EOMONTH(Inputs!$C$6,32)</f>
        <v/>
      </c>
      <c r="AL5" s="77">
        <f>EOMONTH(Inputs!$C$6,33)</f>
        <v/>
      </c>
      <c r="AM5" s="77">
        <f>EOMONTH(Inputs!$C$6,34)</f>
        <v/>
      </c>
      <c r="AN5" s="77">
        <f>EOMONTH(Inputs!$C$6,35)</f>
        <v/>
      </c>
      <c r="AO5" s="77">
        <f>EOMONTH(Inputs!$C$6,36)</f>
        <v/>
      </c>
      <c r="AP5" s="77">
        <f>EOMONTH(Inputs!$C$6,37)</f>
        <v/>
      </c>
      <c r="AQ5" s="77">
        <f>EOMONTH(Inputs!$C$6,38)</f>
        <v/>
      </c>
      <c r="AR5" s="77">
        <f>EOMONTH(Inputs!$C$6,39)</f>
        <v/>
      </c>
      <c r="AS5" s="77">
        <f>EOMONTH(Inputs!$C$6,40)</f>
        <v/>
      </c>
      <c r="AT5" s="77">
        <f>EOMONTH(Inputs!$C$6,41)</f>
        <v/>
      </c>
      <c r="AU5" s="77">
        <f>EOMONTH(Inputs!$C$6,42)</f>
        <v/>
      </c>
      <c r="AV5" s="77">
        <f>EOMONTH(Inputs!$C$6,43)</f>
        <v/>
      </c>
      <c r="AW5" s="77">
        <f>EOMONTH(Inputs!$C$6,44)</f>
        <v/>
      </c>
      <c r="AX5" s="77">
        <f>EOMONTH(Inputs!$C$6,45)</f>
        <v/>
      </c>
      <c r="AY5" s="77">
        <f>EOMONTH(Inputs!$C$6,46)</f>
        <v/>
      </c>
      <c r="AZ5" s="77">
        <f>EOMONTH(Inputs!$C$6,47)</f>
        <v/>
      </c>
      <c r="BA5" s="77">
        <f>EOMONTH(Inputs!$C$6,48)</f>
        <v/>
      </c>
      <c r="BB5" s="77">
        <f>EOMONTH(Inputs!$C$6,49)</f>
        <v/>
      </c>
      <c r="BC5" s="77">
        <f>EOMONTH(Inputs!$C$6,50)</f>
        <v/>
      </c>
      <c r="BD5" s="77">
        <f>EOMONTH(Inputs!$C$6,51)</f>
        <v/>
      </c>
      <c r="BE5" s="77">
        <f>EOMONTH(Inputs!$C$6,52)</f>
        <v/>
      </c>
      <c r="BF5" s="77">
        <f>EOMONTH(Inputs!$C$6,53)</f>
        <v/>
      </c>
      <c r="BG5" s="77">
        <f>EOMONTH(Inputs!$C$6,54)</f>
        <v/>
      </c>
      <c r="BH5" s="77">
        <f>EOMONTH(Inputs!$C$6,55)</f>
        <v/>
      </c>
      <c r="BI5" s="77">
        <f>EOMONTH(Inputs!$C$6,56)</f>
        <v/>
      </c>
      <c r="BJ5" s="77">
        <f>EOMONTH(Inputs!$C$6,57)</f>
        <v/>
      </c>
      <c r="BK5" s="77">
        <f>EOMONTH(Inputs!$C$6,58)</f>
        <v/>
      </c>
      <c r="BL5" s="77">
        <f>EOMONTH(Inputs!$C$6,59)</f>
        <v/>
      </c>
    </row>
    <row r="6">
      <c r="A6" s="51" t="inlineStr">
        <is>
          <t>Year #</t>
        </is>
      </c>
      <c r="B6" s="52" t="n"/>
      <c r="C6" s="52" t="n"/>
      <c r="D6" s="51" t="n"/>
      <c r="E6" s="76">
        <f>INT((E4-1)/12)+1</f>
        <v/>
      </c>
      <c r="F6" s="76">
        <f>INT((F4-1)/12)+1</f>
        <v/>
      </c>
      <c r="G6" s="76">
        <f>INT((G4-1)/12)+1</f>
        <v/>
      </c>
      <c r="H6" s="76">
        <f>INT((H4-1)/12)+1</f>
        <v/>
      </c>
      <c r="I6" s="76">
        <f>INT((I4-1)/12)+1</f>
        <v/>
      </c>
      <c r="J6" s="76">
        <f>INT((J4-1)/12)+1</f>
        <v/>
      </c>
      <c r="K6" s="76">
        <f>INT((K4-1)/12)+1</f>
        <v/>
      </c>
      <c r="L6" s="76">
        <f>INT((L4-1)/12)+1</f>
        <v/>
      </c>
      <c r="M6" s="76">
        <f>INT((M4-1)/12)+1</f>
        <v/>
      </c>
      <c r="N6" s="76">
        <f>INT((N4-1)/12)+1</f>
        <v/>
      </c>
      <c r="O6" s="76">
        <f>INT((O4-1)/12)+1</f>
        <v/>
      </c>
      <c r="P6" s="76">
        <f>INT((P4-1)/12)+1</f>
        <v/>
      </c>
      <c r="Q6" s="76">
        <f>INT((Q4-1)/12)+1</f>
        <v/>
      </c>
      <c r="R6" s="76">
        <f>INT((R4-1)/12)+1</f>
        <v/>
      </c>
      <c r="S6" s="76">
        <f>INT((S4-1)/12)+1</f>
        <v/>
      </c>
      <c r="T6" s="76">
        <f>INT((T4-1)/12)+1</f>
        <v/>
      </c>
      <c r="U6" s="76">
        <f>INT((U4-1)/12)+1</f>
        <v/>
      </c>
      <c r="V6" s="76">
        <f>INT((V4-1)/12)+1</f>
        <v/>
      </c>
      <c r="W6" s="76">
        <f>INT((W4-1)/12)+1</f>
        <v/>
      </c>
      <c r="X6" s="76">
        <f>INT((X4-1)/12)+1</f>
        <v/>
      </c>
      <c r="Y6" s="76">
        <f>INT((Y4-1)/12)+1</f>
        <v/>
      </c>
      <c r="Z6" s="76">
        <f>INT((Z4-1)/12)+1</f>
        <v/>
      </c>
      <c r="AA6" s="76">
        <f>INT((AA4-1)/12)+1</f>
        <v/>
      </c>
      <c r="AB6" s="76">
        <f>INT((AB4-1)/12)+1</f>
        <v/>
      </c>
      <c r="AC6" s="76">
        <f>INT((AC4-1)/12)+1</f>
        <v/>
      </c>
      <c r="AD6" s="76">
        <f>INT((AD4-1)/12)+1</f>
        <v/>
      </c>
      <c r="AE6" s="76">
        <f>INT((AE4-1)/12)+1</f>
        <v/>
      </c>
      <c r="AF6" s="76">
        <f>INT((AF4-1)/12)+1</f>
        <v/>
      </c>
      <c r="AG6" s="76">
        <f>INT((AG4-1)/12)+1</f>
        <v/>
      </c>
      <c r="AH6" s="76">
        <f>INT((AH4-1)/12)+1</f>
        <v/>
      </c>
      <c r="AI6" s="76">
        <f>INT((AI4-1)/12)+1</f>
        <v/>
      </c>
      <c r="AJ6" s="76">
        <f>INT((AJ4-1)/12)+1</f>
        <v/>
      </c>
      <c r="AK6" s="76">
        <f>INT((AK4-1)/12)+1</f>
        <v/>
      </c>
      <c r="AL6" s="76">
        <f>INT((AL4-1)/12)+1</f>
        <v/>
      </c>
      <c r="AM6" s="76">
        <f>INT((AM4-1)/12)+1</f>
        <v/>
      </c>
      <c r="AN6" s="76">
        <f>INT((AN4-1)/12)+1</f>
        <v/>
      </c>
      <c r="AO6" s="76">
        <f>INT((AO4-1)/12)+1</f>
        <v/>
      </c>
      <c r="AP6" s="76">
        <f>INT((AP4-1)/12)+1</f>
        <v/>
      </c>
      <c r="AQ6" s="76">
        <f>INT((AQ4-1)/12)+1</f>
        <v/>
      </c>
      <c r="AR6" s="76">
        <f>INT((AR4-1)/12)+1</f>
        <v/>
      </c>
      <c r="AS6" s="76">
        <f>INT((AS4-1)/12)+1</f>
        <v/>
      </c>
      <c r="AT6" s="76">
        <f>INT((AT4-1)/12)+1</f>
        <v/>
      </c>
      <c r="AU6" s="76">
        <f>INT((AU4-1)/12)+1</f>
        <v/>
      </c>
      <c r="AV6" s="76">
        <f>INT((AV4-1)/12)+1</f>
        <v/>
      </c>
      <c r="AW6" s="76">
        <f>INT((AW4-1)/12)+1</f>
        <v/>
      </c>
      <c r="AX6" s="76">
        <f>INT((AX4-1)/12)+1</f>
        <v/>
      </c>
      <c r="AY6" s="76">
        <f>INT((AY4-1)/12)+1</f>
        <v/>
      </c>
      <c r="AZ6" s="76">
        <f>INT((AZ4-1)/12)+1</f>
        <v/>
      </c>
      <c r="BA6" s="76">
        <f>INT((BA4-1)/12)+1</f>
        <v/>
      </c>
      <c r="BB6" s="76">
        <f>INT((BB4-1)/12)+1</f>
        <v/>
      </c>
      <c r="BC6" s="76">
        <f>INT((BC4-1)/12)+1</f>
        <v/>
      </c>
      <c r="BD6" s="76">
        <f>INT((BD4-1)/12)+1</f>
        <v/>
      </c>
      <c r="BE6" s="76">
        <f>INT((BE4-1)/12)+1</f>
        <v/>
      </c>
      <c r="BF6" s="76">
        <f>INT((BF4-1)/12)+1</f>
        <v/>
      </c>
      <c r="BG6" s="76">
        <f>INT((BG4-1)/12)+1</f>
        <v/>
      </c>
      <c r="BH6" s="76">
        <f>INT((BH4-1)/12)+1</f>
        <v/>
      </c>
      <c r="BI6" s="76">
        <f>INT((BI4-1)/12)+1</f>
        <v/>
      </c>
      <c r="BJ6" s="76">
        <f>INT((BJ4-1)/12)+1</f>
        <v/>
      </c>
      <c r="BK6" s="76">
        <f>INT((BK4-1)/12)+1</f>
        <v/>
      </c>
      <c r="BL6" s="76">
        <f>INT((BL4-1)/12)+1</f>
        <v/>
      </c>
    </row>
    <row r="7"/>
    <row r="8">
      <c r="A8" s="55" t="inlineStr">
        <is>
          <t>FX rate</t>
        </is>
      </c>
      <c r="B8" s="26" t="inlineStr">
        <is>
          <t>LCY / USD</t>
        </is>
      </c>
      <c r="D8" s="25">
        <f>Inputs!$C$10</f>
        <v/>
      </c>
      <c r="E8" s="47">
        <f>D8*(1+Scenarios!$G$10)^(1/12)</f>
        <v/>
      </c>
      <c r="F8" s="47">
        <f>E8*(1+Scenarios!$G$10)^(1/12)</f>
        <v/>
      </c>
      <c r="G8" s="47">
        <f>F8*(1+Scenarios!$G$10)^(1/12)</f>
        <v/>
      </c>
      <c r="H8" s="47">
        <f>G8*(1+Scenarios!$G$10)^(1/12)</f>
        <v/>
      </c>
      <c r="I8" s="47">
        <f>H8*(1+Scenarios!$G$10)^(1/12)</f>
        <v/>
      </c>
      <c r="J8" s="47">
        <f>I8*(1+Scenarios!$G$10)^(1/12)</f>
        <v/>
      </c>
      <c r="K8" s="47">
        <f>J8*(1+Scenarios!$G$10)^(1/12)</f>
        <v/>
      </c>
      <c r="L8" s="47">
        <f>K8*(1+Scenarios!$G$10)^(1/12)</f>
        <v/>
      </c>
      <c r="M8" s="47">
        <f>L8*(1+Scenarios!$G$10)^(1/12)</f>
        <v/>
      </c>
      <c r="N8" s="47">
        <f>M8*(1+Scenarios!$G$10)^(1/12)</f>
        <v/>
      </c>
      <c r="O8" s="47">
        <f>N8*(1+Scenarios!$G$10)^(1/12)</f>
        <v/>
      </c>
      <c r="P8" s="47">
        <f>O8*(1+Scenarios!$G$10)^(1/12)</f>
        <v/>
      </c>
      <c r="Q8" s="47">
        <f>P8*(1+Scenarios!$G$10)^(1/12)</f>
        <v/>
      </c>
      <c r="R8" s="47">
        <f>Q8*(1+Scenarios!$G$10)^(1/12)</f>
        <v/>
      </c>
      <c r="S8" s="47">
        <f>R8*(1+Scenarios!$G$10)^(1/12)</f>
        <v/>
      </c>
      <c r="T8" s="47">
        <f>S8*(1+Scenarios!$G$10)^(1/12)</f>
        <v/>
      </c>
      <c r="U8" s="47">
        <f>T8*(1+Scenarios!$G$10)^(1/12)</f>
        <v/>
      </c>
      <c r="V8" s="47">
        <f>U8*(1+Scenarios!$G$10)^(1/12)</f>
        <v/>
      </c>
      <c r="W8" s="47">
        <f>V8*(1+Scenarios!$G$10)^(1/12)</f>
        <v/>
      </c>
      <c r="X8" s="47">
        <f>W8*(1+Scenarios!$G$10)^(1/12)</f>
        <v/>
      </c>
      <c r="Y8" s="47">
        <f>X8*(1+Scenarios!$G$10)^(1/12)</f>
        <v/>
      </c>
      <c r="Z8" s="47">
        <f>Y8*(1+Scenarios!$G$10)^(1/12)</f>
        <v/>
      </c>
      <c r="AA8" s="47">
        <f>Z8*(1+Scenarios!$G$10)^(1/12)</f>
        <v/>
      </c>
      <c r="AB8" s="47">
        <f>AA8*(1+Scenarios!$G$10)^(1/12)</f>
        <v/>
      </c>
      <c r="AC8" s="47">
        <f>AB8*(1+Scenarios!$G$10)^(1/12)</f>
        <v/>
      </c>
      <c r="AD8" s="47">
        <f>AC8*(1+Scenarios!$G$10)^(1/12)</f>
        <v/>
      </c>
      <c r="AE8" s="47">
        <f>AD8*(1+Scenarios!$G$10)^(1/12)</f>
        <v/>
      </c>
      <c r="AF8" s="47">
        <f>AE8*(1+Scenarios!$G$10)^(1/12)</f>
        <v/>
      </c>
      <c r="AG8" s="47">
        <f>AF8*(1+Scenarios!$G$10)^(1/12)</f>
        <v/>
      </c>
      <c r="AH8" s="47">
        <f>AG8*(1+Scenarios!$G$10)^(1/12)</f>
        <v/>
      </c>
      <c r="AI8" s="47">
        <f>AH8*(1+Scenarios!$G$10)^(1/12)</f>
        <v/>
      </c>
      <c r="AJ8" s="47">
        <f>AI8*(1+Scenarios!$G$10)^(1/12)</f>
        <v/>
      </c>
      <c r="AK8" s="47">
        <f>AJ8*(1+Scenarios!$G$10)^(1/12)</f>
        <v/>
      </c>
      <c r="AL8" s="47">
        <f>AK8*(1+Scenarios!$G$10)^(1/12)</f>
        <v/>
      </c>
      <c r="AM8" s="47">
        <f>AL8*(1+Scenarios!$G$10)^(1/12)</f>
        <v/>
      </c>
      <c r="AN8" s="47">
        <f>AM8*(1+Scenarios!$G$10)^(1/12)</f>
        <v/>
      </c>
      <c r="AO8" s="47">
        <f>AN8*(1+Scenarios!$G$10)^(1/12)</f>
        <v/>
      </c>
      <c r="AP8" s="47">
        <f>AO8*(1+Scenarios!$G$10)^(1/12)</f>
        <v/>
      </c>
      <c r="AQ8" s="47">
        <f>AP8*(1+Scenarios!$G$10)^(1/12)</f>
        <v/>
      </c>
      <c r="AR8" s="47">
        <f>AQ8*(1+Scenarios!$G$10)^(1/12)</f>
        <v/>
      </c>
      <c r="AS8" s="47">
        <f>AR8*(1+Scenarios!$G$10)^(1/12)</f>
        <v/>
      </c>
      <c r="AT8" s="47">
        <f>AS8*(1+Scenarios!$G$10)^(1/12)</f>
        <v/>
      </c>
      <c r="AU8" s="47">
        <f>AT8*(1+Scenarios!$G$10)^(1/12)</f>
        <v/>
      </c>
      <c r="AV8" s="47">
        <f>AU8*(1+Scenarios!$G$10)^(1/12)</f>
        <v/>
      </c>
      <c r="AW8" s="47">
        <f>AV8*(1+Scenarios!$G$10)^(1/12)</f>
        <v/>
      </c>
      <c r="AX8" s="47">
        <f>AW8*(1+Scenarios!$G$10)^(1/12)</f>
        <v/>
      </c>
      <c r="AY8" s="47">
        <f>AX8*(1+Scenarios!$G$10)^(1/12)</f>
        <v/>
      </c>
      <c r="AZ8" s="47">
        <f>AY8*(1+Scenarios!$G$10)^(1/12)</f>
        <v/>
      </c>
      <c r="BA8" s="47">
        <f>AZ8*(1+Scenarios!$G$10)^(1/12)</f>
        <v/>
      </c>
      <c r="BB8" s="47">
        <f>BA8*(1+Scenarios!$G$10)^(1/12)</f>
        <v/>
      </c>
      <c r="BC8" s="47">
        <f>BB8*(1+Scenarios!$G$10)^(1/12)</f>
        <v/>
      </c>
      <c r="BD8" s="47">
        <f>BC8*(1+Scenarios!$G$10)^(1/12)</f>
        <v/>
      </c>
      <c r="BE8" s="47">
        <f>BD8*(1+Scenarios!$G$10)^(1/12)</f>
        <v/>
      </c>
      <c r="BF8" s="47">
        <f>BE8*(1+Scenarios!$G$10)^(1/12)</f>
        <v/>
      </c>
      <c r="BG8" s="47">
        <f>BF8*(1+Scenarios!$G$10)^(1/12)</f>
        <v/>
      </c>
      <c r="BH8" s="47">
        <f>BG8*(1+Scenarios!$G$10)^(1/12)</f>
        <v/>
      </c>
      <c r="BI8" s="47">
        <f>BH8*(1+Scenarios!$G$10)^(1/12)</f>
        <v/>
      </c>
      <c r="BJ8" s="47">
        <f>BI8*(1+Scenarios!$G$10)^(1/12)</f>
        <v/>
      </c>
      <c r="BK8" s="47">
        <f>BJ8*(1+Scenarios!$G$10)^(1/12)</f>
        <v/>
      </c>
      <c r="BL8" s="47">
        <f>BK8*(1+Scenarios!$G$10)^(1/12)</f>
        <v/>
      </c>
    </row>
    <row r="9">
      <c r="A9" s="55" t="inlineStr">
        <is>
          <t>Opex inflation index</t>
        </is>
      </c>
      <c r="B9" s="26" t="inlineStr">
        <is>
          <t>index</t>
        </is>
      </c>
      <c r="E9" s="47">
        <f>(1+Inputs!$C$11)^((E$4-1)/12)</f>
        <v/>
      </c>
      <c r="F9" s="47">
        <f>(1+Inputs!$C$11)^((F$4-1)/12)</f>
        <v/>
      </c>
      <c r="G9" s="47">
        <f>(1+Inputs!$C$11)^((G$4-1)/12)</f>
        <v/>
      </c>
      <c r="H9" s="47">
        <f>(1+Inputs!$C$11)^((H$4-1)/12)</f>
        <v/>
      </c>
      <c r="I9" s="47">
        <f>(1+Inputs!$C$11)^((I$4-1)/12)</f>
        <v/>
      </c>
      <c r="J9" s="47">
        <f>(1+Inputs!$C$11)^((J$4-1)/12)</f>
        <v/>
      </c>
      <c r="K9" s="47">
        <f>(1+Inputs!$C$11)^((K$4-1)/12)</f>
        <v/>
      </c>
      <c r="L9" s="47">
        <f>(1+Inputs!$C$11)^((L$4-1)/12)</f>
        <v/>
      </c>
      <c r="M9" s="47">
        <f>(1+Inputs!$C$11)^((M$4-1)/12)</f>
        <v/>
      </c>
      <c r="N9" s="47">
        <f>(1+Inputs!$C$11)^((N$4-1)/12)</f>
        <v/>
      </c>
      <c r="O9" s="47">
        <f>(1+Inputs!$C$11)^((O$4-1)/12)</f>
        <v/>
      </c>
      <c r="P9" s="47">
        <f>(1+Inputs!$C$11)^((P$4-1)/12)</f>
        <v/>
      </c>
      <c r="Q9" s="47">
        <f>(1+Inputs!$C$11)^((Q$4-1)/12)</f>
        <v/>
      </c>
      <c r="R9" s="47">
        <f>(1+Inputs!$C$11)^((R$4-1)/12)</f>
        <v/>
      </c>
      <c r="S9" s="47">
        <f>(1+Inputs!$C$11)^((S$4-1)/12)</f>
        <v/>
      </c>
      <c r="T9" s="47">
        <f>(1+Inputs!$C$11)^((T$4-1)/12)</f>
        <v/>
      </c>
      <c r="U9" s="47">
        <f>(1+Inputs!$C$11)^((U$4-1)/12)</f>
        <v/>
      </c>
      <c r="V9" s="47">
        <f>(1+Inputs!$C$11)^((V$4-1)/12)</f>
        <v/>
      </c>
      <c r="W9" s="47">
        <f>(1+Inputs!$C$11)^((W$4-1)/12)</f>
        <v/>
      </c>
      <c r="X9" s="47">
        <f>(1+Inputs!$C$11)^((X$4-1)/12)</f>
        <v/>
      </c>
      <c r="Y9" s="47">
        <f>(1+Inputs!$C$11)^((Y$4-1)/12)</f>
        <v/>
      </c>
      <c r="Z9" s="47">
        <f>(1+Inputs!$C$11)^((Z$4-1)/12)</f>
        <v/>
      </c>
      <c r="AA9" s="47">
        <f>(1+Inputs!$C$11)^((AA$4-1)/12)</f>
        <v/>
      </c>
      <c r="AB9" s="47">
        <f>(1+Inputs!$C$11)^((AB$4-1)/12)</f>
        <v/>
      </c>
      <c r="AC9" s="47">
        <f>(1+Inputs!$C$11)^((AC$4-1)/12)</f>
        <v/>
      </c>
      <c r="AD9" s="47">
        <f>(1+Inputs!$C$11)^((AD$4-1)/12)</f>
        <v/>
      </c>
      <c r="AE9" s="47">
        <f>(1+Inputs!$C$11)^((AE$4-1)/12)</f>
        <v/>
      </c>
      <c r="AF9" s="47">
        <f>(1+Inputs!$C$11)^((AF$4-1)/12)</f>
        <v/>
      </c>
      <c r="AG9" s="47">
        <f>(1+Inputs!$C$11)^((AG$4-1)/12)</f>
        <v/>
      </c>
      <c r="AH9" s="47">
        <f>(1+Inputs!$C$11)^((AH$4-1)/12)</f>
        <v/>
      </c>
      <c r="AI9" s="47">
        <f>(1+Inputs!$C$11)^((AI$4-1)/12)</f>
        <v/>
      </c>
      <c r="AJ9" s="47">
        <f>(1+Inputs!$C$11)^((AJ$4-1)/12)</f>
        <v/>
      </c>
      <c r="AK9" s="47">
        <f>(1+Inputs!$C$11)^((AK$4-1)/12)</f>
        <v/>
      </c>
      <c r="AL9" s="47">
        <f>(1+Inputs!$C$11)^((AL$4-1)/12)</f>
        <v/>
      </c>
      <c r="AM9" s="47">
        <f>(1+Inputs!$C$11)^((AM$4-1)/12)</f>
        <v/>
      </c>
      <c r="AN9" s="47">
        <f>(1+Inputs!$C$11)^((AN$4-1)/12)</f>
        <v/>
      </c>
      <c r="AO9" s="47">
        <f>(1+Inputs!$C$11)^((AO$4-1)/12)</f>
        <v/>
      </c>
      <c r="AP9" s="47">
        <f>(1+Inputs!$C$11)^((AP$4-1)/12)</f>
        <v/>
      </c>
      <c r="AQ9" s="47">
        <f>(1+Inputs!$C$11)^((AQ$4-1)/12)</f>
        <v/>
      </c>
      <c r="AR9" s="47">
        <f>(1+Inputs!$C$11)^((AR$4-1)/12)</f>
        <v/>
      </c>
      <c r="AS9" s="47">
        <f>(1+Inputs!$C$11)^((AS$4-1)/12)</f>
        <v/>
      </c>
      <c r="AT9" s="47">
        <f>(1+Inputs!$C$11)^((AT$4-1)/12)</f>
        <v/>
      </c>
      <c r="AU9" s="47">
        <f>(1+Inputs!$C$11)^((AU$4-1)/12)</f>
        <v/>
      </c>
      <c r="AV9" s="47">
        <f>(1+Inputs!$C$11)^((AV$4-1)/12)</f>
        <v/>
      </c>
      <c r="AW9" s="47">
        <f>(1+Inputs!$C$11)^((AW$4-1)/12)</f>
        <v/>
      </c>
      <c r="AX9" s="47">
        <f>(1+Inputs!$C$11)^((AX$4-1)/12)</f>
        <v/>
      </c>
      <c r="AY9" s="47">
        <f>(1+Inputs!$C$11)^((AY$4-1)/12)</f>
        <v/>
      </c>
      <c r="AZ9" s="47">
        <f>(1+Inputs!$C$11)^((AZ$4-1)/12)</f>
        <v/>
      </c>
      <c r="BA9" s="47">
        <f>(1+Inputs!$C$11)^((BA$4-1)/12)</f>
        <v/>
      </c>
      <c r="BB9" s="47">
        <f>(1+Inputs!$C$11)^((BB$4-1)/12)</f>
        <v/>
      </c>
      <c r="BC9" s="47">
        <f>(1+Inputs!$C$11)^((BC$4-1)/12)</f>
        <v/>
      </c>
      <c r="BD9" s="47">
        <f>(1+Inputs!$C$11)^((BD$4-1)/12)</f>
        <v/>
      </c>
      <c r="BE9" s="47">
        <f>(1+Inputs!$C$11)^((BE$4-1)/12)</f>
        <v/>
      </c>
      <c r="BF9" s="47">
        <f>(1+Inputs!$C$11)^((BF$4-1)/12)</f>
        <v/>
      </c>
      <c r="BG9" s="47">
        <f>(1+Inputs!$C$11)^((BG$4-1)/12)</f>
        <v/>
      </c>
      <c r="BH9" s="47">
        <f>(1+Inputs!$C$11)^((BH$4-1)/12)</f>
        <v/>
      </c>
      <c r="BI9" s="47">
        <f>(1+Inputs!$C$11)^((BI$4-1)/12)</f>
        <v/>
      </c>
      <c r="BJ9" s="47">
        <f>(1+Inputs!$C$11)^((BJ$4-1)/12)</f>
        <v/>
      </c>
      <c r="BK9" s="47">
        <f>(1+Inputs!$C$11)^((BK$4-1)/12)</f>
        <v/>
      </c>
      <c r="BL9" s="47">
        <f>(1+Inputs!$C$11)^((BL$4-1)/12)</f>
        <v/>
      </c>
    </row>
    <row r="10">
      <c r="A10" s="55" t="inlineStr">
        <is>
          <t>Price index on new contracts</t>
        </is>
      </c>
      <c r="B10" s="26" t="inlineStr">
        <is>
          <t>index</t>
        </is>
      </c>
      <c r="E10" s="47">
        <f>(1+Inputs!$C$13)^((E$4-1)/12)*(E$8/Inputs!$C$10)^Inputs!$C$14</f>
        <v/>
      </c>
      <c r="F10" s="47">
        <f>(1+Inputs!$C$13)^((F$4-1)/12)*(F$8/Inputs!$C$10)^Inputs!$C$14</f>
        <v/>
      </c>
      <c r="G10" s="47">
        <f>(1+Inputs!$C$13)^((G$4-1)/12)*(G$8/Inputs!$C$10)^Inputs!$C$14</f>
        <v/>
      </c>
      <c r="H10" s="47">
        <f>(1+Inputs!$C$13)^((H$4-1)/12)*(H$8/Inputs!$C$10)^Inputs!$C$14</f>
        <v/>
      </c>
      <c r="I10" s="47">
        <f>(1+Inputs!$C$13)^((I$4-1)/12)*(I$8/Inputs!$C$10)^Inputs!$C$14</f>
        <v/>
      </c>
      <c r="J10" s="47">
        <f>(1+Inputs!$C$13)^((J$4-1)/12)*(J$8/Inputs!$C$10)^Inputs!$C$14</f>
        <v/>
      </c>
      <c r="K10" s="47">
        <f>(1+Inputs!$C$13)^((K$4-1)/12)*(K$8/Inputs!$C$10)^Inputs!$C$14</f>
        <v/>
      </c>
      <c r="L10" s="47">
        <f>(1+Inputs!$C$13)^((L$4-1)/12)*(L$8/Inputs!$C$10)^Inputs!$C$14</f>
        <v/>
      </c>
      <c r="M10" s="47">
        <f>(1+Inputs!$C$13)^((M$4-1)/12)*(M$8/Inputs!$C$10)^Inputs!$C$14</f>
        <v/>
      </c>
      <c r="N10" s="47">
        <f>(1+Inputs!$C$13)^((N$4-1)/12)*(N$8/Inputs!$C$10)^Inputs!$C$14</f>
        <v/>
      </c>
      <c r="O10" s="47">
        <f>(1+Inputs!$C$13)^((O$4-1)/12)*(O$8/Inputs!$C$10)^Inputs!$C$14</f>
        <v/>
      </c>
      <c r="P10" s="47">
        <f>(1+Inputs!$C$13)^((P$4-1)/12)*(P$8/Inputs!$C$10)^Inputs!$C$14</f>
        <v/>
      </c>
      <c r="Q10" s="47">
        <f>(1+Inputs!$C$13)^((Q$4-1)/12)*(Q$8/Inputs!$C$10)^Inputs!$C$14</f>
        <v/>
      </c>
      <c r="R10" s="47">
        <f>(1+Inputs!$C$13)^((R$4-1)/12)*(R$8/Inputs!$C$10)^Inputs!$C$14</f>
        <v/>
      </c>
      <c r="S10" s="47">
        <f>(1+Inputs!$C$13)^((S$4-1)/12)*(S$8/Inputs!$C$10)^Inputs!$C$14</f>
        <v/>
      </c>
      <c r="T10" s="47">
        <f>(1+Inputs!$C$13)^((T$4-1)/12)*(T$8/Inputs!$C$10)^Inputs!$C$14</f>
        <v/>
      </c>
      <c r="U10" s="47">
        <f>(1+Inputs!$C$13)^((U$4-1)/12)*(U$8/Inputs!$C$10)^Inputs!$C$14</f>
        <v/>
      </c>
      <c r="V10" s="47">
        <f>(1+Inputs!$C$13)^((V$4-1)/12)*(V$8/Inputs!$C$10)^Inputs!$C$14</f>
        <v/>
      </c>
      <c r="W10" s="47">
        <f>(1+Inputs!$C$13)^((W$4-1)/12)*(W$8/Inputs!$C$10)^Inputs!$C$14</f>
        <v/>
      </c>
      <c r="X10" s="47">
        <f>(1+Inputs!$C$13)^((X$4-1)/12)*(X$8/Inputs!$C$10)^Inputs!$C$14</f>
        <v/>
      </c>
      <c r="Y10" s="47">
        <f>(1+Inputs!$C$13)^((Y$4-1)/12)*(Y$8/Inputs!$C$10)^Inputs!$C$14</f>
        <v/>
      </c>
      <c r="Z10" s="47">
        <f>(1+Inputs!$C$13)^((Z$4-1)/12)*(Z$8/Inputs!$C$10)^Inputs!$C$14</f>
        <v/>
      </c>
      <c r="AA10" s="47">
        <f>(1+Inputs!$C$13)^((AA$4-1)/12)*(AA$8/Inputs!$C$10)^Inputs!$C$14</f>
        <v/>
      </c>
      <c r="AB10" s="47">
        <f>(1+Inputs!$C$13)^((AB$4-1)/12)*(AB$8/Inputs!$C$10)^Inputs!$C$14</f>
        <v/>
      </c>
      <c r="AC10" s="47">
        <f>(1+Inputs!$C$13)^((AC$4-1)/12)*(AC$8/Inputs!$C$10)^Inputs!$C$14</f>
        <v/>
      </c>
      <c r="AD10" s="47">
        <f>(1+Inputs!$C$13)^((AD$4-1)/12)*(AD$8/Inputs!$C$10)^Inputs!$C$14</f>
        <v/>
      </c>
      <c r="AE10" s="47">
        <f>(1+Inputs!$C$13)^((AE$4-1)/12)*(AE$8/Inputs!$C$10)^Inputs!$C$14</f>
        <v/>
      </c>
      <c r="AF10" s="47">
        <f>(1+Inputs!$C$13)^((AF$4-1)/12)*(AF$8/Inputs!$C$10)^Inputs!$C$14</f>
        <v/>
      </c>
      <c r="AG10" s="47">
        <f>(1+Inputs!$C$13)^((AG$4-1)/12)*(AG$8/Inputs!$C$10)^Inputs!$C$14</f>
        <v/>
      </c>
      <c r="AH10" s="47">
        <f>(1+Inputs!$C$13)^((AH$4-1)/12)*(AH$8/Inputs!$C$10)^Inputs!$C$14</f>
        <v/>
      </c>
      <c r="AI10" s="47">
        <f>(1+Inputs!$C$13)^((AI$4-1)/12)*(AI$8/Inputs!$C$10)^Inputs!$C$14</f>
        <v/>
      </c>
      <c r="AJ10" s="47">
        <f>(1+Inputs!$C$13)^((AJ$4-1)/12)*(AJ$8/Inputs!$C$10)^Inputs!$C$14</f>
        <v/>
      </c>
      <c r="AK10" s="47">
        <f>(1+Inputs!$C$13)^((AK$4-1)/12)*(AK$8/Inputs!$C$10)^Inputs!$C$14</f>
        <v/>
      </c>
      <c r="AL10" s="47">
        <f>(1+Inputs!$C$13)^((AL$4-1)/12)*(AL$8/Inputs!$C$10)^Inputs!$C$14</f>
        <v/>
      </c>
      <c r="AM10" s="47">
        <f>(1+Inputs!$C$13)^((AM$4-1)/12)*(AM$8/Inputs!$C$10)^Inputs!$C$14</f>
        <v/>
      </c>
      <c r="AN10" s="47">
        <f>(1+Inputs!$C$13)^((AN$4-1)/12)*(AN$8/Inputs!$C$10)^Inputs!$C$14</f>
        <v/>
      </c>
      <c r="AO10" s="47">
        <f>(1+Inputs!$C$13)^((AO$4-1)/12)*(AO$8/Inputs!$C$10)^Inputs!$C$14</f>
        <v/>
      </c>
      <c r="AP10" s="47">
        <f>(1+Inputs!$C$13)^((AP$4-1)/12)*(AP$8/Inputs!$C$10)^Inputs!$C$14</f>
        <v/>
      </c>
      <c r="AQ10" s="47">
        <f>(1+Inputs!$C$13)^((AQ$4-1)/12)*(AQ$8/Inputs!$C$10)^Inputs!$C$14</f>
        <v/>
      </c>
      <c r="AR10" s="47">
        <f>(1+Inputs!$C$13)^((AR$4-1)/12)*(AR$8/Inputs!$C$10)^Inputs!$C$14</f>
        <v/>
      </c>
      <c r="AS10" s="47">
        <f>(1+Inputs!$C$13)^((AS$4-1)/12)*(AS$8/Inputs!$C$10)^Inputs!$C$14</f>
        <v/>
      </c>
      <c r="AT10" s="47">
        <f>(1+Inputs!$C$13)^((AT$4-1)/12)*(AT$8/Inputs!$C$10)^Inputs!$C$14</f>
        <v/>
      </c>
      <c r="AU10" s="47">
        <f>(1+Inputs!$C$13)^((AU$4-1)/12)*(AU$8/Inputs!$C$10)^Inputs!$C$14</f>
        <v/>
      </c>
      <c r="AV10" s="47">
        <f>(1+Inputs!$C$13)^((AV$4-1)/12)*(AV$8/Inputs!$C$10)^Inputs!$C$14</f>
        <v/>
      </c>
      <c r="AW10" s="47">
        <f>(1+Inputs!$C$13)^((AW$4-1)/12)*(AW$8/Inputs!$C$10)^Inputs!$C$14</f>
        <v/>
      </c>
      <c r="AX10" s="47">
        <f>(1+Inputs!$C$13)^((AX$4-1)/12)*(AX$8/Inputs!$C$10)^Inputs!$C$14</f>
        <v/>
      </c>
      <c r="AY10" s="47">
        <f>(1+Inputs!$C$13)^((AY$4-1)/12)*(AY$8/Inputs!$C$10)^Inputs!$C$14</f>
        <v/>
      </c>
      <c r="AZ10" s="47">
        <f>(1+Inputs!$C$13)^((AZ$4-1)/12)*(AZ$8/Inputs!$C$10)^Inputs!$C$14</f>
        <v/>
      </c>
      <c r="BA10" s="47">
        <f>(1+Inputs!$C$13)^((BA$4-1)/12)*(BA$8/Inputs!$C$10)^Inputs!$C$14</f>
        <v/>
      </c>
      <c r="BB10" s="47">
        <f>(1+Inputs!$C$13)^((BB$4-1)/12)*(BB$8/Inputs!$C$10)^Inputs!$C$14</f>
        <v/>
      </c>
      <c r="BC10" s="47">
        <f>(1+Inputs!$C$13)^((BC$4-1)/12)*(BC$8/Inputs!$C$10)^Inputs!$C$14</f>
        <v/>
      </c>
      <c r="BD10" s="47">
        <f>(1+Inputs!$C$13)^((BD$4-1)/12)*(BD$8/Inputs!$C$10)^Inputs!$C$14</f>
        <v/>
      </c>
      <c r="BE10" s="47">
        <f>(1+Inputs!$C$13)^((BE$4-1)/12)*(BE$8/Inputs!$C$10)^Inputs!$C$14</f>
        <v/>
      </c>
      <c r="BF10" s="47">
        <f>(1+Inputs!$C$13)^((BF$4-1)/12)*(BF$8/Inputs!$C$10)^Inputs!$C$14</f>
        <v/>
      </c>
      <c r="BG10" s="47">
        <f>(1+Inputs!$C$13)^((BG$4-1)/12)*(BG$8/Inputs!$C$10)^Inputs!$C$14</f>
        <v/>
      </c>
      <c r="BH10" s="47">
        <f>(1+Inputs!$C$13)^((BH$4-1)/12)*(BH$8/Inputs!$C$10)^Inputs!$C$14</f>
        <v/>
      </c>
      <c r="BI10" s="47">
        <f>(1+Inputs!$C$13)^((BI$4-1)/12)*(BI$8/Inputs!$C$10)^Inputs!$C$14</f>
        <v/>
      </c>
      <c r="BJ10" s="47">
        <f>(1+Inputs!$C$13)^((BJ$4-1)/12)*(BJ$8/Inputs!$C$10)^Inputs!$C$14</f>
        <v/>
      </c>
      <c r="BK10" s="47">
        <f>(1+Inputs!$C$13)^((BK$4-1)/12)*(BK$8/Inputs!$C$10)^Inputs!$C$14</f>
        <v/>
      </c>
      <c r="BL10" s="47">
        <f>(1+Inputs!$C$13)^((BL$4-1)/12)*(BL$8/Inputs!$C$10)^Inputs!$C$14</f>
        <v/>
      </c>
    </row>
    <row r="11">
      <c r="A11" s="55" t="inlineStr">
        <is>
          <t>Total units sold (scenario)</t>
        </is>
      </c>
      <c r="B11" s="26" t="inlineStr">
        <is>
          <t>units</t>
        </is>
      </c>
      <c r="C11" s="58">
        <f>SUM(E11:BL11)</f>
        <v/>
      </c>
      <c r="E11" s="39">
        <f>CHOOSE(E$6,Inputs!$C$17,Inputs!$C$18,Inputs!$C$19,Inputs!$C$20,Inputs!$C$21)/12*Scenarios!$G$8</f>
        <v/>
      </c>
      <c r="F11" s="39">
        <f>CHOOSE(F$6,Inputs!$C$17,Inputs!$C$18,Inputs!$C$19,Inputs!$C$20,Inputs!$C$21)/12*Scenarios!$G$8</f>
        <v/>
      </c>
      <c r="G11" s="39">
        <f>CHOOSE(G$6,Inputs!$C$17,Inputs!$C$18,Inputs!$C$19,Inputs!$C$20,Inputs!$C$21)/12*Scenarios!$G$8</f>
        <v/>
      </c>
      <c r="H11" s="39">
        <f>CHOOSE(H$6,Inputs!$C$17,Inputs!$C$18,Inputs!$C$19,Inputs!$C$20,Inputs!$C$21)/12*Scenarios!$G$8</f>
        <v/>
      </c>
      <c r="I11" s="39">
        <f>CHOOSE(I$6,Inputs!$C$17,Inputs!$C$18,Inputs!$C$19,Inputs!$C$20,Inputs!$C$21)/12*Scenarios!$G$8</f>
        <v/>
      </c>
      <c r="J11" s="39">
        <f>CHOOSE(J$6,Inputs!$C$17,Inputs!$C$18,Inputs!$C$19,Inputs!$C$20,Inputs!$C$21)/12*Scenarios!$G$8</f>
        <v/>
      </c>
      <c r="K11" s="39">
        <f>CHOOSE(K$6,Inputs!$C$17,Inputs!$C$18,Inputs!$C$19,Inputs!$C$20,Inputs!$C$21)/12*Scenarios!$G$8</f>
        <v/>
      </c>
      <c r="L11" s="39">
        <f>CHOOSE(L$6,Inputs!$C$17,Inputs!$C$18,Inputs!$C$19,Inputs!$C$20,Inputs!$C$21)/12*Scenarios!$G$8</f>
        <v/>
      </c>
      <c r="M11" s="39">
        <f>CHOOSE(M$6,Inputs!$C$17,Inputs!$C$18,Inputs!$C$19,Inputs!$C$20,Inputs!$C$21)/12*Scenarios!$G$8</f>
        <v/>
      </c>
      <c r="N11" s="39">
        <f>CHOOSE(N$6,Inputs!$C$17,Inputs!$C$18,Inputs!$C$19,Inputs!$C$20,Inputs!$C$21)/12*Scenarios!$G$8</f>
        <v/>
      </c>
      <c r="O11" s="39">
        <f>CHOOSE(O$6,Inputs!$C$17,Inputs!$C$18,Inputs!$C$19,Inputs!$C$20,Inputs!$C$21)/12*Scenarios!$G$8</f>
        <v/>
      </c>
      <c r="P11" s="39">
        <f>CHOOSE(P$6,Inputs!$C$17,Inputs!$C$18,Inputs!$C$19,Inputs!$C$20,Inputs!$C$21)/12*Scenarios!$G$8</f>
        <v/>
      </c>
      <c r="Q11" s="39">
        <f>CHOOSE(Q$6,Inputs!$C$17,Inputs!$C$18,Inputs!$C$19,Inputs!$C$20,Inputs!$C$21)/12*Scenarios!$G$8</f>
        <v/>
      </c>
      <c r="R11" s="39">
        <f>CHOOSE(R$6,Inputs!$C$17,Inputs!$C$18,Inputs!$C$19,Inputs!$C$20,Inputs!$C$21)/12*Scenarios!$G$8</f>
        <v/>
      </c>
      <c r="S11" s="39">
        <f>CHOOSE(S$6,Inputs!$C$17,Inputs!$C$18,Inputs!$C$19,Inputs!$C$20,Inputs!$C$21)/12*Scenarios!$G$8</f>
        <v/>
      </c>
      <c r="T11" s="39">
        <f>CHOOSE(T$6,Inputs!$C$17,Inputs!$C$18,Inputs!$C$19,Inputs!$C$20,Inputs!$C$21)/12*Scenarios!$G$8</f>
        <v/>
      </c>
      <c r="U11" s="39">
        <f>CHOOSE(U$6,Inputs!$C$17,Inputs!$C$18,Inputs!$C$19,Inputs!$C$20,Inputs!$C$21)/12*Scenarios!$G$8</f>
        <v/>
      </c>
      <c r="V11" s="39">
        <f>CHOOSE(V$6,Inputs!$C$17,Inputs!$C$18,Inputs!$C$19,Inputs!$C$20,Inputs!$C$21)/12*Scenarios!$G$8</f>
        <v/>
      </c>
      <c r="W11" s="39">
        <f>CHOOSE(W$6,Inputs!$C$17,Inputs!$C$18,Inputs!$C$19,Inputs!$C$20,Inputs!$C$21)/12*Scenarios!$G$8</f>
        <v/>
      </c>
      <c r="X11" s="39">
        <f>CHOOSE(X$6,Inputs!$C$17,Inputs!$C$18,Inputs!$C$19,Inputs!$C$20,Inputs!$C$21)/12*Scenarios!$G$8</f>
        <v/>
      </c>
      <c r="Y11" s="39">
        <f>CHOOSE(Y$6,Inputs!$C$17,Inputs!$C$18,Inputs!$C$19,Inputs!$C$20,Inputs!$C$21)/12*Scenarios!$G$8</f>
        <v/>
      </c>
      <c r="Z11" s="39">
        <f>CHOOSE(Z$6,Inputs!$C$17,Inputs!$C$18,Inputs!$C$19,Inputs!$C$20,Inputs!$C$21)/12*Scenarios!$G$8</f>
        <v/>
      </c>
      <c r="AA11" s="39">
        <f>CHOOSE(AA$6,Inputs!$C$17,Inputs!$C$18,Inputs!$C$19,Inputs!$C$20,Inputs!$C$21)/12*Scenarios!$G$8</f>
        <v/>
      </c>
      <c r="AB11" s="39">
        <f>CHOOSE(AB$6,Inputs!$C$17,Inputs!$C$18,Inputs!$C$19,Inputs!$C$20,Inputs!$C$21)/12*Scenarios!$G$8</f>
        <v/>
      </c>
      <c r="AC11" s="39">
        <f>CHOOSE(AC$6,Inputs!$C$17,Inputs!$C$18,Inputs!$C$19,Inputs!$C$20,Inputs!$C$21)/12*Scenarios!$G$8</f>
        <v/>
      </c>
      <c r="AD11" s="39">
        <f>CHOOSE(AD$6,Inputs!$C$17,Inputs!$C$18,Inputs!$C$19,Inputs!$C$20,Inputs!$C$21)/12*Scenarios!$G$8</f>
        <v/>
      </c>
      <c r="AE11" s="39">
        <f>CHOOSE(AE$6,Inputs!$C$17,Inputs!$C$18,Inputs!$C$19,Inputs!$C$20,Inputs!$C$21)/12*Scenarios!$G$8</f>
        <v/>
      </c>
      <c r="AF11" s="39">
        <f>CHOOSE(AF$6,Inputs!$C$17,Inputs!$C$18,Inputs!$C$19,Inputs!$C$20,Inputs!$C$21)/12*Scenarios!$G$8</f>
        <v/>
      </c>
      <c r="AG11" s="39">
        <f>CHOOSE(AG$6,Inputs!$C$17,Inputs!$C$18,Inputs!$C$19,Inputs!$C$20,Inputs!$C$21)/12*Scenarios!$G$8</f>
        <v/>
      </c>
      <c r="AH11" s="39">
        <f>CHOOSE(AH$6,Inputs!$C$17,Inputs!$C$18,Inputs!$C$19,Inputs!$C$20,Inputs!$C$21)/12*Scenarios!$G$8</f>
        <v/>
      </c>
      <c r="AI11" s="39">
        <f>CHOOSE(AI$6,Inputs!$C$17,Inputs!$C$18,Inputs!$C$19,Inputs!$C$20,Inputs!$C$21)/12*Scenarios!$G$8</f>
        <v/>
      </c>
      <c r="AJ11" s="39">
        <f>CHOOSE(AJ$6,Inputs!$C$17,Inputs!$C$18,Inputs!$C$19,Inputs!$C$20,Inputs!$C$21)/12*Scenarios!$G$8</f>
        <v/>
      </c>
      <c r="AK11" s="39">
        <f>CHOOSE(AK$6,Inputs!$C$17,Inputs!$C$18,Inputs!$C$19,Inputs!$C$20,Inputs!$C$21)/12*Scenarios!$G$8</f>
        <v/>
      </c>
      <c r="AL11" s="39">
        <f>CHOOSE(AL$6,Inputs!$C$17,Inputs!$C$18,Inputs!$C$19,Inputs!$C$20,Inputs!$C$21)/12*Scenarios!$G$8</f>
        <v/>
      </c>
      <c r="AM11" s="39">
        <f>CHOOSE(AM$6,Inputs!$C$17,Inputs!$C$18,Inputs!$C$19,Inputs!$C$20,Inputs!$C$21)/12*Scenarios!$G$8</f>
        <v/>
      </c>
      <c r="AN11" s="39">
        <f>CHOOSE(AN$6,Inputs!$C$17,Inputs!$C$18,Inputs!$C$19,Inputs!$C$20,Inputs!$C$21)/12*Scenarios!$G$8</f>
        <v/>
      </c>
      <c r="AO11" s="39">
        <f>CHOOSE(AO$6,Inputs!$C$17,Inputs!$C$18,Inputs!$C$19,Inputs!$C$20,Inputs!$C$21)/12*Scenarios!$G$8</f>
        <v/>
      </c>
      <c r="AP11" s="39">
        <f>CHOOSE(AP$6,Inputs!$C$17,Inputs!$C$18,Inputs!$C$19,Inputs!$C$20,Inputs!$C$21)/12*Scenarios!$G$8</f>
        <v/>
      </c>
      <c r="AQ11" s="39">
        <f>CHOOSE(AQ$6,Inputs!$C$17,Inputs!$C$18,Inputs!$C$19,Inputs!$C$20,Inputs!$C$21)/12*Scenarios!$G$8</f>
        <v/>
      </c>
      <c r="AR11" s="39">
        <f>CHOOSE(AR$6,Inputs!$C$17,Inputs!$C$18,Inputs!$C$19,Inputs!$C$20,Inputs!$C$21)/12*Scenarios!$G$8</f>
        <v/>
      </c>
      <c r="AS11" s="39">
        <f>CHOOSE(AS$6,Inputs!$C$17,Inputs!$C$18,Inputs!$C$19,Inputs!$C$20,Inputs!$C$21)/12*Scenarios!$G$8</f>
        <v/>
      </c>
      <c r="AT11" s="39">
        <f>CHOOSE(AT$6,Inputs!$C$17,Inputs!$C$18,Inputs!$C$19,Inputs!$C$20,Inputs!$C$21)/12*Scenarios!$G$8</f>
        <v/>
      </c>
      <c r="AU11" s="39">
        <f>CHOOSE(AU$6,Inputs!$C$17,Inputs!$C$18,Inputs!$C$19,Inputs!$C$20,Inputs!$C$21)/12*Scenarios!$G$8</f>
        <v/>
      </c>
      <c r="AV11" s="39">
        <f>CHOOSE(AV$6,Inputs!$C$17,Inputs!$C$18,Inputs!$C$19,Inputs!$C$20,Inputs!$C$21)/12*Scenarios!$G$8</f>
        <v/>
      </c>
      <c r="AW11" s="39">
        <f>CHOOSE(AW$6,Inputs!$C$17,Inputs!$C$18,Inputs!$C$19,Inputs!$C$20,Inputs!$C$21)/12*Scenarios!$G$8</f>
        <v/>
      </c>
      <c r="AX11" s="39">
        <f>CHOOSE(AX$6,Inputs!$C$17,Inputs!$C$18,Inputs!$C$19,Inputs!$C$20,Inputs!$C$21)/12*Scenarios!$G$8</f>
        <v/>
      </c>
      <c r="AY11" s="39">
        <f>CHOOSE(AY$6,Inputs!$C$17,Inputs!$C$18,Inputs!$C$19,Inputs!$C$20,Inputs!$C$21)/12*Scenarios!$G$8</f>
        <v/>
      </c>
      <c r="AZ11" s="39">
        <f>CHOOSE(AZ$6,Inputs!$C$17,Inputs!$C$18,Inputs!$C$19,Inputs!$C$20,Inputs!$C$21)/12*Scenarios!$G$8</f>
        <v/>
      </c>
      <c r="BA11" s="39">
        <f>CHOOSE(BA$6,Inputs!$C$17,Inputs!$C$18,Inputs!$C$19,Inputs!$C$20,Inputs!$C$21)/12*Scenarios!$G$8</f>
        <v/>
      </c>
      <c r="BB11" s="39">
        <f>CHOOSE(BB$6,Inputs!$C$17,Inputs!$C$18,Inputs!$C$19,Inputs!$C$20,Inputs!$C$21)/12*Scenarios!$G$8</f>
        <v/>
      </c>
      <c r="BC11" s="39">
        <f>CHOOSE(BC$6,Inputs!$C$17,Inputs!$C$18,Inputs!$C$19,Inputs!$C$20,Inputs!$C$21)/12*Scenarios!$G$8</f>
        <v/>
      </c>
      <c r="BD11" s="39">
        <f>CHOOSE(BD$6,Inputs!$C$17,Inputs!$C$18,Inputs!$C$19,Inputs!$C$20,Inputs!$C$21)/12*Scenarios!$G$8</f>
        <v/>
      </c>
      <c r="BE11" s="39">
        <f>CHOOSE(BE$6,Inputs!$C$17,Inputs!$C$18,Inputs!$C$19,Inputs!$C$20,Inputs!$C$21)/12*Scenarios!$G$8</f>
        <v/>
      </c>
      <c r="BF11" s="39">
        <f>CHOOSE(BF$6,Inputs!$C$17,Inputs!$C$18,Inputs!$C$19,Inputs!$C$20,Inputs!$C$21)/12*Scenarios!$G$8</f>
        <v/>
      </c>
      <c r="BG11" s="39">
        <f>CHOOSE(BG$6,Inputs!$C$17,Inputs!$C$18,Inputs!$C$19,Inputs!$C$20,Inputs!$C$21)/12*Scenarios!$G$8</f>
        <v/>
      </c>
      <c r="BH11" s="39">
        <f>CHOOSE(BH$6,Inputs!$C$17,Inputs!$C$18,Inputs!$C$19,Inputs!$C$20,Inputs!$C$21)/12*Scenarios!$G$8</f>
        <v/>
      </c>
      <c r="BI11" s="39">
        <f>CHOOSE(BI$6,Inputs!$C$17,Inputs!$C$18,Inputs!$C$19,Inputs!$C$20,Inputs!$C$21)/12*Scenarios!$G$8</f>
        <v/>
      </c>
      <c r="BJ11" s="39">
        <f>CHOOSE(BJ$6,Inputs!$C$17,Inputs!$C$18,Inputs!$C$19,Inputs!$C$20,Inputs!$C$21)/12*Scenarios!$G$8</f>
        <v/>
      </c>
      <c r="BK11" s="39">
        <f>CHOOSE(BK$6,Inputs!$C$17,Inputs!$C$18,Inputs!$C$19,Inputs!$C$20,Inputs!$C$21)/12*Scenarios!$G$8</f>
        <v/>
      </c>
      <c r="BL11" s="39">
        <f>CHOOSE(BL$6,Inputs!$C$17,Inputs!$C$18,Inputs!$C$19,Inputs!$C$20,Inputs!$C$21)/12*Scenarios!$G$8</f>
        <v/>
      </c>
    </row>
  </sheetData>
  <pageMargins left="0.75" right="0.75" top="1" bottom="1" header="0.5" footer="0.5"/>
  <pageSetup orientation="landscape" fitToHeight="0" fitToWidth="1"/>
</worksheet>
</file>

<file path=xl/worksheets/sheet24.xml><?xml version="1.0" encoding="utf-8"?>
<worksheet xmlns="http://schemas.openxmlformats.org/spreadsheetml/2006/main">
  <sheetPr>
    <outlinePr summaryBelow="1" summaryRight="1"/>
    <pageSetUpPr fitToPage="1"/>
  </sheetPr>
  <dimension ref="A1:B25"/>
  <sheetViews>
    <sheetView showGridLines="0" workbookViewId="0">
      <selection activeCell="A1" sqref="A1"/>
    </sheetView>
  </sheetViews>
  <sheetFormatPr baseColWidth="8" defaultRowHeight="15"/>
  <cols>
    <col width="34" customWidth="1" min="1" max="1"/>
    <col width="120" customWidth="1" min="2" max="2"/>
    <col width="16" customWidth="1" min="3" max="3"/>
  </cols>
  <sheetData>
    <row r="1">
      <c r="A1" s="1" t="inlineStr">
        <is>
          <t>Glossary - PAYGo &amp; SHS terms used in this model</t>
        </is>
      </c>
    </row>
    <row r="2">
      <c r="A2" s="2" t="inlineStr">
        <is>
          <t>Definitions as implemented in the model.</t>
        </is>
      </c>
    </row>
    <row r="3"/>
    <row r="4">
      <c r="A4" s="16" t="inlineStr">
        <is>
          <t>Term</t>
        </is>
      </c>
      <c r="B4" s="16" t="inlineStr">
        <is>
          <t>Definition</t>
        </is>
      </c>
    </row>
    <row r="5" ht="28" customHeight="1">
      <c r="A5" s="3" t="inlineStr">
        <is>
          <t>PAYGo (pay-as-you-go)</t>
        </is>
      </c>
      <c r="B5" s="78" t="inlineStr">
        <is>
          <t>Asset financing in which the customer pays a down payment, then small frequent instalments priced as a daily rate, usually by mobile money. The device can be locked remotely if payments stop.</t>
        </is>
      </c>
    </row>
    <row r="6" ht="28" customHeight="1">
      <c r="A6" s="3" t="inlineStr">
        <is>
          <t>Down payment (deposit)</t>
        </is>
      </c>
      <c r="B6" s="78" t="inlineStr">
        <is>
          <t>Upfront payment at the time of sale. Excluded from the collection rate.</t>
        </is>
      </c>
    </row>
    <row r="7" ht="28" customHeight="1">
      <c r="A7" s="3" t="inlineStr">
        <is>
          <t>Daily rate / instalment</t>
        </is>
      </c>
      <c r="B7" s="78" t="inlineStr">
        <is>
          <t>Price per day of use. Monthly instalment = daily rate x 365 / 12.</t>
        </is>
      </c>
    </row>
    <row r="8" ht="28" customHeight="1">
      <c r="A8" s="3" t="inlineStr">
        <is>
          <t>Tenor</t>
        </is>
      </c>
      <c r="B8" s="78" t="inlineStr">
        <is>
          <t>Number of months over which the PAYGo contract is repaid.</t>
        </is>
      </c>
    </row>
    <row r="9" ht="28" customHeight="1">
      <c r="A9" s="3" t="inlineStr">
        <is>
          <t>Unlock (customer ownership)</t>
        </is>
      </c>
      <c r="B9" s="78" t="inlineStr">
        <is>
          <t>The customer reaches the end of the payment plan and the device is permanently unlocked. The model counts accounts still paying at the end of tenor.</t>
        </is>
      </c>
    </row>
    <row r="10" ht="28" customHeight="1">
      <c r="A10" s="3" t="inlineStr">
        <is>
          <t>Cohort (vintage)</t>
        </is>
      </c>
      <c r="B10" s="78" t="inlineStr">
        <is>
          <t>All units sold in the same month. Cohort analysis follows each vintage's repayment over time.</t>
        </is>
      </c>
    </row>
    <row r="11" ht="28" customHeight="1">
      <c r="A11" s="3" t="inlineStr">
        <is>
          <t>Survival curve</t>
        </is>
      </c>
      <c r="B11" s="78" t="inlineStr">
        <is>
          <t>Share of a cohort's accounts that are still paying at each age; driven by the monthly default hazard.</t>
        </is>
      </c>
    </row>
    <row r="12" ht="28" customHeight="1">
      <c r="A12" s="3" t="inlineStr">
        <is>
          <t>Collection rate</t>
        </is>
      </c>
      <c r="B12" s="78" t="inlineStr">
        <is>
          <t>Instalments collected / instalments due in the period, excluding down payments (PAYGo PERFORM-style).</t>
        </is>
      </c>
    </row>
    <row r="13" ht="28" customHeight="1">
      <c r="A13" s="3" t="inlineStr">
        <is>
          <t>Write-off rate</t>
        </is>
      </c>
      <c r="B13" s="78" t="inlineStr">
        <is>
          <t>Missed instalments written off / instalments due. The model writes off missed instalments as they fall due.</t>
        </is>
      </c>
    </row>
    <row r="14" ht="28" customHeight="1">
      <c r="A14" s="3" t="inlineStr">
        <is>
          <t>Receivables at risk (RaR)</t>
        </is>
      </c>
      <c r="B14" s="78" t="inlineStr">
        <is>
          <t>Carrying amount of receivables of accounts that have stopped paying. Approximates PAYGo PERFORM RaR.</t>
        </is>
      </c>
    </row>
    <row r="15" ht="28" customHeight="1">
      <c r="A15" s="3" t="inlineStr">
        <is>
          <t>Expected credit loss (ECL)</t>
        </is>
      </c>
      <c r="B15" s="78" t="inlineStr">
        <is>
          <t>Lifetime expected loss recognised at origination from the scenario repayment curve (simplified IFRS 9 - no staging).</t>
        </is>
      </c>
    </row>
    <row r="16" ht="28" customHeight="1">
      <c r="A16" s="3" t="inlineStr">
        <is>
          <t>Recoveries</t>
        </is>
      </c>
      <c r="B16" s="78" t="inlineStr">
        <is>
          <t>Net resale value of repossessed units, recognised as a reduction of credit losses.</t>
        </is>
      </c>
    </row>
    <row r="17" ht="28" customHeight="1">
      <c r="A17" s="3" t="inlineStr">
        <is>
          <t>RBF (results-based financing)</t>
        </is>
      </c>
      <c r="B17" s="78" t="inlineStr">
        <is>
          <t>Subsidy paid per verified unit sold, after a verification lag. Recognised as other income when received (cash basis).</t>
        </is>
      </c>
    </row>
    <row r="18" ht="28" customHeight="1">
      <c r="A18" s="3" t="inlineStr">
        <is>
          <t>Borrowing base</t>
        </is>
      </c>
      <c r="B18" s="78" t="inlineStr">
        <is>
          <t>Maximum facility drawing = sum over tiers of advance rate x eligible receivables (gross receivables less receivables at risk).</t>
        </is>
      </c>
    </row>
    <row r="19" ht="28" customHeight="1">
      <c r="A19" s="3" t="inlineStr">
        <is>
          <t>Advance rate</t>
        </is>
      </c>
      <c r="B19" s="78" t="inlineStr">
        <is>
          <t>Share of eligible receivables a lender is willing to finance.</t>
        </is>
      </c>
    </row>
    <row r="20" ht="28" customHeight="1">
      <c r="A20" s="3" t="inlineStr">
        <is>
          <t>DSCR</t>
        </is>
      </c>
      <c r="B20" s="78" t="inlineStr">
        <is>
          <t>Debt service coverage ratio: (operating cash flow + interest) / (interest + scheduled principal).</t>
        </is>
      </c>
    </row>
    <row r="21" ht="28" customHeight="1">
      <c r="A21" s="3" t="inlineStr">
        <is>
          <t>Funding requirement</t>
        </is>
      </c>
      <c r="B21" s="78" t="inlineStr">
        <is>
          <t>Equity that must be injected to keep cash at the minimum balance (automatic equity top-up).</t>
        </is>
      </c>
    </row>
    <row r="22" ht="28" customHeight="1">
      <c r="A22" s="3" t="inlineStr">
        <is>
          <t>MTF tier</t>
        </is>
      </c>
      <c r="B22" s="78" t="inlineStr">
        <is>
          <t>ESMAP Multi-Tier Framework for household electricity access, Tiers 0-5. Tiers here refer to the capacity attribute only and are indicative; a full assessment also covers duration, reliability, quality, affordability, legality, health &amp; safety.</t>
        </is>
      </c>
    </row>
    <row r="23" ht="28" customHeight="1">
      <c r="A23" s="3" t="inlineStr">
        <is>
          <t>Solar inverter system (Tiers 4-5)</t>
        </is>
      </c>
      <c r="B23" s="78" t="inlineStr">
        <is>
          <t>Larger PV + lithium battery + inverter systems supplying AC appliances; typically sold to urban / peri-urban households and SMEs, often as backup to an unreliable grid.</t>
        </is>
      </c>
    </row>
    <row r="24" ht="28" customHeight="1">
      <c r="A24" s="3" t="inlineStr">
        <is>
          <t>LTV / CAC</t>
        </is>
      </c>
      <c r="B24" s="78" t="inlineStr">
        <is>
          <t>Lifetime contribution before acquisition cost divided by customer acquisition cost.</t>
        </is>
      </c>
    </row>
    <row r="25" ht="28" customHeight="1">
      <c r="A25" s="3" t="inlineStr">
        <is>
          <t>Unit IRR</t>
        </is>
      </c>
      <c r="B25" s="78" t="inlineStr">
        <is>
          <t>Annualised IRR of one unit's cash flows: down payment, collections, recoveries and RBF less hardware, installation, warranty, acquisition and servicing costs.</t>
        </is>
      </c>
    </row>
  </sheetData>
  <pageMargins left="0.75" right="0.75" top="1" bottom="1" header="0.5" footer="0.5"/>
  <pageSetup orientation="landscape" fitToHeight="0" fitToWidth="1"/>
</worksheet>
</file>

<file path=xl/worksheets/sheet25.xml><?xml version="1.0" encoding="utf-8"?>
<worksheet xmlns="http://schemas.openxmlformats.org/spreadsheetml/2006/main">
  <sheetPr>
    <tabColor rgb="00FF0000"/>
    <outlinePr summaryBelow="1" summaryRight="1"/>
    <pageSetUpPr fitToPage="1"/>
  </sheetPr>
  <dimension ref="A1:C18"/>
  <sheetViews>
    <sheetView showGridLines="0" workbookViewId="0">
      <selection activeCell="A1" sqref="A1"/>
    </sheetView>
  </sheetViews>
  <sheetFormatPr baseColWidth="8" defaultRowHeight="15"/>
  <cols>
    <col width="64" customWidth="1" min="1" max="1"/>
    <col width="12" customWidth="1" min="2" max="2"/>
    <col width="16" customWidth="1" min="3" max="3"/>
  </cols>
  <sheetData>
    <row r="1">
      <c r="A1" s="1" t="inlineStr">
        <is>
          <t>Integrity checks</t>
        </is>
      </c>
    </row>
    <row r="2">
      <c r="A2" s="2" t="inlineStr">
        <is>
          <t>Each check returns 0 when OK. The master check feeds Cover, Investment_Summary and Dashboard.</t>
        </is>
      </c>
    </row>
    <row r="3"/>
    <row r="4">
      <c r="A4" s="16" t="inlineStr">
        <is>
          <t>Check</t>
        </is>
      </c>
      <c r="B4" s="16" t="inlineStr">
        <is>
          <t>Unit</t>
        </is>
      </c>
      <c r="C4" s="16" t="inlineStr">
        <is>
          <t>Result (0 = OK)</t>
        </is>
      </c>
    </row>
    <row r="5">
      <c r="A5" s="4" t="inlineStr">
        <is>
          <t>Balance sheet balances (max abs difference, all months)</t>
        </is>
      </c>
      <c r="B5" s="4" t="inlineStr">
        <is>
          <t>flag</t>
        </is>
      </c>
      <c r="C5" s="39">
        <f>MAX(MAX(FS!$E$46:$BL$46),-MIN(FS!$E$46:$BL$46))</f>
        <v/>
      </c>
    </row>
    <row r="6">
      <c r="A6" s="4" t="inlineStr">
        <is>
          <t>Sales mix sums to 100%</t>
        </is>
      </c>
      <c r="B6" s="4" t="inlineStr">
        <is>
          <t>flag</t>
        </is>
      </c>
      <c r="C6" s="39">
        <f>IF(ABS(SUM(Products!$C$23:$G$23)-1)&gt;0.0001,1,0)</f>
        <v/>
      </c>
    </row>
    <row r="7">
      <c r="A7" s="4" t="inlineStr">
        <is>
          <t>Closing cash never below minimum cash</t>
        </is>
      </c>
      <c r="B7" s="4" t="inlineStr">
        <is>
          <t>flag</t>
        </is>
      </c>
      <c r="C7" s="39">
        <f>IF(MIN(FS!$E$63:$BL$63)&lt;Inputs!$C$40-1,1,0)</f>
        <v/>
      </c>
    </row>
    <row r="8">
      <c r="A8" s="4" t="inlineStr">
        <is>
          <t>Gross receivables never negative</t>
        </is>
      </c>
      <c r="B8" s="4" t="inlineStr">
        <is>
          <t>flag</t>
        </is>
      </c>
      <c r="C8" s="39">
        <f>IF(MIN(FS!$E$32:$BL$32)&lt;-1,1,0)</f>
        <v/>
      </c>
    </row>
    <row r="9">
      <c r="A9" s="4" t="inlineStr">
        <is>
          <t>Loss allowance never positive (contra-asset)</t>
        </is>
      </c>
      <c r="B9" s="4" t="inlineStr">
        <is>
          <t>flag</t>
        </is>
      </c>
      <c r="C9" s="39">
        <f>IF(MAX(FS!$E$33:$BL$33)&gt;1,1,0)</f>
        <v/>
      </c>
    </row>
    <row r="10">
      <c r="A10" s="4" t="inlineStr">
        <is>
          <t>Facility within limit</t>
        </is>
      </c>
      <c r="B10" s="4" t="inlineStr">
        <is>
          <t>flag</t>
        </is>
      </c>
      <c r="C10" s="39">
        <f>IF(MAX(Financing!$E$23:$BL$23)&gt;Inputs!$C$49+1,1,0)</f>
        <v/>
      </c>
    </row>
    <row r="11">
      <c r="A11" s="4" t="inlineStr">
        <is>
          <t>Cash flow ties to balance-sheet cash</t>
        </is>
      </c>
      <c r="B11" s="4" t="inlineStr">
        <is>
          <t>flag</t>
        </is>
      </c>
      <c r="C11" s="39">
        <f>IF(ABS(FS!BL31-FS!BL63)&gt;1,1,0)</f>
        <v/>
      </c>
    </row>
    <row r="12">
      <c r="A12" s="4" t="inlineStr">
        <is>
          <t>Tenors within curve horizon (&lt;= 60 months)</t>
        </is>
      </c>
      <c r="B12" s="4" t="inlineStr">
        <is>
          <t>flag</t>
        </is>
      </c>
      <c r="C12" s="39">
        <f>IF(MAX(Products!$C$16:$G$16)&gt;60,1,0)</f>
        <v/>
      </c>
    </row>
    <row r="13">
      <c r="A13" s="4" t="inlineStr">
        <is>
          <t>Down payment not above cash price</t>
        </is>
      </c>
      <c r="B13" s="4" t="inlineStr">
        <is>
          <t>flag</t>
        </is>
      </c>
      <c r="C13" s="39">
        <f>IF(Products!$C$14&gt;Products!$C$13,1,0)+IF(Products!$D$14&gt;Products!$D$13,1,0)+IF(Products!$E$14&gt;Products!$E$13,1,0)+IF(Products!$F$14&gt;Products!$F$13,1,0)+IF(Products!$G$14&gt;Products!$G$13,1,0)</f>
        <v/>
      </c>
    </row>
    <row r="14">
      <c r="A14" s="4" t="inlineStr">
        <is>
          <t>Scenario selector valid (1-3)</t>
        </is>
      </c>
      <c r="B14" s="4" t="inlineStr">
        <is>
          <t>flag</t>
        </is>
      </c>
      <c r="C14" s="39">
        <f>IF(OR(Inputs!$C$5&lt;1,Inputs!$C$5&gt;3),1,0)</f>
        <v/>
      </c>
    </row>
    <row r="15">
      <c r="A15" s="4" t="inlineStr">
        <is>
          <t>Investor ticket within initial equity</t>
        </is>
      </c>
      <c r="B15" s="4" t="inlineStr">
        <is>
          <t>flag</t>
        </is>
      </c>
      <c r="C15" s="39">
        <f>IF(Inputs!$C$63*Inputs!$C$10&gt;Inputs!$C$43+1,1,0)</f>
        <v/>
      </c>
    </row>
    <row r="16">
      <c r="A16" s="4" t="inlineStr">
        <is>
          <t>Terminal growth below discount rate</t>
        </is>
      </c>
      <c r="B16" s="4" t="inlineStr">
        <is>
          <t>flag</t>
        </is>
      </c>
      <c r="C16" s="39">
        <f>IF(Inputs!$C$62&gt;=Inputs!$C$61,1,0)</f>
        <v/>
      </c>
    </row>
    <row r="17"/>
    <row r="18">
      <c r="A18" s="3" t="inlineStr">
        <is>
          <t>MASTER CHECK</t>
        </is>
      </c>
      <c r="C18" s="43">
        <f>IF(SUM(C5:C16)=0,"OK","ERROR")</f>
        <v/>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Africa Energy Finance</dc:creator>
  <dc:title>AEF Volume 2 - SHS PAYGo Company Financial &amp; Investment Model</dc:title>
  <dcterms:created xsi:type="dcterms:W3CDTF">2026-10-02T17:07:37Z</dcterms:created>
  <dcterms:modified xsi:type="dcterms:W3CDTF">2026-10-02T17:07:41Z</dcterms:modified>
</cp:coreProperties>
</file>