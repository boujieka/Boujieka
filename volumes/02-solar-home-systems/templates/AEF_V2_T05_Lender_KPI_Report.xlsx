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Monthly_Input" sheetId="4" state="visible" r:id="rId4"/>
    <sheet xmlns:r="http://schemas.openxmlformats.org/officeDocument/2006/relationships" name="Covenants" sheetId="5" state="visible" r:id="rId5"/>
    <sheet xmlns:r="http://schemas.openxmlformats.org/officeDocument/2006/relationships" name="KPIs" sheetId="6" state="visible" r:id="rId6"/>
    <sheet xmlns:r="http://schemas.openxmlformats.org/officeDocument/2006/relationships" name="Vintage" sheetId="7" state="visible" r:id="rId7"/>
    <sheet xmlns:r="http://schemas.openxmlformats.org/officeDocument/2006/relationships" name="PERFORM_202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m yyyy"/>
    <numFmt numFmtId="166" formatCode="#,##0;(#,##0);0"/>
    <numFmt numFmtId="167" formatCode="0.0%;(0.0%);0.0%"/>
  </numFmts>
  <fonts count="11">
    <font>
      <name val="Calibri"/>
      <family val="2"/>
      <color theme="1"/>
      <sz val="11"/>
      <scheme val="minor"/>
    </font>
    <font>
      <name val="Arial"/>
      <b val="1"/>
      <color rgb="00E3C27A"/>
      <sz val="8"/>
    </font>
    <font>
      <name val="Arial"/>
      <b val="1"/>
      <color rgb="00FFFFFF"/>
      <sz val="15"/>
    </font>
    <font>
      <name val="Arial"/>
      <i val="1"/>
      <color rgb="00E8E8E8"/>
      <sz val="9"/>
    </font>
    <font>
      <name val="Arial"/>
      <color rgb="00666666"/>
      <sz val="8"/>
    </font>
    <font>
      <name val="Arial"/>
      <b val="1"/>
      <color rgb="000B3020"/>
      <sz val="11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020"/>
      </patternFill>
    </fill>
    <fill>
      <patternFill patternType="solid">
        <fgColor rgb="00FFF8E1"/>
      </patternFill>
    </fill>
  </fills>
  <borders count="7">
    <border>
      <left/>
      <right/>
      <top/>
      <bottom/>
      <diagonal/>
    </border>
    <border>
      <bottom style="medium">
        <color rgb="00B07C0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3" borderId="2" pivotButton="0" quotePrefix="0" xfId="0"/>
    <xf numFmtId="0" fontId="6" fillId="0" borderId="0" pivotButton="0" quotePrefix="0" xfId="0"/>
    <xf numFmtId="0" fontId="6" fillId="0" borderId="2" pivotButton="0" quotePrefix="0" xfId="0"/>
    <xf numFmtId="0" fontId="9" fillId="0" borderId="0" applyAlignment="1" pivotButton="0" quotePrefix="0" xfId="0">
      <alignment vertical="top" wrapText="1"/>
    </xf>
    <xf numFmtId="0" fontId="10" fillId="2" borderId="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167" fontId="7" fillId="0" borderId="2" pivotButton="0" quotePrefix="0" xfId="0"/>
    <xf numFmtId="167" fontId="6" fillId="0" borderId="2" pivotButton="0" quotePrefix="0" xfId="0"/>
    <xf numFmtId="165" fontId="6" fillId="0" borderId="2" pivotButton="0" quotePrefix="0" xfId="0"/>
    <xf numFmtId="0" fontId="9" fillId="0" borderId="0" pivotButton="0" quotePrefix="0" xfId="0"/>
    <xf numFmtId="166" fontId="7" fillId="0" borderId="2" pivotButton="0" quotePrefix="0" xfId="0"/>
    <xf numFmtId="166" fontId="6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165" fontId="8" fillId="3" borderId="2" pivotButton="0" quotePrefix="0" xfId="0"/>
    <xf numFmtId="166" fontId="8" fillId="3" borderId="2" pivotButton="0" quotePrefix="0" xfId="0"/>
    <xf numFmtId="167" fontId="8" fillId="3" borderId="2" pivotButton="0" quotePrefix="0" xfId="0"/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FCE8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Operational collection rate</a:t>
            </a:r>
          </a:p>
        </rich>
      </tx>
    </title>
    <plotArea>
      <lineChart>
        <grouping val="standard"/>
        <ser>
          <idx val="0"/>
          <order val="0"/>
          <tx>
            <v>Operational collection rate (month)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'KPIs'!$C$6:$Z$6</f>
            </numRef>
          </cat>
          <val>
            <numRef>
              <f>'KPIs'!$C$11:$Z$11</f>
            </numRef>
          </val>
        </ser>
        <ser>
          <idx val="1"/>
          <order val="1"/>
          <tx>
            <v>Operational collection rate (trailing 3 months)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'KPIs'!$C$6:$Z$6</f>
            </numRef>
          </cat>
          <val>
            <numRef>
              <f>'KPIs'!$C$12:$Z$12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PAR30, reported and lagged</a:t>
            </a:r>
          </a:p>
        </rich>
      </tx>
    </title>
    <plotArea>
      <lineChart>
        <grouping val="standard"/>
        <ser>
          <idx val="0"/>
          <order val="0"/>
          <tx>
            <v>PAR30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'KPIs'!$C$6:$Z$6</f>
            </numRef>
          </cat>
          <val>
            <numRef>
              <f>'KPIs'!$C$13:$Z$13</f>
            </numRef>
          </val>
        </ser>
        <ser>
          <idx val="1"/>
          <order val="1"/>
          <tx>
            <v>PAR30 lagged 3 months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'KPIs'!$C$6:$Z$6</f>
            </numRef>
          </cat>
          <val>
            <numRef>
              <f>'KPIs'!$C$15:$Z$15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Cohort repayment ratio: average observed against plan</a:t>
            </a:r>
          </a:p>
        </rich>
      </tx>
    </title>
    <plotArea>
      <lineChart>
        <grouping val="standard"/>
        <ser>
          <idx val="0"/>
          <order val="0"/>
          <tx>
            <v>Observed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'Vintage'!$L$8:$P$8</f>
            </numRef>
          </cat>
          <val>
            <numRef>
              <f>'Vintage'!$L$28:$P$28</f>
            </numRef>
          </val>
        </ser>
        <ser>
          <idx val="1"/>
          <order val="1"/>
          <tx>
            <v>Plan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'Vintage'!$L$8:$P$8</f>
            </numRef>
          </cat>
          <val>
            <numRef>
              <f>'Vintage'!$L$29:$P$29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10" customWidth="1" min="5" max="5"/>
    <col width="10" customWidth="1" min="6" max="6"/>
  </cols>
  <sheetData>
    <row r="1">
      <c r="A1" s="1" t="inlineStr">
        <is>
          <t>AFRICA ENERGY FINANCE  |  BOOK 2  |  PAYGO SOLAR FINANCE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Lender KPI report</t>
        </is>
      </c>
      <c r="B2" s="2" t="n"/>
      <c r="C2" s="2" t="n"/>
      <c r="D2" s="2" t="n"/>
      <c r="E2" s="2" t="n"/>
      <c r="F2" s="2" t="n"/>
    </row>
    <row r="3">
      <c r="A3" s="4" t="inlineStr">
        <is>
          <t>How to use this template</t>
        </is>
      </c>
      <c r="B3" s="2" t="n"/>
      <c r="C3" s="2" t="n"/>
      <c r="D3" s="2" t="n"/>
      <c r="E3" s="2" t="n"/>
      <c r="F3" s="2" t="n"/>
    </row>
    <row r="4">
      <c r="A4" s="5" t="inlineStr">
        <is>
          <t>Template T05  |  Version 0.9 (pre-release)  |  Author &amp; ideation: Emmanuel Boujieka Kamga</t>
        </is>
      </c>
      <c r="B4" s="6" t="n"/>
      <c r="C4" s="6" t="n"/>
      <c r="D4" s="6" t="n"/>
      <c r="E4" s="6" t="n"/>
      <c r="F4" s="6" t="n"/>
    </row>
    <row r="5"/>
    <row r="6">
      <c r="A6" s="7" t="inlineStr">
        <is>
          <t>Purpose</t>
        </is>
      </c>
      <c r="B6" s="6" t="n"/>
      <c r="C6" s="6" t="n"/>
      <c r="D6" s="6" t="n"/>
      <c r="E6" s="6" t="n"/>
      <c r="F6" s="6" t="n"/>
    </row>
    <row r="7">
      <c r="A7" s="8" t="inlineStr">
        <is>
          <t>A monthly reporting pack for a PAYGo receivables lender or an investor's portfolio review: the five PAYGo PERFORM 2026 KPIs as reported by the company, operational and lender metrics with their definitions, DPD reconciliation, covenant headroom, cohort repayment against plan and a one page dashboard. The example data are the synthetic 24 month history of the fictional SolaraPay case (Tiers 1 to 3).</t>
        </is>
      </c>
    </row>
    <row r="8"/>
    <row r="9"/>
    <row r="10"/>
    <row r="11">
      <c r="A11" s="7" t="inlineStr">
        <is>
          <t>How to use it</t>
        </is>
      </c>
      <c r="B11" s="6" t="n"/>
      <c r="C11" s="6" t="n"/>
      <c r="D11" s="6" t="n"/>
      <c r="E11" s="6" t="n"/>
      <c r="F11" s="6" t="n"/>
    </row>
    <row r="12" ht="30" customHeight="1">
      <c r="A12" s="9" t="inlineStr">
        <is>
          <t>Step 1</t>
        </is>
      </c>
      <c r="B12" s="8" t="inlineStr">
        <is>
          <t>Replace the example data on Monthly_Input with company data, one column per month (up to 24 months).</t>
        </is>
      </c>
    </row>
    <row r="13" ht="30" customHeight="1">
      <c r="A13" s="9" t="inlineStr">
        <is>
          <t>Step 2</t>
        </is>
      </c>
      <c r="B13" s="8" t="inlineStr">
        <is>
          <t>Check the reconciliation row on KPIs: the DPD buckets must add up to reported gross receivables every month.</t>
        </is>
      </c>
    </row>
    <row r="14" ht="30" customHeight="1">
      <c r="A14" s="9" t="inlineStr">
        <is>
          <t>Step 3</t>
        </is>
      </c>
      <c r="B14" s="8" t="inlineStr">
        <is>
          <t>Set covenant thresholds and the blended advance rate on Covenants; the sheet shows headroom and breach flags by month.</t>
        </is>
      </c>
    </row>
    <row r="15" ht="30" customHeight="1">
      <c r="A15" s="9" t="inlineStr">
        <is>
          <t>Step 4</t>
        </is>
      </c>
      <c r="B15" s="8" t="inlineStr">
        <is>
          <t>Enter cumulative collections and instalments due by cohort on Vintage, with the plan curve, to see cohorts against plan.</t>
        </is>
      </c>
    </row>
    <row r="16" ht="30" customHeight="1">
      <c r="A16" s="9" t="inlineStr">
        <is>
          <t>Step 5</t>
        </is>
      </c>
      <c r="B16" s="8" t="inlineStr">
        <is>
          <t>Enter the company's PERFORM 2026 numerators and denominators on PERFORM_2026; leave them blank if not computed.</t>
        </is>
      </c>
    </row>
    <row r="17" ht="30" customHeight="1">
      <c r="A17" s="9" t="inlineStr">
        <is>
          <t>Step 6</t>
        </is>
      </c>
      <c r="B17" s="8" t="inlineStr">
        <is>
          <t>Send the Dashboard page with every monthly report, with the Definitions sheet; the collection rate is an operational metric and never replaces the repayment rate.</t>
        </is>
      </c>
    </row>
    <row r="18"/>
    <row r="19">
      <c r="A19" s="7" t="inlineStr">
        <is>
          <t>Colour code</t>
        </is>
      </c>
      <c r="B19" s="6" t="n"/>
      <c r="C19" s="6" t="n"/>
      <c r="D19" s="6" t="n"/>
      <c r="E19" s="6" t="n"/>
      <c r="F19" s="6" t="n"/>
    </row>
    <row r="20">
      <c r="A20" s="10" t="inlineStr">
        <is>
          <t>Input</t>
        </is>
      </c>
      <c r="B20" s="11" t="inlineStr">
        <is>
          <t>Blue font on cream: the only cells to edit</t>
        </is>
      </c>
    </row>
    <row r="21">
      <c r="A21" s="12" t="inlineStr">
        <is>
          <t>Formula</t>
        </is>
      </c>
      <c r="B21" s="11" t="inlineStr">
        <is>
          <t>Black font: calculated, do not overwrite</t>
        </is>
      </c>
    </row>
    <row r="22"/>
    <row r="23">
      <c r="A23" s="7" t="inlineStr">
        <is>
          <t>Links to Book 2 and MODEL 2</t>
        </is>
      </c>
      <c r="B23" s="6" t="n"/>
      <c r="C23" s="6" t="n"/>
      <c r="D23" s="6" t="n"/>
      <c r="E23" s="6" t="n"/>
      <c r="F23" s="6" t="n"/>
    </row>
    <row r="24">
      <c r="A24" s="9" t="inlineStr">
        <is>
          <t>Book</t>
        </is>
      </c>
      <c r="B24" s="8" t="inlineStr">
        <is>
          <t>Chapter 6 (cohorts), Chapter 7 (portfolio KPIs and PERFORM), Chapter 11 (covenants); Annex A</t>
        </is>
      </c>
    </row>
    <row r="25">
      <c r="A25" s="9" t="inlineStr">
        <is>
          <t>Model</t>
        </is>
      </c>
      <c r="B25" s="8" t="inlineStr">
        <is>
          <t>MODEL 2: Credit_Input and Vintage_Input hold the same history; Credit_Portfolio, Covenants, Vintage_Dashboard, PERFORM_2026</t>
        </is>
      </c>
    </row>
    <row r="26">
      <c r="A26" s="9" t="inlineStr">
        <is>
          <t>Related templates</t>
        </is>
      </c>
      <c r="B26" s="8" t="inlineStr">
        <is>
          <t>T06 loan tape; T07 borrowing base certificate</t>
        </is>
      </c>
    </row>
    <row r="27"/>
    <row r="28">
      <c r="A28" s="13" t="inlineStr">
        <is>
          <t>Decision support material; not investment, legal, tax or accounting advice. Example values are illustrative and refer to the book's worked examples or to the fictional SolaraPay case. (c) 2026 Emmanuel Boujieka Kamga.</t>
        </is>
      </c>
    </row>
    <row r="29"/>
  </sheetData>
  <mergeCells count="11">
    <mergeCell ref="B12:F12"/>
    <mergeCell ref="B24:F24"/>
    <mergeCell ref="B16:F16"/>
    <mergeCell ref="B26:F26"/>
    <mergeCell ref="B15:F15"/>
    <mergeCell ref="B25:F25"/>
    <mergeCell ref="A7:F9"/>
    <mergeCell ref="B14:F14"/>
    <mergeCell ref="A28:F29"/>
    <mergeCell ref="B17:F17"/>
    <mergeCell ref="B13:F13"/>
  </mergeCells>
  <printOptions horizontalCentered="1"/>
  <pageMargins left="0.5" right="0.5" top="0.6" bottom="0.7" header="0.5" footer="0.5"/>
  <pageSetup orientation="portrait" paperSize="9" fitToHeight="0" fitToWidth="1"/>
  <headerFooter>
    <oddHeader/>
    <oddFooter>&amp;L&amp;"Arial"&amp;8 Africa Energy Finance | Book 2 Template T05 | Version 0.9 (pre-release)&amp;C&amp;"Arial"&amp;8 &amp;A&amp;R&amp;"Arial"&amp;8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AFRICA ENERGY FINANCE  |  BOOK 2  |  PAYGO SOLAR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3" t="inlineStr">
        <is>
          <t>Monthly lender dashboard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Latest month; charts over the reporting period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5" t="inlineStr">
        <is>
          <t>Template T05  |  Version 0.9 (pre-release)  |  Author &amp; ideation: Emmanuel Boujieka Kamga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/>
    <row r="6" ht="30" customHeight="1">
      <c r="A6" s="14" t="inlineStr">
        <is>
          <t>KPI</t>
        </is>
      </c>
      <c r="B6" s="14" t="inlineStr">
        <is>
          <t>Latest</t>
        </is>
      </c>
      <c r="C6" s="14" t="inlineStr">
        <is>
          <t>3 months earlier</t>
        </is>
      </c>
      <c r="D6" s="14" t="inlineStr">
        <is>
          <t>12 months earlier</t>
        </is>
      </c>
      <c r="E6" s="14" t="inlineStr">
        <is>
          <t>Trend</t>
        </is>
      </c>
      <c r="G6" s="14" t="inlineStr">
        <is>
          <t>PAYGo PERFORM 2026 KPI (company reported)</t>
        </is>
      </c>
      <c r="H6" s="15" t="n"/>
      <c r="I6" s="16" t="n"/>
      <c r="J6" s="14" t="inlineStr">
        <is>
          <t>Portfolio</t>
        </is>
      </c>
    </row>
    <row r="7">
      <c r="A7" s="11" t="inlineStr">
        <is>
          <t>Operational collection rate (month)</t>
        </is>
      </c>
      <c r="B7" s="17">
        <f>IFERROR(INDEX(KPIs!$C$11:$Z$11,MATCH(9.99E+307,KPIs!$C$11:$Z$11)),"")</f>
        <v/>
      </c>
      <c r="C7" s="18">
        <f>IFERROR(INDEX(KPIs!$C$11:$Z$11,MATCH(9.99E+307,KPIs!$C$11:$Z$11)-3),"")</f>
        <v/>
      </c>
      <c r="D7" s="18">
        <f>IFERROR(INDEX(KPIs!$C$11:$Z$11,MATCH(9.99E+307,KPIs!$C$11:$Z$11)-12),"")</f>
        <v/>
      </c>
      <c r="E7" s="12">
        <f>IF(OR(B7="",C7=""),"",IF(B7=C7,"Stable",IF((B7&gt;C7)=TRUE,"Improving","Deteriorating")))</f>
        <v/>
      </c>
      <c r="G7" s="11" t="inlineStr">
        <is>
          <t>RR PvP (repayment rate, paid versus plan)</t>
        </is>
      </c>
      <c r="J7" s="17">
        <f>PERFORM_2026!H14</f>
        <v/>
      </c>
    </row>
    <row r="8">
      <c r="A8" s="11" t="inlineStr">
        <is>
          <t>Operational collection rate (trailing 3 months)</t>
        </is>
      </c>
      <c r="B8" s="17">
        <f>IFERROR(INDEX(KPIs!$C$12:$Z$12,MATCH(9.99E+307,KPIs!$C$12:$Z$12)),"")</f>
        <v/>
      </c>
      <c r="C8" s="18">
        <f>IFERROR(INDEX(KPIs!$C$12:$Z$12,MATCH(9.99E+307,KPIs!$C$12:$Z$12)-3),"")</f>
        <v/>
      </c>
      <c r="D8" s="18">
        <f>IFERROR(INDEX(KPIs!$C$12:$Z$12,MATCH(9.99E+307,KPIs!$C$12:$Z$12)-12),"")</f>
        <v/>
      </c>
      <c r="E8" s="12">
        <f>IF(OR(B8="",C8=""),"",IF(B8=C8,"Stable",IF((B8&gt;C8)=TRUE,"Improving","Deteriorating")))</f>
        <v/>
      </c>
      <c r="G8" s="11" t="inlineStr">
        <is>
          <t>RR PvFin (repayment rate, paid versus financed)</t>
        </is>
      </c>
      <c r="J8" s="17">
        <f>PERFORM_2026!H19</f>
        <v/>
      </c>
    </row>
    <row r="9">
      <c r="A9" s="11" t="inlineStr">
        <is>
          <t>PAR30</t>
        </is>
      </c>
      <c r="B9" s="17">
        <f>IFERROR(INDEX(KPIs!$C$13:$Z$13,MATCH(9.99E+307,KPIs!$C$13:$Z$13)),"")</f>
        <v/>
      </c>
      <c r="C9" s="18">
        <f>IFERROR(INDEX(KPIs!$C$13:$Z$13,MATCH(9.99E+307,KPIs!$C$13:$Z$13)-3),"")</f>
        <v/>
      </c>
      <c r="D9" s="18">
        <f>IFERROR(INDEX(KPIs!$C$13:$Z$13,MATCH(9.99E+307,KPIs!$C$13:$Z$13)-12),"")</f>
        <v/>
      </c>
      <c r="E9" s="12">
        <f>IF(OR(B9="",C9=""),"",IF(B9=C9,"Stable",IF((B9&gt;C9)=FALSE,"Improving","Deteriorating")))</f>
        <v/>
      </c>
      <c r="G9" s="11" t="inlineStr">
        <is>
          <t>RR PvP at 90 days</t>
        </is>
      </c>
      <c r="J9" s="17">
        <f>PERFORM_2026!H24</f>
        <v/>
      </c>
    </row>
    <row r="10">
      <c r="A10" s="11" t="inlineStr">
        <is>
          <t>PAR90</t>
        </is>
      </c>
      <c r="B10" s="17">
        <f>IFERROR(INDEX(KPIs!$C$14:$Z$14,MATCH(9.99E+307,KPIs!$C$14:$Z$14)),"")</f>
        <v/>
      </c>
      <c r="C10" s="18">
        <f>IFERROR(INDEX(KPIs!$C$14:$Z$14,MATCH(9.99E+307,KPIs!$C$14:$Z$14)-3),"")</f>
        <v/>
      </c>
      <c r="D10" s="18">
        <f>IFERROR(INDEX(KPIs!$C$14:$Z$14,MATCH(9.99E+307,KPIs!$C$14:$Z$14)-12),"")</f>
        <v/>
      </c>
      <c r="E10" s="12">
        <f>IF(OR(B10="",C10=""),"",IF(B10=C10,"Stable",IF((B10&gt;C10)=FALSE,"Improving","Deteriorating")))</f>
        <v/>
      </c>
      <c r="G10" s="11" t="inlineStr">
        <is>
          <t>RR PvP at 2x term</t>
        </is>
      </c>
      <c r="J10" s="17">
        <f>PERFORM_2026!H29</f>
        <v/>
      </c>
    </row>
    <row r="11">
      <c r="A11" s="11" t="inlineStr">
        <is>
          <t>PAR30 lagged 3 months</t>
        </is>
      </c>
      <c r="B11" s="17">
        <f>IFERROR(INDEX(KPIs!$C$15:$Z$15,MATCH(9.99E+307,KPIs!$C$15:$Z$15)),"")</f>
        <v/>
      </c>
      <c r="C11" s="18">
        <f>IFERROR(INDEX(KPIs!$C$15:$Z$15,MATCH(9.99E+307,KPIs!$C$15:$Z$15)-3),"")</f>
        <v/>
      </c>
      <c r="D11" s="18">
        <f>IFERROR(INDEX(KPIs!$C$15:$Z$15,MATCH(9.99E+307,KPIs!$C$15:$Z$15)-12),"")</f>
        <v/>
      </c>
      <c r="E11" s="12">
        <f>IF(OR(B11="",C11=""),"",IF(B11=C11,"Stable",IF((B11&gt;C11)=FALSE,"Improving","Deteriorating")))</f>
        <v/>
      </c>
      <c r="G11" s="11" t="inlineStr">
        <is>
          <t>OR @2x (ownership rate at 2x term)</t>
        </is>
      </c>
      <c r="J11" s="17">
        <f>PERFORM_2026!H34</f>
        <v/>
      </c>
    </row>
    <row r="12">
      <c r="A12" s="11" t="inlineStr">
        <is>
          <t>Write off ratio (trailing 12 months, annualised)</t>
        </is>
      </c>
      <c r="B12" s="17">
        <f>IFERROR(INDEX(KPIs!$C$17:$Z$17,MATCH(9.99E+307,KPIs!$C$17:$Z$17)),"")</f>
        <v/>
      </c>
      <c r="C12" s="18">
        <f>IFERROR(INDEX(KPIs!$C$17:$Z$17,MATCH(9.99E+307,KPIs!$C$17:$Z$17)-3),"")</f>
        <v/>
      </c>
      <c r="D12" s="18">
        <f>IFERROR(INDEX(KPIs!$C$17:$Z$17,MATCH(9.99E+307,KPIs!$C$17:$Z$17)-12),"")</f>
        <v/>
      </c>
      <c r="E12" s="12">
        <f>IF(OR(B12="",C12=""),"",IF(B12=C12,"Stable",IF((B12&gt;C12)=FALSE,"Improving","Deteriorating")))</f>
        <v/>
      </c>
      <c r="G12" s="11" t="inlineStr">
        <is>
          <t>Reporting date</t>
        </is>
      </c>
      <c r="J12" s="19">
        <f>IF(PERFORM_2026!B8="","",PERFORM_2026!B8)</f>
        <v/>
      </c>
    </row>
    <row r="13">
      <c r="A13" s="11" t="inlineStr">
        <is>
          <t>Recovery rate (trailing 12 months)</t>
        </is>
      </c>
      <c r="B13" s="17">
        <f>IFERROR(INDEX(KPIs!$C$18:$Z$18,MATCH(9.99E+307,KPIs!$C$18:$Z$18)),"")</f>
        <v/>
      </c>
      <c r="C13" s="18">
        <f>IFERROR(INDEX(KPIs!$C$18:$Z$18,MATCH(9.99E+307,KPIs!$C$18:$Z$18)-3),"")</f>
        <v/>
      </c>
      <c r="D13" s="18">
        <f>IFERROR(INDEX(KPIs!$C$18:$Z$18,MATCH(9.99E+307,KPIs!$C$18:$Z$18)-12),"")</f>
        <v/>
      </c>
      <c r="E13" s="12">
        <f>IF(OR(B13="",C13=""),"",IF(B13=C13,"Stable",IF((B13&gt;C13)=TRUE,"Improving","Deteriorating")))</f>
        <v/>
      </c>
      <c r="G13" s="20" t="inlineStr">
        <is>
          <t>Rows 7 to 14 on the left are operational and lender metrics, not PERFORM KPIs.</t>
        </is>
      </c>
    </row>
    <row r="14">
      <c r="A14" s="11" t="inlineStr">
        <is>
          <t>Eligible receivables (to 30 DPD)</t>
        </is>
      </c>
      <c r="B14" s="21">
        <f>IFERROR(INDEX(KPIs!$C$20:$Z$20,MATCH(9.99E+307,KPIs!$C$20:$Z$20)),"")</f>
        <v/>
      </c>
      <c r="C14" s="22">
        <f>IFERROR(INDEX(KPIs!$C$20:$Z$20,MATCH(9.99E+307,KPIs!$C$20:$Z$20)-3),"")</f>
        <v/>
      </c>
      <c r="D14" s="22">
        <f>IFERROR(INDEX(KPIs!$C$20:$Z$20,MATCH(9.99E+307,KPIs!$C$20:$Z$20)-12),"")</f>
        <v/>
      </c>
      <c r="E14" s="12">
        <f>IF(OR(B14="",C14=""),"",IF(B14=C14,"Stable",IF((B14&gt;C14)=TRUE,"Improving","Deteriorating")))</f>
        <v/>
      </c>
    </row>
    <row r="15"/>
    <row r="16">
      <c r="A16" s="9" t="inlineStr">
        <is>
          <t>Reconciliation, latest month</t>
        </is>
      </c>
      <c r="B16" s="23">
        <f>IFERROR(INDEX(KPIs!$C$10:$Z$10,MATCH("zzz",KPIs!$C$10:$Z$10)),"")</f>
        <v/>
      </c>
    </row>
    <row r="17">
      <c r="A17" s="9" t="inlineStr">
        <is>
          <t>Months with any covenant breach</t>
        </is>
      </c>
      <c r="B17" s="21">
        <f>Covenants!B22</f>
        <v/>
      </c>
    </row>
  </sheetData>
  <mergeCells count="1">
    <mergeCell ref="G6:I6"/>
  </mergeCells>
  <conditionalFormatting sqref="E7">
    <cfRule type="expression" priority="1" dxfId="0">
      <formula>E7="Deteriorating"</formula>
    </cfRule>
  </conditionalFormatting>
  <conditionalFormatting sqref="E8">
    <cfRule type="expression" priority="2" dxfId="0">
      <formula>E8="Deteriorating"</formula>
    </cfRule>
  </conditionalFormatting>
  <conditionalFormatting sqref="E9">
    <cfRule type="expression" priority="3" dxfId="0">
      <formula>E9="Deteriorating"</formula>
    </cfRule>
  </conditionalFormatting>
  <conditionalFormatting sqref="E10">
    <cfRule type="expression" priority="4" dxfId="0">
      <formula>E10="Deteriorating"</formula>
    </cfRule>
  </conditionalFormatting>
  <conditionalFormatting sqref="E11">
    <cfRule type="expression" priority="5" dxfId="0">
      <formula>E11="Deteriorating"</formula>
    </cfRule>
  </conditionalFormatting>
  <conditionalFormatting sqref="E12">
    <cfRule type="expression" priority="6" dxfId="0">
      <formula>E12="Deteriorating"</formula>
    </cfRule>
  </conditionalFormatting>
  <conditionalFormatting sqref="E13">
    <cfRule type="expression" priority="7" dxfId="0">
      <formula>E13="Deteriorating"</formula>
    </cfRule>
  </conditionalFormatting>
  <conditionalFormatting sqref="E14">
    <cfRule type="expression" priority="8" dxfId="0">
      <formula>E14="Deteriorating"</formula>
    </cfRule>
  </conditionalFormatting>
  <printOptions horizontalCentered="1"/>
  <pageMargins left="0.5" right="0.5" top="0.6" bottom="0.7" header="0.5" footer="0.5"/>
  <pageSetup orientation="landscape" paperSize="9" fitToHeight="0" fitToWidth="1"/>
  <headerFooter>
    <oddHeader/>
    <oddFooter>&amp;L&amp;"Arial"&amp;8 Africa Energy Finance | Book 2 Template T05 | Version 0.9 (pre-release)&amp;C&amp;"Arial"&amp;8 &amp;A&amp;R&amp;"Arial"&amp;8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44" customWidth="1" min="3" max="3"/>
  </cols>
  <sheetData>
    <row r="1">
      <c r="A1" s="1" t="inlineStr">
        <is>
          <t>AFRICA ENERGY FINANCE  |  BOOK 2  |  PAYGO SOLAR FINANCE</t>
        </is>
      </c>
      <c r="B1" s="2" t="n"/>
      <c r="C1" s="2" t="n"/>
    </row>
    <row r="2" ht="22" customHeight="1">
      <c r="A2" s="3" t="inlineStr">
        <is>
          <t>KPI definitions</t>
        </is>
      </c>
      <c r="B2" s="2" t="n"/>
      <c r="C2" s="2" t="n"/>
    </row>
    <row r="3">
      <c r="A3" s="4" t="inlineStr">
        <is>
          <t>Definitions used in this report</t>
        </is>
      </c>
      <c r="B3" s="2" t="n"/>
      <c r="C3" s="2" t="n"/>
    </row>
    <row r="4">
      <c r="A4" s="5" t="inlineStr">
        <is>
          <t>Template T05  |  Version 0.9 (pre-release)  |  Author &amp; ideation: Emmanuel Boujieka Kamga</t>
        </is>
      </c>
      <c r="B4" s="6" t="n"/>
      <c r="C4" s="6" t="n"/>
    </row>
    <row r="5"/>
    <row r="6" ht="30" customHeight="1">
      <c r="A6" s="14" t="inlineStr">
        <is>
          <t>KPI</t>
        </is>
      </c>
      <c r="B6" s="14" t="inlineStr">
        <is>
          <t>Definition</t>
        </is>
      </c>
      <c r="C6" s="14" t="inlineStr">
        <is>
          <t>Comment</t>
        </is>
      </c>
    </row>
    <row r="7" ht="30" customHeight="1">
      <c r="A7" s="24" t="inlineStr">
        <is>
          <t>RR PvP (repayment rate, paid versus plan) [PERFORM 2026 KPI]</t>
        </is>
      </c>
      <c r="B7" s="25" t="inlineStr">
        <is>
          <t>Payments applied to due instalments to date ÷ instalments due to date</t>
        </is>
      </c>
      <c r="C7" s="25" t="inlineStr">
        <is>
          <t>Company reported (time series); see the PERFORM_2026 sheet</t>
        </is>
      </c>
    </row>
    <row r="8" ht="30" customHeight="1">
      <c r="A8" s="24" t="inlineStr">
        <is>
          <t>RR PvFin (repayment rate, paid versus financed) [PERFORM 2026 KPI]</t>
        </is>
      </c>
      <c r="B8" s="25" t="inlineStr">
        <is>
          <t>Payments applied to due instalments to date ÷ total amount financed</t>
        </is>
      </c>
      <c r="C8" s="25" t="inlineStr">
        <is>
          <t>Company reported (time series); see the PERFORM_2026 sheet</t>
        </is>
      </c>
    </row>
    <row r="9" ht="30" customHeight="1">
      <c r="A9" s="24" t="inlineStr">
        <is>
          <t>RR PvP at 90 days [PERFORM 2026 KPI]</t>
        </is>
      </c>
      <c r="B9" s="25" t="inlineStr">
        <is>
          <t>Payments applied to instalments due by day 90 ÷ instalments due by day 90</t>
        </is>
      </c>
      <c r="C9" s="25" t="inlineStr">
        <is>
          <t>Company reported (cohort milestone); see the PERFORM_2026 sheet</t>
        </is>
      </c>
    </row>
    <row r="10" ht="30" customHeight="1">
      <c r="A10" s="24" t="inlineStr">
        <is>
          <t>RR PvP at 2x term [PERFORM 2026 KPI]</t>
        </is>
      </c>
      <c r="B10" s="25" t="inlineStr">
        <is>
          <t>Payments applied to due instalments by 2x the term ÷ instalments due over 1x the term</t>
        </is>
      </c>
      <c r="C10" s="25" t="inlineStr">
        <is>
          <t>Company reported (cohort outcome); see the PERFORM_2026 sheet</t>
        </is>
      </c>
    </row>
    <row r="11" ht="30" customHeight="1">
      <c r="A11" s="24" t="inlineStr">
        <is>
          <t>OR @2x (ownership rate at 2x term) [PERFORM 2026 KPI]</t>
        </is>
      </c>
      <c r="B11" s="25" t="inlineStr">
        <is>
          <t>Contracts fully paid by 2x the term ÷ contracts that have reached at least 2x</t>
        </is>
      </c>
      <c r="C11" s="25" t="inlineStr">
        <is>
          <t>Company reported (cohort outcome); see the PERFORM_2026 sheet</t>
        </is>
      </c>
    </row>
    <row r="12" ht="30" customHeight="1">
      <c r="A12" s="24" t="inlineStr">
        <is>
          <t>Operational collection rate (month)</t>
        </is>
      </c>
      <c r="B12" s="25" t="inlineStr">
        <is>
          <t>Instalments collected ÷ instalments due in the month, both excluding deposits</t>
        </is>
      </c>
      <c r="C12" s="25" t="inlineStr">
        <is>
          <t>Operational metric, not a PERFORM KPI; may not stand in for the repayment rate. Deposits are collected at sale and would flatter the ratio</t>
        </is>
      </c>
    </row>
    <row r="13" ht="30" customHeight="1">
      <c r="A13" s="24" t="inlineStr">
        <is>
          <t>Operational collection rate (trailing 3 months)</t>
        </is>
      </c>
      <c r="B13" s="25" t="inlineStr">
        <is>
          <t>Collections ÷ instalments due over the last three months</t>
        </is>
      </c>
      <c r="C13" s="25" t="inlineStr">
        <is>
          <t>Usual covenant measure; operational, not a PERFORM KPI</t>
        </is>
      </c>
    </row>
    <row r="14" ht="30" customHeight="1">
      <c r="A14" s="24" t="inlineStr">
        <is>
          <t>PAR30</t>
        </is>
      </c>
      <c r="B14" s="25" t="inlineStr">
        <is>
          <t>Gross receivables of accounts more than 30 days past due ÷ gross receivables</t>
        </is>
      </c>
      <c r="C14" s="25" t="inlineStr">
        <is>
          <t>Whole balance of late accounts counts</t>
        </is>
      </c>
    </row>
    <row r="15" ht="30" customHeight="1">
      <c r="A15" s="24" t="inlineStr">
        <is>
          <t>PAR90</t>
        </is>
      </c>
      <c r="B15" s="25" t="inlineStr">
        <is>
          <t>Gross receivables of accounts more than 90 days past due ÷ gross receivables</t>
        </is>
      </c>
      <c r="C15" s="25" t="inlineStr"/>
    </row>
    <row r="16" ht="30" customHeight="1">
      <c r="A16" s="24" t="inlineStr">
        <is>
          <t>PAR30 lagged 3 months</t>
        </is>
      </c>
      <c r="B16" s="25" t="inlineStr">
        <is>
          <t>Balance more than 30 days past due ÷ gross receivables three months earlier</t>
        </is>
      </c>
      <c r="C16" s="25" t="inlineStr">
        <is>
          <t>Corrects for growth in the denominator</t>
        </is>
      </c>
    </row>
    <row r="17" ht="30" customHeight="1">
      <c r="A17" s="24" t="inlineStr">
        <is>
          <t>Receivables at risk (RaR)</t>
        </is>
      </c>
      <c r="B17" s="25" t="inlineStr">
        <is>
          <t>As reported by the company under its stated definition ÷ gross receivables</t>
        </is>
      </c>
      <c r="C17" s="25" t="inlineStr">
        <is>
          <t>Lender metric, not a current PERFORM KPI (defined in the 2021 guide, now historical); print the definition beside the figure</t>
        </is>
      </c>
    </row>
    <row r="18" ht="30" customHeight="1">
      <c r="A18" s="24" t="inlineStr">
        <is>
          <t>Write off ratio (trailing 12 months, annualised)</t>
        </is>
      </c>
      <c r="B18" s="25" t="inlineStr">
        <is>
          <t>Write offs ÷ average gross receivables over the same months, scaled to a year</t>
        </is>
      </c>
      <c r="C18" s="25" t="inlineStr">
        <is>
          <t>Lender metric (2021 guide definition, historical); depends on the write off policy</t>
        </is>
      </c>
    </row>
    <row r="19" ht="30" customHeight="1">
      <c r="A19" s="24" t="inlineStr">
        <is>
          <t>Recovery rate (trailing 12 months)</t>
        </is>
      </c>
      <c r="B19" s="25" t="inlineStr">
        <is>
          <t>Recoveries net of costs ÷ write offs</t>
        </is>
      </c>
      <c r="C19" s="25" t="inlineStr"/>
    </row>
    <row r="20" ht="30" customHeight="1">
      <c r="A20" s="24" t="inlineStr">
        <is>
          <t>Active ratio</t>
        </is>
      </c>
      <c r="B20" s="25" t="inlineStr">
        <is>
          <t>Accounts with a payment in the last 30 days ÷ accounts not yet paid off or written off</t>
        </is>
      </c>
      <c r="C20" s="25" t="inlineStr">
        <is>
          <t>Optional; leave blank if not reported</t>
        </is>
      </c>
    </row>
    <row r="21" ht="30" customHeight="1">
      <c r="A21" s="24" t="inlineStr">
        <is>
          <t>Eligible receivables</t>
        </is>
      </c>
      <c r="B21" s="25" t="inlineStr">
        <is>
          <t>Current and 1 to 30 DPD balances (eligibility to 30 DPD)</t>
        </is>
      </c>
      <c r="C21" s="25" t="inlineStr">
        <is>
          <t>Change the formula if eligibility differs</t>
        </is>
      </c>
    </row>
    <row r="22" ht="30" customHeight="1">
      <c r="A22" s="24" t="inlineStr">
        <is>
          <t>Borrowing base headroom</t>
        </is>
      </c>
      <c r="B22" s="25" t="inlineStr">
        <is>
          <t>Eligible receivables × advance rate less facility drawn</t>
        </is>
      </c>
      <c r="C22" s="25" t="inlineStr"/>
    </row>
    <row r="23" ht="30" customHeight="1">
      <c r="A23" s="24" t="inlineStr">
        <is>
          <t>Cohort repayment ratio (not a PERFORM KPI)</t>
        </is>
      </c>
      <c r="B23" s="25" t="inlineStr">
        <is>
          <t>Cumulative collections ÷ cumulative instalments due at a given age, monthly</t>
        </is>
      </c>
      <c r="C23" s="25" t="inlineStr">
        <is>
          <t>Follows the logic of RR PvP but is not a PERFORM calculation (monthly, no payment allocation); compare cohorts at the same age</t>
        </is>
      </c>
    </row>
  </sheetData>
  <printOptions horizontalCentered="1"/>
  <pageMargins left="0.5" right="0.5" top="0.6" bottom="0.7" header="0.5" footer="0.5"/>
  <pageSetup orientation="portrait" paperSize="9" fitToHeight="0" fitToWidth="1"/>
  <headerFooter>
    <oddHeader/>
    <oddFooter>&amp;L&amp;"Arial"&amp;8 Africa Energy Finance | Book 2 Template T05 | Version 0.9 (pre-release)&amp;C&amp;"Arial"&amp;8 &amp;A&amp;R&amp;"Arial"&amp;8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2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AFRICA ENERGY FINANCE  |  BOOK 2  |  PAYGO SOLAR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2" customHeight="1">
      <c r="A2" s="3" t="inlineStr">
        <is>
          <t>Monthly portfolio input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4" t="inlineStr">
        <is>
          <t>Local currency; one column per month; month end stocks and monthly flows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5" t="inlineStr">
        <is>
          <t>Template T05  |  Version 0.9 (pre-release)  |  Author &amp; ideation: Emmanuel Boujieka Kamga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/>
    <row r="6" ht="30" customHeight="1">
      <c r="A6" s="14" t="inlineStr">
        <is>
          <t>Item</t>
        </is>
      </c>
      <c r="B6" s="14" t="inlineStr">
        <is>
          <t>Unit</t>
        </is>
      </c>
      <c r="C6" s="14" t="inlineStr">
        <is>
          <t>M1</t>
        </is>
      </c>
      <c r="D6" s="14" t="inlineStr">
        <is>
          <t>M2</t>
        </is>
      </c>
      <c r="E6" s="14" t="inlineStr">
        <is>
          <t>M3</t>
        </is>
      </c>
      <c r="F6" s="14" t="inlineStr">
        <is>
          <t>M4</t>
        </is>
      </c>
      <c r="G6" s="14" t="inlineStr">
        <is>
          <t>M5</t>
        </is>
      </c>
      <c r="H6" s="14" t="inlineStr">
        <is>
          <t>M6</t>
        </is>
      </c>
      <c r="I6" s="14" t="inlineStr">
        <is>
          <t>M7</t>
        </is>
      </c>
      <c r="J6" s="14" t="inlineStr">
        <is>
          <t>M8</t>
        </is>
      </c>
      <c r="K6" s="14" t="inlineStr">
        <is>
          <t>M9</t>
        </is>
      </c>
      <c r="L6" s="14" t="inlineStr">
        <is>
          <t>M10</t>
        </is>
      </c>
      <c r="M6" s="14" t="inlineStr">
        <is>
          <t>M11</t>
        </is>
      </c>
      <c r="N6" s="14" t="inlineStr">
        <is>
          <t>M12</t>
        </is>
      </c>
      <c r="O6" s="14" t="inlineStr">
        <is>
          <t>M13</t>
        </is>
      </c>
      <c r="P6" s="14" t="inlineStr">
        <is>
          <t>M14</t>
        </is>
      </c>
      <c r="Q6" s="14" t="inlineStr">
        <is>
          <t>M15</t>
        </is>
      </c>
      <c r="R6" s="14" t="inlineStr">
        <is>
          <t>M16</t>
        </is>
      </c>
      <c r="S6" s="14" t="inlineStr">
        <is>
          <t>M17</t>
        </is>
      </c>
      <c r="T6" s="14" t="inlineStr">
        <is>
          <t>M18</t>
        </is>
      </c>
      <c r="U6" s="14" t="inlineStr">
        <is>
          <t>M19</t>
        </is>
      </c>
      <c r="V6" s="14" t="inlineStr">
        <is>
          <t>M20</t>
        </is>
      </c>
      <c r="W6" s="14" t="inlineStr">
        <is>
          <t>M21</t>
        </is>
      </c>
      <c r="X6" s="14" t="inlineStr">
        <is>
          <t>M22</t>
        </is>
      </c>
      <c r="Y6" s="14" t="inlineStr">
        <is>
          <t>M23</t>
        </is>
      </c>
      <c r="Z6" s="14" t="inlineStr">
        <is>
          <t>M24</t>
        </is>
      </c>
    </row>
    <row r="7">
      <c r="A7" s="11" t="inlineStr">
        <is>
          <t>Month end date</t>
        </is>
      </c>
      <c r="B7" s="11" t="inlineStr">
        <is>
          <t>date</t>
        </is>
      </c>
      <c r="C7" s="26" t="n">
        <v>45322</v>
      </c>
      <c r="D7" s="26" t="n">
        <v>45351</v>
      </c>
      <c r="E7" s="26" t="n">
        <v>45382</v>
      </c>
      <c r="F7" s="26" t="n">
        <v>45412</v>
      </c>
      <c r="G7" s="26" t="n">
        <v>45443</v>
      </c>
      <c r="H7" s="26" t="n">
        <v>45473</v>
      </c>
      <c r="I7" s="26" t="n">
        <v>45504</v>
      </c>
      <c r="J7" s="26" t="n">
        <v>45535</v>
      </c>
      <c r="K7" s="26" t="n">
        <v>45565</v>
      </c>
      <c r="L7" s="26" t="n">
        <v>45596</v>
      </c>
      <c r="M7" s="26" t="n">
        <v>45626</v>
      </c>
      <c r="N7" s="26" t="n">
        <v>45657</v>
      </c>
      <c r="O7" s="26" t="n">
        <v>45688</v>
      </c>
      <c r="P7" s="26" t="n">
        <v>45716</v>
      </c>
      <c r="Q7" s="26" t="n">
        <v>45747</v>
      </c>
      <c r="R7" s="26" t="n">
        <v>45777</v>
      </c>
      <c r="S7" s="26" t="n">
        <v>45808</v>
      </c>
      <c r="T7" s="26" t="n">
        <v>45838</v>
      </c>
      <c r="U7" s="26" t="n">
        <v>45869</v>
      </c>
      <c r="V7" s="26" t="n">
        <v>45900</v>
      </c>
      <c r="W7" s="26" t="n">
        <v>45930</v>
      </c>
      <c r="X7" s="26" t="n">
        <v>45961</v>
      </c>
      <c r="Y7" s="26" t="n">
        <v>45991</v>
      </c>
      <c r="Z7" s="26" t="n">
        <v>46022</v>
      </c>
    </row>
    <row r="8">
      <c r="A8" s="9" t="inlineStr">
        <is>
          <t>Gross receivables (reported)</t>
        </is>
      </c>
      <c r="B8" s="11" t="inlineStr">
        <is>
          <t>LCY</t>
        </is>
      </c>
      <c r="C8" s="27" t="n">
        <v>18461150</v>
      </c>
      <c r="D8" s="27" t="n">
        <v>38420620</v>
      </c>
      <c r="E8" s="27" t="n">
        <v>56840385</v>
      </c>
      <c r="F8" s="27" t="n">
        <v>77055090</v>
      </c>
      <c r="G8" s="27" t="n">
        <v>98707832</v>
      </c>
      <c r="H8" s="27" t="n">
        <v>121500523</v>
      </c>
      <c r="I8" s="27" t="n">
        <v>141344073</v>
      </c>
      <c r="J8" s="27" t="n">
        <v>163691705</v>
      </c>
      <c r="K8" s="27" t="n">
        <v>187223637</v>
      </c>
      <c r="L8" s="27" t="n">
        <v>212382977</v>
      </c>
      <c r="M8" s="27" t="n">
        <v>236055950</v>
      </c>
      <c r="N8" s="27" t="n">
        <v>259723485</v>
      </c>
      <c r="O8" s="27" t="n">
        <v>283064395</v>
      </c>
      <c r="P8" s="27" t="n">
        <v>307163697</v>
      </c>
      <c r="Q8" s="27" t="n">
        <v>330080892</v>
      </c>
      <c r="R8" s="27" t="n">
        <v>352212775</v>
      </c>
      <c r="S8" s="27" t="n">
        <v>374819078</v>
      </c>
      <c r="T8" s="27" t="n">
        <v>398269903</v>
      </c>
      <c r="U8" s="27" t="n">
        <v>424270392</v>
      </c>
      <c r="V8" s="27" t="n">
        <v>447026265</v>
      </c>
      <c r="W8" s="27" t="n">
        <v>469320872</v>
      </c>
      <c r="X8" s="27" t="n">
        <v>493888285</v>
      </c>
      <c r="Y8" s="27" t="n">
        <v>513864362</v>
      </c>
      <c r="Z8" s="27" t="n">
        <v>536043223</v>
      </c>
    </row>
    <row r="9">
      <c r="A9" s="11" t="inlineStr">
        <is>
          <t>Current</t>
        </is>
      </c>
      <c r="B9" s="11" t="inlineStr">
        <is>
          <t>LCY</t>
        </is>
      </c>
      <c r="C9" s="27" t="n">
        <v>15876589</v>
      </c>
      <c r="D9" s="27" t="n">
        <v>32591980</v>
      </c>
      <c r="E9" s="27" t="n">
        <v>47537037</v>
      </c>
      <c r="F9" s="27" t="n">
        <v>63651185</v>
      </c>
      <c r="G9" s="27" t="n">
        <v>80606617</v>
      </c>
      <c r="H9" s="27" t="n">
        <v>98158469</v>
      </c>
      <c r="I9" s="27" t="n">
        <v>112800688</v>
      </c>
      <c r="J9" s="27" t="n">
        <v>129321433</v>
      </c>
      <c r="K9" s="27" t="n">
        <v>146554710</v>
      </c>
      <c r="L9" s="27" t="n">
        <v>164889292</v>
      </c>
      <c r="M9" s="27" t="n">
        <v>181649931</v>
      </c>
      <c r="N9" s="27" t="n">
        <v>198177227</v>
      </c>
      <c r="O9" s="27" t="n">
        <v>214238141</v>
      </c>
      <c r="P9" s="27" t="n">
        <v>230770575</v>
      </c>
      <c r="Q9" s="27" t="n">
        <v>246126841</v>
      </c>
      <c r="R9" s="27" t="n">
        <v>260700565</v>
      </c>
      <c r="S9" s="27" t="n">
        <v>275623491</v>
      </c>
      <c r="T9" s="27" t="n">
        <v>291236718</v>
      </c>
      <c r="U9" s="27" t="n">
        <v>309006008</v>
      </c>
      <c r="V9" s="27" t="n">
        <v>323924509</v>
      </c>
      <c r="W9" s="27" t="n">
        <v>338494271</v>
      </c>
      <c r="X9" s="27" t="n">
        <v>355101191</v>
      </c>
      <c r="Y9" s="27" t="n">
        <v>367814951</v>
      </c>
      <c r="Z9" s="27" t="n">
        <v>382613028</v>
      </c>
    </row>
    <row r="10">
      <c r="A10" s="11" t="inlineStr">
        <is>
          <t>1 to 30 DPD</t>
        </is>
      </c>
      <c r="B10" s="11" t="inlineStr">
        <is>
          <t>LCY</t>
        </is>
      </c>
      <c r="C10" s="27" t="n">
        <v>2584561</v>
      </c>
      <c r="D10" s="27" t="n">
        <v>5305671</v>
      </c>
      <c r="E10" s="27" t="n">
        <v>7738587</v>
      </c>
      <c r="F10" s="27" t="n">
        <v>10361821</v>
      </c>
      <c r="G10" s="27" t="n">
        <v>13122007</v>
      </c>
      <c r="H10" s="27" t="n">
        <v>15979286</v>
      </c>
      <c r="I10" s="27" t="n">
        <v>18362903</v>
      </c>
      <c r="J10" s="27" t="n">
        <v>21052326</v>
      </c>
      <c r="K10" s="27" t="n">
        <v>23857744</v>
      </c>
      <c r="L10" s="27" t="n">
        <v>26842443</v>
      </c>
      <c r="M10" s="27" t="n">
        <v>29570919</v>
      </c>
      <c r="N10" s="27" t="n">
        <v>32261409</v>
      </c>
      <c r="O10" s="27" t="n">
        <v>34875976</v>
      </c>
      <c r="P10" s="27" t="n">
        <v>37567303</v>
      </c>
      <c r="Q10" s="27" t="n">
        <v>40067160</v>
      </c>
      <c r="R10" s="27" t="n">
        <v>42439627</v>
      </c>
      <c r="S10" s="27" t="n">
        <v>44868940</v>
      </c>
      <c r="T10" s="27" t="n">
        <v>47410629</v>
      </c>
      <c r="U10" s="27" t="n">
        <v>50303304</v>
      </c>
      <c r="V10" s="27" t="n">
        <v>52731897</v>
      </c>
      <c r="W10" s="27" t="n">
        <v>55103718</v>
      </c>
      <c r="X10" s="27" t="n">
        <v>57807171</v>
      </c>
      <c r="Y10" s="27" t="n">
        <v>59876852</v>
      </c>
      <c r="Z10" s="27" t="n">
        <v>62285842</v>
      </c>
    </row>
    <row r="11">
      <c r="A11" s="11" t="inlineStr">
        <is>
          <t>31 to 60 DPD</t>
        </is>
      </c>
      <c r="B11" s="11" t="inlineStr">
        <is>
          <t>LCY</t>
        </is>
      </c>
      <c r="C11" s="27" t="n">
        <v>0</v>
      </c>
      <c r="D11" s="27" t="n">
        <v>154725</v>
      </c>
      <c r="E11" s="27" t="n">
        <v>290631</v>
      </c>
      <c r="F11" s="27" t="n">
        <v>684193</v>
      </c>
      <c r="G11" s="27" t="n">
        <v>439604</v>
      </c>
      <c r="H11" s="27" t="n">
        <v>2311899</v>
      </c>
      <c r="I11" s="27" t="n">
        <v>1532710</v>
      </c>
      <c r="J11" s="27" t="n">
        <v>2691947</v>
      </c>
      <c r="K11" s="27" t="n">
        <v>3173512</v>
      </c>
      <c r="L11" s="27" t="n">
        <v>3756337</v>
      </c>
      <c r="M11" s="27" t="n">
        <v>4918838</v>
      </c>
      <c r="N11" s="27" t="n">
        <v>5360626</v>
      </c>
      <c r="O11" s="27" t="n">
        <v>6899067</v>
      </c>
      <c r="P11" s="27" t="n">
        <v>9903716</v>
      </c>
      <c r="Q11" s="27" t="n">
        <v>9595264</v>
      </c>
      <c r="R11" s="27" t="n">
        <v>14250956</v>
      </c>
      <c r="S11" s="27" t="n">
        <v>8542448</v>
      </c>
      <c r="T11" s="27" t="n">
        <v>12299315</v>
      </c>
      <c r="U11" s="27" t="n">
        <v>12064344</v>
      </c>
      <c r="V11" s="27" t="n">
        <v>10862364</v>
      </c>
      <c r="W11" s="27" t="n">
        <v>13338398</v>
      </c>
      <c r="X11" s="27" t="n">
        <v>12813022</v>
      </c>
      <c r="Y11" s="27" t="n">
        <v>11743009</v>
      </c>
      <c r="Z11" s="27" t="n">
        <v>18234338</v>
      </c>
    </row>
    <row r="12">
      <c r="A12" s="11" t="inlineStr">
        <is>
          <t>61 to 90 DPD</t>
        </is>
      </c>
      <c r="B12" s="11" t="inlineStr">
        <is>
          <t>LCY</t>
        </is>
      </c>
      <c r="C12" s="27" t="n">
        <v>0</v>
      </c>
      <c r="D12" s="27" t="n">
        <v>145708</v>
      </c>
      <c r="E12" s="27" t="n">
        <v>253627</v>
      </c>
      <c r="F12" s="27" t="n">
        <v>624147</v>
      </c>
      <c r="G12" s="27" t="n">
        <v>775201</v>
      </c>
      <c r="H12" s="27" t="n">
        <v>969055</v>
      </c>
      <c r="I12" s="27" t="n">
        <v>2386818</v>
      </c>
      <c r="J12" s="27" t="n">
        <v>1709197</v>
      </c>
      <c r="K12" s="27" t="n">
        <v>1880842</v>
      </c>
      <c r="L12" s="27" t="n">
        <v>2754214</v>
      </c>
      <c r="M12" s="27" t="n">
        <v>4861658</v>
      </c>
      <c r="N12" s="27" t="n">
        <v>4339816</v>
      </c>
      <c r="O12" s="27" t="n">
        <v>6520400</v>
      </c>
      <c r="P12" s="27" t="n">
        <v>4080594</v>
      </c>
      <c r="Q12" s="27" t="n">
        <v>9169950</v>
      </c>
      <c r="R12" s="27" t="n">
        <v>7121566</v>
      </c>
      <c r="S12" s="27" t="n">
        <v>10635097</v>
      </c>
      <c r="T12" s="27" t="n">
        <v>10341184</v>
      </c>
      <c r="U12" s="27" t="n">
        <v>15982467</v>
      </c>
      <c r="V12" s="27" t="n">
        <v>9715704</v>
      </c>
      <c r="W12" s="27" t="n">
        <v>13301034</v>
      </c>
      <c r="X12" s="27" t="n">
        <v>11094301</v>
      </c>
      <c r="Y12" s="27" t="n">
        <v>11239960</v>
      </c>
      <c r="Z12" s="27" t="n">
        <v>15141867</v>
      </c>
    </row>
    <row r="13">
      <c r="A13" s="11" t="inlineStr">
        <is>
          <t>91 to 180 DPD</t>
        </is>
      </c>
      <c r="B13" s="11" t="inlineStr">
        <is>
          <t>LCY</t>
        </is>
      </c>
      <c r="C13" s="27" t="n">
        <v>0</v>
      </c>
      <c r="D13" s="27" t="n">
        <v>104961</v>
      </c>
      <c r="E13" s="27" t="n">
        <v>527016</v>
      </c>
      <c r="F13" s="27" t="n">
        <v>449567</v>
      </c>
      <c r="G13" s="27" t="n">
        <v>926354</v>
      </c>
      <c r="H13" s="27" t="n">
        <v>1414128</v>
      </c>
      <c r="I13" s="27" t="n">
        <v>1679179</v>
      </c>
      <c r="J13" s="27" t="n">
        <v>3066810</v>
      </c>
      <c r="K13" s="27" t="n">
        <v>4999691</v>
      </c>
      <c r="L13" s="27" t="n">
        <v>4945659</v>
      </c>
      <c r="M13" s="27" t="n">
        <v>5067155</v>
      </c>
      <c r="N13" s="27" t="n">
        <v>7938819</v>
      </c>
      <c r="O13" s="27" t="n">
        <v>6579875</v>
      </c>
      <c r="P13" s="27" t="n">
        <v>10262787</v>
      </c>
      <c r="Q13" s="27" t="n">
        <v>8618951</v>
      </c>
      <c r="R13" s="27" t="n">
        <v>9703177</v>
      </c>
      <c r="S13" s="27" t="n">
        <v>14934420</v>
      </c>
      <c r="T13" s="27" t="n">
        <v>21203346</v>
      </c>
      <c r="U13" s="27" t="n">
        <v>16357430</v>
      </c>
      <c r="V13" s="27" t="n">
        <v>17771514</v>
      </c>
      <c r="W13" s="27" t="n">
        <v>20929363</v>
      </c>
      <c r="X13" s="27" t="n">
        <v>24752048</v>
      </c>
      <c r="Y13" s="27" t="n">
        <v>30095014</v>
      </c>
      <c r="Z13" s="27" t="n">
        <v>23088469</v>
      </c>
    </row>
    <row r="14">
      <c r="A14" s="11" t="inlineStr">
        <is>
          <t>Over 180 DPD</t>
        </is>
      </c>
      <c r="B14" s="11" t="inlineStr">
        <is>
          <t>LCY</t>
        </is>
      </c>
      <c r="C14" s="27" t="n">
        <v>0</v>
      </c>
      <c r="D14" s="27" t="n">
        <v>117576</v>
      </c>
      <c r="E14" s="27" t="n">
        <v>493487</v>
      </c>
      <c r="F14" s="27" t="n">
        <v>1284177</v>
      </c>
      <c r="G14" s="27" t="n">
        <v>2838048</v>
      </c>
      <c r="H14" s="27" t="n">
        <v>2667687</v>
      </c>
      <c r="I14" s="27" t="n">
        <v>4581775</v>
      </c>
      <c r="J14" s="27" t="n">
        <v>5849992</v>
      </c>
      <c r="K14" s="27" t="n">
        <v>6757138</v>
      </c>
      <c r="L14" s="27" t="n">
        <v>9195033</v>
      </c>
      <c r="M14" s="27" t="n">
        <v>9987448</v>
      </c>
      <c r="N14" s="27" t="n">
        <v>11645587</v>
      </c>
      <c r="O14" s="27" t="n">
        <v>13950936</v>
      </c>
      <c r="P14" s="27" t="n">
        <v>14578722</v>
      </c>
      <c r="Q14" s="27" t="n">
        <v>16502725</v>
      </c>
      <c r="R14" s="27" t="n">
        <v>17996885</v>
      </c>
      <c r="S14" s="27" t="n">
        <v>20214681</v>
      </c>
      <c r="T14" s="27" t="n">
        <v>15778712</v>
      </c>
      <c r="U14" s="27" t="n">
        <v>20556839</v>
      </c>
      <c r="V14" s="27" t="n">
        <v>32020278</v>
      </c>
      <c r="W14" s="27" t="n">
        <v>28154087</v>
      </c>
      <c r="X14" s="27" t="n">
        <v>32320552</v>
      </c>
      <c r="Y14" s="27" t="n">
        <v>33094575</v>
      </c>
      <c r="Z14" s="27" t="n">
        <v>34679680</v>
      </c>
    </row>
    <row r="15">
      <c r="A15" s="11" t="inlineStr">
        <is>
          <t>Instalments due in month (excluding deposits)</t>
        </is>
      </c>
      <c r="B15" s="11" t="inlineStr">
        <is>
          <t>LCY</t>
        </is>
      </c>
      <c r="C15" s="27" t="n">
        <v>0</v>
      </c>
      <c r="D15" s="27" t="n">
        <v>1154799</v>
      </c>
      <c r="E15" s="27" t="n">
        <v>2434155</v>
      </c>
      <c r="F15" s="27" t="n">
        <v>3673999</v>
      </c>
      <c r="G15" s="27" t="n">
        <v>5093727</v>
      </c>
      <c r="H15" s="27" t="n">
        <v>6637008</v>
      </c>
      <c r="I15" s="27" t="n">
        <v>8301317</v>
      </c>
      <c r="J15" s="27" t="n">
        <v>9869813</v>
      </c>
      <c r="K15" s="27" t="n">
        <v>11654176</v>
      </c>
      <c r="L15" s="27" t="n">
        <v>13583962</v>
      </c>
      <c r="M15" s="27" t="n">
        <v>15665557</v>
      </c>
      <c r="N15" s="27" t="n">
        <v>17756794</v>
      </c>
      <c r="O15" s="27" t="n">
        <v>19917381</v>
      </c>
      <c r="P15" s="27" t="n">
        <v>22063611</v>
      </c>
      <c r="Q15" s="27" t="n">
        <v>24314262</v>
      </c>
      <c r="R15" s="27" t="n">
        <v>26580091</v>
      </c>
      <c r="S15" s="27" t="n">
        <v>28860672</v>
      </c>
      <c r="T15" s="27" t="n">
        <v>31227058</v>
      </c>
      <c r="U15" s="27" t="n">
        <v>33742820</v>
      </c>
      <c r="V15" s="27" t="n">
        <v>36488320</v>
      </c>
      <c r="W15" s="27" t="n">
        <v>39153672</v>
      </c>
      <c r="X15" s="27" t="n">
        <v>41852542</v>
      </c>
      <c r="Y15" s="27" t="n">
        <v>44834592</v>
      </c>
      <c r="Z15" s="27" t="n">
        <v>47625109</v>
      </c>
    </row>
    <row r="16">
      <c r="A16" s="11" t="inlineStr">
        <is>
          <t>Instalments collected in month (excluding deposits)</t>
        </is>
      </c>
      <c r="B16" s="11" t="inlineStr">
        <is>
          <t>LCY</t>
        </is>
      </c>
      <c r="C16" s="27" t="n">
        <v>0</v>
      </c>
      <c r="D16" s="27" t="n">
        <v>1007013</v>
      </c>
      <c r="E16" s="27" t="n">
        <v>2074572</v>
      </c>
      <c r="F16" s="27" t="n">
        <v>2950068</v>
      </c>
      <c r="G16" s="27" t="n">
        <v>4118571</v>
      </c>
      <c r="H16" s="27" t="n">
        <v>5348943</v>
      </c>
      <c r="I16" s="27" t="n">
        <v>6662015</v>
      </c>
      <c r="J16" s="27" t="n">
        <v>7648116</v>
      </c>
      <c r="K16" s="27" t="n">
        <v>8996222</v>
      </c>
      <c r="L16" s="27" t="n">
        <v>10269182</v>
      </c>
      <c r="M16" s="27" t="n">
        <v>11834787</v>
      </c>
      <c r="N16" s="27" t="n">
        <v>13246472</v>
      </c>
      <c r="O16" s="27" t="n">
        <v>14733873</v>
      </c>
      <c r="P16" s="27" t="n">
        <v>16064161</v>
      </c>
      <c r="Q16" s="27" t="n">
        <v>17710090</v>
      </c>
      <c r="R16" s="27" t="n">
        <v>18866297</v>
      </c>
      <c r="S16" s="27" t="n">
        <v>20490082</v>
      </c>
      <c r="T16" s="27" t="n">
        <v>21825577</v>
      </c>
      <c r="U16" s="27" t="n">
        <v>23489918</v>
      </c>
      <c r="V16" s="27" t="n">
        <v>25023707</v>
      </c>
      <c r="W16" s="27" t="n">
        <v>26868824</v>
      </c>
      <c r="X16" s="27" t="n">
        <v>28372965</v>
      </c>
      <c r="Y16" s="27" t="n">
        <v>29913116</v>
      </c>
      <c r="Z16" s="27" t="n">
        <v>31659766</v>
      </c>
    </row>
    <row r="17">
      <c r="A17" s="11" t="inlineStr">
        <is>
          <t>Deposits collected</t>
        </is>
      </c>
      <c r="B17" s="11" t="inlineStr">
        <is>
          <t>LCY</t>
        </is>
      </c>
      <c r="C17" s="27" t="n">
        <v>2761350</v>
      </c>
      <c r="D17" s="27" t="n">
        <v>3142350</v>
      </c>
      <c r="E17" s="27" t="n">
        <v>3044700</v>
      </c>
      <c r="F17" s="27" t="n">
        <v>3368350</v>
      </c>
      <c r="G17" s="27" t="n">
        <v>3813750</v>
      </c>
      <c r="H17" s="27" t="n">
        <v>4148000</v>
      </c>
      <c r="I17" s="27" t="n">
        <v>3802450</v>
      </c>
      <c r="J17" s="27" t="n">
        <v>4304250</v>
      </c>
      <c r="K17" s="27" t="n">
        <v>4671500</v>
      </c>
      <c r="L17" s="27" t="n">
        <v>5109500</v>
      </c>
      <c r="M17" s="27" t="n">
        <v>5049100</v>
      </c>
      <c r="N17" s="27" t="n">
        <v>5316000</v>
      </c>
      <c r="O17" s="27" t="n">
        <v>5379500</v>
      </c>
      <c r="P17" s="27" t="n">
        <v>5750050</v>
      </c>
      <c r="Q17" s="27" t="n">
        <v>5726650</v>
      </c>
      <c r="R17" s="27" t="n">
        <v>5862600</v>
      </c>
      <c r="S17" s="27" t="n">
        <v>6211150</v>
      </c>
      <c r="T17" s="27" t="n">
        <v>6473150</v>
      </c>
      <c r="U17" s="27" t="n">
        <v>7153300</v>
      </c>
      <c r="V17" s="27" t="n">
        <v>6964000</v>
      </c>
      <c r="W17" s="27" t="n">
        <v>7110200</v>
      </c>
      <c r="X17" s="27" t="n">
        <v>7704650</v>
      </c>
      <c r="Y17" s="27" t="n">
        <v>7239550</v>
      </c>
      <c r="Z17" s="27" t="n">
        <v>7788800</v>
      </c>
    </row>
    <row r="18">
      <c r="A18" s="11" t="inlineStr">
        <is>
          <t>Write offs in month</t>
        </is>
      </c>
      <c r="B18" s="11" t="inlineStr">
        <is>
          <t>LCY</t>
        </is>
      </c>
      <c r="C18" s="27" t="n">
        <v>0</v>
      </c>
      <c r="D18" s="27" t="n">
        <v>147786</v>
      </c>
      <c r="E18" s="27" t="n">
        <v>359583</v>
      </c>
      <c r="F18" s="27" t="n">
        <v>723931</v>
      </c>
      <c r="G18" s="27" t="n">
        <v>975156</v>
      </c>
      <c r="H18" s="27" t="n">
        <v>1288065</v>
      </c>
      <c r="I18" s="27" t="n">
        <v>1639302</v>
      </c>
      <c r="J18" s="27" t="n">
        <v>2221696</v>
      </c>
      <c r="K18" s="27" t="n">
        <v>2657954</v>
      </c>
      <c r="L18" s="27" t="n">
        <v>3314780</v>
      </c>
      <c r="M18" s="27" t="n">
        <v>3830769</v>
      </c>
      <c r="N18" s="27" t="n">
        <v>4510322</v>
      </c>
      <c r="O18" s="27" t="n">
        <v>5183508</v>
      </c>
      <c r="P18" s="27" t="n">
        <v>5999450</v>
      </c>
      <c r="Q18" s="27" t="n">
        <v>6604172</v>
      </c>
      <c r="R18" s="27" t="n">
        <v>7713793</v>
      </c>
      <c r="S18" s="27" t="n">
        <v>8370590</v>
      </c>
      <c r="T18" s="27" t="n">
        <v>9401481</v>
      </c>
      <c r="U18" s="27" t="n">
        <v>10252903</v>
      </c>
      <c r="V18" s="27" t="n">
        <v>11464613</v>
      </c>
      <c r="W18" s="27" t="n">
        <v>12284848</v>
      </c>
      <c r="X18" s="27" t="n">
        <v>13479577</v>
      </c>
      <c r="Y18" s="27" t="n">
        <v>14921476</v>
      </c>
      <c r="Z18" s="27" t="n">
        <v>15965343</v>
      </c>
    </row>
    <row r="19">
      <c r="A19" s="11" t="inlineStr">
        <is>
          <t>Recoveries net of costs in month</t>
        </is>
      </c>
      <c r="B19" s="11" t="inlineStr">
        <is>
          <t>LCY</t>
        </is>
      </c>
      <c r="C19" s="27" t="n">
        <v>0</v>
      </c>
      <c r="D19" s="27" t="n">
        <v>1471</v>
      </c>
      <c r="E19" s="27" t="n">
        <v>3711</v>
      </c>
      <c r="F19" s="27" t="n">
        <v>8277</v>
      </c>
      <c r="G19" s="27" t="n">
        <v>10578</v>
      </c>
      <c r="H19" s="27" t="n">
        <v>14101</v>
      </c>
      <c r="I19" s="27" t="n">
        <v>17741</v>
      </c>
      <c r="J19" s="27" t="n">
        <v>24693</v>
      </c>
      <c r="K19" s="27" t="n">
        <v>29543</v>
      </c>
      <c r="L19" s="27" t="n">
        <v>36967</v>
      </c>
      <c r="M19" s="27" t="n">
        <v>41744</v>
      </c>
      <c r="N19" s="27" t="n">
        <v>48672</v>
      </c>
      <c r="O19" s="27" t="n">
        <v>56723</v>
      </c>
      <c r="P19" s="27" t="n">
        <v>65391</v>
      </c>
      <c r="Q19" s="27" t="n">
        <v>72653</v>
      </c>
      <c r="R19" s="27" t="n">
        <v>86572</v>
      </c>
      <c r="S19" s="27" t="n">
        <v>93939</v>
      </c>
      <c r="T19" s="27" t="n">
        <v>107539</v>
      </c>
      <c r="U19" s="27" t="n">
        <v>116670</v>
      </c>
      <c r="V19" s="27" t="n">
        <v>131533</v>
      </c>
      <c r="W19" s="27" t="n">
        <v>142028</v>
      </c>
      <c r="X19" s="27" t="n">
        <v>155407</v>
      </c>
      <c r="Y19" s="27" t="n">
        <v>173285</v>
      </c>
      <c r="Z19" s="27" t="n">
        <v>185829</v>
      </c>
    </row>
    <row r="20">
      <c r="A20" s="11" t="inlineStr">
        <is>
          <t>Units originated</t>
        </is>
      </c>
      <c r="B20" s="11" t="inlineStr">
        <is>
          <t>count</t>
        </is>
      </c>
      <c r="C20" s="27" t="n">
        <v>466</v>
      </c>
      <c r="D20" s="27" t="n">
        <v>501</v>
      </c>
      <c r="E20" s="27" t="n">
        <v>498</v>
      </c>
      <c r="F20" s="27" t="n">
        <v>592</v>
      </c>
      <c r="G20" s="27" t="n">
        <v>622</v>
      </c>
      <c r="H20" s="27" t="n">
        <v>657</v>
      </c>
      <c r="I20" s="27" t="n">
        <v>647</v>
      </c>
      <c r="J20" s="27" t="n">
        <v>728</v>
      </c>
      <c r="K20" s="27" t="n">
        <v>793</v>
      </c>
      <c r="L20" s="27" t="n">
        <v>816</v>
      </c>
      <c r="M20" s="27" t="n">
        <v>849</v>
      </c>
      <c r="N20" s="27" t="n">
        <v>869</v>
      </c>
      <c r="O20" s="27" t="n">
        <v>936</v>
      </c>
      <c r="P20" s="27" t="n">
        <v>959</v>
      </c>
      <c r="Q20" s="27" t="n">
        <v>981</v>
      </c>
      <c r="R20" s="27" t="n">
        <v>1001</v>
      </c>
      <c r="S20" s="27" t="n">
        <v>1020</v>
      </c>
      <c r="T20" s="27" t="n">
        <v>1078</v>
      </c>
      <c r="U20" s="27" t="n">
        <v>1146</v>
      </c>
      <c r="V20" s="27" t="n">
        <v>1164</v>
      </c>
      <c r="W20" s="27" t="n">
        <v>1154</v>
      </c>
      <c r="X20" s="27" t="n">
        <v>1287</v>
      </c>
      <c r="Y20" s="27" t="n">
        <v>1210</v>
      </c>
      <c r="Z20" s="27" t="n">
        <v>1307</v>
      </c>
    </row>
    <row r="21">
      <c r="A21" s="11" t="inlineStr">
        <is>
          <t>Receivables at risk (company definition, optional)</t>
        </is>
      </c>
      <c r="B21" s="11" t="inlineStr">
        <is>
          <t>LCY</t>
        </is>
      </c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</row>
    <row r="22">
      <c r="A22" s="11" t="inlineStr">
        <is>
          <t>Active accounts (optional)</t>
        </is>
      </c>
      <c r="B22" s="11" t="inlineStr">
        <is>
          <t>count</t>
        </is>
      </c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</row>
    <row r="23">
      <c r="A23" s="11" t="inlineStr">
        <is>
          <t>Open accounts, not paid off or written off (optional)</t>
        </is>
      </c>
      <c r="B23" s="11" t="inlineStr">
        <is>
          <t>count</t>
        </is>
      </c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</row>
    <row r="24">
      <c r="A24" s="11" t="inlineStr">
        <is>
          <t>Facility drawn</t>
        </is>
      </c>
      <c r="B24" s="11" t="inlineStr">
        <is>
          <t>LCY</t>
        </is>
      </c>
      <c r="C24" s="27" t="n">
        <v>0</v>
      </c>
      <c r="D24" s="27" t="n">
        <v>0</v>
      </c>
      <c r="E24" s="27" t="n">
        <v>0</v>
      </c>
      <c r="F24" s="27" t="n">
        <v>0</v>
      </c>
      <c r="G24" s="27" t="n">
        <v>0</v>
      </c>
      <c r="H24" s="27" t="n">
        <v>0</v>
      </c>
      <c r="I24" s="27" t="n">
        <v>0</v>
      </c>
      <c r="J24" s="27" t="n">
        <v>0</v>
      </c>
      <c r="K24" s="27" t="n">
        <v>0</v>
      </c>
      <c r="L24" s="27" t="n">
        <v>0</v>
      </c>
      <c r="M24" s="27" t="n">
        <v>0</v>
      </c>
      <c r="N24" s="27" t="n">
        <v>0</v>
      </c>
      <c r="O24" s="27" t="n">
        <v>0</v>
      </c>
      <c r="P24" s="27" t="n">
        <v>0</v>
      </c>
      <c r="Q24" s="27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</row>
    <row r="25"/>
    <row r="26">
      <c r="A26" s="20" t="inlineStr">
        <is>
          <t>Example: synthetic SolaraPay history, Tiers 1 to 3 combined (fictional). Facility drawn is set to zero because the facility had not been signed in the history period.</t>
        </is>
      </c>
    </row>
  </sheetData>
  <printOptions horizontalCentered="1"/>
  <pageMargins left="0.5" right="0.5" top="0.6" bottom="0.7" header="0.5" footer="0.5"/>
  <pageSetup orientation="landscape" paperSize="9" fitToHeight="0" fitToWidth="1"/>
  <headerFooter>
    <oddHeader/>
    <oddFooter>&amp;L&amp;"Arial"&amp;8 Africa Energy Finance | Book 2 Template T05 | Version 0.9 (pre-release)&amp;C&amp;"Arial"&amp;8 &amp;A&amp;R&amp;"Arial"&amp;8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Z3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AFRICA ENERGY FINANCE  |  BOOK 2  |  PAYGO SOLAR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2" customHeight="1">
      <c r="A2" s="3" t="inlineStr">
        <is>
          <t>Covenant tests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4" t="inlineStr">
        <is>
          <t>Thresholds are inputs; headroom and flags by month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5" t="inlineStr">
        <is>
          <t>Template T05  |  Version 0.9 (pre-release)  |  Author &amp; ideation: Emmanuel Boujieka Kamga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/>
    <row r="6">
      <c r="A6" s="7" t="inlineStr">
        <is>
          <t>Thresholds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11" t="inlineStr">
        <is>
          <t>Minimum trailing 3 month operational collection rate</t>
        </is>
      </c>
      <c r="B7" s="28" t="n">
        <v>0.7</v>
      </c>
    </row>
    <row r="8">
      <c r="A8" s="11" t="inlineStr">
        <is>
          <t>Maximum RaR</t>
        </is>
      </c>
      <c r="B8" s="28" t="n">
        <v>0.15</v>
      </c>
    </row>
    <row r="9">
      <c r="A9" s="11" t="inlineStr">
        <is>
          <t>Maximum PAR30</t>
        </is>
      </c>
      <c r="B9" s="28" t="n">
        <v>0.25</v>
      </c>
    </row>
    <row r="10">
      <c r="A10" s="11" t="inlineStr">
        <is>
          <t>Maximum PAR90</t>
        </is>
      </c>
      <c r="B10" s="28" t="n">
        <v>0.18</v>
      </c>
    </row>
    <row r="11">
      <c r="A11" s="11" t="inlineStr">
        <is>
          <t>Minimum borrowing base headroom (LCY)</t>
        </is>
      </c>
      <c r="B11" s="27" t="n">
        <v>0</v>
      </c>
    </row>
    <row r="12">
      <c r="A12" s="11" t="inlineStr">
        <is>
          <t>Blended advance rate on eligible receivables</t>
        </is>
      </c>
      <c r="B12" s="28" t="n">
        <v>0.7</v>
      </c>
    </row>
    <row r="13">
      <c r="A13" s="11" t="inlineStr">
        <is>
          <t>Watch list when headroom is below this share of the threshold</t>
        </is>
      </c>
      <c r="B13" s="28" t="n">
        <v>0.1</v>
      </c>
    </row>
    <row r="14"/>
    <row r="15" ht="30" customHeight="1">
      <c r="A15" s="14" t="inlineStr">
        <is>
          <t>Test (1 = breach)</t>
        </is>
      </c>
      <c r="B15" s="14" t="inlineStr"/>
      <c r="C15" s="14" t="inlineStr">
        <is>
          <t>M1</t>
        </is>
      </c>
      <c r="D15" s="14" t="inlineStr">
        <is>
          <t>M2</t>
        </is>
      </c>
      <c r="E15" s="14" t="inlineStr">
        <is>
          <t>M3</t>
        </is>
      </c>
      <c r="F15" s="14" t="inlineStr">
        <is>
          <t>M4</t>
        </is>
      </c>
      <c r="G15" s="14" t="inlineStr">
        <is>
          <t>M5</t>
        </is>
      </c>
      <c r="H15" s="14" t="inlineStr">
        <is>
          <t>M6</t>
        </is>
      </c>
      <c r="I15" s="14" t="inlineStr">
        <is>
          <t>M7</t>
        </is>
      </c>
      <c r="J15" s="14" t="inlineStr">
        <is>
          <t>M8</t>
        </is>
      </c>
      <c r="K15" s="14" t="inlineStr">
        <is>
          <t>M9</t>
        </is>
      </c>
      <c r="L15" s="14" t="inlineStr">
        <is>
          <t>M10</t>
        </is>
      </c>
      <c r="M15" s="14" t="inlineStr">
        <is>
          <t>M11</t>
        </is>
      </c>
      <c r="N15" s="14" t="inlineStr">
        <is>
          <t>M12</t>
        </is>
      </c>
      <c r="O15" s="14" t="inlineStr">
        <is>
          <t>M13</t>
        </is>
      </c>
      <c r="P15" s="14" t="inlineStr">
        <is>
          <t>M14</t>
        </is>
      </c>
      <c r="Q15" s="14" t="inlineStr">
        <is>
          <t>M15</t>
        </is>
      </c>
      <c r="R15" s="14" t="inlineStr">
        <is>
          <t>M16</t>
        </is>
      </c>
      <c r="S15" s="14" t="inlineStr">
        <is>
          <t>M17</t>
        </is>
      </c>
      <c r="T15" s="14" t="inlineStr">
        <is>
          <t>M18</t>
        </is>
      </c>
      <c r="U15" s="14" t="inlineStr">
        <is>
          <t>M19</t>
        </is>
      </c>
      <c r="V15" s="14" t="inlineStr">
        <is>
          <t>M20</t>
        </is>
      </c>
      <c r="W15" s="14" t="inlineStr">
        <is>
          <t>M21</t>
        </is>
      </c>
      <c r="X15" s="14" t="inlineStr">
        <is>
          <t>M22</t>
        </is>
      </c>
      <c r="Y15" s="14" t="inlineStr">
        <is>
          <t>M23</t>
        </is>
      </c>
      <c r="Z15" s="14" t="inlineStr">
        <is>
          <t>M24</t>
        </is>
      </c>
    </row>
    <row r="16">
      <c r="A16" s="11" t="inlineStr">
        <is>
          <t>Trailing 3 month operational collection rate</t>
        </is>
      </c>
      <c r="C16" s="22">
        <f>IF(KPIs!C12="","",IF(KPIs!C12&lt;$B$7,1,0))</f>
        <v/>
      </c>
      <c r="D16" s="22">
        <f>IF(KPIs!D12="","",IF(KPIs!D12&lt;$B$7,1,0))</f>
        <v/>
      </c>
      <c r="E16" s="22">
        <f>IF(KPIs!E12="","",IF(KPIs!E12&lt;$B$7,1,0))</f>
        <v/>
      </c>
      <c r="F16" s="22">
        <f>IF(KPIs!F12="","",IF(KPIs!F12&lt;$B$7,1,0))</f>
        <v/>
      </c>
      <c r="G16" s="22">
        <f>IF(KPIs!G12="","",IF(KPIs!G12&lt;$B$7,1,0))</f>
        <v/>
      </c>
      <c r="H16" s="22">
        <f>IF(KPIs!H12="","",IF(KPIs!H12&lt;$B$7,1,0))</f>
        <v/>
      </c>
      <c r="I16" s="22">
        <f>IF(KPIs!I12="","",IF(KPIs!I12&lt;$B$7,1,0))</f>
        <v/>
      </c>
      <c r="J16" s="22">
        <f>IF(KPIs!J12="","",IF(KPIs!J12&lt;$B$7,1,0))</f>
        <v/>
      </c>
      <c r="K16" s="22">
        <f>IF(KPIs!K12="","",IF(KPIs!K12&lt;$B$7,1,0))</f>
        <v/>
      </c>
      <c r="L16" s="22">
        <f>IF(KPIs!L12="","",IF(KPIs!L12&lt;$B$7,1,0))</f>
        <v/>
      </c>
      <c r="M16" s="22">
        <f>IF(KPIs!M12="","",IF(KPIs!M12&lt;$B$7,1,0))</f>
        <v/>
      </c>
      <c r="N16" s="22">
        <f>IF(KPIs!N12="","",IF(KPIs!N12&lt;$B$7,1,0))</f>
        <v/>
      </c>
      <c r="O16" s="22">
        <f>IF(KPIs!O12="","",IF(KPIs!O12&lt;$B$7,1,0))</f>
        <v/>
      </c>
      <c r="P16" s="22">
        <f>IF(KPIs!P12="","",IF(KPIs!P12&lt;$B$7,1,0))</f>
        <v/>
      </c>
      <c r="Q16" s="22">
        <f>IF(KPIs!Q12="","",IF(KPIs!Q12&lt;$B$7,1,0))</f>
        <v/>
      </c>
      <c r="R16" s="22">
        <f>IF(KPIs!R12="","",IF(KPIs!R12&lt;$B$7,1,0))</f>
        <v/>
      </c>
      <c r="S16" s="22">
        <f>IF(KPIs!S12="","",IF(KPIs!S12&lt;$B$7,1,0))</f>
        <v/>
      </c>
      <c r="T16" s="22">
        <f>IF(KPIs!T12="","",IF(KPIs!T12&lt;$B$7,1,0))</f>
        <v/>
      </c>
      <c r="U16" s="22">
        <f>IF(KPIs!U12="","",IF(KPIs!U12&lt;$B$7,1,0))</f>
        <v/>
      </c>
      <c r="V16" s="22">
        <f>IF(KPIs!V12="","",IF(KPIs!V12&lt;$B$7,1,0))</f>
        <v/>
      </c>
      <c r="W16" s="22">
        <f>IF(KPIs!W12="","",IF(KPIs!W12&lt;$B$7,1,0))</f>
        <v/>
      </c>
      <c r="X16" s="22">
        <f>IF(KPIs!X12="","",IF(KPIs!X12&lt;$B$7,1,0))</f>
        <v/>
      </c>
      <c r="Y16" s="22">
        <f>IF(KPIs!Y12="","",IF(KPIs!Y12&lt;$B$7,1,0))</f>
        <v/>
      </c>
      <c r="Z16" s="22">
        <f>IF(KPIs!Z12="","",IF(KPIs!Z12&lt;$B$7,1,0))</f>
        <v/>
      </c>
    </row>
    <row r="17">
      <c r="A17" s="11" t="inlineStr">
        <is>
          <t>RaR</t>
        </is>
      </c>
      <c r="C17" s="22">
        <f>IF(KPIs!C16="","",IF(KPIs!C16&gt;$B$8,1,0))</f>
        <v/>
      </c>
      <c r="D17" s="22">
        <f>IF(KPIs!D16="","",IF(KPIs!D16&gt;$B$8,1,0))</f>
        <v/>
      </c>
      <c r="E17" s="22">
        <f>IF(KPIs!E16="","",IF(KPIs!E16&gt;$B$8,1,0))</f>
        <v/>
      </c>
      <c r="F17" s="22">
        <f>IF(KPIs!F16="","",IF(KPIs!F16&gt;$B$8,1,0))</f>
        <v/>
      </c>
      <c r="G17" s="22">
        <f>IF(KPIs!G16="","",IF(KPIs!G16&gt;$B$8,1,0))</f>
        <v/>
      </c>
      <c r="H17" s="22">
        <f>IF(KPIs!H16="","",IF(KPIs!H16&gt;$B$8,1,0))</f>
        <v/>
      </c>
      <c r="I17" s="22">
        <f>IF(KPIs!I16="","",IF(KPIs!I16&gt;$B$8,1,0))</f>
        <v/>
      </c>
      <c r="J17" s="22">
        <f>IF(KPIs!J16="","",IF(KPIs!J16&gt;$B$8,1,0))</f>
        <v/>
      </c>
      <c r="K17" s="22">
        <f>IF(KPIs!K16="","",IF(KPIs!K16&gt;$B$8,1,0))</f>
        <v/>
      </c>
      <c r="L17" s="22">
        <f>IF(KPIs!L16="","",IF(KPIs!L16&gt;$B$8,1,0))</f>
        <v/>
      </c>
      <c r="M17" s="22">
        <f>IF(KPIs!M16="","",IF(KPIs!M16&gt;$B$8,1,0))</f>
        <v/>
      </c>
      <c r="N17" s="22">
        <f>IF(KPIs!N16="","",IF(KPIs!N16&gt;$B$8,1,0))</f>
        <v/>
      </c>
      <c r="O17" s="22">
        <f>IF(KPIs!O16="","",IF(KPIs!O16&gt;$B$8,1,0))</f>
        <v/>
      </c>
      <c r="P17" s="22">
        <f>IF(KPIs!P16="","",IF(KPIs!P16&gt;$B$8,1,0))</f>
        <v/>
      </c>
      <c r="Q17" s="22">
        <f>IF(KPIs!Q16="","",IF(KPIs!Q16&gt;$B$8,1,0))</f>
        <v/>
      </c>
      <c r="R17" s="22">
        <f>IF(KPIs!R16="","",IF(KPIs!R16&gt;$B$8,1,0))</f>
        <v/>
      </c>
      <c r="S17" s="22">
        <f>IF(KPIs!S16="","",IF(KPIs!S16&gt;$B$8,1,0))</f>
        <v/>
      </c>
      <c r="T17" s="22">
        <f>IF(KPIs!T16="","",IF(KPIs!T16&gt;$B$8,1,0))</f>
        <v/>
      </c>
      <c r="U17" s="22">
        <f>IF(KPIs!U16="","",IF(KPIs!U16&gt;$B$8,1,0))</f>
        <v/>
      </c>
      <c r="V17" s="22">
        <f>IF(KPIs!V16="","",IF(KPIs!V16&gt;$B$8,1,0))</f>
        <v/>
      </c>
      <c r="W17" s="22">
        <f>IF(KPIs!W16="","",IF(KPIs!W16&gt;$B$8,1,0))</f>
        <v/>
      </c>
      <c r="X17" s="22">
        <f>IF(KPIs!X16="","",IF(KPIs!X16&gt;$B$8,1,0))</f>
        <v/>
      </c>
      <c r="Y17" s="22">
        <f>IF(KPIs!Y16="","",IF(KPIs!Y16&gt;$B$8,1,0))</f>
        <v/>
      </c>
      <c r="Z17" s="22">
        <f>IF(KPIs!Z16="","",IF(KPIs!Z16&gt;$B$8,1,0))</f>
        <v/>
      </c>
    </row>
    <row r="18">
      <c r="A18" s="11" t="inlineStr">
        <is>
          <t>PAR30</t>
        </is>
      </c>
      <c r="C18" s="22">
        <f>IF(KPIs!C13="","",IF(KPIs!C13&gt;$B$9,1,0))</f>
        <v/>
      </c>
      <c r="D18" s="22">
        <f>IF(KPIs!D13="","",IF(KPIs!D13&gt;$B$9,1,0))</f>
        <v/>
      </c>
      <c r="E18" s="22">
        <f>IF(KPIs!E13="","",IF(KPIs!E13&gt;$B$9,1,0))</f>
        <v/>
      </c>
      <c r="F18" s="22">
        <f>IF(KPIs!F13="","",IF(KPIs!F13&gt;$B$9,1,0))</f>
        <v/>
      </c>
      <c r="G18" s="22">
        <f>IF(KPIs!G13="","",IF(KPIs!G13&gt;$B$9,1,0))</f>
        <v/>
      </c>
      <c r="H18" s="22">
        <f>IF(KPIs!H13="","",IF(KPIs!H13&gt;$B$9,1,0))</f>
        <v/>
      </c>
      <c r="I18" s="22">
        <f>IF(KPIs!I13="","",IF(KPIs!I13&gt;$B$9,1,0))</f>
        <v/>
      </c>
      <c r="J18" s="22">
        <f>IF(KPIs!J13="","",IF(KPIs!J13&gt;$B$9,1,0))</f>
        <v/>
      </c>
      <c r="K18" s="22">
        <f>IF(KPIs!K13="","",IF(KPIs!K13&gt;$B$9,1,0))</f>
        <v/>
      </c>
      <c r="L18" s="22">
        <f>IF(KPIs!L13="","",IF(KPIs!L13&gt;$B$9,1,0))</f>
        <v/>
      </c>
      <c r="M18" s="22">
        <f>IF(KPIs!M13="","",IF(KPIs!M13&gt;$B$9,1,0))</f>
        <v/>
      </c>
      <c r="N18" s="22">
        <f>IF(KPIs!N13="","",IF(KPIs!N13&gt;$B$9,1,0))</f>
        <v/>
      </c>
      <c r="O18" s="22">
        <f>IF(KPIs!O13="","",IF(KPIs!O13&gt;$B$9,1,0))</f>
        <v/>
      </c>
      <c r="P18" s="22">
        <f>IF(KPIs!P13="","",IF(KPIs!P13&gt;$B$9,1,0))</f>
        <v/>
      </c>
      <c r="Q18" s="22">
        <f>IF(KPIs!Q13="","",IF(KPIs!Q13&gt;$B$9,1,0))</f>
        <v/>
      </c>
      <c r="R18" s="22">
        <f>IF(KPIs!R13="","",IF(KPIs!R13&gt;$B$9,1,0))</f>
        <v/>
      </c>
      <c r="S18" s="22">
        <f>IF(KPIs!S13="","",IF(KPIs!S13&gt;$B$9,1,0))</f>
        <v/>
      </c>
      <c r="T18" s="22">
        <f>IF(KPIs!T13="","",IF(KPIs!T13&gt;$B$9,1,0))</f>
        <v/>
      </c>
      <c r="U18" s="22">
        <f>IF(KPIs!U13="","",IF(KPIs!U13&gt;$B$9,1,0))</f>
        <v/>
      </c>
      <c r="V18" s="22">
        <f>IF(KPIs!V13="","",IF(KPIs!V13&gt;$B$9,1,0))</f>
        <v/>
      </c>
      <c r="W18" s="22">
        <f>IF(KPIs!W13="","",IF(KPIs!W13&gt;$B$9,1,0))</f>
        <v/>
      </c>
      <c r="X18" s="22">
        <f>IF(KPIs!X13="","",IF(KPIs!X13&gt;$B$9,1,0))</f>
        <v/>
      </c>
      <c r="Y18" s="22">
        <f>IF(KPIs!Y13="","",IF(KPIs!Y13&gt;$B$9,1,0))</f>
        <v/>
      </c>
      <c r="Z18" s="22">
        <f>IF(KPIs!Z13="","",IF(KPIs!Z13&gt;$B$9,1,0))</f>
        <v/>
      </c>
    </row>
    <row r="19">
      <c r="A19" s="11" t="inlineStr">
        <is>
          <t>PAR90</t>
        </is>
      </c>
      <c r="C19" s="22">
        <f>IF(KPIs!C14="","",IF(KPIs!C14&gt;$B$10,1,0))</f>
        <v/>
      </c>
      <c r="D19" s="22">
        <f>IF(KPIs!D14="","",IF(KPIs!D14&gt;$B$10,1,0))</f>
        <v/>
      </c>
      <c r="E19" s="22">
        <f>IF(KPIs!E14="","",IF(KPIs!E14&gt;$B$10,1,0))</f>
        <v/>
      </c>
      <c r="F19" s="22">
        <f>IF(KPIs!F14="","",IF(KPIs!F14&gt;$B$10,1,0))</f>
        <v/>
      </c>
      <c r="G19" s="22">
        <f>IF(KPIs!G14="","",IF(KPIs!G14&gt;$B$10,1,0))</f>
        <v/>
      </c>
      <c r="H19" s="22">
        <f>IF(KPIs!H14="","",IF(KPIs!H14&gt;$B$10,1,0))</f>
        <v/>
      </c>
      <c r="I19" s="22">
        <f>IF(KPIs!I14="","",IF(KPIs!I14&gt;$B$10,1,0))</f>
        <v/>
      </c>
      <c r="J19" s="22">
        <f>IF(KPIs!J14="","",IF(KPIs!J14&gt;$B$10,1,0))</f>
        <v/>
      </c>
      <c r="K19" s="22">
        <f>IF(KPIs!K14="","",IF(KPIs!K14&gt;$B$10,1,0))</f>
        <v/>
      </c>
      <c r="L19" s="22">
        <f>IF(KPIs!L14="","",IF(KPIs!L14&gt;$B$10,1,0))</f>
        <v/>
      </c>
      <c r="M19" s="22">
        <f>IF(KPIs!M14="","",IF(KPIs!M14&gt;$B$10,1,0))</f>
        <v/>
      </c>
      <c r="N19" s="22">
        <f>IF(KPIs!N14="","",IF(KPIs!N14&gt;$B$10,1,0))</f>
        <v/>
      </c>
      <c r="O19" s="22">
        <f>IF(KPIs!O14="","",IF(KPIs!O14&gt;$B$10,1,0))</f>
        <v/>
      </c>
      <c r="P19" s="22">
        <f>IF(KPIs!P14="","",IF(KPIs!P14&gt;$B$10,1,0))</f>
        <v/>
      </c>
      <c r="Q19" s="22">
        <f>IF(KPIs!Q14="","",IF(KPIs!Q14&gt;$B$10,1,0))</f>
        <v/>
      </c>
      <c r="R19" s="22">
        <f>IF(KPIs!R14="","",IF(KPIs!R14&gt;$B$10,1,0))</f>
        <v/>
      </c>
      <c r="S19" s="22">
        <f>IF(KPIs!S14="","",IF(KPIs!S14&gt;$B$10,1,0))</f>
        <v/>
      </c>
      <c r="T19" s="22">
        <f>IF(KPIs!T14="","",IF(KPIs!T14&gt;$B$10,1,0))</f>
        <v/>
      </c>
      <c r="U19" s="22">
        <f>IF(KPIs!U14="","",IF(KPIs!U14&gt;$B$10,1,0))</f>
        <v/>
      </c>
      <c r="V19" s="22">
        <f>IF(KPIs!V14="","",IF(KPIs!V14&gt;$B$10,1,0))</f>
        <v/>
      </c>
      <c r="W19" s="22">
        <f>IF(KPIs!W14="","",IF(KPIs!W14&gt;$B$10,1,0))</f>
        <v/>
      </c>
      <c r="X19" s="22">
        <f>IF(KPIs!X14="","",IF(KPIs!X14&gt;$B$10,1,0))</f>
        <v/>
      </c>
      <c r="Y19" s="22">
        <f>IF(KPIs!Y14="","",IF(KPIs!Y14&gt;$B$10,1,0))</f>
        <v/>
      </c>
      <c r="Z19" s="22">
        <f>IF(KPIs!Z14="","",IF(KPIs!Z14&gt;$B$10,1,0))</f>
        <v/>
      </c>
    </row>
    <row r="20">
      <c r="A20" s="11" t="inlineStr">
        <is>
          <t>Borrowing base headroom</t>
        </is>
      </c>
      <c r="C20" s="22">
        <f>IF(N(Monthly_Input!C24)=0,"",IF(KPIs!C22&lt;$B$11,1,0))</f>
        <v/>
      </c>
      <c r="D20" s="22">
        <f>IF(N(Monthly_Input!D24)=0,"",IF(KPIs!D22&lt;$B$11,1,0))</f>
        <v/>
      </c>
      <c r="E20" s="22">
        <f>IF(N(Monthly_Input!E24)=0,"",IF(KPIs!E22&lt;$B$11,1,0))</f>
        <v/>
      </c>
      <c r="F20" s="22">
        <f>IF(N(Monthly_Input!F24)=0,"",IF(KPIs!F22&lt;$B$11,1,0))</f>
        <v/>
      </c>
      <c r="G20" s="22">
        <f>IF(N(Monthly_Input!G24)=0,"",IF(KPIs!G22&lt;$B$11,1,0))</f>
        <v/>
      </c>
      <c r="H20" s="22">
        <f>IF(N(Monthly_Input!H24)=0,"",IF(KPIs!H22&lt;$B$11,1,0))</f>
        <v/>
      </c>
      <c r="I20" s="22">
        <f>IF(N(Monthly_Input!I24)=0,"",IF(KPIs!I22&lt;$B$11,1,0))</f>
        <v/>
      </c>
      <c r="J20" s="22">
        <f>IF(N(Monthly_Input!J24)=0,"",IF(KPIs!J22&lt;$B$11,1,0))</f>
        <v/>
      </c>
      <c r="K20" s="22">
        <f>IF(N(Monthly_Input!K24)=0,"",IF(KPIs!K22&lt;$B$11,1,0))</f>
        <v/>
      </c>
      <c r="L20" s="22">
        <f>IF(N(Monthly_Input!L24)=0,"",IF(KPIs!L22&lt;$B$11,1,0))</f>
        <v/>
      </c>
      <c r="M20" s="22">
        <f>IF(N(Monthly_Input!M24)=0,"",IF(KPIs!M22&lt;$B$11,1,0))</f>
        <v/>
      </c>
      <c r="N20" s="22">
        <f>IF(N(Monthly_Input!N24)=0,"",IF(KPIs!N22&lt;$B$11,1,0))</f>
        <v/>
      </c>
      <c r="O20" s="22">
        <f>IF(N(Monthly_Input!O24)=0,"",IF(KPIs!O22&lt;$B$11,1,0))</f>
        <v/>
      </c>
      <c r="P20" s="22">
        <f>IF(N(Monthly_Input!P24)=0,"",IF(KPIs!P22&lt;$B$11,1,0))</f>
        <v/>
      </c>
      <c r="Q20" s="22">
        <f>IF(N(Monthly_Input!Q24)=0,"",IF(KPIs!Q22&lt;$B$11,1,0))</f>
        <v/>
      </c>
      <c r="R20" s="22">
        <f>IF(N(Monthly_Input!R24)=0,"",IF(KPIs!R22&lt;$B$11,1,0))</f>
        <v/>
      </c>
      <c r="S20" s="22">
        <f>IF(N(Monthly_Input!S24)=0,"",IF(KPIs!S22&lt;$B$11,1,0))</f>
        <v/>
      </c>
      <c r="T20" s="22">
        <f>IF(N(Monthly_Input!T24)=0,"",IF(KPIs!T22&lt;$B$11,1,0))</f>
        <v/>
      </c>
      <c r="U20" s="22">
        <f>IF(N(Monthly_Input!U24)=0,"",IF(KPIs!U22&lt;$B$11,1,0))</f>
        <v/>
      </c>
      <c r="V20" s="22">
        <f>IF(N(Monthly_Input!V24)=0,"",IF(KPIs!V22&lt;$B$11,1,0))</f>
        <v/>
      </c>
      <c r="W20" s="22">
        <f>IF(N(Monthly_Input!W24)=0,"",IF(KPIs!W22&lt;$B$11,1,0))</f>
        <v/>
      </c>
      <c r="X20" s="22">
        <f>IF(N(Monthly_Input!X24)=0,"",IF(KPIs!X22&lt;$B$11,1,0))</f>
        <v/>
      </c>
      <c r="Y20" s="22">
        <f>IF(N(Monthly_Input!Y24)=0,"",IF(KPIs!Y22&lt;$B$11,1,0))</f>
        <v/>
      </c>
      <c r="Z20" s="22">
        <f>IF(N(Monthly_Input!Z24)=0,"",IF(KPIs!Z22&lt;$B$11,1,0))</f>
        <v/>
      </c>
    </row>
    <row r="21">
      <c r="A21" s="9" t="inlineStr">
        <is>
          <t>Any covenant in breach</t>
        </is>
      </c>
      <c r="C21" s="21">
        <f>IF(COUNT(C16:C20)=0,"",IF(SUM(C16:C20)&gt;0,1,0))</f>
        <v/>
      </c>
      <c r="D21" s="21">
        <f>IF(COUNT(D16:D20)=0,"",IF(SUM(D16:D20)&gt;0,1,0))</f>
        <v/>
      </c>
      <c r="E21" s="21">
        <f>IF(COUNT(E16:E20)=0,"",IF(SUM(E16:E20)&gt;0,1,0))</f>
        <v/>
      </c>
      <c r="F21" s="21">
        <f>IF(COUNT(F16:F20)=0,"",IF(SUM(F16:F20)&gt;0,1,0))</f>
        <v/>
      </c>
      <c r="G21" s="21">
        <f>IF(COUNT(G16:G20)=0,"",IF(SUM(G16:G20)&gt;0,1,0))</f>
        <v/>
      </c>
      <c r="H21" s="21">
        <f>IF(COUNT(H16:H20)=0,"",IF(SUM(H16:H20)&gt;0,1,0))</f>
        <v/>
      </c>
      <c r="I21" s="21">
        <f>IF(COUNT(I16:I20)=0,"",IF(SUM(I16:I20)&gt;0,1,0))</f>
        <v/>
      </c>
      <c r="J21" s="21">
        <f>IF(COUNT(J16:J20)=0,"",IF(SUM(J16:J20)&gt;0,1,0))</f>
        <v/>
      </c>
      <c r="K21" s="21">
        <f>IF(COUNT(K16:K20)=0,"",IF(SUM(K16:K20)&gt;0,1,0))</f>
        <v/>
      </c>
      <c r="L21" s="21">
        <f>IF(COUNT(L16:L20)=0,"",IF(SUM(L16:L20)&gt;0,1,0))</f>
        <v/>
      </c>
      <c r="M21" s="21">
        <f>IF(COUNT(M16:M20)=0,"",IF(SUM(M16:M20)&gt;0,1,0))</f>
        <v/>
      </c>
      <c r="N21" s="21">
        <f>IF(COUNT(N16:N20)=0,"",IF(SUM(N16:N20)&gt;0,1,0))</f>
        <v/>
      </c>
      <c r="O21" s="21">
        <f>IF(COUNT(O16:O20)=0,"",IF(SUM(O16:O20)&gt;0,1,0))</f>
        <v/>
      </c>
      <c r="P21" s="21">
        <f>IF(COUNT(P16:P20)=0,"",IF(SUM(P16:P20)&gt;0,1,0))</f>
        <v/>
      </c>
      <c r="Q21" s="21">
        <f>IF(COUNT(Q16:Q20)=0,"",IF(SUM(Q16:Q20)&gt;0,1,0))</f>
        <v/>
      </c>
      <c r="R21" s="21">
        <f>IF(COUNT(R16:R20)=0,"",IF(SUM(R16:R20)&gt;0,1,0))</f>
        <v/>
      </c>
      <c r="S21" s="21">
        <f>IF(COUNT(S16:S20)=0,"",IF(SUM(S16:S20)&gt;0,1,0))</f>
        <v/>
      </c>
      <c r="T21" s="21">
        <f>IF(COUNT(T16:T20)=0,"",IF(SUM(T16:T20)&gt;0,1,0))</f>
        <v/>
      </c>
      <c r="U21" s="21">
        <f>IF(COUNT(U16:U20)=0,"",IF(SUM(U16:U20)&gt;0,1,0))</f>
        <v/>
      </c>
      <c r="V21" s="21">
        <f>IF(COUNT(V16:V20)=0,"",IF(SUM(V16:V20)&gt;0,1,0))</f>
        <v/>
      </c>
      <c r="W21" s="21">
        <f>IF(COUNT(W16:W20)=0,"",IF(SUM(W16:W20)&gt;0,1,0))</f>
        <v/>
      </c>
      <c r="X21" s="21">
        <f>IF(COUNT(X16:X20)=0,"",IF(SUM(X16:X20)&gt;0,1,0))</f>
        <v/>
      </c>
      <c r="Y21" s="21">
        <f>IF(COUNT(Y16:Y20)=0,"",IF(SUM(Y16:Y20)&gt;0,1,0))</f>
        <v/>
      </c>
      <c r="Z21" s="21">
        <f>IF(COUNT(Z16:Z20)=0,"",IF(SUM(Z16:Z20)&gt;0,1,0))</f>
        <v/>
      </c>
    </row>
    <row r="22">
      <c r="A22" s="9" t="inlineStr">
        <is>
          <t>Months in breach</t>
        </is>
      </c>
      <c r="B22" s="21">
        <f>SUM(C21:Z21)</f>
        <v/>
      </c>
    </row>
    <row r="23"/>
    <row r="24">
      <c r="A24" s="7" t="inlineStr">
        <is>
          <t>Latest month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30" customHeight="1">
      <c r="A25" s="14" t="inlineStr">
        <is>
          <t>Test</t>
        </is>
      </c>
      <c r="B25" s="14" t="inlineStr">
        <is>
          <t>Threshold</t>
        </is>
      </c>
      <c r="C25" s="14" t="inlineStr">
        <is>
          <t>Actual</t>
        </is>
      </c>
      <c r="D25" s="14" t="inlineStr">
        <is>
          <t>Headroom</t>
        </is>
      </c>
      <c r="E25" s="14" t="inlineStr">
        <is>
          <t>Status</t>
        </is>
      </c>
    </row>
    <row r="26">
      <c r="A26" s="11" t="inlineStr">
        <is>
          <t>Trailing 3 month operational collection rate</t>
        </is>
      </c>
      <c r="B26" s="18">
        <f>B7</f>
        <v/>
      </c>
      <c r="C26" s="18">
        <f>IFERROR(INDEX(KPIs!$C$12:$Z$12,MATCH(9.99E+307,KPIs!$C$12:$Z$12)),"")</f>
        <v/>
      </c>
      <c r="D26" s="18">
        <f>IF(C26="","",C26-B26)</f>
        <v/>
      </c>
      <c r="E26" s="12">
        <f>IF(C26="",IF(A26="Borrowing base headroom","No facility drawn","No data"),IF(D26&lt;0,"Breach",IF(D26&lt;ABS(B26)*$B$13,"Watch","Compliant")))</f>
        <v/>
      </c>
    </row>
    <row r="27">
      <c r="A27" s="11" t="inlineStr">
        <is>
          <t>RaR</t>
        </is>
      </c>
      <c r="B27" s="18">
        <f>B8</f>
        <v/>
      </c>
      <c r="C27" s="18">
        <f>IFERROR(INDEX(KPIs!$C$16:$Z$16,MATCH(9.99E+307,KPIs!$C$16:$Z$16)),"")</f>
        <v/>
      </c>
      <c r="D27" s="18">
        <f>IF(C27="","",B27-C27)</f>
        <v/>
      </c>
      <c r="E27" s="12">
        <f>IF(C27="",IF(A27="Borrowing base headroom","No facility drawn","No data"),IF(D27&lt;0,"Breach",IF(D27&lt;ABS(B27)*$B$13,"Watch","Compliant")))</f>
        <v/>
      </c>
    </row>
    <row r="28">
      <c r="A28" s="11" t="inlineStr">
        <is>
          <t>PAR30</t>
        </is>
      </c>
      <c r="B28" s="18">
        <f>B9</f>
        <v/>
      </c>
      <c r="C28" s="18">
        <f>IFERROR(INDEX(KPIs!$C$13:$Z$13,MATCH(9.99E+307,KPIs!$C$13:$Z$13)),"")</f>
        <v/>
      </c>
      <c r="D28" s="18">
        <f>IF(C28="","",B28-C28)</f>
        <v/>
      </c>
      <c r="E28" s="12">
        <f>IF(C28="",IF(A28="Borrowing base headroom","No facility drawn","No data"),IF(D28&lt;0,"Breach",IF(D28&lt;ABS(B28)*$B$13,"Watch","Compliant")))</f>
        <v/>
      </c>
    </row>
    <row r="29">
      <c r="A29" s="11" t="inlineStr">
        <is>
          <t>PAR90</t>
        </is>
      </c>
      <c r="B29" s="18">
        <f>B10</f>
        <v/>
      </c>
      <c r="C29" s="18">
        <f>IFERROR(INDEX(KPIs!$C$14:$Z$14,MATCH(9.99E+307,KPIs!$C$14:$Z$14)),"")</f>
        <v/>
      </c>
      <c r="D29" s="18">
        <f>IF(C29="","",B29-C29)</f>
        <v/>
      </c>
      <c r="E29" s="12">
        <f>IF(C29="",IF(A29="Borrowing base headroom","No facility drawn","No data"),IF(D29&lt;0,"Breach",IF(D29&lt;ABS(B29)*$B$13,"Watch","Compliant")))</f>
        <v/>
      </c>
    </row>
    <row r="30">
      <c r="A30" s="11" t="inlineStr">
        <is>
          <t>Borrowing base headroom</t>
        </is>
      </c>
      <c r="B30" s="22">
        <f>B11</f>
        <v/>
      </c>
      <c r="C30" s="22">
        <f>IF(N(IFERROR(INDEX(Monthly_Input!$C$24:$Z$24,MATCH(9.99E+307,Monthly_Input!$C$24:$Z$24)),0))=0,"",IFERROR(INDEX(KPIs!$C$22:$Z$22,MATCH(9.99E+307,KPIs!$C$22:$Z$22)),""))</f>
        <v/>
      </c>
      <c r="D30" s="22">
        <f>IF(C30="","",C30-B30)</f>
        <v/>
      </c>
      <c r="E30" s="12">
        <f>IF(C30="",IF(A30="Borrowing base headroom","No facility drawn","No data"),IF(D30&lt;0,"Breach",IF(D30&lt;ABS(B30)*$B$13,"Watch","Compliant")))</f>
        <v/>
      </c>
    </row>
    <row r="31"/>
    <row r="32">
      <c r="A32" s="20" t="inlineStr">
        <is>
          <t>Borrowing base headroom is tested only in months with a facility drawn. RaR is tested only when the company reports it.</t>
        </is>
      </c>
    </row>
  </sheetData>
  <conditionalFormatting sqref="C16:Z16">
    <cfRule type="expression" priority="1" dxfId="0">
      <formula>C16=1</formula>
    </cfRule>
  </conditionalFormatting>
  <conditionalFormatting sqref="C17:Z17">
    <cfRule type="expression" priority="2" dxfId="0">
      <formula>C17=1</formula>
    </cfRule>
  </conditionalFormatting>
  <conditionalFormatting sqref="C18:Z18">
    <cfRule type="expression" priority="3" dxfId="0">
      <formula>C18=1</formula>
    </cfRule>
  </conditionalFormatting>
  <conditionalFormatting sqref="C19:Z19">
    <cfRule type="expression" priority="4" dxfId="0">
      <formula>C19=1</formula>
    </cfRule>
  </conditionalFormatting>
  <conditionalFormatting sqref="C20:Z20">
    <cfRule type="expression" priority="5" dxfId="0">
      <formula>C20=1</formula>
    </cfRule>
  </conditionalFormatting>
  <conditionalFormatting sqref="E26">
    <cfRule type="expression" priority="6" dxfId="0">
      <formula>E26="Breach"</formula>
    </cfRule>
    <cfRule type="expression" priority="7" dxfId="1">
      <formula>E26="Watch"</formula>
    </cfRule>
  </conditionalFormatting>
  <conditionalFormatting sqref="E27">
    <cfRule type="expression" priority="8" dxfId="0">
      <formula>E27="Breach"</formula>
    </cfRule>
    <cfRule type="expression" priority="9" dxfId="1">
      <formula>E27="Watch"</formula>
    </cfRule>
  </conditionalFormatting>
  <conditionalFormatting sqref="E28">
    <cfRule type="expression" priority="10" dxfId="0">
      <formula>E28="Breach"</formula>
    </cfRule>
    <cfRule type="expression" priority="11" dxfId="1">
      <formula>E28="Watch"</formula>
    </cfRule>
  </conditionalFormatting>
  <conditionalFormatting sqref="E29">
    <cfRule type="expression" priority="12" dxfId="0">
      <formula>E29="Breach"</formula>
    </cfRule>
    <cfRule type="expression" priority="13" dxfId="1">
      <formula>E29="Watch"</formula>
    </cfRule>
  </conditionalFormatting>
  <conditionalFormatting sqref="E30">
    <cfRule type="expression" priority="14" dxfId="0">
      <formula>E30="Breach"</formula>
    </cfRule>
    <cfRule type="expression" priority="15" dxfId="1">
      <formula>E30="Watch"</formula>
    </cfRule>
  </conditionalFormatting>
  <printOptions horizontalCentered="1"/>
  <pageMargins left="0.5" right="0.5" top="0.6" bottom="0.7" header="0.5" footer="0.5"/>
  <pageSetup orientation="landscape" paperSize="9" fitToHeight="0" fitToWidth="1"/>
  <headerFooter>
    <oddHeader/>
    <oddFooter>&amp;L&amp;"Arial"&amp;8 Africa Energy Finance | Book 2 Template T05 | Version 0.9 (pre-release)&amp;C&amp;"Arial"&amp;8 &amp;A&amp;R&amp;"Arial"&amp;8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Z2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AFRICA ENERGY FINANCE  |  BOOK 2  |  PAYGO SOLAR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2" customHeight="1">
      <c r="A2" s="3" t="inlineStr">
        <is>
          <t>Portfolio KPIs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4" t="inlineStr">
        <is>
          <t>Calculated from Monthly_Input; blank where data are not reported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5" t="inlineStr">
        <is>
          <t>Template T05  |  Version 0.9 (pre-release)  |  Author &amp; ideation: Emmanuel Boujieka Kamga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/>
    <row r="6" ht="30" customHeight="1">
      <c r="A6" s="14" t="inlineStr">
        <is>
          <t>KPI</t>
        </is>
      </c>
      <c r="B6" s="14" t="inlineStr">
        <is>
          <t>Unit</t>
        </is>
      </c>
      <c r="C6" s="14" t="inlineStr">
        <is>
          <t>M1</t>
        </is>
      </c>
      <c r="D6" s="14" t="inlineStr">
        <is>
          <t>M2</t>
        </is>
      </c>
      <c r="E6" s="14" t="inlineStr">
        <is>
          <t>M3</t>
        </is>
      </c>
      <c r="F6" s="14" t="inlineStr">
        <is>
          <t>M4</t>
        </is>
      </c>
      <c r="G6" s="14" t="inlineStr">
        <is>
          <t>M5</t>
        </is>
      </c>
      <c r="H6" s="14" t="inlineStr">
        <is>
          <t>M6</t>
        </is>
      </c>
      <c r="I6" s="14" t="inlineStr">
        <is>
          <t>M7</t>
        </is>
      </c>
      <c r="J6" s="14" t="inlineStr">
        <is>
          <t>M8</t>
        </is>
      </c>
      <c r="K6" s="14" t="inlineStr">
        <is>
          <t>M9</t>
        </is>
      </c>
      <c r="L6" s="14" t="inlineStr">
        <is>
          <t>M10</t>
        </is>
      </c>
      <c r="M6" s="14" t="inlineStr">
        <is>
          <t>M11</t>
        </is>
      </c>
      <c r="N6" s="14" t="inlineStr">
        <is>
          <t>M12</t>
        </is>
      </c>
      <c r="O6" s="14" t="inlineStr">
        <is>
          <t>M13</t>
        </is>
      </c>
      <c r="P6" s="14" t="inlineStr">
        <is>
          <t>M14</t>
        </is>
      </c>
      <c r="Q6" s="14" t="inlineStr">
        <is>
          <t>M15</t>
        </is>
      </c>
      <c r="R6" s="14" t="inlineStr">
        <is>
          <t>M16</t>
        </is>
      </c>
      <c r="S6" s="14" t="inlineStr">
        <is>
          <t>M17</t>
        </is>
      </c>
      <c r="T6" s="14" t="inlineStr">
        <is>
          <t>M18</t>
        </is>
      </c>
      <c r="U6" s="14" t="inlineStr">
        <is>
          <t>M19</t>
        </is>
      </c>
      <c r="V6" s="14" t="inlineStr">
        <is>
          <t>M20</t>
        </is>
      </c>
      <c r="W6" s="14" t="inlineStr">
        <is>
          <t>M21</t>
        </is>
      </c>
      <c r="X6" s="14" t="inlineStr">
        <is>
          <t>M22</t>
        </is>
      </c>
      <c r="Y6" s="14" t="inlineStr">
        <is>
          <t>M23</t>
        </is>
      </c>
      <c r="Z6" s="14" t="inlineStr">
        <is>
          <t>M24</t>
        </is>
      </c>
    </row>
    <row r="7">
      <c r="A7" s="11" t="inlineStr">
        <is>
          <t>Month end date</t>
        </is>
      </c>
      <c r="B7" s="11" t="inlineStr">
        <is>
          <t>date</t>
        </is>
      </c>
      <c r="C7" s="19">
        <f>Monthly_Input!C7</f>
        <v/>
      </c>
      <c r="D7" s="19">
        <f>Monthly_Input!D7</f>
        <v/>
      </c>
      <c r="E7" s="19">
        <f>Monthly_Input!E7</f>
        <v/>
      </c>
      <c r="F7" s="19">
        <f>Monthly_Input!F7</f>
        <v/>
      </c>
      <c r="G7" s="19">
        <f>Monthly_Input!G7</f>
        <v/>
      </c>
      <c r="H7" s="19">
        <f>Monthly_Input!H7</f>
        <v/>
      </c>
      <c r="I7" s="19">
        <f>Monthly_Input!I7</f>
        <v/>
      </c>
      <c r="J7" s="19">
        <f>Monthly_Input!J7</f>
        <v/>
      </c>
      <c r="K7" s="19">
        <f>Monthly_Input!K7</f>
        <v/>
      </c>
      <c r="L7" s="19">
        <f>Monthly_Input!L7</f>
        <v/>
      </c>
      <c r="M7" s="19">
        <f>Monthly_Input!M7</f>
        <v/>
      </c>
      <c r="N7" s="19">
        <f>Monthly_Input!N7</f>
        <v/>
      </c>
      <c r="O7" s="19">
        <f>Monthly_Input!O7</f>
        <v/>
      </c>
      <c r="P7" s="19">
        <f>Monthly_Input!P7</f>
        <v/>
      </c>
      <c r="Q7" s="19">
        <f>Monthly_Input!Q7</f>
        <v/>
      </c>
      <c r="R7" s="19">
        <f>Monthly_Input!R7</f>
        <v/>
      </c>
      <c r="S7" s="19">
        <f>Monthly_Input!S7</f>
        <v/>
      </c>
      <c r="T7" s="19">
        <f>Monthly_Input!T7</f>
        <v/>
      </c>
      <c r="U7" s="19">
        <f>Monthly_Input!U7</f>
        <v/>
      </c>
      <c r="V7" s="19">
        <f>Monthly_Input!V7</f>
        <v/>
      </c>
      <c r="W7" s="19">
        <f>Monthly_Input!W7</f>
        <v/>
      </c>
      <c r="X7" s="19">
        <f>Monthly_Input!X7</f>
        <v/>
      </c>
      <c r="Y7" s="19">
        <f>Monthly_Input!Y7</f>
        <v/>
      </c>
      <c r="Z7" s="19">
        <f>Monthly_Input!Z7</f>
        <v/>
      </c>
    </row>
    <row r="8">
      <c r="A8" s="11" t="inlineStr">
        <is>
          <t>Sum of DPD buckets</t>
        </is>
      </c>
      <c r="B8" s="11" t="inlineStr">
        <is>
          <t>LCY</t>
        </is>
      </c>
      <c r="C8" s="22">
        <f>SUM(Monthly_Input!C9:C14)</f>
        <v/>
      </c>
      <c r="D8" s="22">
        <f>SUM(Monthly_Input!D9:D14)</f>
        <v/>
      </c>
      <c r="E8" s="22">
        <f>SUM(Monthly_Input!E9:E14)</f>
        <v/>
      </c>
      <c r="F8" s="22">
        <f>SUM(Monthly_Input!F9:F14)</f>
        <v/>
      </c>
      <c r="G8" s="22">
        <f>SUM(Monthly_Input!G9:G14)</f>
        <v/>
      </c>
      <c r="H8" s="22">
        <f>SUM(Monthly_Input!H9:H14)</f>
        <v/>
      </c>
      <c r="I8" s="22">
        <f>SUM(Monthly_Input!I9:I14)</f>
        <v/>
      </c>
      <c r="J8" s="22">
        <f>SUM(Monthly_Input!J9:J14)</f>
        <v/>
      </c>
      <c r="K8" s="22">
        <f>SUM(Monthly_Input!K9:K14)</f>
        <v/>
      </c>
      <c r="L8" s="22">
        <f>SUM(Monthly_Input!L9:L14)</f>
        <v/>
      </c>
      <c r="M8" s="22">
        <f>SUM(Monthly_Input!M9:M14)</f>
        <v/>
      </c>
      <c r="N8" s="22">
        <f>SUM(Monthly_Input!N9:N14)</f>
        <v/>
      </c>
      <c r="O8" s="22">
        <f>SUM(Monthly_Input!O9:O14)</f>
        <v/>
      </c>
      <c r="P8" s="22">
        <f>SUM(Monthly_Input!P9:P14)</f>
        <v/>
      </c>
      <c r="Q8" s="22">
        <f>SUM(Monthly_Input!Q9:Q14)</f>
        <v/>
      </c>
      <c r="R8" s="22">
        <f>SUM(Monthly_Input!R9:R14)</f>
        <v/>
      </c>
      <c r="S8" s="22">
        <f>SUM(Monthly_Input!S9:S14)</f>
        <v/>
      </c>
      <c r="T8" s="22">
        <f>SUM(Monthly_Input!T9:T14)</f>
        <v/>
      </c>
      <c r="U8" s="22">
        <f>SUM(Monthly_Input!U9:U14)</f>
        <v/>
      </c>
      <c r="V8" s="22">
        <f>SUM(Monthly_Input!V9:V14)</f>
        <v/>
      </c>
      <c r="W8" s="22">
        <f>SUM(Monthly_Input!W9:W14)</f>
        <v/>
      </c>
      <c r="X8" s="22">
        <f>SUM(Monthly_Input!X9:X14)</f>
        <v/>
      </c>
      <c r="Y8" s="22">
        <f>SUM(Monthly_Input!Y9:Y14)</f>
        <v/>
      </c>
      <c r="Z8" s="22">
        <f>SUM(Monthly_Input!Z9:Z14)</f>
        <v/>
      </c>
    </row>
    <row r="9">
      <c r="A9" s="11" t="inlineStr">
        <is>
          <t>Reconciliation difference</t>
        </is>
      </c>
      <c r="B9" s="11" t="inlineStr">
        <is>
          <t>LCY</t>
        </is>
      </c>
      <c r="C9" s="22">
        <f>C8-Monthly_Input!C8</f>
        <v/>
      </c>
      <c r="D9" s="22">
        <f>D8-Monthly_Input!D8</f>
        <v/>
      </c>
      <c r="E9" s="22">
        <f>E8-Monthly_Input!E8</f>
        <v/>
      </c>
      <c r="F9" s="22">
        <f>F8-Monthly_Input!F8</f>
        <v/>
      </c>
      <c r="G9" s="22">
        <f>G8-Monthly_Input!G8</f>
        <v/>
      </c>
      <c r="H9" s="22">
        <f>H8-Monthly_Input!H8</f>
        <v/>
      </c>
      <c r="I9" s="22">
        <f>I8-Monthly_Input!I8</f>
        <v/>
      </c>
      <c r="J9" s="22">
        <f>J8-Monthly_Input!J8</f>
        <v/>
      </c>
      <c r="K9" s="22">
        <f>K8-Monthly_Input!K8</f>
        <v/>
      </c>
      <c r="L9" s="22">
        <f>L8-Monthly_Input!L8</f>
        <v/>
      </c>
      <c r="M9" s="22">
        <f>M8-Monthly_Input!M8</f>
        <v/>
      </c>
      <c r="N9" s="22">
        <f>N8-Monthly_Input!N8</f>
        <v/>
      </c>
      <c r="O9" s="22">
        <f>O8-Monthly_Input!O8</f>
        <v/>
      </c>
      <c r="P9" s="22">
        <f>P8-Monthly_Input!P8</f>
        <v/>
      </c>
      <c r="Q9" s="22">
        <f>Q8-Monthly_Input!Q8</f>
        <v/>
      </c>
      <c r="R9" s="22">
        <f>R8-Monthly_Input!R8</f>
        <v/>
      </c>
      <c r="S9" s="22">
        <f>S8-Monthly_Input!S8</f>
        <v/>
      </c>
      <c r="T9" s="22">
        <f>T8-Monthly_Input!T8</f>
        <v/>
      </c>
      <c r="U9" s="22">
        <f>U8-Monthly_Input!U8</f>
        <v/>
      </c>
      <c r="V9" s="22">
        <f>V8-Monthly_Input!V8</f>
        <v/>
      </c>
      <c r="W9" s="22">
        <f>W8-Monthly_Input!W8</f>
        <v/>
      </c>
      <c r="X9" s="22">
        <f>X8-Monthly_Input!X8</f>
        <v/>
      </c>
      <c r="Y9" s="22">
        <f>Y8-Monthly_Input!Y8</f>
        <v/>
      </c>
      <c r="Z9" s="22">
        <f>Z8-Monthly_Input!Z8</f>
        <v/>
      </c>
    </row>
    <row r="10">
      <c r="A10" s="9" t="inlineStr">
        <is>
          <t>Reconciliation check</t>
        </is>
      </c>
      <c r="B10" s="11" t="inlineStr">
        <is>
          <t>flag</t>
        </is>
      </c>
      <c r="C10" s="12">
        <f>IF(Monthly_Input!C8="","",IF(ABS(C9)&lt;=1,"OK","ERROR"))</f>
        <v/>
      </c>
      <c r="D10" s="12">
        <f>IF(Monthly_Input!D8="","",IF(ABS(D9)&lt;=1,"OK","ERROR"))</f>
        <v/>
      </c>
      <c r="E10" s="12">
        <f>IF(Monthly_Input!E8="","",IF(ABS(E9)&lt;=1,"OK","ERROR"))</f>
        <v/>
      </c>
      <c r="F10" s="12">
        <f>IF(Monthly_Input!F8="","",IF(ABS(F9)&lt;=1,"OK","ERROR"))</f>
        <v/>
      </c>
      <c r="G10" s="12">
        <f>IF(Monthly_Input!G8="","",IF(ABS(G9)&lt;=1,"OK","ERROR"))</f>
        <v/>
      </c>
      <c r="H10" s="12">
        <f>IF(Monthly_Input!H8="","",IF(ABS(H9)&lt;=1,"OK","ERROR"))</f>
        <v/>
      </c>
      <c r="I10" s="12">
        <f>IF(Monthly_Input!I8="","",IF(ABS(I9)&lt;=1,"OK","ERROR"))</f>
        <v/>
      </c>
      <c r="J10" s="12">
        <f>IF(Monthly_Input!J8="","",IF(ABS(J9)&lt;=1,"OK","ERROR"))</f>
        <v/>
      </c>
      <c r="K10" s="12">
        <f>IF(Monthly_Input!K8="","",IF(ABS(K9)&lt;=1,"OK","ERROR"))</f>
        <v/>
      </c>
      <c r="L10" s="12">
        <f>IF(Monthly_Input!L8="","",IF(ABS(L9)&lt;=1,"OK","ERROR"))</f>
        <v/>
      </c>
      <c r="M10" s="12">
        <f>IF(Monthly_Input!M8="","",IF(ABS(M9)&lt;=1,"OK","ERROR"))</f>
        <v/>
      </c>
      <c r="N10" s="12">
        <f>IF(Monthly_Input!N8="","",IF(ABS(N9)&lt;=1,"OK","ERROR"))</f>
        <v/>
      </c>
      <c r="O10" s="12">
        <f>IF(Monthly_Input!O8="","",IF(ABS(O9)&lt;=1,"OK","ERROR"))</f>
        <v/>
      </c>
      <c r="P10" s="12">
        <f>IF(Monthly_Input!P8="","",IF(ABS(P9)&lt;=1,"OK","ERROR"))</f>
        <v/>
      </c>
      <c r="Q10" s="12">
        <f>IF(Monthly_Input!Q8="","",IF(ABS(Q9)&lt;=1,"OK","ERROR"))</f>
        <v/>
      </c>
      <c r="R10" s="12">
        <f>IF(Monthly_Input!R8="","",IF(ABS(R9)&lt;=1,"OK","ERROR"))</f>
        <v/>
      </c>
      <c r="S10" s="12">
        <f>IF(Monthly_Input!S8="","",IF(ABS(S9)&lt;=1,"OK","ERROR"))</f>
        <v/>
      </c>
      <c r="T10" s="12">
        <f>IF(Monthly_Input!T8="","",IF(ABS(T9)&lt;=1,"OK","ERROR"))</f>
        <v/>
      </c>
      <c r="U10" s="12">
        <f>IF(Monthly_Input!U8="","",IF(ABS(U9)&lt;=1,"OK","ERROR"))</f>
        <v/>
      </c>
      <c r="V10" s="12">
        <f>IF(Monthly_Input!V8="","",IF(ABS(V9)&lt;=1,"OK","ERROR"))</f>
        <v/>
      </c>
      <c r="W10" s="12">
        <f>IF(Monthly_Input!W8="","",IF(ABS(W9)&lt;=1,"OK","ERROR"))</f>
        <v/>
      </c>
      <c r="X10" s="12">
        <f>IF(Monthly_Input!X8="","",IF(ABS(X9)&lt;=1,"OK","ERROR"))</f>
        <v/>
      </c>
      <c r="Y10" s="12">
        <f>IF(Monthly_Input!Y8="","",IF(ABS(Y9)&lt;=1,"OK","ERROR"))</f>
        <v/>
      </c>
      <c r="Z10" s="12">
        <f>IF(Monthly_Input!Z8="","",IF(ABS(Z9)&lt;=1,"OK","ERROR"))</f>
        <v/>
      </c>
    </row>
    <row r="11">
      <c r="A11" s="11" t="inlineStr">
        <is>
          <t>Operational collection rate (month)</t>
        </is>
      </c>
      <c r="B11" s="11" t="inlineStr">
        <is>
          <t>%</t>
        </is>
      </c>
      <c r="C11" s="18">
        <f>IF(N(Monthly_Input!C15)=0,"",Monthly_Input!C16/Monthly_Input!C15)</f>
        <v/>
      </c>
      <c r="D11" s="18">
        <f>IF(N(Monthly_Input!D15)=0,"",Monthly_Input!D16/Monthly_Input!D15)</f>
        <v/>
      </c>
      <c r="E11" s="18">
        <f>IF(N(Monthly_Input!E15)=0,"",Monthly_Input!E16/Monthly_Input!E15)</f>
        <v/>
      </c>
      <c r="F11" s="18">
        <f>IF(N(Monthly_Input!F15)=0,"",Monthly_Input!F16/Monthly_Input!F15)</f>
        <v/>
      </c>
      <c r="G11" s="18">
        <f>IF(N(Monthly_Input!G15)=0,"",Monthly_Input!G16/Monthly_Input!G15)</f>
        <v/>
      </c>
      <c r="H11" s="18">
        <f>IF(N(Monthly_Input!H15)=0,"",Monthly_Input!H16/Monthly_Input!H15)</f>
        <v/>
      </c>
      <c r="I11" s="18">
        <f>IF(N(Monthly_Input!I15)=0,"",Monthly_Input!I16/Monthly_Input!I15)</f>
        <v/>
      </c>
      <c r="J11" s="18">
        <f>IF(N(Monthly_Input!J15)=0,"",Monthly_Input!J16/Monthly_Input!J15)</f>
        <v/>
      </c>
      <c r="K11" s="18">
        <f>IF(N(Monthly_Input!K15)=0,"",Monthly_Input!K16/Monthly_Input!K15)</f>
        <v/>
      </c>
      <c r="L11" s="18">
        <f>IF(N(Monthly_Input!L15)=0,"",Monthly_Input!L16/Monthly_Input!L15)</f>
        <v/>
      </c>
      <c r="M11" s="18">
        <f>IF(N(Monthly_Input!M15)=0,"",Monthly_Input!M16/Monthly_Input!M15)</f>
        <v/>
      </c>
      <c r="N11" s="18">
        <f>IF(N(Monthly_Input!N15)=0,"",Monthly_Input!N16/Monthly_Input!N15)</f>
        <v/>
      </c>
      <c r="O11" s="18">
        <f>IF(N(Monthly_Input!O15)=0,"",Monthly_Input!O16/Monthly_Input!O15)</f>
        <v/>
      </c>
      <c r="P11" s="18">
        <f>IF(N(Monthly_Input!P15)=0,"",Monthly_Input!P16/Monthly_Input!P15)</f>
        <v/>
      </c>
      <c r="Q11" s="18">
        <f>IF(N(Monthly_Input!Q15)=0,"",Monthly_Input!Q16/Monthly_Input!Q15)</f>
        <v/>
      </c>
      <c r="R11" s="18">
        <f>IF(N(Monthly_Input!R15)=0,"",Monthly_Input!R16/Monthly_Input!R15)</f>
        <v/>
      </c>
      <c r="S11" s="18">
        <f>IF(N(Monthly_Input!S15)=0,"",Monthly_Input!S16/Monthly_Input!S15)</f>
        <v/>
      </c>
      <c r="T11" s="18">
        <f>IF(N(Monthly_Input!T15)=0,"",Monthly_Input!T16/Monthly_Input!T15)</f>
        <v/>
      </c>
      <c r="U11" s="18">
        <f>IF(N(Monthly_Input!U15)=0,"",Monthly_Input!U16/Monthly_Input!U15)</f>
        <v/>
      </c>
      <c r="V11" s="18">
        <f>IF(N(Monthly_Input!V15)=0,"",Monthly_Input!V16/Monthly_Input!V15)</f>
        <v/>
      </c>
      <c r="W11" s="18">
        <f>IF(N(Monthly_Input!W15)=0,"",Monthly_Input!W16/Monthly_Input!W15)</f>
        <v/>
      </c>
      <c r="X11" s="18">
        <f>IF(N(Monthly_Input!X15)=0,"",Monthly_Input!X16/Monthly_Input!X15)</f>
        <v/>
      </c>
      <c r="Y11" s="18">
        <f>IF(N(Monthly_Input!Y15)=0,"",Monthly_Input!Y16/Monthly_Input!Y15)</f>
        <v/>
      </c>
      <c r="Z11" s="18">
        <f>IF(N(Monthly_Input!Z15)=0,"",Monthly_Input!Z16/Monthly_Input!Z15)</f>
        <v/>
      </c>
    </row>
    <row r="12">
      <c r="A12" s="9" t="inlineStr">
        <is>
          <t>Operational collection rate (trailing 3 months)</t>
        </is>
      </c>
      <c r="B12" s="11" t="inlineStr">
        <is>
          <t>%</t>
        </is>
      </c>
      <c r="C12" s="18" t="n"/>
      <c r="D12" s="18" t="n"/>
      <c r="E12" s="18">
        <f>IF(SUM(Monthly_Input!C15:E15)=0,"",SUM(Monthly_Input!C16:E16)/SUM(Monthly_Input!C15:E15))</f>
        <v/>
      </c>
      <c r="F12" s="18">
        <f>IF(SUM(Monthly_Input!D15:F15)=0,"",SUM(Monthly_Input!D16:F16)/SUM(Monthly_Input!D15:F15))</f>
        <v/>
      </c>
      <c r="G12" s="18">
        <f>IF(SUM(Monthly_Input!E15:G15)=0,"",SUM(Monthly_Input!E16:G16)/SUM(Monthly_Input!E15:G15))</f>
        <v/>
      </c>
      <c r="H12" s="18">
        <f>IF(SUM(Monthly_Input!F15:H15)=0,"",SUM(Monthly_Input!F16:H16)/SUM(Monthly_Input!F15:H15))</f>
        <v/>
      </c>
      <c r="I12" s="18">
        <f>IF(SUM(Monthly_Input!G15:I15)=0,"",SUM(Monthly_Input!G16:I16)/SUM(Monthly_Input!G15:I15))</f>
        <v/>
      </c>
      <c r="J12" s="18">
        <f>IF(SUM(Monthly_Input!H15:J15)=0,"",SUM(Monthly_Input!H16:J16)/SUM(Monthly_Input!H15:J15))</f>
        <v/>
      </c>
      <c r="K12" s="18">
        <f>IF(SUM(Monthly_Input!I15:K15)=0,"",SUM(Monthly_Input!I16:K16)/SUM(Monthly_Input!I15:K15))</f>
        <v/>
      </c>
      <c r="L12" s="18">
        <f>IF(SUM(Monthly_Input!J15:L15)=0,"",SUM(Monthly_Input!J16:L16)/SUM(Monthly_Input!J15:L15))</f>
        <v/>
      </c>
      <c r="M12" s="18">
        <f>IF(SUM(Monthly_Input!K15:M15)=0,"",SUM(Monthly_Input!K16:M16)/SUM(Monthly_Input!K15:M15))</f>
        <v/>
      </c>
      <c r="N12" s="18">
        <f>IF(SUM(Monthly_Input!L15:N15)=0,"",SUM(Monthly_Input!L16:N16)/SUM(Monthly_Input!L15:N15))</f>
        <v/>
      </c>
      <c r="O12" s="18">
        <f>IF(SUM(Monthly_Input!M15:O15)=0,"",SUM(Monthly_Input!M16:O16)/SUM(Monthly_Input!M15:O15))</f>
        <v/>
      </c>
      <c r="P12" s="18">
        <f>IF(SUM(Monthly_Input!N15:P15)=0,"",SUM(Monthly_Input!N16:P16)/SUM(Monthly_Input!N15:P15))</f>
        <v/>
      </c>
      <c r="Q12" s="18">
        <f>IF(SUM(Monthly_Input!O15:Q15)=0,"",SUM(Monthly_Input!O16:Q16)/SUM(Monthly_Input!O15:Q15))</f>
        <v/>
      </c>
      <c r="R12" s="18">
        <f>IF(SUM(Monthly_Input!P15:R15)=0,"",SUM(Monthly_Input!P16:R16)/SUM(Monthly_Input!P15:R15))</f>
        <v/>
      </c>
      <c r="S12" s="18">
        <f>IF(SUM(Monthly_Input!Q15:S15)=0,"",SUM(Monthly_Input!Q16:S16)/SUM(Monthly_Input!Q15:S15))</f>
        <v/>
      </c>
      <c r="T12" s="18">
        <f>IF(SUM(Monthly_Input!R15:T15)=0,"",SUM(Monthly_Input!R16:T16)/SUM(Monthly_Input!R15:T15))</f>
        <v/>
      </c>
      <c r="U12" s="18">
        <f>IF(SUM(Monthly_Input!S15:U15)=0,"",SUM(Monthly_Input!S16:U16)/SUM(Monthly_Input!S15:U15))</f>
        <v/>
      </c>
      <c r="V12" s="18">
        <f>IF(SUM(Monthly_Input!T15:V15)=0,"",SUM(Monthly_Input!T16:V16)/SUM(Monthly_Input!T15:V15))</f>
        <v/>
      </c>
      <c r="W12" s="18">
        <f>IF(SUM(Monthly_Input!U15:W15)=0,"",SUM(Monthly_Input!U16:W16)/SUM(Monthly_Input!U15:W15))</f>
        <v/>
      </c>
      <c r="X12" s="18">
        <f>IF(SUM(Monthly_Input!V15:X15)=0,"",SUM(Monthly_Input!V16:X16)/SUM(Monthly_Input!V15:X15))</f>
        <v/>
      </c>
      <c r="Y12" s="18">
        <f>IF(SUM(Monthly_Input!W15:Y15)=0,"",SUM(Monthly_Input!W16:Y16)/SUM(Monthly_Input!W15:Y15))</f>
        <v/>
      </c>
      <c r="Z12" s="18">
        <f>IF(SUM(Monthly_Input!X15:Z15)=0,"",SUM(Monthly_Input!X16:Z16)/SUM(Monthly_Input!X15:Z15))</f>
        <v/>
      </c>
    </row>
    <row r="13">
      <c r="A13" s="9" t="inlineStr">
        <is>
          <t>PAR30</t>
        </is>
      </c>
      <c r="B13" s="11" t="inlineStr">
        <is>
          <t>%</t>
        </is>
      </c>
      <c r="C13" s="18">
        <f>IF(N(Monthly_Input!C8)=0,"",SUM(Monthly_Input!C11:C14)/Monthly_Input!C8)</f>
        <v/>
      </c>
      <c r="D13" s="18">
        <f>IF(N(Monthly_Input!D8)=0,"",SUM(Monthly_Input!D11:D14)/Monthly_Input!D8)</f>
        <v/>
      </c>
      <c r="E13" s="18">
        <f>IF(N(Monthly_Input!E8)=0,"",SUM(Monthly_Input!E11:E14)/Monthly_Input!E8)</f>
        <v/>
      </c>
      <c r="F13" s="18">
        <f>IF(N(Monthly_Input!F8)=0,"",SUM(Monthly_Input!F11:F14)/Monthly_Input!F8)</f>
        <v/>
      </c>
      <c r="G13" s="18">
        <f>IF(N(Monthly_Input!G8)=0,"",SUM(Monthly_Input!G11:G14)/Monthly_Input!G8)</f>
        <v/>
      </c>
      <c r="H13" s="18">
        <f>IF(N(Monthly_Input!H8)=0,"",SUM(Monthly_Input!H11:H14)/Monthly_Input!H8)</f>
        <v/>
      </c>
      <c r="I13" s="18">
        <f>IF(N(Monthly_Input!I8)=0,"",SUM(Monthly_Input!I11:I14)/Monthly_Input!I8)</f>
        <v/>
      </c>
      <c r="J13" s="18">
        <f>IF(N(Monthly_Input!J8)=0,"",SUM(Monthly_Input!J11:J14)/Monthly_Input!J8)</f>
        <v/>
      </c>
      <c r="K13" s="18">
        <f>IF(N(Monthly_Input!K8)=0,"",SUM(Monthly_Input!K11:K14)/Monthly_Input!K8)</f>
        <v/>
      </c>
      <c r="L13" s="18">
        <f>IF(N(Monthly_Input!L8)=0,"",SUM(Monthly_Input!L11:L14)/Monthly_Input!L8)</f>
        <v/>
      </c>
      <c r="M13" s="18">
        <f>IF(N(Monthly_Input!M8)=0,"",SUM(Monthly_Input!M11:M14)/Monthly_Input!M8)</f>
        <v/>
      </c>
      <c r="N13" s="18">
        <f>IF(N(Monthly_Input!N8)=0,"",SUM(Monthly_Input!N11:N14)/Monthly_Input!N8)</f>
        <v/>
      </c>
      <c r="O13" s="18">
        <f>IF(N(Monthly_Input!O8)=0,"",SUM(Monthly_Input!O11:O14)/Monthly_Input!O8)</f>
        <v/>
      </c>
      <c r="P13" s="18">
        <f>IF(N(Monthly_Input!P8)=0,"",SUM(Monthly_Input!P11:P14)/Monthly_Input!P8)</f>
        <v/>
      </c>
      <c r="Q13" s="18">
        <f>IF(N(Monthly_Input!Q8)=0,"",SUM(Monthly_Input!Q11:Q14)/Monthly_Input!Q8)</f>
        <v/>
      </c>
      <c r="R13" s="18">
        <f>IF(N(Monthly_Input!R8)=0,"",SUM(Monthly_Input!R11:R14)/Monthly_Input!R8)</f>
        <v/>
      </c>
      <c r="S13" s="18">
        <f>IF(N(Monthly_Input!S8)=0,"",SUM(Monthly_Input!S11:S14)/Monthly_Input!S8)</f>
        <v/>
      </c>
      <c r="T13" s="18">
        <f>IF(N(Monthly_Input!T8)=0,"",SUM(Monthly_Input!T11:T14)/Monthly_Input!T8)</f>
        <v/>
      </c>
      <c r="U13" s="18">
        <f>IF(N(Monthly_Input!U8)=0,"",SUM(Monthly_Input!U11:U14)/Monthly_Input!U8)</f>
        <v/>
      </c>
      <c r="V13" s="18">
        <f>IF(N(Monthly_Input!V8)=0,"",SUM(Monthly_Input!V11:V14)/Monthly_Input!V8)</f>
        <v/>
      </c>
      <c r="W13" s="18">
        <f>IF(N(Monthly_Input!W8)=0,"",SUM(Monthly_Input!W11:W14)/Monthly_Input!W8)</f>
        <v/>
      </c>
      <c r="X13" s="18">
        <f>IF(N(Monthly_Input!X8)=0,"",SUM(Monthly_Input!X11:X14)/Monthly_Input!X8)</f>
        <v/>
      </c>
      <c r="Y13" s="18">
        <f>IF(N(Monthly_Input!Y8)=0,"",SUM(Monthly_Input!Y11:Y14)/Monthly_Input!Y8)</f>
        <v/>
      </c>
      <c r="Z13" s="18">
        <f>IF(N(Monthly_Input!Z8)=0,"",SUM(Monthly_Input!Z11:Z14)/Monthly_Input!Z8)</f>
        <v/>
      </c>
    </row>
    <row r="14">
      <c r="A14" s="11" t="inlineStr">
        <is>
          <t>PAR90</t>
        </is>
      </c>
      <c r="B14" s="11" t="inlineStr">
        <is>
          <t>%</t>
        </is>
      </c>
      <c r="C14" s="18">
        <f>IF(N(Monthly_Input!C8)=0,"",SUM(Monthly_Input!C13:C14)/Monthly_Input!C8)</f>
        <v/>
      </c>
      <c r="D14" s="18">
        <f>IF(N(Monthly_Input!D8)=0,"",SUM(Monthly_Input!D13:D14)/Monthly_Input!D8)</f>
        <v/>
      </c>
      <c r="E14" s="18">
        <f>IF(N(Monthly_Input!E8)=0,"",SUM(Monthly_Input!E13:E14)/Monthly_Input!E8)</f>
        <v/>
      </c>
      <c r="F14" s="18">
        <f>IF(N(Monthly_Input!F8)=0,"",SUM(Monthly_Input!F13:F14)/Monthly_Input!F8)</f>
        <v/>
      </c>
      <c r="G14" s="18">
        <f>IF(N(Monthly_Input!G8)=0,"",SUM(Monthly_Input!G13:G14)/Monthly_Input!G8)</f>
        <v/>
      </c>
      <c r="H14" s="18">
        <f>IF(N(Monthly_Input!H8)=0,"",SUM(Monthly_Input!H13:H14)/Monthly_Input!H8)</f>
        <v/>
      </c>
      <c r="I14" s="18">
        <f>IF(N(Monthly_Input!I8)=0,"",SUM(Monthly_Input!I13:I14)/Monthly_Input!I8)</f>
        <v/>
      </c>
      <c r="J14" s="18">
        <f>IF(N(Monthly_Input!J8)=0,"",SUM(Monthly_Input!J13:J14)/Monthly_Input!J8)</f>
        <v/>
      </c>
      <c r="K14" s="18">
        <f>IF(N(Monthly_Input!K8)=0,"",SUM(Monthly_Input!K13:K14)/Monthly_Input!K8)</f>
        <v/>
      </c>
      <c r="L14" s="18">
        <f>IF(N(Monthly_Input!L8)=0,"",SUM(Monthly_Input!L13:L14)/Monthly_Input!L8)</f>
        <v/>
      </c>
      <c r="M14" s="18">
        <f>IF(N(Monthly_Input!M8)=0,"",SUM(Monthly_Input!M13:M14)/Monthly_Input!M8)</f>
        <v/>
      </c>
      <c r="N14" s="18">
        <f>IF(N(Monthly_Input!N8)=0,"",SUM(Monthly_Input!N13:N14)/Monthly_Input!N8)</f>
        <v/>
      </c>
      <c r="O14" s="18">
        <f>IF(N(Monthly_Input!O8)=0,"",SUM(Monthly_Input!O13:O14)/Monthly_Input!O8)</f>
        <v/>
      </c>
      <c r="P14" s="18">
        <f>IF(N(Monthly_Input!P8)=0,"",SUM(Monthly_Input!P13:P14)/Monthly_Input!P8)</f>
        <v/>
      </c>
      <c r="Q14" s="18">
        <f>IF(N(Monthly_Input!Q8)=0,"",SUM(Monthly_Input!Q13:Q14)/Monthly_Input!Q8)</f>
        <v/>
      </c>
      <c r="R14" s="18">
        <f>IF(N(Monthly_Input!R8)=0,"",SUM(Monthly_Input!R13:R14)/Monthly_Input!R8)</f>
        <v/>
      </c>
      <c r="S14" s="18">
        <f>IF(N(Monthly_Input!S8)=0,"",SUM(Monthly_Input!S13:S14)/Monthly_Input!S8)</f>
        <v/>
      </c>
      <c r="T14" s="18">
        <f>IF(N(Monthly_Input!T8)=0,"",SUM(Monthly_Input!T13:T14)/Monthly_Input!T8)</f>
        <v/>
      </c>
      <c r="U14" s="18">
        <f>IF(N(Monthly_Input!U8)=0,"",SUM(Monthly_Input!U13:U14)/Monthly_Input!U8)</f>
        <v/>
      </c>
      <c r="V14" s="18">
        <f>IF(N(Monthly_Input!V8)=0,"",SUM(Monthly_Input!V13:V14)/Monthly_Input!V8)</f>
        <v/>
      </c>
      <c r="W14" s="18">
        <f>IF(N(Monthly_Input!W8)=0,"",SUM(Monthly_Input!W13:W14)/Monthly_Input!W8)</f>
        <v/>
      </c>
      <c r="X14" s="18">
        <f>IF(N(Monthly_Input!X8)=0,"",SUM(Monthly_Input!X13:X14)/Monthly_Input!X8)</f>
        <v/>
      </c>
      <c r="Y14" s="18">
        <f>IF(N(Monthly_Input!Y8)=0,"",SUM(Monthly_Input!Y13:Y14)/Monthly_Input!Y8)</f>
        <v/>
      </c>
      <c r="Z14" s="18">
        <f>IF(N(Monthly_Input!Z8)=0,"",SUM(Monthly_Input!Z13:Z14)/Monthly_Input!Z8)</f>
        <v/>
      </c>
    </row>
    <row r="15">
      <c r="A15" s="11" t="inlineStr">
        <is>
          <t>PAR30 lagged 3 months</t>
        </is>
      </c>
      <c r="B15" s="11" t="inlineStr">
        <is>
          <t>%</t>
        </is>
      </c>
      <c r="C15" s="18" t="n"/>
      <c r="D15" s="18" t="n"/>
      <c r="E15" s="18" t="n"/>
      <c r="F15" s="18">
        <f>IF(N(Monthly_Input!C8)=0,"",SUM(Monthly_Input!F11:F14)/Monthly_Input!C8)</f>
        <v/>
      </c>
      <c r="G15" s="18">
        <f>IF(N(Monthly_Input!D8)=0,"",SUM(Monthly_Input!G11:G14)/Monthly_Input!D8)</f>
        <v/>
      </c>
      <c r="H15" s="18">
        <f>IF(N(Monthly_Input!E8)=0,"",SUM(Monthly_Input!H11:H14)/Monthly_Input!E8)</f>
        <v/>
      </c>
      <c r="I15" s="18">
        <f>IF(N(Monthly_Input!F8)=0,"",SUM(Monthly_Input!I11:I14)/Monthly_Input!F8)</f>
        <v/>
      </c>
      <c r="J15" s="18">
        <f>IF(N(Monthly_Input!G8)=0,"",SUM(Monthly_Input!J11:J14)/Monthly_Input!G8)</f>
        <v/>
      </c>
      <c r="K15" s="18">
        <f>IF(N(Monthly_Input!H8)=0,"",SUM(Monthly_Input!K11:K14)/Monthly_Input!H8)</f>
        <v/>
      </c>
      <c r="L15" s="18">
        <f>IF(N(Monthly_Input!I8)=0,"",SUM(Monthly_Input!L11:L14)/Monthly_Input!I8)</f>
        <v/>
      </c>
      <c r="M15" s="18">
        <f>IF(N(Monthly_Input!J8)=0,"",SUM(Monthly_Input!M11:M14)/Monthly_Input!J8)</f>
        <v/>
      </c>
      <c r="N15" s="18">
        <f>IF(N(Monthly_Input!K8)=0,"",SUM(Monthly_Input!N11:N14)/Monthly_Input!K8)</f>
        <v/>
      </c>
      <c r="O15" s="18">
        <f>IF(N(Monthly_Input!L8)=0,"",SUM(Monthly_Input!O11:O14)/Monthly_Input!L8)</f>
        <v/>
      </c>
      <c r="P15" s="18">
        <f>IF(N(Monthly_Input!M8)=0,"",SUM(Monthly_Input!P11:P14)/Monthly_Input!M8)</f>
        <v/>
      </c>
      <c r="Q15" s="18">
        <f>IF(N(Monthly_Input!N8)=0,"",SUM(Monthly_Input!Q11:Q14)/Monthly_Input!N8)</f>
        <v/>
      </c>
      <c r="R15" s="18">
        <f>IF(N(Monthly_Input!O8)=0,"",SUM(Monthly_Input!R11:R14)/Monthly_Input!O8)</f>
        <v/>
      </c>
      <c r="S15" s="18">
        <f>IF(N(Monthly_Input!P8)=0,"",SUM(Monthly_Input!S11:S14)/Monthly_Input!P8)</f>
        <v/>
      </c>
      <c r="T15" s="18">
        <f>IF(N(Monthly_Input!Q8)=0,"",SUM(Monthly_Input!T11:T14)/Monthly_Input!Q8)</f>
        <v/>
      </c>
      <c r="U15" s="18">
        <f>IF(N(Monthly_Input!R8)=0,"",SUM(Monthly_Input!U11:U14)/Monthly_Input!R8)</f>
        <v/>
      </c>
      <c r="V15" s="18">
        <f>IF(N(Monthly_Input!S8)=0,"",SUM(Monthly_Input!V11:V14)/Monthly_Input!S8)</f>
        <v/>
      </c>
      <c r="W15" s="18">
        <f>IF(N(Monthly_Input!T8)=0,"",SUM(Monthly_Input!W11:W14)/Monthly_Input!T8)</f>
        <v/>
      </c>
      <c r="X15" s="18">
        <f>IF(N(Monthly_Input!U8)=0,"",SUM(Monthly_Input!X11:X14)/Monthly_Input!U8)</f>
        <v/>
      </c>
      <c r="Y15" s="18">
        <f>IF(N(Monthly_Input!V8)=0,"",SUM(Monthly_Input!Y11:Y14)/Monthly_Input!V8)</f>
        <v/>
      </c>
      <c r="Z15" s="18">
        <f>IF(N(Monthly_Input!W8)=0,"",SUM(Monthly_Input!Z11:Z14)/Monthly_Input!W8)</f>
        <v/>
      </c>
    </row>
    <row r="16">
      <c r="A16" s="11" t="inlineStr">
        <is>
          <t>RaR ratio</t>
        </is>
      </c>
      <c r="B16" s="11" t="inlineStr">
        <is>
          <t>%</t>
        </is>
      </c>
      <c r="C16" s="18">
        <f>IF(OR(Monthly_Input!C21="",N(Monthly_Input!C8)=0),"",Monthly_Input!C21/Monthly_Input!C8)</f>
        <v/>
      </c>
      <c r="D16" s="18">
        <f>IF(OR(Monthly_Input!D21="",N(Monthly_Input!D8)=0),"",Monthly_Input!D21/Monthly_Input!D8)</f>
        <v/>
      </c>
      <c r="E16" s="18">
        <f>IF(OR(Monthly_Input!E21="",N(Monthly_Input!E8)=0),"",Monthly_Input!E21/Monthly_Input!E8)</f>
        <v/>
      </c>
      <c r="F16" s="18">
        <f>IF(OR(Monthly_Input!F21="",N(Monthly_Input!F8)=0),"",Monthly_Input!F21/Monthly_Input!F8)</f>
        <v/>
      </c>
      <c r="G16" s="18">
        <f>IF(OR(Monthly_Input!G21="",N(Monthly_Input!G8)=0),"",Monthly_Input!G21/Monthly_Input!G8)</f>
        <v/>
      </c>
      <c r="H16" s="18">
        <f>IF(OR(Monthly_Input!H21="",N(Monthly_Input!H8)=0),"",Monthly_Input!H21/Monthly_Input!H8)</f>
        <v/>
      </c>
      <c r="I16" s="18">
        <f>IF(OR(Monthly_Input!I21="",N(Monthly_Input!I8)=0),"",Monthly_Input!I21/Monthly_Input!I8)</f>
        <v/>
      </c>
      <c r="J16" s="18">
        <f>IF(OR(Monthly_Input!J21="",N(Monthly_Input!J8)=0),"",Monthly_Input!J21/Monthly_Input!J8)</f>
        <v/>
      </c>
      <c r="K16" s="18">
        <f>IF(OR(Monthly_Input!K21="",N(Monthly_Input!K8)=0),"",Monthly_Input!K21/Monthly_Input!K8)</f>
        <v/>
      </c>
      <c r="L16" s="18">
        <f>IF(OR(Monthly_Input!L21="",N(Monthly_Input!L8)=0),"",Monthly_Input!L21/Monthly_Input!L8)</f>
        <v/>
      </c>
      <c r="M16" s="18">
        <f>IF(OR(Monthly_Input!M21="",N(Monthly_Input!M8)=0),"",Monthly_Input!M21/Monthly_Input!M8)</f>
        <v/>
      </c>
      <c r="N16" s="18">
        <f>IF(OR(Monthly_Input!N21="",N(Monthly_Input!N8)=0),"",Monthly_Input!N21/Monthly_Input!N8)</f>
        <v/>
      </c>
      <c r="O16" s="18">
        <f>IF(OR(Monthly_Input!O21="",N(Monthly_Input!O8)=0),"",Monthly_Input!O21/Monthly_Input!O8)</f>
        <v/>
      </c>
      <c r="P16" s="18">
        <f>IF(OR(Monthly_Input!P21="",N(Monthly_Input!P8)=0),"",Monthly_Input!P21/Monthly_Input!P8)</f>
        <v/>
      </c>
      <c r="Q16" s="18">
        <f>IF(OR(Monthly_Input!Q21="",N(Monthly_Input!Q8)=0),"",Monthly_Input!Q21/Monthly_Input!Q8)</f>
        <v/>
      </c>
      <c r="R16" s="18">
        <f>IF(OR(Monthly_Input!R21="",N(Monthly_Input!R8)=0),"",Monthly_Input!R21/Monthly_Input!R8)</f>
        <v/>
      </c>
      <c r="S16" s="18">
        <f>IF(OR(Monthly_Input!S21="",N(Monthly_Input!S8)=0),"",Monthly_Input!S21/Monthly_Input!S8)</f>
        <v/>
      </c>
      <c r="T16" s="18">
        <f>IF(OR(Monthly_Input!T21="",N(Monthly_Input!T8)=0),"",Monthly_Input!T21/Monthly_Input!T8)</f>
        <v/>
      </c>
      <c r="U16" s="18">
        <f>IF(OR(Monthly_Input!U21="",N(Monthly_Input!U8)=0),"",Monthly_Input!U21/Monthly_Input!U8)</f>
        <v/>
      </c>
      <c r="V16" s="18">
        <f>IF(OR(Monthly_Input!V21="",N(Monthly_Input!V8)=0),"",Monthly_Input!V21/Monthly_Input!V8)</f>
        <v/>
      </c>
      <c r="W16" s="18">
        <f>IF(OR(Monthly_Input!W21="",N(Monthly_Input!W8)=0),"",Monthly_Input!W21/Monthly_Input!W8)</f>
        <v/>
      </c>
      <c r="X16" s="18">
        <f>IF(OR(Monthly_Input!X21="",N(Monthly_Input!X8)=0),"",Monthly_Input!X21/Monthly_Input!X8)</f>
        <v/>
      </c>
      <c r="Y16" s="18">
        <f>IF(OR(Monthly_Input!Y21="",N(Monthly_Input!Y8)=0),"",Monthly_Input!Y21/Monthly_Input!Y8)</f>
        <v/>
      </c>
      <c r="Z16" s="18">
        <f>IF(OR(Monthly_Input!Z21="",N(Monthly_Input!Z8)=0),"",Monthly_Input!Z21/Monthly_Input!Z8)</f>
        <v/>
      </c>
    </row>
    <row r="17">
      <c r="A17" s="11" t="inlineStr">
        <is>
          <t>Write off ratio (trailing 12 months, annualised)</t>
        </is>
      </c>
      <c r="B17" s="11" t="inlineStr">
        <is>
          <t>%</t>
        </is>
      </c>
      <c r="C17" s="18">
        <f>IF(AVERAGE(Monthly_Input!C8:C8)=0,"",SUM(Monthly_Input!C18:C18)/AVERAGE(Monthly_Input!C8:C8)*12/1)</f>
        <v/>
      </c>
      <c r="D17" s="18">
        <f>IF(AVERAGE(Monthly_Input!C8:D8)=0,"",SUM(Monthly_Input!C18:D18)/AVERAGE(Monthly_Input!C8:D8)*12/2)</f>
        <v/>
      </c>
      <c r="E17" s="18">
        <f>IF(AVERAGE(Monthly_Input!C8:E8)=0,"",SUM(Monthly_Input!C18:E18)/AVERAGE(Monthly_Input!C8:E8)*12/3)</f>
        <v/>
      </c>
      <c r="F17" s="18">
        <f>IF(AVERAGE(Monthly_Input!C8:F8)=0,"",SUM(Monthly_Input!C18:F18)/AVERAGE(Monthly_Input!C8:F8)*12/4)</f>
        <v/>
      </c>
      <c r="G17" s="18">
        <f>IF(AVERAGE(Monthly_Input!C8:G8)=0,"",SUM(Monthly_Input!C18:G18)/AVERAGE(Monthly_Input!C8:G8)*12/5)</f>
        <v/>
      </c>
      <c r="H17" s="18">
        <f>IF(AVERAGE(Monthly_Input!C8:H8)=0,"",SUM(Monthly_Input!C18:H18)/AVERAGE(Monthly_Input!C8:H8)*12/6)</f>
        <v/>
      </c>
      <c r="I17" s="18">
        <f>IF(AVERAGE(Monthly_Input!C8:I8)=0,"",SUM(Monthly_Input!C18:I18)/AVERAGE(Monthly_Input!C8:I8)*12/7)</f>
        <v/>
      </c>
      <c r="J17" s="18">
        <f>IF(AVERAGE(Monthly_Input!C8:J8)=0,"",SUM(Monthly_Input!C18:J18)/AVERAGE(Monthly_Input!C8:J8)*12/8)</f>
        <v/>
      </c>
      <c r="K17" s="18">
        <f>IF(AVERAGE(Monthly_Input!C8:K8)=0,"",SUM(Monthly_Input!C18:K18)/AVERAGE(Monthly_Input!C8:K8)*12/9)</f>
        <v/>
      </c>
      <c r="L17" s="18">
        <f>IF(AVERAGE(Monthly_Input!C8:L8)=0,"",SUM(Monthly_Input!C18:L18)/AVERAGE(Monthly_Input!C8:L8)*12/10)</f>
        <v/>
      </c>
      <c r="M17" s="18">
        <f>IF(AVERAGE(Monthly_Input!C8:M8)=0,"",SUM(Monthly_Input!C18:M18)/AVERAGE(Monthly_Input!C8:M8)*12/11)</f>
        <v/>
      </c>
      <c r="N17" s="18">
        <f>IF(AVERAGE(Monthly_Input!C8:N8)=0,"",SUM(Monthly_Input!C18:N18)/AVERAGE(Monthly_Input!C8:N8)*12/12)</f>
        <v/>
      </c>
      <c r="O17" s="18">
        <f>IF(AVERAGE(Monthly_Input!D8:O8)=0,"",SUM(Monthly_Input!D18:O18)/AVERAGE(Monthly_Input!D8:O8)*12/12)</f>
        <v/>
      </c>
      <c r="P17" s="18">
        <f>IF(AVERAGE(Monthly_Input!E8:P8)=0,"",SUM(Monthly_Input!E18:P18)/AVERAGE(Monthly_Input!E8:P8)*12/12)</f>
        <v/>
      </c>
      <c r="Q17" s="18">
        <f>IF(AVERAGE(Monthly_Input!F8:Q8)=0,"",SUM(Monthly_Input!F18:Q18)/AVERAGE(Monthly_Input!F8:Q8)*12/12)</f>
        <v/>
      </c>
      <c r="R17" s="18">
        <f>IF(AVERAGE(Monthly_Input!G8:R8)=0,"",SUM(Monthly_Input!G18:R18)/AVERAGE(Monthly_Input!G8:R8)*12/12)</f>
        <v/>
      </c>
      <c r="S17" s="18">
        <f>IF(AVERAGE(Monthly_Input!H8:S8)=0,"",SUM(Monthly_Input!H18:S18)/AVERAGE(Monthly_Input!H8:S8)*12/12)</f>
        <v/>
      </c>
      <c r="T17" s="18">
        <f>IF(AVERAGE(Monthly_Input!I8:T8)=0,"",SUM(Monthly_Input!I18:T18)/AVERAGE(Monthly_Input!I8:T8)*12/12)</f>
        <v/>
      </c>
      <c r="U17" s="18">
        <f>IF(AVERAGE(Monthly_Input!J8:U8)=0,"",SUM(Monthly_Input!J18:U18)/AVERAGE(Monthly_Input!J8:U8)*12/12)</f>
        <v/>
      </c>
      <c r="V17" s="18">
        <f>IF(AVERAGE(Monthly_Input!K8:V8)=0,"",SUM(Monthly_Input!K18:V18)/AVERAGE(Monthly_Input!K8:V8)*12/12)</f>
        <v/>
      </c>
      <c r="W17" s="18">
        <f>IF(AVERAGE(Monthly_Input!L8:W8)=0,"",SUM(Monthly_Input!L18:W18)/AVERAGE(Monthly_Input!L8:W8)*12/12)</f>
        <v/>
      </c>
      <c r="X17" s="18">
        <f>IF(AVERAGE(Monthly_Input!M8:X8)=0,"",SUM(Monthly_Input!M18:X18)/AVERAGE(Monthly_Input!M8:X8)*12/12)</f>
        <v/>
      </c>
      <c r="Y17" s="18">
        <f>IF(AVERAGE(Monthly_Input!N8:Y8)=0,"",SUM(Monthly_Input!N18:Y18)/AVERAGE(Monthly_Input!N8:Y8)*12/12)</f>
        <v/>
      </c>
      <c r="Z17" s="18">
        <f>IF(AVERAGE(Monthly_Input!O8:Z8)=0,"",SUM(Monthly_Input!O18:Z18)/AVERAGE(Monthly_Input!O8:Z8)*12/12)</f>
        <v/>
      </c>
    </row>
    <row r="18">
      <c r="A18" s="11" t="inlineStr">
        <is>
          <t>Recovery rate (trailing 12 months)</t>
        </is>
      </c>
      <c r="B18" s="11" t="inlineStr">
        <is>
          <t>%</t>
        </is>
      </c>
      <c r="C18" s="18">
        <f>IF(SUM(Monthly_Input!C18:C18)=0,"",SUM(Monthly_Input!C19:C19)/SUM(Monthly_Input!C18:C18))</f>
        <v/>
      </c>
      <c r="D18" s="18">
        <f>IF(SUM(Monthly_Input!C18:D18)=0,"",SUM(Monthly_Input!C19:D19)/SUM(Monthly_Input!C18:D18))</f>
        <v/>
      </c>
      <c r="E18" s="18">
        <f>IF(SUM(Monthly_Input!C18:E18)=0,"",SUM(Monthly_Input!C19:E19)/SUM(Monthly_Input!C18:E18))</f>
        <v/>
      </c>
      <c r="F18" s="18">
        <f>IF(SUM(Monthly_Input!C18:F18)=0,"",SUM(Monthly_Input!C19:F19)/SUM(Monthly_Input!C18:F18))</f>
        <v/>
      </c>
      <c r="G18" s="18">
        <f>IF(SUM(Monthly_Input!C18:G18)=0,"",SUM(Monthly_Input!C19:G19)/SUM(Monthly_Input!C18:G18))</f>
        <v/>
      </c>
      <c r="H18" s="18">
        <f>IF(SUM(Monthly_Input!C18:H18)=0,"",SUM(Monthly_Input!C19:H19)/SUM(Monthly_Input!C18:H18))</f>
        <v/>
      </c>
      <c r="I18" s="18">
        <f>IF(SUM(Monthly_Input!C18:I18)=0,"",SUM(Monthly_Input!C19:I19)/SUM(Monthly_Input!C18:I18))</f>
        <v/>
      </c>
      <c r="J18" s="18">
        <f>IF(SUM(Monthly_Input!C18:J18)=0,"",SUM(Monthly_Input!C19:J19)/SUM(Monthly_Input!C18:J18))</f>
        <v/>
      </c>
      <c r="K18" s="18">
        <f>IF(SUM(Monthly_Input!C18:K18)=0,"",SUM(Monthly_Input!C19:K19)/SUM(Monthly_Input!C18:K18))</f>
        <v/>
      </c>
      <c r="L18" s="18">
        <f>IF(SUM(Monthly_Input!C18:L18)=0,"",SUM(Monthly_Input!C19:L19)/SUM(Monthly_Input!C18:L18))</f>
        <v/>
      </c>
      <c r="M18" s="18">
        <f>IF(SUM(Monthly_Input!C18:M18)=0,"",SUM(Monthly_Input!C19:M19)/SUM(Monthly_Input!C18:M18))</f>
        <v/>
      </c>
      <c r="N18" s="18">
        <f>IF(SUM(Monthly_Input!C18:N18)=0,"",SUM(Monthly_Input!C19:N19)/SUM(Monthly_Input!C18:N18))</f>
        <v/>
      </c>
      <c r="O18" s="18">
        <f>IF(SUM(Monthly_Input!D18:O18)=0,"",SUM(Monthly_Input!D19:O19)/SUM(Monthly_Input!D18:O18))</f>
        <v/>
      </c>
      <c r="P18" s="18">
        <f>IF(SUM(Monthly_Input!E18:P18)=0,"",SUM(Monthly_Input!E19:P19)/SUM(Monthly_Input!E18:P18))</f>
        <v/>
      </c>
      <c r="Q18" s="18">
        <f>IF(SUM(Monthly_Input!F18:Q18)=0,"",SUM(Monthly_Input!F19:Q19)/SUM(Monthly_Input!F18:Q18))</f>
        <v/>
      </c>
      <c r="R18" s="18">
        <f>IF(SUM(Monthly_Input!G18:R18)=0,"",SUM(Monthly_Input!G19:R19)/SUM(Monthly_Input!G18:R18))</f>
        <v/>
      </c>
      <c r="S18" s="18">
        <f>IF(SUM(Monthly_Input!H18:S18)=0,"",SUM(Monthly_Input!H19:S19)/SUM(Monthly_Input!H18:S18))</f>
        <v/>
      </c>
      <c r="T18" s="18">
        <f>IF(SUM(Monthly_Input!I18:T18)=0,"",SUM(Monthly_Input!I19:T19)/SUM(Monthly_Input!I18:T18))</f>
        <v/>
      </c>
      <c r="U18" s="18">
        <f>IF(SUM(Monthly_Input!J18:U18)=0,"",SUM(Monthly_Input!J19:U19)/SUM(Monthly_Input!J18:U18))</f>
        <v/>
      </c>
      <c r="V18" s="18">
        <f>IF(SUM(Monthly_Input!K18:V18)=0,"",SUM(Monthly_Input!K19:V19)/SUM(Monthly_Input!K18:V18))</f>
        <v/>
      </c>
      <c r="W18" s="18">
        <f>IF(SUM(Monthly_Input!L18:W18)=0,"",SUM(Monthly_Input!L19:W19)/SUM(Monthly_Input!L18:W18))</f>
        <v/>
      </c>
      <c r="X18" s="18">
        <f>IF(SUM(Monthly_Input!M18:X18)=0,"",SUM(Monthly_Input!M19:X19)/SUM(Monthly_Input!M18:X18))</f>
        <v/>
      </c>
      <c r="Y18" s="18">
        <f>IF(SUM(Monthly_Input!N18:Y18)=0,"",SUM(Monthly_Input!N19:Y19)/SUM(Monthly_Input!N18:Y18))</f>
        <v/>
      </c>
      <c r="Z18" s="18">
        <f>IF(SUM(Monthly_Input!O18:Z18)=0,"",SUM(Monthly_Input!O19:Z19)/SUM(Monthly_Input!O18:Z18))</f>
        <v/>
      </c>
    </row>
    <row r="19">
      <c r="A19" s="11" t="inlineStr">
        <is>
          <t>Active ratio</t>
        </is>
      </c>
      <c r="B19" s="11" t="inlineStr">
        <is>
          <t>%</t>
        </is>
      </c>
      <c r="C19" s="18">
        <f>IF(OR(Monthly_Input!C22="",N(Monthly_Input!C23)=0),"",Monthly_Input!C22/Monthly_Input!C23)</f>
        <v/>
      </c>
      <c r="D19" s="18">
        <f>IF(OR(Monthly_Input!D22="",N(Monthly_Input!D23)=0),"",Monthly_Input!D22/Monthly_Input!D23)</f>
        <v/>
      </c>
      <c r="E19" s="18">
        <f>IF(OR(Monthly_Input!E22="",N(Monthly_Input!E23)=0),"",Monthly_Input!E22/Monthly_Input!E23)</f>
        <v/>
      </c>
      <c r="F19" s="18">
        <f>IF(OR(Monthly_Input!F22="",N(Monthly_Input!F23)=0),"",Monthly_Input!F22/Monthly_Input!F23)</f>
        <v/>
      </c>
      <c r="G19" s="18">
        <f>IF(OR(Monthly_Input!G22="",N(Monthly_Input!G23)=0),"",Monthly_Input!G22/Monthly_Input!G23)</f>
        <v/>
      </c>
      <c r="H19" s="18">
        <f>IF(OR(Monthly_Input!H22="",N(Monthly_Input!H23)=0),"",Monthly_Input!H22/Monthly_Input!H23)</f>
        <v/>
      </c>
      <c r="I19" s="18">
        <f>IF(OR(Monthly_Input!I22="",N(Monthly_Input!I23)=0),"",Monthly_Input!I22/Monthly_Input!I23)</f>
        <v/>
      </c>
      <c r="J19" s="18">
        <f>IF(OR(Monthly_Input!J22="",N(Monthly_Input!J23)=0),"",Monthly_Input!J22/Monthly_Input!J23)</f>
        <v/>
      </c>
      <c r="K19" s="18">
        <f>IF(OR(Monthly_Input!K22="",N(Monthly_Input!K23)=0),"",Monthly_Input!K22/Monthly_Input!K23)</f>
        <v/>
      </c>
      <c r="L19" s="18">
        <f>IF(OR(Monthly_Input!L22="",N(Monthly_Input!L23)=0),"",Monthly_Input!L22/Monthly_Input!L23)</f>
        <v/>
      </c>
      <c r="M19" s="18">
        <f>IF(OR(Monthly_Input!M22="",N(Monthly_Input!M23)=0),"",Monthly_Input!M22/Monthly_Input!M23)</f>
        <v/>
      </c>
      <c r="N19" s="18">
        <f>IF(OR(Monthly_Input!N22="",N(Monthly_Input!N23)=0),"",Monthly_Input!N22/Monthly_Input!N23)</f>
        <v/>
      </c>
      <c r="O19" s="18">
        <f>IF(OR(Monthly_Input!O22="",N(Monthly_Input!O23)=0),"",Monthly_Input!O22/Monthly_Input!O23)</f>
        <v/>
      </c>
      <c r="P19" s="18">
        <f>IF(OR(Monthly_Input!P22="",N(Monthly_Input!P23)=0),"",Monthly_Input!P22/Monthly_Input!P23)</f>
        <v/>
      </c>
      <c r="Q19" s="18">
        <f>IF(OR(Monthly_Input!Q22="",N(Monthly_Input!Q23)=0),"",Monthly_Input!Q22/Monthly_Input!Q23)</f>
        <v/>
      </c>
      <c r="R19" s="18">
        <f>IF(OR(Monthly_Input!R22="",N(Monthly_Input!R23)=0),"",Monthly_Input!R22/Monthly_Input!R23)</f>
        <v/>
      </c>
      <c r="S19" s="18">
        <f>IF(OR(Monthly_Input!S22="",N(Monthly_Input!S23)=0),"",Monthly_Input!S22/Monthly_Input!S23)</f>
        <v/>
      </c>
      <c r="T19" s="18">
        <f>IF(OR(Monthly_Input!T22="",N(Monthly_Input!T23)=0),"",Monthly_Input!T22/Monthly_Input!T23)</f>
        <v/>
      </c>
      <c r="U19" s="18">
        <f>IF(OR(Monthly_Input!U22="",N(Monthly_Input!U23)=0),"",Monthly_Input!U22/Monthly_Input!U23)</f>
        <v/>
      </c>
      <c r="V19" s="18">
        <f>IF(OR(Monthly_Input!V22="",N(Monthly_Input!V23)=0),"",Monthly_Input!V22/Monthly_Input!V23)</f>
        <v/>
      </c>
      <c r="W19" s="18">
        <f>IF(OR(Monthly_Input!W22="",N(Monthly_Input!W23)=0),"",Monthly_Input!W22/Monthly_Input!W23)</f>
        <v/>
      </c>
      <c r="X19" s="18">
        <f>IF(OR(Monthly_Input!X22="",N(Monthly_Input!X23)=0),"",Monthly_Input!X22/Monthly_Input!X23)</f>
        <v/>
      </c>
      <c r="Y19" s="18">
        <f>IF(OR(Monthly_Input!Y22="",N(Monthly_Input!Y23)=0),"",Monthly_Input!Y22/Monthly_Input!Y23)</f>
        <v/>
      </c>
      <c r="Z19" s="18">
        <f>IF(OR(Monthly_Input!Z22="",N(Monthly_Input!Z23)=0),"",Monthly_Input!Z22/Monthly_Input!Z23)</f>
        <v/>
      </c>
    </row>
    <row r="20">
      <c r="A20" s="11" t="inlineStr">
        <is>
          <t>Eligible receivables (to 30 DPD)</t>
        </is>
      </c>
      <c r="B20" s="11" t="inlineStr">
        <is>
          <t>LCY</t>
        </is>
      </c>
      <c r="C20" s="22">
        <f>Monthly_Input!C9+Monthly_Input!C10</f>
        <v/>
      </c>
      <c r="D20" s="22">
        <f>Monthly_Input!D9+Monthly_Input!D10</f>
        <v/>
      </c>
      <c r="E20" s="22">
        <f>Monthly_Input!E9+Monthly_Input!E10</f>
        <v/>
      </c>
      <c r="F20" s="22">
        <f>Monthly_Input!F9+Monthly_Input!F10</f>
        <v/>
      </c>
      <c r="G20" s="22">
        <f>Monthly_Input!G9+Monthly_Input!G10</f>
        <v/>
      </c>
      <c r="H20" s="22">
        <f>Monthly_Input!H9+Monthly_Input!H10</f>
        <v/>
      </c>
      <c r="I20" s="22">
        <f>Monthly_Input!I9+Monthly_Input!I10</f>
        <v/>
      </c>
      <c r="J20" s="22">
        <f>Monthly_Input!J9+Monthly_Input!J10</f>
        <v/>
      </c>
      <c r="K20" s="22">
        <f>Monthly_Input!K9+Monthly_Input!K10</f>
        <v/>
      </c>
      <c r="L20" s="22">
        <f>Monthly_Input!L9+Monthly_Input!L10</f>
        <v/>
      </c>
      <c r="M20" s="22">
        <f>Monthly_Input!M9+Monthly_Input!M10</f>
        <v/>
      </c>
      <c r="N20" s="22">
        <f>Monthly_Input!N9+Monthly_Input!N10</f>
        <v/>
      </c>
      <c r="O20" s="22">
        <f>Monthly_Input!O9+Monthly_Input!O10</f>
        <v/>
      </c>
      <c r="P20" s="22">
        <f>Monthly_Input!P9+Monthly_Input!P10</f>
        <v/>
      </c>
      <c r="Q20" s="22">
        <f>Monthly_Input!Q9+Monthly_Input!Q10</f>
        <v/>
      </c>
      <c r="R20" s="22">
        <f>Monthly_Input!R9+Monthly_Input!R10</f>
        <v/>
      </c>
      <c r="S20" s="22">
        <f>Monthly_Input!S9+Monthly_Input!S10</f>
        <v/>
      </c>
      <c r="T20" s="22">
        <f>Monthly_Input!T9+Monthly_Input!T10</f>
        <v/>
      </c>
      <c r="U20" s="22">
        <f>Monthly_Input!U9+Monthly_Input!U10</f>
        <v/>
      </c>
      <c r="V20" s="22">
        <f>Monthly_Input!V9+Monthly_Input!V10</f>
        <v/>
      </c>
      <c r="W20" s="22">
        <f>Monthly_Input!W9+Monthly_Input!W10</f>
        <v/>
      </c>
      <c r="X20" s="22">
        <f>Monthly_Input!X9+Monthly_Input!X10</f>
        <v/>
      </c>
      <c r="Y20" s="22">
        <f>Monthly_Input!Y9+Monthly_Input!Y10</f>
        <v/>
      </c>
      <c r="Z20" s="22">
        <f>Monthly_Input!Z9+Monthly_Input!Z10</f>
        <v/>
      </c>
    </row>
    <row r="21">
      <c r="A21" s="11" t="inlineStr">
        <is>
          <t>Borrowing base</t>
        </is>
      </c>
      <c r="B21" s="11" t="inlineStr">
        <is>
          <t>LCY</t>
        </is>
      </c>
      <c r="C21" s="22">
        <f>C20*Covenants!$B$12</f>
        <v/>
      </c>
      <c r="D21" s="22">
        <f>D20*Covenants!$B$12</f>
        <v/>
      </c>
      <c r="E21" s="22">
        <f>E20*Covenants!$B$12</f>
        <v/>
      </c>
      <c r="F21" s="22">
        <f>F20*Covenants!$B$12</f>
        <v/>
      </c>
      <c r="G21" s="22">
        <f>G20*Covenants!$B$12</f>
        <v/>
      </c>
      <c r="H21" s="22">
        <f>H20*Covenants!$B$12</f>
        <v/>
      </c>
      <c r="I21" s="22">
        <f>I20*Covenants!$B$12</f>
        <v/>
      </c>
      <c r="J21" s="22">
        <f>J20*Covenants!$B$12</f>
        <v/>
      </c>
      <c r="K21" s="22">
        <f>K20*Covenants!$B$12</f>
        <v/>
      </c>
      <c r="L21" s="22">
        <f>L20*Covenants!$B$12</f>
        <v/>
      </c>
      <c r="M21" s="22">
        <f>M20*Covenants!$B$12</f>
        <v/>
      </c>
      <c r="N21" s="22">
        <f>N20*Covenants!$B$12</f>
        <v/>
      </c>
      <c r="O21" s="22">
        <f>O20*Covenants!$B$12</f>
        <v/>
      </c>
      <c r="P21" s="22">
        <f>P20*Covenants!$B$12</f>
        <v/>
      </c>
      <c r="Q21" s="22">
        <f>Q20*Covenants!$B$12</f>
        <v/>
      </c>
      <c r="R21" s="22">
        <f>R20*Covenants!$B$12</f>
        <v/>
      </c>
      <c r="S21" s="22">
        <f>S20*Covenants!$B$12</f>
        <v/>
      </c>
      <c r="T21" s="22">
        <f>T20*Covenants!$B$12</f>
        <v/>
      </c>
      <c r="U21" s="22">
        <f>U20*Covenants!$B$12</f>
        <v/>
      </c>
      <c r="V21" s="22">
        <f>V20*Covenants!$B$12</f>
        <v/>
      </c>
      <c r="W21" s="22">
        <f>W20*Covenants!$B$12</f>
        <v/>
      </c>
      <c r="X21" s="22">
        <f>X20*Covenants!$B$12</f>
        <v/>
      </c>
      <c r="Y21" s="22">
        <f>Y20*Covenants!$B$12</f>
        <v/>
      </c>
      <c r="Z21" s="22">
        <f>Z20*Covenants!$B$12</f>
        <v/>
      </c>
    </row>
    <row r="22">
      <c r="A22" s="11" t="inlineStr">
        <is>
          <t>Borrowing base headroom</t>
        </is>
      </c>
      <c r="B22" s="11" t="inlineStr">
        <is>
          <t>LCY</t>
        </is>
      </c>
      <c r="C22" s="22">
        <f>C21-N(Monthly_Input!C24)</f>
        <v/>
      </c>
      <c r="D22" s="22">
        <f>D21-N(Monthly_Input!D24)</f>
        <v/>
      </c>
      <c r="E22" s="22">
        <f>E21-N(Monthly_Input!E24)</f>
        <v/>
      </c>
      <c r="F22" s="22">
        <f>F21-N(Monthly_Input!F24)</f>
        <v/>
      </c>
      <c r="G22" s="22">
        <f>G21-N(Monthly_Input!G24)</f>
        <v/>
      </c>
      <c r="H22" s="22">
        <f>H21-N(Monthly_Input!H24)</f>
        <v/>
      </c>
      <c r="I22" s="22">
        <f>I21-N(Monthly_Input!I24)</f>
        <v/>
      </c>
      <c r="J22" s="22">
        <f>J21-N(Monthly_Input!J24)</f>
        <v/>
      </c>
      <c r="K22" s="22">
        <f>K21-N(Monthly_Input!K24)</f>
        <v/>
      </c>
      <c r="L22" s="22">
        <f>L21-N(Monthly_Input!L24)</f>
        <v/>
      </c>
      <c r="M22" s="22">
        <f>M21-N(Monthly_Input!M24)</f>
        <v/>
      </c>
      <c r="N22" s="22">
        <f>N21-N(Monthly_Input!N24)</f>
        <v/>
      </c>
      <c r="O22" s="22">
        <f>O21-N(Monthly_Input!O24)</f>
        <v/>
      </c>
      <c r="P22" s="22">
        <f>P21-N(Monthly_Input!P24)</f>
        <v/>
      </c>
      <c r="Q22" s="22">
        <f>Q21-N(Monthly_Input!Q24)</f>
        <v/>
      </c>
      <c r="R22" s="22">
        <f>R21-N(Monthly_Input!R24)</f>
        <v/>
      </c>
      <c r="S22" s="22">
        <f>S21-N(Monthly_Input!S24)</f>
        <v/>
      </c>
      <c r="T22" s="22">
        <f>T21-N(Monthly_Input!T24)</f>
        <v/>
      </c>
      <c r="U22" s="22">
        <f>U21-N(Monthly_Input!U24)</f>
        <v/>
      </c>
      <c r="V22" s="22">
        <f>V21-N(Monthly_Input!V24)</f>
        <v/>
      </c>
      <c r="W22" s="22">
        <f>W21-N(Monthly_Input!W24)</f>
        <v/>
      </c>
      <c r="X22" s="22">
        <f>X21-N(Monthly_Input!X24)</f>
        <v/>
      </c>
      <c r="Y22" s="22">
        <f>Y21-N(Monthly_Input!Y24)</f>
        <v/>
      </c>
      <c r="Z22" s="22">
        <f>Z21-N(Monthly_Input!Z24)</f>
        <v/>
      </c>
    </row>
  </sheetData>
  <conditionalFormatting sqref="C10:Z10">
    <cfRule type="expression" priority="1" dxfId="0">
      <formula>C10="ERROR"</formula>
    </cfRule>
  </conditionalFormatting>
  <printOptions horizontalCentered="1"/>
  <pageMargins left="0.5" right="0.5" top="0.6" bottom="0.7" header="0.5" footer="0.5"/>
  <pageSetup orientation="landscape" paperSize="9" fitToHeight="0" fitToWidth="1"/>
  <headerFooter>
    <oddHeader/>
    <oddFooter>&amp;L&amp;"Arial"&amp;8 Africa Energy Finance | Book 2 Template T05 | Version 0.9 (pre-release)&amp;C&amp;"Arial"&amp;8 &amp;A&amp;R&amp;"Arial"&amp;8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V32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</cols>
  <sheetData>
    <row r="1">
      <c r="A1" s="1" t="inlineStr">
        <is>
          <t>AFRICA ENERGY FINANCE  |  BOOK 2  |  PAYGO SOLAR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2" customHeight="1">
      <c r="A2" s="3" t="inlineStr">
        <is>
          <t>Cohort repayment against plan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4" t="inlineStr">
        <is>
          <t>Cumulative collections ÷ instalments due at fixed ages (deposits excluded)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5" t="inlineStr">
        <is>
          <t>Template T05  |  Version 0.9 (pre-release)  |  Author &amp; ideation: Emmanuel Boujieka Kamga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</row>
    <row r="5"/>
    <row r="6">
      <c r="A6" s="11" t="inlineStr">
        <is>
          <t>Tier shown</t>
        </is>
      </c>
      <c r="B6" s="10" t="inlineStr">
        <is>
          <t>Tier 2 (example)</t>
        </is>
      </c>
    </row>
    <row r="7"/>
    <row r="8" ht="30" customHeight="1">
      <c r="A8" s="14" t="inlineStr">
        <is>
          <t>Cohort (month of sale)</t>
        </is>
      </c>
      <c r="B8" s="14" t="inlineStr">
        <is>
          <t>Collections M3</t>
        </is>
      </c>
      <c r="C8" s="14" t="inlineStr">
        <is>
          <t>Collections M6</t>
        </is>
      </c>
      <c r="D8" s="14" t="inlineStr">
        <is>
          <t>Collections M12</t>
        </is>
      </c>
      <c r="E8" s="14" t="inlineStr">
        <is>
          <t>Collections M18</t>
        </is>
      </c>
      <c r="F8" s="14" t="inlineStr">
        <is>
          <t>Collections M24</t>
        </is>
      </c>
      <c r="G8" s="14" t="inlineStr">
        <is>
          <t>Due M3</t>
        </is>
      </c>
      <c r="H8" s="14" t="inlineStr">
        <is>
          <t>Due M6</t>
        </is>
      </c>
      <c r="I8" s="14" t="inlineStr">
        <is>
          <t>Due M12</t>
        </is>
      </c>
      <c r="J8" s="14" t="inlineStr">
        <is>
          <t>Due M18</t>
        </is>
      </c>
      <c r="K8" s="14" t="inlineStr">
        <is>
          <t>Due M24</t>
        </is>
      </c>
      <c r="L8" s="14" t="inlineStr">
        <is>
          <t>Repayment ratio M3</t>
        </is>
      </c>
      <c r="M8" s="14" t="inlineStr">
        <is>
          <t>Repayment ratio M6</t>
        </is>
      </c>
      <c r="N8" s="14" t="inlineStr">
        <is>
          <t>Repayment ratio M12</t>
        </is>
      </c>
      <c r="O8" s="14" t="inlineStr">
        <is>
          <t>Repayment ratio M18</t>
        </is>
      </c>
      <c r="P8" s="14" t="inlineStr">
        <is>
          <t>Repayment ratio M24</t>
        </is>
      </c>
    </row>
    <row r="9">
      <c r="A9" s="10" t="inlineStr">
        <is>
          <t>Cohort 01</t>
        </is>
      </c>
      <c r="B9" s="27" t="n">
        <v>1269302</v>
      </c>
      <c r="C9" s="27" t="n">
        <v>2461017</v>
      </c>
      <c r="D9" s="27" t="n">
        <v>4700071</v>
      </c>
      <c r="E9" s="27" t="n">
        <v>6234914</v>
      </c>
      <c r="F9" s="27" t="n"/>
      <c r="G9" s="27" t="n">
        <v>1616038</v>
      </c>
      <c r="H9" s="27" t="n">
        <v>3232075</v>
      </c>
      <c r="I9" s="27" t="n">
        <v>6464150</v>
      </c>
      <c r="J9" s="27" t="n">
        <v>9696225</v>
      </c>
      <c r="K9" s="27" t="n"/>
      <c r="L9" s="18">
        <f>IF(N(G9)=0,"",B9/G9)</f>
        <v/>
      </c>
      <c r="M9" s="18">
        <f>IF(N(H9)=0,"",C9/H9)</f>
        <v/>
      </c>
      <c r="N9" s="18">
        <f>IF(N(I9)=0,"",D9/I9)</f>
        <v/>
      </c>
      <c r="O9" s="18">
        <f>IF(N(J9)=0,"",E9/J9)</f>
        <v/>
      </c>
      <c r="P9" s="18">
        <f>IF(N(K9)=0,"",F9/K9)</f>
        <v/>
      </c>
    </row>
    <row r="10">
      <c r="A10" s="10" t="inlineStr">
        <is>
          <t>Cohort 02</t>
        </is>
      </c>
      <c r="B10" s="27" t="n">
        <v>1361248</v>
      </c>
      <c r="C10" s="27" t="n">
        <v>2539299</v>
      </c>
      <c r="D10" s="27" t="n">
        <v>4577978</v>
      </c>
      <c r="E10" s="27" t="n">
        <v>6100813</v>
      </c>
      <c r="F10" s="27" t="n"/>
      <c r="G10" s="27" t="n">
        <v>1651169</v>
      </c>
      <c r="H10" s="27" t="n">
        <v>3302338</v>
      </c>
      <c r="I10" s="27" t="n">
        <v>6604675</v>
      </c>
      <c r="J10" s="27" t="n">
        <v>9907012</v>
      </c>
      <c r="K10" s="27" t="n"/>
      <c r="L10" s="18">
        <f>IF(N(G10)=0,"",B10/G10)</f>
        <v/>
      </c>
      <c r="M10" s="18">
        <f>IF(N(H10)=0,"",C10/H10)</f>
        <v/>
      </c>
      <c r="N10" s="18">
        <f>IF(N(I10)=0,"",D10/I10)</f>
        <v/>
      </c>
      <c r="O10" s="18">
        <f>IF(N(J10)=0,"",E10/J10)</f>
        <v/>
      </c>
      <c r="P10" s="18">
        <f>IF(N(K10)=0,"",F10/K10)</f>
        <v/>
      </c>
    </row>
    <row r="11">
      <c r="A11" s="10" t="inlineStr">
        <is>
          <t>Cohort 03</t>
        </is>
      </c>
      <c r="B11" s="27" t="n">
        <v>1259616</v>
      </c>
      <c r="C11" s="27" t="n">
        <v>2387949</v>
      </c>
      <c r="D11" s="27" t="n">
        <v>4174388</v>
      </c>
      <c r="E11" s="27" t="n">
        <v>5845005</v>
      </c>
      <c r="F11" s="27" t="n"/>
      <c r="G11" s="27" t="n">
        <v>1545775</v>
      </c>
      <c r="H11" s="27" t="n">
        <v>3091550</v>
      </c>
      <c r="I11" s="27" t="n">
        <v>6183100</v>
      </c>
      <c r="J11" s="27" t="n">
        <v>9274650</v>
      </c>
      <c r="K11" s="27" t="n"/>
      <c r="L11" s="18">
        <f>IF(N(G11)=0,"",B11/G11)</f>
        <v/>
      </c>
      <c r="M11" s="18">
        <f>IF(N(H11)=0,"",C11/H11)</f>
        <v/>
      </c>
      <c r="N11" s="18">
        <f>IF(N(I11)=0,"",D11/I11)</f>
        <v/>
      </c>
      <c r="O11" s="18">
        <f>IF(N(J11)=0,"",E11/J11)</f>
        <v/>
      </c>
      <c r="P11" s="18">
        <f>IF(N(K11)=0,"",F11/K11)</f>
        <v/>
      </c>
    </row>
    <row r="12">
      <c r="A12" s="10" t="inlineStr">
        <is>
          <t>Cohort 04</t>
        </is>
      </c>
      <c r="B12" s="27" t="n">
        <v>1583676</v>
      </c>
      <c r="C12" s="27" t="n">
        <v>3010345</v>
      </c>
      <c r="D12" s="27" t="n">
        <v>5248696</v>
      </c>
      <c r="E12" s="27" t="n">
        <v>7653815</v>
      </c>
      <c r="F12" s="27" t="n"/>
      <c r="G12" s="27" t="n">
        <v>1967350</v>
      </c>
      <c r="H12" s="27" t="n">
        <v>3934700</v>
      </c>
      <c r="I12" s="27" t="n">
        <v>7869400</v>
      </c>
      <c r="J12" s="27" t="n">
        <v>11804100</v>
      </c>
      <c r="K12" s="27" t="n"/>
      <c r="L12" s="18">
        <f>IF(N(G12)=0,"",B12/G12)</f>
        <v/>
      </c>
      <c r="M12" s="18">
        <f>IF(N(H12)=0,"",C12/H12)</f>
        <v/>
      </c>
      <c r="N12" s="18">
        <f>IF(N(I12)=0,"",D12/I12)</f>
        <v/>
      </c>
      <c r="O12" s="18">
        <f>IF(N(J12)=0,"",E12/J12)</f>
        <v/>
      </c>
      <c r="P12" s="18">
        <f>IF(N(K12)=0,"",F12/K12)</f>
        <v/>
      </c>
    </row>
    <row r="13">
      <c r="A13" s="10" t="inlineStr">
        <is>
          <t>Cohort 05</t>
        </is>
      </c>
      <c r="B13" s="27" t="n">
        <v>1509252</v>
      </c>
      <c r="C13" s="27" t="n">
        <v>2941238</v>
      </c>
      <c r="D13" s="27" t="n">
        <v>5132862</v>
      </c>
      <c r="E13" s="27" t="n">
        <v>6765814</v>
      </c>
      <c r="F13" s="27" t="n"/>
      <c r="G13" s="27" t="n">
        <v>1854930</v>
      </c>
      <c r="H13" s="27" t="n">
        <v>3709860</v>
      </c>
      <c r="I13" s="27" t="n">
        <v>7419720</v>
      </c>
      <c r="J13" s="27" t="n">
        <v>11129580</v>
      </c>
      <c r="K13" s="27" t="n"/>
      <c r="L13" s="18">
        <f>IF(N(G13)=0,"",B13/G13)</f>
        <v/>
      </c>
      <c r="M13" s="18">
        <f>IF(N(H13)=0,"",C13/H13)</f>
        <v/>
      </c>
      <c r="N13" s="18">
        <f>IF(N(I13)=0,"",D13/I13)</f>
        <v/>
      </c>
      <c r="O13" s="18">
        <f>IF(N(J13)=0,"",E13/J13)</f>
        <v/>
      </c>
      <c r="P13" s="18">
        <f>IF(N(K13)=0,"",F13/K13)</f>
        <v/>
      </c>
    </row>
    <row r="14">
      <c r="A14" s="10" t="inlineStr">
        <is>
          <t>Cohort 06</t>
        </is>
      </c>
      <c r="B14" s="27" t="n">
        <v>1572955</v>
      </c>
      <c r="C14" s="27" t="n">
        <v>3078740</v>
      </c>
      <c r="D14" s="27" t="n">
        <v>5608639</v>
      </c>
      <c r="E14" s="27" t="n">
        <v>7822332</v>
      </c>
      <c r="F14" s="27" t="n"/>
      <c r="G14" s="27" t="n">
        <v>1974376</v>
      </c>
      <c r="H14" s="27" t="n">
        <v>3948753</v>
      </c>
      <c r="I14" s="27" t="n">
        <v>7897505</v>
      </c>
      <c r="J14" s="27" t="n">
        <v>11846258</v>
      </c>
      <c r="K14" s="27" t="n"/>
      <c r="L14" s="18">
        <f>IF(N(G14)=0,"",B14/G14)</f>
        <v/>
      </c>
      <c r="M14" s="18">
        <f>IF(N(H14)=0,"",C14/H14)</f>
        <v/>
      </c>
      <c r="N14" s="18">
        <f>IF(N(I14)=0,"",D14/I14)</f>
        <v/>
      </c>
      <c r="O14" s="18">
        <f>IF(N(J14)=0,"",E14/J14)</f>
        <v/>
      </c>
      <c r="P14" s="18">
        <f>IF(N(K14)=0,"",F14/K14)</f>
        <v/>
      </c>
    </row>
    <row r="15">
      <c r="A15" s="10" t="inlineStr">
        <is>
          <t>Cohort 07</t>
        </is>
      </c>
      <c r="B15" s="27" t="n">
        <v>1685997</v>
      </c>
      <c r="C15" s="27" t="n">
        <v>3071153</v>
      </c>
      <c r="D15" s="27" t="n">
        <v>5543835</v>
      </c>
      <c r="E15" s="27" t="n"/>
      <c r="F15" s="27" t="n"/>
      <c r="G15" s="27" t="n">
        <v>2002481</v>
      </c>
      <c r="H15" s="27" t="n">
        <v>4004962</v>
      </c>
      <c r="I15" s="27" t="n">
        <v>8009925</v>
      </c>
      <c r="J15" s="27" t="n"/>
      <c r="K15" s="27" t="n"/>
      <c r="L15" s="18">
        <f>IF(N(G15)=0,"",B15/G15)</f>
        <v/>
      </c>
      <c r="M15" s="18">
        <f>IF(N(H15)=0,"",C15/H15)</f>
        <v/>
      </c>
      <c r="N15" s="18">
        <f>IF(N(I15)=0,"",D15/I15)</f>
        <v/>
      </c>
      <c r="O15" s="18">
        <f>IF(N(J15)=0,"",E15/J15)</f>
        <v/>
      </c>
      <c r="P15" s="18">
        <f>IF(N(K15)=0,"",F15/K15)</f>
        <v/>
      </c>
    </row>
    <row r="16">
      <c r="A16" s="10" t="inlineStr">
        <is>
          <t>Cohort 08</t>
        </is>
      </c>
      <c r="B16" s="27" t="n">
        <v>1879779</v>
      </c>
      <c r="C16" s="27" t="n">
        <v>3687208</v>
      </c>
      <c r="D16" s="27" t="n">
        <v>6517936</v>
      </c>
      <c r="E16" s="27" t="n"/>
      <c r="F16" s="27" t="n"/>
      <c r="G16" s="27" t="n">
        <v>2367846</v>
      </c>
      <c r="H16" s="27" t="n">
        <v>4735692</v>
      </c>
      <c r="I16" s="27" t="n">
        <v>9471385</v>
      </c>
      <c r="J16" s="27" t="n"/>
      <c r="K16" s="27" t="n"/>
      <c r="L16" s="18">
        <f>IF(N(G16)=0,"",B16/G16)</f>
        <v/>
      </c>
      <c r="M16" s="18">
        <f>IF(N(H16)=0,"",C16/H16)</f>
        <v/>
      </c>
      <c r="N16" s="18">
        <f>IF(N(I16)=0,"",D16/I16)</f>
        <v/>
      </c>
      <c r="O16" s="18">
        <f>IF(N(J16)=0,"",E16/J16)</f>
        <v/>
      </c>
      <c r="P16" s="18">
        <f>IF(N(K16)=0,"",F16/K16)</f>
        <v/>
      </c>
    </row>
    <row r="17">
      <c r="A17" s="10" t="inlineStr">
        <is>
          <t>Cohort 09</t>
        </is>
      </c>
      <c r="B17" s="27" t="n">
        <v>2090885</v>
      </c>
      <c r="C17" s="27" t="n">
        <v>3842779</v>
      </c>
      <c r="D17" s="27" t="n">
        <v>6889050</v>
      </c>
      <c r="E17" s="27" t="n"/>
      <c r="F17" s="27" t="n"/>
      <c r="G17" s="27" t="n">
        <v>2494319</v>
      </c>
      <c r="H17" s="27" t="n">
        <v>4988638</v>
      </c>
      <c r="I17" s="27" t="n">
        <v>9977275</v>
      </c>
      <c r="J17" s="27" t="n"/>
      <c r="K17" s="27" t="n"/>
      <c r="L17" s="18">
        <f>IF(N(G17)=0,"",B17/G17)</f>
        <v/>
      </c>
      <c r="M17" s="18">
        <f>IF(N(H17)=0,"",C17/H17)</f>
        <v/>
      </c>
      <c r="N17" s="18">
        <f>IF(N(I17)=0,"",D17/I17)</f>
        <v/>
      </c>
      <c r="O17" s="18">
        <f>IF(N(J17)=0,"",E17/J17)</f>
        <v/>
      </c>
      <c r="P17" s="18">
        <f>IF(N(K17)=0,"",F17/K17)</f>
        <v/>
      </c>
    </row>
    <row r="18">
      <c r="A18" s="10" t="inlineStr">
        <is>
          <t>Cohort 10</t>
        </is>
      </c>
      <c r="B18" s="27" t="n">
        <v>2220937</v>
      </c>
      <c r="C18" s="27" t="n">
        <v>3952852</v>
      </c>
      <c r="D18" s="27" t="n">
        <v>7375792</v>
      </c>
      <c r="E18" s="27" t="n"/>
      <c r="F18" s="27" t="n"/>
      <c r="G18" s="27" t="n">
        <v>2691054</v>
      </c>
      <c r="H18" s="27" t="n">
        <v>5382108</v>
      </c>
      <c r="I18" s="27" t="n">
        <v>10764215</v>
      </c>
      <c r="J18" s="27" t="n"/>
      <c r="K18" s="27" t="n"/>
      <c r="L18" s="18">
        <f>IF(N(G18)=0,"",B18/G18)</f>
        <v/>
      </c>
      <c r="M18" s="18">
        <f>IF(N(H18)=0,"",C18/H18)</f>
        <v/>
      </c>
      <c r="N18" s="18">
        <f>IF(N(I18)=0,"",D18/I18)</f>
        <v/>
      </c>
      <c r="O18" s="18">
        <f>IF(N(J18)=0,"",E18/J18)</f>
        <v/>
      </c>
      <c r="P18" s="18">
        <f>IF(N(K18)=0,"",F18/K18)</f>
        <v/>
      </c>
    </row>
    <row r="19">
      <c r="A19" s="10" t="inlineStr">
        <is>
          <t>Cohort 11</t>
        </is>
      </c>
      <c r="B19" s="27" t="n">
        <v>2227486</v>
      </c>
      <c r="C19" s="27" t="n">
        <v>4487139</v>
      </c>
      <c r="D19" s="27" t="n">
        <v>7778595</v>
      </c>
      <c r="E19" s="27" t="n"/>
      <c r="F19" s="27" t="n"/>
      <c r="G19" s="27" t="n">
        <v>2782395</v>
      </c>
      <c r="H19" s="27" t="n">
        <v>5564790</v>
      </c>
      <c r="I19" s="27" t="n">
        <v>11129580</v>
      </c>
      <c r="J19" s="27" t="n"/>
      <c r="K19" s="27" t="n"/>
      <c r="L19" s="18">
        <f>IF(N(G19)=0,"",B19/G19)</f>
        <v/>
      </c>
      <c r="M19" s="18">
        <f>IF(N(H19)=0,"",C19/H19)</f>
        <v/>
      </c>
      <c r="N19" s="18">
        <f>IF(N(I19)=0,"",D19/I19)</f>
        <v/>
      </c>
      <c r="O19" s="18">
        <f>IF(N(J19)=0,"",E19/J19)</f>
        <v/>
      </c>
      <c r="P19" s="18">
        <f>IF(N(K19)=0,"",F19/K19)</f>
        <v/>
      </c>
    </row>
    <row r="20">
      <c r="A20" s="10" t="inlineStr">
        <is>
          <t>Cohort 12</t>
        </is>
      </c>
      <c r="B20" s="27" t="n">
        <v>2169853</v>
      </c>
      <c r="C20" s="27" t="n">
        <v>3992495</v>
      </c>
      <c r="D20" s="27" t="n">
        <v>7566065</v>
      </c>
      <c r="E20" s="27" t="n"/>
      <c r="F20" s="27" t="n"/>
      <c r="G20" s="27" t="n">
        <v>2662949</v>
      </c>
      <c r="H20" s="27" t="n">
        <v>5325898</v>
      </c>
      <c r="I20" s="27" t="n">
        <v>10651795</v>
      </c>
      <c r="J20" s="27" t="n"/>
      <c r="K20" s="27" t="n"/>
      <c r="L20" s="18">
        <f>IF(N(G20)=0,"",B20/G20)</f>
        <v/>
      </c>
      <c r="M20" s="18">
        <f>IF(N(H20)=0,"",C20/H20)</f>
        <v/>
      </c>
      <c r="N20" s="18">
        <f>IF(N(I20)=0,"",D20/I20)</f>
        <v/>
      </c>
      <c r="O20" s="18">
        <f>IF(N(J20)=0,"",E20/J20)</f>
        <v/>
      </c>
      <c r="P20" s="18">
        <f>IF(N(K20)=0,"",F20/K20)</f>
        <v/>
      </c>
    </row>
    <row r="21">
      <c r="A21" s="10" t="inlineStr">
        <is>
          <t>Cohort 13</t>
        </is>
      </c>
      <c r="B21" s="27" t="n">
        <v>2456167</v>
      </c>
      <c r="C21" s="27" t="n">
        <v>4728542</v>
      </c>
      <c r="D21" s="27" t="n"/>
      <c r="E21" s="27" t="n"/>
      <c r="F21" s="27" t="n"/>
      <c r="G21" s="27" t="n">
        <v>3042366</v>
      </c>
      <c r="H21" s="27" t="n">
        <v>6084732</v>
      </c>
      <c r="I21" s="27" t="n"/>
      <c r="J21" s="27" t="n"/>
      <c r="K21" s="27" t="n"/>
      <c r="L21" s="18">
        <f>IF(N(G21)=0,"",B21/G21)</f>
        <v/>
      </c>
      <c r="M21" s="18">
        <f>IF(N(H21)=0,"",C21/H21)</f>
        <v/>
      </c>
      <c r="N21" s="18">
        <f>IF(N(I21)=0,"",D21/I21)</f>
        <v/>
      </c>
      <c r="O21" s="18">
        <f>IF(N(J21)=0,"",E21/J21)</f>
        <v/>
      </c>
      <c r="P21" s="18">
        <f>IF(N(K21)=0,"",F21/K21)</f>
        <v/>
      </c>
    </row>
    <row r="22">
      <c r="A22" s="10" t="inlineStr">
        <is>
          <t>Cohort 14</t>
        </is>
      </c>
      <c r="B22" s="27" t="n">
        <v>2538900</v>
      </c>
      <c r="C22" s="27" t="n">
        <v>4708371</v>
      </c>
      <c r="D22" s="27" t="n"/>
      <c r="E22" s="27" t="n"/>
      <c r="F22" s="27" t="n"/>
      <c r="G22" s="27" t="n">
        <v>3042366</v>
      </c>
      <c r="H22" s="27" t="n">
        <v>6084732</v>
      </c>
      <c r="I22" s="27" t="n"/>
      <c r="J22" s="27" t="n"/>
      <c r="K22" s="27" t="n"/>
      <c r="L22" s="18">
        <f>IF(N(G22)=0,"",B22/G22)</f>
        <v/>
      </c>
      <c r="M22" s="18">
        <f>IF(N(H22)=0,"",C22/H22)</f>
        <v/>
      </c>
      <c r="N22" s="18">
        <f>IF(N(I22)=0,"",D22/I22)</f>
        <v/>
      </c>
      <c r="O22" s="18">
        <f>IF(N(J22)=0,"",E22/J22)</f>
        <v/>
      </c>
      <c r="P22" s="18">
        <f>IF(N(K22)=0,"",F22/K22)</f>
        <v/>
      </c>
    </row>
    <row r="23">
      <c r="A23" s="10" t="inlineStr">
        <is>
          <t>Cohort 15</t>
        </is>
      </c>
      <c r="B23" s="27" t="n">
        <v>2651819</v>
      </c>
      <c r="C23" s="27" t="n">
        <v>4951670</v>
      </c>
      <c r="D23" s="27" t="n"/>
      <c r="E23" s="27" t="n"/>
      <c r="F23" s="27" t="n"/>
      <c r="G23" s="27" t="n">
        <v>3246128</v>
      </c>
      <c r="H23" s="27" t="n">
        <v>6492255</v>
      </c>
      <c r="I23" s="27" t="n"/>
      <c r="J23" s="27" t="n"/>
      <c r="K23" s="27" t="n"/>
      <c r="L23" s="18">
        <f>IF(N(G23)=0,"",B23/G23)</f>
        <v/>
      </c>
      <c r="M23" s="18">
        <f>IF(N(H23)=0,"",C23/H23)</f>
        <v/>
      </c>
      <c r="N23" s="18">
        <f>IF(N(I23)=0,"",D23/I23)</f>
        <v/>
      </c>
      <c r="O23" s="18">
        <f>IF(N(J23)=0,"",E23/J23)</f>
        <v/>
      </c>
      <c r="P23" s="18">
        <f>IF(N(K23)=0,"",F23/K23)</f>
        <v/>
      </c>
    </row>
    <row r="24">
      <c r="A24" s="10" t="inlineStr">
        <is>
          <t>Cohort 16</t>
        </is>
      </c>
      <c r="B24" s="27" t="n">
        <v>2562093</v>
      </c>
      <c r="C24" s="27" t="n">
        <v>4879779</v>
      </c>
      <c r="D24" s="27" t="n"/>
      <c r="E24" s="27" t="n"/>
      <c r="F24" s="27" t="n"/>
      <c r="G24" s="27" t="n">
        <v>3168839</v>
      </c>
      <c r="H24" s="27" t="n">
        <v>6337678</v>
      </c>
      <c r="I24" s="27" t="n"/>
      <c r="J24" s="27" t="n"/>
      <c r="K24" s="27" t="n"/>
      <c r="L24" s="18">
        <f>IF(N(G24)=0,"",B24/G24)</f>
        <v/>
      </c>
      <c r="M24" s="18">
        <f>IF(N(H24)=0,"",C24/H24)</f>
        <v/>
      </c>
      <c r="N24" s="18">
        <f>IF(N(I24)=0,"",D24/I24)</f>
        <v/>
      </c>
      <c r="O24" s="18">
        <f>IF(N(J24)=0,"",E24/J24)</f>
        <v/>
      </c>
      <c r="P24" s="18">
        <f>IF(N(K24)=0,"",F24/K24)</f>
        <v/>
      </c>
    </row>
    <row r="25">
      <c r="A25" s="10" t="inlineStr">
        <is>
          <t>Cohort 17</t>
        </is>
      </c>
      <c r="B25" s="27" t="n">
        <v>2520450</v>
      </c>
      <c r="C25" s="27" t="n">
        <v>4724605</v>
      </c>
      <c r="D25" s="27" t="n"/>
      <c r="E25" s="27" t="n"/>
      <c r="F25" s="27" t="n"/>
      <c r="G25" s="27" t="n">
        <v>3126681</v>
      </c>
      <c r="H25" s="27" t="n">
        <v>6253362</v>
      </c>
      <c r="I25" s="27" t="n"/>
      <c r="J25" s="27" t="n"/>
      <c r="K25" s="27" t="n"/>
      <c r="L25" s="18">
        <f>IF(N(G25)=0,"",B25/G25)</f>
        <v/>
      </c>
      <c r="M25" s="18">
        <f>IF(N(H25)=0,"",C25/H25)</f>
        <v/>
      </c>
      <c r="N25" s="18">
        <f>IF(N(I25)=0,"",D25/I25)</f>
        <v/>
      </c>
      <c r="O25" s="18">
        <f>IF(N(J25)=0,"",E25/J25)</f>
        <v/>
      </c>
      <c r="P25" s="18">
        <f>IF(N(K25)=0,"",F25/K25)</f>
        <v/>
      </c>
    </row>
    <row r="26">
      <c r="A26" s="10" t="inlineStr">
        <is>
          <t>Cohort 18</t>
        </is>
      </c>
      <c r="B26" s="27" t="n">
        <v>3001007</v>
      </c>
      <c r="C26" s="27" t="n">
        <v>5469885</v>
      </c>
      <c r="D26" s="27" t="n"/>
      <c r="E26" s="27" t="n"/>
      <c r="F26" s="27" t="n"/>
      <c r="G26" s="27" t="n">
        <v>3604466</v>
      </c>
      <c r="H26" s="27" t="n">
        <v>7208932</v>
      </c>
      <c r="I26" s="27" t="n"/>
      <c r="J26" s="27" t="n"/>
      <c r="K26" s="27" t="n"/>
      <c r="L26" s="18">
        <f>IF(N(G26)=0,"",B26/G26)</f>
        <v/>
      </c>
      <c r="M26" s="18">
        <f>IF(N(H26)=0,"",C26/H26)</f>
        <v/>
      </c>
      <c r="N26" s="18">
        <f>IF(N(I26)=0,"",D26/I26)</f>
        <v/>
      </c>
      <c r="O26" s="18">
        <f>IF(N(J26)=0,"",E26/J26)</f>
        <v/>
      </c>
      <c r="P26" s="18">
        <f>IF(N(K26)=0,"",F26/K26)</f>
        <v/>
      </c>
    </row>
    <row r="27"/>
    <row r="28">
      <c r="A28" s="9" t="inlineStr">
        <is>
          <t>Average observed</t>
        </is>
      </c>
      <c r="L28" s="17">
        <f>IFERROR(AVERAGE(L9:L26),"")</f>
        <v/>
      </c>
      <c r="M28" s="17">
        <f>IFERROR(AVERAGE(M9:M26),"")</f>
        <v/>
      </c>
      <c r="N28" s="17">
        <f>IFERROR(AVERAGE(N9:N26),"")</f>
        <v/>
      </c>
      <c r="O28" s="17">
        <f>IFERROR(AVERAGE(O9:O26),"")</f>
        <v/>
      </c>
      <c r="P28" s="17">
        <f>IFERROR(AVERAGE(P9:P26),"")</f>
        <v/>
      </c>
    </row>
    <row r="29">
      <c r="A29" s="9" t="inlineStr">
        <is>
          <t>Plan</t>
        </is>
      </c>
      <c r="L29" s="28" t="n">
        <v>0.835</v>
      </c>
      <c r="M29" s="28" t="n">
        <v>0.803</v>
      </c>
      <c r="N29" s="28" t="n">
        <v>0.745</v>
      </c>
      <c r="O29" s="28" t="n">
        <v>0.6919999999999999</v>
      </c>
      <c r="P29" s="28" t="n">
        <v>0.644</v>
      </c>
    </row>
    <row r="30">
      <c r="A30" s="9" t="inlineStr">
        <is>
          <t>Gap (points)</t>
        </is>
      </c>
      <c r="L30" s="17">
        <f>IF(L28="","",L28-L29)</f>
        <v/>
      </c>
      <c r="M30" s="17">
        <f>IF(M28="","",M28-M29)</f>
        <v/>
      </c>
      <c r="N30" s="17">
        <f>IF(N28="","",N28-N29)</f>
        <v/>
      </c>
      <c r="O30" s="17">
        <f>IF(O28="","",O28-O29)</f>
        <v/>
      </c>
      <c r="P30" s="17">
        <f>IF(P28="","",P28-P29)</f>
        <v/>
      </c>
    </row>
    <row r="31"/>
    <row r="32">
      <c r="A32" s="20" t="inlineStr">
        <is>
          <t>Example: Tier 2 cohorts of the synthetic SolaraPay history (fictional); plan curve from the management plan. Ages beyond the history are left blank, never filled with a proxy. The cohort repayment ratio is monthly and is not a PERFORM calculation.</t>
        </is>
      </c>
    </row>
  </sheetData>
  <printOptions horizontalCentered="1"/>
  <pageMargins left="0.5" right="0.5" top="0.6" bottom="0.7" header="0.5" footer="0.5"/>
  <pageSetup orientation="landscape" paperSize="9" fitToHeight="0" fitToWidth="1"/>
  <headerFooter>
    <oddHeader/>
    <oddFooter>&amp;L&amp;"Arial"&amp;8 Africa Energy Finance | Book 2 Template T05 | Version 0.9 (pre-release)&amp;C&amp;"Arial"&amp;8 &amp;A&amp;R&amp;"Arial"&amp;8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30" customWidth="1" min="9" max="9"/>
  </cols>
  <sheetData>
    <row r="1">
      <c r="A1" s="1" t="inlineStr">
        <is>
          <t>AFRICA ENERGY FINANCE  |  BOOK 2  |  PAYGO SOLAR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PAYGo PERFORM 2026 KPIs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Company reported on contract data; numerators and denominators by tier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5" t="inlineStr">
        <is>
          <t>Template T05  |  Version 0.9 (pre-release)  |  Author &amp; ideation: Emmanuel Boujieka Kamga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/>
    <row r="6" ht="30" customHeight="1">
      <c r="A6" s="13" t="inlineStr">
        <is>
          <t>Company reported, computed on contract data under the GOGLA PAYGo PERFORM KPIs Technical Guide (June 2026): deposits, prepayments, penalties, fees and subsidies excluded; daily normalised; cohort and portfolio results built by summing contract numerators and denominators. This report does not compute them from monthly data.</t>
        </is>
      </c>
    </row>
    <row r="7"/>
    <row r="8">
      <c r="A8" s="9" t="inlineStr">
        <is>
          <t>Reporting date</t>
        </is>
      </c>
      <c r="B8" s="26" t="n"/>
    </row>
    <row r="9"/>
    <row r="10" ht="30" customHeight="1">
      <c r="A10" s="14" t="inlineStr">
        <is>
          <t>KPI and line</t>
        </is>
      </c>
      <c r="B10" s="14" t="inlineStr"/>
      <c r="C10" s="14" t="inlineStr">
        <is>
          <t>Tier 1</t>
        </is>
      </c>
      <c r="D10" s="14" t="inlineStr">
        <is>
          <t>Tier 2</t>
        </is>
      </c>
      <c r="E10" s="14" t="inlineStr">
        <is>
          <t>Tier 3</t>
        </is>
      </c>
      <c r="F10" s="14" t="inlineStr">
        <is>
          <t>Tier 4</t>
        </is>
      </c>
      <c r="G10" s="14" t="inlineStr">
        <is>
          <t>Tier 5</t>
        </is>
      </c>
      <c r="H10" s="14" t="inlineStr">
        <is>
          <t>Portfolio</t>
        </is>
      </c>
      <c r="I10" s="14" t="inlineStr">
        <is>
          <t>Comment</t>
        </is>
      </c>
    </row>
    <row r="11">
      <c r="A11" s="9" t="inlineStr">
        <is>
          <t>RR PvP (repayment rate, paid versus plan)</t>
        </is>
      </c>
      <c r="I11" s="20" t="inlineStr">
        <is>
          <t>Time series</t>
        </is>
      </c>
    </row>
    <row r="12">
      <c r="A12" s="11" t="inlineStr">
        <is>
          <t>Numerator</t>
        </is>
      </c>
      <c r="C12" s="27" t="n"/>
      <c r="D12" s="27" t="n"/>
      <c r="E12" s="27" t="n"/>
      <c r="F12" s="27" t="n"/>
      <c r="G12" s="27" t="n"/>
      <c r="H12" s="22">
        <f>SUM(C12:G12)</f>
        <v/>
      </c>
      <c r="I12" s="20" t="inlineStr">
        <is>
          <t>Payments applied to due instalments to date</t>
        </is>
      </c>
    </row>
    <row r="13">
      <c r="A13" s="11" t="inlineStr">
        <is>
          <t>Denominator</t>
        </is>
      </c>
      <c r="C13" s="27" t="n"/>
      <c r="D13" s="27" t="n"/>
      <c r="E13" s="27" t="n"/>
      <c r="F13" s="27" t="n"/>
      <c r="G13" s="27" t="n"/>
      <c r="H13" s="22">
        <f>SUM(C13:G13)</f>
        <v/>
      </c>
      <c r="I13" s="20" t="inlineStr">
        <is>
          <t>instalments due to date</t>
        </is>
      </c>
    </row>
    <row r="14">
      <c r="A14" s="9" t="inlineStr">
        <is>
          <t>Result</t>
        </is>
      </c>
      <c r="C14" s="17">
        <f>IF(N(C13)=0,"not provided",C12/C13)</f>
        <v/>
      </c>
      <c r="D14" s="17">
        <f>IF(N(D13)=0,"not provided",D12/D13)</f>
        <v/>
      </c>
      <c r="E14" s="17">
        <f>IF(N(E13)=0,"not provided",E12/E13)</f>
        <v/>
      </c>
      <c r="F14" s="17">
        <f>IF(N(F13)=0,"not provided",F12/F13)</f>
        <v/>
      </c>
      <c r="G14" s="17">
        <f>IF(N(G13)=0,"not provided",G12/G13)</f>
        <v/>
      </c>
      <c r="H14" s="17">
        <f>IF(N(H13)=0,"not provided",H12/H13)</f>
        <v/>
      </c>
    </row>
    <row r="15"/>
    <row r="16">
      <c r="A16" s="9" t="inlineStr">
        <is>
          <t>RR PvFin (repayment rate, paid versus financed)</t>
        </is>
      </c>
      <c r="I16" s="20" t="inlineStr">
        <is>
          <t>Time series</t>
        </is>
      </c>
    </row>
    <row r="17">
      <c r="A17" s="11" t="inlineStr">
        <is>
          <t>Numerator</t>
        </is>
      </c>
      <c r="C17" s="27" t="n"/>
      <c r="D17" s="27" t="n"/>
      <c r="E17" s="27" t="n"/>
      <c r="F17" s="27" t="n"/>
      <c r="G17" s="27" t="n"/>
      <c r="H17" s="22">
        <f>SUM(C17:G17)</f>
        <v/>
      </c>
      <c r="I17" s="20" t="inlineStr">
        <is>
          <t>Payments applied to due instalments to date</t>
        </is>
      </c>
    </row>
    <row r="18">
      <c r="A18" s="11" t="inlineStr">
        <is>
          <t>Denominator</t>
        </is>
      </c>
      <c r="C18" s="27" t="n"/>
      <c r="D18" s="27" t="n"/>
      <c r="E18" s="27" t="n"/>
      <c r="F18" s="27" t="n"/>
      <c r="G18" s="27" t="n"/>
      <c r="H18" s="22">
        <f>SUM(C18:G18)</f>
        <v/>
      </c>
      <c r="I18" s="20" t="inlineStr">
        <is>
          <t>total amount financed</t>
        </is>
      </c>
    </row>
    <row r="19">
      <c r="A19" s="9" t="inlineStr">
        <is>
          <t>Result</t>
        </is>
      </c>
      <c r="C19" s="17">
        <f>IF(N(C18)=0,"not provided",C17/C18)</f>
        <v/>
      </c>
      <c r="D19" s="17">
        <f>IF(N(D18)=0,"not provided",D17/D18)</f>
        <v/>
      </c>
      <c r="E19" s="17">
        <f>IF(N(E18)=0,"not provided",E17/E18)</f>
        <v/>
      </c>
      <c r="F19" s="17">
        <f>IF(N(F18)=0,"not provided",F17/F18)</f>
        <v/>
      </c>
      <c r="G19" s="17">
        <f>IF(N(G18)=0,"not provided",G17/G18)</f>
        <v/>
      </c>
      <c r="H19" s="17">
        <f>IF(N(H18)=0,"not provided",H17/H18)</f>
        <v/>
      </c>
    </row>
    <row r="20"/>
    <row r="21">
      <c r="A21" s="9" t="inlineStr">
        <is>
          <t>RR PvP at 90 days</t>
        </is>
      </c>
      <c r="I21" s="20" t="inlineStr">
        <is>
          <t>Cohort milestone</t>
        </is>
      </c>
    </row>
    <row r="22">
      <c r="A22" s="11" t="inlineStr">
        <is>
          <t>Numerator</t>
        </is>
      </c>
      <c r="C22" s="27" t="n"/>
      <c r="D22" s="27" t="n"/>
      <c r="E22" s="27" t="n"/>
      <c r="F22" s="27" t="n"/>
      <c r="G22" s="27" t="n"/>
      <c r="H22" s="22">
        <f>SUM(C22:G22)</f>
        <v/>
      </c>
      <c r="I22" s="20" t="inlineStr">
        <is>
          <t>Payments applied to instalments due by day 90</t>
        </is>
      </c>
    </row>
    <row r="23">
      <c r="A23" s="11" t="inlineStr">
        <is>
          <t>Denominator</t>
        </is>
      </c>
      <c r="C23" s="27" t="n"/>
      <c r="D23" s="27" t="n"/>
      <c r="E23" s="27" t="n"/>
      <c r="F23" s="27" t="n"/>
      <c r="G23" s="27" t="n"/>
      <c r="H23" s="22">
        <f>SUM(C23:G23)</f>
        <v/>
      </c>
      <c r="I23" s="20" t="inlineStr">
        <is>
          <t>instalments due by day 90</t>
        </is>
      </c>
    </row>
    <row r="24">
      <c r="A24" s="9" t="inlineStr">
        <is>
          <t>Result</t>
        </is>
      </c>
      <c r="C24" s="17">
        <f>IF(N(C23)=0,"not provided",C22/C23)</f>
        <v/>
      </c>
      <c r="D24" s="17">
        <f>IF(N(D23)=0,"not provided",D22/D23)</f>
        <v/>
      </c>
      <c r="E24" s="17">
        <f>IF(N(E23)=0,"not provided",E22/E23)</f>
        <v/>
      </c>
      <c r="F24" s="17">
        <f>IF(N(F23)=0,"not provided",F22/F23)</f>
        <v/>
      </c>
      <c r="G24" s="17">
        <f>IF(N(G23)=0,"not provided",G22/G23)</f>
        <v/>
      </c>
      <c r="H24" s="17">
        <f>IF(N(H23)=0,"not provided",H22/H23)</f>
        <v/>
      </c>
    </row>
    <row r="25"/>
    <row r="26">
      <c r="A26" s="9" t="inlineStr">
        <is>
          <t>RR PvP at 2x term</t>
        </is>
      </c>
      <c r="I26" s="20" t="inlineStr">
        <is>
          <t>Cohort outcome</t>
        </is>
      </c>
    </row>
    <row r="27">
      <c r="A27" s="11" t="inlineStr">
        <is>
          <t>Numerator</t>
        </is>
      </c>
      <c r="C27" s="27" t="n"/>
      <c r="D27" s="27" t="n"/>
      <c r="E27" s="27" t="n"/>
      <c r="F27" s="27" t="n"/>
      <c r="G27" s="27" t="n"/>
      <c r="H27" s="22">
        <f>SUM(C27:G27)</f>
        <v/>
      </c>
      <c r="I27" s="20" t="inlineStr">
        <is>
          <t>Payments applied to due instalments by 2x the term</t>
        </is>
      </c>
    </row>
    <row r="28">
      <c r="A28" s="11" t="inlineStr">
        <is>
          <t>Denominator</t>
        </is>
      </c>
      <c r="C28" s="27" t="n"/>
      <c r="D28" s="27" t="n"/>
      <c r="E28" s="27" t="n"/>
      <c r="F28" s="27" t="n"/>
      <c r="G28" s="27" t="n"/>
      <c r="H28" s="22">
        <f>SUM(C28:G28)</f>
        <v/>
      </c>
      <c r="I28" s="20" t="inlineStr">
        <is>
          <t>instalments due over 1x the term</t>
        </is>
      </c>
    </row>
    <row r="29">
      <c r="A29" s="9" t="inlineStr">
        <is>
          <t>Result</t>
        </is>
      </c>
      <c r="C29" s="17">
        <f>IF(N(C28)=0,"not provided",C27/C28)</f>
        <v/>
      </c>
      <c r="D29" s="17">
        <f>IF(N(D28)=0,"not provided",D27/D28)</f>
        <v/>
      </c>
      <c r="E29" s="17">
        <f>IF(N(E28)=0,"not provided",E27/E28)</f>
        <v/>
      </c>
      <c r="F29" s="17">
        <f>IF(N(F28)=0,"not provided",F27/F28)</f>
        <v/>
      </c>
      <c r="G29" s="17">
        <f>IF(N(G28)=0,"not provided",G27/G28)</f>
        <v/>
      </c>
      <c r="H29" s="17">
        <f>IF(N(H28)=0,"not provided",H27/H28)</f>
        <v/>
      </c>
    </row>
    <row r="30"/>
    <row r="31">
      <c r="A31" s="9" t="inlineStr">
        <is>
          <t>OR @2x (ownership rate at 2x term)</t>
        </is>
      </c>
      <c r="I31" s="20" t="inlineStr">
        <is>
          <t>Cohort outcome</t>
        </is>
      </c>
    </row>
    <row r="32">
      <c r="A32" s="11" t="inlineStr">
        <is>
          <t>Numerator</t>
        </is>
      </c>
      <c r="C32" s="27" t="n"/>
      <c r="D32" s="27" t="n"/>
      <c r="E32" s="27" t="n"/>
      <c r="F32" s="27" t="n"/>
      <c r="G32" s="27" t="n"/>
      <c r="H32" s="22">
        <f>SUM(C32:G32)</f>
        <v/>
      </c>
      <c r="I32" s="20" t="inlineStr">
        <is>
          <t>Contracts fully paid by 2x the term</t>
        </is>
      </c>
    </row>
    <row r="33">
      <c r="A33" s="11" t="inlineStr">
        <is>
          <t>Denominator</t>
        </is>
      </c>
      <c r="C33" s="27" t="n"/>
      <c r="D33" s="27" t="n"/>
      <c r="E33" s="27" t="n"/>
      <c r="F33" s="27" t="n"/>
      <c r="G33" s="27" t="n"/>
      <c r="H33" s="22">
        <f>SUM(C33:G33)</f>
        <v/>
      </c>
      <c r="I33" s="20" t="inlineStr">
        <is>
          <t>contracts that have reached at least 2x</t>
        </is>
      </c>
    </row>
    <row r="34">
      <c r="A34" s="9" t="inlineStr">
        <is>
          <t>Result</t>
        </is>
      </c>
      <c r="C34" s="17">
        <f>IF(N(C33)=0,"not provided",C32/C33)</f>
        <v/>
      </c>
      <c r="D34" s="17">
        <f>IF(N(D33)=0,"not provided",D32/D33)</f>
        <v/>
      </c>
      <c r="E34" s="17">
        <f>IF(N(E33)=0,"not provided",E32/E33)</f>
        <v/>
      </c>
      <c r="F34" s="17">
        <f>IF(N(F33)=0,"not provided",F32/F33)</f>
        <v/>
      </c>
      <c r="G34" s="17">
        <f>IF(N(G33)=0,"not provided",G32/G33)</f>
        <v/>
      </c>
      <c r="H34" s="17">
        <f>IF(N(H33)=0,"not provided",H32/H33)</f>
        <v/>
      </c>
    </row>
    <row r="35"/>
    <row r="36">
      <c r="A36" s="9" t="inlineStr">
        <is>
          <t>Contracts in the cohorts reported</t>
        </is>
      </c>
      <c r="C36" s="27" t="n"/>
      <c r="D36" s="27" t="n"/>
      <c r="E36" s="27" t="n"/>
      <c r="F36" s="27" t="n"/>
      <c r="G36" s="27" t="n"/>
      <c r="H36" s="21">
        <f>SUM(C36:G36)</f>
        <v/>
      </c>
    </row>
    <row r="37">
      <c r="A37" s="11" t="inlineStr">
        <is>
          <t>Check: numerators within denominators (RR PvP, at 90 days, at 2x; ownership)</t>
        </is>
      </c>
      <c r="H37" s="23">
        <f>IF(SUM(SUMPRODUCT((C12:G12&gt;C13:G13)*1),SUMPRODUCT((C22:G22&gt;C23:G23)*1),SUMPRODUCT((C27:G27&gt;C28:G28)*1),SUMPRODUCT((C32:G32&gt;C33:G33)*1))=0,"OK","ERROR")</f>
        <v/>
      </c>
    </row>
    <row r="38"/>
    <row r="39" ht="30" customHeight="1">
      <c r="A39" s="13" t="inlineStr">
        <is>
          <t>Portfolio results add numerators and denominators across tiers, as the standard requires; they are not averages of tier ratios. A collection rate, or days locked or enabled, may not be entered here as a substitute. Cohorts below 100 contracts should be disclosed. Blank inputs show "not provided".</t>
        </is>
      </c>
    </row>
    <row r="40"/>
  </sheetData>
  <mergeCells count="2">
    <mergeCell ref="A6:I7"/>
    <mergeCell ref="A39:I40"/>
  </mergeCells>
  <printOptions horizontalCentered="1"/>
  <pageMargins left="0.5" right="0.5" top="0.6" bottom="0.7" header="0.5" footer="0.5"/>
  <pageSetup orientation="landscape" paperSize="9" fitToHeight="0" fitToWidth="1"/>
  <headerFooter>
    <oddHeader/>
    <oddFooter>&amp;L&amp;"Arial"&amp;8 Africa Energy Finance | Book 2 Template T05 | Version 0.9 (pre-release)&amp;C&amp;"Arial"&amp;8 &amp;A&amp;R&amp;"Arial"&amp;8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Africa Energy Finance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Emmanuel Boujieka Kamga</dc:creator>
  <dc:title xmlns:dc="http://purl.org/dc/elements/1.1/">AEF Book 2 Template T05: Lender KPI report</dc:title>
  <dc:subject xmlns:dc="http://purl.org/dc/elements/1.1/">Africa Energy Finance, Book 2 Templates Pack</dc:subject>
  <dcterms:created xmlns:dcterms="http://purl.org/dc/terms/" xmlns:xsi="http://www.w3.org/2001/XMLSchema-instance" xsi:type="dcterms:W3CDTF">2026-10-03T15:50:58Z</dcterms:created>
  <dcterms:modified xmlns:dcterms="http://purl.org/dc/terms/" xmlns:xsi="http://www.w3.org/2001/XMLSchema-instance" xsi:type="dcterms:W3CDTF">2026-10-03T15:50:58Z</dcterms:modified>
  <cp:lastModifiedBy>Emmanuel Boujieka Kamga</cp:lastModifiedBy>
  <cp:keywords>Africa Energy Finance; Book 2; PAYGo Solar Finance; template</cp:keywords>
</cp:coreProperties>
</file>