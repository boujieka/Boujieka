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nputs" sheetId="2" state="visible" r:id="rId2"/>
    <sheet xmlns:r="http://schemas.openxmlformats.org/officeDocument/2006/relationships" name="CAC" sheetId="3" state="visible" r:id="rId3"/>
    <sheet xmlns:r="http://schemas.openxmlformats.org/officeDocument/2006/relationships" name="Agent_Ranking" sheetId="4" state="visible" r:id="rId4"/>
    <sheet xmlns:r="http://schemas.openxmlformats.org/officeDocument/2006/relationships" name="New_Territory" sheetId="5" state="visible" r:id="rId5"/>
  </sheets>
  <definedNames/>
  <calcPr calcId="124519" fullCalcOnLoad="1"/>
</workbook>
</file>

<file path=xl/styles.xml><?xml version="1.0" encoding="utf-8"?>
<styleSheet xmlns="http://schemas.openxmlformats.org/spreadsheetml/2006/main">
  <numFmts count="4">
    <numFmt numFmtId="164" formatCode="#,##0;(#,##0);0"/>
    <numFmt numFmtId="165" formatCode="#,##0.0;(#,##0.0);0.0"/>
    <numFmt numFmtId="166" formatCode="0.0%;(0.0%);0.0%"/>
    <numFmt numFmtId="167" formatCode="0.00&quot;x&quot;;(0.00&quot;x&quot;);0.00&quot;x&quot;"/>
  </numFmts>
  <fonts count="11">
    <font>
      <name val="Calibri"/>
      <family val="2"/>
      <color theme="1"/>
      <sz val="11"/>
      <scheme val="minor"/>
    </font>
    <font>
      <name val="Arial"/>
      <b val="1"/>
      <color rgb="00E3C27A"/>
      <sz val="8"/>
    </font>
    <font>
      <name val="Arial"/>
      <b val="1"/>
      <color rgb="00FFFFFF"/>
      <sz val="15"/>
    </font>
    <font>
      <name val="Arial"/>
      <i val="1"/>
      <color rgb="00E8E8E8"/>
      <sz val="9"/>
    </font>
    <font>
      <name val="Arial"/>
      <color rgb="00666666"/>
      <sz val="8"/>
    </font>
    <font>
      <name val="Arial"/>
      <b val="1"/>
      <color rgb="000B3020"/>
      <sz val="11"/>
    </font>
    <font>
      <name val="Arial"/>
      <sz val="10"/>
    </font>
    <font>
      <name val="Arial"/>
      <b val="1"/>
      <sz val="10"/>
    </font>
    <font>
      <name val="Arial"/>
      <color rgb="000000FF"/>
      <sz val="10"/>
    </font>
    <font>
      <name val="Arial"/>
      <i val="1"/>
      <color rgb="00666666"/>
      <sz val="9"/>
    </font>
    <font>
      <name val="Arial"/>
      <b val="1"/>
      <color rgb="00FFFFFF"/>
      <sz val="10"/>
    </font>
  </fonts>
  <fills count="4">
    <fill>
      <patternFill/>
    </fill>
    <fill>
      <patternFill patternType="gray125"/>
    </fill>
    <fill>
      <patternFill patternType="solid">
        <fgColor rgb="000B3020"/>
      </patternFill>
    </fill>
    <fill>
      <patternFill patternType="solid">
        <fgColor rgb="00FFF8E1"/>
      </patternFill>
    </fill>
  </fills>
  <borders count="3">
    <border>
      <left/>
      <right/>
      <top/>
      <bottom/>
      <diagonal/>
    </border>
    <border>
      <bottom style="medium">
        <color rgb="00B07C0F"/>
      </bottom>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4" fillId="0" borderId="1" pivotButton="0" quotePrefix="0" xfId="0"/>
    <xf numFmtId="0" fontId="0" fillId="0" borderId="1" pivotButton="0" quotePrefix="0" xfId="0"/>
    <xf numFmtId="0" fontId="5" fillId="0" borderId="1" pivotButton="0" quotePrefix="0" xfId="0"/>
    <xf numFmtId="0" fontId="6" fillId="0" borderId="0" applyAlignment="1" pivotButton="0" quotePrefix="0" xfId="0">
      <alignment vertical="top" wrapText="1"/>
    </xf>
    <xf numFmtId="0" fontId="7" fillId="0" borderId="0" pivotButton="0" quotePrefix="0" xfId="0"/>
    <xf numFmtId="0" fontId="8" fillId="3" borderId="2" pivotButton="0" quotePrefix="0" xfId="0"/>
    <xf numFmtId="0" fontId="6" fillId="0" borderId="0" pivotButton="0" quotePrefix="0" xfId="0"/>
    <xf numFmtId="0" fontId="6" fillId="0" borderId="2" pivotButton="0" quotePrefix="0" xfId="0"/>
    <xf numFmtId="0" fontId="9" fillId="0" borderId="0" applyAlignment="1" pivotButton="0" quotePrefix="0" xfId="0">
      <alignment vertical="top" wrapText="1"/>
    </xf>
    <xf numFmtId="164" fontId="8" fillId="3" borderId="2" pivotButton="0" quotePrefix="0" xfId="0"/>
    <xf numFmtId="0" fontId="9" fillId="0" borderId="0" pivotButton="0" quotePrefix="0" xfId="0"/>
    <xf numFmtId="165" fontId="8" fillId="3" borderId="2" pivotButton="0" quotePrefix="0" xfId="0"/>
    <xf numFmtId="166" fontId="8" fillId="3" borderId="2" pivotButton="0" quotePrefix="0" xfId="0"/>
    <xf numFmtId="0" fontId="10" fillId="2" borderId="2" applyAlignment="1" pivotButton="0" quotePrefix="0" xfId="0">
      <alignment vertical="center" wrapText="1"/>
    </xf>
    <xf numFmtId="0" fontId="7" fillId="0" borderId="2" pivotButton="0" quotePrefix="0" xfId="0"/>
    <xf numFmtId="164" fontId="6" fillId="0" borderId="2" pivotButton="0" quotePrefix="0" xfId="0"/>
    <xf numFmtId="164" fontId="7" fillId="0" borderId="2" pivotButton="0" quotePrefix="0" xfId="0"/>
    <xf numFmtId="167" fontId="6" fillId="0" borderId="2" pivotButton="0" quotePrefix="0" xfId="0"/>
    <xf numFmtId="166" fontId="6" fillId="0" borderId="2" pivotButton="0" quotePrefix="0" xfId="0"/>
    <xf numFmtId="167" fontId="8" fillId="3" borderId="2" pivotButton="0" quotePrefix="0" xfId="0"/>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10" customWidth="1" min="5" max="5"/>
    <col width="10" customWidth="1" min="6" max="6"/>
  </cols>
  <sheetData>
    <row r="1">
      <c r="A1" s="1" t="inlineStr">
        <is>
          <t>AFRICA ENERGY FINANCE  |  BOOK 2  |  PAYGO SOLAR FINANCE</t>
        </is>
      </c>
      <c r="B1" s="2" t="n"/>
      <c r="C1" s="2" t="n"/>
      <c r="D1" s="2" t="n"/>
      <c r="E1" s="2" t="n"/>
      <c r="F1" s="2" t="n"/>
    </row>
    <row r="2" ht="22" customHeight="1">
      <c r="A2" s="3" t="inlineStr">
        <is>
          <t>Agent economics and fully loaded CAC</t>
        </is>
      </c>
      <c r="B2" s="2" t="n"/>
      <c r="C2" s="2" t="n"/>
      <c r="D2" s="2" t="n"/>
      <c r="E2" s="2" t="n"/>
      <c r="F2" s="2" t="n"/>
    </row>
    <row r="3">
      <c r="A3" s="4" t="inlineStr">
        <is>
          <t>How to use this template</t>
        </is>
      </c>
      <c r="B3" s="2" t="n"/>
      <c r="C3" s="2" t="n"/>
      <c r="D3" s="2" t="n"/>
      <c r="E3" s="2" t="n"/>
      <c r="F3" s="2" t="n"/>
    </row>
    <row r="4">
      <c r="A4" s="5" t="inlineStr">
        <is>
          <t>Template T04  |  Version 0.9 (pre-release)  |  Author &amp; ideation: Emmanuel Boujieka Kamga</t>
        </is>
      </c>
      <c r="B4" s="6" t="n"/>
      <c r="C4" s="6" t="n"/>
      <c r="D4" s="6" t="n"/>
      <c r="E4" s="6" t="n"/>
      <c r="F4" s="6" t="n"/>
    </row>
    <row r="5"/>
    <row r="6">
      <c r="A6" s="7" t="inlineStr">
        <is>
          <t>Purpose</t>
        </is>
      </c>
      <c r="B6" s="6" t="n"/>
      <c r="C6" s="6" t="n"/>
      <c r="D6" s="6" t="n"/>
      <c r="E6" s="6" t="n"/>
      <c r="F6" s="6" t="n"/>
    </row>
    <row r="7">
      <c r="A7" s="8" t="inlineStr">
        <is>
          <t>Builds the customer acquisition cost of a territory on two definitions, narrow (commission and marketing) and fully loaded (adding the field organisation and fraud controls), ranks agents by the quality of the cohorts they originate, and shows the cost of opening a new territory.</t>
        </is>
      </c>
    </row>
    <row r="8"/>
    <row r="9"/>
    <row r="10"/>
    <row r="11">
      <c r="A11" s="7" t="inlineStr">
        <is>
          <t>How to use it</t>
        </is>
      </c>
      <c r="B11" s="6" t="n"/>
      <c r="C11" s="6" t="n"/>
      <c r="D11" s="6" t="n"/>
      <c r="E11" s="6" t="n"/>
      <c r="F11" s="6" t="n"/>
    </row>
    <row r="12" ht="15" customHeight="1">
      <c r="A12" s="9" t="inlineStr">
        <is>
          <t>Step 1</t>
        </is>
      </c>
      <c r="B12" s="8" t="inlineStr">
        <is>
          <t>Enter the territory inputs on the Inputs sheet (blue cells). Example values are illustrative.</t>
        </is>
      </c>
    </row>
    <row r="13" ht="15" customHeight="1">
      <c r="A13" s="9" t="inlineStr">
        <is>
          <t>Step 2</t>
        </is>
      </c>
      <c r="B13" s="8" t="inlineStr">
        <is>
          <t>Read the narrow and fully loaded CAC by tier on the CAC sheet, and the ratio between the two.</t>
        </is>
      </c>
    </row>
    <row r="14" ht="30" customHeight="1">
      <c r="A14" s="9" t="inlineStr">
        <is>
          <t>Step 3</t>
        </is>
      </c>
      <c r="B14" s="8" t="inlineStr">
        <is>
          <t>Paste agent level data into Agent_Ranking: units sold, share current at month 3, repayment at month 6, deposit only accounts.</t>
        </is>
      </c>
    </row>
    <row r="15" ht="15" customHeight="1">
      <c r="A15" s="9" t="inlineStr">
        <is>
          <t>Step 4</t>
        </is>
      </c>
      <c r="B15" s="8" t="inlineStr">
        <is>
          <t>Use the flags to set commission bands and to decide which agents to retrain or remove.</t>
        </is>
      </c>
    </row>
    <row r="16" ht="15" customHeight="1">
      <c r="A16" s="9" t="inlineStr">
        <is>
          <t>Step 5</t>
        </is>
      </c>
      <c r="B16" s="8" t="inlineStr">
        <is>
          <t>Use New_Territory to set a budget and stop criteria before opening a new area.</t>
        </is>
      </c>
    </row>
    <row r="17" ht="45" customHeight="1">
      <c r="A17" s="9" t="inlineStr">
        <is>
          <t>Step 6</t>
        </is>
      </c>
      <c r="B17" s="8" t="inlineStr">
        <is>
          <t>Copy the fully loaded CAC per tier into the commission and marketing lines of the model (Products) if you want the unit view to carry field costs, and remove the same costs from fixed costs on Inputs.</t>
        </is>
      </c>
    </row>
    <row r="18"/>
    <row r="19">
      <c r="A19" s="7" t="inlineStr">
        <is>
          <t>Colour code</t>
        </is>
      </c>
      <c r="B19" s="6" t="n"/>
      <c r="C19" s="6" t="n"/>
      <c r="D19" s="6" t="n"/>
      <c r="E19" s="6" t="n"/>
      <c r="F19" s="6" t="n"/>
    </row>
    <row r="20">
      <c r="A20" s="10" t="inlineStr">
        <is>
          <t>Input</t>
        </is>
      </c>
      <c r="B20" s="11" t="inlineStr">
        <is>
          <t>Blue font on cream: the only cells to edit</t>
        </is>
      </c>
    </row>
    <row r="21">
      <c r="A21" s="12" t="inlineStr">
        <is>
          <t>Formula</t>
        </is>
      </c>
      <c r="B21" s="11" t="inlineStr">
        <is>
          <t>Black font: calculated, do not overwrite</t>
        </is>
      </c>
    </row>
    <row r="22"/>
    <row r="23">
      <c r="A23" s="7" t="inlineStr">
        <is>
          <t>Links to Book 2 and MODEL 2</t>
        </is>
      </c>
      <c r="B23" s="6" t="n"/>
      <c r="C23" s="6" t="n"/>
      <c r="D23" s="6" t="n"/>
      <c r="E23" s="6" t="n"/>
      <c r="F23" s="6" t="n"/>
    </row>
    <row r="24">
      <c r="A24" s="9" t="inlineStr">
        <is>
          <t>Book</t>
        </is>
      </c>
      <c r="B24" s="8" t="inlineStr">
        <is>
          <t>Chapter 5 (distribution and customer acquisition); Chapter 9 (unit economics); Annex C</t>
        </is>
      </c>
    </row>
    <row r="25">
      <c r="A25" s="9" t="inlineStr">
        <is>
          <t>Model</t>
        </is>
      </c>
      <c r="B25" s="8" t="inlineStr">
        <is>
          <t>Products (commission, marketing per unit); Inputs (fixed costs); Unit_Economics</t>
        </is>
      </c>
    </row>
    <row r="26">
      <c r="A26" s="9" t="inlineStr">
        <is>
          <t>Related templates</t>
        </is>
      </c>
      <c r="B26" s="8" t="inlineStr">
        <is>
          <t>T03 credit policy (agent override rules)</t>
        </is>
      </c>
    </row>
    <row r="27"/>
    <row r="28">
      <c r="A28" s="13" t="inlineStr">
        <is>
          <t>Decision support material; not investment, legal, tax or accounting advice. Example values are illustrative and refer to the book's worked examples or to the fictional SolaraPay case. (c) 2026 Emmanuel Boujieka Kamga.</t>
        </is>
      </c>
    </row>
    <row r="29"/>
  </sheetData>
  <mergeCells count="11">
    <mergeCell ref="B12:F12"/>
    <mergeCell ref="B24:F24"/>
    <mergeCell ref="B16:F16"/>
    <mergeCell ref="B26:F26"/>
    <mergeCell ref="B15:F15"/>
    <mergeCell ref="B25:F25"/>
    <mergeCell ref="A7:F9"/>
    <mergeCell ref="B14:F14"/>
    <mergeCell ref="A28:F29"/>
    <mergeCell ref="B17:F17"/>
    <mergeCell ref="B13:F13"/>
  </mergeCells>
  <printOptions horizontalCentered="1"/>
  <pageMargins left="0.5" right="0.5" top="0.6" bottom="0.7" header="0.5" footer="0.5"/>
  <pageSetup orientation="portrait" paperSize="9" fitToHeight="0" fitToWidth="1"/>
  <headerFooter>
    <oddHeader/>
    <oddFooter>&amp;L&amp;"Arial"&amp;8 Africa Energy Finance | Book 2 Template T04 | Version 0.9 (pre-release)&amp;C&amp;"Arial"&amp;8 &amp;A&amp;R&amp;"Arial"&amp;8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27"/>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30" customWidth="1" min="8" max="8"/>
  </cols>
  <sheetData>
    <row r="1">
      <c r="A1" s="1" t="inlineStr">
        <is>
          <t>AFRICA ENERGY FINANCE  |  BOOK 2  |  PAYGO SOLAR FINANCE</t>
        </is>
      </c>
      <c r="B1" s="2" t="n"/>
      <c r="C1" s="2" t="n"/>
      <c r="D1" s="2" t="n"/>
      <c r="E1" s="2" t="n"/>
      <c r="F1" s="2" t="n"/>
      <c r="G1" s="2" t="n"/>
      <c r="H1" s="2" t="n"/>
    </row>
    <row r="2" ht="22" customHeight="1">
      <c r="A2" s="3" t="inlineStr">
        <is>
          <t>Territory inputs</t>
        </is>
      </c>
      <c r="B2" s="2" t="n"/>
      <c r="C2" s="2" t="n"/>
      <c r="D2" s="2" t="n"/>
      <c r="E2" s="2" t="n"/>
      <c r="F2" s="2" t="n"/>
      <c r="G2" s="2" t="n"/>
      <c r="H2" s="2" t="n"/>
    </row>
    <row r="3">
      <c r="A3" s="4" t="inlineStr">
        <is>
          <t>Monthly figures for one territory, local currency</t>
        </is>
      </c>
      <c r="B3" s="2" t="n"/>
      <c r="C3" s="2" t="n"/>
      <c r="D3" s="2" t="n"/>
      <c r="E3" s="2" t="n"/>
      <c r="F3" s="2" t="n"/>
      <c r="G3" s="2" t="n"/>
      <c r="H3" s="2" t="n"/>
    </row>
    <row r="4">
      <c r="A4" s="5" t="inlineStr">
        <is>
          <t>Template T04  |  Version 0.9 (pre-release)  |  Author &amp; ideation: Emmanuel Boujieka Kamga</t>
        </is>
      </c>
      <c r="B4" s="6" t="n"/>
      <c r="C4" s="6" t="n"/>
      <c r="D4" s="6" t="n"/>
      <c r="E4" s="6" t="n"/>
      <c r="F4" s="6" t="n"/>
      <c r="G4" s="6" t="n"/>
      <c r="H4" s="6" t="n"/>
    </row>
    <row r="5"/>
    <row r="6">
      <c r="A6" s="7" t="inlineStr">
        <is>
          <t>Sales force</t>
        </is>
      </c>
      <c r="B6" s="6" t="n"/>
      <c r="C6" s="6" t="n"/>
      <c r="D6" s="6" t="n"/>
      <c r="E6" s="6" t="n"/>
      <c r="F6" s="6" t="n"/>
      <c r="G6" s="6" t="n"/>
      <c r="H6" s="6" t="n"/>
    </row>
    <row r="7">
      <c r="A7" s="11" t="inlineStr">
        <is>
          <t>Active agents</t>
        </is>
      </c>
      <c r="B7" s="14" t="n">
        <v>50</v>
      </c>
      <c r="H7" s="15" t="inlineStr">
        <is>
          <t>Agents selling in the month</t>
        </is>
      </c>
    </row>
    <row r="8">
      <c r="A8" s="11" t="inlineStr">
        <is>
          <t>Sales per agent per month</t>
        </is>
      </c>
      <c r="B8" s="16" t="n">
        <v>6</v>
      </c>
      <c r="H8" s="15" t="inlineStr">
        <is>
          <t>All tiers</t>
        </is>
      </c>
    </row>
    <row r="9">
      <c r="A9" s="11" t="inlineStr">
        <is>
          <t>Monthly agent attrition</t>
        </is>
      </c>
      <c r="B9" s="17" t="n">
        <v>0.08</v>
      </c>
      <c r="H9" s="15" t="inlineStr">
        <is>
          <t>Share of agents leaving each month</t>
        </is>
      </c>
    </row>
    <row r="10">
      <c r="A10" s="11" t="inlineStr">
        <is>
          <t>Recruitment and training cost per new agent</t>
        </is>
      </c>
      <c r="B10" s="14" t="n">
        <v>30000</v>
      </c>
      <c r="H10" s="15" t="inlineStr">
        <is>
          <t>Onboarding, training, starter kit</t>
        </is>
      </c>
    </row>
    <row r="11"/>
    <row r="12">
      <c r="A12" s="7" t="inlineStr">
        <is>
          <t>Per tier</t>
        </is>
      </c>
      <c r="B12" s="6" t="n"/>
      <c r="C12" s="6" t="n"/>
      <c r="D12" s="6" t="n"/>
      <c r="E12" s="6" t="n"/>
      <c r="F12" s="6" t="n"/>
      <c r="G12" s="6" t="n"/>
      <c r="H12" s="6" t="n"/>
    </row>
    <row r="13" ht="30" customHeight="1">
      <c r="A13" s="18" t="inlineStr">
        <is>
          <t>Item</t>
        </is>
      </c>
      <c r="B13" s="18" t="inlineStr">
        <is>
          <t>Tier 1</t>
        </is>
      </c>
      <c r="C13" s="18" t="inlineStr">
        <is>
          <t>Tier 2</t>
        </is>
      </c>
      <c r="D13" s="18" t="inlineStr">
        <is>
          <t>Tier 3</t>
        </is>
      </c>
      <c r="E13" s="18" t="inlineStr">
        <is>
          <t>Tier 4</t>
        </is>
      </c>
      <c r="F13" s="18" t="inlineStr">
        <is>
          <t>Tier 5</t>
        </is>
      </c>
      <c r="G13" s="18" t="inlineStr"/>
      <c r="H13" s="18" t="inlineStr">
        <is>
          <t>Notes</t>
        </is>
      </c>
    </row>
    <row r="14">
      <c r="A14" s="11" t="inlineStr">
        <is>
          <t>Sales mix</t>
        </is>
      </c>
      <c r="B14" s="17" t="n">
        <v>0.3</v>
      </c>
      <c r="C14" s="17" t="n">
        <v>0.35</v>
      </c>
      <c r="D14" s="17" t="n">
        <v>0.2</v>
      </c>
      <c r="E14" s="17" t="n">
        <v>0.1</v>
      </c>
      <c r="F14" s="17" t="n">
        <v>0.05</v>
      </c>
      <c r="H14" s="15" t="inlineStr">
        <is>
          <t>Must total 100%</t>
        </is>
      </c>
    </row>
    <row r="15">
      <c r="A15" s="11" t="inlineStr">
        <is>
          <t>Cash price</t>
        </is>
      </c>
      <c r="B15" s="14" t="n">
        <v>6500</v>
      </c>
      <c r="C15" s="14" t="n">
        <v>39000</v>
      </c>
      <c r="D15" s="14" t="n">
        <v>117000</v>
      </c>
      <c r="E15" s="14" t="n">
        <v>390000</v>
      </c>
      <c r="F15" s="14" t="n">
        <v>845000</v>
      </c>
      <c r="H15" s="15" t="inlineStr">
        <is>
          <t>Local currency</t>
        </is>
      </c>
    </row>
    <row r="16">
      <c r="A16" s="11" t="inlineStr">
        <is>
          <t>Upfront commission per unit</t>
        </is>
      </c>
      <c r="B16" s="14" t="n">
        <v>300</v>
      </c>
      <c r="C16" s="14" t="n">
        <v>1200</v>
      </c>
      <c r="D16" s="14" t="n">
        <v>3000</v>
      </c>
      <c r="E16" s="14" t="n">
        <v>7200</v>
      </c>
      <c r="F16" s="14" t="n">
        <v>12000</v>
      </c>
      <c r="H16" s="15" t="inlineStr">
        <is>
          <t>Paid at activation</t>
        </is>
      </c>
    </row>
    <row r="17">
      <c r="A17" s="11" t="inlineStr">
        <is>
          <t>Deferred commission per unit</t>
        </is>
      </c>
      <c r="B17" s="14" t="n">
        <v>200</v>
      </c>
      <c r="C17" s="14" t="n">
        <v>800</v>
      </c>
      <c r="D17" s="14" t="n">
        <v>2000</v>
      </c>
      <c r="E17" s="14" t="n">
        <v>4800</v>
      </c>
      <c r="F17" s="14" t="n">
        <v>8000</v>
      </c>
      <c r="H17" s="15" t="inlineStr">
        <is>
          <t>Paid if the account is current at the checkpoint</t>
        </is>
      </c>
    </row>
    <row r="18">
      <c r="A18" s="11" t="inlineStr">
        <is>
          <t>Share of accounts qualifying for deferred commission</t>
        </is>
      </c>
      <c r="B18" s="17" t="n">
        <v>0.7</v>
      </c>
      <c r="C18" s="17" t="n">
        <v>0.8</v>
      </c>
      <c r="D18" s="17" t="n">
        <v>0.85</v>
      </c>
      <c r="E18" s="17" t="n">
        <v>0.9</v>
      </c>
      <c r="F18" s="17" t="n">
        <v>0.9</v>
      </c>
      <c r="H18" s="15" t="inlineStr">
        <is>
          <t>Credit assumption: current at month 3</t>
        </is>
      </c>
    </row>
    <row r="19">
      <c r="A19" s="11" t="inlineStr">
        <is>
          <t>Marketing and acquisition per unit</t>
        </is>
      </c>
      <c r="B19" s="14" t="n">
        <v>300</v>
      </c>
      <c r="C19" s="14" t="n">
        <v>1000</v>
      </c>
      <c r="D19" s="14" t="n">
        <v>2500</v>
      </c>
      <c r="E19" s="14" t="n">
        <v>6000</v>
      </c>
      <c r="F19" s="14" t="n">
        <v>10000</v>
      </c>
      <c r="H19" s="15" t="inlineStr">
        <is>
          <t>Direct per unit spend</t>
        </is>
      </c>
    </row>
    <row r="20">
      <c r="A20" s="11" t="inlineStr">
        <is>
          <t>Check: sales mix totals 100%</t>
        </is>
      </c>
      <c r="B20" s="19">
        <f>IF(ABS(SUM(B14:F14)-1)&lt;0.0001,"OK","ERROR")</f>
        <v/>
      </c>
    </row>
    <row r="21"/>
    <row r="22">
      <c r="A22" s="7" t="inlineStr">
        <is>
          <t>Field organisation and controls (per month)</t>
        </is>
      </c>
      <c r="B22" s="6" t="n"/>
      <c r="C22" s="6" t="n"/>
      <c r="D22" s="6" t="n"/>
      <c r="E22" s="6" t="n"/>
      <c r="F22" s="6" t="n"/>
      <c r="G22" s="6" t="n"/>
      <c r="H22" s="6" t="n"/>
    </row>
    <row r="23">
      <c r="A23" s="11" t="inlineStr">
        <is>
          <t>Field supervisors and area managers</t>
        </is>
      </c>
      <c r="B23" s="14" t="n">
        <v>450000</v>
      </c>
      <c r="H23" s="15" t="inlineStr">
        <is>
          <t>5 supervisors at 90,000</t>
        </is>
      </c>
    </row>
    <row r="24">
      <c r="A24" s="11" t="inlineStr">
        <is>
          <t>Transport and fuel</t>
        </is>
      </c>
      <c r="B24" s="14" t="n">
        <v>210000</v>
      </c>
      <c r="H24" s="15" t="inlineStr">
        <is>
          <t>Territory budget</t>
        </is>
      </c>
    </row>
    <row r="25">
      <c r="A25" s="11" t="inlineStr">
        <is>
          <t>Verification calls and field audits</t>
        </is>
      </c>
      <c r="B25" s="14" t="n">
        <v>60000</v>
      </c>
      <c r="H25" s="15" t="inlineStr">
        <is>
          <t>Territory budget</t>
        </is>
      </c>
    </row>
    <row r="26">
      <c r="A26" s="11" t="inlineStr">
        <is>
          <t>Other field costs</t>
        </is>
      </c>
      <c r="B26" s="14" t="n">
        <v>0</v>
      </c>
      <c r="H26" s="15" t="inlineStr">
        <is>
          <t>Demonstration kits, materials</t>
        </is>
      </c>
    </row>
    <row r="27">
      <c r="A27" s="11" t="inlineStr">
        <is>
          <t>Fraud and ghost sale losses, share of units</t>
        </is>
      </c>
      <c r="B27" s="17" t="n">
        <v>0.01</v>
      </c>
      <c r="H27" s="15" t="inlineStr">
        <is>
          <t>From audit sampling; cost valued at upfront commission plus marketing</t>
        </is>
      </c>
    </row>
  </sheetData>
  <printOptions horizontalCentered="1"/>
  <pageMargins left="0.5" right="0.5" top="0.6" bottom="0.7" header="0.5" footer="0.5"/>
  <pageSetup orientation="landscape" paperSize="9" fitToHeight="0" fitToWidth="1"/>
  <headerFooter>
    <oddHeader/>
    <oddFooter>&amp;L&amp;"Arial"&amp;8 Africa Energy Finance | Book 2 Template T04 | Version 0.9 (pre-release)&amp;C&amp;"Arial"&amp;8 &amp;A&amp;R&amp;"Arial"&amp;8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4"/>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6" customWidth="1" min="7" max="7"/>
    <col width="26" customWidth="1" min="8" max="8"/>
  </cols>
  <sheetData>
    <row r="1">
      <c r="A1" s="1" t="inlineStr">
        <is>
          <t>AFRICA ENERGY FINANCE  |  BOOK 2  |  PAYGO SOLAR FINANCE</t>
        </is>
      </c>
      <c r="B1" s="2" t="n"/>
      <c r="C1" s="2" t="n"/>
      <c r="D1" s="2" t="n"/>
      <c r="E1" s="2" t="n"/>
      <c r="F1" s="2" t="n"/>
      <c r="G1" s="2" t="n"/>
      <c r="H1" s="2" t="n"/>
    </row>
    <row r="2" ht="22" customHeight="1">
      <c r="A2" s="3" t="inlineStr">
        <is>
          <t>Customer acquisition cost</t>
        </is>
      </c>
      <c r="B2" s="2" t="n"/>
      <c r="C2" s="2" t="n"/>
      <c r="D2" s="2" t="n"/>
      <c r="E2" s="2" t="n"/>
      <c r="F2" s="2" t="n"/>
      <c r="G2" s="2" t="n"/>
      <c r="H2" s="2" t="n"/>
    </row>
    <row r="3">
      <c r="A3" s="4" t="inlineStr">
        <is>
          <t>Narrow and fully loaded definitions, by tier</t>
        </is>
      </c>
      <c r="B3" s="2" t="n"/>
      <c r="C3" s="2" t="n"/>
      <c r="D3" s="2" t="n"/>
      <c r="E3" s="2" t="n"/>
      <c r="F3" s="2" t="n"/>
      <c r="G3" s="2" t="n"/>
      <c r="H3" s="2" t="n"/>
    </row>
    <row r="4">
      <c r="A4" s="5" t="inlineStr">
        <is>
          <t>Template T04  |  Version 0.9 (pre-release)  |  Author &amp; ideation: Emmanuel Boujieka Kamga</t>
        </is>
      </c>
      <c r="B4" s="6" t="n"/>
      <c r="C4" s="6" t="n"/>
      <c r="D4" s="6" t="n"/>
      <c r="E4" s="6" t="n"/>
      <c r="F4" s="6" t="n"/>
      <c r="G4" s="6" t="n"/>
      <c r="H4" s="6" t="n"/>
    </row>
    <row r="5"/>
    <row r="6" ht="30" customHeight="1">
      <c r="A6" s="18" t="inlineStr">
        <is>
          <t>Line</t>
        </is>
      </c>
      <c r="B6" s="18" t="inlineStr">
        <is>
          <t>Tier 1</t>
        </is>
      </c>
      <c r="C6" s="18" t="inlineStr">
        <is>
          <t>Tier 2</t>
        </is>
      </c>
      <c r="D6" s="18" t="inlineStr">
        <is>
          <t>Tier 3</t>
        </is>
      </c>
      <c r="E6" s="18" t="inlineStr">
        <is>
          <t>Tier 4</t>
        </is>
      </c>
      <c r="F6" s="18" t="inlineStr">
        <is>
          <t>Tier 5</t>
        </is>
      </c>
      <c r="G6" s="18" t="inlineStr">
        <is>
          <t>Territory total</t>
        </is>
      </c>
      <c r="H6" s="18" t="inlineStr">
        <is>
          <t>Notes</t>
        </is>
      </c>
    </row>
    <row r="7">
      <c r="A7" s="11" t="inlineStr">
        <is>
          <t>Units sold per month</t>
        </is>
      </c>
      <c r="B7" s="20">
        <f>Inputs!$B$7*Inputs!$B$8*Inputs!B$14</f>
        <v/>
      </c>
      <c r="C7" s="20">
        <f>Inputs!$B$7*Inputs!$B$8*Inputs!C$14</f>
        <v/>
      </c>
      <c r="D7" s="20">
        <f>Inputs!$B$7*Inputs!$B$8*Inputs!D$14</f>
        <v/>
      </c>
      <c r="E7" s="20">
        <f>Inputs!$B$7*Inputs!$B$8*Inputs!E$14</f>
        <v/>
      </c>
      <c r="F7" s="20">
        <f>Inputs!$B$7*Inputs!$B$8*Inputs!F$14</f>
        <v/>
      </c>
      <c r="G7" s="21">
        <f>SUM(B7:F7)</f>
        <v/>
      </c>
      <c r="H7" s="15" t="inlineStr">
        <is>
          <t>Agents x sales per agent x mix</t>
        </is>
      </c>
    </row>
    <row r="8">
      <c r="A8" s="11" t="inlineStr">
        <is>
          <t>Upfront commission</t>
        </is>
      </c>
      <c r="B8" s="20">
        <f>Inputs!B$16</f>
        <v/>
      </c>
      <c r="C8" s="20">
        <f>Inputs!C$16</f>
        <v/>
      </c>
      <c r="D8" s="20">
        <f>Inputs!D$16</f>
        <v/>
      </c>
      <c r="E8" s="20">
        <f>Inputs!E$16</f>
        <v/>
      </c>
      <c r="F8" s="20">
        <f>Inputs!F$16</f>
        <v/>
      </c>
      <c r="G8" s="20">
        <f>IF($G$7=0,0,SUMPRODUCT(B8:F8,$B$7:$F$7)/$G$7)</f>
        <v/>
      </c>
      <c r="H8" s="15" t="inlineStr">
        <is>
          <t>Per unit</t>
        </is>
      </c>
    </row>
    <row r="9">
      <c r="A9" s="11" t="inlineStr">
        <is>
          <t>Expected deferred commission</t>
        </is>
      </c>
      <c r="B9" s="20">
        <f>Inputs!B$17*Inputs!B$18</f>
        <v/>
      </c>
      <c r="C9" s="20">
        <f>Inputs!C$17*Inputs!C$18</f>
        <v/>
      </c>
      <c r="D9" s="20">
        <f>Inputs!D$17*Inputs!D$18</f>
        <v/>
      </c>
      <c r="E9" s="20">
        <f>Inputs!E$17*Inputs!E$18</f>
        <v/>
      </c>
      <c r="F9" s="20">
        <f>Inputs!F$17*Inputs!F$18</f>
        <v/>
      </c>
      <c r="G9" s="20">
        <f>IF($G$7=0,0,SUMPRODUCT(B9:F9,$B$7:$F$7)/$G$7)</f>
        <v/>
      </c>
      <c r="H9" s="15" t="inlineStr">
        <is>
          <t>Accrued at sale on the expected qualification rate</t>
        </is>
      </c>
    </row>
    <row r="10">
      <c r="A10" s="11" t="inlineStr">
        <is>
          <t>Marketing and acquisition</t>
        </is>
      </c>
      <c r="B10" s="20">
        <f>Inputs!B$19</f>
        <v/>
      </c>
      <c r="C10" s="20">
        <f>Inputs!C$19</f>
        <v/>
      </c>
      <c r="D10" s="20">
        <f>Inputs!D$19</f>
        <v/>
      </c>
      <c r="E10" s="20">
        <f>Inputs!E$19</f>
        <v/>
      </c>
      <c r="F10" s="20">
        <f>Inputs!F$19</f>
        <v/>
      </c>
      <c r="G10" s="20">
        <f>IF($G$7=0,0,SUMPRODUCT(B10:F10,$B$7:$F$7)/$G$7)</f>
        <v/>
      </c>
      <c r="H10" s="15" t="inlineStr">
        <is>
          <t>Per unit</t>
        </is>
      </c>
    </row>
    <row r="11">
      <c r="A11" s="9" t="inlineStr">
        <is>
          <t>Narrow CAC per unit</t>
        </is>
      </c>
      <c r="B11" s="21">
        <f>SUM(B8:B10)</f>
        <v/>
      </c>
      <c r="C11" s="21">
        <f>SUM(C8:C10)</f>
        <v/>
      </c>
      <c r="D11" s="21">
        <f>SUM(D8:D10)</f>
        <v/>
      </c>
      <c r="E11" s="21">
        <f>SUM(E8:E10)</f>
        <v/>
      </c>
      <c r="F11" s="21">
        <f>SUM(F8:F10)</f>
        <v/>
      </c>
      <c r="G11" s="21">
        <f>IF($G$7=0,0,SUMPRODUCT(B11:F11,$B$7:$F$7)/$G$7)</f>
        <v/>
      </c>
      <c r="H11" s="15" t="inlineStr">
        <is>
          <t>Commission plus marketing</t>
        </is>
      </c>
    </row>
    <row r="12">
      <c r="A12" s="11" t="inlineStr">
        <is>
          <t>Field organisation per unit</t>
        </is>
      </c>
      <c r="B12" s="20">
        <f>IF($G$7=0,0,(Inputs!$B$23+Inputs!$B$24+Inputs!$B$26)/$G$7)</f>
        <v/>
      </c>
      <c r="C12" s="20">
        <f>IF($G$7=0,0,(Inputs!$B$23+Inputs!$B$24+Inputs!$B$26)/$G$7)</f>
        <v/>
      </c>
      <c r="D12" s="20">
        <f>IF($G$7=0,0,(Inputs!$B$23+Inputs!$B$24+Inputs!$B$26)/$G$7)</f>
        <v/>
      </c>
      <c r="E12" s="20">
        <f>IF($G$7=0,0,(Inputs!$B$23+Inputs!$B$24+Inputs!$B$26)/$G$7)</f>
        <v/>
      </c>
      <c r="F12" s="20">
        <f>IF($G$7=0,0,(Inputs!$B$23+Inputs!$B$24+Inputs!$B$26)/$G$7)</f>
        <v/>
      </c>
      <c r="G12" s="20">
        <f>IF($G$7=0,0,SUMPRODUCT(B12:F12,$B$7:$F$7)/$G$7)</f>
        <v/>
      </c>
      <c r="H12" s="15" t="inlineStr">
        <is>
          <t>Allocated equally per unit</t>
        </is>
      </c>
    </row>
    <row r="13">
      <c r="A13" s="11" t="inlineStr">
        <is>
          <t>Recruitment and training per unit</t>
        </is>
      </c>
      <c r="B13" s="20">
        <f>IF($G$7=0,0,Inputs!$B$7*Inputs!$B$9*Inputs!$B$10/$G$7)</f>
        <v/>
      </c>
      <c r="C13" s="20">
        <f>IF($G$7=0,0,Inputs!$B$7*Inputs!$B$9*Inputs!$B$10/$G$7)</f>
        <v/>
      </c>
      <c r="D13" s="20">
        <f>IF($G$7=0,0,Inputs!$B$7*Inputs!$B$9*Inputs!$B$10/$G$7)</f>
        <v/>
      </c>
      <c r="E13" s="20">
        <f>IF($G$7=0,0,Inputs!$B$7*Inputs!$B$9*Inputs!$B$10/$G$7)</f>
        <v/>
      </c>
      <c r="F13" s="20">
        <f>IF($G$7=0,0,Inputs!$B$7*Inputs!$B$9*Inputs!$B$10/$G$7)</f>
        <v/>
      </c>
      <c r="G13" s="20">
        <f>IF($G$7=0,0,SUMPRODUCT(B13:F13,$B$7:$F$7)/$G$7)</f>
        <v/>
      </c>
      <c r="H13" s="15" t="inlineStr">
        <is>
          <t>Replacing leavers</t>
        </is>
      </c>
    </row>
    <row r="14">
      <c r="A14" s="11" t="inlineStr">
        <is>
          <t>Verification and audits per unit</t>
        </is>
      </c>
      <c r="B14" s="20">
        <f>IF($G$7=0,0,Inputs!$B$25/$G$7)</f>
        <v/>
      </c>
      <c r="C14" s="20">
        <f>IF($G$7=0,0,Inputs!$B$25/$G$7)</f>
        <v/>
      </c>
      <c r="D14" s="20">
        <f>IF($G$7=0,0,Inputs!$B$25/$G$7)</f>
        <v/>
      </c>
      <c r="E14" s="20">
        <f>IF($G$7=0,0,Inputs!$B$25/$G$7)</f>
        <v/>
      </c>
      <c r="F14" s="20">
        <f>IF($G$7=0,0,Inputs!$B$25/$G$7)</f>
        <v/>
      </c>
      <c r="G14" s="20">
        <f>IF($G$7=0,0,SUMPRODUCT(B14:F14,$B$7:$F$7)/$G$7)</f>
        <v/>
      </c>
      <c r="H14" s="15" t="inlineStr">
        <is>
          <t>Allocated equally per unit</t>
        </is>
      </c>
    </row>
    <row r="15">
      <c r="A15" s="11" t="inlineStr">
        <is>
          <t>Fraud losses per unit</t>
        </is>
      </c>
      <c r="B15" s="20">
        <f>Inputs!$B$27*(B8+B10)</f>
        <v/>
      </c>
      <c r="C15" s="20">
        <f>Inputs!$B$27*(C8+C10)</f>
        <v/>
      </c>
      <c r="D15" s="20">
        <f>Inputs!$B$27*(D8+D10)</f>
        <v/>
      </c>
      <c r="E15" s="20">
        <f>Inputs!$B$27*(E8+E10)</f>
        <v/>
      </c>
      <c r="F15" s="20">
        <f>Inputs!$B$27*(F8+F10)</f>
        <v/>
      </c>
      <c r="G15" s="20">
        <f>IF($G$7=0,0,SUMPRODUCT(B15:F15,$B$7:$F$7)/$G$7)</f>
        <v/>
      </c>
      <c r="H15" s="15" t="inlineStr">
        <is>
          <t>Commission and marketing spent on ghost sales</t>
        </is>
      </c>
    </row>
    <row r="16">
      <c r="A16" s="9" t="inlineStr">
        <is>
          <t>Fully loaded CAC per unit</t>
        </is>
      </c>
      <c r="B16" s="21">
        <f>B11+SUM(B12:B15)</f>
        <v/>
      </c>
      <c r="C16" s="21">
        <f>C11+SUM(C12:C15)</f>
        <v/>
      </c>
      <c r="D16" s="21">
        <f>D11+SUM(D12:D15)</f>
        <v/>
      </c>
      <c r="E16" s="21">
        <f>E11+SUM(E12:E15)</f>
        <v/>
      </c>
      <c r="F16" s="21">
        <f>F11+SUM(F12:F15)</f>
        <v/>
      </c>
      <c r="G16" s="21">
        <f>IF($G$7=0,0,SUMPRODUCT(B16:F16,$B$7:$F$7)/$G$7)</f>
        <v/>
      </c>
      <c r="H16" s="15" t="inlineStr"/>
    </row>
    <row r="17">
      <c r="A17" s="11" t="inlineStr">
        <is>
          <t>Fully loaded ÷ narrow</t>
        </is>
      </c>
      <c r="B17" s="22">
        <f>IF(B11=0,0,B16/B11)</f>
        <v/>
      </c>
      <c r="C17" s="22">
        <f>IF(C11=0,0,C16/C11)</f>
        <v/>
      </c>
      <c r="D17" s="22">
        <f>IF(D11=0,0,D16/D11)</f>
        <v/>
      </c>
      <c r="E17" s="22">
        <f>IF(E11=0,0,E16/E11)</f>
        <v/>
      </c>
      <c r="F17" s="22">
        <f>IF(F11=0,0,F16/F11)</f>
        <v/>
      </c>
      <c r="G17" s="22">
        <f>IF(G11=0,0,G16/G11)</f>
        <v/>
      </c>
      <c r="H17" s="15" t="inlineStr"/>
    </row>
    <row r="18">
      <c r="A18" s="11" t="inlineStr">
        <is>
          <t>Narrow CAC as share of cash price</t>
        </is>
      </c>
      <c r="B18" s="23">
        <f>IF(Inputs!B$15=0,0,B11/Inputs!B$15)</f>
        <v/>
      </c>
      <c r="C18" s="23">
        <f>IF(Inputs!C$15=0,0,C11/Inputs!C$15)</f>
        <v/>
      </c>
      <c r="D18" s="23">
        <f>IF(Inputs!D$15=0,0,D11/Inputs!D$15)</f>
        <v/>
      </c>
      <c r="E18" s="23">
        <f>IF(Inputs!E$15=0,0,E11/Inputs!E$15)</f>
        <v/>
      </c>
      <c r="F18" s="23">
        <f>IF(Inputs!F$15=0,0,F11/Inputs!F$15)</f>
        <v/>
      </c>
      <c r="H18" s="15" t="inlineStr"/>
    </row>
    <row r="19">
      <c r="A19" s="11" t="inlineStr">
        <is>
          <t>Fully loaded CAC as share of cash price</t>
        </is>
      </c>
      <c r="B19" s="23">
        <f>IF(Inputs!B$15=0,0,B16/Inputs!B$15)</f>
        <v/>
      </c>
      <c r="C19" s="23">
        <f>IF(Inputs!C$15=0,0,C16/Inputs!C$15)</f>
        <v/>
      </c>
      <c r="D19" s="23">
        <f>IF(Inputs!D$15=0,0,D16/Inputs!D$15)</f>
        <v/>
      </c>
      <c r="E19" s="23">
        <f>IF(Inputs!E$15=0,0,E16/Inputs!E$15)</f>
        <v/>
      </c>
      <c r="F19" s="23">
        <f>IF(Inputs!F$15=0,0,F16/Inputs!F$15)</f>
        <v/>
      </c>
      <c r="H19" s="15" t="inlineStr"/>
    </row>
    <row r="20"/>
    <row r="21">
      <c r="A21" s="9" t="inlineStr">
        <is>
          <t>Monthly territory spend, fully loaded</t>
        </is>
      </c>
      <c r="B21" s="21">
        <f>SUMPRODUCT(B16:F16,B7:F7)</f>
        <v/>
      </c>
    </row>
    <row r="22">
      <c r="A22" s="11" t="inlineStr">
        <is>
          <t>Check: inputs valid</t>
        </is>
      </c>
      <c r="B22" s="19">
        <f>Inputs!$B$20</f>
        <v/>
      </c>
    </row>
    <row r="23"/>
    <row r="24">
      <c r="A24" s="15" t="inlineStr">
        <is>
          <t>Weighted averages in column G use units sold by tier. Field costs are allocated equally per unit; a company that allocates by time spent per tier should change rows 12 to 14.</t>
        </is>
      </c>
    </row>
  </sheetData>
  <printOptions horizontalCentered="1"/>
  <pageMargins left="0.5" right="0.5" top="0.6" bottom="0.7" header="0.5" footer="0.5"/>
  <pageSetup orientation="landscape" paperSize="9" fitToHeight="0" fitToWidth="1"/>
  <headerFooter>
    <oddHeader/>
    <oddFooter>&amp;L&amp;"Arial"&amp;8 Africa Energy Finance | Book 2 Template T04 | Version 0.9 (pre-release)&amp;C&amp;"Arial"&amp;8 &amp;A&amp;R&amp;"Arial"&amp;8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3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0" customWidth="1" min="3" max="3"/>
    <col width="12" customWidth="1" min="4" max="4"/>
    <col width="14" customWidth="1" min="5" max="5"/>
    <col width="14" customWidth="1" min="6" max="6"/>
    <col width="14" customWidth="1" min="7" max="7"/>
    <col width="12" customWidth="1" min="8" max="8"/>
    <col width="12" customWidth="1" min="9" max="9"/>
    <col width="22" customWidth="1" min="10" max="10"/>
    <col width="4" customWidth="1" min="11" max="11"/>
    <col width="34" customWidth="1" min="12" max="12"/>
  </cols>
  <sheetData>
    <row r="1">
      <c r="A1" s="1" t="inlineStr">
        <is>
          <t>AFRICA ENERGY FINANCE  |  BOOK 2  |  PAYGO SOLAR FINANCE</t>
        </is>
      </c>
      <c r="B1" s="2" t="n"/>
      <c r="C1" s="2" t="n"/>
      <c r="D1" s="2" t="n"/>
      <c r="E1" s="2" t="n"/>
      <c r="F1" s="2" t="n"/>
      <c r="G1" s="2" t="n"/>
      <c r="H1" s="2" t="n"/>
      <c r="I1" s="2" t="n"/>
      <c r="J1" s="2" t="n"/>
      <c r="K1" s="2" t="n"/>
      <c r="L1" s="2" t="n"/>
    </row>
    <row r="2" ht="22" customHeight="1">
      <c r="A2" s="3" t="inlineStr">
        <is>
          <t>Agent cohort quality ranking</t>
        </is>
      </c>
      <c r="B2" s="2" t="n"/>
      <c r="C2" s="2" t="n"/>
      <c r="D2" s="2" t="n"/>
      <c r="E2" s="2" t="n"/>
      <c r="F2" s="2" t="n"/>
      <c r="G2" s="2" t="n"/>
      <c r="H2" s="2" t="n"/>
      <c r="I2" s="2" t="n"/>
      <c r="J2" s="2" t="n"/>
      <c r="K2" s="2" t="n"/>
      <c r="L2" s="2" t="n"/>
    </row>
    <row r="3">
      <c r="A3" s="4" t="inlineStr">
        <is>
          <t>Paste agent level data; thresholds on the right</t>
        </is>
      </c>
      <c r="B3" s="2" t="n"/>
      <c r="C3" s="2" t="n"/>
      <c r="D3" s="2" t="n"/>
      <c r="E3" s="2" t="n"/>
      <c r="F3" s="2" t="n"/>
      <c r="G3" s="2" t="n"/>
      <c r="H3" s="2" t="n"/>
      <c r="I3" s="2" t="n"/>
      <c r="J3" s="2" t="n"/>
      <c r="K3" s="2" t="n"/>
      <c r="L3" s="2" t="n"/>
    </row>
    <row r="4">
      <c r="A4" s="5" t="inlineStr">
        <is>
          <t>Template T04  |  Version 0.9 (pre-release)  |  Author &amp; ideation: Emmanuel Boujieka Kamga</t>
        </is>
      </c>
      <c r="B4" s="6" t="n"/>
      <c r="C4" s="6" t="n"/>
      <c r="D4" s="6" t="n"/>
      <c r="E4" s="6" t="n"/>
      <c r="F4" s="6" t="n"/>
      <c r="G4" s="6" t="n"/>
      <c r="H4" s="6" t="n"/>
      <c r="I4" s="6" t="n"/>
      <c r="J4" s="6" t="n"/>
      <c r="K4" s="6" t="n"/>
      <c r="L4" s="6" t="n"/>
    </row>
    <row r="5"/>
    <row r="6" ht="30" customHeight="1">
      <c r="A6" s="18" t="inlineStr">
        <is>
          <t>Agent ID</t>
        </is>
      </c>
      <c r="B6" s="18" t="inlineStr">
        <is>
          <t>Region</t>
        </is>
      </c>
      <c r="C6" s="18" t="inlineStr">
        <is>
          <t>Tenure (months)</t>
        </is>
      </c>
      <c r="D6" s="18" t="inlineStr">
        <is>
          <t>Units sold, last 6 months</t>
        </is>
      </c>
      <c r="E6" s="18" t="inlineStr">
        <is>
          <t>Share current at month 3</t>
        </is>
      </c>
      <c r="F6" s="18" t="inlineStr">
        <is>
          <t>Repayment ratio at month 6</t>
        </is>
      </c>
      <c r="G6" s="18" t="inlineStr">
        <is>
          <t>Deposit only accounts</t>
        </is>
      </c>
      <c r="H6" s="18" t="inlineStr">
        <is>
          <t>Deposit only share</t>
        </is>
      </c>
      <c r="I6" s="18" t="inlineStr">
        <is>
          <t>Repayment rank</t>
        </is>
      </c>
      <c r="J6" s="18" t="inlineStr">
        <is>
          <t>Flag</t>
        </is>
      </c>
      <c r="K6" s="18" t="inlineStr"/>
      <c r="L6" s="18" t="inlineStr">
        <is>
          <t>Thresholds</t>
        </is>
      </c>
    </row>
    <row r="7">
      <c r="A7" s="10" t="inlineStr">
        <is>
          <t>AG001</t>
        </is>
      </c>
      <c r="B7" s="10" t="inlineStr">
        <is>
          <t>North</t>
        </is>
      </c>
      <c r="C7" s="14" t="n">
        <v>7</v>
      </c>
      <c r="D7" s="14" t="n">
        <v>27</v>
      </c>
      <c r="E7" s="17" t="n">
        <v>0.916</v>
      </c>
      <c r="F7" s="17" t="n">
        <v>0.75</v>
      </c>
      <c r="G7" s="14" t="n">
        <v>3</v>
      </c>
      <c r="H7" s="23">
        <f>IF(OR(A7="",D7=0),0,G7/D7)</f>
        <v/>
      </c>
      <c r="I7" s="20">
        <f>IF(A7="","",COUNTIFS($F$7:$F$36,"&gt;"&amp;F7)+1)</f>
        <v/>
      </c>
      <c r="J7" s="12">
        <f>IF(A7="","",IF(OR(F7&lt;$L$9,H7&gt;$L$12),"Review",IF(F7&gt;=$L$15,"Top band","Standard")))</f>
        <v/>
      </c>
    </row>
    <row r="8">
      <c r="A8" s="10" t="inlineStr">
        <is>
          <t>AG002</t>
        </is>
      </c>
      <c r="B8" s="10" t="inlineStr">
        <is>
          <t>South</t>
        </is>
      </c>
      <c r="C8" s="14" t="n">
        <v>24</v>
      </c>
      <c r="D8" s="14" t="n">
        <v>40</v>
      </c>
      <c r="E8" s="17" t="n">
        <v>0.928</v>
      </c>
      <c r="F8" s="17" t="n">
        <v>0.776</v>
      </c>
      <c r="G8" s="14" t="n">
        <v>3</v>
      </c>
      <c r="H8" s="23">
        <f>IF(OR(A8="",D8=0),0,G8/D8)</f>
        <v/>
      </c>
      <c r="I8" s="20">
        <f>IF(A8="","",COUNTIFS($F$7:$F$36,"&gt;"&amp;F8)+1)</f>
        <v/>
      </c>
      <c r="J8" s="12">
        <f>IF(A8="","",IF(OR(F8&lt;$L$9,H8&gt;$L$12),"Review",IF(F8&gt;=$L$15,"Top band","Standard")))</f>
        <v/>
      </c>
      <c r="L8" s="9" t="inlineStr">
        <is>
          <t>Minimum repayment ratio at month 6</t>
        </is>
      </c>
    </row>
    <row r="9">
      <c r="A9" s="10" t="inlineStr">
        <is>
          <t>AG003</t>
        </is>
      </c>
      <c r="B9" s="10" t="inlineStr">
        <is>
          <t>East</t>
        </is>
      </c>
      <c r="C9" s="14" t="n">
        <v>12</v>
      </c>
      <c r="D9" s="14" t="n">
        <v>35</v>
      </c>
      <c r="E9" s="17" t="n">
        <v>0.819</v>
      </c>
      <c r="F9" s="17" t="n">
        <v>0.796</v>
      </c>
      <c r="G9" s="14" t="n">
        <v>4</v>
      </c>
      <c r="H9" s="23">
        <f>IF(OR(A9="",D9=0),0,G9/D9)</f>
        <v/>
      </c>
      <c r="I9" s="20">
        <f>IF(A9="","",COUNTIFS($F$7:$F$36,"&gt;"&amp;F9)+1)</f>
        <v/>
      </c>
      <c r="J9" s="12">
        <f>IF(A9="","",IF(OR(F9&lt;$L$9,H9&gt;$L$12),"Review",IF(F9&gt;=$L$15,"Top band","Standard")))</f>
        <v/>
      </c>
      <c r="L9" s="17" t="n">
        <v>0.7</v>
      </c>
    </row>
    <row r="10">
      <c r="A10" s="10" t="inlineStr">
        <is>
          <t>AG004</t>
        </is>
      </c>
      <c r="B10" s="10" t="inlineStr">
        <is>
          <t>West</t>
        </is>
      </c>
      <c r="C10" s="14" t="n">
        <v>30</v>
      </c>
      <c r="D10" s="14" t="n">
        <v>35</v>
      </c>
      <c r="E10" s="17" t="n">
        <v>0.703</v>
      </c>
      <c r="F10" s="17" t="n">
        <v>0.831</v>
      </c>
      <c r="G10" s="14" t="n">
        <v>3</v>
      </c>
      <c r="H10" s="23">
        <f>IF(OR(A10="",D10=0),0,G10/D10)</f>
        <v/>
      </c>
      <c r="I10" s="20">
        <f>IF(A10="","",COUNTIFS($F$7:$F$36,"&gt;"&amp;F10)+1)</f>
        <v/>
      </c>
      <c r="J10" s="12">
        <f>IF(A10="","",IF(OR(F10&lt;$L$9,H10&gt;$L$12),"Review",IF(F10&gt;=$L$15,"Top band","Standard")))</f>
        <v/>
      </c>
    </row>
    <row r="11">
      <c r="A11" s="10" t="inlineStr">
        <is>
          <t>AG005</t>
        </is>
      </c>
      <c r="B11" s="10" t="inlineStr">
        <is>
          <t>North</t>
        </is>
      </c>
      <c r="C11" s="14" t="n">
        <v>25</v>
      </c>
      <c r="D11" s="14" t="n">
        <v>31</v>
      </c>
      <c r="E11" s="17" t="n">
        <v>0.772</v>
      </c>
      <c r="F11" s="17" t="n">
        <v>0.744</v>
      </c>
      <c r="G11" s="14" t="n">
        <v>0</v>
      </c>
      <c r="H11" s="23">
        <f>IF(OR(A11="",D11=0),0,G11/D11)</f>
        <v/>
      </c>
      <c r="I11" s="20">
        <f>IF(A11="","",COUNTIFS($F$7:$F$36,"&gt;"&amp;F11)+1)</f>
        <v/>
      </c>
      <c r="J11" s="12">
        <f>IF(A11="","",IF(OR(F11&lt;$L$9,H11&gt;$L$12),"Review",IF(F11&gt;=$L$15,"Top band","Standard")))</f>
        <v/>
      </c>
      <c r="L11" s="9" t="inlineStr">
        <is>
          <t>Maximum deposit only share</t>
        </is>
      </c>
    </row>
    <row r="12">
      <c r="A12" s="10" t="inlineStr">
        <is>
          <t>AG006</t>
        </is>
      </c>
      <c r="B12" s="10" t="inlineStr">
        <is>
          <t>South</t>
        </is>
      </c>
      <c r="C12" s="14" t="n">
        <v>2</v>
      </c>
      <c r="D12" s="14" t="n">
        <v>31</v>
      </c>
      <c r="E12" s="17" t="n">
        <v>0.861</v>
      </c>
      <c r="F12" s="17" t="n">
        <v>0.826</v>
      </c>
      <c r="G12" s="14" t="n">
        <v>1</v>
      </c>
      <c r="H12" s="23">
        <f>IF(OR(A12="",D12=0),0,G12/D12)</f>
        <v/>
      </c>
      <c r="I12" s="20">
        <f>IF(A12="","",COUNTIFS($F$7:$F$36,"&gt;"&amp;F12)+1)</f>
        <v/>
      </c>
      <c r="J12" s="12">
        <f>IF(A12="","",IF(OR(F12&lt;$L$9,H12&gt;$L$12),"Review",IF(F12&gt;=$L$15,"Top band","Standard")))</f>
        <v/>
      </c>
      <c r="L12" s="17" t="n">
        <v>0.1</v>
      </c>
    </row>
    <row r="13">
      <c r="A13" s="10" t="inlineStr">
        <is>
          <t>AG007</t>
        </is>
      </c>
      <c r="B13" s="10" t="inlineStr">
        <is>
          <t>East</t>
        </is>
      </c>
      <c r="C13" s="14" t="n">
        <v>12</v>
      </c>
      <c r="D13" s="14" t="n">
        <v>22</v>
      </c>
      <c r="E13" s="17" t="n">
        <v>0.949</v>
      </c>
      <c r="F13" s="17" t="n">
        <v>0.632</v>
      </c>
      <c r="G13" s="14" t="n">
        <v>0</v>
      </c>
      <c r="H13" s="23">
        <f>IF(OR(A13="",D13=0),0,G13/D13)</f>
        <v/>
      </c>
      <c r="I13" s="20">
        <f>IF(A13="","",COUNTIFS($F$7:$F$36,"&gt;"&amp;F13)+1)</f>
        <v/>
      </c>
      <c r="J13" s="12">
        <f>IF(A13="","",IF(OR(F13&lt;$L$9,H13&gt;$L$12),"Review",IF(F13&gt;=$L$15,"Top band","Standard")))</f>
        <v/>
      </c>
    </row>
    <row r="14">
      <c r="A14" s="10" t="inlineStr">
        <is>
          <t>AG008</t>
        </is>
      </c>
      <c r="B14" s="10" t="inlineStr">
        <is>
          <t>West</t>
        </is>
      </c>
      <c r="C14" s="14" t="n">
        <v>21</v>
      </c>
      <c r="D14" s="14" t="n">
        <v>47</v>
      </c>
      <c r="E14" s="17" t="n">
        <v>0.806</v>
      </c>
      <c r="F14" s="17" t="n">
        <v>0.8100000000000001</v>
      </c>
      <c r="G14" s="14" t="n">
        <v>3</v>
      </c>
      <c r="H14" s="23">
        <f>IF(OR(A14="",D14=0),0,G14/D14)</f>
        <v/>
      </c>
      <c r="I14" s="20">
        <f>IF(A14="","",COUNTIFS($F$7:$F$36,"&gt;"&amp;F14)+1)</f>
        <v/>
      </c>
      <c r="J14" s="12">
        <f>IF(A14="","",IF(OR(F14&lt;$L$9,H14&gt;$L$12),"Review",IF(F14&gt;=$L$15,"Top band","Standard")))</f>
        <v/>
      </c>
      <c r="L14" s="9" t="inlineStr">
        <is>
          <t>Repayment ratio for top commission band</t>
        </is>
      </c>
    </row>
    <row r="15">
      <c r="A15" s="10" t="inlineStr">
        <is>
          <t>AG009</t>
        </is>
      </c>
      <c r="B15" s="10" t="inlineStr">
        <is>
          <t>North</t>
        </is>
      </c>
      <c r="C15" s="14" t="n">
        <v>20</v>
      </c>
      <c r="D15" s="14" t="n">
        <v>33</v>
      </c>
      <c r="E15" s="17" t="n">
        <v>0.823</v>
      </c>
      <c r="F15" s="17" t="n">
        <v>0.785</v>
      </c>
      <c r="G15" s="14" t="n">
        <v>3</v>
      </c>
      <c r="H15" s="23">
        <f>IF(OR(A15="",D15=0),0,G15/D15)</f>
        <v/>
      </c>
      <c r="I15" s="20">
        <f>IF(A15="","",COUNTIFS($F$7:$F$36,"&gt;"&amp;F15)+1)</f>
        <v/>
      </c>
      <c r="J15" s="12">
        <f>IF(A15="","",IF(OR(F15&lt;$L$9,H15&gt;$L$12),"Review",IF(F15&gt;=$L$15,"Top band","Standard")))</f>
        <v/>
      </c>
      <c r="L15" s="17" t="n">
        <v>0.8</v>
      </c>
    </row>
    <row r="16">
      <c r="A16" s="10" t="inlineStr">
        <is>
          <t>AG010</t>
        </is>
      </c>
      <c r="B16" s="10" t="inlineStr">
        <is>
          <t>South</t>
        </is>
      </c>
      <c r="C16" s="14" t="n">
        <v>7</v>
      </c>
      <c r="D16" s="14" t="n">
        <v>42</v>
      </c>
      <c r="E16" s="17" t="n">
        <v>0.918</v>
      </c>
      <c r="F16" s="17" t="n">
        <v>0.667</v>
      </c>
      <c r="G16" s="14" t="n">
        <v>4</v>
      </c>
      <c r="H16" s="23">
        <f>IF(OR(A16="",D16=0),0,G16/D16)</f>
        <v/>
      </c>
      <c r="I16" s="20">
        <f>IF(A16="","",COUNTIFS($F$7:$F$36,"&gt;"&amp;F16)+1)</f>
        <v/>
      </c>
      <c r="J16" s="12">
        <f>IF(A16="","",IF(OR(F16&lt;$L$9,H16&gt;$L$12),"Review",IF(F16&gt;=$L$15,"Top band","Standard")))</f>
        <v/>
      </c>
    </row>
    <row r="17">
      <c r="A17" s="10" t="inlineStr">
        <is>
          <t>AG011</t>
        </is>
      </c>
      <c r="B17" s="10" t="inlineStr">
        <is>
          <t>East</t>
        </is>
      </c>
      <c r="C17" s="14" t="n">
        <v>27</v>
      </c>
      <c r="D17" s="14" t="n">
        <v>32</v>
      </c>
      <c r="E17" s="17" t="n">
        <v>0.819</v>
      </c>
      <c r="F17" s="17" t="n">
        <v>0.859</v>
      </c>
      <c r="G17" s="14" t="n">
        <v>2</v>
      </c>
      <c r="H17" s="23">
        <f>IF(OR(A17="",D17=0),0,G17/D17)</f>
        <v/>
      </c>
      <c r="I17" s="20">
        <f>IF(A17="","",COUNTIFS($F$7:$F$36,"&gt;"&amp;F17)+1)</f>
        <v/>
      </c>
      <c r="J17" s="12">
        <f>IF(A17="","",IF(OR(F17&lt;$L$9,H17&gt;$L$12),"Review",IF(F17&gt;=$L$15,"Top band","Standard")))</f>
        <v/>
      </c>
    </row>
    <row r="18">
      <c r="A18" s="10" t="inlineStr">
        <is>
          <t>AG012</t>
        </is>
      </c>
      <c r="B18" s="10" t="inlineStr">
        <is>
          <t>West</t>
        </is>
      </c>
      <c r="C18" s="14" t="n">
        <v>30</v>
      </c>
      <c r="D18" s="14" t="n">
        <v>27</v>
      </c>
      <c r="E18" s="17" t="n">
        <v>0.878</v>
      </c>
      <c r="F18" s="17" t="n">
        <v>0.631</v>
      </c>
      <c r="G18" s="14" t="n">
        <v>1</v>
      </c>
      <c r="H18" s="23">
        <f>IF(OR(A18="",D18=0),0,G18/D18)</f>
        <v/>
      </c>
      <c r="I18" s="20">
        <f>IF(A18="","",COUNTIFS($F$7:$F$36,"&gt;"&amp;F18)+1)</f>
        <v/>
      </c>
      <c r="J18" s="12">
        <f>IF(A18="","",IF(OR(F18&lt;$L$9,H18&gt;$L$12),"Review",IF(F18&gt;=$L$15,"Top band","Standard")))</f>
        <v/>
      </c>
      <c r="L18" s="9" t="inlineStr">
        <is>
          <t>Agents flagged for review</t>
        </is>
      </c>
    </row>
    <row r="19">
      <c r="A19" s="10" t="inlineStr">
        <is>
          <t>AG013</t>
        </is>
      </c>
      <c r="B19" s="10" t="inlineStr">
        <is>
          <t>North</t>
        </is>
      </c>
      <c r="C19" s="14" t="n">
        <v>3</v>
      </c>
      <c r="D19" s="14" t="n">
        <v>33</v>
      </c>
      <c r="E19" s="17" t="n">
        <v>0.767</v>
      </c>
      <c r="F19" s="17" t="n">
        <v>0.754</v>
      </c>
      <c r="G19" s="14" t="n">
        <v>2</v>
      </c>
      <c r="H19" s="23">
        <f>IF(OR(A19="",D19=0),0,G19/D19)</f>
        <v/>
      </c>
      <c r="I19" s="20">
        <f>IF(A19="","",COUNTIFS($F$7:$F$36,"&gt;"&amp;F19)+1)</f>
        <v/>
      </c>
      <c r="J19" s="12">
        <f>IF(A19="","",IF(OR(F19&lt;$L$9,H19&gt;$L$12),"Review",IF(F19&gt;=$L$15,"Top band","Standard")))</f>
        <v/>
      </c>
      <c r="L19" s="21">
        <f>COUNTIFS(J7:J36,"Review")</f>
        <v/>
      </c>
    </row>
    <row r="20">
      <c r="A20" s="10" t="inlineStr">
        <is>
          <t>AG014</t>
        </is>
      </c>
      <c r="B20" s="10" t="inlineStr">
        <is>
          <t>South</t>
        </is>
      </c>
      <c r="C20" s="14" t="n">
        <v>29</v>
      </c>
      <c r="D20" s="14" t="n">
        <v>44</v>
      </c>
      <c r="E20" s="17" t="n">
        <v>0.8120000000000001</v>
      </c>
      <c r="F20" s="17" t="n">
        <v>0.79</v>
      </c>
      <c r="G20" s="14" t="n">
        <v>5</v>
      </c>
      <c r="H20" s="23">
        <f>IF(OR(A20="",D20=0),0,G20/D20)</f>
        <v/>
      </c>
      <c r="I20" s="20">
        <f>IF(A20="","",COUNTIFS($F$7:$F$36,"&gt;"&amp;F20)+1)</f>
        <v/>
      </c>
      <c r="J20" s="12">
        <f>IF(A20="","",IF(OR(F20&lt;$L$9,H20&gt;$L$12),"Review",IF(F20&gt;=$L$15,"Top band","Standard")))</f>
        <v/>
      </c>
    </row>
    <row r="21">
      <c r="A21" s="10" t="inlineStr">
        <is>
          <t>AG015</t>
        </is>
      </c>
      <c r="B21" s="10" t="inlineStr">
        <is>
          <t>East</t>
        </is>
      </c>
      <c r="C21" s="14" t="n">
        <v>15</v>
      </c>
      <c r="D21" s="14" t="n">
        <v>48</v>
      </c>
      <c r="E21" s="17" t="n">
        <v>0.716</v>
      </c>
      <c r="F21" s="17" t="n">
        <v>0.772</v>
      </c>
      <c r="G21" s="14" t="n">
        <v>0</v>
      </c>
      <c r="H21" s="23">
        <f>IF(OR(A21="",D21=0),0,G21/D21)</f>
        <v/>
      </c>
      <c r="I21" s="20">
        <f>IF(A21="","",COUNTIFS($F$7:$F$36,"&gt;"&amp;F21)+1)</f>
        <v/>
      </c>
      <c r="J21" s="12">
        <f>IF(A21="","",IF(OR(F21&lt;$L$9,H21&gt;$L$12),"Review",IF(F21&gt;=$L$15,"Top band","Standard")))</f>
        <v/>
      </c>
      <c r="L21" s="9" t="inlineStr">
        <is>
          <t>Repayment, top half of agents</t>
        </is>
      </c>
    </row>
    <row r="22">
      <c r="A22" s="10" t="inlineStr">
        <is>
          <t>AG016</t>
        </is>
      </c>
      <c r="B22" s="10" t="inlineStr">
        <is>
          <t>West</t>
        </is>
      </c>
      <c r="C22" s="14" t="n">
        <v>6</v>
      </c>
      <c r="D22" s="14" t="n">
        <v>20</v>
      </c>
      <c r="E22" s="17" t="n">
        <v>0.946</v>
      </c>
      <c r="F22" s="17" t="n">
        <v>0.749</v>
      </c>
      <c r="G22" s="14" t="n">
        <v>0</v>
      </c>
      <c r="H22" s="23">
        <f>IF(OR(A22="",D22=0),0,G22/D22)</f>
        <v/>
      </c>
      <c r="I22" s="20">
        <f>IF(A22="","",COUNTIFS($F$7:$F$36,"&gt;"&amp;F22)+1)</f>
        <v/>
      </c>
      <c r="J22" s="12">
        <f>IF(A22="","",IF(OR(F22&lt;$L$9,H22&gt;$L$12),"Review",IF(F22&gt;=$L$15,"Top band","Standard")))</f>
        <v/>
      </c>
      <c r="L22" s="23">
        <f>IFERROR(AVERAGEIFS(F7:F36,I7:I36,"&lt;="&amp;COUNT(F7:F36)/2),0)</f>
        <v/>
      </c>
    </row>
    <row r="23">
      <c r="A23" s="10" t="inlineStr">
        <is>
          <t>AG017</t>
        </is>
      </c>
      <c r="B23" s="10" t="inlineStr">
        <is>
          <t>North</t>
        </is>
      </c>
      <c r="C23" s="14" t="n">
        <v>6</v>
      </c>
      <c r="D23" s="14" t="n">
        <v>33</v>
      </c>
      <c r="E23" s="17" t="n">
        <v>0.715</v>
      </c>
      <c r="F23" s="17" t="n">
        <v>0.841</v>
      </c>
      <c r="G23" s="14" t="n">
        <v>0</v>
      </c>
      <c r="H23" s="23">
        <f>IF(OR(A23="",D23=0),0,G23/D23)</f>
        <v/>
      </c>
      <c r="I23" s="20">
        <f>IF(A23="","",COUNTIFS($F$7:$F$36,"&gt;"&amp;F23)+1)</f>
        <v/>
      </c>
      <c r="J23" s="12">
        <f>IF(A23="","",IF(OR(F23&lt;$L$9,H23&gt;$L$12),"Review",IF(F23&gt;=$L$15,"Top band","Standard")))</f>
        <v/>
      </c>
      <c r="L23" s="9" t="inlineStr">
        <is>
          <t>Repayment, bottom half of agents</t>
        </is>
      </c>
    </row>
    <row r="24">
      <c r="A24" s="10" t="inlineStr">
        <is>
          <t>AG018</t>
        </is>
      </c>
      <c r="B24" s="10" t="inlineStr">
        <is>
          <t>South</t>
        </is>
      </c>
      <c r="C24" s="14" t="n">
        <v>25</v>
      </c>
      <c r="D24" s="14" t="n">
        <v>49</v>
      </c>
      <c r="E24" s="17" t="n">
        <v>0.737</v>
      </c>
      <c r="F24" s="17" t="n">
        <v>0.645</v>
      </c>
      <c r="G24" s="14" t="n">
        <v>2</v>
      </c>
      <c r="H24" s="23">
        <f>IF(OR(A24="",D24=0),0,G24/D24)</f>
        <v/>
      </c>
      <c r="I24" s="20">
        <f>IF(A24="","",COUNTIFS($F$7:$F$36,"&gt;"&amp;F24)+1)</f>
        <v/>
      </c>
      <c r="J24" s="12">
        <f>IF(A24="","",IF(OR(F24&lt;$L$9,H24&gt;$L$12),"Review",IF(F24&gt;=$L$15,"Top band","Standard")))</f>
        <v/>
      </c>
      <c r="L24" s="23">
        <f>IFERROR(AVERAGEIFS(F7:F36,I7:I36,"&gt;"&amp;COUNT(F7:F36)/2),0)</f>
        <v/>
      </c>
    </row>
    <row r="25">
      <c r="A25" s="10" t="inlineStr">
        <is>
          <t>AG019</t>
        </is>
      </c>
      <c r="B25" s="10" t="inlineStr">
        <is>
          <t>East</t>
        </is>
      </c>
      <c r="C25" s="14" t="n">
        <v>14</v>
      </c>
      <c r="D25" s="14" t="n">
        <v>47</v>
      </c>
      <c r="E25" s="17" t="n">
        <v>0.92</v>
      </c>
      <c r="F25" s="17" t="n">
        <v>0.629</v>
      </c>
      <c r="G25" s="14" t="n">
        <v>3</v>
      </c>
      <c r="H25" s="23">
        <f>IF(OR(A25="",D25=0),0,G25/D25)</f>
        <v/>
      </c>
      <c r="I25" s="20">
        <f>IF(A25="","",COUNTIFS($F$7:$F$36,"&gt;"&amp;F25)+1)</f>
        <v/>
      </c>
      <c r="J25" s="12">
        <f>IF(A25="","",IF(OR(F25&lt;$L$9,H25&gt;$L$12),"Review",IF(F25&gt;=$L$15,"Top band","Standard")))</f>
        <v/>
      </c>
    </row>
    <row r="26">
      <c r="A26" s="10" t="inlineStr">
        <is>
          <t>AG020</t>
        </is>
      </c>
      <c r="B26" s="10" t="inlineStr">
        <is>
          <t>West</t>
        </is>
      </c>
      <c r="C26" s="14" t="n">
        <v>7</v>
      </c>
      <c r="D26" s="14" t="n">
        <v>57</v>
      </c>
      <c r="E26" s="17" t="n">
        <v>0.855</v>
      </c>
      <c r="F26" s="17" t="n">
        <v>0.662</v>
      </c>
      <c r="G26" s="14" t="n">
        <v>6</v>
      </c>
      <c r="H26" s="23">
        <f>IF(OR(A26="",D26=0),0,G26/D26)</f>
        <v/>
      </c>
      <c r="I26" s="20">
        <f>IF(A26="","",COUNTIFS($F$7:$F$36,"&gt;"&amp;F26)+1)</f>
        <v/>
      </c>
      <c r="J26" s="12">
        <f>IF(A26="","",IF(OR(F26&lt;$L$9,H26&gt;$L$12),"Review",IF(F26&gt;=$L$15,"Top band","Standard")))</f>
        <v/>
      </c>
      <c r="L26" s="15" t="inlineStr">
        <is>
          <t>Example rows are random illustrations; replace them with company data. Repayment ratio: cumulative collections ÷ instalments due at month 6 (a cohort ratio, not a PERFORM KPI).</t>
        </is>
      </c>
    </row>
    <row r="27">
      <c r="A27" s="10" t="inlineStr">
        <is>
          <t>AG021</t>
        </is>
      </c>
      <c r="B27" s="10" t="inlineStr">
        <is>
          <t>North</t>
        </is>
      </c>
      <c r="C27" s="14" t="n">
        <v>14</v>
      </c>
      <c r="D27" s="14" t="n">
        <v>34</v>
      </c>
      <c r="E27" s="17" t="n">
        <v>0.795</v>
      </c>
      <c r="F27" s="17" t="n">
        <v>0.723</v>
      </c>
      <c r="G27" s="14" t="n">
        <v>3</v>
      </c>
      <c r="H27" s="23">
        <f>IF(OR(A27="",D27=0),0,G27/D27)</f>
        <v/>
      </c>
      <c r="I27" s="20">
        <f>IF(A27="","",COUNTIFS($F$7:$F$36,"&gt;"&amp;F27)+1)</f>
        <v/>
      </c>
      <c r="J27" s="12">
        <f>IF(A27="","",IF(OR(F27&lt;$L$9,H27&gt;$L$12),"Review",IF(F27&gt;=$L$15,"Top band","Standard")))</f>
        <v/>
      </c>
    </row>
    <row r="28">
      <c r="A28" s="10" t="inlineStr">
        <is>
          <t>AG022</t>
        </is>
      </c>
      <c r="B28" s="10" t="inlineStr">
        <is>
          <t>South</t>
        </is>
      </c>
      <c r="C28" s="14" t="n">
        <v>15</v>
      </c>
      <c r="D28" s="14" t="n">
        <v>50</v>
      </c>
      <c r="E28" s="17" t="n">
        <v>0.786</v>
      </c>
      <c r="F28" s="17" t="n">
        <v>0.824</v>
      </c>
      <c r="G28" s="14" t="n">
        <v>5</v>
      </c>
      <c r="H28" s="23">
        <f>IF(OR(A28="",D28=0),0,G28/D28)</f>
        <v/>
      </c>
      <c r="I28" s="20">
        <f>IF(A28="","",COUNTIFS($F$7:$F$36,"&gt;"&amp;F28)+1)</f>
        <v/>
      </c>
      <c r="J28" s="12">
        <f>IF(A28="","",IF(OR(F28&lt;$L$9,H28&gt;$L$12),"Review",IF(F28&gt;=$L$15,"Top band","Standard")))</f>
        <v/>
      </c>
    </row>
    <row r="29">
      <c r="A29" s="10" t="inlineStr">
        <is>
          <t>AG023</t>
        </is>
      </c>
      <c r="B29" s="10" t="inlineStr">
        <is>
          <t>East</t>
        </is>
      </c>
      <c r="C29" s="14" t="n">
        <v>29</v>
      </c>
      <c r="D29" s="14" t="n">
        <v>19</v>
      </c>
      <c r="E29" s="17" t="n">
        <v>0.833</v>
      </c>
      <c r="F29" s="17" t="n">
        <v>0.661</v>
      </c>
      <c r="G29" s="14" t="n">
        <v>2</v>
      </c>
      <c r="H29" s="23">
        <f>IF(OR(A29="",D29=0),0,G29/D29)</f>
        <v/>
      </c>
      <c r="I29" s="20">
        <f>IF(A29="","",COUNTIFS($F$7:$F$36,"&gt;"&amp;F29)+1)</f>
        <v/>
      </c>
      <c r="J29" s="12">
        <f>IF(A29="","",IF(OR(F29&lt;$L$9,H29&gt;$L$12),"Review",IF(F29&gt;=$L$15,"Top band","Standard")))</f>
        <v/>
      </c>
    </row>
    <row r="30">
      <c r="A30" s="10" t="inlineStr">
        <is>
          <t>AG024</t>
        </is>
      </c>
      <c r="B30" s="10" t="inlineStr">
        <is>
          <t>West</t>
        </is>
      </c>
      <c r="C30" s="14" t="n">
        <v>17</v>
      </c>
      <c r="D30" s="14" t="n">
        <v>47</v>
      </c>
      <c r="E30" s="17" t="n">
        <v>0.9330000000000001</v>
      </c>
      <c r="F30" s="17" t="n">
        <v>0.627</v>
      </c>
      <c r="G30" s="14" t="n">
        <v>2</v>
      </c>
      <c r="H30" s="23">
        <f>IF(OR(A30="",D30=0),0,G30/D30)</f>
        <v/>
      </c>
      <c r="I30" s="20">
        <f>IF(A30="","",COUNTIFS($F$7:$F$36,"&gt;"&amp;F30)+1)</f>
        <v/>
      </c>
      <c r="J30" s="12">
        <f>IF(A30="","",IF(OR(F30&lt;$L$9,H30&gt;$L$12),"Review",IF(F30&gt;=$L$15,"Top band","Standard")))</f>
        <v/>
      </c>
    </row>
    <row r="31">
      <c r="A31" s="10" t="inlineStr">
        <is>
          <t>AG025</t>
        </is>
      </c>
      <c r="B31" s="10" t="inlineStr">
        <is>
          <t>North</t>
        </is>
      </c>
      <c r="C31" s="14" t="n">
        <v>9</v>
      </c>
      <c r="D31" s="14" t="n">
        <v>44</v>
      </c>
      <c r="E31" s="17" t="n">
        <v>0.841</v>
      </c>
      <c r="F31" s="17" t="n">
        <v>0.777</v>
      </c>
      <c r="G31" s="14" t="n">
        <v>0</v>
      </c>
      <c r="H31" s="23">
        <f>IF(OR(A31="",D31=0),0,G31/D31)</f>
        <v/>
      </c>
      <c r="I31" s="20">
        <f>IF(A31="","",COUNTIFS($F$7:$F$36,"&gt;"&amp;F31)+1)</f>
        <v/>
      </c>
      <c r="J31" s="12">
        <f>IF(A31="","",IF(OR(F31&lt;$L$9,H31&gt;$L$12),"Review",IF(F31&gt;=$L$15,"Top band","Standard")))</f>
        <v/>
      </c>
    </row>
    <row r="32">
      <c r="A32" s="10" t="inlineStr">
        <is>
          <t>AG026</t>
        </is>
      </c>
      <c r="B32" s="10" t="inlineStr">
        <is>
          <t>South</t>
        </is>
      </c>
      <c r="C32" s="14" t="n">
        <v>24</v>
      </c>
      <c r="D32" s="14" t="n">
        <v>27</v>
      </c>
      <c r="E32" s="17" t="n">
        <v>0.802</v>
      </c>
      <c r="F32" s="17" t="n">
        <v>0.8149999999999999</v>
      </c>
      <c r="G32" s="14" t="n">
        <v>0</v>
      </c>
      <c r="H32" s="23">
        <f>IF(OR(A32="",D32=0),0,G32/D32)</f>
        <v/>
      </c>
      <c r="I32" s="20">
        <f>IF(A32="","",COUNTIFS($F$7:$F$36,"&gt;"&amp;F32)+1)</f>
        <v/>
      </c>
      <c r="J32" s="12">
        <f>IF(A32="","",IF(OR(F32&lt;$L$9,H32&gt;$L$12),"Review",IF(F32&gt;=$L$15,"Top band","Standard")))</f>
        <v/>
      </c>
    </row>
    <row r="33">
      <c r="A33" s="10" t="inlineStr">
        <is>
          <t>AG027</t>
        </is>
      </c>
      <c r="B33" s="10" t="inlineStr">
        <is>
          <t>East</t>
        </is>
      </c>
      <c r="C33" s="14" t="n">
        <v>29</v>
      </c>
      <c r="D33" s="14" t="n">
        <v>45</v>
      </c>
      <c r="E33" s="17" t="n">
        <v>0.7</v>
      </c>
      <c r="F33" s="17" t="n">
        <v>0.722</v>
      </c>
      <c r="G33" s="14" t="n">
        <v>4</v>
      </c>
      <c r="H33" s="23">
        <f>IF(OR(A33="",D33=0),0,G33/D33)</f>
        <v/>
      </c>
      <c r="I33" s="20">
        <f>IF(A33="","",COUNTIFS($F$7:$F$36,"&gt;"&amp;F33)+1)</f>
        <v/>
      </c>
      <c r="J33" s="12">
        <f>IF(A33="","",IF(OR(F33&lt;$L$9,H33&gt;$L$12),"Review",IF(F33&gt;=$L$15,"Top band","Standard")))</f>
        <v/>
      </c>
    </row>
    <row r="34">
      <c r="A34" s="10" t="inlineStr">
        <is>
          <t>AG028</t>
        </is>
      </c>
      <c r="B34" s="10" t="inlineStr">
        <is>
          <t>West</t>
        </is>
      </c>
      <c r="C34" s="14" t="n">
        <v>24</v>
      </c>
      <c r="D34" s="14" t="n">
        <v>18</v>
      </c>
      <c r="E34" s="17" t="n">
        <v>0.896</v>
      </c>
      <c r="F34" s="17" t="n">
        <v>0.729</v>
      </c>
      <c r="G34" s="14" t="n">
        <v>0</v>
      </c>
      <c r="H34" s="23">
        <f>IF(OR(A34="",D34=0),0,G34/D34)</f>
        <v/>
      </c>
      <c r="I34" s="20">
        <f>IF(A34="","",COUNTIFS($F$7:$F$36,"&gt;"&amp;F34)+1)</f>
        <v/>
      </c>
      <c r="J34" s="12">
        <f>IF(A34="","",IF(OR(F34&lt;$L$9,H34&gt;$L$12),"Review",IF(F34&gt;=$L$15,"Top band","Standard")))</f>
        <v/>
      </c>
    </row>
    <row r="35">
      <c r="A35" s="10" t="inlineStr">
        <is>
          <t>AG029</t>
        </is>
      </c>
      <c r="B35" s="10" t="inlineStr">
        <is>
          <t>North</t>
        </is>
      </c>
      <c r="C35" s="14" t="n">
        <v>11</v>
      </c>
      <c r="D35" s="14" t="n">
        <v>41</v>
      </c>
      <c r="E35" s="17" t="n">
        <v>0.798</v>
      </c>
      <c r="F35" s="17" t="n">
        <v>0.851</v>
      </c>
      <c r="G35" s="14" t="n">
        <v>5</v>
      </c>
      <c r="H35" s="23">
        <f>IF(OR(A35="",D35=0),0,G35/D35)</f>
        <v/>
      </c>
      <c r="I35" s="20">
        <f>IF(A35="","",COUNTIFS($F$7:$F$36,"&gt;"&amp;F35)+1)</f>
        <v/>
      </c>
      <c r="J35" s="12">
        <f>IF(A35="","",IF(OR(F35&lt;$L$9,H35&gt;$L$12),"Review",IF(F35&gt;=$L$15,"Top band","Standard")))</f>
        <v/>
      </c>
    </row>
    <row r="36">
      <c r="A36" s="10" t="inlineStr">
        <is>
          <t>AG030</t>
        </is>
      </c>
      <c r="B36" s="10" t="inlineStr">
        <is>
          <t>South</t>
        </is>
      </c>
      <c r="C36" s="14" t="n">
        <v>28</v>
      </c>
      <c r="D36" s="14" t="n">
        <v>27</v>
      </c>
      <c r="E36" s="17" t="n">
        <v>0.804</v>
      </c>
      <c r="F36" s="17" t="n">
        <v>0.697</v>
      </c>
      <c r="G36" s="14" t="n">
        <v>2</v>
      </c>
      <c r="H36" s="23">
        <f>IF(OR(A36="",D36=0),0,G36/D36)</f>
        <v/>
      </c>
      <c r="I36" s="20">
        <f>IF(A36="","",COUNTIFS($F$7:$F$36,"&gt;"&amp;F36)+1)</f>
        <v/>
      </c>
      <c r="J36" s="12">
        <f>IF(A36="","",IF(OR(F36&lt;$L$9,H36&gt;$L$12),"Review",IF(F36&gt;=$L$15,"Top band","Standard")))</f>
        <v/>
      </c>
    </row>
  </sheetData>
  <conditionalFormatting sqref="J7:J36">
    <cfRule type="expression" priority="1" dxfId="0">
      <formula>$J7="Review"</formula>
    </cfRule>
    <cfRule type="expression" priority="2" dxfId="1">
      <formula>$J7="Top band"</formula>
    </cfRule>
  </conditionalFormatting>
  <printOptions horizontalCentered="1"/>
  <pageMargins left="0.5" right="0.5" top="0.6" bottom="0.7" header="0.5" footer="0.5"/>
  <pageSetup orientation="landscape" paperSize="9" fitToHeight="0" fitToWidth="1"/>
  <headerFooter>
    <oddHeader/>
    <oddFooter>&amp;L&amp;"Arial"&amp;8 Africa Energy Finance | Book 2 Template T04 | Version 0.9 (pre-release)&amp;C&amp;"Arial"&amp;8 &amp;A&amp;R&amp;"Arial"&amp;8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N18"/>
  <sheetViews>
    <sheetView showGridLines="0" workbookViewId="0">
      <selection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4" customWidth="1" min="14" max="14"/>
  </cols>
  <sheetData>
    <row r="1">
      <c r="A1" s="1" t="inlineStr">
        <is>
          <t>AFRICA ENERGY FINANCE  |  BOOK 2  |  PAYGO SOLAR FINANCE</t>
        </is>
      </c>
      <c r="B1" s="2" t="n"/>
      <c r="C1" s="2" t="n"/>
      <c r="D1" s="2" t="n"/>
      <c r="E1" s="2" t="n"/>
      <c r="F1" s="2" t="n"/>
      <c r="G1" s="2" t="n"/>
      <c r="H1" s="2" t="n"/>
      <c r="I1" s="2" t="n"/>
      <c r="J1" s="2" t="n"/>
      <c r="K1" s="2" t="n"/>
      <c r="L1" s="2" t="n"/>
      <c r="M1" s="2" t="n"/>
      <c r="N1" s="2" t="n"/>
    </row>
    <row r="2" ht="22" customHeight="1">
      <c r="A2" s="3" t="inlineStr">
        <is>
          <t>New territory ramp</t>
        </is>
      </c>
      <c r="B2" s="2" t="n"/>
      <c r="C2" s="2" t="n"/>
      <c r="D2" s="2" t="n"/>
      <c r="E2" s="2" t="n"/>
      <c r="F2" s="2" t="n"/>
      <c r="G2" s="2" t="n"/>
      <c r="H2" s="2" t="n"/>
      <c r="I2" s="2" t="n"/>
      <c r="J2" s="2" t="n"/>
      <c r="K2" s="2" t="n"/>
      <c r="L2" s="2" t="n"/>
      <c r="M2" s="2" t="n"/>
      <c r="N2" s="2" t="n"/>
    </row>
    <row r="3">
      <c r="A3" s="4" t="inlineStr">
        <is>
          <t>Fixed cost per unit during the first twelve months</t>
        </is>
      </c>
      <c r="B3" s="2" t="n"/>
      <c r="C3" s="2" t="n"/>
      <c r="D3" s="2" t="n"/>
      <c r="E3" s="2" t="n"/>
      <c r="F3" s="2" t="n"/>
      <c r="G3" s="2" t="n"/>
      <c r="H3" s="2" t="n"/>
      <c r="I3" s="2" t="n"/>
      <c r="J3" s="2" t="n"/>
      <c r="K3" s="2" t="n"/>
      <c r="L3" s="2" t="n"/>
      <c r="M3" s="2" t="n"/>
      <c r="N3" s="2" t="n"/>
    </row>
    <row r="4">
      <c r="A4" s="5" t="inlineStr">
        <is>
          <t>Template T04  |  Version 0.9 (pre-release)  |  Author &amp; ideation: Emmanuel Boujieka Kamga</t>
        </is>
      </c>
      <c r="B4" s="6" t="n"/>
      <c r="C4" s="6" t="n"/>
      <c r="D4" s="6" t="n"/>
      <c r="E4" s="6" t="n"/>
      <c r="F4" s="6" t="n"/>
      <c r="G4" s="6" t="n"/>
      <c r="H4" s="6" t="n"/>
      <c r="I4" s="6" t="n"/>
      <c r="J4" s="6" t="n"/>
      <c r="K4" s="6" t="n"/>
      <c r="L4" s="6" t="n"/>
      <c r="M4" s="6" t="n"/>
      <c r="N4" s="6" t="n"/>
    </row>
    <row r="5"/>
    <row r="6">
      <c r="A6" s="11" t="inlineStr">
        <is>
          <t>Fixed territory cost per month (depot, manager, vehicles)</t>
        </is>
      </c>
      <c r="B6" s="14" t="n">
        <v>900000</v>
      </c>
    </row>
    <row r="7">
      <c r="A7" s="11" t="inlineStr">
        <is>
          <t>Mature sales per month</t>
        </is>
      </c>
      <c r="B7" s="14" t="n">
        <v>300</v>
      </c>
    </row>
    <row r="8"/>
    <row r="9" ht="30" customHeight="1">
      <c r="A9" s="18" t="inlineStr">
        <is>
          <t>Line</t>
        </is>
      </c>
      <c r="B9" s="18" t="inlineStr">
        <is>
          <t>M1</t>
        </is>
      </c>
      <c r="C9" s="18" t="inlineStr">
        <is>
          <t>M2</t>
        </is>
      </c>
      <c r="D9" s="18" t="inlineStr">
        <is>
          <t>M3</t>
        </is>
      </c>
      <c r="E9" s="18" t="inlineStr">
        <is>
          <t>M4</t>
        </is>
      </c>
      <c r="F9" s="18" t="inlineStr">
        <is>
          <t>M5</t>
        </is>
      </c>
      <c r="G9" s="18" t="inlineStr">
        <is>
          <t>M6</t>
        </is>
      </c>
      <c r="H9" s="18" t="inlineStr">
        <is>
          <t>M7</t>
        </is>
      </c>
      <c r="I9" s="18" t="inlineStr">
        <is>
          <t>M8</t>
        </is>
      </c>
      <c r="J9" s="18" t="inlineStr">
        <is>
          <t>M9</t>
        </is>
      </c>
      <c r="K9" s="18" t="inlineStr">
        <is>
          <t>M10</t>
        </is>
      </c>
      <c r="L9" s="18" t="inlineStr">
        <is>
          <t>M11</t>
        </is>
      </c>
      <c r="M9" s="18" t="inlineStr">
        <is>
          <t>M12</t>
        </is>
      </c>
      <c r="N9" s="18" t="inlineStr">
        <is>
          <t>Notes</t>
        </is>
      </c>
    </row>
    <row r="10">
      <c r="A10" s="11" t="inlineStr">
        <is>
          <t>Ramp: share of mature sales</t>
        </is>
      </c>
      <c r="B10" s="17" t="n">
        <v>0.33</v>
      </c>
      <c r="C10" s="17" t="n">
        <v>0.5</v>
      </c>
      <c r="D10" s="17" t="n">
        <v>0.67</v>
      </c>
      <c r="E10" s="17" t="n">
        <v>0.75</v>
      </c>
      <c r="F10" s="17" t="n">
        <v>0.83</v>
      </c>
      <c r="G10" s="17" t="n">
        <v>0.9</v>
      </c>
      <c r="H10" s="17" t="n">
        <v>0.95</v>
      </c>
      <c r="I10" s="17" t="n">
        <v>1</v>
      </c>
      <c r="J10" s="17" t="n">
        <v>1</v>
      </c>
      <c r="K10" s="17" t="n">
        <v>1</v>
      </c>
      <c r="L10" s="17" t="n">
        <v>1</v>
      </c>
      <c r="M10" s="17" t="n">
        <v>1</v>
      </c>
      <c r="N10" s="15" t="inlineStr">
        <is>
          <t>Ramp is an input; set it from the last territory opened</t>
        </is>
      </c>
    </row>
    <row r="11">
      <c r="A11" s="11" t="inlineStr">
        <is>
          <t>Units sold</t>
        </is>
      </c>
      <c r="B11" s="20">
        <f>$B$7*B10</f>
        <v/>
      </c>
      <c r="C11" s="20">
        <f>$B$7*C10</f>
        <v/>
      </c>
      <c r="D11" s="20">
        <f>$B$7*D10</f>
        <v/>
      </c>
      <c r="E11" s="20">
        <f>$B$7*E10</f>
        <v/>
      </c>
      <c r="F11" s="20">
        <f>$B$7*F10</f>
        <v/>
      </c>
      <c r="G11" s="20">
        <f>$B$7*G10</f>
        <v/>
      </c>
      <c r="H11" s="20">
        <f>$B$7*H10</f>
        <v/>
      </c>
      <c r="I11" s="20">
        <f>$B$7*I10</f>
        <v/>
      </c>
      <c r="J11" s="20">
        <f>$B$7*J10</f>
        <v/>
      </c>
      <c r="K11" s="20">
        <f>$B$7*K10</f>
        <v/>
      </c>
      <c r="L11" s="20">
        <f>$B$7*L10</f>
        <v/>
      </c>
      <c r="M11" s="20">
        <f>$B$7*M10</f>
        <v/>
      </c>
    </row>
    <row r="12">
      <c r="A12" s="11" t="inlineStr">
        <is>
          <t>Fixed cost per unit</t>
        </is>
      </c>
      <c r="B12" s="20">
        <f>IF(B11=0,0,$B$6/B11)</f>
        <v/>
      </c>
      <c r="C12" s="20">
        <f>IF(C11=0,0,$B$6/C11)</f>
        <v/>
      </c>
      <c r="D12" s="20">
        <f>IF(D11=0,0,$B$6/D11)</f>
        <v/>
      </c>
      <c r="E12" s="20">
        <f>IF(E11=0,0,$B$6/E11)</f>
        <v/>
      </c>
      <c r="F12" s="20">
        <f>IF(F11=0,0,$B$6/F11)</f>
        <v/>
      </c>
      <c r="G12" s="20">
        <f>IF(G11=0,0,$B$6/G11)</f>
        <v/>
      </c>
      <c r="H12" s="20">
        <f>IF(H11=0,0,$B$6/H11)</f>
        <v/>
      </c>
      <c r="I12" s="20">
        <f>IF(I11=0,0,$B$6/I11)</f>
        <v/>
      </c>
      <c r="J12" s="20">
        <f>IF(J11=0,0,$B$6/J11)</f>
        <v/>
      </c>
      <c r="K12" s="20">
        <f>IF(K11=0,0,$B$6/K11)</f>
        <v/>
      </c>
      <c r="L12" s="20">
        <f>IF(L11=0,0,$B$6/L11)</f>
        <v/>
      </c>
      <c r="M12" s="20">
        <f>IF(M11=0,0,$B$6/M11)</f>
        <v/>
      </c>
    </row>
    <row r="13">
      <c r="A13" s="11" t="inlineStr">
        <is>
          <t>Multiple of mature fixed cost per unit</t>
        </is>
      </c>
      <c r="B13" s="22">
        <f>IF($B$7=0,0,B12/($B$6/$B$7))</f>
        <v/>
      </c>
      <c r="C13" s="22">
        <f>IF($B$7=0,0,C12/($B$6/$B$7))</f>
        <v/>
      </c>
      <c r="D13" s="22">
        <f>IF($B$7=0,0,D12/($B$6/$B$7))</f>
        <v/>
      </c>
      <c r="E13" s="22">
        <f>IF($B$7=0,0,E12/($B$6/$B$7))</f>
        <v/>
      </c>
      <c r="F13" s="22">
        <f>IF($B$7=0,0,F12/($B$6/$B$7))</f>
        <v/>
      </c>
      <c r="G13" s="22">
        <f>IF($B$7=0,0,G12/($B$6/$B$7))</f>
        <v/>
      </c>
      <c r="H13" s="22">
        <f>IF($B$7=0,0,H12/($B$6/$B$7))</f>
        <v/>
      </c>
      <c r="I13" s="22">
        <f>IF($B$7=0,0,I12/($B$6/$B$7))</f>
        <v/>
      </c>
      <c r="J13" s="22">
        <f>IF($B$7=0,0,J12/($B$6/$B$7))</f>
        <v/>
      </c>
      <c r="K13" s="22">
        <f>IF($B$7=0,0,K12/($B$6/$B$7))</f>
        <v/>
      </c>
      <c r="L13" s="22">
        <f>IF($B$7=0,0,L12/($B$6/$B$7))</f>
        <v/>
      </c>
      <c r="M13" s="22">
        <f>IF($B$7=0,0,M12/($B$6/$B$7))</f>
        <v/>
      </c>
    </row>
    <row r="14"/>
    <row r="15">
      <c r="A15" s="7" t="inlineStr">
        <is>
          <t>Stop criteria (set before opening)</t>
        </is>
      </c>
      <c r="B15" s="6" t="n"/>
      <c r="C15" s="6" t="n"/>
      <c r="D15" s="6" t="n"/>
      <c r="E15" s="6" t="n"/>
      <c r="F15" s="6" t="n"/>
      <c r="G15" s="6" t="n"/>
      <c r="H15" s="6" t="n"/>
      <c r="I15" s="6" t="n"/>
      <c r="J15" s="6" t="n"/>
      <c r="K15" s="6" t="n"/>
      <c r="L15" s="6" t="n"/>
      <c r="M15" s="6" t="n"/>
      <c r="N15" s="6" t="n"/>
    </row>
    <row r="16">
      <c r="A16" s="11" t="inlineStr">
        <is>
          <t>Minimum sales per agent per month by month 6</t>
        </is>
      </c>
      <c r="B16" s="16" t="n">
        <v>4</v>
      </c>
    </row>
    <row r="17">
      <c r="A17" s="11" t="inlineStr">
        <is>
          <t>Maximum gap in repayment at month 3 against established territories (points)</t>
        </is>
      </c>
      <c r="B17" s="17" t="n">
        <v>0.05</v>
      </c>
    </row>
    <row r="18">
      <c r="A18" s="11" t="inlineStr">
        <is>
          <t>Maximum fully loaded CAC multiple of mature figure by month 9</t>
        </is>
      </c>
      <c r="B18" s="24" t="n">
        <v>1.3</v>
      </c>
    </row>
  </sheetData>
  <printOptions horizontalCentered="1"/>
  <pageMargins left="0.5" right="0.5" top="0.6" bottom="0.7" header="0.5" footer="0.5"/>
  <pageSetup orientation="landscape" paperSize="9" fitToHeight="0" fitToWidth="1"/>
  <headerFooter>
    <oddHeader/>
    <oddFooter>&amp;L&amp;"Arial"&amp;8 Africa Energy Finance | Book 2 Template T04 | Version 0.9 (pre-release)&amp;C&amp;"Arial"&amp;8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Book 2 Template T04: Agent economics and fully loaded CAC</dc:title>
  <dc:subject xmlns:dc="http://purl.org/dc/elements/1.1/">Africa Energy Finance, Book 2 Templates Pack</dc:subject>
  <dcterms:created xmlns:dcterms="http://purl.org/dc/terms/" xmlns:xsi="http://www.w3.org/2001/XMLSchema-instance" xsi:type="dcterms:W3CDTF">2026-10-03T06:26:19Z</dcterms:created>
  <dcterms:modified xmlns:dcterms="http://purl.org/dc/terms/" xmlns:xsi="http://www.w3.org/2001/XMLSchema-instance" xsi:type="dcterms:W3CDTF">2026-10-03T06:26:19Z</dcterms:modified>
  <cp:lastModifiedBy>Emmanuel Boujieka Kamga</cp:lastModifiedBy>
  <cp:keywords>Africa Energy Finance; Book 2; PAYGo Solar Finance; template</cp:keywords>
</cp:coreProperties>
</file>