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Schema" sheetId="2" state="visible" r:id="rId2"/>
    <sheet xmlns:r="http://schemas.openxmlformats.org/officeDocument/2006/relationships" name="Tape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Data_Request" sheetId="5" state="visible" r:id="rId5"/>
  </sheets>
  <definedNames>
    <definedName name="_xlnm.Print_Titles" localSheetId="2">'Tape'!$6:$6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#,##0;(#,##0);0"/>
  </numFmts>
  <fonts count="11">
    <font>
      <name val="Calibri"/>
      <family val="2"/>
      <color theme="1"/>
      <sz val="11"/>
      <scheme val="minor"/>
    </font>
    <font>
      <name val="Arial"/>
      <b val="1"/>
      <color rgb="00E3C27A"/>
      <sz val="8"/>
    </font>
    <font>
      <name val="Arial"/>
      <b val="1"/>
      <color rgb="00FFFFFF"/>
      <sz val="15"/>
    </font>
    <font>
      <name val="Arial"/>
      <i val="1"/>
      <color rgb="00E8E8E8"/>
      <sz val="9"/>
    </font>
    <font>
      <name val="Arial"/>
      <color rgb="00666666"/>
      <sz val="8"/>
    </font>
    <font>
      <name val="Arial"/>
      <b val="1"/>
      <color rgb="000B3020"/>
      <sz val="11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020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bottom style="medium">
        <color rgb="00B07C0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3" borderId="2" pivotButton="0" quotePrefix="0" xfId="0"/>
    <xf numFmtId="0" fontId="6" fillId="0" borderId="0" pivotButton="0" quotePrefix="0" xfId="0"/>
    <xf numFmtId="0" fontId="6" fillId="0" borderId="2" pivotButton="0" quotePrefix="0" xfId="0"/>
    <xf numFmtId="0" fontId="9" fillId="0" borderId="0" applyAlignment="1" pivotButton="0" quotePrefix="0" xfId="0">
      <alignment vertical="top" wrapText="1"/>
    </xf>
    <xf numFmtId="0" fontId="10" fillId="2" borderId="2" applyAlignment="1" pivotButton="0" quotePrefix="0" xfId="0">
      <alignment vertical="center" wrapText="1"/>
    </xf>
    <xf numFmtId="0" fontId="7" fillId="0" borderId="2" pivotButton="0" quotePrefix="0" xfId="0"/>
    <xf numFmtId="0" fontId="6" fillId="0" borderId="2" applyAlignment="1" pivotButton="0" quotePrefix="0" xfId="0">
      <alignment vertical="top" wrapText="1"/>
    </xf>
    <xf numFmtId="165" fontId="8" fillId="3" borderId="2" pivotButton="0" quotePrefix="0" xfId="0"/>
    <xf numFmtId="166" fontId="8" fillId="3" borderId="2" pivotButton="0" quotePrefix="0" xfId="0"/>
    <xf numFmtId="166" fontId="6" fillId="0" borderId="2" pivotButton="0" quotePrefix="0" xfId="0"/>
    <xf numFmtId="166" fontId="7" fillId="0" borderId="2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10" customWidth="1" min="5" max="5"/>
    <col width="10" customWidth="1" min="6" max="6"/>
  </cols>
  <sheetData>
    <row r="1">
      <c r="A1" s="1" t="inlineStr">
        <is>
          <t>AFRICA ENERGY FINANCE  |  VOLUME 2  |  SOLAR HOME SYSTEMS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Loan tape specification and data request</t>
        </is>
      </c>
      <c r="B2" s="2" t="n"/>
      <c r="C2" s="2" t="n"/>
      <c r="D2" s="2" t="n"/>
      <c r="E2" s="2" t="n"/>
      <c r="F2" s="2" t="n"/>
    </row>
    <row r="3">
      <c r="A3" s="4" t="inlineStr">
        <is>
          <t>How to use this template</t>
        </is>
      </c>
      <c r="B3" s="2" t="n"/>
      <c r="C3" s="2" t="n"/>
      <c r="D3" s="2" t="n"/>
      <c r="E3" s="2" t="n"/>
      <c r="F3" s="2" t="n"/>
    </row>
    <row r="4">
      <c r="A4" s="5" t="inlineStr">
        <is>
          <t>Template T06  |  Version 1.0  |  Author &amp; ideation: Emmanuel Boujieka Kamga</t>
        </is>
      </c>
      <c r="B4" s="6" t="n"/>
      <c r="C4" s="6" t="n"/>
      <c r="D4" s="6" t="n"/>
      <c r="E4" s="6" t="n"/>
      <c r="F4" s="6" t="n"/>
    </row>
    <row r="5"/>
    <row r="6">
      <c r="A6" s="7" t="inlineStr">
        <is>
          <t>Purpose</t>
        </is>
      </c>
      <c r="B6" s="6" t="n"/>
      <c r="C6" s="6" t="n"/>
      <c r="D6" s="6" t="n"/>
      <c r="E6" s="6" t="n"/>
      <c r="F6" s="6" t="n"/>
    </row>
    <row r="7">
      <c r="A7" s="8" t="inlineStr">
        <is>
          <t>The account level data tape a lender, investor or rating analyst needs to rebuild a PAYGo portfolio, with field definitions, built in validation checks and the standard data request list.</t>
        </is>
      </c>
    </row>
    <row r="8"/>
    <row r="9"/>
    <row r="10"/>
    <row r="11">
      <c r="A11" s="7" t="inlineStr">
        <is>
          <t>How to use it</t>
        </is>
      </c>
      <c r="B11" s="6" t="n"/>
      <c r="C11" s="6" t="n"/>
      <c r="D11" s="6" t="n"/>
      <c r="E11" s="6" t="n"/>
      <c r="F11" s="6" t="n"/>
    </row>
    <row r="12" ht="15" customHeight="1">
      <c r="A12" s="9" t="inlineStr">
        <is>
          <t>Step 1</t>
        </is>
      </c>
      <c r="B12" s="8" t="inlineStr">
        <is>
          <t>Send the Schema and Data_Request sheets to the company at the start of diligence.</t>
        </is>
      </c>
    </row>
    <row r="13" ht="30" customHeight="1">
      <c r="A13" s="9" t="inlineStr">
        <is>
          <t>Step 2</t>
        </is>
      </c>
      <c r="B13" s="8" t="inlineStr">
        <is>
          <t>Paste the extract into the Tape sheet, one account per row, from row 7 (up to 1,000 rows; extend the formulas for larger books).</t>
        </is>
      </c>
    </row>
    <row r="14" ht="15" customHeight="1">
      <c r="A14" s="9" t="inlineStr">
        <is>
          <t>Step 3</t>
        </is>
      </c>
      <c r="B14" s="8" t="inlineStr">
        <is>
          <t>Read the Validation sheet: every check should read zero before the tape is used.</t>
        </is>
      </c>
    </row>
    <row r="15" ht="15" customHeight="1">
      <c r="A15" s="9" t="inlineStr">
        <is>
          <t>Step 4</t>
        </is>
      </c>
      <c r="B15" s="8" t="inlineStr">
        <is>
          <t>Track each data request on Data_Request until it is received and reviewed.</t>
        </is>
      </c>
    </row>
    <row r="16" ht="30" customHeight="1">
      <c r="A16" s="9" t="inlineStr">
        <is>
          <t>Step 5</t>
        </is>
      </c>
      <c r="B16" s="8" t="inlineStr">
        <is>
          <t>Aggregate the validated tape into monthly and cohort figures for Credit_Input and Vintage_Input in the model, or for Template T05.</t>
        </is>
      </c>
    </row>
    <row r="17"/>
    <row r="18">
      <c r="A18" s="7" t="inlineStr">
        <is>
          <t>Colour code</t>
        </is>
      </c>
      <c r="B18" s="6" t="n"/>
      <c r="C18" s="6" t="n"/>
      <c r="D18" s="6" t="n"/>
      <c r="E18" s="6" t="n"/>
      <c r="F18" s="6" t="n"/>
    </row>
    <row r="19">
      <c r="A19" s="10" t="inlineStr">
        <is>
          <t>Input</t>
        </is>
      </c>
      <c r="B19" s="11" t="inlineStr">
        <is>
          <t>Blue font on cream: the only cells to edit</t>
        </is>
      </c>
    </row>
    <row r="20">
      <c r="A20" s="12" t="inlineStr">
        <is>
          <t>Formula</t>
        </is>
      </c>
      <c r="B20" s="11" t="inlineStr">
        <is>
          <t>Black font: calculated, do not overwrite</t>
        </is>
      </c>
    </row>
    <row r="21"/>
    <row r="22">
      <c r="A22" s="7" t="inlineStr">
        <is>
          <t>Links to the Volume 2 model and book</t>
        </is>
      </c>
      <c r="B22" s="6" t="n"/>
      <c r="C22" s="6" t="n"/>
      <c r="D22" s="6" t="n"/>
      <c r="E22" s="6" t="n"/>
      <c r="F22" s="6" t="n"/>
    </row>
    <row r="23">
      <c r="A23" s="9" t="inlineStr">
        <is>
          <t>Book</t>
        </is>
      </c>
      <c r="B23" s="8" t="inlineStr">
        <is>
          <t>Chapter 12 (data tape), Chapter 15 (data request list)</t>
        </is>
      </c>
    </row>
    <row r="24">
      <c r="A24" s="9" t="inlineStr">
        <is>
          <t>Model</t>
        </is>
      </c>
      <c r="B24" s="8" t="inlineStr">
        <is>
          <t>Credit_Input and Vintage_Input are the aggregated form of this tape</t>
        </is>
      </c>
    </row>
    <row r="25">
      <c r="A25" s="9" t="inlineStr">
        <is>
          <t>Related templates</t>
        </is>
      </c>
      <c r="B25" s="8" t="inlineStr">
        <is>
          <t>T02 due diligence checklist; T05 lender KPI report</t>
        </is>
      </c>
    </row>
    <row r="26"/>
    <row r="27">
      <c r="A27" s="13" t="inlineStr">
        <is>
          <t>Decision support material; not investment, legal, tax or accounting advice. Example values are illustrative and refer to the fictional SolaraPay case where data are needed. (c) 2026 Emmanuel Boujieka Kamga.</t>
        </is>
      </c>
    </row>
    <row r="28"/>
  </sheetData>
  <mergeCells count="10">
    <mergeCell ref="B12:F12"/>
    <mergeCell ref="B24:F24"/>
    <mergeCell ref="B16:F16"/>
    <mergeCell ref="B15:F15"/>
    <mergeCell ref="B25:F25"/>
    <mergeCell ref="A27:F28"/>
    <mergeCell ref="A7:F9"/>
    <mergeCell ref="B23:F23"/>
    <mergeCell ref="B14:F14"/>
    <mergeCell ref="B13:F13"/>
  </mergeCells>
  <printOptions horizontalCentered="1"/>
  <pageMargins left="0.5" right="0.5" top="0.6" bottom="0.7" header="0.5" footer="0.5"/>
  <pageSetup orientation="portrait" paperSize="9" fitToHeight="0" fitToWidth="1"/>
  <headerFooter>
    <oddHeader/>
    <oddFooter>&amp;L&amp;"Arial"&amp;8 Africa Energy Finance | Volume 2 Template T06&amp;C&amp;"Arial"&amp;8 &amp;A&amp;R&amp;"Arial"&amp;8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54" customWidth="1" min="4" max="4"/>
    <col width="10" customWidth="1" min="5" max="5"/>
    <col width="34" customWidth="1" min="6" max="6"/>
  </cols>
  <sheetData>
    <row r="1">
      <c r="A1" s="1" t="inlineStr">
        <is>
          <t>AFRICA ENERGY FINANCE  |  VOLUME 2  |  SOLAR HOME SYSTEMS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Tape field specification</t>
        </is>
      </c>
      <c r="B2" s="2" t="n"/>
      <c r="C2" s="2" t="n"/>
      <c r="D2" s="2" t="n"/>
      <c r="E2" s="2" t="n"/>
      <c r="F2" s="2" t="n"/>
    </row>
    <row r="3">
      <c r="A3" s="4" t="inlineStr">
        <is>
          <t>Field, type, definition, mandatory flag and validation rule</t>
        </is>
      </c>
      <c r="B3" s="2" t="n"/>
      <c r="C3" s="2" t="n"/>
      <c r="D3" s="2" t="n"/>
      <c r="E3" s="2" t="n"/>
      <c r="F3" s="2" t="n"/>
    </row>
    <row r="4">
      <c r="A4" s="5" t="inlineStr">
        <is>
          <t>Template T06  |  Version 1.0  |  Author &amp; ideation: Emmanuel Boujieka Kamga</t>
        </is>
      </c>
      <c r="B4" s="6" t="n"/>
      <c r="C4" s="6" t="n"/>
      <c r="D4" s="6" t="n"/>
      <c r="E4" s="6" t="n"/>
      <c r="F4" s="6" t="n"/>
    </row>
    <row r="5"/>
    <row r="6" ht="30" customHeight="1">
      <c r="A6" s="14" t="inlineStr">
        <is>
          <t>No.</t>
        </is>
      </c>
      <c r="B6" s="14" t="inlineStr">
        <is>
          <t>Field</t>
        </is>
      </c>
      <c r="C6" s="14" t="inlineStr">
        <is>
          <t>Type</t>
        </is>
      </c>
      <c r="D6" s="14" t="inlineStr">
        <is>
          <t>Definition</t>
        </is>
      </c>
      <c r="E6" s="14" t="inlineStr">
        <is>
          <t>Mandatory</t>
        </is>
      </c>
      <c r="F6" s="14" t="inlineStr">
        <is>
          <t>Validation</t>
        </is>
      </c>
    </row>
    <row r="7">
      <c r="A7" s="12" t="n">
        <v>1</v>
      </c>
      <c r="B7" s="15" t="inlineStr">
        <is>
          <t>account_id</t>
        </is>
      </c>
      <c r="C7" s="12" t="inlineStr">
        <is>
          <t>Text</t>
        </is>
      </c>
      <c r="D7" s="16" t="inlineStr">
        <is>
          <t>Unique account identifier</t>
        </is>
      </c>
      <c r="E7" s="12" t="inlineStr">
        <is>
          <t>Yes</t>
        </is>
      </c>
      <c r="F7" s="16" t="inlineStr">
        <is>
          <t>Unique; not blank</t>
        </is>
      </c>
    </row>
    <row r="8">
      <c r="A8" s="12" t="n">
        <v>2</v>
      </c>
      <c r="B8" s="15" t="inlineStr">
        <is>
          <t>report_date</t>
        </is>
      </c>
      <c r="C8" s="12" t="inlineStr">
        <is>
          <t>Date</t>
        </is>
      </c>
      <c r="D8" s="16" t="inlineStr">
        <is>
          <t>Month end date of the extract</t>
        </is>
      </c>
      <c r="E8" s="12" t="inlineStr">
        <is>
          <t>Yes</t>
        </is>
      </c>
      <c r="F8" s="16" t="inlineStr">
        <is>
          <t>Same for all rows</t>
        </is>
      </c>
    </row>
    <row r="9">
      <c r="A9" s="12" t="n">
        <v>3</v>
      </c>
      <c r="B9" s="15" t="inlineStr">
        <is>
          <t>tier</t>
        </is>
      </c>
      <c r="C9" s="12" t="inlineStr">
        <is>
          <t>Integer</t>
        </is>
      </c>
      <c r="D9" s="16" t="inlineStr">
        <is>
          <t>Product tier 1 to 5 as labelled in the model</t>
        </is>
      </c>
      <c r="E9" s="12" t="inlineStr">
        <is>
          <t>Yes</t>
        </is>
      </c>
      <c r="F9" s="16" t="inlineStr">
        <is>
          <t>1 to 5</t>
        </is>
      </c>
    </row>
    <row r="10">
      <c r="A10" s="12" t="n">
        <v>4</v>
      </c>
      <c r="B10" s="15" t="inlineStr">
        <is>
          <t>product_name</t>
        </is>
      </c>
      <c r="C10" s="12" t="inlineStr">
        <is>
          <t>Text</t>
        </is>
      </c>
      <c r="D10" s="16" t="inlineStr">
        <is>
          <t>Commercial product name</t>
        </is>
      </c>
      <c r="E10" s="12" t="inlineStr">
        <is>
          <t>Yes</t>
        </is>
      </c>
      <c r="F10" s="16" t="inlineStr"/>
    </row>
    <row r="11">
      <c r="A11" s="12" t="n">
        <v>5</v>
      </c>
      <c r="B11" s="15" t="inlineStr">
        <is>
          <t>origination_date</t>
        </is>
      </c>
      <c r="C11" s="12" t="inlineStr">
        <is>
          <t>Date</t>
        </is>
      </c>
      <c r="D11" s="16" t="inlineStr">
        <is>
          <t>Date of activation after deposit</t>
        </is>
      </c>
      <c r="E11" s="12" t="inlineStr">
        <is>
          <t>Yes</t>
        </is>
      </c>
      <c r="F11" s="16" t="inlineStr">
        <is>
          <t>Not after report date</t>
        </is>
      </c>
    </row>
    <row r="12">
      <c r="A12" s="12" t="n">
        <v>6</v>
      </c>
      <c r="B12" s="15" t="inlineStr">
        <is>
          <t>region</t>
        </is>
      </c>
      <c r="C12" s="12" t="inlineStr">
        <is>
          <t>Text</t>
        </is>
      </c>
      <c r="D12" s="16" t="inlineStr">
        <is>
          <t>Sales region</t>
        </is>
      </c>
      <c r="E12" s="12" t="inlineStr">
        <is>
          <t>Yes</t>
        </is>
      </c>
      <c r="F12" s="16" t="inlineStr"/>
    </row>
    <row r="13">
      <c r="A13" s="12" t="n">
        <v>7</v>
      </c>
      <c r="B13" s="15" t="inlineStr">
        <is>
          <t>agent_id</t>
        </is>
      </c>
      <c r="C13" s="12" t="inlineStr">
        <is>
          <t>Text</t>
        </is>
      </c>
      <c r="D13" s="16" t="inlineStr">
        <is>
          <t>Originating agent</t>
        </is>
      </c>
      <c r="E13" s="12" t="inlineStr">
        <is>
          <t>Yes</t>
        </is>
      </c>
      <c r="F13" s="16" t="inlineStr">
        <is>
          <t>Links to agent register (T04)</t>
        </is>
      </c>
    </row>
    <row r="14">
      <c r="A14" s="12" t="n">
        <v>8</v>
      </c>
      <c r="B14" s="15" t="inlineStr">
        <is>
          <t>channel</t>
        </is>
      </c>
      <c r="C14" s="12" t="inlineStr">
        <is>
          <t>List</t>
        </is>
      </c>
      <c r="D14" s="16" t="inlineStr">
        <is>
          <t>Direct agent, retail partner, other</t>
        </is>
      </c>
      <c r="E14" s="12" t="inlineStr">
        <is>
          <t>Yes</t>
        </is>
      </c>
      <c r="F14" s="16" t="inlineStr">
        <is>
          <t>From list</t>
        </is>
      </c>
    </row>
    <row r="15">
      <c r="A15" s="12" t="n">
        <v>9</v>
      </c>
      <c r="B15" s="15" t="inlineStr">
        <is>
          <t>cash_price</t>
        </is>
      </c>
      <c r="C15" s="12" t="inlineStr">
        <is>
          <t>Number</t>
        </is>
      </c>
      <c r="D15" s="16" t="inlineStr">
        <is>
          <t>Cash selling price, local currency</t>
        </is>
      </c>
      <c r="E15" s="12" t="inlineStr">
        <is>
          <t>Yes</t>
        </is>
      </c>
      <c r="F15" s="16" t="inlineStr">
        <is>
          <t>Greater than zero</t>
        </is>
      </c>
    </row>
    <row r="16">
      <c r="A16" s="12" t="n">
        <v>10</v>
      </c>
      <c r="B16" s="15" t="inlineStr">
        <is>
          <t>deposit</t>
        </is>
      </c>
      <c r="C16" s="12" t="inlineStr">
        <is>
          <t>Number</t>
        </is>
      </c>
      <c r="D16" s="16" t="inlineStr">
        <is>
          <t>Deposit paid at activation</t>
        </is>
      </c>
      <c r="E16" s="12" t="inlineStr">
        <is>
          <t>Yes</t>
        </is>
      </c>
      <c r="F16" s="16" t="inlineStr">
        <is>
          <t>Not above cash price</t>
        </is>
      </c>
    </row>
    <row r="17">
      <c r="A17" s="12" t="n">
        <v>11</v>
      </c>
      <c r="B17" s="15" t="inlineStr">
        <is>
          <t>daily_rate</t>
        </is>
      </c>
      <c r="C17" s="12" t="inlineStr">
        <is>
          <t>Number</t>
        </is>
      </c>
      <c r="D17" s="16" t="inlineStr">
        <is>
          <t>Price of one day of service</t>
        </is>
      </c>
      <c r="E17" s="12" t="inlineStr">
        <is>
          <t>Yes</t>
        </is>
      </c>
      <c r="F17" s="16" t="inlineStr">
        <is>
          <t>Greater than zero</t>
        </is>
      </c>
    </row>
    <row r="18">
      <c r="A18" s="12" t="n">
        <v>12</v>
      </c>
      <c r="B18" s="15" t="inlineStr">
        <is>
          <t>tenor_months</t>
        </is>
      </c>
      <c r="C18" s="12" t="inlineStr">
        <is>
          <t>Integer</t>
        </is>
      </c>
      <c r="D18" s="16" t="inlineStr">
        <is>
          <t>Contractual tenor in months</t>
        </is>
      </c>
      <c r="E18" s="12" t="inlineStr">
        <is>
          <t>Yes</t>
        </is>
      </c>
      <c r="F18" s="16" t="inlineStr">
        <is>
          <t>Greater than zero</t>
        </is>
      </c>
    </row>
    <row r="19">
      <c r="A19" s="12" t="n">
        <v>13</v>
      </c>
      <c r="B19" s="15" t="inlineStr">
        <is>
          <t>scheduled_instalments</t>
        </is>
      </c>
      <c r="C19" s="12" t="inlineStr">
        <is>
          <t>Number</t>
        </is>
      </c>
      <c r="D19" s="16" t="inlineStr">
        <is>
          <t>Daily rate × 365 ÷ 12 × tenor (calculated)</t>
        </is>
      </c>
      <c r="E19" s="12" t="inlineStr">
        <is>
          <t>Calc</t>
        </is>
      </c>
      <c r="F19" s="16" t="inlineStr"/>
    </row>
    <row r="20">
      <c r="A20" s="12" t="n">
        <v>14</v>
      </c>
      <c r="B20" s="15" t="inlineStr">
        <is>
          <t>cumulative_paid_excl_deposit</t>
        </is>
      </c>
      <c r="C20" s="12" t="inlineStr">
        <is>
          <t>Number</t>
        </is>
      </c>
      <c r="D20" s="16" t="inlineStr">
        <is>
          <t>Instalments paid to date, deposit excluded</t>
        </is>
      </c>
      <c r="E20" s="12" t="inlineStr">
        <is>
          <t>Yes</t>
        </is>
      </c>
      <c r="F20" s="16" t="inlineStr">
        <is>
          <t>Not above scheduled instalments</t>
        </is>
      </c>
    </row>
    <row r="21">
      <c r="A21" s="12" t="n">
        <v>15</v>
      </c>
      <c r="B21" s="15" t="inlineStr">
        <is>
          <t>instalments_due_to_date</t>
        </is>
      </c>
      <c r="C21" s="12" t="inlineStr">
        <is>
          <t>Number</t>
        </is>
      </c>
      <c r="D21" s="16" t="inlineStr">
        <is>
          <t>Instalments fallen due to date, deposit excluded</t>
        </is>
      </c>
      <c r="E21" s="12" t="inlineStr">
        <is>
          <t>Yes</t>
        </is>
      </c>
      <c r="F21" s="16" t="inlineStr"/>
    </row>
    <row r="22">
      <c r="A22" s="12" t="n">
        <v>16</v>
      </c>
      <c r="B22" s="15" t="inlineStr">
        <is>
          <t>days_past_due</t>
        </is>
      </c>
      <c r="C22" s="12" t="inlineStr">
        <is>
          <t>Integer</t>
        </is>
      </c>
      <c r="D22" s="16" t="inlineStr">
        <is>
          <t>Schedule shortfall expressed in days of the daily rate</t>
        </is>
      </c>
      <c r="E22" s="12" t="inlineStr">
        <is>
          <t>Yes</t>
        </is>
      </c>
      <c r="F22" s="16" t="inlineStr">
        <is>
          <t>Zero or more</t>
        </is>
      </c>
    </row>
    <row r="23">
      <c r="A23" s="12" t="n">
        <v>17</v>
      </c>
      <c r="B23" s="15" t="inlineStr">
        <is>
          <t>days_without_credit</t>
        </is>
      </c>
      <c r="C23" s="12" t="inlineStr">
        <is>
          <t>Integer</t>
        </is>
      </c>
      <c r="D23" s="16" t="inlineStr">
        <is>
          <t>Consecutive days the device has been locked</t>
        </is>
      </c>
      <c r="E23" s="12" t="inlineStr">
        <is>
          <t>No</t>
        </is>
      </c>
      <c r="F23" s="16" t="inlineStr">
        <is>
          <t>Zero or more</t>
        </is>
      </c>
    </row>
    <row r="24">
      <c r="A24" s="12" t="n">
        <v>18</v>
      </c>
      <c r="B24" s="15" t="inlineStr">
        <is>
          <t>status</t>
        </is>
      </c>
      <c r="C24" s="12" t="inlineStr">
        <is>
          <t>List</t>
        </is>
      </c>
      <c r="D24" s="16" t="inlineStr">
        <is>
          <t>Active, Paid off, Defaulted, Repossessed, Written off, Restructured</t>
        </is>
      </c>
      <c r="E24" s="12" t="inlineStr">
        <is>
          <t>Yes</t>
        </is>
      </c>
      <c r="F24" s="16" t="inlineStr">
        <is>
          <t>From list</t>
        </is>
      </c>
    </row>
    <row r="25">
      <c r="A25" s="12" t="n">
        <v>19</v>
      </c>
      <c r="B25" s="15" t="inlineStr">
        <is>
          <t>restructure_date</t>
        </is>
      </c>
      <c r="C25" s="12" t="inlineStr">
        <is>
          <t>Date</t>
        </is>
      </c>
      <c r="D25" s="16" t="inlineStr">
        <is>
          <t>Date of the last restructuring, if any</t>
        </is>
      </c>
      <c r="E25" s="12" t="inlineStr">
        <is>
          <t>No</t>
        </is>
      </c>
      <c r="F25" s="16" t="inlineStr"/>
    </row>
    <row r="26">
      <c r="A26" s="12" t="n">
        <v>20</v>
      </c>
      <c r="B26" s="15" t="inlineStr">
        <is>
          <t>write_off_amount</t>
        </is>
      </c>
      <c r="C26" s="12" t="inlineStr">
        <is>
          <t>Number</t>
        </is>
      </c>
      <c r="D26" s="16" t="inlineStr">
        <is>
          <t>Amount written off</t>
        </is>
      </c>
      <c r="E26" s="12" t="inlineStr">
        <is>
          <t>No</t>
        </is>
      </c>
      <c r="F26" s="16" t="inlineStr"/>
    </row>
    <row r="27">
      <c r="A27" s="12" t="n">
        <v>21</v>
      </c>
      <c r="B27" s="15" t="inlineStr">
        <is>
          <t>write_off_date</t>
        </is>
      </c>
      <c r="C27" s="12" t="inlineStr">
        <is>
          <t>Date</t>
        </is>
      </c>
      <c r="D27" s="16" t="inlineStr">
        <is>
          <t>Date of write off</t>
        </is>
      </c>
      <c r="E27" s="12" t="inlineStr">
        <is>
          <t>No</t>
        </is>
      </c>
      <c r="F27" s="16" t="inlineStr"/>
    </row>
    <row r="28">
      <c r="A28" s="12" t="n">
        <v>22</v>
      </c>
      <c r="B28" s="15" t="inlineStr">
        <is>
          <t>repossession_date</t>
        </is>
      </c>
      <c r="C28" s="12" t="inlineStr">
        <is>
          <t>Date</t>
        </is>
      </c>
      <c r="D28" s="16" t="inlineStr">
        <is>
          <t>Date the device was recovered</t>
        </is>
      </c>
      <c r="E28" s="12" t="inlineStr">
        <is>
          <t>No</t>
        </is>
      </c>
      <c r="F28" s="16" t="inlineStr"/>
    </row>
    <row r="29">
      <c r="A29" s="12" t="n">
        <v>23</v>
      </c>
      <c r="B29" s="15" t="inlineStr">
        <is>
          <t>resale_proceeds</t>
        </is>
      </c>
      <c r="C29" s="12" t="inlineStr">
        <is>
          <t>Number</t>
        </is>
      </c>
      <c r="D29" s="16" t="inlineStr">
        <is>
          <t>Gross proceeds from resale of the recovered device</t>
        </is>
      </c>
      <c r="E29" s="12" t="inlineStr">
        <is>
          <t>No</t>
        </is>
      </c>
      <c r="F29" s="16" t="inlineStr"/>
    </row>
    <row r="30">
      <c r="A30" s="12" t="n">
        <v>24</v>
      </c>
      <c r="B30" s="15" t="inlineStr">
        <is>
          <t>recovery_cost</t>
        </is>
      </c>
      <c r="C30" s="12" t="inlineStr">
        <is>
          <t>Number</t>
        </is>
      </c>
      <c r="D30" s="16" t="inlineStr">
        <is>
          <t>Cost of recovery, refurbishment and resale</t>
        </is>
      </c>
      <c r="E30" s="12" t="inlineStr">
        <is>
          <t>No</t>
        </is>
      </c>
      <c r="F30" s="16" t="inlineStr"/>
    </row>
    <row r="31">
      <c r="A31" s="12" t="n">
        <v>25</v>
      </c>
      <c r="B31" s="15" t="inlineStr">
        <is>
          <t>unlock_date</t>
        </is>
      </c>
      <c r="C31" s="12" t="inlineStr">
        <is>
          <t>Date</t>
        </is>
      </c>
      <c r="D31" s="16" t="inlineStr">
        <is>
          <t>Date of permanent unlock</t>
        </is>
      </c>
      <c r="E31" s="12" t="inlineStr">
        <is>
          <t>No</t>
        </is>
      </c>
      <c r="F31" s="16" t="inlineStr"/>
    </row>
    <row r="32">
      <c r="A32" s="12" t="n">
        <v>26</v>
      </c>
      <c r="B32" s="15" t="inlineStr">
        <is>
          <t>unlock_type</t>
        </is>
      </c>
      <c r="C32" s="12" t="inlineStr">
        <is>
          <t>List</t>
        </is>
      </c>
      <c r="D32" s="16" t="inlineStr">
        <is>
          <t>Full payment, Settlement, Warranty swap, Goodwill, Other</t>
        </is>
      </c>
      <c r="E32" s="12" t="inlineStr">
        <is>
          <t>No</t>
        </is>
      </c>
      <c r="F32" s="16" t="inlineStr">
        <is>
          <t>Full payment requires paid = scheduled</t>
        </is>
      </c>
    </row>
    <row r="33">
      <c r="A33" s="12" t="n">
        <v>27</v>
      </c>
      <c r="B33" s="15" t="inlineStr">
        <is>
          <t>customer_verified</t>
        </is>
      </c>
      <c r="C33" s="12" t="inlineStr">
        <is>
          <t>List</t>
        </is>
      </c>
      <c r="D33" s="16" t="inlineStr">
        <is>
          <t>Yes or No: verification call or visit completed</t>
        </is>
      </c>
      <c r="E33" s="12" t="inlineStr">
        <is>
          <t>Yes</t>
        </is>
      </c>
      <c r="F33" s="16" t="inlineStr">
        <is>
          <t>From list</t>
        </is>
      </c>
    </row>
  </sheetData>
  <printOptions horizontalCentered="1"/>
  <pageMargins left="0.5" right="0.5" top="0.6" bottom="0.7" header="0.5" footer="0.5"/>
  <pageSetup orientation="portrait" paperSize="9" fitToHeight="0" fitToWidth="1"/>
  <headerFooter>
    <oddHeader/>
    <oddFooter>&amp;L&amp;"Arial"&amp;8 Africa Energy Finance | Volume 2 Template T06&amp;C&amp;"Arial"&amp;8 &amp;A&amp;R&amp;"Arial"&amp;8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K10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" t="inlineStr">
        <is>
          <t>AFRICA ENERGY FINANCE  |  VOLUME 2  |  SOLAR HOME SYSTEMS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</row>
    <row r="2" ht="22" customHeight="1">
      <c r="A2" s="3" t="inlineStr">
        <is>
          <t>Loan tape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4" t="inlineStr">
        <is>
          <t>One row per account; three illustrative rows to be replaced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5" t="inlineStr">
        <is>
          <t>Template T06  |  Version 1.0  |  Author &amp; ideation: Emmanuel Boujieka Kamga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</row>
    <row r="5"/>
    <row r="6" ht="32" customHeight="1">
      <c r="A6" s="14" t="inlineStr">
        <is>
          <t>account_id</t>
        </is>
      </c>
      <c r="B6" s="14" t="inlineStr">
        <is>
          <t>report_date</t>
        </is>
      </c>
      <c r="C6" s="14" t="inlineStr">
        <is>
          <t>tier</t>
        </is>
      </c>
      <c r="D6" s="14" t="inlineStr">
        <is>
          <t>product_name</t>
        </is>
      </c>
      <c r="E6" s="14" t="inlineStr">
        <is>
          <t>origination_date</t>
        </is>
      </c>
      <c r="F6" s="14" t="inlineStr">
        <is>
          <t>region</t>
        </is>
      </c>
      <c r="G6" s="14" t="inlineStr">
        <is>
          <t>agent_id</t>
        </is>
      </c>
      <c r="H6" s="14" t="inlineStr">
        <is>
          <t>channel</t>
        </is>
      </c>
      <c r="I6" s="14" t="inlineStr">
        <is>
          <t>cash_price</t>
        </is>
      </c>
      <c r="J6" s="14" t="inlineStr">
        <is>
          <t>deposit</t>
        </is>
      </c>
      <c r="K6" s="14" t="inlineStr">
        <is>
          <t>daily_rate</t>
        </is>
      </c>
      <c r="L6" s="14" t="inlineStr">
        <is>
          <t>tenor_months</t>
        </is>
      </c>
      <c r="M6" s="14" t="inlineStr">
        <is>
          <t>scheduled_instalments</t>
        </is>
      </c>
      <c r="N6" s="14" t="inlineStr">
        <is>
          <t>cumulative_paid_excl_deposit</t>
        </is>
      </c>
      <c r="O6" s="14" t="inlineStr">
        <is>
          <t>instalments_due_to_date</t>
        </is>
      </c>
      <c r="P6" s="14" t="inlineStr">
        <is>
          <t>days_past_due</t>
        </is>
      </c>
      <c r="Q6" s="14" t="inlineStr">
        <is>
          <t>days_without_credit</t>
        </is>
      </c>
      <c r="R6" s="14" t="inlineStr">
        <is>
          <t>status</t>
        </is>
      </c>
      <c r="S6" s="14" t="inlineStr">
        <is>
          <t>restructure_date</t>
        </is>
      </c>
      <c r="T6" s="14" t="inlineStr">
        <is>
          <t>write_off_amount</t>
        </is>
      </c>
      <c r="U6" s="14" t="inlineStr">
        <is>
          <t>write_off_date</t>
        </is>
      </c>
      <c r="V6" s="14" t="inlineStr">
        <is>
          <t>repossession_date</t>
        </is>
      </c>
      <c r="W6" s="14" t="inlineStr">
        <is>
          <t>resale_proceeds</t>
        </is>
      </c>
      <c r="X6" s="14" t="inlineStr">
        <is>
          <t>recovery_cost</t>
        </is>
      </c>
      <c r="Y6" s="14" t="inlineStr">
        <is>
          <t>unlock_date</t>
        </is>
      </c>
      <c r="Z6" s="14" t="inlineStr">
        <is>
          <t>unlock_type</t>
        </is>
      </c>
      <c r="AA6" s="14" t="inlineStr">
        <is>
          <t>customer_verified</t>
        </is>
      </c>
      <c r="AB6" s="14" t="inlineStr">
        <is>
          <t>chk_present</t>
        </is>
      </c>
      <c r="AC6" s="14" t="inlineStr">
        <is>
          <t>chk_missing</t>
        </is>
      </c>
      <c r="AD6" s="14" t="inlineStr">
        <is>
          <t>chk_tier</t>
        </is>
      </c>
      <c r="AE6" s="14" t="inlineStr">
        <is>
          <t>chk_status</t>
        </is>
      </c>
      <c r="AF6" s="14" t="inlineStr">
        <is>
          <t>chk_deposit</t>
        </is>
      </c>
      <c r="AG6" s="14" t="inlineStr">
        <is>
          <t>chk_paid</t>
        </is>
      </c>
      <c r="AH6" s="14" t="inlineStr">
        <is>
          <t>chk_origination</t>
        </is>
      </c>
      <c r="AI6" s="14" t="inlineStr">
        <is>
          <t>chk_unlock</t>
        </is>
      </c>
      <c r="AJ6" s="14" t="inlineStr">
        <is>
          <t>chk_dpd</t>
        </is>
      </c>
      <c r="AK6" s="14" t="inlineStr">
        <is>
          <t>chk_duplicate</t>
        </is>
      </c>
    </row>
    <row r="7">
      <c r="A7" s="10" t="inlineStr">
        <is>
          <t>SP000001</t>
        </is>
      </c>
      <c r="B7" s="17" t="n">
        <v>46022</v>
      </c>
      <c r="C7" s="18" t="n">
        <v>2</v>
      </c>
      <c r="D7" s="10" t="inlineStr">
        <is>
          <t>SHS with TV</t>
        </is>
      </c>
      <c r="E7" s="17" t="n">
        <v>45549</v>
      </c>
      <c r="F7" s="10" t="inlineStr">
        <is>
          <t>North</t>
        </is>
      </c>
      <c r="G7" s="10" t="inlineStr">
        <is>
          <t>AG007</t>
        </is>
      </c>
      <c r="H7" s="10" t="inlineStr">
        <is>
          <t>Direct agent</t>
        </is>
      </c>
      <c r="I7" s="18" t="n">
        <v>39000</v>
      </c>
      <c r="J7" s="18" t="n">
        <v>4000</v>
      </c>
      <c r="K7" s="18" t="n">
        <v>77</v>
      </c>
      <c r="L7" s="18" t="n">
        <v>24</v>
      </c>
      <c r="M7" s="19">
        <f>IF(K7="","",K7*365/12*L7)</f>
        <v/>
      </c>
      <c r="N7" s="18" t="n">
        <v>29500</v>
      </c>
      <c r="O7" s="18" t="n">
        <v>35130</v>
      </c>
      <c r="P7" s="18" t="n">
        <v>73</v>
      </c>
      <c r="Q7" s="18" t="n">
        <v>12</v>
      </c>
      <c r="R7" s="10" t="inlineStr">
        <is>
          <t>Active</t>
        </is>
      </c>
      <c r="S7" s="17" t="n"/>
      <c r="T7" s="18" t="n"/>
      <c r="U7" s="17" t="n"/>
      <c r="V7" s="17" t="n"/>
      <c r="W7" s="18" t="n"/>
      <c r="X7" s="18" t="n"/>
      <c r="Y7" s="17" t="n"/>
      <c r="Z7" s="10" t="n"/>
      <c r="AA7" s="10" t="inlineStr">
        <is>
          <t>Yes</t>
        </is>
      </c>
      <c r="AB7" s="19">
        <f>IF(LEN(A7)&gt;0,1,0)</f>
        <v/>
      </c>
      <c r="AC7" s="19">
        <f>IF(LEN(A7)=0,0,(LEN(B7)=0)+(LEN(C7)=0)+(LEN(D7)=0)+(LEN(E7)=0)+(LEN(F7)=0)+(LEN(G7)=0)+(LEN(H7)=0)+(LEN(I7)=0)+(LEN(J7)=0)+(LEN(K7)=0)+(LEN(L7)=0)+(LEN(N7)=0)+(LEN(O7)=0)+(LEN(P7)=0)+(LEN(R7)=0)+(LEN(AA7)=0))</f>
        <v/>
      </c>
      <c r="AD7" s="19">
        <f>IF(OR(LEN(A7)=0,LEN(C7)=0),0,IF(OR(C7&lt;1,C7&gt;5),1,0))</f>
        <v/>
      </c>
      <c r="AE7" s="19">
        <f>IF(OR(LEN(A7)=0,LEN(R7)=0),0,IF(OR(R7="Active",R7="Paid off",R7="Defaulted",R7="Repossessed",R7="Written off",R7="Restructured"),0,1))</f>
        <v/>
      </c>
      <c r="AF7" s="19">
        <f>IF(A7="",0,IF(N(J7)&gt;N(I7),1,0))</f>
        <v/>
      </c>
      <c r="AG7" s="19">
        <f>IF(A7="",0,IF(N(N7)&gt;N(M7)+1,1,0))</f>
        <v/>
      </c>
      <c r="AH7" s="19">
        <f>IF(A7="",0,IF(N(E7)&gt;N(B7),1,0))</f>
        <v/>
      </c>
      <c r="AI7" s="19">
        <f>IF(A7="",0,IF(AND(Z7="Full payment",N(N7)&lt;N(M7)-1),1,0))</f>
        <v/>
      </c>
      <c r="AJ7" s="19">
        <f>IF(A7="",0,IF(N(P7)&lt;0,1,0))</f>
        <v/>
      </c>
      <c r="AK7" s="19">
        <f>IF(A7="",0,IF(COUNTIF($A$7:$A$1006,A7)&gt;1,1,0))</f>
        <v/>
      </c>
    </row>
    <row r="8">
      <c r="A8" s="10" t="inlineStr">
        <is>
          <t>SP000002</t>
        </is>
      </c>
      <c r="B8" s="17" t="n">
        <v>46022</v>
      </c>
      <c r="C8" s="18" t="n">
        <v>1</v>
      </c>
      <c r="D8" s="10" t="inlineStr">
        <is>
          <t>Pico solar kit</t>
        </is>
      </c>
      <c r="E8" s="17" t="n">
        <v>45325</v>
      </c>
      <c r="F8" s="10" t="inlineStr">
        <is>
          <t>South</t>
        </is>
      </c>
      <c r="G8" s="10" t="inlineStr">
        <is>
          <t>AG012</t>
        </is>
      </c>
      <c r="H8" s="10" t="inlineStr">
        <is>
          <t>Retail partner</t>
        </is>
      </c>
      <c r="I8" s="18" t="n">
        <v>6500</v>
      </c>
      <c r="J8" s="18" t="n">
        <v>1000</v>
      </c>
      <c r="K8" s="18" t="n">
        <v>25</v>
      </c>
      <c r="L8" s="18" t="n">
        <v>12</v>
      </c>
      <c r="M8" s="19">
        <f>IF(K8="","",K8*365/12*L8)</f>
        <v/>
      </c>
      <c r="N8" s="18" t="n">
        <v>9125</v>
      </c>
      <c r="O8" s="18" t="n">
        <v>9125</v>
      </c>
      <c r="P8" s="18" t="n">
        <v>0</v>
      </c>
      <c r="Q8" s="18" t="n">
        <v>0</v>
      </c>
      <c r="R8" s="10" t="inlineStr">
        <is>
          <t>Paid off</t>
        </is>
      </c>
      <c r="S8" s="17" t="n"/>
      <c r="T8" s="18" t="n"/>
      <c r="U8" s="17" t="n"/>
      <c r="V8" s="17" t="n"/>
      <c r="W8" s="18" t="n"/>
      <c r="X8" s="18" t="n"/>
      <c r="Y8" s="17" t="n">
        <v>45698</v>
      </c>
      <c r="Z8" s="10" t="inlineStr">
        <is>
          <t>Full payment</t>
        </is>
      </c>
      <c r="AA8" s="10" t="inlineStr">
        <is>
          <t>Yes</t>
        </is>
      </c>
      <c r="AB8" s="19">
        <f>IF(LEN(A8)&gt;0,1,0)</f>
        <v/>
      </c>
      <c r="AC8" s="19">
        <f>IF(LEN(A8)=0,0,(LEN(B8)=0)+(LEN(C8)=0)+(LEN(D8)=0)+(LEN(E8)=0)+(LEN(F8)=0)+(LEN(G8)=0)+(LEN(H8)=0)+(LEN(I8)=0)+(LEN(J8)=0)+(LEN(K8)=0)+(LEN(L8)=0)+(LEN(N8)=0)+(LEN(O8)=0)+(LEN(P8)=0)+(LEN(R8)=0)+(LEN(AA8)=0))</f>
        <v/>
      </c>
      <c r="AD8" s="19">
        <f>IF(OR(LEN(A8)=0,LEN(C8)=0),0,IF(OR(C8&lt;1,C8&gt;5),1,0))</f>
        <v/>
      </c>
      <c r="AE8" s="19">
        <f>IF(OR(LEN(A8)=0,LEN(R8)=0),0,IF(OR(R8="Active",R8="Paid off",R8="Defaulted",R8="Repossessed",R8="Written off",R8="Restructured"),0,1))</f>
        <v/>
      </c>
      <c r="AF8" s="19">
        <f>IF(A8="",0,IF(N(J8)&gt;N(I8),1,0))</f>
        <v/>
      </c>
      <c r="AG8" s="19">
        <f>IF(A8="",0,IF(N(N8)&gt;N(M8)+1,1,0))</f>
        <v/>
      </c>
      <c r="AH8" s="19">
        <f>IF(A8="",0,IF(N(E8)&gt;N(B8),1,0))</f>
        <v/>
      </c>
      <c r="AI8" s="19">
        <f>IF(A8="",0,IF(AND(Z8="Full payment",N(N8)&lt;N(M8)-1),1,0))</f>
        <v/>
      </c>
      <c r="AJ8" s="19">
        <f>IF(A8="",0,IF(N(P8)&lt;0,1,0))</f>
        <v/>
      </c>
      <c r="AK8" s="19">
        <f>IF(A8="",0,IF(COUNTIF($A$7:$A$1006,A8)&gt;1,1,0))</f>
        <v/>
      </c>
    </row>
    <row r="9">
      <c r="A9" s="10" t="inlineStr">
        <is>
          <t>SP000003</t>
        </is>
      </c>
      <c r="B9" s="17" t="n">
        <v>46022</v>
      </c>
      <c r="C9" s="18" t="n">
        <v>3</v>
      </c>
      <c r="D9" s="10" t="inlineStr">
        <is>
          <t>Large SHS with DC fridge</t>
        </is>
      </c>
      <c r="E9" s="17" t="n">
        <v>45432</v>
      </c>
      <c r="F9" s="10" t="inlineStr">
        <is>
          <t>East</t>
        </is>
      </c>
      <c r="G9" s="10" t="inlineStr">
        <is>
          <t>AG021</t>
        </is>
      </c>
      <c r="H9" s="10" t="inlineStr">
        <is>
          <t>Direct agent</t>
        </is>
      </c>
      <c r="I9" s="18" t="n">
        <v>117000</v>
      </c>
      <c r="J9" s="18" t="n">
        <v>17550</v>
      </c>
      <c r="K9" s="18" t="n">
        <v>173</v>
      </c>
      <c r="L9" s="18" t="n">
        <v>30</v>
      </c>
      <c r="M9" s="19">
        <f>IF(K9="","",K9*365/12*L9)</f>
        <v/>
      </c>
      <c r="N9" s="18" t="n">
        <v>21000</v>
      </c>
      <c r="O9" s="18" t="n">
        <v>99980</v>
      </c>
      <c r="P9" s="18" t="n">
        <v>456</v>
      </c>
      <c r="Q9" s="18" t="n">
        <v>380</v>
      </c>
      <c r="R9" s="10" t="inlineStr">
        <is>
          <t>Written off</t>
        </is>
      </c>
      <c r="S9" s="17" t="n"/>
      <c r="T9" s="18" t="n">
        <v>136862</v>
      </c>
      <c r="U9" s="17" t="n">
        <v>45838</v>
      </c>
      <c r="V9" s="17" t="n">
        <v>45871</v>
      </c>
      <c r="W9" s="18" t="n">
        <v>18000</v>
      </c>
      <c r="X9" s="18" t="n">
        <v>2700</v>
      </c>
      <c r="Y9" s="17" t="n"/>
      <c r="Z9" s="10" t="n"/>
      <c r="AA9" s="10" t="inlineStr">
        <is>
          <t>Yes</t>
        </is>
      </c>
      <c r="AB9" s="19">
        <f>IF(LEN(A9)&gt;0,1,0)</f>
        <v/>
      </c>
      <c r="AC9" s="19">
        <f>IF(LEN(A9)=0,0,(LEN(B9)=0)+(LEN(C9)=0)+(LEN(D9)=0)+(LEN(E9)=0)+(LEN(F9)=0)+(LEN(G9)=0)+(LEN(H9)=0)+(LEN(I9)=0)+(LEN(J9)=0)+(LEN(K9)=0)+(LEN(L9)=0)+(LEN(N9)=0)+(LEN(O9)=0)+(LEN(P9)=0)+(LEN(R9)=0)+(LEN(AA9)=0))</f>
        <v/>
      </c>
      <c r="AD9" s="19">
        <f>IF(OR(LEN(A9)=0,LEN(C9)=0),0,IF(OR(C9&lt;1,C9&gt;5),1,0))</f>
        <v/>
      </c>
      <c r="AE9" s="19">
        <f>IF(OR(LEN(A9)=0,LEN(R9)=0),0,IF(OR(R9="Active",R9="Paid off",R9="Defaulted",R9="Repossessed",R9="Written off",R9="Restructured"),0,1))</f>
        <v/>
      </c>
      <c r="AF9" s="19">
        <f>IF(A9="",0,IF(N(J9)&gt;N(I9),1,0))</f>
        <v/>
      </c>
      <c r="AG9" s="19">
        <f>IF(A9="",0,IF(N(N9)&gt;N(M9)+1,1,0))</f>
        <v/>
      </c>
      <c r="AH9" s="19">
        <f>IF(A9="",0,IF(N(E9)&gt;N(B9),1,0))</f>
        <v/>
      </c>
      <c r="AI9" s="19">
        <f>IF(A9="",0,IF(AND(Z9="Full payment",N(N9)&lt;N(M9)-1),1,0))</f>
        <v/>
      </c>
      <c r="AJ9" s="19">
        <f>IF(A9="",0,IF(N(P9)&lt;0,1,0))</f>
        <v/>
      </c>
      <c r="AK9" s="19">
        <f>IF(A9="",0,IF(COUNTIF($A$7:$A$1006,A9)&gt;1,1,0))</f>
        <v/>
      </c>
    </row>
    <row r="10">
      <c r="A10" s="10" t="n"/>
      <c r="B10" s="17" t="n"/>
      <c r="C10" s="18" t="n"/>
      <c r="D10" s="10" t="n"/>
      <c r="E10" s="17" t="n"/>
      <c r="F10" s="10" t="n"/>
      <c r="G10" s="10" t="n"/>
      <c r="H10" s="10" t="n"/>
      <c r="I10" s="18" t="n"/>
      <c r="J10" s="18" t="n"/>
      <c r="K10" s="18" t="n"/>
      <c r="L10" s="18" t="n"/>
      <c r="M10" s="19">
        <f>IF(K10="","",K10*365/12*L10)</f>
        <v/>
      </c>
      <c r="N10" s="18" t="n"/>
      <c r="O10" s="18" t="n"/>
      <c r="P10" s="18" t="n"/>
      <c r="Q10" s="18" t="n"/>
      <c r="R10" s="10" t="n"/>
      <c r="S10" s="17" t="n"/>
      <c r="T10" s="18" t="n"/>
      <c r="U10" s="17" t="n"/>
      <c r="V10" s="17" t="n"/>
      <c r="W10" s="18" t="n"/>
      <c r="X10" s="18" t="n"/>
      <c r="Y10" s="17" t="n"/>
      <c r="Z10" s="10" t="n"/>
      <c r="AA10" s="10" t="n"/>
      <c r="AB10" s="19">
        <f>IF(LEN(A10)&gt;0,1,0)</f>
        <v/>
      </c>
      <c r="AC10" s="19">
        <f>IF(LEN(A10)=0,0,(LEN(B10)=0)+(LEN(C10)=0)+(LEN(D10)=0)+(LEN(E10)=0)+(LEN(F10)=0)+(LEN(G10)=0)+(LEN(H10)=0)+(LEN(I10)=0)+(LEN(J10)=0)+(LEN(K10)=0)+(LEN(L10)=0)+(LEN(N10)=0)+(LEN(O10)=0)+(LEN(P10)=0)+(LEN(R10)=0)+(LEN(AA10)=0))</f>
        <v/>
      </c>
      <c r="AD10" s="19">
        <f>IF(OR(LEN(A10)=0,LEN(C10)=0),0,IF(OR(C10&lt;1,C10&gt;5),1,0))</f>
        <v/>
      </c>
      <c r="AE10" s="19">
        <f>IF(OR(LEN(A10)=0,LEN(R10)=0),0,IF(OR(R10="Active",R10="Paid off",R10="Defaulted",R10="Repossessed",R10="Written off",R10="Restructured"),0,1))</f>
        <v/>
      </c>
      <c r="AF10" s="19">
        <f>IF(A10="",0,IF(N(J10)&gt;N(I10),1,0))</f>
        <v/>
      </c>
      <c r="AG10" s="19">
        <f>IF(A10="",0,IF(N(N10)&gt;N(M10)+1,1,0))</f>
        <v/>
      </c>
      <c r="AH10" s="19">
        <f>IF(A10="",0,IF(N(E10)&gt;N(B10),1,0))</f>
        <v/>
      </c>
      <c r="AI10" s="19">
        <f>IF(A10="",0,IF(AND(Z10="Full payment",N(N10)&lt;N(M10)-1),1,0))</f>
        <v/>
      </c>
      <c r="AJ10" s="19">
        <f>IF(A10="",0,IF(N(P10)&lt;0,1,0))</f>
        <v/>
      </c>
      <c r="AK10" s="19">
        <f>IF(A10="",0,IF(COUNTIF($A$7:$A$1006,A10)&gt;1,1,0))</f>
        <v/>
      </c>
    </row>
    <row r="11">
      <c r="A11" s="10" t="n"/>
      <c r="B11" s="17" t="n"/>
      <c r="C11" s="18" t="n"/>
      <c r="D11" s="10" t="n"/>
      <c r="E11" s="17" t="n"/>
      <c r="F11" s="10" t="n"/>
      <c r="G11" s="10" t="n"/>
      <c r="H11" s="10" t="n"/>
      <c r="I11" s="18" t="n"/>
      <c r="J11" s="18" t="n"/>
      <c r="K11" s="18" t="n"/>
      <c r="L11" s="18" t="n"/>
      <c r="M11" s="19">
        <f>IF(K11="","",K11*365/12*L11)</f>
        <v/>
      </c>
      <c r="N11" s="18" t="n"/>
      <c r="O11" s="18" t="n"/>
      <c r="P11" s="18" t="n"/>
      <c r="Q11" s="18" t="n"/>
      <c r="R11" s="10" t="n"/>
      <c r="S11" s="17" t="n"/>
      <c r="T11" s="18" t="n"/>
      <c r="U11" s="17" t="n"/>
      <c r="V11" s="17" t="n"/>
      <c r="W11" s="18" t="n"/>
      <c r="X11" s="18" t="n"/>
      <c r="Y11" s="17" t="n"/>
      <c r="Z11" s="10" t="n"/>
      <c r="AA11" s="10" t="n"/>
      <c r="AB11" s="19">
        <f>IF(LEN(A11)&gt;0,1,0)</f>
        <v/>
      </c>
      <c r="AC11" s="19">
        <f>IF(LEN(A11)=0,0,(LEN(B11)=0)+(LEN(C11)=0)+(LEN(D11)=0)+(LEN(E11)=0)+(LEN(F11)=0)+(LEN(G11)=0)+(LEN(H11)=0)+(LEN(I11)=0)+(LEN(J11)=0)+(LEN(K11)=0)+(LEN(L11)=0)+(LEN(N11)=0)+(LEN(O11)=0)+(LEN(P11)=0)+(LEN(R11)=0)+(LEN(AA11)=0))</f>
        <v/>
      </c>
      <c r="AD11" s="19">
        <f>IF(OR(LEN(A11)=0,LEN(C11)=0),0,IF(OR(C11&lt;1,C11&gt;5),1,0))</f>
        <v/>
      </c>
      <c r="AE11" s="19">
        <f>IF(OR(LEN(A11)=0,LEN(R11)=0),0,IF(OR(R11="Active",R11="Paid off",R11="Defaulted",R11="Repossessed",R11="Written off",R11="Restructured"),0,1))</f>
        <v/>
      </c>
      <c r="AF11" s="19">
        <f>IF(A11="",0,IF(N(J11)&gt;N(I11),1,0))</f>
        <v/>
      </c>
      <c r="AG11" s="19">
        <f>IF(A11="",0,IF(N(N11)&gt;N(M11)+1,1,0))</f>
        <v/>
      </c>
      <c r="AH11" s="19">
        <f>IF(A11="",0,IF(N(E11)&gt;N(B11),1,0))</f>
        <v/>
      </c>
      <c r="AI11" s="19">
        <f>IF(A11="",0,IF(AND(Z11="Full payment",N(N11)&lt;N(M11)-1),1,0))</f>
        <v/>
      </c>
      <c r="AJ11" s="19">
        <f>IF(A11="",0,IF(N(P11)&lt;0,1,0))</f>
        <v/>
      </c>
      <c r="AK11" s="19">
        <f>IF(A11="",0,IF(COUNTIF($A$7:$A$1006,A11)&gt;1,1,0))</f>
        <v/>
      </c>
    </row>
    <row r="12">
      <c r="A12" s="10" t="n"/>
      <c r="B12" s="17" t="n"/>
      <c r="C12" s="18" t="n"/>
      <c r="D12" s="10" t="n"/>
      <c r="E12" s="17" t="n"/>
      <c r="F12" s="10" t="n"/>
      <c r="G12" s="10" t="n"/>
      <c r="H12" s="10" t="n"/>
      <c r="I12" s="18" t="n"/>
      <c r="J12" s="18" t="n"/>
      <c r="K12" s="18" t="n"/>
      <c r="L12" s="18" t="n"/>
      <c r="M12" s="19">
        <f>IF(K12="","",K12*365/12*L12)</f>
        <v/>
      </c>
      <c r="N12" s="18" t="n"/>
      <c r="O12" s="18" t="n"/>
      <c r="P12" s="18" t="n"/>
      <c r="Q12" s="18" t="n"/>
      <c r="R12" s="10" t="n"/>
      <c r="S12" s="17" t="n"/>
      <c r="T12" s="18" t="n"/>
      <c r="U12" s="17" t="n"/>
      <c r="V12" s="17" t="n"/>
      <c r="W12" s="18" t="n"/>
      <c r="X12" s="18" t="n"/>
      <c r="Y12" s="17" t="n"/>
      <c r="Z12" s="10" t="n"/>
      <c r="AA12" s="10" t="n"/>
      <c r="AB12" s="19">
        <f>IF(LEN(A12)&gt;0,1,0)</f>
        <v/>
      </c>
      <c r="AC12" s="19">
        <f>IF(LEN(A12)=0,0,(LEN(B12)=0)+(LEN(C12)=0)+(LEN(D12)=0)+(LEN(E12)=0)+(LEN(F12)=0)+(LEN(G12)=0)+(LEN(H12)=0)+(LEN(I12)=0)+(LEN(J12)=0)+(LEN(K12)=0)+(LEN(L12)=0)+(LEN(N12)=0)+(LEN(O12)=0)+(LEN(P12)=0)+(LEN(R12)=0)+(LEN(AA12)=0))</f>
        <v/>
      </c>
      <c r="AD12" s="19">
        <f>IF(OR(LEN(A12)=0,LEN(C12)=0),0,IF(OR(C12&lt;1,C12&gt;5),1,0))</f>
        <v/>
      </c>
      <c r="AE12" s="19">
        <f>IF(OR(LEN(A12)=0,LEN(R12)=0),0,IF(OR(R12="Active",R12="Paid off",R12="Defaulted",R12="Repossessed",R12="Written off",R12="Restructured"),0,1))</f>
        <v/>
      </c>
      <c r="AF12" s="19">
        <f>IF(A12="",0,IF(N(J12)&gt;N(I12),1,0))</f>
        <v/>
      </c>
      <c r="AG12" s="19">
        <f>IF(A12="",0,IF(N(N12)&gt;N(M12)+1,1,0))</f>
        <v/>
      </c>
      <c r="AH12" s="19">
        <f>IF(A12="",0,IF(N(E12)&gt;N(B12),1,0))</f>
        <v/>
      </c>
      <c r="AI12" s="19">
        <f>IF(A12="",0,IF(AND(Z12="Full payment",N(N12)&lt;N(M12)-1),1,0))</f>
        <v/>
      </c>
      <c r="AJ12" s="19">
        <f>IF(A12="",0,IF(N(P12)&lt;0,1,0))</f>
        <v/>
      </c>
      <c r="AK12" s="19">
        <f>IF(A12="",0,IF(COUNTIF($A$7:$A$1006,A12)&gt;1,1,0))</f>
        <v/>
      </c>
    </row>
    <row r="13">
      <c r="A13" s="10" t="n"/>
      <c r="B13" s="17" t="n"/>
      <c r="C13" s="18" t="n"/>
      <c r="D13" s="10" t="n"/>
      <c r="E13" s="17" t="n"/>
      <c r="F13" s="10" t="n"/>
      <c r="G13" s="10" t="n"/>
      <c r="H13" s="10" t="n"/>
      <c r="I13" s="18" t="n"/>
      <c r="J13" s="18" t="n"/>
      <c r="K13" s="18" t="n"/>
      <c r="L13" s="18" t="n"/>
      <c r="M13" s="19">
        <f>IF(K13="","",K13*365/12*L13)</f>
        <v/>
      </c>
      <c r="N13" s="18" t="n"/>
      <c r="O13" s="18" t="n"/>
      <c r="P13" s="18" t="n"/>
      <c r="Q13" s="18" t="n"/>
      <c r="R13" s="10" t="n"/>
      <c r="S13" s="17" t="n"/>
      <c r="T13" s="18" t="n"/>
      <c r="U13" s="17" t="n"/>
      <c r="V13" s="17" t="n"/>
      <c r="W13" s="18" t="n"/>
      <c r="X13" s="18" t="n"/>
      <c r="Y13" s="17" t="n"/>
      <c r="Z13" s="10" t="n"/>
      <c r="AA13" s="10" t="n"/>
      <c r="AB13" s="19">
        <f>IF(LEN(A13)&gt;0,1,0)</f>
        <v/>
      </c>
      <c r="AC13" s="19">
        <f>IF(LEN(A13)=0,0,(LEN(B13)=0)+(LEN(C13)=0)+(LEN(D13)=0)+(LEN(E13)=0)+(LEN(F13)=0)+(LEN(G13)=0)+(LEN(H13)=0)+(LEN(I13)=0)+(LEN(J13)=0)+(LEN(K13)=0)+(LEN(L13)=0)+(LEN(N13)=0)+(LEN(O13)=0)+(LEN(P13)=0)+(LEN(R13)=0)+(LEN(AA13)=0))</f>
        <v/>
      </c>
      <c r="AD13" s="19">
        <f>IF(OR(LEN(A13)=0,LEN(C13)=0),0,IF(OR(C13&lt;1,C13&gt;5),1,0))</f>
        <v/>
      </c>
      <c r="AE13" s="19">
        <f>IF(OR(LEN(A13)=0,LEN(R13)=0),0,IF(OR(R13="Active",R13="Paid off",R13="Defaulted",R13="Repossessed",R13="Written off",R13="Restructured"),0,1))</f>
        <v/>
      </c>
      <c r="AF13" s="19">
        <f>IF(A13="",0,IF(N(J13)&gt;N(I13),1,0))</f>
        <v/>
      </c>
      <c r="AG13" s="19">
        <f>IF(A13="",0,IF(N(N13)&gt;N(M13)+1,1,0))</f>
        <v/>
      </c>
      <c r="AH13" s="19">
        <f>IF(A13="",0,IF(N(E13)&gt;N(B13),1,0))</f>
        <v/>
      </c>
      <c r="AI13" s="19">
        <f>IF(A13="",0,IF(AND(Z13="Full payment",N(N13)&lt;N(M13)-1),1,0))</f>
        <v/>
      </c>
      <c r="AJ13" s="19">
        <f>IF(A13="",0,IF(N(P13)&lt;0,1,0))</f>
        <v/>
      </c>
      <c r="AK13" s="19">
        <f>IF(A13="",0,IF(COUNTIF($A$7:$A$1006,A13)&gt;1,1,0))</f>
        <v/>
      </c>
    </row>
    <row r="14">
      <c r="A14" s="10" t="n"/>
      <c r="B14" s="17" t="n"/>
      <c r="C14" s="18" t="n"/>
      <c r="D14" s="10" t="n"/>
      <c r="E14" s="17" t="n"/>
      <c r="F14" s="10" t="n"/>
      <c r="G14" s="10" t="n"/>
      <c r="H14" s="10" t="n"/>
      <c r="I14" s="18" t="n"/>
      <c r="J14" s="18" t="n"/>
      <c r="K14" s="18" t="n"/>
      <c r="L14" s="18" t="n"/>
      <c r="M14" s="19">
        <f>IF(K14="","",K14*365/12*L14)</f>
        <v/>
      </c>
      <c r="N14" s="18" t="n"/>
      <c r="O14" s="18" t="n"/>
      <c r="P14" s="18" t="n"/>
      <c r="Q14" s="18" t="n"/>
      <c r="R14" s="10" t="n"/>
      <c r="S14" s="17" t="n"/>
      <c r="T14" s="18" t="n"/>
      <c r="U14" s="17" t="n"/>
      <c r="V14" s="17" t="n"/>
      <c r="W14" s="18" t="n"/>
      <c r="X14" s="18" t="n"/>
      <c r="Y14" s="17" t="n"/>
      <c r="Z14" s="10" t="n"/>
      <c r="AA14" s="10" t="n"/>
      <c r="AB14" s="19">
        <f>IF(LEN(A14)&gt;0,1,0)</f>
        <v/>
      </c>
      <c r="AC14" s="19">
        <f>IF(LEN(A14)=0,0,(LEN(B14)=0)+(LEN(C14)=0)+(LEN(D14)=0)+(LEN(E14)=0)+(LEN(F14)=0)+(LEN(G14)=0)+(LEN(H14)=0)+(LEN(I14)=0)+(LEN(J14)=0)+(LEN(K14)=0)+(LEN(L14)=0)+(LEN(N14)=0)+(LEN(O14)=0)+(LEN(P14)=0)+(LEN(R14)=0)+(LEN(AA14)=0))</f>
        <v/>
      </c>
      <c r="AD14" s="19">
        <f>IF(OR(LEN(A14)=0,LEN(C14)=0),0,IF(OR(C14&lt;1,C14&gt;5),1,0))</f>
        <v/>
      </c>
      <c r="AE14" s="19">
        <f>IF(OR(LEN(A14)=0,LEN(R14)=0),0,IF(OR(R14="Active",R14="Paid off",R14="Defaulted",R14="Repossessed",R14="Written off",R14="Restructured"),0,1))</f>
        <v/>
      </c>
      <c r="AF14" s="19">
        <f>IF(A14="",0,IF(N(J14)&gt;N(I14),1,0))</f>
        <v/>
      </c>
      <c r="AG14" s="19">
        <f>IF(A14="",0,IF(N(N14)&gt;N(M14)+1,1,0))</f>
        <v/>
      </c>
      <c r="AH14" s="19">
        <f>IF(A14="",0,IF(N(E14)&gt;N(B14),1,0))</f>
        <v/>
      </c>
      <c r="AI14" s="19">
        <f>IF(A14="",0,IF(AND(Z14="Full payment",N(N14)&lt;N(M14)-1),1,0))</f>
        <v/>
      </c>
      <c r="AJ14" s="19">
        <f>IF(A14="",0,IF(N(P14)&lt;0,1,0))</f>
        <v/>
      </c>
      <c r="AK14" s="19">
        <f>IF(A14="",0,IF(COUNTIF($A$7:$A$1006,A14)&gt;1,1,0))</f>
        <v/>
      </c>
    </row>
    <row r="15">
      <c r="A15" s="10" t="n"/>
      <c r="B15" s="17" t="n"/>
      <c r="C15" s="18" t="n"/>
      <c r="D15" s="10" t="n"/>
      <c r="E15" s="17" t="n"/>
      <c r="F15" s="10" t="n"/>
      <c r="G15" s="10" t="n"/>
      <c r="H15" s="10" t="n"/>
      <c r="I15" s="18" t="n"/>
      <c r="J15" s="18" t="n"/>
      <c r="K15" s="18" t="n"/>
      <c r="L15" s="18" t="n"/>
      <c r="M15" s="19">
        <f>IF(K15="","",K15*365/12*L15)</f>
        <v/>
      </c>
      <c r="N15" s="18" t="n"/>
      <c r="O15" s="18" t="n"/>
      <c r="P15" s="18" t="n"/>
      <c r="Q15" s="18" t="n"/>
      <c r="R15" s="10" t="n"/>
      <c r="S15" s="17" t="n"/>
      <c r="T15" s="18" t="n"/>
      <c r="U15" s="17" t="n"/>
      <c r="V15" s="17" t="n"/>
      <c r="W15" s="18" t="n"/>
      <c r="X15" s="18" t="n"/>
      <c r="Y15" s="17" t="n"/>
      <c r="Z15" s="10" t="n"/>
      <c r="AA15" s="10" t="n"/>
      <c r="AB15" s="19">
        <f>IF(LEN(A15)&gt;0,1,0)</f>
        <v/>
      </c>
      <c r="AC15" s="19">
        <f>IF(LEN(A15)=0,0,(LEN(B15)=0)+(LEN(C15)=0)+(LEN(D15)=0)+(LEN(E15)=0)+(LEN(F15)=0)+(LEN(G15)=0)+(LEN(H15)=0)+(LEN(I15)=0)+(LEN(J15)=0)+(LEN(K15)=0)+(LEN(L15)=0)+(LEN(N15)=0)+(LEN(O15)=0)+(LEN(P15)=0)+(LEN(R15)=0)+(LEN(AA15)=0))</f>
        <v/>
      </c>
      <c r="AD15" s="19">
        <f>IF(OR(LEN(A15)=0,LEN(C15)=0),0,IF(OR(C15&lt;1,C15&gt;5),1,0))</f>
        <v/>
      </c>
      <c r="AE15" s="19">
        <f>IF(OR(LEN(A15)=0,LEN(R15)=0),0,IF(OR(R15="Active",R15="Paid off",R15="Defaulted",R15="Repossessed",R15="Written off",R15="Restructured"),0,1))</f>
        <v/>
      </c>
      <c r="AF15" s="19">
        <f>IF(A15="",0,IF(N(J15)&gt;N(I15),1,0))</f>
        <v/>
      </c>
      <c r="AG15" s="19">
        <f>IF(A15="",0,IF(N(N15)&gt;N(M15)+1,1,0))</f>
        <v/>
      </c>
      <c r="AH15" s="19">
        <f>IF(A15="",0,IF(N(E15)&gt;N(B15),1,0))</f>
        <v/>
      </c>
      <c r="AI15" s="19">
        <f>IF(A15="",0,IF(AND(Z15="Full payment",N(N15)&lt;N(M15)-1),1,0))</f>
        <v/>
      </c>
      <c r="AJ15" s="19">
        <f>IF(A15="",0,IF(N(P15)&lt;0,1,0))</f>
        <v/>
      </c>
      <c r="AK15" s="19">
        <f>IF(A15="",0,IF(COUNTIF($A$7:$A$1006,A15)&gt;1,1,0))</f>
        <v/>
      </c>
    </row>
    <row r="16">
      <c r="A16" s="10" t="n"/>
      <c r="B16" s="17" t="n"/>
      <c r="C16" s="18" t="n"/>
      <c r="D16" s="10" t="n"/>
      <c r="E16" s="17" t="n"/>
      <c r="F16" s="10" t="n"/>
      <c r="G16" s="10" t="n"/>
      <c r="H16" s="10" t="n"/>
      <c r="I16" s="18" t="n"/>
      <c r="J16" s="18" t="n"/>
      <c r="K16" s="18" t="n"/>
      <c r="L16" s="18" t="n"/>
      <c r="M16" s="19">
        <f>IF(K16="","",K16*365/12*L16)</f>
        <v/>
      </c>
      <c r="N16" s="18" t="n"/>
      <c r="O16" s="18" t="n"/>
      <c r="P16" s="18" t="n"/>
      <c r="Q16" s="18" t="n"/>
      <c r="R16" s="10" t="n"/>
      <c r="S16" s="17" t="n"/>
      <c r="T16" s="18" t="n"/>
      <c r="U16" s="17" t="n"/>
      <c r="V16" s="17" t="n"/>
      <c r="W16" s="18" t="n"/>
      <c r="X16" s="18" t="n"/>
      <c r="Y16" s="17" t="n"/>
      <c r="Z16" s="10" t="n"/>
      <c r="AA16" s="10" t="n"/>
      <c r="AB16" s="19">
        <f>IF(LEN(A16)&gt;0,1,0)</f>
        <v/>
      </c>
      <c r="AC16" s="19">
        <f>IF(LEN(A16)=0,0,(LEN(B16)=0)+(LEN(C16)=0)+(LEN(D16)=0)+(LEN(E16)=0)+(LEN(F16)=0)+(LEN(G16)=0)+(LEN(H16)=0)+(LEN(I16)=0)+(LEN(J16)=0)+(LEN(K16)=0)+(LEN(L16)=0)+(LEN(N16)=0)+(LEN(O16)=0)+(LEN(P16)=0)+(LEN(R16)=0)+(LEN(AA16)=0))</f>
        <v/>
      </c>
      <c r="AD16" s="19">
        <f>IF(OR(LEN(A16)=0,LEN(C16)=0),0,IF(OR(C16&lt;1,C16&gt;5),1,0))</f>
        <v/>
      </c>
      <c r="AE16" s="19">
        <f>IF(OR(LEN(A16)=0,LEN(R16)=0),0,IF(OR(R16="Active",R16="Paid off",R16="Defaulted",R16="Repossessed",R16="Written off",R16="Restructured"),0,1))</f>
        <v/>
      </c>
      <c r="AF16" s="19">
        <f>IF(A16="",0,IF(N(J16)&gt;N(I16),1,0))</f>
        <v/>
      </c>
      <c r="AG16" s="19">
        <f>IF(A16="",0,IF(N(N16)&gt;N(M16)+1,1,0))</f>
        <v/>
      </c>
      <c r="AH16" s="19">
        <f>IF(A16="",0,IF(N(E16)&gt;N(B16),1,0))</f>
        <v/>
      </c>
      <c r="AI16" s="19">
        <f>IF(A16="",0,IF(AND(Z16="Full payment",N(N16)&lt;N(M16)-1),1,0))</f>
        <v/>
      </c>
      <c r="AJ16" s="19">
        <f>IF(A16="",0,IF(N(P16)&lt;0,1,0))</f>
        <v/>
      </c>
      <c r="AK16" s="19">
        <f>IF(A16="",0,IF(COUNTIF($A$7:$A$1006,A16)&gt;1,1,0))</f>
        <v/>
      </c>
    </row>
    <row r="17">
      <c r="A17" s="10" t="n"/>
      <c r="B17" s="17" t="n"/>
      <c r="C17" s="18" t="n"/>
      <c r="D17" s="10" t="n"/>
      <c r="E17" s="17" t="n"/>
      <c r="F17" s="10" t="n"/>
      <c r="G17" s="10" t="n"/>
      <c r="H17" s="10" t="n"/>
      <c r="I17" s="18" t="n"/>
      <c r="J17" s="18" t="n"/>
      <c r="K17" s="18" t="n"/>
      <c r="L17" s="18" t="n"/>
      <c r="M17" s="19">
        <f>IF(K17="","",K17*365/12*L17)</f>
        <v/>
      </c>
      <c r="N17" s="18" t="n"/>
      <c r="O17" s="18" t="n"/>
      <c r="P17" s="18" t="n"/>
      <c r="Q17" s="18" t="n"/>
      <c r="R17" s="10" t="n"/>
      <c r="S17" s="17" t="n"/>
      <c r="T17" s="18" t="n"/>
      <c r="U17" s="17" t="n"/>
      <c r="V17" s="17" t="n"/>
      <c r="W17" s="18" t="n"/>
      <c r="X17" s="18" t="n"/>
      <c r="Y17" s="17" t="n"/>
      <c r="Z17" s="10" t="n"/>
      <c r="AA17" s="10" t="n"/>
      <c r="AB17" s="19">
        <f>IF(LEN(A17)&gt;0,1,0)</f>
        <v/>
      </c>
      <c r="AC17" s="19">
        <f>IF(LEN(A17)=0,0,(LEN(B17)=0)+(LEN(C17)=0)+(LEN(D17)=0)+(LEN(E17)=0)+(LEN(F17)=0)+(LEN(G17)=0)+(LEN(H17)=0)+(LEN(I17)=0)+(LEN(J17)=0)+(LEN(K17)=0)+(LEN(L17)=0)+(LEN(N17)=0)+(LEN(O17)=0)+(LEN(P17)=0)+(LEN(R17)=0)+(LEN(AA17)=0))</f>
        <v/>
      </c>
      <c r="AD17" s="19">
        <f>IF(OR(LEN(A17)=0,LEN(C17)=0),0,IF(OR(C17&lt;1,C17&gt;5),1,0))</f>
        <v/>
      </c>
      <c r="AE17" s="19">
        <f>IF(OR(LEN(A17)=0,LEN(R17)=0),0,IF(OR(R17="Active",R17="Paid off",R17="Defaulted",R17="Repossessed",R17="Written off",R17="Restructured"),0,1))</f>
        <v/>
      </c>
      <c r="AF17" s="19">
        <f>IF(A17="",0,IF(N(J17)&gt;N(I17),1,0))</f>
        <v/>
      </c>
      <c r="AG17" s="19">
        <f>IF(A17="",0,IF(N(N17)&gt;N(M17)+1,1,0))</f>
        <v/>
      </c>
      <c r="AH17" s="19">
        <f>IF(A17="",0,IF(N(E17)&gt;N(B17),1,0))</f>
        <v/>
      </c>
      <c r="AI17" s="19">
        <f>IF(A17="",0,IF(AND(Z17="Full payment",N(N17)&lt;N(M17)-1),1,0))</f>
        <v/>
      </c>
      <c r="AJ17" s="19">
        <f>IF(A17="",0,IF(N(P17)&lt;0,1,0))</f>
        <v/>
      </c>
      <c r="AK17" s="19">
        <f>IF(A17="",0,IF(COUNTIF($A$7:$A$1006,A17)&gt;1,1,0))</f>
        <v/>
      </c>
    </row>
    <row r="18">
      <c r="A18" s="10" t="n"/>
      <c r="B18" s="17" t="n"/>
      <c r="C18" s="18" t="n"/>
      <c r="D18" s="10" t="n"/>
      <c r="E18" s="17" t="n"/>
      <c r="F18" s="10" t="n"/>
      <c r="G18" s="10" t="n"/>
      <c r="H18" s="10" t="n"/>
      <c r="I18" s="18" t="n"/>
      <c r="J18" s="18" t="n"/>
      <c r="K18" s="18" t="n"/>
      <c r="L18" s="18" t="n"/>
      <c r="M18" s="19">
        <f>IF(K18="","",K18*365/12*L18)</f>
        <v/>
      </c>
      <c r="N18" s="18" t="n"/>
      <c r="O18" s="18" t="n"/>
      <c r="P18" s="18" t="n"/>
      <c r="Q18" s="18" t="n"/>
      <c r="R18" s="10" t="n"/>
      <c r="S18" s="17" t="n"/>
      <c r="T18" s="18" t="n"/>
      <c r="U18" s="17" t="n"/>
      <c r="V18" s="17" t="n"/>
      <c r="W18" s="18" t="n"/>
      <c r="X18" s="18" t="n"/>
      <c r="Y18" s="17" t="n"/>
      <c r="Z18" s="10" t="n"/>
      <c r="AA18" s="10" t="n"/>
      <c r="AB18" s="19">
        <f>IF(LEN(A18)&gt;0,1,0)</f>
        <v/>
      </c>
      <c r="AC18" s="19">
        <f>IF(LEN(A18)=0,0,(LEN(B18)=0)+(LEN(C18)=0)+(LEN(D18)=0)+(LEN(E18)=0)+(LEN(F18)=0)+(LEN(G18)=0)+(LEN(H18)=0)+(LEN(I18)=0)+(LEN(J18)=0)+(LEN(K18)=0)+(LEN(L18)=0)+(LEN(N18)=0)+(LEN(O18)=0)+(LEN(P18)=0)+(LEN(R18)=0)+(LEN(AA18)=0))</f>
        <v/>
      </c>
      <c r="AD18" s="19">
        <f>IF(OR(LEN(A18)=0,LEN(C18)=0),0,IF(OR(C18&lt;1,C18&gt;5),1,0))</f>
        <v/>
      </c>
      <c r="AE18" s="19">
        <f>IF(OR(LEN(A18)=0,LEN(R18)=0),0,IF(OR(R18="Active",R18="Paid off",R18="Defaulted",R18="Repossessed",R18="Written off",R18="Restructured"),0,1))</f>
        <v/>
      </c>
      <c r="AF18" s="19">
        <f>IF(A18="",0,IF(N(J18)&gt;N(I18),1,0))</f>
        <v/>
      </c>
      <c r="AG18" s="19">
        <f>IF(A18="",0,IF(N(N18)&gt;N(M18)+1,1,0))</f>
        <v/>
      </c>
      <c r="AH18" s="19">
        <f>IF(A18="",0,IF(N(E18)&gt;N(B18),1,0))</f>
        <v/>
      </c>
      <c r="AI18" s="19">
        <f>IF(A18="",0,IF(AND(Z18="Full payment",N(N18)&lt;N(M18)-1),1,0))</f>
        <v/>
      </c>
      <c r="AJ18" s="19">
        <f>IF(A18="",0,IF(N(P18)&lt;0,1,0))</f>
        <v/>
      </c>
      <c r="AK18" s="19">
        <f>IF(A18="",0,IF(COUNTIF($A$7:$A$1006,A18)&gt;1,1,0))</f>
        <v/>
      </c>
    </row>
    <row r="19">
      <c r="A19" s="10" t="n"/>
      <c r="B19" s="17" t="n"/>
      <c r="C19" s="18" t="n"/>
      <c r="D19" s="10" t="n"/>
      <c r="E19" s="17" t="n"/>
      <c r="F19" s="10" t="n"/>
      <c r="G19" s="10" t="n"/>
      <c r="H19" s="10" t="n"/>
      <c r="I19" s="18" t="n"/>
      <c r="J19" s="18" t="n"/>
      <c r="K19" s="18" t="n"/>
      <c r="L19" s="18" t="n"/>
      <c r="M19" s="19">
        <f>IF(K19="","",K19*365/12*L19)</f>
        <v/>
      </c>
      <c r="N19" s="18" t="n"/>
      <c r="O19" s="18" t="n"/>
      <c r="P19" s="18" t="n"/>
      <c r="Q19" s="18" t="n"/>
      <c r="R19" s="10" t="n"/>
      <c r="S19" s="17" t="n"/>
      <c r="T19" s="18" t="n"/>
      <c r="U19" s="17" t="n"/>
      <c r="V19" s="17" t="n"/>
      <c r="W19" s="18" t="n"/>
      <c r="X19" s="18" t="n"/>
      <c r="Y19" s="17" t="n"/>
      <c r="Z19" s="10" t="n"/>
      <c r="AA19" s="10" t="n"/>
      <c r="AB19" s="19">
        <f>IF(LEN(A19)&gt;0,1,0)</f>
        <v/>
      </c>
      <c r="AC19" s="19">
        <f>IF(LEN(A19)=0,0,(LEN(B19)=0)+(LEN(C19)=0)+(LEN(D19)=0)+(LEN(E19)=0)+(LEN(F19)=0)+(LEN(G19)=0)+(LEN(H19)=0)+(LEN(I19)=0)+(LEN(J19)=0)+(LEN(K19)=0)+(LEN(L19)=0)+(LEN(N19)=0)+(LEN(O19)=0)+(LEN(P19)=0)+(LEN(R19)=0)+(LEN(AA19)=0))</f>
        <v/>
      </c>
      <c r="AD19" s="19">
        <f>IF(OR(LEN(A19)=0,LEN(C19)=0),0,IF(OR(C19&lt;1,C19&gt;5),1,0))</f>
        <v/>
      </c>
      <c r="AE19" s="19">
        <f>IF(OR(LEN(A19)=0,LEN(R19)=0),0,IF(OR(R19="Active",R19="Paid off",R19="Defaulted",R19="Repossessed",R19="Written off",R19="Restructured"),0,1))</f>
        <v/>
      </c>
      <c r="AF19" s="19">
        <f>IF(A19="",0,IF(N(J19)&gt;N(I19),1,0))</f>
        <v/>
      </c>
      <c r="AG19" s="19">
        <f>IF(A19="",0,IF(N(N19)&gt;N(M19)+1,1,0))</f>
        <v/>
      </c>
      <c r="AH19" s="19">
        <f>IF(A19="",0,IF(N(E19)&gt;N(B19),1,0))</f>
        <v/>
      </c>
      <c r="AI19" s="19">
        <f>IF(A19="",0,IF(AND(Z19="Full payment",N(N19)&lt;N(M19)-1),1,0))</f>
        <v/>
      </c>
      <c r="AJ19" s="19">
        <f>IF(A19="",0,IF(N(P19)&lt;0,1,0))</f>
        <v/>
      </c>
      <c r="AK19" s="19">
        <f>IF(A19="",0,IF(COUNTIF($A$7:$A$1006,A19)&gt;1,1,0))</f>
        <v/>
      </c>
    </row>
    <row r="20">
      <c r="A20" s="10" t="n"/>
      <c r="B20" s="17" t="n"/>
      <c r="C20" s="18" t="n"/>
      <c r="D20" s="10" t="n"/>
      <c r="E20" s="17" t="n"/>
      <c r="F20" s="10" t="n"/>
      <c r="G20" s="10" t="n"/>
      <c r="H20" s="10" t="n"/>
      <c r="I20" s="18" t="n"/>
      <c r="J20" s="18" t="n"/>
      <c r="K20" s="18" t="n"/>
      <c r="L20" s="18" t="n"/>
      <c r="M20" s="19">
        <f>IF(K20="","",K20*365/12*L20)</f>
        <v/>
      </c>
      <c r="N20" s="18" t="n"/>
      <c r="O20" s="18" t="n"/>
      <c r="P20" s="18" t="n"/>
      <c r="Q20" s="18" t="n"/>
      <c r="R20" s="10" t="n"/>
      <c r="S20" s="17" t="n"/>
      <c r="T20" s="18" t="n"/>
      <c r="U20" s="17" t="n"/>
      <c r="V20" s="17" t="n"/>
      <c r="W20" s="18" t="n"/>
      <c r="X20" s="18" t="n"/>
      <c r="Y20" s="17" t="n"/>
      <c r="Z20" s="10" t="n"/>
      <c r="AA20" s="10" t="n"/>
      <c r="AB20" s="19">
        <f>IF(LEN(A20)&gt;0,1,0)</f>
        <v/>
      </c>
      <c r="AC20" s="19">
        <f>IF(LEN(A20)=0,0,(LEN(B20)=0)+(LEN(C20)=0)+(LEN(D20)=0)+(LEN(E20)=0)+(LEN(F20)=0)+(LEN(G20)=0)+(LEN(H20)=0)+(LEN(I20)=0)+(LEN(J20)=0)+(LEN(K20)=0)+(LEN(L20)=0)+(LEN(N20)=0)+(LEN(O20)=0)+(LEN(P20)=0)+(LEN(R20)=0)+(LEN(AA20)=0))</f>
        <v/>
      </c>
      <c r="AD20" s="19">
        <f>IF(OR(LEN(A20)=0,LEN(C20)=0),0,IF(OR(C20&lt;1,C20&gt;5),1,0))</f>
        <v/>
      </c>
      <c r="AE20" s="19">
        <f>IF(OR(LEN(A20)=0,LEN(R20)=0),0,IF(OR(R20="Active",R20="Paid off",R20="Defaulted",R20="Repossessed",R20="Written off",R20="Restructured"),0,1))</f>
        <v/>
      </c>
      <c r="AF20" s="19">
        <f>IF(A20="",0,IF(N(J20)&gt;N(I20),1,0))</f>
        <v/>
      </c>
      <c r="AG20" s="19">
        <f>IF(A20="",0,IF(N(N20)&gt;N(M20)+1,1,0))</f>
        <v/>
      </c>
      <c r="AH20" s="19">
        <f>IF(A20="",0,IF(N(E20)&gt;N(B20),1,0))</f>
        <v/>
      </c>
      <c r="AI20" s="19">
        <f>IF(A20="",0,IF(AND(Z20="Full payment",N(N20)&lt;N(M20)-1),1,0))</f>
        <v/>
      </c>
      <c r="AJ20" s="19">
        <f>IF(A20="",0,IF(N(P20)&lt;0,1,0))</f>
        <v/>
      </c>
      <c r="AK20" s="19">
        <f>IF(A20="",0,IF(COUNTIF($A$7:$A$1006,A20)&gt;1,1,0))</f>
        <v/>
      </c>
    </row>
    <row r="21">
      <c r="A21" s="10" t="n"/>
      <c r="B21" s="17" t="n"/>
      <c r="C21" s="18" t="n"/>
      <c r="D21" s="10" t="n"/>
      <c r="E21" s="17" t="n"/>
      <c r="F21" s="10" t="n"/>
      <c r="G21" s="10" t="n"/>
      <c r="H21" s="10" t="n"/>
      <c r="I21" s="18" t="n"/>
      <c r="J21" s="18" t="n"/>
      <c r="K21" s="18" t="n"/>
      <c r="L21" s="18" t="n"/>
      <c r="M21" s="19">
        <f>IF(K21="","",K21*365/12*L21)</f>
        <v/>
      </c>
      <c r="N21" s="18" t="n"/>
      <c r="O21" s="18" t="n"/>
      <c r="P21" s="18" t="n"/>
      <c r="Q21" s="18" t="n"/>
      <c r="R21" s="10" t="n"/>
      <c r="S21" s="17" t="n"/>
      <c r="T21" s="18" t="n"/>
      <c r="U21" s="17" t="n"/>
      <c r="V21" s="17" t="n"/>
      <c r="W21" s="18" t="n"/>
      <c r="X21" s="18" t="n"/>
      <c r="Y21" s="17" t="n"/>
      <c r="Z21" s="10" t="n"/>
      <c r="AA21" s="10" t="n"/>
      <c r="AB21" s="19">
        <f>IF(LEN(A21)&gt;0,1,0)</f>
        <v/>
      </c>
      <c r="AC21" s="19">
        <f>IF(LEN(A21)=0,0,(LEN(B21)=0)+(LEN(C21)=0)+(LEN(D21)=0)+(LEN(E21)=0)+(LEN(F21)=0)+(LEN(G21)=0)+(LEN(H21)=0)+(LEN(I21)=0)+(LEN(J21)=0)+(LEN(K21)=0)+(LEN(L21)=0)+(LEN(N21)=0)+(LEN(O21)=0)+(LEN(P21)=0)+(LEN(R21)=0)+(LEN(AA21)=0))</f>
        <v/>
      </c>
      <c r="AD21" s="19">
        <f>IF(OR(LEN(A21)=0,LEN(C21)=0),0,IF(OR(C21&lt;1,C21&gt;5),1,0))</f>
        <v/>
      </c>
      <c r="AE21" s="19">
        <f>IF(OR(LEN(A21)=0,LEN(R21)=0),0,IF(OR(R21="Active",R21="Paid off",R21="Defaulted",R21="Repossessed",R21="Written off",R21="Restructured"),0,1))</f>
        <v/>
      </c>
      <c r="AF21" s="19">
        <f>IF(A21="",0,IF(N(J21)&gt;N(I21),1,0))</f>
        <v/>
      </c>
      <c r="AG21" s="19">
        <f>IF(A21="",0,IF(N(N21)&gt;N(M21)+1,1,0))</f>
        <v/>
      </c>
      <c r="AH21" s="19">
        <f>IF(A21="",0,IF(N(E21)&gt;N(B21),1,0))</f>
        <v/>
      </c>
      <c r="AI21" s="19">
        <f>IF(A21="",0,IF(AND(Z21="Full payment",N(N21)&lt;N(M21)-1),1,0))</f>
        <v/>
      </c>
      <c r="AJ21" s="19">
        <f>IF(A21="",0,IF(N(P21)&lt;0,1,0))</f>
        <v/>
      </c>
      <c r="AK21" s="19">
        <f>IF(A21="",0,IF(COUNTIF($A$7:$A$1006,A21)&gt;1,1,0))</f>
        <v/>
      </c>
    </row>
    <row r="22">
      <c r="A22" s="10" t="n"/>
      <c r="B22" s="17" t="n"/>
      <c r="C22" s="18" t="n"/>
      <c r="D22" s="10" t="n"/>
      <c r="E22" s="17" t="n"/>
      <c r="F22" s="10" t="n"/>
      <c r="G22" s="10" t="n"/>
      <c r="H22" s="10" t="n"/>
      <c r="I22" s="18" t="n"/>
      <c r="J22" s="18" t="n"/>
      <c r="K22" s="18" t="n"/>
      <c r="L22" s="18" t="n"/>
      <c r="M22" s="19">
        <f>IF(K22="","",K22*365/12*L22)</f>
        <v/>
      </c>
      <c r="N22" s="18" t="n"/>
      <c r="O22" s="18" t="n"/>
      <c r="P22" s="18" t="n"/>
      <c r="Q22" s="18" t="n"/>
      <c r="R22" s="10" t="n"/>
      <c r="S22" s="17" t="n"/>
      <c r="T22" s="18" t="n"/>
      <c r="U22" s="17" t="n"/>
      <c r="V22" s="17" t="n"/>
      <c r="W22" s="18" t="n"/>
      <c r="X22" s="18" t="n"/>
      <c r="Y22" s="17" t="n"/>
      <c r="Z22" s="10" t="n"/>
      <c r="AA22" s="10" t="n"/>
      <c r="AB22" s="19">
        <f>IF(LEN(A22)&gt;0,1,0)</f>
        <v/>
      </c>
      <c r="AC22" s="19">
        <f>IF(LEN(A22)=0,0,(LEN(B22)=0)+(LEN(C22)=0)+(LEN(D22)=0)+(LEN(E22)=0)+(LEN(F22)=0)+(LEN(G22)=0)+(LEN(H22)=0)+(LEN(I22)=0)+(LEN(J22)=0)+(LEN(K22)=0)+(LEN(L22)=0)+(LEN(N22)=0)+(LEN(O22)=0)+(LEN(P22)=0)+(LEN(R22)=0)+(LEN(AA22)=0))</f>
        <v/>
      </c>
      <c r="AD22" s="19">
        <f>IF(OR(LEN(A22)=0,LEN(C22)=0),0,IF(OR(C22&lt;1,C22&gt;5),1,0))</f>
        <v/>
      </c>
      <c r="AE22" s="19">
        <f>IF(OR(LEN(A22)=0,LEN(R22)=0),0,IF(OR(R22="Active",R22="Paid off",R22="Defaulted",R22="Repossessed",R22="Written off",R22="Restructured"),0,1))</f>
        <v/>
      </c>
      <c r="AF22" s="19">
        <f>IF(A22="",0,IF(N(J22)&gt;N(I22),1,0))</f>
        <v/>
      </c>
      <c r="AG22" s="19">
        <f>IF(A22="",0,IF(N(N22)&gt;N(M22)+1,1,0))</f>
        <v/>
      </c>
      <c r="AH22" s="19">
        <f>IF(A22="",0,IF(N(E22)&gt;N(B22),1,0))</f>
        <v/>
      </c>
      <c r="AI22" s="19">
        <f>IF(A22="",0,IF(AND(Z22="Full payment",N(N22)&lt;N(M22)-1),1,0))</f>
        <v/>
      </c>
      <c r="AJ22" s="19">
        <f>IF(A22="",0,IF(N(P22)&lt;0,1,0))</f>
        <v/>
      </c>
      <c r="AK22" s="19">
        <f>IF(A22="",0,IF(COUNTIF($A$7:$A$1006,A22)&gt;1,1,0))</f>
        <v/>
      </c>
    </row>
    <row r="23">
      <c r="A23" s="10" t="n"/>
      <c r="B23" s="17" t="n"/>
      <c r="C23" s="18" t="n"/>
      <c r="D23" s="10" t="n"/>
      <c r="E23" s="17" t="n"/>
      <c r="F23" s="10" t="n"/>
      <c r="G23" s="10" t="n"/>
      <c r="H23" s="10" t="n"/>
      <c r="I23" s="18" t="n"/>
      <c r="J23" s="18" t="n"/>
      <c r="K23" s="18" t="n"/>
      <c r="L23" s="18" t="n"/>
      <c r="M23" s="19">
        <f>IF(K23="","",K23*365/12*L23)</f>
        <v/>
      </c>
      <c r="N23" s="18" t="n"/>
      <c r="O23" s="18" t="n"/>
      <c r="P23" s="18" t="n"/>
      <c r="Q23" s="18" t="n"/>
      <c r="R23" s="10" t="n"/>
      <c r="S23" s="17" t="n"/>
      <c r="T23" s="18" t="n"/>
      <c r="U23" s="17" t="n"/>
      <c r="V23" s="17" t="n"/>
      <c r="W23" s="18" t="n"/>
      <c r="X23" s="18" t="n"/>
      <c r="Y23" s="17" t="n"/>
      <c r="Z23" s="10" t="n"/>
      <c r="AA23" s="10" t="n"/>
      <c r="AB23" s="19">
        <f>IF(LEN(A23)&gt;0,1,0)</f>
        <v/>
      </c>
      <c r="AC23" s="19">
        <f>IF(LEN(A23)=0,0,(LEN(B23)=0)+(LEN(C23)=0)+(LEN(D23)=0)+(LEN(E23)=0)+(LEN(F23)=0)+(LEN(G23)=0)+(LEN(H23)=0)+(LEN(I23)=0)+(LEN(J23)=0)+(LEN(K23)=0)+(LEN(L23)=0)+(LEN(N23)=0)+(LEN(O23)=0)+(LEN(P23)=0)+(LEN(R23)=0)+(LEN(AA23)=0))</f>
        <v/>
      </c>
      <c r="AD23" s="19">
        <f>IF(OR(LEN(A23)=0,LEN(C23)=0),0,IF(OR(C23&lt;1,C23&gt;5),1,0))</f>
        <v/>
      </c>
      <c r="AE23" s="19">
        <f>IF(OR(LEN(A23)=0,LEN(R23)=0),0,IF(OR(R23="Active",R23="Paid off",R23="Defaulted",R23="Repossessed",R23="Written off",R23="Restructured"),0,1))</f>
        <v/>
      </c>
      <c r="AF23" s="19">
        <f>IF(A23="",0,IF(N(J23)&gt;N(I23),1,0))</f>
        <v/>
      </c>
      <c r="AG23" s="19">
        <f>IF(A23="",0,IF(N(N23)&gt;N(M23)+1,1,0))</f>
        <v/>
      </c>
      <c r="AH23" s="19">
        <f>IF(A23="",0,IF(N(E23)&gt;N(B23),1,0))</f>
        <v/>
      </c>
      <c r="AI23" s="19">
        <f>IF(A23="",0,IF(AND(Z23="Full payment",N(N23)&lt;N(M23)-1),1,0))</f>
        <v/>
      </c>
      <c r="AJ23" s="19">
        <f>IF(A23="",0,IF(N(P23)&lt;0,1,0))</f>
        <v/>
      </c>
      <c r="AK23" s="19">
        <f>IF(A23="",0,IF(COUNTIF($A$7:$A$1006,A23)&gt;1,1,0))</f>
        <v/>
      </c>
    </row>
    <row r="24">
      <c r="A24" s="10" t="n"/>
      <c r="B24" s="17" t="n"/>
      <c r="C24" s="18" t="n"/>
      <c r="D24" s="10" t="n"/>
      <c r="E24" s="17" t="n"/>
      <c r="F24" s="10" t="n"/>
      <c r="G24" s="10" t="n"/>
      <c r="H24" s="10" t="n"/>
      <c r="I24" s="18" t="n"/>
      <c r="J24" s="18" t="n"/>
      <c r="K24" s="18" t="n"/>
      <c r="L24" s="18" t="n"/>
      <c r="M24" s="19">
        <f>IF(K24="","",K24*365/12*L24)</f>
        <v/>
      </c>
      <c r="N24" s="18" t="n"/>
      <c r="O24" s="18" t="n"/>
      <c r="P24" s="18" t="n"/>
      <c r="Q24" s="18" t="n"/>
      <c r="R24" s="10" t="n"/>
      <c r="S24" s="17" t="n"/>
      <c r="T24" s="18" t="n"/>
      <c r="U24" s="17" t="n"/>
      <c r="V24" s="17" t="n"/>
      <c r="W24" s="18" t="n"/>
      <c r="X24" s="18" t="n"/>
      <c r="Y24" s="17" t="n"/>
      <c r="Z24" s="10" t="n"/>
      <c r="AA24" s="10" t="n"/>
      <c r="AB24" s="19">
        <f>IF(LEN(A24)&gt;0,1,0)</f>
        <v/>
      </c>
      <c r="AC24" s="19">
        <f>IF(LEN(A24)=0,0,(LEN(B24)=0)+(LEN(C24)=0)+(LEN(D24)=0)+(LEN(E24)=0)+(LEN(F24)=0)+(LEN(G24)=0)+(LEN(H24)=0)+(LEN(I24)=0)+(LEN(J24)=0)+(LEN(K24)=0)+(LEN(L24)=0)+(LEN(N24)=0)+(LEN(O24)=0)+(LEN(P24)=0)+(LEN(R24)=0)+(LEN(AA24)=0))</f>
        <v/>
      </c>
      <c r="AD24" s="19">
        <f>IF(OR(LEN(A24)=0,LEN(C24)=0),0,IF(OR(C24&lt;1,C24&gt;5),1,0))</f>
        <v/>
      </c>
      <c r="AE24" s="19">
        <f>IF(OR(LEN(A24)=0,LEN(R24)=0),0,IF(OR(R24="Active",R24="Paid off",R24="Defaulted",R24="Repossessed",R24="Written off",R24="Restructured"),0,1))</f>
        <v/>
      </c>
      <c r="AF24" s="19">
        <f>IF(A24="",0,IF(N(J24)&gt;N(I24),1,0))</f>
        <v/>
      </c>
      <c r="AG24" s="19">
        <f>IF(A24="",0,IF(N(N24)&gt;N(M24)+1,1,0))</f>
        <v/>
      </c>
      <c r="AH24" s="19">
        <f>IF(A24="",0,IF(N(E24)&gt;N(B24),1,0))</f>
        <v/>
      </c>
      <c r="AI24" s="19">
        <f>IF(A24="",0,IF(AND(Z24="Full payment",N(N24)&lt;N(M24)-1),1,0))</f>
        <v/>
      </c>
      <c r="AJ24" s="19">
        <f>IF(A24="",0,IF(N(P24)&lt;0,1,0))</f>
        <v/>
      </c>
      <c r="AK24" s="19">
        <f>IF(A24="",0,IF(COUNTIF($A$7:$A$1006,A24)&gt;1,1,0))</f>
        <v/>
      </c>
    </row>
    <row r="25">
      <c r="A25" s="10" t="n"/>
      <c r="B25" s="17" t="n"/>
      <c r="C25" s="18" t="n"/>
      <c r="D25" s="10" t="n"/>
      <c r="E25" s="17" t="n"/>
      <c r="F25" s="10" t="n"/>
      <c r="G25" s="10" t="n"/>
      <c r="H25" s="10" t="n"/>
      <c r="I25" s="18" t="n"/>
      <c r="J25" s="18" t="n"/>
      <c r="K25" s="18" t="n"/>
      <c r="L25" s="18" t="n"/>
      <c r="M25" s="19">
        <f>IF(K25="","",K25*365/12*L25)</f>
        <v/>
      </c>
      <c r="N25" s="18" t="n"/>
      <c r="O25" s="18" t="n"/>
      <c r="P25" s="18" t="n"/>
      <c r="Q25" s="18" t="n"/>
      <c r="R25" s="10" t="n"/>
      <c r="S25" s="17" t="n"/>
      <c r="T25" s="18" t="n"/>
      <c r="U25" s="17" t="n"/>
      <c r="V25" s="17" t="n"/>
      <c r="W25" s="18" t="n"/>
      <c r="X25" s="18" t="n"/>
      <c r="Y25" s="17" t="n"/>
      <c r="Z25" s="10" t="n"/>
      <c r="AA25" s="10" t="n"/>
      <c r="AB25" s="19">
        <f>IF(LEN(A25)&gt;0,1,0)</f>
        <v/>
      </c>
      <c r="AC25" s="19">
        <f>IF(LEN(A25)=0,0,(LEN(B25)=0)+(LEN(C25)=0)+(LEN(D25)=0)+(LEN(E25)=0)+(LEN(F25)=0)+(LEN(G25)=0)+(LEN(H25)=0)+(LEN(I25)=0)+(LEN(J25)=0)+(LEN(K25)=0)+(LEN(L25)=0)+(LEN(N25)=0)+(LEN(O25)=0)+(LEN(P25)=0)+(LEN(R25)=0)+(LEN(AA25)=0))</f>
        <v/>
      </c>
      <c r="AD25" s="19">
        <f>IF(OR(LEN(A25)=0,LEN(C25)=0),0,IF(OR(C25&lt;1,C25&gt;5),1,0))</f>
        <v/>
      </c>
      <c r="AE25" s="19">
        <f>IF(OR(LEN(A25)=0,LEN(R25)=0),0,IF(OR(R25="Active",R25="Paid off",R25="Defaulted",R25="Repossessed",R25="Written off",R25="Restructured"),0,1))</f>
        <v/>
      </c>
      <c r="AF25" s="19">
        <f>IF(A25="",0,IF(N(J25)&gt;N(I25),1,0))</f>
        <v/>
      </c>
      <c r="AG25" s="19">
        <f>IF(A25="",0,IF(N(N25)&gt;N(M25)+1,1,0))</f>
        <v/>
      </c>
      <c r="AH25" s="19">
        <f>IF(A25="",0,IF(N(E25)&gt;N(B25),1,0))</f>
        <v/>
      </c>
      <c r="AI25" s="19">
        <f>IF(A25="",0,IF(AND(Z25="Full payment",N(N25)&lt;N(M25)-1),1,0))</f>
        <v/>
      </c>
      <c r="AJ25" s="19">
        <f>IF(A25="",0,IF(N(P25)&lt;0,1,0))</f>
        <v/>
      </c>
      <c r="AK25" s="19">
        <f>IF(A25="",0,IF(COUNTIF($A$7:$A$1006,A25)&gt;1,1,0))</f>
        <v/>
      </c>
    </row>
    <row r="26">
      <c r="A26" s="10" t="n"/>
      <c r="B26" s="17" t="n"/>
      <c r="C26" s="18" t="n"/>
      <c r="D26" s="10" t="n"/>
      <c r="E26" s="17" t="n"/>
      <c r="F26" s="10" t="n"/>
      <c r="G26" s="10" t="n"/>
      <c r="H26" s="10" t="n"/>
      <c r="I26" s="18" t="n"/>
      <c r="J26" s="18" t="n"/>
      <c r="K26" s="18" t="n"/>
      <c r="L26" s="18" t="n"/>
      <c r="M26" s="19">
        <f>IF(K26="","",K26*365/12*L26)</f>
        <v/>
      </c>
      <c r="N26" s="18" t="n"/>
      <c r="O26" s="18" t="n"/>
      <c r="P26" s="18" t="n"/>
      <c r="Q26" s="18" t="n"/>
      <c r="R26" s="10" t="n"/>
      <c r="S26" s="17" t="n"/>
      <c r="T26" s="18" t="n"/>
      <c r="U26" s="17" t="n"/>
      <c r="V26" s="17" t="n"/>
      <c r="W26" s="18" t="n"/>
      <c r="X26" s="18" t="n"/>
      <c r="Y26" s="17" t="n"/>
      <c r="Z26" s="10" t="n"/>
      <c r="AA26" s="10" t="n"/>
      <c r="AB26" s="19">
        <f>IF(LEN(A26)&gt;0,1,0)</f>
        <v/>
      </c>
      <c r="AC26" s="19">
        <f>IF(LEN(A26)=0,0,(LEN(B26)=0)+(LEN(C26)=0)+(LEN(D26)=0)+(LEN(E26)=0)+(LEN(F26)=0)+(LEN(G26)=0)+(LEN(H26)=0)+(LEN(I26)=0)+(LEN(J26)=0)+(LEN(K26)=0)+(LEN(L26)=0)+(LEN(N26)=0)+(LEN(O26)=0)+(LEN(P26)=0)+(LEN(R26)=0)+(LEN(AA26)=0))</f>
        <v/>
      </c>
      <c r="AD26" s="19">
        <f>IF(OR(LEN(A26)=0,LEN(C26)=0),0,IF(OR(C26&lt;1,C26&gt;5),1,0))</f>
        <v/>
      </c>
      <c r="AE26" s="19">
        <f>IF(OR(LEN(A26)=0,LEN(R26)=0),0,IF(OR(R26="Active",R26="Paid off",R26="Defaulted",R26="Repossessed",R26="Written off",R26="Restructured"),0,1))</f>
        <v/>
      </c>
      <c r="AF26" s="19">
        <f>IF(A26="",0,IF(N(J26)&gt;N(I26),1,0))</f>
        <v/>
      </c>
      <c r="AG26" s="19">
        <f>IF(A26="",0,IF(N(N26)&gt;N(M26)+1,1,0))</f>
        <v/>
      </c>
      <c r="AH26" s="19">
        <f>IF(A26="",0,IF(N(E26)&gt;N(B26),1,0))</f>
        <v/>
      </c>
      <c r="AI26" s="19">
        <f>IF(A26="",0,IF(AND(Z26="Full payment",N(N26)&lt;N(M26)-1),1,0))</f>
        <v/>
      </c>
      <c r="AJ26" s="19">
        <f>IF(A26="",0,IF(N(P26)&lt;0,1,0))</f>
        <v/>
      </c>
      <c r="AK26" s="19">
        <f>IF(A26="",0,IF(COUNTIF($A$7:$A$1006,A26)&gt;1,1,0))</f>
        <v/>
      </c>
    </row>
    <row r="27">
      <c r="A27" s="10" t="n"/>
      <c r="B27" s="17" t="n"/>
      <c r="C27" s="18" t="n"/>
      <c r="D27" s="10" t="n"/>
      <c r="E27" s="17" t="n"/>
      <c r="F27" s="10" t="n"/>
      <c r="G27" s="10" t="n"/>
      <c r="H27" s="10" t="n"/>
      <c r="I27" s="18" t="n"/>
      <c r="J27" s="18" t="n"/>
      <c r="K27" s="18" t="n"/>
      <c r="L27" s="18" t="n"/>
      <c r="M27" s="19">
        <f>IF(K27="","",K27*365/12*L27)</f>
        <v/>
      </c>
      <c r="N27" s="18" t="n"/>
      <c r="O27" s="18" t="n"/>
      <c r="P27" s="18" t="n"/>
      <c r="Q27" s="18" t="n"/>
      <c r="R27" s="10" t="n"/>
      <c r="S27" s="17" t="n"/>
      <c r="T27" s="18" t="n"/>
      <c r="U27" s="17" t="n"/>
      <c r="V27" s="17" t="n"/>
      <c r="W27" s="18" t="n"/>
      <c r="X27" s="18" t="n"/>
      <c r="Y27" s="17" t="n"/>
      <c r="Z27" s="10" t="n"/>
      <c r="AA27" s="10" t="n"/>
      <c r="AB27" s="19">
        <f>IF(LEN(A27)&gt;0,1,0)</f>
        <v/>
      </c>
      <c r="AC27" s="19">
        <f>IF(LEN(A27)=0,0,(LEN(B27)=0)+(LEN(C27)=0)+(LEN(D27)=0)+(LEN(E27)=0)+(LEN(F27)=0)+(LEN(G27)=0)+(LEN(H27)=0)+(LEN(I27)=0)+(LEN(J27)=0)+(LEN(K27)=0)+(LEN(L27)=0)+(LEN(N27)=0)+(LEN(O27)=0)+(LEN(P27)=0)+(LEN(R27)=0)+(LEN(AA27)=0))</f>
        <v/>
      </c>
      <c r="AD27" s="19">
        <f>IF(OR(LEN(A27)=0,LEN(C27)=0),0,IF(OR(C27&lt;1,C27&gt;5),1,0))</f>
        <v/>
      </c>
      <c r="AE27" s="19">
        <f>IF(OR(LEN(A27)=0,LEN(R27)=0),0,IF(OR(R27="Active",R27="Paid off",R27="Defaulted",R27="Repossessed",R27="Written off",R27="Restructured"),0,1))</f>
        <v/>
      </c>
      <c r="AF27" s="19">
        <f>IF(A27="",0,IF(N(J27)&gt;N(I27),1,0))</f>
        <v/>
      </c>
      <c r="AG27" s="19">
        <f>IF(A27="",0,IF(N(N27)&gt;N(M27)+1,1,0))</f>
        <v/>
      </c>
      <c r="AH27" s="19">
        <f>IF(A27="",0,IF(N(E27)&gt;N(B27),1,0))</f>
        <v/>
      </c>
      <c r="AI27" s="19">
        <f>IF(A27="",0,IF(AND(Z27="Full payment",N(N27)&lt;N(M27)-1),1,0))</f>
        <v/>
      </c>
      <c r="AJ27" s="19">
        <f>IF(A27="",0,IF(N(P27)&lt;0,1,0))</f>
        <v/>
      </c>
      <c r="AK27" s="19">
        <f>IF(A27="",0,IF(COUNTIF($A$7:$A$1006,A27)&gt;1,1,0))</f>
        <v/>
      </c>
    </row>
    <row r="28">
      <c r="A28" s="10" t="n"/>
      <c r="B28" s="17" t="n"/>
      <c r="C28" s="18" t="n"/>
      <c r="D28" s="10" t="n"/>
      <c r="E28" s="17" t="n"/>
      <c r="F28" s="10" t="n"/>
      <c r="G28" s="10" t="n"/>
      <c r="H28" s="10" t="n"/>
      <c r="I28" s="18" t="n"/>
      <c r="J28" s="18" t="n"/>
      <c r="K28" s="18" t="n"/>
      <c r="L28" s="18" t="n"/>
      <c r="M28" s="19">
        <f>IF(K28="","",K28*365/12*L28)</f>
        <v/>
      </c>
      <c r="N28" s="18" t="n"/>
      <c r="O28" s="18" t="n"/>
      <c r="P28" s="18" t="n"/>
      <c r="Q28" s="18" t="n"/>
      <c r="R28" s="10" t="n"/>
      <c r="S28" s="17" t="n"/>
      <c r="T28" s="18" t="n"/>
      <c r="U28" s="17" t="n"/>
      <c r="V28" s="17" t="n"/>
      <c r="W28" s="18" t="n"/>
      <c r="X28" s="18" t="n"/>
      <c r="Y28" s="17" t="n"/>
      <c r="Z28" s="10" t="n"/>
      <c r="AA28" s="10" t="n"/>
      <c r="AB28" s="19">
        <f>IF(LEN(A28)&gt;0,1,0)</f>
        <v/>
      </c>
      <c r="AC28" s="19">
        <f>IF(LEN(A28)=0,0,(LEN(B28)=0)+(LEN(C28)=0)+(LEN(D28)=0)+(LEN(E28)=0)+(LEN(F28)=0)+(LEN(G28)=0)+(LEN(H28)=0)+(LEN(I28)=0)+(LEN(J28)=0)+(LEN(K28)=0)+(LEN(L28)=0)+(LEN(N28)=0)+(LEN(O28)=0)+(LEN(P28)=0)+(LEN(R28)=0)+(LEN(AA28)=0))</f>
        <v/>
      </c>
      <c r="AD28" s="19">
        <f>IF(OR(LEN(A28)=0,LEN(C28)=0),0,IF(OR(C28&lt;1,C28&gt;5),1,0))</f>
        <v/>
      </c>
      <c r="AE28" s="19">
        <f>IF(OR(LEN(A28)=0,LEN(R28)=0),0,IF(OR(R28="Active",R28="Paid off",R28="Defaulted",R28="Repossessed",R28="Written off",R28="Restructured"),0,1))</f>
        <v/>
      </c>
      <c r="AF28" s="19">
        <f>IF(A28="",0,IF(N(J28)&gt;N(I28),1,0))</f>
        <v/>
      </c>
      <c r="AG28" s="19">
        <f>IF(A28="",0,IF(N(N28)&gt;N(M28)+1,1,0))</f>
        <v/>
      </c>
      <c r="AH28" s="19">
        <f>IF(A28="",0,IF(N(E28)&gt;N(B28),1,0))</f>
        <v/>
      </c>
      <c r="AI28" s="19">
        <f>IF(A28="",0,IF(AND(Z28="Full payment",N(N28)&lt;N(M28)-1),1,0))</f>
        <v/>
      </c>
      <c r="AJ28" s="19">
        <f>IF(A28="",0,IF(N(P28)&lt;0,1,0))</f>
        <v/>
      </c>
      <c r="AK28" s="19">
        <f>IF(A28="",0,IF(COUNTIF($A$7:$A$1006,A28)&gt;1,1,0))</f>
        <v/>
      </c>
    </row>
    <row r="29">
      <c r="A29" s="10" t="n"/>
      <c r="B29" s="17" t="n"/>
      <c r="C29" s="18" t="n"/>
      <c r="D29" s="10" t="n"/>
      <c r="E29" s="17" t="n"/>
      <c r="F29" s="10" t="n"/>
      <c r="G29" s="10" t="n"/>
      <c r="H29" s="10" t="n"/>
      <c r="I29" s="18" t="n"/>
      <c r="J29" s="18" t="n"/>
      <c r="K29" s="18" t="n"/>
      <c r="L29" s="18" t="n"/>
      <c r="M29" s="19">
        <f>IF(K29="","",K29*365/12*L29)</f>
        <v/>
      </c>
      <c r="N29" s="18" t="n"/>
      <c r="O29" s="18" t="n"/>
      <c r="P29" s="18" t="n"/>
      <c r="Q29" s="18" t="n"/>
      <c r="R29" s="10" t="n"/>
      <c r="S29" s="17" t="n"/>
      <c r="T29" s="18" t="n"/>
      <c r="U29" s="17" t="n"/>
      <c r="V29" s="17" t="n"/>
      <c r="W29" s="18" t="n"/>
      <c r="X29" s="18" t="n"/>
      <c r="Y29" s="17" t="n"/>
      <c r="Z29" s="10" t="n"/>
      <c r="AA29" s="10" t="n"/>
      <c r="AB29" s="19">
        <f>IF(LEN(A29)&gt;0,1,0)</f>
        <v/>
      </c>
      <c r="AC29" s="19">
        <f>IF(LEN(A29)=0,0,(LEN(B29)=0)+(LEN(C29)=0)+(LEN(D29)=0)+(LEN(E29)=0)+(LEN(F29)=0)+(LEN(G29)=0)+(LEN(H29)=0)+(LEN(I29)=0)+(LEN(J29)=0)+(LEN(K29)=0)+(LEN(L29)=0)+(LEN(N29)=0)+(LEN(O29)=0)+(LEN(P29)=0)+(LEN(R29)=0)+(LEN(AA29)=0))</f>
        <v/>
      </c>
      <c r="AD29" s="19">
        <f>IF(OR(LEN(A29)=0,LEN(C29)=0),0,IF(OR(C29&lt;1,C29&gt;5),1,0))</f>
        <v/>
      </c>
      <c r="AE29" s="19">
        <f>IF(OR(LEN(A29)=0,LEN(R29)=0),0,IF(OR(R29="Active",R29="Paid off",R29="Defaulted",R29="Repossessed",R29="Written off",R29="Restructured"),0,1))</f>
        <v/>
      </c>
      <c r="AF29" s="19">
        <f>IF(A29="",0,IF(N(J29)&gt;N(I29),1,0))</f>
        <v/>
      </c>
      <c r="AG29" s="19">
        <f>IF(A29="",0,IF(N(N29)&gt;N(M29)+1,1,0))</f>
        <v/>
      </c>
      <c r="AH29" s="19">
        <f>IF(A29="",0,IF(N(E29)&gt;N(B29),1,0))</f>
        <v/>
      </c>
      <c r="AI29" s="19">
        <f>IF(A29="",0,IF(AND(Z29="Full payment",N(N29)&lt;N(M29)-1),1,0))</f>
        <v/>
      </c>
      <c r="AJ29" s="19">
        <f>IF(A29="",0,IF(N(P29)&lt;0,1,0))</f>
        <v/>
      </c>
      <c r="AK29" s="19">
        <f>IF(A29="",0,IF(COUNTIF($A$7:$A$1006,A29)&gt;1,1,0))</f>
        <v/>
      </c>
    </row>
    <row r="30">
      <c r="A30" s="10" t="n"/>
      <c r="B30" s="17" t="n"/>
      <c r="C30" s="18" t="n"/>
      <c r="D30" s="10" t="n"/>
      <c r="E30" s="17" t="n"/>
      <c r="F30" s="10" t="n"/>
      <c r="G30" s="10" t="n"/>
      <c r="H30" s="10" t="n"/>
      <c r="I30" s="18" t="n"/>
      <c r="J30" s="18" t="n"/>
      <c r="K30" s="18" t="n"/>
      <c r="L30" s="18" t="n"/>
      <c r="M30" s="19">
        <f>IF(K30="","",K30*365/12*L30)</f>
        <v/>
      </c>
      <c r="N30" s="18" t="n"/>
      <c r="O30" s="18" t="n"/>
      <c r="P30" s="18" t="n"/>
      <c r="Q30" s="18" t="n"/>
      <c r="R30" s="10" t="n"/>
      <c r="S30" s="17" t="n"/>
      <c r="T30" s="18" t="n"/>
      <c r="U30" s="17" t="n"/>
      <c r="V30" s="17" t="n"/>
      <c r="W30" s="18" t="n"/>
      <c r="X30" s="18" t="n"/>
      <c r="Y30" s="17" t="n"/>
      <c r="Z30" s="10" t="n"/>
      <c r="AA30" s="10" t="n"/>
      <c r="AB30" s="19">
        <f>IF(LEN(A30)&gt;0,1,0)</f>
        <v/>
      </c>
      <c r="AC30" s="19">
        <f>IF(LEN(A30)=0,0,(LEN(B30)=0)+(LEN(C30)=0)+(LEN(D30)=0)+(LEN(E30)=0)+(LEN(F30)=0)+(LEN(G30)=0)+(LEN(H30)=0)+(LEN(I30)=0)+(LEN(J30)=0)+(LEN(K30)=0)+(LEN(L30)=0)+(LEN(N30)=0)+(LEN(O30)=0)+(LEN(P30)=0)+(LEN(R30)=0)+(LEN(AA30)=0))</f>
        <v/>
      </c>
      <c r="AD30" s="19">
        <f>IF(OR(LEN(A30)=0,LEN(C30)=0),0,IF(OR(C30&lt;1,C30&gt;5),1,0))</f>
        <v/>
      </c>
      <c r="AE30" s="19">
        <f>IF(OR(LEN(A30)=0,LEN(R30)=0),0,IF(OR(R30="Active",R30="Paid off",R30="Defaulted",R30="Repossessed",R30="Written off",R30="Restructured"),0,1))</f>
        <v/>
      </c>
      <c r="AF30" s="19">
        <f>IF(A30="",0,IF(N(J30)&gt;N(I30),1,0))</f>
        <v/>
      </c>
      <c r="AG30" s="19">
        <f>IF(A30="",0,IF(N(N30)&gt;N(M30)+1,1,0))</f>
        <v/>
      </c>
      <c r="AH30" s="19">
        <f>IF(A30="",0,IF(N(E30)&gt;N(B30),1,0))</f>
        <v/>
      </c>
      <c r="AI30" s="19">
        <f>IF(A30="",0,IF(AND(Z30="Full payment",N(N30)&lt;N(M30)-1),1,0))</f>
        <v/>
      </c>
      <c r="AJ30" s="19">
        <f>IF(A30="",0,IF(N(P30)&lt;0,1,0))</f>
        <v/>
      </c>
      <c r="AK30" s="19">
        <f>IF(A30="",0,IF(COUNTIF($A$7:$A$1006,A30)&gt;1,1,0))</f>
        <v/>
      </c>
    </row>
    <row r="31">
      <c r="A31" s="10" t="n"/>
      <c r="B31" s="17" t="n"/>
      <c r="C31" s="18" t="n"/>
      <c r="D31" s="10" t="n"/>
      <c r="E31" s="17" t="n"/>
      <c r="F31" s="10" t="n"/>
      <c r="G31" s="10" t="n"/>
      <c r="H31" s="10" t="n"/>
      <c r="I31" s="18" t="n"/>
      <c r="J31" s="18" t="n"/>
      <c r="K31" s="18" t="n"/>
      <c r="L31" s="18" t="n"/>
      <c r="M31" s="19">
        <f>IF(K31="","",K31*365/12*L31)</f>
        <v/>
      </c>
      <c r="N31" s="18" t="n"/>
      <c r="O31" s="18" t="n"/>
      <c r="P31" s="18" t="n"/>
      <c r="Q31" s="18" t="n"/>
      <c r="R31" s="10" t="n"/>
      <c r="S31" s="17" t="n"/>
      <c r="T31" s="18" t="n"/>
      <c r="U31" s="17" t="n"/>
      <c r="V31" s="17" t="n"/>
      <c r="W31" s="18" t="n"/>
      <c r="X31" s="18" t="n"/>
      <c r="Y31" s="17" t="n"/>
      <c r="Z31" s="10" t="n"/>
      <c r="AA31" s="10" t="n"/>
      <c r="AB31" s="19">
        <f>IF(LEN(A31)&gt;0,1,0)</f>
        <v/>
      </c>
      <c r="AC31" s="19">
        <f>IF(LEN(A31)=0,0,(LEN(B31)=0)+(LEN(C31)=0)+(LEN(D31)=0)+(LEN(E31)=0)+(LEN(F31)=0)+(LEN(G31)=0)+(LEN(H31)=0)+(LEN(I31)=0)+(LEN(J31)=0)+(LEN(K31)=0)+(LEN(L31)=0)+(LEN(N31)=0)+(LEN(O31)=0)+(LEN(P31)=0)+(LEN(R31)=0)+(LEN(AA31)=0))</f>
        <v/>
      </c>
      <c r="AD31" s="19">
        <f>IF(OR(LEN(A31)=0,LEN(C31)=0),0,IF(OR(C31&lt;1,C31&gt;5),1,0))</f>
        <v/>
      </c>
      <c r="AE31" s="19">
        <f>IF(OR(LEN(A31)=0,LEN(R31)=0),0,IF(OR(R31="Active",R31="Paid off",R31="Defaulted",R31="Repossessed",R31="Written off",R31="Restructured"),0,1))</f>
        <v/>
      </c>
      <c r="AF31" s="19">
        <f>IF(A31="",0,IF(N(J31)&gt;N(I31),1,0))</f>
        <v/>
      </c>
      <c r="AG31" s="19">
        <f>IF(A31="",0,IF(N(N31)&gt;N(M31)+1,1,0))</f>
        <v/>
      </c>
      <c r="AH31" s="19">
        <f>IF(A31="",0,IF(N(E31)&gt;N(B31),1,0))</f>
        <v/>
      </c>
      <c r="AI31" s="19">
        <f>IF(A31="",0,IF(AND(Z31="Full payment",N(N31)&lt;N(M31)-1),1,0))</f>
        <v/>
      </c>
      <c r="AJ31" s="19">
        <f>IF(A31="",0,IF(N(P31)&lt;0,1,0))</f>
        <v/>
      </c>
      <c r="AK31" s="19">
        <f>IF(A31="",0,IF(COUNTIF($A$7:$A$1006,A31)&gt;1,1,0))</f>
        <v/>
      </c>
    </row>
    <row r="32">
      <c r="A32" s="10" t="n"/>
      <c r="B32" s="17" t="n"/>
      <c r="C32" s="18" t="n"/>
      <c r="D32" s="10" t="n"/>
      <c r="E32" s="17" t="n"/>
      <c r="F32" s="10" t="n"/>
      <c r="G32" s="10" t="n"/>
      <c r="H32" s="10" t="n"/>
      <c r="I32" s="18" t="n"/>
      <c r="J32" s="18" t="n"/>
      <c r="K32" s="18" t="n"/>
      <c r="L32" s="18" t="n"/>
      <c r="M32" s="19">
        <f>IF(K32="","",K32*365/12*L32)</f>
        <v/>
      </c>
      <c r="N32" s="18" t="n"/>
      <c r="O32" s="18" t="n"/>
      <c r="P32" s="18" t="n"/>
      <c r="Q32" s="18" t="n"/>
      <c r="R32" s="10" t="n"/>
      <c r="S32" s="17" t="n"/>
      <c r="T32" s="18" t="n"/>
      <c r="U32" s="17" t="n"/>
      <c r="V32" s="17" t="n"/>
      <c r="W32" s="18" t="n"/>
      <c r="X32" s="18" t="n"/>
      <c r="Y32" s="17" t="n"/>
      <c r="Z32" s="10" t="n"/>
      <c r="AA32" s="10" t="n"/>
      <c r="AB32" s="19">
        <f>IF(LEN(A32)&gt;0,1,0)</f>
        <v/>
      </c>
      <c r="AC32" s="19">
        <f>IF(LEN(A32)=0,0,(LEN(B32)=0)+(LEN(C32)=0)+(LEN(D32)=0)+(LEN(E32)=0)+(LEN(F32)=0)+(LEN(G32)=0)+(LEN(H32)=0)+(LEN(I32)=0)+(LEN(J32)=0)+(LEN(K32)=0)+(LEN(L32)=0)+(LEN(N32)=0)+(LEN(O32)=0)+(LEN(P32)=0)+(LEN(R32)=0)+(LEN(AA32)=0))</f>
        <v/>
      </c>
      <c r="AD32" s="19">
        <f>IF(OR(LEN(A32)=0,LEN(C32)=0),0,IF(OR(C32&lt;1,C32&gt;5),1,0))</f>
        <v/>
      </c>
      <c r="AE32" s="19">
        <f>IF(OR(LEN(A32)=0,LEN(R32)=0),0,IF(OR(R32="Active",R32="Paid off",R32="Defaulted",R32="Repossessed",R32="Written off",R32="Restructured"),0,1))</f>
        <v/>
      </c>
      <c r="AF32" s="19">
        <f>IF(A32="",0,IF(N(J32)&gt;N(I32),1,0))</f>
        <v/>
      </c>
      <c r="AG32" s="19">
        <f>IF(A32="",0,IF(N(N32)&gt;N(M32)+1,1,0))</f>
        <v/>
      </c>
      <c r="AH32" s="19">
        <f>IF(A32="",0,IF(N(E32)&gt;N(B32),1,0))</f>
        <v/>
      </c>
      <c r="AI32" s="19">
        <f>IF(A32="",0,IF(AND(Z32="Full payment",N(N32)&lt;N(M32)-1),1,0))</f>
        <v/>
      </c>
      <c r="AJ32" s="19">
        <f>IF(A32="",0,IF(N(P32)&lt;0,1,0))</f>
        <v/>
      </c>
      <c r="AK32" s="19">
        <f>IF(A32="",0,IF(COUNTIF($A$7:$A$1006,A32)&gt;1,1,0))</f>
        <v/>
      </c>
    </row>
    <row r="33">
      <c r="A33" s="10" t="n"/>
      <c r="B33" s="17" t="n"/>
      <c r="C33" s="18" t="n"/>
      <c r="D33" s="10" t="n"/>
      <c r="E33" s="17" t="n"/>
      <c r="F33" s="10" t="n"/>
      <c r="G33" s="10" t="n"/>
      <c r="H33" s="10" t="n"/>
      <c r="I33" s="18" t="n"/>
      <c r="J33" s="18" t="n"/>
      <c r="K33" s="18" t="n"/>
      <c r="L33" s="18" t="n"/>
      <c r="M33" s="19">
        <f>IF(K33="","",K33*365/12*L33)</f>
        <v/>
      </c>
      <c r="N33" s="18" t="n"/>
      <c r="O33" s="18" t="n"/>
      <c r="P33" s="18" t="n"/>
      <c r="Q33" s="18" t="n"/>
      <c r="R33" s="10" t="n"/>
      <c r="S33" s="17" t="n"/>
      <c r="T33" s="18" t="n"/>
      <c r="U33" s="17" t="n"/>
      <c r="V33" s="17" t="n"/>
      <c r="W33" s="18" t="n"/>
      <c r="X33" s="18" t="n"/>
      <c r="Y33" s="17" t="n"/>
      <c r="Z33" s="10" t="n"/>
      <c r="AA33" s="10" t="n"/>
      <c r="AB33" s="19">
        <f>IF(LEN(A33)&gt;0,1,0)</f>
        <v/>
      </c>
      <c r="AC33" s="19">
        <f>IF(LEN(A33)=0,0,(LEN(B33)=0)+(LEN(C33)=0)+(LEN(D33)=0)+(LEN(E33)=0)+(LEN(F33)=0)+(LEN(G33)=0)+(LEN(H33)=0)+(LEN(I33)=0)+(LEN(J33)=0)+(LEN(K33)=0)+(LEN(L33)=0)+(LEN(N33)=0)+(LEN(O33)=0)+(LEN(P33)=0)+(LEN(R33)=0)+(LEN(AA33)=0))</f>
        <v/>
      </c>
      <c r="AD33" s="19">
        <f>IF(OR(LEN(A33)=0,LEN(C33)=0),0,IF(OR(C33&lt;1,C33&gt;5),1,0))</f>
        <v/>
      </c>
      <c r="AE33" s="19">
        <f>IF(OR(LEN(A33)=0,LEN(R33)=0),0,IF(OR(R33="Active",R33="Paid off",R33="Defaulted",R33="Repossessed",R33="Written off",R33="Restructured"),0,1))</f>
        <v/>
      </c>
      <c r="AF33" s="19">
        <f>IF(A33="",0,IF(N(J33)&gt;N(I33),1,0))</f>
        <v/>
      </c>
      <c r="AG33" s="19">
        <f>IF(A33="",0,IF(N(N33)&gt;N(M33)+1,1,0))</f>
        <v/>
      </c>
      <c r="AH33" s="19">
        <f>IF(A33="",0,IF(N(E33)&gt;N(B33),1,0))</f>
        <v/>
      </c>
      <c r="AI33" s="19">
        <f>IF(A33="",0,IF(AND(Z33="Full payment",N(N33)&lt;N(M33)-1),1,0))</f>
        <v/>
      </c>
      <c r="AJ33" s="19">
        <f>IF(A33="",0,IF(N(P33)&lt;0,1,0))</f>
        <v/>
      </c>
      <c r="AK33" s="19">
        <f>IF(A33="",0,IF(COUNTIF($A$7:$A$1006,A33)&gt;1,1,0))</f>
        <v/>
      </c>
    </row>
    <row r="34">
      <c r="A34" s="10" t="n"/>
      <c r="B34" s="17" t="n"/>
      <c r="C34" s="18" t="n"/>
      <c r="D34" s="10" t="n"/>
      <c r="E34" s="17" t="n"/>
      <c r="F34" s="10" t="n"/>
      <c r="G34" s="10" t="n"/>
      <c r="H34" s="10" t="n"/>
      <c r="I34" s="18" t="n"/>
      <c r="J34" s="18" t="n"/>
      <c r="K34" s="18" t="n"/>
      <c r="L34" s="18" t="n"/>
      <c r="M34" s="19">
        <f>IF(K34="","",K34*365/12*L34)</f>
        <v/>
      </c>
      <c r="N34" s="18" t="n"/>
      <c r="O34" s="18" t="n"/>
      <c r="P34" s="18" t="n"/>
      <c r="Q34" s="18" t="n"/>
      <c r="R34" s="10" t="n"/>
      <c r="S34" s="17" t="n"/>
      <c r="T34" s="18" t="n"/>
      <c r="U34" s="17" t="n"/>
      <c r="V34" s="17" t="n"/>
      <c r="W34" s="18" t="n"/>
      <c r="X34" s="18" t="n"/>
      <c r="Y34" s="17" t="n"/>
      <c r="Z34" s="10" t="n"/>
      <c r="AA34" s="10" t="n"/>
      <c r="AB34" s="19">
        <f>IF(LEN(A34)&gt;0,1,0)</f>
        <v/>
      </c>
      <c r="AC34" s="19">
        <f>IF(LEN(A34)=0,0,(LEN(B34)=0)+(LEN(C34)=0)+(LEN(D34)=0)+(LEN(E34)=0)+(LEN(F34)=0)+(LEN(G34)=0)+(LEN(H34)=0)+(LEN(I34)=0)+(LEN(J34)=0)+(LEN(K34)=0)+(LEN(L34)=0)+(LEN(N34)=0)+(LEN(O34)=0)+(LEN(P34)=0)+(LEN(R34)=0)+(LEN(AA34)=0))</f>
        <v/>
      </c>
      <c r="AD34" s="19">
        <f>IF(OR(LEN(A34)=0,LEN(C34)=0),0,IF(OR(C34&lt;1,C34&gt;5),1,0))</f>
        <v/>
      </c>
      <c r="AE34" s="19">
        <f>IF(OR(LEN(A34)=0,LEN(R34)=0),0,IF(OR(R34="Active",R34="Paid off",R34="Defaulted",R34="Repossessed",R34="Written off",R34="Restructured"),0,1))</f>
        <v/>
      </c>
      <c r="AF34" s="19">
        <f>IF(A34="",0,IF(N(J34)&gt;N(I34),1,0))</f>
        <v/>
      </c>
      <c r="AG34" s="19">
        <f>IF(A34="",0,IF(N(N34)&gt;N(M34)+1,1,0))</f>
        <v/>
      </c>
      <c r="AH34" s="19">
        <f>IF(A34="",0,IF(N(E34)&gt;N(B34),1,0))</f>
        <v/>
      </c>
      <c r="AI34" s="19">
        <f>IF(A34="",0,IF(AND(Z34="Full payment",N(N34)&lt;N(M34)-1),1,0))</f>
        <v/>
      </c>
      <c r="AJ34" s="19">
        <f>IF(A34="",0,IF(N(P34)&lt;0,1,0))</f>
        <v/>
      </c>
      <c r="AK34" s="19">
        <f>IF(A34="",0,IF(COUNTIF($A$7:$A$1006,A34)&gt;1,1,0))</f>
        <v/>
      </c>
    </row>
    <row r="35">
      <c r="A35" s="10" t="n"/>
      <c r="B35" s="17" t="n"/>
      <c r="C35" s="18" t="n"/>
      <c r="D35" s="10" t="n"/>
      <c r="E35" s="17" t="n"/>
      <c r="F35" s="10" t="n"/>
      <c r="G35" s="10" t="n"/>
      <c r="H35" s="10" t="n"/>
      <c r="I35" s="18" t="n"/>
      <c r="J35" s="18" t="n"/>
      <c r="K35" s="18" t="n"/>
      <c r="L35" s="18" t="n"/>
      <c r="M35" s="19">
        <f>IF(K35="","",K35*365/12*L35)</f>
        <v/>
      </c>
      <c r="N35" s="18" t="n"/>
      <c r="O35" s="18" t="n"/>
      <c r="P35" s="18" t="n"/>
      <c r="Q35" s="18" t="n"/>
      <c r="R35" s="10" t="n"/>
      <c r="S35" s="17" t="n"/>
      <c r="T35" s="18" t="n"/>
      <c r="U35" s="17" t="n"/>
      <c r="V35" s="17" t="n"/>
      <c r="W35" s="18" t="n"/>
      <c r="X35" s="18" t="n"/>
      <c r="Y35" s="17" t="n"/>
      <c r="Z35" s="10" t="n"/>
      <c r="AA35" s="10" t="n"/>
      <c r="AB35" s="19">
        <f>IF(LEN(A35)&gt;0,1,0)</f>
        <v/>
      </c>
      <c r="AC35" s="19">
        <f>IF(LEN(A35)=0,0,(LEN(B35)=0)+(LEN(C35)=0)+(LEN(D35)=0)+(LEN(E35)=0)+(LEN(F35)=0)+(LEN(G35)=0)+(LEN(H35)=0)+(LEN(I35)=0)+(LEN(J35)=0)+(LEN(K35)=0)+(LEN(L35)=0)+(LEN(N35)=0)+(LEN(O35)=0)+(LEN(P35)=0)+(LEN(R35)=0)+(LEN(AA35)=0))</f>
        <v/>
      </c>
      <c r="AD35" s="19">
        <f>IF(OR(LEN(A35)=0,LEN(C35)=0),0,IF(OR(C35&lt;1,C35&gt;5),1,0))</f>
        <v/>
      </c>
      <c r="AE35" s="19">
        <f>IF(OR(LEN(A35)=0,LEN(R35)=0),0,IF(OR(R35="Active",R35="Paid off",R35="Defaulted",R35="Repossessed",R35="Written off",R35="Restructured"),0,1))</f>
        <v/>
      </c>
      <c r="AF35" s="19">
        <f>IF(A35="",0,IF(N(J35)&gt;N(I35),1,0))</f>
        <v/>
      </c>
      <c r="AG35" s="19">
        <f>IF(A35="",0,IF(N(N35)&gt;N(M35)+1,1,0))</f>
        <v/>
      </c>
      <c r="AH35" s="19">
        <f>IF(A35="",0,IF(N(E35)&gt;N(B35),1,0))</f>
        <v/>
      </c>
      <c r="AI35" s="19">
        <f>IF(A35="",0,IF(AND(Z35="Full payment",N(N35)&lt;N(M35)-1),1,0))</f>
        <v/>
      </c>
      <c r="AJ35" s="19">
        <f>IF(A35="",0,IF(N(P35)&lt;0,1,0))</f>
        <v/>
      </c>
      <c r="AK35" s="19">
        <f>IF(A35="",0,IF(COUNTIF($A$7:$A$1006,A35)&gt;1,1,0))</f>
        <v/>
      </c>
    </row>
    <row r="36">
      <c r="A36" s="10" t="n"/>
      <c r="B36" s="17" t="n"/>
      <c r="C36" s="18" t="n"/>
      <c r="D36" s="10" t="n"/>
      <c r="E36" s="17" t="n"/>
      <c r="F36" s="10" t="n"/>
      <c r="G36" s="10" t="n"/>
      <c r="H36" s="10" t="n"/>
      <c r="I36" s="18" t="n"/>
      <c r="J36" s="18" t="n"/>
      <c r="K36" s="18" t="n"/>
      <c r="L36" s="18" t="n"/>
      <c r="M36" s="19">
        <f>IF(K36="","",K36*365/12*L36)</f>
        <v/>
      </c>
      <c r="N36" s="18" t="n"/>
      <c r="O36" s="18" t="n"/>
      <c r="P36" s="18" t="n"/>
      <c r="Q36" s="18" t="n"/>
      <c r="R36" s="10" t="n"/>
      <c r="S36" s="17" t="n"/>
      <c r="T36" s="18" t="n"/>
      <c r="U36" s="17" t="n"/>
      <c r="V36" s="17" t="n"/>
      <c r="W36" s="18" t="n"/>
      <c r="X36" s="18" t="n"/>
      <c r="Y36" s="17" t="n"/>
      <c r="Z36" s="10" t="n"/>
      <c r="AA36" s="10" t="n"/>
      <c r="AB36" s="19">
        <f>IF(LEN(A36)&gt;0,1,0)</f>
        <v/>
      </c>
      <c r="AC36" s="19">
        <f>IF(LEN(A36)=0,0,(LEN(B36)=0)+(LEN(C36)=0)+(LEN(D36)=0)+(LEN(E36)=0)+(LEN(F36)=0)+(LEN(G36)=0)+(LEN(H36)=0)+(LEN(I36)=0)+(LEN(J36)=0)+(LEN(K36)=0)+(LEN(L36)=0)+(LEN(N36)=0)+(LEN(O36)=0)+(LEN(P36)=0)+(LEN(R36)=0)+(LEN(AA36)=0))</f>
        <v/>
      </c>
      <c r="AD36" s="19">
        <f>IF(OR(LEN(A36)=0,LEN(C36)=0),0,IF(OR(C36&lt;1,C36&gt;5),1,0))</f>
        <v/>
      </c>
      <c r="AE36" s="19">
        <f>IF(OR(LEN(A36)=0,LEN(R36)=0),0,IF(OR(R36="Active",R36="Paid off",R36="Defaulted",R36="Repossessed",R36="Written off",R36="Restructured"),0,1))</f>
        <v/>
      </c>
      <c r="AF36" s="19">
        <f>IF(A36="",0,IF(N(J36)&gt;N(I36),1,0))</f>
        <v/>
      </c>
      <c r="AG36" s="19">
        <f>IF(A36="",0,IF(N(N36)&gt;N(M36)+1,1,0))</f>
        <v/>
      </c>
      <c r="AH36" s="19">
        <f>IF(A36="",0,IF(N(E36)&gt;N(B36),1,0))</f>
        <v/>
      </c>
      <c r="AI36" s="19">
        <f>IF(A36="",0,IF(AND(Z36="Full payment",N(N36)&lt;N(M36)-1),1,0))</f>
        <v/>
      </c>
      <c r="AJ36" s="19">
        <f>IF(A36="",0,IF(N(P36)&lt;0,1,0))</f>
        <v/>
      </c>
      <c r="AK36" s="19">
        <f>IF(A36="",0,IF(COUNTIF($A$7:$A$1006,A36)&gt;1,1,0))</f>
        <v/>
      </c>
    </row>
    <row r="37">
      <c r="A37" s="10" t="n"/>
      <c r="B37" s="17" t="n"/>
      <c r="C37" s="18" t="n"/>
      <c r="D37" s="10" t="n"/>
      <c r="E37" s="17" t="n"/>
      <c r="F37" s="10" t="n"/>
      <c r="G37" s="10" t="n"/>
      <c r="H37" s="10" t="n"/>
      <c r="I37" s="18" t="n"/>
      <c r="J37" s="18" t="n"/>
      <c r="K37" s="18" t="n"/>
      <c r="L37" s="18" t="n"/>
      <c r="M37" s="19">
        <f>IF(K37="","",K37*365/12*L37)</f>
        <v/>
      </c>
      <c r="N37" s="18" t="n"/>
      <c r="O37" s="18" t="n"/>
      <c r="P37" s="18" t="n"/>
      <c r="Q37" s="18" t="n"/>
      <c r="R37" s="10" t="n"/>
      <c r="S37" s="17" t="n"/>
      <c r="T37" s="18" t="n"/>
      <c r="U37" s="17" t="n"/>
      <c r="V37" s="17" t="n"/>
      <c r="W37" s="18" t="n"/>
      <c r="X37" s="18" t="n"/>
      <c r="Y37" s="17" t="n"/>
      <c r="Z37" s="10" t="n"/>
      <c r="AA37" s="10" t="n"/>
      <c r="AB37" s="19">
        <f>IF(LEN(A37)&gt;0,1,0)</f>
        <v/>
      </c>
      <c r="AC37" s="19">
        <f>IF(LEN(A37)=0,0,(LEN(B37)=0)+(LEN(C37)=0)+(LEN(D37)=0)+(LEN(E37)=0)+(LEN(F37)=0)+(LEN(G37)=0)+(LEN(H37)=0)+(LEN(I37)=0)+(LEN(J37)=0)+(LEN(K37)=0)+(LEN(L37)=0)+(LEN(N37)=0)+(LEN(O37)=0)+(LEN(P37)=0)+(LEN(R37)=0)+(LEN(AA37)=0))</f>
        <v/>
      </c>
      <c r="AD37" s="19">
        <f>IF(OR(LEN(A37)=0,LEN(C37)=0),0,IF(OR(C37&lt;1,C37&gt;5),1,0))</f>
        <v/>
      </c>
      <c r="AE37" s="19">
        <f>IF(OR(LEN(A37)=0,LEN(R37)=0),0,IF(OR(R37="Active",R37="Paid off",R37="Defaulted",R37="Repossessed",R37="Written off",R37="Restructured"),0,1))</f>
        <v/>
      </c>
      <c r="AF37" s="19">
        <f>IF(A37="",0,IF(N(J37)&gt;N(I37),1,0))</f>
        <v/>
      </c>
      <c r="AG37" s="19">
        <f>IF(A37="",0,IF(N(N37)&gt;N(M37)+1,1,0))</f>
        <v/>
      </c>
      <c r="AH37" s="19">
        <f>IF(A37="",0,IF(N(E37)&gt;N(B37),1,0))</f>
        <v/>
      </c>
      <c r="AI37" s="19">
        <f>IF(A37="",0,IF(AND(Z37="Full payment",N(N37)&lt;N(M37)-1),1,0))</f>
        <v/>
      </c>
      <c r="AJ37" s="19">
        <f>IF(A37="",0,IF(N(P37)&lt;0,1,0))</f>
        <v/>
      </c>
      <c r="AK37" s="19">
        <f>IF(A37="",0,IF(COUNTIF($A$7:$A$1006,A37)&gt;1,1,0))</f>
        <v/>
      </c>
    </row>
    <row r="38">
      <c r="A38" s="10" t="n"/>
      <c r="B38" s="17" t="n"/>
      <c r="C38" s="18" t="n"/>
      <c r="D38" s="10" t="n"/>
      <c r="E38" s="17" t="n"/>
      <c r="F38" s="10" t="n"/>
      <c r="G38" s="10" t="n"/>
      <c r="H38" s="10" t="n"/>
      <c r="I38" s="18" t="n"/>
      <c r="J38" s="18" t="n"/>
      <c r="K38" s="18" t="n"/>
      <c r="L38" s="18" t="n"/>
      <c r="M38" s="19">
        <f>IF(K38="","",K38*365/12*L38)</f>
        <v/>
      </c>
      <c r="N38" s="18" t="n"/>
      <c r="O38" s="18" t="n"/>
      <c r="P38" s="18" t="n"/>
      <c r="Q38" s="18" t="n"/>
      <c r="R38" s="10" t="n"/>
      <c r="S38" s="17" t="n"/>
      <c r="T38" s="18" t="n"/>
      <c r="U38" s="17" t="n"/>
      <c r="V38" s="17" t="n"/>
      <c r="W38" s="18" t="n"/>
      <c r="X38" s="18" t="n"/>
      <c r="Y38" s="17" t="n"/>
      <c r="Z38" s="10" t="n"/>
      <c r="AA38" s="10" t="n"/>
      <c r="AB38" s="19">
        <f>IF(LEN(A38)&gt;0,1,0)</f>
        <v/>
      </c>
      <c r="AC38" s="19">
        <f>IF(LEN(A38)=0,0,(LEN(B38)=0)+(LEN(C38)=0)+(LEN(D38)=0)+(LEN(E38)=0)+(LEN(F38)=0)+(LEN(G38)=0)+(LEN(H38)=0)+(LEN(I38)=0)+(LEN(J38)=0)+(LEN(K38)=0)+(LEN(L38)=0)+(LEN(N38)=0)+(LEN(O38)=0)+(LEN(P38)=0)+(LEN(R38)=0)+(LEN(AA38)=0))</f>
        <v/>
      </c>
      <c r="AD38" s="19">
        <f>IF(OR(LEN(A38)=0,LEN(C38)=0),0,IF(OR(C38&lt;1,C38&gt;5),1,0))</f>
        <v/>
      </c>
      <c r="AE38" s="19">
        <f>IF(OR(LEN(A38)=0,LEN(R38)=0),0,IF(OR(R38="Active",R38="Paid off",R38="Defaulted",R38="Repossessed",R38="Written off",R38="Restructured"),0,1))</f>
        <v/>
      </c>
      <c r="AF38" s="19">
        <f>IF(A38="",0,IF(N(J38)&gt;N(I38),1,0))</f>
        <v/>
      </c>
      <c r="AG38" s="19">
        <f>IF(A38="",0,IF(N(N38)&gt;N(M38)+1,1,0))</f>
        <v/>
      </c>
      <c r="AH38" s="19">
        <f>IF(A38="",0,IF(N(E38)&gt;N(B38),1,0))</f>
        <v/>
      </c>
      <c r="AI38" s="19">
        <f>IF(A38="",0,IF(AND(Z38="Full payment",N(N38)&lt;N(M38)-1),1,0))</f>
        <v/>
      </c>
      <c r="AJ38" s="19">
        <f>IF(A38="",0,IF(N(P38)&lt;0,1,0))</f>
        <v/>
      </c>
      <c r="AK38" s="19">
        <f>IF(A38="",0,IF(COUNTIF($A$7:$A$1006,A38)&gt;1,1,0))</f>
        <v/>
      </c>
    </row>
    <row r="39">
      <c r="A39" s="10" t="n"/>
      <c r="B39" s="17" t="n"/>
      <c r="C39" s="18" t="n"/>
      <c r="D39" s="10" t="n"/>
      <c r="E39" s="17" t="n"/>
      <c r="F39" s="10" t="n"/>
      <c r="G39" s="10" t="n"/>
      <c r="H39" s="10" t="n"/>
      <c r="I39" s="18" t="n"/>
      <c r="J39" s="18" t="n"/>
      <c r="K39" s="18" t="n"/>
      <c r="L39" s="18" t="n"/>
      <c r="M39" s="19">
        <f>IF(K39="","",K39*365/12*L39)</f>
        <v/>
      </c>
      <c r="N39" s="18" t="n"/>
      <c r="O39" s="18" t="n"/>
      <c r="P39" s="18" t="n"/>
      <c r="Q39" s="18" t="n"/>
      <c r="R39" s="10" t="n"/>
      <c r="S39" s="17" t="n"/>
      <c r="T39" s="18" t="n"/>
      <c r="U39" s="17" t="n"/>
      <c r="V39" s="17" t="n"/>
      <c r="W39" s="18" t="n"/>
      <c r="X39" s="18" t="n"/>
      <c r="Y39" s="17" t="n"/>
      <c r="Z39" s="10" t="n"/>
      <c r="AA39" s="10" t="n"/>
      <c r="AB39" s="19">
        <f>IF(LEN(A39)&gt;0,1,0)</f>
        <v/>
      </c>
      <c r="AC39" s="19">
        <f>IF(LEN(A39)=0,0,(LEN(B39)=0)+(LEN(C39)=0)+(LEN(D39)=0)+(LEN(E39)=0)+(LEN(F39)=0)+(LEN(G39)=0)+(LEN(H39)=0)+(LEN(I39)=0)+(LEN(J39)=0)+(LEN(K39)=0)+(LEN(L39)=0)+(LEN(N39)=0)+(LEN(O39)=0)+(LEN(P39)=0)+(LEN(R39)=0)+(LEN(AA39)=0))</f>
        <v/>
      </c>
      <c r="AD39" s="19">
        <f>IF(OR(LEN(A39)=0,LEN(C39)=0),0,IF(OR(C39&lt;1,C39&gt;5),1,0))</f>
        <v/>
      </c>
      <c r="AE39" s="19">
        <f>IF(OR(LEN(A39)=0,LEN(R39)=0),0,IF(OR(R39="Active",R39="Paid off",R39="Defaulted",R39="Repossessed",R39="Written off",R39="Restructured"),0,1))</f>
        <v/>
      </c>
      <c r="AF39" s="19">
        <f>IF(A39="",0,IF(N(J39)&gt;N(I39),1,0))</f>
        <v/>
      </c>
      <c r="AG39" s="19">
        <f>IF(A39="",0,IF(N(N39)&gt;N(M39)+1,1,0))</f>
        <v/>
      </c>
      <c r="AH39" s="19">
        <f>IF(A39="",0,IF(N(E39)&gt;N(B39),1,0))</f>
        <v/>
      </c>
      <c r="AI39" s="19">
        <f>IF(A39="",0,IF(AND(Z39="Full payment",N(N39)&lt;N(M39)-1),1,0))</f>
        <v/>
      </c>
      <c r="AJ39" s="19">
        <f>IF(A39="",0,IF(N(P39)&lt;0,1,0))</f>
        <v/>
      </c>
      <c r="AK39" s="19">
        <f>IF(A39="",0,IF(COUNTIF($A$7:$A$1006,A39)&gt;1,1,0))</f>
        <v/>
      </c>
    </row>
    <row r="40">
      <c r="A40" s="10" t="n"/>
      <c r="B40" s="17" t="n"/>
      <c r="C40" s="18" t="n"/>
      <c r="D40" s="10" t="n"/>
      <c r="E40" s="17" t="n"/>
      <c r="F40" s="10" t="n"/>
      <c r="G40" s="10" t="n"/>
      <c r="H40" s="10" t="n"/>
      <c r="I40" s="18" t="n"/>
      <c r="J40" s="18" t="n"/>
      <c r="K40" s="18" t="n"/>
      <c r="L40" s="18" t="n"/>
      <c r="M40" s="19">
        <f>IF(K40="","",K40*365/12*L40)</f>
        <v/>
      </c>
      <c r="N40" s="18" t="n"/>
      <c r="O40" s="18" t="n"/>
      <c r="P40" s="18" t="n"/>
      <c r="Q40" s="18" t="n"/>
      <c r="R40" s="10" t="n"/>
      <c r="S40" s="17" t="n"/>
      <c r="T40" s="18" t="n"/>
      <c r="U40" s="17" t="n"/>
      <c r="V40" s="17" t="n"/>
      <c r="W40" s="18" t="n"/>
      <c r="X40" s="18" t="n"/>
      <c r="Y40" s="17" t="n"/>
      <c r="Z40" s="10" t="n"/>
      <c r="AA40" s="10" t="n"/>
      <c r="AB40" s="19">
        <f>IF(LEN(A40)&gt;0,1,0)</f>
        <v/>
      </c>
      <c r="AC40" s="19">
        <f>IF(LEN(A40)=0,0,(LEN(B40)=0)+(LEN(C40)=0)+(LEN(D40)=0)+(LEN(E40)=0)+(LEN(F40)=0)+(LEN(G40)=0)+(LEN(H40)=0)+(LEN(I40)=0)+(LEN(J40)=0)+(LEN(K40)=0)+(LEN(L40)=0)+(LEN(N40)=0)+(LEN(O40)=0)+(LEN(P40)=0)+(LEN(R40)=0)+(LEN(AA40)=0))</f>
        <v/>
      </c>
      <c r="AD40" s="19">
        <f>IF(OR(LEN(A40)=0,LEN(C40)=0),0,IF(OR(C40&lt;1,C40&gt;5),1,0))</f>
        <v/>
      </c>
      <c r="AE40" s="19">
        <f>IF(OR(LEN(A40)=0,LEN(R40)=0),0,IF(OR(R40="Active",R40="Paid off",R40="Defaulted",R40="Repossessed",R40="Written off",R40="Restructured"),0,1))</f>
        <v/>
      </c>
      <c r="AF40" s="19">
        <f>IF(A40="",0,IF(N(J40)&gt;N(I40),1,0))</f>
        <v/>
      </c>
      <c r="AG40" s="19">
        <f>IF(A40="",0,IF(N(N40)&gt;N(M40)+1,1,0))</f>
        <v/>
      </c>
      <c r="AH40" s="19">
        <f>IF(A40="",0,IF(N(E40)&gt;N(B40),1,0))</f>
        <v/>
      </c>
      <c r="AI40" s="19">
        <f>IF(A40="",0,IF(AND(Z40="Full payment",N(N40)&lt;N(M40)-1),1,0))</f>
        <v/>
      </c>
      <c r="AJ40" s="19">
        <f>IF(A40="",0,IF(N(P40)&lt;0,1,0))</f>
        <v/>
      </c>
      <c r="AK40" s="19">
        <f>IF(A40="",0,IF(COUNTIF($A$7:$A$1006,A40)&gt;1,1,0))</f>
        <v/>
      </c>
    </row>
    <row r="41">
      <c r="A41" s="10" t="n"/>
      <c r="B41" s="17" t="n"/>
      <c r="C41" s="18" t="n"/>
      <c r="D41" s="10" t="n"/>
      <c r="E41" s="17" t="n"/>
      <c r="F41" s="10" t="n"/>
      <c r="G41" s="10" t="n"/>
      <c r="H41" s="10" t="n"/>
      <c r="I41" s="18" t="n"/>
      <c r="J41" s="18" t="n"/>
      <c r="K41" s="18" t="n"/>
      <c r="L41" s="18" t="n"/>
      <c r="M41" s="19">
        <f>IF(K41="","",K41*365/12*L41)</f>
        <v/>
      </c>
      <c r="N41" s="18" t="n"/>
      <c r="O41" s="18" t="n"/>
      <c r="P41" s="18" t="n"/>
      <c r="Q41" s="18" t="n"/>
      <c r="R41" s="10" t="n"/>
      <c r="S41" s="17" t="n"/>
      <c r="T41" s="18" t="n"/>
      <c r="U41" s="17" t="n"/>
      <c r="V41" s="17" t="n"/>
      <c r="W41" s="18" t="n"/>
      <c r="X41" s="18" t="n"/>
      <c r="Y41" s="17" t="n"/>
      <c r="Z41" s="10" t="n"/>
      <c r="AA41" s="10" t="n"/>
      <c r="AB41" s="19">
        <f>IF(LEN(A41)&gt;0,1,0)</f>
        <v/>
      </c>
      <c r="AC41" s="19">
        <f>IF(LEN(A41)=0,0,(LEN(B41)=0)+(LEN(C41)=0)+(LEN(D41)=0)+(LEN(E41)=0)+(LEN(F41)=0)+(LEN(G41)=0)+(LEN(H41)=0)+(LEN(I41)=0)+(LEN(J41)=0)+(LEN(K41)=0)+(LEN(L41)=0)+(LEN(N41)=0)+(LEN(O41)=0)+(LEN(P41)=0)+(LEN(R41)=0)+(LEN(AA41)=0))</f>
        <v/>
      </c>
      <c r="AD41" s="19">
        <f>IF(OR(LEN(A41)=0,LEN(C41)=0),0,IF(OR(C41&lt;1,C41&gt;5),1,0))</f>
        <v/>
      </c>
      <c r="AE41" s="19">
        <f>IF(OR(LEN(A41)=0,LEN(R41)=0),0,IF(OR(R41="Active",R41="Paid off",R41="Defaulted",R41="Repossessed",R41="Written off",R41="Restructured"),0,1))</f>
        <v/>
      </c>
      <c r="AF41" s="19">
        <f>IF(A41="",0,IF(N(J41)&gt;N(I41),1,0))</f>
        <v/>
      </c>
      <c r="AG41" s="19">
        <f>IF(A41="",0,IF(N(N41)&gt;N(M41)+1,1,0))</f>
        <v/>
      </c>
      <c r="AH41" s="19">
        <f>IF(A41="",0,IF(N(E41)&gt;N(B41),1,0))</f>
        <v/>
      </c>
      <c r="AI41" s="19">
        <f>IF(A41="",0,IF(AND(Z41="Full payment",N(N41)&lt;N(M41)-1),1,0))</f>
        <v/>
      </c>
      <c r="AJ41" s="19">
        <f>IF(A41="",0,IF(N(P41)&lt;0,1,0))</f>
        <v/>
      </c>
      <c r="AK41" s="19">
        <f>IF(A41="",0,IF(COUNTIF($A$7:$A$1006,A41)&gt;1,1,0))</f>
        <v/>
      </c>
    </row>
    <row r="42">
      <c r="A42" s="10" t="n"/>
      <c r="B42" s="17" t="n"/>
      <c r="C42" s="18" t="n"/>
      <c r="D42" s="10" t="n"/>
      <c r="E42" s="17" t="n"/>
      <c r="F42" s="10" t="n"/>
      <c r="G42" s="10" t="n"/>
      <c r="H42" s="10" t="n"/>
      <c r="I42" s="18" t="n"/>
      <c r="J42" s="18" t="n"/>
      <c r="K42" s="18" t="n"/>
      <c r="L42" s="18" t="n"/>
      <c r="M42" s="19">
        <f>IF(K42="","",K42*365/12*L42)</f>
        <v/>
      </c>
      <c r="N42" s="18" t="n"/>
      <c r="O42" s="18" t="n"/>
      <c r="P42" s="18" t="n"/>
      <c r="Q42" s="18" t="n"/>
      <c r="R42" s="10" t="n"/>
      <c r="S42" s="17" t="n"/>
      <c r="T42" s="18" t="n"/>
      <c r="U42" s="17" t="n"/>
      <c r="V42" s="17" t="n"/>
      <c r="W42" s="18" t="n"/>
      <c r="X42" s="18" t="n"/>
      <c r="Y42" s="17" t="n"/>
      <c r="Z42" s="10" t="n"/>
      <c r="AA42" s="10" t="n"/>
      <c r="AB42" s="19">
        <f>IF(LEN(A42)&gt;0,1,0)</f>
        <v/>
      </c>
      <c r="AC42" s="19">
        <f>IF(LEN(A42)=0,0,(LEN(B42)=0)+(LEN(C42)=0)+(LEN(D42)=0)+(LEN(E42)=0)+(LEN(F42)=0)+(LEN(G42)=0)+(LEN(H42)=0)+(LEN(I42)=0)+(LEN(J42)=0)+(LEN(K42)=0)+(LEN(L42)=0)+(LEN(N42)=0)+(LEN(O42)=0)+(LEN(P42)=0)+(LEN(R42)=0)+(LEN(AA42)=0))</f>
        <v/>
      </c>
      <c r="AD42" s="19">
        <f>IF(OR(LEN(A42)=0,LEN(C42)=0),0,IF(OR(C42&lt;1,C42&gt;5),1,0))</f>
        <v/>
      </c>
      <c r="AE42" s="19">
        <f>IF(OR(LEN(A42)=0,LEN(R42)=0),0,IF(OR(R42="Active",R42="Paid off",R42="Defaulted",R42="Repossessed",R42="Written off",R42="Restructured"),0,1))</f>
        <v/>
      </c>
      <c r="AF42" s="19">
        <f>IF(A42="",0,IF(N(J42)&gt;N(I42),1,0))</f>
        <v/>
      </c>
      <c r="AG42" s="19">
        <f>IF(A42="",0,IF(N(N42)&gt;N(M42)+1,1,0))</f>
        <v/>
      </c>
      <c r="AH42" s="19">
        <f>IF(A42="",0,IF(N(E42)&gt;N(B42),1,0))</f>
        <v/>
      </c>
      <c r="AI42" s="19">
        <f>IF(A42="",0,IF(AND(Z42="Full payment",N(N42)&lt;N(M42)-1),1,0))</f>
        <v/>
      </c>
      <c r="AJ42" s="19">
        <f>IF(A42="",0,IF(N(P42)&lt;0,1,0))</f>
        <v/>
      </c>
      <c r="AK42" s="19">
        <f>IF(A42="",0,IF(COUNTIF($A$7:$A$1006,A42)&gt;1,1,0))</f>
        <v/>
      </c>
    </row>
    <row r="43">
      <c r="A43" s="10" t="n"/>
      <c r="B43" s="17" t="n"/>
      <c r="C43" s="18" t="n"/>
      <c r="D43" s="10" t="n"/>
      <c r="E43" s="17" t="n"/>
      <c r="F43" s="10" t="n"/>
      <c r="G43" s="10" t="n"/>
      <c r="H43" s="10" t="n"/>
      <c r="I43" s="18" t="n"/>
      <c r="J43" s="18" t="n"/>
      <c r="K43" s="18" t="n"/>
      <c r="L43" s="18" t="n"/>
      <c r="M43" s="19">
        <f>IF(K43="","",K43*365/12*L43)</f>
        <v/>
      </c>
      <c r="N43" s="18" t="n"/>
      <c r="O43" s="18" t="n"/>
      <c r="P43" s="18" t="n"/>
      <c r="Q43" s="18" t="n"/>
      <c r="R43" s="10" t="n"/>
      <c r="S43" s="17" t="n"/>
      <c r="T43" s="18" t="n"/>
      <c r="U43" s="17" t="n"/>
      <c r="V43" s="17" t="n"/>
      <c r="W43" s="18" t="n"/>
      <c r="X43" s="18" t="n"/>
      <c r="Y43" s="17" t="n"/>
      <c r="Z43" s="10" t="n"/>
      <c r="AA43" s="10" t="n"/>
      <c r="AB43" s="19">
        <f>IF(LEN(A43)&gt;0,1,0)</f>
        <v/>
      </c>
      <c r="AC43" s="19">
        <f>IF(LEN(A43)=0,0,(LEN(B43)=0)+(LEN(C43)=0)+(LEN(D43)=0)+(LEN(E43)=0)+(LEN(F43)=0)+(LEN(G43)=0)+(LEN(H43)=0)+(LEN(I43)=0)+(LEN(J43)=0)+(LEN(K43)=0)+(LEN(L43)=0)+(LEN(N43)=0)+(LEN(O43)=0)+(LEN(P43)=0)+(LEN(R43)=0)+(LEN(AA43)=0))</f>
        <v/>
      </c>
      <c r="AD43" s="19">
        <f>IF(OR(LEN(A43)=0,LEN(C43)=0),0,IF(OR(C43&lt;1,C43&gt;5),1,0))</f>
        <v/>
      </c>
      <c r="AE43" s="19">
        <f>IF(OR(LEN(A43)=0,LEN(R43)=0),0,IF(OR(R43="Active",R43="Paid off",R43="Defaulted",R43="Repossessed",R43="Written off",R43="Restructured"),0,1))</f>
        <v/>
      </c>
      <c r="AF43" s="19">
        <f>IF(A43="",0,IF(N(J43)&gt;N(I43),1,0))</f>
        <v/>
      </c>
      <c r="AG43" s="19">
        <f>IF(A43="",0,IF(N(N43)&gt;N(M43)+1,1,0))</f>
        <v/>
      </c>
      <c r="AH43" s="19">
        <f>IF(A43="",0,IF(N(E43)&gt;N(B43),1,0))</f>
        <v/>
      </c>
      <c r="AI43" s="19">
        <f>IF(A43="",0,IF(AND(Z43="Full payment",N(N43)&lt;N(M43)-1),1,0))</f>
        <v/>
      </c>
      <c r="AJ43" s="19">
        <f>IF(A43="",0,IF(N(P43)&lt;0,1,0))</f>
        <v/>
      </c>
      <c r="AK43" s="19">
        <f>IF(A43="",0,IF(COUNTIF($A$7:$A$1006,A43)&gt;1,1,0))</f>
        <v/>
      </c>
    </row>
    <row r="44">
      <c r="A44" s="10" t="n"/>
      <c r="B44" s="17" t="n"/>
      <c r="C44" s="18" t="n"/>
      <c r="D44" s="10" t="n"/>
      <c r="E44" s="17" t="n"/>
      <c r="F44" s="10" t="n"/>
      <c r="G44" s="10" t="n"/>
      <c r="H44" s="10" t="n"/>
      <c r="I44" s="18" t="n"/>
      <c r="J44" s="18" t="n"/>
      <c r="K44" s="18" t="n"/>
      <c r="L44" s="18" t="n"/>
      <c r="M44" s="19">
        <f>IF(K44="","",K44*365/12*L44)</f>
        <v/>
      </c>
      <c r="N44" s="18" t="n"/>
      <c r="O44" s="18" t="n"/>
      <c r="P44" s="18" t="n"/>
      <c r="Q44" s="18" t="n"/>
      <c r="R44" s="10" t="n"/>
      <c r="S44" s="17" t="n"/>
      <c r="T44" s="18" t="n"/>
      <c r="U44" s="17" t="n"/>
      <c r="V44" s="17" t="n"/>
      <c r="W44" s="18" t="n"/>
      <c r="X44" s="18" t="n"/>
      <c r="Y44" s="17" t="n"/>
      <c r="Z44" s="10" t="n"/>
      <c r="AA44" s="10" t="n"/>
      <c r="AB44" s="19">
        <f>IF(LEN(A44)&gt;0,1,0)</f>
        <v/>
      </c>
      <c r="AC44" s="19">
        <f>IF(LEN(A44)=0,0,(LEN(B44)=0)+(LEN(C44)=0)+(LEN(D44)=0)+(LEN(E44)=0)+(LEN(F44)=0)+(LEN(G44)=0)+(LEN(H44)=0)+(LEN(I44)=0)+(LEN(J44)=0)+(LEN(K44)=0)+(LEN(L44)=0)+(LEN(N44)=0)+(LEN(O44)=0)+(LEN(P44)=0)+(LEN(R44)=0)+(LEN(AA44)=0))</f>
        <v/>
      </c>
      <c r="AD44" s="19">
        <f>IF(OR(LEN(A44)=0,LEN(C44)=0),0,IF(OR(C44&lt;1,C44&gt;5),1,0))</f>
        <v/>
      </c>
      <c r="AE44" s="19">
        <f>IF(OR(LEN(A44)=0,LEN(R44)=0),0,IF(OR(R44="Active",R44="Paid off",R44="Defaulted",R44="Repossessed",R44="Written off",R44="Restructured"),0,1))</f>
        <v/>
      </c>
      <c r="AF44" s="19">
        <f>IF(A44="",0,IF(N(J44)&gt;N(I44),1,0))</f>
        <v/>
      </c>
      <c r="AG44" s="19">
        <f>IF(A44="",0,IF(N(N44)&gt;N(M44)+1,1,0))</f>
        <v/>
      </c>
      <c r="AH44" s="19">
        <f>IF(A44="",0,IF(N(E44)&gt;N(B44),1,0))</f>
        <v/>
      </c>
      <c r="AI44" s="19">
        <f>IF(A44="",0,IF(AND(Z44="Full payment",N(N44)&lt;N(M44)-1),1,0))</f>
        <v/>
      </c>
      <c r="AJ44" s="19">
        <f>IF(A44="",0,IF(N(P44)&lt;0,1,0))</f>
        <v/>
      </c>
      <c r="AK44" s="19">
        <f>IF(A44="",0,IF(COUNTIF($A$7:$A$1006,A44)&gt;1,1,0))</f>
        <v/>
      </c>
    </row>
    <row r="45">
      <c r="A45" s="10" t="n"/>
      <c r="B45" s="17" t="n"/>
      <c r="C45" s="18" t="n"/>
      <c r="D45" s="10" t="n"/>
      <c r="E45" s="17" t="n"/>
      <c r="F45" s="10" t="n"/>
      <c r="G45" s="10" t="n"/>
      <c r="H45" s="10" t="n"/>
      <c r="I45" s="18" t="n"/>
      <c r="J45" s="18" t="n"/>
      <c r="K45" s="18" t="n"/>
      <c r="L45" s="18" t="n"/>
      <c r="M45" s="19">
        <f>IF(K45="","",K45*365/12*L45)</f>
        <v/>
      </c>
      <c r="N45" s="18" t="n"/>
      <c r="O45" s="18" t="n"/>
      <c r="P45" s="18" t="n"/>
      <c r="Q45" s="18" t="n"/>
      <c r="R45" s="10" t="n"/>
      <c r="S45" s="17" t="n"/>
      <c r="T45" s="18" t="n"/>
      <c r="U45" s="17" t="n"/>
      <c r="V45" s="17" t="n"/>
      <c r="W45" s="18" t="n"/>
      <c r="X45" s="18" t="n"/>
      <c r="Y45" s="17" t="n"/>
      <c r="Z45" s="10" t="n"/>
      <c r="AA45" s="10" t="n"/>
      <c r="AB45" s="19">
        <f>IF(LEN(A45)&gt;0,1,0)</f>
        <v/>
      </c>
      <c r="AC45" s="19">
        <f>IF(LEN(A45)=0,0,(LEN(B45)=0)+(LEN(C45)=0)+(LEN(D45)=0)+(LEN(E45)=0)+(LEN(F45)=0)+(LEN(G45)=0)+(LEN(H45)=0)+(LEN(I45)=0)+(LEN(J45)=0)+(LEN(K45)=0)+(LEN(L45)=0)+(LEN(N45)=0)+(LEN(O45)=0)+(LEN(P45)=0)+(LEN(R45)=0)+(LEN(AA45)=0))</f>
        <v/>
      </c>
      <c r="AD45" s="19">
        <f>IF(OR(LEN(A45)=0,LEN(C45)=0),0,IF(OR(C45&lt;1,C45&gt;5),1,0))</f>
        <v/>
      </c>
      <c r="AE45" s="19">
        <f>IF(OR(LEN(A45)=0,LEN(R45)=0),0,IF(OR(R45="Active",R45="Paid off",R45="Defaulted",R45="Repossessed",R45="Written off",R45="Restructured"),0,1))</f>
        <v/>
      </c>
      <c r="AF45" s="19">
        <f>IF(A45="",0,IF(N(J45)&gt;N(I45),1,0))</f>
        <v/>
      </c>
      <c r="AG45" s="19">
        <f>IF(A45="",0,IF(N(N45)&gt;N(M45)+1,1,0))</f>
        <v/>
      </c>
      <c r="AH45" s="19">
        <f>IF(A45="",0,IF(N(E45)&gt;N(B45),1,0))</f>
        <v/>
      </c>
      <c r="AI45" s="19">
        <f>IF(A45="",0,IF(AND(Z45="Full payment",N(N45)&lt;N(M45)-1),1,0))</f>
        <v/>
      </c>
      <c r="AJ45" s="19">
        <f>IF(A45="",0,IF(N(P45)&lt;0,1,0))</f>
        <v/>
      </c>
      <c r="AK45" s="19">
        <f>IF(A45="",0,IF(COUNTIF($A$7:$A$1006,A45)&gt;1,1,0))</f>
        <v/>
      </c>
    </row>
    <row r="46">
      <c r="A46" s="10" t="n"/>
      <c r="B46" s="17" t="n"/>
      <c r="C46" s="18" t="n"/>
      <c r="D46" s="10" t="n"/>
      <c r="E46" s="17" t="n"/>
      <c r="F46" s="10" t="n"/>
      <c r="G46" s="10" t="n"/>
      <c r="H46" s="10" t="n"/>
      <c r="I46" s="18" t="n"/>
      <c r="J46" s="18" t="n"/>
      <c r="K46" s="18" t="n"/>
      <c r="L46" s="18" t="n"/>
      <c r="M46" s="19">
        <f>IF(K46="","",K46*365/12*L46)</f>
        <v/>
      </c>
      <c r="N46" s="18" t="n"/>
      <c r="O46" s="18" t="n"/>
      <c r="P46" s="18" t="n"/>
      <c r="Q46" s="18" t="n"/>
      <c r="R46" s="10" t="n"/>
      <c r="S46" s="17" t="n"/>
      <c r="T46" s="18" t="n"/>
      <c r="U46" s="17" t="n"/>
      <c r="V46" s="17" t="n"/>
      <c r="W46" s="18" t="n"/>
      <c r="X46" s="18" t="n"/>
      <c r="Y46" s="17" t="n"/>
      <c r="Z46" s="10" t="n"/>
      <c r="AA46" s="10" t="n"/>
      <c r="AB46" s="19">
        <f>IF(LEN(A46)&gt;0,1,0)</f>
        <v/>
      </c>
      <c r="AC46" s="19">
        <f>IF(LEN(A46)=0,0,(LEN(B46)=0)+(LEN(C46)=0)+(LEN(D46)=0)+(LEN(E46)=0)+(LEN(F46)=0)+(LEN(G46)=0)+(LEN(H46)=0)+(LEN(I46)=0)+(LEN(J46)=0)+(LEN(K46)=0)+(LEN(L46)=0)+(LEN(N46)=0)+(LEN(O46)=0)+(LEN(P46)=0)+(LEN(R46)=0)+(LEN(AA46)=0))</f>
        <v/>
      </c>
      <c r="AD46" s="19">
        <f>IF(OR(LEN(A46)=0,LEN(C46)=0),0,IF(OR(C46&lt;1,C46&gt;5),1,0))</f>
        <v/>
      </c>
      <c r="AE46" s="19">
        <f>IF(OR(LEN(A46)=0,LEN(R46)=0),0,IF(OR(R46="Active",R46="Paid off",R46="Defaulted",R46="Repossessed",R46="Written off",R46="Restructured"),0,1))</f>
        <v/>
      </c>
      <c r="AF46" s="19">
        <f>IF(A46="",0,IF(N(J46)&gt;N(I46),1,0))</f>
        <v/>
      </c>
      <c r="AG46" s="19">
        <f>IF(A46="",0,IF(N(N46)&gt;N(M46)+1,1,0))</f>
        <v/>
      </c>
      <c r="AH46" s="19">
        <f>IF(A46="",0,IF(N(E46)&gt;N(B46),1,0))</f>
        <v/>
      </c>
      <c r="AI46" s="19">
        <f>IF(A46="",0,IF(AND(Z46="Full payment",N(N46)&lt;N(M46)-1),1,0))</f>
        <v/>
      </c>
      <c r="AJ46" s="19">
        <f>IF(A46="",0,IF(N(P46)&lt;0,1,0))</f>
        <v/>
      </c>
      <c r="AK46" s="19">
        <f>IF(A46="",0,IF(COUNTIF($A$7:$A$1006,A46)&gt;1,1,0))</f>
        <v/>
      </c>
    </row>
    <row r="47">
      <c r="A47" s="10" t="n"/>
      <c r="B47" s="17" t="n"/>
      <c r="C47" s="18" t="n"/>
      <c r="D47" s="10" t="n"/>
      <c r="E47" s="17" t="n"/>
      <c r="F47" s="10" t="n"/>
      <c r="G47" s="10" t="n"/>
      <c r="H47" s="10" t="n"/>
      <c r="I47" s="18" t="n"/>
      <c r="J47" s="18" t="n"/>
      <c r="K47" s="18" t="n"/>
      <c r="L47" s="18" t="n"/>
      <c r="M47" s="19">
        <f>IF(K47="","",K47*365/12*L47)</f>
        <v/>
      </c>
      <c r="N47" s="18" t="n"/>
      <c r="O47" s="18" t="n"/>
      <c r="P47" s="18" t="n"/>
      <c r="Q47" s="18" t="n"/>
      <c r="R47" s="10" t="n"/>
      <c r="S47" s="17" t="n"/>
      <c r="T47" s="18" t="n"/>
      <c r="U47" s="17" t="n"/>
      <c r="V47" s="17" t="n"/>
      <c r="W47" s="18" t="n"/>
      <c r="X47" s="18" t="n"/>
      <c r="Y47" s="17" t="n"/>
      <c r="Z47" s="10" t="n"/>
      <c r="AA47" s="10" t="n"/>
      <c r="AB47" s="19">
        <f>IF(LEN(A47)&gt;0,1,0)</f>
        <v/>
      </c>
      <c r="AC47" s="19">
        <f>IF(LEN(A47)=0,0,(LEN(B47)=0)+(LEN(C47)=0)+(LEN(D47)=0)+(LEN(E47)=0)+(LEN(F47)=0)+(LEN(G47)=0)+(LEN(H47)=0)+(LEN(I47)=0)+(LEN(J47)=0)+(LEN(K47)=0)+(LEN(L47)=0)+(LEN(N47)=0)+(LEN(O47)=0)+(LEN(P47)=0)+(LEN(R47)=0)+(LEN(AA47)=0))</f>
        <v/>
      </c>
      <c r="AD47" s="19">
        <f>IF(OR(LEN(A47)=0,LEN(C47)=0),0,IF(OR(C47&lt;1,C47&gt;5),1,0))</f>
        <v/>
      </c>
      <c r="AE47" s="19">
        <f>IF(OR(LEN(A47)=0,LEN(R47)=0),0,IF(OR(R47="Active",R47="Paid off",R47="Defaulted",R47="Repossessed",R47="Written off",R47="Restructured"),0,1))</f>
        <v/>
      </c>
      <c r="AF47" s="19">
        <f>IF(A47="",0,IF(N(J47)&gt;N(I47),1,0))</f>
        <v/>
      </c>
      <c r="AG47" s="19">
        <f>IF(A47="",0,IF(N(N47)&gt;N(M47)+1,1,0))</f>
        <v/>
      </c>
      <c r="AH47" s="19">
        <f>IF(A47="",0,IF(N(E47)&gt;N(B47),1,0))</f>
        <v/>
      </c>
      <c r="AI47" s="19">
        <f>IF(A47="",0,IF(AND(Z47="Full payment",N(N47)&lt;N(M47)-1),1,0))</f>
        <v/>
      </c>
      <c r="AJ47" s="19">
        <f>IF(A47="",0,IF(N(P47)&lt;0,1,0))</f>
        <v/>
      </c>
      <c r="AK47" s="19">
        <f>IF(A47="",0,IF(COUNTIF($A$7:$A$1006,A47)&gt;1,1,0))</f>
        <v/>
      </c>
    </row>
    <row r="48">
      <c r="A48" s="10" t="n"/>
      <c r="B48" s="17" t="n"/>
      <c r="C48" s="18" t="n"/>
      <c r="D48" s="10" t="n"/>
      <c r="E48" s="17" t="n"/>
      <c r="F48" s="10" t="n"/>
      <c r="G48" s="10" t="n"/>
      <c r="H48" s="10" t="n"/>
      <c r="I48" s="18" t="n"/>
      <c r="J48" s="18" t="n"/>
      <c r="K48" s="18" t="n"/>
      <c r="L48" s="18" t="n"/>
      <c r="M48" s="19">
        <f>IF(K48="","",K48*365/12*L48)</f>
        <v/>
      </c>
      <c r="N48" s="18" t="n"/>
      <c r="O48" s="18" t="n"/>
      <c r="P48" s="18" t="n"/>
      <c r="Q48" s="18" t="n"/>
      <c r="R48" s="10" t="n"/>
      <c r="S48" s="17" t="n"/>
      <c r="T48" s="18" t="n"/>
      <c r="U48" s="17" t="n"/>
      <c r="V48" s="17" t="n"/>
      <c r="W48" s="18" t="n"/>
      <c r="X48" s="18" t="n"/>
      <c r="Y48" s="17" t="n"/>
      <c r="Z48" s="10" t="n"/>
      <c r="AA48" s="10" t="n"/>
      <c r="AB48" s="19">
        <f>IF(LEN(A48)&gt;0,1,0)</f>
        <v/>
      </c>
      <c r="AC48" s="19">
        <f>IF(LEN(A48)=0,0,(LEN(B48)=0)+(LEN(C48)=0)+(LEN(D48)=0)+(LEN(E48)=0)+(LEN(F48)=0)+(LEN(G48)=0)+(LEN(H48)=0)+(LEN(I48)=0)+(LEN(J48)=0)+(LEN(K48)=0)+(LEN(L48)=0)+(LEN(N48)=0)+(LEN(O48)=0)+(LEN(P48)=0)+(LEN(R48)=0)+(LEN(AA48)=0))</f>
        <v/>
      </c>
      <c r="AD48" s="19">
        <f>IF(OR(LEN(A48)=0,LEN(C48)=0),0,IF(OR(C48&lt;1,C48&gt;5),1,0))</f>
        <v/>
      </c>
      <c r="AE48" s="19">
        <f>IF(OR(LEN(A48)=0,LEN(R48)=0),0,IF(OR(R48="Active",R48="Paid off",R48="Defaulted",R48="Repossessed",R48="Written off",R48="Restructured"),0,1))</f>
        <v/>
      </c>
      <c r="AF48" s="19">
        <f>IF(A48="",0,IF(N(J48)&gt;N(I48),1,0))</f>
        <v/>
      </c>
      <c r="AG48" s="19">
        <f>IF(A48="",0,IF(N(N48)&gt;N(M48)+1,1,0))</f>
        <v/>
      </c>
      <c r="AH48" s="19">
        <f>IF(A48="",0,IF(N(E48)&gt;N(B48),1,0))</f>
        <v/>
      </c>
      <c r="AI48" s="19">
        <f>IF(A48="",0,IF(AND(Z48="Full payment",N(N48)&lt;N(M48)-1),1,0))</f>
        <v/>
      </c>
      <c r="AJ48" s="19">
        <f>IF(A48="",0,IF(N(P48)&lt;0,1,0))</f>
        <v/>
      </c>
      <c r="AK48" s="19">
        <f>IF(A48="",0,IF(COUNTIF($A$7:$A$1006,A48)&gt;1,1,0))</f>
        <v/>
      </c>
    </row>
    <row r="49">
      <c r="A49" s="10" t="n"/>
      <c r="B49" s="17" t="n"/>
      <c r="C49" s="18" t="n"/>
      <c r="D49" s="10" t="n"/>
      <c r="E49" s="17" t="n"/>
      <c r="F49" s="10" t="n"/>
      <c r="G49" s="10" t="n"/>
      <c r="H49" s="10" t="n"/>
      <c r="I49" s="18" t="n"/>
      <c r="J49" s="18" t="n"/>
      <c r="K49" s="18" t="n"/>
      <c r="L49" s="18" t="n"/>
      <c r="M49" s="19">
        <f>IF(K49="","",K49*365/12*L49)</f>
        <v/>
      </c>
      <c r="N49" s="18" t="n"/>
      <c r="O49" s="18" t="n"/>
      <c r="P49" s="18" t="n"/>
      <c r="Q49" s="18" t="n"/>
      <c r="R49" s="10" t="n"/>
      <c r="S49" s="17" t="n"/>
      <c r="T49" s="18" t="n"/>
      <c r="U49" s="17" t="n"/>
      <c r="V49" s="17" t="n"/>
      <c r="W49" s="18" t="n"/>
      <c r="X49" s="18" t="n"/>
      <c r="Y49" s="17" t="n"/>
      <c r="Z49" s="10" t="n"/>
      <c r="AA49" s="10" t="n"/>
      <c r="AB49" s="19">
        <f>IF(LEN(A49)&gt;0,1,0)</f>
        <v/>
      </c>
      <c r="AC49" s="19">
        <f>IF(LEN(A49)=0,0,(LEN(B49)=0)+(LEN(C49)=0)+(LEN(D49)=0)+(LEN(E49)=0)+(LEN(F49)=0)+(LEN(G49)=0)+(LEN(H49)=0)+(LEN(I49)=0)+(LEN(J49)=0)+(LEN(K49)=0)+(LEN(L49)=0)+(LEN(N49)=0)+(LEN(O49)=0)+(LEN(P49)=0)+(LEN(R49)=0)+(LEN(AA49)=0))</f>
        <v/>
      </c>
      <c r="AD49" s="19">
        <f>IF(OR(LEN(A49)=0,LEN(C49)=0),0,IF(OR(C49&lt;1,C49&gt;5),1,0))</f>
        <v/>
      </c>
      <c r="AE49" s="19">
        <f>IF(OR(LEN(A49)=0,LEN(R49)=0),0,IF(OR(R49="Active",R49="Paid off",R49="Defaulted",R49="Repossessed",R49="Written off",R49="Restructured"),0,1))</f>
        <v/>
      </c>
      <c r="AF49" s="19">
        <f>IF(A49="",0,IF(N(J49)&gt;N(I49),1,0))</f>
        <v/>
      </c>
      <c r="AG49" s="19">
        <f>IF(A49="",0,IF(N(N49)&gt;N(M49)+1,1,0))</f>
        <v/>
      </c>
      <c r="AH49" s="19">
        <f>IF(A49="",0,IF(N(E49)&gt;N(B49),1,0))</f>
        <v/>
      </c>
      <c r="AI49" s="19">
        <f>IF(A49="",0,IF(AND(Z49="Full payment",N(N49)&lt;N(M49)-1),1,0))</f>
        <v/>
      </c>
      <c r="AJ49" s="19">
        <f>IF(A49="",0,IF(N(P49)&lt;0,1,0))</f>
        <v/>
      </c>
      <c r="AK49" s="19">
        <f>IF(A49="",0,IF(COUNTIF($A$7:$A$1006,A49)&gt;1,1,0))</f>
        <v/>
      </c>
    </row>
    <row r="50">
      <c r="A50" s="10" t="n"/>
      <c r="B50" s="17" t="n"/>
      <c r="C50" s="18" t="n"/>
      <c r="D50" s="10" t="n"/>
      <c r="E50" s="17" t="n"/>
      <c r="F50" s="10" t="n"/>
      <c r="G50" s="10" t="n"/>
      <c r="H50" s="10" t="n"/>
      <c r="I50" s="18" t="n"/>
      <c r="J50" s="18" t="n"/>
      <c r="K50" s="18" t="n"/>
      <c r="L50" s="18" t="n"/>
      <c r="M50" s="19">
        <f>IF(K50="","",K50*365/12*L50)</f>
        <v/>
      </c>
      <c r="N50" s="18" t="n"/>
      <c r="O50" s="18" t="n"/>
      <c r="P50" s="18" t="n"/>
      <c r="Q50" s="18" t="n"/>
      <c r="R50" s="10" t="n"/>
      <c r="S50" s="17" t="n"/>
      <c r="T50" s="18" t="n"/>
      <c r="U50" s="17" t="n"/>
      <c r="V50" s="17" t="n"/>
      <c r="W50" s="18" t="n"/>
      <c r="X50" s="18" t="n"/>
      <c r="Y50" s="17" t="n"/>
      <c r="Z50" s="10" t="n"/>
      <c r="AA50" s="10" t="n"/>
      <c r="AB50" s="19">
        <f>IF(LEN(A50)&gt;0,1,0)</f>
        <v/>
      </c>
      <c r="AC50" s="19">
        <f>IF(LEN(A50)=0,0,(LEN(B50)=0)+(LEN(C50)=0)+(LEN(D50)=0)+(LEN(E50)=0)+(LEN(F50)=0)+(LEN(G50)=0)+(LEN(H50)=0)+(LEN(I50)=0)+(LEN(J50)=0)+(LEN(K50)=0)+(LEN(L50)=0)+(LEN(N50)=0)+(LEN(O50)=0)+(LEN(P50)=0)+(LEN(R50)=0)+(LEN(AA50)=0))</f>
        <v/>
      </c>
      <c r="AD50" s="19">
        <f>IF(OR(LEN(A50)=0,LEN(C50)=0),0,IF(OR(C50&lt;1,C50&gt;5),1,0))</f>
        <v/>
      </c>
      <c r="AE50" s="19">
        <f>IF(OR(LEN(A50)=0,LEN(R50)=0),0,IF(OR(R50="Active",R50="Paid off",R50="Defaulted",R50="Repossessed",R50="Written off",R50="Restructured"),0,1))</f>
        <v/>
      </c>
      <c r="AF50" s="19">
        <f>IF(A50="",0,IF(N(J50)&gt;N(I50),1,0))</f>
        <v/>
      </c>
      <c r="AG50" s="19">
        <f>IF(A50="",0,IF(N(N50)&gt;N(M50)+1,1,0))</f>
        <v/>
      </c>
      <c r="AH50" s="19">
        <f>IF(A50="",0,IF(N(E50)&gt;N(B50),1,0))</f>
        <v/>
      </c>
      <c r="AI50" s="19">
        <f>IF(A50="",0,IF(AND(Z50="Full payment",N(N50)&lt;N(M50)-1),1,0))</f>
        <v/>
      </c>
      <c r="AJ50" s="19">
        <f>IF(A50="",0,IF(N(P50)&lt;0,1,0))</f>
        <v/>
      </c>
      <c r="AK50" s="19">
        <f>IF(A50="",0,IF(COUNTIF($A$7:$A$1006,A50)&gt;1,1,0))</f>
        <v/>
      </c>
    </row>
    <row r="51">
      <c r="A51" s="10" t="n"/>
      <c r="B51" s="17" t="n"/>
      <c r="C51" s="18" t="n"/>
      <c r="D51" s="10" t="n"/>
      <c r="E51" s="17" t="n"/>
      <c r="F51" s="10" t="n"/>
      <c r="G51" s="10" t="n"/>
      <c r="H51" s="10" t="n"/>
      <c r="I51" s="18" t="n"/>
      <c r="J51" s="18" t="n"/>
      <c r="K51" s="18" t="n"/>
      <c r="L51" s="18" t="n"/>
      <c r="M51" s="19">
        <f>IF(K51="","",K51*365/12*L51)</f>
        <v/>
      </c>
      <c r="N51" s="18" t="n"/>
      <c r="O51" s="18" t="n"/>
      <c r="P51" s="18" t="n"/>
      <c r="Q51" s="18" t="n"/>
      <c r="R51" s="10" t="n"/>
      <c r="S51" s="17" t="n"/>
      <c r="T51" s="18" t="n"/>
      <c r="U51" s="17" t="n"/>
      <c r="V51" s="17" t="n"/>
      <c r="W51" s="18" t="n"/>
      <c r="X51" s="18" t="n"/>
      <c r="Y51" s="17" t="n"/>
      <c r="Z51" s="10" t="n"/>
      <c r="AA51" s="10" t="n"/>
      <c r="AB51" s="19">
        <f>IF(LEN(A51)&gt;0,1,0)</f>
        <v/>
      </c>
      <c r="AC51" s="19">
        <f>IF(LEN(A51)=0,0,(LEN(B51)=0)+(LEN(C51)=0)+(LEN(D51)=0)+(LEN(E51)=0)+(LEN(F51)=0)+(LEN(G51)=0)+(LEN(H51)=0)+(LEN(I51)=0)+(LEN(J51)=0)+(LEN(K51)=0)+(LEN(L51)=0)+(LEN(N51)=0)+(LEN(O51)=0)+(LEN(P51)=0)+(LEN(R51)=0)+(LEN(AA51)=0))</f>
        <v/>
      </c>
      <c r="AD51" s="19">
        <f>IF(OR(LEN(A51)=0,LEN(C51)=0),0,IF(OR(C51&lt;1,C51&gt;5),1,0))</f>
        <v/>
      </c>
      <c r="AE51" s="19">
        <f>IF(OR(LEN(A51)=0,LEN(R51)=0),0,IF(OR(R51="Active",R51="Paid off",R51="Defaulted",R51="Repossessed",R51="Written off",R51="Restructured"),0,1))</f>
        <v/>
      </c>
      <c r="AF51" s="19">
        <f>IF(A51="",0,IF(N(J51)&gt;N(I51),1,0))</f>
        <v/>
      </c>
      <c r="AG51" s="19">
        <f>IF(A51="",0,IF(N(N51)&gt;N(M51)+1,1,0))</f>
        <v/>
      </c>
      <c r="AH51" s="19">
        <f>IF(A51="",0,IF(N(E51)&gt;N(B51),1,0))</f>
        <v/>
      </c>
      <c r="AI51" s="19">
        <f>IF(A51="",0,IF(AND(Z51="Full payment",N(N51)&lt;N(M51)-1),1,0))</f>
        <v/>
      </c>
      <c r="AJ51" s="19">
        <f>IF(A51="",0,IF(N(P51)&lt;0,1,0))</f>
        <v/>
      </c>
      <c r="AK51" s="19">
        <f>IF(A51="",0,IF(COUNTIF($A$7:$A$1006,A51)&gt;1,1,0))</f>
        <v/>
      </c>
    </row>
    <row r="52">
      <c r="A52" s="10" t="n"/>
      <c r="B52" s="17" t="n"/>
      <c r="C52" s="18" t="n"/>
      <c r="D52" s="10" t="n"/>
      <c r="E52" s="17" t="n"/>
      <c r="F52" s="10" t="n"/>
      <c r="G52" s="10" t="n"/>
      <c r="H52" s="10" t="n"/>
      <c r="I52" s="18" t="n"/>
      <c r="J52" s="18" t="n"/>
      <c r="K52" s="18" t="n"/>
      <c r="L52" s="18" t="n"/>
      <c r="M52" s="19">
        <f>IF(K52="","",K52*365/12*L52)</f>
        <v/>
      </c>
      <c r="N52" s="18" t="n"/>
      <c r="O52" s="18" t="n"/>
      <c r="P52" s="18" t="n"/>
      <c r="Q52" s="18" t="n"/>
      <c r="R52" s="10" t="n"/>
      <c r="S52" s="17" t="n"/>
      <c r="T52" s="18" t="n"/>
      <c r="U52" s="17" t="n"/>
      <c r="V52" s="17" t="n"/>
      <c r="W52" s="18" t="n"/>
      <c r="X52" s="18" t="n"/>
      <c r="Y52" s="17" t="n"/>
      <c r="Z52" s="10" t="n"/>
      <c r="AA52" s="10" t="n"/>
      <c r="AB52" s="19">
        <f>IF(LEN(A52)&gt;0,1,0)</f>
        <v/>
      </c>
      <c r="AC52" s="19">
        <f>IF(LEN(A52)=0,0,(LEN(B52)=0)+(LEN(C52)=0)+(LEN(D52)=0)+(LEN(E52)=0)+(LEN(F52)=0)+(LEN(G52)=0)+(LEN(H52)=0)+(LEN(I52)=0)+(LEN(J52)=0)+(LEN(K52)=0)+(LEN(L52)=0)+(LEN(N52)=0)+(LEN(O52)=0)+(LEN(P52)=0)+(LEN(R52)=0)+(LEN(AA52)=0))</f>
        <v/>
      </c>
      <c r="AD52" s="19">
        <f>IF(OR(LEN(A52)=0,LEN(C52)=0),0,IF(OR(C52&lt;1,C52&gt;5),1,0))</f>
        <v/>
      </c>
      <c r="AE52" s="19">
        <f>IF(OR(LEN(A52)=0,LEN(R52)=0),0,IF(OR(R52="Active",R52="Paid off",R52="Defaulted",R52="Repossessed",R52="Written off",R52="Restructured"),0,1))</f>
        <v/>
      </c>
      <c r="AF52" s="19">
        <f>IF(A52="",0,IF(N(J52)&gt;N(I52),1,0))</f>
        <v/>
      </c>
      <c r="AG52" s="19">
        <f>IF(A52="",0,IF(N(N52)&gt;N(M52)+1,1,0))</f>
        <v/>
      </c>
      <c r="AH52" s="19">
        <f>IF(A52="",0,IF(N(E52)&gt;N(B52),1,0))</f>
        <v/>
      </c>
      <c r="AI52" s="19">
        <f>IF(A52="",0,IF(AND(Z52="Full payment",N(N52)&lt;N(M52)-1),1,0))</f>
        <v/>
      </c>
      <c r="AJ52" s="19">
        <f>IF(A52="",0,IF(N(P52)&lt;0,1,0))</f>
        <v/>
      </c>
      <c r="AK52" s="19">
        <f>IF(A52="",0,IF(COUNTIF($A$7:$A$1006,A52)&gt;1,1,0))</f>
        <v/>
      </c>
    </row>
    <row r="53">
      <c r="A53" s="10" t="n"/>
      <c r="B53" s="17" t="n"/>
      <c r="C53" s="18" t="n"/>
      <c r="D53" s="10" t="n"/>
      <c r="E53" s="17" t="n"/>
      <c r="F53" s="10" t="n"/>
      <c r="G53" s="10" t="n"/>
      <c r="H53" s="10" t="n"/>
      <c r="I53" s="18" t="n"/>
      <c r="J53" s="18" t="n"/>
      <c r="K53" s="18" t="n"/>
      <c r="L53" s="18" t="n"/>
      <c r="M53" s="19">
        <f>IF(K53="","",K53*365/12*L53)</f>
        <v/>
      </c>
      <c r="N53" s="18" t="n"/>
      <c r="O53" s="18" t="n"/>
      <c r="P53" s="18" t="n"/>
      <c r="Q53" s="18" t="n"/>
      <c r="R53" s="10" t="n"/>
      <c r="S53" s="17" t="n"/>
      <c r="T53" s="18" t="n"/>
      <c r="U53" s="17" t="n"/>
      <c r="V53" s="17" t="n"/>
      <c r="W53" s="18" t="n"/>
      <c r="X53" s="18" t="n"/>
      <c r="Y53" s="17" t="n"/>
      <c r="Z53" s="10" t="n"/>
      <c r="AA53" s="10" t="n"/>
      <c r="AB53" s="19">
        <f>IF(LEN(A53)&gt;0,1,0)</f>
        <v/>
      </c>
      <c r="AC53" s="19">
        <f>IF(LEN(A53)=0,0,(LEN(B53)=0)+(LEN(C53)=0)+(LEN(D53)=0)+(LEN(E53)=0)+(LEN(F53)=0)+(LEN(G53)=0)+(LEN(H53)=0)+(LEN(I53)=0)+(LEN(J53)=0)+(LEN(K53)=0)+(LEN(L53)=0)+(LEN(N53)=0)+(LEN(O53)=0)+(LEN(P53)=0)+(LEN(R53)=0)+(LEN(AA53)=0))</f>
        <v/>
      </c>
      <c r="AD53" s="19">
        <f>IF(OR(LEN(A53)=0,LEN(C53)=0),0,IF(OR(C53&lt;1,C53&gt;5),1,0))</f>
        <v/>
      </c>
      <c r="AE53" s="19">
        <f>IF(OR(LEN(A53)=0,LEN(R53)=0),0,IF(OR(R53="Active",R53="Paid off",R53="Defaulted",R53="Repossessed",R53="Written off",R53="Restructured"),0,1))</f>
        <v/>
      </c>
      <c r="AF53" s="19">
        <f>IF(A53="",0,IF(N(J53)&gt;N(I53),1,0))</f>
        <v/>
      </c>
      <c r="AG53" s="19">
        <f>IF(A53="",0,IF(N(N53)&gt;N(M53)+1,1,0))</f>
        <v/>
      </c>
      <c r="AH53" s="19">
        <f>IF(A53="",0,IF(N(E53)&gt;N(B53),1,0))</f>
        <v/>
      </c>
      <c r="AI53" s="19">
        <f>IF(A53="",0,IF(AND(Z53="Full payment",N(N53)&lt;N(M53)-1),1,0))</f>
        <v/>
      </c>
      <c r="AJ53" s="19">
        <f>IF(A53="",0,IF(N(P53)&lt;0,1,0))</f>
        <v/>
      </c>
      <c r="AK53" s="19">
        <f>IF(A53="",0,IF(COUNTIF($A$7:$A$1006,A53)&gt;1,1,0))</f>
        <v/>
      </c>
    </row>
    <row r="54">
      <c r="A54" s="10" t="n"/>
      <c r="B54" s="17" t="n"/>
      <c r="C54" s="18" t="n"/>
      <c r="D54" s="10" t="n"/>
      <c r="E54" s="17" t="n"/>
      <c r="F54" s="10" t="n"/>
      <c r="G54" s="10" t="n"/>
      <c r="H54" s="10" t="n"/>
      <c r="I54" s="18" t="n"/>
      <c r="J54" s="18" t="n"/>
      <c r="K54" s="18" t="n"/>
      <c r="L54" s="18" t="n"/>
      <c r="M54" s="19">
        <f>IF(K54="","",K54*365/12*L54)</f>
        <v/>
      </c>
      <c r="N54" s="18" t="n"/>
      <c r="O54" s="18" t="n"/>
      <c r="P54" s="18" t="n"/>
      <c r="Q54" s="18" t="n"/>
      <c r="R54" s="10" t="n"/>
      <c r="S54" s="17" t="n"/>
      <c r="T54" s="18" t="n"/>
      <c r="U54" s="17" t="n"/>
      <c r="V54" s="17" t="n"/>
      <c r="W54" s="18" t="n"/>
      <c r="X54" s="18" t="n"/>
      <c r="Y54" s="17" t="n"/>
      <c r="Z54" s="10" t="n"/>
      <c r="AA54" s="10" t="n"/>
      <c r="AB54" s="19">
        <f>IF(LEN(A54)&gt;0,1,0)</f>
        <v/>
      </c>
      <c r="AC54" s="19">
        <f>IF(LEN(A54)=0,0,(LEN(B54)=0)+(LEN(C54)=0)+(LEN(D54)=0)+(LEN(E54)=0)+(LEN(F54)=0)+(LEN(G54)=0)+(LEN(H54)=0)+(LEN(I54)=0)+(LEN(J54)=0)+(LEN(K54)=0)+(LEN(L54)=0)+(LEN(N54)=0)+(LEN(O54)=0)+(LEN(P54)=0)+(LEN(R54)=0)+(LEN(AA54)=0))</f>
        <v/>
      </c>
      <c r="AD54" s="19">
        <f>IF(OR(LEN(A54)=0,LEN(C54)=0),0,IF(OR(C54&lt;1,C54&gt;5),1,0))</f>
        <v/>
      </c>
      <c r="AE54" s="19">
        <f>IF(OR(LEN(A54)=0,LEN(R54)=0),0,IF(OR(R54="Active",R54="Paid off",R54="Defaulted",R54="Repossessed",R54="Written off",R54="Restructured"),0,1))</f>
        <v/>
      </c>
      <c r="AF54" s="19">
        <f>IF(A54="",0,IF(N(J54)&gt;N(I54),1,0))</f>
        <v/>
      </c>
      <c r="AG54" s="19">
        <f>IF(A54="",0,IF(N(N54)&gt;N(M54)+1,1,0))</f>
        <v/>
      </c>
      <c r="AH54" s="19">
        <f>IF(A54="",0,IF(N(E54)&gt;N(B54),1,0))</f>
        <v/>
      </c>
      <c r="AI54" s="19">
        <f>IF(A54="",0,IF(AND(Z54="Full payment",N(N54)&lt;N(M54)-1),1,0))</f>
        <v/>
      </c>
      <c r="AJ54" s="19">
        <f>IF(A54="",0,IF(N(P54)&lt;0,1,0))</f>
        <v/>
      </c>
      <c r="AK54" s="19">
        <f>IF(A54="",0,IF(COUNTIF($A$7:$A$1006,A54)&gt;1,1,0))</f>
        <v/>
      </c>
    </row>
    <row r="55">
      <c r="A55" s="10" t="n"/>
      <c r="B55" s="17" t="n"/>
      <c r="C55" s="18" t="n"/>
      <c r="D55" s="10" t="n"/>
      <c r="E55" s="17" t="n"/>
      <c r="F55" s="10" t="n"/>
      <c r="G55" s="10" t="n"/>
      <c r="H55" s="10" t="n"/>
      <c r="I55" s="18" t="n"/>
      <c r="J55" s="18" t="n"/>
      <c r="K55" s="18" t="n"/>
      <c r="L55" s="18" t="n"/>
      <c r="M55" s="19">
        <f>IF(K55="","",K55*365/12*L55)</f>
        <v/>
      </c>
      <c r="N55" s="18" t="n"/>
      <c r="O55" s="18" t="n"/>
      <c r="P55" s="18" t="n"/>
      <c r="Q55" s="18" t="n"/>
      <c r="R55" s="10" t="n"/>
      <c r="S55" s="17" t="n"/>
      <c r="T55" s="18" t="n"/>
      <c r="U55" s="17" t="n"/>
      <c r="V55" s="17" t="n"/>
      <c r="W55" s="18" t="n"/>
      <c r="X55" s="18" t="n"/>
      <c r="Y55" s="17" t="n"/>
      <c r="Z55" s="10" t="n"/>
      <c r="AA55" s="10" t="n"/>
      <c r="AB55" s="19">
        <f>IF(LEN(A55)&gt;0,1,0)</f>
        <v/>
      </c>
      <c r="AC55" s="19">
        <f>IF(LEN(A55)=0,0,(LEN(B55)=0)+(LEN(C55)=0)+(LEN(D55)=0)+(LEN(E55)=0)+(LEN(F55)=0)+(LEN(G55)=0)+(LEN(H55)=0)+(LEN(I55)=0)+(LEN(J55)=0)+(LEN(K55)=0)+(LEN(L55)=0)+(LEN(N55)=0)+(LEN(O55)=0)+(LEN(P55)=0)+(LEN(R55)=0)+(LEN(AA55)=0))</f>
        <v/>
      </c>
      <c r="AD55" s="19">
        <f>IF(OR(LEN(A55)=0,LEN(C55)=0),0,IF(OR(C55&lt;1,C55&gt;5),1,0))</f>
        <v/>
      </c>
      <c r="AE55" s="19">
        <f>IF(OR(LEN(A55)=0,LEN(R55)=0),0,IF(OR(R55="Active",R55="Paid off",R55="Defaulted",R55="Repossessed",R55="Written off",R55="Restructured"),0,1))</f>
        <v/>
      </c>
      <c r="AF55" s="19">
        <f>IF(A55="",0,IF(N(J55)&gt;N(I55),1,0))</f>
        <v/>
      </c>
      <c r="AG55" s="19">
        <f>IF(A55="",0,IF(N(N55)&gt;N(M55)+1,1,0))</f>
        <v/>
      </c>
      <c r="AH55" s="19">
        <f>IF(A55="",0,IF(N(E55)&gt;N(B55),1,0))</f>
        <v/>
      </c>
      <c r="AI55" s="19">
        <f>IF(A55="",0,IF(AND(Z55="Full payment",N(N55)&lt;N(M55)-1),1,0))</f>
        <v/>
      </c>
      <c r="AJ55" s="19">
        <f>IF(A55="",0,IF(N(P55)&lt;0,1,0))</f>
        <v/>
      </c>
      <c r="AK55" s="19">
        <f>IF(A55="",0,IF(COUNTIF($A$7:$A$1006,A55)&gt;1,1,0))</f>
        <v/>
      </c>
    </row>
    <row r="56">
      <c r="A56" s="10" t="n"/>
      <c r="B56" s="17" t="n"/>
      <c r="C56" s="18" t="n"/>
      <c r="D56" s="10" t="n"/>
      <c r="E56" s="17" t="n"/>
      <c r="F56" s="10" t="n"/>
      <c r="G56" s="10" t="n"/>
      <c r="H56" s="10" t="n"/>
      <c r="I56" s="18" t="n"/>
      <c r="J56" s="18" t="n"/>
      <c r="K56" s="18" t="n"/>
      <c r="L56" s="18" t="n"/>
      <c r="M56" s="19">
        <f>IF(K56="","",K56*365/12*L56)</f>
        <v/>
      </c>
      <c r="N56" s="18" t="n"/>
      <c r="O56" s="18" t="n"/>
      <c r="P56" s="18" t="n"/>
      <c r="Q56" s="18" t="n"/>
      <c r="R56" s="10" t="n"/>
      <c r="S56" s="17" t="n"/>
      <c r="T56" s="18" t="n"/>
      <c r="U56" s="17" t="n"/>
      <c r="V56" s="17" t="n"/>
      <c r="W56" s="18" t="n"/>
      <c r="X56" s="18" t="n"/>
      <c r="Y56" s="17" t="n"/>
      <c r="Z56" s="10" t="n"/>
      <c r="AA56" s="10" t="n"/>
      <c r="AB56" s="19">
        <f>IF(LEN(A56)&gt;0,1,0)</f>
        <v/>
      </c>
      <c r="AC56" s="19">
        <f>IF(LEN(A56)=0,0,(LEN(B56)=0)+(LEN(C56)=0)+(LEN(D56)=0)+(LEN(E56)=0)+(LEN(F56)=0)+(LEN(G56)=0)+(LEN(H56)=0)+(LEN(I56)=0)+(LEN(J56)=0)+(LEN(K56)=0)+(LEN(L56)=0)+(LEN(N56)=0)+(LEN(O56)=0)+(LEN(P56)=0)+(LEN(R56)=0)+(LEN(AA56)=0))</f>
        <v/>
      </c>
      <c r="AD56" s="19">
        <f>IF(OR(LEN(A56)=0,LEN(C56)=0),0,IF(OR(C56&lt;1,C56&gt;5),1,0))</f>
        <v/>
      </c>
      <c r="AE56" s="19">
        <f>IF(OR(LEN(A56)=0,LEN(R56)=0),0,IF(OR(R56="Active",R56="Paid off",R56="Defaulted",R56="Repossessed",R56="Written off",R56="Restructured"),0,1))</f>
        <v/>
      </c>
      <c r="AF56" s="19">
        <f>IF(A56="",0,IF(N(J56)&gt;N(I56),1,0))</f>
        <v/>
      </c>
      <c r="AG56" s="19">
        <f>IF(A56="",0,IF(N(N56)&gt;N(M56)+1,1,0))</f>
        <v/>
      </c>
      <c r="AH56" s="19">
        <f>IF(A56="",0,IF(N(E56)&gt;N(B56),1,0))</f>
        <v/>
      </c>
      <c r="AI56" s="19">
        <f>IF(A56="",0,IF(AND(Z56="Full payment",N(N56)&lt;N(M56)-1),1,0))</f>
        <v/>
      </c>
      <c r="AJ56" s="19">
        <f>IF(A56="",0,IF(N(P56)&lt;0,1,0))</f>
        <v/>
      </c>
      <c r="AK56" s="19">
        <f>IF(A56="",0,IF(COUNTIF($A$7:$A$1006,A56)&gt;1,1,0))</f>
        <v/>
      </c>
    </row>
    <row r="57">
      <c r="A57" s="10" t="n"/>
      <c r="B57" s="17" t="n"/>
      <c r="C57" s="18" t="n"/>
      <c r="D57" s="10" t="n"/>
      <c r="E57" s="17" t="n"/>
      <c r="F57" s="10" t="n"/>
      <c r="G57" s="10" t="n"/>
      <c r="H57" s="10" t="n"/>
      <c r="I57" s="18" t="n"/>
      <c r="J57" s="18" t="n"/>
      <c r="K57" s="18" t="n"/>
      <c r="L57" s="18" t="n"/>
      <c r="M57" s="19">
        <f>IF(K57="","",K57*365/12*L57)</f>
        <v/>
      </c>
      <c r="N57" s="18" t="n"/>
      <c r="O57" s="18" t="n"/>
      <c r="P57" s="18" t="n"/>
      <c r="Q57" s="18" t="n"/>
      <c r="R57" s="10" t="n"/>
      <c r="S57" s="17" t="n"/>
      <c r="T57" s="18" t="n"/>
      <c r="U57" s="17" t="n"/>
      <c r="V57" s="17" t="n"/>
      <c r="W57" s="18" t="n"/>
      <c r="X57" s="18" t="n"/>
      <c r="Y57" s="17" t="n"/>
      <c r="Z57" s="10" t="n"/>
      <c r="AA57" s="10" t="n"/>
      <c r="AB57" s="19">
        <f>IF(LEN(A57)&gt;0,1,0)</f>
        <v/>
      </c>
      <c r="AC57" s="19">
        <f>IF(LEN(A57)=0,0,(LEN(B57)=0)+(LEN(C57)=0)+(LEN(D57)=0)+(LEN(E57)=0)+(LEN(F57)=0)+(LEN(G57)=0)+(LEN(H57)=0)+(LEN(I57)=0)+(LEN(J57)=0)+(LEN(K57)=0)+(LEN(L57)=0)+(LEN(N57)=0)+(LEN(O57)=0)+(LEN(P57)=0)+(LEN(R57)=0)+(LEN(AA57)=0))</f>
        <v/>
      </c>
      <c r="AD57" s="19">
        <f>IF(OR(LEN(A57)=0,LEN(C57)=0),0,IF(OR(C57&lt;1,C57&gt;5),1,0))</f>
        <v/>
      </c>
      <c r="AE57" s="19">
        <f>IF(OR(LEN(A57)=0,LEN(R57)=0),0,IF(OR(R57="Active",R57="Paid off",R57="Defaulted",R57="Repossessed",R57="Written off",R57="Restructured"),0,1))</f>
        <v/>
      </c>
      <c r="AF57" s="19">
        <f>IF(A57="",0,IF(N(J57)&gt;N(I57),1,0))</f>
        <v/>
      </c>
      <c r="AG57" s="19">
        <f>IF(A57="",0,IF(N(N57)&gt;N(M57)+1,1,0))</f>
        <v/>
      </c>
      <c r="AH57" s="19">
        <f>IF(A57="",0,IF(N(E57)&gt;N(B57),1,0))</f>
        <v/>
      </c>
      <c r="AI57" s="19">
        <f>IF(A57="",0,IF(AND(Z57="Full payment",N(N57)&lt;N(M57)-1),1,0))</f>
        <v/>
      </c>
      <c r="AJ57" s="19">
        <f>IF(A57="",0,IF(N(P57)&lt;0,1,0))</f>
        <v/>
      </c>
      <c r="AK57" s="19">
        <f>IF(A57="",0,IF(COUNTIF($A$7:$A$1006,A57)&gt;1,1,0))</f>
        <v/>
      </c>
    </row>
    <row r="58">
      <c r="A58" s="10" t="n"/>
      <c r="B58" s="17" t="n"/>
      <c r="C58" s="18" t="n"/>
      <c r="D58" s="10" t="n"/>
      <c r="E58" s="17" t="n"/>
      <c r="F58" s="10" t="n"/>
      <c r="G58" s="10" t="n"/>
      <c r="H58" s="10" t="n"/>
      <c r="I58" s="18" t="n"/>
      <c r="J58" s="18" t="n"/>
      <c r="K58" s="18" t="n"/>
      <c r="L58" s="18" t="n"/>
      <c r="M58" s="19">
        <f>IF(K58="","",K58*365/12*L58)</f>
        <v/>
      </c>
      <c r="N58" s="18" t="n"/>
      <c r="O58" s="18" t="n"/>
      <c r="P58" s="18" t="n"/>
      <c r="Q58" s="18" t="n"/>
      <c r="R58" s="10" t="n"/>
      <c r="S58" s="17" t="n"/>
      <c r="T58" s="18" t="n"/>
      <c r="U58" s="17" t="n"/>
      <c r="V58" s="17" t="n"/>
      <c r="W58" s="18" t="n"/>
      <c r="X58" s="18" t="n"/>
      <c r="Y58" s="17" t="n"/>
      <c r="Z58" s="10" t="n"/>
      <c r="AA58" s="10" t="n"/>
      <c r="AB58" s="19">
        <f>IF(LEN(A58)&gt;0,1,0)</f>
        <v/>
      </c>
      <c r="AC58" s="19">
        <f>IF(LEN(A58)=0,0,(LEN(B58)=0)+(LEN(C58)=0)+(LEN(D58)=0)+(LEN(E58)=0)+(LEN(F58)=0)+(LEN(G58)=0)+(LEN(H58)=0)+(LEN(I58)=0)+(LEN(J58)=0)+(LEN(K58)=0)+(LEN(L58)=0)+(LEN(N58)=0)+(LEN(O58)=0)+(LEN(P58)=0)+(LEN(R58)=0)+(LEN(AA58)=0))</f>
        <v/>
      </c>
      <c r="AD58" s="19">
        <f>IF(OR(LEN(A58)=0,LEN(C58)=0),0,IF(OR(C58&lt;1,C58&gt;5),1,0))</f>
        <v/>
      </c>
      <c r="AE58" s="19">
        <f>IF(OR(LEN(A58)=0,LEN(R58)=0),0,IF(OR(R58="Active",R58="Paid off",R58="Defaulted",R58="Repossessed",R58="Written off",R58="Restructured"),0,1))</f>
        <v/>
      </c>
      <c r="AF58" s="19">
        <f>IF(A58="",0,IF(N(J58)&gt;N(I58),1,0))</f>
        <v/>
      </c>
      <c r="AG58" s="19">
        <f>IF(A58="",0,IF(N(N58)&gt;N(M58)+1,1,0))</f>
        <v/>
      </c>
      <c r="AH58" s="19">
        <f>IF(A58="",0,IF(N(E58)&gt;N(B58),1,0))</f>
        <v/>
      </c>
      <c r="AI58" s="19">
        <f>IF(A58="",0,IF(AND(Z58="Full payment",N(N58)&lt;N(M58)-1),1,0))</f>
        <v/>
      </c>
      <c r="AJ58" s="19">
        <f>IF(A58="",0,IF(N(P58)&lt;0,1,0))</f>
        <v/>
      </c>
      <c r="AK58" s="19">
        <f>IF(A58="",0,IF(COUNTIF($A$7:$A$1006,A58)&gt;1,1,0))</f>
        <v/>
      </c>
    </row>
    <row r="59">
      <c r="A59" s="10" t="n"/>
      <c r="B59" s="17" t="n"/>
      <c r="C59" s="18" t="n"/>
      <c r="D59" s="10" t="n"/>
      <c r="E59" s="17" t="n"/>
      <c r="F59" s="10" t="n"/>
      <c r="G59" s="10" t="n"/>
      <c r="H59" s="10" t="n"/>
      <c r="I59" s="18" t="n"/>
      <c r="J59" s="18" t="n"/>
      <c r="K59" s="18" t="n"/>
      <c r="L59" s="18" t="n"/>
      <c r="M59" s="19">
        <f>IF(K59="","",K59*365/12*L59)</f>
        <v/>
      </c>
      <c r="N59" s="18" t="n"/>
      <c r="O59" s="18" t="n"/>
      <c r="P59" s="18" t="n"/>
      <c r="Q59" s="18" t="n"/>
      <c r="R59" s="10" t="n"/>
      <c r="S59" s="17" t="n"/>
      <c r="T59" s="18" t="n"/>
      <c r="U59" s="17" t="n"/>
      <c r="V59" s="17" t="n"/>
      <c r="W59" s="18" t="n"/>
      <c r="X59" s="18" t="n"/>
      <c r="Y59" s="17" t="n"/>
      <c r="Z59" s="10" t="n"/>
      <c r="AA59" s="10" t="n"/>
      <c r="AB59" s="19">
        <f>IF(LEN(A59)&gt;0,1,0)</f>
        <v/>
      </c>
      <c r="AC59" s="19">
        <f>IF(LEN(A59)=0,0,(LEN(B59)=0)+(LEN(C59)=0)+(LEN(D59)=0)+(LEN(E59)=0)+(LEN(F59)=0)+(LEN(G59)=0)+(LEN(H59)=0)+(LEN(I59)=0)+(LEN(J59)=0)+(LEN(K59)=0)+(LEN(L59)=0)+(LEN(N59)=0)+(LEN(O59)=0)+(LEN(P59)=0)+(LEN(R59)=0)+(LEN(AA59)=0))</f>
        <v/>
      </c>
      <c r="AD59" s="19">
        <f>IF(OR(LEN(A59)=0,LEN(C59)=0),0,IF(OR(C59&lt;1,C59&gt;5),1,0))</f>
        <v/>
      </c>
      <c r="AE59" s="19">
        <f>IF(OR(LEN(A59)=0,LEN(R59)=0),0,IF(OR(R59="Active",R59="Paid off",R59="Defaulted",R59="Repossessed",R59="Written off",R59="Restructured"),0,1))</f>
        <v/>
      </c>
      <c r="AF59" s="19">
        <f>IF(A59="",0,IF(N(J59)&gt;N(I59),1,0))</f>
        <v/>
      </c>
      <c r="AG59" s="19">
        <f>IF(A59="",0,IF(N(N59)&gt;N(M59)+1,1,0))</f>
        <v/>
      </c>
      <c r="AH59" s="19">
        <f>IF(A59="",0,IF(N(E59)&gt;N(B59),1,0))</f>
        <v/>
      </c>
      <c r="AI59" s="19">
        <f>IF(A59="",0,IF(AND(Z59="Full payment",N(N59)&lt;N(M59)-1),1,0))</f>
        <v/>
      </c>
      <c r="AJ59" s="19">
        <f>IF(A59="",0,IF(N(P59)&lt;0,1,0))</f>
        <v/>
      </c>
      <c r="AK59" s="19">
        <f>IF(A59="",0,IF(COUNTIF($A$7:$A$1006,A59)&gt;1,1,0))</f>
        <v/>
      </c>
    </row>
    <row r="60">
      <c r="A60" s="10" t="n"/>
      <c r="B60" s="17" t="n"/>
      <c r="C60" s="18" t="n"/>
      <c r="D60" s="10" t="n"/>
      <c r="E60" s="17" t="n"/>
      <c r="F60" s="10" t="n"/>
      <c r="G60" s="10" t="n"/>
      <c r="H60" s="10" t="n"/>
      <c r="I60" s="18" t="n"/>
      <c r="J60" s="18" t="n"/>
      <c r="K60" s="18" t="n"/>
      <c r="L60" s="18" t="n"/>
      <c r="M60" s="19">
        <f>IF(K60="","",K60*365/12*L60)</f>
        <v/>
      </c>
      <c r="N60" s="18" t="n"/>
      <c r="O60" s="18" t="n"/>
      <c r="P60" s="18" t="n"/>
      <c r="Q60" s="18" t="n"/>
      <c r="R60" s="10" t="n"/>
      <c r="S60" s="17" t="n"/>
      <c r="T60" s="18" t="n"/>
      <c r="U60" s="17" t="n"/>
      <c r="V60" s="17" t="n"/>
      <c r="W60" s="18" t="n"/>
      <c r="X60" s="18" t="n"/>
      <c r="Y60" s="17" t="n"/>
      <c r="Z60" s="10" t="n"/>
      <c r="AA60" s="10" t="n"/>
      <c r="AB60" s="19">
        <f>IF(LEN(A60)&gt;0,1,0)</f>
        <v/>
      </c>
      <c r="AC60" s="19">
        <f>IF(LEN(A60)=0,0,(LEN(B60)=0)+(LEN(C60)=0)+(LEN(D60)=0)+(LEN(E60)=0)+(LEN(F60)=0)+(LEN(G60)=0)+(LEN(H60)=0)+(LEN(I60)=0)+(LEN(J60)=0)+(LEN(K60)=0)+(LEN(L60)=0)+(LEN(N60)=0)+(LEN(O60)=0)+(LEN(P60)=0)+(LEN(R60)=0)+(LEN(AA60)=0))</f>
        <v/>
      </c>
      <c r="AD60" s="19">
        <f>IF(OR(LEN(A60)=0,LEN(C60)=0),0,IF(OR(C60&lt;1,C60&gt;5),1,0))</f>
        <v/>
      </c>
      <c r="AE60" s="19">
        <f>IF(OR(LEN(A60)=0,LEN(R60)=0),0,IF(OR(R60="Active",R60="Paid off",R60="Defaulted",R60="Repossessed",R60="Written off",R60="Restructured"),0,1))</f>
        <v/>
      </c>
      <c r="AF60" s="19">
        <f>IF(A60="",0,IF(N(J60)&gt;N(I60),1,0))</f>
        <v/>
      </c>
      <c r="AG60" s="19">
        <f>IF(A60="",0,IF(N(N60)&gt;N(M60)+1,1,0))</f>
        <v/>
      </c>
      <c r="AH60" s="19">
        <f>IF(A60="",0,IF(N(E60)&gt;N(B60),1,0))</f>
        <v/>
      </c>
      <c r="AI60" s="19">
        <f>IF(A60="",0,IF(AND(Z60="Full payment",N(N60)&lt;N(M60)-1),1,0))</f>
        <v/>
      </c>
      <c r="AJ60" s="19">
        <f>IF(A60="",0,IF(N(P60)&lt;0,1,0))</f>
        <v/>
      </c>
      <c r="AK60" s="19">
        <f>IF(A60="",0,IF(COUNTIF($A$7:$A$1006,A60)&gt;1,1,0))</f>
        <v/>
      </c>
    </row>
    <row r="61">
      <c r="A61" s="10" t="n"/>
      <c r="B61" s="17" t="n"/>
      <c r="C61" s="18" t="n"/>
      <c r="D61" s="10" t="n"/>
      <c r="E61" s="17" t="n"/>
      <c r="F61" s="10" t="n"/>
      <c r="G61" s="10" t="n"/>
      <c r="H61" s="10" t="n"/>
      <c r="I61" s="18" t="n"/>
      <c r="J61" s="18" t="n"/>
      <c r="K61" s="18" t="n"/>
      <c r="L61" s="18" t="n"/>
      <c r="M61" s="19">
        <f>IF(K61="","",K61*365/12*L61)</f>
        <v/>
      </c>
      <c r="N61" s="18" t="n"/>
      <c r="O61" s="18" t="n"/>
      <c r="P61" s="18" t="n"/>
      <c r="Q61" s="18" t="n"/>
      <c r="R61" s="10" t="n"/>
      <c r="S61" s="17" t="n"/>
      <c r="T61" s="18" t="n"/>
      <c r="U61" s="17" t="n"/>
      <c r="V61" s="17" t="n"/>
      <c r="W61" s="18" t="n"/>
      <c r="X61" s="18" t="n"/>
      <c r="Y61" s="17" t="n"/>
      <c r="Z61" s="10" t="n"/>
      <c r="AA61" s="10" t="n"/>
      <c r="AB61" s="19">
        <f>IF(LEN(A61)&gt;0,1,0)</f>
        <v/>
      </c>
      <c r="AC61" s="19">
        <f>IF(LEN(A61)=0,0,(LEN(B61)=0)+(LEN(C61)=0)+(LEN(D61)=0)+(LEN(E61)=0)+(LEN(F61)=0)+(LEN(G61)=0)+(LEN(H61)=0)+(LEN(I61)=0)+(LEN(J61)=0)+(LEN(K61)=0)+(LEN(L61)=0)+(LEN(N61)=0)+(LEN(O61)=0)+(LEN(P61)=0)+(LEN(R61)=0)+(LEN(AA61)=0))</f>
        <v/>
      </c>
      <c r="AD61" s="19">
        <f>IF(OR(LEN(A61)=0,LEN(C61)=0),0,IF(OR(C61&lt;1,C61&gt;5),1,0))</f>
        <v/>
      </c>
      <c r="AE61" s="19">
        <f>IF(OR(LEN(A61)=0,LEN(R61)=0),0,IF(OR(R61="Active",R61="Paid off",R61="Defaulted",R61="Repossessed",R61="Written off",R61="Restructured"),0,1))</f>
        <v/>
      </c>
      <c r="AF61" s="19">
        <f>IF(A61="",0,IF(N(J61)&gt;N(I61),1,0))</f>
        <v/>
      </c>
      <c r="AG61" s="19">
        <f>IF(A61="",0,IF(N(N61)&gt;N(M61)+1,1,0))</f>
        <v/>
      </c>
      <c r="AH61" s="19">
        <f>IF(A61="",0,IF(N(E61)&gt;N(B61),1,0))</f>
        <v/>
      </c>
      <c r="AI61" s="19">
        <f>IF(A61="",0,IF(AND(Z61="Full payment",N(N61)&lt;N(M61)-1),1,0))</f>
        <v/>
      </c>
      <c r="AJ61" s="19">
        <f>IF(A61="",0,IF(N(P61)&lt;0,1,0))</f>
        <v/>
      </c>
      <c r="AK61" s="19">
        <f>IF(A61="",0,IF(COUNTIF($A$7:$A$1006,A61)&gt;1,1,0))</f>
        <v/>
      </c>
    </row>
    <row r="62">
      <c r="A62" s="10" t="n"/>
      <c r="B62" s="17" t="n"/>
      <c r="C62" s="18" t="n"/>
      <c r="D62" s="10" t="n"/>
      <c r="E62" s="17" t="n"/>
      <c r="F62" s="10" t="n"/>
      <c r="G62" s="10" t="n"/>
      <c r="H62" s="10" t="n"/>
      <c r="I62" s="18" t="n"/>
      <c r="J62" s="18" t="n"/>
      <c r="K62" s="18" t="n"/>
      <c r="L62" s="18" t="n"/>
      <c r="M62" s="19">
        <f>IF(K62="","",K62*365/12*L62)</f>
        <v/>
      </c>
      <c r="N62" s="18" t="n"/>
      <c r="O62" s="18" t="n"/>
      <c r="P62" s="18" t="n"/>
      <c r="Q62" s="18" t="n"/>
      <c r="R62" s="10" t="n"/>
      <c r="S62" s="17" t="n"/>
      <c r="T62" s="18" t="n"/>
      <c r="U62" s="17" t="n"/>
      <c r="V62" s="17" t="n"/>
      <c r="W62" s="18" t="n"/>
      <c r="X62" s="18" t="n"/>
      <c r="Y62" s="17" t="n"/>
      <c r="Z62" s="10" t="n"/>
      <c r="AA62" s="10" t="n"/>
      <c r="AB62" s="19">
        <f>IF(LEN(A62)&gt;0,1,0)</f>
        <v/>
      </c>
      <c r="AC62" s="19">
        <f>IF(LEN(A62)=0,0,(LEN(B62)=0)+(LEN(C62)=0)+(LEN(D62)=0)+(LEN(E62)=0)+(LEN(F62)=0)+(LEN(G62)=0)+(LEN(H62)=0)+(LEN(I62)=0)+(LEN(J62)=0)+(LEN(K62)=0)+(LEN(L62)=0)+(LEN(N62)=0)+(LEN(O62)=0)+(LEN(P62)=0)+(LEN(R62)=0)+(LEN(AA62)=0))</f>
        <v/>
      </c>
      <c r="AD62" s="19">
        <f>IF(OR(LEN(A62)=0,LEN(C62)=0),0,IF(OR(C62&lt;1,C62&gt;5),1,0))</f>
        <v/>
      </c>
      <c r="AE62" s="19">
        <f>IF(OR(LEN(A62)=0,LEN(R62)=0),0,IF(OR(R62="Active",R62="Paid off",R62="Defaulted",R62="Repossessed",R62="Written off",R62="Restructured"),0,1))</f>
        <v/>
      </c>
      <c r="AF62" s="19">
        <f>IF(A62="",0,IF(N(J62)&gt;N(I62),1,0))</f>
        <v/>
      </c>
      <c r="AG62" s="19">
        <f>IF(A62="",0,IF(N(N62)&gt;N(M62)+1,1,0))</f>
        <v/>
      </c>
      <c r="AH62" s="19">
        <f>IF(A62="",0,IF(N(E62)&gt;N(B62),1,0))</f>
        <v/>
      </c>
      <c r="AI62" s="19">
        <f>IF(A62="",0,IF(AND(Z62="Full payment",N(N62)&lt;N(M62)-1),1,0))</f>
        <v/>
      </c>
      <c r="AJ62" s="19">
        <f>IF(A62="",0,IF(N(P62)&lt;0,1,0))</f>
        <v/>
      </c>
      <c r="AK62" s="19">
        <f>IF(A62="",0,IF(COUNTIF($A$7:$A$1006,A62)&gt;1,1,0))</f>
        <v/>
      </c>
    </row>
    <row r="63">
      <c r="A63" s="10" t="n"/>
      <c r="B63" s="17" t="n"/>
      <c r="C63" s="18" t="n"/>
      <c r="D63" s="10" t="n"/>
      <c r="E63" s="17" t="n"/>
      <c r="F63" s="10" t="n"/>
      <c r="G63" s="10" t="n"/>
      <c r="H63" s="10" t="n"/>
      <c r="I63" s="18" t="n"/>
      <c r="J63" s="18" t="n"/>
      <c r="K63" s="18" t="n"/>
      <c r="L63" s="18" t="n"/>
      <c r="M63" s="19">
        <f>IF(K63="","",K63*365/12*L63)</f>
        <v/>
      </c>
      <c r="N63" s="18" t="n"/>
      <c r="O63" s="18" t="n"/>
      <c r="P63" s="18" t="n"/>
      <c r="Q63" s="18" t="n"/>
      <c r="R63" s="10" t="n"/>
      <c r="S63" s="17" t="n"/>
      <c r="T63" s="18" t="n"/>
      <c r="U63" s="17" t="n"/>
      <c r="V63" s="17" t="n"/>
      <c r="W63" s="18" t="n"/>
      <c r="X63" s="18" t="n"/>
      <c r="Y63" s="17" t="n"/>
      <c r="Z63" s="10" t="n"/>
      <c r="AA63" s="10" t="n"/>
      <c r="AB63" s="19">
        <f>IF(LEN(A63)&gt;0,1,0)</f>
        <v/>
      </c>
      <c r="AC63" s="19">
        <f>IF(LEN(A63)=0,0,(LEN(B63)=0)+(LEN(C63)=0)+(LEN(D63)=0)+(LEN(E63)=0)+(LEN(F63)=0)+(LEN(G63)=0)+(LEN(H63)=0)+(LEN(I63)=0)+(LEN(J63)=0)+(LEN(K63)=0)+(LEN(L63)=0)+(LEN(N63)=0)+(LEN(O63)=0)+(LEN(P63)=0)+(LEN(R63)=0)+(LEN(AA63)=0))</f>
        <v/>
      </c>
      <c r="AD63" s="19">
        <f>IF(OR(LEN(A63)=0,LEN(C63)=0),0,IF(OR(C63&lt;1,C63&gt;5),1,0))</f>
        <v/>
      </c>
      <c r="AE63" s="19">
        <f>IF(OR(LEN(A63)=0,LEN(R63)=0),0,IF(OR(R63="Active",R63="Paid off",R63="Defaulted",R63="Repossessed",R63="Written off",R63="Restructured"),0,1))</f>
        <v/>
      </c>
      <c r="AF63" s="19">
        <f>IF(A63="",0,IF(N(J63)&gt;N(I63),1,0))</f>
        <v/>
      </c>
      <c r="AG63" s="19">
        <f>IF(A63="",0,IF(N(N63)&gt;N(M63)+1,1,0))</f>
        <v/>
      </c>
      <c r="AH63" s="19">
        <f>IF(A63="",0,IF(N(E63)&gt;N(B63),1,0))</f>
        <v/>
      </c>
      <c r="AI63" s="19">
        <f>IF(A63="",0,IF(AND(Z63="Full payment",N(N63)&lt;N(M63)-1),1,0))</f>
        <v/>
      </c>
      <c r="AJ63" s="19">
        <f>IF(A63="",0,IF(N(P63)&lt;0,1,0))</f>
        <v/>
      </c>
      <c r="AK63" s="19">
        <f>IF(A63="",0,IF(COUNTIF($A$7:$A$1006,A63)&gt;1,1,0))</f>
        <v/>
      </c>
    </row>
    <row r="64">
      <c r="A64" s="10" t="n"/>
      <c r="B64" s="17" t="n"/>
      <c r="C64" s="18" t="n"/>
      <c r="D64" s="10" t="n"/>
      <c r="E64" s="17" t="n"/>
      <c r="F64" s="10" t="n"/>
      <c r="G64" s="10" t="n"/>
      <c r="H64" s="10" t="n"/>
      <c r="I64" s="18" t="n"/>
      <c r="J64" s="18" t="n"/>
      <c r="K64" s="18" t="n"/>
      <c r="L64" s="18" t="n"/>
      <c r="M64" s="19">
        <f>IF(K64="","",K64*365/12*L64)</f>
        <v/>
      </c>
      <c r="N64" s="18" t="n"/>
      <c r="O64" s="18" t="n"/>
      <c r="P64" s="18" t="n"/>
      <c r="Q64" s="18" t="n"/>
      <c r="R64" s="10" t="n"/>
      <c r="S64" s="17" t="n"/>
      <c r="T64" s="18" t="n"/>
      <c r="U64" s="17" t="n"/>
      <c r="V64" s="17" t="n"/>
      <c r="W64" s="18" t="n"/>
      <c r="X64" s="18" t="n"/>
      <c r="Y64" s="17" t="n"/>
      <c r="Z64" s="10" t="n"/>
      <c r="AA64" s="10" t="n"/>
      <c r="AB64" s="19">
        <f>IF(LEN(A64)&gt;0,1,0)</f>
        <v/>
      </c>
      <c r="AC64" s="19">
        <f>IF(LEN(A64)=0,0,(LEN(B64)=0)+(LEN(C64)=0)+(LEN(D64)=0)+(LEN(E64)=0)+(LEN(F64)=0)+(LEN(G64)=0)+(LEN(H64)=0)+(LEN(I64)=0)+(LEN(J64)=0)+(LEN(K64)=0)+(LEN(L64)=0)+(LEN(N64)=0)+(LEN(O64)=0)+(LEN(P64)=0)+(LEN(R64)=0)+(LEN(AA64)=0))</f>
        <v/>
      </c>
      <c r="AD64" s="19">
        <f>IF(OR(LEN(A64)=0,LEN(C64)=0),0,IF(OR(C64&lt;1,C64&gt;5),1,0))</f>
        <v/>
      </c>
      <c r="AE64" s="19">
        <f>IF(OR(LEN(A64)=0,LEN(R64)=0),0,IF(OR(R64="Active",R64="Paid off",R64="Defaulted",R64="Repossessed",R64="Written off",R64="Restructured"),0,1))</f>
        <v/>
      </c>
      <c r="AF64" s="19">
        <f>IF(A64="",0,IF(N(J64)&gt;N(I64),1,0))</f>
        <v/>
      </c>
      <c r="AG64" s="19">
        <f>IF(A64="",0,IF(N(N64)&gt;N(M64)+1,1,0))</f>
        <v/>
      </c>
      <c r="AH64" s="19">
        <f>IF(A64="",0,IF(N(E64)&gt;N(B64),1,0))</f>
        <v/>
      </c>
      <c r="AI64" s="19">
        <f>IF(A64="",0,IF(AND(Z64="Full payment",N(N64)&lt;N(M64)-1),1,0))</f>
        <v/>
      </c>
      <c r="AJ64" s="19">
        <f>IF(A64="",0,IF(N(P64)&lt;0,1,0))</f>
        <v/>
      </c>
      <c r="AK64" s="19">
        <f>IF(A64="",0,IF(COUNTIF($A$7:$A$1006,A64)&gt;1,1,0))</f>
        <v/>
      </c>
    </row>
    <row r="65">
      <c r="A65" s="10" t="n"/>
      <c r="B65" s="17" t="n"/>
      <c r="C65" s="18" t="n"/>
      <c r="D65" s="10" t="n"/>
      <c r="E65" s="17" t="n"/>
      <c r="F65" s="10" t="n"/>
      <c r="G65" s="10" t="n"/>
      <c r="H65" s="10" t="n"/>
      <c r="I65" s="18" t="n"/>
      <c r="J65" s="18" t="n"/>
      <c r="K65" s="18" t="n"/>
      <c r="L65" s="18" t="n"/>
      <c r="M65" s="19">
        <f>IF(K65="","",K65*365/12*L65)</f>
        <v/>
      </c>
      <c r="N65" s="18" t="n"/>
      <c r="O65" s="18" t="n"/>
      <c r="P65" s="18" t="n"/>
      <c r="Q65" s="18" t="n"/>
      <c r="R65" s="10" t="n"/>
      <c r="S65" s="17" t="n"/>
      <c r="T65" s="18" t="n"/>
      <c r="U65" s="17" t="n"/>
      <c r="V65" s="17" t="n"/>
      <c r="W65" s="18" t="n"/>
      <c r="X65" s="18" t="n"/>
      <c r="Y65" s="17" t="n"/>
      <c r="Z65" s="10" t="n"/>
      <c r="AA65" s="10" t="n"/>
      <c r="AB65" s="19">
        <f>IF(LEN(A65)&gt;0,1,0)</f>
        <v/>
      </c>
      <c r="AC65" s="19">
        <f>IF(LEN(A65)=0,0,(LEN(B65)=0)+(LEN(C65)=0)+(LEN(D65)=0)+(LEN(E65)=0)+(LEN(F65)=0)+(LEN(G65)=0)+(LEN(H65)=0)+(LEN(I65)=0)+(LEN(J65)=0)+(LEN(K65)=0)+(LEN(L65)=0)+(LEN(N65)=0)+(LEN(O65)=0)+(LEN(P65)=0)+(LEN(R65)=0)+(LEN(AA65)=0))</f>
        <v/>
      </c>
      <c r="AD65" s="19">
        <f>IF(OR(LEN(A65)=0,LEN(C65)=0),0,IF(OR(C65&lt;1,C65&gt;5),1,0))</f>
        <v/>
      </c>
      <c r="AE65" s="19">
        <f>IF(OR(LEN(A65)=0,LEN(R65)=0),0,IF(OR(R65="Active",R65="Paid off",R65="Defaulted",R65="Repossessed",R65="Written off",R65="Restructured"),0,1))</f>
        <v/>
      </c>
      <c r="AF65" s="19">
        <f>IF(A65="",0,IF(N(J65)&gt;N(I65),1,0))</f>
        <v/>
      </c>
      <c r="AG65" s="19">
        <f>IF(A65="",0,IF(N(N65)&gt;N(M65)+1,1,0))</f>
        <v/>
      </c>
      <c r="AH65" s="19">
        <f>IF(A65="",0,IF(N(E65)&gt;N(B65),1,0))</f>
        <v/>
      </c>
      <c r="AI65" s="19">
        <f>IF(A65="",0,IF(AND(Z65="Full payment",N(N65)&lt;N(M65)-1),1,0))</f>
        <v/>
      </c>
      <c r="AJ65" s="19">
        <f>IF(A65="",0,IF(N(P65)&lt;0,1,0))</f>
        <v/>
      </c>
      <c r="AK65" s="19">
        <f>IF(A65="",0,IF(COUNTIF($A$7:$A$1006,A65)&gt;1,1,0))</f>
        <v/>
      </c>
    </row>
    <row r="66">
      <c r="A66" s="10" t="n"/>
      <c r="B66" s="17" t="n"/>
      <c r="C66" s="18" t="n"/>
      <c r="D66" s="10" t="n"/>
      <c r="E66" s="17" t="n"/>
      <c r="F66" s="10" t="n"/>
      <c r="G66" s="10" t="n"/>
      <c r="H66" s="10" t="n"/>
      <c r="I66" s="18" t="n"/>
      <c r="J66" s="18" t="n"/>
      <c r="K66" s="18" t="n"/>
      <c r="L66" s="18" t="n"/>
      <c r="M66" s="19">
        <f>IF(K66="","",K66*365/12*L66)</f>
        <v/>
      </c>
      <c r="N66" s="18" t="n"/>
      <c r="O66" s="18" t="n"/>
      <c r="P66" s="18" t="n"/>
      <c r="Q66" s="18" t="n"/>
      <c r="R66" s="10" t="n"/>
      <c r="S66" s="17" t="n"/>
      <c r="T66" s="18" t="n"/>
      <c r="U66" s="17" t="n"/>
      <c r="V66" s="17" t="n"/>
      <c r="W66" s="18" t="n"/>
      <c r="X66" s="18" t="n"/>
      <c r="Y66" s="17" t="n"/>
      <c r="Z66" s="10" t="n"/>
      <c r="AA66" s="10" t="n"/>
      <c r="AB66" s="19">
        <f>IF(LEN(A66)&gt;0,1,0)</f>
        <v/>
      </c>
      <c r="AC66" s="19">
        <f>IF(LEN(A66)=0,0,(LEN(B66)=0)+(LEN(C66)=0)+(LEN(D66)=0)+(LEN(E66)=0)+(LEN(F66)=0)+(LEN(G66)=0)+(LEN(H66)=0)+(LEN(I66)=0)+(LEN(J66)=0)+(LEN(K66)=0)+(LEN(L66)=0)+(LEN(N66)=0)+(LEN(O66)=0)+(LEN(P66)=0)+(LEN(R66)=0)+(LEN(AA66)=0))</f>
        <v/>
      </c>
      <c r="AD66" s="19">
        <f>IF(OR(LEN(A66)=0,LEN(C66)=0),0,IF(OR(C66&lt;1,C66&gt;5),1,0))</f>
        <v/>
      </c>
      <c r="AE66" s="19">
        <f>IF(OR(LEN(A66)=0,LEN(R66)=0),0,IF(OR(R66="Active",R66="Paid off",R66="Defaulted",R66="Repossessed",R66="Written off",R66="Restructured"),0,1))</f>
        <v/>
      </c>
      <c r="AF66" s="19">
        <f>IF(A66="",0,IF(N(J66)&gt;N(I66),1,0))</f>
        <v/>
      </c>
      <c r="AG66" s="19">
        <f>IF(A66="",0,IF(N(N66)&gt;N(M66)+1,1,0))</f>
        <v/>
      </c>
      <c r="AH66" s="19">
        <f>IF(A66="",0,IF(N(E66)&gt;N(B66),1,0))</f>
        <v/>
      </c>
      <c r="AI66" s="19">
        <f>IF(A66="",0,IF(AND(Z66="Full payment",N(N66)&lt;N(M66)-1),1,0))</f>
        <v/>
      </c>
      <c r="AJ66" s="19">
        <f>IF(A66="",0,IF(N(P66)&lt;0,1,0))</f>
        <v/>
      </c>
      <c r="AK66" s="19">
        <f>IF(A66="",0,IF(COUNTIF($A$7:$A$1006,A66)&gt;1,1,0))</f>
        <v/>
      </c>
    </row>
    <row r="67">
      <c r="A67" s="10" t="n"/>
      <c r="B67" s="17" t="n"/>
      <c r="C67" s="18" t="n"/>
      <c r="D67" s="10" t="n"/>
      <c r="E67" s="17" t="n"/>
      <c r="F67" s="10" t="n"/>
      <c r="G67" s="10" t="n"/>
      <c r="H67" s="10" t="n"/>
      <c r="I67" s="18" t="n"/>
      <c r="J67" s="18" t="n"/>
      <c r="K67" s="18" t="n"/>
      <c r="L67" s="18" t="n"/>
      <c r="M67" s="19">
        <f>IF(K67="","",K67*365/12*L67)</f>
        <v/>
      </c>
      <c r="N67" s="18" t="n"/>
      <c r="O67" s="18" t="n"/>
      <c r="P67" s="18" t="n"/>
      <c r="Q67" s="18" t="n"/>
      <c r="R67" s="10" t="n"/>
      <c r="S67" s="17" t="n"/>
      <c r="T67" s="18" t="n"/>
      <c r="U67" s="17" t="n"/>
      <c r="V67" s="17" t="n"/>
      <c r="W67" s="18" t="n"/>
      <c r="X67" s="18" t="n"/>
      <c r="Y67" s="17" t="n"/>
      <c r="Z67" s="10" t="n"/>
      <c r="AA67" s="10" t="n"/>
      <c r="AB67" s="19">
        <f>IF(LEN(A67)&gt;0,1,0)</f>
        <v/>
      </c>
      <c r="AC67" s="19">
        <f>IF(LEN(A67)=0,0,(LEN(B67)=0)+(LEN(C67)=0)+(LEN(D67)=0)+(LEN(E67)=0)+(LEN(F67)=0)+(LEN(G67)=0)+(LEN(H67)=0)+(LEN(I67)=0)+(LEN(J67)=0)+(LEN(K67)=0)+(LEN(L67)=0)+(LEN(N67)=0)+(LEN(O67)=0)+(LEN(P67)=0)+(LEN(R67)=0)+(LEN(AA67)=0))</f>
        <v/>
      </c>
      <c r="AD67" s="19">
        <f>IF(OR(LEN(A67)=0,LEN(C67)=0),0,IF(OR(C67&lt;1,C67&gt;5),1,0))</f>
        <v/>
      </c>
      <c r="AE67" s="19">
        <f>IF(OR(LEN(A67)=0,LEN(R67)=0),0,IF(OR(R67="Active",R67="Paid off",R67="Defaulted",R67="Repossessed",R67="Written off",R67="Restructured"),0,1))</f>
        <v/>
      </c>
      <c r="AF67" s="19">
        <f>IF(A67="",0,IF(N(J67)&gt;N(I67),1,0))</f>
        <v/>
      </c>
      <c r="AG67" s="19">
        <f>IF(A67="",0,IF(N(N67)&gt;N(M67)+1,1,0))</f>
        <v/>
      </c>
      <c r="AH67" s="19">
        <f>IF(A67="",0,IF(N(E67)&gt;N(B67),1,0))</f>
        <v/>
      </c>
      <c r="AI67" s="19">
        <f>IF(A67="",0,IF(AND(Z67="Full payment",N(N67)&lt;N(M67)-1),1,0))</f>
        <v/>
      </c>
      <c r="AJ67" s="19">
        <f>IF(A67="",0,IF(N(P67)&lt;0,1,0))</f>
        <v/>
      </c>
      <c r="AK67" s="19">
        <f>IF(A67="",0,IF(COUNTIF($A$7:$A$1006,A67)&gt;1,1,0))</f>
        <v/>
      </c>
    </row>
    <row r="68">
      <c r="A68" s="10" t="n"/>
      <c r="B68" s="17" t="n"/>
      <c r="C68" s="18" t="n"/>
      <c r="D68" s="10" t="n"/>
      <c r="E68" s="17" t="n"/>
      <c r="F68" s="10" t="n"/>
      <c r="G68" s="10" t="n"/>
      <c r="H68" s="10" t="n"/>
      <c r="I68" s="18" t="n"/>
      <c r="J68" s="18" t="n"/>
      <c r="K68" s="18" t="n"/>
      <c r="L68" s="18" t="n"/>
      <c r="M68" s="19">
        <f>IF(K68="","",K68*365/12*L68)</f>
        <v/>
      </c>
      <c r="N68" s="18" t="n"/>
      <c r="O68" s="18" t="n"/>
      <c r="P68" s="18" t="n"/>
      <c r="Q68" s="18" t="n"/>
      <c r="R68" s="10" t="n"/>
      <c r="S68" s="17" t="n"/>
      <c r="T68" s="18" t="n"/>
      <c r="U68" s="17" t="n"/>
      <c r="V68" s="17" t="n"/>
      <c r="W68" s="18" t="n"/>
      <c r="X68" s="18" t="n"/>
      <c r="Y68" s="17" t="n"/>
      <c r="Z68" s="10" t="n"/>
      <c r="AA68" s="10" t="n"/>
      <c r="AB68" s="19">
        <f>IF(LEN(A68)&gt;0,1,0)</f>
        <v/>
      </c>
      <c r="AC68" s="19">
        <f>IF(LEN(A68)=0,0,(LEN(B68)=0)+(LEN(C68)=0)+(LEN(D68)=0)+(LEN(E68)=0)+(LEN(F68)=0)+(LEN(G68)=0)+(LEN(H68)=0)+(LEN(I68)=0)+(LEN(J68)=0)+(LEN(K68)=0)+(LEN(L68)=0)+(LEN(N68)=0)+(LEN(O68)=0)+(LEN(P68)=0)+(LEN(R68)=0)+(LEN(AA68)=0))</f>
        <v/>
      </c>
      <c r="AD68" s="19">
        <f>IF(OR(LEN(A68)=0,LEN(C68)=0),0,IF(OR(C68&lt;1,C68&gt;5),1,0))</f>
        <v/>
      </c>
      <c r="AE68" s="19">
        <f>IF(OR(LEN(A68)=0,LEN(R68)=0),0,IF(OR(R68="Active",R68="Paid off",R68="Defaulted",R68="Repossessed",R68="Written off",R68="Restructured"),0,1))</f>
        <v/>
      </c>
      <c r="AF68" s="19">
        <f>IF(A68="",0,IF(N(J68)&gt;N(I68),1,0))</f>
        <v/>
      </c>
      <c r="AG68" s="19">
        <f>IF(A68="",0,IF(N(N68)&gt;N(M68)+1,1,0))</f>
        <v/>
      </c>
      <c r="AH68" s="19">
        <f>IF(A68="",0,IF(N(E68)&gt;N(B68),1,0))</f>
        <v/>
      </c>
      <c r="AI68" s="19">
        <f>IF(A68="",0,IF(AND(Z68="Full payment",N(N68)&lt;N(M68)-1),1,0))</f>
        <v/>
      </c>
      <c r="AJ68" s="19">
        <f>IF(A68="",0,IF(N(P68)&lt;0,1,0))</f>
        <v/>
      </c>
      <c r="AK68" s="19">
        <f>IF(A68="",0,IF(COUNTIF($A$7:$A$1006,A68)&gt;1,1,0))</f>
        <v/>
      </c>
    </row>
    <row r="69">
      <c r="A69" s="10" t="n"/>
      <c r="B69" s="17" t="n"/>
      <c r="C69" s="18" t="n"/>
      <c r="D69" s="10" t="n"/>
      <c r="E69" s="17" t="n"/>
      <c r="F69" s="10" t="n"/>
      <c r="G69" s="10" t="n"/>
      <c r="H69" s="10" t="n"/>
      <c r="I69" s="18" t="n"/>
      <c r="J69" s="18" t="n"/>
      <c r="K69" s="18" t="n"/>
      <c r="L69" s="18" t="n"/>
      <c r="M69" s="19">
        <f>IF(K69="","",K69*365/12*L69)</f>
        <v/>
      </c>
      <c r="N69" s="18" t="n"/>
      <c r="O69" s="18" t="n"/>
      <c r="P69" s="18" t="n"/>
      <c r="Q69" s="18" t="n"/>
      <c r="R69" s="10" t="n"/>
      <c r="S69" s="17" t="n"/>
      <c r="T69" s="18" t="n"/>
      <c r="U69" s="17" t="n"/>
      <c r="V69" s="17" t="n"/>
      <c r="W69" s="18" t="n"/>
      <c r="X69" s="18" t="n"/>
      <c r="Y69" s="17" t="n"/>
      <c r="Z69" s="10" t="n"/>
      <c r="AA69" s="10" t="n"/>
      <c r="AB69" s="19">
        <f>IF(LEN(A69)&gt;0,1,0)</f>
        <v/>
      </c>
      <c r="AC69" s="19">
        <f>IF(LEN(A69)=0,0,(LEN(B69)=0)+(LEN(C69)=0)+(LEN(D69)=0)+(LEN(E69)=0)+(LEN(F69)=0)+(LEN(G69)=0)+(LEN(H69)=0)+(LEN(I69)=0)+(LEN(J69)=0)+(LEN(K69)=0)+(LEN(L69)=0)+(LEN(N69)=0)+(LEN(O69)=0)+(LEN(P69)=0)+(LEN(R69)=0)+(LEN(AA69)=0))</f>
        <v/>
      </c>
      <c r="AD69" s="19">
        <f>IF(OR(LEN(A69)=0,LEN(C69)=0),0,IF(OR(C69&lt;1,C69&gt;5),1,0))</f>
        <v/>
      </c>
      <c r="AE69" s="19">
        <f>IF(OR(LEN(A69)=0,LEN(R69)=0),0,IF(OR(R69="Active",R69="Paid off",R69="Defaulted",R69="Repossessed",R69="Written off",R69="Restructured"),0,1))</f>
        <v/>
      </c>
      <c r="AF69" s="19">
        <f>IF(A69="",0,IF(N(J69)&gt;N(I69),1,0))</f>
        <v/>
      </c>
      <c r="AG69" s="19">
        <f>IF(A69="",0,IF(N(N69)&gt;N(M69)+1,1,0))</f>
        <v/>
      </c>
      <c r="AH69" s="19">
        <f>IF(A69="",0,IF(N(E69)&gt;N(B69),1,0))</f>
        <v/>
      </c>
      <c r="AI69" s="19">
        <f>IF(A69="",0,IF(AND(Z69="Full payment",N(N69)&lt;N(M69)-1),1,0))</f>
        <v/>
      </c>
      <c r="AJ69" s="19">
        <f>IF(A69="",0,IF(N(P69)&lt;0,1,0))</f>
        <v/>
      </c>
      <c r="AK69" s="19">
        <f>IF(A69="",0,IF(COUNTIF($A$7:$A$1006,A69)&gt;1,1,0))</f>
        <v/>
      </c>
    </row>
    <row r="70">
      <c r="A70" s="10" t="n"/>
      <c r="B70" s="17" t="n"/>
      <c r="C70" s="18" t="n"/>
      <c r="D70" s="10" t="n"/>
      <c r="E70" s="17" t="n"/>
      <c r="F70" s="10" t="n"/>
      <c r="G70" s="10" t="n"/>
      <c r="H70" s="10" t="n"/>
      <c r="I70" s="18" t="n"/>
      <c r="J70" s="18" t="n"/>
      <c r="K70" s="18" t="n"/>
      <c r="L70" s="18" t="n"/>
      <c r="M70" s="19">
        <f>IF(K70="","",K70*365/12*L70)</f>
        <v/>
      </c>
      <c r="N70" s="18" t="n"/>
      <c r="O70" s="18" t="n"/>
      <c r="P70" s="18" t="n"/>
      <c r="Q70" s="18" t="n"/>
      <c r="R70" s="10" t="n"/>
      <c r="S70" s="17" t="n"/>
      <c r="T70" s="18" t="n"/>
      <c r="U70" s="17" t="n"/>
      <c r="V70" s="17" t="n"/>
      <c r="W70" s="18" t="n"/>
      <c r="X70" s="18" t="n"/>
      <c r="Y70" s="17" t="n"/>
      <c r="Z70" s="10" t="n"/>
      <c r="AA70" s="10" t="n"/>
      <c r="AB70" s="19">
        <f>IF(LEN(A70)&gt;0,1,0)</f>
        <v/>
      </c>
      <c r="AC70" s="19">
        <f>IF(LEN(A70)=0,0,(LEN(B70)=0)+(LEN(C70)=0)+(LEN(D70)=0)+(LEN(E70)=0)+(LEN(F70)=0)+(LEN(G70)=0)+(LEN(H70)=0)+(LEN(I70)=0)+(LEN(J70)=0)+(LEN(K70)=0)+(LEN(L70)=0)+(LEN(N70)=0)+(LEN(O70)=0)+(LEN(P70)=0)+(LEN(R70)=0)+(LEN(AA70)=0))</f>
        <v/>
      </c>
      <c r="AD70" s="19">
        <f>IF(OR(LEN(A70)=0,LEN(C70)=0),0,IF(OR(C70&lt;1,C70&gt;5),1,0))</f>
        <v/>
      </c>
      <c r="AE70" s="19">
        <f>IF(OR(LEN(A70)=0,LEN(R70)=0),0,IF(OR(R70="Active",R70="Paid off",R70="Defaulted",R70="Repossessed",R70="Written off",R70="Restructured"),0,1))</f>
        <v/>
      </c>
      <c r="AF70" s="19">
        <f>IF(A70="",0,IF(N(J70)&gt;N(I70),1,0))</f>
        <v/>
      </c>
      <c r="AG70" s="19">
        <f>IF(A70="",0,IF(N(N70)&gt;N(M70)+1,1,0))</f>
        <v/>
      </c>
      <c r="AH70" s="19">
        <f>IF(A70="",0,IF(N(E70)&gt;N(B70),1,0))</f>
        <v/>
      </c>
      <c r="AI70" s="19">
        <f>IF(A70="",0,IF(AND(Z70="Full payment",N(N70)&lt;N(M70)-1),1,0))</f>
        <v/>
      </c>
      <c r="AJ70" s="19">
        <f>IF(A70="",0,IF(N(P70)&lt;0,1,0))</f>
        <v/>
      </c>
      <c r="AK70" s="19">
        <f>IF(A70="",0,IF(COUNTIF($A$7:$A$1006,A70)&gt;1,1,0))</f>
        <v/>
      </c>
    </row>
    <row r="71">
      <c r="A71" s="10" t="n"/>
      <c r="B71" s="17" t="n"/>
      <c r="C71" s="18" t="n"/>
      <c r="D71" s="10" t="n"/>
      <c r="E71" s="17" t="n"/>
      <c r="F71" s="10" t="n"/>
      <c r="G71" s="10" t="n"/>
      <c r="H71" s="10" t="n"/>
      <c r="I71" s="18" t="n"/>
      <c r="J71" s="18" t="n"/>
      <c r="K71" s="18" t="n"/>
      <c r="L71" s="18" t="n"/>
      <c r="M71" s="19">
        <f>IF(K71="","",K71*365/12*L71)</f>
        <v/>
      </c>
      <c r="N71" s="18" t="n"/>
      <c r="O71" s="18" t="n"/>
      <c r="P71" s="18" t="n"/>
      <c r="Q71" s="18" t="n"/>
      <c r="R71" s="10" t="n"/>
      <c r="S71" s="17" t="n"/>
      <c r="T71" s="18" t="n"/>
      <c r="U71" s="17" t="n"/>
      <c r="V71" s="17" t="n"/>
      <c r="W71" s="18" t="n"/>
      <c r="X71" s="18" t="n"/>
      <c r="Y71" s="17" t="n"/>
      <c r="Z71" s="10" t="n"/>
      <c r="AA71" s="10" t="n"/>
      <c r="AB71" s="19">
        <f>IF(LEN(A71)&gt;0,1,0)</f>
        <v/>
      </c>
      <c r="AC71" s="19">
        <f>IF(LEN(A71)=0,0,(LEN(B71)=0)+(LEN(C71)=0)+(LEN(D71)=0)+(LEN(E71)=0)+(LEN(F71)=0)+(LEN(G71)=0)+(LEN(H71)=0)+(LEN(I71)=0)+(LEN(J71)=0)+(LEN(K71)=0)+(LEN(L71)=0)+(LEN(N71)=0)+(LEN(O71)=0)+(LEN(P71)=0)+(LEN(R71)=0)+(LEN(AA71)=0))</f>
        <v/>
      </c>
      <c r="AD71" s="19">
        <f>IF(OR(LEN(A71)=0,LEN(C71)=0),0,IF(OR(C71&lt;1,C71&gt;5),1,0))</f>
        <v/>
      </c>
      <c r="AE71" s="19">
        <f>IF(OR(LEN(A71)=0,LEN(R71)=0),0,IF(OR(R71="Active",R71="Paid off",R71="Defaulted",R71="Repossessed",R71="Written off",R71="Restructured"),0,1))</f>
        <v/>
      </c>
      <c r="AF71" s="19">
        <f>IF(A71="",0,IF(N(J71)&gt;N(I71),1,0))</f>
        <v/>
      </c>
      <c r="AG71" s="19">
        <f>IF(A71="",0,IF(N(N71)&gt;N(M71)+1,1,0))</f>
        <v/>
      </c>
      <c r="AH71" s="19">
        <f>IF(A71="",0,IF(N(E71)&gt;N(B71),1,0))</f>
        <v/>
      </c>
      <c r="AI71" s="19">
        <f>IF(A71="",0,IF(AND(Z71="Full payment",N(N71)&lt;N(M71)-1),1,0))</f>
        <v/>
      </c>
      <c r="AJ71" s="19">
        <f>IF(A71="",0,IF(N(P71)&lt;0,1,0))</f>
        <v/>
      </c>
      <c r="AK71" s="19">
        <f>IF(A71="",0,IF(COUNTIF($A$7:$A$1006,A71)&gt;1,1,0))</f>
        <v/>
      </c>
    </row>
    <row r="72">
      <c r="A72" s="10" t="n"/>
      <c r="B72" s="17" t="n"/>
      <c r="C72" s="18" t="n"/>
      <c r="D72" s="10" t="n"/>
      <c r="E72" s="17" t="n"/>
      <c r="F72" s="10" t="n"/>
      <c r="G72" s="10" t="n"/>
      <c r="H72" s="10" t="n"/>
      <c r="I72" s="18" t="n"/>
      <c r="J72" s="18" t="n"/>
      <c r="K72" s="18" t="n"/>
      <c r="L72" s="18" t="n"/>
      <c r="M72" s="19">
        <f>IF(K72="","",K72*365/12*L72)</f>
        <v/>
      </c>
      <c r="N72" s="18" t="n"/>
      <c r="O72" s="18" t="n"/>
      <c r="P72" s="18" t="n"/>
      <c r="Q72" s="18" t="n"/>
      <c r="R72" s="10" t="n"/>
      <c r="S72" s="17" t="n"/>
      <c r="T72" s="18" t="n"/>
      <c r="U72" s="17" t="n"/>
      <c r="V72" s="17" t="n"/>
      <c r="W72" s="18" t="n"/>
      <c r="X72" s="18" t="n"/>
      <c r="Y72" s="17" t="n"/>
      <c r="Z72" s="10" t="n"/>
      <c r="AA72" s="10" t="n"/>
      <c r="AB72" s="19">
        <f>IF(LEN(A72)&gt;0,1,0)</f>
        <v/>
      </c>
      <c r="AC72" s="19">
        <f>IF(LEN(A72)=0,0,(LEN(B72)=0)+(LEN(C72)=0)+(LEN(D72)=0)+(LEN(E72)=0)+(LEN(F72)=0)+(LEN(G72)=0)+(LEN(H72)=0)+(LEN(I72)=0)+(LEN(J72)=0)+(LEN(K72)=0)+(LEN(L72)=0)+(LEN(N72)=0)+(LEN(O72)=0)+(LEN(P72)=0)+(LEN(R72)=0)+(LEN(AA72)=0))</f>
        <v/>
      </c>
      <c r="AD72" s="19">
        <f>IF(OR(LEN(A72)=0,LEN(C72)=0),0,IF(OR(C72&lt;1,C72&gt;5),1,0))</f>
        <v/>
      </c>
      <c r="AE72" s="19">
        <f>IF(OR(LEN(A72)=0,LEN(R72)=0),0,IF(OR(R72="Active",R72="Paid off",R72="Defaulted",R72="Repossessed",R72="Written off",R72="Restructured"),0,1))</f>
        <v/>
      </c>
      <c r="AF72" s="19">
        <f>IF(A72="",0,IF(N(J72)&gt;N(I72),1,0))</f>
        <v/>
      </c>
      <c r="AG72" s="19">
        <f>IF(A72="",0,IF(N(N72)&gt;N(M72)+1,1,0))</f>
        <v/>
      </c>
      <c r="AH72" s="19">
        <f>IF(A72="",0,IF(N(E72)&gt;N(B72),1,0))</f>
        <v/>
      </c>
      <c r="AI72" s="19">
        <f>IF(A72="",0,IF(AND(Z72="Full payment",N(N72)&lt;N(M72)-1),1,0))</f>
        <v/>
      </c>
      <c r="AJ72" s="19">
        <f>IF(A72="",0,IF(N(P72)&lt;0,1,0))</f>
        <v/>
      </c>
      <c r="AK72" s="19">
        <f>IF(A72="",0,IF(COUNTIF($A$7:$A$1006,A72)&gt;1,1,0))</f>
        <v/>
      </c>
    </row>
    <row r="73">
      <c r="A73" s="10" t="n"/>
      <c r="B73" s="17" t="n"/>
      <c r="C73" s="18" t="n"/>
      <c r="D73" s="10" t="n"/>
      <c r="E73" s="17" t="n"/>
      <c r="F73" s="10" t="n"/>
      <c r="G73" s="10" t="n"/>
      <c r="H73" s="10" t="n"/>
      <c r="I73" s="18" t="n"/>
      <c r="J73" s="18" t="n"/>
      <c r="K73" s="18" t="n"/>
      <c r="L73" s="18" t="n"/>
      <c r="M73" s="19">
        <f>IF(K73="","",K73*365/12*L73)</f>
        <v/>
      </c>
      <c r="N73" s="18" t="n"/>
      <c r="O73" s="18" t="n"/>
      <c r="P73" s="18" t="n"/>
      <c r="Q73" s="18" t="n"/>
      <c r="R73" s="10" t="n"/>
      <c r="S73" s="17" t="n"/>
      <c r="T73" s="18" t="n"/>
      <c r="U73" s="17" t="n"/>
      <c r="V73" s="17" t="n"/>
      <c r="W73" s="18" t="n"/>
      <c r="X73" s="18" t="n"/>
      <c r="Y73" s="17" t="n"/>
      <c r="Z73" s="10" t="n"/>
      <c r="AA73" s="10" t="n"/>
      <c r="AB73" s="19">
        <f>IF(LEN(A73)&gt;0,1,0)</f>
        <v/>
      </c>
      <c r="AC73" s="19">
        <f>IF(LEN(A73)=0,0,(LEN(B73)=0)+(LEN(C73)=0)+(LEN(D73)=0)+(LEN(E73)=0)+(LEN(F73)=0)+(LEN(G73)=0)+(LEN(H73)=0)+(LEN(I73)=0)+(LEN(J73)=0)+(LEN(K73)=0)+(LEN(L73)=0)+(LEN(N73)=0)+(LEN(O73)=0)+(LEN(P73)=0)+(LEN(R73)=0)+(LEN(AA73)=0))</f>
        <v/>
      </c>
      <c r="AD73" s="19">
        <f>IF(OR(LEN(A73)=0,LEN(C73)=0),0,IF(OR(C73&lt;1,C73&gt;5),1,0))</f>
        <v/>
      </c>
      <c r="AE73" s="19">
        <f>IF(OR(LEN(A73)=0,LEN(R73)=0),0,IF(OR(R73="Active",R73="Paid off",R73="Defaulted",R73="Repossessed",R73="Written off",R73="Restructured"),0,1))</f>
        <v/>
      </c>
      <c r="AF73" s="19">
        <f>IF(A73="",0,IF(N(J73)&gt;N(I73),1,0))</f>
        <v/>
      </c>
      <c r="AG73" s="19">
        <f>IF(A73="",0,IF(N(N73)&gt;N(M73)+1,1,0))</f>
        <v/>
      </c>
      <c r="AH73" s="19">
        <f>IF(A73="",0,IF(N(E73)&gt;N(B73),1,0))</f>
        <v/>
      </c>
      <c r="AI73" s="19">
        <f>IF(A73="",0,IF(AND(Z73="Full payment",N(N73)&lt;N(M73)-1),1,0))</f>
        <v/>
      </c>
      <c r="AJ73" s="19">
        <f>IF(A73="",0,IF(N(P73)&lt;0,1,0))</f>
        <v/>
      </c>
      <c r="AK73" s="19">
        <f>IF(A73="",0,IF(COUNTIF($A$7:$A$1006,A73)&gt;1,1,0))</f>
        <v/>
      </c>
    </row>
    <row r="74">
      <c r="A74" s="10" t="n"/>
      <c r="B74" s="17" t="n"/>
      <c r="C74" s="18" t="n"/>
      <c r="D74" s="10" t="n"/>
      <c r="E74" s="17" t="n"/>
      <c r="F74" s="10" t="n"/>
      <c r="G74" s="10" t="n"/>
      <c r="H74" s="10" t="n"/>
      <c r="I74" s="18" t="n"/>
      <c r="J74" s="18" t="n"/>
      <c r="K74" s="18" t="n"/>
      <c r="L74" s="18" t="n"/>
      <c r="M74" s="19">
        <f>IF(K74="","",K74*365/12*L74)</f>
        <v/>
      </c>
      <c r="N74" s="18" t="n"/>
      <c r="O74" s="18" t="n"/>
      <c r="P74" s="18" t="n"/>
      <c r="Q74" s="18" t="n"/>
      <c r="R74" s="10" t="n"/>
      <c r="S74" s="17" t="n"/>
      <c r="T74" s="18" t="n"/>
      <c r="U74" s="17" t="n"/>
      <c r="V74" s="17" t="n"/>
      <c r="W74" s="18" t="n"/>
      <c r="X74" s="18" t="n"/>
      <c r="Y74" s="17" t="n"/>
      <c r="Z74" s="10" t="n"/>
      <c r="AA74" s="10" t="n"/>
      <c r="AB74" s="19">
        <f>IF(LEN(A74)&gt;0,1,0)</f>
        <v/>
      </c>
      <c r="AC74" s="19">
        <f>IF(LEN(A74)=0,0,(LEN(B74)=0)+(LEN(C74)=0)+(LEN(D74)=0)+(LEN(E74)=0)+(LEN(F74)=0)+(LEN(G74)=0)+(LEN(H74)=0)+(LEN(I74)=0)+(LEN(J74)=0)+(LEN(K74)=0)+(LEN(L74)=0)+(LEN(N74)=0)+(LEN(O74)=0)+(LEN(P74)=0)+(LEN(R74)=0)+(LEN(AA74)=0))</f>
        <v/>
      </c>
      <c r="AD74" s="19">
        <f>IF(OR(LEN(A74)=0,LEN(C74)=0),0,IF(OR(C74&lt;1,C74&gt;5),1,0))</f>
        <v/>
      </c>
      <c r="AE74" s="19">
        <f>IF(OR(LEN(A74)=0,LEN(R74)=0),0,IF(OR(R74="Active",R74="Paid off",R74="Defaulted",R74="Repossessed",R74="Written off",R74="Restructured"),0,1))</f>
        <v/>
      </c>
      <c r="AF74" s="19">
        <f>IF(A74="",0,IF(N(J74)&gt;N(I74),1,0))</f>
        <v/>
      </c>
      <c r="AG74" s="19">
        <f>IF(A74="",0,IF(N(N74)&gt;N(M74)+1,1,0))</f>
        <v/>
      </c>
      <c r="AH74" s="19">
        <f>IF(A74="",0,IF(N(E74)&gt;N(B74),1,0))</f>
        <v/>
      </c>
      <c r="AI74" s="19">
        <f>IF(A74="",0,IF(AND(Z74="Full payment",N(N74)&lt;N(M74)-1),1,0))</f>
        <v/>
      </c>
      <c r="AJ74" s="19">
        <f>IF(A74="",0,IF(N(P74)&lt;0,1,0))</f>
        <v/>
      </c>
      <c r="AK74" s="19">
        <f>IF(A74="",0,IF(COUNTIF($A$7:$A$1006,A74)&gt;1,1,0))</f>
        <v/>
      </c>
    </row>
    <row r="75">
      <c r="A75" s="10" t="n"/>
      <c r="B75" s="17" t="n"/>
      <c r="C75" s="18" t="n"/>
      <c r="D75" s="10" t="n"/>
      <c r="E75" s="17" t="n"/>
      <c r="F75" s="10" t="n"/>
      <c r="G75" s="10" t="n"/>
      <c r="H75" s="10" t="n"/>
      <c r="I75" s="18" t="n"/>
      <c r="J75" s="18" t="n"/>
      <c r="K75" s="18" t="n"/>
      <c r="L75" s="18" t="n"/>
      <c r="M75" s="19">
        <f>IF(K75="","",K75*365/12*L75)</f>
        <v/>
      </c>
      <c r="N75" s="18" t="n"/>
      <c r="O75" s="18" t="n"/>
      <c r="P75" s="18" t="n"/>
      <c r="Q75" s="18" t="n"/>
      <c r="R75" s="10" t="n"/>
      <c r="S75" s="17" t="n"/>
      <c r="T75" s="18" t="n"/>
      <c r="U75" s="17" t="n"/>
      <c r="V75" s="17" t="n"/>
      <c r="W75" s="18" t="n"/>
      <c r="X75" s="18" t="n"/>
      <c r="Y75" s="17" t="n"/>
      <c r="Z75" s="10" t="n"/>
      <c r="AA75" s="10" t="n"/>
      <c r="AB75" s="19">
        <f>IF(LEN(A75)&gt;0,1,0)</f>
        <v/>
      </c>
      <c r="AC75" s="19">
        <f>IF(LEN(A75)=0,0,(LEN(B75)=0)+(LEN(C75)=0)+(LEN(D75)=0)+(LEN(E75)=0)+(LEN(F75)=0)+(LEN(G75)=0)+(LEN(H75)=0)+(LEN(I75)=0)+(LEN(J75)=0)+(LEN(K75)=0)+(LEN(L75)=0)+(LEN(N75)=0)+(LEN(O75)=0)+(LEN(P75)=0)+(LEN(R75)=0)+(LEN(AA75)=0))</f>
        <v/>
      </c>
      <c r="AD75" s="19">
        <f>IF(OR(LEN(A75)=0,LEN(C75)=0),0,IF(OR(C75&lt;1,C75&gt;5),1,0))</f>
        <v/>
      </c>
      <c r="AE75" s="19">
        <f>IF(OR(LEN(A75)=0,LEN(R75)=0),0,IF(OR(R75="Active",R75="Paid off",R75="Defaulted",R75="Repossessed",R75="Written off",R75="Restructured"),0,1))</f>
        <v/>
      </c>
      <c r="AF75" s="19">
        <f>IF(A75="",0,IF(N(J75)&gt;N(I75),1,0))</f>
        <v/>
      </c>
      <c r="AG75" s="19">
        <f>IF(A75="",0,IF(N(N75)&gt;N(M75)+1,1,0))</f>
        <v/>
      </c>
      <c r="AH75" s="19">
        <f>IF(A75="",0,IF(N(E75)&gt;N(B75),1,0))</f>
        <v/>
      </c>
      <c r="AI75" s="19">
        <f>IF(A75="",0,IF(AND(Z75="Full payment",N(N75)&lt;N(M75)-1),1,0))</f>
        <v/>
      </c>
      <c r="AJ75" s="19">
        <f>IF(A75="",0,IF(N(P75)&lt;0,1,0))</f>
        <v/>
      </c>
      <c r="AK75" s="19">
        <f>IF(A75="",0,IF(COUNTIF($A$7:$A$1006,A75)&gt;1,1,0))</f>
        <v/>
      </c>
    </row>
    <row r="76">
      <c r="A76" s="10" t="n"/>
      <c r="B76" s="17" t="n"/>
      <c r="C76" s="18" t="n"/>
      <c r="D76" s="10" t="n"/>
      <c r="E76" s="17" t="n"/>
      <c r="F76" s="10" t="n"/>
      <c r="G76" s="10" t="n"/>
      <c r="H76" s="10" t="n"/>
      <c r="I76" s="18" t="n"/>
      <c r="J76" s="18" t="n"/>
      <c r="K76" s="18" t="n"/>
      <c r="L76" s="18" t="n"/>
      <c r="M76" s="19">
        <f>IF(K76="","",K76*365/12*L76)</f>
        <v/>
      </c>
      <c r="N76" s="18" t="n"/>
      <c r="O76" s="18" t="n"/>
      <c r="P76" s="18" t="n"/>
      <c r="Q76" s="18" t="n"/>
      <c r="R76" s="10" t="n"/>
      <c r="S76" s="17" t="n"/>
      <c r="T76" s="18" t="n"/>
      <c r="U76" s="17" t="n"/>
      <c r="V76" s="17" t="n"/>
      <c r="W76" s="18" t="n"/>
      <c r="X76" s="18" t="n"/>
      <c r="Y76" s="17" t="n"/>
      <c r="Z76" s="10" t="n"/>
      <c r="AA76" s="10" t="n"/>
      <c r="AB76" s="19">
        <f>IF(LEN(A76)&gt;0,1,0)</f>
        <v/>
      </c>
      <c r="AC76" s="19">
        <f>IF(LEN(A76)=0,0,(LEN(B76)=0)+(LEN(C76)=0)+(LEN(D76)=0)+(LEN(E76)=0)+(LEN(F76)=0)+(LEN(G76)=0)+(LEN(H76)=0)+(LEN(I76)=0)+(LEN(J76)=0)+(LEN(K76)=0)+(LEN(L76)=0)+(LEN(N76)=0)+(LEN(O76)=0)+(LEN(P76)=0)+(LEN(R76)=0)+(LEN(AA76)=0))</f>
        <v/>
      </c>
      <c r="AD76" s="19">
        <f>IF(OR(LEN(A76)=0,LEN(C76)=0),0,IF(OR(C76&lt;1,C76&gt;5),1,0))</f>
        <v/>
      </c>
      <c r="AE76" s="19">
        <f>IF(OR(LEN(A76)=0,LEN(R76)=0),0,IF(OR(R76="Active",R76="Paid off",R76="Defaulted",R76="Repossessed",R76="Written off",R76="Restructured"),0,1))</f>
        <v/>
      </c>
      <c r="AF76" s="19">
        <f>IF(A76="",0,IF(N(J76)&gt;N(I76),1,0))</f>
        <v/>
      </c>
      <c r="AG76" s="19">
        <f>IF(A76="",0,IF(N(N76)&gt;N(M76)+1,1,0))</f>
        <v/>
      </c>
      <c r="AH76" s="19">
        <f>IF(A76="",0,IF(N(E76)&gt;N(B76),1,0))</f>
        <v/>
      </c>
      <c r="AI76" s="19">
        <f>IF(A76="",0,IF(AND(Z76="Full payment",N(N76)&lt;N(M76)-1),1,0))</f>
        <v/>
      </c>
      <c r="AJ76" s="19">
        <f>IF(A76="",0,IF(N(P76)&lt;0,1,0))</f>
        <v/>
      </c>
      <c r="AK76" s="19">
        <f>IF(A76="",0,IF(COUNTIF($A$7:$A$1006,A76)&gt;1,1,0))</f>
        <v/>
      </c>
    </row>
    <row r="77">
      <c r="A77" s="10" t="n"/>
      <c r="B77" s="17" t="n"/>
      <c r="C77" s="18" t="n"/>
      <c r="D77" s="10" t="n"/>
      <c r="E77" s="17" t="n"/>
      <c r="F77" s="10" t="n"/>
      <c r="G77" s="10" t="n"/>
      <c r="H77" s="10" t="n"/>
      <c r="I77" s="18" t="n"/>
      <c r="J77" s="18" t="n"/>
      <c r="K77" s="18" t="n"/>
      <c r="L77" s="18" t="n"/>
      <c r="M77" s="19">
        <f>IF(K77="","",K77*365/12*L77)</f>
        <v/>
      </c>
      <c r="N77" s="18" t="n"/>
      <c r="O77" s="18" t="n"/>
      <c r="P77" s="18" t="n"/>
      <c r="Q77" s="18" t="n"/>
      <c r="R77" s="10" t="n"/>
      <c r="S77" s="17" t="n"/>
      <c r="T77" s="18" t="n"/>
      <c r="U77" s="17" t="n"/>
      <c r="V77" s="17" t="n"/>
      <c r="W77" s="18" t="n"/>
      <c r="X77" s="18" t="n"/>
      <c r="Y77" s="17" t="n"/>
      <c r="Z77" s="10" t="n"/>
      <c r="AA77" s="10" t="n"/>
      <c r="AB77" s="19">
        <f>IF(LEN(A77)&gt;0,1,0)</f>
        <v/>
      </c>
      <c r="AC77" s="19">
        <f>IF(LEN(A77)=0,0,(LEN(B77)=0)+(LEN(C77)=0)+(LEN(D77)=0)+(LEN(E77)=0)+(LEN(F77)=0)+(LEN(G77)=0)+(LEN(H77)=0)+(LEN(I77)=0)+(LEN(J77)=0)+(LEN(K77)=0)+(LEN(L77)=0)+(LEN(N77)=0)+(LEN(O77)=0)+(LEN(P77)=0)+(LEN(R77)=0)+(LEN(AA77)=0))</f>
        <v/>
      </c>
      <c r="AD77" s="19">
        <f>IF(OR(LEN(A77)=0,LEN(C77)=0),0,IF(OR(C77&lt;1,C77&gt;5),1,0))</f>
        <v/>
      </c>
      <c r="AE77" s="19">
        <f>IF(OR(LEN(A77)=0,LEN(R77)=0),0,IF(OR(R77="Active",R77="Paid off",R77="Defaulted",R77="Repossessed",R77="Written off",R77="Restructured"),0,1))</f>
        <v/>
      </c>
      <c r="AF77" s="19">
        <f>IF(A77="",0,IF(N(J77)&gt;N(I77),1,0))</f>
        <v/>
      </c>
      <c r="AG77" s="19">
        <f>IF(A77="",0,IF(N(N77)&gt;N(M77)+1,1,0))</f>
        <v/>
      </c>
      <c r="AH77" s="19">
        <f>IF(A77="",0,IF(N(E77)&gt;N(B77),1,0))</f>
        <v/>
      </c>
      <c r="AI77" s="19">
        <f>IF(A77="",0,IF(AND(Z77="Full payment",N(N77)&lt;N(M77)-1),1,0))</f>
        <v/>
      </c>
      <c r="AJ77" s="19">
        <f>IF(A77="",0,IF(N(P77)&lt;0,1,0))</f>
        <v/>
      </c>
      <c r="AK77" s="19">
        <f>IF(A77="",0,IF(COUNTIF($A$7:$A$1006,A77)&gt;1,1,0))</f>
        <v/>
      </c>
    </row>
    <row r="78">
      <c r="A78" s="10" t="n"/>
      <c r="B78" s="17" t="n"/>
      <c r="C78" s="18" t="n"/>
      <c r="D78" s="10" t="n"/>
      <c r="E78" s="17" t="n"/>
      <c r="F78" s="10" t="n"/>
      <c r="G78" s="10" t="n"/>
      <c r="H78" s="10" t="n"/>
      <c r="I78" s="18" t="n"/>
      <c r="J78" s="18" t="n"/>
      <c r="K78" s="18" t="n"/>
      <c r="L78" s="18" t="n"/>
      <c r="M78" s="19">
        <f>IF(K78="","",K78*365/12*L78)</f>
        <v/>
      </c>
      <c r="N78" s="18" t="n"/>
      <c r="O78" s="18" t="n"/>
      <c r="P78" s="18" t="n"/>
      <c r="Q78" s="18" t="n"/>
      <c r="R78" s="10" t="n"/>
      <c r="S78" s="17" t="n"/>
      <c r="T78" s="18" t="n"/>
      <c r="U78" s="17" t="n"/>
      <c r="V78" s="17" t="n"/>
      <c r="W78" s="18" t="n"/>
      <c r="X78" s="18" t="n"/>
      <c r="Y78" s="17" t="n"/>
      <c r="Z78" s="10" t="n"/>
      <c r="AA78" s="10" t="n"/>
      <c r="AB78" s="19">
        <f>IF(LEN(A78)&gt;0,1,0)</f>
        <v/>
      </c>
      <c r="AC78" s="19">
        <f>IF(LEN(A78)=0,0,(LEN(B78)=0)+(LEN(C78)=0)+(LEN(D78)=0)+(LEN(E78)=0)+(LEN(F78)=0)+(LEN(G78)=0)+(LEN(H78)=0)+(LEN(I78)=0)+(LEN(J78)=0)+(LEN(K78)=0)+(LEN(L78)=0)+(LEN(N78)=0)+(LEN(O78)=0)+(LEN(P78)=0)+(LEN(R78)=0)+(LEN(AA78)=0))</f>
        <v/>
      </c>
      <c r="AD78" s="19">
        <f>IF(OR(LEN(A78)=0,LEN(C78)=0),0,IF(OR(C78&lt;1,C78&gt;5),1,0))</f>
        <v/>
      </c>
      <c r="AE78" s="19">
        <f>IF(OR(LEN(A78)=0,LEN(R78)=0),0,IF(OR(R78="Active",R78="Paid off",R78="Defaulted",R78="Repossessed",R78="Written off",R78="Restructured"),0,1))</f>
        <v/>
      </c>
      <c r="AF78" s="19">
        <f>IF(A78="",0,IF(N(J78)&gt;N(I78),1,0))</f>
        <v/>
      </c>
      <c r="AG78" s="19">
        <f>IF(A78="",0,IF(N(N78)&gt;N(M78)+1,1,0))</f>
        <v/>
      </c>
      <c r="AH78" s="19">
        <f>IF(A78="",0,IF(N(E78)&gt;N(B78),1,0))</f>
        <v/>
      </c>
      <c r="AI78" s="19">
        <f>IF(A78="",0,IF(AND(Z78="Full payment",N(N78)&lt;N(M78)-1),1,0))</f>
        <v/>
      </c>
      <c r="AJ78" s="19">
        <f>IF(A78="",0,IF(N(P78)&lt;0,1,0))</f>
        <v/>
      </c>
      <c r="AK78" s="19">
        <f>IF(A78="",0,IF(COUNTIF($A$7:$A$1006,A78)&gt;1,1,0))</f>
        <v/>
      </c>
    </row>
    <row r="79">
      <c r="A79" s="10" t="n"/>
      <c r="B79" s="17" t="n"/>
      <c r="C79" s="18" t="n"/>
      <c r="D79" s="10" t="n"/>
      <c r="E79" s="17" t="n"/>
      <c r="F79" s="10" t="n"/>
      <c r="G79" s="10" t="n"/>
      <c r="H79" s="10" t="n"/>
      <c r="I79" s="18" t="n"/>
      <c r="J79" s="18" t="n"/>
      <c r="K79" s="18" t="n"/>
      <c r="L79" s="18" t="n"/>
      <c r="M79" s="19">
        <f>IF(K79="","",K79*365/12*L79)</f>
        <v/>
      </c>
      <c r="N79" s="18" t="n"/>
      <c r="O79" s="18" t="n"/>
      <c r="P79" s="18" t="n"/>
      <c r="Q79" s="18" t="n"/>
      <c r="R79" s="10" t="n"/>
      <c r="S79" s="17" t="n"/>
      <c r="T79" s="18" t="n"/>
      <c r="U79" s="17" t="n"/>
      <c r="V79" s="17" t="n"/>
      <c r="W79" s="18" t="n"/>
      <c r="X79" s="18" t="n"/>
      <c r="Y79" s="17" t="n"/>
      <c r="Z79" s="10" t="n"/>
      <c r="AA79" s="10" t="n"/>
      <c r="AB79" s="19">
        <f>IF(LEN(A79)&gt;0,1,0)</f>
        <v/>
      </c>
      <c r="AC79" s="19">
        <f>IF(LEN(A79)=0,0,(LEN(B79)=0)+(LEN(C79)=0)+(LEN(D79)=0)+(LEN(E79)=0)+(LEN(F79)=0)+(LEN(G79)=0)+(LEN(H79)=0)+(LEN(I79)=0)+(LEN(J79)=0)+(LEN(K79)=0)+(LEN(L79)=0)+(LEN(N79)=0)+(LEN(O79)=0)+(LEN(P79)=0)+(LEN(R79)=0)+(LEN(AA79)=0))</f>
        <v/>
      </c>
      <c r="AD79" s="19">
        <f>IF(OR(LEN(A79)=0,LEN(C79)=0),0,IF(OR(C79&lt;1,C79&gt;5),1,0))</f>
        <v/>
      </c>
      <c r="AE79" s="19">
        <f>IF(OR(LEN(A79)=0,LEN(R79)=0),0,IF(OR(R79="Active",R79="Paid off",R79="Defaulted",R79="Repossessed",R79="Written off",R79="Restructured"),0,1))</f>
        <v/>
      </c>
      <c r="AF79" s="19">
        <f>IF(A79="",0,IF(N(J79)&gt;N(I79),1,0))</f>
        <v/>
      </c>
      <c r="AG79" s="19">
        <f>IF(A79="",0,IF(N(N79)&gt;N(M79)+1,1,0))</f>
        <v/>
      </c>
      <c r="AH79" s="19">
        <f>IF(A79="",0,IF(N(E79)&gt;N(B79),1,0))</f>
        <v/>
      </c>
      <c r="AI79" s="19">
        <f>IF(A79="",0,IF(AND(Z79="Full payment",N(N79)&lt;N(M79)-1),1,0))</f>
        <v/>
      </c>
      <c r="AJ79" s="19">
        <f>IF(A79="",0,IF(N(P79)&lt;0,1,0))</f>
        <v/>
      </c>
      <c r="AK79" s="19">
        <f>IF(A79="",0,IF(COUNTIF($A$7:$A$1006,A79)&gt;1,1,0))</f>
        <v/>
      </c>
    </row>
    <row r="80">
      <c r="A80" s="10" t="n"/>
      <c r="B80" s="17" t="n"/>
      <c r="C80" s="18" t="n"/>
      <c r="D80" s="10" t="n"/>
      <c r="E80" s="17" t="n"/>
      <c r="F80" s="10" t="n"/>
      <c r="G80" s="10" t="n"/>
      <c r="H80" s="10" t="n"/>
      <c r="I80" s="18" t="n"/>
      <c r="J80" s="18" t="n"/>
      <c r="K80" s="18" t="n"/>
      <c r="L80" s="18" t="n"/>
      <c r="M80" s="19">
        <f>IF(K80="","",K80*365/12*L80)</f>
        <v/>
      </c>
      <c r="N80" s="18" t="n"/>
      <c r="O80" s="18" t="n"/>
      <c r="P80" s="18" t="n"/>
      <c r="Q80" s="18" t="n"/>
      <c r="R80" s="10" t="n"/>
      <c r="S80" s="17" t="n"/>
      <c r="T80" s="18" t="n"/>
      <c r="U80" s="17" t="n"/>
      <c r="V80" s="17" t="n"/>
      <c r="W80" s="18" t="n"/>
      <c r="X80" s="18" t="n"/>
      <c r="Y80" s="17" t="n"/>
      <c r="Z80" s="10" t="n"/>
      <c r="AA80" s="10" t="n"/>
      <c r="AB80" s="19">
        <f>IF(LEN(A80)&gt;0,1,0)</f>
        <v/>
      </c>
      <c r="AC80" s="19">
        <f>IF(LEN(A80)=0,0,(LEN(B80)=0)+(LEN(C80)=0)+(LEN(D80)=0)+(LEN(E80)=0)+(LEN(F80)=0)+(LEN(G80)=0)+(LEN(H80)=0)+(LEN(I80)=0)+(LEN(J80)=0)+(LEN(K80)=0)+(LEN(L80)=0)+(LEN(N80)=0)+(LEN(O80)=0)+(LEN(P80)=0)+(LEN(R80)=0)+(LEN(AA80)=0))</f>
        <v/>
      </c>
      <c r="AD80" s="19">
        <f>IF(OR(LEN(A80)=0,LEN(C80)=0),0,IF(OR(C80&lt;1,C80&gt;5),1,0))</f>
        <v/>
      </c>
      <c r="AE80" s="19">
        <f>IF(OR(LEN(A80)=0,LEN(R80)=0),0,IF(OR(R80="Active",R80="Paid off",R80="Defaulted",R80="Repossessed",R80="Written off",R80="Restructured"),0,1))</f>
        <v/>
      </c>
      <c r="AF80" s="19">
        <f>IF(A80="",0,IF(N(J80)&gt;N(I80),1,0))</f>
        <v/>
      </c>
      <c r="AG80" s="19">
        <f>IF(A80="",0,IF(N(N80)&gt;N(M80)+1,1,0))</f>
        <v/>
      </c>
      <c r="AH80" s="19">
        <f>IF(A80="",0,IF(N(E80)&gt;N(B80),1,0))</f>
        <v/>
      </c>
      <c r="AI80" s="19">
        <f>IF(A80="",0,IF(AND(Z80="Full payment",N(N80)&lt;N(M80)-1),1,0))</f>
        <v/>
      </c>
      <c r="AJ80" s="19">
        <f>IF(A80="",0,IF(N(P80)&lt;0,1,0))</f>
        <v/>
      </c>
      <c r="AK80" s="19">
        <f>IF(A80="",0,IF(COUNTIF($A$7:$A$1006,A80)&gt;1,1,0))</f>
        <v/>
      </c>
    </row>
    <row r="81">
      <c r="A81" s="10" t="n"/>
      <c r="B81" s="17" t="n"/>
      <c r="C81" s="18" t="n"/>
      <c r="D81" s="10" t="n"/>
      <c r="E81" s="17" t="n"/>
      <c r="F81" s="10" t="n"/>
      <c r="G81" s="10" t="n"/>
      <c r="H81" s="10" t="n"/>
      <c r="I81" s="18" t="n"/>
      <c r="J81" s="18" t="n"/>
      <c r="K81" s="18" t="n"/>
      <c r="L81" s="18" t="n"/>
      <c r="M81" s="19">
        <f>IF(K81="","",K81*365/12*L81)</f>
        <v/>
      </c>
      <c r="N81" s="18" t="n"/>
      <c r="O81" s="18" t="n"/>
      <c r="P81" s="18" t="n"/>
      <c r="Q81" s="18" t="n"/>
      <c r="R81" s="10" t="n"/>
      <c r="S81" s="17" t="n"/>
      <c r="T81" s="18" t="n"/>
      <c r="U81" s="17" t="n"/>
      <c r="V81" s="17" t="n"/>
      <c r="W81" s="18" t="n"/>
      <c r="X81" s="18" t="n"/>
      <c r="Y81" s="17" t="n"/>
      <c r="Z81" s="10" t="n"/>
      <c r="AA81" s="10" t="n"/>
      <c r="AB81" s="19">
        <f>IF(LEN(A81)&gt;0,1,0)</f>
        <v/>
      </c>
      <c r="AC81" s="19">
        <f>IF(LEN(A81)=0,0,(LEN(B81)=0)+(LEN(C81)=0)+(LEN(D81)=0)+(LEN(E81)=0)+(LEN(F81)=0)+(LEN(G81)=0)+(LEN(H81)=0)+(LEN(I81)=0)+(LEN(J81)=0)+(LEN(K81)=0)+(LEN(L81)=0)+(LEN(N81)=0)+(LEN(O81)=0)+(LEN(P81)=0)+(LEN(R81)=0)+(LEN(AA81)=0))</f>
        <v/>
      </c>
      <c r="AD81" s="19">
        <f>IF(OR(LEN(A81)=0,LEN(C81)=0),0,IF(OR(C81&lt;1,C81&gt;5),1,0))</f>
        <v/>
      </c>
      <c r="AE81" s="19">
        <f>IF(OR(LEN(A81)=0,LEN(R81)=0),0,IF(OR(R81="Active",R81="Paid off",R81="Defaulted",R81="Repossessed",R81="Written off",R81="Restructured"),0,1))</f>
        <v/>
      </c>
      <c r="AF81" s="19">
        <f>IF(A81="",0,IF(N(J81)&gt;N(I81),1,0))</f>
        <v/>
      </c>
      <c r="AG81" s="19">
        <f>IF(A81="",0,IF(N(N81)&gt;N(M81)+1,1,0))</f>
        <v/>
      </c>
      <c r="AH81" s="19">
        <f>IF(A81="",0,IF(N(E81)&gt;N(B81),1,0))</f>
        <v/>
      </c>
      <c r="AI81" s="19">
        <f>IF(A81="",0,IF(AND(Z81="Full payment",N(N81)&lt;N(M81)-1),1,0))</f>
        <v/>
      </c>
      <c r="AJ81" s="19">
        <f>IF(A81="",0,IF(N(P81)&lt;0,1,0))</f>
        <v/>
      </c>
      <c r="AK81" s="19">
        <f>IF(A81="",0,IF(COUNTIF($A$7:$A$1006,A81)&gt;1,1,0))</f>
        <v/>
      </c>
    </row>
    <row r="82">
      <c r="A82" s="10" t="n"/>
      <c r="B82" s="17" t="n"/>
      <c r="C82" s="18" t="n"/>
      <c r="D82" s="10" t="n"/>
      <c r="E82" s="17" t="n"/>
      <c r="F82" s="10" t="n"/>
      <c r="G82" s="10" t="n"/>
      <c r="H82" s="10" t="n"/>
      <c r="I82" s="18" t="n"/>
      <c r="J82" s="18" t="n"/>
      <c r="K82" s="18" t="n"/>
      <c r="L82" s="18" t="n"/>
      <c r="M82" s="19">
        <f>IF(K82="","",K82*365/12*L82)</f>
        <v/>
      </c>
      <c r="N82" s="18" t="n"/>
      <c r="O82" s="18" t="n"/>
      <c r="P82" s="18" t="n"/>
      <c r="Q82" s="18" t="n"/>
      <c r="R82" s="10" t="n"/>
      <c r="S82" s="17" t="n"/>
      <c r="T82" s="18" t="n"/>
      <c r="U82" s="17" t="n"/>
      <c r="V82" s="17" t="n"/>
      <c r="W82" s="18" t="n"/>
      <c r="X82" s="18" t="n"/>
      <c r="Y82" s="17" t="n"/>
      <c r="Z82" s="10" t="n"/>
      <c r="AA82" s="10" t="n"/>
      <c r="AB82" s="19">
        <f>IF(LEN(A82)&gt;0,1,0)</f>
        <v/>
      </c>
      <c r="AC82" s="19">
        <f>IF(LEN(A82)=0,0,(LEN(B82)=0)+(LEN(C82)=0)+(LEN(D82)=0)+(LEN(E82)=0)+(LEN(F82)=0)+(LEN(G82)=0)+(LEN(H82)=0)+(LEN(I82)=0)+(LEN(J82)=0)+(LEN(K82)=0)+(LEN(L82)=0)+(LEN(N82)=0)+(LEN(O82)=0)+(LEN(P82)=0)+(LEN(R82)=0)+(LEN(AA82)=0))</f>
        <v/>
      </c>
      <c r="AD82" s="19">
        <f>IF(OR(LEN(A82)=0,LEN(C82)=0),0,IF(OR(C82&lt;1,C82&gt;5),1,0))</f>
        <v/>
      </c>
      <c r="AE82" s="19">
        <f>IF(OR(LEN(A82)=0,LEN(R82)=0),0,IF(OR(R82="Active",R82="Paid off",R82="Defaulted",R82="Repossessed",R82="Written off",R82="Restructured"),0,1))</f>
        <v/>
      </c>
      <c r="AF82" s="19">
        <f>IF(A82="",0,IF(N(J82)&gt;N(I82),1,0))</f>
        <v/>
      </c>
      <c r="AG82" s="19">
        <f>IF(A82="",0,IF(N(N82)&gt;N(M82)+1,1,0))</f>
        <v/>
      </c>
      <c r="AH82" s="19">
        <f>IF(A82="",0,IF(N(E82)&gt;N(B82),1,0))</f>
        <v/>
      </c>
      <c r="AI82" s="19">
        <f>IF(A82="",0,IF(AND(Z82="Full payment",N(N82)&lt;N(M82)-1),1,0))</f>
        <v/>
      </c>
      <c r="AJ82" s="19">
        <f>IF(A82="",0,IF(N(P82)&lt;0,1,0))</f>
        <v/>
      </c>
      <c r="AK82" s="19">
        <f>IF(A82="",0,IF(COUNTIF($A$7:$A$1006,A82)&gt;1,1,0))</f>
        <v/>
      </c>
    </row>
    <row r="83">
      <c r="A83" s="10" t="n"/>
      <c r="B83" s="17" t="n"/>
      <c r="C83" s="18" t="n"/>
      <c r="D83" s="10" t="n"/>
      <c r="E83" s="17" t="n"/>
      <c r="F83" s="10" t="n"/>
      <c r="G83" s="10" t="n"/>
      <c r="H83" s="10" t="n"/>
      <c r="I83" s="18" t="n"/>
      <c r="J83" s="18" t="n"/>
      <c r="K83" s="18" t="n"/>
      <c r="L83" s="18" t="n"/>
      <c r="M83" s="19">
        <f>IF(K83="","",K83*365/12*L83)</f>
        <v/>
      </c>
      <c r="N83" s="18" t="n"/>
      <c r="O83" s="18" t="n"/>
      <c r="P83" s="18" t="n"/>
      <c r="Q83" s="18" t="n"/>
      <c r="R83" s="10" t="n"/>
      <c r="S83" s="17" t="n"/>
      <c r="T83" s="18" t="n"/>
      <c r="U83" s="17" t="n"/>
      <c r="V83" s="17" t="n"/>
      <c r="W83" s="18" t="n"/>
      <c r="X83" s="18" t="n"/>
      <c r="Y83" s="17" t="n"/>
      <c r="Z83" s="10" t="n"/>
      <c r="AA83" s="10" t="n"/>
      <c r="AB83" s="19">
        <f>IF(LEN(A83)&gt;0,1,0)</f>
        <v/>
      </c>
      <c r="AC83" s="19">
        <f>IF(LEN(A83)=0,0,(LEN(B83)=0)+(LEN(C83)=0)+(LEN(D83)=0)+(LEN(E83)=0)+(LEN(F83)=0)+(LEN(G83)=0)+(LEN(H83)=0)+(LEN(I83)=0)+(LEN(J83)=0)+(LEN(K83)=0)+(LEN(L83)=0)+(LEN(N83)=0)+(LEN(O83)=0)+(LEN(P83)=0)+(LEN(R83)=0)+(LEN(AA83)=0))</f>
        <v/>
      </c>
      <c r="AD83" s="19">
        <f>IF(OR(LEN(A83)=0,LEN(C83)=0),0,IF(OR(C83&lt;1,C83&gt;5),1,0))</f>
        <v/>
      </c>
      <c r="AE83" s="19">
        <f>IF(OR(LEN(A83)=0,LEN(R83)=0),0,IF(OR(R83="Active",R83="Paid off",R83="Defaulted",R83="Repossessed",R83="Written off",R83="Restructured"),0,1))</f>
        <v/>
      </c>
      <c r="AF83" s="19">
        <f>IF(A83="",0,IF(N(J83)&gt;N(I83),1,0))</f>
        <v/>
      </c>
      <c r="AG83" s="19">
        <f>IF(A83="",0,IF(N(N83)&gt;N(M83)+1,1,0))</f>
        <v/>
      </c>
      <c r="AH83" s="19">
        <f>IF(A83="",0,IF(N(E83)&gt;N(B83),1,0))</f>
        <v/>
      </c>
      <c r="AI83" s="19">
        <f>IF(A83="",0,IF(AND(Z83="Full payment",N(N83)&lt;N(M83)-1),1,0))</f>
        <v/>
      </c>
      <c r="AJ83" s="19">
        <f>IF(A83="",0,IF(N(P83)&lt;0,1,0))</f>
        <v/>
      </c>
      <c r="AK83" s="19">
        <f>IF(A83="",0,IF(COUNTIF($A$7:$A$1006,A83)&gt;1,1,0))</f>
        <v/>
      </c>
    </row>
    <row r="84">
      <c r="A84" s="10" t="n"/>
      <c r="B84" s="17" t="n"/>
      <c r="C84" s="18" t="n"/>
      <c r="D84" s="10" t="n"/>
      <c r="E84" s="17" t="n"/>
      <c r="F84" s="10" t="n"/>
      <c r="G84" s="10" t="n"/>
      <c r="H84" s="10" t="n"/>
      <c r="I84" s="18" t="n"/>
      <c r="J84" s="18" t="n"/>
      <c r="K84" s="18" t="n"/>
      <c r="L84" s="18" t="n"/>
      <c r="M84" s="19">
        <f>IF(K84="","",K84*365/12*L84)</f>
        <v/>
      </c>
      <c r="N84" s="18" t="n"/>
      <c r="O84" s="18" t="n"/>
      <c r="P84" s="18" t="n"/>
      <c r="Q84" s="18" t="n"/>
      <c r="R84" s="10" t="n"/>
      <c r="S84" s="17" t="n"/>
      <c r="T84" s="18" t="n"/>
      <c r="U84" s="17" t="n"/>
      <c r="V84" s="17" t="n"/>
      <c r="W84" s="18" t="n"/>
      <c r="X84" s="18" t="n"/>
      <c r="Y84" s="17" t="n"/>
      <c r="Z84" s="10" t="n"/>
      <c r="AA84" s="10" t="n"/>
      <c r="AB84" s="19">
        <f>IF(LEN(A84)&gt;0,1,0)</f>
        <v/>
      </c>
      <c r="AC84" s="19">
        <f>IF(LEN(A84)=0,0,(LEN(B84)=0)+(LEN(C84)=0)+(LEN(D84)=0)+(LEN(E84)=0)+(LEN(F84)=0)+(LEN(G84)=0)+(LEN(H84)=0)+(LEN(I84)=0)+(LEN(J84)=0)+(LEN(K84)=0)+(LEN(L84)=0)+(LEN(N84)=0)+(LEN(O84)=0)+(LEN(P84)=0)+(LEN(R84)=0)+(LEN(AA84)=0))</f>
        <v/>
      </c>
      <c r="AD84" s="19">
        <f>IF(OR(LEN(A84)=0,LEN(C84)=0),0,IF(OR(C84&lt;1,C84&gt;5),1,0))</f>
        <v/>
      </c>
      <c r="AE84" s="19">
        <f>IF(OR(LEN(A84)=0,LEN(R84)=0),0,IF(OR(R84="Active",R84="Paid off",R84="Defaulted",R84="Repossessed",R84="Written off",R84="Restructured"),0,1))</f>
        <v/>
      </c>
      <c r="AF84" s="19">
        <f>IF(A84="",0,IF(N(J84)&gt;N(I84),1,0))</f>
        <v/>
      </c>
      <c r="AG84" s="19">
        <f>IF(A84="",0,IF(N(N84)&gt;N(M84)+1,1,0))</f>
        <v/>
      </c>
      <c r="AH84" s="19">
        <f>IF(A84="",0,IF(N(E84)&gt;N(B84),1,0))</f>
        <v/>
      </c>
      <c r="AI84" s="19">
        <f>IF(A84="",0,IF(AND(Z84="Full payment",N(N84)&lt;N(M84)-1),1,0))</f>
        <v/>
      </c>
      <c r="AJ84" s="19">
        <f>IF(A84="",0,IF(N(P84)&lt;0,1,0))</f>
        <v/>
      </c>
      <c r="AK84" s="19">
        <f>IF(A84="",0,IF(COUNTIF($A$7:$A$1006,A84)&gt;1,1,0))</f>
        <v/>
      </c>
    </row>
    <row r="85">
      <c r="A85" s="10" t="n"/>
      <c r="B85" s="17" t="n"/>
      <c r="C85" s="18" t="n"/>
      <c r="D85" s="10" t="n"/>
      <c r="E85" s="17" t="n"/>
      <c r="F85" s="10" t="n"/>
      <c r="G85" s="10" t="n"/>
      <c r="H85" s="10" t="n"/>
      <c r="I85" s="18" t="n"/>
      <c r="J85" s="18" t="n"/>
      <c r="K85" s="18" t="n"/>
      <c r="L85" s="18" t="n"/>
      <c r="M85" s="19">
        <f>IF(K85="","",K85*365/12*L85)</f>
        <v/>
      </c>
      <c r="N85" s="18" t="n"/>
      <c r="O85" s="18" t="n"/>
      <c r="P85" s="18" t="n"/>
      <c r="Q85" s="18" t="n"/>
      <c r="R85" s="10" t="n"/>
      <c r="S85" s="17" t="n"/>
      <c r="T85" s="18" t="n"/>
      <c r="U85" s="17" t="n"/>
      <c r="V85" s="17" t="n"/>
      <c r="W85" s="18" t="n"/>
      <c r="X85" s="18" t="n"/>
      <c r="Y85" s="17" t="n"/>
      <c r="Z85" s="10" t="n"/>
      <c r="AA85" s="10" t="n"/>
      <c r="AB85" s="19">
        <f>IF(LEN(A85)&gt;0,1,0)</f>
        <v/>
      </c>
      <c r="AC85" s="19">
        <f>IF(LEN(A85)=0,0,(LEN(B85)=0)+(LEN(C85)=0)+(LEN(D85)=0)+(LEN(E85)=0)+(LEN(F85)=0)+(LEN(G85)=0)+(LEN(H85)=0)+(LEN(I85)=0)+(LEN(J85)=0)+(LEN(K85)=0)+(LEN(L85)=0)+(LEN(N85)=0)+(LEN(O85)=0)+(LEN(P85)=0)+(LEN(R85)=0)+(LEN(AA85)=0))</f>
        <v/>
      </c>
      <c r="AD85" s="19">
        <f>IF(OR(LEN(A85)=0,LEN(C85)=0),0,IF(OR(C85&lt;1,C85&gt;5),1,0))</f>
        <v/>
      </c>
      <c r="AE85" s="19">
        <f>IF(OR(LEN(A85)=0,LEN(R85)=0),0,IF(OR(R85="Active",R85="Paid off",R85="Defaulted",R85="Repossessed",R85="Written off",R85="Restructured"),0,1))</f>
        <v/>
      </c>
      <c r="AF85" s="19">
        <f>IF(A85="",0,IF(N(J85)&gt;N(I85),1,0))</f>
        <v/>
      </c>
      <c r="AG85" s="19">
        <f>IF(A85="",0,IF(N(N85)&gt;N(M85)+1,1,0))</f>
        <v/>
      </c>
      <c r="AH85" s="19">
        <f>IF(A85="",0,IF(N(E85)&gt;N(B85),1,0))</f>
        <v/>
      </c>
      <c r="AI85" s="19">
        <f>IF(A85="",0,IF(AND(Z85="Full payment",N(N85)&lt;N(M85)-1),1,0))</f>
        <v/>
      </c>
      <c r="AJ85" s="19">
        <f>IF(A85="",0,IF(N(P85)&lt;0,1,0))</f>
        <v/>
      </c>
      <c r="AK85" s="19">
        <f>IF(A85="",0,IF(COUNTIF($A$7:$A$1006,A85)&gt;1,1,0))</f>
        <v/>
      </c>
    </row>
    <row r="86">
      <c r="A86" s="10" t="n"/>
      <c r="B86" s="17" t="n"/>
      <c r="C86" s="18" t="n"/>
      <c r="D86" s="10" t="n"/>
      <c r="E86" s="17" t="n"/>
      <c r="F86" s="10" t="n"/>
      <c r="G86" s="10" t="n"/>
      <c r="H86" s="10" t="n"/>
      <c r="I86" s="18" t="n"/>
      <c r="J86" s="18" t="n"/>
      <c r="K86" s="18" t="n"/>
      <c r="L86" s="18" t="n"/>
      <c r="M86" s="19">
        <f>IF(K86="","",K86*365/12*L86)</f>
        <v/>
      </c>
      <c r="N86" s="18" t="n"/>
      <c r="O86" s="18" t="n"/>
      <c r="P86" s="18" t="n"/>
      <c r="Q86" s="18" t="n"/>
      <c r="R86" s="10" t="n"/>
      <c r="S86" s="17" t="n"/>
      <c r="T86" s="18" t="n"/>
      <c r="U86" s="17" t="n"/>
      <c r="V86" s="17" t="n"/>
      <c r="W86" s="18" t="n"/>
      <c r="X86" s="18" t="n"/>
      <c r="Y86" s="17" t="n"/>
      <c r="Z86" s="10" t="n"/>
      <c r="AA86" s="10" t="n"/>
      <c r="AB86" s="19">
        <f>IF(LEN(A86)&gt;0,1,0)</f>
        <v/>
      </c>
      <c r="AC86" s="19">
        <f>IF(LEN(A86)=0,0,(LEN(B86)=0)+(LEN(C86)=0)+(LEN(D86)=0)+(LEN(E86)=0)+(LEN(F86)=0)+(LEN(G86)=0)+(LEN(H86)=0)+(LEN(I86)=0)+(LEN(J86)=0)+(LEN(K86)=0)+(LEN(L86)=0)+(LEN(N86)=0)+(LEN(O86)=0)+(LEN(P86)=0)+(LEN(R86)=0)+(LEN(AA86)=0))</f>
        <v/>
      </c>
      <c r="AD86" s="19">
        <f>IF(OR(LEN(A86)=0,LEN(C86)=0),0,IF(OR(C86&lt;1,C86&gt;5),1,0))</f>
        <v/>
      </c>
      <c r="AE86" s="19">
        <f>IF(OR(LEN(A86)=0,LEN(R86)=0),0,IF(OR(R86="Active",R86="Paid off",R86="Defaulted",R86="Repossessed",R86="Written off",R86="Restructured"),0,1))</f>
        <v/>
      </c>
      <c r="AF86" s="19">
        <f>IF(A86="",0,IF(N(J86)&gt;N(I86),1,0))</f>
        <v/>
      </c>
      <c r="AG86" s="19">
        <f>IF(A86="",0,IF(N(N86)&gt;N(M86)+1,1,0))</f>
        <v/>
      </c>
      <c r="AH86" s="19">
        <f>IF(A86="",0,IF(N(E86)&gt;N(B86),1,0))</f>
        <v/>
      </c>
      <c r="AI86" s="19">
        <f>IF(A86="",0,IF(AND(Z86="Full payment",N(N86)&lt;N(M86)-1),1,0))</f>
        <v/>
      </c>
      <c r="AJ86" s="19">
        <f>IF(A86="",0,IF(N(P86)&lt;0,1,0))</f>
        <v/>
      </c>
      <c r="AK86" s="19">
        <f>IF(A86="",0,IF(COUNTIF($A$7:$A$1006,A86)&gt;1,1,0))</f>
        <v/>
      </c>
    </row>
    <row r="87">
      <c r="A87" s="10" t="n"/>
      <c r="B87" s="17" t="n"/>
      <c r="C87" s="18" t="n"/>
      <c r="D87" s="10" t="n"/>
      <c r="E87" s="17" t="n"/>
      <c r="F87" s="10" t="n"/>
      <c r="G87" s="10" t="n"/>
      <c r="H87" s="10" t="n"/>
      <c r="I87" s="18" t="n"/>
      <c r="J87" s="18" t="n"/>
      <c r="K87" s="18" t="n"/>
      <c r="L87" s="18" t="n"/>
      <c r="M87" s="19">
        <f>IF(K87="","",K87*365/12*L87)</f>
        <v/>
      </c>
      <c r="N87" s="18" t="n"/>
      <c r="O87" s="18" t="n"/>
      <c r="P87" s="18" t="n"/>
      <c r="Q87" s="18" t="n"/>
      <c r="R87" s="10" t="n"/>
      <c r="S87" s="17" t="n"/>
      <c r="T87" s="18" t="n"/>
      <c r="U87" s="17" t="n"/>
      <c r="V87" s="17" t="n"/>
      <c r="W87" s="18" t="n"/>
      <c r="X87" s="18" t="n"/>
      <c r="Y87" s="17" t="n"/>
      <c r="Z87" s="10" t="n"/>
      <c r="AA87" s="10" t="n"/>
      <c r="AB87" s="19">
        <f>IF(LEN(A87)&gt;0,1,0)</f>
        <v/>
      </c>
      <c r="AC87" s="19">
        <f>IF(LEN(A87)=0,0,(LEN(B87)=0)+(LEN(C87)=0)+(LEN(D87)=0)+(LEN(E87)=0)+(LEN(F87)=0)+(LEN(G87)=0)+(LEN(H87)=0)+(LEN(I87)=0)+(LEN(J87)=0)+(LEN(K87)=0)+(LEN(L87)=0)+(LEN(N87)=0)+(LEN(O87)=0)+(LEN(P87)=0)+(LEN(R87)=0)+(LEN(AA87)=0))</f>
        <v/>
      </c>
      <c r="AD87" s="19">
        <f>IF(OR(LEN(A87)=0,LEN(C87)=0),0,IF(OR(C87&lt;1,C87&gt;5),1,0))</f>
        <v/>
      </c>
      <c r="AE87" s="19">
        <f>IF(OR(LEN(A87)=0,LEN(R87)=0),0,IF(OR(R87="Active",R87="Paid off",R87="Defaulted",R87="Repossessed",R87="Written off",R87="Restructured"),0,1))</f>
        <v/>
      </c>
      <c r="AF87" s="19">
        <f>IF(A87="",0,IF(N(J87)&gt;N(I87),1,0))</f>
        <v/>
      </c>
      <c r="AG87" s="19">
        <f>IF(A87="",0,IF(N(N87)&gt;N(M87)+1,1,0))</f>
        <v/>
      </c>
      <c r="AH87" s="19">
        <f>IF(A87="",0,IF(N(E87)&gt;N(B87),1,0))</f>
        <v/>
      </c>
      <c r="AI87" s="19">
        <f>IF(A87="",0,IF(AND(Z87="Full payment",N(N87)&lt;N(M87)-1),1,0))</f>
        <v/>
      </c>
      <c r="AJ87" s="19">
        <f>IF(A87="",0,IF(N(P87)&lt;0,1,0))</f>
        <v/>
      </c>
      <c r="AK87" s="19">
        <f>IF(A87="",0,IF(COUNTIF($A$7:$A$1006,A87)&gt;1,1,0))</f>
        <v/>
      </c>
    </row>
    <row r="88">
      <c r="A88" s="10" t="n"/>
      <c r="B88" s="17" t="n"/>
      <c r="C88" s="18" t="n"/>
      <c r="D88" s="10" t="n"/>
      <c r="E88" s="17" t="n"/>
      <c r="F88" s="10" t="n"/>
      <c r="G88" s="10" t="n"/>
      <c r="H88" s="10" t="n"/>
      <c r="I88" s="18" t="n"/>
      <c r="J88" s="18" t="n"/>
      <c r="K88" s="18" t="n"/>
      <c r="L88" s="18" t="n"/>
      <c r="M88" s="19">
        <f>IF(K88="","",K88*365/12*L88)</f>
        <v/>
      </c>
      <c r="N88" s="18" t="n"/>
      <c r="O88" s="18" t="n"/>
      <c r="P88" s="18" t="n"/>
      <c r="Q88" s="18" t="n"/>
      <c r="R88" s="10" t="n"/>
      <c r="S88" s="17" t="n"/>
      <c r="T88" s="18" t="n"/>
      <c r="U88" s="17" t="n"/>
      <c r="V88" s="17" t="n"/>
      <c r="W88" s="18" t="n"/>
      <c r="X88" s="18" t="n"/>
      <c r="Y88" s="17" t="n"/>
      <c r="Z88" s="10" t="n"/>
      <c r="AA88" s="10" t="n"/>
      <c r="AB88" s="19">
        <f>IF(LEN(A88)&gt;0,1,0)</f>
        <v/>
      </c>
      <c r="AC88" s="19">
        <f>IF(LEN(A88)=0,0,(LEN(B88)=0)+(LEN(C88)=0)+(LEN(D88)=0)+(LEN(E88)=0)+(LEN(F88)=0)+(LEN(G88)=0)+(LEN(H88)=0)+(LEN(I88)=0)+(LEN(J88)=0)+(LEN(K88)=0)+(LEN(L88)=0)+(LEN(N88)=0)+(LEN(O88)=0)+(LEN(P88)=0)+(LEN(R88)=0)+(LEN(AA88)=0))</f>
        <v/>
      </c>
      <c r="AD88" s="19">
        <f>IF(OR(LEN(A88)=0,LEN(C88)=0),0,IF(OR(C88&lt;1,C88&gt;5),1,0))</f>
        <v/>
      </c>
      <c r="AE88" s="19">
        <f>IF(OR(LEN(A88)=0,LEN(R88)=0),0,IF(OR(R88="Active",R88="Paid off",R88="Defaulted",R88="Repossessed",R88="Written off",R88="Restructured"),0,1))</f>
        <v/>
      </c>
      <c r="AF88" s="19">
        <f>IF(A88="",0,IF(N(J88)&gt;N(I88),1,0))</f>
        <v/>
      </c>
      <c r="AG88" s="19">
        <f>IF(A88="",0,IF(N(N88)&gt;N(M88)+1,1,0))</f>
        <v/>
      </c>
      <c r="AH88" s="19">
        <f>IF(A88="",0,IF(N(E88)&gt;N(B88),1,0))</f>
        <v/>
      </c>
      <c r="AI88" s="19">
        <f>IF(A88="",0,IF(AND(Z88="Full payment",N(N88)&lt;N(M88)-1),1,0))</f>
        <v/>
      </c>
      <c r="AJ88" s="19">
        <f>IF(A88="",0,IF(N(P88)&lt;0,1,0))</f>
        <v/>
      </c>
      <c r="AK88" s="19">
        <f>IF(A88="",0,IF(COUNTIF($A$7:$A$1006,A88)&gt;1,1,0))</f>
        <v/>
      </c>
    </row>
    <row r="89">
      <c r="A89" s="10" t="n"/>
      <c r="B89" s="17" t="n"/>
      <c r="C89" s="18" t="n"/>
      <c r="D89" s="10" t="n"/>
      <c r="E89" s="17" t="n"/>
      <c r="F89" s="10" t="n"/>
      <c r="G89" s="10" t="n"/>
      <c r="H89" s="10" t="n"/>
      <c r="I89" s="18" t="n"/>
      <c r="J89" s="18" t="n"/>
      <c r="K89" s="18" t="n"/>
      <c r="L89" s="18" t="n"/>
      <c r="M89" s="19">
        <f>IF(K89="","",K89*365/12*L89)</f>
        <v/>
      </c>
      <c r="N89" s="18" t="n"/>
      <c r="O89" s="18" t="n"/>
      <c r="P89" s="18" t="n"/>
      <c r="Q89" s="18" t="n"/>
      <c r="R89" s="10" t="n"/>
      <c r="S89" s="17" t="n"/>
      <c r="T89" s="18" t="n"/>
      <c r="U89" s="17" t="n"/>
      <c r="V89" s="17" t="n"/>
      <c r="W89" s="18" t="n"/>
      <c r="X89" s="18" t="n"/>
      <c r="Y89" s="17" t="n"/>
      <c r="Z89" s="10" t="n"/>
      <c r="AA89" s="10" t="n"/>
      <c r="AB89" s="19">
        <f>IF(LEN(A89)&gt;0,1,0)</f>
        <v/>
      </c>
      <c r="AC89" s="19">
        <f>IF(LEN(A89)=0,0,(LEN(B89)=0)+(LEN(C89)=0)+(LEN(D89)=0)+(LEN(E89)=0)+(LEN(F89)=0)+(LEN(G89)=0)+(LEN(H89)=0)+(LEN(I89)=0)+(LEN(J89)=0)+(LEN(K89)=0)+(LEN(L89)=0)+(LEN(N89)=0)+(LEN(O89)=0)+(LEN(P89)=0)+(LEN(R89)=0)+(LEN(AA89)=0))</f>
        <v/>
      </c>
      <c r="AD89" s="19">
        <f>IF(OR(LEN(A89)=0,LEN(C89)=0),0,IF(OR(C89&lt;1,C89&gt;5),1,0))</f>
        <v/>
      </c>
      <c r="AE89" s="19">
        <f>IF(OR(LEN(A89)=0,LEN(R89)=0),0,IF(OR(R89="Active",R89="Paid off",R89="Defaulted",R89="Repossessed",R89="Written off",R89="Restructured"),0,1))</f>
        <v/>
      </c>
      <c r="AF89" s="19">
        <f>IF(A89="",0,IF(N(J89)&gt;N(I89),1,0))</f>
        <v/>
      </c>
      <c r="AG89" s="19">
        <f>IF(A89="",0,IF(N(N89)&gt;N(M89)+1,1,0))</f>
        <v/>
      </c>
      <c r="AH89" s="19">
        <f>IF(A89="",0,IF(N(E89)&gt;N(B89),1,0))</f>
        <v/>
      </c>
      <c r="AI89" s="19">
        <f>IF(A89="",0,IF(AND(Z89="Full payment",N(N89)&lt;N(M89)-1),1,0))</f>
        <v/>
      </c>
      <c r="AJ89" s="19">
        <f>IF(A89="",0,IF(N(P89)&lt;0,1,0))</f>
        <v/>
      </c>
      <c r="AK89" s="19">
        <f>IF(A89="",0,IF(COUNTIF($A$7:$A$1006,A89)&gt;1,1,0))</f>
        <v/>
      </c>
    </row>
    <row r="90">
      <c r="A90" s="10" t="n"/>
      <c r="B90" s="17" t="n"/>
      <c r="C90" s="18" t="n"/>
      <c r="D90" s="10" t="n"/>
      <c r="E90" s="17" t="n"/>
      <c r="F90" s="10" t="n"/>
      <c r="G90" s="10" t="n"/>
      <c r="H90" s="10" t="n"/>
      <c r="I90" s="18" t="n"/>
      <c r="J90" s="18" t="n"/>
      <c r="K90" s="18" t="n"/>
      <c r="L90" s="18" t="n"/>
      <c r="M90" s="19">
        <f>IF(K90="","",K90*365/12*L90)</f>
        <v/>
      </c>
      <c r="N90" s="18" t="n"/>
      <c r="O90" s="18" t="n"/>
      <c r="P90" s="18" t="n"/>
      <c r="Q90" s="18" t="n"/>
      <c r="R90" s="10" t="n"/>
      <c r="S90" s="17" t="n"/>
      <c r="T90" s="18" t="n"/>
      <c r="U90" s="17" t="n"/>
      <c r="V90" s="17" t="n"/>
      <c r="W90" s="18" t="n"/>
      <c r="X90" s="18" t="n"/>
      <c r="Y90" s="17" t="n"/>
      <c r="Z90" s="10" t="n"/>
      <c r="AA90" s="10" t="n"/>
      <c r="AB90" s="19">
        <f>IF(LEN(A90)&gt;0,1,0)</f>
        <v/>
      </c>
      <c r="AC90" s="19">
        <f>IF(LEN(A90)=0,0,(LEN(B90)=0)+(LEN(C90)=0)+(LEN(D90)=0)+(LEN(E90)=0)+(LEN(F90)=0)+(LEN(G90)=0)+(LEN(H90)=0)+(LEN(I90)=0)+(LEN(J90)=0)+(LEN(K90)=0)+(LEN(L90)=0)+(LEN(N90)=0)+(LEN(O90)=0)+(LEN(P90)=0)+(LEN(R90)=0)+(LEN(AA90)=0))</f>
        <v/>
      </c>
      <c r="AD90" s="19">
        <f>IF(OR(LEN(A90)=0,LEN(C90)=0),0,IF(OR(C90&lt;1,C90&gt;5),1,0))</f>
        <v/>
      </c>
      <c r="AE90" s="19">
        <f>IF(OR(LEN(A90)=0,LEN(R90)=0),0,IF(OR(R90="Active",R90="Paid off",R90="Defaulted",R90="Repossessed",R90="Written off",R90="Restructured"),0,1))</f>
        <v/>
      </c>
      <c r="AF90" s="19">
        <f>IF(A90="",0,IF(N(J90)&gt;N(I90),1,0))</f>
        <v/>
      </c>
      <c r="AG90" s="19">
        <f>IF(A90="",0,IF(N(N90)&gt;N(M90)+1,1,0))</f>
        <v/>
      </c>
      <c r="AH90" s="19">
        <f>IF(A90="",0,IF(N(E90)&gt;N(B90),1,0))</f>
        <v/>
      </c>
      <c r="AI90" s="19">
        <f>IF(A90="",0,IF(AND(Z90="Full payment",N(N90)&lt;N(M90)-1),1,0))</f>
        <v/>
      </c>
      <c r="AJ90" s="19">
        <f>IF(A90="",0,IF(N(P90)&lt;0,1,0))</f>
        <v/>
      </c>
      <c r="AK90" s="19">
        <f>IF(A90="",0,IF(COUNTIF($A$7:$A$1006,A90)&gt;1,1,0))</f>
        <v/>
      </c>
    </row>
    <row r="91">
      <c r="A91" s="10" t="n"/>
      <c r="B91" s="17" t="n"/>
      <c r="C91" s="18" t="n"/>
      <c r="D91" s="10" t="n"/>
      <c r="E91" s="17" t="n"/>
      <c r="F91" s="10" t="n"/>
      <c r="G91" s="10" t="n"/>
      <c r="H91" s="10" t="n"/>
      <c r="I91" s="18" t="n"/>
      <c r="J91" s="18" t="n"/>
      <c r="K91" s="18" t="n"/>
      <c r="L91" s="18" t="n"/>
      <c r="M91" s="19">
        <f>IF(K91="","",K91*365/12*L91)</f>
        <v/>
      </c>
      <c r="N91" s="18" t="n"/>
      <c r="O91" s="18" t="n"/>
      <c r="P91" s="18" t="n"/>
      <c r="Q91" s="18" t="n"/>
      <c r="R91" s="10" t="n"/>
      <c r="S91" s="17" t="n"/>
      <c r="T91" s="18" t="n"/>
      <c r="U91" s="17" t="n"/>
      <c r="V91" s="17" t="n"/>
      <c r="W91" s="18" t="n"/>
      <c r="X91" s="18" t="n"/>
      <c r="Y91" s="17" t="n"/>
      <c r="Z91" s="10" t="n"/>
      <c r="AA91" s="10" t="n"/>
      <c r="AB91" s="19">
        <f>IF(LEN(A91)&gt;0,1,0)</f>
        <v/>
      </c>
      <c r="AC91" s="19">
        <f>IF(LEN(A91)=0,0,(LEN(B91)=0)+(LEN(C91)=0)+(LEN(D91)=0)+(LEN(E91)=0)+(LEN(F91)=0)+(LEN(G91)=0)+(LEN(H91)=0)+(LEN(I91)=0)+(LEN(J91)=0)+(LEN(K91)=0)+(LEN(L91)=0)+(LEN(N91)=0)+(LEN(O91)=0)+(LEN(P91)=0)+(LEN(R91)=0)+(LEN(AA91)=0))</f>
        <v/>
      </c>
      <c r="AD91" s="19">
        <f>IF(OR(LEN(A91)=0,LEN(C91)=0),0,IF(OR(C91&lt;1,C91&gt;5),1,0))</f>
        <v/>
      </c>
      <c r="AE91" s="19">
        <f>IF(OR(LEN(A91)=0,LEN(R91)=0),0,IF(OR(R91="Active",R91="Paid off",R91="Defaulted",R91="Repossessed",R91="Written off",R91="Restructured"),0,1))</f>
        <v/>
      </c>
      <c r="AF91" s="19">
        <f>IF(A91="",0,IF(N(J91)&gt;N(I91),1,0))</f>
        <v/>
      </c>
      <c r="AG91" s="19">
        <f>IF(A91="",0,IF(N(N91)&gt;N(M91)+1,1,0))</f>
        <v/>
      </c>
      <c r="AH91" s="19">
        <f>IF(A91="",0,IF(N(E91)&gt;N(B91),1,0))</f>
        <v/>
      </c>
      <c r="AI91" s="19">
        <f>IF(A91="",0,IF(AND(Z91="Full payment",N(N91)&lt;N(M91)-1),1,0))</f>
        <v/>
      </c>
      <c r="AJ91" s="19">
        <f>IF(A91="",0,IF(N(P91)&lt;0,1,0))</f>
        <v/>
      </c>
      <c r="AK91" s="19">
        <f>IF(A91="",0,IF(COUNTIF($A$7:$A$1006,A91)&gt;1,1,0))</f>
        <v/>
      </c>
    </row>
    <row r="92">
      <c r="A92" s="10" t="n"/>
      <c r="B92" s="17" t="n"/>
      <c r="C92" s="18" t="n"/>
      <c r="D92" s="10" t="n"/>
      <c r="E92" s="17" t="n"/>
      <c r="F92" s="10" t="n"/>
      <c r="G92" s="10" t="n"/>
      <c r="H92" s="10" t="n"/>
      <c r="I92" s="18" t="n"/>
      <c r="J92" s="18" t="n"/>
      <c r="K92" s="18" t="n"/>
      <c r="L92" s="18" t="n"/>
      <c r="M92" s="19">
        <f>IF(K92="","",K92*365/12*L92)</f>
        <v/>
      </c>
      <c r="N92" s="18" t="n"/>
      <c r="O92" s="18" t="n"/>
      <c r="P92" s="18" t="n"/>
      <c r="Q92" s="18" t="n"/>
      <c r="R92" s="10" t="n"/>
      <c r="S92" s="17" t="n"/>
      <c r="T92" s="18" t="n"/>
      <c r="U92" s="17" t="n"/>
      <c r="V92" s="17" t="n"/>
      <c r="W92" s="18" t="n"/>
      <c r="X92" s="18" t="n"/>
      <c r="Y92" s="17" t="n"/>
      <c r="Z92" s="10" t="n"/>
      <c r="AA92" s="10" t="n"/>
      <c r="AB92" s="19">
        <f>IF(LEN(A92)&gt;0,1,0)</f>
        <v/>
      </c>
      <c r="AC92" s="19">
        <f>IF(LEN(A92)=0,0,(LEN(B92)=0)+(LEN(C92)=0)+(LEN(D92)=0)+(LEN(E92)=0)+(LEN(F92)=0)+(LEN(G92)=0)+(LEN(H92)=0)+(LEN(I92)=0)+(LEN(J92)=0)+(LEN(K92)=0)+(LEN(L92)=0)+(LEN(N92)=0)+(LEN(O92)=0)+(LEN(P92)=0)+(LEN(R92)=0)+(LEN(AA92)=0))</f>
        <v/>
      </c>
      <c r="AD92" s="19">
        <f>IF(OR(LEN(A92)=0,LEN(C92)=0),0,IF(OR(C92&lt;1,C92&gt;5),1,0))</f>
        <v/>
      </c>
      <c r="AE92" s="19">
        <f>IF(OR(LEN(A92)=0,LEN(R92)=0),0,IF(OR(R92="Active",R92="Paid off",R92="Defaulted",R92="Repossessed",R92="Written off",R92="Restructured"),0,1))</f>
        <v/>
      </c>
      <c r="AF92" s="19">
        <f>IF(A92="",0,IF(N(J92)&gt;N(I92),1,0))</f>
        <v/>
      </c>
      <c r="AG92" s="19">
        <f>IF(A92="",0,IF(N(N92)&gt;N(M92)+1,1,0))</f>
        <v/>
      </c>
      <c r="AH92" s="19">
        <f>IF(A92="",0,IF(N(E92)&gt;N(B92),1,0))</f>
        <v/>
      </c>
      <c r="AI92" s="19">
        <f>IF(A92="",0,IF(AND(Z92="Full payment",N(N92)&lt;N(M92)-1),1,0))</f>
        <v/>
      </c>
      <c r="AJ92" s="19">
        <f>IF(A92="",0,IF(N(P92)&lt;0,1,0))</f>
        <v/>
      </c>
      <c r="AK92" s="19">
        <f>IF(A92="",0,IF(COUNTIF($A$7:$A$1006,A92)&gt;1,1,0))</f>
        <v/>
      </c>
    </row>
    <row r="93">
      <c r="A93" s="10" t="n"/>
      <c r="B93" s="17" t="n"/>
      <c r="C93" s="18" t="n"/>
      <c r="D93" s="10" t="n"/>
      <c r="E93" s="17" t="n"/>
      <c r="F93" s="10" t="n"/>
      <c r="G93" s="10" t="n"/>
      <c r="H93" s="10" t="n"/>
      <c r="I93" s="18" t="n"/>
      <c r="J93" s="18" t="n"/>
      <c r="K93" s="18" t="n"/>
      <c r="L93" s="18" t="n"/>
      <c r="M93" s="19">
        <f>IF(K93="","",K93*365/12*L93)</f>
        <v/>
      </c>
      <c r="N93" s="18" t="n"/>
      <c r="O93" s="18" t="n"/>
      <c r="P93" s="18" t="n"/>
      <c r="Q93" s="18" t="n"/>
      <c r="R93" s="10" t="n"/>
      <c r="S93" s="17" t="n"/>
      <c r="T93" s="18" t="n"/>
      <c r="U93" s="17" t="n"/>
      <c r="V93" s="17" t="n"/>
      <c r="W93" s="18" t="n"/>
      <c r="X93" s="18" t="n"/>
      <c r="Y93" s="17" t="n"/>
      <c r="Z93" s="10" t="n"/>
      <c r="AA93" s="10" t="n"/>
      <c r="AB93" s="19">
        <f>IF(LEN(A93)&gt;0,1,0)</f>
        <v/>
      </c>
      <c r="AC93" s="19">
        <f>IF(LEN(A93)=0,0,(LEN(B93)=0)+(LEN(C93)=0)+(LEN(D93)=0)+(LEN(E93)=0)+(LEN(F93)=0)+(LEN(G93)=0)+(LEN(H93)=0)+(LEN(I93)=0)+(LEN(J93)=0)+(LEN(K93)=0)+(LEN(L93)=0)+(LEN(N93)=0)+(LEN(O93)=0)+(LEN(P93)=0)+(LEN(R93)=0)+(LEN(AA93)=0))</f>
        <v/>
      </c>
      <c r="AD93" s="19">
        <f>IF(OR(LEN(A93)=0,LEN(C93)=0),0,IF(OR(C93&lt;1,C93&gt;5),1,0))</f>
        <v/>
      </c>
      <c r="AE93" s="19">
        <f>IF(OR(LEN(A93)=0,LEN(R93)=0),0,IF(OR(R93="Active",R93="Paid off",R93="Defaulted",R93="Repossessed",R93="Written off",R93="Restructured"),0,1))</f>
        <v/>
      </c>
      <c r="AF93" s="19">
        <f>IF(A93="",0,IF(N(J93)&gt;N(I93),1,0))</f>
        <v/>
      </c>
      <c r="AG93" s="19">
        <f>IF(A93="",0,IF(N(N93)&gt;N(M93)+1,1,0))</f>
        <v/>
      </c>
      <c r="AH93" s="19">
        <f>IF(A93="",0,IF(N(E93)&gt;N(B93),1,0))</f>
        <v/>
      </c>
      <c r="AI93" s="19">
        <f>IF(A93="",0,IF(AND(Z93="Full payment",N(N93)&lt;N(M93)-1),1,0))</f>
        <v/>
      </c>
      <c r="AJ93" s="19">
        <f>IF(A93="",0,IF(N(P93)&lt;0,1,0))</f>
        <v/>
      </c>
      <c r="AK93" s="19">
        <f>IF(A93="",0,IF(COUNTIF($A$7:$A$1006,A93)&gt;1,1,0))</f>
        <v/>
      </c>
    </row>
    <row r="94">
      <c r="A94" s="10" t="n"/>
      <c r="B94" s="17" t="n"/>
      <c r="C94" s="18" t="n"/>
      <c r="D94" s="10" t="n"/>
      <c r="E94" s="17" t="n"/>
      <c r="F94" s="10" t="n"/>
      <c r="G94" s="10" t="n"/>
      <c r="H94" s="10" t="n"/>
      <c r="I94" s="18" t="n"/>
      <c r="J94" s="18" t="n"/>
      <c r="K94" s="18" t="n"/>
      <c r="L94" s="18" t="n"/>
      <c r="M94" s="19">
        <f>IF(K94="","",K94*365/12*L94)</f>
        <v/>
      </c>
      <c r="N94" s="18" t="n"/>
      <c r="O94" s="18" t="n"/>
      <c r="P94" s="18" t="n"/>
      <c r="Q94" s="18" t="n"/>
      <c r="R94" s="10" t="n"/>
      <c r="S94" s="17" t="n"/>
      <c r="T94" s="18" t="n"/>
      <c r="U94" s="17" t="n"/>
      <c r="V94" s="17" t="n"/>
      <c r="W94" s="18" t="n"/>
      <c r="X94" s="18" t="n"/>
      <c r="Y94" s="17" t="n"/>
      <c r="Z94" s="10" t="n"/>
      <c r="AA94" s="10" t="n"/>
      <c r="AB94" s="19">
        <f>IF(LEN(A94)&gt;0,1,0)</f>
        <v/>
      </c>
      <c r="AC94" s="19">
        <f>IF(LEN(A94)=0,0,(LEN(B94)=0)+(LEN(C94)=0)+(LEN(D94)=0)+(LEN(E94)=0)+(LEN(F94)=0)+(LEN(G94)=0)+(LEN(H94)=0)+(LEN(I94)=0)+(LEN(J94)=0)+(LEN(K94)=0)+(LEN(L94)=0)+(LEN(N94)=0)+(LEN(O94)=0)+(LEN(P94)=0)+(LEN(R94)=0)+(LEN(AA94)=0))</f>
        <v/>
      </c>
      <c r="AD94" s="19">
        <f>IF(OR(LEN(A94)=0,LEN(C94)=0),0,IF(OR(C94&lt;1,C94&gt;5),1,0))</f>
        <v/>
      </c>
      <c r="AE94" s="19">
        <f>IF(OR(LEN(A94)=0,LEN(R94)=0),0,IF(OR(R94="Active",R94="Paid off",R94="Defaulted",R94="Repossessed",R94="Written off",R94="Restructured"),0,1))</f>
        <v/>
      </c>
      <c r="AF94" s="19">
        <f>IF(A94="",0,IF(N(J94)&gt;N(I94),1,0))</f>
        <v/>
      </c>
      <c r="AG94" s="19">
        <f>IF(A94="",0,IF(N(N94)&gt;N(M94)+1,1,0))</f>
        <v/>
      </c>
      <c r="AH94" s="19">
        <f>IF(A94="",0,IF(N(E94)&gt;N(B94),1,0))</f>
        <v/>
      </c>
      <c r="AI94" s="19">
        <f>IF(A94="",0,IF(AND(Z94="Full payment",N(N94)&lt;N(M94)-1),1,0))</f>
        <v/>
      </c>
      <c r="AJ94" s="19">
        <f>IF(A94="",0,IF(N(P94)&lt;0,1,0))</f>
        <v/>
      </c>
      <c r="AK94" s="19">
        <f>IF(A94="",0,IF(COUNTIF($A$7:$A$1006,A94)&gt;1,1,0))</f>
        <v/>
      </c>
    </row>
    <row r="95">
      <c r="A95" s="10" t="n"/>
      <c r="B95" s="17" t="n"/>
      <c r="C95" s="18" t="n"/>
      <c r="D95" s="10" t="n"/>
      <c r="E95" s="17" t="n"/>
      <c r="F95" s="10" t="n"/>
      <c r="G95" s="10" t="n"/>
      <c r="H95" s="10" t="n"/>
      <c r="I95" s="18" t="n"/>
      <c r="J95" s="18" t="n"/>
      <c r="K95" s="18" t="n"/>
      <c r="L95" s="18" t="n"/>
      <c r="M95" s="19">
        <f>IF(K95="","",K95*365/12*L95)</f>
        <v/>
      </c>
      <c r="N95" s="18" t="n"/>
      <c r="O95" s="18" t="n"/>
      <c r="P95" s="18" t="n"/>
      <c r="Q95" s="18" t="n"/>
      <c r="R95" s="10" t="n"/>
      <c r="S95" s="17" t="n"/>
      <c r="T95" s="18" t="n"/>
      <c r="U95" s="17" t="n"/>
      <c r="V95" s="17" t="n"/>
      <c r="W95" s="18" t="n"/>
      <c r="X95" s="18" t="n"/>
      <c r="Y95" s="17" t="n"/>
      <c r="Z95" s="10" t="n"/>
      <c r="AA95" s="10" t="n"/>
      <c r="AB95" s="19">
        <f>IF(LEN(A95)&gt;0,1,0)</f>
        <v/>
      </c>
      <c r="AC95" s="19">
        <f>IF(LEN(A95)=0,0,(LEN(B95)=0)+(LEN(C95)=0)+(LEN(D95)=0)+(LEN(E95)=0)+(LEN(F95)=0)+(LEN(G95)=0)+(LEN(H95)=0)+(LEN(I95)=0)+(LEN(J95)=0)+(LEN(K95)=0)+(LEN(L95)=0)+(LEN(N95)=0)+(LEN(O95)=0)+(LEN(P95)=0)+(LEN(R95)=0)+(LEN(AA95)=0))</f>
        <v/>
      </c>
      <c r="AD95" s="19">
        <f>IF(OR(LEN(A95)=0,LEN(C95)=0),0,IF(OR(C95&lt;1,C95&gt;5),1,0))</f>
        <v/>
      </c>
      <c r="AE95" s="19">
        <f>IF(OR(LEN(A95)=0,LEN(R95)=0),0,IF(OR(R95="Active",R95="Paid off",R95="Defaulted",R95="Repossessed",R95="Written off",R95="Restructured"),0,1))</f>
        <v/>
      </c>
      <c r="AF95" s="19">
        <f>IF(A95="",0,IF(N(J95)&gt;N(I95),1,0))</f>
        <v/>
      </c>
      <c r="AG95" s="19">
        <f>IF(A95="",0,IF(N(N95)&gt;N(M95)+1,1,0))</f>
        <v/>
      </c>
      <c r="AH95" s="19">
        <f>IF(A95="",0,IF(N(E95)&gt;N(B95),1,0))</f>
        <v/>
      </c>
      <c r="AI95" s="19">
        <f>IF(A95="",0,IF(AND(Z95="Full payment",N(N95)&lt;N(M95)-1),1,0))</f>
        <v/>
      </c>
      <c r="AJ95" s="19">
        <f>IF(A95="",0,IF(N(P95)&lt;0,1,0))</f>
        <v/>
      </c>
      <c r="AK95" s="19">
        <f>IF(A95="",0,IF(COUNTIF($A$7:$A$1006,A95)&gt;1,1,0))</f>
        <v/>
      </c>
    </row>
    <row r="96">
      <c r="A96" s="10" t="n"/>
      <c r="B96" s="17" t="n"/>
      <c r="C96" s="18" t="n"/>
      <c r="D96" s="10" t="n"/>
      <c r="E96" s="17" t="n"/>
      <c r="F96" s="10" t="n"/>
      <c r="G96" s="10" t="n"/>
      <c r="H96" s="10" t="n"/>
      <c r="I96" s="18" t="n"/>
      <c r="J96" s="18" t="n"/>
      <c r="K96" s="18" t="n"/>
      <c r="L96" s="18" t="n"/>
      <c r="M96" s="19">
        <f>IF(K96="","",K96*365/12*L96)</f>
        <v/>
      </c>
      <c r="N96" s="18" t="n"/>
      <c r="O96" s="18" t="n"/>
      <c r="P96" s="18" t="n"/>
      <c r="Q96" s="18" t="n"/>
      <c r="R96" s="10" t="n"/>
      <c r="S96" s="17" t="n"/>
      <c r="T96" s="18" t="n"/>
      <c r="U96" s="17" t="n"/>
      <c r="V96" s="17" t="n"/>
      <c r="W96" s="18" t="n"/>
      <c r="X96" s="18" t="n"/>
      <c r="Y96" s="17" t="n"/>
      <c r="Z96" s="10" t="n"/>
      <c r="AA96" s="10" t="n"/>
      <c r="AB96" s="19">
        <f>IF(LEN(A96)&gt;0,1,0)</f>
        <v/>
      </c>
      <c r="AC96" s="19">
        <f>IF(LEN(A96)=0,0,(LEN(B96)=0)+(LEN(C96)=0)+(LEN(D96)=0)+(LEN(E96)=0)+(LEN(F96)=0)+(LEN(G96)=0)+(LEN(H96)=0)+(LEN(I96)=0)+(LEN(J96)=0)+(LEN(K96)=0)+(LEN(L96)=0)+(LEN(N96)=0)+(LEN(O96)=0)+(LEN(P96)=0)+(LEN(R96)=0)+(LEN(AA96)=0))</f>
        <v/>
      </c>
      <c r="AD96" s="19">
        <f>IF(OR(LEN(A96)=0,LEN(C96)=0),0,IF(OR(C96&lt;1,C96&gt;5),1,0))</f>
        <v/>
      </c>
      <c r="AE96" s="19">
        <f>IF(OR(LEN(A96)=0,LEN(R96)=0),0,IF(OR(R96="Active",R96="Paid off",R96="Defaulted",R96="Repossessed",R96="Written off",R96="Restructured"),0,1))</f>
        <v/>
      </c>
      <c r="AF96" s="19">
        <f>IF(A96="",0,IF(N(J96)&gt;N(I96),1,0))</f>
        <v/>
      </c>
      <c r="AG96" s="19">
        <f>IF(A96="",0,IF(N(N96)&gt;N(M96)+1,1,0))</f>
        <v/>
      </c>
      <c r="AH96" s="19">
        <f>IF(A96="",0,IF(N(E96)&gt;N(B96),1,0))</f>
        <v/>
      </c>
      <c r="AI96" s="19">
        <f>IF(A96="",0,IF(AND(Z96="Full payment",N(N96)&lt;N(M96)-1),1,0))</f>
        <v/>
      </c>
      <c r="AJ96" s="19">
        <f>IF(A96="",0,IF(N(P96)&lt;0,1,0))</f>
        <v/>
      </c>
      <c r="AK96" s="19">
        <f>IF(A96="",0,IF(COUNTIF($A$7:$A$1006,A96)&gt;1,1,0))</f>
        <v/>
      </c>
    </row>
    <row r="97">
      <c r="A97" s="10" t="n"/>
      <c r="B97" s="17" t="n"/>
      <c r="C97" s="18" t="n"/>
      <c r="D97" s="10" t="n"/>
      <c r="E97" s="17" t="n"/>
      <c r="F97" s="10" t="n"/>
      <c r="G97" s="10" t="n"/>
      <c r="H97" s="10" t="n"/>
      <c r="I97" s="18" t="n"/>
      <c r="J97" s="18" t="n"/>
      <c r="K97" s="18" t="n"/>
      <c r="L97" s="18" t="n"/>
      <c r="M97" s="19">
        <f>IF(K97="","",K97*365/12*L97)</f>
        <v/>
      </c>
      <c r="N97" s="18" t="n"/>
      <c r="O97" s="18" t="n"/>
      <c r="P97" s="18" t="n"/>
      <c r="Q97" s="18" t="n"/>
      <c r="R97" s="10" t="n"/>
      <c r="S97" s="17" t="n"/>
      <c r="T97" s="18" t="n"/>
      <c r="U97" s="17" t="n"/>
      <c r="V97" s="17" t="n"/>
      <c r="W97" s="18" t="n"/>
      <c r="X97" s="18" t="n"/>
      <c r="Y97" s="17" t="n"/>
      <c r="Z97" s="10" t="n"/>
      <c r="AA97" s="10" t="n"/>
      <c r="AB97" s="19">
        <f>IF(LEN(A97)&gt;0,1,0)</f>
        <v/>
      </c>
      <c r="AC97" s="19">
        <f>IF(LEN(A97)=0,0,(LEN(B97)=0)+(LEN(C97)=0)+(LEN(D97)=0)+(LEN(E97)=0)+(LEN(F97)=0)+(LEN(G97)=0)+(LEN(H97)=0)+(LEN(I97)=0)+(LEN(J97)=0)+(LEN(K97)=0)+(LEN(L97)=0)+(LEN(N97)=0)+(LEN(O97)=0)+(LEN(P97)=0)+(LEN(R97)=0)+(LEN(AA97)=0))</f>
        <v/>
      </c>
      <c r="AD97" s="19">
        <f>IF(OR(LEN(A97)=0,LEN(C97)=0),0,IF(OR(C97&lt;1,C97&gt;5),1,0))</f>
        <v/>
      </c>
      <c r="AE97" s="19">
        <f>IF(OR(LEN(A97)=0,LEN(R97)=0),0,IF(OR(R97="Active",R97="Paid off",R97="Defaulted",R97="Repossessed",R97="Written off",R97="Restructured"),0,1))</f>
        <v/>
      </c>
      <c r="AF97" s="19">
        <f>IF(A97="",0,IF(N(J97)&gt;N(I97),1,0))</f>
        <v/>
      </c>
      <c r="AG97" s="19">
        <f>IF(A97="",0,IF(N(N97)&gt;N(M97)+1,1,0))</f>
        <v/>
      </c>
      <c r="AH97" s="19">
        <f>IF(A97="",0,IF(N(E97)&gt;N(B97),1,0))</f>
        <v/>
      </c>
      <c r="AI97" s="19">
        <f>IF(A97="",0,IF(AND(Z97="Full payment",N(N97)&lt;N(M97)-1),1,0))</f>
        <v/>
      </c>
      <c r="AJ97" s="19">
        <f>IF(A97="",0,IF(N(P97)&lt;0,1,0))</f>
        <v/>
      </c>
      <c r="AK97" s="19">
        <f>IF(A97="",0,IF(COUNTIF($A$7:$A$1006,A97)&gt;1,1,0))</f>
        <v/>
      </c>
    </row>
    <row r="98">
      <c r="A98" s="10" t="n"/>
      <c r="B98" s="17" t="n"/>
      <c r="C98" s="18" t="n"/>
      <c r="D98" s="10" t="n"/>
      <c r="E98" s="17" t="n"/>
      <c r="F98" s="10" t="n"/>
      <c r="G98" s="10" t="n"/>
      <c r="H98" s="10" t="n"/>
      <c r="I98" s="18" t="n"/>
      <c r="J98" s="18" t="n"/>
      <c r="K98" s="18" t="n"/>
      <c r="L98" s="18" t="n"/>
      <c r="M98" s="19">
        <f>IF(K98="","",K98*365/12*L98)</f>
        <v/>
      </c>
      <c r="N98" s="18" t="n"/>
      <c r="O98" s="18" t="n"/>
      <c r="P98" s="18" t="n"/>
      <c r="Q98" s="18" t="n"/>
      <c r="R98" s="10" t="n"/>
      <c r="S98" s="17" t="n"/>
      <c r="T98" s="18" t="n"/>
      <c r="U98" s="17" t="n"/>
      <c r="V98" s="17" t="n"/>
      <c r="W98" s="18" t="n"/>
      <c r="X98" s="18" t="n"/>
      <c r="Y98" s="17" t="n"/>
      <c r="Z98" s="10" t="n"/>
      <c r="AA98" s="10" t="n"/>
      <c r="AB98" s="19">
        <f>IF(LEN(A98)&gt;0,1,0)</f>
        <v/>
      </c>
      <c r="AC98" s="19">
        <f>IF(LEN(A98)=0,0,(LEN(B98)=0)+(LEN(C98)=0)+(LEN(D98)=0)+(LEN(E98)=0)+(LEN(F98)=0)+(LEN(G98)=0)+(LEN(H98)=0)+(LEN(I98)=0)+(LEN(J98)=0)+(LEN(K98)=0)+(LEN(L98)=0)+(LEN(N98)=0)+(LEN(O98)=0)+(LEN(P98)=0)+(LEN(R98)=0)+(LEN(AA98)=0))</f>
        <v/>
      </c>
      <c r="AD98" s="19">
        <f>IF(OR(LEN(A98)=0,LEN(C98)=0),0,IF(OR(C98&lt;1,C98&gt;5),1,0))</f>
        <v/>
      </c>
      <c r="AE98" s="19">
        <f>IF(OR(LEN(A98)=0,LEN(R98)=0),0,IF(OR(R98="Active",R98="Paid off",R98="Defaulted",R98="Repossessed",R98="Written off",R98="Restructured"),0,1))</f>
        <v/>
      </c>
      <c r="AF98" s="19">
        <f>IF(A98="",0,IF(N(J98)&gt;N(I98),1,0))</f>
        <v/>
      </c>
      <c r="AG98" s="19">
        <f>IF(A98="",0,IF(N(N98)&gt;N(M98)+1,1,0))</f>
        <v/>
      </c>
      <c r="AH98" s="19">
        <f>IF(A98="",0,IF(N(E98)&gt;N(B98),1,0))</f>
        <v/>
      </c>
      <c r="AI98" s="19">
        <f>IF(A98="",0,IF(AND(Z98="Full payment",N(N98)&lt;N(M98)-1),1,0))</f>
        <v/>
      </c>
      <c r="AJ98" s="19">
        <f>IF(A98="",0,IF(N(P98)&lt;0,1,0))</f>
        <v/>
      </c>
      <c r="AK98" s="19">
        <f>IF(A98="",0,IF(COUNTIF($A$7:$A$1006,A98)&gt;1,1,0))</f>
        <v/>
      </c>
    </row>
    <row r="99">
      <c r="A99" s="10" t="n"/>
      <c r="B99" s="17" t="n"/>
      <c r="C99" s="18" t="n"/>
      <c r="D99" s="10" t="n"/>
      <c r="E99" s="17" t="n"/>
      <c r="F99" s="10" t="n"/>
      <c r="G99" s="10" t="n"/>
      <c r="H99" s="10" t="n"/>
      <c r="I99" s="18" t="n"/>
      <c r="J99" s="18" t="n"/>
      <c r="K99" s="18" t="n"/>
      <c r="L99" s="18" t="n"/>
      <c r="M99" s="19">
        <f>IF(K99="","",K99*365/12*L99)</f>
        <v/>
      </c>
      <c r="N99" s="18" t="n"/>
      <c r="O99" s="18" t="n"/>
      <c r="P99" s="18" t="n"/>
      <c r="Q99" s="18" t="n"/>
      <c r="R99" s="10" t="n"/>
      <c r="S99" s="17" t="n"/>
      <c r="T99" s="18" t="n"/>
      <c r="U99" s="17" t="n"/>
      <c r="V99" s="17" t="n"/>
      <c r="W99" s="18" t="n"/>
      <c r="X99" s="18" t="n"/>
      <c r="Y99" s="17" t="n"/>
      <c r="Z99" s="10" t="n"/>
      <c r="AA99" s="10" t="n"/>
      <c r="AB99" s="19">
        <f>IF(LEN(A99)&gt;0,1,0)</f>
        <v/>
      </c>
      <c r="AC99" s="19">
        <f>IF(LEN(A99)=0,0,(LEN(B99)=0)+(LEN(C99)=0)+(LEN(D99)=0)+(LEN(E99)=0)+(LEN(F99)=0)+(LEN(G99)=0)+(LEN(H99)=0)+(LEN(I99)=0)+(LEN(J99)=0)+(LEN(K99)=0)+(LEN(L99)=0)+(LEN(N99)=0)+(LEN(O99)=0)+(LEN(P99)=0)+(LEN(R99)=0)+(LEN(AA99)=0))</f>
        <v/>
      </c>
      <c r="AD99" s="19">
        <f>IF(OR(LEN(A99)=0,LEN(C99)=0),0,IF(OR(C99&lt;1,C99&gt;5),1,0))</f>
        <v/>
      </c>
      <c r="AE99" s="19">
        <f>IF(OR(LEN(A99)=0,LEN(R99)=0),0,IF(OR(R99="Active",R99="Paid off",R99="Defaulted",R99="Repossessed",R99="Written off",R99="Restructured"),0,1))</f>
        <v/>
      </c>
      <c r="AF99" s="19">
        <f>IF(A99="",0,IF(N(J99)&gt;N(I99),1,0))</f>
        <v/>
      </c>
      <c r="AG99" s="19">
        <f>IF(A99="",0,IF(N(N99)&gt;N(M99)+1,1,0))</f>
        <v/>
      </c>
      <c r="AH99" s="19">
        <f>IF(A99="",0,IF(N(E99)&gt;N(B99),1,0))</f>
        <v/>
      </c>
      <c r="AI99" s="19">
        <f>IF(A99="",0,IF(AND(Z99="Full payment",N(N99)&lt;N(M99)-1),1,0))</f>
        <v/>
      </c>
      <c r="AJ99" s="19">
        <f>IF(A99="",0,IF(N(P99)&lt;0,1,0))</f>
        <v/>
      </c>
      <c r="AK99" s="19">
        <f>IF(A99="",0,IF(COUNTIF($A$7:$A$1006,A99)&gt;1,1,0))</f>
        <v/>
      </c>
    </row>
    <row r="100">
      <c r="A100" s="10" t="n"/>
      <c r="B100" s="17" t="n"/>
      <c r="C100" s="18" t="n"/>
      <c r="D100" s="10" t="n"/>
      <c r="E100" s="17" t="n"/>
      <c r="F100" s="10" t="n"/>
      <c r="G100" s="10" t="n"/>
      <c r="H100" s="10" t="n"/>
      <c r="I100" s="18" t="n"/>
      <c r="J100" s="18" t="n"/>
      <c r="K100" s="18" t="n"/>
      <c r="L100" s="18" t="n"/>
      <c r="M100" s="19">
        <f>IF(K100="","",K100*365/12*L100)</f>
        <v/>
      </c>
      <c r="N100" s="18" t="n"/>
      <c r="O100" s="18" t="n"/>
      <c r="P100" s="18" t="n"/>
      <c r="Q100" s="18" t="n"/>
      <c r="R100" s="10" t="n"/>
      <c r="S100" s="17" t="n"/>
      <c r="T100" s="18" t="n"/>
      <c r="U100" s="17" t="n"/>
      <c r="V100" s="17" t="n"/>
      <c r="W100" s="18" t="n"/>
      <c r="X100" s="18" t="n"/>
      <c r="Y100" s="17" t="n"/>
      <c r="Z100" s="10" t="n"/>
      <c r="AA100" s="10" t="n"/>
      <c r="AB100" s="19">
        <f>IF(LEN(A100)&gt;0,1,0)</f>
        <v/>
      </c>
      <c r="AC100" s="19">
        <f>IF(LEN(A100)=0,0,(LEN(B100)=0)+(LEN(C100)=0)+(LEN(D100)=0)+(LEN(E100)=0)+(LEN(F100)=0)+(LEN(G100)=0)+(LEN(H100)=0)+(LEN(I100)=0)+(LEN(J100)=0)+(LEN(K100)=0)+(LEN(L100)=0)+(LEN(N100)=0)+(LEN(O100)=0)+(LEN(P100)=0)+(LEN(R100)=0)+(LEN(AA100)=0))</f>
        <v/>
      </c>
      <c r="AD100" s="19">
        <f>IF(OR(LEN(A100)=0,LEN(C100)=0),0,IF(OR(C100&lt;1,C100&gt;5),1,0))</f>
        <v/>
      </c>
      <c r="AE100" s="19">
        <f>IF(OR(LEN(A100)=0,LEN(R100)=0),0,IF(OR(R100="Active",R100="Paid off",R100="Defaulted",R100="Repossessed",R100="Written off",R100="Restructured"),0,1))</f>
        <v/>
      </c>
      <c r="AF100" s="19">
        <f>IF(A100="",0,IF(N(J100)&gt;N(I100),1,0))</f>
        <v/>
      </c>
      <c r="AG100" s="19">
        <f>IF(A100="",0,IF(N(N100)&gt;N(M100)+1,1,0))</f>
        <v/>
      </c>
      <c r="AH100" s="19">
        <f>IF(A100="",0,IF(N(E100)&gt;N(B100),1,0))</f>
        <v/>
      </c>
      <c r="AI100" s="19">
        <f>IF(A100="",0,IF(AND(Z100="Full payment",N(N100)&lt;N(M100)-1),1,0))</f>
        <v/>
      </c>
      <c r="AJ100" s="19">
        <f>IF(A100="",0,IF(N(P100)&lt;0,1,0))</f>
        <v/>
      </c>
      <c r="AK100" s="19">
        <f>IF(A100="",0,IF(COUNTIF($A$7:$A$1006,A100)&gt;1,1,0))</f>
        <v/>
      </c>
    </row>
    <row r="101">
      <c r="A101" s="10" t="n"/>
      <c r="B101" s="17" t="n"/>
      <c r="C101" s="18" t="n"/>
      <c r="D101" s="10" t="n"/>
      <c r="E101" s="17" t="n"/>
      <c r="F101" s="10" t="n"/>
      <c r="G101" s="10" t="n"/>
      <c r="H101" s="10" t="n"/>
      <c r="I101" s="18" t="n"/>
      <c r="J101" s="18" t="n"/>
      <c r="K101" s="18" t="n"/>
      <c r="L101" s="18" t="n"/>
      <c r="M101" s="19">
        <f>IF(K101="","",K101*365/12*L101)</f>
        <v/>
      </c>
      <c r="N101" s="18" t="n"/>
      <c r="O101" s="18" t="n"/>
      <c r="P101" s="18" t="n"/>
      <c r="Q101" s="18" t="n"/>
      <c r="R101" s="10" t="n"/>
      <c r="S101" s="17" t="n"/>
      <c r="T101" s="18" t="n"/>
      <c r="U101" s="17" t="n"/>
      <c r="V101" s="17" t="n"/>
      <c r="W101" s="18" t="n"/>
      <c r="X101" s="18" t="n"/>
      <c r="Y101" s="17" t="n"/>
      <c r="Z101" s="10" t="n"/>
      <c r="AA101" s="10" t="n"/>
      <c r="AB101" s="19">
        <f>IF(LEN(A101)&gt;0,1,0)</f>
        <v/>
      </c>
      <c r="AC101" s="19">
        <f>IF(LEN(A101)=0,0,(LEN(B101)=0)+(LEN(C101)=0)+(LEN(D101)=0)+(LEN(E101)=0)+(LEN(F101)=0)+(LEN(G101)=0)+(LEN(H101)=0)+(LEN(I101)=0)+(LEN(J101)=0)+(LEN(K101)=0)+(LEN(L101)=0)+(LEN(N101)=0)+(LEN(O101)=0)+(LEN(P101)=0)+(LEN(R101)=0)+(LEN(AA101)=0))</f>
        <v/>
      </c>
      <c r="AD101" s="19">
        <f>IF(OR(LEN(A101)=0,LEN(C101)=0),0,IF(OR(C101&lt;1,C101&gt;5),1,0))</f>
        <v/>
      </c>
      <c r="AE101" s="19">
        <f>IF(OR(LEN(A101)=0,LEN(R101)=0),0,IF(OR(R101="Active",R101="Paid off",R101="Defaulted",R101="Repossessed",R101="Written off",R101="Restructured"),0,1))</f>
        <v/>
      </c>
      <c r="AF101" s="19">
        <f>IF(A101="",0,IF(N(J101)&gt;N(I101),1,0))</f>
        <v/>
      </c>
      <c r="AG101" s="19">
        <f>IF(A101="",0,IF(N(N101)&gt;N(M101)+1,1,0))</f>
        <v/>
      </c>
      <c r="AH101" s="19">
        <f>IF(A101="",0,IF(N(E101)&gt;N(B101),1,0))</f>
        <v/>
      </c>
      <c r="AI101" s="19">
        <f>IF(A101="",0,IF(AND(Z101="Full payment",N(N101)&lt;N(M101)-1),1,0))</f>
        <v/>
      </c>
      <c r="AJ101" s="19">
        <f>IF(A101="",0,IF(N(P101)&lt;0,1,0))</f>
        <v/>
      </c>
      <c r="AK101" s="19">
        <f>IF(A101="",0,IF(COUNTIF($A$7:$A$1006,A101)&gt;1,1,0))</f>
        <v/>
      </c>
    </row>
    <row r="102">
      <c r="A102" s="10" t="n"/>
      <c r="B102" s="17" t="n"/>
      <c r="C102" s="18" t="n"/>
      <c r="D102" s="10" t="n"/>
      <c r="E102" s="17" t="n"/>
      <c r="F102" s="10" t="n"/>
      <c r="G102" s="10" t="n"/>
      <c r="H102" s="10" t="n"/>
      <c r="I102" s="18" t="n"/>
      <c r="J102" s="18" t="n"/>
      <c r="K102" s="18" t="n"/>
      <c r="L102" s="18" t="n"/>
      <c r="M102" s="19">
        <f>IF(K102="","",K102*365/12*L102)</f>
        <v/>
      </c>
      <c r="N102" s="18" t="n"/>
      <c r="O102" s="18" t="n"/>
      <c r="P102" s="18" t="n"/>
      <c r="Q102" s="18" t="n"/>
      <c r="R102" s="10" t="n"/>
      <c r="S102" s="17" t="n"/>
      <c r="T102" s="18" t="n"/>
      <c r="U102" s="17" t="n"/>
      <c r="V102" s="17" t="n"/>
      <c r="W102" s="18" t="n"/>
      <c r="X102" s="18" t="n"/>
      <c r="Y102" s="17" t="n"/>
      <c r="Z102" s="10" t="n"/>
      <c r="AA102" s="10" t="n"/>
      <c r="AB102" s="19">
        <f>IF(LEN(A102)&gt;0,1,0)</f>
        <v/>
      </c>
      <c r="AC102" s="19">
        <f>IF(LEN(A102)=0,0,(LEN(B102)=0)+(LEN(C102)=0)+(LEN(D102)=0)+(LEN(E102)=0)+(LEN(F102)=0)+(LEN(G102)=0)+(LEN(H102)=0)+(LEN(I102)=0)+(LEN(J102)=0)+(LEN(K102)=0)+(LEN(L102)=0)+(LEN(N102)=0)+(LEN(O102)=0)+(LEN(P102)=0)+(LEN(R102)=0)+(LEN(AA102)=0))</f>
        <v/>
      </c>
      <c r="AD102" s="19">
        <f>IF(OR(LEN(A102)=0,LEN(C102)=0),0,IF(OR(C102&lt;1,C102&gt;5),1,0))</f>
        <v/>
      </c>
      <c r="AE102" s="19">
        <f>IF(OR(LEN(A102)=0,LEN(R102)=0),0,IF(OR(R102="Active",R102="Paid off",R102="Defaulted",R102="Repossessed",R102="Written off",R102="Restructured"),0,1))</f>
        <v/>
      </c>
      <c r="AF102" s="19">
        <f>IF(A102="",0,IF(N(J102)&gt;N(I102),1,0))</f>
        <v/>
      </c>
      <c r="AG102" s="19">
        <f>IF(A102="",0,IF(N(N102)&gt;N(M102)+1,1,0))</f>
        <v/>
      </c>
      <c r="AH102" s="19">
        <f>IF(A102="",0,IF(N(E102)&gt;N(B102),1,0))</f>
        <v/>
      </c>
      <c r="AI102" s="19">
        <f>IF(A102="",0,IF(AND(Z102="Full payment",N(N102)&lt;N(M102)-1),1,0))</f>
        <v/>
      </c>
      <c r="AJ102" s="19">
        <f>IF(A102="",0,IF(N(P102)&lt;0,1,0))</f>
        <v/>
      </c>
      <c r="AK102" s="19">
        <f>IF(A102="",0,IF(COUNTIF($A$7:$A$1006,A102)&gt;1,1,0))</f>
        <v/>
      </c>
    </row>
    <row r="103">
      <c r="A103" s="10" t="n"/>
      <c r="B103" s="17" t="n"/>
      <c r="C103" s="18" t="n"/>
      <c r="D103" s="10" t="n"/>
      <c r="E103" s="17" t="n"/>
      <c r="F103" s="10" t="n"/>
      <c r="G103" s="10" t="n"/>
      <c r="H103" s="10" t="n"/>
      <c r="I103" s="18" t="n"/>
      <c r="J103" s="18" t="n"/>
      <c r="K103" s="18" t="n"/>
      <c r="L103" s="18" t="n"/>
      <c r="M103" s="19">
        <f>IF(K103="","",K103*365/12*L103)</f>
        <v/>
      </c>
      <c r="N103" s="18" t="n"/>
      <c r="O103" s="18" t="n"/>
      <c r="P103" s="18" t="n"/>
      <c r="Q103" s="18" t="n"/>
      <c r="R103" s="10" t="n"/>
      <c r="S103" s="17" t="n"/>
      <c r="T103" s="18" t="n"/>
      <c r="U103" s="17" t="n"/>
      <c r="V103" s="17" t="n"/>
      <c r="W103" s="18" t="n"/>
      <c r="X103" s="18" t="n"/>
      <c r="Y103" s="17" t="n"/>
      <c r="Z103" s="10" t="n"/>
      <c r="AA103" s="10" t="n"/>
      <c r="AB103" s="19">
        <f>IF(LEN(A103)&gt;0,1,0)</f>
        <v/>
      </c>
      <c r="AC103" s="19">
        <f>IF(LEN(A103)=0,0,(LEN(B103)=0)+(LEN(C103)=0)+(LEN(D103)=0)+(LEN(E103)=0)+(LEN(F103)=0)+(LEN(G103)=0)+(LEN(H103)=0)+(LEN(I103)=0)+(LEN(J103)=0)+(LEN(K103)=0)+(LEN(L103)=0)+(LEN(N103)=0)+(LEN(O103)=0)+(LEN(P103)=0)+(LEN(R103)=0)+(LEN(AA103)=0))</f>
        <v/>
      </c>
      <c r="AD103" s="19">
        <f>IF(OR(LEN(A103)=0,LEN(C103)=0),0,IF(OR(C103&lt;1,C103&gt;5),1,0))</f>
        <v/>
      </c>
      <c r="AE103" s="19">
        <f>IF(OR(LEN(A103)=0,LEN(R103)=0),0,IF(OR(R103="Active",R103="Paid off",R103="Defaulted",R103="Repossessed",R103="Written off",R103="Restructured"),0,1))</f>
        <v/>
      </c>
      <c r="AF103" s="19">
        <f>IF(A103="",0,IF(N(J103)&gt;N(I103),1,0))</f>
        <v/>
      </c>
      <c r="AG103" s="19">
        <f>IF(A103="",0,IF(N(N103)&gt;N(M103)+1,1,0))</f>
        <v/>
      </c>
      <c r="AH103" s="19">
        <f>IF(A103="",0,IF(N(E103)&gt;N(B103),1,0))</f>
        <v/>
      </c>
      <c r="AI103" s="19">
        <f>IF(A103="",0,IF(AND(Z103="Full payment",N(N103)&lt;N(M103)-1),1,0))</f>
        <v/>
      </c>
      <c r="AJ103" s="19">
        <f>IF(A103="",0,IF(N(P103)&lt;0,1,0))</f>
        <v/>
      </c>
      <c r="AK103" s="19">
        <f>IF(A103="",0,IF(COUNTIF($A$7:$A$1006,A103)&gt;1,1,0))</f>
        <v/>
      </c>
    </row>
    <row r="104">
      <c r="A104" s="10" t="n"/>
      <c r="B104" s="17" t="n"/>
      <c r="C104" s="18" t="n"/>
      <c r="D104" s="10" t="n"/>
      <c r="E104" s="17" t="n"/>
      <c r="F104" s="10" t="n"/>
      <c r="G104" s="10" t="n"/>
      <c r="H104" s="10" t="n"/>
      <c r="I104" s="18" t="n"/>
      <c r="J104" s="18" t="n"/>
      <c r="K104" s="18" t="n"/>
      <c r="L104" s="18" t="n"/>
      <c r="M104" s="19">
        <f>IF(K104="","",K104*365/12*L104)</f>
        <v/>
      </c>
      <c r="N104" s="18" t="n"/>
      <c r="O104" s="18" t="n"/>
      <c r="P104" s="18" t="n"/>
      <c r="Q104" s="18" t="n"/>
      <c r="R104" s="10" t="n"/>
      <c r="S104" s="17" t="n"/>
      <c r="T104" s="18" t="n"/>
      <c r="U104" s="17" t="n"/>
      <c r="V104" s="17" t="n"/>
      <c r="W104" s="18" t="n"/>
      <c r="X104" s="18" t="n"/>
      <c r="Y104" s="17" t="n"/>
      <c r="Z104" s="10" t="n"/>
      <c r="AA104" s="10" t="n"/>
      <c r="AB104" s="19">
        <f>IF(LEN(A104)&gt;0,1,0)</f>
        <v/>
      </c>
      <c r="AC104" s="19">
        <f>IF(LEN(A104)=0,0,(LEN(B104)=0)+(LEN(C104)=0)+(LEN(D104)=0)+(LEN(E104)=0)+(LEN(F104)=0)+(LEN(G104)=0)+(LEN(H104)=0)+(LEN(I104)=0)+(LEN(J104)=0)+(LEN(K104)=0)+(LEN(L104)=0)+(LEN(N104)=0)+(LEN(O104)=0)+(LEN(P104)=0)+(LEN(R104)=0)+(LEN(AA104)=0))</f>
        <v/>
      </c>
      <c r="AD104" s="19">
        <f>IF(OR(LEN(A104)=0,LEN(C104)=0),0,IF(OR(C104&lt;1,C104&gt;5),1,0))</f>
        <v/>
      </c>
      <c r="AE104" s="19">
        <f>IF(OR(LEN(A104)=0,LEN(R104)=0),0,IF(OR(R104="Active",R104="Paid off",R104="Defaulted",R104="Repossessed",R104="Written off",R104="Restructured"),0,1))</f>
        <v/>
      </c>
      <c r="AF104" s="19">
        <f>IF(A104="",0,IF(N(J104)&gt;N(I104),1,0))</f>
        <v/>
      </c>
      <c r="AG104" s="19">
        <f>IF(A104="",0,IF(N(N104)&gt;N(M104)+1,1,0))</f>
        <v/>
      </c>
      <c r="AH104" s="19">
        <f>IF(A104="",0,IF(N(E104)&gt;N(B104),1,0))</f>
        <v/>
      </c>
      <c r="AI104" s="19">
        <f>IF(A104="",0,IF(AND(Z104="Full payment",N(N104)&lt;N(M104)-1),1,0))</f>
        <v/>
      </c>
      <c r="AJ104" s="19">
        <f>IF(A104="",0,IF(N(P104)&lt;0,1,0))</f>
        <v/>
      </c>
      <c r="AK104" s="19">
        <f>IF(A104="",0,IF(COUNTIF($A$7:$A$1006,A104)&gt;1,1,0))</f>
        <v/>
      </c>
    </row>
    <row r="105">
      <c r="A105" s="10" t="n"/>
      <c r="B105" s="17" t="n"/>
      <c r="C105" s="18" t="n"/>
      <c r="D105" s="10" t="n"/>
      <c r="E105" s="17" t="n"/>
      <c r="F105" s="10" t="n"/>
      <c r="G105" s="10" t="n"/>
      <c r="H105" s="10" t="n"/>
      <c r="I105" s="18" t="n"/>
      <c r="J105" s="18" t="n"/>
      <c r="K105" s="18" t="n"/>
      <c r="L105" s="18" t="n"/>
      <c r="M105" s="19">
        <f>IF(K105="","",K105*365/12*L105)</f>
        <v/>
      </c>
      <c r="N105" s="18" t="n"/>
      <c r="O105" s="18" t="n"/>
      <c r="P105" s="18" t="n"/>
      <c r="Q105" s="18" t="n"/>
      <c r="R105" s="10" t="n"/>
      <c r="S105" s="17" t="n"/>
      <c r="T105" s="18" t="n"/>
      <c r="U105" s="17" t="n"/>
      <c r="V105" s="17" t="n"/>
      <c r="W105" s="18" t="n"/>
      <c r="X105" s="18" t="n"/>
      <c r="Y105" s="17" t="n"/>
      <c r="Z105" s="10" t="n"/>
      <c r="AA105" s="10" t="n"/>
      <c r="AB105" s="19">
        <f>IF(LEN(A105)&gt;0,1,0)</f>
        <v/>
      </c>
      <c r="AC105" s="19">
        <f>IF(LEN(A105)=0,0,(LEN(B105)=0)+(LEN(C105)=0)+(LEN(D105)=0)+(LEN(E105)=0)+(LEN(F105)=0)+(LEN(G105)=0)+(LEN(H105)=0)+(LEN(I105)=0)+(LEN(J105)=0)+(LEN(K105)=0)+(LEN(L105)=0)+(LEN(N105)=0)+(LEN(O105)=0)+(LEN(P105)=0)+(LEN(R105)=0)+(LEN(AA105)=0))</f>
        <v/>
      </c>
      <c r="AD105" s="19">
        <f>IF(OR(LEN(A105)=0,LEN(C105)=0),0,IF(OR(C105&lt;1,C105&gt;5),1,0))</f>
        <v/>
      </c>
      <c r="AE105" s="19">
        <f>IF(OR(LEN(A105)=0,LEN(R105)=0),0,IF(OR(R105="Active",R105="Paid off",R105="Defaulted",R105="Repossessed",R105="Written off",R105="Restructured"),0,1))</f>
        <v/>
      </c>
      <c r="AF105" s="19">
        <f>IF(A105="",0,IF(N(J105)&gt;N(I105),1,0))</f>
        <v/>
      </c>
      <c r="AG105" s="19">
        <f>IF(A105="",0,IF(N(N105)&gt;N(M105)+1,1,0))</f>
        <v/>
      </c>
      <c r="AH105" s="19">
        <f>IF(A105="",0,IF(N(E105)&gt;N(B105),1,0))</f>
        <v/>
      </c>
      <c r="AI105" s="19">
        <f>IF(A105="",0,IF(AND(Z105="Full payment",N(N105)&lt;N(M105)-1),1,0))</f>
        <v/>
      </c>
      <c r="AJ105" s="19">
        <f>IF(A105="",0,IF(N(P105)&lt;0,1,0))</f>
        <v/>
      </c>
      <c r="AK105" s="19">
        <f>IF(A105="",0,IF(COUNTIF($A$7:$A$1006,A105)&gt;1,1,0))</f>
        <v/>
      </c>
    </row>
    <row r="106">
      <c r="A106" s="10" t="n"/>
      <c r="B106" s="17" t="n"/>
      <c r="C106" s="18" t="n"/>
      <c r="D106" s="10" t="n"/>
      <c r="E106" s="17" t="n"/>
      <c r="F106" s="10" t="n"/>
      <c r="G106" s="10" t="n"/>
      <c r="H106" s="10" t="n"/>
      <c r="I106" s="18" t="n"/>
      <c r="J106" s="18" t="n"/>
      <c r="K106" s="18" t="n"/>
      <c r="L106" s="18" t="n"/>
      <c r="M106" s="19">
        <f>IF(K106="","",K106*365/12*L106)</f>
        <v/>
      </c>
      <c r="N106" s="18" t="n"/>
      <c r="O106" s="18" t="n"/>
      <c r="P106" s="18" t="n"/>
      <c r="Q106" s="18" t="n"/>
      <c r="R106" s="10" t="n"/>
      <c r="S106" s="17" t="n"/>
      <c r="T106" s="18" t="n"/>
      <c r="U106" s="17" t="n"/>
      <c r="V106" s="17" t="n"/>
      <c r="W106" s="18" t="n"/>
      <c r="X106" s="18" t="n"/>
      <c r="Y106" s="17" t="n"/>
      <c r="Z106" s="10" t="n"/>
      <c r="AA106" s="10" t="n"/>
      <c r="AB106" s="19">
        <f>IF(LEN(A106)&gt;0,1,0)</f>
        <v/>
      </c>
      <c r="AC106" s="19">
        <f>IF(LEN(A106)=0,0,(LEN(B106)=0)+(LEN(C106)=0)+(LEN(D106)=0)+(LEN(E106)=0)+(LEN(F106)=0)+(LEN(G106)=0)+(LEN(H106)=0)+(LEN(I106)=0)+(LEN(J106)=0)+(LEN(K106)=0)+(LEN(L106)=0)+(LEN(N106)=0)+(LEN(O106)=0)+(LEN(P106)=0)+(LEN(R106)=0)+(LEN(AA106)=0))</f>
        <v/>
      </c>
      <c r="AD106" s="19">
        <f>IF(OR(LEN(A106)=0,LEN(C106)=0),0,IF(OR(C106&lt;1,C106&gt;5),1,0))</f>
        <v/>
      </c>
      <c r="AE106" s="19">
        <f>IF(OR(LEN(A106)=0,LEN(R106)=0),0,IF(OR(R106="Active",R106="Paid off",R106="Defaulted",R106="Repossessed",R106="Written off",R106="Restructured"),0,1))</f>
        <v/>
      </c>
      <c r="AF106" s="19">
        <f>IF(A106="",0,IF(N(J106)&gt;N(I106),1,0))</f>
        <v/>
      </c>
      <c r="AG106" s="19">
        <f>IF(A106="",0,IF(N(N106)&gt;N(M106)+1,1,0))</f>
        <v/>
      </c>
      <c r="AH106" s="19">
        <f>IF(A106="",0,IF(N(E106)&gt;N(B106),1,0))</f>
        <v/>
      </c>
      <c r="AI106" s="19">
        <f>IF(A106="",0,IF(AND(Z106="Full payment",N(N106)&lt;N(M106)-1),1,0))</f>
        <v/>
      </c>
      <c r="AJ106" s="19">
        <f>IF(A106="",0,IF(N(P106)&lt;0,1,0))</f>
        <v/>
      </c>
      <c r="AK106" s="19">
        <f>IF(A106="",0,IF(COUNTIF($A$7:$A$1006,A106)&gt;1,1,0))</f>
        <v/>
      </c>
    </row>
    <row r="107">
      <c r="A107" s="10" t="n"/>
      <c r="B107" s="17" t="n"/>
      <c r="C107" s="18" t="n"/>
      <c r="D107" s="10" t="n"/>
      <c r="E107" s="17" t="n"/>
      <c r="F107" s="10" t="n"/>
      <c r="G107" s="10" t="n"/>
      <c r="H107" s="10" t="n"/>
      <c r="I107" s="18" t="n"/>
      <c r="J107" s="18" t="n"/>
      <c r="K107" s="18" t="n"/>
      <c r="L107" s="18" t="n"/>
      <c r="M107" s="19">
        <f>IF(K107="","",K107*365/12*L107)</f>
        <v/>
      </c>
      <c r="N107" s="18" t="n"/>
      <c r="O107" s="18" t="n"/>
      <c r="P107" s="18" t="n"/>
      <c r="Q107" s="18" t="n"/>
      <c r="R107" s="10" t="n"/>
      <c r="S107" s="17" t="n"/>
      <c r="T107" s="18" t="n"/>
      <c r="U107" s="17" t="n"/>
      <c r="V107" s="17" t="n"/>
      <c r="W107" s="18" t="n"/>
      <c r="X107" s="18" t="n"/>
      <c r="Y107" s="17" t="n"/>
      <c r="Z107" s="10" t="n"/>
      <c r="AA107" s="10" t="n"/>
      <c r="AB107" s="19">
        <f>IF(LEN(A107)&gt;0,1,0)</f>
        <v/>
      </c>
      <c r="AC107" s="19">
        <f>IF(LEN(A107)=0,0,(LEN(B107)=0)+(LEN(C107)=0)+(LEN(D107)=0)+(LEN(E107)=0)+(LEN(F107)=0)+(LEN(G107)=0)+(LEN(H107)=0)+(LEN(I107)=0)+(LEN(J107)=0)+(LEN(K107)=0)+(LEN(L107)=0)+(LEN(N107)=0)+(LEN(O107)=0)+(LEN(P107)=0)+(LEN(R107)=0)+(LEN(AA107)=0))</f>
        <v/>
      </c>
      <c r="AD107" s="19">
        <f>IF(OR(LEN(A107)=0,LEN(C107)=0),0,IF(OR(C107&lt;1,C107&gt;5),1,0))</f>
        <v/>
      </c>
      <c r="AE107" s="19">
        <f>IF(OR(LEN(A107)=0,LEN(R107)=0),0,IF(OR(R107="Active",R107="Paid off",R107="Defaulted",R107="Repossessed",R107="Written off",R107="Restructured"),0,1))</f>
        <v/>
      </c>
      <c r="AF107" s="19">
        <f>IF(A107="",0,IF(N(J107)&gt;N(I107),1,0))</f>
        <v/>
      </c>
      <c r="AG107" s="19">
        <f>IF(A107="",0,IF(N(N107)&gt;N(M107)+1,1,0))</f>
        <v/>
      </c>
      <c r="AH107" s="19">
        <f>IF(A107="",0,IF(N(E107)&gt;N(B107),1,0))</f>
        <v/>
      </c>
      <c r="AI107" s="19">
        <f>IF(A107="",0,IF(AND(Z107="Full payment",N(N107)&lt;N(M107)-1),1,0))</f>
        <v/>
      </c>
      <c r="AJ107" s="19">
        <f>IF(A107="",0,IF(N(P107)&lt;0,1,0))</f>
        <v/>
      </c>
      <c r="AK107" s="19">
        <f>IF(A107="",0,IF(COUNTIF($A$7:$A$1006,A107)&gt;1,1,0))</f>
        <v/>
      </c>
    </row>
    <row r="108">
      <c r="A108" s="10" t="n"/>
      <c r="B108" s="17" t="n"/>
      <c r="C108" s="18" t="n"/>
      <c r="D108" s="10" t="n"/>
      <c r="E108" s="17" t="n"/>
      <c r="F108" s="10" t="n"/>
      <c r="G108" s="10" t="n"/>
      <c r="H108" s="10" t="n"/>
      <c r="I108" s="18" t="n"/>
      <c r="J108" s="18" t="n"/>
      <c r="K108" s="18" t="n"/>
      <c r="L108" s="18" t="n"/>
      <c r="M108" s="19">
        <f>IF(K108="","",K108*365/12*L108)</f>
        <v/>
      </c>
      <c r="N108" s="18" t="n"/>
      <c r="O108" s="18" t="n"/>
      <c r="P108" s="18" t="n"/>
      <c r="Q108" s="18" t="n"/>
      <c r="R108" s="10" t="n"/>
      <c r="S108" s="17" t="n"/>
      <c r="T108" s="18" t="n"/>
      <c r="U108" s="17" t="n"/>
      <c r="V108" s="17" t="n"/>
      <c r="W108" s="18" t="n"/>
      <c r="X108" s="18" t="n"/>
      <c r="Y108" s="17" t="n"/>
      <c r="Z108" s="10" t="n"/>
      <c r="AA108" s="10" t="n"/>
      <c r="AB108" s="19">
        <f>IF(LEN(A108)&gt;0,1,0)</f>
        <v/>
      </c>
      <c r="AC108" s="19">
        <f>IF(LEN(A108)=0,0,(LEN(B108)=0)+(LEN(C108)=0)+(LEN(D108)=0)+(LEN(E108)=0)+(LEN(F108)=0)+(LEN(G108)=0)+(LEN(H108)=0)+(LEN(I108)=0)+(LEN(J108)=0)+(LEN(K108)=0)+(LEN(L108)=0)+(LEN(N108)=0)+(LEN(O108)=0)+(LEN(P108)=0)+(LEN(R108)=0)+(LEN(AA108)=0))</f>
        <v/>
      </c>
      <c r="AD108" s="19">
        <f>IF(OR(LEN(A108)=0,LEN(C108)=0),0,IF(OR(C108&lt;1,C108&gt;5),1,0))</f>
        <v/>
      </c>
      <c r="AE108" s="19">
        <f>IF(OR(LEN(A108)=0,LEN(R108)=0),0,IF(OR(R108="Active",R108="Paid off",R108="Defaulted",R108="Repossessed",R108="Written off",R108="Restructured"),0,1))</f>
        <v/>
      </c>
      <c r="AF108" s="19">
        <f>IF(A108="",0,IF(N(J108)&gt;N(I108),1,0))</f>
        <v/>
      </c>
      <c r="AG108" s="19">
        <f>IF(A108="",0,IF(N(N108)&gt;N(M108)+1,1,0))</f>
        <v/>
      </c>
      <c r="AH108" s="19">
        <f>IF(A108="",0,IF(N(E108)&gt;N(B108),1,0))</f>
        <v/>
      </c>
      <c r="AI108" s="19">
        <f>IF(A108="",0,IF(AND(Z108="Full payment",N(N108)&lt;N(M108)-1),1,0))</f>
        <v/>
      </c>
      <c r="AJ108" s="19">
        <f>IF(A108="",0,IF(N(P108)&lt;0,1,0))</f>
        <v/>
      </c>
      <c r="AK108" s="19">
        <f>IF(A108="",0,IF(COUNTIF($A$7:$A$1006,A108)&gt;1,1,0))</f>
        <v/>
      </c>
    </row>
    <row r="109">
      <c r="A109" s="10" t="n"/>
      <c r="B109" s="17" t="n"/>
      <c r="C109" s="18" t="n"/>
      <c r="D109" s="10" t="n"/>
      <c r="E109" s="17" t="n"/>
      <c r="F109" s="10" t="n"/>
      <c r="G109" s="10" t="n"/>
      <c r="H109" s="10" t="n"/>
      <c r="I109" s="18" t="n"/>
      <c r="J109" s="18" t="n"/>
      <c r="K109" s="18" t="n"/>
      <c r="L109" s="18" t="n"/>
      <c r="M109" s="19">
        <f>IF(K109="","",K109*365/12*L109)</f>
        <v/>
      </c>
      <c r="N109" s="18" t="n"/>
      <c r="O109" s="18" t="n"/>
      <c r="P109" s="18" t="n"/>
      <c r="Q109" s="18" t="n"/>
      <c r="R109" s="10" t="n"/>
      <c r="S109" s="17" t="n"/>
      <c r="T109" s="18" t="n"/>
      <c r="U109" s="17" t="n"/>
      <c r="V109" s="17" t="n"/>
      <c r="W109" s="18" t="n"/>
      <c r="X109" s="18" t="n"/>
      <c r="Y109" s="17" t="n"/>
      <c r="Z109" s="10" t="n"/>
      <c r="AA109" s="10" t="n"/>
      <c r="AB109" s="19">
        <f>IF(LEN(A109)&gt;0,1,0)</f>
        <v/>
      </c>
      <c r="AC109" s="19">
        <f>IF(LEN(A109)=0,0,(LEN(B109)=0)+(LEN(C109)=0)+(LEN(D109)=0)+(LEN(E109)=0)+(LEN(F109)=0)+(LEN(G109)=0)+(LEN(H109)=0)+(LEN(I109)=0)+(LEN(J109)=0)+(LEN(K109)=0)+(LEN(L109)=0)+(LEN(N109)=0)+(LEN(O109)=0)+(LEN(P109)=0)+(LEN(R109)=0)+(LEN(AA109)=0))</f>
        <v/>
      </c>
      <c r="AD109" s="19">
        <f>IF(OR(LEN(A109)=0,LEN(C109)=0),0,IF(OR(C109&lt;1,C109&gt;5),1,0))</f>
        <v/>
      </c>
      <c r="AE109" s="19">
        <f>IF(OR(LEN(A109)=0,LEN(R109)=0),0,IF(OR(R109="Active",R109="Paid off",R109="Defaulted",R109="Repossessed",R109="Written off",R109="Restructured"),0,1))</f>
        <v/>
      </c>
      <c r="AF109" s="19">
        <f>IF(A109="",0,IF(N(J109)&gt;N(I109),1,0))</f>
        <v/>
      </c>
      <c r="AG109" s="19">
        <f>IF(A109="",0,IF(N(N109)&gt;N(M109)+1,1,0))</f>
        <v/>
      </c>
      <c r="AH109" s="19">
        <f>IF(A109="",0,IF(N(E109)&gt;N(B109),1,0))</f>
        <v/>
      </c>
      <c r="AI109" s="19">
        <f>IF(A109="",0,IF(AND(Z109="Full payment",N(N109)&lt;N(M109)-1),1,0))</f>
        <v/>
      </c>
      <c r="AJ109" s="19">
        <f>IF(A109="",0,IF(N(P109)&lt;0,1,0))</f>
        <v/>
      </c>
      <c r="AK109" s="19">
        <f>IF(A109="",0,IF(COUNTIF($A$7:$A$1006,A109)&gt;1,1,0))</f>
        <v/>
      </c>
    </row>
    <row r="110">
      <c r="A110" s="10" t="n"/>
      <c r="B110" s="17" t="n"/>
      <c r="C110" s="18" t="n"/>
      <c r="D110" s="10" t="n"/>
      <c r="E110" s="17" t="n"/>
      <c r="F110" s="10" t="n"/>
      <c r="G110" s="10" t="n"/>
      <c r="H110" s="10" t="n"/>
      <c r="I110" s="18" t="n"/>
      <c r="J110" s="18" t="n"/>
      <c r="K110" s="18" t="n"/>
      <c r="L110" s="18" t="n"/>
      <c r="M110" s="19">
        <f>IF(K110="","",K110*365/12*L110)</f>
        <v/>
      </c>
      <c r="N110" s="18" t="n"/>
      <c r="O110" s="18" t="n"/>
      <c r="P110" s="18" t="n"/>
      <c r="Q110" s="18" t="n"/>
      <c r="R110" s="10" t="n"/>
      <c r="S110" s="17" t="n"/>
      <c r="T110" s="18" t="n"/>
      <c r="U110" s="17" t="n"/>
      <c r="V110" s="17" t="n"/>
      <c r="W110" s="18" t="n"/>
      <c r="X110" s="18" t="n"/>
      <c r="Y110" s="17" t="n"/>
      <c r="Z110" s="10" t="n"/>
      <c r="AA110" s="10" t="n"/>
      <c r="AB110" s="19">
        <f>IF(LEN(A110)&gt;0,1,0)</f>
        <v/>
      </c>
      <c r="AC110" s="19">
        <f>IF(LEN(A110)=0,0,(LEN(B110)=0)+(LEN(C110)=0)+(LEN(D110)=0)+(LEN(E110)=0)+(LEN(F110)=0)+(LEN(G110)=0)+(LEN(H110)=0)+(LEN(I110)=0)+(LEN(J110)=0)+(LEN(K110)=0)+(LEN(L110)=0)+(LEN(N110)=0)+(LEN(O110)=0)+(LEN(P110)=0)+(LEN(R110)=0)+(LEN(AA110)=0))</f>
        <v/>
      </c>
      <c r="AD110" s="19">
        <f>IF(OR(LEN(A110)=0,LEN(C110)=0),0,IF(OR(C110&lt;1,C110&gt;5),1,0))</f>
        <v/>
      </c>
      <c r="AE110" s="19">
        <f>IF(OR(LEN(A110)=0,LEN(R110)=0),0,IF(OR(R110="Active",R110="Paid off",R110="Defaulted",R110="Repossessed",R110="Written off",R110="Restructured"),0,1))</f>
        <v/>
      </c>
      <c r="AF110" s="19">
        <f>IF(A110="",0,IF(N(J110)&gt;N(I110),1,0))</f>
        <v/>
      </c>
      <c r="AG110" s="19">
        <f>IF(A110="",0,IF(N(N110)&gt;N(M110)+1,1,0))</f>
        <v/>
      </c>
      <c r="AH110" s="19">
        <f>IF(A110="",0,IF(N(E110)&gt;N(B110),1,0))</f>
        <v/>
      </c>
      <c r="AI110" s="19">
        <f>IF(A110="",0,IF(AND(Z110="Full payment",N(N110)&lt;N(M110)-1),1,0))</f>
        <v/>
      </c>
      <c r="AJ110" s="19">
        <f>IF(A110="",0,IF(N(P110)&lt;0,1,0))</f>
        <v/>
      </c>
      <c r="AK110" s="19">
        <f>IF(A110="",0,IF(COUNTIF($A$7:$A$1006,A110)&gt;1,1,0))</f>
        <v/>
      </c>
    </row>
    <row r="111">
      <c r="A111" s="10" t="n"/>
      <c r="B111" s="17" t="n"/>
      <c r="C111" s="18" t="n"/>
      <c r="D111" s="10" t="n"/>
      <c r="E111" s="17" t="n"/>
      <c r="F111" s="10" t="n"/>
      <c r="G111" s="10" t="n"/>
      <c r="H111" s="10" t="n"/>
      <c r="I111" s="18" t="n"/>
      <c r="J111" s="18" t="n"/>
      <c r="K111" s="18" t="n"/>
      <c r="L111" s="18" t="n"/>
      <c r="M111" s="19">
        <f>IF(K111="","",K111*365/12*L111)</f>
        <v/>
      </c>
      <c r="N111" s="18" t="n"/>
      <c r="O111" s="18" t="n"/>
      <c r="P111" s="18" t="n"/>
      <c r="Q111" s="18" t="n"/>
      <c r="R111" s="10" t="n"/>
      <c r="S111" s="17" t="n"/>
      <c r="T111" s="18" t="n"/>
      <c r="U111" s="17" t="n"/>
      <c r="V111" s="17" t="n"/>
      <c r="W111" s="18" t="n"/>
      <c r="X111" s="18" t="n"/>
      <c r="Y111" s="17" t="n"/>
      <c r="Z111" s="10" t="n"/>
      <c r="AA111" s="10" t="n"/>
      <c r="AB111" s="19">
        <f>IF(LEN(A111)&gt;0,1,0)</f>
        <v/>
      </c>
      <c r="AC111" s="19">
        <f>IF(LEN(A111)=0,0,(LEN(B111)=0)+(LEN(C111)=0)+(LEN(D111)=0)+(LEN(E111)=0)+(LEN(F111)=0)+(LEN(G111)=0)+(LEN(H111)=0)+(LEN(I111)=0)+(LEN(J111)=0)+(LEN(K111)=0)+(LEN(L111)=0)+(LEN(N111)=0)+(LEN(O111)=0)+(LEN(P111)=0)+(LEN(R111)=0)+(LEN(AA111)=0))</f>
        <v/>
      </c>
      <c r="AD111" s="19">
        <f>IF(OR(LEN(A111)=0,LEN(C111)=0),0,IF(OR(C111&lt;1,C111&gt;5),1,0))</f>
        <v/>
      </c>
      <c r="AE111" s="19">
        <f>IF(OR(LEN(A111)=0,LEN(R111)=0),0,IF(OR(R111="Active",R111="Paid off",R111="Defaulted",R111="Repossessed",R111="Written off",R111="Restructured"),0,1))</f>
        <v/>
      </c>
      <c r="AF111" s="19">
        <f>IF(A111="",0,IF(N(J111)&gt;N(I111),1,0))</f>
        <v/>
      </c>
      <c r="AG111" s="19">
        <f>IF(A111="",0,IF(N(N111)&gt;N(M111)+1,1,0))</f>
        <v/>
      </c>
      <c r="AH111" s="19">
        <f>IF(A111="",0,IF(N(E111)&gt;N(B111),1,0))</f>
        <v/>
      </c>
      <c r="AI111" s="19">
        <f>IF(A111="",0,IF(AND(Z111="Full payment",N(N111)&lt;N(M111)-1),1,0))</f>
        <v/>
      </c>
      <c r="AJ111" s="19">
        <f>IF(A111="",0,IF(N(P111)&lt;0,1,0))</f>
        <v/>
      </c>
      <c r="AK111" s="19">
        <f>IF(A111="",0,IF(COUNTIF($A$7:$A$1006,A111)&gt;1,1,0))</f>
        <v/>
      </c>
    </row>
    <row r="112">
      <c r="A112" s="10" t="n"/>
      <c r="B112" s="17" t="n"/>
      <c r="C112" s="18" t="n"/>
      <c r="D112" s="10" t="n"/>
      <c r="E112" s="17" t="n"/>
      <c r="F112" s="10" t="n"/>
      <c r="G112" s="10" t="n"/>
      <c r="H112" s="10" t="n"/>
      <c r="I112" s="18" t="n"/>
      <c r="J112" s="18" t="n"/>
      <c r="K112" s="18" t="n"/>
      <c r="L112" s="18" t="n"/>
      <c r="M112" s="19">
        <f>IF(K112="","",K112*365/12*L112)</f>
        <v/>
      </c>
      <c r="N112" s="18" t="n"/>
      <c r="O112" s="18" t="n"/>
      <c r="P112" s="18" t="n"/>
      <c r="Q112" s="18" t="n"/>
      <c r="R112" s="10" t="n"/>
      <c r="S112" s="17" t="n"/>
      <c r="T112" s="18" t="n"/>
      <c r="U112" s="17" t="n"/>
      <c r="V112" s="17" t="n"/>
      <c r="W112" s="18" t="n"/>
      <c r="X112" s="18" t="n"/>
      <c r="Y112" s="17" t="n"/>
      <c r="Z112" s="10" t="n"/>
      <c r="AA112" s="10" t="n"/>
      <c r="AB112" s="19">
        <f>IF(LEN(A112)&gt;0,1,0)</f>
        <v/>
      </c>
      <c r="AC112" s="19">
        <f>IF(LEN(A112)=0,0,(LEN(B112)=0)+(LEN(C112)=0)+(LEN(D112)=0)+(LEN(E112)=0)+(LEN(F112)=0)+(LEN(G112)=0)+(LEN(H112)=0)+(LEN(I112)=0)+(LEN(J112)=0)+(LEN(K112)=0)+(LEN(L112)=0)+(LEN(N112)=0)+(LEN(O112)=0)+(LEN(P112)=0)+(LEN(R112)=0)+(LEN(AA112)=0))</f>
        <v/>
      </c>
      <c r="AD112" s="19">
        <f>IF(OR(LEN(A112)=0,LEN(C112)=0),0,IF(OR(C112&lt;1,C112&gt;5),1,0))</f>
        <v/>
      </c>
      <c r="AE112" s="19">
        <f>IF(OR(LEN(A112)=0,LEN(R112)=0),0,IF(OR(R112="Active",R112="Paid off",R112="Defaulted",R112="Repossessed",R112="Written off",R112="Restructured"),0,1))</f>
        <v/>
      </c>
      <c r="AF112" s="19">
        <f>IF(A112="",0,IF(N(J112)&gt;N(I112),1,0))</f>
        <v/>
      </c>
      <c r="AG112" s="19">
        <f>IF(A112="",0,IF(N(N112)&gt;N(M112)+1,1,0))</f>
        <v/>
      </c>
      <c r="AH112" s="19">
        <f>IF(A112="",0,IF(N(E112)&gt;N(B112),1,0))</f>
        <v/>
      </c>
      <c r="AI112" s="19">
        <f>IF(A112="",0,IF(AND(Z112="Full payment",N(N112)&lt;N(M112)-1),1,0))</f>
        <v/>
      </c>
      <c r="AJ112" s="19">
        <f>IF(A112="",0,IF(N(P112)&lt;0,1,0))</f>
        <v/>
      </c>
      <c r="AK112" s="19">
        <f>IF(A112="",0,IF(COUNTIF($A$7:$A$1006,A112)&gt;1,1,0))</f>
        <v/>
      </c>
    </row>
    <row r="113">
      <c r="A113" s="10" t="n"/>
      <c r="B113" s="17" t="n"/>
      <c r="C113" s="18" t="n"/>
      <c r="D113" s="10" t="n"/>
      <c r="E113" s="17" t="n"/>
      <c r="F113" s="10" t="n"/>
      <c r="G113" s="10" t="n"/>
      <c r="H113" s="10" t="n"/>
      <c r="I113" s="18" t="n"/>
      <c r="J113" s="18" t="n"/>
      <c r="K113" s="18" t="n"/>
      <c r="L113" s="18" t="n"/>
      <c r="M113" s="19">
        <f>IF(K113="","",K113*365/12*L113)</f>
        <v/>
      </c>
      <c r="N113" s="18" t="n"/>
      <c r="O113" s="18" t="n"/>
      <c r="P113" s="18" t="n"/>
      <c r="Q113" s="18" t="n"/>
      <c r="R113" s="10" t="n"/>
      <c r="S113" s="17" t="n"/>
      <c r="T113" s="18" t="n"/>
      <c r="U113" s="17" t="n"/>
      <c r="V113" s="17" t="n"/>
      <c r="W113" s="18" t="n"/>
      <c r="X113" s="18" t="n"/>
      <c r="Y113" s="17" t="n"/>
      <c r="Z113" s="10" t="n"/>
      <c r="AA113" s="10" t="n"/>
      <c r="AB113" s="19">
        <f>IF(LEN(A113)&gt;0,1,0)</f>
        <v/>
      </c>
      <c r="AC113" s="19">
        <f>IF(LEN(A113)=0,0,(LEN(B113)=0)+(LEN(C113)=0)+(LEN(D113)=0)+(LEN(E113)=0)+(LEN(F113)=0)+(LEN(G113)=0)+(LEN(H113)=0)+(LEN(I113)=0)+(LEN(J113)=0)+(LEN(K113)=0)+(LEN(L113)=0)+(LEN(N113)=0)+(LEN(O113)=0)+(LEN(P113)=0)+(LEN(R113)=0)+(LEN(AA113)=0))</f>
        <v/>
      </c>
      <c r="AD113" s="19">
        <f>IF(OR(LEN(A113)=0,LEN(C113)=0),0,IF(OR(C113&lt;1,C113&gt;5),1,0))</f>
        <v/>
      </c>
      <c r="AE113" s="19">
        <f>IF(OR(LEN(A113)=0,LEN(R113)=0),0,IF(OR(R113="Active",R113="Paid off",R113="Defaulted",R113="Repossessed",R113="Written off",R113="Restructured"),0,1))</f>
        <v/>
      </c>
      <c r="AF113" s="19">
        <f>IF(A113="",0,IF(N(J113)&gt;N(I113),1,0))</f>
        <v/>
      </c>
      <c r="AG113" s="19">
        <f>IF(A113="",0,IF(N(N113)&gt;N(M113)+1,1,0))</f>
        <v/>
      </c>
      <c r="AH113" s="19">
        <f>IF(A113="",0,IF(N(E113)&gt;N(B113),1,0))</f>
        <v/>
      </c>
      <c r="AI113" s="19">
        <f>IF(A113="",0,IF(AND(Z113="Full payment",N(N113)&lt;N(M113)-1),1,0))</f>
        <v/>
      </c>
      <c r="AJ113" s="19">
        <f>IF(A113="",0,IF(N(P113)&lt;0,1,0))</f>
        <v/>
      </c>
      <c r="AK113" s="19">
        <f>IF(A113="",0,IF(COUNTIF($A$7:$A$1006,A113)&gt;1,1,0))</f>
        <v/>
      </c>
    </row>
    <row r="114">
      <c r="A114" s="10" t="n"/>
      <c r="B114" s="17" t="n"/>
      <c r="C114" s="18" t="n"/>
      <c r="D114" s="10" t="n"/>
      <c r="E114" s="17" t="n"/>
      <c r="F114" s="10" t="n"/>
      <c r="G114" s="10" t="n"/>
      <c r="H114" s="10" t="n"/>
      <c r="I114" s="18" t="n"/>
      <c r="J114" s="18" t="n"/>
      <c r="K114" s="18" t="n"/>
      <c r="L114" s="18" t="n"/>
      <c r="M114" s="19">
        <f>IF(K114="","",K114*365/12*L114)</f>
        <v/>
      </c>
      <c r="N114" s="18" t="n"/>
      <c r="O114" s="18" t="n"/>
      <c r="P114" s="18" t="n"/>
      <c r="Q114" s="18" t="n"/>
      <c r="R114" s="10" t="n"/>
      <c r="S114" s="17" t="n"/>
      <c r="T114" s="18" t="n"/>
      <c r="U114" s="17" t="n"/>
      <c r="V114" s="17" t="n"/>
      <c r="W114" s="18" t="n"/>
      <c r="X114" s="18" t="n"/>
      <c r="Y114" s="17" t="n"/>
      <c r="Z114" s="10" t="n"/>
      <c r="AA114" s="10" t="n"/>
      <c r="AB114" s="19">
        <f>IF(LEN(A114)&gt;0,1,0)</f>
        <v/>
      </c>
      <c r="AC114" s="19">
        <f>IF(LEN(A114)=0,0,(LEN(B114)=0)+(LEN(C114)=0)+(LEN(D114)=0)+(LEN(E114)=0)+(LEN(F114)=0)+(LEN(G114)=0)+(LEN(H114)=0)+(LEN(I114)=0)+(LEN(J114)=0)+(LEN(K114)=0)+(LEN(L114)=0)+(LEN(N114)=0)+(LEN(O114)=0)+(LEN(P114)=0)+(LEN(R114)=0)+(LEN(AA114)=0))</f>
        <v/>
      </c>
      <c r="AD114" s="19">
        <f>IF(OR(LEN(A114)=0,LEN(C114)=0),0,IF(OR(C114&lt;1,C114&gt;5),1,0))</f>
        <v/>
      </c>
      <c r="AE114" s="19">
        <f>IF(OR(LEN(A114)=0,LEN(R114)=0),0,IF(OR(R114="Active",R114="Paid off",R114="Defaulted",R114="Repossessed",R114="Written off",R114="Restructured"),0,1))</f>
        <v/>
      </c>
      <c r="AF114" s="19">
        <f>IF(A114="",0,IF(N(J114)&gt;N(I114),1,0))</f>
        <v/>
      </c>
      <c r="AG114" s="19">
        <f>IF(A114="",0,IF(N(N114)&gt;N(M114)+1,1,0))</f>
        <v/>
      </c>
      <c r="AH114" s="19">
        <f>IF(A114="",0,IF(N(E114)&gt;N(B114),1,0))</f>
        <v/>
      </c>
      <c r="AI114" s="19">
        <f>IF(A114="",0,IF(AND(Z114="Full payment",N(N114)&lt;N(M114)-1),1,0))</f>
        <v/>
      </c>
      <c r="AJ114" s="19">
        <f>IF(A114="",0,IF(N(P114)&lt;0,1,0))</f>
        <v/>
      </c>
      <c r="AK114" s="19">
        <f>IF(A114="",0,IF(COUNTIF($A$7:$A$1006,A114)&gt;1,1,0))</f>
        <v/>
      </c>
    </row>
    <row r="115">
      <c r="A115" s="10" t="n"/>
      <c r="B115" s="17" t="n"/>
      <c r="C115" s="18" t="n"/>
      <c r="D115" s="10" t="n"/>
      <c r="E115" s="17" t="n"/>
      <c r="F115" s="10" t="n"/>
      <c r="G115" s="10" t="n"/>
      <c r="H115" s="10" t="n"/>
      <c r="I115" s="18" t="n"/>
      <c r="J115" s="18" t="n"/>
      <c r="K115" s="18" t="n"/>
      <c r="L115" s="18" t="n"/>
      <c r="M115" s="19">
        <f>IF(K115="","",K115*365/12*L115)</f>
        <v/>
      </c>
      <c r="N115" s="18" t="n"/>
      <c r="O115" s="18" t="n"/>
      <c r="P115" s="18" t="n"/>
      <c r="Q115" s="18" t="n"/>
      <c r="R115" s="10" t="n"/>
      <c r="S115" s="17" t="n"/>
      <c r="T115" s="18" t="n"/>
      <c r="U115" s="17" t="n"/>
      <c r="V115" s="17" t="n"/>
      <c r="W115" s="18" t="n"/>
      <c r="X115" s="18" t="n"/>
      <c r="Y115" s="17" t="n"/>
      <c r="Z115" s="10" t="n"/>
      <c r="AA115" s="10" t="n"/>
      <c r="AB115" s="19">
        <f>IF(LEN(A115)&gt;0,1,0)</f>
        <v/>
      </c>
      <c r="AC115" s="19">
        <f>IF(LEN(A115)=0,0,(LEN(B115)=0)+(LEN(C115)=0)+(LEN(D115)=0)+(LEN(E115)=0)+(LEN(F115)=0)+(LEN(G115)=0)+(LEN(H115)=0)+(LEN(I115)=0)+(LEN(J115)=0)+(LEN(K115)=0)+(LEN(L115)=0)+(LEN(N115)=0)+(LEN(O115)=0)+(LEN(P115)=0)+(LEN(R115)=0)+(LEN(AA115)=0))</f>
        <v/>
      </c>
      <c r="AD115" s="19">
        <f>IF(OR(LEN(A115)=0,LEN(C115)=0),0,IF(OR(C115&lt;1,C115&gt;5),1,0))</f>
        <v/>
      </c>
      <c r="AE115" s="19">
        <f>IF(OR(LEN(A115)=0,LEN(R115)=0),0,IF(OR(R115="Active",R115="Paid off",R115="Defaulted",R115="Repossessed",R115="Written off",R115="Restructured"),0,1))</f>
        <v/>
      </c>
      <c r="AF115" s="19">
        <f>IF(A115="",0,IF(N(J115)&gt;N(I115),1,0))</f>
        <v/>
      </c>
      <c r="AG115" s="19">
        <f>IF(A115="",0,IF(N(N115)&gt;N(M115)+1,1,0))</f>
        <v/>
      </c>
      <c r="AH115" s="19">
        <f>IF(A115="",0,IF(N(E115)&gt;N(B115),1,0))</f>
        <v/>
      </c>
      <c r="AI115" s="19">
        <f>IF(A115="",0,IF(AND(Z115="Full payment",N(N115)&lt;N(M115)-1),1,0))</f>
        <v/>
      </c>
      <c r="AJ115" s="19">
        <f>IF(A115="",0,IF(N(P115)&lt;0,1,0))</f>
        <v/>
      </c>
      <c r="AK115" s="19">
        <f>IF(A115="",0,IF(COUNTIF($A$7:$A$1006,A115)&gt;1,1,0))</f>
        <v/>
      </c>
    </row>
    <row r="116">
      <c r="A116" s="10" t="n"/>
      <c r="B116" s="17" t="n"/>
      <c r="C116" s="18" t="n"/>
      <c r="D116" s="10" t="n"/>
      <c r="E116" s="17" t="n"/>
      <c r="F116" s="10" t="n"/>
      <c r="G116" s="10" t="n"/>
      <c r="H116" s="10" t="n"/>
      <c r="I116" s="18" t="n"/>
      <c r="J116" s="18" t="n"/>
      <c r="K116" s="18" t="n"/>
      <c r="L116" s="18" t="n"/>
      <c r="M116" s="19">
        <f>IF(K116="","",K116*365/12*L116)</f>
        <v/>
      </c>
      <c r="N116" s="18" t="n"/>
      <c r="O116" s="18" t="n"/>
      <c r="P116" s="18" t="n"/>
      <c r="Q116" s="18" t="n"/>
      <c r="R116" s="10" t="n"/>
      <c r="S116" s="17" t="n"/>
      <c r="T116" s="18" t="n"/>
      <c r="U116" s="17" t="n"/>
      <c r="V116" s="17" t="n"/>
      <c r="W116" s="18" t="n"/>
      <c r="X116" s="18" t="n"/>
      <c r="Y116" s="17" t="n"/>
      <c r="Z116" s="10" t="n"/>
      <c r="AA116" s="10" t="n"/>
      <c r="AB116" s="19">
        <f>IF(LEN(A116)&gt;0,1,0)</f>
        <v/>
      </c>
      <c r="AC116" s="19">
        <f>IF(LEN(A116)=0,0,(LEN(B116)=0)+(LEN(C116)=0)+(LEN(D116)=0)+(LEN(E116)=0)+(LEN(F116)=0)+(LEN(G116)=0)+(LEN(H116)=0)+(LEN(I116)=0)+(LEN(J116)=0)+(LEN(K116)=0)+(LEN(L116)=0)+(LEN(N116)=0)+(LEN(O116)=0)+(LEN(P116)=0)+(LEN(R116)=0)+(LEN(AA116)=0))</f>
        <v/>
      </c>
      <c r="AD116" s="19">
        <f>IF(OR(LEN(A116)=0,LEN(C116)=0),0,IF(OR(C116&lt;1,C116&gt;5),1,0))</f>
        <v/>
      </c>
      <c r="AE116" s="19">
        <f>IF(OR(LEN(A116)=0,LEN(R116)=0),0,IF(OR(R116="Active",R116="Paid off",R116="Defaulted",R116="Repossessed",R116="Written off",R116="Restructured"),0,1))</f>
        <v/>
      </c>
      <c r="AF116" s="19">
        <f>IF(A116="",0,IF(N(J116)&gt;N(I116),1,0))</f>
        <v/>
      </c>
      <c r="AG116" s="19">
        <f>IF(A116="",0,IF(N(N116)&gt;N(M116)+1,1,0))</f>
        <v/>
      </c>
      <c r="AH116" s="19">
        <f>IF(A116="",0,IF(N(E116)&gt;N(B116),1,0))</f>
        <v/>
      </c>
      <c r="AI116" s="19">
        <f>IF(A116="",0,IF(AND(Z116="Full payment",N(N116)&lt;N(M116)-1),1,0))</f>
        <v/>
      </c>
      <c r="AJ116" s="19">
        <f>IF(A116="",0,IF(N(P116)&lt;0,1,0))</f>
        <v/>
      </c>
      <c r="AK116" s="19">
        <f>IF(A116="",0,IF(COUNTIF($A$7:$A$1006,A116)&gt;1,1,0))</f>
        <v/>
      </c>
    </row>
    <row r="117">
      <c r="A117" s="10" t="n"/>
      <c r="B117" s="17" t="n"/>
      <c r="C117" s="18" t="n"/>
      <c r="D117" s="10" t="n"/>
      <c r="E117" s="17" t="n"/>
      <c r="F117" s="10" t="n"/>
      <c r="G117" s="10" t="n"/>
      <c r="H117" s="10" t="n"/>
      <c r="I117" s="18" t="n"/>
      <c r="J117" s="18" t="n"/>
      <c r="K117" s="18" t="n"/>
      <c r="L117" s="18" t="n"/>
      <c r="M117" s="19">
        <f>IF(K117="","",K117*365/12*L117)</f>
        <v/>
      </c>
      <c r="N117" s="18" t="n"/>
      <c r="O117" s="18" t="n"/>
      <c r="P117" s="18" t="n"/>
      <c r="Q117" s="18" t="n"/>
      <c r="R117" s="10" t="n"/>
      <c r="S117" s="17" t="n"/>
      <c r="T117" s="18" t="n"/>
      <c r="U117" s="17" t="n"/>
      <c r="V117" s="17" t="n"/>
      <c r="W117" s="18" t="n"/>
      <c r="X117" s="18" t="n"/>
      <c r="Y117" s="17" t="n"/>
      <c r="Z117" s="10" t="n"/>
      <c r="AA117" s="10" t="n"/>
      <c r="AB117" s="19">
        <f>IF(LEN(A117)&gt;0,1,0)</f>
        <v/>
      </c>
      <c r="AC117" s="19">
        <f>IF(LEN(A117)=0,0,(LEN(B117)=0)+(LEN(C117)=0)+(LEN(D117)=0)+(LEN(E117)=0)+(LEN(F117)=0)+(LEN(G117)=0)+(LEN(H117)=0)+(LEN(I117)=0)+(LEN(J117)=0)+(LEN(K117)=0)+(LEN(L117)=0)+(LEN(N117)=0)+(LEN(O117)=0)+(LEN(P117)=0)+(LEN(R117)=0)+(LEN(AA117)=0))</f>
        <v/>
      </c>
      <c r="AD117" s="19">
        <f>IF(OR(LEN(A117)=0,LEN(C117)=0),0,IF(OR(C117&lt;1,C117&gt;5),1,0))</f>
        <v/>
      </c>
      <c r="AE117" s="19">
        <f>IF(OR(LEN(A117)=0,LEN(R117)=0),0,IF(OR(R117="Active",R117="Paid off",R117="Defaulted",R117="Repossessed",R117="Written off",R117="Restructured"),0,1))</f>
        <v/>
      </c>
      <c r="AF117" s="19">
        <f>IF(A117="",0,IF(N(J117)&gt;N(I117),1,0))</f>
        <v/>
      </c>
      <c r="AG117" s="19">
        <f>IF(A117="",0,IF(N(N117)&gt;N(M117)+1,1,0))</f>
        <v/>
      </c>
      <c r="AH117" s="19">
        <f>IF(A117="",0,IF(N(E117)&gt;N(B117),1,0))</f>
        <v/>
      </c>
      <c r="AI117" s="19">
        <f>IF(A117="",0,IF(AND(Z117="Full payment",N(N117)&lt;N(M117)-1),1,0))</f>
        <v/>
      </c>
      <c r="AJ117" s="19">
        <f>IF(A117="",0,IF(N(P117)&lt;0,1,0))</f>
        <v/>
      </c>
      <c r="AK117" s="19">
        <f>IF(A117="",0,IF(COUNTIF($A$7:$A$1006,A117)&gt;1,1,0))</f>
        <v/>
      </c>
    </row>
    <row r="118">
      <c r="A118" s="10" t="n"/>
      <c r="B118" s="17" t="n"/>
      <c r="C118" s="18" t="n"/>
      <c r="D118" s="10" t="n"/>
      <c r="E118" s="17" t="n"/>
      <c r="F118" s="10" t="n"/>
      <c r="G118" s="10" t="n"/>
      <c r="H118" s="10" t="n"/>
      <c r="I118" s="18" t="n"/>
      <c r="J118" s="18" t="n"/>
      <c r="K118" s="18" t="n"/>
      <c r="L118" s="18" t="n"/>
      <c r="M118" s="19">
        <f>IF(K118="","",K118*365/12*L118)</f>
        <v/>
      </c>
      <c r="N118" s="18" t="n"/>
      <c r="O118" s="18" t="n"/>
      <c r="P118" s="18" t="n"/>
      <c r="Q118" s="18" t="n"/>
      <c r="R118" s="10" t="n"/>
      <c r="S118" s="17" t="n"/>
      <c r="T118" s="18" t="n"/>
      <c r="U118" s="17" t="n"/>
      <c r="V118" s="17" t="n"/>
      <c r="W118" s="18" t="n"/>
      <c r="X118" s="18" t="n"/>
      <c r="Y118" s="17" t="n"/>
      <c r="Z118" s="10" t="n"/>
      <c r="AA118" s="10" t="n"/>
      <c r="AB118" s="19">
        <f>IF(LEN(A118)&gt;0,1,0)</f>
        <v/>
      </c>
      <c r="AC118" s="19">
        <f>IF(LEN(A118)=0,0,(LEN(B118)=0)+(LEN(C118)=0)+(LEN(D118)=0)+(LEN(E118)=0)+(LEN(F118)=0)+(LEN(G118)=0)+(LEN(H118)=0)+(LEN(I118)=0)+(LEN(J118)=0)+(LEN(K118)=0)+(LEN(L118)=0)+(LEN(N118)=0)+(LEN(O118)=0)+(LEN(P118)=0)+(LEN(R118)=0)+(LEN(AA118)=0))</f>
        <v/>
      </c>
      <c r="AD118" s="19">
        <f>IF(OR(LEN(A118)=0,LEN(C118)=0),0,IF(OR(C118&lt;1,C118&gt;5),1,0))</f>
        <v/>
      </c>
      <c r="AE118" s="19">
        <f>IF(OR(LEN(A118)=0,LEN(R118)=0),0,IF(OR(R118="Active",R118="Paid off",R118="Defaulted",R118="Repossessed",R118="Written off",R118="Restructured"),0,1))</f>
        <v/>
      </c>
      <c r="AF118" s="19">
        <f>IF(A118="",0,IF(N(J118)&gt;N(I118),1,0))</f>
        <v/>
      </c>
      <c r="AG118" s="19">
        <f>IF(A118="",0,IF(N(N118)&gt;N(M118)+1,1,0))</f>
        <v/>
      </c>
      <c r="AH118" s="19">
        <f>IF(A118="",0,IF(N(E118)&gt;N(B118),1,0))</f>
        <v/>
      </c>
      <c r="AI118" s="19">
        <f>IF(A118="",0,IF(AND(Z118="Full payment",N(N118)&lt;N(M118)-1),1,0))</f>
        <v/>
      </c>
      <c r="AJ118" s="19">
        <f>IF(A118="",0,IF(N(P118)&lt;0,1,0))</f>
        <v/>
      </c>
      <c r="AK118" s="19">
        <f>IF(A118="",0,IF(COUNTIF($A$7:$A$1006,A118)&gt;1,1,0))</f>
        <v/>
      </c>
    </row>
    <row r="119">
      <c r="A119" s="10" t="n"/>
      <c r="B119" s="17" t="n"/>
      <c r="C119" s="18" t="n"/>
      <c r="D119" s="10" t="n"/>
      <c r="E119" s="17" t="n"/>
      <c r="F119" s="10" t="n"/>
      <c r="G119" s="10" t="n"/>
      <c r="H119" s="10" t="n"/>
      <c r="I119" s="18" t="n"/>
      <c r="J119" s="18" t="n"/>
      <c r="K119" s="18" t="n"/>
      <c r="L119" s="18" t="n"/>
      <c r="M119" s="19">
        <f>IF(K119="","",K119*365/12*L119)</f>
        <v/>
      </c>
      <c r="N119" s="18" t="n"/>
      <c r="O119" s="18" t="n"/>
      <c r="P119" s="18" t="n"/>
      <c r="Q119" s="18" t="n"/>
      <c r="R119" s="10" t="n"/>
      <c r="S119" s="17" t="n"/>
      <c r="T119" s="18" t="n"/>
      <c r="U119" s="17" t="n"/>
      <c r="V119" s="17" t="n"/>
      <c r="W119" s="18" t="n"/>
      <c r="X119" s="18" t="n"/>
      <c r="Y119" s="17" t="n"/>
      <c r="Z119" s="10" t="n"/>
      <c r="AA119" s="10" t="n"/>
      <c r="AB119" s="19">
        <f>IF(LEN(A119)&gt;0,1,0)</f>
        <v/>
      </c>
      <c r="AC119" s="19">
        <f>IF(LEN(A119)=0,0,(LEN(B119)=0)+(LEN(C119)=0)+(LEN(D119)=0)+(LEN(E119)=0)+(LEN(F119)=0)+(LEN(G119)=0)+(LEN(H119)=0)+(LEN(I119)=0)+(LEN(J119)=0)+(LEN(K119)=0)+(LEN(L119)=0)+(LEN(N119)=0)+(LEN(O119)=0)+(LEN(P119)=0)+(LEN(R119)=0)+(LEN(AA119)=0))</f>
        <v/>
      </c>
      <c r="AD119" s="19">
        <f>IF(OR(LEN(A119)=0,LEN(C119)=0),0,IF(OR(C119&lt;1,C119&gt;5),1,0))</f>
        <v/>
      </c>
      <c r="AE119" s="19">
        <f>IF(OR(LEN(A119)=0,LEN(R119)=0),0,IF(OR(R119="Active",R119="Paid off",R119="Defaulted",R119="Repossessed",R119="Written off",R119="Restructured"),0,1))</f>
        <v/>
      </c>
      <c r="AF119" s="19">
        <f>IF(A119="",0,IF(N(J119)&gt;N(I119),1,0))</f>
        <v/>
      </c>
      <c r="AG119" s="19">
        <f>IF(A119="",0,IF(N(N119)&gt;N(M119)+1,1,0))</f>
        <v/>
      </c>
      <c r="AH119" s="19">
        <f>IF(A119="",0,IF(N(E119)&gt;N(B119),1,0))</f>
        <v/>
      </c>
      <c r="AI119" s="19">
        <f>IF(A119="",0,IF(AND(Z119="Full payment",N(N119)&lt;N(M119)-1),1,0))</f>
        <v/>
      </c>
      <c r="AJ119" s="19">
        <f>IF(A119="",0,IF(N(P119)&lt;0,1,0))</f>
        <v/>
      </c>
      <c r="AK119" s="19">
        <f>IF(A119="",0,IF(COUNTIF($A$7:$A$1006,A119)&gt;1,1,0))</f>
        <v/>
      </c>
    </row>
    <row r="120">
      <c r="A120" s="10" t="n"/>
      <c r="B120" s="17" t="n"/>
      <c r="C120" s="18" t="n"/>
      <c r="D120" s="10" t="n"/>
      <c r="E120" s="17" t="n"/>
      <c r="F120" s="10" t="n"/>
      <c r="G120" s="10" t="n"/>
      <c r="H120" s="10" t="n"/>
      <c r="I120" s="18" t="n"/>
      <c r="J120" s="18" t="n"/>
      <c r="K120" s="18" t="n"/>
      <c r="L120" s="18" t="n"/>
      <c r="M120" s="19">
        <f>IF(K120="","",K120*365/12*L120)</f>
        <v/>
      </c>
      <c r="N120" s="18" t="n"/>
      <c r="O120" s="18" t="n"/>
      <c r="P120" s="18" t="n"/>
      <c r="Q120" s="18" t="n"/>
      <c r="R120" s="10" t="n"/>
      <c r="S120" s="17" t="n"/>
      <c r="T120" s="18" t="n"/>
      <c r="U120" s="17" t="n"/>
      <c r="V120" s="17" t="n"/>
      <c r="W120" s="18" t="n"/>
      <c r="X120" s="18" t="n"/>
      <c r="Y120" s="17" t="n"/>
      <c r="Z120" s="10" t="n"/>
      <c r="AA120" s="10" t="n"/>
      <c r="AB120" s="19">
        <f>IF(LEN(A120)&gt;0,1,0)</f>
        <v/>
      </c>
      <c r="AC120" s="19">
        <f>IF(LEN(A120)=0,0,(LEN(B120)=0)+(LEN(C120)=0)+(LEN(D120)=0)+(LEN(E120)=0)+(LEN(F120)=0)+(LEN(G120)=0)+(LEN(H120)=0)+(LEN(I120)=0)+(LEN(J120)=0)+(LEN(K120)=0)+(LEN(L120)=0)+(LEN(N120)=0)+(LEN(O120)=0)+(LEN(P120)=0)+(LEN(R120)=0)+(LEN(AA120)=0))</f>
        <v/>
      </c>
      <c r="AD120" s="19">
        <f>IF(OR(LEN(A120)=0,LEN(C120)=0),0,IF(OR(C120&lt;1,C120&gt;5),1,0))</f>
        <v/>
      </c>
      <c r="AE120" s="19">
        <f>IF(OR(LEN(A120)=0,LEN(R120)=0),0,IF(OR(R120="Active",R120="Paid off",R120="Defaulted",R120="Repossessed",R120="Written off",R120="Restructured"),0,1))</f>
        <v/>
      </c>
      <c r="AF120" s="19">
        <f>IF(A120="",0,IF(N(J120)&gt;N(I120),1,0))</f>
        <v/>
      </c>
      <c r="AG120" s="19">
        <f>IF(A120="",0,IF(N(N120)&gt;N(M120)+1,1,0))</f>
        <v/>
      </c>
      <c r="AH120" s="19">
        <f>IF(A120="",0,IF(N(E120)&gt;N(B120),1,0))</f>
        <v/>
      </c>
      <c r="AI120" s="19">
        <f>IF(A120="",0,IF(AND(Z120="Full payment",N(N120)&lt;N(M120)-1),1,0))</f>
        <v/>
      </c>
      <c r="AJ120" s="19">
        <f>IF(A120="",0,IF(N(P120)&lt;0,1,0))</f>
        <v/>
      </c>
      <c r="AK120" s="19">
        <f>IF(A120="",0,IF(COUNTIF($A$7:$A$1006,A120)&gt;1,1,0))</f>
        <v/>
      </c>
    </row>
    <row r="121">
      <c r="A121" s="10" t="n"/>
      <c r="B121" s="17" t="n"/>
      <c r="C121" s="18" t="n"/>
      <c r="D121" s="10" t="n"/>
      <c r="E121" s="17" t="n"/>
      <c r="F121" s="10" t="n"/>
      <c r="G121" s="10" t="n"/>
      <c r="H121" s="10" t="n"/>
      <c r="I121" s="18" t="n"/>
      <c r="J121" s="18" t="n"/>
      <c r="K121" s="18" t="n"/>
      <c r="L121" s="18" t="n"/>
      <c r="M121" s="19">
        <f>IF(K121="","",K121*365/12*L121)</f>
        <v/>
      </c>
      <c r="N121" s="18" t="n"/>
      <c r="O121" s="18" t="n"/>
      <c r="P121" s="18" t="n"/>
      <c r="Q121" s="18" t="n"/>
      <c r="R121" s="10" t="n"/>
      <c r="S121" s="17" t="n"/>
      <c r="T121" s="18" t="n"/>
      <c r="U121" s="17" t="n"/>
      <c r="V121" s="17" t="n"/>
      <c r="W121" s="18" t="n"/>
      <c r="X121" s="18" t="n"/>
      <c r="Y121" s="17" t="n"/>
      <c r="Z121" s="10" t="n"/>
      <c r="AA121" s="10" t="n"/>
      <c r="AB121" s="19">
        <f>IF(LEN(A121)&gt;0,1,0)</f>
        <v/>
      </c>
      <c r="AC121" s="19">
        <f>IF(LEN(A121)=0,0,(LEN(B121)=0)+(LEN(C121)=0)+(LEN(D121)=0)+(LEN(E121)=0)+(LEN(F121)=0)+(LEN(G121)=0)+(LEN(H121)=0)+(LEN(I121)=0)+(LEN(J121)=0)+(LEN(K121)=0)+(LEN(L121)=0)+(LEN(N121)=0)+(LEN(O121)=0)+(LEN(P121)=0)+(LEN(R121)=0)+(LEN(AA121)=0))</f>
        <v/>
      </c>
      <c r="AD121" s="19">
        <f>IF(OR(LEN(A121)=0,LEN(C121)=0),0,IF(OR(C121&lt;1,C121&gt;5),1,0))</f>
        <v/>
      </c>
      <c r="AE121" s="19">
        <f>IF(OR(LEN(A121)=0,LEN(R121)=0),0,IF(OR(R121="Active",R121="Paid off",R121="Defaulted",R121="Repossessed",R121="Written off",R121="Restructured"),0,1))</f>
        <v/>
      </c>
      <c r="AF121" s="19">
        <f>IF(A121="",0,IF(N(J121)&gt;N(I121),1,0))</f>
        <v/>
      </c>
      <c r="AG121" s="19">
        <f>IF(A121="",0,IF(N(N121)&gt;N(M121)+1,1,0))</f>
        <v/>
      </c>
      <c r="AH121" s="19">
        <f>IF(A121="",0,IF(N(E121)&gt;N(B121),1,0))</f>
        <v/>
      </c>
      <c r="AI121" s="19">
        <f>IF(A121="",0,IF(AND(Z121="Full payment",N(N121)&lt;N(M121)-1),1,0))</f>
        <v/>
      </c>
      <c r="AJ121" s="19">
        <f>IF(A121="",0,IF(N(P121)&lt;0,1,0))</f>
        <v/>
      </c>
      <c r="AK121" s="19">
        <f>IF(A121="",0,IF(COUNTIF($A$7:$A$1006,A121)&gt;1,1,0))</f>
        <v/>
      </c>
    </row>
    <row r="122">
      <c r="A122" s="10" t="n"/>
      <c r="B122" s="17" t="n"/>
      <c r="C122" s="18" t="n"/>
      <c r="D122" s="10" t="n"/>
      <c r="E122" s="17" t="n"/>
      <c r="F122" s="10" t="n"/>
      <c r="G122" s="10" t="n"/>
      <c r="H122" s="10" t="n"/>
      <c r="I122" s="18" t="n"/>
      <c r="J122" s="18" t="n"/>
      <c r="K122" s="18" t="n"/>
      <c r="L122" s="18" t="n"/>
      <c r="M122" s="19">
        <f>IF(K122="","",K122*365/12*L122)</f>
        <v/>
      </c>
      <c r="N122" s="18" t="n"/>
      <c r="O122" s="18" t="n"/>
      <c r="P122" s="18" t="n"/>
      <c r="Q122" s="18" t="n"/>
      <c r="R122" s="10" t="n"/>
      <c r="S122" s="17" t="n"/>
      <c r="T122" s="18" t="n"/>
      <c r="U122" s="17" t="n"/>
      <c r="V122" s="17" t="n"/>
      <c r="W122" s="18" t="n"/>
      <c r="X122" s="18" t="n"/>
      <c r="Y122" s="17" t="n"/>
      <c r="Z122" s="10" t="n"/>
      <c r="AA122" s="10" t="n"/>
      <c r="AB122" s="19">
        <f>IF(LEN(A122)&gt;0,1,0)</f>
        <v/>
      </c>
      <c r="AC122" s="19">
        <f>IF(LEN(A122)=0,0,(LEN(B122)=0)+(LEN(C122)=0)+(LEN(D122)=0)+(LEN(E122)=0)+(LEN(F122)=0)+(LEN(G122)=0)+(LEN(H122)=0)+(LEN(I122)=0)+(LEN(J122)=0)+(LEN(K122)=0)+(LEN(L122)=0)+(LEN(N122)=0)+(LEN(O122)=0)+(LEN(P122)=0)+(LEN(R122)=0)+(LEN(AA122)=0))</f>
        <v/>
      </c>
      <c r="AD122" s="19">
        <f>IF(OR(LEN(A122)=0,LEN(C122)=0),0,IF(OR(C122&lt;1,C122&gt;5),1,0))</f>
        <v/>
      </c>
      <c r="AE122" s="19">
        <f>IF(OR(LEN(A122)=0,LEN(R122)=0),0,IF(OR(R122="Active",R122="Paid off",R122="Defaulted",R122="Repossessed",R122="Written off",R122="Restructured"),0,1))</f>
        <v/>
      </c>
      <c r="AF122" s="19">
        <f>IF(A122="",0,IF(N(J122)&gt;N(I122),1,0))</f>
        <v/>
      </c>
      <c r="AG122" s="19">
        <f>IF(A122="",0,IF(N(N122)&gt;N(M122)+1,1,0))</f>
        <v/>
      </c>
      <c r="AH122" s="19">
        <f>IF(A122="",0,IF(N(E122)&gt;N(B122),1,0))</f>
        <v/>
      </c>
      <c r="AI122" s="19">
        <f>IF(A122="",0,IF(AND(Z122="Full payment",N(N122)&lt;N(M122)-1),1,0))</f>
        <v/>
      </c>
      <c r="AJ122" s="19">
        <f>IF(A122="",0,IF(N(P122)&lt;0,1,0))</f>
        <v/>
      </c>
      <c r="AK122" s="19">
        <f>IF(A122="",0,IF(COUNTIF($A$7:$A$1006,A122)&gt;1,1,0))</f>
        <v/>
      </c>
    </row>
    <row r="123">
      <c r="A123" s="10" t="n"/>
      <c r="B123" s="17" t="n"/>
      <c r="C123" s="18" t="n"/>
      <c r="D123" s="10" t="n"/>
      <c r="E123" s="17" t="n"/>
      <c r="F123" s="10" t="n"/>
      <c r="G123" s="10" t="n"/>
      <c r="H123" s="10" t="n"/>
      <c r="I123" s="18" t="n"/>
      <c r="J123" s="18" t="n"/>
      <c r="K123" s="18" t="n"/>
      <c r="L123" s="18" t="n"/>
      <c r="M123" s="19">
        <f>IF(K123="","",K123*365/12*L123)</f>
        <v/>
      </c>
      <c r="N123" s="18" t="n"/>
      <c r="O123" s="18" t="n"/>
      <c r="P123" s="18" t="n"/>
      <c r="Q123" s="18" t="n"/>
      <c r="R123" s="10" t="n"/>
      <c r="S123" s="17" t="n"/>
      <c r="T123" s="18" t="n"/>
      <c r="U123" s="17" t="n"/>
      <c r="V123" s="17" t="n"/>
      <c r="W123" s="18" t="n"/>
      <c r="X123" s="18" t="n"/>
      <c r="Y123" s="17" t="n"/>
      <c r="Z123" s="10" t="n"/>
      <c r="AA123" s="10" t="n"/>
      <c r="AB123" s="19">
        <f>IF(LEN(A123)&gt;0,1,0)</f>
        <v/>
      </c>
      <c r="AC123" s="19">
        <f>IF(LEN(A123)=0,0,(LEN(B123)=0)+(LEN(C123)=0)+(LEN(D123)=0)+(LEN(E123)=0)+(LEN(F123)=0)+(LEN(G123)=0)+(LEN(H123)=0)+(LEN(I123)=0)+(LEN(J123)=0)+(LEN(K123)=0)+(LEN(L123)=0)+(LEN(N123)=0)+(LEN(O123)=0)+(LEN(P123)=0)+(LEN(R123)=0)+(LEN(AA123)=0))</f>
        <v/>
      </c>
      <c r="AD123" s="19">
        <f>IF(OR(LEN(A123)=0,LEN(C123)=0),0,IF(OR(C123&lt;1,C123&gt;5),1,0))</f>
        <v/>
      </c>
      <c r="AE123" s="19">
        <f>IF(OR(LEN(A123)=0,LEN(R123)=0),0,IF(OR(R123="Active",R123="Paid off",R123="Defaulted",R123="Repossessed",R123="Written off",R123="Restructured"),0,1))</f>
        <v/>
      </c>
      <c r="AF123" s="19">
        <f>IF(A123="",0,IF(N(J123)&gt;N(I123),1,0))</f>
        <v/>
      </c>
      <c r="AG123" s="19">
        <f>IF(A123="",0,IF(N(N123)&gt;N(M123)+1,1,0))</f>
        <v/>
      </c>
      <c r="AH123" s="19">
        <f>IF(A123="",0,IF(N(E123)&gt;N(B123),1,0))</f>
        <v/>
      </c>
      <c r="AI123" s="19">
        <f>IF(A123="",0,IF(AND(Z123="Full payment",N(N123)&lt;N(M123)-1),1,0))</f>
        <v/>
      </c>
      <c r="AJ123" s="19">
        <f>IF(A123="",0,IF(N(P123)&lt;0,1,0))</f>
        <v/>
      </c>
      <c r="AK123" s="19">
        <f>IF(A123="",0,IF(COUNTIF($A$7:$A$1006,A123)&gt;1,1,0))</f>
        <v/>
      </c>
    </row>
    <row r="124">
      <c r="A124" s="10" t="n"/>
      <c r="B124" s="17" t="n"/>
      <c r="C124" s="18" t="n"/>
      <c r="D124" s="10" t="n"/>
      <c r="E124" s="17" t="n"/>
      <c r="F124" s="10" t="n"/>
      <c r="G124" s="10" t="n"/>
      <c r="H124" s="10" t="n"/>
      <c r="I124" s="18" t="n"/>
      <c r="J124" s="18" t="n"/>
      <c r="K124" s="18" t="n"/>
      <c r="L124" s="18" t="n"/>
      <c r="M124" s="19">
        <f>IF(K124="","",K124*365/12*L124)</f>
        <v/>
      </c>
      <c r="N124" s="18" t="n"/>
      <c r="O124" s="18" t="n"/>
      <c r="P124" s="18" t="n"/>
      <c r="Q124" s="18" t="n"/>
      <c r="R124" s="10" t="n"/>
      <c r="S124" s="17" t="n"/>
      <c r="T124" s="18" t="n"/>
      <c r="U124" s="17" t="n"/>
      <c r="V124" s="17" t="n"/>
      <c r="W124" s="18" t="n"/>
      <c r="X124" s="18" t="n"/>
      <c r="Y124" s="17" t="n"/>
      <c r="Z124" s="10" t="n"/>
      <c r="AA124" s="10" t="n"/>
      <c r="AB124" s="19">
        <f>IF(LEN(A124)&gt;0,1,0)</f>
        <v/>
      </c>
      <c r="AC124" s="19">
        <f>IF(LEN(A124)=0,0,(LEN(B124)=0)+(LEN(C124)=0)+(LEN(D124)=0)+(LEN(E124)=0)+(LEN(F124)=0)+(LEN(G124)=0)+(LEN(H124)=0)+(LEN(I124)=0)+(LEN(J124)=0)+(LEN(K124)=0)+(LEN(L124)=0)+(LEN(N124)=0)+(LEN(O124)=0)+(LEN(P124)=0)+(LEN(R124)=0)+(LEN(AA124)=0))</f>
        <v/>
      </c>
      <c r="AD124" s="19">
        <f>IF(OR(LEN(A124)=0,LEN(C124)=0),0,IF(OR(C124&lt;1,C124&gt;5),1,0))</f>
        <v/>
      </c>
      <c r="AE124" s="19">
        <f>IF(OR(LEN(A124)=0,LEN(R124)=0),0,IF(OR(R124="Active",R124="Paid off",R124="Defaulted",R124="Repossessed",R124="Written off",R124="Restructured"),0,1))</f>
        <v/>
      </c>
      <c r="AF124" s="19">
        <f>IF(A124="",0,IF(N(J124)&gt;N(I124),1,0))</f>
        <v/>
      </c>
      <c r="AG124" s="19">
        <f>IF(A124="",0,IF(N(N124)&gt;N(M124)+1,1,0))</f>
        <v/>
      </c>
      <c r="AH124" s="19">
        <f>IF(A124="",0,IF(N(E124)&gt;N(B124),1,0))</f>
        <v/>
      </c>
      <c r="AI124" s="19">
        <f>IF(A124="",0,IF(AND(Z124="Full payment",N(N124)&lt;N(M124)-1),1,0))</f>
        <v/>
      </c>
      <c r="AJ124" s="19">
        <f>IF(A124="",0,IF(N(P124)&lt;0,1,0))</f>
        <v/>
      </c>
      <c r="AK124" s="19">
        <f>IF(A124="",0,IF(COUNTIF($A$7:$A$1006,A124)&gt;1,1,0))</f>
        <v/>
      </c>
    </row>
    <row r="125">
      <c r="A125" s="10" t="n"/>
      <c r="B125" s="17" t="n"/>
      <c r="C125" s="18" t="n"/>
      <c r="D125" s="10" t="n"/>
      <c r="E125" s="17" t="n"/>
      <c r="F125" s="10" t="n"/>
      <c r="G125" s="10" t="n"/>
      <c r="H125" s="10" t="n"/>
      <c r="I125" s="18" t="n"/>
      <c r="J125" s="18" t="n"/>
      <c r="K125" s="18" t="n"/>
      <c r="L125" s="18" t="n"/>
      <c r="M125" s="19">
        <f>IF(K125="","",K125*365/12*L125)</f>
        <v/>
      </c>
      <c r="N125" s="18" t="n"/>
      <c r="O125" s="18" t="n"/>
      <c r="P125" s="18" t="n"/>
      <c r="Q125" s="18" t="n"/>
      <c r="R125" s="10" t="n"/>
      <c r="S125" s="17" t="n"/>
      <c r="T125" s="18" t="n"/>
      <c r="U125" s="17" t="n"/>
      <c r="V125" s="17" t="n"/>
      <c r="W125" s="18" t="n"/>
      <c r="X125" s="18" t="n"/>
      <c r="Y125" s="17" t="n"/>
      <c r="Z125" s="10" t="n"/>
      <c r="AA125" s="10" t="n"/>
      <c r="AB125" s="19">
        <f>IF(LEN(A125)&gt;0,1,0)</f>
        <v/>
      </c>
      <c r="AC125" s="19">
        <f>IF(LEN(A125)=0,0,(LEN(B125)=0)+(LEN(C125)=0)+(LEN(D125)=0)+(LEN(E125)=0)+(LEN(F125)=0)+(LEN(G125)=0)+(LEN(H125)=0)+(LEN(I125)=0)+(LEN(J125)=0)+(LEN(K125)=0)+(LEN(L125)=0)+(LEN(N125)=0)+(LEN(O125)=0)+(LEN(P125)=0)+(LEN(R125)=0)+(LEN(AA125)=0))</f>
        <v/>
      </c>
      <c r="AD125" s="19">
        <f>IF(OR(LEN(A125)=0,LEN(C125)=0),0,IF(OR(C125&lt;1,C125&gt;5),1,0))</f>
        <v/>
      </c>
      <c r="AE125" s="19">
        <f>IF(OR(LEN(A125)=0,LEN(R125)=0),0,IF(OR(R125="Active",R125="Paid off",R125="Defaulted",R125="Repossessed",R125="Written off",R125="Restructured"),0,1))</f>
        <v/>
      </c>
      <c r="AF125" s="19">
        <f>IF(A125="",0,IF(N(J125)&gt;N(I125),1,0))</f>
        <v/>
      </c>
      <c r="AG125" s="19">
        <f>IF(A125="",0,IF(N(N125)&gt;N(M125)+1,1,0))</f>
        <v/>
      </c>
      <c r="AH125" s="19">
        <f>IF(A125="",0,IF(N(E125)&gt;N(B125),1,0))</f>
        <v/>
      </c>
      <c r="AI125" s="19">
        <f>IF(A125="",0,IF(AND(Z125="Full payment",N(N125)&lt;N(M125)-1),1,0))</f>
        <v/>
      </c>
      <c r="AJ125" s="19">
        <f>IF(A125="",0,IF(N(P125)&lt;0,1,0))</f>
        <v/>
      </c>
      <c r="AK125" s="19">
        <f>IF(A125="",0,IF(COUNTIF($A$7:$A$1006,A125)&gt;1,1,0))</f>
        <v/>
      </c>
    </row>
    <row r="126">
      <c r="A126" s="10" t="n"/>
      <c r="B126" s="17" t="n"/>
      <c r="C126" s="18" t="n"/>
      <c r="D126" s="10" t="n"/>
      <c r="E126" s="17" t="n"/>
      <c r="F126" s="10" t="n"/>
      <c r="G126" s="10" t="n"/>
      <c r="H126" s="10" t="n"/>
      <c r="I126" s="18" t="n"/>
      <c r="J126" s="18" t="n"/>
      <c r="K126" s="18" t="n"/>
      <c r="L126" s="18" t="n"/>
      <c r="M126" s="19">
        <f>IF(K126="","",K126*365/12*L126)</f>
        <v/>
      </c>
      <c r="N126" s="18" t="n"/>
      <c r="O126" s="18" t="n"/>
      <c r="P126" s="18" t="n"/>
      <c r="Q126" s="18" t="n"/>
      <c r="R126" s="10" t="n"/>
      <c r="S126" s="17" t="n"/>
      <c r="T126" s="18" t="n"/>
      <c r="U126" s="17" t="n"/>
      <c r="V126" s="17" t="n"/>
      <c r="W126" s="18" t="n"/>
      <c r="X126" s="18" t="n"/>
      <c r="Y126" s="17" t="n"/>
      <c r="Z126" s="10" t="n"/>
      <c r="AA126" s="10" t="n"/>
      <c r="AB126" s="19">
        <f>IF(LEN(A126)&gt;0,1,0)</f>
        <v/>
      </c>
      <c r="AC126" s="19">
        <f>IF(LEN(A126)=0,0,(LEN(B126)=0)+(LEN(C126)=0)+(LEN(D126)=0)+(LEN(E126)=0)+(LEN(F126)=0)+(LEN(G126)=0)+(LEN(H126)=0)+(LEN(I126)=0)+(LEN(J126)=0)+(LEN(K126)=0)+(LEN(L126)=0)+(LEN(N126)=0)+(LEN(O126)=0)+(LEN(P126)=0)+(LEN(R126)=0)+(LEN(AA126)=0))</f>
        <v/>
      </c>
      <c r="AD126" s="19">
        <f>IF(OR(LEN(A126)=0,LEN(C126)=0),0,IF(OR(C126&lt;1,C126&gt;5),1,0))</f>
        <v/>
      </c>
      <c r="AE126" s="19">
        <f>IF(OR(LEN(A126)=0,LEN(R126)=0),0,IF(OR(R126="Active",R126="Paid off",R126="Defaulted",R126="Repossessed",R126="Written off",R126="Restructured"),0,1))</f>
        <v/>
      </c>
      <c r="AF126" s="19">
        <f>IF(A126="",0,IF(N(J126)&gt;N(I126),1,0))</f>
        <v/>
      </c>
      <c r="AG126" s="19">
        <f>IF(A126="",0,IF(N(N126)&gt;N(M126)+1,1,0))</f>
        <v/>
      </c>
      <c r="AH126" s="19">
        <f>IF(A126="",0,IF(N(E126)&gt;N(B126),1,0))</f>
        <v/>
      </c>
      <c r="AI126" s="19">
        <f>IF(A126="",0,IF(AND(Z126="Full payment",N(N126)&lt;N(M126)-1),1,0))</f>
        <v/>
      </c>
      <c r="AJ126" s="19">
        <f>IF(A126="",0,IF(N(P126)&lt;0,1,0))</f>
        <v/>
      </c>
      <c r="AK126" s="19">
        <f>IF(A126="",0,IF(COUNTIF($A$7:$A$1006,A126)&gt;1,1,0))</f>
        <v/>
      </c>
    </row>
    <row r="127">
      <c r="A127" s="10" t="n"/>
      <c r="B127" s="17" t="n"/>
      <c r="C127" s="18" t="n"/>
      <c r="D127" s="10" t="n"/>
      <c r="E127" s="17" t="n"/>
      <c r="F127" s="10" t="n"/>
      <c r="G127" s="10" t="n"/>
      <c r="H127" s="10" t="n"/>
      <c r="I127" s="18" t="n"/>
      <c r="J127" s="18" t="n"/>
      <c r="K127" s="18" t="n"/>
      <c r="L127" s="18" t="n"/>
      <c r="M127" s="19">
        <f>IF(K127="","",K127*365/12*L127)</f>
        <v/>
      </c>
      <c r="N127" s="18" t="n"/>
      <c r="O127" s="18" t="n"/>
      <c r="P127" s="18" t="n"/>
      <c r="Q127" s="18" t="n"/>
      <c r="R127" s="10" t="n"/>
      <c r="S127" s="17" t="n"/>
      <c r="T127" s="18" t="n"/>
      <c r="U127" s="17" t="n"/>
      <c r="V127" s="17" t="n"/>
      <c r="W127" s="18" t="n"/>
      <c r="X127" s="18" t="n"/>
      <c r="Y127" s="17" t="n"/>
      <c r="Z127" s="10" t="n"/>
      <c r="AA127" s="10" t="n"/>
      <c r="AB127" s="19">
        <f>IF(LEN(A127)&gt;0,1,0)</f>
        <v/>
      </c>
      <c r="AC127" s="19">
        <f>IF(LEN(A127)=0,0,(LEN(B127)=0)+(LEN(C127)=0)+(LEN(D127)=0)+(LEN(E127)=0)+(LEN(F127)=0)+(LEN(G127)=0)+(LEN(H127)=0)+(LEN(I127)=0)+(LEN(J127)=0)+(LEN(K127)=0)+(LEN(L127)=0)+(LEN(N127)=0)+(LEN(O127)=0)+(LEN(P127)=0)+(LEN(R127)=0)+(LEN(AA127)=0))</f>
        <v/>
      </c>
      <c r="AD127" s="19">
        <f>IF(OR(LEN(A127)=0,LEN(C127)=0),0,IF(OR(C127&lt;1,C127&gt;5),1,0))</f>
        <v/>
      </c>
      <c r="AE127" s="19">
        <f>IF(OR(LEN(A127)=0,LEN(R127)=0),0,IF(OR(R127="Active",R127="Paid off",R127="Defaulted",R127="Repossessed",R127="Written off",R127="Restructured"),0,1))</f>
        <v/>
      </c>
      <c r="AF127" s="19">
        <f>IF(A127="",0,IF(N(J127)&gt;N(I127),1,0))</f>
        <v/>
      </c>
      <c r="AG127" s="19">
        <f>IF(A127="",0,IF(N(N127)&gt;N(M127)+1,1,0))</f>
        <v/>
      </c>
      <c r="AH127" s="19">
        <f>IF(A127="",0,IF(N(E127)&gt;N(B127),1,0))</f>
        <v/>
      </c>
      <c r="AI127" s="19">
        <f>IF(A127="",0,IF(AND(Z127="Full payment",N(N127)&lt;N(M127)-1),1,0))</f>
        <v/>
      </c>
      <c r="AJ127" s="19">
        <f>IF(A127="",0,IF(N(P127)&lt;0,1,0))</f>
        <v/>
      </c>
      <c r="AK127" s="19">
        <f>IF(A127="",0,IF(COUNTIF($A$7:$A$1006,A127)&gt;1,1,0))</f>
        <v/>
      </c>
    </row>
    <row r="128">
      <c r="A128" s="10" t="n"/>
      <c r="B128" s="17" t="n"/>
      <c r="C128" s="18" t="n"/>
      <c r="D128" s="10" t="n"/>
      <c r="E128" s="17" t="n"/>
      <c r="F128" s="10" t="n"/>
      <c r="G128" s="10" t="n"/>
      <c r="H128" s="10" t="n"/>
      <c r="I128" s="18" t="n"/>
      <c r="J128" s="18" t="n"/>
      <c r="K128" s="18" t="n"/>
      <c r="L128" s="18" t="n"/>
      <c r="M128" s="19">
        <f>IF(K128="","",K128*365/12*L128)</f>
        <v/>
      </c>
      <c r="N128" s="18" t="n"/>
      <c r="O128" s="18" t="n"/>
      <c r="P128" s="18" t="n"/>
      <c r="Q128" s="18" t="n"/>
      <c r="R128" s="10" t="n"/>
      <c r="S128" s="17" t="n"/>
      <c r="T128" s="18" t="n"/>
      <c r="U128" s="17" t="n"/>
      <c r="V128" s="17" t="n"/>
      <c r="W128" s="18" t="n"/>
      <c r="X128" s="18" t="n"/>
      <c r="Y128" s="17" t="n"/>
      <c r="Z128" s="10" t="n"/>
      <c r="AA128" s="10" t="n"/>
      <c r="AB128" s="19">
        <f>IF(LEN(A128)&gt;0,1,0)</f>
        <v/>
      </c>
      <c r="AC128" s="19">
        <f>IF(LEN(A128)=0,0,(LEN(B128)=0)+(LEN(C128)=0)+(LEN(D128)=0)+(LEN(E128)=0)+(LEN(F128)=0)+(LEN(G128)=0)+(LEN(H128)=0)+(LEN(I128)=0)+(LEN(J128)=0)+(LEN(K128)=0)+(LEN(L128)=0)+(LEN(N128)=0)+(LEN(O128)=0)+(LEN(P128)=0)+(LEN(R128)=0)+(LEN(AA128)=0))</f>
        <v/>
      </c>
      <c r="AD128" s="19">
        <f>IF(OR(LEN(A128)=0,LEN(C128)=0),0,IF(OR(C128&lt;1,C128&gt;5),1,0))</f>
        <v/>
      </c>
      <c r="AE128" s="19">
        <f>IF(OR(LEN(A128)=0,LEN(R128)=0),0,IF(OR(R128="Active",R128="Paid off",R128="Defaulted",R128="Repossessed",R128="Written off",R128="Restructured"),0,1))</f>
        <v/>
      </c>
      <c r="AF128" s="19">
        <f>IF(A128="",0,IF(N(J128)&gt;N(I128),1,0))</f>
        <v/>
      </c>
      <c r="AG128" s="19">
        <f>IF(A128="",0,IF(N(N128)&gt;N(M128)+1,1,0))</f>
        <v/>
      </c>
      <c r="AH128" s="19">
        <f>IF(A128="",0,IF(N(E128)&gt;N(B128),1,0))</f>
        <v/>
      </c>
      <c r="AI128" s="19">
        <f>IF(A128="",0,IF(AND(Z128="Full payment",N(N128)&lt;N(M128)-1),1,0))</f>
        <v/>
      </c>
      <c r="AJ128" s="19">
        <f>IF(A128="",0,IF(N(P128)&lt;0,1,0))</f>
        <v/>
      </c>
      <c r="AK128" s="19">
        <f>IF(A128="",0,IF(COUNTIF($A$7:$A$1006,A128)&gt;1,1,0))</f>
        <v/>
      </c>
    </row>
    <row r="129">
      <c r="A129" s="10" t="n"/>
      <c r="B129" s="17" t="n"/>
      <c r="C129" s="18" t="n"/>
      <c r="D129" s="10" t="n"/>
      <c r="E129" s="17" t="n"/>
      <c r="F129" s="10" t="n"/>
      <c r="G129" s="10" t="n"/>
      <c r="H129" s="10" t="n"/>
      <c r="I129" s="18" t="n"/>
      <c r="J129" s="18" t="n"/>
      <c r="K129" s="18" t="n"/>
      <c r="L129" s="18" t="n"/>
      <c r="M129" s="19">
        <f>IF(K129="","",K129*365/12*L129)</f>
        <v/>
      </c>
      <c r="N129" s="18" t="n"/>
      <c r="O129" s="18" t="n"/>
      <c r="P129" s="18" t="n"/>
      <c r="Q129" s="18" t="n"/>
      <c r="R129" s="10" t="n"/>
      <c r="S129" s="17" t="n"/>
      <c r="T129" s="18" t="n"/>
      <c r="U129" s="17" t="n"/>
      <c r="V129" s="17" t="n"/>
      <c r="W129" s="18" t="n"/>
      <c r="X129" s="18" t="n"/>
      <c r="Y129" s="17" t="n"/>
      <c r="Z129" s="10" t="n"/>
      <c r="AA129" s="10" t="n"/>
      <c r="AB129" s="19">
        <f>IF(LEN(A129)&gt;0,1,0)</f>
        <v/>
      </c>
      <c r="AC129" s="19">
        <f>IF(LEN(A129)=0,0,(LEN(B129)=0)+(LEN(C129)=0)+(LEN(D129)=0)+(LEN(E129)=0)+(LEN(F129)=0)+(LEN(G129)=0)+(LEN(H129)=0)+(LEN(I129)=0)+(LEN(J129)=0)+(LEN(K129)=0)+(LEN(L129)=0)+(LEN(N129)=0)+(LEN(O129)=0)+(LEN(P129)=0)+(LEN(R129)=0)+(LEN(AA129)=0))</f>
        <v/>
      </c>
      <c r="AD129" s="19">
        <f>IF(OR(LEN(A129)=0,LEN(C129)=0),0,IF(OR(C129&lt;1,C129&gt;5),1,0))</f>
        <v/>
      </c>
      <c r="AE129" s="19">
        <f>IF(OR(LEN(A129)=0,LEN(R129)=0),0,IF(OR(R129="Active",R129="Paid off",R129="Defaulted",R129="Repossessed",R129="Written off",R129="Restructured"),0,1))</f>
        <v/>
      </c>
      <c r="AF129" s="19">
        <f>IF(A129="",0,IF(N(J129)&gt;N(I129),1,0))</f>
        <v/>
      </c>
      <c r="AG129" s="19">
        <f>IF(A129="",0,IF(N(N129)&gt;N(M129)+1,1,0))</f>
        <v/>
      </c>
      <c r="AH129" s="19">
        <f>IF(A129="",0,IF(N(E129)&gt;N(B129),1,0))</f>
        <v/>
      </c>
      <c r="AI129" s="19">
        <f>IF(A129="",0,IF(AND(Z129="Full payment",N(N129)&lt;N(M129)-1),1,0))</f>
        <v/>
      </c>
      <c r="AJ129" s="19">
        <f>IF(A129="",0,IF(N(P129)&lt;0,1,0))</f>
        <v/>
      </c>
      <c r="AK129" s="19">
        <f>IF(A129="",0,IF(COUNTIF($A$7:$A$1006,A129)&gt;1,1,0))</f>
        <v/>
      </c>
    </row>
    <row r="130">
      <c r="A130" s="10" t="n"/>
      <c r="B130" s="17" t="n"/>
      <c r="C130" s="18" t="n"/>
      <c r="D130" s="10" t="n"/>
      <c r="E130" s="17" t="n"/>
      <c r="F130" s="10" t="n"/>
      <c r="G130" s="10" t="n"/>
      <c r="H130" s="10" t="n"/>
      <c r="I130" s="18" t="n"/>
      <c r="J130" s="18" t="n"/>
      <c r="K130" s="18" t="n"/>
      <c r="L130" s="18" t="n"/>
      <c r="M130" s="19">
        <f>IF(K130="","",K130*365/12*L130)</f>
        <v/>
      </c>
      <c r="N130" s="18" t="n"/>
      <c r="O130" s="18" t="n"/>
      <c r="P130" s="18" t="n"/>
      <c r="Q130" s="18" t="n"/>
      <c r="R130" s="10" t="n"/>
      <c r="S130" s="17" t="n"/>
      <c r="T130" s="18" t="n"/>
      <c r="U130" s="17" t="n"/>
      <c r="V130" s="17" t="n"/>
      <c r="W130" s="18" t="n"/>
      <c r="X130" s="18" t="n"/>
      <c r="Y130" s="17" t="n"/>
      <c r="Z130" s="10" t="n"/>
      <c r="AA130" s="10" t="n"/>
      <c r="AB130" s="19">
        <f>IF(LEN(A130)&gt;0,1,0)</f>
        <v/>
      </c>
      <c r="AC130" s="19">
        <f>IF(LEN(A130)=0,0,(LEN(B130)=0)+(LEN(C130)=0)+(LEN(D130)=0)+(LEN(E130)=0)+(LEN(F130)=0)+(LEN(G130)=0)+(LEN(H130)=0)+(LEN(I130)=0)+(LEN(J130)=0)+(LEN(K130)=0)+(LEN(L130)=0)+(LEN(N130)=0)+(LEN(O130)=0)+(LEN(P130)=0)+(LEN(R130)=0)+(LEN(AA130)=0))</f>
        <v/>
      </c>
      <c r="AD130" s="19">
        <f>IF(OR(LEN(A130)=0,LEN(C130)=0),0,IF(OR(C130&lt;1,C130&gt;5),1,0))</f>
        <v/>
      </c>
      <c r="AE130" s="19">
        <f>IF(OR(LEN(A130)=0,LEN(R130)=0),0,IF(OR(R130="Active",R130="Paid off",R130="Defaulted",R130="Repossessed",R130="Written off",R130="Restructured"),0,1))</f>
        <v/>
      </c>
      <c r="AF130" s="19">
        <f>IF(A130="",0,IF(N(J130)&gt;N(I130),1,0))</f>
        <v/>
      </c>
      <c r="AG130" s="19">
        <f>IF(A130="",0,IF(N(N130)&gt;N(M130)+1,1,0))</f>
        <v/>
      </c>
      <c r="AH130" s="19">
        <f>IF(A130="",0,IF(N(E130)&gt;N(B130),1,0))</f>
        <v/>
      </c>
      <c r="AI130" s="19">
        <f>IF(A130="",0,IF(AND(Z130="Full payment",N(N130)&lt;N(M130)-1),1,0))</f>
        <v/>
      </c>
      <c r="AJ130" s="19">
        <f>IF(A130="",0,IF(N(P130)&lt;0,1,0))</f>
        <v/>
      </c>
      <c r="AK130" s="19">
        <f>IF(A130="",0,IF(COUNTIF($A$7:$A$1006,A130)&gt;1,1,0))</f>
        <v/>
      </c>
    </row>
    <row r="131">
      <c r="A131" s="10" t="n"/>
      <c r="B131" s="17" t="n"/>
      <c r="C131" s="18" t="n"/>
      <c r="D131" s="10" t="n"/>
      <c r="E131" s="17" t="n"/>
      <c r="F131" s="10" t="n"/>
      <c r="G131" s="10" t="n"/>
      <c r="H131" s="10" t="n"/>
      <c r="I131" s="18" t="n"/>
      <c r="J131" s="18" t="n"/>
      <c r="K131" s="18" t="n"/>
      <c r="L131" s="18" t="n"/>
      <c r="M131" s="19">
        <f>IF(K131="","",K131*365/12*L131)</f>
        <v/>
      </c>
      <c r="N131" s="18" t="n"/>
      <c r="O131" s="18" t="n"/>
      <c r="P131" s="18" t="n"/>
      <c r="Q131" s="18" t="n"/>
      <c r="R131" s="10" t="n"/>
      <c r="S131" s="17" t="n"/>
      <c r="T131" s="18" t="n"/>
      <c r="U131" s="17" t="n"/>
      <c r="V131" s="17" t="n"/>
      <c r="W131" s="18" t="n"/>
      <c r="X131" s="18" t="n"/>
      <c r="Y131" s="17" t="n"/>
      <c r="Z131" s="10" t="n"/>
      <c r="AA131" s="10" t="n"/>
      <c r="AB131" s="19">
        <f>IF(LEN(A131)&gt;0,1,0)</f>
        <v/>
      </c>
      <c r="AC131" s="19">
        <f>IF(LEN(A131)=0,0,(LEN(B131)=0)+(LEN(C131)=0)+(LEN(D131)=0)+(LEN(E131)=0)+(LEN(F131)=0)+(LEN(G131)=0)+(LEN(H131)=0)+(LEN(I131)=0)+(LEN(J131)=0)+(LEN(K131)=0)+(LEN(L131)=0)+(LEN(N131)=0)+(LEN(O131)=0)+(LEN(P131)=0)+(LEN(R131)=0)+(LEN(AA131)=0))</f>
        <v/>
      </c>
      <c r="AD131" s="19">
        <f>IF(OR(LEN(A131)=0,LEN(C131)=0),0,IF(OR(C131&lt;1,C131&gt;5),1,0))</f>
        <v/>
      </c>
      <c r="AE131" s="19">
        <f>IF(OR(LEN(A131)=0,LEN(R131)=0),0,IF(OR(R131="Active",R131="Paid off",R131="Defaulted",R131="Repossessed",R131="Written off",R131="Restructured"),0,1))</f>
        <v/>
      </c>
      <c r="AF131" s="19">
        <f>IF(A131="",0,IF(N(J131)&gt;N(I131),1,0))</f>
        <v/>
      </c>
      <c r="AG131" s="19">
        <f>IF(A131="",0,IF(N(N131)&gt;N(M131)+1,1,0))</f>
        <v/>
      </c>
      <c r="AH131" s="19">
        <f>IF(A131="",0,IF(N(E131)&gt;N(B131),1,0))</f>
        <v/>
      </c>
      <c r="AI131" s="19">
        <f>IF(A131="",0,IF(AND(Z131="Full payment",N(N131)&lt;N(M131)-1),1,0))</f>
        <v/>
      </c>
      <c r="AJ131" s="19">
        <f>IF(A131="",0,IF(N(P131)&lt;0,1,0))</f>
        <v/>
      </c>
      <c r="AK131" s="19">
        <f>IF(A131="",0,IF(COUNTIF($A$7:$A$1006,A131)&gt;1,1,0))</f>
        <v/>
      </c>
    </row>
    <row r="132">
      <c r="A132" s="10" t="n"/>
      <c r="B132" s="17" t="n"/>
      <c r="C132" s="18" t="n"/>
      <c r="D132" s="10" t="n"/>
      <c r="E132" s="17" t="n"/>
      <c r="F132" s="10" t="n"/>
      <c r="G132" s="10" t="n"/>
      <c r="H132" s="10" t="n"/>
      <c r="I132" s="18" t="n"/>
      <c r="J132" s="18" t="n"/>
      <c r="K132" s="18" t="n"/>
      <c r="L132" s="18" t="n"/>
      <c r="M132" s="19">
        <f>IF(K132="","",K132*365/12*L132)</f>
        <v/>
      </c>
      <c r="N132" s="18" t="n"/>
      <c r="O132" s="18" t="n"/>
      <c r="P132" s="18" t="n"/>
      <c r="Q132" s="18" t="n"/>
      <c r="R132" s="10" t="n"/>
      <c r="S132" s="17" t="n"/>
      <c r="T132" s="18" t="n"/>
      <c r="U132" s="17" t="n"/>
      <c r="V132" s="17" t="n"/>
      <c r="W132" s="18" t="n"/>
      <c r="X132" s="18" t="n"/>
      <c r="Y132" s="17" t="n"/>
      <c r="Z132" s="10" t="n"/>
      <c r="AA132" s="10" t="n"/>
      <c r="AB132" s="19">
        <f>IF(LEN(A132)&gt;0,1,0)</f>
        <v/>
      </c>
      <c r="AC132" s="19">
        <f>IF(LEN(A132)=0,0,(LEN(B132)=0)+(LEN(C132)=0)+(LEN(D132)=0)+(LEN(E132)=0)+(LEN(F132)=0)+(LEN(G132)=0)+(LEN(H132)=0)+(LEN(I132)=0)+(LEN(J132)=0)+(LEN(K132)=0)+(LEN(L132)=0)+(LEN(N132)=0)+(LEN(O132)=0)+(LEN(P132)=0)+(LEN(R132)=0)+(LEN(AA132)=0))</f>
        <v/>
      </c>
      <c r="AD132" s="19">
        <f>IF(OR(LEN(A132)=0,LEN(C132)=0),0,IF(OR(C132&lt;1,C132&gt;5),1,0))</f>
        <v/>
      </c>
      <c r="AE132" s="19">
        <f>IF(OR(LEN(A132)=0,LEN(R132)=0),0,IF(OR(R132="Active",R132="Paid off",R132="Defaulted",R132="Repossessed",R132="Written off",R132="Restructured"),0,1))</f>
        <v/>
      </c>
      <c r="AF132" s="19">
        <f>IF(A132="",0,IF(N(J132)&gt;N(I132),1,0))</f>
        <v/>
      </c>
      <c r="AG132" s="19">
        <f>IF(A132="",0,IF(N(N132)&gt;N(M132)+1,1,0))</f>
        <v/>
      </c>
      <c r="AH132" s="19">
        <f>IF(A132="",0,IF(N(E132)&gt;N(B132),1,0))</f>
        <v/>
      </c>
      <c r="AI132" s="19">
        <f>IF(A132="",0,IF(AND(Z132="Full payment",N(N132)&lt;N(M132)-1),1,0))</f>
        <v/>
      </c>
      <c r="AJ132" s="19">
        <f>IF(A132="",0,IF(N(P132)&lt;0,1,0))</f>
        <v/>
      </c>
      <c r="AK132" s="19">
        <f>IF(A132="",0,IF(COUNTIF($A$7:$A$1006,A132)&gt;1,1,0))</f>
        <v/>
      </c>
    </row>
    <row r="133">
      <c r="A133" s="10" t="n"/>
      <c r="B133" s="17" t="n"/>
      <c r="C133" s="18" t="n"/>
      <c r="D133" s="10" t="n"/>
      <c r="E133" s="17" t="n"/>
      <c r="F133" s="10" t="n"/>
      <c r="G133" s="10" t="n"/>
      <c r="H133" s="10" t="n"/>
      <c r="I133" s="18" t="n"/>
      <c r="J133" s="18" t="n"/>
      <c r="K133" s="18" t="n"/>
      <c r="L133" s="18" t="n"/>
      <c r="M133" s="19">
        <f>IF(K133="","",K133*365/12*L133)</f>
        <v/>
      </c>
      <c r="N133" s="18" t="n"/>
      <c r="O133" s="18" t="n"/>
      <c r="P133" s="18" t="n"/>
      <c r="Q133" s="18" t="n"/>
      <c r="R133" s="10" t="n"/>
      <c r="S133" s="17" t="n"/>
      <c r="T133" s="18" t="n"/>
      <c r="U133" s="17" t="n"/>
      <c r="V133" s="17" t="n"/>
      <c r="W133" s="18" t="n"/>
      <c r="X133" s="18" t="n"/>
      <c r="Y133" s="17" t="n"/>
      <c r="Z133" s="10" t="n"/>
      <c r="AA133" s="10" t="n"/>
      <c r="AB133" s="19">
        <f>IF(LEN(A133)&gt;0,1,0)</f>
        <v/>
      </c>
      <c r="AC133" s="19">
        <f>IF(LEN(A133)=0,0,(LEN(B133)=0)+(LEN(C133)=0)+(LEN(D133)=0)+(LEN(E133)=0)+(LEN(F133)=0)+(LEN(G133)=0)+(LEN(H133)=0)+(LEN(I133)=0)+(LEN(J133)=0)+(LEN(K133)=0)+(LEN(L133)=0)+(LEN(N133)=0)+(LEN(O133)=0)+(LEN(P133)=0)+(LEN(R133)=0)+(LEN(AA133)=0))</f>
        <v/>
      </c>
      <c r="AD133" s="19">
        <f>IF(OR(LEN(A133)=0,LEN(C133)=0),0,IF(OR(C133&lt;1,C133&gt;5),1,0))</f>
        <v/>
      </c>
      <c r="AE133" s="19">
        <f>IF(OR(LEN(A133)=0,LEN(R133)=0),0,IF(OR(R133="Active",R133="Paid off",R133="Defaulted",R133="Repossessed",R133="Written off",R133="Restructured"),0,1))</f>
        <v/>
      </c>
      <c r="AF133" s="19">
        <f>IF(A133="",0,IF(N(J133)&gt;N(I133),1,0))</f>
        <v/>
      </c>
      <c r="AG133" s="19">
        <f>IF(A133="",0,IF(N(N133)&gt;N(M133)+1,1,0))</f>
        <v/>
      </c>
      <c r="AH133" s="19">
        <f>IF(A133="",0,IF(N(E133)&gt;N(B133),1,0))</f>
        <v/>
      </c>
      <c r="AI133" s="19">
        <f>IF(A133="",0,IF(AND(Z133="Full payment",N(N133)&lt;N(M133)-1),1,0))</f>
        <v/>
      </c>
      <c r="AJ133" s="19">
        <f>IF(A133="",0,IF(N(P133)&lt;0,1,0))</f>
        <v/>
      </c>
      <c r="AK133" s="19">
        <f>IF(A133="",0,IF(COUNTIF($A$7:$A$1006,A133)&gt;1,1,0))</f>
        <v/>
      </c>
    </row>
    <row r="134">
      <c r="A134" s="10" t="n"/>
      <c r="B134" s="17" t="n"/>
      <c r="C134" s="18" t="n"/>
      <c r="D134" s="10" t="n"/>
      <c r="E134" s="17" t="n"/>
      <c r="F134" s="10" t="n"/>
      <c r="G134" s="10" t="n"/>
      <c r="H134" s="10" t="n"/>
      <c r="I134" s="18" t="n"/>
      <c r="J134" s="18" t="n"/>
      <c r="K134" s="18" t="n"/>
      <c r="L134" s="18" t="n"/>
      <c r="M134" s="19">
        <f>IF(K134="","",K134*365/12*L134)</f>
        <v/>
      </c>
      <c r="N134" s="18" t="n"/>
      <c r="O134" s="18" t="n"/>
      <c r="P134" s="18" t="n"/>
      <c r="Q134" s="18" t="n"/>
      <c r="R134" s="10" t="n"/>
      <c r="S134" s="17" t="n"/>
      <c r="T134" s="18" t="n"/>
      <c r="U134" s="17" t="n"/>
      <c r="V134" s="17" t="n"/>
      <c r="W134" s="18" t="n"/>
      <c r="X134" s="18" t="n"/>
      <c r="Y134" s="17" t="n"/>
      <c r="Z134" s="10" t="n"/>
      <c r="AA134" s="10" t="n"/>
      <c r="AB134" s="19">
        <f>IF(LEN(A134)&gt;0,1,0)</f>
        <v/>
      </c>
      <c r="AC134" s="19">
        <f>IF(LEN(A134)=0,0,(LEN(B134)=0)+(LEN(C134)=0)+(LEN(D134)=0)+(LEN(E134)=0)+(LEN(F134)=0)+(LEN(G134)=0)+(LEN(H134)=0)+(LEN(I134)=0)+(LEN(J134)=0)+(LEN(K134)=0)+(LEN(L134)=0)+(LEN(N134)=0)+(LEN(O134)=0)+(LEN(P134)=0)+(LEN(R134)=0)+(LEN(AA134)=0))</f>
        <v/>
      </c>
      <c r="AD134" s="19">
        <f>IF(OR(LEN(A134)=0,LEN(C134)=0),0,IF(OR(C134&lt;1,C134&gt;5),1,0))</f>
        <v/>
      </c>
      <c r="AE134" s="19">
        <f>IF(OR(LEN(A134)=0,LEN(R134)=0),0,IF(OR(R134="Active",R134="Paid off",R134="Defaulted",R134="Repossessed",R134="Written off",R134="Restructured"),0,1))</f>
        <v/>
      </c>
      <c r="AF134" s="19">
        <f>IF(A134="",0,IF(N(J134)&gt;N(I134),1,0))</f>
        <v/>
      </c>
      <c r="AG134" s="19">
        <f>IF(A134="",0,IF(N(N134)&gt;N(M134)+1,1,0))</f>
        <v/>
      </c>
      <c r="AH134" s="19">
        <f>IF(A134="",0,IF(N(E134)&gt;N(B134),1,0))</f>
        <v/>
      </c>
      <c r="AI134" s="19">
        <f>IF(A134="",0,IF(AND(Z134="Full payment",N(N134)&lt;N(M134)-1),1,0))</f>
        <v/>
      </c>
      <c r="AJ134" s="19">
        <f>IF(A134="",0,IF(N(P134)&lt;0,1,0))</f>
        <v/>
      </c>
      <c r="AK134" s="19">
        <f>IF(A134="",0,IF(COUNTIF($A$7:$A$1006,A134)&gt;1,1,0))</f>
        <v/>
      </c>
    </row>
    <row r="135">
      <c r="A135" s="10" t="n"/>
      <c r="B135" s="17" t="n"/>
      <c r="C135" s="18" t="n"/>
      <c r="D135" s="10" t="n"/>
      <c r="E135" s="17" t="n"/>
      <c r="F135" s="10" t="n"/>
      <c r="G135" s="10" t="n"/>
      <c r="H135" s="10" t="n"/>
      <c r="I135" s="18" t="n"/>
      <c r="J135" s="18" t="n"/>
      <c r="K135" s="18" t="n"/>
      <c r="L135" s="18" t="n"/>
      <c r="M135" s="19">
        <f>IF(K135="","",K135*365/12*L135)</f>
        <v/>
      </c>
      <c r="N135" s="18" t="n"/>
      <c r="O135" s="18" t="n"/>
      <c r="P135" s="18" t="n"/>
      <c r="Q135" s="18" t="n"/>
      <c r="R135" s="10" t="n"/>
      <c r="S135" s="17" t="n"/>
      <c r="T135" s="18" t="n"/>
      <c r="U135" s="17" t="n"/>
      <c r="V135" s="17" t="n"/>
      <c r="W135" s="18" t="n"/>
      <c r="X135" s="18" t="n"/>
      <c r="Y135" s="17" t="n"/>
      <c r="Z135" s="10" t="n"/>
      <c r="AA135" s="10" t="n"/>
      <c r="AB135" s="19">
        <f>IF(LEN(A135)&gt;0,1,0)</f>
        <v/>
      </c>
      <c r="AC135" s="19">
        <f>IF(LEN(A135)=0,0,(LEN(B135)=0)+(LEN(C135)=0)+(LEN(D135)=0)+(LEN(E135)=0)+(LEN(F135)=0)+(LEN(G135)=0)+(LEN(H135)=0)+(LEN(I135)=0)+(LEN(J135)=0)+(LEN(K135)=0)+(LEN(L135)=0)+(LEN(N135)=0)+(LEN(O135)=0)+(LEN(P135)=0)+(LEN(R135)=0)+(LEN(AA135)=0))</f>
        <v/>
      </c>
      <c r="AD135" s="19">
        <f>IF(OR(LEN(A135)=0,LEN(C135)=0),0,IF(OR(C135&lt;1,C135&gt;5),1,0))</f>
        <v/>
      </c>
      <c r="AE135" s="19">
        <f>IF(OR(LEN(A135)=0,LEN(R135)=0),0,IF(OR(R135="Active",R135="Paid off",R135="Defaulted",R135="Repossessed",R135="Written off",R135="Restructured"),0,1))</f>
        <v/>
      </c>
      <c r="AF135" s="19">
        <f>IF(A135="",0,IF(N(J135)&gt;N(I135),1,0))</f>
        <v/>
      </c>
      <c r="AG135" s="19">
        <f>IF(A135="",0,IF(N(N135)&gt;N(M135)+1,1,0))</f>
        <v/>
      </c>
      <c r="AH135" s="19">
        <f>IF(A135="",0,IF(N(E135)&gt;N(B135),1,0))</f>
        <v/>
      </c>
      <c r="AI135" s="19">
        <f>IF(A135="",0,IF(AND(Z135="Full payment",N(N135)&lt;N(M135)-1),1,0))</f>
        <v/>
      </c>
      <c r="AJ135" s="19">
        <f>IF(A135="",0,IF(N(P135)&lt;0,1,0))</f>
        <v/>
      </c>
      <c r="AK135" s="19">
        <f>IF(A135="",0,IF(COUNTIF($A$7:$A$1006,A135)&gt;1,1,0))</f>
        <v/>
      </c>
    </row>
    <row r="136">
      <c r="A136" s="10" t="n"/>
      <c r="B136" s="17" t="n"/>
      <c r="C136" s="18" t="n"/>
      <c r="D136" s="10" t="n"/>
      <c r="E136" s="17" t="n"/>
      <c r="F136" s="10" t="n"/>
      <c r="G136" s="10" t="n"/>
      <c r="H136" s="10" t="n"/>
      <c r="I136" s="18" t="n"/>
      <c r="J136" s="18" t="n"/>
      <c r="K136" s="18" t="n"/>
      <c r="L136" s="18" t="n"/>
      <c r="M136" s="19">
        <f>IF(K136="","",K136*365/12*L136)</f>
        <v/>
      </c>
      <c r="N136" s="18" t="n"/>
      <c r="O136" s="18" t="n"/>
      <c r="P136" s="18" t="n"/>
      <c r="Q136" s="18" t="n"/>
      <c r="R136" s="10" t="n"/>
      <c r="S136" s="17" t="n"/>
      <c r="T136" s="18" t="n"/>
      <c r="U136" s="17" t="n"/>
      <c r="V136" s="17" t="n"/>
      <c r="W136" s="18" t="n"/>
      <c r="X136" s="18" t="n"/>
      <c r="Y136" s="17" t="n"/>
      <c r="Z136" s="10" t="n"/>
      <c r="AA136" s="10" t="n"/>
      <c r="AB136" s="19">
        <f>IF(LEN(A136)&gt;0,1,0)</f>
        <v/>
      </c>
      <c r="AC136" s="19">
        <f>IF(LEN(A136)=0,0,(LEN(B136)=0)+(LEN(C136)=0)+(LEN(D136)=0)+(LEN(E136)=0)+(LEN(F136)=0)+(LEN(G136)=0)+(LEN(H136)=0)+(LEN(I136)=0)+(LEN(J136)=0)+(LEN(K136)=0)+(LEN(L136)=0)+(LEN(N136)=0)+(LEN(O136)=0)+(LEN(P136)=0)+(LEN(R136)=0)+(LEN(AA136)=0))</f>
        <v/>
      </c>
      <c r="AD136" s="19">
        <f>IF(OR(LEN(A136)=0,LEN(C136)=0),0,IF(OR(C136&lt;1,C136&gt;5),1,0))</f>
        <v/>
      </c>
      <c r="AE136" s="19">
        <f>IF(OR(LEN(A136)=0,LEN(R136)=0),0,IF(OR(R136="Active",R136="Paid off",R136="Defaulted",R136="Repossessed",R136="Written off",R136="Restructured"),0,1))</f>
        <v/>
      </c>
      <c r="AF136" s="19">
        <f>IF(A136="",0,IF(N(J136)&gt;N(I136),1,0))</f>
        <v/>
      </c>
      <c r="AG136" s="19">
        <f>IF(A136="",0,IF(N(N136)&gt;N(M136)+1,1,0))</f>
        <v/>
      </c>
      <c r="AH136" s="19">
        <f>IF(A136="",0,IF(N(E136)&gt;N(B136),1,0))</f>
        <v/>
      </c>
      <c r="AI136" s="19">
        <f>IF(A136="",0,IF(AND(Z136="Full payment",N(N136)&lt;N(M136)-1),1,0))</f>
        <v/>
      </c>
      <c r="AJ136" s="19">
        <f>IF(A136="",0,IF(N(P136)&lt;0,1,0))</f>
        <v/>
      </c>
      <c r="AK136" s="19">
        <f>IF(A136="",0,IF(COUNTIF($A$7:$A$1006,A136)&gt;1,1,0))</f>
        <v/>
      </c>
    </row>
    <row r="137">
      <c r="A137" s="10" t="n"/>
      <c r="B137" s="17" t="n"/>
      <c r="C137" s="18" t="n"/>
      <c r="D137" s="10" t="n"/>
      <c r="E137" s="17" t="n"/>
      <c r="F137" s="10" t="n"/>
      <c r="G137" s="10" t="n"/>
      <c r="H137" s="10" t="n"/>
      <c r="I137" s="18" t="n"/>
      <c r="J137" s="18" t="n"/>
      <c r="K137" s="18" t="n"/>
      <c r="L137" s="18" t="n"/>
      <c r="M137" s="19">
        <f>IF(K137="","",K137*365/12*L137)</f>
        <v/>
      </c>
      <c r="N137" s="18" t="n"/>
      <c r="O137" s="18" t="n"/>
      <c r="P137" s="18" t="n"/>
      <c r="Q137" s="18" t="n"/>
      <c r="R137" s="10" t="n"/>
      <c r="S137" s="17" t="n"/>
      <c r="T137" s="18" t="n"/>
      <c r="U137" s="17" t="n"/>
      <c r="V137" s="17" t="n"/>
      <c r="W137" s="18" t="n"/>
      <c r="X137" s="18" t="n"/>
      <c r="Y137" s="17" t="n"/>
      <c r="Z137" s="10" t="n"/>
      <c r="AA137" s="10" t="n"/>
      <c r="AB137" s="19">
        <f>IF(LEN(A137)&gt;0,1,0)</f>
        <v/>
      </c>
      <c r="AC137" s="19">
        <f>IF(LEN(A137)=0,0,(LEN(B137)=0)+(LEN(C137)=0)+(LEN(D137)=0)+(LEN(E137)=0)+(LEN(F137)=0)+(LEN(G137)=0)+(LEN(H137)=0)+(LEN(I137)=0)+(LEN(J137)=0)+(LEN(K137)=0)+(LEN(L137)=0)+(LEN(N137)=0)+(LEN(O137)=0)+(LEN(P137)=0)+(LEN(R137)=0)+(LEN(AA137)=0))</f>
        <v/>
      </c>
      <c r="AD137" s="19">
        <f>IF(OR(LEN(A137)=0,LEN(C137)=0),0,IF(OR(C137&lt;1,C137&gt;5),1,0))</f>
        <v/>
      </c>
      <c r="AE137" s="19">
        <f>IF(OR(LEN(A137)=0,LEN(R137)=0),0,IF(OR(R137="Active",R137="Paid off",R137="Defaulted",R137="Repossessed",R137="Written off",R137="Restructured"),0,1))</f>
        <v/>
      </c>
      <c r="AF137" s="19">
        <f>IF(A137="",0,IF(N(J137)&gt;N(I137),1,0))</f>
        <v/>
      </c>
      <c r="AG137" s="19">
        <f>IF(A137="",0,IF(N(N137)&gt;N(M137)+1,1,0))</f>
        <v/>
      </c>
      <c r="AH137" s="19">
        <f>IF(A137="",0,IF(N(E137)&gt;N(B137),1,0))</f>
        <v/>
      </c>
      <c r="AI137" s="19">
        <f>IF(A137="",0,IF(AND(Z137="Full payment",N(N137)&lt;N(M137)-1),1,0))</f>
        <v/>
      </c>
      <c r="AJ137" s="19">
        <f>IF(A137="",0,IF(N(P137)&lt;0,1,0))</f>
        <v/>
      </c>
      <c r="AK137" s="19">
        <f>IF(A137="",0,IF(COUNTIF($A$7:$A$1006,A137)&gt;1,1,0))</f>
        <v/>
      </c>
    </row>
    <row r="138">
      <c r="A138" s="10" t="n"/>
      <c r="B138" s="17" t="n"/>
      <c r="C138" s="18" t="n"/>
      <c r="D138" s="10" t="n"/>
      <c r="E138" s="17" t="n"/>
      <c r="F138" s="10" t="n"/>
      <c r="G138" s="10" t="n"/>
      <c r="H138" s="10" t="n"/>
      <c r="I138" s="18" t="n"/>
      <c r="J138" s="18" t="n"/>
      <c r="K138" s="18" t="n"/>
      <c r="L138" s="18" t="n"/>
      <c r="M138" s="19">
        <f>IF(K138="","",K138*365/12*L138)</f>
        <v/>
      </c>
      <c r="N138" s="18" t="n"/>
      <c r="O138" s="18" t="n"/>
      <c r="P138" s="18" t="n"/>
      <c r="Q138" s="18" t="n"/>
      <c r="R138" s="10" t="n"/>
      <c r="S138" s="17" t="n"/>
      <c r="T138" s="18" t="n"/>
      <c r="U138" s="17" t="n"/>
      <c r="V138" s="17" t="n"/>
      <c r="W138" s="18" t="n"/>
      <c r="X138" s="18" t="n"/>
      <c r="Y138" s="17" t="n"/>
      <c r="Z138" s="10" t="n"/>
      <c r="AA138" s="10" t="n"/>
      <c r="AB138" s="19">
        <f>IF(LEN(A138)&gt;0,1,0)</f>
        <v/>
      </c>
      <c r="AC138" s="19">
        <f>IF(LEN(A138)=0,0,(LEN(B138)=0)+(LEN(C138)=0)+(LEN(D138)=0)+(LEN(E138)=0)+(LEN(F138)=0)+(LEN(G138)=0)+(LEN(H138)=0)+(LEN(I138)=0)+(LEN(J138)=0)+(LEN(K138)=0)+(LEN(L138)=0)+(LEN(N138)=0)+(LEN(O138)=0)+(LEN(P138)=0)+(LEN(R138)=0)+(LEN(AA138)=0))</f>
        <v/>
      </c>
      <c r="AD138" s="19">
        <f>IF(OR(LEN(A138)=0,LEN(C138)=0),0,IF(OR(C138&lt;1,C138&gt;5),1,0))</f>
        <v/>
      </c>
      <c r="AE138" s="19">
        <f>IF(OR(LEN(A138)=0,LEN(R138)=0),0,IF(OR(R138="Active",R138="Paid off",R138="Defaulted",R138="Repossessed",R138="Written off",R138="Restructured"),0,1))</f>
        <v/>
      </c>
      <c r="AF138" s="19">
        <f>IF(A138="",0,IF(N(J138)&gt;N(I138),1,0))</f>
        <v/>
      </c>
      <c r="AG138" s="19">
        <f>IF(A138="",0,IF(N(N138)&gt;N(M138)+1,1,0))</f>
        <v/>
      </c>
      <c r="AH138" s="19">
        <f>IF(A138="",0,IF(N(E138)&gt;N(B138),1,0))</f>
        <v/>
      </c>
      <c r="AI138" s="19">
        <f>IF(A138="",0,IF(AND(Z138="Full payment",N(N138)&lt;N(M138)-1),1,0))</f>
        <v/>
      </c>
      <c r="AJ138" s="19">
        <f>IF(A138="",0,IF(N(P138)&lt;0,1,0))</f>
        <v/>
      </c>
      <c r="AK138" s="19">
        <f>IF(A138="",0,IF(COUNTIF($A$7:$A$1006,A138)&gt;1,1,0))</f>
        <v/>
      </c>
    </row>
    <row r="139">
      <c r="A139" s="10" t="n"/>
      <c r="B139" s="17" t="n"/>
      <c r="C139" s="18" t="n"/>
      <c r="D139" s="10" t="n"/>
      <c r="E139" s="17" t="n"/>
      <c r="F139" s="10" t="n"/>
      <c r="G139" s="10" t="n"/>
      <c r="H139" s="10" t="n"/>
      <c r="I139" s="18" t="n"/>
      <c r="J139" s="18" t="n"/>
      <c r="K139" s="18" t="n"/>
      <c r="L139" s="18" t="n"/>
      <c r="M139" s="19">
        <f>IF(K139="","",K139*365/12*L139)</f>
        <v/>
      </c>
      <c r="N139" s="18" t="n"/>
      <c r="O139" s="18" t="n"/>
      <c r="P139" s="18" t="n"/>
      <c r="Q139" s="18" t="n"/>
      <c r="R139" s="10" t="n"/>
      <c r="S139" s="17" t="n"/>
      <c r="T139" s="18" t="n"/>
      <c r="U139" s="17" t="n"/>
      <c r="V139" s="17" t="n"/>
      <c r="W139" s="18" t="n"/>
      <c r="X139" s="18" t="n"/>
      <c r="Y139" s="17" t="n"/>
      <c r="Z139" s="10" t="n"/>
      <c r="AA139" s="10" t="n"/>
      <c r="AB139" s="19">
        <f>IF(LEN(A139)&gt;0,1,0)</f>
        <v/>
      </c>
      <c r="AC139" s="19">
        <f>IF(LEN(A139)=0,0,(LEN(B139)=0)+(LEN(C139)=0)+(LEN(D139)=0)+(LEN(E139)=0)+(LEN(F139)=0)+(LEN(G139)=0)+(LEN(H139)=0)+(LEN(I139)=0)+(LEN(J139)=0)+(LEN(K139)=0)+(LEN(L139)=0)+(LEN(N139)=0)+(LEN(O139)=0)+(LEN(P139)=0)+(LEN(R139)=0)+(LEN(AA139)=0))</f>
        <v/>
      </c>
      <c r="AD139" s="19">
        <f>IF(OR(LEN(A139)=0,LEN(C139)=0),0,IF(OR(C139&lt;1,C139&gt;5),1,0))</f>
        <v/>
      </c>
      <c r="AE139" s="19">
        <f>IF(OR(LEN(A139)=0,LEN(R139)=0),0,IF(OR(R139="Active",R139="Paid off",R139="Defaulted",R139="Repossessed",R139="Written off",R139="Restructured"),0,1))</f>
        <v/>
      </c>
      <c r="AF139" s="19">
        <f>IF(A139="",0,IF(N(J139)&gt;N(I139),1,0))</f>
        <v/>
      </c>
      <c r="AG139" s="19">
        <f>IF(A139="",0,IF(N(N139)&gt;N(M139)+1,1,0))</f>
        <v/>
      </c>
      <c r="AH139" s="19">
        <f>IF(A139="",0,IF(N(E139)&gt;N(B139),1,0))</f>
        <v/>
      </c>
      <c r="AI139" s="19">
        <f>IF(A139="",0,IF(AND(Z139="Full payment",N(N139)&lt;N(M139)-1),1,0))</f>
        <v/>
      </c>
      <c r="AJ139" s="19">
        <f>IF(A139="",0,IF(N(P139)&lt;0,1,0))</f>
        <v/>
      </c>
      <c r="AK139" s="19">
        <f>IF(A139="",0,IF(COUNTIF($A$7:$A$1006,A139)&gt;1,1,0))</f>
        <v/>
      </c>
    </row>
    <row r="140">
      <c r="A140" s="10" t="n"/>
      <c r="B140" s="17" t="n"/>
      <c r="C140" s="18" t="n"/>
      <c r="D140" s="10" t="n"/>
      <c r="E140" s="17" t="n"/>
      <c r="F140" s="10" t="n"/>
      <c r="G140" s="10" t="n"/>
      <c r="H140" s="10" t="n"/>
      <c r="I140" s="18" t="n"/>
      <c r="J140" s="18" t="n"/>
      <c r="K140" s="18" t="n"/>
      <c r="L140" s="18" t="n"/>
      <c r="M140" s="19">
        <f>IF(K140="","",K140*365/12*L140)</f>
        <v/>
      </c>
      <c r="N140" s="18" t="n"/>
      <c r="O140" s="18" t="n"/>
      <c r="P140" s="18" t="n"/>
      <c r="Q140" s="18" t="n"/>
      <c r="R140" s="10" t="n"/>
      <c r="S140" s="17" t="n"/>
      <c r="T140" s="18" t="n"/>
      <c r="U140" s="17" t="n"/>
      <c r="V140" s="17" t="n"/>
      <c r="W140" s="18" t="n"/>
      <c r="X140" s="18" t="n"/>
      <c r="Y140" s="17" t="n"/>
      <c r="Z140" s="10" t="n"/>
      <c r="AA140" s="10" t="n"/>
      <c r="AB140" s="19">
        <f>IF(LEN(A140)&gt;0,1,0)</f>
        <v/>
      </c>
      <c r="AC140" s="19">
        <f>IF(LEN(A140)=0,0,(LEN(B140)=0)+(LEN(C140)=0)+(LEN(D140)=0)+(LEN(E140)=0)+(LEN(F140)=0)+(LEN(G140)=0)+(LEN(H140)=0)+(LEN(I140)=0)+(LEN(J140)=0)+(LEN(K140)=0)+(LEN(L140)=0)+(LEN(N140)=0)+(LEN(O140)=0)+(LEN(P140)=0)+(LEN(R140)=0)+(LEN(AA140)=0))</f>
        <v/>
      </c>
      <c r="AD140" s="19">
        <f>IF(OR(LEN(A140)=0,LEN(C140)=0),0,IF(OR(C140&lt;1,C140&gt;5),1,0))</f>
        <v/>
      </c>
      <c r="AE140" s="19">
        <f>IF(OR(LEN(A140)=0,LEN(R140)=0),0,IF(OR(R140="Active",R140="Paid off",R140="Defaulted",R140="Repossessed",R140="Written off",R140="Restructured"),0,1))</f>
        <v/>
      </c>
      <c r="AF140" s="19">
        <f>IF(A140="",0,IF(N(J140)&gt;N(I140),1,0))</f>
        <v/>
      </c>
      <c r="AG140" s="19">
        <f>IF(A140="",0,IF(N(N140)&gt;N(M140)+1,1,0))</f>
        <v/>
      </c>
      <c r="AH140" s="19">
        <f>IF(A140="",0,IF(N(E140)&gt;N(B140),1,0))</f>
        <v/>
      </c>
      <c r="AI140" s="19">
        <f>IF(A140="",0,IF(AND(Z140="Full payment",N(N140)&lt;N(M140)-1),1,0))</f>
        <v/>
      </c>
      <c r="AJ140" s="19">
        <f>IF(A140="",0,IF(N(P140)&lt;0,1,0))</f>
        <v/>
      </c>
      <c r="AK140" s="19">
        <f>IF(A140="",0,IF(COUNTIF($A$7:$A$1006,A140)&gt;1,1,0))</f>
        <v/>
      </c>
    </row>
    <row r="141">
      <c r="A141" s="10" t="n"/>
      <c r="B141" s="17" t="n"/>
      <c r="C141" s="18" t="n"/>
      <c r="D141" s="10" t="n"/>
      <c r="E141" s="17" t="n"/>
      <c r="F141" s="10" t="n"/>
      <c r="G141" s="10" t="n"/>
      <c r="H141" s="10" t="n"/>
      <c r="I141" s="18" t="n"/>
      <c r="J141" s="18" t="n"/>
      <c r="K141" s="18" t="n"/>
      <c r="L141" s="18" t="n"/>
      <c r="M141" s="19">
        <f>IF(K141="","",K141*365/12*L141)</f>
        <v/>
      </c>
      <c r="N141" s="18" t="n"/>
      <c r="O141" s="18" t="n"/>
      <c r="P141" s="18" t="n"/>
      <c r="Q141" s="18" t="n"/>
      <c r="R141" s="10" t="n"/>
      <c r="S141" s="17" t="n"/>
      <c r="T141" s="18" t="n"/>
      <c r="U141" s="17" t="n"/>
      <c r="V141" s="17" t="n"/>
      <c r="W141" s="18" t="n"/>
      <c r="X141" s="18" t="n"/>
      <c r="Y141" s="17" t="n"/>
      <c r="Z141" s="10" t="n"/>
      <c r="AA141" s="10" t="n"/>
      <c r="AB141" s="19">
        <f>IF(LEN(A141)&gt;0,1,0)</f>
        <v/>
      </c>
      <c r="AC141" s="19">
        <f>IF(LEN(A141)=0,0,(LEN(B141)=0)+(LEN(C141)=0)+(LEN(D141)=0)+(LEN(E141)=0)+(LEN(F141)=0)+(LEN(G141)=0)+(LEN(H141)=0)+(LEN(I141)=0)+(LEN(J141)=0)+(LEN(K141)=0)+(LEN(L141)=0)+(LEN(N141)=0)+(LEN(O141)=0)+(LEN(P141)=0)+(LEN(R141)=0)+(LEN(AA141)=0))</f>
        <v/>
      </c>
      <c r="AD141" s="19">
        <f>IF(OR(LEN(A141)=0,LEN(C141)=0),0,IF(OR(C141&lt;1,C141&gt;5),1,0))</f>
        <v/>
      </c>
      <c r="AE141" s="19">
        <f>IF(OR(LEN(A141)=0,LEN(R141)=0),0,IF(OR(R141="Active",R141="Paid off",R141="Defaulted",R141="Repossessed",R141="Written off",R141="Restructured"),0,1))</f>
        <v/>
      </c>
      <c r="AF141" s="19">
        <f>IF(A141="",0,IF(N(J141)&gt;N(I141),1,0))</f>
        <v/>
      </c>
      <c r="AG141" s="19">
        <f>IF(A141="",0,IF(N(N141)&gt;N(M141)+1,1,0))</f>
        <v/>
      </c>
      <c r="AH141" s="19">
        <f>IF(A141="",0,IF(N(E141)&gt;N(B141),1,0))</f>
        <v/>
      </c>
      <c r="AI141" s="19">
        <f>IF(A141="",0,IF(AND(Z141="Full payment",N(N141)&lt;N(M141)-1),1,0))</f>
        <v/>
      </c>
      <c r="AJ141" s="19">
        <f>IF(A141="",0,IF(N(P141)&lt;0,1,0))</f>
        <v/>
      </c>
      <c r="AK141" s="19">
        <f>IF(A141="",0,IF(COUNTIF($A$7:$A$1006,A141)&gt;1,1,0))</f>
        <v/>
      </c>
    </row>
    <row r="142">
      <c r="A142" s="10" t="n"/>
      <c r="B142" s="17" t="n"/>
      <c r="C142" s="18" t="n"/>
      <c r="D142" s="10" t="n"/>
      <c r="E142" s="17" t="n"/>
      <c r="F142" s="10" t="n"/>
      <c r="G142" s="10" t="n"/>
      <c r="H142" s="10" t="n"/>
      <c r="I142" s="18" t="n"/>
      <c r="J142" s="18" t="n"/>
      <c r="K142" s="18" t="n"/>
      <c r="L142" s="18" t="n"/>
      <c r="M142" s="19">
        <f>IF(K142="","",K142*365/12*L142)</f>
        <v/>
      </c>
      <c r="N142" s="18" t="n"/>
      <c r="O142" s="18" t="n"/>
      <c r="P142" s="18" t="n"/>
      <c r="Q142" s="18" t="n"/>
      <c r="R142" s="10" t="n"/>
      <c r="S142" s="17" t="n"/>
      <c r="T142" s="18" t="n"/>
      <c r="U142" s="17" t="n"/>
      <c r="V142" s="17" t="n"/>
      <c r="W142" s="18" t="n"/>
      <c r="X142" s="18" t="n"/>
      <c r="Y142" s="17" t="n"/>
      <c r="Z142" s="10" t="n"/>
      <c r="AA142" s="10" t="n"/>
      <c r="AB142" s="19">
        <f>IF(LEN(A142)&gt;0,1,0)</f>
        <v/>
      </c>
      <c r="AC142" s="19">
        <f>IF(LEN(A142)=0,0,(LEN(B142)=0)+(LEN(C142)=0)+(LEN(D142)=0)+(LEN(E142)=0)+(LEN(F142)=0)+(LEN(G142)=0)+(LEN(H142)=0)+(LEN(I142)=0)+(LEN(J142)=0)+(LEN(K142)=0)+(LEN(L142)=0)+(LEN(N142)=0)+(LEN(O142)=0)+(LEN(P142)=0)+(LEN(R142)=0)+(LEN(AA142)=0))</f>
        <v/>
      </c>
      <c r="AD142" s="19">
        <f>IF(OR(LEN(A142)=0,LEN(C142)=0),0,IF(OR(C142&lt;1,C142&gt;5),1,0))</f>
        <v/>
      </c>
      <c r="AE142" s="19">
        <f>IF(OR(LEN(A142)=0,LEN(R142)=0),0,IF(OR(R142="Active",R142="Paid off",R142="Defaulted",R142="Repossessed",R142="Written off",R142="Restructured"),0,1))</f>
        <v/>
      </c>
      <c r="AF142" s="19">
        <f>IF(A142="",0,IF(N(J142)&gt;N(I142),1,0))</f>
        <v/>
      </c>
      <c r="AG142" s="19">
        <f>IF(A142="",0,IF(N(N142)&gt;N(M142)+1,1,0))</f>
        <v/>
      </c>
      <c r="AH142" s="19">
        <f>IF(A142="",0,IF(N(E142)&gt;N(B142),1,0))</f>
        <v/>
      </c>
      <c r="AI142" s="19">
        <f>IF(A142="",0,IF(AND(Z142="Full payment",N(N142)&lt;N(M142)-1),1,0))</f>
        <v/>
      </c>
      <c r="AJ142" s="19">
        <f>IF(A142="",0,IF(N(P142)&lt;0,1,0))</f>
        <v/>
      </c>
      <c r="AK142" s="19">
        <f>IF(A142="",0,IF(COUNTIF($A$7:$A$1006,A142)&gt;1,1,0))</f>
        <v/>
      </c>
    </row>
    <row r="143">
      <c r="A143" s="10" t="n"/>
      <c r="B143" s="17" t="n"/>
      <c r="C143" s="18" t="n"/>
      <c r="D143" s="10" t="n"/>
      <c r="E143" s="17" t="n"/>
      <c r="F143" s="10" t="n"/>
      <c r="G143" s="10" t="n"/>
      <c r="H143" s="10" t="n"/>
      <c r="I143" s="18" t="n"/>
      <c r="J143" s="18" t="n"/>
      <c r="K143" s="18" t="n"/>
      <c r="L143" s="18" t="n"/>
      <c r="M143" s="19">
        <f>IF(K143="","",K143*365/12*L143)</f>
        <v/>
      </c>
      <c r="N143" s="18" t="n"/>
      <c r="O143" s="18" t="n"/>
      <c r="P143" s="18" t="n"/>
      <c r="Q143" s="18" t="n"/>
      <c r="R143" s="10" t="n"/>
      <c r="S143" s="17" t="n"/>
      <c r="T143" s="18" t="n"/>
      <c r="U143" s="17" t="n"/>
      <c r="V143" s="17" t="n"/>
      <c r="W143" s="18" t="n"/>
      <c r="X143" s="18" t="n"/>
      <c r="Y143" s="17" t="n"/>
      <c r="Z143" s="10" t="n"/>
      <c r="AA143" s="10" t="n"/>
      <c r="AB143" s="19">
        <f>IF(LEN(A143)&gt;0,1,0)</f>
        <v/>
      </c>
      <c r="AC143" s="19">
        <f>IF(LEN(A143)=0,0,(LEN(B143)=0)+(LEN(C143)=0)+(LEN(D143)=0)+(LEN(E143)=0)+(LEN(F143)=0)+(LEN(G143)=0)+(LEN(H143)=0)+(LEN(I143)=0)+(LEN(J143)=0)+(LEN(K143)=0)+(LEN(L143)=0)+(LEN(N143)=0)+(LEN(O143)=0)+(LEN(P143)=0)+(LEN(R143)=0)+(LEN(AA143)=0))</f>
        <v/>
      </c>
      <c r="AD143" s="19">
        <f>IF(OR(LEN(A143)=0,LEN(C143)=0),0,IF(OR(C143&lt;1,C143&gt;5),1,0))</f>
        <v/>
      </c>
      <c r="AE143" s="19">
        <f>IF(OR(LEN(A143)=0,LEN(R143)=0),0,IF(OR(R143="Active",R143="Paid off",R143="Defaulted",R143="Repossessed",R143="Written off",R143="Restructured"),0,1))</f>
        <v/>
      </c>
      <c r="AF143" s="19">
        <f>IF(A143="",0,IF(N(J143)&gt;N(I143),1,0))</f>
        <v/>
      </c>
      <c r="AG143" s="19">
        <f>IF(A143="",0,IF(N(N143)&gt;N(M143)+1,1,0))</f>
        <v/>
      </c>
      <c r="AH143" s="19">
        <f>IF(A143="",0,IF(N(E143)&gt;N(B143),1,0))</f>
        <v/>
      </c>
      <c r="AI143" s="19">
        <f>IF(A143="",0,IF(AND(Z143="Full payment",N(N143)&lt;N(M143)-1),1,0))</f>
        <v/>
      </c>
      <c r="AJ143" s="19">
        <f>IF(A143="",0,IF(N(P143)&lt;0,1,0))</f>
        <v/>
      </c>
      <c r="AK143" s="19">
        <f>IF(A143="",0,IF(COUNTIF($A$7:$A$1006,A143)&gt;1,1,0))</f>
        <v/>
      </c>
    </row>
    <row r="144">
      <c r="A144" s="10" t="n"/>
      <c r="B144" s="17" t="n"/>
      <c r="C144" s="18" t="n"/>
      <c r="D144" s="10" t="n"/>
      <c r="E144" s="17" t="n"/>
      <c r="F144" s="10" t="n"/>
      <c r="G144" s="10" t="n"/>
      <c r="H144" s="10" t="n"/>
      <c r="I144" s="18" t="n"/>
      <c r="J144" s="18" t="n"/>
      <c r="K144" s="18" t="n"/>
      <c r="L144" s="18" t="n"/>
      <c r="M144" s="19">
        <f>IF(K144="","",K144*365/12*L144)</f>
        <v/>
      </c>
      <c r="N144" s="18" t="n"/>
      <c r="O144" s="18" t="n"/>
      <c r="P144" s="18" t="n"/>
      <c r="Q144" s="18" t="n"/>
      <c r="R144" s="10" t="n"/>
      <c r="S144" s="17" t="n"/>
      <c r="T144" s="18" t="n"/>
      <c r="U144" s="17" t="n"/>
      <c r="V144" s="17" t="n"/>
      <c r="W144" s="18" t="n"/>
      <c r="X144" s="18" t="n"/>
      <c r="Y144" s="17" t="n"/>
      <c r="Z144" s="10" t="n"/>
      <c r="AA144" s="10" t="n"/>
      <c r="AB144" s="19">
        <f>IF(LEN(A144)&gt;0,1,0)</f>
        <v/>
      </c>
      <c r="AC144" s="19">
        <f>IF(LEN(A144)=0,0,(LEN(B144)=0)+(LEN(C144)=0)+(LEN(D144)=0)+(LEN(E144)=0)+(LEN(F144)=0)+(LEN(G144)=0)+(LEN(H144)=0)+(LEN(I144)=0)+(LEN(J144)=0)+(LEN(K144)=0)+(LEN(L144)=0)+(LEN(N144)=0)+(LEN(O144)=0)+(LEN(P144)=0)+(LEN(R144)=0)+(LEN(AA144)=0))</f>
        <v/>
      </c>
      <c r="AD144" s="19">
        <f>IF(OR(LEN(A144)=0,LEN(C144)=0),0,IF(OR(C144&lt;1,C144&gt;5),1,0))</f>
        <v/>
      </c>
      <c r="AE144" s="19">
        <f>IF(OR(LEN(A144)=0,LEN(R144)=0),0,IF(OR(R144="Active",R144="Paid off",R144="Defaulted",R144="Repossessed",R144="Written off",R144="Restructured"),0,1))</f>
        <v/>
      </c>
      <c r="AF144" s="19">
        <f>IF(A144="",0,IF(N(J144)&gt;N(I144),1,0))</f>
        <v/>
      </c>
      <c r="AG144" s="19">
        <f>IF(A144="",0,IF(N(N144)&gt;N(M144)+1,1,0))</f>
        <v/>
      </c>
      <c r="AH144" s="19">
        <f>IF(A144="",0,IF(N(E144)&gt;N(B144),1,0))</f>
        <v/>
      </c>
      <c r="AI144" s="19">
        <f>IF(A144="",0,IF(AND(Z144="Full payment",N(N144)&lt;N(M144)-1),1,0))</f>
        <v/>
      </c>
      <c r="AJ144" s="19">
        <f>IF(A144="",0,IF(N(P144)&lt;0,1,0))</f>
        <v/>
      </c>
      <c r="AK144" s="19">
        <f>IF(A144="",0,IF(COUNTIF($A$7:$A$1006,A144)&gt;1,1,0))</f>
        <v/>
      </c>
    </row>
    <row r="145">
      <c r="A145" s="10" t="n"/>
      <c r="B145" s="17" t="n"/>
      <c r="C145" s="18" t="n"/>
      <c r="D145" s="10" t="n"/>
      <c r="E145" s="17" t="n"/>
      <c r="F145" s="10" t="n"/>
      <c r="G145" s="10" t="n"/>
      <c r="H145" s="10" t="n"/>
      <c r="I145" s="18" t="n"/>
      <c r="J145" s="18" t="n"/>
      <c r="K145" s="18" t="n"/>
      <c r="L145" s="18" t="n"/>
      <c r="M145" s="19">
        <f>IF(K145="","",K145*365/12*L145)</f>
        <v/>
      </c>
      <c r="N145" s="18" t="n"/>
      <c r="O145" s="18" t="n"/>
      <c r="P145" s="18" t="n"/>
      <c r="Q145" s="18" t="n"/>
      <c r="R145" s="10" t="n"/>
      <c r="S145" s="17" t="n"/>
      <c r="T145" s="18" t="n"/>
      <c r="U145" s="17" t="n"/>
      <c r="V145" s="17" t="n"/>
      <c r="W145" s="18" t="n"/>
      <c r="X145" s="18" t="n"/>
      <c r="Y145" s="17" t="n"/>
      <c r="Z145" s="10" t="n"/>
      <c r="AA145" s="10" t="n"/>
      <c r="AB145" s="19">
        <f>IF(LEN(A145)&gt;0,1,0)</f>
        <v/>
      </c>
      <c r="AC145" s="19">
        <f>IF(LEN(A145)=0,0,(LEN(B145)=0)+(LEN(C145)=0)+(LEN(D145)=0)+(LEN(E145)=0)+(LEN(F145)=0)+(LEN(G145)=0)+(LEN(H145)=0)+(LEN(I145)=0)+(LEN(J145)=0)+(LEN(K145)=0)+(LEN(L145)=0)+(LEN(N145)=0)+(LEN(O145)=0)+(LEN(P145)=0)+(LEN(R145)=0)+(LEN(AA145)=0))</f>
        <v/>
      </c>
      <c r="AD145" s="19">
        <f>IF(OR(LEN(A145)=0,LEN(C145)=0),0,IF(OR(C145&lt;1,C145&gt;5),1,0))</f>
        <v/>
      </c>
      <c r="AE145" s="19">
        <f>IF(OR(LEN(A145)=0,LEN(R145)=0),0,IF(OR(R145="Active",R145="Paid off",R145="Defaulted",R145="Repossessed",R145="Written off",R145="Restructured"),0,1))</f>
        <v/>
      </c>
      <c r="AF145" s="19">
        <f>IF(A145="",0,IF(N(J145)&gt;N(I145),1,0))</f>
        <v/>
      </c>
      <c r="AG145" s="19">
        <f>IF(A145="",0,IF(N(N145)&gt;N(M145)+1,1,0))</f>
        <v/>
      </c>
      <c r="AH145" s="19">
        <f>IF(A145="",0,IF(N(E145)&gt;N(B145),1,0))</f>
        <v/>
      </c>
      <c r="AI145" s="19">
        <f>IF(A145="",0,IF(AND(Z145="Full payment",N(N145)&lt;N(M145)-1),1,0))</f>
        <v/>
      </c>
      <c r="AJ145" s="19">
        <f>IF(A145="",0,IF(N(P145)&lt;0,1,0))</f>
        <v/>
      </c>
      <c r="AK145" s="19">
        <f>IF(A145="",0,IF(COUNTIF($A$7:$A$1006,A145)&gt;1,1,0))</f>
        <v/>
      </c>
    </row>
    <row r="146">
      <c r="A146" s="10" t="n"/>
      <c r="B146" s="17" t="n"/>
      <c r="C146" s="18" t="n"/>
      <c r="D146" s="10" t="n"/>
      <c r="E146" s="17" t="n"/>
      <c r="F146" s="10" t="n"/>
      <c r="G146" s="10" t="n"/>
      <c r="H146" s="10" t="n"/>
      <c r="I146" s="18" t="n"/>
      <c r="J146" s="18" t="n"/>
      <c r="K146" s="18" t="n"/>
      <c r="L146" s="18" t="n"/>
      <c r="M146" s="19">
        <f>IF(K146="","",K146*365/12*L146)</f>
        <v/>
      </c>
      <c r="N146" s="18" t="n"/>
      <c r="O146" s="18" t="n"/>
      <c r="P146" s="18" t="n"/>
      <c r="Q146" s="18" t="n"/>
      <c r="R146" s="10" t="n"/>
      <c r="S146" s="17" t="n"/>
      <c r="T146" s="18" t="n"/>
      <c r="U146" s="17" t="n"/>
      <c r="V146" s="17" t="n"/>
      <c r="W146" s="18" t="n"/>
      <c r="X146" s="18" t="n"/>
      <c r="Y146" s="17" t="n"/>
      <c r="Z146" s="10" t="n"/>
      <c r="AA146" s="10" t="n"/>
      <c r="AB146" s="19">
        <f>IF(LEN(A146)&gt;0,1,0)</f>
        <v/>
      </c>
      <c r="AC146" s="19">
        <f>IF(LEN(A146)=0,0,(LEN(B146)=0)+(LEN(C146)=0)+(LEN(D146)=0)+(LEN(E146)=0)+(LEN(F146)=0)+(LEN(G146)=0)+(LEN(H146)=0)+(LEN(I146)=0)+(LEN(J146)=0)+(LEN(K146)=0)+(LEN(L146)=0)+(LEN(N146)=0)+(LEN(O146)=0)+(LEN(P146)=0)+(LEN(R146)=0)+(LEN(AA146)=0))</f>
        <v/>
      </c>
      <c r="AD146" s="19">
        <f>IF(OR(LEN(A146)=0,LEN(C146)=0),0,IF(OR(C146&lt;1,C146&gt;5),1,0))</f>
        <v/>
      </c>
      <c r="AE146" s="19">
        <f>IF(OR(LEN(A146)=0,LEN(R146)=0),0,IF(OR(R146="Active",R146="Paid off",R146="Defaulted",R146="Repossessed",R146="Written off",R146="Restructured"),0,1))</f>
        <v/>
      </c>
      <c r="AF146" s="19">
        <f>IF(A146="",0,IF(N(J146)&gt;N(I146),1,0))</f>
        <v/>
      </c>
      <c r="AG146" s="19">
        <f>IF(A146="",0,IF(N(N146)&gt;N(M146)+1,1,0))</f>
        <v/>
      </c>
      <c r="AH146" s="19">
        <f>IF(A146="",0,IF(N(E146)&gt;N(B146),1,0))</f>
        <v/>
      </c>
      <c r="AI146" s="19">
        <f>IF(A146="",0,IF(AND(Z146="Full payment",N(N146)&lt;N(M146)-1),1,0))</f>
        <v/>
      </c>
      <c r="AJ146" s="19">
        <f>IF(A146="",0,IF(N(P146)&lt;0,1,0))</f>
        <v/>
      </c>
      <c r="AK146" s="19">
        <f>IF(A146="",0,IF(COUNTIF($A$7:$A$1006,A146)&gt;1,1,0))</f>
        <v/>
      </c>
    </row>
    <row r="147">
      <c r="A147" s="10" t="n"/>
      <c r="B147" s="17" t="n"/>
      <c r="C147" s="18" t="n"/>
      <c r="D147" s="10" t="n"/>
      <c r="E147" s="17" t="n"/>
      <c r="F147" s="10" t="n"/>
      <c r="G147" s="10" t="n"/>
      <c r="H147" s="10" t="n"/>
      <c r="I147" s="18" t="n"/>
      <c r="J147" s="18" t="n"/>
      <c r="K147" s="18" t="n"/>
      <c r="L147" s="18" t="n"/>
      <c r="M147" s="19">
        <f>IF(K147="","",K147*365/12*L147)</f>
        <v/>
      </c>
      <c r="N147" s="18" t="n"/>
      <c r="O147" s="18" t="n"/>
      <c r="P147" s="18" t="n"/>
      <c r="Q147" s="18" t="n"/>
      <c r="R147" s="10" t="n"/>
      <c r="S147" s="17" t="n"/>
      <c r="T147" s="18" t="n"/>
      <c r="U147" s="17" t="n"/>
      <c r="V147" s="17" t="n"/>
      <c r="W147" s="18" t="n"/>
      <c r="X147" s="18" t="n"/>
      <c r="Y147" s="17" t="n"/>
      <c r="Z147" s="10" t="n"/>
      <c r="AA147" s="10" t="n"/>
      <c r="AB147" s="19">
        <f>IF(LEN(A147)&gt;0,1,0)</f>
        <v/>
      </c>
      <c r="AC147" s="19">
        <f>IF(LEN(A147)=0,0,(LEN(B147)=0)+(LEN(C147)=0)+(LEN(D147)=0)+(LEN(E147)=0)+(LEN(F147)=0)+(LEN(G147)=0)+(LEN(H147)=0)+(LEN(I147)=0)+(LEN(J147)=0)+(LEN(K147)=0)+(LEN(L147)=0)+(LEN(N147)=0)+(LEN(O147)=0)+(LEN(P147)=0)+(LEN(R147)=0)+(LEN(AA147)=0))</f>
        <v/>
      </c>
      <c r="AD147" s="19">
        <f>IF(OR(LEN(A147)=0,LEN(C147)=0),0,IF(OR(C147&lt;1,C147&gt;5),1,0))</f>
        <v/>
      </c>
      <c r="AE147" s="19">
        <f>IF(OR(LEN(A147)=0,LEN(R147)=0),0,IF(OR(R147="Active",R147="Paid off",R147="Defaulted",R147="Repossessed",R147="Written off",R147="Restructured"),0,1))</f>
        <v/>
      </c>
      <c r="AF147" s="19">
        <f>IF(A147="",0,IF(N(J147)&gt;N(I147),1,0))</f>
        <v/>
      </c>
      <c r="AG147" s="19">
        <f>IF(A147="",0,IF(N(N147)&gt;N(M147)+1,1,0))</f>
        <v/>
      </c>
      <c r="AH147" s="19">
        <f>IF(A147="",0,IF(N(E147)&gt;N(B147),1,0))</f>
        <v/>
      </c>
      <c r="AI147" s="19">
        <f>IF(A147="",0,IF(AND(Z147="Full payment",N(N147)&lt;N(M147)-1),1,0))</f>
        <v/>
      </c>
      <c r="AJ147" s="19">
        <f>IF(A147="",0,IF(N(P147)&lt;0,1,0))</f>
        <v/>
      </c>
      <c r="AK147" s="19">
        <f>IF(A147="",0,IF(COUNTIF($A$7:$A$1006,A147)&gt;1,1,0))</f>
        <v/>
      </c>
    </row>
    <row r="148">
      <c r="A148" s="10" t="n"/>
      <c r="B148" s="17" t="n"/>
      <c r="C148" s="18" t="n"/>
      <c r="D148" s="10" t="n"/>
      <c r="E148" s="17" t="n"/>
      <c r="F148" s="10" t="n"/>
      <c r="G148" s="10" t="n"/>
      <c r="H148" s="10" t="n"/>
      <c r="I148" s="18" t="n"/>
      <c r="J148" s="18" t="n"/>
      <c r="K148" s="18" t="n"/>
      <c r="L148" s="18" t="n"/>
      <c r="M148" s="19">
        <f>IF(K148="","",K148*365/12*L148)</f>
        <v/>
      </c>
      <c r="N148" s="18" t="n"/>
      <c r="O148" s="18" t="n"/>
      <c r="P148" s="18" t="n"/>
      <c r="Q148" s="18" t="n"/>
      <c r="R148" s="10" t="n"/>
      <c r="S148" s="17" t="n"/>
      <c r="T148" s="18" t="n"/>
      <c r="U148" s="17" t="n"/>
      <c r="V148" s="17" t="n"/>
      <c r="W148" s="18" t="n"/>
      <c r="X148" s="18" t="n"/>
      <c r="Y148" s="17" t="n"/>
      <c r="Z148" s="10" t="n"/>
      <c r="AA148" s="10" t="n"/>
      <c r="AB148" s="19">
        <f>IF(LEN(A148)&gt;0,1,0)</f>
        <v/>
      </c>
      <c r="AC148" s="19">
        <f>IF(LEN(A148)=0,0,(LEN(B148)=0)+(LEN(C148)=0)+(LEN(D148)=0)+(LEN(E148)=0)+(LEN(F148)=0)+(LEN(G148)=0)+(LEN(H148)=0)+(LEN(I148)=0)+(LEN(J148)=0)+(LEN(K148)=0)+(LEN(L148)=0)+(LEN(N148)=0)+(LEN(O148)=0)+(LEN(P148)=0)+(LEN(R148)=0)+(LEN(AA148)=0))</f>
        <v/>
      </c>
      <c r="AD148" s="19">
        <f>IF(OR(LEN(A148)=0,LEN(C148)=0),0,IF(OR(C148&lt;1,C148&gt;5),1,0))</f>
        <v/>
      </c>
      <c r="AE148" s="19">
        <f>IF(OR(LEN(A148)=0,LEN(R148)=0),0,IF(OR(R148="Active",R148="Paid off",R148="Defaulted",R148="Repossessed",R148="Written off",R148="Restructured"),0,1))</f>
        <v/>
      </c>
      <c r="AF148" s="19">
        <f>IF(A148="",0,IF(N(J148)&gt;N(I148),1,0))</f>
        <v/>
      </c>
      <c r="AG148" s="19">
        <f>IF(A148="",0,IF(N(N148)&gt;N(M148)+1,1,0))</f>
        <v/>
      </c>
      <c r="AH148" s="19">
        <f>IF(A148="",0,IF(N(E148)&gt;N(B148),1,0))</f>
        <v/>
      </c>
      <c r="AI148" s="19">
        <f>IF(A148="",0,IF(AND(Z148="Full payment",N(N148)&lt;N(M148)-1),1,0))</f>
        <v/>
      </c>
      <c r="AJ148" s="19">
        <f>IF(A148="",0,IF(N(P148)&lt;0,1,0))</f>
        <v/>
      </c>
      <c r="AK148" s="19">
        <f>IF(A148="",0,IF(COUNTIF($A$7:$A$1006,A148)&gt;1,1,0))</f>
        <v/>
      </c>
    </row>
    <row r="149">
      <c r="A149" s="10" t="n"/>
      <c r="B149" s="17" t="n"/>
      <c r="C149" s="18" t="n"/>
      <c r="D149" s="10" t="n"/>
      <c r="E149" s="17" t="n"/>
      <c r="F149" s="10" t="n"/>
      <c r="G149" s="10" t="n"/>
      <c r="H149" s="10" t="n"/>
      <c r="I149" s="18" t="n"/>
      <c r="J149" s="18" t="n"/>
      <c r="K149" s="18" t="n"/>
      <c r="L149" s="18" t="n"/>
      <c r="M149" s="19">
        <f>IF(K149="","",K149*365/12*L149)</f>
        <v/>
      </c>
      <c r="N149" s="18" t="n"/>
      <c r="O149" s="18" t="n"/>
      <c r="P149" s="18" t="n"/>
      <c r="Q149" s="18" t="n"/>
      <c r="R149" s="10" t="n"/>
      <c r="S149" s="17" t="n"/>
      <c r="T149" s="18" t="n"/>
      <c r="U149" s="17" t="n"/>
      <c r="V149" s="17" t="n"/>
      <c r="W149" s="18" t="n"/>
      <c r="X149" s="18" t="n"/>
      <c r="Y149" s="17" t="n"/>
      <c r="Z149" s="10" t="n"/>
      <c r="AA149" s="10" t="n"/>
      <c r="AB149" s="19">
        <f>IF(LEN(A149)&gt;0,1,0)</f>
        <v/>
      </c>
      <c r="AC149" s="19">
        <f>IF(LEN(A149)=0,0,(LEN(B149)=0)+(LEN(C149)=0)+(LEN(D149)=0)+(LEN(E149)=0)+(LEN(F149)=0)+(LEN(G149)=0)+(LEN(H149)=0)+(LEN(I149)=0)+(LEN(J149)=0)+(LEN(K149)=0)+(LEN(L149)=0)+(LEN(N149)=0)+(LEN(O149)=0)+(LEN(P149)=0)+(LEN(R149)=0)+(LEN(AA149)=0))</f>
        <v/>
      </c>
      <c r="AD149" s="19">
        <f>IF(OR(LEN(A149)=0,LEN(C149)=0),0,IF(OR(C149&lt;1,C149&gt;5),1,0))</f>
        <v/>
      </c>
      <c r="AE149" s="19">
        <f>IF(OR(LEN(A149)=0,LEN(R149)=0),0,IF(OR(R149="Active",R149="Paid off",R149="Defaulted",R149="Repossessed",R149="Written off",R149="Restructured"),0,1))</f>
        <v/>
      </c>
      <c r="AF149" s="19">
        <f>IF(A149="",0,IF(N(J149)&gt;N(I149),1,0))</f>
        <v/>
      </c>
      <c r="AG149" s="19">
        <f>IF(A149="",0,IF(N(N149)&gt;N(M149)+1,1,0))</f>
        <v/>
      </c>
      <c r="AH149" s="19">
        <f>IF(A149="",0,IF(N(E149)&gt;N(B149),1,0))</f>
        <v/>
      </c>
      <c r="AI149" s="19">
        <f>IF(A149="",0,IF(AND(Z149="Full payment",N(N149)&lt;N(M149)-1),1,0))</f>
        <v/>
      </c>
      <c r="AJ149" s="19">
        <f>IF(A149="",0,IF(N(P149)&lt;0,1,0))</f>
        <v/>
      </c>
      <c r="AK149" s="19">
        <f>IF(A149="",0,IF(COUNTIF($A$7:$A$1006,A149)&gt;1,1,0))</f>
        <v/>
      </c>
    </row>
    <row r="150">
      <c r="A150" s="10" t="n"/>
      <c r="B150" s="17" t="n"/>
      <c r="C150" s="18" t="n"/>
      <c r="D150" s="10" t="n"/>
      <c r="E150" s="17" t="n"/>
      <c r="F150" s="10" t="n"/>
      <c r="G150" s="10" t="n"/>
      <c r="H150" s="10" t="n"/>
      <c r="I150" s="18" t="n"/>
      <c r="J150" s="18" t="n"/>
      <c r="K150" s="18" t="n"/>
      <c r="L150" s="18" t="n"/>
      <c r="M150" s="19">
        <f>IF(K150="","",K150*365/12*L150)</f>
        <v/>
      </c>
      <c r="N150" s="18" t="n"/>
      <c r="O150" s="18" t="n"/>
      <c r="P150" s="18" t="n"/>
      <c r="Q150" s="18" t="n"/>
      <c r="R150" s="10" t="n"/>
      <c r="S150" s="17" t="n"/>
      <c r="T150" s="18" t="n"/>
      <c r="U150" s="17" t="n"/>
      <c r="V150" s="17" t="n"/>
      <c r="W150" s="18" t="n"/>
      <c r="X150" s="18" t="n"/>
      <c r="Y150" s="17" t="n"/>
      <c r="Z150" s="10" t="n"/>
      <c r="AA150" s="10" t="n"/>
      <c r="AB150" s="19">
        <f>IF(LEN(A150)&gt;0,1,0)</f>
        <v/>
      </c>
      <c r="AC150" s="19">
        <f>IF(LEN(A150)=0,0,(LEN(B150)=0)+(LEN(C150)=0)+(LEN(D150)=0)+(LEN(E150)=0)+(LEN(F150)=0)+(LEN(G150)=0)+(LEN(H150)=0)+(LEN(I150)=0)+(LEN(J150)=0)+(LEN(K150)=0)+(LEN(L150)=0)+(LEN(N150)=0)+(LEN(O150)=0)+(LEN(P150)=0)+(LEN(R150)=0)+(LEN(AA150)=0))</f>
        <v/>
      </c>
      <c r="AD150" s="19">
        <f>IF(OR(LEN(A150)=0,LEN(C150)=0),0,IF(OR(C150&lt;1,C150&gt;5),1,0))</f>
        <v/>
      </c>
      <c r="AE150" s="19">
        <f>IF(OR(LEN(A150)=0,LEN(R150)=0),0,IF(OR(R150="Active",R150="Paid off",R150="Defaulted",R150="Repossessed",R150="Written off",R150="Restructured"),0,1))</f>
        <v/>
      </c>
      <c r="AF150" s="19">
        <f>IF(A150="",0,IF(N(J150)&gt;N(I150),1,0))</f>
        <v/>
      </c>
      <c r="AG150" s="19">
        <f>IF(A150="",0,IF(N(N150)&gt;N(M150)+1,1,0))</f>
        <v/>
      </c>
      <c r="AH150" s="19">
        <f>IF(A150="",0,IF(N(E150)&gt;N(B150),1,0))</f>
        <v/>
      </c>
      <c r="AI150" s="19">
        <f>IF(A150="",0,IF(AND(Z150="Full payment",N(N150)&lt;N(M150)-1),1,0))</f>
        <v/>
      </c>
      <c r="AJ150" s="19">
        <f>IF(A150="",0,IF(N(P150)&lt;0,1,0))</f>
        <v/>
      </c>
      <c r="AK150" s="19">
        <f>IF(A150="",0,IF(COUNTIF($A$7:$A$1006,A150)&gt;1,1,0))</f>
        <v/>
      </c>
    </row>
    <row r="151">
      <c r="A151" s="10" t="n"/>
      <c r="B151" s="17" t="n"/>
      <c r="C151" s="18" t="n"/>
      <c r="D151" s="10" t="n"/>
      <c r="E151" s="17" t="n"/>
      <c r="F151" s="10" t="n"/>
      <c r="G151" s="10" t="n"/>
      <c r="H151" s="10" t="n"/>
      <c r="I151" s="18" t="n"/>
      <c r="J151" s="18" t="n"/>
      <c r="K151" s="18" t="n"/>
      <c r="L151" s="18" t="n"/>
      <c r="M151" s="19">
        <f>IF(K151="","",K151*365/12*L151)</f>
        <v/>
      </c>
      <c r="N151" s="18" t="n"/>
      <c r="O151" s="18" t="n"/>
      <c r="P151" s="18" t="n"/>
      <c r="Q151" s="18" t="n"/>
      <c r="R151" s="10" t="n"/>
      <c r="S151" s="17" t="n"/>
      <c r="T151" s="18" t="n"/>
      <c r="U151" s="17" t="n"/>
      <c r="V151" s="17" t="n"/>
      <c r="W151" s="18" t="n"/>
      <c r="X151" s="18" t="n"/>
      <c r="Y151" s="17" t="n"/>
      <c r="Z151" s="10" t="n"/>
      <c r="AA151" s="10" t="n"/>
      <c r="AB151" s="19">
        <f>IF(LEN(A151)&gt;0,1,0)</f>
        <v/>
      </c>
      <c r="AC151" s="19">
        <f>IF(LEN(A151)=0,0,(LEN(B151)=0)+(LEN(C151)=0)+(LEN(D151)=0)+(LEN(E151)=0)+(LEN(F151)=0)+(LEN(G151)=0)+(LEN(H151)=0)+(LEN(I151)=0)+(LEN(J151)=0)+(LEN(K151)=0)+(LEN(L151)=0)+(LEN(N151)=0)+(LEN(O151)=0)+(LEN(P151)=0)+(LEN(R151)=0)+(LEN(AA151)=0))</f>
        <v/>
      </c>
      <c r="AD151" s="19">
        <f>IF(OR(LEN(A151)=0,LEN(C151)=0),0,IF(OR(C151&lt;1,C151&gt;5),1,0))</f>
        <v/>
      </c>
      <c r="AE151" s="19">
        <f>IF(OR(LEN(A151)=0,LEN(R151)=0),0,IF(OR(R151="Active",R151="Paid off",R151="Defaulted",R151="Repossessed",R151="Written off",R151="Restructured"),0,1))</f>
        <v/>
      </c>
      <c r="AF151" s="19">
        <f>IF(A151="",0,IF(N(J151)&gt;N(I151),1,0))</f>
        <v/>
      </c>
      <c r="AG151" s="19">
        <f>IF(A151="",0,IF(N(N151)&gt;N(M151)+1,1,0))</f>
        <v/>
      </c>
      <c r="AH151" s="19">
        <f>IF(A151="",0,IF(N(E151)&gt;N(B151),1,0))</f>
        <v/>
      </c>
      <c r="AI151" s="19">
        <f>IF(A151="",0,IF(AND(Z151="Full payment",N(N151)&lt;N(M151)-1),1,0))</f>
        <v/>
      </c>
      <c r="AJ151" s="19">
        <f>IF(A151="",0,IF(N(P151)&lt;0,1,0))</f>
        <v/>
      </c>
      <c r="AK151" s="19">
        <f>IF(A151="",0,IF(COUNTIF($A$7:$A$1006,A151)&gt;1,1,0))</f>
        <v/>
      </c>
    </row>
    <row r="152">
      <c r="A152" s="10" t="n"/>
      <c r="B152" s="17" t="n"/>
      <c r="C152" s="18" t="n"/>
      <c r="D152" s="10" t="n"/>
      <c r="E152" s="17" t="n"/>
      <c r="F152" s="10" t="n"/>
      <c r="G152" s="10" t="n"/>
      <c r="H152" s="10" t="n"/>
      <c r="I152" s="18" t="n"/>
      <c r="J152" s="18" t="n"/>
      <c r="K152" s="18" t="n"/>
      <c r="L152" s="18" t="n"/>
      <c r="M152" s="19">
        <f>IF(K152="","",K152*365/12*L152)</f>
        <v/>
      </c>
      <c r="N152" s="18" t="n"/>
      <c r="O152" s="18" t="n"/>
      <c r="P152" s="18" t="n"/>
      <c r="Q152" s="18" t="n"/>
      <c r="R152" s="10" t="n"/>
      <c r="S152" s="17" t="n"/>
      <c r="T152" s="18" t="n"/>
      <c r="U152" s="17" t="n"/>
      <c r="V152" s="17" t="n"/>
      <c r="W152" s="18" t="n"/>
      <c r="X152" s="18" t="n"/>
      <c r="Y152" s="17" t="n"/>
      <c r="Z152" s="10" t="n"/>
      <c r="AA152" s="10" t="n"/>
      <c r="AB152" s="19">
        <f>IF(LEN(A152)&gt;0,1,0)</f>
        <v/>
      </c>
      <c r="AC152" s="19">
        <f>IF(LEN(A152)=0,0,(LEN(B152)=0)+(LEN(C152)=0)+(LEN(D152)=0)+(LEN(E152)=0)+(LEN(F152)=0)+(LEN(G152)=0)+(LEN(H152)=0)+(LEN(I152)=0)+(LEN(J152)=0)+(LEN(K152)=0)+(LEN(L152)=0)+(LEN(N152)=0)+(LEN(O152)=0)+(LEN(P152)=0)+(LEN(R152)=0)+(LEN(AA152)=0))</f>
        <v/>
      </c>
      <c r="AD152" s="19">
        <f>IF(OR(LEN(A152)=0,LEN(C152)=0),0,IF(OR(C152&lt;1,C152&gt;5),1,0))</f>
        <v/>
      </c>
      <c r="AE152" s="19">
        <f>IF(OR(LEN(A152)=0,LEN(R152)=0),0,IF(OR(R152="Active",R152="Paid off",R152="Defaulted",R152="Repossessed",R152="Written off",R152="Restructured"),0,1))</f>
        <v/>
      </c>
      <c r="AF152" s="19">
        <f>IF(A152="",0,IF(N(J152)&gt;N(I152),1,0))</f>
        <v/>
      </c>
      <c r="AG152" s="19">
        <f>IF(A152="",0,IF(N(N152)&gt;N(M152)+1,1,0))</f>
        <v/>
      </c>
      <c r="AH152" s="19">
        <f>IF(A152="",0,IF(N(E152)&gt;N(B152),1,0))</f>
        <v/>
      </c>
      <c r="AI152" s="19">
        <f>IF(A152="",0,IF(AND(Z152="Full payment",N(N152)&lt;N(M152)-1),1,0))</f>
        <v/>
      </c>
      <c r="AJ152" s="19">
        <f>IF(A152="",0,IF(N(P152)&lt;0,1,0))</f>
        <v/>
      </c>
      <c r="AK152" s="19">
        <f>IF(A152="",0,IF(COUNTIF($A$7:$A$1006,A152)&gt;1,1,0))</f>
        <v/>
      </c>
    </row>
    <row r="153">
      <c r="A153" s="10" t="n"/>
      <c r="B153" s="17" t="n"/>
      <c r="C153" s="18" t="n"/>
      <c r="D153" s="10" t="n"/>
      <c r="E153" s="17" t="n"/>
      <c r="F153" s="10" t="n"/>
      <c r="G153" s="10" t="n"/>
      <c r="H153" s="10" t="n"/>
      <c r="I153" s="18" t="n"/>
      <c r="J153" s="18" t="n"/>
      <c r="K153" s="18" t="n"/>
      <c r="L153" s="18" t="n"/>
      <c r="M153" s="19">
        <f>IF(K153="","",K153*365/12*L153)</f>
        <v/>
      </c>
      <c r="N153" s="18" t="n"/>
      <c r="O153" s="18" t="n"/>
      <c r="P153" s="18" t="n"/>
      <c r="Q153" s="18" t="n"/>
      <c r="R153" s="10" t="n"/>
      <c r="S153" s="17" t="n"/>
      <c r="T153" s="18" t="n"/>
      <c r="U153" s="17" t="n"/>
      <c r="V153" s="17" t="n"/>
      <c r="W153" s="18" t="n"/>
      <c r="X153" s="18" t="n"/>
      <c r="Y153" s="17" t="n"/>
      <c r="Z153" s="10" t="n"/>
      <c r="AA153" s="10" t="n"/>
      <c r="AB153" s="19">
        <f>IF(LEN(A153)&gt;0,1,0)</f>
        <v/>
      </c>
      <c r="AC153" s="19">
        <f>IF(LEN(A153)=0,0,(LEN(B153)=0)+(LEN(C153)=0)+(LEN(D153)=0)+(LEN(E153)=0)+(LEN(F153)=0)+(LEN(G153)=0)+(LEN(H153)=0)+(LEN(I153)=0)+(LEN(J153)=0)+(LEN(K153)=0)+(LEN(L153)=0)+(LEN(N153)=0)+(LEN(O153)=0)+(LEN(P153)=0)+(LEN(R153)=0)+(LEN(AA153)=0))</f>
        <v/>
      </c>
      <c r="AD153" s="19">
        <f>IF(OR(LEN(A153)=0,LEN(C153)=0),0,IF(OR(C153&lt;1,C153&gt;5),1,0))</f>
        <v/>
      </c>
      <c r="AE153" s="19">
        <f>IF(OR(LEN(A153)=0,LEN(R153)=0),0,IF(OR(R153="Active",R153="Paid off",R153="Defaulted",R153="Repossessed",R153="Written off",R153="Restructured"),0,1))</f>
        <v/>
      </c>
      <c r="AF153" s="19">
        <f>IF(A153="",0,IF(N(J153)&gt;N(I153),1,0))</f>
        <v/>
      </c>
      <c r="AG153" s="19">
        <f>IF(A153="",0,IF(N(N153)&gt;N(M153)+1,1,0))</f>
        <v/>
      </c>
      <c r="AH153" s="19">
        <f>IF(A153="",0,IF(N(E153)&gt;N(B153),1,0))</f>
        <v/>
      </c>
      <c r="AI153" s="19">
        <f>IF(A153="",0,IF(AND(Z153="Full payment",N(N153)&lt;N(M153)-1),1,0))</f>
        <v/>
      </c>
      <c r="AJ153" s="19">
        <f>IF(A153="",0,IF(N(P153)&lt;0,1,0))</f>
        <v/>
      </c>
      <c r="AK153" s="19">
        <f>IF(A153="",0,IF(COUNTIF($A$7:$A$1006,A153)&gt;1,1,0))</f>
        <v/>
      </c>
    </row>
    <row r="154">
      <c r="A154" s="10" t="n"/>
      <c r="B154" s="17" t="n"/>
      <c r="C154" s="18" t="n"/>
      <c r="D154" s="10" t="n"/>
      <c r="E154" s="17" t="n"/>
      <c r="F154" s="10" t="n"/>
      <c r="G154" s="10" t="n"/>
      <c r="H154" s="10" t="n"/>
      <c r="I154" s="18" t="n"/>
      <c r="J154" s="18" t="n"/>
      <c r="K154" s="18" t="n"/>
      <c r="L154" s="18" t="n"/>
      <c r="M154" s="19">
        <f>IF(K154="","",K154*365/12*L154)</f>
        <v/>
      </c>
      <c r="N154" s="18" t="n"/>
      <c r="O154" s="18" t="n"/>
      <c r="P154" s="18" t="n"/>
      <c r="Q154" s="18" t="n"/>
      <c r="R154" s="10" t="n"/>
      <c r="S154" s="17" t="n"/>
      <c r="T154" s="18" t="n"/>
      <c r="U154" s="17" t="n"/>
      <c r="V154" s="17" t="n"/>
      <c r="W154" s="18" t="n"/>
      <c r="X154" s="18" t="n"/>
      <c r="Y154" s="17" t="n"/>
      <c r="Z154" s="10" t="n"/>
      <c r="AA154" s="10" t="n"/>
      <c r="AB154" s="19">
        <f>IF(LEN(A154)&gt;0,1,0)</f>
        <v/>
      </c>
      <c r="AC154" s="19">
        <f>IF(LEN(A154)=0,0,(LEN(B154)=0)+(LEN(C154)=0)+(LEN(D154)=0)+(LEN(E154)=0)+(LEN(F154)=0)+(LEN(G154)=0)+(LEN(H154)=0)+(LEN(I154)=0)+(LEN(J154)=0)+(LEN(K154)=0)+(LEN(L154)=0)+(LEN(N154)=0)+(LEN(O154)=0)+(LEN(P154)=0)+(LEN(R154)=0)+(LEN(AA154)=0))</f>
        <v/>
      </c>
      <c r="AD154" s="19">
        <f>IF(OR(LEN(A154)=0,LEN(C154)=0),0,IF(OR(C154&lt;1,C154&gt;5),1,0))</f>
        <v/>
      </c>
      <c r="AE154" s="19">
        <f>IF(OR(LEN(A154)=0,LEN(R154)=0),0,IF(OR(R154="Active",R154="Paid off",R154="Defaulted",R154="Repossessed",R154="Written off",R154="Restructured"),0,1))</f>
        <v/>
      </c>
      <c r="AF154" s="19">
        <f>IF(A154="",0,IF(N(J154)&gt;N(I154),1,0))</f>
        <v/>
      </c>
      <c r="AG154" s="19">
        <f>IF(A154="",0,IF(N(N154)&gt;N(M154)+1,1,0))</f>
        <v/>
      </c>
      <c r="AH154" s="19">
        <f>IF(A154="",0,IF(N(E154)&gt;N(B154),1,0))</f>
        <v/>
      </c>
      <c r="AI154" s="19">
        <f>IF(A154="",0,IF(AND(Z154="Full payment",N(N154)&lt;N(M154)-1),1,0))</f>
        <v/>
      </c>
      <c r="AJ154" s="19">
        <f>IF(A154="",0,IF(N(P154)&lt;0,1,0))</f>
        <v/>
      </c>
      <c r="AK154" s="19">
        <f>IF(A154="",0,IF(COUNTIF($A$7:$A$1006,A154)&gt;1,1,0))</f>
        <v/>
      </c>
    </row>
    <row r="155">
      <c r="A155" s="10" t="n"/>
      <c r="B155" s="17" t="n"/>
      <c r="C155" s="18" t="n"/>
      <c r="D155" s="10" t="n"/>
      <c r="E155" s="17" t="n"/>
      <c r="F155" s="10" t="n"/>
      <c r="G155" s="10" t="n"/>
      <c r="H155" s="10" t="n"/>
      <c r="I155" s="18" t="n"/>
      <c r="J155" s="18" t="n"/>
      <c r="K155" s="18" t="n"/>
      <c r="L155" s="18" t="n"/>
      <c r="M155" s="19">
        <f>IF(K155="","",K155*365/12*L155)</f>
        <v/>
      </c>
      <c r="N155" s="18" t="n"/>
      <c r="O155" s="18" t="n"/>
      <c r="P155" s="18" t="n"/>
      <c r="Q155" s="18" t="n"/>
      <c r="R155" s="10" t="n"/>
      <c r="S155" s="17" t="n"/>
      <c r="T155" s="18" t="n"/>
      <c r="U155" s="17" t="n"/>
      <c r="V155" s="17" t="n"/>
      <c r="W155" s="18" t="n"/>
      <c r="X155" s="18" t="n"/>
      <c r="Y155" s="17" t="n"/>
      <c r="Z155" s="10" t="n"/>
      <c r="AA155" s="10" t="n"/>
      <c r="AB155" s="19">
        <f>IF(LEN(A155)&gt;0,1,0)</f>
        <v/>
      </c>
      <c r="AC155" s="19">
        <f>IF(LEN(A155)=0,0,(LEN(B155)=0)+(LEN(C155)=0)+(LEN(D155)=0)+(LEN(E155)=0)+(LEN(F155)=0)+(LEN(G155)=0)+(LEN(H155)=0)+(LEN(I155)=0)+(LEN(J155)=0)+(LEN(K155)=0)+(LEN(L155)=0)+(LEN(N155)=0)+(LEN(O155)=0)+(LEN(P155)=0)+(LEN(R155)=0)+(LEN(AA155)=0))</f>
        <v/>
      </c>
      <c r="AD155" s="19">
        <f>IF(OR(LEN(A155)=0,LEN(C155)=0),0,IF(OR(C155&lt;1,C155&gt;5),1,0))</f>
        <v/>
      </c>
      <c r="AE155" s="19">
        <f>IF(OR(LEN(A155)=0,LEN(R155)=0),0,IF(OR(R155="Active",R155="Paid off",R155="Defaulted",R155="Repossessed",R155="Written off",R155="Restructured"),0,1))</f>
        <v/>
      </c>
      <c r="AF155" s="19">
        <f>IF(A155="",0,IF(N(J155)&gt;N(I155),1,0))</f>
        <v/>
      </c>
      <c r="AG155" s="19">
        <f>IF(A155="",0,IF(N(N155)&gt;N(M155)+1,1,0))</f>
        <v/>
      </c>
      <c r="AH155" s="19">
        <f>IF(A155="",0,IF(N(E155)&gt;N(B155),1,0))</f>
        <v/>
      </c>
      <c r="AI155" s="19">
        <f>IF(A155="",0,IF(AND(Z155="Full payment",N(N155)&lt;N(M155)-1),1,0))</f>
        <v/>
      </c>
      <c r="AJ155" s="19">
        <f>IF(A155="",0,IF(N(P155)&lt;0,1,0))</f>
        <v/>
      </c>
      <c r="AK155" s="19">
        <f>IF(A155="",0,IF(COUNTIF($A$7:$A$1006,A155)&gt;1,1,0))</f>
        <v/>
      </c>
    </row>
    <row r="156">
      <c r="A156" s="10" t="n"/>
      <c r="B156" s="17" t="n"/>
      <c r="C156" s="18" t="n"/>
      <c r="D156" s="10" t="n"/>
      <c r="E156" s="17" t="n"/>
      <c r="F156" s="10" t="n"/>
      <c r="G156" s="10" t="n"/>
      <c r="H156" s="10" t="n"/>
      <c r="I156" s="18" t="n"/>
      <c r="J156" s="18" t="n"/>
      <c r="K156" s="18" t="n"/>
      <c r="L156" s="18" t="n"/>
      <c r="M156" s="19">
        <f>IF(K156="","",K156*365/12*L156)</f>
        <v/>
      </c>
      <c r="N156" s="18" t="n"/>
      <c r="O156" s="18" t="n"/>
      <c r="P156" s="18" t="n"/>
      <c r="Q156" s="18" t="n"/>
      <c r="R156" s="10" t="n"/>
      <c r="S156" s="17" t="n"/>
      <c r="T156" s="18" t="n"/>
      <c r="U156" s="17" t="n"/>
      <c r="V156" s="17" t="n"/>
      <c r="W156" s="18" t="n"/>
      <c r="X156" s="18" t="n"/>
      <c r="Y156" s="17" t="n"/>
      <c r="Z156" s="10" t="n"/>
      <c r="AA156" s="10" t="n"/>
      <c r="AB156" s="19">
        <f>IF(LEN(A156)&gt;0,1,0)</f>
        <v/>
      </c>
      <c r="AC156" s="19">
        <f>IF(LEN(A156)=0,0,(LEN(B156)=0)+(LEN(C156)=0)+(LEN(D156)=0)+(LEN(E156)=0)+(LEN(F156)=0)+(LEN(G156)=0)+(LEN(H156)=0)+(LEN(I156)=0)+(LEN(J156)=0)+(LEN(K156)=0)+(LEN(L156)=0)+(LEN(N156)=0)+(LEN(O156)=0)+(LEN(P156)=0)+(LEN(R156)=0)+(LEN(AA156)=0))</f>
        <v/>
      </c>
      <c r="AD156" s="19">
        <f>IF(OR(LEN(A156)=0,LEN(C156)=0),0,IF(OR(C156&lt;1,C156&gt;5),1,0))</f>
        <v/>
      </c>
      <c r="AE156" s="19">
        <f>IF(OR(LEN(A156)=0,LEN(R156)=0),0,IF(OR(R156="Active",R156="Paid off",R156="Defaulted",R156="Repossessed",R156="Written off",R156="Restructured"),0,1))</f>
        <v/>
      </c>
      <c r="AF156" s="19">
        <f>IF(A156="",0,IF(N(J156)&gt;N(I156),1,0))</f>
        <v/>
      </c>
      <c r="AG156" s="19">
        <f>IF(A156="",0,IF(N(N156)&gt;N(M156)+1,1,0))</f>
        <v/>
      </c>
      <c r="AH156" s="19">
        <f>IF(A156="",0,IF(N(E156)&gt;N(B156),1,0))</f>
        <v/>
      </c>
      <c r="AI156" s="19">
        <f>IF(A156="",0,IF(AND(Z156="Full payment",N(N156)&lt;N(M156)-1),1,0))</f>
        <v/>
      </c>
      <c r="AJ156" s="19">
        <f>IF(A156="",0,IF(N(P156)&lt;0,1,0))</f>
        <v/>
      </c>
      <c r="AK156" s="19">
        <f>IF(A156="",0,IF(COUNTIF($A$7:$A$1006,A156)&gt;1,1,0))</f>
        <v/>
      </c>
    </row>
    <row r="157">
      <c r="A157" s="10" t="n"/>
      <c r="B157" s="17" t="n"/>
      <c r="C157" s="18" t="n"/>
      <c r="D157" s="10" t="n"/>
      <c r="E157" s="17" t="n"/>
      <c r="F157" s="10" t="n"/>
      <c r="G157" s="10" t="n"/>
      <c r="H157" s="10" t="n"/>
      <c r="I157" s="18" t="n"/>
      <c r="J157" s="18" t="n"/>
      <c r="K157" s="18" t="n"/>
      <c r="L157" s="18" t="n"/>
      <c r="M157" s="19">
        <f>IF(K157="","",K157*365/12*L157)</f>
        <v/>
      </c>
      <c r="N157" s="18" t="n"/>
      <c r="O157" s="18" t="n"/>
      <c r="P157" s="18" t="n"/>
      <c r="Q157" s="18" t="n"/>
      <c r="R157" s="10" t="n"/>
      <c r="S157" s="17" t="n"/>
      <c r="T157" s="18" t="n"/>
      <c r="U157" s="17" t="n"/>
      <c r="V157" s="17" t="n"/>
      <c r="W157" s="18" t="n"/>
      <c r="X157" s="18" t="n"/>
      <c r="Y157" s="17" t="n"/>
      <c r="Z157" s="10" t="n"/>
      <c r="AA157" s="10" t="n"/>
      <c r="AB157" s="19">
        <f>IF(LEN(A157)&gt;0,1,0)</f>
        <v/>
      </c>
      <c r="AC157" s="19">
        <f>IF(LEN(A157)=0,0,(LEN(B157)=0)+(LEN(C157)=0)+(LEN(D157)=0)+(LEN(E157)=0)+(LEN(F157)=0)+(LEN(G157)=0)+(LEN(H157)=0)+(LEN(I157)=0)+(LEN(J157)=0)+(LEN(K157)=0)+(LEN(L157)=0)+(LEN(N157)=0)+(LEN(O157)=0)+(LEN(P157)=0)+(LEN(R157)=0)+(LEN(AA157)=0))</f>
        <v/>
      </c>
      <c r="AD157" s="19">
        <f>IF(OR(LEN(A157)=0,LEN(C157)=0),0,IF(OR(C157&lt;1,C157&gt;5),1,0))</f>
        <v/>
      </c>
      <c r="AE157" s="19">
        <f>IF(OR(LEN(A157)=0,LEN(R157)=0),0,IF(OR(R157="Active",R157="Paid off",R157="Defaulted",R157="Repossessed",R157="Written off",R157="Restructured"),0,1))</f>
        <v/>
      </c>
      <c r="AF157" s="19">
        <f>IF(A157="",0,IF(N(J157)&gt;N(I157),1,0))</f>
        <v/>
      </c>
      <c r="AG157" s="19">
        <f>IF(A157="",0,IF(N(N157)&gt;N(M157)+1,1,0))</f>
        <v/>
      </c>
      <c r="AH157" s="19">
        <f>IF(A157="",0,IF(N(E157)&gt;N(B157),1,0))</f>
        <v/>
      </c>
      <c r="AI157" s="19">
        <f>IF(A157="",0,IF(AND(Z157="Full payment",N(N157)&lt;N(M157)-1),1,0))</f>
        <v/>
      </c>
      <c r="AJ157" s="19">
        <f>IF(A157="",0,IF(N(P157)&lt;0,1,0))</f>
        <v/>
      </c>
      <c r="AK157" s="19">
        <f>IF(A157="",0,IF(COUNTIF($A$7:$A$1006,A157)&gt;1,1,0))</f>
        <v/>
      </c>
    </row>
    <row r="158">
      <c r="A158" s="10" t="n"/>
      <c r="B158" s="17" t="n"/>
      <c r="C158" s="18" t="n"/>
      <c r="D158" s="10" t="n"/>
      <c r="E158" s="17" t="n"/>
      <c r="F158" s="10" t="n"/>
      <c r="G158" s="10" t="n"/>
      <c r="H158" s="10" t="n"/>
      <c r="I158" s="18" t="n"/>
      <c r="J158" s="18" t="n"/>
      <c r="K158" s="18" t="n"/>
      <c r="L158" s="18" t="n"/>
      <c r="M158" s="19">
        <f>IF(K158="","",K158*365/12*L158)</f>
        <v/>
      </c>
      <c r="N158" s="18" t="n"/>
      <c r="O158" s="18" t="n"/>
      <c r="P158" s="18" t="n"/>
      <c r="Q158" s="18" t="n"/>
      <c r="R158" s="10" t="n"/>
      <c r="S158" s="17" t="n"/>
      <c r="T158" s="18" t="n"/>
      <c r="U158" s="17" t="n"/>
      <c r="V158" s="17" t="n"/>
      <c r="W158" s="18" t="n"/>
      <c r="X158" s="18" t="n"/>
      <c r="Y158" s="17" t="n"/>
      <c r="Z158" s="10" t="n"/>
      <c r="AA158" s="10" t="n"/>
      <c r="AB158" s="19">
        <f>IF(LEN(A158)&gt;0,1,0)</f>
        <v/>
      </c>
      <c r="AC158" s="19">
        <f>IF(LEN(A158)=0,0,(LEN(B158)=0)+(LEN(C158)=0)+(LEN(D158)=0)+(LEN(E158)=0)+(LEN(F158)=0)+(LEN(G158)=0)+(LEN(H158)=0)+(LEN(I158)=0)+(LEN(J158)=0)+(LEN(K158)=0)+(LEN(L158)=0)+(LEN(N158)=0)+(LEN(O158)=0)+(LEN(P158)=0)+(LEN(R158)=0)+(LEN(AA158)=0))</f>
        <v/>
      </c>
      <c r="AD158" s="19">
        <f>IF(OR(LEN(A158)=0,LEN(C158)=0),0,IF(OR(C158&lt;1,C158&gt;5),1,0))</f>
        <v/>
      </c>
      <c r="AE158" s="19">
        <f>IF(OR(LEN(A158)=0,LEN(R158)=0),0,IF(OR(R158="Active",R158="Paid off",R158="Defaulted",R158="Repossessed",R158="Written off",R158="Restructured"),0,1))</f>
        <v/>
      </c>
      <c r="AF158" s="19">
        <f>IF(A158="",0,IF(N(J158)&gt;N(I158),1,0))</f>
        <v/>
      </c>
      <c r="AG158" s="19">
        <f>IF(A158="",0,IF(N(N158)&gt;N(M158)+1,1,0))</f>
        <v/>
      </c>
      <c r="AH158" s="19">
        <f>IF(A158="",0,IF(N(E158)&gt;N(B158),1,0))</f>
        <v/>
      </c>
      <c r="AI158" s="19">
        <f>IF(A158="",0,IF(AND(Z158="Full payment",N(N158)&lt;N(M158)-1),1,0))</f>
        <v/>
      </c>
      <c r="AJ158" s="19">
        <f>IF(A158="",0,IF(N(P158)&lt;0,1,0))</f>
        <v/>
      </c>
      <c r="AK158" s="19">
        <f>IF(A158="",0,IF(COUNTIF($A$7:$A$1006,A158)&gt;1,1,0))</f>
        <v/>
      </c>
    </row>
    <row r="159">
      <c r="A159" s="10" t="n"/>
      <c r="B159" s="17" t="n"/>
      <c r="C159" s="18" t="n"/>
      <c r="D159" s="10" t="n"/>
      <c r="E159" s="17" t="n"/>
      <c r="F159" s="10" t="n"/>
      <c r="G159" s="10" t="n"/>
      <c r="H159" s="10" t="n"/>
      <c r="I159" s="18" t="n"/>
      <c r="J159" s="18" t="n"/>
      <c r="K159" s="18" t="n"/>
      <c r="L159" s="18" t="n"/>
      <c r="M159" s="19">
        <f>IF(K159="","",K159*365/12*L159)</f>
        <v/>
      </c>
      <c r="N159" s="18" t="n"/>
      <c r="O159" s="18" t="n"/>
      <c r="P159" s="18" t="n"/>
      <c r="Q159" s="18" t="n"/>
      <c r="R159" s="10" t="n"/>
      <c r="S159" s="17" t="n"/>
      <c r="T159" s="18" t="n"/>
      <c r="U159" s="17" t="n"/>
      <c r="V159" s="17" t="n"/>
      <c r="W159" s="18" t="n"/>
      <c r="X159" s="18" t="n"/>
      <c r="Y159" s="17" t="n"/>
      <c r="Z159" s="10" t="n"/>
      <c r="AA159" s="10" t="n"/>
      <c r="AB159" s="19">
        <f>IF(LEN(A159)&gt;0,1,0)</f>
        <v/>
      </c>
      <c r="AC159" s="19">
        <f>IF(LEN(A159)=0,0,(LEN(B159)=0)+(LEN(C159)=0)+(LEN(D159)=0)+(LEN(E159)=0)+(LEN(F159)=0)+(LEN(G159)=0)+(LEN(H159)=0)+(LEN(I159)=0)+(LEN(J159)=0)+(LEN(K159)=0)+(LEN(L159)=0)+(LEN(N159)=0)+(LEN(O159)=0)+(LEN(P159)=0)+(LEN(R159)=0)+(LEN(AA159)=0))</f>
        <v/>
      </c>
      <c r="AD159" s="19">
        <f>IF(OR(LEN(A159)=0,LEN(C159)=0),0,IF(OR(C159&lt;1,C159&gt;5),1,0))</f>
        <v/>
      </c>
      <c r="AE159" s="19">
        <f>IF(OR(LEN(A159)=0,LEN(R159)=0),0,IF(OR(R159="Active",R159="Paid off",R159="Defaulted",R159="Repossessed",R159="Written off",R159="Restructured"),0,1))</f>
        <v/>
      </c>
      <c r="AF159" s="19">
        <f>IF(A159="",0,IF(N(J159)&gt;N(I159),1,0))</f>
        <v/>
      </c>
      <c r="AG159" s="19">
        <f>IF(A159="",0,IF(N(N159)&gt;N(M159)+1,1,0))</f>
        <v/>
      </c>
      <c r="AH159" s="19">
        <f>IF(A159="",0,IF(N(E159)&gt;N(B159),1,0))</f>
        <v/>
      </c>
      <c r="AI159" s="19">
        <f>IF(A159="",0,IF(AND(Z159="Full payment",N(N159)&lt;N(M159)-1),1,0))</f>
        <v/>
      </c>
      <c r="AJ159" s="19">
        <f>IF(A159="",0,IF(N(P159)&lt;0,1,0))</f>
        <v/>
      </c>
      <c r="AK159" s="19">
        <f>IF(A159="",0,IF(COUNTIF($A$7:$A$1006,A159)&gt;1,1,0))</f>
        <v/>
      </c>
    </row>
    <row r="160">
      <c r="A160" s="10" t="n"/>
      <c r="B160" s="17" t="n"/>
      <c r="C160" s="18" t="n"/>
      <c r="D160" s="10" t="n"/>
      <c r="E160" s="17" t="n"/>
      <c r="F160" s="10" t="n"/>
      <c r="G160" s="10" t="n"/>
      <c r="H160" s="10" t="n"/>
      <c r="I160" s="18" t="n"/>
      <c r="J160" s="18" t="n"/>
      <c r="K160" s="18" t="n"/>
      <c r="L160" s="18" t="n"/>
      <c r="M160" s="19">
        <f>IF(K160="","",K160*365/12*L160)</f>
        <v/>
      </c>
      <c r="N160" s="18" t="n"/>
      <c r="O160" s="18" t="n"/>
      <c r="P160" s="18" t="n"/>
      <c r="Q160" s="18" t="n"/>
      <c r="R160" s="10" t="n"/>
      <c r="S160" s="17" t="n"/>
      <c r="T160" s="18" t="n"/>
      <c r="U160" s="17" t="n"/>
      <c r="V160" s="17" t="n"/>
      <c r="W160" s="18" t="n"/>
      <c r="X160" s="18" t="n"/>
      <c r="Y160" s="17" t="n"/>
      <c r="Z160" s="10" t="n"/>
      <c r="AA160" s="10" t="n"/>
      <c r="AB160" s="19">
        <f>IF(LEN(A160)&gt;0,1,0)</f>
        <v/>
      </c>
      <c r="AC160" s="19">
        <f>IF(LEN(A160)=0,0,(LEN(B160)=0)+(LEN(C160)=0)+(LEN(D160)=0)+(LEN(E160)=0)+(LEN(F160)=0)+(LEN(G160)=0)+(LEN(H160)=0)+(LEN(I160)=0)+(LEN(J160)=0)+(LEN(K160)=0)+(LEN(L160)=0)+(LEN(N160)=0)+(LEN(O160)=0)+(LEN(P160)=0)+(LEN(R160)=0)+(LEN(AA160)=0))</f>
        <v/>
      </c>
      <c r="AD160" s="19">
        <f>IF(OR(LEN(A160)=0,LEN(C160)=0),0,IF(OR(C160&lt;1,C160&gt;5),1,0))</f>
        <v/>
      </c>
      <c r="AE160" s="19">
        <f>IF(OR(LEN(A160)=0,LEN(R160)=0),0,IF(OR(R160="Active",R160="Paid off",R160="Defaulted",R160="Repossessed",R160="Written off",R160="Restructured"),0,1))</f>
        <v/>
      </c>
      <c r="AF160" s="19">
        <f>IF(A160="",0,IF(N(J160)&gt;N(I160),1,0))</f>
        <v/>
      </c>
      <c r="AG160" s="19">
        <f>IF(A160="",0,IF(N(N160)&gt;N(M160)+1,1,0))</f>
        <v/>
      </c>
      <c r="AH160" s="19">
        <f>IF(A160="",0,IF(N(E160)&gt;N(B160),1,0))</f>
        <v/>
      </c>
      <c r="AI160" s="19">
        <f>IF(A160="",0,IF(AND(Z160="Full payment",N(N160)&lt;N(M160)-1),1,0))</f>
        <v/>
      </c>
      <c r="AJ160" s="19">
        <f>IF(A160="",0,IF(N(P160)&lt;0,1,0))</f>
        <v/>
      </c>
      <c r="AK160" s="19">
        <f>IF(A160="",0,IF(COUNTIF($A$7:$A$1006,A160)&gt;1,1,0))</f>
        <v/>
      </c>
    </row>
    <row r="161">
      <c r="A161" s="10" t="n"/>
      <c r="B161" s="17" t="n"/>
      <c r="C161" s="18" t="n"/>
      <c r="D161" s="10" t="n"/>
      <c r="E161" s="17" t="n"/>
      <c r="F161" s="10" t="n"/>
      <c r="G161" s="10" t="n"/>
      <c r="H161" s="10" t="n"/>
      <c r="I161" s="18" t="n"/>
      <c r="J161" s="18" t="n"/>
      <c r="K161" s="18" t="n"/>
      <c r="L161" s="18" t="n"/>
      <c r="M161" s="19">
        <f>IF(K161="","",K161*365/12*L161)</f>
        <v/>
      </c>
      <c r="N161" s="18" t="n"/>
      <c r="O161" s="18" t="n"/>
      <c r="P161" s="18" t="n"/>
      <c r="Q161" s="18" t="n"/>
      <c r="R161" s="10" t="n"/>
      <c r="S161" s="17" t="n"/>
      <c r="T161" s="18" t="n"/>
      <c r="U161" s="17" t="n"/>
      <c r="V161" s="17" t="n"/>
      <c r="W161" s="18" t="n"/>
      <c r="X161" s="18" t="n"/>
      <c r="Y161" s="17" t="n"/>
      <c r="Z161" s="10" t="n"/>
      <c r="AA161" s="10" t="n"/>
      <c r="AB161" s="19">
        <f>IF(LEN(A161)&gt;0,1,0)</f>
        <v/>
      </c>
      <c r="AC161" s="19">
        <f>IF(LEN(A161)=0,0,(LEN(B161)=0)+(LEN(C161)=0)+(LEN(D161)=0)+(LEN(E161)=0)+(LEN(F161)=0)+(LEN(G161)=0)+(LEN(H161)=0)+(LEN(I161)=0)+(LEN(J161)=0)+(LEN(K161)=0)+(LEN(L161)=0)+(LEN(N161)=0)+(LEN(O161)=0)+(LEN(P161)=0)+(LEN(R161)=0)+(LEN(AA161)=0))</f>
        <v/>
      </c>
      <c r="AD161" s="19">
        <f>IF(OR(LEN(A161)=0,LEN(C161)=0),0,IF(OR(C161&lt;1,C161&gt;5),1,0))</f>
        <v/>
      </c>
      <c r="AE161" s="19">
        <f>IF(OR(LEN(A161)=0,LEN(R161)=0),0,IF(OR(R161="Active",R161="Paid off",R161="Defaulted",R161="Repossessed",R161="Written off",R161="Restructured"),0,1))</f>
        <v/>
      </c>
      <c r="AF161" s="19">
        <f>IF(A161="",0,IF(N(J161)&gt;N(I161),1,0))</f>
        <v/>
      </c>
      <c r="AG161" s="19">
        <f>IF(A161="",0,IF(N(N161)&gt;N(M161)+1,1,0))</f>
        <v/>
      </c>
      <c r="AH161" s="19">
        <f>IF(A161="",0,IF(N(E161)&gt;N(B161),1,0))</f>
        <v/>
      </c>
      <c r="AI161" s="19">
        <f>IF(A161="",0,IF(AND(Z161="Full payment",N(N161)&lt;N(M161)-1),1,0))</f>
        <v/>
      </c>
      <c r="AJ161" s="19">
        <f>IF(A161="",0,IF(N(P161)&lt;0,1,0))</f>
        <v/>
      </c>
      <c r="AK161" s="19">
        <f>IF(A161="",0,IF(COUNTIF($A$7:$A$1006,A161)&gt;1,1,0))</f>
        <v/>
      </c>
    </row>
    <row r="162">
      <c r="A162" s="10" t="n"/>
      <c r="B162" s="17" t="n"/>
      <c r="C162" s="18" t="n"/>
      <c r="D162" s="10" t="n"/>
      <c r="E162" s="17" t="n"/>
      <c r="F162" s="10" t="n"/>
      <c r="G162" s="10" t="n"/>
      <c r="H162" s="10" t="n"/>
      <c r="I162" s="18" t="n"/>
      <c r="J162" s="18" t="n"/>
      <c r="K162" s="18" t="n"/>
      <c r="L162" s="18" t="n"/>
      <c r="M162" s="19">
        <f>IF(K162="","",K162*365/12*L162)</f>
        <v/>
      </c>
      <c r="N162" s="18" t="n"/>
      <c r="O162" s="18" t="n"/>
      <c r="P162" s="18" t="n"/>
      <c r="Q162" s="18" t="n"/>
      <c r="R162" s="10" t="n"/>
      <c r="S162" s="17" t="n"/>
      <c r="T162" s="18" t="n"/>
      <c r="U162" s="17" t="n"/>
      <c r="V162" s="17" t="n"/>
      <c r="W162" s="18" t="n"/>
      <c r="X162" s="18" t="n"/>
      <c r="Y162" s="17" t="n"/>
      <c r="Z162" s="10" t="n"/>
      <c r="AA162" s="10" t="n"/>
      <c r="AB162" s="19">
        <f>IF(LEN(A162)&gt;0,1,0)</f>
        <v/>
      </c>
      <c r="AC162" s="19">
        <f>IF(LEN(A162)=0,0,(LEN(B162)=0)+(LEN(C162)=0)+(LEN(D162)=0)+(LEN(E162)=0)+(LEN(F162)=0)+(LEN(G162)=0)+(LEN(H162)=0)+(LEN(I162)=0)+(LEN(J162)=0)+(LEN(K162)=0)+(LEN(L162)=0)+(LEN(N162)=0)+(LEN(O162)=0)+(LEN(P162)=0)+(LEN(R162)=0)+(LEN(AA162)=0))</f>
        <v/>
      </c>
      <c r="AD162" s="19">
        <f>IF(OR(LEN(A162)=0,LEN(C162)=0),0,IF(OR(C162&lt;1,C162&gt;5),1,0))</f>
        <v/>
      </c>
      <c r="AE162" s="19">
        <f>IF(OR(LEN(A162)=0,LEN(R162)=0),0,IF(OR(R162="Active",R162="Paid off",R162="Defaulted",R162="Repossessed",R162="Written off",R162="Restructured"),0,1))</f>
        <v/>
      </c>
      <c r="AF162" s="19">
        <f>IF(A162="",0,IF(N(J162)&gt;N(I162),1,0))</f>
        <v/>
      </c>
      <c r="AG162" s="19">
        <f>IF(A162="",0,IF(N(N162)&gt;N(M162)+1,1,0))</f>
        <v/>
      </c>
      <c r="AH162" s="19">
        <f>IF(A162="",0,IF(N(E162)&gt;N(B162),1,0))</f>
        <v/>
      </c>
      <c r="AI162" s="19">
        <f>IF(A162="",0,IF(AND(Z162="Full payment",N(N162)&lt;N(M162)-1),1,0))</f>
        <v/>
      </c>
      <c r="AJ162" s="19">
        <f>IF(A162="",0,IF(N(P162)&lt;0,1,0))</f>
        <v/>
      </c>
      <c r="AK162" s="19">
        <f>IF(A162="",0,IF(COUNTIF($A$7:$A$1006,A162)&gt;1,1,0))</f>
        <v/>
      </c>
    </row>
    <row r="163">
      <c r="A163" s="10" t="n"/>
      <c r="B163" s="17" t="n"/>
      <c r="C163" s="18" t="n"/>
      <c r="D163" s="10" t="n"/>
      <c r="E163" s="17" t="n"/>
      <c r="F163" s="10" t="n"/>
      <c r="G163" s="10" t="n"/>
      <c r="H163" s="10" t="n"/>
      <c r="I163" s="18" t="n"/>
      <c r="J163" s="18" t="n"/>
      <c r="K163" s="18" t="n"/>
      <c r="L163" s="18" t="n"/>
      <c r="M163" s="19">
        <f>IF(K163="","",K163*365/12*L163)</f>
        <v/>
      </c>
      <c r="N163" s="18" t="n"/>
      <c r="O163" s="18" t="n"/>
      <c r="P163" s="18" t="n"/>
      <c r="Q163" s="18" t="n"/>
      <c r="R163" s="10" t="n"/>
      <c r="S163" s="17" t="n"/>
      <c r="T163" s="18" t="n"/>
      <c r="U163" s="17" t="n"/>
      <c r="V163" s="17" t="n"/>
      <c r="W163" s="18" t="n"/>
      <c r="X163" s="18" t="n"/>
      <c r="Y163" s="17" t="n"/>
      <c r="Z163" s="10" t="n"/>
      <c r="AA163" s="10" t="n"/>
      <c r="AB163" s="19">
        <f>IF(LEN(A163)&gt;0,1,0)</f>
        <v/>
      </c>
      <c r="AC163" s="19">
        <f>IF(LEN(A163)=0,0,(LEN(B163)=0)+(LEN(C163)=0)+(LEN(D163)=0)+(LEN(E163)=0)+(LEN(F163)=0)+(LEN(G163)=0)+(LEN(H163)=0)+(LEN(I163)=0)+(LEN(J163)=0)+(LEN(K163)=0)+(LEN(L163)=0)+(LEN(N163)=0)+(LEN(O163)=0)+(LEN(P163)=0)+(LEN(R163)=0)+(LEN(AA163)=0))</f>
        <v/>
      </c>
      <c r="AD163" s="19">
        <f>IF(OR(LEN(A163)=0,LEN(C163)=0),0,IF(OR(C163&lt;1,C163&gt;5),1,0))</f>
        <v/>
      </c>
      <c r="AE163" s="19">
        <f>IF(OR(LEN(A163)=0,LEN(R163)=0),0,IF(OR(R163="Active",R163="Paid off",R163="Defaulted",R163="Repossessed",R163="Written off",R163="Restructured"),0,1))</f>
        <v/>
      </c>
      <c r="AF163" s="19">
        <f>IF(A163="",0,IF(N(J163)&gt;N(I163),1,0))</f>
        <v/>
      </c>
      <c r="AG163" s="19">
        <f>IF(A163="",0,IF(N(N163)&gt;N(M163)+1,1,0))</f>
        <v/>
      </c>
      <c r="AH163" s="19">
        <f>IF(A163="",0,IF(N(E163)&gt;N(B163),1,0))</f>
        <v/>
      </c>
      <c r="AI163" s="19">
        <f>IF(A163="",0,IF(AND(Z163="Full payment",N(N163)&lt;N(M163)-1),1,0))</f>
        <v/>
      </c>
      <c r="AJ163" s="19">
        <f>IF(A163="",0,IF(N(P163)&lt;0,1,0))</f>
        <v/>
      </c>
      <c r="AK163" s="19">
        <f>IF(A163="",0,IF(COUNTIF($A$7:$A$1006,A163)&gt;1,1,0))</f>
        <v/>
      </c>
    </row>
    <row r="164">
      <c r="A164" s="10" t="n"/>
      <c r="B164" s="17" t="n"/>
      <c r="C164" s="18" t="n"/>
      <c r="D164" s="10" t="n"/>
      <c r="E164" s="17" t="n"/>
      <c r="F164" s="10" t="n"/>
      <c r="G164" s="10" t="n"/>
      <c r="H164" s="10" t="n"/>
      <c r="I164" s="18" t="n"/>
      <c r="J164" s="18" t="n"/>
      <c r="K164" s="18" t="n"/>
      <c r="L164" s="18" t="n"/>
      <c r="M164" s="19">
        <f>IF(K164="","",K164*365/12*L164)</f>
        <v/>
      </c>
      <c r="N164" s="18" t="n"/>
      <c r="O164" s="18" t="n"/>
      <c r="P164" s="18" t="n"/>
      <c r="Q164" s="18" t="n"/>
      <c r="R164" s="10" t="n"/>
      <c r="S164" s="17" t="n"/>
      <c r="T164" s="18" t="n"/>
      <c r="U164" s="17" t="n"/>
      <c r="V164" s="17" t="n"/>
      <c r="W164" s="18" t="n"/>
      <c r="X164" s="18" t="n"/>
      <c r="Y164" s="17" t="n"/>
      <c r="Z164" s="10" t="n"/>
      <c r="AA164" s="10" t="n"/>
      <c r="AB164" s="19">
        <f>IF(LEN(A164)&gt;0,1,0)</f>
        <v/>
      </c>
      <c r="AC164" s="19">
        <f>IF(LEN(A164)=0,0,(LEN(B164)=0)+(LEN(C164)=0)+(LEN(D164)=0)+(LEN(E164)=0)+(LEN(F164)=0)+(LEN(G164)=0)+(LEN(H164)=0)+(LEN(I164)=0)+(LEN(J164)=0)+(LEN(K164)=0)+(LEN(L164)=0)+(LEN(N164)=0)+(LEN(O164)=0)+(LEN(P164)=0)+(LEN(R164)=0)+(LEN(AA164)=0))</f>
        <v/>
      </c>
      <c r="AD164" s="19">
        <f>IF(OR(LEN(A164)=0,LEN(C164)=0),0,IF(OR(C164&lt;1,C164&gt;5),1,0))</f>
        <v/>
      </c>
      <c r="AE164" s="19">
        <f>IF(OR(LEN(A164)=0,LEN(R164)=0),0,IF(OR(R164="Active",R164="Paid off",R164="Defaulted",R164="Repossessed",R164="Written off",R164="Restructured"),0,1))</f>
        <v/>
      </c>
      <c r="AF164" s="19">
        <f>IF(A164="",0,IF(N(J164)&gt;N(I164),1,0))</f>
        <v/>
      </c>
      <c r="AG164" s="19">
        <f>IF(A164="",0,IF(N(N164)&gt;N(M164)+1,1,0))</f>
        <v/>
      </c>
      <c r="AH164" s="19">
        <f>IF(A164="",0,IF(N(E164)&gt;N(B164),1,0))</f>
        <v/>
      </c>
      <c r="AI164" s="19">
        <f>IF(A164="",0,IF(AND(Z164="Full payment",N(N164)&lt;N(M164)-1),1,0))</f>
        <v/>
      </c>
      <c r="AJ164" s="19">
        <f>IF(A164="",0,IF(N(P164)&lt;0,1,0))</f>
        <v/>
      </c>
      <c r="AK164" s="19">
        <f>IF(A164="",0,IF(COUNTIF($A$7:$A$1006,A164)&gt;1,1,0))</f>
        <v/>
      </c>
    </row>
    <row r="165">
      <c r="A165" s="10" t="n"/>
      <c r="B165" s="17" t="n"/>
      <c r="C165" s="18" t="n"/>
      <c r="D165" s="10" t="n"/>
      <c r="E165" s="17" t="n"/>
      <c r="F165" s="10" t="n"/>
      <c r="G165" s="10" t="n"/>
      <c r="H165" s="10" t="n"/>
      <c r="I165" s="18" t="n"/>
      <c r="J165" s="18" t="n"/>
      <c r="K165" s="18" t="n"/>
      <c r="L165" s="18" t="n"/>
      <c r="M165" s="19">
        <f>IF(K165="","",K165*365/12*L165)</f>
        <v/>
      </c>
      <c r="N165" s="18" t="n"/>
      <c r="O165" s="18" t="n"/>
      <c r="P165" s="18" t="n"/>
      <c r="Q165" s="18" t="n"/>
      <c r="R165" s="10" t="n"/>
      <c r="S165" s="17" t="n"/>
      <c r="T165" s="18" t="n"/>
      <c r="U165" s="17" t="n"/>
      <c r="V165" s="17" t="n"/>
      <c r="W165" s="18" t="n"/>
      <c r="X165" s="18" t="n"/>
      <c r="Y165" s="17" t="n"/>
      <c r="Z165" s="10" t="n"/>
      <c r="AA165" s="10" t="n"/>
      <c r="AB165" s="19">
        <f>IF(LEN(A165)&gt;0,1,0)</f>
        <v/>
      </c>
      <c r="AC165" s="19">
        <f>IF(LEN(A165)=0,0,(LEN(B165)=0)+(LEN(C165)=0)+(LEN(D165)=0)+(LEN(E165)=0)+(LEN(F165)=0)+(LEN(G165)=0)+(LEN(H165)=0)+(LEN(I165)=0)+(LEN(J165)=0)+(LEN(K165)=0)+(LEN(L165)=0)+(LEN(N165)=0)+(LEN(O165)=0)+(LEN(P165)=0)+(LEN(R165)=0)+(LEN(AA165)=0))</f>
        <v/>
      </c>
      <c r="AD165" s="19">
        <f>IF(OR(LEN(A165)=0,LEN(C165)=0),0,IF(OR(C165&lt;1,C165&gt;5),1,0))</f>
        <v/>
      </c>
      <c r="AE165" s="19">
        <f>IF(OR(LEN(A165)=0,LEN(R165)=0),0,IF(OR(R165="Active",R165="Paid off",R165="Defaulted",R165="Repossessed",R165="Written off",R165="Restructured"),0,1))</f>
        <v/>
      </c>
      <c r="AF165" s="19">
        <f>IF(A165="",0,IF(N(J165)&gt;N(I165),1,0))</f>
        <v/>
      </c>
      <c r="AG165" s="19">
        <f>IF(A165="",0,IF(N(N165)&gt;N(M165)+1,1,0))</f>
        <v/>
      </c>
      <c r="AH165" s="19">
        <f>IF(A165="",0,IF(N(E165)&gt;N(B165),1,0))</f>
        <v/>
      </c>
      <c r="AI165" s="19">
        <f>IF(A165="",0,IF(AND(Z165="Full payment",N(N165)&lt;N(M165)-1),1,0))</f>
        <v/>
      </c>
      <c r="AJ165" s="19">
        <f>IF(A165="",0,IF(N(P165)&lt;0,1,0))</f>
        <v/>
      </c>
      <c r="AK165" s="19">
        <f>IF(A165="",0,IF(COUNTIF($A$7:$A$1006,A165)&gt;1,1,0))</f>
        <v/>
      </c>
    </row>
    <row r="166">
      <c r="A166" s="10" t="n"/>
      <c r="B166" s="17" t="n"/>
      <c r="C166" s="18" t="n"/>
      <c r="D166" s="10" t="n"/>
      <c r="E166" s="17" t="n"/>
      <c r="F166" s="10" t="n"/>
      <c r="G166" s="10" t="n"/>
      <c r="H166" s="10" t="n"/>
      <c r="I166" s="18" t="n"/>
      <c r="J166" s="18" t="n"/>
      <c r="K166" s="18" t="n"/>
      <c r="L166" s="18" t="n"/>
      <c r="M166" s="19">
        <f>IF(K166="","",K166*365/12*L166)</f>
        <v/>
      </c>
      <c r="N166" s="18" t="n"/>
      <c r="O166" s="18" t="n"/>
      <c r="P166" s="18" t="n"/>
      <c r="Q166" s="18" t="n"/>
      <c r="R166" s="10" t="n"/>
      <c r="S166" s="17" t="n"/>
      <c r="T166" s="18" t="n"/>
      <c r="U166" s="17" t="n"/>
      <c r="V166" s="17" t="n"/>
      <c r="W166" s="18" t="n"/>
      <c r="X166" s="18" t="n"/>
      <c r="Y166" s="17" t="n"/>
      <c r="Z166" s="10" t="n"/>
      <c r="AA166" s="10" t="n"/>
      <c r="AB166" s="19">
        <f>IF(LEN(A166)&gt;0,1,0)</f>
        <v/>
      </c>
      <c r="AC166" s="19">
        <f>IF(LEN(A166)=0,0,(LEN(B166)=0)+(LEN(C166)=0)+(LEN(D166)=0)+(LEN(E166)=0)+(LEN(F166)=0)+(LEN(G166)=0)+(LEN(H166)=0)+(LEN(I166)=0)+(LEN(J166)=0)+(LEN(K166)=0)+(LEN(L166)=0)+(LEN(N166)=0)+(LEN(O166)=0)+(LEN(P166)=0)+(LEN(R166)=0)+(LEN(AA166)=0))</f>
        <v/>
      </c>
      <c r="AD166" s="19">
        <f>IF(OR(LEN(A166)=0,LEN(C166)=0),0,IF(OR(C166&lt;1,C166&gt;5),1,0))</f>
        <v/>
      </c>
      <c r="AE166" s="19">
        <f>IF(OR(LEN(A166)=0,LEN(R166)=0),0,IF(OR(R166="Active",R166="Paid off",R166="Defaulted",R166="Repossessed",R166="Written off",R166="Restructured"),0,1))</f>
        <v/>
      </c>
      <c r="AF166" s="19">
        <f>IF(A166="",0,IF(N(J166)&gt;N(I166),1,0))</f>
        <v/>
      </c>
      <c r="AG166" s="19">
        <f>IF(A166="",0,IF(N(N166)&gt;N(M166)+1,1,0))</f>
        <v/>
      </c>
      <c r="AH166" s="19">
        <f>IF(A166="",0,IF(N(E166)&gt;N(B166),1,0))</f>
        <v/>
      </c>
      <c r="AI166" s="19">
        <f>IF(A166="",0,IF(AND(Z166="Full payment",N(N166)&lt;N(M166)-1),1,0))</f>
        <v/>
      </c>
      <c r="AJ166" s="19">
        <f>IF(A166="",0,IF(N(P166)&lt;0,1,0))</f>
        <v/>
      </c>
      <c r="AK166" s="19">
        <f>IF(A166="",0,IF(COUNTIF($A$7:$A$1006,A166)&gt;1,1,0))</f>
        <v/>
      </c>
    </row>
    <row r="167">
      <c r="A167" s="10" t="n"/>
      <c r="B167" s="17" t="n"/>
      <c r="C167" s="18" t="n"/>
      <c r="D167" s="10" t="n"/>
      <c r="E167" s="17" t="n"/>
      <c r="F167" s="10" t="n"/>
      <c r="G167" s="10" t="n"/>
      <c r="H167" s="10" t="n"/>
      <c r="I167" s="18" t="n"/>
      <c r="J167" s="18" t="n"/>
      <c r="K167" s="18" t="n"/>
      <c r="L167" s="18" t="n"/>
      <c r="M167" s="19">
        <f>IF(K167="","",K167*365/12*L167)</f>
        <v/>
      </c>
      <c r="N167" s="18" t="n"/>
      <c r="O167" s="18" t="n"/>
      <c r="P167" s="18" t="n"/>
      <c r="Q167" s="18" t="n"/>
      <c r="R167" s="10" t="n"/>
      <c r="S167" s="17" t="n"/>
      <c r="T167" s="18" t="n"/>
      <c r="U167" s="17" t="n"/>
      <c r="V167" s="17" t="n"/>
      <c r="W167" s="18" t="n"/>
      <c r="X167" s="18" t="n"/>
      <c r="Y167" s="17" t="n"/>
      <c r="Z167" s="10" t="n"/>
      <c r="AA167" s="10" t="n"/>
      <c r="AB167" s="19">
        <f>IF(LEN(A167)&gt;0,1,0)</f>
        <v/>
      </c>
      <c r="AC167" s="19">
        <f>IF(LEN(A167)=0,0,(LEN(B167)=0)+(LEN(C167)=0)+(LEN(D167)=0)+(LEN(E167)=0)+(LEN(F167)=0)+(LEN(G167)=0)+(LEN(H167)=0)+(LEN(I167)=0)+(LEN(J167)=0)+(LEN(K167)=0)+(LEN(L167)=0)+(LEN(N167)=0)+(LEN(O167)=0)+(LEN(P167)=0)+(LEN(R167)=0)+(LEN(AA167)=0))</f>
        <v/>
      </c>
      <c r="AD167" s="19">
        <f>IF(OR(LEN(A167)=0,LEN(C167)=0),0,IF(OR(C167&lt;1,C167&gt;5),1,0))</f>
        <v/>
      </c>
      <c r="AE167" s="19">
        <f>IF(OR(LEN(A167)=0,LEN(R167)=0),0,IF(OR(R167="Active",R167="Paid off",R167="Defaulted",R167="Repossessed",R167="Written off",R167="Restructured"),0,1))</f>
        <v/>
      </c>
      <c r="AF167" s="19">
        <f>IF(A167="",0,IF(N(J167)&gt;N(I167),1,0))</f>
        <v/>
      </c>
      <c r="AG167" s="19">
        <f>IF(A167="",0,IF(N(N167)&gt;N(M167)+1,1,0))</f>
        <v/>
      </c>
      <c r="AH167" s="19">
        <f>IF(A167="",0,IF(N(E167)&gt;N(B167),1,0))</f>
        <v/>
      </c>
      <c r="AI167" s="19">
        <f>IF(A167="",0,IF(AND(Z167="Full payment",N(N167)&lt;N(M167)-1),1,0))</f>
        <v/>
      </c>
      <c r="AJ167" s="19">
        <f>IF(A167="",0,IF(N(P167)&lt;0,1,0))</f>
        <v/>
      </c>
      <c r="AK167" s="19">
        <f>IF(A167="",0,IF(COUNTIF($A$7:$A$1006,A167)&gt;1,1,0))</f>
        <v/>
      </c>
    </row>
    <row r="168">
      <c r="A168" s="10" t="n"/>
      <c r="B168" s="17" t="n"/>
      <c r="C168" s="18" t="n"/>
      <c r="D168" s="10" t="n"/>
      <c r="E168" s="17" t="n"/>
      <c r="F168" s="10" t="n"/>
      <c r="G168" s="10" t="n"/>
      <c r="H168" s="10" t="n"/>
      <c r="I168" s="18" t="n"/>
      <c r="J168" s="18" t="n"/>
      <c r="K168" s="18" t="n"/>
      <c r="L168" s="18" t="n"/>
      <c r="M168" s="19">
        <f>IF(K168="","",K168*365/12*L168)</f>
        <v/>
      </c>
      <c r="N168" s="18" t="n"/>
      <c r="O168" s="18" t="n"/>
      <c r="P168" s="18" t="n"/>
      <c r="Q168" s="18" t="n"/>
      <c r="R168" s="10" t="n"/>
      <c r="S168" s="17" t="n"/>
      <c r="T168" s="18" t="n"/>
      <c r="U168" s="17" t="n"/>
      <c r="V168" s="17" t="n"/>
      <c r="W168" s="18" t="n"/>
      <c r="X168" s="18" t="n"/>
      <c r="Y168" s="17" t="n"/>
      <c r="Z168" s="10" t="n"/>
      <c r="AA168" s="10" t="n"/>
      <c r="AB168" s="19">
        <f>IF(LEN(A168)&gt;0,1,0)</f>
        <v/>
      </c>
      <c r="AC168" s="19">
        <f>IF(LEN(A168)=0,0,(LEN(B168)=0)+(LEN(C168)=0)+(LEN(D168)=0)+(LEN(E168)=0)+(LEN(F168)=0)+(LEN(G168)=0)+(LEN(H168)=0)+(LEN(I168)=0)+(LEN(J168)=0)+(LEN(K168)=0)+(LEN(L168)=0)+(LEN(N168)=0)+(LEN(O168)=0)+(LEN(P168)=0)+(LEN(R168)=0)+(LEN(AA168)=0))</f>
        <v/>
      </c>
      <c r="AD168" s="19">
        <f>IF(OR(LEN(A168)=0,LEN(C168)=0),0,IF(OR(C168&lt;1,C168&gt;5),1,0))</f>
        <v/>
      </c>
      <c r="AE168" s="19">
        <f>IF(OR(LEN(A168)=0,LEN(R168)=0),0,IF(OR(R168="Active",R168="Paid off",R168="Defaulted",R168="Repossessed",R168="Written off",R168="Restructured"),0,1))</f>
        <v/>
      </c>
      <c r="AF168" s="19">
        <f>IF(A168="",0,IF(N(J168)&gt;N(I168),1,0))</f>
        <v/>
      </c>
      <c r="AG168" s="19">
        <f>IF(A168="",0,IF(N(N168)&gt;N(M168)+1,1,0))</f>
        <v/>
      </c>
      <c r="AH168" s="19">
        <f>IF(A168="",0,IF(N(E168)&gt;N(B168),1,0))</f>
        <v/>
      </c>
      <c r="AI168" s="19">
        <f>IF(A168="",0,IF(AND(Z168="Full payment",N(N168)&lt;N(M168)-1),1,0))</f>
        <v/>
      </c>
      <c r="AJ168" s="19">
        <f>IF(A168="",0,IF(N(P168)&lt;0,1,0))</f>
        <v/>
      </c>
      <c r="AK168" s="19">
        <f>IF(A168="",0,IF(COUNTIF($A$7:$A$1006,A168)&gt;1,1,0))</f>
        <v/>
      </c>
    </row>
    <row r="169">
      <c r="A169" s="10" t="n"/>
      <c r="B169" s="17" t="n"/>
      <c r="C169" s="18" t="n"/>
      <c r="D169" s="10" t="n"/>
      <c r="E169" s="17" t="n"/>
      <c r="F169" s="10" t="n"/>
      <c r="G169" s="10" t="n"/>
      <c r="H169" s="10" t="n"/>
      <c r="I169" s="18" t="n"/>
      <c r="J169" s="18" t="n"/>
      <c r="K169" s="18" t="n"/>
      <c r="L169" s="18" t="n"/>
      <c r="M169" s="19">
        <f>IF(K169="","",K169*365/12*L169)</f>
        <v/>
      </c>
      <c r="N169" s="18" t="n"/>
      <c r="O169" s="18" t="n"/>
      <c r="P169" s="18" t="n"/>
      <c r="Q169" s="18" t="n"/>
      <c r="R169" s="10" t="n"/>
      <c r="S169" s="17" t="n"/>
      <c r="T169" s="18" t="n"/>
      <c r="U169" s="17" t="n"/>
      <c r="V169" s="17" t="n"/>
      <c r="W169" s="18" t="n"/>
      <c r="X169" s="18" t="n"/>
      <c r="Y169" s="17" t="n"/>
      <c r="Z169" s="10" t="n"/>
      <c r="AA169" s="10" t="n"/>
      <c r="AB169" s="19">
        <f>IF(LEN(A169)&gt;0,1,0)</f>
        <v/>
      </c>
      <c r="AC169" s="19">
        <f>IF(LEN(A169)=0,0,(LEN(B169)=0)+(LEN(C169)=0)+(LEN(D169)=0)+(LEN(E169)=0)+(LEN(F169)=0)+(LEN(G169)=0)+(LEN(H169)=0)+(LEN(I169)=0)+(LEN(J169)=0)+(LEN(K169)=0)+(LEN(L169)=0)+(LEN(N169)=0)+(LEN(O169)=0)+(LEN(P169)=0)+(LEN(R169)=0)+(LEN(AA169)=0))</f>
        <v/>
      </c>
      <c r="AD169" s="19">
        <f>IF(OR(LEN(A169)=0,LEN(C169)=0),0,IF(OR(C169&lt;1,C169&gt;5),1,0))</f>
        <v/>
      </c>
      <c r="AE169" s="19">
        <f>IF(OR(LEN(A169)=0,LEN(R169)=0),0,IF(OR(R169="Active",R169="Paid off",R169="Defaulted",R169="Repossessed",R169="Written off",R169="Restructured"),0,1))</f>
        <v/>
      </c>
      <c r="AF169" s="19">
        <f>IF(A169="",0,IF(N(J169)&gt;N(I169),1,0))</f>
        <v/>
      </c>
      <c r="AG169" s="19">
        <f>IF(A169="",0,IF(N(N169)&gt;N(M169)+1,1,0))</f>
        <v/>
      </c>
      <c r="AH169" s="19">
        <f>IF(A169="",0,IF(N(E169)&gt;N(B169),1,0))</f>
        <v/>
      </c>
      <c r="AI169" s="19">
        <f>IF(A169="",0,IF(AND(Z169="Full payment",N(N169)&lt;N(M169)-1),1,0))</f>
        <v/>
      </c>
      <c r="AJ169" s="19">
        <f>IF(A169="",0,IF(N(P169)&lt;0,1,0))</f>
        <v/>
      </c>
      <c r="AK169" s="19">
        <f>IF(A169="",0,IF(COUNTIF($A$7:$A$1006,A169)&gt;1,1,0))</f>
        <v/>
      </c>
    </row>
    <row r="170">
      <c r="A170" s="10" t="n"/>
      <c r="B170" s="17" t="n"/>
      <c r="C170" s="18" t="n"/>
      <c r="D170" s="10" t="n"/>
      <c r="E170" s="17" t="n"/>
      <c r="F170" s="10" t="n"/>
      <c r="G170" s="10" t="n"/>
      <c r="H170" s="10" t="n"/>
      <c r="I170" s="18" t="n"/>
      <c r="J170" s="18" t="n"/>
      <c r="K170" s="18" t="n"/>
      <c r="L170" s="18" t="n"/>
      <c r="M170" s="19">
        <f>IF(K170="","",K170*365/12*L170)</f>
        <v/>
      </c>
      <c r="N170" s="18" t="n"/>
      <c r="O170" s="18" t="n"/>
      <c r="P170" s="18" t="n"/>
      <c r="Q170" s="18" t="n"/>
      <c r="R170" s="10" t="n"/>
      <c r="S170" s="17" t="n"/>
      <c r="T170" s="18" t="n"/>
      <c r="U170" s="17" t="n"/>
      <c r="V170" s="17" t="n"/>
      <c r="W170" s="18" t="n"/>
      <c r="X170" s="18" t="n"/>
      <c r="Y170" s="17" t="n"/>
      <c r="Z170" s="10" t="n"/>
      <c r="AA170" s="10" t="n"/>
      <c r="AB170" s="19">
        <f>IF(LEN(A170)&gt;0,1,0)</f>
        <v/>
      </c>
      <c r="AC170" s="19">
        <f>IF(LEN(A170)=0,0,(LEN(B170)=0)+(LEN(C170)=0)+(LEN(D170)=0)+(LEN(E170)=0)+(LEN(F170)=0)+(LEN(G170)=0)+(LEN(H170)=0)+(LEN(I170)=0)+(LEN(J170)=0)+(LEN(K170)=0)+(LEN(L170)=0)+(LEN(N170)=0)+(LEN(O170)=0)+(LEN(P170)=0)+(LEN(R170)=0)+(LEN(AA170)=0))</f>
        <v/>
      </c>
      <c r="AD170" s="19">
        <f>IF(OR(LEN(A170)=0,LEN(C170)=0),0,IF(OR(C170&lt;1,C170&gt;5),1,0))</f>
        <v/>
      </c>
      <c r="AE170" s="19">
        <f>IF(OR(LEN(A170)=0,LEN(R170)=0),0,IF(OR(R170="Active",R170="Paid off",R170="Defaulted",R170="Repossessed",R170="Written off",R170="Restructured"),0,1))</f>
        <v/>
      </c>
      <c r="AF170" s="19">
        <f>IF(A170="",0,IF(N(J170)&gt;N(I170),1,0))</f>
        <v/>
      </c>
      <c r="AG170" s="19">
        <f>IF(A170="",0,IF(N(N170)&gt;N(M170)+1,1,0))</f>
        <v/>
      </c>
      <c r="AH170" s="19">
        <f>IF(A170="",0,IF(N(E170)&gt;N(B170),1,0))</f>
        <v/>
      </c>
      <c r="AI170" s="19">
        <f>IF(A170="",0,IF(AND(Z170="Full payment",N(N170)&lt;N(M170)-1),1,0))</f>
        <v/>
      </c>
      <c r="AJ170" s="19">
        <f>IF(A170="",0,IF(N(P170)&lt;0,1,0))</f>
        <v/>
      </c>
      <c r="AK170" s="19">
        <f>IF(A170="",0,IF(COUNTIF($A$7:$A$1006,A170)&gt;1,1,0))</f>
        <v/>
      </c>
    </row>
    <row r="171">
      <c r="A171" s="10" t="n"/>
      <c r="B171" s="17" t="n"/>
      <c r="C171" s="18" t="n"/>
      <c r="D171" s="10" t="n"/>
      <c r="E171" s="17" t="n"/>
      <c r="F171" s="10" t="n"/>
      <c r="G171" s="10" t="n"/>
      <c r="H171" s="10" t="n"/>
      <c r="I171" s="18" t="n"/>
      <c r="J171" s="18" t="n"/>
      <c r="K171" s="18" t="n"/>
      <c r="L171" s="18" t="n"/>
      <c r="M171" s="19">
        <f>IF(K171="","",K171*365/12*L171)</f>
        <v/>
      </c>
      <c r="N171" s="18" t="n"/>
      <c r="O171" s="18" t="n"/>
      <c r="P171" s="18" t="n"/>
      <c r="Q171" s="18" t="n"/>
      <c r="R171" s="10" t="n"/>
      <c r="S171" s="17" t="n"/>
      <c r="T171" s="18" t="n"/>
      <c r="U171" s="17" t="n"/>
      <c r="V171" s="17" t="n"/>
      <c r="W171" s="18" t="n"/>
      <c r="X171" s="18" t="n"/>
      <c r="Y171" s="17" t="n"/>
      <c r="Z171" s="10" t="n"/>
      <c r="AA171" s="10" t="n"/>
      <c r="AB171" s="19">
        <f>IF(LEN(A171)&gt;0,1,0)</f>
        <v/>
      </c>
      <c r="AC171" s="19">
        <f>IF(LEN(A171)=0,0,(LEN(B171)=0)+(LEN(C171)=0)+(LEN(D171)=0)+(LEN(E171)=0)+(LEN(F171)=0)+(LEN(G171)=0)+(LEN(H171)=0)+(LEN(I171)=0)+(LEN(J171)=0)+(LEN(K171)=0)+(LEN(L171)=0)+(LEN(N171)=0)+(LEN(O171)=0)+(LEN(P171)=0)+(LEN(R171)=0)+(LEN(AA171)=0))</f>
        <v/>
      </c>
      <c r="AD171" s="19">
        <f>IF(OR(LEN(A171)=0,LEN(C171)=0),0,IF(OR(C171&lt;1,C171&gt;5),1,0))</f>
        <v/>
      </c>
      <c r="AE171" s="19">
        <f>IF(OR(LEN(A171)=0,LEN(R171)=0),0,IF(OR(R171="Active",R171="Paid off",R171="Defaulted",R171="Repossessed",R171="Written off",R171="Restructured"),0,1))</f>
        <v/>
      </c>
      <c r="AF171" s="19">
        <f>IF(A171="",0,IF(N(J171)&gt;N(I171),1,0))</f>
        <v/>
      </c>
      <c r="AG171" s="19">
        <f>IF(A171="",0,IF(N(N171)&gt;N(M171)+1,1,0))</f>
        <v/>
      </c>
      <c r="AH171" s="19">
        <f>IF(A171="",0,IF(N(E171)&gt;N(B171),1,0))</f>
        <v/>
      </c>
      <c r="AI171" s="19">
        <f>IF(A171="",0,IF(AND(Z171="Full payment",N(N171)&lt;N(M171)-1),1,0))</f>
        <v/>
      </c>
      <c r="AJ171" s="19">
        <f>IF(A171="",0,IF(N(P171)&lt;0,1,0))</f>
        <v/>
      </c>
      <c r="AK171" s="19">
        <f>IF(A171="",0,IF(COUNTIF($A$7:$A$1006,A171)&gt;1,1,0))</f>
        <v/>
      </c>
    </row>
    <row r="172">
      <c r="A172" s="10" t="n"/>
      <c r="B172" s="17" t="n"/>
      <c r="C172" s="18" t="n"/>
      <c r="D172" s="10" t="n"/>
      <c r="E172" s="17" t="n"/>
      <c r="F172" s="10" t="n"/>
      <c r="G172" s="10" t="n"/>
      <c r="H172" s="10" t="n"/>
      <c r="I172" s="18" t="n"/>
      <c r="J172" s="18" t="n"/>
      <c r="K172" s="18" t="n"/>
      <c r="L172" s="18" t="n"/>
      <c r="M172" s="19">
        <f>IF(K172="","",K172*365/12*L172)</f>
        <v/>
      </c>
      <c r="N172" s="18" t="n"/>
      <c r="O172" s="18" t="n"/>
      <c r="P172" s="18" t="n"/>
      <c r="Q172" s="18" t="n"/>
      <c r="R172" s="10" t="n"/>
      <c r="S172" s="17" t="n"/>
      <c r="T172" s="18" t="n"/>
      <c r="U172" s="17" t="n"/>
      <c r="V172" s="17" t="n"/>
      <c r="W172" s="18" t="n"/>
      <c r="X172" s="18" t="n"/>
      <c r="Y172" s="17" t="n"/>
      <c r="Z172" s="10" t="n"/>
      <c r="AA172" s="10" t="n"/>
      <c r="AB172" s="19">
        <f>IF(LEN(A172)&gt;0,1,0)</f>
        <v/>
      </c>
      <c r="AC172" s="19">
        <f>IF(LEN(A172)=0,0,(LEN(B172)=0)+(LEN(C172)=0)+(LEN(D172)=0)+(LEN(E172)=0)+(LEN(F172)=0)+(LEN(G172)=0)+(LEN(H172)=0)+(LEN(I172)=0)+(LEN(J172)=0)+(LEN(K172)=0)+(LEN(L172)=0)+(LEN(N172)=0)+(LEN(O172)=0)+(LEN(P172)=0)+(LEN(R172)=0)+(LEN(AA172)=0))</f>
        <v/>
      </c>
      <c r="AD172" s="19">
        <f>IF(OR(LEN(A172)=0,LEN(C172)=0),0,IF(OR(C172&lt;1,C172&gt;5),1,0))</f>
        <v/>
      </c>
      <c r="AE172" s="19">
        <f>IF(OR(LEN(A172)=0,LEN(R172)=0),0,IF(OR(R172="Active",R172="Paid off",R172="Defaulted",R172="Repossessed",R172="Written off",R172="Restructured"),0,1))</f>
        <v/>
      </c>
      <c r="AF172" s="19">
        <f>IF(A172="",0,IF(N(J172)&gt;N(I172),1,0))</f>
        <v/>
      </c>
      <c r="AG172" s="19">
        <f>IF(A172="",0,IF(N(N172)&gt;N(M172)+1,1,0))</f>
        <v/>
      </c>
      <c r="AH172" s="19">
        <f>IF(A172="",0,IF(N(E172)&gt;N(B172),1,0))</f>
        <v/>
      </c>
      <c r="AI172" s="19">
        <f>IF(A172="",0,IF(AND(Z172="Full payment",N(N172)&lt;N(M172)-1),1,0))</f>
        <v/>
      </c>
      <c r="AJ172" s="19">
        <f>IF(A172="",0,IF(N(P172)&lt;0,1,0))</f>
        <v/>
      </c>
      <c r="AK172" s="19">
        <f>IF(A172="",0,IF(COUNTIF($A$7:$A$1006,A172)&gt;1,1,0))</f>
        <v/>
      </c>
    </row>
    <row r="173">
      <c r="A173" s="10" t="n"/>
      <c r="B173" s="17" t="n"/>
      <c r="C173" s="18" t="n"/>
      <c r="D173" s="10" t="n"/>
      <c r="E173" s="17" t="n"/>
      <c r="F173" s="10" t="n"/>
      <c r="G173" s="10" t="n"/>
      <c r="H173" s="10" t="n"/>
      <c r="I173" s="18" t="n"/>
      <c r="J173" s="18" t="n"/>
      <c r="K173" s="18" t="n"/>
      <c r="L173" s="18" t="n"/>
      <c r="M173" s="19">
        <f>IF(K173="","",K173*365/12*L173)</f>
        <v/>
      </c>
      <c r="N173" s="18" t="n"/>
      <c r="O173" s="18" t="n"/>
      <c r="P173" s="18" t="n"/>
      <c r="Q173" s="18" t="n"/>
      <c r="R173" s="10" t="n"/>
      <c r="S173" s="17" t="n"/>
      <c r="T173" s="18" t="n"/>
      <c r="U173" s="17" t="n"/>
      <c r="V173" s="17" t="n"/>
      <c r="W173" s="18" t="n"/>
      <c r="X173" s="18" t="n"/>
      <c r="Y173" s="17" t="n"/>
      <c r="Z173" s="10" t="n"/>
      <c r="AA173" s="10" t="n"/>
      <c r="AB173" s="19">
        <f>IF(LEN(A173)&gt;0,1,0)</f>
        <v/>
      </c>
      <c r="AC173" s="19">
        <f>IF(LEN(A173)=0,0,(LEN(B173)=0)+(LEN(C173)=0)+(LEN(D173)=0)+(LEN(E173)=0)+(LEN(F173)=0)+(LEN(G173)=0)+(LEN(H173)=0)+(LEN(I173)=0)+(LEN(J173)=0)+(LEN(K173)=0)+(LEN(L173)=0)+(LEN(N173)=0)+(LEN(O173)=0)+(LEN(P173)=0)+(LEN(R173)=0)+(LEN(AA173)=0))</f>
        <v/>
      </c>
      <c r="AD173" s="19">
        <f>IF(OR(LEN(A173)=0,LEN(C173)=0),0,IF(OR(C173&lt;1,C173&gt;5),1,0))</f>
        <v/>
      </c>
      <c r="AE173" s="19">
        <f>IF(OR(LEN(A173)=0,LEN(R173)=0),0,IF(OR(R173="Active",R173="Paid off",R173="Defaulted",R173="Repossessed",R173="Written off",R173="Restructured"),0,1))</f>
        <v/>
      </c>
      <c r="AF173" s="19">
        <f>IF(A173="",0,IF(N(J173)&gt;N(I173),1,0))</f>
        <v/>
      </c>
      <c r="AG173" s="19">
        <f>IF(A173="",0,IF(N(N173)&gt;N(M173)+1,1,0))</f>
        <v/>
      </c>
      <c r="AH173" s="19">
        <f>IF(A173="",0,IF(N(E173)&gt;N(B173),1,0))</f>
        <v/>
      </c>
      <c r="AI173" s="19">
        <f>IF(A173="",0,IF(AND(Z173="Full payment",N(N173)&lt;N(M173)-1),1,0))</f>
        <v/>
      </c>
      <c r="AJ173" s="19">
        <f>IF(A173="",0,IF(N(P173)&lt;0,1,0))</f>
        <v/>
      </c>
      <c r="AK173" s="19">
        <f>IF(A173="",0,IF(COUNTIF($A$7:$A$1006,A173)&gt;1,1,0))</f>
        <v/>
      </c>
    </row>
    <row r="174">
      <c r="A174" s="10" t="n"/>
      <c r="B174" s="17" t="n"/>
      <c r="C174" s="18" t="n"/>
      <c r="D174" s="10" t="n"/>
      <c r="E174" s="17" t="n"/>
      <c r="F174" s="10" t="n"/>
      <c r="G174" s="10" t="n"/>
      <c r="H174" s="10" t="n"/>
      <c r="I174" s="18" t="n"/>
      <c r="J174" s="18" t="n"/>
      <c r="K174" s="18" t="n"/>
      <c r="L174" s="18" t="n"/>
      <c r="M174" s="19">
        <f>IF(K174="","",K174*365/12*L174)</f>
        <v/>
      </c>
      <c r="N174" s="18" t="n"/>
      <c r="O174" s="18" t="n"/>
      <c r="P174" s="18" t="n"/>
      <c r="Q174" s="18" t="n"/>
      <c r="R174" s="10" t="n"/>
      <c r="S174" s="17" t="n"/>
      <c r="T174" s="18" t="n"/>
      <c r="U174" s="17" t="n"/>
      <c r="V174" s="17" t="n"/>
      <c r="W174" s="18" t="n"/>
      <c r="X174" s="18" t="n"/>
      <c r="Y174" s="17" t="n"/>
      <c r="Z174" s="10" t="n"/>
      <c r="AA174" s="10" t="n"/>
      <c r="AB174" s="19">
        <f>IF(LEN(A174)&gt;0,1,0)</f>
        <v/>
      </c>
      <c r="AC174" s="19">
        <f>IF(LEN(A174)=0,0,(LEN(B174)=0)+(LEN(C174)=0)+(LEN(D174)=0)+(LEN(E174)=0)+(LEN(F174)=0)+(LEN(G174)=0)+(LEN(H174)=0)+(LEN(I174)=0)+(LEN(J174)=0)+(LEN(K174)=0)+(LEN(L174)=0)+(LEN(N174)=0)+(LEN(O174)=0)+(LEN(P174)=0)+(LEN(R174)=0)+(LEN(AA174)=0))</f>
        <v/>
      </c>
      <c r="AD174" s="19">
        <f>IF(OR(LEN(A174)=0,LEN(C174)=0),0,IF(OR(C174&lt;1,C174&gt;5),1,0))</f>
        <v/>
      </c>
      <c r="AE174" s="19">
        <f>IF(OR(LEN(A174)=0,LEN(R174)=0),0,IF(OR(R174="Active",R174="Paid off",R174="Defaulted",R174="Repossessed",R174="Written off",R174="Restructured"),0,1))</f>
        <v/>
      </c>
      <c r="AF174" s="19">
        <f>IF(A174="",0,IF(N(J174)&gt;N(I174),1,0))</f>
        <v/>
      </c>
      <c r="AG174" s="19">
        <f>IF(A174="",0,IF(N(N174)&gt;N(M174)+1,1,0))</f>
        <v/>
      </c>
      <c r="AH174" s="19">
        <f>IF(A174="",0,IF(N(E174)&gt;N(B174),1,0))</f>
        <v/>
      </c>
      <c r="AI174" s="19">
        <f>IF(A174="",0,IF(AND(Z174="Full payment",N(N174)&lt;N(M174)-1),1,0))</f>
        <v/>
      </c>
      <c r="AJ174" s="19">
        <f>IF(A174="",0,IF(N(P174)&lt;0,1,0))</f>
        <v/>
      </c>
      <c r="AK174" s="19">
        <f>IF(A174="",0,IF(COUNTIF($A$7:$A$1006,A174)&gt;1,1,0))</f>
        <v/>
      </c>
    </row>
    <row r="175">
      <c r="A175" s="10" t="n"/>
      <c r="B175" s="17" t="n"/>
      <c r="C175" s="18" t="n"/>
      <c r="D175" s="10" t="n"/>
      <c r="E175" s="17" t="n"/>
      <c r="F175" s="10" t="n"/>
      <c r="G175" s="10" t="n"/>
      <c r="H175" s="10" t="n"/>
      <c r="I175" s="18" t="n"/>
      <c r="J175" s="18" t="n"/>
      <c r="K175" s="18" t="n"/>
      <c r="L175" s="18" t="n"/>
      <c r="M175" s="19">
        <f>IF(K175="","",K175*365/12*L175)</f>
        <v/>
      </c>
      <c r="N175" s="18" t="n"/>
      <c r="O175" s="18" t="n"/>
      <c r="P175" s="18" t="n"/>
      <c r="Q175" s="18" t="n"/>
      <c r="R175" s="10" t="n"/>
      <c r="S175" s="17" t="n"/>
      <c r="T175" s="18" t="n"/>
      <c r="U175" s="17" t="n"/>
      <c r="V175" s="17" t="n"/>
      <c r="W175" s="18" t="n"/>
      <c r="X175" s="18" t="n"/>
      <c r="Y175" s="17" t="n"/>
      <c r="Z175" s="10" t="n"/>
      <c r="AA175" s="10" t="n"/>
      <c r="AB175" s="19">
        <f>IF(LEN(A175)&gt;0,1,0)</f>
        <v/>
      </c>
      <c r="AC175" s="19">
        <f>IF(LEN(A175)=0,0,(LEN(B175)=0)+(LEN(C175)=0)+(LEN(D175)=0)+(LEN(E175)=0)+(LEN(F175)=0)+(LEN(G175)=0)+(LEN(H175)=0)+(LEN(I175)=0)+(LEN(J175)=0)+(LEN(K175)=0)+(LEN(L175)=0)+(LEN(N175)=0)+(LEN(O175)=0)+(LEN(P175)=0)+(LEN(R175)=0)+(LEN(AA175)=0))</f>
        <v/>
      </c>
      <c r="AD175" s="19">
        <f>IF(OR(LEN(A175)=0,LEN(C175)=0),0,IF(OR(C175&lt;1,C175&gt;5),1,0))</f>
        <v/>
      </c>
      <c r="AE175" s="19">
        <f>IF(OR(LEN(A175)=0,LEN(R175)=0),0,IF(OR(R175="Active",R175="Paid off",R175="Defaulted",R175="Repossessed",R175="Written off",R175="Restructured"),0,1))</f>
        <v/>
      </c>
      <c r="AF175" s="19">
        <f>IF(A175="",0,IF(N(J175)&gt;N(I175),1,0))</f>
        <v/>
      </c>
      <c r="AG175" s="19">
        <f>IF(A175="",0,IF(N(N175)&gt;N(M175)+1,1,0))</f>
        <v/>
      </c>
      <c r="AH175" s="19">
        <f>IF(A175="",0,IF(N(E175)&gt;N(B175),1,0))</f>
        <v/>
      </c>
      <c r="AI175" s="19">
        <f>IF(A175="",0,IF(AND(Z175="Full payment",N(N175)&lt;N(M175)-1),1,0))</f>
        <v/>
      </c>
      <c r="AJ175" s="19">
        <f>IF(A175="",0,IF(N(P175)&lt;0,1,0))</f>
        <v/>
      </c>
      <c r="AK175" s="19">
        <f>IF(A175="",0,IF(COUNTIF($A$7:$A$1006,A175)&gt;1,1,0))</f>
        <v/>
      </c>
    </row>
    <row r="176">
      <c r="A176" s="10" t="n"/>
      <c r="B176" s="17" t="n"/>
      <c r="C176" s="18" t="n"/>
      <c r="D176" s="10" t="n"/>
      <c r="E176" s="17" t="n"/>
      <c r="F176" s="10" t="n"/>
      <c r="G176" s="10" t="n"/>
      <c r="H176" s="10" t="n"/>
      <c r="I176" s="18" t="n"/>
      <c r="J176" s="18" t="n"/>
      <c r="K176" s="18" t="n"/>
      <c r="L176" s="18" t="n"/>
      <c r="M176" s="19">
        <f>IF(K176="","",K176*365/12*L176)</f>
        <v/>
      </c>
      <c r="N176" s="18" t="n"/>
      <c r="O176" s="18" t="n"/>
      <c r="P176" s="18" t="n"/>
      <c r="Q176" s="18" t="n"/>
      <c r="R176" s="10" t="n"/>
      <c r="S176" s="17" t="n"/>
      <c r="T176" s="18" t="n"/>
      <c r="U176" s="17" t="n"/>
      <c r="V176" s="17" t="n"/>
      <c r="W176" s="18" t="n"/>
      <c r="X176" s="18" t="n"/>
      <c r="Y176" s="17" t="n"/>
      <c r="Z176" s="10" t="n"/>
      <c r="AA176" s="10" t="n"/>
      <c r="AB176" s="19">
        <f>IF(LEN(A176)&gt;0,1,0)</f>
        <v/>
      </c>
      <c r="AC176" s="19">
        <f>IF(LEN(A176)=0,0,(LEN(B176)=0)+(LEN(C176)=0)+(LEN(D176)=0)+(LEN(E176)=0)+(LEN(F176)=0)+(LEN(G176)=0)+(LEN(H176)=0)+(LEN(I176)=0)+(LEN(J176)=0)+(LEN(K176)=0)+(LEN(L176)=0)+(LEN(N176)=0)+(LEN(O176)=0)+(LEN(P176)=0)+(LEN(R176)=0)+(LEN(AA176)=0))</f>
        <v/>
      </c>
      <c r="AD176" s="19">
        <f>IF(OR(LEN(A176)=0,LEN(C176)=0),0,IF(OR(C176&lt;1,C176&gt;5),1,0))</f>
        <v/>
      </c>
      <c r="AE176" s="19">
        <f>IF(OR(LEN(A176)=0,LEN(R176)=0),0,IF(OR(R176="Active",R176="Paid off",R176="Defaulted",R176="Repossessed",R176="Written off",R176="Restructured"),0,1))</f>
        <v/>
      </c>
      <c r="AF176" s="19">
        <f>IF(A176="",0,IF(N(J176)&gt;N(I176),1,0))</f>
        <v/>
      </c>
      <c r="AG176" s="19">
        <f>IF(A176="",0,IF(N(N176)&gt;N(M176)+1,1,0))</f>
        <v/>
      </c>
      <c r="AH176" s="19">
        <f>IF(A176="",0,IF(N(E176)&gt;N(B176),1,0))</f>
        <v/>
      </c>
      <c r="AI176" s="19">
        <f>IF(A176="",0,IF(AND(Z176="Full payment",N(N176)&lt;N(M176)-1),1,0))</f>
        <v/>
      </c>
      <c r="AJ176" s="19">
        <f>IF(A176="",0,IF(N(P176)&lt;0,1,0))</f>
        <v/>
      </c>
      <c r="AK176" s="19">
        <f>IF(A176="",0,IF(COUNTIF($A$7:$A$1006,A176)&gt;1,1,0))</f>
        <v/>
      </c>
    </row>
    <row r="177">
      <c r="A177" s="10" t="n"/>
      <c r="B177" s="17" t="n"/>
      <c r="C177" s="18" t="n"/>
      <c r="D177" s="10" t="n"/>
      <c r="E177" s="17" t="n"/>
      <c r="F177" s="10" t="n"/>
      <c r="G177" s="10" t="n"/>
      <c r="H177" s="10" t="n"/>
      <c r="I177" s="18" t="n"/>
      <c r="J177" s="18" t="n"/>
      <c r="K177" s="18" t="n"/>
      <c r="L177" s="18" t="n"/>
      <c r="M177" s="19">
        <f>IF(K177="","",K177*365/12*L177)</f>
        <v/>
      </c>
      <c r="N177" s="18" t="n"/>
      <c r="O177" s="18" t="n"/>
      <c r="P177" s="18" t="n"/>
      <c r="Q177" s="18" t="n"/>
      <c r="R177" s="10" t="n"/>
      <c r="S177" s="17" t="n"/>
      <c r="T177" s="18" t="n"/>
      <c r="U177" s="17" t="n"/>
      <c r="V177" s="17" t="n"/>
      <c r="W177" s="18" t="n"/>
      <c r="X177" s="18" t="n"/>
      <c r="Y177" s="17" t="n"/>
      <c r="Z177" s="10" t="n"/>
      <c r="AA177" s="10" t="n"/>
      <c r="AB177" s="19">
        <f>IF(LEN(A177)&gt;0,1,0)</f>
        <v/>
      </c>
      <c r="AC177" s="19">
        <f>IF(LEN(A177)=0,0,(LEN(B177)=0)+(LEN(C177)=0)+(LEN(D177)=0)+(LEN(E177)=0)+(LEN(F177)=0)+(LEN(G177)=0)+(LEN(H177)=0)+(LEN(I177)=0)+(LEN(J177)=0)+(LEN(K177)=0)+(LEN(L177)=0)+(LEN(N177)=0)+(LEN(O177)=0)+(LEN(P177)=0)+(LEN(R177)=0)+(LEN(AA177)=0))</f>
        <v/>
      </c>
      <c r="AD177" s="19">
        <f>IF(OR(LEN(A177)=0,LEN(C177)=0),0,IF(OR(C177&lt;1,C177&gt;5),1,0))</f>
        <v/>
      </c>
      <c r="AE177" s="19">
        <f>IF(OR(LEN(A177)=0,LEN(R177)=0),0,IF(OR(R177="Active",R177="Paid off",R177="Defaulted",R177="Repossessed",R177="Written off",R177="Restructured"),0,1))</f>
        <v/>
      </c>
      <c r="AF177" s="19">
        <f>IF(A177="",0,IF(N(J177)&gt;N(I177),1,0))</f>
        <v/>
      </c>
      <c r="AG177" s="19">
        <f>IF(A177="",0,IF(N(N177)&gt;N(M177)+1,1,0))</f>
        <v/>
      </c>
      <c r="AH177" s="19">
        <f>IF(A177="",0,IF(N(E177)&gt;N(B177),1,0))</f>
        <v/>
      </c>
      <c r="AI177" s="19">
        <f>IF(A177="",0,IF(AND(Z177="Full payment",N(N177)&lt;N(M177)-1),1,0))</f>
        <v/>
      </c>
      <c r="AJ177" s="19">
        <f>IF(A177="",0,IF(N(P177)&lt;0,1,0))</f>
        <v/>
      </c>
      <c r="AK177" s="19">
        <f>IF(A177="",0,IF(COUNTIF($A$7:$A$1006,A177)&gt;1,1,0))</f>
        <v/>
      </c>
    </row>
    <row r="178">
      <c r="A178" s="10" t="n"/>
      <c r="B178" s="17" t="n"/>
      <c r="C178" s="18" t="n"/>
      <c r="D178" s="10" t="n"/>
      <c r="E178" s="17" t="n"/>
      <c r="F178" s="10" t="n"/>
      <c r="G178" s="10" t="n"/>
      <c r="H178" s="10" t="n"/>
      <c r="I178" s="18" t="n"/>
      <c r="J178" s="18" t="n"/>
      <c r="K178" s="18" t="n"/>
      <c r="L178" s="18" t="n"/>
      <c r="M178" s="19">
        <f>IF(K178="","",K178*365/12*L178)</f>
        <v/>
      </c>
      <c r="N178" s="18" t="n"/>
      <c r="O178" s="18" t="n"/>
      <c r="P178" s="18" t="n"/>
      <c r="Q178" s="18" t="n"/>
      <c r="R178" s="10" t="n"/>
      <c r="S178" s="17" t="n"/>
      <c r="T178" s="18" t="n"/>
      <c r="U178" s="17" t="n"/>
      <c r="V178" s="17" t="n"/>
      <c r="W178" s="18" t="n"/>
      <c r="X178" s="18" t="n"/>
      <c r="Y178" s="17" t="n"/>
      <c r="Z178" s="10" t="n"/>
      <c r="AA178" s="10" t="n"/>
      <c r="AB178" s="19">
        <f>IF(LEN(A178)&gt;0,1,0)</f>
        <v/>
      </c>
      <c r="AC178" s="19">
        <f>IF(LEN(A178)=0,0,(LEN(B178)=0)+(LEN(C178)=0)+(LEN(D178)=0)+(LEN(E178)=0)+(LEN(F178)=0)+(LEN(G178)=0)+(LEN(H178)=0)+(LEN(I178)=0)+(LEN(J178)=0)+(LEN(K178)=0)+(LEN(L178)=0)+(LEN(N178)=0)+(LEN(O178)=0)+(LEN(P178)=0)+(LEN(R178)=0)+(LEN(AA178)=0))</f>
        <v/>
      </c>
      <c r="AD178" s="19">
        <f>IF(OR(LEN(A178)=0,LEN(C178)=0),0,IF(OR(C178&lt;1,C178&gt;5),1,0))</f>
        <v/>
      </c>
      <c r="AE178" s="19">
        <f>IF(OR(LEN(A178)=0,LEN(R178)=0),0,IF(OR(R178="Active",R178="Paid off",R178="Defaulted",R178="Repossessed",R178="Written off",R178="Restructured"),0,1))</f>
        <v/>
      </c>
      <c r="AF178" s="19">
        <f>IF(A178="",0,IF(N(J178)&gt;N(I178),1,0))</f>
        <v/>
      </c>
      <c r="AG178" s="19">
        <f>IF(A178="",0,IF(N(N178)&gt;N(M178)+1,1,0))</f>
        <v/>
      </c>
      <c r="AH178" s="19">
        <f>IF(A178="",0,IF(N(E178)&gt;N(B178),1,0))</f>
        <v/>
      </c>
      <c r="AI178" s="19">
        <f>IF(A178="",0,IF(AND(Z178="Full payment",N(N178)&lt;N(M178)-1),1,0))</f>
        <v/>
      </c>
      <c r="AJ178" s="19">
        <f>IF(A178="",0,IF(N(P178)&lt;0,1,0))</f>
        <v/>
      </c>
      <c r="AK178" s="19">
        <f>IF(A178="",0,IF(COUNTIF($A$7:$A$1006,A178)&gt;1,1,0))</f>
        <v/>
      </c>
    </row>
    <row r="179">
      <c r="A179" s="10" t="n"/>
      <c r="B179" s="17" t="n"/>
      <c r="C179" s="18" t="n"/>
      <c r="D179" s="10" t="n"/>
      <c r="E179" s="17" t="n"/>
      <c r="F179" s="10" t="n"/>
      <c r="G179" s="10" t="n"/>
      <c r="H179" s="10" t="n"/>
      <c r="I179" s="18" t="n"/>
      <c r="J179" s="18" t="n"/>
      <c r="K179" s="18" t="n"/>
      <c r="L179" s="18" t="n"/>
      <c r="M179" s="19">
        <f>IF(K179="","",K179*365/12*L179)</f>
        <v/>
      </c>
      <c r="N179" s="18" t="n"/>
      <c r="O179" s="18" t="n"/>
      <c r="P179" s="18" t="n"/>
      <c r="Q179" s="18" t="n"/>
      <c r="R179" s="10" t="n"/>
      <c r="S179" s="17" t="n"/>
      <c r="T179" s="18" t="n"/>
      <c r="U179" s="17" t="n"/>
      <c r="V179" s="17" t="n"/>
      <c r="W179" s="18" t="n"/>
      <c r="X179" s="18" t="n"/>
      <c r="Y179" s="17" t="n"/>
      <c r="Z179" s="10" t="n"/>
      <c r="AA179" s="10" t="n"/>
      <c r="AB179" s="19">
        <f>IF(LEN(A179)&gt;0,1,0)</f>
        <v/>
      </c>
      <c r="AC179" s="19">
        <f>IF(LEN(A179)=0,0,(LEN(B179)=0)+(LEN(C179)=0)+(LEN(D179)=0)+(LEN(E179)=0)+(LEN(F179)=0)+(LEN(G179)=0)+(LEN(H179)=0)+(LEN(I179)=0)+(LEN(J179)=0)+(LEN(K179)=0)+(LEN(L179)=0)+(LEN(N179)=0)+(LEN(O179)=0)+(LEN(P179)=0)+(LEN(R179)=0)+(LEN(AA179)=0))</f>
        <v/>
      </c>
      <c r="AD179" s="19">
        <f>IF(OR(LEN(A179)=0,LEN(C179)=0),0,IF(OR(C179&lt;1,C179&gt;5),1,0))</f>
        <v/>
      </c>
      <c r="AE179" s="19">
        <f>IF(OR(LEN(A179)=0,LEN(R179)=0),0,IF(OR(R179="Active",R179="Paid off",R179="Defaulted",R179="Repossessed",R179="Written off",R179="Restructured"),0,1))</f>
        <v/>
      </c>
      <c r="AF179" s="19">
        <f>IF(A179="",0,IF(N(J179)&gt;N(I179),1,0))</f>
        <v/>
      </c>
      <c r="AG179" s="19">
        <f>IF(A179="",0,IF(N(N179)&gt;N(M179)+1,1,0))</f>
        <v/>
      </c>
      <c r="AH179" s="19">
        <f>IF(A179="",0,IF(N(E179)&gt;N(B179),1,0))</f>
        <v/>
      </c>
      <c r="AI179" s="19">
        <f>IF(A179="",0,IF(AND(Z179="Full payment",N(N179)&lt;N(M179)-1),1,0))</f>
        <v/>
      </c>
      <c r="AJ179" s="19">
        <f>IF(A179="",0,IF(N(P179)&lt;0,1,0))</f>
        <v/>
      </c>
      <c r="AK179" s="19">
        <f>IF(A179="",0,IF(COUNTIF($A$7:$A$1006,A179)&gt;1,1,0))</f>
        <v/>
      </c>
    </row>
    <row r="180">
      <c r="A180" s="10" t="n"/>
      <c r="B180" s="17" t="n"/>
      <c r="C180" s="18" t="n"/>
      <c r="D180" s="10" t="n"/>
      <c r="E180" s="17" t="n"/>
      <c r="F180" s="10" t="n"/>
      <c r="G180" s="10" t="n"/>
      <c r="H180" s="10" t="n"/>
      <c r="I180" s="18" t="n"/>
      <c r="J180" s="18" t="n"/>
      <c r="K180" s="18" t="n"/>
      <c r="L180" s="18" t="n"/>
      <c r="M180" s="19">
        <f>IF(K180="","",K180*365/12*L180)</f>
        <v/>
      </c>
      <c r="N180" s="18" t="n"/>
      <c r="O180" s="18" t="n"/>
      <c r="P180" s="18" t="n"/>
      <c r="Q180" s="18" t="n"/>
      <c r="R180" s="10" t="n"/>
      <c r="S180" s="17" t="n"/>
      <c r="T180" s="18" t="n"/>
      <c r="U180" s="17" t="n"/>
      <c r="V180" s="17" t="n"/>
      <c r="W180" s="18" t="n"/>
      <c r="X180" s="18" t="n"/>
      <c r="Y180" s="17" t="n"/>
      <c r="Z180" s="10" t="n"/>
      <c r="AA180" s="10" t="n"/>
      <c r="AB180" s="19">
        <f>IF(LEN(A180)&gt;0,1,0)</f>
        <v/>
      </c>
      <c r="AC180" s="19">
        <f>IF(LEN(A180)=0,0,(LEN(B180)=0)+(LEN(C180)=0)+(LEN(D180)=0)+(LEN(E180)=0)+(LEN(F180)=0)+(LEN(G180)=0)+(LEN(H180)=0)+(LEN(I180)=0)+(LEN(J180)=0)+(LEN(K180)=0)+(LEN(L180)=0)+(LEN(N180)=0)+(LEN(O180)=0)+(LEN(P180)=0)+(LEN(R180)=0)+(LEN(AA180)=0))</f>
        <v/>
      </c>
      <c r="AD180" s="19">
        <f>IF(OR(LEN(A180)=0,LEN(C180)=0),0,IF(OR(C180&lt;1,C180&gt;5),1,0))</f>
        <v/>
      </c>
      <c r="AE180" s="19">
        <f>IF(OR(LEN(A180)=0,LEN(R180)=0),0,IF(OR(R180="Active",R180="Paid off",R180="Defaulted",R180="Repossessed",R180="Written off",R180="Restructured"),0,1))</f>
        <v/>
      </c>
      <c r="AF180" s="19">
        <f>IF(A180="",0,IF(N(J180)&gt;N(I180),1,0))</f>
        <v/>
      </c>
      <c r="AG180" s="19">
        <f>IF(A180="",0,IF(N(N180)&gt;N(M180)+1,1,0))</f>
        <v/>
      </c>
      <c r="AH180" s="19">
        <f>IF(A180="",0,IF(N(E180)&gt;N(B180),1,0))</f>
        <v/>
      </c>
      <c r="AI180" s="19">
        <f>IF(A180="",0,IF(AND(Z180="Full payment",N(N180)&lt;N(M180)-1),1,0))</f>
        <v/>
      </c>
      <c r="AJ180" s="19">
        <f>IF(A180="",0,IF(N(P180)&lt;0,1,0))</f>
        <v/>
      </c>
      <c r="AK180" s="19">
        <f>IF(A180="",0,IF(COUNTIF($A$7:$A$1006,A180)&gt;1,1,0))</f>
        <v/>
      </c>
    </row>
    <row r="181">
      <c r="A181" s="10" t="n"/>
      <c r="B181" s="17" t="n"/>
      <c r="C181" s="18" t="n"/>
      <c r="D181" s="10" t="n"/>
      <c r="E181" s="17" t="n"/>
      <c r="F181" s="10" t="n"/>
      <c r="G181" s="10" t="n"/>
      <c r="H181" s="10" t="n"/>
      <c r="I181" s="18" t="n"/>
      <c r="J181" s="18" t="n"/>
      <c r="K181" s="18" t="n"/>
      <c r="L181" s="18" t="n"/>
      <c r="M181" s="19">
        <f>IF(K181="","",K181*365/12*L181)</f>
        <v/>
      </c>
      <c r="N181" s="18" t="n"/>
      <c r="O181" s="18" t="n"/>
      <c r="P181" s="18" t="n"/>
      <c r="Q181" s="18" t="n"/>
      <c r="R181" s="10" t="n"/>
      <c r="S181" s="17" t="n"/>
      <c r="T181" s="18" t="n"/>
      <c r="U181" s="17" t="n"/>
      <c r="V181" s="17" t="n"/>
      <c r="W181" s="18" t="n"/>
      <c r="X181" s="18" t="n"/>
      <c r="Y181" s="17" t="n"/>
      <c r="Z181" s="10" t="n"/>
      <c r="AA181" s="10" t="n"/>
      <c r="AB181" s="19">
        <f>IF(LEN(A181)&gt;0,1,0)</f>
        <v/>
      </c>
      <c r="AC181" s="19">
        <f>IF(LEN(A181)=0,0,(LEN(B181)=0)+(LEN(C181)=0)+(LEN(D181)=0)+(LEN(E181)=0)+(LEN(F181)=0)+(LEN(G181)=0)+(LEN(H181)=0)+(LEN(I181)=0)+(LEN(J181)=0)+(LEN(K181)=0)+(LEN(L181)=0)+(LEN(N181)=0)+(LEN(O181)=0)+(LEN(P181)=0)+(LEN(R181)=0)+(LEN(AA181)=0))</f>
        <v/>
      </c>
      <c r="AD181" s="19">
        <f>IF(OR(LEN(A181)=0,LEN(C181)=0),0,IF(OR(C181&lt;1,C181&gt;5),1,0))</f>
        <v/>
      </c>
      <c r="AE181" s="19">
        <f>IF(OR(LEN(A181)=0,LEN(R181)=0),0,IF(OR(R181="Active",R181="Paid off",R181="Defaulted",R181="Repossessed",R181="Written off",R181="Restructured"),0,1))</f>
        <v/>
      </c>
      <c r="AF181" s="19">
        <f>IF(A181="",0,IF(N(J181)&gt;N(I181),1,0))</f>
        <v/>
      </c>
      <c r="AG181" s="19">
        <f>IF(A181="",0,IF(N(N181)&gt;N(M181)+1,1,0))</f>
        <v/>
      </c>
      <c r="AH181" s="19">
        <f>IF(A181="",0,IF(N(E181)&gt;N(B181),1,0))</f>
        <v/>
      </c>
      <c r="AI181" s="19">
        <f>IF(A181="",0,IF(AND(Z181="Full payment",N(N181)&lt;N(M181)-1),1,0))</f>
        <v/>
      </c>
      <c r="AJ181" s="19">
        <f>IF(A181="",0,IF(N(P181)&lt;0,1,0))</f>
        <v/>
      </c>
      <c r="AK181" s="19">
        <f>IF(A181="",0,IF(COUNTIF($A$7:$A$1006,A181)&gt;1,1,0))</f>
        <v/>
      </c>
    </row>
    <row r="182">
      <c r="A182" s="10" t="n"/>
      <c r="B182" s="17" t="n"/>
      <c r="C182" s="18" t="n"/>
      <c r="D182" s="10" t="n"/>
      <c r="E182" s="17" t="n"/>
      <c r="F182" s="10" t="n"/>
      <c r="G182" s="10" t="n"/>
      <c r="H182" s="10" t="n"/>
      <c r="I182" s="18" t="n"/>
      <c r="J182" s="18" t="n"/>
      <c r="K182" s="18" t="n"/>
      <c r="L182" s="18" t="n"/>
      <c r="M182" s="19">
        <f>IF(K182="","",K182*365/12*L182)</f>
        <v/>
      </c>
      <c r="N182" s="18" t="n"/>
      <c r="O182" s="18" t="n"/>
      <c r="P182" s="18" t="n"/>
      <c r="Q182" s="18" t="n"/>
      <c r="R182" s="10" t="n"/>
      <c r="S182" s="17" t="n"/>
      <c r="T182" s="18" t="n"/>
      <c r="U182" s="17" t="n"/>
      <c r="V182" s="17" t="n"/>
      <c r="W182" s="18" t="n"/>
      <c r="X182" s="18" t="n"/>
      <c r="Y182" s="17" t="n"/>
      <c r="Z182" s="10" t="n"/>
      <c r="AA182" s="10" t="n"/>
      <c r="AB182" s="19">
        <f>IF(LEN(A182)&gt;0,1,0)</f>
        <v/>
      </c>
      <c r="AC182" s="19">
        <f>IF(LEN(A182)=0,0,(LEN(B182)=0)+(LEN(C182)=0)+(LEN(D182)=0)+(LEN(E182)=0)+(LEN(F182)=0)+(LEN(G182)=0)+(LEN(H182)=0)+(LEN(I182)=0)+(LEN(J182)=0)+(LEN(K182)=0)+(LEN(L182)=0)+(LEN(N182)=0)+(LEN(O182)=0)+(LEN(P182)=0)+(LEN(R182)=0)+(LEN(AA182)=0))</f>
        <v/>
      </c>
      <c r="AD182" s="19">
        <f>IF(OR(LEN(A182)=0,LEN(C182)=0),0,IF(OR(C182&lt;1,C182&gt;5),1,0))</f>
        <v/>
      </c>
      <c r="AE182" s="19">
        <f>IF(OR(LEN(A182)=0,LEN(R182)=0),0,IF(OR(R182="Active",R182="Paid off",R182="Defaulted",R182="Repossessed",R182="Written off",R182="Restructured"),0,1))</f>
        <v/>
      </c>
      <c r="AF182" s="19">
        <f>IF(A182="",0,IF(N(J182)&gt;N(I182),1,0))</f>
        <v/>
      </c>
      <c r="AG182" s="19">
        <f>IF(A182="",0,IF(N(N182)&gt;N(M182)+1,1,0))</f>
        <v/>
      </c>
      <c r="AH182" s="19">
        <f>IF(A182="",0,IF(N(E182)&gt;N(B182),1,0))</f>
        <v/>
      </c>
      <c r="AI182" s="19">
        <f>IF(A182="",0,IF(AND(Z182="Full payment",N(N182)&lt;N(M182)-1),1,0))</f>
        <v/>
      </c>
      <c r="AJ182" s="19">
        <f>IF(A182="",0,IF(N(P182)&lt;0,1,0))</f>
        <v/>
      </c>
      <c r="AK182" s="19">
        <f>IF(A182="",0,IF(COUNTIF($A$7:$A$1006,A182)&gt;1,1,0))</f>
        <v/>
      </c>
    </row>
    <row r="183">
      <c r="A183" s="10" t="n"/>
      <c r="B183" s="17" t="n"/>
      <c r="C183" s="18" t="n"/>
      <c r="D183" s="10" t="n"/>
      <c r="E183" s="17" t="n"/>
      <c r="F183" s="10" t="n"/>
      <c r="G183" s="10" t="n"/>
      <c r="H183" s="10" t="n"/>
      <c r="I183" s="18" t="n"/>
      <c r="J183" s="18" t="n"/>
      <c r="K183" s="18" t="n"/>
      <c r="L183" s="18" t="n"/>
      <c r="M183" s="19">
        <f>IF(K183="","",K183*365/12*L183)</f>
        <v/>
      </c>
      <c r="N183" s="18" t="n"/>
      <c r="O183" s="18" t="n"/>
      <c r="P183" s="18" t="n"/>
      <c r="Q183" s="18" t="n"/>
      <c r="R183" s="10" t="n"/>
      <c r="S183" s="17" t="n"/>
      <c r="T183" s="18" t="n"/>
      <c r="U183" s="17" t="n"/>
      <c r="V183" s="17" t="n"/>
      <c r="W183" s="18" t="n"/>
      <c r="X183" s="18" t="n"/>
      <c r="Y183" s="17" t="n"/>
      <c r="Z183" s="10" t="n"/>
      <c r="AA183" s="10" t="n"/>
      <c r="AB183" s="19">
        <f>IF(LEN(A183)&gt;0,1,0)</f>
        <v/>
      </c>
      <c r="AC183" s="19">
        <f>IF(LEN(A183)=0,0,(LEN(B183)=0)+(LEN(C183)=0)+(LEN(D183)=0)+(LEN(E183)=0)+(LEN(F183)=0)+(LEN(G183)=0)+(LEN(H183)=0)+(LEN(I183)=0)+(LEN(J183)=0)+(LEN(K183)=0)+(LEN(L183)=0)+(LEN(N183)=0)+(LEN(O183)=0)+(LEN(P183)=0)+(LEN(R183)=0)+(LEN(AA183)=0))</f>
        <v/>
      </c>
      <c r="AD183" s="19">
        <f>IF(OR(LEN(A183)=0,LEN(C183)=0),0,IF(OR(C183&lt;1,C183&gt;5),1,0))</f>
        <v/>
      </c>
      <c r="AE183" s="19">
        <f>IF(OR(LEN(A183)=0,LEN(R183)=0),0,IF(OR(R183="Active",R183="Paid off",R183="Defaulted",R183="Repossessed",R183="Written off",R183="Restructured"),0,1))</f>
        <v/>
      </c>
      <c r="AF183" s="19">
        <f>IF(A183="",0,IF(N(J183)&gt;N(I183),1,0))</f>
        <v/>
      </c>
      <c r="AG183" s="19">
        <f>IF(A183="",0,IF(N(N183)&gt;N(M183)+1,1,0))</f>
        <v/>
      </c>
      <c r="AH183" s="19">
        <f>IF(A183="",0,IF(N(E183)&gt;N(B183),1,0))</f>
        <v/>
      </c>
      <c r="AI183" s="19">
        <f>IF(A183="",0,IF(AND(Z183="Full payment",N(N183)&lt;N(M183)-1),1,0))</f>
        <v/>
      </c>
      <c r="AJ183" s="19">
        <f>IF(A183="",0,IF(N(P183)&lt;0,1,0))</f>
        <v/>
      </c>
      <c r="AK183" s="19">
        <f>IF(A183="",0,IF(COUNTIF($A$7:$A$1006,A183)&gt;1,1,0))</f>
        <v/>
      </c>
    </row>
    <row r="184">
      <c r="A184" s="10" t="n"/>
      <c r="B184" s="17" t="n"/>
      <c r="C184" s="18" t="n"/>
      <c r="D184" s="10" t="n"/>
      <c r="E184" s="17" t="n"/>
      <c r="F184" s="10" t="n"/>
      <c r="G184" s="10" t="n"/>
      <c r="H184" s="10" t="n"/>
      <c r="I184" s="18" t="n"/>
      <c r="J184" s="18" t="n"/>
      <c r="K184" s="18" t="n"/>
      <c r="L184" s="18" t="n"/>
      <c r="M184" s="19">
        <f>IF(K184="","",K184*365/12*L184)</f>
        <v/>
      </c>
      <c r="N184" s="18" t="n"/>
      <c r="O184" s="18" t="n"/>
      <c r="P184" s="18" t="n"/>
      <c r="Q184" s="18" t="n"/>
      <c r="R184" s="10" t="n"/>
      <c r="S184" s="17" t="n"/>
      <c r="T184" s="18" t="n"/>
      <c r="U184" s="17" t="n"/>
      <c r="V184" s="17" t="n"/>
      <c r="W184" s="18" t="n"/>
      <c r="X184" s="18" t="n"/>
      <c r="Y184" s="17" t="n"/>
      <c r="Z184" s="10" t="n"/>
      <c r="AA184" s="10" t="n"/>
      <c r="AB184" s="19">
        <f>IF(LEN(A184)&gt;0,1,0)</f>
        <v/>
      </c>
      <c r="AC184" s="19">
        <f>IF(LEN(A184)=0,0,(LEN(B184)=0)+(LEN(C184)=0)+(LEN(D184)=0)+(LEN(E184)=0)+(LEN(F184)=0)+(LEN(G184)=0)+(LEN(H184)=0)+(LEN(I184)=0)+(LEN(J184)=0)+(LEN(K184)=0)+(LEN(L184)=0)+(LEN(N184)=0)+(LEN(O184)=0)+(LEN(P184)=0)+(LEN(R184)=0)+(LEN(AA184)=0))</f>
        <v/>
      </c>
      <c r="AD184" s="19">
        <f>IF(OR(LEN(A184)=0,LEN(C184)=0),0,IF(OR(C184&lt;1,C184&gt;5),1,0))</f>
        <v/>
      </c>
      <c r="AE184" s="19">
        <f>IF(OR(LEN(A184)=0,LEN(R184)=0),0,IF(OR(R184="Active",R184="Paid off",R184="Defaulted",R184="Repossessed",R184="Written off",R184="Restructured"),0,1))</f>
        <v/>
      </c>
      <c r="AF184" s="19">
        <f>IF(A184="",0,IF(N(J184)&gt;N(I184),1,0))</f>
        <v/>
      </c>
      <c r="AG184" s="19">
        <f>IF(A184="",0,IF(N(N184)&gt;N(M184)+1,1,0))</f>
        <v/>
      </c>
      <c r="AH184" s="19">
        <f>IF(A184="",0,IF(N(E184)&gt;N(B184),1,0))</f>
        <v/>
      </c>
      <c r="AI184" s="19">
        <f>IF(A184="",0,IF(AND(Z184="Full payment",N(N184)&lt;N(M184)-1),1,0))</f>
        <v/>
      </c>
      <c r="AJ184" s="19">
        <f>IF(A184="",0,IF(N(P184)&lt;0,1,0))</f>
        <v/>
      </c>
      <c r="AK184" s="19">
        <f>IF(A184="",0,IF(COUNTIF($A$7:$A$1006,A184)&gt;1,1,0))</f>
        <v/>
      </c>
    </row>
    <row r="185">
      <c r="A185" s="10" t="n"/>
      <c r="B185" s="17" t="n"/>
      <c r="C185" s="18" t="n"/>
      <c r="D185" s="10" t="n"/>
      <c r="E185" s="17" t="n"/>
      <c r="F185" s="10" t="n"/>
      <c r="G185" s="10" t="n"/>
      <c r="H185" s="10" t="n"/>
      <c r="I185" s="18" t="n"/>
      <c r="J185" s="18" t="n"/>
      <c r="K185" s="18" t="n"/>
      <c r="L185" s="18" t="n"/>
      <c r="M185" s="19">
        <f>IF(K185="","",K185*365/12*L185)</f>
        <v/>
      </c>
      <c r="N185" s="18" t="n"/>
      <c r="O185" s="18" t="n"/>
      <c r="P185" s="18" t="n"/>
      <c r="Q185" s="18" t="n"/>
      <c r="R185" s="10" t="n"/>
      <c r="S185" s="17" t="n"/>
      <c r="T185" s="18" t="n"/>
      <c r="U185" s="17" t="n"/>
      <c r="V185" s="17" t="n"/>
      <c r="W185" s="18" t="n"/>
      <c r="X185" s="18" t="n"/>
      <c r="Y185" s="17" t="n"/>
      <c r="Z185" s="10" t="n"/>
      <c r="AA185" s="10" t="n"/>
      <c r="AB185" s="19">
        <f>IF(LEN(A185)&gt;0,1,0)</f>
        <v/>
      </c>
      <c r="AC185" s="19">
        <f>IF(LEN(A185)=0,0,(LEN(B185)=0)+(LEN(C185)=0)+(LEN(D185)=0)+(LEN(E185)=0)+(LEN(F185)=0)+(LEN(G185)=0)+(LEN(H185)=0)+(LEN(I185)=0)+(LEN(J185)=0)+(LEN(K185)=0)+(LEN(L185)=0)+(LEN(N185)=0)+(LEN(O185)=0)+(LEN(P185)=0)+(LEN(R185)=0)+(LEN(AA185)=0))</f>
        <v/>
      </c>
      <c r="AD185" s="19">
        <f>IF(OR(LEN(A185)=0,LEN(C185)=0),0,IF(OR(C185&lt;1,C185&gt;5),1,0))</f>
        <v/>
      </c>
      <c r="AE185" s="19">
        <f>IF(OR(LEN(A185)=0,LEN(R185)=0),0,IF(OR(R185="Active",R185="Paid off",R185="Defaulted",R185="Repossessed",R185="Written off",R185="Restructured"),0,1))</f>
        <v/>
      </c>
      <c r="AF185" s="19">
        <f>IF(A185="",0,IF(N(J185)&gt;N(I185),1,0))</f>
        <v/>
      </c>
      <c r="AG185" s="19">
        <f>IF(A185="",0,IF(N(N185)&gt;N(M185)+1,1,0))</f>
        <v/>
      </c>
      <c r="AH185" s="19">
        <f>IF(A185="",0,IF(N(E185)&gt;N(B185),1,0))</f>
        <v/>
      </c>
      <c r="AI185" s="19">
        <f>IF(A185="",0,IF(AND(Z185="Full payment",N(N185)&lt;N(M185)-1),1,0))</f>
        <v/>
      </c>
      <c r="AJ185" s="19">
        <f>IF(A185="",0,IF(N(P185)&lt;0,1,0))</f>
        <v/>
      </c>
      <c r="AK185" s="19">
        <f>IF(A185="",0,IF(COUNTIF($A$7:$A$1006,A185)&gt;1,1,0))</f>
        <v/>
      </c>
    </row>
    <row r="186">
      <c r="A186" s="10" t="n"/>
      <c r="B186" s="17" t="n"/>
      <c r="C186" s="18" t="n"/>
      <c r="D186" s="10" t="n"/>
      <c r="E186" s="17" t="n"/>
      <c r="F186" s="10" t="n"/>
      <c r="G186" s="10" t="n"/>
      <c r="H186" s="10" t="n"/>
      <c r="I186" s="18" t="n"/>
      <c r="J186" s="18" t="n"/>
      <c r="K186" s="18" t="n"/>
      <c r="L186" s="18" t="n"/>
      <c r="M186" s="19">
        <f>IF(K186="","",K186*365/12*L186)</f>
        <v/>
      </c>
      <c r="N186" s="18" t="n"/>
      <c r="O186" s="18" t="n"/>
      <c r="P186" s="18" t="n"/>
      <c r="Q186" s="18" t="n"/>
      <c r="R186" s="10" t="n"/>
      <c r="S186" s="17" t="n"/>
      <c r="T186" s="18" t="n"/>
      <c r="U186" s="17" t="n"/>
      <c r="V186" s="17" t="n"/>
      <c r="W186" s="18" t="n"/>
      <c r="X186" s="18" t="n"/>
      <c r="Y186" s="17" t="n"/>
      <c r="Z186" s="10" t="n"/>
      <c r="AA186" s="10" t="n"/>
      <c r="AB186" s="19">
        <f>IF(LEN(A186)&gt;0,1,0)</f>
        <v/>
      </c>
      <c r="AC186" s="19">
        <f>IF(LEN(A186)=0,0,(LEN(B186)=0)+(LEN(C186)=0)+(LEN(D186)=0)+(LEN(E186)=0)+(LEN(F186)=0)+(LEN(G186)=0)+(LEN(H186)=0)+(LEN(I186)=0)+(LEN(J186)=0)+(LEN(K186)=0)+(LEN(L186)=0)+(LEN(N186)=0)+(LEN(O186)=0)+(LEN(P186)=0)+(LEN(R186)=0)+(LEN(AA186)=0))</f>
        <v/>
      </c>
      <c r="AD186" s="19">
        <f>IF(OR(LEN(A186)=0,LEN(C186)=0),0,IF(OR(C186&lt;1,C186&gt;5),1,0))</f>
        <v/>
      </c>
      <c r="AE186" s="19">
        <f>IF(OR(LEN(A186)=0,LEN(R186)=0),0,IF(OR(R186="Active",R186="Paid off",R186="Defaulted",R186="Repossessed",R186="Written off",R186="Restructured"),0,1))</f>
        <v/>
      </c>
      <c r="AF186" s="19">
        <f>IF(A186="",0,IF(N(J186)&gt;N(I186),1,0))</f>
        <v/>
      </c>
      <c r="AG186" s="19">
        <f>IF(A186="",0,IF(N(N186)&gt;N(M186)+1,1,0))</f>
        <v/>
      </c>
      <c r="AH186" s="19">
        <f>IF(A186="",0,IF(N(E186)&gt;N(B186),1,0))</f>
        <v/>
      </c>
      <c r="AI186" s="19">
        <f>IF(A186="",0,IF(AND(Z186="Full payment",N(N186)&lt;N(M186)-1),1,0))</f>
        <v/>
      </c>
      <c r="AJ186" s="19">
        <f>IF(A186="",0,IF(N(P186)&lt;0,1,0))</f>
        <v/>
      </c>
      <c r="AK186" s="19">
        <f>IF(A186="",0,IF(COUNTIF($A$7:$A$1006,A186)&gt;1,1,0))</f>
        <v/>
      </c>
    </row>
    <row r="187">
      <c r="A187" s="10" t="n"/>
      <c r="B187" s="17" t="n"/>
      <c r="C187" s="18" t="n"/>
      <c r="D187" s="10" t="n"/>
      <c r="E187" s="17" t="n"/>
      <c r="F187" s="10" t="n"/>
      <c r="G187" s="10" t="n"/>
      <c r="H187" s="10" t="n"/>
      <c r="I187" s="18" t="n"/>
      <c r="J187" s="18" t="n"/>
      <c r="K187" s="18" t="n"/>
      <c r="L187" s="18" t="n"/>
      <c r="M187" s="19">
        <f>IF(K187="","",K187*365/12*L187)</f>
        <v/>
      </c>
      <c r="N187" s="18" t="n"/>
      <c r="O187" s="18" t="n"/>
      <c r="P187" s="18" t="n"/>
      <c r="Q187" s="18" t="n"/>
      <c r="R187" s="10" t="n"/>
      <c r="S187" s="17" t="n"/>
      <c r="T187" s="18" t="n"/>
      <c r="U187" s="17" t="n"/>
      <c r="V187" s="17" t="n"/>
      <c r="W187" s="18" t="n"/>
      <c r="X187" s="18" t="n"/>
      <c r="Y187" s="17" t="n"/>
      <c r="Z187" s="10" t="n"/>
      <c r="AA187" s="10" t="n"/>
      <c r="AB187" s="19">
        <f>IF(LEN(A187)&gt;0,1,0)</f>
        <v/>
      </c>
      <c r="AC187" s="19">
        <f>IF(LEN(A187)=0,0,(LEN(B187)=0)+(LEN(C187)=0)+(LEN(D187)=0)+(LEN(E187)=0)+(LEN(F187)=0)+(LEN(G187)=0)+(LEN(H187)=0)+(LEN(I187)=0)+(LEN(J187)=0)+(LEN(K187)=0)+(LEN(L187)=0)+(LEN(N187)=0)+(LEN(O187)=0)+(LEN(P187)=0)+(LEN(R187)=0)+(LEN(AA187)=0))</f>
        <v/>
      </c>
      <c r="AD187" s="19">
        <f>IF(OR(LEN(A187)=0,LEN(C187)=0),0,IF(OR(C187&lt;1,C187&gt;5),1,0))</f>
        <v/>
      </c>
      <c r="AE187" s="19">
        <f>IF(OR(LEN(A187)=0,LEN(R187)=0),0,IF(OR(R187="Active",R187="Paid off",R187="Defaulted",R187="Repossessed",R187="Written off",R187="Restructured"),0,1))</f>
        <v/>
      </c>
      <c r="AF187" s="19">
        <f>IF(A187="",0,IF(N(J187)&gt;N(I187),1,0))</f>
        <v/>
      </c>
      <c r="AG187" s="19">
        <f>IF(A187="",0,IF(N(N187)&gt;N(M187)+1,1,0))</f>
        <v/>
      </c>
      <c r="AH187" s="19">
        <f>IF(A187="",0,IF(N(E187)&gt;N(B187),1,0))</f>
        <v/>
      </c>
      <c r="AI187" s="19">
        <f>IF(A187="",0,IF(AND(Z187="Full payment",N(N187)&lt;N(M187)-1),1,0))</f>
        <v/>
      </c>
      <c r="AJ187" s="19">
        <f>IF(A187="",0,IF(N(P187)&lt;0,1,0))</f>
        <v/>
      </c>
      <c r="AK187" s="19">
        <f>IF(A187="",0,IF(COUNTIF($A$7:$A$1006,A187)&gt;1,1,0))</f>
        <v/>
      </c>
    </row>
    <row r="188">
      <c r="A188" s="10" t="n"/>
      <c r="B188" s="17" t="n"/>
      <c r="C188" s="18" t="n"/>
      <c r="D188" s="10" t="n"/>
      <c r="E188" s="17" t="n"/>
      <c r="F188" s="10" t="n"/>
      <c r="G188" s="10" t="n"/>
      <c r="H188" s="10" t="n"/>
      <c r="I188" s="18" t="n"/>
      <c r="J188" s="18" t="n"/>
      <c r="K188" s="18" t="n"/>
      <c r="L188" s="18" t="n"/>
      <c r="M188" s="19">
        <f>IF(K188="","",K188*365/12*L188)</f>
        <v/>
      </c>
      <c r="N188" s="18" t="n"/>
      <c r="O188" s="18" t="n"/>
      <c r="P188" s="18" t="n"/>
      <c r="Q188" s="18" t="n"/>
      <c r="R188" s="10" t="n"/>
      <c r="S188" s="17" t="n"/>
      <c r="T188" s="18" t="n"/>
      <c r="U188" s="17" t="n"/>
      <c r="V188" s="17" t="n"/>
      <c r="W188" s="18" t="n"/>
      <c r="X188" s="18" t="n"/>
      <c r="Y188" s="17" t="n"/>
      <c r="Z188" s="10" t="n"/>
      <c r="AA188" s="10" t="n"/>
      <c r="AB188" s="19">
        <f>IF(LEN(A188)&gt;0,1,0)</f>
        <v/>
      </c>
      <c r="AC188" s="19">
        <f>IF(LEN(A188)=0,0,(LEN(B188)=0)+(LEN(C188)=0)+(LEN(D188)=0)+(LEN(E188)=0)+(LEN(F188)=0)+(LEN(G188)=0)+(LEN(H188)=0)+(LEN(I188)=0)+(LEN(J188)=0)+(LEN(K188)=0)+(LEN(L188)=0)+(LEN(N188)=0)+(LEN(O188)=0)+(LEN(P188)=0)+(LEN(R188)=0)+(LEN(AA188)=0))</f>
        <v/>
      </c>
      <c r="AD188" s="19">
        <f>IF(OR(LEN(A188)=0,LEN(C188)=0),0,IF(OR(C188&lt;1,C188&gt;5),1,0))</f>
        <v/>
      </c>
      <c r="AE188" s="19">
        <f>IF(OR(LEN(A188)=0,LEN(R188)=0),0,IF(OR(R188="Active",R188="Paid off",R188="Defaulted",R188="Repossessed",R188="Written off",R188="Restructured"),0,1))</f>
        <v/>
      </c>
      <c r="AF188" s="19">
        <f>IF(A188="",0,IF(N(J188)&gt;N(I188),1,0))</f>
        <v/>
      </c>
      <c r="AG188" s="19">
        <f>IF(A188="",0,IF(N(N188)&gt;N(M188)+1,1,0))</f>
        <v/>
      </c>
      <c r="AH188" s="19">
        <f>IF(A188="",0,IF(N(E188)&gt;N(B188),1,0))</f>
        <v/>
      </c>
      <c r="AI188" s="19">
        <f>IF(A188="",0,IF(AND(Z188="Full payment",N(N188)&lt;N(M188)-1),1,0))</f>
        <v/>
      </c>
      <c r="AJ188" s="19">
        <f>IF(A188="",0,IF(N(P188)&lt;0,1,0))</f>
        <v/>
      </c>
      <c r="AK188" s="19">
        <f>IF(A188="",0,IF(COUNTIF($A$7:$A$1006,A188)&gt;1,1,0))</f>
        <v/>
      </c>
    </row>
    <row r="189">
      <c r="A189" s="10" t="n"/>
      <c r="B189" s="17" t="n"/>
      <c r="C189" s="18" t="n"/>
      <c r="D189" s="10" t="n"/>
      <c r="E189" s="17" t="n"/>
      <c r="F189" s="10" t="n"/>
      <c r="G189" s="10" t="n"/>
      <c r="H189" s="10" t="n"/>
      <c r="I189" s="18" t="n"/>
      <c r="J189" s="18" t="n"/>
      <c r="K189" s="18" t="n"/>
      <c r="L189" s="18" t="n"/>
      <c r="M189" s="19">
        <f>IF(K189="","",K189*365/12*L189)</f>
        <v/>
      </c>
      <c r="N189" s="18" t="n"/>
      <c r="O189" s="18" t="n"/>
      <c r="P189" s="18" t="n"/>
      <c r="Q189" s="18" t="n"/>
      <c r="R189" s="10" t="n"/>
      <c r="S189" s="17" t="n"/>
      <c r="T189" s="18" t="n"/>
      <c r="U189" s="17" t="n"/>
      <c r="V189" s="17" t="n"/>
      <c r="W189" s="18" t="n"/>
      <c r="X189" s="18" t="n"/>
      <c r="Y189" s="17" t="n"/>
      <c r="Z189" s="10" t="n"/>
      <c r="AA189" s="10" t="n"/>
      <c r="AB189" s="19">
        <f>IF(LEN(A189)&gt;0,1,0)</f>
        <v/>
      </c>
      <c r="AC189" s="19">
        <f>IF(LEN(A189)=0,0,(LEN(B189)=0)+(LEN(C189)=0)+(LEN(D189)=0)+(LEN(E189)=0)+(LEN(F189)=0)+(LEN(G189)=0)+(LEN(H189)=0)+(LEN(I189)=0)+(LEN(J189)=0)+(LEN(K189)=0)+(LEN(L189)=0)+(LEN(N189)=0)+(LEN(O189)=0)+(LEN(P189)=0)+(LEN(R189)=0)+(LEN(AA189)=0))</f>
        <v/>
      </c>
      <c r="AD189" s="19">
        <f>IF(OR(LEN(A189)=0,LEN(C189)=0),0,IF(OR(C189&lt;1,C189&gt;5),1,0))</f>
        <v/>
      </c>
      <c r="AE189" s="19">
        <f>IF(OR(LEN(A189)=0,LEN(R189)=0),0,IF(OR(R189="Active",R189="Paid off",R189="Defaulted",R189="Repossessed",R189="Written off",R189="Restructured"),0,1))</f>
        <v/>
      </c>
      <c r="AF189" s="19">
        <f>IF(A189="",0,IF(N(J189)&gt;N(I189),1,0))</f>
        <v/>
      </c>
      <c r="AG189" s="19">
        <f>IF(A189="",0,IF(N(N189)&gt;N(M189)+1,1,0))</f>
        <v/>
      </c>
      <c r="AH189" s="19">
        <f>IF(A189="",0,IF(N(E189)&gt;N(B189),1,0))</f>
        <v/>
      </c>
      <c r="AI189" s="19">
        <f>IF(A189="",0,IF(AND(Z189="Full payment",N(N189)&lt;N(M189)-1),1,0))</f>
        <v/>
      </c>
      <c r="AJ189" s="19">
        <f>IF(A189="",0,IF(N(P189)&lt;0,1,0))</f>
        <v/>
      </c>
      <c r="AK189" s="19">
        <f>IF(A189="",0,IF(COUNTIF($A$7:$A$1006,A189)&gt;1,1,0))</f>
        <v/>
      </c>
    </row>
    <row r="190">
      <c r="A190" s="10" t="n"/>
      <c r="B190" s="17" t="n"/>
      <c r="C190" s="18" t="n"/>
      <c r="D190" s="10" t="n"/>
      <c r="E190" s="17" t="n"/>
      <c r="F190" s="10" t="n"/>
      <c r="G190" s="10" t="n"/>
      <c r="H190" s="10" t="n"/>
      <c r="I190" s="18" t="n"/>
      <c r="J190" s="18" t="n"/>
      <c r="K190" s="18" t="n"/>
      <c r="L190" s="18" t="n"/>
      <c r="M190" s="19">
        <f>IF(K190="","",K190*365/12*L190)</f>
        <v/>
      </c>
      <c r="N190" s="18" t="n"/>
      <c r="O190" s="18" t="n"/>
      <c r="P190" s="18" t="n"/>
      <c r="Q190" s="18" t="n"/>
      <c r="R190" s="10" t="n"/>
      <c r="S190" s="17" t="n"/>
      <c r="T190" s="18" t="n"/>
      <c r="U190" s="17" t="n"/>
      <c r="V190" s="17" t="n"/>
      <c r="W190" s="18" t="n"/>
      <c r="X190" s="18" t="n"/>
      <c r="Y190" s="17" t="n"/>
      <c r="Z190" s="10" t="n"/>
      <c r="AA190" s="10" t="n"/>
      <c r="AB190" s="19">
        <f>IF(LEN(A190)&gt;0,1,0)</f>
        <v/>
      </c>
      <c r="AC190" s="19">
        <f>IF(LEN(A190)=0,0,(LEN(B190)=0)+(LEN(C190)=0)+(LEN(D190)=0)+(LEN(E190)=0)+(LEN(F190)=0)+(LEN(G190)=0)+(LEN(H190)=0)+(LEN(I190)=0)+(LEN(J190)=0)+(LEN(K190)=0)+(LEN(L190)=0)+(LEN(N190)=0)+(LEN(O190)=0)+(LEN(P190)=0)+(LEN(R190)=0)+(LEN(AA190)=0))</f>
        <v/>
      </c>
      <c r="AD190" s="19">
        <f>IF(OR(LEN(A190)=0,LEN(C190)=0),0,IF(OR(C190&lt;1,C190&gt;5),1,0))</f>
        <v/>
      </c>
      <c r="AE190" s="19">
        <f>IF(OR(LEN(A190)=0,LEN(R190)=0),0,IF(OR(R190="Active",R190="Paid off",R190="Defaulted",R190="Repossessed",R190="Written off",R190="Restructured"),0,1))</f>
        <v/>
      </c>
      <c r="AF190" s="19">
        <f>IF(A190="",0,IF(N(J190)&gt;N(I190),1,0))</f>
        <v/>
      </c>
      <c r="AG190" s="19">
        <f>IF(A190="",0,IF(N(N190)&gt;N(M190)+1,1,0))</f>
        <v/>
      </c>
      <c r="AH190" s="19">
        <f>IF(A190="",0,IF(N(E190)&gt;N(B190),1,0))</f>
        <v/>
      </c>
      <c r="AI190" s="19">
        <f>IF(A190="",0,IF(AND(Z190="Full payment",N(N190)&lt;N(M190)-1),1,0))</f>
        <v/>
      </c>
      <c r="AJ190" s="19">
        <f>IF(A190="",0,IF(N(P190)&lt;0,1,0))</f>
        <v/>
      </c>
      <c r="AK190" s="19">
        <f>IF(A190="",0,IF(COUNTIF($A$7:$A$1006,A190)&gt;1,1,0))</f>
        <v/>
      </c>
    </row>
    <row r="191">
      <c r="A191" s="10" t="n"/>
      <c r="B191" s="17" t="n"/>
      <c r="C191" s="18" t="n"/>
      <c r="D191" s="10" t="n"/>
      <c r="E191" s="17" t="n"/>
      <c r="F191" s="10" t="n"/>
      <c r="G191" s="10" t="n"/>
      <c r="H191" s="10" t="n"/>
      <c r="I191" s="18" t="n"/>
      <c r="J191" s="18" t="n"/>
      <c r="K191" s="18" t="n"/>
      <c r="L191" s="18" t="n"/>
      <c r="M191" s="19">
        <f>IF(K191="","",K191*365/12*L191)</f>
        <v/>
      </c>
      <c r="N191" s="18" t="n"/>
      <c r="O191" s="18" t="n"/>
      <c r="P191" s="18" t="n"/>
      <c r="Q191" s="18" t="n"/>
      <c r="R191" s="10" t="n"/>
      <c r="S191" s="17" t="n"/>
      <c r="T191" s="18" t="n"/>
      <c r="U191" s="17" t="n"/>
      <c r="V191" s="17" t="n"/>
      <c r="W191" s="18" t="n"/>
      <c r="X191" s="18" t="n"/>
      <c r="Y191" s="17" t="n"/>
      <c r="Z191" s="10" t="n"/>
      <c r="AA191" s="10" t="n"/>
      <c r="AB191" s="19">
        <f>IF(LEN(A191)&gt;0,1,0)</f>
        <v/>
      </c>
      <c r="AC191" s="19">
        <f>IF(LEN(A191)=0,0,(LEN(B191)=0)+(LEN(C191)=0)+(LEN(D191)=0)+(LEN(E191)=0)+(LEN(F191)=0)+(LEN(G191)=0)+(LEN(H191)=0)+(LEN(I191)=0)+(LEN(J191)=0)+(LEN(K191)=0)+(LEN(L191)=0)+(LEN(N191)=0)+(LEN(O191)=0)+(LEN(P191)=0)+(LEN(R191)=0)+(LEN(AA191)=0))</f>
        <v/>
      </c>
      <c r="AD191" s="19">
        <f>IF(OR(LEN(A191)=0,LEN(C191)=0),0,IF(OR(C191&lt;1,C191&gt;5),1,0))</f>
        <v/>
      </c>
      <c r="AE191" s="19">
        <f>IF(OR(LEN(A191)=0,LEN(R191)=0),0,IF(OR(R191="Active",R191="Paid off",R191="Defaulted",R191="Repossessed",R191="Written off",R191="Restructured"),0,1))</f>
        <v/>
      </c>
      <c r="AF191" s="19">
        <f>IF(A191="",0,IF(N(J191)&gt;N(I191),1,0))</f>
        <v/>
      </c>
      <c r="AG191" s="19">
        <f>IF(A191="",0,IF(N(N191)&gt;N(M191)+1,1,0))</f>
        <v/>
      </c>
      <c r="AH191" s="19">
        <f>IF(A191="",0,IF(N(E191)&gt;N(B191),1,0))</f>
        <v/>
      </c>
      <c r="AI191" s="19">
        <f>IF(A191="",0,IF(AND(Z191="Full payment",N(N191)&lt;N(M191)-1),1,0))</f>
        <v/>
      </c>
      <c r="AJ191" s="19">
        <f>IF(A191="",0,IF(N(P191)&lt;0,1,0))</f>
        <v/>
      </c>
      <c r="AK191" s="19">
        <f>IF(A191="",0,IF(COUNTIF($A$7:$A$1006,A191)&gt;1,1,0))</f>
        <v/>
      </c>
    </row>
    <row r="192">
      <c r="A192" s="10" t="n"/>
      <c r="B192" s="17" t="n"/>
      <c r="C192" s="18" t="n"/>
      <c r="D192" s="10" t="n"/>
      <c r="E192" s="17" t="n"/>
      <c r="F192" s="10" t="n"/>
      <c r="G192" s="10" t="n"/>
      <c r="H192" s="10" t="n"/>
      <c r="I192" s="18" t="n"/>
      <c r="J192" s="18" t="n"/>
      <c r="K192" s="18" t="n"/>
      <c r="L192" s="18" t="n"/>
      <c r="M192" s="19">
        <f>IF(K192="","",K192*365/12*L192)</f>
        <v/>
      </c>
      <c r="N192" s="18" t="n"/>
      <c r="O192" s="18" t="n"/>
      <c r="P192" s="18" t="n"/>
      <c r="Q192" s="18" t="n"/>
      <c r="R192" s="10" t="n"/>
      <c r="S192" s="17" t="n"/>
      <c r="T192" s="18" t="n"/>
      <c r="U192" s="17" t="n"/>
      <c r="V192" s="17" t="n"/>
      <c r="W192" s="18" t="n"/>
      <c r="X192" s="18" t="n"/>
      <c r="Y192" s="17" t="n"/>
      <c r="Z192" s="10" t="n"/>
      <c r="AA192" s="10" t="n"/>
      <c r="AB192" s="19">
        <f>IF(LEN(A192)&gt;0,1,0)</f>
        <v/>
      </c>
      <c r="AC192" s="19">
        <f>IF(LEN(A192)=0,0,(LEN(B192)=0)+(LEN(C192)=0)+(LEN(D192)=0)+(LEN(E192)=0)+(LEN(F192)=0)+(LEN(G192)=0)+(LEN(H192)=0)+(LEN(I192)=0)+(LEN(J192)=0)+(LEN(K192)=0)+(LEN(L192)=0)+(LEN(N192)=0)+(LEN(O192)=0)+(LEN(P192)=0)+(LEN(R192)=0)+(LEN(AA192)=0))</f>
        <v/>
      </c>
      <c r="AD192" s="19">
        <f>IF(OR(LEN(A192)=0,LEN(C192)=0),0,IF(OR(C192&lt;1,C192&gt;5),1,0))</f>
        <v/>
      </c>
      <c r="AE192" s="19">
        <f>IF(OR(LEN(A192)=0,LEN(R192)=0),0,IF(OR(R192="Active",R192="Paid off",R192="Defaulted",R192="Repossessed",R192="Written off",R192="Restructured"),0,1))</f>
        <v/>
      </c>
      <c r="AF192" s="19">
        <f>IF(A192="",0,IF(N(J192)&gt;N(I192),1,0))</f>
        <v/>
      </c>
      <c r="AG192" s="19">
        <f>IF(A192="",0,IF(N(N192)&gt;N(M192)+1,1,0))</f>
        <v/>
      </c>
      <c r="AH192" s="19">
        <f>IF(A192="",0,IF(N(E192)&gt;N(B192),1,0))</f>
        <v/>
      </c>
      <c r="AI192" s="19">
        <f>IF(A192="",0,IF(AND(Z192="Full payment",N(N192)&lt;N(M192)-1),1,0))</f>
        <v/>
      </c>
      <c r="AJ192" s="19">
        <f>IF(A192="",0,IF(N(P192)&lt;0,1,0))</f>
        <v/>
      </c>
      <c r="AK192" s="19">
        <f>IF(A192="",0,IF(COUNTIF($A$7:$A$1006,A192)&gt;1,1,0))</f>
        <v/>
      </c>
    </row>
    <row r="193">
      <c r="A193" s="10" t="n"/>
      <c r="B193" s="17" t="n"/>
      <c r="C193" s="18" t="n"/>
      <c r="D193" s="10" t="n"/>
      <c r="E193" s="17" t="n"/>
      <c r="F193" s="10" t="n"/>
      <c r="G193" s="10" t="n"/>
      <c r="H193" s="10" t="n"/>
      <c r="I193" s="18" t="n"/>
      <c r="J193" s="18" t="n"/>
      <c r="K193" s="18" t="n"/>
      <c r="L193" s="18" t="n"/>
      <c r="M193" s="19">
        <f>IF(K193="","",K193*365/12*L193)</f>
        <v/>
      </c>
      <c r="N193" s="18" t="n"/>
      <c r="O193" s="18" t="n"/>
      <c r="P193" s="18" t="n"/>
      <c r="Q193" s="18" t="n"/>
      <c r="R193" s="10" t="n"/>
      <c r="S193" s="17" t="n"/>
      <c r="T193" s="18" t="n"/>
      <c r="U193" s="17" t="n"/>
      <c r="V193" s="17" t="n"/>
      <c r="W193" s="18" t="n"/>
      <c r="X193" s="18" t="n"/>
      <c r="Y193" s="17" t="n"/>
      <c r="Z193" s="10" t="n"/>
      <c r="AA193" s="10" t="n"/>
      <c r="AB193" s="19">
        <f>IF(LEN(A193)&gt;0,1,0)</f>
        <v/>
      </c>
      <c r="AC193" s="19">
        <f>IF(LEN(A193)=0,0,(LEN(B193)=0)+(LEN(C193)=0)+(LEN(D193)=0)+(LEN(E193)=0)+(LEN(F193)=0)+(LEN(G193)=0)+(LEN(H193)=0)+(LEN(I193)=0)+(LEN(J193)=0)+(LEN(K193)=0)+(LEN(L193)=0)+(LEN(N193)=0)+(LEN(O193)=0)+(LEN(P193)=0)+(LEN(R193)=0)+(LEN(AA193)=0))</f>
        <v/>
      </c>
      <c r="AD193" s="19">
        <f>IF(OR(LEN(A193)=0,LEN(C193)=0),0,IF(OR(C193&lt;1,C193&gt;5),1,0))</f>
        <v/>
      </c>
      <c r="AE193" s="19">
        <f>IF(OR(LEN(A193)=0,LEN(R193)=0),0,IF(OR(R193="Active",R193="Paid off",R193="Defaulted",R193="Repossessed",R193="Written off",R193="Restructured"),0,1))</f>
        <v/>
      </c>
      <c r="AF193" s="19">
        <f>IF(A193="",0,IF(N(J193)&gt;N(I193),1,0))</f>
        <v/>
      </c>
      <c r="AG193" s="19">
        <f>IF(A193="",0,IF(N(N193)&gt;N(M193)+1,1,0))</f>
        <v/>
      </c>
      <c r="AH193" s="19">
        <f>IF(A193="",0,IF(N(E193)&gt;N(B193),1,0))</f>
        <v/>
      </c>
      <c r="AI193" s="19">
        <f>IF(A193="",0,IF(AND(Z193="Full payment",N(N193)&lt;N(M193)-1),1,0))</f>
        <v/>
      </c>
      <c r="AJ193" s="19">
        <f>IF(A193="",0,IF(N(P193)&lt;0,1,0))</f>
        <v/>
      </c>
      <c r="AK193" s="19">
        <f>IF(A193="",0,IF(COUNTIF($A$7:$A$1006,A193)&gt;1,1,0))</f>
        <v/>
      </c>
    </row>
    <row r="194">
      <c r="A194" s="10" t="n"/>
      <c r="B194" s="17" t="n"/>
      <c r="C194" s="18" t="n"/>
      <c r="D194" s="10" t="n"/>
      <c r="E194" s="17" t="n"/>
      <c r="F194" s="10" t="n"/>
      <c r="G194" s="10" t="n"/>
      <c r="H194" s="10" t="n"/>
      <c r="I194" s="18" t="n"/>
      <c r="J194" s="18" t="n"/>
      <c r="K194" s="18" t="n"/>
      <c r="L194" s="18" t="n"/>
      <c r="M194" s="19">
        <f>IF(K194="","",K194*365/12*L194)</f>
        <v/>
      </c>
      <c r="N194" s="18" t="n"/>
      <c r="O194" s="18" t="n"/>
      <c r="P194" s="18" t="n"/>
      <c r="Q194" s="18" t="n"/>
      <c r="R194" s="10" t="n"/>
      <c r="S194" s="17" t="n"/>
      <c r="T194" s="18" t="n"/>
      <c r="U194" s="17" t="n"/>
      <c r="V194" s="17" t="n"/>
      <c r="W194" s="18" t="n"/>
      <c r="X194" s="18" t="n"/>
      <c r="Y194" s="17" t="n"/>
      <c r="Z194" s="10" t="n"/>
      <c r="AA194" s="10" t="n"/>
      <c r="AB194" s="19">
        <f>IF(LEN(A194)&gt;0,1,0)</f>
        <v/>
      </c>
      <c r="AC194" s="19">
        <f>IF(LEN(A194)=0,0,(LEN(B194)=0)+(LEN(C194)=0)+(LEN(D194)=0)+(LEN(E194)=0)+(LEN(F194)=0)+(LEN(G194)=0)+(LEN(H194)=0)+(LEN(I194)=0)+(LEN(J194)=0)+(LEN(K194)=0)+(LEN(L194)=0)+(LEN(N194)=0)+(LEN(O194)=0)+(LEN(P194)=0)+(LEN(R194)=0)+(LEN(AA194)=0))</f>
        <v/>
      </c>
      <c r="AD194" s="19">
        <f>IF(OR(LEN(A194)=0,LEN(C194)=0),0,IF(OR(C194&lt;1,C194&gt;5),1,0))</f>
        <v/>
      </c>
      <c r="AE194" s="19">
        <f>IF(OR(LEN(A194)=0,LEN(R194)=0),0,IF(OR(R194="Active",R194="Paid off",R194="Defaulted",R194="Repossessed",R194="Written off",R194="Restructured"),0,1))</f>
        <v/>
      </c>
      <c r="AF194" s="19">
        <f>IF(A194="",0,IF(N(J194)&gt;N(I194),1,0))</f>
        <v/>
      </c>
      <c r="AG194" s="19">
        <f>IF(A194="",0,IF(N(N194)&gt;N(M194)+1,1,0))</f>
        <v/>
      </c>
      <c r="AH194" s="19">
        <f>IF(A194="",0,IF(N(E194)&gt;N(B194),1,0))</f>
        <v/>
      </c>
      <c r="AI194" s="19">
        <f>IF(A194="",0,IF(AND(Z194="Full payment",N(N194)&lt;N(M194)-1),1,0))</f>
        <v/>
      </c>
      <c r="AJ194" s="19">
        <f>IF(A194="",0,IF(N(P194)&lt;0,1,0))</f>
        <v/>
      </c>
      <c r="AK194" s="19">
        <f>IF(A194="",0,IF(COUNTIF($A$7:$A$1006,A194)&gt;1,1,0))</f>
        <v/>
      </c>
    </row>
    <row r="195">
      <c r="A195" s="10" t="n"/>
      <c r="B195" s="17" t="n"/>
      <c r="C195" s="18" t="n"/>
      <c r="D195" s="10" t="n"/>
      <c r="E195" s="17" t="n"/>
      <c r="F195" s="10" t="n"/>
      <c r="G195" s="10" t="n"/>
      <c r="H195" s="10" t="n"/>
      <c r="I195" s="18" t="n"/>
      <c r="J195" s="18" t="n"/>
      <c r="K195" s="18" t="n"/>
      <c r="L195" s="18" t="n"/>
      <c r="M195" s="19">
        <f>IF(K195="","",K195*365/12*L195)</f>
        <v/>
      </c>
      <c r="N195" s="18" t="n"/>
      <c r="O195" s="18" t="n"/>
      <c r="P195" s="18" t="n"/>
      <c r="Q195" s="18" t="n"/>
      <c r="R195" s="10" t="n"/>
      <c r="S195" s="17" t="n"/>
      <c r="T195" s="18" t="n"/>
      <c r="U195" s="17" t="n"/>
      <c r="V195" s="17" t="n"/>
      <c r="W195" s="18" t="n"/>
      <c r="X195" s="18" t="n"/>
      <c r="Y195" s="17" t="n"/>
      <c r="Z195" s="10" t="n"/>
      <c r="AA195" s="10" t="n"/>
      <c r="AB195" s="19">
        <f>IF(LEN(A195)&gt;0,1,0)</f>
        <v/>
      </c>
      <c r="AC195" s="19">
        <f>IF(LEN(A195)=0,0,(LEN(B195)=0)+(LEN(C195)=0)+(LEN(D195)=0)+(LEN(E195)=0)+(LEN(F195)=0)+(LEN(G195)=0)+(LEN(H195)=0)+(LEN(I195)=0)+(LEN(J195)=0)+(LEN(K195)=0)+(LEN(L195)=0)+(LEN(N195)=0)+(LEN(O195)=0)+(LEN(P195)=0)+(LEN(R195)=0)+(LEN(AA195)=0))</f>
        <v/>
      </c>
      <c r="AD195" s="19">
        <f>IF(OR(LEN(A195)=0,LEN(C195)=0),0,IF(OR(C195&lt;1,C195&gt;5),1,0))</f>
        <v/>
      </c>
      <c r="AE195" s="19">
        <f>IF(OR(LEN(A195)=0,LEN(R195)=0),0,IF(OR(R195="Active",R195="Paid off",R195="Defaulted",R195="Repossessed",R195="Written off",R195="Restructured"),0,1))</f>
        <v/>
      </c>
      <c r="AF195" s="19">
        <f>IF(A195="",0,IF(N(J195)&gt;N(I195),1,0))</f>
        <v/>
      </c>
      <c r="AG195" s="19">
        <f>IF(A195="",0,IF(N(N195)&gt;N(M195)+1,1,0))</f>
        <v/>
      </c>
      <c r="AH195" s="19">
        <f>IF(A195="",0,IF(N(E195)&gt;N(B195),1,0))</f>
        <v/>
      </c>
      <c r="AI195" s="19">
        <f>IF(A195="",0,IF(AND(Z195="Full payment",N(N195)&lt;N(M195)-1),1,0))</f>
        <v/>
      </c>
      <c r="AJ195" s="19">
        <f>IF(A195="",0,IF(N(P195)&lt;0,1,0))</f>
        <v/>
      </c>
      <c r="AK195" s="19">
        <f>IF(A195="",0,IF(COUNTIF($A$7:$A$1006,A195)&gt;1,1,0))</f>
        <v/>
      </c>
    </row>
    <row r="196">
      <c r="A196" s="10" t="n"/>
      <c r="B196" s="17" t="n"/>
      <c r="C196" s="18" t="n"/>
      <c r="D196" s="10" t="n"/>
      <c r="E196" s="17" t="n"/>
      <c r="F196" s="10" t="n"/>
      <c r="G196" s="10" t="n"/>
      <c r="H196" s="10" t="n"/>
      <c r="I196" s="18" t="n"/>
      <c r="J196" s="18" t="n"/>
      <c r="K196" s="18" t="n"/>
      <c r="L196" s="18" t="n"/>
      <c r="M196" s="19">
        <f>IF(K196="","",K196*365/12*L196)</f>
        <v/>
      </c>
      <c r="N196" s="18" t="n"/>
      <c r="O196" s="18" t="n"/>
      <c r="P196" s="18" t="n"/>
      <c r="Q196" s="18" t="n"/>
      <c r="R196" s="10" t="n"/>
      <c r="S196" s="17" t="n"/>
      <c r="T196" s="18" t="n"/>
      <c r="U196" s="17" t="n"/>
      <c r="V196" s="17" t="n"/>
      <c r="W196" s="18" t="n"/>
      <c r="X196" s="18" t="n"/>
      <c r="Y196" s="17" t="n"/>
      <c r="Z196" s="10" t="n"/>
      <c r="AA196" s="10" t="n"/>
      <c r="AB196" s="19">
        <f>IF(LEN(A196)&gt;0,1,0)</f>
        <v/>
      </c>
      <c r="AC196" s="19">
        <f>IF(LEN(A196)=0,0,(LEN(B196)=0)+(LEN(C196)=0)+(LEN(D196)=0)+(LEN(E196)=0)+(LEN(F196)=0)+(LEN(G196)=0)+(LEN(H196)=0)+(LEN(I196)=0)+(LEN(J196)=0)+(LEN(K196)=0)+(LEN(L196)=0)+(LEN(N196)=0)+(LEN(O196)=0)+(LEN(P196)=0)+(LEN(R196)=0)+(LEN(AA196)=0))</f>
        <v/>
      </c>
      <c r="AD196" s="19">
        <f>IF(OR(LEN(A196)=0,LEN(C196)=0),0,IF(OR(C196&lt;1,C196&gt;5),1,0))</f>
        <v/>
      </c>
      <c r="AE196" s="19">
        <f>IF(OR(LEN(A196)=0,LEN(R196)=0),0,IF(OR(R196="Active",R196="Paid off",R196="Defaulted",R196="Repossessed",R196="Written off",R196="Restructured"),0,1))</f>
        <v/>
      </c>
      <c r="AF196" s="19">
        <f>IF(A196="",0,IF(N(J196)&gt;N(I196),1,0))</f>
        <v/>
      </c>
      <c r="AG196" s="19">
        <f>IF(A196="",0,IF(N(N196)&gt;N(M196)+1,1,0))</f>
        <v/>
      </c>
      <c r="AH196" s="19">
        <f>IF(A196="",0,IF(N(E196)&gt;N(B196),1,0))</f>
        <v/>
      </c>
      <c r="AI196" s="19">
        <f>IF(A196="",0,IF(AND(Z196="Full payment",N(N196)&lt;N(M196)-1),1,0))</f>
        <v/>
      </c>
      <c r="AJ196" s="19">
        <f>IF(A196="",0,IF(N(P196)&lt;0,1,0))</f>
        <v/>
      </c>
      <c r="AK196" s="19">
        <f>IF(A196="",0,IF(COUNTIF($A$7:$A$1006,A196)&gt;1,1,0))</f>
        <v/>
      </c>
    </row>
    <row r="197">
      <c r="A197" s="10" t="n"/>
      <c r="B197" s="17" t="n"/>
      <c r="C197" s="18" t="n"/>
      <c r="D197" s="10" t="n"/>
      <c r="E197" s="17" t="n"/>
      <c r="F197" s="10" t="n"/>
      <c r="G197" s="10" t="n"/>
      <c r="H197" s="10" t="n"/>
      <c r="I197" s="18" t="n"/>
      <c r="J197" s="18" t="n"/>
      <c r="K197" s="18" t="n"/>
      <c r="L197" s="18" t="n"/>
      <c r="M197" s="19">
        <f>IF(K197="","",K197*365/12*L197)</f>
        <v/>
      </c>
      <c r="N197" s="18" t="n"/>
      <c r="O197" s="18" t="n"/>
      <c r="P197" s="18" t="n"/>
      <c r="Q197" s="18" t="n"/>
      <c r="R197" s="10" t="n"/>
      <c r="S197" s="17" t="n"/>
      <c r="T197" s="18" t="n"/>
      <c r="U197" s="17" t="n"/>
      <c r="V197" s="17" t="n"/>
      <c r="W197" s="18" t="n"/>
      <c r="X197" s="18" t="n"/>
      <c r="Y197" s="17" t="n"/>
      <c r="Z197" s="10" t="n"/>
      <c r="AA197" s="10" t="n"/>
      <c r="AB197" s="19">
        <f>IF(LEN(A197)&gt;0,1,0)</f>
        <v/>
      </c>
      <c r="AC197" s="19">
        <f>IF(LEN(A197)=0,0,(LEN(B197)=0)+(LEN(C197)=0)+(LEN(D197)=0)+(LEN(E197)=0)+(LEN(F197)=0)+(LEN(G197)=0)+(LEN(H197)=0)+(LEN(I197)=0)+(LEN(J197)=0)+(LEN(K197)=0)+(LEN(L197)=0)+(LEN(N197)=0)+(LEN(O197)=0)+(LEN(P197)=0)+(LEN(R197)=0)+(LEN(AA197)=0))</f>
        <v/>
      </c>
      <c r="AD197" s="19">
        <f>IF(OR(LEN(A197)=0,LEN(C197)=0),0,IF(OR(C197&lt;1,C197&gt;5),1,0))</f>
        <v/>
      </c>
      <c r="AE197" s="19">
        <f>IF(OR(LEN(A197)=0,LEN(R197)=0),0,IF(OR(R197="Active",R197="Paid off",R197="Defaulted",R197="Repossessed",R197="Written off",R197="Restructured"),0,1))</f>
        <v/>
      </c>
      <c r="AF197" s="19">
        <f>IF(A197="",0,IF(N(J197)&gt;N(I197),1,0))</f>
        <v/>
      </c>
      <c r="AG197" s="19">
        <f>IF(A197="",0,IF(N(N197)&gt;N(M197)+1,1,0))</f>
        <v/>
      </c>
      <c r="AH197" s="19">
        <f>IF(A197="",0,IF(N(E197)&gt;N(B197),1,0))</f>
        <v/>
      </c>
      <c r="AI197" s="19">
        <f>IF(A197="",0,IF(AND(Z197="Full payment",N(N197)&lt;N(M197)-1),1,0))</f>
        <v/>
      </c>
      <c r="AJ197" s="19">
        <f>IF(A197="",0,IF(N(P197)&lt;0,1,0))</f>
        <v/>
      </c>
      <c r="AK197" s="19">
        <f>IF(A197="",0,IF(COUNTIF($A$7:$A$1006,A197)&gt;1,1,0))</f>
        <v/>
      </c>
    </row>
    <row r="198">
      <c r="A198" s="10" t="n"/>
      <c r="B198" s="17" t="n"/>
      <c r="C198" s="18" t="n"/>
      <c r="D198" s="10" t="n"/>
      <c r="E198" s="17" t="n"/>
      <c r="F198" s="10" t="n"/>
      <c r="G198" s="10" t="n"/>
      <c r="H198" s="10" t="n"/>
      <c r="I198" s="18" t="n"/>
      <c r="J198" s="18" t="n"/>
      <c r="K198" s="18" t="n"/>
      <c r="L198" s="18" t="n"/>
      <c r="M198" s="19">
        <f>IF(K198="","",K198*365/12*L198)</f>
        <v/>
      </c>
      <c r="N198" s="18" t="n"/>
      <c r="O198" s="18" t="n"/>
      <c r="P198" s="18" t="n"/>
      <c r="Q198" s="18" t="n"/>
      <c r="R198" s="10" t="n"/>
      <c r="S198" s="17" t="n"/>
      <c r="T198" s="18" t="n"/>
      <c r="U198" s="17" t="n"/>
      <c r="V198" s="17" t="n"/>
      <c r="W198" s="18" t="n"/>
      <c r="X198" s="18" t="n"/>
      <c r="Y198" s="17" t="n"/>
      <c r="Z198" s="10" t="n"/>
      <c r="AA198" s="10" t="n"/>
      <c r="AB198" s="19">
        <f>IF(LEN(A198)&gt;0,1,0)</f>
        <v/>
      </c>
      <c r="AC198" s="19">
        <f>IF(LEN(A198)=0,0,(LEN(B198)=0)+(LEN(C198)=0)+(LEN(D198)=0)+(LEN(E198)=0)+(LEN(F198)=0)+(LEN(G198)=0)+(LEN(H198)=0)+(LEN(I198)=0)+(LEN(J198)=0)+(LEN(K198)=0)+(LEN(L198)=0)+(LEN(N198)=0)+(LEN(O198)=0)+(LEN(P198)=0)+(LEN(R198)=0)+(LEN(AA198)=0))</f>
        <v/>
      </c>
      <c r="AD198" s="19">
        <f>IF(OR(LEN(A198)=0,LEN(C198)=0),0,IF(OR(C198&lt;1,C198&gt;5),1,0))</f>
        <v/>
      </c>
      <c r="AE198" s="19">
        <f>IF(OR(LEN(A198)=0,LEN(R198)=0),0,IF(OR(R198="Active",R198="Paid off",R198="Defaulted",R198="Repossessed",R198="Written off",R198="Restructured"),0,1))</f>
        <v/>
      </c>
      <c r="AF198" s="19">
        <f>IF(A198="",0,IF(N(J198)&gt;N(I198),1,0))</f>
        <v/>
      </c>
      <c r="AG198" s="19">
        <f>IF(A198="",0,IF(N(N198)&gt;N(M198)+1,1,0))</f>
        <v/>
      </c>
      <c r="AH198" s="19">
        <f>IF(A198="",0,IF(N(E198)&gt;N(B198),1,0))</f>
        <v/>
      </c>
      <c r="AI198" s="19">
        <f>IF(A198="",0,IF(AND(Z198="Full payment",N(N198)&lt;N(M198)-1),1,0))</f>
        <v/>
      </c>
      <c r="AJ198" s="19">
        <f>IF(A198="",0,IF(N(P198)&lt;0,1,0))</f>
        <v/>
      </c>
      <c r="AK198" s="19">
        <f>IF(A198="",0,IF(COUNTIF($A$7:$A$1006,A198)&gt;1,1,0))</f>
        <v/>
      </c>
    </row>
    <row r="199">
      <c r="A199" s="10" t="n"/>
      <c r="B199" s="17" t="n"/>
      <c r="C199" s="18" t="n"/>
      <c r="D199" s="10" t="n"/>
      <c r="E199" s="17" t="n"/>
      <c r="F199" s="10" t="n"/>
      <c r="G199" s="10" t="n"/>
      <c r="H199" s="10" t="n"/>
      <c r="I199" s="18" t="n"/>
      <c r="J199" s="18" t="n"/>
      <c r="K199" s="18" t="n"/>
      <c r="L199" s="18" t="n"/>
      <c r="M199" s="19">
        <f>IF(K199="","",K199*365/12*L199)</f>
        <v/>
      </c>
      <c r="N199" s="18" t="n"/>
      <c r="O199" s="18" t="n"/>
      <c r="P199" s="18" t="n"/>
      <c r="Q199" s="18" t="n"/>
      <c r="R199" s="10" t="n"/>
      <c r="S199" s="17" t="n"/>
      <c r="T199" s="18" t="n"/>
      <c r="U199" s="17" t="n"/>
      <c r="V199" s="17" t="n"/>
      <c r="W199" s="18" t="n"/>
      <c r="X199" s="18" t="n"/>
      <c r="Y199" s="17" t="n"/>
      <c r="Z199" s="10" t="n"/>
      <c r="AA199" s="10" t="n"/>
      <c r="AB199" s="19">
        <f>IF(LEN(A199)&gt;0,1,0)</f>
        <v/>
      </c>
      <c r="AC199" s="19">
        <f>IF(LEN(A199)=0,0,(LEN(B199)=0)+(LEN(C199)=0)+(LEN(D199)=0)+(LEN(E199)=0)+(LEN(F199)=0)+(LEN(G199)=0)+(LEN(H199)=0)+(LEN(I199)=0)+(LEN(J199)=0)+(LEN(K199)=0)+(LEN(L199)=0)+(LEN(N199)=0)+(LEN(O199)=0)+(LEN(P199)=0)+(LEN(R199)=0)+(LEN(AA199)=0))</f>
        <v/>
      </c>
      <c r="AD199" s="19">
        <f>IF(OR(LEN(A199)=0,LEN(C199)=0),0,IF(OR(C199&lt;1,C199&gt;5),1,0))</f>
        <v/>
      </c>
      <c r="AE199" s="19">
        <f>IF(OR(LEN(A199)=0,LEN(R199)=0),0,IF(OR(R199="Active",R199="Paid off",R199="Defaulted",R199="Repossessed",R199="Written off",R199="Restructured"),0,1))</f>
        <v/>
      </c>
      <c r="AF199" s="19">
        <f>IF(A199="",0,IF(N(J199)&gt;N(I199),1,0))</f>
        <v/>
      </c>
      <c r="AG199" s="19">
        <f>IF(A199="",0,IF(N(N199)&gt;N(M199)+1,1,0))</f>
        <v/>
      </c>
      <c r="AH199" s="19">
        <f>IF(A199="",0,IF(N(E199)&gt;N(B199),1,0))</f>
        <v/>
      </c>
      <c r="AI199" s="19">
        <f>IF(A199="",0,IF(AND(Z199="Full payment",N(N199)&lt;N(M199)-1),1,0))</f>
        <v/>
      </c>
      <c r="AJ199" s="19">
        <f>IF(A199="",0,IF(N(P199)&lt;0,1,0))</f>
        <v/>
      </c>
      <c r="AK199" s="19">
        <f>IF(A199="",0,IF(COUNTIF($A$7:$A$1006,A199)&gt;1,1,0))</f>
        <v/>
      </c>
    </row>
    <row r="200">
      <c r="A200" s="10" t="n"/>
      <c r="B200" s="17" t="n"/>
      <c r="C200" s="18" t="n"/>
      <c r="D200" s="10" t="n"/>
      <c r="E200" s="17" t="n"/>
      <c r="F200" s="10" t="n"/>
      <c r="G200" s="10" t="n"/>
      <c r="H200" s="10" t="n"/>
      <c r="I200" s="18" t="n"/>
      <c r="J200" s="18" t="n"/>
      <c r="K200" s="18" t="n"/>
      <c r="L200" s="18" t="n"/>
      <c r="M200" s="19">
        <f>IF(K200="","",K200*365/12*L200)</f>
        <v/>
      </c>
      <c r="N200" s="18" t="n"/>
      <c r="O200" s="18" t="n"/>
      <c r="P200" s="18" t="n"/>
      <c r="Q200" s="18" t="n"/>
      <c r="R200" s="10" t="n"/>
      <c r="S200" s="17" t="n"/>
      <c r="T200" s="18" t="n"/>
      <c r="U200" s="17" t="n"/>
      <c r="V200" s="17" t="n"/>
      <c r="W200" s="18" t="n"/>
      <c r="X200" s="18" t="n"/>
      <c r="Y200" s="17" t="n"/>
      <c r="Z200" s="10" t="n"/>
      <c r="AA200" s="10" t="n"/>
      <c r="AB200" s="19">
        <f>IF(LEN(A200)&gt;0,1,0)</f>
        <v/>
      </c>
      <c r="AC200" s="19">
        <f>IF(LEN(A200)=0,0,(LEN(B200)=0)+(LEN(C200)=0)+(LEN(D200)=0)+(LEN(E200)=0)+(LEN(F200)=0)+(LEN(G200)=0)+(LEN(H200)=0)+(LEN(I200)=0)+(LEN(J200)=0)+(LEN(K200)=0)+(LEN(L200)=0)+(LEN(N200)=0)+(LEN(O200)=0)+(LEN(P200)=0)+(LEN(R200)=0)+(LEN(AA200)=0))</f>
        <v/>
      </c>
      <c r="AD200" s="19">
        <f>IF(OR(LEN(A200)=0,LEN(C200)=0),0,IF(OR(C200&lt;1,C200&gt;5),1,0))</f>
        <v/>
      </c>
      <c r="AE200" s="19">
        <f>IF(OR(LEN(A200)=0,LEN(R200)=0),0,IF(OR(R200="Active",R200="Paid off",R200="Defaulted",R200="Repossessed",R200="Written off",R200="Restructured"),0,1))</f>
        <v/>
      </c>
      <c r="AF200" s="19">
        <f>IF(A200="",0,IF(N(J200)&gt;N(I200),1,0))</f>
        <v/>
      </c>
      <c r="AG200" s="19">
        <f>IF(A200="",0,IF(N(N200)&gt;N(M200)+1,1,0))</f>
        <v/>
      </c>
      <c r="AH200" s="19">
        <f>IF(A200="",0,IF(N(E200)&gt;N(B200),1,0))</f>
        <v/>
      </c>
      <c r="AI200" s="19">
        <f>IF(A200="",0,IF(AND(Z200="Full payment",N(N200)&lt;N(M200)-1),1,0))</f>
        <v/>
      </c>
      <c r="AJ200" s="19">
        <f>IF(A200="",0,IF(N(P200)&lt;0,1,0))</f>
        <v/>
      </c>
      <c r="AK200" s="19">
        <f>IF(A200="",0,IF(COUNTIF($A$7:$A$1006,A200)&gt;1,1,0))</f>
        <v/>
      </c>
    </row>
    <row r="201">
      <c r="A201" s="10" t="n"/>
      <c r="B201" s="17" t="n"/>
      <c r="C201" s="18" t="n"/>
      <c r="D201" s="10" t="n"/>
      <c r="E201" s="17" t="n"/>
      <c r="F201" s="10" t="n"/>
      <c r="G201" s="10" t="n"/>
      <c r="H201" s="10" t="n"/>
      <c r="I201" s="18" t="n"/>
      <c r="J201" s="18" t="n"/>
      <c r="K201" s="18" t="n"/>
      <c r="L201" s="18" t="n"/>
      <c r="M201" s="19">
        <f>IF(K201="","",K201*365/12*L201)</f>
        <v/>
      </c>
      <c r="N201" s="18" t="n"/>
      <c r="O201" s="18" t="n"/>
      <c r="P201" s="18" t="n"/>
      <c r="Q201" s="18" t="n"/>
      <c r="R201" s="10" t="n"/>
      <c r="S201" s="17" t="n"/>
      <c r="T201" s="18" t="n"/>
      <c r="U201" s="17" t="n"/>
      <c r="V201" s="17" t="n"/>
      <c r="W201" s="18" t="n"/>
      <c r="X201" s="18" t="n"/>
      <c r="Y201" s="17" t="n"/>
      <c r="Z201" s="10" t="n"/>
      <c r="AA201" s="10" t="n"/>
      <c r="AB201" s="19">
        <f>IF(LEN(A201)&gt;0,1,0)</f>
        <v/>
      </c>
      <c r="AC201" s="19">
        <f>IF(LEN(A201)=0,0,(LEN(B201)=0)+(LEN(C201)=0)+(LEN(D201)=0)+(LEN(E201)=0)+(LEN(F201)=0)+(LEN(G201)=0)+(LEN(H201)=0)+(LEN(I201)=0)+(LEN(J201)=0)+(LEN(K201)=0)+(LEN(L201)=0)+(LEN(N201)=0)+(LEN(O201)=0)+(LEN(P201)=0)+(LEN(R201)=0)+(LEN(AA201)=0))</f>
        <v/>
      </c>
      <c r="AD201" s="19">
        <f>IF(OR(LEN(A201)=0,LEN(C201)=0),0,IF(OR(C201&lt;1,C201&gt;5),1,0))</f>
        <v/>
      </c>
      <c r="AE201" s="19">
        <f>IF(OR(LEN(A201)=0,LEN(R201)=0),0,IF(OR(R201="Active",R201="Paid off",R201="Defaulted",R201="Repossessed",R201="Written off",R201="Restructured"),0,1))</f>
        <v/>
      </c>
      <c r="AF201" s="19">
        <f>IF(A201="",0,IF(N(J201)&gt;N(I201),1,0))</f>
        <v/>
      </c>
      <c r="AG201" s="19">
        <f>IF(A201="",0,IF(N(N201)&gt;N(M201)+1,1,0))</f>
        <v/>
      </c>
      <c r="AH201" s="19">
        <f>IF(A201="",0,IF(N(E201)&gt;N(B201),1,0))</f>
        <v/>
      </c>
      <c r="AI201" s="19">
        <f>IF(A201="",0,IF(AND(Z201="Full payment",N(N201)&lt;N(M201)-1),1,0))</f>
        <v/>
      </c>
      <c r="AJ201" s="19">
        <f>IF(A201="",0,IF(N(P201)&lt;0,1,0))</f>
        <v/>
      </c>
      <c r="AK201" s="19">
        <f>IF(A201="",0,IF(COUNTIF($A$7:$A$1006,A201)&gt;1,1,0))</f>
        <v/>
      </c>
    </row>
    <row r="202">
      <c r="A202" s="10" t="n"/>
      <c r="B202" s="17" t="n"/>
      <c r="C202" s="18" t="n"/>
      <c r="D202" s="10" t="n"/>
      <c r="E202" s="17" t="n"/>
      <c r="F202" s="10" t="n"/>
      <c r="G202" s="10" t="n"/>
      <c r="H202" s="10" t="n"/>
      <c r="I202" s="18" t="n"/>
      <c r="J202" s="18" t="n"/>
      <c r="K202" s="18" t="n"/>
      <c r="L202" s="18" t="n"/>
      <c r="M202" s="19">
        <f>IF(K202="","",K202*365/12*L202)</f>
        <v/>
      </c>
      <c r="N202" s="18" t="n"/>
      <c r="O202" s="18" t="n"/>
      <c r="P202" s="18" t="n"/>
      <c r="Q202" s="18" t="n"/>
      <c r="R202" s="10" t="n"/>
      <c r="S202" s="17" t="n"/>
      <c r="T202" s="18" t="n"/>
      <c r="U202" s="17" t="n"/>
      <c r="V202" s="17" t="n"/>
      <c r="W202" s="18" t="n"/>
      <c r="X202" s="18" t="n"/>
      <c r="Y202" s="17" t="n"/>
      <c r="Z202" s="10" t="n"/>
      <c r="AA202" s="10" t="n"/>
      <c r="AB202" s="19">
        <f>IF(LEN(A202)&gt;0,1,0)</f>
        <v/>
      </c>
      <c r="AC202" s="19">
        <f>IF(LEN(A202)=0,0,(LEN(B202)=0)+(LEN(C202)=0)+(LEN(D202)=0)+(LEN(E202)=0)+(LEN(F202)=0)+(LEN(G202)=0)+(LEN(H202)=0)+(LEN(I202)=0)+(LEN(J202)=0)+(LEN(K202)=0)+(LEN(L202)=0)+(LEN(N202)=0)+(LEN(O202)=0)+(LEN(P202)=0)+(LEN(R202)=0)+(LEN(AA202)=0))</f>
        <v/>
      </c>
      <c r="AD202" s="19">
        <f>IF(OR(LEN(A202)=0,LEN(C202)=0),0,IF(OR(C202&lt;1,C202&gt;5),1,0))</f>
        <v/>
      </c>
      <c r="AE202" s="19">
        <f>IF(OR(LEN(A202)=0,LEN(R202)=0),0,IF(OR(R202="Active",R202="Paid off",R202="Defaulted",R202="Repossessed",R202="Written off",R202="Restructured"),0,1))</f>
        <v/>
      </c>
      <c r="AF202" s="19">
        <f>IF(A202="",0,IF(N(J202)&gt;N(I202),1,0))</f>
        <v/>
      </c>
      <c r="AG202" s="19">
        <f>IF(A202="",0,IF(N(N202)&gt;N(M202)+1,1,0))</f>
        <v/>
      </c>
      <c r="AH202" s="19">
        <f>IF(A202="",0,IF(N(E202)&gt;N(B202),1,0))</f>
        <v/>
      </c>
      <c r="AI202" s="19">
        <f>IF(A202="",0,IF(AND(Z202="Full payment",N(N202)&lt;N(M202)-1),1,0))</f>
        <v/>
      </c>
      <c r="AJ202" s="19">
        <f>IF(A202="",0,IF(N(P202)&lt;0,1,0))</f>
        <v/>
      </c>
      <c r="AK202" s="19">
        <f>IF(A202="",0,IF(COUNTIF($A$7:$A$1006,A202)&gt;1,1,0))</f>
        <v/>
      </c>
    </row>
    <row r="203">
      <c r="A203" s="10" t="n"/>
      <c r="B203" s="17" t="n"/>
      <c r="C203" s="18" t="n"/>
      <c r="D203" s="10" t="n"/>
      <c r="E203" s="17" t="n"/>
      <c r="F203" s="10" t="n"/>
      <c r="G203" s="10" t="n"/>
      <c r="H203" s="10" t="n"/>
      <c r="I203" s="18" t="n"/>
      <c r="J203" s="18" t="n"/>
      <c r="K203" s="18" t="n"/>
      <c r="L203" s="18" t="n"/>
      <c r="M203" s="19">
        <f>IF(K203="","",K203*365/12*L203)</f>
        <v/>
      </c>
      <c r="N203" s="18" t="n"/>
      <c r="O203" s="18" t="n"/>
      <c r="P203" s="18" t="n"/>
      <c r="Q203" s="18" t="n"/>
      <c r="R203" s="10" t="n"/>
      <c r="S203" s="17" t="n"/>
      <c r="T203" s="18" t="n"/>
      <c r="U203" s="17" t="n"/>
      <c r="V203" s="17" t="n"/>
      <c r="W203" s="18" t="n"/>
      <c r="X203" s="18" t="n"/>
      <c r="Y203" s="17" t="n"/>
      <c r="Z203" s="10" t="n"/>
      <c r="AA203" s="10" t="n"/>
      <c r="AB203" s="19">
        <f>IF(LEN(A203)&gt;0,1,0)</f>
        <v/>
      </c>
      <c r="AC203" s="19">
        <f>IF(LEN(A203)=0,0,(LEN(B203)=0)+(LEN(C203)=0)+(LEN(D203)=0)+(LEN(E203)=0)+(LEN(F203)=0)+(LEN(G203)=0)+(LEN(H203)=0)+(LEN(I203)=0)+(LEN(J203)=0)+(LEN(K203)=0)+(LEN(L203)=0)+(LEN(N203)=0)+(LEN(O203)=0)+(LEN(P203)=0)+(LEN(R203)=0)+(LEN(AA203)=0))</f>
        <v/>
      </c>
      <c r="AD203" s="19">
        <f>IF(OR(LEN(A203)=0,LEN(C203)=0),0,IF(OR(C203&lt;1,C203&gt;5),1,0))</f>
        <v/>
      </c>
      <c r="AE203" s="19">
        <f>IF(OR(LEN(A203)=0,LEN(R203)=0),0,IF(OR(R203="Active",R203="Paid off",R203="Defaulted",R203="Repossessed",R203="Written off",R203="Restructured"),0,1))</f>
        <v/>
      </c>
      <c r="AF203" s="19">
        <f>IF(A203="",0,IF(N(J203)&gt;N(I203),1,0))</f>
        <v/>
      </c>
      <c r="AG203" s="19">
        <f>IF(A203="",0,IF(N(N203)&gt;N(M203)+1,1,0))</f>
        <v/>
      </c>
      <c r="AH203" s="19">
        <f>IF(A203="",0,IF(N(E203)&gt;N(B203),1,0))</f>
        <v/>
      </c>
      <c r="AI203" s="19">
        <f>IF(A203="",0,IF(AND(Z203="Full payment",N(N203)&lt;N(M203)-1),1,0))</f>
        <v/>
      </c>
      <c r="AJ203" s="19">
        <f>IF(A203="",0,IF(N(P203)&lt;0,1,0))</f>
        <v/>
      </c>
      <c r="AK203" s="19">
        <f>IF(A203="",0,IF(COUNTIF($A$7:$A$1006,A203)&gt;1,1,0))</f>
        <v/>
      </c>
    </row>
    <row r="204">
      <c r="A204" s="10" t="n"/>
      <c r="B204" s="17" t="n"/>
      <c r="C204" s="18" t="n"/>
      <c r="D204" s="10" t="n"/>
      <c r="E204" s="17" t="n"/>
      <c r="F204" s="10" t="n"/>
      <c r="G204" s="10" t="n"/>
      <c r="H204" s="10" t="n"/>
      <c r="I204" s="18" t="n"/>
      <c r="J204" s="18" t="n"/>
      <c r="K204" s="18" t="n"/>
      <c r="L204" s="18" t="n"/>
      <c r="M204" s="19">
        <f>IF(K204="","",K204*365/12*L204)</f>
        <v/>
      </c>
      <c r="N204" s="18" t="n"/>
      <c r="O204" s="18" t="n"/>
      <c r="P204" s="18" t="n"/>
      <c r="Q204" s="18" t="n"/>
      <c r="R204" s="10" t="n"/>
      <c r="S204" s="17" t="n"/>
      <c r="T204" s="18" t="n"/>
      <c r="U204" s="17" t="n"/>
      <c r="V204" s="17" t="n"/>
      <c r="W204" s="18" t="n"/>
      <c r="X204" s="18" t="n"/>
      <c r="Y204" s="17" t="n"/>
      <c r="Z204" s="10" t="n"/>
      <c r="AA204" s="10" t="n"/>
      <c r="AB204" s="19">
        <f>IF(LEN(A204)&gt;0,1,0)</f>
        <v/>
      </c>
      <c r="AC204" s="19">
        <f>IF(LEN(A204)=0,0,(LEN(B204)=0)+(LEN(C204)=0)+(LEN(D204)=0)+(LEN(E204)=0)+(LEN(F204)=0)+(LEN(G204)=0)+(LEN(H204)=0)+(LEN(I204)=0)+(LEN(J204)=0)+(LEN(K204)=0)+(LEN(L204)=0)+(LEN(N204)=0)+(LEN(O204)=0)+(LEN(P204)=0)+(LEN(R204)=0)+(LEN(AA204)=0))</f>
        <v/>
      </c>
      <c r="AD204" s="19">
        <f>IF(OR(LEN(A204)=0,LEN(C204)=0),0,IF(OR(C204&lt;1,C204&gt;5),1,0))</f>
        <v/>
      </c>
      <c r="AE204" s="19">
        <f>IF(OR(LEN(A204)=0,LEN(R204)=0),0,IF(OR(R204="Active",R204="Paid off",R204="Defaulted",R204="Repossessed",R204="Written off",R204="Restructured"),0,1))</f>
        <v/>
      </c>
      <c r="AF204" s="19">
        <f>IF(A204="",0,IF(N(J204)&gt;N(I204),1,0))</f>
        <v/>
      </c>
      <c r="AG204" s="19">
        <f>IF(A204="",0,IF(N(N204)&gt;N(M204)+1,1,0))</f>
        <v/>
      </c>
      <c r="AH204" s="19">
        <f>IF(A204="",0,IF(N(E204)&gt;N(B204),1,0))</f>
        <v/>
      </c>
      <c r="AI204" s="19">
        <f>IF(A204="",0,IF(AND(Z204="Full payment",N(N204)&lt;N(M204)-1),1,0))</f>
        <v/>
      </c>
      <c r="AJ204" s="19">
        <f>IF(A204="",0,IF(N(P204)&lt;0,1,0))</f>
        <v/>
      </c>
      <c r="AK204" s="19">
        <f>IF(A204="",0,IF(COUNTIF($A$7:$A$1006,A204)&gt;1,1,0))</f>
        <v/>
      </c>
    </row>
    <row r="205">
      <c r="A205" s="10" t="n"/>
      <c r="B205" s="17" t="n"/>
      <c r="C205" s="18" t="n"/>
      <c r="D205" s="10" t="n"/>
      <c r="E205" s="17" t="n"/>
      <c r="F205" s="10" t="n"/>
      <c r="G205" s="10" t="n"/>
      <c r="H205" s="10" t="n"/>
      <c r="I205" s="18" t="n"/>
      <c r="J205" s="18" t="n"/>
      <c r="K205" s="18" t="n"/>
      <c r="L205" s="18" t="n"/>
      <c r="M205" s="19">
        <f>IF(K205="","",K205*365/12*L205)</f>
        <v/>
      </c>
      <c r="N205" s="18" t="n"/>
      <c r="O205" s="18" t="n"/>
      <c r="P205" s="18" t="n"/>
      <c r="Q205" s="18" t="n"/>
      <c r="R205" s="10" t="n"/>
      <c r="S205" s="17" t="n"/>
      <c r="T205" s="18" t="n"/>
      <c r="U205" s="17" t="n"/>
      <c r="V205" s="17" t="n"/>
      <c r="W205" s="18" t="n"/>
      <c r="X205" s="18" t="n"/>
      <c r="Y205" s="17" t="n"/>
      <c r="Z205" s="10" t="n"/>
      <c r="AA205" s="10" t="n"/>
      <c r="AB205" s="19">
        <f>IF(LEN(A205)&gt;0,1,0)</f>
        <v/>
      </c>
      <c r="AC205" s="19">
        <f>IF(LEN(A205)=0,0,(LEN(B205)=0)+(LEN(C205)=0)+(LEN(D205)=0)+(LEN(E205)=0)+(LEN(F205)=0)+(LEN(G205)=0)+(LEN(H205)=0)+(LEN(I205)=0)+(LEN(J205)=0)+(LEN(K205)=0)+(LEN(L205)=0)+(LEN(N205)=0)+(LEN(O205)=0)+(LEN(P205)=0)+(LEN(R205)=0)+(LEN(AA205)=0))</f>
        <v/>
      </c>
      <c r="AD205" s="19">
        <f>IF(OR(LEN(A205)=0,LEN(C205)=0),0,IF(OR(C205&lt;1,C205&gt;5),1,0))</f>
        <v/>
      </c>
      <c r="AE205" s="19">
        <f>IF(OR(LEN(A205)=0,LEN(R205)=0),0,IF(OR(R205="Active",R205="Paid off",R205="Defaulted",R205="Repossessed",R205="Written off",R205="Restructured"),0,1))</f>
        <v/>
      </c>
      <c r="AF205" s="19">
        <f>IF(A205="",0,IF(N(J205)&gt;N(I205),1,0))</f>
        <v/>
      </c>
      <c r="AG205" s="19">
        <f>IF(A205="",0,IF(N(N205)&gt;N(M205)+1,1,0))</f>
        <v/>
      </c>
      <c r="AH205" s="19">
        <f>IF(A205="",0,IF(N(E205)&gt;N(B205),1,0))</f>
        <v/>
      </c>
      <c r="AI205" s="19">
        <f>IF(A205="",0,IF(AND(Z205="Full payment",N(N205)&lt;N(M205)-1),1,0))</f>
        <v/>
      </c>
      <c r="AJ205" s="19">
        <f>IF(A205="",0,IF(N(P205)&lt;0,1,0))</f>
        <v/>
      </c>
      <c r="AK205" s="19">
        <f>IF(A205="",0,IF(COUNTIF($A$7:$A$1006,A205)&gt;1,1,0))</f>
        <v/>
      </c>
    </row>
    <row r="206">
      <c r="A206" s="10" t="n"/>
      <c r="B206" s="17" t="n"/>
      <c r="C206" s="18" t="n"/>
      <c r="D206" s="10" t="n"/>
      <c r="E206" s="17" t="n"/>
      <c r="F206" s="10" t="n"/>
      <c r="G206" s="10" t="n"/>
      <c r="H206" s="10" t="n"/>
      <c r="I206" s="18" t="n"/>
      <c r="J206" s="18" t="n"/>
      <c r="K206" s="18" t="n"/>
      <c r="L206" s="18" t="n"/>
      <c r="M206" s="19">
        <f>IF(K206="","",K206*365/12*L206)</f>
        <v/>
      </c>
      <c r="N206" s="18" t="n"/>
      <c r="O206" s="18" t="n"/>
      <c r="P206" s="18" t="n"/>
      <c r="Q206" s="18" t="n"/>
      <c r="R206" s="10" t="n"/>
      <c r="S206" s="17" t="n"/>
      <c r="T206" s="18" t="n"/>
      <c r="U206" s="17" t="n"/>
      <c r="V206" s="17" t="n"/>
      <c r="W206" s="18" t="n"/>
      <c r="X206" s="18" t="n"/>
      <c r="Y206" s="17" t="n"/>
      <c r="Z206" s="10" t="n"/>
      <c r="AA206" s="10" t="n"/>
      <c r="AB206" s="19">
        <f>IF(LEN(A206)&gt;0,1,0)</f>
        <v/>
      </c>
      <c r="AC206" s="19">
        <f>IF(LEN(A206)=0,0,(LEN(B206)=0)+(LEN(C206)=0)+(LEN(D206)=0)+(LEN(E206)=0)+(LEN(F206)=0)+(LEN(G206)=0)+(LEN(H206)=0)+(LEN(I206)=0)+(LEN(J206)=0)+(LEN(K206)=0)+(LEN(L206)=0)+(LEN(N206)=0)+(LEN(O206)=0)+(LEN(P206)=0)+(LEN(R206)=0)+(LEN(AA206)=0))</f>
        <v/>
      </c>
      <c r="AD206" s="19">
        <f>IF(OR(LEN(A206)=0,LEN(C206)=0),0,IF(OR(C206&lt;1,C206&gt;5),1,0))</f>
        <v/>
      </c>
      <c r="AE206" s="19">
        <f>IF(OR(LEN(A206)=0,LEN(R206)=0),0,IF(OR(R206="Active",R206="Paid off",R206="Defaulted",R206="Repossessed",R206="Written off",R206="Restructured"),0,1))</f>
        <v/>
      </c>
      <c r="AF206" s="19">
        <f>IF(A206="",0,IF(N(J206)&gt;N(I206),1,0))</f>
        <v/>
      </c>
      <c r="AG206" s="19">
        <f>IF(A206="",0,IF(N(N206)&gt;N(M206)+1,1,0))</f>
        <v/>
      </c>
      <c r="AH206" s="19">
        <f>IF(A206="",0,IF(N(E206)&gt;N(B206),1,0))</f>
        <v/>
      </c>
      <c r="AI206" s="19">
        <f>IF(A206="",0,IF(AND(Z206="Full payment",N(N206)&lt;N(M206)-1),1,0))</f>
        <v/>
      </c>
      <c r="AJ206" s="19">
        <f>IF(A206="",0,IF(N(P206)&lt;0,1,0))</f>
        <v/>
      </c>
      <c r="AK206" s="19">
        <f>IF(A206="",0,IF(COUNTIF($A$7:$A$1006,A206)&gt;1,1,0))</f>
        <v/>
      </c>
    </row>
    <row r="207">
      <c r="A207" s="10" t="n"/>
      <c r="B207" s="17" t="n"/>
      <c r="C207" s="18" t="n"/>
      <c r="D207" s="10" t="n"/>
      <c r="E207" s="17" t="n"/>
      <c r="F207" s="10" t="n"/>
      <c r="G207" s="10" t="n"/>
      <c r="H207" s="10" t="n"/>
      <c r="I207" s="18" t="n"/>
      <c r="J207" s="18" t="n"/>
      <c r="K207" s="18" t="n"/>
      <c r="L207" s="18" t="n"/>
      <c r="M207" s="19">
        <f>IF(K207="","",K207*365/12*L207)</f>
        <v/>
      </c>
      <c r="N207" s="18" t="n"/>
      <c r="O207" s="18" t="n"/>
      <c r="P207" s="18" t="n"/>
      <c r="Q207" s="18" t="n"/>
      <c r="R207" s="10" t="n"/>
      <c r="S207" s="17" t="n"/>
      <c r="T207" s="18" t="n"/>
      <c r="U207" s="17" t="n"/>
      <c r="V207" s="17" t="n"/>
      <c r="W207" s="18" t="n"/>
      <c r="X207" s="18" t="n"/>
      <c r="Y207" s="17" t="n"/>
      <c r="Z207" s="10" t="n"/>
      <c r="AA207" s="10" t="n"/>
      <c r="AB207" s="19">
        <f>IF(LEN(A207)&gt;0,1,0)</f>
        <v/>
      </c>
      <c r="AC207" s="19">
        <f>IF(LEN(A207)=0,0,(LEN(B207)=0)+(LEN(C207)=0)+(LEN(D207)=0)+(LEN(E207)=0)+(LEN(F207)=0)+(LEN(G207)=0)+(LEN(H207)=0)+(LEN(I207)=0)+(LEN(J207)=0)+(LEN(K207)=0)+(LEN(L207)=0)+(LEN(N207)=0)+(LEN(O207)=0)+(LEN(P207)=0)+(LEN(R207)=0)+(LEN(AA207)=0))</f>
        <v/>
      </c>
      <c r="AD207" s="19">
        <f>IF(OR(LEN(A207)=0,LEN(C207)=0),0,IF(OR(C207&lt;1,C207&gt;5),1,0))</f>
        <v/>
      </c>
      <c r="AE207" s="19">
        <f>IF(OR(LEN(A207)=0,LEN(R207)=0),0,IF(OR(R207="Active",R207="Paid off",R207="Defaulted",R207="Repossessed",R207="Written off",R207="Restructured"),0,1))</f>
        <v/>
      </c>
      <c r="AF207" s="19">
        <f>IF(A207="",0,IF(N(J207)&gt;N(I207),1,0))</f>
        <v/>
      </c>
      <c r="AG207" s="19">
        <f>IF(A207="",0,IF(N(N207)&gt;N(M207)+1,1,0))</f>
        <v/>
      </c>
      <c r="AH207" s="19">
        <f>IF(A207="",0,IF(N(E207)&gt;N(B207),1,0))</f>
        <v/>
      </c>
      <c r="AI207" s="19">
        <f>IF(A207="",0,IF(AND(Z207="Full payment",N(N207)&lt;N(M207)-1),1,0))</f>
        <v/>
      </c>
      <c r="AJ207" s="19">
        <f>IF(A207="",0,IF(N(P207)&lt;0,1,0))</f>
        <v/>
      </c>
      <c r="AK207" s="19">
        <f>IF(A207="",0,IF(COUNTIF($A$7:$A$1006,A207)&gt;1,1,0))</f>
        <v/>
      </c>
    </row>
    <row r="208">
      <c r="A208" s="10" t="n"/>
      <c r="B208" s="17" t="n"/>
      <c r="C208" s="18" t="n"/>
      <c r="D208" s="10" t="n"/>
      <c r="E208" s="17" t="n"/>
      <c r="F208" s="10" t="n"/>
      <c r="G208" s="10" t="n"/>
      <c r="H208" s="10" t="n"/>
      <c r="I208" s="18" t="n"/>
      <c r="J208" s="18" t="n"/>
      <c r="K208" s="18" t="n"/>
      <c r="L208" s="18" t="n"/>
      <c r="M208" s="19">
        <f>IF(K208="","",K208*365/12*L208)</f>
        <v/>
      </c>
      <c r="N208" s="18" t="n"/>
      <c r="O208" s="18" t="n"/>
      <c r="P208" s="18" t="n"/>
      <c r="Q208" s="18" t="n"/>
      <c r="R208" s="10" t="n"/>
      <c r="S208" s="17" t="n"/>
      <c r="T208" s="18" t="n"/>
      <c r="U208" s="17" t="n"/>
      <c r="V208" s="17" t="n"/>
      <c r="W208" s="18" t="n"/>
      <c r="X208" s="18" t="n"/>
      <c r="Y208" s="17" t="n"/>
      <c r="Z208" s="10" t="n"/>
      <c r="AA208" s="10" t="n"/>
      <c r="AB208" s="19">
        <f>IF(LEN(A208)&gt;0,1,0)</f>
        <v/>
      </c>
      <c r="AC208" s="19">
        <f>IF(LEN(A208)=0,0,(LEN(B208)=0)+(LEN(C208)=0)+(LEN(D208)=0)+(LEN(E208)=0)+(LEN(F208)=0)+(LEN(G208)=0)+(LEN(H208)=0)+(LEN(I208)=0)+(LEN(J208)=0)+(LEN(K208)=0)+(LEN(L208)=0)+(LEN(N208)=0)+(LEN(O208)=0)+(LEN(P208)=0)+(LEN(R208)=0)+(LEN(AA208)=0))</f>
        <v/>
      </c>
      <c r="AD208" s="19">
        <f>IF(OR(LEN(A208)=0,LEN(C208)=0),0,IF(OR(C208&lt;1,C208&gt;5),1,0))</f>
        <v/>
      </c>
      <c r="AE208" s="19">
        <f>IF(OR(LEN(A208)=0,LEN(R208)=0),0,IF(OR(R208="Active",R208="Paid off",R208="Defaulted",R208="Repossessed",R208="Written off",R208="Restructured"),0,1))</f>
        <v/>
      </c>
      <c r="AF208" s="19">
        <f>IF(A208="",0,IF(N(J208)&gt;N(I208),1,0))</f>
        <v/>
      </c>
      <c r="AG208" s="19">
        <f>IF(A208="",0,IF(N(N208)&gt;N(M208)+1,1,0))</f>
        <v/>
      </c>
      <c r="AH208" s="19">
        <f>IF(A208="",0,IF(N(E208)&gt;N(B208),1,0))</f>
        <v/>
      </c>
      <c r="AI208" s="19">
        <f>IF(A208="",0,IF(AND(Z208="Full payment",N(N208)&lt;N(M208)-1),1,0))</f>
        <v/>
      </c>
      <c r="AJ208" s="19">
        <f>IF(A208="",0,IF(N(P208)&lt;0,1,0))</f>
        <v/>
      </c>
      <c r="AK208" s="19">
        <f>IF(A208="",0,IF(COUNTIF($A$7:$A$1006,A208)&gt;1,1,0))</f>
        <v/>
      </c>
    </row>
    <row r="209">
      <c r="A209" s="10" t="n"/>
      <c r="B209" s="17" t="n"/>
      <c r="C209" s="18" t="n"/>
      <c r="D209" s="10" t="n"/>
      <c r="E209" s="17" t="n"/>
      <c r="F209" s="10" t="n"/>
      <c r="G209" s="10" t="n"/>
      <c r="H209" s="10" t="n"/>
      <c r="I209" s="18" t="n"/>
      <c r="J209" s="18" t="n"/>
      <c r="K209" s="18" t="n"/>
      <c r="L209" s="18" t="n"/>
      <c r="M209" s="19">
        <f>IF(K209="","",K209*365/12*L209)</f>
        <v/>
      </c>
      <c r="N209" s="18" t="n"/>
      <c r="O209" s="18" t="n"/>
      <c r="P209" s="18" t="n"/>
      <c r="Q209" s="18" t="n"/>
      <c r="R209" s="10" t="n"/>
      <c r="S209" s="17" t="n"/>
      <c r="T209" s="18" t="n"/>
      <c r="U209" s="17" t="n"/>
      <c r="V209" s="17" t="n"/>
      <c r="W209" s="18" t="n"/>
      <c r="X209" s="18" t="n"/>
      <c r="Y209" s="17" t="n"/>
      <c r="Z209" s="10" t="n"/>
      <c r="AA209" s="10" t="n"/>
      <c r="AB209" s="19">
        <f>IF(LEN(A209)&gt;0,1,0)</f>
        <v/>
      </c>
      <c r="AC209" s="19">
        <f>IF(LEN(A209)=0,0,(LEN(B209)=0)+(LEN(C209)=0)+(LEN(D209)=0)+(LEN(E209)=0)+(LEN(F209)=0)+(LEN(G209)=0)+(LEN(H209)=0)+(LEN(I209)=0)+(LEN(J209)=0)+(LEN(K209)=0)+(LEN(L209)=0)+(LEN(N209)=0)+(LEN(O209)=0)+(LEN(P209)=0)+(LEN(R209)=0)+(LEN(AA209)=0))</f>
        <v/>
      </c>
      <c r="AD209" s="19">
        <f>IF(OR(LEN(A209)=0,LEN(C209)=0),0,IF(OR(C209&lt;1,C209&gt;5),1,0))</f>
        <v/>
      </c>
      <c r="AE209" s="19">
        <f>IF(OR(LEN(A209)=0,LEN(R209)=0),0,IF(OR(R209="Active",R209="Paid off",R209="Defaulted",R209="Repossessed",R209="Written off",R209="Restructured"),0,1))</f>
        <v/>
      </c>
      <c r="AF209" s="19">
        <f>IF(A209="",0,IF(N(J209)&gt;N(I209),1,0))</f>
        <v/>
      </c>
      <c r="AG209" s="19">
        <f>IF(A209="",0,IF(N(N209)&gt;N(M209)+1,1,0))</f>
        <v/>
      </c>
      <c r="AH209" s="19">
        <f>IF(A209="",0,IF(N(E209)&gt;N(B209),1,0))</f>
        <v/>
      </c>
      <c r="AI209" s="19">
        <f>IF(A209="",0,IF(AND(Z209="Full payment",N(N209)&lt;N(M209)-1),1,0))</f>
        <v/>
      </c>
      <c r="AJ209" s="19">
        <f>IF(A209="",0,IF(N(P209)&lt;0,1,0))</f>
        <v/>
      </c>
      <c r="AK209" s="19">
        <f>IF(A209="",0,IF(COUNTIF($A$7:$A$1006,A209)&gt;1,1,0))</f>
        <v/>
      </c>
    </row>
    <row r="210">
      <c r="A210" s="10" t="n"/>
      <c r="B210" s="17" t="n"/>
      <c r="C210" s="18" t="n"/>
      <c r="D210" s="10" t="n"/>
      <c r="E210" s="17" t="n"/>
      <c r="F210" s="10" t="n"/>
      <c r="G210" s="10" t="n"/>
      <c r="H210" s="10" t="n"/>
      <c r="I210" s="18" t="n"/>
      <c r="J210" s="18" t="n"/>
      <c r="K210" s="18" t="n"/>
      <c r="L210" s="18" t="n"/>
      <c r="M210" s="19">
        <f>IF(K210="","",K210*365/12*L210)</f>
        <v/>
      </c>
      <c r="N210" s="18" t="n"/>
      <c r="O210" s="18" t="n"/>
      <c r="P210" s="18" t="n"/>
      <c r="Q210" s="18" t="n"/>
      <c r="R210" s="10" t="n"/>
      <c r="S210" s="17" t="n"/>
      <c r="T210" s="18" t="n"/>
      <c r="U210" s="17" t="n"/>
      <c r="V210" s="17" t="n"/>
      <c r="W210" s="18" t="n"/>
      <c r="X210" s="18" t="n"/>
      <c r="Y210" s="17" t="n"/>
      <c r="Z210" s="10" t="n"/>
      <c r="AA210" s="10" t="n"/>
      <c r="AB210" s="19">
        <f>IF(LEN(A210)&gt;0,1,0)</f>
        <v/>
      </c>
      <c r="AC210" s="19">
        <f>IF(LEN(A210)=0,0,(LEN(B210)=0)+(LEN(C210)=0)+(LEN(D210)=0)+(LEN(E210)=0)+(LEN(F210)=0)+(LEN(G210)=0)+(LEN(H210)=0)+(LEN(I210)=0)+(LEN(J210)=0)+(LEN(K210)=0)+(LEN(L210)=0)+(LEN(N210)=0)+(LEN(O210)=0)+(LEN(P210)=0)+(LEN(R210)=0)+(LEN(AA210)=0))</f>
        <v/>
      </c>
      <c r="AD210" s="19">
        <f>IF(OR(LEN(A210)=0,LEN(C210)=0),0,IF(OR(C210&lt;1,C210&gt;5),1,0))</f>
        <v/>
      </c>
      <c r="AE210" s="19">
        <f>IF(OR(LEN(A210)=0,LEN(R210)=0),0,IF(OR(R210="Active",R210="Paid off",R210="Defaulted",R210="Repossessed",R210="Written off",R210="Restructured"),0,1))</f>
        <v/>
      </c>
      <c r="AF210" s="19">
        <f>IF(A210="",0,IF(N(J210)&gt;N(I210),1,0))</f>
        <v/>
      </c>
      <c r="AG210" s="19">
        <f>IF(A210="",0,IF(N(N210)&gt;N(M210)+1,1,0))</f>
        <v/>
      </c>
      <c r="AH210" s="19">
        <f>IF(A210="",0,IF(N(E210)&gt;N(B210),1,0))</f>
        <v/>
      </c>
      <c r="AI210" s="19">
        <f>IF(A210="",0,IF(AND(Z210="Full payment",N(N210)&lt;N(M210)-1),1,0))</f>
        <v/>
      </c>
      <c r="AJ210" s="19">
        <f>IF(A210="",0,IF(N(P210)&lt;0,1,0))</f>
        <v/>
      </c>
      <c r="AK210" s="19">
        <f>IF(A210="",0,IF(COUNTIF($A$7:$A$1006,A210)&gt;1,1,0))</f>
        <v/>
      </c>
    </row>
    <row r="211">
      <c r="A211" s="10" t="n"/>
      <c r="B211" s="17" t="n"/>
      <c r="C211" s="18" t="n"/>
      <c r="D211" s="10" t="n"/>
      <c r="E211" s="17" t="n"/>
      <c r="F211" s="10" t="n"/>
      <c r="G211" s="10" t="n"/>
      <c r="H211" s="10" t="n"/>
      <c r="I211" s="18" t="n"/>
      <c r="J211" s="18" t="n"/>
      <c r="K211" s="18" t="n"/>
      <c r="L211" s="18" t="n"/>
      <c r="M211" s="19">
        <f>IF(K211="","",K211*365/12*L211)</f>
        <v/>
      </c>
      <c r="N211" s="18" t="n"/>
      <c r="O211" s="18" t="n"/>
      <c r="P211" s="18" t="n"/>
      <c r="Q211" s="18" t="n"/>
      <c r="R211" s="10" t="n"/>
      <c r="S211" s="17" t="n"/>
      <c r="T211" s="18" t="n"/>
      <c r="U211" s="17" t="n"/>
      <c r="V211" s="17" t="n"/>
      <c r="W211" s="18" t="n"/>
      <c r="X211" s="18" t="n"/>
      <c r="Y211" s="17" t="n"/>
      <c r="Z211" s="10" t="n"/>
      <c r="AA211" s="10" t="n"/>
      <c r="AB211" s="19">
        <f>IF(LEN(A211)&gt;0,1,0)</f>
        <v/>
      </c>
      <c r="AC211" s="19">
        <f>IF(LEN(A211)=0,0,(LEN(B211)=0)+(LEN(C211)=0)+(LEN(D211)=0)+(LEN(E211)=0)+(LEN(F211)=0)+(LEN(G211)=0)+(LEN(H211)=0)+(LEN(I211)=0)+(LEN(J211)=0)+(LEN(K211)=0)+(LEN(L211)=0)+(LEN(N211)=0)+(LEN(O211)=0)+(LEN(P211)=0)+(LEN(R211)=0)+(LEN(AA211)=0))</f>
        <v/>
      </c>
      <c r="AD211" s="19">
        <f>IF(OR(LEN(A211)=0,LEN(C211)=0),0,IF(OR(C211&lt;1,C211&gt;5),1,0))</f>
        <v/>
      </c>
      <c r="AE211" s="19">
        <f>IF(OR(LEN(A211)=0,LEN(R211)=0),0,IF(OR(R211="Active",R211="Paid off",R211="Defaulted",R211="Repossessed",R211="Written off",R211="Restructured"),0,1))</f>
        <v/>
      </c>
      <c r="AF211" s="19">
        <f>IF(A211="",0,IF(N(J211)&gt;N(I211),1,0))</f>
        <v/>
      </c>
      <c r="AG211" s="19">
        <f>IF(A211="",0,IF(N(N211)&gt;N(M211)+1,1,0))</f>
        <v/>
      </c>
      <c r="AH211" s="19">
        <f>IF(A211="",0,IF(N(E211)&gt;N(B211),1,0))</f>
        <v/>
      </c>
      <c r="AI211" s="19">
        <f>IF(A211="",0,IF(AND(Z211="Full payment",N(N211)&lt;N(M211)-1),1,0))</f>
        <v/>
      </c>
      <c r="AJ211" s="19">
        <f>IF(A211="",0,IF(N(P211)&lt;0,1,0))</f>
        <v/>
      </c>
      <c r="AK211" s="19">
        <f>IF(A211="",0,IF(COUNTIF($A$7:$A$1006,A211)&gt;1,1,0))</f>
        <v/>
      </c>
    </row>
    <row r="212">
      <c r="A212" s="10" t="n"/>
      <c r="B212" s="17" t="n"/>
      <c r="C212" s="18" t="n"/>
      <c r="D212" s="10" t="n"/>
      <c r="E212" s="17" t="n"/>
      <c r="F212" s="10" t="n"/>
      <c r="G212" s="10" t="n"/>
      <c r="H212" s="10" t="n"/>
      <c r="I212" s="18" t="n"/>
      <c r="J212" s="18" t="n"/>
      <c r="K212" s="18" t="n"/>
      <c r="L212" s="18" t="n"/>
      <c r="M212" s="19">
        <f>IF(K212="","",K212*365/12*L212)</f>
        <v/>
      </c>
      <c r="N212" s="18" t="n"/>
      <c r="O212" s="18" t="n"/>
      <c r="P212" s="18" t="n"/>
      <c r="Q212" s="18" t="n"/>
      <c r="R212" s="10" t="n"/>
      <c r="S212" s="17" t="n"/>
      <c r="T212" s="18" t="n"/>
      <c r="U212" s="17" t="n"/>
      <c r="V212" s="17" t="n"/>
      <c r="W212" s="18" t="n"/>
      <c r="X212" s="18" t="n"/>
      <c r="Y212" s="17" t="n"/>
      <c r="Z212" s="10" t="n"/>
      <c r="AA212" s="10" t="n"/>
      <c r="AB212" s="19">
        <f>IF(LEN(A212)&gt;0,1,0)</f>
        <v/>
      </c>
      <c r="AC212" s="19">
        <f>IF(LEN(A212)=0,0,(LEN(B212)=0)+(LEN(C212)=0)+(LEN(D212)=0)+(LEN(E212)=0)+(LEN(F212)=0)+(LEN(G212)=0)+(LEN(H212)=0)+(LEN(I212)=0)+(LEN(J212)=0)+(LEN(K212)=0)+(LEN(L212)=0)+(LEN(N212)=0)+(LEN(O212)=0)+(LEN(P212)=0)+(LEN(R212)=0)+(LEN(AA212)=0))</f>
        <v/>
      </c>
      <c r="AD212" s="19">
        <f>IF(OR(LEN(A212)=0,LEN(C212)=0),0,IF(OR(C212&lt;1,C212&gt;5),1,0))</f>
        <v/>
      </c>
      <c r="AE212" s="19">
        <f>IF(OR(LEN(A212)=0,LEN(R212)=0),0,IF(OR(R212="Active",R212="Paid off",R212="Defaulted",R212="Repossessed",R212="Written off",R212="Restructured"),0,1))</f>
        <v/>
      </c>
      <c r="AF212" s="19">
        <f>IF(A212="",0,IF(N(J212)&gt;N(I212),1,0))</f>
        <v/>
      </c>
      <c r="AG212" s="19">
        <f>IF(A212="",0,IF(N(N212)&gt;N(M212)+1,1,0))</f>
        <v/>
      </c>
      <c r="AH212" s="19">
        <f>IF(A212="",0,IF(N(E212)&gt;N(B212),1,0))</f>
        <v/>
      </c>
      <c r="AI212" s="19">
        <f>IF(A212="",0,IF(AND(Z212="Full payment",N(N212)&lt;N(M212)-1),1,0))</f>
        <v/>
      </c>
      <c r="AJ212" s="19">
        <f>IF(A212="",0,IF(N(P212)&lt;0,1,0))</f>
        <v/>
      </c>
      <c r="AK212" s="19">
        <f>IF(A212="",0,IF(COUNTIF($A$7:$A$1006,A212)&gt;1,1,0))</f>
        <v/>
      </c>
    </row>
    <row r="213">
      <c r="A213" s="10" t="n"/>
      <c r="B213" s="17" t="n"/>
      <c r="C213" s="18" t="n"/>
      <c r="D213" s="10" t="n"/>
      <c r="E213" s="17" t="n"/>
      <c r="F213" s="10" t="n"/>
      <c r="G213" s="10" t="n"/>
      <c r="H213" s="10" t="n"/>
      <c r="I213" s="18" t="n"/>
      <c r="J213" s="18" t="n"/>
      <c r="K213" s="18" t="n"/>
      <c r="L213" s="18" t="n"/>
      <c r="M213" s="19">
        <f>IF(K213="","",K213*365/12*L213)</f>
        <v/>
      </c>
      <c r="N213" s="18" t="n"/>
      <c r="O213" s="18" t="n"/>
      <c r="P213" s="18" t="n"/>
      <c r="Q213" s="18" t="n"/>
      <c r="R213" s="10" t="n"/>
      <c r="S213" s="17" t="n"/>
      <c r="T213" s="18" t="n"/>
      <c r="U213" s="17" t="n"/>
      <c r="V213" s="17" t="n"/>
      <c r="W213" s="18" t="n"/>
      <c r="X213" s="18" t="n"/>
      <c r="Y213" s="17" t="n"/>
      <c r="Z213" s="10" t="n"/>
      <c r="AA213" s="10" t="n"/>
      <c r="AB213" s="19">
        <f>IF(LEN(A213)&gt;0,1,0)</f>
        <v/>
      </c>
      <c r="AC213" s="19">
        <f>IF(LEN(A213)=0,0,(LEN(B213)=0)+(LEN(C213)=0)+(LEN(D213)=0)+(LEN(E213)=0)+(LEN(F213)=0)+(LEN(G213)=0)+(LEN(H213)=0)+(LEN(I213)=0)+(LEN(J213)=0)+(LEN(K213)=0)+(LEN(L213)=0)+(LEN(N213)=0)+(LEN(O213)=0)+(LEN(P213)=0)+(LEN(R213)=0)+(LEN(AA213)=0))</f>
        <v/>
      </c>
      <c r="AD213" s="19">
        <f>IF(OR(LEN(A213)=0,LEN(C213)=0),0,IF(OR(C213&lt;1,C213&gt;5),1,0))</f>
        <v/>
      </c>
      <c r="AE213" s="19">
        <f>IF(OR(LEN(A213)=0,LEN(R213)=0),0,IF(OR(R213="Active",R213="Paid off",R213="Defaulted",R213="Repossessed",R213="Written off",R213="Restructured"),0,1))</f>
        <v/>
      </c>
      <c r="AF213" s="19">
        <f>IF(A213="",0,IF(N(J213)&gt;N(I213),1,0))</f>
        <v/>
      </c>
      <c r="AG213" s="19">
        <f>IF(A213="",0,IF(N(N213)&gt;N(M213)+1,1,0))</f>
        <v/>
      </c>
      <c r="AH213" s="19">
        <f>IF(A213="",0,IF(N(E213)&gt;N(B213),1,0))</f>
        <v/>
      </c>
      <c r="AI213" s="19">
        <f>IF(A213="",0,IF(AND(Z213="Full payment",N(N213)&lt;N(M213)-1),1,0))</f>
        <v/>
      </c>
      <c r="AJ213" s="19">
        <f>IF(A213="",0,IF(N(P213)&lt;0,1,0))</f>
        <v/>
      </c>
      <c r="AK213" s="19">
        <f>IF(A213="",0,IF(COUNTIF($A$7:$A$1006,A213)&gt;1,1,0))</f>
        <v/>
      </c>
    </row>
    <row r="214">
      <c r="A214" s="10" t="n"/>
      <c r="B214" s="17" t="n"/>
      <c r="C214" s="18" t="n"/>
      <c r="D214" s="10" t="n"/>
      <c r="E214" s="17" t="n"/>
      <c r="F214" s="10" t="n"/>
      <c r="G214" s="10" t="n"/>
      <c r="H214" s="10" t="n"/>
      <c r="I214" s="18" t="n"/>
      <c r="J214" s="18" t="n"/>
      <c r="K214" s="18" t="n"/>
      <c r="L214" s="18" t="n"/>
      <c r="M214" s="19">
        <f>IF(K214="","",K214*365/12*L214)</f>
        <v/>
      </c>
      <c r="N214" s="18" t="n"/>
      <c r="O214" s="18" t="n"/>
      <c r="P214" s="18" t="n"/>
      <c r="Q214" s="18" t="n"/>
      <c r="R214" s="10" t="n"/>
      <c r="S214" s="17" t="n"/>
      <c r="T214" s="18" t="n"/>
      <c r="U214" s="17" t="n"/>
      <c r="V214" s="17" t="n"/>
      <c r="W214" s="18" t="n"/>
      <c r="X214" s="18" t="n"/>
      <c r="Y214" s="17" t="n"/>
      <c r="Z214" s="10" t="n"/>
      <c r="AA214" s="10" t="n"/>
      <c r="AB214" s="19">
        <f>IF(LEN(A214)&gt;0,1,0)</f>
        <v/>
      </c>
      <c r="AC214" s="19">
        <f>IF(LEN(A214)=0,0,(LEN(B214)=0)+(LEN(C214)=0)+(LEN(D214)=0)+(LEN(E214)=0)+(LEN(F214)=0)+(LEN(G214)=0)+(LEN(H214)=0)+(LEN(I214)=0)+(LEN(J214)=0)+(LEN(K214)=0)+(LEN(L214)=0)+(LEN(N214)=0)+(LEN(O214)=0)+(LEN(P214)=0)+(LEN(R214)=0)+(LEN(AA214)=0))</f>
        <v/>
      </c>
      <c r="AD214" s="19">
        <f>IF(OR(LEN(A214)=0,LEN(C214)=0),0,IF(OR(C214&lt;1,C214&gt;5),1,0))</f>
        <v/>
      </c>
      <c r="AE214" s="19">
        <f>IF(OR(LEN(A214)=0,LEN(R214)=0),0,IF(OR(R214="Active",R214="Paid off",R214="Defaulted",R214="Repossessed",R214="Written off",R214="Restructured"),0,1))</f>
        <v/>
      </c>
      <c r="AF214" s="19">
        <f>IF(A214="",0,IF(N(J214)&gt;N(I214),1,0))</f>
        <v/>
      </c>
      <c r="AG214" s="19">
        <f>IF(A214="",0,IF(N(N214)&gt;N(M214)+1,1,0))</f>
        <v/>
      </c>
      <c r="AH214" s="19">
        <f>IF(A214="",0,IF(N(E214)&gt;N(B214),1,0))</f>
        <v/>
      </c>
      <c r="AI214" s="19">
        <f>IF(A214="",0,IF(AND(Z214="Full payment",N(N214)&lt;N(M214)-1),1,0))</f>
        <v/>
      </c>
      <c r="AJ214" s="19">
        <f>IF(A214="",0,IF(N(P214)&lt;0,1,0))</f>
        <v/>
      </c>
      <c r="AK214" s="19">
        <f>IF(A214="",0,IF(COUNTIF($A$7:$A$1006,A214)&gt;1,1,0))</f>
        <v/>
      </c>
    </row>
    <row r="215">
      <c r="A215" s="10" t="n"/>
      <c r="B215" s="17" t="n"/>
      <c r="C215" s="18" t="n"/>
      <c r="D215" s="10" t="n"/>
      <c r="E215" s="17" t="n"/>
      <c r="F215" s="10" t="n"/>
      <c r="G215" s="10" t="n"/>
      <c r="H215" s="10" t="n"/>
      <c r="I215" s="18" t="n"/>
      <c r="J215" s="18" t="n"/>
      <c r="K215" s="18" t="n"/>
      <c r="L215" s="18" t="n"/>
      <c r="M215" s="19">
        <f>IF(K215="","",K215*365/12*L215)</f>
        <v/>
      </c>
      <c r="N215" s="18" t="n"/>
      <c r="O215" s="18" t="n"/>
      <c r="P215" s="18" t="n"/>
      <c r="Q215" s="18" t="n"/>
      <c r="R215" s="10" t="n"/>
      <c r="S215" s="17" t="n"/>
      <c r="T215" s="18" t="n"/>
      <c r="U215" s="17" t="n"/>
      <c r="V215" s="17" t="n"/>
      <c r="W215" s="18" t="n"/>
      <c r="X215" s="18" t="n"/>
      <c r="Y215" s="17" t="n"/>
      <c r="Z215" s="10" t="n"/>
      <c r="AA215" s="10" t="n"/>
      <c r="AB215" s="19">
        <f>IF(LEN(A215)&gt;0,1,0)</f>
        <v/>
      </c>
      <c r="AC215" s="19">
        <f>IF(LEN(A215)=0,0,(LEN(B215)=0)+(LEN(C215)=0)+(LEN(D215)=0)+(LEN(E215)=0)+(LEN(F215)=0)+(LEN(G215)=0)+(LEN(H215)=0)+(LEN(I215)=0)+(LEN(J215)=0)+(LEN(K215)=0)+(LEN(L215)=0)+(LEN(N215)=0)+(LEN(O215)=0)+(LEN(P215)=0)+(LEN(R215)=0)+(LEN(AA215)=0))</f>
        <v/>
      </c>
      <c r="AD215" s="19">
        <f>IF(OR(LEN(A215)=0,LEN(C215)=0),0,IF(OR(C215&lt;1,C215&gt;5),1,0))</f>
        <v/>
      </c>
      <c r="AE215" s="19">
        <f>IF(OR(LEN(A215)=0,LEN(R215)=0),0,IF(OR(R215="Active",R215="Paid off",R215="Defaulted",R215="Repossessed",R215="Written off",R215="Restructured"),0,1))</f>
        <v/>
      </c>
      <c r="AF215" s="19">
        <f>IF(A215="",0,IF(N(J215)&gt;N(I215),1,0))</f>
        <v/>
      </c>
      <c r="AG215" s="19">
        <f>IF(A215="",0,IF(N(N215)&gt;N(M215)+1,1,0))</f>
        <v/>
      </c>
      <c r="AH215" s="19">
        <f>IF(A215="",0,IF(N(E215)&gt;N(B215),1,0))</f>
        <v/>
      </c>
      <c r="AI215" s="19">
        <f>IF(A215="",0,IF(AND(Z215="Full payment",N(N215)&lt;N(M215)-1),1,0))</f>
        <v/>
      </c>
      <c r="AJ215" s="19">
        <f>IF(A215="",0,IF(N(P215)&lt;0,1,0))</f>
        <v/>
      </c>
      <c r="AK215" s="19">
        <f>IF(A215="",0,IF(COUNTIF($A$7:$A$1006,A215)&gt;1,1,0))</f>
        <v/>
      </c>
    </row>
    <row r="216">
      <c r="A216" s="10" t="n"/>
      <c r="B216" s="17" t="n"/>
      <c r="C216" s="18" t="n"/>
      <c r="D216" s="10" t="n"/>
      <c r="E216" s="17" t="n"/>
      <c r="F216" s="10" t="n"/>
      <c r="G216" s="10" t="n"/>
      <c r="H216" s="10" t="n"/>
      <c r="I216" s="18" t="n"/>
      <c r="J216" s="18" t="n"/>
      <c r="K216" s="18" t="n"/>
      <c r="L216" s="18" t="n"/>
      <c r="M216" s="19">
        <f>IF(K216="","",K216*365/12*L216)</f>
        <v/>
      </c>
      <c r="N216" s="18" t="n"/>
      <c r="O216" s="18" t="n"/>
      <c r="P216" s="18" t="n"/>
      <c r="Q216" s="18" t="n"/>
      <c r="R216" s="10" t="n"/>
      <c r="S216" s="17" t="n"/>
      <c r="T216" s="18" t="n"/>
      <c r="U216" s="17" t="n"/>
      <c r="V216" s="17" t="n"/>
      <c r="W216" s="18" t="n"/>
      <c r="X216" s="18" t="n"/>
      <c r="Y216" s="17" t="n"/>
      <c r="Z216" s="10" t="n"/>
      <c r="AA216" s="10" t="n"/>
      <c r="AB216" s="19">
        <f>IF(LEN(A216)&gt;0,1,0)</f>
        <v/>
      </c>
      <c r="AC216" s="19">
        <f>IF(LEN(A216)=0,0,(LEN(B216)=0)+(LEN(C216)=0)+(LEN(D216)=0)+(LEN(E216)=0)+(LEN(F216)=0)+(LEN(G216)=0)+(LEN(H216)=0)+(LEN(I216)=0)+(LEN(J216)=0)+(LEN(K216)=0)+(LEN(L216)=0)+(LEN(N216)=0)+(LEN(O216)=0)+(LEN(P216)=0)+(LEN(R216)=0)+(LEN(AA216)=0))</f>
        <v/>
      </c>
      <c r="AD216" s="19">
        <f>IF(OR(LEN(A216)=0,LEN(C216)=0),0,IF(OR(C216&lt;1,C216&gt;5),1,0))</f>
        <v/>
      </c>
      <c r="AE216" s="19">
        <f>IF(OR(LEN(A216)=0,LEN(R216)=0),0,IF(OR(R216="Active",R216="Paid off",R216="Defaulted",R216="Repossessed",R216="Written off",R216="Restructured"),0,1))</f>
        <v/>
      </c>
      <c r="AF216" s="19">
        <f>IF(A216="",0,IF(N(J216)&gt;N(I216),1,0))</f>
        <v/>
      </c>
      <c r="AG216" s="19">
        <f>IF(A216="",0,IF(N(N216)&gt;N(M216)+1,1,0))</f>
        <v/>
      </c>
      <c r="AH216" s="19">
        <f>IF(A216="",0,IF(N(E216)&gt;N(B216),1,0))</f>
        <v/>
      </c>
      <c r="AI216" s="19">
        <f>IF(A216="",0,IF(AND(Z216="Full payment",N(N216)&lt;N(M216)-1),1,0))</f>
        <v/>
      </c>
      <c r="AJ216" s="19">
        <f>IF(A216="",0,IF(N(P216)&lt;0,1,0))</f>
        <v/>
      </c>
      <c r="AK216" s="19">
        <f>IF(A216="",0,IF(COUNTIF($A$7:$A$1006,A216)&gt;1,1,0))</f>
        <v/>
      </c>
    </row>
    <row r="217">
      <c r="A217" s="10" t="n"/>
      <c r="B217" s="17" t="n"/>
      <c r="C217" s="18" t="n"/>
      <c r="D217" s="10" t="n"/>
      <c r="E217" s="17" t="n"/>
      <c r="F217" s="10" t="n"/>
      <c r="G217" s="10" t="n"/>
      <c r="H217" s="10" t="n"/>
      <c r="I217" s="18" t="n"/>
      <c r="J217" s="18" t="n"/>
      <c r="K217" s="18" t="n"/>
      <c r="L217" s="18" t="n"/>
      <c r="M217" s="19">
        <f>IF(K217="","",K217*365/12*L217)</f>
        <v/>
      </c>
      <c r="N217" s="18" t="n"/>
      <c r="O217" s="18" t="n"/>
      <c r="P217" s="18" t="n"/>
      <c r="Q217" s="18" t="n"/>
      <c r="R217" s="10" t="n"/>
      <c r="S217" s="17" t="n"/>
      <c r="T217" s="18" t="n"/>
      <c r="U217" s="17" t="n"/>
      <c r="V217" s="17" t="n"/>
      <c r="W217" s="18" t="n"/>
      <c r="X217" s="18" t="n"/>
      <c r="Y217" s="17" t="n"/>
      <c r="Z217" s="10" t="n"/>
      <c r="AA217" s="10" t="n"/>
      <c r="AB217" s="19">
        <f>IF(LEN(A217)&gt;0,1,0)</f>
        <v/>
      </c>
      <c r="AC217" s="19">
        <f>IF(LEN(A217)=0,0,(LEN(B217)=0)+(LEN(C217)=0)+(LEN(D217)=0)+(LEN(E217)=0)+(LEN(F217)=0)+(LEN(G217)=0)+(LEN(H217)=0)+(LEN(I217)=0)+(LEN(J217)=0)+(LEN(K217)=0)+(LEN(L217)=0)+(LEN(N217)=0)+(LEN(O217)=0)+(LEN(P217)=0)+(LEN(R217)=0)+(LEN(AA217)=0))</f>
        <v/>
      </c>
      <c r="AD217" s="19">
        <f>IF(OR(LEN(A217)=0,LEN(C217)=0),0,IF(OR(C217&lt;1,C217&gt;5),1,0))</f>
        <v/>
      </c>
      <c r="AE217" s="19">
        <f>IF(OR(LEN(A217)=0,LEN(R217)=0),0,IF(OR(R217="Active",R217="Paid off",R217="Defaulted",R217="Repossessed",R217="Written off",R217="Restructured"),0,1))</f>
        <v/>
      </c>
      <c r="AF217" s="19">
        <f>IF(A217="",0,IF(N(J217)&gt;N(I217),1,0))</f>
        <v/>
      </c>
      <c r="AG217" s="19">
        <f>IF(A217="",0,IF(N(N217)&gt;N(M217)+1,1,0))</f>
        <v/>
      </c>
      <c r="AH217" s="19">
        <f>IF(A217="",0,IF(N(E217)&gt;N(B217),1,0))</f>
        <v/>
      </c>
      <c r="AI217" s="19">
        <f>IF(A217="",0,IF(AND(Z217="Full payment",N(N217)&lt;N(M217)-1),1,0))</f>
        <v/>
      </c>
      <c r="AJ217" s="19">
        <f>IF(A217="",0,IF(N(P217)&lt;0,1,0))</f>
        <v/>
      </c>
      <c r="AK217" s="19">
        <f>IF(A217="",0,IF(COUNTIF($A$7:$A$1006,A217)&gt;1,1,0))</f>
        <v/>
      </c>
    </row>
    <row r="218">
      <c r="A218" s="10" t="n"/>
      <c r="B218" s="17" t="n"/>
      <c r="C218" s="18" t="n"/>
      <c r="D218" s="10" t="n"/>
      <c r="E218" s="17" t="n"/>
      <c r="F218" s="10" t="n"/>
      <c r="G218" s="10" t="n"/>
      <c r="H218" s="10" t="n"/>
      <c r="I218" s="18" t="n"/>
      <c r="J218" s="18" t="n"/>
      <c r="K218" s="18" t="n"/>
      <c r="L218" s="18" t="n"/>
      <c r="M218" s="19">
        <f>IF(K218="","",K218*365/12*L218)</f>
        <v/>
      </c>
      <c r="N218" s="18" t="n"/>
      <c r="O218" s="18" t="n"/>
      <c r="P218" s="18" t="n"/>
      <c r="Q218" s="18" t="n"/>
      <c r="R218" s="10" t="n"/>
      <c r="S218" s="17" t="n"/>
      <c r="T218" s="18" t="n"/>
      <c r="U218" s="17" t="n"/>
      <c r="V218" s="17" t="n"/>
      <c r="W218" s="18" t="n"/>
      <c r="X218" s="18" t="n"/>
      <c r="Y218" s="17" t="n"/>
      <c r="Z218" s="10" t="n"/>
      <c r="AA218" s="10" t="n"/>
      <c r="AB218" s="19">
        <f>IF(LEN(A218)&gt;0,1,0)</f>
        <v/>
      </c>
      <c r="AC218" s="19">
        <f>IF(LEN(A218)=0,0,(LEN(B218)=0)+(LEN(C218)=0)+(LEN(D218)=0)+(LEN(E218)=0)+(LEN(F218)=0)+(LEN(G218)=0)+(LEN(H218)=0)+(LEN(I218)=0)+(LEN(J218)=0)+(LEN(K218)=0)+(LEN(L218)=0)+(LEN(N218)=0)+(LEN(O218)=0)+(LEN(P218)=0)+(LEN(R218)=0)+(LEN(AA218)=0))</f>
        <v/>
      </c>
      <c r="AD218" s="19">
        <f>IF(OR(LEN(A218)=0,LEN(C218)=0),0,IF(OR(C218&lt;1,C218&gt;5),1,0))</f>
        <v/>
      </c>
      <c r="AE218" s="19">
        <f>IF(OR(LEN(A218)=0,LEN(R218)=0),0,IF(OR(R218="Active",R218="Paid off",R218="Defaulted",R218="Repossessed",R218="Written off",R218="Restructured"),0,1))</f>
        <v/>
      </c>
      <c r="AF218" s="19">
        <f>IF(A218="",0,IF(N(J218)&gt;N(I218),1,0))</f>
        <v/>
      </c>
      <c r="AG218" s="19">
        <f>IF(A218="",0,IF(N(N218)&gt;N(M218)+1,1,0))</f>
        <v/>
      </c>
      <c r="AH218" s="19">
        <f>IF(A218="",0,IF(N(E218)&gt;N(B218),1,0))</f>
        <v/>
      </c>
      <c r="AI218" s="19">
        <f>IF(A218="",0,IF(AND(Z218="Full payment",N(N218)&lt;N(M218)-1),1,0))</f>
        <v/>
      </c>
      <c r="AJ218" s="19">
        <f>IF(A218="",0,IF(N(P218)&lt;0,1,0))</f>
        <v/>
      </c>
      <c r="AK218" s="19">
        <f>IF(A218="",0,IF(COUNTIF($A$7:$A$1006,A218)&gt;1,1,0))</f>
        <v/>
      </c>
    </row>
    <row r="219">
      <c r="A219" s="10" t="n"/>
      <c r="B219" s="17" t="n"/>
      <c r="C219" s="18" t="n"/>
      <c r="D219" s="10" t="n"/>
      <c r="E219" s="17" t="n"/>
      <c r="F219" s="10" t="n"/>
      <c r="G219" s="10" t="n"/>
      <c r="H219" s="10" t="n"/>
      <c r="I219" s="18" t="n"/>
      <c r="J219" s="18" t="n"/>
      <c r="K219" s="18" t="n"/>
      <c r="L219" s="18" t="n"/>
      <c r="M219" s="19">
        <f>IF(K219="","",K219*365/12*L219)</f>
        <v/>
      </c>
      <c r="N219" s="18" t="n"/>
      <c r="O219" s="18" t="n"/>
      <c r="P219" s="18" t="n"/>
      <c r="Q219" s="18" t="n"/>
      <c r="R219" s="10" t="n"/>
      <c r="S219" s="17" t="n"/>
      <c r="T219" s="18" t="n"/>
      <c r="U219" s="17" t="n"/>
      <c r="V219" s="17" t="n"/>
      <c r="W219" s="18" t="n"/>
      <c r="X219" s="18" t="n"/>
      <c r="Y219" s="17" t="n"/>
      <c r="Z219" s="10" t="n"/>
      <c r="AA219" s="10" t="n"/>
      <c r="AB219" s="19">
        <f>IF(LEN(A219)&gt;0,1,0)</f>
        <v/>
      </c>
      <c r="AC219" s="19">
        <f>IF(LEN(A219)=0,0,(LEN(B219)=0)+(LEN(C219)=0)+(LEN(D219)=0)+(LEN(E219)=0)+(LEN(F219)=0)+(LEN(G219)=0)+(LEN(H219)=0)+(LEN(I219)=0)+(LEN(J219)=0)+(LEN(K219)=0)+(LEN(L219)=0)+(LEN(N219)=0)+(LEN(O219)=0)+(LEN(P219)=0)+(LEN(R219)=0)+(LEN(AA219)=0))</f>
        <v/>
      </c>
      <c r="AD219" s="19">
        <f>IF(OR(LEN(A219)=0,LEN(C219)=0),0,IF(OR(C219&lt;1,C219&gt;5),1,0))</f>
        <v/>
      </c>
      <c r="AE219" s="19">
        <f>IF(OR(LEN(A219)=0,LEN(R219)=0),0,IF(OR(R219="Active",R219="Paid off",R219="Defaulted",R219="Repossessed",R219="Written off",R219="Restructured"),0,1))</f>
        <v/>
      </c>
      <c r="AF219" s="19">
        <f>IF(A219="",0,IF(N(J219)&gt;N(I219),1,0))</f>
        <v/>
      </c>
      <c r="AG219" s="19">
        <f>IF(A219="",0,IF(N(N219)&gt;N(M219)+1,1,0))</f>
        <v/>
      </c>
      <c r="AH219" s="19">
        <f>IF(A219="",0,IF(N(E219)&gt;N(B219),1,0))</f>
        <v/>
      </c>
      <c r="AI219" s="19">
        <f>IF(A219="",0,IF(AND(Z219="Full payment",N(N219)&lt;N(M219)-1),1,0))</f>
        <v/>
      </c>
      <c r="AJ219" s="19">
        <f>IF(A219="",0,IF(N(P219)&lt;0,1,0))</f>
        <v/>
      </c>
      <c r="AK219" s="19">
        <f>IF(A219="",0,IF(COUNTIF($A$7:$A$1006,A219)&gt;1,1,0))</f>
        <v/>
      </c>
    </row>
    <row r="220">
      <c r="A220" s="10" t="n"/>
      <c r="B220" s="17" t="n"/>
      <c r="C220" s="18" t="n"/>
      <c r="D220" s="10" t="n"/>
      <c r="E220" s="17" t="n"/>
      <c r="F220" s="10" t="n"/>
      <c r="G220" s="10" t="n"/>
      <c r="H220" s="10" t="n"/>
      <c r="I220" s="18" t="n"/>
      <c r="J220" s="18" t="n"/>
      <c r="K220" s="18" t="n"/>
      <c r="L220" s="18" t="n"/>
      <c r="M220" s="19">
        <f>IF(K220="","",K220*365/12*L220)</f>
        <v/>
      </c>
      <c r="N220" s="18" t="n"/>
      <c r="O220" s="18" t="n"/>
      <c r="P220" s="18" t="n"/>
      <c r="Q220" s="18" t="n"/>
      <c r="R220" s="10" t="n"/>
      <c r="S220" s="17" t="n"/>
      <c r="T220" s="18" t="n"/>
      <c r="U220" s="17" t="n"/>
      <c r="V220" s="17" t="n"/>
      <c r="W220" s="18" t="n"/>
      <c r="X220" s="18" t="n"/>
      <c r="Y220" s="17" t="n"/>
      <c r="Z220" s="10" t="n"/>
      <c r="AA220" s="10" t="n"/>
      <c r="AB220" s="19">
        <f>IF(LEN(A220)&gt;0,1,0)</f>
        <v/>
      </c>
      <c r="AC220" s="19">
        <f>IF(LEN(A220)=0,0,(LEN(B220)=0)+(LEN(C220)=0)+(LEN(D220)=0)+(LEN(E220)=0)+(LEN(F220)=0)+(LEN(G220)=0)+(LEN(H220)=0)+(LEN(I220)=0)+(LEN(J220)=0)+(LEN(K220)=0)+(LEN(L220)=0)+(LEN(N220)=0)+(LEN(O220)=0)+(LEN(P220)=0)+(LEN(R220)=0)+(LEN(AA220)=0))</f>
        <v/>
      </c>
      <c r="AD220" s="19">
        <f>IF(OR(LEN(A220)=0,LEN(C220)=0),0,IF(OR(C220&lt;1,C220&gt;5),1,0))</f>
        <v/>
      </c>
      <c r="AE220" s="19">
        <f>IF(OR(LEN(A220)=0,LEN(R220)=0),0,IF(OR(R220="Active",R220="Paid off",R220="Defaulted",R220="Repossessed",R220="Written off",R220="Restructured"),0,1))</f>
        <v/>
      </c>
      <c r="AF220" s="19">
        <f>IF(A220="",0,IF(N(J220)&gt;N(I220),1,0))</f>
        <v/>
      </c>
      <c r="AG220" s="19">
        <f>IF(A220="",0,IF(N(N220)&gt;N(M220)+1,1,0))</f>
        <v/>
      </c>
      <c r="AH220" s="19">
        <f>IF(A220="",0,IF(N(E220)&gt;N(B220),1,0))</f>
        <v/>
      </c>
      <c r="AI220" s="19">
        <f>IF(A220="",0,IF(AND(Z220="Full payment",N(N220)&lt;N(M220)-1),1,0))</f>
        <v/>
      </c>
      <c r="AJ220" s="19">
        <f>IF(A220="",0,IF(N(P220)&lt;0,1,0))</f>
        <v/>
      </c>
      <c r="AK220" s="19">
        <f>IF(A220="",0,IF(COUNTIF($A$7:$A$1006,A220)&gt;1,1,0))</f>
        <v/>
      </c>
    </row>
    <row r="221">
      <c r="A221" s="10" t="n"/>
      <c r="B221" s="17" t="n"/>
      <c r="C221" s="18" t="n"/>
      <c r="D221" s="10" t="n"/>
      <c r="E221" s="17" t="n"/>
      <c r="F221" s="10" t="n"/>
      <c r="G221" s="10" t="n"/>
      <c r="H221" s="10" t="n"/>
      <c r="I221" s="18" t="n"/>
      <c r="J221" s="18" t="n"/>
      <c r="K221" s="18" t="n"/>
      <c r="L221" s="18" t="n"/>
      <c r="M221" s="19">
        <f>IF(K221="","",K221*365/12*L221)</f>
        <v/>
      </c>
      <c r="N221" s="18" t="n"/>
      <c r="O221" s="18" t="n"/>
      <c r="P221" s="18" t="n"/>
      <c r="Q221" s="18" t="n"/>
      <c r="R221" s="10" t="n"/>
      <c r="S221" s="17" t="n"/>
      <c r="T221" s="18" t="n"/>
      <c r="U221" s="17" t="n"/>
      <c r="V221" s="17" t="n"/>
      <c r="W221" s="18" t="n"/>
      <c r="X221" s="18" t="n"/>
      <c r="Y221" s="17" t="n"/>
      <c r="Z221" s="10" t="n"/>
      <c r="AA221" s="10" t="n"/>
      <c r="AB221" s="19">
        <f>IF(LEN(A221)&gt;0,1,0)</f>
        <v/>
      </c>
      <c r="AC221" s="19">
        <f>IF(LEN(A221)=0,0,(LEN(B221)=0)+(LEN(C221)=0)+(LEN(D221)=0)+(LEN(E221)=0)+(LEN(F221)=0)+(LEN(G221)=0)+(LEN(H221)=0)+(LEN(I221)=0)+(LEN(J221)=0)+(LEN(K221)=0)+(LEN(L221)=0)+(LEN(N221)=0)+(LEN(O221)=0)+(LEN(P221)=0)+(LEN(R221)=0)+(LEN(AA221)=0))</f>
        <v/>
      </c>
      <c r="AD221" s="19">
        <f>IF(OR(LEN(A221)=0,LEN(C221)=0),0,IF(OR(C221&lt;1,C221&gt;5),1,0))</f>
        <v/>
      </c>
      <c r="AE221" s="19">
        <f>IF(OR(LEN(A221)=0,LEN(R221)=0),0,IF(OR(R221="Active",R221="Paid off",R221="Defaulted",R221="Repossessed",R221="Written off",R221="Restructured"),0,1))</f>
        <v/>
      </c>
      <c r="AF221" s="19">
        <f>IF(A221="",0,IF(N(J221)&gt;N(I221),1,0))</f>
        <v/>
      </c>
      <c r="AG221" s="19">
        <f>IF(A221="",0,IF(N(N221)&gt;N(M221)+1,1,0))</f>
        <v/>
      </c>
      <c r="AH221" s="19">
        <f>IF(A221="",0,IF(N(E221)&gt;N(B221),1,0))</f>
        <v/>
      </c>
      <c r="AI221" s="19">
        <f>IF(A221="",0,IF(AND(Z221="Full payment",N(N221)&lt;N(M221)-1),1,0))</f>
        <v/>
      </c>
      <c r="AJ221" s="19">
        <f>IF(A221="",0,IF(N(P221)&lt;0,1,0))</f>
        <v/>
      </c>
      <c r="AK221" s="19">
        <f>IF(A221="",0,IF(COUNTIF($A$7:$A$1006,A221)&gt;1,1,0))</f>
        <v/>
      </c>
    </row>
    <row r="222">
      <c r="A222" s="10" t="n"/>
      <c r="B222" s="17" t="n"/>
      <c r="C222" s="18" t="n"/>
      <c r="D222" s="10" t="n"/>
      <c r="E222" s="17" t="n"/>
      <c r="F222" s="10" t="n"/>
      <c r="G222" s="10" t="n"/>
      <c r="H222" s="10" t="n"/>
      <c r="I222" s="18" t="n"/>
      <c r="J222" s="18" t="n"/>
      <c r="K222" s="18" t="n"/>
      <c r="L222" s="18" t="n"/>
      <c r="M222" s="19">
        <f>IF(K222="","",K222*365/12*L222)</f>
        <v/>
      </c>
      <c r="N222" s="18" t="n"/>
      <c r="O222" s="18" t="n"/>
      <c r="P222" s="18" t="n"/>
      <c r="Q222" s="18" t="n"/>
      <c r="R222" s="10" t="n"/>
      <c r="S222" s="17" t="n"/>
      <c r="T222" s="18" t="n"/>
      <c r="U222" s="17" t="n"/>
      <c r="V222" s="17" t="n"/>
      <c r="W222" s="18" t="n"/>
      <c r="X222" s="18" t="n"/>
      <c r="Y222" s="17" t="n"/>
      <c r="Z222" s="10" t="n"/>
      <c r="AA222" s="10" t="n"/>
      <c r="AB222" s="19">
        <f>IF(LEN(A222)&gt;0,1,0)</f>
        <v/>
      </c>
      <c r="AC222" s="19">
        <f>IF(LEN(A222)=0,0,(LEN(B222)=0)+(LEN(C222)=0)+(LEN(D222)=0)+(LEN(E222)=0)+(LEN(F222)=0)+(LEN(G222)=0)+(LEN(H222)=0)+(LEN(I222)=0)+(LEN(J222)=0)+(LEN(K222)=0)+(LEN(L222)=0)+(LEN(N222)=0)+(LEN(O222)=0)+(LEN(P222)=0)+(LEN(R222)=0)+(LEN(AA222)=0))</f>
        <v/>
      </c>
      <c r="AD222" s="19">
        <f>IF(OR(LEN(A222)=0,LEN(C222)=0),0,IF(OR(C222&lt;1,C222&gt;5),1,0))</f>
        <v/>
      </c>
      <c r="AE222" s="19">
        <f>IF(OR(LEN(A222)=0,LEN(R222)=0),0,IF(OR(R222="Active",R222="Paid off",R222="Defaulted",R222="Repossessed",R222="Written off",R222="Restructured"),0,1))</f>
        <v/>
      </c>
      <c r="AF222" s="19">
        <f>IF(A222="",0,IF(N(J222)&gt;N(I222),1,0))</f>
        <v/>
      </c>
      <c r="AG222" s="19">
        <f>IF(A222="",0,IF(N(N222)&gt;N(M222)+1,1,0))</f>
        <v/>
      </c>
      <c r="AH222" s="19">
        <f>IF(A222="",0,IF(N(E222)&gt;N(B222),1,0))</f>
        <v/>
      </c>
      <c r="AI222" s="19">
        <f>IF(A222="",0,IF(AND(Z222="Full payment",N(N222)&lt;N(M222)-1),1,0))</f>
        <v/>
      </c>
      <c r="AJ222" s="19">
        <f>IF(A222="",0,IF(N(P222)&lt;0,1,0))</f>
        <v/>
      </c>
      <c r="AK222" s="19">
        <f>IF(A222="",0,IF(COUNTIF($A$7:$A$1006,A222)&gt;1,1,0))</f>
        <v/>
      </c>
    </row>
    <row r="223">
      <c r="A223" s="10" t="n"/>
      <c r="B223" s="17" t="n"/>
      <c r="C223" s="18" t="n"/>
      <c r="D223" s="10" t="n"/>
      <c r="E223" s="17" t="n"/>
      <c r="F223" s="10" t="n"/>
      <c r="G223" s="10" t="n"/>
      <c r="H223" s="10" t="n"/>
      <c r="I223" s="18" t="n"/>
      <c r="J223" s="18" t="n"/>
      <c r="K223" s="18" t="n"/>
      <c r="L223" s="18" t="n"/>
      <c r="M223" s="19">
        <f>IF(K223="","",K223*365/12*L223)</f>
        <v/>
      </c>
      <c r="N223" s="18" t="n"/>
      <c r="O223" s="18" t="n"/>
      <c r="P223" s="18" t="n"/>
      <c r="Q223" s="18" t="n"/>
      <c r="R223" s="10" t="n"/>
      <c r="S223" s="17" t="n"/>
      <c r="T223" s="18" t="n"/>
      <c r="U223" s="17" t="n"/>
      <c r="V223" s="17" t="n"/>
      <c r="W223" s="18" t="n"/>
      <c r="X223" s="18" t="n"/>
      <c r="Y223" s="17" t="n"/>
      <c r="Z223" s="10" t="n"/>
      <c r="AA223" s="10" t="n"/>
      <c r="AB223" s="19">
        <f>IF(LEN(A223)&gt;0,1,0)</f>
        <v/>
      </c>
      <c r="AC223" s="19">
        <f>IF(LEN(A223)=0,0,(LEN(B223)=0)+(LEN(C223)=0)+(LEN(D223)=0)+(LEN(E223)=0)+(LEN(F223)=0)+(LEN(G223)=0)+(LEN(H223)=0)+(LEN(I223)=0)+(LEN(J223)=0)+(LEN(K223)=0)+(LEN(L223)=0)+(LEN(N223)=0)+(LEN(O223)=0)+(LEN(P223)=0)+(LEN(R223)=0)+(LEN(AA223)=0))</f>
        <v/>
      </c>
      <c r="AD223" s="19">
        <f>IF(OR(LEN(A223)=0,LEN(C223)=0),0,IF(OR(C223&lt;1,C223&gt;5),1,0))</f>
        <v/>
      </c>
      <c r="AE223" s="19">
        <f>IF(OR(LEN(A223)=0,LEN(R223)=0),0,IF(OR(R223="Active",R223="Paid off",R223="Defaulted",R223="Repossessed",R223="Written off",R223="Restructured"),0,1))</f>
        <v/>
      </c>
      <c r="AF223" s="19">
        <f>IF(A223="",0,IF(N(J223)&gt;N(I223),1,0))</f>
        <v/>
      </c>
      <c r="AG223" s="19">
        <f>IF(A223="",0,IF(N(N223)&gt;N(M223)+1,1,0))</f>
        <v/>
      </c>
      <c r="AH223" s="19">
        <f>IF(A223="",0,IF(N(E223)&gt;N(B223),1,0))</f>
        <v/>
      </c>
      <c r="AI223" s="19">
        <f>IF(A223="",0,IF(AND(Z223="Full payment",N(N223)&lt;N(M223)-1),1,0))</f>
        <v/>
      </c>
      <c r="AJ223" s="19">
        <f>IF(A223="",0,IF(N(P223)&lt;0,1,0))</f>
        <v/>
      </c>
      <c r="AK223" s="19">
        <f>IF(A223="",0,IF(COUNTIF($A$7:$A$1006,A223)&gt;1,1,0))</f>
        <v/>
      </c>
    </row>
    <row r="224">
      <c r="A224" s="10" t="n"/>
      <c r="B224" s="17" t="n"/>
      <c r="C224" s="18" t="n"/>
      <c r="D224" s="10" t="n"/>
      <c r="E224" s="17" t="n"/>
      <c r="F224" s="10" t="n"/>
      <c r="G224" s="10" t="n"/>
      <c r="H224" s="10" t="n"/>
      <c r="I224" s="18" t="n"/>
      <c r="J224" s="18" t="n"/>
      <c r="K224" s="18" t="n"/>
      <c r="L224" s="18" t="n"/>
      <c r="M224" s="19">
        <f>IF(K224="","",K224*365/12*L224)</f>
        <v/>
      </c>
      <c r="N224" s="18" t="n"/>
      <c r="O224" s="18" t="n"/>
      <c r="P224" s="18" t="n"/>
      <c r="Q224" s="18" t="n"/>
      <c r="R224" s="10" t="n"/>
      <c r="S224" s="17" t="n"/>
      <c r="T224" s="18" t="n"/>
      <c r="U224" s="17" t="n"/>
      <c r="V224" s="17" t="n"/>
      <c r="W224" s="18" t="n"/>
      <c r="X224" s="18" t="n"/>
      <c r="Y224" s="17" t="n"/>
      <c r="Z224" s="10" t="n"/>
      <c r="AA224" s="10" t="n"/>
      <c r="AB224" s="19">
        <f>IF(LEN(A224)&gt;0,1,0)</f>
        <v/>
      </c>
      <c r="AC224" s="19">
        <f>IF(LEN(A224)=0,0,(LEN(B224)=0)+(LEN(C224)=0)+(LEN(D224)=0)+(LEN(E224)=0)+(LEN(F224)=0)+(LEN(G224)=0)+(LEN(H224)=0)+(LEN(I224)=0)+(LEN(J224)=0)+(LEN(K224)=0)+(LEN(L224)=0)+(LEN(N224)=0)+(LEN(O224)=0)+(LEN(P224)=0)+(LEN(R224)=0)+(LEN(AA224)=0))</f>
        <v/>
      </c>
      <c r="AD224" s="19">
        <f>IF(OR(LEN(A224)=0,LEN(C224)=0),0,IF(OR(C224&lt;1,C224&gt;5),1,0))</f>
        <v/>
      </c>
      <c r="AE224" s="19">
        <f>IF(OR(LEN(A224)=0,LEN(R224)=0),0,IF(OR(R224="Active",R224="Paid off",R224="Defaulted",R224="Repossessed",R224="Written off",R224="Restructured"),0,1))</f>
        <v/>
      </c>
      <c r="AF224" s="19">
        <f>IF(A224="",0,IF(N(J224)&gt;N(I224),1,0))</f>
        <v/>
      </c>
      <c r="AG224" s="19">
        <f>IF(A224="",0,IF(N(N224)&gt;N(M224)+1,1,0))</f>
        <v/>
      </c>
      <c r="AH224" s="19">
        <f>IF(A224="",0,IF(N(E224)&gt;N(B224),1,0))</f>
        <v/>
      </c>
      <c r="AI224" s="19">
        <f>IF(A224="",0,IF(AND(Z224="Full payment",N(N224)&lt;N(M224)-1),1,0))</f>
        <v/>
      </c>
      <c r="AJ224" s="19">
        <f>IF(A224="",0,IF(N(P224)&lt;0,1,0))</f>
        <v/>
      </c>
      <c r="AK224" s="19">
        <f>IF(A224="",0,IF(COUNTIF($A$7:$A$1006,A224)&gt;1,1,0))</f>
        <v/>
      </c>
    </row>
    <row r="225">
      <c r="A225" s="10" t="n"/>
      <c r="B225" s="17" t="n"/>
      <c r="C225" s="18" t="n"/>
      <c r="D225" s="10" t="n"/>
      <c r="E225" s="17" t="n"/>
      <c r="F225" s="10" t="n"/>
      <c r="G225" s="10" t="n"/>
      <c r="H225" s="10" t="n"/>
      <c r="I225" s="18" t="n"/>
      <c r="J225" s="18" t="n"/>
      <c r="K225" s="18" t="n"/>
      <c r="L225" s="18" t="n"/>
      <c r="M225" s="19">
        <f>IF(K225="","",K225*365/12*L225)</f>
        <v/>
      </c>
      <c r="N225" s="18" t="n"/>
      <c r="O225" s="18" t="n"/>
      <c r="P225" s="18" t="n"/>
      <c r="Q225" s="18" t="n"/>
      <c r="R225" s="10" t="n"/>
      <c r="S225" s="17" t="n"/>
      <c r="T225" s="18" t="n"/>
      <c r="U225" s="17" t="n"/>
      <c r="V225" s="17" t="n"/>
      <c r="W225" s="18" t="n"/>
      <c r="X225" s="18" t="n"/>
      <c r="Y225" s="17" t="n"/>
      <c r="Z225" s="10" t="n"/>
      <c r="AA225" s="10" t="n"/>
      <c r="AB225" s="19">
        <f>IF(LEN(A225)&gt;0,1,0)</f>
        <v/>
      </c>
      <c r="AC225" s="19">
        <f>IF(LEN(A225)=0,0,(LEN(B225)=0)+(LEN(C225)=0)+(LEN(D225)=0)+(LEN(E225)=0)+(LEN(F225)=0)+(LEN(G225)=0)+(LEN(H225)=0)+(LEN(I225)=0)+(LEN(J225)=0)+(LEN(K225)=0)+(LEN(L225)=0)+(LEN(N225)=0)+(LEN(O225)=0)+(LEN(P225)=0)+(LEN(R225)=0)+(LEN(AA225)=0))</f>
        <v/>
      </c>
      <c r="AD225" s="19">
        <f>IF(OR(LEN(A225)=0,LEN(C225)=0),0,IF(OR(C225&lt;1,C225&gt;5),1,0))</f>
        <v/>
      </c>
      <c r="AE225" s="19">
        <f>IF(OR(LEN(A225)=0,LEN(R225)=0),0,IF(OR(R225="Active",R225="Paid off",R225="Defaulted",R225="Repossessed",R225="Written off",R225="Restructured"),0,1))</f>
        <v/>
      </c>
      <c r="AF225" s="19">
        <f>IF(A225="",0,IF(N(J225)&gt;N(I225),1,0))</f>
        <v/>
      </c>
      <c r="AG225" s="19">
        <f>IF(A225="",0,IF(N(N225)&gt;N(M225)+1,1,0))</f>
        <v/>
      </c>
      <c r="AH225" s="19">
        <f>IF(A225="",0,IF(N(E225)&gt;N(B225),1,0))</f>
        <v/>
      </c>
      <c r="AI225" s="19">
        <f>IF(A225="",0,IF(AND(Z225="Full payment",N(N225)&lt;N(M225)-1),1,0))</f>
        <v/>
      </c>
      <c r="AJ225" s="19">
        <f>IF(A225="",0,IF(N(P225)&lt;0,1,0))</f>
        <v/>
      </c>
      <c r="AK225" s="19">
        <f>IF(A225="",0,IF(COUNTIF($A$7:$A$1006,A225)&gt;1,1,0))</f>
        <v/>
      </c>
    </row>
    <row r="226">
      <c r="A226" s="10" t="n"/>
      <c r="B226" s="17" t="n"/>
      <c r="C226" s="18" t="n"/>
      <c r="D226" s="10" t="n"/>
      <c r="E226" s="17" t="n"/>
      <c r="F226" s="10" t="n"/>
      <c r="G226" s="10" t="n"/>
      <c r="H226" s="10" t="n"/>
      <c r="I226" s="18" t="n"/>
      <c r="J226" s="18" t="n"/>
      <c r="K226" s="18" t="n"/>
      <c r="L226" s="18" t="n"/>
      <c r="M226" s="19">
        <f>IF(K226="","",K226*365/12*L226)</f>
        <v/>
      </c>
      <c r="N226" s="18" t="n"/>
      <c r="O226" s="18" t="n"/>
      <c r="P226" s="18" t="n"/>
      <c r="Q226" s="18" t="n"/>
      <c r="R226" s="10" t="n"/>
      <c r="S226" s="17" t="n"/>
      <c r="T226" s="18" t="n"/>
      <c r="U226" s="17" t="n"/>
      <c r="V226" s="17" t="n"/>
      <c r="W226" s="18" t="n"/>
      <c r="X226" s="18" t="n"/>
      <c r="Y226" s="17" t="n"/>
      <c r="Z226" s="10" t="n"/>
      <c r="AA226" s="10" t="n"/>
      <c r="AB226" s="19">
        <f>IF(LEN(A226)&gt;0,1,0)</f>
        <v/>
      </c>
      <c r="AC226" s="19">
        <f>IF(LEN(A226)=0,0,(LEN(B226)=0)+(LEN(C226)=0)+(LEN(D226)=0)+(LEN(E226)=0)+(LEN(F226)=0)+(LEN(G226)=0)+(LEN(H226)=0)+(LEN(I226)=0)+(LEN(J226)=0)+(LEN(K226)=0)+(LEN(L226)=0)+(LEN(N226)=0)+(LEN(O226)=0)+(LEN(P226)=0)+(LEN(R226)=0)+(LEN(AA226)=0))</f>
        <v/>
      </c>
      <c r="AD226" s="19">
        <f>IF(OR(LEN(A226)=0,LEN(C226)=0),0,IF(OR(C226&lt;1,C226&gt;5),1,0))</f>
        <v/>
      </c>
      <c r="AE226" s="19">
        <f>IF(OR(LEN(A226)=0,LEN(R226)=0),0,IF(OR(R226="Active",R226="Paid off",R226="Defaulted",R226="Repossessed",R226="Written off",R226="Restructured"),0,1))</f>
        <v/>
      </c>
      <c r="AF226" s="19">
        <f>IF(A226="",0,IF(N(J226)&gt;N(I226),1,0))</f>
        <v/>
      </c>
      <c r="AG226" s="19">
        <f>IF(A226="",0,IF(N(N226)&gt;N(M226)+1,1,0))</f>
        <v/>
      </c>
      <c r="AH226" s="19">
        <f>IF(A226="",0,IF(N(E226)&gt;N(B226),1,0))</f>
        <v/>
      </c>
      <c r="AI226" s="19">
        <f>IF(A226="",0,IF(AND(Z226="Full payment",N(N226)&lt;N(M226)-1),1,0))</f>
        <v/>
      </c>
      <c r="AJ226" s="19">
        <f>IF(A226="",0,IF(N(P226)&lt;0,1,0))</f>
        <v/>
      </c>
      <c r="AK226" s="19">
        <f>IF(A226="",0,IF(COUNTIF($A$7:$A$1006,A226)&gt;1,1,0))</f>
        <v/>
      </c>
    </row>
    <row r="227">
      <c r="A227" s="10" t="n"/>
      <c r="B227" s="17" t="n"/>
      <c r="C227" s="18" t="n"/>
      <c r="D227" s="10" t="n"/>
      <c r="E227" s="17" t="n"/>
      <c r="F227" s="10" t="n"/>
      <c r="G227" s="10" t="n"/>
      <c r="H227" s="10" t="n"/>
      <c r="I227" s="18" t="n"/>
      <c r="J227" s="18" t="n"/>
      <c r="K227" s="18" t="n"/>
      <c r="L227" s="18" t="n"/>
      <c r="M227" s="19">
        <f>IF(K227="","",K227*365/12*L227)</f>
        <v/>
      </c>
      <c r="N227" s="18" t="n"/>
      <c r="O227" s="18" t="n"/>
      <c r="P227" s="18" t="n"/>
      <c r="Q227" s="18" t="n"/>
      <c r="R227" s="10" t="n"/>
      <c r="S227" s="17" t="n"/>
      <c r="T227" s="18" t="n"/>
      <c r="U227" s="17" t="n"/>
      <c r="V227" s="17" t="n"/>
      <c r="W227" s="18" t="n"/>
      <c r="X227" s="18" t="n"/>
      <c r="Y227" s="17" t="n"/>
      <c r="Z227" s="10" t="n"/>
      <c r="AA227" s="10" t="n"/>
      <c r="AB227" s="19">
        <f>IF(LEN(A227)&gt;0,1,0)</f>
        <v/>
      </c>
      <c r="AC227" s="19">
        <f>IF(LEN(A227)=0,0,(LEN(B227)=0)+(LEN(C227)=0)+(LEN(D227)=0)+(LEN(E227)=0)+(LEN(F227)=0)+(LEN(G227)=0)+(LEN(H227)=0)+(LEN(I227)=0)+(LEN(J227)=0)+(LEN(K227)=0)+(LEN(L227)=0)+(LEN(N227)=0)+(LEN(O227)=0)+(LEN(P227)=0)+(LEN(R227)=0)+(LEN(AA227)=0))</f>
        <v/>
      </c>
      <c r="AD227" s="19">
        <f>IF(OR(LEN(A227)=0,LEN(C227)=0),0,IF(OR(C227&lt;1,C227&gt;5),1,0))</f>
        <v/>
      </c>
      <c r="AE227" s="19">
        <f>IF(OR(LEN(A227)=0,LEN(R227)=0),0,IF(OR(R227="Active",R227="Paid off",R227="Defaulted",R227="Repossessed",R227="Written off",R227="Restructured"),0,1))</f>
        <v/>
      </c>
      <c r="AF227" s="19">
        <f>IF(A227="",0,IF(N(J227)&gt;N(I227),1,0))</f>
        <v/>
      </c>
      <c r="AG227" s="19">
        <f>IF(A227="",0,IF(N(N227)&gt;N(M227)+1,1,0))</f>
        <v/>
      </c>
      <c r="AH227" s="19">
        <f>IF(A227="",0,IF(N(E227)&gt;N(B227),1,0))</f>
        <v/>
      </c>
      <c r="AI227" s="19">
        <f>IF(A227="",0,IF(AND(Z227="Full payment",N(N227)&lt;N(M227)-1),1,0))</f>
        <v/>
      </c>
      <c r="AJ227" s="19">
        <f>IF(A227="",0,IF(N(P227)&lt;0,1,0))</f>
        <v/>
      </c>
      <c r="AK227" s="19">
        <f>IF(A227="",0,IF(COUNTIF($A$7:$A$1006,A227)&gt;1,1,0))</f>
        <v/>
      </c>
    </row>
    <row r="228">
      <c r="A228" s="10" t="n"/>
      <c r="B228" s="17" t="n"/>
      <c r="C228" s="18" t="n"/>
      <c r="D228" s="10" t="n"/>
      <c r="E228" s="17" t="n"/>
      <c r="F228" s="10" t="n"/>
      <c r="G228" s="10" t="n"/>
      <c r="H228" s="10" t="n"/>
      <c r="I228" s="18" t="n"/>
      <c r="J228" s="18" t="n"/>
      <c r="K228" s="18" t="n"/>
      <c r="L228" s="18" t="n"/>
      <c r="M228" s="19">
        <f>IF(K228="","",K228*365/12*L228)</f>
        <v/>
      </c>
      <c r="N228" s="18" t="n"/>
      <c r="O228" s="18" t="n"/>
      <c r="P228" s="18" t="n"/>
      <c r="Q228" s="18" t="n"/>
      <c r="R228" s="10" t="n"/>
      <c r="S228" s="17" t="n"/>
      <c r="T228" s="18" t="n"/>
      <c r="U228" s="17" t="n"/>
      <c r="V228" s="17" t="n"/>
      <c r="W228" s="18" t="n"/>
      <c r="X228" s="18" t="n"/>
      <c r="Y228" s="17" t="n"/>
      <c r="Z228" s="10" t="n"/>
      <c r="AA228" s="10" t="n"/>
      <c r="AB228" s="19">
        <f>IF(LEN(A228)&gt;0,1,0)</f>
        <v/>
      </c>
      <c r="AC228" s="19">
        <f>IF(LEN(A228)=0,0,(LEN(B228)=0)+(LEN(C228)=0)+(LEN(D228)=0)+(LEN(E228)=0)+(LEN(F228)=0)+(LEN(G228)=0)+(LEN(H228)=0)+(LEN(I228)=0)+(LEN(J228)=0)+(LEN(K228)=0)+(LEN(L228)=0)+(LEN(N228)=0)+(LEN(O228)=0)+(LEN(P228)=0)+(LEN(R228)=0)+(LEN(AA228)=0))</f>
        <v/>
      </c>
      <c r="AD228" s="19">
        <f>IF(OR(LEN(A228)=0,LEN(C228)=0),0,IF(OR(C228&lt;1,C228&gt;5),1,0))</f>
        <v/>
      </c>
      <c r="AE228" s="19">
        <f>IF(OR(LEN(A228)=0,LEN(R228)=0),0,IF(OR(R228="Active",R228="Paid off",R228="Defaulted",R228="Repossessed",R228="Written off",R228="Restructured"),0,1))</f>
        <v/>
      </c>
      <c r="AF228" s="19">
        <f>IF(A228="",0,IF(N(J228)&gt;N(I228),1,0))</f>
        <v/>
      </c>
      <c r="AG228" s="19">
        <f>IF(A228="",0,IF(N(N228)&gt;N(M228)+1,1,0))</f>
        <v/>
      </c>
      <c r="AH228" s="19">
        <f>IF(A228="",0,IF(N(E228)&gt;N(B228),1,0))</f>
        <v/>
      </c>
      <c r="AI228" s="19">
        <f>IF(A228="",0,IF(AND(Z228="Full payment",N(N228)&lt;N(M228)-1),1,0))</f>
        <v/>
      </c>
      <c r="AJ228" s="19">
        <f>IF(A228="",0,IF(N(P228)&lt;0,1,0))</f>
        <v/>
      </c>
      <c r="AK228" s="19">
        <f>IF(A228="",0,IF(COUNTIF($A$7:$A$1006,A228)&gt;1,1,0))</f>
        <v/>
      </c>
    </row>
    <row r="229">
      <c r="A229" s="10" t="n"/>
      <c r="B229" s="17" t="n"/>
      <c r="C229" s="18" t="n"/>
      <c r="D229" s="10" t="n"/>
      <c r="E229" s="17" t="n"/>
      <c r="F229" s="10" t="n"/>
      <c r="G229" s="10" t="n"/>
      <c r="H229" s="10" t="n"/>
      <c r="I229" s="18" t="n"/>
      <c r="J229" s="18" t="n"/>
      <c r="K229" s="18" t="n"/>
      <c r="L229" s="18" t="n"/>
      <c r="M229" s="19">
        <f>IF(K229="","",K229*365/12*L229)</f>
        <v/>
      </c>
      <c r="N229" s="18" t="n"/>
      <c r="O229" s="18" t="n"/>
      <c r="P229" s="18" t="n"/>
      <c r="Q229" s="18" t="n"/>
      <c r="R229" s="10" t="n"/>
      <c r="S229" s="17" t="n"/>
      <c r="T229" s="18" t="n"/>
      <c r="U229" s="17" t="n"/>
      <c r="V229" s="17" t="n"/>
      <c r="W229" s="18" t="n"/>
      <c r="X229" s="18" t="n"/>
      <c r="Y229" s="17" t="n"/>
      <c r="Z229" s="10" t="n"/>
      <c r="AA229" s="10" t="n"/>
      <c r="AB229" s="19">
        <f>IF(LEN(A229)&gt;0,1,0)</f>
        <v/>
      </c>
      <c r="AC229" s="19">
        <f>IF(LEN(A229)=0,0,(LEN(B229)=0)+(LEN(C229)=0)+(LEN(D229)=0)+(LEN(E229)=0)+(LEN(F229)=0)+(LEN(G229)=0)+(LEN(H229)=0)+(LEN(I229)=0)+(LEN(J229)=0)+(LEN(K229)=0)+(LEN(L229)=0)+(LEN(N229)=0)+(LEN(O229)=0)+(LEN(P229)=0)+(LEN(R229)=0)+(LEN(AA229)=0))</f>
        <v/>
      </c>
      <c r="AD229" s="19">
        <f>IF(OR(LEN(A229)=0,LEN(C229)=0),0,IF(OR(C229&lt;1,C229&gt;5),1,0))</f>
        <v/>
      </c>
      <c r="AE229" s="19">
        <f>IF(OR(LEN(A229)=0,LEN(R229)=0),0,IF(OR(R229="Active",R229="Paid off",R229="Defaulted",R229="Repossessed",R229="Written off",R229="Restructured"),0,1))</f>
        <v/>
      </c>
      <c r="AF229" s="19">
        <f>IF(A229="",0,IF(N(J229)&gt;N(I229),1,0))</f>
        <v/>
      </c>
      <c r="AG229" s="19">
        <f>IF(A229="",0,IF(N(N229)&gt;N(M229)+1,1,0))</f>
        <v/>
      </c>
      <c r="AH229" s="19">
        <f>IF(A229="",0,IF(N(E229)&gt;N(B229),1,0))</f>
        <v/>
      </c>
      <c r="AI229" s="19">
        <f>IF(A229="",0,IF(AND(Z229="Full payment",N(N229)&lt;N(M229)-1),1,0))</f>
        <v/>
      </c>
      <c r="AJ229" s="19">
        <f>IF(A229="",0,IF(N(P229)&lt;0,1,0))</f>
        <v/>
      </c>
      <c r="AK229" s="19">
        <f>IF(A229="",0,IF(COUNTIF($A$7:$A$1006,A229)&gt;1,1,0))</f>
        <v/>
      </c>
    </row>
    <row r="230">
      <c r="A230" s="10" t="n"/>
      <c r="B230" s="17" t="n"/>
      <c r="C230" s="18" t="n"/>
      <c r="D230" s="10" t="n"/>
      <c r="E230" s="17" t="n"/>
      <c r="F230" s="10" t="n"/>
      <c r="G230" s="10" t="n"/>
      <c r="H230" s="10" t="n"/>
      <c r="I230" s="18" t="n"/>
      <c r="J230" s="18" t="n"/>
      <c r="K230" s="18" t="n"/>
      <c r="L230" s="18" t="n"/>
      <c r="M230" s="19">
        <f>IF(K230="","",K230*365/12*L230)</f>
        <v/>
      </c>
      <c r="N230" s="18" t="n"/>
      <c r="O230" s="18" t="n"/>
      <c r="P230" s="18" t="n"/>
      <c r="Q230" s="18" t="n"/>
      <c r="R230" s="10" t="n"/>
      <c r="S230" s="17" t="n"/>
      <c r="T230" s="18" t="n"/>
      <c r="U230" s="17" t="n"/>
      <c r="V230" s="17" t="n"/>
      <c r="W230" s="18" t="n"/>
      <c r="X230" s="18" t="n"/>
      <c r="Y230" s="17" t="n"/>
      <c r="Z230" s="10" t="n"/>
      <c r="AA230" s="10" t="n"/>
      <c r="AB230" s="19">
        <f>IF(LEN(A230)&gt;0,1,0)</f>
        <v/>
      </c>
      <c r="AC230" s="19">
        <f>IF(LEN(A230)=0,0,(LEN(B230)=0)+(LEN(C230)=0)+(LEN(D230)=0)+(LEN(E230)=0)+(LEN(F230)=0)+(LEN(G230)=0)+(LEN(H230)=0)+(LEN(I230)=0)+(LEN(J230)=0)+(LEN(K230)=0)+(LEN(L230)=0)+(LEN(N230)=0)+(LEN(O230)=0)+(LEN(P230)=0)+(LEN(R230)=0)+(LEN(AA230)=0))</f>
        <v/>
      </c>
      <c r="AD230" s="19">
        <f>IF(OR(LEN(A230)=0,LEN(C230)=0),0,IF(OR(C230&lt;1,C230&gt;5),1,0))</f>
        <v/>
      </c>
      <c r="AE230" s="19">
        <f>IF(OR(LEN(A230)=0,LEN(R230)=0),0,IF(OR(R230="Active",R230="Paid off",R230="Defaulted",R230="Repossessed",R230="Written off",R230="Restructured"),0,1))</f>
        <v/>
      </c>
      <c r="AF230" s="19">
        <f>IF(A230="",0,IF(N(J230)&gt;N(I230),1,0))</f>
        <v/>
      </c>
      <c r="AG230" s="19">
        <f>IF(A230="",0,IF(N(N230)&gt;N(M230)+1,1,0))</f>
        <v/>
      </c>
      <c r="AH230" s="19">
        <f>IF(A230="",0,IF(N(E230)&gt;N(B230),1,0))</f>
        <v/>
      </c>
      <c r="AI230" s="19">
        <f>IF(A230="",0,IF(AND(Z230="Full payment",N(N230)&lt;N(M230)-1),1,0))</f>
        <v/>
      </c>
      <c r="AJ230" s="19">
        <f>IF(A230="",0,IF(N(P230)&lt;0,1,0))</f>
        <v/>
      </c>
      <c r="AK230" s="19">
        <f>IF(A230="",0,IF(COUNTIF($A$7:$A$1006,A230)&gt;1,1,0))</f>
        <v/>
      </c>
    </row>
    <row r="231">
      <c r="A231" s="10" t="n"/>
      <c r="B231" s="17" t="n"/>
      <c r="C231" s="18" t="n"/>
      <c r="D231" s="10" t="n"/>
      <c r="E231" s="17" t="n"/>
      <c r="F231" s="10" t="n"/>
      <c r="G231" s="10" t="n"/>
      <c r="H231" s="10" t="n"/>
      <c r="I231" s="18" t="n"/>
      <c r="J231" s="18" t="n"/>
      <c r="K231" s="18" t="n"/>
      <c r="L231" s="18" t="n"/>
      <c r="M231" s="19">
        <f>IF(K231="","",K231*365/12*L231)</f>
        <v/>
      </c>
      <c r="N231" s="18" t="n"/>
      <c r="O231" s="18" t="n"/>
      <c r="P231" s="18" t="n"/>
      <c r="Q231" s="18" t="n"/>
      <c r="R231" s="10" t="n"/>
      <c r="S231" s="17" t="n"/>
      <c r="T231" s="18" t="n"/>
      <c r="U231" s="17" t="n"/>
      <c r="V231" s="17" t="n"/>
      <c r="W231" s="18" t="n"/>
      <c r="X231" s="18" t="n"/>
      <c r="Y231" s="17" t="n"/>
      <c r="Z231" s="10" t="n"/>
      <c r="AA231" s="10" t="n"/>
      <c r="AB231" s="19">
        <f>IF(LEN(A231)&gt;0,1,0)</f>
        <v/>
      </c>
      <c r="AC231" s="19">
        <f>IF(LEN(A231)=0,0,(LEN(B231)=0)+(LEN(C231)=0)+(LEN(D231)=0)+(LEN(E231)=0)+(LEN(F231)=0)+(LEN(G231)=0)+(LEN(H231)=0)+(LEN(I231)=0)+(LEN(J231)=0)+(LEN(K231)=0)+(LEN(L231)=0)+(LEN(N231)=0)+(LEN(O231)=0)+(LEN(P231)=0)+(LEN(R231)=0)+(LEN(AA231)=0))</f>
        <v/>
      </c>
      <c r="AD231" s="19">
        <f>IF(OR(LEN(A231)=0,LEN(C231)=0),0,IF(OR(C231&lt;1,C231&gt;5),1,0))</f>
        <v/>
      </c>
      <c r="AE231" s="19">
        <f>IF(OR(LEN(A231)=0,LEN(R231)=0),0,IF(OR(R231="Active",R231="Paid off",R231="Defaulted",R231="Repossessed",R231="Written off",R231="Restructured"),0,1))</f>
        <v/>
      </c>
      <c r="AF231" s="19">
        <f>IF(A231="",0,IF(N(J231)&gt;N(I231),1,0))</f>
        <v/>
      </c>
      <c r="AG231" s="19">
        <f>IF(A231="",0,IF(N(N231)&gt;N(M231)+1,1,0))</f>
        <v/>
      </c>
      <c r="AH231" s="19">
        <f>IF(A231="",0,IF(N(E231)&gt;N(B231),1,0))</f>
        <v/>
      </c>
      <c r="AI231" s="19">
        <f>IF(A231="",0,IF(AND(Z231="Full payment",N(N231)&lt;N(M231)-1),1,0))</f>
        <v/>
      </c>
      <c r="AJ231" s="19">
        <f>IF(A231="",0,IF(N(P231)&lt;0,1,0))</f>
        <v/>
      </c>
      <c r="AK231" s="19">
        <f>IF(A231="",0,IF(COUNTIF($A$7:$A$1006,A231)&gt;1,1,0))</f>
        <v/>
      </c>
    </row>
    <row r="232">
      <c r="A232" s="10" t="n"/>
      <c r="B232" s="17" t="n"/>
      <c r="C232" s="18" t="n"/>
      <c r="D232" s="10" t="n"/>
      <c r="E232" s="17" t="n"/>
      <c r="F232" s="10" t="n"/>
      <c r="G232" s="10" t="n"/>
      <c r="H232" s="10" t="n"/>
      <c r="I232" s="18" t="n"/>
      <c r="J232" s="18" t="n"/>
      <c r="K232" s="18" t="n"/>
      <c r="L232" s="18" t="n"/>
      <c r="M232" s="19">
        <f>IF(K232="","",K232*365/12*L232)</f>
        <v/>
      </c>
      <c r="N232" s="18" t="n"/>
      <c r="O232" s="18" t="n"/>
      <c r="P232" s="18" t="n"/>
      <c r="Q232" s="18" t="n"/>
      <c r="R232" s="10" t="n"/>
      <c r="S232" s="17" t="n"/>
      <c r="T232" s="18" t="n"/>
      <c r="U232" s="17" t="n"/>
      <c r="V232" s="17" t="n"/>
      <c r="W232" s="18" t="n"/>
      <c r="X232" s="18" t="n"/>
      <c r="Y232" s="17" t="n"/>
      <c r="Z232" s="10" t="n"/>
      <c r="AA232" s="10" t="n"/>
      <c r="AB232" s="19">
        <f>IF(LEN(A232)&gt;0,1,0)</f>
        <v/>
      </c>
      <c r="AC232" s="19">
        <f>IF(LEN(A232)=0,0,(LEN(B232)=0)+(LEN(C232)=0)+(LEN(D232)=0)+(LEN(E232)=0)+(LEN(F232)=0)+(LEN(G232)=0)+(LEN(H232)=0)+(LEN(I232)=0)+(LEN(J232)=0)+(LEN(K232)=0)+(LEN(L232)=0)+(LEN(N232)=0)+(LEN(O232)=0)+(LEN(P232)=0)+(LEN(R232)=0)+(LEN(AA232)=0))</f>
        <v/>
      </c>
      <c r="AD232" s="19">
        <f>IF(OR(LEN(A232)=0,LEN(C232)=0),0,IF(OR(C232&lt;1,C232&gt;5),1,0))</f>
        <v/>
      </c>
      <c r="AE232" s="19">
        <f>IF(OR(LEN(A232)=0,LEN(R232)=0),0,IF(OR(R232="Active",R232="Paid off",R232="Defaulted",R232="Repossessed",R232="Written off",R232="Restructured"),0,1))</f>
        <v/>
      </c>
      <c r="AF232" s="19">
        <f>IF(A232="",0,IF(N(J232)&gt;N(I232),1,0))</f>
        <v/>
      </c>
      <c r="AG232" s="19">
        <f>IF(A232="",0,IF(N(N232)&gt;N(M232)+1,1,0))</f>
        <v/>
      </c>
      <c r="AH232" s="19">
        <f>IF(A232="",0,IF(N(E232)&gt;N(B232),1,0))</f>
        <v/>
      </c>
      <c r="AI232" s="19">
        <f>IF(A232="",0,IF(AND(Z232="Full payment",N(N232)&lt;N(M232)-1),1,0))</f>
        <v/>
      </c>
      <c r="AJ232" s="19">
        <f>IF(A232="",0,IF(N(P232)&lt;0,1,0))</f>
        <v/>
      </c>
      <c r="AK232" s="19">
        <f>IF(A232="",0,IF(COUNTIF($A$7:$A$1006,A232)&gt;1,1,0))</f>
        <v/>
      </c>
    </row>
    <row r="233">
      <c r="A233" s="10" t="n"/>
      <c r="B233" s="17" t="n"/>
      <c r="C233" s="18" t="n"/>
      <c r="D233" s="10" t="n"/>
      <c r="E233" s="17" t="n"/>
      <c r="F233" s="10" t="n"/>
      <c r="G233" s="10" t="n"/>
      <c r="H233" s="10" t="n"/>
      <c r="I233" s="18" t="n"/>
      <c r="J233" s="18" t="n"/>
      <c r="K233" s="18" t="n"/>
      <c r="L233" s="18" t="n"/>
      <c r="M233" s="19">
        <f>IF(K233="","",K233*365/12*L233)</f>
        <v/>
      </c>
      <c r="N233" s="18" t="n"/>
      <c r="O233" s="18" t="n"/>
      <c r="P233" s="18" t="n"/>
      <c r="Q233" s="18" t="n"/>
      <c r="R233" s="10" t="n"/>
      <c r="S233" s="17" t="n"/>
      <c r="T233" s="18" t="n"/>
      <c r="U233" s="17" t="n"/>
      <c r="V233" s="17" t="n"/>
      <c r="W233" s="18" t="n"/>
      <c r="X233" s="18" t="n"/>
      <c r="Y233" s="17" t="n"/>
      <c r="Z233" s="10" t="n"/>
      <c r="AA233" s="10" t="n"/>
      <c r="AB233" s="19">
        <f>IF(LEN(A233)&gt;0,1,0)</f>
        <v/>
      </c>
      <c r="AC233" s="19">
        <f>IF(LEN(A233)=0,0,(LEN(B233)=0)+(LEN(C233)=0)+(LEN(D233)=0)+(LEN(E233)=0)+(LEN(F233)=0)+(LEN(G233)=0)+(LEN(H233)=0)+(LEN(I233)=0)+(LEN(J233)=0)+(LEN(K233)=0)+(LEN(L233)=0)+(LEN(N233)=0)+(LEN(O233)=0)+(LEN(P233)=0)+(LEN(R233)=0)+(LEN(AA233)=0))</f>
        <v/>
      </c>
      <c r="AD233" s="19">
        <f>IF(OR(LEN(A233)=0,LEN(C233)=0),0,IF(OR(C233&lt;1,C233&gt;5),1,0))</f>
        <v/>
      </c>
      <c r="AE233" s="19">
        <f>IF(OR(LEN(A233)=0,LEN(R233)=0),0,IF(OR(R233="Active",R233="Paid off",R233="Defaulted",R233="Repossessed",R233="Written off",R233="Restructured"),0,1))</f>
        <v/>
      </c>
      <c r="AF233" s="19">
        <f>IF(A233="",0,IF(N(J233)&gt;N(I233),1,0))</f>
        <v/>
      </c>
      <c r="AG233" s="19">
        <f>IF(A233="",0,IF(N(N233)&gt;N(M233)+1,1,0))</f>
        <v/>
      </c>
      <c r="AH233" s="19">
        <f>IF(A233="",0,IF(N(E233)&gt;N(B233),1,0))</f>
        <v/>
      </c>
      <c r="AI233" s="19">
        <f>IF(A233="",0,IF(AND(Z233="Full payment",N(N233)&lt;N(M233)-1),1,0))</f>
        <v/>
      </c>
      <c r="AJ233" s="19">
        <f>IF(A233="",0,IF(N(P233)&lt;0,1,0))</f>
        <v/>
      </c>
      <c r="AK233" s="19">
        <f>IF(A233="",0,IF(COUNTIF($A$7:$A$1006,A233)&gt;1,1,0))</f>
        <v/>
      </c>
    </row>
    <row r="234">
      <c r="A234" s="10" t="n"/>
      <c r="B234" s="17" t="n"/>
      <c r="C234" s="18" t="n"/>
      <c r="D234" s="10" t="n"/>
      <c r="E234" s="17" t="n"/>
      <c r="F234" s="10" t="n"/>
      <c r="G234" s="10" t="n"/>
      <c r="H234" s="10" t="n"/>
      <c r="I234" s="18" t="n"/>
      <c r="J234" s="18" t="n"/>
      <c r="K234" s="18" t="n"/>
      <c r="L234" s="18" t="n"/>
      <c r="M234" s="19">
        <f>IF(K234="","",K234*365/12*L234)</f>
        <v/>
      </c>
      <c r="N234" s="18" t="n"/>
      <c r="O234" s="18" t="n"/>
      <c r="P234" s="18" t="n"/>
      <c r="Q234" s="18" t="n"/>
      <c r="R234" s="10" t="n"/>
      <c r="S234" s="17" t="n"/>
      <c r="T234" s="18" t="n"/>
      <c r="U234" s="17" t="n"/>
      <c r="V234" s="17" t="n"/>
      <c r="W234" s="18" t="n"/>
      <c r="X234" s="18" t="n"/>
      <c r="Y234" s="17" t="n"/>
      <c r="Z234" s="10" t="n"/>
      <c r="AA234" s="10" t="n"/>
      <c r="AB234" s="19">
        <f>IF(LEN(A234)&gt;0,1,0)</f>
        <v/>
      </c>
      <c r="AC234" s="19">
        <f>IF(LEN(A234)=0,0,(LEN(B234)=0)+(LEN(C234)=0)+(LEN(D234)=0)+(LEN(E234)=0)+(LEN(F234)=0)+(LEN(G234)=0)+(LEN(H234)=0)+(LEN(I234)=0)+(LEN(J234)=0)+(LEN(K234)=0)+(LEN(L234)=0)+(LEN(N234)=0)+(LEN(O234)=0)+(LEN(P234)=0)+(LEN(R234)=0)+(LEN(AA234)=0))</f>
        <v/>
      </c>
      <c r="AD234" s="19">
        <f>IF(OR(LEN(A234)=0,LEN(C234)=0),0,IF(OR(C234&lt;1,C234&gt;5),1,0))</f>
        <v/>
      </c>
      <c r="AE234" s="19">
        <f>IF(OR(LEN(A234)=0,LEN(R234)=0),0,IF(OR(R234="Active",R234="Paid off",R234="Defaulted",R234="Repossessed",R234="Written off",R234="Restructured"),0,1))</f>
        <v/>
      </c>
      <c r="AF234" s="19">
        <f>IF(A234="",0,IF(N(J234)&gt;N(I234),1,0))</f>
        <v/>
      </c>
      <c r="AG234" s="19">
        <f>IF(A234="",0,IF(N(N234)&gt;N(M234)+1,1,0))</f>
        <v/>
      </c>
      <c r="AH234" s="19">
        <f>IF(A234="",0,IF(N(E234)&gt;N(B234),1,0))</f>
        <v/>
      </c>
      <c r="AI234" s="19">
        <f>IF(A234="",0,IF(AND(Z234="Full payment",N(N234)&lt;N(M234)-1),1,0))</f>
        <v/>
      </c>
      <c r="AJ234" s="19">
        <f>IF(A234="",0,IF(N(P234)&lt;0,1,0))</f>
        <v/>
      </c>
      <c r="AK234" s="19">
        <f>IF(A234="",0,IF(COUNTIF($A$7:$A$1006,A234)&gt;1,1,0))</f>
        <v/>
      </c>
    </row>
    <row r="235">
      <c r="A235" s="10" t="n"/>
      <c r="B235" s="17" t="n"/>
      <c r="C235" s="18" t="n"/>
      <c r="D235" s="10" t="n"/>
      <c r="E235" s="17" t="n"/>
      <c r="F235" s="10" t="n"/>
      <c r="G235" s="10" t="n"/>
      <c r="H235" s="10" t="n"/>
      <c r="I235" s="18" t="n"/>
      <c r="J235" s="18" t="n"/>
      <c r="K235" s="18" t="n"/>
      <c r="L235" s="18" t="n"/>
      <c r="M235" s="19">
        <f>IF(K235="","",K235*365/12*L235)</f>
        <v/>
      </c>
      <c r="N235" s="18" t="n"/>
      <c r="O235" s="18" t="n"/>
      <c r="P235" s="18" t="n"/>
      <c r="Q235" s="18" t="n"/>
      <c r="R235" s="10" t="n"/>
      <c r="S235" s="17" t="n"/>
      <c r="T235" s="18" t="n"/>
      <c r="U235" s="17" t="n"/>
      <c r="V235" s="17" t="n"/>
      <c r="W235" s="18" t="n"/>
      <c r="X235" s="18" t="n"/>
      <c r="Y235" s="17" t="n"/>
      <c r="Z235" s="10" t="n"/>
      <c r="AA235" s="10" t="n"/>
      <c r="AB235" s="19">
        <f>IF(LEN(A235)&gt;0,1,0)</f>
        <v/>
      </c>
      <c r="AC235" s="19">
        <f>IF(LEN(A235)=0,0,(LEN(B235)=0)+(LEN(C235)=0)+(LEN(D235)=0)+(LEN(E235)=0)+(LEN(F235)=0)+(LEN(G235)=0)+(LEN(H235)=0)+(LEN(I235)=0)+(LEN(J235)=0)+(LEN(K235)=0)+(LEN(L235)=0)+(LEN(N235)=0)+(LEN(O235)=0)+(LEN(P235)=0)+(LEN(R235)=0)+(LEN(AA235)=0))</f>
        <v/>
      </c>
      <c r="AD235" s="19">
        <f>IF(OR(LEN(A235)=0,LEN(C235)=0),0,IF(OR(C235&lt;1,C235&gt;5),1,0))</f>
        <v/>
      </c>
      <c r="AE235" s="19">
        <f>IF(OR(LEN(A235)=0,LEN(R235)=0),0,IF(OR(R235="Active",R235="Paid off",R235="Defaulted",R235="Repossessed",R235="Written off",R235="Restructured"),0,1))</f>
        <v/>
      </c>
      <c r="AF235" s="19">
        <f>IF(A235="",0,IF(N(J235)&gt;N(I235),1,0))</f>
        <v/>
      </c>
      <c r="AG235" s="19">
        <f>IF(A235="",0,IF(N(N235)&gt;N(M235)+1,1,0))</f>
        <v/>
      </c>
      <c r="AH235" s="19">
        <f>IF(A235="",0,IF(N(E235)&gt;N(B235),1,0))</f>
        <v/>
      </c>
      <c r="AI235" s="19">
        <f>IF(A235="",0,IF(AND(Z235="Full payment",N(N235)&lt;N(M235)-1),1,0))</f>
        <v/>
      </c>
      <c r="AJ235" s="19">
        <f>IF(A235="",0,IF(N(P235)&lt;0,1,0))</f>
        <v/>
      </c>
      <c r="AK235" s="19">
        <f>IF(A235="",0,IF(COUNTIF($A$7:$A$1006,A235)&gt;1,1,0))</f>
        <v/>
      </c>
    </row>
    <row r="236">
      <c r="A236" s="10" t="n"/>
      <c r="B236" s="17" t="n"/>
      <c r="C236" s="18" t="n"/>
      <c r="D236" s="10" t="n"/>
      <c r="E236" s="17" t="n"/>
      <c r="F236" s="10" t="n"/>
      <c r="G236" s="10" t="n"/>
      <c r="H236" s="10" t="n"/>
      <c r="I236" s="18" t="n"/>
      <c r="J236" s="18" t="n"/>
      <c r="K236" s="18" t="n"/>
      <c r="L236" s="18" t="n"/>
      <c r="M236" s="19">
        <f>IF(K236="","",K236*365/12*L236)</f>
        <v/>
      </c>
      <c r="N236" s="18" t="n"/>
      <c r="O236" s="18" t="n"/>
      <c r="P236" s="18" t="n"/>
      <c r="Q236" s="18" t="n"/>
      <c r="R236" s="10" t="n"/>
      <c r="S236" s="17" t="n"/>
      <c r="T236" s="18" t="n"/>
      <c r="U236" s="17" t="n"/>
      <c r="V236" s="17" t="n"/>
      <c r="W236" s="18" t="n"/>
      <c r="X236" s="18" t="n"/>
      <c r="Y236" s="17" t="n"/>
      <c r="Z236" s="10" t="n"/>
      <c r="AA236" s="10" t="n"/>
      <c r="AB236" s="19">
        <f>IF(LEN(A236)&gt;0,1,0)</f>
        <v/>
      </c>
      <c r="AC236" s="19">
        <f>IF(LEN(A236)=0,0,(LEN(B236)=0)+(LEN(C236)=0)+(LEN(D236)=0)+(LEN(E236)=0)+(LEN(F236)=0)+(LEN(G236)=0)+(LEN(H236)=0)+(LEN(I236)=0)+(LEN(J236)=0)+(LEN(K236)=0)+(LEN(L236)=0)+(LEN(N236)=0)+(LEN(O236)=0)+(LEN(P236)=0)+(LEN(R236)=0)+(LEN(AA236)=0))</f>
        <v/>
      </c>
      <c r="AD236" s="19">
        <f>IF(OR(LEN(A236)=0,LEN(C236)=0),0,IF(OR(C236&lt;1,C236&gt;5),1,0))</f>
        <v/>
      </c>
      <c r="AE236" s="19">
        <f>IF(OR(LEN(A236)=0,LEN(R236)=0),0,IF(OR(R236="Active",R236="Paid off",R236="Defaulted",R236="Repossessed",R236="Written off",R236="Restructured"),0,1))</f>
        <v/>
      </c>
      <c r="AF236" s="19">
        <f>IF(A236="",0,IF(N(J236)&gt;N(I236),1,0))</f>
        <v/>
      </c>
      <c r="AG236" s="19">
        <f>IF(A236="",0,IF(N(N236)&gt;N(M236)+1,1,0))</f>
        <v/>
      </c>
      <c r="AH236" s="19">
        <f>IF(A236="",0,IF(N(E236)&gt;N(B236),1,0))</f>
        <v/>
      </c>
      <c r="AI236" s="19">
        <f>IF(A236="",0,IF(AND(Z236="Full payment",N(N236)&lt;N(M236)-1),1,0))</f>
        <v/>
      </c>
      <c r="AJ236" s="19">
        <f>IF(A236="",0,IF(N(P236)&lt;0,1,0))</f>
        <v/>
      </c>
      <c r="AK236" s="19">
        <f>IF(A236="",0,IF(COUNTIF($A$7:$A$1006,A236)&gt;1,1,0))</f>
        <v/>
      </c>
    </row>
    <row r="237">
      <c r="A237" s="10" t="n"/>
      <c r="B237" s="17" t="n"/>
      <c r="C237" s="18" t="n"/>
      <c r="D237" s="10" t="n"/>
      <c r="E237" s="17" t="n"/>
      <c r="F237" s="10" t="n"/>
      <c r="G237" s="10" t="n"/>
      <c r="H237" s="10" t="n"/>
      <c r="I237" s="18" t="n"/>
      <c r="J237" s="18" t="n"/>
      <c r="K237" s="18" t="n"/>
      <c r="L237" s="18" t="n"/>
      <c r="M237" s="19">
        <f>IF(K237="","",K237*365/12*L237)</f>
        <v/>
      </c>
      <c r="N237" s="18" t="n"/>
      <c r="O237" s="18" t="n"/>
      <c r="P237" s="18" t="n"/>
      <c r="Q237" s="18" t="n"/>
      <c r="R237" s="10" t="n"/>
      <c r="S237" s="17" t="n"/>
      <c r="T237" s="18" t="n"/>
      <c r="U237" s="17" t="n"/>
      <c r="V237" s="17" t="n"/>
      <c r="W237" s="18" t="n"/>
      <c r="X237" s="18" t="n"/>
      <c r="Y237" s="17" t="n"/>
      <c r="Z237" s="10" t="n"/>
      <c r="AA237" s="10" t="n"/>
      <c r="AB237" s="19">
        <f>IF(LEN(A237)&gt;0,1,0)</f>
        <v/>
      </c>
      <c r="AC237" s="19">
        <f>IF(LEN(A237)=0,0,(LEN(B237)=0)+(LEN(C237)=0)+(LEN(D237)=0)+(LEN(E237)=0)+(LEN(F237)=0)+(LEN(G237)=0)+(LEN(H237)=0)+(LEN(I237)=0)+(LEN(J237)=0)+(LEN(K237)=0)+(LEN(L237)=0)+(LEN(N237)=0)+(LEN(O237)=0)+(LEN(P237)=0)+(LEN(R237)=0)+(LEN(AA237)=0))</f>
        <v/>
      </c>
      <c r="AD237" s="19">
        <f>IF(OR(LEN(A237)=0,LEN(C237)=0),0,IF(OR(C237&lt;1,C237&gt;5),1,0))</f>
        <v/>
      </c>
      <c r="AE237" s="19">
        <f>IF(OR(LEN(A237)=0,LEN(R237)=0),0,IF(OR(R237="Active",R237="Paid off",R237="Defaulted",R237="Repossessed",R237="Written off",R237="Restructured"),0,1))</f>
        <v/>
      </c>
      <c r="AF237" s="19">
        <f>IF(A237="",0,IF(N(J237)&gt;N(I237),1,0))</f>
        <v/>
      </c>
      <c r="AG237" s="19">
        <f>IF(A237="",0,IF(N(N237)&gt;N(M237)+1,1,0))</f>
        <v/>
      </c>
      <c r="AH237" s="19">
        <f>IF(A237="",0,IF(N(E237)&gt;N(B237),1,0))</f>
        <v/>
      </c>
      <c r="AI237" s="19">
        <f>IF(A237="",0,IF(AND(Z237="Full payment",N(N237)&lt;N(M237)-1),1,0))</f>
        <v/>
      </c>
      <c r="AJ237" s="19">
        <f>IF(A237="",0,IF(N(P237)&lt;0,1,0))</f>
        <v/>
      </c>
      <c r="AK237" s="19">
        <f>IF(A237="",0,IF(COUNTIF($A$7:$A$1006,A237)&gt;1,1,0))</f>
        <v/>
      </c>
    </row>
    <row r="238">
      <c r="A238" s="10" t="n"/>
      <c r="B238" s="17" t="n"/>
      <c r="C238" s="18" t="n"/>
      <c r="D238" s="10" t="n"/>
      <c r="E238" s="17" t="n"/>
      <c r="F238" s="10" t="n"/>
      <c r="G238" s="10" t="n"/>
      <c r="H238" s="10" t="n"/>
      <c r="I238" s="18" t="n"/>
      <c r="J238" s="18" t="n"/>
      <c r="K238" s="18" t="n"/>
      <c r="L238" s="18" t="n"/>
      <c r="M238" s="19">
        <f>IF(K238="","",K238*365/12*L238)</f>
        <v/>
      </c>
      <c r="N238" s="18" t="n"/>
      <c r="O238" s="18" t="n"/>
      <c r="P238" s="18" t="n"/>
      <c r="Q238" s="18" t="n"/>
      <c r="R238" s="10" t="n"/>
      <c r="S238" s="17" t="n"/>
      <c r="T238" s="18" t="n"/>
      <c r="U238" s="17" t="n"/>
      <c r="V238" s="17" t="n"/>
      <c r="W238" s="18" t="n"/>
      <c r="X238" s="18" t="n"/>
      <c r="Y238" s="17" t="n"/>
      <c r="Z238" s="10" t="n"/>
      <c r="AA238" s="10" t="n"/>
      <c r="AB238" s="19">
        <f>IF(LEN(A238)&gt;0,1,0)</f>
        <v/>
      </c>
      <c r="AC238" s="19">
        <f>IF(LEN(A238)=0,0,(LEN(B238)=0)+(LEN(C238)=0)+(LEN(D238)=0)+(LEN(E238)=0)+(LEN(F238)=0)+(LEN(G238)=0)+(LEN(H238)=0)+(LEN(I238)=0)+(LEN(J238)=0)+(LEN(K238)=0)+(LEN(L238)=0)+(LEN(N238)=0)+(LEN(O238)=0)+(LEN(P238)=0)+(LEN(R238)=0)+(LEN(AA238)=0))</f>
        <v/>
      </c>
      <c r="AD238" s="19">
        <f>IF(OR(LEN(A238)=0,LEN(C238)=0),0,IF(OR(C238&lt;1,C238&gt;5),1,0))</f>
        <v/>
      </c>
      <c r="AE238" s="19">
        <f>IF(OR(LEN(A238)=0,LEN(R238)=0),0,IF(OR(R238="Active",R238="Paid off",R238="Defaulted",R238="Repossessed",R238="Written off",R238="Restructured"),0,1))</f>
        <v/>
      </c>
      <c r="AF238" s="19">
        <f>IF(A238="",0,IF(N(J238)&gt;N(I238),1,0))</f>
        <v/>
      </c>
      <c r="AG238" s="19">
        <f>IF(A238="",0,IF(N(N238)&gt;N(M238)+1,1,0))</f>
        <v/>
      </c>
      <c r="AH238" s="19">
        <f>IF(A238="",0,IF(N(E238)&gt;N(B238),1,0))</f>
        <v/>
      </c>
      <c r="AI238" s="19">
        <f>IF(A238="",0,IF(AND(Z238="Full payment",N(N238)&lt;N(M238)-1),1,0))</f>
        <v/>
      </c>
      <c r="AJ238" s="19">
        <f>IF(A238="",0,IF(N(P238)&lt;0,1,0))</f>
        <v/>
      </c>
      <c r="AK238" s="19">
        <f>IF(A238="",0,IF(COUNTIF($A$7:$A$1006,A238)&gt;1,1,0))</f>
        <v/>
      </c>
    </row>
    <row r="239">
      <c r="A239" s="10" t="n"/>
      <c r="B239" s="17" t="n"/>
      <c r="C239" s="18" t="n"/>
      <c r="D239" s="10" t="n"/>
      <c r="E239" s="17" t="n"/>
      <c r="F239" s="10" t="n"/>
      <c r="G239" s="10" t="n"/>
      <c r="H239" s="10" t="n"/>
      <c r="I239" s="18" t="n"/>
      <c r="J239" s="18" t="n"/>
      <c r="K239" s="18" t="n"/>
      <c r="L239" s="18" t="n"/>
      <c r="M239" s="19">
        <f>IF(K239="","",K239*365/12*L239)</f>
        <v/>
      </c>
      <c r="N239" s="18" t="n"/>
      <c r="O239" s="18" t="n"/>
      <c r="P239" s="18" t="n"/>
      <c r="Q239" s="18" t="n"/>
      <c r="R239" s="10" t="n"/>
      <c r="S239" s="17" t="n"/>
      <c r="T239" s="18" t="n"/>
      <c r="U239" s="17" t="n"/>
      <c r="V239" s="17" t="n"/>
      <c r="W239" s="18" t="n"/>
      <c r="X239" s="18" t="n"/>
      <c r="Y239" s="17" t="n"/>
      <c r="Z239" s="10" t="n"/>
      <c r="AA239" s="10" t="n"/>
      <c r="AB239" s="19">
        <f>IF(LEN(A239)&gt;0,1,0)</f>
        <v/>
      </c>
      <c r="AC239" s="19">
        <f>IF(LEN(A239)=0,0,(LEN(B239)=0)+(LEN(C239)=0)+(LEN(D239)=0)+(LEN(E239)=0)+(LEN(F239)=0)+(LEN(G239)=0)+(LEN(H239)=0)+(LEN(I239)=0)+(LEN(J239)=0)+(LEN(K239)=0)+(LEN(L239)=0)+(LEN(N239)=0)+(LEN(O239)=0)+(LEN(P239)=0)+(LEN(R239)=0)+(LEN(AA239)=0))</f>
        <v/>
      </c>
      <c r="AD239" s="19">
        <f>IF(OR(LEN(A239)=0,LEN(C239)=0),0,IF(OR(C239&lt;1,C239&gt;5),1,0))</f>
        <v/>
      </c>
      <c r="AE239" s="19">
        <f>IF(OR(LEN(A239)=0,LEN(R239)=0),0,IF(OR(R239="Active",R239="Paid off",R239="Defaulted",R239="Repossessed",R239="Written off",R239="Restructured"),0,1))</f>
        <v/>
      </c>
      <c r="AF239" s="19">
        <f>IF(A239="",0,IF(N(J239)&gt;N(I239),1,0))</f>
        <v/>
      </c>
      <c r="AG239" s="19">
        <f>IF(A239="",0,IF(N(N239)&gt;N(M239)+1,1,0))</f>
        <v/>
      </c>
      <c r="AH239" s="19">
        <f>IF(A239="",0,IF(N(E239)&gt;N(B239),1,0))</f>
        <v/>
      </c>
      <c r="AI239" s="19">
        <f>IF(A239="",0,IF(AND(Z239="Full payment",N(N239)&lt;N(M239)-1),1,0))</f>
        <v/>
      </c>
      <c r="AJ239" s="19">
        <f>IF(A239="",0,IF(N(P239)&lt;0,1,0))</f>
        <v/>
      </c>
      <c r="AK239" s="19">
        <f>IF(A239="",0,IF(COUNTIF($A$7:$A$1006,A239)&gt;1,1,0))</f>
        <v/>
      </c>
    </row>
    <row r="240">
      <c r="A240" s="10" t="n"/>
      <c r="B240" s="17" t="n"/>
      <c r="C240" s="18" t="n"/>
      <c r="D240" s="10" t="n"/>
      <c r="E240" s="17" t="n"/>
      <c r="F240" s="10" t="n"/>
      <c r="G240" s="10" t="n"/>
      <c r="H240" s="10" t="n"/>
      <c r="I240" s="18" t="n"/>
      <c r="J240" s="18" t="n"/>
      <c r="K240" s="18" t="n"/>
      <c r="L240" s="18" t="n"/>
      <c r="M240" s="19">
        <f>IF(K240="","",K240*365/12*L240)</f>
        <v/>
      </c>
      <c r="N240" s="18" t="n"/>
      <c r="O240" s="18" t="n"/>
      <c r="P240" s="18" t="n"/>
      <c r="Q240" s="18" t="n"/>
      <c r="R240" s="10" t="n"/>
      <c r="S240" s="17" t="n"/>
      <c r="T240" s="18" t="n"/>
      <c r="U240" s="17" t="n"/>
      <c r="V240" s="17" t="n"/>
      <c r="W240" s="18" t="n"/>
      <c r="X240" s="18" t="n"/>
      <c r="Y240" s="17" t="n"/>
      <c r="Z240" s="10" t="n"/>
      <c r="AA240" s="10" t="n"/>
      <c r="AB240" s="19">
        <f>IF(LEN(A240)&gt;0,1,0)</f>
        <v/>
      </c>
      <c r="AC240" s="19">
        <f>IF(LEN(A240)=0,0,(LEN(B240)=0)+(LEN(C240)=0)+(LEN(D240)=0)+(LEN(E240)=0)+(LEN(F240)=0)+(LEN(G240)=0)+(LEN(H240)=0)+(LEN(I240)=0)+(LEN(J240)=0)+(LEN(K240)=0)+(LEN(L240)=0)+(LEN(N240)=0)+(LEN(O240)=0)+(LEN(P240)=0)+(LEN(R240)=0)+(LEN(AA240)=0))</f>
        <v/>
      </c>
      <c r="AD240" s="19">
        <f>IF(OR(LEN(A240)=0,LEN(C240)=0),0,IF(OR(C240&lt;1,C240&gt;5),1,0))</f>
        <v/>
      </c>
      <c r="AE240" s="19">
        <f>IF(OR(LEN(A240)=0,LEN(R240)=0),0,IF(OR(R240="Active",R240="Paid off",R240="Defaulted",R240="Repossessed",R240="Written off",R240="Restructured"),0,1))</f>
        <v/>
      </c>
      <c r="AF240" s="19">
        <f>IF(A240="",0,IF(N(J240)&gt;N(I240),1,0))</f>
        <v/>
      </c>
      <c r="AG240" s="19">
        <f>IF(A240="",0,IF(N(N240)&gt;N(M240)+1,1,0))</f>
        <v/>
      </c>
      <c r="AH240" s="19">
        <f>IF(A240="",0,IF(N(E240)&gt;N(B240),1,0))</f>
        <v/>
      </c>
      <c r="AI240" s="19">
        <f>IF(A240="",0,IF(AND(Z240="Full payment",N(N240)&lt;N(M240)-1),1,0))</f>
        <v/>
      </c>
      <c r="AJ240" s="19">
        <f>IF(A240="",0,IF(N(P240)&lt;0,1,0))</f>
        <v/>
      </c>
      <c r="AK240" s="19">
        <f>IF(A240="",0,IF(COUNTIF($A$7:$A$1006,A240)&gt;1,1,0))</f>
        <v/>
      </c>
    </row>
    <row r="241">
      <c r="A241" s="10" t="n"/>
      <c r="B241" s="17" t="n"/>
      <c r="C241" s="18" t="n"/>
      <c r="D241" s="10" t="n"/>
      <c r="E241" s="17" t="n"/>
      <c r="F241" s="10" t="n"/>
      <c r="G241" s="10" t="n"/>
      <c r="H241" s="10" t="n"/>
      <c r="I241" s="18" t="n"/>
      <c r="J241" s="18" t="n"/>
      <c r="K241" s="18" t="n"/>
      <c r="L241" s="18" t="n"/>
      <c r="M241" s="19">
        <f>IF(K241="","",K241*365/12*L241)</f>
        <v/>
      </c>
      <c r="N241" s="18" t="n"/>
      <c r="O241" s="18" t="n"/>
      <c r="P241" s="18" t="n"/>
      <c r="Q241" s="18" t="n"/>
      <c r="R241" s="10" t="n"/>
      <c r="S241" s="17" t="n"/>
      <c r="T241" s="18" t="n"/>
      <c r="U241" s="17" t="n"/>
      <c r="V241" s="17" t="n"/>
      <c r="W241" s="18" t="n"/>
      <c r="X241" s="18" t="n"/>
      <c r="Y241" s="17" t="n"/>
      <c r="Z241" s="10" t="n"/>
      <c r="AA241" s="10" t="n"/>
      <c r="AB241" s="19">
        <f>IF(LEN(A241)&gt;0,1,0)</f>
        <v/>
      </c>
      <c r="AC241" s="19">
        <f>IF(LEN(A241)=0,0,(LEN(B241)=0)+(LEN(C241)=0)+(LEN(D241)=0)+(LEN(E241)=0)+(LEN(F241)=0)+(LEN(G241)=0)+(LEN(H241)=0)+(LEN(I241)=0)+(LEN(J241)=0)+(LEN(K241)=0)+(LEN(L241)=0)+(LEN(N241)=0)+(LEN(O241)=0)+(LEN(P241)=0)+(LEN(R241)=0)+(LEN(AA241)=0))</f>
        <v/>
      </c>
      <c r="AD241" s="19">
        <f>IF(OR(LEN(A241)=0,LEN(C241)=0),0,IF(OR(C241&lt;1,C241&gt;5),1,0))</f>
        <v/>
      </c>
      <c r="AE241" s="19">
        <f>IF(OR(LEN(A241)=0,LEN(R241)=0),0,IF(OR(R241="Active",R241="Paid off",R241="Defaulted",R241="Repossessed",R241="Written off",R241="Restructured"),0,1))</f>
        <v/>
      </c>
      <c r="AF241" s="19">
        <f>IF(A241="",0,IF(N(J241)&gt;N(I241),1,0))</f>
        <v/>
      </c>
      <c r="AG241" s="19">
        <f>IF(A241="",0,IF(N(N241)&gt;N(M241)+1,1,0))</f>
        <v/>
      </c>
      <c r="AH241" s="19">
        <f>IF(A241="",0,IF(N(E241)&gt;N(B241),1,0))</f>
        <v/>
      </c>
      <c r="AI241" s="19">
        <f>IF(A241="",0,IF(AND(Z241="Full payment",N(N241)&lt;N(M241)-1),1,0))</f>
        <v/>
      </c>
      <c r="AJ241" s="19">
        <f>IF(A241="",0,IF(N(P241)&lt;0,1,0))</f>
        <v/>
      </c>
      <c r="AK241" s="19">
        <f>IF(A241="",0,IF(COUNTIF($A$7:$A$1006,A241)&gt;1,1,0))</f>
        <v/>
      </c>
    </row>
    <row r="242">
      <c r="A242" s="10" t="n"/>
      <c r="B242" s="17" t="n"/>
      <c r="C242" s="18" t="n"/>
      <c r="D242" s="10" t="n"/>
      <c r="E242" s="17" t="n"/>
      <c r="F242" s="10" t="n"/>
      <c r="G242" s="10" t="n"/>
      <c r="H242" s="10" t="n"/>
      <c r="I242" s="18" t="n"/>
      <c r="J242" s="18" t="n"/>
      <c r="K242" s="18" t="n"/>
      <c r="L242" s="18" t="n"/>
      <c r="M242" s="19">
        <f>IF(K242="","",K242*365/12*L242)</f>
        <v/>
      </c>
      <c r="N242" s="18" t="n"/>
      <c r="O242" s="18" t="n"/>
      <c r="P242" s="18" t="n"/>
      <c r="Q242" s="18" t="n"/>
      <c r="R242" s="10" t="n"/>
      <c r="S242" s="17" t="n"/>
      <c r="T242" s="18" t="n"/>
      <c r="U242" s="17" t="n"/>
      <c r="V242" s="17" t="n"/>
      <c r="W242" s="18" t="n"/>
      <c r="X242" s="18" t="n"/>
      <c r="Y242" s="17" t="n"/>
      <c r="Z242" s="10" t="n"/>
      <c r="AA242" s="10" t="n"/>
      <c r="AB242" s="19">
        <f>IF(LEN(A242)&gt;0,1,0)</f>
        <v/>
      </c>
      <c r="AC242" s="19">
        <f>IF(LEN(A242)=0,0,(LEN(B242)=0)+(LEN(C242)=0)+(LEN(D242)=0)+(LEN(E242)=0)+(LEN(F242)=0)+(LEN(G242)=0)+(LEN(H242)=0)+(LEN(I242)=0)+(LEN(J242)=0)+(LEN(K242)=0)+(LEN(L242)=0)+(LEN(N242)=0)+(LEN(O242)=0)+(LEN(P242)=0)+(LEN(R242)=0)+(LEN(AA242)=0))</f>
        <v/>
      </c>
      <c r="AD242" s="19">
        <f>IF(OR(LEN(A242)=0,LEN(C242)=0),0,IF(OR(C242&lt;1,C242&gt;5),1,0))</f>
        <v/>
      </c>
      <c r="AE242" s="19">
        <f>IF(OR(LEN(A242)=0,LEN(R242)=0),0,IF(OR(R242="Active",R242="Paid off",R242="Defaulted",R242="Repossessed",R242="Written off",R242="Restructured"),0,1))</f>
        <v/>
      </c>
      <c r="AF242" s="19">
        <f>IF(A242="",0,IF(N(J242)&gt;N(I242),1,0))</f>
        <v/>
      </c>
      <c r="AG242" s="19">
        <f>IF(A242="",0,IF(N(N242)&gt;N(M242)+1,1,0))</f>
        <v/>
      </c>
      <c r="AH242" s="19">
        <f>IF(A242="",0,IF(N(E242)&gt;N(B242),1,0))</f>
        <v/>
      </c>
      <c r="AI242" s="19">
        <f>IF(A242="",0,IF(AND(Z242="Full payment",N(N242)&lt;N(M242)-1),1,0))</f>
        <v/>
      </c>
      <c r="AJ242" s="19">
        <f>IF(A242="",0,IF(N(P242)&lt;0,1,0))</f>
        <v/>
      </c>
      <c r="AK242" s="19">
        <f>IF(A242="",0,IF(COUNTIF($A$7:$A$1006,A242)&gt;1,1,0))</f>
        <v/>
      </c>
    </row>
    <row r="243">
      <c r="A243" s="10" t="n"/>
      <c r="B243" s="17" t="n"/>
      <c r="C243" s="18" t="n"/>
      <c r="D243" s="10" t="n"/>
      <c r="E243" s="17" t="n"/>
      <c r="F243" s="10" t="n"/>
      <c r="G243" s="10" t="n"/>
      <c r="H243" s="10" t="n"/>
      <c r="I243" s="18" t="n"/>
      <c r="J243" s="18" t="n"/>
      <c r="K243" s="18" t="n"/>
      <c r="L243" s="18" t="n"/>
      <c r="M243" s="19">
        <f>IF(K243="","",K243*365/12*L243)</f>
        <v/>
      </c>
      <c r="N243" s="18" t="n"/>
      <c r="O243" s="18" t="n"/>
      <c r="P243" s="18" t="n"/>
      <c r="Q243" s="18" t="n"/>
      <c r="R243" s="10" t="n"/>
      <c r="S243" s="17" t="n"/>
      <c r="T243" s="18" t="n"/>
      <c r="U243" s="17" t="n"/>
      <c r="V243" s="17" t="n"/>
      <c r="W243" s="18" t="n"/>
      <c r="X243" s="18" t="n"/>
      <c r="Y243" s="17" t="n"/>
      <c r="Z243" s="10" t="n"/>
      <c r="AA243" s="10" t="n"/>
      <c r="AB243" s="19">
        <f>IF(LEN(A243)&gt;0,1,0)</f>
        <v/>
      </c>
      <c r="AC243" s="19">
        <f>IF(LEN(A243)=0,0,(LEN(B243)=0)+(LEN(C243)=0)+(LEN(D243)=0)+(LEN(E243)=0)+(LEN(F243)=0)+(LEN(G243)=0)+(LEN(H243)=0)+(LEN(I243)=0)+(LEN(J243)=0)+(LEN(K243)=0)+(LEN(L243)=0)+(LEN(N243)=0)+(LEN(O243)=0)+(LEN(P243)=0)+(LEN(R243)=0)+(LEN(AA243)=0))</f>
        <v/>
      </c>
      <c r="AD243" s="19">
        <f>IF(OR(LEN(A243)=0,LEN(C243)=0),0,IF(OR(C243&lt;1,C243&gt;5),1,0))</f>
        <v/>
      </c>
      <c r="AE243" s="19">
        <f>IF(OR(LEN(A243)=0,LEN(R243)=0),0,IF(OR(R243="Active",R243="Paid off",R243="Defaulted",R243="Repossessed",R243="Written off",R243="Restructured"),0,1))</f>
        <v/>
      </c>
      <c r="AF243" s="19">
        <f>IF(A243="",0,IF(N(J243)&gt;N(I243),1,0))</f>
        <v/>
      </c>
      <c r="AG243" s="19">
        <f>IF(A243="",0,IF(N(N243)&gt;N(M243)+1,1,0))</f>
        <v/>
      </c>
      <c r="AH243" s="19">
        <f>IF(A243="",0,IF(N(E243)&gt;N(B243),1,0))</f>
        <v/>
      </c>
      <c r="AI243" s="19">
        <f>IF(A243="",0,IF(AND(Z243="Full payment",N(N243)&lt;N(M243)-1),1,0))</f>
        <v/>
      </c>
      <c r="AJ243" s="19">
        <f>IF(A243="",0,IF(N(P243)&lt;0,1,0))</f>
        <v/>
      </c>
      <c r="AK243" s="19">
        <f>IF(A243="",0,IF(COUNTIF($A$7:$A$1006,A243)&gt;1,1,0))</f>
        <v/>
      </c>
    </row>
    <row r="244">
      <c r="A244" s="10" t="n"/>
      <c r="B244" s="17" t="n"/>
      <c r="C244" s="18" t="n"/>
      <c r="D244" s="10" t="n"/>
      <c r="E244" s="17" t="n"/>
      <c r="F244" s="10" t="n"/>
      <c r="G244" s="10" t="n"/>
      <c r="H244" s="10" t="n"/>
      <c r="I244" s="18" t="n"/>
      <c r="J244" s="18" t="n"/>
      <c r="K244" s="18" t="n"/>
      <c r="L244" s="18" t="n"/>
      <c r="M244" s="19">
        <f>IF(K244="","",K244*365/12*L244)</f>
        <v/>
      </c>
      <c r="N244" s="18" t="n"/>
      <c r="O244" s="18" t="n"/>
      <c r="P244" s="18" t="n"/>
      <c r="Q244" s="18" t="n"/>
      <c r="R244" s="10" t="n"/>
      <c r="S244" s="17" t="n"/>
      <c r="T244" s="18" t="n"/>
      <c r="U244" s="17" t="n"/>
      <c r="V244" s="17" t="n"/>
      <c r="W244" s="18" t="n"/>
      <c r="X244" s="18" t="n"/>
      <c r="Y244" s="17" t="n"/>
      <c r="Z244" s="10" t="n"/>
      <c r="AA244" s="10" t="n"/>
      <c r="AB244" s="19">
        <f>IF(LEN(A244)&gt;0,1,0)</f>
        <v/>
      </c>
      <c r="AC244" s="19">
        <f>IF(LEN(A244)=0,0,(LEN(B244)=0)+(LEN(C244)=0)+(LEN(D244)=0)+(LEN(E244)=0)+(LEN(F244)=0)+(LEN(G244)=0)+(LEN(H244)=0)+(LEN(I244)=0)+(LEN(J244)=0)+(LEN(K244)=0)+(LEN(L244)=0)+(LEN(N244)=0)+(LEN(O244)=0)+(LEN(P244)=0)+(LEN(R244)=0)+(LEN(AA244)=0))</f>
        <v/>
      </c>
      <c r="AD244" s="19">
        <f>IF(OR(LEN(A244)=0,LEN(C244)=0),0,IF(OR(C244&lt;1,C244&gt;5),1,0))</f>
        <v/>
      </c>
      <c r="AE244" s="19">
        <f>IF(OR(LEN(A244)=0,LEN(R244)=0),0,IF(OR(R244="Active",R244="Paid off",R244="Defaulted",R244="Repossessed",R244="Written off",R244="Restructured"),0,1))</f>
        <v/>
      </c>
      <c r="AF244" s="19">
        <f>IF(A244="",0,IF(N(J244)&gt;N(I244),1,0))</f>
        <v/>
      </c>
      <c r="AG244" s="19">
        <f>IF(A244="",0,IF(N(N244)&gt;N(M244)+1,1,0))</f>
        <v/>
      </c>
      <c r="AH244" s="19">
        <f>IF(A244="",0,IF(N(E244)&gt;N(B244),1,0))</f>
        <v/>
      </c>
      <c r="AI244" s="19">
        <f>IF(A244="",0,IF(AND(Z244="Full payment",N(N244)&lt;N(M244)-1),1,0))</f>
        <v/>
      </c>
      <c r="AJ244" s="19">
        <f>IF(A244="",0,IF(N(P244)&lt;0,1,0))</f>
        <v/>
      </c>
      <c r="AK244" s="19">
        <f>IF(A244="",0,IF(COUNTIF($A$7:$A$1006,A244)&gt;1,1,0))</f>
        <v/>
      </c>
    </row>
    <row r="245">
      <c r="A245" s="10" t="n"/>
      <c r="B245" s="17" t="n"/>
      <c r="C245" s="18" t="n"/>
      <c r="D245" s="10" t="n"/>
      <c r="E245" s="17" t="n"/>
      <c r="F245" s="10" t="n"/>
      <c r="G245" s="10" t="n"/>
      <c r="H245" s="10" t="n"/>
      <c r="I245" s="18" t="n"/>
      <c r="J245" s="18" t="n"/>
      <c r="K245" s="18" t="n"/>
      <c r="L245" s="18" t="n"/>
      <c r="M245" s="19">
        <f>IF(K245="","",K245*365/12*L245)</f>
        <v/>
      </c>
      <c r="N245" s="18" t="n"/>
      <c r="O245" s="18" t="n"/>
      <c r="P245" s="18" t="n"/>
      <c r="Q245" s="18" t="n"/>
      <c r="R245" s="10" t="n"/>
      <c r="S245" s="17" t="n"/>
      <c r="T245" s="18" t="n"/>
      <c r="U245" s="17" t="n"/>
      <c r="V245" s="17" t="n"/>
      <c r="W245" s="18" t="n"/>
      <c r="X245" s="18" t="n"/>
      <c r="Y245" s="17" t="n"/>
      <c r="Z245" s="10" t="n"/>
      <c r="AA245" s="10" t="n"/>
      <c r="AB245" s="19">
        <f>IF(LEN(A245)&gt;0,1,0)</f>
        <v/>
      </c>
      <c r="AC245" s="19">
        <f>IF(LEN(A245)=0,0,(LEN(B245)=0)+(LEN(C245)=0)+(LEN(D245)=0)+(LEN(E245)=0)+(LEN(F245)=0)+(LEN(G245)=0)+(LEN(H245)=0)+(LEN(I245)=0)+(LEN(J245)=0)+(LEN(K245)=0)+(LEN(L245)=0)+(LEN(N245)=0)+(LEN(O245)=0)+(LEN(P245)=0)+(LEN(R245)=0)+(LEN(AA245)=0))</f>
        <v/>
      </c>
      <c r="AD245" s="19">
        <f>IF(OR(LEN(A245)=0,LEN(C245)=0),0,IF(OR(C245&lt;1,C245&gt;5),1,0))</f>
        <v/>
      </c>
      <c r="AE245" s="19">
        <f>IF(OR(LEN(A245)=0,LEN(R245)=0),0,IF(OR(R245="Active",R245="Paid off",R245="Defaulted",R245="Repossessed",R245="Written off",R245="Restructured"),0,1))</f>
        <v/>
      </c>
      <c r="AF245" s="19">
        <f>IF(A245="",0,IF(N(J245)&gt;N(I245),1,0))</f>
        <v/>
      </c>
      <c r="AG245" s="19">
        <f>IF(A245="",0,IF(N(N245)&gt;N(M245)+1,1,0))</f>
        <v/>
      </c>
      <c r="AH245" s="19">
        <f>IF(A245="",0,IF(N(E245)&gt;N(B245),1,0))</f>
        <v/>
      </c>
      <c r="AI245" s="19">
        <f>IF(A245="",0,IF(AND(Z245="Full payment",N(N245)&lt;N(M245)-1),1,0))</f>
        <v/>
      </c>
      <c r="AJ245" s="19">
        <f>IF(A245="",0,IF(N(P245)&lt;0,1,0))</f>
        <v/>
      </c>
      <c r="AK245" s="19">
        <f>IF(A245="",0,IF(COUNTIF($A$7:$A$1006,A245)&gt;1,1,0))</f>
        <v/>
      </c>
    </row>
    <row r="246">
      <c r="A246" s="10" t="n"/>
      <c r="B246" s="17" t="n"/>
      <c r="C246" s="18" t="n"/>
      <c r="D246" s="10" t="n"/>
      <c r="E246" s="17" t="n"/>
      <c r="F246" s="10" t="n"/>
      <c r="G246" s="10" t="n"/>
      <c r="H246" s="10" t="n"/>
      <c r="I246" s="18" t="n"/>
      <c r="J246" s="18" t="n"/>
      <c r="K246" s="18" t="n"/>
      <c r="L246" s="18" t="n"/>
      <c r="M246" s="19">
        <f>IF(K246="","",K246*365/12*L246)</f>
        <v/>
      </c>
      <c r="N246" s="18" t="n"/>
      <c r="O246" s="18" t="n"/>
      <c r="P246" s="18" t="n"/>
      <c r="Q246" s="18" t="n"/>
      <c r="R246" s="10" t="n"/>
      <c r="S246" s="17" t="n"/>
      <c r="T246" s="18" t="n"/>
      <c r="U246" s="17" t="n"/>
      <c r="V246" s="17" t="n"/>
      <c r="W246" s="18" t="n"/>
      <c r="X246" s="18" t="n"/>
      <c r="Y246" s="17" t="n"/>
      <c r="Z246" s="10" t="n"/>
      <c r="AA246" s="10" t="n"/>
      <c r="AB246" s="19">
        <f>IF(LEN(A246)&gt;0,1,0)</f>
        <v/>
      </c>
      <c r="AC246" s="19">
        <f>IF(LEN(A246)=0,0,(LEN(B246)=0)+(LEN(C246)=0)+(LEN(D246)=0)+(LEN(E246)=0)+(LEN(F246)=0)+(LEN(G246)=0)+(LEN(H246)=0)+(LEN(I246)=0)+(LEN(J246)=0)+(LEN(K246)=0)+(LEN(L246)=0)+(LEN(N246)=0)+(LEN(O246)=0)+(LEN(P246)=0)+(LEN(R246)=0)+(LEN(AA246)=0))</f>
        <v/>
      </c>
      <c r="AD246" s="19">
        <f>IF(OR(LEN(A246)=0,LEN(C246)=0),0,IF(OR(C246&lt;1,C246&gt;5),1,0))</f>
        <v/>
      </c>
      <c r="AE246" s="19">
        <f>IF(OR(LEN(A246)=0,LEN(R246)=0),0,IF(OR(R246="Active",R246="Paid off",R246="Defaulted",R246="Repossessed",R246="Written off",R246="Restructured"),0,1))</f>
        <v/>
      </c>
      <c r="AF246" s="19">
        <f>IF(A246="",0,IF(N(J246)&gt;N(I246),1,0))</f>
        <v/>
      </c>
      <c r="AG246" s="19">
        <f>IF(A246="",0,IF(N(N246)&gt;N(M246)+1,1,0))</f>
        <v/>
      </c>
      <c r="AH246" s="19">
        <f>IF(A246="",0,IF(N(E246)&gt;N(B246),1,0))</f>
        <v/>
      </c>
      <c r="AI246" s="19">
        <f>IF(A246="",0,IF(AND(Z246="Full payment",N(N246)&lt;N(M246)-1),1,0))</f>
        <v/>
      </c>
      <c r="AJ246" s="19">
        <f>IF(A246="",0,IF(N(P246)&lt;0,1,0))</f>
        <v/>
      </c>
      <c r="AK246" s="19">
        <f>IF(A246="",0,IF(COUNTIF($A$7:$A$1006,A246)&gt;1,1,0))</f>
        <v/>
      </c>
    </row>
    <row r="247">
      <c r="A247" s="10" t="n"/>
      <c r="B247" s="17" t="n"/>
      <c r="C247" s="18" t="n"/>
      <c r="D247" s="10" t="n"/>
      <c r="E247" s="17" t="n"/>
      <c r="F247" s="10" t="n"/>
      <c r="G247" s="10" t="n"/>
      <c r="H247" s="10" t="n"/>
      <c r="I247" s="18" t="n"/>
      <c r="J247" s="18" t="n"/>
      <c r="K247" s="18" t="n"/>
      <c r="L247" s="18" t="n"/>
      <c r="M247" s="19">
        <f>IF(K247="","",K247*365/12*L247)</f>
        <v/>
      </c>
      <c r="N247" s="18" t="n"/>
      <c r="O247" s="18" t="n"/>
      <c r="P247" s="18" t="n"/>
      <c r="Q247" s="18" t="n"/>
      <c r="R247" s="10" t="n"/>
      <c r="S247" s="17" t="n"/>
      <c r="T247" s="18" t="n"/>
      <c r="U247" s="17" t="n"/>
      <c r="V247" s="17" t="n"/>
      <c r="W247" s="18" t="n"/>
      <c r="X247" s="18" t="n"/>
      <c r="Y247" s="17" t="n"/>
      <c r="Z247" s="10" t="n"/>
      <c r="AA247" s="10" t="n"/>
      <c r="AB247" s="19">
        <f>IF(LEN(A247)&gt;0,1,0)</f>
        <v/>
      </c>
      <c r="AC247" s="19">
        <f>IF(LEN(A247)=0,0,(LEN(B247)=0)+(LEN(C247)=0)+(LEN(D247)=0)+(LEN(E247)=0)+(LEN(F247)=0)+(LEN(G247)=0)+(LEN(H247)=0)+(LEN(I247)=0)+(LEN(J247)=0)+(LEN(K247)=0)+(LEN(L247)=0)+(LEN(N247)=0)+(LEN(O247)=0)+(LEN(P247)=0)+(LEN(R247)=0)+(LEN(AA247)=0))</f>
        <v/>
      </c>
      <c r="AD247" s="19">
        <f>IF(OR(LEN(A247)=0,LEN(C247)=0),0,IF(OR(C247&lt;1,C247&gt;5),1,0))</f>
        <v/>
      </c>
      <c r="AE247" s="19">
        <f>IF(OR(LEN(A247)=0,LEN(R247)=0),0,IF(OR(R247="Active",R247="Paid off",R247="Defaulted",R247="Repossessed",R247="Written off",R247="Restructured"),0,1))</f>
        <v/>
      </c>
      <c r="AF247" s="19">
        <f>IF(A247="",0,IF(N(J247)&gt;N(I247),1,0))</f>
        <v/>
      </c>
      <c r="AG247" s="19">
        <f>IF(A247="",0,IF(N(N247)&gt;N(M247)+1,1,0))</f>
        <v/>
      </c>
      <c r="AH247" s="19">
        <f>IF(A247="",0,IF(N(E247)&gt;N(B247),1,0))</f>
        <v/>
      </c>
      <c r="AI247" s="19">
        <f>IF(A247="",0,IF(AND(Z247="Full payment",N(N247)&lt;N(M247)-1),1,0))</f>
        <v/>
      </c>
      <c r="AJ247" s="19">
        <f>IF(A247="",0,IF(N(P247)&lt;0,1,0))</f>
        <v/>
      </c>
      <c r="AK247" s="19">
        <f>IF(A247="",0,IF(COUNTIF($A$7:$A$1006,A247)&gt;1,1,0))</f>
        <v/>
      </c>
    </row>
    <row r="248">
      <c r="A248" s="10" t="n"/>
      <c r="B248" s="17" t="n"/>
      <c r="C248" s="18" t="n"/>
      <c r="D248" s="10" t="n"/>
      <c r="E248" s="17" t="n"/>
      <c r="F248" s="10" t="n"/>
      <c r="G248" s="10" t="n"/>
      <c r="H248" s="10" t="n"/>
      <c r="I248" s="18" t="n"/>
      <c r="J248" s="18" t="n"/>
      <c r="K248" s="18" t="n"/>
      <c r="L248" s="18" t="n"/>
      <c r="M248" s="19">
        <f>IF(K248="","",K248*365/12*L248)</f>
        <v/>
      </c>
      <c r="N248" s="18" t="n"/>
      <c r="O248" s="18" t="n"/>
      <c r="P248" s="18" t="n"/>
      <c r="Q248" s="18" t="n"/>
      <c r="R248" s="10" t="n"/>
      <c r="S248" s="17" t="n"/>
      <c r="T248" s="18" t="n"/>
      <c r="U248" s="17" t="n"/>
      <c r="V248" s="17" t="n"/>
      <c r="W248" s="18" t="n"/>
      <c r="X248" s="18" t="n"/>
      <c r="Y248" s="17" t="n"/>
      <c r="Z248" s="10" t="n"/>
      <c r="AA248" s="10" t="n"/>
      <c r="AB248" s="19">
        <f>IF(LEN(A248)&gt;0,1,0)</f>
        <v/>
      </c>
      <c r="AC248" s="19">
        <f>IF(LEN(A248)=0,0,(LEN(B248)=0)+(LEN(C248)=0)+(LEN(D248)=0)+(LEN(E248)=0)+(LEN(F248)=0)+(LEN(G248)=0)+(LEN(H248)=0)+(LEN(I248)=0)+(LEN(J248)=0)+(LEN(K248)=0)+(LEN(L248)=0)+(LEN(N248)=0)+(LEN(O248)=0)+(LEN(P248)=0)+(LEN(R248)=0)+(LEN(AA248)=0))</f>
        <v/>
      </c>
      <c r="AD248" s="19">
        <f>IF(OR(LEN(A248)=0,LEN(C248)=0),0,IF(OR(C248&lt;1,C248&gt;5),1,0))</f>
        <v/>
      </c>
      <c r="AE248" s="19">
        <f>IF(OR(LEN(A248)=0,LEN(R248)=0),0,IF(OR(R248="Active",R248="Paid off",R248="Defaulted",R248="Repossessed",R248="Written off",R248="Restructured"),0,1))</f>
        <v/>
      </c>
      <c r="AF248" s="19">
        <f>IF(A248="",0,IF(N(J248)&gt;N(I248),1,0))</f>
        <v/>
      </c>
      <c r="AG248" s="19">
        <f>IF(A248="",0,IF(N(N248)&gt;N(M248)+1,1,0))</f>
        <v/>
      </c>
      <c r="AH248" s="19">
        <f>IF(A248="",0,IF(N(E248)&gt;N(B248),1,0))</f>
        <v/>
      </c>
      <c r="AI248" s="19">
        <f>IF(A248="",0,IF(AND(Z248="Full payment",N(N248)&lt;N(M248)-1),1,0))</f>
        <v/>
      </c>
      <c r="AJ248" s="19">
        <f>IF(A248="",0,IF(N(P248)&lt;0,1,0))</f>
        <v/>
      </c>
      <c r="AK248" s="19">
        <f>IF(A248="",0,IF(COUNTIF($A$7:$A$1006,A248)&gt;1,1,0))</f>
        <v/>
      </c>
    </row>
    <row r="249">
      <c r="A249" s="10" t="n"/>
      <c r="B249" s="17" t="n"/>
      <c r="C249" s="18" t="n"/>
      <c r="D249" s="10" t="n"/>
      <c r="E249" s="17" t="n"/>
      <c r="F249" s="10" t="n"/>
      <c r="G249" s="10" t="n"/>
      <c r="H249" s="10" t="n"/>
      <c r="I249" s="18" t="n"/>
      <c r="J249" s="18" t="n"/>
      <c r="K249" s="18" t="n"/>
      <c r="L249" s="18" t="n"/>
      <c r="M249" s="19">
        <f>IF(K249="","",K249*365/12*L249)</f>
        <v/>
      </c>
      <c r="N249" s="18" t="n"/>
      <c r="O249" s="18" t="n"/>
      <c r="P249" s="18" t="n"/>
      <c r="Q249" s="18" t="n"/>
      <c r="R249" s="10" t="n"/>
      <c r="S249" s="17" t="n"/>
      <c r="T249" s="18" t="n"/>
      <c r="U249" s="17" t="n"/>
      <c r="V249" s="17" t="n"/>
      <c r="W249" s="18" t="n"/>
      <c r="X249" s="18" t="n"/>
      <c r="Y249" s="17" t="n"/>
      <c r="Z249" s="10" t="n"/>
      <c r="AA249" s="10" t="n"/>
      <c r="AB249" s="19">
        <f>IF(LEN(A249)&gt;0,1,0)</f>
        <v/>
      </c>
      <c r="AC249" s="19">
        <f>IF(LEN(A249)=0,0,(LEN(B249)=0)+(LEN(C249)=0)+(LEN(D249)=0)+(LEN(E249)=0)+(LEN(F249)=0)+(LEN(G249)=0)+(LEN(H249)=0)+(LEN(I249)=0)+(LEN(J249)=0)+(LEN(K249)=0)+(LEN(L249)=0)+(LEN(N249)=0)+(LEN(O249)=0)+(LEN(P249)=0)+(LEN(R249)=0)+(LEN(AA249)=0))</f>
        <v/>
      </c>
      <c r="AD249" s="19">
        <f>IF(OR(LEN(A249)=0,LEN(C249)=0),0,IF(OR(C249&lt;1,C249&gt;5),1,0))</f>
        <v/>
      </c>
      <c r="AE249" s="19">
        <f>IF(OR(LEN(A249)=0,LEN(R249)=0),0,IF(OR(R249="Active",R249="Paid off",R249="Defaulted",R249="Repossessed",R249="Written off",R249="Restructured"),0,1))</f>
        <v/>
      </c>
      <c r="AF249" s="19">
        <f>IF(A249="",0,IF(N(J249)&gt;N(I249),1,0))</f>
        <v/>
      </c>
      <c r="AG249" s="19">
        <f>IF(A249="",0,IF(N(N249)&gt;N(M249)+1,1,0))</f>
        <v/>
      </c>
      <c r="AH249" s="19">
        <f>IF(A249="",0,IF(N(E249)&gt;N(B249),1,0))</f>
        <v/>
      </c>
      <c r="AI249" s="19">
        <f>IF(A249="",0,IF(AND(Z249="Full payment",N(N249)&lt;N(M249)-1),1,0))</f>
        <v/>
      </c>
      <c r="AJ249" s="19">
        <f>IF(A249="",0,IF(N(P249)&lt;0,1,0))</f>
        <v/>
      </c>
      <c r="AK249" s="19">
        <f>IF(A249="",0,IF(COUNTIF($A$7:$A$1006,A249)&gt;1,1,0))</f>
        <v/>
      </c>
    </row>
    <row r="250">
      <c r="A250" s="10" t="n"/>
      <c r="B250" s="17" t="n"/>
      <c r="C250" s="18" t="n"/>
      <c r="D250" s="10" t="n"/>
      <c r="E250" s="17" t="n"/>
      <c r="F250" s="10" t="n"/>
      <c r="G250" s="10" t="n"/>
      <c r="H250" s="10" t="n"/>
      <c r="I250" s="18" t="n"/>
      <c r="J250" s="18" t="n"/>
      <c r="K250" s="18" t="n"/>
      <c r="L250" s="18" t="n"/>
      <c r="M250" s="19">
        <f>IF(K250="","",K250*365/12*L250)</f>
        <v/>
      </c>
      <c r="N250" s="18" t="n"/>
      <c r="O250" s="18" t="n"/>
      <c r="P250" s="18" t="n"/>
      <c r="Q250" s="18" t="n"/>
      <c r="R250" s="10" t="n"/>
      <c r="S250" s="17" t="n"/>
      <c r="T250" s="18" t="n"/>
      <c r="U250" s="17" t="n"/>
      <c r="V250" s="17" t="n"/>
      <c r="W250" s="18" t="n"/>
      <c r="X250" s="18" t="n"/>
      <c r="Y250" s="17" t="n"/>
      <c r="Z250" s="10" t="n"/>
      <c r="AA250" s="10" t="n"/>
      <c r="AB250" s="19">
        <f>IF(LEN(A250)&gt;0,1,0)</f>
        <v/>
      </c>
      <c r="AC250" s="19">
        <f>IF(LEN(A250)=0,0,(LEN(B250)=0)+(LEN(C250)=0)+(LEN(D250)=0)+(LEN(E250)=0)+(LEN(F250)=0)+(LEN(G250)=0)+(LEN(H250)=0)+(LEN(I250)=0)+(LEN(J250)=0)+(LEN(K250)=0)+(LEN(L250)=0)+(LEN(N250)=0)+(LEN(O250)=0)+(LEN(P250)=0)+(LEN(R250)=0)+(LEN(AA250)=0))</f>
        <v/>
      </c>
      <c r="AD250" s="19">
        <f>IF(OR(LEN(A250)=0,LEN(C250)=0),0,IF(OR(C250&lt;1,C250&gt;5),1,0))</f>
        <v/>
      </c>
      <c r="AE250" s="19">
        <f>IF(OR(LEN(A250)=0,LEN(R250)=0),0,IF(OR(R250="Active",R250="Paid off",R250="Defaulted",R250="Repossessed",R250="Written off",R250="Restructured"),0,1))</f>
        <v/>
      </c>
      <c r="AF250" s="19">
        <f>IF(A250="",0,IF(N(J250)&gt;N(I250),1,0))</f>
        <v/>
      </c>
      <c r="AG250" s="19">
        <f>IF(A250="",0,IF(N(N250)&gt;N(M250)+1,1,0))</f>
        <v/>
      </c>
      <c r="AH250" s="19">
        <f>IF(A250="",0,IF(N(E250)&gt;N(B250),1,0))</f>
        <v/>
      </c>
      <c r="AI250" s="19">
        <f>IF(A250="",0,IF(AND(Z250="Full payment",N(N250)&lt;N(M250)-1),1,0))</f>
        <v/>
      </c>
      <c r="AJ250" s="19">
        <f>IF(A250="",0,IF(N(P250)&lt;0,1,0))</f>
        <v/>
      </c>
      <c r="AK250" s="19">
        <f>IF(A250="",0,IF(COUNTIF($A$7:$A$1006,A250)&gt;1,1,0))</f>
        <v/>
      </c>
    </row>
    <row r="251">
      <c r="A251" s="10" t="n"/>
      <c r="B251" s="17" t="n"/>
      <c r="C251" s="18" t="n"/>
      <c r="D251" s="10" t="n"/>
      <c r="E251" s="17" t="n"/>
      <c r="F251" s="10" t="n"/>
      <c r="G251" s="10" t="n"/>
      <c r="H251" s="10" t="n"/>
      <c r="I251" s="18" t="n"/>
      <c r="J251" s="18" t="n"/>
      <c r="K251" s="18" t="n"/>
      <c r="L251" s="18" t="n"/>
      <c r="M251" s="19">
        <f>IF(K251="","",K251*365/12*L251)</f>
        <v/>
      </c>
      <c r="N251" s="18" t="n"/>
      <c r="O251" s="18" t="n"/>
      <c r="P251" s="18" t="n"/>
      <c r="Q251" s="18" t="n"/>
      <c r="R251" s="10" t="n"/>
      <c r="S251" s="17" t="n"/>
      <c r="T251" s="18" t="n"/>
      <c r="U251" s="17" t="n"/>
      <c r="V251" s="17" t="n"/>
      <c r="W251" s="18" t="n"/>
      <c r="X251" s="18" t="n"/>
      <c r="Y251" s="17" t="n"/>
      <c r="Z251" s="10" t="n"/>
      <c r="AA251" s="10" t="n"/>
      <c r="AB251" s="19">
        <f>IF(LEN(A251)&gt;0,1,0)</f>
        <v/>
      </c>
      <c r="AC251" s="19">
        <f>IF(LEN(A251)=0,0,(LEN(B251)=0)+(LEN(C251)=0)+(LEN(D251)=0)+(LEN(E251)=0)+(LEN(F251)=0)+(LEN(G251)=0)+(LEN(H251)=0)+(LEN(I251)=0)+(LEN(J251)=0)+(LEN(K251)=0)+(LEN(L251)=0)+(LEN(N251)=0)+(LEN(O251)=0)+(LEN(P251)=0)+(LEN(R251)=0)+(LEN(AA251)=0))</f>
        <v/>
      </c>
      <c r="AD251" s="19">
        <f>IF(OR(LEN(A251)=0,LEN(C251)=0),0,IF(OR(C251&lt;1,C251&gt;5),1,0))</f>
        <v/>
      </c>
      <c r="AE251" s="19">
        <f>IF(OR(LEN(A251)=0,LEN(R251)=0),0,IF(OR(R251="Active",R251="Paid off",R251="Defaulted",R251="Repossessed",R251="Written off",R251="Restructured"),0,1))</f>
        <v/>
      </c>
      <c r="AF251" s="19">
        <f>IF(A251="",0,IF(N(J251)&gt;N(I251),1,0))</f>
        <v/>
      </c>
      <c r="AG251" s="19">
        <f>IF(A251="",0,IF(N(N251)&gt;N(M251)+1,1,0))</f>
        <v/>
      </c>
      <c r="AH251" s="19">
        <f>IF(A251="",0,IF(N(E251)&gt;N(B251),1,0))</f>
        <v/>
      </c>
      <c r="AI251" s="19">
        <f>IF(A251="",0,IF(AND(Z251="Full payment",N(N251)&lt;N(M251)-1),1,0))</f>
        <v/>
      </c>
      <c r="AJ251" s="19">
        <f>IF(A251="",0,IF(N(P251)&lt;0,1,0))</f>
        <v/>
      </c>
      <c r="AK251" s="19">
        <f>IF(A251="",0,IF(COUNTIF($A$7:$A$1006,A251)&gt;1,1,0))</f>
        <v/>
      </c>
    </row>
    <row r="252">
      <c r="A252" s="10" t="n"/>
      <c r="B252" s="17" t="n"/>
      <c r="C252" s="18" t="n"/>
      <c r="D252" s="10" t="n"/>
      <c r="E252" s="17" t="n"/>
      <c r="F252" s="10" t="n"/>
      <c r="G252" s="10" t="n"/>
      <c r="H252" s="10" t="n"/>
      <c r="I252" s="18" t="n"/>
      <c r="J252" s="18" t="n"/>
      <c r="K252" s="18" t="n"/>
      <c r="L252" s="18" t="n"/>
      <c r="M252" s="19">
        <f>IF(K252="","",K252*365/12*L252)</f>
        <v/>
      </c>
      <c r="N252" s="18" t="n"/>
      <c r="O252" s="18" t="n"/>
      <c r="P252" s="18" t="n"/>
      <c r="Q252" s="18" t="n"/>
      <c r="R252" s="10" t="n"/>
      <c r="S252" s="17" t="n"/>
      <c r="T252" s="18" t="n"/>
      <c r="U252" s="17" t="n"/>
      <c r="V252" s="17" t="n"/>
      <c r="W252" s="18" t="n"/>
      <c r="X252" s="18" t="n"/>
      <c r="Y252" s="17" t="n"/>
      <c r="Z252" s="10" t="n"/>
      <c r="AA252" s="10" t="n"/>
      <c r="AB252" s="19">
        <f>IF(LEN(A252)&gt;0,1,0)</f>
        <v/>
      </c>
      <c r="AC252" s="19">
        <f>IF(LEN(A252)=0,0,(LEN(B252)=0)+(LEN(C252)=0)+(LEN(D252)=0)+(LEN(E252)=0)+(LEN(F252)=0)+(LEN(G252)=0)+(LEN(H252)=0)+(LEN(I252)=0)+(LEN(J252)=0)+(LEN(K252)=0)+(LEN(L252)=0)+(LEN(N252)=0)+(LEN(O252)=0)+(LEN(P252)=0)+(LEN(R252)=0)+(LEN(AA252)=0))</f>
        <v/>
      </c>
      <c r="AD252" s="19">
        <f>IF(OR(LEN(A252)=0,LEN(C252)=0),0,IF(OR(C252&lt;1,C252&gt;5),1,0))</f>
        <v/>
      </c>
      <c r="AE252" s="19">
        <f>IF(OR(LEN(A252)=0,LEN(R252)=0),0,IF(OR(R252="Active",R252="Paid off",R252="Defaulted",R252="Repossessed",R252="Written off",R252="Restructured"),0,1))</f>
        <v/>
      </c>
      <c r="AF252" s="19">
        <f>IF(A252="",0,IF(N(J252)&gt;N(I252),1,0))</f>
        <v/>
      </c>
      <c r="AG252" s="19">
        <f>IF(A252="",0,IF(N(N252)&gt;N(M252)+1,1,0))</f>
        <v/>
      </c>
      <c r="AH252" s="19">
        <f>IF(A252="",0,IF(N(E252)&gt;N(B252),1,0))</f>
        <v/>
      </c>
      <c r="AI252" s="19">
        <f>IF(A252="",0,IF(AND(Z252="Full payment",N(N252)&lt;N(M252)-1),1,0))</f>
        <v/>
      </c>
      <c r="AJ252" s="19">
        <f>IF(A252="",0,IF(N(P252)&lt;0,1,0))</f>
        <v/>
      </c>
      <c r="AK252" s="19">
        <f>IF(A252="",0,IF(COUNTIF($A$7:$A$1006,A252)&gt;1,1,0))</f>
        <v/>
      </c>
    </row>
    <row r="253">
      <c r="A253" s="10" t="n"/>
      <c r="B253" s="17" t="n"/>
      <c r="C253" s="18" t="n"/>
      <c r="D253" s="10" t="n"/>
      <c r="E253" s="17" t="n"/>
      <c r="F253" s="10" t="n"/>
      <c r="G253" s="10" t="n"/>
      <c r="H253" s="10" t="n"/>
      <c r="I253" s="18" t="n"/>
      <c r="J253" s="18" t="n"/>
      <c r="K253" s="18" t="n"/>
      <c r="L253" s="18" t="n"/>
      <c r="M253" s="19">
        <f>IF(K253="","",K253*365/12*L253)</f>
        <v/>
      </c>
      <c r="N253" s="18" t="n"/>
      <c r="O253" s="18" t="n"/>
      <c r="P253" s="18" t="n"/>
      <c r="Q253" s="18" t="n"/>
      <c r="R253" s="10" t="n"/>
      <c r="S253" s="17" t="n"/>
      <c r="T253" s="18" t="n"/>
      <c r="U253" s="17" t="n"/>
      <c r="V253" s="17" t="n"/>
      <c r="W253" s="18" t="n"/>
      <c r="X253" s="18" t="n"/>
      <c r="Y253" s="17" t="n"/>
      <c r="Z253" s="10" t="n"/>
      <c r="AA253" s="10" t="n"/>
      <c r="AB253" s="19">
        <f>IF(LEN(A253)&gt;0,1,0)</f>
        <v/>
      </c>
      <c r="AC253" s="19">
        <f>IF(LEN(A253)=0,0,(LEN(B253)=0)+(LEN(C253)=0)+(LEN(D253)=0)+(LEN(E253)=0)+(LEN(F253)=0)+(LEN(G253)=0)+(LEN(H253)=0)+(LEN(I253)=0)+(LEN(J253)=0)+(LEN(K253)=0)+(LEN(L253)=0)+(LEN(N253)=0)+(LEN(O253)=0)+(LEN(P253)=0)+(LEN(R253)=0)+(LEN(AA253)=0))</f>
        <v/>
      </c>
      <c r="AD253" s="19">
        <f>IF(OR(LEN(A253)=0,LEN(C253)=0),0,IF(OR(C253&lt;1,C253&gt;5),1,0))</f>
        <v/>
      </c>
      <c r="AE253" s="19">
        <f>IF(OR(LEN(A253)=0,LEN(R253)=0),0,IF(OR(R253="Active",R253="Paid off",R253="Defaulted",R253="Repossessed",R253="Written off",R253="Restructured"),0,1))</f>
        <v/>
      </c>
      <c r="AF253" s="19">
        <f>IF(A253="",0,IF(N(J253)&gt;N(I253),1,0))</f>
        <v/>
      </c>
      <c r="AG253" s="19">
        <f>IF(A253="",0,IF(N(N253)&gt;N(M253)+1,1,0))</f>
        <v/>
      </c>
      <c r="AH253" s="19">
        <f>IF(A253="",0,IF(N(E253)&gt;N(B253),1,0))</f>
        <v/>
      </c>
      <c r="AI253" s="19">
        <f>IF(A253="",0,IF(AND(Z253="Full payment",N(N253)&lt;N(M253)-1),1,0))</f>
        <v/>
      </c>
      <c r="AJ253" s="19">
        <f>IF(A253="",0,IF(N(P253)&lt;0,1,0))</f>
        <v/>
      </c>
      <c r="AK253" s="19">
        <f>IF(A253="",0,IF(COUNTIF($A$7:$A$1006,A253)&gt;1,1,0))</f>
        <v/>
      </c>
    </row>
    <row r="254">
      <c r="A254" s="10" t="n"/>
      <c r="B254" s="17" t="n"/>
      <c r="C254" s="18" t="n"/>
      <c r="D254" s="10" t="n"/>
      <c r="E254" s="17" t="n"/>
      <c r="F254" s="10" t="n"/>
      <c r="G254" s="10" t="n"/>
      <c r="H254" s="10" t="n"/>
      <c r="I254" s="18" t="n"/>
      <c r="J254" s="18" t="n"/>
      <c r="K254" s="18" t="n"/>
      <c r="L254" s="18" t="n"/>
      <c r="M254" s="19">
        <f>IF(K254="","",K254*365/12*L254)</f>
        <v/>
      </c>
      <c r="N254" s="18" t="n"/>
      <c r="O254" s="18" t="n"/>
      <c r="P254" s="18" t="n"/>
      <c r="Q254" s="18" t="n"/>
      <c r="R254" s="10" t="n"/>
      <c r="S254" s="17" t="n"/>
      <c r="T254" s="18" t="n"/>
      <c r="U254" s="17" t="n"/>
      <c r="V254" s="17" t="n"/>
      <c r="W254" s="18" t="n"/>
      <c r="X254" s="18" t="n"/>
      <c r="Y254" s="17" t="n"/>
      <c r="Z254" s="10" t="n"/>
      <c r="AA254" s="10" t="n"/>
      <c r="AB254" s="19">
        <f>IF(LEN(A254)&gt;0,1,0)</f>
        <v/>
      </c>
      <c r="AC254" s="19">
        <f>IF(LEN(A254)=0,0,(LEN(B254)=0)+(LEN(C254)=0)+(LEN(D254)=0)+(LEN(E254)=0)+(LEN(F254)=0)+(LEN(G254)=0)+(LEN(H254)=0)+(LEN(I254)=0)+(LEN(J254)=0)+(LEN(K254)=0)+(LEN(L254)=0)+(LEN(N254)=0)+(LEN(O254)=0)+(LEN(P254)=0)+(LEN(R254)=0)+(LEN(AA254)=0))</f>
        <v/>
      </c>
      <c r="AD254" s="19">
        <f>IF(OR(LEN(A254)=0,LEN(C254)=0),0,IF(OR(C254&lt;1,C254&gt;5),1,0))</f>
        <v/>
      </c>
      <c r="AE254" s="19">
        <f>IF(OR(LEN(A254)=0,LEN(R254)=0),0,IF(OR(R254="Active",R254="Paid off",R254="Defaulted",R254="Repossessed",R254="Written off",R254="Restructured"),0,1))</f>
        <v/>
      </c>
      <c r="AF254" s="19">
        <f>IF(A254="",0,IF(N(J254)&gt;N(I254),1,0))</f>
        <v/>
      </c>
      <c r="AG254" s="19">
        <f>IF(A254="",0,IF(N(N254)&gt;N(M254)+1,1,0))</f>
        <v/>
      </c>
      <c r="AH254" s="19">
        <f>IF(A254="",0,IF(N(E254)&gt;N(B254),1,0))</f>
        <v/>
      </c>
      <c r="AI254" s="19">
        <f>IF(A254="",0,IF(AND(Z254="Full payment",N(N254)&lt;N(M254)-1),1,0))</f>
        <v/>
      </c>
      <c r="AJ254" s="19">
        <f>IF(A254="",0,IF(N(P254)&lt;0,1,0))</f>
        <v/>
      </c>
      <c r="AK254" s="19">
        <f>IF(A254="",0,IF(COUNTIF($A$7:$A$1006,A254)&gt;1,1,0))</f>
        <v/>
      </c>
    </row>
    <row r="255">
      <c r="A255" s="10" t="n"/>
      <c r="B255" s="17" t="n"/>
      <c r="C255" s="18" t="n"/>
      <c r="D255" s="10" t="n"/>
      <c r="E255" s="17" t="n"/>
      <c r="F255" s="10" t="n"/>
      <c r="G255" s="10" t="n"/>
      <c r="H255" s="10" t="n"/>
      <c r="I255" s="18" t="n"/>
      <c r="J255" s="18" t="n"/>
      <c r="K255" s="18" t="n"/>
      <c r="L255" s="18" t="n"/>
      <c r="M255" s="19">
        <f>IF(K255="","",K255*365/12*L255)</f>
        <v/>
      </c>
      <c r="N255" s="18" t="n"/>
      <c r="O255" s="18" t="n"/>
      <c r="P255" s="18" t="n"/>
      <c r="Q255" s="18" t="n"/>
      <c r="R255" s="10" t="n"/>
      <c r="S255" s="17" t="n"/>
      <c r="T255" s="18" t="n"/>
      <c r="U255" s="17" t="n"/>
      <c r="V255" s="17" t="n"/>
      <c r="W255" s="18" t="n"/>
      <c r="X255" s="18" t="n"/>
      <c r="Y255" s="17" t="n"/>
      <c r="Z255" s="10" t="n"/>
      <c r="AA255" s="10" t="n"/>
      <c r="AB255" s="19">
        <f>IF(LEN(A255)&gt;0,1,0)</f>
        <v/>
      </c>
      <c r="AC255" s="19">
        <f>IF(LEN(A255)=0,0,(LEN(B255)=0)+(LEN(C255)=0)+(LEN(D255)=0)+(LEN(E255)=0)+(LEN(F255)=0)+(LEN(G255)=0)+(LEN(H255)=0)+(LEN(I255)=0)+(LEN(J255)=0)+(LEN(K255)=0)+(LEN(L255)=0)+(LEN(N255)=0)+(LEN(O255)=0)+(LEN(P255)=0)+(LEN(R255)=0)+(LEN(AA255)=0))</f>
        <v/>
      </c>
      <c r="AD255" s="19">
        <f>IF(OR(LEN(A255)=0,LEN(C255)=0),0,IF(OR(C255&lt;1,C255&gt;5),1,0))</f>
        <v/>
      </c>
      <c r="AE255" s="19">
        <f>IF(OR(LEN(A255)=0,LEN(R255)=0),0,IF(OR(R255="Active",R255="Paid off",R255="Defaulted",R255="Repossessed",R255="Written off",R255="Restructured"),0,1))</f>
        <v/>
      </c>
      <c r="AF255" s="19">
        <f>IF(A255="",0,IF(N(J255)&gt;N(I255),1,0))</f>
        <v/>
      </c>
      <c r="AG255" s="19">
        <f>IF(A255="",0,IF(N(N255)&gt;N(M255)+1,1,0))</f>
        <v/>
      </c>
      <c r="AH255" s="19">
        <f>IF(A255="",0,IF(N(E255)&gt;N(B255),1,0))</f>
        <v/>
      </c>
      <c r="AI255" s="19">
        <f>IF(A255="",0,IF(AND(Z255="Full payment",N(N255)&lt;N(M255)-1),1,0))</f>
        <v/>
      </c>
      <c r="AJ255" s="19">
        <f>IF(A255="",0,IF(N(P255)&lt;0,1,0))</f>
        <v/>
      </c>
      <c r="AK255" s="19">
        <f>IF(A255="",0,IF(COUNTIF($A$7:$A$1006,A255)&gt;1,1,0))</f>
        <v/>
      </c>
    </row>
    <row r="256">
      <c r="A256" s="10" t="n"/>
      <c r="B256" s="17" t="n"/>
      <c r="C256" s="18" t="n"/>
      <c r="D256" s="10" t="n"/>
      <c r="E256" s="17" t="n"/>
      <c r="F256" s="10" t="n"/>
      <c r="G256" s="10" t="n"/>
      <c r="H256" s="10" t="n"/>
      <c r="I256" s="18" t="n"/>
      <c r="J256" s="18" t="n"/>
      <c r="K256" s="18" t="n"/>
      <c r="L256" s="18" t="n"/>
      <c r="M256" s="19">
        <f>IF(K256="","",K256*365/12*L256)</f>
        <v/>
      </c>
      <c r="N256" s="18" t="n"/>
      <c r="O256" s="18" t="n"/>
      <c r="P256" s="18" t="n"/>
      <c r="Q256" s="18" t="n"/>
      <c r="R256" s="10" t="n"/>
      <c r="S256" s="17" t="n"/>
      <c r="T256" s="18" t="n"/>
      <c r="U256" s="17" t="n"/>
      <c r="V256" s="17" t="n"/>
      <c r="W256" s="18" t="n"/>
      <c r="X256" s="18" t="n"/>
      <c r="Y256" s="17" t="n"/>
      <c r="Z256" s="10" t="n"/>
      <c r="AA256" s="10" t="n"/>
      <c r="AB256" s="19">
        <f>IF(LEN(A256)&gt;0,1,0)</f>
        <v/>
      </c>
      <c r="AC256" s="19">
        <f>IF(LEN(A256)=0,0,(LEN(B256)=0)+(LEN(C256)=0)+(LEN(D256)=0)+(LEN(E256)=0)+(LEN(F256)=0)+(LEN(G256)=0)+(LEN(H256)=0)+(LEN(I256)=0)+(LEN(J256)=0)+(LEN(K256)=0)+(LEN(L256)=0)+(LEN(N256)=0)+(LEN(O256)=0)+(LEN(P256)=0)+(LEN(R256)=0)+(LEN(AA256)=0))</f>
        <v/>
      </c>
      <c r="AD256" s="19">
        <f>IF(OR(LEN(A256)=0,LEN(C256)=0),0,IF(OR(C256&lt;1,C256&gt;5),1,0))</f>
        <v/>
      </c>
      <c r="AE256" s="19">
        <f>IF(OR(LEN(A256)=0,LEN(R256)=0),0,IF(OR(R256="Active",R256="Paid off",R256="Defaulted",R256="Repossessed",R256="Written off",R256="Restructured"),0,1))</f>
        <v/>
      </c>
      <c r="AF256" s="19">
        <f>IF(A256="",0,IF(N(J256)&gt;N(I256),1,0))</f>
        <v/>
      </c>
      <c r="AG256" s="19">
        <f>IF(A256="",0,IF(N(N256)&gt;N(M256)+1,1,0))</f>
        <v/>
      </c>
      <c r="AH256" s="19">
        <f>IF(A256="",0,IF(N(E256)&gt;N(B256),1,0))</f>
        <v/>
      </c>
      <c r="AI256" s="19">
        <f>IF(A256="",0,IF(AND(Z256="Full payment",N(N256)&lt;N(M256)-1),1,0))</f>
        <v/>
      </c>
      <c r="AJ256" s="19">
        <f>IF(A256="",0,IF(N(P256)&lt;0,1,0))</f>
        <v/>
      </c>
      <c r="AK256" s="19">
        <f>IF(A256="",0,IF(COUNTIF($A$7:$A$1006,A256)&gt;1,1,0))</f>
        <v/>
      </c>
    </row>
    <row r="257">
      <c r="A257" s="10" t="n"/>
      <c r="B257" s="17" t="n"/>
      <c r="C257" s="18" t="n"/>
      <c r="D257" s="10" t="n"/>
      <c r="E257" s="17" t="n"/>
      <c r="F257" s="10" t="n"/>
      <c r="G257" s="10" t="n"/>
      <c r="H257" s="10" t="n"/>
      <c r="I257" s="18" t="n"/>
      <c r="J257" s="18" t="n"/>
      <c r="K257" s="18" t="n"/>
      <c r="L257" s="18" t="n"/>
      <c r="M257" s="19">
        <f>IF(K257="","",K257*365/12*L257)</f>
        <v/>
      </c>
      <c r="N257" s="18" t="n"/>
      <c r="O257" s="18" t="n"/>
      <c r="P257" s="18" t="n"/>
      <c r="Q257" s="18" t="n"/>
      <c r="R257" s="10" t="n"/>
      <c r="S257" s="17" t="n"/>
      <c r="T257" s="18" t="n"/>
      <c r="U257" s="17" t="n"/>
      <c r="V257" s="17" t="n"/>
      <c r="W257" s="18" t="n"/>
      <c r="X257" s="18" t="n"/>
      <c r="Y257" s="17" t="n"/>
      <c r="Z257" s="10" t="n"/>
      <c r="AA257" s="10" t="n"/>
      <c r="AB257" s="19">
        <f>IF(LEN(A257)&gt;0,1,0)</f>
        <v/>
      </c>
      <c r="AC257" s="19">
        <f>IF(LEN(A257)=0,0,(LEN(B257)=0)+(LEN(C257)=0)+(LEN(D257)=0)+(LEN(E257)=0)+(LEN(F257)=0)+(LEN(G257)=0)+(LEN(H257)=0)+(LEN(I257)=0)+(LEN(J257)=0)+(LEN(K257)=0)+(LEN(L257)=0)+(LEN(N257)=0)+(LEN(O257)=0)+(LEN(P257)=0)+(LEN(R257)=0)+(LEN(AA257)=0))</f>
        <v/>
      </c>
      <c r="AD257" s="19">
        <f>IF(OR(LEN(A257)=0,LEN(C257)=0),0,IF(OR(C257&lt;1,C257&gt;5),1,0))</f>
        <v/>
      </c>
      <c r="AE257" s="19">
        <f>IF(OR(LEN(A257)=0,LEN(R257)=0),0,IF(OR(R257="Active",R257="Paid off",R257="Defaulted",R257="Repossessed",R257="Written off",R257="Restructured"),0,1))</f>
        <v/>
      </c>
      <c r="AF257" s="19">
        <f>IF(A257="",0,IF(N(J257)&gt;N(I257),1,0))</f>
        <v/>
      </c>
      <c r="AG257" s="19">
        <f>IF(A257="",0,IF(N(N257)&gt;N(M257)+1,1,0))</f>
        <v/>
      </c>
      <c r="AH257" s="19">
        <f>IF(A257="",0,IF(N(E257)&gt;N(B257),1,0))</f>
        <v/>
      </c>
      <c r="AI257" s="19">
        <f>IF(A257="",0,IF(AND(Z257="Full payment",N(N257)&lt;N(M257)-1),1,0))</f>
        <v/>
      </c>
      <c r="AJ257" s="19">
        <f>IF(A257="",0,IF(N(P257)&lt;0,1,0))</f>
        <v/>
      </c>
      <c r="AK257" s="19">
        <f>IF(A257="",0,IF(COUNTIF($A$7:$A$1006,A257)&gt;1,1,0))</f>
        <v/>
      </c>
    </row>
    <row r="258">
      <c r="A258" s="10" t="n"/>
      <c r="B258" s="17" t="n"/>
      <c r="C258" s="18" t="n"/>
      <c r="D258" s="10" t="n"/>
      <c r="E258" s="17" t="n"/>
      <c r="F258" s="10" t="n"/>
      <c r="G258" s="10" t="n"/>
      <c r="H258" s="10" t="n"/>
      <c r="I258" s="18" t="n"/>
      <c r="J258" s="18" t="n"/>
      <c r="K258" s="18" t="n"/>
      <c r="L258" s="18" t="n"/>
      <c r="M258" s="19">
        <f>IF(K258="","",K258*365/12*L258)</f>
        <v/>
      </c>
      <c r="N258" s="18" t="n"/>
      <c r="O258" s="18" t="n"/>
      <c r="P258" s="18" t="n"/>
      <c r="Q258" s="18" t="n"/>
      <c r="R258" s="10" t="n"/>
      <c r="S258" s="17" t="n"/>
      <c r="T258" s="18" t="n"/>
      <c r="U258" s="17" t="n"/>
      <c r="V258" s="17" t="n"/>
      <c r="W258" s="18" t="n"/>
      <c r="X258" s="18" t="n"/>
      <c r="Y258" s="17" t="n"/>
      <c r="Z258" s="10" t="n"/>
      <c r="AA258" s="10" t="n"/>
      <c r="AB258" s="19">
        <f>IF(LEN(A258)&gt;0,1,0)</f>
        <v/>
      </c>
      <c r="AC258" s="19">
        <f>IF(LEN(A258)=0,0,(LEN(B258)=0)+(LEN(C258)=0)+(LEN(D258)=0)+(LEN(E258)=0)+(LEN(F258)=0)+(LEN(G258)=0)+(LEN(H258)=0)+(LEN(I258)=0)+(LEN(J258)=0)+(LEN(K258)=0)+(LEN(L258)=0)+(LEN(N258)=0)+(LEN(O258)=0)+(LEN(P258)=0)+(LEN(R258)=0)+(LEN(AA258)=0))</f>
        <v/>
      </c>
      <c r="AD258" s="19">
        <f>IF(OR(LEN(A258)=0,LEN(C258)=0),0,IF(OR(C258&lt;1,C258&gt;5),1,0))</f>
        <v/>
      </c>
      <c r="AE258" s="19">
        <f>IF(OR(LEN(A258)=0,LEN(R258)=0),0,IF(OR(R258="Active",R258="Paid off",R258="Defaulted",R258="Repossessed",R258="Written off",R258="Restructured"),0,1))</f>
        <v/>
      </c>
      <c r="AF258" s="19">
        <f>IF(A258="",0,IF(N(J258)&gt;N(I258),1,0))</f>
        <v/>
      </c>
      <c r="AG258" s="19">
        <f>IF(A258="",0,IF(N(N258)&gt;N(M258)+1,1,0))</f>
        <v/>
      </c>
      <c r="AH258" s="19">
        <f>IF(A258="",0,IF(N(E258)&gt;N(B258),1,0))</f>
        <v/>
      </c>
      <c r="AI258" s="19">
        <f>IF(A258="",0,IF(AND(Z258="Full payment",N(N258)&lt;N(M258)-1),1,0))</f>
        <v/>
      </c>
      <c r="AJ258" s="19">
        <f>IF(A258="",0,IF(N(P258)&lt;0,1,0))</f>
        <v/>
      </c>
      <c r="AK258" s="19">
        <f>IF(A258="",0,IF(COUNTIF($A$7:$A$1006,A258)&gt;1,1,0))</f>
        <v/>
      </c>
    </row>
    <row r="259">
      <c r="A259" s="10" t="n"/>
      <c r="B259" s="17" t="n"/>
      <c r="C259" s="18" t="n"/>
      <c r="D259" s="10" t="n"/>
      <c r="E259" s="17" t="n"/>
      <c r="F259" s="10" t="n"/>
      <c r="G259" s="10" t="n"/>
      <c r="H259" s="10" t="n"/>
      <c r="I259" s="18" t="n"/>
      <c r="J259" s="18" t="n"/>
      <c r="K259" s="18" t="n"/>
      <c r="L259" s="18" t="n"/>
      <c r="M259" s="19">
        <f>IF(K259="","",K259*365/12*L259)</f>
        <v/>
      </c>
      <c r="N259" s="18" t="n"/>
      <c r="O259" s="18" t="n"/>
      <c r="P259" s="18" t="n"/>
      <c r="Q259" s="18" t="n"/>
      <c r="R259" s="10" t="n"/>
      <c r="S259" s="17" t="n"/>
      <c r="T259" s="18" t="n"/>
      <c r="U259" s="17" t="n"/>
      <c r="V259" s="17" t="n"/>
      <c r="W259" s="18" t="n"/>
      <c r="X259" s="18" t="n"/>
      <c r="Y259" s="17" t="n"/>
      <c r="Z259" s="10" t="n"/>
      <c r="AA259" s="10" t="n"/>
      <c r="AB259" s="19">
        <f>IF(LEN(A259)&gt;0,1,0)</f>
        <v/>
      </c>
      <c r="AC259" s="19">
        <f>IF(LEN(A259)=0,0,(LEN(B259)=0)+(LEN(C259)=0)+(LEN(D259)=0)+(LEN(E259)=0)+(LEN(F259)=0)+(LEN(G259)=0)+(LEN(H259)=0)+(LEN(I259)=0)+(LEN(J259)=0)+(LEN(K259)=0)+(LEN(L259)=0)+(LEN(N259)=0)+(LEN(O259)=0)+(LEN(P259)=0)+(LEN(R259)=0)+(LEN(AA259)=0))</f>
        <v/>
      </c>
      <c r="AD259" s="19">
        <f>IF(OR(LEN(A259)=0,LEN(C259)=0),0,IF(OR(C259&lt;1,C259&gt;5),1,0))</f>
        <v/>
      </c>
      <c r="AE259" s="19">
        <f>IF(OR(LEN(A259)=0,LEN(R259)=0),0,IF(OR(R259="Active",R259="Paid off",R259="Defaulted",R259="Repossessed",R259="Written off",R259="Restructured"),0,1))</f>
        <v/>
      </c>
      <c r="AF259" s="19">
        <f>IF(A259="",0,IF(N(J259)&gt;N(I259),1,0))</f>
        <v/>
      </c>
      <c r="AG259" s="19">
        <f>IF(A259="",0,IF(N(N259)&gt;N(M259)+1,1,0))</f>
        <v/>
      </c>
      <c r="AH259" s="19">
        <f>IF(A259="",0,IF(N(E259)&gt;N(B259),1,0))</f>
        <v/>
      </c>
      <c r="AI259" s="19">
        <f>IF(A259="",0,IF(AND(Z259="Full payment",N(N259)&lt;N(M259)-1),1,0))</f>
        <v/>
      </c>
      <c r="AJ259" s="19">
        <f>IF(A259="",0,IF(N(P259)&lt;0,1,0))</f>
        <v/>
      </c>
      <c r="AK259" s="19">
        <f>IF(A259="",0,IF(COUNTIF($A$7:$A$1006,A259)&gt;1,1,0))</f>
        <v/>
      </c>
    </row>
    <row r="260">
      <c r="A260" s="10" t="n"/>
      <c r="B260" s="17" t="n"/>
      <c r="C260" s="18" t="n"/>
      <c r="D260" s="10" t="n"/>
      <c r="E260" s="17" t="n"/>
      <c r="F260" s="10" t="n"/>
      <c r="G260" s="10" t="n"/>
      <c r="H260" s="10" t="n"/>
      <c r="I260" s="18" t="n"/>
      <c r="J260" s="18" t="n"/>
      <c r="K260" s="18" t="n"/>
      <c r="L260" s="18" t="n"/>
      <c r="M260" s="19">
        <f>IF(K260="","",K260*365/12*L260)</f>
        <v/>
      </c>
      <c r="N260" s="18" t="n"/>
      <c r="O260" s="18" t="n"/>
      <c r="P260" s="18" t="n"/>
      <c r="Q260" s="18" t="n"/>
      <c r="R260" s="10" t="n"/>
      <c r="S260" s="17" t="n"/>
      <c r="T260" s="18" t="n"/>
      <c r="U260" s="17" t="n"/>
      <c r="V260" s="17" t="n"/>
      <c r="W260" s="18" t="n"/>
      <c r="X260" s="18" t="n"/>
      <c r="Y260" s="17" t="n"/>
      <c r="Z260" s="10" t="n"/>
      <c r="AA260" s="10" t="n"/>
      <c r="AB260" s="19">
        <f>IF(LEN(A260)&gt;0,1,0)</f>
        <v/>
      </c>
      <c r="AC260" s="19">
        <f>IF(LEN(A260)=0,0,(LEN(B260)=0)+(LEN(C260)=0)+(LEN(D260)=0)+(LEN(E260)=0)+(LEN(F260)=0)+(LEN(G260)=0)+(LEN(H260)=0)+(LEN(I260)=0)+(LEN(J260)=0)+(LEN(K260)=0)+(LEN(L260)=0)+(LEN(N260)=0)+(LEN(O260)=0)+(LEN(P260)=0)+(LEN(R260)=0)+(LEN(AA260)=0))</f>
        <v/>
      </c>
      <c r="AD260" s="19">
        <f>IF(OR(LEN(A260)=0,LEN(C260)=0),0,IF(OR(C260&lt;1,C260&gt;5),1,0))</f>
        <v/>
      </c>
      <c r="AE260" s="19">
        <f>IF(OR(LEN(A260)=0,LEN(R260)=0),0,IF(OR(R260="Active",R260="Paid off",R260="Defaulted",R260="Repossessed",R260="Written off",R260="Restructured"),0,1))</f>
        <v/>
      </c>
      <c r="AF260" s="19">
        <f>IF(A260="",0,IF(N(J260)&gt;N(I260),1,0))</f>
        <v/>
      </c>
      <c r="AG260" s="19">
        <f>IF(A260="",0,IF(N(N260)&gt;N(M260)+1,1,0))</f>
        <v/>
      </c>
      <c r="AH260" s="19">
        <f>IF(A260="",0,IF(N(E260)&gt;N(B260),1,0))</f>
        <v/>
      </c>
      <c r="AI260" s="19">
        <f>IF(A260="",0,IF(AND(Z260="Full payment",N(N260)&lt;N(M260)-1),1,0))</f>
        <v/>
      </c>
      <c r="AJ260" s="19">
        <f>IF(A260="",0,IF(N(P260)&lt;0,1,0))</f>
        <v/>
      </c>
      <c r="AK260" s="19">
        <f>IF(A260="",0,IF(COUNTIF($A$7:$A$1006,A260)&gt;1,1,0))</f>
        <v/>
      </c>
    </row>
    <row r="261">
      <c r="A261" s="10" t="n"/>
      <c r="B261" s="17" t="n"/>
      <c r="C261" s="18" t="n"/>
      <c r="D261" s="10" t="n"/>
      <c r="E261" s="17" t="n"/>
      <c r="F261" s="10" t="n"/>
      <c r="G261" s="10" t="n"/>
      <c r="H261" s="10" t="n"/>
      <c r="I261" s="18" t="n"/>
      <c r="J261" s="18" t="n"/>
      <c r="K261" s="18" t="n"/>
      <c r="L261" s="18" t="n"/>
      <c r="M261" s="19">
        <f>IF(K261="","",K261*365/12*L261)</f>
        <v/>
      </c>
      <c r="N261" s="18" t="n"/>
      <c r="O261" s="18" t="n"/>
      <c r="P261" s="18" t="n"/>
      <c r="Q261" s="18" t="n"/>
      <c r="R261" s="10" t="n"/>
      <c r="S261" s="17" t="n"/>
      <c r="T261" s="18" t="n"/>
      <c r="U261" s="17" t="n"/>
      <c r="V261" s="17" t="n"/>
      <c r="W261" s="18" t="n"/>
      <c r="X261" s="18" t="n"/>
      <c r="Y261" s="17" t="n"/>
      <c r="Z261" s="10" t="n"/>
      <c r="AA261" s="10" t="n"/>
      <c r="AB261" s="19">
        <f>IF(LEN(A261)&gt;0,1,0)</f>
        <v/>
      </c>
      <c r="AC261" s="19">
        <f>IF(LEN(A261)=0,0,(LEN(B261)=0)+(LEN(C261)=0)+(LEN(D261)=0)+(LEN(E261)=0)+(LEN(F261)=0)+(LEN(G261)=0)+(LEN(H261)=0)+(LEN(I261)=0)+(LEN(J261)=0)+(LEN(K261)=0)+(LEN(L261)=0)+(LEN(N261)=0)+(LEN(O261)=0)+(LEN(P261)=0)+(LEN(R261)=0)+(LEN(AA261)=0))</f>
        <v/>
      </c>
      <c r="AD261" s="19">
        <f>IF(OR(LEN(A261)=0,LEN(C261)=0),0,IF(OR(C261&lt;1,C261&gt;5),1,0))</f>
        <v/>
      </c>
      <c r="AE261" s="19">
        <f>IF(OR(LEN(A261)=0,LEN(R261)=0),0,IF(OR(R261="Active",R261="Paid off",R261="Defaulted",R261="Repossessed",R261="Written off",R261="Restructured"),0,1))</f>
        <v/>
      </c>
      <c r="AF261" s="19">
        <f>IF(A261="",0,IF(N(J261)&gt;N(I261),1,0))</f>
        <v/>
      </c>
      <c r="AG261" s="19">
        <f>IF(A261="",0,IF(N(N261)&gt;N(M261)+1,1,0))</f>
        <v/>
      </c>
      <c r="AH261" s="19">
        <f>IF(A261="",0,IF(N(E261)&gt;N(B261),1,0))</f>
        <v/>
      </c>
      <c r="AI261" s="19">
        <f>IF(A261="",0,IF(AND(Z261="Full payment",N(N261)&lt;N(M261)-1),1,0))</f>
        <v/>
      </c>
      <c r="AJ261" s="19">
        <f>IF(A261="",0,IF(N(P261)&lt;0,1,0))</f>
        <v/>
      </c>
      <c r="AK261" s="19">
        <f>IF(A261="",0,IF(COUNTIF($A$7:$A$1006,A261)&gt;1,1,0))</f>
        <v/>
      </c>
    </row>
    <row r="262">
      <c r="A262" s="10" t="n"/>
      <c r="B262" s="17" t="n"/>
      <c r="C262" s="18" t="n"/>
      <c r="D262" s="10" t="n"/>
      <c r="E262" s="17" t="n"/>
      <c r="F262" s="10" t="n"/>
      <c r="G262" s="10" t="n"/>
      <c r="H262" s="10" t="n"/>
      <c r="I262" s="18" t="n"/>
      <c r="J262" s="18" t="n"/>
      <c r="K262" s="18" t="n"/>
      <c r="L262" s="18" t="n"/>
      <c r="M262" s="19">
        <f>IF(K262="","",K262*365/12*L262)</f>
        <v/>
      </c>
      <c r="N262" s="18" t="n"/>
      <c r="O262" s="18" t="n"/>
      <c r="P262" s="18" t="n"/>
      <c r="Q262" s="18" t="n"/>
      <c r="R262" s="10" t="n"/>
      <c r="S262" s="17" t="n"/>
      <c r="T262" s="18" t="n"/>
      <c r="U262" s="17" t="n"/>
      <c r="V262" s="17" t="n"/>
      <c r="W262" s="18" t="n"/>
      <c r="X262" s="18" t="n"/>
      <c r="Y262" s="17" t="n"/>
      <c r="Z262" s="10" t="n"/>
      <c r="AA262" s="10" t="n"/>
      <c r="AB262" s="19">
        <f>IF(LEN(A262)&gt;0,1,0)</f>
        <v/>
      </c>
      <c r="AC262" s="19">
        <f>IF(LEN(A262)=0,0,(LEN(B262)=0)+(LEN(C262)=0)+(LEN(D262)=0)+(LEN(E262)=0)+(LEN(F262)=0)+(LEN(G262)=0)+(LEN(H262)=0)+(LEN(I262)=0)+(LEN(J262)=0)+(LEN(K262)=0)+(LEN(L262)=0)+(LEN(N262)=0)+(LEN(O262)=0)+(LEN(P262)=0)+(LEN(R262)=0)+(LEN(AA262)=0))</f>
        <v/>
      </c>
      <c r="AD262" s="19">
        <f>IF(OR(LEN(A262)=0,LEN(C262)=0),0,IF(OR(C262&lt;1,C262&gt;5),1,0))</f>
        <v/>
      </c>
      <c r="AE262" s="19">
        <f>IF(OR(LEN(A262)=0,LEN(R262)=0),0,IF(OR(R262="Active",R262="Paid off",R262="Defaulted",R262="Repossessed",R262="Written off",R262="Restructured"),0,1))</f>
        <v/>
      </c>
      <c r="AF262" s="19">
        <f>IF(A262="",0,IF(N(J262)&gt;N(I262),1,0))</f>
        <v/>
      </c>
      <c r="AG262" s="19">
        <f>IF(A262="",0,IF(N(N262)&gt;N(M262)+1,1,0))</f>
        <v/>
      </c>
      <c r="AH262" s="19">
        <f>IF(A262="",0,IF(N(E262)&gt;N(B262),1,0))</f>
        <v/>
      </c>
      <c r="AI262" s="19">
        <f>IF(A262="",0,IF(AND(Z262="Full payment",N(N262)&lt;N(M262)-1),1,0))</f>
        <v/>
      </c>
      <c r="AJ262" s="19">
        <f>IF(A262="",0,IF(N(P262)&lt;0,1,0))</f>
        <v/>
      </c>
      <c r="AK262" s="19">
        <f>IF(A262="",0,IF(COUNTIF($A$7:$A$1006,A262)&gt;1,1,0))</f>
        <v/>
      </c>
    </row>
    <row r="263">
      <c r="A263" s="10" t="n"/>
      <c r="B263" s="17" t="n"/>
      <c r="C263" s="18" t="n"/>
      <c r="D263" s="10" t="n"/>
      <c r="E263" s="17" t="n"/>
      <c r="F263" s="10" t="n"/>
      <c r="G263" s="10" t="n"/>
      <c r="H263" s="10" t="n"/>
      <c r="I263" s="18" t="n"/>
      <c r="J263" s="18" t="n"/>
      <c r="K263" s="18" t="n"/>
      <c r="L263" s="18" t="n"/>
      <c r="M263" s="19">
        <f>IF(K263="","",K263*365/12*L263)</f>
        <v/>
      </c>
      <c r="N263" s="18" t="n"/>
      <c r="O263" s="18" t="n"/>
      <c r="P263" s="18" t="n"/>
      <c r="Q263" s="18" t="n"/>
      <c r="R263" s="10" t="n"/>
      <c r="S263" s="17" t="n"/>
      <c r="T263" s="18" t="n"/>
      <c r="U263" s="17" t="n"/>
      <c r="V263" s="17" t="n"/>
      <c r="W263" s="18" t="n"/>
      <c r="X263" s="18" t="n"/>
      <c r="Y263" s="17" t="n"/>
      <c r="Z263" s="10" t="n"/>
      <c r="AA263" s="10" t="n"/>
      <c r="AB263" s="19">
        <f>IF(LEN(A263)&gt;0,1,0)</f>
        <v/>
      </c>
      <c r="AC263" s="19">
        <f>IF(LEN(A263)=0,0,(LEN(B263)=0)+(LEN(C263)=0)+(LEN(D263)=0)+(LEN(E263)=0)+(LEN(F263)=0)+(LEN(G263)=0)+(LEN(H263)=0)+(LEN(I263)=0)+(LEN(J263)=0)+(LEN(K263)=0)+(LEN(L263)=0)+(LEN(N263)=0)+(LEN(O263)=0)+(LEN(P263)=0)+(LEN(R263)=0)+(LEN(AA263)=0))</f>
        <v/>
      </c>
      <c r="AD263" s="19">
        <f>IF(OR(LEN(A263)=0,LEN(C263)=0),0,IF(OR(C263&lt;1,C263&gt;5),1,0))</f>
        <v/>
      </c>
      <c r="AE263" s="19">
        <f>IF(OR(LEN(A263)=0,LEN(R263)=0),0,IF(OR(R263="Active",R263="Paid off",R263="Defaulted",R263="Repossessed",R263="Written off",R263="Restructured"),0,1))</f>
        <v/>
      </c>
      <c r="AF263" s="19">
        <f>IF(A263="",0,IF(N(J263)&gt;N(I263),1,0))</f>
        <v/>
      </c>
      <c r="AG263" s="19">
        <f>IF(A263="",0,IF(N(N263)&gt;N(M263)+1,1,0))</f>
        <v/>
      </c>
      <c r="AH263" s="19">
        <f>IF(A263="",0,IF(N(E263)&gt;N(B263),1,0))</f>
        <v/>
      </c>
      <c r="AI263" s="19">
        <f>IF(A263="",0,IF(AND(Z263="Full payment",N(N263)&lt;N(M263)-1),1,0))</f>
        <v/>
      </c>
      <c r="AJ263" s="19">
        <f>IF(A263="",0,IF(N(P263)&lt;0,1,0))</f>
        <v/>
      </c>
      <c r="AK263" s="19">
        <f>IF(A263="",0,IF(COUNTIF($A$7:$A$1006,A263)&gt;1,1,0))</f>
        <v/>
      </c>
    </row>
    <row r="264">
      <c r="A264" s="10" t="n"/>
      <c r="B264" s="17" t="n"/>
      <c r="C264" s="18" t="n"/>
      <c r="D264" s="10" t="n"/>
      <c r="E264" s="17" t="n"/>
      <c r="F264" s="10" t="n"/>
      <c r="G264" s="10" t="n"/>
      <c r="H264" s="10" t="n"/>
      <c r="I264" s="18" t="n"/>
      <c r="J264" s="18" t="n"/>
      <c r="K264" s="18" t="n"/>
      <c r="L264" s="18" t="n"/>
      <c r="M264" s="19">
        <f>IF(K264="","",K264*365/12*L264)</f>
        <v/>
      </c>
      <c r="N264" s="18" t="n"/>
      <c r="O264" s="18" t="n"/>
      <c r="P264" s="18" t="n"/>
      <c r="Q264" s="18" t="n"/>
      <c r="R264" s="10" t="n"/>
      <c r="S264" s="17" t="n"/>
      <c r="T264" s="18" t="n"/>
      <c r="U264" s="17" t="n"/>
      <c r="V264" s="17" t="n"/>
      <c r="W264" s="18" t="n"/>
      <c r="X264" s="18" t="n"/>
      <c r="Y264" s="17" t="n"/>
      <c r="Z264" s="10" t="n"/>
      <c r="AA264" s="10" t="n"/>
      <c r="AB264" s="19">
        <f>IF(LEN(A264)&gt;0,1,0)</f>
        <v/>
      </c>
      <c r="AC264" s="19">
        <f>IF(LEN(A264)=0,0,(LEN(B264)=0)+(LEN(C264)=0)+(LEN(D264)=0)+(LEN(E264)=0)+(LEN(F264)=0)+(LEN(G264)=0)+(LEN(H264)=0)+(LEN(I264)=0)+(LEN(J264)=0)+(LEN(K264)=0)+(LEN(L264)=0)+(LEN(N264)=0)+(LEN(O264)=0)+(LEN(P264)=0)+(LEN(R264)=0)+(LEN(AA264)=0))</f>
        <v/>
      </c>
      <c r="AD264" s="19">
        <f>IF(OR(LEN(A264)=0,LEN(C264)=0),0,IF(OR(C264&lt;1,C264&gt;5),1,0))</f>
        <v/>
      </c>
      <c r="AE264" s="19">
        <f>IF(OR(LEN(A264)=0,LEN(R264)=0),0,IF(OR(R264="Active",R264="Paid off",R264="Defaulted",R264="Repossessed",R264="Written off",R264="Restructured"),0,1))</f>
        <v/>
      </c>
      <c r="AF264" s="19">
        <f>IF(A264="",0,IF(N(J264)&gt;N(I264),1,0))</f>
        <v/>
      </c>
      <c r="AG264" s="19">
        <f>IF(A264="",0,IF(N(N264)&gt;N(M264)+1,1,0))</f>
        <v/>
      </c>
      <c r="AH264" s="19">
        <f>IF(A264="",0,IF(N(E264)&gt;N(B264),1,0))</f>
        <v/>
      </c>
      <c r="AI264" s="19">
        <f>IF(A264="",0,IF(AND(Z264="Full payment",N(N264)&lt;N(M264)-1),1,0))</f>
        <v/>
      </c>
      <c r="AJ264" s="19">
        <f>IF(A264="",0,IF(N(P264)&lt;0,1,0))</f>
        <v/>
      </c>
      <c r="AK264" s="19">
        <f>IF(A264="",0,IF(COUNTIF($A$7:$A$1006,A264)&gt;1,1,0))</f>
        <v/>
      </c>
    </row>
    <row r="265">
      <c r="A265" s="10" t="n"/>
      <c r="B265" s="17" t="n"/>
      <c r="C265" s="18" t="n"/>
      <c r="D265" s="10" t="n"/>
      <c r="E265" s="17" t="n"/>
      <c r="F265" s="10" t="n"/>
      <c r="G265" s="10" t="n"/>
      <c r="H265" s="10" t="n"/>
      <c r="I265" s="18" t="n"/>
      <c r="J265" s="18" t="n"/>
      <c r="K265" s="18" t="n"/>
      <c r="L265" s="18" t="n"/>
      <c r="M265" s="19">
        <f>IF(K265="","",K265*365/12*L265)</f>
        <v/>
      </c>
      <c r="N265" s="18" t="n"/>
      <c r="O265" s="18" t="n"/>
      <c r="P265" s="18" t="n"/>
      <c r="Q265" s="18" t="n"/>
      <c r="R265" s="10" t="n"/>
      <c r="S265" s="17" t="n"/>
      <c r="T265" s="18" t="n"/>
      <c r="U265" s="17" t="n"/>
      <c r="V265" s="17" t="n"/>
      <c r="W265" s="18" t="n"/>
      <c r="X265" s="18" t="n"/>
      <c r="Y265" s="17" t="n"/>
      <c r="Z265" s="10" t="n"/>
      <c r="AA265" s="10" t="n"/>
      <c r="AB265" s="19">
        <f>IF(LEN(A265)&gt;0,1,0)</f>
        <v/>
      </c>
      <c r="AC265" s="19">
        <f>IF(LEN(A265)=0,0,(LEN(B265)=0)+(LEN(C265)=0)+(LEN(D265)=0)+(LEN(E265)=0)+(LEN(F265)=0)+(LEN(G265)=0)+(LEN(H265)=0)+(LEN(I265)=0)+(LEN(J265)=0)+(LEN(K265)=0)+(LEN(L265)=0)+(LEN(N265)=0)+(LEN(O265)=0)+(LEN(P265)=0)+(LEN(R265)=0)+(LEN(AA265)=0))</f>
        <v/>
      </c>
      <c r="AD265" s="19">
        <f>IF(OR(LEN(A265)=0,LEN(C265)=0),0,IF(OR(C265&lt;1,C265&gt;5),1,0))</f>
        <v/>
      </c>
      <c r="AE265" s="19">
        <f>IF(OR(LEN(A265)=0,LEN(R265)=0),0,IF(OR(R265="Active",R265="Paid off",R265="Defaulted",R265="Repossessed",R265="Written off",R265="Restructured"),0,1))</f>
        <v/>
      </c>
      <c r="AF265" s="19">
        <f>IF(A265="",0,IF(N(J265)&gt;N(I265),1,0))</f>
        <v/>
      </c>
      <c r="AG265" s="19">
        <f>IF(A265="",0,IF(N(N265)&gt;N(M265)+1,1,0))</f>
        <v/>
      </c>
      <c r="AH265" s="19">
        <f>IF(A265="",0,IF(N(E265)&gt;N(B265),1,0))</f>
        <v/>
      </c>
      <c r="AI265" s="19">
        <f>IF(A265="",0,IF(AND(Z265="Full payment",N(N265)&lt;N(M265)-1),1,0))</f>
        <v/>
      </c>
      <c r="AJ265" s="19">
        <f>IF(A265="",0,IF(N(P265)&lt;0,1,0))</f>
        <v/>
      </c>
      <c r="AK265" s="19">
        <f>IF(A265="",0,IF(COUNTIF($A$7:$A$1006,A265)&gt;1,1,0))</f>
        <v/>
      </c>
    </row>
    <row r="266">
      <c r="A266" s="10" t="n"/>
      <c r="B266" s="17" t="n"/>
      <c r="C266" s="18" t="n"/>
      <c r="D266" s="10" t="n"/>
      <c r="E266" s="17" t="n"/>
      <c r="F266" s="10" t="n"/>
      <c r="G266" s="10" t="n"/>
      <c r="H266" s="10" t="n"/>
      <c r="I266" s="18" t="n"/>
      <c r="J266" s="18" t="n"/>
      <c r="K266" s="18" t="n"/>
      <c r="L266" s="18" t="n"/>
      <c r="M266" s="19">
        <f>IF(K266="","",K266*365/12*L266)</f>
        <v/>
      </c>
      <c r="N266" s="18" t="n"/>
      <c r="O266" s="18" t="n"/>
      <c r="P266" s="18" t="n"/>
      <c r="Q266" s="18" t="n"/>
      <c r="R266" s="10" t="n"/>
      <c r="S266" s="17" t="n"/>
      <c r="T266" s="18" t="n"/>
      <c r="U266" s="17" t="n"/>
      <c r="V266" s="17" t="n"/>
      <c r="W266" s="18" t="n"/>
      <c r="X266" s="18" t="n"/>
      <c r="Y266" s="17" t="n"/>
      <c r="Z266" s="10" t="n"/>
      <c r="AA266" s="10" t="n"/>
      <c r="AB266" s="19">
        <f>IF(LEN(A266)&gt;0,1,0)</f>
        <v/>
      </c>
      <c r="AC266" s="19">
        <f>IF(LEN(A266)=0,0,(LEN(B266)=0)+(LEN(C266)=0)+(LEN(D266)=0)+(LEN(E266)=0)+(LEN(F266)=0)+(LEN(G266)=0)+(LEN(H266)=0)+(LEN(I266)=0)+(LEN(J266)=0)+(LEN(K266)=0)+(LEN(L266)=0)+(LEN(N266)=0)+(LEN(O266)=0)+(LEN(P266)=0)+(LEN(R266)=0)+(LEN(AA266)=0))</f>
        <v/>
      </c>
      <c r="AD266" s="19">
        <f>IF(OR(LEN(A266)=0,LEN(C266)=0),0,IF(OR(C266&lt;1,C266&gt;5),1,0))</f>
        <v/>
      </c>
      <c r="AE266" s="19">
        <f>IF(OR(LEN(A266)=0,LEN(R266)=0),0,IF(OR(R266="Active",R266="Paid off",R266="Defaulted",R266="Repossessed",R266="Written off",R266="Restructured"),0,1))</f>
        <v/>
      </c>
      <c r="AF266" s="19">
        <f>IF(A266="",0,IF(N(J266)&gt;N(I266),1,0))</f>
        <v/>
      </c>
      <c r="AG266" s="19">
        <f>IF(A266="",0,IF(N(N266)&gt;N(M266)+1,1,0))</f>
        <v/>
      </c>
      <c r="AH266" s="19">
        <f>IF(A266="",0,IF(N(E266)&gt;N(B266),1,0))</f>
        <v/>
      </c>
      <c r="AI266" s="19">
        <f>IF(A266="",0,IF(AND(Z266="Full payment",N(N266)&lt;N(M266)-1),1,0))</f>
        <v/>
      </c>
      <c r="AJ266" s="19">
        <f>IF(A266="",0,IF(N(P266)&lt;0,1,0))</f>
        <v/>
      </c>
      <c r="AK266" s="19">
        <f>IF(A266="",0,IF(COUNTIF($A$7:$A$1006,A266)&gt;1,1,0))</f>
        <v/>
      </c>
    </row>
    <row r="267">
      <c r="A267" s="10" t="n"/>
      <c r="B267" s="17" t="n"/>
      <c r="C267" s="18" t="n"/>
      <c r="D267" s="10" t="n"/>
      <c r="E267" s="17" t="n"/>
      <c r="F267" s="10" t="n"/>
      <c r="G267" s="10" t="n"/>
      <c r="H267" s="10" t="n"/>
      <c r="I267" s="18" t="n"/>
      <c r="J267" s="18" t="n"/>
      <c r="K267" s="18" t="n"/>
      <c r="L267" s="18" t="n"/>
      <c r="M267" s="19">
        <f>IF(K267="","",K267*365/12*L267)</f>
        <v/>
      </c>
      <c r="N267" s="18" t="n"/>
      <c r="O267" s="18" t="n"/>
      <c r="P267" s="18" t="n"/>
      <c r="Q267" s="18" t="n"/>
      <c r="R267" s="10" t="n"/>
      <c r="S267" s="17" t="n"/>
      <c r="T267" s="18" t="n"/>
      <c r="U267" s="17" t="n"/>
      <c r="V267" s="17" t="n"/>
      <c r="W267" s="18" t="n"/>
      <c r="X267" s="18" t="n"/>
      <c r="Y267" s="17" t="n"/>
      <c r="Z267" s="10" t="n"/>
      <c r="AA267" s="10" t="n"/>
      <c r="AB267" s="19">
        <f>IF(LEN(A267)&gt;0,1,0)</f>
        <v/>
      </c>
      <c r="AC267" s="19">
        <f>IF(LEN(A267)=0,0,(LEN(B267)=0)+(LEN(C267)=0)+(LEN(D267)=0)+(LEN(E267)=0)+(LEN(F267)=0)+(LEN(G267)=0)+(LEN(H267)=0)+(LEN(I267)=0)+(LEN(J267)=0)+(LEN(K267)=0)+(LEN(L267)=0)+(LEN(N267)=0)+(LEN(O267)=0)+(LEN(P267)=0)+(LEN(R267)=0)+(LEN(AA267)=0))</f>
        <v/>
      </c>
      <c r="AD267" s="19">
        <f>IF(OR(LEN(A267)=0,LEN(C267)=0),0,IF(OR(C267&lt;1,C267&gt;5),1,0))</f>
        <v/>
      </c>
      <c r="AE267" s="19">
        <f>IF(OR(LEN(A267)=0,LEN(R267)=0),0,IF(OR(R267="Active",R267="Paid off",R267="Defaulted",R267="Repossessed",R267="Written off",R267="Restructured"),0,1))</f>
        <v/>
      </c>
      <c r="AF267" s="19">
        <f>IF(A267="",0,IF(N(J267)&gt;N(I267),1,0))</f>
        <v/>
      </c>
      <c r="AG267" s="19">
        <f>IF(A267="",0,IF(N(N267)&gt;N(M267)+1,1,0))</f>
        <v/>
      </c>
      <c r="AH267" s="19">
        <f>IF(A267="",0,IF(N(E267)&gt;N(B267),1,0))</f>
        <v/>
      </c>
      <c r="AI267" s="19">
        <f>IF(A267="",0,IF(AND(Z267="Full payment",N(N267)&lt;N(M267)-1),1,0))</f>
        <v/>
      </c>
      <c r="AJ267" s="19">
        <f>IF(A267="",0,IF(N(P267)&lt;0,1,0))</f>
        <v/>
      </c>
      <c r="AK267" s="19">
        <f>IF(A267="",0,IF(COUNTIF($A$7:$A$1006,A267)&gt;1,1,0))</f>
        <v/>
      </c>
    </row>
    <row r="268">
      <c r="A268" s="10" t="n"/>
      <c r="B268" s="17" t="n"/>
      <c r="C268" s="18" t="n"/>
      <c r="D268" s="10" t="n"/>
      <c r="E268" s="17" t="n"/>
      <c r="F268" s="10" t="n"/>
      <c r="G268" s="10" t="n"/>
      <c r="H268" s="10" t="n"/>
      <c r="I268" s="18" t="n"/>
      <c r="J268" s="18" t="n"/>
      <c r="K268" s="18" t="n"/>
      <c r="L268" s="18" t="n"/>
      <c r="M268" s="19">
        <f>IF(K268="","",K268*365/12*L268)</f>
        <v/>
      </c>
      <c r="N268" s="18" t="n"/>
      <c r="O268" s="18" t="n"/>
      <c r="P268" s="18" t="n"/>
      <c r="Q268" s="18" t="n"/>
      <c r="R268" s="10" t="n"/>
      <c r="S268" s="17" t="n"/>
      <c r="T268" s="18" t="n"/>
      <c r="U268" s="17" t="n"/>
      <c r="V268" s="17" t="n"/>
      <c r="W268" s="18" t="n"/>
      <c r="X268" s="18" t="n"/>
      <c r="Y268" s="17" t="n"/>
      <c r="Z268" s="10" t="n"/>
      <c r="AA268" s="10" t="n"/>
      <c r="AB268" s="19">
        <f>IF(LEN(A268)&gt;0,1,0)</f>
        <v/>
      </c>
      <c r="AC268" s="19">
        <f>IF(LEN(A268)=0,0,(LEN(B268)=0)+(LEN(C268)=0)+(LEN(D268)=0)+(LEN(E268)=0)+(LEN(F268)=0)+(LEN(G268)=0)+(LEN(H268)=0)+(LEN(I268)=0)+(LEN(J268)=0)+(LEN(K268)=0)+(LEN(L268)=0)+(LEN(N268)=0)+(LEN(O268)=0)+(LEN(P268)=0)+(LEN(R268)=0)+(LEN(AA268)=0))</f>
        <v/>
      </c>
      <c r="AD268" s="19">
        <f>IF(OR(LEN(A268)=0,LEN(C268)=0),0,IF(OR(C268&lt;1,C268&gt;5),1,0))</f>
        <v/>
      </c>
      <c r="AE268" s="19">
        <f>IF(OR(LEN(A268)=0,LEN(R268)=0),0,IF(OR(R268="Active",R268="Paid off",R268="Defaulted",R268="Repossessed",R268="Written off",R268="Restructured"),0,1))</f>
        <v/>
      </c>
      <c r="AF268" s="19">
        <f>IF(A268="",0,IF(N(J268)&gt;N(I268),1,0))</f>
        <v/>
      </c>
      <c r="AG268" s="19">
        <f>IF(A268="",0,IF(N(N268)&gt;N(M268)+1,1,0))</f>
        <v/>
      </c>
      <c r="AH268" s="19">
        <f>IF(A268="",0,IF(N(E268)&gt;N(B268),1,0))</f>
        <v/>
      </c>
      <c r="AI268" s="19">
        <f>IF(A268="",0,IF(AND(Z268="Full payment",N(N268)&lt;N(M268)-1),1,0))</f>
        <v/>
      </c>
      <c r="AJ268" s="19">
        <f>IF(A268="",0,IF(N(P268)&lt;0,1,0))</f>
        <v/>
      </c>
      <c r="AK268" s="19">
        <f>IF(A268="",0,IF(COUNTIF($A$7:$A$1006,A268)&gt;1,1,0))</f>
        <v/>
      </c>
    </row>
    <row r="269">
      <c r="A269" s="10" t="n"/>
      <c r="B269" s="17" t="n"/>
      <c r="C269" s="18" t="n"/>
      <c r="D269" s="10" t="n"/>
      <c r="E269" s="17" t="n"/>
      <c r="F269" s="10" t="n"/>
      <c r="G269" s="10" t="n"/>
      <c r="H269" s="10" t="n"/>
      <c r="I269" s="18" t="n"/>
      <c r="J269" s="18" t="n"/>
      <c r="K269" s="18" t="n"/>
      <c r="L269" s="18" t="n"/>
      <c r="M269" s="19">
        <f>IF(K269="","",K269*365/12*L269)</f>
        <v/>
      </c>
      <c r="N269" s="18" t="n"/>
      <c r="O269" s="18" t="n"/>
      <c r="P269" s="18" t="n"/>
      <c r="Q269" s="18" t="n"/>
      <c r="R269" s="10" t="n"/>
      <c r="S269" s="17" t="n"/>
      <c r="T269" s="18" t="n"/>
      <c r="U269" s="17" t="n"/>
      <c r="V269" s="17" t="n"/>
      <c r="W269" s="18" t="n"/>
      <c r="X269" s="18" t="n"/>
      <c r="Y269" s="17" t="n"/>
      <c r="Z269" s="10" t="n"/>
      <c r="AA269" s="10" t="n"/>
      <c r="AB269" s="19">
        <f>IF(LEN(A269)&gt;0,1,0)</f>
        <v/>
      </c>
      <c r="AC269" s="19">
        <f>IF(LEN(A269)=0,0,(LEN(B269)=0)+(LEN(C269)=0)+(LEN(D269)=0)+(LEN(E269)=0)+(LEN(F269)=0)+(LEN(G269)=0)+(LEN(H269)=0)+(LEN(I269)=0)+(LEN(J269)=0)+(LEN(K269)=0)+(LEN(L269)=0)+(LEN(N269)=0)+(LEN(O269)=0)+(LEN(P269)=0)+(LEN(R269)=0)+(LEN(AA269)=0))</f>
        <v/>
      </c>
      <c r="AD269" s="19">
        <f>IF(OR(LEN(A269)=0,LEN(C269)=0),0,IF(OR(C269&lt;1,C269&gt;5),1,0))</f>
        <v/>
      </c>
      <c r="AE269" s="19">
        <f>IF(OR(LEN(A269)=0,LEN(R269)=0),0,IF(OR(R269="Active",R269="Paid off",R269="Defaulted",R269="Repossessed",R269="Written off",R269="Restructured"),0,1))</f>
        <v/>
      </c>
      <c r="AF269" s="19">
        <f>IF(A269="",0,IF(N(J269)&gt;N(I269),1,0))</f>
        <v/>
      </c>
      <c r="AG269" s="19">
        <f>IF(A269="",0,IF(N(N269)&gt;N(M269)+1,1,0))</f>
        <v/>
      </c>
      <c r="AH269" s="19">
        <f>IF(A269="",0,IF(N(E269)&gt;N(B269),1,0))</f>
        <v/>
      </c>
      <c r="AI269" s="19">
        <f>IF(A269="",0,IF(AND(Z269="Full payment",N(N269)&lt;N(M269)-1),1,0))</f>
        <v/>
      </c>
      <c r="AJ269" s="19">
        <f>IF(A269="",0,IF(N(P269)&lt;0,1,0))</f>
        <v/>
      </c>
      <c r="AK269" s="19">
        <f>IF(A269="",0,IF(COUNTIF($A$7:$A$1006,A269)&gt;1,1,0))</f>
        <v/>
      </c>
    </row>
    <row r="270">
      <c r="A270" s="10" t="n"/>
      <c r="B270" s="17" t="n"/>
      <c r="C270" s="18" t="n"/>
      <c r="D270" s="10" t="n"/>
      <c r="E270" s="17" t="n"/>
      <c r="F270" s="10" t="n"/>
      <c r="G270" s="10" t="n"/>
      <c r="H270" s="10" t="n"/>
      <c r="I270" s="18" t="n"/>
      <c r="J270" s="18" t="n"/>
      <c r="K270" s="18" t="n"/>
      <c r="L270" s="18" t="n"/>
      <c r="M270" s="19">
        <f>IF(K270="","",K270*365/12*L270)</f>
        <v/>
      </c>
      <c r="N270" s="18" t="n"/>
      <c r="O270" s="18" t="n"/>
      <c r="P270" s="18" t="n"/>
      <c r="Q270" s="18" t="n"/>
      <c r="R270" s="10" t="n"/>
      <c r="S270" s="17" t="n"/>
      <c r="T270" s="18" t="n"/>
      <c r="U270" s="17" t="n"/>
      <c r="V270" s="17" t="n"/>
      <c r="W270" s="18" t="n"/>
      <c r="X270" s="18" t="n"/>
      <c r="Y270" s="17" t="n"/>
      <c r="Z270" s="10" t="n"/>
      <c r="AA270" s="10" t="n"/>
      <c r="AB270" s="19">
        <f>IF(LEN(A270)&gt;0,1,0)</f>
        <v/>
      </c>
      <c r="AC270" s="19">
        <f>IF(LEN(A270)=0,0,(LEN(B270)=0)+(LEN(C270)=0)+(LEN(D270)=0)+(LEN(E270)=0)+(LEN(F270)=0)+(LEN(G270)=0)+(LEN(H270)=0)+(LEN(I270)=0)+(LEN(J270)=0)+(LEN(K270)=0)+(LEN(L270)=0)+(LEN(N270)=0)+(LEN(O270)=0)+(LEN(P270)=0)+(LEN(R270)=0)+(LEN(AA270)=0))</f>
        <v/>
      </c>
      <c r="AD270" s="19">
        <f>IF(OR(LEN(A270)=0,LEN(C270)=0),0,IF(OR(C270&lt;1,C270&gt;5),1,0))</f>
        <v/>
      </c>
      <c r="AE270" s="19">
        <f>IF(OR(LEN(A270)=0,LEN(R270)=0),0,IF(OR(R270="Active",R270="Paid off",R270="Defaulted",R270="Repossessed",R270="Written off",R270="Restructured"),0,1))</f>
        <v/>
      </c>
      <c r="AF270" s="19">
        <f>IF(A270="",0,IF(N(J270)&gt;N(I270),1,0))</f>
        <v/>
      </c>
      <c r="AG270" s="19">
        <f>IF(A270="",0,IF(N(N270)&gt;N(M270)+1,1,0))</f>
        <v/>
      </c>
      <c r="AH270" s="19">
        <f>IF(A270="",0,IF(N(E270)&gt;N(B270),1,0))</f>
        <v/>
      </c>
      <c r="AI270" s="19">
        <f>IF(A270="",0,IF(AND(Z270="Full payment",N(N270)&lt;N(M270)-1),1,0))</f>
        <v/>
      </c>
      <c r="AJ270" s="19">
        <f>IF(A270="",0,IF(N(P270)&lt;0,1,0))</f>
        <v/>
      </c>
      <c r="AK270" s="19">
        <f>IF(A270="",0,IF(COUNTIF($A$7:$A$1006,A270)&gt;1,1,0))</f>
        <v/>
      </c>
    </row>
    <row r="271">
      <c r="A271" s="10" t="n"/>
      <c r="B271" s="17" t="n"/>
      <c r="C271" s="18" t="n"/>
      <c r="D271" s="10" t="n"/>
      <c r="E271" s="17" t="n"/>
      <c r="F271" s="10" t="n"/>
      <c r="G271" s="10" t="n"/>
      <c r="H271" s="10" t="n"/>
      <c r="I271" s="18" t="n"/>
      <c r="J271" s="18" t="n"/>
      <c r="K271" s="18" t="n"/>
      <c r="L271" s="18" t="n"/>
      <c r="M271" s="19">
        <f>IF(K271="","",K271*365/12*L271)</f>
        <v/>
      </c>
      <c r="N271" s="18" t="n"/>
      <c r="O271" s="18" t="n"/>
      <c r="P271" s="18" t="n"/>
      <c r="Q271" s="18" t="n"/>
      <c r="R271" s="10" t="n"/>
      <c r="S271" s="17" t="n"/>
      <c r="T271" s="18" t="n"/>
      <c r="U271" s="17" t="n"/>
      <c r="V271" s="17" t="n"/>
      <c r="W271" s="18" t="n"/>
      <c r="X271" s="18" t="n"/>
      <c r="Y271" s="17" t="n"/>
      <c r="Z271" s="10" t="n"/>
      <c r="AA271" s="10" t="n"/>
      <c r="AB271" s="19">
        <f>IF(LEN(A271)&gt;0,1,0)</f>
        <v/>
      </c>
      <c r="AC271" s="19">
        <f>IF(LEN(A271)=0,0,(LEN(B271)=0)+(LEN(C271)=0)+(LEN(D271)=0)+(LEN(E271)=0)+(LEN(F271)=0)+(LEN(G271)=0)+(LEN(H271)=0)+(LEN(I271)=0)+(LEN(J271)=0)+(LEN(K271)=0)+(LEN(L271)=0)+(LEN(N271)=0)+(LEN(O271)=0)+(LEN(P271)=0)+(LEN(R271)=0)+(LEN(AA271)=0))</f>
        <v/>
      </c>
      <c r="AD271" s="19">
        <f>IF(OR(LEN(A271)=0,LEN(C271)=0),0,IF(OR(C271&lt;1,C271&gt;5),1,0))</f>
        <v/>
      </c>
      <c r="AE271" s="19">
        <f>IF(OR(LEN(A271)=0,LEN(R271)=0),0,IF(OR(R271="Active",R271="Paid off",R271="Defaulted",R271="Repossessed",R271="Written off",R271="Restructured"),0,1))</f>
        <v/>
      </c>
      <c r="AF271" s="19">
        <f>IF(A271="",0,IF(N(J271)&gt;N(I271),1,0))</f>
        <v/>
      </c>
      <c r="AG271" s="19">
        <f>IF(A271="",0,IF(N(N271)&gt;N(M271)+1,1,0))</f>
        <v/>
      </c>
      <c r="AH271" s="19">
        <f>IF(A271="",0,IF(N(E271)&gt;N(B271),1,0))</f>
        <v/>
      </c>
      <c r="AI271" s="19">
        <f>IF(A271="",0,IF(AND(Z271="Full payment",N(N271)&lt;N(M271)-1),1,0))</f>
        <v/>
      </c>
      <c r="AJ271" s="19">
        <f>IF(A271="",0,IF(N(P271)&lt;0,1,0))</f>
        <v/>
      </c>
      <c r="AK271" s="19">
        <f>IF(A271="",0,IF(COUNTIF($A$7:$A$1006,A271)&gt;1,1,0))</f>
        <v/>
      </c>
    </row>
    <row r="272">
      <c r="A272" s="10" t="n"/>
      <c r="B272" s="17" t="n"/>
      <c r="C272" s="18" t="n"/>
      <c r="D272" s="10" t="n"/>
      <c r="E272" s="17" t="n"/>
      <c r="F272" s="10" t="n"/>
      <c r="G272" s="10" t="n"/>
      <c r="H272" s="10" t="n"/>
      <c r="I272" s="18" t="n"/>
      <c r="J272" s="18" t="n"/>
      <c r="K272" s="18" t="n"/>
      <c r="L272" s="18" t="n"/>
      <c r="M272" s="19">
        <f>IF(K272="","",K272*365/12*L272)</f>
        <v/>
      </c>
      <c r="N272" s="18" t="n"/>
      <c r="O272" s="18" t="n"/>
      <c r="P272" s="18" t="n"/>
      <c r="Q272" s="18" t="n"/>
      <c r="R272" s="10" t="n"/>
      <c r="S272" s="17" t="n"/>
      <c r="T272" s="18" t="n"/>
      <c r="U272" s="17" t="n"/>
      <c r="V272" s="17" t="n"/>
      <c r="W272" s="18" t="n"/>
      <c r="X272" s="18" t="n"/>
      <c r="Y272" s="17" t="n"/>
      <c r="Z272" s="10" t="n"/>
      <c r="AA272" s="10" t="n"/>
      <c r="AB272" s="19">
        <f>IF(LEN(A272)&gt;0,1,0)</f>
        <v/>
      </c>
      <c r="AC272" s="19">
        <f>IF(LEN(A272)=0,0,(LEN(B272)=0)+(LEN(C272)=0)+(LEN(D272)=0)+(LEN(E272)=0)+(LEN(F272)=0)+(LEN(G272)=0)+(LEN(H272)=0)+(LEN(I272)=0)+(LEN(J272)=0)+(LEN(K272)=0)+(LEN(L272)=0)+(LEN(N272)=0)+(LEN(O272)=0)+(LEN(P272)=0)+(LEN(R272)=0)+(LEN(AA272)=0))</f>
        <v/>
      </c>
      <c r="AD272" s="19">
        <f>IF(OR(LEN(A272)=0,LEN(C272)=0),0,IF(OR(C272&lt;1,C272&gt;5),1,0))</f>
        <v/>
      </c>
      <c r="AE272" s="19">
        <f>IF(OR(LEN(A272)=0,LEN(R272)=0),0,IF(OR(R272="Active",R272="Paid off",R272="Defaulted",R272="Repossessed",R272="Written off",R272="Restructured"),0,1))</f>
        <v/>
      </c>
      <c r="AF272" s="19">
        <f>IF(A272="",0,IF(N(J272)&gt;N(I272),1,0))</f>
        <v/>
      </c>
      <c r="AG272" s="19">
        <f>IF(A272="",0,IF(N(N272)&gt;N(M272)+1,1,0))</f>
        <v/>
      </c>
      <c r="AH272" s="19">
        <f>IF(A272="",0,IF(N(E272)&gt;N(B272),1,0))</f>
        <v/>
      </c>
      <c r="AI272" s="19">
        <f>IF(A272="",0,IF(AND(Z272="Full payment",N(N272)&lt;N(M272)-1),1,0))</f>
        <v/>
      </c>
      <c r="AJ272" s="19">
        <f>IF(A272="",0,IF(N(P272)&lt;0,1,0))</f>
        <v/>
      </c>
      <c r="AK272" s="19">
        <f>IF(A272="",0,IF(COUNTIF($A$7:$A$1006,A272)&gt;1,1,0))</f>
        <v/>
      </c>
    </row>
    <row r="273">
      <c r="A273" s="10" t="n"/>
      <c r="B273" s="17" t="n"/>
      <c r="C273" s="18" t="n"/>
      <c r="D273" s="10" t="n"/>
      <c r="E273" s="17" t="n"/>
      <c r="F273" s="10" t="n"/>
      <c r="G273" s="10" t="n"/>
      <c r="H273" s="10" t="n"/>
      <c r="I273" s="18" t="n"/>
      <c r="J273" s="18" t="n"/>
      <c r="K273" s="18" t="n"/>
      <c r="L273" s="18" t="n"/>
      <c r="M273" s="19">
        <f>IF(K273="","",K273*365/12*L273)</f>
        <v/>
      </c>
      <c r="N273" s="18" t="n"/>
      <c r="O273" s="18" t="n"/>
      <c r="P273" s="18" t="n"/>
      <c r="Q273" s="18" t="n"/>
      <c r="R273" s="10" t="n"/>
      <c r="S273" s="17" t="n"/>
      <c r="T273" s="18" t="n"/>
      <c r="U273" s="17" t="n"/>
      <c r="V273" s="17" t="n"/>
      <c r="W273" s="18" t="n"/>
      <c r="X273" s="18" t="n"/>
      <c r="Y273" s="17" t="n"/>
      <c r="Z273" s="10" t="n"/>
      <c r="AA273" s="10" t="n"/>
      <c r="AB273" s="19">
        <f>IF(LEN(A273)&gt;0,1,0)</f>
        <v/>
      </c>
      <c r="AC273" s="19">
        <f>IF(LEN(A273)=0,0,(LEN(B273)=0)+(LEN(C273)=0)+(LEN(D273)=0)+(LEN(E273)=0)+(LEN(F273)=0)+(LEN(G273)=0)+(LEN(H273)=0)+(LEN(I273)=0)+(LEN(J273)=0)+(LEN(K273)=0)+(LEN(L273)=0)+(LEN(N273)=0)+(LEN(O273)=0)+(LEN(P273)=0)+(LEN(R273)=0)+(LEN(AA273)=0))</f>
        <v/>
      </c>
      <c r="AD273" s="19">
        <f>IF(OR(LEN(A273)=0,LEN(C273)=0),0,IF(OR(C273&lt;1,C273&gt;5),1,0))</f>
        <v/>
      </c>
      <c r="AE273" s="19">
        <f>IF(OR(LEN(A273)=0,LEN(R273)=0),0,IF(OR(R273="Active",R273="Paid off",R273="Defaulted",R273="Repossessed",R273="Written off",R273="Restructured"),0,1))</f>
        <v/>
      </c>
      <c r="AF273" s="19">
        <f>IF(A273="",0,IF(N(J273)&gt;N(I273),1,0))</f>
        <v/>
      </c>
      <c r="AG273" s="19">
        <f>IF(A273="",0,IF(N(N273)&gt;N(M273)+1,1,0))</f>
        <v/>
      </c>
      <c r="AH273" s="19">
        <f>IF(A273="",0,IF(N(E273)&gt;N(B273),1,0))</f>
        <v/>
      </c>
      <c r="AI273" s="19">
        <f>IF(A273="",0,IF(AND(Z273="Full payment",N(N273)&lt;N(M273)-1),1,0))</f>
        <v/>
      </c>
      <c r="AJ273" s="19">
        <f>IF(A273="",0,IF(N(P273)&lt;0,1,0))</f>
        <v/>
      </c>
      <c r="AK273" s="19">
        <f>IF(A273="",0,IF(COUNTIF($A$7:$A$1006,A273)&gt;1,1,0))</f>
        <v/>
      </c>
    </row>
    <row r="274">
      <c r="A274" s="10" t="n"/>
      <c r="B274" s="17" t="n"/>
      <c r="C274" s="18" t="n"/>
      <c r="D274" s="10" t="n"/>
      <c r="E274" s="17" t="n"/>
      <c r="F274" s="10" t="n"/>
      <c r="G274" s="10" t="n"/>
      <c r="H274" s="10" t="n"/>
      <c r="I274" s="18" t="n"/>
      <c r="J274" s="18" t="n"/>
      <c r="K274" s="18" t="n"/>
      <c r="L274" s="18" t="n"/>
      <c r="M274" s="19">
        <f>IF(K274="","",K274*365/12*L274)</f>
        <v/>
      </c>
      <c r="N274" s="18" t="n"/>
      <c r="O274" s="18" t="n"/>
      <c r="P274" s="18" t="n"/>
      <c r="Q274" s="18" t="n"/>
      <c r="R274" s="10" t="n"/>
      <c r="S274" s="17" t="n"/>
      <c r="T274" s="18" t="n"/>
      <c r="U274" s="17" t="n"/>
      <c r="V274" s="17" t="n"/>
      <c r="W274" s="18" t="n"/>
      <c r="X274" s="18" t="n"/>
      <c r="Y274" s="17" t="n"/>
      <c r="Z274" s="10" t="n"/>
      <c r="AA274" s="10" t="n"/>
      <c r="AB274" s="19">
        <f>IF(LEN(A274)&gt;0,1,0)</f>
        <v/>
      </c>
      <c r="AC274" s="19">
        <f>IF(LEN(A274)=0,0,(LEN(B274)=0)+(LEN(C274)=0)+(LEN(D274)=0)+(LEN(E274)=0)+(LEN(F274)=0)+(LEN(G274)=0)+(LEN(H274)=0)+(LEN(I274)=0)+(LEN(J274)=0)+(LEN(K274)=0)+(LEN(L274)=0)+(LEN(N274)=0)+(LEN(O274)=0)+(LEN(P274)=0)+(LEN(R274)=0)+(LEN(AA274)=0))</f>
        <v/>
      </c>
      <c r="AD274" s="19">
        <f>IF(OR(LEN(A274)=0,LEN(C274)=0),0,IF(OR(C274&lt;1,C274&gt;5),1,0))</f>
        <v/>
      </c>
      <c r="AE274" s="19">
        <f>IF(OR(LEN(A274)=0,LEN(R274)=0),0,IF(OR(R274="Active",R274="Paid off",R274="Defaulted",R274="Repossessed",R274="Written off",R274="Restructured"),0,1))</f>
        <v/>
      </c>
      <c r="AF274" s="19">
        <f>IF(A274="",0,IF(N(J274)&gt;N(I274),1,0))</f>
        <v/>
      </c>
      <c r="AG274" s="19">
        <f>IF(A274="",0,IF(N(N274)&gt;N(M274)+1,1,0))</f>
        <v/>
      </c>
      <c r="AH274" s="19">
        <f>IF(A274="",0,IF(N(E274)&gt;N(B274),1,0))</f>
        <v/>
      </c>
      <c r="AI274" s="19">
        <f>IF(A274="",0,IF(AND(Z274="Full payment",N(N274)&lt;N(M274)-1),1,0))</f>
        <v/>
      </c>
      <c r="AJ274" s="19">
        <f>IF(A274="",0,IF(N(P274)&lt;0,1,0))</f>
        <v/>
      </c>
      <c r="AK274" s="19">
        <f>IF(A274="",0,IF(COUNTIF($A$7:$A$1006,A274)&gt;1,1,0))</f>
        <v/>
      </c>
    </row>
    <row r="275">
      <c r="A275" s="10" t="n"/>
      <c r="B275" s="17" t="n"/>
      <c r="C275" s="18" t="n"/>
      <c r="D275" s="10" t="n"/>
      <c r="E275" s="17" t="n"/>
      <c r="F275" s="10" t="n"/>
      <c r="G275" s="10" t="n"/>
      <c r="H275" s="10" t="n"/>
      <c r="I275" s="18" t="n"/>
      <c r="J275" s="18" t="n"/>
      <c r="K275" s="18" t="n"/>
      <c r="L275" s="18" t="n"/>
      <c r="M275" s="19">
        <f>IF(K275="","",K275*365/12*L275)</f>
        <v/>
      </c>
      <c r="N275" s="18" t="n"/>
      <c r="O275" s="18" t="n"/>
      <c r="P275" s="18" t="n"/>
      <c r="Q275" s="18" t="n"/>
      <c r="R275" s="10" t="n"/>
      <c r="S275" s="17" t="n"/>
      <c r="T275" s="18" t="n"/>
      <c r="U275" s="17" t="n"/>
      <c r="V275" s="17" t="n"/>
      <c r="W275" s="18" t="n"/>
      <c r="X275" s="18" t="n"/>
      <c r="Y275" s="17" t="n"/>
      <c r="Z275" s="10" t="n"/>
      <c r="AA275" s="10" t="n"/>
      <c r="AB275" s="19">
        <f>IF(LEN(A275)&gt;0,1,0)</f>
        <v/>
      </c>
      <c r="AC275" s="19">
        <f>IF(LEN(A275)=0,0,(LEN(B275)=0)+(LEN(C275)=0)+(LEN(D275)=0)+(LEN(E275)=0)+(LEN(F275)=0)+(LEN(G275)=0)+(LEN(H275)=0)+(LEN(I275)=0)+(LEN(J275)=0)+(LEN(K275)=0)+(LEN(L275)=0)+(LEN(N275)=0)+(LEN(O275)=0)+(LEN(P275)=0)+(LEN(R275)=0)+(LEN(AA275)=0))</f>
        <v/>
      </c>
      <c r="AD275" s="19">
        <f>IF(OR(LEN(A275)=0,LEN(C275)=0),0,IF(OR(C275&lt;1,C275&gt;5),1,0))</f>
        <v/>
      </c>
      <c r="AE275" s="19">
        <f>IF(OR(LEN(A275)=0,LEN(R275)=0),0,IF(OR(R275="Active",R275="Paid off",R275="Defaulted",R275="Repossessed",R275="Written off",R275="Restructured"),0,1))</f>
        <v/>
      </c>
      <c r="AF275" s="19">
        <f>IF(A275="",0,IF(N(J275)&gt;N(I275),1,0))</f>
        <v/>
      </c>
      <c r="AG275" s="19">
        <f>IF(A275="",0,IF(N(N275)&gt;N(M275)+1,1,0))</f>
        <v/>
      </c>
      <c r="AH275" s="19">
        <f>IF(A275="",0,IF(N(E275)&gt;N(B275),1,0))</f>
        <v/>
      </c>
      <c r="AI275" s="19">
        <f>IF(A275="",0,IF(AND(Z275="Full payment",N(N275)&lt;N(M275)-1),1,0))</f>
        <v/>
      </c>
      <c r="AJ275" s="19">
        <f>IF(A275="",0,IF(N(P275)&lt;0,1,0))</f>
        <v/>
      </c>
      <c r="AK275" s="19">
        <f>IF(A275="",0,IF(COUNTIF($A$7:$A$1006,A275)&gt;1,1,0))</f>
        <v/>
      </c>
    </row>
    <row r="276">
      <c r="A276" s="10" t="n"/>
      <c r="B276" s="17" t="n"/>
      <c r="C276" s="18" t="n"/>
      <c r="D276" s="10" t="n"/>
      <c r="E276" s="17" t="n"/>
      <c r="F276" s="10" t="n"/>
      <c r="G276" s="10" t="n"/>
      <c r="H276" s="10" t="n"/>
      <c r="I276" s="18" t="n"/>
      <c r="J276" s="18" t="n"/>
      <c r="K276" s="18" t="n"/>
      <c r="L276" s="18" t="n"/>
      <c r="M276" s="19">
        <f>IF(K276="","",K276*365/12*L276)</f>
        <v/>
      </c>
      <c r="N276" s="18" t="n"/>
      <c r="O276" s="18" t="n"/>
      <c r="P276" s="18" t="n"/>
      <c r="Q276" s="18" t="n"/>
      <c r="R276" s="10" t="n"/>
      <c r="S276" s="17" t="n"/>
      <c r="T276" s="18" t="n"/>
      <c r="U276" s="17" t="n"/>
      <c r="V276" s="17" t="n"/>
      <c r="W276" s="18" t="n"/>
      <c r="X276" s="18" t="n"/>
      <c r="Y276" s="17" t="n"/>
      <c r="Z276" s="10" t="n"/>
      <c r="AA276" s="10" t="n"/>
      <c r="AB276" s="19">
        <f>IF(LEN(A276)&gt;0,1,0)</f>
        <v/>
      </c>
      <c r="AC276" s="19">
        <f>IF(LEN(A276)=0,0,(LEN(B276)=0)+(LEN(C276)=0)+(LEN(D276)=0)+(LEN(E276)=0)+(LEN(F276)=0)+(LEN(G276)=0)+(LEN(H276)=0)+(LEN(I276)=0)+(LEN(J276)=0)+(LEN(K276)=0)+(LEN(L276)=0)+(LEN(N276)=0)+(LEN(O276)=0)+(LEN(P276)=0)+(LEN(R276)=0)+(LEN(AA276)=0))</f>
        <v/>
      </c>
      <c r="AD276" s="19">
        <f>IF(OR(LEN(A276)=0,LEN(C276)=0),0,IF(OR(C276&lt;1,C276&gt;5),1,0))</f>
        <v/>
      </c>
      <c r="AE276" s="19">
        <f>IF(OR(LEN(A276)=0,LEN(R276)=0),0,IF(OR(R276="Active",R276="Paid off",R276="Defaulted",R276="Repossessed",R276="Written off",R276="Restructured"),0,1))</f>
        <v/>
      </c>
      <c r="AF276" s="19">
        <f>IF(A276="",0,IF(N(J276)&gt;N(I276),1,0))</f>
        <v/>
      </c>
      <c r="AG276" s="19">
        <f>IF(A276="",0,IF(N(N276)&gt;N(M276)+1,1,0))</f>
        <v/>
      </c>
      <c r="AH276" s="19">
        <f>IF(A276="",0,IF(N(E276)&gt;N(B276),1,0))</f>
        <v/>
      </c>
      <c r="AI276" s="19">
        <f>IF(A276="",0,IF(AND(Z276="Full payment",N(N276)&lt;N(M276)-1),1,0))</f>
        <v/>
      </c>
      <c r="AJ276" s="19">
        <f>IF(A276="",0,IF(N(P276)&lt;0,1,0))</f>
        <v/>
      </c>
      <c r="AK276" s="19">
        <f>IF(A276="",0,IF(COUNTIF($A$7:$A$1006,A276)&gt;1,1,0))</f>
        <v/>
      </c>
    </row>
    <row r="277">
      <c r="A277" s="10" t="n"/>
      <c r="B277" s="17" t="n"/>
      <c r="C277" s="18" t="n"/>
      <c r="D277" s="10" t="n"/>
      <c r="E277" s="17" t="n"/>
      <c r="F277" s="10" t="n"/>
      <c r="G277" s="10" t="n"/>
      <c r="H277" s="10" t="n"/>
      <c r="I277" s="18" t="n"/>
      <c r="J277" s="18" t="n"/>
      <c r="K277" s="18" t="n"/>
      <c r="L277" s="18" t="n"/>
      <c r="M277" s="19">
        <f>IF(K277="","",K277*365/12*L277)</f>
        <v/>
      </c>
      <c r="N277" s="18" t="n"/>
      <c r="O277" s="18" t="n"/>
      <c r="P277" s="18" t="n"/>
      <c r="Q277" s="18" t="n"/>
      <c r="R277" s="10" t="n"/>
      <c r="S277" s="17" t="n"/>
      <c r="T277" s="18" t="n"/>
      <c r="U277" s="17" t="n"/>
      <c r="V277" s="17" t="n"/>
      <c r="W277" s="18" t="n"/>
      <c r="X277" s="18" t="n"/>
      <c r="Y277" s="17" t="n"/>
      <c r="Z277" s="10" t="n"/>
      <c r="AA277" s="10" t="n"/>
      <c r="AB277" s="19">
        <f>IF(LEN(A277)&gt;0,1,0)</f>
        <v/>
      </c>
      <c r="AC277" s="19">
        <f>IF(LEN(A277)=0,0,(LEN(B277)=0)+(LEN(C277)=0)+(LEN(D277)=0)+(LEN(E277)=0)+(LEN(F277)=0)+(LEN(G277)=0)+(LEN(H277)=0)+(LEN(I277)=0)+(LEN(J277)=0)+(LEN(K277)=0)+(LEN(L277)=0)+(LEN(N277)=0)+(LEN(O277)=0)+(LEN(P277)=0)+(LEN(R277)=0)+(LEN(AA277)=0))</f>
        <v/>
      </c>
      <c r="AD277" s="19">
        <f>IF(OR(LEN(A277)=0,LEN(C277)=0),0,IF(OR(C277&lt;1,C277&gt;5),1,0))</f>
        <v/>
      </c>
      <c r="AE277" s="19">
        <f>IF(OR(LEN(A277)=0,LEN(R277)=0),0,IF(OR(R277="Active",R277="Paid off",R277="Defaulted",R277="Repossessed",R277="Written off",R277="Restructured"),0,1))</f>
        <v/>
      </c>
      <c r="AF277" s="19">
        <f>IF(A277="",0,IF(N(J277)&gt;N(I277),1,0))</f>
        <v/>
      </c>
      <c r="AG277" s="19">
        <f>IF(A277="",0,IF(N(N277)&gt;N(M277)+1,1,0))</f>
        <v/>
      </c>
      <c r="AH277" s="19">
        <f>IF(A277="",0,IF(N(E277)&gt;N(B277),1,0))</f>
        <v/>
      </c>
      <c r="AI277" s="19">
        <f>IF(A277="",0,IF(AND(Z277="Full payment",N(N277)&lt;N(M277)-1),1,0))</f>
        <v/>
      </c>
      <c r="AJ277" s="19">
        <f>IF(A277="",0,IF(N(P277)&lt;0,1,0))</f>
        <v/>
      </c>
      <c r="AK277" s="19">
        <f>IF(A277="",0,IF(COUNTIF($A$7:$A$1006,A277)&gt;1,1,0))</f>
        <v/>
      </c>
    </row>
    <row r="278">
      <c r="A278" s="10" t="n"/>
      <c r="B278" s="17" t="n"/>
      <c r="C278" s="18" t="n"/>
      <c r="D278" s="10" t="n"/>
      <c r="E278" s="17" t="n"/>
      <c r="F278" s="10" t="n"/>
      <c r="G278" s="10" t="n"/>
      <c r="H278" s="10" t="n"/>
      <c r="I278" s="18" t="n"/>
      <c r="J278" s="18" t="n"/>
      <c r="K278" s="18" t="n"/>
      <c r="L278" s="18" t="n"/>
      <c r="M278" s="19">
        <f>IF(K278="","",K278*365/12*L278)</f>
        <v/>
      </c>
      <c r="N278" s="18" t="n"/>
      <c r="O278" s="18" t="n"/>
      <c r="P278" s="18" t="n"/>
      <c r="Q278" s="18" t="n"/>
      <c r="R278" s="10" t="n"/>
      <c r="S278" s="17" t="n"/>
      <c r="T278" s="18" t="n"/>
      <c r="U278" s="17" t="n"/>
      <c r="V278" s="17" t="n"/>
      <c r="W278" s="18" t="n"/>
      <c r="X278" s="18" t="n"/>
      <c r="Y278" s="17" t="n"/>
      <c r="Z278" s="10" t="n"/>
      <c r="AA278" s="10" t="n"/>
      <c r="AB278" s="19">
        <f>IF(LEN(A278)&gt;0,1,0)</f>
        <v/>
      </c>
      <c r="AC278" s="19">
        <f>IF(LEN(A278)=0,0,(LEN(B278)=0)+(LEN(C278)=0)+(LEN(D278)=0)+(LEN(E278)=0)+(LEN(F278)=0)+(LEN(G278)=0)+(LEN(H278)=0)+(LEN(I278)=0)+(LEN(J278)=0)+(LEN(K278)=0)+(LEN(L278)=0)+(LEN(N278)=0)+(LEN(O278)=0)+(LEN(P278)=0)+(LEN(R278)=0)+(LEN(AA278)=0))</f>
        <v/>
      </c>
      <c r="AD278" s="19">
        <f>IF(OR(LEN(A278)=0,LEN(C278)=0),0,IF(OR(C278&lt;1,C278&gt;5),1,0))</f>
        <v/>
      </c>
      <c r="AE278" s="19">
        <f>IF(OR(LEN(A278)=0,LEN(R278)=0),0,IF(OR(R278="Active",R278="Paid off",R278="Defaulted",R278="Repossessed",R278="Written off",R278="Restructured"),0,1))</f>
        <v/>
      </c>
      <c r="AF278" s="19">
        <f>IF(A278="",0,IF(N(J278)&gt;N(I278),1,0))</f>
        <v/>
      </c>
      <c r="AG278" s="19">
        <f>IF(A278="",0,IF(N(N278)&gt;N(M278)+1,1,0))</f>
        <v/>
      </c>
      <c r="AH278" s="19">
        <f>IF(A278="",0,IF(N(E278)&gt;N(B278),1,0))</f>
        <v/>
      </c>
      <c r="AI278" s="19">
        <f>IF(A278="",0,IF(AND(Z278="Full payment",N(N278)&lt;N(M278)-1),1,0))</f>
        <v/>
      </c>
      <c r="AJ278" s="19">
        <f>IF(A278="",0,IF(N(P278)&lt;0,1,0))</f>
        <v/>
      </c>
      <c r="AK278" s="19">
        <f>IF(A278="",0,IF(COUNTIF($A$7:$A$1006,A278)&gt;1,1,0))</f>
        <v/>
      </c>
    </row>
    <row r="279">
      <c r="A279" s="10" t="n"/>
      <c r="B279" s="17" t="n"/>
      <c r="C279" s="18" t="n"/>
      <c r="D279" s="10" t="n"/>
      <c r="E279" s="17" t="n"/>
      <c r="F279" s="10" t="n"/>
      <c r="G279" s="10" t="n"/>
      <c r="H279" s="10" t="n"/>
      <c r="I279" s="18" t="n"/>
      <c r="J279" s="18" t="n"/>
      <c r="K279" s="18" t="n"/>
      <c r="L279" s="18" t="n"/>
      <c r="M279" s="19">
        <f>IF(K279="","",K279*365/12*L279)</f>
        <v/>
      </c>
      <c r="N279" s="18" t="n"/>
      <c r="O279" s="18" t="n"/>
      <c r="P279" s="18" t="n"/>
      <c r="Q279" s="18" t="n"/>
      <c r="R279" s="10" t="n"/>
      <c r="S279" s="17" t="n"/>
      <c r="T279" s="18" t="n"/>
      <c r="U279" s="17" t="n"/>
      <c r="V279" s="17" t="n"/>
      <c r="W279" s="18" t="n"/>
      <c r="X279" s="18" t="n"/>
      <c r="Y279" s="17" t="n"/>
      <c r="Z279" s="10" t="n"/>
      <c r="AA279" s="10" t="n"/>
      <c r="AB279" s="19">
        <f>IF(LEN(A279)&gt;0,1,0)</f>
        <v/>
      </c>
      <c r="AC279" s="19">
        <f>IF(LEN(A279)=0,0,(LEN(B279)=0)+(LEN(C279)=0)+(LEN(D279)=0)+(LEN(E279)=0)+(LEN(F279)=0)+(LEN(G279)=0)+(LEN(H279)=0)+(LEN(I279)=0)+(LEN(J279)=0)+(LEN(K279)=0)+(LEN(L279)=0)+(LEN(N279)=0)+(LEN(O279)=0)+(LEN(P279)=0)+(LEN(R279)=0)+(LEN(AA279)=0))</f>
        <v/>
      </c>
      <c r="AD279" s="19">
        <f>IF(OR(LEN(A279)=0,LEN(C279)=0),0,IF(OR(C279&lt;1,C279&gt;5),1,0))</f>
        <v/>
      </c>
      <c r="AE279" s="19">
        <f>IF(OR(LEN(A279)=0,LEN(R279)=0),0,IF(OR(R279="Active",R279="Paid off",R279="Defaulted",R279="Repossessed",R279="Written off",R279="Restructured"),0,1))</f>
        <v/>
      </c>
      <c r="AF279" s="19">
        <f>IF(A279="",0,IF(N(J279)&gt;N(I279),1,0))</f>
        <v/>
      </c>
      <c r="AG279" s="19">
        <f>IF(A279="",0,IF(N(N279)&gt;N(M279)+1,1,0))</f>
        <v/>
      </c>
      <c r="AH279" s="19">
        <f>IF(A279="",0,IF(N(E279)&gt;N(B279),1,0))</f>
        <v/>
      </c>
      <c r="AI279" s="19">
        <f>IF(A279="",0,IF(AND(Z279="Full payment",N(N279)&lt;N(M279)-1),1,0))</f>
        <v/>
      </c>
      <c r="AJ279" s="19">
        <f>IF(A279="",0,IF(N(P279)&lt;0,1,0))</f>
        <v/>
      </c>
      <c r="AK279" s="19">
        <f>IF(A279="",0,IF(COUNTIF($A$7:$A$1006,A279)&gt;1,1,0))</f>
        <v/>
      </c>
    </row>
    <row r="280">
      <c r="A280" s="10" t="n"/>
      <c r="B280" s="17" t="n"/>
      <c r="C280" s="18" t="n"/>
      <c r="D280" s="10" t="n"/>
      <c r="E280" s="17" t="n"/>
      <c r="F280" s="10" t="n"/>
      <c r="G280" s="10" t="n"/>
      <c r="H280" s="10" t="n"/>
      <c r="I280" s="18" t="n"/>
      <c r="J280" s="18" t="n"/>
      <c r="K280" s="18" t="n"/>
      <c r="L280" s="18" t="n"/>
      <c r="M280" s="19">
        <f>IF(K280="","",K280*365/12*L280)</f>
        <v/>
      </c>
      <c r="N280" s="18" t="n"/>
      <c r="O280" s="18" t="n"/>
      <c r="P280" s="18" t="n"/>
      <c r="Q280" s="18" t="n"/>
      <c r="R280" s="10" t="n"/>
      <c r="S280" s="17" t="n"/>
      <c r="T280" s="18" t="n"/>
      <c r="U280" s="17" t="n"/>
      <c r="V280" s="17" t="n"/>
      <c r="W280" s="18" t="n"/>
      <c r="X280" s="18" t="n"/>
      <c r="Y280" s="17" t="n"/>
      <c r="Z280" s="10" t="n"/>
      <c r="AA280" s="10" t="n"/>
      <c r="AB280" s="19">
        <f>IF(LEN(A280)&gt;0,1,0)</f>
        <v/>
      </c>
      <c r="AC280" s="19">
        <f>IF(LEN(A280)=0,0,(LEN(B280)=0)+(LEN(C280)=0)+(LEN(D280)=0)+(LEN(E280)=0)+(LEN(F280)=0)+(LEN(G280)=0)+(LEN(H280)=0)+(LEN(I280)=0)+(LEN(J280)=0)+(LEN(K280)=0)+(LEN(L280)=0)+(LEN(N280)=0)+(LEN(O280)=0)+(LEN(P280)=0)+(LEN(R280)=0)+(LEN(AA280)=0))</f>
        <v/>
      </c>
      <c r="AD280" s="19">
        <f>IF(OR(LEN(A280)=0,LEN(C280)=0),0,IF(OR(C280&lt;1,C280&gt;5),1,0))</f>
        <v/>
      </c>
      <c r="AE280" s="19">
        <f>IF(OR(LEN(A280)=0,LEN(R280)=0),0,IF(OR(R280="Active",R280="Paid off",R280="Defaulted",R280="Repossessed",R280="Written off",R280="Restructured"),0,1))</f>
        <v/>
      </c>
      <c r="AF280" s="19">
        <f>IF(A280="",0,IF(N(J280)&gt;N(I280),1,0))</f>
        <v/>
      </c>
      <c r="AG280" s="19">
        <f>IF(A280="",0,IF(N(N280)&gt;N(M280)+1,1,0))</f>
        <v/>
      </c>
      <c r="AH280" s="19">
        <f>IF(A280="",0,IF(N(E280)&gt;N(B280),1,0))</f>
        <v/>
      </c>
      <c r="AI280" s="19">
        <f>IF(A280="",0,IF(AND(Z280="Full payment",N(N280)&lt;N(M280)-1),1,0))</f>
        <v/>
      </c>
      <c r="AJ280" s="19">
        <f>IF(A280="",0,IF(N(P280)&lt;0,1,0))</f>
        <v/>
      </c>
      <c r="AK280" s="19">
        <f>IF(A280="",0,IF(COUNTIF($A$7:$A$1006,A280)&gt;1,1,0))</f>
        <v/>
      </c>
    </row>
    <row r="281">
      <c r="A281" s="10" t="n"/>
      <c r="B281" s="17" t="n"/>
      <c r="C281" s="18" t="n"/>
      <c r="D281" s="10" t="n"/>
      <c r="E281" s="17" t="n"/>
      <c r="F281" s="10" t="n"/>
      <c r="G281" s="10" t="n"/>
      <c r="H281" s="10" t="n"/>
      <c r="I281" s="18" t="n"/>
      <c r="J281" s="18" t="n"/>
      <c r="K281" s="18" t="n"/>
      <c r="L281" s="18" t="n"/>
      <c r="M281" s="19">
        <f>IF(K281="","",K281*365/12*L281)</f>
        <v/>
      </c>
      <c r="N281" s="18" t="n"/>
      <c r="O281" s="18" t="n"/>
      <c r="P281" s="18" t="n"/>
      <c r="Q281" s="18" t="n"/>
      <c r="R281" s="10" t="n"/>
      <c r="S281" s="17" t="n"/>
      <c r="T281" s="18" t="n"/>
      <c r="U281" s="17" t="n"/>
      <c r="V281" s="17" t="n"/>
      <c r="W281" s="18" t="n"/>
      <c r="X281" s="18" t="n"/>
      <c r="Y281" s="17" t="n"/>
      <c r="Z281" s="10" t="n"/>
      <c r="AA281" s="10" t="n"/>
      <c r="AB281" s="19">
        <f>IF(LEN(A281)&gt;0,1,0)</f>
        <v/>
      </c>
      <c r="AC281" s="19">
        <f>IF(LEN(A281)=0,0,(LEN(B281)=0)+(LEN(C281)=0)+(LEN(D281)=0)+(LEN(E281)=0)+(LEN(F281)=0)+(LEN(G281)=0)+(LEN(H281)=0)+(LEN(I281)=0)+(LEN(J281)=0)+(LEN(K281)=0)+(LEN(L281)=0)+(LEN(N281)=0)+(LEN(O281)=0)+(LEN(P281)=0)+(LEN(R281)=0)+(LEN(AA281)=0))</f>
        <v/>
      </c>
      <c r="AD281" s="19">
        <f>IF(OR(LEN(A281)=0,LEN(C281)=0),0,IF(OR(C281&lt;1,C281&gt;5),1,0))</f>
        <v/>
      </c>
      <c r="AE281" s="19">
        <f>IF(OR(LEN(A281)=0,LEN(R281)=0),0,IF(OR(R281="Active",R281="Paid off",R281="Defaulted",R281="Repossessed",R281="Written off",R281="Restructured"),0,1))</f>
        <v/>
      </c>
      <c r="AF281" s="19">
        <f>IF(A281="",0,IF(N(J281)&gt;N(I281),1,0))</f>
        <v/>
      </c>
      <c r="AG281" s="19">
        <f>IF(A281="",0,IF(N(N281)&gt;N(M281)+1,1,0))</f>
        <v/>
      </c>
      <c r="AH281" s="19">
        <f>IF(A281="",0,IF(N(E281)&gt;N(B281),1,0))</f>
        <v/>
      </c>
      <c r="AI281" s="19">
        <f>IF(A281="",0,IF(AND(Z281="Full payment",N(N281)&lt;N(M281)-1),1,0))</f>
        <v/>
      </c>
      <c r="AJ281" s="19">
        <f>IF(A281="",0,IF(N(P281)&lt;0,1,0))</f>
        <v/>
      </c>
      <c r="AK281" s="19">
        <f>IF(A281="",0,IF(COUNTIF($A$7:$A$1006,A281)&gt;1,1,0))</f>
        <v/>
      </c>
    </row>
    <row r="282">
      <c r="A282" s="10" t="n"/>
      <c r="B282" s="17" t="n"/>
      <c r="C282" s="18" t="n"/>
      <c r="D282" s="10" t="n"/>
      <c r="E282" s="17" t="n"/>
      <c r="F282" s="10" t="n"/>
      <c r="G282" s="10" t="n"/>
      <c r="H282" s="10" t="n"/>
      <c r="I282" s="18" t="n"/>
      <c r="J282" s="18" t="n"/>
      <c r="K282" s="18" t="n"/>
      <c r="L282" s="18" t="n"/>
      <c r="M282" s="19">
        <f>IF(K282="","",K282*365/12*L282)</f>
        <v/>
      </c>
      <c r="N282" s="18" t="n"/>
      <c r="O282" s="18" t="n"/>
      <c r="P282" s="18" t="n"/>
      <c r="Q282" s="18" t="n"/>
      <c r="R282" s="10" t="n"/>
      <c r="S282" s="17" t="n"/>
      <c r="T282" s="18" t="n"/>
      <c r="U282" s="17" t="n"/>
      <c r="V282" s="17" t="n"/>
      <c r="W282" s="18" t="n"/>
      <c r="X282" s="18" t="n"/>
      <c r="Y282" s="17" t="n"/>
      <c r="Z282" s="10" t="n"/>
      <c r="AA282" s="10" t="n"/>
      <c r="AB282" s="19">
        <f>IF(LEN(A282)&gt;0,1,0)</f>
        <v/>
      </c>
      <c r="AC282" s="19">
        <f>IF(LEN(A282)=0,0,(LEN(B282)=0)+(LEN(C282)=0)+(LEN(D282)=0)+(LEN(E282)=0)+(LEN(F282)=0)+(LEN(G282)=0)+(LEN(H282)=0)+(LEN(I282)=0)+(LEN(J282)=0)+(LEN(K282)=0)+(LEN(L282)=0)+(LEN(N282)=0)+(LEN(O282)=0)+(LEN(P282)=0)+(LEN(R282)=0)+(LEN(AA282)=0))</f>
        <v/>
      </c>
      <c r="AD282" s="19">
        <f>IF(OR(LEN(A282)=0,LEN(C282)=0),0,IF(OR(C282&lt;1,C282&gt;5),1,0))</f>
        <v/>
      </c>
      <c r="AE282" s="19">
        <f>IF(OR(LEN(A282)=0,LEN(R282)=0),0,IF(OR(R282="Active",R282="Paid off",R282="Defaulted",R282="Repossessed",R282="Written off",R282="Restructured"),0,1))</f>
        <v/>
      </c>
      <c r="AF282" s="19">
        <f>IF(A282="",0,IF(N(J282)&gt;N(I282),1,0))</f>
        <v/>
      </c>
      <c r="AG282" s="19">
        <f>IF(A282="",0,IF(N(N282)&gt;N(M282)+1,1,0))</f>
        <v/>
      </c>
      <c r="AH282" s="19">
        <f>IF(A282="",0,IF(N(E282)&gt;N(B282),1,0))</f>
        <v/>
      </c>
      <c r="AI282" s="19">
        <f>IF(A282="",0,IF(AND(Z282="Full payment",N(N282)&lt;N(M282)-1),1,0))</f>
        <v/>
      </c>
      <c r="AJ282" s="19">
        <f>IF(A282="",0,IF(N(P282)&lt;0,1,0))</f>
        <v/>
      </c>
      <c r="AK282" s="19">
        <f>IF(A282="",0,IF(COUNTIF($A$7:$A$1006,A282)&gt;1,1,0))</f>
        <v/>
      </c>
    </row>
    <row r="283">
      <c r="A283" s="10" t="n"/>
      <c r="B283" s="17" t="n"/>
      <c r="C283" s="18" t="n"/>
      <c r="D283" s="10" t="n"/>
      <c r="E283" s="17" t="n"/>
      <c r="F283" s="10" t="n"/>
      <c r="G283" s="10" t="n"/>
      <c r="H283" s="10" t="n"/>
      <c r="I283" s="18" t="n"/>
      <c r="J283" s="18" t="n"/>
      <c r="K283" s="18" t="n"/>
      <c r="L283" s="18" t="n"/>
      <c r="M283" s="19">
        <f>IF(K283="","",K283*365/12*L283)</f>
        <v/>
      </c>
      <c r="N283" s="18" t="n"/>
      <c r="O283" s="18" t="n"/>
      <c r="P283" s="18" t="n"/>
      <c r="Q283" s="18" t="n"/>
      <c r="R283" s="10" t="n"/>
      <c r="S283" s="17" t="n"/>
      <c r="T283" s="18" t="n"/>
      <c r="U283" s="17" t="n"/>
      <c r="V283" s="17" t="n"/>
      <c r="W283" s="18" t="n"/>
      <c r="X283" s="18" t="n"/>
      <c r="Y283" s="17" t="n"/>
      <c r="Z283" s="10" t="n"/>
      <c r="AA283" s="10" t="n"/>
      <c r="AB283" s="19">
        <f>IF(LEN(A283)&gt;0,1,0)</f>
        <v/>
      </c>
      <c r="AC283" s="19">
        <f>IF(LEN(A283)=0,0,(LEN(B283)=0)+(LEN(C283)=0)+(LEN(D283)=0)+(LEN(E283)=0)+(LEN(F283)=0)+(LEN(G283)=0)+(LEN(H283)=0)+(LEN(I283)=0)+(LEN(J283)=0)+(LEN(K283)=0)+(LEN(L283)=0)+(LEN(N283)=0)+(LEN(O283)=0)+(LEN(P283)=0)+(LEN(R283)=0)+(LEN(AA283)=0))</f>
        <v/>
      </c>
      <c r="AD283" s="19">
        <f>IF(OR(LEN(A283)=0,LEN(C283)=0),0,IF(OR(C283&lt;1,C283&gt;5),1,0))</f>
        <v/>
      </c>
      <c r="AE283" s="19">
        <f>IF(OR(LEN(A283)=0,LEN(R283)=0),0,IF(OR(R283="Active",R283="Paid off",R283="Defaulted",R283="Repossessed",R283="Written off",R283="Restructured"),0,1))</f>
        <v/>
      </c>
      <c r="AF283" s="19">
        <f>IF(A283="",0,IF(N(J283)&gt;N(I283),1,0))</f>
        <v/>
      </c>
      <c r="AG283" s="19">
        <f>IF(A283="",0,IF(N(N283)&gt;N(M283)+1,1,0))</f>
        <v/>
      </c>
      <c r="AH283" s="19">
        <f>IF(A283="",0,IF(N(E283)&gt;N(B283),1,0))</f>
        <v/>
      </c>
      <c r="AI283" s="19">
        <f>IF(A283="",0,IF(AND(Z283="Full payment",N(N283)&lt;N(M283)-1),1,0))</f>
        <v/>
      </c>
      <c r="AJ283" s="19">
        <f>IF(A283="",0,IF(N(P283)&lt;0,1,0))</f>
        <v/>
      </c>
      <c r="AK283" s="19">
        <f>IF(A283="",0,IF(COUNTIF($A$7:$A$1006,A283)&gt;1,1,0))</f>
        <v/>
      </c>
    </row>
    <row r="284">
      <c r="A284" s="10" t="n"/>
      <c r="B284" s="17" t="n"/>
      <c r="C284" s="18" t="n"/>
      <c r="D284" s="10" t="n"/>
      <c r="E284" s="17" t="n"/>
      <c r="F284" s="10" t="n"/>
      <c r="G284" s="10" t="n"/>
      <c r="H284" s="10" t="n"/>
      <c r="I284" s="18" t="n"/>
      <c r="J284" s="18" t="n"/>
      <c r="K284" s="18" t="n"/>
      <c r="L284" s="18" t="n"/>
      <c r="M284" s="19">
        <f>IF(K284="","",K284*365/12*L284)</f>
        <v/>
      </c>
      <c r="N284" s="18" t="n"/>
      <c r="O284" s="18" t="n"/>
      <c r="P284" s="18" t="n"/>
      <c r="Q284" s="18" t="n"/>
      <c r="R284" s="10" t="n"/>
      <c r="S284" s="17" t="n"/>
      <c r="T284" s="18" t="n"/>
      <c r="U284" s="17" t="n"/>
      <c r="V284" s="17" t="n"/>
      <c r="W284" s="18" t="n"/>
      <c r="X284" s="18" t="n"/>
      <c r="Y284" s="17" t="n"/>
      <c r="Z284" s="10" t="n"/>
      <c r="AA284" s="10" t="n"/>
      <c r="AB284" s="19">
        <f>IF(LEN(A284)&gt;0,1,0)</f>
        <v/>
      </c>
      <c r="AC284" s="19">
        <f>IF(LEN(A284)=0,0,(LEN(B284)=0)+(LEN(C284)=0)+(LEN(D284)=0)+(LEN(E284)=0)+(LEN(F284)=0)+(LEN(G284)=0)+(LEN(H284)=0)+(LEN(I284)=0)+(LEN(J284)=0)+(LEN(K284)=0)+(LEN(L284)=0)+(LEN(N284)=0)+(LEN(O284)=0)+(LEN(P284)=0)+(LEN(R284)=0)+(LEN(AA284)=0))</f>
        <v/>
      </c>
      <c r="AD284" s="19">
        <f>IF(OR(LEN(A284)=0,LEN(C284)=0),0,IF(OR(C284&lt;1,C284&gt;5),1,0))</f>
        <v/>
      </c>
      <c r="AE284" s="19">
        <f>IF(OR(LEN(A284)=0,LEN(R284)=0),0,IF(OR(R284="Active",R284="Paid off",R284="Defaulted",R284="Repossessed",R284="Written off",R284="Restructured"),0,1))</f>
        <v/>
      </c>
      <c r="AF284" s="19">
        <f>IF(A284="",0,IF(N(J284)&gt;N(I284),1,0))</f>
        <v/>
      </c>
      <c r="AG284" s="19">
        <f>IF(A284="",0,IF(N(N284)&gt;N(M284)+1,1,0))</f>
        <v/>
      </c>
      <c r="AH284" s="19">
        <f>IF(A284="",0,IF(N(E284)&gt;N(B284),1,0))</f>
        <v/>
      </c>
      <c r="AI284" s="19">
        <f>IF(A284="",0,IF(AND(Z284="Full payment",N(N284)&lt;N(M284)-1),1,0))</f>
        <v/>
      </c>
      <c r="AJ284" s="19">
        <f>IF(A284="",0,IF(N(P284)&lt;0,1,0))</f>
        <v/>
      </c>
      <c r="AK284" s="19">
        <f>IF(A284="",0,IF(COUNTIF($A$7:$A$1006,A284)&gt;1,1,0))</f>
        <v/>
      </c>
    </row>
    <row r="285">
      <c r="A285" s="10" t="n"/>
      <c r="B285" s="17" t="n"/>
      <c r="C285" s="18" t="n"/>
      <c r="D285" s="10" t="n"/>
      <c r="E285" s="17" t="n"/>
      <c r="F285" s="10" t="n"/>
      <c r="G285" s="10" t="n"/>
      <c r="H285" s="10" t="n"/>
      <c r="I285" s="18" t="n"/>
      <c r="J285" s="18" t="n"/>
      <c r="K285" s="18" t="n"/>
      <c r="L285" s="18" t="n"/>
      <c r="M285" s="19">
        <f>IF(K285="","",K285*365/12*L285)</f>
        <v/>
      </c>
      <c r="N285" s="18" t="n"/>
      <c r="O285" s="18" t="n"/>
      <c r="P285" s="18" t="n"/>
      <c r="Q285" s="18" t="n"/>
      <c r="R285" s="10" t="n"/>
      <c r="S285" s="17" t="n"/>
      <c r="T285" s="18" t="n"/>
      <c r="U285" s="17" t="n"/>
      <c r="V285" s="17" t="n"/>
      <c r="W285" s="18" t="n"/>
      <c r="X285" s="18" t="n"/>
      <c r="Y285" s="17" t="n"/>
      <c r="Z285" s="10" t="n"/>
      <c r="AA285" s="10" t="n"/>
      <c r="AB285" s="19">
        <f>IF(LEN(A285)&gt;0,1,0)</f>
        <v/>
      </c>
      <c r="AC285" s="19">
        <f>IF(LEN(A285)=0,0,(LEN(B285)=0)+(LEN(C285)=0)+(LEN(D285)=0)+(LEN(E285)=0)+(LEN(F285)=0)+(LEN(G285)=0)+(LEN(H285)=0)+(LEN(I285)=0)+(LEN(J285)=0)+(LEN(K285)=0)+(LEN(L285)=0)+(LEN(N285)=0)+(LEN(O285)=0)+(LEN(P285)=0)+(LEN(R285)=0)+(LEN(AA285)=0))</f>
        <v/>
      </c>
      <c r="AD285" s="19">
        <f>IF(OR(LEN(A285)=0,LEN(C285)=0),0,IF(OR(C285&lt;1,C285&gt;5),1,0))</f>
        <v/>
      </c>
      <c r="AE285" s="19">
        <f>IF(OR(LEN(A285)=0,LEN(R285)=0),0,IF(OR(R285="Active",R285="Paid off",R285="Defaulted",R285="Repossessed",R285="Written off",R285="Restructured"),0,1))</f>
        <v/>
      </c>
      <c r="AF285" s="19">
        <f>IF(A285="",0,IF(N(J285)&gt;N(I285),1,0))</f>
        <v/>
      </c>
      <c r="AG285" s="19">
        <f>IF(A285="",0,IF(N(N285)&gt;N(M285)+1,1,0))</f>
        <v/>
      </c>
      <c r="AH285" s="19">
        <f>IF(A285="",0,IF(N(E285)&gt;N(B285),1,0))</f>
        <v/>
      </c>
      <c r="AI285" s="19">
        <f>IF(A285="",0,IF(AND(Z285="Full payment",N(N285)&lt;N(M285)-1),1,0))</f>
        <v/>
      </c>
      <c r="AJ285" s="19">
        <f>IF(A285="",0,IF(N(P285)&lt;0,1,0))</f>
        <v/>
      </c>
      <c r="AK285" s="19">
        <f>IF(A285="",0,IF(COUNTIF($A$7:$A$1006,A285)&gt;1,1,0))</f>
        <v/>
      </c>
    </row>
    <row r="286">
      <c r="A286" s="10" t="n"/>
      <c r="B286" s="17" t="n"/>
      <c r="C286" s="18" t="n"/>
      <c r="D286" s="10" t="n"/>
      <c r="E286" s="17" t="n"/>
      <c r="F286" s="10" t="n"/>
      <c r="G286" s="10" t="n"/>
      <c r="H286" s="10" t="n"/>
      <c r="I286" s="18" t="n"/>
      <c r="J286" s="18" t="n"/>
      <c r="K286" s="18" t="n"/>
      <c r="L286" s="18" t="n"/>
      <c r="M286" s="19">
        <f>IF(K286="","",K286*365/12*L286)</f>
        <v/>
      </c>
      <c r="N286" s="18" t="n"/>
      <c r="O286" s="18" t="n"/>
      <c r="P286" s="18" t="n"/>
      <c r="Q286" s="18" t="n"/>
      <c r="R286" s="10" t="n"/>
      <c r="S286" s="17" t="n"/>
      <c r="T286" s="18" t="n"/>
      <c r="U286" s="17" t="n"/>
      <c r="V286" s="17" t="n"/>
      <c r="W286" s="18" t="n"/>
      <c r="X286" s="18" t="n"/>
      <c r="Y286" s="17" t="n"/>
      <c r="Z286" s="10" t="n"/>
      <c r="AA286" s="10" t="n"/>
      <c r="AB286" s="19">
        <f>IF(LEN(A286)&gt;0,1,0)</f>
        <v/>
      </c>
      <c r="AC286" s="19">
        <f>IF(LEN(A286)=0,0,(LEN(B286)=0)+(LEN(C286)=0)+(LEN(D286)=0)+(LEN(E286)=0)+(LEN(F286)=0)+(LEN(G286)=0)+(LEN(H286)=0)+(LEN(I286)=0)+(LEN(J286)=0)+(LEN(K286)=0)+(LEN(L286)=0)+(LEN(N286)=0)+(LEN(O286)=0)+(LEN(P286)=0)+(LEN(R286)=0)+(LEN(AA286)=0))</f>
        <v/>
      </c>
      <c r="AD286" s="19">
        <f>IF(OR(LEN(A286)=0,LEN(C286)=0),0,IF(OR(C286&lt;1,C286&gt;5),1,0))</f>
        <v/>
      </c>
      <c r="AE286" s="19">
        <f>IF(OR(LEN(A286)=0,LEN(R286)=0),0,IF(OR(R286="Active",R286="Paid off",R286="Defaulted",R286="Repossessed",R286="Written off",R286="Restructured"),0,1))</f>
        <v/>
      </c>
      <c r="AF286" s="19">
        <f>IF(A286="",0,IF(N(J286)&gt;N(I286),1,0))</f>
        <v/>
      </c>
      <c r="AG286" s="19">
        <f>IF(A286="",0,IF(N(N286)&gt;N(M286)+1,1,0))</f>
        <v/>
      </c>
      <c r="AH286" s="19">
        <f>IF(A286="",0,IF(N(E286)&gt;N(B286),1,0))</f>
        <v/>
      </c>
      <c r="AI286" s="19">
        <f>IF(A286="",0,IF(AND(Z286="Full payment",N(N286)&lt;N(M286)-1),1,0))</f>
        <v/>
      </c>
      <c r="AJ286" s="19">
        <f>IF(A286="",0,IF(N(P286)&lt;0,1,0))</f>
        <v/>
      </c>
      <c r="AK286" s="19">
        <f>IF(A286="",0,IF(COUNTIF($A$7:$A$1006,A286)&gt;1,1,0))</f>
        <v/>
      </c>
    </row>
    <row r="287">
      <c r="A287" s="10" t="n"/>
      <c r="B287" s="17" t="n"/>
      <c r="C287" s="18" t="n"/>
      <c r="D287" s="10" t="n"/>
      <c r="E287" s="17" t="n"/>
      <c r="F287" s="10" t="n"/>
      <c r="G287" s="10" t="n"/>
      <c r="H287" s="10" t="n"/>
      <c r="I287" s="18" t="n"/>
      <c r="J287" s="18" t="n"/>
      <c r="K287" s="18" t="n"/>
      <c r="L287" s="18" t="n"/>
      <c r="M287" s="19">
        <f>IF(K287="","",K287*365/12*L287)</f>
        <v/>
      </c>
      <c r="N287" s="18" t="n"/>
      <c r="O287" s="18" t="n"/>
      <c r="P287" s="18" t="n"/>
      <c r="Q287" s="18" t="n"/>
      <c r="R287" s="10" t="n"/>
      <c r="S287" s="17" t="n"/>
      <c r="T287" s="18" t="n"/>
      <c r="U287" s="17" t="n"/>
      <c r="V287" s="17" t="n"/>
      <c r="W287" s="18" t="n"/>
      <c r="X287" s="18" t="n"/>
      <c r="Y287" s="17" t="n"/>
      <c r="Z287" s="10" t="n"/>
      <c r="AA287" s="10" t="n"/>
      <c r="AB287" s="19">
        <f>IF(LEN(A287)&gt;0,1,0)</f>
        <v/>
      </c>
      <c r="AC287" s="19">
        <f>IF(LEN(A287)=0,0,(LEN(B287)=0)+(LEN(C287)=0)+(LEN(D287)=0)+(LEN(E287)=0)+(LEN(F287)=0)+(LEN(G287)=0)+(LEN(H287)=0)+(LEN(I287)=0)+(LEN(J287)=0)+(LEN(K287)=0)+(LEN(L287)=0)+(LEN(N287)=0)+(LEN(O287)=0)+(LEN(P287)=0)+(LEN(R287)=0)+(LEN(AA287)=0))</f>
        <v/>
      </c>
      <c r="AD287" s="19">
        <f>IF(OR(LEN(A287)=0,LEN(C287)=0),0,IF(OR(C287&lt;1,C287&gt;5),1,0))</f>
        <v/>
      </c>
      <c r="AE287" s="19">
        <f>IF(OR(LEN(A287)=0,LEN(R287)=0),0,IF(OR(R287="Active",R287="Paid off",R287="Defaulted",R287="Repossessed",R287="Written off",R287="Restructured"),0,1))</f>
        <v/>
      </c>
      <c r="AF287" s="19">
        <f>IF(A287="",0,IF(N(J287)&gt;N(I287),1,0))</f>
        <v/>
      </c>
      <c r="AG287" s="19">
        <f>IF(A287="",0,IF(N(N287)&gt;N(M287)+1,1,0))</f>
        <v/>
      </c>
      <c r="AH287" s="19">
        <f>IF(A287="",0,IF(N(E287)&gt;N(B287),1,0))</f>
        <v/>
      </c>
      <c r="AI287" s="19">
        <f>IF(A287="",0,IF(AND(Z287="Full payment",N(N287)&lt;N(M287)-1),1,0))</f>
        <v/>
      </c>
      <c r="AJ287" s="19">
        <f>IF(A287="",0,IF(N(P287)&lt;0,1,0))</f>
        <v/>
      </c>
      <c r="AK287" s="19">
        <f>IF(A287="",0,IF(COUNTIF($A$7:$A$1006,A287)&gt;1,1,0))</f>
        <v/>
      </c>
    </row>
    <row r="288">
      <c r="A288" s="10" t="n"/>
      <c r="B288" s="17" t="n"/>
      <c r="C288" s="18" t="n"/>
      <c r="D288" s="10" t="n"/>
      <c r="E288" s="17" t="n"/>
      <c r="F288" s="10" t="n"/>
      <c r="G288" s="10" t="n"/>
      <c r="H288" s="10" t="n"/>
      <c r="I288" s="18" t="n"/>
      <c r="J288" s="18" t="n"/>
      <c r="K288" s="18" t="n"/>
      <c r="L288" s="18" t="n"/>
      <c r="M288" s="19">
        <f>IF(K288="","",K288*365/12*L288)</f>
        <v/>
      </c>
      <c r="N288" s="18" t="n"/>
      <c r="O288" s="18" t="n"/>
      <c r="P288" s="18" t="n"/>
      <c r="Q288" s="18" t="n"/>
      <c r="R288" s="10" t="n"/>
      <c r="S288" s="17" t="n"/>
      <c r="T288" s="18" t="n"/>
      <c r="U288" s="17" t="n"/>
      <c r="V288" s="17" t="n"/>
      <c r="W288" s="18" t="n"/>
      <c r="X288" s="18" t="n"/>
      <c r="Y288" s="17" t="n"/>
      <c r="Z288" s="10" t="n"/>
      <c r="AA288" s="10" t="n"/>
      <c r="AB288" s="19">
        <f>IF(LEN(A288)&gt;0,1,0)</f>
        <v/>
      </c>
      <c r="AC288" s="19">
        <f>IF(LEN(A288)=0,0,(LEN(B288)=0)+(LEN(C288)=0)+(LEN(D288)=0)+(LEN(E288)=0)+(LEN(F288)=0)+(LEN(G288)=0)+(LEN(H288)=0)+(LEN(I288)=0)+(LEN(J288)=0)+(LEN(K288)=0)+(LEN(L288)=0)+(LEN(N288)=0)+(LEN(O288)=0)+(LEN(P288)=0)+(LEN(R288)=0)+(LEN(AA288)=0))</f>
        <v/>
      </c>
      <c r="AD288" s="19">
        <f>IF(OR(LEN(A288)=0,LEN(C288)=0),0,IF(OR(C288&lt;1,C288&gt;5),1,0))</f>
        <v/>
      </c>
      <c r="AE288" s="19">
        <f>IF(OR(LEN(A288)=0,LEN(R288)=0),0,IF(OR(R288="Active",R288="Paid off",R288="Defaulted",R288="Repossessed",R288="Written off",R288="Restructured"),0,1))</f>
        <v/>
      </c>
      <c r="AF288" s="19">
        <f>IF(A288="",0,IF(N(J288)&gt;N(I288),1,0))</f>
        <v/>
      </c>
      <c r="AG288" s="19">
        <f>IF(A288="",0,IF(N(N288)&gt;N(M288)+1,1,0))</f>
        <v/>
      </c>
      <c r="AH288" s="19">
        <f>IF(A288="",0,IF(N(E288)&gt;N(B288),1,0))</f>
        <v/>
      </c>
      <c r="AI288" s="19">
        <f>IF(A288="",0,IF(AND(Z288="Full payment",N(N288)&lt;N(M288)-1),1,0))</f>
        <v/>
      </c>
      <c r="AJ288" s="19">
        <f>IF(A288="",0,IF(N(P288)&lt;0,1,0))</f>
        <v/>
      </c>
      <c r="AK288" s="19">
        <f>IF(A288="",0,IF(COUNTIF($A$7:$A$1006,A288)&gt;1,1,0))</f>
        <v/>
      </c>
    </row>
    <row r="289">
      <c r="A289" s="10" t="n"/>
      <c r="B289" s="17" t="n"/>
      <c r="C289" s="18" t="n"/>
      <c r="D289" s="10" t="n"/>
      <c r="E289" s="17" t="n"/>
      <c r="F289" s="10" t="n"/>
      <c r="G289" s="10" t="n"/>
      <c r="H289" s="10" t="n"/>
      <c r="I289" s="18" t="n"/>
      <c r="J289" s="18" t="n"/>
      <c r="K289" s="18" t="n"/>
      <c r="L289" s="18" t="n"/>
      <c r="M289" s="19">
        <f>IF(K289="","",K289*365/12*L289)</f>
        <v/>
      </c>
      <c r="N289" s="18" t="n"/>
      <c r="O289" s="18" t="n"/>
      <c r="P289" s="18" t="n"/>
      <c r="Q289" s="18" t="n"/>
      <c r="R289" s="10" t="n"/>
      <c r="S289" s="17" t="n"/>
      <c r="T289" s="18" t="n"/>
      <c r="U289" s="17" t="n"/>
      <c r="V289" s="17" t="n"/>
      <c r="W289" s="18" t="n"/>
      <c r="X289" s="18" t="n"/>
      <c r="Y289" s="17" t="n"/>
      <c r="Z289" s="10" t="n"/>
      <c r="AA289" s="10" t="n"/>
      <c r="AB289" s="19">
        <f>IF(LEN(A289)&gt;0,1,0)</f>
        <v/>
      </c>
      <c r="AC289" s="19">
        <f>IF(LEN(A289)=0,0,(LEN(B289)=0)+(LEN(C289)=0)+(LEN(D289)=0)+(LEN(E289)=0)+(LEN(F289)=0)+(LEN(G289)=0)+(LEN(H289)=0)+(LEN(I289)=0)+(LEN(J289)=0)+(LEN(K289)=0)+(LEN(L289)=0)+(LEN(N289)=0)+(LEN(O289)=0)+(LEN(P289)=0)+(LEN(R289)=0)+(LEN(AA289)=0))</f>
        <v/>
      </c>
      <c r="AD289" s="19">
        <f>IF(OR(LEN(A289)=0,LEN(C289)=0),0,IF(OR(C289&lt;1,C289&gt;5),1,0))</f>
        <v/>
      </c>
      <c r="AE289" s="19">
        <f>IF(OR(LEN(A289)=0,LEN(R289)=0),0,IF(OR(R289="Active",R289="Paid off",R289="Defaulted",R289="Repossessed",R289="Written off",R289="Restructured"),0,1))</f>
        <v/>
      </c>
      <c r="AF289" s="19">
        <f>IF(A289="",0,IF(N(J289)&gt;N(I289),1,0))</f>
        <v/>
      </c>
      <c r="AG289" s="19">
        <f>IF(A289="",0,IF(N(N289)&gt;N(M289)+1,1,0))</f>
        <v/>
      </c>
      <c r="AH289" s="19">
        <f>IF(A289="",0,IF(N(E289)&gt;N(B289),1,0))</f>
        <v/>
      </c>
      <c r="AI289" s="19">
        <f>IF(A289="",0,IF(AND(Z289="Full payment",N(N289)&lt;N(M289)-1),1,0))</f>
        <v/>
      </c>
      <c r="AJ289" s="19">
        <f>IF(A289="",0,IF(N(P289)&lt;0,1,0))</f>
        <v/>
      </c>
      <c r="AK289" s="19">
        <f>IF(A289="",0,IF(COUNTIF($A$7:$A$1006,A289)&gt;1,1,0))</f>
        <v/>
      </c>
    </row>
    <row r="290">
      <c r="A290" s="10" t="n"/>
      <c r="B290" s="17" t="n"/>
      <c r="C290" s="18" t="n"/>
      <c r="D290" s="10" t="n"/>
      <c r="E290" s="17" t="n"/>
      <c r="F290" s="10" t="n"/>
      <c r="G290" s="10" t="n"/>
      <c r="H290" s="10" t="n"/>
      <c r="I290" s="18" t="n"/>
      <c r="J290" s="18" t="n"/>
      <c r="K290" s="18" t="n"/>
      <c r="L290" s="18" t="n"/>
      <c r="M290" s="19">
        <f>IF(K290="","",K290*365/12*L290)</f>
        <v/>
      </c>
      <c r="N290" s="18" t="n"/>
      <c r="O290" s="18" t="n"/>
      <c r="P290" s="18" t="n"/>
      <c r="Q290" s="18" t="n"/>
      <c r="R290" s="10" t="n"/>
      <c r="S290" s="17" t="n"/>
      <c r="T290" s="18" t="n"/>
      <c r="U290" s="17" t="n"/>
      <c r="V290" s="17" t="n"/>
      <c r="W290" s="18" t="n"/>
      <c r="X290" s="18" t="n"/>
      <c r="Y290" s="17" t="n"/>
      <c r="Z290" s="10" t="n"/>
      <c r="AA290" s="10" t="n"/>
      <c r="AB290" s="19">
        <f>IF(LEN(A290)&gt;0,1,0)</f>
        <v/>
      </c>
      <c r="AC290" s="19">
        <f>IF(LEN(A290)=0,0,(LEN(B290)=0)+(LEN(C290)=0)+(LEN(D290)=0)+(LEN(E290)=0)+(LEN(F290)=0)+(LEN(G290)=0)+(LEN(H290)=0)+(LEN(I290)=0)+(LEN(J290)=0)+(LEN(K290)=0)+(LEN(L290)=0)+(LEN(N290)=0)+(LEN(O290)=0)+(LEN(P290)=0)+(LEN(R290)=0)+(LEN(AA290)=0))</f>
        <v/>
      </c>
      <c r="AD290" s="19">
        <f>IF(OR(LEN(A290)=0,LEN(C290)=0),0,IF(OR(C290&lt;1,C290&gt;5),1,0))</f>
        <v/>
      </c>
      <c r="AE290" s="19">
        <f>IF(OR(LEN(A290)=0,LEN(R290)=0),0,IF(OR(R290="Active",R290="Paid off",R290="Defaulted",R290="Repossessed",R290="Written off",R290="Restructured"),0,1))</f>
        <v/>
      </c>
      <c r="AF290" s="19">
        <f>IF(A290="",0,IF(N(J290)&gt;N(I290),1,0))</f>
        <v/>
      </c>
      <c r="AG290" s="19">
        <f>IF(A290="",0,IF(N(N290)&gt;N(M290)+1,1,0))</f>
        <v/>
      </c>
      <c r="AH290" s="19">
        <f>IF(A290="",0,IF(N(E290)&gt;N(B290),1,0))</f>
        <v/>
      </c>
      <c r="AI290" s="19">
        <f>IF(A290="",0,IF(AND(Z290="Full payment",N(N290)&lt;N(M290)-1),1,0))</f>
        <v/>
      </c>
      <c r="AJ290" s="19">
        <f>IF(A290="",0,IF(N(P290)&lt;0,1,0))</f>
        <v/>
      </c>
      <c r="AK290" s="19">
        <f>IF(A290="",0,IF(COUNTIF($A$7:$A$1006,A290)&gt;1,1,0))</f>
        <v/>
      </c>
    </row>
    <row r="291">
      <c r="A291" s="10" t="n"/>
      <c r="B291" s="17" t="n"/>
      <c r="C291" s="18" t="n"/>
      <c r="D291" s="10" t="n"/>
      <c r="E291" s="17" t="n"/>
      <c r="F291" s="10" t="n"/>
      <c r="G291" s="10" t="n"/>
      <c r="H291" s="10" t="n"/>
      <c r="I291" s="18" t="n"/>
      <c r="J291" s="18" t="n"/>
      <c r="K291" s="18" t="n"/>
      <c r="L291" s="18" t="n"/>
      <c r="M291" s="19">
        <f>IF(K291="","",K291*365/12*L291)</f>
        <v/>
      </c>
      <c r="N291" s="18" t="n"/>
      <c r="O291" s="18" t="n"/>
      <c r="P291" s="18" t="n"/>
      <c r="Q291" s="18" t="n"/>
      <c r="R291" s="10" t="n"/>
      <c r="S291" s="17" t="n"/>
      <c r="T291" s="18" t="n"/>
      <c r="U291" s="17" t="n"/>
      <c r="V291" s="17" t="n"/>
      <c r="W291" s="18" t="n"/>
      <c r="X291" s="18" t="n"/>
      <c r="Y291" s="17" t="n"/>
      <c r="Z291" s="10" t="n"/>
      <c r="AA291" s="10" t="n"/>
      <c r="AB291" s="19">
        <f>IF(LEN(A291)&gt;0,1,0)</f>
        <v/>
      </c>
      <c r="AC291" s="19">
        <f>IF(LEN(A291)=0,0,(LEN(B291)=0)+(LEN(C291)=0)+(LEN(D291)=0)+(LEN(E291)=0)+(LEN(F291)=0)+(LEN(G291)=0)+(LEN(H291)=0)+(LEN(I291)=0)+(LEN(J291)=0)+(LEN(K291)=0)+(LEN(L291)=0)+(LEN(N291)=0)+(LEN(O291)=0)+(LEN(P291)=0)+(LEN(R291)=0)+(LEN(AA291)=0))</f>
        <v/>
      </c>
      <c r="AD291" s="19">
        <f>IF(OR(LEN(A291)=0,LEN(C291)=0),0,IF(OR(C291&lt;1,C291&gt;5),1,0))</f>
        <v/>
      </c>
      <c r="AE291" s="19">
        <f>IF(OR(LEN(A291)=0,LEN(R291)=0),0,IF(OR(R291="Active",R291="Paid off",R291="Defaulted",R291="Repossessed",R291="Written off",R291="Restructured"),0,1))</f>
        <v/>
      </c>
      <c r="AF291" s="19">
        <f>IF(A291="",0,IF(N(J291)&gt;N(I291),1,0))</f>
        <v/>
      </c>
      <c r="AG291" s="19">
        <f>IF(A291="",0,IF(N(N291)&gt;N(M291)+1,1,0))</f>
        <v/>
      </c>
      <c r="AH291" s="19">
        <f>IF(A291="",0,IF(N(E291)&gt;N(B291),1,0))</f>
        <v/>
      </c>
      <c r="AI291" s="19">
        <f>IF(A291="",0,IF(AND(Z291="Full payment",N(N291)&lt;N(M291)-1),1,0))</f>
        <v/>
      </c>
      <c r="AJ291" s="19">
        <f>IF(A291="",0,IF(N(P291)&lt;0,1,0))</f>
        <v/>
      </c>
      <c r="AK291" s="19">
        <f>IF(A291="",0,IF(COUNTIF($A$7:$A$1006,A291)&gt;1,1,0))</f>
        <v/>
      </c>
    </row>
    <row r="292">
      <c r="A292" s="10" t="n"/>
      <c r="B292" s="17" t="n"/>
      <c r="C292" s="18" t="n"/>
      <c r="D292" s="10" t="n"/>
      <c r="E292" s="17" t="n"/>
      <c r="F292" s="10" t="n"/>
      <c r="G292" s="10" t="n"/>
      <c r="H292" s="10" t="n"/>
      <c r="I292" s="18" t="n"/>
      <c r="J292" s="18" t="n"/>
      <c r="K292" s="18" t="n"/>
      <c r="L292" s="18" t="n"/>
      <c r="M292" s="19">
        <f>IF(K292="","",K292*365/12*L292)</f>
        <v/>
      </c>
      <c r="N292" s="18" t="n"/>
      <c r="O292" s="18" t="n"/>
      <c r="P292" s="18" t="n"/>
      <c r="Q292" s="18" t="n"/>
      <c r="R292" s="10" t="n"/>
      <c r="S292" s="17" t="n"/>
      <c r="T292" s="18" t="n"/>
      <c r="U292" s="17" t="n"/>
      <c r="V292" s="17" t="n"/>
      <c r="W292" s="18" t="n"/>
      <c r="X292" s="18" t="n"/>
      <c r="Y292" s="17" t="n"/>
      <c r="Z292" s="10" t="n"/>
      <c r="AA292" s="10" t="n"/>
      <c r="AB292" s="19">
        <f>IF(LEN(A292)&gt;0,1,0)</f>
        <v/>
      </c>
      <c r="AC292" s="19">
        <f>IF(LEN(A292)=0,0,(LEN(B292)=0)+(LEN(C292)=0)+(LEN(D292)=0)+(LEN(E292)=0)+(LEN(F292)=0)+(LEN(G292)=0)+(LEN(H292)=0)+(LEN(I292)=0)+(LEN(J292)=0)+(LEN(K292)=0)+(LEN(L292)=0)+(LEN(N292)=0)+(LEN(O292)=0)+(LEN(P292)=0)+(LEN(R292)=0)+(LEN(AA292)=0))</f>
        <v/>
      </c>
      <c r="AD292" s="19">
        <f>IF(OR(LEN(A292)=0,LEN(C292)=0),0,IF(OR(C292&lt;1,C292&gt;5),1,0))</f>
        <v/>
      </c>
      <c r="AE292" s="19">
        <f>IF(OR(LEN(A292)=0,LEN(R292)=0),0,IF(OR(R292="Active",R292="Paid off",R292="Defaulted",R292="Repossessed",R292="Written off",R292="Restructured"),0,1))</f>
        <v/>
      </c>
      <c r="AF292" s="19">
        <f>IF(A292="",0,IF(N(J292)&gt;N(I292),1,0))</f>
        <v/>
      </c>
      <c r="AG292" s="19">
        <f>IF(A292="",0,IF(N(N292)&gt;N(M292)+1,1,0))</f>
        <v/>
      </c>
      <c r="AH292" s="19">
        <f>IF(A292="",0,IF(N(E292)&gt;N(B292),1,0))</f>
        <v/>
      </c>
      <c r="AI292" s="19">
        <f>IF(A292="",0,IF(AND(Z292="Full payment",N(N292)&lt;N(M292)-1),1,0))</f>
        <v/>
      </c>
      <c r="AJ292" s="19">
        <f>IF(A292="",0,IF(N(P292)&lt;0,1,0))</f>
        <v/>
      </c>
      <c r="AK292" s="19">
        <f>IF(A292="",0,IF(COUNTIF($A$7:$A$1006,A292)&gt;1,1,0))</f>
        <v/>
      </c>
    </row>
    <row r="293">
      <c r="A293" s="10" t="n"/>
      <c r="B293" s="17" t="n"/>
      <c r="C293" s="18" t="n"/>
      <c r="D293" s="10" t="n"/>
      <c r="E293" s="17" t="n"/>
      <c r="F293" s="10" t="n"/>
      <c r="G293" s="10" t="n"/>
      <c r="H293" s="10" t="n"/>
      <c r="I293" s="18" t="n"/>
      <c r="J293" s="18" t="n"/>
      <c r="K293" s="18" t="n"/>
      <c r="L293" s="18" t="n"/>
      <c r="M293" s="19">
        <f>IF(K293="","",K293*365/12*L293)</f>
        <v/>
      </c>
      <c r="N293" s="18" t="n"/>
      <c r="O293" s="18" t="n"/>
      <c r="P293" s="18" t="n"/>
      <c r="Q293" s="18" t="n"/>
      <c r="R293" s="10" t="n"/>
      <c r="S293" s="17" t="n"/>
      <c r="T293" s="18" t="n"/>
      <c r="U293" s="17" t="n"/>
      <c r="V293" s="17" t="n"/>
      <c r="W293" s="18" t="n"/>
      <c r="X293" s="18" t="n"/>
      <c r="Y293" s="17" t="n"/>
      <c r="Z293" s="10" t="n"/>
      <c r="AA293" s="10" t="n"/>
      <c r="AB293" s="19">
        <f>IF(LEN(A293)&gt;0,1,0)</f>
        <v/>
      </c>
      <c r="AC293" s="19">
        <f>IF(LEN(A293)=0,0,(LEN(B293)=0)+(LEN(C293)=0)+(LEN(D293)=0)+(LEN(E293)=0)+(LEN(F293)=0)+(LEN(G293)=0)+(LEN(H293)=0)+(LEN(I293)=0)+(LEN(J293)=0)+(LEN(K293)=0)+(LEN(L293)=0)+(LEN(N293)=0)+(LEN(O293)=0)+(LEN(P293)=0)+(LEN(R293)=0)+(LEN(AA293)=0))</f>
        <v/>
      </c>
      <c r="AD293" s="19">
        <f>IF(OR(LEN(A293)=0,LEN(C293)=0),0,IF(OR(C293&lt;1,C293&gt;5),1,0))</f>
        <v/>
      </c>
      <c r="AE293" s="19">
        <f>IF(OR(LEN(A293)=0,LEN(R293)=0),0,IF(OR(R293="Active",R293="Paid off",R293="Defaulted",R293="Repossessed",R293="Written off",R293="Restructured"),0,1))</f>
        <v/>
      </c>
      <c r="AF293" s="19">
        <f>IF(A293="",0,IF(N(J293)&gt;N(I293),1,0))</f>
        <v/>
      </c>
      <c r="AG293" s="19">
        <f>IF(A293="",0,IF(N(N293)&gt;N(M293)+1,1,0))</f>
        <v/>
      </c>
      <c r="AH293" s="19">
        <f>IF(A293="",0,IF(N(E293)&gt;N(B293),1,0))</f>
        <v/>
      </c>
      <c r="AI293" s="19">
        <f>IF(A293="",0,IF(AND(Z293="Full payment",N(N293)&lt;N(M293)-1),1,0))</f>
        <v/>
      </c>
      <c r="AJ293" s="19">
        <f>IF(A293="",0,IF(N(P293)&lt;0,1,0))</f>
        <v/>
      </c>
      <c r="AK293" s="19">
        <f>IF(A293="",0,IF(COUNTIF($A$7:$A$1006,A293)&gt;1,1,0))</f>
        <v/>
      </c>
    </row>
    <row r="294">
      <c r="A294" s="10" t="n"/>
      <c r="B294" s="17" t="n"/>
      <c r="C294" s="18" t="n"/>
      <c r="D294" s="10" t="n"/>
      <c r="E294" s="17" t="n"/>
      <c r="F294" s="10" t="n"/>
      <c r="G294" s="10" t="n"/>
      <c r="H294" s="10" t="n"/>
      <c r="I294" s="18" t="n"/>
      <c r="J294" s="18" t="n"/>
      <c r="K294" s="18" t="n"/>
      <c r="L294" s="18" t="n"/>
      <c r="M294" s="19">
        <f>IF(K294="","",K294*365/12*L294)</f>
        <v/>
      </c>
      <c r="N294" s="18" t="n"/>
      <c r="O294" s="18" t="n"/>
      <c r="P294" s="18" t="n"/>
      <c r="Q294" s="18" t="n"/>
      <c r="R294" s="10" t="n"/>
      <c r="S294" s="17" t="n"/>
      <c r="T294" s="18" t="n"/>
      <c r="U294" s="17" t="n"/>
      <c r="V294" s="17" t="n"/>
      <c r="W294" s="18" t="n"/>
      <c r="X294" s="18" t="n"/>
      <c r="Y294" s="17" t="n"/>
      <c r="Z294" s="10" t="n"/>
      <c r="AA294" s="10" t="n"/>
      <c r="AB294" s="19">
        <f>IF(LEN(A294)&gt;0,1,0)</f>
        <v/>
      </c>
      <c r="AC294" s="19">
        <f>IF(LEN(A294)=0,0,(LEN(B294)=0)+(LEN(C294)=0)+(LEN(D294)=0)+(LEN(E294)=0)+(LEN(F294)=0)+(LEN(G294)=0)+(LEN(H294)=0)+(LEN(I294)=0)+(LEN(J294)=0)+(LEN(K294)=0)+(LEN(L294)=0)+(LEN(N294)=0)+(LEN(O294)=0)+(LEN(P294)=0)+(LEN(R294)=0)+(LEN(AA294)=0))</f>
        <v/>
      </c>
      <c r="AD294" s="19">
        <f>IF(OR(LEN(A294)=0,LEN(C294)=0),0,IF(OR(C294&lt;1,C294&gt;5),1,0))</f>
        <v/>
      </c>
      <c r="AE294" s="19">
        <f>IF(OR(LEN(A294)=0,LEN(R294)=0),0,IF(OR(R294="Active",R294="Paid off",R294="Defaulted",R294="Repossessed",R294="Written off",R294="Restructured"),0,1))</f>
        <v/>
      </c>
      <c r="AF294" s="19">
        <f>IF(A294="",0,IF(N(J294)&gt;N(I294),1,0))</f>
        <v/>
      </c>
      <c r="AG294" s="19">
        <f>IF(A294="",0,IF(N(N294)&gt;N(M294)+1,1,0))</f>
        <v/>
      </c>
      <c r="AH294" s="19">
        <f>IF(A294="",0,IF(N(E294)&gt;N(B294),1,0))</f>
        <v/>
      </c>
      <c r="AI294" s="19">
        <f>IF(A294="",0,IF(AND(Z294="Full payment",N(N294)&lt;N(M294)-1),1,0))</f>
        <v/>
      </c>
      <c r="AJ294" s="19">
        <f>IF(A294="",0,IF(N(P294)&lt;0,1,0))</f>
        <v/>
      </c>
      <c r="AK294" s="19">
        <f>IF(A294="",0,IF(COUNTIF($A$7:$A$1006,A294)&gt;1,1,0))</f>
        <v/>
      </c>
    </row>
    <row r="295">
      <c r="A295" s="10" t="n"/>
      <c r="B295" s="17" t="n"/>
      <c r="C295" s="18" t="n"/>
      <c r="D295" s="10" t="n"/>
      <c r="E295" s="17" t="n"/>
      <c r="F295" s="10" t="n"/>
      <c r="G295" s="10" t="n"/>
      <c r="H295" s="10" t="n"/>
      <c r="I295" s="18" t="n"/>
      <c r="J295" s="18" t="n"/>
      <c r="K295" s="18" t="n"/>
      <c r="L295" s="18" t="n"/>
      <c r="M295" s="19">
        <f>IF(K295="","",K295*365/12*L295)</f>
        <v/>
      </c>
      <c r="N295" s="18" t="n"/>
      <c r="O295" s="18" t="n"/>
      <c r="P295" s="18" t="n"/>
      <c r="Q295" s="18" t="n"/>
      <c r="R295" s="10" t="n"/>
      <c r="S295" s="17" t="n"/>
      <c r="T295" s="18" t="n"/>
      <c r="U295" s="17" t="n"/>
      <c r="V295" s="17" t="n"/>
      <c r="W295" s="18" t="n"/>
      <c r="X295" s="18" t="n"/>
      <c r="Y295" s="17" t="n"/>
      <c r="Z295" s="10" t="n"/>
      <c r="AA295" s="10" t="n"/>
      <c r="AB295" s="19">
        <f>IF(LEN(A295)&gt;0,1,0)</f>
        <v/>
      </c>
      <c r="AC295" s="19">
        <f>IF(LEN(A295)=0,0,(LEN(B295)=0)+(LEN(C295)=0)+(LEN(D295)=0)+(LEN(E295)=0)+(LEN(F295)=0)+(LEN(G295)=0)+(LEN(H295)=0)+(LEN(I295)=0)+(LEN(J295)=0)+(LEN(K295)=0)+(LEN(L295)=0)+(LEN(N295)=0)+(LEN(O295)=0)+(LEN(P295)=0)+(LEN(R295)=0)+(LEN(AA295)=0))</f>
        <v/>
      </c>
      <c r="AD295" s="19">
        <f>IF(OR(LEN(A295)=0,LEN(C295)=0),0,IF(OR(C295&lt;1,C295&gt;5),1,0))</f>
        <v/>
      </c>
      <c r="AE295" s="19">
        <f>IF(OR(LEN(A295)=0,LEN(R295)=0),0,IF(OR(R295="Active",R295="Paid off",R295="Defaulted",R295="Repossessed",R295="Written off",R295="Restructured"),0,1))</f>
        <v/>
      </c>
      <c r="AF295" s="19">
        <f>IF(A295="",0,IF(N(J295)&gt;N(I295),1,0))</f>
        <v/>
      </c>
      <c r="AG295" s="19">
        <f>IF(A295="",0,IF(N(N295)&gt;N(M295)+1,1,0))</f>
        <v/>
      </c>
      <c r="AH295" s="19">
        <f>IF(A295="",0,IF(N(E295)&gt;N(B295),1,0))</f>
        <v/>
      </c>
      <c r="AI295" s="19">
        <f>IF(A295="",0,IF(AND(Z295="Full payment",N(N295)&lt;N(M295)-1),1,0))</f>
        <v/>
      </c>
      <c r="AJ295" s="19">
        <f>IF(A295="",0,IF(N(P295)&lt;0,1,0))</f>
        <v/>
      </c>
      <c r="AK295" s="19">
        <f>IF(A295="",0,IF(COUNTIF($A$7:$A$1006,A295)&gt;1,1,0))</f>
        <v/>
      </c>
    </row>
    <row r="296">
      <c r="A296" s="10" t="n"/>
      <c r="B296" s="17" t="n"/>
      <c r="C296" s="18" t="n"/>
      <c r="D296" s="10" t="n"/>
      <c r="E296" s="17" t="n"/>
      <c r="F296" s="10" t="n"/>
      <c r="G296" s="10" t="n"/>
      <c r="H296" s="10" t="n"/>
      <c r="I296" s="18" t="n"/>
      <c r="J296" s="18" t="n"/>
      <c r="K296" s="18" t="n"/>
      <c r="L296" s="18" t="n"/>
      <c r="M296" s="19">
        <f>IF(K296="","",K296*365/12*L296)</f>
        <v/>
      </c>
      <c r="N296" s="18" t="n"/>
      <c r="O296" s="18" t="n"/>
      <c r="P296" s="18" t="n"/>
      <c r="Q296" s="18" t="n"/>
      <c r="R296" s="10" t="n"/>
      <c r="S296" s="17" t="n"/>
      <c r="T296" s="18" t="n"/>
      <c r="U296" s="17" t="n"/>
      <c r="V296" s="17" t="n"/>
      <c r="W296" s="18" t="n"/>
      <c r="X296" s="18" t="n"/>
      <c r="Y296" s="17" t="n"/>
      <c r="Z296" s="10" t="n"/>
      <c r="AA296" s="10" t="n"/>
      <c r="AB296" s="19">
        <f>IF(LEN(A296)&gt;0,1,0)</f>
        <v/>
      </c>
      <c r="AC296" s="19">
        <f>IF(LEN(A296)=0,0,(LEN(B296)=0)+(LEN(C296)=0)+(LEN(D296)=0)+(LEN(E296)=0)+(LEN(F296)=0)+(LEN(G296)=0)+(LEN(H296)=0)+(LEN(I296)=0)+(LEN(J296)=0)+(LEN(K296)=0)+(LEN(L296)=0)+(LEN(N296)=0)+(LEN(O296)=0)+(LEN(P296)=0)+(LEN(R296)=0)+(LEN(AA296)=0))</f>
        <v/>
      </c>
      <c r="AD296" s="19">
        <f>IF(OR(LEN(A296)=0,LEN(C296)=0),0,IF(OR(C296&lt;1,C296&gt;5),1,0))</f>
        <v/>
      </c>
      <c r="AE296" s="19">
        <f>IF(OR(LEN(A296)=0,LEN(R296)=0),0,IF(OR(R296="Active",R296="Paid off",R296="Defaulted",R296="Repossessed",R296="Written off",R296="Restructured"),0,1))</f>
        <v/>
      </c>
      <c r="AF296" s="19">
        <f>IF(A296="",0,IF(N(J296)&gt;N(I296),1,0))</f>
        <v/>
      </c>
      <c r="AG296" s="19">
        <f>IF(A296="",0,IF(N(N296)&gt;N(M296)+1,1,0))</f>
        <v/>
      </c>
      <c r="AH296" s="19">
        <f>IF(A296="",0,IF(N(E296)&gt;N(B296),1,0))</f>
        <v/>
      </c>
      <c r="AI296" s="19">
        <f>IF(A296="",0,IF(AND(Z296="Full payment",N(N296)&lt;N(M296)-1),1,0))</f>
        <v/>
      </c>
      <c r="AJ296" s="19">
        <f>IF(A296="",0,IF(N(P296)&lt;0,1,0))</f>
        <v/>
      </c>
      <c r="AK296" s="19">
        <f>IF(A296="",0,IF(COUNTIF($A$7:$A$1006,A296)&gt;1,1,0))</f>
        <v/>
      </c>
    </row>
    <row r="297">
      <c r="A297" s="10" t="n"/>
      <c r="B297" s="17" t="n"/>
      <c r="C297" s="18" t="n"/>
      <c r="D297" s="10" t="n"/>
      <c r="E297" s="17" t="n"/>
      <c r="F297" s="10" t="n"/>
      <c r="G297" s="10" t="n"/>
      <c r="H297" s="10" t="n"/>
      <c r="I297" s="18" t="n"/>
      <c r="J297" s="18" t="n"/>
      <c r="K297" s="18" t="n"/>
      <c r="L297" s="18" t="n"/>
      <c r="M297" s="19">
        <f>IF(K297="","",K297*365/12*L297)</f>
        <v/>
      </c>
      <c r="N297" s="18" t="n"/>
      <c r="O297" s="18" t="n"/>
      <c r="P297" s="18" t="n"/>
      <c r="Q297" s="18" t="n"/>
      <c r="R297" s="10" t="n"/>
      <c r="S297" s="17" t="n"/>
      <c r="T297" s="18" t="n"/>
      <c r="U297" s="17" t="n"/>
      <c r="V297" s="17" t="n"/>
      <c r="W297" s="18" t="n"/>
      <c r="X297" s="18" t="n"/>
      <c r="Y297" s="17" t="n"/>
      <c r="Z297" s="10" t="n"/>
      <c r="AA297" s="10" t="n"/>
      <c r="AB297" s="19">
        <f>IF(LEN(A297)&gt;0,1,0)</f>
        <v/>
      </c>
      <c r="AC297" s="19">
        <f>IF(LEN(A297)=0,0,(LEN(B297)=0)+(LEN(C297)=0)+(LEN(D297)=0)+(LEN(E297)=0)+(LEN(F297)=0)+(LEN(G297)=0)+(LEN(H297)=0)+(LEN(I297)=0)+(LEN(J297)=0)+(LEN(K297)=0)+(LEN(L297)=0)+(LEN(N297)=0)+(LEN(O297)=0)+(LEN(P297)=0)+(LEN(R297)=0)+(LEN(AA297)=0))</f>
        <v/>
      </c>
      <c r="AD297" s="19">
        <f>IF(OR(LEN(A297)=0,LEN(C297)=0),0,IF(OR(C297&lt;1,C297&gt;5),1,0))</f>
        <v/>
      </c>
      <c r="AE297" s="19">
        <f>IF(OR(LEN(A297)=0,LEN(R297)=0),0,IF(OR(R297="Active",R297="Paid off",R297="Defaulted",R297="Repossessed",R297="Written off",R297="Restructured"),0,1))</f>
        <v/>
      </c>
      <c r="AF297" s="19">
        <f>IF(A297="",0,IF(N(J297)&gt;N(I297),1,0))</f>
        <v/>
      </c>
      <c r="AG297" s="19">
        <f>IF(A297="",0,IF(N(N297)&gt;N(M297)+1,1,0))</f>
        <v/>
      </c>
      <c r="AH297" s="19">
        <f>IF(A297="",0,IF(N(E297)&gt;N(B297),1,0))</f>
        <v/>
      </c>
      <c r="AI297" s="19">
        <f>IF(A297="",0,IF(AND(Z297="Full payment",N(N297)&lt;N(M297)-1),1,0))</f>
        <v/>
      </c>
      <c r="AJ297" s="19">
        <f>IF(A297="",0,IF(N(P297)&lt;0,1,0))</f>
        <v/>
      </c>
      <c r="AK297" s="19">
        <f>IF(A297="",0,IF(COUNTIF($A$7:$A$1006,A297)&gt;1,1,0))</f>
        <v/>
      </c>
    </row>
    <row r="298">
      <c r="A298" s="10" t="n"/>
      <c r="B298" s="17" t="n"/>
      <c r="C298" s="18" t="n"/>
      <c r="D298" s="10" t="n"/>
      <c r="E298" s="17" t="n"/>
      <c r="F298" s="10" t="n"/>
      <c r="G298" s="10" t="n"/>
      <c r="H298" s="10" t="n"/>
      <c r="I298" s="18" t="n"/>
      <c r="J298" s="18" t="n"/>
      <c r="K298" s="18" t="n"/>
      <c r="L298" s="18" t="n"/>
      <c r="M298" s="19">
        <f>IF(K298="","",K298*365/12*L298)</f>
        <v/>
      </c>
      <c r="N298" s="18" t="n"/>
      <c r="O298" s="18" t="n"/>
      <c r="P298" s="18" t="n"/>
      <c r="Q298" s="18" t="n"/>
      <c r="R298" s="10" t="n"/>
      <c r="S298" s="17" t="n"/>
      <c r="T298" s="18" t="n"/>
      <c r="U298" s="17" t="n"/>
      <c r="V298" s="17" t="n"/>
      <c r="W298" s="18" t="n"/>
      <c r="X298" s="18" t="n"/>
      <c r="Y298" s="17" t="n"/>
      <c r="Z298" s="10" t="n"/>
      <c r="AA298" s="10" t="n"/>
      <c r="AB298" s="19">
        <f>IF(LEN(A298)&gt;0,1,0)</f>
        <v/>
      </c>
      <c r="AC298" s="19">
        <f>IF(LEN(A298)=0,0,(LEN(B298)=0)+(LEN(C298)=0)+(LEN(D298)=0)+(LEN(E298)=0)+(LEN(F298)=0)+(LEN(G298)=0)+(LEN(H298)=0)+(LEN(I298)=0)+(LEN(J298)=0)+(LEN(K298)=0)+(LEN(L298)=0)+(LEN(N298)=0)+(LEN(O298)=0)+(LEN(P298)=0)+(LEN(R298)=0)+(LEN(AA298)=0))</f>
        <v/>
      </c>
      <c r="AD298" s="19">
        <f>IF(OR(LEN(A298)=0,LEN(C298)=0),0,IF(OR(C298&lt;1,C298&gt;5),1,0))</f>
        <v/>
      </c>
      <c r="AE298" s="19">
        <f>IF(OR(LEN(A298)=0,LEN(R298)=0),0,IF(OR(R298="Active",R298="Paid off",R298="Defaulted",R298="Repossessed",R298="Written off",R298="Restructured"),0,1))</f>
        <v/>
      </c>
      <c r="AF298" s="19">
        <f>IF(A298="",0,IF(N(J298)&gt;N(I298),1,0))</f>
        <v/>
      </c>
      <c r="AG298" s="19">
        <f>IF(A298="",0,IF(N(N298)&gt;N(M298)+1,1,0))</f>
        <v/>
      </c>
      <c r="AH298" s="19">
        <f>IF(A298="",0,IF(N(E298)&gt;N(B298),1,0))</f>
        <v/>
      </c>
      <c r="AI298" s="19">
        <f>IF(A298="",0,IF(AND(Z298="Full payment",N(N298)&lt;N(M298)-1),1,0))</f>
        <v/>
      </c>
      <c r="AJ298" s="19">
        <f>IF(A298="",0,IF(N(P298)&lt;0,1,0))</f>
        <v/>
      </c>
      <c r="AK298" s="19">
        <f>IF(A298="",0,IF(COUNTIF($A$7:$A$1006,A298)&gt;1,1,0))</f>
        <v/>
      </c>
    </row>
    <row r="299">
      <c r="A299" s="10" t="n"/>
      <c r="B299" s="17" t="n"/>
      <c r="C299" s="18" t="n"/>
      <c r="D299" s="10" t="n"/>
      <c r="E299" s="17" t="n"/>
      <c r="F299" s="10" t="n"/>
      <c r="G299" s="10" t="n"/>
      <c r="H299" s="10" t="n"/>
      <c r="I299" s="18" t="n"/>
      <c r="J299" s="18" t="n"/>
      <c r="K299" s="18" t="n"/>
      <c r="L299" s="18" t="n"/>
      <c r="M299" s="19">
        <f>IF(K299="","",K299*365/12*L299)</f>
        <v/>
      </c>
      <c r="N299" s="18" t="n"/>
      <c r="O299" s="18" t="n"/>
      <c r="P299" s="18" t="n"/>
      <c r="Q299" s="18" t="n"/>
      <c r="R299" s="10" t="n"/>
      <c r="S299" s="17" t="n"/>
      <c r="T299" s="18" t="n"/>
      <c r="U299" s="17" t="n"/>
      <c r="V299" s="17" t="n"/>
      <c r="W299" s="18" t="n"/>
      <c r="X299" s="18" t="n"/>
      <c r="Y299" s="17" t="n"/>
      <c r="Z299" s="10" t="n"/>
      <c r="AA299" s="10" t="n"/>
      <c r="AB299" s="19">
        <f>IF(LEN(A299)&gt;0,1,0)</f>
        <v/>
      </c>
      <c r="AC299" s="19">
        <f>IF(LEN(A299)=0,0,(LEN(B299)=0)+(LEN(C299)=0)+(LEN(D299)=0)+(LEN(E299)=0)+(LEN(F299)=0)+(LEN(G299)=0)+(LEN(H299)=0)+(LEN(I299)=0)+(LEN(J299)=0)+(LEN(K299)=0)+(LEN(L299)=0)+(LEN(N299)=0)+(LEN(O299)=0)+(LEN(P299)=0)+(LEN(R299)=0)+(LEN(AA299)=0))</f>
        <v/>
      </c>
      <c r="AD299" s="19">
        <f>IF(OR(LEN(A299)=0,LEN(C299)=0),0,IF(OR(C299&lt;1,C299&gt;5),1,0))</f>
        <v/>
      </c>
      <c r="AE299" s="19">
        <f>IF(OR(LEN(A299)=0,LEN(R299)=0),0,IF(OR(R299="Active",R299="Paid off",R299="Defaulted",R299="Repossessed",R299="Written off",R299="Restructured"),0,1))</f>
        <v/>
      </c>
      <c r="AF299" s="19">
        <f>IF(A299="",0,IF(N(J299)&gt;N(I299),1,0))</f>
        <v/>
      </c>
      <c r="AG299" s="19">
        <f>IF(A299="",0,IF(N(N299)&gt;N(M299)+1,1,0))</f>
        <v/>
      </c>
      <c r="AH299" s="19">
        <f>IF(A299="",0,IF(N(E299)&gt;N(B299),1,0))</f>
        <v/>
      </c>
      <c r="AI299" s="19">
        <f>IF(A299="",0,IF(AND(Z299="Full payment",N(N299)&lt;N(M299)-1),1,0))</f>
        <v/>
      </c>
      <c r="AJ299" s="19">
        <f>IF(A299="",0,IF(N(P299)&lt;0,1,0))</f>
        <v/>
      </c>
      <c r="AK299" s="19">
        <f>IF(A299="",0,IF(COUNTIF($A$7:$A$1006,A299)&gt;1,1,0))</f>
        <v/>
      </c>
    </row>
    <row r="300">
      <c r="A300" s="10" t="n"/>
      <c r="B300" s="17" t="n"/>
      <c r="C300" s="18" t="n"/>
      <c r="D300" s="10" t="n"/>
      <c r="E300" s="17" t="n"/>
      <c r="F300" s="10" t="n"/>
      <c r="G300" s="10" t="n"/>
      <c r="H300" s="10" t="n"/>
      <c r="I300" s="18" t="n"/>
      <c r="J300" s="18" t="n"/>
      <c r="K300" s="18" t="n"/>
      <c r="L300" s="18" t="n"/>
      <c r="M300" s="19">
        <f>IF(K300="","",K300*365/12*L300)</f>
        <v/>
      </c>
      <c r="N300" s="18" t="n"/>
      <c r="O300" s="18" t="n"/>
      <c r="P300" s="18" t="n"/>
      <c r="Q300" s="18" t="n"/>
      <c r="R300" s="10" t="n"/>
      <c r="S300" s="17" t="n"/>
      <c r="T300" s="18" t="n"/>
      <c r="U300" s="17" t="n"/>
      <c r="V300" s="17" t="n"/>
      <c r="W300" s="18" t="n"/>
      <c r="X300" s="18" t="n"/>
      <c r="Y300" s="17" t="n"/>
      <c r="Z300" s="10" t="n"/>
      <c r="AA300" s="10" t="n"/>
      <c r="AB300" s="19">
        <f>IF(LEN(A300)&gt;0,1,0)</f>
        <v/>
      </c>
      <c r="AC300" s="19">
        <f>IF(LEN(A300)=0,0,(LEN(B300)=0)+(LEN(C300)=0)+(LEN(D300)=0)+(LEN(E300)=0)+(LEN(F300)=0)+(LEN(G300)=0)+(LEN(H300)=0)+(LEN(I300)=0)+(LEN(J300)=0)+(LEN(K300)=0)+(LEN(L300)=0)+(LEN(N300)=0)+(LEN(O300)=0)+(LEN(P300)=0)+(LEN(R300)=0)+(LEN(AA300)=0))</f>
        <v/>
      </c>
      <c r="AD300" s="19">
        <f>IF(OR(LEN(A300)=0,LEN(C300)=0),0,IF(OR(C300&lt;1,C300&gt;5),1,0))</f>
        <v/>
      </c>
      <c r="AE300" s="19">
        <f>IF(OR(LEN(A300)=0,LEN(R300)=0),0,IF(OR(R300="Active",R300="Paid off",R300="Defaulted",R300="Repossessed",R300="Written off",R300="Restructured"),0,1))</f>
        <v/>
      </c>
      <c r="AF300" s="19">
        <f>IF(A300="",0,IF(N(J300)&gt;N(I300),1,0))</f>
        <v/>
      </c>
      <c r="AG300" s="19">
        <f>IF(A300="",0,IF(N(N300)&gt;N(M300)+1,1,0))</f>
        <v/>
      </c>
      <c r="AH300" s="19">
        <f>IF(A300="",0,IF(N(E300)&gt;N(B300),1,0))</f>
        <v/>
      </c>
      <c r="AI300" s="19">
        <f>IF(A300="",0,IF(AND(Z300="Full payment",N(N300)&lt;N(M300)-1),1,0))</f>
        <v/>
      </c>
      <c r="AJ300" s="19">
        <f>IF(A300="",0,IF(N(P300)&lt;0,1,0))</f>
        <v/>
      </c>
      <c r="AK300" s="19">
        <f>IF(A300="",0,IF(COUNTIF($A$7:$A$1006,A300)&gt;1,1,0))</f>
        <v/>
      </c>
    </row>
    <row r="301">
      <c r="A301" s="10" t="n"/>
      <c r="B301" s="17" t="n"/>
      <c r="C301" s="18" t="n"/>
      <c r="D301" s="10" t="n"/>
      <c r="E301" s="17" t="n"/>
      <c r="F301" s="10" t="n"/>
      <c r="G301" s="10" t="n"/>
      <c r="H301" s="10" t="n"/>
      <c r="I301" s="18" t="n"/>
      <c r="J301" s="18" t="n"/>
      <c r="K301" s="18" t="n"/>
      <c r="L301" s="18" t="n"/>
      <c r="M301" s="19">
        <f>IF(K301="","",K301*365/12*L301)</f>
        <v/>
      </c>
      <c r="N301" s="18" t="n"/>
      <c r="O301" s="18" t="n"/>
      <c r="P301" s="18" t="n"/>
      <c r="Q301" s="18" t="n"/>
      <c r="R301" s="10" t="n"/>
      <c r="S301" s="17" t="n"/>
      <c r="T301" s="18" t="n"/>
      <c r="U301" s="17" t="n"/>
      <c r="V301" s="17" t="n"/>
      <c r="W301" s="18" t="n"/>
      <c r="X301" s="18" t="n"/>
      <c r="Y301" s="17" t="n"/>
      <c r="Z301" s="10" t="n"/>
      <c r="AA301" s="10" t="n"/>
      <c r="AB301" s="19">
        <f>IF(LEN(A301)&gt;0,1,0)</f>
        <v/>
      </c>
      <c r="AC301" s="19">
        <f>IF(LEN(A301)=0,0,(LEN(B301)=0)+(LEN(C301)=0)+(LEN(D301)=0)+(LEN(E301)=0)+(LEN(F301)=0)+(LEN(G301)=0)+(LEN(H301)=0)+(LEN(I301)=0)+(LEN(J301)=0)+(LEN(K301)=0)+(LEN(L301)=0)+(LEN(N301)=0)+(LEN(O301)=0)+(LEN(P301)=0)+(LEN(R301)=0)+(LEN(AA301)=0))</f>
        <v/>
      </c>
      <c r="AD301" s="19">
        <f>IF(OR(LEN(A301)=0,LEN(C301)=0),0,IF(OR(C301&lt;1,C301&gt;5),1,0))</f>
        <v/>
      </c>
      <c r="AE301" s="19">
        <f>IF(OR(LEN(A301)=0,LEN(R301)=0),0,IF(OR(R301="Active",R301="Paid off",R301="Defaulted",R301="Repossessed",R301="Written off",R301="Restructured"),0,1))</f>
        <v/>
      </c>
      <c r="AF301" s="19">
        <f>IF(A301="",0,IF(N(J301)&gt;N(I301),1,0))</f>
        <v/>
      </c>
      <c r="AG301" s="19">
        <f>IF(A301="",0,IF(N(N301)&gt;N(M301)+1,1,0))</f>
        <v/>
      </c>
      <c r="AH301" s="19">
        <f>IF(A301="",0,IF(N(E301)&gt;N(B301),1,0))</f>
        <v/>
      </c>
      <c r="AI301" s="19">
        <f>IF(A301="",0,IF(AND(Z301="Full payment",N(N301)&lt;N(M301)-1),1,0))</f>
        <v/>
      </c>
      <c r="AJ301" s="19">
        <f>IF(A301="",0,IF(N(P301)&lt;0,1,0))</f>
        <v/>
      </c>
      <c r="AK301" s="19">
        <f>IF(A301="",0,IF(COUNTIF($A$7:$A$1006,A301)&gt;1,1,0))</f>
        <v/>
      </c>
    </row>
    <row r="302">
      <c r="A302" s="10" t="n"/>
      <c r="B302" s="17" t="n"/>
      <c r="C302" s="18" t="n"/>
      <c r="D302" s="10" t="n"/>
      <c r="E302" s="17" t="n"/>
      <c r="F302" s="10" t="n"/>
      <c r="G302" s="10" t="n"/>
      <c r="H302" s="10" t="n"/>
      <c r="I302" s="18" t="n"/>
      <c r="J302" s="18" t="n"/>
      <c r="K302" s="18" t="n"/>
      <c r="L302" s="18" t="n"/>
      <c r="M302" s="19">
        <f>IF(K302="","",K302*365/12*L302)</f>
        <v/>
      </c>
      <c r="N302" s="18" t="n"/>
      <c r="O302" s="18" t="n"/>
      <c r="P302" s="18" t="n"/>
      <c r="Q302" s="18" t="n"/>
      <c r="R302" s="10" t="n"/>
      <c r="S302" s="17" t="n"/>
      <c r="T302" s="18" t="n"/>
      <c r="U302" s="17" t="n"/>
      <c r="V302" s="17" t="n"/>
      <c r="W302" s="18" t="n"/>
      <c r="X302" s="18" t="n"/>
      <c r="Y302" s="17" t="n"/>
      <c r="Z302" s="10" t="n"/>
      <c r="AA302" s="10" t="n"/>
      <c r="AB302" s="19">
        <f>IF(LEN(A302)&gt;0,1,0)</f>
        <v/>
      </c>
      <c r="AC302" s="19">
        <f>IF(LEN(A302)=0,0,(LEN(B302)=0)+(LEN(C302)=0)+(LEN(D302)=0)+(LEN(E302)=0)+(LEN(F302)=0)+(LEN(G302)=0)+(LEN(H302)=0)+(LEN(I302)=0)+(LEN(J302)=0)+(LEN(K302)=0)+(LEN(L302)=0)+(LEN(N302)=0)+(LEN(O302)=0)+(LEN(P302)=0)+(LEN(R302)=0)+(LEN(AA302)=0))</f>
        <v/>
      </c>
      <c r="AD302" s="19">
        <f>IF(OR(LEN(A302)=0,LEN(C302)=0),0,IF(OR(C302&lt;1,C302&gt;5),1,0))</f>
        <v/>
      </c>
      <c r="AE302" s="19">
        <f>IF(OR(LEN(A302)=0,LEN(R302)=0),0,IF(OR(R302="Active",R302="Paid off",R302="Defaulted",R302="Repossessed",R302="Written off",R302="Restructured"),0,1))</f>
        <v/>
      </c>
      <c r="AF302" s="19">
        <f>IF(A302="",0,IF(N(J302)&gt;N(I302),1,0))</f>
        <v/>
      </c>
      <c r="AG302" s="19">
        <f>IF(A302="",0,IF(N(N302)&gt;N(M302)+1,1,0))</f>
        <v/>
      </c>
      <c r="AH302" s="19">
        <f>IF(A302="",0,IF(N(E302)&gt;N(B302),1,0))</f>
        <v/>
      </c>
      <c r="AI302" s="19">
        <f>IF(A302="",0,IF(AND(Z302="Full payment",N(N302)&lt;N(M302)-1),1,0))</f>
        <v/>
      </c>
      <c r="AJ302" s="19">
        <f>IF(A302="",0,IF(N(P302)&lt;0,1,0))</f>
        <v/>
      </c>
      <c r="AK302" s="19">
        <f>IF(A302="",0,IF(COUNTIF($A$7:$A$1006,A302)&gt;1,1,0))</f>
        <v/>
      </c>
    </row>
    <row r="303">
      <c r="A303" s="10" t="n"/>
      <c r="B303" s="17" t="n"/>
      <c r="C303" s="18" t="n"/>
      <c r="D303" s="10" t="n"/>
      <c r="E303" s="17" t="n"/>
      <c r="F303" s="10" t="n"/>
      <c r="G303" s="10" t="n"/>
      <c r="H303" s="10" t="n"/>
      <c r="I303" s="18" t="n"/>
      <c r="J303" s="18" t="n"/>
      <c r="K303" s="18" t="n"/>
      <c r="L303" s="18" t="n"/>
      <c r="M303" s="19">
        <f>IF(K303="","",K303*365/12*L303)</f>
        <v/>
      </c>
      <c r="N303" s="18" t="n"/>
      <c r="O303" s="18" t="n"/>
      <c r="P303" s="18" t="n"/>
      <c r="Q303" s="18" t="n"/>
      <c r="R303" s="10" t="n"/>
      <c r="S303" s="17" t="n"/>
      <c r="T303" s="18" t="n"/>
      <c r="U303" s="17" t="n"/>
      <c r="V303" s="17" t="n"/>
      <c r="W303" s="18" t="n"/>
      <c r="X303" s="18" t="n"/>
      <c r="Y303" s="17" t="n"/>
      <c r="Z303" s="10" t="n"/>
      <c r="AA303" s="10" t="n"/>
      <c r="AB303" s="19">
        <f>IF(LEN(A303)&gt;0,1,0)</f>
        <v/>
      </c>
      <c r="AC303" s="19">
        <f>IF(LEN(A303)=0,0,(LEN(B303)=0)+(LEN(C303)=0)+(LEN(D303)=0)+(LEN(E303)=0)+(LEN(F303)=0)+(LEN(G303)=0)+(LEN(H303)=0)+(LEN(I303)=0)+(LEN(J303)=0)+(LEN(K303)=0)+(LEN(L303)=0)+(LEN(N303)=0)+(LEN(O303)=0)+(LEN(P303)=0)+(LEN(R303)=0)+(LEN(AA303)=0))</f>
        <v/>
      </c>
      <c r="AD303" s="19">
        <f>IF(OR(LEN(A303)=0,LEN(C303)=0),0,IF(OR(C303&lt;1,C303&gt;5),1,0))</f>
        <v/>
      </c>
      <c r="AE303" s="19">
        <f>IF(OR(LEN(A303)=0,LEN(R303)=0),0,IF(OR(R303="Active",R303="Paid off",R303="Defaulted",R303="Repossessed",R303="Written off",R303="Restructured"),0,1))</f>
        <v/>
      </c>
      <c r="AF303" s="19">
        <f>IF(A303="",0,IF(N(J303)&gt;N(I303),1,0))</f>
        <v/>
      </c>
      <c r="AG303" s="19">
        <f>IF(A303="",0,IF(N(N303)&gt;N(M303)+1,1,0))</f>
        <v/>
      </c>
      <c r="AH303" s="19">
        <f>IF(A303="",0,IF(N(E303)&gt;N(B303),1,0))</f>
        <v/>
      </c>
      <c r="AI303" s="19">
        <f>IF(A303="",0,IF(AND(Z303="Full payment",N(N303)&lt;N(M303)-1),1,0))</f>
        <v/>
      </c>
      <c r="AJ303" s="19">
        <f>IF(A303="",0,IF(N(P303)&lt;0,1,0))</f>
        <v/>
      </c>
      <c r="AK303" s="19">
        <f>IF(A303="",0,IF(COUNTIF($A$7:$A$1006,A303)&gt;1,1,0))</f>
        <v/>
      </c>
    </row>
    <row r="304">
      <c r="A304" s="10" t="n"/>
      <c r="B304" s="17" t="n"/>
      <c r="C304" s="18" t="n"/>
      <c r="D304" s="10" t="n"/>
      <c r="E304" s="17" t="n"/>
      <c r="F304" s="10" t="n"/>
      <c r="G304" s="10" t="n"/>
      <c r="H304" s="10" t="n"/>
      <c r="I304" s="18" t="n"/>
      <c r="J304" s="18" t="n"/>
      <c r="K304" s="18" t="n"/>
      <c r="L304" s="18" t="n"/>
      <c r="M304" s="19">
        <f>IF(K304="","",K304*365/12*L304)</f>
        <v/>
      </c>
      <c r="N304" s="18" t="n"/>
      <c r="O304" s="18" t="n"/>
      <c r="P304" s="18" t="n"/>
      <c r="Q304" s="18" t="n"/>
      <c r="R304" s="10" t="n"/>
      <c r="S304" s="17" t="n"/>
      <c r="T304" s="18" t="n"/>
      <c r="U304" s="17" t="n"/>
      <c r="V304" s="17" t="n"/>
      <c r="W304" s="18" t="n"/>
      <c r="X304" s="18" t="n"/>
      <c r="Y304" s="17" t="n"/>
      <c r="Z304" s="10" t="n"/>
      <c r="AA304" s="10" t="n"/>
      <c r="AB304" s="19">
        <f>IF(LEN(A304)&gt;0,1,0)</f>
        <v/>
      </c>
      <c r="AC304" s="19">
        <f>IF(LEN(A304)=0,0,(LEN(B304)=0)+(LEN(C304)=0)+(LEN(D304)=0)+(LEN(E304)=0)+(LEN(F304)=0)+(LEN(G304)=0)+(LEN(H304)=0)+(LEN(I304)=0)+(LEN(J304)=0)+(LEN(K304)=0)+(LEN(L304)=0)+(LEN(N304)=0)+(LEN(O304)=0)+(LEN(P304)=0)+(LEN(R304)=0)+(LEN(AA304)=0))</f>
        <v/>
      </c>
      <c r="AD304" s="19">
        <f>IF(OR(LEN(A304)=0,LEN(C304)=0),0,IF(OR(C304&lt;1,C304&gt;5),1,0))</f>
        <v/>
      </c>
      <c r="AE304" s="19">
        <f>IF(OR(LEN(A304)=0,LEN(R304)=0),0,IF(OR(R304="Active",R304="Paid off",R304="Defaulted",R304="Repossessed",R304="Written off",R304="Restructured"),0,1))</f>
        <v/>
      </c>
      <c r="AF304" s="19">
        <f>IF(A304="",0,IF(N(J304)&gt;N(I304),1,0))</f>
        <v/>
      </c>
      <c r="AG304" s="19">
        <f>IF(A304="",0,IF(N(N304)&gt;N(M304)+1,1,0))</f>
        <v/>
      </c>
      <c r="AH304" s="19">
        <f>IF(A304="",0,IF(N(E304)&gt;N(B304),1,0))</f>
        <v/>
      </c>
      <c r="AI304" s="19">
        <f>IF(A304="",0,IF(AND(Z304="Full payment",N(N304)&lt;N(M304)-1),1,0))</f>
        <v/>
      </c>
      <c r="AJ304" s="19">
        <f>IF(A304="",0,IF(N(P304)&lt;0,1,0))</f>
        <v/>
      </c>
      <c r="AK304" s="19">
        <f>IF(A304="",0,IF(COUNTIF($A$7:$A$1006,A304)&gt;1,1,0))</f>
        <v/>
      </c>
    </row>
    <row r="305">
      <c r="A305" s="10" t="n"/>
      <c r="B305" s="17" t="n"/>
      <c r="C305" s="18" t="n"/>
      <c r="D305" s="10" t="n"/>
      <c r="E305" s="17" t="n"/>
      <c r="F305" s="10" t="n"/>
      <c r="G305" s="10" t="n"/>
      <c r="H305" s="10" t="n"/>
      <c r="I305" s="18" t="n"/>
      <c r="J305" s="18" t="n"/>
      <c r="K305" s="18" t="n"/>
      <c r="L305" s="18" t="n"/>
      <c r="M305" s="19">
        <f>IF(K305="","",K305*365/12*L305)</f>
        <v/>
      </c>
      <c r="N305" s="18" t="n"/>
      <c r="O305" s="18" t="n"/>
      <c r="P305" s="18" t="n"/>
      <c r="Q305" s="18" t="n"/>
      <c r="R305" s="10" t="n"/>
      <c r="S305" s="17" t="n"/>
      <c r="T305" s="18" t="n"/>
      <c r="U305" s="17" t="n"/>
      <c r="V305" s="17" t="n"/>
      <c r="W305" s="18" t="n"/>
      <c r="X305" s="18" t="n"/>
      <c r="Y305" s="17" t="n"/>
      <c r="Z305" s="10" t="n"/>
      <c r="AA305" s="10" t="n"/>
      <c r="AB305" s="19">
        <f>IF(LEN(A305)&gt;0,1,0)</f>
        <v/>
      </c>
      <c r="AC305" s="19">
        <f>IF(LEN(A305)=0,0,(LEN(B305)=0)+(LEN(C305)=0)+(LEN(D305)=0)+(LEN(E305)=0)+(LEN(F305)=0)+(LEN(G305)=0)+(LEN(H305)=0)+(LEN(I305)=0)+(LEN(J305)=0)+(LEN(K305)=0)+(LEN(L305)=0)+(LEN(N305)=0)+(LEN(O305)=0)+(LEN(P305)=0)+(LEN(R305)=0)+(LEN(AA305)=0))</f>
        <v/>
      </c>
      <c r="AD305" s="19">
        <f>IF(OR(LEN(A305)=0,LEN(C305)=0),0,IF(OR(C305&lt;1,C305&gt;5),1,0))</f>
        <v/>
      </c>
      <c r="AE305" s="19">
        <f>IF(OR(LEN(A305)=0,LEN(R305)=0),0,IF(OR(R305="Active",R305="Paid off",R305="Defaulted",R305="Repossessed",R305="Written off",R305="Restructured"),0,1))</f>
        <v/>
      </c>
      <c r="AF305" s="19">
        <f>IF(A305="",0,IF(N(J305)&gt;N(I305),1,0))</f>
        <v/>
      </c>
      <c r="AG305" s="19">
        <f>IF(A305="",0,IF(N(N305)&gt;N(M305)+1,1,0))</f>
        <v/>
      </c>
      <c r="AH305" s="19">
        <f>IF(A305="",0,IF(N(E305)&gt;N(B305),1,0))</f>
        <v/>
      </c>
      <c r="AI305" s="19">
        <f>IF(A305="",0,IF(AND(Z305="Full payment",N(N305)&lt;N(M305)-1),1,0))</f>
        <v/>
      </c>
      <c r="AJ305" s="19">
        <f>IF(A305="",0,IF(N(P305)&lt;0,1,0))</f>
        <v/>
      </c>
      <c r="AK305" s="19">
        <f>IF(A305="",0,IF(COUNTIF($A$7:$A$1006,A305)&gt;1,1,0))</f>
        <v/>
      </c>
    </row>
    <row r="306">
      <c r="A306" s="10" t="n"/>
      <c r="B306" s="17" t="n"/>
      <c r="C306" s="18" t="n"/>
      <c r="D306" s="10" t="n"/>
      <c r="E306" s="17" t="n"/>
      <c r="F306" s="10" t="n"/>
      <c r="G306" s="10" t="n"/>
      <c r="H306" s="10" t="n"/>
      <c r="I306" s="18" t="n"/>
      <c r="J306" s="18" t="n"/>
      <c r="K306" s="18" t="n"/>
      <c r="L306" s="18" t="n"/>
      <c r="M306" s="19">
        <f>IF(K306="","",K306*365/12*L306)</f>
        <v/>
      </c>
      <c r="N306" s="18" t="n"/>
      <c r="O306" s="18" t="n"/>
      <c r="P306" s="18" t="n"/>
      <c r="Q306" s="18" t="n"/>
      <c r="R306" s="10" t="n"/>
      <c r="S306" s="17" t="n"/>
      <c r="T306" s="18" t="n"/>
      <c r="U306" s="17" t="n"/>
      <c r="V306" s="17" t="n"/>
      <c r="W306" s="18" t="n"/>
      <c r="X306" s="18" t="n"/>
      <c r="Y306" s="17" t="n"/>
      <c r="Z306" s="10" t="n"/>
      <c r="AA306" s="10" t="n"/>
      <c r="AB306" s="19">
        <f>IF(LEN(A306)&gt;0,1,0)</f>
        <v/>
      </c>
      <c r="AC306" s="19">
        <f>IF(LEN(A306)=0,0,(LEN(B306)=0)+(LEN(C306)=0)+(LEN(D306)=0)+(LEN(E306)=0)+(LEN(F306)=0)+(LEN(G306)=0)+(LEN(H306)=0)+(LEN(I306)=0)+(LEN(J306)=0)+(LEN(K306)=0)+(LEN(L306)=0)+(LEN(N306)=0)+(LEN(O306)=0)+(LEN(P306)=0)+(LEN(R306)=0)+(LEN(AA306)=0))</f>
        <v/>
      </c>
      <c r="AD306" s="19">
        <f>IF(OR(LEN(A306)=0,LEN(C306)=0),0,IF(OR(C306&lt;1,C306&gt;5),1,0))</f>
        <v/>
      </c>
      <c r="AE306" s="19">
        <f>IF(OR(LEN(A306)=0,LEN(R306)=0),0,IF(OR(R306="Active",R306="Paid off",R306="Defaulted",R306="Repossessed",R306="Written off",R306="Restructured"),0,1))</f>
        <v/>
      </c>
      <c r="AF306" s="19">
        <f>IF(A306="",0,IF(N(J306)&gt;N(I306),1,0))</f>
        <v/>
      </c>
      <c r="AG306" s="19">
        <f>IF(A306="",0,IF(N(N306)&gt;N(M306)+1,1,0))</f>
        <v/>
      </c>
      <c r="AH306" s="19">
        <f>IF(A306="",0,IF(N(E306)&gt;N(B306),1,0))</f>
        <v/>
      </c>
      <c r="AI306" s="19">
        <f>IF(A306="",0,IF(AND(Z306="Full payment",N(N306)&lt;N(M306)-1),1,0))</f>
        <v/>
      </c>
      <c r="AJ306" s="19">
        <f>IF(A306="",0,IF(N(P306)&lt;0,1,0))</f>
        <v/>
      </c>
      <c r="AK306" s="19">
        <f>IF(A306="",0,IF(COUNTIF($A$7:$A$1006,A306)&gt;1,1,0))</f>
        <v/>
      </c>
    </row>
    <row r="307">
      <c r="A307" s="10" t="n"/>
      <c r="B307" s="17" t="n"/>
      <c r="C307" s="18" t="n"/>
      <c r="D307" s="10" t="n"/>
      <c r="E307" s="17" t="n"/>
      <c r="F307" s="10" t="n"/>
      <c r="G307" s="10" t="n"/>
      <c r="H307" s="10" t="n"/>
      <c r="I307" s="18" t="n"/>
      <c r="J307" s="18" t="n"/>
      <c r="K307" s="18" t="n"/>
      <c r="L307" s="18" t="n"/>
      <c r="M307" s="19">
        <f>IF(K307="","",K307*365/12*L307)</f>
        <v/>
      </c>
      <c r="N307" s="18" t="n"/>
      <c r="O307" s="18" t="n"/>
      <c r="P307" s="18" t="n"/>
      <c r="Q307" s="18" t="n"/>
      <c r="R307" s="10" t="n"/>
      <c r="S307" s="17" t="n"/>
      <c r="T307" s="18" t="n"/>
      <c r="U307" s="17" t="n"/>
      <c r="V307" s="17" t="n"/>
      <c r="W307" s="18" t="n"/>
      <c r="X307" s="18" t="n"/>
      <c r="Y307" s="17" t="n"/>
      <c r="Z307" s="10" t="n"/>
      <c r="AA307" s="10" t="n"/>
      <c r="AB307" s="19">
        <f>IF(LEN(A307)&gt;0,1,0)</f>
        <v/>
      </c>
      <c r="AC307" s="19">
        <f>IF(LEN(A307)=0,0,(LEN(B307)=0)+(LEN(C307)=0)+(LEN(D307)=0)+(LEN(E307)=0)+(LEN(F307)=0)+(LEN(G307)=0)+(LEN(H307)=0)+(LEN(I307)=0)+(LEN(J307)=0)+(LEN(K307)=0)+(LEN(L307)=0)+(LEN(N307)=0)+(LEN(O307)=0)+(LEN(P307)=0)+(LEN(R307)=0)+(LEN(AA307)=0))</f>
        <v/>
      </c>
      <c r="AD307" s="19">
        <f>IF(OR(LEN(A307)=0,LEN(C307)=0),0,IF(OR(C307&lt;1,C307&gt;5),1,0))</f>
        <v/>
      </c>
      <c r="AE307" s="19">
        <f>IF(OR(LEN(A307)=0,LEN(R307)=0),0,IF(OR(R307="Active",R307="Paid off",R307="Defaulted",R307="Repossessed",R307="Written off",R307="Restructured"),0,1))</f>
        <v/>
      </c>
      <c r="AF307" s="19">
        <f>IF(A307="",0,IF(N(J307)&gt;N(I307),1,0))</f>
        <v/>
      </c>
      <c r="AG307" s="19">
        <f>IF(A307="",0,IF(N(N307)&gt;N(M307)+1,1,0))</f>
        <v/>
      </c>
      <c r="AH307" s="19">
        <f>IF(A307="",0,IF(N(E307)&gt;N(B307),1,0))</f>
        <v/>
      </c>
      <c r="AI307" s="19">
        <f>IF(A307="",0,IF(AND(Z307="Full payment",N(N307)&lt;N(M307)-1),1,0))</f>
        <v/>
      </c>
      <c r="AJ307" s="19">
        <f>IF(A307="",0,IF(N(P307)&lt;0,1,0))</f>
        <v/>
      </c>
      <c r="AK307" s="19">
        <f>IF(A307="",0,IF(COUNTIF($A$7:$A$1006,A307)&gt;1,1,0))</f>
        <v/>
      </c>
    </row>
    <row r="308">
      <c r="A308" s="10" t="n"/>
      <c r="B308" s="17" t="n"/>
      <c r="C308" s="18" t="n"/>
      <c r="D308" s="10" t="n"/>
      <c r="E308" s="17" t="n"/>
      <c r="F308" s="10" t="n"/>
      <c r="G308" s="10" t="n"/>
      <c r="H308" s="10" t="n"/>
      <c r="I308" s="18" t="n"/>
      <c r="J308" s="18" t="n"/>
      <c r="K308" s="18" t="n"/>
      <c r="L308" s="18" t="n"/>
      <c r="M308" s="19">
        <f>IF(K308="","",K308*365/12*L308)</f>
        <v/>
      </c>
      <c r="N308" s="18" t="n"/>
      <c r="O308" s="18" t="n"/>
      <c r="P308" s="18" t="n"/>
      <c r="Q308" s="18" t="n"/>
      <c r="R308" s="10" t="n"/>
      <c r="S308" s="17" t="n"/>
      <c r="T308" s="18" t="n"/>
      <c r="U308" s="17" t="n"/>
      <c r="V308" s="17" t="n"/>
      <c r="W308" s="18" t="n"/>
      <c r="X308" s="18" t="n"/>
      <c r="Y308" s="17" t="n"/>
      <c r="Z308" s="10" t="n"/>
      <c r="AA308" s="10" t="n"/>
      <c r="AB308" s="19">
        <f>IF(LEN(A308)&gt;0,1,0)</f>
        <v/>
      </c>
      <c r="AC308" s="19">
        <f>IF(LEN(A308)=0,0,(LEN(B308)=0)+(LEN(C308)=0)+(LEN(D308)=0)+(LEN(E308)=0)+(LEN(F308)=0)+(LEN(G308)=0)+(LEN(H308)=0)+(LEN(I308)=0)+(LEN(J308)=0)+(LEN(K308)=0)+(LEN(L308)=0)+(LEN(N308)=0)+(LEN(O308)=0)+(LEN(P308)=0)+(LEN(R308)=0)+(LEN(AA308)=0))</f>
        <v/>
      </c>
      <c r="AD308" s="19">
        <f>IF(OR(LEN(A308)=0,LEN(C308)=0),0,IF(OR(C308&lt;1,C308&gt;5),1,0))</f>
        <v/>
      </c>
      <c r="AE308" s="19">
        <f>IF(OR(LEN(A308)=0,LEN(R308)=0),0,IF(OR(R308="Active",R308="Paid off",R308="Defaulted",R308="Repossessed",R308="Written off",R308="Restructured"),0,1))</f>
        <v/>
      </c>
      <c r="AF308" s="19">
        <f>IF(A308="",0,IF(N(J308)&gt;N(I308),1,0))</f>
        <v/>
      </c>
      <c r="AG308" s="19">
        <f>IF(A308="",0,IF(N(N308)&gt;N(M308)+1,1,0))</f>
        <v/>
      </c>
      <c r="AH308" s="19">
        <f>IF(A308="",0,IF(N(E308)&gt;N(B308),1,0))</f>
        <v/>
      </c>
      <c r="AI308" s="19">
        <f>IF(A308="",0,IF(AND(Z308="Full payment",N(N308)&lt;N(M308)-1),1,0))</f>
        <v/>
      </c>
      <c r="AJ308" s="19">
        <f>IF(A308="",0,IF(N(P308)&lt;0,1,0))</f>
        <v/>
      </c>
      <c r="AK308" s="19">
        <f>IF(A308="",0,IF(COUNTIF($A$7:$A$1006,A308)&gt;1,1,0))</f>
        <v/>
      </c>
    </row>
    <row r="309">
      <c r="A309" s="10" t="n"/>
      <c r="B309" s="17" t="n"/>
      <c r="C309" s="18" t="n"/>
      <c r="D309" s="10" t="n"/>
      <c r="E309" s="17" t="n"/>
      <c r="F309" s="10" t="n"/>
      <c r="G309" s="10" t="n"/>
      <c r="H309" s="10" t="n"/>
      <c r="I309" s="18" t="n"/>
      <c r="J309" s="18" t="n"/>
      <c r="K309" s="18" t="n"/>
      <c r="L309" s="18" t="n"/>
      <c r="M309" s="19">
        <f>IF(K309="","",K309*365/12*L309)</f>
        <v/>
      </c>
      <c r="N309" s="18" t="n"/>
      <c r="O309" s="18" t="n"/>
      <c r="P309" s="18" t="n"/>
      <c r="Q309" s="18" t="n"/>
      <c r="R309" s="10" t="n"/>
      <c r="S309" s="17" t="n"/>
      <c r="T309" s="18" t="n"/>
      <c r="U309" s="17" t="n"/>
      <c r="V309" s="17" t="n"/>
      <c r="W309" s="18" t="n"/>
      <c r="X309" s="18" t="n"/>
      <c r="Y309" s="17" t="n"/>
      <c r="Z309" s="10" t="n"/>
      <c r="AA309" s="10" t="n"/>
      <c r="AB309" s="19">
        <f>IF(LEN(A309)&gt;0,1,0)</f>
        <v/>
      </c>
      <c r="AC309" s="19">
        <f>IF(LEN(A309)=0,0,(LEN(B309)=0)+(LEN(C309)=0)+(LEN(D309)=0)+(LEN(E309)=0)+(LEN(F309)=0)+(LEN(G309)=0)+(LEN(H309)=0)+(LEN(I309)=0)+(LEN(J309)=0)+(LEN(K309)=0)+(LEN(L309)=0)+(LEN(N309)=0)+(LEN(O309)=0)+(LEN(P309)=0)+(LEN(R309)=0)+(LEN(AA309)=0))</f>
        <v/>
      </c>
      <c r="AD309" s="19">
        <f>IF(OR(LEN(A309)=0,LEN(C309)=0),0,IF(OR(C309&lt;1,C309&gt;5),1,0))</f>
        <v/>
      </c>
      <c r="AE309" s="19">
        <f>IF(OR(LEN(A309)=0,LEN(R309)=0),0,IF(OR(R309="Active",R309="Paid off",R309="Defaulted",R309="Repossessed",R309="Written off",R309="Restructured"),0,1))</f>
        <v/>
      </c>
      <c r="AF309" s="19">
        <f>IF(A309="",0,IF(N(J309)&gt;N(I309),1,0))</f>
        <v/>
      </c>
      <c r="AG309" s="19">
        <f>IF(A309="",0,IF(N(N309)&gt;N(M309)+1,1,0))</f>
        <v/>
      </c>
      <c r="AH309" s="19">
        <f>IF(A309="",0,IF(N(E309)&gt;N(B309),1,0))</f>
        <v/>
      </c>
      <c r="AI309" s="19">
        <f>IF(A309="",0,IF(AND(Z309="Full payment",N(N309)&lt;N(M309)-1),1,0))</f>
        <v/>
      </c>
      <c r="AJ309" s="19">
        <f>IF(A309="",0,IF(N(P309)&lt;0,1,0))</f>
        <v/>
      </c>
      <c r="AK309" s="19">
        <f>IF(A309="",0,IF(COUNTIF($A$7:$A$1006,A309)&gt;1,1,0))</f>
        <v/>
      </c>
    </row>
    <row r="310">
      <c r="A310" s="10" t="n"/>
      <c r="B310" s="17" t="n"/>
      <c r="C310" s="18" t="n"/>
      <c r="D310" s="10" t="n"/>
      <c r="E310" s="17" t="n"/>
      <c r="F310" s="10" t="n"/>
      <c r="G310" s="10" t="n"/>
      <c r="H310" s="10" t="n"/>
      <c r="I310" s="18" t="n"/>
      <c r="J310" s="18" t="n"/>
      <c r="K310" s="18" t="n"/>
      <c r="L310" s="18" t="n"/>
      <c r="M310" s="19">
        <f>IF(K310="","",K310*365/12*L310)</f>
        <v/>
      </c>
      <c r="N310" s="18" t="n"/>
      <c r="O310" s="18" t="n"/>
      <c r="P310" s="18" t="n"/>
      <c r="Q310" s="18" t="n"/>
      <c r="R310" s="10" t="n"/>
      <c r="S310" s="17" t="n"/>
      <c r="T310" s="18" t="n"/>
      <c r="U310" s="17" t="n"/>
      <c r="V310" s="17" t="n"/>
      <c r="W310" s="18" t="n"/>
      <c r="X310" s="18" t="n"/>
      <c r="Y310" s="17" t="n"/>
      <c r="Z310" s="10" t="n"/>
      <c r="AA310" s="10" t="n"/>
      <c r="AB310" s="19">
        <f>IF(LEN(A310)&gt;0,1,0)</f>
        <v/>
      </c>
      <c r="AC310" s="19">
        <f>IF(LEN(A310)=0,0,(LEN(B310)=0)+(LEN(C310)=0)+(LEN(D310)=0)+(LEN(E310)=0)+(LEN(F310)=0)+(LEN(G310)=0)+(LEN(H310)=0)+(LEN(I310)=0)+(LEN(J310)=0)+(LEN(K310)=0)+(LEN(L310)=0)+(LEN(N310)=0)+(LEN(O310)=0)+(LEN(P310)=0)+(LEN(R310)=0)+(LEN(AA310)=0))</f>
        <v/>
      </c>
      <c r="AD310" s="19">
        <f>IF(OR(LEN(A310)=0,LEN(C310)=0),0,IF(OR(C310&lt;1,C310&gt;5),1,0))</f>
        <v/>
      </c>
      <c r="AE310" s="19">
        <f>IF(OR(LEN(A310)=0,LEN(R310)=0),0,IF(OR(R310="Active",R310="Paid off",R310="Defaulted",R310="Repossessed",R310="Written off",R310="Restructured"),0,1))</f>
        <v/>
      </c>
      <c r="AF310" s="19">
        <f>IF(A310="",0,IF(N(J310)&gt;N(I310),1,0))</f>
        <v/>
      </c>
      <c r="AG310" s="19">
        <f>IF(A310="",0,IF(N(N310)&gt;N(M310)+1,1,0))</f>
        <v/>
      </c>
      <c r="AH310" s="19">
        <f>IF(A310="",0,IF(N(E310)&gt;N(B310),1,0))</f>
        <v/>
      </c>
      <c r="AI310" s="19">
        <f>IF(A310="",0,IF(AND(Z310="Full payment",N(N310)&lt;N(M310)-1),1,0))</f>
        <v/>
      </c>
      <c r="AJ310" s="19">
        <f>IF(A310="",0,IF(N(P310)&lt;0,1,0))</f>
        <v/>
      </c>
      <c r="AK310" s="19">
        <f>IF(A310="",0,IF(COUNTIF($A$7:$A$1006,A310)&gt;1,1,0))</f>
        <v/>
      </c>
    </row>
    <row r="311">
      <c r="A311" s="10" t="n"/>
      <c r="B311" s="17" t="n"/>
      <c r="C311" s="18" t="n"/>
      <c r="D311" s="10" t="n"/>
      <c r="E311" s="17" t="n"/>
      <c r="F311" s="10" t="n"/>
      <c r="G311" s="10" t="n"/>
      <c r="H311" s="10" t="n"/>
      <c r="I311" s="18" t="n"/>
      <c r="J311" s="18" t="n"/>
      <c r="K311" s="18" t="n"/>
      <c r="L311" s="18" t="n"/>
      <c r="M311" s="19">
        <f>IF(K311="","",K311*365/12*L311)</f>
        <v/>
      </c>
      <c r="N311" s="18" t="n"/>
      <c r="O311" s="18" t="n"/>
      <c r="P311" s="18" t="n"/>
      <c r="Q311" s="18" t="n"/>
      <c r="R311" s="10" t="n"/>
      <c r="S311" s="17" t="n"/>
      <c r="T311" s="18" t="n"/>
      <c r="U311" s="17" t="n"/>
      <c r="V311" s="17" t="n"/>
      <c r="W311" s="18" t="n"/>
      <c r="X311" s="18" t="n"/>
      <c r="Y311" s="17" t="n"/>
      <c r="Z311" s="10" t="n"/>
      <c r="AA311" s="10" t="n"/>
      <c r="AB311" s="19">
        <f>IF(LEN(A311)&gt;0,1,0)</f>
        <v/>
      </c>
      <c r="AC311" s="19">
        <f>IF(LEN(A311)=0,0,(LEN(B311)=0)+(LEN(C311)=0)+(LEN(D311)=0)+(LEN(E311)=0)+(LEN(F311)=0)+(LEN(G311)=0)+(LEN(H311)=0)+(LEN(I311)=0)+(LEN(J311)=0)+(LEN(K311)=0)+(LEN(L311)=0)+(LEN(N311)=0)+(LEN(O311)=0)+(LEN(P311)=0)+(LEN(R311)=0)+(LEN(AA311)=0))</f>
        <v/>
      </c>
      <c r="AD311" s="19">
        <f>IF(OR(LEN(A311)=0,LEN(C311)=0),0,IF(OR(C311&lt;1,C311&gt;5),1,0))</f>
        <v/>
      </c>
      <c r="AE311" s="19">
        <f>IF(OR(LEN(A311)=0,LEN(R311)=0),0,IF(OR(R311="Active",R311="Paid off",R311="Defaulted",R311="Repossessed",R311="Written off",R311="Restructured"),0,1))</f>
        <v/>
      </c>
      <c r="AF311" s="19">
        <f>IF(A311="",0,IF(N(J311)&gt;N(I311),1,0))</f>
        <v/>
      </c>
      <c r="AG311" s="19">
        <f>IF(A311="",0,IF(N(N311)&gt;N(M311)+1,1,0))</f>
        <v/>
      </c>
      <c r="AH311" s="19">
        <f>IF(A311="",0,IF(N(E311)&gt;N(B311),1,0))</f>
        <v/>
      </c>
      <c r="AI311" s="19">
        <f>IF(A311="",0,IF(AND(Z311="Full payment",N(N311)&lt;N(M311)-1),1,0))</f>
        <v/>
      </c>
      <c r="AJ311" s="19">
        <f>IF(A311="",0,IF(N(P311)&lt;0,1,0))</f>
        <v/>
      </c>
      <c r="AK311" s="19">
        <f>IF(A311="",0,IF(COUNTIF($A$7:$A$1006,A311)&gt;1,1,0))</f>
        <v/>
      </c>
    </row>
    <row r="312">
      <c r="A312" s="10" t="n"/>
      <c r="B312" s="17" t="n"/>
      <c r="C312" s="18" t="n"/>
      <c r="D312" s="10" t="n"/>
      <c r="E312" s="17" t="n"/>
      <c r="F312" s="10" t="n"/>
      <c r="G312" s="10" t="n"/>
      <c r="H312" s="10" t="n"/>
      <c r="I312" s="18" t="n"/>
      <c r="J312" s="18" t="n"/>
      <c r="K312" s="18" t="n"/>
      <c r="L312" s="18" t="n"/>
      <c r="M312" s="19">
        <f>IF(K312="","",K312*365/12*L312)</f>
        <v/>
      </c>
      <c r="N312" s="18" t="n"/>
      <c r="O312" s="18" t="n"/>
      <c r="P312" s="18" t="n"/>
      <c r="Q312" s="18" t="n"/>
      <c r="R312" s="10" t="n"/>
      <c r="S312" s="17" t="n"/>
      <c r="T312" s="18" t="n"/>
      <c r="U312" s="17" t="n"/>
      <c r="V312" s="17" t="n"/>
      <c r="W312" s="18" t="n"/>
      <c r="X312" s="18" t="n"/>
      <c r="Y312" s="17" t="n"/>
      <c r="Z312" s="10" t="n"/>
      <c r="AA312" s="10" t="n"/>
      <c r="AB312" s="19">
        <f>IF(LEN(A312)&gt;0,1,0)</f>
        <v/>
      </c>
      <c r="AC312" s="19">
        <f>IF(LEN(A312)=0,0,(LEN(B312)=0)+(LEN(C312)=0)+(LEN(D312)=0)+(LEN(E312)=0)+(LEN(F312)=0)+(LEN(G312)=0)+(LEN(H312)=0)+(LEN(I312)=0)+(LEN(J312)=0)+(LEN(K312)=0)+(LEN(L312)=0)+(LEN(N312)=0)+(LEN(O312)=0)+(LEN(P312)=0)+(LEN(R312)=0)+(LEN(AA312)=0))</f>
        <v/>
      </c>
      <c r="AD312" s="19">
        <f>IF(OR(LEN(A312)=0,LEN(C312)=0),0,IF(OR(C312&lt;1,C312&gt;5),1,0))</f>
        <v/>
      </c>
      <c r="AE312" s="19">
        <f>IF(OR(LEN(A312)=0,LEN(R312)=0),0,IF(OR(R312="Active",R312="Paid off",R312="Defaulted",R312="Repossessed",R312="Written off",R312="Restructured"),0,1))</f>
        <v/>
      </c>
      <c r="AF312" s="19">
        <f>IF(A312="",0,IF(N(J312)&gt;N(I312),1,0))</f>
        <v/>
      </c>
      <c r="AG312" s="19">
        <f>IF(A312="",0,IF(N(N312)&gt;N(M312)+1,1,0))</f>
        <v/>
      </c>
      <c r="AH312" s="19">
        <f>IF(A312="",0,IF(N(E312)&gt;N(B312),1,0))</f>
        <v/>
      </c>
      <c r="AI312" s="19">
        <f>IF(A312="",0,IF(AND(Z312="Full payment",N(N312)&lt;N(M312)-1),1,0))</f>
        <v/>
      </c>
      <c r="AJ312" s="19">
        <f>IF(A312="",0,IF(N(P312)&lt;0,1,0))</f>
        <v/>
      </c>
      <c r="AK312" s="19">
        <f>IF(A312="",0,IF(COUNTIF($A$7:$A$1006,A312)&gt;1,1,0))</f>
        <v/>
      </c>
    </row>
    <row r="313">
      <c r="A313" s="10" t="n"/>
      <c r="B313" s="17" t="n"/>
      <c r="C313" s="18" t="n"/>
      <c r="D313" s="10" t="n"/>
      <c r="E313" s="17" t="n"/>
      <c r="F313" s="10" t="n"/>
      <c r="G313" s="10" t="n"/>
      <c r="H313" s="10" t="n"/>
      <c r="I313" s="18" t="n"/>
      <c r="J313" s="18" t="n"/>
      <c r="K313" s="18" t="n"/>
      <c r="L313" s="18" t="n"/>
      <c r="M313" s="19">
        <f>IF(K313="","",K313*365/12*L313)</f>
        <v/>
      </c>
      <c r="N313" s="18" t="n"/>
      <c r="O313" s="18" t="n"/>
      <c r="P313" s="18" t="n"/>
      <c r="Q313" s="18" t="n"/>
      <c r="R313" s="10" t="n"/>
      <c r="S313" s="17" t="n"/>
      <c r="T313" s="18" t="n"/>
      <c r="U313" s="17" t="n"/>
      <c r="V313" s="17" t="n"/>
      <c r="W313" s="18" t="n"/>
      <c r="X313" s="18" t="n"/>
      <c r="Y313" s="17" t="n"/>
      <c r="Z313" s="10" t="n"/>
      <c r="AA313" s="10" t="n"/>
      <c r="AB313" s="19">
        <f>IF(LEN(A313)&gt;0,1,0)</f>
        <v/>
      </c>
      <c r="AC313" s="19">
        <f>IF(LEN(A313)=0,0,(LEN(B313)=0)+(LEN(C313)=0)+(LEN(D313)=0)+(LEN(E313)=0)+(LEN(F313)=0)+(LEN(G313)=0)+(LEN(H313)=0)+(LEN(I313)=0)+(LEN(J313)=0)+(LEN(K313)=0)+(LEN(L313)=0)+(LEN(N313)=0)+(LEN(O313)=0)+(LEN(P313)=0)+(LEN(R313)=0)+(LEN(AA313)=0))</f>
        <v/>
      </c>
      <c r="AD313" s="19">
        <f>IF(OR(LEN(A313)=0,LEN(C313)=0),0,IF(OR(C313&lt;1,C313&gt;5),1,0))</f>
        <v/>
      </c>
      <c r="AE313" s="19">
        <f>IF(OR(LEN(A313)=0,LEN(R313)=0),0,IF(OR(R313="Active",R313="Paid off",R313="Defaulted",R313="Repossessed",R313="Written off",R313="Restructured"),0,1))</f>
        <v/>
      </c>
      <c r="AF313" s="19">
        <f>IF(A313="",0,IF(N(J313)&gt;N(I313),1,0))</f>
        <v/>
      </c>
      <c r="AG313" s="19">
        <f>IF(A313="",0,IF(N(N313)&gt;N(M313)+1,1,0))</f>
        <v/>
      </c>
      <c r="AH313" s="19">
        <f>IF(A313="",0,IF(N(E313)&gt;N(B313),1,0))</f>
        <v/>
      </c>
      <c r="AI313" s="19">
        <f>IF(A313="",0,IF(AND(Z313="Full payment",N(N313)&lt;N(M313)-1),1,0))</f>
        <v/>
      </c>
      <c r="AJ313" s="19">
        <f>IF(A313="",0,IF(N(P313)&lt;0,1,0))</f>
        <v/>
      </c>
      <c r="AK313" s="19">
        <f>IF(A313="",0,IF(COUNTIF($A$7:$A$1006,A313)&gt;1,1,0))</f>
        <v/>
      </c>
    </row>
    <row r="314">
      <c r="A314" s="10" t="n"/>
      <c r="B314" s="17" t="n"/>
      <c r="C314" s="18" t="n"/>
      <c r="D314" s="10" t="n"/>
      <c r="E314" s="17" t="n"/>
      <c r="F314" s="10" t="n"/>
      <c r="G314" s="10" t="n"/>
      <c r="H314" s="10" t="n"/>
      <c r="I314" s="18" t="n"/>
      <c r="J314" s="18" t="n"/>
      <c r="K314" s="18" t="n"/>
      <c r="L314" s="18" t="n"/>
      <c r="M314" s="19">
        <f>IF(K314="","",K314*365/12*L314)</f>
        <v/>
      </c>
      <c r="N314" s="18" t="n"/>
      <c r="O314" s="18" t="n"/>
      <c r="P314" s="18" t="n"/>
      <c r="Q314" s="18" t="n"/>
      <c r="R314" s="10" t="n"/>
      <c r="S314" s="17" t="n"/>
      <c r="T314" s="18" t="n"/>
      <c r="U314" s="17" t="n"/>
      <c r="V314" s="17" t="n"/>
      <c r="W314" s="18" t="n"/>
      <c r="X314" s="18" t="n"/>
      <c r="Y314" s="17" t="n"/>
      <c r="Z314" s="10" t="n"/>
      <c r="AA314" s="10" t="n"/>
      <c r="AB314" s="19">
        <f>IF(LEN(A314)&gt;0,1,0)</f>
        <v/>
      </c>
      <c r="AC314" s="19">
        <f>IF(LEN(A314)=0,0,(LEN(B314)=0)+(LEN(C314)=0)+(LEN(D314)=0)+(LEN(E314)=0)+(LEN(F314)=0)+(LEN(G314)=0)+(LEN(H314)=0)+(LEN(I314)=0)+(LEN(J314)=0)+(LEN(K314)=0)+(LEN(L314)=0)+(LEN(N314)=0)+(LEN(O314)=0)+(LEN(P314)=0)+(LEN(R314)=0)+(LEN(AA314)=0))</f>
        <v/>
      </c>
      <c r="AD314" s="19">
        <f>IF(OR(LEN(A314)=0,LEN(C314)=0),0,IF(OR(C314&lt;1,C314&gt;5),1,0))</f>
        <v/>
      </c>
      <c r="AE314" s="19">
        <f>IF(OR(LEN(A314)=0,LEN(R314)=0),0,IF(OR(R314="Active",R314="Paid off",R314="Defaulted",R314="Repossessed",R314="Written off",R314="Restructured"),0,1))</f>
        <v/>
      </c>
      <c r="AF314" s="19">
        <f>IF(A314="",0,IF(N(J314)&gt;N(I314),1,0))</f>
        <v/>
      </c>
      <c r="AG314" s="19">
        <f>IF(A314="",0,IF(N(N314)&gt;N(M314)+1,1,0))</f>
        <v/>
      </c>
      <c r="AH314" s="19">
        <f>IF(A314="",0,IF(N(E314)&gt;N(B314),1,0))</f>
        <v/>
      </c>
      <c r="AI314" s="19">
        <f>IF(A314="",0,IF(AND(Z314="Full payment",N(N314)&lt;N(M314)-1),1,0))</f>
        <v/>
      </c>
      <c r="AJ314" s="19">
        <f>IF(A314="",0,IF(N(P314)&lt;0,1,0))</f>
        <v/>
      </c>
      <c r="AK314" s="19">
        <f>IF(A314="",0,IF(COUNTIF($A$7:$A$1006,A314)&gt;1,1,0))</f>
        <v/>
      </c>
    </row>
    <row r="315">
      <c r="A315" s="10" t="n"/>
      <c r="B315" s="17" t="n"/>
      <c r="C315" s="18" t="n"/>
      <c r="D315" s="10" t="n"/>
      <c r="E315" s="17" t="n"/>
      <c r="F315" s="10" t="n"/>
      <c r="G315" s="10" t="n"/>
      <c r="H315" s="10" t="n"/>
      <c r="I315" s="18" t="n"/>
      <c r="J315" s="18" t="n"/>
      <c r="K315" s="18" t="n"/>
      <c r="L315" s="18" t="n"/>
      <c r="M315" s="19">
        <f>IF(K315="","",K315*365/12*L315)</f>
        <v/>
      </c>
      <c r="N315" s="18" t="n"/>
      <c r="O315" s="18" t="n"/>
      <c r="P315" s="18" t="n"/>
      <c r="Q315" s="18" t="n"/>
      <c r="R315" s="10" t="n"/>
      <c r="S315" s="17" t="n"/>
      <c r="T315" s="18" t="n"/>
      <c r="U315" s="17" t="n"/>
      <c r="V315" s="17" t="n"/>
      <c r="W315" s="18" t="n"/>
      <c r="X315" s="18" t="n"/>
      <c r="Y315" s="17" t="n"/>
      <c r="Z315" s="10" t="n"/>
      <c r="AA315" s="10" t="n"/>
      <c r="AB315" s="19">
        <f>IF(LEN(A315)&gt;0,1,0)</f>
        <v/>
      </c>
      <c r="AC315" s="19">
        <f>IF(LEN(A315)=0,0,(LEN(B315)=0)+(LEN(C315)=0)+(LEN(D315)=0)+(LEN(E315)=0)+(LEN(F315)=0)+(LEN(G315)=0)+(LEN(H315)=0)+(LEN(I315)=0)+(LEN(J315)=0)+(LEN(K315)=0)+(LEN(L315)=0)+(LEN(N315)=0)+(LEN(O315)=0)+(LEN(P315)=0)+(LEN(R315)=0)+(LEN(AA315)=0))</f>
        <v/>
      </c>
      <c r="AD315" s="19">
        <f>IF(OR(LEN(A315)=0,LEN(C315)=0),0,IF(OR(C315&lt;1,C315&gt;5),1,0))</f>
        <v/>
      </c>
      <c r="AE315" s="19">
        <f>IF(OR(LEN(A315)=0,LEN(R315)=0),0,IF(OR(R315="Active",R315="Paid off",R315="Defaulted",R315="Repossessed",R315="Written off",R315="Restructured"),0,1))</f>
        <v/>
      </c>
      <c r="AF315" s="19">
        <f>IF(A315="",0,IF(N(J315)&gt;N(I315),1,0))</f>
        <v/>
      </c>
      <c r="AG315" s="19">
        <f>IF(A315="",0,IF(N(N315)&gt;N(M315)+1,1,0))</f>
        <v/>
      </c>
      <c r="AH315" s="19">
        <f>IF(A315="",0,IF(N(E315)&gt;N(B315),1,0))</f>
        <v/>
      </c>
      <c r="AI315" s="19">
        <f>IF(A315="",0,IF(AND(Z315="Full payment",N(N315)&lt;N(M315)-1),1,0))</f>
        <v/>
      </c>
      <c r="AJ315" s="19">
        <f>IF(A315="",0,IF(N(P315)&lt;0,1,0))</f>
        <v/>
      </c>
      <c r="AK315" s="19">
        <f>IF(A315="",0,IF(COUNTIF($A$7:$A$1006,A315)&gt;1,1,0))</f>
        <v/>
      </c>
    </row>
    <row r="316">
      <c r="A316" s="10" t="n"/>
      <c r="B316" s="17" t="n"/>
      <c r="C316" s="18" t="n"/>
      <c r="D316" s="10" t="n"/>
      <c r="E316" s="17" t="n"/>
      <c r="F316" s="10" t="n"/>
      <c r="G316" s="10" t="n"/>
      <c r="H316" s="10" t="n"/>
      <c r="I316" s="18" t="n"/>
      <c r="J316" s="18" t="n"/>
      <c r="K316" s="18" t="n"/>
      <c r="L316" s="18" t="n"/>
      <c r="M316" s="19">
        <f>IF(K316="","",K316*365/12*L316)</f>
        <v/>
      </c>
      <c r="N316" s="18" t="n"/>
      <c r="O316" s="18" t="n"/>
      <c r="P316" s="18" t="n"/>
      <c r="Q316" s="18" t="n"/>
      <c r="R316" s="10" t="n"/>
      <c r="S316" s="17" t="n"/>
      <c r="T316" s="18" t="n"/>
      <c r="U316" s="17" t="n"/>
      <c r="V316" s="17" t="n"/>
      <c r="W316" s="18" t="n"/>
      <c r="X316" s="18" t="n"/>
      <c r="Y316" s="17" t="n"/>
      <c r="Z316" s="10" t="n"/>
      <c r="AA316" s="10" t="n"/>
      <c r="AB316" s="19">
        <f>IF(LEN(A316)&gt;0,1,0)</f>
        <v/>
      </c>
      <c r="AC316" s="19">
        <f>IF(LEN(A316)=0,0,(LEN(B316)=0)+(LEN(C316)=0)+(LEN(D316)=0)+(LEN(E316)=0)+(LEN(F316)=0)+(LEN(G316)=0)+(LEN(H316)=0)+(LEN(I316)=0)+(LEN(J316)=0)+(LEN(K316)=0)+(LEN(L316)=0)+(LEN(N316)=0)+(LEN(O316)=0)+(LEN(P316)=0)+(LEN(R316)=0)+(LEN(AA316)=0))</f>
        <v/>
      </c>
      <c r="AD316" s="19">
        <f>IF(OR(LEN(A316)=0,LEN(C316)=0),0,IF(OR(C316&lt;1,C316&gt;5),1,0))</f>
        <v/>
      </c>
      <c r="AE316" s="19">
        <f>IF(OR(LEN(A316)=0,LEN(R316)=0),0,IF(OR(R316="Active",R316="Paid off",R316="Defaulted",R316="Repossessed",R316="Written off",R316="Restructured"),0,1))</f>
        <v/>
      </c>
      <c r="AF316" s="19">
        <f>IF(A316="",0,IF(N(J316)&gt;N(I316),1,0))</f>
        <v/>
      </c>
      <c r="AG316" s="19">
        <f>IF(A316="",0,IF(N(N316)&gt;N(M316)+1,1,0))</f>
        <v/>
      </c>
      <c r="AH316" s="19">
        <f>IF(A316="",0,IF(N(E316)&gt;N(B316),1,0))</f>
        <v/>
      </c>
      <c r="AI316" s="19">
        <f>IF(A316="",0,IF(AND(Z316="Full payment",N(N316)&lt;N(M316)-1),1,0))</f>
        <v/>
      </c>
      <c r="AJ316" s="19">
        <f>IF(A316="",0,IF(N(P316)&lt;0,1,0))</f>
        <v/>
      </c>
      <c r="AK316" s="19">
        <f>IF(A316="",0,IF(COUNTIF($A$7:$A$1006,A316)&gt;1,1,0))</f>
        <v/>
      </c>
    </row>
    <row r="317">
      <c r="A317" s="10" t="n"/>
      <c r="B317" s="17" t="n"/>
      <c r="C317" s="18" t="n"/>
      <c r="D317" s="10" t="n"/>
      <c r="E317" s="17" t="n"/>
      <c r="F317" s="10" t="n"/>
      <c r="G317" s="10" t="n"/>
      <c r="H317" s="10" t="n"/>
      <c r="I317" s="18" t="n"/>
      <c r="J317" s="18" t="n"/>
      <c r="K317" s="18" t="n"/>
      <c r="L317" s="18" t="n"/>
      <c r="M317" s="19">
        <f>IF(K317="","",K317*365/12*L317)</f>
        <v/>
      </c>
      <c r="N317" s="18" t="n"/>
      <c r="O317" s="18" t="n"/>
      <c r="P317" s="18" t="n"/>
      <c r="Q317" s="18" t="n"/>
      <c r="R317" s="10" t="n"/>
      <c r="S317" s="17" t="n"/>
      <c r="T317" s="18" t="n"/>
      <c r="U317" s="17" t="n"/>
      <c r="V317" s="17" t="n"/>
      <c r="W317" s="18" t="n"/>
      <c r="X317" s="18" t="n"/>
      <c r="Y317" s="17" t="n"/>
      <c r="Z317" s="10" t="n"/>
      <c r="AA317" s="10" t="n"/>
      <c r="AB317" s="19">
        <f>IF(LEN(A317)&gt;0,1,0)</f>
        <v/>
      </c>
      <c r="AC317" s="19">
        <f>IF(LEN(A317)=0,0,(LEN(B317)=0)+(LEN(C317)=0)+(LEN(D317)=0)+(LEN(E317)=0)+(LEN(F317)=0)+(LEN(G317)=0)+(LEN(H317)=0)+(LEN(I317)=0)+(LEN(J317)=0)+(LEN(K317)=0)+(LEN(L317)=0)+(LEN(N317)=0)+(LEN(O317)=0)+(LEN(P317)=0)+(LEN(R317)=0)+(LEN(AA317)=0))</f>
        <v/>
      </c>
      <c r="AD317" s="19">
        <f>IF(OR(LEN(A317)=0,LEN(C317)=0),0,IF(OR(C317&lt;1,C317&gt;5),1,0))</f>
        <v/>
      </c>
      <c r="AE317" s="19">
        <f>IF(OR(LEN(A317)=0,LEN(R317)=0),0,IF(OR(R317="Active",R317="Paid off",R317="Defaulted",R317="Repossessed",R317="Written off",R317="Restructured"),0,1))</f>
        <v/>
      </c>
      <c r="AF317" s="19">
        <f>IF(A317="",0,IF(N(J317)&gt;N(I317),1,0))</f>
        <v/>
      </c>
      <c r="AG317" s="19">
        <f>IF(A317="",0,IF(N(N317)&gt;N(M317)+1,1,0))</f>
        <v/>
      </c>
      <c r="AH317" s="19">
        <f>IF(A317="",0,IF(N(E317)&gt;N(B317),1,0))</f>
        <v/>
      </c>
      <c r="AI317" s="19">
        <f>IF(A317="",0,IF(AND(Z317="Full payment",N(N317)&lt;N(M317)-1),1,0))</f>
        <v/>
      </c>
      <c r="AJ317" s="19">
        <f>IF(A317="",0,IF(N(P317)&lt;0,1,0))</f>
        <v/>
      </c>
      <c r="AK317" s="19">
        <f>IF(A317="",0,IF(COUNTIF($A$7:$A$1006,A317)&gt;1,1,0))</f>
        <v/>
      </c>
    </row>
    <row r="318">
      <c r="A318" s="10" t="n"/>
      <c r="B318" s="17" t="n"/>
      <c r="C318" s="18" t="n"/>
      <c r="D318" s="10" t="n"/>
      <c r="E318" s="17" t="n"/>
      <c r="F318" s="10" t="n"/>
      <c r="G318" s="10" t="n"/>
      <c r="H318" s="10" t="n"/>
      <c r="I318" s="18" t="n"/>
      <c r="J318" s="18" t="n"/>
      <c r="K318" s="18" t="n"/>
      <c r="L318" s="18" t="n"/>
      <c r="M318" s="19">
        <f>IF(K318="","",K318*365/12*L318)</f>
        <v/>
      </c>
      <c r="N318" s="18" t="n"/>
      <c r="O318" s="18" t="n"/>
      <c r="P318" s="18" t="n"/>
      <c r="Q318" s="18" t="n"/>
      <c r="R318" s="10" t="n"/>
      <c r="S318" s="17" t="n"/>
      <c r="T318" s="18" t="n"/>
      <c r="U318" s="17" t="n"/>
      <c r="V318" s="17" t="n"/>
      <c r="W318" s="18" t="n"/>
      <c r="X318" s="18" t="n"/>
      <c r="Y318" s="17" t="n"/>
      <c r="Z318" s="10" t="n"/>
      <c r="AA318" s="10" t="n"/>
      <c r="AB318" s="19">
        <f>IF(LEN(A318)&gt;0,1,0)</f>
        <v/>
      </c>
      <c r="AC318" s="19">
        <f>IF(LEN(A318)=0,0,(LEN(B318)=0)+(LEN(C318)=0)+(LEN(D318)=0)+(LEN(E318)=0)+(LEN(F318)=0)+(LEN(G318)=0)+(LEN(H318)=0)+(LEN(I318)=0)+(LEN(J318)=0)+(LEN(K318)=0)+(LEN(L318)=0)+(LEN(N318)=0)+(LEN(O318)=0)+(LEN(P318)=0)+(LEN(R318)=0)+(LEN(AA318)=0))</f>
        <v/>
      </c>
      <c r="AD318" s="19">
        <f>IF(OR(LEN(A318)=0,LEN(C318)=0),0,IF(OR(C318&lt;1,C318&gt;5),1,0))</f>
        <v/>
      </c>
      <c r="AE318" s="19">
        <f>IF(OR(LEN(A318)=0,LEN(R318)=0),0,IF(OR(R318="Active",R318="Paid off",R318="Defaulted",R318="Repossessed",R318="Written off",R318="Restructured"),0,1))</f>
        <v/>
      </c>
      <c r="AF318" s="19">
        <f>IF(A318="",0,IF(N(J318)&gt;N(I318),1,0))</f>
        <v/>
      </c>
      <c r="AG318" s="19">
        <f>IF(A318="",0,IF(N(N318)&gt;N(M318)+1,1,0))</f>
        <v/>
      </c>
      <c r="AH318" s="19">
        <f>IF(A318="",0,IF(N(E318)&gt;N(B318),1,0))</f>
        <v/>
      </c>
      <c r="AI318" s="19">
        <f>IF(A318="",0,IF(AND(Z318="Full payment",N(N318)&lt;N(M318)-1),1,0))</f>
        <v/>
      </c>
      <c r="AJ318" s="19">
        <f>IF(A318="",0,IF(N(P318)&lt;0,1,0))</f>
        <v/>
      </c>
      <c r="AK318" s="19">
        <f>IF(A318="",0,IF(COUNTIF($A$7:$A$1006,A318)&gt;1,1,0))</f>
        <v/>
      </c>
    </row>
    <row r="319">
      <c r="A319" s="10" t="n"/>
      <c r="B319" s="17" t="n"/>
      <c r="C319" s="18" t="n"/>
      <c r="D319" s="10" t="n"/>
      <c r="E319" s="17" t="n"/>
      <c r="F319" s="10" t="n"/>
      <c r="G319" s="10" t="n"/>
      <c r="H319" s="10" t="n"/>
      <c r="I319" s="18" t="n"/>
      <c r="J319" s="18" t="n"/>
      <c r="K319" s="18" t="n"/>
      <c r="L319" s="18" t="n"/>
      <c r="M319" s="19">
        <f>IF(K319="","",K319*365/12*L319)</f>
        <v/>
      </c>
      <c r="N319" s="18" t="n"/>
      <c r="O319" s="18" t="n"/>
      <c r="P319" s="18" t="n"/>
      <c r="Q319" s="18" t="n"/>
      <c r="R319" s="10" t="n"/>
      <c r="S319" s="17" t="n"/>
      <c r="T319" s="18" t="n"/>
      <c r="U319" s="17" t="n"/>
      <c r="V319" s="17" t="n"/>
      <c r="W319" s="18" t="n"/>
      <c r="X319" s="18" t="n"/>
      <c r="Y319" s="17" t="n"/>
      <c r="Z319" s="10" t="n"/>
      <c r="AA319" s="10" t="n"/>
      <c r="AB319" s="19">
        <f>IF(LEN(A319)&gt;0,1,0)</f>
        <v/>
      </c>
      <c r="AC319" s="19">
        <f>IF(LEN(A319)=0,0,(LEN(B319)=0)+(LEN(C319)=0)+(LEN(D319)=0)+(LEN(E319)=0)+(LEN(F319)=0)+(LEN(G319)=0)+(LEN(H319)=0)+(LEN(I319)=0)+(LEN(J319)=0)+(LEN(K319)=0)+(LEN(L319)=0)+(LEN(N319)=0)+(LEN(O319)=0)+(LEN(P319)=0)+(LEN(R319)=0)+(LEN(AA319)=0))</f>
        <v/>
      </c>
      <c r="AD319" s="19">
        <f>IF(OR(LEN(A319)=0,LEN(C319)=0),0,IF(OR(C319&lt;1,C319&gt;5),1,0))</f>
        <v/>
      </c>
      <c r="AE319" s="19">
        <f>IF(OR(LEN(A319)=0,LEN(R319)=0),0,IF(OR(R319="Active",R319="Paid off",R319="Defaulted",R319="Repossessed",R319="Written off",R319="Restructured"),0,1))</f>
        <v/>
      </c>
      <c r="AF319" s="19">
        <f>IF(A319="",0,IF(N(J319)&gt;N(I319),1,0))</f>
        <v/>
      </c>
      <c r="AG319" s="19">
        <f>IF(A319="",0,IF(N(N319)&gt;N(M319)+1,1,0))</f>
        <v/>
      </c>
      <c r="AH319" s="19">
        <f>IF(A319="",0,IF(N(E319)&gt;N(B319),1,0))</f>
        <v/>
      </c>
      <c r="AI319" s="19">
        <f>IF(A319="",0,IF(AND(Z319="Full payment",N(N319)&lt;N(M319)-1),1,0))</f>
        <v/>
      </c>
      <c r="AJ319" s="19">
        <f>IF(A319="",0,IF(N(P319)&lt;0,1,0))</f>
        <v/>
      </c>
      <c r="AK319" s="19">
        <f>IF(A319="",0,IF(COUNTIF($A$7:$A$1006,A319)&gt;1,1,0))</f>
        <v/>
      </c>
    </row>
    <row r="320">
      <c r="A320" s="10" t="n"/>
      <c r="B320" s="17" t="n"/>
      <c r="C320" s="18" t="n"/>
      <c r="D320" s="10" t="n"/>
      <c r="E320" s="17" t="n"/>
      <c r="F320" s="10" t="n"/>
      <c r="G320" s="10" t="n"/>
      <c r="H320" s="10" t="n"/>
      <c r="I320" s="18" t="n"/>
      <c r="J320" s="18" t="n"/>
      <c r="K320" s="18" t="n"/>
      <c r="L320" s="18" t="n"/>
      <c r="M320" s="19">
        <f>IF(K320="","",K320*365/12*L320)</f>
        <v/>
      </c>
      <c r="N320" s="18" t="n"/>
      <c r="O320" s="18" t="n"/>
      <c r="P320" s="18" t="n"/>
      <c r="Q320" s="18" t="n"/>
      <c r="R320" s="10" t="n"/>
      <c r="S320" s="17" t="n"/>
      <c r="T320" s="18" t="n"/>
      <c r="U320" s="17" t="n"/>
      <c r="V320" s="17" t="n"/>
      <c r="W320" s="18" t="n"/>
      <c r="X320" s="18" t="n"/>
      <c r="Y320" s="17" t="n"/>
      <c r="Z320" s="10" t="n"/>
      <c r="AA320" s="10" t="n"/>
      <c r="AB320" s="19">
        <f>IF(LEN(A320)&gt;0,1,0)</f>
        <v/>
      </c>
      <c r="AC320" s="19">
        <f>IF(LEN(A320)=0,0,(LEN(B320)=0)+(LEN(C320)=0)+(LEN(D320)=0)+(LEN(E320)=0)+(LEN(F320)=0)+(LEN(G320)=0)+(LEN(H320)=0)+(LEN(I320)=0)+(LEN(J320)=0)+(LEN(K320)=0)+(LEN(L320)=0)+(LEN(N320)=0)+(LEN(O320)=0)+(LEN(P320)=0)+(LEN(R320)=0)+(LEN(AA320)=0))</f>
        <v/>
      </c>
      <c r="AD320" s="19">
        <f>IF(OR(LEN(A320)=0,LEN(C320)=0),0,IF(OR(C320&lt;1,C320&gt;5),1,0))</f>
        <v/>
      </c>
      <c r="AE320" s="19">
        <f>IF(OR(LEN(A320)=0,LEN(R320)=0),0,IF(OR(R320="Active",R320="Paid off",R320="Defaulted",R320="Repossessed",R320="Written off",R320="Restructured"),0,1))</f>
        <v/>
      </c>
      <c r="AF320" s="19">
        <f>IF(A320="",0,IF(N(J320)&gt;N(I320),1,0))</f>
        <v/>
      </c>
      <c r="AG320" s="19">
        <f>IF(A320="",0,IF(N(N320)&gt;N(M320)+1,1,0))</f>
        <v/>
      </c>
      <c r="AH320" s="19">
        <f>IF(A320="",0,IF(N(E320)&gt;N(B320),1,0))</f>
        <v/>
      </c>
      <c r="AI320" s="19">
        <f>IF(A320="",0,IF(AND(Z320="Full payment",N(N320)&lt;N(M320)-1),1,0))</f>
        <v/>
      </c>
      <c r="AJ320" s="19">
        <f>IF(A320="",0,IF(N(P320)&lt;0,1,0))</f>
        <v/>
      </c>
      <c r="AK320" s="19">
        <f>IF(A320="",0,IF(COUNTIF($A$7:$A$1006,A320)&gt;1,1,0))</f>
        <v/>
      </c>
    </row>
    <row r="321">
      <c r="A321" s="10" t="n"/>
      <c r="B321" s="17" t="n"/>
      <c r="C321" s="18" t="n"/>
      <c r="D321" s="10" t="n"/>
      <c r="E321" s="17" t="n"/>
      <c r="F321" s="10" t="n"/>
      <c r="G321" s="10" t="n"/>
      <c r="H321" s="10" t="n"/>
      <c r="I321" s="18" t="n"/>
      <c r="J321" s="18" t="n"/>
      <c r="K321" s="18" t="n"/>
      <c r="L321" s="18" t="n"/>
      <c r="M321" s="19">
        <f>IF(K321="","",K321*365/12*L321)</f>
        <v/>
      </c>
      <c r="N321" s="18" t="n"/>
      <c r="O321" s="18" t="n"/>
      <c r="P321" s="18" t="n"/>
      <c r="Q321" s="18" t="n"/>
      <c r="R321" s="10" t="n"/>
      <c r="S321" s="17" t="n"/>
      <c r="T321" s="18" t="n"/>
      <c r="U321" s="17" t="n"/>
      <c r="V321" s="17" t="n"/>
      <c r="W321" s="18" t="n"/>
      <c r="X321" s="18" t="n"/>
      <c r="Y321" s="17" t="n"/>
      <c r="Z321" s="10" t="n"/>
      <c r="AA321" s="10" t="n"/>
      <c r="AB321" s="19">
        <f>IF(LEN(A321)&gt;0,1,0)</f>
        <v/>
      </c>
      <c r="AC321" s="19">
        <f>IF(LEN(A321)=0,0,(LEN(B321)=0)+(LEN(C321)=0)+(LEN(D321)=0)+(LEN(E321)=0)+(LEN(F321)=0)+(LEN(G321)=0)+(LEN(H321)=0)+(LEN(I321)=0)+(LEN(J321)=0)+(LEN(K321)=0)+(LEN(L321)=0)+(LEN(N321)=0)+(LEN(O321)=0)+(LEN(P321)=0)+(LEN(R321)=0)+(LEN(AA321)=0))</f>
        <v/>
      </c>
      <c r="AD321" s="19">
        <f>IF(OR(LEN(A321)=0,LEN(C321)=0),0,IF(OR(C321&lt;1,C321&gt;5),1,0))</f>
        <v/>
      </c>
      <c r="AE321" s="19">
        <f>IF(OR(LEN(A321)=0,LEN(R321)=0),0,IF(OR(R321="Active",R321="Paid off",R321="Defaulted",R321="Repossessed",R321="Written off",R321="Restructured"),0,1))</f>
        <v/>
      </c>
      <c r="AF321" s="19">
        <f>IF(A321="",0,IF(N(J321)&gt;N(I321),1,0))</f>
        <v/>
      </c>
      <c r="AG321" s="19">
        <f>IF(A321="",0,IF(N(N321)&gt;N(M321)+1,1,0))</f>
        <v/>
      </c>
      <c r="AH321" s="19">
        <f>IF(A321="",0,IF(N(E321)&gt;N(B321),1,0))</f>
        <v/>
      </c>
      <c r="AI321" s="19">
        <f>IF(A321="",0,IF(AND(Z321="Full payment",N(N321)&lt;N(M321)-1),1,0))</f>
        <v/>
      </c>
      <c r="AJ321" s="19">
        <f>IF(A321="",0,IF(N(P321)&lt;0,1,0))</f>
        <v/>
      </c>
      <c r="AK321" s="19">
        <f>IF(A321="",0,IF(COUNTIF($A$7:$A$1006,A321)&gt;1,1,0))</f>
        <v/>
      </c>
    </row>
    <row r="322">
      <c r="A322" s="10" t="n"/>
      <c r="B322" s="17" t="n"/>
      <c r="C322" s="18" t="n"/>
      <c r="D322" s="10" t="n"/>
      <c r="E322" s="17" t="n"/>
      <c r="F322" s="10" t="n"/>
      <c r="G322" s="10" t="n"/>
      <c r="H322" s="10" t="n"/>
      <c r="I322" s="18" t="n"/>
      <c r="J322" s="18" t="n"/>
      <c r="K322" s="18" t="n"/>
      <c r="L322" s="18" t="n"/>
      <c r="M322" s="19">
        <f>IF(K322="","",K322*365/12*L322)</f>
        <v/>
      </c>
      <c r="N322" s="18" t="n"/>
      <c r="O322" s="18" t="n"/>
      <c r="P322" s="18" t="n"/>
      <c r="Q322" s="18" t="n"/>
      <c r="R322" s="10" t="n"/>
      <c r="S322" s="17" t="n"/>
      <c r="T322" s="18" t="n"/>
      <c r="U322" s="17" t="n"/>
      <c r="V322" s="17" t="n"/>
      <c r="W322" s="18" t="n"/>
      <c r="X322" s="18" t="n"/>
      <c r="Y322" s="17" t="n"/>
      <c r="Z322" s="10" t="n"/>
      <c r="AA322" s="10" t="n"/>
      <c r="AB322" s="19">
        <f>IF(LEN(A322)&gt;0,1,0)</f>
        <v/>
      </c>
      <c r="AC322" s="19">
        <f>IF(LEN(A322)=0,0,(LEN(B322)=0)+(LEN(C322)=0)+(LEN(D322)=0)+(LEN(E322)=0)+(LEN(F322)=0)+(LEN(G322)=0)+(LEN(H322)=0)+(LEN(I322)=0)+(LEN(J322)=0)+(LEN(K322)=0)+(LEN(L322)=0)+(LEN(N322)=0)+(LEN(O322)=0)+(LEN(P322)=0)+(LEN(R322)=0)+(LEN(AA322)=0))</f>
        <v/>
      </c>
      <c r="AD322" s="19">
        <f>IF(OR(LEN(A322)=0,LEN(C322)=0),0,IF(OR(C322&lt;1,C322&gt;5),1,0))</f>
        <v/>
      </c>
      <c r="AE322" s="19">
        <f>IF(OR(LEN(A322)=0,LEN(R322)=0),0,IF(OR(R322="Active",R322="Paid off",R322="Defaulted",R322="Repossessed",R322="Written off",R322="Restructured"),0,1))</f>
        <v/>
      </c>
      <c r="AF322" s="19">
        <f>IF(A322="",0,IF(N(J322)&gt;N(I322),1,0))</f>
        <v/>
      </c>
      <c r="AG322" s="19">
        <f>IF(A322="",0,IF(N(N322)&gt;N(M322)+1,1,0))</f>
        <v/>
      </c>
      <c r="AH322" s="19">
        <f>IF(A322="",0,IF(N(E322)&gt;N(B322),1,0))</f>
        <v/>
      </c>
      <c r="AI322" s="19">
        <f>IF(A322="",0,IF(AND(Z322="Full payment",N(N322)&lt;N(M322)-1),1,0))</f>
        <v/>
      </c>
      <c r="AJ322" s="19">
        <f>IF(A322="",0,IF(N(P322)&lt;0,1,0))</f>
        <v/>
      </c>
      <c r="AK322" s="19">
        <f>IF(A322="",0,IF(COUNTIF($A$7:$A$1006,A322)&gt;1,1,0))</f>
        <v/>
      </c>
    </row>
    <row r="323">
      <c r="A323" s="10" t="n"/>
      <c r="B323" s="17" t="n"/>
      <c r="C323" s="18" t="n"/>
      <c r="D323" s="10" t="n"/>
      <c r="E323" s="17" t="n"/>
      <c r="F323" s="10" t="n"/>
      <c r="G323" s="10" t="n"/>
      <c r="H323" s="10" t="n"/>
      <c r="I323" s="18" t="n"/>
      <c r="J323" s="18" t="n"/>
      <c r="K323" s="18" t="n"/>
      <c r="L323" s="18" t="n"/>
      <c r="M323" s="19">
        <f>IF(K323="","",K323*365/12*L323)</f>
        <v/>
      </c>
      <c r="N323" s="18" t="n"/>
      <c r="O323" s="18" t="n"/>
      <c r="P323" s="18" t="n"/>
      <c r="Q323" s="18" t="n"/>
      <c r="R323" s="10" t="n"/>
      <c r="S323" s="17" t="n"/>
      <c r="T323" s="18" t="n"/>
      <c r="U323" s="17" t="n"/>
      <c r="V323" s="17" t="n"/>
      <c r="W323" s="18" t="n"/>
      <c r="X323" s="18" t="n"/>
      <c r="Y323" s="17" t="n"/>
      <c r="Z323" s="10" t="n"/>
      <c r="AA323" s="10" t="n"/>
      <c r="AB323" s="19">
        <f>IF(LEN(A323)&gt;0,1,0)</f>
        <v/>
      </c>
      <c r="AC323" s="19">
        <f>IF(LEN(A323)=0,0,(LEN(B323)=0)+(LEN(C323)=0)+(LEN(D323)=0)+(LEN(E323)=0)+(LEN(F323)=0)+(LEN(G323)=0)+(LEN(H323)=0)+(LEN(I323)=0)+(LEN(J323)=0)+(LEN(K323)=0)+(LEN(L323)=0)+(LEN(N323)=0)+(LEN(O323)=0)+(LEN(P323)=0)+(LEN(R323)=0)+(LEN(AA323)=0))</f>
        <v/>
      </c>
      <c r="AD323" s="19">
        <f>IF(OR(LEN(A323)=0,LEN(C323)=0),0,IF(OR(C323&lt;1,C323&gt;5),1,0))</f>
        <v/>
      </c>
      <c r="AE323" s="19">
        <f>IF(OR(LEN(A323)=0,LEN(R323)=0),0,IF(OR(R323="Active",R323="Paid off",R323="Defaulted",R323="Repossessed",R323="Written off",R323="Restructured"),0,1))</f>
        <v/>
      </c>
      <c r="AF323" s="19">
        <f>IF(A323="",0,IF(N(J323)&gt;N(I323),1,0))</f>
        <v/>
      </c>
      <c r="AG323" s="19">
        <f>IF(A323="",0,IF(N(N323)&gt;N(M323)+1,1,0))</f>
        <v/>
      </c>
      <c r="AH323" s="19">
        <f>IF(A323="",0,IF(N(E323)&gt;N(B323),1,0))</f>
        <v/>
      </c>
      <c r="AI323" s="19">
        <f>IF(A323="",0,IF(AND(Z323="Full payment",N(N323)&lt;N(M323)-1),1,0))</f>
        <v/>
      </c>
      <c r="AJ323" s="19">
        <f>IF(A323="",0,IF(N(P323)&lt;0,1,0))</f>
        <v/>
      </c>
      <c r="AK323" s="19">
        <f>IF(A323="",0,IF(COUNTIF($A$7:$A$1006,A323)&gt;1,1,0))</f>
        <v/>
      </c>
    </row>
    <row r="324">
      <c r="A324" s="10" t="n"/>
      <c r="B324" s="17" t="n"/>
      <c r="C324" s="18" t="n"/>
      <c r="D324" s="10" t="n"/>
      <c r="E324" s="17" t="n"/>
      <c r="F324" s="10" t="n"/>
      <c r="G324" s="10" t="n"/>
      <c r="H324" s="10" t="n"/>
      <c r="I324" s="18" t="n"/>
      <c r="J324" s="18" t="n"/>
      <c r="K324" s="18" t="n"/>
      <c r="L324" s="18" t="n"/>
      <c r="M324" s="19">
        <f>IF(K324="","",K324*365/12*L324)</f>
        <v/>
      </c>
      <c r="N324" s="18" t="n"/>
      <c r="O324" s="18" t="n"/>
      <c r="P324" s="18" t="n"/>
      <c r="Q324" s="18" t="n"/>
      <c r="R324" s="10" t="n"/>
      <c r="S324" s="17" t="n"/>
      <c r="T324" s="18" t="n"/>
      <c r="U324" s="17" t="n"/>
      <c r="V324" s="17" t="n"/>
      <c r="W324" s="18" t="n"/>
      <c r="X324" s="18" t="n"/>
      <c r="Y324" s="17" t="n"/>
      <c r="Z324" s="10" t="n"/>
      <c r="AA324" s="10" t="n"/>
      <c r="AB324" s="19">
        <f>IF(LEN(A324)&gt;0,1,0)</f>
        <v/>
      </c>
      <c r="AC324" s="19">
        <f>IF(LEN(A324)=0,0,(LEN(B324)=0)+(LEN(C324)=0)+(LEN(D324)=0)+(LEN(E324)=0)+(LEN(F324)=0)+(LEN(G324)=0)+(LEN(H324)=0)+(LEN(I324)=0)+(LEN(J324)=0)+(LEN(K324)=0)+(LEN(L324)=0)+(LEN(N324)=0)+(LEN(O324)=0)+(LEN(P324)=0)+(LEN(R324)=0)+(LEN(AA324)=0))</f>
        <v/>
      </c>
      <c r="AD324" s="19">
        <f>IF(OR(LEN(A324)=0,LEN(C324)=0),0,IF(OR(C324&lt;1,C324&gt;5),1,0))</f>
        <v/>
      </c>
      <c r="AE324" s="19">
        <f>IF(OR(LEN(A324)=0,LEN(R324)=0),0,IF(OR(R324="Active",R324="Paid off",R324="Defaulted",R324="Repossessed",R324="Written off",R324="Restructured"),0,1))</f>
        <v/>
      </c>
      <c r="AF324" s="19">
        <f>IF(A324="",0,IF(N(J324)&gt;N(I324),1,0))</f>
        <v/>
      </c>
      <c r="AG324" s="19">
        <f>IF(A324="",0,IF(N(N324)&gt;N(M324)+1,1,0))</f>
        <v/>
      </c>
      <c r="AH324" s="19">
        <f>IF(A324="",0,IF(N(E324)&gt;N(B324),1,0))</f>
        <v/>
      </c>
      <c r="AI324" s="19">
        <f>IF(A324="",0,IF(AND(Z324="Full payment",N(N324)&lt;N(M324)-1),1,0))</f>
        <v/>
      </c>
      <c r="AJ324" s="19">
        <f>IF(A324="",0,IF(N(P324)&lt;0,1,0))</f>
        <v/>
      </c>
      <c r="AK324" s="19">
        <f>IF(A324="",0,IF(COUNTIF($A$7:$A$1006,A324)&gt;1,1,0))</f>
        <v/>
      </c>
    </row>
    <row r="325">
      <c r="A325" s="10" t="n"/>
      <c r="B325" s="17" t="n"/>
      <c r="C325" s="18" t="n"/>
      <c r="D325" s="10" t="n"/>
      <c r="E325" s="17" t="n"/>
      <c r="F325" s="10" t="n"/>
      <c r="G325" s="10" t="n"/>
      <c r="H325" s="10" t="n"/>
      <c r="I325" s="18" t="n"/>
      <c r="J325" s="18" t="n"/>
      <c r="K325" s="18" t="n"/>
      <c r="L325" s="18" t="n"/>
      <c r="M325" s="19">
        <f>IF(K325="","",K325*365/12*L325)</f>
        <v/>
      </c>
      <c r="N325" s="18" t="n"/>
      <c r="O325" s="18" t="n"/>
      <c r="P325" s="18" t="n"/>
      <c r="Q325" s="18" t="n"/>
      <c r="R325" s="10" t="n"/>
      <c r="S325" s="17" t="n"/>
      <c r="T325" s="18" t="n"/>
      <c r="U325" s="17" t="n"/>
      <c r="V325" s="17" t="n"/>
      <c r="W325" s="18" t="n"/>
      <c r="X325" s="18" t="n"/>
      <c r="Y325" s="17" t="n"/>
      <c r="Z325" s="10" t="n"/>
      <c r="AA325" s="10" t="n"/>
      <c r="AB325" s="19">
        <f>IF(LEN(A325)&gt;0,1,0)</f>
        <v/>
      </c>
      <c r="AC325" s="19">
        <f>IF(LEN(A325)=0,0,(LEN(B325)=0)+(LEN(C325)=0)+(LEN(D325)=0)+(LEN(E325)=0)+(LEN(F325)=0)+(LEN(G325)=0)+(LEN(H325)=0)+(LEN(I325)=0)+(LEN(J325)=0)+(LEN(K325)=0)+(LEN(L325)=0)+(LEN(N325)=0)+(LEN(O325)=0)+(LEN(P325)=0)+(LEN(R325)=0)+(LEN(AA325)=0))</f>
        <v/>
      </c>
      <c r="AD325" s="19">
        <f>IF(OR(LEN(A325)=0,LEN(C325)=0),0,IF(OR(C325&lt;1,C325&gt;5),1,0))</f>
        <v/>
      </c>
      <c r="AE325" s="19">
        <f>IF(OR(LEN(A325)=0,LEN(R325)=0),0,IF(OR(R325="Active",R325="Paid off",R325="Defaulted",R325="Repossessed",R325="Written off",R325="Restructured"),0,1))</f>
        <v/>
      </c>
      <c r="AF325" s="19">
        <f>IF(A325="",0,IF(N(J325)&gt;N(I325),1,0))</f>
        <v/>
      </c>
      <c r="AG325" s="19">
        <f>IF(A325="",0,IF(N(N325)&gt;N(M325)+1,1,0))</f>
        <v/>
      </c>
      <c r="AH325" s="19">
        <f>IF(A325="",0,IF(N(E325)&gt;N(B325),1,0))</f>
        <v/>
      </c>
      <c r="AI325" s="19">
        <f>IF(A325="",0,IF(AND(Z325="Full payment",N(N325)&lt;N(M325)-1),1,0))</f>
        <v/>
      </c>
      <c r="AJ325" s="19">
        <f>IF(A325="",0,IF(N(P325)&lt;0,1,0))</f>
        <v/>
      </c>
      <c r="AK325" s="19">
        <f>IF(A325="",0,IF(COUNTIF($A$7:$A$1006,A325)&gt;1,1,0))</f>
        <v/>
      </c>
    </row>
    <row r="326">
      <c r="A326" s="10" t="n"/>
      <c r="B326" s="17" t="n"/>
      <c r="C326" s="18" t="n"/>
      <c r="D326" s="10" t="n"/>
      <c r="E326" s="17" t="n"/>
      <c r="F326" s="10" t="n"/>
      <c r="G326" s="10" t="n"/>
      <c r="H326" s="10" t="n"/>
      <c r="I326" s="18" t="n"/>
      <c r="J326" s="18" t="n"/>
      <c r="K326" s="18" t="n"/>
      <c r="L326" s="18" t="n"/>
      <c r="M326" s="19">
        <f>IF(K326="","",K326*365/12*L326)</f>
        <v/>
      </c>
      <c r="N326" s="18" t="n"/>
      <c r="O326" s="18" t="n"/>
      <c r="P326" s="18" t="n"/>
      <c r="Q326" s="18" t="n"/>
      <c r="R326" s="10" t="n"/>
      <c r="S326" s="17" t="n"/>
      <c r="T326" s="18" t="n"/>
      <c r="U326" s="17" t="n"/>
      <c r="V326" s="17" t="n"/>
      <c r="W326" s="18" t="n"/>
      <c r="X326" s="18" t="n"/>
      <c r="Y326" s="17" t="n"/>
      <c r="Z326" s="10" t="n"/>
      <c r="AA326" s="10" t="n"/>
      <c r="AB326" s="19">
        <f>IF(LEN(A326)&gt;0,1,0)</f>
        <v/>
      </c>
      <c r="AC326" s="19">
        <f>IF(LEN(A326)=0,0,(LEN(B326)=0)+(LEN(C326)=0)+(LEN(D326)=0)+(LEN(E326)=0)+(LEN(F326)=0)+(LEN(G326)=0)+(LEN(H326)=0)+(LEN(I326)=0)+(LEN(J326)=0)+(LEN(K326)=0)+(LEN(L326)=0)+(LEN(N326)=0)+(LEN(O326)=0)+(LEN(P326)=0)+(LEN(R326)=0)+(LEN(AA326)=0))</f>
        <v/>
      </c>
      <c r="AD326" s="19">
        <f>IF(OR(LEN(A326)=0,LEN(C326)=0),0,IF(OR(C326&lt;1,C326&gt;5),1,0))</f>
        <v/>
      </c>
      <c r="AE326" s="19">
        <f>IF(OR(LEN(A326)=0,LEN(R326)=0),0,IF(OR(R326="Active",R326="Paid off",R326="Defaulted",R326="Repossessed",R326="Written off",R326="Restructured"),0,1))</f>
        <v/>
      </c>
      <c r="AF326" s="19">
        <f>IF(A326="",0,IF(N(J326)&gt;N(I326),1,0))</f>
        <v/>
      </c>
      <c r="AG326" s="19">
        <f>IF(A326="",0,IF(N(N326)&gt;N(M326)+1,1,0))</f>
        <v/>
      </c>
      <c r="AH326" s="19">
        <f>IF(A326="",0,IF(N(E326)&gt;N(B326),1,0))</f>
        <v/>
      </c>
      <c r="AI326" s="19">
        <f>IF(A326="",0,IF(AND(Z326="Full payment",N(N326)&lt;N(M326)-1),1,0))</f>
        <v/>
      </c>
      <c r="AJ326" s="19">
        <f>IF(A326="",0,IF(N(P326)&lt;0,1,0))</f>
        <v/>
      </c>
      <c r="AK326" s="19">
        <f>IF(A326="",0,IF(COUNTIF($A$7:$A$1006,A326)&gt;1,1,0))</f>
        <v/>
      </c>
    </row>
    <row r="327">
      <c r="A327" s="10" t="n"/>
      <c r="B327" s="17" t="n"/>
      <c r="C327" s="18" t="n"/>
      <c r="D327" s="10" t="n"/>
      <c r="E327" s="17" t="n"/>
      <c r="F327" s="10" t="n"/>
      <c r="G327" s="10" t="n"/>
      <c r="H327" s="10" t="n"/>
      <c r="I327" s="18" t="n"/>
      <c r="J327" s="18" t="n"/>
      <c r="K327" s="18" t="n"/>
      <c r="L327" s="18" t="n"/>
      <c r="M327" s="19">
        <f>IF(K327="","",K327*365/12*L327)</f>
        <v/>
      </c>
      <c r="N327" s="18" t="n"/>
      <c r="O327" s="18" t="n"/>
      <c r="P327" s="18" t="n"/>
      <c r="Q327" s="18" t="n"/>
      <c r="R327" s="10" t="n"/>
      <c r="S327" s="17" t="n"/>
      <c r="T327" s="18" t="n"/>
      <c r="U327" s="17" t="n"/>
      <c r="V327" s="17" t="n"/>
      <c r="W327" s="18" t="n"/>
      <c r="X327" s="18" t="n"/>
      <c r="Y327" s="17" t="n"/>
      <c r="Z327" s="10" t="n"/>
      <c r="AA327" s="10" t="n"/>
      <c r="AB327" s="19">
        <f>IF(LEN(A327)&gt;0,1,0)</f>
        <v/>
      </c>
      <c r="AC327" s="19">
        <f>IF(LEN(A327)=0,0,(LEN(B327)=0)+(LEN(C327)=0)+(LEN(D327)=0)+(LEN(E327)=0)+(LEN(F327)=0)+(LEN(G327)=0)+(LEN(H327)=0)+(LEN(I327)=0)+(LEN(J327)=0)+(LEN(K327)=0)+(LEN(L327)=0)+(LEN(N327)=0)+(LEN(O327)=0)+(LEN(P327)=0)+(LEN(R327)=0)+(LEN(AA327)=0))</f>
        <v/>
      </c>
      <c r="AD327" s="19">
        <f>IF(OR(LEN(A327)=0,LEN(C327)=0),0,IF(OR(C327&lt;1,C327&gt;5),1,0))</f>
        <v/>
      </c>
      <c r="AE327" s="19">
        <f>IF(OR(LEN(A327)=0,LEN(R327)=0),0,IF(OR(R327="Active",R327="Paid off",R327="Defaulted",R327="Repossessed",R327="Written off",R327="Restructured"),0,1))</f>
        <v/>
      </c>
      <c r="AF327" s="19">
        <f>IF(A327="",0,IF(N(J327)&gt;N(I327),1,0))</f>
        <v/>
      </c>
      <c r="AG327" s="19">
        <f>IF(A327="",0,IF(N(N327)&gt;N(M327)+1,1,0))</f>
        <v/>
      </c>
      <c r="AH327" s="19">
        <f>IF(A327="",0,IF(N(E327)&gt;N(B327),1,0))</f>
        <v/>
      </c>
      <c r="AI327" s="19">
        <f>IF(A327="",0,IF(AND(Z327="Full payment",N(N327)&lt;N(M327)-1),1,0))</f>
        <v/>
      </c>
      <c r="AJ327" s="19">
        <f>IF(A327="",0,IF(N(P327)&lt;0,1,0))</f>
        <v/>
      </c>
      <c r="AK327" s="19">
        <f>IF(A327="",0,IF(COUNTIF($A$7:$A$1006,A327)&gt;1,1,0))</f>
        <v/>
      </c>
    </row>
    <row r="328">
      <c r="A328" s="10" t="n"/>
      <c r="B328" s="17" t="n"/>
      <c r="C328" s="18" t="n"/>
      <c r="D328" s="10" t="n"/>
      <c r="E328" s="17" t="n"/>
      <c r="F328" s="10" t="n"/>
      <c r="G328" s="10" t="n"/>
      <c r="H328" s="10" t="n"/>
      <c r="I328" s="18" t="n"/>
      <c r="J328" s="18" t="n"/>
      <c r="K328" s="18" t="n"/>
      <c r="L328" s="18" t="n"/>
      <c r="M328" s="19">
        <f>IF(K328="","",K328*365/12*L328)</f>
        <v/>
      </c>
      <c r="N328" s="18" t="n"/>
      <c r="O328" s="18" t="n"/>
      <c r="P328" s="18" t="n"/>
      <c r="Q328" s="18" t="n"/>
      <c r="R328" s="10" t="n"/>
      <c r="S328" s="17" t="n"/>
      <c r="T328" s="18" t="n"/>
      <c r="U328" s="17" t="n"/>
      <c r="V328" s="17" t="n"/>
      <c r="W328" s="18" t="n"/>
      <c r="X328" s="18" t="n"/>
      <c r="Y328" s="17" t="n"/>
      <c r="Z328" s="10" t="n"/>
      <c r="AA328" s="10" t="n"/>
      <c r="AB328" s="19">
        <f>IF(LEN(A328)&gt;0,1,0)</f>
        <v/>
      </c>
      <c r="AC328" s="19">
        <f>IF(LEN(A328)=0,0,(LEN(B328)=0)+(LEN(C328)=0)+(LEN(D328)=0)+(LEN(E328)=0)+(LEN(F328)=0)+(LEN(G328)=0)+(LEN(H328)=0)+(LEN(I328)=0)+(LEN(J328)=0)+(LEN(K328)=0)+(LEN(L328)=0)+(LEN(N328)=0)+(LEN(O328)=0)+(LEN(P328)=0)+(LEN(R328)=0)+(LEN(AA328)=0))</f>
        <v/>
      </c>
      <c r="AD328" s="19">
        <f>IF(OR(LEN(A328)=0,LEN(C328)=0),0,IF(OR(C328&lt;1,C328&gt;5),1,0))</f>
        <v/>
      </c>
      <c r="AE328" s="19">
        <f>IF(OR(LEN(A328)=0,LEN(R328)=0),0,IF(OR(R328="Active",R328="Paid off",R328="Defaulted",R328="Repossessed",R328="Written off",R328="Restructured"),0,1))</f>
        <v/>
      </c>
      <c r="AF328" s="19">
        <f>IF(A328="",0,IF(N(J328)&gt;N(I328),1,0))</f>
        <v/>
      </c>
      <c r="AG328" s="19">
        <f>IF(A328="",0,IF(N(N328)&gt;N(M328)+1,1,0))</f>
        <v/>
      </c>
      <c r="AH328" s="19">
        <f>IF(A328="",0,IF(N(E328)&gt;N(B328),1,0))</f>
        <v/>
      </c>
      <c r="AI328" s="19">
        <f>IF(A328="",0,IF(AND(Z328="Full payment",N(N328)&lt;N(M328)-1),1,0))</f>
        <v/>
      </c>
      <c r="AJ328" s="19">
        <f>IF(A328="",0,IF(N(P328)&lt;0,1,0))</f>
        <v/>
      </c>
      <c r="AK328" s="19">
        <f>IF(A328="",0,IF(COUNTIF($A$7:$A$1006,A328)&gt;1,1,0))</f>
        <v/>
      </c>
    </row>
    <row r="329">
      <c r="A329" s="10" t="n"/>
      <c r="B329" s="17" t="n"/>
      <c r="C329" s="18" t="n"/>
      <c r="D329" s="10" t="n"/>
      <c r="E329" s="17" t="n"/>
      <c r="F329" s="10" t="n"/>
      <c r="G329" s="10" t="n"/>
      <c r="H329" s="10" t="n"/>
      <c r="I329" s="18" t="n"/>
      <c r="J329" s="18" t="n"/>
      <c r="K329" s="18" t="n"/>
      <c r="L329" s="18" t="n"/>
      <c r="M329" s="19">
        <f>IF(K329="","",K329*365/12*L329)</f>
        <v/>
      </c>
      <c r="N329" s="18" t="n"/>
      <c r="O329" s="18" t="n"/>
      <c r="P329" s="18" t="n"/>
      <c r="Q329" s="18" t="n"/>
      <c r="R329" s="10" t="n"/>
      <c r="S329" s="17" t="n"/>
      <c r="T329" s="18" t="n"/>
      <c r="U329" s="17" t="n"/>
      <c r="V329" s="17" t="n"/>
      <c r="W329" s="18" t="n"/>
      <c r="X329" s="18" t="n"/>
      <c r="Y329" s="17" t="n"/>
      <c r="Z329" s="10" t="n"/>
      <c r="AA329" s="10" t="n"/>
      <c r="AB329" s="19">
        <f>IF(LEN(A329)&gt;0,1,0)</f>
        <v/>
      </c>
      <c r="AC329" s="19">
        <f>IF(LEN(A329)=0,0,(LEN(B329)=0)+(LEN(C329)=0)+(LEN(D329)=0)+(LEN(E329)=0)+(LEN(F329)=0)+(LEN(G329)=0)+(LEN(H329)=0)+(LEN(I329)=0)+(LEN(J329)=0)+(LEN(K329)=0)+(LEN(L329)=0)+(LEN(N329)=0)+(LEN(O329)=0)+(LEN(P329)=0)+(LEN(R329)=0)+(LEN(AA329)=0))</f>
        <v/>
      </c>
      <c r="AD329" s="19">
        <f>IF(OR(LEN(A329)=0,LEN(C329)=0),0,IF(OR(C329&lt;1,C329&gt;5),1,0))</f>
        <v/>
      </c>
      <c r="AE329" s="19">
        <f>IF(OR(LEN(A329)=0,LEN(R329)=0),0,IF(OR(R329="Active",R329="Paid off",R329="Defaulted",R329="Repossessed",R329="Written off",R329="Restructured"),0,1))</f>
        <v/>
      </c>
      <c r="AF329" s="19">
        <f>IF(A329="",0,IF(N(J329)&gt;N(I329),1,0))</f>
        <v/>
      </c>
      <c r="AG329" s="19">
        <f>IF(A329="",0,IF(N(N329)&gt;N(M329)+1,1,0))</f>
        <v/>
      </c>
      <c r="AH329" s="19">
        <f>IF(A329="",0,IF(N(E329)&gt;N(B329),1,0))</f>
        <v/>
      </c>
      <c r="AI329" s="19">
        <f>IF(A329="",0,IF(AND(Z329="Full payment",N(N329)&lt;N(M329)-1),1,0))</f>
        <v/>
      </c>
      <c r="AJ329" s="19">
        <f>IF(A329="",0,IF(N(P329)&lt;0,1,0))</f>
        <v/>
      </c>
      <c r="AK329" s="19">
        <f>IF(A329="",0,IF(COUNTIF($A$7:$A$1006,A329)&gt;1,1,0))</f>
        <v/>
      </c>
    </row>
    <row r="330">
      <c r="A330" s="10" t="n"/>
      <c r="B330" s="17" t="n"/>
      <c r="C330" s="18" t="n"/>
      <c r="D330" s="10" t="n"/>
      <c r="E330" s="17" t="n"/>
      <c r="F330" s="10" t="n"/>
      <c r="G330" s="10" t="n"/>
      <c r="H330" s="10" t="n"/>
      <c r="I330" s="18" t="n"/>
      <c r="J330" s="18" t="n"/>
      <c r="K330" s="18" t="n"/>
      <c r="L330" s="18" t="n"/>
      <c r="M330" s="19">
        <f>IF(K330="","",K330*365/12*L330)</f>
        <v/>
      </c>
      <c r="N330" s="18" t="n"/>
      <c r="O330" s="18" t="n"/>
      <c r="P330" s="18" t="n"/>
      <c r="Q330" s="18" t="n"/>
      <c r="R330" s="10" t="n"/>
      <c r="S330" s="17" t="n"/>
      <c r="T330" s="18" t="n"/>
      <c r="U330" s="17" t="n"/>
      <c r="V330" s="17" t="n"/>
      <c r="W330" s="18" t="n"/>
      <c r="X330" s="18" t="n"/>
      <c r="Y330" s="17" t="n"/>
      <c r="Z330" s="10" t="n"/>
      <c r="AA330" s="10" t="n"/>
      <c r="AB330" s="19">
        <f>IF(LEN(A330)&gt;0,1,0)</f>
        <v/>
      </c>
      <c r="AC330" s="19">
        <f>IF(LEN(A330)=0,0,(LEN(B330)=0)+(LEN(C330)=0)+(LEN(D330)=0)+(LEN(E330)=0)+(LEN(F330)=0)+(LEN(G330)=0)+(LEN(H330)=0)+(LEN(I330)=0)+(LEN(J330)=0)+(LEN(K330)=0)+(LEN(L330)=0)+(LEN(N330)=0)+(LEN(O330)=0)+(LEN(P330)=0)+(LEN(R330)=0)+(LEN(AA330)=0))</f>
        <v/>
      </c>
      <c r="AD330" s="19">
        <f>IF(OR(LEN(A330)=0,LEN(C330)=0),0,IF(OR(C330&lt;1,C330&gt;5),1,0))</f>
        <v/>
      </c>
      <c r="AE330" s="19">
        <f>IF(OR(LEN(A330)=0,LEN(R330)=0),0,IF(OR(R330="Active",R330="Paid off",R330="Defaulted",R330="Repossessed",R330="Written off",R330="Restructured"),0,1))</f>
        <v/>
      </c>
      <c r="AF330" s="19">
        <f>IF(A330="",0,IF(N(J330)&gt;N(I330),1,0))</f>
        <v/>
      </c>
      <c r="AG330" s="19">
        <f>IF(A330="",0,IF(N(N330)&gt;N(M330)+1,1,0))</f>
        <v/>
      </c>
      <c r="AH330" s="19">
        <f>IF(A330="",0,IF(N(E330)&gt;N(B330),1,0))</f>
        <v/>
      </c>
      <c r="AI330" s="19">
        <f>IF(A330="",0,IF(AND(Z330="Full payment",N(N330)&lt;N(M330)-1),1,0))</f>
        <v/>
      </c>
      <c r="AJ330" s="19">
        <f>IF(A330="",0,IF(N(P330)&lt;0,1,0))</f>
        <v/>
      </c>
      <c r="AK330" s="19">
        <f>IF(A330="",0,IF(COUNTIF($A$7:$A$1006,A330)&gt;1,1,0))</f>
        <v/>
      </c>
    </row>
    <row r="331">
      <c r="A331" s="10" t="n"/>
      <c r="B331" s="17" t="n"/>
      <c r="C331" s="18" t="n"/>
      <c r="D331" s="10" t="n"/>
      <c r="E331" s="17" t="n"/>
      <c r="F331" s="10" t="n"/>
      <c r="G331" s="10" t="n"/>
      <c r="H331" s="10" t="n"/>
      <c r="I331" s="18" t="n"/>
      <c r="J331" s="18" t="n"/>
      <c r="K331" s="18" t="n"/>
      <c r="L331" s="18" t="n"/>
      <c r="M331" s="19">
        <f>IF(K331="","",K331*365/12*L331)</f>
        <v/>
      </c>
      <c r="N331" s="18" t="n"/>
      <c r="O331" s="18" t="n"/>
      <c r="P331" s="18" t="n"/>
      <c r="Q331" s="18" t="n"/>
      <c r="R331" s="10" t="n"/>
      <c r="S331" s="17" t="n"/>
      <c r="T331" s="18" t="n"/>
      <c r="U331" s="17" t="n"/>
      <c r="V331" s="17" t="n"/>
      <c r="W331" s="18" t="n"/>
      <c r="X331" s="18" t="n"/>
      <c r="Y331" s="17" t="n"/>
      <c r="Z331" s="10" t="n"/>
      <c r="AA331" s="10" t="n"/>
      <c r="AB331" s="19">
        <f>IF(LEN(A331)&gt;0,1,0)</f>
        <v/>
      </c>
      <c r="AC331" s="19">
        <f>IF(LEN(A331)=0,0,(LEN(B331)=0)+(LEN(C331)=0)+(LEN(D331)=0)+(LEN(E331)=0)+(LEN(F331)=0)+(LEN(G331)=0)+(LEN(H331)=0)+(LEN(I331)=0)+(LEN(J331)=0)+(LEN(K331)=0)+(LEN(L331)=0)+(LEN(N331)=0)+(LEN(O331)=0)+(LEN(P331)=0)+(LEN(R331)=0)+(LEN(AA331)=0))</f>
        <v/>
      </c>
      <c r="AD331" s="19">
        <f>IF(OR(LEN(A331)=0,LEN(C331)=0),0,IF(OR(C331&lt;1,C331&gt;5),1,0))</f>
        <v/>
      </c>
      <c r="AE331" s="19">
        <f>IF(OR(LEN(A331)=0,LEN(R331)=0),0,IF(OR(R331="Active",R331="Paid off",R331="Defaulted",R331="Repossessed",R331="Written off",R331="Restructured"),0,1))</f>
        <v/>
      </c>
      <c r="AF331" s="19">
        <f>IF(A331="",0,IF(N(J331)&gt;N(I331),1,0))</f>
        <v/>
      </c>
      <c r="AG331" s="19">
        <f>IF(A331="",0,IF(N(N331)&gt;N(M331)+1,1,0))</f>
        <v/>
      </c>
      <c r="AH331" s="19">
        <f>IF(A331="",0,IF(N(E331)&gt;N(B331),1,0))</f>
        <v/>
      </c>
      <c r="AI331" s="19">
        <f>IF(A331="",0,IF(AND(Z331="Full payment",N(N331)&lt;N(M331)-1),1,0))</f>
        <v/>
      </c>
      <c r="AJ331" s="19">
        <f>IF(A331="",0,IF(N(P331)&lt;0,1,0))</f>
        <v/>
      </c>
      <c r="AK331" s="19">
        <f>IF(A331="",0,IF(COUNTIF($A$7:$A$1006,A331)&gt;1,1,0))</f>
        <v/>
      </c>
    </row>
    <row r="332">
      <c r="A332" s="10" t="n"/>
      <c r="B332" s="17" t="n"/>
      <c r="C332" s="18" t="n"/>
      <c r="D332" s="10" t="n"/>
      <c r="E332" s="17" t="n"/>
      <c r="F332" s="10" t="n"/>
      <c r="G332" s="10" t="n"/>
      <c r="H332" s="10" t="n"/>
      <c r="I332" s="18" t="n"/>
      <c r="J332" s="18" t="n"/>
      <c r="K332" s="18" t="n"/>
      <c r="L332" s="18" t="n"/>
      <c r="M332" s="19">
        <f>IF(K332="","",K332*365/12*L332)</f>
        <v/>
      </c>
      <c r="N332" s="18" t="n"/>
      <c r="O332" s="18" t="n"/>
      <c r="P332" s="18" t="n"/>
      <c r="Q332" s="18" t="n"/>
      <c r="R332" s="10" t="n"/>
      <c r="S332" s="17" t="n"/>
      <c r="T332" s="18" t="n"/>
      <c r="U332" s="17" t="n"/>
      <c r="V332" s="17" t="n"/>
      <c r="W332" s="18" t="n"/>
      <c r="X332" s="18" t="n"/>
      <c r="Y332" s="17" t="n"/>
      <c r="Z332" s="10" t="n"/>
      <c r="AA332" s="10" t="n"/>
      <c r="AB332" s="19">
        <f>IF(LEN(A332)&gt;0,1,0)</f>
        <v/>
      </c>
      <c r="AC332" s="19">
        <f>IF(LEN(A332)=0,0,(LEN(B332)=0)+(LEN(C332)=0)+(LEN(D332)=0)+(LEN(E332)=0)+(LEN(F332)=0)+(LEN(G332)=0)+(LEN(H332)=0)+(LEN(I332)=0)+(LEN(J332)=0)+(LEN(K332)=0)+(LEN(L332)=0)+(LEN(N332)=0)+(LEN(O332)=0)+(LEN(P332)=0)+(LEN(R332)=0)+(LEN(AA332)=0))</f>
        <v/>
      </c>
      <c r="AD332" s="19">
        <f>IF(OR(LEN(A332)=0,LEN(C332)=0),0,IF(OR(C332&lt;1,C332&gt;5),1,0))</f>
        <v/>
      </c>
      <c r="AE332" s="19">
        <f>IF(OR(LEN(A332)=0,LEN(R332)=0),0,IF(OR(R332="Active",R332="Paid off",R332="Defaulted",R332="Repossessed",R332="Written off",R332="Restructured"),0,1))</f>
        <v/>
      </c>
      <c r="AF332" s="19">
        <f>IF(A332="",0,IF(N(J332)&gt;N(I332),1,0))</f>
        <v/>
      </c>
      <c r="AG332" s="19">
        <f>IF(A332="",0,IF(N(N332)&gt;N(M332)+1,1,0))</f>
        <v/>
      </c>
      <c r="AH332" s="19">
        <f>IF(A332="",0,IF(N(E332)&gt;N(B332),1,0))</f>
        <v/>
      </c>
      <c r="AI332" s="19">
        <f>IF(A332="",0,IF(AND(Z332="Full payment",N(N332)&lt;N(M332)-1),1,0))</f>
        <v/>
      </c>
      <c r="AJ332" s="19">
        <f>IF(A332="",0,IF(N(P332)&lt;0,1,0))</f>
        <v/>
      </c>
      <c r="AK332" s="19">
        <f>IF(A332="",0,IF(COUNTIF($A$7:$A$1006,A332)&gt;1,1,0))</f>
        <v/>
      </c>
    </row>
    <row r="333">
      <c r="A333" s="10" t="n"/>
      <c r="B333" s="17" t="n"/>
      <c r="C333" s="18" t="n"/>
      <c r="D333" s="10" t="n"/>
      <c r="E333" s="17" t="n"/>
      <c r="F333" s="10" t="n"/>
      <c r="G333" s="10" t="n"/>
      <c r="H333" s="10" t="n"/>
      <c r="I333" s="18" t="n"/>
      <c r="J333" s="18" t="n"/>
      <c r="K333" s="18" t="n"/>
      <c r="L333" s="18" t="n"/>
      <c r="M333" s="19">
        <f>IF(K333="","",K333*365/12*L333)</f>
        <v/>
      </c>
      <c r="N333" s="18" t="n"/>
      <c r="O333" s="18" t="n"/>
      <c r="P333" s="18" t="n"/>
      <c r="Q333" s="18" t="n"/>
      <c r="R333" s="10" t="n"/>
      <c r="S333" s="17" t="n"/>
      <c r="T333" s="18" t="n"/>
      <c r="U333" s="17" t="n"/>
      <c r="V333" s="17" t="n"/>
      <c r="W333" s="18" t="n"/>
      <c r="X333" s="18" t="n"/>
      <c r="Y333" s="17" t="n"/>
      <c r="Z333" s="10" t="n"/>
      <c r="AA333" s="10" t="n"/>
      <c r="AB333" s="19">
        <f>IF(LEN(A333)&gt;0,1,0)</f>
        <v/>
      </c>
      <c r="AC333" s="19">
        <f>IF(LEN(A333)=0,0,(LEN(B333)=0)+(LEN(C333)=0)+(LEN(D333)=0)+(LEN(E333)=0)+(LEN(F333)=0)+(LEN(G333)=0)+(LEN(H333)=0)+(LEN(I333)=0)+(LEN(J333)=0)+(LEN(K333)=0)+(LEN(L333)=0)+(LEN(N333)=0)+(LEN(O333)=0)+(LEN(P333)=0)+(LEN(R333)=0)+(LEN(AA333)=0))</f>
        <v/>
      </c>
      <c r="AD333" s="19">
        <f>IF(OR(LEN(A333)=0,LEN(C333)=0),0,IF(OR(C333&lt;1,C333&gt;5),1,0))</f>
        <v/>
      </c>
      <c r="AE333" s="19">
        <f>IF(OR(LEN(A333)=0,LEN(R333)=0),0,IF(OR(R333="Active",R333="Paid off",R333="Defaulted",R333="Repossessed",R333="Written off",R333="Restructured"),0,1))</f>
        <v/>
      </c>
      <c r="AF333" s="19">
        <f>IF(A333="",0,IF(N(J333)&gt;N(I333),1,0))</f>
        <v/>
      </c>
      <c r="AG333" s="19">
        <f>IF(A333="",0,IF(N(N333)&gt;N(M333)+1,1,0))</f>
        <v/>
      </c>
      <c r="AH333" s="19">
        <f>IF(A333="",0,IF(N(E333)&gt;N(B333),1,0))</f>
        <v/>
      </c>
      <c r="AI333" s="19">
        <f>IF(A333="",0,IF(AND(Z333="Full payment",N(N333)&lt;N(M333)-1),1,0))</f>
        <v/>
      </c>
      <c r="AJ333" s="19">
        <f>IF(A333="",0,IF(N(P333)&lt;0,1,0))</f>
        <v/>
      </c>
      <c r="AK333" s="19">
        <f>IF(A333="",0,IF(COUNTIF($A$7:$A$1006,A333)&gt;1,1,0))</f>
        <v/>
      </c>
    </row>
    <row r="334">
      <c r="A334" s="10" t="n"/>
      <c r="B334" s="17" t="n"/>
      <c r="C334" s="18" t="n"/>
      <c r="D334" s="10" t="n"/>
      <c r="E334" s="17" t="n"/>
      <c r="F334" s="10" t="n"/>
      <c r="G334" s="10" t="n"/>
      <c r="H334" s="10" t="n"/>
      <c r="I334" s="18" t="n"/>
      <c r="J334" s="18" t="n"/>
      <c r="K334" s="18" t="n"/>
      <c r="L334" s="18" t="n"/>
      <c r="M334" s="19">
        <f>IF(K334="","",K334*365/12*L334)</f>
        <v/>
      </c>
      <c r="N334" s="18" t="n"/>
      <c r="O334" s="18" t="n"/>
      <c r="P334" s="18" t="n"/>
      <c r="Q334" s="18" t="n"/>
      <c r="R334" s="10" t="n"/>
      <c r="S334" s="17" t="n"/>
      <c r="T334" s="18" t="n"/>
      <c r="U334" s="17" t="n"/>
      <c r="V334" s="17" t="n"/>
      <c r="W334" s="18" t="n"/>
      <c r="X334" s="18" t="n"/>
      <c r="Y334" s="17" t="n"/>
      <c r="Z334" s="10" t="n"/>
      <c r="AA334" s="10" t="n"/>
      <c r="AB334" s="19">
        <f>IF(LEN(A334)&gt;0,1,0)</f>
        <v/>
      </c>
      <c r="AC334" s="19">
        <f>IF(LEN(A334)=0,0,(LEN(B334)=0)+(LEN(C334)=0)+(LEN(D334)=0)+(LEN(E334)=0)+(LEN(F334)=0)+(LEN(G334)=0)+(LEN(H334)=0)+(LEN(I334)=0)+(LEN(J334)=0)+(LEN(K334)=0)+(LEN(L334)=0)+(LEN(N334)=0)+(LEN(O334)=0)+(LEN(P334)=0)+(LEN(R334)=0)+(LEN(AA334)=0))</f>
        <v/>
      </c>
      <c r="AD334" s="19">
        <f>IF(OR(LEN(A334)=0,LEN(C334)=0),0,IF(OR(C334&lt;1,C334&gt;5),1,0))</f>
        <v/>
      </c>
      <c r="AE334" s="19">
        <f>IF(OR(LEN(A334)=0,LEN(R334)=0),0,IF(OR(R334="Active",R334="Paid off",R334="Defaulted",R334="Repossessed",R334="Written off",R334="Restructured"),0,1))</f>
        <v/>
      </c>
      <c r="AF334" s="19">
        <f>IF(A334="",0,IF(N(J334)&gt;N(I334),1,0))</f>
        <v/>
      </c>
      <c r="AG334" s="19">
        <f>IF(A334="",0,IF(N(N334)&gt;N(M334)+1,1,0))</f>
        <v/>
      </c>
      <c r="AH334" s="19">
        <f>IF(A334="",0,IF(N(E334)&gt;N(B334),1,0))</f>
        <v/>
      </c>
      <c r="AI334" s="19">
        <f>IF(A334="",0,IF(AND(Z334="Full payment",N(N334)&lt;N(M334)-1),1,0))</f>
        <v/>
      </c>
      <c r="AJ334" s="19">
        <f>IF(A334="",0,IF(N(P334)&lt;0,1,0))</f>
        <v/>
      </c>
      <c r="AK334" s="19">
        <f>IF(A334="",0,IF(COUNTIF($A$7:$A$1006,A334)&gt;1,1,0))</f>
        <v/>
      </c>
    </row>
    <row r="335">
      <c r="A335" s="10" t="n"/>
      <c r="B335" s="17" t="n"/>
      <c r="C335" s="18" t="n"/>
      <c r="D335" s="10" t="n"/>
      <c r="E335" s="17" t="n"/>
      <c r="F335" s="10" t="n"/>
      <c r="G335" s="10" t="n"/>
      <c r="H335" s="10" t="n"/>
      <c r="I335" s="18" t="n"/>
      <c r="J335" s="18" t="n"/>
      <c r="K335" s="18" t="n"/>
      <c r="L335" s="18" t="n"/>
      <c r="M335" s="19">
        <f>IF(K335="","",K335*365/12*L335)</f>
        <v/>
      </c>
      <c r="N335" s="18" t="n"/>
      <c r="O335" s="18" t="n"/>
      <c r="P335" s="18" t="n"/>
      <c r="Q335" s="18" t="n"/>
      <c r="R335" s="10" t="n"/>
      <c r="S335" s="17" t="n"/>
      <c r="T335" s="18" t="n"/>
      <c r="U335" s="17" t="n"/>
      <c r="V335" s="17" t="n"/>
      <c r="W335" s="18" t="n"/>
      <c r="X335" s="18" t="n"/>
      <c r="Y335" s="17" t="n"/>
      <c r="Z335" s="10" t="n"/>
      <c r="AA335" s="10" t="n"/>
      <c r="AB335" s="19">
        <f>IF(LEN(A335)&gt;0,1,0)</f>
        <v/>
      </c>
      <c r="AC335" s="19">
        <f>IF(LEN(A335)=0,0,(LEN(B335)=0)+(LEN(C335)=0)+(LEN(D335)=0)+(LEN(E335)=0)+(LEN(F335)=0)+(LEN(G335)=0)+(LEN(H335)=0)+(LEN(I335)=0)+(LEN(J335)=0)+(LEN(K335)=0)+(LEN(L335)=0)+(LEN(N335)=0)+(LEN(O335)=0)+(LEN(P335)=0)+(LEN(R335)=0)+(LEN(AA335)=0))</f>
        <v/>
      </c>
      <c r="AD335" s="19">
        <f>IF(OR(LEN(A335)=0,LEN(C335)=0),0,IF(OR(C335&lt;1,C335&gt;5),1,0))</f>
        <v/>
      </c>
      <c r="AE335" s="19">
        <f>IF(OR(LEN(A335)=0,LEN(R335)=0),0,IF(OR(R335="Active",R335="Paid off",R335="Defaulted",R335="Repossessed",R335="Written off",R335="Restructured"),0,1))</f>
        <v/>
      </c>
      <c r="AF335" s="19">
        <f>IF(A335="",0,IF(N(J335)&gt;N(I335),1,0))</f>
        <v/>
      </c>
      <c r="AG335" s="19">
        <f>IF(A335="",0,IF(N(N335)&gt;N(M335)+1,1,0))</f>
        <v/>
      </c>
      <c r="AH335" s="19">
        <f>IF(A335="",0,IF(N(E335)&gt;N(B335),1,0))</f>
        <v/>
      </c>
      <c r="AI335" s="19">
        <f>IF(A335="",0,IF(AND(Z335="Full payment",N(N335)&lt;N(M335)-1),1,0))</f>
        <v/>
      </c>
      <c r="AJ335" s="19">
        <f>IF(A335="",0,IF(N(P335)&lt;0,1,0))</f>
        <v/>
      </c>
      <c r="AK335" s="19">
        <f>IF(A335="",0,IF(COUNTIF($A$7:$A$1006,A335)&gt;1,1,0))</f>
        <v/>
      </c>
    </row>
    <row r="336">
      <c r="A336" s="10" t="n"/>
      <c r="B336" s="17" t="n"/>
      <c r="C336" s="18" t="n"/>
      <c r="D336" s="10" t="n"/>
      <c r="E336" s="17" t="n"/>
      <c r="F336" s="10" t="n"/>
      <c r="G336" s="10" t="n"/>
      <c r="H336" s="10" t="n"/>
      <c r="I336" s="18" t="n"/>
      <c r="J336" s="18" t="n"/>
      <c r="K336" s="18" t="n"/>
      <c r="L336" s="18" t="n"/>
      <c r="M336" s="19">
        <f>IF(K336="","",K336*365/12*L336)</f>
        <v/>
      </c>
      <c r="N336" s="18" t="n"/>
      <c r="O336" s="18" t="n"/>
      <c r="P336" s="18" t="n"/>
      <c r="Q336" s="18" t="n"/>
      <c r="R336" s="10" t="n"/>
      <c r="S336" s="17" t="n"/>
      <c r="T336" s="18" t="n"/>
      <c r="U336" s="17" t="n"/>
      <c r="V336" s="17" t="n"/>
      <c r="W336" s="18" t="n"/>
      <c r="X336" s="18" t="n"/>
      <c r="Y336" s="17" t="n"/>
      <c r="Z336" s="10" t="n"/>
      <c r="AA336" s="10" t="n"/>
      <c r="AB336" s="19">
        <f>IF(LEN(A336)&gt;0,1,0)</f>
        <v/>
      </c>
      <c r="AC336" s="19">
        <f>IF(LEN(A336)=0,0,(LEN(B336)=0)+(LEN(C336)=0)+(LEN(D336)=0)+(LEN(E336)=0)+(LEN(F336)=0)+(LEN(G336)=0)+(LEN(H336)=0)+(LEN(I336)=0)+(LEN(J336)=0)+(LEN(K336)=0)+(LEN(L336)=0)+(LEN(N336)=0)+(LEN(O336)=0)+(LEN(P336)=0)+(LEN(R336)=0)+(LEN(AA336)=0))</f>
        <v/>
      </c>
      <c r="AD336" s="19">
        <f>IF(OR(LEN(A336)=0,LEN(C336)=0),0,IF(OR(C336&lt;1,C336&gt;5),1,0))</f>
        <v/>
      </c>
      <c r="AE336" s="19">
        <f>IF(OR(LEN(A336)=0,LEN(R336)=0),0,IF(OR(R336="Active",R336="Paid off",R336="Defaulted",R336="Repossessed",R336="Written off",R336="Restructured"),0,1))</f>
        <v/>
      </c>
      <c r="AF336" s="19">
        <f>IF(A336="",0,IF(N(J336)&gt;N(I336),1,0))</f>
        <v/>
      </c>
      <c r="AG336" s="19">
        <f>IF(A336="",0,IF(N(N336)&gt;N(M336)+1,1,0))</f>
        <v/>
      </c>
      <c r="AH336" s="19">
        <f>IF(A336="",0,IF(N(E336)&gt;N(B336),1,0))</f>
        <v/>
      </c>
      <c r="AI336" s="19">
        <f>IF(A336="",0,IF(AND(Z336="Full payment",N(N336)&lt;N(M336)-1),1,0))</f>
        <v/>
      </c>
      <c r="AJ336" s="19">
        <f>IF(A336="",0,IF(N(P336)&lt;0,1,0))</f>
        <v/>
      </c>
      <c r="AK336" s="19">
        <f>IF(A336="",0,IF(COUNTIF($A$7:$A$1006,A336)&gt;1,1,0))</f>
        <v/>
      </c>
    </row>
    <row r="337">
      <c r="A337" s="10" t="n"/>
      <c r="B337" s="17" t="n"/>
      <c r="C337" s="18" t="n"/>
      <c r="D337" s="10" t="n"/>
      <c r="E337" s="17" t="n"/>
      <c r="F337" s="10" t="n"/>
      <c r="G337" s="10" t="n"/>
      <c r="H337" s="10" t="n"/>
      <c r="I337" s="18" t="n"/>
      <c r="J337" s="18" t="n"/>
      <c r="K337" s="18" t="n"/>
      <c r="L337" s="18" t="n"/>
      <c r="M337" s="19">
        <f>IF(K337="","",K337*365/12*L337)</f>
        <v/>
      </c>
      <c r="N337" s="18" t="n"/>
      <c r="O337" s="18" t="n"/>
      <c r="P337" s="18" t="n"/>
      <c r="Q337" s="18" t="n"/>
      <c r="R337" s="10" t="n"/>
      <c r="S337" s="17" t="n"/>
      <c r="T337" s="18" t="n"/>
      <c r="U337" s="17" t="n"/>
      <c r="V337" s="17" t="n"/>
      <c r="W337" s="18" t="n"/>
      <c r="X337" s="18" t="n"/>
      <c r="Y337" s="17" t="n"/>
      <c r="Z337" s="10" t="n"/>
      <c r="AA337" s="10" t="n"/>
      <c r="AB337" s="19">
        <f>IF(LEN(A337)&gt;0,1,0)</f>
        <v/>
      </c>
      <c r="AC337" s="19">
        <f>IF(LEN(A337)=0,0,(LEN(B337)=0)+(LEN(C337)=0)+(LEN(D337)=0)+(LEN(E337)=0)+(LEN(F337)=0)+(LEN(G337)=0)+(LEN(H337)=0)+(LEN(I337)=0)+(LEN(J337)=0)+(LEN(K337)=0)+(LEN(L337)=0)+(LEN(N337)=0)+(LEN(O337)=0)+(LEN(P337)=0)+(LEN(R337)=0)+(LEN(AA337)=0))</f>
        <v/>
      </c>
      <c r="AD337" s="19">
        <f>IF(OR(LEN(A337)=0,LEN(C337)=0),0,IF(OR(C337&lt;1,C337&gt;5),1,0))</f>
        <v/>
      </c>
      <c r="AE337" s="19">
        <f>IF(OR(LEN(A337)=0,LEN(R337)=0),0,IF(OR(R337="Active",R337="Paid off",R337="Defaulted",R337="Repossessed",R337="Written off",R337="Restructured"),0,1))</f>
        <v/>
      </c>
      <c r="AF337" s="19">
        <f>IF(A337="",0,IF(N(J337)&gt;N(I337),1,0))</f>
        <v/>
      </c>
      <c r="AG337" s="19">
        <f>IF(A337="",0,IF(N(N337)&gt;N(M337)+1,1,0))</f>
        <v/>
      </c>
      <c r="AH337" s="19">
        <f>IF(A337="",0,IF(N(E337)&gt;N(B337),1,0))</f>
        <v/>
      </c>
      <c r="AI337" s="19">
        <f>IF(A337="",0,IF(AND(Z337="Full payment",N(N337)&lt;N(M337)-1),1,0))</f>
        <v/>
      </c>
      <c r="AJ337" s="19">
        <f>IF(A337="",0,IF(N(P337)&lt;0,1,0))</f>
        <v/>
      </c>
      <c r="AK337" s="19">
        <f>IF(A337="",0,IF(COUNTIF($A$7:$A$1006,A337)&gt;1,1,0))</f>
        <v/>
      </c>
    </row>
    <row r="338">
      <c r="A338" s="10" t="n"/>
      <c r="B338" s="17" t="n"/>
      <c r="C338" s="18" t="n"/>
      <c r="D338" s="10" t="n"/>
      <c r="E338" s="17" t="n"/>
      <c r="F338" s="10" t="n"/>
      <c r="G338" s="10" t="n"/>
      <c r="H338" s="10" t="n"/>
      <c r="I338" s="18" t="n"/>
      <c r="J338" s="18" t="n"/>
      <c r="K338" s="18" t="n"/>
      <c r="L338" s="18" t="n"/>
      <c r="M338" s="19">
        <f>IF(K338="","",K338*365/12*L338)</f>
        <v/>
      </c>
      <c r="N338" s="18" t="n"/>
      <c r="O338" s="18" t="n"/>
      <c r="P338" s="18" t="n"/>
      <c r="Q338" s="18" t="n"/>
      <c r="R338" s="10" t="n"/>
      <c r="S338" s="17" t="n"/>
      <c r="T338" s="18" t="n"/>
      <c r="U338" s="17" t="n"/>
      <c r="V338" s="17" t="n"/>
      <c r="W338" s="18" t="n"/>
      <c r="X338" s="18" t="n"/>
      <c r="Y338" s="17" t="n"/>
      <c r="Z338" s="10" t="n"/>
      <c r="AA338" s="10" t="n"/>
      <c r="AB338" s="19">
        <f>IF(LEN(A338)&gt;0,1,0)</f>
        <v/>
      </c>
      <c r="AC338" s="19">
        <f>IF(LEN(A338)=0,0,(LEN(B338)=0)+(LEN(C338)=0)+(LEN(D338)=0)+(LEN(E338)=0)+(LEN(F338)=0)+(LEN(G338)=0)+(LEN(H338)=0)+(LEN(I338)=0)+(LEN(J338)=0)+(LEN(K338)=0)+(LEN(L338)=0)+(LEN(N338)=0)+(LEN(O338)=0)+(LEN(P338)=0)+(LEN(R338)=0)+(LEN(AA338)=0))</f>
        <v/>
      </c>
      <c r="AD338" s="19">
        <f>IF(OR(LEN(A338)=0,LEN(C338)=0),0,IF(OR(C338&lt;1,C338&gt;5),1,0))</f>
        <v/>
      </c>
      <c r="AE338" s="19">
        <f>IF(OR(LEN(A338)=0,LEN(R338)=0),0,IF(OR(R338="Active",R338="Paid off",R338="Defaulted",R338="Repossessed",R338="Written off",R338="Restructured"),0,1))</f>
        <v/>
      </c>
      <c r="AF338" s="19">
        <f>IF(A338="",0,IF(N(J338)&gt;N(I338),1,0))</f>
        <v/>
      </c>
      <c r="AG338" s="19">
        <f>IF(A338="",0,IF(N(N338)&gt;N(M338)+1,1,0))</f>
        <v/>
      </c>
      <c r="AH338" s="19">
        <f>IF(A338="",0,IF(N(E338)&gt;N(B338),1,0))</f>
        <v/>
      </c>
      <c r="AI338" s="19">
        <f>IF(A338="",0,IF(AND(Z338="Full payment",N(N338)&lt;N(M338)-1),1,0))</f>
        <v/>
      </c>
      <c r="AJ338" s="19">
        <f>IF(A338="",0,IF(N(P338)&lt;0,1,0))</f>
        <v/>
      </c>
      <c r="AK338" s="19">
        <f>IF(A338="",0,IF(COUNTIF($A$7:$A$1006,A338)&gt;1,1,0))</f>
        <v/>
      </c>
    </row>
    <row r="339">
      <c r="A339" s="10" t="n"/>
      <c r="B339" s="17" t="n"/>
      <c r="C339" s="18" t="n"/>
      <c r="D339" s="10" t="n"/>
      <c r="E339" s="17" t="n"/>
      <c r="F339" s="10" t="n"/>
      <c r="G339" s="10" t="n"/>
      <c r="H339" s="10" t="n"/>
      <c r="I339" s="18" t="n"/>
      <c r="J339" s="18" t="n"/>
      <c r="K339" s="18" t="n"/>
      <c r="L339" s="18" t="n"/>
      <c r="M339" s="19">
        <f>IF(K339="","",K339*365/12*L339)</f>
        <v/>
      </c>
      <c r="N339" s="18" t="n"/>
      <c r="O339" s="18" t="n"/>
      <c r="P339" s="18" t="n"/>
      <c r="Q339" s="18" t="n"/>
      <c r="R339" s="10" t="n"/>
      <c r="S339" s="17" t="n"/>
      <c r="T339" s="18" t="n"/>
      <c r="U339" s="17" t="n"/>
      <c r="V339" s="17" t="n"/>
      <c r="W339" s="18" t="n"/>
      <c r="X339" s="18" t="n"/>
      <c r="Y339" s="17" t="n"/>
      <c r="Z339" s="10" t="n"/>
      <c r="AA339" s="10" t="n"/>
      <c r="AB339" s="19">
        <f>IF(LEN(A339)&gt;0,1,0)</f>
        <v/>
      </c>
      <c r="AC339" s="19">
        <f>IF(LEN(A339)=0,0,(LEN(B339)=0)+(LEN(C339)=0)+(LEN(D339)=0)+(LEN(E339)=0)+(LEN(F339)=0)+(LEN(G339)=0)+(LEN(H339)=0)+(LEN(I339)=0)+(LEN(J339)=0)+(LEN(K339)=0)+(LEN(L339)=0)+(LEN(N339)=0)+(LEN(O339)=0)+(LEN(P339)=0)+(LEN(R339)=0)+(LEN(AA339)=0))</f>
        <v/>
      </c>
      <c r="AD339" s="19">
        <f>IF(OR(LEN(A339)=0,LEN(C339)=0),0,IF(OR(C339&lt;1,C339&gt;5),1,0))</f>
        <v/>
      </c>
      <c r="AE339" s="19">
        <f>IF(OR(LEN(A339)=0,LEN(R339)=0),0,IF(OR(R339="Active",R339="Paid off",R339="Defaulted",R339="Repossessed",R339="Written off",R339="Restructured"),0,1))</f>
        <v/>
      </c>
      <c r="AF339" s="19">
        <f>IF(A339="",0,IF(N(J339)&gt;N(I339),1,0))</f>
        <v/>
      </c>
      <c r="AG339" s="19">
        <f>IF(A339="",0,IF(N(N339)&gt;N(M339)+1,1,0))</f>
        <v/>
      </c>
      <c r="AH339" s="19">
        <f>IF(A339="",0,IF(N(E339)&gt;N(B339),1,0))</f>
        <v/>
      </c>
      <c r="AI339" s="19">
        <f>IF(A339="",0,IF(AND(Z339="Full payment",N(N339)&lt;N(M339)-1),1,0))</f>
        <v/>
      </c>
      <c r="AJ339" s="19">
        <f>IF(A339="",0,IF(N(P339)&lt;0,1,0))</f>
        <v/>
      </c>
      <c r="AK339" s="19">
        <f>IF(A339="",0,IF(COUNTIF($A$7:$A$1006,A339)&gt;1,1,0))</f>
        <v/>
      </c>
    </row>
    <row r="340">
      <c r="A340" s="10" t="n"/>
      <c r="B340" s="17" t="n"/>
      <c r="C340" s="18" t="n"/>
      <c r="D340" s="10" t="n"/>
      <c r="E340" s="17" t="n"/>
      <c r="F340" s="10" t="n"/>
      <c r="G340" s="10" t="n"/>
      <c r="H340" s="10" t="n"/>
      <c r="I340" s="18" t="n"/>
      <c r="J340" s="18" t="n"/>
      <c r="K340" s="18" t="n"/>
      <c r="L340" s="18" t="n"/>
      <c r="M340" s="19">
        <f>IF(K340="","",K340*365/12*L340)</f>
        <v/>
      </c>
      <c r="N340" s="18" t="n"/>
      <c r="O340" s="18" t="n"/>
      <c r="P340" s="18" t="n"/>
      <c r="Q340" s="18" t="n"/>
      <c r="R340" s="10" t="n"/>
      <c r="S340" s="17" t="n"/>
      <c r="T340" s="18" t="n"/>
      <c r="U340" s="17" t="n"/>
      <c r="V340" s="17" t="n"/>
      <c r="W340" s="18" t="n"/>
      <c r="X340" s="18" t="n"/>
      <c r="Y340" s="17" t="n"/>
      <c r="Z340" s="10" t="n"/>
      <c r="AA340" s="10" t="n"/>
      <c r="AB340" s="19">
        <f>IF(LEN(A340)&gt;0,1,0)</f>
        <v/>
      </c>
      <c r="AC340" s="19">
        <f>IF(LEN(A340)=0,0,(LEN(B340)=0)+(LEN(C340)=0)+(LEN(D340)=0)+(LEN(E340)=0)+(LEN(F340)=0)+(LEN(G340)=0)+(LEN(H340)=0)+(LEN(I340)=0)+(LEN(J340)=0)+(LEN(K340)=0)+(LEN(L340)=0)+(LEN(N340)=0)+(LEN(O340)=0)+(LEN(P340)=0)+(LEN(R340)=0)+(LEN(AA340)=0))</f>
        <v/>
      </c>
      <c r="AD340" s="19">
        <f>IF(OR(LEN(A340)=0,LEN(C340)=0),0,IF(OR(C340&lt;1,C340&gt;5),1,0))</f>
        <v/>
      </c>
      <c r="AE340" s="19">
        <f>IF(OR(LEN(A340)=0,LEN(R340)=0),0,IF(OR(R340="Active",R340="Paid off",R340="Defaulted",R340="Repossessed",R340="Written off",R340="Restructured"),0,1))</f>
        <v/>
      </c>
      <c r="AF340" s="19">
        <f>IF(A340="",0,IF(N(J340)&gt;N(I340),1,0))</f>
        <v/>
      </c>
      <c r="AG340" s="19">
        <f>IF(A340="",0,IF(N(N340)&gt;N(M340)+1,1,0))</f>
        <v/>
      </c>
      <c r="AH340" s="19">
        <f>IF(A340="",0,IF(N(E340)&gt;N(B340),1,0))</f>
        <v/>
      </c>
      <c r="AI340" s="19">
        <f>IF(A340="",0,IF(AND(Z340="Full payment",N(N340)&lt;N(M340)-1),1,0))</f>
        <v/>
      </c>
      <c r="AJ340" s="19">
        <f>IF(A340="",0,IF(N(P340)&lt;0,1,0))</f>
        <v/>
      </c>
      <c r="AK340" s="19">
        <f>IF(A340="",0,IF(COUNTIF($A$7:$A$1006,A340)&gt;1,1,0))</f>
        <v/>
      </c>
    </row>
    <row r="341">
      <c r="A341" s="10" t="n"/>
      <c r="B341" s="17" t="n"/>
      <c r="C341" s="18" t="n"/>
      <c r="D341" s="10" t="n"/>
      <c r="E341" s="17" t="n"/>
      <c r="F341" s="10" t="n"/>
      <c r="G341" s="10" t="n"/>
      <c r="H341" s="10" t="n"/>
      <c r="I341" s="18" t="n"/>
      <c r="J341" s="18" t="n"/>
      <c r="K341" s="18" t="n"/>
      <c r="L341" s="18" t="n"/>
      <c r="M341" s="19">
        <f>IF(K341="","",K341*365/12*L341)</f>
        <v/>
      </c>
      <c r="N341" s="18" t="n"/>
      <c r="O341" s="18" t="n"/>
      <c r="P341" s="18" t="n"/>
      <c r="Q341" s="18" t="n"/>
      <c r="R341" s="10" t="n"/>
      <c r="S341" s="17" t="n"/>
      <c r="T341" s="18" t="n"/>
      <c r="U341" s="17" t="n"/>
      <c r="V341" s="17" t="n"/>
      <c r="W341" s="18" t="n"/>
      <c r="X341" s="18" t="n"/>
      <c r="Y341" s="17" t="n"/>
      <c r="Z341" s="10" t="n"/>
      <c r="AA341" s="10" t="n"/>
      <c r="AB341" s="19">
        <f>IF(LEN(A341)&gt;0,1,0)</f>
        <v/>
      </c>
      <c r="AC341" s="19">
        <f>IF(LEN(A341)=0,0,(LEN(B341)=0)+(LEN(C341)=0)+(LEN(D341)=0)+(LEN(E341)=0)+(LEN(F341)=0)+(LEN(G341)=0)+(LEN(H341)=0)+(LEN(I341)=0)+(LEN(J341)=0)+(LEN(K341)=0)+(LEN(L341)=0)+(LEN(N341)=0)+(LEN(O341)=0)+(LEN(P341)=0)+(LEN(R341)=0)+(LEN(AA341)=0))</f>
        <v/>
      </c>
      <c r="AD341" s="19">
        <f>IF(OR(LEN(A341)=0,LEN(C341)=0),0,IF(OR(C341&lt;1,C341&gt;5),1,0))</f>
        <v/>
      </c>
      <c r="AE341" s="19">
        <f>IF(OR(LEN(A341)=0,LEN(R341)=0),0,IF(OR(R341="Active",R341="Paid off",R341="Defaulted",R341="Repossessed",R341="Written off",R341="Restructured"),0,1))</f>
        <v/>
      </c>
      <c r="AF341" s="19">
        <f>IF(A341="",0,IF(N(J341)&gt;N(I341),1,0))</f>
        <v/>
      </c>
      <c r="AG341" s="19">
        <f>IF(A341="",0,IF(N(N341)&gt;N(M341)+1,1,0))</f>
        <v/>
      </c>
      <c r="AH341" s="19">
        <f>IF(A341="",0,IF(N(E341)&gt;N(B341),1,0))</f>
        <v/>
      </c>
      <c r="AI341" s="19">
        <f>IF(A341="",0,IF(AND(Z341="Full payment",N(N341)&lt;N(M341)-1),1,0))</f>
        <v/>
      </c>
      <c r="AJ341" s="19">
        <f>IF(A341="",0,IF(N(P341)&lt;0,1,0))</f>
        <v/>
      </c>
      <c r="AK341" s="19">
        <f>IF(A341="",0,IF(COUNTIF($A$7:$A$1006,A341)&gt;1,1,0))</f>
        <v/>
      </c>
    </row>
    <row r="342">
      <c r="A342" s="10" t="n"/>
      <c r="B342" s="17" t="n"/>
      <c r="C342" s="18" t="n"/>
      <c r="D342" s="10" t="n"/>
      <c r="E342" s="17" t="n"/>
      <c r="F342" s="10" t="n"/>
      <c r="G342" s="10" t="n"/>
      <c r="H342" s="10" t="n"/>
      <c r="I342" s="18" t="n"/>
      <c r="J342" s="18" t="n"/>
      <c r="K342" s="18" t="n"/>
      <c r="L342" s="18" t="n"/>
      <c r="M342" s="19">
        <f>IF(K342="","",K342*365/12*L342)</f>
        <v/>
      </c>
      <c r="N342" s="18" t="n"/>
      <c r="O342" s="18" t="n"/>
      <c r="P342" s="18" t="n"/>
      <c r="Q342" s="18" t="n"/>
      <c r="R342" s="10" t="n"/>
      <c r="S342" s="17" t="n"/>
      <c r="T342" s="18" t="n"/>
      <c r="U342" s="17" t="n"/>
      <c r="V342" s="17" t="n"/>
      <c r="W342" s="18" t="n"/>
      <c r="X342" s="18" t="n"/>
      <c r="Y342" s="17" t="n"/>
      <c r="Z342" s="10" t="n"/>
      <c r="AA342" s="10" t="n"/>
      <c r="AB342" s="19">
        <f>IF(LEN(A342)&gt;0,1,0)</f>
        <v/>
      </c>
      <c r="AC342" s="19">
        <f>IF(LEN(A342)=0,0,(LEN(B342)=0)+(LEN(C342)=0)+(LEN(D342)=0)+(LEN(E342)=0)+(LEN(F342)=0)+(LEN(G342)=0)+(LEN(H342)=0)+(LEN(I342)=0)+(LEN(J342)=0)+(LEN(K342)=0)+(LEN(L342)=0)+(LEN(N342)=0)+(LEN(O342)=0)+(LEN(P342)=0)+(LEN(R342)=0)+(LEN(AA342)=0))</f>
        <v/>
      </c>
      <c r="AD342" s="19">
        <f>IF(OR(LEN(A342)=0,LEN(C342)=0),0,IF(OR(C342&lt;1,C342&gt;5),1,0))</f>
        <v/>
      </c>
      <c r="AE342" s="19">
        <f>IF(OR(LEN(A342)=0,LEN(R342)=0),0,IF(OR(R342="Active",R342="Paid off",R342="Defaulted",R342="Repossessed",R342="Written off",R342="Restructured"),0,1))</f>
        <v/>
      </c>
      <c r="AF342" s="19">
        <f>IF(A342="",0,IF(N(J342)&gt;N(I342),1,0))</f>
        <v/>
      </c>
      <c r="AG342" s="19">
        <f>IF(A342="",0,IF(N(N342)&gt;N(M342)+1,1,0))</f>
        <v/>
      </c>
      <c r="AH342" s="19">
        <f>IF(A342="",0,IF(N(E342)&gt;N(B342),1,0))</f>
        <v/>
      </c>
      <c r="AI342" s="19">
        <f>IF(A342="",0,IF(AND(Z342="Full payment",N(N342)&lt;N(M342)-1),1,0))</f>
        <v/>
      </c>
      <c r="AJ342" s="19">
        <f>IF(A342="",0,IF(N(P342)&lt;0,1,0))</f>
        <v/>
      </c>
      <c r="AK342" s="19">
        <f>IF(A342="",0,IF(COUNTIF($A$7:$A$1006,A342)&gt;1,1,0))</f>
        <v/>
      </c>
    </row>
    <row r="343">
      <c r="A343" s="10" t="n"/>
      <c r="B343" s="17" t="n"/>
      <c r="C343" s="18" t="n"/>
      <c r="D343" s="10" t="n"/>
      <c r="E343" s="17" t="n"/>
      <c r="F343" s="10" t="n"/>
      <c r="G343" s="10" t="n"/>
      <c r="H343" s="10" t="n"/>
      <c r="I343" s="18" t="n"/>
      <c r="J343" s="18" t="n"/>
      <c r="K343" s="18" t="n"/>
      <c r="L343" s="18" t="n"/>
      <c r="M343" s="19">
        <f>IF(K343="","",K343*365/12*L343)</f>
        <v/>
      </c>
      <c r="N343" s="18" t="n"/>
      <c r="O343" s="18" t="n"/>
      <c r="P343" s="18" t="n"/>
      <c r="Q343" s="18" t="n"/>
      <c r="R343" s="10" t="n"/>
      <c r="S343" s="17" t="n"/>
      <c r="T343" s="18" t="n"/>
      <c r="U343" s="17" t="n"/>
      <c r="V343" s="17" t="n"/>
      <c r="W343" s="18" t="n"/>
      <c r="X343" s="18" t="n"/>
      <c r="Y343" s="17" t="n"/>
      <c r="Z343" s="10" t="n"/>
      <c r="AA343" s="10" t="n"/>
      <c r="AB343" s="19">
        <f>IF(LEN(A343)&gt;0,1,0)</f>
        <v/>
      </c>
      <c r="AC343" s="19">
        <f>IF(LEN(A343)=0,0,(LEN(B343)=0)+(LEN(C343)=0)+(LEN(D343)=0)+(LEN(E343)=0)+(LEN(F343)=0)+(LEN(G343)=0)+(LEN(H343)=0)+(LEN(I343)=0)+(LEN(J343)=0)+(LEN(K343)=0)+(LEN(L343)=0)+(LEN(N343)=0)+(LEN(O343)=0)+(LEN(P343)=0)+(LEN(R343)=0)+(LEN(AA343)=0))</f>
        <v/>
      </c>
      <c r="AD343" s="19">
        <f>IF(OR(LEN(A343)=0,LEN(C343)=0),0,IF(OR(C343&lt;1,C343&gt;5),1,0))</f>
        <v/>
      </c>
      <c r="AE343" s="19">
        <f>IF(OR(LEN(A343)=0,LEN(R343)=0),0,IF(OR(R343="Active",R343="Paid off",R343="Defaulted",R343="Repossessed",R343="Written off",R343="Restructured"),0,1))</f>
        <v/>
      </c>
      <c r="AF343" s="19">
        <f>IF(A343="",0,IF(N(J343)&gt;N(I343),1,0))</f>
        <v/>
      </c>
      <c r="AG343" s="19">
        <f>IF(A343="",0,IF(N(N343)&gt;N(M343)+1,1,0))</f>
        <v/>
      </c>
      <c r="AH343" s="19">
        <f>IF(A343="",0,IF(N(E343)&gt;N(B343),1,0))</f>
        <v/>
      </c>
      <c r="AI343" s="19">
        <f>IF(A343="",0,IF(AND(Z343="Full payment",N(N343)&lt;N(M343)-1),1,0))</f>
        <v/>
      </c>
      <c r="AJ343" s="19">
        <f>IF(A343="",0,IF(N(P343)&lt;0,1,0))</f>
        <v/>
      </c>
      <c r="AK343" s="19">
        <f>IF(A343="",0,IF(COUNTIF($A$7:$A$1006,A343)&gt;1,1,0))</f>
        <v/>
      </c>
    </row>
    <row r="344">
      <c r="A344" s="10" t="n"/>
      <c r="B344" s="17" t="n"/>
      <c r="C344" s="18" t="n"/>
      <c r="D344" s="10" t="n"/>
      <c r="E344" s="17" t="n"/>
      <c r="F344" s="10" t="n"/>
      <c r="G344" s="10" t="n"/>
      <c r="H344" s="10" t="n"/>
      <c r="I344" s="18" t="n"/>
      <c r="J344" s="18" t="n"/>
      <c r="K344" s="18" t="n"/>
      <c r="L344" s="18" t="n"/>
      <c r="M344" s="19">
        <f>IF(K344="","",K344*365/12*L344)</f>
        <v/>
      </c>
      <c r="N344" s="18" t="n"/>
      <c r="O344" s="18" t="n"/>
      <c r="P344" s="18" t="n"/>
      <c r="Q344" s="18" t="n"/>
      <c r="R344" s="10" t="n"/>
      <c r="S344" s="17" t="n"/>
      <c r="T344" s="18" t="n"/>
      <c r="U344" s="17" t="n"/>
      <c r="V344" s="17" t="n"/>
      <c r="W344" s="18" t="n"/>
      <c r="X344" s="18" t="n"/>
      <c r="Y344" s="17" t="n"/>
      <c r="Z344" s="10" t="n"/>
      <c r="AA344" s="10" t="n"/>
      <c r="AB344" s="19">
        <f>IF(LEN(A344)&gt;0,1,0)</f>
        <v/>
      </c>
      <c r="AC344" s="19">
        <f>IF(LEN(A344)=0,0,(LEN(B344)=0)+(LEN(C344)=0)+(LEN(D344)=0)+(LEN(E344)=0)+(LEN(F344)=0)+(LEN(G344)=0)+(LEN(H344)=0)+(LEN(I344)=0)+(LEN(J344)=0)+(LEN(K344)=0)+(LEN(L344)=0)+(LEN(N344)=0)+(LEN(O344)=0)+(LEN(P344)=0)+(LEN(R344)=0)+(LEN(AA344)=0))</f>
        <v/>
      </c>
      <c r="AD344" s="19">
        <f>IF(OR(LEN(A344)=0,LEN(C344)=0),0,IF(OR(C344&lt;1,C344&gt;5),1,0))</f>
        <v/>
      </c>
      <c r="AE344" s="19">
        <f>IF(OR(LEN(A344)=0,LEN(R344)=0),0,IF(OR(R344="Active",R344="Paid off",R344="Defaulted",R344="Repossessed",R344="Written off",R344="Restructured"),0,1))</f>
        <v/>
      </c>
      <c r="AF344" s="19">
        <f>IF(A344="",0,IF(N(J344)&gt;N(I344),1,0))</f>
        <v/>
      </c>
      <c r="AG344" s="19">
        <f>IF(A344="",0,IF(N(N344)&gt;N(M344)+1,1,0))</f>
        <v/>
      </c>
      <c r="AH344" s="19">
        <f>IF(A344="",0,IF(N(E344)&gt;N(B344),1,0))</f>
        <v/>
      </c>
      <c r="AI344" s="19">
        <f>IF(A344="",0,IF(AND(Z344="Full payment",N(N344)&lt;N(M344)-1),1,0))</f>
        <v/>
      </c>
      <c r="AJ344" s="19">
        <f>IF(A344="",0,IF(N(P344)&lt;0,1,0))</f>
        <v/>
      </c>
      <c r="AK344" s="19">
        <f>IF(A344="",0,IF(COUNTIF($A$7:$A$1006,A344)&gt;1,1,0))</f>
        <v/>
      </c>
    </row>
    <row r="345">
      <c r="A345" s="10" t="n"/>
      <c r="B345" s="17" t="n"/>
      <c r="C345" s="18" t="n"/>
      <c r="D345" s="10" t="n"/>
      <c r="E345" s="17" t="n"/>
      <c r="F345" s="10" t="n"/>
      <c r="G345" s="10" t="n"/>
      <c r="H345" s="10" t="n"/>
      <c r="I345" s="18" t="n"/>
      <c r="J345" s="18" t="n"/>
      <c r="K345" s="18" t="n"/>
      <c r="L345" s="18" t="n"/>
      <c r="M345" s="19">
        <f>IF(K345="","",K345*365/12*L345)</f>
        <v/>
      </c>
      <c r="N345" s="18" t="n"/>
      <c r="O345" s="18" t="n"/>
      <c r="P345" s="18" t="n"/>
      <c r="Q345" s="18" t="n"/>
      <c r="R345" s="10" t="n"/>
      <c r="S345" s="17" t="n"/>
      <c r="T345" s="18" t="n"/>
      <c r="U345" s="17" t="n"/>
      <c r="V345" s="17" t="n"/>
      <c r="W345" s="18" t="n"/>
      <c r="X345" s="18" t="n"/>
      <c r="Y345" s="17" t="n"/>
      <c r="Z345" s="10" t="n"/>
      <c r="AA345" s="10" t="n"/>
      <c r="AB345" s="19">
        <f>IF(LEN(A345)&gt;0,1,0)</f>
        <v/>
      </c>
      <c r="AC345" s="19">
        <f>IF(LEN(A345)=0,0,(LEN(B345)=0)+(LEN(C345)=0)+(LEN(D345)=0)+(LEN(E345)=0)+(LEN(F345)=0)+(LEN(G345)=0)+(LEN(H345)=0)+(LEN(I345)=0)+(LEN(J345)=0)+(LEN(K345)=0)+(LEN(L345)=0)+(LEN(N345)=0)+(LEN(O345)=0)+(LEN(P345)=0)+(LEN(R345)=0)+(LEN(AA345)=0))</f>
        <v/>
      </c>
      <c r="AD345" s="19">
        <f>IF(OR(LEN(A345)=0,LEN(C345)=0),0,IF(OR(C345&lt;1,C345&gt;5),1,0))</f>
        <v/>
      </c>
      <c r="AE345" s="19">
        <f>IF(OR(LEN(A345)=0,LEN(R345)=0),0,IF(OR(R345="Active",R345="Paid off",R345="Defaulted",R345="Repossessed",R345="Written off",R345="Restructured"),0,1))</f>
        <v/>
      </c>
      <c r="AF345" s="19">
        <f>IF(A345="",0,IF(N(J345)&gt;N(I345),1,0))</f>
        <v/>
      </c>
      <c r="AG345" s="19">
        <f>IF(A345="",0,IF(N(N345)&gt;N(M345)+1,1,0))</f>
        <v/>
      </c>
      <c r="AH345" s="19">
        <f>IF(A345="",0,IF(N(E345)&gt;N(B345),1,0))</f>
        <v/>
      </c>
      <c r="AI345" s="19">
        <f>IF(A345="",0,IF(AND(Z345="Full payment",N(N345)&lt;N(M345)-1),1,0))</f>
        <v/>
      </c>
      <c r="AJ345" s="19">
        <f>IF(A345="",0,IF(N(P345)&lt;0,1,0))</f>
        <v/>
      </c>
      <c r="AK345" s="19">
        <f>IF(A345="",0,IF(COUNTIF($A$7:$A$1006,A345)&gt;1,1,0))</f>
        <v/>
      </c>
    </row>
    <row r="346">
      <c r="A346" s="10" t="n"/>
      <c r="B346" s="17" t="n"/>
      <c r="C346" s="18" t="n"/>
      <c r="D346" s="10" t="n"/>
      <c r="E346" s="17" t="n"/>
      <c r="F346" s="10" t="n"/>
      <c r="G346" s="10" t="n"/>
      <c r="H346" s="10" t="n"/>
      <c r="I346" s="18" t="n"/>
      <c r="J346" s="18" t="n"/>
      <c r="K346" s="18" t="n"/>
      <c r="L346" s="18" t="n"/>
      <c r="M346" s="19">
        <f>IF(K346="","",K346*365/12*L346)</f>
        <v/>
      </c>
      <c r="N346" s="18" t="n"/>
      <c r="O346" s="18" t="n"/>
      <c r="P346" s="18" t="n"/>
      <c r="Q346" s="18" t="n"/>
      <c r="R346" s="10" t="n"/>
      <c r="S346" s="17" t="n"/>
      <c r="T346" s="18" t="n"/>
      <c r="U346" s="17" t="n"/>
      <c r="V346" s="17" t="n"/>
      <c r="W346" s="18" t="n"/>
      <c r="X346" s="18" t="n"/>
      <c r="Y346" s="17" t="n"/>
      <c r="Z346" s="10" t="n"/>
      <c r="AA346" s="10" t="n"/>
      <c r="AB346" s="19">
        <f>IF(LEN(A346)&gt;0,1,0)</f>
        <v/>
      </c>
      <c r="AC346" s="19">
        <f>IF(LEN(A346)=0,0,(LEN(B346)=0)+(LEN(C346)=0)+(LEN(D346)=0)+(LEN(E346)=0)+(LEN(F346)=0)+(LEN(G346)=0)+(LEN(H346)=0)+(LEN(I346)=0)+(LEN(J346)=0)+(LEN(K346)=0)+(LEN(L346)=0)+(LEN(N346)=0)+(LEN(O346)=0)+(LEN(P346)=0)+(LEN(R346)=0)+(LEN(AA346)=0))</f>
        <v/>
      </c>
      <c r="AD346" s="19">
        <f>IF(OR(LEN(A346)=0,LEN(C346)=0),0,IF(OR(C346&lt;1,C346&gt;5),1,0))</f>
        <v/>
      </c>
      <c r="AE346" s="19">
        <f>IF(OR(LEN(A346)=0,LEN(R346)=0),0,IF(OR(R346="Active",R346="Paid off",R346="Defaulted",R346="Repossessed",R346="Written off",R346="Restructured"),0,1))</f>
        <v/>
      </c>
      <c r="AF346" s="19">
        <f>IF(A346="",0,IF(N(J346)&gt;N(I346),1,0))</f>
        <v/>
      </c>
      <c r="AG346" s="19">
        <f>IF(A346="",0,IF(N(N346)&gt;N(M346)+1,1,0))</f>
        <v/>
      </c>
      <c r="AH346" s="19">
        <f>IF(A346="",0,IF(N(E346)&gt;N(B346),1,0))</f>
        <v/>
      </c>
      <c r="AI346" s="19">
        <f>IF(A346="",0,IF(AND(Z346="Full payment",N(N346)&lt;N(M346)-1),1,0))</f>
        <v/>
      </c>
      <c r="AJ346" s="19">
        <f>IF(A346="",0,IF(N(P346)&lt;0,1,0))</f>
        <v/>
      </c>
      <c r="AK346" s="19">
        <f>IF(A346="",0,IF(COUNTIF($A$7:$A$1006,A346)&gt;1,1,0))</f>
        <v/>
      </c>
    </row>
    <row r="347">
      <c r="A347" s="10" t="n"/>
      <c r="B347" s="17" t="n"/>
      <c r="C347" s="18" t="n"/>
      <c r="D347" s="10" t="n"/>
      <c r="E347" s="17" t="n"/>
      <c r="F347" s="10" t="n"/>
      <c r="G347" s="10" t="n"/>
      <c r="H347" s="10" t="n"/>
      <c r="I347" s="18" t="n"/>
      <c r="J347" s="18" t="n"/>
      <c r="K347" s="18" t="n"/>
      <c r="L347" s="18" t="n"/>
      <c r="M347" s="19">
        <f>IF(K347="","",K347*365/12*L347)</f>
        <v/>
      </c>
      <c r="N347" s="18" t="n"/>
      <c r="O347" s="18" t="n"/>
      <c r="P347" s="18" t="n"/>
      <c r="Q347" s="18" t="n"/>
      <c r="R347" s="10" t="n"/>
      <c r="S347" s="17" t="n"/>
      <c r="T347" s="18" t="n"/>
      <c r="U347" s="17" t="n"/>
      <c r="V347" s="17" t="n"/>
      <c r="W347" s="18" t="n"/>
      <c r="X347" s="18" t="n"/>
      <c r="Y347" s="17" t="n"/>
      <c r="Z347" s="10" t="n"/>
      <c r="AA347" s="10" t="n"/>
      <c r="AB347" s="19">
        <f>IF(LEN(A347)&gt;0,1,0)</f>
        <v/>
      </c>
      <c r="AC347" s="19">
        <f>IF(LEN(A347)=0,0,(LEN(B347)=0)+(LEN(C347)=0)+(LEN(D347)=0)+(LEN(E347)=0)+(LEN(F347)=0)+(LEN(G347)=0)+(LEN(H347)=0)+(LEN(I347)=0)+(LEN(J347)=0)+(LEN(K347)=0)+(LEN(L347)=0)+(LEN(N347)=0)+(LEN(O347)=0)+(LEN(P347)=0)+(LEN(R347)=0)+(LEN(AA347)=0))</f>
        <v/>
      </c>
      <c r="AD347" s="19">
        <f>IF(OR(LEN(A347)=0,LEN(C347)=0),0,IF(OR(C347&lt;1,C347&gt;5),1,0))</f>
        <v/>
      </c>
      <c r="AE347" s="19">
        <f>IF(OR(LEN(A347)=0,LEN(R347)=0),0,IF(OR(R347="Active",R347="Paid off",R347="Defaulted",R347="Repossessed",R347="Written off",R347="Restructured"),0,1))</f>
        <v/>
      </c>
      <c r="AF347" s="19">
        <f>IF(A347="",0,IF(N(J347)&gt;N(I347),1,0))</f>
        <v/>
      </c>
      <c r="AG347" s="19">
        <f>IF(A347="",0,IF(N(N347)&gt;N(M347)+1,1,0))</f>
        <v/>
      </c>
      <c r="AH347" s="19">
        <f>IF(A347="",0,IF(N(E347)&gt;N(B347),1,0))</f>
        <v/>
      </c>
      <c r="AI347" s="19">
        <f>IF(A347="",0,IF(AND(Z347="Full payment",N(N347)&lt;N(M347)-1),1,0))</f>
        <v/>
      </c>
      <c r="AJ347" s="19">
        <f>IF(A347="",0,IF(N(P347)&lt;0,1,0))</f>
        <v/>
      </c>
      <c r="AK347" s="19">
        <f>IF(A347="",0,IF(COUNTIF($A$7:$A$1006,A347)&gt;1,1,0))</f>
        <v/>
      </c>
    </row>
    <row r="348">
      <c r="A348" s="10" t="n"/>
      <c r="B348" s="17" t="n"/>
      <c r="C348" s="18" t="n"/>
      <c r="D348" s="10" t="n"/>
      <c r="E348" s="17" t="n"/>
      <c r="F348" s="10" t="n"/>
      <c r="G348" s="10" t="n"/>
      <c r="H348" s="10" t="n"/>
      <c r="I348" s="18" t="n"/>
      <c r="J348" s="18" t="n"/>
      <c r="K348" s="18" t="n"/>
      <c r="L348" s="18" t="n"/>
      <c r="M348" s="19">
        <f>IF(K348="","",K348*365/12*L348)</f>
        <v/>
      </c>
      <c r="N348" s="18" t="n"/>
      <c r="O348" s="18" t="n"/>
      <c r="P348" s="18" t="n"/>
      <c r="Q348" s="18" t="n"/>
      <c r="R348" s="10" t="n"/>
      <c r="S348" s="17" t="n"/>
      <c r="T348" s="18" t="n"/>
      <c r="U348" s="17" t="n"/>
      <c r="V348" s="17" t="n"/>
      <c r="W348" s="18" t="n"/>
      <c r="X348" s="18" t="n"/>
      <c r="Y348" s="17" t="n"/>
      <c r="Z348" s="10" t="n"/>
      <c r="AA348" s="10" t="n"/>
      <c r="AB348" s="19">
        <f>IF(LEN(A348)&gt;0,1,0)</f>
        <v/>
      </c>
      <c r="AC348" s="19">
        <f>IF(LEN(A348)=0,0,(LEN(B348)=0)+(LEN(C348)=0)+(LEN(D348)=0)+(LEN(E348)=0)+(LEN(F348)=0)+(LEN(G348)=0)+(LEN(H348)=0)+(LEN(I348)=0)+(LEN(J348)=0)+(LEN(K348)=0)+(LEN(L348)=0)+(LEN(N348)=0)+(LEN(O348)=0)+(LEN(P348)=0)+(LEN(R348)=0)+(LEN(AA348)=0))</f>
        <v/>
      </c>
      <c r="AD348" s="19">
        <f>IF(OR(LEN(A348)=0,LEN(C348)=0),0,IF(OR(C348&lt;1,C348&gt;5),1,0))</f>
        <v/>
      </c>
      <c r="AE348" s="19">
        <f>IF(OR(LEN(A348)=0,LEN(R348)=0),0,IF(OR(R348="Active",R348="Paid off",R348="Defaulted",R348="Repossessed",R348="Written off",R348="Restructured"),0,1))</f>
        <v/>
      </c>
      <c r="AF348" s="19">
        <f>IF(A348="",0,IF(N(J348)&gt;N(I348),1,0))</f>
        <v/>
      </c>
      <c r="AG348" s="19">
        <f>IF(A348="",0,IF(N(N348)&gt;N(M348)+1,1,0))</f>
        <v/>
      </c>
      <c r="AH348" s="19">
        <f>IF(A348="",0,IF(N(E348)&gt;N(B348),1,0))</f>
        <v/>
      </c>
      <c r="AI348" s="19">
        <f>IF(A348="",0,IF(AND(Z348="Full payment",N(N348)&lt;N(M348)-1),1,0))</f>
        <v/>
      </c>
      <c r="AJ348" s="19">
        <f>IF(A348="",0,IF(N(P348)&lt;0,1,0))</f>
        <v/>
      </c>
      <c r="AK348" s="19">
        <f>IF(A348="",0,IF(COUNTIF($A$7:$A$1006,A348)&gt;1,1,0))</f>
        <v/>
      </c>
    </row>
    <row r="349">
      <c r="A349" s="10" t="n"/>
      <c r="B349" s="17" t="n"/>
      <c r="C349" s="18" t="n"/>
      <c r="D349" s="10" t="n"/>
      <c r="E349" s="17" t="n"/>
      <c r="F349" s="10" t="n"/>
      <c r="G349" s="10" t="n"/>
      <c r="H349" s="10" t="n"/>
      <c r="I349" s="18" t="n"/>
      <c r="J349" s="18" t="n"/>
      <c r="K349" s="18" t="n"/>
      <c r="L349" s="18" t="n"/>
      <c r="M349" s="19">
        <f>IF(K349="","",K349*365/12*L349)</f>
        <v/>
      </c>
      <c r="N349" s="18" t="n"/>
      <c r="O349" s="18" t="n"/>
      <c r="P349" s="18" t="n"/>
      <c r="Q349" s="18" t="n"/>
      <c r="R349" s="10" t="n"/>
      <c r="S349" s="17" t="n"/>
      <c r="T349" s="18" t="n"/>
      <c r="U349" s="17" t="n"/>
      <c r="V349" s="17" t="n"/>
      <c r="W349" s="18" t="n"/>
      <c r="X349" s="18" t="n"/>
      <c r="Y349" s="17" t="n"/>
      <c r="Z349" s="10" t="n"/>
      <c r="AA349" s="10" t="n"/>
      <c r="AB349" s="19">
        <f>IF(LEN(A349)&gt;0,1,0)</f>
        <v/>
      </c>
      <c r="AC349" s="19">
        <f>IF(LEN(A349)=0,0,(LEN(B349)=0)+(LEN(C349)=0)+(LEN(D349)=0)+(LEN(E349)=0)+(LEN(F349)=0)+(LEN(G349)=0)+(LEN(H349)=0)+(LEN(I349)=0)+(LEN(J349)=0)+(LEN(K349)=0)+(LEN(L349)=0)+(LEN(N349)=0)+(LEN(O349)=0)+(LEN(P349)=0)+(LEN(R349)=0)+(LEN(AA349)=0))</f>
        <v/>
      </c>
      <c r="AD349" s="19">
        <f>IF(OR(LEN(A349)=0,LEN(C349)=0),0,IF(OR(C349&lt;1,C349&gt;5),1,0))</f>
        <v/>
      </c>
      <c r="AE349" s="19">
        <f>IF(OR(LEN(A349)=0,LEN(R349)=0),0,IF(OR(R349="Active",R349="Paid off",R349="Defaulted",R349="Repossessed",R349="Written off",R349="Restructured"),0,1))</f>
        <v/>
      </c>
      <c r="AF349" s="19">
        <f>IF(A349="",0,IF(N(J349)&gt;N(I349),1,0))</f>
        <v/>
      </c>
      <c r="AG349" s="19">
        <f>IF(A349="",0,IF(N(N349)&gt;N(M349)+1,1,0))</f>
        <v/>
      </c>
      <c r="AH349" s="19">
        <f>IF(A349="",0,IF(N(E349)&gt;N(B349),1,0))</f>
        <v/>
      </c>
      <c r="AI349" s="19">
        <f>IF(A349="",0,IF(AND(Z349="Full payment",N(N349)&lt;N(M349)-1),1,0))</f>
        <v/>
      </c>
      <c r="AJ349" s="19">
        <f>IF(A349="",0,IF(N(P349)&lt;0,1,0))</f>
        <v/>
      </c>
      <c r="AK349" s="19">
        <f>IF(A349="",0,IF(COUNTIF($A$7:$A$1006,A349)&gt;1,1,0))</f>
        <v/>
      </c>
    </row>
    <row r="350">
      <c r="A350" s="10" t="n"/>
      <c r="B350" s="17" t="n"/>
      <c r="C350" s="18" t="n"/>
      <c r="D350" s="10" t="n"/>
      <c r="E350" s="17" t="n"/>
      <c r="F350" s="10" t="n"/>
      <c r="G350" s="10" t="n"/>
      <c r="H350" s="10" t="n"/>
      <c r="I350" s="18" t="n"/>
      <c r="J350" s="18" t="n"/>
      <c r="K350" s="18" t="n"/>
      <c r="L350" s="18" t="n"/>
      <c r="M350" s="19">
        <f>IF(K350="","",K350*365/12*L350)</f>
        <v/>
      </c>
      <c r="N350" s="18" t="n"/>
      <c r="O350" s="18" t="n"/>
      <c r="P350" s="18" t="n"/>
      <c r="Q350" s="18" t="n"/>
      <c r="R350" s="10" t="n"/>
      <c r="S350" s="17" t="n"/>
      <c r="T350" s="18" t="n"/>
      <c r="U350" s="17" t="n"/>
      <c r="V350" s="17" t="n"/>
      <c r="W350" s="18" t="n"/>
      <c r="X350" s="18" t="n"/>
      <c r="Y350" s="17" t="n"/>
      <c r="Z350" s="10" t="n"/>
      <c r="AA350" s="10" t="n"/>
      <c r="AB350" s="19">
        <f>IF(LEN(A350)&gt;0,1,0)</f>
        <v/>
      </c>
      <c r="AC350" s="19">
        <f>IF(LEN(A350)=0,0,(LEN(B350)=0)+(LEN(C350)=0)+(LEN(D350)=0)+(LEN(E350)=0)+(LEN(F350)=0)+(LEN(G350)=0)+(LEN(H350)=0)+(LEN(I350)=0)+(LEN(J350)=0)+(LEN(K350)=0)+(LEN(L350)=0)+(LEN(N350)=0)+(LEN(O350)=0)+(LEN(P350)=0)+(LEN(R350)=0)+(LEN(AA350)=0))</f>
        <v/>
      </c>
      <c r="AD350" s="19">
        <f>IF(OR(LEN(A350)=0,LEN(C350)=0),0,IF(OR(C350&lt;1,C350&gt;5),1,0))</f>
        <v/>
      </c>
      <c r="AE350" s="19">
        <f>IF(OR(LEN(A350)=0,LEN(R350)=0),0,IF(OR(R350="Active",R350="Paid off",R350="Defaulted",R350="Repossessed",R350="Written off",R350="Restructured"),0,1))</f>
        <v/>
      </c>
      <c r="AF350" s="19">
        <f>IF(A350="",0,IF(N(J350)&gt;N(I350),1,0))</f>
        <v/>
      </c>
      <c r="AG350" s="19">
        <f>IF(A350="",0,IF(N(N350)&gt;N(M350)+1,1,0))</f>
        <v/>
      </c>
      <c r="AH350" s="19">
        <f>IF(A350="",0,IF(N(E350)&gt;N(B350),1,0))</f>
        <v/>
      </c>
      <c r="AI350" s="19">
        <f>IF(A350="",0,IF(AND(Z350="Full payment",N(N350)&lt;N(M350)-1),1,0))</f>
        <v/>
      </c>
      <c r="AJ350" s="19">
        <f>IF(A350="",0,IF(N(P350)&lt;0,1,0))</f>
        <v/>
      </c>
      <c r="AK350" s="19">
        <f>IF(A350="",0,IF(COUNTIF($A$7:$A$1006,A350)&gt;1,1,0))</f>
        <v/>
      </c>
    </row>
    <row r="351">
      <c r="A351" s="10" t="n"/>
      <c r="B351" s="17" t="n"/>
      <c r="C351" s="18" t="n"/>
      <c r="D351" s="10" t="n"/>
      <c r="E351" s="17" t="n"/>
      <c r="F351" s="10" t="n"/>
      <c r="G351" s="10" t="n"/>
      <c r="H351" s="10" t="n"/>
      <c r="I351" s="18" t="n"/>
      <c r="J351" s="18" t="n"/>
      <c r="K351" s="18" t="n"/>
      <c r="L351" s="18" t="n"/>
      <c r="M351" s="19">
        <f>IF(K351="","",K351*365/12*L351)</f>
        <v/>
      </c>
      <c r="N351" s="18" t="n"/>
      <c r="O351" s="18" t="n"/>
      <c r="P351" s="18" t="n"/>
      <c r="Q351" s="18" t="n"/>
      <c r="R351" s="10" t="n"/>
      <c r="S351" s="17" t="n"/>
      <c r="T351" s="18" t="n"/>
      <c r="U351" s="17" t="n"/>
      <c r="V351" s="17" t="n"/>
      <c r="W351" s="18" t="n"/>
      <c r="X351" s="18" t="n"/>
      <c r="Y351" s="17" t="n"/>
      <c r="Z351" s="10" t="n"/>
      <c r="AA351" s="10" t="n"/>
      <c r="AB351" s="19">
        <f>IF(LEN(A351)&gt;0,1,0)</f>
        <v/>
      </c>
      <c r="AC351" s="19">
        <f>IF(LEN(A351)=0,0,(LEN(B351)=0)+(LEN(C351)=0)+(LEN(D351)=0)+(LEN(E351)=0)+(LEN(F351)=0)+(LEN(G351)=0)+(LEN(H351)=0)+(LEN(I351)=0)+(LEN(J351)=0)+(LEN(K351)=0)+(LEN(L351)=0)+(LEN(N351)=0)+(LEN(O351)=0)+(LEN(P351)=0)+(LEN(R351)=0)+(LEN(AA351)=0))</f>
        <v/>
      </c>
      <c r="AD351" s="19">
        <f>IF(OR(LEN(A351)=0,LEN(C351)=0),0,IF(OR(C351&lt;1,C351&gt;5),1,0))</f>
        <v/>
      </c>
      <c r="AE351" s="19">
        <f>IF(OR(LEN(A351)=0,LEN(R351)=0),0,IF(OR(R351="Active",R351="Paid off",R351="Defaulted",R351="Repossessed",R351="Written off",R351="Restructured"),0,1))</f>
        <v/>
      </c>
      <c r="AF351" s="19">
        <f>IF(A351="",0,IF(N(J351)&gt;N(I351),1,0))</f>
        <v/>
      </c>
      <c r="AG351" s="19">
        <f>IF(A351="",0,IF(N(N351)&gt;N(M351)+1,1,0))</f>
        <v/>
      </c>
      <c r="AH351" s="19">
        <f>IF(A351="",0,IF(N(E351)&gt;N(B351),1,0))</f>
        <v/>
      </c>
      <c r="AI351" s="19">
        <f>IF(A351="",0,IF(AND(Z351="Full payment",N(N351)&lt;N(M351)-1),1,0))</f>
        <v/>
      </c>
      <c r="AJ351" s="19">
        <f>IF(A351="",0,IF(N(P351)&lt;0,1,0))</f>
        <v/>
      </c>
      <c r="AK351" s="19">
        <f>IF(A351="",0,IF(COUNTIF($A$7:$A$1006,A351)&gt;1,1,0))</f>
        <v/>
      </c>
    </row>
    <row r="352">
      <c r="A352" s="10" t="n"/>
      <c r="B352" s="17" t="n"/>
      <c r="C352" s="18" t="n"/>
      <c r="D352" s="10" t="n"/>
      <c r="E352" s="17" t="n"/>
      <c r="F352" s="10" t="n"/>
      <c r="G352" s="10" t="n"/>
      <c r="H352" s="10" t="n"/>
      <c r="I352" s="18" t="n"/>
      <c r="J352" s="18" t="n"/>
      <c r="K352" s="18" t="n"/>
      <c r="L352" s="18" t="n"/>
      <c r="M352" s="19">
        <f>IF(K352="","",K352*365/12*L352)</f>
        <v/>
      </c>
      <c r="N352" s="18" t="n"/>
      <c r="O352" s="18" t="n"/>
      <c r="P352" s="18" t="n"/>
      <c r="Q352" s="18" t="n"/>
      <c r="R352" s="10" t="n"/>
      <c r="S352" s="17" t="n"/>
      <c r="T352" s="18" t="n"/>
      <c r="U352" s="17" t="n"/>
      <c r="V352" s="17" t="n"/>
      <c r="W352" s="18" t="n"/>
      <c r="X352" s="18" t="n"/>
      <c r="Y352" s="17" t="n"/>
      <c r="Z352" s="10" t="n"/>
      <c r="AA352" s="10" t="n"/>
      <c r="AB352" s="19">
        <f>IF(LEN(A352)&gt;0,1,0)</f>
        <v/>
      </c>
      <c r="AC352" s="19">
        <f>IF(LEN(A352)=0,0,(LEN(B352)=0)+(LEN(C352)=0)+(LEN(D352)=0)+(LEN(E352)=0)+(LEN(F352)=0)+(LEN(G352)=0)+(LEN(H352)=0)+(LEN(I352)=0)+(LEN(J352)=0)+(LEN(K352)=0)+(LEN(L352)=0)+(LEN(N352)=0)+(LEN(O352)=0)+(LEN(P352)=0)+(LEN(R352)=0)+(LEN(AA352)=0))</f>
        <v/>
      </c>
      <c r="AD352" s="19">
        <f>IF(OR(LEN(A352)=0,LEN(C352)=0),0,IF(OR(C352&lt;1,C352&gt;5),1,0))</f>
        <v/>
      </c>
      <c r="AE352" s="19">
        <f>IF(OR(LEN(A352)=0,LEN(R352)=0),0,IF(OR(R352="Active",R352="Paid off",R352="Defaulted",R352="Repossessed",R352="Written off",R352="Restructured"),0,1))</f>
        <v/>
      </c>
      <c r="AF352" s="19">
        <f>IF(A352="",0,IF(N(J352)&gt;N(I352),1,0))</f>
        <v/>
      </c>
      <c r="AG352" s="19">
        <f>IF(A352="",0,IF(N(N352)&gt;N(M352)+1,1,0))</f>
        <v/>
      </c>
      <c r="AH352" s="19">
        <f>IF(A352="",0,IF(N(E352)&gt;N(B352),1,0))</f>
        <v/>
      </c>
      <c r="AI352" s="19">
        <f>IF(A352="",0,IF(AND(Z352="Full payment",N(N352)&lt;N(M352)-1),1,0))</f>
        <v/>
      </c>
      <c r="AJ352" s="19">
        <f>IF(A352="",0,IF(N(P352)&lt;0,1,0))</f>
        <v/>
      </c>
      <c r="AK352" s="19">
        <f>IF(A352="",0,IF(COUNTIF($A$7:$A$1006,A352)&gt;1,1,0))</f>
        <v/>
      </c>
    </row>
    <row r="353">
      <c r="A353" s="10" t="n"/>
      <c r="B353" s="17" t="n"/>
      <c r="C353" s="18" t="n"/>
      <c r="D353" s="10" t="n"/>
      <c r="E353" s="17" t="n"/>
      <c r="F353" s="10" t="n"/>
      <c r="G353" s="10" t="n"/>
      <c r="H353" s="10" t="n"/>
      <c r="I353" s="18" t="n"/>
      <c r="J353" s="18" t="n"/>
      <c r="K353" s="18" t="n"/>
      <c r="L353" s="18" t="n"/>
      <c r="M353" s="19">
        <f>IF(K353="","",K353*365/12*L353)</f>
        <v/>
      </c>
      <c r="N353" s="18" t="n"/>
      <c r="O353" s="18" t="n"/>
      <c r="P353" s="18" t="n"/>
      <c r="Q353" s="18" t="n"/>
      <c r="R353" s="10" t="n"/>
      <c r="S353" s="17" t="n"/>
      <c r="T353" s="18" t="n"/>
      <c r="U353" s="17" t="n"/>
      <c r="V353" s="17" t="n"/>
      <c r="W353" s="18" t="n"/>
      <c r="X353" s="18" t="n"/>
      <c r="Y353" s="17" t="n"/>
      <c r="Z353" s="10" t="n"/>
      <c r="AA353" s="10" t="n"/>
      <c r="AB353" s="19">
        <f>IF(LEN(A353)&gt;0,1,0)</f>
        <v/>
      </c>
      <c r="AC353" s="19">
        <f>IF(LEN(A353)=0,0,(LEN(B353)=0)+(LEN(C353)=0)+(LEN(D353)=0)+(LEN(E353)=0)+(LEN(F353)=0)+(LEN(G353)=0)+(LEN(H353)=0)+(LEN(I353)=0)+(LEN(J353)=0)+(LEN(K353)=0)+(LEN(L353)=0)+(LEN(N353)=0)+(LEN(O353)=0)+(LEN(P353)=0)+(LEN(R353)=0)+(LEN(AA353)=0))</f>
        <v/>
      </c>
      <c r="AD353" s="19">
        <f>IF(OR(LEN(A353)=0,LEN(C353)=0),0,IF(OR(C353&lt;1,C353&gt;5),1,0))</f>
        <v/>
      </c>
      <c r="AE353" s="19">
        <f>IF(OR(LEN(A353)=0,LEN(R353)=0),0,IF(OR(R353="Active",R353="Paid off",R353="Defaulted",R353="Repossessed",R353="Written off",R353="Restructured"),0,1))</f>
        <v/>
      </c>
      <c r="AF353" s="19">
        <f>IF(A353="",0,IF(N(J353)&gt;N(I353),1,0))</f>
        <v/>
      </c>
      <c r="AG353" s="19">
        <f>IF(A353="",0,IF(N(N353)&gt;N(M353)+1,1,0))</f>
        <v/>
      </c>
      <c r="AH353" s="19">
        <f>IF(A353="",0,IF(N(E353)&gt;N(B353),1,0))</f>
        <v/>
      </c>
      <c r="AI353" s="19">
        <f>IF(A353="",0,IF(AND(Z353="Full payment",N(N353)&lt;N(M353)-1),1,0))</f>
        <v/>
      </c>
      <c r="AJ353" s="19">
        <f>IF(A353="",0,IF(N(P353)&lt;0,1,0))</f>
        <v/>
      </c>
      <c r="AK353" s="19">
        <f>IF(A353="",0,IF(COUNTIF($A$7:$A$1006,A353)&gt;1,1,0))</f>
        <v/>
      </c>
    </row>
    <row r="354">
      <c r="A354" s="10" t="n"/>
      <c r="B354" s="17" t="n"/>
      <c r="C354" s="18" t="n"/>
      <c r="D354" s="10" t="n"/>
      <c r="E354" s="17" t="n"/>
      <c r="F354" s="10" t="n"/>
      <c r="G354" s="10" t="n"/>
      <c r="H354" s="10" t="n"/>
      <c r="I354" s="18" t="n"/>
      <c r="J354" s="18" t="n"/>
      <c r="K354" s="18" t="n"/>
      <c r="L354" s="18" t="n"/>
      <c r="M354" s="19">
        <f>IF(K354="","",K354*365/12*L354)</f>
        <v/>
      </c>
      <c r="N354" s="18" t="n"/>
      <c r="O354" s="18" t="n"/>
      <c r="P354" s="18" t="n"/>
      <c r="Q354" s="18" t="n"/>
      <c r="R354" s="10" t="n"/>
      <c r="S354" s="17" t="n"/>
      <c r="T354" s="18" t="n"/>
      <c r="U354" s="17" t="n"/>
      <c r="V354" s="17" t="n"/>
      <c r="W354" s="18" t="n"/>
      <c r="X354" s="18" t="n"/>
      <c r="Y354" s="17" t="n"/>
      <c r="Z354" s="10" t="n"/>
      <c r="AA354" s="10" t="n"/>
      <c r="AB354" s="19">
        <f>IF(LEN(A354)&gt;0,1,0)</f>
        <v/>
      </c>
      <c r="AC354" s="19">
        <f>IF(LEN(A354)=0,0,(LEN(B354)=0)+(LEN(C354)=0)+(LEN(D354)=0)+(LEN(E354)=0)+(LEN(F354)=0)+(LEN(G354)=0)+(LEN(H354)=0)+(LEN(I354)=0)+(LEN(J354)=0)+(LEN(K354)=0)+(LEN(L354)=0)+(LEN(N354)=0)+(LEN(O354)=0)+(LEN(P354)=0)+(LEN(R354)=0)+(LEN(AA354)=0))</f>
        <v/>
      </c>
      <c r="AD354" s="19">
        <f>IF(OR(LEN(A354)=0,LEN(C354)=0),0,IF(OR(C354&lt;1,C354&gt;5),1,0))</f>
        <v/>
      </c>
      <c r="AE354" s="19">
        <f>IF(OR(LEN(A354)=0,LEN(R354)=0),0,IF(OR(R354="Active",R354="Paid off",R354="Defaulted",R354="Repossessed",R354="Written off",R354="Restructured"),0,1))</f>
        <v/>
      </c>
      <c r="AF354" s="19">
        <f>IF(A354="",0,IF(N(J354)&gt;N(I354),1,0))</f>
        <v/>
      </c>
      <c r="AG354" s="19">
        <f>IF(A354="",0,IF(N(N354)&gt;N(M354)+1,1,0))</f>
        <v/>
      </c>
      <c r="AH354" s="19">
        <f>IF(A354="",0,IF(N(E354)&gt;N(B354),1,0))</f>
        <v/>
      </c>
      <c r="AI354" s="19">
        <f>IF(A354="",0,IF(AND(Z354="Full payment",N(N354)&lt;N(M354)-1),1,0))</f>
        <v/>
      </c>
      <c r="AJ354" s="19">
        <f>IF(A354="",0,IF(N(P354)&lt;0,1,0))</f>
        <v/>
      </c>
      <c r="AK354" s="19">
        <f>IF(A354="",0,IF(COUNTIF($A$7:$A$1006,A354)&gt;1,1,0))</f>
        <v/>
      </c>
    </row>
    <row r="355">
      <c r="A355" s="10" t="n"/>
      <c r="B355" s="17" t="n"/>
      <c r="C355" s="18" t="n"/>
      <c r="D355" s="10" t="n"/>
      <c r="E355" s="17" t="n"/>
      <c r="F355" s="10" t="n"/>
      <c r="G355" s="10" t="n"/>
      <c r="H355" s="10" t="n"/>
      <c r="I355" s="18" t="n"/>
      <c r="J355" s="18" t="n"/>
      <c r="K355" s="18" t="n"/>
      <c r="L355" s="18" t="n"/>
      <c r="M355" s="19">
        <f>IF(K355="","",K355*365/12*L355)</f>
        <v/>
      </c>
      <c r="N355" s="18" t="n"/>
      <c r="O355" s="18" t="n"/>
      <c r="P355" s="18" t="n"/>
      <c r="Q355" s="18" t="n"/>
      <c r="R355" s="10" t="n"/>
      <c r="S355" s="17" t="n"/>
      <c r="T355" s="18" t="n"/>
      <c r="U355" s="17" t="n"/>
      <c r="V355" s="17" t="n"/>
      <c r="W355" s="18" t="n"/>
      <c r="X355" s="18" t="n"/>
      <c r="Y355" s="17" t="n"/>
      <c r="Z355" s="10" t="n"/>
      <c r="AA355" s="10" t="n"/>
      <c r="AB355" s="19">
        <f>IF(LEN(A355)&gt;0,1,0)</f>
        <v/>
      </c>
      <c r="AC355" s="19">
        <f>IF(LEN(A355)=0,0,(LEN(B355)=0)+(LEN(C355)=0)+(LEN(D355)=0)+(LEN(E355)=0)+(LEN(F355)=0)+(LEN(G355)=0)+(LEN(H355)=0)+(LEN(I355)=0)+(LEN(J355)=0)+(LEN(K355)=0)+(LEN(L355)=0)+(LEN(N355)=0)+(LEN(O355)=0)+(LEN(P355)=0)+(LEN(R355)=0)+(LEN(AA355)=0))</f>
        <v/>
      </c>
      <c r="AD355" s="19">
        <f>IF(OR(LEN(A355)=0,LEN(C355)=0),0,IF(OR(C355&lt;1,C355&gt;5),1,0))</f>
        <v/>
      </c>
      <c r="AE355" s="19">
        <f>IF(OR(LEN(A355)=0,LEN(R355)=0),0,IF(OR(R355="Active",R355="Paid off",R355="Defaulted",R355="Repossessed",R355="Written off",R355="Restructured"),0,1))</f>
        <v/>
      </c>
      <c r="AF355" s="19">
        <f>IF(A355="",0,IF(N(J355)&gt;N(I355),1,0))</f>
        <v/>
      </c>
      <c r="AG355" s="19">
        <f>IF(A355="",0,IF(N(N355)&gt;N(M355)+1,1,0))</f>
        <v/>
      </c>
      <c r="AH355" s="19">
        <f>IF(A355="",0,IF(N(E355)&gt;N(B355),1,0))</f>
        <v/>
      </c>
      <c r="AI355" s="19">
        <f>IF(A355="",0,IF(AND(Z355="Full payment",N(N355)&lt;N(M355)-1),1,0))</f>
        <v/>
      </c>
      <c r="AJ355" s="19">
        <f>IF(A355="",0,IF(N(P355)&lt;0,1,0))</f>
        <v/>
      </c>
      <c r="AK355" s="19">
        <f>IF(A355="",0,IF(COUNTIF($A$7:$A$1006,A355)&gt;1,1,0))</f>
        <v/>
      </c>
    </row>
    <row r="356">
      <c r="A356" s="10" t="n"/>
      <c r="B356" s="17" t="n"/>
      <c r="C356" s="18" t="n"/>
      <c r="D356" s="10" t="n"/>
      <c r="E356" s="17" t="n"/>
      <c r="F356" s="10" t="n"/>
      <c r="G356" s="10" t="n"/>
      <c r="H356" s="10" t="n"/>
      <c r="I356" s="18" t="n"/>
      <c r="J356" s="18" t="n"/>
      <c r="K356" s="18" t="n"/>
      <c r="L356" s="18" t="n"/>
      <c r="M356" s="19">
        <f>IF(K356="","",K356*365/12*L356)</f>
        <v/>
      </c>
      <c r="N356" s="18" t="n"/>
      <c r="O356" s="18" t="n"/>
      <c r="P356" s="18" t="n"/>
      <c r="Q356" s="18" t="n"/>
      <c r="R356" s="10" t="n"/>
      <c r="S356" s="17" t="n"/>
      <c r="T356" s="18" t="n"/>
      <c r="U356" s="17" t="n"/>
      <c r="V356" s="17" t="n"/>
      <c r="W356" s="18" t="n"/>
      <c r="X356" s="18" t="n"/>
      <c r="Y356" s="17" t="n"/>
      <c r="Z356" s="10" t="n"/>
      <c r="AA356" s="10" t="n"/>
      <c r="AB356" s="19">
        <f>IF(LEN(A356)&gt;0,1,0)</f>
        <v/>
      </c>
      <c r="AC356" s="19">
        <f>IF(LEN(A356)=0,0,(LEN(B356)=0)+(LEN(C356)=0)+(LEN(D356)=0)+(LEN(E356)=0)+(LEN(F356)=0)+(LEN(G356)=0)+(LEN(H356)=0)+(LEN(I356)=0)+(LEN(J356)=0)+(LEN(K356)=0)+(LEN(L356)=0)+(LEN(N356)=0)+(LEN(O356)=0)+(LEN(P356)=0)+(LEN(R356)=0)+(LEN(AA356)=0))</f>
        <v/>
      </c>
      <c r="AD356" s="19">
        <f>IF(OR(LEN(A356)=0,LEN(C356)=0),0,IF(OR(C356&lt;1,C356&gt;5),1,0))</f>
        <v/>
      </c>
      <c r="AE356" s="19">
        <f>IF(OR(LEN(A356)=0,LEN(R356)=0),0,IF(OR(R356="Active",R356="Paid off",R356="Defaulted",R356="Repossessed",R356="Written off",R356="Restructured"),0,1))</f>
        <v/>
      </c>
      <c r="AF356" s="19">
        <f>IF(A356="",0,IF(N(J356)&gt;N(I356),1,0))</f>
        <v/>
      </c>
      <c r="AG356" s="19">
        <f>IF(A356="",0,IF(N(N356)&gt;N(M356)+1,1,0))</f>
        <v/>
      </c>
      <c r="AH356" s="19">
        <f>IF(A356="",0,IF(N(E356)&gt;N(B356),1,0))</f>
        <v/>
      </c>
      <c r="AI356" s="19">
        <f>IF(A356="",0,IF(AND(Z356="Full payment",N(N356)&lt;N(M356)-1),1,0))</f>
        <v/>
      </c>
      <c r="AJ356" s="19">
        <f>IF(A356="",0,IF(N(P356)&lt;0,1,0))</f>
        <v/>
      </c>
      <c r="AK356" s="19">
        <f>IF(A356="",0,IF(COUNTIF($A$7:$A$1006,A356)&gt;1,1,0))</f>
        <v/>
      </c>
    </row>
    <row r="357">
      <c r="A357" s="10" t="n"/>
      <c r="B357" s="17" t="n"/>
      <c r="C357" s="18" t="n"/>
      <c r="D357" s="10" t="n"/>
      <c r="E357" s="17" t="n"/>
      <c r="F357" s="10" t="n"/>
      <c r="G357" s="10" t="n"/>
      <c r="H357" s="10" t="n"/>
      <c r="I357" s="18" t="n"/>
      <c r="J357" s="18" t="n"/>
      <c r="K357" s="18" t="n"/>
      <c r="L357" s="18" t="n"/>
      <c r="M357" s="19">
        <f>IF(K357="","",K357*365/12*L357)</f>
        <v/>
      </c>
      <c r="N357" s="18" t="n"/>
      <c r="O357" s="18" t="n"/>
      <c r="P357" s="18" t="n"/>
      <c r="Q357" s="18" t="n"/>
      <c r="R357" s="10" t="n"/>
      <c r="S357" s="17" t="n"/>
      <c r="T357" s="18" t="n"/>
      <c r="U357" s="17" t="n"/>
      <c r="V357" s="17" t="n"/>
      <c r="W357" s="18" t="n"/>
      <c r="X357" s="18" t="n"/>
      <c r="Y357" s="17" t="n"/>
      <c r="Z357" s="10" t="n"/>
      <c r="AA357" s="10" t="n"/>
      <c r="AB357" s="19">
        <f>IF(LEN(A357)&gt;0,1,0)</f>
        <v/>
      </c>
      <c r="AC357" s="19">
        <f>IF(LEN(A357)=0,0,(LEN(B357)=0)+(LEN(C357)=0)+(LEN(D357)=0)+(LEN(E357)=0)+(LEN(F357)=0)+(LEN(G357)=0)+(LEN(H357)=0)+(LEN(I357)=0)+(LEN(J357)=0)+(LEN(K357)=0)+(LEN(L357)=0)+(LEN(N357)=0)+(LEN(O357)=0)+(LEN(P357)=0)+(LEN(R357)=0)+(LEN(AA357)=0))</f>
        <v/>
      </c>
      <c r="AD357" s="19">
        <f>IF(OR(LEN(A357)=0,LEN(C357)=0),0,IF(OR(C357&lt;1,C357&gt;5),1,0))</f>
        <v/>
      </c>
      <c r="AE357" s="19">
        <f>IF(OR(LEN(A357)=0,LEN(R357)=0),0,IF(OR(R357="Active",R357="Paid off",R357="Defaulted",R357="Repossessed",R357="Written off",R357="Restructured"),0,1))</f>
        <v/>
      </c>
      <c r="AF357" s="19">
        <f>IF(A357="",0,IF(N(J357)&gt;N(I357),1,0))</f>
        <v/>
      </c>
      <c r="AG357" s="19">
        <f>IF(A357="",0,IF(N(N357)&gt;N(M357)+1,1,0))</f>
        <v/>
      </c>
      <c r="AH357" s="19">
        <f>IF(A357="",0,IF(N(E357)&gt;N(B357),1,0))</f>
        <v/>
      </c>
      <c r="AI357" s="19">
        <f>IF(A357="",0,IF(AND(Z357="Full payment",N(N357)&lt;N(M357)-1),1,0))</f>
        <v/>
      </c>
      <c r="AJ357" s="19">
        <f>IF(A357="",0,IF(N(P357)&lt;0,1,0))</f>
        <v/>
      </c>
      <c r="AK357" s="19">
        <f>IF(A357="",0,IF(COUNTIF($A$7:$A$1006,A357)&gt;1,1,0))</f>
        <v/>
      </c>
    </row>
    <row r="358">
      <c r="A358" s="10" t="n"/>
      <c r="B358" s="17" t="n"/>
      <c r="C358" s="18" t="n"/>
      <c r="D358" s="10" t="n"/>
      <c r="E358" s="17" t="n"/>
      <c r="F358" s="10" t="n"/>
      <c r="G358" s="10" t="n"/>
      <c r="H358" s="10" t="n"/>
      <c r="I358" s="18" t="n"/>
      <c r="J358" s="18" t="n"/>
      <c r="K358" s="18" t="n"/>
      <c r="L358" s="18" t="n"/>
      <c r="M358" s="19">
        <f>IF(K358="","",K358*365/12*L358)</f>
        <v/>
      </c>
      <c r="N358" s="18" t="n"/>
      <c r="O358" s="18" t="n"/>
      <c r="P358" s="18" t="n"/>
      <c r="Q358" s="18" t="n"/>
      <c r="R358" s="10" t="n"/>
      <c r="S358" s="17" t="n"/>
      <c r="T358" s="18" t="n"/>
      <c r="U358" s="17" t="n"/>
      <c r="V358" s="17" t="n"/>
      <c r="W358" s="18" t="n"/>
      <c r="X358" s="18" t="n"/>
      <c r="Y358" s="17" t="n"/>
      <c r="Z358" s="10" t="n"/>
      <c r="AA358" s="10" t="n"/>
      <c r="AB358" s="19">
        <f>IF(LEN(A358)&gt;0,1,0)</f>
        <v/>
      </c>
      <c r="AC358" s="19">
        <f>IF(LEN(A358)=0,0,(LEN(B358)=0)+(LEN(C358)=0)+(LEN(D358)=0)+(LEN(E358)=0)+(LEN(F358)=0)+(LEN(G358)=0)+(LEN(H358)=0)+(LEN(I358)=0)+(LEN(J358)=0)+(LEN(K358)=0)+(LEN(L358)=0)+(LEN(N358)=0)+(LEN(O358)=0)+(LEN(P358)=0)+(LEN(R358)=0)+(LEN(AA358)=0))</f>
        <v/>
      </c>
      <c r="AD358" s="19">
        <f>IF(OR(LEN(A358)=0,LEN(C358)=0),0,IF(OR(C358&lt;1,C358&gt;5),1,0))</f>
        <v/>
      </c>
      <c r="AE358" s="19">
        <f>IF(OR(LEN(A358)=0,LEN(R358)=0),0,IF(OR(R358="Active",R358="Paid off",R358="Defaulted",R358="Repossessed",R358="Written off",R358="Restructured"),0,1))</f>
        <v/>
      </c>
      <c r="AF358" s="19">
        <f>IF(A358="",0,IF(N(J358)&gt;N(I358),1,0))</f>
        <v/>
      </c>
      <c r="AG358" s="19">
        <f>IF(A358="",0,IF(N(N358)&gt;N(M358)+1,1,0))</f>
        <v/>
      </c>
      <c r="AH358" s="19">
        <f>IF(A358="",0,IF(N(E358)&gt;N(B358),1,0))</f>
        <v/>
      </c>
      <c r="AI358" s="19">
        <f>IF(A358="",0,IF(AND(Z358="Full payment",N(N358)&lt;N(M358)-1),1,0))</f>
        <v/>
      </c>
      <c r="AJ358" s="19">
        <f>IF(A358="",0,IF(N(P358)&lt;0,1,0))</f>
        <v/>
      </c>
      <c r="AK358" s="19">
        <f>IF(A358="",0,IF(COUNTIF($A$7:$A$1006,A358)&gt;1,1,0))</f>
        <v/>
      </c>
    </row>
    <row r="359">
      <c r="A359" s="10" t="n"/>
      <c r="B359" s="17" t="n"/>
      <c r="C359" s="18" t="n"/>
      <c r="D359" s="10" t="n"/>
      <c r="E359" s="17" t="n"/>
      <c r="F359" s="10" t="n"/>
      <c r="G359" s="10" t="n"/>
      <c r="H359" s="10" t="n"/>
      <c r="I359" s="18" t="n"/>
      <c r="J359" s="18" t="n"/>
      <c r="K359" s="18" t="n"/>
      <c r="L359" s="18" t="n"/>
      <c r="M359" s="19">
        <f>IF(K359="","",K359*365/12*L359)</f>
        <v/>
      </c>
      <c r="N359" s="18" t="n"/>
      <c r="O359" s="18" t="n"/>
      <c r="P359" s="18" t="n"/>
      <c r="Q359" s="18" t="n"/>
      <c r="R359" s="10" t="n"/>
      <c r="S359" s="17" t="n"/>
      <c r="T359" s="18" t="n"/>
      <c r="U359" s="17" t="n"/>
      <c r="V359" s="17" t="n"/>
      <c r="W359" s="18" t="n"/>
      <c r="X359" s="18" t="n"/>
      <c r="Y359" s="17" t="n"/>
      <c r="Z359" s="10" t="n"/>
      <c r="AA359" s="10" t="n"/>
      <c r="AB359" s="19">
        <f>IF(LEN(A359)&gt;0,1,0)</f>
        <v/>
      </c>
      <c r="AC359" s="19">
        <f>IF(LEN(A359)=0,0,(LEN(B359)=0)+(LEN(C359)=0)+(LEN(D359)=0)+(LEN(E359)=0)+(LEN(F359)=0)+(LEN(G359)=0)+(LEN(H359)=0)+(LEN(I359)=0)+(LEN(J359)=0)+(LEN(K359)=0)+(LEN(L359)=0)+(LEN(N359)=0)+(LEN(O359)=0)+(LEN(P359)=0)+(LEN(R359)=0)+(LEN(AA359)=0))</f>
        <v/>
      </c>
      <c r="AD359" s="19">
        <f>IF(OR(LEN(A359)=0,LEN(C359)=0),0,IF(OR(C359&lt;1,C359&gt;5),1,0))</f>
        <v/>
      </c>
      <c r="AE359" s="19">
        <f>IF(OR(LEN(A359)=0,LEN(R359)=0),0,IF(OR(R359="Active",R359="Paid off",R359="Defaulted",R359="Repossessed",R359="Written off",R359="Restructured"),0,1))</f>
        <v/>
      </c>
      <c r="AF359" s="19">
        <f>IF(A359="",0,IF(N(J359)&gt;N(I359),1,0))</f>
        <v/>
      </c>
      <c r="AG359" s="19">
        <f>IF(A359="",0,IF(N(N359)&gt;N(M359)+1,1,0))</f>
        <v/>
      </c>
      <c r="AH359" s="19">
        <f>IF(A359="",0,IF(N(E359)&gt;N(B359),1,0))</f>
        <v/>
      </c>
      <c r="AI359" s="19">
        <f>IF(A359="",0,IF(AND(Z359="Full payment",N(N359)&lt;N(M359)-1),1,0))</f>
        <v/>
      </c>
      <c r="AJ359" s="19">
        <f>IF(A359="",0,IF(N(P359)&lt;0,1,0))</f>
        <v/>
      </c>
      <c r="AK359" s="19">
        <f>IF(A359="",0,IF(COUNTIF($A$7:$A$1006,A359)&gt;1,1,0))</f>
        <v/>
      </c>
    </row>
    <row r="360">
      <c r="A360" s="10" t="n"/>
      <c r="B360" s="17" t="n"/>
      <c r="C360" s="18" t="n"/>
      <c r="D360" s="10" t="n"/>
      <c r="E360" s="17" t="n"/>
      <c r="F360" s="10" t="n"/>
      <c r="G360" s="10" t="n"/>
      <c r="H360" s="10" t="n"/>
      <c r="I360" s="18" t="n"/>
      <c r="J360" s="18" t="n"/>
      <c r="K360" s="18" t="n"/>
      <c r="L360" s="18" t="n"/>
      <c r="M360" s="19">
        <f>IF(K360="","",K360*365/12*L360)</f>
        <v/>
      </c>
      <c r="N360" s="18" t="n"/>
      <c r="O360" s="18" t="n"/>
      <c r="P360" s="18" t="n"/>
      <c r="Q360" s="18" t="n"/>
      <c r="R360" s="10" t="n"/>
      <c r="S360" s="17" t="n"/>
      <c r="T360" s="18" t="n"/>
      <c r="U360" s="17" t="n"/>
      <c r="V360" s="17" t="n"/>
      <c r="W360" s="18" t="n"/>
      <c r="X360" s="18" t="n"/>
      <c r="Y360" s="17" t="n"/>
      <c r="Z360" s="10" t="n"/>
      <c r="AA360" s="10" t="n"/>
      <c r="AB360" s="19">
        <f>IF(LEN(A360)&gt;0,1,0)</f>
        <v/>
      </c>
      <c r="AC360" s="19">
        <f>IF(LEN(A360)=0,0,(LEN(B360)=0)+(LEN(C360)=0)+(LEN(D360)=0)+(LEN(E360)=0)+(LEN(F360)=0)+(LEN(G360)=0)+(LEN(H360)=0)+(LEN(I360)=0)+(LEN(J360)=0)+(LEN(K360)=0)+(LEN(L360)=0)+(LEN(N360)=0)+(LEN(O360)=0)+(LEN(P360)=0)+(LEN(R360)=0)+(LEN(AA360)=0))</f>
        <v/>
      </c>
      <c r="AD360" s="19">
        <f>IF(OR(LEN(A360)=0,LEN(C360)=0),0,IF(OR(C360&lt;1,C360&gt;5),1,0))</f>
        <v/>
      </c>
      <c r="AE360" s="19">
        <f>IF(OR(LEN(A360)=0,LEN(R360)=0),0,IF(OR(R360="Active",R360="Paid off",R360="Defaulted",R360="Repossessed",R360="Written off",R360="Restructured"),0,1))</f>
        <v/>
      </c>
      <c r="AF360" s="19">
        <f>IF(A360="",0,IF(N(J360)&gt;N(I360),1,0))</f>
        <v/>
      </c>
      <c r="AG360" s="19">
        <f>IF(A360="",0,IF(N(N360)&gt;N(M360)+1,1,0))</f>
        <v/>
      </c>
      <c r="AH360" s="19">
        <f>IF(A360="",0,IF(N(E360)&gt;N(B360),1,0))</f>
        <v/>
      </c>
      <c r="AI360" s="19">
        <f>IF(A360="",0,IF(AND(Z360="Full payment",N(N360)&lt;N(M360)-1),1,0))</f>
        <v/>
      </c>
      <c r="AJ360" s="19">
        <f>IF(A360="",0,IF(N(P360)&lt;0,1,0))</f>
        <v/>
      </c>
      <c r="AK360" s="19">
        <f>IF(A360="",0,IF(COUNTIF($A$7:$A$1006,A360)&gt;1,1,0))</f>
        <v/>
      </c>
    </row>
    <row r="361">
      <c r="A361" s="10" t="n"/>
      <c r="B361" s="17" t="n"/>
      <c r="C361" s="18" t="n"/>
      <c r="D361" s="10" t="n"/>
      <c r="E361" s="17" t="n"/>
      <c r="F361" s="10" t="n"/>
      <c r="G361" s="10" t="n"/>
      <c r="H361" s="10" t="n"/>
      <c r="I361" s="18" t="n"/>
      <c r="J361" s="18" t="n"/>
      <c r="K361" s="18" t="n"/>
      <c r="L361" s="18" t="n"/>
      <c r="M361" s="19">
        <f>IF(K361="","",K361*365/12*L361)</f>
        <v/>
      </c>
      <c r="N361" s="18" t="n"/>
      <c r="O361" s="18" t="n"/>
      <c r="P361" s="18" t="n"/>
      <c r="Q361" s="18" t="n"/>
      <c r="R361" s="10" t="n"/>
      <c r="S361" s="17" t="n"/>
      <c r="T361" s="18" t="n"/>
      <c r="U361" s="17" t="n"/>
      <c r="V361" s="17" t="n"/>
      <c r="W361" s="18" t="n"/>
      <c r="X361" s="18" t="n"/>
      <c r="Y361" s="17" t="n"/>
      <c r="Z361" s="10" t="n"/>
      <c r="AA361" s="10" t="n"/>
      <c r="AB361" s="19">
        <f>IF(LEN(A361)&gt;0,1,0)</f>
        <v/>
      </c>
      <c r="AC361" s="19">
        <f>IF(LEN(A361)=0,0,(LEN(B361)=0)+(LEN(C361)=0)+(LEN(D361)=0)+(LEN(E361)=0)+(LEN(F361)=0)+(LEN(G361)=0)+(LEN(H361)=0)+(LEN(I361)=0)+(LEN(J361)=0)+(LEN(K361)=0)+(LEN(L361)=0)+(LEN(N361)=0)+(LEN(O361)=0)+(LEN(P361)=0)+(LEN(R361)=0)+(LEN(AA361)=0))</f>
        <v/>
      </c>
      <c r="AD361" s="19">
        <f>IF(OR(LEN(A361)=0,LEN(C361)=0),0,IF(OR(C361&lt;1,C361&gt;5),1,0))</f>
        <v/>
      </c>
      <c r="AE361" s="19">
        <f>IF(OR(LEN(A361)=0,LEN(R361)=0),0,IF(OR(R361="Active",R361="Paid off",R361="Defaulted",R361="Repossessed",R361="Written off",R361="Restructured"),0,1))</f>
        <v/>
      </c>
      <c r="AF361" s="19">
        <f>IF(A361="",0,IF(N(J361)&gt;N(I361),1,0))</f>
        <v/>
      </c>
      <c r="AG361" s="19">
        <f>IF(A361="",0,IF(N(N361)&gt;N(M361)+1,1,0))</f>
        <v/>
      </c>
      <c r="AH361" s="19">
        <f>IF(A361="",0,IF(N(E361)&gt;N(B361),1,0))</f>
        <v/>
      </c>
      <c r="AI361" s="19">
        <f>IF(A361="",0,IF(AND(Z361="Full payment",N(N361)&lt;N(M361)-1),1,0))</f>
        <v/>
      </c>
      <c r="AJ361" s="19">
        <f>IF(A361="",0,IF(N(P361)&lt;0,1,0))</f>
        <v/>
      </c>
      <c r="AK361" s="19">
        <f>IF(A361="",0,IF(COUNTIF($A$7:$A$1006,A361)&gt;1,1,0))</f>
        <v/>
      </c>
    </row>
    <row r="362">
      <c r="A362" s="10" t="n"/>
      <c r="B362" s="17" t="n"/>
      <c r="C362" s="18" t="n"/>
      <c r="D362" s="10" t="n"/>
      <c r="E362" s="17" t="n"/>
      <c r="F362" s="10" t="n"/>
      <c r="G362" s="10" t="n"/>
      <c r="H362" s="10" t="n"/>
      <c r="I362" s="18" t="n"/>
      <c r="J362" s="18" t="n"/>
      <c r="K362" s="18" t="n"/>
      <c r="L362" s="18" t="n"/>
      <c r="M362" s="19">
        <f>IF(K362="","",K362*365/12*L362)</f>
        <v/>
      </c>
      <c r="N362" s="18" t="n"/>
      <c r="O362" s="18" t="n"/>
      <c r="P362" s="18" t="n"/>
      <c r="Q362" s="18" t="n"/>
      <c r="R362" s="10" t="n"/>
      <c r="S362" s="17" t="n"/>
      <c r="T362" s="18" t="n"/>
      <c r="U362" s="17" t="n"/>
      <c r="V362" s="17" t="n"/>
      <c r="W362" s="18" t="n"/>
      <c r="X362" s="18" t="n"/>
      <c r="Y362" s="17" t="n"/>
      <c r="Z362" s="10" t="n"/>
      <c r="AA362" s="10" t="n"/>
      <c r="AB362" s="19">
        <f>IF(LEN(A362)&gt;0,1,0)</f>
        <v/>
      </c>
      <c r="AC362" s="19">
        <f>IF(LEN(A362)=0,0,(LEN(B362)=0)+(LEN(C362)=0)+(LEN(D362)=0)+(LEN(E362)=0)+(LEN(F362)=0)+(LEN(G362)=0)+(LEN(H362)=0)+(LEN(I362)=0)+(LEN(J362)=0)+(LEN(K362)=0)+(LEN(L362)=0)+(LEN(N362)=0)+(LEN(O362)=0)+(LEN(P362)=0)+(LEN(R362)=0)+(LEN(AA362)=0))</f>
        <v/>
      </c>
      <c r="AD362" s="19">
        <f>IF(OR(LEN(A362)=0,LEN(C362)=0),0,IF(OR(C362&lt;1,C362&gt;5),1,0))</f>
        <v/>
      </c>
      <c r="AE362" s="19">
        <f>IF(OR(LEN(A362)=0,LEN(R362)=0),0,IF(OR(R362="Active",R362="Paid off",R362="Defaulted",R362="Repossessed",R362="Written off",R362="Restructured"),0,1))</f>
        <v/>
      </c>
      <c r="AF362" s="19">
        <f>IF(A362="",0,IF(N(J362)&gt;N(I362),1,0))</f>
        <v/>
      </c>
      <c r="AG362" s="19">
        <f>IF(A362="",0,IF(N(N362)&gt;N(M362)+1,1,0))</f>
        <v/>
      </c>
      <c r="AH362" s="19">
        <f>IF(A362="",0,IF(N(E362)&gt;N(B362),1,0))</f>
        <v/>
      </c>
      <c r="AI362" s="19">
        <f>IF(A362="",0,IF(AND(Z362="Full payment",N(N362)&lt;N(M362)-1),1,0))</f>
        <v/>
      </c>
      <c r="AJ362" s="19">
        <f>IF(A362="",0,IF(N(P362)&lt;0,1,0))</f>
        <v/>
      </c>
      <c r="AK362" s="19">
        <f>IF(A362="",0,IF(COUNTIF($A$7:$A$1006,A362)&gt;1,1,0))</f>
        <v/>
      </c>
    </row>
    <row r="363">
      <c r="A363" s="10" t="n"/>
      <c r="B363" s="17" t="n"/>
      <c r="C363" s="18" t="n"/>
      <c r="D363" s="10" t="n"/>
      <c r="E363" s="17" t="n"/>
      <c r="F363" s="10" t="n"/>
      <c r="G363" s="10" t="n"/>
      <c r="H363" s="10" t="n"/>
      <c r="I363" s="18" t="n"/>
      <c r="J363" s="18" t="n"/>
      <c r="K363" s="18" t="n"/>
      <c r="L363" s="18" t="n"/>
      <c r="M363" s="19">
        <f>IF(K363="","",K363*365/12*L363)</f>
        <v/>
      </c>
      <c r="N363" s="18" t="n"/>
      <c r="O363" s="18" t="n"/>
      <c r="P363" s="18" t="n"/>
      <c r="Q363" s="18" t="n"/>
      <c r="R363" s="10" t="n"/>
      <c r="S363" s="17" t="n"/>
      <c r="T363" s="18" t="n"/>
      <c r="U363" s="17" t="n"/>
      <c r="V363" s="17" t="n"/>
      <c r="W363" s="18" t="n"/>
      <c r="X363" s="18" t="n"/>
      <c r="Y363" s="17" t="n"/>
      <c r="Z363" s="10" t="n"/>
      <c r="AA363" s="10" t="n"/>
      <c r="AB363" s="19">
        <f>IF(LEN(A363)&gt;0,1,0)</f>
        <v/>
      </c>
      <c r="AC363" s="19">
        <f>IF(LEN(A363)=0,0,(LEN(B363)=0)+(LEN(C363)=0)+(LEN(D363)=0)+(LEN(E363)=0)+(LEN(F363)=0)+(LEN(G363)=0)+(LEN(H363)=0)+(LEN(I363)=0)+(LEN(J363)=0)+(LEN(K363)=0)+(LEN(L363)=0)+(LEN(N363)=0)+(LEN(O363)=0)+(LEN(P363)=0)+(LEN(R363)=0)+(LEN(AA363)=0))</f>
        <v/>
      </c>
      <c r="AD363" s="19">
        <f>IF(OR(LEN(A363)=0,LEN(C363)=0),0,IF(OR(C363&lt;1,C363&gt;5),1,0))</f>
        <v/>
      </c>
      <c r="AE363" s="19">
        <f>IF(OR(LEN(A363)=0,LEN(R363)=0),0,IF(OR(R363="Active",R363="Paid off",R363="Defaulted",R363="Repossessed",R363="Written off",R363="Restructured"),0,1))</f>
        <v/>
      </c>
      <c r="AF363" s="19">
        <f>IF(A363="",0,IF(N(J363)&gt;N(I363),1,0))</f>
        <v/>
      </c>
      <c r="AG363" s="19">
        <f>IF(A363="",0,IF(N(N363)&gt;N(M363)+1,1,0))</f>
        <v/>
      </c>
      <c r="AH363" s="19">
        <f>IF(A363="",0,IF(N(E363)&gt;N(B363),1,0))</f>
        <v/>
      </c>
      <c r="AI363" s="19">
        <f>IF(A363="",0,IF(AND(Z363="Full payment",N(N363)&lt;N(M363)-1),1,0))</f>
        <v/>
      </c>
      <c r="AJ363" s="19">
        <f>IF(A363="",0,IF(N(P363)&lt;0,1,0))</f>
        <v/>
      </c>
      <c r="AK363" s="19">
        <f>IF(A363="",0,IF(COUNTIF($A$7:$A$1006,A363)&gt;1,1,0))</f>
        <v/>
      </c>
    </row>
    <row r="364">
      <c r="A364" s="10" t="n"/>
      <c r="B364" s="17" t="n"/>
      <c r="C364" s="18" t="n"/>
      <c r="D364" s="10" t="n"/>
      <c r="E364" s="17" t="n"/>
      <c r="F364" s="10" t="n"/>
      <c r="G364" s="10" t="n"/>
      <c r="H364" s="10" t="n"/>
      <c r="I364" s="18" t="n"/>
      <c r="J364" s="18" t="n"/>
      <c r="K364" s="18" t="n"/>
      <c r="L364" s="18" t="n"/>
      <c r="M364" s="19">
        <f>IF(K364="","",K364*365/12*L364)</f>
        <v/>
      </c>
      <c r="N364" s="18" t="n"/>
      <c r="O364" s="18" t="n"/>
      <c r="P364" s="18" t="n"/>
      <c r="Q364" s="18" t="n"/>
      <c r="R364" s="10" t="n"/>
      <c r="S364" s="17" t="n"/>
      <c r="T364" s="18" t="n"/>
      <c r="U364" s="17" t="n"/>
      <c r="V364" s="17" t="n"/>
      <c r="W364" s="18" t="n"/>
      <c r="X364" s="18" t="n"/>
      <c r="Y364" s="17" t="n"/>
      <c r="Z364" s="10" t="n"/>
      <c r="AA364" s="10" t="n"/>
      <c r="AB364" s="19">
        <f>IF(LEN(A364)&gt;0,1,0)</f>
        <v/>
      </c>
      <c r="AC364" s="19">
        <f>IF(LEN(A364)=0,0,(LEN(B364)=0)+(LEN(C364)=0)+(LEN(D364)=0)+(LEN(E364)=0)+(LEN(F364)=0)+(LEN(G364)=0)+(LEN(H364)=0)+(LEN(I364)=0)+(LEN(J364)=0)+(LEN(K364)=0)+(LEN(L364)=0)+(LEN(N364)=0)+(LEN(O364)=0)+(LEN(P364)=0)+(LEN(R364)=0)+(LEN(AA364)=0))</f>
        <v/>
      </c>
      <c r="AD364" s="19">
        <f>IF(OR(LEN(A364)=0,LEN(C364)=0),0,IF(OR(C364&lt;1,C364&gt;5),1,0))</f>
        <v/>
      </c>
      <c r="AE364" s="19">
        <f>IF(OR(LEN(A364)=0,LEN(R364)=0),0,IF(OR(R364="Active",R364="Paid off",R364="Defaulted",R364="Repossessed",R364="Written off",R364="Restructured"),0,1))</f>
        <v/>
      </c>
      <c r="AF364" s="19">
        <f>IF(A364="",0,IF(N(J364)&gt;N(I364),1,0))</f>
        <v/>
      </c>
      <c r="AG364" s="19">
        <f>IF(A364="",0,IF(N(N364)&gt;N(M364)+1,1,0))</f>
        <v/>
      </c>
      <c r="AH364" s="19">
        <f>IF(A364="",0,IF(N(E364)&gt;N(B364),1,0))</f>
        <v/>
      </c>
      <c r="AI364" s="19">
        <f>IF(A364="",0,IF(AND(Z364="Full payment",N(N364)&lt;N(M364)-1),1,0))</f>
        <v/>
      </c>
      <c r="AJ364" s="19">
        <f>IF(A364="",0,IF(N(P364)&lt;0,1,0))</f>
        <v/>
      </c>
      <c r="AK364" s="19">
        <f>IF(A364="",0,IF(COUNTIF($A$7:$A$1006,A364)&gt;1,1,0))</f>
        <v/>
      </c>
    </row>
    <row r="365">
      <c r="A365" s="10" t="n"/>
      <c r="B365" s="17" t="n"/>
      <c r="C365" s="18" t="n"/>
      <c r="D365" s="10" t="n"/>
      <c r="E365" s="17" t="n"/>
      <c r="F365" s="10" t="n"/>
      <c r="G365" s="10" t="n"/>
      <c r="H365" s="10" t="n"/>
      <c r="I365" s="18" t="n"/>
      <c r="J365" s="18" t="n"/>
      <c r="K365" s="18" t="n"/>
      <c r="L365" s="18" t="n"/>
      <c r="M365" s="19">
        <f>IF(K365="","",K365*365/12*L365)</f>
        <v/>
      </c>
      <c r="N365" s="18" t="n"/>
      <c r="O365" s="18" t="n"/>
      <c r="P365" s="18" t="n"/>
      <c r="Q365" s="18" t="n"/>
      <c r="R365" s="10" t="n"/>
      <c r="S365" s="17" t="n"/>
      <c r="T365" s="18" t="n"/>
      <c r="U365" s="17" t="n"/>
      <c r="V365" s="17" t="n"/>
      <c r="W365" s="18" t="n"/>
      <c r="X365" s="18" t="n"/>
      <c r="Y365" s="17" t="n"/>
      <c r="Z365" s="10" t="n"/>
      <c r="AA365" s="10" t="n"/>
      <c r="AB365" s="19">
        <f>IF(LEN(A365)&gt;0,1,0)</f>
        <v/>
      </c>
      <c r="AC365" s="19">
        <f>IF(LEN(A365)=0,0,(LEN(B365)=0)+(LEN(C365)=0)+(LEN(D365)=0)+(LEN(E365)=0)+(LEN(F365)=0)+(LEN(G365)=0)+(LEN(H365)=0)+(LEN(I365)=0)+(LEN(J365)=0)+(LEN(K365)=0)+(LEN(L365)=0)+(LEN(N365)=0)+(LEN(O365)=0)+(LEN(P365)=0)+(LEN(R365)=0)+(LEN(AA365)=0))</f>
        <v/>
      </c>
      <c r="AD365" s="19">
        <f>IF(OR(LEN(A365)=0,LEN(C365)=0),0,IF(OR(C365&lt;1,C365&gt;5),1,0))</f>
        <v/>
      </c>
      <c r="AE365" s="19">
        <f>IF(OR(LEN(A365)=0,LEN(R365)=0),0,IF(OR(R365="Active",R365="Paid off",R365="Defaulted",R365="Repossessed",R365="Written off",R365="Restructured"),0,1))</f>
        <v/>
      </c>
      <c r="AF365" s="19">
        <f>IF(A365="",0,IF(N(J365)&gt;N(I365),1,0))</f>
        <v/>
      </c>
      <c r="AG365" s="19">
        <f>IF(A365="",0,IF(N(N365)&gt;N(M365)+1,1,0))</f>
        <v/>
      </c>
      <c r="AH365" s="19">
        <f>IF(A365="",0,IF(N(E365)&gt;N(B365),1,0))</f>
        <v/>
      </c>
      <c r="AI365" s="19">
        <f>IF(A365="",0,IF(AND(Z365="Full payment",N(N365)&lt;N(M365)-1),1,0))</f>
        <v/>
      </c>
      <c r="AJ365" s="19">
        <f>IF(A365="",0,IF(N(P365)&lt;0,1,0))</f>
        <v/>
      </c>
      <c r="AK365" s="19">
        <f>IF(A365="",0,IF(COUNTIF($A$7:$A$1006,A365)&gt;1,1,0))</f>
        <v/>
      </c>
    </row>
    <row r="366">
      <c r="A366" s="10" t="n"/>
      <c r="B366" s="17" t="n"/>
      <c r="C366" s="18" t="n"/>
      <c r="D366" s="10" t="n"/>
      <c r="E366" s="17" t="n"/>
      <c r="F366" s="10" t="n"/>
      <c r="G366" s="10" t="n"/>
      <c r="H366" s="10" t="n"/>
      <c r="I366" s="18" t="n"/>
      <c r="J366" s="18" t="n"/>
      <c r="K366" s="18" t="n"/>
      <c r="L366" s="18" t="n"/>
      <c r="M366" s="19">
        <f>IF(K366="","",K366*365/12*L366)</f>
        <v/>
      </c>
      <c r="N366" s="18" t="n"/>
      <c r="O366" s="18" t="n"/>
      <c r="P366" s="18" t="n"/>
      <c r="Q366" s="18" t="n"/>
      <c r="R366" s="10" t="n"/>
      <c r="S366" s="17" t="n"/>
      <c r="T366" s="18" t="n"/>
      <c r="U366" s="17" t="n"/>
      <c r="V366" s="17" t="n"/>
      <c r="W366" s="18" t="n"/>
      <c r="X366" s="18" t="n"/>
      <c r="Y366" s="17" t="n"/>
      <c r="Z366" s="10" t="n"/>
      <c r="AA366" s="10" t="n"/>
      <c r="AB366" s="19">
        <f>IF(LEN(A366)&gt;0,1,0)</f>
        <v/>
      </c>
      <c r="AC366" s="19">
        <f>IF(LEN(A366)=0,0,(LEN(B366)=0)+(LEN(C366)=0)+(LEN(D366)=0)+(LEN(E366)=0)+(LEN(F366)=0)+(LEN(G366)=0)+(LEN(H366)=0)+(LEN(I366)=0)+(LEN(J366)=0)+(LEN(K366)=0)+(LEN(L366)=0)+(LEN(N366)=0)+(LEN(O366)=0)+(LEN(P366)=0)+(LEN(R366)=0)+(LEN(AA366)=0))</f>
        <v/>
      </c>
      <c r="AD366" s="19">
        <f>IF(OR(LEN(A366)=0,LEN(C366)=0),0,IF(OR(C366&lt;1,C366&gt;5),1,0))</f>
        <v/>
      </c>
      <c r="AE366" s="19">
        <f>IF(OR(LEN(A366)=0,LEN(R366)=0),0,IF(OR(R366="Active",R366="Paid off",R366="Defaulted",R366="Repossessed",R366="Written off",R366="Restructured"),0,1))</f>
        <v/>
      </c>
      <c r="AF366" s="19">
        <f>IF(A366="",0,IF(N(J366)&gt;N(I366),1,0))</f>
        <v/>
      </c>
      <c r="AG366" s="19">
        <f>IF(A366="",0,IF(N(N366)&gt;N(M366)+1,1,0))</f>
        <v/>
      </c>
      <c r="AH366" s="19">
        <f>IF(A366="",0,IF(N(E366)&gt;N(B366),1,0))</f>
        <v/>
      </c>
      <c r="AI366" s="19">
        <f>IF(A366="",0,IF(AND(Z366="Full payment",N(N366)&lt;N(M366)-1),1,0))</f>
        <v/>
      </c>
      <c r="AJ366" s="19">
        <f>IF(A366="",0,IF(N(P366)&lt;0,1,0))</f>
        <v/>
      </c>
      <c r="AK366" s="19">
        <f>IF(A366="",0,IF(COUNTIF($A$7:$A$1006,A366)&gt;1,1,0))</f>
        <v/>
      </c>
    </row>
    <row r="367">
      <c r="A367" s="10" t="n"/>
      <c r="B367" s="17" t="n"/>
      <c r="C367" s="18" t="n"/>
      <c r="D367" s="10" t="n"/>
      <c r="E367" s="17" t="n"/>
      <c r="F367" s="10" t="n"/>
      <c r="G367" s="10" t="n"/>
      <c r="H367" s="10" t="n"/>
      <c r="I367" s="18" t="n"/>
      <c r="J367" s="18" t="n"/>
      <c r="K367" s="18" t="n"/>
      <c r="L367" s="18" t="n"/>
      <c r="M367" s="19">
        <f>IF(K367="","",K367*365/12*L367)</f>
        <v/>
      </c>
      <c r="N367" s="18" t="n"/>
      <c r="O367" s="18" t="n"/>
      <c r="P367" s="18" t="n"/>
      <c r="Q367" s="18" t="n"/>
      <c r="R367" s="10" t="n"/>
      <c r="S367" s="17" t="n"/>
      <c r="T367" s="18" t="n"/>
      <c r="U367" s="17" t="n"/>
      <c r="V367" s="17" t="n"/>
      <c r="W367" s="18" t="n"/>
      <c r="X367" s="18" t="n"/>
      <c r="Y367" s="17" t="n"/>
      <c r="Z367" s="10" t="n"/>
      <c r="AA367" s="10" t="n"/>
      <c r="AB367" s="19">
        <f>IF(LEN(A367)&gt;0,1,0)</f>
        <v/>
      </c>
      <c r="AC367" s="19">
        <f>IF(LEN(A367)=0,0,(LEN(B367)=0)+(LEN(C367)=0)+(LEN(D367)=0)+(LEN(E367)=0)+(LEN(F367)=0)+(LEN(G367)=0)+(LEN(H367)=0)+(LEN(I367)=0)+(LEN(J367)=0)+(LEN(K367)=0)+(LEN(L367)=0)+(LEN(N367)=0)+(LEN(O367)=0)+(LEN(P367)=0)+(LEN(R367)=0)+(LEN(AA367)=0))</f>
        <v/>
      </c>
      <c r="AD367" s="19">
        <f>IF(OR(LEN(A367)=0,LEN(C367)=0),0,IF(OR(C367&lt;1,C367&gt;5),1,0))</f>
        <v/>
      </c>
      <c r="AE367" s="19">
        <f>IF(OR(LEN(A367)=0,LEN(R367)=0),0,IF(OR(R367="Active",R367="Paid off",R367="Defaulted",R367="Repossessed",R367="Written off",R367="Restructured"),0,1))</f>
        <v/>
      </c>
      <c r="AF367" s="19">
        <f>IF(A367="",0,IF(N(J367)&gt;N(I367),1,0))</f>
        <v/>
      </c>
      <c r="AG367" s="19">
        <f>IF(A367="",0,IF(N(N367)&gt;N(M367)+1,1,0))</f>
        <v/>
      </c>
      <c r="AH367" s="19">
        <f>IF(A367="",0,IF(N(E367)&gt;N(B367),1,0))</f>
        <v/>
      </c>
      <c r="AI367" s="19">
        <f>IF(A367="",0,IF(AND(Z367="Full payment",N(N367)&lt;N(M367)-1),1,0))</f>
        <v/>
      </c>
      <c r="AJ367" s="19">
        <f>IF(A367="",0,IF(N(P367)&lt;0,1,0))</f>
        <v/>
      </c>
      <c r="AK367" s="19">
        <f>IF(A367="",0,IF(COUNTIF($A$7:$A$1006,A367)&gt;1,1,0))</f>
        <v/>
      </c>
    </row>
    <row r="368">
      <c r="A368" s="10" t="n"/>
      <c r="B368" s="17" t="n"/>
      <c r="C368" s="18" t="n"/>
      <c r="D368" s="10" t="n"/>
      <c r="E368" s="17" t="n"/>
      <c r="F368" s="10" t="n"/>
      <c r="G368" s="10" t="n"/>
      <c r="H368" s="10" t="n"/>
      <c r="I368" s="18" t="n"/>
      <c r="J368" s="18" t="n"/>
      <c r="K368" s="18" t="n"/>
      <c r="L368" s="18" t="n"/>
      <c r="M368" s="19">
        <f>IF(K368="","",K368*365/12*L368)</f>
        <v/>
      </c>
      <c r="N368" s="18" t="n"/>
      <c r="O368" s="18" t="n"/>
      <c r="P368" s="18" t="n"/>
      <c r="Q368" s="18" t="n"/>
      <c r="R368" s="10" t="n"/>
      <c r="S368" s="17" t="n"/>
      <c r="T368" s="18" t="n"/>
      <c r="U368" s="17" t="n"/>
      <c r="V368" s="17" t="n"/>
      <c r="W368" s="18" t="n"/>
      <c r="X368" s="18" t="n"/>
      <c r="Y368" s="17" t="n"/>
      <c r="Z368" s="10" t="n"/>
      <c r="AA368" s="10" t="n"/>
      <c r="AB368" s="19">
        <f>IF(LEN(A368)&gt;0,1,0)</f>
        <v/>
      </c>
      <c r="AC368" s="19">
        <f>IF(LEN(A368)=0,0,(LEN(B368)=0)+(LEN(C368)=0)+(LEN(D368)=0)+(LEN(E368)=0)+(LEN(F368)=0)+(LEN(G368)=0)+(LEN(H368)=0)+(LEN(I368)=0)+(LEN(J368)=0)+(LEN(K368)=0)+(LEN(L368)=0)+(LEN(N368)=0)+(LEN(O368)=0)+(LEN(P368)=0)+(LEN(R368)=0)+(LEN(AA368)=0))</f>
        <v/>
      </c>
      <c r="AD368" s="19">
        <f>IF(OR(LEN(A368)=0,LEN(C368)=0),0,IF(OR(C368&lt;1,C368&gt;5),1,0))</f>
        <v/>
      </c>
      <c r="AE368" s="19">
        <f>IF(OR(LEN(A368)=0,LEN(R368)=0),0,IF(OR(R368="Active",R368="Paid off",R368="Defaulted",R368="Repossessed",R368="Written off",R368="Restructured"),0,1))</f>
        <v/>
      </c>
      <c r="AF368" s="19">
        <f>IF(A368="",0,IF(N(J368)&gt;N(I368),1,0))</f>
        <v/>
      </c>
      <c r="AG368" s="19">
        <f>IF(A368="",0,IF(N(N368)&gt;N(M368)+1,1,0))</f>
        <v/>
      </c>
      <c r="AH368" s="19">
        <f>IF(A368="",0,IF(N(E368)&gt;N(B368),1,0))</f>
        <v/>
      </c>
      <c r="AI368" s="19">
        <f>IF(A368="",0,IF(AND(Z368="Full payment",N(N368)&lt;N(M368)-1),1,0))</f>
        <v/>
      </c>
      <c r="AJ368" s="19">
        <f>IF(A368="",0,IF(N(P368)&lt;0,1,0))</f>
        <v/>
      </c>
      <c r="AK368" s="19">
        <f>IF(A368="",0,IF(COUNTIF($A$7:$A$1006,A368)&gt;1,1,0))</f>
        <v/>
      </c>
    </row>
    <row r="369">
      <c r="A369" s="10" t="n"/>
      <c r="B369" s="17" t="n"/>
      <c r="C369" s="18" t="n"/>
      <c r="D369" s="10" t="n"/>
      <c r="E369" s="17" t="n"/>
      <c r="F369" s="10" t="n"/>
      <c r="G369" s="10" t="n"/>
      <c r="H369" s="10" t="n"/>
      <c r="I369" s="18" t="n"/>
      <c r="J369" s="18" t="n"/>
      <c r="K369" s="18" t="n"/>
      <c r="L369" s="18" t="n"/>
      <c r="M369" s="19">
        <f>IF(K369="","",K369*365/12*L369)</f>
        <v/>
      </c>
      <c r="N369" s="18" t="n"/>
      <c r="O369" s="18" t="n"/>
      <c r="P369" s="18" t="n"/>
      <c r="Q369" s="18" t="n"/>
      <c r="R369" s="10" t="n"/>
      <c r="S369" s="17" t="n"/>
      <c r="T369" s="18" t="n"/>
      <c r="U369" s="17" t="n"/>
      <c r="V369" s="17" t="n"/>
      <c r="W369" s="18" t="n"/>
      <c r="X369" s="18" t="n"/>
      <c r="Y369" s="17" t="n"/>
      <c r="Z369" s="10" t="n"/>
      <c r="AA369" s="10" t="n"/>
      <c r="AB369" s="19">
        <f>IF(LEN(A369)&gt;0,1,0)</f>
        <v/>
      </c>
      <c r="AC369" s="19">
        <f>IF(LEN(A369)=0,0,(LEN(B369)=0)+(LEN(C369)=0)+(LEN(D369)=0)+(LEN(E369)=0)+(LEN(F369)=0)+(LEN(G369)=0)+(LEN(H369)=0)+(LEN(I369)=0)+(LEN(J369)=0)+(LEN(K369)=0)+(LEN(L369)=0)+(LEN(N369)=0)+(LEN(O369)=0)+(LEN(P369)=0)+(LEN(R369)=0)+(LEN(AA369)=0))</f>
        <v/>
      </c>
      <c r="AD369" s="19">
        <f>IF(OR(LEN(A369)=0,LEN(C369)=0),0,IF(OR(C369&lt;1,C369&gt;5),1,0))</f>
        <v/>
      </c>
      <c r="AE369" s="19">
        <f>IF(OR(LEN(A369)=0,LEN(R369)=0),0,IF(OR(R369="Active",R369="Paid off",R369="Defaulted",R369="Repossessed",R369="Written off",R369="Restructured"),0,1))</f>
        <v/>
      </c>
      <c r="AF369" s="19">
        <f>IF(A369="",0,IF(N(J369)&gt;N(I369),1,0))</f>
        <v/>
      </c>
      <c r="AG369" s="19">
        <f>IF(A369="",0,IF(N(N369)&gt;N(M369)+1,1,0))</f>
        <v/>
      </c>
      <c r="AH369" s="19">
        <f>IF(A369="",0,IF(N(E369)&gt;N(B369),1,0))</f>
        <v/>
      </c>
      <c r="AI369" s="19">
        <f>IF(A369="",0,IF(AND(Z369="Full payment",N(N369)&lt;N(M369)-1),1,0))</f>
        <v/>
      </c>
      <c r="AJ369" s="19">
        <f>IF(A369="",0,IF(N(P369)&lt;0,1,0))</f>
        <v/>
      </c>
      <c r="AK369" s="19">
        <f>IF(A369="",0,IF(COUNTIF($A$7:$A$1006,A369)&gt;1,1,0))</f>
        <v/>
      </c>
    </row>
    <row r="370">
      <c r="A370" s="10" t="n"/>
      <c r="B370" s="17" t="n"/>
      <c r="C370" s="18" t="n"/>
      <c r="D370" s="10" t="n"/>
      <c r="E370" s="17" t="n"/>
      <c r="F370" s="10" t="n"/>
      <c r="G370" s="10" t="n"/>
      <c r="H370" s="10" t="n"/>
      <c r="I370" s="18" t="n"/>
      <c r="J370" s="18" t="n"/>
      <c r="K370" s="18" t="n"/>
      <c r="L370" s="18" t="n"/>
      <c r="M370" s="19">
        <f>IF(K370="","",K370*365/12*L370)</f>
        <v/>
      </c>
      <c r="N370" s="18" t="n"/>
      <c r="O370" s="18" t="n"/>
      <c r="P370" s="18" t="n"/>
      <c r="Q370" s="18" t="n"/>
      <c r="R370" s="10" t="n"/>
      <c r="S370" s="17" t="n"/>
      <c r="T370" s="18" t="n"/>
      <c r="U370" s="17" t="n"/>
      <c r="V370" s="17" t="n"/>
      <c r="W370" s="18" t="n"/>
      <c r="X370" s="18" t="n"/>
      <c r="Y370" s="17" t="n"/>
      <c r="Z370" s="10" t="n"/>
      <c r="AA370" s="10" t="n"/>
      <c r="AB370" s="19">
        <f>IF(LEN(A370)&gt;0,1,0)</f>
        <v/>
      </c>
      <c r="AC370" s="19">
        <f>IF(LEN(A370)=0,0,(LEN(B370)=0)+(LEN(C370)=0)+(LEN(D370)=0)+(LEN(E370)=0)+(LEN(F370)=0)+(LEN(G370)=0)+(LEN(H370)=0)+(LEN(I370)=0)+(LEN(J370)=0)+(LEN(K370)=0)+(LEN(L370)=0)+(LEN(N370)=0)+(LEN(O370)=0)+(LEN(P370)=0)+(LEN(R370)=0)+(LEN(AA370)=0))</f>
        <v/>
      </c>
      <c r="AD370" s="19">
        <f>IF(OR(LEN(A370)=0,LEN(C370)=0),0,IF(OR(C370&lt;1,C370&gt;5),1,0))</f>
        <v/>
      </c>
      <c r="AE370" s="19">
        <f>IF(OR(LEN(A370)=0,LEN(R370)=0),0,IF(OR(R370="Active",R370="Paid off",R370="Defaulted",R370="Repossessed",R370="Written off",R370="Restructured"),0,1))</f>
        <v/>
      </c>
      <c r="AF370" s="19">
        <f>IF(A370="",0,IF(N(J370)&gt;N(I370),1,0))</f>
        <v/>
      </c>
      <c r="AG370" s="19">
        <f>IF(A370="",0,IF(N(N370)&gt;N(M370)+1,1,0))</f>
        <v/>
      </c>
      <c r="AH370" s="19">
        <f>IF(A370="",0,IF(N(E370)&gt;N(B370),1,0))</f>
        <v/>
      </c>
      <c r="AI370" s="19">
        <f>IF(A370="",0,IF(AND(Z370="Full payment",N(N370)&lt;N(M370)-1),1,0))</f>
        <v/>
      </c>
      <c r="AJ370" s="19">
        <f>IF(A370="",0,IF(N(P370)&lt;0,1,0))</f>
        <v/>
      </c>
      <c r="AK370" s="19">
        <f>IF(A370="",0,IF(COUNTIF($A$7:$A$1006,A370)&gt;1,1,0))</f>
        <v/>
      </c>
    </row>
    <row r="371">
      <c r="A371" s="10" t="n"/>
      <c r="B371" s="17" t="n"/>
      <c r="C371" s="18" t="n"/>
      <c r="D371" s="10" t="n"/>
      <c r="E371" s="17" t="n"/>
      <c r="F371" s="10" t="n"/>
      <c r="G371" s="10" t="n"/>
      <c r="H371" s="10" t="n"/>
      <c r="I371" s="18" t="n"/>
      <c r="J371" s="18" t="n"/>
      <c r="K371" s="18" t="n"/>
      <c r="L371" s="18" t="n"/>
      <c r="M371" s="19">
        <f>IF(K371="","",K371*365/12*L371)</f>
        <v/>
      </c>
      <c r="N371" s="18" t="n"/>
      <c r="O371" s="18" t="n"/>
      <c r="P371" s="18" t="n"/>
      <c r="Q371" s="18" t="n"/>
      <c r="R371" s="10" t="n"/>
      <c r="S371" s="17" t="n"/>
      <c r="T371" s="18" t="n"/>
      <c r="U371" s="17" t="n"/>
      <c r="V371" s="17" t="n"/>
      <c r="W371" s="18" t="n"/>
      <c r="X371" s="18" t="n"/>
      <c r="Y371" s="17" t="n"/>
      <c r="Z371" s="10" t="n"/>
      <c r="AA371" s="10" t="n"/>
      <c r="AB371" s="19">
        <f>IF(LEN(A371)&gt;0,1,0)</f>
        <v/>
      </c>
      <c r="AC371" s="19">
        <f>IF(LEN(A371)=0,0,(LEN(B371)=0)+(LEN(C371)=0)+(LEN(D371)=0)+(LEN(E371)=0)+(LEN(F371)=0)+(LEN(G371)=0)+(LEN(H371)=0)+(LEN(I371)=0)+(LEN(J371)=0)+(LEN(K371)=0)+(LEN(L371)=0)+(LEN(N371)=0)+(LEN(O371)=0)+(LEN(P371)=0)+(LEN(R371)=0)+(LEN(AA371)=0))</f>
        <v/>
      </c>
      <c r="AD371" s="19">
        <f>IF(OR(LEN(A371)=0,LEN(C371)=0),0,IF(OR(C371&lt;1,C371&gt;5),1,0))</f>
        <v/>
      </c>
      <c r="AE371" s="19">
        <f>IF(OR(LEN(A371)=0,LEN(R371)=0),0,IF(OR(R371="Active",R371="Paid off",R371="Defaulted",R371="Repossessed",R371="Written off",R371="Restructured"),0,1))</f>
        <v/>
      </c>
      <c r="AF371" s="19">
        <f>IF(A371="",0,IF(N(J371)&gt;N(I371),1,0))</f>
        <v/>
      </c>
      <c r="AG371" s="19">
        <f>IF(A371="",0,IF(N(N371)&gt;N(M371)+1,1,0))</f>
        <v/>
      </c>
      <c r="AH371" s="19">
        <f>IF(A371="",0,IF(N(E371)&gt;N(B371),1,0))</f>
        <v/>
      </c>
      <c r="AI371" s="19">
        <f>IF(A371="",0,IF(AND(Z371="Full payment",N(N371)&lt;N(M371)-1),1,0))</f>
        <v/>
      </c>
      <c r="AJ371" s="19">
        <f>IF(A371="",0,IF(N(P371)&lt;0,1,0))</f>
        <v/>
      </c>
      <c r="AK371" s="19">
        <f>IF(A371="",0,IF(COUNTIF($A$7:$A$1006,A371)&gt;1,1,0))</f>
        <v/>
      </c>
    </row>
    <row r="372">
      <c r="A372" s="10" t="n"/>
      <c r="B372" s="17" t="n"/>
      <c r="C372" s="18" t="n"/>
      <c r="D372" s="10" t="n"/>
      <c r="E372" s="17" t="n"/>
      <c r="F372" s="10" t="n"/>
      <c r="G372" s="10" t="n"/>
      <c r="H372" s="10" t="n"/>
      <c r="I372" s="18" t="n"/>
      <c r="J372" s="18" t="n"/>
      <c r="K372" s="18" t="n"/>
      <c r="L372" s="18" t="n"/>
      <c r="M372" s="19">
        <f>IF(K372="","",K372*365/12*L372)</f>
        <v/>
      </c>
      <c r="N372" s="18" t="n"/>
      <c r="O372" s="18" t="n"/>
      <c r="P372" s="18" t="n"/>
      <c r="Q372" s="18" t="n"/>
      <c r="R372" s="10" t="n"/>
      <c r="S372" s="17" t="n"/>
      <c r="T372" s="18" t="n"/>
      <c r="U372" s="17" t="n"/>
      <c r="V372" s="17" t="n"/>
      <c r="W372" s="18" t="n"/>
      <c r="X372" s="18" t="n"/>
      <c r="Y372" s="17" t="n"/>
      <c r="Z372" s="10" t="n"/>
      <c r="AA372" s="10" t="n"/>
      <c r="AB372" s="19">
        <f>IF(LEN(A372)&gt;0,1,0)</f>
        <v/>
      </c>
      <c r="AC372" s="19">
        <f>IF(LEN(A372)=0,0,(LEN(B372)=0)+(LEN(C372)=0)+(LEN(D372)=0)+(LEN(E372)=0)+(LEN(F372)=0)+(LEN(G372)=0)+(LEN(H372)=0)+(LEN(I372)=0)+(LEN(J372)=0)+(LEN(K372)=0)+(LEN(L372)=0)+(LEN(N372)=0)+(LEN(O372)=0)+(LEN(P372)=0)+(LEN(R372)=0)+(LEN(AA372)=0))</f>
        <v/>
      </c>
      <c r="AD372" s="19">
        <f>IF(OR(LEN(A372)=0,LEN(C372)=0),0,IF(OR(C372&lt;1,C372&gt;5),1,0))</f>
        <v/>
      </c>
      <c r="AE372" s="19">
        <f>IF(OR(LEN(A372)=0,LEN(R372)=0),0,IF(OR(R372="Active",R372="Paid off",R372="Defaulted",R372="Repossessed",R372="Written off",R372="Restructured"),0,1))</f>
        <v/>
      </c>
      <c r="AF372" s="19">
        <f>IF(A372="",0,IF(N(J372)&gt;N(I372),1,0))</f>
        <v/>
      </c>
      <c r="AG372" s="19">
        <f>IF(A372="",0,IF(N(N372)&gt;N(M372)+1,1,0))</f>
        <v/>
      </c>
      <c r="AH372" s="19">
        <f>IF(A372="",0,IF(N(E372)&gt;N(B372),1,0))</f>
        <v/>
      </c>
      <c r="AI372" s="19">
        <f>IF(A372="",0,IF(AND(Z372="Full payment",N(N372)&lt;N(M372)-1),1,0))</f>
        <v/>
      </c>
      <c r="AJ372" s="19">
        <f>IF(A372="",0,IF(N(P372)&lt;0,1,0))</f>
        <v/>
      </c>
      <c r="AK372" s="19">
        <f>IF(A372="",0,IF(COUNTIF($A$7:$A$1006,A372)&gt;1,1,0))</f>
        <v/>
      </c>
    </row>
    <row r="373">
      <c r="A373" s="10" t="n"/>
      <c r="B373" s="17" t="n"/>
      <c r="C373" s="18" t="n"/>
      <c r="D373" s="10" t="n"/>
      <c r="E373" s="17" t="n"/>
      <c r="F373" s="10" t="n"/>
      <c r="G373" s="10" t="n"/>
      <c r="H373" s="10" t="n"/>
      <c r="I373" s="18" t="n"/>
      <c r="J373" s="18" t="n"/>
      <c r="K373" s="18" t="n"/>
      <c r="L373" s="18" t="n"/>
      <c r="M373" s="19">
        <f>IF(K373="","",K373*365/12*L373)</f>
        <v/>
      </c>
      <c r="N373" s="18" t="n"/>
      <c r="O373" s="18" t="n"/>
      <c r="P373" s="18" t="n"/>
      <c r="Q373" s="18" t="n"/>
      <c r="R373" s="10" t="n"/>
      <c r="S373" s="17" t="n"/>
      <c r="T373" s="18" t="n"/>
      <c r="U373" s="17" t="n"/>
      <c r="V373" s="17" t="n"/>
      <c r="W373" s="18" t="n"/>
      <c r="X373" s="18" t="n"/>
      <c r="Y373" s="17" t="n"/>
      <c r="Z373" s="10" t="n"/>
      <c r="AA373" s="10" t="n"/>
      <c r="AB373" s="19">
        <f>IF(LEN(A373)&gt;0,1,0)</f>
        <v/>
      </c>
      <c r="AC373" s="19">
        <f>IF(LEN(A373)=0,0,(LEN(B373)=0)+(LEN(C373)=0)+(LEN(D373)=0)+(LEN(E373)=0)+(LEN(F373)=0)+(LEN(G373)=0)+(LEN(H373)=0)+(LEN(I373)=0)+(LEN(J373)=0)+(LEN(K373)=0)+(LEN(L373)=0)+(LEN(N373)=0)+(LEN(O373)=0)+(LEN(P373)=0)+(LEN(R373)=0)+(LEN(AA373)=0))</f>
        <v/>
      </c>
      <c r="AD373" s="19">
        <f>IF(OR(LEN(A373)=0,LEN(C373)=0),0,IF(OR(C373&lt;1,C373&gt;5),1,0))</f>
        <v/>
      </c>
      <c r="AE373" s="19">
        <f>IF(OR(LEN(A373)=0,LEN(R373)=0),0,IF(OR(R373="Active",R373="Paid off",R373="Defaulted",R373="Repossessed",R373="Written off",R373="Restructured"),0,1))</f>
        <v/>
      </c>
      <c r="AF373" s="19">
        <f>IF(A373="",0,IF(N(J373)&gt;N(I373),1,0))</f>
        <v/>
      </c>
      <c r="AG373" s="19">
        <f>IF(A373="",0,IF(N(N373)&gt;N(M373)+1,1,0))</f>
        <v/>
      </c>
      <c r="AH373" s="19">
        <f>IF(A373="",0,IF(N(E373)&gt;N(B373),1,0))</f>
        <v/>
      </c>
      <c r="AI373" s="19">
        <f>IF(A373="",0,IF(AND(Z373="Full payment",N(N373)&lt;N(M373)-1),1,0))</f>
        <v/>
      </c>
      <c r="AJ373" s="19">
        <f>IF(A373="",0,IF(N(P373)&lt;0,1,0))</f>
        <v/>
      </c>
      <c r="AK373" s="19">
        <f>IF(A373="",0,IF(COUNTIF($A$7:$A$1006,A373)&gt;1,1,0))</f>
        <v/>
      </c>
    </row>
    <row r="374">
      <c r="A374" s="10" t="n"/>
      <c r="B374" s="17" t="n"/>
      <c r="C374" s="18" t="n"/>
      <c r="D374" s="10" t="n"/>
      <c r="E374" s="17" t="n"/>
      <c r="F374" s="10" t="n"/>
      <c r="G374" s="10" t="n"/>
      <c r="H374" s="10" t="n"/>
      <c r="I374" s="18" t="n"/>
      <c r="J374" s="18" t="n"/>
      <c r="K374" s="18" t="n"/>
      <c r="L374" s="18" t="n"/>
      <c r="M374" s="19">
        <f>IF(K374="","",K374*365/12*L374)</f>
        <v/>
      </c>
      <c r="N374" s="18" t="n"/>
      <c r="O374" s="18" t="n"/>
      <c r="P374" s="18" t="n"/>
      <c r="Q374" s="18" t="n"/>
      <c r="R374" s="10" t="n"/>
      <c r="S374" s="17" t="n"/>
      <c r="T374" s="18" t="n"/>
      <c r="U374" s="17" t="n"/>
      <c r="V374" s="17" t="n"/>
      <c r="W374" s="18" t="n"/>
      <c r="X374" s="18" t="n"/>
      <c r="Y374" s="17" t="n"/>
      <c r="Z374" s="10" t="n"/>
      <c r="AA374" s="10" t="n"/>
      <c r="AB374" s="19">
        <f>IF(LEN(A374)&gt;0,1,0)</f>
        <v/>
      </c>
      <c r="AC374" s="19">
        <f>IF(LEN(A374)=0,0,(LEN(B374)=0)+(LEN(C374)=0)+(LEN(D374)=0)+(LEN(E374)=0)+(LEN(F374)=0)+(LEN(G374)=0)+(LEN(H374)=0)+(LEN(I374)=0)+(LEN(J374)=0)+(LEN(K374)=0)+(LEN(L374)=0)+(LEN(N374)=0)+(LEN(O374)=0)+(LEN(P374)=0)+(LEN(R374)=0)+(LEN(AA374)=0))</f>
        <v/>
      </c>
      <c r="AD374" s="19">
        <f>IF(OR(LEN(A374)=0,LEN(C374)=0),0,IF(OR(C374&lt;1,C374&gt;5),1,0))</f>
        <v/>
      </c>
      <c r="AE374" s="19">
        <f>IF(OR(LEN(A374)=0,LEN(R374)=0),0,IF(OR(R374="Active",R374="Paid off",R374="Defaulted",R374="Repossessed",R374="Written off",R374="Restructured"),0,1))</f>
        <v/>
      </c>
      <c r="AF374" s="19">
        <f>IF(A374="",0,IF(N(J374)&gt;N(I374),1,0))</f>
        <v/>
      </c>
      <c r="AG374" s="19">
        <f>IF(A374="",0,IF(N(N374)&gt;N(M374)+1,1,0))</f>
        <v/>
      </c>
      <c r="AH374" s="19">
        <f>IF(A374="",0,IF(N(E374)&gt;N(B374),1,0))</f>
        <v/>
      </c>
      <c r="AI374" s="19">
        <f>IF(A374="",0,IF(AND(Z374="Full payment",N(N374)&lt;N(M374)-1),1,0))</f>
        <v/>
      </c>
      <c r="AJ374" s="19">
        <f>IF(A374="",0,IF(N(P374)&lt;0,1,0))</f>
        <v/>
      </c>
      <c r="AK374" s="19">
        <f>IF(A374="",0,IF(COUNTIF($A$7:$A$1006,A374)&gt;1,1,0))</f>
        <v/>
      </c>
    </row>
    <row r="375">
      <c r="A375" s="10" t="n"/>
      <c r="B375" s="17" t="n"/>
      <c r="C375" s="18" t="n"/>
      <c r="D375" s="10" t="n"/>
      <c r="E375" s="17" t="n"/>
      <c r="F375" s="10" t="n"/>
      <c r="G375" s="10" t="n"/>
      <c r="H375" s="10" t="n"/>
      <c r="I375" s="18" t="n"/>
      <c r="J375" s="18" t="n"/>
      <c r="K375" s="18" t="n"/>
      <c r="L375" s="18" t="n"/>
      <c r="M375" s="19">
        <f>IF(K375="","",K375*365/12*L375)</f>
        <v/>
      </c>
      <c r="N375" s="18" t="n"/>
      <c r="O375" s="18" t="n"/>
      <c r="P375" s="18" t="n"/>
      <c r="Q375" s="18" t="n"/>
      <c r="R375" s="10" t="n"/>
      <c r="S375" s="17" t="n"/>
      <c r="T375" s="18" t="n"/>
      <c r="U375" s="17" t="n"/>
      <c r="V375" s="17" t="n"/>
      <c r="W375" s="18" t="n"/>
      <c r="X375" s="18" t="n"/>
      <c r="Y375" s="17" t="n"/>
      <c r="Z375" s="10" t="n"/>
      <c r="AA375" s="10" t="n"/>
      <c r="AB375" s="19">
        <f>IF(LEN(A375)&gt;0,1,0)</f>
        <v/>
      </c>
      <c r="AC375" s="19">
        <f>IF(LEN(A375)=0,0,(LEN(B375)=0)+(LEN(C375)=0)+(LEN(D375)=0)+(LEN(E375)=0)+(LEN(F375)=0)+(LEN(G375)=0)+(LEN(H375)=0)+(LEN(I375)=0)+(LEN(J375)=0)+(LEN(K375)=0)+(LEN(L375)=0)+(LEN(N375)=0)+(LEN(O375)=0)+(LEN(P375)=0)+(LEN(R375)=0)+(LEN(AA375)=0))</f>
        <v/>
      </c>
      <c r="AD375" s="19">
        <f>IF(OR(LEN(A375)=0,LEN(C375)=0),0,IF(OR(C375&lt;1,C375&gt;5),1,0))</f>
        <v/>
      </c>
      <c r="AE375" s="19">
        <f>IF(OR(LEN(A375)=0,LEN(R375)=0),0,IF(OR(R375="Active",R375="Paid off",R375="Defaulted",R375="Repossessed",R375="Written off",R375="Restructured"),0,1))</f>
        <v/>
      </c>
      <c r="AF375" s="19">
        <f>IF(A375="",0,IF(N(J375)&gt;N(I375),1,0))</f>
        <v/>
      </c>
      <c r="AG375" s="19">
        <f>IF(A375="",0,IF(N(N375)&gt;N(M375)+1,1,0))</f>
        <v/>
      </c>
      <c r="AH375" s="19">
        <f>IF(A375="",0,IF(N(E375)&gt;N(B375),1,0))</f>
        <v/>
      </c>
      <c r="AI375" s="19">
        <f>IF(A375="",0,IF(AND(Z375="Full payment",N(N375)&lt;N(M375)-1),1,0))</f>
        <v/>
      </c>
      <c r="AJ375" s="19">
        <f>IF(A375="",0,IF(N(P375)&lt;0,1,0))</f>
        <v/>
      </c>
      <c r="AK375" s="19">
        <f>IF(A375="",0,IF(COUNTIF($A$7:$A$1006,A375)&gt;1,1,0))</f>
        <v/>
      </c>
    </row>
    <row r="376">
      <c r="A376" s="10" t="n"/>
      <c r="B376" s="17" t="n"/>
      <c r="C376" s="18" t="n"/>
      <c r="D376" s="10" t="n"/>
      <c r="E376" s="17" t="n"/>
      <c r="F376" s="10" t="n"/>
      <c r="G376" s="10" t="n"/>
      <c r="H376" s="10" t="n"/>
      <c r="I376" s="18" t="n"/>
      <c r="J376" s="18" t="n"/>
      <c r="K376" s="18" t="n"/>
      <c r="L376" s="18" t="n"/>
      <c r="M376" s="19">
        <f>IF(K376="","",K376*365/12*L376)</f>
        <v/>
      </c>
      <c r="N376" s="18" t="n"/>
      <c r="O376" s="18" t="n"/>
      <c r="P376" s="18" t="n"/>
      <c r="Q376" s="18" t="n"/>
      <c r="R376" s="10" t="n"/>
      <c r="S376" s="17" t="n"/>
      <c r="T376" s="18" t="n"/>
      <c r="U376" s="17" t="n"/>
      <c r="V376" s="17" t="n"/>
      <c r="W376" s="18" t="n"/>
      <c r="X376" s="18" t="n"/>
      <c r="Y376" s="17" t="n"/>
      <c r="Z376" s="10" t="n"/>
      <c r="AA376" s="10" t="n"/>
      <c r="AB376" s="19">
        <f>IF(LEN(A376)&gt;0,1,0)</f>
        <v/>
      </c>
      <c r="AC376" s="19">
        <f>IF(LEN(A376)=0,0,(LEN(B376)=0)+(LEN(C376)=0)+(LEN(D376)=0)+(LEN(E376)=0)+(LEN(F376)=0)+(LEN(G376)=0)+(LEN(H376)=0)+(LEN(I376)=0)+(LEN(J376)=0)+(LEN(K376)=0)+(LEN(L376)=0)+(LEN(N376)=0)+(LEN(O376)=0)+(LEN(P376)=0)+(LEN(R376)=0)+(LEN(AA376)=0))</f>
        <v/>
      </c>
      <c r="AD376" s="19">
        <f>IF(OR(LEN(A376)=0,LEN(C376)=0),0,IF(OR(C376&lt;1,C376&gt;5),1,0))</f>
        <v/>
      </c>
      <c r="AE376" s="19">
        <f>IF(OR(LEN(A376)=0,LEN(R376)=0),0,IF(OR(R376="Active",R376="Paid off",R376="Defaulted",R376="Repossessed",R376="Written off",R376="Restructured"),0,1))</f>
        <v/>
      </c>
      <c r="AF376" s="19">
        <f>IF(A376="",0,IF(N(J376)&gt;N(I376),1,0))</f>
        <v/>
      </c>
      <c r="AG376" s="19">
        <f>IF(A376="",0,IF(N(N376)&gt;N(M376)+1,1,0))</f>
        <v/>
      </c>
      <c r="AH376" s="19">
        <f>IF(A376="",0,IF(N(E376)&gt;N(B376),1,0))</f>
        <v/>
      </c>
      <c r="AI376" s="19">
        <f>IF(A376="",0,IF(AND(Z376="Full payment",N(N376)&lt;N(M376)-1),1,0))</f>
        <v/>
      </c>
      <c r="AJ376" s="19">
        <f>IF(A376="",0,IF(N(P376)&lt;0,1,0))</f>
        <v/>
      </c>
      <c r="AK376" s="19">
        <f>IF(A376="",0,IF(COUNTIF($A$7:$A$1006,A376)&gt;1,1,0))</f>
        <v/>
      </c>
    </row>
    <row r="377">
      <c r="A377" s="10" t="n"/>
      <c r="B377" s="17" t="n"/>
      <c r="C377" s="18" t="n"/>
      <c r="D377" s="10" t="n"/>
      <c r="E377" s="17" t="n"/>
      <c r="F377" s="10" t="n"/>
      <c r="G377" s="10" t="n"/>
      <c r="H377" s="10" t="n"/>
      <c r="I377" s="18" t="n"/>
      <c r="J377" s="18" t="n"/>
      <c r="K377" s="18" t="n"/>
      <c r="L377" s="18" t="n"/>
      <c r="M377" s="19">
        <f>IF(K377="","",K377*365/12*L377)</f>
        <v/>
      </c>
      <c r="N377" s="18" t="n"/>
      <c r="O377" s="18" t="n"/>
      <c r="P377" s="18" t="n"/>
      <c r="Q377" s="18" t="n"/>
      <c r="R377" s="10" t="n"/>
      <c r="S377" s="17" t="n"/>
      <c r="T377" s="18" t="n"/>
      <c r="U377" s="17" t="n"/>
      <c r="V377" s="17" t="n"/>
      <c r="W377" s="18" t="n"/>
      <c r="X377" s="18" t="n"/>
      <c r="Y377" s="17" t="n"/>
      <c r="Z377" s="10" t="n"/>
      <c r="AA377" s="10" t="n"/>
      <c r="AB377" s="19">
        <f>IF(LEN(A377)&gt;0,1,0)</f>
        <v/>
      </c>
      <c r="AC377" s="19">
        <f>IF(LEN(A377)=0,0,(LEN(B377)=0)+(LEN(C377)=0)+(LEN(D377)=0)+(LEN(E377)=0)+(LEN(F377)=0)+(LEN(G377)=0)+(LEN(H377)=0)+(LEN(I377)=0)+(LEN(J377)=0)+(LEN(K377)=0)+(LEN(L377)=0)+(LEN(N377)=0)+(LEN(O377)=0)+(LEN(P377)=0)+(LEN(R377)=0)+(LEN(AA377)=0))</f>
        <v/>
      </c>
      <c r="AD377" s="19">
        <f>IF(OR(LEN(A377)=0,LEN(C377)=0),0,IF(OR(C377&lt;1,C377&gt;5),1,0))</f>
        <v/>
      </c>
      <c r="AE377" s="19">
        <f>IF(OR(LEN(A377)=0,LEN(R377)=0),0,IF(OR(R377="Active",R377="Paid off",R377="Defaulted",R377="Repossessed",R377="Written off",R377="Restructured"),0,1))</f>
        <v/>
      </c>
      <c r="AF377" s="19">
        <f>IF(A377="",0,IF(N(J377)&gt;N(I377),1,0))</f>
        <v/>
      </c>
      <c r="AG377" s="19">
        <f>IF(A377="",0,IF(N(N377)&gt;N(M377)+1,1,0))</f>
        <v/>
      </c>
      <c r="AH377" s="19">
        <f>IF(A377="",0,IF(N(E377)&gt;N(B377),1,0))</f>
        <v/>
      </c>
      <c r="AI377" s="19">
        <f>IF(A377="",0,IF(AND(Z377="Full payment",N(N377)&lt;N(M377)-1),1,0))</f>
        <v/>
      </c>
      <c r="AJ377" s="19">
        <f>IF(A377="",0,IF(N(P377)&lt;0,1,0))</f>
        <v/>
      </c>
      <c r="AK377" s="19">
        <f>IF(A377="",0,IF(COUNTIF($A$7:$A$1006,A377)&gt;1,1,0))</f>
        <v/>
      </c>
    </row>
    <row r="378">
      <c r="A378" s="10" t="n"/>
      <c r="B378" s="17" t="n"/>
      <c r="C378" s="18" t="n"/>
      <c r="D378" s="10" t="n"/>
      <c r="E378" s="17" t="n"/>
      <c r="F378" s="10" t="n"/>
      <c r="G378" s="10" t="n"/>
      <c r="H378" s="10" t="n"/>
      <c r="I378" s="18" t="n"/>
      <c r="J378" s="18" t="n"/>
      <c r="K378" s="18" t="n"/>
      <c r="L378" s="18" t="n"/>
      <c r="M378" s="19">
        <f>IF(K378="","",K378*365/12*L378)</f>
        <v/>
      </c>
      <c r="N378" s="18" t="n"/>
      <c r="O378" s="18" t="n"/>
      <c r="P378" s="18" t="n"/>
      <c r="Q378" s="18" t="n"/>
      <c r="R378" s="10" t="n"/>
      <c r="S378" s="17" t="n"/>
      <c r="T378" s="18" t="n"/>
      <c r="U378" s="17" t="n"/>
      <c r="V378" s="17" t="n"/>
      <c r="W378" s="18" t="n"/>
      <c r="X378" s="18" t="n"/>
      <c r="Y378" s="17" t="n"/>
      <c r="Z378" s="10" t="n"/>
      <c r="AA378" s="10" t="n"/>
      <c r="AB378" s="19">
        <f>IF(LEN(A378)&gt;0,1,0)</f>
        <v/>
      </c>
      <c r="AC378" s="19">
        <f>IF(LEN(A378)=0,0,(LEN(B378)=0)+(LEN(C378)=0)+(LEN(D378)=0)+(LEN(E378)=0)+(LEN(F378)=0)+(LEN(G378)=0)+(LEN(H378)=0)+(LEN(I378)=0)+(LEN(J378)=0)+(LEN(K378)=0)+(LEN(L378)=0)+(LEN(N378)=0)+(LEN(O378)=0)+(LEN(P378)=0)+(LEN(R378)=0)+(LEN(AA378)=0))</f>
        <v/>
      </c>
      <c r="AD378" s="19">
        <f>IF(OR(LEN(A378)=0,LEN(C378)=0),0,IF(OR(C378&lt;1,C378&gt;5),1,0))</f>
        <v/>
      </c>
      <c r="AE378" s="19">
        <f>IF(OR(LEN(A378)=0,LEN(R378)=0),0,IF(OR(R378="Active",R378="Paid off",R378="Defaulted",R378="Repossessed",R378="Written off",R378="Restructured"),0,1))</f>
        <v/>
      </c>
      <c r="AF378" s="19">
        <f>IF(A378="",0,IF(N(J378)&gt;N(I378),1,0))</f>
        <v/>
      </c>
      <c r="AG378" s="19">
        <f>IF(A378="",0,IF(N(N378)&gt;N(M378)+1,1,0))</f>
        <v/>
      </c>
      <c r="AH378" s="19">
        <f>IF(A378="",0,IF(N(E378)&gt;N(B378),1,0))</f>
        <v/>
      </c>
      <c r="AI378" s="19">
        <f>IF(A378="",0,IF(AND(Z378="Full payment",N(N378)&lt;N(M378)-1),1,0))</f>
        <v/>
      </c>
      <c r="AJ378" s="19">
        <f>IF(A378="",0,IF(N(P378)&lt;0,1,0))</f>
        <v/>
      </c>
      <c r="AK378" s="19">
        <f>IF(A378="",0,IF(COUNTIF($A$7:$A$1006,A378)&gt;1,1,0))</f>
        <v/>
      </c>
    </row>
    <row r="379">
      <c r="A379" s="10" t="n"/>
      <c r="B379" s="17" t="n"/>
      <c r="C379" s="18" t="n"/>
      <c r="D379" s="10" t="n"/>
      <c r="E379" s="17" t="n"/>
      <c r="F379" s="10" t="n"/>
      <c r="G379" s="10" t="n"/>
      <c r="H379" s="10" t="n"/>
      <c r="I379" s="18" t="n"/>
      <c r="J379" s="18" t="n"/>
      <c r="K379" s="18" t="n"/>
      <c r="L379" s="18" t="n"/>
      <c r="M379" s="19">
        <f>IF(K379="","",K379*365/12*L379)</f>
        <v/>
      </c>
      <c r="N379" s="18" t="n"/>
      <c r="O379" s="18" t="n"/>
      <c r="P379" s="18" t="n"/>
      <c r="Q379" s="18" t="n"/>
      <c r="R379" s="10" t="n"/>
      <c r="S379" s="17" t="n"/>
      <c r="T379" s="18" t="n"/>
      <c r="U379" s="17" t="n"/>
      <c r="V379" s="17" t="n"/>
      <c r="W379" s="18" t="n"/>
      <c r="X379" s="18" t="n"/>
      <c r="Y379" s="17" t="n"/>
      <c r="Z379" s="10" t="n"/>
      <c r="AA379" s="10" t="n"/>
      <c r="AB379" s="19">
        <f>IF(LEN(A379)&gt;0,1,0)</f>
        <v/>
      </c>
      <c r="AC379" s="19">
        <f>IF(LEN(A379)=0,0,(LEN(B379)=0)+(LEN(C379)=0)+(LEN(D379)=0)+(LEN(E379)=0)+(LEN(F379)=0)+(LEN(G379)=0)+(LEN(H379)=0)+(LEN(I379)=0)+(LEN(J379)=0)+(LEN(K379)=0)+(LEN(L379)=0)+(LEN(N379)=0)+(LEN(O379)=0)+(LEN(P379)=0)+(LEN(R379)=0)+(LEN(AA379)=0))</f>
        <v/>
      </c>
      <c r="AD379" s="19">
        <f>IF(OR(LEN(A379)=0,LEN(C379)=0),0,IF(OR(C379&lt;1,C379&gt;5),1,0))</f>
        <v/>
      </c>
      <c r="AE379" s="19">
        <f>IF(OR(LEN(A379)=0,LEN(R379)=0),0,IF(OR(R379="Active",R379="Paid off",R379="Defaulted",R379="Repossessed",R379="Written off",R379="Restructured"),0,1))</f>
        <v/>
      </c>
      <c r="AF379" s="19">
        <f>IF(A379="",0,IF(N(J379)&gt;N(I379),1,0))</f>
        <v/>
      </c>
      <c r="AG379" s="19">
        <f>IF(A379="",0,IF(N(N379)&gt;N(M379)+1,1,0))</f>
        <v/>
      </c>
      <c r="AH379" s="19">
        <f>IF(A379="",0,IF(N(E379)&gt;N(B379),1,0))</f>
        <v/>
      </c>
      <c r="AI379" s="19">
        <f>IF(A379="",0,IF(AND(Z379="Full payment",N(N379)&lt;N(M379)-1),1,0))</f>
        <v/>
      </c>
      <c r="AJ379" s="19">
        <f>IF(A379="",0,IF(N(P379)&lt;0,1,0))</f>
        <v/>
      </c>
      <c r="AK379" s="19">
        <f>IF(A379="",0,IF(COUNTIF($A$7:$A$1006,A379)&gt;1,1,0))</f>
        <v/>
      </c>
    </row>
    <row r="380">
      <c r="A380" s="10" t="n"/>
      <c r="B380" s="17" t="n"/>
      <c r="C380" s="18" t="n"/>
      <c r="D380" s="10" t="n"/>
      <c r="E380" s="17" t="n"/>
      <c r="F380" s="10" t="n"/>
      <c r="G380" s="10" t="n"/>
      <c r="H380" s="10" t="n"/>
      <c r="I380" s="18" t="n"/>
      <c r="J380" s="18" t="n"/>
      <c r="K380" s="18" t="n"/>
      <c r="L380" s="18" t="n"/>
      <c r="M380" s="19">
        <f>IF(K380="","",K380*365/12*L380)</f>
        <v/>
      </c>
      <c r="N380" s="18" t="n"/>
      <c r="O380" s="18" t="n"/>
      <c r="P380" s="18" t="n"/>
      <c r="Q380" s="18" t="n"/>
      <c r="R380" s="10" t="n"/>
      <c r="S380" s="17" t="n"/>
      <c r="T380" s="18" t="n"/>
      <c r="U380" s="17" t="n"/>
      <c r="V380" s="17" t="n"/>
      <c r="W380" s="18" t="n"/>
      <c r="X380" s="18" t="n"/>
      <c r="Y380" s="17" t="n"/>
      <c r="Z380" s="10" t="n"/>
      <c r="AA380" s="10" t="n"/>
      <c r="AB380" s="19">
        <f>IF(LEN(A380)&gt;0,1,0)</f>
        <v/>
      </c>
      <c r="AC380" s="19">
        <f>IF(LEN(A380)=0,0,(LEN(B380)=0)+(LEN(C380)=0)+(LEN(D380)=0)+(LEN(E380)=0)+(LEN(F380)=0)+(LEN(G380)=0)+(LEN(H380)=0)+(LEN(I380)=0)+(LEN(J380)=0)+(LEN(K380)=0)+(LEN(L380)=0)+(LEN(N380)=0)+(LEN(O380)=0)+(LEN(P380)=0)+(LEN(R380)=0)+(LEN(AA380)=0))</f>
        <v/>
      </c>
      <c r="AD380" s="19">
        <f>IF(OR(LEN(A380)=0,LEN(C380)=0),0,IF(OR(C380&lt;1,C380&gt;5),1,0))</f>
        <v/>
      </c>
      <c r="AE380" s="19">
        <f>IF(OR(LEN(A380)=0,LEN(R380)=0),0,IF(OR(R380="Active",R380="Paid off",R380="Defaulted",R380="Repossessed",R380="Written off",R380="Restructured"),0,1))</f>
        <v/>
      </c>
      <c r="AF380" s="19">
        <f>IF(A380="",0,IF(N(J380)&gt;N(I380),1,0))</f>
        <v/>
      </c>
      <c r="AG380" s="19">
        <f>IF(A380="",0,IF(N(N380)&gt;N(M380)+1,1,0))</f>
        <v/>
      </c>
      <c r="AH380" s="19">
        <f>IF(A380="",0,IF(N(E380)&gt;N(B380),1,0))</f>
        <v/>
      </c>
      <c r="AI380" s="19">
        <f>IF(A380="",0,IF(AND(Z380="Full payment",N(N380)&lt;N(M380)-1),1,0))</f>
        <v/>
      </c>
      <c r="AJ380" s="19">
        <f>IF(A380="",0,IF(N(P380)&lt;0,1,0))</f>
        <v/>
      </c>
      <c r="AK380" s="19">
        <f>IF(A380="",0,IF(COUNTIF($A$7:$A$1006,A380)&gt;1,1,0))</f>
        <v/>
      </c>
    </row>
    <row r="381">
      <c r="A381" s="10" t="n"/>
      <c r="B381" s="17" t="n"/>
      <c r="C381" s="18" t="n"/>
      <c r="D381" s="10" t="n"/>
      <c r="E381" s="17" t="n"/>
      <c r="F381" s="10" t="n"/>
      <c r="G381" s="10" t="n"/>
      <c r="H381" s="10" t="n"/>
      <c r="I381" s="18" t="n"/>
      <c r="J381" s="18" t="n"/>
      <c r="K381" s="18" t="n"/>
      <c r="L381" s="18" t="n"/>
      <c r="M381" s="19">
        <f>IF(K381="","",K381*365/12*L381)</f>
        <v/>
      </c>
      <c r="N381" s="18" t="n"/>
      <c r="O381" s="18" t="n"/>
      <c r="P381" s="18" t="n"/>
      <c r="Q381" s="18" t="n"/>
      <c r="R381" s="10" t="n"/>
      <c r="S381" s="17" t="n"/>
      <c r="T381" s="18" t="n"/>
      <c r="U381" s="17" t="n"/>
      <c r="V381" s="17" t="n"/>
      <c r="W381" s="18" t="n"/>
      <c r="X381" s="18" t="n"/>
      <c r="Y381" s="17" t="n"/>
      <c r="Z381" s="10" t="n"/>
      <c r="AA381" s="10" t="n"/>
      <c r="AB381" s="19">
        <f>IF(LEN(A381)&gt;0,1,0)</f>
        <v/>
      </c>
      <c r="AC381" s="19">
        <f>IF(LEN(A381)=0,0,(LEN(B381)=0)+(LEN(C381)=0)+(LEN(D381)=0)+(LEN(E381)=0)+(LEN(F381)=0)+(LEN(G381)=0)+(LEN(H381)=0)+(LEN(I381)=0)+(LEN(J381)=0)+(LEN(K381)=0)+(LEN(L381)=0)+(LEN(N381)=0)+(LEN(O381)=0)+(LEN(P381)=0)+(LEN(R381)=0)+(LEN(AA381)=0))</f>
        <v/>
      </c>
      <c r="AD381" s="19">
        <f>IF(OR(LEN(A381)=0,LEN(C381)=0),0,IF(OR(C381&lt;1,C381&gt;5),1,0))</f>
        <v/>
      </c>
      <c r="AE381" s="19">
        <f>IF(OR(LEN(A381)=0,LEN(R381)=0),0,IF(OR(R381="Active",R381="Paid off",R381="Defaulted",R381="Repossessed",R381="Written off",R381="Restructured"),0,1))</f>
        <v/>
      </c>
      <c r="AF381" s="19">
        <f>IF(A381="",0,IF(N(J381)&gt;N(I381),1,0))</f>
        <v/>
      </c>
      <c r="AG381" s="19">
        <f>IF(A381="",0,IF(N(N381)&gt;N(M381)+1,1,0))</f>
        <v/>
      </c>
      <c r="AH381" s="19">
        <f>IF(A381="",0,IF(N(E381)&gt;N(B381),1,0))</f>
        <v/>
      </c>
      <c r="AI381" s="19">
        <f>IF(A381="",0,IF(AND(Z381="Full payment",N(N381)&lt;N(M381)-1),1,0))</f>
        <v/>
      </c>
      <c r="AJ381" s="19">
        <f>IF(A381="",0,IF(N(P381)&lt;0,1,0))</f>
        <v/>
      </c>
      <c r="AK381" s="19">
        <f>IF(A381="",0,IF(COUNTIF($A$7:$A$1006,A381)&gt;1,1,0))</f>
        <v/>
      </c>
    </row>
    <row r="382">
      <c r="A382" s="10" t="n"/>
      <c r="B382" s="17" t="n"/>
      <c r="C382" s="18" t="n"/>
      <c r="D382" s="10" t="n"/>
      <c r="E382" s="17" t="n"/>
      <c r="F382" s="10" t="n"/>
      <c r="G382" s="10" t="n"/>
      <c r="H382" s="10" t="n"/>
      <c r="I382" s="18" t="n"/>
      <c r="J382" s="18" t="n"/>
      <c r="K382" s="18" t="n"/>
      <c r="L382" s="18" t="n"/>
      <c r="M382" s="19">
        <f>IF(K382="","",K382*365/12*L382)</f>
        <v/>
      </c>
      <c r="N382" s="18" t="n"/>
      <c r="O382" s="18" t="n"/>
      <c r="P382" s="18" t="n"/>
      <c r="Q382" s="18" t="n"/>
      <c r="R382" s="10" t="n"/>
      <c r="S382" s="17" t="n"/>
      <c r="T382" s="18" t="n"/>
      <c r="U382" s="17" t="n"/>
      <c r="V382" s="17" t="n"/>
      <c r="W382" s="18" t="n"/>
      <c r="X382" s="18" t="n"/>
      <c r="Y382" s="17" t="n"/>
      <c r="Z382" s="10" t="n"/>
      <c r="AA382" s="10" t="n"/>
      <c r="AB382" s="19">
        <f>IF(LEN(A382)&gt;0,1,0)</f>
        <v/>
      </c>
      <c r="AC382" s="19">
        <f>IF(LEN(A382)=0,0,(LEN(B382)=0)+(LEN(C382)=0)+(LEN(D382)=0)+(LEN(E382)=0)+(LEN(F382)=0)+(LEN(G382)=0)+(LEN(H382)=0)+(LEN(I382)=0)+(LEN(J382)=0)+(LEN(K382)=0)+(LEN(L382)=0)+(LEN(N382)=0)+(LEN(O382)=0)+(LEN(P382)=0)+(LEN(R382)=0)+(LEN(AA382)=0))</f>
        <v/>
      </c>
      <c r="AD382" s="19">
        <f>IF(OR(LEN(A382)=0,LEN(C382)=0),0,IF(OR(C382&lt;1,C382&gt;5),1,0))</f>
        <v/>
      </c>
      <c r="AE382" s="19">
        <f>IF(OR(LEN(A382)=0,LEN(R382)=0),0,IF(OR(R382="Active",R382="Paid off",R382="Defaulted",R382="Repossessed",R382="Written off",R382="Restructured"),0,1))</f>
        <v/>
      </c>
      <c r="AF382" s="19">
        <f>IF(A382="",0,IF(N(J382)&gt;N(I382),1,0))</f>
        <v/>
      </c>
      <c r="AG382" s="19">
        <f>IF(A382="",0,IF(N(N382)&gt;N(M382)+1,1,0))</f>
        <v/>
      </c>
      <c r="AH382" s="19">
        <f>IF(A382="",0,IF(N(E382)&gt;N(B382),1,0))</f>
        <v/>
      </c>
      <c r="AI382" s="19">
        <f>IF(A382="",0,IF(AND(Z382="Full payment",N(N382)&lt;N(M382)-1),1,0))</f>
        <v/>
      </c>
      <c r="AJ382" s="19">
        <f>IF(A382="",0,IF(N(P382)&lt;0,1,0))</f>
        <v/>
      </c>
      <c r="AK382" s="19">
        <f>IF(A382="",0,IF(COUNTIF($A$7:$A$1006,A382)&gt;1,1,0))</f>
        <v/>
      </c>
    </row>
    <row r="383">
      <c r="A383" s="10" t="n"/>
      <c r="B383" s="17" t="n"/>
      <c r="C383" s="18" t="n"/>
      <c r="D383" s="10" t="n"/>
      <c r="E383" s="17" t="n"/>
      <c r="F383" s="10" t="n"/>
      <c r="G383" s="10" t="n"/>
      <c r="H383" s="10" t="n"/>
      <c r="I383" s="18" t="n"/>
      <c r="J383" s="18" t="n"/>
      <c r="K383" s="18" t="n"/>
      <c r="L383" s="18" t="n"/>
      <c r="M383" s="19">
        <f>IF(K383="","",K383*365/12*L383)</f>
        <v/>
      </c>
      <c r="N383" s="18" t="n"/>
      <c r="O383" s="18" t="n"/>
      <c r="P383" s="18" t="n"/>
      <c r="Q383" s="18" t="n"/>
      <c r="R383" s="10" t="n"/>
      <c r="S383" s="17" t="n"/>
      <c r="T383" s="18" t="n"/>
      <c r="U383" s="17" t="n"/>
      <c r="V383" s="17" t="n"/>
      <c r="W383" s="18" t="n"/>
      <c r="X383" s="18" t="n"/>
      <c r="Y383" s="17" t="n"/>
      <c r="Z383" s="10" t="n"/>
      <c r="AA383" s="10" t="n"/>
      <c r="AB383" s="19">
        <f>IF(LEN(A383)&gt;0,1,0)</f>
        <v/>
      </c>
      <c r="AC383" s="19">
        <f>IF(LEN(A383)=0,0,(LEN(B383)=0)+(LEN(C383)=0)+(LEN(D383)=0)+(LEN(E383)=0)+(LEN(F383)=0)+(LEN(G383)=0)+(LEN(H383)=0)+(LEN(I383)=0)+(LEN(J383)=0)+(LEN(K383)=0)+(LEN(L383)=0)+(LEN(N383)=0)+(LEN(O383)=0)+(LEN(P383)=0)+(LEN(R383)=0)+(LEN(AA383)=0))</f>
        <v/>
      </c>
      <c r="AD383" s="19">
        <f>IF(OR(LEN(A383)=0,LEN(C383)=0),0,IF(OR(C383&lt;1,C383&gt;5),1,0))</f>
        <v/>
      </c>
      <c r="AE383" s="19">
        <f>IF(OR(LEN(A383)=0,LEN(R383)=0),0,IF(OR(R383="Active",R383="Paid off",R383="Defaulted",R383="Repossessed",R383="Written off",R383="Restructured"),0,1))</f>
        <v/>
      </c>
      <c r="AF383" s="19">
        <f>IF(A383="",0,IF(N(J383)&gt;N(I383),1,0))</f>
        <v/>
      </c>
      <c r="AG383" s="19">
        <f>IF(A383="",0,IF(N(N383)&gt;N(M383)+1,1,0))</f>
        <v/>
      </c>
      <c r="AH383" s="19">
        <f>IF(A383="",0,IF(N(E383)&gt;N(B383),1,0))</f>
        <v/>
      </c>
      <c r="AI383" s="19">
        <f>IF(A383="",0,IF(AND(Z383="Full payment",N(N383)&lt;N(M383)-1),1,0))</f>
        <v/>
      </c>
      <c r="AJ383" s="19">
        <f>IF(A383="",0,IF(N(P383)&lt;0,1,0))</f>
        <v/>
      </c>
      <c r="AK383" s="19">
        <f>IF(A383="",0,IF(COUNTIF($A$7:$A$1006,A383)&gt;1,1,0))</f>
        <v/>
      </c>
    </row>
    <row r="384">
      <c r="A384" s="10" t="n"/>
      <c r="B384" s="17" t="n"/>
      <c r="C384" s="18" t="n"/>
      <c r="D384" s="10" t="n"/>
      <c r="E384" s="17" t="n"/>
      <c r="F384" s="10" t="n"/>
      <c r="G384" s="10" t="n"/>
      <c r="H384" s="10" t="n"/>
      <c r="I384" s="18" t="n"/>
      <c r="J384" s="18" t="n"/>
      <c r="K384" s="18" t="n"/>
      <c r="L384" s="18" t="n"/>
      <c r="M384" s="19">
        <f>IF(K384="","",K384*365/12*L384)</f>
        <v/>
      </c>
      <c r="N384" s="18" t="n"/>
      <c r="O384" s="18" t="n"/>
      <c r="P384" s="18" t="n"/>
      <c r="Q384" s="18" t="n"/>
      <c r="R384" s="10" t="n"/>
      <c r="S384" s="17" t="n"/>
      <c r="T384" s="18" t="n"/>
      <c r="U384" s="17" t="n"/>
      <c r="V384" s="17" t="n"/>
      <c r="W384" s="18" t="n"/>
      <c r="X384" s="18" t="n"/>
      <c r="Y384" s="17" t="n"/>
      <c r="Z384" s="10" t="n"/>
      <c r="AA384" s="10" t="n"/>
      <c r="AB384" s="19">
        <f>IF(LEN(A384)&gt;0,1,0)</f>
        <v/>
      </c>
      <c r="AC384" s="19">
        <f>IF(LEN(A384)=0,0,(LEN(B384)=0)+(LEN(C384)=0)+(LEN(D384)=0)+(LEN(E384)=0)+(LEN(F384)=0)+(LEN(G384)=0)+(LEN(H384)=0)+(LEN(I384)=0)+(LEN(J384)=0)+(LEN(K384)=0)+(LEN(L384)=0)+(LEN(N384)=0)+(LEN(O384)=0)+(LEN(P384)=0)+(LEN(R384)=0)+(LEN(AA384)=0))</f>
        <v/>
      </c>
      <c r="AD384" s="19">
        <f>IF(OR(LEN(A384)=0,LEN(C384)=0),0,IF(OR(C384&lt;1,C384&gt;5),1,0))</f>
        <v/>
      </c>
      <c r="AE384" s="19">
        <f>IF(OR(LEN(A384)=0,LEN(R384)=0),0,IF(OR(R384="Active",R384="Paid off",R384="Defaulted",R384="Repossessed",R384="Written off",R384="Restructured"),0,1))</f>
        <v/>
      </c>
      <c r="AF384" s="19">
        <f>IF(A384="",0,IF(N(J384)&gt;N(I384),1,0))</f>
        <v/>
      </c>
      <c r="AG384" s="19">
        <f>IF(A384="",0,IF(N(N384)&gt;N(M384)+1,1,0))</f>
        <v/>
      </c>
      <c r="AH384" s="19">
        <f>IF(A384="",0,IF(N(E384)&gt;N(B384),1,0))</f>
        <v/>
      </c>
      <c r="AI384" s="19">
        <f>IF(A384="",0,IF(AND(Z384="Full payment",N(N384)&lt;N(M384)-1),1,0))</f>
        <v/>
      </c>
      <c r="AJ384" s="19">
        <f>IF(A384="",0,IF(N(P384)&lt;0,1,0))</f>
        <v/>
      </c>
      <c r="AK384" s="19">
        <f>IF(A384="",0,IF(COUNTIF($A$7:$A$1006,A384)&gt;1,1,0))</f>
        <v/>
      </c>
    </row>
    <row r="385">
      <c r="A385" s="10" t="n"/>
      <c r="B385" s="17" t="n"/>
      <c r="C385" s="18" t="n"/>
      <c r="D385" s="10" t="n"/>
      <c r="E385" s="17" t="n"/>
      <c r="F385" s="10" t="n"/>
      <c r="G385" s="10" t="n"/>
      <c r="H385" s="10" t="n"/>
      <c r="I385" s="18" t="n"/>
      <c r="J385" s="18" t="n"/>
      <c r="K385" s="18" t="n"/>
      <c r="L385" s="18" t="n"/>
      <c r="M385" s="19">
        <f>IF(K385="","",K385*365/12*L385)</f>
        <v/>
      </c>
      <c r="N385" s="18" t="n"/>
      <c r="O385" s="18" t="n"/>
      <c r="P385" s="18" t="n"/>
      <c r="Q385" s="18" t="n"/>
      <c r="R385" s="10" t="n"/>
      <c r="S385" s="17" t="n"/>
      <c r="T385" s="18" t="n"/>
      <c r="U385" s="17" t="n"/>
      <c r="V385" s="17" t="n"/>
      <c r="W385" s="18" t="n"/>
      <c r="X385" s="18" t="n"/>
      <c r="Y385" s="17" t="n"/>
      <c r="Z385" s="10" t="n"/>
      <c r="AA385" s="10" t="n"/>
      <c r="AB385" s="19">
        <f>IF(LEN(A385)&gt;0,1,0)</f>
        <v/>
      </c>
      <c r="AC385" s="19">
        <f>IF(LEN(A385)=0,0,(LEN(B385)=0)+(LEN(C385)=0)+(LEN(D385)=0)+(LEN(E385)=0)+(LEN(F385)=0)+(LEN(G385)=0)+(LEN(H385)=0)+(LEN(I385)=0)+(LEN(J385)=0)+(LEN(K385)=0)+(LEN(L385)=0)+(LEN(N385)=0)+(LEN(O385)=0)+(LEN(P385)=0)+(LEN(R385)=0)+(LEN(AA385)=0))</f>
        <v/>
      </c>
      <c r="AD385" s="19">
        <f>IF(OR(LEN(A385)=0,LEN(C385)=0),0,IF(OR(C385&lt;1,C385&gt;5),1,0))</f>
        <v/>
      </c>
      <c r="AE385" s="19">
        <f>IF(OR(LEN(A385)=0,LEN(R385)=0),0,IF(OR(R385="Active",R385="Paid off",R385="Defaulted",R385="Repossessed",R385="Written off",R385="Restructured"),0,1))</f>
        <v/>
      </c>
      <c r="AF385" s="19">
        <f>IF(A385="",0,IF(N(J385)&gt;N(I385),1,0))</f>
        <v/>
      </c>
      <c r="AG385" s="19">
        <f>IF(A385="",0,IF(N(N385)&gt;N(M385)+1,1,0))</f>
        <v/>
      </c>
      <c r="AH385" s="19">
        <f>IF(A385="",0,IF(N(E385)&gt;N(B385),1,0))</f>
        <v/>
      </c>
      <c r="AI385" s="19">
        <f>IF(A385="",0,IF(AND(Z385="Full payment",N(N385)&lt;N(M385)-1),1,0))</f>
        <v/>
      </c>
      <c r="AJ385" s="19">
        <f>IF(A385="",0,IF(N(P385)&lt;0,1,0))</f>
        <v/>
      </c>
      <c r="AK385" s="19">
        <f>IF(A385="",0,IF(COUNTIF($A$7:$A$1006,A385)&gt;1,1,0))</f>
        <v/>
      </c>
    </row>
    <row r="386">
      <c r="A386" s="10" t="n"/>
      <c r="B386" s="17" t="n"/>
      <c r="C386" s="18" t="n"/>
      <c r="D386" s="10" t="n"/>
      <c r="E386" s="17" t="n"/>
      <c r="F386" s="10" t="n"/>
      <c r="G386" s="10" t="n"/>
      <c r="H386" s="10" t="n"/>
      <c r="I386" s="18" t="n"/>
      <c r="J386" s="18" t="n"/>
      <c r="K386" s="18" t="n"/>
      <c r="L386" s="18" t="n"/>
      <c r="M386" s="19">
        <f>IF(K386="","",K386*365/12*L386)</f>
        <v/>
      </c>
      <c r="N386" s="18" t="n"/>
      <c r="O386" s="18" t="n"/>
      <c r="P386" s="18" t="n"/>
      <c r="Q386" s="18" t="n"/>
      <c r="R386" s="10" t="n"/>
      <c r="S386" s="17" t="n"/>
      <c r="T386" s="18" t="n"/>
      <c r="U386" s="17" t="n"/>
      <c r="V386" s="17" t="n"/>
      <c r="W386" s="18" t="n"/>
      <c r="X386" s="18" t="n"/>
      <c r="Y386" s="17" t="n"/>
      <c r="Z386" s="10" t="n"/>
      <c r="AA386" s="10" t="n"/>
      <c r="AB386" s="19">
        <f>IF(LEN(A386)&gt;0,1,0)</f>
        <v/>
      </c>
      <c r="AC386" s="19">
        <f>IF(LEN(A386)=0,0,(LEN(B386)=0)+(LEN(C386)=0)+(LEN(D386)=0)+(LEN(E386)=0)+(LEN(F386)=0)+(LEN(G386)=0)+(LEN(H386)=0)+(LEN(I386)=0)+(LEN(J386)=0)+(LEN(K386)=0)+(LEN(L386)=0)+(LEN(N386)=0)+(LEN(O386)=0)+(LEN(P386)=0)+(LEN(R386)=0)+(LEN(AA386)=0))</f>
        <v/>
      </c>
      <c r="AD386" s="19">
        <f>IF(OR(LEN(A386)=0,LEN(C386)=0),0,IF(OR(C386&lt;1,C386&gt;5),1,0))</f>
        <v/>
      </c>
      <c r="AE386" s="19">
        <f>IF(OR(LEN(A386)=0,LEN(R386)=0),0,IF(OR(R386="Active",R386="Paid off",R386="Defaulted",R386="Repossessed",R386="Written off",R386="Restructured"),0,1))</f>
        <v/>
      </c>
      <c r="AF386" s="19">
        <f>IF(A386="",0,IF(N(J386)&gt;N(I386),1,0))</f>
        <v/>
      </c>
      <c r="AG386" s="19">
        <f>IF(A386="",0,IF(N(N386)&gt;N(M386)+1,1,0))</f>
        <v/>
      </c>
      <c r="AH386" s="19">
        <f>IF(A386="",0,IF(N(E386)&gt;N(B386),1,0))</f>
        <v/>
      </c>
      <c r="AI386" s="19">
        <f>IF(A386="",0,IF(AND(Z386="Full payment",N(N386)&lt;N(M386)-1),1,0))</f>
        <v/>
      </c>
      <c r="AJ386" s="19">
        <f>IF(A386="",0,IF(N(P386)&lt;0,1,0))</f>
        <v/>
      </c>
      <c r="AK386" s="19">
        <f>IF(A386="",0,IF(COUNTIF($A$7:$A$1006,A386)&gt;1,1,0))</f>
        <v/>
      </c>
    </row>
    <row r="387">
      <c r="A387" s="10" t="n"/>
      <c r="B387" s="17" t="n"/>
      <c r="C387" s="18" t="n"/>
      <c r="D387" s="10" t="n"/>
      <c r="E387" s="17" t="n"/>
      <c r="F387" s="10" t="n"/>
      <c r="G387" s="10" t="n"/>
      <c r="H387" s="10" t="n"/>
      <c r="I387" s="18" t="n"/>
      <c r="J387" s="18" t="n"/>
      <c r="K387" s="18" t="n"/>
      <c r="L387" s="18" t="n"/>
      <c r="M387" s="19">
        <f>IF(K387="","",K387*365/12*L387)</f>
        <v/>
      </c>
      <c r="N387" s="18" t="n"/>
      <c r="O387" s="18" t="n"/>
      <c r="P387" s="18" t="n"/>
      <c r="Q387" s="18" t="n"/>
      <c r="R387" s="10" t="n"/>
      <c r="S387" s="17" t="n"/>
      <c r="T387" s="18" t="n"/>
      <c r="U387" s="17" t="n"/>
      <c r="V387" s="17" t="n"/>
      <c r="W387" s="18" t="n"/>
      <c r="X387" s="18" t="n"/>
      <c r="Y387" s="17" t="n"/>
      <c r="Z387" s="10" t="n"/>
      <c r="AA387" s="10" t="n"/>
      <c r="AB387" s="19">
        <f>IF(LEN(A387)&gt;0,1,0)</f>
        <v/>
      </c>
      <c r="AC387" s="19">
        <f>IF(LEN(A387)=0,0,(LEN(B387)=0)+(LEN(C387)=0)+(LEN(D387)=0)+(LEN(E387)=0)+(LEN(F387)=0)+(LEN(G387)=0)+(LEN(H387)=0)+(LEN(I387)=0)+(LEN(J387)=0)+(LEN(K387)=0)+(LEN(L387)=0)+(LEN(N387)=0)+(LEN(O387)=0)+(LEN(P387)=0)+(LEN(R387)=0)+(LEN(AA387)=0))</f>
        <v/>
      </c>
      <c r="AD387" s="19">
        <f>IF(OR(LEN(A387)=0,LEN(C387)=0),0,IF(OR(C387&lt;1,C387&gt;5),1,0))</f>
        <v/>
      </c>
      <c r="AE387" s="19">
        <f>IF(OR(LEN(A387)=0,LEN(R387)=0),0,IF(OR(R387="Active",R387="Paid off",R387="Defaulted",R387="Repossessed",R387="Written off",R387="Restructured"),0,1))</f>
        <v/>
      </c>
      <c r="AF387" s="19">
        <f>IF(A387="",0,IF(N(J387)&gt;N(I387),1,0))</f>
        <v/>
      </c>
      <c r="AG387" s="19">
        <f>IF(A387="",0,IF(N(N387)&gt;N(M387)+1,1,0))</f>
        <v/>
      </c>
      <c r="AH387" s="19">
        <f>IF(A387="",0,IF(N(E387)&gt;N(B387),1,0))</f>
        <v/>
      </c>
      <c r="AI387" s="19">
        <f>IF(A387="",0,IF(AND(Z387="Full payment",N(N387)&lt;N(M387)-1),1,0))</f>
        <v/>
      </c>
      <c r="AJ387" s="19">
        <f>IF(A387="",0,IF(N(P387)&lt;0,1,0))</f>
        <v/>
      </c>
      <c r="AK387" s="19">
        <f>IF(A387="",0,IF(COUNTIF($A$7:$A$1006,A387)&gt;1,1,0))</f>
        <v/>
      </c>
    </row>
    <row r="388">
      <c r="A388" s="10" t="n"/>
      <c r="B388" s="17" t="n"/>
      <c r="C388" s="18" t="n"/>
      <c r="D388" s="10" t="n"/>
      <c r="E388" s="17" t="n"/>
      <c r="F388" s="10" t="n"/>
      <c r="G388" s="10" t="n"/>
      <c r="H388" s="10" t="n"/>
      <c r="I388" s="18" t="n"/>
      <c r="J388" s="18" t="n"/>
      <c r="K388" s="18" t="n"/>
      <c r="L388" s="18" t="n"/>
      <c r="M388" s="19">
        <f>IF(K388="","",K388*365/12*L388)</f>
        <v/>
      </c>
      <c r="N388" s="18" t="n"/>
      <c r="O388" s="18" t="n"/>
      <c r="P388" s="18" t="n"/>
      <c r="Q388" s="18" t="n"/>
      <c r="R388" s="10" t="n"/>
      <c r="S388" s="17" t="n"/>
      <c r="T388" s="18" t="n"/>
      <c r="U388" s="17" t="n"/>
      <c r="V388" s="17" t="n"/>
      <c r="W388" s="18" t="n"/>
      <c r="X388" s="18" t="n"/>
      <c r="Y388" s="17" t="n"/>
      <c r="Z388" s="10" t="n"/>
      <c r="AA388" s="10" t="n"/>
      <c r="AB388" s="19">
        <f>IF(LEN(A388)&gt;0,1,0)</f>
        <v/>
      </c>
      <c r="AC388" s="19">
        <f>IF(LEN(A388)=0,0,(LEN(B388)=0)+(LEN(C388)=0)+(LEN(D388)=0)+(LEN(E388)=0)+(LEN(F388)=0)+(LEN(G388)=0)+(LEN(H388)=0)+(LEN(I388)=0)+(LEN(J388)=0)+(LEN(K388)=0)+(LEN(L388)=0)+(LEN(N388)=0)+(LEN(O388)=0)+(LEN(P388)=0)+(LEN(R388)=0)+(LEN(AA388)=0))</f>
        <v/>
      </c>
      <c r="AD388" s="19">
        <f>IF(OR(LEN(A388)=0,LEN(C388)=0),0,IF(OR(C388&lt;1,C388&gt;5),1,0))</f>
        <v/>
      </c>
      <c r="AE388" s="19">
        <f>IF(OR(LEN(A388)=0,LEN(R388)=0),0,IF(OR(R388="Active",R388="Paid off",R388="Defaulted",R388="Repossessed",R388="Written off",R388="Restructured"),0,1))</f>
        <v/>
      </c>
      <c r="AF388" s="19">
        <f>IF(A388="",0,IF(N(J388)&gt;N(I388),1,0))</f>
        <v/>
      </c>
      <c r="AG388" s="19">
        <f>IF(A388="",0,IF(N(N388)&gt;N(M388)+1,1,0))</f>
        <v/>
      </c>
      <c r="AH388" s="19">
        <f>IF(A388="",0,IF(N(E388)&gt;N(B388),1,0))</f>
        <v/>
      </c>
      <c r="AI388" s="19">
        <f>IF(A388="",0,IF(AND(Z388="Full payment",N(N388)&lt;N(M388)-1),1,0))</f>
        <v/>
      </c>
      <c r="AJ388" s="19">
        <f>IF(A388="",0,IF(N(P388)&lt;0,1,0))</f>
        <v/>
      </c>
      <c r="AK388" s="19">
        <f>IF(A388="",0,IF(COUNTIF($A$7:$A$1006,A388)&gt;1,1,0))</f>
        <v/>
      </c>
    </row>
    <row r="389">
      <c r="A389" s="10" t="n"/>
      <c r="B389" s="17" t="n"/>
      <c r="C389" s="18" t="n"/>
      <c r="D389" s="10" t="n"/>
      <c r="E389" s="17" t="n"/>
      <c r="F389" s="10" t="n"/>
      <c r="G389" s="10" t="n"/>
      <c r="H389" s="10" t="n"/>
      <c r="I389" s="18" t="n"/>
      <c r="J389" s="18" t="n"/>
      <c r="K389" s="18" t="n"/>
      <c r="L389" s="18" t="n"/>
      <c r="M389" s="19">
        <f>IF(K389="","",K389*365/12*L389)</f>
        <v/>
      </c>
      <c r="N389" s="18" t="n"/>
      <c r="O389" s="18" t="n"/>
      <c r="P389" s="18" t="n"/>
      <c r="Q389" s="18" t="n"/>
      <c r="R389" s="10" t="n"/>
      <c r="S389" s="17" t="n"/>
      <c r="T389" s="18" t="n"/>
      <c r="U389" s="17" t="n"/>
      <c r="V389" s="17" t="n"/>
      <c r="W389" s="18" t="n"/>
      <c r="X389" s="18" t="n"/>
      <c r="Y389" s="17" t="n"/>
      <c r="Z389" s="10" t="n"/>
      <c r="AA389" s="10" t="n"/>
      <c r="AB389" s="19">
        <f>IF(LEN(A389)&gt;0,1,0)</f>
        <v/>
      </c>
      <c r="AC389" s="19">
        <f>IF(LEN(A389)=0,0,(LEN(B389)=0)+(LEN(C389)=0)+(LEN(D389)=0)+(LEN(E389)=0)+(LEN(F389)=0)+(LEN(G389)=0)+(LEN(H389)=0)+(LEN(I389)=0)+(LEN(J389)=0)+(LEN(K389)=0)+(LEN(L389)=0)+(LEN(N389)=0)+(LEN(O389)=0)+(LEN(P389)=0)+(LEN(R389)=0)+(LEN(AA389)=0))</f>
        <v/>
      </c>
      <c r="AD389" s="19">
        <f>IF(OR(LEN(A389)=0,LEN(C389)=0),0,IF(OR(C389&lt;1,C389&gt;5),1,0))</f>
        <v/>
      </c>
      <c r="AE389" s="19">
        <f>IF(OR(LEN(A389)=0,LEN(R389)=0),0,IF(OR(R389="Active",R389="Paid off",R389="Defaulted",R389="Repossessed",R389="Written off",R389="Restructured"),0,1))</f>
        <v/>
      </c>
      <c r="AF389" s="19">
        <f>IF(A389="",0,IF(N(J389)&gt;N(I389),1,0))</f>
        <v/>
      </c>
      <c r="AG389" s="19">
        <f>IF(A389="",0,IF(N(N389)&gt;N(M389)+1,1,0))</f>
        <v/>
      </c>
      <c r="AH389" s="19">
        <f>IF(A389="",0,IF(N(E389)&gt;N(B389),1,0))</f>
        <v/>
      </c>
      <c r="AI389" s="19">
        <f>IF(A389="",0,IF(AND(Z389="Full payment",N(N389)&lt;N(M389)-1),1,0))</f>
        <v/>
      </c>
      <c r="AJ389" s="19">
        <f>IF(A389="",0,IF(N(P389)&lt;0,1,0))</f>
        <v/>
      </c>
      <c r="AK389" s="19">
        <f>IF(A389="",0,IF(COUNTIF($A$7:$A$1006,A389)&gt;1,1,0))</f>
        <v/>
      </c>
    </row>
    <row r="390">
      <c r="A390" s="10" t="n"/>
      <c r="B390" s="17" t="n"/>
      <c r="C390" s="18" t="n"/>
      <c r="D390" s="10" t="n"/>
      <c r="E390" s="17" t="n"/>
      <c r="F390" s="10" t="n"/>
      <c r="G390" s="10" t="n"/>
      <c r="H390" s="10" t="n"/>
      <c r="I390" s="18" t="n"/>
      <c r="J390" s="18" t="n"/>
      <c r="K390" s="18" t="n"/>
      <c r="L390" s="18" t="n"/>
      <c r="M390" s="19">
        <f>IF(K390="","",K390*365/12*L390)</f>
        <v/>
      </c>
      <c r="N390" s="18" t="n"/>
      <c r="O390" s="18" t="n"/>
      <c r="P390" s="18" t="n"/>
      <c r="Q390" s="18" t="n"/>
      <c r="R390" s="10" t="n"/>
      <c r="S390" s="17" t="n"/>
      <c r="T390" s="18" t="n"/>
      <c r="U390" s="17" t="n"/>
      <c r="V390" s="17" t="n"/>
      <c r="W390" s="18" t="n"/>
      <c r="X390" s="18" t="n"/>
      <c r="Y390" s="17" t="n"/>
      <c r="Z390" s="10" t="n"/>
      <c r="AA390" s="10" t="n"/>
      <c r="AB390" s="19">
        <f>IF(LEN(A390)&gt;0,1,0)</f>
        <v/>
      </c>
      <c r="AC390" s="19">
        <f>IF(LEN(A390)=0,0,(LEN(B390)=0)+(LEN(C390)=0)+(LEN(D390)=0)+(LEN(E390)=0)+(LEN(F390)=0)+(LEN(G390)=0)+(LEN(H390)=0)+(LEN(I390)=0)+(LEN(J390)=0)+(LEN(K390)=0)+(LEN(L390)=0)+(LEN(N390)=0)+(LEN(O390)=0)+(LEN(P390)=0)+(LEN(R390)=0)+(LEN(AA390)=0))</f>
        <v/>
      </c>
      <c r="AD390" s="19">
        <f>IF(OR(LEN(A390)=0,LEN(C390)=0),0,IF(OR(C390&lt;1,C390&gt;5),1,0))</f>
        <v/>
      </c>
      <c r="AE390" s="19">
        <f>IF(OR(LEN(A390)=0,LEN(R390)=0),0,IF(OR(R390="Active",R390="Paid off",R390="Defaulted",R390="Repossessed",R390="Written off",R390="Restructured"),0,1))</f>
        <v/>
      </c>
      <c r="AF390" s="19">
        <f>IF(A390="",0,IF(N(J390)&gt;N(I390),1,0))</f>
        <v/>
      </c>
      <c r="AG390" s="19">
        <f>IF(A390="",0,IF(N(N390)&gt;N(M390)+1,1,0))</f>
        <v/>
      </c>
      <c r="AH390" s="19">
        <f>IF(A390="",0,IF(N(E390)&gt;N(B390),1,0))</f>
        <v/>
      </c>
      <c r="AI390" s="19">
        <f>IF(A390="",0,IF(AND(Z390="Full payment",N(N390)&lt;N(M390)-1),1,0))</f>
        <v/>
      </c>
      <c r="AJ390" s="19">
        <f>IF(A390="",0,IF(N(P390)&lt;0,1,0))</f>
        <v/>
      </c>
      <c r="AK390" s="19">
        <f>IF(A390="",0,IF(COUNTIF($A$7:$A$1006,A390)&gt;1,1,0))</f>
        <v/>
      </c>
    </row>
    <row r="391">
      <c r="A391" s="10" t="n"/>
      <c r="B391" s="17" t="n"/>
      <c r="C391" s="18" t="n"/>
      <c r="D391" s="10" t="n"/>
      <c r="E391" s="17" t="n"/>
      <c r="F391" s="10" t="n"/>
      <c r="G391" s="10" t="n"/>
      <c r="H391" s="10" t="n"/>
      <c r="I391" s="18" t="n"/>
      <c r="J391" s="18" t="n"/>
      <c r="K391" s="18" t="n"/>
      <c r="L391" s="18" t="n"/>
      <c r="M391" s="19">
        <f>IF(K391="","",K391*365/12*L391)</f>
        <v/>
      </c>
      <c r="N391" s="18" t="n"/>
      <c r="O391" s="18" t="n"/>
      <c r="P391" s="18" t="n"/>
      <c r="Q391" s="18" t="n"/>
      <c r="R391" s="10" t="n"/>
      <c r="S391" s="17" t="n"/>
      <c r="T391" s="18" t="n"/>
      <c r="U391" s="17" t="n"/>
      <c r="V391" s="17" t="n"/>
      <c r="W391" s="18" t="n"/>
      <c r="X391" s="18" t="n"/>
      <c r="Y391" s="17" t="n"/>
      <c r="Z391" s="10" t="n"/>
      <c r="AA391" s="10" t="n"/>
      <c r="AB391" s="19">
        <f>IF(LEN(A391)&gt;0,1,0)</f>
        <v/>
      </c>
      <c r="AC391" s="19">
        <f>IF(LEN(A391)=0,0,(LEN(B391)=0)+(LEN(C391)=0)+(LEN(D391)=0)+(LEN(E391)=0)+(LEN(F391)=0)+(LEN(G391)=0)+(LEN(H391)=0)+(LEN(I391)=0)+(LEN(J391)=0)+(LEN(K391)=0)+(LEN(L391)=0)+(LEN(N391)=0)+(LEN(O391)=0)+(LEN(P391)=0)+(LEN(R391)=0)+(LEN(AA391)=0))</f>
        <v/>
      </c>
      <c r="AD391" s="19">
        <f>IF(OR(LEN(A391)=0,LEN(C391)=0),0,IF(OR(C391&lt;1,C391&gt;5),1,0))</f>
        <v/>
      </c>
      <c r="AE391" s="19">
        <f>IF(OR(LEN(A391)=0,LEN(R391)=0),0,IF(OR(R391="Active",R391="Paid off",R391="Defaulted",R391="Repossessed",R391="Written off",R391="Restructured"),0,1))</f>
        <v/>
      </c>
      <c r="AF391" s="19">
        <f>IF(A391="",0,IF(N(J391)&gt;N(I391),1,0))</f>
        <v/>
      </c>
      <c r="AG391" s="19">
        <f>IF(A391="",0,IF(N(N391)&gt;N(M391)+1,1,0))</f>
        <v/>
      </c>
      <c r="AH391" s="19">
        <f>IF(A391="",0,IF(N(E391)&gt;N(B391),1,0))</f>
        <v/>
      </c>
      <c r="AI391" s="19">
        <f>IF(A391="",0,IF(AND(Z391="Full payment",N(N391)&lt;N(M391)-1),1,0))</f>
        <v/>
      </c>
      <c r="AJ391" s="19">
        <f>IF(A391="",0,IF(N(P391)&lt;0,1,0))</f>
        <v/>
      </c>
      <c r="AK391" s="19">
        <f>IF(A391="",0,IF(COUNTIF($A$7:$A$1006,A391)&gt;1,1,0))</f>
        <v/>
      </c>
    </row>
    <row r="392">
      <c r="A392" s="10" t="n"/>
      <c r="B392" s="17" t="n"/>
      <c r="C392" s="18" t="n"/>
      <c r="D392" s="10" t="n"/>
      <c r="E392" s="17" t="n"/>
      <c r="F392" s="10" t="n"/>
      <c r="G392" s="10" t="n"/>
      <c r="H392" s="10" t="n"/>
      <c r="I392" s="18" t="n"/>
      <c r="J392" s="18" t="n"/>
      <c r="K392" s="18" t="n"/>
      <c r="L392" s="18" t="n"/>
      <c r="M392" s="19">
        <f>IF(K392="","",K392*365/12*L392)</f>
        <v/>
      </c>
      <c r="N392" s="18" t="n"/>
      <c r="O392" s="18" t="n"/>
      <c r="P392" s="18" t="n"/>
      <c r="Q392" s="18" t="n"/>
      <c r="R392" s="10" t="n"/>
      <c r="S392" s="17" t="n"/>
      <c r="T392" s="18" t="n"/>
      <c r="U392" s="17" t="n"/>
      <c r="V392" s="17" t="n"/>
      <c r="W392" s="18" t="n"/>
      <c r="X392" s="18" t="n"/>
      <c r="Y392" s="17" t="n"/>
      <c r="Z392" s="10" t="n"/>
      <c r="AA392" s="10" t="n"/>
      <c r="AB392" s="19">
        <f>IF(LEN(A392)&gt;0,1,0)</f>
        <v/>
      </c>
      <c r="AC392" s="19">
        <f>IF(LEN(A392)=0,0,(LEN(B392)=0)+(LEN(C392)=0)+(LEN(D392)=0)+(LEN(E392)=0)+(LEN(F392)=0)+(LEN(G392)=0)+(LEN(H392)=0)+(LEN(I392)=0)+(LEN(J392)=0)+(LEN(K392)=0)+(LEN(L392)=0)+(LEN(N392)=0)+(LEN(O392)=0)+(LEN(P392)=0)+(LEN(R392)=0)+(LEN(AA392)=0))</f>
        <v/>
      </c>
      <c r="AD392" s="19">
        <f>IF(OR(LEN(A392)=0,LEN(C392)=0),0,IF(OR(C392&lt;1,C392&gt;5),1,0))</f>
        <v/>
      </c>
      <c r="AE392" s="19">
        <f>IF(OR(LEN(A392)=0,LEN(R392)=0),0,IF(OR(R392="Active",R392="Paid off",R392="Defaulted",R392="Repossessed",R392="Written off",R392="Restructured"),0,1))</f>
        <v/>
      </c>
      <c r="AF392" s="19">
        <f>IF(A392="",0,IF(N(J392)&gt;N(I392),1,0))</f>
        <v/>
      </c>
      <c r="AG392" s="19">
        <f>IF(A392="",0,IF(N(N392)&gt;N(M392)+1,1,0))</f>
        <v/>
      </c>
      <c r="AH392" s="19">
        <f>IF(A392="",0,IF(N(E392)&gt;N(B392),1,0))</f>
        <v/>
      </c>
      <c r="AI392" s="19">
        <f>IF(A392="",0,IF(AND(Z392="Full payment",N(N392)&lt;N(M392)-1),1,0))</f>
        <v/>
      </c>
      <c r="AJ392" s="19">
        <f>IF(A392="",0,IF(N(P392)&lt;0,1,0))</f>
        <v/>
      </c>
      <c r="AK392" s="19">
        <f>IF(A392="",0,IF(COUNTIF($A$7:$A$1006,A392)&gt;1,1,0))</f>
        <v/>
      </c>
    </row>
    <row r="393">
      <c r="A393" s="10" t="n"/>
      <c r="B393" s="17" t="n"/>
      <c r="C393" s="18" t="n"/>
      <c r="D393" s="10" t="n"/>
      <c r="E393" s="17" t="n"/>
      <c r="F393" s="10" t="n"/>
      <c r="G393" s="10" t="n"/>
      <c r="H393" s="10" t="n"/>
      <c r="I393" s="18" t="n"/>
      <c r="J393" s="18" t="n"/>
      <c r="K393" s="18" t="n"/>
      <c r="L393" s="18" t="n"/>
      <c r="M393" s="19">
        <f>IF(K393="","",K393*365/12*L393)</f>
        <v/>
      </c>
      <c r="N393" s="18" t="n"/>
      <c r="O393" s="18" t="n"/>
      <c r="P393" s="18" t="n"/>
      <c r="Q393" s="18" t="n"/>
      <c r="R393" s="10" t="n"/>
      <c r="S393" s="17" t="n"/>
      <c r="T393" s="18" t="n"/>
      <c r="U393" s="17" t="n"/>
      <c r="V393" s="17" t="n"/>
      <c r="W393" s="18" t="n"/>
      <c r="X393" s="18" t="n"/>
      <c r="Y393" s="17" t="n"/>
      <c r="Z393" s="10" t="n"/>
      <c r="AA393" s="10" t="n"/>
      <c r="AB393" s="19">
        <f>IF(LEN(A393)&gt;0,1,0)</f>
        <v/>
      </c>
      <c r="AC393" s="19">
        <f>IF(LEN(A393)=0,0,(LEN(B393)=0)+(LEN(C393)=0)+(LEN(D393)=0)+(LEN(E393)=0)+(LEN(F393)=0)+(LEN(G393)=0)+(LEN(H393)=0)+(LEN(I393)=0)+(LEN(J393)=0)+(LEN(K393)=0)+(LEN(L393)=0)+(LEN(N393)=0)+(LEN(O393)=0)+(LEN(P393)=0)+(LEN(R393)=0)+(LEN(AA393)=0))</f>
        <v/>
      </c>
      <c r="AD393" s="19">
        <f>IF(OR(LEN(A393)=0,LEN(C393)=0),0,IF(OR(C393&lt;1,C393&gt;5),1,0))</f>
        <v/>
      </c>
      <c r="AE393" s="19">
        <f>IF(OR(LEN(A393)=0,LEN(R393)=0),0,IF(OR(R393="Active",R393="Paid off",R393="Defaulted",R393="Repossessed",R393="Written off",R393="Restructured"),0,1))</f>
        <v/>
      </c>
      <c r="AF393" s="19">
        <f>IF(A393="",0,IF(N(J393)&gt;N(I393),1,0))</f>
        <v/>
      </c>
      <c r="AG393" s="19">
        <f>IF(A393="",0,IF(N(N393)&gt;N(M393)+1,1,0))</f>
        <v/>
      </c>
      <c r="AH393" s="19">
        <f>IF(A393="",0,IF(N(E393)&gt;N(B393),1,0))</f>
        <v/>
      </c>
      <c r="AI393" s="19">
        <f>IF(A393="",0,IF(AND(Z393="Full payment",N(N393)&lt;N(M393)-1),1,0))</f>
        <v/>
      </c>
      <c r="AJ393" s="19">
        <f>IF(A393="",0,IF(N(P393)&lt;0,1,0))</f>
        <v/>
      </c>
      <c r="AK393" s="19">
        <f>IF(A393="",0,IF(COUNTIF($A$7:$A$1006,A393)&gt;1,1,0))</f>
        <v/>
      </c>
    </row>
    <row r="394">
      <c r="A394" s="10" t="n"/>
      <c r="B394" s="17" t="n"/>
      <c r="C394" s="18" t="n"/>
      <c r="D394" s="10" t="n"/>
      <c r="E394" s="17" t="n"/>
      <c r="F394" s="10" t="n"/>
      <c r="G394" s="10" t="n"/>
      <c r="H394" s="10" t="n"/>
      <c r="I394" s="18" t="n"/>
      <c r="J394" s="18" t="n"/>
      <c r="K394" s="18" t="n"/>
      <c r="L394" s="18" t="n"/>
      <c r="M394" s="19">
        <f>IF(K394="","",K394*365/12*L394)</f>
        <v/>
      </c>
      <c r="N394" s="18" t="n"/>
      <c r="O394" s="18" t="n"/>
      <c r="P394" s="18" t="n"/>
      <c r="Q394" s="18" t="n"/>
      <c r="R394" s="10" t="n"/>
      <c r="S394" s="17" t="n"/>
      <c r="T394" s="18" t="n"/>
      <c r="U394" s="17" t="n"/>
      <c r="V394" s="17" t="n"/>
      <c r="W394" s="18" t="n"/>
      <c r="X394" s="18" t="n"/>
      <c r="Y394" s="17" t="n"/>
      <c r="Z394" s="10" t="n"/>
      <c r="AA394" s="10" t="n"/>
      <c r="AB394" s="19">
        <f>IF(LEN(A394)&gt;0,1,0)</f>
        <v/>
      </c>
      <c r="AC394" s="19">
        <f>IF(LEN(A394)=0,0,(LEN(B394)=0)+(LEN(C394)=0)+(LEN(D394)=0)+(LEN(E394)=0)+(LEN(F394)=0)+(LEN(G394)=0)+(LEN(H394)=0)+(LEN(I394)=0)+(LEN(J394)=0)+(LEN(K394)=0)+(LEN(L394)=0)+(LEN(N394)=0)+(LEN(O394)=0)+(LEN(P394)=0)+(LEN(R394)=0)+(LEN(AA394)=0))</f>
        <v/>
      </c>
      <c r="AD394" s="19">
        <f>IF(OR(LEN(A394)=0,LEN(C394)=0),0,IF(OR(C394&lt;1,C394&gt;5),1,0))</f>
        <v/>
      </c>
      <c r="AE394" s="19">
        <f>IF(OR(LEN(A394)=0,LEN(R394)=0),0,IF(OR(R394="Active",R394="Paid off",R394="Defaulted",R394="Repossessed",R394="Written off",R394="Restructured"),0,1))</f>
        <v/>
      </c>
      <c r="AF394" s="19">
        <f>IF(A394="",0,IF(N(J394)&gt;N(I394),1,0))</f>
        <v/>
      </c>
      <c r="AG394" s="19">
        <f>IF(A394="",0,IF(N(N394)&gt;N(M394)+1,1,0))</f>
        <v/>
      </c>
      <c r="AH394" s="19">
        <f>IF(A394="",0,IF(N(E394)&gt;N(B394),1,0))</f>
        <v/>
      </c>
      <c r="AI394" s="19">
        <f>IF(A394="",0,IF(AND(Z394="Full payment",N(N394)&lt;N(M394)-1),1,0))</f>
        <v/>
      </c>
      <c r="AJ394" s="19">
        <f>IF(A394="",0,IF(N(P394)&lt;0,1,0))</f>
        <v/>
      </c>
      <c r="AK394" s="19">
        <f>IF(A394="",0,IF(COUNTIF($A$7:$A$1006,A394)&gt;1,1,0))</f>
        <v/>
      </c>
    </row>
    <row r="395">
      <c r="A395" s="10" t="n"/>
      <c r="B395" s="17" t="n"/>
      <c r="C395" s="18" t="n"/>
      <c r="D395" s="10" t="n"/>
      <c r="E395" s="17" t="n"/>
      <c r="F395" s="10" t="n"/>
      <c r="G395" s="10" t="n"/>
      <c r="H395" s="10" t="n"/>
      <c r="I395" s="18" t="n"/>
      <c r="J395" s="18" t="n"/>
      <c r="K395" s="18" t="n"/>
      <c r="L395" s="18" t="n"/>
      <c r="M395" s="19">
        <f>IF(K395="","",K395*365/12*L395)</f>
        <v/>
      </c>
      <c r="N395" s="18" t="n"/>
      <c r="O395" s="18" t="n"/>
      <c r="P395" s="18" t="n"/>
      <c r="Q395" s="18" t="n"/>
      <c r="R395" s="10" t="n"/>
      <c r="S395" s="17" t="n"/>
      <c r="T395" s="18" t="n"/>
      <c r="U395" s="17" t="n"/>
      <c r="V395" s="17" t="n"/>
      <c r="W395" s="18" t="n"/>
      <c r="X395" s="18" t="n"/>
      <c r="Y395" s="17" t="n"/>
      <c r="Z395" s="10" t="n"/>
      <c r="AA395" s="10" t="n"/>
      <c r="AB395" s="19">
        <f>IF(LEN(A395)&gt;0,1,0)</f>
        <v/>
      </c>
      <c r="AC395" s="19">
        <f>IF(LEN(A395)=0,0,(LEN(B395)=0)+(LEN(C395)=0)+(LEN(D395)=0)+(LEN(E395)=0)+(LEN(F395)=0)+(LEN(G395)=0)+(LEN(H395)=0)+(LEN(I395)=0)+(LEN(J395)=0)+(LEN(K395)=0)+(LEN(L395)=0)+(LEN(N395)=0)+(LEN(O395)=0)+(LEN(P395)=0)+(LEN(R395)=0)+(LEN(AA395)=0))</f>
        <v/>
      </c>
      <c r="AD395" s="19">
        <f>IF(OR(LEN(A395)=0,LEN(C395)=0),0,IF(OR(C395&lt;1,C395&gt;5),1,0))</f>
        <v/>
      </c>
      <c r="AE395" s="19">
        <f>IF(OR(LEN(A395)=0,LEN(R395)=0),0,IF(OR(R395="Active",R395="Paid off",R395="Defaulted",R395="Repossessed",R395="Written off",R395="Restructured"),0,1))</f>
        <v/>
      </c>
      <c r="AF395" s="19">
        <f>IF(A395="",0,IF(N(J395)&gt;N(I395),1,0))</f>
        <v/>
      </c>
      <c r="AG395" s="19">
        <f>IF(A395="",0,IF(N(N395)&gt;N(M395)+1,1,0))</f>
        <v/>
      </c>
      <c r="AH395" s="19">
        <f>IF(A395="",0,IF(N(E395)&gt;N(B395),1,0))</f>
        <v/>
      </c>
      <c r="AI395" s="19">
        <f>IF(A395="",0,IF(AND(Z395="Full payment",N(N395)&lt;N(M395)-1),1,0))</f>
        <v/>
      </c>
      <c r="AJ395" s="19">
        <f>IF(A395="",0,IF(N(P395)&lt;0,1,0))</f>
        <v/>
      </c>
      <c r="AK395" s="19">
        <f>IF(A395="",0,IF(COUNTIF($A$7:$A$1006,A395)&gt;1,1,0))</f>
        <v/>
      </c>
    </row>
    <row r="396">
      <c r="A396" s="10" t="n"/>
      <c r="B396" s="17" t="n"/>
      <c r="C396" s="18" t="n"/>
      <c r="D396" s="10" t="n"/>
      <c r="E396" s="17" t="n"/>
      <c r="F396" s="10" t="n"/>
      <c r="G396" s="10" t="n"/>
      <c r="H396" s="10" t="n"/>
      <c r="I396" s="18" t="n"/>
      <c r="J396" s="18" t="n"/>
      <c r="K396" s="18" t="n"/>
      <c r="L396" s="18" t="n"/>
      <c r="M396" s="19">
        <f>IF(K396="","",K396*365/12*L396)</f>
        <v/>
      </c>
      <c r="N396" s="18" t="n"/>
      <c r="O396" s="18" t="n"/>
      <c r="P396" s="18" t="n"/>
      <c r="Q396" s="18" t="n"/>
      <c r="R396" s="10" t="n"/>
      <c r="S396" s="17" t="n"/>
      <c r="T396" s="18" t="n"/>
      <c r="U396" s="17" t="n"/>
      <c r="V396" s="17" t="n"/>
      <c r="W396" s="18" t="n"/>
      <c r="X396" s="18" t="n"/>
      <c r="Y396" s="17" t="n"/>
      <c r="Z396" s="10" t="n"/>
      <c r="AA396" s="10" t="n"/>
      <c r="AB396" s="19">
        <f>IF(LEN(A396)&gt;0,1,0)</f>
        <v/>
      </c>
      <c r="AC396" s="19">
        <f>IF(LEN(A396)=0,0,(LEN(B396)=0)+(LEN(C396)=0)+(LEN(D396)=0)+(LEN(E396)=0)+(LEN(F396)=0)+(LEN(G396)=0)+(LEN(H396)=0)+(LEN(I396)=0)+(LEN(J396)=0)+(LEN(K396)=0)+(LEN(L396)=0)+(LEN(N396)=0)+(LEN(O396)=0)+(LEN(P396)=0)+(LEN(R396)=0)+(LEN(AA396)=0))</f>
        <v/>
      </c>
      <c r="AD396" s="19">
        <f>IF(OR(LEN(A396)=0,LEN(C396)=0),0,IF(OR(C396&lt;1,C396&gt;5),1,0))</f>
        <v/>
      </c>
      <c r="AE396" s="19">
        <f>IF(OR(LEN(A396)=0,LEN(R396)=0),0,IF(OR(R396="Active",R396="Paid off",R396="Defaulted",R396="Repossessed",R396="Written off",R396="Restructured"),0,1))</f>
        <v/>
      </c>
      <c r="AF396" s="19">
        <f>IF(A396="",0,IF(N(J396)&gt;N(I396),1,0))</f>
        <v/>
      </c>
      <c r="AG396" s="19">
        <f>IF(A396="",0,IF(N(N396)&gt;N(M396)+1,1,0))</f>
        <v/>
      </c>
      <c r="AH396" s="19">
        <f>IF(A396="",0,IF(N(E396)&gt;N(B396),1,0))</f>
        <v/>
      </c>
      <c r="AI396" s="19">
        <f>IF(A396="",0,IF(AND(Z396="Full payment",N(N396)&lt;N(M396)-1),1,0))</f>
        <v/>
      </c>
      <c r="AJ396" s="19">
        <f>IF(A396="",0,IF(N(P396)&lt;0,1,0))</f>
        <v/>
      </c>
      <c r="AK396" s="19">
        <f>IF(A396="",0,IF(COUNTIF($A$7:$A$1006,A396)&gt;1,1,0))</f>
        <v/>
      </c>
    </row>
    <row r="397">
      <c r="A397" s="10" t="n"/>
      <c r="B397" s="17" t="n"/>
      <c r="C397" s="18" t="n"/>
      <c r="D397" s="10" t="n"/>
      <c r="E397" s="17" t="n"/>
      <c r="F397" s="10" t="n"/>
      <c r="G397" s="10" t="n"/>
      <c r="H397" s="10" t="n"/>
      <c r="I397" s="18" t="n"/>
      <c r="J397" s="18" t="n"/>
      <c r="K397" s="18" t="n"/>
      <c r="L397" s="18" t="n"/>
      <c r="M397" s="19">
        <f>IF(K397="","",K397*365/12*L397)</f>
        <v/>
      </c>
      <c r="N397" s="18" t="n"/>
      <c r="O397" s="18" t="n"/>
      <c r="P397" s="18" t="n"/>
      <c r="Q397" s="18" t="n"/>
      <c r="R397" s="10" t="n"/>
      <c r="S397" s="17" t="n"/>
      <c r="T397" s="18" t="n"/>
      <c r="U397" s="17" t="n"/>
      <c r="V397" s="17" t="n"/>
      <c r="W397" s="18" t="n"/>
      <c r="X397" s="18" t="n"/>
      <c r="Y397" s="17" t="n"/>
      <c r="Z397" s="10" t="n"/>
      <c r="AA397" s="10" t="n"/>
      <c r="AB397" s="19">
        <f>IF(LEN(A397)&gt;0,1,0)</f>
        <v/>
      </c>
      <c r="AC397" s="19">
        <f>IF(LEN(A397)=0,0,(LEN(B397)=0)+(LEN(C397)=0)+(LEN(D397)=0)+(LEN(E397)=0)+(LEN(F397)=0)+(LEN(G397)=0)+(LEN(H397)=0)+(LEN(I397)=0)+(LEN(J397)=0)+(LEN(K397)=0)+(LEN(L397)=0)+(LEN(N397)=0)+(LEN(O397)=0)+(LEN(P397)=0)+(LEN(R397)=0)+(LEN(AA397)=0))</f>
        <v/>
      </c>
      <c r="AD397" s="19">
        <f>IF(OR(LEN(A397)=0,LEN(C397)=0),0,IF(OR(C397&lt;1,C397&gt;5),1,0))</f>
        <v/>
      </c>
      <c r="AE397" s="19">
        <f>IF(OR(LEN(A397)=0,LEN(R397)=0),0,IF(OR(R397="Active",R397="Paid off",R397="Defaulted",R397="Repossessed",R397="Written off",R397="Restructured"),0,1))</f>
        <v/>
      </c>
      <c r="AF397" s="19">
        <f>IF(A397="",0,IF(N(J397)&gt;N(I397),1,0))</f>
        <v/>
      </c>
      <c r="AG397" s="19">
        <f>IF(A397="",0,IF(N(N397)&gt;N(M397)+1,1,0))</f>
        <v/>
      </c>
      <c r="AH397" s="19">
        <f>IF(A397="",0,IF(N(E397)&gt;N(B397),1,0))</f>
        <v/>
      </c>
      <c r="AI397" s="19">
        <f>IF(A397="",0,IF(AND(Z397="Full payment",N(N397)&lt;N(M397)-1),1,0))</f>
        <v/>
      </c>
      <c r="AJ397" s="19">
        <f>IF(A397="",0,IF(N(P397)&lt;0,1,0))</f>
        <v/>
      </c>
      <c r="AK397" s="19">
        <f>IF(A397="",0,IF(COUNTIF($A$7:$A$1006,A397)&gt;1,1,0))</f>
        <v/>
      </c>
    </row>
    <row r="398">
      <c r="A398" s="10" t="n"/>
      <c r="B398" s="17" t="n"/>
      <c r="C398" s="18" t="n"/>
      <c r="D398" s="10" t="n"/>
      <c r="E398" s="17" t="n"/>
      <c r="F398" s="10" t="n"/>
      <c r="G398" s="10" t="n"/>
      <c r="H398" s="10" t="n"/>
      <c r="I398" s="18" t="n"/>
      <c r="J398" s="18" t="n"/>
      <c r="K398" s="18" t="n"/>
      <c r="L398" s="18" t="n"/>
      <c r="M398" s="19">
        <f>IF(K398="","",K398*365/12*L398)</f>
        <v/>
      </c>
      <c r="N398" s="18" t="n"/>
      <c r="O398" s="18" t="n"/>
      <c r="P398" s="18" t="n"/>
      <c r="Q398" s="18" t="n"/>
      <c r="R398" s="10" t="n"/>
      <c r="S398" s="17" t="n"/>
      <c r="T398" s="18" t="n"/>
      <c r="U398" s="17" t="n"/>
      <c r="V398" s="17" t="n"/>
      <c r="W398" s="18" t="n"/>
      <c r="X398" s="18" t="n"/>
      <c r="Y398" s="17" t="n"/>
      <c r="Z398" s="10" t="n"/>
      <c r="AA398" s="10" t="n"/>
      <c r="AB398" s="19">
        <f>IF(LEN(A398)&gt;0,1,0)</f>
        <v/>
      </c>
      <c r="AC398" s="19">
        <f>IF(LEN(A398)=0,0,(LEN(B398)=0)+(LEN(C398)=0)+(LEN(D398)=0)+(LEN(E398)=0)+(LEN(F398)=0)+(LEN(G398)=0)+(LEN(H398)=0)+(LEN(I398)=0)+(LEN(J398)=0)+(LEN(K398)=0)+(LEN(L398)=0)+(LEN(N398)=0)+(LEN(O398)=0)+(LEN(P398)=0)+(LEN(R398)=0)+(LEN(AA398)=0))</f>
        <v/>
      </c>
      <c r="AD398" s="19">
        <f>IF(OR(LEN(A398)=0,LEN(C398)=0),0,IF(OR(C398&lt;1,C398&gt;5),1,0))</f>
        <v/>
      </c>
      <c r="AE398" s="19">
        <f>IF(OR(LEN(A398)=0,LEN(R398)=0),0,IF(OR(R398="Active",R398="Paid off",R398="Defaulted",R398="Repossessed",R398="Written off",R398="Restructured"),0,1))</f>
        <v/>
      </c>
      <c r="AF398" s="19">
        <f>IF(A398="",0,IF(N(J398)&gt;N(I398),1,0))</f>
        <v/>
      </c>
      <c r="AG398" s="19">
        <f>IF(A398="",0,IF(N(N398)&gt;N(M398)+1,1,0))</f>
        <v/>
      </c>
      <c r="AH398" s="19">
        <f>IF(A398="",0,IF(N(E398)&gt;N(B398),1,0))</f>
        <v/>
      </c>
      <c r="AI398" s="19">
        <f>IF(A398="",0,IF(AND(Z398="Full payment",N(N398)&lt;N(M398)-1),1,0))</f>
        <v/>
      </c>
      <c r="AJ398" s="19">
        <f>IF(A398="",0,IF(N(P398)&lt;0,1,0))</f>
        <v/>
      </c>
      <c r="AK398" s="19">
        <f>IF(A398="",0,IF(COUNTIF($A$7:$A$1006,A398)&gt;1,1,0))</f>
        <v/>
      </c>
    </row>
    <row r="399">
      <c r="A399" s="10" t="n"/>
      <c r="B399" s="17" t="n"/>
      <c r="C399" s="18" t="n"/>
      <c r="D399" s="10" t="n"/>
      <c r="E399" s="17" t="n"/>
      <c r="F399" s="10" t="n"/>
      <c r="G399" s="10" t="n"/>
      <c r="H399" s="10" t="n"/>
      <c r="I399" s="18" t="n"/>
      <c r="J399" s="18" t="n"/>
      <c r="K399" s="18" t="n"/>
      <c r="L399" s="18" t="n"/>
      <c r="M399" s="19">
        <f>IF(K399="","",K399*365/12*L399)</f>
        <v/>
      </c>
      <c r="N399" s="18" t="n"/>
      <c r="O399" s="18" t="n"/>
      <c r="P399" s="18" t="n"/>
      <c r="Q399" s="18" t="n"/>
      <c r="R399" s="10" t="n"/>
      <c r="S399" s="17" t="n"/>
      <c r="T399" s="18" t="n"/>
      <c r="U399" s="17" t="n"/>
      <c r="V399" s="17" t="n"/>
      <c r="W399" s="18" t="n"/>
      <c r="X399" s="18" t="n"/>
      <c r="Y399" s="17" t="n"/>
      <c r="Z399" s="10" t="n"/>
      <c r="AA399" s="10" t="n"/>
      <c r="AB399" s="19">
        <f>IF(LEN(A399)&gt;0,1,0)</f>
        <v/>
      </c>
      <c r="AC399" s="19">
        <f>IF(LEN(A399)=0,0,(LEN(B399)=0)+(LEN(C399)=0)+(LEN(D399)=0)+(LEN(E399)=0)+(LEN(F399)=0)+(LEN(G399)=0)+(LEN(H399)=0)+(LEN(I399)=0)+(LEN(J399)=0)+(LEN(K399)=0)+(LEN(L399)=0)+(LEN(N399)=0)+(LEN(O399)=0)+(LEN(P399)=0)+(LEN(R399)=0)+(LEN(AA399)=0))</f>
        <v/>
      </c>
      <c r="AD399" s="19">
        <f>IF(OR(LEN(A399)=0,LEN(C399)=0),0,IF(OR(C399&lt;1,C399&gt;5),1,0))</f>
        <v/>
      </c>
      <c r="AE399" s="19">
        <f>IF(OR(LEN(A399)=0,LEN(R399)=0),0,IF(OR(R399="Active",R399="Paid off",R399="Defaulted",R399="Repossessed",R399="Written off",R399="Restructured"),0,1))</f>
        <v/>
      </c>
      <c r="AF399" s="19">
        <f>IF(A399="",0,IF(N(J399)&gt;N(I399),1,0))</f>
        <v/>
      </c>
      <c r="AG399" s="19">
        <f>IF(A399="",0,IF(N(N399)&gt;N(M399)+1,1,0))</f>
        <v/>
      </c>
      <c r="AH399" s="19">
        <f>IF(A399="",0,IF(N(E399)&gt;N(B399),1,0))</f>
        <v/>
      </c>
      <c r="AI399" s="19">
        <f>IF(A399="",0,IF(AND(Z399="Full payment",N(N399)&lt;N(M399)-1),1,0))</f>
        <v/>
      </c>
      <c r="AJ399" s="19">
        <f>IF(A399="",0,IF(N(P399)&lt;0,1,0))</f>
        <v/>
      </c>
      <c r="AK399" s="19">
        <f>IF(A399="",0,IF(COUNTIF($A$7:$A$1006,A399)&gt;1,1,0))</f>
        <v/>
      </c>
    </row>
    <row r="400">
      <c r="A400" s="10" t="n"/>
      <c r="B400" s="17" t="n"/>
      <c r="C400" s="18" t="n"/>
      <c r="D400" s="10" t="n"/>
      <c r="E400" s="17" t="n"/>
      <c r="F400" s="10" t="n"/>
      <c r="G400" s="10" t="n"/>
      <c r="H400" s="10" t="n"/>
      <c r="I400" s="18" t="n"/>
      <c r="J400" s="18" t="n"/>
      <c r="K400" s="18" t="n"/>
      <c r="L400" s="18" t="n"/>
      <c r="M400" s="19">
        <f>IF(K400="","",K400*365/12*L400)</f>
        <v/>
      </c>
      <c r="N400" s="18" t="n"/>
      <c r="O400" s="18" t="n"/>
      <c r="P400" s="18" t="n"/>
      <c r="Q400" s="18" t="n"/>
      <c r="R400" s="10" t="n"/>
      <c r="S400" s="17" t="n"/>
      <c r="T400" s="18" t="n"/>
      <c r="U400" s="17" t="n"/>
      <c r="V400" s="17" t="n"/>
      <c r="W400" s="18" t="n"/>
      <c r="X400" s="18" t="n"/>
      <c r="Y400" s="17" t="n"/>
      <c r="Z400" s="10" t="n"/>
      <c r="AA400" s="10" t="n"/>
      <c r="AB400" s="19">
        <f>IF(LEN(A400)&gt;0,1,0)</f>
        <v/>
      </c>
      <c r="AC400" s="19">
        <f>IF(LEN(A400)=0,0,(LEN(B400)=0)+(LEN(C400)=0)+(LEN(D400)=0)+(LEN(E400)=0)+(LEN(F400)=0)+(LEN(G400)=0)+(LEN(H400)=0)+(LEN(I400)=0)+(LEN(J400)=0)+(LEN(K400)=0)+(LEN(L400)=0)+(LEN(N400)=0)+(LEN(O400)=0)+(LEN(P400)=0)+(LEN(R400)=0)+(LEN(AA400)=0))</f>
        <v/>
      </c>
      <c r="AD400" s="19">
        <f>IF(OR(LEN(A400)=0,LEN(C400)=0),0,IF(OR(C400&lt;1,C400&gt;5),1,0))</f>
        <v/>
      </c>
      <c r="AE400" s="19">
        <f>IF(OR(LEN(A400)=0,LEN(R400)=0),0,IF(OR(R400="Active",R400="Paid off",R400="Defaulted",R400="Repossessed",R400="Written off",R400="Restructured"),0,1))</f>
        <v/>
      </c>
      <c r="AF400" s="19">
        <f>IF(A400="",0,IF(N(J400)&gt;N(I400),1,0))</f>
        <v/>
      </c>
      <c r="AG400" s="19">
        <f>IF(A400="",0,IF(N(N400)&gt;N(M400)+1,1,0))</f>
        <v/>
      </c>
      <c r="AH400" s="19">
        <f>IF(A400="",0,IF(N(E400)&gt;N(B400),1,0))</f>
        <v/>
      </c>
      <c r="AI400" s="19">
        <f>IF(A400="",0,IF(AND(Z400="Full payment",N(N400)&lt;N(M400)-1),1,0))</f>
        <v/>
      </c>
      <c r="AJ400" s="19">
        <f>IF(A400="",0,IF(N(P400)&lt;0,1,0))</f>
        <v/>
      </c>
      <c r="AK400" s="19">
        <f>IF(A400="",0,IF(COUNTIF($A$7:$A$1006,A400)&gt;1,1,0))</f>
        <v/>
      </c>
    </row>
    <row r="401">
      <c r="A401" s="10" t="n"/>
      <c r="B401" s="17" t="n"/>
      <c r="C401" s="18" t="n"/>
      <c r="D401" s="10" t="n"/>
      <c r="E401" s="17" t="n"/>
      <c r="F401" s="10" t="n"/>
      <c r="G401" s="10" t="n"/>
      <c r="H401" s="10" t="n"/>
      <c r="I401" s="18" t="n"/>
      <c r="J401" s="18" t="n"/>
      <c r="K401" s="18" t="n"/>
      <c r="L401" s="18" t="n"/>
      <c r="M401" s="19">
        <f>IF(K401="","",K401*365/12*L401)</f>
        <v/>
      </c>
      <c r="N401" s="18" t="n"/>
      <c r="O401" s="18" t="n"/>
      <c r="P401" s="18" t="n"/>
      <c r="Q401" s="18" t="n"/>
      <c r="R401" s="10" t="n"/>
      <c r="S401" s="17" t="n"/>
      <c r="T401" s="18" t="n"/>
      <c r="U401" s="17" t="n"/>
      <c r="V401" s="17" t="n"/>
      <c r="W401" s="18" t="n"/>
      <c r="X401" s="18" t="n"/>
      <c r="Y401" s="17" t="n"/>
      <c r="Z401" s="10" t="n"/>
      <c r="AA401" s="10" t="n"/>
      <c r="AB401" s="19">
        <f>IF(LEN(A401)&gt;0,1,0)</f>
        <v/>
      </c>
      <c r="AC401" s="19">
        <f>IF(LEN(A401)=0,0,(LEN(B401)=0)+(LEN(C401)=0)+(LEN(D401)=0)+(LEN(E401)=0)+(LEN(F401)=0)+(LEN(G401)=0)+(LEN(H401)=0)+(LEN(I401)=0)+(LEN(J401)=0)+(LEN(K401)=0)+(LEN(L401)=0)+(LEN(N401)=0)+(LEN(O401)=0)+(LEN(P401)=0)+(LEN(R401)=0)+(LEN(AA401)=0))</f>
        <v/>
      </c>
      <c r="AD401" s="19">
        <f>IF(OR(LEN(A401)=0,LEN(C401)=0),0,IF(OR(C401&lt;1,C401&gt;5),1,0))</f>
        <v/>
      </c>
      <c r="AE401" s="19">
        <f>IF(OR(LEN(A401)=0,LEN(R401)=0),0,IF(OR(R401="Active",R401="Paid off",R401="Defaulted",R401="Repossessed",R401="Written off",R401="Restructured"),0,1))</f>
        <v/>
      </c>
      <c r="AF401" s="19">
        <f>IF(A401="",0,IF(N(J401)&gt;N(I401),1,0))</f>
        <v/>
      </c>
      <c r="AG401" s="19">
        <f>IF(A401="",0,IF(N(N401)&gt;N(M401)+1,1,0))</f>
        <v/>
      </c>
      <c r="AH401" s="19">
        <f>IF(A401="",0,IF(N(E401)&gt;N(B401),1,0))</f>
        <v/>
      </c>
      <c r="AI401" s="19">
        <f>IF(A401="",0,IF(AND(Z401="Full payment",N(N401)&lt;N(M401)-1),1,0))</f>
        <v/>
      </c>
      <c r="AJ401" s="19">
        <f>IF(A401="",0,IF(N(P401)&lt;0,1,0))</f>
        <v/>
      </c>
      <c r="AK401" s="19">
        <f>IF(A401="",0,IF(COUNTIF($A$7:$A$1006,A401)&gt;1,1,0))</f>
        <v/>
      </c>
    </row>
    <row r="402">
      <c r="A402" s="10" t="n"/>
      <c r="B402" s="17" t="n"/>
      <c r="C402" s="18" t="n"/>
      <c r="D402" s="10" t="n"/>
      <c r="E402" s="17" t="n"/>
      <c r="F402" s="10" t="n"/>
      <c r="G402" s="10" t="n"/>
      <c r="H402" s="10" t="n"/>
      <c r="I402" s="18" t="n"/>
      <c r="J402" s="18" t="n"/>
      <c r="K402" s="18" t="n"/>
      <c r="L402" s="18" t="n"/>
      <c r="M402" s="19">
        <f>IF(K402="","",K402*365/12*L402)</f>
        <v/>
      </c>
      <c r="N402" s="18" t="n"/>
      <c r="O402" s="18" t="n"/>
      <c r="P402" s="18" t="n"/>
      <c r="Q402" s="18" t="n"/>
      <c r="R402" s="10" t="n"/>
      <c r="S402" s="17" t="n"/>
      <c r="T402" s="18" t="n"/>
      <c r="U402" s="17" t="n"/>
      <c r="V402" s="17" t="n"/>
      <c r="W402" s="18" t="n"/>
      <c r="X402" s="18" t="n"/>
      <c r="Y402" s="17" t="n"/>
      <c r="Z402" s="10" t="n"/>
      <c r="AA402" s="10" t="n"/>
      <c r="AB402" s="19">
        <f>IF(LEN(A402)&gt;0,1,0)</f>
        <v/>
      </c>
      <c r="AC402" s="19">
        <f>IF(LEN(A402)=0,0,(LEN(B402)=0)+(LEN(C402)=0)+(LEN(D402)=0)+(LEN(E402)=0)+(LEN(F402)=0)+(LEN(G402)=0)+(LEN(H402)=0)+(LEN(I402)=0)+(LEN(J402)=0)+(LEN(K402)=0)+(LEN(L402)=0)+(LEN(N402)=0)+(LEN(O402)=0)+(LEN(P402)=0)+(LEN(R402)=0)+(LEN(AA402)=0))</f>
        <v/>
      </c>
      <c r="AD402" s="19">
        <f>IF(OR(LEN(A402)=0,LEN(C402)=0),0,IF(OR(C402&lt;1,C402&gt;5),1,0))</f>
        <v/>
      </c>
      <c r="AE402" s="19">
        <f>IF(OR(LEN(A402)=0,LEN(R402)=0),0,IF(OR(R402="Active",R402="Paid off",R402="Defaulted",R402="Repossessed",R402="Written off",R402="Restructured"),0,1))</f>
        <v/>
      </c>
      <c r="AF402" s="19">
        <f>IF(A402="",0,IF(N(J402)&gt;N(I402),1,0))</f>
        <v/>
      </c>
      <c r="AG402" s="19">
        <f>IF(A402="",0,IF(N(N402)&gt;N(M402)+1,1,0))</f>
        <v/>
      </c>
      <c r="AH402" s="19">
        <f>IF(A402="",0,IF(N(E402)&gt;N(B402),1,0))</f>
        <v/>
      </c>
      <c r="AI402" s="19">
        <f>IF(A402="",0,IF(AND(Z402="Full payment",N(N402)&lt;N(M402)-1),1,0))</f>
        <v/>
      </c>
      <c r="AJ402" s="19">
        <f>IF(A402="",0,IF(N(P402)&lt;0,1,0))</f>
        <v/>
      </c>
      <c r="AK402" s="19">
        <f>IF(A402="",0,IF(COUNTIF($A$7:$A$1006,A402)&gt;1,1,0))</f>
        <v/>
      </c>
    </row>
    <row r="403">
      <c r="A403" s="10" t="n"/>
      <c r="B403" s="17" t="n"/>
      <c r="C403" s="18" t="n"/>
      <c r="D403" s="10" t="n"/>
      <c r="E403" s="17" t="n"/>
      <c r="F403" s="10" t="n"/>
      <c r="G403" s="10" t="n"/>
      <c r="H403" s="10" t="n"/>
      <c r="I403" s="18" t="n"/>
      <c r="J403" s="18" t="n"/>
      <c r="K403" s="18" t="n"/>
      <c r="L403" s="18" t="n"/>
      <c r="M403" s="19">
        <f>IF(K403="","",K403*365/12*L403)</f>
        <v/>
      </c>
      <c r="N403" s="18" t="n"/>
      <c r="O403" s="18" t="n"/>
      <c r="P403" s="18" t="n"/>
      <c r="Q403" s="18" t="n"/>
      <c r="R403" s="10" t="n"/>
      <c r="S403" s="17" t="n"/>
      <c r="T403" s="18" t="n"/>
      <c r="U403" s="17" t="n"/>
      <c r="V403" s="17" t="n"/>
      <c r="W403" s="18" t="n"/>
      <c r="X403" s="18" t="n"/>
      <c r="Y403" s="17" t="n"/>
      <c r="Z403" s="10" t="n"/>
      <c r="AA403" s="10" t="n"/>
      <c r="AB403" s="19">
        <f>IF(LEN(A403)&gt;0,1,0)</f>
        <v/>
      </c>
      <c r="AC403" s="19">
        <f>IF(LEN(A403)=0,0,(LEN(B403)=0)+(LEN(C403)=0)+(LEN(D403)=0)+(LEN(E403)=0)+(LEN(F403)=0)+(LEN(G403)=0)+(LEN(H403)=0)+(LEN(I403)=0)+(LEN(J403)=0)+(LEN(K403)=0)+(LEN(L403)=0)+(LEN(N403)=0)+(LEN(O403)=0)+(LEN(P403)=0)+(LEN(R403)=0)+(LEN(AA403)=0))</f>
        <v/>
      </c>
      <c r="AD403" s="19">
        <f>IF(OR(LEN(A403)=0,LEN(C403)=0),0,IF(OR(C403&lt;1,C403&gt;5),1,0))</f>
        <v/>
      </c>
      <c r="AE403" s="19">
        <f>IF(OR(LEN(A403)=0,LEN(R403)=0),0,IF(OR(R403="Active",R403="Paid off",R403="Defaulted",R403="Repossessed",R403="Written off",R403="Restructured"),0,1))</f>
        <v/>
      </c>
      <c r="AF403" s="19">
        <f>IF(A403="",0,IF(N(J403)&gt;N(I403),1,0))</f>
        <v/>
      </c>
      <c r="AG403" s="19">
        <f>IF(A403="",0,IF(N(N403)&gt;N(M403)+1,1,0))</f>
        <v/>
      </c>
      <c r="AH403" s="19">
        <f>IF(A403="",0,IF(N(E403)&gt;N(B403),1,0))</f>
        <v/>
      </c>
      <c r="AI403" s="19">
        <f>IF(A403="",0,IF(AND(Z403="Full payment",N(N403)&lt;N(M403)-1),1,0))</f>
        <v/>
      </c>
      <c r="AJ403" s="19">
        <f>IF(A403="",0,IF(N(P403)&lt;0,1,0))</f>
        <v/>
      </c>
      <c r="AK403" s="19">
        <f>IF(A403="",0,IF(COUNTIF($A$7:$A$1006,A403)&gt;1,1,0))</f>
        <v/>
      </c>
    </row>
    <row r="404">
      <c r="A404" s="10" t="n"/>
      <c r="B404" s="17" t="n"/>
      <c r="C404" s="18" t="n"/>
      <c r="D404" s="10" t="n"/>
      <c r="E404" s="17" t="n"/>
      <c r="F404" s="10" t="n"/>
      <c r="G404" s="10" t="n"/>
      <c r="H404" s="10" t="n"/>
      <c r="I404" s="18" t="n"/>
      <c r="J404" s="18" t="n"/>
      <c r="K404" s="18" t="n"/>
      <c r="L404" s="18" t="n"/>
      <c r="M404" s="19">
        <f>IF(K404="","",K404*365/12*L404)</f>
        <v/>
      </c>
      <c r="N404" s="18" t="n"/>
      <c r="O404" s="18" t="n"/>
      <c r="P404" s="18" t="n"/>
      <c r="Q404" s="18" t="n"/>
      <c r="R404" s="10" t="n"/>
      <c r="S404" s="17" t="n"/>
      <c r="T404" s="18" t="n"/>
      <c r="U404" s="17" t="n"/>
      <c r="V404" s="17" t="n"/>
      <c r="W404" s="18" t="n"/>
      <c r="X404" s="18" t="n"/>
      <c r="Y404" s="17" t="n"/>
      <c r="Z404" s="10" t="n"/>
      <c r="AA404" s="10" t="n"/>
      <c r="AB404" s="19">
        <f>IF(LEN(A404)&gt;0,1,0)</f>
        <v/>
      </c>
      <c r="AC404" s="19">
        <f>IF(LEN(A404)=0,0,(LEN(B404)=0)+(LEN(C404)=0)+(LEN(D404)=0)+(LEN(E404)=0)+(LEN(F404)=0)+(LEN(G404)=0)+(LEN(H404)=0)+(LEN(I404)=0)+(LEN(J404)=0)+(LEN(K404)=0)+(LEN(L404)=0)+(LEN(N404)=0)+(LEN(O404)=0)+(LEN(P404)=0)+(LEN(R404)=0)+(LEN(AA404)=0))</f>
        <v/>
      </c>
      <c r="AD404" s="19">
        <f>IF(OR(LEN(A404)=0,LEN(C404)=0),0,IF(OR(C404&lt;1,C404&gt;5),1,0))</f>
        <v/>
      </c>
      <c r="AE404" s="19">
        <f>IF(OR(LEN(A404)=0,LEN(R404)=0),0,IF(OR(R404="Active",R404="Paid off",R404="Defaulted",R404="Repossessed",R404="Written off",R404="Restructured"),0,1))</f>
        <v/>
      </c>
      <c r="AF404" s="19">
        <f>IF(A404="",0,IF(N(J404)&gt;N(I404),1,0))</f>
        <v/>
      </c>
      <c r="AG404" s="19">
        <f>IF(A404="",0,IF(N(N404)&gt;N(M404)+1,1,0))</f>
        <v/>
      </c>
      <c r="AH404" s="19">
        <f>IF(A404="",0,IF(N(E404)&gt;N(B404),1,0))</f>
        <v/>
      </c>
      <c r="AI404" s="19">
        <f>IF(A404="",0,IF(AND(Z404="Full payment",N(N404)&lt;N(M404)-1),1,0))</f>
        <v/>
      </c>
      <c r="AJ404" s="19">
        <f>IF(A404="",0,IF(N(P404)&lt;0,1,0))</f>
        <v/>
      </c>
      <c r="AK404" s="19">
        <f>IF(A404="",0,IF(COUNTIF($A$7:$A$1006,A404)&gt;1,1,0))</f>
        <v/>
      </c>
    </row>
    <row r="405">
      <c r="A405" s="10" t="n"/>
      <c r="B405" s="17" t="n"/>
      <c r="C405" s="18" t="n"/>
      <c r="D405" s="10" t="n"/>
      <c r="E405" s="17" t="n"/>
      <c r="F405" s="10" t="n"/>
      <c r="G405" s="10" t="n"/>
      <c r="H405" s="10" t="n"/>
      <c r="I405" s="18" t="n"/>
      <c r="J405" s="18" t="n"/>
      <c r="K405" s="18" t="n"/>
      <c r="L405" s="18" t="n"/>
      <c r="M405" s="19">
        <f>IF(K405="","",K405*365/12*L405)</f>
        <v/>
      </c>
      <c r="N405" s="18" t="n"/>
      <c r="O405" s="18" t="n"/>
      <c r="P405" s="18" t="n"/>
      <c r="Q405" s="18" t="n"/>
      <c r="R405" s="10" t="n"/>
      <c r="S405" s="17" t="n"/>
      <c r="T405" s="18" t="n"/>
      <c r="U405" s="17" t="n"/>
      <c r="V405" s="17" t="n"/>
      <c r="W405" s="18" t="n"/>
      <c r="X405" s="18" t="n"/>
      <c r="Y405" s="17" t="n"/>
      <c r="Z405" s="10" t="n"/>
      <c r="AA405" s="10" t="n"/>
      <c r="AB405" s="19">
        <f>IF(LEN(A405)&gt;0,1,0)</f>
        <v/>
      </c>
      <c r="AC405" s="19">
        <f>IF(LEN(A405)=0,0,(LEN(B405)=0)+(LEN(C405)=0)+(LEN(D405)=0)+(LEN(E405)=0)+(LEN(F405)=0)+(LEN(G405)=0)+(LEN(H405)=0)+(LEN(I405)=0)+(LEN(J405)=0)+(LEN(K405)=0)+(LEN(L405)=0)+(LEN(N405)=0)+(LEN(O405)=0)+(LEN(P405)=0)+(LEN(R405)=0)+(LEN(AA405)=0))</f>
        <v/>
      </c>
      <c r="AD405" s="19">
        <f>IF(OR(LEN(A405)=0,LEN(C405)=0),0,IF(OR(C405&lt;1,C405&gt;5),1,0))</f>
        <v/>
      </c>
      <c r="AE405" s="19">
        <f>IF(OR(LEN(A405)=0,LEN(R405)=0),0,IF(OR(R405="Active",R405="Paid off",R405="Defaulted",R405="Repossessed",R405="Written off",R405="Restructured"),0,1))</f>
        <v/>
      </c>
      <c r="AF405" s="19">
        <f>IF(A405="",0,IF(N(J405)&gt;N(I405),1,0))</f>
        <v/>
      </c>
      <c r="AG405" s="19">
        <f>IF(A405="",0,IF(N(N405)&gt;N(M405)+1,1,0))</f>
        <v/>
      </c>
      <c r="AH405" s="19">
        <f>IF(A405="",0,IF(N(E405)&gt;N(B405),1,0))</f>
        <v/>
      </c>
      <c r="AI405" s="19">
        <f>IF(A405="",0,IF(AND(Z405="Full payment",N(N405)&lt;N(M405)-1),1,0))</f>
        <v/>
      </c>
      <c r="AJ405" s="19">
        <f>IF(A405="",0,IF(N(P405)&lt;0,1,0))</f>
        <v/>
      </c>
      <c r="AK405" s="19">
        <f>IF(A405="",0,IF(COUNTIF($A$7:$A$1006,A405)&gt;1,1,0))</f>
        <v/>
      </c>
    </row>
    <row r="406">
      <c r="A406" s="10" t="n"/>
      <c r="B406" s="17" t="n"/>
      <c r="C406" s="18" t="n"/>
      <c r="D406" s="10" t="n"/>
      <c r="E406" s="17" t="n"/>
      <c r="F406" s="10" t="n"/>
      <c r="G406" s="10" t="n"/>
      <c r="H406" s="10" t="n"/>
      <c r="I406" s="18" t="n"/>
      <c r="J406" s="18" t="n"/>
      <c r="K406" s="18" t="n"/>
      <c r="L406" s="18" t="n"/>
      <c r="M406" s="19">
        <f>IF(K406="","",K406*365/12*L406)</f>
        <v/>
      </c>
      <c r="N406" s="18" t="n"/>
      <c r="O406" s="18" t="n"/>
      <c r="P406" s="18" t="n"/>
      <c r="Q406" s="18" t="n"/>
      <c r="R406" s="10" t="n"/>
      <c r="S406" s="17" t="n"/>
      <c r="T406" s="18" t="n"/>
      <c r="U406" s="17" t="n"/>
      <c r="V406" s="17" t="n"/>
      <c r="W406" s="18" t="n"/>
      <c r="X406" s="18" t="n"/>
      <c r="Y406" s="17" t="n"/>
      <c r="Z406" s="10" t="n"/>
      <c r="AA406" s="10" t="n"/>
      <c r="AB406" s="19">
        <f>IF(LEN(A406)&gt;0,1,0)</f>
        <v/>
      </c>
      <c r="AC406" s="19">
        <f>IF(LEN(A406)=0,0,(LEN(B406)=0)+(LEN(C406)=0)+(LEN(D406)=0)+(LEN(E406)=0)+(LEN(F406)=0)+(LEN(G406)=0)+(LEN(H406)=0)+(LEN(I406)=0)+(LEN(J406)=0)+(LEN(K406)=0)+(LEN(L406)=0)+(LEN(N406)=0)+(LEN(O406)=0)+(LEN(P406)=0)+(LEN(R406)=0)+(LEN(AA406)=0))</f>
        <v/>
      </c>
      <c r="AD406" s="19">
        <f>IF(OR(LEN(A406)=0,LEN(C406)=0),0,IF(OR(C406&lt;1,C406&gt;5),1,0))</f>
        <v/>
      </c>
      <c r="AE406" s="19">
        <f>IF(OR(LEN(A406)=0,LEN(R406)=0),0,IF(OR(R406="Active",R406="Paid off",R406="Defaulted",R406="Repossessed",R406="Written off",R406="Restructured"),0,1))</f>
        <v/>
      </c>
      <c r="AF406" s="19">
        <f>IF(A406="",0,IF(N(J406)&gt;N(I406),1,0))</f>
        <v/>
      </c>
      <c r="AG406" s="19">
        <f>IF(A406="",0,IF(N(N406)&gt;N(M406)+1,1,0))</f>
        <v/>
      </c>
      <c r="AH406" s="19">
        <f>IF(A406="",0,IF(N(E406)&gt;N(B406),1,0))</f>
        <v/>
      </c>
      <c r="AI406" s="19">
        <f>IF(A406="",0,IF(AND(Z406="Full payment",N(N406)&lt;N(M406)-1),1,0))</f>
        <v/>
      </c>
      <c r="AJ406" s="19">
        <f>IF(A406="",0,IF(N(P406)&lt;0,1,0))</f>
        <v/>
      </c>
      <c r="AK406" s="19">
        <f>IF(A406="",0,IF(COUNTIF($A$7:$A$1006,A406)&gt;1,1,0))</f>
        <v/>
      </c>
    </row>
    <row r="407">
      <c r="A407" s="10" t="n"/>
      <c r="B407" s="17" t="n"/>
      <c r="C407" s="18" t="n"/>
      <c r="D407" s="10" t="n"/>
      <c r="E407" s="17" t="n"/>
      <c r="F407" s="10" t="n"/>
      <c r="G407" s="10" t="n"/>
      <c r="H407" s="10" t="n"/>
      <c r="I407" s="18" t="n"/>
      <c r="J407" s="18" t="n"/>
      <c r="K407" s="18" t="n"/>
      <c r="L407" s="18" t="n"/>
      <c r="M407" s="19">
        <f>IF(K407="","",K407*365/12*L407)</f>
        <v/>
      </c>
      <c r="N407" s="18" t="n"/>
      <c r="O407" s="18" t="n"/>
      <c r="P407" s="18" t="n"/>
      <c r="Q407" s="18" t="n"/>
      <c r="R407" s="10" t="n"/>
      <c r="S407" s="17" t="n"/>
      <c r="T407" s="18" t="n"/>
      <c r="U407" s="17" t="n"/>
      <c r="V407" s="17" t="n"/>
      <c r="W407" s="18" t="n"/>
      <c r="X407" s="18" t="n"/>
      <c r="Y407" s="17" t="n"/>
      <c r="Z407" s="10" t="n"/>
      <c r="AA407" s="10" t="n"/>
      <c r="AB407" s="19">
        <f>IF(LEN(A407)&gt;0,1,0)</f>
        <v/>
      </c>
      <c r="AC407" s="19">
        <f>IF(LEN(A407)=0,0,(LEN(B407)=0)+(LEN(C407)=0)+(LEN(D407)=0)+(LEN(E407)=0)+(LEN(F407)=0)+(LEN(G407)=0)+(LEN(H407)=0)+(LEN(I407)=0)+(LEN(J407)=0)+(LEN(K407)=0)+(LEN(L407)=0)+(LEN(N407)=0)+(LEN(O407)=0)+(LEN(P407)=0)+(LEN(R407)=0)+(LEN(AA407)=0))</f>
        <v/>
      </c>
      <c r="AD407" s="19">
        <f>IF(OR(LEN(A407)=0,LEN(C407)=0),0,IF(OR(C407&lt;1,C407&gt;5),1,0))</f>
        <v/>
      </c>
      <c r="AE407" s="19">
        <f>IF(OR(LEN(A407)=0,LEN(R407)=0),0,IF(OR(R407="Active",R407="Paid off",R407="Defaulted",R407="Repossessed",R407="Written off",R407="Restructured"),0,1))</f>
        <v/>
      </c>
      <c r="AF407" s="19">
        <f>IF(A407="",0,IF(N(J407)&gt;N(I407),1,0))</f>
        <v/>
      </c>
      <c r="AG407" s="19">
        <f>IF(A407="",0,IF(N(N407)&gt;N(M407)+1,1,0))</f>
        <v/>
      </c>
      <c r="AH407" s="19">
        <f>IF(A407="",0,IF(N(E407)&gt;N(B407),1,0))</f>
        <v/>
      </c>
      <c r="AI407" s="19">
        <f>IF(A407="",0,IF(AND(Z407="Full payment",N(N407)&lt;N(M407)-1),1,0))</f>
        <v/>
      </c>
      <c r="AJ407" s="19">
        <f>IF(A407="",0,IF(N(P407)&lt;0,1,0))</f>
        <v/>
      </c>
      <c r="AK407" s="19">
        <f>IF(A407="",0,IF(COUNTIF($A$7:$A$1006,A407)&gt;1,1,0))</f>
        <v/>
      </c>
    </row>
    <row r="408">
      <c r="A408" s="10" t="n"/>
      <c r="B408" s="17" t="n"/>
      <c r="C408" s="18" t="n"/>
      <c r="D408" s="10" t="n"/>
      <c r="E408" s="17" t="n"/>
      <c r="F408" s="10" t="n"/>
      <c r="G408" s="10" t="n"/>
      <c r="H408" s="10" t="n"/>
      <c r="I408" s="18" t="n"/>
      <c r="J408" s="18" t="n"/>
      <c r="K408" s="18" t="n"/>
      <c r="L408" s="18" t="n"/>
      <c r="M408" s="19">
        <f>IF(K408="","",K408*365/12*L408)</f>
        <v/>
      </c>
      <c r="N408" s="18" t="n"/>
      <c r="O408" s="18" t="n"/>
      <c r="P408" s="18" t="n"/>
      <c r="Q408" s="18" t="n"/>
      <c r="R408" s="10" t="n"/>
      <c r="S408" s="17" t="n"/>
      <c r="T408" s="18" t="n"/>
      <c r="U408" s="17" t="n"/>
      <c r="V408" s="17" t="n"/>
      <c r="W408" s="18" t="n"/>
      <c r="X408" s="18" t="n"/>
      <c r="Y408" s="17" t="n"/>
      <c r="Z408" s="10" t="n"/>
      <c r="AA408" s="10" t="n"/>
      <c r="AB408" s="19">
        <f>IF(LEN(A408)&gt;0,1,0)</f>
        <v/>
      </c>
      <c r="AC408" s="19">
        <f>IF(LEN(A408)=0,0,(LEN(B408)=0)+(LEN(C408)=0)+(LEN(D408)=0)+(LEN(E408)=0)+(LEN(F408)=0)+(LEN(G408)=0)+(LEN(H408)=0)+(LEN(I408)=0)+(LEN(J408)=0)+(LEN(K408)=0)+(LEN(L408)=0)+(LEN(N408)=0)+(LEN(O408)=0)+(LEN(P408)=0)+(LEN(R408)=0)+(LEN(AA408)=0))</f>
        <v/>
      </c>
      <c r="AD408" s="19">
        <f>IF(OR(LEN(A408)=0,LEN(C408)=0),0,IF(OR(C408&lt;1,C408&gt;5),1,0))</f>
        <v/>
      </c>
      <c r="AE408" s="19">
        <f>IF(OR(LEN(A408)=0,LEN(R408)=0),0,IF(OR(R408="Active",R408="Paid off",R408="Defaulted",R408="Repossessed",R408="Written off",R408="Restructured"),0,1))</f>
        <v/>
      </c>
      <c r="AF408" s="19">
        <f>IF(A408="",0,IF(N(J408)&gt;N(I408),1,0))</f>
        <v/>
      </c>
      <c r="AG408" s="19">
        <f>IF(A408="",0,IF(N(N408)&gt;N(M408)+1,1,0))</f>
        <v/>
      </c>
      <c r="AH408" s="19">
        <f>IF(A408="",0,IF(N(E408)&gt;N(B408),1,0))</f>
        <v/>
      </c>
      <c r="AI408" s="19">
        <f>IF(A408="",0,IF(AND(Z408="Full payment",N(N408)&lt;N(M408)-1),1,0))</f>
        <v/>
      </c>
      <c r="AJ408" s="19">
        <f>IF(A408="",0,IF(N(P408)&lt;0,1,0))</f>
        <v/>
      </c>
      <c r="AK408" s="19">
        <f>IF(A408="",0,IF(COUNTIF($A$7:$A$1006,A408)&gt;1,1,0))</f>
        <v/>
      </c>
    </row>
    <row r="409">
      <c r="A409" s="10" t="n"/>
      <c r="B409" s="17" t="n"/>
      <c r="C409" s="18" t="n"/>
      <c r="D409" s="10" t="n"/>
      <c r="E409" s="17" t="n"/>
      <c r="F409" s="10" t="n"/>
      <c r="G409" s="10" t="n"/>
      <c r="H409" s="10" t="n"/>
      <c r="I409" s="18" t="n"/>
      <c r="J409" s="18" t="n"/>
      <c r="K409" s="18" t="n"/>
      <c r="L409" s="18" t="n"/>
      <c r="M409" s="19">
        <f>IF(K409="","",K409*365/12*L409)</f>
        <v/>
      </c>
      <c r="N409" s="18" t="n"/>
      <c r="O409" s="18" t="n"/>
      <c r="P409" s="18" t="n"/>
      <c r="Q409" s="18" t="n"/>
      <c r="R409" s="10" t="n"/>
      <c r="S409" s="17" t="n"/>
      <c r="T409" s="18" t="n"/>
      <c r="U409" s="17" t="n"/>
      <c r="V409" s="17" t="n"/>
      <c r="W409" s="18" t="n"/>
      <c r="X409" s="18" t="n"/>
      <c r="Y409" s="17" t="n"/>
      <c r="Z409" s="10" t="n"/>
      <c r="AA409" s="10" t="n"/>
      <c r="AB409" s="19">
        <f>IF(LEN(A409)&gt;0,1,0)</f>
        <v/>
      </c>
      <c r="AC409" s="19">
        <f>IF(LEN(A409)=0,0,(LEN(B409)=0)+(LEN(C409)=0)+(LEN(D409)=0)+(LEN(E409)=0)+(LEN(F409)=0)+(LEN(G409)=0)+(LEN(H409)=0)+(LEN(I409)=0)+(LEN(J409)=0)+(LEN(K409)=0)+(LEN(L409)=0)+(LEN(N409)=0)+(LEN(O409)=0)+(LEN(P409)=0)+(LEN(R409)=0)+(LEN(AA409)=0))</f>
        <v/>
      </c>
      <c r="AD409" s="19">
        <f>IF(OR(LEN(A409)=0,LEN(C409)=0),0,IF(OR(C409&lt;1,C409&gt;5),1,0))</f>
        <v/>
      </c>
      <c r="AE409" s="19">
        <f>IF(OR(LEN(A409)=0,LEN(R409)=0),0,IF(OR(R409="Active",R409="Paid off",R409="Defaulted",R409="Repossessed",R409="Written off",R409="Restructured"),0,1))</f>
        <v/>
      </c>
      <c r="AF409" s="19">
        <f>IF(A409="",0,IF(N(J409)&gt;N(I409),1,0))</f>
        <v/>
      </c>
      <c r="AG409" s="19">
        <f>IF(A409="",0,IF(N(N409)&gt;N(M409)+1,1,0))</f>
        <v/>
      </c>
      <c r="AH409" s="19">
        <f>IF(A409="",0,IF(N(E409)&gt;N(B409),1,0))</f>
        <v/>
      </c>
      <c r="AI409" s="19">
        <f>IF(A409="",0,IF(AND(Z409="Full payment",N(N409)&lt;N(M409)-1),1,0))</f>
        <v/>
      </c>
      <c r="AJ409" s="19">
        <f>IF(A409="",0,IF(N(P409)&lt;0,1,0))</f>
        <v/>
      </c>
      <c r="AK409" s="19">
        <f>IF(A409="",0,IF(COUNTIF($A$7:$A$1006,A409)&gt;1,1,0))</f>
        <v/>
      </c>
    </row>
    <row r="410">
      <c r="A410" s="10" t="n"/>
      <c r="B410" s="17" t="n"/>
      <c r="C410" s="18" t="n"/>
      <c r="D410" s="10" t="n"/>
      <c r="E410" s="17" t="n"/>
      <c r="F410" s="10" t="n"/>
      <c r="G410" s="10" t="n"/>
      <c r="H410" s="10" t="n"/>
      <c r="I410" s="18" t="n"/>
      <c r="J410" s="18" t="n"/>
      <c r="K410" s="18" t="n"/>
      <c r="L410" s="18" t="n"/>
      <c r="M410" s="19">
        <f>IF(K410="","",K410*365/12*L410)</f>
        <v/>
      </c>
      <c r="N410" s="18" t="n"/>
      <c r="O410" s="18" t="n"/>
      <c r="P410" s="18" t="n"/>
      <c r="Q410" s="18" t="n"/>
      <c r="R410" s="10" t="n"/>
      <c r="S410" s="17" t="n"/>
      <c r="T410" s="18" t="n"/>
      <c r="U410" s="17" t="n"/>
      <c r="V410" s="17" t="n"/>
      <c r="W410" s="18" t="n"/>
      <c r="X410" s="18" t="n"/>
      <c r="Y410" s="17" t="n"/>
      <c r="Z410" s="10" t="n"/>
      <c r="AA410" s="10" t="n"/>
      <c r="AB410" s="19">
        <f>IF(LEN(A410)&gt;0,1,0)</f>
        <v/>
      </c>
      <c r="AC410" s="19">
        <f>IF(LEN(A410)=0,0,(LEN(B410)=0)+(LEN(C410)=0)+(LEN(D410)=0)+(LEN(E410)=0)+(LEN(F410)=0)+(LEN(G410)=0)+(LEN(H410)=0)+(LEN(I410)=0)+(LEN(J410)=0)+(LEN(K410)=0)+(LEN(L410)=0)+(LEN(N410)=0)+(LEN(O410)=0)+(LEN(P410)=0)+(LEN(R410)=0)+(LEN(AA410)=0))</f>
        <v/>
      </c>
      <c r="AD410" s="19">
        <f>IF(OR(LEN(A410)=0,LEN(C410)=0),0,IF(OR(C410&lt;1,C410&gt;5),1,0))</f>
        <v/>
      </c>
      <c r="AE410" s="19">
        <f>IF(OR(LEN(A410)=0,LEN(R410)=0),0,IF(OR(R410="Active",R410="Paid off",R410="Defaulted",R410="Repossessed",R410="Written off",R410="Restructured"),0,1))</f>
        <v/>
      </c>
      <c r="AF410" s="19">
        <f>IF(A410="",0,IF(N(J410)&gt;N(I410),1,0))</f>
        <v/>
      </c>
      <c r="AG410" s="19">
        <f>IF(A410="",0,IF(N(N410)&gt;N(M410)+1,1,0))</f>
        <v/>
      </c>
      <c r="AH410" s="19">
        <f>IF(A410="",0,IF(N(E410)&gt;N(B410),1,0))</f>
        <v/>
      </c>
      <c r="AI410" s="19">
        <f>IF(A410="",0,IF(AND(Z410="Full payment",N(N410)&lt;N(M410)-1),1,0))</f>
        <v/>
      </c>
      <c r="AJ410" s="19">
        <f>IF(A410="",0,IF(N(P410)&lt;0,1,0))</f>
        <v/>
      </c>
      <c r="AK410" s="19">
        <f>IF(A410="",0,IF(COUNTIF($A$7:$A$1006,A410)&gt;1,1,0))</f>
        <v/>
      </c>
    </row>
    <row r="411">
      <c r="A411" s="10" t="n"/>
      <c r="B411" s="17" t="n"/>
      <c r="C411" s="18" t="n"/>
      <c r="D411" s="10" t="n"/>
      <c r="E411" s="17" t="n"/>
      <c r="F411" s="10" t="n"/>
      <c r="G411" s="10" t="n"/>
      <c r="H411" s="10" t="n"/>
      <c r="I411" s="18" t="n"/>
      <c r="J411" s="18" t="n"/>
      <c r="K411" s="18" t="n"/>
      <c r="L411" s="18" t="n"/>
      <c r="M411" s="19">
        <f>IF(K411="","",K411*365/12*L411)</f>
        <v/>
      </c>
      <c r="N411" s="18" t="n"/>
      <c r="O411" s="18" t="n"/>
      <c r="P411" s="18" t="n"/>
      <c r="Q411" s="18" t="n"/>
      <c r="R411" s="10" t="n"/>
      <c r="S411" s="17" t="n"/>
      <c r="T411" s="18" t="n"/>
      <c r="U411" s="17" t="n"/>
      <c r="V411" s="17" t="n"/>
      <c r="W411" s="18" t="n"/>
      <c r="X411" s="18" t="n"/>
      <c r="Y411" s="17" t="n"/>
      <c r="Z411" s="10" t="n"/>
      <c r="AA411" s="10" t="n"/>
      <c r="AB411" s="19">
        <f>IF(LEN(A411)&gt;0,1,0)</f>
        <v/>
      </c>
      <c r="AC411" s="19">
        <f>IF(LEN(A411)=0,0,(LEN(B411)=0)+(LEN(C411)=0)+(LEN(D411)=0)+(LEN(E411)=0)+(LEN(F411)=0)+(LEN(G411)=0)+(LEN(H411)=0)+(LEN(I411)=0)+(LEN(J411)=0)+(LEN(K411)=0)+(LEN(L411)=0)+(LEN(N411)=0)+(LEN(O411)=0)+(LEN(P411)=0)+(LEN(R411)=0)+(LEN(AA411)=0))</f>
        <v/>
      </c>
      <c r="AD411" s="19">
        <f>IF(OR(LEN(A411)=0,LEN(C411)=0),0,IF(OR(C411&lt;1,C411&gt;5),1,0))</f>
        <v/>
      </c>
      <c r="AE411" s="19">
        <f>IF(OR(LEN(A411)=0,LEN(R411)=0),0,IF(OR(R411="Active",R411="Paid off",R411="Defaulted",R411="Repossessed",R411="Written off",R411="Restructured"),0,1))</f>
        <v/>
      </c>
      <c r="AF411" s="19">
        <f>IF(A411="",0,IF(N(J411)&gt;N(I411),1,0))</f>
        <v/>
      </c>
      <c r="AG411" s="19">
        <f>IF(A411="",0,IF(N(N411)&gt;N(M411)+1,1,0))</f>
        <v/>
      </c>
      <c r="AH411" s="19">
        <f>IF(A411="",0,IF(N(E411)&gt;N(B411),1,0))</f>
        <v/>
      </c>
      <c r="AI411" s="19">
        <f>IF(A411="",0,IF(AND(Z411="Full payment",N(N411)&lt;N(M411)-1),1,0))</f>
        <v/>
      </c>
      <c r="AJ411" s="19">
        <f>IF(A411="",0,IF(N(P411)&lt;0,1,0))</f>
        <v/>
      </c>
      <c r="AK411" s="19">
        <f>IF(A411="",0,IF(COUNTIF($A$7:$A$1006,A411)&gt;1,1,0))</f>
        <v/>
      </c>
    </row>
    <row r="412">
      <c r="A412" s="10" t="n"/>
      <c r="B412" s="17" t="n"/>
      <c r="C412" s="18" t="n"/>
      <c r="D412" s="10" t="n"/>
      <c r="E412" s="17" t="n"/>
      <c r="F412" s="10" t="n"/>
      <c r="G412" s="10" t="n"/>
      <c r="H412" s="10" t="n"/>
      <c r="I412" s="18" t="n"/>
      <c r="J412" s="18" t="n"/>
      <c r="K412" s="18" t="n"/>
      <c r="L412" s="18" t="n"/>
      <c r="M412" s="19">
        <f>IF(K412="","",K412*365/12*L412)</f>
        <v/>
      </c>
      <c r="N412" s="18" t="n"/>
      <c r="O412" s="18" t="n"/>
      <c r="P412" s="18" t="n"/>
      <c r="Q412" s="18" t="n"/>
      <c r="R412" s="10" t="n"/>
      <c r="S412" s="17" t="n"/>
      <c r="T412" s="18" t="n"/>
      <c r="U412" s="17" t="n"/>
      <c r="V412" s="17" t="n"/>
      <c r="W412" s="18" t="n"/>
      <c r="X412" s="18" t="n"/>
      <c r="Y412" s="17" t="n"/>
      <c r="Z412" s="10" t="n"/>
      <c r="AA412" s="10" t="n"/>
      <c r="AB412" s="19">
        <f>IF(LEN(A412)&gt;0,1,0)</f>
        <v/>
      </c>
      <c r="AC412" s="19">
        <f>IF(LEN(A412)=0,0,(LEN(B412)=0)+(LEN(C412)=0)+(LEN(D412)=0)+(LEN(E412)=0)+(LEN(F412)=0)+(LEN(G412)=0)+(LEN(H412)=0)+(LEN(I412)=0)+(LEN(J412)=0)+(LEN(K412)=0)+(LEN(L412)=0)+(LEN(N412)=0)+(LEN(O412)=0)+(LEN(P412)=0)+(LEN(R412)=0)+(LEN(AA412)=0))</f>
        <v/>
      </c>
      <c r="AD412" s="19">
        <f>IF(OR(LEN(A412)=0,LEN(C412)=0),0,IF(OR(C412&lt;1,C412&gt;5),1,0))</f>
        <v/>
      </c>
      <c r="AE412" s="19">
        <f>IF(OR(LEN(A412)=0,LEN(R412)=0),0,IF(OR(R412="Active",R412="Paid off",R412="Defaulted",R412="Repossessed",R412="Written off",R412="Restructured"),0,1))</f>
        <v/>
      </c>
      <c r="AF412" s="19">
        <f>IF(A412="",0,IF(N(J412)&gt;N(I412),1,0))</f>
        <v/>
      </c>
      <c r="AG412" s="19">
        <f>IF(A412="",0,IF(N(N412)&gt;N(M412)+1,1,0))</f>
        <v/>
      </c>
      <c r="AH412" s="19">
        <f>IF(A412="",0,IF(N(E412)&gt;N(B412),1,0))</f>
        <v/>
      </c>
      <c r="AI412" s="19">
        <f>IF(A412="",0,IF(AND(Z412="Full payment",N(N412)&lt;N(M412)-1),1,0))</f>
        <v/>
      </c>
      <c r="AJ412" s="19">
        <f>IF(A412="",0,IF(N(P412)&lt;0,1,0))</f>
        <v/>
      </c>
      <c r="AK412" s="19">
        <f>IF(A412="",0,IF(COUNTIF($A$7:$A$1006,A412)&gt;1,1,0))</f>
        <v/>
      </c>
    </row>
    <row r="413">
      <c r="A413" s="10" t="n"/>
      <c r="B413" s="17" t="n"/>
      <c r="C413" s="18" t="n"/>
      <c r="D413" s="10" t="n"/>
      <c r="E413" s="17" t="n"/>
      <c r="F413" s="10" t="n"/>
      <c r="G413" s="10" t="n"/>
      <c r="H413" s="10" t="n"/>
      <c r="I413" s="18" t="n"/>
      <c r="J413" s="18" t="n"/>
      <c r="K413" s="18" t="n"/>
      <c r="L413" s="18" t="n"/>
      <c r="M413" s="19">
        <f>IF(K413="","",K413*365/12*L413)</f>
        <v/>
      </c>
      <c r="N413" s="18" t="n"/>
      <c r="O413" s="18" t="n"/>
      <c r="P413" s="18" t="n"/>
      <c r="Q413" s="18" t="n"/>
      <c r="R413" s="10" t="n"/>
      <c r="S413" s="17" t="n"/>
      <c r="T413" s="18" t="n"/>
      <c r="U413" s="17" t="n"/>
      <c r="V413" s="17" t="n"/>
      <c r="W413" s="18" t="n"/>
      <c r="X413" s="18" t="n"/>
      <c r="Y413" s="17" t="n"/>
      <c r="Z413" s="10" t="n"/>
      <c r="AA413" s="10" t="n"/>
      <c r="AB413" s="19">
        <f>IF(LEN(A413)&gt;0,1,0)</f>
        <v/>
      </c>
      <c r="AC413" s="19">
        <f>IF(LEN(A413)=0,0,(LEN(B413)=0)+(LEN(C413)=0)+(LEN(D413)=0)+(LEN(E413)=0)+(LEN(F413)=0)+(LEN(G413)=0)+(LEN(H413)=0)+(LEN(I413)=0)+(LEN(J413)=0)+(LEN(K413)=0)+(LEN(L413)=0)+(LEN(N413)=0)+(LEN(O413)=0)+(LEN(P413)=0)+(LEN(R413)=0)+(LEN(AA413)=0))</f>
        <v/>
      </c>
      <c r="AD413" s="19">
        <f>IF(OR(LEN(A413)=0,LEN(C413)=0),0,IF(OR(C413&lt;1,C413&gt;5),1,0))</f>
        <v/>
      </c>
      <c r="AE413" s="19">
        <f>IF(OR(LEN(A413)=0,LEN(R413)=0),0,IF(OR(R413="Active",R413="Paid off",R413="Defaulted",R413="Repossessed",R413="Written off",R413="Restructured"),0,1))</f>
        <v/>
      </c>
      <c r="AF413" s="19">
        <f>IF(A413="",0,IF(N(J413)&gt;N(I413),1,0))</f>
        <v/>
      </c>
      <c r="AG413" s="19">
        <f>IF(A413="",0,IF(N(N413)&gt;N(M413)+1,1,0))</f>
        <v/>
      </c>
      <c r="AH413" s="19">
        <f>IF(A413="",0,IF(N(E413)&gt;N(B413),1,0))</f>
        <v/>
      </c>
      <c r="AI413" s="19">
        <f>IF(A413="",0,IF(AND(Z413="Full payment",N(N413)&lt;N(M413)-1),1,0))</f>
        <v/>
      </c>
      <c r="AJ413" s="19">
        <f>IF(A413="",0,IF(N(P413)&lt;0,1,0))</f>
        <v/>
      </c>
      <c r="AK413" s="19">
        <f>IF(A413="",0,IF(COUNTIF($A$7:$A$1006,A413)&gt;1,1,0))</f>
        <v/>
      </c>
    </row>
    <row r="414">
      <c r="A414" s="10" t="n"/>
      <c r="B414" s="17" t="n"/>
      <c r="C414" s="18" t="n"/>
      <c r="D414" s="10" t="n"/>
      <c r="E414" s="17" t="n"/>
      <c r="F414" s="10" t="n"/>
      <c r="G414" s="10" t="n"/>
      <c r="H414" s="10" t="n"/>
      <c r="I414" s="18" t="n"/>
      <c r="J414" s="18" t="n"/>
      <c r="K414" s="18" t="n"/>
      <c r="L414" s="18" t="n"/>
      <c r="M414" s="19">
        <f>IF(K414="","",K414*365/12*L414)</f>
        <v/>
      </c>
      <c r="N414" s="18" t="n"/>
      <c r="O414" s="18" t="n"/>
      <c r="P414" s="18" t="n"/>
      <c r="Q414" s="18" t="n"/>
      <c r="R414" s="10" t="n"/>
      <c r="S414" s="17" t="n"/>
      <c r="T414" s="18" t="n"/>
      <c r="U414" s="17" t="n"/>
      <c r="V414" s="17" t="n"/>
      <c r="W414" s="18" t="n"/>
      <c r="X414" s="18" t="n"/>
      <c r="Y414" s="17" t="n"/>
      <c r="Z414" s="10" t="n"/>
      <c r="AA414" s="10" t="n"/>
      <c r="AB414" s="19">
        <f>IF(LEN(A414)&gt;0,1,0)</f>
        <v/>
      </c>
      <c r="AC414" s="19">
        <f>IF(LEN(A414)=0,0,(LEN(B414)=0)+(LEN(C414)=0)+(LEN(D414)=0)+(LEN(E414)=0)+(LEN(F414)=0)+(LEN(G414)=0)+(LEN(H414)=0)+(LEN(I414)=0)+(LEN(J414)=0)+(LEN(K414)=0)+(LEN(L414)=0)+(LEN(N414)=0)+(LEN(O414)=0)+(LEN(P414)=0)+(LEN(R414)=0)+(LEN(AA414)=0))</f>
        <v/>
      </c>
      <c r="AD414" s="19">
        <f>IF(OR(LEN(A414)=0,LEN(C414)=0),0,IF(OR(C414&lt;1,C414&gt;5),1,0))</f>
        <v/>
      </c>
      <c r="AE414" s="19">
        <f>IF(OR(LEN(A414)=0,LEN(R414)=0),0,IF(OR(R414="Active",R414="Paid off",R414="Defaulted",R414="Repossessed",R414="Written off",R414="Restructured"),0,1))</f>
        <v/>
      </c>
      <c r="AF414" s="19">
        <f>IF(A414="",0,IF(N(J414)&gt;N(I414),1,0))</f>
        <v/>
      </c>
      <c r="AG414" s="19">
        <f>IF(A414="",0,IF(N(N414)&gt;N(M414)+1,1,0))</f>
        <v/>
      </c>
      <c r="AH414" s="19">
        <f>IF(A414="",0,IF(N(E414)&gt;N(B414),1,0))</f>
        <v/>
      </c>
      <c r="AI414" s="19">
        <f>IF(A414="",0,IF(AND(Z414="Full payment",N(N414)&lt;N(M414)-1),1,0))</f>
        <v/>
      </c>
      <c r="AJ414" s="19">
        <f>IF(A414="",0,IF(N(P414)&lt;0,1,0))</f>
        <v/>
      </c>
      <c r="AK414" s="19">
        <f>IF(A414="",0,IF(COUNTIF($A$7:$A$1006,A414)&gt;1,1,0))</f>
        <v/>
      </c>
    </row>
    <row r="415">
      <c r="A415" s="10" t="n"/>
      <c r="B415" s="17" t="n"/>
      <c r="C415" s="18" t="n"/>
      <c r="D415" s="10" t="n"/>
      <c r="E415" s="17" t="n"/>
      <c r="F415" s="10" t="n"/>
      <c r="G415" s="10" t="n"/>
      <c r="H415" s="10" t="n"/>
      <c r="I415" s="18" t="n"/>
      <c r="J415" s="18" t="n"/>
      <c r="K415" s="18" t="n"/>
      <c r="L415" s="18" t="n"/>
      <c r="M415" s="19">
        <f>IF(K415="","",K415*365/12*L415)</f>
        <v/>
      </c>
      <c r="N415" s="18" t="n"/>
      <c r="O415" s="18" t="n"/>
      <c r="P415" s="18" t="n"/>
      <c r="Q415" s="18" t="n"/>
      <c r="R415" s="10" t="n"/>
      <c r="S415" s="17" t="n"/>
      <c r="T415" s="18" t="n"/>
      <c r="U415" s="17" t="n"/>
      <c r="V415" s="17" t="n"/>
      <c r="W415" s="18" t="n"/>
      <c r="X415" s="18" t="n"/>
      <c r="Y415" s="17" t="n"/>
      <c r="Z415" s="10" t="n"/>
      <c r="AA415" s="10" t="n"/>
      <c r="AB415" s="19">
        <f>IF(LEN(A415)&gt;0,1,0)</f>
        <v/>
      </c>
      <c r="AC415" s="19">
        <f>IF(LEN(A415)=0,0,(LEN(B415)=0)+(LEN(C415)=0)+(LEN(D415)=0)+(LEN(E415)=0)+(LEN(F415)=0)+(LEN(G415)=0)+(LEN(H415)=0)+(LEN(I415)=0)+(LEN(J415)=0)+(LEN(K415)=0)+(LEN(L415)=0)+(LEN(N415)=0)+(LEN(O415)=0)+(LEN(P415)=0)+(LEN(R415)=0)+(LEN(AA415)=0))</f>
        <v/>
      </c>
      <c r="AD415" s="19">
        <f>IF(OR(LEN(A415)=0,LEN(C415)=0),0,IF(OR(C415&lt;1,C415&gt;5),1,0))</f>
        <v/>
      </c>
      <c r="AE415" s="19">
        <f>IF(OR(LEN(A415)=0,LEN(R415)=0),0,IF(OR(R415="Active",R415="Paid off",R415="Defaulted",R415="Repossessed",R415="Written off",R415="Restructured"),0,1))</f>
        <v/>
      </c>
      <c r="AF415" s="19">
        <f>IF(A415="",0,IF(N(J415)&gt;N(I415),1,0))</f>
        <v/>
      </c>
      <c r="AG415" s="19">
        <f>IF(A415="",0,IF(N(N415)&gt;N(M415)+1,1,0))</f>
        <v/>
      </c>
      <c r="AH415" s="19">
        <f>IF(A415="",0,IF(N(E415)&gt;N(B415),1,0))</f>
        <v/>
      </c>
      <c r="AI415" s="19">
        <f>IF(A415="",0,IF(AND(Z415="Full payment",N(N415)&lt;N(M415)-1),1,0))</f>
        <v/>
      </c>
      <c r="AJ415" s="19">
        <f>IF(A415="",0,IF(N(P415)&lt;0,1,0))</f>
        <v/>
      </c>
      <c r="AK415" s="19">
        <f>IF(A415="",0,IF(COUNTIF($A$7:$A$1006,A415)&gt;1,1,0))</f>
        <v/>
      </c>
    </row>
    <row r="416">
      <c r="A416" s="10" t="n"/>
      <c r="B416" s="17" t="n"/>
      <c r="C416" s="18" t="n"/>
      <c r="D416" s="10" t="n"/>
      <c r="E416" s="17" t="n"/>
      <c r="F416" s="10" t="n"/>
      <c r="G416" s="10" t="n"/>
      <c r="H416" s="10" t="n"/>
      <c r="I416" s="18" t="n"/>
      <c r="J416" s="18" t="n"/>
      <c r="K416" s="18" t="n"/>
      <c r="L416" s="18" t="n"/>
      <c r="M416" s="19">
        <f>IF(K416="","",K416*365/12*L416)</f>
        <v/>
      </c>
      <c r="N416" s="18" t="n"/>
      <c r="O416" s="18" t="n"/>
      <c r="P416" s="18" t="n"/>
      <c r="Q416" s="18" t="n"/>
      <c r="R416" s="10" t="n"/>
      <c r="S416" s="17" t="n"/>
      <c r="T416" s="18" t="n"/>
      <c r="U416" s="17" t="n"/>
      <c r="V416" s="17" t="n"/>
      <c r="W416" s="18" t="n"/>
      <c r="X416" s="18" t="n"/>
      <c r="Y416" s="17" t="n"/>
      <c r="Z416" s="10" t="n"/>
      <c r="AA416" s="10" t="n"/>
      <c r="AB416" s="19">
        <f>IF(LEN(A416)&gt;0,1,0)</f>
        <v/>
      </c>
      <c r="AC416" s="19">
        <f>IF(LEN(A416)=0,0,(LEN(B416)=0)+(LEN(C416)=0)+(LEN(D416)=0)+(LEN(E416)=0)+(LEN(F416)=0)+(LEN(G416)=0)+(LEN(H416)=0)+(LEN(I416)=0)+(LEN(J416)=0)+(LEN(K416)=0)+(LEN(L416)=0)+(LEN(N416)=0)+(LEN(O416)=0)+(LEN(P416)=0)+(LEN(R416)=0)+(LEN(AA416)=0))</f>
        <v/>
      </c>
      <c r="AD416" s="19">
        <f>IF(OR(LEN(A416)=0,LEN(C416)=0),0,IF(OR(C416&lt;1,C416&gt;5),1,0))</f>
        <v/>
      </c>
      <c r="AE416" s="19">
        <f>IF(OR(LEN(A416)=0,LEN(R416)=0),0,IF(OR(R416="Active",R416="Paid off",R416="Defaulted",R416="Repossessed",R416="Written off",R416="Restructured"),0,1))</f>
        <v/>
      </c>
      <c r="AF416" s="19">
        <f>IF(A416="",0,IF(N(J416)&gt;N(I416),1,0))</f>
        <v/>
      </c>
      <c r="AG416" s="19">
        <f>IF(A416="",0,IF(N(N416)&gt;N(M416)+1,1,0))</f>
        <v/>
      </c>
      <c r="AH416" s="19">
        <f>IF(A416="",0,IF(N(E416)&gt;N(B416),1,0))</f>
        <v/>
      </c>
      <c r="AI416" s="19">
        <f>IF(A416="",0,IF(AND(Z416="Full payment",N(N416)&lt;N(M416)-1),1,0))</f>
        <v/>
      </c>
      <c r="AJ416" s="19">
        <f>IF(A416="",0,IF(N(P416)&lt;0,1,0))</f>
        <v/>
      </c>
      <c r="AK416" s="19">
        <f>IF(A416="",0,IF(COUNTIF($A$7:$A$1006,A416)&gt;1,1,0))</f>
        <v/>
      </c>
    </row>
    <row r="417">
      <c r="A417" s="10" t="n"/>
      <c r="B417" s="17" t="n"/>
      <c r="C417" s="18" t="n"/>
      <c r="D417" s="10" t="n"/>
      <c r="E417" s="17" t="n"/>
      <c r="F417" s="10" t="n"/>
      <c r="G417" s="10" t="n"/>
      <c r="H417" s="10" t="n"/>
      <c r="I417" s="18" t="n"/>
      <c r="J417" s="18" t="n"/>
      <c r="K417" s="18" t="n"/>
      <c r="L417" s="18" t="n"/>
      <c r="M417" s="19">
        <f>IF(K417="","",K417*365/12*L417)</f>
        <v/>
      </c>
      <c r="N417" s="18" t="n"/>
      <c r="O417" s="18" t="n"/>
      <c r="P417" s="18" t="n"/>
      <c r="Q417" s="18" t="n"/>
      <c r="R417" s="10" t="n"/>
      <c r="S417" s="17" t="n"/>
      <c r="T417" s="18" t="n"/>
      <c r="U417" s="17" t="n"/>
      <c r="V417" s="17" t="n"/>
      <c r="W417" s="18" t="n"/>
      <c r="X417" s="18" t="n"/>
      <c r="Y417" s="17" t="n"/>
      <c r="Z417" s="10" t="n"/>
      <c r="AA417" s="10" t="n"/>
      <c r="AB417" s="19">
        <f>IF(LEN(A417)&gt;0,1,0)</f>
        <v/>
      </c>
      <c r="AC417" s="19">
        <f>IF(LEN(A417)=0,0,(LEN(B417)=0)+(LEN(C417)=0)+(LEN(D417)=0)+(LEN(E417)=0)+(LEN(F417)=0)+(LEN(G417)=0)+(LEN(H417)=0)+(LEN(I417)=0)+(LEN(J417)=0)+(LEN(K417)=0)+(LEN(L417)=0)+(LEN(N417)=0)+(LEN(O417)=0)+(LEN(P417)=0)+(LEN(R417)=0)+(LEN(AA417)=0))</f>
        <v/>
      </c>
      <c r="AD417" s="19">
        <f>IF(OR(LEN(A417)=0,LEN(C417)=0),0,IF(OR(C417&lt;1,C417&gt;5),1,0))</f>
        <v/>
      </c>
      <c r="AE417" s="19">
        <f>IF(OR(LEN(A417)=0,LEN(R417)=0),0,IF(OR(R417="Active",R417="Paid off",R417="Defaulted",R417="Repossessed",R417="Written off",R417="Restructured"),0,1))</f>
        <v/>
      </c>
      <c r="AF417" s="19">
        <f>IF(A417="",0,IF(N(J417)&gt;N(I417),1,0))</f>
        <v/>
      </c>
      <c r="AG417" s="19">
        <f>IF(A417="",0,IF(N(N417)&gt;N(M417)+1,1,0))</f>
        <v/>
      </c>
      <c r="AH417" s="19">
        <f>IF(A417="",0,IF(N(E417)&gt;N(B417),1,0))</f>
        <v/>
      </c>
      <c r="AI417" s="19">
        <f>IF(A417="",0,IF(AND(Z417="Full payment",N(N417)&lt;N(M417)-1),1,0))</f>
        <v/>
      </c>
      <c r="AJ417" s="19">
        <f>IF(A417="",0,IF(N(P417)&lt;0,1,0))</f>
        <v/>
      </c>
      <c r="AK417" s="19">
        <f>IF(A417="",0,IF(COUNTIF($A$7:$A$1006,A417)&gt;1,1,0))</f>
        <v/>
      </c>
    </row>
    <row r="418">
      <c r="A418" s="10" t="n"/>
      <c r="B418" s="17" t="n"/>
      <c r="C418" s="18" t="n"/>
      <c r="D418" s="10" t="n"/>
      <c r="E418" s="17" t="n"/>
      <c r="F418" s="10" t="n"/>
      <c r="G418" s="10" t="n"/>
      <c r="H418" s="10" t="n"/>
      <c r="I418" s="18" t="n"/>
      <c r="J418" s="18" t="n"/>
      <c r="K418" s="18" t="n"/>
      <c r="L418" s="18" t="n"/>
      <c r="M418" s="19">
        <f>IF(K418="","",K418*365/12*L418)</f>
        <v/>
      </c>
      <c r="N418" s="18" t="n"/>
      <c r="O418" s="18" t="n"/>
      <c r="P418" s="18" t="n"/>
      <c r="Q418" s="18" t="n"/>
      <c r="R418" s="10" t="n"/>
      <c r="S418" s="17" t="n"/>
      <c r="T418" s="18" t="n"/>
      <c r="U418" s="17" t="n"/>
      <c r="V418" s="17" t="n"/>
      <c r="W418" s="18" t="n"/>
      <c r="X418" s="18" t="n"/>
      <c r="Y418" s="17" t="n"/>
      <c r="Z418" s="10" t="n"/>
      <c r="AA418" s="10" t="n"/>
      <c r="AB418" s="19">
        <f>IF(LEN(A418)&gt;0,1,0)</f>
        <v/>
      </c>
      <c r="AC418" s="19">
        <f>IF(LEN(A418)=0,0,(LEN(B418)=0)+(LEN(C418)=0)+(LEN(D418)=0)+(LEN(E418)=0)+(LEN(F418)=0)+(LEN(G418)=0)+(LEN(H418)=0)+(LEN(I418)=0)+(LEN(J418)=0)+(LEN(K418)=0)+(LEN(L418)=0)+(LEN(N418)=0)+(LEN(O418)=0)+(LEN(P418)=0)+(LEN(R418)=0)+(LEN(AA418)=0))</f>
        <v/>
      </c>
      <c r="AD418" s="19">
        <f>IF(OR(LEN(A418)=0,LEN(C418)=0),0,IF(OR(C418&lt;1,C418&gt;5),1,0))</f>
        <v/>
      </c>
      <c r="AE418" s="19">
        <f>IF(OR(LEN(A418)=0,LEN(R418)=0),0,IF(OR(R418="Active",R418="Paid off",R418="Defaulted",R418="Repossessed",R418="Written off",R418="Restructured"),0,1))</f>
        <v/>
      </c>
      <c r="AF418" s="19">
        <f>IF(A418="",0,IF(N(J418)&gt;N(I418),1,0))</f>
        <v/>
      </c>
      <c r="AG418" s="19">
        <f>IF(A418="",0,IF(N(N418)&gt;N(M418)+1,1,0))</f>
        <v/>
      </c>
      <c r="AH418" s="19">
        <f>IF(A418="",0,IF(N(E418)&gt;N(B418),1,0))</f>
        <v/>
      </c>
      <c r="AI418" s="19">
        <f>IF(A418="",0,IF(AND(Z418="Full payment",N(N418)&lt;N(M418)-1),1,0))</f>
        <v/>
      </c>
      <c r="AJ418" s="19">
        <f>IF(A418="",0,IF(N(P418)&lt;0,1,0))</f>
        <v/>
      </c>
      <c r="AK418" s="19">
        <f>IF(A418="",0,IF(COUNTIF($A$7:$A$1006,A418)&gt;1,1,0))</f>
        <v/>
      </c>
    </row>
    <row r="419">
      <c r="A419" s="10" t="n"/>
      <c r="B419" s="17" t="n"/>
      <c r="C419" s="18" t="n"/>
      <c r="D419" s="10" t="n"/>
      <c r="E419" s="17" t="n"/>
      <c r="F419" s="10" t="n"/>
      <c r="G419" s="10" t="n"/>
      <c r="H419" s="10" t="n"/>
      <c r="I419" s="18" t="n"/>
      <c r="J419" s="18" t="n"/>
      <c r="K419" s="18" t="n"/>
      <c r="L419" s="18" t="n"/>
      <c r="M419" s="19">
        <f>IF(K419="","",K419*365/12*L419)</f>
        <v/>
      </c>
      <c r="N419" s="18" t="n"/>
      <c r="O419" s="18" t="n"/>
      <c r="P419" s="18" t="n"/>
      <c r="Q419" s="18" t="n"/>
      <c r="R419" s="10" t="n"/>
      <c r="S419" s="17" t="n"/>
      <c r="T419" s="18" t="n"/>
      <c r="U419" s="17" t="n"/>
      <c r="V419" s="17" t="n"/>
      <c r="W419" s="18" t="n"/>
      <c r="X419" s="18" t="n"/>
      <c r="Y419" s="17" t="n"/>
      <c r="Z419" s="10" t="n"/>
      <c r="AA419" s="10" t="n"/>
      <c r="AB419" s="19">
        <f>IF(LEN(A419)&gt;0,1,0)</f>
        <v/>
      </c>
      <c r="AC419" s="19">
        <f>IF(LEN(A419)=0,0,(LEN(B419)=0)+(LEN(C419)=0)+(LEN(D419)=0)+(LEN(E419)=0)+(LEN(F419)=0)+(LEN(G419)=0)+(LEN(H419)=0)+(LEN(I419)=0)+(LEN(J419)=0)+(LEN(K419)=0)+(LEN(L419)=0)+(LEN(N419)=0)+(LEN(O419)=0)+(LEN(P419)=0)+(LEN(R419)=0)+(LEN(AA419)=0))</f>
        <v/>
      </c>
      <c r="AD419" s="19">
        <f>IF(OR(LEN(A419)=0,LEN(C419)=0),0,IF(OR(C419&lt;1,C419&gt;5),1,0))</f>
        <v/>
      </c>
      <c r="AE419" s="19">
        <f>IF(OR(LEN(A419)=0,LEN(R419)=0),0,IF(OR(R419="Active",R419="Paid off",R419="Defaulted",R419="Repossessed",R419="Written off",R419="Restructured"),0,1))</f>
        <v/>
      </c>
      <c r="AF419" s="19">
        <f>IF(A419="",0,IF(N(J419)&gt;N(I419),1,0))</f>
        <v/>
      </c>
      <c r="AG419" s="19">
        <f>IF(A419="",0,IF(N(N419)&gt;N(M419)+1,1,0))</f>
        <v/>
      </c>
      <c r="AH419" s="19">
        <f>IF(A419="",0,IF(N(E419)&gt;N(B419),1,0))</f>
        <v/>
      </c>
      <c r="AI419" s="19">
        <f>IF(A419="",0,IF(AND(Z419="Full payment",N(N419)&lt;N(M419)-1),1,0))</f>
        <v/>
      </c>
      <c r="AJ419" s="19">
        <f>IF(A419="",0,IF(N(P419)&lt;0,1,0))</f>
        <v/>
      </c>
      <c r="AK419" s="19">
        <f>IF(A419="",0,IF(COUNTIF($A$7:$A$1006,A419)&gt;1,1,0))</f>
        <v/>
      </c>
    </row>
    <row r="420">
      <c r="A420" s="10" t="n"/>
      <c r="B420" s="17" t="n"/>
      <c r="C420" s="18" t="n"/>
      <c r="D420" s="10" t="n"/>
      <c r="E420" s="17" t="n"/>
      <c r="F420" s="10" t="n"/>
      <c r="G420" s="10" t="n"/>
      <c r="H420" s="10" t="n"/>
      <c r="I420" s="18" t="n"/>
      <c r="J420" s="18" t="n"/>
      <c r="K420" s="18" t="n"/>
      <c r="L420" s="18" t="n"/>
      <c r="M420" s="19">
        <f>IF(K420="","",K420*365/12*L420)</f>
        <v/>
      </c>
      <c r="N420" s="18" t="n"/>
      <c r="O420" s="18" t="n"/>
      <c r="P420" s="18" t="n"/>
      <c r="Q420" s="18" t="n"/>
      <c r="R420" s="10" t="n"/>
      <c r="S420" s="17" t="n"/>
      <c r="T420" s="18" t="n"/>
      <c r="U420" s="17" t="n"/>
      <c r="V420" s="17" t="n"/>
      <c r="W420" s="18" t="n"/>
      <c r="X420" s="18" t="n"/>
      <c r="Y420" s="17" t="n"/>
      <c r="Z420" s="10" t="n"/>
      <c r="AA420" s="10" t="n"/>
      <c r="AB420" s="19">
        <f>IF(LEN(A420)&gt;0,1,0)</f>
        <v/>
      </c>
      <c r="AC420" s="19">
        <f>IF(LEN(A420)=0,0,(LEN(B420)=0)+(LEN(C420)=0)+(LEN(D420)=0)+(LEN(E420)=0)+(LEN(F420)=0)+(LEN(G420)=0)+(LEN(H420)=0)+(LEN(I420)=0)+(LEN(J420)=0)+(LEN(K420)=0)+(LEN(L420)=0)+(LEN(N420)=0)+(LEN(O420)=0)+(LEN(P420)=0)+(LEN(R420)=0)+(LEN(AA420)=0))</f>
        <v/>
      </c>
      <c r="AD420" s="19">
        <f>IF(OR(LEN(A420)=0,LEN(C420)=0),0,IF(OR(C420&lt;1,C420&gt;5),1,0))</f>
        <v/>
      </c>
      <c r="AE420" s="19">
        <f>IF(OR(LEN(A420)=0,LEN(R420)=0),0,IF(OR(R420="Active",R420="Paid off",R420="Defaulted",R420="Repossessed",R420="Written off",R420="Restructured"),0,1))</f>
        <v/>
      </c>
      <c r="AF420" s="19">
        <f>IF(A420="",0,IF(N(J420)&gt;N(I420),1,0))</f>
        <v/>
      </c>
      <c r="AG420" s="19">
        <f>IF(A420="",0,IF(N(N420)&gt;N(M420)+1,1,0))</f>
        <v/>
      </c>
      <c r="AH420" s="19">
        <f>IF(A420="",0,IF(N(E420)&gt;N(B420),1,0))</f>
        <v/>
      </c>
      <c r="AI420" s="19">
        <f>IF(A420="",0,IF(AND(Z420="Full payment",N(N420)&lt;N(M420)-1),1,0))</f>
        <v/>
      </c>
      <c r="AJ420" s="19">
        <f>IF(A420="",0,IF(N(P420)&lt;0,1,0))</f>
        <v/>
      </c>
      <c r="AK420" s="19">
        <f>IF(A420="",0,IF(COUNTIF($A$7:$A$1006,A420)&gt;1,1,0))</f>
        <v/>
      </c>
    </row>
    <row r="421">
      <c r="A421" s="10" t="n"/>
      <c r="B421" s="17" t="n"/>
      <c r="C421" s="18" t="n"/>
      <c r="D421" s="10" t="n"/>
      <c r="E421" s="17" t="n"/>
      <c r="F421" s="10" t="n"/>
      <c r="G421" s="10" t="n"/>
      <c r="H421" s="10" t="n"/>
      <c r="I421" s="18" t="n"/>
      <c r="J421" s="18" t="n"/>
      <c r="K421" s="18" t="n"/>
      <c r="L421" s="18" t="n"/>
      <c r="M421" s="19">
        <f>IF(K421="","",K421*365/12*L421)</f>
        <v/>
      </c>
      <c r="N421" s="18" t="n"/>
      <c r="O421" s="18" t="n"/>
      <c r="P421" s="18" t="n"/>
      <c r="Q421" s="18" t="n"/>
      <c r="R421" s="10" t="n"/>
      <c r="S421" s="17" t="n"/>
      <c r="T421" s="18" t="n"/>
      <c r="U421" s="17" t="n"/>
      <c r="V421" s="17" t="n"/>
      <c r="W421" s="18" t="n"/>
      <c r="X421" s="18" t="n"/>
      <c r="Y421" s="17" t="n"/>
      <c r="Z421" s="10" t="n"/>
      <c r="AA421" s="10" t="n"/>
      <c r="AB421" s="19">
        <f>IF(LEN(A421)&gt;0,1,0)</f>
        <v/>
      </c>
      <c r="AC421" s="19">
        <f>IF(LEN(A421)=0,0,(LEN(B421)=0)+(LEN(C421)=0)+(LEN(D421)=0)+(LEN(E421)=0)+(LEN(F421)=0)+(LEN(G421)=0)+(LEN(H421)=0)+(LEN(I421)=0)+(LEN(J421)=0)+(LEN(K421)=0)+(LEN(L421)=0)+(LEN(N421)=0)+(LEN(O421)=0)+(LEN(P421)=0)+(LEN(R421)=0)+(LEN(AA421)=0))</f>
        <v/>
      </c>
      <c r="AD421" s="19">
        <f>IF(OR(LEN(A421)=0,LEN(C421)=0),0,IF(OR(C421&lt;1,C421&gt;5),1,0))</f>
        <v/>
      </c>
      <c r="AE421" s="19">
        <f>IF(OR(LEN(A421)=0,LEN(R421)=0),0,IF(OR(R421="Active",R421="Paid off",R421="Defaulted",R421="Repossessed",R421="Written off",R421="Restructured"),0,1))</f>
        <v/>
      </c>
      <c r="AF421" s="19">
        <f>IF(A421="",0,IF(N(J421)&gt;N(I421),1,0))</f>
        <v/>
      </c>
      <c r="AG421" s="19">
        <f>IF(A421="",0,IF(N(N421)&gt;N(M421)+1,1,0))</f>
        <v/>
      </c>
      <c r="AH421" s="19">
        <f>IF(A421="",0,IF(N(E421)&gt;N(B421),1,0))</f>
        <v/>
      </c>
      <c r="AI421" s="19">
        <f>IF(A421="",0,IF(AND(Z421="Full payment",N(N421)&lt;N(M421)-1),1,0))</f>
        <v/>
      </c>
      <c r="AJ421" s="19">
        <f>IF(A421="",0,IF(N(P421)&lt;0,1,0))</f>
        <v/>
      </c>
      <c r="AK421" s="19">
        <f>IF(A421="",0,IF(COUNTIF($A$7:$A$1006,A421)&gt;1,1,0))</f>
        <v/>
      </c>
    </row>
    <row r="422">
      <c r="A422" s="10" t="n"/>
      <c r="B422" s="17" t="n"/>
      <c r="C422" s="18" t="n"/>
      <c r="D422" s="10" t="n"/>
      <c r="E422" s="17" t="n"/>
      <c r="F422" s="10" t="n"/>
      <c r="G422" s="10" t="n"/>
      <c r="H422" s="10" t="n"/>
      <c r="I422" s="18" t="n"/>
      <c r="J422" s="18" t="n"/>
      <c r="K422" s="18" t="n"/>
      <c r="L422" s="18" t="n"/>
      <c r="M422" s="19">
        <f>IF(K422="","",K422*365/12*L422)</f>
        <v/>
      </c>
      <c r="N422" s="18" t="n"/>
      <c r="O422" s="18" t="n"/>
      <c r="P422" s="18" t="n"/>
      <c r="Q422" s="18" t="n"/>
      <c r="R422" s="10" t="n"/>
      <c r="S422" s="17" t="n"/>
      <c r="T422" s="18" t="n"/>
      <c r="U422" s="17" t="n"/>
      <c r="V422" s="17" t="n"/>
      <c r="W422" s="18" t="n"/>
      <c r="X422" s="18" t="n"/>
      <c r="Y422" s="17" t="n"/>
      <c r="Z422" s="10" t="n"/>
      <c r="AA422" s="10" t="n"/>
      <c r="AB422" s="19">
        <f>IF(LEN(A422)&gt;0,1,0)</f>
        <v/>
      </c>
      <c r="AC422" s="19">
        <f>IF(LEN(A422)=0,0,(LEN(B422)=0)+(LEN(C422)=0)+(LEN(D422)=0)+(LEN(E422)=0)+(LEN(F422)=0)+(LEN(G422)=0)+(LEN(H422)=0)+(LEN(I422)=0)+(LEN(J422)=0)+(LEN(K422)=0)+(LEN(L422)=0)+(LEN(N422)=0)+(LEN(O422)=0)+(LEN(P422)=0)+(LEN(R422)=0)+(LEN(AA422)=0))</f>
        <v/>
      </c>
      <c r="AD422" s="19">
        <f>IF(OR(LEN(A422)=0,LEN(C422)=0),0,IF(OR(C422&lt;1,C422&gt;5),1,0))</f>
        <v/>
      </c>
      <c r="AE422" s="19">
        <f>IF(OR(LEN(A422)=0,LEN(R422)=0),0,IF(OR(R422="Active",R422="Paid off",R422="Defaulted",R422="Repossessed",R422="Written off",R422="Restructured"),0,1))</f>
        <v/>
      </c>
      <c r="AF422" s="19">
        <f>IF(A422="",0,IF(N(J422)&gt;N(I422),1,0))</f>
        <v/>
      </c>
      <c r="AG422" s="19">
        <f>IF(A422="",0,IF(N(N422)&gt;N(M422)+1,1,0))</f>
        <v/>
      </c>
      <c r="AH422" s="19">
        <f>IF(A422="",0,IF(N(E422)&gt;N(B422),1,0))</f>
        <v/>
      </c>
      <c r="AI422" s="19">
        <f>IF(A422="",0,IF(AND(Z422="Full payment",N(N422)&lt;N(M422)-1),1,0))</f>
        <v/>
      </c>
      <c r="AJ422" s="19">
        <f>IF(A422="",0,IF(N(P422)&lt;0,1,0))</f>
        <v/>
      </c>
      <c r="AK422" s="19">
        <f>IF(A422="",0,IF(COUNTIF($A$7:$A$1006,A422)&gt;1,1,0))</f>
        <v/>
      </c>
    </row>
    <row r="423">
      <c r="A423" s="10" t="n"/>
      <c r="B423" s="17" t="n"/>
      <c r="C423" s="18" t="n"/>
      <c r="D423" s="10" t="n"/>
      <c r="E423" s="17" t="n"/>
      <c r="F423" s="10" t="n"/>
      <c r="G423" s="10" t="n"/>
      <c r="H423" s="10" t="n"/>
      <c r="I423" s="18" t="n"/>
      <c r="J423" s="18" t="n"/>
      <c r="K423" s="18" t="n"/>
      <c r="L423" s="18" t="n"/>
      <c r="M423" s="19">
        <f>IF(K423="","",K423*365/12*L423)</f>
        <v/>
      </c>
      <c r="N423" s="18" t="n"/>
      <c r="O423" s="18" t="n"/>
      <c r="P423" s="18" t="n"/>
      <c r="Q423" s="18" t="n"/>
      <c r="R423" s="10" t="n"/>
      <c r="S423" s="17" t="n"/>
      <c r="T423" s="18" t="n"/>
      <c r="U423" s="17" t="n"/>
      <c r="V423" s="17" t="n"/>
      <c r="W423" s="18" t="n"/>
      <c r="X423" s="18" t="n"/>
      <c r="Y423" s="17" t="n"/>
      <c r="Z423" s="10" t="n"/>
      <c r="AA423" s="10" t="n"/>
      <c r="AB423" s="19">
        <f>IF(LEN(A423)&gt;0,1,0)</f>
        <v/>
      </c>
      <c r="AC423" s="19">
        <f>IF(LEN(A423)=0,0,(LEN(B423)=0)+(LEN(C423)=0)+(LEN(D423)=0)+(LEN(E423)=0)+(LEN(F423)=0)+(LEN(G423)=0)+(LEN(H423)=0)+(LEN(I423)=0)+(LEN(J423)=0)+(LEN(K423)=0)+(LEN(L423)=0)+(LEN(N423)=0)+(LEN(O423)=0)+(LEN(P423)=0)+(LEN(R423)=0)+(LEN(AA423)=0))</f>
        <v/>
      </c>
      <c r="AD423" s="19">
        <f>IF(OR(LEN(A423)=0,LEN(C423)=0),0,IF(OR(C423&lt;1,C423&gt;5),1,0))</f>
        <v/>
      </c>
      <c r="AE423" s="19">
        <f>IF(OR(LEN(A423)=0,LEN(R423)=0),0,IF(OR(R423="Active",R423="Paid off",R423="Defaulted",R423="Repossessed",R423="Written off",R423="Restructured"),0,1))</f>
        <v/>
      </c>
      <c r="AF423" s="19">
        <f>IF(A423="",0,IF(N(J423)&gt;N(I423),1,0))</f>
        <v/>
      </c>
      <c r="AG423" s="19">
        <f>IF(A423="",0,IF(N(N423)&gt;N(M423)+1,1,0))</f>
        <v/>
      </c>
      <c r="AH423" s="19">
        <f>IF(A423="",0,IF(N(E423)&gt;N(B423),1,0))</f>
        <v/>
      </c>
      <c r="AI423" s="19">
        <f>IF(A423="",0,IF(AND(Z423="Full payment",N(N423)&lt;N(M423)-1),1,0))</f>
        <v/>
      </c>
      <c r="AJ423" s="19">
        <f>IF(A423="",0,IF(N(P423)&lt;0,1,0))</f>
        <v/>
      </c>
      <c r="AK423" s="19">
        <f>IF(A423="",0,IF(COUNTIF($A$7:$A$1006,A423)&gt;1,1,0))</f>
        <v/>
      </c>
    </row>
    <row r="424">
      <c r="A424" s="10" t="n"/>
      <c r="B424" s="17" t="n"/>
      <c r="C424" s="18" t="n"/>
      <c r="D424" s="10" t="n"/>
      <c r="E424" s="17" t="n"/>
      <c r="F424" s="10" t="n"/>
      <c r="G424" s="10" t="n"/>
      <c r="H424" s="10" t="n"/>
      <c r="I424" s="18" t="n"/>
      <c r="J424" s="18" t="n"/>
      <c r="K424" s="18" t="n"/>
      <c r="L424" s="18" t="n"/>
      <c r="M424" s="19">
        <f>IF(K424="","",K424*365/12*L424)</f>
        <v/>
      </c>
      <c r="N424" s="18" t="n"/>
      <c r="O424" s="18" t="n"/>
      <c r="P424" s="18" t="n"/>
      <c r="Q424" s="18" t="n"/>
      <c r="R424" s="10" t="n"/>
      <c r="S424" s="17" t="n"/>
      <c r="T424" s="18" t="n"/>
      <c r="U424" s="17" t="n"/>
      <c r="V424" s="17" t="n"/>
      <c r="W424" s="18" t="n"/>
      <c r="X424" s="18" t="n"/>
      <c r="Y424" s="17" t="n"/>
      <c r="Z424" s="10" t="n"/>
      <c r="AA424" s="10" t="n"/>
      <c r="AB424" s="19">
        <f>IF(LEN(A424)&gt;0,1,0)</f>
        <v/>
      </c>
      <c r="AC424" s="19">
        <f>IF(LEN(A424)=0,0,(LEN(B424)=0)+(LEN(C424)=0)+(LEN(D424)=0)+(LEN(E424)=0)+(LEN(F424)=0)+(LEN(G424)=0)+(LEN(H424)=0)+(LEN(I424)=0)+(LEN(J424)=0)+(LEN(K424)=0)+(LEN(L424)=0)+(LEN(N424)=0)+(LEN(O424)=0)+(LEN(P424)=0)+(LEN(R424)=0)+(LEN(AA424)=0))</f>
        <v/>
      </c>
      <c r="AD424" s="19">
        <f>IF(OR(LEN(A424)=0,LEN(C424)=0),0,IF(OR(C424&lt;1,C424&gt;5),1,0))</f>
        <v/>
      </c>
      <c r="AE424" s="19">
        <f>IF(OR(LEN(A424)=0,LEN(R424)=0),0,IF(OR(R424="Active",R424="Paid off",R424="Defaulted",R424="Repossessed",R424="Written off",R424="Restructured"),0,1))</f>
        <v/>
      </c>
      <c r="AF424" s="19">
        <f>IF(A424="",0,IF(N(J424)&gt;N(I424),1,0))</f>
        <v/>
      </c>
      <c r="AG424" s="19">
        <f>IF(A424="",0,IF(N(N424)&gt;N(M424)+1,1,0))</f>
        <v/>
      </c>
      <c r="AH424" s="19">
        <f>IF(A424="",0,IF(N(E424)&gt;N(B424),1,0))</f>
        <v/>
      </c>
      <c r="AI424" s="19">
        <f>IF(A424="",0,IF(AND(Z424="Full payment",N(N424)&lt;N(M424)-1),1,0))</f>
        <v/>
      </c>
      <c r="AJ424" s="19">
        <f>IF(A424="",0,IF(N(P424)&lt;0,1,0))</f>
        <v/>
      </c>
      <c r="AK424" s="19">
        <f>IF(A424="",0,IF(COUNTIF($A$7:$A$1006,A424)&gt;1,1,0))</f>
        <v/>
      </c>
    </row>
    <row r="425">
      <c r="A425" s="10" t="n"/>
      <c r="B425" s="17" t="n"/>
      <c r="C425" s="18" t="n"/>
      <c r="D425" s="10" t="n"/>
      <c r="E425" s="17" t="n"/>
      <c r="F425" s="10" t="n"/>
      <c r="G425" s="10" t="n"/>
      <c r="H425" s="10" t="n"/>
      <c r="I425" s="18" t="n"/>
      <c r="J425" s="18" t="n"/>
      <c r="K425" s="18" t="n"/>
      <c r="L425" s="18" t="n"/>
      <c r="M425" s="19">
        <f>IF(K425="","",K425*365/12*L425)</f>
        <v/>
      </c>
      <c r="N425" s="18" t="n"/>
      <c r="O425" s="18" t="n"/>
      <c r="P425" s="18" t="n"/>
      <c r="Q425" s="18" t="n"/>
      <c r="R425" s="10" t="n"/>
      <c r="S425" s="17" t="n"/>
      <c r="T425" s="18" t="n"/>
      <c r="U425" s="17" t="n"/>
      <c r="V425" s="17" t="n"/>
      <c r="W425" s="18" t="n"/>
      <c r="X425" s="18" t="n"/>
      <c r="Y425" s="17" t="n"/>
      <c r="Z425" s="10" t="n"/>
      <c r="AA425" s="10" t="n"/>
      <c r="AB425" s="19">
        <f>IF(LEN(A425)&gt;0,1,0)</f>
        <v/>
      </c>
      <c r="AC425" s="19">
        <f>IF(LEN(A425)=0,0,(LEN(B425)=0)+(LEN(C425)=0)+(LEN(D425)=0)+(LEN(E425)=0)+(LEN(F425)=0)+(LEN(G425)=0)+(LEN(H425)=0)+(LEN(I425)=0)+(LEN(J425)=0)+(LEN(K425)=0)+(LEN(L425)=0)+(LEN(N425)=0)+(LEN(O425)=0)+(LEN(P425)=0)+(LEN(R425)=0)+(LEN(AA425)=0))</f>
        <v/>
      </c>
      <c r="AD425" s="19">
        <f>IF(OR(LEN(A425)=0,LEN(C425)=0),0,IF(OR(C425&lt;1,C425&gt;5),1,0))</f>
        <v/>
      </c>
      <c r="AE425" s="19">
        <f>IF(OR(LEN(A425)=0,LEN(R425)=0),0,IF(OR(R425="Active",R425="Paid off",R425="Defaulted",R425="Repossessed",R425="Written off",R425="Restructured"),0,1))</f>
        <v/>
      </c>
      <c r="AF425" s="19">
        <f>IF(A425="",0,IF(N(J425)&gt;N(I425),1,0))</f>
        <v/>
      </c>
      <c r="AG425" s="19">
        <f>IF(A425="",0,IF(N(N425)&gt;N(M425)+1,1,0))</f>
        <v/>
      </c>
      <c r="AH425" s="19">
        <f>IF(A425="",0,IF(N(E425)&gt;N(B425),1,0))</f>
        <v/>
      </c>
      <c r="AI425" s="19">
        <f>IF(A425="",0,IF(AND(Z425="Full payment",N(N425)&lt;N(M425)-1),1,0))</f>
        <v/>
      </c>
      <c r="AJ425" s="19">
        <f>IF(A425="",0,IF(N(P425)&lt;0,1,0))</f>
        <v/>
      </c>
      <c r="AK425" s="19">
        <f>IF(A425="",0,IF(COUNTIF($A$7:$A$1006,A425)&gt;1,1,0))</f>
        <v/>
      </c>
    </row>
    <row r="426">
      <c r="A426" s="10" t="n"/>
      <c r="B426" s="17" t="n"/>
      <c r="C426" s="18" t="n"/>
      <c r="D426" s="10" t="n"/>
      <c r="E426" s="17" t="n"/>
      <c r="F426" s="10" t="n"/>
      <c r="G426" s="10" t="n"/>
      <c r="H426" s="10" t="n"/>
      <c r="I426" s="18" t="n"/>
      <c r="J426" s="18" t="n"/>
      <c r="K426" s="18" t="n"/>
      <c r="L426" s="18" t="n"/>
      <c r="M426" s="19">
        <f>IF(K426="","",K426*365/12*L426)</f>
        <v/>
      </c>
      <c r="N426" s="18" t="n"/>
      <c r="O426" s="18" t="n"/>
      <c r="P426" s="18" t="n"/>
      <c r="Q426" s="18" t="n"/>
      <c r="R426" s="10" t="n"/>
      <c r="S426" s="17" t="n"/>
      <c r="T426" s="18" t="n"/>
      <c r="U426" s="17" t="n"/>
      <c r="V426" s="17" t="n"/>
      <c r="W426" s="18" t="n"/>
      <c r="X426" s="18" t="n"/>
      <c r="Y426" s="17" t="n"/>
      <c r="Z426" s="10" t="n"/>
      <c r="AA426" s="10" t="n"/>
      <c r="AB426" s="19">
        <f>IF(LEN(A426)&gt;0,1,0)</f>
        <v/>
      </c>
      <c r="AC426" s="19">
        <f>IF(LEN(A426)=0,0,(LEN(B426)=0)+(LEN(C426)=0)+(LEN(D426)=0)+(LEN(E426)=0)+(LEN(F426)=0)+(LEN(G426)=0)+(LEN(H426)=0)+(LEN(I426)=0)+(LEN(J426)=0)+(LEN(K426)=0)+(LEN(L426)=0)+(LEN(N426)=0)+(LEN(O426)=0)+(LEN(P426)=0)+(LEN(R426)=0)+(LEN(AA426)=0))</f>
        <v/>
      </c>
      <c r="AD426" s="19">
        <f>IF(OR(LEN(A426)=0,LEN(C426)=0),0,IF(OR(C426&lt;1,C426&gt;5),1,0))</f>
        <v/>
      </c>
      <c r="AE426" s="19">
        <f>IF(OR(LEN(A426)=0,LEN(R426)=0),0,IF(OR(R426="Active",R426="Paid off",R426="Defaulted",R426="Repossessed",R426="Written off",R426="Restructured"),0,1))</f>
        <v/>
      </c>
      <c r="AF426" s="19">
        <f>IF(A426="",0,IF(N(J426)&gt;N(I426),1,0))</f>
        <v/>
      </c>
      <c r="AG426" s="19">
        <f>IF(A426="",0,IF(N(N426)&gt;N(M426)+1,1,0))</f>
        <v/>
      </c>
      <c r="AH426" s="19">
        <f>IF(A426="",0,IF(N(E426)&gt;N(B426),1,0))</f>
        <v/>
      </c>
      <c r="AI426" s="19">
        <f>IF(A426="",0,IF(AND(Z426="Full payment",N(N426)&lt;N(M426)-1),1,0))</f>
        <v/>
      </c>
      <c r="AJ426" s="19">
        <f>IF(A426="",0,IF(N(P426)&lt;0,1,0))</f>
        <v/>
      </c>
      <c r="AK426" s="19">
        <f>IF(A426="",0,IF(COUNTIF($A$7:$A$1006,A426)&gt;1,1,0))</f>
        <v/>
      </c>
    </row>
    <row r="427">
      <c r="A427" s="10" t="n"/>
      <c r="B427" s="17" t="n"/>
      <c r="C427" s="18" t="n"/>
      <c r="D427" s="10" t="n"/>
      <c r="E427" s="17" t="n"/>
      <c r="F427" s="10" t="n"/>
      <c r="G427" s="10" t="n"/>
      <c r="H427" s="10" t="n"/>
      <c r="I427" s="18" t="n"/>
      <c r="J427" s="18" t="n"/>
      <c r="K427" s="18" t="n"/>
      <c r="L427" s="18" t="n"/>
      <c r="M427" s="19">
        <f>IF(K427="","",K427*365/12*L427)</f>
        <v/>
      </c>
      <c r="N427" s="18" t="n"/>
      <c r="O427" s="18" t="n"/>
      <c r="P427" s="18" t="n"/>
      <c r="Q427" s="18" t="n"/>
      <c r="R427" s="10" t="n"/>
      <c r="S427" s="17" t="n"/>
      <c r="T427" s="18" t="n"/>
      <c r="U427" s="17" t="n"/>
      <c r="V427" s="17" t="n"/>
      <c r="W427" s="18" t="n"/>
      <c r="X427" s="18" t="n"/>
      <c r="Y427" s="17" t="n"/>
      <c r="Z427" s="10" t="n"/>
      <c r="AA427" s="10" t="n"/>
      <c r="AB427" s="19">
        <f>IF(LEN(A427)&gt;0,1,0)</f>
        <v/>
      </c>
      <c r="AC427" s="19">
        <f>IF(LEN(A427)=0,0,(LEN(B427)=0)+(LEN(C427)=0)+(LEN(D427)=0)+(LEN(E427)=0)+(LEN(F427)=0)+(LEN(G427)=0)+(LEN(H427)=0)+(LEN(I427)=0)+(LEN(J427)=0)+(LEN(K427)=0)+(LEN(L427)=0)+(LEN(N427)=0)+(LEN(O427)=0)+(LEN(P427)=0)+(LEN(R427)=0)+(LEN(AA427)=0))</f>
        <v/>
      </c>
      <c r="AD427" s="19">
        <f>IF(OR(LEN(A427)=0,LEN(C427)=0),0,IF(OR(C427&lt;1,C427&gt;5),1,0))</f>
        <v/>
      </c>
      <c r="AE427" s="19">
        <f>IF(OR(LEN(A427)=0,LEN(R427)=0),0,IF(OR(R427="Active",R427="Paid off",R427="Defaulted",R427="Repossessed",R427="Written off",R427="Restructured"),0,1))</f>
        <v/>
      </c>
      <c r="AF427" s="19">
        <f>IF(A427="",0,IF(N(J427)&gt;N(I427),1,0))</f>
        <v/>
      </c>
      <c r="AG427" s="19">
        <f>IF(A427="",0,IF(N(N427)&gt;N(M427)+1,1,0))</f>
        <v/>
      </c>
      <c r="AH427" s="19">
        <f>IF(A427="",0,IF(N(E427)&gt;N(B427),1,0))</f>
        <v/>
      </c>
      <c r="AI427" s="19">
        <f>IF(A427="",0,IF(AND(Z427="Full payment",N(N427)&lt;N(M427)-1),1,0))</f>
        <v/>
      </c>
      <c r="AJ427" s="19">
        <f>IF(A427="",0,IF(N(P427)&lt;0,1,0))</f>
        <v/>
      </c>
      <c r="AK427" s="19">
        <f>IF(A427="",0,IF(COUNTIF($A$7:$A$1006,A427)&gt;1,1,0))</f>
        <v/>
      </c>
    </row>
    <row r="428">
      <c r="A428" s="10" t="n"/>
      <c r="B428" s="17" t="n"/>
      <c r="C428" s="18" t="n"/>
      <c r="D428" s="10" t="n"/>
      <c r="E428" s="17" t="n"/>
      <c r="F428" s="10" t="n"/>
      <c r="G428" s="10" t="n"/>
      <c r="H428" s="10" t="n"/>
      <c r="I428" s="18" t="n"/>
      <c r="J428" s="18" t="n"/>
      <c r="K428" s="18" t="n"/>
      <c r="L428" s="18" t="n"/>
      <c r="M428" s="19">
        <f>IF(K428="","",K428*365/12*L428)</f>
        <v/>
      </c>
      <c r="N428" s="18" t="n"/>
      <c r="O428" s="18" t="n"/>
      <c r="P428" s="18" t="n"/>
      <c r="Q428" s="18" t="n"/>
      <c r="R428" s="10" t="n"/>
      <c r="S428" s="17" t="n"/>
      <c r="T428" s="18" t="n"/>
      <c r="U428" s="17" t="n"/>
      <c r="V428" s="17" t="n"/>
      <c r="W428" s="18" t="n"/>
      <c r="X428" s="18" t="n"/>
      <c r="Y428" s="17" t="n"/>
      <c r="Z428" s="10" t="n"/>
      <c r="AA428" s="10" t="n"/>
      <c r="AB428" s="19">
        <f>IF(LEN(A428)&gt;0,1,0)</f>
        <v/>
      </c>
      <c r="AC428" s="19">
        <f>IF(LEN(A428)=0,0,(LEN(B428)=0)+(LEN(C428)=0)+(LEN(D428)=0)+(LEN(E428)=0)+(LEN(F428)=0)+(LEN(G428)=0)+(LEN(H428)=0)+(LEN(I428)=0)+(LEN(J428)=0)+(LEN(K428)=0)+(LEN(L428)=0)+(LEN(N428)=0)+(LEN(O428)=0)+(LEN(P428)=0)+(LEN(R428)=0)+(LEN(AA428)=0))</f>
        <v/>
      </c>
      <c r="AD428" s="19">
        <f>IF(OR(LEN(A428)=0,LEN(C428)=0),0,IF(OR(C428&lt;1,C428&gt;5),1,0))</f>
        <v/>
      </c>
      <c r="AE428" s="19">
        <f>IF(OR(LEN(A428)=0,LEN(R428)=0),0,IF(OR(R428="Active",R428="Paid off",R428="Defaulted",R428="Repossessed",R428="Written off",R428="Restructured"),0,1))</f>
        <v/>
      </c>
      <c r="AF428" s="19">
        <f>IF(A428="",0,IF(N(J428)&gt;N(I428),1,0))</f>
        <v/>
      </c>
      <c r="AG428" s="19">
        <f>IF(A428="",0,IF(N(N428)&gt;N(M428)+1,1,0))</f>
        <v/>
      </c>
      <c r="AH428" s="19">
        <f>IF(A428="",0,IF(N(E428)&gt;N(B428),1,0))</f>
        <v/>
      </c>
      <c r="AI428" s="19">
        <f>IF(A428="",0,IF(AND(Z428="Full payment",N(N428)&lt;N(M428)-1),1,0))</f>
        <v/>
      </c>
      <c r="AJ428" s="19">
        <f>IF(A428="",0,IF(N(P428)&lt;0,1,0))</f>
        <v/>
      </c>
      <c r="AK428" s="19">
        <f>IF(A428="",0,IF(COUNTIF($A$7:$A$1006,A428)&gt;1,1,0))</f>
        <v/>
      </c>
    </row>
    <row r="429">
      <c r="A429" s="10" t="n"/>
      <c r="B429" s="17" t="n"/>
      <c r="C429" s="18" t="n"/>
      <c r="D429" s="10" t="n"/>
      <c r="E429" s="17" t="n"/>
      <c r="F429" s="10" t="n"/>
      <c r="G429" s="10" t="n"/>
      <c r="H429" s="10" t="n"/>
      <c r="I429" s="18" t="n"/>
      <c r="J429" s="18" t="n"/>
      <c r="K429" s="18" t="n"/>
      <c r="L429" s="18" t="n"/>
      <c r="M429" s="19">
        <f>IF(K429="","",K429*365/12*L429)</f>
        <v/>
      </c>
      <c r="N429" s="18" t="n"/>
      <c r="O429" s="18" t="n"/>
      <c r="P429" s="18" t="n"/>
      <c r="Q429" s="18" t="n"/>
      <c r="R429" s="10" t="n"/>
      <c r="S429" s="17" t="n"/>
      <c r="T429" s="18" t="n"/>
      <c r="U429" s="17" t="n"/>
      <c r="V429" s="17" t="n"/>
      <c r="W429" s="18" t="n"/>
      <c r="X429" s="18" t="n"/>
      <c r="Y429" s="17" t="n"/>
      <c r="Z429" s="10" t="n"/>
      <c r="AA429" s="10" t="n"/>
      <c r="AB429" s="19">
        <f>IF(LEN(A429)&gt;0,1,0)</f>
        <v/>
      </c>
      <c r="AC429" s="19">
        <f>IF(LEN(A429)=0,0,(LEN(B429)=0)+(LEN(C429)=0)+(LEN(D429)=0)+(LEN(E429)=0)+(LEN(F429)=0)+(LEN(G429)=0)+(LEN(H429)=0)+(LEN(I429)=0)+(LEN(J429)=0)+(LEN(K429)=0)+(LEN(L429)=0)+(LEN(N429)=0)+(LEN(O429)=0)+(LEN(P429)=0)+(LEN(R429)=0)+(LEN(AA429)=0))</f>
        <v/>
      </c>
      <c r="AD429" s="19">
        <f>IF(OR(LEN(A429)=0,LEN(C429)=0),0,IF(OR(C429&lt;1,C429&gt;5),1,0))</f>
        <v/>
      </c>
      <c r="AE429" s="19">
        <f>IF(OR(LEN(A429)=0,LEN(R429)=0),0,IF(OR(R429="Active",R429="Paid off",R429="Defaulted",R429="Repossessed",R429="Written off",R429="Restructured"),0,1))</f>
        <v/>
      </c>
      <c r="AF429" s="19">
        <f>IF(A429="",0,IF(N(J429)&gt;N(I429),1,0))</f>
        <v/>
      </c>
      <c r="AG429" s="19">
        <f>IF(A429="",0,IF(N(N429)&gt;N(M429)+1,1,0))</f>
        <v/>
      </c>
      <c r="AH429" s="19">
        <f>IF(A429="",0,IF(N(E429)&gt;N(B429),1,0))</f>
        <v/>
      </c>
      <c r="AI429" s="19">
        <f>IF(A429="",0,IF(AND(Z429="Full payment",N(N429)&lt;N(M429)-1),1,0))</f>
        <v/>
      </c>
      <c r="AJ429" s="19">
        <f>IF(A429="",0,IF(N(P429)&lt;0,1,0))</f>
        <v/>
      </c>
      <c r="AK429" s="19">
        <f>IF(A429="",0,IF(COUNTIF($A$7:$A$1006,A429)&gt;1,1,0))</f>
        <v/>
      </c>
    </row>
    <row r="430">
      <c r="A430" s="10" t="n"/>
      <c r="B430" s="17" t="n"/>
      <c r="C430" s="18" t="n"/>
      <c r="D430" s="10" t="n"/>
      <c r="E430" s="17" t="n"/>
      <c r="F430" s="10" t="n"/>
      <c r="G430" s="10" t="n"/>
      <c r="H430" s="10" t="n"/>
      <c r="I430" s="18" t="n"/>
      <c r="J430" s="18" t="n"/>
      <c r="K430" s="18" t="n"/>
      <c r="L430" s="18" t="n"/>
      <c r="M430" s="19">
        <f>IF(K430="","",K430*365/12*L430)</f>
        <v/>
      </c>
      <c r="N430" s="18" t="n"/>
      <c r="O430" s="18" t="n"/>
      <c r="P430" s="18" t="n"/>
      <c r="Q430" s="18" t="n"/>
      <c r="R430" s="10" t="n"/>
      <c r="S430" s="17" t="n"/>
      <c r="T430" s="18" t="n"/>
      <c r="U430" s="17" t="n"/>
      <c r="V430" s="17" t="n"/>
      <c r="W430" s="18" t="n"/>
      <c r="X430" s="18" t="n"/>
      <c r="Y430" s="17" t="n"/>
      <c r="Z430" s="10" t="n"/>
      <c r="AA430" s="10" t="n"/>
      <c r="AB430" s="19">
        <f>IF(LEN(A430)&gt;0,1,0)</f>
        <v/>
      </c>
      <c r="AC430" s="19">
        <f>IF(LEN(A430)=0,0,(LEN(B430)=0)+(LEN(C430)=0)+(LEN(D430)=0)+(LEN(E430)=0)+(LEN(F430)=0)+(LEN(G430)=0)+(LEN(H430)=0)+(LEN(I430)=0)+(LEN(J430)=0)+(LEN(K430)=0)+(LEN(L430)=0)+(LEN(N430)=0)+(LEN(O430)=0)+(LEN(P430)=0)+(LEN(R430)=0)+(LEN(AA430)=0))</f>
        <v/>
      </c>
      <c r="AD430" s="19">
        <f>IF(OR(LEN(A430)=0,LEN(C430)=0),0,IF(OR(C430&lt;1,C430&gt;5),1,0))</f>
        <v/>
      </c>
      <c r="AE430" s="19">
        <f>IF(OR(LEN(A430)=0,LEN(R430)=0),0,IF(OR(R430="Active",R430="Paid off",R430="Defaulted",R430="Repossessed",R430="Written off",R430="Restructured"),0,1))</f>
        <v/>
      </c>
      <c r="AF430" s="19">
        <f>IF(A430="",0,IF(N(J430)&gt;N(I430),1,0))</f>
        <v/>
      </c>
      <c r="AG430" s="19">
        <f>IF(A430="",0,IF(N(N430)&gt;N(M430)+1,1,0))</f>
        <v/>
      </c>
      <c r="AH430" s="19">
        <f>IF(A430="",0,IF(N(E430)&gt;N(B430),1,0))</f>
        <v/>
      </c>
      <c r="AI430" s="19">
        <f>IF(A430="",0,IF(AND(Z430="Full payment",N(N430)&lt;N(M430)-1),1,0))</f>
        <v/>
      </c>
      <c r="AJ430" s="19">
        <f>IF(A430="",0,IF(N(P430)&lt;0,1,0))</f>
        <v/>
      </c>
      <c r="AK430" s="19">
        <f>IF(A430="",0,IF(COUNTIF($A$7:$A$1006,A430)&gt;1,1,0))</f>
        <v/>
      </c>
    </row>
    <row r="431">
      <c r="A431" s="10" t="n"/>
      <c r="B431" s="17" t="n"/>
      <c r="C431" s="18" t="n"/>
      <c r="D431" s="10" t="n"/>
      <c r="E431" s="17" t="n"/>
      <c r="F431" s="10" t="n"/>
      <c r="G431" s="10" t="n"/>
      <c r="H431" s="10" t="n"/>
      <c r="I431" s="18" t="n"/>
      <c r="J431" s="18" t="n"/>
      <c r="K431" s="18" t="n"/>
      <c r="L431" s="18" t="n"/>
      <c r="M431" s="19">
        <f>IF(K431="","",K431*365/12*L431)</f>
        <v/>
      </c>
      <c r="N431" s="18" t="n"/>
      <c r="O431" s="18" t="n"/>
      <c r="P431" s="18" t="n"/>
      <c r="Q431" s="18" t="n"/>
      <c r="R431" s="10" t="n"/>
      <c r="S431" s="17" t="n"/>
      <c r="T431" s="18" t="n"/>
      <c r="U431" s="17" t="n"/>
      <c r="V431" s="17" t="n"/>
      <c r="W431" s="18" t="n"/>
      <c r="X431" s="18" t="n"/>
      <c r="Y431" s="17" t="n"/>
      <c r="Z431" s="10" t="n"/>
      <c r="AA431" s="10" t="n"/>
      <c r="AB431" s="19">
        <f>IF(LEN(A431)&gt;0,1,0)</f>
        <v/>
      </c>
      <c r="AC431" s="19">
        <f>IF(LEN(A431)=0,0,(LEN(B431)=0)+(LEN(C431)=0)+(LEN(D431)=0)+(LEN(E431)=0)+(LEN(F431)=0)+(LEN(G431)=0)+(LEN(H431)=0)+(LEN(I431)=0)+(LEN(J431)=0)+(LEN(K431)=0)+(LEN(L431)=0)+(LEN(N431)=0)+(LEN(O431)=0)+(LEN(P431)=0)+(LEN(R431)=0)+(LEN(AA431)=0))</f>
        <v/>
      </c>
      <c r="AD431" s="19">
        <f>IF(OR(LEN(A431)=0,LEN(C431)=0),0,IF(OR(C431&lt;1,C431&gt;5),1,0))</f>
        <v/>
      </c>
      <c r="AE431" s="19">
        <f>IF(OR(LEN(A431)=0,LEN(R431)=0),0,IF(OR(R431="Active",R431="Paid off",R431="Defaulted",R431="Repossessed",R431="Written off",R431="Restructured"),0,1))</f>
        <v/>
      </c>
      <c r="AF431" s="19">
        <f>IF(A431="",0,IF(N(J431)&gt;N(I431),1,0))</f>
        <v/>
      </c>
      <c r="AG431" s="19">
        <f>IF(A431="",0,IF(N(N431)&gt;N(M431)+1,1,0))</f>
        <v/>
      </c>
      <c r="AH431" s="19">
        <f>IF(A431="",0,IF(N(E431)&gt;N(B431),1,0))</f>
        <v/>
      </c>
      <c r="AI431" s="19">
        <f>IF(A431="",0,IF(AND(Z431="Full payment",N(N431)&lt;N(M431)-1),1,0))</f>
        <v/>
      </c>
      <c r="AJ431" s="19">
        <f>IF(A431="",0,IF(N(P431)&lt;0,1,0))</f>
        <v/>
      </c>
      <c r="AK431" s="19">
        <f>IF(A431="",0,IF(COUNTIF($A$7:$A$1006,A431)&gt;1,1,0))</f>
        <v/>
      </c>
    </row>
    <row r="432">
      <c r="A432" s="10" t="n"/>
      <c r="B432" s="17" t="n"/>
      <c r="C432" s="18" t="n"/>
      <c r="D432" s="10" t="n"/>
      <c r="E432" s="17" t="n"/>
      <c r="F432" s="10" t="n"/>
      <c r="G432" s="10" t="n"/>
      <c r="H432" s="10" t="n"/>
      <c r="I432" s="18" t="n"/>
      <c r="J432" s="18" t="n"/>
      <c r="K432" s="18" t="n"/>
      <c r="L432" s="18" t="n"/>
      <c r="M432" s="19">
        <f>IF(K432="","",K432*365/12*L432)</f>
        <v/>
      </c>
      <c r="N432" s="18" t="n"/>
      <c r="O432" s="18" t="n"/>
      <c r="P432" s="18" t="n"/>
      <c r="Q432" s="18" t="n"/>
      <c r="R432" s="10" t="n"/>
      <c r="S432" s="17" t="n"/>
      <c r="T432" s="18" t="n"/>
      <c r="U432" s="17" t="n"/>
      <c r="V432" s="17" t="n"/>
      <c r="W432" s="18" t="n"/>
      <c r="X432" s="18" t="n"/>
      <c r="Y432" s="17" t="n"/>
      <c r="Z432" s="10" t="n"/>
      <c r="AA432" s="10" t="n"/>
      <c r="AB432" s="19">
        <f>IF(LEN(A432)&gt;0,1,0)</f>
        <v/>
      </c>
      <c r="AC432" s="19">
        <f>IF(LEN(A432)=0,0,(LEN(B432)=0)+(LEN(C432)=0)+(LEN(D432)=0)+(LEN(E432)=0)+(LEN(F432)=0)+(LEN(G432)=0)+(LEN(H432)=0)+(LEN(I432)=0)+(LEN(J432)=0)+(LEN(K432)=0)+(LEN(L432)=0)+(LEN(N432)=0)+(LEN(O432)=0)+(LEN(P432)=0)+(LEN(R432)=0)+(LEN(AA432)=0))</f>
        <v/>
      </c>
      <c r="AD432" s="19">
        <f>IF(OR(LEN(A432)=0,LEN(C432)=0),0,IF(OR(C432&lt;1,C432&gt;5),1,0))</f>
        <v/>
      </c>
      <c r="AE432" s="19">
        <f>IF(OR(LEN(A432)=0,LEN(R432)=0),0,IF(OR(R432="Active",R432="Paid off",R432="Defaulted",R432="Repossessed",R432="Written off",R432="Restructured"),0,1))</f>
        <v/>
      </c>
      <c r="AF432" s="19">
        <f>IF(A432="",0,IF(N(J432)&gt;N(I432),1,0))</f>
        <v/>
      </c>
      <c r="AG432" s="19">
        <f>IF(A432="",0,IF(N(N432)&gt;N(M432)+1,1,0))</f>
        <v/>
      </c>
      <c r="AH432" s="19">
        <f>IF(A432="",0,IF(N(E432)&gt;N(B432),1,0))</f>
        <v/>
      </c>
      <c r="AI432" s="19">
        <f>IF(A432="",0,IF(AND(Z432="Full payment",N(N432)&lt;N(M432)-1),1,0))</f>
        <v/>
      </c>
      <c r="AJ432" s="19">
        <f>IF(A432="",0,IF(N(P432)&lt;0,1,0))</f>
        <v/>
      </c>
      <c r="AK432" s="19">
        <f>IF(A432="",0,IF(COUNTIF($A$7:$A$1006,A432)&gt;1,1,0))</f>
        <v/>
      </c>
    </row>
    <row r="433">
      <c r="A433" s="10" t="n"/>
      <c r="B433" s="17" t="n"/>
      <c r="C433" s="18" t="n"/>
      <c r="D433" s="10" t="n"/>
      <c r="E433" s="17" t="n"/>
      <c r="F433" s="10" t="n"/>
      <c r="G433" s="10" t="n"/>
      <c r="H433" s="10" t="n"/>
      <c r="I433" s="18" t="n"/>
      <c r="J433" s="18" t="n"/>
      <c r="K433" s="18" t="n"/>
      <c r="L433" s="18" t="n"/>
      <c r="M433" s="19">
        <f>IF(K433="","",K433*365/12*L433)</f>
        <v/>
      </c>
      <c r="N433" s="18" t="n"/>
      <c r="O433" s="18" t="n"/>
      <c r="P433" s="18" t="n"/>
      <c r="Q433" s="18" t="n"/>
      <c r="R433" s="10" t="n"/>
      <c r="S433" s="17" t="n"/>
      <c r="T433" s="18" t="n"/>
      <c r="U433" s="17" t="n"/>
      <c r="V433" s="17" t="n"/>
      <c r="W433" s="18" t="n"/>
      <c r="X433" s="18" t="n"/>
      <c r="Y433" s="17" t="n"/>
      <c r="Z433" s="10" t="n"/>
      <c r="AA433" s="10" t="n"/>
      <c r="AB433" s="19">
        <f>IF(LEN(A433)&gt;0,1,0)</f>
        <v/>
      </c>
      <c r="AC433" s="19">
        <f>IF(LEN(A433)=0,0,(LEN(B433)=0)+(LEN(C433)=0)+(LEN(D433)=0)+(LEN(E433)=0)+(LEN(F433)=0)+(LEN(G433)=0)+(LEN(H433)=0)+(LEN(I433)=0)+(LEN(J433)=0)+(LEN(K433)=0)+(LEN(L433)=0)+(LEN(N433)=0)+(LEN(O433)=0)+(LEN(P433)=0)+(LEN(R433)=0)+(LEN(AA433)=0))</f>
        <v/>
      </c>
      <c r="AD433" s="19">
        <f>IF(OR(LEN(A433)=0,LEN(C433)=0),0,IF(OR(C433&lt;1,C433&gt;5),1,0))</f>
        <v/>
      </c>
      <c r="AE433" s="19">
        <f>IF(OR(LEN(A433)=0,LEN(R433)=0),0,IF(OR(R433="Active",R433="Paid off",R433="Defaulted",R433="Repossessed",R433="Written off",R433="Restructured"),0,1))</f>
        <v/>
      </c>
      <c r="AF433" s="19">
        <f>IF(A433="",0,IF(N(J433)&gt;N(I433),1,0))</f>
        <v/>
      </c>
      <c r="AG433" s="19">
        <f>IF(A433="",0,IF(N(N433)&gt;N(M433)+1,1,0))</f>
        <v/>
      </c>
      <c r="AH433" s="19">
        <f>IF(A433="",0,IF(N(E433)&gt;N(B433),1,0))</f>
        <v/>
      </c>
      <c r="AI433" s="19">
        <f>IF(A433="",0,IF(AND(Z433="Full payment",N(N433)&lt;N(M433)-1),1,0))</f>
        <v/>
      </c>
      <c r="AJ433" s="19">
        <f>IF(A433="",0,IF(N(P433)&lt;0,1,0))</f>
        <v/>
      </c>
      <c r="AK433" s="19">
        <f>IF(A433="",0,IF(COUNTIF($A$7:$A$1006,A433)&gt;1,1,0))</f>
        <v/>
      </c>
    </row>
    <row r="434">
      <c r="A434" s="10" t="n"/>
      <c r="B434" s="17" t="n"/>
      <c r="C434" s="18" t="n"/>
      <c r="D434" s="10" t="n"/>
      <c r="E434" s="17" t="n"/>
      <c r="F434" s="10" t="n"/>
      <c r="G434" s="10" t="n"/>
      <c r="H434" s="10" t="n"/>
      <c r="I434" s="18" t="n"/>
      <c r="J434" s="18" t="n"/>
      <c r="K434" s="18" t="n"/>
      <c r="L434" s="18" t="n"/>
      <c r="M434" s="19">
        <f>IF(K434="","",K434*365/12*L434)</f>
        <v/>
      </c>
      <c r="N434" s="18" t="n"/>
      <c r="O434" s="18" t="n"/>
      <c r="P434" s="18" t="n"/>
      <c r="Q434" s="18" t="n"/>
      <c r="R434" s="10" t="n"/>
      <c r="S434" s="17" t="n"/>
      <c r="T434" s="18" t="n"/>
      <c r="U434" s="17" t="n"/>
      <c r="V434" s="17" t="n"/>
      <c r="W434" s="18" t="n"/>
      <c r="X434" s="18" t="n"/>
      <c r="Y434" s="17" t="n"/>
      <c r="Z434" s="10" t="n"/>
      <c r="AA434" s="10" t="n"/>
      <c r="AB434" s="19">
        <f>IF(LEN(A434)&gt;0,1,0)</f>
        <v/>
      </c>
      <c r="AC434" s="19">
        <f>IF(LEN(A434)=0,0,(LEN(B434)=0)+(LEN(C434)=0)+(LEN(D434)=0)+(LEN(E434)=0)+(LEN(F434)=0)+(LEN(G434)=0)+(LEN(H434)=0)+(LEN(I434)=0)+(LEN(J434)=0)+(LEN(K434)=0)+(LEN(L434)=0)+(LEN(N434)=0)+(LEN(O434)=0)+(LEN(P434)=0)+(LEN(R434)=0)+(LEN(AA434)=0))</f>
        <v/>
      </c>
      <c r="AD434" s="19">
        <f>IF(OR(LEN(A434)=0,LEN(C434)=0),0,IF(OR(C434&lt;1,C434&gt;5),1,0))</f>
        <v/>
      </c>
      <c r="AE434" s="19">
        <f>IF(OR(LEN(A434)=0,LEN(R434)=0),0,IF(OR(R434="Active",R434="Paid off",R434="Defaulted",R434="Repossessed",R434="Written off",R434="Restructured"),0,1))</f>
        <v/>
      </c>
      <c r="AF434" s="19">
        <f>IF(A434="",0,IF(N(J434)&gt;N(I434),1,0))</f>
        <v/>
      </c>
      <c r="AG434" s="19">
        <f>IF(A434="",0,IF(N(N434)&gt;N(M434)+1,1,0))</f>
        <v/>
      </c>
      <c r="AH434" s="19">
        <f>IF(A434="",0,IF(N(E434)&gt;N(B434),1,0))</f>
        <v/>
      </c>
      <c r="AI434" s="19">
        <f>IF(A434="",0,IF(AND(Z434="Full payment",N(N434)&lt;N(M434)-1),1,0))</f>
        <v/>
      </c>
      <c r="AJ434" s="19">
        <f>IF(A434="",0,IF(N(P434)&lt;0,1,0))</f>
        <v/>
      </c>
      <c r="AK434" s="19">
        <f>IF(A434="",0,IF(COUNTIF($A$7:$A$1006,A434)&gt;1,1,0))</f>
        <v/>
      </c>
    </row>
    <row r="435">
      <c r="A435" s="10" t="n"/>
      <c r="B435" s="17" t="n"/>
      <c r="C435" s="18" t="n"/>
      <c r="D435" s="10" t="n"/>
      <c r="E435" s="17" t="n"/>
      <c r="F435" s="10" t="n"/>
      <c r="G435" s="10" t="n"/>
      <c r="H435" s="10" t="n"/>
      <c r="I435" s="18" t="n"/>
      <c r="J435" s="18" t="n"/>
      <c r="K435" s="18" t="n"/>
      <c r="L435" s="18" t="n"/>
      <c r="M435" s="19">
        <f>IF(K435="","",K435*365/12*L435)</f>
        <v/>
      </c>
      <c r="N435" s="18" t="n"/>
      <c r="O435" s="18" t="n"/>
      <c r="P435" s="18" t="n"/>
      <c r="Q435" s="18" t="n"/>
      <c r="R435" s="10" t="n"/>
      <c r="S435" s="17" t="n"/>
      <c r="T435" s="18" t="n"/>
      <c r="U435" s="17" t="n"/>
      <c r="V435" s="17" t="n"/>
      <c r="W435" s="18" t="n"/>
      <c r="X435" s="18" t="n"/>
      <c r="Y435" s="17" t="n"/>
      <c r="Z435" s="10" t="n"/>
      <c r="AA435" s="10" t="n"/>
      <c r="AB435" s="19">
        <f>IF(LEN(A435)&gt;0,1,0)</f>
        <v/>
      </c>
      <c r="AC435" s="19">
        <f>IF(LEN(A435)=0,0,(LEN(B435)=0)+(LEN(C435)=0)+(LEN(D435)=0)+(LEN(E435)=0)+(LEN(F435)=0)+(LEN(G435)=0)+(LEN(H435)=0)+(LEN(I435)=0)+(LEN(J435)=0)+(LEN(K435)=0)+(LEN(L435)=0)+(LEN(N435)=0)+(LEN(O435)=0)+(LEN(P435)=0)+(LEN(R435)=0)+(LEN(AA435)=0))</f>
        <v/>
      </c>
      <c r="AD435" s="19">
        <f>IF(OR(LEN(A435)=0,LEN(C435)=0),0,IF(OR(C435&lt;1,C435&gt;5),1,0))</f>
        <v/>
      </c>
      <c r="AE435" s="19">
        <f>IF(OR(LEN(A435)=0,LEN(R435)=0),0,IF(OR(R435="Active",R435="Paid off",R435="Defaulted",R435="Repossessed",R435="Written off",R435="Restructured"),0,1))</f>
        <v/>
      </c>
      <c r="AF435" s="19">
        <f>IF(A435="",0,IF(N(J435)&gt;N(I435),1,0))</f>
        <v/>
      </c>
      <c r="AG435" s="19">
        <f>IF(A435="",0,IF(N(N435)&gt;N(M435)+1,1,0))</f>
        <v/>
      </c>
      <c r="AH435" s="19">
        <f>IF(A435="",0,IF(N(E435)&gt;N(B435),1,0))</f>
        <v/>
      </c>
      <c r="AI435" s="19">
        <f>IF(A435="",0,IF(AND(Z435="Full payment",N(N435)&lt;N(M435)-1),1,0))</f>
        <v/>
      </c>
      <c r="AJ435" s="19">
        <f>IF(A435="",0,IF(N(P435)&lt;0,1,0))</f>
        <v/>
      </c>
      <c r="AK435" s="19">
        <f>IF(A435="",0,IF(COUNTIF($A$7:$A$1006,A435)&gt;1,1,0))</f>
        <v/>
      </c>
    </row>
    <row r="436">
      <c r="A436" s="10" t="n"/>
      <c r="B436" s="17" t="n"/>
      <c r="C436" s="18" t="n"/>
      <c r="D436" s="10" t="n"/>
      <c r="E436" s="17" t="n"/>
      <c r="F436" s="10" t="n"/>
      <c r="G436" s="10" t="n"/>
      <c r="H436" s="10" t="n"/>
      <c r="I436" s="18" t="n"/>
      <c r="J436" s="18" t="n"/>
      <c r="K436" s="18" t="n"/>
      <c r="L436" s="18" t="n"/>
      <c r="M436" s="19">
        <f>IF(K436="","",K436*365/12*L436)</f>
        <v/>
      </c>
      <c r="N436" s="18" t="n"/>
      <c r="O436" s="18" t="n"/>
      <c r="P436" s="18" t="n"/>
      <c r="Q436" s="18" t="n"/>
      <c r="R436" s="10" t="n"/>
      <c r="S436" s="17" t="n"/>
      <c r="T436" s="18" t="n"/>
      <c r="U436" s="17" t="n"/>
      <c r="V436" s="17" t="n"/>
      <c r="W436" s="18" t="n"/>
      <c r="X436" s="18" t="n"/>
      <c r="Y436" s="17" t="n"/>
      <c r="Z436" s="10" t="n"/>
      <c r="AA436" s="10" t="n"/>
      <c r="AB436" s="19">
        <f>IF(LEN(A436)&gt;0,1,0)</f>
        <v/>
      </c>
      <c r="AC436" s="19">
        <f>IF(LEN(A436)=0,0,(LEN(B436)=0)+(LEN(C436)=0)+(LEN(D436)=0)+(LEN(E436)=0)+(LEN(F436)=0)+(LEN(G436)=0)+(LEN(H436)=0)+(LEN(I436)=0)+(LEN(J436)=0)+(LEN(K436)=0)+(LEN(L436)=0)+(LEN(N436)=0)+(LEN(O436)=0)+(LEN(P436)=0)+(LEN(R436)=0)+(LEN(AA436)=0))</f>
        <v/>
      </c>
      <c r="AD436" s="19">
        <f>IF(OR(LEN(A436)=0,LEN(C436)=0),0,IF(OR(C436&lt;1,C436&gt;5),1,0))</f>
        <v/>
      </c>
      <c r="AE436" s="19">
        <f>IF(OR(LEN(A436)=0,LEN(R436)=0),0,IF(OR(R436="Active",R436="Paid off",R436="Defaulted",R436="Repossessed",R436="Written off",R436="Restructured"),0,1))</f>
        <v/>
      </c>
      <c r="AF436" s="19">
        <f>IF(A436="",0,IF(N(J436)&gt;N(I436),1,0))</f>
        <v/>
      </c>
      <c r="AG436" s="19">
        <f>IF(A436="",0,IF(N(N436)&gt;N(M436)+1,1,0))</f>
        <v/>
      </c>
      <c r="AH436" s="19">
        <f>IF(A436="",0,IF(N(E436)&gt;N(B436),1,0))</f>
        <v/>
      </c>
      <c r="AI436" s="19">
        <f>IF(A436="",0,IF(AND(Z436="Full payment",N(N436)&lt;N(M436)-1),1,0))</f>
        <v/>
      </c>
      <c r="AJ436" s="19">
        <f>IF(A436="",0,IF(N(P436)&lt;0,1,0))</f>
        <v/>
      </c>
      <c r="AK436" s="19">
        <f>IF(A436="",0,IF(COUNTIF($A$7:$A$1006,A436)&gt;1,1,0))</f>
        <v/>
      </c>
    </row>
    <row r="437">
      <c r="A437" s="10" t="n"/>
      <c r="B437" s="17" t="n"/>
      <c r="C437" s="18" t="n"/>
      <c r="D437" s="10" t="n"/>
      <c r="E437" s="17" t="n"/>
      <c r="F437" s="10" t="n"/>
      <c r="G437" s="10" t="n"/>
      <c r="H437" s="10" t="n"/>
      <c r="I437" s="18" t="n"/>
      <c r="J437" s="18" t="n"/>
      <c r="K437" s="18" t="n"/>
      <c r="L437" s="18" t="n"/>
      <c r="M437" s="19">
        <f>IF(K437="","",K437*365/12*L437)</f>
        <v/>
      </c>
      <c r="N437" s="18" t="n"/>
      <c r="O437" s="18" t="n"/>
      <c r="P437" s="18" t="n"/>
      <c r="Q437" s="18" t="n"/>
      <c r="R437" s="10" t="n"/>
      <c r="S437" s="17" t="n"/>
      <c r="T437" s="18" t="n"/>
      <c r="U437" s="17" t="n"/>
      <c r="V437" s="17" t="n"/>
      <c r="W437" s="18" t="n"/>
      <c r="X437" s="18" t="n"/>
      <c r="Y437" s="17" t="n"/>
      <c r="Z437" s="10" t="n"/>
      <c r="AA437" s="10" t="n"/>
      <c r="AB437" s="19">
        <f>IF(LEN(A437)&gt;0,1,0)</f>
        <v/>
      </c>
      <c r="AC437" s="19">
        <f>IF(LEN(A437)=0,0,(LEN(B437)=0)+(LEN(C437)=0)+(LEN(D437)=0)+(LEN(E437)=0)+(LEN(F437)=0)+(LEN(G437)=0)+(LEN(H437)=0)+(LEN(I437)=0)+(LEN(J437)=0)+(LEN(K437)=0)+(LEN(L437)=0)+(LEN(N437)=0)+(LEN(O437)=0)+(LEN(P437)=0)+(LEN(R437)=0)+(LEN(AA437)=0))</f>
        <v/>
      </c>
      <c r="AD437" s="19">
        <f>IF(OR(LEN(A437)=0,LEN(C437)=0),0,IF(OR(C437&lt;1,C437&gt;5),1,0))</f>
        <v/>
      </c>
      <c r="AE437" s="19">
        <f>IF(OR(LEN(A437)=0,LEN(R437)=0),0,IF(OR(R437="Active",R437="Paid off",R437="Defaulted",R437="Repossessed",R437="Written off",R437="Restructured"),0,1))</f>
        <v/>
      </c>
      <c r="AF437" s="19">
        <f>IF(A437="",0,IF(N(J437)&gt;N(I437),1,0))</f>
        <v/>
      </c>
      <c r="AG437" s="19">
        <f>IF(A437="",0,IF(N(N437)&gt;N(M437)+1,1,0))</f>
        <v/>
      </c>
      <c r="AH437" s="19">
        <f>IF(A437="",0,IF(N(E437)&gt;N(B437),1,0))</f>
        <v/>
      </c>
      <c r="AI437" s="19">
        <f>IF(A437="",0,IF(AND(Z437="Full payment",N(N437)&lt;N(M437)-1),1,0))</f>
        <v/>
      </c>
      <c r="AJ437" s="19">
        <f>IF(A437="",0,IF(N(P437)&lt;0,1,0))</f>
        <v/>
      </c>
      <c r="AK437" s="19">
        <f>IF(A437="",0,IF(COUNTIF($A$7:$A$1006,A437)&gt;1,1,0))</f>
        <v/>
      </c>
    </row>
    <row r="438">
      <c r="A438" s="10" t="n"/>
      <c r="B438" s="17" t="n"/>
      <c r="C438" s="18" t="n"/>
      <c r="D438" s="10" t="n"/>
      <c r="E438" s="17" t="n"/>
      <c r="F438" s="10" t="n"/>
      <c r="G438" s="10" t="n"/>
      <c r="H438" s="10" t="n"/>
      <c r="I438" s="18" t="n"/>
      <c r="J438" s="18" t="n"/>
      <c r="K438" s="18" t="n"/>
      <c r="L438" s="18" t="n"/>
      <c r="M438" s="19">
        <f>IF(K438="","",K438*365/12*L438)</f>
        <v/>
      </c>
      <c r="N438" s="18" t="n"/>
      <c r="O438" s="18" t="n"/>
      <c r="P438" s="18" t="n"/>
      <c r="Q438" s="18" t="n"/>
      <c r="R438" s="10" t="n"/>
      <c r="S438" s="17" t="n"/>
      <c r="T438" s="18" t="n"/>
      <c r="U438" s="17" t="n"/>
      <c r="V438" s="17" t="n"/>
      <c r="W438" s="18" t="n"/>
      <c r="X438" s="18" t="n"/>
      <c r="Y438" s="17" t="n"/>
      <c r="Z438" s="10" t="n"/>
      <c r="AA438" s="10" t="n"/>
      <c r="AB438" s="19">
        <f>IF(LEN(A438)&gt;0,1,0)</f>
        <v/>
      </c>
      <c r="AC438" s="19">
        <f>IF(LEN(A438)=0,0,(LEN(B438)=0)+(LEN(C438)=0)+(LEN(D438)=0)+(LEN(E438)=0)+(LEN(F438)=0)+(LEN(G438)=0)+(LEN(H438)=0)+(LEN(I438)=0)+(LEN(J438)=0)+(LEN(K438)=0)+(LEN(L438)=0)+(LEN(N438)=0)+(LEN(O438)=0)+(LEN(P438)=0)+(LEN(R438)=0)+(LEN(AA438)=0))</f>
        <v/>
      </c>
      <c r="AD438" s="19">
        <f>IF(OR(LEN(A438)=0,LEN(C438)=0),0,IF(OR(C438&lt;1,C438&gt;5),1,0))</f>
        <v/>
      </c>
      <c r="AE438" s="19">
        <f>IF(OR(LEN(A438)=0,LEN(R438)=0),0,IF(OR(R438="Active",R438="Paid off",R438="Defaulted",R438="Repossessed",R438="Written off",R438="Restructured"),0,1))</f>
        <v/>
      </c>
      <c r="AF438" s="19">
        <f>IF(A438="",0,IF(N(J438)&gt;N(I438),1,0))</f>
        <v/>
      </c>
      <c r="AG438" s="19">
        <f>IF(A438="",0,IF(N(N438)&gt;N(M438)+1,1,0))</f>
        <v/>
      </c>
      <c r="AH438" s="19">
        <f>IF(A438="",0,IF(N(E438)&gt;N(B438),1,0))</f>
        <v/>
      </c>
      <c r="AI438" s="19">
        <f>IF(A438="",0,IF(AND(Z438="Full payment",N(N438)&lt;N(M438)-1),1,0))</f>
        <v/>
      </c>
      <c r="AJ438" s="19">
        <f>IF(A438="",0,IF(N(P438)&lt;0,1,0))</f>
        <v/>
      </c>
      <c r="AK438" s="19">
        <f>IF(A438="",0,IF(COUNTIF($A$7:$A$1006,A438)&gt;1,1,0))</f>
        <v/>
      </c>
    </row>
    <row r="439">
      <c r="A439" s="10" t="n"/>
      <c r="B439" s="17" t="n"/>
      <c r="C439" s="18" t="n"/>
      <c r="D439" s="10" t="n"/>
      <c r="E439" s="17" t="n"/>
      <c r="F439" s="10" t="n"/>
      <c r="G439" s="10" t="n"/>
      <c r="H439" s="10" t="n"/>
      <c r="I439" s="18" t="n"/>
      <c r="J439" s="18" t="n"/>
      <c r="K439" s="18" t="n"/>
      <c r="L439" s="18" t="n"/>
      <c r="M439" s="19">
        <f>IF(K439="","",K439*365/12*L439)</f>
        <v/>
      </c>
      <c r="N439" s="18" t="n"/>
      <c r="O439" s="18" t="n"/>
      <c r="P439" s="18" t="n"/>
      <c r="Q439" s="18" t="n"/>
      <c r="R439" s="10" t="n"/>
      <c r="S439" s="17" t="n"/>
      <c r="T439" s="18" t="n"/>
      <c r="U439" s="17" t="n"/>
      <c r="V439" s="17" t="n"/>
      <c r="W439" s="18" t="n"/>
      <c r="X439" s="18" t="n"/>
      <c r="Y439" s="17" t="n"/>
      <c r="Z439" s="10" t="n"/>
      <c r="AA439" s="10" t="n"/>
      <c r="AB439" s="19">
        <f>IF(LEN(A439)&gt;0,1,0)</f>
        <v/>
      </c>
      <c r="AC439" s="19">
        <f>IF(LEN(A439)=0,0,(LEN(B439)=0)+(LEN(C439)=0)+(LEN(D439)=0)+(LEN(E439)=0)+(LEN(F439)=0)+(LEN(G439)=0)+(LEN(H439)=0)+(LEN(I439)=0)+(LEN(J439)=0)+(LEN(K439)=0)+(LEN(L439)=0)+(LEN(N439)=0)+(LEN(O439)=0)+(LEN(P439)=0)+(LEN(R439)=0)+(LEN(AA439)=0))</f>
        <v/>
      </c>
      <c r="AD439" s="19">
        <f>IF(OR(LEN(A439)=0,LEN(C439)=0),0,IF(OR(C439&lt;1,C439&gt;5),1,0))</f>
        <v/>
      </c>
      <c r="AE439" s="19">
        <f>IF(OR(LEN(A439)=0,LEN(R439)=0),0,IF(OR(R439="Active",R439="Paid off",R439="Defaulted",R439="Repossessed",R439="Written off",R439="Restructured"),0,1))</f>
        <v/>
      </c>
      <c r="AF439" s="19">
        <f>IF(A439="",0,IF(N(J439)&gt;N(I439),1,0))</f>
        <v/>
      </c>
      <c r="AG439" s="19">
        <f>IF(A439="",0,IF(N(N439)&gt;N(M439)+1,1,0))</f>
        <v/>
      </c>
      <c r="AH439" s="19">
        <f>IF(A439="",0,IF(N(E439)&gt;N(B439),1,0))</f>
        <v/>
      </c>
      <c r="AI439" s="19">
        <f>IF(A439="",0,IF(AND(Z439="Full payment",N(N439)&lt;N(M439)-1),1,0))</f>
        <v/>
      </c>
      <c r="AJ439" s="19">
        <f>IF(A439="",0,IF(N(P439)&lt;0,1,0))</f>
        <v/>
      </c>
      <c r="AK439" s="19">
        <f>IF(A439="",0,IF(COUNTIF($A$7:$A$1006,A439)&gt;1,1,0))</f>
        <v/>
      </c>
    </row>
    <row r="440">
      <c r="A440" s="10" t="n"/>
      <c r="B440" s="17" t="n"/>
      <c r="C440" s="18" t="n"/>
      <c r="D440" s="10" t="n"/>
      <c r="E440" s="17" t="n"/>
      <c r="F440" s="10" t="n"/>
      <c r="G440" s="10" t="n"/>
      <c r="H440" s="10" t="n"/>
      <c r="I440" s="18" t="n"/>
      <c r="J440" s="18" t="n"/>
      <c r="K440" s="18" t="n"/>
      <c r="L440" s="18" t="n"/>
      <c r="M440" s="19">
        <f>IF(K440="","",K440*365/12*L440)</f>
        <v/>
      </c>
      <c r="N440" s="18" t="n"/>
      <c r="O440" s="18" t="n"/>
      <c r="P440" s="18" t="n"/>
      <c r="Q440" s="18" t="n"/>
      <c r="R440" s="10" t="n"/>
      <c r="S440" s="17" t="n"/>
      <c r="T440" s="18" t="n"/>
      <c r="U440" s="17" t="n"/>
      <c r="V440" s="17" t="n"/>
      <c r="W440" s="18" t="n"/>
      <c r="X440" s="18" t="n"/>
      <c r="Y440" s="17" t="n"/>
      <c r="Z440" s="10" t="n"/>
      <c r="AA440" s="10" t="n"/>
      <c r="AB440" s="19">
        <f>IF(LEN(A440)&gt;0,1,0)</f>
        <v/>
      </c>
      <c r="AC440" s="19">
        <f>IF(LEN(A440)=0,0,(LEN(B440)=0)+(LEN(C440)=0)+(LEN(D440)=0)+(LEN(E440)=0)+(LEN(F440)=0)+(LEN(G440)=0)+(LEN(H440)=0)+(LEN(I440)=0)+(LEN(J440)=0)+(LEN(K440)=0)+(LEN(L440)=0)+(LEN(N440)=0)+(LEN(O440)=0)+(LEN(P440)=0)+(LEN(R440)=0)+(LEN(AA440)=0))</f>
        <v/>
      </c>
      <c r="AD440" s="19">
        <f>IF(OR(LEN(A440)=0,LEN(C440)=0),0,IF(OR(C440&lt;1,C440&gt;5),1,0))</f>
        <v/>
      </c>
      <c r="AE440" s="19">
        <f>IF(OR(LEN(A440)=0,LEN(R440)=0),0,IF(OR(R440="Active",R440="Paid off",R440="Defaulted",R440="Repossessed",R440="Written off",R440="Restructured"),0,1))</f>
        <v/>
      </c>
      <c r="AF440" s="19">
        <f>IF(A440="",0,IF(N(J440)&gt;N(I440),1,0))</f>
        <v/>
      </c>
      <c r="AG440" s="19">
        <f>IF(A440="",0,IF(N(N440)&gt;N(M440)+1,1,0))</f>
        <v/>
      </c>
      <c r="AH440" s="19">
        <f>IF(A440="",0,IF(N(E440)&gt;N(B440),1,0))</f>
        <v/>
      </c>
      <c r="AI440" s="19">
        <f>IF(A440="",0,IF(AND(Z440="Full payment",N(N440)&lt;N(M440)-1),1,0))</f>
        <v/>
      </c>
      <c r="AJ440" s="19">
        <f>IF(A440="",0,IF(N(P440)&lt;0,1,0))</f>
        <v/>
      </c>
      <c r="AK440" s="19">
        <f>IF(A440="",0,IF(COUNTIF($A$7:$A$1006,A440)&gt;1,1,0))</f>
        <v/>
      </c>
    </row>
    <row r="441">
      <c r="A441" s="10" t="n"/>
      <c r="B441" s="17" t="n"/>
      <c r="C441" s="18" t="n"/>
      <c r="D441" s="10" t="n"/>
      <c r="E441" s="17" t="n"/>
      <c r="F441" s="10" t="n"/>
      <c r="G441" s="10" t="n"/>
      <c r="H441" s="10" t="n"/>
      <c r="I441" s="18" t="n"/>
      <c r="J441" s="18" t="n"/>
      <c r="K441" s="18" t="n"/>
      <c r="L441" s="18" t="n"/>
      <c r="M441" s="19">
        <f>IF(K441="","",K441*365/12*L441)</f>
        <v/>
      </c>
      <c r="N441" s="18" t="n"/>
      <c r="O441" s="18" t="n"/>
      <c r="P441" s="18" t="n"/>
      <c r="Q441" s="18" t="n"/>
      <c r="R441" s="10" t="n"/>
      <c r="S441" s="17" t="n"/>
      <c r="T441" s="18" t="n"/>
      <c r="U441" s="17" t="n"/>
      <c r="V441" s="17" t="n"/>
      <c r="W441" s="18" t="n"/>
      <c r="X441" s="18" t="n"/>
      <c r="Y441" s="17" t="n"/>
      <c r="Z441" s="10" t="n"/>
      <c r="AA441" s="10" t="n"/>
      <c r="AB441" s="19">
        <f>IF(LEN(A441)&gt;0,1,0)</f>
        <v/>
      </c>
      <c r="AC441" s="19">
        <f>IF(LEN(A441)=0,0,(LEN(B441)=0)+(LEN(C441)=0)+(LEN(D441)=0)+(LEN(E441)=0)+(LEN(F441)=0)+(LEN(G441)=0)+(LEN(H441)=0)+(LEN(I441)=0)+(LEN(J441)=0)+(LEN(K441)=0)+(LEN(L441)=0)+(LEN(N441)=0)+(LEN(O441)=0)+(LEN(P441)=0)+(LEN(R441)=0)+(LEN(AA441)=0))</f>
        <v/>
      </c>
      <c r="AD441" s="19">
        <f>IF(OR(LEN(A441)=0,LEN(C441)=0),0,IF(OR(C441&lt;1,C441&gt;5),1,0))</f>
        <v/>
      </c>
      <c r="AE441" s="19">
        <f>IF(OR(LEN(A441)=0,LEN(R441)=0),0,IF(OR(R441="Active",R441="Paid off",R441="Defaulted",R441="Repossessed",R441="Written off",R441="Restructured"),0,1))</f>
        <v/>
      </c>
      <c r="AF441" s="19">
        <f>IF(A441="",0,IF(N(J441)&gt;N(I441),1,0))</f>
        <v/>
      </c>
      <c r="AG441" s="19">
        <f>IF(A441="",0,IF(N(N441)&gt;N(M441)+1,1,0))</f>
        <v/>
      </c>
      <c r="AH441" s="19">
        <f>IF(A441="",0,IF(N(E441)&gt;N(B441),1,0))</f>
        <v/>
      </c>
      <c r="AI441" s="19">
        <f>IF(A441="",0,IF(AND(Z441="Full payment",N(N441)&lt;N(M441)-1),1,0))</f>
        <v/>
      </c>
      <c r="AJ441" s="19">
        <f>IF(A441="",0,IF(N(P441)&lt;0,1,0))</f>
        <v/>
      </c>
      <c r="AK441" s="19">
        <f>IF(A441="",0,IF(COUNTIF($A$7:$A$1006,A441)&gt;1,1,0))</f>
        <v/>
      </c>
    </row>
    <row r="442">
      <c r="A442" s="10" t="n"/>
      <c r="B442" s="17" t="n"/>
      <c r="C442" s="18" t="n"/>
      <c r="D442" s="10" t="n"/>
      <c r="E442" s="17" t="n"/>
      <c r="F442" s="10" t="n"/>
      <c r="G442" s="10" t="n"/>
      <c r="H442" s="10" t="n"/>
      <c r="I442" s="18" t="n"/>
      <c r="J442" s="18" t="n"/>
      <c r="K442" s="18" t="n"/>
      <c r="L442" s="18" t="n"/>
      <c r="M442" s="19">
        <f>IF(K442="","",K442*365/12*L442)</f>
        <v/>
      </c>
      <c r="N442" s="18" t="n"/>
      <c r="O442" s="18" t="n"/>
      <c r="P442" s="18" t="n"/>
      <c r="Q442" s="18" t="n"/>
      <c r="R442" s="10" t="n"/>
      <c r="S442" s="17" t="n"/>
      <c r="T442" s="18" t="n"/>
      <c r="U442" s="17" t="n"/>
      <c r="V442" s="17" t="n"/>
      <c r="W442" s="18" t="n"/>
      <c r="X442" s="18" t="n"/>
      <c r="Y442" s="17" t="n"/>
      <c r="Z442" s="10" t="n"/>
      <c r="AA442" s="10" t="n"/>
      <c r="AB442" s="19">
        <f>IF(LEN(A442)&gt;0,1,0)</f>
        <v/>
      </c>
      <c r="AC442" s="19">
        <f>IF(LEN(A442)=0,0,(LEN(B442)=0)+(LEN(C442)=0)+(LEN(D442)=0)+(LEN(E442)=0)+(LEN(F442)=0)+(LEN(G442)=0)+(LEN(H442)=0)+(LEN(I442)=0)+(LEN(J442)=0)+(LEN(K442)=0)+(LEN(L442)=0)+(LEN(N442)=0)+(LEN(O442)=0)+(LEN(P442)=0)+(LEN(R442)=0)+(LEN(AA442)=0))</f>
        <v/>
      </c>
      <c r="AD442" s="19">
        <f>IF(OR(LEN(A442)=0,LEN(C442)=0),0,IF(OR(C442&lt;1,C442&gt;5),1,0))</f>
        <v/>
      </c>
      <c r="AE442" s="19">
        <f>IF(OR(LEN(A442)=0,LEN(R442)=0),0,IF(OR(R442="Active",R442="Paid off",R442="Defaulted",R442="Repossessed",R442="Written off",R442="Restructured"),0,1))</f>
        <v/>
      </c>
      <c r="AF442" s="19">
        <f>IF(A442="",0,IF(N(J442)&gt;N(I442),1,0))</f>
        <v/>
      </c>
      <c r="AG442" s="19">
        <f>IF(A442="",0,IF(N(N442)&gt;N(M442)+1,1,0))</f>
        <v/>
      </c>
      <c r="AH442" s="19">
        <f>IF(A442="",0,IF(N(E442)&gt;N(B442),1,0))</f>
        <v/>
      </c>
      <c r="AI442" s="19">
        <f>IF(A442="",0,IF(AND(Z442="Full payment",N(N442)&lt;N(M442)-1),1,0))</f>
        <v/>
      </c>
      <c r="AJ442" s="19">
        <f>IF(A442="",0,IF(N(P442)&lt;0,1,0))</f>
        <v/>
      </c>
      <c r="AK442" s="19">
        <f>IF(A442="",0,IF(COUNTIF($A$7:$A$1006,A442)&gt;1,1,0))</f>
        <v/>
      </c>
    </row>
    <row r="443">
      <c r="A443" s="10" t="n"/>
      <c r="B443" s="17" t="n"/>
      <c r="C443" s="18" t="n"/>
      <c r="D443" s="10" t="n"/>
      <c r="E443" s="17" t="n"/>
      <c r="F443" s="10" t="n"/>
      <c r="G443" s="10" t="n"/>
      <c r="H443" s="10" t="n"/>
      <c r="I443" s="18" t="n"/>
      <c r="J443" s="18" t="n"/>
      <c r="K443" s="18" t="n"/>
      <c r="L443" s="18" t="n"/>
      <c r="M443" s="19">
        <f>IF(K443="","",K443*365/12*L443)</f>
        <v/>
      </c>
      <c r="N443" s="18" t="n"/>
      <c r="O443" s="18" t="n"/>
      <c r="P443" s="18" t="n"/>
      <c r="Q443" s="18" t="n"/>
      <c r="R443" s="10" t="n"/>
      <c r="S443" s="17" t="n"/>
      <c r="T443" s="18" t="n"/>
      <c r="U443" s="17" t="n"/>
      <c r="V443" s="17" t="n"/>
      <c r="W443" s="18" t="n"/>
      <c r="X443" s="18" t="n"/>
      <c r="Y443" s="17" t="n"/>
      <c r="Z443" s="10" t="n"/>
      <c r="AA443" s="10" t="n"/>
      <c r="AB443" s="19">
        <f>IF(LEN(A443)&gt;0,1,0)</f>
        <v/>
      </c>
      <c r="AC443" s="19">
        <f>IF(LEN(A443)=0,0,(LEN(B443)=0)+(LEN(C443)=0)+(LEN(D443)=0)+(LEN(E443)=0)+(LEN(F443)=0)+(LEN(G443)=0)+(LEN(H443)=0)+(LEN(I443)=0)+(LEN(J443)=0)+(LEN(K443)=0)+(LEN(L443)=0)+(LEN(N443)=0)+(LEN(O443)=0)+(LEN(P443)=0)+(LEN(R443)=0)+(LEN(AA443)=0))</f>
        <v/>
      </c>
      <c r="AD443" s="19">
        <f>IF(OR(LEN(A443)=0,LEN(C443)=0),0,IF(OR(C443&lt;1,C443&gt;5),1,0))</f>
        <v/>
      </c>
      <c r="AE443" s="19">
        <f>IF(OR(LEN(A443)=0,LEN(R443)=0),0,IF(OR(R443="Active",R443="Paid off",R443="Defaulted",R443="Repossessed",R443="Written off",R443="Restructured"),0,1))</f>
        <v/>
      </c>
      <c r="AF443" s="19">
        <f>IF(A443="",0,IF(N(J443)&gt;N(I443),1,0))</f>
        <v/>
      </c>
      <c r="AG443" s="19">
        <f>IF(A443="",0,IF(N(N443)&gt;N(M443)+1,1,0))</f>
        <v/>
      </c>
      <c r="AH443" s="19">
        <f>IF(A443="",0,IF(N(E443)&gt;N(B443),1,0))</f>
        <v/>
      </c>
      <c r="AI443" s="19">
        <f>IF(A443="",0,IF(AND(Z443="Full payment",N(N443)&lt;N(M443)-1),1,0))</f>
        <v/>
      </c>
      <c r="AJ443" s="19">
        <f>IF(A443="",0,IF(N(P443)&lt;0,1,0))</f>
        <v/>
      </c>
      <c r="AK443" s="19">
        <f>IF(A443="",0,IF(COUNTIF($A$7:$A$1006,A443)&gt;1,1,0))</f>
        <v/>
      </c>
    </row>
    <row r="444">
      <c r="A444" s="10" t="n"/>
      <c r="B444" s="17" t="n"/>
      <c r="C444" s="18" t="n"/>
      <c r="D444" s="10" t="n"/>
      <c r="E444" s="17" t="n"/>
      <c r="F444" s="10" t="n"/>
      <c r="G444" s="10" t="n"/>
      <c r="H444" s="10" t="n"/>
      <c r="I444" s="18" t="n"/>
      <c r="J444" s="18" t="n"/>
      <c r="K444" s="18" t="n"/>
      <c r="L444" s="18" t="n"/>
      <c r="M444" s="19">
        <f>IF(K444="","",K444*365/12*L444)</f>
        <v/>
      </c>
      <c r="N444" s="18" t="n"/>
      <c r="O444" s="18" t="n"/>
      <c r="P444" s="18" t="n"/>
      <c r="Q444" s="18" t="n"/>
      <c r="R444" s="10" t="n"/>
      <c r="S444" s="17" t="n"/>
      <c r="T444" s="18" t="n"/>
      <c r="U444" s="17" t="n"/>
      <c r="V444" s="17" t="n"/>
      <c r="W444" s="18" t="n"/>
      <c r="X444" s="18" t="n"/>
      <c r="Y444" s="17" t="n"/>
      <c r="Z444" s="10" t="n"/>
      <c r="AA444" s="10" t="n"/>
      <c r="AB444" s="19">
        <f>IF(LEN(A444)&gt;0,1,0)</f>
        <v/>
      </c>
      <c r="AC444" s="19">
        <f>IF(LEN(A444)=0,0,(LEN(B444)=0)+(LEN(C444)=0)+(LEN(D444)=0)+(LEN(E444)=0)+(LEN(F444)=0)+(LEN(G444)=0)+(LEN(H444)=0)+(LEN(I444)=0)+(LEN(J444)=0)+(LEN(K444)=0)+(LEN(L444)=0)+(LEN(N444)=0)+(LEN(O444)=0)+(LEN(P444)=0)+(LEN(R444)=0)+(LEN(AA444)=0))</f>
        <v/>
      </c>
      <c r="AD444" s="19">
        <f>IF(OR(LEN(A444)=0,LEN(C444)=0),0,IF(OR(C444&lt;1,C444&gt;5),1,0))</f>
        <v/>
      </c>
      <c r="AE444" s="19">
        <f>IF(OR(LEN(A444)=0,LEN(R444)=0),0,IF(OR(R444="Active",R444="Paid off",R444="Defaulted",R444="Repossessed",R444="Written off",R444="Restructured"),0,1))</f>
        <v/>
      </c>
      <c r="AF444" s="19">
        <f>IF(A444="",0,IF(N(J444)&gt;N(I444),1,0))</f>
        <v/>
      </c>
      <c r="AG444" s="19">
        <f>IF(A444="",0,IF(N(N444)&gt;N(M444)+1,1,0))</f>
        <v/>
      </c>
      <c r="AH444" s="19">
        <f>IF(A444="",0,IF(N(E444)&gt;N(B444),1,0))</f>
        <v/>
      </c>
      <c r="AI444" s="19">
        <f>IF(A444="",0,IF(AND(Z444="Full payment",N(N444)&lt;N(M444)-1),1,0))</f>
        <v/>
      </c>
      <c r="AJ444" s="19">
        <f>IF(A444="",0,IF(N(P444)&lt;0,1,0))</f>
        <v/>
      </c>
      <c r="AK444" s="19">
        <f>IF(A444="",0,IF(COUNTIF($A$7:$A$1006,A444)&gt;1,1,0))</f>
        <v/>
      </c>
    </row>
    <row r="445">
      <c r="A445" s="10" t="n"/>
      <c r="B445" s="17" t="n"/>
      <c r="C445" s="18" t="n"/>
      <c r="D445" s="10" t="n"/>
      <c r="E445" s="17" t="n"/>
      <c r="F445" s="10" t="n"/>
      <c r="G445" s="10" t="n"/>
      <c r="H445" s="10" t="n"/>
      <c r="I445" s="18" t="n"/>
      <c r="J445" s="18" t="n"/>
      <c r="K445" s="18" t="n"/>
      <c r="L445" s="18" t="n"/>
      <c r="M445" s="19">
        <f>IF(K445="","",K445*365/12*L445)</f>
        <v/>
      </c>
      <c r="N445" s="18" t="n"/>
      <c r="O445" s="18" t="n"/>
      <c r="P445" s="18" t="n"/>
      <c r="Q445" s="18" t="n"/>
      <c r="R445" s="10" t="n"/>
      <c r="S445" s="17" t="n"/>
      <c r="T445" s="18" t="n"/>
      <c r="U445" s="17" t="n"/>
      <c r="V445" s="17" t="n"/>
      <c r="W445" s="18" t="n"/>
      <c r="X445" s="18" t="n"/>
      <c r="Y445" s="17" t="n"/>
      <c r="Z445" s="10" t="n"/>
      <c r="AA445" s="10" t="n"/>
      <c r="AB445" s="19">
        <f>IF(LEN(A445)&gt;0,1,0)</f>
        <v/>
      </c>
      <c r="AC445" s="19">
        <f>IF(LEN(A445)=0,0,(LEN(B445)=0)+(LEN(C445)=0)+(LEN(D445)=0)+(LEN(E445)=0)+(LEN(F445)=0)+(LEN(G445)=0)+(LEN(H445)=0)+(LEN(I445)=0)+(LEN(J445)=0)+(LEN(K445)=0)+(LEN(L445)=0)+(LEN(N445)=0)+(LEN(O445)=0)+(LEN(P445)=0)+(LEN(R445)=0)+(LEN(AA445)=0))</f>
        <v/>
      </c>
      <c r="AD445" s="19">
        <f>IF(OR(LEN(A445)=0,LEN(C445)=0),0,IF(OR(C445&lt;1,C445&gt;5),1,0))</f>
        <v/>
      </c>
      <c r="AE445" s="19">
        <f>IF(OR(LEN(A445)=0,LEN(R445)=0),0,IF(OR(R445="Active",R445="Paid off",R445="Defaulted",R445="Repossessed",R445="Written off",R445="Restructured"),0,1))</f>
        <v/>
      </c>
      <c r="AF445" s="19">
        <f>IF(A445="",0,IF(N(J445)&gt;N(I445),1,0))</f>
        <v/>
      </c>
      <c r="AG445" s="19">
        <f>IF(A445="",0,IF(N(N445)&gt;N(M445)+1,1,0))</f>
        <v/>
      </c>
      <c r="AH445" s="19">
        <f>IF(A445="",0,IF(N(E445)&gt;N(B445),1,0))</f>
        <v/>
      </c>
      <c r="AI445" s="19">
        <f>IF(A445="",0,IF(AND(Z445="Full payment",N(N445)&lt;N(M445)-1),1,0))</f>
        <v/>
      </c>
      <c r="AJ445" s="19">
        <f>IF(A445="",0,IF(N(P445)&lt;0,1,0))</f>
        <v/>
      </c>
      <c r="AK445" s="19">
        <f>IF(A445="",0,IF(COUNTIF($A$7:$A$1006,A445)&gt;1,1,0))</f>
        <v/>
      </c>
    </row>
    <row r="446">
      <c r="A446" s="10" t="n"/>
      <c r="B446" s="17" t="n"/>
      <c r="C446" s="18" t="n"/>
      <c r="D446" s="10" t="n"/>
      <c r="E446" s="17" t="n"/>
      <c r="F446" s="10" t="n"/>
      <c r="G446" s="10" t="n"/>
      <c r="H446" s="10" t="n"/>
      <c r="I446" s="18" t="n"/>
      <c r="J446" s="18" t="n"/>
      <c r="K446" s="18" t="n"/>
      <c r="L446" s="18" t="n"/>
      <c r="M446" s="19">
        <f>IF(K446="","",K446*365/12*L446)</f>
        <v/>
      </c>
      <c r="N446" s="18" t="n"/>
      <c r="O446" s="18" t="n"/>
      <c r="P446" s="18" t="n"/>
      <c r="Q446" s="18" t="n"/>
      <c r="R446" s="10" t="n"/>
      <c r="S446" s="17" t="n"/>
      <c r="T446" s="18" t="n"/>
      <c r="U446" s="17" t="n"/>
      <c r="V446" s="17" t="n"/>
      <c r="W446" s="18" t="n"/>
      <c r="X446" s="18" t="n"/>
      <c r="Y446" s="17" t="n"/>
      <c r="Z446" s="10" t="n"/>
      <c r="AA446" s="10" t="n"/>
      <c r="AB446" s="19">
        <f>IF(LEN(A446)&gt;0,1,0)</f>
        <v/>
      </c>
      <c r="AC446" s="19">
        <f>IF(LEN(A446)=0,0,(LEN(B446)=0)+(LEN(C446)=0)+(LEN(D446)=0)+(LEN(E446)=0)+(LEN(F446)=0)+(LEN(G446)=0)+(LEN(H446)=0)+(LEN(I446)=0)+(LEN(J446)=0)+(LEN(K446)=0)+(LEN(L446)=0)+(LEN(N446)=0)+(LEN(O446)=0)+(LEN(P446)=0)+(LEN(R446)=0)+(LEN(AA446)=0))</f>
        <v/>
      </c>
      <c r="AD446" s="19">
        <f>IF(OR(LEN(A446)=0,LEN(C446)=0),0,IF(OR(C446&lt;1,C446&gt;5),1,0))</f>
        <v/>
      </c>
      <c r="AE446" s="19">
        <f>IF(OR(LEN(A446)=0,LEN(R446)=0),0,IF(OR(R446="Active",R446="Paid off",R446="Defaulted",R446="Repossessed",R446="Written off",R446="Restructured"),0,1))</f>
        <v/>
      </c>
      <c r="AF446" s="19">
        <f>IF(A446="",0,IF(N(J446)&gt;N(I446),1,0))</f>
        <v/>
      </c>
      <c r="AG446" s="19">
        <f>IF(A446="",0,IF(N(N446)&gt;N(M446)+1,1,0))</f>
        <v/>
      </c>
      <c r="AH446" s="19">
        <f>IF(A446="",0,IF(N(E446)&gt;N(B446),1,0))</f>
        <v/>
      </c>
      <c r="AI446" s="19">
        <f>IF(A446="",0,IF(AND(Z446="Full payment",N(N446)&lt;N(M446)-1),1,0))</f>
        <v/>
      </c>
      <c r="AJ446" s="19">
        <f>IF(A446="",0,IF(N(P446)&lt;0,1,0))</f>
        <v/>
      </c>
      <c r="AK446" s="19">
        <f>IF(A446="",0,IF(COUNTIF($A$7:$A$1006,A446)&gt;1,1,0))</f>
        <v/>
      </c>
    </row>
    <row r="447">
      <c r="A447" s="10" t="n"/>
      <c r="B447" s="17" t="n"/>
      <c r="C447" s="18" t="n"/>
      <c r="D447" s="10" t="n"/>
      <c r="E447" s="17" t="n"/>
      <c r="F447" s="10" t="n"/>
      <c r="G447" s="10" t="n"/>
      <c r="H447" s="10" t="n"/>
      <c r="I447" s="18" t="n"/>
      <c r="J447" s="18" t="n"/>
      <c r="K447" s="18" t="n"/>
      <c r="L447" s="18" t="n"/>
      <c r="M447" s="19">
        <f>IF(K447="","",K447*365/12*L447)</f>
        <v/>
      </c>
      <c r="N447" s="18" t="n"/>
      <c r="O447" s="18" t="n"/>
      <c r="P447" s="18" t="n"/>
      <c r="Q447" s="18" t="n"/>
      <c r="R447" s="10" t="n"/>
      <c r="S447" s="17" t="n"/>
      <c r="T447" s="18" t="n"/>
      <c r="U447" s="17" t="n"/>
      <c r="V447" s="17" t="n"/>
      <c r="W447" s="18" t="n"/>
      <c r="X447" s="18" t="n"/>
      <c r="Y447" s="17" t="n"/>
      <c r="Z447" s="10" t="n"/>
      <c r="AA447" s="10" t="n"/>
      <c r="AB447" s="19">
        <f>IF(LEN(A447)&gt;0,1,0)</f>
        <v/>
      </c>
      <c r="AC447" s="19">
        <f>IF(LEN(A447)=0,0,(LEN(B447)=0)+(LEN(C447)=0)+(LEN(D447)=0)+(LEN(E447)=0)+(LEN(F447)=0)+(LEN(G447)=0)+(LEN(H447)=0)+(LEN(I447)=0)+(LEN(J447)=0)+(LEN(K447)=0)+(LEN(L447)=0)+(LEN(N447)=0)+(LEN(O447)=0)+(LEN(P447)=0)+(LEN(R447)=0)+(LEN(AA447)=0))</f>
        <v/>
      </c>
      <c r="AD447" s="19">
        <f>IF(OR(LEN(A447)=0,LEN(C447)=0),0,IF(OR(C447&lt;1,C447&gt;5),1,0))</f>
        <v/>
      </c>
      <c r="AE447" s="19">
        <f>IF(OR(LEN(A447)=0,LEN(R447)=0),0,IF(OR(R447="Active",R447="Paid off",R447="Defaulted",R447="Repossessed",R447="Written off",R447="Restructured"),0,1))</f>
        <v/>
      </c>
      <c r="AF447" s="19">
        <f>IF(A447="",0,IF(N(J447)&gt;N(I447),1,0))</f>
        <v/>
      </c>
      <c r="AG447" s="19">
        <f>IF(A447="",0,IF(N(N447)&gt;N(M447)+1,1,0))</f>
        <v/>
      </c>
      <c r="AH447" s="19">
        <f>IF(A447="",0,IF(N(E447)&gt;N(B447),1,0))</f>
        <v/>
      </c>
      <c r="AI447" s="19">
        <f>IF(A447="",0,IF(AND(Z447="Full payment",N(N447)&lt;N(M447)-1),1,0))</f>
        <v/>
      </c>
      <c r="AJ447" s="19">
        <f>IF(A447="",0,IF(N(P447)&lt;0,1,0))</f>
        <v/>
      </c>
      <c r="AK447" s="19">
        <f>IF(A447="",0,IF(COUNTIF($A$7:$A$1006,A447)&gt;1,1,0))</f>
        <v/>
      </c>
    </row>
    <row r="448">
      <c r="A448" s="10" t="n"/>
      <c r="B448" s="17" t="n"/>
      <c r="C448" s="18" t="n"/>
      <c r="D448" s="10" t="n"/>
      <c r="E448" s="17" t="n"/>
      <c r="F448" s="10" t="n"/>
      <c r="G448" s="10" t="n"/>
      <c r="H448" s="10" t="n"/>
      <c r="I448" s="18" t="n"/>
      <c r="J448" s="18" t="n"/>
      <c r="K448" s="18" t="n"/>
      <c r="L448" s="18" t="n"/>
      <c r="M448" s="19">
        <f>IF(K448="","",K448*365/12*L448)</f>
        <v/>
      </c>
      <c r="N448" s="18" t="n"/>
      <c r="O448" s="18" t="n"/>
      <c r="P448" s="18" t="n"/>
      <c r="Q448" s="18" t="n"/>
      <c r="R448" s="10" t="n"/>
      <c r="S448" s="17" t="n"/>
      <c r="T448" s="18" t="n"/>
      <c r="U448" s="17" t="n"/>
      <c r="V448" s="17" t="n"/>
      <c r="W448" s="18" t="n"/>
      <c r="X448" s="18" t="n"/>
      <c r="Y448" s="17" t="n"/>
      <c r="Z448" s="10" t="n"/>
      <c r="AA448" s="10" t="n"/>
      <c r="AB448" s="19">
        <f>IF(LEN(A448)&gt;0,1,0)</f>
        <v/>
      </c>
      <c r="AC448" s="19">
        <f>IF(LEN(A448)=0,0,(LEN(B448)=0)+(LEN(C448)=0)+(LEN(D448)=0)+(LEN(E448)=0)+(LEN(F448)=0)+(LEN(G448)=0)+(LEN(H448)=0)+(LEN(I448)=0)+(LEN(J448)=0)+(LEN(K448)=0)+(LEN(L448)=0)+(LEN(N448)=0)+(LEN(O448)=0)+(LEN(P448)=0)+(LEN(R448)=0)+(LEN(AA448)=0))</f>
        <v/>
      </c>
      <c r="AD448" s="19">
        <f>IF(OR(LEN(A448)=0,LEN(C448)=0),0,IF(OR(C448&lt;1,C448&gt;5),1,0))</f>
        <v/>
      </c>
      <c r="AE448" s="19">
        <f>IF(OR(LEN(A448)=0,LEN(R448)=0),0,IF(OR(R448="Active",R448="Paid off",R448="Defaulted",R448="Repossessed",R448="Written off",R448="Restructured"),0,1))</f>
        <v/>
      </c>
      <c r="AF448" s="19">
        <f>IF(A448="",0,IF(N(J448)&gt;N(I448),1,0))</f>
        <v/>
      </c>
      <c r="AG448" s="19">
        <f>IF(A448="",0,IF(N(N448)&gt;N(M448)+1,1,0))</f>
        <v/>
      </c>
      <c r="AH448" s="19">
        <f>IF(A448="",0,IF(N(E448)&gt;N(B448),1,0))</f>
        <v/>
      </c>
      <c r="AI448" s="19">
        <f>IF(A448="",0,IF(AND(Z448="Full payment",N(N448)&lt;N(M448)-1),1,0))</f>
        <v/>
      </c>
      <c r="AJ448" s="19">
        <f>IF(A448="",0,IF(N(P448)&lt;0,1,0))</f>
        <v/>
      </c>
      <c r="AK448" s="19">
        <f>IF(A448="",0,IF(COUNTIF($A$7:$A$1006,A448)&gt;1,1,0))</f>
        <v/>
      </c>
    </row>
    <row r="449">
      <c r="A449" s="10" t="n"/>
      <c r="B449" s="17" t="n"/>
      <c r="C449" s="18" t="n"/>
      <c r="D449" s="10" t="n"/>
      <c r="E449" s="17" t="n"/>
      <c r="F449" s="10" t="n"/>
      <c r="G449" s="10" t="n"/>
      <c r="H449" s="10" t="n"/>
      <c r="I449" s="18" t="n"/>
      <c r="J449" s="18" t="n"/>
      <c r="K449" s="18" t="n"/>
      <c r="L449" s="18" t="n"/>
      <c r="M449" s="19">
        <f>IF(K449="","",K449*365/12*L449)</f>
        <v/>
      </c>
      <c r="N449" s="18" t="n"/>
      <c r="O449" s="18" t="n"/>
      <c r="P449" s="18" t="n"/>
      <c r="Q449" s="18" t="n"/>
      <c r="R449" s="10" t="n"/>
      <c r="S449" s="17" t="n"/>
      <c r="T449" s="18" t="n"/>
      <c r="U449" s="17" t="n"/>
      <c r="V449" s="17" t="n"/>
      <c r="W449" s="18" t="n"/>
      <c r="X449" s="18" t="n"/>
      <c r="Y449" s="17" t="n"/>
      <c r="Z449" s="10" t="n"/>
      <c r="AA449" s="10" t="n"/>
      <c r="AB449" s="19">
        <f>IF(LEN(A449)&gt;0,1,0)</f>
        <v/>
      </c>
      <c r="AC449" s="19">
        <f>IF(LEN(A449)=0,0,(LEN(B449)=0)+(LEN(C449)=0)+(LEN(D449)=0)+(LEN(E449)=0)+(LEN(F449)=0)+(LEN(G449)=0)+(LEN(H449)=0)+(LEN(I449)=0)+(LEN(J449)=0)+(LEN(K449)=0)+(LEN(L449)=0)+(LEN(N449)=0)+(LEN(O449)=0)+(LEN(P449)=0)+(LEN(R449)=0)+(LEN(AA449)=0))</f>
        <v/>
      </c>
      <c r="AD449" s="19">
        <f>IF(OR(LEN(A449)=0,LEN(C449)=0),0,IF(OR(C449&lt;1,C449&gt;5),1,0))</f>
        <v/>
      </c>
      <c r="AE449" s="19">
        <f>IF(OR(LEN(A449)=0,LEN(R449)=0),0,IF(OR(R449="Active",R449="Paid off",R449="Defaulted",R449="Repossessed",R449="Written off",R449="Restructured"),0,1))</f>
        <v/>
      </c>
      <c r="AF449" s="19">
        <f>IF(A449="",0,IF(N(J449)&gt;N(I449),1,0))</f>
        <v/>
      </c>
      <c r="AG449" s="19">
        <f>IF(A449="",0,IF(N(N449)&gt;N(M449)+1,1,0))</f>
        <v/>
      </c>
      <c r="AH449" s="19">
        <f>IF(A449="",0,IF(N(E449)&gt;N(B449),1,0))</f>
        <v/>
      </c>
      <c r="AI449" s="19">
        <f>IF(A449="",0,IF(AND(Z449="Full payment",N(N449)&lt;N(M449)-1),1,0))</f>
        <v/>
      </c>
      <c r="AJ449" s="19">
        <f>IF(A449="",0,IF(N(P449)&lt;0,1,0))</f>
        <v/>
      </c>
      <c r="AK449" s="19">
        <f>IF(A449="",0,IF(COUNTIF($A$7:$A$1006,A449)&gt;1,1,0))</f>
        <v/>
      </c>
    </row>
    <row r="450">
      <c r="A450" s="10" t="n"/>
      <c r="B450" s="17" t="n"/>
      <c r="C450" s="18" t="n"/>
      <c r="D450" s="10" t="n"/>
      <c r="E450" s="17" t="n"/>
      <c r="F450" s="10" t="n"/>
      <c r="G450" s="10" t="n"/>
      <c r="H450" s="10" t="n"/>
      <c r="I450" s="18" t="n"/>
      <c r="J450" s="18" t="n"/>
      <c r="K450" s="18" t="n"/>
      <c r="L450" s="18" t="n"/>
      <c r="M450" s="19">
        <f>IF(K450="","",K450*365/12*L450)</f>
        <v/>
      </c>
      <c r="N450" s="18" t="n"/>
      <c r="O450" s="18" t="n"/>
      <c r="P450" s="18" t="n"/>
      <c r="Q450" s="18" t="n"/>
      <c r="R450" s="10" t="n"/>
      <c r="S450" s="17" t="n"/>
      <c r="T450" s="18" t="n"/>
      <c r="U450" s="17" t="n"/>
      <c r="V450" s="17" t="n"/>
      <c r="W450" s="18" t="n"/>
      <c r="X450" s="18" t="n"/>
      <c r="Y450" s="17" t="n"/>
      <c r="Z450" s="10" t="n"/>
      <c r="AA450" s="10" t="n"/>
      <c r="AB450" s="19">
        <f>IF(LEN(A450)&gt;0,1,0)</f>
        <v/>
      </c>
      <c r="AC450" s="19">
        <f>IF(LEN(A450)=0,0,(LEN(B450)=0)+(LEN(C450)=0)+(LEN(D450)=0)+(LEN(E450)=0)+(LEN(F450)=0)+(LEN(G450)=0)+(LEN(H450)=0)+(LEN(I450)=0)+(LEN(J450)=0)+(LEN(K450)=0)+(LEN(L450)=0)+(LEN(N450)=0)+(LEN(O450)=0)+(LEN(P450)=0)+(LEN(R450)=0)+(LEN(AA450)=0))</f>
        <v/>
      </c>
      <c r="AD450" s="19">
        <f>IF(OR(LEN(A450)=0,LEN(C450)=0),0,IF(OR(C450&lt;1,C450&gt;5),1,0))</f>
        <v/>
      </c>
      <c r="AE450" s="19">
        <f>IF(OR(LEN(A450)=0,LEN(R450)=0),0,IF(OR(R450="Active",R450="Paid off",R450="Defaulted",R450="Repossessed",R450="Written off",R450="Restructured"),0,1))</f>
        <v/>
      </c>
      <c r="AF450" s="19">
        <f>IF(A450="",0,IF(N(J450)&gt;N(I450),1,0))</f>
        <v/>
      </c>
      <c r="AG450" s="19">
        <f>IF(A450="",0,IF(N(N450)&gt;N(M450)+1,1,0))</f>
        <v/>
      </c>
      <c r="AH450" s="19">
        <f>IF(A450="",0,IF(N(E450)&gt;N(B450),1,0))</f>
        <v/>
      </c>
      <c r="AI450" s="19">
        <f>IF(A450="",0,IF(AND(Z450="Full payment",N(N450)&lt;N(M450)-1),1,0))</f>
        <v/>
      </c>
      <c r="AJ450" s="19">
        <f>IF(A450="",0,IF(N(P450)&lt;0,1,0))</f>
        <v/>
      </c>
      <c r="AK450" s="19">
        <f>IF(A450="",0,IF(COUNTIF($A$7:$A$1006,A450)&gt;1,1,0))</f>
        <v/>
      </c>
    </row>
    <row r="451">
      <c r="A451" s="10" t="n"/>
      <c r="B451" s="17" t="n"/>
      <c r="C451" s="18" t="n"/>
      <c r="D451" s="10" t="n"/>
      <c r="E451" s="17" t="n"/>
      <c r="F451" s="10" t="n"/>
      <c r="G451" s="10" t="n"/>
      <c r="H451" s="10" t="n"/>
      <c r="I451" s="18" t="n"/>
      <c r="J451" s="18" t="n"/>
      <c r="K451" s="18" t="n"/>
      <c r="L451" s="18" t="n"/>
      <c r="M451" s="19">
        <f>IF(K451="","",K451*365/12*L451)</f>
        <v/>
      </c>
      <c r="N451" s="18" t="n"/>
      <c r="O451" s="18" t="n"/>
      <c r="P451" s="18" t="n"/>
      <c r="Q451" s="18" t="n"/>
      <c r="R451" s="10" t="n"/>
      <c r="S451" s="17" t="n"/>
      <c r="T451" s="18" t="n"/>
      <c r="U451" s="17" t="n"/>
      <c r="V451" s="17" t="n"/>
      <c r="W451" s="18" t="n"/>
      <c r="X451" s="18" t="n"/>
      <c r="Y451" s="17" t="n"/>
      <c r="Z451" s="10" t="n"/>
      <c r="AA451" s="10" t="n"/>
      <c r="AB451" s="19">
        <f>IF(LEN(A451)&gt;0,1,0)</f>
        <v/>
      </c>
      <c r="AC451" s="19">
        <f>IF(LEN(A451)=0,0,(LEN(B451)=0)+(LEN(C451)=0)+(LEN(D451)=0)+(LEN(E451)=0)+(LEN(F451)=0)+(LEN(G451)=0)+(LEN(H451)=0)+(LEN(I451)=0)+(LEN(J451)=0)+(LEN(K451)=0)+(LEN(L451)=0)+(LEN(N451)=0)+(LEN(O451)=0)+(LEN(P451)=0)+(LEN(R451)=0)+(LEN(AA451)=0))</f>
        <v/>
      </c>
      <c r="AD451" s="19">
        <f>IF(OR(LEN(A451)=0,LEN(C451)=0),0,IF(OR(C451&lt;1,C451&gt;5),1,0))</f>
        <v/>
      </c>
      <c r="AE451" s="19">
        <f>IF(OR(LEN(A451)=0,LEN(R451)=0),0,IF(OR(R451="Active",R451="Paid off",R451="Defaulted",R451="Repossessed",R451="Written off",R451="Restructured"),0,1))</f>
        <v/>
      </c>
      <c r="AF451" s="19">
        <f>IF(A451="",0,IF(N(J451)&gt;N(I451),1,0))</f>
        <v/>
      </c>
      <c r="AG451" s="19">
        <f>IF(A451="",0,IF(N(N451)&gt;N(M451)+1,1,0))</f>
        <v/>
      </c>
      <c r="AH451" s="19">
        <f>IF(A451="",0,IF(N(E451)&gt;N(B451),1,0))</f>
        <v/>
      </c>
      <c r="AI451" s="19">
        <f>IF(A451="",0,IF(AND(Z451="Full payment",N(N451)&lt;N(M451)-1),1,0))</f>
        <v/>
      </c>
      <c r="AJ451" s="19">
        <f>IF(A451="",0,IF(N(P451)&lt;0,1,0))</f>
        <v/>
      </c>
      <c r="AK451" s="19">
        <f>IF(A451="",0,IF(COUNTIF($A$7:$A$1006,A451)&gt;1,1,0))</f>
        <v/>
      </c>
    </row>
    <row r="452">
      <c r="A452" s="10" t="n"/>
      <c r="B452" s="17" t="n"/>
      <c r="C452" s="18" t="n"/>
      <c r="D452" s="10" t="n"/>
      <c r="E452" s="17" t="n"/>
      <c r="F452" s="10" t="n"/>
      <c r="G452" s="10" t="n"/>
      <c r="H452" s="10" t="n"/>
      <c r="I452" s="18" t="n"/>
      <c r="J452" s="18" t="n"/>
      <c r="K452" s="18" t="n"/>
      <c r="L452" s="18" t="n"/>
      <c r="M452" s="19">
        <f>IF(K452="","",K452*365/12*L452)</f>
        <v/>
      </c>
      <c r="N452" s="18" t="n"/>
      <c r="O452" s="18" t="n"/>
      <c r="P452" s="18" t="n"/>
      <c r="Q452" s="18" t="n"/>
      <c r="R452" s="10" t="n"/>
      <c r="S452" s="17" t="n"/>
      <c r="T452" s="18" t="n"/>
      <c r="U452" s="17" t="n"/>
      <c r="V452" s="17" t="n"/>
      <c r="W452" s="18" t="n"/>
      <c r="X452" s="18" t="n"/>
      <c r="Y452" s="17" t="n"/>
      <c r="Z452" s="10" t="n"/>
      <c r="AA452" s="10" t="n"/>
      <c r="AB452" s="19">
        <f>IF(LEN(A452)&gt;0,1,0)</f>
        <v/>
      </c>
      <c r="AC452" s="19">
        <f>IF(LEN(A452)=0,0,(LEN(B452)=0)+(LEN(C452)=0)+(LEN(D452)=0)+(LEN(E452)=0)+(LEN(F452)=0)+(LEN(G452)=0)+(LEN(H452)=0)+(LEN(I452)=0)+(LEN(J452)=0)+(LEN(K452)=0)+(LEN(L452)=0)+(LEN(N452)=0)+(LEN(O452)=0)+(LEN(P452)=0)+(LEN(R452)=0)+(LEN(AA452)=0))</f>
        <v/>
      </c>
      <c r="AD452" s="19">
        <f>IF(OR(LEN(A452)=0,LEN(C452)=0),0,IF(OR(C452&lt;1,C452&gt;5),1,0))</f>
        <v/>
      </c>
      <c r="AE452" s="19">
        <f>IF(OR(LEN(A452)=0,LEN(R452)=0),0,IF(OR(R452="Active",R452="Paid off",R452="Defaulted",R452="Repossessed",R452="Written off",R452="Restructured"),0,1))</f>
        <v/>
      </c>
      <c r="AF452" s="19">
        <f>IF(A452="",0,IF(N(J452)&gt;N(I452),1,0))</f>
        <v/>
      </c>
      <c r="AG452" s="19">
        <f>IF(A452="",0,IF(N(N452)&gt;N(M452)+1,1,0))</f>
        <v/>
      </c>
      <c r="AH452" s="19">
        <f>IF(A452="",0,IF(N(E452)&gt;N(B452),1,0))</f>
        <v/>
      </c>
      <c r="AI452" s="19">
        <f>IF(A452="",0,IF(AND(Z452="Full payment",N(N452)&lt;N(M452)-1),1,0))</f>
        <v/>
      </c>
      <c r="AJ452" s="19">
        <f>IF(A452="",0,IF(N(P452)&lt;0,1,0))</f>
        <v/>
      </c>
      <c r="AK452" s="19">
        <f>IF(A452="",0,IF(COUNTIF($A$7:$A$1006,A452)&gt;1,1,0))</f>
        <v/>
      </c>
    </row>
    <row r="453">
      <c r="A453" s="10" t="n"/>
      <c r="B453" s="17" t="n"/>
      <c r="C453" s="18" t="n"/>
      <c r="D453" s="10" t="n"/>
      <c r="E453" s="17" t="n"/>
      <c r="F453" s="10" t="n"/>
      <c r="G453" s="10" t="n"/>
      <c r="H453" s="10" t="n"/>
      <c r="I453" s="18" t="n"/>
      <c r="J453" s="18" t="n"/>
      <c r="K453" s="18" t="n"/>
      <c r="L453" s="18" t="n"/>
      <c r="M453" s="19">
        <f>IF(K453="","",K453*365/12*L453)</f>
        <v/>
      </c>
      <c r="N453" s="18" t="n"/>
      <c r="O453" s="18" t="n"/>
      <c r="P453" s="18" t="n"/>
      <c r="Q453" s="18" t="n"/>
      <c r="R453" s="10" t="n"/>
      <c r="S453" s="17" t="n"/>
      <c r="T453" s="18" t="n"/>
      <c r="U453" s="17" t="n"/>
      <c r="V453" s="17" t="n"/>
      <c r="W453" s="18" t="n"/>
      <c r="X453" s="18" t="n"/>
      <c r="Y453" s="17" t="n"/>
      <c r="Z453" s="10" t="n"/>
      <c r="AA453" s="10" t="n"/>
      <c r="AB453" s="19">
        <f>IF(LEN(A453)&gt;0,1,0)</f>
        <v/>
      </c>
      <c r="AC453" s="19">
        <f>IF(LEN(A453)=0,0,(LEN(B453)=0)+(LEN(C453)=0)+(LEN(D453)=0)+(LEN(E453)=0)+(LEN(F453)=0)+(LEN(G453)=0)+(LEN(H453)=0)+(LEN(I453)=0)+(LEN(J453)=0)+(LEN(K453)=0)+(LEN(L453)=0)+(LEN(N453)=0)+(LEN(O453)=0)+(LEN(P453)=0)+(LEN(R453)=0)+(LEN(AA453)=0))</f>
        <v/>
      </c>
      <c r="AD453" s="19">
        <f>IF(OR(LEN(A453)=0,LEN(C453)=0),0,IF(OR(C453&lt;1,C453&gt;5),1,0))</f>
        <v/>
      </c>
      <c r="AE453" s="19">
        <f>IF(OR(LEN(A453)=0,LEN(R453)=0),0,IF(OR(R453="Active",R453="Paid off",R453="Defaulted",R453="Repossessed",R453="Written off",R453="Restructured"),0,1))</f>
        <v/>
      </c>
      <c r="AF453" s="19">
        <f>IF(A453="",0,IF(N(J453)&gt;N(I453),1,0))</f>
        <v/>
      </c>
      <c r="AG453" s="19">
        <f>IF(A453="",0,IF(N(N453)&gt;N(M453)+1,1,0))</f>
        <v/>
      </c>
      <c r="AH453" s="19">
        <f>IF(A453="",0,IF(N(E453)&gt;N(B453),1,0))</f>
        <v/>
      </c>
      <c r="AI453" s="19">
        <f>IF(A453="",0,IF(AND(Z453="Full payment",N(N453)&lt;N(M453)-1),1,0))</f>
        <v/>
      </c>
      <c r="AJ453" s="19">
        <f>IF(A453="",0,IF(N(P453)&lt;0,1,0))</f>
        <v/>
      </c>
      <c r="AK453" s="19">
        <f>IF(A453="",0,IF(COUNTIF($A$7:$A$1006,A453)&gt;1,1,0))</f>
        <v/>
      </c>
    </row>
    <row r="454">
      <c r="A454" s="10" t="n"/>
      <c r="B454" s="17" t="n"/>
      <c r="C454" s="18" t="n"/>
      <c r="D454" s="10" t="n"/>
      <c r="E454" s="17" t="n"/>
      <c r="F454" s="10" t="n"/>
      <c r="G454" s="10" t="n"/>
      <c r="H454" s="10" t="n"/>
      <c r="I454" s="18" t="n"/>
      <c r="J454" s="18" t="n"/>
      <c r="K454" s="18" t="n"/>
      <c r="L454" s="18" t="n"/>
      <c r="M454" s="19">
        <f>IF(K454="","",K454*365/12*L454)</f>
        <v/>
      </c>
      <c r="N454" s="18" t="n"/>
      <c r="O454" s="18" t="n"/>
      <c r="P454" s="18" t="n"/>
      <c r="Q454" s="18" t="n"/>
      <c r="R454" s="10" t="n"/>
      <c r="S454" s="17" t="n"/>
      <c r="T454" s="18" t="n"/>
      <c r="U454" s="17" t="n"/>
      <c r="V454" s="17" t="n"/>
      <c r="W454" s="18" t="n"/>
      <c r="X454" s="18" t="n"/>
      <c r="Y454" s="17" t="n"/>
      <c r="Z454" s="10" t="n"/>
      <c r="AA454" s="10" t="n"/>
      <c r="AB454" s="19">
        <f>IF(LEN(A454)&gt;0,1,0)</f>
        <v/>
      </c>
      <c r="AC454" s="19">
        <f>IF(LEN(A454)=0,0,(LEN(B454)=0)+(LEN(C454)=0)+(LEN(D454)=0)+(LEN(E454)=0)+(LEN(F454)=0)+(LEN(G454)=0)+(LEN(H454)=0)+(LEN(I454)=0)+(LEN(J454)=0)+(LEN(K454)=0)+(LEN(L454)=0)+(LEN(N454)=0)+(LEN(O454)=0)+(LEN(P454)=0)+(LEN(R454)=0)+(LEN(AA454)=0))</f>
        <v/>
      </c>
      <c r="AD454" s="19">
        <f>IF(OR(LEN(A454)=0,LEN(C454)=0),0,IF(OR(C454&lt;1,C454&gt;5),1,0))</f>
        <v/>
      </c>
      <c r="AE454" s="19">
        <f>IF(OR(LEN(A454)=0,LEN(R454)=0),0,IF(OR(R454="Active",R454="Paid off",R454="Defaulted",R454="Repossessed",R454="Written off",R454="Restructured"),0,1))</f>
        <v/>
      </c>
      <c r="AF454" s="19">
        <f>IF(A454="",0,IF(N(J454)&gt;N(I454),1,0))</f>
        <v/>
      </c>
      <c r="AG454" s="19">
        <f>IF(A454="",0,IF(N(N454)&gt;N(M454)+1,1,0))</f>
        <v/>
      </c>
      <c r="AH454" s="19">
        <f>IF(A454="",0,IF(N(E454)&gt;N(B454),1,0))</f>
        <v/>
      </c>
      <c r="AI454" s="19">
        <f>IF(A454="",0,IF(AND(Z454="Full payment",N(N454)&lt;N(M454)-1),1,0))</f>
        <v/>
      </c>
      <c r="AJ454" s="19">
        <f>IF(A454="",0,IF(N(P454)&lt;0,1,0))</f>
        <v/>
      </c>
      <c r="AK454" s="19">
        <f>IF(A454="",0,IF(COUNTIF($A$7:$A$1006,A454)&gt;1,1,0))</f>
        <v/>
      </c>
    </row>
    <row r="455">
      <c r="A455" s="10" t="n"/>
      <c r="B455" s="17" t="n"/>
      <c r="C455" s="18" t="n"/>
      <c r="D455" s="10" t="n"/>
      <c r="E455" s="17" t="n"/>
      <c r="F455" s="10" t="n"/>
      <c r="G455" s="10" t="n"/>
      <c r="H455" s="10" t="n"/>
      <c r="I455" s="18" t="n"/>
      <c r="J455" s="18" t="n"/>
      <c r="K455" s="18" t="n"/>
      <c r="L455" s="18" t="n"/>
      <c r="M455" s="19">
        <f>IF(K455="","",K455*365/12*L455)</f>
        <v/>
      </c>
      <c r="N455" s="18" t="n"/>
      <c r="O455" s="18" t="n"/>
      <c r="P455" s="18" t="n"/>
      <c r="Q455" s="18" t="n"/>
      <c r="R455" s="10" t="n"/>
      <c r="S455" s="17" t="n"/>
      <c r="T455" s="18" t="n"/>
      <c r="U455" s="17" t="n"/>
      <c r="V455" s="17" t="n"/>
      <c r="W455" s="18" t="n"/>
      <c r="X455" s="18" t="n"/>
      <c r="Y455" s="17" t="n"/>
      <c r="Z455" s="10" t="n"/>
      <c r="AA455" s="10" t="n"/>
      <c r="AB455" s="19">
        <f>IF(LEN(A455)&gt;0,1,0)</f>
        <v/>
      </c>
      <c r="AC455" s="19">
        <f>IF(LEN(A455)=0,0,(LEN(B455)=0)+(LEN(C455)=0)+(LEN(D455)=0)+(LEN(E455)=0)+(LEN(F455)=0)+(LEN(G455)=0)+(LEN(H455)=0)+(LEN(I455)=0)+(LEN(J455)=0)+(LEN(K455)=0)+(LEN(L455)=0)+(LEN(N455)=0)+(LEN(O455)=0)+(LEN(P455)=0)+(LEN(R455)=0)+(LEN(AA455)=0))</f>
        <v/>
      </c>
      <c r="AD455" s="19">
        <f>IF(OR(LEN(A455)=0,LEN(C455)=0),0,IF(OR(C455&lt;1,C455&gt;5),1,0))</f>
        <v/>
      </c>
      <c r="AE455" s="19">
        <f>IF(OR(LEN(A455)=0,LEN(R455)=0),0,IF(OR(R455="Active",R455="Paid off",R455="Defaulted",R455="Repossessed",R455="Written off",R455="Restructured"),0,1))</f>
        <v/>
      </c>
      <c r="AF455" s="19">
        <f>IF(A455="",0,IF(N(J455)&gt;N(I455),1,0))</f>
        <v/>
      </c>
      <c r="AG455" s="19">
        <f>IF(A455="",0,IF(N(N455)&gt;N(M455)+1,1,0))</f>
        <v/>
      </c>
      <c r="AH455" s="19">
        <f>IF(A455="",0,IF(N(E455)&gt;N(B455),1,0))</f>
        <v/>
      </c>
      <c r="AI455" s="19">
        <f>IF(A455="",0,IF(AND(Z455="Full payment",N(N455)&lt;N(M455)-1),1,0))</f>
        <v/>
      </c>
      <c r="AJ455" s="19">
        <f>IF(A455="",0,IF(N(P455)&lt;0,1,0))</f>
        <v/>
      </c>
      <c r="AK455" s="19">
        <f>IF(A455="",0,IF(COUNTIF($A$7:$A$1006,A455)&gt;1,1,0))</f>
        <v/>
      </c>
    </row>
    <row r="456">
      <c r="A456" s="10" t="n"/>
      <c r="B456" s="17" t="n"/>
      <c r="C456" s="18" t="n"/>
      <c r="D456" s="10" t="n"/>
      <c r="E456" s="17" t="n"/>
      <c r="F456" s="10" t="n"/>
      <c r="G456" s="10" t="n"/>
      <c r="H456" s="10" t="n"/>
      <c r="I456" s="18" t="n"/>
      <c r="J456" s="18" t="n"/>
      <c r="K456" s="18" t="n"/>
      <c r="L456" s="18" t="n"/>
      <c r="M456" s="19">
        <f>IF(K456="","",K456*365/12*L456)</f>
        <v/>
      </c>
      <c r="N456" s="18" t="n"/>
      <c r="O456" s="18" t="n"/>
      <c r="P456" s="18" t="n"/>
      <c r="Q456" s="18" t="n"/>
      <c r="R456" s="10" t="n"/>
      <c r="S456" s="17" t="n"/>
      <c r="T456" s="18" t="n"/>
      <c r="U456" s="17" t="n"/>
      <c r="V456" s="17" t="n"/>
      <c r="W456" s="18" t="n"/>
      <c r="X456" s="18" t="n"/>
      <c r="Y456" s="17" t="n"/>
      <c r="Z456" s="10" t="n"/>
      <c r="AA456" s="10" t="n"/>
      <c r="AB456" s="19">
        <f>IF(LEN(A456)&gt;0,1,0)</f>
        <v/>
      </c>
      <c r="AC456" s="19">
        <f>IF(LEN(A456)=0,0,(LEN(B456)=0)+(LEN(C456)=0)+(LEN(D456)=0)+(LEN(E456)=0)+(LEN(F456)=0)+(LEN(G456)=0)+(LEN(H456)=0)+(LEN(I456)=0)+(LEN(J456)=0)+(LEN(K456)=0)+(LEN(L456)=0)+(LEN(N456)=0)+(LEN(O456)=0)+(LEN(P456)=0)+(LEN(R456)=0)+(LEN(AA456)=0))</f>
        <v/>
      </c>
      <c r="AD456" s="19">
        <f>IF(OR(LEN(A456)=0,LEN(C456)=0),0,IF(OR(C456&lt;1,C456&gt;5),1,0))</f>
        <v/>
      </c>
      <c r="AE456" s="19">
        <f>IF(OR(LEN(A456)=0,LEN(R456)=0),0,IF(OR(R456="Active",R456="Paid off",R456="Defaulted",R456="Repossessed",R456="Written off",R456="Restructured"),0,1))</f>
        <v/>
      </c>
      <c r="AF456" s="19">
        <f>IF(A456="",0,IF(N(J456)&gt;N(I456),1,0))</f>
        <v/>
      </c>
      <c r="AG456" s="19">
        <f>IF(A456="",0,IF(N(N456)&gt;N(M456)+1,1,0))</f>
        <v/>
      </c>
      <c r="AH456" s="19">
        <f>IF(A456="",0,IF(N(E456)&gt;N(B456),1,0))</f>
        <v/>
      </c>
      <c r="AI456" s="19">
        <f>IF(A456="",0,IF(AND(Z456="Full payment",N(N456)&lt;N(M456)-1),1,0))</f>
        <v/>
      </c>
      <c r="AJ456" s="19">
        <f>IF(A456="",0,IF(N(P456)&lt;0,1,0))</f>
        <v/>
      </c>
      <c r="AK456" s="19">
        <f>IF(A456="",0,IF(COUNTIF($A$7:$A$1006,A456)&gt;1,1,0))</f>
        <v/>
      </c>
    </row>
    <row r="457">
      <c r="A457" s="10" t="n"/>
      <c r="B457" s="17" t="n"/>
      <c r="C457" s="18" t="n"/>
      <c r="D457" s="10" t="n"/>
      <c r="E457" s="17" t="n"/>
      <c r="F457" s="10" t="n"/>
      <c r="G457" s="10" t="n"/>
      <c r="H457" s="10" t="n"/>
      <c r="I457" s="18" t="n"/>
      <c r="J457" s="18" t="n"/>
      <c r="K457" s="18" t="n"/>
      <c r="L457" s="18" t="n"/>
      <c r="M457" s="19">
        <f>IF(K457="","",K457*365/12*L457)</f>
        <v/>
      </c>
      <c r="N457" s="18" t="n"/>
      <c r="O457" s="18" t="n"/>
      <c r="P457" s="18" t="n"/>
      <c r="Q457" s="18" t="n"/>
      <c r="R457" s="10" t="n"/>
      <c r="S457" s="17" t="n"/>
      <c r="T457" s="18" t="n"/>
      <c r="U457" s="17" t="n"/>
      <c r="V457" s="17" t="n"/>
      <c r="W457" s="18" t="n"/>
      <c r="X457" s="18" t="n"/>
      <c r="Y457" s="17" t="n"/>
      <c r="Z457" s="10" t="n"/>
      <c r="AA457" s="10" t="n"/>
      <c r="AB457" s="19">
        <f>IF(LEN(A457)&gt;0,1,0)</f>
        <v/>
      </c>
      <c r="AC457" s="19">
        <f>IF(LEN(A457)=0,0,(LEN(B457)=0)+(LEN(C457)=0)+(LEN(D457)=0)+(LEN(E457)=0)+(LEN(F457)=0)+(LEN(G457)=0)+(LEN(H457)=0)+(LEN(I457)=0)+(LEN(J457)=0)+(LEN(K457)=0)+(LEN(L457)=0)+(LEN(N457)=0)+(LEN(O457)=0)+(LEN(P457)=0)+(LEN(R457)=0)+(LEN(AA457)=0))</f>
        <v/>
      </c>
      <c r="AD457" s="19">
        <f>IF(OR(LEN(A457)=0,LEN(C457)=0),0,IF(OR(C457&lt;1,C457&gt;5),1,0))</f>
        <v/>
      </c>
      <c r="AE457" s="19">
        <f>IF(OR(LEN(A457)=0,LEN(R457)=0),0,IF(OR(R457="Active",R457="Paid off",R457="Defaulted",R457="Repossessed",R457="Written off",R457="Restructured"),0,1))</f>
        <v/>
      </c>
      <c r="AF457" s="19">
        <f>IF(A457="",0,IF(N(J457)&gt;N(I457),1,0))</f>
        <v/>
      </c>
      <c r="AG457" s="19">
        <f>IF(A457="",0,IF(N(N457)&gt;N(M457)+1,1,0))</f>
        <v/>
      </c>
      <c r="AH457" s="19">
        <f>IF(A457="",0,IF(N(E457)&gt;N(B457),1,0))</f>
        <v/>
      </c>
      <c r="AI457" s="19">
        <f>IF(A457="",0,IF(AND(Z457="Full payment",N(N457)&lt;N(M457)-1),1,0))</f>
        <v/>
      </c>
      <c r="AJ457" s="19">
        <f>IF(A457="",0,IF(N(P457)&lt;0,1,0))</f>
        <v/>
      </c>
      <c r="AK457" s="19">
        <f>IF(A457="",0,IF(COUNTIF($A$7:$A$1006,A457)&gt;1,1,0))</f>
        <v/>
      </c>
    </row>
    <row r="458">
      <c r="A458" s="10" t="n"/>
      <c r="B458" s="17" t="n"/>
      <c r="C458" s="18" t="n"/>
      <c r="D458" s="10" t="n"/>
      <c r="E458" s="17" t="n"/>
      <c r="F458" s="10" t="n"/>
      <c r="G458" s="10" t="n"/>
      <c r="H458" s="10" t="n"/>
      <c r="I458" s="18" t="n"/>
      <c r="J458" s="18" t="n"/>
      <c r="K458" s="18" t="n"/>
      <c r="L458" s="18" t="n"/>
      <c r="M458" s="19">
        <f>IF(K458="","",K458*365/12*L458)</f>
        <v/>
      </c>
      <c r="N458" s="18" t="n"/>
      <c r="O458" s="18" t="n"/>
      <c r="P458" s="18" t="n"/>
      <c r="Q458" s="18" t="n"/>
      <c r="R458" s="10" t="n"/>
      <c r="S458" s="17" t="n"/>
      <c r="T458" s="18" t="n"/>
      <c r="U458" s="17" t="n"/>
      <c r="V458" s="17" t="n"/>
      <c r="W458" s="18" t="n"/>
      <c r="X458" s="18" t="n"/>
      <c r="Y458" s="17" t="n"/>
      <c r="Z458" s="10" t="n"/>
      <c r="AA458" s="10" t="n"/>
      <c r="AB458" s="19">
        <f>IF(LEN(A458)&gt;0,1,0)</f>
        <v/>
      </c>
      <c r="AC458" s="19">
        <f>IF(LEN(A458)=0,0,(LEN(B458)=0)+(LEN(C458)=0)+(LEN(D458)=0)+(LEN(E458)=0)+(LEN(F458)=0)+(LEN(G458)=0)+(LEN(H458)=0)+(LEN(I458)=0)+(LEN(J458)=0)+(LEN(K458)=0)+(LEN(L458)=0)+(LEN(N458)=0)+(LEN(O458)=0)+(LEN(P458)=0)+(LEN(R458)=0)+(LEN(AA458)=0))</f>
        <v/>
      </c>
      <c r="AD458" s="19">
        <f>IF(OR(LEN(A458)=0,LEN(C458)=0),0,IF(OR(C458&lt;1,C458&gt;5),1,0))</f>
        <v/>
      </c>
      <c r="AE458" s="19">
        <f>IF(OR(LEN(A458)=0,LEN(R458)=0),0,IF(OR(R458="Active",R458="Paid off",R458="Defaulted",R458="Repossessed",R458="Written off",R458="Restructured"),0,1))</f>
        <v/>
      </c>
      <c r="AF458" s="19">
        <f>IF(A458="",0,IF(N(J458)&gt;N(I458),1,0))</f>
        <v/>
      </c>
      <c r="AG458" s="19">
        <f>IF(A458="",0,IF(N(N458)&gt;N(M458)+1,1,0))</f>
        <v/>
      </c>
      <c r="AH458" s="19">
        <f>IF(A458="",0,IF(N(E458)&gt;N(B458),1,0))</f>
        <v/>
      </c>
      <c r="AI458" s="19">
        <f>IF(A458="",0,IF(AND(Z458="Full payment",N(N458)&lt;N(M458)-1),1,0))</f>
        <v/>
      </c>
      <c r="AJ458" s="19">
        <f>IF(A458="",0,IF(N(P458)&lt;0,1,0))</f>
        <v/>
      </c>
      <c r="AK458" s="19">
        <f>IF(A458="",0,IF(COUNTIF($A$7:$A$1006,A458)&gt;1,1,0))</f>
        <v/>
      </c>
    </row>
    <row r="459">
      <c r="A459" s="10" t="n"/>
      <c r="B459" s="17" t="n"/>
      <c r="C459" s="18" t="n"/>
      <c r="D459" s="10" t="n"/>
      <c r="E459" s="17" t="n"/>
      <c r="F459" s="10" t="n"/>
      <c r="G459" s="10" t="n"/>
      <c r="H459" s="10" t="n"/>
      <c r="I459" s="18" t="n"/>
      <c r="J459" s="18" t="n"/>
      <c r="K459" s="18" t="n"/>
      <c r="L459" s="18" t="n"/>
      <c r="M459" s="19">
        <f>IF(K459="","",K459*365/12*L459)</f>
        <v/>
      </c>
      <c r="N459" s="18" t="n"/>
      <c r="O459" s="18" t="n"/>
      <c r="P459" s="18" t="n"/>
      <c r="Q459" s="18" t="n"/>
      <c r="R459" s="10" t="n"/>
      <c r="S459" s="17" t="n"/>
      <c r="T459" s="18" t="n"/>
      <c r="U459" s="17" t="n"/>
      <c r="V459" s="17" t="n"/>
      <c r="W459" s="18" t="n"/>
      <c r="X459" s="18" t="n"/>
      <c r="Y459" s="17" t="n"/>
      <c r="Z459" s="10" t="n"/>
      <c r="AA459" s="10" t="n"/>
      <c r="AB459" s="19">
        <f>IF(LEN(A459)&gt;0,1,0)</f>
        <v/>
      </c>
      <c r="AC459" s="19">
        <f>IF(LEN(A459)=0,0,(LEN(B459)=0)+(LEN(C459)=0)+(LEN(D459)=0)+(LEN(E459)=0)+(LEN(F459)=0)+(LEN(G459)=0)+(LEN(H459)=0)+(LEN(I459)=0)+(LEN(J459)=0)+(LEN(K459)=0)+(LEN(L459)=0)+(LEN(N459)=0)+(LEN(O459)=0)+(LEN(P459)=0)+(LEN(R459)=0)+(LEN(AA459)=0))</f>
        <v/>
      </c>
      <c r="AD459" s="19">
        <f>IF(OR(LEN(A459)=0,LEN(C459)=0),0,IF(OR(C459&lt;1,C459&gt;5),1,0))</f>
        <v/>
      </c>
      <c r="AE459" s="19">
        <f>IF(OR(LEN(A459)=0,LEN(R459)=0),0,IF(OR(R459="Active",R459="Paid off",R459="Defaulted",R459="Repossessed",R459="Written off",R459="Restructured"),0,1))</f>
        <v/>
      </c>
      <c r="AF459" s="19">
        <f>IF(A459="",0,IF(N(J459)&gt;N(I459),1,0))</f>
        <v/>
      </c>
      <c r="AG459" s="19">
        <f>IF(A459="",0,IF(N(N459)&gt;N(M459)+1,1,0))</f>
        <v/>
      </c>
      <c r="AH459" s="19">
        <f>IF(A459="",0,IF(N(E459)&gt;N(B459),1,0))</f>
        <v/>
      </c>
      <c r="AI459" s="19">
        <f>IF(A459="",0,IF(AND(Z459="Full payment",N(N459)&lt;N(M459)-1),1,0))</f>
        <v/>
      </c>
      <c r="AJ459" s="19">
        <f>IF(A459="",0,IF(N(P459)&lt;0,1,0))</f>
        <v/>
      </c>
      <c r="AK459" s="19">
        <f>IF(A459="",0,IF(COUNTIF($A$7:$A$1006,A459)&gt;1,1,0))</f>
        <v/>
      </c>
    </row>
    <row r="460">
      <c r="A460" s="10" t="n"/>
      <c r="B460" s="17" t="n"/>
      <c r="C460" s="18" t="n"/>
      <c r="D460" s="10" t="n"/>
      <c r="E460" s="17" t="n"/>
      <c r="F460" s="10" t="n"/>
      <c r="G460" s="10" t="n"/>
      <c r="H460" s="10" t="n"/>
      <c r="I460" s="18" t="n"/>
      <c r="J460" s="18" t="n"/>
      <c r="K460" s="18" t="n"/>
      <c r="L460" s="18" t="n"/>
      <c r="M460" s="19">
        <f>IF(K460="","",K460*365/12*L460)</f>
        <v/>
      </c>
      <c r="N460" s="18" t="n"/>
      <c r="O460" s="18" t="n"/>
      <c r="P460" s="18" t="n"/>
      <c r="Q460" s="18" t="n"/>
      <c r="R460" s="10" t="n"/>
      <c r="S460" s="17" t="n"/>
      <c r="T460" s="18" t="n"/>
      <c r="U460" s="17" t="n"/>
      <c r="V460" s="17" t="n"/>
      <c r="W460" s="18" t="n"/>
      <c r="X460" s="18" t="n"/>
      <c r="Y460" s="17" t="n"/>
      <c r="Z460" s="10" t="n"/>
      <c r="AA460" s="10" t="n"/>
      <c r="AB460" s="19">
        <f>IF(LEN(A460)&gt;0,1,0)</f>
        <v/>
      </c>
      <c r="AC460" s="19">
        <f>IF(LEN(A460)=0,0,(LEN(B460)=0)+(LEN(C460)=0)+(LEN(D460)=0)+(LEN(E460)=0)+(LEN(F460)=0)+(LEN(G460)=0)+(LEN(H460)=0)+(LEN(I460)=0)+(LEN(J460)=0)+(LEN(K460)=0)+(LEN(L460)=0)+(LEN(N460)=0)+(LEN(O460)=0)+(LEN(P460)=0)+(LEN(R460)=0)+(LEN(AA460)=0))</f>
        <v/>
      </c>
      <c r="AD460" s="19">
        <f>IF(OR(LEN(A460)=0,LEN(C460)=0),0,IF(OR(C460&lt;1,C460&gt;5),1,0))</f>
        <v/>
      </c>
      <c r="AE460" s="19">
        <f>IF(OR(LEN(A460)=0,LEN(R460)=0),0,IF(OR(R460="Active",R460="Paid off",R460="Defaulted",R460="Repossessed",R460="Written off",R460="Restructured"),0,1))</f>
        <v/>
      </c>
      <c r="AF460" s="19">
        <f>IF(A460="",0,IF(N(J460)&gt;N(I460),1,0))</f>
        <v/>
      </c>
      <c r="AG460" s="19">
        <f>IF(A460="",0,IF(N(N460)&gt;N(M460)+1,1,0))</f>
        <v/>
      </c>
      <c r="AH460" s="19">
        <f>IF(A460="",0,IF(N(E460)&gt;N(B460),1,0))</f>
        <v/>
      </c>
      <c r="AI460" s="19">
        <f>IF(A460="",0,IF(AND(Z460="Full payment",N(N460)&lt;N(M460)-1),1,0))</f>
        <v/>
      </c>
      <c r="AJ460" s="19">
        <f>IF(A460="",0,IF(N(P460)&lt;0,1,0))</f>
        <v/>
      </c>
      <c r="AK460" s="19">
        <f>IF(A460="",0,IF(COUNTIF($A$7:$A$1006,A460)&gt;1,1,0))</f>
        <v/>
      </c>
    </row>
    <row r="461">
      <c r="A461" s="10" t="n"/>
      <c r="B461" s="17" t="n"/>
      <c r="C461" s="18" t="n"/>
      <c r="D461" s="10" t="n"/>
      <c r="E461" s="17" t="n"/>
      <c r="F461" s="10" t="n"/>
      <c r="G461" s="10" t="n"/>
      <c r="H461" s="10" t="n"/>
      <c r="I461" s="18" t="n"/>
      <c r="J461" s="18" t="n"/>
      <c r="K461" s="18" t="n"/>
      <c r="L461" s="18" t="n"/>
      <c r="M461" s="19">
        <f>IF(K461="","",K461*365/12*L461)</f>
        <v/>
      </c>
      <c r="N461" s="18" t="n"/>
      <c r="O461" s="18" t="n"/>
      <c r="P461" s="18" t="n"/>
      <c r="Q461" s="18" t="n"/>
      <c r="R461" s="10" t="n"/>
      <c r="S461" s="17" t="n"/>
      <c r="T461" s="18" t="n"/>
      <c r="U461" s="17" t="n"/>
      <c r="V461" s="17" t="n"/>
      <c r="W461" s="18" t="n"/>
      <c r="X461" s="18" t="n"/>
      <c r="Y461" s="17" t="n"/>
      <c r="Z461" s="10" t="n"/>
      <c r="AA461" s="10" t="n"/>
      <c r="AB461" s="19">
        <f>IF(LEN(A461)&gt;0,1,0)</f>
        <v/>
      </c>
      <c r="AC461" s="19">
        <f>IF(LEN(A461)=0,0,(LEN(B461)=0)+(LEN(C461)=0)+(LEN(D461)=0)+(LEN(E461)=0)+(LEN(F461)=0)+(LEN(G461)=0)+(LEN(H461)=0)+(LEN(I461)=0)+(LEN(J461)=0)+(LEN(K461)=0)+(LEN(L461)=0)+(LEN(N461)=0)+(LEN(O461)=0)+(LEN(P461)=0)+(LEN(R461)=0)+(LEN(AA461)=0))</f>
        <v/>
      </c>
      <c r="AD461" s="19">
        <f>IF(OR(LEN(A461)=0,LEN(C461)=0),0,IF(OR(C461&lt;1,C461&gt;5),1,0))</f>
        <v/>
      </c>
      <c r="AE461" s="19">
        <f>IF(OR(LEN(A461)=0,LEN(R461)=0),0,IF(OR(R461="Active",R461="Paid off",R461="Defaulted",R461="Repossessed",R461="Written off",R461="Restructured"),0,1))</f>
        <v/>
      </c>
      <c r="AF461" s="19">
        <f>IF(A461="",0,IF(N(J461)&gt;N(I461),1,0))</f>
        <v/>
      </c>
      <c r="AG461" s="19">
        <f>IF(A461="",0,IF(N(N461)&gt;N(M461)+1,1,0))</f>
        <v/>
      </c>
      <c r="AH461" s="19">
        <f>IF(A461="",0,IF(N(E461)&gt;N(B461),1,0))</f>
        <v/>
      </c>
      <c r="AI461" s="19">
        <f>IF(A461="",0,IF(AND(Z461="Full payment",N(N461)&lt;N(M461)-1),1,0))</f>
        <v/>
      </c>
      <c r="AJ461" s="19">
        <f>IF(A461="",0,IF(N(P461)&lt;0,1,0))</f>
        <v/>
      </c>
      <c r="AK461" s="19">
        <f>IF(A461="",0,IF(COUNTIF($A$7:$A$1006,A461)&gt;1,1,0))</f>
        <v/>
      </c>
    </row>
    <row r="462">
      <c r="A462" s="10" t="n"/>
      <c r="B462" s="17" t="n"/>
      <c r="C462" s="18" t="n"/>
      <c r="D462" s="10" t="n"/>
      <c r="E462" s="17" t="n"/>
      <c r="F462" s="10" t="n"/>
      <c r="G462" s="10" t="n"/>
      <c r="H462" s="10" t="n"/>
      <c r="I462" s="18" t="n"/>
      <c r="J462" s="18" t="n"/>
      <c r="K462" s="18" t="n"/>
      <c r="L462" s="18" t="n"/>
      <c r="M462" s="19">
        <f>IF(K462="","",K462*365/12*L462)</f>
        <v/>
      </c>
      <c r="N462" s="18" t="n"/>
      <c r="O462" s="18" t="n"/>
      <c r="P462" s="18" t="n"/>
      <c r="Q462" s="18" t="n"/>
      <c r="R462" s="10" t="n"/>
      <c r="S462" s="17" t="n"/>
      <c r="T462" s="18" t="n"/>
      <c r="U462" s="17" t="n"/>
      <c r="V462" s="17" t="n"/>
      <c r="W462" s="18" t="n"/>
      <c r="X462" s="18" t="n"/>
      <c r="Y462" s="17" t="n"/>
      <c r="Z462" s="10" t="n"/>
      <c r="AA462" s="10" t="n"/>
      <c r="AB462" s="19">
        <f>IF(LEN(A462)&gt;0,1,0)</f>
        <v/>
      </c>
      <c r="AC462" s="19">
        <f>IF(LEN(A462)=0,0,(LEN(B462)=0)+(LEN(C462)=0)+(LEN(D462)=0)+(LEN(E462)=0)+(LEN(F462)=0)+(LEN(G462)=0)+(LEN(H462)=0)+(LEN(I462)=0)+(LEN(J462)=0)+(LEN(K462)=0)+(LEN(L462)=0)+(LEN(N462)=0)+(LEN(O462)=0)+(LEN(P462)=0)+(LEN(R462)=0)+(LEN(AA462)=0))</f>
        <v/>
      </c>
      <c r="AD462" s="19">
        <f>IF(OR(LEN(A462)=0,LEN(C462)=0),0,IF(OR(C462&lt;1,C462&gt;5),1,0))</f>
        <v/>
      </c>
      <c r="AE462" s="19">
        <f>IF(OR(LEN(A462)=0,LEN(R462)=0),0,IF(OR(R462="Active",R462="Paid off",R462="Defaulted",R462="Repossessed",R462="Written off",R462="Restructured"),0,1))</f>
        <v/>
      </c>
      <c r="AF462" s="19">
        <f>IF(A462="",0,IF(N(J462)&gt;N(I462),1,0))</f>
        <v/>
      </c>
      <c r="AG462" s="19">
        <f>IF(A462="",0,IF(N(N462)&gt;N(M462)+1,1,0))</f>
        <v/>
      </c>
      <c r="AH462" s="19">
        <f>IF(A462="",0,IF(N(E462)&gt;N(B462),1,0))</f>
        <v/>
      </c>
      <c r="AI462" s="19">
        <f>IF(A462="",0,IF(AND(Z462="Full payment",N(N462)&lt;N(M462)-1),1,0))</f>
        <v/>
      </c>
      <c r="AJ462" s="19">
        <f>IF(A462="",0,IF(N(P462)&lt;0,1,0))</f>
        <v/>
      </c>
      <c r="AK462" s="19">
        <f>IF(A462="",0,IF(COUNTIF($A$7:$A$1006,A462)&gt;1,1,0))</f>
        <v/>
      </c>
    </row>
    <row r="463">
      <c r="A463" s="10" t="n"/>
      <c r="B463" s="17" t="n"/>
      <c r="C463" s="18" t="n"/>
      <c r="D463" s="10" t="n"/>
      <c r="E463" s="17" t="n"/>
      <c r="F463" s="10" t="n"/>
      <c r="G463" s="10" t="n"/>
      <c r="H463" s="10" t="n"/>
      <c r="I463" s="18" t="n"/>
      <c r="J463" s="18" t="n"/>
      <c r="K463" s="18" t="n"/>
      <c r="L463" s="18" t="n"/>
      <c r="M463" s="19">
        <f>IF(K463="","",K463*365/12*L463)</f>
        <v/>
      </c>
      <c r="N463" s="18" t="n"/>
      <c r="O463" s="18" t="n"/>
      <c r="P463" s="18" t="n"/>
      <c r="Q463" s="18" t="n"/>
      <c r="R463" s="10" t="n"/>
      <c r="S463" s="17" t="n"/>
      <c r="T463" s="18" t="n"/>
      <c r="U463" s="17" t="n"/>
      <c r="V463" s="17" t="n"/>
      <c r="W463" s="18" t="n"/>
      <c r="X463" s="18" t="n"/>
      <c r="Y463" s="17" t="n"/>
      <c r="Z463" s="10" t="n"/>
      <c r="AA463" s="10" t="n"/>
      <c r="AB463" s="19">
        <f>IF(LEN(A463)&gt;0,1,0)</f>
        <v/>
      </c>
      <c r="AC463" s="19">
        <f>IF(LEN(A463)=0,0,(LEN(B463)=0)+(LEN(C463)=0)+(LEN(D463)=0)+(LEN(E463)=0)+(LEN(F463)=0)+(LEN(G463)=0)+(LEN(H463)=0)+(LEN(I463)=0)+(LEN(J463)=0)+(LEN(K463)=0)+(LEN(L463)=0)+(LEN(N463)=0)+(LEN(O463)=0)+(LEN(P463)=0)+(LEN(R463)=0)+(LEN(AA463)=0))</f>
        <v/>
      </c>
      <c r="AD463" s="19">
        <f>IF(OR(LEN(A463)=0,LEN(C463)=0),0,IF(OR(C463&lt;1,C463&gt;5),1,0))</f>
        <v/>
      </c>
      <c r="AE463" s="19">
        <f>IF(OR(LEN(A463)=0,LEN(R463)=0),0,IF(OR(R463="Active",R463="Paid off",R463="Defaulted",R463="Repossessed",R463="Written off",R463="Restructured"),0,1))</f>
        <v/>
      </c>
      <c r="AF463" s="19">
        <f>IF(A463="",0,IF(N(J463)&gt;N(I463),1,0))</f>
        <v/>
      </c>
      <c r="AG463" s="19">
        <f>IF(A463="",0,IF(N(N463)&gt;N(M463)+1,1,0))</f>
        <v/>
      </c>
      <c r="AH463" s="19">
        <f>IF(A463="",0,IF(N(E463)&gt;N(B463),1,0))</f>
        <v/>
      </c>
      <c r="AI463" s="19">
        <f>IF(A463="",0,IF(AND(Z463="Full payment",N(N463)&lt;N(M463)-1),1,0))</f>
        <v/>
      </c>
      <c r="AJ463" s="19">
        <f>IF(A463="",0,IF(N(P463)&lt;0,1,0))</f>
        <v/>
      </c>
      <c r="AK463" s="19">
        <f>IF(A463="",0,IF(COUNTIF($A$7:$A$1006,A463)&gt;1,1,0))</f>
        <v/>
      </c>
    </row>
    <row r="464">
      <c r="A464" s="10" t="n"/>
      <c r="B464" s="17" t="n"/>
      <c r="C464" s="18" t="n"/>
      <c r="D464" s="10" t="n"/>
      <c r="E464" s="17" t="n"/>
      <c r="F464" s="10" t="n"/>
      <c r="G464" s="10" t="n"/>
      <c r="H464" s="10" t="n"/>
      <c r="I464" s="18" t="n"/>
      <c r="J464" s="18" t="n"/>
      <c r="K464" s="18" t="n"/>
      <c r="L464" s="18" t="n"/>
      <c r="M464" s="19">
        <f>IF(K464="","",K464*365/12*L464)</f>
        <v/>
      </c>
      <c r="N464" s="18" t="n"/>
      <c r="O464" s="18" t="n"/>
      <c r="P464" s="18" t="n"/>
      <c r="Q464" s="18" t="n"/>
      <c r="R464" s="10" t="n"/>
      <c r="S464" s="17" t="n"/>
      <c r="T464" s="18" t="n"/>
      <c r="U464" s="17" t="n"/>
      <c r="V464" s="17" t="n"/>
      <c r="W464" s="18" t="n"/>
      <c r="X464" s="18" t="n"/>
      <c r="Y464" s="17" t="n"/>
      <c r="Z464" s="10" t="n"/>
      <c r="AA464" s="10" t="n"/>
      <c r="AB464" s="19">
        <f>IF(LEN(A464)&gt;0,1,0)</f>
        <v/>
      </c>
      <c r="AC464" s="19">
        <f>IF(LEN(A464)=0,0,(LEN(B464)=0)+(LEN(C464)=0)+(LEN(D464)=0)+(LEN(E464)=0)+(LEN(F464)=0)+(LEN(G464)=0)+(LEN(H464)=0)+(LEN(I464)=0)+(LEN(J464)=0)+(LEN(K464)=0)+(LEN(L464)=0)+(LEN(N464)=0)+(LEN(O464)=0)+(LEN(P464)=0)+(LEN(R464)=0)+(LEN(AA464)=0))</f>
        <v/>
      </c>
      <c r="AD464" s="19">
        <f>IF(OR(LEN(A464)=0,LEN(C464)=0),0,IF(OR(C464&lt;1,C464&gt;5),1,0))</f>
        <v/>
      </c>
      <c r="AE464" s="19">
        <f>IF(OR(LEN(A464)=0,LEN(R464)=0),0,IF(OR(R464="Active",R464="Paid off",R464="Defaulted",R464="Repossessed",R464="Written off",R464="Restructured"),0,1))</f>
        <v/>
      </c>
      <c r="AF464" s="19">
        <f>IF(A464="",0,IF(N(J464)&gt;N(I464),1,0))</f>
        <v/>
      </c>
      <c r="AG464" s="19">
        <f>IF(A464="",0,IF(N(N464)&gt;N(M464)+1,1,0))</f>
        <v/>
      </c>
      <c r="AH464" s="19">
        <f>IF(A464="",0,IF(N(E464)&gt;N(B464),1,0))</f>
        <v/>
      </c>
      <c r="AI464" s="19">
        <f>IF(A464="",0,IF(AND(Z464="Full payment",N(N464)&lt;N(M464)-1),1,0))</f>
        <v/>
      </c>
      <c r="AJ464" s="19">
        <f>IF(A464="",0,IF(N(P464)&lt;0,1,0))</f>
        <v/>
      </c>
      <c r="AK464" s="19">
        <f>IF(A464="",0,IF(COUNTIF($A$7:$A$1006,A464)&gt;1,1,0))</f>
        <v/>
      </c>
    </row>
    <row r="465">
      <c r="A465" s="10" t="n"/>
      <c r="B465" s="17" t="n"/>
      <c r="C465" s="18" t="n"/>
      <c r="D465" s="10" t="n"/>
      <c r="E465" s="17" t="n"/>
      <c r="F465" s="10" t="n"/>
      <c r="G465" s="10" t="n"/>
      <c r="H465" s="10" t="n"/>
      <c r="I465" s="18" t="n"/>
      <c r="J465" s="18" t="n"/>
      <c r="K465" s="18" t="n"/>
      <c r="L465" s="18" t="n"/>
      <c r="M465" s="19">
        <f>IF(K465="","",K465*365/12*L465)</f>
        <v/>
      </c>
      <c r="N465" s="18" t="n"/>
      <c r="O465" s="18" t="n"/>
      <c r="P465" s="18" t="n"/>
      <c r="Q465" s="18" t="n"/>
      <c r="R465" s="10" t="n"/>
      <c r="S465" s="17" t="n"/>
      <c r="T465" s="18" t="n"/>
      <c r="U465" s="17" t="n"/>
      <c r="V465" s="17" t="n"/>
      <c r="W465" s="18" t="n"/>
      <c r="X465" s="18" t="n"/>
      <c r="Y465" s="17" t="n"/>
      <c r="Z465" s="10" t="n"/>
      <c r="AA465" s="10" t="n"/>
      <c r="AB465" s="19">
        <f>IF(LEN(A465)&gt;0,1,0)</f>
        <v/>
      </c>
      <c r="AC465" s="19">
        <f>IF(LEN(A465)=0,0,(LEN(B465)=0)+(LEN(C465)=0)+(LEN(D465)=0)+(LEN(E465)=0)+(LEN(F465)=0)+(LEN(G465)=0)+(LEN(H465)=0)+(LEN(I465)=0)+(LEN(J465)=0)+(LEN(K465)=0)+(LEN(L465)=0)+(LEN(N465)=0)+(LEN(O465)=0)+(LEN(P465)=0)+(LEN(R465)=0)+(LEN(AA465)=0))</f>
        <v/>
      </c>
      <c r="AD465" s="19">
        <f>IF(OR(LEN(A465)=0,LEN(C465)=0),0,IF(OR(C465&lt;1,C465&gt;5),1,0))</f>
        <v/>
      </c>
      <c r="AE465" s="19">
        <f>IF(OR(LEN(A465)=0,LEN(R465)=0),0,IF(OR(R465="Active",R465="Paid off",R465="Defaulted",R465="Repossessed",R465="Written off",R465="Restructured"),0,1))</f>
        <v/>
      </c>
      <c r="AF465" s="19">
        <f>IF(A465="",0,IF(N(J465)&gt;N(I465),1,0))</f>
        <v/>
      </c>
      <c r="AG465" s="19">
        <f>IF(A465="",0,IF(N(N465)&gt;N(M465)+1,1,0))</f>
        <v/>
      </c>
      <c r="AH465" s="19">
        <f>IF(A465="",0,IF(N(E465)&gt;N(B465),1,0))</f>
        <v/>
      </c>
      <c r="AI465" s="19">
        <f>IF(A465="",0,IF(AND(Z465="Full payment",N(N465)&lt;N(M465)-1),1,0))</f>
        <v/>
      </c>
      <c r="AJ465" s="19">
        <f>IF(A465="",0,IF(N(P465)&lt;0,1,0))</f>
        <v/>
      </c>
      <c r="AK465" s="19">
        <f>IF(A465="",0,IF(COUNTIF($A$7:$A$1006,A465)&gt;1,1,0))</f>
        <v/>
      </c>
    </row>
    <row r="466">
      <c r="A466" s="10" t="n"/>
      <c r="B466" s="17" t="n"/>
      <c r="C466" s="18" t="n"/>
      <c r="D466" s="10" t="n"/>
      <c r="E466" s="17" t="n"/>
      <c r="F466" s="10" t="n"/>
      <c r="G466" s="10" t="n"/>
      <c r="H466" s="10" t="n"/>
      <c r="I466" s="18" t="n"/>
      <c r="J466" s="18" t="n"/>
      <c r="K466" s="18" t="n"/>
      <c r="L466" s="18" t="n"/>
      <c r="M466" s="19">
        <f>IF(K466="","",K466*365/12*L466)</f>
        <v/>
      </c>
      <c r="N466" s="18" t="n"/>
      <c r="O466" s="18" t="n"/>
      <c r="P466" s="18" t="n"/>
      <c r="Q466" s="18" t="n"/>
      <c r="R466" s="10" t="n"/>
      <c r="S466" s="17" t="n"/>
      <c r="T466" s="18" t="n"/>
      <c r="U466" s="17" t="n"/>
      <c r="V466" s="17" t="n"/>
      <c r="W466" s="18" t="n"/>
      <c r="X466" s="18" t="n"/>
      <c r="Y466" s="17" t="n"/>
      <c r="Z466" s="10" t="n"/>
      <c r="AA466" s="10" t="n"/>
      <c r="AB466" s="19">
        <f>IF(LEN(A466)&gt;0,1,0)</f>
        <v/>
      </c>
      <c r="AC466" s="19">
        <f>IF(LEN(A466)=0,0,(LEN(B466)=0)+(LEN(C466)=0)+(LEN(D466)=0)+(LEN(E466)=0)+(LEN(F466)=0)+(LEN(G466)=0)+(LEN(H466)=0)+(LEN(I466)=0)+(LEN(J466)=0)+(LEN(K466)=0)+(LEN(L466)=0)+(LEN(N466)=0)+(LEN(O466)=0)+(LEN(P466)=0)+(LEN(R466)=0)+(LEN(AA466)=0))</f>
        <v/>
      </c>
      <c r="AD466" s="19">
        <f>IF(OR(LEN(A466)=0,LEN(C466)=0),0,IF(OR(C466&lt;1,C466&gt;5),1,0))</f>
        <v/>
      </c>
      <c r="AE466" s="19">
        <f>IF(OR(LEN(A466)=0,LEN(R466)=0),0,IF(OR(R466="Active",R466="Paid off",R466="Defaulted",R466="Repossessed",R466="Written off",R466="Restructured"),0,1))</f>
        <v/>
      </c>
      <c r="AF466" s="19">
        <f>IF(A466="",0,IF(N(J466)&gt;N(I466),1,0))</f>
        <v/>
      </c>
      <c r="AG466" s="19">
        <f>IF(A466="",0,IF(N(N466)&gt;N(M466)+1,1,0))</f>
        <v/>
      </c>
      <c r="AH466" s="19">
        <f>IF(A466="",0,IF(N(E466)&gt;N(B466),1,0))</f>
        <v/>
      </c>
      <c r="AI466" s="19">
        <f>IF(A466="",0,IF(AND(Z466="Full payment",N(N466)&lt;N(M466)-1),1,0))</f>
        <v/>
      </c>
      <c r="AJ466" s="19">
        <f>IF(A466="",0,IF(N(P466)&lt;0,1,0))</f>
        <v/>
      </c>
      <c r="AK466" s="19">
        <f>IF(A466="",0,IF(COUNTIF($A$7:$A$1006,A466)&gt;1,1,0))</f>
        <v/>
      </c>
    </row>
    <row r="467">
      <c r="A467" s="10" t="n"/>
      <c r="B467" s="17" t="n"/>
      <c r="C467" s="18" t="n"/>
      <c r="D467" s="10" t="n"/>
      <c r="E467" s="17" t="n"/>
      <c r="F467" s="10" t="n"/>
      <c r="G467" s="10" t="n"/>
      <c r="H467" s="10" t="n"/>
      <c r="I467" s="18" t="n"/>
      <c r="J467" s="18" t="n"/>
      <c r="K467" s="18" t="n"/>
      <c r="L467" s="18" t="n"/>
      <c r="M467" s="19">
        <f>IF(K467="","",K467*365/12*L467)</f>
        <v/>
      </c>
      <c r="N467" s="18" t="n"/>
      <c r="O467" s="18" t="n"/>
      <c r="P467" s="18" t="n"/>
      <c r="Q467" s="18" t="n"/>
      <c r="R467" s="10" t="n"/>
      <c r="S467" s="17" t="n"/>
      <c r="T467" s="18" t="n"/>
      <c r="U467" s="17" t="n"/>
      <c r="V467" s="17" t="n"/>
      <c r="W467" s="18" t="n"/>
      <c r="X467" s="18" t="n"/>
      <c r="Y467" s="17" t="n"/>
      <c r="Z467" s="10" t="n"/>
      <c r="AA467" s="10" t="n"/>
      <c r="AB467" s="19">
        <f>IF(LEN(A467)&gt;0,1,0)</f>
        <v/>
      </c>
      <c r="AC467" s="19">
        <f>IF(LEN(A467)=0,0,(LEN(B467)=0)+(LEN(C467)=0)+(LEN(D467)=0)+(LEN(E467)=0)+(LEN(F467)=0)+(LEN(G467)=0)+(LEN(H467)=0)+(LEN(I467)=0)+(LEN(J467)=0)+(LEN(K467)=0)+(LEN(L467)=0)+(LEN(N467)=0)+(LEN(O467)=0)+(LEN(P467)=0)+(LEN(R467)=0)+(LEN(AA467)=0))</f>
        <v/>
      </c>
      <c r="AD467" s="19">
        <f>IF(OR(LEN(A467)=0,LEN(C467)=0),0,IF(OR(C467&lt;1,C467&gt;5),1,0))</f>
        <v/>
      </c>
      <c r="AE467" s="19">
        <f>IF(OR(LEN(A467)=0,LEN(R467)=0),0,IF(OR(R467="Active",R467="Paid off",R467="Defaulted",R467="Repossessed",R467="Written off",R467="Restructured"),0,1))</f>
        <v/>
      </c>
      <c r="AF467" s="19">
        <f>IF(A467="",0,IF(N(J467)&gt;N(I467),1,0))</f>
        <v/>
      </c>
      <c r="AG467" s="19">
        <f>IF(A467="",0,IF(N(N467)&gt;N(M467)+1,1,0))</f>
        <v/>
      </c>
      <c r="AH467" s="19">
        <f>IF(A467="",0,IF(N(E467)&gt;N(B467),1,0))</f>
        <v/>
      </c>
      <c r="AI467" s="19">
        <f>IF(A467="",0,IF(AND(Z467="Full payment",N(N467)&lt;N(M467)-1),1,0))</f>
        <v/>
      </c>
      <c r="AJ467" s="19">
        <f>IF(A467="",0,IF(N(P467)&lt;0,1,0))</f>
        <v/>
      </c>
      <c r="AK467" s="19">
        <f>IF(A467="",0,IF(COUNTIF($A$7:$A$1006,A467)&gt;1,1,0))</f>
        <v/>
      </c>
    </row>
    <row r="468">
      <c r="A468" s="10" t="n"/>
      <c r="B468" s="17" t="n"/>
      <c r="C468" s="18" t="n"/>
      <c r="D468" s="10" t="n"/>
      <c r="E468" s="17" t="n"/>
      <c r="F468" s="10" t="n"/>
      <c r="G468" s="10" t="n"/>
      <c r="H468" s="10" t="n"/>
      <c r="I468" s="18" t="n"/>
      <c r="J468" s="18" t="n"/>
      <c r="K468" s="18" t="n"/>
      <c r="L468" s="18" t="n"/>
      <c r="M468" s="19">
        <f>IF(K468="","",K468*365/12*L468)</f>
        <v/>
      </c>
      <c r="N468" s="18" t="n"/>
      <c r="O468" s="18" t="n"/>
      <c r="P468" s="18" t="n"/>
      <c r="Q468" s="18" t="n"/>
      <c r="R468" s="10" t="n"/>
      <c r="S468" s="17" t="n"/>
      <c r="T468" s="18" t="n"/>
      <c r="U468" s="17" t="n"/>
      <c r="V468" s="17" t="n"/>
      <c r="W468" s="18" t="n"/>
      <c r="X468" s="18" t="n"/>
      <c r="Y468" s="17" t="n"/>
      <c r="Z468" s="10" t="n"/>
      <c r="AA468" s="10" t="n"/>
      <c r="AB468" s="19">
        <f>IF(LEN(A468)&gt;0,1,0)</f>
        <v/>
      </c>
      <c r="AC468" s="19">
        <f>IF(LEN(A468)=0,0,(LEN(B468)=0)+(LEN(C468)=0)+(LEN(D468)=0)+(LEN(E468)=0)+(LEN(F468)=0)+(LEN(G468)=0)+(LEN(H468)=0)+(LEN(I468)=0)+(LEN(J468)=0)+(LEN(K468)=0)+(LEN(L468)=0)+(LEN(N468)=0)+(LEN(O468)=0)+(LEN(P468)=0)+(LEN(R468)=0)+(LEN(AA468)=0))</f>
        <v/>
      </c>
      <c r="AD468" s="19">
        <f>IF(OR(LEN(A468)=0,LEN(C468)=0),0,IF(OR(C468&lt;1,C468&gt;5),1,0))</f>
        <v/>
      </c>
      <c r="AE468" s="19">
        <f>IF(OR(LEN(A468)=0,LEN(R468)=0),0,IF(OR(R468="Active",R468="Paid off",R468="Defaulted",R468="Repossessed",R468="Written off",R468="Restructured"),0,1))</f>
        <v/>
      </c>
      <c r="AF468" s="19">
        <f>IF(A468="",0,IF(N(J468)&gt;N(I468),1,0))</f>
        <v/>
      </c>
      <c r="AG468" s="19">
        <f>IF(A468="",0,IF(N(N468)&gt;N(M468)+1,1,0))</f>
        <v/>
      </c>
      <c r="AH468" s="19">
        <f>IF(A468="",0,IF(N(E468)&gt;N(B468),1,0))</f>
        <v/>
      </c>
      <c r="AI468" s="19">
        <f>IF(A468="",0,IF(AND(Z468="Full payment",N(N468)&lt;N(M468)-1),1,0))</f>
        <v/>
      </c>
      <c r="AJ468" s="19">
        <f>IF(A468="",0,IF(N(P468)&lt;0,1,0))</f>
        <v/>
      </c>
      <c r="AK468" s="19">
        <f>IF(A468="",0,IF(COUNTIF($A$7:$A$1006,A468)&gt;1,1,0))</f>
        <v/>
      </c>
    </row>
    <row r="469">
      <c r="A469" s="10" t="n"/>
      <c r="B469" s="17" t="n"/>
      <c r="C469" s="18" t="n"/>
      <c r="D469" s="10" t="n"/>
      <c r="E469" s="17" t="n"/>
      <c r="F469" s="10" t="n"/>
      <c r="G469" s="10" t="n"/>
      <c r="H469" s="10" t="n"/>
      <c r="I469" s="18" t="n"/>
      <c r="J469" s="18" t="n"/>
      <c r="K469" s="18" t="n"/>
      <c r="L469" s="18" t="n"/>
      <c r="M469" s="19">
        <f>IF(K469="","",K469*365/12*L469)</f>
        <v/>
      </c>
      <c r="N469" s="18" t="n"/>
      <c r="O469" s="18" t="n"/>
      <c r="P469" s="18" t="n"/>
      <c r="Q469" s="18" t="n"/>
      <c r="R469" s="10" t="n"/>
      <c r="S469" s="17" t="n"/>
      <c r="T469" s="18" t="n"/>
      <c r="U469" s="17" t="n"/>
      <c r="V469" s="17" t="n"/>
      <c r="W469" s="18" t="n"/>
      <c r="X469" s="18" t="n"/>
      <c r="Y469" s="17" t="n"/>
      <c r="Z469" s="10" t="n"/>
      <c r="AA469" s="10" t="n"/>
      <c r="AB469" s="19">
        <f>IF(LEN(A469)&gt;0,1,0)</f>
        <v/>
      </c>
      <c r="AC469" s="19">
        <f>IF(LEN(A469)=0,0,(LEN(B469)=0)+(LEN(C469)=0)+(LEN(D469)=0)+(LEN(E469)=0)+(LEN(F469)=0)+(LEN(G469)=0)+(LEN(H469)=0)+(LEN(I469)=0)+(LEN(J469)=0)+(LEN(K469)=0)+(LEN(L469)=0)+(LEN(N469)=0)+(LEN(O469)=0)+(LEN(P469)=0)+(LEN(R469)=0)+(LEN(AA469)=0))</f>
        <v/>
      </c>
      <c r="AD469" s="19">
        <f>IF(OR(LEN(A469)=0,LEN(C469)=0),0,IF(OR(C469&lt;1,C469&gt;5),1,0))</f>
        <v/>
      </c>
      <c r="AE469" s="19">
        <f>IF(OR(LEN(A469)=0,LEN(R469)=0),0,IF(OR(R469="Active",R469="Paid off",R469="Defaulted",R469="Repossessed",R469="Written off",R469="Restructured"),0,1))</f>
        <v/>
      </c>
      <c r="AF469" s="19">
        <f>IF(A469="",0,IF(N(J469)&gt;N(I469),1,0))</f>
        <v/>
      </c>
      <c r="AG469" s="19">
        <f>IF(A469="",0,IF(N(N469)&gt;N(M469)+1,1,0))</f>
        <v/>
      </c>
      <c r="AH469" s="19">
        <f>IF(A469="",0,IF(N(E469)&gt;N(B469),1,0))</f>
        <v/>
      </c>
      <c r="AI469" s="19">
        <f>IF(A469="",0,IF(AND(Z469="Full payment",N(N469)&lt;N(M469)-1),1,0))</f>
        <v/>
      </c>
      <c r="AJ469" s="19">
        <f>IF(A469="",0,IF(N(P469)&lt;0,1,0))</f>
        <v/>
      </c>
      <c r="AK469" s="19">
        <f>IF(A469="",0,IF(COUNTIF($A$7:$A$1006,A469)&gt;1,1,0))</f>
        <v/>
      </c>
    </row>
    <row r="470">
      <c r="A470" s="10" t="n"/>
      <c r="B470" s="17" t="n"/>
      <c r="C470" s="18" t="n"/>
      <c r="D470" s="10" t="n"/>
      <c r="E470" s="17" t="n"/>
      <c r="F470" s="10" t="n"/>
      <c r="G470" s="10" t="n"/>
      <c r="H470" s="10" t="n"/>
      <c r="I470" s="18" t="n"/>
      <c r="J470" s="18" t="n"/>
      <c r="K470" s="18" t="n"/>
      <c r="L470" s="18" t="n"/>
      <c r="M470" s="19">
        <f>IF(K470="","",K470*365/12*L470)</f>
        <v/>
      </c>
      <c r="N470" s="18" t="n"/>
      <c r="O470" s="18" t="n"/>
      <c r="P470" s="18" t="n"/>
      <c r="Q470" s="18" t="n"/>
      <c r="R470" s="10" t="n"/>
      <c r="S470" s="17" t="n"/>
      <c r="T470" s="18" t="n"/>
      <c r="U470" s="17" t="n"/>
      <c r="V470" s="17" t="n"/>
      <c r="W470" s="18" t="n"/>
      <c r="X470" s="18" t="n"/>
      <c r="Y470" s="17" t="n"/>
      <c r="Z470" s="10" t="n"/>
      <c r="AA470" s="10" t="n"/>
      <c r="AB470" s="19">
        <f>IF(LEN(A470)&gt;0,1,0)</f>
        <v/>
      </c>
      <c r="AC470" s="19">
        <f>IF(LEN(A470)=0,0,(LEN(B470)=0)+(LEN(C470)=0)+(LEN(D470)=0)+(LEN(E470)=0)+(LEN(F470)=0)+(LEN(G470)=0)+(LEN(H470)=0)+(LEN(I470)=0)+(LEN(J470)=0)+(LEN(K470)=0)+(LEN(L470)=0)+(LEN(N470)=0)+(LEN(O470)=0)+(LEN(P470)=0)+(LEN(R470)=0)+(LEN(AA470)=0))</f>
        <v/>
      </c>
      <c r="AD470" s="19">
        <f>IF(OR(LEN(A470)=0,LEN(C470)=0),0,IF(OR(C470&lt;1,C470&gt;5),1,0))</f>
        <v/>
      </c>
      <c r="AE470" s="19">
        <f>IF(OR(LEN(A470)=0,LEN(R470)=0),0,IF(OR(R470="Active",R470="Paid off",R470="Defaulted",R470="Repossessed",R470="Written off",R470="Restructured"),0,1))</f>
        <v/>
      </c>
      <c r="AF470" s="19">
        <f>IF(A470="",0,IF(N(J470)&gt;N(I470),1,0))</f>
        <v/>
      </c>
      <c r="AG470" s="19">
        <f>IF(A470="",0,IF(N(N470)&gt;N(M470)+1,1,0))</f>
        <v/>
      </c>
      <c r="AH470" s="19">
        <f>IF(A470="",0,IF(N(E470)&gt;N(B470),1,0))</f>
        <v/>
      </c>
      <c r="AI470" s="19">
        <f>IF(A470="",0,IF(AND(Z470="Full payment",N(N470)&lt;N(M470)-1),1,0))</f>
        <v/>
      </c>
      <c r="AJ470" s="19">
        <f>IF(A470="",0,IF(N(P470)&lt;0,1,0))</f>
        <v/>
      </c>
      <c r="AK470" s="19">
        <f>IF(A470="",0,IF(COUNTIF($A$7:$A$1006,A470)&gt;1,1,0))</f>
        <v/>
      </c>
    </row>
    <row r="471">
      <c r="A471" s="10" t="n"/>
      <c r="B471" s="17" t="n"/>
      <c r="C471" s="18" t="n"/>
      <c r="D471" s="10" t="n"/>
      <c r="E471" s="17" t="n"/>
      <c r="F471" s="10" t="n"/>
      <c r="G471" s="10" t="n"/>
      <c r="H471" s="10" t="n"/>
      <c r="I471" s="18" t="n"/>
      <c r="J471" s="18" t="n"/>
      <c r="K471" s="18" t="n"/>
      <c r="L471" s="18" t="n"/>
      <c r="M471" s="19">
        <f>IF(K471="","",K471*365/12*L471)</f>
        <v/>
      </c>
      <c r="N471" s="18" t="n"/>
      <c r="O471" s="18" t="n"/>
      <c r="P471" s="18" t="n"/>
      <c r="Q471" s="18" t="n"/>
      <c r="R471" s="10" t="n"/>
      <c r="S471" s="17" t="n"/>
      <c r="T471" s="18" t="n"/>
      <c r="U471" s="17" t="n"/>
      <c r="V471" s="17" t="n"/>
      <c r="W471" s="18" t="n"/>
      <c r="X471" s="18" t="n"/>
      <c r="Y471" s="17" t="n"/>
      <c r="Z471" s="10" t="n"/>
      <c r="AA471" s="10" t="n"/>
      <c r="AB471" s="19">
        <f>IF(LEN(A471)&gt;0,1,0)</f>
        <v/>
      </c>
      <c r="AC471" s="19">
        <f>IF(LEN(A471)=0,0,(LEN(B471)=0)+(LEN(C471)=0)+(LEN(D471)=0)+(LEN(E471)=0)+(LEN(F471)=0)+(LEN(G471)=0)+(LEN(H471)=0)+(LEN(I471)=0)+(LEN(J471)=0)+(LEN(K471)=0)+(LEN(L471)=0)+(LEN(N471)=0)+(LEN(O471)=0)+(LEN(P471)=0)+(LEN(R471)=0)+(LEN(AA471)=0))</f>
        <v/>
      </c>
      <c r="AD471" s="19">
        <f>IF(OR(LEN(A471)=0,LEN(C471)=0),0,IF(OR(C471&lt;1,C471&gt;5),1,0))</f>
        <v/>
      </c>
      <c r="AE471" s="19">
        <f>IF(OR(LEN(A471)=0,LEN(R471)=0),0,IF(OR(R471="Active",R471="Paid off",R471="Defaulted",R471="Repossessed",R471="Written off",R471="Restructured"),0,1))</f>
        <v/>
      </c>
      <c r="AF471" s="19">
        <f>IF(A471="",0,IF(N(J471)&gt;N(I471),1,0))</f>
        <v/>
      </c>
      <c r="AG471" s="19">
        <f>IF(A471="",0,IF(N(N471)&gt;N(M471)+1,1,0))</f>
        <v/>
      </c>
      <c r="AH471" s="19">
        <f>IF(A471="",0,IF(N(E471)&gt;N(B471),1,0))</f>
        <v/>
      </c>
      <c r="AI471" s="19">
        <f>IF(A471="",0,IF(AND(Z471="Full payment",N(N471)&lt;N(M471)-1),1,0))</f>
        <v/>
      </c>
      <c r="AJ471" s="19">
        <f>IF(A471="",0,IF(N(P471)&lt;0,1,0))</f>
        <v/>
      </c>
      <c r="AK471" s="19">
        <f>IF(A471="",0,IF(COUNTIF($A$7:$A$1006,A471)&gt;1,1,0))</f>
        <v/>
      </c>
    </row>
    <row r="472">
      <c r="A472" s="10" t="n"/>
      <c r="B472" s="17" t="n"/>
      <c r="C472" s="18" t="n"/>
      <c r="D472" s="10" t="n"/>
      <c r="E472" s="17" t="n"/>
      <c r="F472" s="10" t="n"/>
      <c r="G472" s="10" t="n"/>
      <c r="H472" s="10" t="n"/>
      <c r="I472" s="18" t="n"/>
      <c r="J472" s="18" t="n"/>
      <c r="K472" s="18" t="n"/>
      <c r="L472" s="18" t="n"/>
      <c r="M472" s="19">
        <f>IF(K472="","",K472*365/12*L472)</f>
        <v/>
      </c>
      <c r="N472" s="18" t="n"/>
      <c r="O472" s="18" t="n"/>
      <c r="P472" s="18" t="n"/>
      <c r="Q472" s="18" t="n"/>
      <c r="R472" s="10" t="n"/>
      <c r="S472" s="17" t="n"/>
      <c r="T472" s="18" t="n"/>
      <c r="U472" s="17" t="n"/>
      <c r="V472" s="17" t="n"/>
      <c r="W472" s="18" t="n"/>
      <c r="X472" s="18" t="n"/>
      <c r="Y472" s="17" t="n"/>
      <c r="Z472" s="10" t="n"/>
      <c r="AA472" s="10" t="n"/>
      <c r="AB472" s="19">
        <f>IF(LEN(A472)&gt;0,1,0)</f>
        <v/>
      </c>
      <c r="AC472" s="19">
        <f>IF(LEN(A472)=0,0,(LEN(B472)=0)+(LEN(C472)=0)+(LEN(D472)=0)+(LEN(E472)=0)+(LEN(F472)=0)+(LEN(G472)=0)+(LEN(H472)=0)+(LEN(I472)=0)+(LEN(J472)=0)+(LEN(K472)=0)+(LEN(L472)=0)+(LEN(N472)=0)+(LEN(O472)=0)+(LEN(P472)=0)+(LEN(R472)=0)+(LEN(AA472)=0))</f>
        <v/>
      </c>
      <c r="AD472" s="19">
        <f>IF(OR(LEN(A472)=0,LEN(C472)=0),0,IF(OR(C472&lt;1,C472&gt;5),1,0))</f>
        <v/>
      </c>
      <c r="AE472" s="19">
        <f>IF(OR(LEN(A472)=0,LEN(R472)=0),0,IF(OR(R472="Active",R472="Paid off",R472="Defaulted",R472="Repossessed",R472="Written off",R472="Restructured"),0,1))</f>
        <v/>
      </c>
      <c r="AF472" s="19">
        <f>IF(A472="",0,IF(N(J472)&gt;N(I472),1,0))</f>
        <v/>
      </c>
      <c r="AG472" s="19">
        <f>IF(A472="",0,IF(N(N472)&gt;N(M472)+1,1,0))</f>
        <v/>
      </c>
      <c r="AH472" s="19">
        <f>IF(A472="",0,IF(N(E472)&gt;N(B472),1,0))</f>
        <v/>
      </c>
      <c r="AI472" s="19">
        <f>IF(A472="",0,IF(AND(Z472="Full payment",N(N472)&lt;N(M472)-1),1,0))</f>
        <v/>
      </c>
      <c r="AJ472" s="19">
        <f>IF(A472="",0,IF(N(P472)&lt;0,1,0))</f>
        <v/>
      </c>
      <c r="AK472" s="19">
        <f>IF(A472="",0,IF(COUNTIF($A$7:$A$1006,A472)&gt;1,1,0))</f>
        <v/>
      </c>
    </row>
    <row r="473">
      <c r="A473" s="10" t="n"/>
      <c r="B473" s="17" t="n"/>
      <c r="C473" s="18" t="n"/>
      <c r="D473" s="10" t="n"/>
      <c r="E473" s="17" t="n"/>
      <c r="F473" s="10" t="n"/>
      <c r="G473" s="10" t="n"/>
      <c r="H473" s="10" t="n"/>
      <c r="I473" s="18" t="n"/>
      <c r="J473" s="18" t="n"/>
      <c r="K473" s="18" t="n"/>
      <c r="L473" s="18" t="n"/>
      <c r="M473" s="19">
        <f>IF(K473="","",K473*365/12*L473)</f>
        <v/>
      </c>
      <c r="N473" s="18" t="n"/>
      <c r="O473" s="18" t="n"/>
      <c r="P473" s="18" t="n"/>
      <c r="Q473" s="18" t="n"/>
      <c r="R473" s="10" t="n"/>
      <c r="S473" s="17" t="n"/>
      <c r="T473" s="18" t="n"/>
      <c r="U473" s="17" t="n"/>
      <c r="V473" s="17" t="n"/>
      <c r="W473" s="18" t="n"/>
      <c r="X473" s="18" t="n"/>
      <c r="Y473" s="17" t="n"/>
      <c r="Z473" s="10" t="n"/>
      <c r="AA473" s="10" t="n"/>
      <c r="AB473" s="19">
        <f>IF(LEN(A473)&gt;0,1,0)</f>
        <v/>
      </c>
      <c r="AC473" s="19">
        <f>IF(LEN(A473)=0,0,(LEN(B473)=0)+(LEN(C473)=0)+(LEN(D473)=0)+(LEN(E473)=0)+(LEN(F473)=0)+(LEN(G473)=0)+(LEN(H473)=0)+(LEN(I473)=0)+(LEN(J473)=0)+(LEN(K473)=0)+(LEN(L473)=0)+(LEN(N473)=0)+(LEN(O473)=0)+(LEN(P473)=0)+(LEN(R473)=0)+(LEN(AA473)=0))</f>
        <v/>
      </c>
      <c r="AD473" s="19">
        <f>IF(OR(LEN(A473)=0,LEN(C473)=0),0,IF(OR(C473&lt;1,C473&gt;5),1,0))</f>
        <v/>
      </c>
      <c r="AE473" s="19">
        <f>IF(OR(LEN(A473)=0,LEN(R473)=0),0,IF(OR(R473="Active",R473="Paid off",R473="Defaulted",R473="Repossessed",R473="Written off",R473="Restructured"),0,1))</f>
        <v/>
      </c>
      <c r="AF473" s="19">
        <f>IF(A473="",0,IF(N(J473)&gt;N(I473),1,0))</f>
        <v/>
      </c>
      <c r="AG473" s="19">
        <f>IF(A473="",0,IF(N(N473)&gt;N(M473)+1,1,0))</f>
        <v/>
      </c>
      <c r="AH473" s="19">
        <f>IF(A473="",0,IF(N(E473)&gt;N(B473),1,0))</f>
        <v/>
      </c>
      <c r="AI473" s="19">
        <f>IF(A473="",0,IF(AND(Z473="Full payment",N(N473)&lt;N(M473)-1),1,0))</f>
        <v/>
      </c>
      <c r="AJ473" s="19">
        <f>IF(A473="",0,IF(N(P473)&lt;0,1,0))</f>
        <v/>
      </c>
      <c r="AK473" s="19">
        <f>IF(A473="",0,IF(COUNTIF($A$7:$A$1006,A473)&gt;1,1,0))</f>
        <v/>
      </c>
    </row>
    <row r="474">
      <c r="A474" s="10" t="n"/>
      <c r="B474" s="17" t="n"/>
      <c r="C474" s="18" t="n"/>
      <c r="D474" s="10" t="n"/>
      <c r="E474" s="17" t="n"/>
      <c r="F474" s="10" t="n"/>
      <c r="G474" s="10" t="n"/>
      <c r="H474" s="10" t="n"/>
      <c r="I474" s="18" t="n"/>
      <c r="J474" s="18" t="n"/>
      <c r="K474" s="18" t="n"/>
      <c r="L474" s="18" t="n"/>
      <c r="M474" s="19">
        <f>IF(K474="","",K474*365/12*L474)</f>
        <v/>
      </c>
      <c r="N474" s="18" t="n"/>
      <c r="O474" s="18" t="n"/>
      <c r="P474" s="18" t="n"/>
      <c r="Q474" s="18" t="n"/>
      <c r="R474" s="10" t="n"/>
      <c r="S474" s="17" t="n"/>
      <c r="T474" s="18" t="n"/>
      <c r="U474" s="17" t="n"/>
      <c r="V474" s="17" t="n"/>
      <c r="W474" s="18" t="n"/>
      <c r="X474" s="18" t="n"/>
      <c r="Y474" s="17" t="n"/>
      <c r="Z474" s="10" t="n"/>
      <c r="AA474" s="10" t="n"/>
      <c r="AB474" s="19">
        <f>IF(LEN(A474)&gt;0,1,0)</f>
        <v/>
      </c>
      <c r="AC474" s="19">
        <f>IF(LEN(A474)=0,0,(LEN(B474)=0)+(LEN(C474)=0)+(LEN(D474)=0)+(LEN(E474)=0)+(LEN(F474)=0)+(LEN(G474)=0)+(LEN(H474)=0)+(LEN(I474)=0)+(LEN(J474)=0)+(LEN(K474)=0)+(LEN(L474)=0)+(LEN(N474)=0)+(LEN(O474)=0)+(LEN(P474)=0)+(LEN(R474)=0)+(LEN(AA474)=0))</f>
        <v/>
      </c>
      <c r="AD474" s="19">
        <f>IF(OR(LEN(A474)=0,LEN(C474)=0),0,IF(OR(C474&lt;1,C474&gt;5),1,0))</f>
        <v/>
      </c>
      <c r="AE474" s="19">
        <f>IF(OR(LEN(A474)=0,LEN(R474)=0),0,IF(OR(R474="Active",R474="Paid off",R474="Defaulted",R474="Repossessed",R474="Written off",R474="Restructured"),0,1))</f>
        <v/>
      </c>
      <c r="AF474" s="19">
        <f>IF(A474="",0,IF(N(J474)&gt;N(I474),1,0))</f>
        <v/>
      </c>
      <c r="AG474" s="19">
        <f>IF(A474="",0,IF(N(N474)&gt;N(M474)+1,1,0))</f>
        <v/>
      </c>
      <c r="AH474" s="19">
        <f>IF(A474="",0,IF(N(E474)&gt;N(B474),1,0))</f>
        <v/>
      </c>
      <c r="AI474" s="19">
        <f>IF(A474="",0,IF(AND(Z474="Full payment",N(N474)&lt;N(M474)-1),1,0))</f>
        <v/>
      </c>
      <c r="AJ474" s="19">
        <f>IF(A474="",0,IF(N(P474)&lt;0,1,0))</f>
        <v/>
      </c>
      <c r="AK474" s="19">
        <f>IF(A474="",0,IF(COUNTIF($A$7:$A$1006,A474)&gt;1,1,0))</f>
        <v/>
      </c>
    </row>
    <row r="475">
      <c r="A475" s="10" t="n"/>
      <c r="B475" s="17" t="n"/>
      <c r="C475" s="18" t="n"/>
      <c r="D475" s="10" t="n"/>
      <c r="E475" s="17" t="n"/>
      <c r="F475" s="10" t="n"/>
      <c r="G475" s="10" t="n"/>
      <c r="H475" s="10" t="n"/>
      <c r="I475" s="18" t="n"/>
      <c r="J475" s="18" t="n"/>
      <c r="K475" s="18" t="n"/>
      <c r="L475" s="18" t="n"/>
      <c r="M475" s="19">
        <f>IF(K475="","",K475*365/12*L475)</f>
        <v/>
      </c>
      <c r="N475" s="18" t="n"/>
      <c r="O475" s="18" t="n"/>
      <c r="P475" s="18" t="n"/>
      <c r="Q475" s="18" t="n"/>
      <c r="R475" s="10" t="n"/>
      <c r="S475" s="17" t="n"/>
      <c r="T475" s="18" t="n"/>
      <c r="U475" s="17" t="n"/>
      <c r="V475" s="17" t="n"/>
      <c r="W475" s="18" t="n"/>
      <c r="X475" s="18" t="n"/>
      <c r="Y475" s="17" t="n"/>
      <c r="Z475" s="10" t="n"/>
      <c r="AA475" s="10" t="n"/>
      <c r="AB475" s="19">
        <f>IF(LEN(A475)&gt;0,1,0)</f>
        <v/>
      </c>
      <c r="AC475" s="19">
        <f>IF(LEN(A475)=0,0,(LEN(B475)=0)+(LEN(C475)=0)+(LEN(D475)=0)+(LEN(E475)=0)+(LEN(F475)=0)+(LEN(G475)=0)+(LEN(H475)=0)+(LEN(I475)=0)+(LEN(J475)=0)+(LEN(K475)=0)+(LEN(L475)=0)+(LEN(N475)=0)+(LEN(O475)=0)+(LEN(P475)=0)+(LEN(R475)=0)+(LEN(AA475)=0))</f>
        <v/>
      </c>
      <c r="AD475" s="19">
        <f>IF(OR(LEN(A475)=0,LEN(C475)=0),0,IF(OR(C475&lt;1,C475&gt;5),1,0))</f>
        <v/>
      </c>
      <c r="AE475" s="19">
        <f>IF(OR(LEN(A475)=0,LEN(R475)=0),0,IF(OR(R475="Active",R475="Paid off",R475="Defaulted",R475="Repossessed",R475="Written off",R475="Restructured"),0,1))</f>
        <v/>
      </c>
      <c r="AF475" s="19">
        <f>IF(A475="",0,IF(N(J475)&gt;N(I475),1,0))</f>
        <v/>
      </c>
      <c r="AG475" s="19">
        <f>IF(A475="",0,IF(N(N475)&gt;N(M475)+1,1,0))</f>
        <v/>
      </c>
      <c r="AH475" s="19">
        <f>IF(A475="",0,IF(N(E475)&gt;N(B475),1,0))</f>
        <v/>
      </c>
      <c r="AI475" s="19">
        <f>IF(A475="",0,IF(AND(Z475="Full payment",N(N475)&lt;N(M475)-1),1,0))</f>
        <v/>
      </c>
      <c r="AJ475" s="19">
        <f>IF(A475="",0,IF(N(P475)&lt;0,1,0))</f>
        <v/>
      </c>
      <c r="AK475" s="19">
        <f>IF(A475="",0,IF(COUNTIF($A$7:$A$1006,A475)&gt;1,1,0))</f>
        <v/>
      </c>
    </row>
    <row r="476">
      <c r="A476" s="10" t="n"/>
      <c r="B476" s="17" t="n"/>
      <c r="C476" s="18" t="n"/>
      <c r="D476" s="10" t="n"/>
      <c r="E476" s="17" t="n"/>
      <c r="F476" s="10" t="n"/>
      <c r="G476" s="10" t="n"/>
      <c r="H476" s="10" t="n"/>
      <c r="I476" s="18" t="n"/>
      <c r="J476" s="18" t="n"/>
      <c r="K476" s="18" t="n"/>
      <c r="L476" s="18" t="n"/>
      <c r="M476" s="19">
        <f>IF(K476="","",K476*365/12*L476)</f>
        <v/>
      </c>
      <c r="N476" s="18" t="n"/>
      <c r="O476" s="18" t="n"/>
      <c r="P476" s="18" t="n"/>
      <c r="Q476" s="18" t="n"/>
      <c r="R476" s="10" t="n"/>
      <c r="S476" s="17" t="n"/>
      <c r="T476" s="18" t="n"/>
      <c r="U476" s="17" t="n"/>
      <c r="V476" s="17" t="n"/>
      <c r="W476" s="18" t="n"/>
      <c r="X476" s="18" t="n"/>
      <c r="Y476" s="17" t="n"/>
      <c r="Z476" s="10" t="n"/>
      <c r="AA476" s="10" t="n"/>
      <c r="AB476" s="19">
        <f>IF(LEN(A476)&gt;0,1,0)</f>
        <v/>
      </c>
      <c r="AC476" s="19">
        <f>IF(LEN(A476)=0,0,(LEN(B476)=0)+(LEN(C476)=0)+(LEN(D476)=0)+(LEN(E476)=0)+(LEN(F476)=0)+(LEN(G476)=0)+(LEN(H476)=0)+(LEN(I476)=0)+(LEN(J476)=0)+(LEN(K476)=0)+(LEN(L476)=0)+(LEN(N476)=0)+(LEN(O476)=0)+(LEN(P476)=0)+(LEN(R476)=0)+(LEN(AA476)=0))</f>
        <v/>
      </c>
      <c r="AD476" s="19">
        <f>IF(OR(LEN(A476)=0,LEN(C476)=0),0,IF(OR(C476&lt;1,C476&gt;5),1,0))</f>
        <v/>
      </c>
      <c r="AE476" s="19">
        <f>IF(OR(LEN(A476)=0,LEN(R476)=0),0,IF(OR(R476="Active",R476="Paid off",R476="Defaulted",R476="Repossessed",R476="Written off",R476="Restructured"),0,1))</f>
        <v/>
      </c>
      <c r="AF476" s="19">
        <f>IF(A476="",0,IF(N(J476)&gt;N(I476),1,0))</f>
        <v/>
      </c>
      <c r="AG476" s="19">
        <f>IF(A476="",0,IF(N(N476)&gt;N(M476)+1,1,0))</f>
        <v/>
      </c>
      <c r="AH476" s="19">
        <f>IF(A476="",0,IF(N(E476)&gt;N(B476),1,0))</f>
        <v/>
      </c>
      <c r="AI476" s="19">
        <f>IF(A476="",0,IF(AND(Z476="Full payment",N(N476)&lt;N(M476)-1),1,0))</f>
        <v/>
      </c>
      <c r="AJ476" s="19">
        <f>IF(A476="",0,IF(N(P476)&lt;0,1,0))</f>
        <v/>
      </c>
      <c r="AK476" s="19">
        <f>IF(A476="",0,IF(COUNTIF($A$7:$A$1006,A476)&gt;1,1,0))</f>
        <v/>
      </c>
    </row>
    <row r="477">
      <c r="A477" s="10" t="n"/>
      <c r="B477" s="17" t="n"/>
      <c r="C477" s="18" t="n"/>
      <c r="D477" s="10" t="n"/>
      <c r="E477" s="17" t="n"/>
      <c r="F477" s="10" t="n"/>
      <c r="G477" s="10" t="n"/>
      <c r="H477" s="10" t="n"/>
      <c r="I477" s="18" t="n"/>
      <c r="J477" s="18" t="n"/>
      <c r="K477" s="18" t="n"/>
      <c r="L477" s="18" t="n"/>
      <c r="M477" s="19">
        <f>IF(K477="","",K477*365/12*L477)</f>
        <v/>
      </c>
      <c r="N477" s="18" t="n"/>
      <c r="O477" s="18" t="n"/>
      <c r="P477" s="18" t="n"/>
      <c r="Q477" s="18" t="n"/>
      <c r="R477" s="10" t="n"/>
      <c r="S477" s="17" t="n"/>
      <c r="T477" s="18" t="n"/>
      <c r="U477" s="17" t="n"/>
      <c r="V477" s="17" t="n"/>
      <c r="W477" s="18" t="n"/>
      <c r="X477" s="18" t="n"/>
      <c r="Y477" s="17" t="n"/>
      <c r="Z477" s="10" t="n"/>
      <c r="AA477" s="10" t="n"/>
      <c r="AB477" s="19">
        <f>IF(LEN(A477)&gt;0,1,0)</f>
        <v/>
      </c>
      <c r="AC477" s="19">
        <f>IF(LEN(A477)=0,0,(LEN(B477)=0)+(LEN(C477)=0)+(LEN(D477)=0)+(LEN(E477)=0)+(LEN(F477)=0)+(LEN(G477)=0)+(LEN(H477)=0)+(LEN(I477)=0)+(LEN(J477)=0)+(LEN(K477)=0)+(LEN(L477)=0)+(LEN(N477)=0)+(LEN(O477)=0)+(LEN(P477)=0)+(LEN(R477)=0)+(LEN(AA477)=0))</f>
        <v/>
      </c>
      <c r="AD477" s="19">
        <f>IF(OR(LEN(A477)=0,LEN(C477)=0),0,IF(OR(C477&lt;1,C477&gt;5),1,0))</f>
        <v/>
      </c>
      <c r="AE477" s="19">
        <f>IF(OR(LEN(A477)=0,LEN(R477)=0),0,IF(OR(R477="Active",R477="Paid off",R477="Defaulted",R477="Repossessed",R477="Written off",R477="Restructured"),0,1))</f>
        <v/>
      </c>
      <c r="AF477" s="19">
        <f>IF(A477="",0,IF(N(J477)&gt;N(I477),1,0))</f>
        <v/>
      </c>
      <c r="AG477" s="19">
        <f>IF(A477="",0,IF(N(N477)&gt;N(M477)+1,1,0))</f>
        <v/>
      </c>
      <c r="AH477" s="19">
        <f>IF(A477="",0,IF(N(E477)&gt;N(B477),1,0))</f>
        <v/>
      </c>
      <c r="AI477" s="19">
        <f>IF(A477="",0,IF(AND(Z477="Full payment",N(N477)&lt;N(M477)-1),1,0))</f>
        <v/>
      </c>
      <c r="AJ477" s="19">
        <f>IF(A477="",0,IF(N(P477)&lt;0,1,0))</f>
        <v/>
      </c>
      <c r="AK477" s="19">
        <f>IF(A477="",0,IF(COUNTIF($A$7:$A$1006,A477)&gt;1,1,0))</f>
        <v/>
      </c>
    </row>
    <row r="478">
      <c r="A478" s="10" t="n"/>
      <c r="B478" s="17" t="n"/>
      <c r="C478" s="18" t="n"/>
      <c r="D478" s="10" t="n"/>
      <c r="E478" s="17" t="n"/>
      <c r="F478" s="10" t="n"/>
      <c r="G478" s="10" t="n"/>
      <c r="H478" s="10" t="n"/>
      <c r="I478" s="18" t="n"/>
      <c r="J478" s="18" t="n"/>
      <c r="K478" s="18" t="n"/>
      <c r="L478" s="18" t="n"/>
      <c r="M478" s="19">
        <f>IF(K478="","",K478*365/12*L478)</f>
        <v/>
      </c>
      <c r="N478" s="18" t="n"/>
      <c r="O478" s="18" t="n"/>
      <c r="P478" s="18" t="n"/>
      <c r="Q478" s="18" t="n"/>
      <c r="R478" s="10" t="n"/>
      <c r="S478" s="17" t="n"/>
      <c r="T478" s="18" t="n"/>
      <c r="U478" s="17" t="n"/>
      <c r="V478" s="17" t="n"/>
      <c r="W478" s="18" t="n"/>
      <c r="X478" s="18" t="n"/>
      <c r="Y478" s="17" t="n"/>
      <c r="Z478" s="10" t="n"/>
      <c r="AA478" s="10" t="n"/>
      <c r="AB478" s="19">
        <f>IF(LEN(A478)&gt;0,1,0)</f>
        <v/>
      </c>
      <c r="AC478" s="19">
        <f>IF(LEN(A478)=0,0,(LEN(B478)=0)+(LEN(C478)=0)+(LEN(D478)=0)+(LEN(E478)=0)+(LEN(F478)=0)+(LEN(G478)=0)+(LEN(H478)=0)+(LEN(I478)=0)+(LEN(J478)=0)+(LEN(K478)=0)+(LEN(L478)=0)+(LEN(N478)=0)+(LEN(O478)=0)+(LEN(P478)=0)+(LEN(R478)=0)+(LEN(AA478)=0))</f>
        <v/>
      </c>
      <c r="AD478" s="19">
        <f>IF(OR(LEN(A478)=0,LEN(C478)=0),0,IF(OR(C478&lt;1,C478&gt;5),1,0))</f>
        <v/>
      </c>
      <c r="AE478" s="19">
        <f>IF(OR(LEN(A478)=0,LEN(R478)=0),0,IF(OR(R478="Active",R478="Paid off",R478="Defaulted",R478="Repossessed",R478="Written off",R478="Restructured"),0,1))</f>
        <v/>
      </c>
      <c r="AF478" s="19">
        <f>IF(A478="",0,IF(N(J478)&gt;N(I478),1,0))</f>
        <v/>
      </c>
      <c r="AG478" s="19">
        <f>IF(A478="",0,IF(N(N478)&gt;N(M478)+1,1,0))</f>
        <v/>
      </c>
      <c r="AH478" s="19">
        <f>IF(A478="",0,IF(N(E478)&gt;N(B478),1,0))</f>
        <v/>
      </c>
      <c r="AI478" s="19">
        <f>IF(A478="",0,IF(AND(Z478="Full payment",N(N478)&lt;N(M478)-1),1,0))</f>
        <v/>
      </c>
      <c r="AJ478" s="19">
        <f>IF(A478="",0,IF(N(P478)&lt;0,1,0))</f>
        <v/>
      </c>
      <c r="AK478" s="19">
        <f>IF(A478="",0,IF(COUNTIF($A$7:$A$1006,A478)&gt;1,1,0))</f>
        <v/>
      </c>
    </row>
    <row r="479">
      <c r="A479" s="10" t="n"/>
      <c r="B479" s="17" t="n"/>
      <c r="C479" s="18" t="n"/>
      <c r="D479" s="10" t="n"/>
      <c r="E479" s="17" t="n"/>
      <c r="F479" s="10" t="n"/>
      <c r="G479" s="10" t="n"/>
      <c r="H479" s="10" t="n"/>
      <c r="I479" s="18" t="n"/>
      <c r="J479" s="18" t="n"/>
      <c r="K479" s="18" t="n"/>
      <c r="L479" s="18" t="n"/>
      <c r="M479" s="19">
        <f>IF(K479="","",K479*365/12*L479)</f>
        <v/>
      </c>
      <c r="N479" s="18" t="n"/>
      <c r="O479" s="18" t="n"/>
      <c r="P479" s="18" t="n"/>
      <c r="Q479" s="18" t="n"/>
      <c r="R479" s="10" t="n"/>
      <c r="S479" s="17" t="n"/>
      <c r="T479" s="18" t="n"/>
      <c r="U479" s="17" t="n"/>
      <c r="V479" s="17" t="n"/>
      <c r="W479" s="18" t="n"/>
      <c r="X479" s="18" t="n"/>
      <c r="Y479" s="17" t="n"/>
      <c r="Z479" s="10" t="n"/>
      <c r="AA479" s="10" t="n"/>
      <c r="AB479" s="19">
        <f>IF(LEN(A479)&gt;0,1,0)</f>
        <v/>
      </c>
      <c r="AC479" s="19">
        <f>IF(LEN(A479)=0,0,(LEN(B479)=0)+(LEN(C479)=0)+(LEN(D479)=0)+(LEN(E479)=0)+(LEN(F479)=0)+(LEN(G479)=0)+(LEN(H479)=0)+(LEN(I479)=0)+(LEN(J479)=0)+(LEN(K479)=0)+(LEN(L479)=0)+(LEN(N479)=0)+(LEN(O479)=0)+(LEN(P479)=0)+(LEN(R479)=0)+(LEN(AA479)=0))</f>
        <v/>
      </c>
      <c r="AD479" s="19">
        <f>IF(OR(LEN(A479)=0,LEN(C479)=0),0,IF(OR(C479&lt;1,C479&gt;5),1,0))</f>
        <v/>
      </c>
      <c r="AE479" s="19">
        <f>IF(OR(LEN(A479)=0,LEN(R479)=0),0,IF(OR(R479="Active",R479="Paid off",R479="Defaulted",R479="Repossessed",R479="Written off",R479="Restructured"),0,1))</f>
        <v/>
      </c>
      <c r="AF479" s="19">
        <f>IF(A479="",0,IF(N(J479)&gt;N(I479),1,0))</f>
        <v/>
      </c>
      <c r="AG479" s="19">
        <f>IF(A479="",0,IF(N(N479)&gt;N(M479)+1,1,0))</f>
        <v/>
      </c>
      <c r="AH479" s="19">
        <f>IF(A479="",0,IF(N(E479)&gt;N(B479),1,0))</f>
        <v/>
      </c>
      <c r="AI479" s="19">
        <f>IF(A479="",0,IF(AND(Z479="Full payment",N(N479)&lt;N(M479)-1),1,0))</f>
        <v/>
      </c>
      <c r="AJ479" s="19">
        <f>IF(A479="",0,IF(N(P479)&lt;0,1,0))</f>
        <v/>
      </c>
      <c r="AK479" s="19">
        <f>IF(A479="",0,IF(COUNTIF($A$7:$A$1006,A479)&gt;1,1,0))</f>
        <v/>
      </c>
    </row>
    <row r="480">
      <c r="A480" s="10" t="n"/>
      <c r="B480" s="17" t="n"/>
      <c r="C480" s="18" t="n"/>
      <c r="D480" s="10" t="n"/>
      <c r="E480" s="17" t="n"/>
      <c r="F480" s="10" t="n"/>
      <c r="G480" s="10" t="n"/>
      <c r="H480" s="10" t="n"/>
      <c r="I480" s="18" t="n"/>
      <c r="J480" s="18" t="n"/>
      <c r="K480" s="18" t="n"/>
      <c r="L480" s="18" t="n"/>
      <c r="M480" s="19">
        <f>IF(K480="","",K480*365/12*L480)</f>
        <v/>
      </c>
      <c r="N480" s="18" t="n"/>
      <c r="O480" s="18" t="n"/>
      <c r="P480" s="18" t="n"/>
      <c r="Q480" s="18" t="n"/>
      <c r="R480" s="10" t="n"/>
      <c r="S480" s="17" t="n"/>
      <c r="T480" s="18" t="n"/>
      <c r="U480" s="17" t="n"/>
      <c r="V480" s="17" t="n"/>
      <c r="W480" s="18" t="n"/>
      <c r="X480" s="18" t="n"/>
      <c r="Y480" s="17" t="n"/>
      <c r="Z480" s="10" t="n"/>
      <c r="AA480" s="10" t="n"/>
      <c r="AB480" s="19">
        <f>IF(LEN(A480)&gt;0,1,0)</f>
        <v/>
      </c>
      <c r="AC480" s="19">
        <f>IF(LEN(A480)=0,0,(LEN(B480)=0)+(LEN(C480)=0)+(LEN(D480)=0)+(LEN(E480)=0)+(LEN(F480)=0)+(LEN(G480)=0)+(LEN(H480)=0)+(LEN(I480)=0)+(LEN(J480)=0)+(LEN(K480)=0)+(LEN(L480)=0)+(LEN(N480)=0)+(LEN(O480)=0)+(LEN(P480)=0)+(LEN(R480)=0)+(LEN(AA480)=0))</f>
        <v/>
      </c>
      <c r="AD480" s="19">
        <f>IF(OR(LEN(A480)=0,LEN(C480)=0),0,IF(OR(C480&lt;1,C480&gt;5),1,0))</f>
        <v/>
      </c>
      <c r="AE480" s="19">
        <f>IF(OR(LEN(A480)=0,LEN(R480)=0),0,IF(OR(R480="Active",R480="Paid off",R480="Defaulted",R480="Repossessed",R480="Written off",R480="Restructured"),0,1))</f>
        <v/>
      </c>
      <c r="AF480" s="19">
        <f>IF(A480="",0,IF(N(J480)&gt;N(I480),1,0))</f>
        <v/>
      </c>
      <c r="AG480" s="19">
        <f>IF(A480="",0,IF(N(N480)&gt;N(M480)+1,1,0))</f>
        <v/>
      </c>
      <c r="AH480" s="19">
        <f>IF(A480="",0,IF(N(E480)&gt;N(B480),1,0))</f>
        <v/>
      </c>
      <c r="AI480" s="19">
        <f>IF(A480="",0,IF(AND(Z480="Full payment",N(N480)&lt;N(M480)-1),1,0))</f>
        <v/>
      </c>
      <c r="AJ480" s="19">
        <f>IF(A480="",0,IF(N(P480)&lt;0,1,0))</f>
        <v/>
      </c>
      <c r="AK480" s="19">
        <f>IF(A480="",0,IF(COUNTIF($A$7:$A$1006,A480)&gt;1,1,0))</f>
        <v/>
      </c>
    </row>
    <row r="481">
      <c r="A481" s="10" t="n"/>
      <c r="B481" s="17" t="n"/>
      <c r="C481" s="18" t="n"/>
      <c r="D481" s="10" t="n"/>
      <c r="E481" s="17" t="n"/>
      <c r="F481" s="10" t="n"/>
      <c r="G481" s="10" t="n"/>
      <c r="H481" s="10" t="n"/>
      <c r="I481" s="18" t="n"/>
      <c r="J481" s="18" t="n"/>
      <c r="K481" s="18" t="n"/>
      <c r="L481" s="18" t="n"/>
      <c r="M481" s="19">
        <f>IF(K481="","",K481*365/12*L481)</f>
        <v/>
      </c>
      <c r="N481" s="18" t="n"/>
      <c r="O481" s="18" t="n"/>
      <c r="P481" s="18" t="n"/>
      <c r="Q481" s="18" t="n"/>
      <c r="R481" s="10" t="n"/>
      <c r="S481" s="17" t="n"/>
      <c r="T481" s="18" t="n"/>
      <c r="U481" s="17" t="n"/>
      <c r="V481" s="17" t="n"/>
      <c r="W481" s="18" t="n"/>
      <c r="X481" s="18" t="n"/>
      <c r="Y481" s="17" t="n"/>
      <c r="Z481" s="10" t="n"/>
      <c r="AA481" s="10" t="n"/>
      <c r="AB481" s="19">
        <f>IF(LEN(A481)&gt;0,1,0)</f>
        <v/>
      </c>
      <c r="AC481" s="19">
        <f>IF(LEN(A481)=0,0,(LEN(B481)=0)+(LEN(C481)=0)+(LEN(D481)=0)+(LEN(E481)=0)+(LEN(F481)=0)+(LEN(G481)=0)+(LEN(H481)=0)+(LEN(I481)=0)+(LEN(J481)=0)+(LEN(K481)=0)+(LEN(L481)=0)+(LEN(N481)=0)+(LEN(O481)=0)+(LEN(P481)=0)+(LEN(R481)=0)+(LEN(AA481)=0))</f>
        <v/>
      </c>
      <c r="AD481" s="19">
        <f>IF(OR(LEN(A481)=0,LEN(C481)=0),0,IF(OR(C481&lt;1,C481&gt;5),1,0))</f>
        <v/>
      </c>
      <c r="AE481" s="19">
        <f>IF(OR(LEN(A481)=0,LEN(R481)=0),0,IF(OR(R481="Active",R481="Paid off",R481="Defaulted",R481="Repossessed",R481="Written off",R481="Restructured"),0,1))</f>
        <v/>
      </c>
      <c r="AF481" s="19">
        <f>IF(A481="",0,IF(N(J481)&gt;N(I481),1,0))</f>
        <v/>
      </c>
      <c r="AG481" s="19">
        <f>IF(A481="",0,IF(N(N481)&gt;N(M481)+1,1,0))</f>
        <v/>
      </c>
      <c r="AH481" s="19">
        <f>IF(A481="",0,IF(N(E481)&gt;N(B481),1,0))</f>
        <v/>
      </c>
      <c r="AI481" s="19">
        <f>IF(A481="",0,IF(AND(Z481="Full payment",N(N481)&lt;N(M481)-1),1,0))</f>
        <v/>
      </c>
      <c r="AJ481" s="19">
        <f>IF(A481="",0,IF(N(P481)&lt;0,1,0))</f>
        <v/>
      </c>
      <c r="AK481" s="19">
        <f>IF(A481="",0,IF(COUNTIF($A$7:$A$1006,A481)&gt;1,1,0))</f>
        <v/>
      </c>
    </row>
    <row r="482">
      <c r="A482" s="10" t="n"/>
      <c r="B482" s="17" t="n"/>
      <c r="C482" s="18" t="n"/>
      <c r="D482" s="10" t="n"/>
      <c r="E482" s="17" t="n"/>
      <c r="F482" s="10" t="n"/>
      <c r="G482" s="10" t="n"/>
      <c r="H482" s="10" t="n"/>
      <c r="I482" s="18" t="n"/>
      <c r="J482" s="18" t="n"/>
      <c r="K482" s="18" t="n"/>
      <c r="L482" s="18" t="n"/>
      <c r="M482" s="19">
        <f>IF(K482="","",K482*365/12*L482)</f>
        <v/>
      </c>
      <c r="N482" s="18" t="n"/>
      <c r="O482" s="18" t="n"/>
      <c r="P482" s="18" t="n"/>
      <c r="Q482" s="18" t="n"/>
      <c r="R482" s="10" t="n"/>
      <c r="S482" s="17" t="n"/>
      <c r="T482" s="18" t="n"/>
      <c r="U482" s="17" t="n"/>
      <c r="V482" s="17" t="n"/>
      <c r="W482" s="18" t="n"/>
      <c r="X482" s="18" t="n"/>
      <c r="Y482" s="17" t="n"/>
      <c r="Z482" s="10" t="n"/>
      <c r="AA482" s="10" t="n"/>
      <c r="AB482" s="19">
        <f>IF(LEN(A482)&gt;0,1,0)</f>
        <v/>
      </c>
      <c r="AC482" s="19">
        <f>IF(LEN(A482)=0,0,(LEN(B482)=0)+(LEN(C482)=0)+(LEN(D482)=0)+(LEN(E482)=0)+(LEN(F482)=0)+(LEN(G482)=0)+(LEN(H482)=0)+(LEN(I482)=0)+(LEN(J482)=0)+(LEN(K482)=0)+(LEN(L482)=0)+(LEN(N482)=0)+(LEN(O482)=0)+(LEN(P482)=0)+(LEN(R482)=0)+(LEN(AA482)=0))</f>
        <v/>
      </c>
      <c r="AD482" s="19">
        <f>IF(OR(LEN(A482)=0,LEN(C482)=0),0,IF(OR(C482&lt;1,C482&gt;5),1,0))</f>
        <v/>
      </c>
      <c r="AE482" s="19">
        <f>IF(OR(LEN(A482)=0,LEN(R482)=0),0,IF(OR(R482="Active",R482="Paid off",R482="Defaulted",R482="Repossessed",R482="Written off",R482="Restructured"),0,1))</f>
        <v/>
      </c>
      <c r="AF482" s="19">
        <f>IF(A482="",0,IF(N(J482)&gt;N(I482),1,0))</f>
        <v/>
      </c>
      <c r="AG482" s="19">
        <f>IF(A482="",0,IF(N(N482)&gt;N(M482)+1,1,0))</f>
        <v/>
      </c>
      <c r="AH482" s="19">
        <f>IF(A482="",0,IF(N(E482)&gt;N(B482),1,0))</f>
        <v/>
      </c>
      <c r="AI482" s="19">
        <f>IF(A482="",0,IF(AND(Z482="Full payment",N(N482)&lt;N(M482)-1),1,0))</f>
        <v/>
      </c>
      <c r="AJ482" s="19">
        <f>IF(A482="",0,IF(N(P482)&lt;0,1,0))</f>
        <v/>
      </c>
      <c r="AK482" s="19">
        <f>IF(A482="",0,IF(COUNTIF($A$7:$A$1006,A482)&gt;1,1,0))</f>
        <v/>
      </c>
    </row>
    <row r="483">
      <c r="A483" s="10" t="n"/>
      <c r="B483" s="17" t="n"/>
      <c r="C483" s="18" t="n"/>
      <c r="D483" s="10" t="n"/>
      <c r="E483" s="17" t="n"/>
      <c r="F483" s="10" t="n"/>
      <c r="G483" s="10" t="n"/>
      <c r="H483" s="10" t="n"/>
      <c r="I483" s="18" t="n"/>
      <c r="J483" s="18" t="n"/>
      <c r="K483" s="18" t="n"/>
      <c r="L483" s="18" t="n"/>
      <c r="M483" s="19">
        <f>IF(K483="","",K483*365/12*L483)</f>
        <v/>
      </c>
      <c r="N483" s="18" t="n"/>
      <c r="O483" s="18" t="n"/>
      <c r="P483" s="18" t="n"/>
      <c r="Q483" s="18" t="n"/>
      <c r="R483" s="10" t="n"/>
      <c r="S483" s="17" t="n"/>
      <c r="T483" s="18" t="n"/>
      <c r="U483" s="17" t="n"/>
      <c r="V483" s="17" t="n"/>
      <c r="W483" s="18" t="n"/>
      <c r="X483" s="18" t="n"/>
      <c r="Y483" s="17" t="n"/>
      <c r="Z483" s="10" t="n"/>
      <c r="AA483" s="10" t="n"/>
      <c r="AB483" s="19">
        <f>IF(LEN(A483)&gt;0,1,0)</f>
        <v/>
      </c>
      <c r="AC483" s="19">
        <f>IF(LEN(A483)=0,0,(LEN(B483)=0)+(LEN(C483)=0)+(LEN(D483)=0)+(LEN(E483)=0)+(LEN(F483)=0)+(LEN(G483)=0)+(LEN(H483)=0)+(LEN(I483)=0)+(LEN(J483)=0)+(LEN(K483)=0)+(LEN(L483)=0)+(LEN(N483)=0)+(LEN(O483)=0)+(LEN(P483)=0)+(LEN(R483)=0)+(LEN(AA483)=0))</f>
        <v/>
      </c>
      <c r="AD483" s="19">
        <f>IF(OR(LEN(A483)=0,LEN(C483)=0),0,IF(OR(C483&lt;1,C483&gt;5),1,0))</f>
        <v/>
      </c>
      <c r="AE483" s="19">
        <f>IF(OR(LEN(A483)=0,LEN(R483)=0),0,IF(OR(R483="Active",R483="Paid off",R483="Defaulted",R483="Repossessed",R483="Written off",R483="Restructured"),0,1))</f>
        <v/>
      </c>
      <c r="AF483" s="19">
        <f>IF(A483="",0,IF(N(J483)&gt;N(I483),1,0))</f>
        <v/>
      </c>
      <c r="AG483" s="19">
        <f>IF(A483="",0,IF(N(N483)&gt;N(M483)+1,1,0))</f>
        <v/>
      </c>
      <c r="AH483" s="19">
        <f>IF(A483="",0,IF(N(E483)&gt;N(B483),1,0))</f>
        <v/>
      </c>
      <c r="AI483" s="19">
        <f>IF(A483="",0,IF(AND(Z483="Full payment",N(N483)&lt;N(M483)-1),1,0))</f>
        <v/>
      </c>
      <c r="AJ483" s="19">
        <f>IF(A483="",0,IF(N(P483)&lt;0,1,0))</f>
        <v/>
      </c>
      <c r="AK483" s="19">
        <f>IF(A483="",0,IF(COUNTIF($A$7:$A$1006,A483)&gt;1,1,0))</f>
        <v/>
      </c>
    </row>
    <row r="484">
      <c r="A484" s="10" t="n"/>
      <c r="B484" s="17" t="n"/>
      <c r="C484" s="18" t="n"/>
      <c r="D484" s="10" t="n"/>
      <c r="E484" s="17" t="n"/>
      <c r="F484" s="10" t="n"/>
      <c r="G484" s="10" t="n"/>
      <c r="H484" s="10" t="n"/>
      <c r="I484" s="18" t="n"/>
      <c r="J484" s="18" t="n"/>
      <c r="K484" s="18" t="n"/>
      <c r="L484" s="18" t="n"/>
      <c r="M484" s="19">
        <f>IF(K484="","",K484*365/12*L484)</f>
        <v/>
      </c>
      <c r="N484" s="18" t="n"/>
      <c r="O484" s="18" t="n"/>
      <c r="P484" s="18" t="n"/>
      <c r="Q484" s="18" t="n"/>
      <c r="R484" s="10" t="n"/>
      <c r="S484" s="17" t="n"/>
      <c r="T484" s="18" t="n"/>
      <c r="U484" s="17" t="n"/>
      <c r="V484" s="17" t="n"/>
      <c r="W484" s="18" t="n"/>
      <c r="X484" s="18" t="n"/>
      <c r="Y484" s="17" t="n"/>
      <c r="Z484" s="10" t="n"/>
      <c r="AA484" s="10" t="n"/>
      <c r="AB484" s="19">
        <f>IF(LEN(A484)&gt;0,1,0)</f>
        <v/>
      </c>
      <c r="AC484" s="19">
        <f>IF(LEN(A484)=0,0,(LEN(B484)=0)+(LEN(C484)=0)+(LEN(D484)=0)+(LEN(E484)=0)+(LEN(F484)=0)+(LEN(G484)=0)+(LEN(H484)=0)+(LEN(I484)=0)+(LEN(J484)=0)+(LEN(K484)=0)+(LEN(L484)=0)+(LEN(N484)=0)+(LEN(O484)=0)+(LEN(P484)=0)+(LEN(R484)=0)+(LEN(AA484)=0))</f>
        <v/>
      </c>
      <c r="AD484" s="19">
        <f>IF(OR(LEN(A484)=0,LEN(C484)=0),0,IF(OR(C484&lt;1,C484&gt;5),1,0))</f>
        <v/>
      </c>
      <c r="AE484" s="19">
        <f>IF(OR(LEN(A484)=0,LEN(R484)=0),0,IF(OR(R484="Active",R484="Paid off",R484="Defaulted",R484="Repossessed",R484="Written off",R484="Restructured"),0,1))</f>
        <v/>
      </c>
      <c r="AF484" s="19">
        <f>IF(A484="",0,IF(N(J484)&gt;N(I484),1,0))</f>
        <v/>
      </c>
      <c r="AG484" s="19">
        <f>IF(A484="",0,IF(N(N484)&gt;N(M484)+1,1,0))</f>
        <v/>
      </c>
      <c r="AH484" s="19">
        <f>IF(A484="",0,IF(N(E484)&gt;N(B484),1,0))</f>
        <v/>
      </c>
      <c r="AI484" s="19">
        <f>IF(A484="",0,IF(AND(Z484="Full payment",N(N484)&lt;N(M484)-1),1,0))</f>
        <v/>
      </c>
      <c r="AJ484" s="19">
        <f>IF(A484="",0,IF(N(P484)&lt;0,1,0))</f>
        <v/>
      </c>
      <c r="AK484" s="19">
        <f>IF(A484="",0,IF(COUNTIF($A$7:$A$1006,A484)&gt;1,1,0))</f>
        <v/>
      </c>
    </row>
    <row r="485">
      <c r="A485" s="10" t="n"/>
      <c r="B485" s="17" t="n"/>
      <c r="C485" s="18" t="n"/>
      <c r="D485" s="10" t="n"/>
      <c r="E485" s="17" t="n"/>
      <c r="F485" s="10" t="n"/>
      <c r="G485" s="10" t="n"/>
      <c r="H485" s="10" t="n"/>
      <c r="I485" s="18" t="n"/>
      <c r="J485" s="18" t="n"/>
      <c r="K485" s="18" t="n"/>
      <c r="L485" s="18" t="n"/>
      <c r="M485" s="19">
        <f>IF(K485="","",K485*365/12*L485)</f>
        <v/>
      </c>
      <c r="N485" s="18" t="n"/>
      <c r="O485" s="18" t="n"/>
      <c r="P485" s="18" t="n"/>
      <c r="Q485" s="18" t="n"/>
      <c r="R485" s="10" t="n"/>
      <c r="S485" s="17" t="n"/>
      <c r="T485" s="18" t="n"/>
      <c r="U485" s="17" t="n"/>
      <c r="V485" s="17" t="n"/>
      <c r="W485" s="18" t="n"/>
      <c r="X485" s="18" t="n"/>
      <c r="Y485" s="17" t="n"/>
      <c r="Z485" s="10" t="n"/>
      <c r="AA485" s="10" t="n"/>
      <c r="AB485" s="19">
        <f>IF(LEN(A485)&gt;0,1,0)</f>
        <v/>
      </c>
      <c r="AC485" s="19">
        <f>IF(LEN(A485)=0,0,(LEN(B485)=0)+(LEN(C485)=0)+(LEN(D485)=0)+(LEN(E485)=0)+(LEN(F485)=0)+(LEN(G485)=0)+(LEN(H485)=0)+(LEN(I485)=0)+(LEN(J485)=0)+(LEN(K485)=0)+(LEN(L485)=0)+(LEN(N485)=0)+(LEN(O485)=0)+(LEN(P485)=0)+(LEN(R485)=0)+(LEN(AA485)=0))</f>
        <v/>
      </c>
      <c r="AD485" s="19">
        <f>IF(OR(LEN(A485)=0,LEN(C485)=0),0,IF(OR(C485&lt;1,C485&gt;5),1,0))</f>
        <v/>
      </c>
      <c r="AE485" s="19">
        <f>IF(OR(LEN(A485)=0,LEN(R485)=0),0,IF(OR(R485="Active",R485="Paid off",R485="Defaulted",R485="Repossessed",R485="Written off",R485="Restructured"),0,1))</f>
        <v/>
      </c>
      <c r="AF485" s="19">
        <f>IF(A485="",0,IF(N(J485)&gt;N(I485),1,0))</f>
        <v/>
      </c>
      <c r="AG485" s="19">
        <f>IF(A485="",0,IF(N(N485)&gt;N(M485)+1,1,0))</f>
        <v/>
      </c>
      <c r="AH485" s="19">
        <f>IF(A485="",0,IF(N(E485)&gt;N(B485),1,0))</f>
        <v/>
      </c>
      <c r="AI485" s="19">
        <f>IF(A485="",0,IF(AND(Z485="Full payment",N(N485)&lt;N(M485)-1),1,0))</f>
        <v/>
      </c>
      <c r="AJ485" s="19">
        <f>IF(A485="",0,IF(N(P485)&lt;0,1,0))</f>
        <v/>
      </c>
      <c r="AK485" s="19">
        <f>IF(A485="",0,IF(COUNTIF($A$7:$A$1006,A485)&gt;1,1,0))</f>
        <v/>
      </c>
    </row>
    <row r="486">
      <c r="A486" s="10" t="n"/>
      <c r="B486" s="17" t="n"/>
      <c r="C486" s="18" t="n"/>
      <c r="D486" s="10" t="n"/>
      <c r="E486" s="17" t="n"/>
      <c r="F486" s="10" t="n"/>
      <c r="G486" s="10" t="n"/>
      <c r="H486" s="10" t="n"/>
      <c r="I486" s="18" t="n"/>
      <c r="J486" s="18" t="n"/>
      <c r="K486" s="18" t="n"/>
      <c r="L486" s="18" t="n"/>
      <c r="M486" s="19">
        <f>IF(K486="","",K486*365/12*L486)</f>
        <v/>
      </c>
      <c r="N486" s="18" t="n"/>
      <c r="O486" s="18" t="n"/>
      <c r="P486" s="18" t="n"/>
      <c r="Q486" s="18" t="n"/>
      <c r="R486" s="10" t="n"/>
      <c r="S486" s="17" t="n"/>
      <c r="T486" s="18" t="n"/>
      <c r="U486" s="17" t="n"/>
      <c r="V486" s="17" t="n"/>
      <c r="W486" s="18" t="n"/>
      <c r="X486" s="18" t="n"/>
      <c r="Y486" s="17" t="n"/>
      <c r="Z486" s="10" t="n"/>
      <c r="AA486" s="10" t="n"/>
      <c r="AB486" s="19">
        <f>IF(LEN(A486)&gt;0,1,0)</f>
        <v/>
      </c>
      <c r="AC486" s="19">
        <f>IF(LEN(A486)=0,0,(LEN(B486)=0)+(LEN(C486)=0)+(LEN(D486)=0)+(LEN(E486)=0)+(LEN(F486)=0)+(LEN(G486)=0)+(LEN(H486)=0)+(LEN(I486)=0)+(LEN(J486)=0)+(LEN(K486)=0)+(LEN(L486)=0)+(LEN(N486)=0)+(LEN(O486)=0)+(LEN(P486)=0)+(LEN(R486)=0)+(LEN(AA486)=0))</f>
        <v/>
      </c>
      <c r="AD486" s="19">
        <f>IF(OR(LEN(A486)=0,LEN(C486)=0),0,IF(OR(C486&lt;1,C486&gt;5),1,0))</f>
        <v/>
      </c>
      <c r="AE486" s="19">
        <f>IF(OR(LEN(A486)=0,LEN(R486)=0),0,IF(OR(R486="Active",R486="Paid off",R486="Defaulted",R486="Repossessed",R486="Written off",R486="Restructured"),0,1))</f>
        <v/>
      </c>
      <c r="AF486" s="19">
        <f>IF(A486="",0,IF(N(J486)&gt;N(I486),1,0))</f>
        <v/>
      </c>
      <c r="AG486" s="19">
        <f>IF(A486="",0,IF(N(N486)&gt;N(M486)+1,1,0))</f>
        <v/>
      </c>
      <c r="AH486" s="19">
        <f>IF(A486="",0,IF(N(E486)&gt;N(B486),1,0))</f>
        <v/>
      </c>
      <c r="AI486" s="19">
        <f>IF(A486="",0,IF(AND(Z486="Full payment",N(N486)&lt;N(M486)-1),1,0))</f>
        <v/>
      </c>
      <c r="AJ486" s="19">
        <f>IF(A486="",0,IF(N(P486)&lt;0,1,0))</f>
        <v/>
      </c>
      <c r="AK486" s="19">
        <f>IF(A486="",0,IF(COUNTIF($A$7:$A$1006,A486)&gt;1,1,0))</f>
        <v/>
      </c>
    </row>
    <row r="487">
      <c r="A487" s="10" t="n"/>
      <c r="B487" s="17" t="n"/>
      <c r="C487" s="18" t="n"/>
      <c r="D487" s="10" t="n"/>
      <c r="E487" s="17" t="n"/>
      <c r="F487" s="10" t="n"/>
      <c r="G487" s="10" t="n"/>
      <c r="H487" s="10" t="n"/>
      <c r="I487" s="18" t="n"/>
      <c r="J487" s="18" t="n"/>
      <c r="K487" s="18" t="n"/>
      <c r="L487" s="18" t="n"/>
      <c r="M487" s="19">
        <f>IF(K487="","",K487*365/12*L487)</f>
        <v/>
      </c>
      <c r="N487" s="18" t="n"/>
      <c r="O487" s="18" t="n"/>
      <c r="P487" s="18" t="n"/>
      <c r="Q487" s="18" t="n"/>
      <c r="R487" s="10" t="n"/>
      <c r="S487" s="17" t="n"/>
      <c r="T487" s="18" t="n"/>
      <c r="U487" s="17" t="n"/>
      <c r="V487" s="17" t="n"/>
      <c r="W487" s="18" t="n"/>
      <c r="X487" s="18" t="n"/>
      <c r="Y487" s="17" t="n"/>
      <c r="Z487" s="10" t="n"/>
      <c r="AA487" s="10" t="n"/>
      <c r="AB487" s="19">
        <f>IF(LEN(A487)&gt;0,1,0)</f>
        <v/>
      </c>
      <c r="AC487" s="19">
        <f>IF(LEN(A487)=0,0,(LEN(B487)=0)+(LEN(C487)=0)+(LEN(D487)=0)+(LEN(E487)=0)+(LEN(F487)=0)+(LEN(G487)=0)+(LEN(H487)=0)+(LEN(I487)=0)+(LEN(J487)=0)+(LEN(K487)=0)+(LEN(L487)=0)+(LEN(N487)=0)+(LEN(O487)=0)+(LEN(P487)=0)+(LEN(R487)=0)+(LEN(AA487)=0))</f>
        <v/>
      </c>
      <c r="AD487" s="19">
        <f>IF(OR(LEN(A487)=0,LEN(C487)=0),0,IF(OR(C487&lt;1,C487&gt;5),1,0))</f>
        <v/>
      </c>
      <c r="AE487" s="19">
        <f>IF(OR(LEN(A487)=0,LEN(R487)=0),0,IF(OR(R487="Active",R487="Paid off",R487="Defaulted",R487="Repossessed",R487="Written off",R487="Restructured"),0,1))</f>
        <v/>
      </c>
      <c r="AF487" s="19">
        <f>IF(A487="",0,IF(N(J487)&gt;N(I487),1,0))</f>
        <v/>
      </c>
      <c r="AG487" s="19">
        <f>IF(A487="",0,IF(N(N487)&gt;N(M487)+1,1,0))</f>
        <v/>
      </c>
      <c r="AH487" s="19">
        <f>IF(A487="",0,IF(N(E487)&gt;N(B487),1,0))</f>
        <v/>
      </c>
      <c r="AI487" s="19">
        <f>IF(A487="",0,IF(AND(Z487="Full payment",N(N487)&lt;N(M487)-1),1,0))</f>
        <v/>
      </c>
      <c r="AJ487" s="19">
        <f>IF(A487="",0,IF(N(P487)&lt;0,1,0))</f>
        <v/>
      </c>
      <c r="AK487" s="19">
        <f>IF(A487="",0,IF(COUNTIF($A$7:$A$1006,A487)&gt;1,1,0))</f>
        <v/>
      </c>
    </row>
    <row r="488">
      <c r="A488" s="10" t="n"/>
      <c r="B488" s="17" t="n"/>
      <c r="C488" s="18" t="n"/>
      <c r="D488" s="10" t="n"/>
      <c r="E488" s="17" t="n"/>
      <c r="F488" s="10" t="n"/>
      <c r="G488" s="10" t="n"/>
      <c r="H488" s="10" t="n"/>
      <c r="I488" s="18" t="n"/>
      <c r="J488" s="18" t="n"/>
      <c r="K488" s="18" t="n"/>
      <c r="L488" s="18" t="n"/>
      <c r="M488" s="19">
        <f>IF(K488="","",K488*365/12*L488)</f>
        <v/>
      </c>
      <c r="N488" s="18" t="n"/>
      <c r="O488" s="18" t="n"/>
      <c r="P488" s="18" t="n"/>
      <c r="Q488" s="18" t="n"/>
      <c r="R488" s="10" t="n"/>
      <c r="S488" s="17" t="n"/>
      <c r="T488" s="18" t="n"/>
      <c r="U488" s="17" t="n"/>
      <c r="V488" s="17" t="n"/>
      <c r="W488" s="18" t="n"/>
      <c r="X488" s="18" t="n"/>
      <c r="Y488" s="17" t="n"/>
      <c r="Z488" s="10" t="n"/>
      <c r="AA488" s="10" t="n"/>
      <c r="AB488" s="19">
        <f>IF(LEN(A488)&gt;0,1,0)</f>
        <v/>
      </c>
      <c r="AC488" s="19">
        <f>IF(LEN(A488)=0,0,(LEN(B488)=0)+(LEN(C488)=0)+(LEN(D488)=0)+(LEN(E488)=0)+(LEN(F488)=0)+(LEN(G488)=0)+(LEN(H488)=0)+(LEN(I488)=0)+(LEN(J488)=0)+(LEN(K488)=0)+(LEN(L488)=0)+(LEN(N488)=0)+(LEN(O488)=0)+(LEN(P488)=0)+(LEN(R488)=0)+(LEN(AA488)=0))</f>
        <v/>
      </c>
      <c r="AD488" s="19">
        <f>IF(OR(LEN(A488)=0,LEN(C488)=0),0,IF(OR(C488&lt;1,C488&gt;5),1,0))</f>
        <v/>
      </c>
      <c r="AE488" s="19">
        <f>IF(OR(LEN(A488)=0,LEN(R488)=0),0,IF(OR(R488="Active",R488="Paid off",R488="Defaulted",R488="Repossessed",R488="Written off",R488="Restructured"),0,1))</f>
        <v/>
      </c>
      <c r="AF488" s="19">
        <f>IF(A488="",0,IF(N(J488)&gt;N(I488),1,0))</f>
        <v/>
      </c>
      <c r="AG488" s="19">
        <f>IF(A488="",0,IF(N(N488)&gt;N(M488)+1,1,0))</f>
        <v/>
      </c>
      <c r="AH488" s="19">
        <f>IF(A488="",0,IF(N(E488)&gt;N(B488),1,0))</f>
        <v/>
      </c>
      <c r="AI488" s="19">
        <f>IF(A488="",0,IF(AND(Z488="Full payment",N(N488)&lt;N(M488)-1),1,0))</f>
        <v/>
      </c>
      <c r="AJ488" s="19">
        <f>IF(A488="",0,IF(N(P488)&lt;0,1,0))</f>
        <v/>
      </c>
      <c r="AK488" s="19">
        <f>IF(A488="",0,IF(COUNTIF($A$7:$A$1006,A488)&gt;1,1,0))</f>
        <v/>
      </c>
    </row>
    <row r="489">
      <c r="A489" s="10" t="n"/>
      <c r="B489" s="17" t="n"/>
      <c r="C489" s="18" t="n"/>
      <c r="D489" s="10" t="n"/>
      <c r="E489" s="17" t="n"/>
      <c r="F489" s="10" t="n"/>
      <c r="G489" s="10" t="n"/>
      <c r="H489" s="10" t="n"/>
      <c r="I489" s="18" t="n"/>
      <c r="J489" s="18" t="n"/>
      <c r="K489" s="18" t="n"/>
      <c r="L489" s="18" t="n"/>
      <c r="M489" s="19">
        <f>IF(K489="","",K489*365/12*L489)</f>
        <v/>
      </c>
      <c r="N489" s="18" t="n"/>
      <c r="O489" s="18" t="n"/>
      <c r="P489" s="18" t="n"/>
      <c r="Q489" s="18" t="n"/>
      <c r="R489" s="10" t="n"/>
      <c r="S489" s="17" t="n"/>
      <c r="T489" s="18" t="n"/>
      <c r="U489" s="17" t="n"/>
      <c r="V489" s="17" t="n"/>
      <c r="W489" s="18" t="n"/>
      <c r="X489" s="18" t="n"/>
      <c r="Y489" s="17" t="n"/>
      <c r="Z489" s="10" t="n"/>
      <c r="AA489" s="10" t="n"/>
      <c r="AB489" s="19">
        <f>IF(LEN(A489)&gt;0,1,0)</f>
        <v/>
      </c>
      <c r="AC489" s="19">
        <f>IF(LEN(A489)=0,0,(LEN(B489)=0)+(LEN(C489)=0)+(LEN(D489)=0)+(LEN(E489)=0)+(LEN(F489)=0)+(LEN(G489)=0)+(LEN(H489)=0)+(LEN(I489)=0)+(LEN(J489)=0)+(LEN(K489)=0)+(LEN(L489)=0)+(LEN(N489)=0)+(LEN(O489)=0)+(LEN(P489)=0)+(LEN(R489)=0)+(LEN(AA489)=0))</f>
        <v/>
      </c>
      <c r="AD489" s="19">
        <f>IF(OR(LEN(A489)=0,LEN(C489)=0),0,IF(OR(C489&lt;1,C489&gt;5),1,0))</f>
        <v/>
      </c>
      <c r="AE489" s="19">
        <f>IF(OR(LEN(A489)=0,LEN(R489)=0),0,IF(OR(R489="Active",R489="Paid off",R489="Defaulted",R489="Repossessed",R489="Written off",R489="Restructured"),0,1))</f>
        <v/>
      </c>
      <c r="AF489" s="19">
        <f>IF(A489="",0,IF(N(J489)&gt;N(I489),1,0))</f>
        <v/>
      </c>
      <c r="AG489" s="19">
        <f>IF(A489="",0,IF(N(N489)&gt;N(M489)+1,1,0))</f>
        <v/>
      </c>
      <c r="AH489" s="19">
        <f>IF(A489="",0,IF(N(E489)&gt;N(B489),1,0))</f>
        <v/>
      </c>
      <c r="AI489" s="19">
        <f>IF(A489="",0,IF(AND(Z489="Full payment",N(N489)&lt;N(M489)-1),1,0))</f>
        <v/>
      </c>
      <c r="AJ489" s="19">
        <f>IF(A489="",0,IF(N(P489)&lt;0,1,0))</f>
        <v/>
      </c>
      <c r="AK489" s="19">
        <f>IF(A489="",0,IF(COUNTIF($A$7:$A$1006,A489)&gt;1,1,0))</f>
        <v/>
      </c>
    </row>
    <row r="490">
      <c r="A490" s="10" t="n"/>
      <c r="B490" s="17" t="n"/>
      <c r="C490" s="18" t="n"/>
      <c r="D490" s="10" t="n"/>
      <c r="E490" s="17" t="n"/>
      <c r="F490" s="10" t="n"/>
      <c r="G490" s="10" t="n"/>
      <c r="H490" s="10" t="n"/>
      <c r="I490" s="18" t="n"/>
      <c r="J490" s="18" t="n"/>
      <c r="K490" s="18" t="n"/>
      <c r="L490" s="18" t="n"/>
      <c r="M490" s="19">
        <f>IF(K490="","",K490*365/12*L490)</f>
        <v/>
      </c>
      <c r="N490" s="18" t="n"/>
      <c r="O490" s="18" t="n"/>
      <c r="P490" s="18" t="n"/>
      <c r="Q490" s="18" t="n"/>
      <c r="R490" s="10" t="n"/>
      <c r="S490" s="17" t="n"/>
      <c r="T490" s="18" t="n"/>
      <c r="U490" s="17" t="n"/>
      <c r="V490" s="17" t="n"/>
      <c r="W490" s="18" t="n"/>
      <c r="X490" s="18" t="n"/>
      <c r="Y490" s="17" t="n"/>
      <c r="Z490" s="10" t="n"/>
      <c r="AA490" s="10" t="n"/>
      <c r="AB490" s="19">
        <f>IF(LEN(A490)&gt;0,1,0)</f>
        <v/>
      </c>
      <c r="AC490" s="19">
        <f>IF(LEN(A490)=0,0,(LEN(B490)=0)+(LEN(C490)=0)+(LEN(D490)=0)+(LEN(E490)=0)+(LEN(F490)=0)+(LEN(G490)=0)+(LEN(H490)=0)+(LEN(I490)=0)+(LEN(J490)=0)+(LEN(K490)=0)+(LEN(L490)=0)+(LEN(N490)=0)+(LEN(O490)=0)+(LEN(P490)=0)+(LEN(R490)=0)+(LEN(AA490)=0))</f>
        <v/>
      </c>
      <c r="AD490" s="19">
        <f>IF(OR(LEN(A490)=0,LEN(C490)=0),0,IF(OR(C490&lt;1,C490&gt;5),1,0))</f>
        <v/>
      </c>
      <c r="AE490" s="19">
        <f>IF(OR(LEN(A490)=0,LEN(R490)=0),0,IF(OR(R490="Active",R490="Paid off",R490="Defaulted",R490="Repossessed",R490="Written off",R490="Restructured"),0,1))</f>
        <v/>
      </c>
      <c r="AF490" s="19">
        <f>IF(A490="",0,IF(N(J490)&gt;N(I490),1,0))</f>
        <v/>
      </c>
      <c r="AG490" s="19">
        <f>IF(A490="",0,IF(N(N490)&gt;N(M490)+1,1,0))</f>
        <v/>
      </c>
      <c r="AH490" s="19">
        <f>IF(A490="",0,IF(N(E490)&gt;N(B490),1,0))</f>
        <v/>
      </c>
      <c r="AI490" s="19">
        <f>IF(A490="",0,IF(AND(Z490="Full payment",N(N490)&lt;N(M490)-1),1,0))</f>
        <v/>
      </c>
      <c r="AJ490" s="19">
        <f>IF(A490="",0,IF(N(P490)&lt;0,1,0))</f>
        <v/>
      </c>
      <c r="AK490" s="19">
        <f>IF(A490="",0,IF(COUNTIF($A$7:$A$1006,A490)&gt;1,1,0))</f>
        <v/>
      </c>
    </row>
    <row r="491">
      <c r="A491" s="10" t="n"/>
      <c r="B491" s="17" t="n"/>
      <c r="C491" s="18" t="n"/>
      <c r="D491" s="10" t="n"/>
      <c r="E491" s="17" t="n"/>
      <c r="F491" s="10" t="n"/>
      <c r="G491" s="10" t="n"/>
      <c r="H491" s="10" t="n"/>
      <c r="I491" s="18" t="n"/>
      <c r="J491" s="18" t="n"/>
      <c r="K491" s="18" t="n"/>
      <c r="L491" s="18" t="n"/>
      <c r="M491" s="19">
        <f>IF(K491="","",K491*365/12*L491)</f>
        <v/>
      </c>
      <c r="N491" s="18" t="n"/>
      <c r="O491" s="18" t="n"/>
      <c r="P491" s="18" t="n"/>
      <c r="Q491" s="18" t="n"/>
      <c r="R491" s="10" t="n"/>
      <c r="S491" s="17" t="n"/>
      <c r="T491" s="18" t="n"/>
      <c r="U491" s="17" t="n"/>
      <c r="V491" s="17" t="n"/>
      <c r="W491" s="18" t="n"/>
      <c r="X491" s="18" t="n"/>
      <c r="Y491" s="17" t="n"/>
      <c r="Z491" s="10" t="n"/>
      <c r="AA491" s="10" t="n"/>
      <c r="AB491" s="19">
        <f>IF(LEN(A491)&gt;0,1,0)</f>
        <v/>
      </c>
      <c r="AC491" s="19">
        <f>IF(LEN(A491)=0,0,(LEN(B491)=0)+(LEN(C491)=0)+(LEN(D491)=0)+(LEN(E491)=0)+(LEN(F491)=0)+(LEN(G491)=0)+(LEN(H491)=0)+(LEN(I491)=0)+(LEN(J491)=0)+(LEN(K491)=0)+(LEN(L491)=0)+(LEN(N491)=0)+(LEN(O491)=0)+(LEN(P491)=0)+(LEN(R491)=0)+(LEN(AA491)=0))</f>
        <v/>
      </c>
      <c r="AD491" s="19">
        <f>IF(OR(LEN(A491)=0,LEN(C491)=0),0,IF(OR(C491&lt;1,C491&gt;5),1,0))</f>
        <v/>
      </c>
      <c r="AE491" s="19">
        <f>IF(OR(LEN(A491)=0,LEN(R491)=0),0,IF(OR(R491="Active",R491="Paid off",R491="Defaulted",R491="Repossessed",R491="Written off",R491="Restructured"),0,1))</f>
        <v/>
      </c>
      <c r="AF491" s="19">
        <f>IF(A491="",0,IF(N(J491)&gt;N(I491),1,0))</f>
        <v/>
      </c>
      <c r="AG491" s="19">
        <f>IF(A491="",0,IF(N(N491)&gt;N(M491)+1,1,0))</f>
        <v/>
      </c>
      <c r="AH491" s="19">
        <f>IF(A491="",0,IF(N(E491)&gt;N(B491),1,0))</f>
        <v/>
      </c>
      <c r="AI491" s="19">
        <f>IF(A491="",0,IF(AND(Z491="Full payment",N(N491)&lt;N(M491)-1),1,0))</f>
        <v/>
      </c>
      <c r="AJ491" s="19">
        <f>IF(A491="",0,IF(N(P491)&lt;0,1,0))</f>
        <v/>
      </c>
      <c r="AK491" s="19">
        <f>IF(A491="",0,IF(COUNTIF($A$7:$A$1006,A491)&gt;1,1,0))</f>
        <v/>
      </c>
    </row>
    <row r="492">
      <c r="A492" s="10" t="n"/>
      <c r="B492" s="17" t="n"/>
      <c r="C492" s="18" t="n"/>
      <c r="D492" s="10" t="n"/>
      <c r="E492" s="17" t="n"/>
      <c r="F492" s="10" t="n"/>
      <c r="G492" s="10" t="n"/>
      <c r="H492" s="10" t="n"/>
      <c r="I492" s="18" t="n"/>
      <c r="J492" s="18" t="n"/>
      <c r="K492" s="18" t="n"/>
      <c r="L492" s="18" t="n"/>
      <c r="M492" s="19">
        <f>IF(K492="","",K492*365/12*L492)</f>
        <v/>
      </c>
      <c r="N492" s="18" t="n"/>
      <c r="O492" s="18" t="n"/>
      <c r="P492" s="18" t="n"/>
      <c r="Q492" s="18" t="n"/>
      <c r="R492" s="10" t="n"/>
      <c r="S492" s="17" t="n"/>
      <c r="T492" s="18" t="n"/>
      <c r="U492" s="17" t="n"/>
      <c r="V492" s="17" t="n"/>
      <c r="W492" s="18" t="n"/>
      <c r="X492" s="18" t="n"/>
      <c r="Y492" s="17" t="n"/>
      <c r="Z492" s="10" t="n"/>
      <c r="AA492" s="10" t="n"/>
      <c r="AB492" s="19">
        <f>IF(LEN(A492)&gt;0,1,0)</f>
        <v/>
      </c>
      <c r="AC492" s="19">
        <f>IF(LEN(A492)=0,0,(LEN(B492)=0)+(LEN(C492)=0)+(LEN(D492)=0)+(LEN(E492)=0)+(LEN(F492)=0)+(LEN(G492)=0)+(LEN(H492)=0)+(LEN(I492)=0)+(LEN(J492)=0)+(LEN(K492)=0)+(LEN(L492)=0)+(LEN(N492)=0)+(LEN(O492)=0)+(LEN(P492)=0)+(LEN(R492)=0)+(LEN(AA492)=0))</f>
        <v/>
      </c>
      <c r="AD492" s="19">
        <f>IF(OR(LEN(A492)=0,LEN(C492)=0),0,IF(OR(C492&lt;1,C492&gt;5),1,0))</f>
        <v/>
      </c>
      <c r="AE492" s="19">
        <f>IF(OR(LEN(A492)=0,LEN(R492)=0),0,IF(OR(R492="Active",R492="Paid off",R492="Defaulted",R492="Repossessed",R492="Written off",R492="Restructured"),0,1))</f>
        <v/>
      </c>
      <c r="AF492" s="19">
        <f>IF(A492="",0,IF(N(J492)&gt;N(I492),1,0))</f>
        <v/>
      </c>
      <c r="AG492" s="19">
        <f>IF(A492="",0,IF(N(N492)&gt;N(M492)+1,1,0))</f>
        <v/>
      </c>
      <c r="AH492" s="19">
        <f>IF(A492="",0,IF(N(E492)&gt;N(B492),1,0))</f>
        <v/>
      </c>
      <c r="AI492" s="19">
        <f>IF(A492="",0,IF(AND(Z492="Full payment",N(N492)&lt;N(M492)-1),1,0))</f>
        <v/>
      </c>
      <c r="AJ492" s="19">
        <f>IF(A492="",0,IF(N(P492)&lt;0,1,0))</f>
        <v/>
      </c>
      <c r="AK492" s="19">
        <f>IF(A492="",0,IF(COUNTIF($A$7:$A$1006,A492)&gt;1,1,0))</f>
        <v/>
      </c>
    </row>
    <row r="493">
      <c r="A493" s="10" t="n"/>
      <c r="B493" s="17" t="n"/>
      <c r="C493" s="18" t="n"/>
      <c r="D493" s="10" t="n"/>
      <c r="E493" s="17" t="n"/>
      <c r="F493" s="10" t="n"/>
      <c r="G493" s="10" t="n"/>
      <c r="H493" s="10" t="n"/>
      <c r="I493" s="18" t="n"/>
      <c r="J493" s="18" t="n"/>
      <c r="K493" s="18" t="n"/>
      <c r="L493" s="18" t="n"/>
      <c r="M493" s="19">
        <f>IF(K493="","",K493*365/12*L493)</f>
        <v/>
      </c>
      <c r="N493" s="18" t="n"/>
      <c r="O493" s="18" t="n"/>
      <c r="P493" s="18" t="n"/>
      <c r="Q493" s="18" t="n"/>
      <c r="R493" s="10" t="n"/>
      <c r="S493" s="17" t="n"/>
      <c r="T493" s="18" t="n"/>
      <c r="U493" s="17" t="n"/>
      <c r="V493" s="17" t="n"/>
      <c r="W493" s="18" t="n"/>
      <c r="X493" s="18" t="n"/>
      <c r="Y493" s="17" t="n"/>
      <c r="Z493" s="10" t="n"/>
      <c r="AA493" s="10" t="n"/>
      <c r="AB493" s="19">
        <f>IF(LEN(A493)&gt;0,1,0)</f>
        <v/>
      </c>
      <c r="AC493" s="19">
        <f>IF(LEN(A493)=0,0,(LEN(B493)=0)+(LEN(C493)=0)+(LEN(D493)=0)+(LEN(E493)=0)+(LEN(F493)=0)+(LEN(G493)=0)+(LEN(H493)=0)+(LEN(I493)=0)+(LEN(J493)=0)+(LEN(K493)=0)+(LEN(L493)=0)+(LEN(N493)=0)+(LEN(O493)=0)+(LEN(P493)=0)+(LEN(R493)=0)+(LEN(AA493)=0))</f>
        <v/>
      </c>
      <c r="AD493" s="19">
        <f>IF(OR(LEN(A493)=0,LEN(C493)=0),0,IF(OR(C493&lt;1,C493&gt;5),1,0))</f>
        <v/>
      </c>
      <c r="AE493" s="19">
        <f>IF(OR(LEN(A493)=0,LEN(R493)=0),0,IF(OR(R493="Active",R493="Paid off",R493="Defaulted",R493="Repossessed",R493="Written off",R493="Restructured"),0,1))</f>
        <v/>
      </c>
      <c r="AF493" s="19">
        <f>IF(A493="",0,IF(N(J493)&gt;N(I493),1,0))</f>
        <v/>
      </c>
      <c r="AG493" s="19">
        <f>IF(A493="",0,IF(N(N493)&gt;N(M493)+1,1,0))</f>
        <v/>
      </c>
      <c r="AH493" s="19">
        <f>IF(A493="",0,IF(N(E493)&gt;N(B493),1,0))</f>
        <v/>
      </c>
      <c r="AI493" s="19">
        <f>IF(A493="",0,IF(AND(Z493="Full payment",N(N493)&lt;N(M493)-1),1,0))</f>
        <v/>
      </c>
      <c r="AJ493" s="19">
        <f>IF(A493="",0,IF(N(P493)&lt;0,1,0))</f>
        <v/>
      </c>
      <c r="AK493" s="19">
        <f>IF(A493="",0,IF(COUNTIF($A$7:$A$1006,A493)&gt;1,1,0))</f>
        <v/>
      </c>
    </row>
    <row r="494">
      <c r="A494" s="10" t="n"/>
      <c r="B494" s="17" t="n"/>
      <c r="C494" s="18" t="n"/>
      <c r="D494" s="10" t="n"/>
      <c r="E494" s="17" t="n"/>
      <c r="F494" s="10" t="n"/>
      <c r="G494" s="10" t="n"/>
      <c r="H494" s="10" t="n"/>
      <c r="I494" s="18" t="n"/>
      <c r="J494" s="18" t="n"/>
      <c r="K494" s="18" t="n"/>
      <c r="L494" s="18" t="n"/>
      <c r="M494" s="19">
        <f>IF(K494="","",K494*365/12*L494)</f>
        <v/>
      </c>
      <c r="N494" s="18" t="n"/>
      <c r="O494" s="18" t="n"/>
      <c r="P494" s="18" t="n"/>
      <c r="Q494" s="18" t="n"/>
      <c r="R494" s="10" t="n"/>
      <c r="S494" s="17" t="n"/>
      <c r="T494" s="18" t="n"/>
      <c r="U494" s="17" t="n"/>
      <c r="V494" s="17" t="n"/>
      <c r="W494" s="18" t="n"/>
      <c r="X494" s="18" t="n"/>
      <c r="Y494" s="17" t="n"/>
      <c r="Z494" s="10" t="n"/>
      <c r="AA494" s="10" t="n"/>
      <c r="AB494" s="19">
        <f>IF(LEN(A494)&gt;0,1,0)</f>
        <v/>
      </c>
      <c r="AC494" s="19">
        <f>IF(LEN(A494)=0,0,(LEN(B494)=0)+(LEN(C494)=0)+(LEN(D494)=0)+(LEN(E494)=0)+(LEN(F494)=0)+(LEN(G494)=0)+(LEN(H494)=0)+(LEN(I494)=0)+(LEN(J494)=0)+(LEN(K494)=0)+(LEN(L494)=0)+(LEN(N494)=0)+(LEN(O494)=0)+(LEN(P494)=0)+(LEN(R494)=0)+(LEN(AA494)=0))</f>
        <v/>
      </c>
      <c r="AD494" s="19">
        <f>IF(OR(LEN(A494)=0,LEN(C494)=0),0,IF(OR(C494&lt;1,C494&gt;5),1,0))</f>
        <v/>
      </c>
      <c r="AE494" s="19">
        <f>IF(OR(LEN(A494)=0,LEN(R494)=0),0,IF(OR(R494="Active",R494="Paid off",R494="Defaulted",R494="Repossessed",R494="Written off",R494="Restructured"),0,1))</f>
        <v/>
      </c>
      <c r="AF494" s="19">
        <f>IF(A494="",0,IF(N(J494)&gt;N(I494),1,0))</f>
        <v/>
      </c>
      <c r="AG494" s="19">
        <f>IF(A494="",0,IF(N(N494)&gt;N(M494)+1,1,0))</f>
        <v/>
      </c>
      <c r="AH494" s="19">
        <f>IF(A494="",0,IF(N(E494)&gt;N(B494),1,0))</f>
        <v/>
      </c>
      <c r="AI494" s="19">
        <f>IF(A494="",0,IF(AND(Z494="Full payment",N(N494)&lt;N(M494)-1),1,0))</f>
        <v/>
      </c>
      <c r="AJ494" s="19">
        <f>IF(A494="",0,IF(N(P494)&lt;0,1,0))</f>
        <v/>
      </c>
      <c r="AK494" s="19">
        <f>IF(A494="",0,IF(COUNTIF($A$7:$A$1006,A494)&gt;1,1,0))</f>
        <v/>
      </c>
    </row>
    <row r="495">
      <c r="A495" s="10" t="n"/>
      <c r="B495" s="17" t="n"/>
      <c r="C495" s="18" t="n"/>
      <c r="D495" s="10" t="n"/>
      <c r="E495" s="17" t="n"/>
      <c r="F495" s="10" t="n"/>
      <c r="G495" s="10" t="n"/>
      <c r="H495" s="10" t="n"/>
      <c r="I495" s="18" t="n"/>
      <c r="J495" s="18" t="n"/>
      <c r="K495" s="18" t="n"/>
      <c r="L495" s="18" t="n"/>
      <c r="M495" s="19">
        <f>IF(K495="","",K495*365/12*L495)</f>
        <v/>
      </c>
      <c r="N495" s="18" t="n"/>
      <c r="O495" s="18" t="n"/>
      <c r="P495" s="18" t="n"/>
      <c r="Q495" s="18" t="n"/>
      <c r="R495" s="10" t="n"/>
      <c r="S495" s="17" t="n"/>
      <c r="T495" s="18" t="n"/>
      <c r="U495" s="17" t="n"/>
      <c r="V495" s="17" t="n"/>
      <c r="W495" s="18" t="n"/>
      <c r="X495" s="18" t="n"/>
      <c r="Y495" s="17" t="n"/>
      <c r="Z495" s="10" t="n"/>
      <c r="AA495" s="10" t="n"/>
      <c r="AB495" s="19">
        <f>IF(LEN(A495)&gt;0,1,0)</f>
        <v/>
      </c>
      <c r="AC495" s="19">
        <f>IF(LEN(A495)=0,0,(LEN(B495)=0)+(LEN(C495)=0)+(LEN(D495)=0)+(LEN(E495)=0)+(LEN(F495)=0)+(LEN(G495)=0)+(LEN(H495)=0)+(LEN(I495)=0)+(LEN(J495)=0)+(LEN(K495)=0)+(LEN(L495)=0)+(LEN(N495)=0)+(LEN(O495)=0)+(LEN(P495)=0)+(LEN(R495)=0)+(LEN(AA495)=0))</f>
        <v/>
      </c>
      <c r="AD495" s="19">
        <f>IF(OR(LEN(A495)=0,LEN(C495)=0),0,IF(OR(C495&lt;1,C495&gt;5),1,0))</f>
        <v/>
      </c>
      <c r="AE495" s="19">
        <f>IF(OR(LEN(A495)=0,LEN(R495)=0),0,IF(OR(R495="Active",R495="Paid off",R495="Defaulted",R495="Repossessed",R495="Written off",R495="Restructured"),0,1))</f>
        <v/>
      </c>
      <c r="AF495" s="19">
        <f>IF(A495="",0,IF(N(J495)&gt;N(I495),1,0))</f>
        <v/>
      </c>
      <c r="AG495" s="19">
        <f>IF(A495="",0,IF(N(N495)&gt;N(M495)+1,1,0))</f>
        <v/>
      </c>
      <c r="AH495" s="19">
        <f>IF(A495="",0,IF(N(E495)&gt;N(B495),1,0))</f>
        <v/>
      </c>
      <c r="AI495" s="19">
        <f>IF(A495="",0,IF(AND(Z495="Full payment",N(N495)&lt;N(M495)-1),1,0))</f>
        <v/>
      </c>
      <c r="AJ495" s="19">
        <f>IF(A495="",0,IF(N(P495)&lt;0,1,0))</f>
        <v/>
      </c>
      <c r="AK495" s="19">
        <f>IF(A495="",0,IF(COUNTIF($A$7:$A$1006,A495)&gt;1,1,0))</f>
        <v/>
      </c>
    </row>
    <row r="496">
      <c r="A496" s="10" t="n"/>
      <c r="B496" s="17" t="n"/>
      <c r="C496" s="18" t="n"/>
      <c r="D496" s="10" t="n"/>
      <c r="E496" s="17" t="n"/>
      <c r="F496" s="10" t="n"/>
      <c r="G496" s="10" t="n"/>
      <c r="H496" s="10" t="n"/>
      <c r="I496" s="18" t="n"/>
      <c r="J496" s="18" t="n"/>
      <c r="K496" s="18" t="n"/>
      <c r="L496" s="18" t="n"/>
      <c r="M496" s="19">
        <f>IF(K496="","",K496*365/12*L496)</f>
        <v/>
      </c>
      <c r="N496" s="18" t="n"/>
      <c r="O496" s="18" t="n"/>
      <c r="P496" s="18" t="n"/>
      <c r="Q496" s="18" t="n"/>
      <c r="R496" s="10" t="n"/>
      <c r="S496" s="17" t="n"/>
      <c r="T496" s="18" t="n"/>
      <c r="U496" s="17" t="n"/>
      <c r="V496" s="17" t="n"/>
      <c r="W496" s="18" t="n"/>
      <c r="X496" s="18" t="n"/>
      <c r="Y496" s="17" t="n"/>
      <c r="Z496" s="10" t="n"/>
      <c r="AA496" s="10" t="n"/>
      <c r="AB496" s="19">
        <f>IF(LEN(A496)&gt;0,1,0)</f>
        <v/>
      </c>
      <c r="AC496" s="19">
        <f>IF(LEN(A496)=0,0,(LEN(B496)=0)+(LEN(C496)=0)+(LEN(D496)=0)+(LEN(E496)=0)+(LEN(F496)=0)+(LEN(G496)=0)+(LEN(H496)=0)+(LEN(I496)=0)+(LEN(J496)=0)+(LEN(K496)=0)+(LEN(L496)=0)+(LEN(N496)=0)+(LEN(O496)=0)+(LEN(P496)=0)+(LEN(R496)=0)+(LEN(AA496)=0))</f>
        <v/>
      </c>
      <c r="AD496" s="19">
        <f>IF(OR(LEN(A496)=0,LEN(C496)=0),0,IF(OR(C496&lt;1,C496&gt;5),1,0))</f>
        <v/>
      </c>
      <c r="AE496" s="19">
        <f>IF(OR(LEN(A496)=0,LEN(R496)=0),0,IF(OR(R496="Active",R496="Paid off",R496="Defaulted",R496="Repossessed",R496="Written off",R496="Restructured"),0,1))</f>
        <v/>
      </c>
      <c r="AF496" s="19">
        <f>IF(A496="",0,IF(N(J496)&gt;N(I496),1,0))</f>
        <v/>
      </c>
      <c r="AG496" s="19">
        <f>IF(A496="",0,IF(N(N496)&gt;N(M496)+1,1,0))</f>
        <v/>
      </c>
      <c r="AH496" s="19">
        <f>IF(A496="",0,IF(N(E496)&gt;N(B496),1,0))</f>
        <v/>
      </c>
      <c r="AI496" s="19">
        <f>IF(A496="",0,IF(AND(Z496="Full payment",N(N496)&lt;N(M496)-1),1,0))</f>
        <v/>
      </c>
      <c r="AJ496" s="19">
        <f>IF(A496="",0,IF(N(P496)&lt;0,1,0))</f>
        <v/>
      </c>
      <c r="AK496" s="19">
        <f>IF(A496="",0,IF(COUNTIF($A$7:$A$1006,A496)&gt;1,1,0))</f>
        <v/>
      </c>
    </row>
    <row r="497">
      <c r="A497" s="10" t="n"/>
      <c r="B497" s="17" t="n"/>
      <c r="C497" s="18" t="n"/>
      <c r="D497" s="10" t="n"/>
      <c r="E497" s="17" t="n"/>
      <c r="F497" s="10" t="n"/>
      <c r="G497" s="10" t="n"/>
      <c r="H497" s="10" t="n"/>
      <c r="I497" s="18" t="n"/>
      <c r="J497" s="18" t="n"/>
      <c r="K497" s="18" t="n"/>
      <c r="L497" s="18" t="n"/>
      <c r="M497" s="19">
        <f>IF(K497="","",K497*365/12*L497)</f>
        <v/>
      </c>
      <c r="N497" s="18" t="n"/>
      <c r="O497" s="18" t="n"/>
      <c r="P497" s="18" t="n"/>
      <c r="Q497" s="18" t="n"/>
      <c r="R497" s="10" t="n"/>
      <c r="S497" s="17" t="n"/>
      <c r="T497" s="18" t="n"/>
      <c r="U497" s="17" t="n"/>
      <c r="V497" s="17" t="n"/>
      <c r="W497" s="18" t="n"/>
      <c r="X497" s="18" t="n"/>
      <c r="Y497" s="17" t="n"/>
      <c r="Z497" s="10" t="n"/>
      <c r="AA497" s="10" t="n"/>
      <c r="AB497" s="19">
        <f>IF(LEN(A497)&gt;0,1,0)</f>
        <v/>
      </c>
      <c r="AC497" s="19">
        <f>IF(LEN(A497)=0,0,(LEN(B497)=0)+(LEN(C497)=0)+(LEN(D497)=0)+(LEN(E497)=0)+(LEN(F497)=0)+(LEN(G497)=0)+(LEN(H497)=0)+(LEN(I497)=0)+(LEN(J497)=0)+(LEN(K497)=0)+(LEN(L497)=0)+(LEN(N497)=0)+(LEN(O497)=0)+(LEN(P497)=0)+(LEN(R497)=0)+(LEN(AA497)=0))</f>
        <v/>
      </c>
      <c r="AD497" s="19">
        <f>IF(OR(LEN(A497)=0,LEN(C497)=0),0,IF(OR(C497&lt;1,C497&gt;5),1,0))</f>
        <v/>
      </c>
      <c r="AE497" s="19">
        <f>IF(OR(LEN(A497)=0,LEN(R497)=0),0,IF(OR(R497="Active",R497="Paid off",R497="Defaulted",R497="Repossessed",R497="Written off",R497="Restructured"),0,1))</f>
        <v/>
      </c>
      <c r="AF497" s="19">
        <f>IF(A497="",0,IF(N(J497)&gt;N(I497),1,0))</f>
        <v/>
      </c>
      <c r="AG497" s="19">
        <f>IF(A497="",0,IF(N(N497)&gt;N(M497)+1,1,0))</f>
        <v/>
      </c>
      <c r="AH497" s="19">
        <f>IF(A497="",0,IF(N(E497)&gt;N(B497),1,0))</f>
        <v/>
      </c>
      <c r="AI497" s="19">
        <f>IF(A497="",0,IF(AND(Z497="Full payment",N(N497)&lt;N(M497)-1),1,0))</f>
        <v/>
      </c>
      <c r="AJ497" s="19">
        <f>IF(A497="",0,IF(N(P497)&lt;0,1,0))</f>
        <v/>
      </c>
      <c r="AK497" s="19">
        <f>IF(A497="",0,IF(COUNTIF($A$7:$A$1006,A497)&gt;1,1,0))</f>
        <v/>
      </c>
    </row>
    <row r="498">
      <c r="A498" s="10" t="n"/>
      <c r="B498" s="17" t="n"/>
      <c r="C498" s="18" t="n"/>
      <c r="D498" s="10" t="n"/>
      <c r="E498" s="17" t="n"/>
      <c r="F498" s="10" t="n"/>
      <c r="G498" s="10" t="n"/>
      <c r="H498" s="10" t="n"/>
      <c r="I498" s="18" t="n"/>
      <c r="J498" s="18" t="n"/>
      <c r="K498" s="18" t="n"/>
      <c r="L498" s="18" t="n"/>
      <c r="M498" s="19">
        <f>IF(K498="","",K498*365/12*L498)</f>
        <v/>
      </c>
      <c r="N498" s="18" t="n"/>
      <c r="O498" s="18" t="n"/>
      <c r="P498" s="18" t="n"/>
      <c r="Q498" s="18" t="n"/>
      <c r="R498" s="10" t="n"/>
      <c r="S498" s="17" t="n"/>
      <c r="T498" s="18" t="n"/>
      <c r="U498" s="17" t="n"/>
      <c r="V498" s="17" t="n"/>
      <c r="W498" s="18" t="n"/>
      <c r="X498" s="18" t="n"/>
      <c r="Y498" s="17" t="n"/>
      <c r="Z498" s="10" t="n"/>
      <c r="AA498" s="10" t="n"/>
      <c r="AB498" s="19">
        <f>IF(LEN(A498)&gt;0,1,0)</f>
        <v/>
      </c>
      <c r="AC498" s="19">
        <f>IF(LEN(A498)=0,0,(LEN(B498)=0)+(LEN(C498)=0)+(LEN(D498)=0)+(LEN(E498)=0)+(LEN(F498)=0)+(LEN(G498)=0)+(LEN(H498)=0)+(LEN(I498)=0)+(LEN(J498)=0)+(LEN(K498)=0)+(LEN(L498)=0)+(LEN(N498)=0)+(LEN(O498)=0)+(LEN(P498)=0)+(LEN(R498)=0)+(LEN(AA498)=0))</f>
        <v/>
      </c>
      <c r="AD498" s="19">
        <f>IF(OR(LEN(A498)=0,LEN(C498)=0),0,IF(OR(C498&lt;1,C498&gt;5),1,0))</f>
        <v/>
      </c>
      <c r="AE498" s="19">
        <f>IF(OR(LEN(A498)=0,LEN(R498)=0),0,IF(OR(R498="Active",R498="Paid off",R498="Defaulted",R498="Repossessed",R498="Written off",R498="Restructured"),0,1))</f>
        <v/>
      </c>
      <c r="AF498" s="19">
        <f>IF(A498="",0,IF(N(J498)&gt;N(I498),1,0))</f>
        <v/>
      </c>
      <c r="AG498" s="19">
        <f>IF(A498="",0,IF(N(N498)&gt;N(M498)+1,1,0))</f>
        <v/>
      </c>
      <c r="AH498" s="19">
        <f>IF(A498="",0,IF(N(E498)&gt;N(B498),1,0))</f>
        <v/>
      </c>
      <c r="AI498" s="19">
        <f>IF(A498="",0,IF(AND(Z498="Full payment",N(N498)&lt;N(M498)-1),1,0))</f>
        <v/>
      </c>
      <c r="AJ498" s="19">
        <f>IF(A498="",0,IF(N(P498)&lt;0,1,0))</f>
        <v/>
      </c>
      <c r="AK498" s="19">
        <f>IF(A498="",0,IF(COUNTIF($A$7:$A$1006,A498)&gt;1,1,0))</f>
        <v/>
      </c>
    </row>
    <row r="499">
      <c r="A499" s="10" t="n"/>
      <c r="B499" s="17" t="n"/>
      <c r="C499" s="18" t="n"/>
      <c r="D499" s="10" t="n"/>
      <c r="E499" s="17" t="n"/>
      <c r="F499" s="10" t="n"/>
      <c r="G499" s="10" t="n"/>
      <c r="H499" s="10" t="n"/>
      <c r="I499" s="18" t="n"/>
      <c r="J499" s="18" t="n"/>
      <c r="K499" s="18" t="n"/>
      <c r="L499" s="18" t="n"/>
      <c r="M499" s="19">
        <f>IF(K499="","",K499*365/12*L499)</f>
        <v/>
      </c>
      <c r="N499" s="18" t="n"/>
      <c r="O499" s="18" t="n"/>
      <c r="P499" s="18" t="n"/>
      <c r="Q499" s="18" t="n"/>
      <c r="R499" s="10" t="n"/>
      <c r="S499" s="17" t="n"/>
      <c r="T499" s="18" t="n"/>
      <c r="U499" s="17" t="n"/>
      <c r="V499" s="17" t="n"/>
      <c r="W499" s="18" t="n"/>
      <c r="X499" s="18" t="n"/>
      <c r="Y499" s="17" t="n"/>
      <c r="Z499" s="10" t="n"/>
      <c r="AA499" s="10" t="n"/>
      <c r="AB499" s="19">
        <f>IF(LEN(A499)&gt;0,1,0)</f>
        <v/>
      </c>
      <c r="AC499" s="19">
        <f>IF(LEN(A499)=0,0,(LEN(B499)=0)+(LEN(C499)=0)+(LEN(D499)=0)+(LEN(E499)=0)+(LEN(F499)=0)+(LEN(G499)=0)+(LEN(H499)=0)+(LEN(I499)=0)+(LEN(J499)=0)+(LEN(K499)=0)+(LEN(L499)=0)+(LEN(N499)=0)+(LEN(O499)=0)+(LEN(P499)=0)+(LEN(R499)=0)+(LEN(AA499)=0))</f>
        <v/>
      </c>
      <c r="AD499" s="19">
        <f>IF(OR(LEN(A499)=0,LEN(C499)=0),0,IF(OR(C499&lt;1,C499&gt;5),1,0))</f>
        <v/>
      </c>
      <c r="AE499" s="19">
        <f>IF(OR(LEN(A499)=0,LEN(R499)=0),0,IF(OR(R499="Active",R499="Paid off",R499="Defaulted",R499="Repossessed",R499="Written off",R499="Restructured"),0,1))</f>
        <v/>
      </c>
      <c r="AF499" s="19">
        <f>IF(A499="",0,IF(N(J499)&gt;N(I499),1,0))</f>
        <v/>
      </c>
      <c r="AG499" s="19">
        <f>IF(A499="",0,IF(N(N499)&gt;N(M499)+1,1,0))</f>
        <v/>
      </c>
      <c r="AH499" s="19">
        <f>IF(A499="",0,IF(N(E499)&gt;N(B499),1,0))</f>
        <v/>
      </c>
      <c r="AI499" s="19">
        <f>IF(A499="",0,IF(AND(Z499="Full payment",N(N499)&lt;N(M499)-1),1,0))</f>
        <v/>
      </c>
      <c r="AJ499" s="19">
        <f>IF(A499="",0,IF(N(P499)&lt;0,1,0))</f>
        <v/>
      </c>
      <c r="AK499" s="19">
        <f>IF(A499="",0,IF(COUNTIF($A$7:$A$1006,A499)&gt;1,1,0))</f>
        <v/>
      </c>
    </row>
    <row r="500">
      <c r="A500" s="10" t="n"/>
      <c r="B500" s="17" t="n"/>
      <c r="C500" s="18" t="n"/>
      <c r="D500" s="10" t="n"/>
      <c r="E500" s="17" t="n"/>
      <c r="F500" s="10" t="n"/>
      <c r="G500" s="10" t="n"/>
      <c r="H500" s="10" t="n"/>
      <c r="I500" s="18" t="n"/>
      <c r="J500" s="18" t="n"/>
      <c r="K500" s="18" t="n"/>
      <c r="L500" s="18" t="n"/>
      <c r="M500" s="19">
        <f>IF(K500="","",K500*365/12*L500)</f>
        <v/>
      </c>
      <c r="N500" s="18" t="n"/>
      <c r="O500" s="18" t="n"/>
      <c r="P500" s="18" t="n"/>
      <c r="Q500" s="18" t="n"/>
      <c r="R500" s="10" t="n"/>
      <c r="S500" s="17" t="n"/>
      <c r="T500" s="18" t="n"/>
      <c r="U500" s="17" t="n"/>
      <c r="V500" s="17" t="n"/>
      <c r="W500" s="18" t="n"/>
      <c r="X500" s="18" t="n"/>
      <c r="Y500" s="17" t="n"/>
      <c r="Z500" s="10" t="n"/>
      <c r="AA500" s="10" t="n"/>
      <c r="AB500" s="19">
        <f>IF(LEN(A500)&gt;0,1,0)</f>
        <v/>
      </c>
      <c r="AC500" s="19">
        <f>IF(LEN(A500)=0,0,(LEN(B500)=0)+(LEN(C500)=0)+(LEN(D500)=0)+(LEN(E500)=0)+(LEN(F500)=0)+(LEN(G500)=0)+(LEN(H500)=0)+(LEN(I500)=0)+(LEN(J500)=0)+(LEN(K500)=0)+(LEN(L500)=0)+(LEN(N500)=0)+(LEN(O500)=0)+(LEN(P500)=0)+(LEN(R500)=0)+(LEN(AA500)=0))</f>
        <v/>
      </c>
      <c r="AD500" s="19">
        <f>IF(OR(LEN(A500)=0,LEN(C500)=0),0,IF(OR(C500&lt;1,C500&gt;5),1,0))</f>
        <v/>
      </c>
      <c r="AE500" s="19">
        <f>IF(OR(LEN(A500)=0,LEN(R500)=0),0,IF(OR(R500="Active",R500="Paid off",R500="Defaulted",R500="Repossessed",R500="Written off",R500="Restructured"),0,1))</f>
        <v/>
      </c>
      <c r="AF500" s="19">
        <f>IF(A500="",0,IF(N(J500)&gt;N(I500),1,0))</f>
        <v/>
      </c>
      <c r="AG500" s="19">
        <f>IF(A500="",0,IF(N(N500)&gt;N(M500)+1,1,0))</f>
        <v/>
      </c>
      <c r="AH500" s="19">
        <f>IF(A500="",0,IF(N(E500)&gt;N(B500),1,0))</f>
        <v/>
      </c>
      <c r="AI500" s="19">
        <f>IF(A500="",0,IF(AND(Z500="Full payment",N(N500)&lt;N(M500)-1),1,0))</f>
        <v/>
      </c>
      <c r="AJ500" s="19">
        <f>IF(A500="",0,IF(N(P500)&lt;0,1,0))</f>
        <v/>
      </c>
      <c r="AK500" s="19">
        <f>IF(A500="",0,IF(COUNTIF($A$7:$A$1006,A500)&gt;1,1,0))</f>
        <v/>
      </c>
    </row>
    <row r="501">
      <c r="A501" s="10" t="n"/>
      <c r="B501" s="17" t="n"/>
      <c r="C501" s="18" t="n"/>
      <c r="D501" s="10" t="n"/>
      <c r="E501" s="17" t="n"/>
      <c r="F501" s="10" t="n"/>
      <c r="G501" s="10" t="n"/>
      <c r="H501" s="10" t="n"/>
      <c r="I501" s="18" t="n"/>
      <c r="J501" s="18" t="n"/>
      <c r="K501" s="18" t="n"/>
      <c r="L501" s="18" t="n"/>
      <c r="M501" s="19">
        <f>IF(K501="","",K501*365/12*L501)</f>
        <v/>
      </c>
      <c r="N501" s="18" t="n"/>
      <c r="O501" s="18" t="n"/>
      <c r="P501" s="18" t="n"/>
      <c r="Q501" s="18" t="n"/>
      <c r="R501" s="10" t="n"/>
      <c r="S501" s="17" t="n"/>
      <c r="T501" s="18" t="n"/>
      <c r="U501" s="17" t="n"/>
      <c r="V501" s="17" t="n"/>
      <c r="W501" s="18" t="n"/>
      <c r="X501" s="18" t="n"/>
      <c r="Y501" s="17" t="n"/>
      <c r="Z501" s="10" t="n"/>
      <c r="AA501" s="10" t="n"/>
      <c r="AB501" s="19">
        <f>IF(LEN(A501)&gt;0,1,0)</f>
        <v/>
      </c>
      <c r="AC501" s="19">
        <f>IF(LEN(A501)=0,0,(LEN(B501)=0)+(LEN(C501)=0)+(LEN(D501)=0)+(LEN(E501)=0)+(LEN(F501)=0)+(LEN(G501)=0)+(LEN(H501)=0)+(LEN(I501)=0)+(LEN(J501)=0)+(LEN(K501)=0)+(LEN(L501)=0)+(LEN(N501)=0)+(LEN(O501)=0)+(LEN(P501)=0)+(LEN(R501)=0)+(LEN(AA501)=0))</f>
        <v/>
      </c>
      <c r="AD501" s="19">
        <f>IF(OR(LEN(A501)=0,LEN(C501)=0),0,IF(OR(C501&lt;1,C501&gt;5),1,0))</f>
        <v/>
      </c>
      <c r="AE501" s="19">
        <f>IF(OR(LEN(A501)=0,LEN(R501)=0),0,IF(OR(R501="Active",R501="Paid off",R501="Defaulted",R501="Repossessed",R501="Written off",R501="Restructured"),0,1))</f>
        <v/>
      </c>
      <c r="AF501" s="19">
        <f>IF(A501="",0,IF(N(J501)&gt;N(I501),1,0))</f>
        <v/>
      </c>
      <c r="AG501" s="19">
        <f>IF(A501="",0,IF(N(N501)&gt;N(M501)+1,1,0))</f>
        <v/>
      </c>
      <c r="AH501" s="19">
        <f>IF(A501="",0,IF(N(E501)&gt;N(B501),1,0))</f>
        <v/>
      </c>
      <c r="AI501" s="19">
        <f>IF(A501="",0,IF(AND(Z501="Full payment",N(N501)&lt;N(M501)-1),1,0))</f>
        <v/>
      </c>
      <c r="AJ501" s="19">
        <f>IF(A501="",0,IF(N(P501)&lt;0,1,0))</f>
        <v/>
      </c>
      <c r="AK501" s="19">
        <f>IF(A501="",0,IF(COUNTIF($A$7:$A$1006,A501)&gt;1,1,0))</f>
        <v/>
      </c>
    </row>
    <row r="502">
      <c r="A502" s="10" t="n"/>
      <c r="B502" s="17" t="n"/>
      <c r="C502" s="18" t="n"/>
      <c r="D502" s="10" t="n"/>
      <c r="E502" s="17" t="n"/>
      <c r="F502" s="10" t="n"/>
      <c r="G502" s="10" t="n"/>
      <c r="H502" s="10" t="n"/>
      <c r="I502" s="18" t="n"/>
      <c r="J502" s="18" t="n"/>
      <c r="K502" s="18" t="n"/>
      <c r="L502" s="18" t="n"/>
      <c r="M502" s="19">
        <f>IF(K502="","",K502*365/12*L502)</f>
        <v/>
      </c>
      <c r="N502" s="18" t="n"/>
      <c r="O502" s="18" t="n"/>
      <c r="P502" s="18" t="n"/>
      <c r="Q502" s="18" t="n"/>
      <c r="R502" s="10" t="n"/>
      <c r="S502" s="17" t="n"/>
      <c r="T502" s="18" t="n"/>
      <c r="U502" s="17" t="n"/>
      <c r="V502" s="17" t="n"/>
      <c r="W502" s="18" t="n"/>
      <c r="X502" s="18" t="n"/>
      <c r="Y502" s="17" t="n"/>
      <c r="Z502" s="10" t="n"/>
      <c r="AA502" s="10" t="n"/>
      <c r="AB502" s="19">
        <f>IF(LEN(A502)&gt;0,1,0)</f>
        <v/>
      </c>
      <c r="AC502" s="19">
        <f>IF(LEN(A502)=0,0,(LEN(B502)=0)+(LEN(C502)=0)+(LEN(D502)=0)+(LEN(E502)=0)+(LEN(F502)=0)+(LEN(G502)=0)+(LEN(H502)=0)+(LEN(I502)=0)+(LEN(J502)=0)+(LEN(K502)=0)+(LEN(L502)=0)+(LEN(N502)=0)+(LEN(O502)=0)+(LEN(P502)=0)+(LEN(R502)=0)+(LEN(AA502)=0))</f>
        <v/>
      </c>
      <c r="AD502" s="19">
        <f>IF(OR(LEN(A502)=0,LEN(C502)=0),0,IF(OR(C502&lt;1,C502&gt;5),1,0))</f>
        <v/>
      </c>
      <c r="AE502" s="19">
        <f>IF(OR(LEN(A502)=0,LEN(R502)=0),0,IF(OR(R502="Active",R502="Paid off",R502="Defaulted",R502="Repossessed",R502="Written off",R502="Restructured"),0,1))</f>
        <v/>
      </c>
      <c r="AF502" s="19">
        <f>IF(A502="",0,IF(N(J502)&gt;N(I502),1,0))</f>
        <v/>
      </c>
      <c r="AG502" s="19">
        <f>IF(A502="",0,IF(N(N502)&gt;N(M502)+1,1,0))</f>
        <v/>
      </c>
      <c r="AH502" s="19">
        <f>IF(A502="",0,IF(N(E502)&gt;N(B502),1,0))</f>
        <v/>
      </c>
      <c r="AI502" s="19">
        <f>IF(A502="",0,IF(AND(Z502="Full payment",N(N502)&lt;N(M502)-1),1,0))</f>
        <v/>
      </c>
      <c r="AJ502" s="19">
        <f>IF(A502="",0,IF(N(P502)&lt;0,1,0))</f>
        <v/>
      </c>
      <c r="AK502" s="19">
        <f>IF(A502="",0,IF(COUNTIF($A$7:$A$1006,A502)&gt;1,1,0))</f>
        <v/>
      </c>
    </row>
    <row r="503">
      <c r="A503" s="10" t="n"/>
      <c r="B503" s="17" t="n"/>
      <c r="C503" s="18" t="n"/>
      <c r="D503" s="10" t="n"/>
      <c r="E503" s="17" t="n"/>
      <c r="F503" s="10" t="n"/>
      <c r="G503" s="10" t="n"/>
      <c r="H503" s="10" t="n"/>
      <c r="I503" s="18" t="n"/>
      <c r="J503" s="18" t="n"/>
      <c r="K503" s="18" t="n"/>
      <c r="L503" s="18" t="n"/>
      <c r="M503" s="19">
        <f>IF(K503="","",K503*365/12*L503)</f>
        <v/>
      </c>
      <c r="N503" s="18" t="n"/>
      <c r="O503" s="18" t="n"/>
      <c r="P503" s="18" t="n"/>
      <c r="Q503" s="18" t="n"/>
      <c r="R503" s="10" t="n"/>
      <c r="S503" s="17" t="n"/>
      <c r="T503" s="18" t="n"/>
      <c r="U503" s="17" t="n"/>
      <c r="V503" s="17" t="n"/>
      <c r="W503" s="18" t="n"/>
      <c r="X503" s="18" t="n"/>
      <c r="Y503" s="17" t="n"/>
      <c r="Z503" s="10" t="n"/>
      <c r="AA503" s="10" t="n"/>
      <c r="AB503" s="19">
        <f>IF(LEN(A503)&gt;0,1,0)</f>
        <v/>
      </c>
      <c r="AC503" s="19">
        <f>IF(LEN(A503)=0,0,(LEN(B503)=0)+(LEN(C503)=0)+(LEN(D503)=0)+(LEN(E503)=0)+(LEN(F503)=0)+(LEN(G503)=0)+(LEN(H503)=0)+(LEN(I503)=0)+(LEN(J503)=0)+(LEN(K503)=0)+(LEN(L503)=0)+(LEN(N503)=0)+(LEN(O503)=0)+(LEN(P503)=0)+(LEN(R503)=0)+(LEN(AA503)=0))</f>
        <v/>
      </c>
      <c r="AD503" s="19">
        <f>IF(OR(LEN(A503)=0,LEN(C503)=0),0,IF(OR(C503&lt;1,C503&gt;5),1,0))</f>
        <v/>
      </c>
      <c r="AE503" s="19">
        <f>IF(OR(LEN(A503)=0,LEN(R503)=0),0,IF(OR(R503="Active",R503="Paid off",R503="Defaulted",R503="Repossessed",R503="Written off",R503="Restructured"),0,1))</f>
        <v/>
      </c>
      <c r="AF503" s="19">
        <f>IF(A503="",0,IF(N(J503)&gt;N(I503),1,0))</f>
        <v/>
      </c>
      <c r="AG503" s="19">
        <f>IF(A503="",0,IF(N(N503)&gt;N(M503)+1,1,0))</f>
        <v/>
      </c>
      <c r="AH503" s="19">
        <f>IF(A503="",0,IF(N(E503)&gt;N(B503),1,0))</f>
        <v/>
      </c>
      <c r="AI503" s="19">
        <f>IF(A503="",0,IF(AND(Z503="Full payment",N(N503)&lt;N(M503)-1),1,0))</f>
        <v/>
      </c>
      <c r="AJ503" s="19">
        <f>IF(A503="",0,IF(N(P503)&lt;0,1,0))</f>
        <v/>
      </c>
      <c r="AK503" s="19">
        <f>IF(A503="",0,IF(COUNTIF($A$7:$A$1006,A503)&gt;1,1,0))</f>
        <v/>
      </c>
    </row>
    <row r="504">
      <c r="A504" s="10" t="n"/>
      <c r="B504" s="17" t="n"/>
      <c r="C504" s="18" t="n"/>
      <c r="D504" s="10" t="n"/>
      <c r="E504" s="17" t="n"/>
      <c r="F504" s="10" t="n"/>
      <c r="G504" s="10" t="n"/>
      <c r="H504" s="10" t="n"/>
      <c r="I504" s="18" t="n"/>
      <c r="J504" s="18" t="n"/>
      <c r="K504" s="18" t="n"/>
      <c r="L504" s="18" t="n"/>
      <c r="M504" s="19">
        <f>IF(K504="","",K504*365/12*L504)</f>
        <v/>
      </c>
      <c r="N504" s="18" t="n"/>
      <c r="O504" s="18" t="n"/>
      <c r="P504" s="18" t="n"/>
      <c r="Q504" s="18" t="n"/>
      <c r="R504" s="10" t="n"/>
      <c r="S504" s="17" t="n"/>
      <c r="T504" s="18" t="n"/>
      <c r="U504" s="17" t="n"/>
      <c r="V504" s="17" t="n"/>
      <c r="W504" s="18" t="n"/>
      <c r="X504" s="18" t="n"/>
      <c r="Y504" s="17" t="n"/>
      <c r="Z504" s="10" t="n"/>
      <c r="AA504" s="10" t="n"/>
      <c r="AB504" s="19">
        <f>IF(LEN(A504)&gt;0,1,0)</f>
        <v/>
      </c>
      <c r="AC504" s="19">
        <f>IF(LEN(A504)=0,0,(LEN(B504)=0)+(LEN(C504)=0)+(LEN(D504)=0)+(LEN(E504)=0)+(LEN(F504)=0)+(LEN(G504)=0)+(LEN(H504)=0)+(LEN(I504)=0)+(LEN(J504)=0)+(LEN(K504)=0)+(LEN(L504)=0)+(LEN(N504)=0)+(LEN(O504)=0)+(LEN(P504)=0)+(LEN(R504)=0)+(LEN(AA504)=0))</f>
        <v/>
      </c>
      <c r="AD504" s="19">
        <f>IF(OR(LEN(A504)=0,LEN(C504)=0),0,IF(OR(C504&lt;1,C504&gt;5),1,0))</f>
        <v/>
      </c>
      <c r="AE504" s="19">
        <f>IF(OR(LEN(A504)=0,LEN(R504)=0),0,IF(OR(R504="Active",R504="Paid off",R504="Defaulted",R504="Repossessed",R504="Written off",R504="Restructured"),0,1))</f>
        <v/>
      </c>
      <c r="AF504" s="19">
        <f>IF(A504="",0,IF(N(J504)&gt;N(I504),1,0))</f>
        <v/>
      </c>
      <c r="AG504" s="19">
        <f>IF(A504="",0,IF(N(N504)&gt;N(M504)+1,1,0))</f>
        <v/>
      </c>
      <c r="AH504" s="19">
        <f>IF(A504="",0,IF(N(E504)&gt;N(B504),1,0))</f>
        <v/>
      </c>
      <c r="AI504" s="19">
        <f>IF(A504="",0,IF(AND(Z504="Full payment",N(N504)&lt;N(M504)-1),1,0))</f>
        <v/>
      </c>
      <c r="AJ504" s="19">
        <f>IF(A504="",0,IF(N(P504)&lt;0,1,0))</f>
        <v/>
      </c>
      <c r="AK504" s="19">
        <f>IF(A504="",0,IF(COUNTIF($A$7:$A$1006,A504)&gt;1,1,0))</f>
        <v/>
      </c>
    </row>
    <row r="505">
      <c r="A505" s="10" t="n"/>
      <c r="B505" s="17" t="n"/>
      <c r="C505" s="18" t="n"/>
      <c r="D505" s="10" t="n"/>
      <c r="E505" s="17" t="n"/>
      <c r="F505" s="10" t="n"/>
      <c r="G505" s="10" t="n"/>
      <c r="H505" s="10" t="n"/>
      <c r="I505" s="18" t="n"/>
      <c r="J505" s="18" t="n"/>
      <c r="K505" s="18" t="n"/>
      <c r="L505" s="18" t="n"/>
      <c r="M505" s="19">
        <f>IF(K505="","",K505*365/12*L505)</f>
        <v/>
      </c>
      <c r="N505" s="18" t="n"/>
      <c r="O505" s="18" t="n"/>
      <c r="P505" s="18" t="n"/>
      <c r="Q505" s="18" t="n"/>
      <c r="R505" s="10" t="n"/>
      <c r="S505" s="17" t="n"/>
      <c r="T505" s="18" t="n"/>
      <c r="U505" s="17" t="n"/>
      <c r="V505" s="17" t="n"/>
      <c r="W505" s="18" t="n"/>
      <c r="X505" s="18" t="n"/>
      <c r="Y505" s="17" t="n"/>
      <c r="Z505" s="10" t="n"/>
      <c r="AA505" s="10" t="n"/>
      <c r="AB505" s="19">
        <f>IF(LEN(A505)&gt;0,1,0)</f>
        <v/>
      </c>
      <c r="AC505" s="19">
        <f>IF(LEN(A505)=0,0,(LEN(B505)=0)+(LEN(C505)=0)+(LEN(D505)=0)+(LEN(E505)=0)+(LEN(F505)=0)+(LEN(G505)=0)+(LEN(H505)=0)+(LEN(I505)=0)+(LEN(J505)=0)+(LEN(K505)=0)+(LEN(L505)=0)+(LEN(N505)=0)+(LEN(O505)=0)+(LEN(P505)=0)+(LEN(R505)=0)+(LEN(AA505)=0))</f>
        <v/>
      </c>
      <c r="AD505" s="19">
        <f>IF(OR(LEN(A505)=0,LEN(C505)=0),0,IF(OR(C505&lt;1,C505&gt;5),1,0))</f>
        <v/>
      </c>
      <c r="AE505" s="19">
        <f>IF(OR(LEN(A505)=0,LEN(R505)=0),0,IF(OR(R505="Active",R505="Paid off",R505="Defaulted",R505="Repossessed",R505="Written off",R505="Restructured"),0,1))</f>
        <v/>
      </c>
      <c r="AF505" s="19">
        <f>IF(A505="",0,IF(N(J505)&gt;N(I505),1,0))</f>
        <v/>
      </c>
      <c r="AG505" s="19">
        <f>IF(A505="",0,IF(N(N505)&gt;N(M505)+1,1,0))</f>
        <v/>
      </c>
      <c r="AH505" s="19">
        <f>IF(A505="",0,IF(N(E505)&gt;N(B505),1,0))</f>
        <v/>
      </c>
      <c r="AI505" s="19">
        <f>IF(A505="",0,IF(AND(Z505="Full payment",N(N505)&lt;N(M505)-1),1,0))</f>
        <v/>
      </c>
      <c r="AJ505" s="19">
        <f>IF(A505="",0,IF(N(P505)&lt;0,1,0))</f>
        <v/>
      </c>
      <c r="AK505" s="19">
        <f>IF(A505="",0,IF(COUNTIF($A$7:$A$1006,A505)&gt;1,1,0))</f>
        <v/>
      </c>
    </row>
    <row r="506">
      <c r="A506" s="10" t="n"/>
      <c r="B506" s="17" t="n"/>
      <c r="C506" s="18" t="n"/>
      <c r="D506" s="10" t="n"/>
      <c r="E506" s="17" t="n"/>
      <c r="F506" s="10" t="n"/>
      <c r="G506" s="10" t="n"/>
      <c r="H506" s="10" t="n"/>
      <c r="I506" s="18" t="n"/>
      <c r="J506" s="18" t="n"/>
      <c r="K506" s="18" t="n"/>
      <c r="L506" s="18" t="n"/>
      <c r="M506" s="19">
        <f>IF(K506="","",K506*365/12*L506)</f>
        <v/>
      </c>
      <c r="N506" s="18" t="n"/>
      <c r="O506" s="18" t="n"/>
      <c r="P506" s="18" t="n"/>
      <c r="Q506" s="18" t="n"/>
      <c r="R506" s="10" t="n"/>
      <c r="S506" s="17" t="n"/>
      <c r="T506" s="18" t="n"/>
      <c r="U506" s="17" t="n"/>
      <c r="V506" s="17" t="n"/>
      <c r="W506" s="18" t="n"/>
      <c r="X506" s="18" t="n"/>
      <c r="Y506" s="17" t="n"/>
      <c r="Z506" s="10" t="n"/>
      <c r="AA506" s="10" t="n"/>
      <c r="AB506" s="19">
        <f>IF(LEN(A506)&gt;0,1,0)</f>
        <v/>
      </c>
      <c r="AC506" s="19">
        <f>IF(LEN(A506)=0,0,(LEN(B506)=0)+(LEN(C506)=0)+(LEN(D506)=0)+(LEN(E506)=0)+(LEN(F506)=0)+(LEN(G506)=0)+(LEN(H506)=0)+(LEN(I506)=0)+(LEN(J506)=0)+(LEN(K506)=0)+(LEN(L506)=0)+(LEN(N506)=0)+(LEN(O506)=0)+(LEN(P506)=0)+(LEN(R506)=0)+(LEN(AA506)=0))</f>
        <v/>
      </c>
      <c r="AD506" s="19">
        <f>IF(OR(LEN(A506)=0,LEN(C506)=0),0,IF(OR(C506&lt;1,C506&gt;5),1,0))</f>
        <v/>
      </c>
      <c r="AE506" s="19">
        <f>IF(OR(LEN(A506)=0,LEN(R506)=0),0,IF(OR(R506="Active",R506="Paid off",R506="Defaulted",R506="Repossessed",R506="Written off",R506="Restructured"),0,1))</f>
        <v/>
      </c>
      <c r="AF506" s="19">
        <f>IF(A506="",0,IF(N(J506)&gt;N(I506),1,0))</f>
        <v/>
      </c>
      <c r="AG506" s="19">
        <f>IF(A506="",0,IF(N(N506)&gt;N(M506)+1,1,0))</f>
        <v/>
      </c>
      <c r="AH506" s="19">
        <f>IF(A506="",0,IF(N(E506)&gt;N(B506),1,0))</f>
        <v/>
      </c>
      <c r="AI506" s="19">
        <f>IF(A506="",0,IF(AND(Z506="Full payment",N(N506)&lt;N(M506)-1),1,0))</f>
        <v/>
      </c>
      <c r="AJ506" s="19">
        <f>IF(A506="",0,IF(N(P506)&lt;0,1,0))</f>
        <v/>
      </c>
      <c r="AK506" s="19">
        <f>IF(A506="",0,IF(COUNTIF($A$7:$A$1006,A506)&gt;1,1,0))</f>
        <v/>
      </c>
    </row>
    <row r="507">
      <c r="A507" s="10" t="n"/>
      <c r="B507" s="17" t="n"/>
      <c r="C507" s="18" t="n"/>
      <c r="D507" s="10" t="n"/>
      <c r="E507" s="17" t="n"/>
      <c r="F507" s="10" t="n"/>
      <c r="G507" s="10" t="n"/>
      <c r="H507" s="10" t="n"/>
      <c r="I507" s="18" t="n"/>
      <c r="J507" s="18" t="n"/>
      <c r="K507" s="18" t="n"/>
      <c r="L507" s="18" t="n"/>
      <c r="M507" s="19">
        <f>IF(K507="","",K507*365/12*L507)</f>
        <v/>
      </c>
      <c r="N507" s="18" t="n"/>
      <c r="O507" s="18" t="n"/>
      <c r="P507" s="18" t="n"/>
      <c r="Q507" s="18" t="n"/>
      <c r="R507" s="10" t="n"/>
      <c r="S507" s="17" t="n"/>
      <c r="T507" s="18" t="n"/>
      <c r="U507" s="17" t="n"/>
      <c r="V507" s="17" t="n"/>
      <c r="W507" s="18" t="n"/>
      <c r="X507" s="18" t="n"/>
      <c r="Y507" s="17" t="n"/>
      <c r="Z507" s="10" t="n"/>
      <c r="AA507" s="10" t="n"/>
      <c r="AB507" s="19">
        <f>IF(LEN(A507)&gt;0,1,0)</f>
        <v/>
      </c>
      <c r="AC507" s="19">
        <f>IF(LEN(A507)=0,0,(LEN(B507)=0)+(LEN(C507)=0)+(LEN(D507)=0)+(LEN(E507)=0)+(LEN(F507)=0)+(LEN(G507)=0)+(LEN(H507)=0)+(LEN(I507)=0)+(LEN(J507)=0)+(LEN(K507)=0)+(LEN(L507)=0)+(LEN(N507)=0)+(LEN(O507)=0)+(LEN(P507)=0)+(LEN(R507)=0)+(LEN(AA507)=0))</f>
        <v/>
      </c>
      <c r="AD507" s="19">
        <f>IF(OR(LEN(A507)=0,LEN(C507)=0),0,IF(OR(C507&lt;1,C507&gt;5),1,0))</f>
        <v/>
      </c>
      <c r="AE507" s="19">
        <f>IF(OR(LEN(A507)=0,LEN(R507)=0),0,IF(OR(R507="Active",R507="Paid off",R507="Defaulted",R507="Repossessed",R507="Written off",R507="Restructured"),0,1))</f>
        <v/>
      </c>
      <c r="AF507" s="19">
        <f>IF(A507="",0,IF(N(J507)&gt;N(I507),1,0))</f>
        <v/>
      </c>
      <c r="AG507" s="19">
        <f>IF(A507="",0,IF(N(N507)&gt;N(M507)+1,1,0))</f>
        <v/>
      </c>
      <c r="AH507" s="19">
        <f>IF(A507="",0,IF(N(E507)&gt;N(B507),1,0))</f>
        <v/>
      </c>
      <c r="AI507" s="19">
        <f>IF(A507="",0,IF(AND(Z507="Full payment",N(N507)&lt;N(M507)-1),1,0))</f>
        <v/>
      </c>
      <c r="AJ507" s="19">
        <f>IF(A507="",0,IF(N(P507)&lt;0,1,0))</f>
        <v/>
      </c>
      <c r="AK507" s="19">
        <f>IF(A507="",0,IF(COUNTIF($A$7:$A$1006,A507)&gt;1,1,0))</f>
        <v/>
      </c>
    </row>
    <row r="508">
      <c r="A508" s="10" t="n"/>
      <c r="B508" s="17" t="n"/>
      <c r="C508" s="18" t="n"/>
      <c r="D508" s="10" t="n"/>
      <c r="E508" s="17" t="n"/>
      <c r="F508" s="10" t="n"/>
      <c r="G508" s="10" t="n"/>
      <c r="H508" s="10" t="n"/>
      <c r="I508" s="18" t="n"/>
      <c r="J508" s="18" t="n"/>
      <c r="K508" s="18" t="n"/>
      <c r="L508" s="18" t="n"/>
      <c r="M508" s="19">
        <f>IF(K508="","",K508*365/12*L508)</f>
        <v/>
      </c>
      <c r="N508" s="18" t="n"/>
      <c r="O508" s="18" t="n"/>
      <c r="P508" s="18" t="n"/>
      <c r="Q508" s="18" t="n"/>
      <c r="R508" s="10" t="n"/>
      <c r="S508" s="17" t="n"/>
      <c r="T508" s="18" t="n"/>
      <c r="U508" s="17" t="n"/>
      <c r="V508" s="17" t="n"/>
      <c r="W508" s="18" t="n"/>
      <c r="X508" s="18" t="n"/>
      <c r="Y508" s="17" t="n"/>
      <c r="Z508" s="10" t="n"/>
      <c r="AA508" s="10" t="n"/>
      <c r="AB508" s="19">
        <f>IF(LEN(A508)&gt;0,1,0)</f>
        <v/>
      </c>
      <c r="AC508" s="19">
        <f>IF(LEN(A508)=0,0,(LEN(B508)=0)+(LEN(C508)=0)+(LEN(D508)=0)+(LEN(E508)=0)+(LEN(F508)=0)+(LEN(G508)=0)+(LEN(H508)=0)+(LEN(I508)=0)+(LEN(J508)=0)+(LEN(K508)=0)+(LEN(L508)=0)+(LEN(N508)=0)+(LEN(O508)=0)+(LEN(P508)=0)+(LEN(R508)=0)+(LEN(AA508)=0))</f>
        <v/>
      </c>
      <c r="AD508" s="19">
        <f>IF(OR(LEN(A508)=0,LEN(C508)=0),0,IF(OR(C508&lt;1,C508&gt;5),1,0))</f>
        <v/>
      </c>
      <c r="AE508" s="19">
        <f>IF(OR(LEN(A508)=0,LEN(R508)=0),0,IF(OR(R508="Active",R508="Paid off",R508="Defaulted",R508="Repossessed",R508="Written off",R508="Restructured"),0,1))</f>
        <v/>
      </c>
      <c r="AF508" s="19">
        <f>IF(A508="",0,IF(N(J508)&gt;N(I508),1,0))</f>
        <v/>
      </c>
      <c r="AG508" s="19">
        <f>IF(A508="",0,IF(N(N508)&gt;N(M508)+1,1,0))</f>
        <v/>
      </c>
      <c r="AH508" s="19">
        <f>IF(A508="",0,IF(N(E508)&gt;N(B508),1,0))</f>
        <v/>
      </c>
      <c r="AI508" s="19">
        <f>IF(A508="",0,IF(AND(Z508="Full payment",N(N508)&lt;N(M508)-1),1,0))</f>
        <v/>
      </c>
      <c r="AJ508" s="19">
        <f>IF(A508="",0,IF(N(P508)&lt;0,1,0))</f>
        <v/>
      </c>
      <c r="AK508" s="19">
        <f>IF(A508="",0,IF(COUNTIF($A$7:$A$1006,A508)&gt;1,1,0))</f>
        <v/>
      </c>
    </row>
    <row r="509">
      <c r="A509" s="10" t="n"/>
      <c r="B509" s="17" t="n"/>
      <c r="C509" s="18" t="n"/>
      <c r="D509" s="10" t="n"/>
      <c r="E509" s="17" t="n"/>
      <c r="F509" s="10" t="n"/>
      <c r="G509" s="10" t="n"/>
      <c r="H509" s="10" t="n"/>
      <c r="I509" s="18" t="n"/>
      <c r="J509" s="18" t="n"/>
      <c r="K509" s="18" t="n"/>
      <c r="L509" s="18" t="n"/>
      <c r="M509" s="19">
        <f>IF(K509="","",K509*365/12*L509)</f>
        <v/>
      </c>
      <c r="N509" s="18" t="n"/>
      <c r="O509" s="18" t="n"/>
      <c r="P509" s="18" t="n"/>
      <c r="Q509" s="18" t="n"/>
      <c r="R509" s="10" t="n"/>
      <c r="S509" s="17" t="n"/>
      <c r="T509" s="18" t="n"/>
      <c r="U509" s="17" t="n"/>
      <c r="V509" s="17" t="n"/>
      <c r="W509" s="18" t="n"/>
      <c r="X509" s="18" t="n"/>
      <c r="Y509" s="17" t="n"/>
      <c r="Z509" s="10" t="n"/>
      <c r="AA509" s="10" t="n"/>
      <c r="AB509" s="19">
        <f>IF(LEN(A509)&gt;0,1,0)</f>
        <v/>
      </c>
      <c r="AC509" s="19">
        <f>IF(LEN(A509)=0,0,(LEN(B509)=0)+(LEN(C509)=0)+(LEN(D509)=0)+(LEN(E509)=0)+(LEN(F509)=0)+(LEN(G509)=0)+(LEN(H509)=0)+(LEN(I509)=0)+(LEN(J509)=0)+(LEN(K509)=0)+(LEN(L509)=0)+(LEN(N509)=0)+(LEN(O509)=0)+(LEN(P509)=0)+(LEN(R509)=0)+(LEN(AA509)=0))</f>
        <v/>
      </c>
      <c r="AD509" s="19">
        <f>IF(OR(LEN(A509)=0,LEN(C509)=0),0,IF(OR(C509&lt;1,C509&gt;5),1,0))</f>
        <v/>
      </c>
      <c r="AE509" s="19">
        <f>IF(OR(LEN(A509)=0,LEN(R509)=0),0,IF(OR(R509="Active",R509="Paid off",R509="Defaulted",R509="Repossessed",R509="Written off",R509="Restructured"),0,1))</f>
        <v/>
      </c>
      <c r="AF509" s="19">
        <f>IF(A509="",0,IF(N(J509)&gt;N(I509),1,0))</f>
        <v/>
      </c>
      <c r="AG509" s="19">
        <f>IF(A509="",0,IF(N(N509)&gt;N(M509)+1,1,0))</f>
        <v/>
      </c>
      <c r="AH509" s="19">
        <f>IF(A509="",0,IF(N(E509)&gt;N(B509),1,0))</f>
        <v/>
      </c>
      <c r="AI509" s="19">
        <f>IF(A509="",0,IF(AND(Z509="Full payment",N(N509)&lt;N(M509)-1),1,0))</f>
        <v/>
      </c>
      <c r="AJ509" s="19">
        <f>IF(A509="",0,IF(N(P509)&lt;0,1,0))</f>
        <v/>
      </c>
      <c r="AK509" s="19">
        <f>IF(A509="",0,IF(COUNTIF($A$7:$A$1006,A509)&gt;1,1,0))</f>
        <v/>
      </c>
    </row>
    <row r="510">
      <c r="A510" s="10" t="n"/>
      <c r="B510" s="17" t="n"/>
      <c r="C510" s="18" t="n"/>
      <c r="D510" s="10" t="n"/>
      <c r="E510" s="17" t="n"/>
      <c r="F510" s="10" t="n"/>
      <c r="G510" s="10" t="n"/>
      <c r="H510" s="10" t="n"/>
      <c r="I510" s="18" t="n"/>
      <c r="J510" s="18" t="n"/>
      <c r="K510" s="18" t="n"/>
      <c r="L510" s="18" t="n"/>
      <c r="M510" s="19">
        <f>IF(K510="","",K510*365/12*L510)</f>
        <v/>
      </c>
      <c r="N510" s="18" t="n"/>
      <c r="O510" s="18" t="n"/>
      <c r="P510" s="18" t="n"/>
      <c r="Q510" s="18" t="n"/>
      <c r="R510" s="10" t="n"/>
      <c r="S510" s="17" t="n"/>
      <c r="T510" s="18" t="n"/>
      <c r="U510" s="17" t="n"/>
      <c r="V510" s="17" t="n"/>
      <c r="W510" s="18" t="n"/>
      <c r="X510" s="18" t="n"/>
      <c r="Y510" s="17" t="n"/>
      <c r="Z510" s="10" t="n"/>
      <c r="AA510" s="10" t="n"/>
      <c r="AB510" s="19">
        <f>IF(LEN(A510)&gt;0,1,0)</f>
        <v/>
      </c>
      <c r="AC510" s="19">
        <f>IF(LEN(A510)=0,0,(LEN(B510)=0)+(LEN(C510)=0)+(LEN(D510)=0)+(LEN(E510)=0)+(LEN(F510)=0)+(LEN(G510)=0)+(LEN(H510)=0)+(LEN(I510)=0)+(LEN(J510)=0)+(LEN(K510)=0)+(LEN(L510)=0)+(LEN(N510)=0)+(LEN(O510)=0)+(LEN(P510)=0)+(LEN(R510)=0)+(LEN(AA510)=0))</f>
        <v/>
      </c>
      <c r="AD510" s="19">
        <f>IF(OR(LEN(A510)=0,LEN(C510)=0),0,IF(OR(C510&lt;1,C510&gt;5),1,0))</f>
        <v/>
      </c>
      <c r="AE510" s="19">
        <f>IF(OR(LEN(A510)=0,LEN(R510)=0),0,IF(OR(R510="Active",R510="Paid off",R510="Defaulted",R510="Repossessed",R510="Written off",R510="Restructured"),0,1))</f>
        <v/>
      </c>
      <c r="AF510" s="19">
        <f>IF(A510="",0,IF(N(J510)&gt;N(I510),1,0))</f>
        <v/>
      </c>
      <c r="AG510" s="19">
        <f>IF(A510="",0,IF(N(N510)&gt;N(M510)+1,1,0))</f>
        <v/>
      </c>
      <c r="AH510" s="19">
        <f>IF(A510="",0,IF(N(E510)&gt;N(B510),1,0))</f>
        <v/>
      </c>
      <c r="AI510" s="19">
        <f>IF(A510="",0,IF(AND(Z510="Full payment",N(N510)&lt;N(M510)-1),1,0))</f>
        <v/>
      </c>
      <c r="AJ510" s="19">
        <f>IF(A510="",0,IF(N(P510)&lt;0,1,0))</f>
        <v/>
      </c>
      <c r="AK510" s="19">
        <f>IF(A510="",0,IF(COUNTIF($A$7:$A$1006,A510)&gt;1,1,0))</f>
        <v/>
      </c>
    </row>
    <row r="511">
      <c r="A511" s="10" t="n"/>
      <c r="B511" s="17" t="n"/>
      <c r="C511" s="18" t="n"/>
      <c r="D511" s="10" t="n"/>
      <c r="E511" s="17" t="n"/>
      <c r="F511" s="10" t="n"/>
      <c r="G511" s="10" t="n"/>
      <c r="H511" s="10" t="n"/>
      <c r="I511" s="18" t="n"/>
      <c r="J511" s="18" t="n"/>
      <c r="K511" s="18" t="n"/>
      <c r="L511" s="18" t="n"/>
      <c r="M511" s="19">
        <f>IF(K511="","",K511*365/12*L511)</f>
        <v/>
      </c>
      <c r="N511" s="18" t="n"/>
      <c r="O511" s="18" t="n"/>
      <c r="P511" s="18" t="n"/>
      <c r="Q511" s="18" t="n"/>
      <c r="R511" s="10" t="n"/>
      <c r="S511" s="17" t="n"/>
      <c r="T511" s="18" t="n"/>
      <c r="U511" s="17" t="n"/>
      <c r="V511" s="17" t="n"/>
      <c r="W511" s="18" t="n"/>
      <c r="X511" s="18" t="n"/>
      <c r="Y511" s="17" t="n"/>
      <c r="Z511" s="10" t="n"/>
      <c r="AA511" s="10" t="n"/>
      <c r="AB511" s="19">
        <f>IF(LEN(A511)&gt;0,1,0)</f>
        <v/>
      </c>
      <c r="AC511" s="19">
        <f>IF(LEN(A511)=0,0,(LEN(B511)=0)+(LEN(C511)=0)+(LEN(D511)=0)+(LEN(E511)=0)+(LEN(F511)=0)+(LEN(G511)=0)+(LEN(H511)=0)+(LEN(I511)=0)+(LEN(J511)=0)+(LEN(K511)=0)+(LEN(L511)=0)+(LEN(N511)=0)+(LEN(O511)=0)+(LEN(P511)=0)+(LEN(R511)=0)+(LEN(AA511)=0))</f>
        <v/>
      </c>
      <c r="AD511" s="19">
        <f>IF(OR(LEN(A511)=0,LEN(C511)=0),0,IF(OR(C511&lt;1,C511&gt;5),1,0))</f>
        <v/>
      </c>
      <c r="AE511" s="19">
        <f>IF(OR(LEN(A511)=0,LEN(R511)=0),0,IF(OR(R511="Active",R511="Paid off",R511="Defaulted",R511="Repossessed",R511="Written off",R511="Restructured"),0,1))</f>
        <v/>
      </c>
      <c r="AF511" s="19">
        <f>IF(A511="",0,IF(N(J511)&gt;N(I511),1,0))</f>
        <v/>
      </c>
      <c r="AG511" s="19">
        <f>IF(A511="",0,IF(N(N511)&gt;N(M511)+1,1,0))</f>
        <v/>
      </c>
      <c r="AH511" s="19">
        <f>IF(A511="",0,IF(N(E511)&gt;N(B511),1,0))</f>
        <v/>
      </c>
      <c r="AI511" s="19">
        <f>IF(A511="",0,IF(AND(Z511="Full payment",N(N511)&lt;N(M511)-1),1,0))</f>
        <v/>
      </c>
      <c r="AJ511" s="19">
        <f>IF(A511="",0,IF(N(P511)&lt;0,1,0))</f>
        <v/>
      </c>
      <c r="AK511" s="19">
        <f>IF(A511="",0,IF(COUNTIF($A$7:$A$1006,A511)&gt;1,1,0))</f>
        <v/>
      </c>
    </row>
    <row r="512">
      <c r="A512" s="10" t="n"/>
      <c r="B512" s="17" t="n"/>
      <c r="C512" s="18" t="n"/>
      <c r="D512" s="10" t="n"/>
      <c r="E512" s="17" t="n"/>
      <c r="F512" s="10" t="n"/>
      <c r="G512" s="10" t="n"/>
      <c r="H512" s="10" t="n"/>
      <c r="I512" s="18" t="n"/>
      <c r="J512" s="18" t="n"/>
      <c r="K512" s="18" t="n"/>
      <c r="L512" s="18" t="n"/>
      <c r="M512" s="19">
        <f>IF(K512="","",K512*365/12*L512)</f>
        <v/>
      </c>
      <c r="N512" s="18" t="n"/>
      <c r="O512" s="18" t="n"/>
      <c r="P512" s="18" t="n"/>
      <c r="Q512" s="18" t="n"/>
      <c r="R512" s="10" t="n"/>
      <c r="S512" s="17" t="n"/>
      <c r="T512" s="18" t="n"/>
      <c r="U512" s="17" t="n"/>
      <c r="V512" s="17" t="n"/>
      <c r="W512" s="18" t="n"/>
      <c r="X512" s="18" t="n"/>
      <c r="Y512" s="17" t="n"/>
      <c r="Z512" s="10" t="n"/>
      <c r="AA512" s="10" t="n"/>
      <c r="AB512" s="19">
        <f>IF(LEN(A512)&gt;0,1,0)</f>
        <v/>
      </c>
      <c r="AC512" s="19">
        <f>IF(LEN(A512)=0,0,(LEN(B512)=0)+(LEN(C512)=0)+(LEN(D512)=0)+(LEN(E512)=0)+(LEN(F512)=0)+(LEN(G512)=0)+(LEN(H512)=0)+(LEN(I512)=0)+(LEN(J512)=0)+(LEN(K512)=0)+(LEN(L512)=0)+(LEN(N512)=0)+(LEN(O512)=0)+(LEN(P512)=0)+(LEN(R512)=0)+(LEN(AA512)=0))</f>
        <v/>
      </c>
      <c r="AD512" s="19">
        <f>IF(OR(LEN(A512)=0,LEN(C512)=0),0,IF(OR(C512&lt;1,C512&gt;5),1,0))</f>
        <v/>
      </c>
      <c r="AE512" s="19">
        <f>IF(OR(LEN(A512)=0,LEN(R512)=0),0,IF(OR(R512="Active",R512="Paid off",R512="Defaulted",R512="Repossessed",R512="Written off",R512="Restructured"),0,1))</f>
        <v/>
      </c>
      <c r="AF512" s="19">
        <f>IF(A512="",0,IF(N(J512)&gt;N(I512),1,0))</f>
        <v/>
      </c>
      <c r="AG512" s="19">
        <f>IF(A512="",0,IF(N(N512)&gt;N(M512)+1,1,0))</f>
        <v/>
      </c>
      <c r="AH512" s="19">
        <f>IF(A512="",0,IF(N(E512)&gt;N(B512),1,0))</f>
        <v/>
      </c>
      <c r="AI512" s="19">
        <f>IF(A512="",0,IF(AND(Z512="Full payment",N(N512)&lt;N(M512)-1),1,0))</f>
        <v/>
      </c>
      <c r="AJ512" s="19">
        <f>IF(A512="",0,IF(N(P512)&lt;0,1,0))</f>
        <v/>
      </c>
      <c r="AK512" s="19">
        <f>IF(A512="",0,IF(COUNTIF($A$7:$A$1006,A512)&gt;1,1,0))</f>
        <v/>
      </c>
    </row>
    <row r="513">
      <c r="A513" s="10" t="n"/>
      <c r="B513" s="17" t="n"/>
      <c r="C513" s="18" t="n"/>
      <c r="D513" s="10" t="n"/>
      <c r="E513" s="17" t="n"/>
      <c r="F513" s="10" t="n"/>
      <c r="G513" s="10" t="n"/>
      <c r="H513" s="10" t="n"/>
      <c r="I513" s="18" t="n"/>
      <c r="J513" s="18" t="n"/>
      <c r="K513" s="18" t="n"/>
      <c r="L513" s="18" t="n"/>
      <c r="M513" s="19">
        <f>IF(K513="","",K513*365/12*L513)</f>
        <v/>
      </c>
      <c r="N513" s="18" t="n"/>
      <c r="O513" s="18" t="n"/>
      <c r="P513" s="18" t="n"/>
      <c r="Q513" s="18" t="n"/>
      <c r="R513" s="10" t="n"/>
      <c r="S513" s="17" t="n"/>
      <c r="T513" s="18" t="n"/>
      <c r="U513" s="17" t="n"/>
      <c r="V513" s="17" t="n"/>
      <c r="W513" s="18" t="n"/>
      <c r="X513" s="18" t="n"/>
      <c r="Y513" s="17" t="n"/>
      <c r="Z513" s="10" t="n"/>
      <c r="AA513" s="10" t="n"/>
      <c r="AB513" s="19">
        <f>IF(LEN(A513)&gt;0,1,0)</f>
        <v/>
      </c>
      <c r="AC513" s="19">
        <f>IF(LEN(A513)=0,0,(LEN(B513)=0)+(LEN(C513)=0)+(LEN(D513)=0)+(LEN(E513)=0)+(LEN(F513)=0)+(LEN(G513)=0)+(LEN(H513)=0)+(LEN(I513)=0)+(LEN(J513)=0)+(LEN(K513)=0)+(LEN(L513)=0)+(LEN(N513)=0)+(LEN(O513)=0)+(LEN(P513)=0)+(LEN(R513)=0)+(LEN(AA513)=0))</f>
        <v/>
      </c>
      <c r="AD513" s="19">
        <f>IF(OR(LEN(A513)=0,LEN(C513)=0),0,IF(OR(C513&lt;1,C513&gt;5),1,0))</f>
        <v/>
      </c>
      <c r="AE513" s="19">
        <f>IF(OR(LEN(A513)=0,LEN(R513)=0),0,IF(OR(R513="Active",R513="Paid off",R513="Defaulted",R513="Repossessed",R513="Written off",R513="Restructured"),0,1))</f>
        <v/>
      </c>
      <c r="AF513" s="19">
        <f>IF(A513="",0,IF(N(J513)&gt;N(I513),1,0))</f>
        <v/>
      </c>
      <c r="AG513" s="19">
        <f>IF(A513="",0,IF(N(N513)&gt;N(M513)+1,1,0))</f>
        <v/>
      </c>
      <c r="AH513" s="19">
        <f>IF(A513="",0,IF(N(E513)&gt;N(B513),1,0))</f>
        <v/>
      </c>
      <c r="AI513" s="19">
        <f>IF(A513="",0,IF(AND(Z513="Full payment",N(N513)&lt;N(M513)-1),1,0))</f>
        <v/>
      </c>
      <c r="AJ513" s="19">
        <f>IF(A513="",0,IF(N(P513)&lt;0,1,0))</f>
        <v/>
      </c>
      <c r="AK513" s="19">
        <f>IF(A513="",0,IF(COUNTIF($A$7:$A$1006,A513)&gt;1,1,0))</f>
        <v/>
      </c>
    </row>
    <row r="514">
      <c r="A514" s="10" t="n"/>
      <c r="B514" s="17" t="n"/>
      <c r="C514" s="18" t="n"/>
      <c r="D514" s="10" t="n"/>
      <c r="E514" s="17" t="n"/>
      <c r="F514" s="10" t="n"/>
      <c r="G514" s="10" t="n"/>
      <c r="H514" s="10" t="n"/>
      <c r="I514" s="18" t="n"/>
      <c r="J514" s="18" t="n"/>
      <c r="K514" s="18" t="n"/>
      <c r="L514" s="18" t="n"/>
      <c r="M514" s="19">
        <f>IF(K514="","",K514*365/12*L514)</f>
        <v/>
      </c>
      <c r="N514" s="18" t="n"/>
      <c r="O514" s="18" t="n"/>
      <c r="P514" s="18" t="n"/>
      <c r="Q514" s="18" t="n"/>
      <c r="R514" s="10" t="n"/>
      <c r="S514" s="17" t="n"/>
      <c r="T514" s="18" t="n"/>
      <c r="U514" s="17" t="n"/>
      <c r="V514" s="17" t="n"/>
      <c r="W514" s="18" t="n"/>
      <c r="X514" s="18" t="n"/>
      <c r="Y514" s="17" t="n"/>
      <c r="Z514" s="10" t="n"/>
      <c r="AA514" s="10" t="n"/>
      <c r="AB514" s="19">
        <f>IF(LEN(A514)&gt;0,1,0)</f>
        <v/>
      </c>
      <c r="AC514" s="19">
        <f>IF(LEN(A514)=0,0,(LEN(B514)=0)+(LEN(C514)=0)+(LEN(D514)=0)+(LEN(E514)=0)+(LEN(F514)=0)+(LEN(G514)=0)+(LEN(H514)=0)+(LEN(I514)=0)+(LEN(J514)=0)+(LEN(K514)=0)+(LEN(L514)=0)+(LEN(N514)=0)+(LEN(O514)=0)+(LEN(P514)=0)+(LEN(R514)=0)+(LEN(AA514)=0))</f>
        <v/>
      </c>
      <c r="AD514" s="19">
        <f>IF(OR(LEN(A514)=0,LEN(C514)=0),0,IF(OR(C514&lt;1,C514&gt;5),1,0))</f>
        <v/>
      </c>
      <c r="AE514" s="19">
        <f>IF(OR(LEN(A514)=0,LEN(R514)=0),0,IF(OR(R514="Active",R514="Paid off",R514="Defaulted",R514="Repossessed",R514="Written off",R514="Restructured"),0,1))</f>
        <v/>
      </c>
      <c r="AF514" s="19">
        <f>IF(A514="",0,IF(N(J514)&gt;N(I514),1,0))</f>
        <v/>
      </c>
      <c r="AG514" s="19">
        <f>IF(A514="",0,IF(N(N514)&gt;N(M514)+1,1,0))</f>
        <v/>
      </c>
      <c r="AH514" s="19">
        <f>IF(A514="",0,IF(N(E514)&gt;N(B514),1,0))</f>
        <v/>
      </c>
      <c r="AI514" s="19">
        <f>IF(A514="",0,IF(AND(Z514="Full payment",N(N514)&lt;N(M514)-1),1,0))</f>
        <v/>
      </c>
      <c r="AJ514" s="19">
        <f>IF(A514="",0,IF(N(P514)&lt;0,1,0))</f>
        <v/>
      </c>
      <c r="AK514" s="19">
        <f>IF(A514="",0,IF(COUNTIF($A$7:$A$1006,A514)&gt;1,1,0))</f>
        <v/>
      </c>
    </row>
    <row r="515">
      <c r="A515" s="10" t="n"/>
      <c r="B515" s="17" t="n"/>
      <c r="C515" s="18" t="n"/>
      <c r="D515" s="10" t="n"/>
      <c r="E515" s="17" t="n"/>
      <c r="F515" s="10" t="n"/>
      <c r="G515" s="10" t="n"/>
      <c r="H515" s="10" t="n"/>
      <c r="I515" s="18" t="n"/>
      <c r="J515" s="18" t="n"/>
      <c r="K515" s="18" t="n"/>
      <c r="L515" s="18" t="n"/>
      <c r="M515" s="19">
        <f>IF(K515="","",K515*365/12*L515)</f>
        <v/>
      </c>
      <c r="N515" s="18" t="n"/>
      <c r="O515" s="18" t="n"/>
      <c r="P515" s="18" t="n"/>
      <c r="Q515" s="18" t="n"/>
      <c r="R515" s="10" t="n"/>
      <c r="S515" s="17" t="n"/>
      <c r="T515" s="18" t="n"/>
      <c r="U515" s="17" t="n"/>
      <c r="V515" s="17" t="n"/>
      <c r="W515" s="18" t="n"/>
      <c r="X515" s="18" t="n"/>
      <c r="Y515" s="17" t="n"/>
      <c r="Z515" s="10" t="n"/>
      <c r="AA515" s="10" t="n"/>
      <c r="AB515" s="19">
        <f>IF(LEN(A515)&gt;0,1,0)</f>
        <v/>
      </c>
      <c r="AC515" s="19">
        <f>IF(LEN(A515)=0,0,(LEN(B515)=0)+(LEN(C515)=0)+(LEN(D515)=0)+(LEN(E515)=0)+(LEN(F515)=0)+(LEN(G515)=0)+(LEN(H515)=0)+(LEN(I515)=0)+(LEN(J515)=0)+(LEN(K515)=0)+(LEN(L515)=0)+(LEN(N515)=0)+(LEN(O515)=0)+(LEN(P515)=0)+(LEN(R515)=0)+(LEN(AA515)=0))</f>
        <v/>
      </c>
      <c r="AD515" s="19">
        <f>IF(OR(LEN(A515)=0,LEN(C515)=0),0,IF(OR(C515&lt;1,C515&gt;5),1,0))</f>
        <v/>
      </c>
      <c r="AE515" s="19">
        <f>IF(OR(LEN(A515)=0,LEN(R515)=0),0,IF(OR(R515="Active",R515="Paid off",R515="Defaulted",R515="Repossessed",R515="Written off",R515="Restructured"),0,1))</f>
        <v/>
      </c>
      <c r="AF515" s="19">
        <f>IF(A515="",0,IF(N(J515)&gt;N(I515),1,0))</f>
        <v/>
      </c>
      <c r="AG515" s="19">
        <f>IF(A515="",0,IF(N(N515)&gt;N(M515)+1,1,0))</f>
        <v/>
      </c>
      <c r="AH515" s="19">
        <f>IF(A515="",0,IF(N(E515)&gt;N(B515),1,0))</f>
        <v/>
      </c>
      <c r="AI515" s="19">
        <f>IF(A515="",0,IF(AND(Z515="Full payment",N(N515)&lt;N(M515)-1),1,0))</f>
        <v/>
      </c>
      <c r="AJ515" s="19">
        <f>IF(A515="",0,IF(N(P515)&lt;0,1,0))</f>
        <v/>
      </c>
      <c r="AK515" s="19">
        <f>IF(A515="",0,IF(COUNTIF($A$7:$A$1006,A515)&gt;1,1,0))</f>
        <v/>
      </c>
    </row>
    <row r="516">
      <c r="A516" s="10" t="n"/>
      <c r="B516" s="17" t="n"/>
      <c r="C516" s="18" t="n"/>
      <c r="D516" s="10" t="n"/>
      <c r="E516" s="17" t="n"/>
      <c r="F516" s="10" t="n"/>
      <c r="G516" s="10" t="n"/>
      <c r="H516" s="10" t="n"/>
      <c r="I516" s="18" t="n"/>
      <c r="J516" s="18" t="n"/>
      <c r="K516" s="18" t="n"/>
      <c r="L516" s="18" t="n"/>
      <c r="M516" s="19">
        <f>IF(K516="","",K516*365/12*L516)</f>
        <v/>
      </c>
      <c r="N516" s="18" t="n"/>
      <c r="O516" s="18" t="n"/>
      <c r="P516" s="18" t="n"/>
      <c r="Q516" s="18" t="n"/>
      <c r="R516" s="10" t="n"/>
      <c r="S516" s="17" t="n"/>
      <c r="T516" s="18" t="n"/>
      <c r="U516" s="17" t="n"/>
      <c r="V516" s="17" t="n"/>
      <c r="W516" s="18" t="n"/>
      <c r="X516" s="18" t="n"/>
      <c r="Y516" s="17" t="n"/>
      <c r="Z516" s="10" t="n"/>
      <c r="AA516" s="10" t="n"/>
      <c r="AB516" s="19">
        <f>IF(LEN(A516)&gt;0,1,0)</f>
        <v/>
      </c>
      <c r="AC516" s="19">
        <f>IF(LEN(A516)=0,0,(LEN(B516)=0)+(LEN(C516)=0)+(LEN(D516)=0)+(LEN(E516)=0)+(LEN(F516)=0)+(LEN(G516)=0)+(LEN(H516)=0)+(LEN(I516)=0)+(LEN(J516)=0)+(LEN(K516)=0)+(LEN(L516)=0)+(LEN(N516)=0)+(LEN(O516)=0)+(LEN(P516)=0)+(LEN(R516)=0)+(LEN(AA516)=0))</f>
        <v/>
      </c>
      <c r="AD516" s="19">
        <f>IF(OR(LEN(A516)=0,LEN(C516)=0),0,IF(OR(C516&lt;1,C516&gt;5),1,0))</f>
        <v/>
      </c>
      <c r="AE516" s="19">
        <f>IF(OR(LEN(A516)=0,LEN(R516)=0),0,IF(OR(R516="Active",R516="Paid off",R516="Defaulted",R516="Repossessed",R516="Written off",R516="Restructured"),0,1))</f>
        <v/>
      </c>
      <c r="AF516" s="19">
        <f>IF(A516="",0,IF(N(J516)&gt;N(I516),1,0))</f>
        <v/>
      </c>
      <c r="AG516" s="19">
        <f>IF(A516="",0,IF(N(N516)&gt;N(M516)+1,1,0))</f>
        <v/>
      </c>
      <c r="AH516" s="19">
        <f>IF(A516="",0,IF(N(E516)&gt;N(B516),1,0))</f>
        <v/>
      </c>
      <c r="AI516" s="19">
        <f>IF(A516="",0,IF(AND(Z516="Full payment",N(N516)&lt;N(M516)-1),1,0))</f>
        <v/>
      </c>
      <c r="AJ516" s="19">
        <f>IF(A516="",0,IF(N(P516)&lt;0,1,0))</f>
        <v/>
      </c>
      <c r="AK516" s="19">
        <f>IF(A516="",0,IF(COUNTIF($A$7:$A$1006,A516)&gt;1,1,0))</f>
        <v/>
      </c>
    </row>
    <row r="517">
      <c r="A517" s="10" t="n"/>
      <c r="B517" s="17" t="n"/>
      <c r="C517" s="18" t="n"/>
      <c r="D517" s="10" t="n"/>
      <c r="E517" s="17" t="n"/>
      <c r="F517" s="10" t="n"/>
      <c r="G517" s="10" t="n"/>
      <c r="H517" s="10" t="n"/>
      <c r="I517" s="18" t="n"/>
      <c r="J517" s="18" t="n"/>
      <c r="K517" s="18" t="n"/>
      <c r="L517" s="18" t="n"/>
      <c r="M517" s="19">
        <f>IF(K517="","",K517*365/12*L517)</f>
        <v/>
      </c>
      <c r="N517" s="18" t="n"/>
      <c r="O517" s="18" t="n"/>
      <c r="P517" s="18" t="n"/>
      <c r="Q517" s="18" t="n"/>
      <c r="R517" s="10" t="n"/>
      <c r="S517" s="17" t="n"/>
      <c r="T517" s="18" t="n"/>
      <c r="U517" s="17" t="n"/>
      <c r="V517" s="17" t="n"/>
      <c r="W517" s="18" t="n"/>
      <c r="X517" s="18" t="n"/>
      <c r="Y517" s="17" t="n"/>
      <c r="Z517" s="10" t="n"/>
      <c r="AA517" s="10" t="n"/>
      <c r="AB517" s="19">
        <f>IF(LEN(A517)&gt;0,1,0)</f>
        <v/>
      </c>
      <c r="AC517" s="19">
        <f>IF(LEN(A517)=0,0,(LEN(B517)=0)+(LEN(C517)=0)+(LEN(D517)=0)+(LEN(E517)=0)+(LEN(F517)=0)+(LEN(G517)=0)+(LEN(H517)=0)+(LEN(I517)=0)+(LEN(J517)=0)+(LEN(K517)=0)+(LEN(L517)=0)+(LEN(N517)=0)+(LEN(O517)=0)+(LEN(P517)=0)+(LEN(R517)=0)+(LEN(AA517)=0))</f>
        <v/>
      </c>
      <c r="AD517" s="19">
        <f>IF(OR(LEN(A517)=0,LEN(C517)=0),0,IF(OR(C517&lt;1,C517&gt;5),1,0))</f>
        <v/>
      </c>
      <c r="AE517" s="19">
        <f>IF(OR(LEN(A517)=0,LEN(R517)=0),0,IF(OR(R517="Active",R517="Paid off",R517="Defaulted",R517="Repossessed",R517="Written off",R517="Restructured"),0,1))</f>
        <v/>
      </c>
      <c r="AF517" s="19">
        <f>IF(A517="",0,IF(N(J517)&gt;N(I517),1,0))</f>
        <v/>
      </c>
      <c r="AG517" s="19">
        <f>IF(A517="",0,IF(N(N517)&gt;N(M517)+1,1,0))</f>
        <v/>
      </c>
      <c r="AH517" s="19">
        <f>IF(A517="",0,IF(N(E517)&gt;N(B517),1,0))</f>
        <v/>
      </c>
      <c r="AI517" s="19">
        <f>IF(A517="",0,IF(AND(Z517="Full payment",N(N517)&lt;N(M517)-1),1,0))</f>
        <v/>
      </c>
      <c r="AJ517" s="19">
        <f>IF(A517="",0,IF(N(P517)&lt;0,1,0))</f>
        <v/>
      </c>
      <c r="AK517" s="19">
        <f>IF(A517="",0,IF(COUNTIF($A$7:$A$1006,A517)&gt;1,1,0))</f>
        <v/>
      </c>
    </row>
    <row r="518">
      <c r="A518" s="10" t="n"/>
      <c r="B518" s="17" t="n"/>
      <c r="C518" s="18" t="n"/>
      <c r="D518" s="10" t="n"/>
      <c r="E518" s="17" t="n"/>
      <c r="F518" s="10" t="n"/>
      <c r="G518" s="10" t="n"/>
      <c r="H518" s="10" t="n"/>
      <c r="I518" s="18" t="n"/>
      <c r="J518" s="18" t="n"/>
      <c r="K518" s="18" t="n"/>
      <c r="L518" s="18" t="n"/>
      <c r="M518" s="19">
        <f>IF(K518="","",K518*365/12*L518)</f>
        <v/>
      </c>
      <c r="N518" s="18" t="n"/>
      <c r="O518" s="18" t="n"/>
      <c r="P518" s="18" t="n"/>
      <c r="Q518" s="18" t="n"/>
      <c r="R518" s="10" t="n"/>
      <c r="S518" s="17" t="n"/>
      <c r="T518" s="18" t="n"/>
      <c r="U518" s="17" t="n"/>
      <c r="V518" s="17" t="n"/>
      <c r="W518" s="18" t="n"/>
      <c r="X518" s="18" t="n"/>
      <c r="Y518" s="17" t="n"/>
      <c r="Z518" s="10" t="n"/>
      <c r="AA518" s="10" t="n"/>
      <c r="AB518" s="19">
        <f>IF(LEN(A518)&gt;0,1,0)</f>
        <v/>
      </c>
      <c r="AC518" s="19">
        <f>IF(LEN(A518)=0,0,(LEN(B518)=0)+(LEN(C518)=0)+(LEN(D518)=0)+(LEN(E518)=0)+(LEN(F518)=0)+(LEN(G518)=0)+(LEN(H518)=0)+(LEN(I518)=0)+(LEN(J518)=0)+(LEN(K518)=0)+(LEN(L518)=0)+(LEN(N518)=0)+(LEN(O518)=0)+(LEN(P518)=0)+(LEN(R518)=0)+(LEN(AA518)=0))</f>
        <v/>
      </c>
      <c r="AD518" s="19">
        <f>IF(OR(LEN(A518)=0,LEN(C518)=0),0,IF(OR(C518&lt;1,C518&gt;5),1,0))</f>
        <v/>
      </c>
      <c r="AE518" s="19">
        <f>IF(OR(LEN(A518)=0,LEN(R518)=0),0,IF(OR(R518="Active",R518="Paid off",R518="Defaulted",R518="Repossessed",R518="Written off",R518="Restructured"),0,1))</f>
        <v/>
      </c>
      <c r="AF518" s="19">
        <f>IF(A518="",0,IF(N(J518)&gt;N(I518),1,0))</f>
        <v/>
      </c>
      <c r="AG518" s="19">
        <f>IF(A518="",0,IF(N(N518)&gt;N(M518)+1,1,0))</f>
        <v/>
      </c>
      <c r="AH518" s="19">
        <f>IF(A518="",0,IF(N(E518)&gt;N(B518),1,0))</f>
        <v/>
      </c>
      <c r="AI518" s="19">
        <f>IF(A518="",0,IF(AND(Z518="Full payment",N(N518)&lt;N(M518)-1),1,0))</f>
        <v/>
      </c>
      <c r="AJ518" s="19">
        <f>IF(A518="",0,IF(N(P518)&lt;0,1,0))</f>
        <v/>
      </c>
      <c r="AK518" s="19">
        <f>IF(A518="",0,IF(COUNTIF($A$7:$A$1006,A518)&gt;1,1,0))</f>
        <v/>
      </c>
    </row>
    <row r="519">
      <c r="A519" s="10" t="n"/>
      <c r="B519" s="17" t="n"/>
      <c r="C519" s="18" t="n"/>
      <c r="D519" s="10" t="n"/>
      <c r="E519" s="17" t="n"/>
      <c r="F519" s="10" t="n"/>
      <c r="G519" s="10" t="n"/>
      <c r="H519" s="10" t="n"/>
      <c r="I519" s="18" t="n"/>
      <c r="J519" s="18" t="n"/>
      <c r="K519" s="18" t="n"/>
      <c r="L519" s="18" t="n"/>
      <c r="M519" s="19">
        <f>IF(K519="","",K519*365/12*L519)</f>
        <v/>
      </c>
      <c r="N519" s="18" t="n"/>
      <c r="O519" s="18" t="n"/>
      <c r="P519" s="18" t="n"/>
      <c r="Q519" s="18" t="n"/>
      <c r="R519" s="10" t="n"/>
      <c r="S519" s="17" t="n"/>
      <c r="T519" s="18" t="n"/>
      <c r="U519" s="17" t="n"/>
      <c r="V519" s="17" t="n"/>
      <c r="W519" s="18" t="n"/>
      <c r="X519" s="18" t="n"/>
      <c r="Y519" s="17" t="n"/>
      <c r="Z519" s="10" t="n"/>
      <c r="AA519" s="10" t="n"/>
      <c r="AB519" s="19">
        <f>IF(LEN(A519)&gt;0,1,0)</f>
        <v/>
      </c>
      <c r="AC519" s="19">
        <f>IF(LEN(A519)=0,0,(LEN(B519)=0)+(LEN(C519)=0)+(LEN(D519)=0)+(LEN(E519)=0)+(LEN(F519)=0)+(LEN(G519)=0)+(LEN(H519)=0)+(LEN(I519)=0)+(LEN(J519)=0)+(LEN(K519)=0)+(LEN(L519)=0)+(LEN(N519)=0)+(LEN(O519)=0)+(LEN(P519)=0)+(LEN(R519)=0)+(LEN(AA519)=0))</f>
        <v/>
      </c>
      <c r="AD519" s="19">
        <f>IF(OR(LEN(A519)=0,LEN(C519)=0),0,IF(OR(C519&lt;1,C519&gt;5),1,0))</f>
        <v/>
      </c>
      <c r="AE519" s="19">
        <f>IF(OR(LEN(A519)=0,LEN(R519)=0),0,IF(OR(R519="Active",R519="Paid off",R519="Defaulted",R519="Repossessed",R519="Written off",R519="Restructured"),0,1))</f>
        <v/>
      </c>
      <c r="AF519" s="19">
        <f>IF(A519="",0,IF(N(J519)&gt;N(I519),1,0))</f>
        <v/>
      </c>
      <c r="AG519" s="19">
        <f>IF(A519="",0,IF(N(N519)&gt;N(M519)+1,1,0))</f>
        <v/>
      </c>
      <c r="AH519" s="19">
        <f>IF(A519="",0,IF(N(E519)&gt;N(B519),1,0))</f>
        <v/>
      </c>
      <c r="AI519" s="19">
        <f>IF(A519="",0,IF(AND(Z519="Full payment",N(N519)&lt;N(M519)-1),1,0))</f>
        <v/>
      </c>
      <c r="AJ519" s="19">
        <f>IF(A519="",0,IF(N(P519)&lt;0,1,0))</f>
        <v/>
      </c>
      <c r="AK519" s="19">
        <f>IF(A519="",0,IF(COUNTIF($A$7:$A$1006,A519)&gt;1,1,0))</f>
        <v/>
      </c>
    </row>
    <row r="520">
      <c r="A520" s="10" t="n"/>
      <c r="B520" s="17" t="n"/>
      <c r="C520" s="18" t="n"/>
      <c r="D520" s="10" t="n"/>
      <c r="E520" s="17" t="n"/>
      <c r="F520" s="10" t="n"/>
      <c r="G520" s="10" t="n"/>
      <c r="H520" s="10" t="n"/>
      <c r="I520" s="18" t="n"/>
      <c r="J520" s="18" t="n"/>
      <c r="K520" s="18" t="n"/>
      <c r="L520" s="18" t="n"/>
      <c r="M520" s="19">
        <f>IF(K520="","",K520*365/12*L520)</f>
        <v/>
      </c>
      <c r="N520" s="18" t="n"/>
      <c r="O520" s="18" t="n"/>
      <c r="P520" s="18" t="n"/>
      <c r="Q520" s="18" t="n"/>
      <c r="R520" s="10" t="n"/>
      <c r="S520" s="17" t="n"/>
      <c r="T520" s="18" t="n"/>
      <c r="U520" s="17" t="n"/>
      <c r="V520" s="17" t="n"/>
      <c r="W520" s="18" t="n"/>
      <c r="X520" s="18" t="n"/>
      <c r="Y520" s="17" t="n"/>
      <c r="Z520" s="10" t="n"/>
      <c r="AA520" s="10" t="n"/>
      <c r="AB520" s="19">
        <f>IF(LEN(A520)&gt;0,1,0)</f>
        <v/>
      </c>
      <c r="AC520" s="19">
        <f>IF(LEN(A520)=0,0,(LEN(B520)=0)+(LEN(C520)=0)+(LEN(D520)=0)+(LEN(E520)=0)+(LEN(F520)=0)+(LEN(G520)=0)+(LEN(H520)=0)+(LEN(I520)=0)+(LEN(J520)=0)+(LEN(K520)=0)+(LEN(L520)=0)+(LEN(N520)=0)+(LEN(O520)=0)+(LEN(P520)=0)+(LEN(R520)=0)+(LEN(AA520)=0))</f>
        <v/>
      </c>
      <c r="AD520" s="19">
        <f>IF(OR(LEN(A520)=0,LEN(C520)=0),0,IF(OR(C520&lt;1,C520&gt;5),1,0))</f>
        <v/>
      </c>
      <c r="AE520" s="19">
        <f>IF(OR(LEN(A520)=0,LEN(R520)=0),0,IF(OR(R520="Active",R520="Paid off",R520="Defaulted",R520="Repossessed",R520="Written off",R520="Restructured"),0,1))</f>
        <v/>
      </c>
      <c r="AF520" s="19">
        <f>IF(A520="",0,IF(N(J520)&gt;N(I520),1,0))</f>
        <v/>
      </c>
      <c r="AG520" s="19">
        <f>IF(A520="",0,IF(N(N520)&gt;N(M520)+1,1,0))</f>
        <v/>
      </c>
      <c r="AH520" s="19">
        <f>IF(A520="",0,IF(N(E520)&gt;N(B520),1,0))</f>
        <v/>
      </c>
      <c r="AI520" s="19">
        <f>IF(A520="",0,IF(AND(Z520="Full payment",N(N520)&lt;N(M520)-1),1,0))</f>
        <v/>
      </c>
      <c r="AJ520" s="19">
        <f>IF(A520="",0,IF(N(P520)&lt;0,1,0))</f>
        <v/>
      </c>
      <c r="AK520" s="19">
        <f>IF(A520="",0,IF(COUNTIF($A$7:$A$1006,A520)&gt;1,1,0))</f>
        <v/>
      </c>
    </row>
    <row r="521">
      <c r="A521" s="10" t="n"/>
      <c r="B521" s="17" t="n"/>
      <c r="C521" s="18" t="n"/>
      <c r="D521" s="10" t="n"/>
      <c r="E521" s="17" t="n"/>
      <c r="F521" s="10" t="n"/>
      <c r="G521" s="10" t="n"/>
      <c r="H521" s="10" t="n"/>
      <c r="I521" s="18" t="n"/>
      <c r="J521" s="18" t="n"/>
      <c r="K521" s="18" t="n"/>
      <c r="L521" s="18" t="n"/>
      <c r="M521" s="19">
        <f>IF(K521="","",K521*365/12*L521)</f>
        <v/>
      </c>
      <c r="N521" s="18" t="n"/>
      <c r="O521" s="18" t="n"/>
      <c r="P521" s="18" t="n"/>
      <c r="Q521" s="18" t="n"/>
      <c r="R521" s="10" t="n"/>
      <c r="S521" s="17" t="n"/>
      <c r="T521" s="18" t="n"/>
      <c r="U521" s="17" t="n"/>
      <c r="V521" s="17" t="n"/>
      <c r="W521" s="18" t="n"/>
      <c r="X521" s="18" t="n"/>
      <c r="Y521" s="17" t="n"/>
      <c r="Z521" s="10" t="n"/>
      <c r="AA521" s="10" t="n"/>
      <c r="AB521" s="19">
        <f>IF(LEN(A521)&gt;0,1,0)</f>
        <v/>
      </c>
      <c r="AC521" s="19">
        <f>IF(LEN(A521)=0,0,(LEN(B521)=0)+(LEN(C521)=0)+(LEN(D521)=0)+(LEN(E521)=0)+(LEN(F521)=0)+(LEN(G521)=0)+(LEN(H521)=0)+(LEN(I521)=0)+(LEN(J521)=0)+(LEN(K521)=0)+(LEN(L521)=0)+(LEN(N521)=0)+(LEN(O521)=0)+(LEN(P521)=0)+(LEN(R521)=0)+(LEN(AA521)=0))</f>
        <v/>
      </c>
      <c r="AD521" s="19">
        <f>IF(OR(LEN(A521)=0,LEN(C521)=0),0,IF(OR(C521&lt;1,C521&gt;5),1,0))</f>
        <v/>
      </c>
      <c r="AE521" s="19">
        <f>IF(OR(LEN(A521)=0,LEN(R521)=0),0,IF(OR(R521="Active",R521="Paid off",R521="Defaulted",R521="Repossessed",R521="Written off",R521="Restructured"),0,1))</f>
        <v/>
      </c>
      <c r="AF521" s="19">
        <f>IF(A521="",0,IF(N(J521)&gt;N(I521),1,0))</f>
        <v/>
      </c>
      <c r="AG521" s="19">
        <f>IF(A521="",0,IF(N(N521)&gt;N(M521)+1,1,0))</f>
        <v/>
      </c>
      <c r="AH521" s="19">
        <f>IF(A521="",0,IF(N(E521)&gt;N(B521),1,0))</f>
        <v/>
      </c>
      <c r="AI521" s="19">
        <f>IF(A521="",0,IF(AND(Z521="Full payment",N(N521)&lt;N(M521)-1),1,0))</f>
        <v/>
      </c>
      <c r="AJ521" s="19">
        <f>IF(A521="",0,IF(N(P521)&lt;0,1,0))</f>
        <v/>
      </c>
      <c r="AK521" s="19">
        <f>IF(A521="",0,IF(COUNTIF($A$7:$A$1006,A521)&gt;1,1,0))</f>
        <v/>
      </c>
    </row>
    <row r="522">
      <c r="A522" s="10" t="n"/>
      <c r="B522" s="17" t="n"/>
      <c r="C522" s="18" t="n"/>
      <c r="D522" s="10" t="n"/>
      <c r="E522" s="17" t="n"/>
      <c r="F522" s="10" t="n"/>
      <c r="G522" s="10" t="n"/>
      <c r="H522" s="10" t="n"/>
      <c r="I522" s="18" t="n"/>
      <c r="J522" s="18" t="n"/>
      <c r="K522" s="18" t="n"/>
      <c r="L522" s="18" t="n"/>
      <c r="M522" s="19">
        <f>IF(K522="","",K522*365/12*L522)</f>
        <v/>
      </c>
      <c r="N522" s="18" t="n"/>
      <c r="O522" s="18" t="n"/>
      <c r="P522" s="18" t="n"/>
      <c r="Q522" s="18" t="n"/>
      <c r="R522" s="10" t="n"/>
      <c r="S522" s="17" t="n"/>
      <c r="T522" s="18" t="n"/>
      <c r="U522" s="17" t="n"/>
      <c r="V522" s="17" t="n"/>
      <c r="W522" s="18" t="n"/>
      <c r="X522" s="18" t="n"/>
      <c r="Y522" s="17" t="n"/>
      <c r="Z522" s="10" t="n"/>
      <c r="AA522" s="10" t="n"/>
      <c r="AB522" s="19">
        <f>IF(LEN(A522)&gt;0,1,0)</f>
        <v/>
      </c>
      <c r="AC522" s="19">
        <f>IF(LEN(A522)=0,0,(LEN(B522)=0)+(LEN(C522)=0)+(LEN(D522)=0)+(LEN(E522)=0)+(LEN(F522)=0)+(LEN(G522)=0)+(LEN(H522)=0)+(LEN(I522)=0)+(LEN(J522)=0)+(LEN(K522)=0)+(LEN(L522)=0)+(LEN(N522)=0)+(LEN(O522)=0)+(LEN(P522)=0)+(LEN(R522)=0)+(LEN(AA522)=0))</f>
        <v/>
      </c>
      <c r="AD522" s="19">
        <f>IF(OR(LEN(A522)=0,LEN(C522)=0),0,IF(OR(C522&lt;1,C522&gt;5),1,0))</f>
        <v/>
      </c>
      <c r="AE522" s="19">
        <f>IF(OR(LEN(A522)=0,LEN(R522)=0),0,IF(OR(R522="Active",R522="Paid off",R522="Defaulted",R522="Repossessed",R522="Written off",R522="Restructured"),0,1))</f>
        <v/>
      </c>
      <c r="AF522" s="19">
        <f>IF(A522="",0,IF(N(J522)&gt;N(I522),1,0))</f>
        <v/>
      </c>
      <c r="AG522" s="19">
        <f>IF(A522="",0,IF(N(N522)&gt;N(M522)+1,1,0))</f>
        <v/>
      </c>
      <c r="AH522" s="19">
        <f>IF(A522="",0,IF(N(E522)&gt;N(B522),1,0))</f>
        <v/>
      </c>
      <c r="AI522" s="19">
        <f>IF(A522="",0,IF(AND(Z522="Full payment",N(N522)&lt;N(M522)-1),1,0))</f>
        <v/>
      </c>
      <c r="AJ522" s="19">
        <f>IF(A522="",0,IF(N(P522)&lt;0,1,0))</f>
        <v/>
      </c>
      <c r="AK522" s="19">
        <f>IF(A522="",0,IF(COUNTIF($A$7:$A$1006,A522)&gt;1,1,0))</f>
        <v/>
      </c>
    </row>
    <row r="523">
      <c r="A523" s="10" t="n"/>
      <c r="B523" s="17" t="n"/>
      <c r="C523" s="18" t="n"/>
      <c r="D523" s="10" t="n"/>
      <c r="E523" s="17" t="n"/>
      <c r="F523" s="10" t="n"/>
      <c r="G523" s="10" t="n"/>
      <c r="H523" s="10" t="n"/>
      <c r="I523" s="18" t="n"/>
      <c r="J523" s="18" t="n"/>
      <c r="K523" s="18" t="n"/>
      <c r="L523" s="18" t="n"/>
      <c r="M523" s="19">
        <f>IF(K523="","",K523*365/12*L523)</f>
        <v/>
      </c>
      <c r="N523" s="18" t="n"/>
      <c r="O523" s="18" t="n"/>
      <c r="P523" s="18" t="n"/>
      <c r="Q523" s="18" t="n"/>
      <c r="R523" s="10" t="n"/>
      <c r="S523" s="17" t="n"/>
      <c r="T523" s="18" t="n"/>
      <c r="U523" s="17" t="n"/>
      <c r="V523" s="17" t="n"/>
      <c r="W523" s="18" t="n"/>
      <c r="X523" s="18" t="n"/>
      <c r="Y523" s="17" t="n"/>
      <c r="Z523" s="10" t="n"/>
      <c r="AA523" s="10" t="n"/>
      <c r="AB523" s="19">
        <f>IF(LEN(A523)&gt;0,1,0)</f>
        <v/>
      </c>
      <c r="AC523" s="19">
        <f>IF(LEN(A523)=0,0,(LEN(B523)=0)+(LEN(C523)=0)+(LEN(D523)=0)+(LEN(E523)=0)+(LEN(F523)=0)+(LEN(G523)=0)+(LEN(H523)=0)+(LEN(I523)=0)+(LEN(J523)=0)+(LEN(K523)=0)+(LEN(L523)=0)+(LEN(N523)=0)+(LEN(O523)=0)+(LEN(P523)=0)+(LEN(R523)=0)+(LEN(AA523)=0))</f>
        <v/>
      </c>
      <c r="AD523" s="19">
        <f>IF(OR(LEN(A523)=0,LEN(C523)=0),0,IF(OR(C523&lt;1,C523&gt;5),1,0))</f>
        <v/>
      </c>
      <c r="AE523" s="19">
        <f>IF(OR(LEN(A523)=0,LEN(R523)=0),0,IF(OR(R523="Active",R523="Paid off",R523="Defaulted",R523="Repossessed",R523="Written off",R523="Restructured"),0,1))</f>
        <v/>
      </c>
      <c r="AF523" s="19">
        <f>IF(A523="",0,IF(N(J523)&gt;N(I523),1,0))</f>
        <v/>
      </c>
      <c r="AG523" s="19">
        <f>IF(A523="",0,IF(N(N523)&gt;N(M523)+1,1,0))</f>
        <v/>
      </c>
      <c r="AH523" s="19">
        <f>IF(A523="",0,IF(N(E523)&gt;N(B523),1,0))</f>
        <v/>
      </c>
      <c r="AI523" s="19">
        <f>IF(A523="",0,IF(AND(Z523="Full payment",N(N523)&lt;N(M523)-1),1,0))</f>
        <v/>
      </c>
      <c r="AJ523" s="19">
        <f>IF(A523="",0,IF(N(P523)&lt;0,1,0))</f>
        <v/>
      </c>
      <c r="AK523" s="19">
        <f>IF(A523="",0,IF(COUNTIF($A$7:$A$1006,A523)&gt;1,1,0))</f>
        <v/>
      </c>
    </row>
    <row r="524">
      <c r="A524" s="10" t="n"/>
      <c r="B524" s="17" t="n"/>
      <c r="C524" s="18" t="n"/>
      <c r="D524" s="10" t="n"/>
      <c r="E524" s="17" t="n"/>
      <c r="F524" s="10" t="n"/>
      <c r="G524" s="10" t="n"/>
      <c r="H524" s="10" t="n"/>
      <c r="I524" s="18" t="n"/>
      <c r="J524" s="18" t="n"/>
      <c r="K524" s="18" t="n"/>
      <c r="L524" s="18" t="n"/>
      <c r="M524" s="19">
        <f>IF(K524="","",K524*365/12*L524)</f>
        <v/>
      </c>
      <c r="N524" s="18" t="n"/>
      <c r="O524" s="18" t="n"/>
      <c r="P524" s="18" t="n"/>
      <c r="Q524" s="18" t="n"/>
      <c r="R524" s="10" t="n"/>
      <c r="S524" s="17" t="n"/>
      <c r="T524" s="18" t="n"/>
      <c r="U524" s="17" t="n"/>
      <c r="V524" s="17" t="n"/>
      <c r="W524" s="18" t="n"/>
      <c r="X524" s="18" t="n"/>
      <c r="Y524" s="17" t="n"/>
      <c r="Z524" s="10" t="n"/>
      <c r="AA524" s="10" t="n"/>
      <c r="AB524" s="19">
        <f>IF(LEN(A524)&gt;0,1,0)</f>
        <v/>
      </c>
      <c r="AC524" s="19">
        <f>IF(LEN(A524)=0,0,(LEN(B524)=0)+(LEN(C524)=0)+(LEN(D524)=0)+(LEN(E524)=0)+(LEN(F524)=0)+(LEN(G524)=0)+(LEN(H524)=0)+(LEN(I524)=0)+(LEN(J524)=0)+(LEN(K524)=0)+(LEN(L524)=0)+(LEN(N524)=0)+(LEN(O524)=0)+(LEN(P524)=0)+(LEN(R524)=0)+(LEN(AA524)=0))</f>
        <v/>
      </c>
      <c r="AD524" s="19">
        <f>IF(OR(LEN(A524)=0,LEN(C524)=0),0,IF(OR(C524&lt;1,C524&gt;5),1,0))</f>
        <v/>
      </c>
      <c r="AE524" s="19">
        <f>IF(OR(LEN(A524)=0,LEN(R524)=0),0,IF(OR(R524="Active",R524="Paid off",R524="Defaulted",R524="Repossessed",R524="Written off",R524="Restructured"),0,1))</f>
        <v/>
      </c>
      <c r="AF524" s="19">
        <f>IF(A524="",0,IF(N(J524)&gt;N(I524),1,0))</f>
        <v/>
      </c>
      <c r="AG524" s="19">
        <f>IF(A524="",0,IF(N(N524)&gt;N(M524)+1,1,0))</f>
        <v/>
      </c>
      <c r="AH524" s="19">
        <f>IF(A524="",0,IF(N(E524)&gt;N(B524),1,0))</f>
        <v/>
      </c>
      <c r="AI524" s="19">
        <f>IF(A524="",0,IF(AND(Z524="Full payment",N(N524)&lt;N(M524)-1),1,0))</f>
        <v/>
      </c>
      <c r="AJ524" s="19">
        <f>IF(A524="",0,IF(N(P524)&lt;0,1,0))</f>
        <v/>
      </c>
      <c r="AK524" s="19">
        <f>IF(A524="",0,IF(COUNTIF($A$7:$A$1006,A524)&gt;1,1,0))</f>
        <v/>
      </c>
    </row>
    <row r="525">
      <c r="A525" s="10" t="n"/>
      <c r="B525" s="17" t="n"/>
      <c r="C525" s="18" t="n"/>
      <c r="D525" s="10" t="n"/>
      <c r="E525" s="17" t="n"/>
      <c r="F525" s="10" t="n"/>
      <c r="G525" s="10" t="n"/>
      <c r="H525" s="10" t="n"/>
      <c r="I525" s="18" t="n"/>
      <c r="J525" s="18" t="n"/>
      <c r="K525" s="18" t="n"/>
      <c r="L525" s="18" t="n"/>
      <c r="M525" s="19">
        <f>IF(K525="","",K525*365/12*L525)</f>
        <v/>
      </c>
      <c r="N525" s="18" t="n"/>
      <c r="O525" s="18" t="n"/>
      <c r="P525" s="18" t="n"/>
      <c r="Q525" s="18" t="n"/>
      <c r="R525" s="10" t="n"/>
      <c r="S525" s="17" t="n"/>
      <c r="T525" s="18" t="n"/>
      <c r="U525" s="17" t="n"/>
      <c r="V525" s="17" t="n"/>
      <c r="W525" s="18" t="n"/>
      <c r="X525" s="18" t="n"/>
      <c r="Y525" s="17" t="n"/>
      <c r="Z525" s="10" t="n"/>
      <c r="AA525" s="10" t="n"/>
      <c r="AB525" s="19">
        <f>IF(LEN(A525)&gt;0,1,0)</f>
        <v/>
      </c>
      <c r="AC525" s="19">
        <f>IF(LEN(A525)=0,0,(LEN(B525)=0)+(LEN(C525)=0)+(LEN(D525)=0)+(LEN(E525)=0)+(LEN(F525)=0)+(LEN(G525)=0)+(LEN(H525)=0)+(LEN(I525)=0)+(LEN(J525)=0)+(LEN(K525)=0)+(LEN(L525)=0)+(LEN(N525)=0)+(LEN(O525)=0)+(LEN(P525)=0)+(LEN(R525)=0)+(LEN(AA525)=0))</f>
        <v/>
      </c>
      <c r="AD525" s="19">
        <f>IF(OR(LEN(A525)=0,LEN(C525)=0),0,IF(OR(C525&lt;1,C525&gt;5),1,0))</f>
        <v/>
      </c>
      <c r="AE525" s="19">
        <f>IF(OR(LEN(A525)=0,LEN(R525)=0),0,IF(OR(R525="Active",R525="Paid off",R525="Defaulted",R525="Repossessed",R525="Written off",R525="Restructured"),0,1))</f>
        <v/>
      </c>
      <c r="AF525" s="19">
        <f>IF(A525="",0,IF(N(J525)&gt;N(I525),1,0))</f>
        <v/>
      </c>
      <c r="AG525" s="19">
        <f>IF(A525="",0,IF(N(N525)&gt;N(M525)+1,1,0))</f>
        <v/>
      </c>
      <c r="AH525" s="19">
        <f>IF(A525="",0,IF(N(E525)&gt;N(B525),1,0))</f>
        <v/>
      </c>
      <c r="AI525" s="19">
        <f>IF(A525="",0,IF(AND(Z525="Full payment",N(N525)&lt;N(M525)-1),1,0))</f>
        <v/>
      </c>
      <c r="AJ525" s="19">
        <f>IF(A525="",0,IF(N(P525)&lt;0,1,0))</f>
        <v/>
      </c>
      <c r="AK525" s="19">
        <f>IF(A525="",0,IF(COUNTIF($A$7:$A$1006,A525)&gt;1,1,0))</f>
        <v/>
      </c>
    </row>
    <row r="526">
      <c r="A526" s="10" t="n"/>
      <c r="B526" s="17" t="n"/>
      <c r="C526" s="18" t="n"/>
      <c r="D526" s="10" t="n"/>
      <c r="E526" s="17" t="n"/>
      <c r="F526" s="10" t="n"/>
      <c r="G526" s="10" t="n"/>
      <c r="H526" s="10" t="n"/>
      <c r="I526" s="18" t="n"/>
      <c r="J526" s="18" t="n"/>
      <c r="K526" s="18" t="n"/>
      <c r="L526" s="18" t="n"/>
      <c r="M526" s="19">
        <f>IF(K526="","",K526*365/12*L526)</f>
        <v/>
      </c>
      <c r="N526" s="18" t="n"/>
      <c r="O526" s="18" t="n"/>
      <c r="P526" s="18" t="n"/>
      <c r="Q526" s="18" t="n"/>
      <c r="R526" s="10" t="n"/>
      <c r="S526" s="17" t="n"/>
      <c r="T526" s="18" t="n"/>
      <c r="U526" s="17" t="n"/>
      <c r="V526" s="17" t="n"/>
      <c r="W526" s="18" t="n"/>
      <c r="X526" s="18" t="n"/>
      <c r="Y526" s="17" t="n"/>
      <c r="Z526" s="10" t="n"/>
      <c r="AA526" s="10" t="n"/>
      <c r="AB526" s="19">
        <f>IF(LEN(A526)&gt;0,1,0)</f>
        <v/>
      </c>
      <c r="AC526" s="19">
        <f>IF(LEN(A526)=0,0,(LEN(B526)=0)+(LEN(C526)=0)+(LEN(D526)=0)+(LEN(E526)=0)+(LEN(F526)=0)+(LEN(G526)=0)+(LEN(H526)=0)+(LEN(I526)=0)+(LEN(J526)=0)+(LEN(K526)=0)+(LEN(L526)=0)+(LEN(N526)=0)+(LEN(O526)=0)+(LEN(P526)=0)+(LEN(R526)=0)+(LEN(AA526)=0))</f>
        <v/>
      </c>
      <c r="AD526" s="19">
        <f>IF(OR(LEN(A526)=0,LEN(C526)=0),0,IF(OR(C526&lt;1,C526&gt;5),1,0))</f>
        <v/>
      </c>
      <c r="AE526" s="19">
        <f>IF(OR(LEN(A526)=0,LEN(R526)=0),0,IF(OR(R526="Active",R526="Paid off",R526="Defaulted",R526="Repossessed",R526="Written off",R526="Restructured"),0,1))</f>
        <v/>
      </c>
      <c r="AF526" s="19">
        <f>IF(A526="",0,IF(N(J526)&gt;N(I526),1,0))</f>
        <v/>
      </c>
      <c r="AG526" s="19">
        <f>IF(A526="",0,IF(N(N526)&gt;N(M526)+1,1,0))</f>
        <v/>
      </c>
      <c r="AH526" s="19">
        <f>IF(A526="",0,IF(N(E526)&gt;N(B526),1,0))</f>
        <v/>
      </c>
      <c r="AI526" s="19">
        <f>IF(A526="",0,IF(AND(Z526="Full payment",N(N526)&lt;N(M526)-1),1,0))</f>
        <v/>
      </c>
      <c r="AJ526" s="19">
        <f>IF(A526="",0,IF(N(P526)&lt;0,1,0))</f>
        <v/>
      </c>
      <c r="AK526" s="19">
        <f>IF(A526="",0,IF(COUNTIF($A$7:$A$1006,A526)&gt;1,1,0))</f>
        <v/>
      </c>
    </row>
    <row r="527">
      <c r="A527" s="10" t="n"/>
      <c r="B527" s="17" t="n"/>
      <c r="C527" s="18" t="n"/>
      <c r="D527" s="10" t="n"/>
      <c r="E527" s="17" t="n"/>
      <c r="F527" s="10" t="n"/>
      <c r="G527" s="10" t="n"/>
      <c r="H527" s="10" t="n"/>
      <c r="I527" s="18" t="n"/>
      <c r="J527" s="18" t="n"/>
      <c r="K527" s="18" t="n"/>
      <c r="L527" s="18" t="n"/>
      <c r="M527" s="19">
        <f>IF(K527="","",K527*365/12*L527)</f>
        <v/>
      </c>
      <c r="N527" s="18" t="n"/>
      <c r="O527" s="18" t="n"/>
      <c r="P527" s="18" t="n"/>
      <c r="Q527" s="18" t="n"/>
      <c r="R527" s="10" t="n"/>
      <c r="S527" s="17" t="n"/>
      <c r="T527" s="18" t="n"/>
      <c r="U527" s="17" t="n"/>
      <c r="V527" s="17" t="n"/>
      <c r="W527" s="18" t="n"/>
      <c r="X527" s="18" t="n"/>
      <c r="Y527" s="17" t="n"/>
      <c r="Z527" s="10" t="n"/>
      <c r="AA527" s="10" t="n"/>
      <c r="AB527" s="19">
        <f>IF(LEN(A527)&gt;0,1,0)</f>
        <v/>
      </c>
      <c r="AC527" s="19">
        <f>IF(LEN(A527)=0,0,(LEN(B527)=0)+(LEN(C527)=0)+(LEN(D527)=0)+(LEN(E527)=0)+(LEN(F527)=0)+(LEN(G527)=0)+(LEN(H527)=0)+(LEN(I527)=0)+(LEN(J527)=0)+(LEN(K527)=0)+(LEN(L527)=0)+(LEN(N527)=0)+(LEN(O527)=0)+(LEN(P527)=0)+(LEN(R527)=0)+(LEN(AA527)=0))</f>
        <v/>
      </c>
      <c r="AD527" s="19">
        <f>IF(OR(LEN(A527)=0,LEN(C527)=0),0,IF(OR(C527&lt;1,C527&gt;5),1,0))</f>
        <v/>
      </c>
      <c r="AE527" s="19">
        <f>IF(OR(LEN(A527)=0,LEN(R527)=0),0,IF(OR(R527="Active",R527="Paid off",R527="Defaulted",R527="Repossessed",R527="Written off",R527="Restructured"),0,1))</f>
        <v/>
      </c>
      <c r="AF527" s="19">
        <f>IF(A527="",0,IF(N(J527)&gt;N(I527),1,0))</f>
        <v/>
      </c>
      <c r="AG527" s="19">
        <f>IF(A527="",0,IF(N(N527)&gt;N(M527)+1,1,0))</f>
        <v/>
      </c>
      <c r="AH527" s="19">
        <f>IF(A527="",0,IF(N(E527)&gt;N(B527),1,0))</f>
        <v/>
      </c>
      <c r="AI527" s="19">
        <f>IF(A527="",0,IF(AND(Z527="Full payment",N(N527)&lt;N(M527)-1),1,0))</f>
        <v/>
      </c>
      <c r="AJ527" s="19">
        <f>IF(A527="",0,IF(N(P527)&lt;0,1,0))</f>
        <v/>
      </c>
      <c r="AK527" s="19">
        <f>IF(A527="",0,IF(COUNTIF($A$7:$A$1006,A527)&gt;1,1,0))</f>
        <v/>
      </c>
    </row>
    <row r="528">
      <c r="A528" s="10" t="n"/>
      <c r="B528" s="17" t="n"/>
      <c r="C528" s="18" t="n"/>
      <c r="D528" s="10" t="n"/>
      <c r="E528" s="17" t="n"/>
      <c r="F528" s="10" t="n"/>
      <c r="G528" s="10" t="n"/>
      <c r="H528" s="10" t="n"/>
      <c r="I528" s="18" t="n"/>
      <c r="J528" s="18" t="n"/>
      <c r="K528" s="18" t="n"/>
      <c r="L528" s="18" t="n"/>
      <c r="M528" s="19">
        <f>IF(K528="","",K528*365/12*L528)</f>
        <v/>
      </c>
      <c r="N528" s="18" t="n"/>
      <c r="O528" s="18" t="n"/>
      <c r="P528" s="18" t="n"/>
      <c r="Q528" s="18" t="n"/>
      <c r="R528" s="10" t="n"/>
      <c r="S528" s="17" t="n"/>
      <c r="T528" s="18" t="n"/>
      <c r="U528" s="17" t="n"/>
      <c r="V528" s="17" t="n"/>
      <c r="W528" s="18" t="n"/>
      <c r="X528" s="18" t="n"/>
      <c r="Y528" s="17" t="n"/>
      <c r="Z528" s="10" t="n"/>
      <c r="AA528" s="10" t="n"/>
      <c r="AB528" s="19">
        <f>IF(LEN(A528)&gt;0,1,0)</f>
        <v/>
      </c>
      <c r="AC528" s="19">
        <f>IF(LEN(A528)=0,0,(LEN(B528)=0)+(LEN(C528)=0)+(LEN(D528)=0)+(LEN(E528)=0)+(LEN(F528)=0)+(LEN(G528)=0)+(LEN(H528)=0)+(LEN(I528)=0)+(LEN(J528)=0)+(LEN(K528)=0)+(LEN(L528)=0)+(LEN(N528)=0)+(LEN(O528)=0)+(LEN(P528)=0)+(LEN(R528)=0)+(LEN(AA528)=0))</f>
        <v/>
      </c>
      <c r="AD528" s="19">
        <f>IF(OR(LEN(A528)=0,LEN(C528)=0),0,IF(OR(C528&lt;1,C528&gt;5),1,0))</f>
        <v/>
      </c>
      <c r="AE528" s="19">
        <f>IF(OR(LEN(A528)=0,LEN(R528)=0),0,IF(OR(R528="Active",R528="Paid off",R528="Defaulted",R528="Repossessed",R528="Written off",R528="Restructured"),0,1))</f>
        <v/>
      </c>
      <c r="AF528" s="19">
        <f>IF(A528="",0,IF(N(J528)&gt;N(I528),1,0))</f>
        <v/>
      </c>
      <c r="AG528" s="19">
        <f>IF(A528="",0,IF(N(N528)&gt;N(M528)+1,1,0))</f>
        <v/>
      </c>
      <c r="AH528" s="19">
        <f>IF(A528="",0,IF(N(E528)&gt;N(B528),1,0))</f>
        <v/>
      </c>
      <c r="AI528" s="19">
        <f>IF(A528="",0,IF(AND(Z528="Full payment",N(N528)&lt;N(M528)-1),1,0))</f>
        <v/>
      </c>
      <c r="AJ528" s="19">
        <f>IF(A528="",0,IF(N(P528)&lt;0,1,0))</f>
        <v/>
      </c>
      <c r="AK528" s="19">
        <f>IF(A528="",0,IF(COUNTIF($A$7:$A$1006,A528)&gt;1,1,0))</f>
        <v/>
      </c>
    </row>
    <row r="529">
      <c r="A529" s="10" t="n"/>
      <c r="B529" s="17" t="n"/>
      <c r="C529" s="18" t="n"/>
      <c r="D529" s="10" t="n"/>
      <c r="E529" s="17" t="n"/>
      <c r="F529" s="10" t="n"/>
      <c r="G529" s="10" t="n"/>
      <c r="H529" s="10" t="n"/>
      <c r="I529" s="18" t="n"/>
      <c r="J529" s="18" t="n"/>
      <c r="K529" s="18" t="n"/>
      <c r="L529" s="18" t="n"/>
      <c r="M529" s="19">
        <f>IF(K529="","",K529*365/12*L529)</f>
        <v/>
      </c>
      <c r="N529" s="18" t="n"/>
      <c r="O529" s="18" t="n"/>
      <c r="P529" s="18" t="n"/>
      <c r="Q529" s="18" t="n"/>
      <c r="R529" s="10" t="n"/>
      <c r="S529" s="17" t="n"/>
      <c r="T529" s="18" t="n"/>
      <c r="U529" s="17" t="n"/>
      <c r="V529" s="17" t="n"/>
      <c r="W529" s="18" t="n"/>
      <c r="X529" s="18" t="n"/>
      <c r="Y529" s="17" t="n"/>
      <c r="Z529" s="10" t="n"/>
      <c r="AA529" s="10" t="n"/>
      <c r="AB529" s="19">
        <f>IF(LEN(A529)&gt;0,1,0)</f>
        <v/>
      </c>
      <c r="AC529" s="19">
        <f>IF(LEN(A529)=0,0,(LEN(B529)=0)+(LEN(C529)=0)+(LEN(D529)=0)+(LEN(E529)=0)+(LEN(F529)=0)+(LEN(G529)=0)+(LEN(H529)=0)+(LEN(I529)=0)+(LEN(J529)=0)+(LEN(K529)=0)+(LEN(L529)=0)+(LEN(N529)=0)+(LEN(O529)=0)+(LEN(P529)=0)+(LEN(R529)=0)+(LEN(AA529)=0))</f>
        <v/>
      </c>
      <c r="AD529" s="19">
        <f>IF(OR(LEN(A529)=0,LEN(C529)=0),0,IF(OR(C529&lt;1,C529&gt;5),1,0))</f>
        <v/>
      </c>
      <c r="AE529" s="19">
        <f>IF(OR(LEN(A529)=0,LEN(R529)=0),0,IF(OR(R529="Active",R529="Paid off",R529="Defaulted",R529="Repossessed",R529="Written off",R529="Restructured"),0,1))</f>
        <v/>
      </c>
      <c r="AF529" s="19">
        <f>IF(A529="",0,IF(N(J529)&gt;N(I529),1,0))</f>
        <v/>
      </c>
      <c r="AG529" s="19">
        <f>IF(A529="",0,IF(N(N529)&gt;N(M529)+1,1,0))</f>
        <v/>
      </c>
      <c r="AH529" s="19">
        <f>IF(A529="",0,IF(N(E529)&gt;N(B529),1,0))</f>
        <v/>
      </c>
      <c r="AI529" s="19">
        <f>IF(A529="",0,IF(AND(Z529="Full payment",N(N529)&lt;N(M529)-1),1,0))</f>
        <v/>
      </c>
      <c r="AJ529" s="19">
        <f>IF(A529="",0,IF(N(P529)&lt;0,1,0))</f>
        <v/>
      </c>
      <c r="AK529" s="19">
        <f>IF(A529="",0,IF(COUNTIF($A$7:$A$1006,A529)&gt;1,1,0))</f>
        <v/>
      </c>
    </row>
    <row r="530">
      <c r="A530" s="10" t="n"/>
      <c r="B530" s="17" t="n"/>
      <c r="C530" s="18" t="n"/>
      <c r="D530" s="10" t="n"/>
      <c r="E530" s="17" t="n"/>
      <c r="F530" s="10" t="n"/>
      <c r="G530" s="10" t="n"/>
      <c r="H530" s="10" t="n"/>
      <c r="I530" s="18" t="n"/>
      <c r="J530" s="18" t="n"/>
      <c r="K530" s="18" t="n"/>
      <c r="L530" s="18" t="n"/>
      <c r="M530" s="19">
        <f>IF(K530="","",K530*365/12*L530)</f>
        <v/>
      </c>
      <c r="N530" s="18" t="n"/>
      <c r="O530" s="18" t="n"/>
      <c r="P530" s="18" t="n"/>
      <c r="Q530" s="18" t="n"/>
      <c r="R530" s="10" t="n"/>
      <c r="S530" s="17" t="n"/>
      <c r="T530" s="18" t="n"/>
      <c r="U530" s="17" t="n"/>
      <c r="V530" s="17" t="n"/>
      <c r="W530" s="18" t="n"/>
      <c r="X530" s="18" t="n"/>
      <c r="Y530" s="17" t="n"/>
      <c r="Z530" s="10" t="n"/>
      <c r="AA530" s="10" t="n"/>
      <c r="AB530" s="19">
        <f>IF(LEN(A530)&gt;0,1,0)</f>
        <v/>
      </c>
      <c r="AC530" s="19">
        <f>IF(LEN(A530)=0,0,(LEN(B530)=0)+(LEN(C530)=0)+(LEN(D530)=0)+(LEN(E530)=0)+(LEN(F530)=0)+(LEN(G530)=0)+(LEN(H530)=0)+(LEN(I530)=0)+(LEN(J530)=0)+(LEN(K530)=0)+(LEN(L530)=0)+(LEN(N530)=0)+(LEN(O530)=0)+(LEN(P530)=0)+(LEN(R530)=0)+(LEN(AA530)=0))</f>
        <v/>
      </c>
      <c r="AD530" s="19">
        <f>IF(OR(LEN(A530)=0,LEN(C530)=0),0,IF(OR(C530&lt;1,C530&gt;5),1,0))</f>
        <v/>
      </c>
      <c r="AE530" s="19">
        <f>IF(OR(LEN(A530)=0,LEN(R530)=0),0,IF(OR(R530="Active",R530="Paid off",R530="Defaulted",R530="Repossessed",R530="Written off",R530="Restructured"),0,1))</f>
        <v/>
      </c>
      <c r="AF530" s="19">
        <f>IF(A530="",0,IF(N(J530)&gt;N(I530),1,0))</f>
        <v/>
      </c>
      <c r="AG530" s="19">
        <f>IF(A530="",0,IF(N(N530)&gt;N(M530)+1,1,0))</f>
        <v/>
      </c>
      <c r="AH530" s="19">
        <f>IF(A530="",0,IF(N(E530)&gt;N(B530),1,0))</f>
        <v/>
      </c>
      <c r="AI530" s="19">
        <f>IF(A530="",0,IF(AND(Z530="Full payment",N(N530)&lt;N(M530)-1),1,0))</f>
        <v/>
      </c>
      <c r="AJ530" s="19">
        <f>IF(A530="",0,IF(N(P530)&lt;0,1,0))</f>
        <v/>
      </c>
      <c r="AK530" s="19">
        <f>IF(A530="",0,IF(COUNTIF($A$7:$A$1006,A530)&gt;1,1,0))</f>
        <v/>
      </c>
    </row>
    <row r="531">
      <c r="A531" s="10" t="n"/>
      <c r="B531" s="17" t="n"/>
      <c r="C531" s="18" t="n"/>
      <c r="D531" s="10" t="n"/>
      <c r="E531" s="17" t="n"/>
      <c r="F531" s="10" t="n"/>
      <c r="G531" s="10" t="n"/>
      <c r="H531" s="10" t="n"/>
      <c r="I531" s="18" t="n"/>
      <c r="J531" s="18" t="n"/>
      <c r="K531" s="18" t="n"/>
      <c r="L531" s="18" t="n"/>
      <c r="M531" s="19">
        <f>IF(K531="","",K531*365/12*L531)</f>
        <v/>
      </c>
      <c r="N531" s="18" t="n"/>
      <c r="O531" s="18" t="n"/>
      <c r="P531" s="18" t="n"/>
      <c r="Q531" s="18" t="n"/>
      <c r="R531" s="10" t="n"/>
      <c r="S531" s="17" t="n"/>
      <c r="T531" s="18" t="n"/>
      <c r="U531" s="17" t="n"/>
      <c r="V531" s="17" t="n"/>
      <c r="W531" s="18" t="n"/>
      <c r="X531" s="18" t="n"/>
      <c r="Y531" s="17" t="n"/>
      <c r="Z531" s="10" t="n"/>
      <c r="AA531" s="10" t="n"/>
      <c r="AB531" s="19">
        <f>IF(LEN(A531)&gt;0,1,0)</f>
        <v/>
      </c>
      <c r="AC531" s="19">
        <f>IF(LEN(A531)=0,0,(LEN(B531)=0)+(LEN(C531)=0)+(LEN(D531)=0)+(LEN(E531)=0)+(LEN(F531)=0)+(LEN(G531)=0)+(LEN(H531)=0)+(LEN(I531)=0)+(LEN(J531)=0)+(LEN(K531)=0)+(LEN(L531)=0)+(LEN(N531)=0)+(LEN(O531)=0)+(LEN(P531)=0)+(LEN(R531)=0)+(LEN(AA531)=0))</f>
        <v/>
      </c>
      <c r="AD531" s="19">
        <f>IF(OR(LEN(A531)=0,LEN(C531)=0),0,IF(OR(C531&lt;1,C531&gt;5),1,0))</f>
        <v/>
      </c>
      <c r="AE531" s="19">
        <f>IF(OR(LEN(A531)=0,LEN(R531)=0),0,IF(OR(R531="Active",R531="Paid off",R531="Defaulted",R531="Repossessed",R531="Written off",R531="Restructured"),0,1))</f>
        <v/>
      </c>
      <c r="AF531" s="19">
        <f>IF(A531="",0,IF(N(J531)&gt;N(I531),1,0))</f>
        <v/>
      </c>
      <c r="AG531" s="19">
        <f>IF(A531="",0,IF(N(N531)&gt;N(M531)+1,1,0))</f>
        <v/>
      </c>
      <c r="AH531" s="19">
        <f>IF(A531="",0,IF(N(E531)&gt;N(B531),1,0))</f>
        <v/>
      </c>
      <c r="AI531" s="19">
        <f>IF(A531="",0,IF(AND(Z531="Full payment",N(N531)&lt;N(M531)-1),1,0))</f>
        <v/>
      </c>
      <c r="AJ531" s="19">
        <f>IF(A531="",0,IF(N(P531)&lt;0,1,0))</f>
        <v/>
      </c>
      <c r="AK531" s="19">
        <f>IF(A531="",0,IF(COUNTIF($A$7:$A$1006,A531)&gt;1,1,0))</f>
        <v/>
      </c>
    </row>
    <row r="532">
      <c r="A532" s="10" t="n"/>
      <c r="B532" s="17" t="n"/>
      <c r="C532" s="18" t="n"/>
      <c r="D532" s="10" t="n"/>
      <c r="E532" s="17" t="n"/>
      <c r="F532" s="10" t="n"/>
      <c r="G532" s="10" t="n"/>
      <c r="H532" s="10" t="n"/>
      <c r="I532" s="18" t="n"/>
      <c r="J532" s="18" t="n"/>
      <c r="K532" s="18" t="n"/>
      <c r="L532" s="18" t="n"/>
      <c r="M532" s="19">
        <f>IF(K532="","",K532*365/12*L532)</f>
        <v/>
      </c>
      <c r="N532" s="18" t="n"/>
      <c r="O532" s="18" t="n"/>
      <c r="P532" s="18" t="n"/>
      <c r="Q532" s="18" t="n"/>
      <c r="R532" s="10" t="n"/>
      <c r="S532" s="17" t="n"/>
      <c r="T532" s="18" t="n"/>
      <c r="U532" s="17" t="n"/>
      <c r="V532" s="17" t="n"/>
      <c r="W532" s="18" t="n"/>
      <c r="X532" s="18" t="n"/>
      <c r="Y532" s="17" t="n"/>
      <c r="Z532" s="10" t="n"/>
      <c r="AA532" s="10" t="n"/>
      <c r="AB532" s="19">
        <f>IF(LEN(A532)&gt;0,1,0)</f>
        <v/>
      </c>
      <c r="AC532" s="19">
        <f>IF(LEN(A532)=0,0,(LEN(B532)=0)+(LEN(C532)=0)+(LEN(D532)=0)+(LEN(E532)=0)+(LEN(F532)=0)+(LEN(G532)=0)+(LEN(H532)=0)+(LEN(I532)=0)+(LEN(J532)=0)+(LEN(K532)=0)+(LEN(L532)=0)+(LEN(N532)=0)+(LEN(O532)=0)+(LEN(P532)=0)+(LEN(R532)=0)+(LEN(AA532)=0))</f>
        <v/>
      </c>
      <c r="AD532" s="19">
        <f>IF(OR(LEN(A532)=0,LEN(C532)=0),0,IF(OR(C532&lt;1,C532&gt;5),1,0))</f>
        <v/>
      </c>
      <c r="AE532" s="19">
        <f>IF(OR(LEN(A532)=0,LEN(R532)=0),0,IF(OR(R532="Active",R532="Paid off",R532="Defaulted",R532="Repossessed",R532="Written off",R532="Restructured"),0,1))</f>
        <v/>
      </c>
      <c r="AF532" s="19">
        <f>IF(A532="",0,IF(N(J532)&gt;N(I532),1,0))</f>
        <v/>
      </c>
      <c r="AG532" s="19">
        <f>IF(A532="",0,IF(N(N532)&gt;N(M532)+1,1,0))</f>
        <v/>
      </c>
      <c r="AH532" s="19">
        <f>IF(A532="",0,IF(N(E532)&gt;N(B532),1,0))</f>
        <v/>
      </c>
      <c r="AI532" s="19">
        <f>IF(A532="",0,IF(AND(Z532="Full payment",N(N532)&lt;N(M532)-1),1,0))</f>
        <v/>
      </c>
      <c r="AJ532" s="19">
        <f>IF(A532="",0,IF(N(P532)&lt;0,1,0))</f>
        <v/>
      </c>
      <c r="AK532" s="19">
        <f>IF(A532="",0,IF(COUNTIF($A$7:$A$1006,A532)&gt;1,1,0))</f>
        <v/>
      </c>
    </row>
    <row r="533">
      <c r="A533" s="10" t="n"/>
      <c r="B533" s="17" t="n"/>
      <c r="C533" s="18" t="n"/>
      <c r="D533" s="10" t="n"/>
      <c r="E533" s="17" t="n"/>
      <c r="F533" s="10" t="n"/>
      <c r="G533" s="10" t="n"/>
      <c r="H533" s="10" t="n"/>
      <c r="I533" s="18" t="n"/>
      <c r="J533" s="18" t="n"/>
      <c r="K533" s="18" t="n"/>
      <c r="L533" s="18" t="n"/>
      <c r="M533" s="19">
        <f>IF(K533="","",K533*365/12*L533)</f>
        <v/>
      </c>
      <c r="N533" s="18" t="n"/>
      <c r="O533" s="18" t="n"/>
      <c r="P533" s="18" t="n"/>
      <c r="Q533" s="18" t="n"/>
      <c r="R533" s="10" t="n"/>
      <c r="S533" s="17" t="n"/>
      <c r="T533" s="18" t="n"/>
      <c r="U533" s="17" t="n"/>
      <c r="V533" s="17" t="n"/>
      <c r="W533" s="18" t="n"/>
      <c r="X533" s="18" t="n"/>
      <c r="Y533" s="17" t="n"/>
      <c r="Z533" s="10" t="n"/>
      <c r="AA533" s="10" t="n"/>
      <c r="AB533" s="19">
        <f>IF(LEN(A533)&gt;0,1,0)</f>
        <v/>
      </c>
      <c r="AC533" s="19">
        <f>IF(LEN(A533)=0,0,(LEN(B533)=0)+(LEN(C533)=0)+(LEN(D533)=0)+(LEN(E533)=0)+(LEN(F533)=0)+(LEN(G533)=0)+(LEN(H533)=0)+(LEN(I533)=0)+(LEN(J533)=0)+(LEN(K533)=0)+(LEN(L533)=0)+(LEN(N533)=0)+(LEN(O533)=0)+(LEN(P533)=0)+(LEN(R533)=0)+(LEN(AA533)=0))</f>
        <v/>
      </c>
      <c r="AD533" s="19">
        <f>IF(OR(LEN(A533)=0,LEN(C533)=0),0,IF(OR(C533&lt;1,C533&gt;5),1,0))</f>
        <v/>
      </c>
      <c r="AE533" s="19">
        <f>IF(OR(LEN(A533)=0,LEN(R533)=0),0,IF(OR(R533="Active",R533="Paid off",R533="Defaulted",R533="Repossessed",R533="Written off",R533="Restructured"),0,1))</f>
        <v/>
      </c>
      <c r="AF533" s="19">
        <f>IF(A533="",0,IF(N(J533)&gt;N(I533),1,0))</f>
        <v/>
      </c>
      <c r="AG533" s="19">
        <f>IF(A533="",0,IF(N(N533)&gt;N(M533)+1,1,0))</f>
        <v/>
      </c>
      <c r="AH533" s="19">
        <f>IF(A533="",0,IF(N(E533)&gt;N(B533),1,0))</f>
        <v/>
      </c>
      <c r="AI533" s="19">
        <f>IF(A533="",0,IF(AND(Z533="Full payment",N(N533)&lt;N(M533)-1),1,0))</f>
        <v/>
      </c>
      <c r="AJ533" s="19">
        <f>IF(A533="",0,IF(N(P533)&lt;0,1,0))</f>
        <v/>
      </c>
      <c r="AK533" s="19">
        <f>IF(A533="",0,IF(COUNTIF($A$7:$A$1006,A533)&gt;1,1,0))</f>
        <v/>
      </c>
    </row>
    <row r="534">
      <c r="A534" s="10" t="n"/>
      <c r="B534" s="17" t="n"/>
      <c r="C534" s="18" t="n"/>
      <c r="D534" s="10" t="n"/>
      <c r="E534" s="17" t="n"/>
      <c r="F534" s="10" t="n"/>
      <c r="G534" s="10" t="n"/>
      <c r="H534" s="10" t="n"/>
      <c r="I534" s="18" t="n"/>
      <c r="J534" s="18" t="n"/>
      <c r="K534" s="18" t="n"/>
      <c r="L534" s="18" t="n"/>
      <c r="M534" s="19">
        <f>IF(K534="","",K534*365/12*L534)</f>
        <v/>
      </c>
      <c r="N534" s="18" t="n"/>
      <c r="O534" s="18" t="n"/>
      <c r="P534" s="18" t="n"/>
      <c r="Q534" s="18" t="n"/>
      <c r="R534" s="10" t="n"/>
      <c r="S534" s="17" t="n"/>
      <c r="T534" s="18" t="n"/>
      <c r="U534" s="17" t="n"/>
      <c r="V534" s="17" t="n"/>
      <c r="W534" s="18" t="n"/>
      <c r="X534" s="18" t="n"/>
      <c r="Y534" s="17" t="n"/>
      <c r="Z534" s="10" t="n"/>
      <c r="AA534" s="10" t="n"/>
      <c r="AB534" s="19">
        <f>IF(LEN(A534)&gt;0,1,0)</f>
        <v/>
      </c>
      <c r="AC534" s="19">
        <f>IF(LEN(A534)=0,0,(LEN(B534)=0)+(LEN(C534)=0)+(LEN(D534)=0)+(LEN(E534)=0)+(LEN(F534)=0)+(LEN(G534)=0)+(LEN(H534)=0)+(LEN(I534)=0)+(LEN(J534)=0)+(LEN(K534)=0)+(LEN(L534)=0)+(LEN(N534)=0)+(LEN(O534)=0)+(LEN(P534)=0)+(LEN(R534)=0)+(LEN(AA534)=0))</f>
        <v/>
      </c>
      <c r="AD534" s="19">
        <f>IF(OR(LEN(A534)=0,LEN(C534)=0),0,IF(OR(C534&lt;1,C534&gt;5),1,0))</f>
        <v/>
      </c>
      <c r="AE534" s="19">
        <f>IF(OR(LEN(A534)=0,LEN(R534)=0),0,IF(OR(R534="Active",R534="Paid off",R534="Defaulted",R534="Repossessed",R534="Written off",R534="Restructured"),0,1))</f>
        <v/>
      </c>
      <c r="AF534" s="19">
        <f>IF(A534="",0,IF(N(J534)&gt;N(I534),1,0))</f>
        <v/>
      </c>
      <c r="AG534" s="19">
        <f>IF(A534="",0,IF(N(N534)&gt;N(M534)+1,1,0))</f>
        <v/>
      </c>
      <c r="AH534" s="19">
        <f>IF(A534="",0,IF(N(E534)&gt;N(B534),1,0))</f>
        <v/>
      </c>
      <c r="AI534" s="19">
        <f>IF(A534="",0,IF(AND(Z534="Full payment",N(N534)&lt;N(M534)-1),1,0))</f>
        <v/>
      </c>
      <c r="AJ534" s="19">
        <f>IF(A534="",0,IF(N(P534)&lt;0,1,0))</f>
        <v/>
      </c>
      <c r="AK534" s="19">
        <f>IF(A534="",0,IF(COUNTIF($A$7:$A$1006,A534)&gt;1,1,0))</f>
        <v/>
      </c>
    </row>
    <row r="535">
      <c r="A535" s="10" t="n"/>
      <c r="B535" s="17" t="n"/>
      <c r="C535" s="18" t="n"/>
      <c r="D535" s="10" t="n"/>
      <c r="E535" s="17" t="n"/>
      <c r="F535" s="10" t="n"/>
      <c r="G535" s="10" t="n"/>
      <c r="H535" s="10" t="n"/>
      <c r="I535" s="18" t="n"/>
      <c r="J535" s="18" t="n"/>
      <c r="K535" s="18" t="n"/>
      <c r="L535" s="18" t="n"/>
      <c r="M535" s="19">
        <f>IF(K535="","",K535*365/12*L535)</f>
        <v/>
      </c>
      <c r="N535" s="18" t="n"/>
      <c r="O535" s="18" t="n"/>
      <c r="P535" s="18" t="n"/>
      <c r="Q535" s="18" t="n"/>
      <c r="R535" s="10" t="n"/>
      <c r="S535" s="17" t="n"/>
      <c r="T535" s="18" t="n"/>
      <c r="U535" s="17" t="n"/>
      <c r="V535" s="17" t="n"/>
      <c r="W535" s="18" t="n"/>
      <c r="X535" s="18" t="n"/>
      <c r="Y535" s="17" t="n"/>
      <c r="Z535" s="10" t="n"/>
      <c r="AA535" s="10" t="n"/>
      <c r="AB535" s="19">
        <f>IF(LEN(A535)&gt;0,1,0)</f>
        <v/>
      </c>
      <c r="AC535" s="19">
        <f>IF(LEN(A535)=0,0,(LEN(B535)=0)+(LEN(C535)=0)+(LEN(D535)=0)+(LEN(E535)=0)+(LEN(F535)=0)+(LEN(G535)=0)+(LEN(H535)=0)+(LEN(I535)=0)+(LEN(J535)=0)+(LEN(K535)=0)+(LEN(L535)=0)+(LEN(N535)=0)+(LEN(O535)=0)+(LEN(P535)=0)+(LEN(R535)=0)+(LEN(AA535)=0))</f>
        <v/>
      </c>
      <c r="AD535" s="19">
        <f>IF(OR(LEN(A535)=0,LEN(C535)=0),0,IF(OR(C535&lt;1,C535&gt;5),1,0))</f>
        <v/>
      </c>
      <c r="AE535" s="19">
        <f>IF(OR(LEN(A535)=0,LEN(R535)=0),0,IF(OR(R535="Active",R535="Paid off",R535="Defaulted",R535="Repossessed",R535="Written off",R535="Restructured"),0,1))</f>
        <v/>
      </c>
      <c r="AF535" s="19">
        <f>IF(A535="",0,IF(N(J535)&gt;N(I535),1,0))</f>
        <v/>
      </c>
      <c r="AG535" s="19">
        <f>IF(A535="",0,IF(N(N535)&gt;N(M535)+1,1,0))</f>
        <v/>
      </c>
      <c r="AH535" s="19">
        <f>IF(A535="",0,IF(N(E535)&gt;N(B535),1,0))</f>
        <v/>
      </c>
      <c r="AI535" s="19">
        <f>IF(A535="",0,IF(AND(Z535="Full payment",N(N535)&lt;N(M535)-1),1,0))</f>
        <v/>
      </c>
      <c r="AJ535" s="19">
        <f>IF(A535="",0,IF(N(P535)&lt;0,1,0))</f>
        <v/>
      </c>
      <c r="AK535" s="19">
        <f>IF(A535="",0,IF(COUNTIF($A$7:$A$1006,A535)&gt;1,1,0))</f>
        <v/>
      </c>
    </row>
    <row r="536">
      <c r="A536" s="10" t="n"/>
      <c r="B536" s="17" t="n"/>
      <c r="C536" s="18" t="n"/>
      <c r="D536" s="10" t="n"/>
      <c r="E536" s="17" t="n"/>
      <c r="F536" s="10" t="n"/>
      <c r="G536" s="10" t="n"/>
      <c r="H536" s="10" t="n"/>
      <c r="I536" s="18" t="n"/>
      <c r="J536" s="18" t="n"/>
      <c r="K536" s="18" t="n"/>
      <c r="L536" s="18" t="n"/>
      <c r="M536" s="19">
        <f>IF(K536="","",K536*365/12*L536)</f>
        <v/>
      </c>
      <c r="N536" s="18" t="n"/>
      <c r="O536" s="18" t="n"/>
      <c r="P536" s="18" t="n"/>
      <c r="Q536" s="18" t="n"/>
      <c r="R536" s="10" t="n"/>
      <c r="S536" s="17" t="n"/>
      <c r="T536" s="18" t="n"/>
      <c r="U536" s="17" t="n"/>
      <c r="V536" s="17" t="n"/>
      <c r="W536" s="18" t="n"/>
      <c r="X536" s="18" t="n"/>
      <c r="Y536" s="17" t="n"/>
      <c r="Z536" s="10" t="n"/>
      <c r="AA536" s="10" t="n"/>
      <c r="AB536" s="19">
        <f>IF(LEN(A536)&gt;0,1,0)</f>
        <v/>
      </c>
      <c r="AC536" s="19">
        <f>IF(LEN(A536)=0,0,(LEN(B536)=0)+(LEN(C536)=0)+(LEN(D536)=0)+(LEN(E536)=0)+(LEN(F536)=0)+(LEN(G536)=0)+(LEN(H536)=0)+(LEN(I536)=0)+(LEN(J536)=0)+(LEN(K536)=0)+(LEN(L536)=0)+(LEN(N536)=0)+(LEN(O536)=0)+(LEN(P536)=0)+(LEN(R536)=0)+(LEN(AA536)=0))</f>
        <v/>
      </c>
      <c r="AD536" s="19">
        <f>IF(OR(LEN(A536)=0,LEN(C536)=0),0,IF(OR(C536&lt;1,C536&gt;5),1,0))</f>
        <v/>
      </c>
      <c r="AE536" s="19">
        <f>IF(OR(LEN(A536)=0,LEN(R536)=0),0,IF(OR(R536="Active",R536="Paid off",R536="Defaulted",R536="Repossessed",R536="Written off",R536="Restructured"),0,1))</f>
        <v/>
      </c>
      <c r="AF536" s="19">
        <f>IF(A536="",0,IF(N(J536)&gt;N(I536),1,0))</f>
        <v/>
      </c>
      <c r="AG536" s="19">
        <f>IF(A536="",0,IF(N(N536)&gt;N(M536)+1,1,0))</f>
        <v/>
      </c>
      <c r="AH536" s="19">
        <f>IF(A536="",0,IF(N(E536)&gt;N(B536),1,0))</f>
        <v/>
      </c>
      <c r="AI536" s="19">
        <f>IF(A536="",0,IF(AND(Z536="Full payment",N(N536)&lt;N(M536)-1),1,0))</f>
        <v/>
      </c>
      <c r="AJ536" s="19">
        <f>IF(A536="",0,IF(N(P536)&lt;0,1,0))</f>
        <v/>
      </c>
      <c r="AK536" s="19">
        <f>IF(A536="",0,IF(COUNTIF($A$7:$A$1006,A536)&gt;1,1,0))</f>
        <v/>
      </c>
    </row>
    <row r="537">
      <c r="A537" s="10" t="n"/>
      <c r="B537" s="17" t="n"/>
      <c r="C537" s="18" t="n"/>
      <c r="D537" s="10" t="n"/>
      <c r="E537" s="17" t="n"/>
      <c r="F537" s="10" t="n"/>
      <c r="G537" s="10" t="n"/>
      <c r="H537" s="10" t="n"/>
      <c r="I537" s="18" t="n"/>
      <c r="J537" s="18" t="n"/>
      <c r="K537" s="18" t="n"/>
      <c r="L537" s="18" t="n"/>
      <c r="M537" s="19">
        <f>IF(K537="","",K537*365/12*L537)</f>
        <v/>
      </c>
      <c r="N537" s="18" t="n"/>
      <c r="O537" s="18" t="n"/>
      <c r="P537" s="18" t="n"/>
      <c r="Q537" s="18" t="n"/>
      <c r="R537" s="10" t="n"/>
      <c r="S537" s="17" t="n"/>
      <c r="T537" s="18" t="n"/>
      <c r="U537" s="17" t="n"/>
      <c r="V537" s="17" t="n"/>
      <c r="W537" s="18" t="n"/>
      <c r="X537" s="18" t="n"/>
      <c r="Y537" s="17" t="n"/>
      <c r="Z537" s="10" t="n"/>
      <c r="AA537" s="10" t="n"/>
      <c r="AB537" s="19">
        <f>IF(LEN(A537)&gt;0,1,0)</f>
        <v/>
      </c>
      <c r="AC537" s="19">
        <f>IF(LEN(A537)=0,0,(LEN(B537)=0)+(LEN(C537)=0)+(LEN(D537)=0)+(LEN(E537)=0)+(LEN(F537)=0)+(LEN(G537)=0)+(LEN(H537)=0)+(LEN(I537)=0)+(LEN(J537)=0)+(LEN(K537)=0)+(LEN(L537)=0)+(LEN(N537)=0)+(LEN(O537)=0)+(LEN(P537)=0)+(LEN(R537)=0)+(LEN(AA537)=0))</f>
        <v/>
      </c>
      <c r="AD537" s="19">
        <f>IF(OR(LEN(A537)=0,LEN(C537)=0),0,IF(OR(C537&lt;1,C537&gt;5),1,0))</f>
        <v/>
      </c>
      <c r="AE537" s="19">
        <f>IF(OR(LEN(A537)=0,LEN(R537)=0),0,IF(OR(R537="Active",R537="Paid off",R537="Defaulted",R537="Repossessed",R537="Written off",R537="Restructured"),0,1))</f>
        <v/>
      </c>
      <c r="AF537" s="19">
        <f>IF(A537="",0,IF(N(J537)&gt;N(I537),1,0))</f>
        <v/>
      </c>
      <c r="AG537" s="19">
        <f>IF(A537="",0,IF(N(N537)&gt;N(M537)+1,1,0))</f>
        <v/>
      </c>
      <c r="AH537" s="19">
        <f>IF(A537="",0,IF(N(E537)&gt;N(B537),1,0))</f>
        <v/>
      </c>
      <c r="AI537" s="19">
        <f>IF(A537="",0,IF(AND(Z537="Full payment",N(N537)&lt;N(M537)-1),1,0))</f>
        <v/>
      </c>
      <c r="AJ537" s="19">
        <f>IF(A537="",0,IF(N(P537)&lt;0,1,0))</f>
        <v/>
      </c>
      <c r="AK537" s="19">
        <f>IF(A537="",0,IF(COUNTIF($A$7:$A$1006,A537)&gt;1,1,0))</f>
        <v/>
      </c>
    </row>
    <row r="538">
      <c r="A538" s="10" t="n"/>
      <c r="B538" s="17" t="n"/>
      <c r="C538" s="18" t="n"/>
      <c r="D538" s="10" t="n"/>
      <c r="E538" s="17" t="n"/>
      <c r="F538" s="10" t="n"/>
      <c r="G538" s="10" t="n"/>
      <c r="H538" s="10" t="n"/>
      <c r="I538" s="18" t="n"/>
      <c r="J538" s="18" t="n"/>
      <c r="K538" s="18" t="n"/>
      <c r="L538" s="18" t="n"/>
      <c r="M538" s="19">
        <f>IF(K538="","",K538*365/12*L538)</f>
        <v/>
      </c>
      <c r="N538" s="18" t="n"/>
      <c r="O538" s="18" t="n"/>
      <c r="P538" s="18" t="n"/>
      <c r="Q538" s="18" t="n"/>
      <c r="R538" s="10" t="n"/>
      <c r="S538" s="17" t="n"/>
      <c r="T538" s="18" t="n"/>
      <c r="U538" s="17" t="n"/>
      <c r="V538" s="17" t="n"/>
      <c r="W538" s="18" t="n"/>
      <c r="X538" s="18" t="n"/>
      <c r="Y538" s="17" t="n"/>
      <c r="Z538" s="10" t="n"/>
      <c r="AA538" s="10" t="n"/>
      <c r="AB538" s="19">
        <f>IF(LEN(A538)&gt;0,1,0)</f>
        <v/>
      </c>
      <c r="AC538" s="19">
        <f>IF(LEN(A538)=0,0,(LEN(B538)=0)+(LEN(C538)=0)+(LEN(D538)=0)+(LEN(E538)=0)+(LEN(F538)=0)+(LEN(G538)=0)+(LEN(H538)=0)+(LEN(I538)=0)+(LEN(J538)=0)+(LEN(K538)=0)+(LEN(L538)=0)+(LEN(N538)=0)+(LEN(O538)=0)+(LEN(P538)=0)+(LEN(R538)=0)+(LEN(AA538)=0))</f>
        <v/>
      </c>
      <c r="AD538" s="19">
        <f>IF(OR(LEN(A538)=0,LEN(C538)=0),0,IF(OR(C538&lt;1,C538&gt;5),1,0))</f>
        <v/>
      </c>
      <c r="AE538" s="19">
        <f>IF(OR(LEN(A538)=0,LEN(R538)=0),0,IF(OR(R538="Active",R538="Paid off",R538="Defaulted",R538="Repossessed",R538="Written off",R538="Restructured"),0,1))</f>
        <v/>
      </c>
      <c r="AF538" s="19">
        <f>IF(A538="",0,IF(N(J538)&gt;N(I538),1,0))</f>
        <v/>
      </c>
      <c r="AG538" s="19">
        <f>IF(A538="",0,IF(N(N538)&gt;N(M538)+1,1,0))</f>
        <v/>
      </c>
      <c r="AH538" s="19">
        <f>IF(A538="",0,IF(N(E538)&gt;N(B538),1,0))</f>
        <v/>
      </c>
      <c r="AI538" s="19">
        <f>IF(A538="",0,IF(AND(Z538="Full payment",N(N538)&lt;N(M538)-1),1,0))</f>
        <v/>
      </c>
      <c r="AJ538" s="19">
        <f>IF(A538="",0,IF(N(P538)&lt;0,1,0))</f>
        <v/>
      </c>
      <c r="AK538" s="19">
        <f>IF(A538="",0,IF(COUNTIF($A$7:$A$1006,A538)&gt;1,1,0))</f>
        <v/>
      </c>
    </row>
    <row r="539">
      <c r="A539" s="10" t="n"/>
      <c r="B539" s="17" t="n"/>
      <c r="C539" s="18" t="n"/>
      <c r="D539" s="10" t="n"/>
      <c r="E539" s="17" t="n"/>
      <c r="F539" s="10" t="n"/>
      <c r="G539" s="10" t="n"/>
      <c r="H539" s="10" t="n"/>
      <c r="I539" s="18" t="n"/>
      <c r="J539" s="18" t="n"/>
      <c r="K539" s="18" t="n"/>
      <c r="L539" s="18" t="n"/>
      <c r="M539" s="19">
        <f>IF(K539="","",K539*365/12*L539)</f>
        <v/>
      </c>
      <c r="N539" s="18" t="n"/>
      <c r="O539" s="18" t="n"/>
      <c r="P539" s="18" t="n"/>
      <c r="Q539" s="18" t="n"/>
      <c r="R539" s="10" t="n"/>
      <c r="S539" s="17" t="n"/>
      <c r="T539" s="18" t="n"/>
      <c r="U539" s="17" t="n"/>
      <c r="V539" s="17" t="n"/>
      <c r="W539" s="18" t="n"/>
      <c r="X539" s="18" t="n"/>
      <c r="Y539" s="17" t="n"/>
      <c r="Z539" s="10" t="n"/>
      <c r="AA539" s="10" t="n"/>
      <c r="AB539" s="19">
        <f>IF(LEN(A539)&gt;0,1,0)</f>
        <v/>
      </c>
      <c r="AC539" s="19">
        <f>IF(LEN(A539)=0,0,(LEN(B539)=0)+(LEN(C539)=0)+(LEN(D539)=0)+(LEN(E539)=0)+(LEN(F539)=0)+(LEN(G539)=0)+(LEN(H539)=0)+(LEN(I539)=0)+(LEN(J539)=0)+(LEN(K539)=0)+(LEN(L539)=0)+(LEN(N539)=0)+(LEN(O539)=0)+(LEN(P539)=0)+(LEN(R539)=0)+(LEN(AA539)=0))</f>
        <v/>
      </c>
      <c r="AD539" s="19">
        <f>IF(OR(LEN(A539)=0,LEN(C539)=0),0,IF(OR(C539&lt;1,C539&gt;5),1,0))</f>
        <v/>
      </c>
      <c r="AE539" s="19">
        <f>IF(OR(LEN(A539)=0,LEN(R539)=0),0,IF(OR(R539="Active",R539="Paid off",R539="Defaulted",R539="Repossessed",R539="Written off",R539="Restructured"),0,1))</f>
        <v/>
      </c>
      <c r="AF539" s="19">
        <f>IF(A539="",0,IF(N(J539)&gt;N(I539),1,0))</f>
        <v/>
      </c>
      <c r="AG539" s="19">
        <f>IF(A539="",0,IF(N(N539)&gt;N(M539)+1,1,0))</f>
        <v/>
      </c>
      <c r="AH539" s="19">
        <f>IF(A539="",0,IF(N(E539)&gt;N(B539),1,0))</f>
        <v/>
      </c>
      <c r="AI539" s="19">
        <f>IF(A539="",0,IF(AND(Z539="Full payment",N(N539)&lt;N(M539)-1),1,0))</f>
        <v/>
      </c>
      <c r="AJ539" s="19">
        <f>IF(A539="",0,IF(N(P539)&lt;0,1,0))</f>
        <v/>
      </c>
      <c r="AK539" s="19">
        <f>IF(A539="",0,IF(COUNTIF($A$7:$A$1006,A539)&gt;1,1,0))</f>
        <v/>
      </c>
    </row>
    <row r="540">
      <c r="A540" s="10" t="n"/>
      <c r="B540" s="17" t="n"/>
      <c r="C540" s="18" t="n"/>
      <c r="D540" s="10" t="n"/>
      <c r="E540" s="17" t="n"/>
      <c r="F540" s="10" t="n"/>
      <c r="G540" s="10" t="n"/>
      <c r="H540" s="10" t="n"/>
      <c r="I540" s="18" t="n"/>
      <c r="J540" s="18" t="n"/>
      <c r="K540" s="18" t="n"/>
      <c r="L540" s="18" t="n"/>
      <c r="M540" s="19">
        <f>IF(K540="","",K540*365/12*L540)</f>
        <v/>
      </c>
      <c r="N540" s="18" t="n"/>
      <c r="O540" s="18" t="n"/>
      <c r="P540" s="18" t="n"/>
      <c r="Q540" s="18" t="n"/>
      <c r="R540" s="10" t="n"/>
      <c r="S540" s="17" t="n"/>
      <c r="T540" s="18" t="n"/>
      <c r="U540" s="17" t="n"/>
      <c r="V540" s="17" t="n"/>
      <c r="W540" s="18" t="n"/>
      <c r="X540" s="18" t="n"/>
      <c r="Y540" s="17" t="n"/>
      <c r="Z540" s="10" t="n"/>
      <c r="AA540" s="10" t="n"/>
      <c r="AB540" s="19">
        <f>IF(LEN(A540)&gt;0,1,0)</f>
        <v/>
      </c>
      <c r="AC540" s="19">
        <f>IF(LEN(A540)=0,0,(LEN(B540)=0)+(LEN(C540)=0)+(LEN(D540)=0)+(LEN(E540)=0)+(LEN(F540)=0)+(LEN(G540)=0)+(LEN(H540)=0)+(LEN(I540)=0)+(LEN(J540)=0)+(LEN(K540)=0)+(LEN(L540)=0)+(LEN(N540)=0)+(LEN(O540)=0)+(LEN(P540)=0)+(LEN(R540)=0)+(LEN(AA540)=0))</f>
        <v/>
      </c>
      <c r="AD540" s="19">
        <f>IF(OR(LEN(A540)=0,LEN(C540)=0),0,IF(OR(C540&lt;1,C540&gt;5),1,0))</f>
        <v/>
      </c>
      <c r="AE540" s="19">
        <f>IF(OR(LEN(A540)=0,LEN(R540)=0),0,IF(OR(R540="Active",R540="Paid off",R540="Defaulted",R540="Repossessed",R540="Written off",R540="Restructured"),0,1))</f>
        <v/>
      </c>
      <c r="AF540" s="19">
        <f>IF(A540="",0,IF(N(J540)&gt;N(I540),1,0))</f>
        <v/>
      </c>
      <c r="AG540" s="19">
        <f>IF(A540="",0,IF(N(N540)&gt;N(M540)+1,1,0))</f>
        <v/>
      </c>
      <c r="AH540" s="19">
        <f>IF(A540="",0,IF(N(E540)&gt;N(B540),1,0))</f>
        <v/>
      </c>
      <c r="AI540" s="19">
        <f>IF(A540="",0,IF(AND(Z540="Full payment",N(N540)&lt;N(M540)-1),1,0))</f>
        <v/>
      </c>
      <c r="AJ540" s="19">
        <f>IF(A540="",0,IF(N(P540)&lt;0,1,0))</f>
        <v/>
      </c>
      <c r="AK540" s="19">
        <f>IF(A540="",0,IF(COUNTIF($A$7:$A$1006,A540)&gt;1,1,0))</f>
        <v/>
      </c>
    </row>
    <row r="541">
      <c r="A541" s="10" t="n"/>
      <c r="B541" s="17" t="n"/>
      <c r="C541" s="18" t="n"/>
      <c r="D541" s="10" t="n"/>
      <c r="E541" s="17" t="n"/>
      <c r="F541" s="10" t="n"/>
      <c r="G541" s="10" t="n"/>
      <c r="H541" s="10" t="n"/>
      <c r="I541" s="18" t="n"/>
      <c r="J541" s="18" t="n"/>
      <c r="K541" s="18" t="n"/>
      <c r="L541" s="18" t="n"/>
      <c r="M541" s="19">
        <f>IF(K541="","",K541*365/12*L541)</f>
        <v/>
      </c>
      <c r="N541" s="18" t="n"/>
      <c r="O541" s="18" t="n"/>
      <c r="P541" s="18" t="n"/>
      <c r="Q541" s="18" t="n"/>
      <c r="R541" s="10" t="n"/>
      <c r="S541" s="17" t="n"/>
      <c r="T541" s="18" t="n"/>
      <c r="U541" s="17" t="n"/>
      <c r="V541" s="17" t="n"/>
      <c r="W541" s="18" t="n"/>
      <c r="X541" s="18" t="n"/>
      <c r="Y541" s="17" t="n"/>
      <c r="Z541" s="10" t="n"/>
      <c r="AA541" s="10" t="n"/>
      <c r="AB541" s="19">
        <f>IF(LEN(A541)&gt;0,1,0)</f>
        <v/>
      </c>
      <c r="AC541" s="19">
        <f>IF(LEN(A541)=0,0,(LEN(B541)=0)+(LEN(C541)=0)+(LEN(D541)=0)+(LEN(E541)=0)+(LEN(F541)=0)+(LEN(G541)=0)+(LEN(H541)=0)+(LEN(I541)=0)+(LEN(J541)=0)+(LEN(K541)=0)+(LEN(L541)=0)+(LEN(N541)=0)+(LEN(O541)=0)+(LEN(P541)=0)+(LEN(R541)=0)+(LEN(AA541)=0))</f>
        <v/>
      </c>
      <c r="AD541" s="19">
        <f>IF(OR(LEN(A541)=0,LEN(C541)=0),0,IF(OR(C541&lt;1,C541&gt;5),1,0))</f>
        <v/>
      </c>
      <c r="AE541" s="19">
        <f>IF(OR(LEN(A541)=0,LEN(R541)=0),0,IF(OR(R541="Active",R541="Paid off",R541="Defaulted",R541="Repossessed",R541="Written off",R541="Restructured"),0,1))</f>
        <v/>
      </c>
      <c r="AF541" s="19">
        <f>IF(A541="",0,IF(N(J541)&gt;N(I541),1,0))</f>
        <v/>
      </c>
      <c r="AG541" s="19">
        <f>IF(A541="",0,IF(N(N541)&gt;N(M541)+1,1,0))</f>
        <v/>
      </c>
      <c r="AH541" s="19">
        <f>IF(A541="",0,IF(N(E541)&gt;N(B541),1,0))</f>
        <v/>
      </c>
      <c r="AI541" s="19">
        <f>IF(A541="",0,IF(AND(Z541="Full payment",N(N541)&lt;N(M541)-1),1,0))</f>
        <v/>
      </c>
      <c r="AJ541" s="19">
        <f>IF(A541="",0,IF(N(P541)&lt;0,1,0))</f>
        <v/>
      </c>
      <c r="AK541" s="19">
        <f>IF(A541="",0,IF(COUNTIF($A$7:$A$1006,A541)&gt;1,1,0))</f>
        <v/>
      </c>
    </row>
    <row r="542">
      <c r="A542" s="10" t="n"/>
      <c r="B542" s="17" t="n"/>
      <c r="C542" s="18" t="n"/>
      <c r="D542" s="10" t="n"/>
      <c r="E542" s="17" t="n"/>
      <c r="F542" s="10" t="n"/>
      <c r="G542" s="10" t="n"/>
      <c r="H542" s="10" t="n"/>
      <c r="I542" s="18" t="n"/>
      <c r="J542" s="18" t="n"/>
      <c r="K542" s="18" t="n"/>
      <c r="L542" s="18" t="n"/>
      <c r="M542" s="19">
        <f>IF(K542="","",K542*365/12*L542)</f>
        <v/>
      </c>
      <c r="N542" s="18" t="n"/>
      <c r="O542" s="18" t="n"/>
      <c r="P542" s="18" t="n"/>
      <c r="Q542" s="18" t="n"/>
      <c r="R542" s="10" t="n"/>
      <c r="S542" s="17" t="n"/>
      <c r="T542" s="18" t="n"/>
      <c r="U542" s="17" t="n"/>
      <c r="V542" s="17" t="n"/>
      <c r="W542" s="18" t="n"/>
      <c r="X542" s="18" t="n"/>
      <c r="Y542" s="17" t="n"/>
      <c r="Z542" s="10" t="n"/>
      <c r="AA542" s="10" t="n"/>
      <c r="AB542" s="19">
        <f>IF(LEN(A542)&gt;0,1,0)</f>
        <v/>
      </c>
      <c r="AC542" s="19">
        <f>IF(LEN(A542)=0,0,(LEN(B542)=0)+(LEN(C542)=0)+(LEN(D542)=0)+(LEN(E542)=0)+(LEN(F542)=0)+(LEN(G542)=0)+(LEN(H542)=0)+(LEN(I542)=0)+(LEN(J542)=0)+(LEN(K542)=0)+(LEN(L542)=0)+(LEN(N542)=0)+(LEN(O542)=0)+(LEN(P542)=0)+(LEN(R542)=0)+(LEN(AA542)=0))</f>
        <v/>
      </c>
      <c r="AD542" s="19">
        <f>IF(OR(LEN(A542)=0,LEN(C542)=0),0,IF(OR(C542&lt;1,C542&gt;5),1,0))</f>
        <v/>
      </c>
      <c r="AE542" s="19">
        <f>IF(OR(LEN(A542)=0,LEN(R542)=0),0,IF(OR(R542="Active",R542="Paid off",R542="Defaulted",R542="Repossessed",R542="Written off",R542="Restructured"),0,1))</f>
        <v/>
      </c>
      <c r="AF542" s="19">
        <f>IF(A542="",0,IF(N(J542)&gt;N(I542),1,0))</f>
        <v/>
      </c>
      <c r="AG542" s="19">
        <f>IF(A542="",0,IF(N(N542)&gt;N(M542)+1,1,0))</f>
        <v/>
      </c>
      <c r="AH542" s="19">
        <f>IF(A542="",0,IF(N(E542)&gt;N(B542),1,0))</f>
        <v/>
      </c>
      <c r="AI542" s="19">
        <f>IF(A542="",0,IF(AND(Z542="Full payment",N(N542)&lt;N(M542)-1),1,0))</f>
        <v/>
      </c>
      <c r="AJ542" s="19">
        <f>IF(A542="",0,IF(N(P542)&lt;0,1,0))</f>
        <v/>
      </c>
      <c r="AK542" s="19">
        <f>IF(A542="",0,IF(COUNTIF($A$7:$A$1006,A542)&gt;1,1,0))</f>
        <v/>
      </c>
    </row>
    <row r="543">
      <c r="A543" s="10" t="n"/>
      <c r="B543" s="17" t="n"/>
      <c r="C543" s="18" t="n"/>
      <c r="D543" s="10" t="n"/>
      <c r="E543" s="17" t="n"/>
      <c r="F543" s="10" t="n"/>
      <c r="G543" s="10" t="n"/>
      <c r="H543" s="10" t="n"/>
      <c r="I543" s="18" t="n"/>
      <c r="J543" s="18" t="n"/>
      <c r="K543" s="18" t="n"/>
      <c r="L543" s="18" t="n"/>
      <c r="M543" s="19">
        <f>IF(K543="","",K543*365/12*L543)</f>
        <v/>
      </c>
      <c r="N543" s="18" t="n"/>
      <c r="O543" s="18" t="n"/>
      <c r="P543" s="18" t="n"/>
      <c r="Q543" s="18" t="n"/>
      <c r="R543" s="10" t="n"/>
      <c r="S543" s="17" t="n"/>
      <c r="T543" s="18" t="n"/>
      <c r="U543" s="17" t="n"/>
      <c r="V543" s="17" t="n"/>
      <c r="W543" s="18" t="n"/>
      <c r="X543" s="18" t="n"/>
      <c r="Y543" s="17" t="n"/>
      <c r="Z543" s="10" t="n"/>
      <c r="AA543" s="10" t="n"/>
      <c r="AB543" s="19">
        <f>IF(LEN(A543)&gt;0,1,0)</f>
        <v/>
      </c>
      <c r="AC543" s="19">
        <f>IF(LEN(A543)=0,0,(LEN(B543)=0)+(LEN(C543)=0)+(LEN(D543)=0)+(LEN(E543)=0)+(LEN(F543)=0)+(LEN(G543)=0)+(LEN(H543)=0)+(LEN(I543)=0)+(LEN(J543)=0)+(LEN(K543)=0)+(LEN(L543)=0)+(LEN(N543)=0)+(LEN(O543)=0)+(LEN(P543)=0)+(LEN(R543)=0)+(LEN(AA543)=0))</f>
        <v/>
      </c>
      <c r="AD543" s="19">
        <f>IF(OR(LEN(A543)=0,LEN(C543)=0),0,IF(OR(C543&lt;1,C543&gt;5),1,0))</f>
        <v/>
      </c>
      <c r="AE543" s="19">
        <f>IF(OR(LEN(A543)=0,LEN(R543)=0),0,IF(OR(R543="Active",R543="Paid off",R543="Defaulted",R543="Repossessed",R543="Written off",R543="Restructured"),0,1))</f>
        <v/>
      </c>
      <c r="AF543" s="19">
        <f>IF(A543="",0,IF(N(J543)&gt;N(I543),1,0))</f>
        <v/>
      </c>
      <c r="AG543" s="19">
        <f>IF(A543="",0,IF(N(N543)&gt;N(M543)+1,1,0))</f>
        <v/>
      </c>
      <c r="AH543" s="19">
        <f>IF(A543="",0,IF(N(E543)&gt;N(B543),1,0))</f>
        <v/>
      </c>
      <c r="AI543" s="19">
        <f>IF(A543="",0,IF(AND(Z543="Full payment",N(N543)&lt;N(M543)-1),1,0))</f>
        <v/>
      </c>
      <c r="AJ543" s="19">
        <f>IF(A543="",0,IF(N(P543)&lt;0,1,0))</f>
        <v/>
      </c>
      <c r="AK543" s="19">
        <f>IF(A543="",0,IF(COUNTIF($A$7:$A$1006,A543)&gt;1,1,0))</f>
        <v/>
      </c>
    </row>
    <row r="544">
      <c r="A544" s="10" t="n"/>
      <c r="B544" s="17" t="n"/>
      <c r="C544" s="18" t="n"/>
      <c r="D544" s="10" t="n"/>
      <c r="E544" s="17" t="n"/>
      <c r="F544" s="10" t="n"/>
      <c r="G544" s="10" t="n"/>
      <c r="H544" s="10" t="n"/>
      <c r="I544" s="18" t="n"/>
      <c r="J544" s="18" t="n"/>
      <c r="K544" s="18" t="n"/>
      <c r="L544" s="18" t="n"/>
      <c r="M544" s="19">
        <f>IF(K544="","",K544*365/12*L544)</f>
        <v/>
      </c>
      <c r="N544" s="18" t="n"/>
      <c r="O544" s="18" t="n"/>
      <c r="P544" s="18" t="n"/>
      <c r="Q544" s="18" t="n"/>
      <c r="R544" s="10" t="n"/>
      <c r="S544" s="17" t="n"/>
      <c r="T544" s="18" t="n"/>
      <c r="U544" s="17" t="n"/>
      <c r="V544" s="17" t="n"/>
      <c r="W544" s="18" t="n"/>
      <c r="X544" s="18" t="n"/>
      <c r="Y544" s="17" t="n"/>
      <c r="Z544" s="10" t="n"/>
      <c r="AA544" s="10" t="n"/>
      <c r="AB544" s="19">
        <f>IF(LEN(A544)&gt;0,1,0)</f>
        <v/>
      </c>
      <c r="AC544" s="19">
        <f>IF(LEN(A544)=0,0,(LEN(B544)=0)+(LEN(C544)=0)+(LEN(D544)=0)+(LEN(E544)=0)+(LEN(F544)=0)+(LEN(G544)=0)+(LEN(H544)=0)+(LEN(I544)=0)+(LEN(J544)=0)+(LEN(K544)=0)+(LEN(L544)=0)+(LEN(N544)=0)+(LEN(O544)=0)+(LEN(P544)=0)+(LEN(R544)=0)+(LEN(AA544)=0))</f>
        <v/>
      </c>
      <c r="AD544" s="19">
        <f>IF(OR(LEN(A544)=0,LEN(C544)=0),0,IF(OR(C544&lt;1,C544&gt;5),1,0))</f>
        <v/>
      </c>
      <c r="AE544" s="19">
        <f>IF(OR(LEN(A544)=0,LEN(R544)=0),0,IF(OR(R544="Active",R544="Paid off",R544="Defaulted",R544="Repossessed",R544="Written off",R544="Restructured"),0,1))</f>
        <v/>
      </c>
      <c r="AF544" s="19">
        <f>IF(A544="",0,IF(N(J544)&gt;N(I544),1,0))</f>
        <v/>
      </c>
      <c r="AG544" s="19">
        <f>IF(A544="",0,IF(N(N544)&gt;N(M544)+1,1,0))</f>
        <v/>
      </c>
      <c r="AH544" s="19">
        <f>IF(A544="",0,IF(N(E544)&gt;N(B544),1,0))</f>
        <v/>
      </c>
      <c r="AI544" s="19">
        <f>IF(A544="",0,IF(AND(Z544="Full payment",N(N544)&lt;N(M544)-1),1,0))</f>
        <v/>
      </c>
      <c r="AJ544" s="19">
        <f>IF(A544="",0,IF(N(P544)&lt;0,1,0))</f>
        <v/>
      </c>
      <c r="AK544" s="19">
        <f>IF(A544="",0,IF(COUNTIF($A$7:$A$1006,A544)&gt;1,1,0))</f>
        <v/>
      </c>
    </row>
    <row r="545">
      <c r="A545" s="10" t="n"/>
      <c r="B545" s="17" t="n"/>
      <c r="C545" s="18" t="n"/>
      <c r="D545" s="10" t="n"/>
      <c r="E545" s="17" t="n"/>
      <c r="F545" s="10" t="n"/>
      <c r="G545" s="10" t="n"/>
      <c r="H545" s="10" t="n"/>
      <c r="I545" s="18" t="n"/>
      <c r="J545" s="18" t="n"/>
      <c r="K545" s="18" t="n"/>
      <c r="L545" s="18" t="n"/>
      <c r="M545" s="19">
        <f>IF(K545="","",K545*365/12*L545)</f>
        <v/>
      </c>
      <c r="N545" s="18" t="n"/>
      <c r="O545" s="18" t="n"/>
      <c r="P545" s="18" t="n"/>
      <c r="Q545" s="18" t="n"/>
      <c r="R545" s="10" t="n"/>
      <c r="S545" s="17" t="n"/>
      <c r="T545" s="18" t="n"/>
      <c r="U545" s="17" t="n"/>
      <c r="V545" s="17" t="n"/>
      <c r="W545" s="18" t="n"/>
      <c r="X545" s="18" t="n"/>
      <c r="Y545" s="17" t="n"/>
      <c r="Z545" s="10" t="n"/>
      <c r="AA545" s="10" t="n"/>
      <c r="AB545" s="19">
        <f>IF(LEN(A545)&gt;0,1,0)</f>
        <v/>
      </c>
      <c r="AC545" s="19">
        <f>IF(LEN(A545)=0,0,(LEN(B545)=0)+(LEN(C545)=0)+(LEN(D545)=0)+(LEN(E545)=0)+(LEN(F545)=0)+(LEN(G545)=0)+(LEN(H545)=0)+(LEN(I545)=0)+(LEN(J545)=0)+(LEN(K545)=0)+(LEN(L545)=0)+(LEN(N545)=0)+(LEN(O545)=0)+(LEN(P545)=0)+(LEN(R545)=0)+(LEN(AA545)=0))</f>
        <v/>
      </c>
      <c r="AD545" s="19">
        <f>IF(OR(LEN(A545)=0,LEN(C545)=0),0,IF(OR(C545&lt;1,C545&gt;5),1,0))</f>
        <v/>
      </c>
      <c r="AE545" s="19">
        <f>IF(OR(LEN(A545)=0,LEN(R545)=0),0,IF(OR(R545="Active",R545="Paid off",R545="Defaulted",R545="Repossessed",R545="Written off",R545="Restructured"),0,1))</f>
        <v/>
      </c>
      <c r="AF545" s="19">
        <f>IF(A545="",0,IF(N(J545)&gt;N(I545),1,0))</f>
        <v/>
      </c>
      <c r="AG545" s="19">
        <f>IF(A545="",0,IF(N(N545)&gt;N(M545)+1,1,0))</f>
        <v/>
      </c>
      <c r="AH545" s="19">
        <f>IF(A545="",0,IF(N(E545)&gt;N(B545),1,0))</f>
        <v/>
      </c>
      <c r="AI545" s="19">
        <f>IF(A545="",0,IF(AND(Z545="Full payment",N(N545)&lt;N(M545)-1),1,0))</f>
        <v/>
      </c>
      <c r="AJ545" s="19">
        <f>IF(A545="",0,IF(N(P545)&lt;0,1,0))</f>
        <v/>
      </c>
      <c r="AK545" s="19">
        <f>IF(A545="",0,IF(COUNTIF($A$7:$A$1006,A545)&gt;1,1,0))</f>
        <v/>
      </c>
    </row>
    <row r="546">
      <c r="A546" s="10" t="n"/>
      <c r="B546" s="17" t="n"/>
      <c r="C546" s="18" t="n"/>
      <c r="D546" s="10" t="n"/>
      <c r="E546" s="17" t="n"/>
      <c r="F546" s="10" t="n"/>
      <c r="G546" s="10" t="n"/>
      <c r="H546" s="10" t="n"/>
      <c r="I546" s="18" t="n"/>
      <c r="J546" s="18" t="n"/>
      <c r="K546" s="18" t="n"/>
      <c r="L546" s="18" t="n"/>
      <c r="M546" s="19">
        <f>IF(K546="","",K546*365/12*L546)</f>
        <v/>
      </c>
      <c r="N546" s="18" t="n"/>
      <c r="O546" s="18" t="n"/>
      <c r="P546" s="18" t="n"/>
      <c r="Q546" s="18" t="n"/>
      <c r="R546" s="10" t="n"/>
      <c r="S546" s="17" t="n"/>
      <c r="T546" s="18" t="n"/>
      <c r="U546" s="17" t="n"/>
      <c r="V546" s="17" t="n"/>
      <c r="W546" s="18" t="n"/>
      <c r="X546" s="18" t="n"/>
      <c r="Y546" s="17" t="n"/>
      <c r="Z546" s="10" t="n"/>
      <c r="AA546" s="10" t="n"/>
      <c r="AB546" s="19">
        <f>IF(LEN(A546)&gt;0,1,0)</f>
        <v/>
      </c>
      <c r="AC546" s="19">
        <f>IF(LEN(A546)=0,0,(LEN(B546)=0)+(LEN(C546)=0)+(LEN(D546)=0)+(LEN(E546)=0)+(LEN(F546)=0)+(LEN(G546)=0)+(LEN(H546)=0)+(LEN(I546)=0)+(LEN(J546)=0)+(LEN(K546)=0)+(LEN(L546)=0)+(LEN(N546)=0)+(LEN(O546)=0)+(LEN(P546)=0)+(LEN(R546)=0)+(LEN(AA546)=0))</f>
        <v/>
      </c>
      <c r="AD546" s="19">
        <f>IF(OR(LEN(A546)=0,LEN(C546)=0),0,IF(OR(C546&lt;1,C546&gt;5),1,0))</f>
        <v/>
      </c>
      <c r="AE546" s="19">
        <f>IF(OR(LEN(A546)=0,LEN(R546)=0),0,IF(OR(R546="Active",R546="Paid off",R546="Defaulted",R546="Repossessed",R546="Written off",R546="Restructured"),0,1))</f>
        <v/>
      </c>
      <c r="AF546" s="19">
        <f>IF(A546="",0,IF(N(J546)&gt;N(I546),1,0))</f>
        <v/>
      </c>
      <c r="AG546" s="19">
        <f>IF(A546="",0,IF(N(N546)&gt;N(M546)+1,1,0))</f>
        <v/>
      </c>
      <c r="AH546" s="19">
        <f>IF(A546="",0,IF(N(E546)&gt;N(B546),1,0))</f>
        <v/>
      </c>
      <c r="AI546" s="19">
        <f>IF(A546="",0,IF(AND(Z546="Full payment",N(N546)&lt;N(M546)-1),1,0))</f>
        <v/>
      </c>
      <c r="AJ546" s="19">
        <f>IF(A546="",0,IF(N(P546)&lt;0,1,0))</f>
        <v/>
      </c>
      <c r="AK546" s="19">
        <f>IF(A546="",0,IF(COUNTIF($A$7:$A$1006,A546)&gt;1,1,0))</f>
        <v/>
      </c>
    </row>
    <row r="547">
      <c r="A547" s="10" t="n"/>
      <c r="B547" s="17" t="n"/>
      <c r="C547" s="18" t="n"/>
      <c r="D547" s="10" t="n"/>
      <c r="E547" s="17" t="n"/>
      <c r="F547" s="10" t="n"/>
      <c r="G547" s="10" t="n"/>
      <c r="H547" s="10" t="n"/>
      <c r="I547" s="18" t="n"/>
      <c r="J547" s="18" t="n"/>
      <c r="K547" s="18" t="n"/>
      <c r="L547" s="18" t="n"/>
      <c r="M547" s="19">
        <f>IF(K547="","",K547*365/12*L547)</f>
        <v/>
      </c>
      <c r="N547" s="18" t="n"/>
      <c r="O547" s="18" t="n"/>
      <c r="P547" s="18" t="n"/>
      <c r="Q547" s="18" t="n"/>
      <c r="R547" s="10" t="n"/>
      <c r="S547" s="17" t="n"/>
      <c r="T547" s="18" t="n"/>
      <c r="U547" s="17" t="n"/>
      <c r="V547" s="17" t="n"/>
      <c r="W547" s="18" t="n"/>
      <c r="X547" s="18" t="n"/>
      <c r="Y547" s="17" t="n"/>
      <c r="Z547" s="10" t="n"/>
      <c r="AA547" s="10" t="n"/>
      <c r="AB547" s="19">
        <f>IF(LEN(A547)&gt;0,1,0)</f>
        <v/>
      </c>
      <c r="AC547" s="19">
        <f>IF(LEN(A547)=0,0,(LEN(B547)=0)+(LEN(C547)=0)+(LEN(D547)=0)+(LEN(E547)=0)+(LEN(F547)=0)+(LEN(G547)=0)+(LEN(H547)=0)+(LEN(I547)=0)+(LEN(J547)=0)+(LEN(K547)=0)+(LEN(L547)=0)+(LEN(N547)=0)+(LEN(O547)=0)+(LEN(P547)=0)+(LEN(R547)=0)+(LEN(AA547)=0))</f>
        <v/>
      </c>
      <c r="AD547" s="19">
        <f>IF(OR(LEN(A547)=0,LEN(C547)=0),0,IF(OR(C547&lt;1,C547&gt;5),1,0))</f>
        <v/>
      </c>
      <c r="AE547" s="19">
        <f>IF(OR(LEN(A547)=0,LEN(R547)=0),0,IF(OR(R547="Active",R547="Paid off",R547="Defaulted",R547="Repossessed",R547="Written off",R547="Restructured"),0,1))</f>
        <v/>
      </c>
      <c r="AF547" s="19">
        <f>IF(A547="",0,IF(N(J547)&gt;N(I547),1,0))</f>
        <v/>
      </c>
      <c r="AG547" s="19">
        <f>IF(A547="",0,IF(N(N547)&gt;N(M547)+1,1,0))</f>
        <v/>
      </c>
      <c r="AH547" s="19">
        <f>IF(A547="",0,IF(N(E547)&gt;N(B547),1,0))</f>
        <v/>
      </c>
      <c r="AI547" s="19">
        <f>IF(A547="",0,IF(AND(Z547="Full payment",N(N547)&lt;N(M547)-1),1,0))</f>
        <v/>
      </c>
      <c r="AJ547" s="19">
        <f>IF(A547="",0,IF(N(P547)&lt;0,1,0))</f>
        <v/>
      </c>
      <c r="AK547" s="19">
        <f>IF(A547="",0,IF(COUNTIF($A$7:$A$1006,A547)&gt;1,1,0))</f>
        <v/>
      </c>
    </row>
    <row r="548">
      <c r="A548" s="10" t="n"/>
      <c r="B548" s="17" t="n"/>
      <c r="C548" s="18" t="n"/>
      <c r="D548" s="10" t="n"/>
      <c r="E548" s="17" t="n"/>
      <c r="F548" s="10" t="n"/>
      <c r="G548" s="10" t="n"/>
      <c r="H548" s="10" t="n"/>
      <c r="I548" s="18" t="n"/>
      <c r="J548" s="18" t="n"/>
      <c r="K548" s="18" t="n"/>
      <c r="L548" s="18" t="n"/>
      <c r="M548" s="19">
        <f>IF(K548="","",K548*365/12*L548)</f>
        <v/>
      </c>
      <c r="N548" s="18" t="n"/>
      <c r="O548" s="18" t="n"/>
      <c r="P548" s="18" t="n"/>
      <c r="Q548" s="18" t="n"/>
      <c r="R548" s="10" t="n"/>
      <c r="S548" s="17" t="n"/>
      <c r="T548" s="18" t="n"/>
      <c r="U548" s="17" t="n"/>
      <c r="V548" s="17" t="n"/>
      <c r="W548" s="18" t="n"/>
      <c r="X548" s="18" t="n"/>
      <c r="Y548" s="17" t="n"/>
      <c r="Z548" s="10" t="n"/>
      <c r="AA548" s="10" t="n"/>
      <c r="AB548" s="19">
        <f>IF(LEN(A548)&gt;0,1,0)</f>
        <v/>
      </c>
      <c r="AC548" s="19">
        <f>IF(LEN(A548)=0,0,(LEN(B548)=0)+(LEN(C548)=0)+(LEN(D548)=0)+(LEN(E548)=0)+(LEN(F548)=0)+(LEN(G548)=0)+(LEN(H548)=0)+(LEN(I548)=0)+(LEN(J548)=0)+(LEN(K548)=0)+(LEN(L548)=0)+(LEN(N548)=0)+(LEN(O548)=0)+(LEN(P548)=0)+(LEN(R548)=0)+(LEN(AA548)=0))</f>
        <v/>
      </c>
      <c r="AD548" s="19">
        <f>IF(OR(LEN(A548)=0,LEN(C548)=0),0,IF(OR(C548&lt;1,C548&gt;5),1,0))</f>
        <v/>
      </c>
      <c r="AE548" s="19">
        <f>IF(OR(LEN(A548)=0,LEN(R548)=0),0,IF(OR(R548="Active",R548="Paid off",R548="Defaulted",R548="Repossessed",R548="Written off",R548="Restructured"),0,1))</f>
        <v/>
      </c>
      <c r="AF548" s="19">
        <f>IF(A548="",0,IF(N(J548)&gt;N(I548),1,0))</f>
        <v/>
      </c>
      <c r="AG548" s="19">
        <f>IF(A548="",0,IF(N(N548)&gt;N(M548)+1,1,0))</f>
        <v/>
      </c>
      <c r="AH548" s="19">
        <f>IF(A548="",0,IF(N(E548)&gt;N(B548),1,0))</f>
        <v/>
      </c>
      <c r="AI548" s="19">
        <f>IF(A548="",0,IF(AND(Z548="Full payment",N(N548)&lt;N(M548)-1),1,0))</f>
        <v/>
      </c>
      <c r="AJ548" s="19">
        <f>IF(A548="",0,IF(N(P548)&lt;0,1,0))</f>
        <v/>
      </c>
      <c r="AK548" s="19">
        <f>IF(A548="",0,IF(COUNTIF($A$7:$A$1006,A548)&gt;1,1,0))</f>
        <v/>
      </c>
    </row>
    <row r="549">
      <c r="A549" s="10" t="n"/>
      <c r="B549" s="17" t="n"/>
      <c r="C549" s="18" t="n"/>
      <c r="D549" s="10" t="n"/>
      <c r="E549" s="17" t="n"/>
      <c r="F549" s="10" t="n"/>
      <c r="G549" s="10" t="n"/>
      <c r="H549" s="10" t="n"/>
      <c r="I549" s="18" t="n"/>
      <c r="J549" s="18" t="n"/>
      <c r="K549" s="18" t="n"/>
      <c r="L549" s="18" t="n"/>
      <c r="M549" s="19">
        <f>IF(K549="","",K549*365/12*L549)</f>
        <v/>
      </c>
      <c r="N549" s="18" t="n"/>
      <c r="O549" s="18" t="n"/>
      <c r="P549" s="18" t="n"/>
      <c r="Q549" s="18" t="n"/>
      <c r="R549" s="10" t="n"/>
      <c r="S549" s="17" t="n"/>
      <c r="T549" s="18" t="n"/>
      <c r="U549" s="17" t="n"/>
      <c r="V549" s="17" t="n"/>
      <c r="W549" s="18" t="n"/>
      <c r="X549" s="18" t="n"/>
      <c r="Y549" s="17" t="n"/>
      <c r="Z549" s="10" t="n"/>
      <c r="AA549" s="10" t="n"/>
      <c r="AB549" s="19">
        <f>IF(LEN(A549)&gt;0,1,0)</f>
        <v/>
      </c>
      <c r="AC549" s="19">
        <f>IF(LEN(A549)=0,0,(LEN(B549)=0)+(LEN(C549)=0)+(LEN(D549)=0)+(LEN(E549)=0)+(LEN(F549)=0)+(LEN(G549)=0)+(LEN(H549)=0)+(LEN(I549)=0)+(LEN(J549)=0)+(LEN(K549)=0)+(LEN(L549)=0)+(LEN(N549)=0)+(LEN(O549)=0)+(LEN(P549)=0)+(LEN(R549)=0)+(LEN(AA549)=0))</f>
        <v/>
      </c>
      <c r="AD549" s="19">
        <f>IF(OR(LEN(A549)=0,LEN(C549)=0),0,IF(OR(C549&lt;1,C549&gt;5),1,0))</f>
        <v/>
      </c>
      <c r="AE549" s="19">
        <f>IF(OR(LEN(A549)=0,LEN(R549)=0),0,IF(OR(R549="Active",R549="Paid off",R549="Defaulted",R549="Repossessed",R549="Written off",R549="Restructured"),0,1))</f>
        <v/>
      </c>
      <c r="AF549" s="19">
        <f>IF(A549="",0,IF(N(J549)&gt;N(I549),1,0))</f>
        <v/>
      </c>
      <c r="AG549" s="19">
        <f>IF(A549="",0,IF(N(N549)&gt;N(M549)+1,1,0))</f>
        <v/>
      </c>
      <c r="AH549" s="19">
        <f>IF(A549="",0,IF(N(E549)&gt;N(B549),1,0))</f>
        <v/>
      </c>
      <c r="AI549" s="19">
        <f>IF(A549="",0,IF(AND(Z549="Full payment",N(N549)&lt;N(M549)-1),1,0))</f>
        <v/>
      </c>
      <c r="AJ549" s="19">
        <f>IF(A549="",0,IF(N(P549)&lt;0,1,0))</f>
        <v/>
      </c>
      <c r="AK549" s="19">
        <f>IF(A549="",0,IF(COUNTIF($A$7:$A$1006,A549)&gt;1,1,0))</f>
        <v/>
      </c>
    </row>
    <row r="550">
      <c r="A550" s="10" t="n"/>
      <c r="B550" s="17" t="n"/>
      <c r="C550" s="18" t="n"/>
      <c r="D550" s="10" t="n"/>
      <c r="E550" s="17" t="n"/>
      <c r="F550" s="10" t="n"/>
      <c r="G550" s="10" t="n"/>
      <c r="H550" s="10" t="n"/>
      <c r="I550" s="18" t="n"/>
      <c r="J550" s="18" t="n"/>
      <c r="K550" s="18" t="n"/>
      <c r="L550" s="18" t="n"/>
      <c r="M550" s="19">
        <f>IF(K550="","",K550*365/12*L550)</f>
        <v/>
      </c>
      <c r="N550" s="18" t="n"/>
      <c r="O550" s="18" t="n"/>
      <c r="P550" s="18" t="n"/>
      <c r="Q550" s="18" t="n"/>
      <c r="R550" s="10" t="n"/>
      <c r="S550" s="17" t="n"/>
      <c r="T550" s="18" t="n"/>
      <c r="U550" s="17" t="n"/>
      <c r="V550" s="17" t="n"/>
      <c r="W550" s="18" t="n"/>
      <c r="X550" s="18" t="n"/>
      <c r="Y550" s="17" t="n"/>
      <c r="Z550" s="10" t="n"/>
      <c r="AA550" s="10" t="n"/>
      <c r="AB550" s="19">
        <f>IF(LEN(A550)&gt;0,1,0)</f>
        <v/>
      </c>
      <c r="AC550" s="19">
        <f>IF(LEN(A550)=0,0,(LEN(B550)=0)+(LEN(C550)=0)+(LEN(D550)=0)+(LEN(E550)=0)+(LEN(F550)=0)+(LEN(G550)=0)+(LEN(H550)=0)+(LEN(I550)=0)+(LEN(J550)=0)+(LEN(K550)=0)+(LEN(L550)=0)+(LEN(N550)=0)+(LEN(O550)=0)+(LEN(P550)=0)+(LEN(R550)=0)+(LEN(AA550)=0))</f>
        <v/>
      </c>
      <c r="AD550" s="19">
        <f>IF(OR(LEN(A550)=0,LEN(C550)=0),0,IF(OR(C550&lt;1,C550&gt;5),1,0))</f>
        <v/>
      </c>
      <c r="AE550" s="19">
        <f>IF(OR(LEN(A550)=0,LEN(R550)=0),0,IF(OR(R550="Active",R550="Paid off",R550="Defaulted",R550="Repossessed",R550="Written off",R550="Restructured"),0,1))</f>
        <v/>
      </c>
      <c r="AF550" s="19">
        <f>IF(A550="",0,IF(N(J550)&gt;N(I550),1,0))</f>
        <v/>
      </c>
      <c r="AG550" s="19">
        <f>IF(A550="",0,IF(N(N550)&gt;N(M550)+1,1,0))</f>
        <v/>
      </c>
      <c r="AH550" s="19">
        <f>IF(A550="",0,IF(N(E550)&gt;N(B550),1,0))</f>
        <v/>
      </c>
      <c r="AI550" s="19">
        <f>IF(A550="",0,IF(AND(Z550="Full payment",N(N550)&lt;N(M550)-1),1,0))</f>
        <v/>
      </c>
      <c r="AJ550" s="19">
        <f>IF(A550="",0,IF(N(P550)&lt;0,1,0))</f>
        <v/>
      </c>
      <c r="AK550" s="19">
        <f>IF(A550="",0,IF(COUNTIF($A$7:$A$1006,A550)&gt;1,1,0))</f>
        <v/>
      </c>
    </row>
    <row r="551">
      <c r="A551" s="10" t="n"/>
      <c r="B551" s="17" t="n"/>
      <c r="C551" s="18" t="n"/>
      <c r="D551" s="10" t="n"/>
      <c r="E551" s="17" t="n"/>
      <c r="F551" s="10" t="n"/>
      <c r="G551" s="10" t="n"/>
      <c r="H551" s="10" t="n"/>
      <c r="I551" s="18" t="n"/>
      <c r="J551" s="18" t="n"/>
      <c r="K551" s="18" t="n"/>
      <c r="L551" s="18" t="n"/>
      <c r="M551" s="19">
        <f>IF(K551="","",K551*365/12*L551)</f>
        <v/>
      </c>
      <c r="N551" s="18" t="n"/>
      <c r="O551" s="18" t="n"/>
      <c r="P551" s="18" t="n"/>
      <c r="Q551" s="18" t="n"/>
      <c r="R551" s="10" t="n"/>
      <c r="S551" s="17" t="n"/>
      <c r="T551" s="18" t="n"/>
      <c r="U551" s="17" t="n"/>
      <c r="V551" s="17" t="n"/>
      <c r="W551" s="18" t="n"/>
      <c r="X551" s="18" t="n"/>
      <c r="Y551" s="17" t="n"/>
      <c r="Z551" s="10" t="n"/>
      <c r="AA551" s="10" t="n"/>
      <c r="AB551" s="19">
        <f>IF(LEN(A551)&gt;0,1,0)</f>
        <v/>
      </c>
      <c r="AC551" s="19">
        <f>IF(LEN(A551)=0,0,(LEN(B551)=0)+(LEN(C551)=0)+(LEN(D551)=0)+(LEN(E551)=0)+(LEN(F551)=0)+(LEN(G551)=0)+(LEN(H551)=0)+(LEN(I551)=0)+(LEN(J551)=0)+(LEN(K551)=0)+(LEN(L551)=0)+(LEN(N551)=0)+(LEN(O551)=0)+(LEN(P551)=0)+(LEN(R551)=0)+(LEN(AA551)=0))</f>
        <v/>
      </c>
      <c r="AD551" s="19">
        <f>IF(OR(LEN(A551)=0,LEN(C551)=0),0,IF(OR(C551&lt;1,C551&gt;5),1,0))</f>
        <v/>
      </c>
      <c r="AE551" s="19">
        <f>IF(OR(LEN(A551)=0,LEN(R551)=0),0,IF(OR(R551="Active",R551="Paid off",R551="Defaulted",R551="Repossessed",R551="Written off",R551="Restructured"),0,1))</f>
        <v/>
      </c>
      <c r="AF551" s="19">
        <f>IF(A551="",0,IF(N(J551)&gt;N(I551),1,0))</f>
        <v/>
      </c>
      <c r="AG551" s="19">
        <f>IF(A551="",0,IF(N(N551)&gt;N(M551)+1,1,0))</f>
        <v/>
      </c>
      <c r="AH551" s="19">
        <f>IF(A551="",0,IF(N(E551)&gt;N(B551),1,0))</f>
        <v/>
      </c>
      <c r="AI551" s="19">
        <f>IF(A551="",0,IF(AND(Z551="Full payment",N(N551)&lt;N(M551)-1),1,0))</f>
        <v/>
      </c>
      <c r="AJ551" s="19">
        <f>IF(A551="",0,IF(N(P551)&lt;0,1,0))</f>
        <v/>
      </c>
      <c r="AK551" s="19">
        <f>IF(A551="",0,IF(COUNTIF($A$7:$A$1006,A551)&gt;1,1,0))</f>
        <v/>
      </c>
    </row>
    <row r="552">
      <c r="A552" s="10" t="n"/>
      <c r="B552" s="17" t="n"/>
      <c r="C552" s="18" t="n"/>
      <c r="D552" s="10" t="n"/>
      <c r="E552" s="17" t="n"/>
      <c r="F552" s="10" t="n"/>
      <c r="G552" s="10" t="n"/>
      <c r="H552" s="10" t="n"/>
      <c r="I552" s="18" t="n"/>
      <c r="J552" s="18" t="n"/>
      <c r="K552" s="18" t="n"/>
      <c r="L552" s="18" t="n"/>
      <c r="M552" s="19">
        <f>IF(K552="","",K552*365/12*L552)</f>
        <v/>
      </c>
      <c r="N552" s="18" t="n"/>
      <c r="O552" s="18" t="n"/>
      <c r="P552" s="18" t="n"/>
      <c r="Q552" s="18" t="n"/>
      <c r="R552" s="10" t="n"/>
      <c r="S552" s="17" t="n"/>
      <c r="T552" s="18" t="n"/>
      <c r="U552" s="17" t="n"/>
      <c r="V552" s="17" t="n"/>
      <c r="W552" s="18" t="n"/>
      <c r="X552" s="18" t="n"/>
      <c r="Y552" s="17" t="n"/>
      <c r="Z552" s="10" t="n"/>
      <c r="AA552" s="10" t="n"/>
      <c r="AB552" s="19">
        <f>IF(LEN(A552)&gt;0,1,0)</f>
        <v/>
      </c>
      <c r="AC552" s="19">
        <f>IF(LEN(A552)=0,0,(LEN(B552)=0)+(LEN(C552)=0)+(LEN(D552)=0)+(LEN(E552)=0)+(LEN(F552)=0)+(LEN(G552)=0)+(LEN(H552)=0)+(LEN(I552)=0)+(LEN(J552)=0)+(LEN(K552)=0)+(LEN(L552)=0)+(LEN(N552)=0)+(LEN(O552)=0)+(LEN(P552)=0)+(LEN(R552)=0)+(LEN(AA552)=0))</f>
        <v/>
      </c>
      <c r="AD552" s="19">
        <f>IF(OR(LEN(A552)=0,LEN(C552)=0),0,IF(OR(C552&lt;1,C552&gt;5),1,0))</f>
        <v/>
      </c>
      <c r="AE552" s="19">
        <f>IF(OR(LEN(A552)=0,LEN(R552)=0),0,IF(OR(R552="Active",R552="Paid off",R552="Defaulted",R552="Repossessed",R552="Written off",R552="Restructured"),0,1))</f>
        <v/>
      </c>
      <c r="AF552" s="19">
        <f>IF(A552="",0,IF(N(J552)&gt;N(I552),1,0))</f>
        <v/>
      </c>
      <c r="AG552" s="19">
        <f>IF(A552="",0,IF(N(N552)&gt;N(M552)+1,1,0))</f>
        <v/>
      </c>
      <c r="AH552" s="19">
        <f>IF(A552="",0,IF(N(E552)&gt;N(B552),1,0))</f>
        <v/>
      </c>
      <c r="AI552" s="19">
        <f>IF(A552="",0,IF(AND(Z552="Full payment",N(N552)&lt;N(M552)-1),1,0))</f>
        <v/>
      </c>
      <c r="AJ552" s="19">
        <f>IF(A552="",0,IF(N(P552)&lt;0,1,0))</f>
        <v/>
      </c>
      <c r="AK552" s="19">
        <f>IF(A552="",0,IF(COUNTIF($A$7:$A$1006,A552)&gt;1,1,0))</f>
        <v/>
      </c>
    </row>
    <row r="553">
      <c r="A553" s="10" t="n"/>
      <c r="B553" s="17" t="n"/>
      <c r="C553" s="18" t="n"/>
      <c r="D553" s="10" t="n"/>
      <c r="E553" s="17" t="n"/>
      <c r="F553" s="10" t="n"/>
      <c r="G553" s="10" t="n"/>
      <c r="H553" s="10" t="n"/>
      <c r="I553" s="18" t="n"/>
      <c r="J553" s="18" t="n"/>
      <c r="K553" s="18" t="n"/>
      <c r="L553" s="18" t="n"/>
      <c r="M553" s="19">
        <f>IF(K553="","",K553*365/12*L553)</f>
        <v/>
      </c>
      <c r="N553" s="18" t="n"/>
      <c r="O553" s="18" t="n"/>
      <c r="P553" s="18" t="n"/>
      <c r="Q553" s="18" t="n"/>
      <c r="R553" s="10" t="n"/>
      <c r="S553" s="17" t="n"/>
      <c r="T553" s="18" t="n"/>
      <c r="U553" s="17" t="n"/>
      <c r="V553" s="17" t="n"/>
      <c r="W553" s="18" t="n"/>
      <c r="X553" s="18" t="n"/>
      <c r="Y553" s="17" t="n"/>
      <c r="Z553" s="10" t="n"/>
      <c r="AA553" s="10" t="n"/>
      <c r="AB553" s="19">
        <f>IF(LEN(A553)&gt;0,1,0)</f>
        <v/>
      </c>
      <c r="AC553" s="19">
        <f>IF(LEN(A553)=0,0,(LEN(B553)=0)+(LEN(C553)=0)+(LEN(D553)=0)+(LEN(E553)=0)+(LEN(F553)=0)+(LEN(G553)=0)+(LEN(H553)=0)+(LEN(I553)=0)+(LEN(J553)=0)+(LEN(K553)=0)+(LEN(L553)=0)+(LEN(N553)=0)+(LEN(O553)=0)+(LEN(P553)=0)+(LEN(R553)=0)+(LEN(AA553)=0))</f>
        <v/>
      </c>
      <c r="AD553" s="19">
        <f>IF(OR(LEN(A553)=0,LEN(C553)=0),0,IF(OR(C553&lt;1,C553&gt;5),1,0))</f>
        <v/>
      </c>
      <c r="AE553" s="19">
        <f>IF(OR(LEN(A553)=0,LEN(R553)=0),0,IF(OR(R553="Active",R553="Paid off",R553="Defaulted",R553="Repossessed",R553="Written off",R553="Restructured"),0,1))</f>
        <v/>
      </c>
      <c r="AF553" s="19">
        <f>IF(A553="",0,IF(N(J553)&gt;N(I553),1,0))</f>
        <v/>
      </c>
      <c r="AG553" s="19">
        <f>IF(A553="",0,IF(N(N553)&gt;N(M553)+1,1,0))</f>
        <v/>
      </c>
      <c r="AH553" s="19">
        <f>IF(A553="",0,IF(N(E553)&gt;N(B553),1,0))</f>
        <v/>
      </c>
      <c r="AI553" s="19">
        <f>IF(A553="",0,IF(AND(Z553="Full payment",N(N553)&lt;N(M553)-1),1,0))</f>
        <v/>
      </c>
      <c r="AJ553" s="19">
        <f>IF(A553="",0,IF(N(P553)&lt;0,1,0))</f>
        <v/>
      </c>
      <c r="AK553" s="19">
        <f>IF(A553="",0,IF(COUNTIF($A$7:$A$1006,A553)&gt;1,1,0))</f>
        <v/>
      </c>
    </row>
    <row r="554">
      <c r="A554" s="10" t="n"/>
      <c r="B554" s="17" t="n"/>
      <c r="C554" s="18" t="n"/>
      <c r="D554" s="10" t="n"/>
      <c r="E554" s="17" t="n"/>
      <c r="F554" s="10" t="n"/>
      <c r="G554" s="10" t="n"/>
      <c r="H554" s="10" t="n"/>
      <c r="I554" s="18" t="n"/>
      <c r="J554" s="18" t="n"/>
      <c r="K554" s="18" t="n"/>
      <c r="L554" s="18" t="n"/>
      <c r="M554" s="19">
        <f>IF(K554="","",K554*365/12*L554)</f>
        <v/>
      </c>
      <c r="N554" s="18" t="n"/>
      <c r="O554" s="18" t="n"/>
      <c r="P554" s="18" t="n"/>
      <c r="Q554" s="18" t="n"/>
      <c r="R554" s="10" t="n"/>
      <c r="S554" s="17" t="n"/>
      <c r="T554" s="18" t="n"/>
      <c r="U554" s="17" t="n"/>
      <c r="V554" s="17" t="n"/>
      <c r="W554" s="18" t="n"/>
      <c r="X554" s="18" t="n"/>
      <c r="Y554" s="17" t="n"/>
      <c r="Z554" s="10" t="n"/>
      <c r="AA554" s="10" t="n"/>
      <c r="AB554" s="19">
        <f>IF(LEN(A554)&gt;0,1,0)</f>
        <v/>
      </c>
      <c r="AC554" s="19">
        <f>IF(LEN(A554)=0,0,(LEN(B554)=0)+(LEN(C554)=0)+(LEN(D554)=0)+(LEN(E554)=0)+(LEN(F554)=0)+(LEN(G554)=0)+(LEN(H554)=0)+(LEN(I554)=0)+(LEN(J554)=0)+(LEN(K554)=0)+(LEN(L554)=0)+(LEN(N554)=0)+(LEN(O554)=0)+(LEN(P554)=0)+(LEN(R554)=0)+(LEN(AA554)=0))</f>
        <v/>
      </c>
      <c r="AD554" s="19">
        <f>IF(OR(LEN(A554)=0,LEN(C554)=0),0,IF(OR(C554&lt;1,C554&gt;5),1,0))</f>
        <v/>
      </c>
      <c r="AE554" s="19">
        <f>IF(OR(LEN(A554)=0,LEN(R554)=0),0,IF(OR(R554="Active",R554="Paid off",R554="Defaulted",R554="Repossessed",R554="Written off",R554="Restructured"),0,1))</f>
        <v/>
      </c>
      <c r="AF554" s="19">
        <f>IF(A554="",0,IF(N(J554)&gt;N(I554),1,0))</f>
        <v/>
      </c>
      <c r="AG554" s="19">
        <f>IF(A554="",0,IF(N(N554)&gt;N(M554)+1,1,0))</f>
        <v/>
      </c>
      <c r="AH554" s="19">
        <f>IF(A554="",0,IF(N(E554)&gt;N(B554),1,0))</f>
        <v/>
      </c>
      <c r="AI554" s="19">
        <f>IF(A554="",0,IF(AND(Z554="Full payment",N(N554)&lt;N(M554)-1),1,0))</f>
        <v/>
      </c>
      <c r="AJ554" s="19">
        <f>IF(A554="",0,IF(N(P554)&lt;0,1,0))</f>
        <v/>
      </c>
      <c r="AK554" s="19">
        <f>IF(A554="",0,IF(COUNTIF($A$7:$A$1006,A554)&gt;1,1,0))</f>
        <v/>
      </c>
    </row>
    <row r="555">
      <c r="A555" s="10" t="n"/>
      <c r="B555" s="17" t="n"/>
      <c r="C555" s="18" t="n"/>
      <c r="D555" s="10" t="n"/>
      <c r="E555" s="17" t="n"/>
      <c r="F555" s="10" t="n"/>
      <c r="G555" s="10" t="n"/>
      <c r="H555" s="10" t="n"/>
      <c r="I555" s="18" t="n"/>
      <c r="J555" s="18" t="n"/>
      <c r="K555" s="18" t="n"/>
      <c r="L555" s="18" t="n"/>
      <c r="M555" s="19">
        <f>IF(K555="","",K555*365/12*L555)</f>
        <v/>
      </c>
      <c r="N555" s="18" t="n"/>
      <c r="O555" s="18" t="n"/>
      <c r="P555" s="18" t="n"/>
      <c r="Q555" s="18" t="n"/>
      <c r="R555" s="10" t="n"/>
      <c r="S555" s="17" t="n"/>
      <c r="T555" s="18" t="n"/>
      <c r="U555" s="17" t="n"/>
      <c r="V555" s="17" t="n"/>
      <c r="W555" s="18" t="n"/>
      <c r="X555" s="18" t="n"/>
      <c r="Y555" s="17" t="n"/>
      <c r="Z555" s="10" t="n"/>
      <c r="AA555" s="10" t="n"/>
      <c r="AB555" s="19">
        <f>IF(LEN(A555)&gt;0,1,0)</f>
        <v/>
      </c>
      <c r="AC555" s="19">
        <f>IF(LEN(A555)=0,0,(LEN(B555)=0)+(LEN(C555)=0)+(LEN(D555)=0)+(LEN(E555)=0)+(LEN(F555)=0)+(LEN(G555)=0)+(LEN(H555)=0)+(LEN(I555)=0)+(LEN(J555)=0)+(LEN(K555)=0)+(LEN(L555)=0)+(LEN(N555)=0)+(LEN(O555)=0)+(LEN(P555)=0)+(LEN(R555)=0)+(LEN(AA555)=0))</f>
        <v/>
      </c>
      <c r="AD555" s="19">
        <f>IF(OR(LEN(A555)=0,LEN(C555)=0),0,IF(OR(C555&lt;1,C555&gt;5),1,0))</f>
        <v/>
      </c>
      <c r="AE555" s="19">
        <f>IF(OR(LEN(A555)=0,LEN(R555)=0),0,IF(OR(R555="Active",R555="Paid off",R555="Defaulted",R555="Repossessed",R555="Written off",R555="Restructured"),0,1))</f>
        <v/>
      </c>
      <c r="AF555" s="19">
        <f>IF(A555="",0,IF(N(J555)&gt;N(I555),1,0))</f>
        <v/>
      </c>
      <c r="AG555" s="19">
        <f>IF(A555="",0,IF(N(N555)&gt;N(M555)+1,1,0))</f>
        <v/>
      </c>
      <c r="AH555" s="19">
        <f>IF(A555="",0,IF(N(E555)&gt;N(B555),1,0))</f>
        <v/>
      </c>
      <c r="AI555" s="19">
        <f>IF(A555="",0,IF(AND(Z555="Full payment",N(N555)&lt;N(M555)-1),1,0))</f>
        <v/>
      </c>
      <c r="AJ555" s="19">
        <f>IF(A555="",0,IF(N(P555)&lt;0,1,0))</f>
        <v/>
      </c>
      <c r="AK555" s="19">
        <f>IF(A555="",0,IF(COUNTIF($A$7:$A$1006,A555)&gt;1,1,0))</f>
        <v/>
      </c>
    </row>
    <row r="556">
      <c r="A556" s="10" t="n"/>
      <c r="B556" s="17" t="n"/>
      <c r="C556" s="18" t="n"/>
      <c r="D556" s="10" t="n"/>
      <c r="E556" s="17" t="n"/>
      <c r="F556" s="10" t="n"/>
      <c r="G556" s="10" t="n"/>
      <c r="H556" s="10" t="n"/>
      <c r="I556" s="18" t="n"/>
      <c r="J556" s="18" t="n"/>
      <c r="K556" s="18" t="n"/>
      <c r="L556" s="18" t="n"/>
      <c r="M556" s="19">
        <f>IF(K556="","",K556*365/12*L556)</f>
        <v/>
      </c>
      <c r="N556" s="18" t="n"/>
      <c r="O556" s="18" t="n"/>
      <c r="P556" s="18" t="n"/>
      <c r="Q556" s="18" t="n"/>
      <c r="R556" s="10" t="n"/>
      <c r="S556" s="17" t="n"/>
      <c r="T556" s="18" t="n"/>
      <c r="U556" s="17" t="n"/>
      <c r="V556" s="17" t="n"/>
      <c r="W556" s="18" t="n"/>
      <c r="X556" s="18" t="n"/>
      <c r="Y556" s="17" t="n"/>
      <c r="Z556" s="10" t="n"/>
      <c r="AA556" s="10" t="n"/>
      <c r="AB556" s="19">
        <f>IF(LEN(A556)&gt;0,1,0)</f>
        <v/>
      </c>
      <c r="AC556" s="19">
        <f>IF(LEN(A556)=0,0,(LEN(B556)=0)+(LEN(C556)=0)+(LEN(D556)=0)+(LEN(E556)=0)+(LEN(F556)=0)+(LEN(G556)=0)+(LEN(H556)=0)+(LEN(I556)=0)+(LEN(J556)=0)+(LEN(K556)=0)+(LEN(L556)=0)+(LEN(N556)=0)+(LEN(O556)=0)+(LEN(P556)=0)+(LEN(R556)=0)+(LEN(AA556)=0))</f>
        <v/>
      </c>
      <c r="AD556" s="19">
        <f>IF(OR(LEN(A556)=0,LEN(C556)=0),0,IF(OR(C556&lt;1,C556&gt;5),1,0))</f>
        <v/>
      </c>
      <c r="AE556" s="19">
        <f>IF(OR(LEN(A556)=0,LEN(R556)=0),0,IF(OR(R556="Active",R556="Paid off",R556="Defaulted",R556="Repossessed",R556="Written off",R556="Restructured"),0,1))</f>
        <v/>
      </c>
      <c r="AF556" s="19">
        <f>IF(A556="",0,IF(N(J556)&gt;N(I556),1,0))</f>
        <v/>
      </c>
      <c r="AG556" s="19">
        <f>IF(A556="",0,IF(N(N556)&gt;N(M556)+1,1,0))</f>
        <v/>
      </c>
      <c r="AH556" s="19">
        <f>IF(A556="",0,IF(N(E556)&gt;N(B556),1,0))</f>
        <v/>
      </c>
      <c r="AI556" s="19">
        <f>IF(A556="",0,IF(AND(Z556="Full payment",N(N556)&lt;N(M556)-1),1,0))</f>
        <v/>
      </c>
      <c r="AJ556" s="19">
        <f>IF(A556="",0,IF(N(P556)&lt;0,1,0))</f>
        <v/>
      </c>
      <c r="AK556" s="19">
        <f>IF(A556="",0,IF(COUNTIF($A$7:$A$1006,A556)&gt;1,1,0))</f>
        <v/>
      </c>
    </row>
    <row r="557">
      <c r="A557" s="10" t="n"/>
      <c r="B557" s="17" t="n"/>
      <c r="C557" s="18" t="n"/>
      <c r="D557" s="10" t="n"/>
      <c r="E557" s="17" t="n"/>
      <c r="F557" s="10" t="n"/>
      <c r="G557" s="10" t="n"/>
      <c r="H557" s="10" t="n"/>
      <c r="I557" s="18" t="n"/>
      <c r="J557" s="18" t="n"/>
      <c r="K557" s="18" t="n"/>
      <c r="L557" s="18" t="n"/>
      <c r="M557" s="19">
        <f>IF(K557="","",K557*365/12*L557)</f>
        <v/>
      </c>
      <c r="N557" s="18" t="n"/>
      <c r="O557" s="18" t="n"/>
      <c r="P557" s="18" t="n"/>
      <c r="Q557" s="18" t="n"/>
      <c r="R557" s="10" t="n"/>
      <c r="S557" s="17" t="n"/>
      <c r="T557" s="18" t="n"/>
      <c r="U557" s="17" t="n"/>
      <c r="V557" s="17" t="n"/>
      <c r="W557" s="18" t="n"/>
      <c r="X557" s="18" t="n"/>
      <c r="Y557" s="17" t="n"/>
      <c r="Z557" s="10" t="n"/>
      <c r="AA557" s="10" t="n"/>
      <c r="AB557" s="19">
        <f>IF(LEN(A557)&gt;0,1,0)</f>
        <v/>
      </c>
      <c r="AC557" s="19">
        <f>IF(LEN(A557)=0,0,(LEN(B557)=0)+(LEN(C557)=0)+(LEN(D557)=0)+(LEN(E557)=0)+(LEN(F557)=0)+(LEN(G557)=0)+(LEN(H557)=0)+(LEN(I557)=0)+(LEN(J557)=0)+(LEN(K557)=0)+(LEN(L557)=0)+(LEN(N557)=0)+(LEN(O557)=0)+(LEN(P557)=0)+(LEN(R557)=0)+(LEN(AA557)=0))</f>
        <v/>
      </c>
      <c r="AD557" s="19">
        <f>IF(OR(LEN(A557)=0,LEN(C557)=0),0,IF(OR(C557&lt;1,C557&gt;5),1,0))</f>
        <v/>
      </c>
      <c r="AE557" s="19">
        <f>IF(OR(LEN(A557)=0,LEN(R557)=0),0,IF(OR(R557="Active",R557="Paid off",R557="Defaulted",R557="Repossessed",R557="Written off",R557="Restructured"),0,1))</f>
        <v/>
      </c>
      <c r="AF557" s="19">
        <f>IF(A557="",0,IF(N(J557)&gt;N(I557),1,0))</f>
        <v/>
      </c>
      <c r="AG557" s="19">
        <f>IF(A557="",0,IF(N(N557)&gt;N(M557)+1,1,0))</f>
        <v/>
      </c>
      <c r="AH557" s="19">
        <f>IF(A557="",0,IF(N(E557)&gt;N(B557),1,0))</f>
        <v/>
      </c>
      <c r="AI557" s="19">
        <f>IF(A557="",0,IF(AND(Z557="Full payment",N(N557)&lt;N(M557)-1),1,0))</f>
        <v/>
      </c>
      <c r="AJ557" s="19">
        <f>IF(A557="",0,IF(N(P557)&lt;0,1,0))</f>
        <v/>
      </c>
      <c r="AK557" s="19">
        <f>IF(A557="",0,IF(COUNTIF($A$7:$A$1006,A557)&gt;1,1,0))</f>
        <v/>
      </c>
    </row>
    <row r="558">
      <c r="A558" s="10" t="n"/>
      <c r="B558" s="17" t="n"/>
      <c r="C558" s="18" t="n"/>
      <c r="D558" s="10" t="n"/>
      <c r="E558" s="17" t="n"/>
      <c r="F558" s="10" t="n"/>
      <c r="G558" s="10" t="n"/>
      <c r="H558" s="10" t="n"/>
      <c r="I558" s="18" t="n"/>
      <c r="J558" s="18" t="n"/>
      <c r="K558" s="18" t="n"/>
      <c r="L558" s="18" t="n"/>
      <c r="M558" s="19">
        <f>IF(K558="","",K558*365/12*L558)</f>
        <v/>
      </c>
      <c r="N558" s="18" t="n"/>
      <c r="O558" s="18" t="n"/>
      <c r="P558" s="18" t="n"/>
      <c r="Q558" s="18" t="n"/>
      <c r="R558" s="10" t="n"/>
      <c r="S558" s="17" t="n"/>
      <c r="T558" s="18" t="n"/>
      <c r="U558" s="17" t="n"/>
      <c r="V558" s="17" t="n"/>
      <c r="W558" s="18" t="n"/>
      <c r="X558" s="18" t="n"/>
      <c r="Y558" s="17" t="n"/>
      <c r="Z558" s="10" t="n"/>
      <c r="AA558" s="10" t="n"/>
      <c r="AB558" s="19">
        <f>IF(LEN(A558)&gt;0,1,0)</f>
        <v/>
      </c>
      <c r="AC558" s="19">
        <f>IF(LEN(A558)=0,0,(LEN(B558)=0)+(LEN(C558)=0)+(LEN(D558)=0)+(LEN(E558)=0)+(LEN(F558)=0)+(LEN(G558)=0)+(LEN(H558)=0)+(LEN(I558)=0)+(LEN(J558)=0)+(LEN(K558)=0)+(LEN(L558)=0)+(LEN(N558)=0)+(LEN(O558)=0)+(LEN(P558)=0)+(LEN(R558)=0)+(LEN(AA558)=0))</f>
        <v/>
      </c>
      <c r="AD558" s="19">
        <f>IF(OR(LEN(A558)=0,LEN(C558)=0),0,IF(OR(C558&lt;1,C558&gt;5),1,0))</f>
        <v/>
      </c>
      <c r="AE558" s="19">
        <f>IF(OR(LEN(A558)=0,LEN(R558)=0),0,IF(OR(R558="Active",R558="Paid off",R558="Defaulted",R558="Repossessed",R558="Written off",R558="Restructured"),0,1))</f>
        <v/>
      </c>
      <c r="AF558" s="19">
        <f>IF(A558="",0,IF(N(J558)&gt;N(I558),1,0))</f>
        <v/>
      </c>
      <c r="AG558" s="19">
        <f>IF(A558="",0,IF(N(N558)&gt;N(M558)+1,1,0))</f>
        <v/>
      </c>
      <c r="AH558" s="19">
        <f>IF(A558="",0,IF(N(E558)&gt;N(B558),1,0))</f>
        <v/>
      </c>
      <c r="AI558" s="19">
        <f>IF(A558="",0,IF(AND(Z558="Full payment",N(N558)&lt;N(M558)-1),1,0))</f>
        <v/>
      </c>
      <c r="AJ558" s="19">
        <f>IF(A558="",0,IF(N(P558)&lt;0,1,0))</f>
        <v/>
      </c>
      <c r="AK558" s="19">
        <f>IF(A558="",0,IF(COUNTIF($A$7:$A$1006,A558)&gt;1,1,0))</f>
        <v/>
      </c>
    </row>
    <row r="559">
      <c r="A559" s="10" t="n"/>
      <c r="B559" s="17" t="n"/>
      <c r="C559" s="18" t="n"/>
      <c r="D559" s="10" t="n"/>
      <c r="E559" s="17" t="n"/>
      <c r="F559" s="10" t="n"/>
      <c r="G559" s="10" t="n"/>
      <c r="H559" s="10" t="n"/>
      <c r="I559" s="18" t="n"/>
      <c r="J559" s="18" t="n"/>
      <c r="K559" s="18" t="n"/>
      <c r="L559" s="18" t="n"/>
      <c r="M559" s="19">
        <f>IF(K559="","",K559*365/12*L559)</f>
        <v/>
      </c>
      <c r="N559" s="18" t="n"/>
      <c r="O559" s="18" t="n"/>
      <c r="P559" s="18" t="n"/>
      <c r="Q559" s="18" t="n"/>
      <c r="R559" s="10" t="n"/>
      <c r="S559" s="17" t="n"/>
      <c r="T559" s="18" t="n"/>
      <c r="U559" s="17" t="n"/>
      <c r="V559" s="17" t="n"/>
      <c r="W559" s="18" t="n"/>
      <c r="X559" s="18" t="n"/>
      <c r="Y559" s="17" t="n"/>
      <c r="Z559" s="10" t="n"/>
      <c r="AA559" s="10" t="n"/>
      <c r="AB559" s="19">
        <f>IF(LEN(A559)&gt;0,1,0)</f>
        <v/>
      </c>
      <c r="AC559" s="19">
        <f>IF(LEN(A559)=0,0,(LEN(B559)=0)+(LEN(C559)=0)+(LEN(D559)=0)+(LEN(E559)=0)+(LEN(F559)=0)+(LEN(G559)=0)+(LEN(H559)=0)+(LEN(I559)=0)+(LEN(J559)=0)+(LEN(K559)=0)+(LEN(L559)=0)+(LEN(N559)=0)+(LEN(O559)=0)+(LEN(P559)=0)+(LEN(R559)=0)+(LEN(AA559)=0))</f>
        <v/>
      </c>
      <c r="AD559" s="19">
        <f>IF(OR(LEN(A559)=0,LEN(C559)=0),0,IF(OR(C559&lt;1,C559&gt;5),1,0))</f>
        <v/>
      </c>
      <c r="AE559" s="19">
        <f>IF(OR(LEN(A559)=0,LEN(R559)=0),0,IF(OR(R559="Active",R559="Paid off",R559="Defaulted",R559="Repossessed",R559="Written off",R559="Restructured"),0,1))</f>
        <v/>
      </c>
      <c r="AF559" s="19">
        <f>IF(A559="",0,IF(N(J559)&gt;N(I559),1,0))</f>
        <v/>
      </c>
      <c r="AG559" s="19">
        <f>IF(A559="",0,IF(N(N559)&gt;N(M559)+1,1,0))</f>
        <v/>
      </c>
      <c r="AH559" s="19">
        <f>IF(A559="",0,IF(N(E559)&gt;N(B559),1,0))</f>
        <v/>
      </c>
      <c r="AI559" s="19">
        <f>IF(A559="",0,IF(AND(Z559="Full payment",N(N559)&lt;N(M559)-1),1,0))</f>
        <v/>
      </c>
      <c r="AJ559" s="19">
        <f>IF(A559="",0,IF(N(P559)&lt;0,1,0))</f>
        <v/>
      </c>
      <c r="AK559" s="19">
        <f>IF(A559="",0,IF(COUNTIF($A$7:$A$1006,A559)&gt;1,1,0))</f>
        <v/>
      </c>
    </row>
    <row r="560">
      <c r="A560" s="10" t="n"/>
      <c r="B560" s="17" t="n"/>
      <c r="C560" s="18" t="n"/>
      <c r="D560" s="10" t="n"/>
      <c r="E560" s="17" t="n"/>
      <c r="F560" s="10" t="n"/>
      <c r="G560" s="10" t="n"/>
      <c r="H560" s="10" t="n"/>
      <c r="I560" s="18" t="n"/>
      <c r="J560" s="18" t="n"/>
      <c r="K560" s="18" t="n"/>
      <c r="L560" s="18" t="n"/>
      <c r="M560" s="19">
        <f>IF(K560="","",K560*365/12*L560)</f>
        <v/>
      </c>
      <c r="N560" s="18" t="n"/>
      <c r="O560" s="18" t="n"/>
      <c r="P560" s="18" t="n"/>
      <c r="Q560" s="18" t="n"/>
      <c r="R560" s="10" t="n"/>
      <c r="S560" s="17" t="n"/>
      <c r="T560" s="18" t="n"/>
      <c r="U560" s="17" t="n"/>
      <c r="V560" s="17" t="n"/>
      <c r="W560" s="18" t="n"/>
      <c r="X560" s="18" t="n"/>
      <c r="Y560" s="17" t="n"/>
      <c r="Z560" s="10" t="n"/>
      <c r="AA560" s="10" t="n"/>
      <c r="AB560" s="19">
        <f>IF(LEN(A560)&gt;0,1,0)</f>
        <v/>
      </c>
      <c r="AC560" s="19">
        <f>IF(LEN(A560)=0,0,(LEN(B560)=0)+(LEN(C560)=0)+(LEN(D560)=0)+(LEN(E560)=0)+(LEN(F560)=0)+(LEN(G560)=0)+(LEN(H560)=0)+(LEN(I560)=0)+(LEN(J560)=0)+(LEN(K560)=0)+(LEN(L560)=0)+(LEN(N560)=0)+(LEN(O560)=0)+(LEN(P560)=0)+(LEN(R560)=0)+(LEN(AA560)=0))</f>
        <v/>
      </c>
      <c r="AD560" s="19">
        <f>IF(OR(LEN(A560)=0,LEN(C560)=0),0,IF(OR(C560&lt;1,C560&gt;5),1,0))</f>
        <v/>
      </c>
      <c r="AE560" s="19">
        <f>IF(OR(LEN(A560)=0,LEN(R560)=0),0,IF(OR(R560="Active",R560="Paid off",R560="Defaulted",R560="Repossessed",R560="Written off",R560="Restructured"),0,1))</f>
        <v/>
      </c>
      <c r="AF560" s="19">
        <f>IF(A560="",0,IF(N(J560)&gt;N(I560),1,0))</f>
        <v/>
      </c>
      <c r="AG560" s="19">
        <f>IF(A560="",0,IF(N(N560)&gt;N(M560)+1,1,0))</f>
        <v/>
      </c>
      <c r="AH560" s="19">
        <f>IF(A560="",0,IF(N(E560)&gt;N(B560),1,0))</f>
        <v/>
      </c>
      <c r="AI560" s="19">
        <f>IF(A560="",0,IF(AND(Z560="Full payment",N(N560)&lt;N(M560)-1),1,0))</f>
        <v/>
      </c>
      <c r="AJ560" s="19">
        <f>IF(A560="",0,IF(N(P560)&lt;0,1,0))</f>
        <v/>
      </c>
      <c r="AK560" s="19">
        <f>IF(A560="",0,IF(COUNTIF($A$7:$A$1006,A560)&gt;1,1,0))</f>
        <v/>
      </c>
    </row>
    <row r="561">
      <c r="A561" s="10" t="n"/>
      <c r="B561" s="17" t="n"/>
      <c r="C561" s="18" t="n"/>
      <c r="D561" s="10" t="n"/>
      <c r="E561" s="17" t="n"/>
      <c r="F561" s="10" t="n"/>
      <c r="G561" s="10" t="n"/>
      <c r="H561" s="10" t="n"/>
      <c r="I561" s="18" t="n"/>
      <c r="J561" s="18" t="n"/>
      <c r="K561" s="18" t="n"/>
      <c r="L561" s="18" t="n"/>
      <c r="M561" s="19">
        <f>IF(K561="","",K561*365/12*L561)</f>
        <v/>
      </c>
      <c r="N561" s="18" t="n"/>
      <c r="O561" s="18" t="n"/>
      <c r="P561" s="18" t="n"/>
      <c r="Q561" s="18" t="n"/>
      <c r="R561" s="10" t="n"/>
      <c r="S561" s="17" t="n"/>
      <c r="T561" s="18" t="n"/>
      <c r="U561" s="17" t="n"/>
      <c r="V561" s="17" t="n"/>
      <c r="W561" s="18" t="n"/>
      <c r="X561" s="18" t="n"/>
      <c r="Y561" s="17" t="n"/>
      <c r="Z561" s="10" t="n"/>
      <c r="AA561" s="10" t="n"/>
      <c r="AB561" s="19">
        <f>IF(LEN(A561)&gt;0,1,0)</f>
        <v/>
      </c>
      <c r="AC561" s="19">
        <f>IF(LEN(A561)=0,0,(LEN(B561)=0)+(LEN(C561)=0)+(LEN(D561)=0)+(LEN(E561)=0)+(LEN(F561)=0)+(LEN(G561)=0)+(LEN(H561)=0)+(LEN(I561)=0)+(LEN(J561)=0)+(LEN(K561)=0)+(LEN(L561)=0)+(LEN(N561)=0)+(LEN(O561)=0)+(LEN(P561)=0)+(LEN(R561)=0)+(LEN(AA561)=0))</f>
        <v/>
      </c>
      <c r="AD561" s="19">
        <f>IF(OR(LEN(A561)=0,LEN(C561)=0),0,IF(OR(C561&lt;1,C561&gt;5),1,0))</f>
        <v/>
      </c>
      <c r="AE561" s="19">
        <f>IF(OR(LEN(A561)=0,LEN(R561)=0),0,IF(OR(R561="Active",R561="Paid off",R561="Defaulted",R561="Repossessed",R561="Written off",R561="Restructured"),0,1))</f>
        <v/>
      </c>
      <c r="AF561" s="19">
        <f>IF(A561="",0,IF(N(J561)&gt;N(I561),1,0))</f>
        <v/>
      </c>
      <c r="AG561" s="19">
        <f>IF(A561="",0,IF(N(N561)&gt;N(M561)+1,1,0))</f>
        <v/>
      </c>
      <c r="AH561" s="19">
        <f>IF(A561="",0,IF(N(E561)&gt;N(B561),1,0))</f>
        <v/>
      </c>
      <c r="AI561" s="19">
        <f>IF(A561="",0,IF(AND(Z561="Full payment",N(N561)&lt;N(M561)-1),1,0))</f>
        <v/>
      </c>
      <c r="AJ561" s="19">
        <f>IF(A561="",0,IF(N(P561)&lt;0,1,0))</f>
        <v/>
      </c>
      <c r="AK561" s="19">
        <f>IF(A561="",0,IF(COUNTIF($A$7:$A$1006,A561)&gt;1,1,0))</f>
        <v/>
      </c>
    </row>
    <row r="562">
      <c r="A562" s="10" t="n"/>
      <c r="B562" s="17" t="n"/>
      <c r="C562" s="18" t="n"/>
      <c r="D562" s="10" t="n"/>
      <c r="E562" s="17" t="n"/>
      <c r="F562" s="10" t="n"/>
      <c r="G562" s="10" t="n"/>
      <c r="H562" s="10" t="n"/>
      <c r="I562" s="18" t="n"/>
      <c r="J562" s="18" t="n"/>
      <c r="K562" s="18" t="n"/>
      <c r="L562" s="18" t="n"/>
      <c r="M562" s="19">
        <f>IF(K562="","",K562*365/12*L562)</f>
        <v/>
      </c>
      <c r="N562" s="18" t="n"/>
      <c r="O562" s="18" t="n"/>
      <c r="P562" s="18" t="n"/>
      <c r="Q562" s="18" t="n"/>
      <c r="R562" s="10" t="n"/>
      <c r="S562" s="17" t="n"/>
      <c r="T562" s="18" t="n"/>
      <c r="U562" s="17" t="n"/>
      <c r="V562" s="17" t="n"/>
      <c r="W562" s="18" t="n"/>
      <c r="X562" s="18" t="n"/>
      <c r="Y562" s="17" t="n"/>
      <c r="Z562" s="10" t="n"/>
      <c r="AA562" s="10" t="n"/>
      <c r="AB562" s="19">
        <f>IF(LEN(A562)&gt;0,1,0)</f>
        <v/>
      </c>
      <c r="AC562" s="19">
        <f>IF(LEN(A562)=0,0,(LEN(B562)=0)+(LEN(C562)=0)+(LEN(D562)=0)+(LEN(E562)=0)+(LEN(F562)=0)+(LEN(G562)=0)+(LEN(H562)=0)+(LEN(I562)=0)+(LEN(J562)=0)+(LEN(K562)=0)+(LEN(L562)=0)+(LEN(N562)=0)+(LEN(O562)=0)+(LEN(P562)=0)+(LEN(R562)=0)+(LEN(AA562)=0))</f>
        <v/>
      </c>
      <c r="AD562" s="19">
        <f>IF(OR(LEN(A562)=0,LEN(C562)=0),0,IF(OR(C562&lt;1,C562&gt;5),1,0))</f>
        <v/>
      </c>
      <c r="AE562" s="19">
        <f>IF(OR(LEN(A562)=0,LEN(R562)=0),0,IF(OR(R562="Active",R562="Paid off",R562="Defaulted",R562="Repossessed",R562="Written off",R562="Restructured"),0,1))</f>
        <v/>
      </c>
      <c r="AF562" s="19">
        <f>IF(A562="",0,IF(N(J562)&gt;N(I562),1,0))</f>
        <v/>
      </c>
      <c r="AG562" s="19">
        <f>IF(A562="",0,IF(N(N562)&gt;N(M562)+1,1,0))</f>
        <v/>
      </c>
      <c r="AH562" s="19">
        <f>IF(A562="",0,IF(N(E562)&gt;N(B562),1,0))</f>
        <v/>
      </c>
      <c r="AI562" s="19">
        <f>IF(A562="",0,IF(AND(Z562="Full payment",N(N562)&lt;N(M562)-1),1,0))</f>
        <v/>
      </c>
      <c r="AJ562" s="19">
        <f>IF(A562="",0,IF(N(P562)&lt;0,1,0))</f>
        <v/>
      </c>
      <c r="AK562" s="19">
        <f>IF(A562="",0,IF(COUNTIF($A$7:$A$1006,A562)&gt;1,1,0))</f>
        <v/>
      </c>
    </row>
    <row r="563">
      <c r="A563" s="10" t="n"/>
      <c r="B563" s="17" t="n"/>
      <c r="C563" s="18" t="n"/>
      <c r="D563" s="10" t="n"/>
      <c r="E563" s="17" t="n"/>
      <c r="F563" s="10" t="n"/>
      <c r="G563" s="10" t="n"/>
      <c r="H563" s="10" t="n"/>
      <c r="I563" s="18" t="n"/>
      <c r="J563" s="18" t="n"/>
      <c r="K563" s="18" t="n"/>
      <c r="L563" s="18" t="n"/>
      <c r="M563" s="19">
        <f>IF(K563="","",K563*365/12*L563)</f>
        <v/>
      </c>
      <c r="N563" s="18" t="n"/>
      <c r="O563" s="18" t="n"/>
      <c r="P563" s="18" t="n"/>
      <c r="Q563" s="18" t="n"/>
      <c r="R563" s="10" t="n"/>
      <c r="S563" s="17" t="n"/>
      <c r="T563" s="18" t="n"/>
      <c r="U563" s="17" t="n"/>
      <c r="V563" s="17" t="n"/>
      <c r="W563" s="18" t="n"/>
      <c r="X563" s="18" t="n"/>
      <c r="Y563" s="17" t="n"/>
      <c r="Z563" s="10" t="n"/>
      <c r="AA563" s="10" t="n"/>
      <c r="AB563" s="19">
        <f>IF(LEN(A563)&gt;0,1,0)</f>
        <v/>
      </c>
      <c r="AC563" s="19">
        <f>IF(LEN(A563)=0,0,(LEN(B563)=0)+(LEN(C563)=0)+(LEN(D563)=0)+(LEN(E563)=0)+(LEN(F563)=0)+(LEN(G563)=0)+(LEN(H563)=0)+(LEN(I563)=0)+(LEN(J563)=0)+(LEN(K563)=0)+(LEN(L563)=0)+(LEN(N563)=0)+(LEN(O563)=0)+(LEN(P563)=0)+(LEN(R563)=0)+(LEN(AA563)=0))</f>
        <v/>
      </c>
      <c r="AD563" s="19">
        <f>IF(OR(LEN(A563)=0,LEN(C563)=0),0,IF(OR(C563&lt;1,C563&gt;5),1,0))</f>
        <v/>
      </c>
      <c r="AE563" s="19">
        <f>IF(OR(LEN(A563)=0,LEN(R563)=0),0,IF(OR(R563="Active",R563="Paid off",R563="Defaulted",R563="Repossessed",R563="Written off",R563="Restructured"),0,1))</f>
        <v/>
      </c>
      <c r="AF563" s="19">
        <f>IF(A563="",0,IF(N(J563)&gt;N(I563),1,0))</f>
        <v/>
      </c>
      <c r="AG563" s="19">
        <f>IF(A563="",0,IF(N(N563)&gt;N(M563)+1,1,0))</f>
        <v/>
      </c>
      <c r="AH563" s="19">
        <f>IF(A563="",0,IF(N(E563)&gt;N(B563),1,0))</f>
        <v/>
      </c>
      <c r="AI563" s="19">
        <f>IF(A563="",0,IF(AND(Z563="Full payment",N(N563)&lt;N(M563)-1),1,0))</f>
        <v/>
      </c>
      <c r="AJ563" s="19">
        <f>IF(A563="",0,IF(N(P563)&lt;0,1,0))</f>
        <v/>
      </c>
      <c r="AK563" s="19">
        <f>IF(A563="",0,IF(COUNTIF($A$7:$A$1006,A563)&gt;1,1,0))</f>
        <v/>
      </c>
    </row>
    <row r="564">
      <c r="A564" s="10" t="n"/>
      <c r="B564" s="17" t="n"/>
      <c r="C564" s="18" t="n"/>
      <c r="D564" s="10" t="n"/>
      <c r="E564" s="17" t="n"/>
      <c r="F564" s="10" t="n"/>
      <c r="G564" s="10" t="n"/>
      <c r="H564" s="10" t="n"/>
      <c r="I564" s="18" t="n"/>
      <c r="J564" s="18" t="n"/>
      <c r="K564" s="18" t="n"/>
      <c r="L564" s="18" t="n"/>
      <c r="M564" s="19">
        <f>IF(K564="","",K564*365/12*L564)</f>
        <v/>
      </c>
      <c r="N564" s="18" t="n"/>
      <c r="O564" s="18" t="n"/>
      <c r="P564" s="18" t="n"/>
      <c r="Q564" s="18" t="n"/>
      <c r="R564" s="10" t="n"/>
      <c r="S564" s="17" t="n"/>
      <c r="T564" s="18" t="n"/>
      <c r="U564" s="17" t="n"/>
      <c r="V564" s="17" t="n"/>
      <c r="W564" s="18" t="n"/>
      <c r="X564" s="18" t="n"/>
      <c r="Y564" s="17" t="n"/>
      <c r="Z564" s="10" t="n"/>
      <c r="AA564" s="10" t="n"/>
      <c r="AB564" s="19">
        <f>IF(LEN(A564)&gt;0,1,0)</f>
        <v/>
      </c>
      <c r="AC564" s="19">
        <f>IF(LEN(A564)=0,0,(LEN(B564)=0)+(LEN(C564)=0)+(LEN(D564)=0)+(LEN(E564)=0)+(LEN(F564)=0)+(LEN(G564)=0)+(LEN(H564)=0)+(LEN(I564)=0)+(LEN(J564)=0)+(LEN(K564)=0)+(LEN(L564)=0)+(LEN(N564)=0)+(LEN(O564)=0)+(LEN(P564)=0)+(LEN(R564)=0)+(LEN(AA564)=0))</f>
        <v/>
      </c>
      <c r="AD564" s="19">
        <f>IF(OR(LEN(A564)=0,LEN(C564)=0),0,IF(OR(C564&lt;1,C564&gt;5),1,0))</f>
        <v/>
      </c>
      <c r="AE564" s="19">
        <f>IF(OR(LEN(A564)=0,LEN(R564)=0),0,IF(OR(R564="Active",R564="Paid off",R564="Defaulted",R564="Repossessed",R564="Written off",R564="Restructured"),0,1))</f>
        <v/>
      </c>
      <c r="AF564" s="19">
        <f>IF(A564="",0,IF(N(J564)&gt;N(I564),1,0))</f>
        <v/>
      </c>
      <c r="AG564" s="19">
        <f>IF(A564="",0,IF(N(N564)&gt;N(M564)+1,1,0))</f>
        <v/>
      </c>
      <c r="AH564" s="19">
        <f>IF(A564="",0,IF(N(E564)&gt;N(B564),1,0))</f>
        <v/>
      </c>
      <c r="AI564" s="19">
        <f>IF(A564="",0,IF(AND(Z564="Full payment",N(N564)&lt;N(M564)-1),1,0))</f>
        <v/>
      </c>
      <c r="AJ564" s="19">
        <f>IF(A564="",0,IF(N(P564)&lt;0,1,0))</f>
        <v/>
      </c>
      <c r="AK564" s="19">
        <f>IF(A564="",0,IF(COUNTIF($A$7:$A$1006,A564)&gt;1,1,0))</f>
        <v/>
      </c>
    </row>
    <row r="565">
      <c r="A565" s="10" t="n"/>
      <c r="B565" s="17" t="n"/>
      <c r="C565" s="18" t="n"/>
      <c r="D565" s="10" t="n"/>
      <c r="E565" s="17" t="n"/>
      <c r="F565" s="10" t="n"/>
      <c r="G565" s="10" t="n"/>
      <c r="H565" s="10" t="n"/>
      <c r="I565" s="18" t="n"/>
      <c r="J565" s="18" t="n"/>
      <c r="K565" s="18" t="n"/>
      <c r="L565" s="18" t="n"/>
      <c r="M565" s="19">
        <f>IF(K565="","",K565*365/12*L565)</f>
        <v/>
      </c>
      <c r="N565" s="18" t="n"/>
      <c r="O565" s="18" t="n"/>
      <c r="P565" s="18" t="n"/>
      <c r="Q565" s="18" t="n"/>
      <c r="R565" s="10" t="n"/>
      <c r="S565" s="17" t="n"/>
      <c r="T565" s="18" t="n"/>
      <c r="U565" s="17" t="n"/>
      <c r="V565" s="17" t="n"/>
      <c r="W565" s="18" t="n"/>
      <c r="X565" s="18" t="n"/>
      <c r="Y565" s="17" t="n"/>
      <c r="Z565" s="10" t="n"/>
      <c r="AA565" s="10" t="n"/>
      <c r="AB565" s="19">
        <f>IF(LEN(A565)&gt;0,1,0)</f>
        <v/>
      </c>
      <c r="AC565" s="19">
        <f>IF(LEN(A565)=0,0,(LEN(B565)=0)+(LEN(C565)=0)+(LEN(D565)=0)+(LEN(E565)=0)+(LEN(F565)=0)+(LEN(G565)=0)+(LEN(H565)=0)+(LEN(I565)=0)+(LEN(J565)=0)+(LEN(K565)=0)+(LEN(L565)=0)+(LEN(N565)=0)+(LEN(O565)=0)+(LEN(P565)=0)+(LEN(R565)=0)+(LEN(AA565)=0))</f>
        <v/>
      </c>
      <c r="AD565" s="19">
        <f>IF(OR(LEN(A565)=0,LEN(C565)=0),0,IF(OR(C565&lt;1,C565&gt;5),1,0))</f>
        <v/>
      </c>
      <c r="AE565" s="19">
        <f>IF(OR(LEN(A565)=0,LEN(R565)=0),0,IF(OR(R565="Active",R565="Paid off",R565="Defaulted",R565="Repossessed",R565="Written off",R565="Restructured"),0,1))</f>
        <v/>
      </c>
      <c r="AF565" s="19">
        <f>IF(A565="",0,IF(N(J565)&gt;N(I565),1,0))</f>
        <v/>
      </c>
      <c r="AG565" s="19">
        <f>IF(A565="",0,IF(N(N565)&gt;N(M565)+1,1,0))</f>
        <v/>
      </c>
      <c r="AH565" s="19">
        <f>IF(A565="",0,IF(N(E565)&gt;N(B565),1,0))</f>
        <v/>
      </c>
      <c r="AI565" s="19">
        <f>IF(A565="",0,IF(AND(Z565="Full payment",N(N565)&lt;N(M565)-1),1,0))</f>
        <v/>
      </c>
      <c r="AJ565" s="19">
        <f>IF(A565="",0,IF(N(P565)&lt;0,1,0))</f>
        <v/>
      </c>
      <c r="AK565" s="19">
        <f>IF(A565="",0,IF(COUNTIF($A$7:$A$1006,A565)&gt;1,1,0))</f>
        <v/>
      </c>
    </row>
    <row r="566">
      <c r="A566" s="10" t="n"/>
      <c r="B566" s="17" t="n"/>
      <c r="C566" s="18" t="n"/>
      <c r="D566" s="10" t="n"/>
      <c r="E566" s="17" t="n"/>
      <c r="F566" s="10" t="n"/>
      <c r="G566" s="10" t="n"/>
      <c r="H566" s="10" t="n"/>
      <c r="I566" s="18" t="n"/>
      <c r="J566" s="18" t="n"/>
      <c r="K566" s="18" t="n"/>
      <c r="L566" s="18" t="n"/>
      <c r="M566" s="19">
        <f>IF(K566="","",K566*365/12*L566)</f>
        <v/>
      </c>
      <c r="N566" s="18" t="n"/>
      <c r="O566" s="18" t="n"/>
      <c r="P566" s="18" t="n"/>
      <c r="Q566" s="18" t="n"/>
      <c r="R566" s="10" t="n"/>
      <c r="S566" s="17" t="n"/>
      <c r="T566" s="18" t="n"/>
      <c r="U566" s="17" t="n"/>
      <c r="V566" s="17" t="n"/>
      <c r="W566" s="18" t="n"/>
      <c r="X566" s="18" t="n"/>
      <c r="Y566" s="17" t="n"/>
      <c r="Z566" s="10" t="n"/>
      <c r="AA566" s="10" t="n"/>
      <c r="AB566" s="19">
        <f>IF(LEN(A566)&gt;0,1,0)</f>
        <v/>
      </c>
      <c r="AC566" s="19">
        <f>IF(LEN(A566)=0,0,(LEN(B566)=0)+(LEN(C566)=0)+(LEN(D566)=0)+(LEN(E566)=0)+(LEN(F566)=0)+(LEN(G566)=0)+(LEN(H566)=0)+(LEN(I566)=0)+(LEN(J566)=0)+(LEN(K566)=0)+(LEN(L566)=0)+(LEN(N566)=0)+(LEN(O566)=0)+(LEN(P566)=0)+(LEN(R566)=0)+(LEN(AA566)=0))</f>
        <v/>
      </c>
      <c r="AD566" s="19">
        <f>IF(OR(LEN(A566)=0,LEN(C566)=0),0,IF(OR(C566&lt;1,C566&gt;5),1,0))</f>
        <v/>
      </c>
      <c r="AE566" s="19">
        <f>IF(OR(LEN(A566)=0,LEN(R566)=0),0,IF(OR(R566="Active",R566="Paid off",R566="Defaulted",R566="Repossessed",R566="Written off",R566="Restructured"),0,1))</f>
        <v/>
      </c>
      <c r="AF566" s="19">
        <f>IF(A566="",0,IF(N(J566)&gt;N(I566),1,0))</f>
        <v/>
      </c>
      <c r="AG566" s="19">
        <f>IF(A566="",0,IF(N(N566)&gt;N(M566)+1,1,0))</f>
        <v/>
      </c>
      <c r="AH566" s="19">
        <f>IF(A566="",0,IF(N(E566)&gt;N(B566),1,0))</f>
        <v/>
      </c>
      <c r="AI566" s="19">
        <f>IF(A566="",0,IF(AND(Z566="Full payment",N(N566)&lt;N(M566)-1),1,0))</f>
        <v/>
      </c>
      <c r="AJ566" s="19">
        <f>IF(A566="",0,IF(N(P566)&lt;0,1,0))</f>
        <v/>
      </c>
      <c r="AK566" s="19">
        <f>IF(A566="",0,IF(COUNTIF($A$7:$A$1006,A566)&gt;1,1,0))</f>
        <v/>
      </c>
    </row>
    <row r="567">
      <c r="A567" s="10" t="n"/>
      <c r="B567" s="17" t="n"/>
      <c r="C567" s="18" t="n"/>
      <c r="D567" s="10" t="n"/>
      <c r="E567" s="17" t="n"/>
      <c r="F567" s="10" t="n"/>
      <c r="G567" s="10" t="n"/>
      <c r="H567" s="10" t="n"/>
      <c r="I567" s="18" t="n"/>
      <c r="J567" s="18" t="n"/>
      <c r="K567" s="18" t="n"/>
      <c r="L567" s="18" t="n"/>
      <c r="M567" s="19">
        <f>IF(K567="","",K567*365/12*L567)</f>
        <v/>
      </c>
      <c r="N567" s="18" t="n"/>
      <c r="O567" s="18" t="n"/>
      <c r="P567" s="18" t="n"/>
      <c r="Q567" s="18" t="n"/>
      <c r="R567" s="10" t="n"/>
      <c r="S567" s="17" t="n"/>
      <c r="T567" s="18" t="n"/>
      <c r="U567" s="17" t="n"/>
      <c r="V567" s="17" t="n"/>
      <c r="W567" s="18" t="n"/>
      <c r="X567" s="18" t="n"/>
      <c r="Y567" s="17" t="n"/>
      <c r="Z567" s="10" t="n"/>
      <c r="AA567" s="10" t="n"/>
      <c r="AB567" s="19">
        <f>IF(LEN(A567)&gt;0,1,0)</f>
        <v/>
      </c>
      <c r="AC567" s="19">
        <f>IF(LEN(A567)=0,0,(LEN(B567)=0)+(LEN(C567)=0)+(LEN(D567)=0)+(LEN(E567)=0)+(LEN(F567)=0)+(LEN(G567)=0)+(LEN(H567)=0)+(LEN(I567)=0)+(LEN(J567)=0)+(LEN(K567)=0)+(LEN(L567)=0)+(LEN(N567)=0)+(LEN(O567)=0)+(LEN(P567)=0)+(LEN(R567)=0)+(LEN(AA567)=0))</f>
        <v/>
      </c>
      <c r="AD567" s="19">
        <f>IF(OR(LEN(A567)=0,LEN(C567)=0),0,IF(OR(C567&lt;1,C567&gt;5),1,0))</f>
        <v/>
      </c>
      <c r="AE567" s="19">
        <f>IF(OR(LEN(A567)=0,LEN(R567)=0),0,IF(OR(R567="Active",R567="Paid off",R567="Defaulted",R567="Repossessed",R567="Written off",R567="Restructured"),0,1))</f>
        <v/>
      </c>
      <c r="AF567" s="19">
        <f>IF(A567="",0,IF(N(J567)&gt;N(I567),1,0))</f>
        <v/>
      </c>
      <c r="AG567" s="19">
        <f>IF(A567="",0,IF(N(N567)&gt;N(M567)+1,1,0))</f>
        <v/>
      </c>
      <c r="AH567" s="19">
        <f>IF(A567="",0,IF(N(E567)&gt;N(B567),1,0))</f>
        <v/>
      </c>
      <c r="AI567" s="19">
        <f>IF(A567="",0,IF(AND(Z567="Full payment",N(N567)&lt;N(M567)-1),1,0))</f>
        <v/>
      </c>
      <c r="AJ567" s="19">
        <f>IF(A567="",0,IF(N(P567)&lt;0,1,0))</f>
        <v/>
      </c>
      <c r="AK567" s="19">
        <f>IF(A567="",0,IF(COUNTIF($A$7:$A$1006,A567)&gt;1,1,0))</f>
        <v/>
      </c>
    </row>
    <row r="568">
      <c r="A568" s="10" t="n"/>
      <c r="B568" s="17" t="n"/>
      <c r="C568" s="18" t="n"/>
      <c r="D568" s="10" t="n"/>
      <c r="E568" s="17" t="n"/>
      <c r="F568" s="10" t="n"/>
      <c r="G568" s="10" t="n"/>
      <c r="H568" s="10" t="n"/>
      <c r="I568" s="18" t="n"/>
      <c r="J568" s="18" t="n"/>
      <c r="K568" s="18" t="n"/>
      <c r="L568" s="18" t="n"/>
      <c r="M568" s="19">
        <f>IF(K568="","",K568*365/12*L568)</f>
        <v/>
      </c>
      <c r="N568" s="18" t="n"/>
      <c r="O568" s="18" t="n"/>
      <c r="P568" s="18" t="n"/>
      <c r="Q568" s="18" t="n"/>
      <c r="R568" s="10" t="n"/>
      <c r="S568" s="17" t="n"/>
      <c r="T568" s="18" t="n"/>
      <c r="U568" s="17" t="n"/>
      <c r="V568" s="17" t="n"/>
      <c r="W568" s="18" t="n"/>
      <c r="X568" s="18" t="n"/>
      <c r="Y568" s="17" t="n"/>
      <c r="Z568" s="10" t="n"/>
      <c r="AA568" s="10" t="n"/>
      <c r="AB568" s="19">
        <f>IF(LEN(A568)&gt;0,1,0)</f>
        <v/>
      </c>
      <c r="AC568" s="19">
        <f>IF(LEN(A568)=0,0,(LEN(B568)=0)+(LEN(C568)=0)+(LEN(D568)=0)+(LEN(E568)=0)+(LEN(F568)=0)+(LEN(G568)=0)+(LEN(H568)=0)+(LEN(I568)=0)+(LEN(J568)=0)+(LEN(K568)=0)+(LEN(L568)=0)+(LEN(N568)=0)+(LEN(O568)=0)+(LEN(P568)=0)+(LEN(R568)=0)+(LEN(AA568)=0))</f>
        <v/>
      </c>
      <c r="AD568" s="19">
        <f>IF(OR(LEN(A568)=0,LEN(C568)=0),0,IF(OR(C568&lt;1,C568&gt;5),1,0))</f>
        <v/>
      </c>
      <c r="AE568" s="19">
        <f>IF(OR(LEN(A568)=0,LEN(R568)=0),0,IF(OR(R568="Active",R568="Paid off",R568="Defaulted",R568="Repossessed",R568="Written off",R568="Restructured"),0,1))</f>
        <v/>
      </c>
      <c r="AF568" s="19">
        <f>IF(A568="",0,IF(N(J568)&gt;N(I568),1,0))</f>
        <v/>
      </c>
      <c r="AG568" s="19">
        <f>IF(A568="",0,IF(N(N568)&gt;N(M568)+1,1,0))</f>
        <v/>
      </c>
      <c r="AH568" s="19">
        <f>IF(A568="",0,IF(N(E568)&gt;N(B568),1,0))</f>
        <v/>
      </c>
      <c r="AI568" s="19">
        <f>IF(A568="",0,IF(AND(Z568="Full payment",N(N568)&lt;N(M568)-1),1,0))</f>
        <v/>
      </c>
      <c r="AJ568" s="19">
        <f>IF(A568="",0,IF(N(P568)&lt;0,1,0))</f>
        <v/>
      </c>
      <c r="AK568" s="19">
        <f>IF(A568="",0,IF(COUNTIF($A$7:$A$1006,A568)&gt;1,1,0))</f>
        <v/>
      </c>
    </row>
    <row r="569">
      <c r="A569" s="10" t="n"/>
      <c r="B569" s="17" t="n"/>
      <c r="C569" s="18" t="n"/>
      <c r="D569" s="10" t="n"/>
      <c r="E569" s="17" t="n"/>
      <c r="F569" s="10" t="n"/>
      <c r="G569" s="10" t="n"/>
      <c r="H569" s="10" t="n"/>
      <c r="I569" s="18" t="n"/>
      <c r="J569" s="18" t="n"/>
      <c r="K569" s="18" t="n"/>
      <c r="L569" s="18" t="n"/>
      <c r="M569" s="19">
        <f>IF(K569="","",K569*365/12*L569)</f>
        <v/>
      </c>
      <c r="N569" s="18" t="n"/>
      <c r="O569" s="18" t="n"/>
      <c r="P569" s="18" t="n"/>
      <c r="Q569" s="18" t="n"/>
      <c r="R569" s="10" t="n"/>
      <c r="S569" s="17" t="n"/>
      <c r="T569" s="18" t="n"/>
      <c r="U569" s="17" t="n"/>
      <c r="V569" s="17" t="n"/>
      <c r="W569" s="18" t="n"/>
      <c r="X569" s="18" t="n"/>
      <c r="Y569" s="17" t="n"/>
      <c r="Z569" s="10" t="n"/>
      <c r="AA569" s="10" t="n"/>
      <c r="AB569" s="19">
        <f>IF(LEN(A569)&gt;0,1,0)</f>
        <v/>
      </c>
      <c r="AC569" s="19">
        <f>IF(LEN(A569)=0,0,(LEN(B569)=0)+(LEN(C569)=0)+(LEN(D569)=0)+(LEN(E569)=0)+(LEN(F569)=0)+(LEN(G569)=0)+(LEN(H569)=0)+(LEN(I569)=0)+(LEN(J569)=0)+(LEN(K569)=0)+(LEN(L569)=0)+(LEN(N569)=0)+(LEN(O569)=0)+(LEN(P569)=0)+(LEN(R569)=0)+(LEN(AA569)=0))</f>
        <v/>
      </c>
      <c r="AD569" s="19">
        <f>IF(OR(LEN(A569)=0,LEN(C569)=0),0,IF(OR(C569&lt;1,C569&gt;5),1,0))</f>
        <v/>
      </c>
      <c r="AE569" s="19">
        <f>IF(OR(LEN(A569)=0,LEN(R569)=0),0,IF(OR(R569="Active",R569="Paid off",R569="Defaulted",R569="Repossessed",R569="Written off",R569="Restructured"),0,1))</f>
        <v/>
      </c>
      <c r="AF569" s="19">
        <f>IF(A569="",0,IF(N(J569)&gt;N(I569),1,0))</f>
        <v/>
      </c>
      <c r="AG569" s="19">
        <f>IF(A569="",0,IF(N(N569)&gt;N(M569)+1,1,0))</f>
        <v/>
      </c>
      <c r="AH569" s="19">
        <f>IF(A569="",0,IF(N(E569)&gt;N(B569),1,0))</f>
        <v/>
      </c>
      <c r="AI569" s="19">
        <f>IF(A569="",0,IF(AND(Z569="Full payment",N(N569)&lt;N(M569)-1),1,0))</f>
        <v/>
      </c>
      <c r="AJ569" s="19">
        <f>IF(A569="",0,IF(N(P569)&lt;0,1,0))</f>
        <v/>
      </c>
      <c r="AK569" s="19">
        <f>IF(A569="",0,IF(COUNTIF($A$7:$A$1006,A569)&gt;1,1,0))</f>
        <v/>
      </c>
    </row>
    <row r="570">
      <c r="A570" s="10" t="n"/>
      <c r="B570" s="17" t="n"/>
      <c r="C570" s="18" t="n"/>
      <c r="D570" s="10" t="n"/>
      <c r="E570" s="17" t="n"/>
      <c r="F570" s="10" t="n"/>
      <c r="G570" s="10" t="n"/>
      <c r="H570" s="10" t="n"/>
      <c r="I570" s="18" t="n"/>
      <c r="J570" s="18" t="n"/>
      <c r="K570" s="18" t="n"/>
      <c r="L570" s="18" t="n"/>
      <c r="M570" s="19">
        <f>IF(K570="","",K570*365/12*L570)</f>
        <v/>
      </c>
      <c r="N570" s="18" t="n"/>
      <c r="O570" s="18" t="n"/>
      <c r="P570" s="18" t="n"/>
      <c r="Q570" s="18" t="n"/>
      <c r="R570" s="10" t="n"/>
      <c r="S570" s="17" t="n"/>
      <c r="T570" s="18" t="n"/>
      <c r="U570" s="17" t="n"/>
      <c r="V570" s="17" t="n"/>
      <c r="W570" s="18" t="n"/>
      <c r="X570" s="18" t="n"/>
      <c r="Y570" s="17" t="n"/>
      <c r="Z570" s="10" t="n"/>
      <c r="AA570" s="10" t="n"/>
      <c r="AB570" s="19">
        <f>IF(LEN(A570)&gt;0,1,0)</f>
        <v/>
      </c>
      <c r="AC570" s="19">
        <f>IF(LEN(A570)=0,0,(LEN(B570)=0)+(LEN(C570)=0)+(LEN(D570)=0)+(LEN(E570)=0)+(LEN(F570)=0)+(LEN(G570)=0)+(LEN(H570)=0)+(LEN(I570)=0)+(LEN(J570)=0)+(LEN(K570)=0)+(LEN(L570)=0)+(LEN(N570)=0)+(LEN(O570)=0)+(LEN(P570)=0)+(LEN(R570)=0)+(LEN(AA570)=0))</f>
        <v/>
      </c>
      <c r="AD570" s="19">
        <f>IF(OR(LEN(A570)=0,LEN(C570)=0),0,IF(OR(C570&lt;1,C570&gt;5),1,0))</f>
        <v/>
      </c>
      <c r="AE570" s="19">
        <f>IF(OR(LEN(A570)=0,LEN(R570)=0),0,IF(OR(R570="Active",R570="Paid off",R570="Defaulted",R570="Repossessed",R570="Written off",R570="Restructured"),0,1))</f>
        <v/>
      </c>
      <c r="AF570" s="19">
        <f>IF(A570="",0,IF(N(J570)&gt;N(I570),1,0))</f>
        <v/>
      </c>
      <c r="AG570" s="19">
        <f>IF(A570="",0,IF(N(N570)&gt;N(M570)+1,1,0))</f>
        <v/>
      </c>
      <c r="AH570" s="19">
        <f>IF(A570="",0,IF(N(E570)&gt;N(B570),1,0))</f>
        <v/>
      </c>
      <c r="AI570" s="19">
        <f>IF(A570="",0,IF(AND(Z570="Full payment",N(N570)&lt;N(M570)-1),1,0))</f>
        <v/>
      </c>
      <c r="AJ570" s="19">
        <f>IF(A570="",0,IF(N(P570)&lt;0,1,0))</f>
        <v/>
      </c>
      <c r="AK570" s="19">
        <f>IF(A570="",0,IF(COUNTIF($A$7:$A$1006,A570)&gt;1,1,0))</f>
        <v/>
      </c>
    </row>
    <row r="571">
      <c r="A571" s="10" t="n"/>
      <c r="B571" s="17" t="n"/>
      <c r="C571" s="18" t="n"/>
      <c r="D571" s="10" t="n"/>
      <c r="E571" s="17" t="n"/>
      <c r="F571" s="10" t="n"/>
      <c r="G571" s="10" t="n"/>
      <c r="H571" s="10" t="n"/>
      <c r="I571" s="18" t="n"/>
      <c r="J571" s="18" t="n"/>
      <c r="K571" s="18" t="n"/>
      <c r="L571" s="18" t="n"/>
      <c r="M571" s="19">
        <f>IF(K571="","",K571*365/12*L571)</f>
        <v/>
      </c>
      <c r="N571" s="18" t="n"/>
      <c r="O571" s="18" t="n"/>
      <c r="P571" s="18" t="n"/>
      <c r="Q571" s="18" t="n"/>
      <c r="R571" s="10" t="n"/>
      <c r="S571" s="17" t="n"/>
      <c r="T571" s="18" t="n"/>
      <c r="U571" s="17" t="n"/>
      <c r="V571" s="17" t="n"/>
      <c r="W571" s="18" t="n"/>
      <c r="X571" s="18" t="n"/>
      <c r="Y571" s="17" t="n"/>
      <c r="Z571" s="10" t="n"/>
      <c r="AA571" s="10" t="n"/>
      <c r="AB571" s="19">
        <f>IF(LEN(A571)&gt;0,1,0)</f>
        <v/>
      </c>
      <c r="AC571" s="19">
        <f>IF(LEN(A571)=0,0,(LEN(B571)=0)+(LEN(C571)=0)+(LEN(D571)=0)+(LEN(E571)=0)+(LEN(F571)=0)+(LEN(G571)=0)+(LEN(H571)=0)+(LEN(I571)=0)+(LEN(J571)=0)+(LEN(K571)=0)+(LEN(L571)=0)+(LEN(N571)=0)+(LEN(O571)=0)+(LEN(P571)=0)+(LEN(R571)=0)+(LEN(AA571)=0))</f>
        <v/>
      </c>
      <c r="AD571" s="19">
        <f>IF(OR(LEN(A571)=0,LEN(C571)=0),0,IF(OR(C571&lt;1,C571&gt;5),1,0))</f>
        <v/>
      </c>
      <c r="AE571" s="19">
        <f>IF(OR(LEN(A571)=0,LEN(R571)=0),0,IF(OR(R571="Active",R571="Paid off",R571="Defaulted",R571="Repossessed",R571="Written off",R571="Restructured"),0,1))</f>
        <v/>
      </c>
      <c r="AF571" s="19">
        <f>IF(A571="",0,IF(N(J571)&gt;N(I571),1,0))</f>
        <v/>
      </c>
      <c r="AG571" s="19">
        <f>IF(A571="",0,IF(N(N571)&gt;N(M571)+1,1,0))</f>
        <v/>
      </c>
      <c r="AH571" s="19">
        <f>IF(A571="",0,IF(N(E571)&gt;N(B571),1,0))</f>
        <v/>
      </c>
      <c r="AI571" s="19">
        <f>IF(A571="",0,IF(AND(Z571="Full payment",N(N571)&lt;N(M571)-1),1,0))</f>
        <v/>
      </c>
      <c r="AJ571" s="19">
        <f>IF(A571="",0,IF(N(P571)&lt;0,1,0))</f>
        <v/>
      </c>
      <c r="AK571" s="19">
        <f>IF(A571="",0,IF(COUNTIF($A$7:$A$1006,A571)&gt;1,1,0))</f>
        <v/>
      </c>
    </row>
    <row r="572">
      <c r="A572" s="10" t="n"/>
      <c r="B572" s="17" t="n"/>
      <c r="C572" s="18" t="n"/>
      <c r="D572" s="10" t="n"/>
      <c r="E572" s="17" t="n"/>
      <c r="F572" s="10" t="n"/>
      <c r="G572" s="10" t="n"/>
      <c r="H572" s="10" t="n"/>
      <c r="I572" s="18" t="n"/>
      <c r="J572" s="18" t="n"/>
      <c r="K572" s="18" t="n"/>
      <c r="L572" s="18" t="n"/>
      <c r="M572" s="19">
        <f>IF(K572="","",K572*365/12*L572)</f>
        <v/>
      </c>
      <c r="N572" s="18" t="n"/>
      <c r="O572" s="18" t="n"/>
      <c r="P572" s="18" t="n"/>
      <c r="Q572" s="18" t="n"/>
      <c r="R572" s="10" t="n"/>
      <c r="S572" s="17" t="n"/>
      <c r="T572" s="18" t="n"/>
      <c r="U572" s="17" t="n"/>
      <c r="V572" s="17" t="n"/>
      <c r="W572" s="18" t="n"/>
      <c r="X572" s="18" t="n"/>
      <c r="Y572" s="17" t="n"/>
      <c r="Z572" s="10" t="n"/>
      <c r="AA572" s="10" t="n"/>
      <c r="AB572" s="19">
        <f>IF(LEN(A572)&gt;0,1,0)</f>
        <v/>
      </c>
      <c r="AC572" s="19">
        <f>IF(LEN(A572)=0,0,(LEN(B572)=0)+(LEN(C572)=0)+(LEN(D572)=0)+(LEN(E572)=0)+(LEN(F572)=0)+(LEN(G572)=0)+(LEN(H572)=0)+(LEN(I572)=0)+(LEN(J572)=0)+(LEN(K572)=0)+(LEN(L572)=0)+(LEN(N572)=0)+(LEN(O572)=0)+(LEN(P572)=0)+(LEN(R572)=0)+(LEN(AA572)=0))</f>
        <v/>
      </c>
      <c r="AD572" s="19">
        <f>IF(OR(LEN(A572)=0,LEN(C572)=0),0,IF(OR(C572&lt;1,C572&gt;5),1,0))</f>
        <v/>
      </c>
      <c r="AE572" s="19">
        <f>IF(OR(LEN(A572)=0,LEN(R572)=0),0,IF(OR(R572="Active",R572="Paid off",R572="Defaulted",R572="Repossessed",R572="Written off",R572="Restructured"),0,1))</f>
        <v/>
      </c>
      <c r="AF572" s="19">
        <f>IF(A572="",0,IF(N(J572)&gt;N(I572),1,0))</f>
        <v/>
      </c>
      <c r="AG572" s="19">
        <f>IF(A572="",0,IF(N(N572)&gt;N(M572)+1,1,0))</f>
        <v/>
      </c>
      <c r="AH572" s="19">
        <f>IF(A572="",0,IF(N(E572)&gt;N(B572),1,0))</f>
        <v/>
      </c>
      <c r="AI572" s="19">
        <f>IF(A572="",0,IF(AND(Z572="Full payment",N(N572)&lt;N(M572)-1),1,0))</f>
        <v/>
      </c>
      <c r="AJ572" s="19">
        <f>IF(A572="",0,IF(N(P572)&lt;0,1,0))</f>
        <v/>
      </c>
      <c r="AK572" s="19">
        <f>IF(A572="",0,IF(COUNTIF($A$7:$A$1006,A572)&gt;1,1,0))</f>
        <v/>
      </c>
    </row>
    <row r="573">
      <c r="A573" s="10" t="n"/>
      <c r="B573" s="17" t="n"/>
      <c r="C573" s="18" t="n"/>
      <c r="D573" s="10" t="n"/>
      <c r="E573" s="17" t="n"/>
      <c r="F573" s="10" t="n"/>
      <c r="G573" s="10" t="n"/>
      <c r="H573" s="10" t="n"/>
      <c r="I573" s="18" t="n"/>
      <c r="J573" s="18" t="n"/>
      <c r="K573" s="18" t="n"/>
      <c r="L573" s="18" t="n"/>
      <c r="M573" s="19">
        <f>IF(K573="","",K573*365/12*L573)</f>
        <v/>
      </c>
      <c r="N573" s="18" t="n"/>
      <c r="O573" s="18" t="n"/>
      <c r="P573" s="18" t="n"/>
      <c r="Q573" s="18" t="n"/>
      <c r="R573" s="10" t="n"/>
      <c r="S573" s="17" t="n"/>
      <c r="T573" s="18" t="n"/>
      <c r="U573" s="17" t="n"/>
      <c r="V573" s="17" t="n"/>
      <c r="W573" s="18" t="n"/>
      <c r="X573" s="18" t="n"/>
      <c r="Y573" s="17" t="n"/>
      <c r="Z573" s="10" t="n"/>
      <c r="AA573" s="10" t="n"/>
      <c r="AB573" s="19">
        <f>IF(LEN(A573)&gt;0,1,0)</f>
        <v/>
      </c>
      <c r="AC573" s="19">
        <f>IF(LEN(A573)=0,0,(LEN(B573)=0)+(LEN(C573)=0)+(LEN(D573)=0)+(LEN(E573)=0)+(LEN(F573)=0)+(LEN(G573)=0)+(LEN(H573)=0)+(LEN(I573)=0)+(LEN(J573)=0)+(LEN(K573)=0)+(LEN(L573)=0)+(LEN(N573)=0)+(LEN(O573)=0)+(LEN(P573)=0)+(LEN(R573)=0)+(LEN(AA573)=0))</f>
        <v/>
      </c>
      <c r="AD573" s="19">
        <f>IF(OR(LEN(A573)=0,LEN(C573)=0),0,IF(OR(C573&lt;1,C573&gt;5),1,0))</f>
        <v/>
      </c>
      <c r="AE573" s="19">
        <f>IF(OR(LEN(A573)=0,LEN(R573)=0),0,IF(OR(R573="Active",R573="Paid off",R573="Defaulted",R573="Repossessed",R573="Written off",R573="Restructured"),0,1))</f>
        <v/>
      </c>
      <c r="AF573" s="19">
        <f>IF(A573="",0,IF(N(J573)&gt;N(I573),1,0))</f>
        <v/>
      </c>
      <c r="AG573" s="19">
        <f>IF(A573="",0,IF(N(N573)&gt;N(M573)+1,1,0))</f>
        <v/>
      </c>
      <c r="AH573" s="19">
        <f>IF(A573="",0,IF(N(E573)&gt;N(B573),1,0))</f>
        <v/>
      </c>
      <c r="AI573" s="19">
        <f>IF(A573="",0,IF(AND(Z573="Full payment",N(N573)&lt;N(M573)-1),1,0))</f>
        <v/>
      </c>
      <c r="AJ573" s="19">
        <f>IF(A573="",0,IF(N(P573)&lt;0,1,0))</f>
        <v/>
      </c>
      <c r="AK573" s="19">
        <f>IF(A573="",0,IF(COUNTIF($A$7:$A$1006,A573)&gt;1,1,0))</f>
        <v/>
      </c>
    </row>
    <row r="574">
      <c r="A574" s="10" t="n"/>
      <c r="B574" s="17" t="n"/>
      <c r="C574" s="18" t="n"/>
      <c r="D574" s="10" t="n"/>
      <c r="E574" s="17" t="n"/>
      <c r="F574" s="10" t="n"/>
      <c r="G574" s="10" t="n"/>
      <c r="H574" s="10" t="n"/>
      <c r="I574" s="18" t="n"/>
      <c r="J574" s="18" t="n"/>
      <c r="K574" s="18" t="n"/>
      <c r="L574" s="18" t="n"/>
      <c r="M574" s="19">
        <f>IF(K574="","",K574*365/12*L574)</f>
        <v/>
      </c>
      <c r="N574" s="18" t="n"/>
      <c r="O574" s="18" t="n"/>
      <c r="P574" s="18" t="n"/>
      <c r="Q574" s="18" t="n"/>
      <c r="R574" s="10" t="n"/>
      <c r="S574" s="17" t="n"/>
      <c r="T574" s="18" t="n"/>
      <c r="U574" s="17" t="n"/>
      <c r="V574" s="17" t="n"/>
      <c r="W574" s="18" t="n"/>
      <c r="X574" s="18" t="n"/>
      <c r="Y574" s="17" t="n"/>
      <c r="Z574" s="10" t="n"/>
      <c r="AA574" s="10" t="n"/>
      <c r="AB574" s="19">
        <f>IF(LEN(A574)&gt;0,1,0)</f>
        <v/>
      </c>
      <c r="AC574" s="19">
        <f>IF(LEN(A574)=0,0,(LEN(B574)=0)+(LEN(C574)=0)+(LEN(D574)=0)+(LEN(E574)=0)+(LEN(F574)=0)+(LEN(G574)=0)+(LEN(H574)=0)+(LEN(I574)=0)+(LEN(J574)=0)+(LEN(K574)=0)+(LEN(L574)=0)+(LEN(N574)=0)+(LEN(O574)=0)+(LEN(P574)=0)+(LEN(R574)=0)+(LEN(AA574)=0))</f>
        <v/>
      </c>
      <c r="AD574" s="19">
        <f>IF(OR(LEN(A574)=0,LEN(C574)=0),0,IF(OR(C574&lt;1,C574&gt;5),1,0))</f>
        <v/>
      </c>
      <c r="AE574" s="19">
        <f>IF(OR(LEN(A574)=0,LEN(R574)=0),0,IF(OR(R574="Active",R574="Paid off",R574="Defaulted",R574="Repossessed",R574="Written off",R574="Restructured"),0,1))</f>
        <v/>
      </c>
      <c r="AF574" s="19">
        <f>IF(A574="",0,IF(N(J574)&gt;N(I574),1,0))</f>
        <v/>
      </c>
      <c r="AG574" s="19">
        <f>IF(A574="",0,IF(N(N574)&gt;N(M574)+1,1,0))</f>
        <v/>
      </c>
      <c r="AH574" s="19">
        <f>IF(A574="",0,IF(N(E574)&gt;N(B574),1,0))</f>
        <v/>
      </c>
      <c r="AI574" s="19">
        <f>IF(A574="",0,IF(AND(Z574="Full payment",N(N574)&lt;N(M574)-1),1,0))</f>
        <v/>
      </c>
      <c r="AJ574" s="19">
        <f>IF(A574="",0,IF(N(P574)&lt;0,1,0))</f>
        <v/>
      </c>
      <c r="AK574" s="19">
        <f>IF(A574="",0,IF(COUNTIF($A$7:$A$1006,A574)&gt;1,1,0))</f>
        <v/>
      </c>
    </row>
    <row r="575">
      <c r="A575" s="10" t="n"/>
      <c r="B575" s="17" t="n"/>
      <c r="C575" s="18" t="n"/>
      <c r="D575" s="10" t="n"/>
      <c r="E575" s="17" t="n"/>
      <c r="F575" s="10" t="n"/>
      <c r="G575" s="10" t="n"/>
      <c r="H575" s="10" t="n"/>
      <c r="I575" s="18" t="n"/>
      <c r="J575" s="18" t="n"/>
      <c r="K575" s="18" t="n"/>
      <c r="L575" s="18" t="n"/>
      <c r="M575" s="19">
        <f>IF(K575="","",K575*365/12*L575)</f>
        <v/>
      </c>
      <c r="N575" s="18" t="n"/>
      <c r="O575" s="18" t="n"/>
      <c r="P575" s="18" t="n"/>
      <c r="Q575" s="18" t="n"/>
      <c r="R575" s="10" t="n"/>
      <c r="S575" s="17" t="n"/>
      <c r="T575" s="18" t="n"/>
      <c r="U575" s="17" t="n"/>
      <c r="V575" s="17" t="n"/>
      <c r="W575" s="18" t="n"/>
      <c r="X575" s="18" t="n"/>
      <c r="Y575" s="17" t="n"/>
      <c r="Z575" s="10" t="n"/>
      <c r="AA575" s="10" t="n"/>
      <c r="AB575" s="19">
        <f>IF(LEN(A575)&gt;0,1,0)</f>
        <v/>
      </c>
      <c r="AC575" s="19">
        <f>IF(LEN(A575)=0,0,(LEN(B575)=0)+(LEN(C575)=0)+(LEN(D575)=0)+(LEN(E575)=0)+(LEN(F575)=0)+(LEN(G575)=0)+(LEN(H575)=0)+(LEN(I575)=0)+(LEN(J575)=0)+(LEN(K575)=0)+(LEN(L575)=0)+(LEN(N575)=0)+(LEN(O575)=0)+(LEN(P575)=0)+(LEN(R575)=0)+(LEN(AA575)=0))</f>
        <v/>
      </c>
      <c r="AD575" s="19">
        <f>IF(OR(LEN(A575)=0,LEN(C575)=0),0,IF(OR(C575&lt;1,C575&gt;5),1,0))</f>
        <v/>
      </c>
      <c r="AE575" s="19">
        <f>IF(OR(LEN(A575)=0,LEN(R575)=0),0,IF(OR(R575="Active",R575="Paid off",R575="Defaulted",R575="Repossessed",R575="Written off",R575="Restructured"),0,1))</f>
        <v/>
      </c>
      <c r="AF575" s="19">
        <f>IF(A575="",0,IF(N(J575)&gt;N(I575),1,0))</f>
        <v/>
      </c>
      <c r="AG575" s="19">
        <f>IF(A575="",0,IF(N(N575)&gt;N(M575)+1,1,0))</f>
        <v/>
      </c>
      <c r="AH575" s="19">
        <f>IF(A575="",0,IF(N(E575)&gt;N(B575),1,0))</f>
        <v/>
      </c>
      <c r="AI575" s="19">
        <f>IF(A575="",0,IF(AND(Z575="Full payment",N(N575)&lt;N(M575)-1),1,0))</f>
        <v/>
      </c>
      <c r="AJ575" s="19">
        <f>IF(A575="",0,IF(N(P575)&lt;0,1,0))</f>
        <v/>
      </c>
      <c r="AK575" s="19">
        <f>IF(A575="",0,IF(COUNTIF($A$7:$A$1006,A575)&gt;1,1,0))</f>
        <v/>
      </c>
    </row>
    <row r="576">
      <c r="A576" s="10" t="n"/>
      <c r="B576" s="17" t="n"/>
      <c r="C576" s="18" t="n"/>
      <c r="D576" s="10" t="n"/>
      <c r="E576" s="17" t="n"/>
      <c r="F576" s="10" t="n"/>
      <c r="G576" s="10" t="n"/>
      <c r="H576" s="10" t="n"/>
      <c r="I576" s="18" t="n"/>
      <c r="J576" s="18" t="n"/>
      <c r="K576" s="18" t="n"/>
      <c r="L576" s="18" t="n"/>
      <c r="M576" s="19">
        <f>IF(K576="","",K576*365/12*L576)</f>
        <v/>
      </c>
      <c r="N576" s="18" t="n"/>
      <c r="O576" s="18" t="n"/>
      <c r="P576" s="18" t="n"/>
      <c r="Q576" s="18" t="n"/>
      <c r="R576" s="10" t="n"/>
      <c r="S576" s="17" t="n"/>
      <c r="T576" s="18" t="n"/>
      <c r="U576" s="17" t="n"/>
      <c r="V576" s="17" t="n"/>
      <c r="W576" s="18" t="n"/>
      <c r="X576" s="18" t="n"/>
      <c r="Y576" s="17" t="n"/>
      <c r="Z576" s="10" t="n"/>
      <c r="AA576" s="10" t="n"/>
      <c r="AB576" s="19">
        <f>IF(LEN(A576)&gt;0,1,0)</f>
        <v/>
      </c>
      <c r="AC576" s="19">
        <f>IF(LEN(A576)=0,0,(LEN(B576)=0)+(LEN(C576)=0)+(LEN(D576)=0)+(LEN(E576)=0)+(LEN(F576)=0)+(LEN(G576)=0)+(LEN(H576)=0)+(LEN(I576)=0)+(LEN(J576)=0)+(LEN(K576)=0)+(LEN(L576)=0)+(LEN(N576)=0)+(LEN(O576)=0)+(LEN(P576)=0)+(LEN(R576)=0)+(LEN(AA576)=0))</f>
        <v/>
      </c>
      <c r="AD576" s="19">
        <f>IF(OR(LEN(A576)=0,LEN(C576)=0),0,IF(OR(C576&lt;1,C576&gt;5),1,0))</f>
        <v/>
      </c>
      <c r="AE576" s="19">
        <f>IF(OR(LEN(A576)=0,LEN(R576)=0),0,IF(OR(R576="Active",R576="Paid off",R576="Defaulted",R576="Repossessed",R576="Written off",R576="Restructured"),0,1))</f>
        <v/>
      </c>
      <c r="AF576" s="19">
        <f>IF(A576="",0,IF(N(J576)&gt;N(I576),1,0))</f>
        <v/>
      </c>
      <c r="AG576" s="19">
        <f>IF(A576="",0,IF(N(N576)&gt;N(M576)+1,1,0))</f>
        <v/>
      </c>
      <c r="AH576" s="19">
        <f>IF(A576="",0,IF(N(E576)&gt;N(B576),1,0))</f>
        <v/>
      </c>
      <c r="AI576" s="19">
        <f>IF(A576="",0,IF(AND(Z576="Full payment",N(N576)&lt;N(M576)-1),1,0))</f>
        <v/>
      </c>
      <c r="AJ576" s="19">
        <f>IF(A576="",0,IF(N(P576)&lt;0,1,0))</f>
        <v/>
      </c>
      <c r="AK576" s="19">
        <f>IF(A576="",0,IF(COUNTIF($A$7:$A$1006,A576)&gt;1,1,0))</f>
        <v/>
      </c>
    </row>
    <row r="577">
      <c r="A577" s="10" t="n"/>
      <c r="B577" s="17" t="n"/>
      <c r="C577" s="18" t="n"/>
      <c r="D577" s="10" t="n"/>
      <c r="E577" s="17" t="n"/>
      <c r="F577" s="10" t="n"/>
      <c r="G577" s="10" t="n"/>
      <c r="H577" s="10" t="n"/>
      <c r="I577" s="18" t="n"/>
      <c r="J577" s="18" t="n"/>
      <c r="K577" s="18" t="n"/>
      <c r="L577" s="18" t="n"/>
      <c r="M577" s="19">
        <f>IF(K577="","",K577*365/12*L577)</f>
        <v/>
      </c>
      <c r="N577" s="18" t="n"/>
      <c r="O577" s="18" t="n"/>
      <c r="P577" s="18" t="n"/>
      <c r="Q577" s="18" t="n"/>
      <c r="R577" s="10" t="n"/>
      <c r="S577" s="17" t="n"/>
      <c r="T577" s="18" t="n"/>
      <c r="U577" s="17" t="n"/>
      <c r="V577" s="17" t="n"/>
      <c r="W577" s="18" t="n"/>
      <c r="X577" s="18" t="n"/>
      <c r="Y577" s="17" t="n"/>
      <c r="Z577" s="10" t="n"/>
      <c r="AA577" s="10" t="n"/>
      <c r="AB577" s="19">
        <f>IF(LEN(A577)&gt;0,1,0)</f>
        <v/>
      </c>
      <c r="AC577" s="19">
        <f>IF(LEN(A577)=0,0,(LEN(B577)=0)+(LEN(C577)=0)+(LEN(D577)=0)+(LEN(E577)=0)+(LEN(F577)=0)+(LEN(G577)=0)+(LEN(H577)=0)+(LEN(I577)=0)+(LEN(J577)=0)+(LEN(K577)=0)+(LEN(L577)=0)+(LEN(N577)=0)+(LEN(O577)=0)+(LEN(P577)=0)+(LEN(R577)=0)+(LEN(AA577)=0))</f>
        <v/>
      </c>
      <c r="AD577" s="19">
        <f>IF(OR(LEN(A577)=0,LEN(C577)=0),0,IF(OR(C577&lt;1,C577&gt;5),1,0))</f>
        <v/>
      </c>
      <c r="AE577" s="19">
        <f>IF(OR(LEN(A577)=0,LEN(R577)=0),0,IF(OR(R577="Active",R577="Paid off",R577="Defaulted",R577="Repossessed",R577="Written off",R577="Restructured"),0,1))</f>
        <v/>
      </c>
      <c r="AF577" s="19">
        <f>IF(A577="",0,IF(N(J577)&gt;N(I577),1,0))</f>
        <v/>
      </c>
      <c r="AG577" s="19">
        <f>IF(A577="",0,IF(N(N577)&gt;N(M577)+1,1,0))</f>
        <v/>
      </c>
      <c r="AH577" s="19">
        <f>IF(A577="",0,IF(N(E577)&gt;N(B577),1,0))</f>
        <v/>
      </c>
      <c r="AI577" s="19">
        <f>IF(A577="",0,IF(AND(Z577="Full payment",N(N577)&lt;N(M577)-1),1,0))</f>
        <v/>
      </c>
      <c r="AJ577" s="19">
        <f>IF(A577="",0,IF(N(P577)&lt;0,1,0))</f>
        <v/>
      </c>
      <c r="AK577" s="19">
        <f>IF(A577="",0,IF(COUNTIF($A$7:$A$1006,A577)&gt;1,1,0))</f>
        <v/>
      </c>
    </row>
    <row r="578">
      <c r="A578" s="10" t="n"/>
      <c r="B578" s="17" t="n"/>
      <c r="C578" s="18" t="n"/>
      <c r="D578" s="10" t="n"/>
      <c r="E578" s="17" t="n"/>
      <c r="F578" s="10" t="n"/>
      <c r="G578" s="10" t="n"/>
      <c r="H578" s="10" t="n"/>
      <c r="I578" s="18" t="n"/>
      <c r="J578" s="18" t="n"/>
      <c r="K578" s="18" t="n"/>
      <c r="L578" s="18" t="n"/>
      <c r="M578" s="19">
        <f>IF(K578="","",K578*365/12*L578)</f>
        <v/>
      </c>
      <c r="N578" s="18" t="n"/>
      <c r="O578" s="18" t="n"/>
      <c r="P578" s="18" t="n"/>
      <c r="Q578" s="18" t="n"/>
      <c r="R578" s="10" t="n"/>
      <c r="S578" s="17" t="n"/>
      <c r="T578" s="18" t="n"/>
      <c r="U578" s="17" t="n"/>
      <c r="V578" s="17" t="n"/>
      <c r="W578" s="18" t="n"/>
      <c r="X578" s="18" t="n"/>
      <c r="Y578" s="17" t="n"/>
      <c r="Z578" s="10" t="n"/>
      <c r="AA578" s="10" t="n"/>
      <c r="AB578" s="19">
        <f>IF(LEN(A578)&gt;0,1,0)</f>
        <v/>
      </c>
      <c r="AC578" s="19">
        <f>IF(LEN(A578)=0,0,(LEN(B578)=0)+(LEN(C578)=0)+(LEN(D578)=0)+(LEN(E578)=0)+(LEN(F578)=0)+(LEN(G578)=0)+(LEN(H578)=0)+(LEN(I578)=0)+(LEN(J578)=0)+(LEN(K578)=0)+(LEN(L578)=0)+(LEN(N578)=0)+(LEN(O578)=0)+(LEN(P578)=0)+(LEN(R578)=0)+(LEN(AA578)=0))</f>
        <v/>
      </c>
      <c r="AD578" s="19">
        <f>IF(OR(LEN(A578)=0,LEN(C578)=0),0,IF(OR(C578&lt;1,C578&gt;5),1,0))</f>
        <v/>
      </c>
      <c r="AE578" s="19">
        <f>IF(OR(LEN(A578)=0,LEN(R578)=0),0,IF(OR(R578="Active",R578="Paid off",R578="Defaulted",R578="Repossessed",R578="Written off",R578="Restructured"),0,1))</f>
        <v/>
      </c>
      <c r="AF578" s="19">
        <f>IF(A578="",0,IF(N(J578)&gt;N(I578),1,0))</f>
        <v/>
      </c>
      <c r="AG578" s="19">
        <f>IF(A578="",0,IF(N(N578)&gt;N(M578)+1,1,0))</f>
        <v/>
      </c>
      <c r="AH578" s="19">
        <f>IF(A578="",0,IF(N(E578)&gt;N(B578),1,0))</f>
        <v/>
      </c>
      <c r="AI578" s="19">
        <f>IF(A578="",0,IF(AND(Z578="Full payment",N(N578)&lt;N(M578)-1),1,0))</f>
        <v/>
      </c>
      <c r="AJ578" s="19">
        <f>IF(A578="",0,IF(N(P578)&lt;0,1,0))</f>
        <v/>
      </c>
      <c r="AK578" s="19">
        <f>IF(A578="",0,IF(COUNTIF($A$7:$A$1006,A578)&gt;1,1,0))</f>
        <v/>
      </c>
    </row>
    <row r="579">
      <c r="A579" s="10" t="n"/>
      <c r="B579" s="17" t="n"/>
      <c r="C579" s="18" t="n"/>
      <c r="D579" s="10" t="n"/>
      <c r="E579" s="17" t="n"/>
      <c r="F579" s="10" t="n"/>
      <c r="G579" s="10" t="n"/>
      <c r="H579" s="10" t="n"/>
      <c r="I579" s="18" t="n"/>
      <c r="J579" s="18" t="n"/>
      <c r="K579" s="18" t="n"/>
      <c r="L579" s="18" t="n"/>
      <c r="M579" s="19">
        <f>IF(K579="","",K579*365/12*L579)</f>
        <v/>
      </c>
      <c r="N579" s="18" t="n"/>
      <c r="O579" s="18" t="n"/>
      <c r="P579" s="18" t="n"/>
      <c r="Q579" s="18" t="n"/>
      <c r="R579" s="10" t="n"/>
      <c r="S579" s="17" t="n"/>
      <c r="T579" s="18" t="n"/>
      <c r="U579" s="17" t="n"/>
      <c r="V579" s="17" t="n"/>
      <c r="W579" s="18" t="n"/>
      <c r="X579" s="18" t="n"/>
      <c r="Y579" s="17" t="n"/>
      <c r="Z579" s="10" t="n"/>
      <c r="AA579" s="10" t="n"/>
      <c r="AB579" s="19">
        <f>IF(LEN(A579)&gt;0,1,0)</f>
        <v/>
      </c>
      <c r="AC579" s="19">
        <f>IF(LEN(A579)=0,0,(LEN(B579)=0)+(LEN(C579)=0)+(LEN(D579)=0)+(LEN(E579)=0)+(LEN(F579)=0)+(LEN(G579)=0)+(LEN(H579)=0)+(LEN(I579)=0)+(LEN(J579)=0)+(LEN(K579)=0)+(LEN(L579)=0)+(LEN(N579)=0)+(LEN(O579)=0)+(LEN(P579)=0)+(LEN(R579)=0)+(LEN(AA579)=0))</f>
        <v/>
      </c>
      <c r="AD579" s="19">
        <f>IF(OR(LEN(A579)=0,LEN(C579)=0),0,IF(OR(C579&lt;1,C579&gt;5),1,0))</f>
        <v/>
      </c>
      <c r="AE579" s="19">
        <f>IF(OR(LEN(A579)=0,LEN(R579)=0),0,IF(OR(R579="Active",R579="Paid off",R579="Defaulted",R579="Repossessed",R579="Written off",R579="Restructured"),0,1))</f>
        <v/>
      </c>
      <c r="AF579" s="19">
        <f>IF(A579="",0,IF(N(J579)&gt;N(I579),1,0))</f>
        <v/>
      </c>
      <c r="AG579" s="19">
        <f>IF(A579="",0,IF(N(N579)&gt;N(M579)+1,1,0))</f>
        <v/>
      </c>
      <c r="AH579" s="19">
        <f>IF(A579="",0,IF(N(E579)&gt;N(B579),1,0))</f>
        <v/>
      </c>
      <c r="AI579" s="19">
        <f>IF(A579="",0,IF(AND(Z579="Full payment",N(N579)&lt;N(M579)-1),1,0))</f>
        <v/>
      </c>
      <c r="AJ579" s="19">
        <f>IF(A579="",0,IF(N(P579)&lt;0,1,0))</f>
        <v/>
      </c>
      <c r="AK579" s="19">
        <f>IF(A579="",0,IF(COUNTIF($A$7:$A$1006,A579)&gt;1,1,0))</f>
        <v/>
      </c>
    </row>
    <row r="580">
      <c r="A580" s="10" t="n"/>
      <c r="B580" s="17" t="n"/>
      <c r="C580" s="18" t="n"/>
      <c r="D580" s="10" t="n"/>
      <c r="E580" s="17" t="n"/>
      <c r="F580" s="10" t="n"/>
      <c r="G580" s="10" t="n"/>
      <c r="H580" s="10" t="n"/>
      <c r="I580" s="18" t="n"/>
      <c r="J580" s="18" t="n"/>
      <c r="K580" s="18" t="n"/>
      <c r="L580" s="18" t="n"/>
      <c r="M580" s="19">
        <f>IF(K580="","",K580*365/12*L580)</f>
        <v/>
      </c>
      <c r="N580" s="18" t="n"/>
      <c r="O580" s="18" t="n"/>
      <c r="P580" s="18" t="n"/>
      <c r="Q580" s="18" t="n"/>
      <c r="R580" s="10" t="n"/>
      <c r="S580" s="17" t="n"/>
      <c r="T580" s="18" t="n"/>
      <c r="U580" s="17" t="n"/>
      <c r="V580" s="17" t="n"/>
      <c r="W580" s="18" t="n"/>
      <c r="X580" s="18" t="n"/>
      <c r="Y580" s="17" t="n"/>
      <c r="Z580" s="10" t="n"/>
      <c r="AA580" s="10" t="n"/>
      <c r="AB580" s="19">
        <f>IF(LEN(A580)&gt;0,1,0)</f>
        <v/>
      </c>
      <c r="AC580" s="19">
        <f>IF(LEN(A580)=0,0,(LEN(B580)=0)+(LEN(C580)=0)+(LEN(D580)=0)+(LEN(E580)=0)+(LEN(F580)=0)+(LEN(G580)=0)+(LEN(H580)=0)+(LEN(I580)=0)+(LEN(J580)=0)+(LEN(K580)=0)+(LEN(L580)=0)+(LEN(N580)=0)+(LEN(O580)=0)+(LEN(P580)=0)+(LEN(R580)=0)+(LEN(AA580)=0))</f>
        <v/>
      </c>
      <c r="AD580" s="19">
        <f>IF(OR(LEN(A580)=0,LEN(C580)=0),0,IF(OR(C580&lt;1,C580&gt;5),1,0))</f>
        <v/>
      </c>
      <c r="AE580" s="19">
        <f>IF(OR(LEN(A580)=0,LEN(R580)=0),0,IF(OR(R580="Active",R580="Paid off",R580="Defaulted",R580="Repossessed",R580="Written off",R580="Restructured"),0,1))</f>
        <v/>
      </c>
      <c r="AF580" s="19">
        <f>IF(A580="",0,IF(N(J580)&gt;N(I580),1,0))</f>
        <v/>
      </c>
      <c r="AG580" s="19">
        <f>IF(A580="",0,IF(N(N580)&gt;N(M580)+1,1,0))</f>
        <v/>
      </c>
      <c r="AH580" s="19">
        <f>IF(A580="",0,IF(N(E580)&gt;N(B580),1,0))</f>
        <v/>
      </c>
      <c r="AI580" s="19">
        <f>IF(A580="",0,IF(AND(Z580="Full payment",N(N580)&lt;N(M580)-1),1,0))</f>
        <v/>
      </c>
      <c r="AJ580" s="19">
        <f>IF(A580="",0,IF(N(P580)&lt;0,1,0))</f>
        <v/>
      </c>
      <c r="AK580" s="19">
        <f>IF(A580="",0,IF(COUNTIF($A$7:$A$1006,A580)&gt;1,1,0))</f>
        <v/>
      </c>
    </row>
    <row r="581">
      <c r="A581" s="10" t="n"/>
      <c r="B581" s="17" t="n"/>
      <c r="C581" s="18" t="n"/>
      <c r="D581" s="10" t="n"/>
      <c r="E581" s="17" t="n"/>
      <c r="F581" s="10" t="n"/>
      <c r="G581" s="10" t="n"/>
      <c r="H581" s="10" t="n"/>
      <c r="I581" s="18" t="n"/>
      <c r="J581" s="18" t="n"/>
      <c r="K581" s="18" t="n"/>
      <c r="L581" s="18" t="n"/>
      <c r="M581" s="19">
        <f>IF(K581="","",K581*365/12*L581)</f>
        <v/>
      </c>
      <c r="N581" s="18" t="n"/>
      <c r="O581" s="18" t="n"/>
      <c r="P581" s="18" t="n"/>
      <c r="Q581" s="18" t="n"/>
      <c r="R581" s="10" t="n"/>
      <c r="S581" s="17" t="n"/>
      <c r="T581" s="18" t="n"/>
      <c r="U581" s="17" t="n"/>
      <c r="V581" s="17" t="n"/>
      <c r="W581" s="18" t="n"/>
      <c r="X581" s="18" t="n"/>
      <c r="Y581" s="17" t="n"/>
      <c r="Z581" s="10" t="n"/>
      <c r="AA581" s="10" t="n"/>
      <c r="AB581" s="19">
        <f>IF(LEN(A581)&gt;0,1,0)</f>
        <v/>
      </c>
      <c r="AC581" s="19">
        <f>IF(LEN(A581)=0,0,(LEN(B581)=0)+(LEN(C581)=0)+(LEN(D581)=0)+(LEN(E581)=0)+(LEN(F581)=0)+(LEN(G581)=0)+(LEN(H581)=0)+(LEN(I581)=0)+(LEN(J581)=0)+(LEN(K581)=0)+(LEN(L581)=0)+(LEN(N581)=0)+(LEN(O581)=0)+(LEN(P581)=0)+(LEN(R581)=0)+(LEN(AA581)=0))</f>
        <v/>
      </c>
      <c r="AD581" s="19">
        <f>IF(OR(LEN(A581)=0,LEN(C581)=0),0,IF(OR(C581&lt;1,C581&gt;5),1,0))</f>
        <v/>
      </c>
      <c r="AE581" s="19">
        <f>IF(OR(LEN(A581)=0,LEN(R581)=0),0,IF(OR(R581="Active",R581="Paid off",R581="Defaulted",R581="Repossessed",R581="Written off",R581="Restructured"),0,1))</f>
        <v/>
      </c>
      <c r="AF581" s="19">
        <f>IF(A581="",0,IF(N(J581)&gt;N(I581),1,0))</f>
        <v/>
      </c>
      <c r="AG581" s="19">
        <f>IF(A581="",0,IF(N(N581)&gt;N(M581)+1,1,0))</f>
        <v/>
      </c>
      <c r="AH581" s="19">
        <f>IF(A581="",0,IF(N(E581)&gt;N(B581),1,0))</f>
        <v/>
      </c>
      <c r="AI581" s="19">
        <f>IF(A581="",0,IF(AND(Z581="Full payment",N(N581)&lt;N(M581)-1),1,0))</f>
        <v/>
      </c>
      <c r="AJ581" s="19">
        <f>IF(A581="",0,IF(N(P581)&lt;0,1,0))</f>
        <v/>
      </c>
      <c r="AK581" s="19">
        <f>IF(A581="",0,IF(COUNTIF($A$7:$A$1006,A581)&gt;1,1,0))</f>
        <v/>
      </c>
    </row>
    <row r="582">
      <c r="A582" s="10" t="n"/>
      <c r="B582" s="17" t="n"/>
      <c r="C582" s="18" t="n"/>
      <c r="D582" s="10" t="n"/>
      <c r="E582" s="17" t="n"/>
      <c r="F582" s="10" t="n"/>
      <c r="G582" s="10" t="n"/>
      <c r="H582" s="10" t="n"/>
      <c r="I582" s="18" t="n"/>
      <c r="J582" s="18" t="n"/>
      <c r="K582" s="18" t="n"/>
      <c r="L582" s="18" t="n"/>
      <c r="M582" s="19">
        <f>IF(K582="","",K582*365/12*L582)</f>
        <v/>
      </c>
      <c r="N582" s="18" t="n"/>
      <c r="O582" s="18" t="n"/>
      <c r="P582" s="18" t="n"/>
      <c r="Q582" s="18" t="n"/>
      <c r="R582" s="10" t="n"/>
      <c r="S582" s="17" t="n"/>
      <c r="T582" s="18" t="n"/>
      <c r="U582" s="17" t="n"/>
      <c r="V582" s="17" t="n"/>
      <c r="W582" s="18" t="n"/>
      <c r="X582" s="18" t="n"/>
      <c r="Y582" s="17" t="n"/>
      <c r="Z582" s="10" t="n"/>
      <c r="AA582" s="10" t="n"/>
      <c r="AB582" s="19">
        <f>IF(LEN(A582)&gt;0,1,0)</f>
        <v/>
      </c>
      <c r="AC582" s="19">
        <f>IF(LEN(A582)=0,0,(LEN(B582)=0)+(LEN(C582)=0)+(LEN(D582)=0)+(LEN(E582)=0)+(LEN(F582)=0)+(LEN(G582)=0)+(LEN(H582)=0)+(LEN(I582)=0)+(LEN(J582)=0)+(LEN(K582)=0)+(LEN(L582)=0)+(LEN(N582)=0)+(LEN(O582)=0)+(LEN(P582)=0)+(LEN(R582)=0)+(LEN(AA582)=0))</f>
        <v/>
      </c>
      <c r="AD582" s="19">
        <f>IF(OR(LEN(A582)=0,LEN(C582)=0),0,IF(OR(C582&lt;1,C582&gt;5),1,0))</f>
        <v/>
      </c>
      <c r="AE582" s="19">
        <f>IF(OR(LEN(A582)=0,LEN(R582)=0),0,IF(OR(R582="Active",R582="Paid off",R582="Defaulted",R582="Repossessed",R582="Written off",R582="Restructured"),0,1))</f>
        <v/>
      </c>
      <c r="AF582" s="19">
        <f>IF(A582="",0,IF(N(J582)&gt;N(I582),1,0))</f>
        <v/>
      </c>
      <c r="AG582" s="19">
        <f>IF(A582="",0,IF(N(N582)&gt;N(M582)+1,1,0))</f>
        <v/>
      </c>
      <c r="AH582" s="19">
        <f>IF(A582="",0,IF(N(E582)&gt;N(B582),1,0))</f>
        <v/>
      </c>
      <c r="AI582" s="19">
        <f>IF(A582="",0,IF(AND(Z582="Full payment",N(N582)&lt;N(M582)-1),1,0))</f>
        <v/>
      </c>
      <c r="AJ582" s="19">
        <f>IF(A582="",0,IF(N(P582)&lt;0,1,0))</f>
        <v/>
      </c>
      <c r="AK582" s="19">
        <f>IF(A582="",0,IF(COUNTIF($A$7:$A$1006,A582)&gt;1,1,0))</f>
        <v/>
      </c>
    </row>
    <row r="583">
      <c r="A583" s="10" t="n"/>
      <c r="B583" s="17" t="n"/>
      <c r="C583" s="18" t="n"/>
      <c r="D583" s="10" t="n"/>
      <c r="E583" s="17" t="n"/>
      <c r="F583" s="10" t="n"/>
      <c r="G583" s="10" t="n"/>
      <c r="H583" s="10" t="n"/>
      <c r="I583" s="18" t="n"/>
      <c r="J583" s="18" t="n"/>
      <c r="K583" s="18" t="n"/>
      <c r="L583" s="18" t="n"/>
      <c r="M583" s="19">
        <f>IF(K583="","",K583*365/12*L583)</f>
        <v/>
      </c>
      <c r="N583" s="18" t="n"/>
      <c r="O583" s="18" t="n"/>
      <c r="P583" s="18" t="n"/>
      <c r="Q583" s="18" t="n"/>
      <c r="R583" s="10" t="n"/>
      <c r="S583" s="17" t="n"/>
      <c r="T583" s="18" t="n"/>
      <c r="U583" s="17" t="n"/>
      <c r="V583" s="17" t="n"/>
      <c r="W583" s="18" t="n"/>
      <c r="X583" s="18" t="n"/>
      <c r="Y583" s="17" t="n"/>
      <c r="Z583" s="10" t="n"/>
      <c r="AA583" s="10" t="n"/>
      <c r="AB583" s="19">
        <f>IF(LEN(A583)&gt;0,1,0)</f>
        <v/>
      </c>
      <c r="AC583" s="19">
        <f>IF(LEN(A583)=0,0,(LEN(B583)=0)+(LEN(C583)=0)+(LEN(D583)=0)+(LEN(E583)=0)+(LEN(F583)=0)+(LEN(G583)=0)+(LEN(H583)=0)+(LEN(I583)=0)+(LEN(J583)=0)+(LEN(K583)=0)+(LEN(L583)=0)+(LEN(N583)=0)+(LEN(O583)=0)+(LEN(P583)=0)+(LEN(R583)=0)+(LEN(AA583)=0))</f>
        <v/>
      </c>
      <c r="AD583" s="19">
        <f>IF(OR(LEN(A583)=0,LEN(C583)=0),0,IF(OR(C583&lt;1,C583&gt;5),1,0))</f>
        <v/>
      </c>
      <c r="AE583" s="19">
        <f>IF(OR(LEN(A583)=0,LEN(R583)=0),0,IF(OR(R583="Active",R583="Paid off",R583="Defaulted",R583="Repossessed",R583="Written off",R583="Restructured"),0,1))</f>
        <v/>
      </c>
      <c r="AF583" s="19">
        <f>IF(A583="",0,IF(N(J583)&gt;N(I583),1,0))</f>
        <v/>
      </c>
      <c r="AG583" s="19">
        <f>IF(A583="",0,IF(N(N583)&gt;N(M583)+1,1,0))</f>
        <v/>
      </c>
      <c r="AH583" s="19">
        <f>IF(A583="",0,IF(N(E583)&gt;N(B583),1,0))</f>
        <v/>
      </c>
      <c r="AI583" s="19">
        <f>IF(A583="",0,IF(AND(Z583="Full payment",N(N583)&lt;N(M583)-1),1,0))</f>
        <v/>
      </c>
      <c r="AJ583" s="19">
        <f>IF(A583="",0,IF(N(P583)&lt;0,1,0))</f>
        <v/>
      </c>
      <c r="AK583" s="19">
        <f>IF(A583="",0,IF(COUNTIF($A$7:$A$1006,A583)&gt;1,1,0))</f>
        <v/>
      </c>
    </row>
    <row r="584">
      <c r="A584" s="10" t="n"/>
      <c r="B584" s="17" t="n"/>
      <c r="C584" s="18" t="n"/>
      <c r="D584" s="10" t="n"/>
      <c r="E584" s="17" t="n"/>
      <c r="F584" s="10" t="n"/>
      <c r="G584" s="10" t="n"/>
      <c r="H584" s="10" t="n"/>
      <c r="I584" s="18" t="n"/>
      <c r="J584" s="18" t="n"/>
      <c r="K584" s="18" t="n"/>
      <c r="L584" s="18" t="n"/>
      <c r="M584" s="19">
        <f>IF(K584="","",K584*365/12*L584)</f>
        <v/>
      </c>
      <c r="N584" s="18" t="n"/>
      <c r="O584" s="18" t="n"/>
      <c r="P584" s="18" t="n"/>
      <c r="Q584" s="18" t="n"/>
      <c r="R584" s="10" t="n"/>
      <c r="S584" s="17" t="n"/>
      <c r="T584" s="18" t="n"/>
      <c r="U584" s="17" t="n"/>
      <c r="V584" s="17" t="n"/>
      <c r="W584" s="18" t="n"/>
      <c r="X584" s="18" t="n"/>
      <c r="Y584" s="17" t="n"/>
      <c r="Z584" s="10" t="n"/>
      <c r="AA584" s="10" t="n"/>
      <c r="AB584" s="19">
        <f>IF(LEN(A584)&gt;0,1,0)</f>
        <v/>
      </c>
      <c r="AC584" s="19">
        <f>IF(LEN(A584)=0,0,(LEN(B584)=0)+(LEN(C584)=0)+(LEN(D584)=0)+(LEN(E584)=0)+(LEN(F584)=0)+(LEN(G584)=0)+(LEN(H584)=0)+(LEN(I584)=0)+(LEN(J584)=0)+(LEN(K584)=0)+(LEN(L584)=0)+(LEN(N584)=0)+(LEN(O584)=0)+(LEN(P584)=0)+(LEN(R584)=0)+(LEN(AA584)=0))</f>
        <v/>
      </c>
      <c r="AD584" s="19">
        <f>IF(OR(LEN(A584)=0,LEN(C584)=0),0,IF(OR(C584&lt;1,C584&gt;5),1,0))</f>
        <v/>
      </c>
      <c r="AE584" s="19">
        <f>IF(OR(LEN(A584)=0,LEN(R584)=0),0,IF(OR(R584="Active",R584="Paid off",R584="Defaulted",R584="Repossessed",R584="Written off",R584="Restructured"),0,1))</f>
        <v/>
      </c>
      <c r="AF584" s="19">
        <f>IF(A584="",0,IF(N(J584)&gt;N(I584),1,0))</f>
        <v/>
      </c>
      <c r="AG584" s="19">
        <f>IF(A584="",0,IF(N(N584)&gt;N(M584)+1,1,0))</f>
        <v/>
      </c>
      <c r="AH584" s="19">
        <f>IF(A584="",0,IF(N(E584)&gt;N(B584),1,0))</f>
        <v/>
      </c>
      <c r="AI584" s="19">
        <f>IF(A584="",0,IF(AND(Z584="Full payment",N(N584)&lt;N(M584)-1),1,0))</f>
        <v/>
      </c>
      <c r="AJ584" s="19">
        <f>IF(A584="",0,IF(N(P584)&lt;0,1,0))</f>
        <v/>
      </c>
      <c r="AK584" s="19">
        <f>IF(A584="",0,IF(COUNTIF($A$7:$A$1006,A584)&gt;1,1,0))</f>
        <v/>
      </c>
    </row>
    <row r="585">
      <c r="A585" s="10" t="n"/>
      <c r="B585" s="17" t="n"/>
      <c r="C585" s="18" t="n"/>
      <c r="D585" s="10" t="n"/>
      <c r="E585" s="17" t="n"/>
      <c r="F585" s="10" t="n"/>
      <c r="G585" s="10" t="n"/>
      <c r="H585" s="10" t="n"/>
      <c r="I585" s="18" t="n"/>
      <c r="J585" s="18" t="n"/>
      <c r="K585" s="18" t="n"/>
      <c r="L585" s="18" t="n"/>
      <c r="M585" s="19">
        <f>IF(K585="","",K585*365/12*L585)</f>
        <v/>
      </c>
      <c r="N585" s="18" t="n"/>
      <c r="O585" s="18" t="n"/>
      <c r="P585" s="18" t="n"/>
      <c r="Q585" s="18" t="n"/>
      <c r="R585" s="10" t="n"/>
      <c r="S585" s="17" t="n"/>
      <c r="T585" s="18" t="n"/>
      <c r="U585" s="17" t="n"/>
      <c r="V585" s="17" t="n"/>
      <c r="W585" s="18" t="n"/>
      <c r="X585" s="18" t="n"/>
      <c r="Y585" s="17" t="n"/>
      <c r="Z585" s="10" t="n"/>
      <c r="AA585" s="10" t="n"/>
      <c r="AB585" s="19">
        <f>IF(LEN(A585)&gt;0,1,0)</f>
        <v/>
      </c>
      <c r="AC585" s="19">
        <f>IF(LEN(A585)=0,0,(LEN(B585)=0)+(LEN(C585)=0)+(LEN(D585)=0)+(LEN(E585)=0)+(LEN(F585)=0)+(LEN(G585)=0)+(LEN(H585)=0)+(LEN(I585)=0)+(LEN(J585)=0)+(LEN(K585)=0)+(LEN(L585)=0)+(LEN(N585)=0)+(LEN(O585)=0)+(LEN(P585)=0)+(LEN(R585)=0)+(LEN(AA585)=0))</f>
        <v/>
      </c>
      <c r="AD585" s="19">
        <f>IF(OR(LEN(A585)=0,LEN(C585)=0),0,IF(OR(C585&lt;1,C585&gt;5),1,0))</f>
        <v/>
      </c>
      <c r="AE585" s="19">
        <f>IF(OR(LEN(A585)=0,LEN(R585)=0),0,IF(OR(R585="Active",R585="Paid off",R585="Defaulted",R585="Repossessed",R585="Written off",R585="Restructured"),0,1))</f>
        <v/>
      </c>
      <c r="AF585" s="19">
        <f>IF(A585="",0,IF(N(J585)&gt;N(I585),1,0))</f>
        <v/>
      </c>
      <c r="AG585" s="19">
        <f>IF(A585="",0,IF(N(N585)&gt;N(M585)+1,1,0))</f>
        <v/>
      </c>
      <c r="AH585" s="19">
        <f>IF(A585="",0,IF(N(E585)&gt;N(B585),1,0))</f>
        <v/>
      </c>
      <c r="AI585" s="19">
        <f>IF(A585="",0,IF(AND(Z585="Full payment",N(N585)&lt;N(M585)-1),1,0))</f>
        <v/>
      </c>
      <c r="AJ585" s="19">
        <f>IF(A585="",0,IF(N(P585)&lt;0,1,0))</f>
        <v/>
      </c>
      <c r="AK585" s="19">
        <f>IF(A585="",0,IF(COUNTIF($A$7:$A$1006,A585)&gt;1,1,0))</f>
        <v/>
      </c>
    </row>
    <row r="586">
      <c r="A586" s="10" t="n"/>
      <c r="B586" s="17" t="n"/>
      <c r="C586" s="18" t="n"/>
      <c r="D586" s="10" t="n"/>
      <c r="E586" s="17" t="n"/>
      <c r="F586" s="10" t="n"/>
      <c r="G586" s="10" t="n"/>
      <c r="H586" s="10" t="n"/>
      <c r="I586" s="18" t="n"/>
      <c r="J586" s="18" t="n"/>
      <c r="K586" s="18" t="n"/>
      <c r="L586" s="18" t="n"/>
      <c r="M586" s="19">
        <f>IF(K586="","",K586*365/12*L586)</f>
        <v/>
      </c>
      <c r="N586" s="18" t="n"/>
      <c r="O586" s="18" t="n"/>
      <c r="P586" s="18" t="n"/>
      <c r="Q586" s="18" t="n"/>
      <c r="R586" s="10" t="n"/>
      <c r="S586" s="17" t="n"/>
      <c r="T586" s="18" t="n"/>
      <c r="U586" s="17" t="n"/>
      <c r="V586" s="17" t="n"/>
      <c r="W586" s="18" t="n"/>
      <c r="X586" s="18" t="n"/>
      <c r="Y586" s="17" t="n"/>
      <c r="Z586" s="10" t="n"/>
      <c r="AA586" s="10" t="n"/>
      <c r="AB586" s="19">
        <f>IF(LEN(A586)&gt;0,1,0)</f>
        <v/>
      </c>
      <c r="AC586" s="19">
        <f>IF(LEN(A586)=0,0,(LEN(B586)=0)+(LEN(C586)=0)+(LEN(D586)=0)+(LEN(E586)=0)+(LEN(F586)=0)+(LEN(G586)=0)+(LEN(H586)=0)+(LEN(I586)=0)+(LEN(J586)=0)+(LEN(K586)=0)+(LEN(L586)=0)+(LEN(N586)=0)+(LEN(O586)=0)+(LEN(P586)=0)+(LEN(R586)=0)+(LEN(AA586)=0))</f>
        <v/>
      </c>
      <c r="AD586" s="19">
        <f>IF(OR(LEN(A586)=0,LEN(C586)=0),0,IF(OR(C586&lt;1,C586&gt;5),1,0))</f>
        <v/>
      </c>
      <c r="AE586" s="19">
        <f>IF(OR(LEN(A586)=0,LEN(R586)=0),0,IF(OR(R586="Active",R586="Paid off",R586="Defaulted",R586="Repossessed",R586="Written off",R586="Restructured"),0,1))</f>
        <v/>
      </c>
      <c r="AF586" s="19">
        <f>IF(A586="",0,IF(N(J586)&gt;N(I586),1,0))</f>
        <v/>
      </c>
      <c r="AG586" s="19">
        <f>IF(A586="",0,IF(N(N586)&gt;N(M586)+1,1,0))</f>
        <v/>
      </c>
      <c r="AH586" s="19">
        <f>IF(A586="",0,IF(N(E586)&gt;N(B586),1,0))</f>
        <v/>
      </c>
      <c r="AI586" s="19">
        <f>IF(A586="",0,IF(AND(Z586="Full payment",N(N586)&lt;N(M586)-1),1,0))</f>
        <v/>
      </c>
      <c r="AJ586" s="19">
        <f>IF(A586="",0,IF(N(P586)&lt;0,1,0))</f>
        <v/>
      </c>
      <c r="AK586" s="19">
        <f>IF(A586="",0,IF(COUNTIF($A$7:$A$1006,A586)&gt;1,1,0))</f>
        <v/>
      </c>
    </row>
    <row r="587">
      <c r="A587" s="10" t="n"/>
      <c r="B587" s="17" t="n"/>
      <c r="C587" s="18" t="n"/>
      <c r="D587" s="10" t="n"/>
      <c r="E587" s="17" t="n"/>
      <c r="F587" s="10" t="n"/>
      <c r="G587" s="10" t="n"/>
      <c r="H587" s="10" t="n"/>
      <c r="I587" s="18" t="n"/>
      <c r="J587" s="18" t="n"/>
      <c r="K587" s="18" t="n"/>
      <c r="L587" s="18" t="n"/>
      <c r="M587" s="19">
        <f>IF(K587="","",K587*365/12*L587)</f>
        <v/>
      </c>
      <c r="N587" s="18" t="n"/>
      <c r="O587" s="18" t="n"/>
      <c r="P587" s="18" t="n"/>
      <c r="Q587" s="18" t="n"/>
      <c r="R587" s="10" t="n"/>
      <c r="S587" s="17" t="n"/>
      <c r="T587" s="18" t="n"/>
      <c r="U587" s="17" t="n"/>
      <c r="V587" s="17" t="n"/>
      <c r="W587" s="18" t="n"/>
      <c r="X587" s="18" t="n"/>
      <c r="Y587" s="17" t="n"/>
      <c r="Z587" s="10" t="n"/>
      <c r="AA587" s="10" t="n"/>
      <c r="AB587" s="19">
        <f>IF(LEN(A587)&gt;0,1,0)</f>
        <v/>
      </c>
      <c r="AC587" s="19">
        <f>IF(LEN(A587)=0,0,(LEN(B587)=0)+(LEN(C587)=0)+(LEN(D587)=0)+(LEN(E587)=0)+(LEN(F587)=0)+(LEN(G587)=0)+(LEN(H587)=0)+(LEN(I587)=0)+(LEN(J587)=0)+(LEN(K587)=0)+(LEN(L587)=0)+(LEN(N587)=0)+(LEN(O587)=0)+(LEN(P587)=0)+(LEN(R587)=0)+(LEN(AA587)=0))</f>
        <v/>
      </c>
      <c r="AD587" s="19">
        <f>IF(OR(LEN(A587)=0,LEN(C587)=0),0,IF(OR(C587&lt;1,C587&gt;5),1,0))</f>
        <v/>
      </c>
      <c r="AE587" s="19">
        <f>IF(OR(LEN(A587)=0,LEN(R587)=0),0,IF(OR(R587="Active",R587="Paid off",R587="Defaulted",R587="Repossessed",R587="Written off",R587="Restructured"),0,1))</f>
        <v/>
      </c>
      <c r="AF587" s="19">
        <f>IF(A587="",0,IF(N(J587)&gt;N(I587),1,0))</f>
        <v/>
      </c>
      <c r="AG587" s="19">
        <f>IF(A587="",0,IF(N(N587)&gt;N(M587)+1,1,0))</f>
        <v/>
      </c>
      <c r="AH587" s="19">
        <f>IF(A587="",0,IF(N(E587)&gt;N(B587),1,0))</f>
        <v/>
      </c>
      <c r="AI587" s="19">
        <f>IF(A587="",0,IF(AND(Z587="Full payment",N(N587)&lt;N(M587)-1),1,0))</f>
        <v/>
      </c>
      <c r="AJ587" s="19">
        <f>IF(A587="",0,IF(N(P587)&lt;0,1,0))</f>
        <v/>
      </c>
      <c r="AK587" s="19">
        <f>IF(A587="",0,IF(COUNTIF($A$7:$A$1006,A587)&gt;1,1,0))</f>
        <v/>
      </c>
    </row>
    <row r="588">
      <c r="A588" s="10" t="n"/>
      <c r="B588" s="17" t="n"/>
      <c r="C588" s="18" t="n"/>
      <c r="D588" s="10" t="n"/>
      <c r="E588" s="17" t="n"/>
      <c r="F588" s="10" t="n"/>
      <c r="G588" s="10" t="n"/>
      <c r="H588" s="10" t="n"/>
      <c r="I588" s="18" t="n"/>
      <c r="J588" s="18" t="n"/>
      <c r="K588" s="18" t="n"/>
      <c r="L588" s="18" t="n"/>
      <c r="M588" s="19">
        <f>IF(K588="","",K588*365/12*L588)</f>
        <v/>
      </c>
      <c r="N588" s="18" t="n"/>
      <c r="O588" s="18" t="n"/>
      <c r="P588" s="18" t="n"/>
      <c r="Q588" s="18" t="n"/>
      <c r="R588" s="10" t="n"/>
      <c r="S588" s="17" t="n"/>
      <c r="T588" s="18" t="n"/>
      <c r="U588" s="17" t="n"/>
      <c r="V588" s="17" t="n"/>
      <c r="W588" s="18" t="n"/>
      <c r="X588" s="18" t="n"/>
      <c r="Y588" s="17" t="n"/>
      <c r="Z588" s="10" t="n"/>
      <c r="AA588" s="10" t="n"/>
      <c r="AB588" s="19">
        <f>IF(LEN(A588)&gt;0,1,0)</f>
        <v/>
      </c>
      <c r="AC588" s="19">
        <f>IF(LEN(A588)=0,0,(LEN(B588)=0)+(LEN(C588)=0)+(LEN(D588)=0)+(LEN(E588)=0)+(LEN(F588)=0)+(LEN(G588)=0)+(LEN(H588)=0)+(LEN(I588)=0)+(LEN(J588)=0)+(LEN(K588)=0)+(LEN(L588)=0)+(LEN(N588)=0)+(LEN(O588)=0)+(LEN(P588)=0)+(LEN(R588)=0)+(LEN(AA588)=0))</f>
        <v/>
      </c>
      <c r="AD588" s="19">
        <f>IF(OR(LEN(A588)=0,LEN(C588)=0),0,IF(OR(C588&lt;1,C588&gt;5),1,0))</f>
        <v/>
      </c>
      <c r="AE588" s="19">
        <f>IF(OR(LEN(A588)=0,LEN(R588)=0),0,IF(OR(R588="Active",R588="Paid off",R588="Defaulted",R588="Repossessed",R588="Written off",R588="Restructured"),0,1))</f>
        <v/>
      </c>
      <c r="AF588" s="19">
        <f>IF(A588="",0,IF(N(J588)&gt;N(I588),1,0))</f>
        <v/>
      </c>
      <c r="AG588" s="19">
        <f>IF(A588="",0,IF(N(N588)&gt;N(M588)+1,1,0))</f>
        <v/>
      </c>
      <c r="AH588" s="19">
        <f>IF(A588="",0,IF(N(E588)&gt;N(B588),1,0))</f>
        <v/>
      </c>
      <c r="AI588" s="19">
        <f>IF(A588="",0,IF(AND(Z588="Full payment",N(N588)&lt;N(M588)-1),1,0))</f>
        <v/>
      </c>
      <c r="AJ588" s="19">
        <f>IF(A588="",0,IF(N(P588)&lt;0,1,0))</f>
        <v/>
      </c>
      <c r="AK588" s="19">
        <f>IF(A588="",0,IF(COUNTIF($A$7:$A$1006,A588)&gt;1,1,0))</f>
        <v/>
      </c>
    </row>
    <row r="589">
      <c r="A589" s="10" t="n"/>
      <c r="B589" s="17" t="n"/>
      <c r="C589" s="18" t="n"/>
      <c r="D589" s="10" t="n"/>
      <c r="E589" s="17" t="n"/>
      <c r="F589" s="10" t="n"/>
      <c r="G589" s="10" t="n"/>
      <c r="H589" s="10" t="n"/>
      <c r="I589" s="18" t="n"/>
      <c r="J589" s="18" t="n"/>
      <c r="K589" s="18" t="n"/>
      <c r="L589" s="18" t="n"/>
      <c r="M589" s="19">
        <f>IF(K589="","",K589*365/12*L589)</f>
        <v/>
      </c>
      <c r="N589" s="18" t="n"/>
      <c r="O589" s="18" t="n"/>
      <c r="P589" s="18" t="n"/>
      <c r="Q589" s="18" t="n"/>
      <c r="R589" s="10" t="n"/>
      <c r="S589" s="17" t="n"/>
      <c r="T589" s="18" t="n"/>
      <c r="U589" s="17" t="n"/>
      <c r="V589" s="17" t="n"/>
      <c r="W589" s="18" t="n"/>
      <c r="X589" s="18" t="n"/>
      <c r="Y589" s="17" t="n"/>
      <c r="Z589" s="10" t="n"/>
      <c r="AA589" s="10" t="n"/>
      <c r="AB589" s="19">
        <f>IF(LEN(A589)&gt;0,1,0)</f>
        <v/>
      </c>
      <c r="AC589" s="19">
        <f>IF(LEN(A589)=0,0,(LEN(B589)=0)+(LEN(C589)=0)+(LEN(D589)=0)+(LEN(E589)=0)+(LEN(F589)=0)+(LEN(G589)=0)+(LEN(H589)=0)+(LEN(I589)=0)+(LEN(J589)=0)+(LEN(K589)=0)+(LEN(L589)=0)+(LEN(N589)=0)+(LEN(O589)=0)+(LEN(P589)=0)+(LEN(R589)=0)+(LEN(AA589)=0))</f>
        <v/>
      </c>
      <c r="AD589" s="19">
        <f>IF(OR(LEN(A589)=0,LEN(C589)=0),0,IF(OR(C589&lt;1,C589&gt;5),1,0))</f>
        <v/>
      </c>
      <c r="AE589" s="19">
        <f>IF(OR(LEN(A589)=0,LEN(R589)=0),0,IF(OR(R589="Active",R589="Paid off",R589="Defaulted",R589="Repossessed",R589="Written off",R589="Restructured"),0,1))</f>
        <v/>
      </c>
      <c r="AF589" s="19">
        <f>IF(A589="",0,IF(N(J589)&gt;N(I589),1,0))</f>
        <v/>
      </c>
      <c r="AG589" s="19">
        <f>IF(A589="",0,IF(N(N589)&gt;N(M589)+1,1,0))</f>
        <v/>
      </c>
      <c r="AH589" s="19">
        <f>IF(A589="",0,IF(N(E589)&gt;N(B589),1,0))</f>
        <v/>
      </c>
      <c r="AI589" s="19">
        <f>IF(A589="",0,IF(AND(Z589="Full payment",N(N589)&lt;N(M589)-1),1,0))</f>
        <v/>
      </c>
      <c r="AJ589" s="19">
        <f>IF(A589="",0,IF(N(P589)&lt;0,1,0))</f>
        <v/>
      </c>
      <c r="AK589" s="19">
        <f>IF(A589="",0,IF(COUNTIF($A$7:$A$1006,A589)&gt;1,1,0))</f>
        <v/>
      </c>
    </row>
    <row r="590">
      <c r="A590" s="10" t="n"/>
      <c r="B590" s="17" t="n"/>
      <c r="C590" s="18" t="n"/>
      <c r="D590" s="10" t="n"/>
      <c r="E590" s="17" t="n"/>
      <c r="F590" s="10" t="n"/>
      <c r="G590" s="10" t="n"/>
      <c r="H590" s="10" t="n"/>
      <c r="I590" s="18" t="n"/>
      <c r="J590" s="18" t="n"/>
      <c r="K590" s="18" t="n"/>
      <c r="L590" s="18" t="n"/>
      <c r="M590" s="19">
        <f>IF(K590="","",K590*365/12*L590)</f>
        <v/>
      </c>
      <c r="N590" s="18" t="n"/>
      <c r="O590" s="18" t="n"/>
      <c r="P590" s="18" t="n"/>
      <c r="Q590" s="18" t="n"/>
      <c r="R590" s="10" t="n"/>
      <c r="S590" s="17" t="n"/>
      <c r="T590" s="18" t="n"/>
      <c r="U590" s="17" t="n"/>
      <c r="V590" s="17" t="n"/>
      <c r="W590" s="18" t="n"/>
      <c r="X590" s="18" t="n"/>
      <c r="Y590" s="17" t="n"/>
      <c r="Z590" s="10" t="n"/>
      <c r="AA590" s="10" t="n"/>
      <c r="AB590" s="19">
        <f>IF(LEN(A590)&gt;0,1,0)</f>
        <v/>
      </c>
      <c r="AC590" s="19">
        <f>IF(LEN(A590)=0,0,(LEN(B590)=0)+(LEN(C590)=0)+(LEN(D590)=0)+(LEN(E590)=0)+(LEN(F590)=0)+(LEN(G590)=0)+(LEN(H590)=0)+(LEN(I590)=0)+(LEN(J590)=0)+(LEN(K590)=0)+(LEN(L590)=0)+(LEN(N590)=0)+(LEN(O590)=0)+(LEN(P590)=0)+(LEN(R590)=0)+(LEN(AA590)=0))</f>
        <v/>
      </c>
      <c r="AD590" s="19">
        <f>IF(OR(LEN(A590)=0,LEN(C590)=0),0,IF(OR(C590&lt;1,C590&gt;5),1,0))</f>
        <v/>
      </c>
      <c r="AE590" s="19">
        <f>IF(OR(LEN(A590)=0,LEN(R590)=0),0,IF(OR(R590="Active",R590="Paid off",R590="Defaulted",R590="Repossessed",R590="Written off",R590="Restructured"),0,1))</f>
        <v/>
      </c>
      <c r="AF590" s="19">
        <f>IF(A590="",0,IF(N(J590)&gt;N(I590),1,0))</f>
        <v/>
      </c>
      <c r="AG590" s="19">
        <f>IF(A590="",0,IF(N(N590)&gt;N(M590)+1,1,0))</f>
        <v/>
      </c>
      <c r="AH590" s="19">
        <f>IF(A590="",0,IF(N(E590)&gt;N(B590),1,0))</f>
        <v/>
      </c>
      <c r="AI590" s="19">
        <f>IF(A590="",0,IF(AND(Z590="Full payment",N(N590)&lt;N(M590)-1),1,0))</f>
        <v/>
      </c>
      <c r="AJ590" s="19">
        <f>IF(A590="",0,IF(N(P590)&lt;0,1,0))</f>
        <v/>
      </c>
      <c r="AK590" s="19">
        <f>IF(A590="",0,IF(COUNTIF($A$7:$A$1006,A590)&gt;1,1,0))</f>
        <v/>
      </c>
    </row>
    <row r="591">
      <c r="A591" s="10" t="n"/>
      <c r="B591" s="17" t="n"/>
      <c r="C591" s="18" t="n"/>
      <c r="D591" s="10" t="n"/>
      <c r="E591" s="17" t="n"/>
      <c r="F591" s="10" t="n"/>
      <c r="G591" s="10" t="n"/>
      <c r="H591" s="10" t="n"/>
      <c r="I591" s="18" t="n"/>
      <c r="J591" s="18" t="n"/>
      <c r="K591" s="18" t="n"/>
      <c r="L591" s="18" t="n"/>
      <c r="M591" s="19">
        <f>IF(K591="","",K591*365/12*L591)</f>
        <v/>
      </c>
      <c r="N591" s="18" t="n"/>
      <c r="O591" s="18" t="n"/>
      <c r="P591" s="18" t="n"/>
      <c r="Q591" s="18" t="n"/>
      <c r="R591" s="10" t="n"/>
      <c r="S591" s="17" t="n"/>
      <c r="T591" s="18" t="n"/>
      <c r="U591" s="17" t="n"/>
      <c r="V591" s="17" t="n"/>
      <c r="W591" s="18" t="n"/>
      <c r="X591" s="18" t="n"/>
      <c r="Y591" s="17" t="n"/>
      <c r="Z591" s="10" t="n"/>
      <c r="AA591" s="10" t="n"/>
      <c r="AB591" s="19">
        <f>IF(LEN(A591)&gt;0,1,0)</f>
        <v/>
      </c>
      <c r="AC591" s="19">
        <f>IF(LEN(A591)=0,0,(LEN(B591)=0)+(LEN(C591)=0)+(LEN(D591)=0)+(LEN(E591)=0)+(LEN(F591)=0)+(LEN(G591)=0)+(LEN(H591)=0)+(LEN(I591)=0)+(LEN(J591)=0)+(LEN(K591)=0)+(LEN(L591)=0)+(LEN(N591)=0)+(LEN(O591)=0)+(LEN(P591)=0)+(LEN(R591)=0)+(LEN(AA591)=0))</f>
        <v/>
      </c>
      <c r="AD591" s="19">
        <f>IF(OR(LEN(A591)=0,LEN(C591)=0),0,IF(OR(C591&lt;1,C591&gt;5),1,0))</f>
        <v/>
      </c>
      <c r="AE591" s="19">
        <f>IF(OR(LEN(A591)=0,LEN(R591)=0),0,IF(OR(R591="Active",R591="Paid off",R591="Defaulted",R591="Repossessed",R591="Written off",R591="Restructured"),0,1))</f>
        <v/>
      </c>
      <c r="AF591" s="19">
        <f>IF(A591="",0,IF(N(J591)&gt;N(I591),1,0))</f>
        <v/>
      </c>
      <c r="AG591" s="19">
        <f>IF(A591="",0,IF(N(N591)&gt;N(M591)+1,1,0))</f>
        <v/>
      </c>
      <c r="AH591" s="19">
        <f>IF(A591="",0,IF(N(E591)&gt;N(B591),1,0))</f>
        <v/>
      </c>
      <c r="AI591" s="19">
        <f>IF(A591="",0,IF(AND(Z591="Full payment",N(N591)&lt;N(M591)-1),1,0))</f>
        <v/>
      </c>
      <c r="AJ591" s="19">
        <f>IF(A591="",0,IF(N(P591)&lt;0,1,0))</f>
        <v/>
      </c>
      <c r="AK591" s="19">
        <f>IF(A591="",0,IF(COUNTIF($A$7:$A$1006,A591)&gt;1,1,0))</f>
        <v/>
      </c>
    </row>
    <row r="592">
      <c r="A592" s="10" t="n"/>
      <c r="B592" s="17" t="n"/>
      <c r="C592" s="18" t="n"/>
      <c r="D592" s="10" t="n"/>
      <c r="E592" s="17" t="n"/>
      <c r="F592" s="10" t="n"/>
      <c r="G592" s="10" t="n"/>
      <c r="H592" s="10" t="n"/>
      <c r="I592" s="18" t="n"/>
      <c r="J592" s="18" t="n"/>
      <c r="K592" s="18" t="n"/>
      <c r="L592" s="18" t="n"/>
      <c r="M592" s="19">
        <f>IF(K592="","",K592*365/12*L592)</f>
        <v/>
      </c>
      <c r="N592" s="18" t="n"/>
      <c r="O592" s="18" t="n"/>
      <c r="P592" s="18" t="n"/>
      <c r="Q592" s="18" t="n"/>
      <c r="R592" s="10" t="n"/>
      <c r="S592" s="17" t="n"/>
      <c r="T592" s="18" t="n"/>
      <c r="U592" s="17" t="n"/>
      <c r="V592" s="17" t="n"/>
      <c r="W592" s="18" t="n"/>
      <c r="X592" s="18" t="n"/>
      <c r="Y592" s="17" t="n"/>
      <c r="Z592" s="10" t="n"/>
      <c r="AA592" s="10" t="n"/>
      <c r="AB592" s="19">
        <f>IF(LEN(A592)&gt;0,1,0)</f>
        <v/>
      </c>
      <c r="AC592" s="19">
        <f>IF(LEN(A592)=0,0,(LEN(B592)=0)+(LEN(C592)=0)+(LEN(D592)=0)+(LEN(E592)=0)+(LEN(F592)=0)+(LEN(G592)=0)+(LEN(H592)=0)+(LEN(I592)=0)+(LEN(J592)=0)+(LEN(K592)=0)+(LEN(L592)=0)+(LEN(N592)=0)+(LEN(O592)=0)+(LEN(P592)=0)+(LEN(R592)=0)+(LEN(AA592)=0))</f>
        <v/>
      </c>
      <c r="AD592" s="19">
        <f>IF(OR(LEN(A592)=0,LEN(C592)=0),0,IF(OR(C592&lt;1,C592&gt;5),1,0))</f>
        <v/>
      </c>
      <c r="AE592" s="19">
        <f>IF(OR(LEN(A592)=0,LEN(R592)=0),0,IF(OR(R592="Active",R592="Paid off",R592="Defaulted",R592="Repossessed",R592="Written off",R592="Restructured"),0,1))</f>
        <v/>
      </c>
      <c r="AF592" s="19">
        <f>IF(A592="",0,IF(N(J592)&gt;N(I592),1,0))</f>
        <v/>
      </c>
      <c r="AG592" s="19">
        <f>IF(A592="",0,IF(N(N592)&gt;N(M592)+1,1,0))</f>
        <v/>
      </c>
      <c r="AH592" s="19">
        <f>IF(A592="",0,IF(N(E592)&gt;N(B592),1,0))</f>
        <v/>
      </c>
      <c r="AI592" s="19">
        <f>IF(A592="",0,IF(AND(Z592="Full payment",N(N592)&lt;N(M592)-1),1,0))</f>
        <v/>
      </c>
      <c r="AJ592" s="19">
        <f>IF(A592="",0,IF(N(P592)&lt;0,1,0))</f>
        <v/>
      </c>
      <c r="AK592" s="19">
        <f>IF(A592="",0,IF(COUNTIF($A$7:$A$1006,A592)&gt;1,1,0))</f>
        <v/>
      </c>
    </row>
    <row r="593">
      <c r="A593" s="10" t="n"/>
      <c r="B593" s="17" t="n"/>
      <c r="C593" s="18" t="n"/>
      <c r="D593" s="10" t="n"/>
      <c r="E593" s="17" t="n"/>
      <c r="F593" s="10" t="n"/>
      <c r="G593" s="10" t="n"/>
      <c r="H593" s="10" t="n"/>
      <c r="I593" s="18" t="n"/>
      <c r="J593" s="18" t="n"/>
      <c r="K593" s="18" t="n"/>
      <c r="L593" s="18" t="n"/>
      <c r="M593" s="19">
        <f>IF(K593="","",K593*365/12*L593)</f>
        <v/>
      </c>
      <c r="N593" s="18" t="n"/>
      <c r="O593" s="18" t="n"/>
      <c r="P593" s="18" t="n"/>
      <c r="Q593" s="18" t="n"/>
      <c r="R593" s="10" t="n"/>
      <c r="S593" s="17" t="n"/>
      <c r="T593" s="18" t="n"/>
      <c r="U593" s="17" t="n"/>
      <c r="V593" s="17" t="n"/>
      <c r="W593" s="18" t="n"/>
      <c r="X593" s="18" t="n"/>
      <c r="Y593" s="17" t="n"/>
      <c r="Z593" s="10" t="n"/>
      <c r="AA593" s="10" t="n"/>
      <c r="AB593" s="19">
        <f>IF(LEN(A593)&gt;0,1,0)</f>
        <v/>
      </c>
      <c r="AC593" s="19">
        <f>IF(LEN(A593)=0,0,(LEN(B593)=0)+(LEN(C593)=0)+(LEN(D593)=0)+(LEN(E593)=0)+(LEN(F593)=0)+(LEN(G593)=0)+(LEN(H593)=0)+(LEN(I593)=0)+(LEN(J593)=0)+(LEN(K593)=0)+(LEN(L593)=0)+(LEN(N593)=0)+(LEN(O593)=0)+(LEN(P593)=0)+(LEN(R593)=0)+(LEN(AA593)=0))</f>
        <v/>
      </c>
      <c r="AD593" s="19">
        <f>IF(OR(LEN(A593)=0,LEN(C593)=0),0,IF(OR(C593&lt;1,C593&gt;5),1,0))</f>
        <v/>
      </c>
      <c r="AE593" s="19">
        <f>IF(OR(LEN(A593)=0,LEN(R593)=0),0,IF(OR(R593="Active",R593="Paid off",R593="Defaulted",R593="Repossessed",R593="Written off",R593="Restructured"),0,1))</f>
        <v/>
      </c>
      <c r="AF593" s="19">
        <f>IF(A593="",0,IF(N(J593)&gt;N(I593),1,0))</f>
        <v/>
      </c>
      <c r="AG593" s="19">
        <f>IF(A593="",0,IF(N(N593)&gt;N(M593)+1,1,0))</f>
        <v/>
      </c>
      <c r="AH593" s="19">
        <f>IF(A593="",0,IF(N(E593)&gt;N(B593),1,0))</f>
        <v/>
      </c>
      <c r="AI593" s="19">
        <f>IF(A593="",0,IF(AND(Z593="Full payment",N(N593)&lt;N(M593)-1),1,0))</f>
        <v/>
      </c>
      <c r="AJ593" s="19">
        <f>IF(A593="",0,IF(N(P593)&lt;0,1,0))</f>
        <v/>
      </c>
      <c r="AK593" s="19">
        <f>IF(A593="",0,IF(COUNTIF($A$7:$A$1006,A593)&gt;1,1,0))</f>
        <v/>
      </c>
    </row>
    <row r="594">
      <c r="A594" s="10" t="n"/>
      <c r="B594" s="17" t="n"/>
      <c r="C594" s="18" t="n"/>
      <c r="D594" s="10" t="n"/>
      <c r="E594" s="17" t="n"/>
      <c r="F594" s="10" t="n"/>
      <c r="G594" s="10" t="n"/>
      <c r="H594" s="10" t="n"/>
      <c r="I594" s="18" t="n"/>
      <c r="J594" s="18" t="n"/>
      <c r="K594" s="18" t="n"/>
      <c r="L594" s="18" t="n"/>
      <c r="M594" s="19">
        <f>IF(K594="","",K594*365/12*L594)</f>
        <v/>
      </c>
      <c r="N594" s="18" t="n"/>
      <c r="O594" s="18" t="n"/>
      <c r="P594" s="18" t="n"/>
      <c r="Q594" s="18" t="n"/>
      <c r="R594" s="10" t="n"/>
      <c r="S594" s="17" t="n"/>
      <c r="T594" s="18" t="n"/>
      <c r="U594" s="17" t="n"/>
      <c r="V594" s="17" t="n"/>
      <c r="W594" s="18" t="n"/>
      <c r="X594" s="18" t="n"/>
      <c r="Y594" s="17" t="n"/>
      <c r="Z594" s="10" t="n"/>
      <c r="AA594" s="10" t="n"/>
      <c r="AB594" s="19">
        <f>IF(LEN(A594)&gt;0,1,0)</f>
        <v/>
      </c>
      <c r="AC594" s="19">
        <f>IF(LEN(A594)=0,0,(LEN(B594)=0)+(LEN(C594)=0)+(LEN(D594)=0)+(LEN(E594)=0)+(LEN(F594)=0)+(LEN(G594)=0)+(LEN(H594)=0)+(LEN(I594)=0)+(LEN(J594)=0)+(LEN(K594)=0)+(LEN(L594)=0)+(LEN(N594)=0)+(LEN(O594)=0)+(LEN(P594)=0)+(LEN(R594)=0)+(LEN(AA594)=0))</f>
        <v/>
      </c>
      <c r="AD594" s="19">
        <f>IF(OR(LEN(A594)=0,LEN(C594)=0),0,IF(OR(C594&lt;1,C594&gt;5),1,0))</f>
        <v/>
      </c>
      <c r="AE594" s="19">
        <f>IF(OR(LEN(A594)=0,LEN(R594)=0),0,IF(OR(R594="Active",R594="Paid off",R594="Defaulted",R594="Repossessed",R594="Written off",R594="Restructured"),0,1))</f>
        <v/>
      </c>
      <c r="AF594" s="19">
        <f>IF(A594="",0,IF(N(J594)&gt;N(I594),1,0))</f>
        <v/>
      </c>
      <c r="AG594" s="19">
        <f>IF(A594="",0,IF(N(N594)&gt;N(M594)+1,1,0))</f>
        <v/>
      </c>
      <c r="AH594" s="19">
        <f>IF(A594="",0,IF(N(E594)&gt;N(B594),1,0))</f>
        <v/>
      </c>
      <c r="AI594" s="19">
        <f>IF(A594="",0,IF(AND(Z594="Full payment",N(N594)&lt;N(M594)-1),1,0))</f>
        <v/>
      </c>
      <c r="AJ594" s="19">
        <f>IF(A594="",0,IF(N(P594)&lt;0,1,0))</f>
        <v/>
      </c>
      <c r="AK594" s="19">
        <f>IF(A594="",0,IF(COUNTIF($A$7:$A$1006,A594)&gt;1,1,0))</f>
        <v/>
      </c>
    </row>
    <row r="595">
      <c r="A595" s="10" t="n"/>
      <c r="B595" s="17" t="n"/>
      <c r="C595" s="18" t="n"/>
      <c r="D595" s="10" t="n"/>
      <c r="E595" s="17" t="n"/>
      <c r="F595" s="10" t="n"/>
      <c r="G595" s="10" t="n"/>
      <c r="H595" s="10" t="n"/>
      <c r="I595" s="18" t="n"/>
      <c r="J595" s="18" t="n"/>
      <c r="K595" s="18" t="n"/>
      <c r="L595" s="18" t="n"/>
      <c r="M595" s="19">
        <f>IF(K595="","",K595*365/12*L595)</f>
        <v/>
      </c>
      <c r="N595" s="18" t="n"/>
      <c r="O595" s="18" t="n"/>
      <c r="P595" s="18" t="n"/>
      <c r="Q595" s="18" t="n"/>
      <c r="R595" s="10" t="n"/>
      <c r="S595" s="17" t="n"/>
      <c r="T595" s="18" t="n"/>
      <c r="U595" s="17" t="n"/>
      <c r="V595" s="17" t="n"/>
      <c r="W595" s="18" t="n"/>
      <c r="X595" s="18" t="n"/>
      <c r="Y595" s="17" t="n"/>
      <c r="Z595" s="10" t="n"/>
      <c r="AA595" s="10" t="n"/>
      <c r="AB595" s="19">
        <f>IF(LEN(A595)&gt;0,1,0)</f>
        <v/>
      </c>
      <c r="AC595" s="19">
        <f>IF(LEN(A595)=0,0,(LEN(B595)=0)+(LEN(C595)=0)+(LEN(D595)=0)+(LEN(E595)=0)+(LEN(F595)=0)+(LEN(G595)=0)+(LEN(H595)=0)+(LEN(I595)=0)+(LEN(J595)=0)+(LEN(K595)=0)+(LEN(L595)=0)+(LEN(N595)=0)+(LEN(O595)=0)+(LEN(P595)=0)+(LEN(R595)=0)+(LEN(AA595)=0))</f>
        <v/>
      </c>
      <c r="AD595" s="19">
        <f>IF(OR(LEN(A595)=0,LEN(C595)=0),0,IF(OR(C595&lt;1,C595&gt;5),1,0))</f>
        <v/>
      </c>
      <c r="AE595" s="19">
        <f>IF(OR(LEN(A595)=0,LEN(R595)=0),0,IF(OR(R595="Active",R595="Paid off",R595="Defaulted",R595="Repossessed",R595="Written off",R595="Restructured"),0,1))</f>
        <v/>
      </c>
      <c r="AF595" s="19">
        <f>IF(A595="",0,IF(N(J595)&gt;N(I595),1,0))</f>
        <v/>
      </c>
      <c r="AG595" s="19">
        <f>IF(A595="",0,IF(N(N595)&gt;N(M595)+1,1,0))</f>
        <v/>
      </c>
      <c r="AH595" s="19">
        <f>IF(A595="",0,IF(N(E595)&gt;N(B595),1,0))</f>
        <v/>
      </c>
      <c r="AI595" s="19">
        <f>IF(A595="",0,IF(AND(Z595="Full payment",N(N595)&lt;N(M595)-1),1,0))</f>
        <v/>
      </c>
      <c r="AJ595" s="19">
        <f>IF(A595="",0,IF(N(P595)&lt;0,1,0))</f>
        <v/>
      </c>
      <c r="AK595" s="19">
        <f>IF(A595="",0,IF(COUNTIF($A$7:$A$1006,A595)&gt;1,1,0))</f>
        <v/>
      </c>
    </row>
    <row r="596">
      <c r="A596" s="10" t="n"/>
      <c r="B596" s="17" t="n"/>
      <c r="C596" s="18" t="n"/>
      <c r="D596" s="10" t="n"/>
      <c r="E596" s="17" t="n"/>
      <c r="F596" s="10" t="n"/>
      <c r="G596" s="10" t="n"/>
      <c r="H596" s="10" t="n"/>
      <c r="I596" s="18" t="n"/>
      <c r="J596" s="18" t="n"/>
      <c r="K596" s="18" t="n"/>
      <c r="L596" s="18" t="n"/>
      <c r="M596" s="19">
        <f>IF(K596="","",K596*365/12*L596)</f>
        <v/>
      </c>
      <c r="N596" s="18" t="n"/>
      <c r="O596" s="18" t="n"/>
      <c r="P596" s="18" t="n"/>
      <c r="Q596" s="18" t="n"/>
      <c r="R596" s="10" t="n"/>
      <c r="S596" s="17" t="n"/>
      <c r="T596" s="18" t="n"/>
      <c r="U596" s="17" t="n"/>
      <c r="V596" s="17" t="n"/>
      <c r="W596" s="18" t="n"/>
      <c r="X596" s="18" t="n"/>
      <c r="Y596" s="17" t="n"/>
      <c r="Z596" s="10" t="n"/>
      <c r="AA596" s="10" t="n"/>
      <c r="AB596" s="19">
        <f>IF(LEN(A596)&gt;0,1,0)</f>
        <v/>
      </c>
      <c r="AC596" s="19">
        <f>IF(LEN(A596)=0,0,(LEN(B596)=0)+(LEN(C596)=0)+(LEN(D596)=0)+(LEN(E596)=0)+(LEN(F596)=0)+(LEN(G596)=0)+(LEN(H596)=0)+(LEN(I596)=0)+(LEN(J596)=0)+(LEN(K596)=0)+(LEN(L596)=0)+(LEN(N596)=0)+(LEN(O596)=0)+(LEN(P596)=0)+(LEN(R596)=0)+(LEN(AA596)=0))</f>
        <v/>
      </c>
      <c r="AD596" s="19">
        <f>IF(OR(LEN(A596)=0,LEN(C596)=0),0,IF(OR(C596&lt;1,C596&gt;5),1,0))</f>
        <v/>
      </c>
      <c r="AE596" s="19">
        <f>IF(OR(LEN(A596)=0,LEN(R596)=0),0,IF(OR(R596="Active",R596="Paid off",R596="Defaulted",R596="Repossessed",R596="Written off",R596="Restructured"),0,1))</f>
        <v/>
      </c>
      <c r="AF596" s="19">
        <f>IF(A596="",0,IF(N(J596)&gt;N(I596),1,0))</f>
        <v/>
      </c>
      <c r="AG596" s="19">
        <f>IF(A596="",0,IF(N(N596)&gt;N(M596)+1,1,0))</f>
        <v/>
      </c>
      <c r="AH596" s="19">
        <f>IF(A596="",0,IF(N(E596)&gt;N(B596),1,0))</f>
        <v/>
      </c>
      <c r="AI596" s="19">
        <f>IF(A596="",0,IF(AND(Z596="Full payment",N(N596)&lt;N(M596)-1),1,0))</f>
        <v/>
      </c>
      <c r="AJ596" s="19">
        <f>IF(A596="",0,IF(N(P596)&lt;0,1,0))</f>
        <v/>
      </c>
      <c r="AK596" s="19">
        <f>IF(A596="",0,IF(COUNTIF($A$7:$A$1006,A596)&gt;1,1,0))</f>
        <v/>
      </c>
    </row>
    <row r="597">
      <c r="A597" s="10" t="n"/>
      <c r="B597" s="17" t="n"/>
      <c r="C597" s="18" t="n"/>
      <c r="D597" s="10" t="n"/>
      <c r="E597" s="17" t="n"/>
      <c r="F597" s="10" t="n"/>
      <c r="G597" s="10" t="n"/>
      <c r="H597" s="10" t="n"/>
      <c r="I597" s="18" t="n"/>
      <c r="J597" s="18" t="n"/>
      <c r="K597" s="18" t="n"/>
      <c r="L597" s="18" t="n"/>
      <c r="M597" s="19">
        <f>IF(K597="","",K597*365/12*L597)</f>
        <v/>
      </c>
      <c r="N597" s="18" t="n"/>
      <c r="O597" s="18" t="n"/>
      <c r="P597" s="18" t="n"/>
      <c r="Q597" s="18" t="n"/>
      <c r="R597" s="10" t="n"/>
      <c r="S597" s="17" t="n"/>
      <c r="T597" s="18" t="n"/>
      <c r="U597" s="17" t="n"/>
      <c r="V597" s="17" t="n"/>
      <c r="W597" s="18" t="n"/>
      <c r="X597" s="18" t="n"/>
      <c r="Y597" s="17" t="n"/>
      <c r="Z597" s="10" t="n"/>
      <c r="AA597" s="10" t="n"/>
      <c r="AB597" s="19">
        <f>IF(LEN(A597)&gt;0,1,0)</f>
        <v/>
      </c>
      <c r="AC597" s="19">
        <f>IF(LEN(A597)=0,0,(LEN(B597)=0)+(LEN(C597)=0)+(LEN(D597)=0)+(LEN(E597)=0)+(LEN(F597)=0)+(LEN(G597)=0)+(LEN(H597)=0)+(LEN(I597)=0)+(LEN(J597)=0)+(LEN(K597)=0)+(LEN(L597)=0)+(LEN(N597)=0)+(LEN(O597)=0)+(LEN(P597)=0)+(LEN(R597)=0)+(LEN(AA597)=0))</f>
        <v/>
      </c>
      <c r="AD597" s="19">
        <f>IF(OR(LEN(A597)=0,LEN(C597)=0),0,IF(OR(C597&lt;1,C597&gt;5),1,0))</f>
        <v/>
      </c>
      <c r="AE597" s="19">
        <f>IF(OR(LEN(A597)=0,LEN(R597)=0),0,IF(OR(R597="Active",R597="Paid off",R597="Defaulted",R597="Repossessed",R597="Written off",R597="Restructured"),0,1))</f>
        <v/>
      </c>
      <c r="AF597" s="19">
        <f>IF(A597="",0,IF(N(J597)&gt;N(I597),1,0))</f>
        <v/>
      </c>
      <c r="AG597" s="19">
        <f>IF(A597="",0,IF(N(N597)&gt;N(M597)+1,1,0))</f>
        <v/>
      </c>
      <c r="AH597" s="19">
        <f>IF(A597="",0,IF(N(E597)&gt;N(B597),1,0))</f>
        <v/>
      </c>
      <c r="AI597" s="19">
        <f>IF(A597="",0,IF(AND(Z597="Full payment",N(N597)&lt;N(M597)-1),1,0))</f>
        <v/>
      </c>
      <c r="AJ597" s="19">
        <f>IF(A597="",0,IF(N(P597)&lt;0,1,0))</f>
        <v/>
      </c>
      <c r="AK597" s="19">
        <f>IF(A597="",0,IF(COUNTIF($A$7:$A$1006,A597)&gt;1,1,0))</f>
        <v/>
      </c>
    </row>
    <row r="598">
      <c r="A598" s="10" t="n"/>
      <c r="B598" s="17" t="n"/>
      <c r="C598" s="18" t="n"/>
      <c r="D598" s="10" t="n"/>
      <c r="E598" s="17" t="n"/>
      <c r="F598" s="10" t="n"/>
      <c r="G598" s="10" t="n"/>
      <c r="H598" s="10" t="n"/>
      <c r="I598" s="18" t="n"/>
      <c r="J598" s="18" t="n"/>
      <c r="K598" s="18" t="n"/>
      <c r="L598" s="18" t="n"/>
      <c r="M598" s="19">
        <f>IF(K598="","",K598*365/12*L598)</f>
        <v/>
      </c>
      <c r="N598" s="18" t="n"/>
      <c r="O598" s="18" t="n"/>
      <c r="P598" s="18" t="n"/>
      <c r="Q598" s="18" t="n"/>
      <c r="R598" s="10" t="n"/>
      <c r="S598" s="17" t="n"/>
      <c r="T598" s="18" t="n"/>
      <c r="U598" s="17" t="n"/>
      <c r="V598" s="17" t="n"/>
      <c r="W598" s="18" t="n"/>
      <c r="X598" s="18" t="n"/>
      <c r="Y598" s="17" t="n"/>
      <c r="Z598" s="10" t="n"/>
      <c r="AA598" s="10" t="n"/>
      <c r="AB598" s="19">
        <f>IF(LEN(A598)&gt;0,1,0)</f>
        <v/>
      </c>
      <c r="AC598" s="19">
        <f>IF(LEN(A598)=0,0,(LEN(B598)=0)+(LEN(C598)=0)+(LEN(D598)=0)+(LEN(E598)=0)+(LEN(F598)=0)+(LEN(G598)=0)+(LEN(H598)=0)+(LEN(I598)=0)+(LEN(J598)=0)+(LEN(K598)=0)+(LEN(L598)=0)+(LEN(N598)=0)+(LEN(O598)=0)+(LEN(P598)=0)+(LEN(R598)=0)+(LEN(AA598)=0))</f>
        <v/>
      </c>
      <c r="AD598" s="19">
        <f>IF(OR(LEN(A598)=0,LEN(C598)=0),0,IF(OR(C598&lt;1,C598&gt;5),1,0))</f>
        <v/>
      </c>
      <c r="AE598" s="19">
        <f>IF(OR(LEN(A598)=0,LEN(R598)=0),0,IF(OR(R598="Active",R598="Paid off",R598="Defaulted",R598="Repossessed",R598="Written off",R598="Restructured"),0,1))</f>
        <v/>
      </c>
      <c r="AF598" s="19">
        <f>IF(A598="",0,IF(N(J598)&gt;N(I598),1,0))</f>
        <v/>
      </c>
      <c r="AG598" s="19">
        <f>IF(A598="",0,IF(N(N598)&gt;N(M598)+1,1,0))</f>
        <v/>
      </c>
      <c r="AH598" s="19">
        <f>IF(A598="",0,IF(N(E598)&gt;N(B598),1,0))</f>
        <v/>
      </c>
      <c r="AI598" s="19">
        <f>IF(A598="",0,IF(AND(Z598="Full payment",N(N598)&lt;N(M598)-1),1,0))</f>
        <v/>
      </c>
      <c r="AJ598" s="19">
        <f>IF(A598="",0,IF(N(P598)&lt;0,1,0))</f>
        <v/>
      </c>
      <c r="AK598" s="19">
        <f>IF(A598="",0,IF(COUNTIF($A$7:$A$1006,A598)&gt;1,1,0))</f>
        <v/>
      </c>
    </row>
    <row r="599">
      <c r="A599" s="10" t="n"/>
      <c r="B599" s="17" t="n"/>
      <c r="C599" s="18" t="n"/>
      <c r="D599" s="10" t="n"/>
      <c r="E599" s="17" t="n"/>
      <c r="F599" s="10" t="n"/>
      <c r="G599" s="10" t="n"/>
      <c r="H599" s="10" t="n"/>
      <c r="I599" s="18" t="n"/>
      <c r="J599" s="18" t="n"/>
      <c r="K599" s="18" t="n"/>
      <c r="L599" s="18" t="n"/>
      <c r="M599" s="19">
        <f>IF(K599="","",K599*365/12*L599)</f>
        <v/>
      </c>
      <c r="N599" s="18" t="n"/>
      <c r="O599" s="18" t="n"/>
      <c r="P599" s="18" t="n"/>
      <c r="Q599" s="18" t="n"/>
      <c r="R599" s="10" t="n"/>
      <c r="S599" s="17" t="n"/>
      <c r="T599" s="18" t="n"/>
      <c r="U599" s="17" t="n"/>
      <c r="V599" s="17" t="n"/>
      <c r="W599" s="18" t="n"/>
      <c r="X599" s="18" t="n"/>
      <c r="Y599" s="17" t="n"/>
      <c r="Z599" s="10" t="n"/>
      <c r="AA599" s="10" t="n"/>
      <c r="AB599" s="19">
        <f>IF(LEN(A599)&gt;0,1,0)</f>
        <v/>
      </c>
      <c r="AC599" s="19">
        <f>IF(LEN(A599)=0,0,(LEN(B599)=0)+(LEN(C599)=0)+(LEN(D599)=0)+(LEN(E599)=0)+(LEN(F599)=0)+(LEN(G599)=0)+(LEN(H599)=0)+(LEN(I599)=0)+(LEN(J599)=0)+(LEN(K599)=0)+(LEN(L599)=0)+(LEN(N599)=0)+(LEN(O599)=0)+(LEN(P599)=0)+(LEN(R599)=0)+(LEN(AA599)=0))</f>
        <v/>
      </c>
      <c r="AD599" s="19">
        <f>IF(OR(LEN(A599)=0,LEN(C599)=0),0,IF(OR(C599&lt;1,C599&gt;5),1,0))</f>
        <v/>
      </c>
      <c r="AE599" s="19">
        <f>IF(OR(LEN(A599)=0,LEN(R599)=0),0,IF(OR(R599="Active",R599="Paid off",R599="Defaulted",R599="Repossessed",R599="Written off",R599="Restructured"),0,1))</f>
        <v/>
      </c>
      <c r="AF599" s="19">
        <f>IF(A599="",0,IF(N(J599)&gt;N(I599),1,0))</f>
        <v/>
      </c>
      <c r="AG599" s="19">
        <f>IF(A599="",0,IF(N(N599)&gt;N(M599)+1,1,0))</f>
        <v/>
      </c>
      <c r="AH599" s="19">
        <f>IF(A599="",0,IF(N(E599)&gt;N(B599),1,0))</f>
        <v/>
      </c>
      <c r="AI599" s="19">
        <f>IF(A599="",0,IF(AND(Z599="Full payment",N(N599)&lt;N(M599)-1),1,0))</f>
        <v/>
      </c>
      <c r="AJ599" s="19">
        <f>IF(A599="",0,IF(N(P599)&lt;0,1,0))</f>
        <v/>
      </c>
      <c r="AK599" s="19">
        <f>IF(A599="",0,IF(COUNTIF($A$7:$A$1006,A599)&gt;1,1,0))</f>
        <v/>
      </c>
    </row>
    <row r="600">
      <c r="A600" s="10" t="n"/>
      <c r="B600" s="17" t="n"/>
      <c r="C600" s="18" t="n"/>
      <c r="D600" s="10" t="n"/>
      <c r="E600" s="17" t="n"/>
      <c r="F600" s="10" t="n"/>
      <c r="G600" s="10" t="n"/>
      <c r="H600" s="10" t="n"/>
      <c r="I600" s="18" t="n"/>
      <c r="J600" s="18" t="n"/>
      <c r="K600" s="18" t="n"/>
      <c r="L600" s="18" t="n"/>
      <c r="M600" s="19">
        <f>IF(K600="","",K600*365/12*L600)</f>
        <v/>
      </c>
      <c r="N600" s="18" t="n"/>
      <c r="O600" s="18" t="n"/>
      <c r="P600" s="18" t="n"/>
      <c r="Q600" s="18" t="n"/>
      <c r="R600" s="10" t="n"/>
      <c r="S600" s="17" t="n"/>
      <c r="T600" s="18" t="n"/>
      <c r="U600" s="17" t="n"/>
      <c r="V600" s="17" t="n"/>
      <c r="W600" s="18" t="n"/>
      <c r="X600" s="18" t="n"/>
      <c r="Y600" s="17" t="n"/>
      <c r="Z600" s="10" t="n"/>
      <c r="AA600" s="10" t="n"/>
      <c r="AB600" s="19">
        <f>IF(LEN(A600)&gt;0,1,0)</f>
        <v/>
      </c>
      <c r="AC600" s="19">
        <f>IF(LEN(A600)=0,0,(LEN(B600)=0)+(LEN(C600)=0)+(LEN(D600)=0)+(LEN(E600)=0)+(LEN(F600)=0)+(LEN(G600)=0)+(LEN(H600)=0)+(LEN(I600)=0)+(LEN(J600)=0)+(LEN(K600)=0)+(LEN(L600)=0)+(LEN(N600)=0)+(LEN(O600)=0)+(LEN(P600)=0)+(LEN(R600)=0)+(LEN(AA600)=0))</f>
        <v/>
      </c>
      <c r="AD600" s="19">
        <f>IF(OR(LEN(A600)=0,LEN(C600)=0),0,IF(OR(C600&lt;1,C600&gt;5),1,0))</f>
        <v/>
      </c>
      <c r="AE600" s="19">
        <f>IF(OR(LEN(A600)=0,LEN(R600)=0),0,IF(OR(R600="Active",R600="Paid off",R600="Defaulted",R600="Repossessed",R600="Written off",R600="Restructured"),0,1))</f>
        <v/>
      </c>
      <c r="AF600" s="19">
        <f>IF(A600="",0,IF(N(J600)&gt;N(I600),1,0))</f>
        <v/>
      </c>
      <c r="AG600" s="19">
        <f>IF(A600="",0,IF(N(N600)&gt;N(M600)+1,1,0))</f>
        <v/>
      </c>
      <c r="AH600" s="19">
        <f>IF(A600="",0,IF(N(E600)&gt;N(B600),1,0))</f>
        <v/>
      </c>
      <c r="AI600" s="19">
        <f>IF(A600="",0,IF(AND(Z600="Full payment",N(N600)&lt;N(M600)-1),1,0))</f>
        <v/>
      </c>
      <c r="AJ600" s="19">
        <f>IF(A600="",0,IF(N(P600)&lt;0,1,0))</f>
        <v/>
      </c>
      <c r="AK600" s="19">
        <f>IF(A600="",0,IF(COUNTIF($A$7:$A$1006,A600)&gt;1,1,0))</f>
        <v/>
      </c>
    </row>
    <row r="601">
      <c r="A601" s="10" t="n"/>
      <c r="B601" s="17" t="n"/>
      <c r="C601" s="18" t="n"/>
      <c r="D601" s="10" t="n"/>
      <c r="E601" s="17" t="n"/>
      <c r="F601" s="10" t="n"/>
      <c r="G601" s="10" t="n"/>
      <c r="H601" s="10" t="n"/>
      <c r="I601" s="18" t="n"/>
      <c r="J601" s="18" t="n"/>
      <c r="K601" s="18" t="n"/>
      <c r="L601" s="18" t="n"/>
      <c r="M601" s="19">
        <f>IF(K601="","",K601*365/12*L601)</f>
        <v/>
      </c>
      <c r="N601" s="18" t="n"/>
      <c r="O601" s="18" t="n"/>
      <c r="P601" s="18" t="n"/>
      <c r="Q601" s="18" t="n"/>
      <c r="R601" s="10" t="n"/>
      <c r="S601" s="17" t="n"/>
      <c r="T601" s="18" t="n"/>
      <c r="U601" s="17" t="n"/>
      <c r="V601" s="17" t="n"/>
      <c r="W601" s="18" t="n"/>
      <c r="X601" s="18" t="n"/>
      <c r="Y601" s="17" t="n"/>
      <c r="Z601" s="10" t="n"/>
      <c r="AA601" s="10" t="n"/>
      <c r="AB601" s="19">
        <f>IF(LEN(A601)&gt;0,1,0)</f>
        <v/>
      </c>
      <c r="AC601" s="19">
        <f>IF(LEN(A601)=0,0,(LEN(B601)=0)+(LEN(C601)=0)+(LEN(D601)=0)+(LEN(E601)=0)+(LEN(F601)=0)+(LEN(G601)=0)+(LEN(H601)=0)+(LEN(I601)=0)+(LEN(J601)=0)+(LEN(K601)=0)+(LEN(L601)=0)+(LEN(N601)=0)+(LEN(O601)=0)+(LEN(P601)=0)+(LEN(R601)=0)+(LEN(AA601)=0))</f>
        <v/>
      </c>
      <c r="AD601" s="19">
        <f>IF(OR(LEN(A601)=0,LEN(C601)=0),0,IF(OR(C601&lt;1,C601&gt;5),1,0))</f>
        <v/>
      </c>
      <c r="AE601" s="19">
        <f>IF(OR(LEN(A601)=0,LEN(R601)=0),0,IF(OR(R601="Active",R601="Paid off",R601="Defaulted",R601="Repossessed",R601="Written off",R601="Restructured"),0,1))</f>
        <v/>
      </c>
      <c r="AF601" s="19">
        <f>IF(A601="",0,IF(N(J601)&gt;N(I601),1,0))</f>
        <v/>
      </c>
      <c r="AG601" s="19">
        <f>IF(A601="",0,IF(N(N601)&gt;N(M601)+1,1,0))</f>
        <v/>
      </c>
      <c r="AH601" s="19">
        <f>IF(A601="",0,IF(N(E601)&gt;N(B601),1,0))</f>
        <v/>
      </c>
      <c r="AI601" s="19">
        <f>IF(A601="",0,IF(AND(Z601="Full payment",N(N601)&lt;N(M601)-1),1,0))</f>
        <v/>
      </c>
      <c r="AJ601" s="19">
        <f>IF(A601="",0,IF(N(P601)&lt;0,1,0))</f>
        <v/>
      </c>
      <c r="AK601" s="19">
        <f>IF(A601="",0,IF(COUNTIF($A$7:$A$1006,A601)&gt;1,1,0))</f>
        <v/>
      </c>
    </row>
    <row r="602">
      <c r="A602" s="10" t="n"/>
      <c r="B602" s="17" t="n"/>
      <c r="C602" s="18" t="n"/>
      <c r="D602" s="10" t="n"/>
      <c r="E602" s="17" t="n"/>
      <c r="F602" s="10" t="n"/>
      <c r="G602" s="10" t="n"/>
      <c r="H602" s="10" t="n"/>
      <c r="I602" s="18" t="n"/>
      <c r="J602" s="18" t="n"/>
      <c r="K602" s="18" t="n"/>
      <c r="L602" s="18" t="n"/>
      <c r="M602" s="19">
        <f>IF(K602="","",K602*365/12*L602)</f>
        <v/>
      </c>
      <c r="N602" s="18" t="n"/>
      <c r="O602" s="18" t="n"/>
      <c r="P602" s="18" t="n"/>
      <c r="Q602" s="18" t="n"/>
      <c r="R602" s="10" t="n"/>
      <c r="S602" s="17" t="n"/>
      <c r="T602" s="18" t="n"/>
      <c r="U602" s="17" t="n"/>
      <c r="V602" s="17" t="n"/>
      <c r="W602" s="18" t="n"/>
      <c r="X602" s="18" t="n"/>
      <c r="Y602" s="17" t="n"/>
      <c r="Z602" s="10" t="n"/>
      <c r="AA602" s="10" t="n"/>
      <c r="AB602" s="19">
        <f>IF(LEN(A602)&gt;0,1,0)</f>
        <v/>
      </c>
      <c r="AC602" s="19">
        <f>IF(LEN(A602)=0,0,(LEN(B602)=0)+(LEN(C602)=0)+(LEN(D602)=0)+(LEN(E602)=0)+(LEN(F602)=0)+(LEN(G602)=0)+(LEN(H602)=0)+(LEN(I602)=0)+(LEN(J602)=0)+(LEN(K602)=0)+(LEN(L602)=0)+(LEN(N602)=0)+(LEN(O602)=0)+(LEN(P602)=0)+(LEN(R602)=0)+(LEN(AA602)=0))</f>
        <v/>
      </c>
      <c r="AD602" s="19">
        <f>IF(OR(LEN(A602)=0,LEN(C602)=0),0,IF(OR(C602&lt;1,C602&gt;5),1,0))</f>
        <v/>
      </c>
      <c r="AE602" s="19">
        <f>IF(OR(LEN(A602)=0,LEN(R602)=0),0,IF(OR(R602="Active",R602="Paid off",R602="Defaulted",R602="Repossessed",R602="Written off",R602="Restructured"),0,1))</f>
        <v/>
      </c>
      <c r="AF602" s="19">
        <f>IF(A602="",0,IF(N(J602)&gt;N(I602),1,0))</f>
        <v/>
      </c>
      <c r="AG602" s="19">
        <f>IF(A602="",0,IF(N(N602)&gt;N(M602)+1,1,0))</f>
        <v/>
      </c>
      <c r="AH602" s="19">
        <f>IF(A602="",0,IF(N(E602)&gt;N(B602),1,0))</f>
        <v/>
      </c>
      <c r="AI602" s="19">
        <f>IF(A602="",0,IF(AND(Z602="Full payment",N(N602)&lt;N(M602)-1),1,0))</f>
        <v/>
      </c>
      <c r="AJ602" s="19">
        <f>IF(A602="",0,IF(N(P602)&lt;0,1,0))</f>
        <v/>
      </c>
      <c r="AK602" s="19">
        <f>IF(A602="",0,IF(COUNTIF($A$7:$A$1006,A602)&gt;1,1,0))</f>
        <v/>
      </c>
    </row>
    <row r="603">
      <c r="A603" s="10" t="n"/>
      <c r="B603" s="17" t="n"/>
      <c r="C603" s="18" t="n"/>
      <c r="D603" s="10" t="n"/>
      <c r="E603" s="17" t="n"/>
      <c r="F603" s="10" t="n"/>
      <c r="G603" s="10" t="n"/>
      <c r="H603" s="10" t="n"/>
      <c r="I603" s="18" t="n"/>
      <c r="J603" s="18" t="n"/>
      <c r="K603" s="18" t="n"/>
      <c r="L603" s="18" t="n"/>
      <c r="M603" s="19">
        <f>IF(K603="","",K603*365/12*L603)</f>
        <v/>
      </c>
      <c r="N603" s="18" t="n"/>
      <c r="O603" s="18" t="n"/>
      <c r="P603" s="18" t="n"/>
      <c r="Q603" s="18" t="n"/>
      <c r="R603" s="10" t="n"/>
      <c r="S603" s="17" t="n"/>
      <c r="T603" s="18" t="n"/>
      <c r="U603" s="17" t="n"/>
      <c r="V603" s="17" t="n"/>
      <c r="W603" s="18" t="n"/>
      <c r="X603" s="18" t="n"/>
      <c r="Y603" s="17" t="n"/>
      <c r="Z603" s="10" t="n"/>
      <c r="AA603" s="10" t="n"/>
      <c r="AB603" s="19">
        <f>IF(LEN(A603)&gt;0,1,0)</f>
        <v/>
      </c>
      <c r="AC603" s="19">
        <f>IF(LEN(A603)=0,0,(LEN(B603)=0)+(LEN(C603)=0)+(LEN(D603)=0)+(LEN(E603)=0)+(LEN(F603)=0)+(LEN(G603)=0)+(LEN(H603)=0)+(LEN(I603)=0)+(LEN(J603)=0)+(LEN(K603)=0)+(LEN(L603)=0)+(LEN(N603)=0)+(LEN(O603)=0)+(LEN(P603)=0)+(LEN(R603)=0)+(LEN(AA603)=0))</f>
        <v/>
      </c>
      <c r="AD603" s="19">
        <f>IF(OR(LEN(A603)=0,LEN(C603)=0),0,IF(OR(C603&lt;1,C603&gt;5),1,0))</f>
        <v/>
      </c>
      <c r="AE603" s="19">
        <f>IF(OR(LEN(A603)=0,LEN(R603)=0),0,IF(OR(R603="Active",R603="Paid off",R603="Defaulted",R603="Repossessed",R603="Written off",R603="Restructured"),0,1))</f>
        <v/>
      </c>
      <c r="AF603" s="19">
        <f>IF(A603="",0,IF(N(J603)&gt;N(I603),1,0))</f>
        <v/>
      </c>
      <c r="AG603" s="19">
        <f>IF(A603="",0,IF(N(N603)&gt;N(M603)+1,1,0))</f>
        <v/>
      </c>
      <c r="AH603" s="19">
        <f>IF(A603="",0,IF(N(E603)&gt;N(B603),1,0))</f>
        <v/>
      </c>
      <c r="AI603" s="19">
        <f>IF(A603="",0,IF(AND(Z603="Full payment",N(N603)&lt;N(M603)-1),1,0))</f>
        <v/>
      </c>
      <c r="AJ603" s="19">
        <f>IF(A603="",0,IF(N(P603)&lt;0,1,0))</f>
        <v/>
      </c>
      <c r="AK603" s="19">
        <f>IF(A603="",0,IF(COUNTIF($A$7:$A$1006,A603)&gt;1,1,0))</f>
        <v/>
      </c>
    </row>
    <row r="604">
      <c r="A604" s="10" t="n"/>
      <c r="B604" s="17" t="n"/>
      <c r="C604" s="18" t="n"/>
      <c r="D604" s="10" t="n"/>
      <c r="E604" s="17" t="n"/>
      <c r="F604" s="10" t="n"/>
      <c r="G604" s="10" t="n"/>
      <c r="H604" s="10" t="n"/>
      <c r="I604" s="18" t="n"/>
      <c r="J604" s="18" t="n"/>
      <c r="K604" s="18" t="n"/>
      <c r="L604" s="18" t="n"/>
      <c r="M604" s="19">
        <f>IF(K604="","",K604*365/12*L604)</f>
        <v/>
      </c>
      <c r="N604" s="18" t="n"/>
      <c r="O604" s="18" t="n"/>
      <c r="P604" s="18" t="n"/>
      <c r="Q604" s="18" t="n"/>
      <c r="R604" s="10" t="n"/>
      <c r="S604" s="17" t="n"/>
      <c r="T604" s="18" t="n"/>
      <c r="U604" s="17" t="n"/>
      <c r="V604" s="17" t="n"/>
      <c r="W604" s="18" t="n"/>
      <c r="X604" s="18" t="n"/>
      <c r="Y604" s="17" t="n"/>
      <c r="Z604" s="10" t="n"/>
      <c r="AA604" s="10" t="n"/>
      <c r="AB604" s="19">
        <f>IF(LEN(A604)&gt;0,1,0)</f>
        <v/>
      </c>
      <c r="AC604" s="19">
        <f>IF(LEN(A604)=0,0,(LEN(B604)=0)+(LEN(C604)=0)+(LEN(D604)=0)+(LEN(E604)=0)+(LEN(F604)=0)+(LEN(G604)=0)+(LEN(H604)=0)+(LEN(I604)=0)+(LEN(J604)=0)+(LEN(K604)=0)+(LEN(L604)=0)+(LEN(N604)=0)+(LEN(O604)=0)+(LEN(P604)=0)+(LEN(R604)=0)+(LEN(AA604)=0))</f>
        <v/>
      </c>
      <c r="AD604" s="19">
        <f>IF(OR(LEN(A604)=0,LEN(C604)=0),0,IF(OR(C604&lt;1,C604&gt;5),1,0))</f>
        <v/>
      </c>
      <c r="AE604" s="19">
        <f>IF(OR(LEN(A604)=0,LEN(R604)=0),0,IF(OR(R604="Active",R604="Paid off",R604="Defaulted",R604="Repossessed",R604="Written off",R604="Restructured"),0,1))</f>
        <v/>
      </c>
      <c r="AF604" s="19">
        <f>IF(A604="",0,IF(N(J604)&gt;N(I604),1,0))</f>
        <v/>
      </c>
      <c r="AG604" s="19">
        <f>IF(A604="",0,IF(N(N604)&gt;N(M604)+1,1,0))</f>
        <v/>
      </c>
      <c r="AH604" s="19">
        <f>IF(A604="",0,IF(N(E604)&gt;N(B604),1,0))</f>
        <v/>
      </c>
      <c r="AI604" s="19">
        <f>IF(A604="",0,IF(AND(Z604="Full payment",N(N604)&lt;N(M604)-1),1,0))</f>
        <v/>
      </c>
      <c r="AJ604" s="19">
        <f>IF(A604="",0,IF(N(P604)&lt;0,1,0))</f>
        <v/>
      </c>
      <c r="AK604" s="19">
        <f>IF(A604="",0,IF(COUNTIF($A$7:$A$1006,A604)&gt;1,1,0))</f>
        <v/>
      </c>
    </row>
    <row r="605">
      <c r="A605" s="10" t="n"/>
      <c r="B605" s="17" t="n"/>
      <c r="C605" s="18" t="n"/>
      <c r="D605" s="10" t="n"/>
      <c r="E605" s="17" t="n"/>
      <c r="F605" s="10" t="n"/>
      <c r="G605" s="10" t="n"/>
      <c r="H605" s="10" t="n"/>
      <c r="I605" s="18" t="n"/>
      <c r="J605" s="18" t="n"/>
      <c r="K605" s="18" t="n"/>
      <c r="L605" s="18" t="n"/>
      <c r="M605" s="19">
        <f>IF(K605="","",K605*365/12*L605)</f>
        <v/>
      </c>
      <c r="N605" s="18" t="n"/>
      <c r="O605" s="18" t="n"/>
      <c r="P605" s="18" t="n"/>
      <c r="Q605" s="18" t="n"/>
      <c r="R605" s="10" t="n"/>
      <c r="S605" s="17" t="n"/>
      <c r="T605" s="18" t="n"/>
      <c r="U605" s="17" t="n"/>
      <c r="V605" s="17" t="n"/>
      <c r="W605" s="18" t="n"/>
      <c r="X605" s="18" t="n"/>
      <c r="Y605" s="17" t="n"/>
      <c r="Z605" s="10" t="n"/>
      <c r="AA605" s="10" t="n"/>
      <c r="AB605" s="19">
        <f>IF(LEN(A605)&gt;0,1,0)</f>
        <v/>
      </c>
      <c r="AC605" s="19">
        <f>IF(LEN(A605)=0,0,(LEN(B605)=0)+(LEN(C605)=0)+(LEN(D605)=0)+(LEN(E605)=0)+(LEN(F605)=0)+(LEN(G605)=0)+(LEN(H605)=0)+(LEN(I605)=0)+(LEN(J605)=0)+(LEN(K605)=0)+(LEN(L605)=0)+(LEN(N605)=0)+(LEN(O605)=0)+(LEN(P605)=0)+(LEN(R605)=0)+(LEN(AA605)=0))</f>
        <v/>
      </c>
      <c r="AD605" s="19">
        <f>IF(OR(LEN(A605)=0,LEN(C605)=0),0,IF(OR(C605&lt;1,C605&gt;5),1,0))</f>
        <v/>
      </c>
      <c r="AE605" s="19">
        <f>IF(OR(LEN(A605)=0,LEN(R605)=0),0,IF(OR(R605="Active",R605="Paid off",R605="Defaulted",R605="Repossessed",R605="Written off",R605="Restructured"),0,1))</f>
        <v/>
      </c>
      <c r="AF605" s="19">
        <f>IF(A605="",0,IF(N(J605)&gt;N(I605),1,0))</f>
        <v/>
      </c>
      <c r="AG605" s="19">
        <f>IF(A605="",0,IF(N(N605)&gt;N(M605)+1,1,0))</f>
        <v/>
      </c>
      <c r="AH605" s="19">
        <f>IF(A605="",0,IF(N(E605)&gt;N(B605),1,0))</f>
        <v/>
      </c>
      <c r="AI605" s="19">
        <f>IF(A605="",0,IF(AND(Z605="Full payment",N(N605)&lt;N(M605)-1),1,0))</f>
        <v/>
      </c>
      <c r="AJ605" s="19">
        <f>IF(A605="",0,IF(N(P605)&lt;0,1,0))</f>
        <v/>
      </c>
      <c r="AK605" s="19">
        <f>IF(A605="",0,IF(COUNTIF($A$7:$A$1006,A605)&gt;1,1,0))</f>
        <v/>
      </c>
    </row>
    <row r="606">
      <c r="A606" s="10" t="n"/>
      <c r="B606" s="17" t="n"/>
      <c r="C606" s="18" t="n"/>
      <c r="D606" s="10" t="n"/>
      <c r="E606" s="17" t="n"/>
      <c r="F606" s="10" t="n"/>
      <c r="G606" s="10" t="n"/>
      <c r="H606" s="10" t="n"/>
      <c r="I606" s="18" t="n"/>
      <c r="J606" s="18" t="n"/>
      <c r="K606" s="18" t="n"/>
      <c r="L606" s="18" t="n"/>
      <c r="M606" s="19">
        <f>IF(K606="","",K606*365/12*L606)</f>
        <v/>
      </c>
      <c r="N606" s="18" t="n"/>
      <c r="O606" s="18" t="n"/>
      <c r="P606" s="18" t="n"/>
      <c r="Q606" s="18" t="n"/>
      <c r="R606" s="10" t="n"/>
      <c r="S606" s="17" t="n"/>
      <c r="T606" s="18" t="n"/>
      <c r="U606" s="17" t="n"/>
      <c r="V606" s="17" t="n"/>
      <c r="W606" s="18" t="n"/>
      <c r="X606" s="18" t="n"/>
      <c r="Y606" s="17" t="n"/>
      <c r="Z606" s="10" t="n"/>
      <c r="AA606" s="10" t="n"/>
      <c r="AB606" s="19">
        <f>IF(LEN(A606)&gt;0,1,0)</f>
        <v/>
      </c>
      <c r="AC606" s="19">
        <f>IF(LEN(A606)=0,0,(LEN(B606)=0)+(LEN(C606)=0)+(LEN(D606)=0)+(LEN(E606)=0)+(LEN(F606)=0)+(LEN(G606)=0)+(LEN(H606)=0)+(LEN(I606)=0)+(LEN(J606)=0)+(LEN(K606)=0)+(LEN(L606)=0)+(LEN(N606)=0)+(LEN(O606)=0)+(LEN(P606)=0)+(LEN(R606)=0)+(LEN(AA606)=0))</f>
        <v/>
      </c>
      <c r="AD606" s="19">
        <f>IF(OR(LEN(A606)=0,LEN(C606)=0),0,IF(OR(C606&lt;1,C606&gt;5),1,0))</f>
        <v/>
      </c>
      <c r="AE606" s="19">
        <f>IF(OR(LEN(A606)=0,LEN(R606)=0),0,IF(OR(R606="Active",R606="Paid off",R606="Defaulted",R606="Repossessed",R606="Written off",R606="Restructured"),0,1))</f>
        <v/>
      </c>
      <c r="AF606" s="19">
        <f>IF(A606="",0,IF(N(J606)&gt;N(I606),1,0))</f>
        <v/>
      </c>
      <c r="AG606" s="19">
        <f>IF(A606="",0,IF(N(N606)&gt;N(M606)+1,1,0))</f>
        <v/>
      </c>
      <c r="AH606" s="19">
        <f>IF(A606="",0,IF(N(E606)&gt;N(B606),1,0))</f>
        <v/>
      </c>
      <c r="AI606" s="19">
        <f>IF(A606="",0,IF(AND(Z606="Full payment",N(N606)&lt;N(M606)-1),1,0))</f>
        <v/>
      </c>
      <c r="AJ606" s="19">
        <f>IF(A606="",0,IF(N(P606)&lt;0,1,0))</f>
        <v/>
      </c>
      <c r="AK606" s="19">
        <f>IF(A606="",0,IF(COUNTIF($A$7:$A$1006,A606)&gt;1,1,0))</f>
        <v/>
      </c>
    </row>
    <row r="607">
      <c r="A607" s="10" t="n"/>
      <c r="B607" s="17" t="n"/>
      <c r="C607" s="18" t="n"/>
      <c r="D607" s="10" t="n"/>
      <c r="E607" s="17" t="n"/>
      <c r="F607" s="10" t="n"/>
      <c r="G607" s="10" t="n"/>
      <c r="H607" s="10" t="n"/>
      <c r="I607" s="18" t="n"/>
      <c r="J607" s="18" t="n"/>
      <c r="K607" s="18" t="n"/>
      <c r="L607" s="18" t="n"/>
      <c r="M607" s="19">
        <f>IF(K607="","",K607*365/12*L607)</f>
        <v/>
      </c>
      <c r="N607" s="18" t="n"/>
      <c r="O607" s="18" t="n"/>
      <c r="P607" s="18" t="n"/>
      <c r="Q607" s="18" t="n"/>
      <c r="R607" s="10" t="n"/>
      <c r="S607" s="17" t="n"/>
      <c r="T607" s="18" t="n"/>
      <c r="U607" s="17" t="n"/>
      <c r="V607" s="17" t="n"/>
      <c r="W607" s="18" t="n"/>
      <c r="X607" s="18" t="n"/>
      <c r="Y607" s="17" t="n"/>
      <c r="Z607" s="10" t="n"/>
      <c r="AA607" s="10" t="n"/>
      <c r="AB607" s="19">
        <f>IF(LEN(A607)&gt;0,1,0)</f>
        <v/>
      </c>
      <c r="AC607" s="19">
        <f>IF(LEN(A607)=0,0,(LEN(B607)=0)+(LEN(C607)=0)+(LEN(D607)=0)+(LEN(E607)=0)+(LEN(F607)=0)+(LEN(G607)=0)+(LEN(H607)=0)+(LEN(I607)=0)+(LEN(J607)=0)+(LEN(K607)=0)+(LEN(L607)=0)+(LEN(N607)=0)+(LEN(O607)=0)+(LEN(P607)=0)+(LEN(R607)=0)+(LEN(AA607)=0))</f>
        <v/>
      </c>
      <c r="AD607" s="19">
        <f>IF(OR(LEN(A607)=0,LEN(C607)=0),0,IF(OR(C607&lt;1,C607&gt;5),1,0))</f>
        <v/>
      </c>
      <c r="AE607" s="19">
        <f>IF(OR(LEN(A607)=0,LEN(R607)=0),0,IF(OR(R607="Active",R607="Paid off",R607="Defaulted",R607="Repossessed",R607="Written off",R607="Restructured"),0,1))</f>
        <v/>
      </c>
      <c r="AF607" s="19">
        <f>IF(A607="",0,IF(N(J607)&gt;N(I607),1,0))</f>
        <v/>
      </c>
      <c r="AG607" s="19">
        <f>IF(A607="",0,IF(N(N607)&gt;N(M607)+1,1,0))</f>
        <v/>
      </c>
      <c r="AH607" s="19">
        <f>IF(A607="",0,IF(N(E607)&gt;N(B607),1,0))</f>
        <v/>
      </c>
      <c r="AI607" s="19">
        <f>IF(A607="",0,IF(AND(Z607="Full payment",N(N607)&lt;N(M607)-1),1,0))</f>
        <v/>
      </c>
      <c r="AJ607" s="19">
        <f>IF(A607="",0,IF(N(P607)&lt;0,1,0))</f>
        <v/>
      </c>
      <c r="AK607" s="19">
        <f>IF(A607="",0,IF(COUNTIF($A$7:$A$1006,A607)&gt;1,1,0))</f>
        <v/>
      </c>
    </row>
    <row r="608">
      <c r="A608" s="10" t="n"/>
      <c r="B608" s="17" t="n"/>
      <c r="C608" s="18" t="n"/>
      <c r="D608" s="10" t="n"/>
      <c r="E608" s="17" t="n"/>
      <c r="F608" s="10" t="n"/>
      <c r="G608" s="10" t="n"/>
      <c r="H608" s="10" t="n"/>
      <c r="I608" s="18" t="n"/>
      <c r="J608" s="18" t="n"/>
      <c r="K608" s="18" t="n"/>
      <c r="L608" s="18" t="n"/>
      <c r="M608" s="19">
        <f>IF(K608="","",K608*365/12*L608)</f>
        <v/>
      </c>
      <c r="N608" s="18" t="n"/>
      <c r="O608" s="18" t="n"/>
      <c r="P608" s="18" t="n"/>
      <c r="Q608" s="18" t="n"/>
      <c r="R608" s="10" t="n"/>
      <c r="S608" s="17" t="n"/>
      <c r="T608" s="18" t="n"/>
      <c r="U608" s="17" t="n"/>
      <c r="V608" s="17" t="n"/>
      <c r="W608" s="18" t="n"/>
      <c r="X608" s="18" t="n"/>
      <c r="Y608" s="17" t="n"/>
      <c r="Z608" s="10" t="n"/>
      <c r="AA608" s="10" t="n"/>
      <c r="AB608" s="19">
        <f>IF(LEN(A608)&gt;0,1,0)</f>
        <v/>
      </c>
      <c r="AC608" s="19">
        <f>IF(LEN(A608)=0,0,(LEN(B608)=0)+(LEN(C608)=0)+(LEN(D608)=0)+(LEN(E608)=0)+(LEN(F608)=0)+(LEN(G608)=0)+(LEN(H608)=0)+(LEN(I608)=0)+(LEN(J608)=0)+(LEN(K608)=0)+(LEN(L608)=0)+(LEN(N608)=0)+(LEN(O608)=0)+(LEN(P608)=0)+(LEN(R608)=0)+(LEN(AA608)=0))</f>
        <v/>
      </c>
      <c r="AD608" s="19">
        <f>IF(OR(LEN(A608)=0,LEN(C608)=0),0,IF(OR(C608&lt;1,C608&gt;5),1,0))</f>
        <v/>
      </c>
      <c r="AE608" s="19">
        <f>IF(OR(LEN(A608)=0,LEN(R608)=0),0,IF(OR(R608="Active",R608="Paid off",R608="Defaulted",R608="Repossessed",R608="Written off",R608="Restructured"),0,1))</f>
        <v/>
      </c>
      <c r="AF608" s="19">
        <f>IF(A608="",0,IF(N(J608)&gt;N(I608),1,0))</f>
        <v/>
      </c>
      <c r="AG608" s="19">
        <f>IF(A608="",0,IF(N(N608)&gt;N(M608)+1,1,0))</f>
        <v/>
      </c>
      <c r="AH608" s="19">
        <f>IF(A608="",0,IF(N(E608)&gt;N(B608),1,0))</f>
        <v/>
      </c>
      <c r="AI608" s="19">
        <f>IF(A608="",0,IF(AND(Z608="Full payment",N(N608)&lt;N(M608)-1),1,0))</f>
        <v/>
      </c>
      <c r="AJ608" s="19">
        <f>IF(A608="",0,IF(N(P608)&lt;0,1,0))</f>
        <v/>
      </c>
      <c r="AK608" s="19">
        <f>IF(A608="",0,IF(COUNTIF($A$7:$A$1006,A608)&gt;1,1,0))</f>
        <v/>
      </c>
    </row>
    <row r="609">
      <c r="A609" s="10" t="n"/>
      <c r="B609" s="17" t="n"/>
      <c r="C609" s="18" t="n"/>
      <c r="D609" s="10" t="n"/>
      <c r="E609" s="17" t="n"/>
      <c r="F609" s="10" t="n"/>
      <c r="G609" s="10" t="n"/>
      <c r="H609" s="10" t="n"/>
      <c r="I609" s="18" t="n"/>
      <c r="J609" s="18" t="n"/>
      <c r="K609" s="18" t="n"/>
      <c r="L609" s="18" t="n"/>
      <c r="M609" s="19">
        <f>IF(K609="","",K609*365/12*L609)</f>
        <v/>
      </c>
      <c r="N609" s="18" t="n"/>
      <c r="O609" s="18" t="n"/>
      <c r="P609" s="18" t="n"/>
      <c r="Q609" s="18" t="n"/>
      <c r="R609" s="10" t="n"/>
      <c r="S609" s="17" t="n"/>
      <c r="T609" s="18" t="n"/>
      <c r="U609" s="17" t="n"/>
      <c r="V609" s="17" t="n"/>
      <c r="W609" s="18" t="n"/>
      <c r="X609" s="18" t="n"/>
      <c r="Y609" s="17" t="n"/>
      <c r="Z609" s="10" t="n"/>
      <c r="AA609" s="10" t="n"/>
      <c r="AB609" s="19">
        <f>IF(LEN(A609)&gt;0,1,0)</f>
        <v/>
      </c>
      <c r="AC609" s="19">
        <f>IF(LEN(A609)=0,0,(LEN(B609)=0)+(LEN(C609)=0)+(LEN(D609)=0)+(LEN(E609)=0)+(LEN(F609)=0)+(LEN(G609)=0)+(LEN(H609)=0)+(LEN(I609)=0)+(LEN(J609)=0)+(LEN(K609)=0)+(LEN(L609)=0)+(LEN(N609)=0)+(LEN(O609)=0)+(LEN(P609)=0)+(LEN(R609)=0)+(LEN(AA609)=0))</f>
        <v/>
      </c>
      <c r="AD609" s="19">
        <f>IF(OR(LEN(A609)=0,LEN(C609)=0),0,IF(OR(C609&lt;1,C609&gt;5),1,0))</f>
        <v/>
      </c>
      <c r="AE609" s="19">
        <f>IF(OR(LEN(A609)=0,LEN(R609)=0),0,IF(OR(R609="Active",R609="Paid off",R609="Defaulted",R609="Repossessed",R609="Written off",R609="Restructured"),0,1))</f>
        <v/>
      </c>
      <c r="AF609" s="19">
        <f>IF(A609="",0,IF(N(J609)&gt;N(I609),1,0))</f>
        <v/>
      </c>
      <c r="AG609" s="19">
        <f>IF(A609="",0,IF(N(N609)&gt;N(M609)+1,1,0))</f>
        <v/>
      </c>
      <c r="AH609" s="19">
        <f>IF(A609="",0,IF(N(E609)&gt;N(B609),1,0))</f>
        <v/>
      </c>
      <c r="AI609" s="19">
        <f>IF(A609="",0,IF(AND(Z609="Full payment",N(N609)&lt;N(M609)-1),1,0))</f>
        <v/>
      </c>
      <c r="AJ609" s="19">
        <f>IF(A609="",0,IF(N(P609)&lt;0,1,0))</f>
        <v/>
      </c>
      <c r="AK609" s="19">
        <f>IF(A609="",0,IF(COUNTIF($A$7:$A$1006,A609)&gt;1,1,0))</f>
        <v/>
      </c>
    </row>
    <row r="610">
      <c r="A610" s="10" t="n"/>
      <c r="B610" s="17" t="n"/>
      <c r="C610" s="18" t="n"/>
      <c r="D610" s="10" t="n"/>
      <c r="E610" s="17" t="n"/>
      <c r="F610" s="10" t="n"/>
      <c r="G610" s="10" t="n"/>
      <c r="H610" s="10" t="n"/>
      <c r="I610" s="18" t="n"/>
      <c r="J610" s="18" t="n"/>
      <c r="K610" s="18" t="n"/>
      <c r="L610" s="18" t="n"/>
      <c r="M610" s="19">
        <f>IF(K610="","",K610*365/12*L610)</f>
        <v/>
      </c>
      <c r="N610" s="18" t="n"/>
      <c r="O610" s="18" t="n"/>
      <c r="P610" s="18" t="n"/>
      <c r="Q610" s="18" t="n"/>
      <c r="R610" s="10" t="n"/>
      <c r="S610" s="17" t="n"/>
      <c r="T610" s="18" t="n"/>
      <c r="U610" s="17" t="n"/>
      <c r="V610" s="17" t="n"/>
      <c r="W610" s="18" t="n"/>
      <c r="X610" s="18" t="n"/>
      <c r="Y610" s="17" t="n"/>
      <c r="Z610" s="10" t="n"/>
      <c r="AA610" s="10" t="n"/>
      <c r="AB610" s="19">
        <f>IF(LEN(A610)&gt;0,1,0)</f>
        <v/>
      </c>
      <c r="AC610" s="19">
        <f>IF(LEN(A610)=0,0,(LEN(B610)=0)+(LEN(C610)=0)+(LEN(D610)=0)+(LEN(E610)=0)+(LEN(F610)=0)+(LEN(G610)=0)+(LEN(H610)=0)+(LEN(I610)=0)+(LEN(J610)=0)+(LEN(K610)=0)+(LEN(L610)=0)+(LEN(N610)=0)+(LEN(O610)=0)+(LEN(P610)=0)+(LEN(R610)=0)+(LEN(AA610)=0))</f>
        <v/>
      </c>
      <c r="AD610" s="19">
        <f>IF(OR(LEN(A610)=0,LEN(C610)=0),0,IF(OR(C610&lt;1,C610&gt;5),1,0))</f>
        <v/>
      </c>
      <c r="AE610" s="19">
        <f>IF(OR(LEN(A610)=0,LEN(R610)=0),0,IF(OR(R610="Active",R610="Paid off",R610="Defaulted",R610="Repossessed",R610="Written off",R610="Restructured"),0,1))</f>
        <v/>
      </c>
      <c r="AF610" s="19">
        <f>IF(A610="",0,IF(N(J610)&gt;N(I610),1,0))</f>
        <v/>
      </c>
      <c r="AG610" s="19">
        <f>IF(A610="",0,IF(N(N610)&gt;N(M610)+1,1,0))</f>
        <v/>
      </c>
      <c r="AH610" s="19">
        <f>IF(A610="",0,IF(N(E610)&gt;N(B610),1,0))</f>
        <v/>
      </c>
      <c r="AI610" s="19">
        <f>IF(A610="",0,IF(AND(Z610="Full payment",N(N610)&lt;N(M610)-1),1,0))</f>
        <v/>
      </c>
      <c r="AJ610" s="19">
        <f>IF(A610="",0,IF(N(P610)&lt;0,1,0))</f>
        <v/>
      </c>
      <c r="AK610" s="19">
        <f>IF(A610="",0,IF(COUNTIF($A$7:$A$1006,A610)&gt;1,1,0))</f>
        <v/>
      </c>
    </row>
    <row r="611">
      <c r="A611" s="10" t="n"/>
      <c r="B611" s="17" t="n"/>
      <c r="C611" s="18" t="n"/>
      <c r="D611" s="10" t="n"/>
      <c r="E611" s="17" t="n"/>
      <c r="F611" s="10" t="n"/>
      <c r="G611" s="10" t="n"/>
      <c r="H611" s="10" t="n"/>
      <c r="I611" s="18" t="n"/>
      <c r="J611" s="18" t="n"/>
      <c r="K611" s="18" t="n"/>
      <c r="L611" s="18" t="n"/>
      <c r="M611" s="19">
        <f>IF(K611="","",K611*365/12*L611)</f>
        <v/>
      </c>
      <c r="N611" s="18" t="n"/>
      <c r="O611" s="18" t="n"/>
      <c r="P611" s="18" t="n"/>
      <c r="Q611" s="18" t="n"/>
      <c r="R611" s="10" t="n"/>
      <c r="S611" s="17" t="n"/>
      <c r="T611" s="18" t="n"/>
      <c r="U611" s="17" t="n"/>
      <c r="V611" s="17" t="n"/>
      <c r="W611" s="18" t="n"/>
      <c r="X611" s="18" t="n"/>
      <c r="Y611" s="17" t="n"/>
      <c r="Z611" s="10" t="n"/>
      <c r="AA611" s="10" t="n"/>
      <c r="AB611" s="19">
        <f>IF(LEN(A611)&gt;0,1,0)</f>
        <v/>
      </c>
      <c r="AC611" s="19">
        <f>IF(LEN(A611)=0,0,(LEN(B611)=0)+(LEN(C611)=0)+(LEN(D611)=0)+(LEN(E611)=0)+(LEN(F611)=0)+(LEN(G611)=0)+(LEN(H611)=0)+(LEN(I611)=0)+(LEN(J611)=0)+(LEN(K611)=0)+(LEN(L611)=0)+(LEN(N611)=0)+(LEN(O611)=0)+(LEN(P611)=0)+(LEN(R611)=0)+(LEN(AA611)=0))</f>
        <v/>
      </c>
      <c r="AD611" s="19">
        <f>IF(OR(LEN(A611)=0,LEN(C611)=0),0,IF(OR(C611&lt;1,C611&gt;5),1,0))</f>
        <v/>
      </c>
      <c r="AE611" s="19">
        <f>IF(OR(LEN(A611)=0,LEN(R611)=0),0,IF(OR(R611="Active",R611="Paid off",R611="Defaulted",R611="Repossessed",R611="Written off",R611="Restructured"),0,1))</f>
        <v/>
      </c>
      <c r="AF611" s="19">
        <f>IF(A611="",0,IF(N(J611)&gt;N(I611),1,0))</f>
        <v/>
      </c>
      <c r="AG611" s="19">
        <f>IF(A611="",0,IF(N(N611)&gt;N(M611)+1,1,0))</f>
        <v/>
      </c>
      <c r="AH611" s="19">
        <f>IF(A611="",0,IF(N(E611)&gt;N(B611),1,0))</f>
        <v/>
      </c>
      <c r="AI611" s="19">
        <f>IF(A611="",0,IF(AND(Z611="Full payment",N(N611)&lt;N(M611)-1),1,0))</f>
        <v/>
      </c>
      <c r="AJ611" s="19">
        <f>IF(A611="",0,IF(N(P611)&lt;0,1,0))</f>
        <v/>
      </c>
      <c r="AK611" s="19">
        <f>IF(A611="",0,IF(COUNTIF($A$7:$A$1006,A611)&gt;1,1,0))</f>
        <v/>
      </c>
    </row>
    <row r="612">
      <c r="A612" s="10" t="n"/>
      <c r="B612" s="17" t="n"/>
      <c r="C612" s="18" t="n"/>
      <c r="D612" s="10" t="n"/>
      <c r="E612" s="17" t="n"/>
      <c r="F612" s="10" t="n"/>
      <c r="G612" s="10" t="n"/>
      <c r="H612" s="10" t="n"/>
      <c r="I612" s="18" t="n"/>
      <c r="J612" s="18" t="n"/>
      <c r="K612" s="18" t="n"/>
      <c r="L612" s="18" t="n"/>
      <c r="M612" s="19">
        <f>IF(K612="","",K612*365/12*L612)</f>
        <v/>
      </c>
      <c r="N612" s="18" t="n"/>
      <c r="O612" s="18" t="n"/>
      <c r="P612" s="18" t="n"/>
      <c r="Q612" s="18" t="n"/>
      <c r="R612" s="10" t="n"/>
      <c r="S612" s="17" t="n"/>
      <c r="T612" s="18" t="n"/>
      <c r="U612" s="17" t="n"/>
      <c r="V612" s="17" t="n"/>
      <c r="W612" s="18" t="n"/>
      <c r="X612" s="18" t="n"/>
      <c r="Y612" s="17" t="n"/>
      <c r="Z612" s="10" t="n"/>
      <c r="AA612" s="10" t="n"/>
      <c r="AB612" s="19">
        <f>IF(LEN(A612)&gt;0,1,0)</f>
        <v/>
      </c>
      <c r="AC612" s="19">
        <f>IF(LEN(A612)=0,0,(LEN(B612)=0)+(LEN(C612)=0)+(LEN(D612)=0)+(LEN(E612)=0)+(LEN(F612)=0)+(LEN(G612)=0)+(LEN(H612)=0)+(LEN(I612)=0)+(LEN(J612)=0)+(LEN(K612)=0)+(LEN(L612)=0)+(LEN(N612)=0)+(LEN(O612)=0)+(LEN(P612)=0)+(LEN(R612)=0)+(LEN(AA612)=0))</f>
        <v/>
      </c>
      <c r="AD612" s="19">
        <f>IF(OR(LEN(A612)=0,LEN(C612)=0),0,IF(OR(C612&lt;1,C612&gt;5),1,0))</f>
        <v/>
      </c>
      <c r="AE612" s="19">
        <f>IF(OR(LEN(A612)=0,LEN(R612)=0),0,IF(OR(R612="Active",R612="Paid off",R612="Defaulted",R612="Repossessed",R612="Written off",R612="Restructured"),0,1))</f>
        <v/>
      </c>
      <c r="AF612" s="19">
        <f>IF(A612="",0,IF(N(J612)&gt;N(I612),1,0))</f>
        <v/>
      </c>
      <c r="AG612" s="19">
        <f>IF(A612="",0,IF(N(N612)&gt;N(M612)+1,1,0))</f>
        <v/>
      </c>
      <c r="AH612" s="19">
        <f>IF(A612="",0,IF(N(E612)&gt;N(B612),1,0))</f>
        <v/>
      </c>
      <c r="AI612" s="19">
        <f>IF(A612="",0,IF(AND(Z612="Full payment",N(N612)&lt;N(M612)-1),1,0))</f>
        <v/>
      </c>
      <c r="AJ612" s="19">
        <f>IF(A612="",0,IF(N(P612)&lt;0,1,0))</f>
        <v/>
      </c>
      <c r="AK612" s="19">
        <f>IF(A612="",0,IF(COUNTIF($A$7:$A$1006,A612)&gt;1,1,0))</f>
        <v/>
      </c>
    </row>
    <row r="613">
      <c r="A613" s="10" t="n"/>
      <c r="B613" s="17" t="n"/>
      <c r="C613" s="18" t="n"/>
      <c r="D613" s="10" t="n"/>
      <c r="E613" s="17" t="n"/>
      <c r="F613" s="10" t="n"/>
      <c r="G613" s="10" t="n"/>
      <c r="H613" s="10" t="n"/>
      <c r="I613" s="18" t="n"/>
      <c r="J613" s="18" t="n"/>
      <c r="K613" s="18" t="n"/>
      <c r="L613" s="18" t="n"/>
      <c r="M613" s="19">
        <f>IF(K613="","",K613*365/12*L613)</f>
        <v/>
      </c>
      <c r="N613" s="18" t="n"/>
      <c r="O613" s="18" t="n"/>
      <c r="P613" s="18" t="n"/>
      <c r="Q613" s="18" t="n"/>
      <c r="R613" s="10" t="n"/>
      <c r="S613" s="17" t="n"/>
      <c r="T613" s="18" t="n"/>
      <c r="U613" s="17" t="n"/>
      <c r="V613" s="17" t="n"/>
      <c r="W613" s="18" t="n"/>
      <c r="X613" s="18" t="n"/>
      <c r="Y613" s="17" t="n"/>
      <c r="Z613" s="10" t="n"/>
      <c r="AA613" s="10" t="n"/>
      <c r="AB613" s="19">
        <f>IF(LEN(A613)&gt;0,1,0)</f>
        <v/>
      </c>
      <c r="AC613" s="19">
        <f>IF(LEN(A613)=0,0,(LEN(B613)=0)+(LEN(C613)=0)+(LEN(D613)=0)+(LEN(E613)=0)+(LEN(F613)=0)+(LEN(G613)=0)+(LEN(H613)=0)+(LEN(I613)=0)+(LEN(J613)=0)+(LEN(K613)=0)+(LEN(L613)=0)+(LEN(N613)=0)+(LEN(O613)=0)+(LEN(P613)=0)+(LEN(R613)=0)+(LEN(AA613)=0))</f>
        <v/>
      </c>
      <c r="AD613" s="19">
        <f>IF(OR(LEN(A613)=0,LEN(C613)=0),0,IF(OR(C613&lt;1,C613&gt;5),1,0))</f>
        <v/>
      </c>
      <c r="AE613" s="19">
        <f>IF(OR(LEN(A613)=0,LEN(R613)=0),0,IF(OR(R613="Active",R613="Paid off",R613="Defaulted",R613="Repossessed",R613="Written off",R613="Restructured"),0,1))</f>
        <v/>
      </c>
      <c r="AF613" s="19">
        <f>IF(A613="",0,IF(N(J613)&gt;N(I613),1,0))</f>
        <v/>
      </c>
      <c r="AG613" s="19">
        <f>IF(A613="",0,IF(N(N613)&gt;N(M613)+1,1,0))</f>
        <v/>
      </c>
      <c r="AH613" s="19">
        <f>IF(A613="",0,IF(N(E613)&gt;N(B613),1,0))</f>
        <v/>
      </c>
      <c r="AI613" s="19">
        <f>IF(A613="",0,IF(AND(Z613="Full payment",N(N613)&lt;N(M613)-1),1,0))</f>
        <v/>
      </c>
      <c r="AJ613" s="19">
        <f>IF(A613="",0,IF(N(P613)&lt;0,1,0))</f>
        <v/>
      </c>
      <c r="AK613" s="19">
        <f>IF(A613="",0,IF(COUNTIF($A$7:$A$1006,A613)&gt;1,1,0))</f>
        <v/>
      </c>
    </row>
    <row r="614">
      <c r="A614" s="10" t="n"/>
      <c r="B614" s="17" t="n"/>
      <c r="C614" s="18" t="n"/>
      <c r="D614" s="10" t="n"/>
      <c r="E614" s="17" t="n"/>
      <c r="F614" s="10" t="n"/>
      <c r="G614" s="10" t="n"/>
      <c r="H614" s="10" t="n"/>
      <c r="I614" s="18" t="n"/>
      <c r="J614" s="18" t="n"/>
      <c r="K614" s="18" t="n"/>
      <c r="L614" s="18" t="n"/>
      <c r="M614" s="19">
        <f>IF(K614="","",K614*365/12*L614)</f>
        <v/>
      </c>
      <c r="N614" s="18" t="n"/>
      <c r="O614" s="18" t="n"/>
      <c r="P614" s="18" t="n"/>
      <c r="Q614" s="18" t="n"/>
      <c r="R614" s="10" t="n"/>
      <c r="S614" s="17" t="n"/>
      <c r="T614" s="18" t="n"/>
      <c r="U614" s="17" t="n"/>
      <c r="V614" s="17" t="n"/>
      <c r="W614" s="18" t="n"/>
      <c r="X614" s="18" t="n"/>
      <c r="Y614" s="17" t="n"/>
      <c r="Z614" s="10" t="n"/>
      <c r="AA614" s="10" t="n"/>
      <c r="AB614" s="19">
        <f>IF(LEN(A614)&gt;0,1,0)</f>
        <v/>
      </c>
      <c r="AC614" s="19">
        <f>IF(LEN(A614)=0,0,(LEN(B614)=0)+(LEN(C614)=0)+(LEN(D614)=0)+(LEN(E614)=0)+(LEN(F614)=0)+(LEN(G614)=0)+(LEN(H614)=0)+(LEN(I614)=0)+(LEN(J614)=0)+(LEN(K614)=0)+(LEN(L614)=0)+(LEN(N614)=0)+(LEN(O614)=0)+(LEN(P614)=0)+(LEN(R614)=0)+(LEN(AA614)=0))</f>
        <v/>
      </c>
      <c r="AD614" s="19">
        <f>IF(OR(LEN(A614)=0,LEN(C614)=0),0,IF(OR(C614&lt;1,C614&gt;5),1,0))</f>
        <v/>
      </c>
      <c r="AE614" s="19">
        <f>IF(OR(LEN(A614)=0,LEN(R614)=0),0,IF(OR(R614="Active",R614="Paid off",R614="Defaulted",R614="Repossessed",R614="Written off",R614="Restructured"),0,1))</f>
        <v/>
      </c>
      <c r="AF614" s="19">
        <f>IF(A614="",0,IF(N(J614)&gt;N(I614),1,0))</f>
        <v/>
      </c>
      <c r="AG614" s="19">
        <f>IF(A614="",0,IF(N(N614)&gt;N(M614)+1,1,0))</f>
        <v/>
      </c>
      <c r="AH614" s="19">
        <f>IF(A614="",0,IF(N(E614)&gt;N(B614),1,0))</f>
        <v/>
      </c>
      <c r="AI614" s="19">
        <f>IF(A614="",0,IF(AND(Z614="Full payment",N(N614)&lt;N(M614)-1),1,0))</f>
        <v/>
      </c>
      <c r="AJ614" s="19">
        <f>IF(A614="",0,IF(N(P614)&lt;0,1,0))</f>
        <v/>
      </c>
      <c r="AK614" s="19">
        <f>IF(A614="",0,IF(COUNTIF($A$7:$A$1006,A614)&gt;1,1,0))</f>
        <v/>
      </c>
    </row>
    <row r="615">
      <c r="A615" s="10" t="n"/>
      <c r="B615" s="17" t="n"/>
      <c r="C615" s="18" t="n"/>
      <c r="D615" s="10" t="n"/>
      <c r="E615" s="17" t="n"/>
      <c r="F615" s="10" t="n"/>
      <c r="G615" s="10" t="n"/>
      <c r="H615" s="10" t="n"/>
      <c r="I615" s="18" t="n"/>
      <c r="J615" s="18" t="n"/>
      <c r="K615" s="18" t="n"/>
      <c r="L615" s="18" t="n"/>
      <c r="M615" s="19">
        <f>IF(K615="","",K615*365/12*L615)</f>
        <v/>
      </c>
      <c r="N615" s="18" t="n"/>
      <c r="O615" s="18" t="n"/>
      <c r="P615" s="18" t="n"/>
      <c r="Q615" s="18" t="n"/>
      <c r="R615" s="10" t="n"/>
      <c r="S615" s="17" t="n"/>
      <c r="T615" s="18" t="n"/>
      <c r="U615" s="17" t="n"/>
      <c r="V615" s="17" t="n"/>
      <c r="W615" s="18" t="n"/>
      <c r="X615" s="18" t="n"/>
      <c r="Y615" s="17" t="n"/>
      <c r="Z615" s="10" t="n"/>
      <c r="AA615" s="10" t="n"/>
      <c r="AB615" s="19">
        <f>IF(LEN(A615)&gt;0,1,0)</f>
        <v/>
      </c>
      <c r="AC615" s="19">
        <f>IF(LEN(A615)=0,0,(LEN(B615)=0)+(LEN(C615)=0)+(LEN(D615)=0)+(LEN(E615)=0)+(LEN(F615)=0)+(LEN(G615)=0)+(LEN(H615)=0)+(LEN(I615)=0)+(LEN(J615)=0)+(LEN(K615)=0)+(LEN(L615)=0)+(LEN(N615)=0)+(LEN(O615)=0)+(LEN(P615)=0)+(LEN(R615)=0)+(LEN(AA615)=0))</f>
        <v/>
      </c>
      <c r="AD615" s="19">
        <f>IF(OR(LEN(A615)=0,LEN(C615)=0),0,IF(OR(C615&lt;1,C615&gt;5),1,0))</f>
        <v/>
      </c>
      <c r="AE615" s="19">
        <f>IF(OR(LEN(A615)=0,LEN(R615)=0),0,IF(OR(R615="Active",R615="Paid off",R615="Defaulted",R615="Repossessed",R615="Written off",R615="Restructured"),0,1))</f>
        <v/>
      </c>
      <c r="AF615" s="19">
        <f>IF(A615="",0,IF(N(J615)&gt;N(I615),1,0))</f>
        <v/>
      </c>
      <c r="AG615" s="19">
        <f>IF(A615="",0,IF(N(N615)&gt;N(M615)+1,1,0))</f>
        <v/>
      </c>
      <c r="AH615" s="19">
        <f>IF(A615="",0,IF(N(E615)&gt;N(B615),1,0))</f>
        <v/>
      </c>
      <c r="AI615" s="19">
        <f>IF(A615="",0,IF(AND(Z615="Full payment",N(N615)&lt;N(M615)-1),1,0))</f>
        <v/>
      </c>
      <c r="AJ615" s="19">
        <f>IF(A615="",0,IF(N(P615)&lt;0,1,0))</f>
        <v/>
      </c>
      <c r="AK615" s="19">
        <f>IF(A615="",0,IF(COUNTIF($A$7:$A$1006,A615)&gt;1,1,0))</f>
        <v/>
      </c>
    </row>
    <row r="616">
      <c r="A616" s="10" t="n"/>
      <c r="B616" s="17" t="n"/>
      <c r="C616" s="18" t="n"/>
      <c r="D616" s="10" t="n"/>
      <c r="E616" s="17" t="n"/>
      <c r="F616" s="10" t="n"/>
      <c r="G616" s="10" t="n"/>
      <c r="H616" s="10" t="n"/>
      <c r="I616" s="18" t="n"/>
      <c r="J616" s="18" t="n"/>
      <c r="K616" s="18" t="n"/>
      <c r="L616" s="18" t="n"/>
      <c r="M616" s="19">
        <f>IF(K616="","",K616*365/12*L616)</f>
        <v/>
      </c>
      <c r="N616" s="18" t="n"/>
      <c r="O616" s="18" t="n"/>
      <c r="P616" s="18" t="n"/>
      <c r="Q616" s="18" t="n"/>
      <c r="R616" s="10" t="n"/>
      <c r="S616" s="17" t="n"/>
      <c r="T616" s="18" t="n"/>
      <c r="U616" s="17" t="n"/>
      <c r="V616" s="17" t="n"/>
      <c r="W616" s="18" t="n"/>
      <c r="X616" s="18" t="n"/>
      <c r="Y616" s="17" t="n"/>
      <c r="Z616" s="10" t="n"/>
      <c r="AA616" s="10" t="n"/>
      <c r="AB616" s="19">
        <f>IF(LEN(A616)&gt;0,1,0)</f>
        <v/>
      </c>
      <c r="AC616" s="19">
        <f>IF(LEN(A616)=0,0,(LEN(B616)=0)+(LEN(C616)=0)+(LEN(D616)=0)+(LEN(E616)=0)+(LEN(F616)=0)+(LEN(G616)=0)+(LEN(H616)=0)+(LEN(I616)=0)+(LEN(J616)=0)+(LEN(K616)=0)+(LEN(L616)=0)+(LEN(N616)=0)+(LEN(O616)=0)+(LEN(P616)=0)+(LEN(R616)=0)+(LEN(AA616)=0))</f>
        <v/>
      </c>
      <c r="AD616" s="19">
        <f>IF(OR(LEN(A616)=0,LEN(C616)=0),0,IF(OR(C616&lt;1,C616&gt;5),1,0))</f>
        <v/>
      </c>
      <c r="AE616" s="19">
        <f>IF(OR(LEN(A616)=0,LEN(R616)=0),0,IF(OR(R616="Active",R616="Paid off",R616="Defaulted",R616="Repossessed",R616="Written off",R616="Restructured"),0,1))</f>
        <v/>
      </c>
      <c r="AF616" s="19">
        <f>IF(A616="",0,IF(N(J616)&gt;N(I616),1,0))</f>
        <v/>
      </c>
      <c r="AG616" s="19">
        <f>IF(A616="",0,IF(N(N616)&gt;N(M616)+1,1,0))</f>
        <v/>
      </c>
      <c r="AH616" s="19">
        <f>IF(A616="",0,IF(N(E616)&gt;N(B616),1,0))</f>
        <v/>
      </c>
      <c r="AI616" s="19">
        <f>IF(A616="",0,IF(AND(Z616="Full payment",N(N616)&lt;N(M616)-1),1,0))</f>
        <v/>
      </c>
      <c r="AJ616" s="19">
        <f>IF(A616="",0,IF(N(P616)&lt;0,1,0))</f>
        <v/>
      </c>
      <c r="AK616" s="19">
        <f>IF(A616="",0,IF(COUNTIF($A$7:$A$1006,A616)&gt;1,1,0))</f>
        <v/>
      </c>
    </row>
    <row r="617">
      <c r="A617" s="10" t="n"/>
      <c r="B617" s="17" t="n"/>
      <c r="C617" s="18" t="n"/>
      <c r="D617" s="10" t="n"/>
      <c r="E617" s="17" t="n"/>
      <c r="F617" s="10" t="n"/>
      <c r="G617" s="10" t="n"/>
      <c r="H617" s="10" t="n"/>
      <c r="I617" s="18" t="n"/>
      <c r="J617" s="18" t="n"/>
      <c r="K617" s="18" t="n"/>
      <c r="L617" s="18" t="n"/>
      <c r="M617" s="19">
        <f>IF(K617="","",K617*365/12*L617)</f>
        <v/>
      </c>
      <c r="N617" s="18" t="n"/>
      <c r="O617" s="18" t="n"/>
      <c r="P617" s="18" t="n"/>
      <c r="Q617" s="18" t="n"/>
      <c r="R617" s="10" t="n"/>
      <c r="S617" s="17" t="n"/>
      <c r="T617" s="18" t="n"/>
      <c r="U617" s="17" t="n"/>
      <c r="V617" s="17" t="n"/>
      <c r="W617" s="18" t="n"/>
      <c r="X617" s="18" t="n"/>
      <c r="Y617" s="17" t="n"/>
      <c r="Z617" s="10" t="n"/>
      <c r="AA617" s="10" t="n"/>
      <c r="AB617" s="19">
        <f>IF(LEN(A617)&gt;0,1,0)</f>
        <v/>
      </c>
      <c r="AC617" s="19">
        <f>IF(LEN(A617)=0,0,(LEN(B617)=0)+(LEN(C617)=0)+(LEN(D617)=0)+(LEN(E617)=0)+(LEN(F617)=0)+(LEN(G617)=0)+(LEN(H617)=0)+(LEN(I617)=0)+(LEN(J617)=0)+(LEN(K617)=0)+(LEN(L617)=0)+(LEN(N617)=0)+(LEN(O617)=0)+(LEN(P617)=0)+(LEN(R617)=0)+(LEN(AA617)=0))</f>
        <v/>
      </c>
      <c r="AD617" s="19">
        <f>IF(OR(LEN(A617)=0,LEN(C617)=0),0,IF(OR(C617&lt;1,C617&gt;5),1,0))</f>
        <v/>
      </c>
      <c r="AE617" s="19">
        <f>IF(OR(LEN(A617)=0,LEN(R617)=0),0,IF(OR(R617="Active",R617="Paid off",R617="Defaulted",R617="Repossessed",R617="Written off",R617="Restructured"),0,1))</f>
        <v/>
      </c>
      <c r="AF617" s="19">
        <f>IF(A617="",0,IF(N(J617)&gt;N(I617),1,0))</f>
        <v/>
      </c>
      <c r="AG617" s="19">
        <f>IF(A617="",0,IF(N(N617)&gt;N(M617)+1,1,0))</f>
        <v/>
      </c>
      <c r="AH617" s="19">
        <f>IF(A617="",0,IF(N(E617)&gt;N(B617),1,0))</f>
        <v/>
      </c>
      <c r="AI617" s="19">
        <f>IF(A617="",0,IF(AND(Z617="Full payment",N(N617)&lt;N(M617)-1),1,0))</f>
        <v/>
      </c>
      <c r="AJ617" s="19">
        <f>IF(A617="",0,IF(N(P617)&lt;0,1,0))</f>
        <v/>
      </c>
      <c r="AK617" s="19">
        <f>IF(A617="",0,IF(COUNTIF($A$7:$A$1006,A617)&gt;1,1,0))</f>
        <v/>
      </c>
    </row>
    <row r="618">
      <c r="A618" s="10" t="n"/>
      <c r="B618" s="17" t="n"/>
      <c r="C618" s="18" t="n"/>
      <c r="D618" s="10" t="n"/>
      <c r="E618" s="17" t="n"/>
      <c r="F618" s="10" t="n"/>
      <c r="G618" s="10" t="n"/>
      <c r="H618" s="10" t="n"/>
      <c r="I618" s="18" t="n"/>
      <c r="J618" s="18" t="n"/>
      <c r="K618" s="18" t="n"/>
      <c r="L618" s="18" t="n"/>
      <c r="M618" s="19">
        <f>IF(K618="","",K618*365/12*L618)</f>
        <v/>
      </c>
      <c r="N618" s="18" t="n"/>
      <c r="O618" s="18" t="n"/>
      <c r="P618" s="18" t="n"/>
      <c r="Q618" s="18" t="n"/>
      <c r="R618" s="10" t="n"/>
      <c r="S618" s="17" t="n"/>
      <c r="T618" s="18" t="n"/>
      <c r="U618" s="17" t="n"/>
      <c r="V618" s="17" t="n"/>
      <c r="W618" s="18" t="n"/>
      <c r="X618" s="18" t="n"/>
      <c r="Y618" s="17" t="n"/>
      <c r="Z618" s="10" t="n"/>
      <c r="AA618" s="10" t="n"/>
      <c r="AB618" s="19">
        <f>IF(LEN(A618)&gt;0,1,0)</f>
        <v/>
      </c>
      <c r="AC618" s="19">
        <f>IF(LEN(A618)=0,0,(LEN(B618)=0)+(LEN(C618)=0)+(LEN(D618)=0)+(LEN(E618)=0)+(LEN(F618)=0)+(LEN(G618)=0)+(LEN(H618)=0)+(LEN(I618)=0)+(LEN(J618)=0)+(LEN(K618)=0)+(LEN(L618)=0)+(LEN(N618)=0)+(LEN(O618)=0)+(LEN(P618)=0)+(LEN(R618)=0)+(LEN(AA618)=0))</f>
        <v/>
      </c>
      <c r="AD618" s="19">
        <f>IF(OR(LEN(A618)=0,LEN(C618)=0),0,IF(OR(C618&lt;1,C618&gt;5),1,0))</f>
        <v/>
      </c>
      <c r="AE618" s="19">
        <f>IF(OR(LEN(A618)=0,LEN(R618)=0),0,IF(OR(R618="Active",R618="Paid off",R618="Defaulted",R618="Repossessed",R618="Written off",R618="Restructured"),0,1))</f>
        <v/>
      </c>
      <c r="AF618" s="19">
        <f>IF(A618="",0,IF(N(J618)&gt;N(I618),1,0))</f>
        <v/>
      </c>
      <c r="AG618" s="19">
        <f>IF(A618="",0,IF(N(N618)&gt;N(M618)+1,1,0))</f>
        <v/>
      </c>
      <c r="AH618" s="19">
        <f>IF(A618="",0,IF(N(E618)&gt;N(B618),1,0))</f>
        <v/>
      </c>
      <c r="AI618" s="19">
        <f>IF(A618="",0,IF(AND(Z618="Full payment",N(N618)&lt;N(M618)-1),1,0))</f>
        <v/>
      </c>
      <c r="AJ618" s="19">
        <f>IF(A618="",0,IF(N(P618)&lt;0,1,0))</f>
        <v/>
      </c>
      <c r="AK618" s="19">
        <f>IF(A618="",0,IF(COUNTIF($A$7:$A$1006,A618)&gt;1,1,0))</f>
        <v/>
      </c>
    </row>
    <row r="619">
      <c r="A619" s="10" t="n"/>
      <c r="B619" s="17" t="n"/>
      <c r="C619" s="18" t="n"/>
      <c r="D619" s="10" t="n"/>
      <c r="E619" s="17" t="n"/>
      <c r="F619" s="10" t="n"/>
      <c r="G619" s="10" t="n"/>
      <c r="H619" s="10" t="n"/>
      <c r="I619" s="18" t="n"/>
      <c r="J619" s="18" t="n"/>
      <c r="K619" s="18" t="n"/>
      <c r="L619" s="18" t="n"/>
      <c r="M619" s="19">
        <f>IF(K619="","",K619*365/12*L619)</f>
        <v/>
      </c>
      <c r="N619" s="18" t="n"/>
      <c r="O619" s="18" t="n"/>
      <c r="P619" s="18" t="n"/>
      <c r="Q619" s="18" t="n"/>
      <c r="R619" s="10" t="n"/>
      <c r="S619" s="17" t="n"/>
      <c r="T619" s="18" t="n"/>
      <c r="U619" s="17" t="n"/>
      <c r="V619" s="17" t="n"/>
      <c r="W619" s="18" t="n"/>
      <c r="X619" s="18" t="n"/>
      <c r="Y619" s="17" t="n"/>
      <c r="Z619" s="10" t="n"/>
      <c r="AA619" s="10" t="n"/>
      <c r="AB619" s="19">
        <f>IF(LEN(A619)&gt;0,1,0)</f>
        <v/>
      </c>
      <c r="AC619" s="19">
        <f>IF(LEN(A619)=0,0,(LEN(B619)=0)+(LEN(C619)=0)+(LEN(D619)=0)+(LEN(E619)=0)+(LEN(F619)=0)+(LEN(G619)=0)+(LEN(H619)=0)+(LEN(I619)=0)+(LEN(J619)=0)+(LEN(K619)=0)+(LEN(L619)=0)+(LEN(N619)=0)+(LEN(O619)=0)+(LEN(P619)=0)+(LEN(R619)=0)+(LEN(AA619)=0))</f>
        <v/>
      </c>
      <c r="AD619" s="19">
        <f>IF(OR(LEN(A619)=0,LEN(C619)=0),0,IF(OR(C619&lt;1,C619&gt;5),1,0))</f>
        <v/>
      </c>
      <c r="AE619" s="19">
        <f>IF(OR(LEN(A619)=0,LEN(R619)=0),0,IF(OR(R619="Active",R619="Paid off",R619="Defaulted",R619="Repossessed",R619="Written off",R619="Restructured"),0,1))</f>
        <v/>
      </c>
      <c r="AF619" s="19">
        <f>IF(A619="",0,IF(N(J619)&gt;N(I619),1,0))</f>
        <v/>
      </c>
      <c r="AG619" s="19">
        <f>IF(A619="",0,IF(N(N619)&gt;N(M619)+1,1,0))</f>
        <v/>
      </c>
      <c r="AH619" s="19">
        <f>IF(A619="",0,IF(N(E619)&gt;N(B619),1,0))</f>
        <v/>
      </c>
      <c r="AI619" s="19">
        <f>IF(A619="",0,IF(AND(Z619="Full payment",N(N619)&lt;N(M619)-1),1,0))</f>
        <v/>
      </c>
      <c r="AJ619" s="19">
        <f>IF(A619="",0,IF(N(P619)&lt;0,1,0))</f>
        <v/>
      </c>
      <c r="AK619" s="19">
        <f>IF(A619="",0,IF(COUNTIF($A$7:$A$1006,A619)&gt;1,1,0))</f>
        <v/>
      </c>
    </row>
    <row r="620">
      <c r="A620" s="10" t="n"/>
      <c r="B620" s="17" t="n"/>
      <c r="C620" s="18" t="n"/>
      <c r="D620" s="10" t="n"/>
      <c r="E620" s="17" t="n"/>
      <c r="F620" s="10" t="n"/>
      <c r="G620" s="10" t="n"/>
      <c r="H620" s="10" t="n"/>
      <c r="I620" s="18" t="n"/>
      <c r="J620" s="18" t="n"/>
      <c r="K620" s="18" t="n"/>
      <c r="L620" s="18" t="n"/>
      <c r="M620" s="19">
        <f>IF(K620="","",K620*365/12*L620)</f>
        <v/>
      </c>
      <c r="N620" s="18" t="n"/>
      <c r="O620" s="18" t="n"/>
      <c r="P620" s="18" t="n"/>
      <c r="Q620" s="18" t="n"/>
      <c r="R620" s="10" t="n"/>
      <c r="S620" s="17" t="n"/>
      <c r="T620" s="18" t="n"/>
      <c r="U620" s="17" t="n"/>
      <c r="V620" s="17" t="n"/>
      <c r="W620" s="18" t="n"/>
      <c r="X620" s="18" t="n"/>
      <c r="Y620" s="17" t="n"/>
      <c r="Z620" s="10" t="n"/>
      <c r="AA620" s="10" t="n"/>
      <c r="AB620" s="19">
        <f>IF(LEN(A620)&gt;0,1,0)</f>
        <v/>
      </c>
      <c r="AC620" s="19">
        <f>IF(LEN(A620)=0,0,(LEN(B620)=0)+(LEN(C620)=0)+(LEN(D620)=0)+(LEN(E620)=0)+(LEN(F620)=0)+(LEN(G620)=0)+(LEN(H620)=0)+(LEN(I620)=0)+(LEN(J620)=0)+(LEN(K620)=0)+(LEN(L620)=0)+(LEN(N620)=0)+(LEN(O620)=0)+(LEN(P620)=0)+(LEN(R620)=0)+(LEN(AA620)=0))</f>
        <v/>
      </c>
      <c r="AD620" s="19">
        <f>IF(OR(LEN(A620)=0,LEN(C620)=0),0,IF(OR(C620&lt;1,C620&gt;5),1,0))</f>
        <v/>
      </c>
      <c r="AE620" s="19">
        <f>IF(OR(LEN(A620)=0,LEN(R620)=0),0,IF(OR(R620="Active",R620="Paid off",R620="Defaulted",R620="Repossessed",R620="Written off",R620="Restructured"),0,1))</f>
        <v/>
      </c>
      <c r="AF620" s="19">
        <f>IF(A620="",0,IF(N(J620)&gt;N(I620),1,0))</f>
        <v/>
      </c>
      <c r="AG620" s="19">
        <f>IF(A620="",0,IF(N(N620)&gt;N(M620)+1,1,0))</f>
        <v/>
      </c>
      <c r="AH620" s="19">
        <f>IF(A620="",0,IF(N(E620)&gt;N(B620),1,0))</f>
        <v/>
      </c>
      <c r="AI620" s="19">
        <f>IF(A620="",0,IF(AND(Z620="Full payment",N(N620)&lt;N(M620)-1),1,0))</f>
        <v/>
      </c>
      <c r="AJ620" s="19">
        <f>IF(A620="",0,IF(N(P620)&lt;0,1,0))</f>
        <v/>
      </c>
      <c r="AK620" s="19">
        <f>IF(A620="",0,IF(COUNTIF($A$7:$A$1006,A620)&gt;1,1,0))</f>
        <v/>
      </c>
    </row>
    <row r="621">
      <c r="A621" s="10" t="n"/>
      <c r="B621" s="17" t="n"/>
      <c r="C621" s="18" t="n"/>
      <c r="D621" s="10" t="n"/>
      <c r="E621" s="17" t="n"/>
      <c r="F621" s="10" t="n"/>
      <c r="G621" s="10" t="n"/>
      <c r="H621" s="10" t="n"/>
      <c r="I621" s="18" t="n"/>
      <c r="J621" s="18" t="n"/>
      <c r="K621" s="18" t="n"/>
      <c r="L621" s="18" t="n"/>
      <c r="M621" s="19">
        <f>IF(K621="","",K621*365/12*L621)</f>
        <v/>
      </c>
      <c r="N621" s="18" t="n"/>
      <c r="O621" s="18" t="n"/>
      <c r="P621" s="18" t="n"/>
      <c r="Q621" s="18" t="n"/>
      <c r="R621" s="10" t="n"/>
      <c r="S621" s="17" t="n"/>
      <c r="T621" s="18" t="n"/>
      <c r="U621" s="17" t="n"/>
      <c r="V621" s="17" t="n"/>
      <c r="W621" s="18" t="n"/>
      <c r="X621" s="18" t="n"/>
      <c r="Y621" s="17" t="n"/>
      <c r="Z621" s="10" t="n"/>
      <c r="AA621" s="10" t="n"/>
      <c r="AB621" s="19">
        <f>IF(LEN(A621)&gt;0,1,0)</f>
        <v/>
      </c>
      <c r="AC621" s="19">
        <f>IF(LEN(A621)=0,0,(LEN(B621)=0)+(LEN(C621)=0)+(LEN(D621)=0)+(LEN(E621)=0)+(LEN(F621)=0)+(LEN(G621)=0)+(LEN(H621)=0)+(LEN(I621)=0)+(LEN(J621)=0)+(LEN(K621)=0)+(LEN(L621)=0)+(LEN(N621)=0)+(LEN(O621)=0)+(LEN(P621)=0)+(LEN(R621)=0)+(LEN(AA621)=0))</f>
        <v/>
      </c>
      <c r="AD621" s="19">
        <f>IF(OR(LEN(A621)=0,LEN(C621)=0),0,IF(OR(C621&lt;1,C621&gt;5),1,0))</f>
        <v/>
      </c>
      <c r="AE621" s="19">
        <f>IF(OR(LEN(A621)=0,LEN(R621)=0),0,IF(OR(R621="Active",R621="Paid off",R621="Defaulted",R621="Repossessed",R621="Written off",R621="Restructured"),0,1))</f>
        <v/>
      </c>
      <c r="AF621" s="19">
        <f>IF(A621="",0,IF(N(J621)&gt;N(I621),1,0))</f>
        <v/>
      </c>
      <c r="AG621" s="19">
        <f>IF(A621="",0,IF(N(N621)&gt;N(M621)+1,1,0))</f>
        <v/>
      </c>
      <c r="AH621" s="19">
        <f>IF(A621="",0,IF(N(E621)&gt;N(B621),1,0))</f>
        <v/>
      </c>
      <c r="AI621" s="19">
        <f>IF(A621="",0,IF(AND(Z621="Full payment",N(N621)&lt;N(M621)-1),1,0))</f>
        <v/>
      </c>
      <c r="AJ621" s="19">
        <f>IF(A621="",0,IF(N(P621)&lt;0,1,0))</f>
        <v/>
      </c>
      <c r="AK621" s="19">
        <f>IF(A621="",0,IF(COUNTIF($A$7:$A$1006,A621)&gt;1,1,0))</f>
        <v/>
      </c>
    </row>
    <row r="622">
      <c r="A622" s="10" t="n"/>
      <c r="B622" s="17" t="n"/>
      <c r="C622" s="18" t="n"/>
      <c r="D622" s="10" t="n"/>
      <c r="E622" s="17" t="n"/>
      <c r="F622" s="10" t="n"/>
      <c r="G622" s="10" t="n"/>
      <c r="H622" s="10" t="n"/>
      <c r="I622" s="18" t="n"/>
      <c r="J622" s="18" t="n"/>
      <c r="K622" s="18" t="n"/>
      <c r="L622" s="18" t="n"/>
      <c r="M622" s="19">
        <f>IF(K622="","",K622*365/12*L622)</f>
        <v/>
      </c>
      <c r="N622" s="18" t="n"/>
      <c r="O622" s="18" t="n"/>
      <c r="P622" s="18" t="n"/>
      <c r="Q622" s="18" t="n"/>
      <c r="R622" s="10" t="n"/>
      <c r="S622" s="17" t="n"/>
      <c r="T622" s="18" t="n"/>
      <c r="U622" s="17" t="n"/>
      <c r="V622" s="17" t="n"/>
      <c r="W622" s="18" t="n"/>
      <c r="X622" s="18" t="n"/>
      <c r="Y622" s="17" t="n"/>
      <c r="Z622" s="10" t="n"/>
      <c r="AA622" s="10" t="n"/>
      <c r="AB622" s="19">
        <f>IF(LEN(A622)&gt;0,1,0)</f>
        <v/>
      </c>
      <c r="AC622" s="19">
        <f>IF(LEN(A622)=0,0,(LEN(B622)=0)+(LEN(C622)=0)+(LEN(D622)=0)+(LEN(E622)=0)+(LEN(F622)=0)+(LEN(G622)=0)+(LEN(H622)=0)+(LEN(I622)=0)+(LEN(J622)=0)+(LEN(K622)=0)+(LEN(L622)=0)+(LEN(N622)=0)+(LEN(O622)=0)+(LEN(P622)=0)+(LEN(R622)=0)+(LEN(AA622)=0))</f>
        <v/>
      </c>
      <c r="AD622" s="19">
        <f>IF(OR(LEN(A622)=0,LEN(C622)=0),0,IF(OR(C622&lt;1,C622&gt;5),1,0))</f>
        <v/>
      </c>
      <c r="AE622" s="19">
        <f>IF(OR(LEN(A622)=0,LEN(R622)=0),0,IF(OR(R622="Active",R622="Paid off",R622="Defaulted",R622="Repossessed",R622="Written off",R622="Restructured"),0,1))</f>
        <v/>
      </c>
      <c r="AF622" s="19">
        <f>IF(A622="",0,IF(N(J622)&gt;N(I622),1,0))</f>
        <v/>
      </c>
      <c r="AG622" s="19">
        <f>IF(A622="",0,IF(N(N622)&gt;N(M622)+1,1,0))</f>
        <v/>
      </c>
      <c r="AH622" s="19">
        <f>IF(A622="",0,IF(N(E622)&gt;N(B622),1,0))</f>
        <v/>
      </c>
      <c r="AI622" s="19">
        <f>IF(A622="",0,IF(AND(Z622="Full payment",N(N622)&lt;N(M622)-1),1,0))</f>
        <v/>
      </c>
      <c r="AJ622" s="19">
        <f>IF(A622="",0,IF(N(P622)&lt;0,1,0))</f>
        <v/>
      </c>
      <c r="AK622" s="19">
        <f>IF(A622="",0,IF(COUNTIF($A$7:$A$1006,A622)&gt;1,1,0))</f>
        <v/>
      </c>
    </row>
    <row r="623">
      <c r="A623" s="10" t="n"/>
      <c r="B623" s="17" t="n"/>
      <c r="C623" s="18" t="n"/>
      <c r="D623" s="10" t="n"/>
      <c r="E623" s="17" t="n"/>
      <c r="F623" s="10" t="n"/>
      <c r="G623" s="10" t="n"/>
      <c r="H623" s="10" t="n"/>
      <c r="I623" s="18" t="n"/>
      <c r="J623" s="18" t="n"/>
      <c r="K623" s="18" t="n"/>
      <c r="L623" s="18" t="n"/>
      <c r="M623" s="19">
        <f>IF(K623="","",K623*365/12*L623)</f>
        <v/>
      </c>
      <c r="N623" s="18" t="n"/>
      <c r="O623" s="18" t="n"/>
      <c r="P623" s="18" t="n"/>
      <c r="Q623" s="18" t="n"/>
      <c r="R623" s="10" t="n"/>
      <c r="S623" s="17" t="n"/>
      <c r="T623" s="18" t="n"/>
      <c r="U623" s="17" t="n"/>
      <c r="V623" s="17" t="n"/>
      <c r="W623" s="18" t="n"/>
      <c r="X623" s="18" t="n"/>
      <c r="Y623" s="17" t="n"/>
      <c r="Z623" s="10" t="n"/>
      <c r="AA623" s="10" t="n"/>
      <c r="AB623" s="19">
        <f>IF(LEN(A623)&gt;0,1,0)</f>
        <v/>
      </c>
      <c r="AC623" s="19">
        <f>IF(LEN(A623)=0,0,(LEN(B623)=0)+(LEN(C623)=0)+(LEN(D623)=0)+(LEN(E623)=0)+(LEN(F623)=0)+(LEN(G623)=0)+(LEN(H623)=0)+(LEN(I623)=0)+(LEN(J623)=0)+(LEN(K623)=0)+(LEN(L623)=0)+(LEN(N623)=0)+(LEN(O623)=0)+(LEN(P623)=0)+(LEN(R623)=0)+(LEN(AA623)=0))</f>
        <v/>
      </c>
      <c r="AD623" s="19">
        <f>IF(OR(LEN(A623)=0,LEN(C623)=0),0,IF(OR(C623&lt;1,C623&gt;5),1,0))</f>
        <v/>
      </c>
      <c r="AE623" s="19">
        <f>IF(OR(LEN(A623)=0,LEN(R623)=0),0,IF(OR(R623="Active",R623="Paid off",R623="Defaulted",R623="Repossessed",R623="Written off",R623="Restructured"),0,1))</f>
        <v/>
      </c>
      <c r="AF623" s="19">
        <f>IF(A623="",0,IF(N(J623)&gt;N(I623),1,0))</f>
        <v/>
      </c>
      <c r="AG623" s="19">
        <f>IF(A623="",0,IF(N(N623)&gt;N(M623)+1,1,0))</f>
        <v/>
      </c>
      <c r="AH623" s="19">
        <f>IF(A623="",0,IF(N(E623)&gt;N(B623),1,0))</f>
        <v/>
      </c>
      <c r="AI623" s="19">
        <f>IF(A623="",0,IF(AND(Z623="Full payment",N(N623)&lt;N(M623)-1),1,0))</f>
        <v/>
      </c>
      <c r="AJ623" s="19">
        <f>IF(A623="",0,IF(N(P623)&lt;0,1,0))</f>
        <v/>
      </c>
      <c r="AK623" s="19">
        <f>IF(A623="",0,IF(COUNTIF($A$7:$A$1006,A623)&gt;1,1,0))</f>
        <v/>
      </c>
    </row>
    <row r="624">
      <c r="A624" s="10" t="n"/>
      <c r="B624" s="17" t="n"/>
      <c r="C624" s="18" t="n"/>
      <c r="D624" s="10" t="n"/>
      <c r="E624" s="17" t="n"/>
      <c r="F624" s="10" t="n"/>
      <c r="G624" s="10" t="n"/>
      <c r="H624" s="10" t="n"/>
      <c r="I624" s="18" t="n"/>
      <c r="J624" s="18" t="n"/>
      <c r="K624" s="18" t="n"/>
      <c r="L624" s="18" t="n"/>
      <c r="M624" s="19">
        <f>IF(K624="","",K624*365/12*L624)</f>
        <v/>
      </c>
      <c r="N624" s="18" t="n"/>
      <c r="O624" s="18" t="n"/>
      <c r="P624" s="18" t="n"/>
      <c r="Q624" s="18" t="n"/>
      <c r="R624" s="10" t="n"/>
      <c r="S624" s="17" t="n"/>
      <c r="T624" s="18" t="n"/>
      <c r="U624" s="17" t="n"/>
      <c r="V624" s="17" t="n"/>
      <c r="W624" s="18" t="n"/>
      <c r="X624" s="18" t="n"/>
      <c r="Y624" s="17" t="n"/>
      <c r="Z624" s="10" t="n"/>
      <c r="AA624" s="10" t="n"/>
      <c r="AB624" s="19">
        <f>IF(LEN(A624)&gt;0,1,0)</f>
        <v/>
      </c>
      <c r="AC624" s="19">
        <f>IF(LEN(A624)=0,0,(LEN(B624)=0)+(LEN(C624)=0)+(LEN(D624)=0)+(LEN(E624)=0)+(LEN(F624)=0)+(LEN(G624)=0)+(LEN(H624)=0)+(LEN(I624)=0)+(LEN(J624)=0)+(LEN(K624)=0)+(LEN(L624)=0)+(LEN(N624)=0)+(LEN(O624)=0)+(LEN(P624)=0)+(LEN(R624)=0)+(LEN(AA624)=0))</f>
        <v/>
      </c>
      <c r="AD624" s="19">
        <f>IF(OR(LEN(A624)=0,LEN(C624)=0),0,IF(OR(C624&lt;1,C624&gt;5),1,0))</f>
        <v/>
      </c>
      <c r="AE624" s="19">
        <f>IF(OR(LEN(A624)=0,LEN(R624)=0),0,IF(OR(R624="Active",R624="Paid off",R624="Defaulted",R624="Repossessed",R624="Written off",R624="Restructured"),0,1))</f>
        <v/>
      </c>
      <c r="AF624" s="19">
        <f>IF(A624="",0,IF(N(J624)&gt;N(I624),1,0))</f>
        <v/>
      </c>
      <c r="AG624" s="19">
        <f>IF(A624="",0,IF(N(N624)&gt;N(M624)+1,1,0))</f>
        <v/>
      </c>
      <c r="AH624" s="19">
        <f>IF(A624="",0,IF(N(E624)&gt;N(B624),1,0))</f>
        <v/>
      </c>
      <c r="AI624" s="19">
        <f>IF(A624="",0,IF(AND(Z624="Full payment",N(N624)&lt;N(M624)-1),1,0))</f>
        <v/>
      </c>
      <c r="AJ624" s="19">
        <f>IF(A624="",0,IF(N(P624)&lt;0,1,0))</f>
        <v/>
      </c>
      <c r="AK624" s="19">
        <f>IF(A624="",0,IF(COUNTIF($A$7:$A$1006,A624)&gt;1,1,0))</f>
        <v/>
      </c>
    </row>
    <row r="625">
      <c r="A625" s="10" t="n"/>
      <c r="B625" s="17" t="n"/>
      <c r="C625" s="18" t="n"/>
      <c r="D625" s="10" t="n"/>
      <c r="E625" s="17" t="n"/>
      <c r="F625" s="10" t="n"/>
      <c r="G625" s="10" t="n"/>
      <c r="H625" s="10" t="n"/>
      <c r="I625" s="18" t="n"/>
      <c r="J625" s="18" t="n"/>
      <c r="K625" s="18" t="n"/>
      <c r="L625" s="18" t="n"/>
      <c r="M625" s="19">
        <f>IF(K625="","",K625*365/12*L625)</f>
        <v/>
      </c>
      <c r="N625" s="18" t="n"/>
      <c r="O625" s="18" t="n"/>
      <c r="P625" s="18" t="n"/>
      <c r="Q625" s="18" t="n"/>
      <c r="R625" s="10" t="n"/>
      <c r="S625" s="17" t="n"/>
      <c r="T625" s="18" t="n"/>
      <c r="U625" s="17" t="n"/>
      <c r="V625" s="17" t="n"/>
      <c r="W625" s="18" t="n"/>
      <c r="X625" s="18" t="n"/>
      <c r="Y625" s="17" t="n"/>
      <c r="Z625" s="10" t="n"/>
      <c r="AA625" s="10" t="n"/>
      <c r="AB625" s="19">
        <f>IF(LEN(A625)&gt;0,1,0)</f>
        <v/>
      </c>
      <c r="AC625" s="19">
        <f>IF(LEN(A625)=0,0,(LEN(B625)=0)+(LEN(C625)=0)+(LEN(D625)=0)+(LEN(E625)=0)+(LEN(F625)=0)+(LEN(G625)=0)+(LEN(H625)=0)+(LEN(I625)=0)+(LEN(J625)=0)+(LEN(K625)=0)+(LEN(L625)=0)+(LEN(N625)=0)+(LEN(O625)=0)+(LEN(P625)=0)+(LEN(R625)=0)+(LEN(AA625)=0))</f>
        <v/>
      </c>
      <c r="AD625" s="19">
        <f>IF(OR(LEN(A625)=0,LEN(C625)=0),0,IF(OR(C625&lt;1,C625&gt;5),1,0))</f>
        <v/>
      </c>
      <c r="AE625" s="19">
        <f>IF(OR(LEN(A625)=0,LEN(R625)=0),0,IF(OR(R625="Active",R625="Paid off",R625="Defaulted",R625="Repossessed",R625="Written off",R625="Restructured"),0,1))</f>
        <v/>
      </c>
      <c r="AF625" s="19">
        <f>IF(A625="",0,IF(N(J625)&gt;N(I625),1,0))</f>
        <v/>
      </c>
      <c r="AG625" s="19">
        <f>IF(A625="",0,IF(N(N625)&gt;N(M625)+1,1,0))</f>
        <v/>
      </c>
      <c r="AH625" s="19">
        <f>IF(A625="",0,IF(N(E625)&gt;N(B625),1,0))</f>
        <v/>
      </c>
      <c r="AI625" s="19">
        <f>IF(A625="",0,IF(AND(Z625="Full payment",N(N625)&lt;N(M625)-1),1,0))</f>
        <v/>
      </c>
      <c r="AJ625" s="19">
        <f>IF(A625="",0,IF(N(P625)&lt;0,1,0))</f>
        <v/>
      </c>
      <c r="AK625" s="19">
        <f>IF(A625="",0,IF(COUNTIF($A$7:$A$1006,A625)&gt;1,1,0))</f>
        <v/>
      </c>
    </row>
    <row r="626">
      <c r="A626" s="10" t="n"/>
      <c r="B626" s="17" t="n"/>
      <c r="C626" s="18" t="n"/>
      <c r="D626" s="10" t="n"/>
      <c r="E626" s="17" t="n"/>
      <c r="F626" s="10" t="n"/>
      <c r="G626" s="10" t="n"/>
      <c r="H626" s="10" t="n"/>
      <c r="I626" s="18" t="n"/>
      <c r="J626" s="18" t="n"/>
      <c r="K626" s="18" t="n"/>
      <c r="L626" s="18" t="n"/>
      <c r="M626" s="19">
        <f>IF(K626="","",K626*365/12*L626)</f>
        <v/>
      </c>
      <c r="N626" s="18" t="n"/>
      <c r="O626" s="18" t="n"/>
      <c r="P626" s="18" t="n"/>
      <c r="Q626" s="18" t="n"/>
      <c r="R626" s="10" t="n"/>
      <c r="S626" s="17" t="n"/>
      <c r="T626" s="18" t="n"/>
      <c r="U626" s="17" t="n"/>
      <c r="V626" s="17" t="n"/>
      <c r="W626" s="18" t="n"/>
      <c r="X626" s="18" t="n"/>
      <c r="Y626" s="17" t="n"/>
      <c r="Z626" s="10" t="n"/>
      <c r="AA626" s="10" t="n"/>
      <c r="AB626" s="19">
        <f>IF(LEN(A626)&gt;0,1,0)</f>
        <v/>
      </c>
      <c r="AC626" s="19">
        <f>IF(LEN(A626)=0,0,(LEN(B626)=0)+(LEN(C626)=0)+(LEN(D626)=0)+(LEN(E626)=0)+(LEN(F626)=0)+(LEN(G626)=0)+(LEN(H626)=0)+(LEN(I626)=0)+(LEN(J626)=0)+(LEN(K626)=0)+(LEN(L626)=0)+(LEN(N626)=0)+(LEN(O626)=0)+(LEN(P626)=0)+(LEN(R626)=0)+(LEN(AA626)=0))</f>
        <v/>
      </c>
      <c r="AD626" s="19">
        <f>IF(OR(LEN(A626)=0,LEN(C626)=0),0,IF(OR(C626&lt;1,C626&gt;5),1,0))</f>
        <v/>
      </c>
      <c r="AE626" s="19">
        <f>IF(OR(LEN(A626)=0,LEN(R626)=0),0,IF(OR(R626="Active",R626="Paid off",R626="Defaulted",R626="Repossessed",R626="Written off",R626="Restructured"),0,1))</f>
        <v/>
      </c>
      <c r="AF626" s="19">
        <f>IF(A626="",0,IF(N(J626)&gt;N(I626),1,0))</f>
        <v/>
      </c>
      <c r="AG626" s="19">
        <f>IF(A626="",0,IF(N(N626)&gt;N(M626)+1,1,0))</f>
        <v/>
      </c>
      <c r="AH626" s="19">
        <f>IF(A626="",0,IF(N(E626)&gt;N(B626),1,0))</f>
        <v/>
      </c>
      <c r="AI626" s="19">
        <f>IF(A626="",0,IF(AND(Z626="Full payment",N(N626)&lt;N(M626)-1),1,0))</f>
        <v/>
      </c>
      <c r="AJ626" s="19">
        <f>IF(A626="",0,IF(N(P626)&lt;0,1,0))</f>
        <v/>
      </c>
      <c r="AK626" s="19">
        <f>IF(A626="",0,IF(COUNTIF($A$7:$A$1006,A626)&gt;1,1,0))</f>
        <v/>
      </c>
    </row>
    <row r="627">
      <c r="A627" s="10" t="n"/>
      <c r="B627" s="17" t="n"/>
      <c r="C627" s="18" t="n"/>
      <c r="D627" s="10" t="n"/>
      <c r="E627" s="17" t="n"/>
      <c r="F627" s="10" t="n"/>
      <c r="G627" s="10" t="n"/>
      <c r="H627" s="10" t="n"/>
      <c r="I627" s="18" t="n"/>
      <c r="J627" s="18" t="n"/>
      <c r="K627" s="18" t="n"/>
      <c r="L627" s="18" t="n"/>
      <c r="M627" s="19">
        <f>IF(K627="","",K627*365/12*L627)</f>
        <v/>
      </c>
      <c r="N627" s="18" t="n"/>
      <c r="O627" s="18" t="n"/>
      <c r="P627" s="18" t="n"/>
      <c r="Q627" s="18" t="n"/>
      <c r="R627" s="10" t="n"/>
      <c r="S627" s="17" t="n"/>
      <c r="T627" s="18" t="n"/>
      <c r="U627" s="17" t="n"/>
      <c r="V627" s="17" t="n"/>
      <c r="W627" s="18" t="n"/>
      <c r="X627" s="18" t="n"/>
      <c r="Y627" s="17" t="n"/>
      <c r="Z627" s="10" t="n"/>
      <c r="AA627" s="10" t="n"/>
      <c r="AB627" s="19">
        <f>IF(LEN(A627)&gt;0,1,0)</f>
        <v/>
      </c>
      <c r="AC627" s="19">
        <f>IF(LEN(A627)=0,0,(LEN(B627)=0)+(LEN(C627)=0)+(LEN(D627)=0)+(LEN(E627)=0)+(LEN(F627)=0)+(LEN(G627)=0)+(LEN(H627)=0)+(LEN(I627)=0)+(LEN(J627)=0)+(LEN(K627)=0)+(LEN(L627)=0)+(LEN(N627)=0)+(LEN(O627)=0)+(LEN(P627)=0)+(LEN(R627)=0)+(LEN(AA627)=0))</f>
        <v/>
      </c>
      <c r="AD627" s="19">
        <f>IF(OR(LEN(A627)=0,LEN(C627)=0),0,IF(OR(C627&lt;1,C627&gt;5),1,0))</f>
        <v/>
      </c>
      <c r="AE627" s="19">
        <f>IF(OR(LEN(A627)=0,LEN(R627)=0),0,IF(OR(R627="Active",R627="Paid off",R627="Defaulted",R627="Repossessed",R627="Written off",R627="Restructured"),0,1))</f>
        <v/>
      </c>
      <c r="AF627" s="19">
        <f>IF(A627="",0,IF(N(J627)&gt;N(I627),1,0))</f>
        <v/>
      </c>
      <c r="AG627" s="19">
        <f>IF(A627="",0,IF(N(N627)&gt;N(M627)+1,1,0))</f>
        <v/>
      </c>
      <c r="AH627" s="19">
        <f>IF(A627="",0,IF(N(E627)&gt;N(B627),1,0))</f>
        <v/>
      </c>
      <c r="AI627" s="19">
        <f>IF(A627="",0,IF(AND(Z627="Full payment",N(N627)&lt;N(M627)-1),1,0))</f>
        <v/>
      </c>
      <c r="AJ627" s="19">
        <f>IF(A627="",0,IF(N(P627)&lt;0,1,0))</f>
        <v/>
      </c>
      <c r="AK627" s="19">
        <f>IF(A627="",0,IF(COUNTIF($A$7:$A$1006,A627)&gt;1,1,0))</f>
        <v/>
      </c>
    </row>
    <row r="628">
      <c r="A628" s="10" t="n"/>
      <c r="B628" s="17" t="n"/>
      <c r="C628" s="18" t="n"/>
      <c r="D628" s="10" t="n"/>
      <c r="E628" s="17" t="n"/>
      <c r="F628" s="10" t="n"/>
      <c r="G628" s="10" t="n"/>
      <c r="H628" s="10" t="n"/>
      <c r="I628" s="18" t="n"/>
      <c r="J628" s="18" t="n"/>
      <c r="K628" s="18" t="n"/>
      <c r="L628" s="18" t="n"/>
      <c r="M628" s="19">
        <f>IF(K628="","",K628*365/12*L628)</f>
        <v/>
      </c>
      <c r="N628" s="18" t="n"/>
      <c r="O628" s="18" t="n"/>
      <c r="P628" s="18" t="n"/>
      <c r="Q628" s="18" t="n"/>
      <c r="R628" s="10" t="n"/>
      <c r="S628" s="17" t="n"/>
      <c r="T628" s="18" t="n"/>
      <c r="U628" s="17" t="n"/>
      <c r="V628" s="17" t="n"/>
      <c r="W628" s="18" t="n"/>
      <c r="X628" s="18" t="n"/>
      <c r="Y628" s="17" t="n"/>
      <c r="Z628" s="10" t="n"/>
      <c r="AA628" s="10" t="n"/>
      <c r="AB628" s="19">
        <f>IF(LEN(A628)&gt;0,1,0)</f>
        <v/>
      </c>
      <c r="AC628" s="19">
        <f>IF(LEN(A628)=0,0,(LEN(B628)=0)+(LEN(C628)=0)+(LEN(D628)=0)+(LEN(E628)=0)+(LEN(F628)=0)+(LEN(G628)=0)+(LEN(H628)=0)+(LEN(I628)=0)+(LEN(J628)=0)+(LEN(K628)=0)+(LEN(L628)=0)+(LEN(N628)=0)+(LEN(O628)=0)+(LEN(P628)=0)+(LEN(R628)=0)+(LEN(AA628)=0))</f>
        <v/>
      </c>
      <c r="AD628" s="19">
        <f>IF(OR(LEN(A628)=0,LEN(C628)=0),0,IF(OR(C628&lt;1,C628&gt;5),1,0))</f>
        <v/>
      </c>
      <c r="AE628" s="19">
        <f>IF(OR(LEN(A628)=0,LEN(R628)=0),0,IF(OR(R628="Active",R628="Paid off",R628="Defaulted",R628="Repossessed",R628="Written off",R628="Restructured"),0,1))</f>
        <v/>
      </c>
      <c r="AF628" s="19">
        <f>IF(A628="",0,IF(N(J628)&gt;N(I628),1,0))</f>
        <v/>
      </c>
      <c r="AG628" s="19">
        <f>IF(A628="",0,IF(N(N628)&gt;N(M628)+1,1,0))</f>
        <v/>
      </c>
      <c r="AH628" s="19">
        <f>IF(A628="",0,IF(N(E628)&gt;N(B628),1,0))</f>
        <v/>
      </c>
      <c r="AI628" s="19">
        <f>IF(A628="",0,IF(AND(Z628="Full payment",N(N628)&lt;N(M628)-1),1,0))</f>
        <v/>
      </c>
      <c r="AJ628" s="19">
        <f>IF(A628="",0,IF(N(P628)&lt;0,1,0))</f>
        <v/>
      </c>
      <c r="AK628" s="19">
        <f>IF(A628="",0,IF(COUNTIF($A$7:$A$1006,A628)&gt;1,1,0))</f>
        <v/>
      </c>
    </row>
    <row r="629">
      <c r="A629" s="10" t="n"/>
      <c r="B629" s="17" t="n"/>
      <c r="C629" s="18" t="n"/>
      <c r="D629" s="10" t="n"/>
      <c r="E629" s="17" t="n"/>
      <c r="F629" s="10" t="n"/>
      <c r="G629" s="10" t="n"/>
      <c r="H629" s="10" t="n"/>
      <c r="I629" s="18" t="n"/>
      <c r="J629" s="18" t="n"/>
      <c r="K629" s="18" t="n"/>
      <c r="L629" s="18" t="n"/>
      <c r="M629" s="19">
        <f>IF(K629="","",K629*365/12*L629)</f>
        <v/>
      </c>
      <c r="N629" s="18" t="n"/>
      <c r="O629" s="18" t="n"/>
      <c r="P629" s="18" t="n"/>
      <c r="Q629" s="18" t="n"/>
      <c r="R629" s="10" t="n"/>
      <c r="S629" s="17" t="n"/>
      <c r="T629" s="18" t="n"/>
      <c r="U629" s="17" t="n"/>
      <c r="V629" s="17" t="n"/>
      <c r="W629" s="18" t="n"/>
      <c r="X629" s="18" t="n"/>
      <c r="Y629" s="17" t="n"/>
      <c r="Z629" s="10" t="n"/>
      <c r="AA629" s="10" t="n"/>
      <c r="AB629" s="19">
        <f>IF(LEN(A629)&gt;0,1,0)</f>
        <v/>
      </c>
      <c r="AC629" s="19">
        <f>IF(LEN(A629)=0,0,(LEN(B629)=0)+(LEN(C629)=0)+(LEN(D629)=0)+(LEN(E629)=0)+(LEN(F629)=0)+(LEN(G629)=0)+(LEN(H629)=0)+(LEN(I629)=0)+(LEN(J629)=0)+(LEN(K629)=0)+(LEN(L629)=0)+(LEN(N629)=0)+(LEN(O629)=0)+(LEN(P629)=0)+(LEN(R629)=0)+(LEN(AA629)=0))</f>
        <v/>
      </c>
      <c r="AD629" s="19">
        <f>IF(OR(LEN(A629)=0,LEN(C629)=0),0,IF(OR(C629&lt;1,C629&gt;5),1,0))</f>
        <v/>
      </c>
      <c r="AE629" s="19">
        <f>IF(OR(LEN(A629)=0,LEN(R629)=0),0,IF(OR(R629="Active",R629="Paid off",R629="Defaulted",R629="Repossessed",R629="Written off",R629="Restructured"),0,1))</f>
        <v/>
      </c>
      <c r="AF629" s="19">
        <f>IF(A629="",0,IF(N(J629)&gt;N(I629),1,0))</f>
        <v/>
      </c>
      <c r="AG629" s="19">
        <f>IF(A629="",0,IF(N(N629)&gt;N(M629)+1,1,0))</f>
        <v/>
      </c>
      <c r="AH629" s="19">
        <f>IF(A629="",0,IF(N(E629)&gt;N(B629),1,0))</f>
        <v/>
      </c>
      <c r="AI629" s="19">
        <f>IF(A629="",0,IF(AND(Z629="Full payment",N(N629)&lt;N(M629)-1),1,0))</f>
        <v/>
      </c>
      <c r="AJ629" s="19">
        <f>IF(A629="",0,IF(N(P629)&lt;0,1,0))</f>
        <v/>
      </c>
      <c r="AK629" s="19">
        <f>IF(A629="",0,IF(COUNTIF($A$7:$A$1006,A629)&gt;1,1,0))</f>
        <v/>
      </c>
    </row>
    <row r="630">
      <c r="A630" s="10" t="n"/>
      <c r="B630" s="17" t="n"/>
      <c r="C630" s="18" t="n"/>
      <c r="D630" s="10" t="n"/>
      <c r="E630" s="17" t="n"/>
      <c r="F630" s="10" t="n"/>
      <c r="G630" s="10" t="n"/>
      <c r="H630" s="10" t="n"/>
      <c r="I630" s="18" t="n"/>
      <c r="J630" s="18" t="n"/>
      <c r="K630" s="18" t="n"/>
      <c r="L630" s="18" t="n"/>
      <c r="M630" s="19">
        <f>IF(K630="","",K630*365/12*L630)</f>
        <v/>
      </c>
      <c r="N630" s="18" t="n"/>
      <c r="O630" s="18" t="n"/>
      <c r="P630" s="18" t="n"/>
      <c r="Q630" s="18" t="n"/>
      <c r="R630" s="10" t="n"/>
      <c r="S630" s="17" t="n"/>
      <c r="T630" s="18" t="n"/>
      <c r="U630" s="17" t="n"/>
      <c r="V630" s="17" t="n"/>
      <c r="W630" s="18" t="n"/>
      <c r="X630" s="18" t="n"/>
      <c r="Y630" s="17" t="n"/>
      <c r="Z630" s="10" t="n"/>
      <c r="AA630" s="10" t="n"/>
      <c r="AB630" s="19">
        <f>IF(LEN(A630)&gt;0,1,0)</f>
        <v/>
      </c>
      <c r="AC630" s="19">
        <f>IF(LEN(A630)=0,0,(LEN(B630)=0)+(LEN(C630)=0)+(LEN(D630)=0)+(LEN(E630)=0)+(LEN(F630)=0)+(LEN(G630)=0)+(LEN(H630)=0)+(LEN(I630)=0)+(LEN(J630)=0)+(LEN(K630)=0)+(LEN(L630)=0)+(LEN(N630)=0)+(LEN(O630)=0)+(LEN(P630)=0)+(LEN(R630)=0)+(LEN(AA630)=0))</f>
        <v/>
      </c>
      <c r="AD630" s="19">
        <f>IF(OR(LEN(A630)=0,LEN(C630)=0),0,IF(OR(C630&lt;1,C630&gt;5),1,0))</f>
        <v/>
      </c>
      <c r="AE630" s="19">
        <f>IF(OR(LEN(A630)=0,LEN(R630)=0),0,IF(OR(R630="Active",R630="Paid off",R630="Defaulted",R630="Repossessed",R630="Written off",R630="Restructured"),0,1))</f>
        <v/>
      </c>
      <c r="AF630" s="19">
        <f>IF(A630="",0,IF(N(J630)&gt;N(I630),1,0))</f>
        <v/>
      </c>
      <c r="AG630" s="19">
        <f>IF(A630="",0,IF(N(N630)&gt;N(M630)+1,1,0))</f>
        <v/>
      </c>
      <c r="AH630" s="19">
        <f>IF(A630="",0,IF(N(E630)&gt;N(B630),1,0))</f>
        <v/>
      </c>
      <c r="AI630" s="19">
        <f>IF(A630="",0,IF(AND(Z630="Full payment",N(N630)&lt;N(M630)-1),1,0))</f>
        <v/>
      </c>
      <c r="AJ630" s="19">
        <f>IF(A630="",0,IF(N(P630)&lt;0,1,0))</f>
        <v/>
      </c>
      <c r="AK630" s="19">
        <f>IF(A630="",0,IF(COUNTIF($A$7:$A$1006,A630)&gt;1,1,0))</f>
        <v/>
      </c>
    </row>
    <row r="631">
      <c r="A631" s="10" t="n"/>
      <c r="B631" s="17" t="n"/>
      <c r="C631" s="18" t="n"/>
      <c r="D631" s="10" t="n"/>
      <c r="E631" s="17" t="n"/>
      <c r="F631" s="10" t="n"/>
      <c r="G631" s="10" t="n"/>
      <c r="H631" s="10" t="n"/>
      <c r="I631" s="18" t="n"/>
      <c r="J631" s="18" t="n"/>
      <c r="K631" s="18" t="n"/>
      <c r="L631" s="18" t="n"/>
      <c r="M631" s="19">
        <f>IF(K631="","",K631*365/12*L631)</f>
        <v/>
      </c>
      <c r="N631" s="18" t="n"/>
      <c r="O631" s="18" t="n"/>
      <c r="P631" s="18" t="n"/>
      <c r="Q631" s="18" t="n"/>
      <c r="R631" s="10" t="n"/>
      <c r="S631" s="17" t="n"/>
      <c r="T631" s="18" t="n"/>
      <c r="U631" s="17" t="n"/>
      <c r="V631" s="17" t="n"/>
      <c r="W631" s="18" t="n"/>
      <c r="X631" s="18" t="n"/>
      <c r="Y631" s="17" t="n"/>
      <c r="Z631" s="10" t="n"/>
      <c r="AA631" s="10" t="n"/>
      <c r="AB631" s="19">
        <f>IF(LEN(A631)&gt;0,1,0)</f>
        <v/>
      </c>
      <c r="AC631" s="19">
        <f>IF(LEN(A631)=0,0,(LEN(B631)=0)+(LEN(C631)=0)+(LEN(D631)=0)+(LEN(E631)=0)+(LEN(F631)=0)+(LEN(G631)=0)+(LEN(H631)=0)+(LEN(I631)=0)+(LEN(J631)=0)+(LEN(K631)=0)+(LEN(L631)=0)+(LEN(N631)=0)+(LEN(O631)=0)+(LEN(P631)=0)+(LEN(R631)=0)+(LEN(AA631)=0))</f>
        <v/>
      </c>
      <c r="AD631" s="19">
        <f>IF(OR(LEN(A631)=0,LEN(C631)=0),0,IF(OR(C631&lt;1,C631&gt;5),1,0))</f>
        <v/>
      </c>
      <c r="AE631" s="19">
        <f>IF(OR(LEN(A631)=0,LEN(R631)=0),0,IF(OR(R631="Active",R631="Paid off",R631="Defaulted",R631="Repossessed",R631="Written off",R631="Restructured"),0,1))</f>
        <v/>
      </c>
      <c r="AF631" s="19">
        <f>IF(A631="",0,IF(N(J631)&gt;N(I631),1,0))</f>
        <v/>
      </c>
      <c r="AG631" s="19">
        <f>IF(A631="",0,IF(N(N631)&gt;N(M631)+1,1,0))</f>
        <v/>
      </c>
      <c r="AH631" s="19">
        <f>IF(A631="",0,IF(N(E631)&gt;N(B631),1,0))</f>
        <v/>
      </c>
      <c r="AI631" s="19">
        <f>IF(A631="",0,IF(AND(Z631="Full payment",N(N631)&lt;N(M631)-1),1,0))</f>
        <v/>
      </c>
      <c r="AJ631" s="19">
        <f>IF(A631="",0,IF(N(P631)&lt;0,1,0))</f>
        <v/>
      </c>
      <c r="AK631" s="19">
        <f>IF(A631="",0,IF(COUNTIF($A$7:$A$1006,A631)&gt;1,1,0))</f>
        <v/>
      </c>
    </row>
    <row r="632">
      <c r="A632" s="10" t="n"/>
      <c r="B632" s="17" t="n"/>
      <c r="C632" s="18" t="n"/>
      <c r="D632" s="10" t="n"/>
      <c r="E632" s="17" t="n"/>
      <c r="F632" s="10" t="n"/>
      <c r="G632" s="10" t="n"/>
      <c r="H632" s="10" t="n"/>
      <c r="I632" s="18" t="n"/>
      <c r="J632" s="18" t="n"/>
      <c r="K632" s="18" t="n"/>
      <c r="L632" s="18" t="n"/>
      <c r="M632" s="19">
        <f>IF(K632="","",K632*365/12*L632)</f>
        <v/>
      </c>
      <c r="N632" s="18" t="n"/>
      <c r="O632" s="18" t="n"/>
      <c r="P632" s="18" t="n"/>
      <c r="Q632" s="18" t="n"/>
      <c r="R632" s="10" t="n"/>
      <c r="S632" s="17" t="n"/>
      <c r="T632" s="18" t="n"/>
      <c r="U632" s="17" t="n"/>
      <c r="V632" s="17" t="n"/>
      <c r="W632" s="18" t="n"/>
      <c r="X632" s="18" t="n"/>
      <c r="Y632" s="17" t="n"/>
      <c r="Z632" s="10" t="n"/>
      <c r="AA632" s="10" t="n"/>
      <c r="AB632" s="19">
        <f>IF(LEN(A632)&gt;0,1,0)</f>
        <v/>
      </c>
      <c r="AC632" s="19">
        <f>IF(LEN(A632)=0,0,(LEN(B632)=0)+(LEN(C632)=0)+(LEN(D632)=0)+(LEN(E632)=0)+(LEN(F632)=0)+(LEN(G632)=0)+(LEN(H632)=0)+(LEN(I632)=0)+(LEN(J632)=0)+(LEN(K632)=0)+(LEN(L632)=0)+(LEN(N632)=0)+(LEN(O632)=0)+(LEN(P632)=0)+(LEN(R632)=0)+(LEN(AA632)=0))</f>
        <v/>
      </c>
      <c r="AD632" s="19">
        <f>IF(OR(LEN(A632)=0,LEN(C632)=0),0,IF(OR(C632&lt;1,C632&gt;5),1,0))</f>
        <v/>
      </c>
      <c r="AE632" s="19">
        <f>IF(OR(LEN(A632)=0,LEN(R632)=0),0,IF(OR(R632="Active",R632="Paid off",R632="Defaulted",R632="Repossessed",R632="Written off",R632="Restructured"),0,1))</f>
        <v/>
      </c>
      <c r="AF632" s="19">
        <f>IF(A632="",0,IF(N(J632)&gt;N(I632),1,0))</f>
        <v/>
      </c>
      <c r="AG632" s="19">
        <f>IF(A632="",0,IF(N(N632)&gt;N(M632)+1,1,0))</f>
        <v/>
      </c>
      <c r="AH632" s="19">
        <f>IF(A632="",0,IF(N(E632)&gt;N(B632),1,0))</f>
        <v/>
      </c>
      <c r="AI632" s="19">
        <f>IF(A632="",0,IF(AND(Z632="Full payment",N(N632)&lt;N(M632)-1),1,0))</f>
        <v/>
      </c>
      <c r="AJ632" s="19">
        <f>IF(A632="",0,IF(N(P632)&lt;0,1,0))</f>
        <v/>
      </c>
      <c r="AK632" s="19">
        <f>IF(A632="",0,IF(COUNTIF($A$7:$A$1006,A632)&gt;1,1,0))</f>
        <v/>
      </c>
    </row>
    <row r="633">
      <c r="A633" s="10" t="n"/>
      <c r="B633" s="17" t="n"/>
      <c r="C633" s="18" t="n"/>
      <c r="D633" s="10" t="n"/>
      <c r="E633" s="17" t="n"/>
      <c r="F633" s="10" t="n"/>
      <c r="G633" s="10" t="n"/>
      <c r="H633" s="10" t="n"/>
      <c r="I633" s="18" t="n"/>
      <c r="J633" s="18" t="n"/>
      <c r="K633" s="18" t="n"/>
      <c r="L633" s="18" t="n"/>
      <c r="M633" s="19">
        <f>IF(K633="","",K633*365/12*L633)</f>
        <v/>
      </c>
      <c r="N633" s="18" t="n"/>
      <c r="O633" s="18" t="n"/>
      <c r="P633" s="18" t="n"/>
      <c r="Q633" s="18" t="n"/>
      <c r="R633" s="10" t="n"/>
      <c r="S633" s="17" t="n"/>
      <c r="T633" s="18" t="n"/>
      <c r="U633" s="17" t="n"/>
      <c r="V633" s="17" t="n"/>
      <c r="W633" s="18" t="n"/>
      <c r="X633" s="18" t="n"/>
      <c r="Y633" s="17" t="n"/>
      <c r="Z633" s="10" t="n"/>
      <c r="AA633" s="10" t="n"/>
      <c r="AB633" s="19">
        <f>IF(LEN(A633)&gt;0,1,0)</f>
        <v/>
      </c>
      <c r="AC633" s="19">
        <f>IF(LEN(A633)=0,0,(LEN(B633)=0)+(LEN(C633)=0)+(LEN(D633)=0)+(LEN(E633)=0)+(LEN(F633)=0)+(LEN(G633)=0)+(LEN(H633)=0)+(LEN(I633)=0)+(LEN(J633)=0)+(LEN(K633)=0)+(LEN(L633)=0)+(LEN(N633)=0)+(LEN(O633)=0)+(LEN(P633)=0)+(LEN(R633)=0)+(LEN(AA633)=0))</f>
        <v/>
      </c>
      <c r="AD633" s="19">
        <f>IF(OR(LEN(A633)=0,LEN(C633)=0),0,IF(OR(C633&lt;1,C633&gt;5),1,0))</f>
        <v/>
      </c>
      <c r="AE633" s="19">
        <f>IF(OR(LEN(A633)=0,LEN(R633)=0),0,IF(OR(R633="Active",R633="Paid off",R633="Defaulted",R633="Repossessed",R633="Written off",R633="Restructured"),0,1))</f>
        <v/>
      </c>
      <c r="AF633" s="19">
        <f>IF(A633="",0,IF(N(J633)&gt;N(I633),1,0))</f>
        <v/>
      </c>
      <c r="AG633" s="19">
        <f>IF(A633="",0,IF(N(N633)&gt;N(M633)+1,1,0))</f>
        <v/>
      </c>
      <c r="AH633" s="19">
        <f>IF(A633="",0,IF(N(E633)&gt;N(B633),1,0))</f>
        <v/>
      </c>
      <c r="AI633" s="19">
        <f>IF(A633="",0,IF(AND(Z633="Full payment",N(N633)&lt;N(M633)-1),1,0))</f>
        <v/>
      </c>
      <c r="AJ633" s="19">
        <f>IF(A633="",0,IF(N(P633)&lt;0,1,0))</f>
        <v/>
      </c>
      <c r="AK633" s="19">
        <f>IF(A633="",0,IF(COUNTIF($A$7:$A$1006,A633)&gt;1,1,0))</f>
        <v/>
      </c>
    </row>
    <row r="634">
      <c r="A634" s="10" t="n"/>
      <c r="B634" s="17" t="n"/>
      <c r="C634" s="18" t="n"/>
      <c r="D634" s="10" t="n"/>
      <c r="E634" s="17" t="n"/>
      <c r="F634" s="10" t="n"/>
      <c r="G634" s="10" t="n"/>
      <c r="H634" s="10" t="n"/>
      <c r="I634" s="18" t="n"/>
      <c r="J634" s="18" t="n"/>
      <c r="K634" s="18" t="n"/>
      <c r="L634" s="18" t="n"/>
      <c r="M634" s="19">
        <f>IF(K634="","",K634*365/12*L634)</f>
        <v/>
      </c>
      <c r="N634" s="18" t="n"/>
      <c r="O634" s="18" t="n"/>
      <c r="P634" s="18" t="n"/>
      <c r="Q634" s="18" t="n"/>
      <c r="R634" s="10" t="n"/>
      <c r="S634" s="17" t="n"/>
      <c r="T634" s="18" t="n"/>
      <c r="U634" s="17" t="n"/>
      <c r="V634" s="17" t="n"/>
      <c r="W634" s="18" t="n"/>
      <c r="X634" s="18" t="n"/>
      <c r="Y634" s="17" t="n"/>
      <c r="Z634" s="10" t="n"/>
      <c r="AA634" s="10" t="n"/>
      <c r="AB634" s="19">
        <f>IF(LEN(A634)&gt;0,1,0)</f>
        <v/>
      </c>
      <c r="AC634" s="19">
        <f>IF(LEN(A634)=0,0,(LEN(B634)=0)+(LEN(C634)=0)+(LEN(D634)=0)+(LEN(E634)=0)+(LEN(F634)=0)+(LEN(G634)=0)+(LEN(H634)=0)+(LEN(I634)=0)+(LEN(J634)=0)+(LEN(K634)=0)+(LEN(L634)=0)+(LEN(N634)=0)+(LEN(O634)=0)+(LEN(P634)=0)+(LEN(R634)=0)+(LEN(AA634)=0))</f>
        <v/>
      </c>
      <c r="AD634" s="19">
        <f>IF(OR(LEN(A634)=0,LEN(C634)=0),0,IF(OR(C634&lt;1,C634&gt;5),1,0))</f>
        <v/>
      </c>
      <c r="AE634" s="19">
        <f>IF(OR(LEN(A634)=0,LEN(R634)=0),0,IF(OR(R634="Active",R634="Paid off",R634="Defaulted",R634="Repossessed",R634="Written off",R634="Restructured"),0,1))</f>
        <v/>
      </c>
      <c r="AF634" s="19">
        <f>IF(A634="",0,IF(N(J634)&gt;N(I634),1,0))</f>
        <v/>
      </c>
      <c r="AG634" s="19">
        <f>IF(A634="",0,IF(N(N634)&gt;N(M634)+1,1,0))</f>
        <v/>
      </c>
      <c r="AH634" s="19">
        <f>IF(A634="",0,IF(N(E634)&gt;N(B634),1,0))</f>
        <v/>
      </c>
      <c r="AI634" s="19">
        <f>IF(A634="",0,IF(AND(Z634="Full payment",N(N634)&lt;N(M634)-1),1,0))</f>
        <v/>
      </c>
      <c r="AJ634" s="19">
        <f>IF(A634="",0,IF(N(P634)&lt;0,1,0))</f>
        <v/>
      </c>
      <c r="AK634" s="19">
        <f>IF(A634="",0,IF(COUNTIF($A$7:$A$1006,A634)&gt;1,1,0))</f>
        <v/>
      </c>
    </row>
    <row r="635">
      <c r="A635" s="10" t="n"/>
      <c r="B635" s="17" t="n"/>
      <c r="C635" s="18" t="n"/>
      <c r="D635" s="10" t="n"/>
      <c r="E635" s="17" t="n"/>
      <c r="F635" s="10" t="n"/>
      <c r="G635" s="10" t="n"/>
      <c r="H635" s="10" t="n"/>
      <c r="I635" s="18" t="n"/>
      <c r="J635" s="18" t="n"/>
      <c r="K635" s="18" t="n"/>
      <c r="L635" s="18" t="n"/>
      <c r="M635" s="19">
        <f>IF(K635="","",K635*365/12*L635)</f>
        <v/>
      </c>
      <c r="N635" s="18" t="n"/>
      <c r="O635" s="18" t="n"/>
      <c r="P635" s="18" t="n"/>
      <c r="Q635" s="18" t="n"/>
      <c r="R635" s="10" t="n"/>
      <c r="S635" s="17" t="n"/>
      <c r="T635" s="18" t="n"/>
      <c r="U635" s="17" t="n"/>
      <c r="V635" s="17" t="n"/>
      <c r="W635" s="18" t="n"/>
      <c r="X635" s="18" t="n"/>
      <c r="Y635" s="17" t="n"/>
      <c r="Z635" s="10" t="n"/>
      <c r="AA635" s="10" t="n"/>
      <c r="AB635" s="19">
        <f>IF(LEN(A635)&gt;0,1,0)</f>
        <v/>
      </c>
      <c r="AC635" s="19">
        <f>IF(LEN(A635)=0,0,(LEN(B635)=0)+(LEN(C635)=0)+(LEN(D635)=0)+(LEN(E635)=0)+(LEN(F635)=0)+(LEN(G635)=0)+(LEN(H635)=0)+(LEN(I635)=0)+(LEN(J635)=0)+(LEN(K635)=0)+(LEN(L635)=0)+(LEN(N635)=0)+(LEN(O635)=0)+(LEN(P635)=0)+(LEN(R635)=0)+(LEN(AA635)=0))</f>
        <v/>
      </c>
      <c r="AD635" s="19">
        <f>IF(OR(LEN(A635)=0,LEN(C635)=0),0,IF(OR(C635&lt;1,C635&gt;5),1,0))</f>
        <v/>
      </c>
      <c r="AE635" s="19">
        <f>IF(OR(LEN(A635)=0,LEN(R635)=0),0,IF(OR(R635="Active",R635="Paid off",R635="Defaulted",R635="Repossessed",R635="Written off",R635="Restructured"),0,1))</f>
        <v/>
      </c>
      <c r="AF635" s="19">
        <f>IF(A635="",0,IF(N(J635)&gt;N(I635),1,0))</f>
        <v/>
      </c>
      <c r="AG635" s="19">
        <f>IF(A635="",0,IF(N(N635)&gt;N(M635)+1,1,0))</f>
        <v/>
      </c>
      <c r="AH635" s="19">
        <f>IF(A635="",0,IF(N(E635)&gt;N(B635),1,0))</f>
        <v/>
      </c>
      <c r="AI635" s="19">
        <f>IF(A635="",0,IF(AND(Z635="Full payment",N(N635)&lt;N(M635)-1),1,0))</f>
        <v/>
      </c>
      <c r="AJ635" s="19">
        <f>IF(A635="",0,IF(N(P635)&lt;0,1,0))</f>
        <v/>
      </c>
      <c r="AK635" s="19">
        <f>IF(A635="",0,IF(COUNTIF($A$7:$A$1006,A635)&gt;1,1,0))</f>
        <v/>
      </c>
    </row>
    <row r="636">
      <c r="A636" s="10" t="n"/>
      <c r="B636" s="17" t="n"/>
      <c r="C636" s="18" t="n"/>
      <c r="D636" s="10" t="n"/>
      <c r="E636" s="17" t="n"/>
      <c r="F636" s="10" t="n"/>
      <c r="G636" s="10" t="n"/>
      <c r="H636" s="10" t="n"/>
      <c r="I636" s="18" t="n"/>
      <c r="J636" s="18" t="n"/>
      <c r="K636" s="18" t="n"/>
      <c r="L636" s="18" t="n"/>
      <c r="M636" s="19">
        <f>IF(K636="","",K636*365/12*L636)</f>
        <v/>
      </c>
      <c r="N636" s="18" t="n"/>
      <c r="O636" s="18" t="n"/>
      <c r="P636" s="18" t="n"/>
      <c r="Q636" s="18" t="n"/>
      <c r="R636" s="10" t="n"/>
      <c r="S636" s="17" t="n"/>
      <c r="T636" s="18" t="n"/>
      <c r="U636" s="17" t="n"/>
      <c r="V636" s="17" t="n"/>
      <c r="W636" s="18" t="n"/>
      <c r="X636" s="18" t="n"/>
      <c r="Y636" s="17" t="n"/>
      <c r="Z636" s="10" t="n"/>
      <c r="AA636" s="10" t="n"/>
      <c r="AB636" s="19">
        <f>IF(LEN(A636)&gt;0,1,0)</f>
        <v/>
      </c>
      <c r="AC636" s="19">
        <f>IF(LEN(A636)=0,0,(LEN(B636)=0)+(LEN(C636)=0)+(LEN(D636)=0)+(LEN(E636)=0)+(LEN(F636)=0)+(LEN(G636)=0)+(LEN(H636)=0)+(LEN(I636)=0)+(LEN(J636)=0)+(LEN(K636)=0)+(LEN(L636)=0)+(LEN(N636)=0)+(LEN(O636)=0)+(LEN(P636)=0)+(LEN(R636)=0)+(LEN(AA636)=0))</f>
        <v/>
      </c>
      <c r="AD636" s="19">
        <f>IF(OR(LEN(A636)=0,LEN(C636)=0),0,IF(OR(C636&lt;1,C636&gt;5),1,0))</f>
        <v/>
      </c>
      <c r="AE636" s="19">
        <f>IF(OR(LEN(A636)=0,LEN(R636)=0),0,IF(OR(R636="Active",R636="Paid off",R636="Defaulted",R636="Repossessed",R636="Written off",R636="Restructured"),0,1))</f>
        <v/>
      </c>
      <c r="AF636" s="19">
        <f>IF(A636="",0,IF(N(J636)&gt;N(I636),1,0))</f>
        <v/>
      </c>
      <c r="AG636" s="19">
        <f>IF(A636="",0,IF(N(N636)&gt;N(M636)+1,1,0))</f>
        <v/>
      </c>
      <c r="AH636" s="19">
        <f>IF(A636="",0,IF(N(E636)&gt;N(B636),1,0))</f>
        <v/>
      </c>
      <c r="AI636" s="19">
        <f>IF(A636="",0,IF(AND(Z636="Full payment",N(N636)&lt;N(M636)-1),1,0))</f>
        <v/>
      </c>
      <c r="AJ636" s="19">
        <f>IF(A636="",0,IF(N(P636)&lt;0,1,0))</f>
        <v/>
      </c>
      <c r="AK636" s="19">
        <f>IF(A636="",0,IF(COUNTIF($A$7:$A$1006,A636)&gt;1,1,0))</f>
        <v/>
      </c>
    </row>
    <row r="637">
      <c r="A637" s="10" t="n"/>
      <c r="B637" s="17" t="n"/>
      <c r="C637" s="18" t="n"/>
      <c r="D637" s="10" t="n"/>
      <c r="E637" s="17" t="n"/>
      <c r="F637" s="10" t="n"/>
      <c r="G637" s="10" t="n"/>
      <c r="H637" s="10" t="n"/>
      <c r="I637" s="18" t="n"/>
      <c r="J637" s="18" t="n"/>
      <c r="K637" s="18" t="n"/>
      <c r="L637" s="18" t="n"/>
      <c r="M637" s="19">
        <f>IF(K637="","",K637*365/12*L637)</f>
        <v/>
      </c>
      <c r="N637" s="18" t="n"/>
      <c r="O637" s="18" t="n"/>
      <c r="P637" s="18" t="n"/>
      <c r="Q637" s="18" t="n"/>
      <c r="R637" s="10" t="n"/>
      <c r="S637" s="17" t="n"/>
      <c r="T637" s="18" t="n"/>
      <c r="U637" s="17" t="n"/>
      <c r="V637" s="17" t="n"/>
      <c r="W637" s="18" t="n"/>
      <c r="X637" s="18" t="n"/>
      <c r="Y637" s="17" t="n"/>
      <c r="Z637" s="10" t="n"/>
      <c r="AA637" s="10" t="n"/>
      <c r="AB637" s="19">
        <f>IF(LEN(A637)&gt;0,1,0)</f>
        <v/>
      </c>
      <c r="AC637" s="19">
        <f>IF(LEN(A637)=0,0,(LEN(B637)=0)+(LEN(C637)=0)+(LEN(D637)=0)+(LEN(E637)=0)+(LEN(F637)=0)+(LEN(G637)=0)+(LEN(H637)=0)+(LEN(I637)=0)+(LEN(J637)=0)+(LEN(K637)=0)+(LEN(L637)=0)+(LEN(N637)=0)+(LEN(O637)=0)+(LEN(P637)=0)+(LEN(R637)=0)+(LEN(AA637)=0))</f>
        <v/>
      </c>
      <c r="AD637" s="19">
        <f>IF(OR(LEN(A637)=0,LEN(C637)=0),0,IF(OR(C637&lt;1,C637&gt;5),1,0))</f>
        <v/>
      </c>
      <c r="AE637" s="19">
        <f>IF(OR(LEN(A637)=0,LEN(R637)=0),0,IF(OR(R637="Active",R637="Paid off",R637="Defaulted",R637="Repossessed",R637="Written off",R637="Restructured"),0,1))</f>
        <v/>
      </c>
      <c r="AF637" s="19">
        <f>IF(A637="",0,IF(N(J637)&gt;N(I637),1,0))</f>
        <v/>
      </c>
      <c r="AG637" s="19">
        <f>IF(A637="",0,IF(N(N637)&gt;N(M637)+1,1,0))</f>
        <v/>
      </c>
      <c r="AH637" s="19">
        <f>IF(A637="",0,IF(N(E637)&gt;N(B637),1,0))</f>
        <v/>
      </c>
      <c r="AI637" s="19">
        <f>IF(A637="",0,IF(AND(Z637="Full payment",N(N637)&lt;N(M637)-1),1,0))</f>
        <v/>
      </c>
      <c r="AJ637" s="19">
        <f>IF(A637="",0,IF(N(P637)&lt;0,1,0))</f>
        <v/>
      </c>
      <c r="AK637" s="19">
        <f>IF(A637="",0,IF(COUNTIF($A$7:$A$1006,A637)&gt;1,1,0))</f>
        <v/>
      </c>
    </row>
    <row r="638">
      <c r="A638" s="10" t="n"/>
      <c r="B638" s="17" t="n"/>
      <c r="C638" s="18" t="n"/>
      <c r="D638" s="10" t="n"/>
      <c r="E638" s="17" t="n"/>
      <c r="F638" s="10" t="n"/>
      <c r="G638" s="10" t="n"/>
      <c r="H638" s="10" t="n"/>
      <c r="I638" s="18" t="n"/>
      <c r="J638" s="18" t="n"/>
      <c r="K638" s="18" t="n"/>
      <c r="L638" s="18" t="n"/>
      <c r="M638" s="19">
        <f>IF(K638="","",K638*365/12*L638)</f>
        <v/>
      </c>
      <c r="N638" s="18" t="n"/>
      <c r="O638" s="18" t="n"/>
      <c r="P638" s="18" t="n"/>
      <c r="Q638" s="18" t="n"/>
      <c r="R638" s="10" t="n"/>
      <c r="S638" s="17" t="n"/>
      <c r="T638" s="18" t="n"/>
      <c r="U638" s="17" t="n"/>
      <c r="V638" s="17" t="n"/>
      <c r="W638" s="18" t="n"/>
      <c r="X638" s="18" t="n"/>
      <c r="Y638" s="17" t="n"/>
      <c r="Z638" s="10" t="n"/>
      <c r="AA638" s="10" t="n"/>
      <c r="AB638" s="19">
        <f>IF(LEN(A638)&gt;0,1,0)</f>
        <v/>
      </c>
      <c r="AC638" s="19">
        <f>IF(LEN(A638)=0,0,(LEN(B638)=0)+(LEN(C638)=0)+(LEN(D638)=0)+(LEN(E638)=0)+(LEN(F638)=0)+(LEN(G638)=0)+(LEN(H638)=0)+(LEN(I638)=0)+(LEN(J638)=0)+(LEN(K638)=0)+(LEN(L638)=0)+(LEN(N638)=0)+(LEN(O638)=0)+(LEN(P638)=0)+(LEN(R638)=0)+(LEN(AA638)=0))</f>
        <v/>
      </c>
      <c r="AD638" s="19">
        <f>IF(OR(LEN(A638)=0,LEN(C638)=0),0,IF(OR(C638&lt;1,C638&gt;5),1,0))</f>
        <v/>
      </c>
      <c r="AE638" s="19">
        <f>IF(OR(LEN(A638)=0,LEN(R638)=0),0,IF(OR(R638="Active",R638="Paid off",R638="Defaulted",R638="Repossessed",R638="Written off",R638="Restructured"),0,1))</f>
        <v/>
      </c>
      <c r="AF638" s="19">
        <f>IF(A638="",0,IF(N(J638)&gt;N(I638),1,0))</f>
        <v/>
      </c>
      <c r="AG638" s="19">
        <f>IF(A638="",0,IF(N(N638)&gt;N(M638)+1,1,0))</f>
        <v/>
      </c>
      <c r="AH638" s="19">
        <f>IF(A638="",0,IF(N(E638)&gt;N(B638),1,0))</f>
        <v/>
      </c>
      <c r="AI638" s="19">
        <f>IF(A638="",0,IF(AND(Z638="Full payment",N(N638)&lt;N(M638)-1),1,0))</f>
        <v/>
      </c>
      <c r="AJ638" s="19">
        <f>IF(A638="",0,IF(N(P638)&lt;0,1,0))</f>
        <v/>
      </c>
      <c r="AK638" s="19">
        <f>IF(A638="",0,IF(COUNTIF($A$7:$A$1006,A638)&gt;1,1,0))</f>
        <v/>
      </c>
    </row>
    <row r="639">
      <c r="A639" s="10" t="n"/>
      <c r="B639" s="17" t="n"/>
      <c r="C639" s="18" t="n"/>
      <c r="D639" s="10" t="n"/>
      <c r="E639" s="17" t="n"/>
      <c r="F639" s="10" t="n"/>
      <c r="G639" s="10" t="n"/>
      <c r="H639" s="10" t="n"/>
      <c r="I639" s="18" t="n"/>
      <c r="J639" s="18" t="n"/>
      <c r="K639" s="18" t="n"/>
      <c r="L639" s="18" t="n"/>
      <c r="M639" s="19">
        <f>IF(K639="","",K639*365/12*L639)</f>
        <v/>
      </c>
      <c r="N639" s="18" t="n"/>
      <c r="O639" s="18" t="n"/>
      <c r="P639" s="18" t="n"/>
      <c r="Q639" s="18" t="n"/>
      <c r="R639" s="10" t="n"/>
      <c r="S639" s="17" t="n"/>
      <c r="T639" s="18" t="n"/>
      <c r="U639" s="17" t="n"/>
      <c r="V639" s="17" t="n"/>
      <c r="W639" s="18" t="n"/>
      <c r="X639" s="18" t="n"/>
      <c r="Y639" s="17" t="n"/>
      <c r="Z639" s="10" t="n"/>
      <c r="AA639" s="10" t="n"/>
      <c r="AB639" s="19">
        <f>IF(LEN(A639)&gt;0,1,0)</f>
        <v/>
      </c>
      <c r="AC639" s="19">
        <f>IF(LEN(A639)=0,0,(LEN(B639)=0)+(LEN(C639)=0)+(LEN(D639)=0)+(LEN(E639)=0)+(LEN(F639)=0)+(LEN(G639)=0)+(LEN(H639)=0)+(LEN(I639)=0)+(LEN(J639)=0)+(LEN(K639)=0)+(LEN(L639)=0)+(LEN(N639)=0)+(LEN(O639)=0)+(LEN(P639)=0)+(LEN(R639)=0)+(LEN(AA639)=0))</f>
        <v/>
      </c>
      <c r="AD639" s="19">
        <f>IF(OR(LEN(A639)=0,LEN(C639)=0),0,IF(OR(C639&lt;1,C639&gt;5),1,0))</f>
        <v/>
      </c>
      <c r="AE639" s="19">
        <f>IF(OR(LEN(A639)=0,LEN(R639)=0),0,IF(OR(R639="Active",R639="Paid off",R639="Defaulted",R639="Repossessed",R639="Written off",R639="Restructured"),0,1))</f>
        <v/>
      </c>
      <c r="AF639" s="19">
        <f>IF(A639="",0,IF(N(J639)&gt;N(I639),1,0))</f>
        <v/>
      </c>
      <c r="AG639" s="19">
        <f>IF(A639="",0,IF(N(N639)&gt;N(M639)+1,1,0))</f>
        <v/>
      </c>
      <c r="AH639" s="19">
        <f>IF(A639="",0,IF(N(E639)&gt;N(B639),1,0))</f>
        <v/>
      </c>
      <c r="AI639" s="19">
        <f>IF(A639="",0,IF(AND(Z639="Full payment",N(N639)&lt;N(M639)-1),1,0))</f>
        <v/>
      </c>
      <c r="AJ639" s="19">
        <f>IF(A639="",0,IF(N(P639)&lt;0,1,0))</f>
        <v/>
      </c>
      <c r="AK639" s="19">
        <f>IF(A639="",0,IF(COUNTIF($A$7:$A$1006,A639)&gt;1,1,0))</f>
        <v/>
      </c>
    </row>
    <row r="640">
      <c r="A640" s="10" t="n"/>
      <c r="B640" s="17" t="n"/>
      <c r="C640" s="18" t="n"/>
      <c r="D640" s="10" t="n"/>
      <c r="E640" s="17" t="n"/>
      <c r="F640" s="10" t="n"/>
      <c r="G640" s="10" t="n"/>
      <c r="H640" s="10" t="n"/>
      <c r="I640" s="18" t="n"/>
      <c r="J640" s="18" t="n"/>
      <c r="K640" s="18" t="n"/>
      <c r="L640" s="18" t="n"/>
      <c r="M640" s="19">
        <f>IF(K640="","",K640*365/12*L640)</f>
        <v/>
      </c>
      <c r="N640" s="18" t="n"/>
      <c r="O640" s="18" t="n"/>
      <c r="P640" s="18" t="n"/>
      <c r="Q640" s="18" t="n"/>
      <c r="R640" s="10" t="n"/>
      <c r="S640" s="17" t="n"/>
      <c r="T640" s="18" t="n"/>
      <c r="U640" s="17" t="n"/>
      <c r="V640" s="17" t="n"/>
      <c r="W640" s="18" t="n"/>
      <c r="X640" s="18" t="n"/>
      <c r="Y640" s="17" t="n"/>
      <c r="Z640" s="10" t="n"/>
      <c r="AA640" s="10" t="n"/>
      <c r="AB640" s="19">
        <f>IF(LEN(A640)&gt;0,1,0)</f>
        <v/>
      </c>
      <c r="AC640" s="19">
        <f>IF(LEN(A640)=0,0,(LEN(B640)=0)+(LEN(C640)=0)+(LEN(D640)=0)+(LEN(E640)=0)+(LEN(F640)=0)+(LEN(G640)=0)+(LEN(H640)=0)+(LEN(I640)=0)+(LEN(J640)=0)+(LEN(K640)=0)+(LEN(L640)=0)+(LEN(N640)=0)+(LEN(O640)=0)+(LEN(P640)=0)+(LEN(R640)=0)+(LEN(AA640)=0))</f>
        <v/>
      </c>
      <c r="AD640" s="19">
        <f>IF(OR(LEN(A640)=0,LEN(C640)=0),0,IF(OR(C640&lt;1,C640&gt;5),1,0))</f>
        <v/>
      </c>
      <c r="AE640" s="19">
        <f>IF(OR(LEN(A640)=0,LEN(R640)=0),0,IF(OR(R640="Active",R640="Paid off",R640="Defaulted",R640="Repossessed",R640="Written off",R640="Restructured"),0,1))</f>
        <v/>
      </c>
      <c r="AF640" s="19">
        <f>IF(A640="",0,IF(N(J640)&gt;N(I640),1,0))</f>
        <v/>
      </c>
      <c r="AG640" s="19">
        <f>IF(A640="",0,IF(N(N640)&gt;N(M640)+1,1,0))</f>
        <v/>
      </c>
      <c r="AH640" s="19">
        <f>IF(A640="",0,IF(N(E640)&gt;N(B640),1,0))</f>
        <v/>
      </c>
      <c r="AI640" s="19">
        <f>IF(A640="",0,IF(AND(Z640="Full payment",N(N640)&lt;N(M640)-1),1,0))</f>
        <v/>
      </c>
      <c r="AJ640" s="19">
        <f>IF(A640="",0,IF(N(P640)&lt;0,1,0))</f>
        <v/>
      </c>
      <c r="AK640" s="19">
        <f>IF(A640="",0,IF(COUNTIF($A$7:$A$1006,A640)&gt;1,1,0))</f>
        <v/>
      </c>
    </row>
    <row r="641">
      <c r="A641" s="10" t="n"/>
      <c r="B641" s="17" t="n"/>
      <c r="C641" s="18" t="n"/>
      <c r="D641" s="10" t="n"/>
      <c r="E641" s="17" t="n"/>
      <c r="F641" s="10" t="n"/>
      <c r="G641" s="10" t="n"/>
      <c r="H641" s="10" t="n"/>
      <c r="I641" s="18" t="n"/>
      <c r="J641" s="18" t="n"/>
      <c r="K641" s="18" t="n"/>
      <c r="L641" s="18" t="n"/>
      <c r="M641" s="19">
        <f>IF(K641="","",K641*365/12*L641)</f>
        <v/>
      </c>
      <c r="N641" s="18" t="n"/>
      <c r="O641" s="18" t="n"/>
      <c r="P641" s="18" t="n"/>
      <c r="Q641" s="18" t="n"/>
      <c r="R641" s="10" t="n"/>
      <c r="S641" s="17" t="n"/>
      <c r="T641" s="18" t="n"/>
      <c r="U641" s="17" t="n"/>
      <c r="V641" s="17" t="n"/>
      <c r="W641" s="18" t="n"/>
      <c r="X641" s="18" t="n"/>
      <c r="Y641" s="17" t="n"/>
      <c r="Z641" s="10" t="n"/>
      <c r="AA641" s="10" t="n"/>
      <c r="AB641" s="19">
        <f>IF(LEN(A641)&gt;0,1,0)</f>
        <v/>
      </c>
      <c r="AC641" s="19">
        <f>IF(LEN(A641)=0,0,(LEN(B641)=0)+(LEN(C641)=0)+(LEN(D641)=0)+(LEN(E641)=0)+(LEN(F641)=0)+(LEN(G641)=0)+(LEN(H641)=0)+(LEN(I641)=0)+(LEN(J641)=0)+(LEN(K641)=0)+(LEN(L641)=0)+(LEN(N641)=0)+(LEN(O641)=0)+(LEN(P641)=0)+(LEN(R641)=0)+(LEN(AA641)=0))</f>
        <v/>
      </c>
      <c r="AD641" s="19">
        <f>IF(OR(LEN(A641)=0,LEN(C641)=0),0,IF(OR(C641&lt;1,C641&gt;5),1,0))</f>
        <v/>
      </c>
      <c r="AE641" s="19">
        <f>IF(OR(LEN(A641)=0,LEN(R641)=0),0,IF(OR(R641="Active",R641="Paid off",R641="Defaulted",R641="Repossessed",R641="Written off",R641="Restructured"),0,1))</f>
        <v/>
      </c>
      <c r="AF641" s="19">
        <f>IF(A641="",0,IF(N(J641)&gt;N(I641),1,0))</f>
        <v/>
      </c>
      <c r="AG641" s="19">
        <f>IF(A641="",0,IF(N(N641)&gt;N(M641)+1,1,0))</f>
        <v/>
      </c>
      <c r="AH641" s="19">
        <f>IF(A641="",0,IF(N(E641)&gt;N(B641),1,0))</f>
        <v/>
      </c>
      <c r="AI641" s="19">
        <f>IF(A641="",0,IF(AND(Z641="Full payment",N(N641)&lt;N(M641)-1),1,0))</f>
        <v/>
      </c>
      <c r="AJ641" s="19">
        <f>IF(A641="",0,IF(N(P641)&lt;0,1,0))</f>
        <v/>
      </c>
      <c r="AK641" s="19">
        <f>IF(A641="",0,IF(COUNTIF($A$7:$A$1006,A641)&gt;1,1,0))</f>
        <v/>
      </c>
    </row>
    <row r="642">
      <c r="A642" s="10" t="n"/>
      <c r="B642" s="17" t="n"/>
      <c r="C642" s="18" t="n"/>
      <c r="D642" s="10" t="n"/>
      <c r="E642" s="17" t="n"/>
      <c r="F642" s="10" t="n"/>
      <c r="G642" s="10" t="n"/>
      <c r="H642" s="10" t="n"/>
      <c r="I642" s="18" t="n"/>
      <c r="J642" s="18" t="n"/>
      <c r="K642" s="18" t="n"/>
      <c r="L642" s="18" t="n"/>
      <c r="M642" s="19">
        <f>IF(K642="","",K642*365/12*L642)</f>
        <v/>
      </c>
      <c r="N642" s="18" t="n"/>
      <c r="O642" s="18" t="n"/>
      <c r="P642" s="18" t="n"/>
      <c r="Q642" s="18" t="n"/>
      <c r="R642" s="10" t="n"/>
      <c r="S642" s="17" t="n"/>
      <c r="T642" s="18" t="n"/>
      <c r="U642" s="17" t="n"/>
      <c r="V642" s="17" t="n"/>
      <c r="W642" s="18" t="n"/>
      <c r="X642" s="18" t="n"/>
      <c r="Y642" s="17" t="n"/>
      <c r="Z642" s="10" t="n"/>
      <c r="AA642" s="10" t="n"/>
      <c r="AB642" s="19">
        <f>IF(LEN(A642)&gt;0,1,0)</f>
        <v/>
      </c>
      <c r="AC642" s="19">
        <f>IF(LEN(A642)=0,0,(LEN(B642)=0)+(LEN(C642)=0)+(LEN(D642)=0)+(LEN(E642)=0)+(LEN(F642)=0)+(LEN(G642)=0)+(LEN(H642)=0)+(LEN(I642)=0)+(LEN(J642)=0)+(LEN(K642)=0)+(LEN(L642)=0)+(LEN(N642)=0)+(LEN(O642)=0)+(LEN(P642)=0)+(LEN(R642)=0)+(LEN(AA642)=0))</f>
        <v/>
      </c>
      <c r="AD642" s="19">
        <f>IF(OR(LEN(A642)=0,LEN(C642)=0),0,IF(OR(C642&lt;1,C642&gt;5),1,0))</f>
        <v/>
      </c>
      <c r="AE642" s="19">
        <f>IF(OR(LEN(A642)=0,LEN(R642)=0),0,IF(OR(R642="Active",R642="Paid off",R642="Defaulted",R642="Repossessed",R642="Written off",R642="Restructured"),0,1))</f>
        <v/>
      </c>
      <c r="AF642" s="19">
        <f>IF(A642="",0,IF(N(J642)&gt;N(I642),1,0))</f>
        <v/>
      </c>
      <c r="AG642" s="19">
        <f>IF(A642="",0,IF(N(N642)&gt;N(M642)+1,1,0))</f>
        <v/>
      </c>
      <c r="AH642" s="19">
        <f>IF(A642="",0,IF(N(E642)&gt;N(B642),1,0))</f>
        <v/>
      </c>
      <c r="AI642" s="19">
        <f>IF(A642="",0,IF(AND(Z642="Full payment",N(N642)&lt;N(M642)-1),1,0))</f>
        <v/>
      </c>
      <c r="AJ642" s="19">
        <f>IF(A642="",0,IF(N(P642)&lt;0,1,0))</f>
        <v/>
      </c>
      <c r="AK642" s="19">
        <f>IF(A642="",0,IF(COUNTIF($A$7:$A$1006,A642)&gt;1,1,0))</f>
        <v/>
      </c>
    </row>
    <row r="643">
      <c r="A643" s="10" t="n"/>
      <c r="B643" s="17" t="n"/>
      <c r="C643" s="18" t="n"/>
      <c r="D643" s="10" t="n"/>
      <c r="E643" s="17" t="n"/>
      <c r="F643" s="10" t="n"/>
      <c r="G643" s="10" t="n"/>
      <c r="H643" s="10" t="n"/>
      <c r="I643" s="18" t="n"/>
      <c r="J643" s="18" t="n"/>
      <c r="K643" s="18" t="n"/>
      <c r="L643" s="18" t="n"/>
      <c r="M643" s="19">
        <f>IF(K643="","",K643*365/12*L643)</f>
        <v/>
      </c>
      <c r="N643" s="18" t="n"/>
      <c r="O643" s="18" t="n"/>
      <c r="P643" s="18" t="n"/>
      <c r="Q643" s="18" t="n"/>
      <c r="R643" s="10" t="n"/>
      <c r="S643" s="17" t="n"/>
      <c r="T643" s="18" t="n"/>
      <c r="U643" s="17" t="n"/>
      <c r="V643" s="17" t="n"/>
      <c r="W643" s="18" t="n"/>
      <c r="X643" s="18" t="n"/>
      <c r="Y643" s="17" t="n"/>
      <c r="Z643" s="10" t="n"/>
      <c r="AA643" s="10" t="n"/>
      <c r="AB643" s="19">
        <f>IF(LEN(A643)&gt;0,1,0)</f>
        <v/>
      </c>
      <c r="AC643" s="19">
        <f>IF(LEN(A643)=0,0,(LEN(B643)=0)+(LEN(C643)=0)+(LEN(D643)=0)+(LEN(E643)=0)+(LEN(F643)=0)+(LEN(G643)=0)+(LEN(H643)=0)+(LEN(I643)=0)+(LEN(J643)=0)+(LEN(K643)=0)+(LEN(L643)=0)+(LEN(N643)=0)+(LEN(O643)=0)+(LEN(P643)=0)+(LEN(R643)=0)+(LEN(AA643)=0))</f>
        <v/>
      </c>
      <c r="AD643" s="19">
        <f>IF(OR(LEN(A643)=0,LEN(C643)=0),0,IF(OR(C643&lt;1,C643&gt;5),1,0))</f>
        <v/>
      </c>
      <c r="AE643" s="19">
        <f>IF(OR(LEN(A643)=0,LEN(R643)=0),0,IF(OR(R643="Active",R643="Paid off",R643="Defaulted",R643="Repossessed",R643="Written off",R643="Restructured"),0,1))</f>
        <v/>
      </c>
      <c r="AF643" s="19">
        <f>IF(A643="",0,IF(N(J643)&gt;N(I643),1,0))</f>
        <v/>
      </c>
      <c r="AG643" s="19">
        <f>IF(A643="",0,IF(N(N643)&gt;N(M643)+1,1,0))</f>
        <v/>
      </c>
      <c r="AH643" s="19">
        <f>IF(A643="",0,IF(N(E643)&gt;N(B643),1,0))</f>
        <v/>
      </c>
      <c r="AI643" s="19">
        <f>IF(A643="",0,IF(AND(Z643="Full payment",N(N643)&lt;N(M643)-1),1,0))</f>
        <v/>
      </c>
      <c r="AJ643" s="19">
        <f>IF(A643="",0,IF(N(P643)&lt;0,1,0))</f>
        <v/>
      </c>
      <c r="AK643" s="19">
        <f>IF(A643="",0,IF(COUNTIF($A$7:$A$1006,A643)&gt;1,1,0))</f>
        <v/>
      </c>
    </row>
    <row r="644">
      <c r="A644" s="10" t="n"/>
      <c r="B644" s="17" t="n"/>
      <c r="C644" s="18" t="n"/>
      <c r="D644" s="10" t="n"/>
      <c r="E644" s="17" t="n"/>
      <c r="F644" s="10" t="n"/>
      <c r="G644" s="10" t="n"/>
      <c r="H644" s="10" t="n"/>
      <c r="I644" s="18" t="n"/>
      <c r="J644" s="18" t="n"/>
      <c r="K644" s="18" t="n"/>
      <c r="L644" s="18" t="n"/>
      <c r="M644" s="19">
        <f>IF(K644="","",K644*365/12*L644)</f>
        <v/>
      </c>
      <c r="N644" s="18" t="n"/>
      <c r="O644" s="18" t="n"/>
      <c r="P644" s="18" t="n"/>
      <c r="Q644" s="18" t="n"/>
      <c r="R644" s="10" t="n"/>
      <c r="S644" s="17" t="n"/>
      <c r="T644" s="18" t="n"/>
      <c r="U644" s="17" t="n"/>
      <c r="V644" s="17" t="n"/>
      <c r="W644" s="18" t="n"/>
      <c r="X644" s="18" t="n"/>
      <c r="Y644" s="17" t="n"/>
      <c r="Z644" s="10" t="n"/>
      <c r="AA644" s="10" t="n"/>
      <c r="AB644" s="19">
        <f>IF(LEN(A644)&gt;0,1,0)</f>
        <v/>
      </c>
      <c r="AC644" s="19">
        <f>IF(LEN(A644)=0,0,(LEN(B644)=0)+(LEN(C644)=0)+(LEN(D644)=0)+(LEN(E644)=0)+(LEN(F644)=0)+(LEN(G644)=0)+(LEN(H644)=0)+(LEN(I644)=0)+(LEN(J644)=0)+(LEN(K644)=0)+(LEN(L644)=0)+(LEN(N644)=0)+(LEN(O644)=0)+(LEN(P644)=0)+(LEN(R644)=0)+(LEN(AA644)=0))</f>
        <v/>
      </c>
      <c r="AD644" s="19">
        <f>IF(OR(LEN(A644)=0,LEN(C644)=0),0,IF(OR(C644&lt;1,C644&gt;5),1,0))</f>
        <v/>
      </c>
      <c r="AE644" s="19">
        <f>IF(OR(LEN(A644)=0,LEN(R644)=0),0,IF(OR(R644="Active",R644="Paid off",R644="Defaulted",R644="Repossessed",R644="Written off",R644="Restructured"),0,1))</f>
        <v/>
      </c>
      <c r="AF644" s="19">
        <f>IF(A644="",0,IF(N(J644)&gt;N(I644),1,0))</f>
        <v/>
      </c>
      <c r="AG644" s="19">
        <f>IF(A644="",0,IF(N(N644)&gt;N(M644)+1,1,0))</f>
        <v/>
      </c>
      <c r="AH644" s="19">
        <f>IF(A644="",0,IF(N(E644)&gt;N(B644),1,0))</f>
        <v/>
      </c>
      <c r="AI644" s="19">
        <f>IF(A644="",0,IF(AND(Z644="Full payment",N(N644)&lt;N(M644)-1),1,0))</f>
        <v/>
      </c>
      <c r="AJ644" s="19">
        <f>IF(A644="",0,IF(N(P644)&lt;0,1,0))</f>
        <v/>
      </c>
      <c r="AK644" s="19">
        <f>IF(A644="",0,IF(COUNTIF($A$7:$A$1006,A644)&gt;1,1,0))</f>
        <v/>
      </c>
    </row>
    <row r="645">
      <c r="A645" s="10" t="n"/>
      <c r="B645" s="17" t="n"/>
      <c r="C645" s="18" t="n"/>
      <c r="D645" s="10" t="n"/>
      <c r="E645" s="17" t="n"/>
      <c r="F645" s="10" t="n"/>
      <c r="G645" s="10" t="n"/>
      <c r="H645" s="10" t="n"/>
      <c r="I645" s="18" t="n"/>
      <c r="J645" s="18" t="n"/>
      <c r="K645" s="18" t="n"/>
      <c r="L645" s="18" t="n"/>
      <c r="M645" s="19">
        <f>IF(K645="","",K645*365/12*L645)</f>
        <v/>
      </c>
      <c r="N645" s="18" t="n"/>
      <c r="O645" s="18" t="n"/>
      <c r="P645" s="18" t="n"/>
      <c r="Q645" s="18" t="n"/>
      <c r="R645" s="10" t="n"/>
      <c r="S645" s="17" t="n"/>
      <c r="T645" s="18" t="n"/>
      <c r="U645" s="17" t="n"/>
      <c r="V645" s="17" t="n"/>
      <c r="W645" s="18" t="n"/>
      <c r="X645" s="18" t="n"/>
      <c r="Y645" s="17" t="n"/>
      <c r="Z645" s="10" t="n"/>
      <c r="AA645" s="10" t="n"/>
      <c r="AB645" s="19">
        <f>IF(LEN(A645)&gt;0,1,0)</f>
        <v/>
      </c>
      <c r="AC645" s="19">
        <f>IF(LEN(A645)=0,0,(LEN(B645)=0)+(LEN(C645)=0)+(LEN(D645)=0)+(LEN(E645)=0)+(LEN(F645)=0)+(LEN(G645)=0)+(LEN(H645)=0)+(LEN(I645)=0)+(LEN(J645)=0)+(LEN(K645)=0)+(LEN(L645)=0)+(LEN(N645)=0)+(LEN(O645)=0)+(LEN(P645)=0)+(LEN(R645)=0)+(LEN(AA645)=0))</f>
        <v/>
      </c>
      <c r="AD645" s="19">
        <f>IF(OR(LEN(A645)=0,LEN(C645)=0),0,IF(OR(C645&lt;1,C645&gt;5),1,0))</f>
        <v/>
      </c>
      <c r="AE645" s="19">
        <f>IF(OR(LEN(A645)=0,LEN(R645)=0),0,IF(OR(R645="Active",R645="Paid off",R645="Defaulted",R645="Repossessed",R645="Written off",R645="Restructured"),0,1))</f>
        <v/>
      </c>
      <c r="AF645" s="19">
        <f>IF(A645="",0,IF(N(J645)&gt;N(I645),1,0))</f>
        <v/>
      </c>
      <c r="AG645" s="19">
        <f>IF(A645="",0,IF(N(N645)&gt;N(M645)+1,1,0))</f>
        <v/>
      </c>
      <c r="AH645" s="19">
        <f>IF(A645="",0,IF(N(E645)&gt;N(B645),1,0))</f>
        <v/>
      </c>
      <c r="AI645" s="19">
        <f>IF(A645="",0,IF(AND(Z645="Full payment",N(N645)&lt;N(M645)-1),1,0))</f>
        <v/>
      </c>
      <c r="AJ645" s="19">
        <f>IF(A645="",0,IF(N(P645)&lt;0,1,0))</f>
        <v/>
      </c>
      <c r="AK645" s="19">
        <f>IF(A645="",0,IF(COUNTIF($A$7:$A$1006,A645)&gt;1,1,0))</f>
        <v/>
      </c>
    </row>
    <row r="646">
      <c r="A646" s="10" t="n"/>
      <c r="B646" s="17" t="n"/>
      <c r="C646" s="18" t="n"/>
      <c r="D646" s="10" t="n"/>
      <c r="E646" s="17" t="n"/>
      <c r="F646" s="10" t="n"/>
      <c r="G646" s="10" t="n"/>
      <c r="H646" s="10" t="n"/>
      <c r="I646" s="18" t="n"/>
      <c r="J646" s="18" t="n"/>
      <c r="K646" s="18" t="n"/>
      <c r="L646" s="18" t="n"/>
      <c r="M646" s="19">
        <f>IF(K646="","",K646*365/12*L646)</f>
        <v/>
      </c>
      <c r="N646" s="18" t="n"/>
      <c r="O646" s="18" t="n"/>
      <c r="P646" s="18" t="n"/>
      <c r="Q646" s="18" t="n"/>
      <c r="R646" s="10" t="n"/>
      <c r="S646" s="17" t="n"/>
      <c r="T646" s="18" t="n"/>
      <c r="U646" s="17" t="n"/>
      <c r="V646" s="17" t="n"/>
      <c r="W646" s="18" t="n"/>
      <c r="X646" s="18" t="n"/>
      <c r="Y646" s="17" t="n"/>
      <c r="Z646" s="10" t="n"/>
      <c r="AA646" s="10" t="n"/>
      <c r="AB646" s="19">
        <f>IF(LEN(A646)&gt;0,1,0)</f>
        <v/>
      </c>
      <c r="AC646" s="19">
        <f>IF(LEN(A646)=0,0,(LEN(B646)=0)+(LEN(C646)=0)+(LEN(D646)=0)+(LEN(E646)=0)+(LEN(F646)=0)+(LEN(G646)=0)+(LEN(H646)=0)+(LEN(I646)=0)+(LEN(J646)=0)+(LEN(K646)=0)+(LEN(L646)=0)+(LEN(N646)=0)+(LEN(O646)=0)+(LEN(P646)=0)+(LEN(R646)=0)+(LEN(AA646)=0))</f>
        <v/>
      </c>
      <c r="AD646" s="19">
        <f>IF(OR(LEN(A646)=0,LEN(C646)=0),0,IF(OR(C646&lt;1,C646&gt;5),1,0))</f>
        <v/>
      </c>
      <c r="AE646" s="19">
        <f>IF(OR(LEN(A646)=0,LEN(R646)=0),0,IF(OR(R646="Active",R646="Paid off",R646="Defaulted",R646="Repossessed",R646="Written off",R646="Restructured"),0,1))</f>
        <v/>
      </c>
      <c r="AF646" s="19">
        <f>IF(A646="",0,IF(N(J646)&gt;N(I646),1,0))</f>
        <v/>
      </c>
      <c r="AG646" s="19">
        <f>IF(A646="",0,IF(N(N646)&gt;N(M646)+1,1,0))</f>
        <v/>
      </c>
      <c r="AH646" s="19">
        <f>IF(A646="",0,IF(N(E646)&gt;N(B646),1,0))</f>
        <v/>
      </c>
      <c r="AI646" s="19">
        <f>IF(A646="",0,IF(AND(Z646="Full payment",N(N646)&lt;N(M646)-1),1,0))</f>
        <v/>
      </c>
      <c r="AJ646" s="19">
        <f>IF(A646="",0,IF(N(P646)&lt;0,1,0))</f>
        <v/>
      </c>
      <c r="AK646" s="19">
        <f>IF(A646="",0,IF(COUNTIF($A$7:$A$1006,A646)&gt;1,1,0))</f>
        <v/>
      </c>
    </row>
    <row r="647">
      <c r="A647" s="10" t="n"/>
      <c r="B647" s="17" t="n"/>
      <c r="C647" s="18" t="n"/>
      <c r="D647" s="10" t="n"/>
      <c r="E647" s="17" t="n"/>
      <c r="F647" s="10" t="n"/>
      <c r="G647" s="10" t="n"/>
      <c r="H647" s="10" t="n"/>
      <c r="I647" s="18" t="n"/>
      <c r="J647" s="18" t="n"/>
      <c r="K647" s="18" t="n"/>
      <c r="L647" s="18" t="n"/>
      <c r="M647" s="19">
        <f>IF(K647="","",K647*365/12*L647)</f>
        <v/>
      </c>
      <c r="N647" s="18" t="n"/>
      <c r="O647" s="18" t="n"/>
      <c r="P647" s="18" t="n"/>
      <c r="Q647" s="18" t="n"/>
      <c r="R647" s="10" t="n"/>
      <c r="S647" s="17" t="n"/>
      <c r="T647" s="18" t="n"/>
      <c r="U647" s="17" t="n"/>
      <c r="V647" s="17" t="n"/>
      <c r="W647" s="18" t="n"/>
      <c r="X647" s="18" t="n"/>
      <c r="Y647" s="17" t="n"/>
      <c r="Z647" s="10" t="n"/>
      <c r="AA647" s="10" t="n"/>
      <c r="AB647" s="19">
        <f>IF(LEN(A647)&gt;0,1,0)</f>
        <v/>
      </c>
      <c r="AC647" s="19">
        <f>IF(LEN(A647)=0,0,(LEN(B647)=0)+(LEN(C647)=0)+(LEN(D647)=0)+(LEN(E647)=0)+(LEN(F647)=0)+(LEN(G647)=0)+(LEN(H647)=0)+(LEN(I647)=0)+(LEN(J647)=0)+(LEN(K647)=0)+(LEN(L647)=0)+(LEN(N647)=0)+(LEN(O647)=0)+(LEN(P647)=0)+(LEN(R647)=0)+(LEN(AA647)=0))</f>
        <v/>
      </c>
      <c r="AD647" s="19">
        <f>IF(OR(LEN(A647)=0,LEN(C647)=0),0,IF(OR(C647&lt;1,C647&gt;5),1,0))</f>
        <v/>
      </c>
      <c r="AE647" s="19">
        <f>IF(OR(LEN(A647)=0,LEN(R647)=0),0,IF(OR(R647="Active",R647="Paid off",R647="Defaulted",R647="Repossessed",R647="Written off",R647="Restructured"),0,1))</f>
        <v/>
      </c>
      <c r="AF647" s="19">
        <f>IF(A647="",0,IF(N(J647)&gt;N(I647),1,0))</f>
        <v/>
      </c>
      <c r="AG647" s="19">
        <f>IF(A647="",0,IF(N(N647)&gt;N(M647)+1,1,0))</f>
        <v/>
      </c>
      <c r="AH647" s="19">
        <f>IF(A647="",0,IF(N(E647)&gt;N(B647),1,0))</f>
        <v/>
      </c>
      <c r="AI647" s="19">
        <f>IF(A647="",0,IF(AND(Z647="Full payment",N(N647)&lt;N(M647)-1),1,0))</f>
        <v/>
      </c>
      <c r="AJ647" s="19">
        <f>IF(A647="",0,IF(N(P647)&lt;0,1,0))</f>
        <v/>
      </c>
      <c r="AK647" s="19">
        <f>IF(A647="",0,IF(COUNTIF($A$7:$A$1006,A647)&gt;1,1,0))</f>
        <v/>
      </c>
    </row>
    <row r="648">
      <c r="A648" s="10" t="n"/>
      <c r="B648" s="17" t="n"/>
      <c r="C648" s="18" t="n"/>
      <c r="D648" s="10" t="n"/>
      <c r="E648" s="17" t="n"/>
      <c r="F648" s="10" t="n"/>
      <c r="G648" s="10" t="n"/>
      <c r="H648" s="10" t="n"/>
      <c r="I648" s="18" t="n"/>
      <c r="J648" s="18" t="n"/>
      <c r="K648" s="18" t="n"/>
      <c r="L648" s="18" t="n"/>
      <c r="M648" s="19">
        <f>IF(K648="","",K648*365/12*L648)</f>
        <v/>
      </c>
      <c r="N648" s="18" t="n"/>
      <c r="O648" s="18" t="n"/>
      <c r="P648" s="18" t="n"/>
      <c r="Q648" s="18" t="n"/>
      <c r="R648" s="10" t="n"/>
      <c r="S648" s="17" t="n"/>
      <c r="T648" s="18" t="n"/>
      <c r="U648" s="17" t="n"/>
      <c r="V648" s="17" t="n"/>
      <c r="W648" s="18" t="n"/>
      <c r="X648" s="18" t="n"/>
      <c r="Y648" s="17" t="n"/>
      <c r="Z648" s="10" t="n"/>
      <c r="AA648" s="10" t="n"/>
      <c r="AB648" s="19">
        <f>IF(LEN(A648)&gt;0,1,0)</f>
        <v/>
      </c>
      <c r="AC648" s="19">
        <f>IF(LEN(A648)=0,0,(LEN(B648)=0)+(LEN(C648)=0)+(LEN(D648)=0)+(LEN(E648)=0)+(LEN(F648)=0)+(LEN(G648)=0)+(LEN(H648)=0)+(LEN(I648)=0)+(LEN(J648)=0)+(LEN(K648)=0)+(LEN(L648)=0)+(LEN(N648)=0)+(LEN(O648)=0)+(LEN(P648)=0)+(LEN(R648)=0)+(LEN(AA648)=0))</f>
        <v/>
      </c>
      <c r="AD648" s="19">
        <f>IF(OR(LEN(A648)=0,LEN(C648)=0),0,IF(OR(C648&lt;1,C648&gt;5),1,0))</f>
        <v/>
      </c>
      <c r="AE648" s="19">
        <f>IF(OR(LEN(A648)=0,LEN(R648)=0),0,IF(OR(R648="Active",R648="Paid off",R648="Defaulted",R648="Repossessed",R648="Written off",R648="Restructured"),0,1))</f>
        <v/>
      </c>
      <c r="AF648" s="19">
        <f>IF(A648="",0,IF(N(J648)&gt;N(I648),1,0))</f>
        <v/>
      </c>
      <c r="AG648" s="19">
        <f>IF(A648="",0,IF(N(N648)&gt;N(M648)+1,1,0))</f>
        <v/>
      </c>
      <c r="AH648" s="19">
        <f>IF(A648="",0,IF(N(E648)&gt;N(B648),1,0))</f>
        <v/>
      </c>
      <c r="AI648" s="19">
        <f>IF(A648="",0,IF(AND(Z648="Full payment",N(N648)&lt;N(M648)-1),1,0))</f>
        <v/>
      </c>
      <c r="AJ648" s="19">
        <f>IF(A648="",0,IF(N(P648)&lt;0,1,0))</f>
        <v/>
      </c>
      <c r="AK648" s="19">
        <f>IF(A648="",0,IF(COUNTIF($A$7:$A$1006,A648)&gt;1,1,0))</f>
        <v/>
      </c>
    </row>
    <row r="649">
      <c r="A649" s="10" t="n"/>
      <c r="B649" s="17" t="n"/>
      <c r="C649" s="18" t="n"/>
      <c r="D649" s="10" t="n"/>
      <c r="E649" s="17" t="n"/>
      <c r="F649" s="10" t="n"/>
      <c r="G649" s="10" t="n"/>
      <c r="H649" s="10" t="n"/>
      <c r="I649" s="18" t="n"/>
      <c r="J649" s="18" t="n"/>
      <c r="K649" s="18" t="n"/>
      <c r="L649" s="18" t="n"/>
      <c r="M649" s="19">
        <f>IF(K649="","",K649*365/12*L649)</f>
        <v/>
      </c>
      <c r="N649" s="18" t="n"/>
      <c r="O649" s="18" t="n"/>
      <c r="P649" s="18" t="n"/>
      <c r="Q649" s="18" t="n"/>
      <c r="R649" s="10" t="n"/>
      <c r="S649" s="17" t="n"/>
      <c r="T649" s="18" t="n"/>
      <c r="U649" s="17" t="n"/>
      <c r="V649" s="17" t="n"/>
      <c r="W649" s="18" t="n"/>
      <c r="X649" s="18" t="n"/>
      <c r="Y649" s="17" t="n"/>
      <c r="Z649" s="10" t="n"/>
      <c r="AA649" s="10" t="n"/>
      <c r="AB649" s="19">
        <f>IF(LEN(A649)&gt;0,1,0)</f>
        <v/>
      </c>
      <c r="AC649" s="19">
        <f>IF(LEN(A649)=0,0,(LEN(B649)=0)+(LEN(C649)=0)+(LEN(D649)=0)+(LEN(E649)=0)+(LEN(F649)=0)+(LEN(G649)=0)+(LEN(H649)=0)+(LEN(I649)=0)+(LEN(J649)=0)+(LEN(K649)=0)+(LEN(L649)=0)+(LEN(N649)=0)+(LEN(O649)=0)+(LEN(P649)=0)+(LEN(R649)=0)+(LEN(AA649)=0))</f>
        <v/>
      </c>
      <c r="AD649" s="19">
        <f>IF(OR(LEN(A649)=0,LEN(C649)=0),0,IF(OR(C649&lt;1,C649&gt;5),1,0))</f>
        <v/>
      </c>
      <c r="AE649" s="19">
        <f>IF(OR(LEN(A649)=0,LEN(R649)=0),0,IF(OR(R649="Active",R649="Paid off",R649="Defaulted",R649="Repossessed",R649="Written off",R649="Restructured"),0,1))</f>
        <v/>
      </c>
      <c r="AF649" s="19">
        <f>IF(A649="",0,IF(N(J649)&gt;N(I649),1,0))</f>
        <v/>
      </c>
      <c r="AG649" s="19">
        <f>IF(A649="",0,IF(N(N649)&gt;N(M649)+1,1,0))</f>
        <v/>
      </c>
      <c r="AH649" s="19">
        <f>IF(A649="",0,IF(N(E649)&gt;N(B649),1,0))</f>
        <v/>
      </c>
      <c r="AI649" s="19">
        <f>IF(A649="",0,IF(AND(Z649="Full payment",N(N649)&lt;N(M649)-1),1,0))</f>
        <v/>
      </c>
      <c r="AJ649" s="19">
        <f>IF(A649="",0,IF(N(P649)&lt;0,1,0))</f>
        <v/>
      </c>
      <c r="AK649" s="19">
        <f>IF(A649="",0,IF(COUNTIF($A$7:$A$1006,A649)&gt;1,1,0))</f>
        <v/>
      </c>
    </row>
    <row r="650">
      <c r="A650" s="10" t="n"/>
      <c r="B650" s="17" t="n"/>
      <c r="C650" s="18" t="n"/>
      <c r="D650" s="10" t="n"/>
      <c r="E650" s="17" t="n"/>
      <c r="F650" s="10" t="n"/>
      <c r="G650" s="10" t="n"/>
      <c r="H650" s="10" t="n"/>
      <c r="I650" s="18" t="n"/>
      <c r="J650" s="18" t="n"/>
      <c r="K650" s="18" t="n"/>
      <c r="L650" s="18" t="n"/>
      <c r="M650" s="19">
        <f>IF(K650="","",K650*365/12*L650)</f>
        <v/>
      </c>
      <c r="N650" s="18" t="n"/>
      <c r="O650" s="18" t="n"/>
      <c r="P650" s="18" t="n"/>
      <c r="Q650" s="18" t="n"/>
      <c r="R650" s="10" t="n"/>
      <c r="S650" s="17" t="n"/>
      <c r="T650" s="18" t="n"/>
      <c r="U650" s="17" t="n"/>
      <c r="V650" s="17" t="n"/>
      <c r="W650" s="18" t="n"/>
      <c r="X650" s="18" t="n"/>
      <c r="Y650" s="17" t="n"/>
      <c r="Z650" s="10" t="n"/>
      <c r="AA650" s="10" t="n"/>
      <c r="AB650" s="19">
        <f>IF(LEN(A650)&gt;0,1,0)</f>
        <v/>
      </c>
      <c r="AC650" s="19">
        <f>IF(LEN(A650)=0,0,(LEN(B650)=0)+(LEN(C650)=0)+(LEN(D650)=0)+(LEN(E650)=0)+(LEN(F650)=0)+(LEN(G650)=0)+(LEN(H650)=0)+(LEN(I650)=0)+(LEN(J650)=0)+(LEN(K650)=0)+(LEN(L650)=0)+(LEN(N650)=0)+(LEN(O650)=0)+(LEN(P650)=0)+(LEN(R650)=0)+(LEN(AA650)=0))</f>
        <v/>
      </c>
      <c r="AD650" s="19">
        <f>IF(OR(LEN(A650)=0,LEN(C650)=0),0,IF(OR(C650&lt;1,C650&gt;5),1,0))</f>
        <v/>
      </c>
      <c r="AE650" s="19">
        <f>IF(OR(LEN(A650)=0,LEN(R650)=0),0,IF(OR(R650="Active",R650="Paid off",R650="Defaulted",R650="Repossessed",R650="Written off",R650="Restructured"),0,1))</f>
        <v/>
      </c>
      <c r="AF650" s="19">
        <f>IF(A650="",0,IF(N(J650)&gt;N(I650),1,0))</f>
        <v/>
      </c>
      <c r="AG650" s="19">
        <f>IF(A650="",0,IF(N(N650)&gt;N(M650)+1,1,0))</f>
        <v/>
      </c>
      <c r="AH650" s="19">
        <f>IF(A650="",0,IF(N(E650)&gt;N(B650),1,0))</f>
        <v/>
      </c>
      <c r="AI650" s="19">
        <f>IF(A650="",0,IF(AND(Z650="Full payment",N(N650)&lt;N(M650)-1),1,0))</f>
        <v/>
      </c>
      <c r="AJ650" s="19">
        <f>IF(A650="",0,IF(N(P650)&lt;0,1,0))</f>
        <v/>
      </c>
      <c r="AK650" s="19">
        <f>IF(A650="",0,IF(COUNTIF($A$7:$A$1006,A650)&gt;1,1,0))</f>
        <v/>
      </c>
    </row>
    <row r="651">
      <c r="A651" s="10" t="n"/>
      <c r="B651" s="17" t="n"/>
      <c r="C651" s="18" t="n"/>
      <c r="D651" s="10" t="n"/>
      <c r="E651" s="17" t="n"/>
      <c r="F651" s="10" t="n"/>
      <c r="G651" s="10" t="n"/>
      <c r="H651" s="10" t="n"/>
      <c r="I651" s="18" t="n"/>
      <c r="J651" s="18" t="n"/>
      <c r="K651" s="18" t="n"/>
      <c r="L651" s="18" t="n"/>
      <c r="M651" s="19">
        <f>IF(K651="","",K651*365/12*L651)</f>
        <v/>
      </c>
      <c r="N651" s="18" t="n"/>
      <c r="O651" s="18" t="n"/>
      <c r="P651" s="18" t="n"/>
      <c r="Q651" s="18" t="n"/>
      <c r="R651" s="10" t="n"/>
      <c r="S651" s="17" t="n"/>
      <c r="T651" s="18" t="n"/>
      <c r="U651" s="17" t="n"/>
      <c r="V651" s="17" t="n"/>
      <c r="W651" s="18" t="n"/>
      <c r="X651" s="18" t="n"/>
      <c r="Y651" s="17" t="n"/>
      <c r="Z651" s="10" t="n"/>
      <c r="AA651" s="10" t="n"/>
      <c r="AB651" s="19">
        <f>IF(LEN(A651)&gt;0,1,0)</f>
        <v/>
      </c>
      <c r="AC651" s="19">
        <f>IF(LEN(A651)=0,0,(LEN(B651)=0)+(LEN(C651)=0)+(LEN(D651)=0)+(LEN(E651)=0)+(LEN(F651)=0)+(LEN(G651)=0)+(LEN(H651)=0)+(LEN(I651)=0)+(LEN(J651)=0)+(LEN(K651)=0)+(LEN(L651)=0)+(LEN(N651)=0)+(LEN(O651)=0)+(LEN(P651)=0)+(LEN(R651)=0)+(LEN(AA651)=0))</f>
        <v/>
      </c>
      <c r="AD651" s="19">
        <f>IF(OR(LEN(A651)=0,LEN(C651)=0),0,IF(OR(C651&lt;1,C651&gt;5),1,0))</f>
        <v/>
      </c>
      <c r="AE651" s="19">
        <f>IF(OR(LEN(A651)=0,LEN(R651)=0),0,IF(OR(R651="Active",R651="Paid off",R651="Defaulted",R651="Repossessed",R651="Written off",R651="Restructured"),0,1))</f>
        <v/>
      </c>
      <c r="AF651" s="19">
        <f>IF(A651="",0,IF(N(J651)&gt;N(I651),1,0))</f>
        <v/>
      </c>
      <c r="AG651" s="19">
        <f>IF(A651="",0,IF(N(N651)&gt;N(M651)+1,1,0))</f>
        <v/>
      </c>
      <c r="AH651" s="19">
        <f>IF(A651="",0,IF(N(E651)&gt;N(B651),1,0))</f>
        <v/>
      </c>
      <c r="AI651" s="19">
        <f>IF(A651="",0,IF(AND(Z651="Full payment",N(N651)&lt;N(M651)-1),1,0))</f>
        <v/>
      </c>
      <c r="AJ651" s="19">
        <f>IF(A651="",0,IF(N(P651)&lt;0,1,0))</f>
        <v/>
      </c>
      <c r="AK651" s="19">
        <f>IF(A651="",0,IF(COUNTIF($A$7:$A$1006,A651)&gt;1,1,0))</f>
        <v/>
      </c>
    </row>
    <row r="652">
      <c r="A652" s="10" t="n"/>
      <c r="B652" s="17" t="n"/>
      <c r="C652" s="18" t="n"/>
      <c r="D652" s="10" t="n"/>
      <c r="E652" s="17" t="n"/>
      <c r="F652" s="10" t="n"/>
      <c r="G652" s="10" t="n"/>
      <c r="H652" s="10" t="n"/>
      <c r="I652" s="18" t="n"/>
      <c r="J652" s="18" t="n"/>
      <c r="K652" s="18" t="n"/>
      <c r="L652" s="18" t="n"/>
      <c r="M652" s="19">
        <f>IF(K652="","",K652*365/12*L652)</f>
        <v/>
      </c>
      <c r="N652" s="18" t="n"/>
      <c r="O652" s="18" t="n"/>
      <c r="P652" s="18" t="n"/>
      <c r="Q652" s="18" t="n"/>
      <c r="R652" s="10" t="n"/>
      <c r="S652" s="17" t="n"/>
      <c r="T652" s="18" t="n"/>
      <c r="U652" s="17" t="n"/>
      <c r="V652" s="17" t="n"/>
      <c r="W652" s="18" t="n"/>
      <c r="X652" s="18" t="n"/>
      <c r="Y652" s="17" t="n"/>
      <c r="Z652" s="10" t="n"/>
      <c r="AA652" s="10" t="n"/>
      <c r="AB652" s="19">
        <f>IF(LEN(A652)&gt;0,1,0)</f>
        <v/>
      </c>
      <c r="AC652" s="19">
        <f>IF(LEN(A652)=0,0,(LEN(B652)=0)+(LEN(C652)=0)+(LEN(D652)=0)+(LEN(E652)=0)+(LEN(F652)=0)+(LEN(G652)=0)+(LEN(H652)=0)+(LEN(I652)=0)+(LEN(J652)=0)+(LEN(K652)=0)+(LEN(L652)=0)+(LEN(N652)=0)+(LEN(O652)=0)+(LEN(P652)=0)+(LEN(R652)=0)+(LEN(AA652)=0))</f>
        <v/>
      </c>
      <c r="AD652" s="19">
        <f>IF(OR(LEN(A652)=0,LEN(C652)=0),0,IF(OR(C652&lt;1,C652&gt;5),1,0))</f>
        <v/>
      </c>
      <c r="AE652" s="19">
        <f>IF(OR(LEN(A652)=0,LEN(R652)=0),0,IF(OR(R652="Active",R652="Paid off",R652="Defaulted",R652="Repossessed",R652="Written off",R652="Restructured"),0,1))</f>
        <v/>
      </c>
      <c r="AF652" s="19">
        <f>IF(A652="",0,IF(N(J652)&gt;N(I652),1,0))</f>
        <v/>
      </c>
      <c r="AG652" s="19">
        <f>IF(A652="",0,IF(N(N652)&gt;N(M652)+1,1,0))</f>
        <v/>
      </c>
      <c r="AH652" s="19">
        <f>IF(A652="",0,IF(N(E652)&gt;N(B652),1,0))</f>
        <v/>
      </c>
      <c r="AI652" s="19">
        <f>IF(A652="",0,IF(AND(Z652="Full payment",N(N652)&lt;N(M652)-1),1,0))</f>
        <v/>
      </c>
      <c r="AJ652" s="19">
        <f>IF(A652="",0,IF(N(P652)&lt;0,1,0))</f>
        <v/>
      </c>
      <c r="AK652" s="19">
        <f>IF(A652="",0,IF(COUNTIF($A$7:$A$1006,A652)&gt;1,1,0))</f>
        <v/>
      </c>
    </row>
    <row r="653">
      <c r="A653" s="10" t="n"/>
      <c r="B653" s="17" t="n"/>
      <c r="C653" s="18" t="n"/>
      <c r="D653" s="10" t="n"/>
      <c r="E653" s="17" t="n"/>
      <c r="F653" s="10" t="n"/>
      <c r="G653" s="10" t="n"/>
      <c r="H653" s="10" t="n"/>
      <c r="I653" s="18" t="n"/>
      <c r="J653" s="18" t="n"/>
      <c r="K653" s="18" t="n"/>
      <c r="L653" s="18" t="n"/>
      <c r="M653" s="19">
        <f>IF(K653="","",K653*365/12*L653)</f>
        <v/>
      </c>
      <c r="N653" s="18" t="n"/>
      <c r="O653" s="18" t="n"/>
      <c r="P653" s="18" t="n"/>
      <c r="Q653" s="18" t="n"/>
      <c r="R653" s="10" t="n"/>
      <c r="S653" s="17" t="n"/>
      <c r="T653" s="18" t="n"/>
      <c r="U653" s="17" t="n"/>
      <c r="V653" s="17" t="n"/>
      <c r="W653" s="18" t="n"/>
      <c r="X653" s="18" t="n"/>
      <c r="Y653" s="17" t="n"/>
      <c r="Z653" s="10" t="n"/>
      <c r="AA653" s="10" t="n"/>
      <c r="AB653" s="19">
        <f>IF(LEN(A653)&gt;0,1,0)</f>
        <v/>
      </c>
      <c r="AC653" s="19">
        <f>IF(LEN(A653)=0,0,(LEN(B653)=0)+(LEN(C653)=0)+(LEN(D653)=0)+(LEN(E653)=0)+(LEN(F653)=0)+(LEN(G653)=0)+(LEN(H653)=0)+(LEN(I653)=0)+(LEN(J653)=0)+(LEN(K653)=0)+(LEN(L653)=0)+(LEN(N653)=0)+(LEN(O653)=0)+(LEN(P653)=0)+(LEN(R653)=0)+(LEN(AA653)=0))</f>
        <v/>
      </c>
      <c r="AD653" s="19">
        <f>IF(OR(LEN(A653)=0,LEN(C653)=0),0,IF(OR(C653&lt;1,C653&gt;5),1,0))</f>
        <v/>
      </c>
      <c r="AE653" s="19">
        <f>IF(OR(LEN(A653)=0,LEN(R653)=0),0,IF(OR(R653="Active",R653="Paid off",R653="Defaulted",R653="Repossessed",R653="Written off",R653="Restructured"),0,1))</f>
        <v/>
      </c>
      <c r="AF653" s="19">
        <f>IF(A653="",0,IF(N(J653)&gt;N(I653),1,0))</f>
        <v/>
      </c>
      <c r="AG653" s="19">
        <f>IF(A653="",0,IF(N(N653)&gt;N(M653)+1,1,0))</f>
        <v/>
      </c>
      <c r="AH653" s="19">
        <f>IF(A653="",0,IF(N(E653)&gt;N(B653),1,0))</f>
        <v/>
      </c>
      <c r="AI653" s="19">
        <f>IF(A653="",0,IF(AND(Z653="Full payment",N(N653)&lt;N(M653)-1),1,0))</f>
        <v/>
      </c>
      <c r="AJ653" s="19">
        <f>IF(A653="",0,IF(N(P653)&lt;0,1,0))</f>
        <v/>
      </c>
      <c r="AK653" s="19">
        <f>IF(A653="",0,IF(COUNTIF($A$7:$A$1006,A653)&gt;1,1,0))</f>
        <v/>
      </c>
    </row>
    <row r="654">
      <c r="A654" s="10" t="n"/>
      <c r="B654" s="17" t="n"/>
      <c r="C654" s="18" t="n"/>
      <c r="D654" s="10" t="n"/>
      <c r="E654" s="17" t="n"/>
      <c r="F654" s="10" t="n"/>
      <c r="G654" s="10" t="n"/>
      <c r="H654" s="10" t="n"/>
      <c r="I654" s="18" t="n"/>
      <c r="J654" s="18" t="n"/>
      <c r="K654" s="18" t="n"/>
      <c r="L654" s="18" t="n"/>
      <c r="M654" s="19">
        <f>IF(K654="","",K654*365/12*L654)</f>
        <v/>
      </c>
      <c r="N654" s="18" t="n"/>
      <c r="O654" s="18" t="n"/>
      <c r="P654" s="18" t="n"/>
      <c r="Q654" s="18" t="n"/>
      <c r="R654" s="10" t="n"/>
      <c r="S654" s="17" t="n"/>
      <c r="T654" s="18" t="n"/>
      <c r="U654" s="17" t="n"/>
      <c r="V654" s="17" t="n"/>
      <c r="W654" s="18" t="n"/>
      <c r="X654" s="18" t="n"/>
      <c r="Y654" s="17" t="n"/>
      <c r="Z654" s="10" t="n"/>
      <c r="AA654" s="10" t="n"/>
      <c r="AB654" s="19">
        <f>IF(LEN(A654)&gt;0,1,0)</f>
        <v/>
      </c>
      <c r="AC654" s="19">
        <f>IF(LEN(A654)=0,0,(LEN(B654)=0)+(LEN(C654)=0)+(LEN(D654)=0)+(LEN(E654)=0)+(LEN(F654)=0)+(LEN(G654)=0)+(LEN(H654)=0)+(LEN(I654)=0)+(LEN(J654)=0)+(LEN(K654)=0)+(LEN(L654)=0)+(LEN(N654)=0)+(LEN(O654)=0)+(LEN(P654)=0)+(LEN(R654)=0)+(LEN(AA654)=0))</f>
        <v/>
      </c>
      <c r="AD654" s="19">
        <f>IF(OR(LEN(A654)=0,LEN(C654)=0),0,IF(OR(C654&lt;1,C654&gt;5),1,0))</f>
        <v/>
      </c>
      <c r="AE654" s="19">
        <f>IF(OR(LEN(A654)=0,LEN(R654)=0),0,IF(OR(R654="Active",R654="Paid off",R654="Defaulted",R654="Repossessed",R654="Written off",R654="Restructured"),0,1))</f>
        <v/>
      </c>
      <c r="AF654" s="19">
        <f>IF(A654="",0,IF(N(J654)&gt;N(I654),1,0))</f>
        <v/>
      </c>
      <c r="AG654" s="19">
        <f>IF(A654="",0,IF(N(N654)&gt;N(M654)+1,1,0))</f>
        <v/>
      </c>
      <c r="AH654" s="19">
        <f>IF(A654="",0,IF(N(E654)&gt;N(B654),1,0))</f>
        <v/>
      </c>
      <c r="AI654" s="19">
        <f>IF(A654="",0,IF(AND(Z654="Full payment",N(N654)&lt;N(M654)-1),1,0))</f>
        <v/>
      </c>
      <c r="AJ654" s="19">
        <f>IF(A654="",0,IF(N(P654)&lt;0,1,0))</f>
        <v/>
      </c>
      <c r="AK654" s="19">
        <f>IF(A654="",0,IF(COUNTIF($A$7:$A$1006,A654)&gt;1,1,0))</f>
        <v/>
      </c>
    </row>
    <row r="655">
      <c r="A655" s="10" t="n"/>
      <c r="B655" s="17" t="n"/>
      <c r="C655" s="18" t="n"/>
      <c r="D655" s="10" t="n"/>
      <c r="E655" s="17" t="n"/>
      <c r="F655" s="10" t="n"/>
      <c r="G655" s="10" t="n"/>
      <c r="H655" s="10" t="n"/>
      <c r="I655" s="18" t="n"/>
      <c r="J655" s="18" t="n"/>
      <c r="K655" s="18" t="n"/>
      <c r="L655" s="18" t="n"/>
      <c r="M655" s="19">
        <f>IF(K655="","",K655*365/12*L655)</f>
        <v/>
      </c>
      <c r="N655" s="18" t="n"/>
      <c r="O655" s="18" t="n"/>
      <c r="P655" s="18" t="n"/>
      <c r="Q655" s="18" t="n"/>
      <c r="R655" s="10" t="n"/>
      <c r="S655" s="17" t="n"/>
      <c r="T655" s="18" t="n"/>
      <c r="U655" s="17" t="n"/>
      <c r="V655" s="17" t="n"/>
      <c r="W655" s="18" t="n"/>
      <c r="X655" s="18" t="n"/>
      <c r="Y655" s="17" t="n"/>
      <c r="Z655" s="10" t="n"/>
      <c r="AA655" s="10" t="n"/>
      <c r="AB655" s="19">
        <f>IF(LEN(A655)&gt;0,1,0)</f>
        <v/>
      </c>
      <c r="AC655" s="19">
        <f>IF(LEN(A655)=0,0,(LEN(B655)=0)+(LEN(C655)=0)+(LEN(D655)=0)+(LEN(E655)=0)+(LEN(F655)=0)+(LEN(G655)=0)+(LEN(H655)=0)+(LEN(I655)=0)+(LEN(J655)=0)+(LEN(K655)=0)+(LEN(L655)=0)+(LEN(N655)=0)+(LEN(O655)=0)+(LEN(P655)=0)+(LEN(R655)=0)+(LEN(AA655)=0))</f>
        <v/>
      </c>
      <c r="AD655" s="19">
        <f>IF(OR(LEN(A655)=0,LEN(C655)=0),0,IF(OR(C655&lt;1,C655&gt;5),1,0))</f>
        <v/>
      </c>
      <c r="AE655" s="19">
        <f>IF(OR(LEN(A655)=0,LEN(R655)=0),0,IF(OR(R655="Active",R655="Paid off",R655="Defaulted",R655="Repossessed",R655="Written off",R655="Restructured"),0,1))</f>
        <v/>
      </c>
      <c r="AF655" s="19">
        <f>IF(A655="",0,IF(N(J655)&gt;N(I655),1,0))</f>
        <v/>
      </c>
      <c r="AG655" s="19">
        <f>IF(A655="",0,IF(N(N655)&gt;N(M655)+1,1,0))</f>
        <v/>
      </c>
      <c r="AH655" s="19">
        <f>IF(A655="",0,IF(N(E655)&gt;N(B655),1,0))</f>
        <v/>
      </c>
      <c r="AI655" s="19">
        <f>IF(A655="",0,IF(AND(Z655="Full payment",N(N655)&lt;N(M655)-1),1,0))</f>
        <v/>
      </c>
      <c r="AJ655" s="19">
        <f>IF(A655="",0,IF(N(P655)&lt;0,1,0))</f>
        <v/>
      </c>
      <c r="AK655" s="19">
        <f>IF(A655="",0,IF(COUNTIF($A$7:$A$1006,A655)&gt;1,1,0))</f>
        <v/>
      </c>
    </row>
    <row r="656">
      <c r="A656" s="10" t="n"/>
      <c r="B656" s="17" t="n"/>
      <c r="C656" s="18" t="n"/>
      <c r="D656" s="10" t="n"/>
      <c r="E656" s="17" t="n"/>
      <c r="F656" s="10" t="n"/>
      <c r="G656" s="10" t="n"/>
      <c r="H656" s="10" t="n"/>
      <c r="I656" s="18" t="n"/>
      <c r="J656" s="18" t="n"/>
      <c r="K656" s="18" t="n"/>
      <c r="L656" s="18" t="n"/>
      <c r="M656" s="19">
        <f>IF(K656="","",K656*365/12*L656)</f>
        <v/>
      </c>
      <c r="N656" s="18" t="n"/>
      <c r="O656" s="18" t="n"/>
      <c r="P656" s="18" t="n"/>
      <c r="Q656" s="18" t="n"/>
      <c r="R656" s="10" t="n"/>
      <c r="S656" s="17" t="n"/>
      <c r="T656" s="18" t="n"/>
      <c r="U656" s="17" t="n"/>
      <c r="V656" s="17" t="n"/>
      <c r="W656" s="18" t="n"/>
      <c r="X656" s="18" t="n"/>
      <c r="Y656" s="17" t="n"/>
      <c r="Z656" s="10" t="n"/>
      <c r="AA656" s="10" t="n"/>
      <c r="AB656" s="19">
        <f>IF(LEN(A656)&gt;0,1,0)</f>
        <v/>
      </c>
      <c r="AC656" s="19">
        <f>IF(LEN(A656)=0,0,(LEN(B656)=0)+(LEN(C656)=0)+(LEN(D656)=0)+(LEN(E656)=0)+(LEN(F656)=0)+(LEN(G656)=0)+(LEN(H656)=0)+(LEN(I656)=0)+(LEN(J656)=0)+(LEN(K656)=0)+(LEN(L656)=0)+(LEN(N656)=0)+(LEN(O656)=0)+(LEN(P656)=0)+(LEN(R656)=0)+(LEN(AA656)=0))</f>
        <v/>
      </c>
      <c r="AD656" s="19">
        <f>IF(OR(LEN(A656)=0,LEN(C656)=0),0,IF(OR(C656&lt;1,C656&gt;5),1,0))</f>
        <v/>
      </c>
      <c r="AE656" s="19">
        <f>IF(OR(LEN(A656)=0,LEN(R656)=0),0,IF(OR(R656="Active",R656="Paid off",R656="Defaulted",R656="Repossessed",R656="Written off",R656="Restructured"),0,1))</f>
        <v/>
      </c>
      <c r="AF656" s="19">
        <f>IF(A656="",0,IF(N(J656)&gt;N(I656),1,0))</f>
        <v/>
      </c>
      <c r="AG656" s="19">
        <f>IF(A656="",0,IF(N(N656)&gt;N(M656)+1,1,0))</f>
        <v/>
      </c>
      <c r="AH656" s="19">
        <f>IF(A656="",0,IF(N(E656)&gt;N(B656),1,0))</f>
        <v/>
      </c>
      <c r="AI656" s="19">
        <f>IF(A656="",0,IF(AND(Z656="Full payment",N(N656)&lt;N(M656)-1),1,0))</f>
        <v/>
      </c>
      <c r="AJ656" s="19">
        <f>IF(A656="",0,IF(N(P656)&lt;0,1,0))</f>
        <v/>
      </c>
      <c r="AK656" s="19">
        <f>IF(A656="",0,IF(COUNTIF($A$7:$A$1006,A656)&gt;1,1,0))</f>
        <v/>
      </c>
    </row>
    <row r="657">
      <c r="A657" s="10" t="n"/>
      <c r="B657" s="17" t="n"/>
      <c r="C657" s="18" t="n"/>
      <c r="D657" s="10" t="n"/>
      <c r="E657" s="17" t="n"/>
      <c r="F657" s="10" t="n"/>
      <c r="G657" s="10" t="n"/>
      <c r="H657" s="10" t="n"/>
      <c r="I657" s="18" t="n"/>
      <c r="J657" s="18" t="n"/>
      <c r="K657" s="18" t="n"/>
      <c r="L657" s="18" t="n"/>
      <c r="M657" s="19">
        <f>IF(K657="","",K657*365/12*L657)</f>
        <v/>
      </c>
      <c r="N657" s="18" t="n"/>
      <c r="O657" s="18" t="n"/>
      <c r="P657" s="18" t="n"/>
      <c r="Q657" s="18" t="n"/>
      <c r="R657" s="10" t="n"/>
      <c r="S657" s="17" t="n"/>
      <c r="T657" s="18" t="n"/>
      <c r="U657" s="17" t="n"/>
      <c r="V657" s="17" t="n"/>
      <c r="W657" s="18" t="n"/>
      <c r="X657" s="18" t="n"/>
      <c r="Y657" s="17" t="n"/>
      <c r="Z657" s="10" t="n"/>
      <c r="AA657" s="10" t="n"/>
      <c r="AB657" s="19">
        <f>IF(LEN(A657)&gt;0,1,0)</f>
        <v/>
      </c>
      <c r="AC657" s="19">
        <f>IF(LEN(A657)=0,0,(LEN(B657)=0)+(LEN(C657)=0)+(LEN(D657)=0)+(LEN(E657)=0)+(LEN(F657)=0)+(LEN(G657)=0)+(LEN(H657)=0)+(LEN(I657)=0)+(LEN(J657)=0)+(LEN(K657)=0)+(LEN(L657)=0)+(LEN(N657)=0)+(LEN(O657)=0)+(LEN(P657)=0)+(LEN(R657)=0)+(LEN(AA657)=0))</f>
        <v/>
      </c>
      <c r="AD657" s="19">
        <f>IF(OR(LEN(A657)=0,LEN(C657)=0),0,IF(OR(C657&lt;1,C657&gt;5),1,0))</f>
        <v/>
      </c>
      <c r="AE657" s="19">
        <f>IF(OR(LEN(A657)=0,LEN(R657)=0),0,IF(OR(R657="Active",R657="Paid off",R657="Defaulted",R657="Repossessed",R657="Written off",R657="Restructured"),0,1))</f>
        <v/>
      </c>
      <c r="AF657" s="19">
        <f>IF(A657="",0,IF(N(J657)&gt;N(I657),1,0))</f>
        <v/>
      </c>
      <c r="AG657" s="19">
        <f>IF(A657="",0,IF(N(N657)&gt;N(M657)+1,1,0))</f>
        <v/>
      </c>
      <c r="AH657" s="19">
        <f>IF(A657="",0,IF(N(E657)&gt;N(B657),1,0))</f>
        <v/>
      </c>
      <c r="AI657" s="19">
        <f>IF(A657="",0,IF(AND(Z657="Full payment",N(N657)&lt;N(M657)-1),1,0))</f>
        <v/>
      </c>
      <c r="AJ657" s="19">
        <f>IF(A657="",0,IF(N(P657)&lt;0,1,0))</f>
        <v/>
      </c>
      <c r="AK657" s="19">
        <f>IF(A657="",0,IF(COUNTIF($A$7:$A$1006,A657)&gt;1,1,0))</f>
        <v/>
      </c>
    </row>
    <row r="658">
      <c r="A658" s="10" t="n"/>
      <c r="B658" s="17" t="n"/>
      <c r="C658" s="18" t="n"/>
      <c r="D658" s="10" t="n"/>
      <c r="E658" s="17" t="n"/>
      <c r="F658" s="10" t="n"/>
      <c r="G658" s="10" t="n"/>
      <c r="H658" s="10" t="n"/>
      <c r="I658" s="18" t="n"/>
      <c r="J658" s="18" t="n"/>
      <c r="K658" s="18" t="n"/>
      <c r="L658" s="18" t="n"/>
      <c r="M658" s="19">
        <f>IF(K658="","",K658*365/12*L658)</f>
        <v/>
      </c>
      <c r="N658" s="18" t="n"/>
      <c r="O658" s="18" t="n"/>
      <c r="P658" s="18" t="n"/>
      <c r="Q658" s="18" t="n"/>
      <c r="R658" s="10" t="n"/>
      <c r="S658" s="17" t="n"/>
      <c r="T658" s="18" t="n"/>
      <c r="U658" s="17" t="n"/>
      <c r="V658" s="17" t="n"/>
      <c r="W658" s="18" t="n"/>
      <c r="X658" s="18" t="n"/>
      <c r="Y658" s="17" t="n"/>
      <c r="Z658" s="10" t="n"/>
      <c r="AA658" s="10" t="n"/>
      <c r="AB658" s="19">
        <f>IF(LEN(A658)&gt;0,1,0)</f>
        <v/>
      </c>
      <c r="AC658" s="19">
        <f>IF(LEN(A658)=0,0,(LEN(B658)=0)+(LEN(C658)=0)+(LEN(D658)=0)+(LEN(E658)=0)+(LEN(F658)=0)+(LEN(G658)=0)+(LEN(H658)=0)+(LEN(I658)=0)+(LEN(J658)=0)+(LEN(K658)=0)+(LEN(L658)=0)+(LEN(N658)=0)+(LEN(O658)=0)+(LEN(P658)=0)+(LEN(R658)=0)+(LEN(AA658)=0))</f>
        <v/>
      </c>
      <c r="AD658" s="19">
        <f>IF(OR(LEN(A658)=0,LEN(C658)=0),0,IF(OR(C658&lt;1,C658&gt;5),1,0))</f>
        <v/>
      </c>
      <c r="AE658" s="19">
        <f>IF(OR(LEN(A658)=0,LEN(R658)=0),0,IF(OR(R658="Active",R658="Paid off",R658="Defaulted",R658="Repossessed",R658="Written off",R658="Restructured"),0,1))</f>
        <v/>
      </c>
      <c r="AF658" s="19">
        <f>IF(A658="",0,IF(N(J658)&gt;N(I658),1,0))</f>
        <v/>
      </c>
      <c r="AG658" s="19">
        <f>IF(A658="",0,IF(N(N658)&gt;N(M658)+1,1,0))</f>
        <v/>
      </c>
      <c r="AH658" s="19">
        <f>IF(A658="",0,IF(N(E658)&gt;N(B658),1,0))</f>
        <v/>
      </c>
      <c r="AI658" s="19">
        <f>IF(A658="",0,IF(AND(Z658="Full payment",N(N658)&lt;N(M658)-1),1,0))</f>
        <v/>
      </c>
      <c r="AJ658" s="19">
        <f>IF(A658="",0,IF(N(P658)&lt;0,1,0))</f>
        <v/>
      </c>
      <c r="AK658" s="19">
        <f>IF(A658="",0,IF(COUNTIF($A$7:$A$1006,A658)&gt;1,1,0))</f>
        <v/>
      </c>
    </row>
    <row r="659">
      <c r="A659" s="10" t="n"/>
      <c r="B659" s="17" t="n"/>
      <c r="C659" s="18" t="n"/>
      <c r="D659" s="10" t="n"/>
      <c r="E659" s="17" t="n"/>
      <c r="F659" s="10" t="n"/>
      <c r="G659" s="10" t="n"/>
      <c r="H659" s="10" t="n"/>
      <c r="I659" s="18" t="n"/>
      <c r="J659" s="18" t="n"/>
      <c r="K659" s="18" t="n"/>
      <c r="L659" s="18" t="n"/>
      <c r="M659" s="19">
        <f>IF(K659="","",K659*365/12*L659)</f>
        <v/>
      </c>
      <c r="N659" s="18" t="n"/>
      <c r="O659" s="18" t="n"/>
      <c r="P659" s="18" t="n"/>
      <c r="Q659" s="18" t="n"/>
      <c r="R659" s="10" t="n"/>
      <c r="S659" s="17" t="n"/>
      <c r="T659" s="18" t="n"/>
      <c r="U659" s="17" t="n"/>
      <c r="V659" s="17" t="n"/>
      <c r="W659" s="18" t="n"/>
      <c r="X659" s="18" t="n"/>
      <c r="Y659" s="17" t="n"/>
      <c r="Z659" s="10" t="n"/>
      <c r="AA659" s="10" t="n"/>
      <c r="AB659" s="19">
        <f>IF(LEN(A659)&gt;0,1,0)</f>
        <v/>
      </c>
      <c r="AC659" s="19">
        <f>IF(LEN(A659)=0,0,(LEN(B659)=0)+(LEN(C659)=0)+(LEN(D659)=0)+(LEN(E659)=0)+(LEN(F659)=0)+(LEN(G659)=0)+(LEN(H659)=0)+(LEN(I659)=0)+(LEN(J659)=0)+(LEN(K659)=0)+(LEN(L659)=0)+(LEN(N659)=0)+(LEN(O659)=0)+(LEN(P659)=0)+(LEN(R659)=0)+(LEN(AA659)=0))</f>
        <v/>
      </c>
      <c r="AD659" s="19">
        <f>IF(OR(LEN(A659)=0,LEN(C659)=0),0,IF(OR(C659&lt;1,C659&gt;5),1,0))</f>
        <v/>
      </c>
      <c r="AE659" s="19">
        <f>IF(OR(LEN(A659)=0,LEN(R659)=0),0,IF(OR(R659="Active",R659="Paid off",R659="Defaulted",R659="Repossessed",R659="Written off",R659="Restructured"),0,1))</f>
        <v/>
      </c>
      <c r="AF659" s="19">
        <f>IF(A659="",0,IF(N(J659)&gt;N(I659),1,0))</f>
        <v/>
      </c>
      <c r="AG659" s="19">
        <f>IF(A659="",0,IF(N(N659)&gt;N(M659)+1,1,0))</f>
        <v/>
      </c>
      <c r="AH659" s="19">
        <f>IF(A659="",0,IF(N(E659)&gt;N(B659),1,0))</f>
        <v/>
      </c>
      <c r="AI659" s="19">
        <f>IF(A659="",0,IF(AND(Z659="Full payment",N(N659)&lt;N(M659)-1),1,0))</f>
        <v/>
      </c>
      <c r="AJ659" s="19">
        <f>IF(A659="",0,IF(N(P659)&lt;0,1,0))</f>
        <v/>
      </c>
      <c r="AK659" s="19">
        <f>IF(A659="",0,IF(COUNTIF($A$7:$A$1006,A659)&gt;1,1,0))</f>
        <v/>
      </c>
    </row>
    <row r="660">
      <c r="A660" s="10" t="n"/>
      <c r="B660" s="17" t="n"/>
      <c r="C660" s="18" t="n"/>
      <c r="D660" s="10" t="n"/>
      <c r="E660" s="17" t="n"/>
      <c r="F660" s="10" t="n"/>
      <c r="G660" s="10" t="n"/>
      <c r="H660" s="10" t="n"/>
      <c r="I660" s="18" t="n"/>
      <c r="J660" s="18" t="n"/>
      <c r="K660" s="18" t="n"/>
      <c r="L660" s="18" t="n"/>
      <c r="M660" s="19">
        <f>IF(K660="","",K660*365/12*L660)</f>
        <v/>
      </c>
      <c r="N660" s="18" t="n"/>
      <c r="O660" s="18" t="n"/>
      <c r="P660" s="18" t="n"/>
      <c r="Q660" s="18" t="n"/>
      <c r="R660" s="10" t="n"/>
      <c r="S660" s="17" t="n"/>
      <c r="T660" s="18" t="n"/>
      <c r="U660" s="17" t="n"/>
      <c r="V660" s="17" t="n"/>
      <c r="W660" s="18" t="n"/>
      <c r="X660" s="18" t="n"/>
      <c r="Y660" s="17" t="n"/>
      <c r="Z660" s="10" t="n"/>
      <c r="AA660" s="10" t="n"/>
      <c r="AB660" s="19">
        <f>IF(LEN(A660)&gt;0,1,0)</f>
        <v/>
      </c>
      <c r="AC660" s="19">
        <f>IF(LEN(A660)=0,0,(LEN(B660)=0)+(LEN(C660)=0)+(LEN(D660)=0)+(LEN(E660)=0)+(LEN(F660)=0)+(LEN(G660)=0)+(LEN(H660)=0)+(LEN(I660)=0)+(LEN(J660)=0)+(LEN(K660)=0)+(LEN(L660)=0)+(LEN(N660)=0)+(LEN(O660)=0)+(LEN(P660)=0)+(LEN(R660)=0)+(LEN(AA660)=0))</f>
        <v/>
      </c>
      <c r="AD660" s="19">
        <f>IF(OR(LEN(A660)=0,LEN(C660)=0),0,IF(OR(C660&lt;1,C660&gt;5),1,0))</f>
        <v/>
      </c>
      <c r="AE660" s="19">
        <f>IF(OR(LEN(A660)=0,LEN(R660)=0),0,IF(OR(R660="Active",R660="Paid off",R660="Defaulted",R660="Repossessed",R660="Written off",R660="Restructured"),0,1))</f>
        <v/>
      </c>
      <c r="AF660" s="19">
        <f>IF(A660="",0,IF(N(J660)&gt;N(I660),1,0))</f>
        <v/>
      </c>
      <c r="AG660" s="19">
        <f>IF(A660="",0,IF(N(N660)&gt;N(M660)+1,1,0))</f>
        <v/>
      </c>
      <c r="AH660" s="19">
        <f>IF(A660="",0,IF(N(E660)&gt;N(B660),1,0))</f>
        <v/>
      </c>
      <c r="AI660" s="19">
        <f>IF(A660="",0,IF(AND(Z660="Full payment",N(N660)&lt;N(M660)-1),1,0))</f>
        <v/>
      </c>
      <c r="AJ660" s="19">
        <f>IF(A660="",0,IF(N(P660)&lt;0,1,0))</f>
        <v/>
      </c>
      <c r="AK660" s="19">
        <f>IF(A660="",0,IF(COUNTIF($A$7:$A$1006,A660)&gt;1,1,0))</f>
        <v/>
      </c>
    </row>
    <row r="661">
      <c r="A661" s="10" t="n"/>
      <c r="B661" s="17" t="n"/>
      <c r="C661" s="18" t="n"/>
      <c r="D661" s="10" t="n"/>
      <c r="E661" s="17" t="n"/>
      <c r="F661" s="10" t="n"/>
      <c r="G661" s="10" t="n"/>
      <c r="H661" s="10" t="n"/>
      <c r="I661" s="18" t="n"/>
      <c r="J661" s="18" t="n"/>
      <c r="K661" s="18" t="n"/>
      <c r="L661" s="18" t="n"/>
      <c r="M661" s="19">
        <f>IF(K661="","",K661*365/12*L661)</f>
        <v/>
      </c>
      <c r="N661" s="18" t="n"/>
      <c r="O661" s="18" t="n"/>
      <c r="P661" s="18" t="n"/>
      <c r="Q661" s="18" t="n"/>
      <c r="R661" s="10" t="n"/>
      <c r="S661" s="17" t="n"/>
      <c r="T661" s="18" t="n"/>
      <c r="U661" s="17" t="n"/>
      <c r="V661" s="17" t="n"/>
      <c r="W661" s="18" t="n"/>
      <c r="X661" s="18" t="n"/>
      <c r="Y661" s="17" t="n"/>
      <c r="Z661" s="10" t="n"/>
      <c r="AA661" s="10" t="n"/>
      <c r="AB661" s="19">
        <f>IF(LEN(A661)&gt;0,1,0)</f>
        <v/>
      </c>
      <c r="AC661" s="19">
        <f>IF(LEN(A661)=0,0,(LEN(B661)=0)+(LEN(C661)=0)+(LEN(D661)=0)+(LEN(E661)=0)+(LEN(F661)=0)+(LEN(G661)=0)+(LEN(H661)=0)+(LEN(I661)=0)+(LEN(J661)=0)+(LEN(K661)=0)+(LEN(L661)=0)+(LEN(N661)=0)+(LEN(O661)=0)+(LEN(P661)=0)+(LEN(R661)=0)+(LEN(AA661)=0))</f>
        <v/>
      </c>
      <c r="AD661" s="19">
        <f>IF(OR(LEN(A661)=0,LEN(C661)=0),0,IF(OR(C661&lt;1,C661&gt;5),1,0))</f>
        <v/>
      </c>
      <c r="AE661" s="19">
        <f>IF(OR(LEN(A661)=0,LEN(R661)=0),0,IF(OR(R661="Active",R661="Paid off",R661="Defaulted",R661="Repossessed",R661="Written off",R661="Restructured"),0,1))</f>
        <v/>
      </c>
      <c r="AF661" s="19">
        <f>IF(A661="",0,IF(N(J661)&gt;N(I661),1,0))</f>
        <v/>
      </c>
      <c r="AG661" s="19">
        <f>IF(A661="",0,IF(N(N661)&gt;N(M661)+1,1,0))</f>
        <v/>
      </c>
      <c r="AH661" s="19">
        <f>IF(A661="",0,IF(N(E661)&gt;N(B661),1,0))</f>
        <v/>
      </c>
      <c r="AI661" s="19">
        <f>IF(A661="",0,IF(AND(Z661="Full payment",N(N661)&lt;N(M661)-1),1,0))</f>
        <v/>
      </c>
      <c r="AJ661" s="19">
        <f>IF(A661="",0,IF(N(P661)&lt;0,1,0))</f>
        <v/>
      </c>
      <c r="AK661" s="19">
        <f>IF(A661="",0,IF(COUNTIF($A$7:$A$1006,A661)&gt;1,1,0))</f>
        <v/>
      </c>
    </row>
    <row r="662">
      <c r="A662" s="10" t="n"/>
      <c r="B662" s="17" t="n"/>
      <c r="C662" s="18" t="n"/>
      <c r="D662" s="10" t="n"/>
      <c r="E662" s="17" t="n"/>
      <c r="F662" s="10" t="n"/>
      <c r="G662" s="10" t="n"/>
      <c r="H662" s="10" t="n"/>
      <c r="I662" s="18" t="n"/>
      <c r="J662" s="18" t="n"/>
      <c r="K662" s="18" t="n"/>
      <c r="L662" s="18" t="n"/>
      <c r="M662" s="19">
        <f>IF(K662="","",K662*365/12*L662)</f>
        <v/>
      </c>
      <c r="N662" s="18" t="n"/>
      <c r="O662" s="18" t="n"/>
      <c r="P662" s="18" t="n"/>
      <c r="Q662" s="18" t="n"/>
      <c r="R662" s="10" t="n"/>
      <c r="S662" s="17" t="n"/>
      <c r="T662" s="18" t="n"/>
      <c r="U662" s="17" t="n"/>
      <c r="V662" s="17" t="n"/>
      <c r="W662" s="18" t="n"/>
      <c r="X662" s="18" t="n"/>
      <c r="Y662" s="17" t="n"/>
      <c r="Z662" s="10" t="n"/>
      <c r="AA662" s="10" t="n"/>
      <c r="AB662" s="19">
        <f>IF(LEN(A662)&gt;0,1,0)</f>
        <v/>
      </c>
      <c r="AC662" s="19">
        <f>IF(LEN(A662)=0,0,(LEN(B662)=0)+(LEN(C662)=0)+(LEN(D662)=0)+(LEN(E662)=0)+(LEN(F662)=0)+(LEN(G662)=0)+(LEN(H662)=0)+(LEN(I662)=0)+(LEN(J662)=0)+(LEN(K662)=0)+(LEN(L662)=0)+(LEN(N662)=0)+(LEN(O662)=0)+(LEN(P662)=0)+(LEN(R662)=0)+(LEN(AA662)=0))</f>
        <v/>
      </c>
      <c r="AD662" s="19">
        <f>IF(OR(LEN(A662)=0,LEN(C662)=0),0,IF(OR(C662&lt;1,C662&gt;5),1,0))</f>
        <v/>
      </c>
      <c r="AE662" s="19">
        <f>IF(OR(LEN(A662)=0,LEN(R662)=0),0,IF(OR(R662="Active",R662="Paid off",R662="Defaulted",R662="Repossessed",R662="Written off",R662="Restructured"),0,1))</f>
        <v/>
      </c>
      <c r="AF662" s="19">
        <f>IF(A662="",0,IF(N(J662)&gt;N(I662),1,0))</f>
        <v/>
      </c>
      <c r="AG662" s="19">
        <f>IF(A662="",0,IF(N(N662)&gt;N(M662)+1,1,0))</f>
        <v/>
      </c>
      <c r="AH662" s="19">
        <f>IF(A662="",0,IF(N(E662)&gt;N(B662),1,0))</f>
        <v/>
      </c>
      <c r="AI662" s="19">
        <f>IF(A662="",0,IF(AND(Z662="Full payment",N(N662)&lt;N(M662)-1),1,0))</f>
        <v/>
      </c>
      <c r="AJ662" s="19">
        <f>IF(A662="",0,IF(N(P662)&lt;0,1,0))</f>
        <v/>
      </c>
      <c r="AK662" s="19">
        <f>IF(A662="",0,IF(COUNTIF($A$7:$A$1006,A662)&gt;1,1,0))</f>
        <v/>
      </c>
    </row>
    <row r="663">
      <c r="A663" s="10" t="n"/>
      <c r="B663" s="17" t="n"/>
      <c r="C663" s="18" t="n"/>
      <c r="D663" s="10" t="n"/>
      <c r="E663" s="17" t="n"/>
      <c r="F663" s="10" t="n"/>
      <c r="G663" s="10" t="n"/>
      <c r="H663" s="10" t="n"/>
      <c r="I663" s="18" t="n"/>
      <c r="J663" s="18" t="n"/>
      <c r="K663" s="18" t="n"/>
      <c r="L663" s="18" t="n"/>
      <c r="M663" s="19">
        <f>IF(K663="","",K663*365/12*L663)</f>
        <v/>
      </c>
      <c r="N663" s="18" t="n"/>
      <c r="O663" s="18" t="n"/>
      <c r="P663" s="18" t="n"/>
      <c r="Q663" s="18" t="n"/>
      <c r="R663" s="10" t="n"/>
      <c r="S663" s="17" t="n"/>
      <c r="T663" s="18" t="n"/>
      <c r="U663" s="17" t="n"/>
      <c r="V663" s="17" t="n"/>
      <c r="W663" s="18" t="n"/>
      <c r="X663" s="18" t="n"/>
      <c r="Y663" s="17" t="n"/>
      <c r="Z663" s="10" t="n"/>
      <c r="AA663" s="10" t="n"/>
      <c r="AB663" s="19">
        <f>IF(LEN(A663)&gt;0,1,0)</f>
        <v/>
      </c>
      <c r="AC663" s="19">
        <f>IF(LEN(A663)=0,0,(LEN(B663)=0)+(LEN(C663)=0)+(LEN(D663)=0)+(LEN(E663)=0)+(LEN(F663)=0)+(LEN(G663)=0)+(LEN(H663)=0)+(LEN(I663)=0)+(LEN(J663)=0)+(LEN(K663)=0)+(LEN(L663)=0)+(LEN(N663)=0)+(LEN(O663)=0)+(LEN(P663)=0)+(LEN(R663)=0)+(LEN(AA663)=0))</f>
        <v/>
      </c>
      <c r="AD663" s="19">
        <f>IF(OR(LEN(A663)=0,LEN(C663)=0),0,IF(OR(C663&lt;1,C663&gt;5),1,0))</f>
        <v/>
      </c>
      <c r="AE663" s="19">
        <f>IF(OR(LEN(A663)=0,LEN(R663)=0),0,IF(OR(R663="Active",R663="Paid off",R663="Defaulted",R663="Repossessed",R663="Written off",R663="Restructured"),0,1))</f>
        <v/>
      </c>
      <c r="AF663" s="19">
        <f>IF(A663="",0,IF(N(J663)&gt;N(I663),1,0))</f>
        <v/>
      </c>
      <c r="AG663" s="19">
        <f>IF(A663="",0,IF(N(N663)&gt;N(M663)+1,1,0))</f>
        <v/>
      </c>
      <c r="AH663" s="19">
        <f>IF(A663="",0,IF(N(E663)&gt;N(B663),1,0))</f>
        <v/>
      </c>
      <c r="AI663" s="19">
        <f>IF(A663="",0,IF(AND(Z663="Full payment",N(N663)&lt;N(M663)-1),1,0))</f>
        <v/>
      </c>
      <c r="AJ663" s="19">
        <f>IF(A663="",0,IF(N(P663)&lt;0,1,0))</f>
        <v/>
      </c>
      <c r="AK663" s="19">
        <f>IF(A663="",0,IF(COUNTIF($A$7:$A$1006,A663)&gt;1,1,0))</f>
        <v/>
      </c>
    </row>
    <row r="664">
      <c r="A664" s="10" t="n"/>
      <c r="B664" s="17" t="n"/>
      <c r="C664" s="18" t="n"/>
      <c r="D664" s="10" t="n"/>
      <c r="E664" s="17" t="n"/>
      <c r="F664" s="10" t="n"/>
      <c r="G664" s="10" t="n"/>
      <c r="H664" s="10" t="n"/>
      <c r="I664" s="18" t="n"/>
      <c r="J664" s="18" t="n"/>
      <c r="K664" s="18" t="n"/>
      <c r="L664" s="18" t="n"/>
      <c r="M664" s="19">
        <f>IF(K664="","",K664*365/12*L664)</f>
        <v/>
      </c>
      <c r="N664" s="18" t="n"/>
      <c r="O664" s="18" t="n"/>
      <c r="P664" s="18" t="n"/>
      <c r="Q664" s="18" t="n"/>
      <c r="R664" s="10" t="n"/>
      <c r="S664" s="17" t="n"/>
      <c r="T664" s="18" t="n"/>
      <c r="U664" s="17" t="n"/>
      <c r="V664" s="17" t="n"/>
      <c r="W664" s="18" t="n"/>
      <c r="X664" s="18" t="n"/>
      <c r="Y664" s="17" t="n"/>
      <c r="Z664" s="10" t="n"/>
      <c r="AA664" s="10" t="n"/>
      <c r="AB664" s="19">
        <f>IF(LEN(A664)&gt;0,1,0)</f>
        <v/>
      </c>
      <c r="AC664" s="19">
        <f>IF(LEN(A664)=0,0,(LEN(B664)=0)+(LEN(C664)=0)+(LEN(D664)=0)+(LEN(E664)=0)+(LEN(F664)=0)+(LEN(G664)=0)+(LEN(H664)=0)+(LEN(I664)=0)+(LEN(J664)=0)+(LEN(K664)=0)+(LEN(L664)=0)+(LEN(N664)=0)+(LEN(O664)=0)+(LEN(P664)=0)+(LEN(R664)=0)+(LEN(AA664)=0))</f>
        <v/>
      </c>
      <c r="AD664" s="19">
        <f>IF(OR(LEN(A664)=0,LEN(C664)=0),0,IF(OR(C664&lt;1,C664&gt;5),1,0))</f>
        <v/>
      </c>
      <c r="AE664" s="19">
        <f>IF(OR(LEN(A664)=0,LEN(R664)=0),0,IF(OR(R664="Active",R664="Paid off",R664="Defaulted",R664="Repossessed",R664="Written off",R664="Restructured"),0,1))</f>
        <v/>
      </c>
      <c r="AF664" s="19">
        <f>IF(A664="",0,IF(N(J664)&gt;N(I664),1,0))</f>
        <v/>
      </c>
      <c r="AG664" s="19">
        <f>IF(A664="",0,IF(N(N664)&gt;N(M664)+1,1,0))</f>
        <v/>
      </c>
      <c r="AH664" s="19">
        <f>IF(A664="",0,IF(N(E664)&gt;N(B664),1,0))</f>
        <v/>
      </c>
      <c r="AI664" s="19">
        <f>IF(A664="",0,IF(AND(Z664="Full payment",N(N664)&lt;N(M664)-1),1,0))</f>
        <v/>
      </c>
      <c r="AJ664" s="19">
        <f>IF(A664="",0,IF(N(P664)&lt;0,1,0))</f>
        <v/>
      </c>
      <c r="AK664" s="19">
        <f>IF(A664="",0,IF(COUNTIF($A$7:$A$1006,A664)&gt;1,1,0))</f>
        <v/>
      </c>
    </row>
    <row r="665">
      <c r="A665" s="10" t="n"/>
      <c r="B665" s="17" t="n"/>
      <c r="C665" s="18" t="n"/>
      <c r="D665" s="10" t="n"/>
      <c r="E665" s="17" t="n"/>
      <c r="F665" s="10" t="n"/>
      <c r="G665" s="10" t="n"/>
      <c r="H665" s="10" t="n"/>
      <c r="I665" s="18" t="n"/>
      <c r="J665" s="18" t="n"/>
      <c r="K665" s="18" t="n"/>
      <c r="L665" s="18" t="n"/>
      <c r="M665" s="19">
        <f>IF(K665="","",K665*365/12*L665)</f>
        <v/>
      </c>
      <c r="N665" s="18" t="n"/>
      <c r="O665" s="18" t="n"/>
      <c r="P665" s="18" t="n"/>
      <c r="Q665" s="18" t="n"/>
      <c r="R665" s="10" t="n"/>
      <c r="S665" s="17" t="n"/>
      <c r="T665" s="18" t="n"/>
      <c r="U665" s="17" t="n"/>
      <c r="V665" s="17" t="n"/>
      <c r="W665" s="18" t="n"/>
      <c r="X665" s="18" t="n"/>
      <c r="Y665" s="17" t="n"/>
      <c r="Z665" s="10" t="n"/>
      <c r="AA665" s="10" t="n"/>
      <c r="AB665" s="19">
        <f>IF(LEN(A665)&gt;0,1,0)</f>
        <v/>
      </c>
      <c r="AC665" s="19">
        <f>IF(LEN(A665)=0,0,(LEN(B665)=0)+(LEN(C665)=0)+(LEN(D665)=0)+(LEN(E665)=0)+(LEN(F665)=0)+(LEN(G665)=0)+(LEN(H665)=0)+(LEN(I665)=0)+(LEN(J665)=0)+(LEN(K665)=0)+(LEN(L665)=0)+(LEN(N665)=0)+(LEN(O665)=0)+(LEN(P665)=0)+(LEN(R665)=0)+(LEN(AA665)=0))</f>
        <v/>
      </c>
      <c r="AD665" s="19">
        <f>IF(OR(LEN(A665)=0,LEN(C665)=0),0,IF(OR(C665&lt;1,C665&gt;5),1,0))</f>
        <v/>
      </c>
      <c r="AE665" s="19">
        <f>IF(OR(LEN(A665)=0,LEN(R665)=0),0,IF(OR(R665="Active",R665="Paid off",R665="Defaulted",R665="Repossessed",R665="Written off",R665="Restructured"),0,1))</f>
        <v/>
      </c>
      <c r="AF665" s="19">
        <f>IF(A665="",0,IF(N(J665)&gt;N(I665),1,0))</f>
        <v/>
      </c>
      <c r="AG665" s="19">
        <f>IF(A665="",0,IF(N(N665)&gt;N(M665)+1,1,0))</f>
        <v/>
      </c>
      <c r="AH665" s="19">
        <f>IF(A665="",0,IF(N(E665)&gt;N(B665),1,0))</f>
        <v/>
      </c>
      <c r="AI665" s="19">
        <f>IF(A665="",0,IF(AND(Z665="Full payment",N(N665)&lt;N(M665)-1),1,0))</f>
        <v/>
      </c>
      <c r="AJ665" s="19">
        <f>IF(A665="",0,IF(N(P665)&lt;0,1,0))</f>
        <v/>
      </c>
      <c r="AK665" s="19">
        <f>IF(A665="",0,IF(COUNTIF($A$7:$A$1006,A665)&gt;1,1,0))</f>
        <v/>
      </c>
    </row>
    <row r="666">
      <c r="A666" s="10" t="n"/>
      <c r="B666" s="17" t="n"/>
      <c r="C666" s="18" t="n"/>
      <c r="D666" s="10" t="n"/>
      <c r="E666" s="17" t="n"/>
      <c r="F666" s="10" t="n"/>
      <c r="G666" s="10" t="n"/>
      <c r="H666" s="10" t="n"/>
      <c r="I666" s="18" t="n"/>
      <c r="J666" s="18" t="n"/>
      <c r="K666" s="18" t="n"/>
      <c r="L666" s="18" t="n"/>
      <c r="M666" s="19">
        <f>IF(K666="","",K666*365/12*L666)</f>
        <v/>
      </c>
      <c r="N666" s="18" t="n"/>
      <c r="O666" s="18" t="n"/>
      <c r="P666" s="18" t="n"/>
      <c r="Q666" s="18" t="n"/>
      <c r="R666" s="10" t="n"/>
      <c r="S666" s="17" t="n"/>
      <c r="T666" s="18" t="n"/>
      <c r="U666" s="17" t="n"/>
      <c r="V666" s="17" t="n"/>
      <c r="W666" s="18" t="n"/>
      <c r="X666" s="18" t="n"/>
      <c r="Y666" s="17" t="n"/>
      <c r="Z666" s="10" t="n"/>
      <c r="AA666" s="10" t="n"/>
      <c r="AB666" s="19">
        <f>IF(LEN(A666)&gt;0,1,0)</f>
        <v/>
      </c>
      <c r="AC666" s="19">
        <f>IF(LEN(A666)=0,0,(LEN(B666)=0)+(LEN(C666)=0)+(LEN(D666)=0)+(LEN(E666)=0)+(LEN(F666)=0)+(LEN(G666)=0)+(LEN(H666)=0)+(LEN(I666)=0)+(LEN(J666)=0)+(LEN(K666)=0)+(LEN(L666)=0)+(LEN(N666)=0)+(LEN(O666)=0)+(LEN(P666)=0)+(LEN(R666)=0)+(LEN(AA666)=0))</f>
        <v/>
      </c>
      <c r="AD666" s="19">
        <f>IF(OR(LEN(A666)=0,LEN(C666)=0),0,IF(OR(C666&lt;1,C666&gt;5),1,0))</f>
        <v/>
      </c>
      <c r="AE666" s="19">
        <f>IF(OR(LEN(A666)=0,LEN(R666)=0),0,IF(OR(R666="Active",R666="Paid off",R666="Defaulted",R666="Repossessed",R666="Written off",R666="Restructured"),0,1))</f>
        <v/>
      </c>
      <c r="AF666" s="19">
        <f>IF(A666="",0,IF(N(J666)&gt;N(I666),1,0))</f>
        <v/>
      </c>
      <c r="AG666" s="19">
        <f>IF(A666="",0,IF(N(N666)&gt;N(M666)+1,1,0))</f>
        <v/>
      </c>
      <c r="AH666" s="19">
        <f>IF(A666="",0,IF(N(E666)&gt;N(B666),1,0))</f>
        <v/>
      </c>
      <c r="AI666" s="19">
        <f>IF(A666="",0,IF(AND(Z666="Full payment",N(N666)&lt;N(M666)-1),1,0))</f>
        <v/>
      </c>
      <c r="AJ666" s="19">
        <f>IF(A666="",0,IF(N(P666)&lt;0,1,0))</f>
        <v/>
      </c>
      <c r="AK666" s="19">
        <f>IF(A666="",0,IF(COUNTIF($A$7:$A$1006,A666)&gt;1,1,0))</f>
        <v/>
      </c>
    </row>
    <row r="667">
      <c r="A667" s="10" t="n"/>
      <c r="B667" s="17" t="n"/>
      <c r="C667" s="18" t="n"/>
      <c r="D667" s="10" t="n"/>
      <c r="E667" s="17" t="n"/>
      <c r="F667" s="10" t="n"/>
      <c r="G667" s="10" t="n"/>
      <c r="H667" s="10" t="n"/>
      <c r="I667" s="18" t="n"/>
      <c r="J667" s="18" t="n"/>
      <c r="K667" s="18" t="n"/>
      <c r="L667" s="18" t="n"/>
      <c r="M667" s="19">
        <f>IF(K667="","",K667*365/12*L667)</f>
        <v/>
      </c>
      <c r="N667" s="18" t="n"/>
      <c r="O667" s="18" t="n"/>
      <c r="P667" s="18" t="n"/>
      <c r="Q667" s="18" t="n"/>
      <c r="R667" s="10" t="n"/>
      <c r="S667" s="17" t="n"/>
      <c r="T667" s="18" t="n"/>
      <c r="U667" s="17" t="n"/>
      <c r="V667" s="17" t="n"/>
      <c r="W667" s="18" t="n"/>
      <c r="X667" s="18" t="n"/>
      <c r="Y667" s="17" t="n"/>
      <c r="Z667" s="10" t="n"/>
      <c r="AA667" s="10" t="n"/>
      <c r="AB667" s="19">
        <f>IF(LEN(A667)&gt;0,1,0)</f>
        <v/>
      </c>
      <c r="AC667" s="19">
        <f>IF(LEN(A667)=0,0,(LEN(B667)=0)+(LEN(C667)=0)+(LEN(D667)=0)+(LEN(E667)=0)+(LEN(F667)=0)+(LEN(G667)=0)+(LEN(H667)=0)+(LEN(I667)=0)+(LEN(J667)=0)+(LEN(K667)=0)+(LEN(L667)=0)+(LEN(N667)=0)+(LEN(O667)=0)+(LEN(P667)=0)+(LEN(R667)=0)+(LEN(AA667)=0))</f>
        <v/>
      </c>
      <c r="AD667" s="19">
        <f>IF(OR(LEN(A667)=0,LEN(C667)=0),0,IF(OR(C667&lt;1,C667&gt;5),1,0))</f>
        <v/>
      </c>
      <c r="AE667" s="19">
        <f>IF(OR(LEN(A667)=0,LEN(R667)=0),0,IF(OR(R667="Active",R667="Paid off",R667="Defaulted",R667="Repossessed",R667="Written off",R667="Restructured"),0,1))</f>
        <v/>
      </c>
      <c r="AF667" s="19">
        <f>IF(A667="",0,IF(N(J667)&gt;N(I667),1,0))</f>
        <v/>
      </c>
      <c r="AG667" s="19">
        <f>IF(A667="",0,IF(N(N667)&gt;N(M667)+1,1,0))</f>
        <v/>
      </c>
      <c r="AH667" s="19">
        <f>IF(A667="",0,IF(N(E667)&gt;N(B667),1,0))</f>
        <v/>
      </c>
      <c r="AI667" s="19">
        <f>IF(A667="",0,IF(AND(Z667="Full payment",N(N667)&lt;N(M667)-1),1,0))</f>
        <v/>
      </c>
      <c r="AJ667" s="19">
        <f>IF(A667="",0,IF(N(P667)&lt;0,1,0))</f>
        <v/>
      </c>
      <c r="AK667" s="19">
        <f>IF(A667="",0,IF(COUNTIF($A$7:$A$1006,A667)&gt;1,1,0))</f>
        <v/>
      </c>
    </row>
    <row r="668">
      <c r="A668" s="10" t="n"/>
      <c r="B668" s="17" t="n"/>
      <c r="C668" s="18" t="n"/>
      <c r="D668" s="10" t="n"/>
      <c r="E668" s="17" t="n"/>
      <c r="F668" s="10" t="n"/>
      <c r="G668" s="10" t="n"/>
      <c r="H668" s="10" t="n"/>
      <c r="I668" s="18" t="n"/>
      <c r="J668" s="18" t="n"/>
      <c r="K668" s="18" t="n"/>
      <c r="L668" s="18" t="n"/>
      <c r="M668" s="19">
        <f>IF(K668="","",K668*365/12*L668)</f>
        <v/>
      </c>
      <c r="N668" s="18" t="n"/>
      <c r="O668" s="18" t="n"/>
      <c r="P668" s="18" t="n"/>
      <c r="Q668" s="18" t="n"/>
      <c r="R668" s="10" t="n"/>
      <c r="S668" s="17" t="n"/>
      <c r="T668" s="18" t="n"/>
      <c r="U668" s="17" t="n"/>
      <c r="V668" s="17" t="n"/>
      <c r="W668" s="18" t="n"/>
      <c r="X668" s="18" t="n"/>
      <c r="Y668" s="17" t="n"/>
      <c r="Z668" s="10" t="n"/>
      <c r="AA668" s="10" t="n"/>
      <c r="AB668" s="19">
        <f>IF(LEN(A668)&gt;0,1,0)</f>
        <v/>
      </c>
      <c r="AC668" s="19">
        <f>IF(LEN(A668)=0,0,(LEN(B668)=0)+(LEN(C668)=0)+(LEN(D668)=0)+(LEN(E668)=0)+(LEN(F668)=0)+(LEN(G668)=0)+(LEN(H668)=0)+(LEN(I668)=0)+(LEN(J668)=0)+(LEN(K668)=0)+(LEN(L668)=0)+(LEN(N668)=0)+(LEN(O668)=0)+(LEN(P668)=0)+(LEN(R668)=0)+(LEN(AA668)=0))</f>
        <v/>
      </c>
      <c r="AD668" s="19">
        <f>IF(OR(LEN(A668)=0,LEN(C668)=0),0,IF(OR(C668&lt;1,C668&gt;5),1,0))</f>
        <v/>
      </c>
      <c r="AE668" s="19">
        <f>IF(OR(LEN(A668)=0,LEN(R668)=0),0,IF(OR(R668="Active",R668="Paid off",R668="Defaulted",R668="Repossessed",R668="Written off",R668="Restructured"),0,1))</f>
        <v/>
      </c>
      <c r="AF668" s="19">
        <f>IF(A668="",0,IF(N(J668)&gt;N(I668),1,0))</f>
        <v/>
      </c>
      <c r="AG668" s="19">
        <f>IF(A668="",0,IF(N(N668)&gt;N(M668)+1,1,0))</f>
        <v/>
      </c>
      <c r="AH668" s="19">
        <f>IF(A668="",0,IF(N(E668)&gt;N(B668),1,0))</f>
        <v/>
      </c>
      <c r="AI668" s="19">
        <f>IF(A668="",0,IF(AND(Z668="Full payment",N(N668)&lt;N(M668)-1),1,0))</f>
        <v/>
      </c>
      <c r="AJ668" s="19">
        <f>IF(A668="",0,IF(N(P668)&lt;0,1,0))</f>
        <v/>
      </c>
      <c r="AK668" s="19">
        <f>IF(A668="",0,IF(COUNTIF($A$7:$A$1006,A668)&gt;1,1,0))</f>
        <v/>
      </c>
    </row>
    <row r="669">
      <c r="A669" s="10" t="n"/>
      <c r="B669" s="17" t="n"/>
      <c r="C669" s="18" t="n"/>
      <c r="D669" s="10" t="n"/>
      <c r="E669" s="17" t="n"/>
      <c r="F669" s="10" t="n"/>
      <c r="G669" s="10" t="n"/>
      <c r="H669" s="10" t="n"/>
      <c r="I669" s="18" t="n"/>
      <c r="J669" s="18" t="n"/>
      <c r="K669" s="18" t="n"/>
      <c r="L669" s="18" t="n"/>
      <c r="M669" s="19">
        <f>IF(K669="","",K669*365/12*L669)</f>
        <v/>
      </c>
      <c r="N669" s="18" t="n"/>
      <c r="O669" s="18" t="n"/>
      <c r="P669" s="18" t="n"/>
      <c r="Q669" s="18" t="n"/>
      <c r="R669" s="10" t="n"/>
      <c r="S669" s="17" t="n"/>
      <c r="T669" s="18" t="n"/>
      <c r="U669" s="17" t="n"/>
      <c r="V669" s="17" t="n"/>
      <c r="W669" s="18" t="n"/>
      <c r="X669" s="18" t="n"/>
      <c r="Y669" s="17" t="n"/>
      <c r="Z669" s="10" t="n"/>
      <c r="AA669" s="10" t="n"/>
      <c r="AB669" s="19">
        <f>IF(LEN(A669)&gt;0,1,0)</f>
        <v/>
      </c>
      <c r="AC669" s="19">
        <f>IF(LEN(A669)=0,0,(LEN(B669)=0)+(LEN(C669)=0)+(LEN(D669)=0)+(LEN(E669)=0)+(LEN(F669)=0)+(LEN(G669)=0)+(LEN(H669)=0)+(LEN(I669)=0)+(LEN(J669)=0)+(LEN(K669)=0)+(LEN(L669)=0)+(LEN(N669)=0)+(LEN(O669)=0)+(LEN(P669)=0)+(LEN(R669)=0)+(LEN(AA669)=0))</f>
        <v/>
      </c>
      <c r="AD669" s="19">
        <f>IF(OR(LEN(A669)=0,LEN(C669)=0),0,IF(OR(C669&lt;1,C669&gt;5),1,0))</f>
        <v/>
      </c>
      <c r="AE669" s="19">
        <f>IF(OR(LEN(A669)=0,LEN(R669)=0),0,IF(OR(R669="Active",R669="Paid off",R669="Defaulted",R669="Repossessed",R669="Written off",R669="Restructured"),0,1))</f>
        <v/>
      </c>
      <c r="AF669" s="19">
        <f>IF(A669="",0,IF(N(J669)&gt;N(I669),1,0))</f>
        <v/>
      </c>
      <c r="AG669" s="19">
        <f>IF(A669="",0,IF(N(N669)&gt;N(M669)+1,1,0))</f>
        <v/>
      </c>
      <c r="AH669" s="19">
        <f>IF(A669="",0,IF(N(E669)&gt;N(B669),1,0))</f>
        <v/>
      </c>
      <c r="AI669" s="19">
        <f>IF(A669="",0,IF(AND(Z669="Full payment",N(N669)&lt;N(M669)-1),1,0))</f>
        <v/>
      </c>
      <c r="AJ669" s="19">
        <f>IF(A669="",0,IF(N(P669)&lt;0,1,0))</f>
        <v/>
      </c>
      <c r="AK669" s="19">
        <f>IF(A669="",0,IF(COUNTIF($A$7:$A$1006,A669)&gt;1,1,0))</f>
        <v/>
      </c>
    </row>
    <row r="670">
      <c r="A670" s="10" t="n"/>
      <c r="B670" s="17" t="n"/>
      <c r="C670" s="18" t="n"/>
      <c r="D670" s="10" t="n"/>
      <c r="E670" s="17" t="n"/>
      <c r="F670" s="10" t="n"/>
      <c r="G670" s="10" t="n"/>
      <c r="H670" s="10" t="n"/>
      <c r="I670" s="18" t="n"/>
      <c r="J670" s="18" t="n"/>
      <c r="K670" s="18" t="n"/>
      <c r="L670" s="18" t="n"/>
      <c r="M670" s="19">
        <f>IF(K670="","",K670*365/12*L670)</f>
        <v/>
      </c>
      <c r="N670" s="18" t="n"/>
      <c r="O670" s="18" t="n"/>
      <c r="P670" s="18" t="n"/>
      <c r="Q670" s="18" t="n"/>
      <c r="R670" s="10" t="n"/>
      <c r="S670" s="17" t="n"/>
      <c r="T670" s="18" t="n"/>
      <c r="U670" s="17" t="n"/>
      <c r="V670" s="17" t="n"/>
      <c r="W670" s="18" t="n"/>
      <c r="X670" s="18" t="n"/>
      <c r="Y670" s="17" t="n"/>
      <c r="Z670" s="10" t="n"/>
      <c r="AA670" s="10" t="n"/>
      <c r="AB670" s="19">
        <f>IF(LEN(A670)&gt;0,1,0)</f>
        <v/>
      </c>
      <c r="AC670" s="19">
        <f>IF(LEN(A670)=0,0,(LEN(B670)=0)+(LEN(C670)=0)+(LEN(D670)=0)+(LEN(E670)=0)+(LEN(F670)=0)+(LEN(G670)=0)+(LEN(H670)=0)+(LEN(I670)=0)+(LEN(J670)=0)+(LEN(K670)=0)+(LEN(L670)=0)+(LEN(N670)=0)+(LEN(O670)=0)+(LEN(P670)=0)+(LEN(R670)=0)+(LEN(AA670)=0))</f>
        <v/>
      </c>
      <c r="AD670" s="19">
        <f>IF(OR(LEN(A670)=0,LEN(C670)=0),0,IF(OR(C670&lt;1,C670&gt;5),1,0))</f>
        <v/>
      </c>
      <c r="AE670" s="19">
        <f>IF(OR(LEN(A670)=0,LEN(R670)=0),0,IF(OR(R670="Active",R670="Paid off",R670="Defaulted",R670="Repossessed",R670="Written off",R670="Restructured"),0,1))</f>
        <v/>
      </c>
      <c r="AF670" s="19">
        <f>IF(A670="",0,IF(N(J670)&gt;N(I670),1,0))</f>
        <v/>
      </c>
      <c r="AG670" s="19">
        <f>IF(A670="",0,IF(N(N670)&gt;N(M670)+1,1,0))</f>
        <v/>
      </c>
      <c r="AH670" s="19">
        <f>IF(A670="",0,IF(N(E670)&gt;N(B670),1,0))</f>
        <v/>
      </c>
      <c r="AI670" s="19">
        <f>IF(A670="",0,IF(AND(Z670="Full payment",N(N670)&lt;N(M670)-1),1,0))</f>
        <v/>
      </c>
      <c r="AJ670" s="19">
        <f>IF(A670="",0,IF(N(P670)&lt;0,1,0))</f>
        <v/>
      </c>
      <c r="AK670" s="19">
        <f>IF(A670="",0,IF(COUNTIF($A$7:$A$1006,A670)&gt;1,1,0))</f>
        <v/>
      </c>
    </row>
    <row r="671">
      <c r="A671" s="10" t="n"/>
      <c r="B671" s="17" t="n"/>
      <c r="C671" s="18" t="n"/>
      <c r="D671" s="10" t="n"/>
      <c r="E671" s="17" t="n"/>
      <c r="F671" s="10" t="n"/>
      <c r="G671" s="10" t="n"/>
      <c r="H671" s="10" t="n"/>
      <c r="I671" s="18" t="n"/>
      <c r="J671" s="18" t="n"/>
      <c r="K671" s="18" t="n"/>
      <c r="L671" s="18" t="n"/>
      <c r="M671" s="19">
        <f>IF(K671="","",K671*365/12*L671)</f>
        <v/>
      </c>
      <c r="N671" s="18" t="n"/>
      <c r="O671" s="18" t="n"/>
      <c r="P671" s="18" t="n"/>
      <c r="Q671" s="18" t="n"/>
      <c r="R671" s="10" t="n"/>
      <c r="S671" s="17" t="n"/>
      <c r="T671" s="18" t="n"/>
      <c r="U671" s="17" t="n"/>
      <c r="V671" s="17" t="n"/>
      <c r="W671" s="18" t="n"/>
      <c r="X671" s="18" t="n"/>
      <c r="Y671" s="17" t="n"/>
      <c r="Z671" s="10" t="n"/>
      <c r="AA671" s="10" t="n"/>
      <c r="AB671" s="19">
        <f>IF(LEN(A671)&gt;0,1,0)</f>
        <v/>
      </c>
      <c r="AC671" s="19">
        <f>IF(LEN(A671)=0,0,(LEN(B671)=0)+(LEN(C671)=0)+(LEN(D671)=0)+(LEN(E671)=0)+(LEN(F671)=0)+(LEN(G671)=0)+(LEN(H671)=0)+(LEN(I671)=0)+(LEN(J671)=0)+(LEN(K671)=0)+(LEN(L671)=0)+(LEN(N671)=0)+(LEN(O671)=0)+(LEN(P671)=0)+(LEN(R671)=0)+(LEN(AA671)=0))</f>
        <v/>
      </c>
      <c r="AD671" s="19">
        <f>IF(OR(LEN(A671)=0,LEN(C671)=0),0,IF(OR(C671&lt;1,C671&gt;5),1,0))</f>
        <v/>
      </c>
      <c r="AE671" s="19">
        <f>IF(OR(LEN(A671)=0,LEN(R671)=0),0,IF(OR(R671="Active",R671="Paid off",R671="Defaulted",R671="Repossessed",R671="Written off",R671="Restructured"),0,1))</f>
        <v/>
      </c>
      <c r="AF671" s="19">
        <f>IF(A671="",0,IF(N(J671)&gt;N(I671),1,0))</f>
        <v/>
      </c>
      <c r="AG671" s="19">
        <f>IF(A671="",0,IF(N(N671)&gt;N(M671)+1,1,0))</f>
        <v/>
      </c>
      <c r="AH671" s="19">
        <f>IF(A671="",0,IF(N(E671)&gt;N(B671),1,0))</f>
        <v/>
      </c>
      <c r="AI671" s="19">
        <f>IF(A671="",0,IF(AND(Z671="Full payment",N(N671)&lt;N(M671)-1),1,0))</f>
        <v/>
      </c>
      <c r="AJ671" s="19">
        <f>IF(A671="",0,IF(N(P671)&lt;0,1,0))</f>
        <v/>
      </c>
      <c r="AK671" s="19">
        <f>IF(A671="",0,IF(COUNTIF($A$7:$A$1006,A671)&gt;1,1,0))</f>
        <v/>
      </c>
    </row>
    <row r="672">
      <c r="A672" s="10" t="n"/>
      <c r="B672" s="17" t="n"/>
      <c r="C672" s="18" t="n"/>
      <c r="D672" s="10" t="n"/>
      <c r="E672" s="17" t="n"/>
      <c r="F672" s="10" t="n"/>
      <c r="G672" s="10" t="n"/>
      <c r="H672" s="10" t="n"/>
      <c r="I672" s="18" t="n"/>
      <c r="J672" s="18" t="n"/>
      <c r="K672" s="18" t="n"/>
      <c r="L672" s="18" t="n"/>
      <c r="M672" s="19">
        <f>IF(K672="","",K672*365/12*L672)</f>
        <v/>
      </c>
      <c r="N672" s="18" t="n"/>
      <c r="O672" s="18" t="n"/>
      <c r="P672" s="18" t="n"/>
      <c r="Q672" s="18" t="n"/>
      <c r="R672" s="10" t="n"/>
      <c r="S672" s="17" t="n"/>
      <c r="T672" s="18" t="n"/>
      <c r="U672" s="17" t="n"/>
      <c r="V672" s="17" t="n"/>
      <c r="W672" s="18" t="n"/>
      <c r="X672" s="18" t="n"/>
      <c r="Y672" s="17" t="n"/>
      <c r="Z672" s="10" t="n"/>
      <c r="AA672" s="10" t="n"/>
      <c r="AB672" s="19">
        <f>IF(LEN(A672)&gt;0,1,0)</f>
        <v/>
      </c>
      <c r="AC672" s="19">
        <f>IF(LEN(A672)=0,0,(LEN(B672)=0)+(LEN(C672)=0)+(LEN(D672)=0)+(LEN(E672)=0)+(LEN(F672)=0)+(LEN(G672)=0)+(LEN(H672)=0)+(LEN(I672)=0)+(LEN(J672)=0)+(LEN(K672)=0)+(LEN(L672)=0)+(LEN(N672)=0)+(LEN(O672)=0)+(LEN(P672)=0)+(LEN(R672)=0)+(LEN(AA672)=0))</f>
        <v/>
      </c>
      <c r="AD672" s="19">
        <f>IF(OR(LEN(A672)=0,LEN(C672)=0),0,IF(OR(C672&lt;1,C672&gt;5),1,0))</f>
        <v/>
      </c>
      <c r="AE672" s="19">
        <f>IF(OR(LEN(A672)=0,LEN(R672)=0),0,IF(OR(R672="Active",R672="Paid off",R672="Defaulted",R672="Repossessed",R672="Written off",R672="Restructured"),0,1))</f>
        <v/>
      </c>
      <c r="AF672" s="19">
        <f>IF(A672="",0,IF(N(J672)&gt;N(I672),1,0))</f>
        <v/>
      </c>
      <c r="AG672" s="19">
        <f>IF(A672="",0,IF(N(N672)&gt;N(M672)+1,1,0))</f>
        <v/>
      </c>
      <c r="AH672" s="19">
        <f>IF(A672="",0,IF(N(E672)&gt;N(B672),1,0))</f>
        <v/>
      </c>
      <c r="AI672" s="19">
        <f>IF(A672="",0,IF(AND(Z672="Full payment",N(N672)&lt;N(M672)-1),1,0))</f>
        <v/>
      </c>
      <c r="AJ672" s="19">
        <f>IF(A672="",0,IF(N(P672)&lt;0,1,0))</f>
        <v/>
      </c>
      <c r="AK672" s="19">
        <f>IF(A672="",0,IF(COUNTIF($A$7:$A$1006,A672)&gt;1,1,0))</f>
        <v/>
      </c>
    </row>
    <row r="673">
      <c r="A673" s="10" t="n"/>
      <c r="B673" s="17" t="n"/>
      <c r="C673" s="18" t="n"/>
      <c r="D673" s="10" t="n"/>
      <c r="E673" s="17" t="n"/>
      <c r="F673" s="10" t="n"/>
      <c r="G673" s="10" t="n"/>
      <c r="H673" s="10" t="n"/>
      <c r="I673" s="18" t="n"/>
      <c r="J673" s="18" t="n"/>
      <c r="K673" s="18" t="n"/>
      <c r="L673" s="18" t="n"/>
      <c r="M673" s="19">
        <f>IF(K673="","",K673*365/12*L673)</f>
        <v/>
      </c>
      <c r="N673" s="18" t="n"/>
      <c r="O673" s="18" t="n"/>
      <c r="P673" s="18" t="n"/>
      <c r="Q673" s="18" t="n"/>
      <c r="R673" s="10" t="n"/>
      <c r="S673" s="17" t="n"/>
      <c r="T673" s="18" t="n"/>
      <c r="U673" s="17" t="n"/>
      <c r="V673" s="17" t="n"/>
      <c r="W673" s="18" t="n"/>
      <c r="X673" s="18" t="n"/>
      <c r="Y673" s="17" t="n"/>
      <c r="Z673" s="10" t="n"/>
      <c r="AA673" s="10" t="n"/>
      <c r="AB673" s="19">
        <f>IF(LEN(A673)&gt;0,1,0)</f>
        <v/>
      </c>
      <c r="AC673" s="19">
        <f>IF(LEN(A673)=0,0,(LEN(B673)=0)+(LEN(C673)=0)+(LEN(D673)=0)+(LEN(E673)=0)+(LEN(F673)=0)+(LEN(G673)=0)+(LEN(H673)=0)+(LEN(I673)=0)+(LEN(J673)=0)+(LEN(K673)=0)+(LEN(L673)=0)+(LEN(N673)=0)+(LEN(O673)=0)+(LEN(P673)=0)+(LEN(R673)=0)+(LEN(AA673)=0))</f>
        <v/>
      </c>
      <c r="AD673" s="19">
        <f>IF(OR(LEN(A673)=0,LEN(C673)=0),0,IF(OR(C673&lt;1,C673&gt;5),1,0))</f>
        <v/>
      </c>
      <c r="AE673" s="19">
        <f>IF(OR(LEN(A673)=0,LEN(R673)=0),0,IF(OR(R673="Active",R673="Paid off",R673="Defaulted",R673="Repossessed",R673="Written off",R673="Restructured"),0,1))</f>
        <v/>
      </c>
      <c r="AF673" s="19">
        <f>IF(A673="",0,IF(N(J673)&gt;N(I673),1,0))</f>
        <v/>
      </c>
      <c r="AG673" s="19">
        <f>IF(A673="",0,IF(N(N673)&gt;N(M673)+1,1,0))</f>
        <v/>
      </c>
      <c r="AH673" s="19">
        <f>IF(A673="",0,IF(N(E673)&gt;N(B673),1,0))</f>
        <v/>
      </c>
      <c r="AI673" s="19">
        <f>IF(A673="",0,IF(AND(Z673="Full payment",N(N673)&lt;N(M673)-1),1,0))</f>
        <v/>
      </c>
      <c r="AJ673" s="19">
        <f>IF(A673="",0,IF(N(P673)&lt;0,1,0))</f>
        <v/>
      </c>
      <c r="AK673" s="19">
        <f>IF(A673="",0,IF(COUNTIF($A$7:$A$1006,A673)&gt;1,1,0))</f>
        <v/>
      </c>
    </row>
    <row r="674">
      <c r="A674" s="10" t="n"/>
      <c r="B674" s="17" t="n"/>
      <c r="C674" s="18" t="n"/>
      <c r="D674" s="10" t="n"/>
      <c r="E674" s="17" t="n"/>
      <c r="F674" s="10" t="n"/>
      <c r="G674" s="10" t="n"/>
      <c r="H674" s="10" t="n"/>
      <c r="I674" s="18" t="n"/>
      <c r="J674" s="18" t="n"/>
      <c r="K674" s="18" t="n"/>
      <c r="L674" s="18" t="n"/>
      <c r="M674" s="19">
        <f>IF(K674="","",K674*365/12*L674)</f>
        <v/>
      </c>
      <c r="N674" s="18" t="n"/>
      <c r="O674" s="18" t="n"/>
      <c r="P674" s="18" t="n"/>
      <c r="Q674" s="18" t="n"/>
      <c r="R674" s="10" t="n"/>
      <c r="S674" s="17" t="n"/>
      <c r="T674" s="18" t="n"/>
      <c r="U674" s="17" t="n"/>
      <c r="V674" s="17" t="n"/>
      <c r="W674" s="18" t="n"/>
      <c r="X674" s="18" t="n"/>
      <c r="Y674" s="17" t="n"/>
      <c r="Z674" s="10" t="n"/>
      <c r="AA674" s="10" t="n"/>
      <c r="AB674" s="19">
        <f>IF(LEN(A674)&gt;0,1,0)</f>
        <v/>
      </c>
      <c r="AC674" s="19">
        <f>IF(LEN(A674)=0,0,(LEN(B674)=0)+(LEN(C674)=0)+(LEN(D674)=0)+(LEN(E674)=0)+(LEN(F674)=0)+(LEN(G674)=0)+(LEN(H674)=0)+(LEN(I674)=0)+(LEN(J674)=0)+(LEN(K674)=0)+(LEN(L674)=0)+(LEN(N674)=0)+(LEN(O674)=0)+(LEN(P674)=0)+(LEN(R674)=0)+(LEN(AA674)=0))</f>
        <v/>
      </c>
      <c r="AD674" s="19">
        <f>IF(OR(LEN(A674)=0,LEN(C674)=0),0,IF(OR(C674&lt;1,C674&gt;5),1,0))</f>
        <v/>
      </c>
      <c r="AE674" s="19">
        <f>IF(OR(LEN(A674)=0,LEN(R674)=0),0,IF(OR(R674="Active",R674="Paid off",R674="Defaulted",R674="Repossessed",R674="Written off",R674="Restructured"),0,1))</f>
        <v/>
      </c>
      <c r="AF674" s="19">
        <f>IF(A674="",0,IF(N(J674)&gt;N(I674),1,0))</f>
        <v/>
      </c>
      <c r="AG674" s="19">
        <f>IF(A674="",0,IF(N(N674)&gt;N(M674)+1,1,0))</f>
        <v/>
      </c>
      <c r="AH674" s="19">
        <f>IF(A674="",0,IF(N(E674)&gt;N(B674),1,0))</f>
        <v/>
      </c>
      <c r="AI674" s="19">
        <f>IF(A674="",0,IF(AND(Z674="Full payment",N(N674)&lt;N(M674)-1),1,0))</f>
        <v/>
      </c>
      <c r="AJ674" s="19">
        <f>IF(A674="",0,IF(N(P674)&lt;0,1,0))</f>
        <v/>
      </c>
      <c r="AK674" s="19">
        <f>IF(A674="",0,IF(COUNTIF($A$7:$A$1006,A674)&gt;1,1,0))</f>
        <v/>
      </c>
    </row>
    <row r="675">
      <c r="A675" s="10" t="n"/>
      <c r="B675" s="17" t="n"/>
      <c r="C675" s="18" t="n"/>
      <c r="D675" s="10" t="n"/>
      <c r="E675" s="17" t="n"/>
      <c r="F675" s="10" t="n"/>
      <c r="G675" s="10" t="n"/>
      <c r="H675" s="10" t="n"/>
      <c r="I675" s="18" t="n"/>
      <c r="J675" s="18" t="n"/>
      <c r="K675" s="18" t="n"/>
      <c r="L675" s="18" t="n"/>
      <c r="M675" s="19">
        <f>IF(K675="","",K675*365/12*L675)</f>
        <v/>
      </c>
      <c r="N675" s="18" t="n"/>
      <c r="O675" s="18" t="n"/>
      <c r="P675" s="18" t="n"/>
      <c r="Q675" s="18" t="n"/>
      <c r="R675" s="10" t="n"/>
      <c r="S675" s="17" t="n"/>
      <c r="T675" s="18" t="n"/>
      <c r="U675" s="17" t="n"/>
      <c r="V675" s="17" t="n"/>
      <c r="W675" s="18" t="n"/>
      <c r="X675" s="18" t="n"/>
      <c r="Y675" s="17" t="n"/>
      <c r="Z675" s="10" t="n"/>
      <c r="AA675" s="10" t="n"/>
      <c r="AB675" s="19">
        <f>IF(LEN(A675)&gt;0,1,0)</f>
        <v/>
      </c>
      <c r="AC675" s="19">
        <f>IF(LEN(A675)=0,0,(LEN(B675)=0)+(LEN(C675)=0)+(LEN(D675)=0)+(LEN(E675)=0)+(LEN(F675)=0)+(LEN(G675)=0)+(LEN(H675)=0)+(LEN(I675)=0)+(LEN(J675)=0)+(LEN(K675)=0)+(LEN(L675)=0)+(LEN(N675)=0)+(LEN(O675)=0)+(LEN(P675)=0)+(LEN(R675)=0)+(LEN(AA675)=0))</f>
        <v/>
      </c>
      <c r="AD675" s="19">
        <f>IF(OR(LEN(A675)=0,LEN(C675)=0),0,IF(OR(C675&lt;1,C675&gt;5),1,0))</f>
        <v/>
      </c>
      <c r="AE675" s="19">
        <f>IF(OR(LEN(A675)=0,LEN(R675)=0),0,IF(OR(R675="Active",R675="Paid off",R675="Defaulted",R675="Repossessed",R675="Written off",R675="Restructured"),0,1))</f>
        <v/>
      </c>
      <c r="AF675" s="19">
        <f>IF(A675="",0,IF(N(J675)&gt;N(I675),1,0))</f>
        <v/>
      </c>
      <c r="AG675" s="19">
        <f>IF(A675="",0,IF(N(N675)&gt;N(M675)+1,1,0))</f>
        <v/>
      </c>
      <c r="AH675" s="19">
        <f>IF(A675="",0,IF(N(E675)&gt;N(B675),1,0))</f>
        <v/>
      </c>
      <c r="AI675" s="19">
        <f>IF(A675="",0,IF(AND(Z675="Full payment",N(N675)&lt;N(M675)-1),1,0))</f>
        <v/>
      </c>
      <c r="AJ675" s="19">
        <f>IF(A675="",0,IF(N(P675)&lt;0,1,0))</f>
        <v/>
      </c>
      <c r="AK675" s="19">
        <f>IF(A675="",0,IF(COUNTIF($A$7:$A$1006,A675)&gt;1,1,0))</f>
        <v/>
      </c>
    </row>
    <row r="676">
      <c r="A676" s="10" t="n"/>
      <c r="B676" s="17" t="n"/>
      <c r="C676" s="18" t="n"/>
      <c r="D676" s="10" t="n"/>
      <c r="E676" s="17" t="n"/>
      <c r="F676" s="10" t="n"/>
      <c r="G676" s="10" t="n"/>
      <c r="H676" s="10" t="n"/>
      <c r="I676" s="18" t="n"/>
      <c r="J676" s="18" t="n"/>
      <c r="K676" s="18" t="n"/>
      <c r="L676" s="18" t="n"/>
      <c r="M676" s="19">
        <f>IF(K676="","",K676*365/12*L676)</f>
        <v/>
      </c>
      <c r="N676" s="18" t="n"/>
      <c r="O676" s="18" t="n"/>
      <c r="P676" s="18" t="n"/>
      <c r="Q676" s="18" t="n"/>
      <c r="R676" s="10" t="n"/>
      <c r="S676" s="17" t="n"/>
      <c r="T676" s="18" t="n"/>
      <c r="U676" s="17" t="n"/>
      <c r="V676" s="17" t="n"/>
      <c r="W676" s="18" t="n"/>
      <c r="X676" s="18" t="n"/>
      <c r="Y676" s="17" t="n"/>
      <c r="Z676" s="10" t="n"/>
      <c r="AA676" s="10" t="n"/>
      <c r="AB676" s="19">
        <f>IF(LEN(A676)&gt;0,1,0)</f>
        <v/>
      </c>
      <c r="AC676" s="19">
        <f>IF(LEN(A676)=0,0,(LEN(B676)=0)+(LEN(C676)=0)+(LEN(D676)=0)+(LEN(E676)=0)+(LEN(F676)=0)+(LEN(G676)=0)+(LEN(H676)=0)+(LEN(I676)=0)+(LEN(J676)=0)+(LEN(K676)=0)+(LEN(L676)=0)+(LEN(N676)=0)+(LEN(O676)=0)+(LEN(P676)=0)+(LEN(R676)=0)+(LEN(AA676)=0))</f>
        <v/>
      </c>
      <c r="AD676" s="19">
        <f>IF(OR(LEN(A676)=0,LEN(C676)=0),0,IF(OR(C676&lt;1,C676&gt;5),1,0))</f>
        <v/>
      </c>
      <c r="AE676" s="19">
        <f>IF(OR(LEN(A676)=0,LEN(R676)=0),0,IF(OR(R676="Active",R676="Paid off",R676="Defaulted",R676="Repossessed",R676="Written off",R676="Restructured"),0,1))</f>
        <v/>
      </c>
      <c r="AF676" s="19">
        <f>IF(A676="",0,IF(N(J676)&gt;N(I676),1,0))</f>
        <v/>
      </c>
      <c r="AG676" s="19">
        <f>IF(A676="",0,IF(N(N676)&gt;N(M676)+1,1,0))</f>
        <v/>
      </c>
      <c r="AH676" s="19">
        <f>IF(A676="",0,IF(N(E676)&gt;N(B676),1,0))</f>
        <v/>
      </c>
      <c r="AI676" s="19">
        <f>IF(A676="",0,IF(AND(Z676="Full payment",N(N676)&lt;N(M676)-1),1,0))</f>
        <v/>
      </c>
      <c r="AJ676" s="19">
        <f>IF(A676="",0,IF(N(P676)&lt;0,1,0))</f>
        <v/>
      </c>
      <c r="AK676" s="19">
        <f>IF(A676="",0,IF(COUNTIF($A$7:$A$1006,A676)&gt;1,1,0))</f>
        <v/>
      </c>
    </row>
    <row r="677">
      <c r="A677" s="10" t="n"/>
      <c r="B677" s="17" t="n"/>
      <c r="C677" s="18" t="n"/>
      <c r="D677" s="10" t="n"/>
      <c r="E677" s="17" t="n"/>
      <c r="F677" s="10" t="n"/>
      <c r="G677" s="10" t="n"/>
      <c r="H677" s="10" t="n"/>
      <c r="I677" s="18" t="n"/>
      <c r="J677" s="18" t="n"/>
      <c r="K677" s="18" t="n"/>
      <c r="L677" s="18" t="n"/>
      <c r="M677" s="19">
        <f>IF(K677="","",K677*365/12*L677)</f>
        <v/>
      </c>
      <c r="N677" s="18" t="n"/>
      <c r="O677" s="18" t="n"/>
      <c r="P677" s="18" t="n"/>
      <c r="Q677" s="18" t="n"/>
      <c r="R677" s="10" t="n"/>
      <c r="S677" s="17" t="n"/>
      <c r="T677" s="18" t="n"/>
      <c r="U677" s="17" t="n"/>
      <c r="V677" s="17" t="n"/>
      <c r="W677" s="18" t="n"/>
      <c r="X677" s="18" t="n"/>
      <c r="Y677" s="17" t="n"/>
      <c r="Z677" s="10" t="n"/>
      <c r="AA677" s="10" t="n"/>
      <c r="AB677" s="19">
        <f>IF(LEN(A677)&gt;0,1,0)</f>
        <v/>
      </c>
      <c r="AC677" s="19">
        <f>IF(LEN(A677)=0,0,(LEN(B677)=0)+(LEN(C677)=0)+(LEN(D677)=0)+(LEN(E677)=0)+(LEN(F677)=0)+(LEN(G677)=0)+(LEN(H677)=0)+(LEN(I677)=0)+(LEN(J677)=0)+(LEN(K677)=0)+(LEN(L677)=0)+(LEN(N677)=0)+(LEN(O677)=0)+(LEN(P677)=0)+(LEN(R677)=0)+(LEN(AA677)=0))</f>
        <v/>
      </c>
      <c r="AD677" s="19">
        <f>IF(OR(LEN(A677)=0,LEN(C677)=0),0,IF(OR(C677&lt;1,C677&gt;5),1,0))</f>
        <v/>
      </c>
      <c r="AE677" s="19">
        <f>IF(OR(LEN(A677)=0,LEN(R677)=0),0,IF(OR(R677="Active",R677="Paid off",R677="Defaulted",R677="Repossessed",R677="Written off",R677="Restructured"),0,1))</f>
        <v/>
      </c>
      <c r="AF677" s="19">
        <f>IF(A677="",0,IF(N(J677)&gt;N(I677),1,0))</f>
        <v/>
      </c>
      <c r="AG677" s="19">
        <f>IF(A677="",0,IF(N(N677)&gt;N(M677)+1,1,0))</f>
        <v/>
      </c>
      <c r="AH677" s="19">
        <f>IF(A677="",0,IF(N(E677)&gt;N(B677),1,0))</f>
        <v/>
      </c>
      <c r="AI677" s="19">
        <f>IF(A677="",0,IF(AND(Z677="Full payment",N(N677)&lt;N(M677)-1),1,0))</f>
        <v/>
      </c>
      <c r="AJ677" s="19">
        <f>IF(A677="",0,IF(N(P677)&lt;0,1,0))</f>
        <v/>
      </c>
      <c r="AK677" s="19">
        <f>IF(A677="",0,IF(COUNTIF($A$7:$A$1006,A677)&gt;1,1,0))</f>
        <v/>
      </c>
    </row>
    <row r="678">
      <c r="A678" s="10" t="n"/>
      <c r="B678" s="17" t="n"/>
      <c r="C678" s="18" t="n"/>
      <c r="D678" s="10" t="n"/>
      <c r="E678" s="17" t="n"/>
      <c r="F678" s="10" t="n"/>
      <c r="G678" s="10" t="n"/>
      <c r="H678" s="10" t="n"/>
      <c r="I678" s="18" t="n"/>
      <c r="J678" s="18" t="n"/>
      <c r="K678" s="18" t="n"/>
      <c r="L678" s="18" t="n"/>
      <c r="M678" s="19">
        <f>IF(K678="","",K678*365/12*L678)</f>
        <v/>
      </c>
      <c r="N678" s="18" t="n"/>
      <c r="O678" s="18" t="n"/>
      <c r="P678" s="18" t="n"/>
      <c r="Q678" s="18" t="n"/>
      <c r="R678" s="10" t="n"/>
      <c r="S678" s="17" t="n"/>
      <c r="T678" s="18" t="n"/>
      <c r="U678" s="17" t="n"/>
      <c r="V678" s="17" t="n"/>
      <c r="W678" s="18" t="n"/>
      <c r="X678" s="18" t="n"/>
      <c r="Y678" s="17" t="n"/>
      <c r="Z678" s="10" t="n"/>
      <c r="AA678" s="10" t="n"/>
      <c r="AB678" s="19">
        <f>IF(LEN(A678)&gt;0,1,0)</f>
        <v/>
      </c>
      <c r="AC678" s="19">
        <f>IF(LEN(A678)=0,0,(LEN(B678)=0)+(LEN(C678)=0)+(LEN(D678)=0)+(LEN(E678)=0)+(LEN(F678)=0)+(LEN(G678)=0)+(LEN(H678)=0)+(LEN(I678)=0)+(LEN(J678)=0)+(LEN(K678)=0)+(LEN(L678)=0)+(LEN(N678)=0)+(LEN(O678)=0)+(LEN(P678)=0)+(LEN(R678)=0)+(LEN(AA678)=0))</f>
        <v/>
      </c>
      <c r="AD678" s="19">
        <f>IF(OR(LEN(A678)=0,LEN(C678)=0),0,IF(OR(C678&lt;1,C678&gt;5),1,0))</f>
        <v/>
      </c>
      <c r="AE678" s="19">
        <f>IF(OR(LEN(A678)=0,LEN(R678)=0),0,IF(OR(R678="Active",R678="Paid off",R678="Defaulted",R678="Repossessed",R678="Written off",R678="Restructured"),0,1))</f>
        <v/>
      </c>
      <c r="AF678" s="19">
        <f>IF(A678="",0,IF(N(J678)&gt;N(I678),1,0))</f>
        <v/>
      </c>
      <c r="AG678" s="19">
        <f>IF(A678="",0,IF(N(N678)&gt;N(M678)+1,1,0))</f>
        <v/>
      </c>
      <c r="AH678" s="19">
        <f>IF(A678="",0,IF(N(E678)&gt;N(B678),1,0))</f>
        <v/>
      </c>
      <c r="AI678" s="19">
        <f>IF(A678="",0,IF(AND(Z678="Full payment",N(N678)&lt;N(M678)-1),1,0))</f>
        <v/>
      </c>
      <c r="AJ678" s="19">
        <f>IF(A678="",0,IF(N(P678)&lt;0,1,0))</f>
        <v/>
      </c>
      <c r="AK678" s="19">
        <f>IF(A678="",0,IF(COUNTIF($A$7:$A$1006,A678)&gt;1,1,0))</f>
        <v/>
      </c>
    </row>
    <row r="679">
      <c r="A679" s="10" t="n"/>
      <c r="B679" s="17" t="n"/>
      <c r="C679" s="18" t="n"/>
      <c r="D679" s="10" t="n"/>
      <c r="E679" s="17" t="n"/>
      <c r="F679" s="10" t="n"/>
      <c r="G679" s="10" t="n"/>
      <c r="H679" s="10" t="n"/>
      <c r="I679" s="18" t="n"/>
      <c r="J679" s="18" t="n"/>
      <c r="K679" s="18" t="n"/>
      <c r="L679" s="18" t="n"/>
      <c r="M679" s="19">
        <f>IF(K679="","",K679*365/12*L679)</f>
        <v/>
      </c>
      <c r="N679" s="18" t="n"/>
      <c r="O679" s="18" t="n"/>
      <c r="P679" s="18" t="n"/>
      <c r="Q679" s="18" t="n"/>
      <c r="R679" s="10" t="n"/>
      <c r="S679" s="17" t="n"/>
      <c r="T679" s="18" t="n"/>
      <c r="U679" s="17" t="n"/>
      <c r="V679" s="17" t="n"/>
      <c r="W679" s="18" t="n"/>
      <c r="X679" s="18" t="n"/>
      <c r="Y679" s="17" t="n"/>
      <c r="Z679" s="10" t="n"/>
      <c r="AA679" s="10" t="n"/>
      <c r="AB679" s="19">
        <f>IF(LEN(A679)&gt;0,1,0)</f>
        <v/>
      </c>
      <c r="AC679" s="19">
        <f>IF(LEN(A679)=0,0,(LEN(B679)=0)+(LEN(C679)=0)+(LEN(D679)=0)+(LEN(E679)=0)+(LEN(F679)=0)+(LEN(G679)=0)+(LEN(H679)=0)+(LEN(I679)=0)+(LEN(J679)=0)+(LEN(K679)=0)+(LEN(L679)=0)+(LEN(N679)=0)+(LEN(O679)=0)+(LEN(P679)=0)+(LEN(R679)=0)+(LEN(AA679)=0))</f>
        <v/>
      </c>
      <c r="AD679" s="19">
        <f>IF(OR(LEN(A679)=0,LEN(C679)=0),0,IF(OR(C679&lt;1,C679&gt;5),1,0))</f>
        <v/>
      </c>
      <c r="AE679" s="19">
        <f>IF(OR(LEN(A679)=0,LEN(R679)=0),0,IF(OR(R679="Active",R679="Paid off",R679="Defaulted",R679="Repossessed",R679="Written off",R679="Restructured"),0,1))</f>
        <v/>
      </c>
      <c r="AF679" s="19">
        <f>IF(A679="",0,IF(N(J679)&gt;N(I679),1,0))</f>
        <v/>
      </c>
      <c r="AG679" s="19">
        <f>IF(A679="",0,IF(N(N679)&gt;N(M679)+1,1,0))</f>
        <v/>
      </c>
      <c r="AH679" s="19">
        <f>IF(A679="",0,IF(N(E679)&gt;N(B679),1,0))</f>
        <v/>
      </c>
      <c r="AI679" s="19">
        <f>IF(A679="",0,IF(AND(Z679="Full payment",N(N679)&lt;N(M679)-1),1,0))</f>
        <v/>
      </c>
      <c r="AJ679" s="19">
        <f>IF(A679="",0,IF(N(P679)&lt;0,1,0))</f>
        <v/>
      </c>
      <c r="AK679" s="19">
        <f>IF(A679="",0,IF(COUNTIF($A$7:$A$1006,A679)&gt;1,1,0))</f>
        <v/>
      </c>
    </row>
    <row r="680">
      <c r="A680" s="10" t="n"/>
      <c r="B680" s="17" t="n"/>
      <c r="C680" s="18" t="n"/>
      <c r="D680" s="10" t="n"/>
      <c r="E680" s="17" t="n"/>
      <c r="F680" s="10" t="n"/>
      <c r="G680" s="10" t="n"/>
      <c r="H680" s="10" t="n"/>
      <c r="I680" s="18" t="n"/>
      <c r="J680" s="18" t="n"/>
      <c r="K680" s="18" t="n"/>
      <c r="L680" s="18" t="n"/>
      <c r="M680" s="19">
        <f>IF(K680="","",K680*365/12*L680)</f>
        <v/>
      </c>
      <c r="N680" s="18" t="n"/>
      <c r="O680" s="18" t="n"/>
      <c r="P680" s="18" t="n"/>
      <c r="Q680" s="18" t="n"/>
      <c r="R680" s="10" t="n"/>
      <c r="S680" s="17" t="n"/>
      <c r="T680" s="18" t="n"/>
      <c r="U680" s="17" t="n"/>
      <c r="V680" s="17" t="n"/>
      <c r="W680" s="18" t="n"/>
      <c r="X680" s="18" t="n"/>
      <c r="Y680" s="17" t="n"/>
      <c r="Z680" s="10" t="n"/>
      <c r="AA680" s="10" t="n"/>
      <c r="AB680" s="19">
        <f>IF(LEN(A680)&gt;0,1,0)</f>
        <v/>
      </c>
      <c r="AC680" s="19">
        <f>IF(LEN(A680)=0,0,(LEN(B680)=0)+(LEN(C680)=0)+(LEN(D680)=0)+(LEN(E680)=0)+(LEN(F680)=0)+(LEN(G680)=0)+(LEN(H680)=0)+(LEN(I680)=0)+(LEN(J680)=0)+(LEN(K680)=0)+(LEN(L680)=0)+(LEN(N680)=0)+(LEN(O680)=0)+(LEN(P680)=0)+(LEN(R680)=0)+(LEN(AA680)=0))</f>
        <v/>
      </c>
      <c r="AD680" s="19">
        <f>IF(OR(LEN(A680)=0,LEN(C680)=0),0,IF(OR(C680&lt;1,C680&gt;5),1,0))</f>
        <v/>
      </c>
      <c r="AE680" s="19">
        <f>IF(OR(LEN(A680)=0,LEN(R680)=0),0,IF(OR(R680="Active",R680="Paid off",R680="Defaulted",R680="Repossessed",R680="Written off",R680="Restructured"),0,1))</f>
        <v/>
      </c>
      <c r="AF680" s="19">
        <f>IF(A680="",0,IF(N(J680)&gt;N(I680),1,0))</f>
        <v/>
      </c>
      <c r="AG680" s="19">
        <f>IF(A680="",0,IF(N(N680)&gt;N(M680)+1,1,0))</f>
        <v/>
      </c>
      <c r="AH680" s="19">
        <f>IF(A680="",0,IF(N(E680)&gt;N(B680),1,0))</f>
        <v/>
      </c>
      <c r="AI680" s="19">
        <f>IF(A680="",0,IF(AND(Z680="Full payment",N(N680)&lt;N(M680)-1),1,0))</f>
        <v/>
      </c>
      <c r="AJ680" s="19">
        <f>IF(A680="",0,IF(N(P680)&lt;0,1,0))</f>
        <v/>
      </c>
      <c r="AK680" s="19">
        <f>IF(A680="",0,IF(COUNTIF($A$7:$A$1006,A680)&gt;1,1,0))</f>
        <v/>
      </c>
    </row>
    <row r="681">
      <c r="A681" s="10" t="n"/>
      <c r="B681" s="17" t="n"/>
      <c r="C681" s="18" t="n"/>
      <c r="D681" s="10" t="n"/>
      <c r="E681" s="17" t="n"/>
      <c r="F681" s="10" t="n"/>
      <c r="G681" s="10" t="n"/>
      <c r="H681" s="10" t="n"/>
      <c r="I681" s="18" t="n"/>
      <c r="J681" s="18" t="n"/>
      <c r="K681" s="18" t="n"/>
      <c r="L681" s="18" t="n"/>
      <c r="M681" s="19">
        <f>IF(K681="","",K681*365/12*L681)</f>
        <v/>
      </c>
      <c r="N681" s="18" t="n"/>
      <c r="O681" s="18" t="n"/>
      <c r="P681" s="18" t="n"/>
      <c r="Q681" s="18" t="n"/>
      <c r="R681" s="10" t="n"/>
      <c r="S681" s="17" t="n"/>
      <c r="T681" s="18" t="n"/>
      <c r="U681" s="17" t="n"/>
      <c r="V681" s="17" t="n"/>
      <c r="W681" s="18" t="n"/>
      <c r="X681" s="18" t="n"/>
      <c r="Y681" s="17" t="n"/>
      <c r="Z681" s="10" t="n"/>
      <c r="AA681" s="10" t="n"/>
      <c r="AB681" s="19">
        <f>IF(LEN(A681)&gt;0,1,0)</f>
        <v/>
      </c>
      <c r="AC681" s="19">
        <f>IF(LEN(A681)=0,0,(LEN(B681)=0)+(LEN(C681)=0)+(LEN(D681)=0)+(LEN(E681)=0)+(LEN(F681)=0)+(LEN(G681)=0)+(LEN(H681)=0)+(LEN(I681)=0)+(LEN(J681)=0)+(LEN(K681)=0)+(LEN(L681)=0)+(LEN(N681)=0)+(LEN(O681)=0)+(LEN(P681)=0)+(LEN(R681)=0)+(LEN(AA681)=0))</f>
        <v/>
      </c>
      <c r="AD681" s="19">
        <f>IF(OR(LEN(A681)=0,LEN(C681)=0),0,IF(OR(C681&lt;1,C681&gt;5),1,0))</f>
        <v/>
      </c>
      <c r="AE681" s="19">
        <f>IF(OR(LEN(A681)=0,LEN(R681)=0),0,IF(OR(R681="Active",R681="Paid off",R681="Defaulted",R681="Repossessed",R681="Written off",R681="Restructured"),0,1))</f>
        <v/>
      </c>
      <c r="AF681" s="19">
        <f>IF(A681="",0,IF(N(J681)&gt;N(I681),1,0))</f>
        <v/>
      </c>
      <c r="AG681" s="19">
        <f>IF(A681="",0,IF(N(N681)&gt;N(M681)+1,1,0))</f>
        <v/>
      </c>
      <c r="AH681" s="19">
        <f>IF(A681="",0,IF(N(E681)&gt;N(B681),1,0))</f>
        <v/>
      </c>
      <c r="AI681" s="19">
        <f>IF(A681="",0,IF(AND(Z681="Full payment",N(N681)&lt;N(M681)-1),1,0))</f>
        <v/>
      </c>
      <c r="AJ681" s="19">
        <f>IF(A681="",0,IF(N(P681)&lt;0,1,0))</f>
        <v/>
      </c>
      <c r="AK681" s="19">
        <f>IF(A681="",0,IF(COUNTIF($A$7:$A$1006,A681)&gt;1,1,0))</f>
        <v/>
      </c>
    </row>
    <row r="682">
      <c r="A682" s="10" t="n"/>
      <c r="B682" s="17" t="n"/>
      <c r="C682" s="18" t="n"/>
      <c r="D682" s="10" t="n"/>
      <c r="E682" s="17" t="n"/>
      <c r="F682" s="10" t="n"/>
      <c r="G682" s="10" t="n"/>
      <c r="H682" s="10" t="n"/>
      <c r="I682" s="18" t="n"/>
      <c r="J682" s="18" t="n"/>
      <c r="K682" s="18" t="n"/>
      <c r="L682" s="18" t="n"/>
      <c r="M682" s="19">
        <f>IF(K682="","",K682*365/12*L682)</f>
        <v/>
      </c>
      <c r="N682" s="18" t="n"/>
      <c r="O682" s="18" t="n"/>
      <c r="P682" s="18" t="n"/>
      <c r="Q682" s="18" t="n"/>
      <c r="R682" s="10" t="n"/>
      <c r="S682" s="17" t="n"/>
      <c r="T682" s="18" t="n"/>
      <c r="U682" s="17" t="n"/>
      <c r="V682" s="17" t="n"/>
      <c r="W682" s="18" t="n"/>
      <c r="X682" s="18" t="n"/>
      <c r="Y682" s="17" t="n"/>
      <c r="Z682" s="10" t="n"/>
      <c r="AA682" s="10" t="n"/>
      <c r="AB682" s="19">
        <f>IF(LEN(A682)&gt;0,1,0)</f>
        <v/>
      </c>
      <c r="AC682" s="19">
        <f>IF(LEN(A682)=0,0,(LEN(B682)=0)+(LEN(C682)=0)+(LEN(D682)=0)+(LEN(E682)=0)+(LEN(F682)=0)+(LEN(G682)=0)+(LEN(H682)=0)+(LEN(I682)=0)+(LEN(J682)=0)+(LEN(K682)=0)+(LEN(L682)=0)+(LEN(N682)=0)+(LEN(O682)=0)+(LEN(P682)=0)+(LEN(R682)=0)+(LEN(AA682)=0))</f>
        <v/>
      </c>
      <c r="AD682" s="19">
        <f>IF(OR(LEN(A682)=0,LEN(C682)=0),0,IF(OR(C682&lt;1,C682&gt;5),1,0))</f>
        <v/>
      </c>
      <c r="AE682" s="19">
        <f>IF(OR(LEN(A682)=0,LEN(R682)=0),0,IF(OR(R682="Active",R682="Paid off",R682="Defaulted",R682="Repossessed",R682="Written off",R682="Restructured"),0,1))</f>
        <v/>
      </c>
      <c r="AF682" s="19">
        <f>IF(A682="",0,IF(N(J682)&gt;N(I682),1,0))</f>
        <v/>
      </c>
      <c r="AG682" s="19">
        <f>IF(A682="",0,IF(N(N682)&gt;N(M682)+1,1,0))</f>
        <v/>
      </c>
      <c r="AH682" s="19">
        <f>IF(A682="",0,IF(N(E682)&gt;N(B682),1,0))</f>
        <v/>
      </c>
      <c r="AI682" s="19">
        <f>IF(A682="",0,IF(AND(Z682="Full payment",N(N682)&lt;N(M682)-1),1,0))</f>
        <v/>
      </c>
      <c r="AJ682" s="19">
        <f>IF(A682="",0,IF(N(P682)&lt;0,1,0))</f>
        <v/>
      </c>
      <c r="AK682" s="19">
        <f>IF(A682="",0,IF(COUNTIF($A$7:$A$1006,A682)&gt;1,1,0))</f>
        <v/>
      </c>
    </row>
    <row r="683">
      <c r="A683" s="10" t="n"/>
      <c r="B683" s="17" t="n"/>
      <c r="C683" s="18" t="n"/>
      <c r="D683" s="10" t="n"/>
      <c r="E683" s="17" t="n"/>
      <c r="F683" s="10" t="n"/>
      <c r="G683" s="10" t="n"/>
      <c r="H683" s="10" t="n"/>
      <c r="I683" s="18" t="n"/>
      <c r="J683" s="18" t="n"/>
      <c r="K683" s="18" t="n"/>
      <c r="L683" s="18" t="n"/>
      <c r="M683" s="19">
        <f>IF(K683="","",K683*365/12*L683)</f>
        <v/>
      </c>
      <c r="N683" s="18" t="n"/>
      <c r="O683" s="18" t="n"/>
      <c r="P683" s="18" t="n"/>
      <c r="Q683" s="18" t="n"/>
      <c r="R683" s="10" t="n"/>
      <c r="S683" s="17" t="n"/>
      <c r="T683" s="18" t="n"/>
      <c r="U683" s="17" t="n"/>
      <c r="V683" s="17" t="n"/>
      <c r="W683" s="18" t="n"/>
      <c r="X683" s="18" t="n"/>
      <c r="Y683" s="17" t="n"/>
      <c r="Z683" s="10" t="n"/>
      <c r="AA683" s="10" t="n"/>
      <c r="AB683" s="19">
        <f>IF(LEN(A683)&gt;0,1,0)</f>
        <v/>
      </c>
      <c r="AC683" s="19">
        <f>IF(LEN(A683)=0,0,(LEN(B683)=0)+(LEN(C683)=0)+(LEN(D683)=0)+(LEN(E683)=0)+(LEN(F683)=0)+(LEN(G683)=0)+(LEN(H683)=0)+(LEN(I683)=0)+(LEN(J683)=0)+(LEN(K683)=0)+(LEN(L683)=0)+(LEN(N683)=0)+(LEN(O683)=0)+(LEN(P683)=0)+(LEN(R683)=0)+(LEN(AA683)=0))</f>
        <v/>
      </c>
      <c r="AD683" s="19">
        <f>IF(OR(LEN(A683)=0,LEN(C683)=0),0,IF(OR(C683&lt;1,C683&gt;5),1,0))</f>
        <v/>
      </c>
      <c r="AE683" s="19">
        <f>IF(OR(LEN(A683)=0,LEN(R683)=0),0,IF(OR(R683="Active",R683="Paid off",R683="Defaulted",R683="Repossessed",R683="Written off",R683="Restructured"),0,1))</f>
        <v/>
      </c>
      <c r="AF683" s="19">
        <f>IF(A683="",0,IF(N(J683)&gt;N(I683),1,0))</f>
        <v/>
      </c>
      <c r="AG683" s="19">
        <f>IF(A683="",0,IF(N(N683)&gt;N(M683)+1,1,0))</f>
        <v/>
      </c>
      <c r="AH683" s="19">
        <f>IF(A683="",0,IF(N(E683)&gt;N(B683),1,0))</f>
        <v/>
      </c>
      <c r="AI683" s="19">
        <f>IF(A683="",0,IF(AND(Z683="Full payment",N(N683)&lt;N(M683)-1),1,0))</f>
        <v/>
      </c>
      <c r="AJ683" s="19">
        <f>IF(A683="",0,IF(N(P683)&lt;0,1,0))</f>
        <v/>
      </c>
      <c r="AK683" s="19">
        <f>IF(A683="",0,IF(COUNTIF($A$7:$A$1006,A683)&gt;1,1,0))</f>
        <v/>
      </c>
    </row>
    <row r="684">
      <c r="A684" s="10" t="n"/>
      <c r="B684" s="17" t="n"/>
      <c r="C684" s="18" t="n"/>
      <c r="D684" s="10" t="n"/>
      <c r="E684" s="17" t="n"/>
      <c r="F684" s="10" t="n"/>
      <c r="G684" s="10" t="n"/>
      <c r="H684" s="10" t="n"/>
      <c r="I684" s="18" t="n"/>
      <c r="J684" s="18" t="n"/>
      <c r="K684" s="18" t="n"/>
      <c r="L684" s="18" t="n"/>
      <c r="M684" s="19">
        <f>IF(K684="","",K684*365/12*L684)</f>
        <v/>
      </c>
      <c r="N684" s="18" t="n"/>
      <c r="O684" s="18" t="n"/>
      <c r="P684" s="18" t="n"/>
      <c r="Q684" s="18" t="n"/>
      <c r="R684" s="10" t="n"/>
      <c r="S684" s="17" t="n"/>
      <c r="T684" s="18" t="n"/>
      <c r="U684" s="17" t="n"/>
      <c r="V684" s="17" t="n"/>
      <c r="W684" s="18" t="n"/>
      <c r="X684" s="18" t="n"/>
      <c r="Y684" s="17" t="n"/>
      <c r="Z684" s="10" t="n"/>
      <c r="AA684" s="10" t="n"/>
      <c r="AB684" s="19">
        <f>IF(LEN(A684)&gt;0,1,0)</f>
        <v/>
      </c>
      <c r="AC684" s="19">
        <f>IF(LEN(A684)=0,0,(LEN(B684)=0)+(LEN(C684)=0)+(LEN(D684)=0)+(LEN(E684)=0)+(LEN(F684)=0)+(LEN(G684)=0)+(LEN(H684)=0)+(LEN(I684)=0)+(LEN(J684)=0)+(LEN(K684)=0)+(LEN(L684)=0)+(LEN(N684)=0)+(LEN(O684)=0)+(LEN(P684)=0)+(LEN(R684)=0)+(LEN(AA684)=0))</f>
        <v/>
      </c>
      <c r="AD684" s="19">
        <f>IF(OR(LEN(A684)=0,LEN(C684)=0),0,IF(OR(C684&lt;1,C684&gt;5),1,0))</f>
        <v/>
      </c>
      <c r="AE684" s="19">
        <f>IF(OR(LEN(A684)=0,LEN(R684)=0),0,IF(OR(R684="Active",R684="Paid off",R684="Defaulted",R684="Repossessed",R684="Written off",R684="Restructured"),0,1))</f>
        <v/>
      </c>
      <c r="AF684" s="19">
        <f>IF(A684="",0,IF(N(J684)&gt;N(I684),1,0))</f>
        <v/>
      </c>
      <c r="AG684" s="19">
        <f>IF(A684="",0,IF(N(N684)&gt;N(M684)+1,1,0))</f>
        <v/>
      </c>
      <c r="AH684" s="19">
        <f>IF(A684="",0,IF(N(E684)&gt;N(B684),1,0))</f>
        <v/>
      </c>
      <c r="AI684" s="19">
        <f>IF(A684="",0,IF(AND(Z684="Full payment",N(N684)&lt;N(M684)-1),1,0))</f>
        <v/>
      </c>
      <c r="AJ684" s="19">
        <f>IF(A684="",0,IF(N(P684)&lt;0,1,0))</f>
        <v/>
      </c>
      <c r="AK684" s="19">
        <f>IF(A684="",0,IF(COUNTIF($A$7:$A$1006,A684)&gt;1,1,0))</f>
        <v/>
      </c>
    </row>
    <row r="685">
      <c r="A685" s="10" t="n"/>
      <c r="B685" s="17" t="n"/>
      <c r="C685" s="18" t="n"/>
      <c r="D685" s="10" t="n"/>
      <c r="E685" s="17" t="n"/>
      <c r="F685" s="10" t="n"/>
      <c r="G685" s="10" t="n"/>
      <c r="H685" s="10" t="n"/>
      <c r="I685" s="18" t="n"/>
      <c r="J685" s="18" t="n"/>
      <c r="K685" s="18" t="n"/>
      <c r="L685" s="18" t="n"/>
      <c r="M685" s="19">
        <f>IF(K685="","",K685*365/12*L685)</f>
        <v/>
      </c>
      <c r="N685" s="18" t="n"/>
      <c r="O685" s="18" t="n"/>
      <c r="P685" s="18" t="n"/>
      <c r="Q685" s="18" t="n"/>
      <c r="R685" s="10" t="n"/>
      <c r="S685" s="17" t="n"/>
      <c r="T685" s="18" t="n"/>
      <c r="U685" s="17" t="n"/>
      <c r="V685" s="17" t="n"/>
      <c r="W685" s="18" t="n"/>
      <c r="X685" s="18" t="n"/>
      <c r="Y685" s="17" t="n"/>
      <c r="Z685" s="10" t="n"/>
      <c r="AA685" s="10" t="n"/>
      <c r="AB685" s="19">
        <f>IF(LEN(A685)&gt;0,1,0)</f>
        <v/>
      </c>
      <c r="AC685" s="19">
        <f>IF(LEN(A685)=0,0,(LEN(B685)=0)+(LEN(C685)=0)+(LEN(D685)=0)+(LEN(E685)=0)+(LEN(F685)=0)+(LEN(G685)=0)+(LEN(H685)=0)+(LEN(I685)=0)+(LEN(J685)=0)+(LEN(K685)=0)+(LEN(L685)=0)+(LEN(N685)=0)+(LEN(O685)=0)+(LEN(P685)=0)+(LEN(R685)=0)+(LEN(AA685)=0))</f>
        <v/>
      </c>
      <c r="AD685" s="19">
        <f>IF(OR(LEN(A685)=0,LEN(C685)=0),0,IF(OR(C685&lt;1,C685&gt;5),1,0))</f>
        <v/>
      </c>
      <c r="AE685" s="19">
        <f>IF(OR(LEN(A685)=0,LEN(R685)=0),0,IF(OR(R685="Active",R685="Paid off",R685="Defaulted",R685="Repossessed",R685="Written off",R685="Restructured"),0,1))</f>
        <v/>
      </c>
      <c r="AF685" s="19">
        <f>IF(A685="",0,IF(N(J685)&gt;N(I685),1,0))</f>
        <v/>
      </c>
      <c r="AG685" s="19">
        <f>IF(A685="",0,IF(N(N685)&gt;N(M685)+1,1,0))</f>
        <v/>
      </c>
      <c r="AH685" s="19">
        <f>IF(A685="",0,IF(N(E685)&gt;N(B685),1,0))</f>
        <v/>
      </c>
      <c r="AI685" s="19">
        <f>IF(A685="",0,IF(AND(Z685="Full payment",N(N685)&lt;N(M685)-1),1,0))</f>
        <v/>
      </c>
      <c r="AJ685" s="19">
        <f>IF(A685="",0,IF(N(P685)&lt;0,1,0))</f>
        <v/>
      </c>
      <c r="AK685" s="19">
        <f>IF(A685="",0,IF(COUNTIF($A$7:$A$1006,A685)&gt;1,1,0))</f>
        <v/>
      </c>
    </row>
    <row r="686">
      <c r="A686" s="10" t="n"/>
      <c r="B686" s="17" t="n"/>
      <c r="C686" s="18" t="n"/>
      <c r="D686" s="10" t="n"/>
      <c r="E686" s="17" t="n"/>
      <c r="F686" s="10" t="n"/>
      <c r="G686" s="10" t="n"/>
      <c r="H686" s="10" t="n"/>
      <c r="I686" s="18" t="n"/>
      <c r="J686" s="18" t="n"/>
      <c r="K686" s="18" t="n"/>
      <c r="L686" s="18" t="n"/>
      <c r="M686" s="19">
        <f>IF(K686="","",K686*365/12*L686)</f>
        <v/>
      </c>
      <c r="N686" s="18" t="n"/>
      <c r="O686" s="18" t="n"/>
      <c r="P686" s="18" t="n"/>
      <c r="Q686" s="18" t="n"/>
      <c r="R686" s="10" t="n"/>
      <c r="S686" s="17" t="n"/>
      <c r="T686" s="18" t="n"/>
      <c r="U686" s="17" t="n"/>
      <c r="V686" s="17" t="n"/>
      <c r="W686" s="18" t="n"/>
      <c r="X686" s="18" t="n"/>
      <c r="Y686" s="17" t="n"/>
      <c r="Z686" s="10" t="n"/>
      <c r="AA686" s="10" t="n"/>
      <c r="AB686" s="19">
        <f>IF(LEN(A686)&gt;0,1,0)</f>
        <v/>
      </c>
      <c r="AC686" s="19">
        <f>IF(LEN(A686)=0,0,(LEN(B686)=0)+(LEN(C686)=0)+(LEN(D686)=0)+(LEN(E686)=0)+(LEN(F686)=0)+(LEN(G686)=0)+(LEN(H686)=0)+(LEN(I686)=0)+(LEN(J686)=0)+(LEN(K686)=0)+(LEN(L686)=0)+(LEN(N686)=0)+(LEN(O686)=0)+(LEN(P686)=0)+(LEN(R686)=0)+(LEN(AA686)=0))</f>
        <v/>
      </c>
      <c r="AD686" s="19">
        <f>IF(OR(LEN(A686)=0,LEN(C686)=0),0,IF(OR(C686&lt;1,C686&gt;5),1,0))</f>
        <v/>
      </c>
      <c r="AE686" s="19">
        <f>IF(OR(LEN(A686)=0,LEN(R686)=0),0,IF(OR(R686="Active",R686="Paid off",R686="Defaulted",R686="Repossessed",R686="Written off",R686="Restructured"),0,1))</f>
        <v/>
      </c>
      <c r="AF686" s="19">
        <f>IF(A686="",0,IF(N(J686)&gt;N(I686),1,0))</f>
        <v/>
      </c>
      <c r="AG686" s="19">
        <f>IF(A686="",0,IF(N(N686)&gt;N(M686)+1,1,0))</f>
        <v/>
      </c>
      <c r="AH686" s="19">
        <f>IF(A686="",0,IF(N(E686)&gt;N(B686),1,0))</f>
        <v/>
      </c>
      <c r="AI686" s="19">
        <f>IF(A686="",0,IF(AND(Z686="Full payment",N(N686)&lt;N(M686)-1),1,0))</f>
        <v/>
      </c>
      <c r="AJ686" s="19">
        <f>IF(A686="",0,IF(N(P686)&lt;0,1,0))</f>
        <v/>
      </c>
      <c r="AK686" s="19">
        <f>IF(A686="",0,IF(COUNTIF($A$7:$A$1006,A686)&gt;1,1,0))</f>
        <v/>
      </c>
    </row>
    <row r="687">
      <c r="A687" s="10" t="n"/>
      <c r="B687" s="17" t="n"/>
      <c r="C687" s="18" t="n"/>
      <c r="D687" s="10" t="n"/>
      <c r="E687" s="17" t="n"/>
      <c r="F687" s="10" t="n"/>
      <c r="G687" s="10" t="n"/>
      <c r="H687" s="10" t="n"/>
      <c r="I687" s="18" t="n"/>
      <c r="J687" s="18" t="n"/>
      <c r="K687" s="18" t="n"/>
      <c r="L687" s="18" t="n"/>
      <c r="M687" s="19">
        <f>IF(K687="","",K687*365/12*L687)</f>
        <v/>
      </c>
      <c r="N687" s="18" t="n"/>
      <c r="O687" s="18" t="n"/>
      <c r="P687" s="18" t="n"/>
      <c r="Q687" s="18" t="n"/>
      <c r="R687" s="10" t="n"/>
      <c r="S687" s="17" t="n"/>
      <c r="T687" s="18" t="n"/>
      <c r="U687" s="17" t="n"/>
      <c r="V687" s="17" t="n"/>
      <c r="W687" s="18" t="n"/>
      <c r="X687" s="18" t="n"/>
      <c r="Y687" s="17" t="n"/>
      <c r="Z687" s="10" t="n"/>
      <c r="AA687" s="10" t="n"/>
      <c r="AB687" s="19">
        <f>IF(LEN(A687)&gt;0,1,0)</f>
        <v/>
      </c>
      <c r="AC687" s="19">
        <f>IF(LEN(A687)=0,0,(LEN(B687)=0)+(LEN(C687)=0)+(LEN(D687)=0)+(LEN(E687)=0)+(LEN(F687)=0)+(LEN(G687)=0)+(LEN(H687)=0)+(LEN(I687)=0)+(LEN(J687)=0)+(LEN(K687)=0)+(LEN(L687)=0)+(LEN(N687)=0)+(LEN(O687)=0)+(LEN(P687)=0)+(LEN(R687)=0)+(LEN(AA687)=0))</f>
        <v/>
      </c>
      <c r="AD687" s="19">
        <f>IF(OR(LEN(A687)=0,LEN(C687)=0),0,IF(OR(C687&lt;1,C687&gt;5),1,0))</f>
        <v/>
      </c>
      <c r="AE687" s="19">
        <f>IF(OR(LEN(A687)=0,LEN(R687)=0),0,IF(OR(R687="Active",R687="Paid off",R687="Defaulted",R687="Repossessed",R687="Written off",R687="Restructured"),0,1))</f>
        <v/>
      </c>
      <c r="AF687" s="19">
        <f>IF(A687="",0,IF(N(J687)&gt;N(I687),1,0))</f>
        <v/>
      </c>
      <c r="AG687" s="19">
        <f>IF(A687="",0,IF(N(N687)&gt;N(M687)+1,1,0))</f>
        <v/>
      </c>
      <c r="AH687" s="19">
        <f>IF(A687="",0,IF(N(E687)&gt;N(B687),1,0))</f>
        <v/>
      </c>
      <c r="AI687" s="19">
        <f>IF(A687="",0,IF(AND(Z687="Full payment",N(N687)&lt;N(M687)-1),1,0))</f>
        <v/>
      </c>
      <c r="AJ687" s="19">
        <f>IF(A687="",0,IF(N(P687)&lt;0,1,0))</f>
        <v/>
      </c>
      <c r="AK687" s="19">
        <f>IF(A687="",0,IF(COUNTIF($A$7:$A$1006,A687)&gt;1,1,0))</f>
        <v/>
      </c>
    </row>
    <row r="688">
      <c r="A688" s="10" t="n"/>
      <c r="B688" s="17" t="n"/>
      <c r="C688" s="18" t="n"/>
      <c r="D688" s="10" t="n"/>
      <c r="E688" s="17" t="n"/>
      <c r="F688" s="10" t="n"/>
      <c r="G688" s="10" t="n"/>
      <c r="H688" s="10" t="n"/>
      <c r="I688" s="18" t="n"/>
      <c r="J688" s="18" t="n"/>
      <c r="K688" s="18" t="n"/>
      <c r="L688" s="18" t="n"/>
      <c r="M688" s="19">
        <f>IF(K688="","",K688*365/12*L688)</f>
        <v/>
      </c>
      <c r="N688" s="18" t="n"/>
      <c r="O688" s="18" t="n"/>
      <c r="P688" s="18" t="n"/>
      <c r="Q688" s="18" t="n"/>
      <c r="R688" s="10" t="n"/>
      <c r="S688" s="17" t="n"/>
      <c r="T688" s="18" t="n"/>
      <c r="U688" s="17" t="n"/>
      <c r="V688" s="17" t="n"/>
      <c r="W688" s="18" t="n"/>
      <c r="X688" s="18" t="n"/>
      <c r="Y688" s="17" t="n"/>
      <c r="Z688" s="10" t="n"/>
      <c r="AA688" s="10" t="n"/>
      <c r="AB688" s="19">
        <f>IF(LEN(A688)&gt;0,1,0)</f>
        <v/>
      </c>
      <c r="AC688" s="19">
        <f>IF(LEN(A688)=0,0,(LEN(B688)=0)+(LEN(C688)=0)+(LEN(D688)=0)+(LEN(E688)=0)+(LEN(F688)=0)+(LEN(G688)=0)+(LEN(H688)=0)+(LEN(I688)=0)+(LEN(J688)=0)+(LEN(K688)=0)+(LEN(L688)=0)+(LEN(N688)=0)+(LEN(O688)=0)+(LEN(P688)=0)+(LEN(R688)=0)+(LEN(AA688)=0))</f>
        <v/>
      </c>
      <c r="AD688" s="19">
        <f>IF(OR(LEN(A688)=0,LEN(C688)=0),0,IF(OR(C688&lt;1,C688&gt;5),1,0))</f>
        <v/>
      </c>
      <c r="AE688" s="19">
        <f>IF(OR(LEN(A688)=0,LEN(R688)=0),0,IF(OR(R688="Active",R688="Paid off",R688="Defaulted",R688="Repossessed",R688="Written off",R688="Restructured"),0,1))</f>
        <v/>
      </c>
      <c r="AF688" s="19">
        <f>IF(A688="",0,IF(N(J688)&gt;N(I688),1,0))</f>
        <v/>
      </c>
      <c r="AG688" s="19">
        <f>IF(A688="",0,IF(N(N688)&gt;N(M688)+1,1,0))</f>
        <v/>
      </c>
      <c r="AH688" s="19">
        <f>IF(A688="",0,IF(N(E688)&gt;N(B688),1,0))</f>
        <v/>
      </c>
      <c r="AI688" s="19">
        <f>IF(A688="",0,IF(AND(Z688="Full payment",N(N688)&lt;N(M688)-1),1,0))</f>
        <v/>
      </c>
      <c r="AJ688" s="19">
        <f>IF(A688="",0,IF(N(P688)&lt;0,1,0))</f>
        <v/>
      </c>
      <c r="AK688" s="19">
        <f>IF(A688="",0,IF(COUNTIF($A$7:$A$1006,A688)&gt;1,1,0))</f>
        <v/>
      </c>
    </row>
    <row r="689">
      <c r="A689" s="10" t="n"/>
      <c r="B689" s="17" t="n"/>
      <c r="C689" s="18" t="n"/>
      <c r="D689" s="10" t="n"/>
      <c r="E689" s="17" t="n"/>
      <c r="F689" s="10" t="n"/>
      <c r="G689" s="10" t="n"/>
      <c r="H689" s="10" t="n"/>
      <c r="I689" s="18" t="n"/>
      <c r="J689" s="18" t="n"/>
      <c r="K689" s="18" t="n"/>
      <c r="L689" s="18" t="n"/>
      <c r="M689" s="19">
        <f>IF(K689="","",K689*365/12*L689)</f>
        <v/>
      </c>
      <c r="N689" s="18" t="n"/>
      <c r="O689" s="18" t="n"/>
      <c r="P689" s="18" t="n"/>
      <c r="Q689" s="18" t="n"/>
      <c r="R689" s="10" t="n"/>
      <c r="S689" s="17" t="n"/>
      <c r="T689" s="18" t="n"/>
      <c r="U689" s="17" t="n"/>
      <c r="V689" s="17" t="n"/>
      <c r="W689" s="18" t="n"/>
      <c r="X689" s="18" t="n"/>
      <c r="Y689" s="17" t="n"/>
      <c r="Z689" s="10" t="n"/>
      <c r="AA689" s="10" t="n"/>
      <c r="AB689" s="19">
        <f>IF(LEN(A689)&gt;0,1,0)</f>
        <v/>
      </c>
      <c r="AC689" s="19">
        <f>IF(LEN(A689)=0,0,(LEN(B689)=0)+(LEN(C689)=0)+(LEN(D689)=0)+(LEN(E689)=0)+(LEN(F689)=0)+(LEN(G689)=0)+(LEN(H689)=0)+(LEN(I689)=0)+(LEN(J689)=0)+(LEN(K689)=0)+(LEN(L689)=0)+(LEN(N689)=0)+(LEN(O689)=0)+(LEN(P689)=0)+(LEN(R689)=0)+(LEN(AA689)=0))</f>
        <v/>
      </c>
      <c r="AD689" s="19">
        <f>IF(OR(LEN(A689)=0,LEN(C689)=0),0,IF(OR(C689&lt;1,C689&gt;5),1,0))</f>
        <v/>
      </c>
      <c r="AE689" s="19">
        <f>IF(OR(LEN(A689)=0,LEN(R689)=0),0,IF(OR(R689="Active",R689="Paid off",R689="Defaulted",R689="Repossessed",R689="Written off",R689="Restructured"),0,1))</f>
        <v/>
      </c>
      <c r="AF689" s="19">
        <f>IF(A689="",0,IF(N(J689)&gt;N(I689),1,0))</f>
        <v/>
      </c>
      <c r="AG689" s="19">
        <f>IF(A689="",0,IF(N(N689)&gt;N(M689)+1,1,0))</f>
        <v/>
      </c>
      <c r="AH689" s="19">
        <f>IF(A689="",0,IF(N(E689)&gt;N(B689),1,0))</f>
        <v/>
      </c>
      <c r="AI689" s="19">
        <f>IF(A689="",0,IF(AND(Z689="Full payment",N(N689)&lt;N(M689)-1),1,0))</f>
        <v/>
      </c>
      <c r="AJ689" s="19">
        <f>IF(A689="",0,IF(N(P689)&lt;0,1,0))</f>
        <v/>
      </c>
      <c r="AK689" s="19">
        <f>IF(A689="",0,IF(COUNTIF($A$7:$A$1006,A689)&gt;1,1,0))</f>
        <v/>
      </c>
    </row>
    <row r="690">
      <c r="A690" s="10" t="n"/>
      <c r="B690" s="17" t="n"/>
      <c r="C690" s="18" t="n"/>
      <c r="D690" s="10" t="n"/>
      <c r="E690" s="17" t="n"/>
      <c r="F690" s="10" t="n"/>
      <c r="G690" s="10" t="n"/>
      <c r="H690" s="10" t="n"/>
      <c r="I690" s="18" t="n"/>
      <c r="J690" s="18" t="n"/>
      <c r="K690" s="18" t="n"/>
      <c r="L690" s="18" t="n"/>
      <c r="M690" s="19">
        <f>IF(K690="","",K690*365/12*L690)</f>
        <v/>
      </c>
      <c r="N690" s="18" t="n"/>
      <c r="O690" s="18" t="n"/>
      <c r="P690" s="18" t="n"/>
      <c r="Q690" s="18" t="n"/>
      <c r="R690" s="10" t="n"/>
      <c r="S690" s="17" t="n"/>
      <c r="T690" s="18" t="n"/>
      <c r="U690" s="17" t="n"/>
      <c r="V690" s="17" t="n"/>
      <c r="W690" s="18" t="n"/>
      <c r="X690" s="18" t="n"/>
      <c r="Y690" s="17" t="n"/>
      <c r="Z690" s="10" t="n"/>
      <c r="AA690" s="10" t="n"/>
      <c r="AB690" s="19">
        <f>IF(LEN(A690)&gt;0,1,0)</f>
        <v/>
      </c>
      <c r="AC690" s="19">
        <f>IF(LEN(A690)=0,0,(LEN(B690)=0)+(LEN(C690)=0)+(LEN(D690)=0)+(LEN(E690)=0)+(LEN(F690)=0)+(LEN(G690)=0)+(LEN(H690)=0)+(LEN(I690)=0)+(LEN(J690)=0)+(LEN(K690)=0)+(LEN(L690)=0)+(LEN(N690)=0)+(LEN(O690)=0)+(LEN(P690)=0)+(LEN(R690)=0)+(LEN(AA690)=0))</f>
        <v/>
      </c>
      <c r="AD690" s="19">
        <f>IF(OR(LEN(A690)=0,LEN(C690)=0),0,IF(OR(C690&lt;1,C690&gt;5),1,0))</f>
        <v/>
      </c>
      <c r="AE690" s="19">
        <f>IF(OR(LEN(A690)=0,LEN(R690)=0),0,IF(OR(R690="Active",R690="Paid off",R690="Defaulted",R690="Repossessed",R690="Written off",R690="Restructured"),0,1))</f>
        <v/>
      </c>
      <c r="AF690" s="19">
        <f>IF(A690="",0,IF(N(J690)&gt;N(I690),1,0))</f>
        <v/>
      </c>
      <c r="AG690" s="19">
        <f>IF(A690="",0,IF(N(N690)&gt;N(M690)+1,1,0))</f>
        <v/>
      </c>
      <c r="AH690" s="19">
        <f>IF(A690="",0,IF(N(E690)&gt;N(B690),1,0))</f>
        <v/>
      </c>
      <c r="AI690" s="19">
        <f>IF(A690="",0,IF(AND(Z690="Full payment",N(N690)&lt;N(M690)-1),1,0))</f>
        <v/>
      </c>
      <c r="AJ690" s="19">
        <f>IF(A690="",0,IF(N(P690)&lt;0,1,0))</f>
        <v/>
      </c>
      <c r="AK690" s="19">
        <f>IF(A690="",0,IF(COUNTIF($A$7:$A$1006,A690)&gt;1,1,0))</f>
        <v/>
      </c>
    </row>
    <row r="691">
      <c r="A691" s="10" t="n"/>
      <c r="B691" s="17" t="n"/>
      <c r="C691" s="18" t="n"/>
      <c r="D691" s="10" t="n"/>
      <c r="E691" s="17" t="n"/>
      <c r="F691" s="10" t="n"/>
      <c r="G691" s="10" t="n"/>
      <c r="H691" s="10" t="n"/>
      <c r="I691" s="18" t="n"/>
      <c r="J691" s="18" t="n"/>
      <c r="K691" s="18" t="n"/>
      <c r="L691" s="18" t="n"/>
      <c r="M691" s="19">
        <f>IF(K691="","",K691*365/12*L691)</f>
        <v/>
      </c>
      <c r="N691" s="18" t="n"/>
      <c r="O691" s="18" t="n"/>
      <c r="P691" s="18" t="n"/>
      <c r="Q691" s="18" t="n"/>
      <c r="R691" s="10" t="n"/>
      <c r="S691" s="17" t="n"/>
      <c r="T691" s="18" t="n"/>
      <c r="U691" s="17" t="n"/>
      <c r="V691" s="17" t="n"/>
      <c r="W691" s="18" t="n"/>
      <c r="X691" s="18" t="n"/>
      <c r="Y691" s="17" t="n"/>
      <c r="Z691" s="10" t="n"/>
      <c r="AA691" s="10" t="n"/>
      <c r="AB691" s="19">
        <f>IF(LEN(A691)&gt;0,1,0)</f>
        <v/>
      </c>
      <c r="AC691" s="19">
        <f>IF(LEN(A691)=0,0,(LEN(B691)=0)+(LEN(C691)=0)+(LEN(D691)=0)+(LEN(E691)=0)+(LEN(F691)=0)+(LEN(G691)=0)+(LEN(H691)=0)+(LEN(I691)=0)+(LEN(J691)=0)+(LEN(K691)=0)+(LEN(L691)=0)+(LEN(N691)=0)+(LEN(O691)=0)+(LEN(P691)=0)+(LEN(R691)=0)+(LEN(AA691)=0))</f>
        <v/>
      </c>
      <c r="AD691" s="19">
        <f>IF(OR(LEN(A691)=0,LEN(C691)=0),0,IF(OR(C691&lt;1,C691&gt;5),1,0))</f>
        <v/>
      </c>
      <c r="AE691" s="19">
        <f>IF(OR(LEN(A691)=0,LEN(R691)=0),0,IF(OR(R691="Active",R691="Paid off",R691="Defaulted",R691="Repossessed",R691="Written off",R691="Restructured"),0,1))</f>
        <v/>
      </c>
      <c r="AF691" s="19">
        <f>IF(A691="",0,IF(N(J691)&gt;N(I691),1,0))</f>
        <v/>
      </c>
      <c r="AG691" s="19">
        <f>IF(A691="",0,IF(N(N691)&gt;N(M691)+1,1,0))</f>
        <v/>
      </c>
      <c r="AH691" s="19">
        <f>IF(A691="",0,IF(N(E691)&gt;N(B691),1,0))</f>
        <v/>
      </c>
      <c r="AI691" s="19">
        <f>IF(A691="",0,IF(AND(Z691="Full payment",N(N691)&lt;N(M691)-1),1,0))</f>
        <v/>
      </c>
      <c r="AJ691" s="19">
        <f>IF(A691="",0,IF(N(P691)&lt;0,1,0))</f>
        <v/>
      </c>
      <c r="AK691" s="19">
        <f>IF(A691="",0,IF(COUNTIF($A$7:$A$1006,A691)&gt;1,1,0))</f>
        <v/>
      </c>
    </row>
    <row r="692">
      <c r="A692" s="10" t="n"/>
      <c r="B692" s="17" t="n"/>
      <c r="C692" s="18" t="n"/>
      <c r="D692" s="10" t="n"/>
      <c r="E692" s="17" t="n"/>
      <c r="F692" s="10" t="n"/>
      <c r="G692" s="10" t="n"/>
      <c r="H692" s="10" t="n"/>
      <c r="I692" s="18" t="n"/>
      <c r="J692" s="18" t="n"/>
      <c r="K692" s="18" t="n"/>
      <c r="L692" s="18" t="n"/>
      <c r="M692" s="19">
        <f>IF(K692="","",K692*365/12*L692)</f>
        <v/>
      </c>
      <c r="N692" s="18" t="n"/>
      <c r="O692" s="18" t="n"/>
      <c r="P692" s="18" t="n"/>
      <c r="Q692" s="18" t="n"/>
      <c r="R692" s="10" t="n"/>
      <c r="S692" s="17" t="n"/>
      <c r="T692" s="18" t="n"/>
      <c r="U692" s="17" t="n"/>
      <c r="V692" s="17" t="n"/>
      <c r="W692" s="18" t="n"/>
      <c r="X692" s="18" t="n"/>
      <c r="Y692" s="17" t="n"/>
      <c r="Z692" s="10" t="n"/>
      <c r="AA692" s="10" t="n"/>
      <c r="AB692" s="19">
        <f>IF(LEN(A692)&gt;0,1,0)</f>
        <v/>
      </c>
      <c r="AC692" s="19">
        <f>IF(LEN(A692)=0,0,(LEN(B692)=0)+(LEN(C692)=0)+(LEN(D692)=0)+(LEN(E692)=0)+(LEN(F692)=0)+(LEN(G692)=0)+(LEN(H692)=0)+(LEN(I692)=0)+(LEN(J692)=0)+(LEN(K692)=0)+(LEN(L692)=0)+(LEN(N692)=0)+(LEN(O692)=0)+(LEN(P692)=0)+(LEN(R692)=0)+(LEN(AA692)=0))</f>
        <v/>
      </c>
      <c r="AD692" s="19">
        <f>IF(OR(LEN(A692)=0,LEN(C692)=0),0,IF(OR(C692&lt;1,C692&gt;5),1,0))</f>
        <v/>
      </c>
      <c r="AE692" s="19">
        <f>IF(OR(LEN(A692)=0,LEN(R692)=0),0,IF(OR(R692="Active",R692="Paid off",R692="Defaulted",R692="Repossessed",R692="Written off",R692="Restructured"),0,1))</f>
        <v/>
      </c>
      <c r="AF692" s="19">
        <f>IF(A692="",0,IF(N(J692)&gt;N(I692),1,0))</f>
        <v/>
      </c>
      <c r="AG692" s="19">
        <f>IF(A692="",0,IF(N(N692)&gt;N(M692)+1,1,0))</f>
        <v/>
      </c>
      <c r="AH692" s="19">
        <f>IF(A692="",0,IF(N(E692)&gt;N(B692),1,0))</f>
        <v/>
      </c>
      <c r="AI692" s="19">
        <f>IF(A692="",0,IF(AND(Z692="Full payment",N(N692)&lt;N(M692)-1),1,0))</f>
        <v/>
      </c>
      <c r="AJ692" s="19">
        <f>IF(A692="",0,IF(N(P692)&lt;0,1,0))</f>
        <v/>
      </c>
      <c r="AK692" s="19">
        <f>IF(A692="",0,IF(COUNTIF($A$7:$A$1006,A692)&gt;1,1,0))</f>
        <v/>
      </c>
    </row>
    <row r="693">
      <c r="A693" s="10" t="n"/>
      <c r="B693" s="17" t="n"/>
      <c r="C693" s="18" t="n"/>
      <c r="D693" s="10" t="n"/>
      <c r="E693" s="17" t="n"/>
      <c r="F693" s="10" t="n"/>
      <c r="G693" s="10" t="n"/>
      <c r="H693" s="10" t="n"/>
      <c r="I693" s="18" t="n"/>
      <c r="J693" s="18" t="n"/>
      <c r="K693" s="18" t="n"/>
      <c r="L693" s="18" t="n"/>
      <c r="M693" s="19">
        <f>IF(K693="","",K693*365/12*L693)</f>
        <v/>
      </c>
      <c r="N693" s="18" t="n"/>
      <c r="O693" s="18" t="n"/>
      <c r="P693" s="18" t="n"/>
      <c r="Q693" s="18" t="n"/>
      <c r="R693" s="10" t="n"/>
      <c r="S693" s="17" t="n"/>
      <c r="T693" s="18" t="n"/>
      <c r="U693" s="17" t="n"/>
      <c r="V693" s="17" t="n"/>
      <c r="W693" s="18" t="n"/>
      <c r="X693" s="18" t="n"/>
      <c r="Y693" s="17" t="n"/>
      <c r="Z693" s="10" t="n"/>
      <c r="AA693" s="10" t="n"/>
      <c r="AB693" s="19">
        <f>IF(LEN(A693)&gt;0,1,0)</f>
        <v/>
      </c>
      <c r="AC693" s="19">
        <f>IF(LEN(A693)=0,0,(LEN(B693)=0)+(LEN(C693)=0)+(LEN(D693)=0)+(LEN(E693)=0)+(LEN(F693)=0)+(LEN(G693)=0)+(LEN(H693)=0)+(LEN(I693)=0)+(LEN(J693)=0)+(LEN(K693)=0)+(LEN(L693)=0)+(LEN(N693)=0)+(LEN(O693)=0)+(LEN(P693)=0)+(LEN(R693)=0)+(LEN(AA693)=0))</f>
        <v/>
      </c>
      <c r="AD693" s="19">
        <f>IF(OR(LEN(A693)=0,LEN(C693)=0),0,IF(OR(C693&lt;1,C693&gt;5),1,0))</f>
        <v/>
      </c>
      <c r="AE693" s="19">
        <f>IF(OR(LEN(A693)=0,LEN(R693)=0),0,IF(OR(R693="Active",R693="Paid off",R693="Defaulted",R693="Repossessed",R693="Written off",R693="Restructured"),0,1))</f>
        <v/>
      </c>
      <c r="AF693" s="19">
        <f>IF(A693="",0,IF(N(J693)&gt;N(I693),1,0))</f>
        <v/>
      </c>
      <c r="AG693" s="19">
        <f>IF(A693="",0,IF(N(N693)&gt;N(M693)+1,1,0))</f>
        <v/>
      </c>
      <c r="AH693" s="19">
        <f>IF(A693="",0,IF(N(E693)&gt;N(B693),1,0))</f>
        <v/>
      </c>
      <c r="AI693" s="19">
        <f>IF(A693="",0,IF(AND(Z693="Full payment",N(N693)&lt;N(M693)-1),1,0))</f>
        <v/>
      </c>
      <c r="AJ693" s="19">
        <f>IF(A693="",0,IF(N(P693)&lt;0,1,0))</f>
        <v/>
      </c>
      <c r="AK693" s="19">
        <f>IF(A693="",0,IF(COUNTIF($A$7:$A$1006,A693)&gt;1,1,0))</f>
        <v/>
      </c>
    </row>
    <row r="694">
      <c r="A694" s="10" t="n"/>
      <c r="B694" s="17" t="n"/>
      <c r="C694" s="18" t="n"/>
      <c r="D694" s="10" t="n"/>
      <c r="E694" s="17" t="n"/>
      <c r="F694" s="10" t="n"/>
      <c r="G694" s="10" t="n"/>
      <c r="H694" s="10" t="n"/>
      <c r="I694" s="18" t="n"/>
      <c r="J694" s="18" t="n"/>
      <c r="K694" s="18" t="n"/>
      <c r="L694" s="18" t="n"/>
      <c r="M694" s="19">
        <f>IF(K694="","",K694*365/12*L694)</f>
        <v/>
      </c>
      <c r="N694" s="18" t="n"/>
      <c r="O694" s="18" t="n"/>
      <c r="P694" s="18" t="n"/>
      <c r="Q694" s="18" t="n"/>
      <c r="R694" s="10" t="n"/>
      <c r="S694" s="17" t="n"/>
      <c r="T694" s="18" t="n"/>
      <c r="U694" s="17" t="n"/>
      <c r="V694" s="17" t="n"/>
      <c r="W694" s="18" t="n"/>
      <c r="X694" s="18" t="n"/>
      <c r="Y694" s="17" t="n"/>
      <c r="Z694" s="10" t="n"/>
      <c r="AA694" s="10" t="n"/>
      <c r="AB694" s="19">
        <f>IF(LEN(A694)&gt;0,1,0)</f>
        <v/>
      </c>
      <c r="AC694" s="19">
        <f>IF(LEN(A694)=0,0,(LEN(B694)=0)+(LEN(C694)=0)+(LEN(D694)=0)+(LEN(E694)=0)+(LEN(F694)=0)+(LEN(G694)=0)+(LEN(H694)=0)+(LEN(I694)=0)+(LEN(J694)=0)+(LEN(K694)=0)+(LEN(L694)=0)+(LEN(N694)=0)+(LEN(O694)=0)+(LEN(P694)=0)+(LEN(R694)=0)+(LEN(AA694)=0))</f>
        <v/>
      </c>
      <c r="AD694" s="19">
        <f>IF(OR(LEN(A694)=0,LEN(C694)=0),0,IF(OR(C694&lt;1,C694&gt;5),1,0))</f>
        <v/>
      </c>
      <c r="AE694" s="19">
        <f>IF(OR(LEN(A694)=0,LEN(R694)=0),0,IF(OR(R694="Active",R694="Paid off",R694="Defaulted",R694="Repossessed",R694="Written off",R694="Restructured"),0,1))</f>
        <v/>
      </c>
      <c r="AF694" s="19">
        <f>IF(A694="",0,IF(N(J694)&gt;N(I694),1,0))</f>
        <v/>
      </c>
      <c r="AG694" s="19">
        <f>IF(A694="",0,IF(N(N694)&gt;N(M694)+1,1,0))</f>
        <v/>
      </c>
      <c r="AH694" s="19">
        <f>IF(A694="",0,IF(N(E694)&gt;N(B694),1,0))</f>
        <v/>
      </c>
      <c r="AI694" s="19">
        <f>IF(A694="",0,IF(AND(Z694="Full payment",N(N694)&lt;N(M694)-1),1,0))</f>
        <v/>
      </c>
      <c r="AJ694" s="19">
        <f>IF(A694="",0,IF(N(P694)&lt;0,1,0))</f>
        <v/>
      </c>
      <c r="AK694" s="19">
        <f>IF(A694="",0,IF(COUNTIF($A$7:$A$1006,A694)&gt;1,1,0))</f>
        <v/>
      </c>
    </row>
    <row r="695">
      <c r="A695" s="10" t="n"/>
      <c r="B695" s="17" t="n"/>
      <c r="C695" s="18" t="n"/>
      <c r="D695" s="10" t="n"/>
      <c r="E695" s="17" t="n"/>
      <c r="F695" s="10" t="n"/>
      <c r="G695" s="10" t="n"/>
      <c r="H695" s="10" t="n"/>
      <c r="I695" s="18" t="n"/>
      <c r="J695" s="18" t="n"/>
      <c r="K695" s="18" t="n"/>
      <c r="L695" s="18" t="n"/>
      <c r="M695" s="19">
        <f>IF(K695="","",K695*365/12*L695)</f>
        <v/>
      </c>
      <c r="N695" s="18" t="n"/>
      <c r="O695" s="18" t="n"/>
      <c r="P695" s="18" t="n"/>
      <c r="Q695" s="18" t="n"/>
      <c r="R695" s="10" t="n"/>
      <c r="S695" s="17" t="n"/>
      <c r="T695" s="18" t="n"/>
      <c r="U695" s="17" t="n"/>
      <c r="V695" s="17" t="n"/>
      <c r="W695" s="18" t="n"/>
      <c r="X695" s="18" t="n"/>
      <c r="Y695" s="17" t="n"/>
      <c r="Z695" s="10" t="n"/>
      <c r="AA695" s="10" t="n"/>
      <c r="AB695" s="19">
        <f>IF(LEN(A695)&gt;0,1,0)</f>
        <v/>
      </c>
      <c r="AC695" s="19">
        <f>IF(LEN(A695)=0,0,(LEN(B695)=0)+(LEN(C695)=0)+(LEN(D695)=0)+(LEN(E695)=0)+(LEN(F695)=0)+(LEN(G695)=0)+(LEN(H695)=0)+(LEN(I695)=0)+(LEN(J695)=0)+(LEN(K695)=0)+(LEN(L695)=0)+(LEN(N695)=0)+(LEN(O695)=0)+(LEN(P695)=0)+(LEN(R695)=0)+(LEN(AA695)=0))</f>
        <v/>
      </c>
      <c r="AD695" s="19">
        <f>IF(OR(LEN(A695)=0,LEN(C695)=0),0,IF(OR(C695&lt;1,C695&gt;5),1,0))</f>
        <v/>
      </c>
      <c r="AE695" s="19">
        <f>IF(OR(LEN(A695)=0,LEN(R695)=0),0,IF(OR(R695="Active",R695="Paid off",R695="Defaulted",R695="Repossessed",R695="Written off",R695="Restructured"),0,1))</f>
        <v/>
      </c>
      <c r="AF695" s="19">
        <f>IF(A695="",0,IF(N(J695)&gt;N(I695),1,0))</f>
        <v/>
      </c>
      <c r="AG695" s="19">
        <f>IF(A695="",0,IF(N(N695)&gt;N(M695)+1,1,0))</f>
        <v/>
      </c>
      <c r="AH695" s="19">
        <f>IF(A695="",0,IF(N(E695)&gt;N(B695),1,0))</f>
        <v/>
      </c>
      <c r="AI695" s="19">
        <f>IF(A695="",0,IF(AND(Z695="Full payment",N(N695)&lt;N(M695)-1),1,0))</f>
        <v/>
      </c>
      <c r="AJ695" s="19">
        <f>IF(A695="",0,IF(N(P695)&lt;0,1,0))</f>
        <v/>
      </c>
      <c r="AK695" s="19">
        <f>IF(A695="",0,IF(COUNTIF($A$7:$A$1006,A695)&gt;1,1,0))</f>
        <v/>
      </c>
    </row>
    <row r="696">
      <c r="A696" s="10" t="n"/>
      <c r="B696" s="17" t="n"/>
      <c r="C696" s="18" t="n"/>
      <c r="D696" s="10" t="n"/>
      <c r="E696" s="17" t="n"/>
      <c r="F696" s="10" t="n"/>
      <c r="G696" s="10" t="n"/>
      <c r="H696" s="10" t="n"/>
      <c r="I696" s="18" t="n"/>
      <c r="J696" s="18" t="n"/>
      <c r="K696" s="18" t="n"/>
      <c r="L696" s="18" t="n"/>
      <c r="M696" s="19">
        <f>IF(K696="","",K696*365/12*L696)</f>
        <v/>
      </c>
      <c r="N696" s="18" t="n"/>
      <c r="O696" s="18" t="n"/>
      <c r="P696" s="18" t="n"/>
      <c r="Q696" s="18" t="n"/>
      <c r="R696" s="10" t="n"/>
      <c r="S696" s="17" t="n"/>
      <c r="T696" s="18" t="n"/>
      <c r="U696" s="17" t="n"/>
      <c r="V696" s="17" t="n"/>
      <c r="W696" s="18" t="n"/>
      <c r="X696" s="18" t="n"/>
      <c r="Y696" s="17" t="n"/>
      <c r="Z696" s="10" t="n"/>
      <c r="AA696" s="10" t="n"/>
      <c r="AB696" s="19">
        <f>IF(LEN(A696)&gt;0,1,0)</f>
        <v/>
      </c>
      <c r="AC696" s="19">
        <f>IF(LEN(A696)=0,0,(LEN(B696)=0)+(LEN(C696)=0)+(LEN(D696)=0)+(LEN(E696)=0)+(LEN(F696)=0)+(LEN(G696)=0)+(LEN(H696)=0)+(LEN(I696)=0)+(LEN(J696)=0)+(LEN(K696)=0)+(LEN(L696)=0)+(LEN(N696)=0)+(LEN(O696)=0)+(LEN(P696)=0)+(LEN(R696)=0)+(LEN(AA696)=0))</f>
        <v/>
      </c>
      <c r="AD696" s="19">
        <f>IF(OR(LEN(A696)=0,LEN(C696)=0),0,IF(OR(C696&lt;1,C696&gt;5),1,0))</f>
        <v/>
      </c>
      <c r="AE696" s="19">
        <f>IF(OR(LEN(A696)=0,LEN(R696)=0),0,IF(OR(R696="Active",R696="Paid off",R696="Defaulted",R696="Repossessed",R696="Written off",R696="Restructured"),0,1))</f>
        <v/>
      </c>
      <c r="AF696" s="19">
        <f>IF(A696="",0,IF(N(J696)&gt;N(I696),1,0))</f>
        <v/>
      </c>
      <c r="AG696" s="19">
        <f>IF(A696="",0,IF(N(N696)&gt;N(M696)+1,1,0))</f>
        <v/>
      </c>
      <c r="AH696" s="19">
        <f>IF(A696="",0,IF(N(E696)&gt;N(B696),1,0))</f>
        <v/>
      </c>
      <c r="AI696" s="19">
        <f>IF(A696="",0,IF(AND(Z696="Full payment",N(N696)&lt;N(M696)-1),1,0))</f>
        <v/>
      </c>
      <c r="AJ696" s="19">
        <f>IF(A696="",0,IF(N(P696)&lt;0,1,0))</f>
        <v/>
      </c>
      <c r="AK696" s="19">
        <f>IF(A696="",0,IF(COUNTIF($A$7:$A$1006,A696)&gt;1,1,0))</f>
        <v/>
      </c>
    </row>
    <row r="697">
      <c r="A697" s="10" t="n"/>
      <c r="B697" s="17" t="n"/>
      <c r="C697" s="18" t="n"/>
      <c r="D697" s="10" t="n"/>
      <c r="E697" s="17" t="n"/>
      <c r="F697" s="10" t="n"/>
      <c r="G697" s="10" t="n"/>
      <c r="H697" s="10" t="n"/>
      <c r="I697" s="18" t="n"/>
      <c r="J697" s="18" t="n"/>
      <c r="K697" s="18" t="n"/>
      <c r="L697" s="18" t="n"/>
      <c r="M697" s="19">
        <f>IF(K697="","",K697*365/12*L697)</f>
        <v/>
      </c>
      <c r="N697" s="18" t="n"/>
      <c r="O697" s="18" t="n"/>
      <c r="P697" s="18" t="n"/>
      <c r="Q697" s="18" t="n"/>
      <c r="R697" s="10" t="n"/>
      <c r="S697" s="17" t="n"/>
      <c r="T697" s="18" t="n"/>
      <c r="U697" s="17" t="n"/>
      <c r="V697" s="17" t="n"/>
      <c r="W697" s="18" t="n"/>
      <c r="X697" s="18" t="n"/>
      <c r="Y697" s="17" t="n"/>
      <c r="Z697" s="10" t="n"/>
      <c r="AA697" s="10" t="n"/>
      <c r="AB697" s="19">
        <f>IF(LEN(A697)&gt;0,1,0)</f>
        <v/>
      </c>
      <c r="AC697" s="19">
        <f>IF(LEN(A697)=0,0,(LEN(B697)=0)+(LEN(C697)=0)+(LEN(D697)=0)+(LEN(E697)=0)+(LEN(F697)=0)+(LEN(G697)=0)+(LEN(H697)=0)+(LEN(I697)=0)+(LEN(J697)=0)+(LEN(K697)=0)+(LEN(L697)=0)+(LEN(N697)=0)+(LEN(O697)=0)+(LEN(P697)=0)+(LEN(R697)=0)+(LEN(AA697)=0))</f>
        <v/>
      </c>
      <c r="AD697" s="19">
        <f>IF(OR(LEN(A697)=0,LEN(C697)=0),0,IF(OR(C697&lt;1,C697&gt;5),1,0))</f>
        <v/>
      </c>
      <c r="AE697" s="19">
        <f>IF(OR(LEN(A697)=0,LEN(R697)=0),0,IF(OR(R697="Active",R697="Paid off",R697="Defaulted",R697="Repossessed",R697="Written off",R697="Restructured"),0,1))</f>
        <v/>
      </c>
      <c r="AF697" s="19">
        <f>IF(A697="",0,IF(N(J697)&gt;N(I697),1,0))</f>
        <v/>
      </c>
      <c r="AG697" s="19">
        <f>IF(A697="",0,IF(N(N697)&gt;N(M697)+1,1,0))</f>
        <v/>
      </c>
      <c r="AH697" s="19">
        <f>IF(A697="",0,IF(N(E697)&gt;N(B697),1,0))</f>
        <v/>
      </c>
      <c r="AI697" s="19">
        <f>IF(A697="",0,IF(AND(Z697="Full payment",N(N697)&lt;N(M697)-1),1,0))</f>
        <v/>
      </c>
      <c r="AJ697" s="19">
        <f>IF(A697="",0,IF(N(P697)&lt;0,1,0))</f>
        <v/>
      </c>
      <c r="AK697" s="19">
        <f>IF(A697="",0,IF(COUNTIF($A$7:$A$1006,A697)&gt;1,1,0))</f>
        <v/>
      </c>
    </row>
    <row r="698">
      <c r="A698" s="10" t="n"/>
      <c r="B698" s="17" t="n"/>
      <c r="C698" s="18" t="n"/>
      <c r="D698" s="10" t="n"/>
      <c r="E698" s="17" t="n"/>
      <c r="F698" s="10" t="n"/>
      <c r="G698" s="10" t="n"/>
      <c r="H698" s="10" t="n"/>
      <c r="I698" s="18" t="n"/>
      <c r="J698" s="18" t="n"/>
      <c r="K698" s="18" t="n"/>
      <c r="L698" s="18" t="n"/>
      <c r="M698" s="19">
        <f>IF(K698="","",K698*365/12*L698)</f>
        <v/>
      </c>
      <c r="N698" s="18" t="n"/>
      <c r="O698" s="18" t="n"/>
      <c r="P698" s="18" t="n"/>
      <c r="Q698" s="18" t="n"/>
      <c r="R698" s="10" t="n"/>
      <c r="S698" s="17" t="n"/>
      <c r="T698" s="18" t="n"/>
      <c r="U698" s="17" t="n"/>
      <c r="V698" s="17" t="n"/>
      <c r="W698" s="18" t="n"/>
      <c r="X698" s="18" t="n"/>
      <c r="Y698" s="17" t="n"/>
      <c r="Z698" s="10" t="n"/>
      <c r="AA698" s="10" t="n"/>
      <c r="AB698" s="19">
        <f>IF(LEN(A698)&gt;0,1,0)</f>
        <v/>
      </c>
      <c r="AC698" s="19">
        <f>IF(LEN(A698)=0,0,(LEN(B698)=0)+(LEN(C698)=0)+(LEN(D698)=0)+(LEN(E698)=0)+(LEN(F698)=0)+(LEN(G698)=0)+(LEN(H698)=0)+(LEN(I698)=0)+(LEN(J698)=0)+(LEN(K698)=0)+(LEN(L698)=0)+(LEN(N698)=0)+(LEN(O698)=0)+(LEN(P698)=0)+(LEN(R698)=0)+(LEN(AA698)=0))</f>
        <v/>
      </c>
      <c r="AD698" s="19">
        <f>IF(OR(LEN(A698)=0,LEN(C698)=0),0,IF(OR(C698&lt;1,C698&gt;5),1,0))</f>
        <v/>
      </c>
      <c r="AE698" s="19">
        <f>IF(OR(LEN(A698)=0,LEN(R698)=0),0,IF(OR(R698="Active",R698="Paid off",R698="Defaulted",R698="Repossessed",R698="Written off",R698="Restructured"),0,1))</f>
        <v/>
      </c>
      <c r="AF698" s="19">
        <f>IF(A698="",0,IF(N(J698)&gt;N(I698),1,0))</f>
        <v/>
      </c>
      <c r="AG698" s="19">
        <f>IF(A698="",0,IF(N(N698)&gt;N(M698)+1,1,0))</f>
        <v/>
      </c>
      <c r="AH698" s="19">
        <f>IF(A698="",0,IF(N(E698)&gt;N(B698),1,0))</f>
        <v/>
      </c>
      <c r="AI698" s="19">
        <f>IF(A698="",0,IF(AND(Z698="Full payment",N(N698)&lt;N(M698)-1),1,0))</f>
        <v/>
      </c>
      <c r="AJ698" s="19">
        <f>IF(A698="",0,IF(N(P698)&lt;0,1,0))</f>
        <v/>
      </c>
      <c r="AK698" s="19">
        <f>IF(A698="",0,IF(COUNTIF($A$7:$A$1006,A698)&gt;1,1,0))</f>
        <v/>
      </c>
    </row>
    <row r="699">
      <c r="A699" s="10" t="n"/>
      <c r="B699" s="17" t="n"/>
      <c r="C699" s="18" t="n"/>
      <c r="D699" s="10" t="n"/>
      <c r="E699" s="17" t="n"/>
      <c r="F699" s="10" t="n"/>
      <c r="G699" s="10" t="n"/>
      <c r="H699" s="10" t="n"/>
      <c r="I699" s="18" t="n"/>
      <c r="J699" s="18" t="n"/>
      <c r="K699" s="18" t="n"/>
      <c r="L699" s="18" t="n"/>
      <c r="M699" s="19">
        <f>IF(K699="","",K699*365/12*L699)</f>
        <v/>
      </c>
      <c r="N699" s="18" t="n"/>
      <c r="O699" s="18" t="n"/>
      <c r="P699" s="18" t="n"/>
      <c r="Q699" s="18" t="n"/>
      <c r="R699" s="10" t="n"/>
      <c r="S699" s="17" t="n"/>
      <c r="T699" s="18" t="n"/>
      <c r="U699" s="17" t="n"/>
      <c r="V699" s="17" t="n"/>
      <c r="W699" s="18" t="n"/>
      <c r="X699" s="18" t="n"/>
      <c r="Y699" s="17" t="n"/>
      <c r="Z699" s="10" t="n"/>
      <c r="AA699" s="10" t="n"/>
      <c r="AB699" s="19">
        <f>IF(LEN(A699)&gt;0,1,0)</f>
        <v/>
      </c>
      <c r="AC699" s="19">
        <f>IF(LEN(A699)=0,0,(LEN(B699)=0)+(LEN(C699)=0)+(LEN(D699)=0)+(LEN(E699)=0)+(LEN(F699)=0)+(LEN(G699)=0)+(LEN(H699)=0)+(LEN(I699)=0)+(LEN(J699)=0)+(LEN(K699)=0)+(LEN(L699)=0)+(LEN(N699)=0)+(LEN(O699)=0)+(LEN(P699)=0)+(LEN(R699)=0)+(LEN(AA699)=0))</f>
        <v/>
      </c>
      <c r="AD699" s="19">
        <f>IF(OR(LEN(A699)=0,LEN(C699)=0),0,IF(OR(C699&lt;1,C699&gt;5),1,0))</f>
        <v/>
      </c>
      <c r="AE699" s="19">
        <f>IF(OR(LEN(A699)=0,LEN(R699)=0),0,IF(OR(R699="Active",R699="Paid off",R699="Defaulted",R699="Repossessed",R699="Written off",R699="Restructured"),0,1))</f>
        <v/>
      </c>
      <c r="AF699" s="19">
        <f>IF(A699="",0,IF(N(J699)&gt;N(I699),1,0))</f>
        <v/>
      </c>
      <c r="AG699" s="19">
        <f>IF(A699="",0,IF(N(N699)&gt;N(M699)+1,1,0))</f>
        <v/>
      </c>
      <c r="AH699" s="19">
        <f>IF(A699="",0,IF(N(E699)&gt;N(B699),1,0))</f>
        <v/>
      </c>
      <c r="AI699" s="19">
        <f>IF(A699="",0,IF(AND(Z699="Full payment",N(N699)&lt;N(M699)-1),1,0))</f>
        <v/>
      </c>
      <c r="AJ699" s="19">
        <f>IF(A699="",0,IF(N(P699)&lt;0,1,0))</f>
        <v/>
      </c>
      <c r="AK699" s="19">
        <f>IF(A699="",0,IF(COUNTIF($A$7:$A$1006,A699)&gt;1,1,0))</f>
        <v/>
      </c>
    </row>
    <row r="700">
      <c r="A700" s="10" t="n"/>
      <c r="B700" s="17" t="n"/>
      <c r="C700" s="18" t="n"/>
      <c r="D700" s="10" t="n"/>
      <c r="E700" s="17" t="n"/>
      <c r="F700" s="10" t="n"/>
      <c r="G700" s="10" t="n"/>
      <c r="H700" s="10" t="n"/>
      <c r="I700" s="18" t="n"/>
      <c r="J700" s="18" t="n"/>
      <c r="K700" s="18" t="n"/>
      <c r="L700" s="18" t="n"/>
      <c r="M700" s="19">
        <f>IF(K700="","",K700*365/12*L700)</f>
        <v/>
      </c>
      <c r="N700" s="18" t="n"/>
      <c r="O700" s="18" t="n"/>
      <c r="P700" s="18" t="n"/>
      <c r="Q700" s="18" t="n"/>
      <c r="R700" s="10" t="n"/>
      <c r="S700" s="17" t="n"/>
      <c r="T700" s="18" t="n"/>
      <c r="U700" s="17" t="n"/>
      <c r="V700" s="17" t="n"/>
      <c r="W700" s="18" t="n"/>
      <c r="X700" s="18" t="n"/>
      <c r="Y700" s="17" t="n"/>
      <c r="Z700" s="10" t="n"/>
      <c r="AA700" s="10" t="n"/>
      <c r="AB700" s="19">
        <f>IF(LEN(A700)&gt;0,1,0)</f>
        <v/>
      </c>
      <c r="AC700" s="19">
        <f>IF(LEN(A700)=0,0,(LEN(B700)=0)+(LEN(C700)=0)+(LEN(D700)=0)+(LEN(E700)=0)+(LEN(F700)=0)+(LEN(G700)=0)+(LEN(H700)=0)+(LEN(I700)=0)+(LEN(J700)=0)+(LEN(K700)=0)+(LEN(L700)=0)+(LEN(N700)=0)+(LEN(O700)=0)+(LEN(P700)=0)+(LEN(R700)=0)+(LEN(AA700)=0))</f>
        <v/>
      </c>
      <c r="AD700" s="19">
        <f>IF(OR(LEN(A700)=0,LEN(C700)=0),0,IF(OR(C700&lt;1,C700&gt;5),1,0))</f>
        <v/>
      </c>
      <c r="AE700" s="19">
        <f>IF(OR(LEN(A700)=0,LEN(R700)=0),0,IF(OR(R700="Active",R700="Paid off",R700="Defaulted",R700="Repossessed",R700="Written off",R700="Restructured"),0,1))</f>
        <v/>
      </c>
      <c r="AF700" s="19">
        <f>IF(A700="",0,IF(N(J700)&gt;N(I700),1,0))</f>
        <v/>
      </c>
      <c r="AG700" s="19">
        <f>IF(A700="",0,IF(N(N700)&gt;N(M700)+1,1,0))</f>
        <v/>
      </c>
      <c r="AH700" s="19">
        <f>IF(A700="",0,IF(N(E700)&gt;N(B700),1,0))</f>
        <v/>
      </c>
      <c r="AI700" s="19">
        <f>IF(A700="",0,IF(AND(Z700="Full payment",N(N700)&lt;N(M700)-1),1,0))</f>
        <v/>
      </c>
      <c r="AJ700" s="19">
        <f>IF(A700="",0,IF(N(P700)&lt;0,1,0))</f>
        <v/>
      </c>
      <c r="AK700" s="19">
        <f>IF(A700="",0,IF(COUNTIF($A$7:$A$1006,A700)&gt;1,1,0))</f>
        <v/>
      </c>
    </row>
    <row r="701">
      <c r="A701" s="10" t="n"/>
      <c r="B701" s="17" t="n"/>
      <c r="C701" s="18" t="n"/>
      <c r="D701" s="10" t="n"/>
      <c r="E701" s="17" t="n"/>
      <c r="F701" s="10" t="n"/>
      <c r="G701" s="10" t="n"/>
      <c r="H701" s="10" t="n"/>
      <c r="I701" s="18" t="n"/>
      <c r="J701" s="18" t="n"/>
      <c r="K701" s="18" t="n"/>
      <c r="L701" s="18" t="n"/>
      <c r="M701" s="19">
        <f>IF(K701="","",K701*365/12*L701)</f>
        <v/>
      </c>
      <c r="N701" s="18" t="n"/>
      <c r="O701" s="18" t="n"/>
      <c r="P701" s="18" t="n"/>
      <c r="Q701" s="18" t="n"/>
      <c r="R701" s="10" t="n"/>
      <c r="S701" s="17" t="n"/>
      <c r="T701" s="18" t="n"/>
      <c r="U701" s="17" t="n"/>
      <c r="V701" s="17" t="n"/>
      <c r="W701" s="18" t="n"/>
      <c r="X701" s="18" t="n"/>
      <c r="Y701" s="17" t="n"/>
      <c r="Z701" s="10" t="n"/>
      <c r="AA701" s="10" t="n"/>
      <c r="AB701" s="19">
        <f>IF(LEN(A701)&gt;0,1,0)</f>
        <v/>
      </c>
      <c r="AC701" s="19">
        <f>IF(LEN(A701)=0,0,(LEN(B701)=0)+(LEN(C701)=0)+(LEN(D701)=0)+(LEN(E701)=0)+(LEN(F701)=0)+(LEN(G701)=0)+(LEN(H701)=0)+(LEN(I701)=0)+(LEN(J701)=0)+(LEN(K701)=0)+(LEN(L701)=0)+(LEN(N701)=0)+(LEN(O701)=0)+(LEN(P701)=0)+(LEN(R701)=0)+(LEN(AA701)=0))</f>
        <v/>
      </c>
      <c r="AD701" s="19">
        <f>IF(OR(LEN(A701)=0,LEN(C701)=0),0,IF(OR(C701&lt;1,C701&gt;5),1,0))</f>
        <v/>
      </c>
      <c r="AE701" s="19">
        <f>IF(OR(LEN(A701)=0,LEN(R701)=0),0,IF(OR(R701="Active",R701="Paid off",R701="Defaulted",R701="Repossessed",R701="Written off",R701="Restructured"),0,1))</f>
        <v/>
      </c>
      <c r="AF701" s="19">
        <f>IF(A701="",0,IF(N(J701)&gt;N(I701),1,0))</f>
        <v/>
      </c>
      <c r="AG701" s="19">
        <f>IF(A701="",0,IF(N(N701)&gt;N(M701)+1,1,0))</f>
        <v/>
      </c>
      <c r="AH701" s="19">
        <f>IF(A701="",0,IF(N(E701)&gt;N(B701),1,0))</f>
        <v/>
      </c>
      <c r="AI701" s="19">
        <f>IF(A701="",0,IF(AND(Z701="Full payment",N(N701)&lt;N(M701)-1),1,0))</f>
        <v/>
      </c>
      <c r="AJ701" s="19">
        <f>IF(A701="",0,IF(N(P701)&lt;0,1,0))</f>
        <v/>
      </c>
      <c r="AK701" s="19">
        <f>IF(A701="",0,IF(COUNTIF($A$7:$A$1006,A701)&gt;1,1,0))</f>
        <v/>
      </c>
    </row>
    <row r="702">
      <c r="A702" s="10" t="n"/>
      <c r="B702" s="17" t="n"/>
      <c r="C702" s="18" t="n"/>
      <c r="D702" s="10" t="n"/>
      <c r="E702" s="17" t="n"/>
      <c r="F702" s="10" t="n"/>
      <c r="G702" s="10" t="n"/>
      <c r="H702" s="10" t="n"/>
      <c r="I702" s="18" t="n"/>
      <c r="J702" s="18" t="n"/>
      <c r="K702" s="18" t="n"/>
      <c r="L702" s="18" t="n"/>
      <c r="M702" s="19">
        <f>IF(K702="","",K702*365/12*L702)</f>
        <v/>
      </c>
      <c r="N702" s="18" t="n"/>
      <c r="O702" s="18" t="n"/>
      <c r="P702" s="18" t="n"/>
      <c r="Q702" s="18" t="n"/>
      <c r="R702" s="10" t="n"/>
      <c r="S702" s="17" t="n"/>
      <c r="T702" s="18" t="n"/>
      <c r="U702" s="17" t="n"/>
      <c r="V702" s="17" t="n"/>
      <c r="W702" s="18" t="n"/>
      <c r="X702" s="18" t="n"/>
      <c r="Y702" s="17" t="n"/>
      <c r="Z702" s="10" t="n"/>
      <c r="AA702" s="10" t="n"/>
      <c r="AB702" s="19">
        <f>IF(LEN(A702)&gt;0,1,0)</f>
        <v/>
      </c>
      <c r="AC702" s="19">
        <f>IF(LEN(A702)=0,0,(LEN(B702)=0)+(LEN(C702)=0)+(LEN(D702)=0)+(LEN(E702)=0)+(LEN(F702)=0)+(LEN(G702)=0)+(LEN(H702)=0)+(LEN(I702)=0)+(LEN(J702)=0)+(LEN(K702)=0)+(LEN(L702)=0)+(LEN(N702)=0)+(LEN(O702)=0)+(LEN(P702)=0)+(LEN(R702)=0)+(LEN(AA702)=0))</f>
        <v/>
      </c>
      <c r="AD702" s="19">
        <f>IF(OR(LEN(A702)=0,LEN(C702)=0),0,IF(OR(C702&lt;1,C702&gt;5),1,0))</f>
        <v/>
      </c>
      <c r="AE702" s="19">
        <f>IF(OR(LEN(A702)=0,LEN(R702)=0),0,IF(OR(R702="Active",R702="Paid off",R702="Defaulted",R702="Repossessed",R702="Written off",R702="Restructured"),0,1))</f>
        <v/>
      </c>
      <c r="AF702" s="19">
        <f>IF(A702="",0,IF(N(J702)&gt;N(I702),1,0))</f>
        <v/>
      </c>
      <c r="AG702" s="19">
        <f>IF(A702="",0,IF(N(N702)&gt;N(M702)+1,1,0))</f>
        <v/>
      </c>
      <c r="AH702" s="19">
        <f>IF(A702="",0,IF(N(E702)&gt;N(B702),1,0))</f>
        <v/>
      </c>
      <c r="AI702" s="19">
        <f>IF(A702="",0,IF(AND(Z702="Full payment",N(N702)&lt;N(M702)-1),1,0))</f>
        <v/>
      </c>
      <c r="AJ702" s="19">
        <f>IF(A702="",0,IF(N(P702)&lt;0,1,0))</f>
        <v/>
      </c>
      <c r="AK702" s="19">
        <f>IF(A702="",0,IF(COUNTIF($A$7:$A$1006,A702)&gt;1,1,0))</f>
        <v/>
      </c>
    </row>
    <row r="703">
      <c r="A703" s="10" t="n"/>
      <c r="B703" s="17" t="n"/>
      <c r="C703" s="18" t="n"/>
      <c r="D703" s="10" t="n"/>
      <c r="E703" s="17" t="n"/>
      <c r="F703" s="10" t="n"/>
      <c r="G703" s="10" t="n"/>
      <c r="H703" s="10" t="n"/>
      <c r="I703" s="18" t="n"/>
      <c r="J703" s="18" t="n"/>
      <c r="K703" s="18" t="n"/>
      <c r="L703" s="18" t="n"/>
      <c r="M703" s="19">
        <f>IF(K703="","",K703*365/12*L703)</f>
        <v/>
      </c>
      <c r="N703" s="18" t="n"/>
      <c r="O703" s="18" t="n"/>
      <c r="P703" s="18" t="n"/>
      <c r="Q703" s="18" t="n"/>
      <c r="R703" s="10" t="n"/>
      <c r="S703" s="17" t="n"/>
      <c r="T703" s="18" t="n"/>
      <c r="U703" s="17" t="n"/>
      <c r="V703" s="17" t="n"/>
      <c r="W703" s="18" t="n"/>
      <c r="X703" s="18" t="n"/>
      <c r="Y703" s="17" t="n"/>
      <c r="Z703" s="10" t="n"/>
      <c r="AA703" s="10" t="n"/>
      <c r="AB703" s="19">
        <f>IF(LEN(A703)&gt;0,1,0)</f>
        <v/>
      </c>
      <c r="AC703" s="19">
        <f>IF(LEN(A703)=0,0,(LEN(B703)=0)+(LEN(C703)=0)+(LEN(D703)=0)+(LEN(E703)=0)+(LEN(F703)=0)+(LEN(G703)=0)+(LEN(H703)=0)+(LEN(I703)=0)+(LEN(J703)=0)+(LEN(K703)=0)+(LEN(L703)=0)+(LEN(N703)=0)+(LEN(O703)=0)+(LEN(P703)=0)+(LEN(R703)=0)+(LEN(AA703)=0))</f>
        <v/>
      </c>
      <c r="AD703" s="19">
        <f>IF(OR(LEN(A703)=0,LEN(C703)=0),0,IF(OR(C703&lt;1,C703&gt;5),1,0))</f>
        <v/>
      </c>
      <c r="AE703" s="19">
        <f>IF(OR(LEN(A703)=0,LEN(R703)=0),0,IF(OR(R703="Active",R703="Paid off",R703="Defaulted",R703="Repossessed",R703="Written off",R703="Restructured"),0,1))</f>
        <v/>
      </c>
      <c r="AF703" s="19">
        <f>IF(A703="",0,IF(N(J703)&gt;N(I703),1,0))</f>
        <v/>
      </c>
      <c r="AG703" s="19">
        <f>IF(A703="",0,IF(N(N703)&gt;N(M703)+1,1,0))</f>
        <v/>
      </c>
      <c r="AH703" s="19">
        <f>IF(A703="",0,IF(N(E703)&gt;N(B703),1,0))</f>
        <v/>
      </c>
      <c r="AI703" s="19">
        <f>IF(A703="",0,IF(AND(Z703="Full payment",N(N703)&lt;N(M703)-1),1,0))</f>
        <v/>
      </c>
      <c r="AJ703" s="19">
        <f>IF(A703="",0,IF(N(P703)&lt;0,1,0))</f>
        <v/>
      </c>
      <c r="AK703" s="19">
        <f>IF(A703="",0,IF(COUNTIF($A$7:$A$1006,A703)&gt;1,1,0))</f>
        <v/>
      </c>
    </row>
    <row r="704">
      <c r="A704" s="10" t="n"/>
      <c r="B704" s="17" t="n"/>
      <c r="C704" s="18" t="n"/>
      <c r="D704" s="10" t="n"/>
      <c r="E704" s="17" t="n"/>
      <c r="F704" s="10" t="n"/>
      <c r="G704" s="10" t="n"/>
      <c r="H704" s="10" t="n"/>
      <c r="I704" s="18" t="n"/>
      <c r="J704" s="18" t="n"/>
      <c r="K704" s="18" t="n"/>
      <c r="L704" s="18" t="n"/>
      <c r="M704" s="19">
        <f>IF(K704="","",K704*365/12*L704)</f>
        <v/>
      </c>
      <c r="N704" s="18" t="n"/>
      <c r="O704" s="18" t="n"/>
      <c r="P704" s="18" t="n"/>
      <c r="Q704" s="18" t="n"/>
      <c r="R704" s="10" t="n"/>
      <c r="S704" s="17" t="n"/>
      <c r="T704" s="18" t="n"/>
      <c r="U704" s="17" t="n"/>
      <c r="V704" s="17" t="n"/>
      <c r="W704" s="18" t="n"/>
      <c r="X704" s="18" t="n"/>
      <c r="Y704" s="17" t="n"/>
      <c r="Z704" s="10" t="n"/>
      <c r="AA704" s="10" t="n"/>
      <c r="AB704" s="19">
        <f>IF(LEN(A704)&gt;0,1,0)</f>
        <v/>
      </c>
      <c r="AC704" s="19">
        <f>IF(LEN(A704)=0,0,(LEN(B704)=0)+(LEN(C704)=0)+(LEN(D704)=0)+(LEN(E704)=0)+(LEN(F704)=0)+(LEN(G704)=0)+(LEN(H704)=0)+(LEN(I704)=0)+(LEN(J704)=0)+(LEN(K704)=0)+(LEN(L704)=0)+(LEN(N704)=0)+(LEN(O704)=0)+(LEN(P704)=0)+(LEN(R704)=0)+(LEN(AA704)=0))</f>
        <v/>
      </c>
      <c r="AD704" s="19">
        <f>IF(OR(LEN(A704)=0,LEN(C704)=0),0,IF(OR(C704&lt;1,C704&gt;5),1,0))</f>
        <v/>
      </c>
      <c r="AE704" s="19">
        <f>IF(OR(LEN(A704)=0,LEN(R704)=0),0,IF(OR(R704="Active",R704="Paid off",R704="Defaulted",R704="Repossessed",R704="Written off",R704="Restructured"),0,1))</f>
        <v/>
      </c>
      <c r="AF704" s="19">
        <f>IF(A704="",0,IF(N(J704)&gt;N(I704),1,0))</f>
        <v/>
      </c>
      <c r="AG704" s="19">
        <f>IF(A704="",0,IF(N(N704)&gt;N(M704)+1,1,0))</f>
        <v/>
      </c>
      <c r="AH704" s="19">
        <f>IF(A704="",0,IF(N(E704)&gt;N(B704),1,0))</f>
        <v/>
      </c>
      <c r="AI704" s="19">
        <f>IF(A704="",0,IF(AND(Z704="Full payment",N(N704)&lt;N(M704)-1),1,0))</f>
        <v/>
      </c>
      <c r="AJ704" s="19">
        <f>IF(A704="",0,IF(N(P704)&lt;0,1,0))</f>
        <v/>
      </c>
      <c r="AK704" s="19">
        <f>IF(A704="",0,IF(COUNTIF($A$7:$A$1006,A704)&gt;1,1,0))</f>
        <v/>
      </c>
    </row>
    <row r="705">
      <c r="A705" s="10" t="n"/>
      <c r="B705" s="17" t="n"/>
      <c r="C705" s="18" t="n"/>
      <c r="D705" s="10" t="n"/>
      <c r="E705" s="17" t="n"/>
      <c r="F705" s="10" t="n"/>
      <c r="G705" s="10" t="n"/>
      <c r="H705" s="10" t="n"/>
      <c r="I705" s="18" t="n"/>
      <c r="J705" s="18" t="n"/>
      <c r="K705" s="18" t="n"/>
      <c r="L705" s="18" t="n"/>
      <c r="M705" s="19">
        <f>IF(K705="","",K705*365/12*L705)</f>
        <v/>
      </c>
      <c r="N705" s="18" t="n"/>
      <c r="O705" s="18" t="n"/>
      <c r="P705" s="18" t="n"/>
      <c r="Q705" s="18" t="n"/>
      <c r="R705" s="10" t="n"/>
      <c r="S705" s="17" t="n"/>
      <c r="T705" s="18" t="n"/>
      <c r="U705" s="17" t="n"/>
      <c r="V705" s="17" t="n"/>
      <c r="W705" s="18" t="n"/>
      <c r="X705" s="18" t="n"/>
      <c r="Y705" s="17" t="n"/>
      <c r="Z705" s="10" t="n"/>
      <c r="AA705" s="10" t="n"/>
      <c r="AB705" s="19">
        <f>IF(LEN(A705)&gt;0,1,0)</f>
        <v/>
      </c>
      <c r="AC705" s="19">
        <f>IF(LEN(A705)=0,0,(LEN(B705)=0)+(LEN(C705)=0)+(LEN(D705)=0)+(LEN(E705)=0)+(LEN(F705)=0)+(LEN(G705)=0)+(LEN(H705)=0)+(LEN(I705)=0)+(LEN(J705)=0)+(LEN(K705)=0)+(LEN(L705)=0)+(LEN(N705)=0)+(LEN(O705)=0)+(LEN(P705)=0)+(LEN(R705)=0)+(LEN(AA705)=0))</f>
        <v/>
      </c>
      <c r="AD705" s="19">
        <f>IF(OR(LEN(A705)=0,LEN(C705)=0),0,IF(OR(C705&lt;1,C705&gt;5),1,0))</f>
        <v/>
      </c>
      <c r="AE705" s="19">
        <f>IF(OR(LEN(A705)=0,LEN(R705)=0),0,IF(OR(R705="Active",R705="Paid off",R705="Defaulted",R705="Repossessed",R705="Written off",R705="Restructured"),0,1))</f>
        <v/>
      </c>
      <c r="AF705" s="19">
        <f>IF(A705="",0,IF(N(J705)&gt;N(I705),1,0))</f>
        <v/>
      </c>
      <c r="AG705" s="19">
        <f>IF(A705="",0,IF(N(N705)&gt;N(M705)+1,1,0))</f>
        <v/>
      </c>
      <c r="AH705" s="19">
        <f>IF(A705="",0,IF(N(E705)&gt;N(B705),1,0))</f>
        <v/>
      </c>
      <c r="AI705" s="19">
        <f>IF(A705="",0,IF(AND(Z705="Full payment",N(N705)&lt;N(M705)-1),1,0))</f>
        <v/>
      </c>
      <c r="AJ705" s="19">
        <f>IF(A705="",0,IF(N(P705)&lt;0,1,0))</f>
        <v/>
      </c>
      <c r="AK705" s="19">
        <f>IF(A705="",0,IF(COUNTIF($A$7:$A$1006,A705)&gt;1,1,0))</f>
        <v/>
      </c>
    </row>
    <row r="706">
      <c r="A706" s="10" t="n"/>
      <c r="B706" s="17" t="n"/>
      <c r="C706" s="18" t="n"/>
      <c r="D706" s="10" t="n"/>
      <c r="E706" s="17" t="n"/>
      <c r="F706" s="10" t="n"/>
      <c r="G706" s="10" t="n"/>
      <c r="H706" s="10" t="n"/>
      <c r="I706" s="18" t="n"/>
      <c r="J706" s="18" t="n"/>
      <c r="K706" s="18" t="n"/>
      <c r="L706" s="18" t="n"/>
      <c r="M706" s="19">
        <f>IF(K706="","",K706*365/12*L706)</f>
        <v/>
      </c>
      <c r="N706" s="18" t="n"/>
      <c r="O706" s="18" t="n"/>
      <c r="P706" s="18" t="n"/>
      <c r="Q706" s="18" t="n"/>
      <c r="R706" s="10" t="n"/>
      <c r="S706" s="17" t="n"/>
      <c r="T706" s="18" t="n"/>
      <c r="U706" s="17" t="n"/>
      <c r="V706" s="17" t="n"/>
      <c r="W706" s="18" t="n"/>
      <c r="X706" s="18" t="n"/>
      <c r="Y706" s="17" t="n"/>
      <c r="Z706" s="10" t="n"/>
      <c r="AA706" s="10" t="n"/>
      <c r="AB706" s="19">
        <f>IF(LEN(A706)&gt;0,1,0)</f>
        <v/>
      </c>
      <c r="AC706" s="19">
        <f>IF(LEN(A706)=0,0,(LEN(B706)=0)+(LEN(C706)=0)+(LEN(D706)=0)+(LEN(E706)=0)+(LEN(F706)=0)+(LEN(G706)=0)+(LEN(H706)=0)+(LEN(I706)=0)+(LEN(J706)=0)+(LEN(K706)=0)+(LEN(L706)=0)+(LEN(N706)=0)+(LEN(O706)=0)+(LEN(P706)=0)+(LEN(R706)=0)+(LEN(AA706)=0))</f>
        <v/>
      </c>
      <c r="AD706" s="19">
        <f>IF(OR(LEN(A706)=0,LEN(C706)=0),0,IF(OR(C706&lt;1,C706&gt;5),1,0))</f>
        <v/>
      </c>
      <c r="AE706" s="19">
        <f>IF(OR(LEN(A706)=0,LEN(R706)=0),0,IF(OR(R706="Active",R706="Paid off",R706="Defaulted",R706="Repossessed",R706="Written off",R706="Restructured"),0,1))</f>
        <v/>
      </c>
      <c r="AF706" s="19">
        <f>IF(A706="",0,IF(N(J706)&gt;N(I706),1,0))</f>
        <v/>
      </c>
      <c r="AG706" s="19">
        <f>IF(A706="",0,IF(N(N706)&gt;N(M706)+1,1,0))</f>
        <v/>
      </c>
      <c r="AH706" s="19">
        <f>IF(A706="",0,IF(N(E706)&gt;N(B706),1,0))</f>
        <v/>
      </c>
      <c r="AI706" s="19">
        <f>IF(A706="",0,IF(AND(Z706="Full payment",N(N706)&lt;N(M706)-1),1,0))</f>
        <v/>
      </c>
      <c r="AJ706" s="19">
        <f>IF(A706="",0,IF(N(P706)&lt;0,1,0))</f>
        <v/>
      </c>
      <c r="AK706" s="19">
        <f>IF(A706="",0,IF(COUNTIF($A$7:$A$1006,A706)&gt;1,1,0))</f>
        <v/>
      </c>
    </row>
    <row r="707">
      <c r="A707" s="10" t="n"/>
      <c r="B707" s="17" t="n"/>
      <c r="C707" s="18" t="n"/>
      <c r="D707" s="10" t="n"/>
      <c r="E707" s="17" t="n"/>
      <c r="F707" s="10" t="n"/>
      <c r="G707" s="10" t="n"/>
      <c r="H707" s="10" t="n"/>
      <c r="I707" s="18" t="n"/>
      <c r="J707" s="18" t="n"/>
      <c r="K707" s="18" t="n"/>
      <c r="L707" s="18" t="n"/>
      <c r="M707" s="19">
        <f>IF(K707="","",K707*365/12*L707)</f>
        <v/>
      </c>
      <c r="N707" s="18" t="n"/>
      <c r="O707" s="18" t="n"/>
      <c r="P707" s="18" t="n"/>
      <c r="Q707" s="18" t="n"/>
      <c r="R707" s="10" t="n"/>
      <c r="S707" s="17" t="n"/>
      <c r="T707" s="18" t="n"/>
      <c r="U707" s="17" t="n"/>
      <c r="V707" s="17" t="n"/>
      <c r="W707" s="18" t="n"/>
      <c r="X707" s="18" t="n"/>
      <c r="Y707" s="17" t="n"/>
      <c r="Z707" s="10" t="n"/>
      <c r="AA707" s="10" t="n"/>
      <c r="AB707" s="19">
        <f>IF(LEN(A707)&gt;0,1,0)</f>
        <v/>
      </c>
      <c r="AC707" s="19">
        <f>IF(LEN(A707)=0,0,(LEN(B707)=0)+(LEN(C707)=0)+(LEN(D707)=0)+(LEN(E707)=0)+(LEN(F707)=0)+(LEN(G707)=0)+(LEN(H707)=0)+(LEN(I707)=0)+(LEN(J707)=0)+(LEN(K707)=0)+(LEN(L707)=0)+(LEN(N707)=0)+(LEN(O707)=0)+(LEN(P707)=0)+(LEN(R707)=0)+(LEN(AA707)=0))</f>
        <v/>
      </c>
      <c r="AD707" s="19">
        <f>IF(OR(LEN(A707)=0,LEN(C707)=0),0,IF(OR(C707&lt;1,C707&gt;5),1,0))</f>
        <v/>
      </c>
      <c r="AE707" s="19">
        <f>IF(OR(LEN(A707)=0,LEN(R707)=0),0,IF(OR(R707="Active",R707="Paid off",R707="Defaulted",R707="Repossessed",R707="Written off",R707="Restructured"),0,1))</f>
        <v/>
      </c>
      <c r="AF707" s="19">
        <f>IF(A707="",0,IF(N(J707)&gt;N(I707),1,0))</f>
        <v/>
      </c>
      <c r="AG707" s="19">
        <f>IF(A707="",0,IF(N(N707)&gt;N(M707)+1,1,0))</f>
        <v/>
      </c>
      <c r="AH707" s="19">
        <f>IF(A707="",0,IF(N(E707)&gt;N(B707),1,0))</f>
        <v/>
      </c>
      <c r="AI707" s="19">
        <f>IF(A707="",0,IF(AND(Z707="Full payment",N(N707)&lt;N(M707)-1),1,0))</f>
        <v/>
      </c>
      <c r="AJ707" s="19">
        <f>IF(A707="",0,IF(N(P707)&lt;0,1,0))</f>
        <v/>
      </c>
      <c r="AK707" s="19">
        <f>IF(A707="",0,IF(COUNTIF($A$7:$A$1006,A707)&gt;1,1,0))</f>
        <v/>
      </c>
    </row>
    <row r="708">
      <c r="A708" s="10" t="n"/>
      <c r="B708" s="17" t="n"/>
      <c r="C708" s="18" t="n"/>
      <c r="D708" s="10" t="n"/>
      <c r="E708" s="17" t="n"/>
      <c r="F708" s="10" t="n"/>
      <c r="G708" s="10" t="n"/>
      <c r="H708" s="10" t="n"/>
      <c r="I708" s="18" t="n"/>
      <c r="J708" s="18" t="n"/>
      <c r="K708" s="18" t="n"/>
      <c r="L708" s="18" t="n"/>
      <c r="M708" s="19">
        <f>IF(K708="","",K708*365/12*L708)</f>
        <v/>
      </c>
      <c r="N708" s="18" t="n"/>
      <c r="O708" s="18" t="n"/>
      <c r="P708" s="18" t="n"/>
      <c r="Q708" s="18" t="n"/>
      <c r="R708" s="10" t="n"/>
      <c r="S708" s="17" t="n"/>
      <c r="T708" s="18" t="n"/>
      <c r="U708" s="17" t="n"/>
      <c r="V708" s="17" t="n"/>
      <c r="W708" s="18" t="n"/>
      <c r="X708" s="18" t="n"/>
      <c r="Y708" s="17" t="n"/>
      <c r="Z708" s="10" t="n"/>
      <c r="AA708" s="10" t="n"/>
      <c r="AB708" s="19">
        <f>IF(LEN(A708)&gt;0,1,0)</f>
        <v/>
      </c>
      <c r="AC708" s="19">
        <f>IF(LEN(A708)=0,0,(LEN(B708)=0)+(LEN(C708)=0)+(LEN(D708)=0)+(LEN(E708)=0)+(LEN(F708)=0)+(LEN(G708)=0)+(LEN(H708)=0)+(LEN(I708)=0)+(LEN(J708)=0)+(LEN(K708)=0)+(LEN(L708)=0)+(LEN(N708)=0)+(LEN(O708)=0)+(LEN(P708)=0)+(LEN(R708)=0)+(LEN(AA708)=0))</f>
        <v/>
      </c>
      <c r="AD708" s="19">
        <f>IF(OR(LEN(A708)=0,LEN(C708)=0),0,IF(OR(C708&lt;1,C708&gt;5),1,0))</f>
        <v/>
      </c>
      <c r="AE708" s="19">
        <f>IF(OR(LEN(A708)=0,LEN(R708)=0),0,IF(OR(R708="Active",R708="Paid off",R708="Defaulted",R708="Repossessed",R708="Written off",R708="Restructured"),0,1))</f>
        <v/>
      </c>
      <c r="AF708" s="19">
        <f>IF(A708="",0,IF(N(J708)&gt;N(I708),1,0))</f>
        <v/>
      </c>
      <c r="AG708" s="19">
        <f>IF(A708="",0,IF(N(N708)&gt;N(M708)+1,1,0))</f>
        <v/>
      </c>
      <c r="AH708" s="19">
        <f>IF(A708="",0,IF(N(E708)&gt;N(B708),1,0))</f>
        <v/>
      </c>
      <c r="AI708" s="19">
        <f>IF(A708="",0,IF(AND(Z708="Full payment",N(N708)&lt;N(M708)-1),1,0))</f>
        <v/>
      </c>
      <c r="AJ708" s="19">
        <f>IF(A708="",0,IF(N(P708)&lt;0,1,0))</f>
        <v/>
      </c>
      <c r="AK708" s="19">
        <f>IF(A708="",0,IF(COUNTIF($A$7:$A$1006,A708)&gt;1,1,0))</f>
        <v/>
      </c>
    </row>
    <row r="709">
      <c r="A709" s="10" t="n"/>
      <c r="B709" s="17" t="n"/>
      <c r="C709" s="18" t="n"/>
      <c r="D709" s="10" t="n"/>
      <c r="E709" s="17" t="n"/>
      <c r="F709" s="10" t="n"/>
      <c r="G709" s="10" t="n"/>
      <c r="H709" s="10" t="n"/>
      <c r="I709" s="18" t="n"/>
      <c r="J709" s="18" t="n"/>
      <c r="K709" s="18" t="n"/>
      <c r="L709" s="18" t="n"/>
      <c r="M709" s="19">
        <f>IF(K709="","",K709*365/12*L709)</f>
        <v/>
      </c>
      <c r="N709" s="18" t="n"/>
      <c r="O709" s="18" t="n"/>
      <c r="P709" s="18" t="n"/>
      <c r="Q709" s="18" t="n"/>
      <c r="R709" s="10" t="n"/>
      <c r="S709" s="17" t="n"/>
      <c r="T709" s="18" t="n"/>
      <c r="U709" s="17" t="n"/>
      <c r="V709" s="17" t="n"/>
      <c r="W709" s="18" t="n"/>
      <c r="X709" s="18" t="n"/>
      <c r="Y709" s="17" t="n"/>
      <c r="Z709" s="10" t="n"/>
      <c r="AA709" s="10" t="n"/>
      <c r="AB709" s="19">
        <f>IF(LEN(A709)&gt;0,1,0)</f>
        <v/>
      </c>
      <c r="AC709" s="19">
        <f>IF(LEN(A709)=0,0,(LEN(B709)=0)+(LEN(C709)=0)+(LEN(D709)=0)+(LEN(E709)=0)+(LEN(F709)=0)+(LEN(G709)=0)+(LEN(H709)=0)+(LEN(I709)=0)+(LEN(J709)=0)+(LEN(K709)=0)+(LEN(L709)=0)+(LEN(N709)=0)+(LEN(O709)=0)+(LEN(P709)=0)+(LEN(R709)=0)+(LEN(AA709)=0))</f>
        <v/>
      </c>
      <c r="AD709" s="19">
        <f>IF(OR(LEN(A709)=0,LEN(C709)=0),0,IF(OR(C709&lt;1,C709&gt;5),1,0))</f>
        <v/>
      </c>
      <c r="AE709" s="19">
        <f>IF(OR(LEN(A709)=0,LEN(R709)=0),0,IF(OR(R709="Active",R709="Paid off",R709="Defaulted",R709="Repossessed",R709="Written off",R709="Restructured"),0,1))</f>
        <v/>
      </c>
      <c r="AF709" s="19">
        <f>IF(A709="",0,IF(N(J709)&gt;N(I709),1,0))</f>
        <v/>
      </c>
      <c r="AG709" s="19">
        <f>IF(A709="",0,IF(N(N709)&gt;N(M709)+1,1,0))</f>
        <v/>
      </c>
      <c r="AH709" s="19">
        <f>IF(A709="",0,IF(N(E709)&gt;N(B709),1,0))</f>
        <v/>
      </c>
      <c r="AI709" s="19">
        <f>IF(A709="",0,IF(AND(Z709="Full payment",N(N709)&lt;N(M709)-1),1,0))</f>
        <v/>
      </c>
      <c r="AJ709" s="19">
        <f>IF(A709="",0,IF(N(P709)&lt;0,1,0))</f>
        <v/>
      </c>
      <c r="AK709" s="19">
        <f>IF(A709="",0,IF(COUNTIF($A$7:$A$1006,A709)&gt;1,1,0))</f>
        <v/>
      </c>
    </row>
    <row r="710">
      <c r="A710" s="10" t="n"/>
      <c r="B710" s="17" t="n"/>
      <c r="C710" s="18" t="n"/>
      <c r="D710" s="10" t="n"/>
      <c r="E710" s="17" t="n"/>
      <c r="F710" s="10" t="n"/>
      <c r="G710" s="10" t="n"/>
      <c r="H710" s="10" t="n"/>
      <c r="I710" s="18" t="n"/>
      <c r="J710" s="18" t="n"/>
      <c r="K710" s="18" t="n"/>
      <c r="L710" s="18" t="n"/>
      <c r="M710" s="19">
        <f>IF(K710="","",K710*365/12*L710)</f>
        <v/>
      </c>
      <c r="N710" s="18" t="n"/>
      <c r="O710" s="18" t="n"/>
      <c r="P710" s="18" t="n"/>
      <c r="Q710" s="18" t="n"/>
      <c r="R710" s="10" t="n"/>
      <c r="S710" s="17" t="n"/>
      <c r="T710" s="18" t="n"/>
      <c r="U710" s="17" t="n"/>
      <c r="V710" s="17" t="n"/>
      <c r="W710" s="18" t="n"/>
      <c r="X710" s="18" t="n"/>
      <c r="Y710" s="17" t="n"/>
      <c r="Z710" s="10" t="n"/>
      <c r="AA710" s="10" t="n"/>
      <c r="AB710" s="19">
        <f>IF(LEN(A710)&gt;0,1,0)</f>
        <v/>
      </c>
      <c r="AC710" s="19">
        <f>IF(LEN(A710)=0,0,(LEN(B710)=0)+(LEN(C710)=0)+(LEN(D710)=0)+(LEN(E710)=0)+(LEN(F710)=0)+(LEN(G710)=0)+(LEN(H710)=0)+(LEN(I710)=0)+(LEN(J710)=0)+(LEN(K710)=0)+(LEN(L710)=0)+(LEN(N710)=0)+(LEN(O710)=0)+(LEN(P710)=0)+(LEN(R710)=0)+(LEN(AA710)=0))</f>
        <v/>
      </c>
      <c r="AD710" s="19">
        <f>IF(OR(LEN(A710)=0,LEN(C710)=0),0,IF(OR(C710&lt;1,C710&gt;5),1,0))</f>
        <v/>
      </c>
      <c r="AE710" s="19">
        <f>IF(OR(LEN(A710)=0,LEN(R710)=0),0,IF(OR(R710="Active",R710="Paid off",R710="Defaulted",R710="Repossessed",R710="Written off",R710="Restructured"),0,1))</f>
        <v/>
      </c>
      <c r="AF710" s="19">
        <f>IF(A710="",0,IF(N(J710)&gt;N(I710),1,0))</f>
        <v/>
      </c>
      <c r="AG710" s="19">
        <f>IF(A710="",0,IF(N(N710)&gt;N(M710)+1,1,0))</f>
        <v/>
      </c>
      <c r="AH710" s="19">
        <f>IF(A710="",0,IF(N(E710)&gt;N(B710),1,0))</f>
        <v/>
      </c>
      <c r="AI710" s="19">
        <f>IF(A710="",0,IF(AND(Z710="Full payment",N(N710)&lt;N(M710)-1),1,0))</f>
        <v/>
      </c>
      <c r="AJ710" s="19">
        <f>IF(A710="",0,IF(N(P710)&lt;0,1,0))</f>
        <v/>
      </c>
      <c r="AK710" s="19">
        <f>IF(A710="",0,IF(COUNTIF($A$7:$A$1006,A710)&gt;1,1,0))</f>
        <v/>
      </c>
    </row>
    <row r="711">
      <c r="A711" s="10" t="n"/>
      <c r="B711" s="17" t="n"/>
      <c r="C711" s="18" t="n"/>
      <c r="D711" s="10" t="n"/>
      <c r="E711" s="17" t="n"/>
      <c r="F711" s="10" t="n"/>
      <c r="G711" s="10" t="n"/>
      <c r="H711" s="10" t="n"/>
      <c r="I711" s="18" t="n"/>
      <c r="J711" s="18" t="n"/>
      <c r="K711" s="18" t="n"/>
      <c r="L711" s="18" t="n"/>
      <c r="M711" s="19">
        <f>IF(K711="","",K711*365/12*L711)</f>
        <v/>
      </c>
      <c r="N711" s="18" t="n"/>
      <c r="O711" s="18" t="n"/>
      <c r="P711" s="18" t="n"/>
      <c r="Q711" s="18" t="n"/>
      <c r="R711" s="10" t="n"/>
      <c r="S711" s="17" t="n"/>
      <c r="T711" s="18" t="n"/>
      <c r="U711" s="17" t="n"/>
      <c r="V711" s="17" t="n"/>
      <c r="W711" s="18" t="n"/>
      <c r="X711" s="18" t="n"/>
      <c r="Y711" s="17" t="n"/>
      <c r="Z711" s="10" t="n"/>
      <c r="AA711" s="10" t="n"/>
      <c r="AB711" s="19">
        <f>IF(LEN(A711)&gt;0,1,0)</f>
        <v/>
      </c>
      <c r="AC711" s="19">
        <f>IF(LEN(A711)=0,0,(LEN(B711)=0)+(LEN(C711)=0)+(LEN(D711)=0)+(LEN(E711)=0)+(LEN(F711)=0)+(LEN(G711)=0)+(LEN(H711)=0)+(LEN(I711)=0)+(LEN(J711)=0)+(LEN(K711)=0)+(LEN(L711)=0)+(LEN(N711)=0)+(LEN(O711)=0)+(LEN(P711)=0)+(LEN(R711)=0)+(LEN(AA711)=0))</f>
        <v/>
      </c>
      <c r="AD711" s="19">
        <f>IF(OR(LEN(A711)=0,LEN(C711)=0),0,IF(OR(C711&lt;1,C711&gt;5),1,0))</f>
        <v/>
      </c>
      <c r="AE711" s="19">
        <f>IF(OR(LEN(A711)=0,LEN(R711)=0),0,IF(OR(R711="Active",R711="Paid off",R711="Defaulted",R711="Repossessed",R711="Written off",R711="Restructured"),0,1))</f>
        <v/>
      </c>
      <c r="AF711" s="19">
        <f>IF(A711="",0,IF(N(J711)&gt;N(I711),1,0))</f>
        <v/>
      </c>
      <c r="AG711" s="19">
        <f>IF(A711="",0,IF(N(N711)&gt;N(M711)+1,1,0))</f>
        <v/>
      </c>
      <c r="AH711" s="19">
        <f>IF(A711="",0,IF(N(E711)&gt;N(B711),1,0))</f>
        <v/>
      </c>
      <c r="AI711" s="19">
        <f>IF(A711="",0,IF(AND(Z711="Full payment",N(N711)&lt;N(M711)-1),1,0))</f>
        <v/>
      </c>
      <c r="AJ711" s="19">
        <f>IF(A711="",0,IF(N(P711)&lt;0,1,0))</f>
        <v/>
      </c>
      <c r="AK711" s="19">
        <f>IF(A711="",0,IF(COUNTIF($A$7:$A$1006,A711)&gt;1,1,0))</f>
        <v/>
      </c>
    </row>
    <row r="712">
      <c r="A712" s="10" t="n"/>
      <c r="B712" s="17" t="n"/>
      <c r="C712" s="18" t="n"/>
      <c r="D712" s="10" t="n"/>
      <c r="E712" s="17" t="n"/>
      <c r="F712" s="10" t="n"/>
      <c r="G712" s="10" t="n"/>
      <c r="H712" s="10" t="n"/>
      <c r="I712" s="18" t="n"/>
      <c r="J712" s="18" t="n"/>
      <c r="K712" s="18" t="n"/>
      <c r="L712" s="18" t="n"/>
      <c r="M712" s="19">
        <f>IF(K712="","",K712*365/12*L712)</f>
        <v/>
      </c>
      <c r="N712" s="18" t="n"/>
      <c r="O712" s="18" t="n"/>
      <c r="P712" s="18" t="n"/>
      <c r="Q712" s="18" t="n"/>
      <c r="R712" s="10" t="n"/>
      <c r="S712" s="17" t="n"/>
      <c r="T712" s="18" t="n"/>
      <c r="U712" s="17" t="n"/>
      <c r="V712" s="17" t="n"/>
      <c r="W712" s="18" t="n"/>
      <c r="X712" s="18" t="n"/>
      <c r="Y712" s="17" t="n"/>
      <c r="Z712" s="10" t="n"/>
      <c r="AA712" s="10" t="n"/>
      <c r="AB712" s="19">
        <f>IF(LEN(A712)&gt;0,1,0)</f>
        <v/>
      </c>
      <c r="AC712" s="19">
        <f>IF(LEN(A712)=0,0,(LEN(B712)=0)+(LEN(C712)=0)+(LEN(D712)=0)+(LEN(E712)=0)+(LEN(F712)=0)+(LEN(G712)=0)+(LEN(H712)=0)+(LEN(I712)=0)+(LEN(J712)=0)+(LEN(K712)=0)+(LEN(L712)=0)+(LEN(N712)=0)+(LEN(O712)=0)+(LEN(P712)=0)+(LEN(R712)=0)+(LEN(AA712)=0))</f>
        <v/>
      </c>
      <c r="AD712" s="19">
        <f>IF(OR(LEN(A712)=0,LEN(C712)=0),0,IF(OR(C712&lt;1,C712&gt;5),1,0))</f>
        <v/>
      </c>
      <c r="AE712" s="19">
        <f>IF(OR(LEN(A712)=0,LEN(R712)=0),0,IF(OR(R712="Active",R712="Paid off",R712="Defaulted",R712="Repossessed",R712="Written off",R712="Restructured"),0,1))</f>
        <v/>
      </c>
      <c r="AF712" s="19">
        <f>IF(A712="",0,IF(N(J712)&gt;N(I712),1,0))</f>
        <v/>
      </c>
      <c r="AG712" s="19">
        <f>IF(A712="",0,IF(N(N712)&gt;N(M712)+1,1,0))</f>
        <v/>
      </c>
      <c r="AH712" s="19">
        <f>IF(A712="",0,IF(N(E712)&gt;N(B712),1,0))</f>
        <v/>
      </c>
      <c r="AI712" s="19">
        <f>IF(A712="",0,IF(AND(Z712="Full payment",N(N712)&lt;N(M712)-1),1,0))</f>
        <v/>
      </c>
      <c r="AJ712" s="19">
        <f>IF(A712="",0,IF(N(P712)&lt;0,1,0))</f>
        <v/>
      </c>
      <c r="AK712" s="19">
        <f>IF(A712="",0,IF(COUNTIF($A$7:$A$1006,A712)&gt;1,1,0))</f>
        <v/>
      </c>
    </row>
    <row r="713">
      <c r="A713" s="10" t="n"/>
      <c r="B713" s="17" t="n"/>
      <c r="C713" s="18" t="n"/>
      <c r="D713" s="10" t="n"/>
      <c r="E713" s="17" t="n"/>
      <c r="F713" s="10" t="n"/>
      <c r="G713" s="10" t="n"/>
      <c r="H713" s="10" t="n"/>
      <c r="I713" s="18" t="n"/>
      <c r="J713" s="18" t="n"/>
      <c r="K713" s="18" t="n"/>
      <c r="L713" s="18" t="n"/>
      <c r="M713" s="19">
        <f>IF(K713="","",K713*365/12*L713)</f>
        <v/>
      </c>
      <c r="N713" s="18" t="n"/>
      <c r="O713" s="18" t="n"/>
      <c r="P713" s="18" t="n"/>
      <c r="Q713" s="18" t="n"/>
      <c r="R713" s="10" t="n"/>
      <c r="S713" s="17" t="n"/>
      <c r="T713" s="18" t="n"/>
      <c r="U713" s="17" t="n"/>
      <c r="V713" s="17" t="n"/>
      <c r="W713" s="18" t="n"/>
      <c r="X713" s="18" t="n"/>
      <c r="Y713" s="17" t="n"/>
      <c r="Z713" s="10" t="n"/>
      <c r="AA713" s="10" t="n"/>
      <c r="AB713" s="19">
        <f>IF(LEN(A713)&gt;0,1,0)</f>
        <v/>
      </c>
      <c r="AC713" s="19">
        <f>IF(LEN(A713)=0,0,(LEN(B713)=0)+(LEN(C713)=0)+(LEN(D713)=0)+(LEN(E713)=0)+(LEN(F713)=0)+(LEN(G713)=0)+(LEN(H713)=0)+(LEN(I713)=0)+(LEN(J713)=0)+(LEN(K713)=0)+(LEN(L713)=0)+(LEN(N713)=0)+(LEN(O713)=0)+(LEN(P713)=0)+(LEN(R713)=0)+(LEN(AA713)=0))</f>
        <v/>
      </c>
      <c r="AD713" s="19">
        <f>IF(OR(LEN(A713)=0,LEN(C713)=0),0,IF(OR(C713&lt;1,C713&gt;5),1,0))</f>
        <v/>
      </c>
      <c r="AE713" s="19">
        <f>IF(OR(LEN(A713)=0,LEN(R713)=0),0,IF(OR(R713="Active",R713="Paid off",R713="Defaulted",R713="Repossessed",R713="Written off",R713="Restructured"),0,1))</f>
        <v/>
      </c>
      <c r="AF713" s="19">
        <f>IF(A713="",0,IF(N(J713)&gt;N(I713),1,0))</f>
        <v/>
      </c>
      <c r="AG713" s="19">
        <f>IF(A713="",0,IF(N(N713)&gt;N(M713)+1,1,0))</f>
        <v/>
      </c>
      <c r="AH713" s="19">
        <f>IF(A713="",0,IF(N(E713)&gt;N(B713),1,0))</f>
        <v/>
      </c>
      <c r="AI713" s="19">
        <f>IF(A713="",0,IF(AND(Z713="Full payment",N(N713)&lt;N(M713)-1),1,0))</f>
        <v/>
      </c>
      <c r="AJ713" s="19">
        <f>IF(A713="",0,IF(N(P713)&lt;0,1,0))</f>
        <v/>
      </c>
      <c r="AK713" s="19">
        <f>IF(A713="",0,IF(COUNTIF($A$7:$A$1006,A713)&gt;1,1,0))</f>
        <v/>
      </c>
    </row>
    <row r="714">
      <c r="A714" s="10" t="n"/>
      <c r="B714" s="17" t="n"/>
      <c r="C714" s="18" t="n"/>
      <c r="D714" s="10" t="n"/>
      <c r="E714" s="17" t="n"/>
      <c r="F714" s="10" t="n"/>
      <c r="G714" s="10" t="n"/>
      <c r="H714" s="10" t="n"/>
      <c r="I714" s="18" t="n"/>
      <c r="J714" s="18" t="n"/>
      <c r="K714" s="18" t="n"/>
      <c r="L714" s="18" t="n"/>
      <c r="M714" s="19">
        <f>IF(K714="","",K714*365/12*L714)</f>
        <v/>
      </c>
      <c r="N714" s="18" t="n"/>
      <c r="O714" s="18" t="n"/>
      <c r="P714" s="18" t="n"/>
      <c r="Q714" s="18" t="n"/>
      <c r="R714" s="10" t="n"/>
      <c r="S714" s="17" t="n"/>
      <c r="T714" s="18" t="n"/>
      <c r="U714" s="17" t="n"/>
      <c r="V714" s="17" t="n"/>
      <c r="W714" s="18" t="n"/>
      <c r="X714" s="18" t="n"/>
      <c r="Y714" s="17" t="n"/>
      <c r="Z714" s="10" t="n"/>
      <c r="AA714" s="10" t="n"/>
      <c r="AB714" s="19">
        <f>IF(LEN(A714)&gt;0,1,0)</f>
        <v/>
      </c>
      <c r="AC714" s="19">
        <f>IF(LEN(A714)=0,0,(LEN(B714)=0)+(LEN(C714)=0)+(LEN(D714)=0)+(LEN(E714)=0)+(LEN(F714)=0)+(LEN(G714)=0)+(LEN(H714)=0)+(LEN(I714)=0)+(LEN(J714)=0)+(LEN(K714)=0)+(LEN(L714)=0)+(LEN(N714)=0)+(LEN(O714)=0)+(LEN(P714)=0)+(LEN(R714)=0)+(LEN(AA714)=0))</f>
        <v/>
      </c>
      <c r="AD714" s="19">
        <f>IF(OR(LEN(A714)=0,LEN(C714)=0),0,IF(OR(C714&lt;1,C714&gt;5),1,0))</f>
        <v/>
      </c>
      <c r="AE714" s="19">
        <f>IF(OR(LEN(A714)=0,LEN(R714)=0),0,IF(OR(R714="Active",R714="Paid off",R714="Defaulted",R714="Repossessed",R714="Written off",R714="Restructured"),0,1))</f>
        <v/>
      </c>
      <c r="AF714" s="19">
        <f>IF(A714="",0,IF(N(J714)&gt;N(I714),1,0))</f>
        <v/>
      </c>
      <c r="AG714" s="19">
        <f>IF(A714="",0,IF(N(N714)&gt;N(M714)+1,1,0))</f>
        <v/>
      </c>
      <c r="AH714" s="19">
        <f>IF(A714="",0,IF(N(E714)&gt;N(B714),1,0))</f>
        <v/>
      </c>
      <c r="AI714" s="19">
        <f>IF(A714="",0,IF(AND(Z714="Full payment",N(N714)&lt;N(M714)-1),1,0))</f>
        <v/>
      </c>
      <c r="AJ714" s="19">
        <f>IF(A714="",0,IF(N(P714)&lt;0,1,0))</f>
        <v/>
      </c>
      <c r="AK714" s="19">
        <f>IF(A714="",0,IF(COUNTIF($A$7:$A$1006,A714)&gt;1,1,0))</f>
        <v/>
      </c>
    </row>
    <row r="715">
      <c r="A715" s="10" t="n"/>
      <c r="B715" s="17" t="n"/>
      <c r="C715" s="18" t="n"/>
      <c r="D715" s="10" t="n"/>
      <c r="E715" s="17" t="n"/>
      <c r="F715" s="10" t="n"/>
      <c r="G715" s="10" t="n"/>
      <c r="H715" s="10" t="n"/>
      <c r="I715" s="18" t="n"/>
      <c r="J715" s="18" t="n"/>
      <c r="K715" s="18" t="n"/>
      <c r="L715" s="18" t="n"/>
      <c r="M715" s="19">
        <f>IF(K715="","",K715*365/12*L715)</f>
        <v/>
      </c>
      <c r="N715" s="18" t="n"/>
      <c r="O715" s="18" t="n"/>
      <c r="P715" s="18" t="n"/>
      <c r="Q715" s="18" t="n"/>
      <c r="R715" s="10" t="n"/>
      <c r="S715" s="17" t="n"/>
      <c r="T715" s="18" t="n"/>
      <c r="U715" s="17" t="n"/>
      <c r="V715" s="17" t="n"/>
      <c r="W715" s="18" t="n"/>
      <c r="X715" s="18" t="n"/>
      <c r="Y715" s="17" t="n"/>
      <c r="Z715" s="10" t="n"/>
      <c r="AA715" s="10" t="n"/>
      <c r="AB715" s="19">
        <f>IF(LEN(A715)&gt;0,1,0)</f>
        <v/>
      </c>
      <c r="AC715" s="19">
        <f>IF(LEN(A715)=0,0,(LEN(B715)=0)+(LEN(C715)=0)+(LEN(D715)=0)+(LEN(E715)=0)+(LEN(F715)=0)+(LEN(G715)=0)+(LEN(H715)=0)+(LEN(I715)=0)+(LEN(J715)=0)+(LEN(K715)=0)+(LEN(L715)=0)+(LEN(N715)=0)+(LEN(O715)=0)+(LEN(P715)=0)+(LEN(R715)=0)+(LEN(AA715)=0))</f>
        <v/>
      </c>
      <c r="AD715" s="19">
        <f>IF(OR(LEN(A715)=0,LEN(C715)=0),0,IF(OR(C715&lt;1,C715&gt;5),1,0))</f>
        <v/>
      </c>
      <c r="AE715" s="19">
        <f>IF(OR(LEN(A715)=0,LEN(R715)=0),0,IF(OR(R715="Active",R715="Paid off",R715="Defaulted",R715="Repossessed",R715="Written off",R715="Restructured"),0,1))</f>
        <v/>
      </c>
      <c r="AF715" s="19">
        <f>IF(A715="",0,IF(N(J715)&gt;N(I715),1,0))</f>
        <v/>
      </c>
      <c r="AG715" s="19">
        <f>IF(A715="",0,IF(N(N715)&gt;N(M715)+1,1,0))</f>
        <v/>
      </c>
      <c r="AH715" s="19">
        <f>IF(A715="",0,IF(N(E715)&gt;N(B715),1,0))</f>
        <v/>
      </c>
      <c r="AI715" s="19">
        <f>IF(A715="",0,IF(AND(Z715="Full payment",N(N715)&lt;N(M715)-1),1,0))</f>
        <v/>
      </c>
      <c r="AJ715" s="19">
        <f>IF(A715="",0,IF(N(P715)&lt;0,1,0))</f>
        <v/>
      </c>
      <c r="AK715" s="19">
        <f>IF(A715="",0,IF(COUNTIF($A$7:$A$1006,A715)&gt;1,1,0))</f>
        <v/>
      </c>
    </row>
    <row r="716">
      <c r="A716" s="10" t="n"/>
      <c r="B716" s="17" t="n"/>
      <c r="C716" s="18" t="n"/>
      <c r="D716" s="10" t="n"/>
      <c r="E716" s="17" t="n"/>
      <c r="F716" s="10" t="n"/>
      <c r="G716" s="10" t="n"/>
      <c r="H716" s="10" t="n"/>
      <c r="I716" s="18" t="n"/>
      <c r="J716" s="18" t="n"/>
      <c r="K716" s="18" t="n"/>
      <c r="L716" s="18" t="n"/>
      <c r="M716" s="19">
        <f>IF(K716="","",K716*365/12*L716)</f>
        <v/>
      </c>
      <c r="N716" s="18" t="n"/>
      <c r="O716" s="18" t="n"/>
      <c r="P716" s="18" t="n"/>
      <c r="Q716" s="18" t="n"/>
      <c r="R716" s="10" t="n"/>
      <c r="S716" s="17" t="n"/>
      <c r="T716" s="18" t="n"/>
      <c r="U716" s="17" t="n"/>
      <c r="V716" s="17" t="n"/>
      <c r="W716" s="18" t="n"/>
      <c r="X716" s="18" t="n"/>
      <c r="Y716" s="17" t="n"/>
      <c r="Z716" s="10" t="n"/>
      <c r="AA716" s="10" t="n"/>
      <c r="AB716" s="19">
        <f>IF(LEN(A716)&gt;0,1,0)</f>
        <v/>
      </c>
      <c r="AC716" s="19">
        <f>IF(LEN(A716)=0,0,(LEN(B716)=0)+(LEN(C716)=0)+(LEN(D716)=0)+(LEN(E716)=0)+(LEN(F716)=0)+(LEN(G716)=0)+(LEN(H716)=0)+(LEN(I716)=0)+(LEN(J716)=0)+(LEN(K716)=0)+(LEN(L716)=0)+(LEN(N716)=0)+(LEN(O716)=0)+(LEN(P716)=0)+(LEN(R716)=0)+(LEN(AA716)=0))</f>
        <v/>
      </c>
      <c r="AD716" s="19">
        <f>IF(OR(LEN(A716)=0,LEN(C716)=0),0,IF(OR(C716&lt;1,C716&gt;5),1,0))</f>
        <v/>
      </c>
      <c r="AE716" s="19">
        <f>IF(OR(LEN(A716)=0,LEN(R716)=0),0,IF(OR(R716="Active",R716="Paid off",R716="Defaulted",R716="Repossessed",R716="Written off",R716="Restructured"),0,1))</f>
        <v/>
      </c>
      <c r="AF716" s="19">
        <f>IF(A716="",0,IF(N(J716)&gt;N(I716),1,0))</f>
        <v/>
      </c>
      <c r="AG716" s="19">
        <f>IF(A716="",0,IF(N(N716)&gt;N(M716)+1,1,0))</f>
        <v/>
      </c>
      <c r="AH716" s="19">
        <f>IF(A716="",0,IF(N(E716)&gt;N(B716),1,0))</f>
        <v/>
      </c>
      <c r="AI716" s="19">
        <f>IF(A716="",0,IF(AND(Z716="Full payment",N(N716)&lt;N(M716)-1),1,0))</f>
        <v/>
      </c>
      <c r="AJ716" s="19">
        <f>IF(A716="",0,IF(N(P716)&lt;0,1,0))</f>
        <v/>
      </c>
      <c r="AK716" s="19">
        <f>IF(A716="",0,IF(COUNTIF($A$7:$A$1006,A716)&gt;1,1,0))</f>
        <v/>
      </c>
    </row>
    <row r="717">
      <c r="A717" s="10" t="n"/>
      <c r="B717" s="17" t="n"/>
      <c r="C717" s="18" t="n"/>
      <c r="D717" s="10" t="n"/>
      <c r="E717" s="17" t="n"/>
      <c r="F717" s="10" t="n"/>
      <c r="G717" s="10" t="n"/>
      <c r="H717" s="10" t="n"/>
      <c r="I717" s="18" t="n"/>
      <c r="J717" s="18" t="n"/>
      <c r="K717" s="18" t="n"/>
      <c r="L717" s="18" t="n"/>
      <c r="M717" s="19">
        <f>IF(K717="","",K717*365/12*L717)</f>
        <v/>
      </c>
      <c r="N717" s="18" t="n"/>
      <c r="O717" s="18" t="n"/>
      <c r="P717" s="18" t="n"/>
      <c r="Q717" s="18" t="n"/>
      <c r="R717" s="10" t="n"/>
      <c r="S717" s="17" t="n"/>
      <c r="T717" s="18" t="n"/>
      <c r="U717" s="17" t="n"/>
      <c r="V717" s="17" t="n"/>
      <c r="W717" s="18" t="n"/>
      <c r="X717" s="18" t="n"/>
      <c r="Y717" s="17" t="n"/>
      <c r="Z717" s="10" t="n"/>
      <c r="AA717" s="10" t="n"/>
      <c r="AB717" s="19">
        <f>IF(LEN(A717)&gt;0,1,0)</f>
        <v/>
      </c>
      <c r="AC717" s="19">
        <f>IF(LEN(A717)=0,0,(LEN(B717)=0)+(LEN(C717)=0)+(LEN(D717)=0)+(LEN(E717)=0)+(LEN(F717)=0)+(LEN(G717)=0)+(LEN(H717)=0)+(LEN(I717)=0)+(LEN(J717)=0)+(LEN(K717)=0)+(LEN(L717)=0)+(LEN(N717)=0)+(LEN(O717)=0)+(LEN(P717)=0)+(LEN(R717)=0)+(LEN(AA717)=0))</f>
        <v/>
      </c>
      <c r="AD717" s="19">
        <f>IF(OR(LEN(A717)=0,LEN(C717)=0),0,IF(OR(C717&lt;1,C717&gt;5),1,0))</f>
        <v/>
      </c>
      <c r="AE717" s="19">
        <f>IF(OR(LEN(A717)=0,LEN(R717)=0),0,IF(OR(R717="Active",R717="Paid off",R717="Defaulted",R717="Repossessed",R717="Written off",R717="Restructured"),0,1))</f>
        <v/>
      </c>
      <c r="AF717" s="19">
        <f>IF(A717="",0,IF(N(J717)&gt;N(I717),1,0))</f>
        <v/>
      </c>
      <c r="AG717" s="19">
        <f>IF(A717="",0,IF(N(N717)&gt;N(M717)+1,1,0))</f>
        <v/>
      </c>
      <c r="AH717" s="19">
        <f>IF(A717="",0,IF(N(E717)&gt;N(B717),1,0))</f>
        <v/>
      </c>
      <c r="AI717" s="19">
        <f>IF(A717="",0,IF(AND(Z717="Full payment",N(N717)&lt;N(M717)-1),1,0))</f>
        <v/>
      </c>
      <c r="AJ717" s="19">
        <f>IF(A717="",0,IF(N(P717)&lt;0,1,0))</f>
        <v/>
      </c>
      <c r="AK717" s="19">
        <f>IF(A717="",0,IF(COUNTIF($A$7:$A$1006,A717)&gt;1,1,0))</f>
        <v/>
      </c>
    </row>
    <row r="718">
      <c r="A718" s="10" t="n"/>
      <c r="B718" s="17" t="n"/>
      <c r="C718" s="18" t="n"/>
      <c r="D718" s="10" t="n"/>
      <c r="E718" s="17" t="n"/>
      <c r="F718" s="10" t="n"/>
      <c r="G718" s="10" t="n"/>
      <c r="H718" s="10" t="n"/>
      <c r="I718" s="18" t="n"/>
      <c r="J718" s="18" t="n"/>
      <c r="K718" s="18" t="n"/>
      <c r="L718" s="18" t="n"/>
      <c r="M718" s="19">
        <f>IF(K718="","",K718*365/12*L718)</f>
        <v/>
      </c>
      <c r="N718" s="18" t="n"/>
      <c r="O718" s="18" t="n"/>
      <c r="P718" s="18" t="n"/>
      <c r="Q718" s="18" t="n"/>
      <c r="R718" s="10" t="n"/>
      <c r="S718" s="17" t="n"/>
      <c r="T718" s="18" t="n"/>
      <c r="U718" s="17" t="n"/>
      <c r="V718" s="17" t="n"/>
      <c r="W718" s="18" t="n"/>
      <c r="X718" s="18" t="n"/>
      <c r="Y718" s="17" t="n"/>
      <c r="Z718" s="10" t="n"/>
      <c r="AA718" s="10" t="n"/>
      <c r="AB718" s="19">
        <f>IF(LEN(A718)&gt;0,1,0)</f>
        <v/>
      </c>
      <c r="AC718" s="19">
        <f>IF(LEN(A718)=0,0,(LEN(B718)=0)+(LEN(C718)=0)+(LEN(D718)=0)+(LEN(E718)=0)+(LEN(F718)=0)+(LEN(G718)=0)+(LEN(H718)=0)+(LEN(I718)=0)+(LEN(J718)=0)+(LEN(K718)=0)+(LEN(L718)=0)+(LEN(N718)=0)+(LEN(O718)=0)+(LEN(P718)=0)+(LEN(R718)=0)+(LEN(AA718)=0))</f>
        <v/>
      </c>
      <c r="AD718" s="19">
        <f>IF(OR(LEN(A718)=0,LEN(C718)=0),0,IF(OR(C718&lt;1,C718&gt;5),1,0))</f>
        <v/>
      </c>
      <c r="AE718" s="19">
        <f>IF(OR(LEN(A718)=0,LEN(R718)=0),0,IF(OR(R718="Active",R718="Paid off",R718="Defaulted",R718="Repossessed",R718="Written off",R718="Restructured"),0,1))</f>
        <v/>
      </c>
      <c r="AF718" s="19">
        <f>IF(A718="",0,IF(N(J718)&gt;N(I718),1,0))</f>
        <v/>
      </c>
      <c r="AG718" s="19">
        <f>IF(A718="",0,IF(N(N718)&gt;N(M718)+1,1,0))</f>
        <v/>
      </c>
      <c r="AH718" s="19">
        <f>IF(A718="",0,IF(N(E718)&gt;N(B718),1,0))</f>
        <v/>
      </c>
      <c r="AI718" s="19">
        <f>IF(A718="",0,IF(AND(Z718="Full payment",N(N718)&lt;N(M718)-1),1,0))</f>
        <v/>
      </c>
      <c r="AJ718" s="19">
        <f>IF(A718="",0,IF(N(P718)&lt;0,1,0))</f>
        <v/>
      </c>
      <c r="AK718" s="19">
        <f>IF(A718="",0,IF(COUNTIF($A$7:$A$1006,A718)&gt;1,1,0))</f>
        <v/>
      </c>
    </row>
    <row r="719">
      <c r="A719" s="10" t="n"/>
      <c r="B719" s="17" t="n"/>
      <c r="C719" s="18" t="n"/>
      <c r="D719" s="10" t="n"/>
      <c r="E719" s="17" t="n"/>
      <c r="F719" s="10" t="n"/>
      <c r="G719" s="10" t="n"/>
      <c r="H719" s="10" t="n"/>
      <c r="I719" s="18" t="n"/>
      <c r="J719" s="18" t="n"/>
      <c r="K719" s="18" t="n"/>
      <c r="L719" s="18" t="n"/>
      <c r="M719" s="19">
        <f>IF(K719="","",K719*365/12*L719)</f>
        <v/>
      </c>
      <c r="N719" s="18" t="n"/>
      <c r="O719" s="18" t="n"/>
      <c r="P719" s="18" t="n"/>
      <c r="Q719" s="18" t="n"/>
      <c r="R719" s="10" t="n"/>
      <c r="S719" s="17" t="n"/>
      <c r="T719" s="18" t="n"/>
      <c r="U719" s="17" t="n"/>
      <c r="V719" s="17" t="n"/>
      <c r="W719" s="18" t="n"/>
      <c r="X719" s="18" t="n"/>
      <c r="Y719" s="17" t="n"/>
      <c r="Z719" s="10" t="n"/>
      <c r="AA719" s="10" t="n"/>
      <c r="AB719" s="19">
        <f>IF(LEN(A719)&gt;0,1,0)</f>
        <v/>
      </c>
      <c r="AC719" s="19">
        <f>IF(LEN(A719)=0,0,(LEN(B719)=0)+(LEN(C719)=0)+(LEN(D719)=0)+(LEN(E719)=0)+(LEN(F719)=0)+(LEN(G719)=0)+(LEN(H719)=0)+(LEN(I719)=0)+(LEN(J719)=0)+(LEN(K719)=0)+(LEN(L719)=0)+(LEN(N719)=0)+(LEN(O719)=0)+(LEN(P719)=0)+(LEN(R719)=0)+(LEN(AA719)=0))</f>
        <v/>
      </c>
      <c r="AD719" s="19">
        <f>IF(OR(LEN(A719)=0,LEN(C719)=0),0,IF(OR(C719&lt;1,C719&gt;5),1,0))</f>
        <v/>
      </c>
      <c r="AE719" s="19">
        <f>IF(OR(LEN(A719)=0,LEN(R719)=0),0,IF(OR(R719="Active",R719="Paid off",R719="Defaulted",R719="Repossessed",R719="Written off",R719="Restructured"),0,1))</f>
        <v/>
      </c>
      <c r="AF719" s="19">
        <f>IF(A719="",0,IF(N(J719)&gt;N(I719),1,0))</f>
        <v/>
      </c>
      <c r="AG719" s="19">
        <f>IF(A719="",0,IF(N(N719)&gt;N(M719)+1,1,0))</f>
        <v/>
      </c>
      <c r="AH719" s="19">
        <f>IF(A719="",0,IF(N(E719)&gt;N(B719),1,0))</f>
        <v/>
      </c>
      <c r="AI719" s="19">
        <f>IF(A719="",0,IF(AND(Z719="Full payment",N(N719)&lt;N(M719)-1),1,0))</f>
        <v/>
      </c>
      <c r="AJ719" s="19">
        <f>IF(A719="",0,IF(N(P719)&lt;0,1,0))</f>
        <v/>
      </c>
      <c r="AK719" s="19">
        <f>IF(A719="",0,IF(COUNTIF($A$7:$A$1006,A719)&gt;1,1,0))</f>
        <v/>
      </c>
    </row>
    <row r="720">
      <c r="A720" s="10" t="n"/>
      <c r="B720" s="17" t="n"/>
      <c r="C720" s="18" t="n"/>
      <c r="D720" s="10" t="n"/>
      <c r="E720" s="17" t="n"/>
      <c r="F720" s="10" t="n"/>
      <c r="G720" s="10" t="n"/>
      <c r="H720" s="10" t="n"/>
      <c r="I720" s="18" t="n"/>
      <c r="J720" s="18" t="n"/>
      <c r="K720" s="18" t="n"/>
      <c r="L720" s="18" t="n"/>
      <c r="M720" s="19">
        <f>IF(K720="","",K720*365/12*L720)</f>
        <v/>
      </c>
      <c r="N720" s="18" t="n"/>
      <c r="O720" s="18" t="n"/>
      <c r="P720" s="18" t="n"/>
      <c r="Q720" s="18" t="n"/>
      <c r="R720" s="10" t="n"/>
      <c r="S720" s="17" t="n"/>
      <c r="T720" s="18" t="n"/>
      <c r="U720" s="17" t="n"/>
      <c r="V720" s="17" t="n"/>
      <c r="W720" s="18" t="n"/>
      <c r="X720" s="18" t="n"/>
      <c r="Y720" s="17" t="n"/>
      <c r="Z720" s="10" t="n"/>
      <c r="AA720" s="10" t="n"/>
      <c r="AB720" s="19">
        <f>IF(LEN(A720)&gt;0,1,0)</f>
        <v/>
      </c>
      <c r="AC720" s="19">
        <f>IF(LEN(A720)=0,0,(LEN(B720)=0)+(LEN(C720)=0)+(LEN(D720)=0)+(LEN(E720)=0)+(LEN(F720)=0)+(LEN(G720)=0)+(LEN(H720)=0)+(LEN(I720)=0)+(LEN(J720)=0)+(LEN(K720)=0)+(LEN(L720)=0)+(LEN(N720)=0)+(LEN(O720)=0)+(LEN(P720)=0)+(LEN(R720)=0)+(LEN(AA720)=0))</f>
        <v/>
      </c>
      <c r="AD720" s="19">
        <f>IF(OR(LEN(A720)=0,LEN(C720)=0),0,IF(OR(C720&lt;1,C720&gt;5),1,0))</f>
        <v/>
      </c>
      <c r="AE720" s="19">
        <f>IF(OR(LEN(A720)=0,LEN(R720)=0),0,IF(OR(R720="Active",R720="Paid off",R720="Defaulted",R720="Repossessed",R720="Written off",R720="Restructured"),0,1))</f>
        <v/>
      </c>
      <c r="AF720" s="19">
        <f>IF(A720="",0,IF(N(J720)&gt;N(I720),1,0))</f>
        <v/>
      </c>
      <c r="AG720" s="19">
        <f>IF(A720="",0,IF(N(N720)&gt;N(M720)+1,1,0))</f>
        <v/>
      </c>
      <c r="AH720" s="19">
        <f>IF(A720="",0,IF(N(E720)&gt;N(B720),1,0))</f>
        <v/>
      </c>
      <c r="AI720" s="19">
        <f>IF(A720="",0,IF(AND(Z720="Full payment",N(N720)&lt;N(M720)-1),1,0))</f>
        <v/>
      </c>
      <c r="AJ720" s="19">
        <f>IF(A720="",0,IF(N(P720)&lt;0,1,0))</f>
        <v/>
      </c>
      <c r="AK720" s="19">
        <f>IF(A720="",0,IF(COUNTIF($A$7:$A$1006,A720)&gt;1,1,0))</f>
        <v/>
      </c>
    </row>
    <row r="721">
      <c r="A721" s="10" t="n"/>
      <c r="B721" s="17" t="n"/>
      <c r="C721" s="18" t="n"/>
      <c r="D721" s="10" t="n"/>
      <c r="E721" s="17" t="n"/>
      <c r="F721" s="10" t="n"/>
      <c r="G721" s="10" t="n"/>
      <c r="H721" s="10" t="n"/>
      <c r="I721" s="18" t="n"/>
      <c r="J721" s="18" t="n"/>
      <c r="K721" s="18" t="n"/>
      <c r="L721" s="18" t="n"/>
      <c r="M721" s="19">
        <f>IF(K721="","",K721*365/12*L721)</f>
        <v/>
      </c>
      <c r="N721" s="18" t="n"/>
      <c r="O721" s="18" t="n"/>
      <c r="P721" s="18" t="n"/>
      <c r="Q721" s="18" t="n"/>
      <c r="R721" s="10" t="n"/>
      <c r="S721" s="17" t="n"/>
      <c r="T721" s="18" t="n"/>
      <c r="U721" s="17" t="n"/>
      <c r="V721" s="17" t="n"/>
      <c r="W721" s="18" t="n"/>
      <c r="X721" s="18" t="n"/>
      <c r="Y721" s="17" t="n"/>
      <c r="Z721" s="10" t="n"/>
      <c r="AA721" s="10" t="n"/>
      <c r="AB721" s="19">
        <f>IF(LEN(A721)&gt;0,1,0)</f>
        <v/>
      </c>
      <c r="AC721" s="19">
        <f>IF(LEN(A721)=0,0,(LEN(B721)=0)+(LEN(C721)=0)+(LEN(D721)=0)+(LEN(E721)=0)+(LEN(F721)=0)+(LEN(G721)=0)+(LEN(H721)=0)+(LEN(I721)=0)+(LEN(J721)=0)+(LEN(K721)=0)+(LEN(L721)=0)+(LEN(N721)=0)+(LEN(O721)=0)+(LEN(P721)=0)+(LEN(R721)=0)+(LEN(AA721)=0))</f>
        <v/>
      </c>
      <c r="AD721" s="19">
        <f>IF(OR(LEN(A721)=0,LEN(C721)=0),0,IF(OR(C721&lt;1,C721&gt;5),1,0))</f>
        <v/>
      </c>
      <c r="AE721" s="19">
        <f>IF(OR(LEN(A721)=0,LEN(R721)=0),0,IF(OR(R721="Active",R721="Paid off",R721="Defaulted",R721="Repossessed",R721="Written off",R721="Restructured"),0,1))</f>
        <v/>
      </c>
      <c r="AF721" s="19">
        <f>IF(A721="",0,IF(N(J721)&gt;N(I721),1,0))</f>
        <v/>
      </c>
      <c r="AG721" s="19">
        <f>IF(A721="",0,IF(N(N721)&gt;N(M721)+1,1,0))</f>
        <v/>
      </c>
      <c r="AH721" s="19">
        <f>IF(A721="",0,IF(N(E721)&gt;N(B721),1,0))</f>
        <v/>
      </c>
      <c r="AI721" s="19">
        <f>IF(A721="",0,IF(AND(Z721="Full payment",N(N721)&lt;N(M721)-1),1,0))</f>
        <v/>
      </c>
      <c r="AJ721" s="19">
        <f>IF(A721="",0,IF(N(P721)&lt;0,1,0))</f>
        <v/>
      </c>
      <c r="AK721" s="19">
        <f>IF(A721="",0,IF(COUNTIF($A$7:$A$1006,A721)&gt;1,1,0))</f>
        <v/>
      </c>
    </row>
    <row r="722">
      <c r="A722" s="10" t="n"/>
      <c r="B722" s="17" t="n"/>
      <c r="C722" s="18" t="n"/>
      <c r="D722" s="10" t="n"/>
      <c r="E722" s="17" t="n"/>
      <c r="F722" s="10" t="n"/>
      <c r="G722" s="10" t="n"/>
      <c r="H722" s="10" t="n"/>
      <c r="I722" s="18" t="n"/>
      <c r="J722" s="18" t="n"/>
      <c r="K722" s="18" t="n"/>
      <c r="L722" s="18" t="n"/>
      <c r="M722" s="19">
        <f>IF(K722="","",K722*365/12*L722)</f>
        <v/>
      </c>
      <c r="N722" s="18" t="n"/>
      <c r="O722" s="18" t="n"/>
      <c r="P722" s="18" t="n"/>
      <c r="Q722" s="18" t="n"/>
      <c r="R722" s="10" t="n"/>
      <c r="S722" s="17" t="n"/>
      <c r="T722" s="18" t="n"/>
      <c r="U722" s="17" t="n"/>
      <c r="V722" s="17" t="n"/>
      <c r="W722" s="18" t="n"/>
      <c r="X722" s="18" t="n"/>
      <c r="Y722" s="17" t="n"/>
      <c r="Z722" s="10" t="n"/>
      <c r="AA722" s="10" t="n"/>
      <c r="AB722" s="19">
        <f>IF(LEN(A722)&gt;0,1,0)</f>
        <v/>
      </c>
      <c r="AC722" s="19">
        <f>IF(LEN(A722)=0,0,(LEN(B722)=0)+(LEN(C722)=0)+(LEN(D722)=0)+(LEN(E722)=0)+(LEN(F722)=0)+(LEN(G722)=0)+(LEN(H722)=0)+(LEN(I722)=0)+(LEN(J722)=0)+(LEN(K722)=0)+(LEN(L722)=0)+(LEN(N722)=0)+(LEN(O722)=0)+(LEN(P722)=0)+(LEN(R722)=0)+(LEN(AA722)=0))</f>
        <v/>
      </c>
      <c r="AD722" s="19">
        <f>IF(OR(LEN(A722)=0,LEN(C722)=0),0,IF(OR(C722&lt;1,C722&gt;5),1,0))</f>
        <v/>
      </c>
      <c r="AE722" s="19">
        <f>IF(OR(LEN(A722)=0,LEN(R722)=0),0,IF(OR(R722="Active",R722="Paid off",R722="Defaulted",R722="Repossessed",R722="Written off",R722="Restructured"),0,1))</f>
        <v/>
      </c>
      <c r="AF722" s="19">
        <f>IF(A722="",0,IF(N(J722)&gt;N(I722),1,0))</f>
        <v/>
      </c>
      <c r="AG722" s="19">
        <f>IF(A722="",0,IF(N(N722)&gt;N(M722)+1,1,0))</f>
        <v/>
      </c>
      <c r="AH722" s="19">
        <f>IF(A722="",0,IF(N(E722)&gt;N(B722),1,0))</f>
        <v/>
      </c>
      <c r="AI722" s="19">
        <f>IF(A722="",0,IF(AND(Z722="Full payment",N(N722)&lt;N(M722)-1),1,0))</f>
        <v/>
      </c>
      <c r="AJ722" s="19">
        <f>IF(A722="",0,IF(N(P722)&lt;0,1,0))</f>
        <v/>
      </c>
      <c r="AK722" s="19">
        <f>IF(A722="",0,IF(COUNTIF($A$7:$A$1006,A722)&gt;1,1,0))</f>
        <v/>
      </c>
    </row>
    <row r="723">
      <c r="A723" s="10" t="n"/>
      <c r="B723" s="17" t="n"/>
      <c r="C723" s="18" t="n"/>
      <c r="D723" s="10" t="n"/>
      <c r="E723" s="17" t="n"/>
      <c r="F723" s="10" t="n"/>
      <c r="G723" s="10" t="n"/>
      <c r="H723" s="10" t="n"/>
      <c r="I723" s="18" t="n"/>
      <c r="J723" s="18" t="n"/>
      <c r="K723" s="18" t="n"/>
      <c r="L723" s="18" t="n"/>
      <c r="M723" s="19">
        <f>IF(K723="","",K723*365/12*L723)</f>
        <v/>
      </c>
      <c r="N723" s="18" t="n"/>
      <c r="O723" s="18" t="n"/>
      <c r="P723" s="18" t="n"/>
      <c r="Q723" s="18" t="n"/>
      <c r="R723" s="10" t="n"/>
      <c r="S723" s="17" t="n"/>
      <c r="T723" s="18" t="n"/>
      <c r="U723" s="17" t="n"/>
      <c r="V723" s="17" t="n"/>
      <c r="W723" s="18" t="n"/>
      <c r="X723" s="18" t="n"/>
      <c r="Y723" s="17" t="n"/>
      <c r="Z723" s="10" t="n"/>
      <c r="AA723" s="10" t="n"/>
      <c r="AB723" s="19">
        <f>IF(LEN(A723)&gt;0,1,0)</f>
        <v/>
      </c>
      <c r="AC723" s="19">
        <f>IF(LEN(A723)=0,0,(LEN(B723)=0)+(LEN(C723)=0)+(LEN(D723)=0)+(LEN(E723)=0)+(LEN(F723)=0)+(LEN(G723)=0)+(LEN(H723)=0)+(LEN(I723)=0)+(LEN(J723)=0)+(LEN(K723)=0)+(LEN(L723)=0)+(LEN(N723)=0)+(LEN(O723)=0)+(LEN(P723)=0)+(LEN(R723)=0)+(LEN(AA723)=0))</f>
        <v/>
      </c>
      <c r="AD723" s="19">
        <f>IF(OR(LEN(A723)=0,LEN(C723)=0),0,IF(OR(C723&lt;1,C723&gt;5),1,0))</f>
        <v/>
      </c>
      <c r="AE723" s="19">
        <f>IF(OR(LEN(A723)=0,LEN(R723)=0),0,IF(OR(R723="Active",R723="Paid off",R723="Defaulted",R723="Repossessed",R723="Written off",R723="Restructured"),0,1))</f>
        <v/>
      </c>
      <c r="AF723" s="19">
        <f>IF(A723="",0,IF(N(J723)&gt;N(I723),1,0))</f>
        <v/>
      </c>
      <c r="AG723" s="19">
        <f>IF(A723="",0,IF(N(N723)&gt;N(M723)+1,1,0))</f>
        <v/>
      </c>
      <c r="AH723" s="19">
        <f>IF(A723="",0,IF(N(E723)&gt;N(B723),1,0))</f>
        <v/>
      </c>
      <c r="AI723" s="19">
        <f>IF(A723="",0,IF(AND(Z723="Full payment",N(N723)&lt;N(M723)-1),1,0))</f>
        <v/>
      </c>
      <c r="AJ723" s="19">
        <f>IF(A723="",0,IF(N(P723)&lt;0,1,0))</f>
        <v/>
      </c>
      <c r="AK723" s="19">
        <f>IF(A723="",0,IF(COUNTIF($A$7:$A$1006,A723)&gt;1,1,0))</f>
        <v/>
      </c>
    </row>
    <row r="724">
      <c r="A724" s="10" t="n"/>
      <c r="B724" s="17" t="n"/>
      <c r="C724" s="18" t="n"/>
      <c r="D724" s="10" t="n"/>
      <c r="E724" s="17" t="n"/>
      <c r="F724" s="10" t="n"/>
      <c r="G724" s="10" t="n"/>
      <c r="H724" s="10" t="n"/>
      <c r="I724" s="18" t="n"/>
      <c r="J724" s="18" t="n"/>
      <c r="K724" s="18" t="n"/>
      <c r="L724" s="18" t="n"/>
      <c r="M724" s="19">
        <f>IF(K724="","",K724*365/12*L724)</f>
        <v/>
      </c>
      <c r="N724" s="18" t="n"/>
      <c r="O724" s="18" t="n"/>
      <c r="P724" s="18" t="n"/>
      <c r="Q724" s="18" t="n"/>
      <c r="R724" s="10" t="n"/>
      <c r="S724" s="17" t="n"/>
      <c r="T724" s="18" t="n"/>
      <c r="U724" s="17" t="n"/>
      <c r="V724" s="17" t="n"/>
      <c r="W724" s="18" t="n"/>
      <c r="X724" s="18" t="n"/>
      <c r="Y724" s="17" t="n"/>
      <c r="Z724" s="10" t="n"/>
      <c r="AA724" s="10" t="n"/>
      <c r="AB724" s="19">
        <f>IF(LEN(A724)&gt;0,1,0)</f>
        <v/>
      </c>
      <c r="AC724" s="19">
        <f>IF(LEN(A724)=0,0,(LEN(B724)=0)+(LEN(C724)=0)+(LEN(D724)=0)+(LEN(E724)=0)+(LEN(F724)=0)+(LEN(G724)=0)+(LEN(H724)=0)+(LEN(I724)=0)+(LEN(J724)=0)+(LEN(K724)=0)+(LEN(L724)=0)+(LEN(N724)=0)+(LEN(O724)=0)+(LEN(P724)=0)+(LEN(R724)=0)+(LEN(AA724)=0))</f>
        <v/>
      </c>
      <c r="AD724" s="19">
        <f>IF(OR(LEN(A724)=0,LEN(C724)=0),0,IF(OR(C724&lt;1,C724&gt;5),1,0))</f>
        <v/>
      </c>
      <c r="AE724" s="19">
        <f>IF(OR(LEN(A724)=0,LEN(R724)=0),0,IF(OR(R724="Active",R724="Paid off",R724="Defaulted",R724="Repossessed",R724="Written off",R724="Restructured"),0,1))</f>
        <v/>
      </c>
      <c r="AF724" s="19">
        <f>IF(A724="",0,IF(N(J724)&gt;N(I724),1,0))</f>
        <v/>
      </c>
      <c r="AG724" s="19">
        <f>IF(A724="",0,IF(N(N724)&gt;N(M724)+1,1,0))</f>
        <v/>
      </c>
      <c r="AH724" s="19">
        <f>IF(A724="",0,IF(N(E724)&gt;N(B724),1,0))</f>
        <v/>
      </c>
      <c r="AI724" s="19">
        <f>IF(A724="",0,IF(AND(Z724="Full payment",N(N724)&lt;N(M724)-1),1,0))</f>
        <v/>
      </c>
      <c r="AJ724" s="19">
        <f>IF(A724="",0,IF(N(P724)&lt;0,1,0))</f>
        <v/>
      </c>
      <c r="AK724" s="19">
        <f>IF(A724="",0,IF(COUNTIF($A$7:$A$1006,A724)&gt;1,1,0))</f>
        <v/>
      </c>
    </row>
    <row r="725">
      <c r="A725" s="10" t="n"/>
      <c r="B725" s="17" t="n"/>
      <c r="C725" s="18" t="n"/>
      <c r="D725" s="10" t="n"/>
      <c r="E725" s="17" t="n"/>
      <c r="F725" s="10" t="n"/>
      <c r="G725" s="10" t="n"/>
      <c r="H725" s="10" t="n"/>
      <c r="I725" s="18" t="n"/>
      <c r="J725" s="18" t="n"/>
      <c r="K725" s="18" t="n"/>
      <c r="L725" s="18" t="n"/>
      <c r="M725" s="19">
        <f>IF(K725="","",K725*365/12*L725)</f>
        <v/>
      </c>
      <c r="N725" s="18" t="n"/>
      <c r="O725" s="18" t="n"/>
      <c r="P725" s="18" t="n"/>
      <c r="Q725" s="18" t="n"/>
      <c r="R725" s="10" t="n"/>
      <c r="S725" s="17" t="n"/>
      <c r="T725" s="18" t="n"/>
      <c r="U725" s="17" t="n"/>
      <c r="V725" s="17" t="n"/>
      <c r="W725" s="18" t="n"/>
      <c r="X725" s="18" t="n"/>
      <c r="Y725" s="17" t="n"/>
      <c r="Z725" s="10" t="n"/>
      <c r="AA725" s="10" t="n"/>
      <c r="AB725" s="19">
        <f>IF(LEN(A725)&gt;0,1,0)</f>
        <v/>
      </c>
      <c r="AC725" s="19">
        <f>IF(LEN(A725)=0,0,(LEN(B725)=0)+(LEN(C725)=0)+(LEN(D725)=0)+(LEN(E725)=0)+(LEN(F725)=0)+(LEN(G725)=0)+(LEN(H725)=0)+(LEN(I725)=0)+(LEN(J725)=0)+(LEN(K725)=0)+(LEN(L725)=0)+(LEN(N725)=0)+(LEN(O725)=0)+(LEN(P725)=0)+(LEN(R725)=0)+(LEN(AA725)=0))</f>
        <v/>
      </c>
      <c r="AD725" s="19">
        <f>IF(OR(LEN(A725)=0,LEN(C725)=0),0,IF(OR(C725&lt;1,C725&gt;5),1,0))</f>
        <v/>
      </c>
      <c r="AE725" s="19">
        <f>IF(OR(LEN(A725)=0,LEN(R725)=0),0,IF(OR(R725="Active",R725="Paid off",R725="Defaulted",R725="Repossessed",R725="Written off",R725="Restructured"),0,1))</f>
        <v/>
      </c>
      <c r="AF725" s="19">
        <f>IF(A725="",0,IF(N(J725)&gt;N(I725),1,0))</f>
        <v/>
      </c>
      <c r="AG725" s="19">
        <f>IF(A725="",0,IF(N(N725)&gt;N(M725)+1,1,0))</f>
        <v/>
      </c>
      <c r="AH725" s="19">
        <f>IF(A725="",0,IF(N(E725)&gt;N(B725),1,0))</f>
        <v/>
      </c>
      <c r="AI725" s="19">
        <f>IF(A725="",0,IF(AND(Z725="Full payment",N(N725)&lt;N(M725)-1),1,0))</f>
        <v/>
      </c>
      <c r="AJ725" s="19">
        <f>IF(A725="",0,IF(N(P725)&lt;0,1,0))</f>
        <v/>
      </c>
      <c r="AK725" s="19">
        <f>IF(A725="",0,IF(COUNTIF($A$7:$A$1006,A725)&gt;1,1,0))</f>
        <v/>
      </c>
    </row>
    <row r="726">
      <c r="A726" s="10" t="n"/>
      <c r="B726" s="17" t="n"/>
      <c r="C726" s="18" t="n"/>
      <c r="D726" s="10" t="n"/>
      <c r="E726" s="17" t="n"/>
      <c r="F726" s="10" t="n"/>
      <c r="G726" s="10" t="n"/>
      <c r="H726" s="10" t="n"/>
      <c r="I726" s="18" t="n"/>
      <c r="J726" s="18" t="n"/>
      <c r="K726" s="18" t="n"/>
      <c r="L726" s="18" t="n"/>
      <c r="M726" s="19">
        <f>IF(K726="","",K726*365/12*L726)</f>
        <v/>
      </c>
      <c r="N726" s="18" t="n"/>
      <c r="O726" s="18" t="n"/>
      <c r="P726" s="18" t="n"/>
      <c r="Q726" s="18" t="n"/>
      <c r="R726" s="10" t="n"/>
      <c r="S726" s="17" t="n"/>
      <c r="T726" s="18" t="n"/>
      <c r="U726" s="17" t="n"/>
      <c r="V726" s="17" t="n"/>
      <c r="W726" s="18" t="n"/>
      <c r="X726" s="18" t="n"/>
      <c r="Y726" s="17" t="n"/>
      <c r="Z726" s="10" t="n"/>
      <c r="AA726" s="10" t="n"/>
      <c r="AB726" s="19">
        <f>IF(LEN(A726)&gt;0,1,0)</f>
        <v/>
      </c>
      <c r="AC726" s="19">
        <f>IF(LEN(A726)=0,0,(LEN(B726)=0)+(LEN(C726)=0)+(LEN(D726)=0)+(LEN(E726)=0)+(LEN(F726)=0)+(LEN(G726)=0)+(LEN(H726)=0)+(LEN(I726)=0)+(LEN(J726)=0)+(LEN(K726)=0)+(LEN(L726)=0)+(LEN(N726)=0)+(LEN(O726)=0)+(LEN(P726)=0)+(LEN(R726)=0)+(LEN(AA726)=0))</f>
        <v/>
      </c>
      <c r="AD726" s="19">
        <f>IF(OR(LEN(A726)=0,LEN(C726)=0),0,IF(OR(C726&lt;1,C726&gt;5),1,0))</f>
        <v/>
      </c>
      <c r="AE726" s="19">
        <f>IF(OR(LEN(A726)=0,LEN(R726)=0),0,IF(OR(R726="Active",R726="Paid off",R726="Defaulted",R726="Repossessed",R726="Written off",R726="Restructured"),0,1))</f>
        <v/>
      </c>
      <c r="AF726" s="19">
        <f>IF(A726="",0,IF(N(J726)&gt;N(I726),1,0))</f>
        <v/>
      </c>
      <c r="AG726" s="19">
        <f>IF(A726="",0,IF(N(N726)&gt;N(M726)+1,1,0))</f>
        <v/>
      </c>
      <c r="AH726" s="19">
        <f>IF(A726="",0,IF(N(E726)&gt;N(B726),1,0))</f>
        <v/>
      </c>
      <c r="AI726" s="19">
        <f>IF(A726="",0,IF(AND(Z726="Full payment",N(N726)&lt;N(M726)-1),1,0))</f>
        <v/>
      </c>
      <c r="AJ726" s="19">
        <f>IF(A726="",0,IF(N(P726)&lt;0,1,0))</f>
        <v/>
      </c>
      <c r="AK726" s="19">
        <f>IF(A726="",0,IF(COUNTIF($A$7:$A$1006,A726)&gt;1,1,0))</f>
        <v/>
      </c>
    </row>
    <row r="727">
      <c r="A727" s="10" t="n"/>
      <c r="B727" s="17" t="n"/>
      <c r="C727" s="18" t="n"/>
      <c r="D727" s="10" t="n"/>
      <c r="E727" s="17" t="n"/>
      <c r="F727" s="10" t="n"/>
      <c r="G727" s="10" t="n"/>
      <c r="H727" s="10" t="n"/>
      <c r="I727" s="18" t="n"/>
      <c r="J727" s="18" t="n"/>
      <c r="K727" s="18" t="n"/>
      <c r="L727" s="18" t="n"/>
      <c r="M727" s="19">
        <f>IF(K727="","",K727*365/12*L727)</f>
        <v/>
      </c>
      <c r="N727" s="18" t="n"/>
      <c r="O727" s="18" t="n"/>
      <c r="P727" s="18" t="n"/>
      <c r="Q727" s="18" t="n"/>
      <c r="R727" s="10" t="n"/>
      <c r="S727" s="17" t="n"/>
      <c r="T727" s="18" t="n"/>
      <c r="U727" s="17" t="n"/>
      <c r="V727" s="17" t="n"/>
      <c r="W727" s="18" t="n"/>
      <c r="X727" s="18" t="n"/>
      <c r="Y727" s="17" t="n"/>
      <c r="Z727" s="10" t="n"/>
      <c r="AA727" s="10" t="n"/>
      <c r="AB727" s="19">
        <f>IF(LEN(A727)&gt;0,1,0)</f>
        <v/>
      </c>
      <c r="AC727" s="19">
        <f>IF(LEN(A727)=0,0,(LEN(B727)=0)+(LEN(C727)=0)+(LEN(D727)=0)+(LEN(E727)=0)+(LEN(F727)=0)+(LEN(G727)=0)+(LEN(H727)=0)+(LEN(I727)=0)+(LEN(J727)=0)+(LEN(K727)=0)+(LEN(L727)=0)+(LEN(N727)=0)+(LEN(O727)=0)+(LEN(P727)=0)+(LEN(R727)=0)+(LEN(AA727)=0))</f>
        <v/>
      </c>
      <c r="AD727" s="19">
        <f>IF(OR(LEN(A727)=0,LEN(C727)=0),0,IF(OR(C727&lt;1,C727&gt;5),1,0))</f>
        <v/>
      </c>
      <c r="AE727" s="19">
        <f>IF(OR(LEN(A727)=0,LEN(R727)=0),0,IF(OR(R727="Active",R727="Paid off",R727="Defaulted",R727="Repossessed",R727="Written off",R727="Restructured"),0,1))</f>
        <v/>
      </c>
      <c r="AF727" s="19">
        <f>IF(A727="",0,IF(N(J727)&gt;N(I727),1,0))</f>
        <v/>
      </c>
      <c r="AG727" s="19">
        <f>IF(A727="",0,IF(N(N727)&gt;N(M727)+1,1,0))</f>
        <v/>
      </c>
      <c r="AH727" s="19">
        <f>IF(A727="",0,IF(N(E727)&gt;N(B727),1,0))</f>
        <v/>
      </c>
      <c r="AI727" s="19">
        <f>IF(A727="",0,IF(AND(Z727="Full payment",N(N727)&lt;N(M727)-1),1,0))</f>
        <v/>
      </c>
      <c r="AJ727" s="19">
        <f>IF(A727="",0,IF(N(P727)&lt;0,1,0))</f>
        <v/>
      </c>
      <c r="AK727" s="19">
        <f>IF(A727="",0,IF(COUNTIF($A$7:$A$1006,A727)&gt;1,1,0))</f>
        <v/>
      </c>
    </row>
    <row r="728">
      <c r="A728" s="10" t="n"/>
      <c r="B728" s="17" t="n"/>
      <c r="C728" s="18" t="n"/>
      <c r="D728" s="10" t="n"/>
      <c r="E728" s="17" t="n"/>
      <c r="F728" s="10" t="n"/>
      <c r="G728" s="10" t="n"/>
      <c r="H728" s="10" t="n"/>
      <c r="I728" s="18" t="n"/>
      <c r="J728" s="18" t="n"/>
      <c r="K728" s="18" t="n"/>
      <c r="L728" s="18" t="n"/>
      <c r="M728" s="19">
        <f>IF(K728="","",K728*365/12*L728)</f>
        <v/>
      </c>
      <c r="N728" s="18" t="n"/>
      <c r="O728" s="18" t="n"/>
      <c r="P728" s="18" t="n"/>
      <c r="Q728" s="18" t="n"/>
      <c r="R728" s="10" t="n"/>
      <c r="S728" s="17" t="n"/>
      <c r="T728" s="18" t="n"/>
      <c r="U728" s="17" t="n"/>
      <c r="V728" s="17" t="n"/>
      <c r="W728" s="18" t="n"/>
      <c r="X728" s="18" t="n"/>
      <c r="Y728" s="17" t="n"/>
      <c r="Z728" s="10" t="n"/>
      <c r="AA728" s="10" t="n"/>
      <c r="AB728" s="19">
        <f>IF(LEN(A728)&gt;0,1,0)</f>
        <v/>
      </c>
      <c r="AC728" s="19">
        <f>IF(LEN(A728)=0,0,(LEN(B728)=0)+(LEN(C728)=0)+(LEN(D728)=0)+(LEN(E728)=0)+(LEN(F728)=0)+(LEN(G728)=0)+(LEN(H728)=0)+(LEN(I728)=0)+(LEN(J728)=0)+(LEN(K728)=0)+(LEN(L728)=0)+(LEN(N728)=0)+(LEN(O728)=0)+(LEN(P728)=0)+(LEN(R728)=0)+(LEN(AA728)=0))</f>
        <v/>
      </c>
      <c r="AD728" s="19">
        <f>IF(OR(LEN(A728)=0,LEN(C728)=0),0,IF(OR(C728&lt;1,C728&gt;5),1,0))</f>
        <v/>
      </c>
      <c r="AE728" s="19">
        <f>IF(OR(LEN(A728)=0,LEN(R728)=0),0,IF(OR(R728="Active",R728="Paid off",R728="Defaulted",R728="Repossessed",R728="Written off",R728="Restructured"),0,1))</f>
        <v/>
      </c>
      <c r="AF728" s="19">
        <f>IF(A728="",0,IF(N(J728)&gt;N(I728),1,0))</f>
        <v/>
      </c>
      <c r="AG728" s="19">
        <f>IF(A728="",0,IF(N(N728)&gt;N(M728)+1,1,0))</f>
        <v/>
      </c>
      <c r="AH728" s="19">
        <f>IF(A728="",0,IF(N(E728)&gt;N(B728),1,0))</f>
        <v/>
      </c>
      <c r="AI728" s="19">
        <f>IF(A728="",0,IF(AND(Z728="Full payment",N(N728)&lt;N(M728)-1),1,0))</f>
        <v/>
      </c>
      <c r="AJ728" s="19">
        <f>IF(A728="",0,IF(N(P728)&lt;0,1,0))</f>
        <v/>
      </c>
      <c r="AK728" s="19">
        <f>IF(A728="",0,IF(COUNTIF($A$7:$A$1006,A728)&gt;1,1,0))</f>
        <v/>
      </c>
    </row>
    <row r="729">
      <c r="A729" s="10" t="n"/>
      <c r="B729" s="17" t="n"/>
      <c r="C729" s="18" t="n"/>
      <c r="D729" s="10" t="n"/>
      <c r="E729" s="17" t="n"/>
      <c r="F729" s="10" t="n"/>
      <c r="G729" s="10" t="n"/>
      <c r="H729" s="10" t="n"/>
      <c r="I729" s="18" t="n"/>
      <c r="J729" s="18" t="n"/>
      <c r="K729" s="18" t="n"/>
      <c r="L729" s="18" t="n"/>
      <c r="M729" s="19">
        <f>IF(K729="","",K729*365/12*L729)</f>
        <v/>
      </c>
      <c r="N729" s="18" t="n"/>
      <c r="O729" s="18" t="n"/>
      <c r="P729" s="18" t="n"/>
      <c r="Q729" s="18" t="n"/>
      <c r="R729" s="10" t="n"/>
      <c r="S729" s="17" t="n"/>
      <c r="T729" s="18" t="n"/>
      <c r="U729" s="17" t="n"/>
      <c r="V729" s="17" t="n"/>
      <c r="W729" s="18" t="n"/>
      <c r="X729" s="18" t="n"/>
      <c r="Y729" s="17" t="n"/>
      <c r="Z729" s="10" t="n"/>
      <c r="AA729" s="10" t="n"/>
      <c r="AB729" s="19">
        <f>IF(LEN(A729)&gt;0,1,0)</f>
        <v/>
      </c>
      <c r="AC729" s="19">
        <f>IF(LEN(A729)=0,0,(LEN(B729)=0)+(LEN(C729)=0)+(LEN(D729)=0)+(LEN(E729)=0)+(LEN(F729)=0)+(LEN(G729)=0)+(LEN(H729)=0)+(LEN(I729)=0)+(LEN(J729)=0)+(LEN(K729)=0)+(LEN(L729)=0)+(LEN(N729)=0)+(LEN(O729)=0)+(LEN(P729)=0)+(LEN(R729)=0)+(LEN(AA729)=0))</f>
        <v/>
      </c>
      <c r="AD729" s="19">
        <f>IF(OR(LEN(A729)=0,LEN(C729)=0),0,IF(OR(C729&lt;1,C729&gt;5),1,0))</f>
        <v/>
      </c>
      <c r="AE729" s="19">
        <f>IF(OR(LEN(A729)=0,LEN(R729)=0),0,IF(OR(R729="Active",R729="Paid off",R729="Defaulted",R729="Repossessed",R729="Written off",R729="Restructured"),0,1))</f>
        <v/>
      </c>
      <c r="AF729" s="19">
        <f>IF(A729="",0,IF(N(J729)&gt;N(I729),1,0))</f>
        <v/>
      </c>
      <c r="AG729" s="19">
        <f>IF(A729="",0,IF(N(N729)&gt;N(M729)+1,1,0))</f>
        <v/>
      </c>
      <c r="AH729" s="19">
        <f>IF(A729="",0,IF(N(E729)&gt;N(B729),1,0))</f>
        <v/>
      </c>
      <c r="AI729" s="19">
        <f>IF(A729="",0,IF(AND(Z729="Full payment",N(N729)&lt;N(M729)-1),1,0))</f>
        <v/>
      </c>
      <c r="AJ729" s="19">
        <f>IF(A729="",0,IF(N(P729)&lt;0,1,0))</f>
        <v/>
      </c>
      <c r="AK729" s="19">
        <f>IF(A729="",0,IF(COUNTIF($A$7:$A$1006,A729)&gt;1,1,0))</f>
        <v/>
      </c>
    </row>
    <row r="730">
      <c r="A730" s="10" t="n"/>
      <c r="B730" s="17" t="n"/>
      <c r="C730" s="18" t="n"/>
      <c r="D730" s="10" t="n"/>
      <c r="E730" s="17" t="n"/>
      <c r="F730" s="10" t="n"/>
      <c r="G730" s="10" t="n"/>
      <c r="H730" s="10" t="n"/>
      <c r="I730" s="18" t="n"/>
      <c r="J730" s="18" t="n"/>
      <c r="K730" s="18" t="n"/>
      <c r="L730" s="18" t="n"/>
      <c r="M730" s="19">
        <f>IF(K730="","",K730*365/12*L730)</f>
        <v/>
      </c>
      <c r="N730" s="18" t="n"/>
      <c r="O730" s="18" t="n"/>
      <c r="P730" s="18" t="n"/>
      <c r="Q730" s="18" t="n"/>
      <c r="R730" s="10" t="n"/>
      <c r="S730" s="17" t="n"/>
      <c r="T730" s="18" t="n"/>
      <c r="U730" s="17" t="n"/>
      <c r="V730" s="17" t="n"/>
      <c r="W730" s="18" t="n"/>
      <c r="X730" s="18" t="n"/>
      <c r="Y730" s="17" t="n"/>
      <c r="Z730" s="10" t="n"/>
      <c r="AA730" s="10" t="n"/>
      <c r="AB730" s="19">
        <f>IF(LEN(A730)&gt;0,1,0)</f>
        <v/>
      </c>
      <c r="AC730" s="19">
        <f>IF(LEN(A730)=0,0,(LEN(B730)=0)+(LEN(C730)=0)+(LEN(D730)=0)+(LEN(E730)=0)+(LEN(F730)=0)+(LEN(G730)=0)+(LEN(H730)=0)+(LEN(I730)=0)+(LEN(J730)=0)+(LEN(K730)=0)+(LEN(L730)=0)+(LEN(N730)=0)+(LEN(O730)=0)+(LEN(P730)=0)+(LEN(R730)=0)+(LEN(AA730)=0))</f>
        <v/>
      </c>
      <c r="AD730" s="19">
        <f>IF(OR(LEN(A730)=0,LEN(C730)=0),0,IF(OR(C730&lt;1,C730&gt;5),1,0))</f>
        <v/>
      </c>
      <c r="AE730" s="19">
        <f>IF(OR(LEN(A730)=0,LEN(R730)=0),0,IF(OR(R730="Active",R730="Paid off",R730="Defaulted",R730="Repossessed",R730="Written off",R730="Restructured"),0,1))</f>
        <v/>
      </c>
      <c r="AF730" s="19">
        <f>IF(A730="",0,IF(N(J730)&gt;N(I730),1,0))</f>
        <v/>
      </c>
      <c r="AG730" s="19">
        <f>IF(A730="",0,IF(N(N730)&gt;N(M730)+1,1,0))</f>
        <v/>
      </c>
      <c r="AH730" s="19">
        <f>IF(A730="",0,IF(N(E730)&gt;N(B730),1,0))</f>
        <v/>
      </c>
      <c r="AI730" s="19">
        <f>IF(A730="",0,IF(AND(Z730="Full payment",N(N730)&lt;N(M730)-1),1,0))</f>
        <v/>
      </c>
      <c r="AJ730" s="19">
        <f>IF(A730="",0,IF(N(P730)&lt;0,1,0))</f>
        <v/>
      </c>
      <c r="AK730" s="19">
        <f>IF(A730="",0,IF(COUNTIF($A$7:$A$1006,A730)&gt;1,1,0))</f>
        <v/>
      </c>
    </row>
    <row r="731">
      <c r="A731" s="10" t="n"/>
      <c r="B731" s="17" t="n"/>
      <c r="C731" s="18" t="n"/>
      <c r="D731" s="10" t="n"/>
      <c r="E731" s="17" t="n"/>
      <c r="F731" s="10" t="n"/>
      <c r="G731" s="10" t="n"/>
      <c r="H731" s="10" t="n"/>
      <c r="I731" s="18" t="n"/>
      <c r="J731" s="18" t="n"/>
      <c r="K731" s="18" t="n"/>
      <c r="L731" s="18" t="n"/>
      <c r="M731" s="19">
        <f>IF(K731="","",K731*365/12*L731)</f>
        <v/>
      </c>
      <c r="N731" s="18" t="n"/>
      <c r="O731" s="18" t="n"/>
      <c r="P731" s="18" t="n"/>
      <c r="Q731" s="18" t="n"/>
      <c r="R731" s="10" t="n"/>
      <c r="S731" s="17" t="n"/>
      <c r="T731" s="18" t="n"/>
      <c r="U731" s="17" t="n"/>
      <c r="V731" s="17" t="n"/>
      <c r="W731" s="18" t="n"/>
      <c r="X731" s="18" t="n"/>
      <c r="Y731" s="17" t="n"/>
      <c r="Z731" s="10" t="n"/>
      <c r="AA731" s="10" t="n"/>
      <c r="AB731" s="19">
        <f>IF(LEN(A731)&gt;0,1,0)</f>
        <v/>
      </c>
      <c r="AC731" s="19">
        <f>IF(LEN(A731)=0,0,(LEN(B731)=0)+(LEN(C731)=0)+(LEN(D731)=0)+(LEN(E731)=0)+(LEN(F731)=0)+(LEN(G731)=0)+(LEN(H731)=0)+(LEN(I731)=0)+(LEN(J731)=0)+(LEN(K731)=0)+(LEN(L731)=0)+(LEN(N731)=0)+(LEN(O731)=0)+(LEN(P731)=0)+(LEN(R731)=0)+(LEN(AA731)=0))</f>
        <v/>
      </c>
      <c r="AD731" s="19">
        <f>IF(OR(LEN(A731)=0,LEN(C731)=0),0,IF(OR(C731&lt;1,C731&gt;5),1,0))</f>
        <v/>
      </c>
      <c r="AE731" s="19">
        <f>IF(OR(LEN(A731)=0,LEN(R731)=0),0,IF(OR(R731="Active",R731="Paid off",R731="Defaulted",R731="Repossessed",R731="Written off",R731="Restructured"),0,1))</f>
        <v/>
      </c>
      <c r="AF731" s="19">
        <f>IF(A731="",0,IF(N(J731)&gt;N(I731),1,0))</f>
        <v/>
      </c>
      <c r="AG731" s="19">
        <f>IF(A731="",0,IF(N(N731)&gt;N(M731)+1,1,0))</f>
        <v/>
      </c>
      <c r="AH731" s="19">
        <f>IF(A731="",0,IF(N(E731)&gt;N(B731),1,0))</f>
        <v/>
      </c>
      <c r="AI731" s="19">
        <f>IF(A731="",0,IF(AND(Z731="Full payment",N(N731)&lt;N(M731)-1),1,0))</f>
        <v/>
      </c>
      <c r="AJ731" s="19">
        <f>IF(A731="",0,IF(N(P731)&lt;0,1,0))</f>
        <v/>
      </c>
      <c r="AK731" s="19">
        <f>IF(A731="",0,IF(COUNTIF($A$7:$A$1006,A731)&gt;1,1,0))</f>
        <v/>
      </c>
    </row>
    <row r="732">
      <c r="A732" s="10" t="n"/>
      <c r="B732" s="17" t="n"/>
      <c r="C732" s="18" t="n"/>
      <c r="D732" s="10" t="n"/>
      <c r="E732" s="17" t="n"/>
      <c r="F732" s="10" t="n"/>
      <c r="G732" s="10" t="n"/>
      <c r="H732" s="10" t="n"/>
      <c r="I732" s="18" t="n"/>
      <c r="J732" s="18" t="n"/>
      <c r="K732" s="18" t="n"/>
      <c r="L732" s="18" t="n"/>
      <c r="M732" s="19">
        <f>IF(K732="","",K732*365/12*L732)</f>
        <v/>
      </c>
      <c r="N732" s="18" t="n"/>
      <c r="O732" s="18" t="n"/>
      <c r="P732" s="18" t="n"/>
      <c r="Q732" s="18" t="n"/>
      <c r="R732" s="10" t="n"/>
      <c r="S732" s="17" t="n"/>
      <c r="T732" s="18" t="n"/>
      <c r="U732" s="17" t="n"/>
      <c r="V732" s="17" t="n"/>
      <c r="W732" s="18" t="n"/>
      <c r="X732" s="18" t="n"/>
      <c r="Y732" s="17" t="n"/>
      <c r="Z732" s="10" t="n"/>
      <c r="AA732" s="10" t="n"/>
      <c r="AB732" s="19">
        <f>IF(LEN(A732)&gt;0,1,0)</f>
        <v/>
      </c>
      <c r="AC732" s="19">
        <f>IF(LEN(A732)=0,0,(LEN(B732)=0)+(LEN(C732)=0)+(LEN(D732)=0)+(LEN(E732)=0)+(LEN(F732)=0)+(LEN(G732)=0)+(LEN(H732)=0)+(LEN(I732)=0)+(LEN(J732)=0)+(LEN(K732)=0)+(LEN(L732)=0)+(LEN(N732)=0)+(LEN(O732)=0)+(LEN(P732)=0)+(LEN(R732)=0)+(LEN(AA732)=0))</f>
        <v/>
      </c>
      <c r="AD732" s="19">
        <f>IF(OR(LEN(A732)=0,LEN(C732)=0),0,IF(OR(C732&lt;1,C732&gt;5),1,0))</f>
        <v/>
      </c>
      <c r="AE732" s="19">
        <f>IF(OR(LEN(A732)=0,LEN(R732)=0),0,IF(OR(R732="Active",R732="Paid off",R732="Defaulted",R732="Repossessed",R732="Written off",R732="Restructured"),0,1))</f>
        <v/>
      </c>
      <c r="AF732" s="19">
        <f>IF(A732="",0,IF(N(J732)&gt;N(I732),1,0))</f>
        <v/>
      </c>
      <c r="AG732" s="19">
        <f>IF(A732="",0,IF(N(N732)&gt;N(M732)+1,1,0))</f>
        <v/>
      </c>
      <c r="AH732" s="19">
        <f>IF(A732="",0,IF(N(E732)&gt;N(B732),1,0))</f>
        <v/>
      </c>
      <c r="AI732" s="19">
        <f>IF(A732="",0,IF(AND(Z732="Full payment",N(N732)&lt;N(M732)-1),1,0))</f>
        <v/>
      </c>
      <c r="AJ732" s="19">
        <f>IF(A732="",0,IF(N(P732)&lt;0,1,0))</f>
        <v/>
      </c>
      <c r="AK732" s="19">
        <f>IF(A732="",0,IF(COUNTIF($A$7:$A$1006,A732)&gt;1,1,0))</f>
        <v/>
      </c>
    </row>
    <row r="733">
      <c r="A733" s="10" t="n"/>
      <c r="B733" s="17" t="n"/>
      <c r="C733" s="18" t="n"/>
      <c r="D733" s="10" t="n"/>
      <c r="E733" s="17" t="n"/>
      <c r="F733" s="10" t="n"/>
      <c r="G733" s="10" t="n"/>
      <c r="H733" s="10" t="n"/>
      <c r="I733" s="18" t="n"/>
      <c r="J733" s="18" t="n"/>
      <c r="K733" s="18" t="n"/>
      <c r="L733" s="18" t="n"/>
      <c r="M733" s="19">
        <f>IF(K733="","",K733*365/12*L733)</f>
        <v/>
      </c>
      <c r="N733" s="18" t="n"/>
      <c r="O733" s="18" t="n"/>
      <c r="P733" s="18" t="n"/>
      <c r="Q733" s="18" t="n"/>
      <c r="R733" s="10" t="n"/>
      <c r="S733" s="17" t="n"/>
      <c r="T733" s="18" t="n"/>
      <c r="U733" s="17" t="n"/>
      <c r="V733" s="17" t="n"/>
      <c r="W733" s="18" t="n"/>
      <c r="X733" s="18" t="n"/>
      <c r="Y733" s="17" t="n"/>
      <c r="Z733" s="10" t="n"/>
      <c r="AA733" s="10" t="n"/>
      <c r="AB733" s="19">
        <f>IF(LEN(A733)&gt;0,1,0)</f>
        <v/>
      </c>
      <c r="AC733" s="19">
        <f>IF(LEN(A733)=0,0,(LEN(B733)=0)+(LEN(C733)=0)+(LEN(D733)=0)+(LEN(E733)=0)+(LEN(F733)=0)+(LEN(G733)=0)+(LEN(H733)=0)+(LEN(I733)=0)+(LEN(J733)=0)+(LEN(K733)=0)+(LEN(L733)=0)+(LEN(N733)=0)+(LEN(O733)=0)+(LEN(P733)=0)+(LEN(R733)=0)+(LEN(AA733)=0))</f>
        <v/>
      </c>
      <c r="AD733" s="19">
        <f>IF(OR(LEN(A733)=0,LEN(C733)=0),0,IF(OR(C733&lt;1,C733&gt;5),1,0))</f>
        <v/>
      </c>
      <c r="AE733" s="19">
        <f>IF(OR(LEN(A733)=0,LEN(R733)=0),0,IF(OR(R733="Active",R733="Paid off",R733="Defaulted",R733="Repossessed",R733="Written off",R733="Restructured"),0,1))</f>
        <v/>
      </c>
      <c r="AF733" s="19">
        <f>IF(A733="",0,IF(N(J733)&gt;N(I733),1,0))</f>
        <v/>
      </c>
      <c r="AG733" s="19">
        <f>IF(A733="",0,IF(N(N733)&gt;N(M733)+1,1,0))</f>
        <v/>
      </c>
      <c r="AH733" s="19">
        <f>IF(A733="",0,IF(N(E733)&gt;N(B733),1,0))</f>
        <v/>
      </c>
      <c r="AI733" s="19">
        <f>IF(A733="",0,IF(AND(Z733="Full payment",N(N733)&lt;N(M733)-1),1,0))</f>
        <v/>
      </c>
      <c r="AJ733" s="19">
        <f>IF(A733="",0,IF(N(P733)&lt;0,1,0))</f>
        <v/>
      </c>
      <c r="AK733" s="19">
        <f>IF(A733="",0,IF(COUNTIF($A$7:$A$1006,A733)&gt;1,1,0))</f>
        <v/>
      </c>
    </row>
    <row r="734">
      <c r="A734" s="10" t="n"/>
      <c r="B734" s="17" t="n"/>
      <c r="C734" s="18" t="n"/>
      <c r="D734" s="10" t="n"/>
      <c r="E734" s="17" t="n"/>
      <c r="F734" s="10" t="n"/>
      <c r="G734" s="10" t="n"/>
      <c r="H734" s="10" t="n"/>
      <c r="I734" s="18" t="n"/>
      <c r="J734" s="18" t="n"/>
      <c r="K734" s="18" t="n"/>
      <c r="L734" s="18" t="n"/>
      <c r="M734" s="19">
        <f>IF(K734="","",K734*365/12*L734)</f>
        <v/>
      </c>
      <c r="N734" s="18" t="n"/>
      <c r="O734" s="18" t="n"/>
      <c r="P734" s="18" t="n"/>
      <c r="Q734" s="18" t="n"/>
      <c r="R734" s="10" t="n"/>
      <c r="S734" s="17" t="n"/>
      <c r="T734" s="18" t="n"/>
      <c r="U734" s="17" t="n"/>
      <c r="V734" s="17" t="n"/>
      <c r="W734" s="18" t="n"/>
      <c r="X734" s="18" t="n"/>
      <c r="Y734" s="17" t="n"/>
      <c r="Z734" s="10" t="n"/>
      <c r="AA734" s="10" t="n"/>
      <c r="AB734" s="19">
        <f>IF(LEN(A734)&gt;0,1,0)</f>
        <v/>
      </c>
      <c r="AC734" s="19">
        <f>IF(LEN(A734)=0,0,(LEN(B734)=0)+(LEN(C734)=0)+(LEN(D734)=0)+(LEN(E734)=0)+(LEN(F734)=0)+(LEN(G734)=0)+(LEN(H734)=0)+(LEN(I734)=0)+(LEN(J734)=0)+(LEN(K734)=0)+(LEN(L734)=0)+(LEN(N734)=0)+(LEN(O734)=0)+(LEN(P734)=0)+(LEN(R734)=0)+(LEN(AA734)=0))</f>
        <v/>
      </c>
      <c r="AD734" s="19">
        <f>IF(OR(LEN(A734)=0,LEN(C734)=0),0,IF(OR(C734&lt;1,C734&gt;5),1,0))</f>
        <v/>
      </c>
      <c r="AE734" s="19">
        <f>IF(OR(LEN(A734)=0,LEN(R734)=0),0,IF(OR(R734="Active",R734="Paid off",R734="Defaulted",R734="Repossessed",R734="Written off",R734="Restructured"),0,1))</f>
        <v/>
      </c>
      <c r="AF734" s="19">
        <f>IF(A734="",0,IF(N(J734)&gt;N(I734),1,0))</f>
        <v/>
      </c>
      <c r="AG734" s="19">
        <f>IF(A734="",0,IF(N(N734)&gt;N(M734)+1,1,0))</f>
        <v/>
      </c>
      <c r="AH734" s="19">
        <f>IF(A734="",0,IF(N(E734)&gt;N(B734),1,0))</f>
        <v/>
      </c>
      <c r="AI734" s="19">
        <f>IF(A734="",0,IF(AND(Z734="Full payment",N(N734)&lt;N(M734)-1),1,0))</f>
        <v/>
      </c>
      <c r="AJ734" s="19">
        <f>IF(A734="",0,IF(N(P734)&lt;0,1,0))</f>
        <v/>
      </c>
      <c r="AK734" s="19">
        <f>IF(A734="",0,IF(COUNTIF($A$7:$A$1006,A734)&gt;1,1,0))</f>
        <v/>
      </c>
    </row>
    <row r="735">
      <c r="A735" s="10" t="n"/>
      <c r="B735" s="17" t="n"/>
      <c r="C735" s="18" t="n"/>
      <c r="D735" s="10" t="n"/>
      <c r="E735" s="17" t="n"/>
      <c r="F735" s="10" t="n"/>
      <c r="G735" s="10" t="n"/>
      <c r="H735" s="10" t="n"/>
      <c r="I735" s="18" t="n"/>
      <c r="J735" s="18" t="n"/>
      <c r="K735" s="18" t="n"/>
      <c r="L735" s="18" t="n"/>
      <c r="M735" s="19">
        <f>IF(K735="","",K735*365/12*L735)</f>
        <v/>
      </c>
      <c r="N735" s="18" t="n"/>
      <c r="O735" s="18" t="n"/>
      <c r="P735" s="18" t="n"/>
      <c r="Q735" s="18" t="n"/>
      <c r="R735" s="10" t="n"/>
      <c r="S735" s="17" t="n"/>
      <c r="T735" s="18" t="n"/>
      <c r="U735" s="17" t="n"/>
      <c r="V735" s="17" t="n"/>
      <c r="W735" s="18" t="n"/>
      <c r="X735" s="18" t="n"/>
      <c r="Y735" s="17" t="n"/>
      <c r="Z735" s="10" t="n"/>
      <c r="AA735" s="10" t="n"/>
      <c r="AB735" s="19">
        <f>IF(LEN(A735)&gt;0,1,0)</f>
        <v/>
      </c>
      <c r="AC735" s="19">
        <f>IF(LEN(A735)=0,0,(LEN(B735)=0)+(LEN(C735)=0)+(LEN(D735)=0)+(LEN(E735)=0)+(LEN(F735)=0)+(LEN(G735)=0)+(LEN(H735)=0)+(LEN(I735)=0)+(LEN(J735)=0)+(LEN(K735)=0)+(LEN(L735)=0)+(LEN(N735)=0)+(LEN(O735)=0)+(LEN(P735)=0)+(LEN(R735)=0)+(LEN(AA735)=0))</f>
        <v/>
      </c>
      <c r="AD735" s="19">
        <f>IF(OR(LEN(A735)=0,LEN(C735)=0),0,IF(OR(C735&lt;1,C735&gt;5),1,0))</f>
        <v/>
      </c>
      <c r="AE735" s="19">
        <f>IF(OR(LEN(A735)=0,LEN(R735)=0),0,IF(OR(R735="Active",R735="Paid off",R735="Defaulted",R735="Repossessed",R735="Written off",R735="Restructured"),0,1))</f>
        <v/>
      </c>
      <c r="AF735" s="19">
        <f>IF(A735="",0,IF(N(J735)&gt;N(I735),1,0))</f>
        <v/>
      </c>
      <c r="AG735" s="19">
        <f>IF(A735="",0,IF(N(N735)&gt;N(M735)+1,1,0))</f>
        <v/>
      </c>
      <c r="AH735" s="19">
        <f>IF(A735="",0,IF(N(E735)&gt;N(B735),1,0))</f>
        <v/>
      </c>
      <c r="AI735" s="19">
        <f>IF(A735="",0,IF(AND(Z735="Full payment",N(N735)&lt;N(M735)-1),1,0))</f>
        <v/>
      </c>
      <c r="AJ735" s="19">
        <f>IF(A735="",0,IF(N(P735)&lt;0,1,0))</f>
        <v/>
      </c>
      <c r="AK735" s="19">
        <f>IF(A735="",0,IF(COUNTIF($A$7:$A$1006,A735)&gt;1,1,0))</f>
        <v/>
      </c>
    </row>
    <row r="736">
      <c r="A736" s="10" t="n"/>
      <c r="B736" s="17" t="n"/>
      <c r="C736" s="18" t="n"/>
      <c r="D736" s="10" t="n"/>
      <c r="E736" s="17" t="n"/>
      <c r="F736" s="10" t="n"/>
      <c r="G736" s="10" t="n"/>
      <c r="H736" s="10" t="n"/>
      <c r="I736" s="18" t="n"/>
      <c r="J736" s="18" t="n"/>
      <c r="K736" s="18" t="n"/>
      <c r="L736" s="18" t="n"/>
      <c r="M736" s="19">
        <f>IF(K736="","",K736*365/12*L736)</f>
        <v/>
      </c>
      <c r="N736" s="18" t="n"/>
      <c r="O736" s="18" t="n"/>
      <c r="P736" s="18" t="n"/>
      <c r="Q736" s="18" t="n"/>
      <c r="R736" s="10" t="n"/>
      <c r="S736" s="17" t="n"/>
      <c r="T736" s="18" t="n"/>
      <c r="U736" s="17" t="n"/>
      <c r="V736" s="17" t="n"/>
      <c r="W736" s="18" t="n"/>
      <c r="X736" s="18" t="n"/>
      <c r="Y736" s="17" t="n"/>
      <c r="Z736" s="10" t="n"/>
      <c r="AA736" s="10" t="n"/>
      <c r="AB736" s="19">
        <f>IF(LEN(A736)&gt;0,1,0)</f>
        <v/>
      </c>
      <c r="AC736" s="19">
        <f>IF(LEN(A736)=0,0,(LEN(B736)=0)+(LEN(C736)=0)+(LEN(D736)=0)+(LEN(E736)=0)+(LEN(F736)=0)+(LEN(G736)=0)+(LEN(H736)=0)+(LEN(I736)=0)+(LEN(J736)=0)+(LEN(K736)=0)+(LEN(L736)=0)+(LEN(N736)=0)+(LEN(O736)=0)+(LEN(P736)=0)+(LEN(R736)=0)+(LEN(AA736)=0))</f>
        <v/>
      </c>
      <c r="AD736" s="19">
        <f>IF(OR(LEN(A736)=0,LEN(C736)=0),0,IF(OR(C736&lt;1,C736&gt;5),1,0))</f>
        <v/>
      </c>
      <c r="AE736" s="19">
        <f>IF(OR(LEN(A736)=0,LEN(R736)=0),0,IF(OR(R736="Active",R736="Paid off",R736="Defaulted",R736="Repossessed",R736="Written off",R736="Restructured"),0,1))</f>
        <v/>
      </c>
      <c r="AF736" s="19">
        <f>IF(A736="",0,IF(N(J736)&gt;N(I736),1,0))</f>
        <v/>
      </c>
      <c r="AG736" s="19">
        <f>IF(A736="",0,IF(N(N736)&gt;N(M736)+1,1,0))</f>
        <v/>
      </c>
      <c r="AH736" s="19">
        <f>IF(A736="",0,IF(N(E736)&gt;N(B736),1,0))</f>
        <v/>
      </c>
      <c r="AI736" s="19">
        <f>IF(A736="",0,IF(AND(Z736="Full payment",N(N736)&lt;N(M736)-1),1,0))</f>
        <v/>
      </c>
      <c r="AJ736" s="19">
        <f>IF(A736="",0,IF(N(P736)&lt;0,1,0))</f>
        <v/>
      </c>
      <c r="AK736" s="19">
        <f>IF(A736="",0,IF(COUNTIF($A$7:$A$1006,A736)&gt;1,1,0))</f>
        <v/>
      </c>
    </row>
    <row r="737">
      <c r="A737" s="10" t="n"/>
      <c r="B737" s="17" t="n"/>
      <c r="C737" s="18" t="n"/>
      <c r="D737" s="10" t="n"/>
      <c r="E737" s="17" t="n"/>
      <c r="F737" s="10" t="n"/>
      <c r="G737" s="10" t="n"/>
      <c r="H737" s="10" t="n"/>
      <c r="I737" s="18" t="n"/>
      <c r="J737" s="18" t="n"/>
      <c r="K737" s="18" t="n"/>
      <c r="L737" s="18" t="n"/>
      <c r="M737" s="19">
        <f>IF(K737="","",K737*365/12*L737)</f>
        <v/>
      </c>
      <c r="N737" s="18" t="n"/>
      <c r="O737" s="18" t="n"/>
      <c r="P737" s="18" t="n"/>
      <c r="Q737" s="18" t="n"/>
      <c r="R737" s="10" t="n"/>
      <c r="S737" s="17" t="n"/>
      <c r="T737" s="18" t="n"/>
      <c r="U737" s="17" t="n"/>
      <c r="V737" s="17" t="n"/>
      <c r="W737" s="18" t="n"/>
      <c r="X737" s="18" t="n"/>
      <c r="Y737" s="17" t="n"/>
      <c r="Z737" s="10" t="n"/>
      <c r="AA737" s="10" t="n"/>
      <c r="AB737" s="19">
        <f>IF(LEN(A737)&gt;0,1,0)</f>
        <v/>
      </c>
      <c r="AC737" s="19">
        <f>IF(LEN(A737)=0,0,(LEN(B737)=0)+(LEN(C737)=0)+(LEN(D737)=0)+(LEN(E737)=0)+(LEN(F737)=0)+(LEN(G737)=0)+(LEN(H737)=0)+(LEN(I737)=0)+(LEN(J737)=0)+(LEN(K737)=0)+(LEN(L737)=0)+(LEN(N737)=0)+(LEN(O737)=0)+(LEN(P737)=0)+(LEN(R737)=0)+(LEN(AA737)=0))</f>
        <v/>
      </c>
      <c r="AD737" s="19">
        <f>IF(OR(LEN(A737)=0,LEN(C737)=0),0,IF(OR(C737&lt;1,C737&gt;5),1,0))</f>
        <v/>
      </c>
      <c r="AE737" s="19">
        <f>IF(OR(LEN(A737)=0,LEN(R737)=0),0,IF(OR(R737="Active",R737="Paid off",R737="Defaulted",R737="Repossessed",R737="Written off",R737="Restructured"),0,1))</f>
        <v/>
      </c>
      <c r="AF737" s="19">
        <f>IF(A737="",0,IF(N(J737)&gt;N(I737),1,0))</f>
        <v/>
      </c>
      <c r="AG737" s="19">
        <f>IF(A737="",0,IF(N(N737)&gt;N(M737)+1,1,0))</f>
        <v/>
      </c>
      <c r="AH737" s="19">
        <f>IF(A737="",0,IF(N(E737)&gt;N(B737),1,0))</f>
        <v/>
      </c>
      <c r="AI737" s="19">
        <f>IF(A737="",0,IF(AND(Z737="Full payment",N(N737)&lt;N(M737)-1),1,0))</f>
        <v/>
      </c>
      <c r="AJ737" s="19">
        <f>IF(A737="",0,IF(N(P737)&lt;0,1,0))</f>
        <v/>
      </c>
      <c r="AK737" s="19">
        <f>IF(A737="",0,IF(COUNTIF($A$7:$A$1006,A737)&gt;1,1,0))</f>
        <v/>
      </c>
    </row>
    <row r="738">
      <c r="A738" s="10" t="n"/>
      <c r="B738" s="17" t="n"/>
      <c r="C738" s="18" t="n"/>
      <c r="D738" s="10" t="n"/>
      <c r="E738" s="17" t="n"/>
      <c r="F738" s="10" t="n"/>
      <c r="G738" s="10" t="n"/>
      <c r="H738" s="10" t="n"/>
      <c r="I738" s="18" t="n"/>
      <c r="J738" s="18" t="n"/>
      <c r="K738" s="18" t="n"/>
      <c r="L738" s="18" t="n"/>
      <c r="M738" s="19">
        <f>IF(K738="","",K738*365/12*L738)</f>
        <v/>
      </c>
      <c r="N738" s="18" t="n"/>
      <c r="O738" s="18" t="n"/>
      <c r="P738" s="18" t="n"/>
      <c r="Q738" s="18" t="n"/>
      <c r="R738" s="10" t="n"/>
      <c r="S738" s="17" t="n"/>
      <c r="T738" s="18" t="n"/>
      <c r="U738" s="17" t="n"/>
      <c r="V738" s="17" t="n"/>
      <c r="W738" s="18" t="n"/>
      <c r="X738" s="18" t="n"/>
      <c r="Y738" s="17" t="n"/>
      <c r="Z738" s="10" t="n"/>
      <c r="AA738" s="10" t="n"/>
      <c r="AB738" s="19">
        <f>IF(LEN(A738)&gt;0,1,0)</f>
        <v/>
      </c>
      <c r="AC738" s="19">
        <f>IF(LEN(A738)=0,0,(LEN(B738)=0)+(LEN(C738)=0)+(LEN(D738)=0)+(LEN(E738)=0)+(LEN(F738)=0)+(LEN(G738)=0)+(LEN(H738)=0)+(LEN(I738)=0)+(LEN(J738)=0)+(LEN(K738)=0)+(LEN(L738)=0)+(LEN(N738)=0)+(LEN(O738)=0)+(LEN(P738)=0)+(LEN(R738)=0)+(LEN(AA738)=0))</f>
        <v/>
      </c>
      <c r="AD738" s="19">
        <f>IF(OR(LEN(A738)=0,LEN(C738)=0),0,IF(OR(C738&lt;1,C738&gt;5),1,0))</f>
        <v/>
      </c>
      <c r="AE738" s="19">
        <f>IF(OR(LEN(A738)=0,LEN(R738)=0),0,IF(OR(R738="Active",R738="Paid off",R738="Defaulted",R738="Repossessed",R738="Written off",R738="Restructured"),0,1))</f>
        <v/>
      </c>
      <c r="AF738" s="19">
        <f>IF(A738="",0,IF(N(J738)&gt;N(I738),1,0))</f>
        <v/>
      </c>
      <c r="AG738" s="19">
        <f>IF(A738="",0,IF(N(N738)&gt;N(M738)+1,1,0))</f>
        <v/>
      </c>
      <c r="AH738" s="19">
        <f>IF(A738="",0,IF(N(E738)&gt;N(B738),1,0))</f>
        <v/>
      </c>
      <c r="AI738" s="19">
        <f>IF(A738="",0,IF(AND(Z738="Full payment",N(N738)&lt;N(M738)-1),1,0))</f>
        <v/>
      </c>
      <c r="AJ738" s="19">
        <f>IF(A738="",0,IF(N(P738)&lt;0,1,0))</f>
        <v/>
      </c>
      <c r="AK738" s="19">
        <f>IF(A738="",0,IF(COUNTIF($A$7:$A$1006,A738)&gt;1,1,0))</f>
        <v/>
      </c>
    </row>
    <row r="739">
      <c r="A739" s="10" t="n"/>
      <c r="B739" s="17" t="n"/>
      <c r="C739" s="18" t="n"/>
      <c r="D739" s="10" t="n"/>
      <c r="E739" s="17" t="n"/>
      <c r="F739" s="10" t="n"/>
      <c r="G739" s="10" t="n"/>
      <c r="H739" s="10" t="n"/>
      <c r="I739" s="18" t="n"/>
      <c r="J739" s="18" t="n"/>
      <c r="K739" s="18" t="n"/>
      <c r="L739" s="18" t="n"/>
      <c r="M739" s="19">
        <f>IF(K739="","",K739*365/12*L739)</f>
        <v/>
      </c>
      <c r="N739" s="18" t="n"/>
      <c r="O739" s="18" t="n"/>
      <c r="P739" s="18" t="n"/>
      <c r="Q739" s="18" t="n"/>
      <c r="R739" s="10" t="n"/>
      <c r="S739" s="17" t="n"/>
      <c r="T739" s="18" t="n"/>
      <c r="U739" s="17" t="n"/>
      <c r="V739" s="17" t="n"/>
      <c r="W739" s="18" t="n"/>
      <c r="X739" s="18" t="n"/>
      <c r="Y739" s="17" t="n"/>
      <c r="Z739" s="10" t="n"/>
      <c r="AA739" s="10" t="n"/>
      <c r="AB739" s="19">
        <f>IF(LEN(A739)&gt;0,1,0)</f>
        <v/>
      </c>
      <c r="AC739" s="19">
        <f>IF(LEN(A739)=0,0,(LEN(B739)=0)+(LEN(C739)=0)+(LEN(D739)=0)+(LEN(E739)=0)+(LEN(F739)=0)+(LEN(G739)=0)+(LEN(H739)=0)+(LEN(I739)=0)+(LEN(J739)=0)+(LEN(K739)=0)+(LEN(L739)=0)+(LEN(N739)=0)+(LEN(O739)=0)+(LEN(P739)=0)+(LEN(R739)=0)+(LEN(AA739)=0))</f>
        <v/>
      </c>
      <c r="AD739" s="19">
        <f>IF(OR(LEN(A739)=0,LEN(C739)=0),0,IF(OR(C739&lt;1,C739&gt;5),1,0))</f>
        <v/>
      </c>
      <c r="AE739" s="19">
        <f>IF(OR(LEN(A739)=0,LEN(R739)=0),0,IF(OR(R739="Active",R739="Paid off",R739="Defaulted",R739="Repossessed",R739="Written off",R739="Restructured"),0,1))</f>
        <v/>
      </c>
      <c r="AF739" s="19">
        <f>IF(A739="",0,IF(N(J739)&gt;N(I739),1,0))</f>
        <v/>
      </c>
      <c r="AG739" s="19">
        <f>IF(A739="",0,IF(N(N739)&gt;N(M739)+1,1,0))</f>
        <v/>
      </c>
      <c r="AH739" s="19">
        <f>IF(A739="",0,IF(N(E739)&gt;N(B739),1,0))</f>
        <v/>
      </c>
      <c r="AI739" s="19">
        <f>IF(A739="",0,IF(AND(Z739="Full payment",N(N739)&lt;N(M739)-1),1,0))</f>
        <v/>
      </c>
      <c r="AJ739" s="19">
        <f>IF(A739="",0,IF(N(P739)&lt;0,1,0))</f>
        <v/>
      </c>
      <c r="AK739" s="19">
        <f>IF(A739="",0,IF(COUNTIF($A$7:$A$1006,A739)&gt;1,1,0))</f>
        <v/>
      </c>
    </row>
    <row r="740">
      <c r="A740" s="10" t="n"/>
      <c r="B740" s="17" t="n"/>
      <c r="C740" s="18" t="n"/>
      <c r="D740" s="10" t="n"/>
      <c r="E740" s="17" t="n"/>
      <c r="F740" s="10" t="n"/>
      <c r="G740" s="10" t="n"/>
      <c r="H740" s="10" t="n"/>
      <c r="I740" s="18" t="n"/>
      <c r="J740" s="18" t="n"/>
      <c r="K740" s="18" t="n"/>
      <c r="L740" s="18" t="n"/>
      <c r="M740" s="19">
        <f>IF(K740="","",K740*365/12*L740)</f>
        <v/>
      </c>
      <c r="N740" s="18" t="n"/>
      <c r="O740" s="18" t="n"/>
      <c r="P740" s="18" t="n"/>
      <c r="Q740" s="18" t="n"/>
      <c r="R740" s="10" t="n"/>
      <c r="S740" s="17" t="n"/>
      <c r="T740" s="18" t="n"/>
      <c r="U740" s="17" t="n"/>
      <c r="V740" s="17" t="n"/>
      <c r="W740" s="18" t="n"/>
      <c r="X740" s="18" t="n"/>
      <c r="Y740" s="17" t="n"/>
      <c r="Z740" s="10" t="n"/>
      <c r="AA740" s="10" t="n"/>
      <c r="AB740" s="19">
        <f>IF(LEN(A740)&gt;0,1,0)</f>
        <v/>
      </c>
      <c r="AC740" s="19">
        <f>IF(LEN(A740)=0,0,(LEN(B740)=0)+(LEN(C740)=0)+(LEN(D740)=0)+(LEN(E740)=0)+(LEN(F740)=0)+(LEN(G740)=0)+(LEN(H740)=0)+(LEN(I740)=0)+(LEN(J740)=0)+(LEN(K740)=0)+(LEN(L740)=0)+(LEN(N740)=0)+(LEN(O740)=0)+(LEN(P740)=0)+(LEN(R740)=0)+(LEN(AA740)=0))</f>
        <v/>
      </c>
      <c r="AD740" s="19">
        <f>IF(OR(LEN(A740)=0,LEN(C740)=0),0,IF(OR(C740&lt;1,C740&gt;5),1,0))</f>
        <v/>
      </c>
      <c r="AE740" s="19">
        <f>IF(OR(LEN(A740)=0,LEN(R740)=0),0,IF(OR(R740="Active",R740="Paid off",R740="Defaulted",R740="Repossessed",R740="Written off",R740="Restructured"),0,1))</f>
        <v/>
      </c>
      <c r="AF740" s="19">
        <f>IF(A740="",0,IF(N(J740)&gt;N(I740),1,0))</f>
        <v/>
      </c>
      <c r="AG740" s="19">
        <f>IF(A740="",0,IF(N(N740)&gt;N(M740)+1,1,0))</f>
        <v/>
      </c>
      <c r="AH740" s="19">
        <f>IF(A740="",0,IF(N(E740)&gt;N(B740),1,0))</f>
        <v/>
      </c>
      <c r="AI740" s="19">
        <f>IF(A740="",0,IF(AND(Z740="Full payment",N(N740)&lt;N(M740)-1),1,0))</f>
        <v/>
      </c>
      <c r="AJ740" s="19">
        <f>IF(A740="",0,IF(N(P740)&lt;0,1,0))</f>
        <v/>
      </c>
      <c r="AK740" s="19">
        <f>IF(A740="",0,IF(COUNTIF($A$7:$A$1006,A740)&gt;1,1,0))</f>
        <v/>
      </c>
    </row>
    <row r="741">
      <c r="A741" s="10" t="n"/>
      <c r="B741" s="17" t="n"/>
      <c r="C741" s="18" t="n"/>
      <c r="D741" s="10" t="n"/>
      <c r="E741" s="17" t="n"/>
      <c r="F741" s="10" t="n"/>
      <c r="G741" s="10" t="n"/>
      <c r="H741" s="10" t="n"/>
      <c r="I741" s="18" t="n"/>
      <c r="J741" s="18" t="n"/>
      <c r="K741" s="18" t="n"/>
      <c r="L741" s="18" t="n"/>
      <c r="M741" s="19">
        <f>IF(K741="","",K741*365/12*L741)</f>
        <v/>
      </c>
      <c r="N741" s="18" t="n"/>
      <c r="O741" s="18" t="n"/>
      <c r="P741" s="18" t="n"/>
      <c r="Q741" s="18" t="n"/>
      <c r="R741" s="10" t="n"/>
      <c r="S741" s="17" t="n"/>
      <c r="T741" s="18" t="n"/>
      <c r="U741" s="17" t="n"/>
      <c r="V741" s="17" t="n"/>
      <c r="W741" s="18" t="n"/>
      <c r="X741" s="18" t="n"/>
      <c r="Y741" s="17" t="n"/>
      <c r="Z741" s="10" t="n"/>
      <c r="AA741" s="10" t="n"/>
      <c r="AB741" s="19">
        <f>IF(LEN(A741)&gt;0,1,0)</f>
        <v/>
      </c>
      <c r="AC741" s="19">
        <f>IF(LEN(A741)=0,0,(LEN(B741)=0)+(LEN(C741)=0)+(LEN(D741)=0)+(LEN(E741)=0)+(LEN(F741)=0)+(LEN(G741)=0)+(LEN(H741)=0)+(LEN(I741)=0)+(LEN(J741)=0)+(LEN(K741)=0)+(LEN(L741)=0)+(LEN(N741)=0)+(LEN(O741)=0)+(LEN(P741)=0)+(LEN(R741)=0)+(LEN(AA741)=0))</f>
        <v/>
      </c>
      <c r="AD741" s="19">
        <f>IF(OR(LEN(A741)=0,LEN(C741)=0),0,IF(OR(C741&lt;1,C741&gt;5),1,0))</f>
        <v/>
      </c>
      <c r="AE741" s="19">
        <f>IF(OR(LEN(A741)=0,LEN(R741)=0),0,IF(OR(R741="Active",R741="Paid off",R741="Defaulted",R741="Repossessed",R741="Written off",R741="Restructured"),0,1))</f>
        <v/>
      </c>
      <c r="AF741" s="19">
        <f>IF(A741="",0,IF(N(J741)&gt;N(I741),1,0))</f>
        <v/>
      </c>
      <c r="AG741" s="19">
        <f>IF(A741="",0,IF(N(N741)&gt;N(M741)+1,1,0))</f>
        <v/>
      </c>
      <c r="AH741" s="19">
        <f>IF(A741="",0,IF(N(E741)&gt;N(B741),1,0))</f>
        <v/>
      </c>
      <c r="AI741" s="19">
        <f>IF(A741="",0,IF(AND(Z741="Full payment",N(N741)&lt;N(M741)-1),1,0))</f>
        <v/>
      </c>
      <c r="AJ741" s="19">
        <f>IF(A741="",0,IF(N(P741)&lt;0,1,0))</f>
        <v/>
      </c>
      <c r="AK741" s="19">
        <f>IF(A741="",0,IF(COUNTIF($A$7:$A$1006,A741)&gt;1,1,0))</f>
        <v/>
      </c>
    </row>
    <row r="742">
      <c r="A742" s="10" t="n"/>
      <c r="B742" s="17" t="n"/>
      <c r="C742" s="18" t="n"/>
      <c r="D742" s="10" t="n"/>
      <c r="E742" s="17" t="n"/>
      <c r="F742" s="10" t="n"/>
      <c r="G742" s="10" t="n"/>
      <c r="H742" s="10" t="n"/>
      <c r="I742" s="18" t="n"/>
      <c r="J742" s="18" t="n"/>
      <c r="K742" s="18" t="n"/>
      <c r="L742" s="18" t="n"/>
      <c r="M742" s="19">
        <f>IF(K742="","",K742*365/12*L742)</f>
        <v/>
      </c>
      <c r="N742" s="18" t="n"/>
      <c r="O742" s="18" t="n"/>
      <c r="P742" s="18" t="n"/>
      <c r="Q742" s="18" t="n"/>
      <c r="R742" s="10" t="n"/>
      <c r="S742" s="17" t="n"/>
      <c r="T742" s="18" t="n"/>
      <c r="U742" s="17" t="n"/>
      <c r="V742" s="17" t="n"/>
      <c r="W742" s="18" t="n"/>
      <c r="X742" s="18" t="n"/>
      <c r="Y742" s="17" t="n"/>
      <c r="Z742" s="10" t="n"/>
      <c r="AA742" s="10" t="n"/>
      <c r="AB742" s="19">
        <f>IF(LEN(A742)&gt;0,1,0)</f>
        <v/>
      </c>
      <c r="AC742" s="19">
        <f>IF(LEN(A742)=0,0,(LEN(B742)=0)+(LEN(C742)=0)+(LEN(D742)=0)+(LEN(E742)=0)+(LEN(F742)=0)+(LEN(G742)=0)+(LEN(H742)=0)+(LEN(I742)=0)+(LEN(J742)=0)+(LEN(K742)=0)+(LEN(L742)=0)+(LEN(N742)=0)+(LEN(O742)=0)+(LEN(P742)=0)+(LEN(R742)=0)+(LEN(AA742)=0))</f>
        <v/>
      </c>
      <c r="AD742" s="19">
        <f>IF(OR(LEN(A742)=0,LEN(C742)=0),0,IF(OR(C742&lt;1,C742&gt;5),1,0))</f>
        <v/>
      </c>
      <c r="AE742" s="19">
        <f>IF(OR(LEN(A742)=0,LEN(R742)=0),0,IF(OR(R742="Active",R742="Paid off",R742="Defaulted",R742="Repossessed",R742="Written off",R742="Restructured"),0,1))</f>
        <v/>
      </c>
      <c r="AF742" s="19">
        <f>IF(A742="",0,IF(N(J742)&gt;N(I742),1,0))</f>
        <v/>
      </c>
      <c r="AG742" s="19">
        <f>IF(A742="",0,IF(N(N742)&gt;N(M742)+1,1,0))</f>
        <v/>
      </c>
      <c r="AH742" s="19">
        <f>IF(A742="",0,IF(N(E742)&gt;N(B742),1,0))</f>
        <v/>
      </c>
      <c r="AI742" s="19">
        <f>IF(A742="",0,IF(AND(Z742="Full payment",N(N742)&lt;N(M742)-1),1,0))</f>
        <v/>
      </c>
      <c r="AJ742" s="19">
        <f>IF(A742="",0,IF(N(P742)&lt;0,1,0))</f>
        <v/>
      </c>
      <c r="AK742" s="19">
        <f>IF(A742="",0,IF(COUNTIF($A$7:$A$1006,A742)&gt;1,1,0))</f>
        <v/>
      </c>
    </row>
    <row r="743">
      <c r="A743" s="10" t="n"/>
      <c r="B743" s="17" t="n"/>
      <c r="C743" s="18" t="n"/>
      <c r="D743" s="10" t="n"/>
      <c r="E743" s="17" t="n"/>
      <c r="F743" s="10" t="n"/>
      <c r="G743" s="10" t="n"/>
      <c r="H743" s="10" t="n"/>
      <c r="I743" s="18" t="n"/>
      <c r="J743" s="18" t="n"/>
      <c r="K743" s="18" t="n"/>
      <c r="L743" s="18" t="n"/>
      <c r="M743" s="19">
        <f>IF(K743="","",K743*365/12*L743)</f>
        <v/>
      </c>
      <c r="N743" s="18" t="n"/>
      <c r="O743" s="18" t="n"/>
      <c r="P743" s="18" t="n"/>
      <c r="Q743" s="18" t="n"/>
      <c r="R743" s="10" t="n"/>
      <c r="S743" s="17" t="n"/>
      <c r="T743" s="18" t="n"/>
      <c r="U743" s="17" t="n"/>
      <c r="V743" s="17" t="n"/>
      <c r="W743" s="18" t="n"/>
      <c r="X743" s="18" t="n"/>
      <c r="Y743" s="17" t="n"/>
      <c r="Z743" s="10" t="n"/>
      <c r="AA743" s="10" t="n"/>
      <c r="AB743" s="19">
        <f>IF(LEN(A743)&gt;0,1,0)</f>
        <v/>
      </c>
      <c r="AC743" s="19">
        <f>IF(LEN(A743)=0,0,(LEN(B743)=0)+(LEN(C743)=0)+(LEN(D743)=0)+(LEN(E743)=0)+(LEN(F743)=0)+(LEN(G743)=0)+(LEN(H743)=0)+(LEN(I743)=0)+(LEN(J743)=0)+(LEN(K743)=0)+(LEN(L743)=0)+(LEN(N743)=0)+(LEN(O743)=0)+(LEN(P743)=0)+(LEN(R743)=0)+(LEN(AA743)=0))</f>
        <v/>
      </c>
      <c r="AD743" s="19">
        <f>IF(OR(LEN(A743)=0,LEN(C743)=0),0,IF(OR(C743&lt;1,C743&gt;5),1,0))</f>
        <v/>
      </c>
      <c r="AE743" s="19">
        <f>IF(OR(LEN(A743)=0,LEN(R743)=0),0,IF(OR(R743="Active",R743="Paid off",R743="Defaulted",R743="Repossessed",R743="Written off",R743="Restructured"),0,1))</f>
        <v/>
      </c>
      <c r="AF743" s="19">
        <f>IF(A743="",0,IF(N(J743)&gt;N(I743),1,0))</f>
        <v/>
      </c>
      <c r="AG743" s="19">
        <f>IF(A743="",0,IF(N(N743)&gt;N(M743)+1,1,0))</f>
        <v/>
      </c>
      <c r="AH743" s="19">
        <f>IF(A743="",0,IF(N(E743)&gt;N(B743),1,0))</f>
        <v/>
      </c>
      <c r="AI743" s="19">
        <f>IF(A743="",0,IF(AND(Z743="Full payment",N(N743)&lt;N(M743)-1),1,0))</f>
        <v/>
      </c>
      <c r="AJ743" s="19">
        <f>IF(A743="",0,IF(N(P743)&lt;0,1,0))</f>
        <v/>
      </c>
      <c r="AK743" s="19">
        <f>IF(A743="",0,IF(COUNTIF($A$7:$A$1006,A743)&gt;1,1,0))</f>
        <v/>
      </c>
    </row>
    <row r="744">
      <c r="A744" s="10" t="n"/>
      <c r="B744" s="17" t="n"/>
      <c r="C744" s="18" t="n"/>
      <c r="D744" s="10" t="n"/>
      <c r="E744" s="17" t="n"/>
      <c r="F744" s="10" t="n"/>
      <c r="G744" s="10" t="n"/>
      <c r="H744" s="10" t="n"/>
      <c r="I744" s="18" t="n"/>
      <c r="J744" s="18" t="n"/>
      <c r="K744" s="18" t="n"/>
      <c r="L744" s="18" t="n"/>
      <c r="M744" s="19">
        <f>IF(K744="","",K744*365/12*L744)</f>
        <v/>
      </c>
      <c r="N744" s="18" t="n"/>
      <c r="O744" s="18" t="n"/>
      <c r="P744" s="18" t="n"/>
      <c r="Q744" s="18" t="n"/>
      <c r="R744" s="10" t="n"/>
      <c r="S744" s="17" t="n"/>
      <c r="T744" s="18" t="n"/>
      <c r="U744" s="17" t="n"/>
      <c r="V744" s="17" t="n"/>
      <c r="W744" s="18" t="n"/>
      <c r="X744" s="18" t="n"/>
      <c r="Y744" s="17" t="n"/>
      <c r="Z744" s="10" t="n"/>
      <c r="AA744" s="10" t="n"/>
      <c r="AB744" s="19">
        <f>IF(LEN(A744)&gt;0,1,0)</f>
        <v/>
      </c>
      <c r="AC744" s="19">
        <f>IF(LEN(A744)=0,0,(LEN(B744)=0)+(LEN(C744)=0)+(LEN(D744)=0)+(LEN(E744)=0)+(LEN(F744)=0)+(LEN(G744)=0)+(LEN(H744)=0)+(LEN(I744)=0)+(LEN(J744)=0)+(LEN(K744)=0)+(LEN(L744)=0)+(LEN(N744)=0)+(LEN(O744)=0)+(LEN(P744)=0)+(LEN(R744)=0)+(LEN(AA744)=0))</f>
        <v/>
      </c>
      <c r="AD744" s="19">
        <f>IF(OR(LEN(A744)=0,LEN(C744)=0),0,IF(OR(C744&lt;1,C744&gt;5),1,0))</f>
        <v/>
      </c>
      <c r="AE744" s="19">
        <f>IF(OR(LEN(A744)=0,LEN(R744)=0),0,IF(OR(R744="Active",R744="Paid off",R744="Defaulted",R744="Repossessed",R744="Written off",R744="Restructured"),0,1))</f>
        <v/>
      </c>
      <c r="AF744" s="19">
        <f>IF(A744="",0,IF(N(J744)&gt;N(I744),1,0))</f>
        <v/>
      </c>
      <c r="AG744" s="19">
        <f>IF(A744="",0,IF(N(N744)&gt;N(M744)+1,1,0))</f>
        <v/>
      </c>
      <c r="AH744" s="19">
        <f>IF(A744="",0,IF(N(E744)&gt;N(B744),1,0))</f>
        <v/>
      </c>
      <c r="AI744" s="19">
        <f>IF(A744="",0,IF(AND(Z744="Full payment",N(N744)&lt;N(M744)-1),1,0))</f>
        <v/>
      </c>
      <c r="AJ744" s="19">
        <f>IF(A744="",0,IF(N(P744)&lt;0,1,0))</f>
        <v/>
      </c>
      <c r="AK744" s="19">
        <f>IF(A744="",0,IF(COUNTIF($A$7:$A$1006,A744)&gt;1,1,0))</f>
        <v/>
      </c>
    </row>
    <row r="745">
      <c r="A745" s="10" t="n"/>
      <c r="B745" s="17" t="n"/>
      <c r="C745" s="18" t="n"/>
      <c r="D745" s="10" t="n"/>
      <c r="E745" s="17" t="n"/>
      <c r="F745" s="10" t="n"/>
      <c r="G745" s="10" t="n"/>
      <c r="H745" s="10" t="n"/>
      <c r="I745" s="18" t="n"/>
      <c r="J745" s="18" t="n"/>
      <c r="K745" s="18" t="n"/>
      <c r="L745" s="18" t="n"/>
      <c r="M745" s="19">
        <f>IF(K745="","",K745*365/12*L745)</f>
        <v/>
      </c>
      <c r="N745" s="18" t="n"/>
      <c r="O745" s="18" t="n"/>
      <c r="P745" s="18" t="n"/>
      <c r="Q745" s="18" t="n"/>
      <c r="R745" s="10" t="n"/>
      <c r="S745" s="17" t="n"/>
      <c r="T745" s="18" t="n"/>
      <c r="U745" s="17" t="n"/>
      <c r="V745" s="17" t="n"/>
      <c r="W745" s="18" t="n"/>
      <c r="X745" s="18" t="n"/>
      <c r="Y745" s="17" t="n"/>
      <c r="Z745" s="10" t="n"/>
      <c r="AA745" s="10" t="n"/>
      <c r="AB745" s="19">
        <f>IF(LEN(A745)&gt;0,1,0)</f>
        <v/>
      </c>
      <c r="AC745" s="19">
        <f>IF(LEN(A745)=0,0,(LEN(B745)=0)+(LEN(C745)=0)+(LEN(D745)=0)+(LEN(E745)=0)+(LEN(F745)=0)+(LEN(G745)=0)+(LEN(H745)=0)+(LEN(I745)=0)+(LEN(J745)=0)+(LEN(K745)=0)+(LEN(L745)=0)+(LEN(N745)=0)+(LEN(O745)=0)+(LEN(P745)=0)+(LEN(R745)=0)+(LEN(AA745)=0))</f>
        <v/>
      </c>
      <c r="AD745" s="19">
        <f>IF(OR(LEN(A745)=0,LEN(C745)=0),0,IF(OR(C745&lt;1,C745&gt;5),1,0))</f>
        <v/>
      </c>
      <c r="AE745" s="19">
        <f>IF(OR(LEN(A745)=0,LEN(R745)=0),0,IF(OR(R745="Active",R745="Paid off",R745="Defaulted",R745="Repossessed",R745="Written off",R745="Restructured"),0,1))</f>
        <v/>
      </c>
      <c r="AF745" s="19">
        <f>IF(A745="",0,IF(N(J745)&gt;N(I745),1,0))</f>
        <v/>
      </c>
      <c r="AG745" s="19">
        <f>IF(A745="",0,IF(N(N745)&gt;N(M745)+1,1,0))</f>
        <v/>
      </c>
      <c r="AH745" s="19">
        <f>IF(A745="",0,IF(N(E745)&gt;N(B745),1,0))</f>
        <v/>
      </c>
      <c r="AI745" s="19">
        <f>IF(A745="",0,IF(AND(Z745="Full payment",N(N745)&lt;N(M745)-1),1,0))</f>
        <v/>
      </c>
      <c r="AJ745" s="19">
        <f>IF(A745="",0,IF(N(P745)&lt;0,1,0))</f>
        <v/>
      </c>
      <c r="AK745" s="19">
        <f>IF(A745="",0,IF(COUNTIF($A$7:$A$1006,A745)&gt;1,1,0))</f>
        <v/>
      </c>
    </row>
    <row r="746">
      <c r="A746" s="10" t="n"/>
      <c r="B746" s="17" t="n"/>
      <c r="C746" s="18" t="n"/>
      <c r="D746" s="10" t="n"/>
      <c r="E746" s="17" t="n"/>
      <c r="F746" s="10" t="n"/>
      <c r="G746" s="10" t="n"/>
      <c r="H746" s="10" t="n"/>
      <c r="I746" s="18" t="n"/>
      <c r="J746" s="18" t="n"/>
      <c r="K746" s="18" t="n"/>
      <c r="L746" s="18" t="n"/>
      <c r="M746" s="19">
        <f>IF(K746="","",K746*365/12*L746)</f>
        <v/>
      </c>
      <c r="N746" s="18" t="n"/>
      <c r="O746" s="18" t="n"/>
      <c r="P746" s="18" t="n"/>
      <c r="Q746" s="18" t="n"/>
      <c r="R746" s="10" t="n"/>
      <c r="S746" s="17" t="n"/>
      <c r="T746" s="18" t="n"/>
      <c r="U746" s="17" t="n"/>
      <c r="V746" s="17" t="n"/>
      <c r="W746" s="18" t="n"/>
      <c r="X746" s="18" t="n"/>
      <c r="Y746" s="17" t="n"/>
      <c r="Z746" s="10" t="n"/>
      <c r="AA746" s="10" t="n"/>
      <c r="AB746" s="19">
        <f>IF(LEN(A746)&gt;0,1,0)</f>
        <v/>
      </c>
      <c r="AC746" s="19">
        <f>IF(LEN(A746)=0,0,(LEN(B746)=0)+(LEN(C746)=0)+(LEN(D746)=0)+(LEN(E746)=0)+(LEN(F746)=0)+(LEN(G746)=0)+(LEN(H746)=0)+(LEN(I746)=0)+(LEN(J746)=0)+(LEN(K746)=0)+(LEN(L746)=0)+(LEN(N746)=0)+(LEN(O746)=0)+(LEN(P746)=0)+(LEN(R746)=0)+(LEN(AA746)=0))</f>
        <v/>
      </c>
      <c r="AD746" s="19">
        <f>IF(OR(LEN(A746)=0,LEN(C746)=0),0,IF(OR(C746&lt;1,C746&gt;5),1,0))</f>
        <v/>
      </c>
      <c r="AE746" s="19">
        <f>IF(OR(LEN(A746)=0,LEN(R746)=0),0,IF(OR(R746="Active",R746="Paid off",R746="Defaulted",R746="Repossessed",R746="Written off",R746="Restructured"),0,1))</f>
        <v/>
      </c>
      <c r="AF746" s="19">
        <f>IF(A746="",0,IF(N(J746)&gt;N(I746),1,0))</f>
        <v/>
      </c>
      <c r="AG746" s="19">
        <f>IF(A746="",0,IF(N(N746)&gt;N(M746)+1,1,0))</f>
        <v/>
      </c>
      <c r="AH746" s="19">
        <f>IF(A746="",0,IF(N(E746)&gt;N(B746),1,0))</f>
        <v/>
      </c>
      <c r="AI746" s="19">
        <f>IF(A746="",0,IF(AND(Z746="Full payment",N(N746)&lt;N(M746)-1),1,0))</f>
        <v/>
      </c>
      <c r="AJ746" s="19">
        <f>IF(A746="",0,IF(N(P746)&lt;0,1,0))</f>
        <v/>
      </c>
      <c r="AK746" s="19">
        <f>IF(A746="",0,IF(COUNTIF($A$7:$A$1006,A746)&gt;1,1,0))</f>
        <v/>
      </c>
    </row>
    <row r="747">
      <c r="A747" s="10" t="n"/>
      <c r="B747" s="17" t="n"/>
      <c r="C747" s="18" t="n"/>
      <c r="D747" s="10" t="n"/>
      <c r="E747" s="17" t="n"/>
      <c r="F747" s="10" t="n"/>
      <c r="G747" s="10" t="n"/>
      <c r="H747" s="10" t="n"/>
      <c r="I747" s="18" t="n"/>
      <c r="J747" s="18" t="n"/>
      <c r="K747" s="18" t="n"/>
      <c r="L747" s="18" t="n"/>
      <c r="M747" s="19">
        <f>IF(K747="","",K747*365/12*L747)</f>
        <v/>
      </c>
      <c r="N747" s="18" t="n"/>
      <c r="O747" s="18" t="n"/>
      <c r="P747" s="18" t="n"/>
      <c r="Q747" s="18" t="n"/>
      <c r="R747" s="10" t="n"/>
      <c r="S747" s="17" t="n"/>
      <c r="T747" s="18" t="n"/>
      <c r="U747" s="17" t="n"/>
      <c r="V747" s="17" t="n"/>
      <c r="W747" s="18" t="n"/>
      <c r="X747" s="18" t="n"/>
      <c r="Y747" s="17" t="n"/>
      <c r="Z747" s="10" t="n"/>
      <c r="AA747" s="10" t="n"/>
      <c r="AB747" s="19">
        <f>IF(LEN(A747)&gt;0,1,0)</f>
        <v/>
      </c>
      <c r="AC747" s="19">
        <f>IF(LEN(A747)=0,0,(LEN(B747)=0)+(LEN(C747)=0)+(LEN(D747)=0)+(LEN(E747)=0)+(LEN(F747)=0)+(LEN(G747)=0)+(LEN(H747)=0)+(LEN(I747)=0)+(LEN(J747)=0)+(LEN(K747)=0)+(LEN(L747)=0)+(LEN(N747)=0)+(LEN(O747)=0)+(LEN(P747)=0)+(LEN(R747)=0)+(LEN(AA747)=0))</f>
        <v/>
      </c>
      <c r="AD747" s="19">
        <f>IF(OR(LEN(A747)=0,LEN(C747)=0),0,IF(OR(C747&lt;1,C747&gt;5),1,0))</f>
        <v/>
      </c>
      <c r="AE747" s="19">
        <f>IF(OR(LEN(A747)=0,LEN(R747)=0),0,IF(OR(R747="Active",R747="Paid off",R747="Defaulted",R747="Repossessed",R747="Written off",R747="Restructured"),0,1))</f>
        <v/>
      </c>
      <c r="AF747" s="19">
        <f>IF(A747="",0,IF(N(J747)&gt;N(I747),1,0))</f>
        <v/>
      </c>
      <c r="AG747" s="19">
        <f>IF(A747="",0,IF(N(N747)&gt;N(M747)+1,1,0))</f>
        <v/>
      </c>
      <c r="AH747" s="19">
        <f>IF(A747="",0,IF(N(E747)&gt;N(B747),1,0))</f>
        <v/>
      </c>
      <c r="AI747" s="19">
        <f>IF(A747="",0,IF(AND(Z747="Full payment",N(N747)&lt;N(M747)-1),1,0))</f>
        <v/>
      </c>
      <c r="AJ747" s="19">
        <f>IF(A747="",0,IF(N(P747)&lt;0,1,0))</f>
        <v/>
      </c>
      <c r="AK747" s="19">
        <f>IF(A747="",0,IF(COUNTIF($A$7:$A$1006,A747)&gt;1,1,0))</f>
        <v/>
      </c>
    </row>
    <row r="748">
      <c r="A748" s="10" t="n"/>
      <c r="B748" s="17" t="n"/>
      <c r="C748" s="18" t="n"/>
      <c r="D748" s="10" t="n"/>
      <c r="E748" s="17" t="n"/>
      <c r="F748" s="10" t="n"/>
      <c r="G748" s="10" t="n"/>
      <c r="H748" s="10" t="n"/>
      <c r="I748" s="18" t="n"/>
      <c r="J748" s="18" t="n"/>
      <c r="K748" s="18" t="n"/>
      <c r="L748" s="18" t="n"/>
      <c r="M748" s="19">
        <f>IF(K748="","",K748*365/12*L748)</f>
        <v/>
      </c>
      <c r="N748" s="18" t="n"/>
      <c r="O748" s="18" t="n"/>
      <c r="P748" s="18" t="n"/>
      <c r="Q748" s="18" t="n"/>
      <c r="R748" s="10" t="n"/>
      <c r="S748" s="17" t="n"/>
      <c r="T748" s="18" t="n"/>
      <c r="U748" s="17" t="n"/>
      <c r="V748" s="17" t="n"/>
      <c r="W748" s="18" t="n"/>
      <c r="X748" s="18" t="n"/>
      <c r="Y748" s="17" t="n"/>
      <c r="Z748" s="10" t="n"/>
      <c r="AA748" s="10" t="n"/>
      <c r="AB748" s="19">
        <f>IF(LEN(A748)&gt;0,1,0)</f>
        <v/>
      </c>
      <c r="AC748" s="19">
        <f>IF(LEN(A748)=0,0,(LEN(B748)=0)+(LEN(C748)=0)+(LEN(D748)=0)+(LEN(E748)=0)+(LEN(F748)=0)+(LEN(G748)=0)+(LEN(H748)=0)+(LEN(I748)=0)+(LEN(J748)=0)+(LEN(K748)=0)+(LEN(L748)=0)+(LEN(N748)=0)+(LEN(O748)=0)+(LEN(P748)=0)+(LEN(R748)=0)+(LEN(AA748)=0))</f>
        <v/>
      </c>
      <c r="AD748" s="19">
        <f>IF(OR(LEN(A748)=0,LEN(C748)=0),0,IF(OR(C748&lt;1,C748&gt;5),1,0))</f>
        <v/>
      </c>
      <c r="AE748" s="19">
        <f>IF(OR(LEN(A748)=0,LEN(R748)=0),0,IF(OR(R748="Active",R748="Paid off",R748="Defaulted",R748="Repossessed",R748="Written off",R748="Restructured"),0,1))</f>
        <v/>
      </c>
      <c r="AF748" s="19">
        <f>IF(A748="",0,IF(N(J748)&gt;N(I748),1,0))</f>
        <v/>
      </c>
      <c r="AG748" s="19">
        <f>IF(A748="",0,IF(N(N748)&gt;N(M748)+1,1,0))</f>
        <v/>
      </c>
      <c r="AH748" s="19">
        <f>IF(A748="",0,IF(N(E748)&gt;N(B748),1,0))</f>
        <v/>
      </c>
      <c r="AI748" s="19">
        <f>IF(A748="",0,IF(AND(Z748="Full payment",N(N748)&lt;N(M748)-1),1,0))</f>
        <v/>
      </c>
      <c r="AJ748" s="19">
        <f>IF(A748="",0,IF(N(P748)&lt;0,1,0))</f>
        <v/>
      </c>
      <c r="AK748" s="19">
        <f>IF(A748="",0,IF(COUNTIF($A$7:$A$1006,A748)&gt;1,1,0))</f>
        <v/>
      </c>
    </row>
    <row r="749">
      <c r="A749" s="10" t="n"/>
      <c r="B749" s="17" t="n"/>
      <c r="C749" s="18" t="n"/>
      <c r="D749" s="10" t="n"/>
      <c r="E749" s="17" t="n"/>
      <c r="F749" s="10" t="n"/>
      <c r="G749" s="10" t="n"/>
      <c r="H749" s="10" t="n"/>
      <c r="I749" s="18" t="n"/>
      <c r="J749" s="18" t="n"/>
      <c r="K749" s="18" t="n"/>
      <c r="L749" s="18" t="n"/>
      <c r="M749" s="19">
        <f>IF(K749="","",K749*365/12*L749)</f>
        <v/>
      </c>
      <c r="N749" s="18" t="n"/>
      <c r="O749" s="18" t="n"/>
      <c r="P749" s="18" t="n"/>
      <c r="Q749" s="18" t="n"/>
      <c r="R749" s="10" t="n"/>
      <c r="S749" s="17" t="n"/>
      <c r="T749" s="18" t="n"/>
      <c r="U749" s="17" t="n"/>
      <c r="V749" s="17" t="n"/>
      <c r="W749" s="18" t="n"/>
      <c r="X749" s="18" t="n"/>
      <c r="Y749" s="17" t="n"/>
      <c r="Z749" s="10" t="n"/>
      <c r="AA749" s="10" t="n"/>
      <c r="AB749" s="19">
        <f>IF(LEN(A749)&gt;0,1,0)</f>
        <v/>
      </c>
      <c r="AC749" s="19">
        <f>IF(LEN(A749)=0,0,(LEN(B749)=0)+(LEN(C749)=0)+(LEN(D749)=0)+(LEN(E749)=0)+(LEN(F749)=0)+(LEN(G749)=0)+(LEN(H749)=0)+(LEN(I749)=0)+(LEN(J749)=0)+(LEN(K749)=0)+(LEN(L749)=0)+(LEN(N749)=0)+(LEN(O749)=0)+(LEN(P749)=0)+(LEN(R749)=0)+(LEN(AA749)=0))</f>
        <v/>
      </c>
      <c r="AD749" s="19">
        <f>IF(OR(LEN(A749)=0,LEN(C749)=0),0,IF(OR(C749&lt;1,C749&gt;5),1,0))</f>
        <v/>
      </c>
      <c r="AE749" s="19">
        <f>IF(OR(LEN(A749)=0,LEN(R749)=0),0,IF(OR(R749="Active",R749="Paid off",R749="Defaulted",R749="Repossessed",R749="Written off",R749="Restructured"),0,1))</f>
        <v/>
      </c>
      <c r="AF749" s="19">
        <f>IF(A749="",0,IF(N(J749)&gt;N(I749),1,0))</f>
        <v/>
      </c>
      <c r="AG749" s="19">
        <f>IF(A749="",0,IF(N(N749)&gt;N(M749)+1,1,0))</f>
        <v/>
      </c>
      <c r="AH749" s="19">
        <f>IF(A749="",0,IF(N(E749)&gt;N(B749),1,0))</f>
        <v/>
      </c>
      <c r="AI749" s="19">
        <f>IF(A749="",0,IF(AND(Z749="Full payment",N(N749)&lt;N(M749)-1),1,0))</f>
        <v/>
      </c>
      <c r="AJ749" s="19">
        <f>IF(A749="",0,IF(N(P749)&lt;0,1,0))</f>
        <v/>
      </c>
      <c r="AK749" s="19">
        <f>IF(A749="",0,IF(COUNTIF($A$7:$A$1006,A749)&gt;1,1,0))</f>
        <v/>
      </c>
    </row>
    <row r="750">
      <c r="A750" s="10" t="n"/>
      <c r="B750" s="17" t="n"/>
      <c r="C750" s="18" t="n"/>
      <c r="D750" s="10" t="n"/>
      <c r="E750" s="17" t="n"/>
      <c r="F750" s="10" t="n"/>
      <c r="G750" s="10" t="n"/>
      <c r="H750" s="10" t="n"/>
      <c r="I750" s="18" t="n"/>
      <c r="J750" s="18" t="n"/>
      <c r="K750" s="18" t="n"/>
      <c r="L750" s="18" t="n"/>
      <c r="M750" s="19">
        <f>IF(K750="","",K750*365/12*L750)</f>
        <v/>
      </c>
      <c r="N750" s="18" t="n"/>
      <c r="O750" s="18" t="n"/>
      <c r="P750" s="18" t="n"/>
      <c r="Q750" s="18" t="n"/>
      <c r="R750" s="10" t="n"/>
      <c r="S750" s="17" t="n"/>
      <c r="T750" s="18" t="n"/>
      <c r="U750" s="17" t="n"/>
      <c r="V750" s="17" t="n"/>
      <c r="W750" s="18" t="n"/>
      <c r="X750" s="18" t="n"/>
      <c r="Y750" s="17" t="n"/>
      <c r="Z750" s="10" t="n"/>
      <c r="AA750" s="10" t="n"/>
      <c r="AB750" s="19">
        <f>IF(LEN(A750)&gt;0,1,0)</f>
        <v/>
      </c>
      <c r="AC750" s="19">
        <f>IF(LEN(A750)=0,0,(LEN(B750)=0)+(LEN(C750)=0)+(LEN(D750)=0)+(LEN(E750)=0)+(LEN(F750)=0)+(LEN(G750)=0)+(LEN(H750)=0)+(LEN(I750)=0)+(LEN(J750)=0)+(LEN(K750)=0)+(LEN(L750)=0)+(LEN(N750)=0)+(LEN(O750)=0)+(LEN(P750)=0)+(LEN(R750)=0)+(LEN(AA750)=0))</f>
        <v/>
      </c>
      <c r="AD750" s="19">
        <f>IF(OR(LEN(A750)=0,LEN(C750)=0),0,IF(OR(C750&lt;1,C750&gt;5),1,0))</f>
        <v/>
      </c>
      <c r="AE750" s="19">
        <f>IF(OR(LEN(A750)=0,LEN(R750)=0),0,IF(OR(R750="Active",R750="Paid off",R750="Defaulted",R750="Repossessed",R750="Written off",R750="Restructured"),0,1))</f>
        <v/>
      </c>
      <c r="AF750" s="19">
        <f>IF(A750="",0,IF(N(J750)&gt;N(I750),1,0))</f>
        <v/>
      </c>
      <c r="AG750" s="19">
        <f>IF(A750="",0,IF(N(N750)&gt;N(M750)+1,1,0))</f>
        <v/>
      </c>
      <c r="AH750" s="19">
        <f>IF(A750="",0,IF(N(E750)&gt;N(B750),1,0))</f>
        <v/>
      </c>
      <c r="AI750" s="19">
        <f>IF(A750="",0,IF(AND(Z750="Full payment",N(N750)&lt;N(M750)-1),1,0))</f>
        <v/>
      </c>
      <c r="AJ750" s="19">
        <f>IF(A750="",0,IF(N(P750)&lt;0,1,0))</f>
        <v/>
      </c>
      <c r="AK750" s="19">
        <f>IF(A750="",0,IF(COUNTIF($A$7:$A$1006,A750)&gt;1,1,0))</f>
        <v/>
      </c>
    </row>
    <row r="751">
      <c r="A751" s="10" t="n"/>
      <c r="B751" s="17" t="n"/>
      <c r="C751" s="18" t="n"/>
      <c r="D751" s="10" t="n"/>
      <c r="E751" s="17" t="n"/>
      <c r="F751" s="10" t="n"/>
      <c r="G751" s="10" t="n"/>
      <c r="H751" s="10" t="n"/>
      <c r="I751" s="18" t="n"/>
      <c r="J751" s="18" t="n"/>
      <c r="K751" s="18" t="n"/>
      <c r="L751" s="18" t="n"/>
      <c r="M751" s="19">
        <f>IF(K751="","",K751*365/12*L751)</f>
        <v/>
      </c>
      <c r="N751" s="18" t="n"/>
      <c r="O751" s="18" t="n"/>
      <c r="P751" s="18" t="n"/>
      <c r="Q751" s="18" t="n"/>
      <c r="R751" s="10" t="n"/>
      <c r="S751" s="17" t="n"/>
      <c r="T751" s="18" t="n"/>
      <c r="U751" s="17" t="n"/>
      <c r="V751" s="17" t="n"/>
      <c r="W751" s="18" t="n"/>
      <c r="X751" s="18" t="n"/>
      <c r="Y751" s="17" t="n"/>
      <c r="Z751" s="10" t="n"/>
      <c r="AA751" s="10" t="n"/>
      <c r="AB751" s="19">
        <f>IF(LEN(A751)&gt;0,1,0)</f>
        <v/>
      </c>
      <c r="AC751" s="19">
        <f>IF(LEN(A751)=0,0,(LEN(B751)=0)+(LEN(C751)=0)+(LEN(D751)=0)+(LEN(E751)=0)+(LEN(F751)=0)+(LEN(G751)=0)+(LEN(H751)=0)+(LEN(I751)=0)+(LEN(J751)=0)+(LEN(K751)=0)+(LEN(L751)=0)+(LEN(N751)=0)+(LEN(O751)=0)+(LEN(P751)=0)+(LEN(R751)=0)+(LEN(AA751)=0))</f>
        <v/>
      </c>
      <c r="AD751" s="19">
        <f>IF(OR(LEN(A751)=0,LEN(C751)=0),0,IF(OR(C751&lt;1,C751&gt;5),1,0))</f>
        <v/>
      </c>
      <c r="AE751" s="19">
        <f>IF(OR(LEN(A751)=0,LEN(R751)=0),0,IF(OR(R751="Active",R751="Paid off",R751="Defaulted",R751="Repossessed",R751="Written off",R751="Restructured"),0,1))</f>
        <v/>
      </c>
      <c r="AF751" s="19">
        <f>IF(A751="",0,IF(N(J751)&gt;N(I751),1,0))</f>
        <v/>
      </c>
      <c r="AG751" s="19">
        <f>IF(A751="",0,IF(N(N751)&gt;N(M751)+1,1,0))</f>
        <v/>
      </c>
      <c r="AH751" s="19">
        <f>IF(A751="",0,IF(N(E751)&gt;N(B751),1,0))</f>
        <v/>
      </c>
      <c r="AI751" s="19">
        <f>IF(A751="",0,IF(AND(Z751="Full payment",N(N751)&lt;N(M751)-1),1,0))</f>
        <v/>
      </c>
      <c r="AJ751" s="19">
        <f>IF(A751="",0,IF(N(P751)&lt;0,1,0))</f>
        <v/>
      </c>
      <c r="AK751" s="19">
        <f>IF(A751="",0,IF(COUNTIF($A$7:$A$1006,A751)&gt;1,1,0))</f>
        <v/>
      </c>
    </row>
    <row r="752">
      <c r="A752" s="10" t="n"/>
      <c r="B752" s="17" t="n"/>
      <c r="C752" s="18" t="n"/>
      <c r="D752" s="10" t="n"/>
      <c r="E752" s="17" t="n"/>
      <c r="F752" s="10" t="n"/>
      <c r="G752" s="10" t="n"/>
      <c r="H752" s="10" t="n"/>
      <c r="I752" s="18" t="n"/>
      <c r="J752" s="18" t="n"/>
      <c r="K752" s="18" t="n"/>
      <c r="L752" s="18" t="n"/>
      <c r="M752" s="19">
        <f>IF(K752="","",K752*365/12*L752)</f>
        <v/>
      </c>
      <c r="N752" s="18" t="n"/>
      <c r="O752" s="18" t="n"/>
      <c r="P752" s="18" t="n"/>
      <c r="Q752" s="18" t="n"/>
      <c r="R752" s="10" t="n"/>
      <c r="S752" s="17" t="n"/>
      <c r="T752" s="18" t="n"/>
      <c r="U752" s="17" t="n"/>
      <c r="V752" s="17" t="n"/>
      <c r="W752" s="18" t="n"/>
      <c r="X752" s="18" t="n"/>
      <c r="Y752" s="17" t="n"/>
      <c r="Z752" s="10" t="n"/>
      <c r="AA752" s="10" t="n"/>
      <c r="AB752" s="19">
        <f>IF(LEN(A752)&gt;0,1,0)</f>
        <v/>
      </c>
      <c r="AC752" s="19">
        <f>IF(LEN(A752)=0,0,(LEN(B752)=0)+(LEN(C752)=0)+(LEN(D752)=0)+(LEN(E752)=0)+(LEN(F752)=0)+(LEN(G752)=0)+(LEN(H752)=0)+(LEN(I752)=0)+(LEN(J752)=0)+(LEN(K752)=0)+(LEN(L752)=0)+(LEN(N752)=0)+(LEN(O752)=0)+(LEN(P752)=0)+(LEN(R752)=0)+(LEN(AA752)=0))</f>
        <v/>
      </c>
      <c r="AD752" s="19">
        <f>IF(OR(LEN(A752)=0,LEN(C752)=0),0,IF(OR(C752&lt;1,C752&gt;5),1,0))</f>
        <v/>
      </c>
      <c r="AE752" s="19">
        <f>IF(OR(LEN(A752)=0,LEN(R752)=0),0,IF(OR(R752="Active",R752="Paid off",R752="Defaulted",R752="Repossessed",R752="Written off",R752="Restructured"),0,1))</f>
        <v/>
      </c>
      <c r="AF752" s="19">
        <f>IF(A752="",0,IF(N(J752)&gt;N(I752),1,0))</f>
        <v/>
      </c>
      <c r="AG752" s="19">
        <f>IF(A752="",0,IF(N(N752)&gt;N(M752)+1,1,0))</f>
        <v/>
      </c>
      <c r="AH752" s="19">
        <f>IF(A752="",0,IF(N(E752)&gt;N(B752),1,0))</f>
        <v/>
      </c>
      <c r="AI752" s="19">
        <f>IF(A752="",0,IF(AND(Z752="Full payment",N(N752)&lt;N(M752)-1),1,0))</f>
        <v/>
      </c>
      <c r="AJ752" s="19">
        <f>IF(A752="",0,IF(N(P752)&lt;0,1,0))</f>
        <v/>
      </c>
      <c r="AK752" s="19">
        <f>IF(A752="",0,IF(COUNTIF($A$7:$A$1006,A752)&gt;1,1,0))</f>
        <v/>
      </c>
    </row>
    <row r="753">
      <c r="A753" s="10" t="n"/>
      <c r="B753" s="17" t="n"/>
      <c r="C753" s="18" t="n"/>
      <c r="D753" s="10" t="n"/>
      <c r="E753" s="17" t="n"/>
      <c r="F753" s="10" t="n"/>
      <c r="G753" s="10" t="n"/>
      <c r="H753" s="10" t="n"/>
      <c r="I753" s="18" t="n"/>
      <c r="J753" s="18" t="n"/>
      <c r="K753" s="18" t="n"/>
      <c r="L753" s="18" t="n"/>
      <c r="M753" s="19">
        <f>IF(K753="","",K753*365/12*L753)</f>
        <v/>
      </c>
      <c r="N753" s="18" t="n"/>
      <c r="O753" s="18" t="n"/>
      <c r="P753" s="18" t="n"/>
      <c r="Q753" s="18" t="n"/>
      <c r="R753" s="10" t="n"/>
      <c r="S753" s="17" t="n"/>
      <c r="T753" s="18" t="n"/>
      <c r="U753" s="17" t="n"/>
      <c r="V753" s="17" t="n"/>
      <c r="W753" s="18" t="n"/>
      <c r="X753" s="18" t="n"/>
      <c r="Y753" s="17" t="n"/>
      <c r="Z753" s="10" t="n"/>
      <c r="AA753" s="10" t="n"/>
      <c r="AB753" s="19">
        <f>IF(LEN(A753)&gt;0,1,0)</f>
        <v/>
      </c>
      <c r="AC753" s="19">
        <f>IF(LEN(A753)=0,0,(LEN(B753)=0)+(LEN(C753)=0)+(LEN(D753)=0)+(LEN(E753)=0)+(LEN(F753)=0)+(LEN(G753)=0)+(LEN(H753)=0)+(LEN(I753)=0)+(LEN(J753)=0)+(LEN(K753)=0)+(LEN(L753)=0)+(LEN(N753)=0)+(LEN(O753)=0)+(LEN(P753)=0)+(LEN(R753)=0)+(LEN(AA753)=0))</f>
        <v/>
      </c>
      <c r="AD753" s="19">
        <f>IF(OR(LEN(A753)=0,LEN(C753)=0),0,IF(OR(C753&lt;1,C753&gt;5),1,0))</f>
        <v/>
      </c>
      <c r="AE753" s="19">
        <f>IF(OR(LEN(A753)=0,LEN(R753)=0),0,IF(OR(R753="Active",R753="Paid off",R753="Defaulted",R753="Repossessed",R753="Written off",R753="Restructured"),0,1))</f>
        <v/>
      </c>
      <c r="AF753" s="19">
        <f>IF(A753="",0,IF(N(J753)&gt;N(I753),1,0))</f>
        <v/>
      </c>
      <c r="AG753" s="19">
        <f>IF(A753="",0,IF(N(N753)&gt;N(M753)+1,1,0))</f>
        <v/>
      </c>
      <c r="AH753" s="19">
        <f>IF(A753="",0,IF(N(E753)&gt;N(B753),1,0))</f>
        <v/>
      </c>
      <c r="AI753" s="19">
        <f>IF(A753="",0,IF(AND(Z753="Full payment",N(N753)&lt;N(M753)-1),1,0))</f>
        <v/>
      </c>
      <c r="AJ753" s="19">
        <f>IF(A753="",0,IF(N(P753)&lt;0,1,0))</f>
        <v/>
      </c>
      <c r="AK753" s="19">
        <f>IF(A753="",0,IF(COUNTIF($A$7:$A$1006,A753)&gt;1,1,0))</f>
        <v/>
      </c>
    </row>
    <row r="754">
      <c r="A754" s="10" t="n"/>
      <c r="B754" s="17" t="n"/>
      <c r="C754" s="18" t="n"/>
      <c r="D754" s="10" t="n"/>
      <c r="E754" s="17" t="n"/>
      <c r="F754" s="10" t="n"/>
      <c r="G754" s="10" t="n"/>
      <c r="H754" s="10" t="n"/>
      <c r="I754" s="18" t="n"/>
      <c r="J754" s="18" t="n"/>
      <c r="K754" s="18" t="n"/>
      <c r="L754" s="18" t="n"/>
      <c r="M754" s="19">
        <f>IF(K754="","",K754*365/12*L754)</f>
        <v/>
      </c>
      <c r="N754" s="18" t="n"/>
      <c r="O754" s="18" t="n"/>
      <c r="P754" s="18" t="n"/>
      <c r="Q754" s="18" t="n"/>
      <c r="R754" s="10" t="n"/>
      <c r="S754" s="17" t="n"/>
      <c r="T754" s="18" t="n"/>
      <c r="U754" s="17" t="n"/>
      <c r="V754" s="17" t="n"/>
      <c r="W754" s="18" t="n"/>
      <c r="X754" s="18" t="n"/>
      <c r="Y754" s="17" t="n"/>
      <c r="Z754" s="10" t="n"/>
      <c r="AA754" s="10" t="n"/>
      <c r="AB754" s="19">
        <f>IF(LEN(A754)&gt;0,1,0)</f>
        <v/>
      </c>
      <c r="AC754" s="19">
        <f>IF(LEN(A754)=0,0,(LEN(B754)=0)+(LEN(C754)=0)+(LEN(D754)=0)+(LEN(E754)=0)+(LEN(F754)=0)+(LEN(G754)=0)+(LEN(H754)=0)+(LEN(I754)=0)+(LEN(J754)=0)+(LEN(K754)=0)+(LEN(L754)=0)+(LEN(N754)=0)+(LEN(O754)=0)+(LEN(P754)=0)+(LEN(R754)=0)+(LEN(AA754)=0))</f>
        <v/>
      </c>
      <c r="AD754" s="19">
        <f>IF(OR(LEN(A754)=0,LEN(C754)=0),0,IF(OR(C754&lt;1,C754&gt;5),1,0))</f>
        <v/>
      </c>
      <c r="AE754" s="19">
        <f>IF(OR(LEN(A754)=0,LEN(R754)=0),0,IF(OR(R754="Active",R754="Paid off",R754="Defaulted",R754="Repossessed",R754="Written off",R754="Restructured"),0,1))</f>
        <v/>
      </c>
      <c r="AF754" s="19">
        <f>IF(A754="",0,IF(N(J754)&gt;N(I754),1,0))</f>
        <v/>
      </c>
      <c r="AG754" s="19">
        <f>IF(A754="",0,IF(N(N754)&gt;N(M754)+1,1,0))</f>
        <v/>
      </c>
      <c r="AH754" s="19">
        <f>IF(A754="",0,IF(N(E754)&gt;N(B754),1,0))</f>
        <v/>
      </c>
      <c r="AI754" s="19">
        <f>IF(A754="",0,IF(AND(Z754="Full payment",N(N754)&lt;N(M754)-1),1,0))</f>
        <v/>
      </c>
      <c r="AJ754" s="19">
        <f>IF(A754="",0,IF(N(P754)&lt;0,1,0))</f>
        <v/>
      </c>
      <c r="AK754" s="19">
        <f>IF(A754="",0,IF(COUNTIF($A$7:$A$1006,A754)&gt;1,1,0))</f>
        <v/>
      </c>
    </row>
    <row r="755">
      <c r="A755" s="10" t="n"/>
      <c r="B755" s="17" t="n"/>
      <c r="C755" s="18" t="n"/>
      <c r="D755" s="10" t="n"/>
      <c r="E755" s="17" t="n"/>
      <c r="F755" s="10" t="n"/>
      <c r="G755" s="10" t="n"/>
      <c r="H755" s="10" t="n"/>
      <c r="I755" s="18" t="n"/>
      <c r="J755" s="18" t="n"/>
      <c r="K755" s="18" t="n"/>
      <c r="L755" s="18" t="n"/>
      <c r="M755" s="19">
        <f>IF(K755="","",K755*365/12*L755)</f>
        <v/>
      </c>
      <c r="N755" s="18" t="n"/>
      <c r="O755" s="18" t="n"/>
      <c r="P755" s="18" t="n"/>
      <c r="Q755" s="18" t="n"/>
      <c r="R755" s="10" t="n"/>
      <c r="S755" s="17" t="n"/>
      <c r="T755" s="18" t="n"/>
      <c r="U755" s="17" t="n"/>
      <c r="V755" s="17" t="n"/>
      <c r="W755" s="18" t="n"/>
      <c r="X755" s="18" t="n"/>
      <c r="Y755" s="17" t="n"/>
      <c r="Z755" s="10" t="n"/>
      <c r="AA755" s="10" t="n"/>
      <c r="AB755" s="19">
        <f>IF(LEN(A755)&gt;0,1,0)</f>
        <v/>
      </c>
      <c r="AC755" s="19">
        <f>IF(LEN(A755)=0,0,(LEN(B755)=0)+(LEN(C755)=0)+(LEN(D755)=0)+(LEN(E755)=0)+(LEN(F755)=0)+(LEN(G755)=0)+(LEN(H755)=0)+(LEN(I755)=0)+(LEN(J755)=0)+(LEN(K755)=0)+(LEN(L755)=0)+(LEN(N755)=0)+(LEN(O755)=0)+(LEN(P755)=0)+(LEN(R755)=0)+(LEN(AA755)=0))</f>
        <v/>
      </c>
      <c r="AD755" s="19">
        <f>IF(OR(LEN(A755)=0,LEN(C755)=0),0,IF(OR(C755&lt;1,C755&gt;5),1,0))</f>
        <v/>
      </c>
      <c r="AE755" s="19">
        <f>IF(OR(LEN(A755)=0,LEN(R755)=0),0,IF(OR(R755="Active",R755="Paid off",R755="Defaulted",R755="Repossessed",R755="Written off",R755="Restructured"),0,1))</f>
        <v/>
      </c>
      <c r="AF755" s="19">
        <f>IF(A755="",0,IF(N(J755)&gt;N(I755),1,0))</f>
        <v/>
      </c>
      <c r="AG755" s="19">
        <f>IF(A755="",0,IF(N(N755)&gt;N(M755)+1,1,0))</f>
        <v/>
      </c>
      <c r="AH755" s="19">
        <f>IF(A755="",0,IF(N(E755)&gt;N(B755),1,0))</f>
        <v/>
      </c>
      <c r="AI755" s="19">
        <f>IF(A755="",0,IF(AND(Z755="Full payment",N(N755)&lt;N(M755)-1),1,0))</f>
        <v/>
      </c>
      <c r="AJ755" s="19">
        <f>IF(A755="",0,IF(N(P755)&lt;0,1,0))</f>
        <v/>
      </c>
      <c r="AK755" s="19">
        <f>IF(A755="",0,IF(COUNTIF($A$7:$A$1006,A755)&gt;1,1,0))</f>
        <v/>
      </c>
    </row>
    <row r="756">
      <c r="A756" s="10" t="n"/>
      <c r="B756" s="17" t="n"/>
      <c r="C756" s="18" t="n"/>
      <c r="D756" s="10" t="n"/>
      <c r="E756" s="17" t="n"/>
      <c r="F756" s="10" t="n"/>
      <c r="G756" s="10" t="n"/>
      <c r="H756" s="10" t="n"/>
      <c r="I756" s="18" t="n"/>
      <c r="J756" s="18" t="n"/>
      <c r="K756" s="18" t="n"/>
      <c r="L756" s="18" t="n"/>
      <c r="M756" s="19">
        <f>IF(K756="","",K756*365/12*L756)</f>
        <v/>
      </c>
      <c r="N756" s="18" t="n"/>
      <c r="O756" s="18" t="n"/>
      <c r="P756" s="18" t="n"/>
      <c r="Q756" s="18" t="n"/>
      <c r="R756" s="10" t="n"/>
      <c r="S756" s="17" t="n"/>
      <c r="T756" s="18" t="n"/>
      <c r="U756" s="17" t="n"/>
      <c r="V756" s="17" t="n"/>
      <c r="W756" s="18" t="n"/>
      <c r="X756" s="18" t="n"/>
      <c r="Y756" s="17" t="n"/>
      <c r="Z756" s="10" t="n"/>
      <c r="AA756" s="10" t="n"/>
      <c r="AB756" s="19">
        <f>IF(LEN(A756)&gt;0,1,0)</f>
        <v/>
      </c>
      <c r="AC756" s="19">
        <f>IF(LEN(A756)=0,0,(LEN(B756)=0)+(LEN(C756)=0)+(LEN(D756)=0)+(LEN(E756)=0)+(LEN(F756)=0)+(LEN(G756)=0)+(LEN(H756)=0)+(LEN(I756)=0)+(LEN(J756)=0)+(LEN(K756)=0)+(LEN(L756)=0)+(LEN(N756)=0)+(LEN(O756)=0)+(LEN(P756)=0)+(LEN(R756)=0)+(LEN(AA756)=0))</f>
        <v/>
      </c>
      <c r="AD756" s="19">
        <f>IF(OR(LEN(A756)=0,LEN(C756)=0),0,IF(OR(C756&lt;1,C756&gt;5),1,0))</f>
        <v/>
      </c>
      <c r="AE756" s="19">
        <f>IF(OR(LEN(A756)=0,LEN(R756)=0),0,IF(OR(R756="Active",R756="Paid off",R756="Defaulted",R756="Repossessed",R756="Written off",R756="Restructured"),0,1))</f>
        <v/>
      </c>
      <c r="AF756" s="19">
        <f>IF(A756="",0,IF(N(J756)&gt;N(I756),1,0))</f>
        <v/>
      </c>
      <c r="AG756" s="19">
        <f>IF(A756="",0,IF(N(N756)&gt;N(M756)+1,1,0))</f>
        <v/>
      </c>
      <c r="AH756" s="19">
        <f>IF(A756="",0,IF(N(E756)&gt;N(B756),1,0))</f>
        <v/>
      </c>
      <c r="AI756" s="19">
        <f>IF(A756="",0,IF(AND(Z756="Full payment",N(N756)&lt;N(M756)-1),1,0))</f>
        <v/>
      </c>
      <c r="AJ756" s="19">
        <f>IF(A756="",0,IF(N(P756)&lt;0,1,0))</f>
        <v/>
      </c>
      <c r="AK756" s="19">
        <f>IF(A756="",0,IF(COUNTIF($A$7:$A$1006,A756)&gt;1,1,0))</f>
        <v/>
      </c>
    </row>
    <row r="757">
      <c r="A757" s="10" t="n"/>
      <c r="B757" s="17" t="n"/>
      <c r="C757" s="18" t="n"/>
      <c r="D757" s="10" t="n"/>
      <c r="E757" s="17" t="n"/>
      <c r="F757" s="10" t="n"/>
      <c r="G757" s="10" t="n"/>
      <c r="H757" s="10" t="n"/>
      <c r="I757" s="18" t="n"/>
      <c r="J757" s="18" t="n"/>
      <c r="K757" s="18" t="n"/>
      <c r="L757" s="18" t="n"/>
      <c r="M757" s="19">
        <f>IF(K757="","",K757*365/12*L757)</f>
        <v/>
      </c>
      <c r="N757" s="18" t="n"/>
      <c r="O757" s="18" t="n"/>
      <c r="P757" s="18" t="n"/>
      <c r="Q757" s="18" t="n"/>
      <c r="R757" s="10" t="n"/>
      <c r="S757" s="17" t="n"/>
      <c r="T757" s="18" t="n"/>
      <c r="U757" s="17" t="n"/>
      <c r="V757" s="17" t="n"/>
      <c r="W757" s="18" t="n"/>
      <c r="X757" s="18" t="n"/>
      <c r="Y757" s="17" t="n"/>
      <c r="Z757" s="10" t="n"/>
      <c r="AA757" s="10" t="n"/>
      <c r="AB757" s="19">
        <f>IF(LEN(A757)&gt;0,1,0)</f>
        <v/>
      </c>
      <c r="AC757" s="19">
        <f>IF(LEN(A757)=0,0,(LEN(B757)=0)+(LEN(C757)=0)+(LEN(D757)=0)+(LEN(E757)=0)+(LEN(F757)=0)+(LEN(G757)=0)+(LEN(H757)=0)+(LEN(I757)=0)+(LEN(J757)=0)+(LEN(K757)=0)+(LEN(L757)=0)+(LEN(N757)=0)+(LEN(O757)=0)+(LEN(P757)=0)+(LEN(R757)=0)+(LEN(AA757)=0))</f>
        <v/>
      </c>
      <c r="AD757" s="19">
        <f>IF(OR(LEN(A757)=0,LEN(C757)=0),0,IF(OR(C757&lt;1,C757&gt;5),1,0))</f>
        <v/>
      </c>
      <c r="AE757" s="19">
        <f>IF(OR(LEN(A757)=0,LEN(R757)=0),0,IF(OR(R757="Active",R757="Paid off",R757="Defaulted",R757="Repossessed",R757="Written off",R757="Restructured"),0,1))</f>
        <v/>
      </c>
      <c r="AF757" s="19">
        <f>IF(A757="",0,IF(N(J757)&gt;N(I757),1,0))</f>
        <v/>
      </c>
      <c r="AG757" s="19">
        <f>IF(A757="",0,IF(N(N757)&gt;N(M757)+1,1,0))</f>
        <v/>
      </c>
      <c r="AH757" s="19">
        <f>IF(A757="",0,IF(N(E757)&gt;N(B757),1,0))</f>
        <v/>
      </c>
      <c r="AI757" s="19">
        <f>IF(A757="",0,IF(AND(Z757="Full payment",N(N757)&lt;N(M757)-1),1,0))</f>
        <v/>
      </c>
      <c r="AJ757" s="19">
        <f>IF(A757="",0,IF(N(P757)&lt;0,1,0))</f>
        <v/>
      </c>
      <c r="AK757" s="19">
        <f>IF(A757="",0,IF(COUNTIF($A$7:$A$1006,A757)&gt;1,1,0))</f>
        <v/>
      </c>
    </row>
    <row r="758">
      <c r="A758" s="10" t="n"/>
      <c r="B758" s="17" t="n"/>
      <c r="C758" s="18" t="n"/>
      <c r="D758" s="10" t="n"/>
      <c r="E758" s="17" t="n"/>
      <c r="F758" s="10" t="n"/>
      <c r="G758" s="10" t="n"/>
      <c r="H758" s="10" t="n"/>
      <c r="I758" s="18" t="n"/>
      <c r="J758" s="18" t="n"/>
      <c r="K758" s="18" t="n"/>
      <c r="L758" s="18" t="n"/>
      <c r="M758" s="19">
        <f>IF(K758="","",K758*365/12*L758)</f>
        <v/>
      </c>
      <c r="N758" s="18" t="n"/>
      <c r="O758" s="18" t="n"/>
      <c r="P758" s="18" t="n"/>
      <c r="Q758" s="18" t="n"/>
      <c r="R758" s="10" t="n"/>
      <c r="S758" s="17" t="n"/>
      <c r="T758" s="18" t="n"/>
      <c r="U758" s="17" t="n"/>
      <c r="V758" s="17" t="n"/>
      <c r="W758" s="18" t="n"/>
      <c r="X758" s="18" t="n"/>
      <c r="Y758" s="17" t="n"/>
      <c r="Z758" s="10" t="n"/>
      <c r="AA758" s="10" t="n"/>
      <c r="AB758" s="19">
        <f>IF(LEN(A758)&gt;0,1,0)</f>
        <v/>
      </c>
      <c r="AC758" s="19">
        <f>IF(LEN(A758)=0,0,(LEN(B758)=0)+(LEN(C758)=0)+(LEN(D758)=0)+(LEN(E758)=0)+(LEN(F758)=0)+(LEN(G758)=0)+(LEN(H758)=0)+(LEN(I758)=0)+(LEN(J758)=0)+(LEN(K758)=0)+(LEN(L758)=0)+(LEN(N758)=0)+(LEN(O758)=0)+(LEN(P758)=0)+(LEN(R758)=0)+(LEN(AA758)=0))</f>
        <v/>
      </c>
      <c r="AD758" s="19">
        <f>IF(OR(LEN(A758)=0,LEN(C758)=0),0,IF(OR(C758&lt;1,C758&gt;5),1,0))</f>
        <v/>
      </c>
      <c r="AE758" s="19">
        <f>IF(OR(LEN(A758)=0,LEN(R758)=0),0,IF(OR(R758="Active",R758="Paid off",R758="Defaulted",R758="Repossessed",R758="Written off",R758="Restructured"),0,1))</f>
        <v/>
      </c>
      <c r="AF758" s="19">
        <f>IF(A758="",0,IF(N(J758)&gt;N(I758),1,0))</f>
        <v/>
      </c>
      <c r="AG758" s="19">
        <f>IF(A758="",0,IF(N(N758)&gt;N(M758)+1,1,0))</f>
        <v/>
      </c>
      <c r="AH758" s="19">
        <f>IF(A758="",0,IF(N(E758)&gt;N(B758),1,0))</f>
        <v/>
      </c>
      <c r="AI758" s="19">
        <f>IF(A758="",0,IF(AND(Z758="Full payment",N(N758)&lt;N(M758)-1),1,0))</f>
        <v/>
      </c>
      <c r="AJ758" s="19">
        <f>IF(A758="",0,IF(N(P758)&lt;0,1,0))</f>
        <v/>
      </c>
      <c r="AK758" s="19">
        <f>IF(A758="",0,IF(COUNTIF($A$7:$A$1006,A758)&gt;1,1,0))</f>
        <v/>
      </c>
    </row>
    <row r="759">
      <c r="A759" s="10" t="n"/>
      <c r="B759" s="17" t="n"/>
      <c r="C759" s="18" t="n"/>
      <c r="D759" s="10" t="n"/>
      <c r="E759" s="17" t="n"/>
      <c r="F759" s="10" t="n"/>
      <c r="G759" s="10" t="n"/>
      <c r="H759" s="10" t="n"/>
      <c r="I759" s="18" t="n"/>
      <c r="J759" s="18" t="n"/>
      <c r="K759" s="18" t="n"/>
      <c r="L759" s="18" t="n"/>
      <c r="M759" s="19">
        <f>IF(K759="","",K759*365/12*L759)</f>
        <v/>
      </c>
      <c r="N759" s="18" t="n"/>
      <c r="O759" s="18" t="n"/>
      <c r="P759" s="18" t="n"/>
      <c r="Q759" s="18" t="n"/>
      <c r="R759" s="10" t="n"/>
      <c r="S759" s="17" t="n"/>
      <c r="T759" s="18" t="n"/>
      <c r="U759" s="17" t="n"/>
      <c r="V759" s="17" t="n"/>
      <c r="W759" s="18" t="n"/>
      <c r="X759" s="18" t="n"/>
      <c r="Y759" s="17" t="n"/>
      <c r="Z759" s="10" t="n"/>
      <c r="AA759" s="10" t="n"/>
      <c r="AB759" s="19">
        <f>IF(LEN(A759)&gt;0,1,0)</f>
        <v/>
      </c>
      <c r="AC759" s="19">
        <f>IF(LEN(A759)=0,0,(LEN(B759)=0)+(LEN(C759)=0)+(LEN(D759)=0)+(LEN(E759)=0)+(LEN(F759)=0)+(LEN(G759)=0)+(LEN(H759)=0)+(LEN(I759)=0)+(LEN(J759)=0)+(LEN(K759)=0)+(LEN(L759)=0)+(LEN(N759)=0)+(LEN(O759)=0)+(LEN(P759)=0)+(LEN(R759)=0)+(LEN(AA759)=0))</f>
        <v/>
      </c>
      <c r="AD759" s="19">
        <f>IF(OR(LEN(A759)=0,LEN(C759)=0),0,IF(OR(C759&lt;1,C759&gt;5),1,0))</f>
        <v/>
      </c>
      <c r="AE759" s="19">
        <f>IF(OR(LEN(A759)=0,LEN(R759)=0),0,IF(OR(R759="Active",R759="Paid off",R759="Defaulted",R759="Repossessed",R759="Written off",R759="Restructured"),0,1))</f>
        <v/>
      </c>
      <c r="AF759" s="19">
        <f>IF(A759="",0,IF(N(J759)&gt;N(I759),1,0))</f>
        <v/>
      </c>
      <c r="AG759" s="19">
        <f>IF(A759="",0,IF(N(N759)&gt;N(M759)+1,1,0))</f>
        <v/>
      </c>
      <c r="AH759" s="19">
        <f>IF(A759="",0,IF(N(E759)&gt;N(B759),1,0))</f>
        <v/>
      </c>
      <c r="AI759" s="19">
        <f>IF(A759="",0,IF(AND(Z759="Full payment",N(N759)&lt;N(M759)-1),1,0))</f>
        <v/>
      </c>
      <c r="AJ759" s="19">
        <f>IF(A759="",0,IF(N(P759)&lt;0,1,0))</f>
        <v/>
      </c>
      <c r="AK759" s="19">
        <f>IF(A759="",0,IF(COUNTIF($A$7:$A$1006,A759)&gt;1,1,0))</f>
        <v/>
      </c>
    </row>
    <row r="760">
      <c r="A760" s="10" t="n"/>
      <c r="B760" s="17" t="n"/>
      <c r="C760" s="18" t="n"/>
      <c r="D760" s="10" t="n"/>
      <c r="E760" s="17" t="n"/>
      <c r="F760" s="10" t="n"/>
      <c r="G760" s="10" t="n"/>
      <c r="H760" s="10" t="n"/>
      <c r="I760" s="18" t="n"/>
      <c r="J760" s="18" t="n"/>
      <c r="K760" s="18" t="n"/>
      <c r="L760" s="18" t="n"/>
      <c r="M760" s="19">
        <f>IF(K760="","",K760*365/12*L760)</f>
        <v/>
      </c>
      <c r="N760" s="18" t="n"/>
      <c r="O760" s="18" t="n"/>
      <c r="P760" s="18" t="n"/>
      <c r="Q760" s="18" t="n"/>
      <c r="R760" s="10" t="n"/>
      <c r="S760" s="17" t="n"/>
      <c r="T760" s="18" t="n"/>
      <c r="U760" s="17" t="n"/>
      <c r="V760" s="17" t="n"/>
      <c r="W760" s="18" t="n"/>
      <c r="X760" s="18" t="n"/>
      <c r="Y760" s="17" t="n"/>
      <c r="Z760" s="10" t="n"/>
      <c r="AA760" s="10" t="n"/>
      <c r="AB760" s="19">
        <f>IF(LEN(A760)&gt;0,1,0)</f>
        <v/>
      </c>
      <c r="AC760" s="19">
        <f>IF(LEN(A760)=0,0,(LEN(B760)=0)+(LEN(C760)=0)+(LEN(D760)=0)+(LEN(E760)=0)+(LEN(F760)=0)+(LEN(G760)=0)+(LEN(H760)=0)+(LEN(I760)=0)+(LEN(J760)=0)+(LEN(K760)=0)+(LEN(L760)=0)+(LEN(N760)=0)+(LEN(O760)=0)+(LEN(P760)=0)+(LEN(R760)=0)+(LEN(AA760)=0))</f>
        <v/>
      </c>
      <c r="AD760" s="19">
        <f>IF(OR(LEN(A760)=0,LEN(C760)=0),0,IF(OR(C760&lt;1,C760&gt;5),1,0))</f>
        <v/>
      </c>
      <c r="AE760" s="19">
        <f>IF(OR(LEN(A760)=0,LEN(R760)=0),0,IF(OR(R760="Active",R760="Paid off",R760="Defaulted",R760="Repossessed",R760="Written off",R760="Restructured"),0,1))</f>
        <v/>
      </c>
      <c r="AF760" s="19">
        <f>IF(A760="",0,IF(N(J760)&gt;N(I760),1,0))</f>
        <v/>
      </c>
      <c r="AG760" s="19">
        <f>IF(A760="",0,IF(N(N760)&gt;N(M760)+1,1,0))</f>
        <v/>
      </c>
      <c r="AH760" s="19">
        <f>IF(A760="",0,IF(N(E760)&gt;N(B760),1,0))</f>
        <v/>
      </c>
      <c r="AI760" s="19">
        <f>IF(A760="",0,IF(AND(Z760="Full payment",N(N760)&lt;N(M760)-1),1,0))</f>
        <v/>
      </c>
      <c r="AJ760" s="19">
        <f>IF(A760="",0,IF(N(P760)&lt;0,1,0))</f>
        <v/>
      </c>
      <c r="AK760" s="19">
        <f>IF(A760="",0,IF(COUNTIF($A$7:$A$1006,A760)&gt;1,1,0))</f>
        <v/>
      </c>
    </row>
    <row r="761">
      <c r="A761" s="10" t="n"/>
      <c r="B761" s="17" t="n"/>
      <c r="C761" s="18" t="n"/>
      <c r="D761" s="10" t="n"/>
      <c r="E761" s="17" t="n"/>
      <c r="F761" s="10" t="n"/>
      <c r="G761" s="10" t="n"/>
      <c r="H761" s="10" t="n"/>
      <c r="I761" s="18" t="n"/>
      <c r="J761" s="18" t="n"/>
      <c r="K761" s="18" t="n"/>
      <c r="L761" s="18" t="n"/>
      <c r="M761" s="19">
        <f>IF(K761="","",K761*365/12*L761)</f>
        <v/>
      </c>
      <c r="N761" s="18" t="n"/>
      <c r="O761" s="18" t="n"/>
      <c r="P761" s="18" t="n"/>
      <c r="Q761" s="18" t="n"/>
      <c r="R761" s="10" t="n"/>
      <c r="S761" s="17" t="n"/>
      <c r="T761" s="18" t="n"/>
      <c r="U761" s="17" t="n"/>
      <c r="V761" s="17" t="n"/>
      <c r="W761" s="18" t="n"/>
      <c r="X761" s="18" t="n"/>
      <c r="Y761" s="17" t="n"/>
      <c r="Z761" s="10" t="n"/>
      <c r="AA761" s="10" t="n"/>
      <c r="AB761" s="19">
        <f>IF(LEN(A761)&gt;0,1,0)</f>
        <v/>
      </c>
      <c r="AC761" s="19">
        <f>IF(LEN(A761)=0,0,(LEN(B761)=0)+(LEN(C761)=0)+(LEN(D761)=0)+(LEN(E761)=0)+(LEN(F761)=0)+(LEN(G761)=0)+(LEN(H761)=0)+(LEN(I761)=0)+(LEN(J761)=0)+(LEN(K761)=0)+(LEN(L761)=0)+(LEN(N761)=0)+(LEN(O761)=0)+(LEN(P761)=0)+(LEN(R761)=0)+(LEN(AA761)=0))</f>
        <v/>
      </c>
      <c r="AD761" s="19">
        <f>IF(OR(LEN(A761)=0,LEN(C761)=0),0,IF(OR(C761&lt;1,C761&gt;5),1,0))</f>
        <v/>
      </c>
      <c r="AE761" s="19">
        <f>IF(OR(LEN(A761)=0,LEN(R761)=0),0,IF(OR(R761="Active",R761="Paid off",R761="Defaulted",R761="Repossessed",R761="Written off",R761="Restructured"),0,1))</f>
        <v/>
      </c>
      <c r="AF761" s="19">
        <f>IF(A761="",0,IF(N(J761)&gt;N(I761),1,0))</f>
        <v/>
      </c>
      <c r="AG761" s="19">
        <f>IF(A761="",0,IF(N(N761)&gt;N(M761)+1,1,0))</f>
        <v/>
      </c>
      <c r="AH761" s="19">
        <f>IF(A761="",0,IF(N(E761)&gt;N(B761),1,0))</f>
        <v/>
      </c>
      <c r="AI761" s="19">
        <f>IF(A761="",0,IF(AND(Z761="Full payment",N(N761)&lt;N(M761)-1),1,0))</f>
        <v/>
      </c>
      <c r="AJ761" s="19">
        <f>IF(A761="",0,IF(N(P761)&lt;0,1,0))</f>
        <v/>
      </c>
      <c r="AK761" s="19">
        <f>IF(A761="",0,IF(COUNTIF($A$7:$A$1006,A761)&gt;1,1,0))</f>
        <v/>
      </c>
    </row>
    <row r="762">
      <c r="A762" s="10" t="n"/>
      <c r="B762" s="17" t="n"/>
      <c r="C762" s="18" t="n"/>
      <c r="D762" s="10" t="n"/>
      <c r="E762" s="17" t="n"/>
      <c r="F762" s="10" t="n"/>
      <c r="G762" s="10" t="n"/>
      <c r="H762" s="10" t="n"/>
      <c r="I762" s="18" t="n"/>
      <c r="J762" s="18" t="n"/>
      <c r="K762" s="18" t="n"/>
      <c r="L762" s="18" t="n"/>
      <c r="M762" s="19">
        <f>IF(K762="","",K762*365/12*L762)</f>
        <v/>
      </c>
      <c r="N762" s="18" t="n"/>
      <c r="O762" s="18" t="n"/>
      <c r="P762" s="18" t="n"/>
      <c r="Q762" s="18" t="n"/>
      <c r="R762" s="10" t="n"/>
      <c r="S762" s="17" t="n"/>
      <c r="T762" s="18" t="n"/>
      <c r="U762" s="17" t="n"/>
      <c r="V762" s="17" t="n"/>
      <c r="W762" s="18" t="n"/>
      <c r="X762" s="18" t="n"/>
      <c r="Y762" s="17" t="n"/>
      <c r="Z762" s="10" t="n"/>
      <c r="AA762" s="10" t="n"/>
      <c r="AB762" s="19">
        <f>IF(LEN(A762)&gt;0,1,0)</f>
        <v/>
      </c>
      <c r="AC762" s="19">
        <f>IF(LEN(A762)=0,0,(LEN(B762)=0)+(LEN(C762)=0)+(LEN(D762)=0)+(LEN(E762)=0)+(LEN(F762)=0)+(LEN(G762)=0)+(LEN(H762)=0)+(LEN(I762)=0)+(LEN(J762)=0)+(LEN(K762)=0)+(LEN(L762)=0)+(LEN(N762)=0)+(LEN(O762)=0)+(LEN(P762)=0)+(LEN(R762)=0)+(LEN(AA762)=0))</f>
        <v/>
      </c>
      <c r="AD762" s="19">
        <f>IF(OR(LEN(A762)=0,LEN(C762)=0),0,IF(OR(C762&lt;1,C762&gt;5),1,0))</f>
        <v/>
      </c>
      <c r="AE762" s="19">
        <f>IF(OR(LEN(A762)=0,LEN(R762)=0),0,IF(OR(R762="Active",R762="Paid off",R762="Defaulted",R762="Repossessed",R762="Written off",R762="Restructured"),0,1))</f>
        <v/>
      </c>
      <c r="AF762" s="19">
        <f>IF(A762="",0,IF(N(J762)&gt;N(I762),1,0))</f>
        <v/>
      </c>
      <c r="AG762" s="19">
        <f>IF(A762="",0,IF(N(N762)&gt;N(M762)+1,1,0))</f>
        <v/>
      </c>
      <c r="AH762" s="19">
        <f>IF(A762="",0,IF(N(E762)&gt;N(B762),1,0))</f>
        <v/>
      </c>
      <c r="AI762" s="19">
        <f>IF(A762="",0,IF(AND(Z762="Full payment",N(N762)&lt;N(M762)-1),1,0))</f>
        <v/>
      </c>
      <c r="AJ762" s="19">
        <f>IF(A762="",0,IF(N(P762)&lt;0,1,0))</f>
        <v/>
      </c>
      <c r="AK762" s="19">
        <f>IF(A762="",0,IF(COUNTIF($A$7:$A$1006,A762)&gt;1,1,0))</f>
        <v/>
      </c>
    </row>
    <row r="763">
      <c r="A763" s="10" t="n"/>
      <c r="B763" s="17" t="n"/>
      <c r="C763" s="18" t="n"/>
      <c r="D763" s="10" t="n"/>
      <c r="E763" s="17" t="n"/>
      <c r="F763" s="10" t="n"/>
      <c r="G763" s="10" t="n"/>
      <c r="H763" s="10" t="n"/>
      <c r="I763" s="18" t="n"/>
      <c r="J763" s="18" t="n"/>
      <c r="K763" s="18" t="n"/>
      <c r="L763" s="18" t="n"/>
      <c r="M763" s="19">
        <f>IF(K763="","",K763*365/12*L763)</f>
        <v/>
      </c>
      <c r="N763" s="18" t="n"/>
      <c r="O763" s="18" t="n"/>
      <c r="P763" s="18" t="n"/>
      <c r="Q763" s="18" t="n"/>
      <c r="R763" s="10" t="n"/>
      <c r="S763" s="17" t="n"/>
      <c r="T763" s="18" t="n"/>
      <c r="U763" s="17" t="n"/>
      <c r="V763" s="17" t="n"/>
      <c r="W763" s="18" t="n"/>
      <c r="X763" s="18" t="n"/>
      <c r="Y763" s="17" t="n"/>
      <c r="Z763" s="10" t="n"/>
      <c r="AA763" s="10" t="n"/>
      <c r="AB763" s="19">
        <f>IF(LEN(A763)&gt;0,1,0)</f>
        <v/>
      </c>
      <c r="AC763" s="19">
        <f>IF(LEN(A763)=0,0,(LEN(B763)=0)+(LEN(C763)=0)+(LEN(D763)=0)+(LEN(E763)=0)+(LEN(F763)=0)+(LEN(G763)=0)+(LEN(H763)=0)+(LEN(I763)=0)+(LEN(J763)=0)+(LEN(K763)=0)+(LEN(L763)=0)+(LEN(N763)=0)+(LEN(O763)=0)+(LEN(P763)=0)+(LEN(R763)=0)+(LEN(AA763)=0))</f>
        <v/>
      </c>
      <c r="AD763" s="19">
        <f>IF(OR(LEN(A763)=0,LEN(C763)=0),0,IF(OR(C763&lt;1,C763&gt;5),1,0))</f>
        <v/>
      </c>
      <c r="AE763" s="19">
        <f>IF(OR(LEN(A763)=0,LEN(R763)=0),0,IF(OR(R763="Active",R763="Paid off",R763="Defaulted",R763="Repossessed",R763="Written off",R763="Restructured"),0,1))</f>
        <v/>
      </c>
      <c r="AF763" s="19">
        <f>IF(A763="",0,IF(N(J763)&gt;N(I763),1,0))</f>
        <v/>
      </c>
      <c r="AG763" s="19">
        <f>IF(A763="",0,IF(N(N763)&gt;N(M763)+1,1,0))</f>
        <v/>
      </c>
      <c r="AH763" s="19">
        <f>IF(A763="",0,IF(N(E763)&gt;N(B763),1,0))</f>
        <v/>
      </c>
      <c r="AI763" s="19">
        <f>IF(A763="",0,IF(AND(Z763="Full payment",N(N763)&lt;N(M763)-1),1,0))</f>
        <v/>
      </c>
      <c r="AJ763" s="19">
        <f>IF(A763="",0,IF(N(P763)&lt;0,1,0))</f>
        <v/>
      </c>
      <c r="AK763" s="19">
        <f>IF(A763="",0,IF(COUNTIF($A$7:$A$1006,A763)&gt;1,1,0))</f>
        <v/>
      </c>
    </row>
    <row r="764">
      <c r="A764" s="10" t="n"/>
      <c r="B764" s="17" t="n"/>
      <c r="C764" s="18" t="n"/>
      <c r="D764" s="10" t="n"/>
      <c r="E764" s="17" t="n"/>
      <c r="F764" s="10" t="n"/>
      <c r="G764" s="10" t="n"/>
      <c r="H764" s="10" t="n"/>
      <c r="I764" s="18" t="n"/>
      <c r="J764" s="18" t="n"/>
      <c r="K764" s="18" t="n"/>
      <c r="L764" s="18" t="n"/>
      <c r="M764" s="19">
        <f>IF(K764="","",K764*365/12*L764)</f>
        <v/>
      </c>
      <c r="N764" s="18" t="n"/>
      <c r="O764" s="18" t="n"/>
      <c r="P764" s="18" t="n"/>
      <c r="Q764" s="18" t="n"/>
      <c r="R764" s="10" t="n"/>
      <c r="S764" s="17" t="n"/>
      <c r="T764" s="18" t="n"/>
      <c r="U764" s="17" t="n"/>
      <c r="V764" s="17" t="n"/>
      <c r="W764" s="18" t="n"/>
      <c r="X764" s="18" t="n"/>
      <c r="Y764" s="17" t="n"/>
      <c r="Z764" s="10" t="n"/>
      <c r="AA764" s="10" t="n"/>
      <c r="AB764" s="19">
        <f>IF(LEN(A764)&gt;0,1,0)</f>
        <v/>
      </c>
      <c r="AC764" s="19">
        <f>IF(LEN(A764)=0,0,(LEN(B764)=0)+(LEN(C764)=0)+(LEN(D764)=0)+(LEN(E764)=0)+(LEN(F764)=0)+(LEN(G764)=0)+(LEN(H764)=0)+(LEN(I764)=0)+(LEN(J764)=0)+(LEN(K764)=0)+(LEN(L764)=0)+(LEN(N764)=0)+(LEN(O764)=0)+(LEN(P764)=0)+(LEN(R764)=0)+(LEN(AA764)=0))</f>
        <v/>
      </c>
      <c r="AD764" s="19">
        <f>IF(OR(LEN(A764)=0,LEN(C764)=0),0,IF(OR(C764&lt;1,C764&gt;5),1,0))</f>
        <v/>
      </c>
      <c r="AE764" s="19">
        <f>IF(OR(LEN(A764)=0,LEN(R764)=0),0,IF(OR(R764="Active",R764="Paid off",R764="Defaulted",R764="Repossessed",R764="Written off",R764="Restructured"),0,1))</f>
        <v/>
      </c>
      <c r="AF764" s="19">
        <f>IF(A764="",0,IF(N(J764)&gt;N(I764),1,0))</f>
        <v/>
      </c>
      <c r="AG764" s="19">
        <f>IF(A764="",0,IF(N(N764)&gt;N(M764)+1,1,0))</f>
        <v/>
      </c>
      <c r="AH764" s="19">
        <f>IF(A764="",0,IF(N(E764)&gt;N(B764),1,0))</f>
        <v/>
      </c>
      <c r="AI764" s="19">
        <f>IF(A764="",0,IF(AND(Z764="Full payment",N(N764)&lt;N(M764)-1),1,0))</f>
        <v/>
      </c>
      <c r="AJ764" s="19">
        <f>IF(A764="",0,IF(N(P764)&lt;0,1,0))</f>
        <v/>
      </c>
      <c r="AK764" s="19">
        <f>IF(A764="",0,IF(COUNTIF($A$7:$A$1006,A764)&gt;1,1,0))</f>
        <v/>
      </c>
    </row>
    <row r="765">
      <c r="A765" s="10" t="n"/>
      <c r="B765" s="17" t="n"/>
      <c r="C765" s="18" t="n"/>
      <c r="D765" s="10" t="n"/>
      <c r="E765" s="17" t="n"/>
      <c r="F765" s="10" t="n"/>
      <c r="G765" s="10" t="n"/>
      <c r="H765" s="10" t="n"/>
      <c r="I765" s="18" t="n"/>
      <c r="J765" s="18" t="n"/>
      <c r="K765" s="18" t="n"/>
      <c r="L765" s="18" t="n"/>
      <c r="M765" s="19">
        <f>IF(K765="","",K765*365/12*L765)</f>
        <v/>
      </c>
      <c r="N765" s="18" t="n"/>
      <c r="O765" s="18" t="n"/>
      <c r="P765" s="18" t="n"/>
      <c r="Q765" s="18" t="n"/>
      <c r="R765" s="10" t="n"/>
      <c r="S765" s="17" t="n"/>
      <c r="T765" s="18" t="n"/>
      <c r="U765" s="17" t="n"/>
      <c r="V765" s="17" t="n"/>
      <c r="W765" s="18" t="n"/>
      <c r="X765" s="18" t="n"/>
      <c r="Y765" s="17" t="n"/>
      <c r="Z765" s="10" t="n"/>
      <c r="AA765" s="10" t="n"/>
      <c r="AB765" s="19">
        <f>IF(LEN(A765)&gt;0,1,0)</f>
        <v/>
      </c>
      <c r="AC765" s="19">
        <f>IF(LEN(A765)=0,0,(LEN(B765)=0)+(LEN(C765)=0)+(LEN(D765)=0)+(LEN(E765)=0)+(LEN(F765)=0)+(LEN(G765)=0)+(LEN(H765)=0)+(LEN(I765)=0)+(LEN(J765)=0)+(LEN(K765)=0)+(LEN(L765)=0)+(LEN(N765)=0)+(LEN(O765)=0)+(LEN(P765)=0)+(LEN(R765)=0)+(LEN(AA765)=0))</f>
        <v/>
      </c>
      <c r="AD765" s="19">
        <f>IF(OR(LEN(A765)=0,LEN(C765)=0),0,IF(OR(C765&lt;1,C765&gt;5),1,0))</f>
        <v/>
      </c>
      <c r="AE765" s="19">
        <f>IF(OR(LEN(A765)=0,LEN(R765)=0),0,IF(OR(R765="Active",R765="Paid off",R765="Defaulted",R765="Repossessed",R765="Written off",R765="Restructured"),0,1))</f>
        <v/>
      </c>
      <c r="AF765" s="19">
        <f>IF(A765="",0,IF(N(J765)&gt;N(I765),1,0))</f>
        <v/>
      </c>
      <c r="AG765" s="19">
        <f>IF(A765="",0,IF(N(N765)&gt;N(M765)+1,1,0))</f>
        <v/>
      </c>
      <c r="AH765" s="19">
        <f>IF(A765="",0,IF(N(E765)&gt;N(B765),1,0))</f>
        <v/>
      </c>
      <c r="AI765" s="19">
        <f>IF(A765="",0,IF(AND(Z765="Full payment",N(N765)&lt;N(M765)-1),1,0))</f>
        <v/>
      </c>
      <c r="AJ765" s="19">
        <f>IF(A765="",0,IF(N(P765)&lt;0,1,0))</f>
        <v/>
      </c>
      <c r="AK765" s="19">
        <f>IF(A765="",0,IF(COUNTIF($A$7:$A$1006,A765)&gt;1,1,0))</f>
        <v/>
      </c>
    </row>
    <row r="766">
      <c r="A766" s="10" t="n"/>
      <c r="B766" s="17" t="n"/>
      <c r="C766" s="18" t="n"/>
      <c r="D766" s="10" t="n"/>
      <c r="E766" s="17" t="n"/>
      <c r="F766" s="10" t="n"/>
      <c r="G766" s="10" t="n"/>
      <c r="H766" s="10" t="n"/>
      <c r="I766" s="18" t="n"/>
      <c r="J766" s="18" t="n"/>
      <c r="K766" s="18" t="n"/>
      <c r="L766" s="18" t="n"/>
      <c r="M766" s="19">
        <f>IF(K766="","",K766*365/12*L766)</f>
        <v/>
      </c>
      <c r="N766" s="18" t="n"/>
      <c r="O766" s="18" t="n"/>
      <c r="P766" s="18" t="n"/>
      <c r="Q766" s="18" t="n"/>
      <c r="R766" s="10" t="n"/>
      <c r="S766" s="17" t="n"/>
      <c r="T766" s="18" t="n"/>
      <c r="U766" s="17" t="n"/>
      <c r="V766" s="17" t="n"/>
      <c r="W766" s="18" t="n"/>
      <c r="X766" s="18" t="n"/>
      <c r="Y766" s="17" t="n"/>
      <c r="Z766" s="10" t="n"/>
      <c r="AA766" s="10" t="n"/>
      <c r="AB766" s="19">
        <f>IF(LEN(A766)&gt;0,1,0)</f>
        <v/>
      </c>
      <c r="AC766" s="19">
        <f>IF(LEN(A766)=0,0,(LEN(B766)=0)+(LEN(C766)=0)+(LEN(D766)=0)+(LEN(E766)=0)+(LEN(F766)=0)+(LEN(G766)=0)+(LEN(H766)=0)+(LEN(I766)=0)+(LEN(J766)=0)+(LEN(K766)=0)+(LEN(L766)=0)+(LEN(N766)=0)+(LEN(O766)=0)+(LEN(P766)=0)+(LEN(R766)=0)+(LEN(AA766)=0))</f>
        <v/>
      </c>
      <c r="AD766" s="19">
        <f>IF(OR(LEN(A766)=0,LEN(C766)=0),0,IF(OR(C766&lt;1,C766&gt;5),1,0))</f>
        <v/>
      </c>
      <c r="AE766" s="19">
        <f>IF(OR(LEN(A766)=0,LEN(R766)=0),0,IF(OR(R766="Active",R766="Paid off",R766="Defaulted",R766="Repossessed",R766="Written off",R766="Restructured"),0,1))</f>
        <v/>
      </c>
      <c r="AF766" s="19">
        <f>IF(A766="",0,IF(N(J766)&gt;N(I766),1,0))</f>
        <v/>
      </c>
      <c r="AG766" s="19">
        <f>IF(A766="",0,IF(N(N766)&gt;N(M766)+1,1,0))</f>
        <v/>
      </c>
      <c r="AH766" s="19">
        <f>IF(A766="",0,IF(N(E766)&gt;N(B766),1,0))</f>
        <v/>
      </c>
      <c r="AI766" s="19">
        <f>IF(A766="",0,IF(AND(Z766="Full payment",N(N766)&lt;N(M766)-1),1,0))</f>
        <v/>
      </c>
      <c r="AJ766" s="19">
        <f>IF(A766="",0,IF(N(P766)&lt;0,1,0))</f>
        <v/>
      </c>
      <c r="AK766" s="19">
        <f>IF(A766="",0,IF(COUNTIF($A$7:$A$1006,A766)&gt;1,1,0))</f>
        <v/>
      </c>
    </row>
    <row r="767">
      <c r="A767" s="10" t="n"/>
      <c r="B767" s="17" t="n"/>
      <c r="C767" s="18" t="n"/>
      <c r="D767" s="10" t="n"/>
      <c r="E767" s="17" t="n"/>
      <c r="F767" s="10" t="n"/>
      <c r="G767" s="10" t="n"/>
      <c r="H767" s="10" t="n"/>
      <c r="I767" s="18" t="n"/>
      <c r="J767" s="18" t="n"/>
      <c r="K767" s="18" t="n"/>
      <c r="L767" s="18" t="n"/>
      <c r="M767" s="19">
        <f>IF(K767="","",K767*365/12*L767)</f>
        <v/>
      </c>
      <c r="N767" s="18" t="n"/>
      <c r="O767" s="18" t="n"/>
      <c r="P767" s="18" t="n"/>
      <c r="Q767" s="18" t="n"/>
      <c r="R767" s="10" t="n"/>
      <c r="S767" s="17" t="n"/>
      <c r="T767" s="18" t="n"/>
      <c r="U767" s="17" t="n"/>
      <c r="V767" s="17" t="n"/>
      <c r="W767" s="18" t="n"/>
      <c r="X767" s="18" t="n"/>
      <c r="Y767" s="17" t="n"/>
      <c r="Z767" s="10" t="n"/>
      <c r="AA767" s="10" t="n"/>
      <c r="AB767" s="19">
        <f>IF(LEN(A767)&gt;0,1,0)</f>
        <v/>
      </c>
      <c r="AC767" s="19">
        <f>IF(LEN(A767)=0,0,(LEN(B767)=0)+(LEN(C767)=0)+(LEN(D767)=0)+(LEN(E767)=0)+(LEN(F767)=0)+(LEN(G767)=0)+(LEN(H767)=0)+(LEN(I767)=0)+(LEN(J767)=0)+(LEN(K767)=0)+(LEN(L767)=0)+(LEN(N767)=0)+(LEN(O767)=0)+(LEN(P767)=0)+(LEN(R767)=0)+(LEN(AA767)=0))</f>
        <v/>
      </c>
      <c r="AD767" s="19">
        <f>IF(OR(LEN(A767)=0,LEN(C767)=0),0,IF(OR(C767&lt;1,C767&gt;5),1,0))</f>
        <v/>
      </c>
      <c r="AE767" s="19">
        <f>IF(OR(LEN(A767)=0,LEN(R767)=0),0,IF(OR(R767="Active",R767="Paid off",R767="Defaulted",R767="Repossessed",R767="Written off",R767="Restructured"),0,1))</f>
        <v/>
      </c>
      <c r="AF767" s="19">
        <f>IF(A767="",0,IF(N(J767)&gt;N(I767),1,0))</f>
        <v/>
      </c>
      <c r="AG767" s="19">
        <f>IF(A767="",0,IF(N(N767)&gt;N(M767)+1,1,0))</f>
        <v/>
      </c>
      <c r="AH767" s="19">
        <f>IF(A767="",0,IF(N(E767)&gt;N(B767),1,0))</f>
        <v/>
      </c>
      <c r="AI767" s="19">
        <f>IF(A767="",0,IF(AND(Z767="Full payment",N(N767)&lt;N(M767)-1),1,0))</f>
        <v/>
      </c>
      <c r="AJ767" s="19">
        <f>IF(A767="",0,IF(N(P767)&lt;0,1,0))</f>
        <v/>
      </c>
      <c r="AK767" s="19">
        <f>IF(A767="",0,IF(COUNTIF($A$7:$A$1006,A767)&gt;1,1,0))</f>
        <v/>
      </c>
    </row>
    <row r="768">
      <c r="A768" s="10" t="n"/>
      <c r="B768" s="17" t="n"/>
      <c r="C768" s="18" t="n"/>
      <c r="D768" s="10" t="n"/>
      <c r="E768" s="17" t="n"/>
      <c r="F768" s="10" t="n"/>
      <c r="G768" s="10" t="n"/>
      <c r="H768" s="10" t="n"/>
      <c r="I768" s="18" t="n"/>
      <c r="J768" s="18" t="n"/>
      <c r="K768" s="18" t="n"/>
      <c r="L768" s="18" t="n"/>
      <c r="M768" s="19">
        <f>IF(K768="","",K768*365/12*L768)</f>
        <v/>
      </c>
      <c r="N768" s="18" t="n"/>
      <c r="O768" s="18" t="n"/>
      <c r="P768" s="18" t="n"/>
      <c r="Q768" s="18" t="n"/>
      <c r="R768" s="10" t="n"/>
      <c r="S768" s="17" t="n"/>
      <c r="T768" s="18" t="n"/>
      <c r="U768" s="17" t="n"/>
      <c r="V768" s="17" t="n"/>
      <c r="W768" s="18" t="n"/>
      <c r="X768" s="18" t="n"/>
      <c r="Y768" s="17" t="n"/>
      <c r="Z768" s="10" t="n"/>
      <c r="AA768" s="10" t="n"/>
      <c r="AB768" s="19">
        <f>IF(LEN(A768)&gt;0,1,0)</f>
        <v/>
      </c>
      <c r="AC768" s="19">
        <f>IF(LEN(A768)=0,0,(LEN(B768)=0)+(LEN(C768)=0)+(LEN(D768)=0)+(LEN(E768)=0)+(LEN(F768)=0)+(LEN(G768)=0)+(LEN(H768)=0)+(LEN(I768)=0)+(LEN(J768)=0)+(LEN(K768)=0)+(LEN(L768)=0)+(LEN(N768)=0)+(LEN(O768)=0)+(LEN(P768)=0)+(LEN(R768)=0)+(LEN(AA768)=0))</f>
        <v/>
      </c>
      <c r="AD768" s="19">
        <f>IF(OR(LEN(A768)=0,LEN(C768)=0),0,IF(OR(C768&lt;1,C768&gt;5),1,0))</f>
        <v/>
      </c>
      <c r="AE768" s="19">
        <f>IF(OR(LEN(A768)=0,LEN(R768)=0),0,IF(OR(R768="Active",R768="Paid off",R768="Defaulted",R768="Repossessed",R768="Written off",R768="Restructured"),0,1))</f>
        <v/>
      </c>
      <c r="AF768" s="19">
        <f>IF(A768="",0,IF(N(J768)&gt;N(I768),1,0))</f>
        <v/>
      </c>
      <c r="AG768" s="19">
        <f>IF(A768="",0,IF(N(N768)&gt;N(M768)+1,1,0))</f>
        <v/>
      </c>
      <c r="AH768" s="19">
        <f>IF(A768="",0,IF(N(E768)&gt;N(B768),1,0))</f>
        <v/>
      </c>
      <c r="AI768" s="19">
        <f>IF(A768="",0,IF(AND(Z768="Full payment",N(N768)&lt;N(M768)-1),1,0))</f>
        <v/>
      </c>
      <c r="AJ768" s="19">
        <f>IF(A768="",0,IF(N(P768)&lt;0,1,0))</f>
        <v/>
      </c>
      <c r="AK768" s="19">
        <f>IF(A768="",0,IF(COUNTIF($A$7:$A$1006,A768)&gt;1,1,0))</f>
        <v/>
      </c>
    </row>
    <row r="769">
      <c r="A769" s="10" t="n"/>
      <c r="B769" s="17" t="n"/>
      <c r="C769" s="18" t="n"/>
      <c r="D769" s="10" t="n"/>
      <c r="E769" s="17" t="n"/>
      <c r="F769" s="10" t="n"/>
      <c r="G769" s="10" t="n"/>
      <c r="H769" s="10" t="n"/>
      <c r="I769" s="18" t="n"/>
      <c r="J769" s="18" t="n"/>
      <c r="K769" s="18" t="n"/>
      <c r="L769" s="18" t="n"/>
      <c r="M769" s="19">
        <f>IF(K769="","",K769*365/12*L769)</f>
        <v/>
      </c>
      <c r="N769" s="18" t="n"/>
      <c r="O769" s="18" t="n"/>
      <c r="P769" s="18" t="n"/>
      <c r="Q769" s="18" t="n"/>
      <c r="R769" s="10" t="n"/>
      <c r="S769" s="17" t="n"/>
      <c r="T769" s="18" t="n"/>
      <c r="U769" s="17" t="n"/>
      <c r="V769" s="17" t="n"/>
      <c r="W769" s="18" t="n"/>
      <c r="X769" s="18" t="n"/>
      <c r="Y769" s="17" t="n"/>
      <c r="Z769" s="10" t="n"/>
      <c r="AA769" s="10" t="n"/>
      <c r="AB769" s="19">
        <f>IF(LEN(A769)&gt;0,1,0)</f>
        <v/>
      </c>
      <c r="AC769" s="19">
        <f>IF(LEN(A769)=0,0,(LEN(B769)=0)+(LEN(C769)=0)+(LEN(D769)=0)+(LEN(E769)=0)+(LEN(F769)=0)+(LEN(G769)=0)+(LEN(H769)=0)+(LEN(I769)=0)+(LEN(J769)=0)+(LEN(K769)=0)+(LEN(L769)=0)+(LEN(N769)=0)+(LEN(O769)=0)+(LEN(P769)=0)+(LEN(R769)=0)+(LEN(AA769)=0))</f>
        <v/>
      </c>
      <c r="AD769" s="19">
        <f>IF(OR(LEN(A769)=0,LEN(C769)=0),0,IF(OR(C769&lt;1,C769&gt;5),1,0))</f>
        <v/>
      </c>
      <c r="AE769" s="19">
        <f>IF(OR(LEN(A769)=0,LEN(R769)=0),0,IF(OR(R769="Active",R769="Paid off",R769="Defaulted",R769="Repossessed",R769="Written off",R769="Restructured"),0,1))</f>
        <v/>
      </c>
      <c r="AF769" s="19">
        <f>IF(A769="",0,IF(N(J769)&gt;N(I769),1,0))</f>
        <v/>
      </c>
      <c r="AG769" s="19">
        <f>IF(A769="",0,IF(N(N769)&gt;N(M769)+1,1,0))</f>
        <v/>
      </c>
      <c r="AH769" s="19">
        <f>IF(A769="",0,IF(N(E769)&gt;N(B769),1,0))</f>
        <v/>
      </c>
      <c r="AI769" s="19">
        <f>IF(A769="",0,IF(AND(Z769="Full payment",N(N769)&lt;N(M769)-1),1,0))</f>
        <v/>
      </c>
      <c r="AJ769" s="19">
        <f>IF(A769="",0,IF(N(P769)&lt;0,1,0))</f>
        <v/>
      </c>
      <c r="AK769" s="19">
        <f>IF(A769="",0,IF(COUNTIF($A$7:$A$1006,A769)&gt;1,1,0))</f>
        <v/>
      </c>
    </row>
    <row r="770">
      <c r="A770" s="10" t="n"/>
      <c r="B770" s="17" t="n"/>
      <c r="C770" s="18" t="n"/>
      <c r="D770" s="10" t="n"/>
      <c r="E770" s="17" t="n"/>
      <c r="F770" s="10" t="n"/>
      <c r="G770" s="10" t="n"/>
      <c r="H770" s="10" t="n"/>
      <c r="I770" s="18" t="n"/>
      <c r="J770" s="18" t="n"/>
      <c r="K770" s="18" t="n"/>
      <c r="L770" s="18" t="n"/>
      <c r="M770" s="19">
        <f>IF(K770="","",K770*365/12*L770)</f>
        <v/>
      </c>
      <c r="N770" s="18" t="n"/>
      <c r="O770" s="18" t="n"/>
      <c r="P770" s="18" t="n"/>
      <c r="Q770" s="18" t="n"/>
      <c r="R770" s="10" t="n"/>
      <c r="S770" s="17" t="n"/>
      <c r="T770" s="18" t="n"/>
      <c r="U770" s="17" t="n"/>
      <c r="V770" s="17" t="n"/>
      <c r="W770" s="18" t="n"/>
      <c r="X770" s="18" t="n"/>
      <c r="Y770" s="17" t="n"/>
      <c r="Z770" s="10" t="n"/>
      <c r="AA770" s="10" t="n"/>
      <c r="AB770" s="19">
        <f>IF(LEN(A770)&gt;0,1,0)</f>
        <v/>
      </c>
      <c r="AC770" s="19">
        <f>IF(LEN(A770)=0,0,(LEN(B770)=0)+(LEN(C770)=0)+(LEN(D770)=0)+(LEN(E770)=0)+(LEN(F770)=0)+(LEN(G770)=0)+(LEN(H770)=0)+(LEN(I770)=0)+(LEN(J770)=0)+(LEN(K770)=0)+(LEN(L770)=0)+(LEN(N770)=0)+(LEN(O770)=0)+(LEN(P770)=0)+(LEN(R770)=0)+(LEN(AA770)=0))</f>
        <v/>
      </c>
      <c r="AD770" s="19">
        <f>IF(OR(LEN(A770)=0,LEN(C770)=0),0,IF(OR(C770&lt;1,C770&gt;5),1,0))</f>
        <v/>
      </c>
      <c r="AE770" s="19">
        <f>IF(OR(LEN(A770)=0,LEN(R770)=0),0,IF(OR(R770="Active",R770="Paid off",R770="Defaulted",R770="Repossessed",R770="Written off",R770="Restructured"),0,1))</f>
        <v/>
      </c>
      <c r="AF770" s="19">
        <f>IF(A770="",0,IF(N(J770)&gt;N(I770),1,0))</f>
        <v/>
      </c>
      <c r="AG770" s="19">
        <f>IF(A770="",0,IF(N(N770)&gt;N(M770)+1,1,0))</f>
        <v/>
      </c>
      <c r="AH770" s="19">
        <f>IF(A770="",0,IF(N(E770)&gt;N(B770),1,0))</f>
        <v/>
      </c>
      <c r="AI770" s="19">
        <f>IF(A770="",0,IF(AND(Z770="Full payment",N(N770)&lt;N(M770)-1),1,0))</f>
        <v/>
      </c>
      <c r="AJ770" s="19">
        <f>IF(A770="",0,IF(N(P770)&lt;0,1,0))</f>
        <v/>
      </c>
      <c r="AK770" s="19">
        <f>IF(A770="",0,IF(COUNTIF($A$7:$A$1006,A770)&gt;1,1,0))</f>
        <v/>
      </c>
    </row>
    <row r="771">
      <c r="A771" s="10" t="n"/>
      <c r="B771" s="17" t="n"/>
      <c r="C771" s="18" t="n"/>
      <c r="D771" s="10" t="n"/>
      <c r="E771" s="17" t="n"/>
      <c r="F771" s="10" t="n"/>
      <c r="G771" s="10" t="n"/>
      <c r="H771" s="10" t="n"/>
      <c r="I771" s="18" t="n"/>
      <c r="J771" s="18" t="n"/>
      <c r="K771" s="18" t="n"/>
      <c r="L771" s="18" t="n"/>
      <c r="M771" s="19">
        <f>IF(K771="","",K771*365/12*L771)</f>
        <v/>
      </c>
      <c r="N771" s="18" t="n"/>
      <c r="O771" s="18" t="n"/>
      <c r="P771" s="18" t="n"/>
      <c r="Q771" s="18" t="n"/>
      <c r="R771" s="10" t="n"/>
      <c r="S771" s="17" t="n"/>
      <c r="T771" s="18" t="n"/>
      <c r="U771" s="17" t="n"/>
      <c r="V771" s="17" t="n"/>
      <c r="W771" s="18" t="n"/>
      <c r="X771" s="18" t="n"/>
      <c r="Y771" s="17" t="n"/>
      <c r="Z771" s="10" t="n"/>
      <c r="AA771" s="10" t="n"/>
      <c r="AB771" s="19">
        <f>IF(LEN(A771)&gt;0,1,0)</f>
        <v/>
      </c>
      <c r="AC771" s="19">
        <f>IF(LEN(A771)=0,0,(LEN(B771)=0)+(LEN(C771)=0)+(LEN(D771)=0)+(LEN(E771)=0)+(LEN(F771)=0)+(LEN(G771)=0)+(LEN(H771)=0)+(LEN(I771)=0)+(LEN(J771)=0)+(LEN(K771)=0)+(LEN(L771)=0)+(LEN(N771)=0)+(LEN(O771)=0)+(LEN(P771)=0)+(LEN(R771)=0)+(LEN(AA771)=0))</f>
        <v/>
      </c>
      <c r="AD771" s="19">
        <f>IF(OR(LEN(A771)=0,LEN(C771)=0),0,IF(OR(C771&lt;1,C771&gt;5),1,0))</f>
        <v/>
      </c>
      <c r="AE771" s="19">
        <f>IF(OR(LEN(A771)=0,LEN(R771)=0),0,IF(OR(R771="Active",R771="Paid off",R771="Defaulted",R771="Repossessed",R771="Written off",R771="Restructured"),0,1))</f>
        <v/>
      </c>
      <c r="AF771" s="19">
        <f>IF(A771="",0,IF(N(J771)&gt;N(I771),1,0))</f>
        <v/>
      </c>
      <c r="AG771" s="19">
        <f>IF(A771="",0,IF(N(N771)&gt;N(M771)+1,1,0))</f>
        <v/>
      </c>
      <c r="AH771" s="19">
        <f>IF(A771="",0,IF(N(E771)&gt;N(B771),1,0))</f>
        <v/>
      </c>
      <c r="AI771" s="19">
        <f>IF(A771="",0,IF(AND(Z771="Full payment",N(N771)&lt;N(M771)-1),1,0))</f>
        <v/>
      </c>
      <c r="AJ771" s="19">
        <f>IF(A771="",0,IF(N(P771)&lt;0,1,0))</f>
        <v/>
      </c>
      <c r="AK771" s="19">
        <f>IF(A771="",0,IF(COUNTIF($A$7:$A$1006,A771)&gt;1,1,0))</f>
        <v/>
      </c>
    </row>
    <row r="772">
      <c r="A772" s="10" t="n"/>
      <c r="B772" s="17" t="n"/>
      <c r="C772" s="18" t="n"/>
      <c r="D772" s="10" t="n"/>
      <c r="E772" s="17" t="n"/>
      <c r="F772" s="10" t="n"/>
      <c r="G772" s="10" t="n"/>
      <c r="H772" s="10" t="n"/>
      <c r="I772" s="18" t="n"/>
      <c r="J772" s="18" t="n"/>
      <c r="K772" s="18" t="n"/>
      <c r="L772" s="18" t="n"/>
      <c r="M772" s="19">
        <f>IF(K772="","",K772*365/12*L772)</f>
        <v/>
      </c>
      <c r="N772" s="18" t="n"/>
      <c r="O772" s="18" t="n"/>
      <c r="P772" s="18" t="n"/>
      <c r="Q772" s="18" t="n"/>
      <c r="R772" s="10" t="n"/>
      <c r="S772" s="17" t="n"/>
      <c r="T772" s="18" t="n"/>
      <c r="U772" s="17" t="n"/>
      <c r="V772" s="17" t="n"/>
      <c r="W772" s="18" t="n"/>
      <c r="X772" s="18" t="n"/>
      <c r="Y772" s="17" t="n"/>
      <c r="Z772" s="10" t="n"/>
      <c r="AA772" s="10" t="n"/>
      <c r="AB772" s="19">
        <f>IF(LEN(A772)&gt;0,1,0)</f>
        <v/>
      </c>
      <c r="AC772" s="19">
        <f>IF(LEN(A772)=0,0,(LEN(B772)=0)+(LEN(C772)=0)+(LEN(D772)=0)+(LEN(E772)=0)+(LEN(F772)=0)+(LEN(G772)=0)+(LEN(H772)=0)+(LEN(I772)=0)+(LEN(J772)=0)+(LEN(K772)=0)+(LEN(L772)=0)+(LEN(N772)=0)+(LEN(O772)=0)+(LEN(P772)=0)+(LEN(R772)=0)+(LEN(AA772)=0))</f>
        <v/>
      </c>
      <c r="AD772" s="19">
        <f>IF(OR(LEN(A772)=0,LEN(C772)=0),0,IF(OR(C772&lt;1,C772&gt;5),1,0))</f>
        <v/>
      </c>
      <c r="AE772" s="19">
        <f>IF(OR(LEN(A772)=0,LEN(R772)=0),0,IF(OR(R772="Active",R772="Paid off",R772="Defaulted",R772="Repossessed",R772="Written off",R772="Restructured"),0,1))</f>
        <v/>
      </c>
      <c r="AF772" s="19">
        <f>IF(A772="",0,IF(N(J772)&gt;N(I772),1,0))</f>
        <v/>
      </c>
      <c r="AG772" s="19">
        <f>IF(A772="",0,IF(N(N772)&gt;N(M772)+1,1,0))</f>
        <v/>
      </c>
      <c r="AH772" s="19">
        <f>IF(A772="",0,IF(N(E772)&gt;N(B772),1,0))</f>
        <v/>
      </c>
      <c r="AI772" s="19">
        <f>IF(A772="",0,IF(AND(Z772="Full payment",N(N772)&lt;N(M772)-1),1,0))</f>
        <v/>
      </c>
      <c r="AJ772" s="19">
        <f>IF(A772="",0,IF(N(P772)&lt;0,1,0))</f>
        <v/>
      </c>
      <c r="AK772" s="19">
        <f>IF(A772="",0,IF(COUNTIF($A$7:$A$1006,A772)&gt;1,1,0))</f>
        <v/>
      </c>
    </row>
    <row r="773">
      <c r="A773" s="10" t="n"/>
      <c r="B773" s="17" t="n"/>
      <c r="C773" s="18" t="n"/>
      <c r="D773" s="10" t="n"/>
      <c r="E773" s="17" t="n"/>
      <c r="F773" s="10" t="n"/>
      <c r="G773" s="10" t="n"/>
      <c r="H773" s="10" t="n"/>
      <c r="I773" s="18" t="n"/>
      <c r="J773" s="18" t="n"/>
      <c r="K773" s="18" t="n"/>
      <c r="L773" s="18" t="n"/>
      <c r="M773" s="19">
        <f>IF(K773="","",K773*365/12*L773)</f>
        <v/>
      </c>
      <c r="N773" s="18" t="n"/>
      <c r="O773" s="18" t="n"/>
      <c r="P773" s="18" t="n"/>
      <c r="Q773" s="18" t="n"/>
      <c r="R773" s="10" t="n"/>
      <c r="S773" s="17" t="n"/>
      <c r="T773" s="18" t="n"/>
      <c r="U773" s="17" t="n"/>
      <c r="V773" s="17" t="n"/>
      <c r="W773" s="18" t="n"/>
      <c r="X773" s="18" t="n"/>
      <c r="Y773" s="17" t="n"/>
      <c r="Z773" s="10" t="n"/>
      <c r="AA773" s="10" t="n"/>
      <c r="AB773" s="19">
        <f>IF(LEN(A773)&gt;0,1,0)</f>
        <v/>
      </c>
      <c r="AC773" s="19">
        <f>IF(LEN(A773)=0,0,(LEN(B773)=0)+(LEN(C773)=0)+(LEN(D773)=0)+(LEN(E773)=0)+(LEN(F773)=0)+(LEN(G773)=0)+(LEN(H773)=0)+(LEN(I773)=0)+(LEN(J773)=0)+(LEN(K773)=0)+(LEN(L773)=0)+(LEN(N773)=0)+(LEN(O773)=0)+(LEN(P773)=0)+(LEN(R773)=0)+(LEN(AA773)=0))</f>
        <v/>
      </c>
      <c r="AD773" s="19">
        <f>IF(OR(LEN(A773)=0,LEN(C773)=0),0,IF(OR(C773&lt;1,C773&gt;5),1,0))</f>
        <v/>
      </c>
      <c r="AE773" s="19">
        <f>IF(OR(LEN(A773)=0,LEN(R773)=0),0,IF(OR(R773="Active",R773="Paid off",R773="Defaulted",R773="Repossessed",R773="Written off",R773="Restructured"),0,1))</f>
        <v/>
      </c>
      <c r="AF773" s="19">
        <f>IF(A773="",0,IF(N(J773)&gt;N(I773),1,0))</f>
        <v/>
      </c>
      <c r="AG773" s="19">
        <f>IF(A773="",0,IF(N(N773)&gt;N(M773)+1,1,0))</f>
        <v/>
      </c>
      <c r="AH773" s="19">
        <f>IF(A773="",0,IF(N(E773)&gt;N(B773),1,0))</f>
        <v/>
      </c>
      <c r="AI773" s="19">
        <f>IF(A773="",0,IF(AND(Z773="Full payment",N(N773)&lt;N(M773)-1),1,0))</f>
        <v/>
      </c>
      <c r="AJ773" s="19">
        <f>IF(A773="",0,IF(N(P773)&lt;0,1,0))</f>
        <v/>
      </c>
      <c r="AK773" s="19">
        <f>IF(A773="",0,IF(COUNTIF($A$7:$A$1006,A773)&gt;1,1,0))</f>
        <v/>
      </c>
    </row>
    <row r="774">
      <c r="A774" s="10" t="n"/>
      <c r="B774" s="17" t="n"/>
      <c r="C774" s="18" t="n"/>
      <c r="D774" s="10" t="n"/>
      <c r="E774" s="17" t="n"/>
      <c r="F774" s="10" t="n"/>
      <c r="G774" s="10" t="n"/>
      <c r="H774" s="10" t="n"/>
      <c r="I774" s="18" t="n"/>
      <c r="J774" s="18" t="n"/>
      <c r="K774" s="18" t="n"/>
      <c r="L774" s="18" t="n"/>
      <c r="M774" s="19">
        <f>IF(K774="","",K774*365/12*L774)</f>
        <v/>
      </c>
      <c r="N774" s="18" t="n"/>
      <c r="O774" s="18" t="n"/>
      <c r="P774" s="18" t="n"/>
      <c r="Q774" s="18" t="n"/>
      <c r="R774" s="10" t="n"/>
      <c r="S774" s="17" t="n"/>
      <c r="T774" s="18" t="n"/>
      <c r="U774" s="17" t="n"/>
      <c r="V774" s="17" t="n"/>
      <c r="W774" s="18" t="n"/>
      <c r="X774" s="18" t="n"/>
      <c r="Y774" s="17" t="n"/>
      <c r="Z774" s="10" t="n"/>
      <c r="AA774" s="10" t="n"/>
      <c r="AB774" s="19">
        <f>IF(LEN(A774)&gt;0,1,0)</f>
        <v/>
      </c>
      <c r="AC774" s="19">
        <f>IF(LEN(A774)=0,0,(LEN(B774)=0)+(LEN(C774)=0)+(LEN(D774)=0)+(LEN(E774)=0)+(LEN(F774)=0)+(LEN(G774)=0)+(LEN(H774)=0)+(LEN(I774)=0)+(LEN(J774)=0)+(LEN(K774)=0)+(LEN(L774)=0)+(LEN(N774)=0)+(LEN(O774)=0)+(LEN(P774)=0)+(LEN(R774)=0)+(LEN(AA774)=0))</f>
        <v/>
      </c>
      <c r="AD774" s="19">
        <f>IF(OR(LEN(A774)=0,LEN(C774)=0),0,IF(OR(C774&lt;1,C774&gt;5),1,0))</f>
        <v/>
      </c>
      <c r="AE774" s="19">
        <f>IF(OR(LEN(A774)=0,LEN(R774)=0),0,IF(OR(R774="Active",R774="Paid off",R774="Defaulted",R774="Repossessed",R774="Written off",R774="Restructured"),0,1))</f>
        <v/>
      </c>
      <c r="AF774" s="19">
        <f>IF(A774="",0,IF(N(J774)&gt;N(I774),1,0))</f>
        <v/>
      </c>
      <c r="AG774" s="19">
        <f>IF(A774="",0,IF(N(N774)&gt;N(M774)+1,1,0))</f>
        <v/>
      </c>
      <c r="AH774" s="19">
        <f>IF(A774="",0,IF(N(E774)&gt;N(B774),1,0))</f>
        <v/>
      </c>
      <c r="AI774" s="19">
        <f>IF(A774="",0,IF(AND(Z774="Full payment",N(N774)&lt;N(M774)-1),1,0))</f>
        <v/>
      </c>
      <c r="AJ774" s="19">
        <f>IF(A774="",0,IF(N(P774)&lt;0,1,0))</f>
        <v/>
      </c>
      <c r="AK774" s="19">
        <f>IF(A774="",0,IF(COUNTIF($A$7:$A$1006,A774)&gt;1,1,0))</f>
        <v/>
      </c>
    </row>
    <row r="775">
      <c r="A775" s="10" t="n"/>
      <c r="B775" s="17" t="n"/>
      <c r="C775" s="18" t="n"/>
      <c r="D775" s="10" t="n"/>
      <c r="E775" s="17" t="n"/>
      <c r="F775" s="10" t="n"/>
      <c r="G775" s="10" t="n"/>
      <c r="H775" s="10" t="n"/>
      <c r="I775" s="18" t="n"/>
      <c r="J775" s="18" t="n"/>
      <c r="K775" s="18" t="n"/>
      <c r="L775" s="18" t="n"/>
      <c r="M775" s="19">
        <f>IF(K775="","",K775*365/12*L775)</f>
        <v/>
      </c>
      <c r="N775" s="18" t="n"/>
      <c r="O775" s="18" t="n"/>
      <c r="P775" s="18" t="n"/>
      <c r="Q775" s="18" t="n"/>
      <c r="R775" s="10" t="n"/>
      <c r="S775" s="17" t="n"/>
      <c r="T775" s="18" t="n"/>
      <c r="U775" s="17" t="n"/>
      <c r="V775" s="17" t="n"/>
      <c r="W775" s="18" t="n"/>
      <c r="X775" s="18" t="n"/>
      <c r="Y775" s="17" t="n"/>
      <c r="Z775" s="10" t="n"/>
      <c r="AA775" s="10" t="n"/>
      <c r="AB775" s="19">
        <f>IF(LEN(A775)&gt;0,1,0)</f>
        <v/>
      </c>
      <c r="AC775" s="19">
        <f>IF(LEN(A775)=0,0,(LEN(B775)=0)+(LEN(C775)=0)+(LEN(D775)=0)+(LEN(E775)=0)+(LEN(F775)=0)+(LEN(G775)=0)+(LEN(H775)=0)+(LEN(I775)=0)+(LEN(J775)=0)+(LEN(K775)=0)+(LEN(L775)=0)+(LEN(N775)=0)+(LEN(O775)=0)+(LEN(P775)=0)+(LEN(R775)=0)+(LEN(AA775)=0))</f>
        <v/>
      </c>
      <c r="AD775" s="19">
        <f>IF(OR(LEN(A775)=0,LEN(C775)=0),0,IF(OR(C775&lt;1,C775&gt;5),1,0))</f>
        <v/>
      </c>
      <c r="AE775" s="19">
        <f>IF(OR(LEN(A775)=0,LEN(R775)=0),0,IF(OR(R775="Active",R775="Paid off",R775="Defaulted",R775="Repossessed",R775="Written off",R775="Restructured"),0,1))</f>
        <v/>
      </c>
      <c r="AF775" s="19">
        <f>IF(A775="",0,IF(N(J775)&gt;N(I775),1,0))</f>
        <v/>
      </c>
      <c r="AG775" s="19">
        <f>IF(A775="",0,IF(N(N775)&gt;N(M775)+1,1,0))</f>
        <v/>
      </c>
      <c r="AH775" s="19">
        <f>IF(A775="",0,IF(N(E775)&gt;N(B775),1,0))</f>
        <v/>
      </c>
      <c r="AI775" s="19">
        <f>IF(A775="",0,IF(AND(Z775="Full payment",N(N775)&lt;N(M775)-1),1,0))</f>
        <v/>
      </c>
      <c r="AJ775" s="19">
        <f>IF(A775="",0,IF(N(P775)&lt;0,1,0))</f>
        <v/>
      </c>
      <c r="AK775" s="19">
        <f>IF(A775="",0,IF(COUNTIF($A$7:$A$1006,A775)&gt;1,1,0))</f>
        <v/>
      </c>
    </row>
    <row r="776">
      <c r="A776" s="10" t="n"/>
      <c r="B776" s="17" t="n"/>
      <c r="C776" s="18" t="n"/>
      <c r="D776" s="10" t="n"/>
      <c r="E776" s="17" t="n"/>
      <c r="F776" s="10" t="n"/>
      <c r="G776" s="10" t="n"/>
      <c r="H776" s="10" t="n"/>
      <c r="I776" s="18" t="n"/>
      <c r="J776" s="18" t="n"/>
      <c r="K776" s="18" t="n"/>
      <c r="L776" s="18" t="n"/>
      <c r="M776" s="19">
        <f>IF(K776="","",K776*365/12*L776)</f>
        <v/>
      </c>
      <c r="N776" s="18" t="n"/>
      <c r="O776" s="18" t="n"/>
      <c r="P776" s="18" t="n"/>
      <c r="Q776" s="18" t="n"/>
      <c r="R776" s="10" t="n"/>
      <c r="S776" s="17" t="n"/>
      <c r="T776" s="18" t="n"/>
      <c r="U776" s="17" t="n"/>
      <c r="V776" s="17" t="n"/>
      <c r="W776" s="18" t="n"/>
      <c r="X776" s="18" t="n"/>
      <c r="Y776" s="17" t="n"/>
      <c r="Z776" s="10" t="n"/>
      <c r="AA776" s="10" t="n"/>
      <c r="AB776" s="19">
        <f>IF(LEN(A776)&gt;0,1,0)</f>
        <v/>
      </c>
      <c r="AC776" s="19">
        <f>IF(LEN(A776)=0,0,(LEN(B776)=0)+(LEN(C776)=0)+(LEN(D776)=0)+(LEN(E776)=0)+(LEN(F776)=0)+(LEN(G776)=0)+(LEN(H776)=0)+(LEN(I776)=0)+(LEN(J776)=0)+(LEN(K776)=0)+(LEN(L776)=0)+(LEN(N776)=0)+(LEN(O776)=0)+(LEN(P776)=0)+(LEN(R776)=0)+(LEN(AA776)=0))</f>
        <v/>
      </c>
      <c r="AD776" s="19">
        <f>IF(OR(LEN(A776)=0,LEN(C776)=0),0,IF(OR(C776&lt;1,C776&gt;5),1,0))</f>
        <v/>
      </c>
      <c r="AE776" s="19">
        <f>IF(OR(LEN(A776)=0,LEN(R776)=0),0,IF(OR(R776="Active",R776="Paid off",R776="Defaulted",R776="Repossessed",R776="Written off",R776="Restructured"),0,1))</f>
        <v/>
      </c>
      <c r="AF776" s="19">
        <f>IF(A776="",0,IF(N(J776)&gt;N(I776),1,0))</f>
        <v/>
      </c>
      <c r="AG776" s="19">
        <f>IF(A776="",0,IF(N(N776)&gt;N(M776)+1,1,0))</f>
        <v/>
      </c>
      <c r="AH776" s="19">
        <f>IF(A776="",0,IF(N(E776)&gt;N(B776),1,0))</f>
        <v/>
      </c>
      <c r="AI776" s="19">
        <f>IF(A776="",0,IF(AND(Z776="Full payment",N(N776)&lt;N(M776)-1),1,0))</f>
        <v/>
      </c>
      <c r="AJ776" s="19">
        <f>IF(A776="",0,IF(N(P776)&lt;0,1,0))</f>
        <v/>
      </c>
      <c r="AK776" s="19">
        <f>IF(A776="",0,IF(COUNTIF($A$7:$A$1006,A776)&gt;1,1,0))</f>
        <v/>
      </c>
    </row>
    <row r="777">
      <c r="A777" s="10" t="n"/>
      <c r="B777" s="17" t="n"/>
      <c r="C777" s="18" t="n"/>
      <c r="D777" s="10" t="n"/>
      <c r="E777" s="17" t="n"/>
      <c r="F777" s="10" t="n"/>
      <c r="G777" s="10" t="n"/>
      <c r="H777" s="10" t="n"/>
      <c r="I777" s="18" t="n"/>
      <c r="J777" s="18" t="n"/>
      <c r="K777" s="18" t="n"/>
      <c r="L777" s="18" t="n"/>
      <c r="M777" s="19">
        <f>IF(K777="","",K777*365/12*L777)</f>
        <v/>
      </c>
      <c r="N777" s="18" t="n"/>
      <c r="O777" s="18" t="n"/>
      <c r="P777" s="18" t="n"/>
      <c r="Q777" s="18" t="n"/>
      <c r="R777" s="10" t="n"/>
      <c r="S777" s="17" t="n"/>
      <c r="T777" s="18" t="n"/>
      <c r="U777" s="17" t="n"/>
      <c r="V777" s="17" t="n"/>
      <c r="W777" s="18" t="n"/>
      <c r="X777" s="18" t="n"/>
      <c r="Y777" s="17" t="n"/>
      <c r="Z777" s="10" t="n"/>
      <c r="AA777" s="10" t="n"/>
      <c r="AB777" s="19">
        <f>IF(LEN(A777)&gt;0,1,0)</f>
        <v/>
      </c>
      <c r="AC777" s="19">
        <f>IF(LEN(A777)=0,0,(LEN(B777)=0)+(LEN(C777)=0)+(LEN(D777)=0)+(LEN(E777)=0)+(LEN(F777)=0)+(LEN(G777)=0)+(LEN(H777)=0)+(LEN(I777)=0)+(LEN(J777)=0)+(LEN(K777)=0)+(LEN(L777)=0)+(LEN(N777)=0)+(LEN(O777)=0)+(LEN(P777)=0)+(LEN(R777)=0)+(LEN(AA777)=0))</f>
        <v/>
      </c>
      <c r="AD777" s="19">
        <f>IF(OR(LEN(A777)=0,LEN(C777)=0),0,IF(OR(C777&lt;1,C777&gt;5),1,0))</f>
        <v/>
      </c>
      <c r="AE777" s="19">
        <f>IF(OR(LEN(A777)=0,LEN(R777)=0),0,IF(OR(R777="Active",R777="Paid off",R777="Defaulted",R777="Repossessed",R777="Written off",R777="Restructured"),0,1))</f>
        <v/>
      </c>
      <c r="AF777" s="19">
        <f>IF(A777="",0,IF(N(J777)&gt;N(I777),1,0))</f>
        <v/>
      </c>
      <c r="AG777" s="19">
        <f>IF(A777="",0,IF(N(N777)&gt;N(M777)+1,1,0))</f>
        <v/>
      </c>
      <c r="AH777" s="19">
        <f>IF(A777="",0,IF(N(E777)&gt;N(B777),1,0))</f>
        <v/>
      </c>
      <c r="AI777" s="19">
        <f>IF(A777="",0,IF(AND(Z777="Full payment",N(N777)&lt;N(M777)-1),1,0))</f>
        <v/>
      </c>
      <c r="AJ777" s="19">
        <f>IF(A777="",0,IF(N(P777)&lt;0,1,0))</f>
        <v/>
      </c>
      <c r="AK777" s="19">
        <f>IF(A777="",0,IF(COUNTIF($A$7:$A$1006,A777)&gt;1,1,0))</f>
        <v/>
      </c>
    </row>
    <row r="778">
      <c r="A778" s="10" t="n"/>
      <c r="B778" s="17" t="n"/>
      <c r="C778" s="18" t="n"/>
      <c r="D778" s="10" t="n"/>
      <c r="E778" s="17" t="n"/>
      <c r="F778" s="10" t="n"/>
      <c r="G778" s="10" t="n"/>
      <c r="H778" s="10" t="n"/>
      <c r="I778" s="18" t="n"/>
      <c r="J778" s="18" t="n"/>
      <c r="K778" s="18" t="n"/>
      <c r="L778" s="18" t="n"/>
      <c r="M778" s="19">
        <f>IF(K778="","",K778*365/12*L778)</f>
        <v/>
      </c>
      <c r="N778" s="18" t="n"/>
      <c r="O778" s="18" t="n"/>
      <c r="P778" s="18" t="n"/>
      <c r="Q778" s="18" t="n"/>
      <c r="R778" s="10" t="n"/>
      <c r="S778" s="17" t="n"/>
      <c r="T778" s="18" t="n"/>
      <c r="U778" s="17" t="n"/>
      <c r="V778" s="17" t="n"/>
      <c r="W778" s="18" t="n"/>
      <c r="X778" s="18" t="n"/>
      <c r="Y778" s="17" t="n"/>
      <c r="Z778" s="10" t="n"/>
      <c r="AA778" s="10" t="n"/>
      <c r="AB778" s="19">
        <f>IF(LEN(A778)&gt;0,1,0)</f>
        <v/>
      </c>
      <c r="AC778" s="19">
        <f>IF(LEN(A778)=0,0,(LEN(B778)=0)+(LEN(C778)=0)+(LEN(D778)=0)+(LEN(E778)=0)+(LEN(F778)=0)+(LEN(G778)=0)+(LEN(H778)=0)+(LEN(I778)=0)+(LEN(J778)=0)+(LEN(K778)=0)+(LEN(L778)=0)+(LEN(N778)=0)+(LEN(O778)=0)+(LEN(P778)=0)+(LEN(R778)=0)+(LEN(AA778)=0))</f>
        <v/>
      </c>
      <c r="AD778" s="19">
        <f>IF(OR(LEN(A778)=0,LEN(C778)=0),0,IF(OR(C778&lt;1,C778&gt;5),1,0))</f>
        <v/>
      </c>
      <c r="AE778" s="19">
        <f>IF(OR(LEN(A778)=0,LEN(R778)=0),0,IF(OR(R778="Active",R778="Paid off",R778="Defaulted",R778="Repossessed",R778="Written off",R778="Restructured"),0,1))</f>
        <v/>
      </c>
      <c r="AF778" s="19">
        <f>IF(A778="",0,IF(N(J778)&gt;N(I778),1,0))</f>
        <v/>
      </c>
      <c r="AG778" s="19">
        <f>IF(A778="",0,IF(N(N778)&gt;N(M778)+1,1,0))</f>
        <v/>
      </c>
      <c r="AH778" s="19">
        <f>IF(A778="",0,IF(N(E778)&gt;N(B778),1,0))</f>
        <v/>
      </c>
      <c r="AI778" s="19">
        <f>IF(A778="",0,IF(AND(Z778="Full payment",N(N778)&lt;N(M778)-1),1,0))</f>
        <v/>
      </c>
      <c r="AJ778" s="19">
        <f>IF(A778="",0,IF(N(P778)&lt;0,1,0))</f>
        <v/>
      </c>
      <c r="AK778" s="19">
        <f>IF(A778="",0,IF(COUNTIF($A$7:$A$1006,A778)&gt;1,1,0))</f>
        <v/>
      </c>
    </row>
    <row r="779">
      <c r="A779" s="10" t="n"/>
      <c r="B779" s="17" t="n"/>
      <c r="C779" s="18" t="n"/>
      <c r="D779" s="10" t="n"/>
      <c r="E779" s="17" t="n"/>
      <c r="F779" s="10" t="n"/>
      <c r="G779" s="10" t="n"/>
      <c r="H779" s="10" t="n"/>
      <c r="I779" s="18" t="n"/>
      <c r="J779" s="18" t="n"/>
      <c r="K779" s="18" t="n"/>
      <c r="L779" s="18" t="n"/>
      <c r="M779" s="19">
        <f>IF(K779="","",K779*365/12*L779)</f>
        <v/>
      </c>
      <c r="N779" s="18" t="n"/>
      <c r="O779" s="18" t="n"/>
      <c r="P779" s="18" t="n"/>
      <c r="Q779" s="18" t="n"/>
      <c r="R779" s="10" t="n"/>
      <c r="S779" s="17" t="n"/>
      <c r="T779" s="18" t="n"/>
      <c r="U779" s="17" t="n"/>
      <c r="V779" s="17" t="n"/>
      <c r="W779" s="18" t="n"/>
      <c r="X779" s="18" t="n"/>
      <c r="Y779" s="17" t="n"/>
      <c r="Z779" s="10" t="n"/>
      <c r="AA779" s="10" t="n"/>
      <c r="AB779" s="19">
        <f>IF(LEN(A779)&gt;0,1,0)</f>
        <v/>
      </c>
      <c r="AC779" s="19">
        <f>IF(LEN(A779)=0,0,(LEN(B779)=0)+(LEN(C779)=0)+(LEN(D779)=0)+(LEN(E779)=0)+(LEN(F779)=0)+(LEN(G779)=0)+(LEN(H779)=0)+(LEN(I779)=0)+(LEN(J779)=0)+(LEN(K779)=0)+(LEN(L779)=0)+(LEN(N779)=0)+(LEN(O779)=0)+(LEN(P779)=0)+(LEN(R779)=0)+(LEN(AA779)=0))</f>
        <v/>
      </c>
      <c r="AD779" s="19">
        <f>IF(OR(LEN(A779)=0,LEN(C779)=0),0,IF(OR(C779&lt;1,C779&gt;5),1,0))</f>
        <v/>
      </c>
      <c r="AE779" s="19">
        <f>IF(OR(LEN(A779)=0,LEN(R779)=0),0,IF(OR(R779="Active",R779="Paid off",R779="Defaulted",R779="Repossessed",R779="Written off",R779="Restructured"),0,1))</f>
        <v/>
      </c>
      <c r="AF779" s="19">
        <f>IF(A779="",0,IF(N(J779)&gt;N(I779),1,0))</f>
        <v/>
      </c>
      <c r="AG779" s="19">
        <f>IF(A779="",0,IF(N(N779)&gt;N(M779)+1,1,0))</f>
        <v/>
      </c>
      <c r="AH779" s="19">
        <f>IF(A779="",0,IF(N(E779)&gt;N(B779),1,0))</f>
        <v/>
      </c>
      <c r="AI779" s="19">
        <f>IF(A779="",0,IF(AND(Z779="Full payment",N(N779)&lt;N(M779)-1),1,0))</f>
        <v/>
      </c>
      <c r="AJ779" s="19">
        <f>IF(A779="",0,IF(N(P779)&lt;0,1,0))</f>
        <v/>
      </c>
      <c r="AK779" s="19">
        <f>IF(A779="",0,IF(COUNTIF($A$7:$A$1006,A779)&gt;1,1,0))</f>
        <v/>
      </c>
    </row>
    <row r="780">
      <c r="A780" s="10" t="n"/>
      <c r="B780" s="17" t="n"/>
      <c r="C780" s="18" t="n"/>
      <c r="D780" s="10" t="n"/>
      <c r="E780" s="17" t="n"/>
      <c r="F780" s="10" t="n"/>
      <c r="G780" s="10" t="n"/>
      <c r="H780" s="10" t="n"/>
      <c r="I780" s="18" t="n"/>
      <c r="J780" s="18" t="n"/>
      <c r="K780" s="18" t="n"/>
      <c r="L780" s="18" t="n"/>
      <c r="M780" s="19">
        <f>IF(K780="","",K780*365/12*L780)</f>
        <v/>
      </c>
      <c r="N780" s="18" t="n"/>
      <c r="O780" s="18" t="n"/>
      <c r="P780" s="18" t="n"/>
      <c r="Q780" s="18" t="n"/>
      <c r="R780" s="10" t="n"/>
      <c r="S780" s="17" t="n"/>
      <c r="T780" s="18" t="n"/>
      <c r="U780" s="17" t="n"/>
      <c r="V780" s="17" t="n"/>
      <c r="W780" s="18" t="n"/>
      <c r="X780" s="18" t="n"/>
      <c r="Y780" s="17" t="n"/>
      <c r="Z780" s="10" t="n"/>
      <c r="AA780" s="10" t="n"/>
      <c r="AB780" s="19">
        <f>IF(LEN(A780)&gt;0,1,0)</f>
        <v/>
      </c>
      <c r="AC780" s="19">
        <f>IF(LEN(A780)=0,0,(LEN(B780)=0)+(LEN(C780)=0)+(LEN(D780)=0)+(LEN(E780)=0)+(LEN(F780)=0)+(LEN(G780)=0)+(LEN(H780)=0)+(LEN(I780)=0)+(LEN(J780)=0)+(LEN(K780)=0)+(LEN(L780)=0)+(LEN(N780)=0)+(LEN(O780)=0)+(LEN(P780)=0)+(LEN(R780)=0)+(LEN(AA780)=0))</f>
        <v/>
      </c>
      <c r="AD780" s="19">
        <f>IF(OR(LEN(A780)=0,LEN(C780)=0),0,IF(OR(C780&lt;1,C780&gt;5),1,0))</f>
        <v/>
      </c>
      <c r="AE780" s="19">
        <f>IF(OR(LEN(A780)=0,LEN(R780)=0),0,IF(OR(R780="Active",R780="Paid off",R780="Defaulted",R780="Repossessed",R780="Written off",R780="Restructured"),0,1))</f>
        <v/>
      </c>
      <c r="AF780" s="19">
        <f>IF(A780="",0,IF(N(J780)&gt;N(I780),1,0))</f>
        <v/>
      </c>
      <c r="AG780" s="19">
        <f>IF(A780="",0,IF(N(N780)&gt;N(M780)+1,1,0))</f>
        <v/>
      </c>
      <c r="AH780" s="19">
        <f>IF(A780="",0,IF(N(E780)&gt;N(B780),1,0))</f>
        <v/>
      </c>
      <c r="AI780" s="19">
        <f>IF(A780="",0,IF(AND(Z780="Full payment",N(N780)&lt;N(M780)-1),1,0))</f>
        <v/>
      </c>
      <c r="AJ780" s="19">
        <f>IF(A780="",0,IF(N(P780)&lt;0,1,0))</f>
        <v/>
      </c>
      <c r="AK780" s="19">
        <f>IF(A780="",0,IF(COUNTIF($A$7:$A$1006,A780)&gt;1,1,0))</f>
        <v/>
      </c>
    </row>
    <row r="781">
      <c r="A781" s="10" t="n"/>
      <c r="B781" s="17" t="n"/>
      <c r="C781" s="18" t="n"/>
      <c r="D781" s="10" t="n"/>
      <c r="E781" s="17" t="n"/>
      <c r="F781" s="10" t="n"/>
      <c r="G781" s="10" t="n"/>
      <c r="H781" s="10" t="n"/>
      <c r="I781" s="18" t="n"/>
      <c r="J781" s="18" t="n"/>
      <c r="K781" s="18" t="n"/>
      <c r="L781" s="18" t="n"/>
      <c r="M781" s="19">
        <f>IF(K781="","",K781*365/12*L781)</f>
        <v/>
      </c>
      <c r="N781" s="18" t="n"/>
      <c r="O781" s="18" t="n"/>
      <c r="P781" s="18" t="n"/>
      <c r="Q781" s="18" t="n"/>
      <c r="R781" s="10" t="n"/>
      <c r="S781" s="17" t="n"/>
      <c r="T781" s="18" t="n"/>
      <c r="U781" s="17" t="n"/>
      <c r="V781" s="17" t="n"/>
      <c r="W781" s="18" t="n"/>
      <c r="X781" s="18" t="n"/>
      <c r="Y781" s="17" t="n"/>
      <c r="Z781" s="10" t="n"/>
      <c r="AA781" s="10" t="n"/>
      <c r="AB781" s="19">
        <f>IF(LEN(A781)&gt;0,1,0)</f>
        <v/>
      </c>
      <c r="AC781" s="19">
        <f>IF(LEN(A781)=0,0,(LEN(B781)=0)+(LEN(C781)=0)+(LEN(D781)=0)+(LEN(E781)=0)+(LEN(F781)=0)+(LEN(G781)=0)+(LEN(H781)=0)+(LEN(I781)=0)+(LEN(J781)=0)+(LEN(K781)=0)+(LEN(L781)=0)+(LEN(N781)=0)+(LEN(O781)=0)+(LEN(P781)=0)+(LEN(R781)=0)+(LEN(AA781)=0))</f>
        <v/>
      </c>
      <c r="AD781" s="19">
        <f>IF(OR(LEN(A781)=0,LEN(C781)=0),0,IF(OR(C781&lt;1,C781&gt;5),1,0))</f>
        <v/>
      </c>
      <c r="AE781" s="19">
        <f>IF(OR(LEN(A781)=0,LEN(R781)=0),0,IF(OR(R781="Active",R781="Paid off",R781="Defaulted",R781="Repossessed",R781="Written off",R781="Restructured"),0,1))</f>
        <v/>
      </c>
      <c r="AF781" s="19">
        <f>IF(A781="",0,IF(N(J781)&gt;N(I781),1,0))</f>
        <v/>
      </c>
      <c r="AG781" s="19">
        <f>IF(A781="",0,IF(N(N781)&gt;N(M781)+1,1,0))</f>
        <v/>
      </c>
      <c r="AH781" s="19">
        <f>IF(A781="",0,IF(N(E781)&gt;N(B781),1,0))</f>
        <v/>
      </c>
      <c r="AI781" s="19">
        <f>IF(A781="",0,IF(AND(Z781="Full payment",N(N781)&lt;N(M781)-1),1,0))</f>
        <v/>
      </c>
      <c r="AJ781" s="19">
        <f>IF(A781="",0,IF(N(P781)&lt;0,1,0))</f>
        <v/>
      </c>
      <c r="AK781" s="19">
        <f>IF(A781="",0,IF(COUNTIF($A$7:$A$1006,A781)&gt;1,1,0))</f>
        <v/>
      </c>
    </row>
    <row r="782">
      <c r="A782" s="10" t="n"/>
      <c r="B782" s="17" t="n"/>
      <c r="C782" s="18" t="n"/>
      <c r="D782" s="10" t="n"/>
      <c r="E782" s="17" t="n"/>
      <c r="F782" s="10" t="n"/>
      <c r="G782" s="10" t="n"/>
      <c r="H782" s="10" t="n"/>
      <c r="I782" s="18" t="n"/>
      <c r="J782" s="18" t="n"/>
      <c r="K782" s="18" t="n"/>
      <c r="L782" s="18" t="n"/>
      <c r="M782" s="19">
        <f>IF(K782="","",K782*365/12*L782)</f>
        <v/>
      </c>
      <c r="N782" s="18" t="n"/>
      <c r="O782" s="18" t="n"/>
      <c r="P782" s="18" t="n"/>
      <c r="Q782" s="18" t="n"/>
      <c r="R782" s="10" t="n"/>
      <c r="S782" s="17" t="n"/>
      <c r="T782" s="18" t="n"/>
      <c r="U782" s="17" t="n"/>
      <c r="V782" s="17" t="n"/>
      <c r="W782" s="18" t="n"/>
      <c r="X782" s="18" t="n"/>
      <c r="Y782" s="17" t="n"/>
      <c r="Z782" s="10" t="n"/>
      <c r="AA782" s="10" t="n"/>
      <c r="AB782" s="19">
        <f>IF(LEN(A782)&gt;0,1,0)</f>
        <v/>
      </c>
      <c r="AC782" s="19">
        <f>IF(LEN(A782)=0,0,(LEN(B782)=0)+(LEN(C782)=0)+(LEN(D782)=0)+(LEN(E782)=0)+(LEN(F782)=0)+(LEN(G782)=0)+(LEN(H782)=0)+(LEN(I782)=0)+(LEN(J782)=0)+(LEN(K782)=0)+(LEN(L782)=0)+(LEN(N782)=0)+(LEN(O782)=0)+(LEN(P782)=0)+(LEN(R782)=0)+(LEN(AA782)=0))</f>
        <v/>
      </c>
      <c r="AD782" s="19">
        <f>IF(OR(LEN(A782)=0,LEN(C782)=0),0,IF(OR(C782&lt;1,C782&gt;5),1,0))</f>
        <v/>
      </c>
      <c r="AE782" s="19">
        <f>IF(OR(LEN(A782)=0,LEN(R782)=0),0,IF(OR(R782="Active",R782="Paid off",R782="Defaulted",R782="Repossessed",R782="Written off",R782="Restructured"),0,1))</f>
        <v/>
      </c>
      <c r="AF782" s="19">
        <f>IF(A782="",0,IF(N(J782)&gt;N(I782),1,0))</f>
        <v/>
      </c>
      <c r="AG782" s="19">
        <f>IF(A782="",0,IF(N(N782)&gt;N(M782)+1,1,0))</f>
        <v/>
      </c>
      <c r="AH782" s="19">
        <f>IF(A782="",0,IF(N(E782)&gt;N(B782),1,0))</f>
        <v/>
      </c>
      <c r="AI782" s="19">
        <f>IF(A782="",0,IF(AND(Z782="Full payment",N(N782)&lt;N(M782)-1),1,0))</f>
        <v/>
      </c>
      <c r="AJ782" s="19">
        <f>IF(A782="",0,IF(N(P782)&lt;0,1,0))</f>
        <v/>
      </c>
      <c r="AK782" s="19">
        <f>IF(A782="",0,IF(COUNTIF($A$7:$A$1006,A782)&gt;1,1,0))</f>
        <v/>
      </c>
    </row>
    <row r="783">
      <c r="A783" s="10" t="n"/>
      <c r="B783" s="17" t="n"/>
      <c r="C783" s="18" t="n"/>
      <c r="D783" s="10" t="n"/>
      <c r="E783" s="17" t="n"/>
      <c r="F783" s="10" t="n"/>
      <c r="G783" s="10" t="n"/>
      <c r="H783" s="10" t="n"/>
      <c r="I783" s="18" t="n"/>
      <c r="J783" s="18" t="n"/>
      <c r="K783" s="18" t="n"/>
      <c r="L783" s="18" t="n"/>
      <c r="M783" s="19">
        <f>IF(K783="","",K783*365/12*L783)</f>
        <v/>
      </c>
      <c r="N783" s="18" t="n"/>
      <c r="O783" s="18" t="n"/>
      <c r="P783" s="18" t="n"/>
      <c r="Q783" s="18" t="n"/>
      <c r="R783" s="10" t="n"/>
      <c r="S783" s="17" t="n"/>
      <c r="T783" s="18" t="n"/>
      <c r="U783" s="17" t="n"/>
      <c r="V783" s="17" t="n"/>
      <c r="W783" s="18" t="n"/>
      <c r="X783" s="18" t="n"/>
      <c r="Y783" s="17" t="n"/>
      <c r="Z783" s="10" t="n"/>
      <c r="AA783" s="10" t="n"/>
      <c r="AB783" s="19">
        <f>IF(LEN(A783)&gt;0,1,0)</f>
        <v/>
      </c>
      <c r="AC783" s="19">
        <f>IF(LEN(A783)=0,0,(LEN(B783)=0)+(LEN(C783)=0)+(LEN(D783)=0)+(LEN(E783)=0)+(LEN(F783)=0)+(LEN(G783)=0)+(LEN(H783)=0)+(LEN(I783)=0)+(LEN(J783)=0)+(LEN(K783)=0)+(LEN(L783)=0)+(LEN(N783)=0)+(LEN(O783)=0)+(LEN(P783)=0)+(LEN(R783)=0)+(LEN(AA783)=0))</f>
        <v/>
      </c>
      <c r="AD783" s="19">
        <f>IF(OR(LEN(A783)=0,LEN(C783)=0),0,IF(OR(C783&lt;1,C783&gt;5),1,0))</f>
        <v/>
      </c>
      <c r="AE783" s="19">
        <f>IF(OR(LEN(A783)=0,LEN(R783)=0),0,IF(OR(R783="Active",R783="Paid off",R783="Defaulted",R783="Repossessed",R783="Written off",R783="Restructured"),0,1))</f>
        <v/>
      </c>
      <c r="AF783" s="19">
        <f>IF(A783="",0,IF(N(J783)&gt;N(I783),1,0))</f>
        <v/>
      </c>
      <c r="AG783" s="19">
        <f>IF(A783="",0,IF(N(N783)&gt;N(M783)+1,1,0))</f>
        <v/>
      </c>
      <c r="AH783" s="19">
        <f>IF(A783="",0,IF(N(E783)&gt;N(B783),1,0))</f>
        <v/>
      </c>
      <c r="AI783" s="19">
        <f>IF(A783="",0,IF(AND(Z783="Full payment",N(N783)&lt;N(M783)-1),1,0))</f>
        <v/>
      </c>
      <c r="AJ783" s="19">
        <f>IF(A783="",0,IF(N(P783)&lt;0,1,0))</f>
        <v/>
      </c>
      <c r="AK783" s="19">
        <f>IF(A783="",0,IF(COUNTIF($A$7:$A$1006,A783)&gt;1,1,0))</f>
        <v/>
      </c>
    </row>
    <row r="784">
      <c r="A784" s="10" t="n"/>
      <c r="B784" s="17" t="n"/>
      <c r="C784" s="18" t="n"/>
      <c r="D784" s="10" t="n"/>
      <c r="E784" s="17" t="n"/>
      <c r="F784" s="10" t="n"/>
      <c r="G784" s="10" t="n"/>
      <c r="H784" s="10" t="n"/>
      <c r="I784" s="18" t="n"/>
      <c r="J784" s="18" t="n"/>
      <c r="K784" s="18" t="n"/>
      <c r="L784" s="18" t="n"/>
      <c r="M784" s="19">
        <f>IF(K784="","",K784*365/12*L784)</f>
        <v/>
      </c>
      <c r="N784" s="18" t="n"/>
      <c r="O784" s="18" t="n"/>
      <c r="P784" s="18" t="n"/>
      <c r="Q784" s="18" t="n"/>
      <c r="R784" s="10" t="n"/>
      <c r="S784" s="17" t="n"/>
      <c r="T784" s="18" t="n"/>
      <c r="U784" s="17" t="n"/>
      <c r="V784" s="17" t="n"/>
      <c r="W784" s="18" t="n"/>
      <c r="X784" s="18" t="n"/>
      <c r="Y784" s="17" t="n"/>
      <c r="Z784" s="10" t="n"/>
      <c r="AA784" s="10" t="n"/>
      <c r="AB784" s="19">
        <f>IF(LEN(A784)&gt;0,1,0)</f>
        <v/>
      </c>
      <c r="AC784" s="19">
        <f>IF(LEN(A784)=0,0,(LEN(B784)=0)+(LEN(C784)=0)+(LEN(D784)=0)+(LEN(E784)=0)+(LEN(F784)=0)+(LEN(G784)=0)+(LEN(H784)=0)+(LEN(I784)=0)+(LEN(J784)=0)+(LEN(K784)=0)+(LEN(L784)=0)+(LEN(N784)=0)+(LEN(O784)=0)+(LEN(P784)=0)+(LEN(R784)=0)+(LEN(AA784)=0))</f>
        <v/>
      </c>
      <c r="AD784" s="19">
        <f>IF(OR(LEN(A784)=0,LEN(C784)=0),0,IF(OR(C784&lt;1,C784&gt;5),1,0))</f>
        <v/>
      </c>
      <c r="AE784" s="19">
        <f>IF(OR(LEN(A784)=0,LEN(R784)=0),0,IF(OR(R784="Active",R784="Paid off",R784="Defaulted",R784="Repossessed",R784="Written off",R784="Restructured"),0,1))</f>
        <v/>
      </c>
      <c r="AF784" s="19">
        <f>IF(A784="",0,IF(N(J784)&gt;N(I784),1,0))</f>
        <v/>
      </c>
      <c r="AG784" s="19">
        <f>IF(A784="",0,IF(N(N784)&gt;N(M784)+1,1,0))</f>
        <v/>
      </c>
      <c r="AH784" s="19">
        <f>IF(A784="",0,IF(N(E784)&gt;N(B784),1,0))</f>
        <v/>
      </c>
      <c r="AI784" s="19">
        <f>IF(A784="",0,IF(AND(Z784="Full payment",N(N784)&lt;N(M784)-1),1,0))</f>
        <v/>
      </c>
      <c r="AJ784" s="19">
        <f>IF(A784="",0,IF(N(P784)&lt;0,1,0))</f>
        <v/>
      </c>
      <c r="AK784" s="19">
        <f>IF(A784="",0,IF(COUNTIF($A$7:$A$1006,A784)&gt;1,1,0))</f>
        <v/>
      </c>
    </row>
    <row r="785">
      <c r="A785" s="10" t="n"/>
      <c r="B785" s="17" t="n"/>
      <c r="C785" s="18" t="n"/>
      <c r="D785" s="10" t="n"/>
      <c r="E785" s="17" t="n"/>
      <c r="F785" s="10" t="n"/>
      <c r="G785" s="10" t="n"/>
      <c r="H785" s="10" t="n"/>
      <c r="I785" s="18" t="n"/>
      <c r="J785" s="18" t="n"/>
      <c r="K785" s="18" t="n"/>
      <c r="L785" s="18" t="n"/>
      <c r="M785" s="19">
        <f>IF(K785="","",K785*365/12*L785)</f>
        <v/>
      </c>
      <c r="N785" s="18" t="n"/>
      <c r="O785" s="18" t="n"/>
      <c r="P785" s="18" t="n"/>
      <c r="Q785" s="18" t="n"/>
      <c r="R785" s="10" t="n"/>
      <c r="S785" s="17" t="n"/>
      <c r="T785" s="18" t="n"/>
      <c r="U785" s="17" t="n"/>
      <c r="V785" s="17" t="n"/>
      <c r="W785" s="18" t="n"/>
      <c r="X785" s="18" t="n"/>
      <c r="Y785" s="17" t="n"/>
      <c r="Z785" s="10" t="n"/>
      <c r="AA785" s="10" t="n"/>
      <c r="AB785" s="19">
        <f>IF(LEN(A785)&gt;0,1,0)</f>
        <v/>
      </c>
      <c r="AC785" s="19">
        <f>IF(LEN(A785)=0,0,(LEN(B785)=0)+(LEN(C785)=0)+(LEN(D785)=0)+(LEN(E785)=0)+(LEN(F785)=0)+(LEN(G785)=0)+(LEN(H785)=0)+(LEN(I785)=0)+(LEN(J785)=0)+(LEN(K785)=0)+(LEN(L785)=0)+(LEN(N785)=0)+(LEN(O785)=0)+(LEN(P785)=0)+(LEN(R785)=0)+(LEN(AA785)=0))</f>
        <v/>
      </c>
      <c r="AD785" s="19">
        <f>IF(OR(LEN(A785)=0,LEN(C785)=0),0,IF(OR(C785&lt;1,C785&gt;5),1,0))</f>
        <v/>
      </c>
      <c r="AE785" s="19">
        <f>IF(OR(LEN(A785)=0,LEN(R785)=0),0,IF(OR(R785="Active",R785="Paid off",R785="Defaulted",R785="Repossessed",R785="Written off",R785="Restructured"),0,1))</f>
        <v/>
      </c>
      <c r="AF785" s="19">
        <f>IF(A785="",0,IF(N(J785)&gt;N(I785),1,0))</f>
        <v/>
      </c>
      <c r="AG785" s="19">
        <f>IF(A785="",0,IF(N(N785)&gt;N(M785)+1,1,0))</f>
        <v/>
      </c>
      <c r="AH785" s="19">
        <f>IF(A785="",0,IF(N(E785)&gt;N(B785),1,0))</f>
        <v/>
      </c>
      <c r="AI785" s="19">
        <f>IF(A785="",0,IF(AND(Z785="Full payment",N(N785)&lt;N(M785)-1),1,0))</f>
        <v/>
      </c>
      <c r="AJ785" s="19">
        <f>IF(A785="",0,IF(N(P785)&lt;0,1,0))</f>
        <v/>
      </c>
      <c r="AK785" s="19">
        <f>IF(A785="",0,IF(COUNTIF($A$7:$A$1006,A785)&gt;1,1,0))</f>
        <v/>
      </c>
    </row>
    <row r="786">
      <c r="A786" s="10" t="n"/>
      <c r="B786" s="17" t="n"/>
      <c r="C786" s="18" t="n"/>
      <c r="D786" s="10" t="n"/>
      <c r="E786" s="17" t="n"/>
      <c r="F786" s="10" t="n"/>
      <c r="G786" s="10" t="n"/>
      <c r="H786" s="10" t="n"/>
      <c r="I786" s="18" t="n"/>
      <c r="J786" s="18" t="n"/>
      <c r="K786" s="18" t="n"/>
      <c r="L786" s="18" t="n"/>
      <c r="M786" s="19">
        <f>IF(K786="","",K786*365/12*L786)</f>
        <v/>
      </c>
      <c r="N786" s="18" t="n"/>
      <c r="O786" s="18" t="n"/>
      <c r="P786" s="18" t="n"/>
      <c r="Q786" s="18" t="n"/>
      <c r="R786" s="10" t="n"/>
      <c r="S786" s="17" t="n"/>
      <c r="T786" s="18" t="n"/>
      <c r="U786" s="17" t="n"/>
      <c r="V786" s="17" t="n"/>
      <c r="W786" s="18" t="n"/>
      <c r="X786" s="18" t="n"/>
      <c r="Y786" s="17" t="n"/>
      <c r="Z786" s="10" t="n"/>
      <c r="AA786" s="10" t="n"/>
      <c r="AB786" s="19">
        <f>IF(LEN(A786)&gt;0,1,0)</f>
        <v/>
      </c>
      <c r="AC786" s="19">
        <f>IF(LEN(A786)=0,0,(LEN(B786)=0)+(LEN(C786)=0)+(LEN(D786)=0)+(LEN(E786)=0)+(LEN(F786)=0)+(LEN(G786)=0)+(LEN(H786)=0)+(LEN(I786)=0)+(LEN(J786)=0)+(LEN(K786)=0)+(LEN(L786)=0)+(LEN(N786)=0)+(LEN(O786)=0)+(LEN(P786)=0)+(LEN(R786)=0)+(LEN(AA786)=0))</f>
        <v/>
      </c>
      <c r="AD786" s="19">
        <f>IF(OR(LEN(A786)=0,LEN(C786)=0),0,IF(OR(C786&lt;1,C786&gt;5),1,0))</f>
        <v/>
      </c>
      <c r="AE786" s="19">
        <f>IF(OR(LEN(A786)=0,LEN(R786)=0),0,IF(OR(R786="Active",R786="Paid off",R786="Defaulted",R786="Repossessed",R786="Written off",R786="Restructured"),0,1))</f>
        <v/>
      </c>
      <c r="AF786" s="19">
        <f>IF(A786="",0,IF(N(J786)&gt;N(I786),1,0))</f>
        <v/>
      </c>
      <c r="AG786" s="19">
        <f>IF(A786="",0,IF(N(N786)&gt;N(M786)+1,1,0))</f>
        <v/>
      </c>
      <c r="AH786" s="19">
        <f>IF(A786="",0,IF(N(E786)&gt;N(B786),1,0))</f>
        <v/>
      </c>
      <c r="AI786" s="19">
        <f>IF(A786="",0,IF(AND(Z786="Full payment",N(N786)&lt;N(M786)-1),1,0))</f>
        <v/>
      </c>
      <c r="AJ786" s="19">
        <f>IF(A786="",0,IF(N(P786)&lt;0,1,0))</f>
        <v/>
      </c>
      <c r="AK786" s="19">
        <f>IF(A786="",0,IF(COUNTIF($A$7:$A$1006,A786)&gt;1,1,0))</f>
        <v/>
      </c>
    </row>
    <row r="787">
      <c r="A787" s="10" t="n"/>
      <c r="B787" s="17" t="n"/>
      <c r="C787" s="18" t="n"/>
      <c r="D787" s="10" t="n"/>
      <c r="E787" s="17" t="n"/>
      <c r="F787" s="10" t="n"/>
      <c r="G787" s="10" t="n"/>
      <c r="H787" s="10" t="n"/>
      <c r="I787" s="18" t="n"/>
      <c r="J787" s="18" t="n"/>
      <c r="K787" s="18" t="n"/>
      <c r="L787" s="18" t="n"/>
      <c r="M787" s="19">
        <f>IF(K787="","",K787*365/12*L787)</f>
        <v/>
      </c>
      <c r="N787" s="18" t="n"/>
      <c r="O787" s="18" t="n"/>
      <c r="P787" s="18" t="n"/>
      <c r="Q787" s="18" t="n"/>
      <c r="R787" s="10" t="n"/>
      <c r="S787" s="17" t="n"/>
      <c r="T787" s="18" t="n"/>
      <c r="U787" s="17" t="n"/>
      <c r="V787" s="17" t="n"/>
      <c r="W787" s="18" t="n"/>
      <c r="X787" s="18" t="n"/>
      <c r="Y787" s="17" t="n"/>
      <c r="Z787" s="10" t="n"/>
      <c r="AA787" s="10" t="n"/>
      <c r="AB787" s="19">
        <f>IF(LEN(A787)&gt;0,1,0)</f>
        <v/>
      </c>
      <c r="AC787" s="19">
        <f>IF(LEN(A787)=0,0,(LEN(B787)=0)+(LEN(C787)=0)+(LEN(D787)=0)+(LEN(E787)=0)+(LEN(F787)=0)+(LEN(G787)=0)+(LEN(H787)=0)+(LEN(I787)=0)+(LEN(J787)=0)+(LEN(K787)=0)+(LEN(L787)=0)+(LEN(N787)=0)+(LEN(O787)=0)+(LEN(P787)=0)+(LEN(R787)=0)+(LEN(AA787)=0))</f>
        <v/>
      </c>
      <c r="AD787" s="19">
        <f>IF(OR(LEN(A787)=0,LEN(C787)=0),0,IF(OR(C787&lt;1,C787&gt;5),1,0))</f>
        <v/>
      </c>
      <c r="AE787" s="19">
        <f>IF(OR(LEN(A787)=0,LEN(R787)=0),0,IF(OR(R787="Active",R787="Paid off",R787="Defaulted",R787="Repossessed",R787="Written off",R787="Restructured"),0,1))</f>
        <v/>
      </c>
      <c r="AF787" s="19">
        <f>IF(A787="",0,IF(N(J787)&gt;N(I787),1,0))</f>
        <v/>
      </c>
      <c r="AG787" s="19">
        <f>IF(A787="",0,IF(N(N787)&gt;N(M787)+1,1,0))</f>
        <v/>
      </c>
      <c r="AH787" s="19">
        <f>IF(A787="",0,IF(N(E787)&gt;N(B787),1,0))</f>
        <v/>
      </c>
      <c r="AI787" s="19">
        <f>IF(A787="",0,IF(AND(Z787="Full payment",N(N787)&lt;N(M787)-1),1,0))</f>
        <v/>
      </c>
      <c r="AJ787" s="19">
        <f>IF(A787="",0,IF(N(P787)&lt;0,1,0))</f>
        <v/>
      </c>
      <c r="AK787" s="19">
        <f>IF(A787="",0,IF(COUNTIF($A$7:$A$1006,A787)&gt;1,1,0))</f>
        <v/>
      </c>
    </row>
    <row r="788">
      <c r="A788" s="10" t="n"/>
      <c r="B788" s="17" t="n"/>
      <c r="C788" s="18" t="n"/>
      <c r="D788" s="10" t="n"/>
      <c r="E788" s="17" t="n"/>
      <c r="F788" s="10" t="n"/>
      <c r="G788" s="10" t="n"/>
      <c r="H788" s="10" t="n"/>
      <c r="I788" s="18" t="n"/>
      <c r="J788" s="18" t="n"/>
      <c r="K788" s="18" t="n"/>
      <c r="L788" s="18" t="n"/>
      <c r="M788" s="19">
        <f>IF(K788="","",K788*365/12*L788)</f>
        <v/>
      </c>
      <c r="N788" s="18" t="n"/>
      <c r="O788" s="18" t="n"/>
      <c r="P788" s="18" t="n"/>
      <c r="Q788" s="18" t="n"/>
      <c r="R788" s="10" t="n"/>
      <c r="S788" s="17" t="n"/>
      <c r="T788" s="18" t="n"/>
      <c r="U788" s="17" t="n"/>
      <c r="V788" s="17" t="n"/>
      <c r="W788" s="18" t="n"/>
      <c r="X788" s="18" t="n"/>
      <c r="Y788" s="17" t="n"/>
      <c r="Z788" s="10" t="n"/>
      <c r="AA788" s="10" t="n"/>
      <c r="AB788" s="19">
        <f>IF(LEN(A788)&gt;0,1,0)</f>
        <v/>
      </c>
      <c r="AC788" s="19">
        <f>IF(LEN(A788)=0,0,(LEN(B788)=0)+(LEN(C788)=0)+(LEN(D788)=0)+(LEN(E788)=0)+(LEN(F788)=0)+(LEN(G788)=0)+(LEN(H788)=0)+(LEN(I788)=0)+(LEN(J788)=0)+(LEN(K788)=0)+(LEN(L788)=0)+(LEN(N788)=0)+(LEN(O788)=0)+(LEN(P788)=0)+(LEN(R788)=0)+(LEN(AA788)=0))</f>
        <v/>
      </c>
      <c r="AD788" s="19">
        <f>IF(OR(LEN(A788)=0,LEN(C788)=0),0,IF(OR(C788&lt;1,C788&gt;5),1,0))</f>
        <v/>
      </c>
      <c r="AE788" s="19">
        <f>IF(OR(LEN(A788)=0,LEN(R788)=0),0,IF(OR(R788="Active",R788="Paid off",R788="Defaulted",R788="Repossessed",R788="Written off",R788="Restructured"),0,1))</f>
        <v/>
      </c>
      <c r="AF788" s="19">
        <f>IF(A788="",0,IF(N(J788)&gt;N(I788),1,0))</f>
        <v/>
      </c>
      <c r="AG788" s="19">
        <f>IF(A788="",0,IF(N(N788)&gt;N(M788)+1,1,0))</f>
        <v/>
      </c>
      <c r="AH788" s="19">
        <f>IF(A788="",0,IF(N(E788)&gt;N(B788),1,0))</f>
        <v/>
      </c>
      <c r="AI788" s="19">
        <f>IF(A788="",0,IF(AND(Z788="Full payment",N(N788)&lt;N(M788)-1),1,0))</f>
        <v/>
      </c>
      <c r="AJ788" s="19">
        <f>IF(A788="",0,IF(N(P788)&lt;0,1,0))</f>
        <v/>
      </c>
      <c r="AK788" s="19">
        <f>IF(A788="",0,IF(COUNTIF($A$7:$A$1006,A788)&gt;1,1,0))</f>
        <v/>
      </c>
    </row>
    <row r="789">
      <c r="A789" s="10" t="n"/>
      <c r="B789" s="17" t="n"/>
      <c r="C789" s="18" t="n"/>
      <c r="D789" s="10" t="n"/>
      <c r="E789" s="17" t="n"/>
      <c r="F789" s="10" t="n"/>
      <c r="G789" s="10" t="n"/>
      <c r="H789" s="10" t="n"/>
      <c r="I789" s="18" t="n"/>
      <c r="J789" s="18" t="n"/>
      <c r="K789" s="18" t="n"/>
      <c r="L789" s="18" t="n"/>
      <c r="M789" s="19">
        <f>IF(K789="","",K789*365/12*L789)</f>
        <v/>
      </c>
      <c r="N789" s="18" t="n"/>
      <c r="O789" s="18" t="n"/>
      <c r="P789" s="18" t="n"/>
      <c r="Q789" s="18" t="n"/>
      <c r="R789" s="10" t="n"/>
      <c r="S789" s="17" t="n"/>
      <c r="T789" s="18" t="n"/>
      <c r="U789" s="17" t="n"/>
      <c r="V789" s="17" t="n"/>
      <c r="W789" s="18" t="n"/>
      <c r="X789" s="18" t="n"/>
      <c r="Y789" s="17" t="n"/>
      <c r="Z789" s="10" t="n"/>
      <c r="AA789" s="10" t="n"/>
      <c r="AB789" s="19">
        <f>IF(LEN(A789)&gt;0,1,0)</f>
        <v/>
      </c>
      <c r="AC789" s="19">
        <f>IF(LEN(A789)=0,0,(LEN(B789)=0)+(LEN(C789)=0)+(LEN(D789)=0)+(LEN(E789)=0)+(LEN(F789)=0)+(LEN(G789)=0)+(LEN(H789)=0)+(LEN(I789)=0)+(LEN(J789)=0)+(LEN(K789)=0)+(LEN(L789)=0)+(LEN(N789)=0)+(LEN(O789)=0)+(LEN(P789)=0)+(LEN(R789)=0)+(LEN(AA789)=0))</f>
        <v/>
      </c>
      <c r="AD789" s="19">
        <f>IF(OR(LEN(A789)=0,LEN(C789)=0),0,IF(OR(C789&lt;1,C789&gt;5),1,0))</f>
        <v/>
      </c>
      <c r="AE789" s="19">
        <f>IF(OR(LEN(A789)=0,LEN(R789)=0),0,IF(OR(R789="Active",R789="Paid off",R789="Defaulted",R789="Repossessed",R789="Written off",R789="Restructured"),0,1))</f>
        <v/>
      </c>
      <c r="AF789" s="19">
        <f>IF(A789="",0,IF(N(J789)&gt;N(I789),1,0))</f>
        <v/>
      </c>
      <c r="AG789" s="19">
        <f>IF(A789="",0,IF(N(N789)&gt;N(M789)+1,1,0))</f>
        <v/>
      </c>
      <c r="AH789" s="19">
        <f>IF(A789="",0,IF(N(E789)&gt;N(B789),1,0))</f>
        <v/>
      </c>
      <c r="AI789" s="19">
        <f>IF(A789="",0,IF(AND(Z789="Full payment",N(N789)&lt;N(M789)-1),1,0))</f>
        <v/>
      </c>
      <c r="AJ789" s="19">
        <f>IF(A789="",0,IF(N(P789)&lt;0,1,0))</f>
        <v/>
      </c>
      <c r="AK789" s="19">
        <f>IF(A789="",0,IF(COUNTIF($A$7:$A$1006,A789)&gt;1,1,0))</f>
        <v/>
      </c>
    </row>
    <row r="790">
      <c r="A790" s="10" t="n"/>
      <c r="B790" s="17" t="n"/>
      <c r="C790" s="18" t="n"/>
      <c r="D790" s="10" t="n"/>
      <c r="E790" s="17" t="n"/>
      <c r="F790" s="10" t="n"/>
      <c r="G790" s="10" t="n"/>
      <c r="H790" s="10" t="n"/>
      <c r="I790" s="18" t="n"/>
      <c r="J790" s="18" t="n"/>
      <c r="K790" s="18" t="n"/>
      <c r="L790" s="18" t="n"/>
      <c r="M790" s="19">
        <f>IF(K790="","",K790*365/12*L790)</f>
        <v/>
      </c>
      <c r="N790" s="18" t="n"/>
      <c r="O790" s="18" t="n"/>
      <c r="P790" s="18" t="n"/>
      <c r="Q790" s="18" t="n"/>
      <c r="R790" s="10" t="n"/>
      <c r="S790" s="17" t="n"/>
      <c r="T790" s="18" t="n"/>
      <c r="U790" s="17" t="n"/>
      <c r="V790" s="17" t="n"/>
      <c r="W790" s="18" t="n"/>
      <c r="X790" s="18" t="n"/>
      <c r="Y790" s="17" t="n"/>
      <c r="Z790" s="10" t="n"/>
      <c r="AA790" s="10" t="n"/>
      <c r="AB790" s="19">
        <f>IF(LEN(A790)&gt;0,1,0)</f>
        <v/>
      </c>
      <c r="AC790" s="19">
        <f>IF(LEN(A790)=0,0,(LEN(B790)=0)+(LEN(C790)=0)+(LEN(D790)=0)+(LEN(E790)=0)+(LEN(F790)=0)+(LEN(G790)=0)+(LEN(H790)=0)+(LEN(I790)=0)+(LEN(J790)=0)+(LEN(K790)=0)+(LEN(L790)=0)+(LEN(N790)=0)+(LEN(O790)=0)+(LEN(P790)=0)+(LEN(R790)=0)+(LEN(AA790)=0))</f>
        <v/>
      </c>
      <c r="AD790" s="19">
        <f>IF(OR(LEN(A790)=0,LEN(C790)=0),0,IF(OR(C790&lt;1,C790&gt;5),1,0))</f>
        <v/>
      </c>
      <c r="AE790" s="19">
        <f>IF(OR(LEN(A790)=0,LEN(R790)=0),0,IF(OR(R790="Active",R790="Paid off",R790="Defaulted",R790="Repossessed",R790="Written off",R790="Restructured"),0,1))</f>
        <v/>
      </c>
      <c r="AF790" s="19">
        <f>IF(A790="",0,IF(N(J790)&gt;N(I790),1,0))</f>
        <v/>
      </c>
      <c r="AG790" s="19">
        <f>IF(A790="",0,IF(N(N790)&gt;N(M790)+1,1,0))</f>
        <v/>
      </c>
      <c r="AH790" s="19">
        <f>IF(A790="",0,IF(N(E790)&gt;N(B790),1,0))</f>
        <v/>
      </c>
      <c r="AI790" s="19">
        <f>IF(A790="",0,IF(AND(Z790="Full payment",N(N790)&lt;N(M790)-1),1,0))</f>
        <v/>
      </c>
      <c r="AJ790" s="19">
        <f>IF(A790="",0,IF(N(P790)&lt;0,1,0))</f>
        <v/>
      </c>
      <c r="AK790" s="19">
        <f>IF(A790="",0,IF(COUNTIF($A$7:$A$1006,A790)&gt;1,1,0))</f>
        <v/>
      </c>
    </row>
    <row r="791">
      <c r="A791" s="10" t="n"/>
      <c r="B791" s="17" t="n"/>
      <c r="C791" s="18" t="n"/>
      <c r="D791" s="10" t="n"/>
      <c r="E791" s="17" t="n"/>
      <c r="F791" s="10" t="n"/>
      <c r="G791" s="10" t="n"/>
      <c r="H791" s="10" t="n"/>
      <c r="I791" s="18" t="n"/>
      <c r="J791" s="18" t="n"/>
      <c r="K791" s="18" t="n"/>
      <c r="L791" s="18" t="n"/>
      <c r="M791" s="19">
        <f>IF(K791="","",K791*365/12*L791)</f>
        <v/>
      </c>
      <c r="N791" s="18" t="n"/>
      <c r="O791" s="18" t="n"/>
      <c r="P791" s="18" t="n"/>
      <c r="Q791" s="18" t="n"/>
      <c r="R791" s="10" t="n"/>
      <c r="S791" s="17" t="n"/>
      <c r="T791" s="18" t="n"/>
      <c r="U791" s="17" t="n"/>
      <c r="V791" s="17" t="n"/>
      <c r="W791" s="18" t="n"/>
      <c r="X791" s="18" t="n"/>
      <c r="Y791" s="17" t="n"/>
      <c r="Z791" s="10" t="n"/>
      <c r="AA791" s="10" t="n"/>
      <c r="AB791" s="19">
        <f>IF(LEN(A791)&gt;0,1,0)</f>
        <v/>
      </c>
      <c r="AC791" s="19">
        <f>IF(LEN(A791)=0,0,(LEN(B791)=0)+(LEN(C791)=0)+(LEN(D791)=0)+(LEN(E791)=0)+(LEN(F791)=0)+(LEN(G791)=0)+(LEN(H791)=0)+(LEN(I791)=0)+(LEN(J791)=0)+(LEN(K791)=0)+(LEN(L791)=0)+(LEN(N791)=0)+(LEN(O791)=0)+(LEN(P791)=0)+(LEN(R791)=0)+(LEN(AA791)=0))</f>
        <v/>
      </c>
      <c r="AD791" s="19">
        <f>IF(OR(LEN(A791)=0,LEN(C791)=0),0,IF(OR(C791&lt;1,C791&gt;5),1,0))</f>
        <v/>
      </c>
      <c r="AE791" s="19">
        <f>IF(OR(LEN(A791)=0,LEN(R791)=0),0,IF(OR(R791="Active",R791="Paid off",R791="Defaulted",R791="Repossessed",R791="Written off",R791="Restructured"),0,1))</f>
        <v/>
      </c>
      <c r="AF791" s="19">
        <f>IF(A791="",0,IF(N(J791)&gt;N(I791),1,0))</f>
        <v/>
      </c>
      <c r="AG791" s="19">
        <f>IF(A791="",0,IF(N(N791)&gt;N(M791)+1,1,0))</f>
        <v/>
      </c>
      <c r="AH791" s="19">
        <f>IF(A791="",0,IF(N(E791)&gt;N(B791),1,0))</f>
        <v/>
      </c>
      <c r="AI791" s="19">
        <f>IF(A791="",0,IF(AND(Z791="Full payment",N(N791)&lt;N(M791)-1),1,0))</f>
        <v/>
      </c>
      <c r="AJ791" s="19">
        <f>IF(A791="",0,IF(N(P791)&lt;0,1,0))</f>
        <v/>
      </c>
      <c r="AK791" s="19">
        <f>IF(A791="",0,IF(COUNTIF($A$7:$A$1006,A791)&gt;1,1,0))</f>
        <v/>
      </c>
    </row>
    <row r="792">
      <c r="A792" s="10" t="n"/>
      <c r="B792" s="17" t="n"/>
      <c r="C792" s="18" t="n"/>
      <c r="D792" s="10" t="n"/>
      <c r="E792" s="17" t="n"/>
      <c r="F792" s="10" t="n"/>
      <c r="G792" s="10" t="n"/>
      <c r="H792" s="10" t="n"/>
      <c r="I792" s="18" t="n"/>
      <c r="J792" s="18" t="n"/>
      <c r="K792" s="18" t="n"/>
      <c r="L792" s="18" t="n"/>
      <c r="M792" s="19">
        <f>IF(K792="","",K792*365/12*L792)</f>
        <v/>
      </c>
      <c r="N792" s="18" t="n"/>
      <c r="O792" s="18" t="n"/>
      <c r="P792" s="18" t="n"/>
      <c r="Q792" s="18" t="n"/>
      <c r="R792" s="10" t="n"/>
      <c r="S792" s="17" t="n"/>
      <c r="T792" s="18" t="n"/>
      <c r="U792" s="17" t="n"/>
      <c r="V792" s="17" t="n"/>
      <c r="W792" s="18" t="n"/>
      <c r="X792" s="18" t="n"/>
      <c r="Y792" s="17" t="n"/>
      <c r="Z792" s="10" t="n"/>
      <c r="AA792" s="10" t="n"/>
      <c r="AB792" s="19">
        <f>IF(LEN(A792)&gt;0,1,0)</f>
        <v/>
      </c>
      <c r="AC792" s="19">
        <f>IF(LEN(A792)=0,0,(LEN(B792)=0)+(LEN(C792)=0)+(LEN(D792)=0)+(LEN(E792)=0)+(LEN(F792)=0)+(LEN(G792)=0)+(LEN(H792)=0)+(LEN(I792)=0)+(LEN(J792)=0)+(LEN(K792)=0)+(LEN(L792)=0)+(LEN(N792)=0)+(LEN(O792)=0)+(LEN(P792)=0)+(LEN(R792)=0)+(LEN(AA792)=0))</f>
        <v/>
      </c>
      <c r="AD792" s="19">
        <f>IF(OR(LEN(A792)=0,LEN(C792)=0),0,IF(OR(C792&lt;1,C792&gt;5),1,0))</f>
        <v/>
      </c>
      <c r="AE792" s="19">
        <f>IF(OR(LEN(A792)=0,LEN(R792)=0),0,IF(OR(R792="Active",R792="Paid off",R792="Defaulted",R792="Repossessed",R792="Written off",R792="Restructured"),0,1))</f>
        <v/>
      </c>
      <c r="AF792" s="19">
        <f>IF(A792="",0,IF(N(J792)&gt;N(I792),1,0))</f>
        <v/>
      </c>
      <c r="AG792" s="19">
        <f>IF(A792="",0,IF(N(N792)&gt;N(M792)+1,1,0))</f>
        <v/>
      </c>
      <c r="AH792" s="19">
        <f>IF(A792="",0,IF(N(E792)&gt;N(B792),1,0))</f>
        <v/>
      </c>
      <c r="AI792" s="19">
        <f>IF(A792="",0,IF(AND(Z792="Full payment",N(N792)&lt;N(M792)-1),1,0))</f>
        <v/>
      </c>
      <c r="AJ792" s="19">
        <f>IF(A792="",0,IF(N(P792)&lt;0,1,0))</f>
        <v/>
      </c>
      <c r="AK792" s="19">
        <f>IF(A792="",0,IF(COUNTIF($A$7:$A$1006,A792)&gt;1,1,0))</f>
        <v/>
      </c>
    </row>
    <row r="793">
      <c r="A793" s="10" t="n"/>
      <c r="B793" s="17" t="n"/>
      <c r="C793" s="18" t="n"/>
      <c r="D793" s="10" t="n"/>
      <c r="E793" s="17" t="n"/>
      <c r="F793" s="10" t="n"/>
      <c r="G793" s="10" t="n"/>
      <c r="H793" s="10" t="n"/>
      <c r="I793" s="18" t="n"/>
      <c r="J793" s="18" t="n"/>
      <c r="K793" s="18" t="n"/>
      <c r="L793" s="18" t="n"/>
      <c r="M793" s="19">
        <f>IF(K793="","",K793*365/12*L793)</f>
        <v/>
      </c>
      <c r="N793" s="18" t="n"/>
      <c r="O793" s="18" t="n"/>
      <c r="P793" s="18" t="n"/>
      <c r="Q793" s="18" t="n"/>
      <c r="R793" s="10" t="n"/>
      <c r="S793" s="17" t="n"/>
      <c r="T793" s="18" t="n"/>
      <c r="U793" s="17" t="n"/>
      <c r="V793" s="17" t="n"/>
      <c r="W793" s="18" t="n"/>
      <c r="X793" s="18" t="n"/>
      <c r="Y793" s="17" t="n"/>
      <c r="Z793" s="10" t="n"/>
      <c r="AA793" s="10" t="n"/>
      <c r="AB793" s="19">
        <f>IF(LEN(A793)&gt;0,1,0)</f>
        <v/>
      </c>
      <c r="AC793" s="19">
        <f>IF(LEN(A793)=0,0,(LEN(B793)=0)+(LEN(C793)=0)+(LEN(D793)=0)+(LEN(E793)=0)+(LEN(F793)=0)+(LEN(G793)=0)+(LEN(H793)=0)+(LEN(I793)=0)+(LEN(J793)=0)+(LEN(K793)=0)+(LEN(L793)=0)+(LEN(N793)=0)+(LEN(O793)=0)+(LEN(P793)=0)+(LEN(R793)=0)+(LEN(AA793)=0))</f>
        <v/>
      </c>
      <c r="AD793" s="19">
        <f>IF(OR(LEN(A793)=0,LEN(C793)=0),0,IF(OR(C793&lt;1,C793&gt;5),1,0))</f>
        <v/>
      </c>
      <c r="AE793" s="19">
        <f>IF(OR(LEN(A793)=0,LEN(R793)=0),0,IF(OR(R793="Active",R793="Paid off",R793="Defaulted",R793="Repossessed",R793="Written off",R793="Restructured"),0,1))</f>
        <v/>
      </c>
      <c r="AF793" s="19">
        <f>IF(A793="",0,IF(N(J793)&gt;N(I793),1,0))</f>
        <v/>
      </c>
      <c r="AG793" s="19">
        <f>IF(A793="",0,IF(N(N793)&gt;N(M793)+1,1,0))</f>
        <v/>
      </c>
      <c r="AH793" s="19">
        <f>IF(A793="",0,IF(N(E793)&gt;N(B793),1,0))</f>
        <v/>
      </c>
      <c r="AI793" s="19">
        <f>IF(A793="",0,IF(AND(Z793="Full payment",N(N793)&lt;N(M793)-1),1,0))</f>
        <v/>
      </c>
      <c r="AJ793" s="19">
        <f>IF(A793="",0,IF(N(P793)&lt;0,1,0))</f>
        <v/>
      </c>
      <c r="AK793" s="19">
        <f>IF(A793="",0,IF(COUNTIF($A$7:$A$1006,A793)&gt;1,1,0))</f>
        <v/>
      </c>
    </row>
    <row r="794">
      <c r="A794" s="10" t="n"/>
      <c r="B794" s="17" t="n"/>
      <c r="C794" s="18" t="n"/>
      <c r="D794" s="10" t="n"/>
      <c r="E794" s="17" t="n"/>
      <c r="F794" s="10" t="n"/>
      <c r="G794" s="10" t="n"/>
      <c r="H794" s="10" t="n"/>
      <c r="I794" s="18" t="n"/>
      <c r="J794" s="18" t="n"/>
      <c r="K794" s="18" t="n"/>
      <c r="L794" s="18" t="n"/>
      <c r="M794" s="19">
        <f>IF(K794="","",K794*365/12*L794)</f>
        <v/>
      </c>
      <c r="N794" s="18" t="n"/>
      <c r="O794" s="18" t="n"/>
      <c r="P794" s="18" t="n"/>
      <c r="Q794" s="18" t="n"/>
      <c r="R794" s="10" t="n"/>
      <c r="S794" s="17" t="n"/>
      <c r="T794" s="18" t="n"/>
      <c r="U794" s="17" t="n"/>
      <c r="V794" s="17" t="n"/>
      <c r="W794" s="18" t="n"/>
      <c r="X794" s="18" t="n"/>
      <c r="Y794" s="17" t="n"/>
      <c r="Z794" s="10" t="n"/>
      <c r="AA794" s="10" t="n"/>
      <c r="AB794" s="19">
        <f>IF(LEN(A794)&gt;0,1,0)</f>
        <v/>
      </c>
      <c r="AC794" s="19">
        <f>IF(LEN(A794)=0,0,(LEN(B794)=0)+(LEN(C794)=0)+(LEN(D794)=0)+(LEN(E794)=0)+(LEN(F794)=0)+(LEN(G794)=0)+(LEN(H794)=0)+(LEN(I794)=0)+(LEN(J794)=0)+(LEN(K794)=0)+(LEN(L794)=0)+(LEN(N794)=0)+(LEN(O794)=0)+(LEN(P794)=0)+(LEN(R794)=0)+(LEN(AA794)=0))</f>
        <v/>
      </c>
      <c r="AD794" s="19">
        <f>IF(OR(LEN(A794)=0,LEN(C794)=0),0,IF(OR(C794&lt;1,C794&gt;5),1,0))</f>
        <v/>
      </c>
      <c r="AE794" s="19">
        <f>IF(OR(LEN(A794)=0,LEN(R794)=0),0,IF(OR(R794="Active",R794="Paid off",R794="Defaulted",R794="Repossessed",R794="Written off",R794="Restructured"),0,1))</f>
        <v/>
      </c>
      <c r="AF794" s="19">
        <f>IF(A794="",0,IF(N(J794)&gt;N(I794),1,0))</f>
        <v/>
      </c>
      <c r="AG794" s="19">
        <f>IF(A794="",0,IF(N(N794)&gt;N(M794)+1,1,0))</f>
        <v/>
      </c>
      <c r="AH794" s="19">
        <f>IF(A794="",0,IF(N(E794)&gt;N(B794),1,0))</f>
        <v/>
      </c>
      <c r="AI794" s="19">
        <f>IF(A794="",0,IF(AND(Z794="Full payment",N(N794)&lt;N(M794)-1),1,0))</f>
        <v/>
      </c>
      <c r="AJ794" s="19">
        <f>IF(A794="",0,IF(N(P794)&lt;0,1,0))</f>
        <v/>
      </c>
      <c r="AK794" s="19">
        <f>IF(A794="",0,IF(COUNTIF($A$7:$A$1006,A794)&gt;1,1,0))</f>
        <v/>
      </c>
    </row>
    <row r="795">
      <c r="A795" s="10" t="n"/>
      <c r="B795" s="17" t="n"/>
      <c r="C795" s="18" t="n"/>
      <c r="D795" s="10" t="n"/>
      <c r="E795" s="17" t="n"/>
      <c r="F795" s="10" t="n"/>
      <c r="G795" s="10" t="n"/>
      <c r="H795" s="10" t="n"/>
      <c r="I795" s="18" t="n"/>
      <c r="J795" s="18" t="n"/>
      <c r="K795" s="18" t="n"/>
      <c r="L795" s="18" t="n"/>
      <c r="M795" s="19">
        <f>IF(K795="","",K795*365/12*L795)</f>
        <v/>
      </c>
      <c r="N795" s="18" t="n"/>
      <c r="O795" s="18" t="n"/>
      <c r="P795" s="18" t="n"/>
      <c r="Q795" s="18" t="n"/>
      <c r="R795" s="10" t="n"/>
      <c r="S795" s="17" t="n"/>
      <c r="T795" s="18" t="n"/>
      <c r="U795" s="17" t="n"/>
      <c r="V795" s="17" t="n"/>
      <c r="W795" s="18" t="n"/>
      <c r="X795" s="18" t="n"/>
      <c r="Y795" s="17" t="n"/>
      <c r="Z795" s="10" t="n"/>
      <c r="AA795" s="10" t="n"/>
      <c r="AB795" s="19">
        <f>IF(LEN(A795)&gt;0,1,0)</f>
        <v/>
      </c>
      <c r="AC795" s="19">
        <f>IF(LEN(A795)=0,0,(LEN(B795)=0)+(LEN(C795)=0)+(LEN(D795)=0)+(LEN(E795)=0)+(LEN(F795)=0)+(LEN(G795)=0)+(LEN(H795)=0)+(LEN(I795)=0)+(LEN(J795)=0)+(LEN(K795)=0)+(LEN(L795)=0)+(LEN(N795)=0)+(LEN(O795)=0)+(LEN(P795)=0)+(LEN(R795)=0)+(LEN(AA795)=0))</f>
        <v/>
      </c>
      <c r="AD795" s="19">
        <f>IF(OR(LEN(A795)=0,LEN(C795)=0),0,IF(OR(C795&lt;1,C795&gt;5),1,0))</f>
        <v/>
      </c>
      <c r="AE795" s="19">
        <f>IF(OR(LEN(A795)=0,LEN(R795)=0),0,IF(OR(R795="Active",R795="Paid off",R795="Defaulted",R795="Repossessed",R795="Written off",R795="Restructured"),0,1))</f>
        <v/>
      </c>
      <c r="AF795" s="19">
        <f>IF(A795="",0,IF(N(J795)&gt;N(I795),1,0))</f>
        <v/>
      </c>
      <c r="AG795" s="19">
        <f>IF(A795="",0,IF(N(N795)&gt;N(M795)+1,1,0))</f>
        <v/>
      </c>
      <c r="AH795" s="19">
        <f>IF(A795="",0,IF(N(E795)&gt;N(B795),1,0))</f>
        <v/>
      </c>
      <c r="AI795" s="19">
        <f>IF(A795="",0,IF(AND(Z795="Full payment",N(N795)&lt;N(M795)-1),1,0))</f>
        <v/>
      </c>
      <c r="AJ795" s="19">
        <f>IF(A795="",0,IF(N(P795)&lt;0,1,0))</f>
        <v/>
      </c>
      <c r="AK795" s="19">
        <f>IF(A795="",0,IF(COUNTIF($A$7:$A$1006,A795)&gt;1,1,0))</f>
        <v/>
      </c>
    </row>
    <row r="796">
      <c r="A796" s="10" t="n"/>
      <c r="B796" s="17" t="n"/>
      <c r="C796" s="18" t="n"/>
      <c r="D796" s="10" t="n"/>
      <c r="E796" s="17" t="n"/>
      <c r="F796" s="10" t="n"/>
      <c r="G796" s="10" t="n"/>
      <c r="H796" s="10" t="n"/>
      <c r="I796" s="18" t="n"/>
      <c r="J796" s="18" t="n"/>
      <c r="K796" s="18" t="n"/>
      <c r="L796" s="18" t="n"/>
      <c r="M796" s="19">
        <f>IF(K796="","",K796*365/12*L796)</f>
        <v/>
      </c>
      <c r="N796" s="18" t="n"/>
      <c r="O796" s="18" t="n"/>
      <c r="P796" s="18" t="n"/>
      <c r="Q796" s="18" t="n"/>
      <c r="R796" s="10" t="n"/>
      <c r="S796" s="17" t="n"/>
      <c r="T796" s="18" t="n"/>
      <c r="U796" s="17" t="n"/>
      <c r="V796" s="17" t="n"/>
      <c r="W796" s="18" t="n"/>
      <c r="X796" s="18" t="n"/>
      <c r="Y796" s="17" t="n"/>
      <c r="Z796" s="10" t="n"/>
      <c r="AA796" s="10" t="n"/>
      <c r="AB796" s="19">
        <f>IF(LEN(A796)&gt;0,1,0)</f>
        <v/>
      </c>
      <c r="AC796" s="19">
        <f>IF(LEN(A796)=0,0,(LEN(B796)=0)+(LEN(C796)=0)+(LEN(D796)=0)+(LEN(E796)=0)+(LEN(F796)=0)+(LEN(G796)=0)+(LEN(H796)=0)+(LEN(I796)=0)+(LEN(J796)=0)+(LEN(K796)=0)+(LEN(L796)=0)+(LEN(N796)=0)+(LEN(O796)=0)+(LEN(P796)=0)+(LEN(R796)=0)+(LEN(AA796)=0))</f>
        <v/>
      </c>
      <c r="AD796" s="19">
        <f>IF(OR(LEN(A796)=0,LEN(C796)=0),0,IF(OR(C796&lt;1,C796&gt;5),1,0))</f>
        <v/>
      </c>
      <c r="AE796" s="19">
        <f>IF(OR(LEN(A796)=0,LEN(R796)=0),0,IF(OR(R796="Active",R796="Paid off",R796="Defaulted",R796="Repossessed",R796="Written off",R796="Restructured"),0,1))</f>
        <v/>
      </c>
      <c r="AF796" s="19">
        <f>IF(A796="",0,IF(N(J796)&gt;N(I796),1,0))</f>
        <v/>
      </c>
      <c r="AG796" s="19">
        <f>IF(A796="",0,IF(N(N796)&gt;N(M796)+1,1,0))</f>
        <v/>
      </c>
      <c r="AH796" s="19">
        <f>IF(A796="",0,IF(N(E796)&gt;N(B796),1,0))</f>
        <v/>
      </c>
      <c r="AI796" s="19">
        <f>IF(A796="",0,IF(AND(Z796="Full payment",N(N796)&lt;N(M796)-1),1,0))</f>
        <v/>
      </c>
      <c r="AJ796" s="19">
        <f>IF(A796="",0,IF(N(P796)&lt;0,1,0))</f>
        <v/>
      </c>
      <c r="AK796" s="19">
        <f>IF(A796="",0,IF(COUNTIF($A$7:$A$1006,A796)&gt;1,1,0))</f>
        <v/>
      </c>
    </row>
    <row r="797">
      <c r="A797" s="10" t="n"/>
      <c r="B797" s="17" t="n"/>
      <c r="C797" s="18" t="n"/>
      <c r="D797" s="10" t="n"/>
      <c r="E797" s="17" t="n"/>
      <c r="F797" s="10" t="n"/>
      <c r="G797" s="10" t="n"/>
      <c r="H797" s="10" t="n"/>
      <c r="I797" s="18" t="n"/>
      <c r="J797" s="18" t="n"/>
      <c r="K797" s="18" t="n"/>
      <c r="L797" s="18" t="n"/>
      <c r="M797" s="19">
        <f>IF(K797="","",K797*365/12*L797)</f>
        <v/>
      </c>
      <c r="N797" s="18" t="n"/>
      <c r="O797" s="18" t="n"/>
      <c r="P797" s="18" t="n"/>
      <c r="Q797" s="18" t="n"/>
      <c r="R797" s="10" t="n"/>
      <c r="S797" s="17" t="n"/>
      <c r="T797" s="18" t="n"/>
      <c r="U797" s="17" t="n"/>
      <c r="V797" s="17" t="n"/>
      <c r="W797" s="18" t="n"/>
      <c r="X797" s="18" t="n"/>
      <c r="Y797" s="17" t="n"/>
      <c r="Z797" s="10" t="n"/>
      <c r="AA797" s="10" t="n"/>
      <c r="AB797" s="19">
        <f>IF(LEN(A797)&gt;0,1,0)</f>
        <v/>
      </c>
      <c r="AC797" s="19">
        <f>IF(LEN(A797)=0,0,(LEN(B797)=0)+(LEN(C797)=0)+(LEN(D797)=0)+(LEN(E797)=0)+(LEN(F797)=0)+(LEN(G797)=0)+(LEN(H797)=0)+(LEN(I797)=0)+(LEN(J797)=0)+(LEN(K797)=0)+(LEN(L797)=0)+(LEN(N797)=0)+(LEN(O797)=0)+(LEN(P797)=0)+(LEN(R797)=0)+(LEN(AA797)=0))</f>
        <v/>
      </c>
      <c r="AD797" s="19">
        <f>IF(OR(LEN(A797)=0,LEN(C797)=0),0,IF(OR(C797&lt;1,C797&gt;5),1,0))</f>
        <v/>
      </c>
      <c r="AE797" s="19">
        <f>IF(OR(LEN(A797)=0,LEN(R797)=0),0,IF(OR(R797="Active",R797="Paid off",R797="Defaulted",R797="Repossessed",R797="Written off",R797="Restructured"),0,1))</f>
        <v/>
      </c>
      <c r="AF797" s="19">
        <f>IF(A797="",0,IF(N(J797)&gt;N(I797),1,0))</f>
        <v/>
      </c>
      <c r="AG797" s="19">
        <f>IF(A797="",0,IF(N(N797)&gt;N(M797)+1,1,0))</f>
        <v/>
      </c>
      <c r="AH797" s="19">
        <f>IF(A797="",0,IF(N(E797)&gt;N(B797),1,0))</f>
        <v/>
      </c>
      <c r="AI797" s="19">
        <f>IF(A797="",0,IF(AND(Z797="Full payment",N(N797)&lt;N(M797)-1),1,0))</f>
        <v/>
      </c>
      <c r="AJ797" s="19">
        <f>IF(A797="",0,IF(N(P797)&lt;0,1,0))</f>
        <v/>
      </c>
      <c r="AK797" s="19">
        <f>IF(A797="",0,IF(COUNTIF($A$7:$A$1006,A797)&gt;1,1,0))</f>
        <v/>
      </c>
    </row>
    <row r="798">
      <c r="A798" s="10" t="n"/>
      <c r="B798" s="17" t="n"/>
      <c r="C798" s="18" t="n"/>
      <c r="D798" s="10" t="n"/>
      <c r="E798" s="17" t="n"/>
      <c r="F798" s="10" t="n"/>
      <c r="G798" s="10" t="n"/>
      <c r="H798" s="10" t="n"/>
      <c r="I798" s="18" t="n"/>
      <c r="J798" s="18" t="n"/>
      <c r="K798" s="18" t="n"/>
      <c r="L798" s="18" t="n"/>
      <c r="M798" s="19">
        <f>IF(K798="","",K798*365/12*L798)</f>
        <v/>
      </c>
      <c r="N798" s="18" t="n"/>
      <c r="O798" s="18" t="n"/>
      <c r="P798" s="18" t="n"/>
      <c r="Q798" s="18" t="n"/>
      <c r="R798" s="10" t="n"/>
      <c r="S798" s="17" t="n"/>
      <c r="T798" s="18" t="n"/>
      <c r="U798" s="17" t="n"/>
      <c r="V798" s="17" t="n"/>
      <c r="W798" s="18" t="n"/>
      <c r="X798" s="18" t="n"/>
      <c r="Y798" s="17" t="n"/>
      <c r="Z798" s="10" t="n"/>
      <c r="AA798" s="10" t="n"/>
      <c r="AB798" s="19">
        <f>IF(LEN(A798)&gt;0,1,0)</f>
        <v/>
      </c>
      <c r="AC798" s="19">
        <f>IF(LEN(A798)=0,0,(LEN(B798)=0)+(LEN(C798)=0)+(LEN(D798)=0)+(LEN(E798)=0)+(LEN(F798)=0)+(LEN(G798)=0)+(LEN(H798)=0)+(LEN(I798)=0)+(LEN(J798)=0)+(LEN(K798)=0)+(LEN(L798)=0)+(LEN(N798)=0)+(LEN(O798)=0)+(LEN(P798)=0)+(LEN(R798)=0)+(LEN(AA798)=0))</f>
        <v/>
      </c>
      <c r="AD798" s="19">
        <f>IF(OR(LEN(A798)=0,LEN(C798)=0),0,IF(OR(C798&lt;1,C798&gt;5),1,0))</f>
        <v/>
      </c>
      <c r="AE798" s="19">
        <f>IF(OR(LEN(A798)=0,LEN(R798)=0),0,IF(OR(R798="Active",R798="Paid off",R798="Defaulted",R798="Repossessed",R798="Written off",R798="Restructured"),0,1))</f>
        <v/>
      </c>
      <c r="AF798" s="19">
        <f>IF(A798="",0,IF(N(J798)&gt;N(I798),1,0))</f>
        <v/>
      </c>
      <c r="AG798" s="19">
        <f>IF(A798="",0,IF(N(N798)&gt;N(M798)+1,1,0))</f>
        <v/>
      </c>
      <c r="AH798" s="19">
        <f>IF(A798="",0,IF(N(E798)&gt;N(B798),1,0))</f>
        <v/>
      </c>
      <c r="AI798" s="19">
        <f>IF(A798="",0,IF(AND(Z798="Full payment",N(N798)&lt;N(M798)-1),1,0))</f>
        <v/>
      </c>
      <c r="AJ798" s="19">
        <f>IF(A798="",0,IF(N(P798)&lt;0,1,0))</f>
        <v/>
      </c>
      <c r="AK798" s="19">
        <f>IF(A798="",0,IF(COUNTIF($A$7:$A$1006,A798)&gt;1,1,0))</f>
        <v/>
      </c>
    </row>
    <row r="799">
      <c r="A799" s="10" t="n"/>
      <c r="B799" s="17" t="n"/>
      <c r="C799" s="18" t="n"/>
      <c r="D799" s="10" t="n"/>
      <c r="E799" s="17" t="n"/>
      <c r="F799" s="10" t="n"/>
      <c r="G799" s="10" t="n"/>
      <c r="H799" s="10" t="n"/>
      <c r="I799" s="18" t="n"/>
      <c r="J799" s="18" t="n"/>
      <c r="K799" s="18" t="n"/>
      <c r="L799" s="18" t="n"/>
      <c r="M799" s="19">
        <f>IF(K799="","",K799*365/12*L799)</f>
        <v/>
      </c>
      <c r="N799" s="18" t="n"/>
      <c r="O799" s="18" t="n"/>
      <c r="P799" s="18" t="n"/>
      <c r="Q799" s="18" t="n"/>
      <c r="R799" s="10" t="n"/>
      <c r="S799" s="17" t="n"/>
      <c r="T799" s="18" t="n"/>
      <c r="U799" s="17" t="n"/>
      <c r="V799" s="17" t="n"/>
      <c r="W799" s="18" t="n"/>
      <c r="X799" s="18" t="n"/>
      <c r="Y799" s="17" t="n"/>
      <c r="Z799" s="10" t="n"/>
      <c r="AA799" s="10" t="n"/>
      <c r="AB799" s="19">
        <f>IF(LEN(A799)&gt;0,1,0)</f>
        <v/>
      </c>
      <c r="AC799" s="19">
        <f>IF(LEN(A799)=0,0,(LEN(B799)=0)+(LEN(C799)=0)+(LEN(D799)=0)+(LEN(E799)=0)+(LEN(F799)=0)+(LEN(G799)=0)+(LEN(H799)=0)+(LEN(I799)=0)+(LEN(J799)=0)+(LEN(K799)=0)+(LEN(L799)=0)+(LEN(N799)=0)+(LEN(O799)=0)+(LEN(P799)=0)+(LEN(R799)=0)+(LEN(AA799)=0))</f>
        <v/>
      </c>
      <c r="AD799" s="19">
        <f>IF(OR(LEN(A799)=0,LEN(C799)=0),0,IF(OR(C799&lt;1,C799&gt;5),1,0))</f>
        <v/>
      </c>
      <c r="AE799" s="19">
        <f>IF(OR(LEN(A799)=0,LEN(R799)=0),0,IF(OR(R799="Active",R799="Paid off",R799="Defaulted",R799="Repossessed",R799="Written off",R799="Restructured"),0,1))</f>
        <v/>
      </c>
      <c r="AF799" s="19">
        <f>IF(A799="",0,IF(N(J799)&gt;N(I799),1,0))</f>
        <v/>
      </c>
      <c r="AG799" s="19">
        <f>IF(A799="",0,IF(N(N799)&gt;N(M799)+1,1,0))</f>
        <v/>
      </c>
      <c r="AH799" s="19">
        <f>IF(A799="",0,IF(N(E799)&gt;N(B799),1,0))</f>
        <v/>
      </c>
      <c r="AI799" s="19">
        <f>IF(A799="",0,IF(AND(Z799="Full payment",N(N799)&lt;N(M799)-1),1,0))</f>
        <v/>
      </c>
      <c r="AJ799" s="19">
        <f>IF(A799="",0,IF(N(P799)&lt;0,1,0))</f>
        <v/>
      </c>
      <c r="AK799" s="19">
        <f>IF(A799="",0,IF(COUNTIF($A$7:$A$1006,A799)&gt;1,1,0))</f>
        <v/>
      </c>
    </row>
    <row r="800">
      <c r="A800" s="10" t="n"/>
      <c r="B800" s="17" t="n"/>
      <c r="C800" s="18" t="n"/>
      <c r="D800" s="10" t="n"/>
      <c r="E800" s="17" t="n"/>
      <c r="F800" s="10" t="n"/>
      <c r="G800" s="10" t="n"/>
      <c r="H800" s="10" t="n"/>
      <c r="I800" s="18" t="n"/>
      <c r="J800" s="18" t="n"/>
      <c r="K800" s="18" t="n"/>
      <c r="L800" s="18" t="n"/>
      <c r="M800" s="19">
        <f>IF(K800="","",K800*365/12*L800)</f>
        <v/>
      </c>
      <c r="N800" s="18" t="n"/>
      <c r="O800" s="18" t="n"/>
      <c r="P800" s="18" t="n"/>
      <c r="Q800" s="18" t="n"/>
      <c r="R800" s="10" t="n"/>
      <c r="S800" s="17" t="n"/>
      <c r="T800" s="18" t="n"/>
      <c r="U800" s="17" t="n"/>
      <c r="V800" s="17" t="n"/>
      <c r="W800" s="18" t="n"/>
      <c r="X800" s="18" t="n"/>
      <c r="Y800" s="17" t="n"/>
      <c r="Z800" s="10" t="n"/>
      <c r="AA800" s="10" t="n"/>
      <c r="AB800" s="19">
        <f>IF(LEN(A800)&gt;0,1,0)</f>
        <v/>
      </c>
      <c r="AC800" s="19">
        <f>IF(LEN(A800)=0,0,(LEN(B800)=0)+(LEN(C800)=0)+(LEN(D800)=0)+(LEN(E800)=0)+(LEN(F800)=0)+(LEN(G800)=0)+(LEN(H800)=0)+(LEN(I800)=0)+(LEN(J800)=0)+(LEN(K800)=0)+(LEN(L800)=0)+(LEN(N800)=0)+(LEN(O800)=0)+(LEN(P800)=0)+(LEN(R800)=0)+(LEN(AA800)=0))</f>
        <v/>
      </c>
      <c r="AD800" s="19">
        <f>IF(OR(LEN(A800)=0,LEN(C800)=0),0,IF(OR(C800&lt;1,C800&gt;5),1,0))</f>
        <v/>
      </c>
      <c r="AE800" s="19">
        <f>IF(OR(LEN(A800)=0,LEN(R800)=0),0,IF(OR(R800="Active",R800="Paid off",R800="Defaulted",R800="Repossessed",R800="Written off",R800="Restructured"),0,1))</f>
        <v/>
      </c>
      <c r="AF800" s="19">
        <f>IF(A800="",0,IF(N(J800)&gt;N(I800),1,0))</f>
        <v/>
      </c>
      <c r="AG800" s="19">
        <f>IF(A800="",0,IF(N(N800)&gt;N(M800)+1,1,0))</f>
        <v/>
      </c>
      <c r="AH800" s="19">
        <f>IF(A800="",0,IF(N(E800)&gt;N(B800),1,0))</f>
        <v/>
      </c>
      <c r="AI800" s="19">
        <f>IF(A800="",0,IF(AND(Z800="Full payment",N(N800)&lt;N(M800)-1),1,0))</f>
        <v/>
      </c>
      <c r="AJ800" s="19">
        <f>IF(A800="",0,IF(N(P800)&lt;0,1,0))</f>
        <v/>
      </c>
      <c r="AK800" s="19">
        <f>IF(A800="",0,IF(COUNTIF($A$7:$A$1006,A800)&gt;1,1,0))</f>
        <v/>
      </c>
    </row>
    <row r="801">
      <c r="A801" s="10" t="n"/>
      <c r="B801" s="17" t="n"/>
      <c r="C801" s="18" t="n"/>
      <c r="D801" s="10" t="n"/>
      <c r="E801" s="17" t="n"/>
      <c r="F801" s="10" t="n"/>
      <c r="G801" s="10" t="n"/>
      <c r="H801" s="10" t="n"/>
      <c r="I801" s="18" t="n"/>
      <c r="J801" s="18" t="n"/>
      <c r="K801" s="18" t="n"/>
      <c r="L801" s="18" t="n"/>
      <c r="M801" s="19">
        <f>IF(K801="","",K801*365/12*L801)</f>
        <v/>
      </c>
      <c r="N801" s="18" t="n"/>
      <c r="O801" s="18" t="n"/>
      <c r="P801" s="18" t="n"/>
      <c r="Q801" s="18" t="n"/>
      <c r="R801" s="10" t="n"/>
      <c r="S801" s="17" t="n"/>
      <c r="T801" s="18" t="n"/>
      <c r="U801" s="17" t="n"/>
      <c r="V801" s="17" t="n"/>
      <c r="W801" s="18" t="n"/>
      <c r="X801" s="18" t="n"/>
      <c r="Y801" s="17" t="n"/>
      <c r="Z801" s="10" t="n"/>
      <c r="AA801" s="10" t="n"/>
      <c r="AB801" s="19">
        <f>IF(LEN(A801)&gt;0,1,0)</f>
        <v/>
      </c>
      <c r="AC801" s="19">
        <f>IF(LEN(A801)=0,0,(LEN(B801)=0)+(LEN(C801)=0)+(LEN(D801)=0)+(LEN(E801)=0)+(LEN(F801)=0)+(LEN(G801)=0)+(LEN(H801)=0)+(LEN(I801)=0)+(LEN(J801)=0)+(LEN(K801)=0)+(LEN(L801)=0)+(LEN(N801)=0)+(LEN(O801)=0)+(LEN(P801)=0)+(LEN(R801)=0)+(LEN(AA801)=0))</f>
        <v/>
      </c>
      <c r="AD801" s="19">
        <f>IF(OR(LEN(A801)=0,LEN(C801)=0),0,IF(OR(C801&lt;1,C801&gt;5),1,0))</f>
        <v/>
      </c>
      <c r="AE801" s="19">
        <f>IF(OR(LEN(A801)=0,LEN(R801)=0),0,IF(OR(R801="Active",R801="Paid off",R801="Defaulted",R801="Repossessed",R801="Written off",R801="Restructured"),0,1))</f>
        <v/>
      </c>
      <c r="AF801" s="19">
        <f>IF(A801="",0,IF(N(J801)&gt;N(I801),1,0))</f>
        <v/>
      </c>
      <c r="AG801" s="19">
        <f>IF(A801="",0,IF(N(N801)&gt;N(M801)+1,1,0))</f>
        <v/>
      </c>
      <c r="AH801" s="19">
        <f>IF(A801="",0,IF(N(E801)&gt;N(B801),1,0))</f>
        <v/>
      </c>
      <c r="AI801" s="19">
        <f>IF(A801="",0,IF(AND(Z801="Full payment",N(N801)&lt;N(M801)-1),1,0))</f>
        <v/>
      </c>
      <c r="AJ801" s="19">
        <f>IF(A801="",0,IF(N(P801)&lt;0,1,0))</f>
        <v/>
      </c>
      <c r="AK801" s="19">
        <f>IF(A801="",0,IF(COUNTIF($A$7:$A$1006,A801)&gt;1,1,0))</f>
        <v/>
      </c>
    </row>
    <row r="802">
      <c r="A802" s="10" t="n"/>
      <c r="B802" s="17" t="n"/>
      <c r="C802" s="18" t="n"/>
      <c r="D802" s="10" t="n"/>
      <c r="E802" s="17" t="n"/>
      <c r="F802" s="10" t="n"/>
      <c r="G802" s="10" t="n"/>
      <c r="H802" s="10" t="n"/>
      <c r="I802" s="18" t="n"/>
      <c r="J802" s="18" t="n"/>
      <c r="K802" s="18" t="n"/>
      <c r="L802" s="18" t="n"/>
      <c r="M802" s="19">
        <f>IF(K802="","",K802*365/12*L802)</f>
        <v/>
      </c>
      <c r="N802" s="18" t="n"/>
      <c r="O802" s="18" t="n"/>
      <c r="P802" s="18" t="n"/>
      <c r="Q802" s="18" t="n"/>
      <c r="R802" s="10" t="n"/>
      <c r="S802" s="17" t="n"/>
      <c r="T802" s="18" t="n"/>
      <c r="U802" s="17" t="n"/>
      <c r="V802" s="17" t="n"/>
      <c r="W802" s="18" t="n"/>
      <c r="X802" s="18" t="n"/>
      <c r="Y802" s="17" t="n"/>
      <c r="Z802" s="10" t="n"/>
      <c r="AA802" s="10" t="n"/>
      <c r="AB802" s="19">
        <f>IF(LEN(A802)&gt;0,1,0)</f>
        <v/>
      </c>
      <c r="AC802" s="19">
        <f>IF(LEN(A802)=0,0,(LEN(B802)=0)+(LEN(C802)=0)+(LEN(D802)=0)+(LEN(E802)=0)+(LEN(F802)=0)+(LEN(G802)=0)+(LEN(H802)=0)+(LEN(I802)=0)+(LEN(J802)=0)+(LEN(K802)=0)+(LEN(L802)=0)+(LEN(N802)=0)+(LEN(O802)=0)+(LEN(P802)=0)+(LEN(R802)=0)+(LEN(AA802)=0))</f>
        <v/>
      </c>
      <c r="AD802" s="19">
        <f>IF(OR(LEN(A802)=0,LEN(C802)=0),0,IF(OR(C802&lt;1,C802&gt;5),1,0))</f>
        <v/>
      </c>
      <c r="AE802" s="19">
        <f>IF(OR(LEN(A802)=0,LEN(R802)=0),0,IF(OR(R802="Active",R802="Paid off",R802="Defaulted",R802="Repossessed",R802="Written off",R802="Restructured"),0,1))</f>
        <v/>
      </c>
      <c r="AF802" s="19">
        <f>IF(A802="",0,IF(N(J802)&gt;N(I802),1,0))</f>
        <v/>
      </c>
      <c r="AG802" s="19">
        <f>IF(A802="",0,IF(N(N802)&gt;N(M802)+1,1,0))</f>
        <v/>
      </c>
      <c r="AH802" s="19">
        <f>IF(A802="",0,IF(N(E802)&gt;N(B802),1,0))</f>
        <v/>
      </c>
      <c r="AI802" s="19">
        <f>IF(A802="",0,IF(AND(Z802="Full payment",N(N802)&lt;N(M802)-1),1,0))</f>
        <v/>
      </c>
      <c r="AJ802" s="19">
        <f>IF(A802="",0,IF(N(P802)&lt;0,1,0))</f>
        <v/>
      </c>
      <c r="AK802" s="19">
        <f>IF(A802="",0,IF(COUNTIF($A$7:$A$1006,A802)&gt;1,1,0))</f>
        <v/>
      </c>
    </row>
    <row r="803">
      <c r="A803" s="10" t="n"/>
      <c r="B803" s="17" t="n"/>
      <c r="C803" s="18" t="n"/>
      <c r="D803" s="10" t="n"/>
      <c r="E803" s="17" t="n"/>
      <c r="F803" s="10" t="n"/>
      <c r="G803" s="10" t="n"/>
      <c r="H803" s="10" t="n"/>
      <c r="I803" s="18" t="n"/>
      <c r="J803" s="18" t="n"/>
      <c r="K803" s="18" t="n"/>
      <c r="L803" s="18" t="n"/>
      <c r="M803" s="19">
        <f>IF(K803="","",K803*365/12*L803)</f>
        <v/>
      </c>
      <c r="N803" s="18" t="n"/>
      <c r="O803" s="18" t="n"/>
      <c r="P803" s="18" t="n"/>
      <c r="Q803" s="18" t="n"/>
      <c r="R803" s="10" t="n"/>
      <c r="S803" s="17" t="n"/>
      <c r="T803" s="18" t="n"/>
      <c r="U803" s="17" t="n"/>
      <c r="V803" s="17" t="n"/>
      <c r="W803" s="18" t="n"/>
      <c r="X803" s="18" t="n"/>
      <c r="Y803" s="17" t="n"/>
      <c r="Z803" s="10" t="n"/>
      <c r="AA803" s="10" t="n"/>
      <c r="AB803" s="19">
        <f>IF(LEN(A803)&gt;0,1,0)</f>
        <v/>
      </c>
      <c r="AC803" s="19">
        <f>IF(LEN(A803)=0,0,(LEN(B803)=0)+(LEN(C803)=0)+(LEN(D803)=0)+(LEN(E803)=0)+(LEN(F803)=0)+(LEN(G803)=0)+(LEN(H803)=0)+(LEN(I803)=0)+(LEN(J803)=0)+(LEN(K803)=0)+(LEN(L803)=0)+(LEN(N803)=0)+(LEN(O803)=0)+(LEN(P803)=0)+(LEN(R803)=0)+(LEN(AA803)=0))</f>
        <v/>
      </c>
      <c r="AD803" s="19">
        <f>IF(OR(LEN(A803)=0,LEN(C803)=0),0,IF(OR(C803&lt;1,C803&gt;5),1,0))</f>
        <v/>
      </c>
      <c r="AE803" s="19">
        <f>IF(OR(LEN(A803)=0,LEN(R803)=0),0,IF(OR(R803="Active",R803="Paid off",R803="Defaulted",R803="Repossessed",R803="Written off",R803="Restructured"),0,1))</f>
        <v/>
      </c>
      <c r="AF803" s="19">
        <f>IF(A803="",0,IF(N(J803)&gt;N(I803),1,0))</f>
        <v/>
      </c>
      <c r="AG803" s="19">
        <f>IF(A803="",0,IF(N(N803)&gt;N(M803)+1,1,0))</f>
        <v/>
      </c>
      <c r="AH803" s="19">
        <f>IF(A803="",0,IF(N(E803)&gt;N(B803),1,0))</f>
        <v/>
      </c>
      <c r="AI803" s="19">
        <f>IF(A803="",0,IF(AND(Z803="Full payment",N(N803)&lt;N(M803)-1),1,0))</f>
        <v/>
      </c>
      <c r="AJ803" s="19">
        <f>IF(A803="",0,IF(N(P803)&lt;0,1,0))</f>
        <v/>
      </c>
      <c r="AK803" s="19">
        <f>IF(A803="",0,IF(COUNTIF($A$7:$A$1006,A803)&gt;1,1,0))</f>
        <v/>
      </c>
    </row>
    <row r="804">
      <c r="A804" s="10" t="n"/>
      <c r="B804" s="17" t="n"/>
      <c r="C804" s="18" t="n"/>
      <c r="D804" s="10" t="n"/>
      <c r="E804" s="17" t="n"/>
      <c r="F804" s="10" t="n"/>
      <c r="G804" s="10" t="n"/>
      <c r="H804" s="10" t="n"/>
      <c r="I804" s="18" t="n"/>
      <c r="J804" s="18" t="n"/>
      <c r="K804" s="18" t="n"/>
      <c r="L804" s="18" t="n"/>
      <c r="M804" s="19">
        <f>IF(K804="","",K804*365/12*L804)</f>
        <v/>
      </c>
      <c r="N804" s="18" t="n"/>
      <c r="O804" s="18" t="n"/>
      <c r="P804" s="18" t="n"/>
      <c r="Q804" s="18" t="n"/>
      <c r="R804" s="10" t="n"/>
      <c r="S804" s="17" t="n"/>
      <c r="T804" s="18" t="n"/>
      <c r="U804" s="17" t="n"/>
      <c r="V804" s="17" t="n"/>
      <c r="W804" s="18" t="n"/>
      <c r="X804" s="18" t="n"/>
      <c r="Y804" s="17" t="n"/>
      <c r="Z804" s="10" t="n"/>
      <c r="AA804" s="10" t="n"/>
      <c r="AB804" s="19">
        <f>IF(LEN(A804)&gt;0,1,0)</f>
        <v/>
      </c>
      <c r="AC804" s="19">
        <f>IF(LEN(A804)=0,0,(LEN(B804)=0)+(LEN(C804)=0)+(LEN(D804)=0)+(LEN(E804)=0)+(LEN(F804)=0)+(LEN(G804)=0)+(LEN(H804)=0)+(LEN(I804)=0)+(LEN(J804)=0)+(LEN(K804)=0)+(LEN(L804)=0)+(LEN(N804)=0)+(LEN(O804)=0)+(LEN(P804)=0)+(LEN(R804)=0)+(LEN(AA804)=0))</f>
        <v/>
      </c>
      <c r="AD804" s="19">
        <f>IF(OR(LEN(A804)=0,LEN(C804)=0),0,IF(OR(C804&lt;1,C804&gt;5),1,0))</f>
        <v/>
      </c>
      <c r="AE804" s="19">
        <f>IF(OR(LEN(A804)=0,LEN(R804)=0),0,IF(OR(R804="Active",R804="Paid off",R804="Defaulted",R804="Repossessed",R804="Written off",R804="Restructured"),0,1))</f>
        <v/>
      </c>
      <c r="AF804" s="19">
        <f>IF(A804="",0,IF(N(J804)&gt;N(I804),1,0))</f>
        <v/>
      </c>
      <c r="AG804" s="19">
        <f>IF(A804="",0,IF(N(N804)&gt;N(M804)+1,1,0))</f>
        <v/>
      </c>
      <c r="AH804" s="19">
        <f>IF(A804="",0,IF(N(E804)&gt;N(B804),1,0))</f>
        <v/>
      </c>
      <c r="AI804" s="19">
        <f>IF(A804="",0,IF(AND(Z804="Full payment",N(N804)&lt;N(M804)-1),1,0))</f>
        <v/>
      </c>
      <c r="AJ804" s="19">
        <f>IF(A804="",0,IF(N(P804)&lt;0,1,0))</f>
        <v/>
      </c>
      <c r="AK804" s="19">
        <f>IF(A804="",0,IF(COUNTIF($A$7:$A$1006,A804)&gt;1,1,0))</f>
        <v/>
      </c>
    </row>
    <row r="805">
      <c r="A805" s="10" t="n"/>
      <c r="B805" s="17" t="n"/>
      <c r="C805" s="18" t="n"/>
      <c r="D805" s="10" t="n"/>
      <c r="E805" s="17" t="n"/>
      <c r="F805" s="10" t="n"/>
      <c r="G805" s="10" t="n"/>
      <c r="H805" s="10" t="n"/>
      <c r="I805" s="18" t="n"/>
      <c r="J805" s="18" t="n"/>
      <c r="K805" s="18" t="n"/>
      <c r="L805" s="18" t="n"/>
      <c r="M805" s="19">
        <f>IF(K805="","",K805*365/12*L805)</f>
        <v/>
      </c>
      <c r="N805" s="18" t="n"/>
      <c r="O805" s="18" t="n"/>
      <c r="P805" s="18" t="n"/>
      <c r="Q805" s="18" t="n"/>
      <c r="R805" s="10" t="n"/>
      <c r="S805" s="17" t="n"/>
      <c r="T805" s="18" t="n"/>
      <c r="U805" s="17" t="n"/>
      <c r="V805" s="17" t="n"/>
      <c r="W805" s="18" t="n"/>
      <c r="X805" s="18" t="n"/>
      <c r="Y805" s="17" t="n"/>
      <c r="Z805" s="10" t="n"/>
      <c r="AA805" s="10" t="n"/>
      <c r="AB805" s="19">
        <f>IF(LEN(A805)&gt;0,1,0)</f>
        <v/>
      </c>
      <c r="AC805" s="19">
        <f>IF(LEN(A805)=0,0,(LEN(B805)=0)+(LEN(C805)=0)+(LEN(D805)=0)+(LEN(E805)=0)+(LEN(F805)=0)+(LEN(G805)=0)+(LEN(H805)=0)+(LEN(I805)=0)+(LEN(J805)=0)+(LEN(K805)=0)+(LEN(L805)=0)+(LEN(N805)=0)+(LEN(O805)=0)+(LEN(P805)=0)+(LEN(R805)=0)+(LEN(AA805)=0))</f>
        <v/>
      </c>
      <c r="AD805" s="19">
        <f>IF(OR(LEN(A805)=0,LEN(C805)=0),0,IF(OR(C805&lt;1,C805&gt;5),1,0))</f>
        <v/>
      </c>
      <c r="AE805" s="19">
        <f>IF(OR(LEN(A805)=0,LEN(R805)=0),0,IF(OR(R805="Active",R805="Paid off",R805="Defaulted",R805="Repossessed",R805="Written off",R805="Restructured"),0,1))</f>
        <v/>
      </c>
      <c r="AF805" s="19">
        <f>IF(A805="",0,IF(N(J805)&gt;N(I805),1,0))</f>
        <v/>
      </c>
      <c r="AG805" s="19">
        <f>IF(A805="",0,IF(N(N805)&gt;N(M805)+1,1,0))</f>
        <v/>
      </c>
      <c r="AH805" s="19">
        <f>IF(A805="",0,IF(N(E805)&gt;N(B805),1,0))</f>
        <v/>
      </c>
      <c r="AI805" s="19">
        <f>IF(A805="",0,IF(AND(Z805="Full payment",N(N805)&lt;N(M805)-1),1,0))</f>
        <v/>
      </c>
      <c r="AJ805" s="19">
        <f>IF(A805="",0,IF(N(P805)&lt;0,1,0))</f>
        <v/>
      </c>
      <c r="AK805" s="19">
        <f>IF(A805="",0,IF(COUNTIF($A$7:$A$1006,A805)&gt;1,1,0))</f>
        <v/>
      </c>
    </row>
    <row r="806">
      <c r="A806" s="10" t="n"/>
      <c r="B806" s="17" t="n"/>
      <c r="C806" s="18" t="n"/>
      <c r="D806" s="10" t="n"/>
      <c r="E806" s="17" t="n"/>
      <c r="F806" s="10" t="n"/>
      <c r="G806" s="10" t="n"/>
      <c r="H806" s="10" t="n"/>
      <c r="I806" s="18" t="n"/>
      <c r="J806" s="18" t="n"/>
      <c r="K806" s="18" t="n"/>
      <c r="L806" s="18" t="n"/>
      <c r="M806" s="19">
        <f>IF(K806="","",K806*365/12*L806)</f>
        <v/>
      </c>
      <c r="N806" s="18" t="n"/>
      <c r="O806" s="18" t="n"/>
      <c r="P806" s="18" t="n"/>
      <c r="Q806" s="18" t="n"/>
      <c r="R806" s="10" t="n"/>
      <c r="S806" s="17" t="n"/>
      <c r="T806" s="18" t="n"/>
      <c r="U806" s="17" t="n"/>
      <c r="V806" s="17" t="n"/>
      <c r="W806" s="18" t="n"/>
      <c r="X806" s="18" t="n"/>
      <c r="Y806" s="17" t="n"/>
      <c r="Z806" s="10" t="n"/>
      <c r="AA806" s="10" t="n"/>
      <c r="AB806" s="19">
        <f>IF(LEN(A806)&gt;0,1,0)</f>
        <v/>
      </c>
      <c r="AC806" s="19">
        <f>IF(LEN(A806)=0,0,(LEN(B806)=0)+(LEN(C806)=0)+(LEN(D806)=0)+(LEN(E806)=0)+(LEN(F806)=0)+(LEN(G806)=0)+(LEN(H806)=0)+(LEN(I806)=0)+(LEN(J806)=0)+(LEN(K806)=0)+(LEN(L806)=0)+(LEN(N806)=0)+(LEN(O806)=0)+(LEN(P806)=0)+(LEN(R806)=0)+(LEN(AA806)=0))</f>
        <v/>
      </c>
      <c r="AD806" s="19">
        <f>IF(OR(LEN(A806)=0,LEN(C806)=0),0,IF(OR(C806&lt;1,C806&gt;5),1,0))</f>
        <v/>
      </c>
      <c r="AE806" s="19">
        <f>IF(OR(LEN(A806)=0,LEN(R806)=0),0,IF(OR(R806="Active",R806="Paid off",R806="Defaulted",R806="Repossessed",R806="Written off",R806="Restructured"),0,1))</f>
        <v/>
      </c>
      <c r="AF806" s="19">
        <f>IF(A806="",0,IF(N(J806)&gt;N(I806),1,0))</f>
        <v/>
      </c>
      <c r="AG806" s="19">
        <f>IF(A806="",0,IF(N(N806)&gt;N(M806)+1,1,0))</f>
        <v/>
      </c>
      <c r="AH806" s="19">
        <f>IF(A806="",0,IF(N(E806)&gt;N(B806),1,0))</f>
        <v/>
      </c>
      <c r="AI806" s="19">
        <f>IF(A806="",0,IF(AND(Z806="Full payment",N(N806)&lt;N(M806)-1),1,0))</f>
        <v/>
      </c>
      <c r="AJ806" s="19">
        <f>IF(A806="",0,IF(N(P806)&lt;0,1,0))</f>
        <v/>
      </c>
      <c r="AK806" s="19">
        <f>IF(A806="",0,IF(COUNTIF($A$7:$A$1006,A806)&gt;1,1,0))</f>
        <v/>
      </c>
    </row>
    <row r="807">
      <c r="A807" s="10" t="n"/>
      <c r="B807" s="17" t="n"/>
      <c r="C807" s="18" t="n"/>
      <c r="D807" s="10" t="n"/>
      <c r="E807" s="17" t="n"/>
      <c r="F807" s="10" t="n"/>
      <c r="G807" s="10" t="n"/>
      <c r="H807" s="10" t="n"/>
      <c r="I807" s="18" t="n"/>
      <c r="J807" s="18" t="n"/>
      <c r="K807" s="18" t="n"/>
      <c r="L807" s="18" t="n"/>
      <c r="M807" s="19">
        <f>IF(K807="","",K807*365/12*L807)</f>
        <v/>
      </c>
      <c r="N807" s="18" t="n"/>
      <c r="O807" s="18" t="n"/>
      <c r="P807" s="18" t="n"/>
      <c r="Q807" s="18" t="n"/>
      <c r="R807" s="10" t="n"/>
      <c r="S807" s="17" t="n"/>
      <c r="T807" s="18" t="n"/>
      <c r="U807" s="17" t="n"/>
      <c r="V807" s="17" t="n"/>
      <c r="W807" s="18" t="n"/>
      <c r="X807" s="18" t="n"/>
      <c r="Y807" s="17" t="n"/>
      <c r="Z807" s="10" t="n"/>
      <c r="AA807" s="10" t="n"/>
      <c r="AB807" s="19">
        <f>IF(LEN(A807)&gt;0,1,0)</f>
        <v/>
      </c>
      <c r="AC807" s="19">
        <f>IF(LEN(A807)=0,0,(LEN(B807)=0)+(LEN(C807)=0)+(LEN(D807)=0)+(LEN(E807)=0)+(LEN(F807)=0)+(LEN(G807)=0)+(LEN(H807)=0)+(LEN(I807)=0)+(LEN(J807)=0)+(LEN(K807)=0)+(LEN(L807)=0)+(LEN(N807)=0)+(LEN(O807)=0)+(LEN(P807)=0)+(LEN(R807)=0)+(LEN(AA807)=0))</f>
        <v/>
      </c>
      <c r="AD807" s="19">
        <f>IF(OR(LEN(A807)=0,LEN(C807)=0),0,IF(OR(C807&lt;1,C807&gt;5),1,0))</f>
        <v/>
      </c>
      <c r="AE807" s="19">
        <f>IF(OR(LEN(A807)=0,LEN(R807)=0),0,IF(OR(R807="Active",R807="Paid off",R807="Defaulted",R807="Repossessed",R807="Written off",R807="Restructured"),0,1))</f>
        <v/>
      </c>
      <c r="AF807" s="19">
        <f>IF(A807="",0,IF(N(J807)&gt;N(I807),1,0))</f>
        <v/>
      </c>
      <c r="AG807" s="19">
        <f>IF(A807="",0,IF(N(N807)&gt;N(M807)+1,1,0))</f>
        <v/>
      </c>
      <c r="AH807" s="19">
        <f>IF(A807="",0,IF(N(E807)&gt;N(B807),1,0))</f>
        <v/>
      </c>
      <c r="AI807" s="19">
        <f>IF(A807="",0,IF(AND(Z807="Full payment",N(N807)&lt;N(M807)-1),1,0))</f>
        <v/>
      </c>
      <c r="AJ807" s="19">
        <f>IF(A807="",0,IF(N(P807)&lt;0,1,0))</f>
        <v/>
      </c>
      <c r="AK807" s="19">
        <f>IF(A807="",0,IF(COUNTIF($A$7:$A$1006,A807)&gt;1,1,0))</f>
        <v/>
      </c>
    </row>
    <row r="808">
      <c r="A808" s="10" t="n"/>
      <c r="B808" s="17" t="n"/>
      <c r="C808" s="18" t="n"/>
      <c r="D808" s="10" t="n"/>
      <c r="E808" s="17" t="n"/>
      <c r="F808" s="10" t="n"/>
      <c r="G808" s="10" t="n"/>
      <c r="H808" s="10" t="n"/>
      <c r="I808" s="18" t="n"/>
      <c r="J808" s="18" t="n"/>
      <c r="K808" s="18" t="n"/>
      <c r="L808" s="18" t="n"/>
      <c r="M808" s="19">
        <f>IF(K808="","",K808*365/12*L808)</f>
        <v/>
      </c>
      <c r="N808" s="18" t="n"/>
      <c r="O808" s="18" t="n"/>
      <c r="P808" s="18" t="n"/>
      <c r="Q808" s="18" t="n"/>
      <c r="R808" s="10" t="n"/>
      <c r="S808" s="17" t="n"/>
      <c r="T808" s="18" t="n"/>
      <c r="U808" s="17" t="n"/>
      <c r="V808" s="17" t="n"/>
      <c r="W808" s="18" t="n"/>
      <c r="X808" s="18" t="n"/>
      <c r="Y808" s="17" t="n"/>
      <c r="Z808" s="10" t="n"/>
      <c r="AA808" s="10" t="n"/>
      <c r="AB808" s="19">
        <f>IF(LEN(A808)&gt;0,1,0)</f>
        <v/>
      </c>
      <c r="AC808" s="19">
        <f>IF(LEN(A808)=0,0,(LEN(B808)=0)+(LEN(C808)=0)+(LEN(D808)=0)+(LEN(E808)=0)+(LEN(F808)=0)+(LEN(G808)=0)+(LEN(H808)=0)+(LEN(I808)=0)+(LEN(J808)=0)+(LEN(K808)=0)+(LEN(L808)=0)+(LEN(N808)=0)+(LEN(O808)=0)+(LEN(P808)=0)+(LEN(R808)=0)+(LEN(AA808)=0))</f>
        <v/>
      </c>
      <c r="AD808" s="19">
        <f>IF(OR(LEN(A808)=0,LEN(C808)=0),0,IF(OR(C808&lt;1,C808&gt;5),1,0))</f>
        <v/>
      </c>
      <c r="AE808" s="19">
        <f>IF(OR(LEN(A808)=0,LEN(R808)=0),0,IF(OR(R808="Active",R808="Paid off",R808="Defaulted",R808="Repossessed",R808="Written off",R808="Restructured"),0,1))</f>
        <v/>
      </c>
      <c r="AF808" s="19">
        <f>IF(A808="",0,IF(N(J808)&gt;N(I808),1,0))</f>
        <v/>
      </c>
      <c r="AG808" s="19">
        <f>IF(A808="",0,IF(N(N808)&gt;N(M808)+1,1,0))</f>
        <v/>
      </c>
      <c r="AH808" s="19">
        <f>IF(A808="",0,IF(N(E808)&gt;N(B808),1,0))</f>
        <v/>
      </c>
      <c r="AI808" s="19">
        <f>IF(A808="",0,IF(AND(Z808="Full payment",N(N808)&lt;N(M808)-1),1,0))</f>
        <v/>
      </c>
      <c r="AJ808" s="19">
        <f>IF(A808="",0,IF(N(P808)&lt;0,1,0))</f>
        <v/>
      </c>
      <c r="AK808" s="19">
        <f>IF(A808="",0,IF(COUNTIF($A$7:$A$1006,A808)&gt;1,1,0))</f>
        <v/>
      </c>
    </row>
    <row r="809">
      <c r="A809" s="10" t="n"/>
      <c r="B809" s="17" t="n"/>
      <c r="C809" s="18" t="n"/>
      <c r="D809" s="10" t="n"/>
      <c r="E809" s="17" t="n"/>
      <c r="F809" s="10" t="n"/>
      <c r="G809" s="10" t="n"/>
      <c r="H809" s="10" t="n"/>
      <c r="I809" s="18" t="n"/>
      <c r="J809" s="18" t="n"/>
      <c r="K809" s="18" t="n"/>
      <c r="L809" s="18" t="n"/>
      <c r="M809" s="19">
        <f>IF(K809="","",K809*365/12*L809)</f>
        <v/>
      </c>
      <c r="N809" s="18" t="n"/>
      <c r="O809" s="18" t="n"/>
      <c r="P809" s="18" t="n"/>
      <c r="Q809" s="18" t="n"/>
      <c r="R809" s="10" t="n"/>
      <c r="S809" s="17" t="n"/>
      <c r="T809" s="18" t="n"/>
      <c r="U809" s="17" t="n"/>
      <c r="V809" s="17" t="n"/>
      <c r="W809" s="18" t="n"/>
      <c r="X809" s="18" t="n"/>
      <c r="Y809" s="17" t="n"/>
      <c r="Z809" s="10" t="n"/>
      <c r="AA809" s="10" t="n"/>
      <c r="AB809" s="19">
        <f>IF(LEN(A809)&gt;0,1,0)</f>
        <v/>
      </c>
      <c r="AC809" s="19">
        <f>IF(LEN(A809)=0,0,(LEN(B809)=0)+(LEN(C809)=0)+(LEN(D809)=0)+(LEN(E809)=0)+(LEN(F809)=0)+(LEN(G809)=0)+(LEN(H809)=0)+(LEN(I809)=0)+(LEN(J809)=0)+(LEN(K809)=0)+(LEN(L809)=0)+(LEN(N809)=0)+(LEN(O809)=0)+(LEN(P809)=0)+(LEN(R809)=0)+(LEN(AA809)=0))</f>
        <v/>
      </c>
      <c r="AD809" s="19">
        <f>IF(OR(LEN(A809)=0,LEN(C809)=0),0,IF(OR(C809&lt;1,C809&gt;5),1,0))</f>
        <v/>
      </c>
      <c r="AE809" s="19">
        <f>IF(OR(LEN(A809)=0,LEN(R809)=0),0,IF(OR(R809="Active",R809="Paid off",R809="Defaulted",R809="Repossessed",R809="Written off",R809="Restructured"),0,1))</f>
        <v/>
      </c>
      <c r="AF809" s="19">
        <f>IF(A809="",0,IF(N(J809)&gt;N(I809),1,0))</f>
        <v/>
      </c>
      <c r="AG809" s="19">
        <f>IF(A809="",0,IF(N(N809)&gt;N(M809)+1,1,0))</f>
        <v/>
      </c>
      <c r="AH809" s="19">
        <f>IF(A809="",0,IF(N(E809)&gt;N(B809),1,0))</f>
        <v/>
      </c>
      <c r="AI809" s="19">
        <f>IF(A809="",0,IF(AND(Z809="Full payment",N(N809)&lt;N(M809)-1),1,0))</f>
        <v/>
      </c>
      <c r="AJ809" s="19">
        <f>IF(A809="",0,IF(N(P809)&lt;0,1,0))</f>
        <v/>
      </c>
      <c r="AK809" s="19">
        <f>IF(A809="",0,IF(COUNTIF($A$7:$A$1006,A809)&gt;1,1,0))</f>
        <v/>
      </c>
    </row>
    <row r="810">
      <c r="A810" s="10" t="n"/>
      <c r="B810" s="17" t="n"/>
      <c r="C810" s="18" t="n"/>
      <c r="D810" s="10" t="n"/>
      <c r="E810" s="17" t="n"/>
      <c r="F810" s="10" t="n"/>
      <c r="G810" s="10" t="n"/>
      <c r="H810" s="10" t="n"/>
      <c r="I810" s="18" t="n"/>
      <c r="J810" s="18" t="n"/>
      <c r="K810" s="18" t="n"/>
      <c r="L810" s="18" t="n"/>
      <c r="M810" s="19">
        <f>IF(K810="","",K810*365/12*L810)</f>
        <v/>
      </c>
      <c r="N810" s="18" t="n"/>
      <c r="O810" s="18" t="n"/>
      <c r="P810" s="18" t="n"/>
      <c r="Q810" s="18" t="n"/>
      <c r="R810" s="10" t="n"/>
      <c r="S810" s="17" t="n"/>
      <c r="T810" s="18" t="n"/>
      <c r="U810" s="17" t="n"/>
      <c r="V810" s="17" t="n"/>
      <c r="W810" s="18" t="n"/>
      <c r="X810" s="18" t="n"/>
      <c r="Y810" s="17" t="n"/>
      <c r="Z810" s="10" t="n"/>
      <c r="AA810" s="10" t="n"/>
      <c r="AB810" s="19">
        <f>IF(LEN(A810)&gt;0,1,0)</f>
        <v/>
      </c>
      <c r="AC810" s="19">
        <f>IF(LEN(A810)=0,0,(LEN(B810)=0)+(LEN(C810)=0)+(LEN(D810)=0)+(LEN(E810)=0)+(LEN(F810)=0)+(LEN(G810)=0)+(LEN(H810)=0)+(LEN(I810)=0)+(LEN(J810)=0)+(LEN(K810)=0)+(LEN(L810)=0)+(LEN(N810)=0)+(LEN(O810)=0)+(LEN(P810)=0)+(LEN(R810)=0)+(LEN(AA810)=0))</f>
        <v/>
      </c>
      <c r="AD810" s="19">
        <f>IF(OR(LEN(A810)=0,LEN(C810)=0),0,IF(OR(C810&lt;1,C810&gt;5),1,0))</f>
        <v/>
      </c>
      <c r="AE810" s="19">
        <f>IF(OR(LEN(A810)=0,LEN(R810)=0),0,IF(OR(R810="Active",R810="Paid off",R810="Defaulted",R810="Repossessed",R810="Written off",R810="Restructured"),0,1))</f>
        <v/>
      </c>
      <c r="AF810" s="19">
        <f>IF(A810="",0,IF(N(J810)&gt;N(I810),1,0))</f>
        <v/>
      </c>
      <c r="AG810" s="19">
        <f>IF(A810="",0,IF(N(N810)&gt;N(M810)+1,1,0))</f>
        <v/>
      </c>
      <c r="AH810" s="19">
        <f>IF(A810="",0,IF(N(E810)&gt;N(B810),1,0))</f>
        <v/>
      </c>
      <c r="AI810" s="19">
        <f>IF(A810="",0,IF(AND(Z810="Full payment",N(N810)&lt;N(M810)-1),1,0))</f>
        <v/>
      </c>
      <c r="AJ810" s="19">
        <f>IF(A810="",0,IF(N(P810)&lt;0,1,0))</f>
        <v/>
      </c>
      <c r="AK810" s="19">
        <f>IF(A810="",0,IF(COUNTIF($A$7:$A$1006,A810)&gt;1,1,0))</f>
        <v/>
      </c>
    </row>
    <row r="811">
      <c r="A811" s="10" t="n"/>
      <c r="B811" s="17" t="n"/>
      <c r="C811" s="18" t="n"/>
      <c r="D811" s="10" t="n"/>
      <c r="E811" s="17" t="n"/>
      <c r="F811" s="10" t="n"/>
      <c r="G811" s="10" t="n"/>
      <c r="H811" s="10" t="n"/>
      <c r="I811" s="18" t="n"/>
      <c r="J811" s="18" t="n"/>
      <c r="K811" s="18" t="n"/>
      <c r="L811" s="18" t="n"/>
      <c r="M811" s="19">
        <f>IF(K811="","",K811*365/12*L811)</f>
        <v/>
      </c>
      <c r="N811" s="18" t="n"/>
      <c r="O811" s="18" t="n"/>
      <c r="P811" s="18" t="n"/>
      <c r="Q811" s="18" t="n"/>
      <c r="R811" s="10" t="n"/>
      <c r="S811" s="17" t="n"/>
      <c r="T811" s="18" t="n"/>
      <c r="U811" s="17" t="n"/>
      <c r="V811" s="17" t="n"/>
      <c r="W811" s="18" t="n"/>
      <c r="X811" s="18" t="n"/>
      <c r="Y811" s="17" t="n"/>
      <c r="Z811" s="10" t="n"/>
      <c r="AA811" s="10" t="n"/>
      <c r="AB811" s="19">
        <f>IF(LEN(A811)&gt;0,1,0)</f>
        <v/>
      </c>
      <c r="AC811" s="19">
        <f>IF(LEN(A811)=0,0,(LEN(B811)=0)+(LEN(C811)=0)+(LEN(D811)=0)+(LEN(E811)=0)+(LEN(F811)=0)+(LEN(G811)=0)+(LEN(H811)=0)+(LEN(I811)=0)+(LEN(J811)=0)+(LEN(K811)=0)+(LEN(L811)=0)+(LEN(N811)=0)+(LEN(O811)=0)+(LEN(P811)=0)+(LEN(R811)=0)+(LEN(AA811)=0))</f>
        <v/>
      </c>
      <c r="AD811" s="19">
        <f>IF(OR(LEN(A811)=0,LEN(C811)=0),0,IF(OR(C811&lt;1,C811&gt;5),1,0))</f>
        <v/>
      </c>
      <c r="AE811" s="19">
        <f>IF(OR(LEN(A811)=0,LEN(R811)=0),0,IF(OR(R811="Active",R811="Paid off",R811="Defaulted",R811="Repossessed",R811="Written off",R811="Restructured"),0,1))</f>
        <v/>
      </c>
      <c r="AF811" s="19">
        <f>IF(A811="",0,IF(N(J811)&gt;N(I811),1,0))</f>
        <v/>
      </c>
      <c r="AG811" s="19">
        <f>IF(A811="",0,IF(N(N811)&gt;N(M811)+1,1,0))</f>
        <v/>
      </c>
      <c r="AH811" s="19">
        <f>IF(A811="",0,IF(N(E811)&gt;N(B811),1,0))</f>
        <v/>
      </c>
      <c r="AI811" s="19">
        <f>IF(A811="",0,IF(AND(Z811="Full payment",N(N811)&lt;N(M811)-1),1,0))</f>
        <v/>
      </c>
      <c r="AJ811" s="19">
        <f>IF(A811="",0,IF(N(P811)&lt;0,1,0))</f>
        <v/>
      </c>
      <c r="AK811" s="19">
        <f>IF(A811="",0,IF(COUNTIF($A$7:$A$1006,A811)&gt;1,1,0))</f>
        <v/>
      </c>
    </row>
    <row r="812">
      <c r="A812" s="10" t="n"/>
      <c r="B812" s="17" t="n"/>
      <c r="C812" s="18" t="n"/>
      <c r="D812" s="10" t="n"/>
      <c r="E812" s="17" t="n"/>
      <c r="F812" s="10" t="n"/>
      <c r="G812" s="10" t="n"/>
      <c r="H812" s="10" t="n"/>
      <c r="I812" s="18" t="n"/>
      <c r="J812" s="18" t="n"/>
      <c r="K812" s="18" t="n"/>
      <c r="L812" s="18" t="n"/>
      <c r="M812" s="19">
        <f>IF(K812="","",K812*365/12*L812)</f>
        <v/>
      </c>
      <c r="N812" s="18" t="n"/>
      <c r="O812" s="18" t="n"/>
      <c r="P812" s="18" t="n"/>
      <c r="Q812" s="18" t="n"/>
      <c r="R812" s="10" t="n"/>
      <c r="S812" s="17" t="n"/>
      <c r="T812" s="18" t="n"/>
      <c r="U812" s="17" t="n"/>
      <c r="V812" s="17" t="n"/>
      <c r="W812" s="18" t="n"/>
      <c r="X812" s="18" t="n"/>
      <c r="Y812" s="17" t="n"/>
      <c r="Z812" s="10" t="n"/>
      <c r="AA812" s="10" t="n"/>
      <c r="AB812" s="19">
        <f>IF(LEN(A812)&gt;0,1,0)</f>
        <v/>
      </c>
      <c r="AC812" s="19">
        <f>IF(LEN(A812)=0,0,(LEN(B812)=0)+(LEN(C812)=0)+(LEN(D812)=0)+(LEN(E812)=0)+(LEN(F812)=0)+(LEN(G812)=0)+(LEN(H812)=0)+(LEN(I812)=0)+(LEN(J812)=0)+(LEN(K812)=0)+(LEN(L812)=0)+(LEN(N812)=0)+(LEN(O812)=0)+(LEN(P812)=0)+(LEN(R812)=0)+(LEN(AA812)=0))</f>
        <v/>
      </c>
      <c r="AD812" s="19">
        <f>IF(OR(LEN(A812)=0,LEN(C812)=0),0,IF(OR(C812&lt;1,C812&gt;5),1,0))</f>
        <v/>
      </c>
      <c r="AE812" s="19">
        <f>IF(OR(LEN(A812)=0,LEN(R812)=0),0,IF(OR(R812="Active",R812="Paid off",R812="Defaulted",R812="Repossessed",R812="Written off",R812="Restructured"),0,1))</f>
        <v/>
      </c>
      <c r="AF812" s="19">
        <f>IF(A812="",0,IF(N(J812)&gt;N(I812),1,0))</f>
        <v/>
      </c>
      <c r="AG812" s="19">
        <f>IF(A812="",0,IF(N(N812)&gt;N(M812)+1,1,0))</f>
        <v/>
      </c>
      <c r="AH812" s="19">
        <f>IF(A812="",0,IF(N(E812)&gt;N(B812),1,0))</f>
        <v/>
      </c>
      <c r="AI812" s="19">
        <f>IF(A812="",0,IF(AND(Z812="Full payment",N(N812)&lt;N(M812)-1),1,0))</f>
        <v/>
      </c>
      <c r="AJ812" s="19">
        <f>IF(A812="",0,IF(N(P812)&lt;0,1,0))</f>
        <v/>
      </c>
      <c r="AK812" s="19">
        <f>IF(A812="",0,IF(COUNTIF($A$7:$A$1006,A812)&gt;1,1,0))</f>
        <v/>
      </c>
    </row>
    <row r="813">
      <c r="A813" s="10" t="n"/>
      <c r="B813" s="17" t="n"/>
      <c r="C813" s="18" t="n"/>
      <c r="D813" s="10" t="n"/>
      <c r="E813" s="17" t="n"/>
      <c r="F813" s="10" t="n"/>
      <c r="G813" s="10" t="n"/>
      <c r="H813" s="10" t="n"/>
      <c r="I813" s="18" t="n"/>
      <c r="J813" s="18" t="n"/>
      <c r="K813" s="18" t="n"/>
      <c r="L813" s="18" t="n"/>
      <c r="M813" s="19">
        <f>IF(K813="","",K813*365/12*L813)</f>
        <v/>
      </c>
      <c r="N813" s="18" t="n"/>
      <c r="O813" s="18" t="n"/>
      <c r="P813" s="18" t="n"/>
      <c r="Q813" s="18" t="n"/>
      <c r="R813" s="10" t="n"/>
      <c r="S813" s="17" t="n"/>
      <c r="T813" s="18" t="n"/>
      <c r="U813" s="17" t="n"/>
      <c r="V813" s="17" t="n"/>
      <c r="W813" s="18" t="n"/>
      <c r="X813" s="18" t="n"/>
      <c r="Y813" s="17" t="n"/>
      <c r="Z813" s="10" t="n"/>
      <c r="AA813" s="10" t="n"/>
      <c r="AB813" s="19">
        <f>IF(LEN(A813)&gt;0,1,0)</f>
        <v/>
      </c>
      <c r="AC813" s="19">
        <f>IF(LEN(A813)=0,0,(LEN(B813)=0)+(LEN(C813)=0)+(LEN(D813)=0)+(LEN(E813)=0)+(LEN(F813)=0)+(LEN(G813)=0)+(LEN(H813)=0)+(LEN(I813)=0)+(LEN(J813)=0)+(LEN(K813)=0)+(LEN(L813)=0)+(LEN(N813)=0)+(LEN(O813)=0)+(LEN(P813)=0)+(LEN(R813)=0)+(LEN(AA813)=0))</f>
        <v/>
      </c>
      <c r="AD813" s="19">
        <f>IF(OR(LEN(A813)=0,LEN(C813)=0),0,IF(OR(C813&lt;1,C813&gt;5),1,0))</f>
        <v/>
      </c>
      <c r="AE813" s="19">
        <f>IF(OR(LEN(A813)=0,LEN(R813)=0),0,IF(OR(R813="Active",R813="Paid off",R813="Defaulted",R813="Repossessed",R813="Written off",R813="Restructured"),0,1))</f>
        <v/>
      </c>
      <c r="AF813" s="19">
        <f>IF(A813="",0,IF(N(J813)&gt;N(I813),1,0))</f>
        <v/>
      </c>
      <c r="AG813" s="19">
        <f>IF(A813="",0,IF(N(N813)&gt;N(M813)+1,1,0))</f>
        <v/>
      </c>
      <c r="AH813" s="19">
        <f>IF(A813="",0,IF(N(E813)&gt;N(B813),1,0))</f>
        <v/>
      </c>
      <c r="AI813" s="19">
        <f>IF(A813="",0,IF(AND(Z813="Full payment",N(N813)&lt;N(M813)-1),1,0))</f>
        <v/>
      </c>
      <c r="AJ813" s="19">
        <f>IF(A813="",0,IF(N(P813)&lt;0,1,0))</f>
        <v/>
      </c>
      <c r="AK813" s="19">
        <f>IF(A813="",0,IF(COUNTIF($A$7:$A$1006,A813)&gt;1,1,0))</f>
        <v/>
      </c>
    </row>
    <row r="814">
      <c r="A814" s="10" t="n"/>
      <c r="B814" s="17" t="n"/>
      <c r="C814" s="18" t="n"/>
      <c r="D814" s="10" t="n"/>
      <c r="E814" s="17" t="n"/>
      <c r="F814" s="10" t="n"/>
      <c r="G814" s="10" t="n"/>
      <c r="H814" s="10" t="n"/>
      <c r="I814" s="18" t="n"/>
      <c r="J814" s="18" t="n"/>
      <c r="K814" s="18" t="n"/>
      <c r="L814" s="18" t="n"/>
      <c r="M814" s="19">
        <f>IF(K814="","",K814*365/12*L814)</f>
        <v/>
      </c>
      <c r="N814" s="18" t="n"/>
      <c r="O814" s="18" t="n"/>
      <c r="P814" s="18" t="n"/>
      <c r="Q814" s="18" t="n"/>
      <c r="R814" s="10" t="n"/>
      <c r="S814" s="17" t="n"/>
      <c r="T814" s="18" t="n"/>
      <c r="U814" s="17" t="n"/>
      <c r="V814" s="17" t="n"/>
      <c r="W814" s="18" t="n"/>
      <c r="X814" s="18" t="n"/>
      <c r="Y814" s="17" t="n"/>
      <c r="Z814" s="10" t="n"/>
      <c r="AA814" s="10" t="n"/>
      <c r="AB814" s="19">
        <f>IF(LEN(A814)&gt;0,1,0)</f>
        <v/>
      </c>
      <c r="AC814" s="19">
        <f>IF(LEN(A814)=0,0,(LEN(B814)=0)+(LEN(C814)=0)+(LEN(D814)=0)+(LEN(E814)=0)+(LEN(F814)=0)+(LEN(G814)=0)+(LEN(H814)=0)+(LEN(I814)=0)+(LEN(J814)=0)+(LEN(K814)=0)+(LEN(L814)=0)+(LEN(N814)=0)+(LEN(O814)=0)+(LEN(P814)=0)+(LEN(R814)=0)+(LEN(AA814)=0))</f>
        <v/>
      </c>
      <c r="AD814" s="19">
        <f>IF(OR(LEN(A814)=0,LEN(C814)=0),0,IF(OR(C814&lt;1,C814&gt;5),1,0))</f>
        <v/>
      </c>
      <c r="AE814" s="19">
        <f>IF(OR(LEN(A814)=0,LEN(R814)=0),0,IF(OR(R814="Active",R814="Paid off",R814="Defaulted",R814="Repossessed",R814="Written off",R814="Restructured"),0,1))</f>
        <v/>
      </c>
      <c r="AF814" s="19">
        <f>IF(A814="",0,IF(N(J814)&gt;N(I814),1,0))</f>
        <v/>
      </c>
      <c r="AG814" s="19">
        <f>IF(A814="",0,IF(N(N814)&gt;N(M814)+1,1,0))</f>
        <v/>
      </c>
      <c r="AH814" s="19">
        <f>IF(A814="",0,IF(N(E814)&gt;N(B814),1,0))</f>
        <v/>
      </c>
      <c r="AI814" s="19">
        <f>IF(A814="",0,IF(AND(Z814="Full payment",N(N814)&lt;N(M814)-1),1,0))</f>
        <v/>
      </c>
      <c r="AJ814" s="19">
        <f>IF(A814="",0,IF(N(P814)&lt;0,1,0))</f>
        <v/>
      </c>
      <c r="AK814" s="19">
        <f>IF(A814="",0,IF(COUNTIF($A$7:$A$1006,A814)&gt;1,1,0))</f>
        <v/>
      </c>
    </row>
    <row r="815">
      <c r="A815" s="10" t="n"/>
      <c r="B815" s="17" t="n"/>
      <c r="C815" s="18" t="n"/>
      <c r="D815" s="10" t="n"/>
      <c r="E815" s="17" t="n"/>
      <c r="F815" s="10" t="n"/>
      <c r="G815" s="10" t="n"/>
      <c r="H815" s="10" t="n"/>
      <c r="I815" s="18" t="n"/>
      <c r="J815" s="18" t="n"/>
      <c r="K815" s="18" t="n"/>
      <c r="L815" s="18" t="n"/>
      <c r="M815" s="19">
        <f>IF(K815="","",K815*365/12*L815)</f>
        <v/>
      </c>
      <c r="N815" s="18" t="n"/>
      <c r="O815" s="18" t="n"/>
      <c r="P815" s="18" t="n"/>
      <c r="Q815" s="18" t="n"/>
      <c r="R815" s="10" t="n"/>
      <c r="S815" s="17" t="n"/>
      <c r="T815" s="18" t="n"/>
      <c r="U815" s="17" t="n"/>
      <c r="V815" s="17" t="n"/>
      <c r="W815" s="18" t="n"/>
      <c r="X815" s="18" t="n"/>
      <c r="Y815" s="17" t="n"/>
      <c r="Z815" s="10" t="n"/>
      <c r="AA815" s="10" t="n"/>
      <c r="AB815" s="19">
        <f>IF(LEN(A815)&gt;0,1,0)</f>
        <v/>
      </c>
      <c r="AC815" s="19">
        <f>IF(LEN(A815)=0,0,(LEN(B815)=0)+(LEN(C815)=0)+(LEN(D815)=0)+(LEN(E815)=0)+(LEN(F815)=0)+(LEN(G815)=0)+(LEN(H815)=0)+(LEN(I815)=0)+(LEN(J815)=0)+(LEN(K815)=0)+(LEN(L815)=0)+(LEN(N815)=0)+(LEN(O815)=0)+(LEN(P815)=0)+(LEN(R815)=0)+(LEN(AA815)=0))</f>
        <v/>
      </c>
      <c r="AD815" s="19">
        <f>IF(OR(LEN(A815)=0,LEN(C815)=0),0,IF(OR(C815&lt;1,C815&gt;5),1,0))</f>
        <v/>
      </c>
      <c r="AE815" s="19">
        <f>IF(OR(LEN(A815)=0,LEN(R815)=0),0,IF(OR(R815="Active",R815="Paid off",R815="Defaulted",R815="Repossessed",R815="Written off",R815="Restructured"),0,1))</f>
        <v/>
      </c>
      <c r="AF815" s="19">
        <f>IF(A815="",0,IF(N(J815)&gt;N(I815),1,0))</f>
        <v/>
      </c>
      <c r="AG815" s="19">
        <f>IF(A815="",0,IF(N(N815)&gt;N(M815)+1,1,0))</f>
        <v/>
      </c>
      <c r="AH815" s="19">
        <f>IF(A815="",0,IF(N(E815)&gt;N(B815),1,0))</f>
        <v/>
      </c>
      <c r="AI815" s="19">
        <f>IF(A815="",0,IF(AND(Z815="Full payment",N(N815)&lt;N(M815)-1),1,0))</f>
        <v/>
      </c>
      <c r="AJ815" s="19">
        <f>IF(A815="",0,IF(N(P815)&lt;0,1,0))</f>
        <v/>
      </c>
      <c r="AK815" s="19">
        <f>IF(A815="",0,IF(COUNTIF($A$7:$A$1006,A815)&gt;1,1,0))</f>
        <v/>
      </c>
    </row>
    <row r="816">
      <c r="A816" s="10" t="n"/>
      <c r="B816" s="17" t="n"/>
      <c r="C816" s="18" t="n"/>
      <c r="D816" s="10" t="n"/>
      <c r="E816" s="17" t="n"/>
      <c r="F816" s="10" t="n"/>
      <c r="G816" s="10" t="n"/>
      <c r="H816" s="10" t="n"/>
      <c r="I816" s="18" t="n"/>
      <c r="J816" s="18" t="n"/>
      <c r="K816" s="18" t="n"/>
      <c r="L816" s="18" t="n"/>
      <c r="M816" s="19">
        <f>IF(K816="","",K816*365/12*L816)</f>
        <v/>
      </c>
      <c r="N816" s="18" t="n"/>
      <c r="O816" s="18" t="n"/>
      <c r="P816" s="18" t="n"/>
      <c r="Q816" s="18" t="n"/>
      <c r="R816" s="10" t="n"/>
      <c r="S816" s="17" t="n"/>
      <c r="T816" s="18" t="n"/>
      <c r="U816" s="17" t="n"/>
      <c r="V816" s="17" t="n"/>
      <c r="W816" s="18" t="n"/>
      <c r="X816" s="18" t="n"/>
      <c r="Y816" s="17" t="n"/>
      <c r="Z816" s="10" t="n"/>
      <c r="AA816" s="10" t="n"/>
      <c r="AB816" s="19">
        <f>IF(LEN(A816)&gt;0,1,0)</f>
        <v/>
      </c>
      <c r="AC816" s="19">
        <f>IF(LEN(A816)=0,0,(LEN(B816)=0)+(LEN(C816)=0)+(LEN(D816)=0)+(LEN(E816)=0)+(LEN(F816)=0)+(LEN(G816)=0)+(LEN(H816)=0)+(LEN(I816)=0)+(LEN(J816)=0)+(LEN(K816)=0)+(LEN(L816)=0)+(LEN(N816)=0)+(LEN(O816)=0)+(LEN(P816)=0)+(LEN(R816)=0)+(LEN(AA816)=0))</f>
        <v/>
      </c>
      <c r="AD816" s="19">
        <f>IF(OR(LEN(A816)=0,LEN(C816)=0),0,IF(OR(C816&lt;1,C816&gt;5),1,0))</f>
        <v/>
      </c>
      <c r="AE816" s="19">
        <f>IF(OR(LEN(A816)=0,LEN(R816)=0),0,IF(OR(R816="Active",R816="Paid off",R816="Defaulted",R816="Repossessed",R816="Written off",R816="Restructured"),0,1))</f>
        <v/>
      </c>
      <c r="AF816" s="19">
        <f>IF(A816="",0,IF(N(J816)&gt;N(I816),1,0))</f>
        <v/>
      </c>
      <c r="AG816" s="19">
        <f>IF(A816="",0,IF(N(N816)&gt;N(M816)+1,1,0))</f>
        <v/>
      </c>
      <c r="AH816" s="19">
        <f>IF(A816="",0,IF(N(E816)&gt;N(B816),1,0))</f>
        <v/>
      </c>
      <c r="AI816" s="19">
        <f>IF(A816="",0,IF(AND(Z816="Full payment",N(N816)&lt;N(M816)-1),1,0))</f>
        <v/>
      </c>
      <c r="AJ816" s="19">
        <f>IF(A816="",0,IF(N(P816)&lt;0,1,0))</f>
        <v/>
      </c>
      <c r="AK816" s="19">
        <f>IF(A816="",0,IF(COUNTIF($A$7:$A$1006,A816)&gt;1,1,0))</f>
        <v/>
      </c>
    </row>
    <row r="817">
      <c r="A817" s="10" t="n"/>
      <c r="B817" s="17" t="n"/>
      <c r="C817" s="18" t="n"/>
      <c r="D817" s="10" t="n"/>
      <c r="E817" s="17" t="n"/>
      <c r="F817" s="10" t="n"/>
      <c r="G817" s="10" t="n"/>
      <c r="H817" s="10" t="n"/>
      <c r="I817" s="18" t="n"/>
      <c r="J817" s="18" t="n"/>
      <c r="K817" s="18" t="n"/>
      <c r="L817" s="18" t="n"/>
      <c r="M817" s="19">
        <f>IF(K817="","",K817*365/12*L817)</f>
        <v/>
      </c>
      <c r="N817" s="18" t="n"/>
      <c r="O817" s="18" t="n"/>
      <c r="P817" s="18" t="n"/>
      <c r="Q817" s="18" t="n"/>
      <c r="R817" s="10" t="n"/>
      <c r="S817" s="17" t="n"/>
      <c r="T817" s="18" t="n"/>
      <c r="U817" s="17" t="n"/>
      <c r="V817" s="17" t="n"/>
      <c r="W817" s="18" t="n"/>
      <c r="X817" s="18" t="n"/>
      <c r="Y817" s="17" t="n"/>
      <c r="Z817" s="10" t="n"/>
      <c r="AA817" s="10" t="n"/>
      <c r="AB817" s="19">
        <f>IF(LEN(A817)&gt;0,1,0)</f>
        <v/>
      </c>
      <c r="AC817" s="19">
        <f>IF(LEN(A817)=0,0,(LEN(B817)=0)+(LEN(C817)=0)+(LEN(D817)=0)+(LEN(E817)=0)+(LEN(F817)=0)+(LEN(G817)=0)+(LEN(H817)=0)+(LEN(I817)=0)+(LEN(J817)=0)+(LEN(K817)=0)+(LEN(L817)=0)+(LEN(N817)=0)+(LEN(O817)=0)+(LEN(P817)=0)+(LEN(R817)=0)+(LEN(AA817)=0))</f>
        <v/>
      </c>
      <c r="AD817" s="19">
        <f>IF(OR(LEN(A817)=0,LEN(C817)=0),0,IF(OR(C817&lt;1,C817&gt;5),1,0))</f>
        <v/>
      </c>
      <c r="AE817" s="19">
        <f>IF(OR(LEN(A817)=0,LEN(R817)=0),0,IF(OR(R817="Active",R817="Paid off",R817="Defaulted",R817="Repossessed",R817="Written off",R817="Restructured"),0,1))</f>
        <v/>
      </c>
      <c r="AF817" s="19">
        <f>IF(A817="",0,IF(N(J817)&gt;N(I817),1,0))</f>
        <v/>
      </c>
      <c r="AG817" s="19">
        <f>IF(A817="",0,IF(N(N817)&gt;N(M817)+1,1,0))</f>
        <v/>
      </c>
      <c r="AH817" s="19">
        <f>IF(A817="",0,IF(N(E817)&gt;N(B817),1,0))</f>
        <v/>
      </c>
      <c r="AI817" s="19">
        <f>IF(A817="",0,IF(AND(Z817="Full payment",N(N817)&lt;N(M817)-1),1,0))</f>
        <v/>
      </c>
      <c r="AJ817" s="19">
        <f>IF(A817="",0,IF(N(P817)&lt;0,1,0))</f>
        <v/>
      </c>
      <c r="AK817" s="19">
        <f>IF(A817="",0,IF(COUNTIF($A$7:$A$1006,A817)&gt;1,1,0))</f>
        <v/>
      </c>
    </row>
    <row r="818">
      <c r="A818" s="10" t="n"/>
      <c r="B818" s="17" t="n"/>
      <c r="C818" s="18" t="n"/>
      <c r="D818" s="10" t="n"/>
      <c r="E818" s="17" t="n"/>
      <c r="F818" s="10" t="n"/>
      <c r="G818" s="10" t="n"/>
      <c r="H818" s="10" t="n"/>
      <c r="I818" s="18" t="n"/>
      <c r="J818" s="18" t="n"/>
      <c r="K818" s="18" t="n"/>
      <c r="L818" s="18" t="n"/>
      <c r="M818" s="19">
        <f>IF(K818="","",K818*365/12*L818)</f>
        <v/>
      </c>
      <c r="N818" s="18" t="n"/>
      <c r="O818" s="18" t="n"/>
      <c r="P818" s="18" t="n"/>
      <c r="Q818" s="18" t="n"/>
      <c r="R818" s="10" t="n"/>
      <c r="S818" s="17" t="n"/>
      <c r="T818" s="18" t="n"/>
      <c r="U818" s="17" t="n"/>
      <c r="V818" s="17" t="n"/>
      <c r="W818" s="18" t="n"/>
      <c r="X818" s="18" t="n"/>
      <c r="Y818" s="17" t="n"/>
      <c r="Z818" s="10" t="n"/>
      <c r="AA818" s="10" t="n"/>
      <c r="AB818" s="19">
        <f>IF(LEN(A818)&gt;0,1,0)</f>
        <v/>
      </c>
      <c r="AC818" s="19">
        <f>IF(LEN(A818)=0,0,(LEN(B818)=0)+(LEN(C818)=0)+(LEN(D818)=0)+(LEN(E818)=0)+(LEN(F818)=0)+(LEN(G818)=0)+(LEN(H818)=0)+(LEN(I818)=0)+(LEN(J818)=0)+(LEN(K818)=0)+(LEN(L818)=0)+(LEN(N818)=0)+(LEN(O818)=0)+(LEN(P818)=0)+(LEN(R818)=0)+(LEN(AA818)=0))</f>
        <v/>
      </c>
      <c r="AD818" s="19">
        <f>IF(OR(LEN(A818)=0,LEN(C818)=0),0,IF(OR(C818&lt;1,C818&gt;5),1,0))</f>
        <v/>
      </c>
      <c r="AE818" s="19">
        <f>IF(OR(LEN(A818)=0,LEN(R818)=0),0,IF(OR(R818="Active",R818="Paid off",R818="Defaulted",R818="Repossessed",R818="Written off",R818="Restructured"),0,1))</f>
        <v/>
      </c>
      <c r="AF818" s="19">
        <f>IF(A818="",0,IF(N(J818)&gt;N(I818),1,0))</f>
        <v/>
      </c>
      <c r="AG818" s="19">
        <f>IF(A818="",0,IF(N(N818)&gt;N(M818)+1,1,0))</f>
        <v/>
      </c>
      <c r="AH818" s="19">
        <f>IF(A818="",0,IF(N(E818)&gt;N(B818),1,0))</f>
        <v/>
      </c>
      <c r="AI818" s="19">
        <f>IF(A818="",0,IF(AND(Z818="Full payment",N(N818)&lt;N(M818)-1),1,0))</f>
        <v/>
      </c>
      <c r="AJ818" s="19">
        <f>IF(A818="",0,IF(N(P818)&lt;0,1,0))</f>
        <v/>
      </c>
      <c r="AK818" s="19">
        <f>IF(A818="",0,IF(COUNTIF($A$7:$A$1006,A818)&gt;1,1,0))</f>
        <v/>
      </c>
    </row>
    <row r="819">
      <c r="A819" s="10" t="n"/>
      <c r="B819" s="17" t="n"/>
      <c r="C819" s="18" t="n"/>
      <c r="D819" s="10" t="n"/>
      <c r="E819" s="17" t="n"/>
      <c r="F819" s="10" t="n"/>
      <c r="G819" s="10" t="n"/>
      <c r="H819" s="10" t="n"/>
      <c r="I819" s="18" t="n"/>
      <c r="J819" s="18" t="n"/>
      <c r="K819" s="18" t="n"/>
      <c r="L819" s="18" t="n"/>
      <c r="M819" s="19">
        <f>IF(K819="","",K819*365/12*L819)</f>
        <v/>
      </c>
      <c r="N819" s="18" t="n"/>
      <c r="O819" s="18" t="n"/>
      <c r="P819" s="18" t="n"/>
      <c r="Q819" s="18" t="n"/>
      <c r="R819" s="10" t="n"/>
      <c r="S819" s="17" t="n"/>
      <c r="T819" s="18" t="n"/>
      <c r="U819" s="17" t="n"/>
      <c r="V819" s="17" t="n"/>
      <c r="W819" s="18" t="n"/>
      <c r="X819" s="18" t="n"/>
      <c r="Y819" s="17" t="n"/>
      <c r="Z819" s="10" t="n"/>
      <c r="AA819" s="10" t="n"/>
      <c r="AB819" s="19">
        <f>IF(LEN(A819)&gt;0,1,0)</f>
        <v/>
      </c>
      <c r="AC819" s="19">
        <f>IF(LEN(A819)=0,0,(LEN(B819)=0)+(LEN(C819)=0)+(LEN(D819)=0)+(LEN(E819)=0)+(LEN(F819)=0)+(LEN(G819)=0)+(LEN(H819)=0)+(LEN(I819)=0)+(LEN(J819)=0)+(LEN(K819)=0)+(LEN(L819)=0)+(LEN(N819)=0)+(LEN(O819)=0)+(LEN(P819)=0)+(LEN(R819)=0)+(LEN(AA819)=0))</f>
        <v/>
      </c>
      <c r="AD819" s="19">
        <f>IF(OR(LEN(A819)=0,LEN(C819)=0),0,IF(OR(C819&lt;1,C819&gt;5),1,0))</f>
        <v/>
      </c>
      <c r="AE819" s="19">
        <f>IF(OR(LEN(A819)=0,LEN(R819)=0),0,IF(OR(R819="Active",R819="Paid off",R819="Defaulted",R819="Repossessed",R819="Written off",R819="Restructured"),0,1))</f>
        <v/>
      </c>
      <c r="AF819" s="19">
        <f>IF(A819="",0,IF(N(J819)&gt;N(I819),1,0))</f>
        <v/>
      </c>
      <c r="AG819" s="19">
        <f>IF(A819="",0,IF(N(N819)&gt;N(M819)+1,1,0))</f>
        <v/>
      </c>
      <c r="AH819" s="19">
        <f>IF(A819="",0,IF(N(E819)&gt;N(B819),1,0))</f>
        <v/>
      </c>
      <c r="AI819" s="19">
        <f>IF(A819="",0,IF(AND(Z819="Full payment",N(N819)&lt;N(M819)-1),1,0))</f>
        <v/>
      </c>
      <c r="AJ819" s="19">
        <f>IF(A819="",0,IF(N(P819)&lt;0,1,0))</f>
        <v/>
      </c>
      <c r="AK819" s="19">
        <f>IF(A819="",0,IF(COUNTIF($A$7:$A$1006,A819)&gt;1,1,0))</f>
        <v/>
      </c>
    </row>
    <row r="820">
      <c r="A820" s="10" t="n"/>
      <c r="B820" s="17" t="n"/>
      <c r="C820" s="18" t="n"/>
      <c r="D820" s="10" t="n"/>
      <c r="E820" s="17" t="n"/>
      <c r="F820" s="10" t="n"/>
      <c r="G820" s="10" t="n"/>
      <c r="H820" s="10" t="n"/>
      <c r="I820" s="18" t="n"/>
      <c r="J820" s="18" t="n"/>
      <c r="K820" s="18" t="n"/>
      <c r="L820" s="18" t="n"/>
      <c r="M820" s="19">
        <f>IF(K820="","",K820*365/12*L820)</f>
        <v/>
      </c>
      <c r="N820" s="18" t="n"/>
      <c r="O820" s="18" t="n"/>
      <c r="P820" s="18" t="n"/>
      <c r="Q820" s="18" t="n"/>
      <c r="R820" s="10" t="n"/>
      <c r="S820" s="17" t="n"/>
      <c r="T820" s="18" t="n"/>
      <c r="U820" s="17" t="n"/>
      <c r="V820" s="17" t="n"/>
      <c r="W820" s="18" t="n"/>
      <c r="X820" s="18" t="n"/>
      <c r="Y820" s="17" t="n"/>
      <c r="Z820" s="10" t="n"/>
      <c r="AA820" s="10" t="n"/>
      <c r="AB820" s="19">
        <f>IF(LEN(A820)&gt;0,1,0)</f>
        <v/>
      </c>
      <c r="AC820" s="19">
        <f>IF(LEN(A820)=0,0,(LEN(B820)=0)+(LEN(C820)=0)+(LEN(D820)=0)+(LEN(E820)=0)+(LEN(F820)=0)+(LEN(G820)=0)+(LEN(H820)=0)+(LEN(I820)=0)+(LEN(J820)=0)+(LEN(K820)=0)+(LEN(L820)=0)+(LEN(N820)=0)+(LEN(O820)=0)+(LEN(P820)=0)+(LEN(R820)=0)+(LEN(AA820)=0))</f>
        <v/>
      </c>
      <c r="AD820" s="19">
        <f>IF(OR(LEN(A820)=0,LEN(C820)=0),0,IF(OR(C820&lt;1,C820&gt;5),1,0))</f>
        <v/>
      </c>
      <c r="AE820" s="19">
        <f>IF(OR(LEN(A820)=0,LEN(R820)=0),0,IF(OR(R820="Active",R820="Paid off",R820="Defaulted",R820="Repossessed",R820="Written off",R820="Restructured"),0,1))</f>
        <v/>
      </c>
      <c r="AF820" s="19">
        <f>IF(A820="",0,IF(N(J820)&gt;N(I820),1,0))</f>
        <v/>
      </c>
      <c r="AG820" s="19">
        <f>IF(A820="",0,IF(N(N820)&gt;N(M820)+1,1,0))</f>
        <v/>
      </c>
      <c r="AH820" s="19">
        <f>IF(A820="",0,IF(N(E820)&gt;N(B820),1,0))</f>
        <v/>
      </c>
      <c r="AI820" s="19">
        <f>IF(A820="",0,IF(AND(Z820="Full payment",N(N820)&lt;N(M820)-1),1,0))</f>
        <v/>
      </c>
      <c r="AJ820" s="19">
        <f>IF(A820="",0,IF(N(P820)&lt;0,1,0))</f>
        <v/>
      </c>
      <c r="AK820" s="19">
        <f>IF(A820="",0,IF(COUNTIF($A$7:$A$1006,A820)&gt;1,1,0))</f>
        <v/>
      </c>
    </row>
    <row r="821">
      <c r="A821" s="10" t="n"/>
      <c r="B821" s="17" t="n"/>
      <c r="C821" s="18" t="n"/>
      <c r="D821" s="10" t="n"/>
      <c r="E821" s="17" t="n"/>
      <c r="F821" s="10" t="n"/>
      <c r="G821" s="10" t="n"/>
      <c r="H821" s="10" t="n"/>
      <c r="I821" s="18" t="n"/>
      <c r="J821" s="18" t="n"/>
      <c r="K821" s="18" t="n"/>
      <c r="L821" s="18" t="n"/>
      <c r="M821" s="19">
        <f>IF(K821="","",K821*365/12*L821)</f>
        <v/>
      </c>
      <c r="N821" s="18" t="n"/>
      <c r="O821" s="18" t="n"/>
      <c r="P821" s="18" t="n"/>
      <c r="Q821" s="18" t="n"/>
      <c r="R821" s="10" t="n"/>
      <c r="S821" s="17" t="n"/>
      <c r="T821" s="18" t="n"/>
      <c r="U821" s="17" t="n"/>
      <c r="V821" s="17" t="n"/>
      <c r="W821" s="18" t="n"/>
      <c r="X821" s="18" t="n"/>
      <c r="Y821" s="17" t="n"/>
      <c r="Z821" s="10" t="n"/>
      <c r="AA821" s="10" t="n"/>
      <c r="AB821" s="19">
        <f>IF(LEN(A821)&gt;0,1,0)</f>
        <v/>
      </c>
      <c r="AC821" s="19">
        <f>IF(LEN(A821)=0,0,(LEN(B821)=0)+(LEN(C821)=0)+(LEN(D821)=0)+(LEN(E821)=0)+(LEN(F821)=0)+(LEN(G821)=0)+(LEN(H821)=0)+(LEN(I821)=0)+(LEN(J821)=0)+(LEN(K821)=0)+(LEN(L821)=0)+(LEN(N821)=0)+(LEN(O821)=0)+(LEN(P821)=0)+(LEN(R821)=0)+(LEN(AA821)=0))</f>
        <v/>
      </c>
      <c r="AD821" s="19">
        <f>IF(OR(LEN(A821)=0,LEN(C821)=0),0,IF(OR(C821&lt;1,C821&gt;5),1,0))</f>
        <v/>
      </c>
      <c r="AE821" s="19">
        <f>IF(OR(LEN(A821)=0,LEN(R821)=0),0,IF(OR(R821="Active",R821="Paid off",R821="Defaulted",R821="Repossessed",R821="Written off",R821="Restructured"),0,1))</f>
        <v/>
      </c>
      <c r="AF821" s="19">
        <f>IF(A821="",0,IF(N(J821)&gt;N(I821),1,0))</f>
        <v/>
      </c>
      <c r="AG821" s="19">
        <f>IF(A821="",0,IF(N(N821)&gt;N(M821)+1,1,0))</f>
        <v/>
      </c>
      <c r="AH821" s="19">
        <f>IF(A821="",0,IF(N(E821)&gt;N(B821),1,0))</f>
        <v/>
      </c>
      <c r="AI821" s="19">
        <f>IF(A821="",0,IF(AND(Z821="Full payment",N(N821)&lt;N(M821)-1),1,0))</f>
        <v/>
      </c>
      <c r="AJ821" s="19">
        <f>IF(A821="",0,IF(N(P821)&lt;0,1,0))</f>
        <v/>
      </c>
      <c r="AK821" s="19">
        <f>IF(A821="",0,IF(COUNTIF($A$7:$A$1006,A821)&gt;1,1,0))</f>
        <v/>
      </c>
    </row>
    <row r="822">
      <c r="A822" s="10" t="n"/>
      <c r="B822" s="17" t="n"/>
      <c r="C822" s="18" t="n"/>
      <c r="D822" s="10" t="n"/>
      <c r="E822" s="17" t="n"/>
      <c r="F822" s="10" t="n"/>
      <c r="G822" s="10" t="n"/>
      <c r="H822" s="10" t="n"/>
      <c r="I822" s="18" t="n"/>
      <c r="J822" s="18" t="n"/>
      <c r="K822" s="18" t="n"/>
      <c r="L822" s="18" t="n"/>
      <c r="M822" s="19">
        <f>IF(K822="","",K822*365/12*L822)</f>
        <v/>
      </c>
      <c r="N822" s="18" t="n"/>
      <c r="O822" s="18" t="n"/>
      <c r="P822" s="18" t="n"/>
      <c r="Q822" s="18" t="n"/>
      <c r="R822" s="10" t="n"/>
      <c r="S822" s="17" t="n"/>
      <c r="T822" s="18" t="n"/>
      <c r="U822" s="17" t="n"/>
      <c r="V822" s="17" t="n"/>
      <c r="W822" s="18" t="n"/>
      <c r="X822" s="18" t="n"/>
      <c r="Y822" s="17" t="n"/>
      <c r="Z822" s="10" t="n"/>
      <c r="AA822" s="10" t="n"/>
      <c r="AB822" s="19">
        <f>IF(LEN(A822)&gt;0,1,0)</f>
        <v/>
      </c>
      <c r="AC822" s="19">
        <f>IF(LEN(A822)=0,0,(LEN(B822)=0)+(LEN(C822)=0)+(LEN(D822)=0)+(LEN(E822)=0)+(LEN(F822)=0)+(LEN(G822)=0)+(LEN(H822)=0)+(LEN(I822)=0)+(LEN(J822)=0)+(LEN(K822)=0)+(LEN(L822)=0)+(LEN(N822)=0)+(LEN(O822)=0)+(LEN(P822)=0)+(LEN(R822)=0)+(LEN(AA822)=0))</f>
        <v/>
      </c>
      <c r="AD822" s="19">
        <f>IF(OR(LEN(A822)=0,LEN(C822)=0),0,IF(OR(C822&lt;1,C822&gt;5),1,0))</f>
        <v/>
      </c>
      <c r="AE822" s="19">
        <f>IF(OR(LEN(A822)=0,LEN(R822)=0),0,IF(OR(R822="Active",R822="Paid off",R822="Defaulted",R822="Repossessed",R822="Written off",R822="Restructured"),0,1))</f>
        <v/>
      </c>
      <c r="AF822" s="19">
        <f>IF(A822="",0,IF(N(J822)&gt;N(I822),1,0))</f>
        <v/>
      </c>
      <c r="AG822" s="19">
        <f>IF(A822="",0,IF(N(N822)&gt;N(M822)+1,1,0))</f>
        <v/>
      </c>
      <c r="AH822" s="19">
        <f>IF(A822="",0,IF(N(E822)&gt;N(B822),1,0))</f>
        <v/>
      </c>
      <c r="AI822" s="19">
        <f>IF(A822="",0,IF(AND(Z822="Full payment",N(N822)&lt;N(M822)-1),1,0))</f>
        <v/>
      </c>
      <c r="AJ822" s="19">
        <f>IF(A822="",0,IF(N(P822)&lt;0,1,0))</f>
        <v/>
      </c>
      <c r="AK822" s="19">
        <f>IF(A822="",0,IF(COUNTIF($A$7:$A$1006,A822)&gt;1,1,0))</f>
        <v/>
      </c>
    </row>
    <row r="823">
      <c r="A823" s="10" t="n"/>
      <c r="B823" s="17" t="n"/>
      <c r="C823" s="18" t="n"/>
      <c r="D823" s="10" t="n"/>
      <c r="E823" s="17" t="n"/>
      <c r="F823" s="10" t="n"/>
      <c r="G823" s="10" t="n"/>
      <c r="H823" s="10" t="n"/>
      <c r="I823" s="18" t="n"/>
      <c r="J823" s="18" t="n"/>
      <c r="K823" s="18" t="n"/>
      <c r="L823" s="18" t="n"/>
      <c r="M823" s="19">
        <f>IF(K823="","",K823*365/12*L823)</f>
        <v/>
      </c>
      <c r="N823" s="18" t="n"/>
      <c r="O823" s="18" t="n"/>
      <c r="P823" s="18" t="n"/>
      <c r="Q823" s="18" t="n"/>
      <c r="R823" s="10" t="n"/>
      <c r="S823" s="17" t="n"/>
      <c r="T823" s="18" t="n"/>
      <c r="U823" s="17" t="n"/>
      <c r="V823" s="17" t="n"/>
      <c r="W823" s="18" t="n"/>
      <c r="X823" s="18" t="n"/>
      <c r="Y823" s="17" t="n"/>
      <c r="Z823" s="10" t="n"/>
      <c r="AA823" s="10" t="n"/>
      <c r="AB823" s="19">
        <f>IF(LEN(A823)&gt;0,1,0)</f>
        <v/>
      </c>
      <c r="AC823" s="19">
        <f>IF(LEN(A823)=0,0,(LEN(B823)=0)+(LEN(C823)=0)+(LEN(D823)=0)+(LEN(E823)=0)+(LEN(F823)=0)+(LEN(G823)=0)+(LEN(H823)=0)+(LEN(I823)=0)+(LEN(J823)=0)+(LEN(K823)=0)+(LEN(L823)=0)+(LEN(N823)=0)+(LEN(O823)=0)+(LEN(P823)=0)+(LEN(R823)=0)+(LEN(AA823)=0))</f>
        <v/>
      </c>
      <c r="AD823" s="19">
        <f>IF(OR(LEN(A823)=0,LEN(C823)=0),0,IF(OR(C823&lt;1,C823&gt;5),1,0))</f>
        <v/>
      </c>
      <c r="AE823" s="19">
        <f>IF(OR(LEN(A823)=0,LEN(R823)=0),0,IF(OR(R823="Active",R823="Paid off",R823="Defaulted",R823="Repossessed",R823="Written off",R823="Restructured"),0,1))</f>
        <v/>
      </c>
      <c r="AF823" s="19">
        <f>IF(A823="",0,IF(N(J823)&gt;N(I823),1,0))</f>
        <v/>
      </c>
      <c r="AG823" s="19">
        <f>IF(A823="",0,IF(N(N823)&gt;N(M823)+1,1,0))</f>
        <v/>
      </c>
      <c r="AH823" s="19">
        <f>IF(A823="",0,IF(N(E823)&gt;N(B823),1,0))</f>
        <v/>
      </c>
      <c r="AI823" s="19">
        <f>IF(A823="",0,IF(AND(Z823="Full payment",N(N823)&lt;N(M823)-1),1,0))</f>
        <v/>
      </c>
      <c r="AJ823" s="19">
        <f>IF(A823="",0,IF(N(P823)&lt;0,1,0))</f>
        <v/>
      </c>
      <c r="AK823" s="19">
        <f>IF(A823="",0,IF(COUNTIF($A$7:$A$1006,A823)&gt;1,1,0))</f>
        <v/>
      </c>
    </row>
    <row r="824">
      <c r="A824" s="10" t="n"/>
      <c r="B824" s="17" t="n"/>
      <c r="C824" s="18" t="n"/>
      <c r="D824" s="10" t="n"/>
      <c r="E824" s="17" t="n"/>
      <c r="F824" s="10" t="n"/>
      <c r="G824" s="10" t="n"/>
      <c r="H824" s="10" t="n"/>
      <c r="I824" s="18" t="n"/>
      <c r="J824" s="18" t="n"/>
      <c r="K824" s="18" t="n"/>
      <c r="L824" s="18" t="n"/>
      <c r="M824" s="19">
        <f>IF(K824="","",K824*365/12*L824)</f>
        <v/>
      </c>
      <c r="N824" s="18" t="n"/>
      <c r="O824" s="18" t="n"/>
      <c r="P824" s="18" t="n"/>
      <c r="Q824" s="18" t="n"/>
      <c r="R824" s="10" t="n"/>
      <c r="S824" s="17" t="n"/>
      <c r="T824" s="18" t="n"/>
      <c r="U824" s="17" t="n"/>
      <c r="V824" s="17" t="n"/>
      <c r="W824" s="18" t="n"/>
      <c r="X824" s="18" t="n"/>
      <c r="Y824" s="17" t="n"/>
      <c r="Z824" s="10" t="n"/>
      <c r="AA824" s="10" t="n"/>
      <c r="AB824" s="19">
        <f>IF(LEN(A824)&gt;0,1,0)</f>
        <v/>
      </c>
      <c r="AC824" s="19">
        <f>IF(LEN(A824)=0,0,(LEN(B824)=0)+(LEN(C824)=0)+(LEN(D824)=0)+(LEN(E824)=0)+(LEN(F824)=0)+(LEN(G824)=0)+(LEN(H824)=0)+(LEN(I824)=0)+(LEN(J824)=0)+(LEN(K824)=0)+(LEN(L824)=0)+(LEN(N824)=0)+(LEN(O824)=0)+(LEN(P824)=0)+(LEN(R824)=0)+(LEN(AA824)=0))</f>
        <v/>
      </c>
      <c r="AD824" s="19">
        <f>IF(OR(LEN(A824)=0,LEN(C824)=0),0,IF(OR(C824&lt;1,C824&gt;5),1,0))</f>
        <v/>
      </c>
      <c r="AE824" s="19">
        <f>IF(OR(LEN(A824)=0,LEN(R824)=0),0,IF(OR(R824="Active",R824="Paid off",R824="Defaulted",R824="Repossessed",R824="Written off",R824="Restructured"),0,1))</f>
        <v/>
      </c>
      <c r="AF824" s="19">
        <f>IF(A824="",0,IF(N(J824)&gt;N(I824),1,0))</f>
        <v/>
      </c>
      <c r="AG824" s="19">
        <f>IF(A824="",0,IF(N(N824)&gt;N(M824)+1,1,0))</f>
        <v/>
      </c>
      <c r="AH824" s="19">
        <f>IF(A824="",0,IF(N(E824)&gt;N(B824),1,0))</f>
        <v/>
      </c>
      <c r="AI824" s="19">
        <f>IF(A824="",0,IF(AND(Z824="Full payment",N(N824)&lt;N(M824)-1),1,0))</f>
        <v/>
      </c>
      <c r="AJ824" s="19">
        <f>IF(A824="",0,IF(N(P824)&lt;0,1,0))</f>
        <v/>
      </c>
      <c r="AK824" s="19">
        <f>IF(A824="",0,IF(COUNTIF($A$7:$A$1006,A824)&gt;1,1,0))</f>
        <v/>
      </c>
    </row>
    <row r="825">
      <c r="A825" s="10" t="n"/>
      <c r="B825" s="17" t="n"/>
      <c r="C825" s="18" t="n"/>
      <c r="D825" s="10" t="n"/>
      <c r="E825" s="17" t="n"/>
      <c r="F825" s="10" t="n"/>
      <c r="G825" s="10" t="n"/>
      <c r="H825" s="10" t="n"/>
      <c r="I825" s="18" t="n"/>
      <c r="J825" s="18" t="n"/>
      <c r="K825" s="18" t="n"/>
      <c r="L825" s="18" t="n"/>
      <c r="M825" s="19">
        <f>IF(K825="","",K825*365/12*L825)</f>
        <v/>
      </c>
      <c r="N825" s="18" t="n"/>
      <c r="O825" s="18" t="n"/>
      <c r="P825" s="18" t="n"/>
      <c r="Q825" s="18" t="n"/>
      <c r="R825" s="10" t="n"/>
      <c r="S825" s="17" t="n"/>
      <c r="T825" s="18" t="n"/>
      <c r="U825" s="17" t="n"/>
      <c r="V825" s="17" t="n"/>
      <c r="W825" s="18" t="n"/>
      <c r="X825" s="18" t="n"/>
      <c r="Y825" s="17" t="n"/>
      <c r="Z825" s="10" t="n"/>
      <c r="AA825" s="10" t="n"/>
      <c r="AB825" s="19">
        <f>IF(LEN(A825)&gt;0,1,0)</f>
        <v/>
      </c>
      <c r="AC825" s="19">
        <f>IF(LEN(A825)=0,0,(LEN(B825)=0)+(LEN(C825)=0)+(LEN(D825)=0)+(LEN(E825)=0)+(LEN(F825)=0)+(LEN(G825)=0)+(LEN(H825)=0)+(LEN(I825)=0)+(LEN(J825)=0)+(LEN(K825)=0)+(LEN(L825)=0)+(LEN(N825)=0)+(LEN(O825)=0)+(LEN(P825)=0)+(LEN(R825)=0)+(LEN(AA825)=0))</f>
        <v/>
      </c>
      <c r="AD825" s="19">
        <f>IF(OR(LEN(A825)=0,LEN(C825)=0),0,IF(OR(C825&lt;1,C825&gt;5),1,0))</f>
        <v/>
      </c>
      <c r="AE825" s="19">
        <f>IF(OR(LEN(A825)=0,LEN(R825)=0),0,IF(OR(R825="Active",R825="Paid off",R825="Defaulted",R825="Repossessed",R825="Written off",R825="Restructured"),0,1))</f>
        <v/>
      </c>
      <c r="AF825" s="19">
        <f>IF(A825="",0,IF(N(J825)&gt;N(I825),1,0))</f>
        <v/>
      </c>
      <c r="AG825" s="19">
        <f>IF(A825="",0,IF(N(N825)&gt;N(M825)+1,1,0))</f>
        <v/>
      </c>
      <c r="AH825" s="19">
        <f>IF(A825="",0,IF(N(E825)&gt;N(B825),1,0))</f>
        <v/>
      </c>
      <c r="AI825" s="19">
        <f>IF(A825="",0,IF(AND(Z825="Full payment",N(N825)&lt;N(M825)-1),1,0))</f>
        <v/>
      </c>
      <c r="AJ825" s="19">
        <f>IF(A825="",0,IF(N(P825)&lt;0,1,0))</f>
        <v/>
      </c>
      <c r="AK825" s="19">
        <f>IF(A825="",0,IF(COUNTIF($A$7:$A$1006,A825)&gt;1,1,0))</f>
        <v/>
      </c>
    </row>
    <row r="826">
      <c r="A826" s="10" t="n"/>
      <c r="B826" s="17" t="n"/>
      <c r="C826" s="18" t="n"/>
      <c r="D826" s="10" t="n"/>
      <c r="E826" s="17" t="n"/>
      <c r="F826" s="10" t="n"/>
      <c r="G826" s="10" t="n"/>
      <c r="H826" s="10" t="n"/>
      <c r="I826" s="18" t="n"/>
      <c r="J826" s="18" t="n"/>
      <c r="K826" s="18" t="n"/>
      <c r="L826" s="18" t="n"/>
      <c r="M826" s="19">
        <f>IF(K826="","",K826*365/12*L826)</f>
        <v/>
      </c>
      <c r="N826" s="18" t="n"/>
      <c r="O826" s="18" t="n"/>
      <c r="P826" s="18" t="n"/>
      <c r="Q826" s="18" t="n"/>
      <c r="R826" s="10" t="n"/>
      <c r="S826" s="17" t="n"/>
      <c r="T826" s="18" t="n"/>
      <c r="U826" s="17" t="n"/>
      <c r="V826" s="17" t="n"/>
      <c r="W826" s="18" t="n"/>
      <c r="X826" s="18" t="n"/>
      <c r="Y826" s="17" t="n"/>
      <c r="Z826" s="10" t="n"/>
      <c r="AA826" s="10" t="n"/>
      <c r="AB826" s="19">
        <f>IF(LEN(A826)&gt;0,1,0)</f>
        <v/>
      </c>
      <c r="AC826" s="19">
        <f>IF(LEN(A826)=0,0,(LEN(B826)=0)+(LEN(C826)=0)+(LEN(D826)=0)+(LEN(E826)=0)+(LEN(F826)=0)+(LEN(G826)=0)+(LEN(H826)=0)+(LEN(I826)=0)+(LEN(J826)=0)+(LEN(K826)=0)+(LEN(L826)=0)+(LEN(N826)=0)+(LEN(O826)=0)+(LEN(P826)=0)+(LEN(R826)=0)+(LEN(AA826)=0))</f>
        <v/>
      </c>
      <c r="AD826" s="19">
        <f>IF(OR(LEN(A826)=0,LEN(C826)=0),0,IF(OR(C826&lt;1,C826&gt;5),1,0))</f>
        <v/>
      </c>
      <c r="AE826" s="19">
        <f>IF(OR(LEN(A826)=0,LEN(R826)=0),0,IF(OR(R826="Active",R826="Paid off",R826="Defaulted",R826="Repossessed",R826="Written off",R826="Restructured"),0,1))</f>
        <v/>
      </c>
      <c r="AF826" s="19">
        <f>IF(A826="",0,IF(N(J826)&gt;N(I826),1,0))</f>
        <v/>
      </c>
      <c r="AG826" s="19">
        <f>IF(A826="",0,IF(N(N826)&gt;N(M826)+1,1,0))</f>
        <v/>
      </c>
      <c r="AH826" s="19">
        <f>IF(A826="",0,IF(N(E826)&gt;N(B826),1,0))</f>
        <v/>
      </c>
      <c r="AI826" s="19">
        <f>IF(A826="",0,IF(AND(Z826="Full payment",N(N826)&lt;N(M826)-1),1,0))</f>
        <v/>
      </c>
      <c r="AJ826" s="19">
        <f>IF(A826="",0,IF(N(P826)&lt;0,1,0))</f>
        <v/>
      </c>
      <c r="AK826" s="19">
        <f>IF(A826="",0,IF(COUNTIF($A$7:$A$1006,A826)&gt;1,1,0))</f>
        <v/>
      </c>
    </row>
    <row r="827">
      <c r="A827" s="10" t="n"/>
      <c r="B827" s="17" t="n"/>
      <c r="C827" s="18" t="n"/>
      <c r="D827" s="10" t="n"/>
      <c r="E827" s="17" t="n"/>
      <c r="F827" s="10" t="n"/>
      <c r="G827" s="10" t="n"/>
      <c r="H827" s="10" t="n"/>
      <c r="I827" s="18" t="n"/>
      <c r="J827" s="18" t="n"/>
      <c r="K827" s="18" t="n"/>
      <c r="L827" s="18" t="n"/>
      <c r="M827" s="19">
        <f>IF(K827="","",K827*365/12*L827)</f>
        <v/>
      </c>
      <c r="N827" s="18" t="n"/>
      <c r="O827" s="18" t="n"/>
      <c r="P827" s="18" t="n"/>
      <c r="Q827" s="18" t="n"/>
      <c r="R827" s="10" t="n"/>
      <c r="S827" s="17" t="n"/>
      <c r="T827" s="18" t="n"/>
      <c r="U827" s="17" t="n"/>
      <c r="V827" s="17" t="n"/>
      <c r="W827" s="18" t="n"/>
      <c r="X827" s="18" t="n"/>
      <c r="Y827" s="17" t="n"/>
      <c r="Z827" s="10" t="n"/>
      <c r="AA827" s="10" t="n"/>
      <c r="AB827" s="19">
        <f>IF(LEN(A827)&gt;0,1,0)</f>
        <v/>
      </c>
      <c r="AC827" s="19">
        <f>IF(LEN(A827)=0,0,(LEN(B827)=0)+(LEN(C827)=0)+(LEN(D827)=0)+(LEN(E827)=0)+(LEN(F827)=0)+(LEN(G827)=0)+(LEN(H827)=0)+(LEN(I827)=0)+(LEN(J827)=0)+(LEN(K827)=0)+(LEN(L827)=0)+(LEN(N827)=0)+(LEN(O827)=0)+(LEN(P827)=0)+(LEN(R827)=0)+(LEN(AA827)=0))</f>
        <v/>
      </c>
      <c r="AD827" s="19">
        <f>IF(OR(LEN(A827)=0,LEN(C827)=0),0,IF(OR(C827&lt;1,C827&gt;5),1,0))</f>
        <v/>
      </c>
      <c r="AE827" s="19">
        <f>IF(OR(LEN(A827)=0,LEN(R827)=0),0,IF(OR(R827="Active",R827="Paid off",R827="Defaulted",R827="Repossessed",R827="Written off",R827="Restructured"),0,1))</f>
        <v/>
      </c>
      <c r="AF827" s="19">
        <f>IF(A827="",0,IF(N(J827)&gt;N(I827),1,0))</f>
        <v/>
      </c>
      <c r="AG827" s="19">
        <f>IF(A827="",0,IF(N(N827)&gt;N(M827)+1,1,0))</f>
        <v/>
      </c>
      <c r="AH827" s="19">
        <f>IF(A827="",0,IF(N(E827)&gt;N(B827),1,0))</f>
        <v/>
      </c>
      <c r="AI827" s="19">
        <f>IF(A827="",0,IF(AND(Z827="Full payment",N(N827)&lt;N(M827)-1),1,0))</f>
        <v/>
      </c>
      <c r="AJ827" s="19">
        <f>IF(A827="",0,IF(N(P827)&lt;0,1,0))</f>
        <v/>
      </c>
      <c r="AK827" s="19">
        <f>IF(A827="",0,IF(COUNTIF($A$7:$A$1006,A827)&gt;1,1,0))</f>
        <v/>
      </c>
    </row>
    <row r="828">
      <c r="A828" s="10" t="n"/>
      <c r="B828" s="17" t="n"/>
      <c r="C828" s="18" t="n"/>
      <c r="D828" s="10" t="n"/>
      <c r="E828" s="17" t="n"/>
      <c r="F828" s="10" t="n"/>
      <c r="G828" s="10" t="n"/>
      <c r="H828" s="10" t="n"/>
      <c r="I828" s="18" t="n"/>
      <c r="J828" s="18" t="n"/>
      <c r="K828" s="18" t="n"/>
      <c r="L828" s="18" t="n"/>
      <c r="M828" s="19">
        <f>IF(K828="","",K828*365/12*L828)</f>
        <v/>
      </c>
      <c r="N828" s="18" t="n"/>
      <c r="O828" s="18" t="n"/>
      <c r="P828" s="18" t="n"/>
      <c r="Q828" s="18" t="n"/>
      <c r="R828" s="10" t="n"/>
      <c r="S828" s="17" t="n"/>
      <c r="T828" s="18" t="n"/>
      <c r="U828" s="17" t="n"/>
      <c r="V828" s="17" t="n"/>
      <c r="W828" s="18" t="n"/>
      <c r="X828" s="18" t="n"/>
      <c r="Y828" s="17" t="n"/>
      <c r="Z828" s="10" t="n"/>
      <c r="AA828" s="10" t="n"/>
      <c r="AB828" s="19">
        <f>IF(LEN(A828)&gt;0,1,0)</f>
        <v/>
      </c>
      <c r="AC828" s="19">
        <f>IF(LEN(A828)=0,0,(LEN(B828)=0)+(LEN(C828)=0)+(LEN(D828)=0)+(LEN(E828)=0)+(LEN(F828)=0)+(LEN(G828)=0)+(LEN(H828)=0)+(LEN(I828)=0)+(LEN(J828)=0)+(LEN(K828)=0)+(LEN(L828)=0)+(LEN(N828)=0)+(LEN(O828)=0)+(LEN(P828)=0)+(LEN(R828)=0)+(LEN(AA828)=0))</f>
        <v/>
      </c>
      <c r="AD828" s="19">
        <f>IF(OR(LEN(A828)=0,LEN(C828)=0),0,IF(OR(C828&lt;1,C828&gt;5),1,0))</f>
        <v/>
      </c>
      <c r="AE828" s="19">
        <f>IF(OR(LEN(A828)=0,LEN(R828)=0),0,IF(OR(R828="Active",R828="Paid off",R828="Defaulted",R828="Repossessed",R828="Written off",R828="Restructured"),0,1))</f>
        <v/>
      </c>
      <c r="AF828" s="19">
        <f>IF(A828="",0,IF(N(J828)&gt;N(I828),1,0))</f>
        <v/>
      </c>
      <c r="AG828" s="19">
        <f>IF(A828="",0,IF(N(N828)&gt;N(M828)+1,1,0))</f>
        <v/>
      </c>
      <c r="AH828" s="19">
        <f>IF(A828="",0,IF(N(E828)&gt;N(B828),1,0))</f>
        <v/>
      </c>
      <c r="AI828" s="19">
        <f>IF(A828="",0,IF(AND(Z828="Full payment",N(N828)&lt;N(M828)-1),1,0))</f>
        <v/>
      </c>
      <c r="AJ828" s="19">
        <f>IF(A828="",0,IF(N(P828)&lt;0,1,0))</f>
        <v/>
      </c>
      <c r="AK828" s="19">
        <f>IF(A828="",0,IF(COUNTIF($A$7:$A$1006,A828)&gt;1,1,0))</f>
        <v/>
      </c>
    </row>
    <row r="829">
      <c r="A829" s="10" t="n"/>
      <c r="B829" s="17" t="n"/>
      <c r="C829" s="18" t="n"/>
      <c r="D829" s="10" t="n"/>
      <c r="E829" s="17" t="n"/>
      <c r="F829" s="10" t="n"/>
      <c r="G829" s="10" t="n"/>
      <c r="H829" s="10" t="n"/>
      <c r="I829" s="18" t="n"/>
      <c r="J829" s="18" t="n"/>
      <c r="K829" s="18" t="n"/>
      <c r="L829" s="18" t="n"/>
      <c r="M829" s="19">
        <f>IF(K829="","",K829*365/12*L829)</f>
        <v/>
      </c>
      <c r="N829" s="18" t="n"/>
      <c r="O829" s="18" t="n"/>
      <c r="P829" s="18" t="n"/>
      <c r="Q829" s="18" t="n"/>
      <c r="R829" s="10" t="n"/>
      <c r="S829" s="17" t="n"/>
      <c r="T829" s="18" t="n"/>
      <c r="U829" s="17" t="n"/>
      <c r="V829" s="17" t="n"/>
      <c r="W829" s="18" t="n"/>
      <c r="X829" s="18" t="n"/>
      <c r="Y829" s="17" t="n"/>
      <c r="Z829" s="10" t="n"/>
      <c r="AA829" s="10" t="n"/>
      <c r="AB829" s="19">
        <f>IF(LEN(A829)&gt;0,1,0)</f>
        <v/>
      </c>
      <c r="AC829" s="19">
        <f>IF(LEN(A829)=0,0,(LEN(B829)=0)+(LEN(C829)=0)+(LEN(D829)=0)+(LEN(E829)=0)+(LEN(F829)=0)+(LEN(G829)=0)+(LEN(H829)=0)+(LEN(I829)=0)+(LEN(J829)=0)+(LEN(K829)=0)+(LEN(L829)=0)+(LEN(N829)=0)+(LEN(O829)=0)+(LEN(P829)=0)+(LEN(R829)=0)+(LEN(AA829)=0))</f>
        <v/>
      </c>
      <c r="AD829" s="19">
        <f>IF(OR(LEN(A829)=0,LEN(C829)=0),0,IF(OR(C829&lt;1,C829&gt;5),1,0))</f>
        <v/>
      </c>
      <c r="AE829" s="19">
        <f>IF(OR(LEN(A829)=0,LEN(R829)=0),0,IF(OR(R829="Active",R829="Paid off",R829="Defaulted",R829="Repossessed",R829="Written off",R829="Restructured"),0,1))</f>
        <v/>
      </c>
      <c r="AF829" s="19">
        <f>IF(A829="",0,IF(N(J829)&gt;N(I829),1,0))</f>
        <v/>
      </c>
      <c r="AG829" s="19">
        <f>IF(A829="",0,IF(N(N829)&gt;N(M829)+1,1,0))</f>
        <v/>
      </c>
      <c r="AH829" s="19">
        <f>IF(A829="",0,IF(N(E829)&gt;N(B829),1,0))</f>
        <v/>
      </c>
      <c r="AI829" s="19">
        <f>IF(A829="",0,IF(AND(Z829="Full payment",N(N829)&lt;N(M829)-1),1,0))</f>
        <v/>
      </c>
      <c r="AJ829" s="19">
        <f>IF(A829="",0,IF(N(P829)&lt;0,1,0))</f>
        <v/>
      </c>
      <c r="AK829" s="19">
        <f>IF(A829="",0,IF(COUNTIF($A$7:$A$1006,A829)&gt;1,1,0))</f>
        <v/>
      </c>
    </row>
    <row r="830">
      <c r="A830" s="10" t="n"/>
      <c r="B830" s="17" t="n"/>
      <c r="C830" s="18" t="n"/>
      <c r="D830" s="10" t="n"/>
      <c r="E830" s="17" t="n"/>
      <c r="F830" s="10" t="n"/>
      <c r="G830" s="10" t="n"/>
      <c r="H830" s="10" t="n"/>
      <c r="I830" s="18" t="n"/>
      <c r="J830" s="18" t="n"/>
      <c r="K830" s="18" t="n"/>
      <c r="L830" s="18" t="n"/>
      <c r="M830" s="19">
        <f>IF(K830="","",K830*365/12*L830)</f>
        <v/>
      </c>
      <c r="N830" s="18" t="n"/>
      <c r="O830" s="18" t="n"/>
      <c r="P830" s="18" t="n"/>
      <c r="Q830" s="18" t="n"/>
      <c r="R830" s="10" t="n"/>
      <c r="S830" s="17" t="n"/>
      <c r="T830" s="18" t="n"/>
      <c r="U830" s="17" t="n"/>
      <c r="V830" s="17" t="n"/>
      <c r="W830" s="18" t="n"/>
      <c r="X830" s="18" t="n"/>
      <c r="Y830" s="17" t="n"/>
      <c r="Z830" s="10" t="n"/>
      <c r="AA830" s="10" t="n"/>
      <c r="AB830" s="19">
        <f>IF(LEN(A830)&gt;0,1,0)</f>
        <v/>
      </c>
      <c r="AC830" s="19">
        <f>IF(LEN(A830)=0,0,(LEN(B830)=0)+(LEN(C830)=0)+(LEN(D830)=0)+(LEN(E830)=0)+(LEN(F830)=0)+(LEN(G830)=0)+(LEN(H830)=0)+(LEN(I830)=0)+(LEN(J830)=0)+(LEN(K830)=0)+(LEN(L830)=0)+(LEN(N830)=0)+(LEN(O830)=0)+(LEN(P830)=0)+(LEN(R830)=0)+(LEN(AA830)=0))</f>
        <v/>
      </c>
      <c r="AD830" s="19">
        <f>IF(OR(LEN(A830)=0,LEN(C830)=0),0,IF(OR(C830&lt;1,C830&gt;5),1,0))</f>
        <v/>
      </c>
      <c r="AE830" s="19">
        <f>IF(OR(LEN(A830)=0,LEN(R830)=0),0,IF(OR(R830="Active",R830="Paid off",R830="Defaulted",R830="Repossessed",R830="Written off",R830="Restructured"),0,1))</f>
        <v/>
      </c>
      <c r="AF830" s="19">
        <f>IF(A830="",0,IF(N(J830)&gt;N(I830),1,0))</f>
        <v/>
      </c>
      <c r="AG830" s="19">
        <f>IF(A830="",0,IF(N(N830)&gt;N(M830)+1,1,0))</f>
        <v/>
      </c>
      <c r="AH830" s="19">
        <f>IF(A830="",0,IF(N(E830)&gt;N(B830),1,0))</f>
        <v/>
      </c>
      <c r="AI830" s="19">
        <f>IF(A830="",0,IF(AND(Z830="Full payment",N(N830)&lt;N(M830)-1),1,0))</f>
        <v/>
      </c>
      <c r="AJ830" s="19">
        <f>IF(A830="",0,IF(N(P830)&lt;0,1,0))</f>
        <v/>
      </c>
      <c r="AK830" s="19">
        <f>IF(A830="",0,IF(COUNTIF($A$7:$A$1006,A830)&gt;1,1,0))</f>
        <v/>
      </c>
    </row>
    <row r="831">
      <c r="A831" s="10" t="n"/>
      <c r="B831" s="17" t="n"/>
      <c r="C831" s="18" t="n"/>
      <c r="D831" s="10" t="n"/>
      <c r="E831" s="17" t="n"/>
      <c r="F831" s="10" t="n"/>
      <c r="G831" s="10" t="n"/>
      <c r="H831" s="10" t="n"/>
      <c r="I831" s="18" t="n"/>
      <c r="J831" s="18" t="n"/>
      <c r="K831" s="18" t="n"/>
      <c r="L831" s="18" t="n"/>
      <c r="M831" s="19">
        <f>IF(K831="","",K831*365/12*L831)</f>
        <v/>
      </c>
      <c r="N831" s="18" t="n"/>
      <c r="O831" s="18" t="n"/>
      <c r="P831" s="18" t="n"/>
      <c r="Q831" s="18" t="n"/>
      <c r="R831" s="10" t="n"/>
      <c r="S831" s="17" t="n"/>
      <c r="T831" s="18" t="n"/>
      <c r="U831" s="17" t="n"/>
      <c r="V831" s="17" t="n"/>
      <c r="W831" s="18" t="n"/>
      <c r="X831" s="18" t="n"/>
      <c r="Y831" s="17" t="n"/>
      <c r="Z831" s="10" t="n"/>
      <c r="AA831" s="10" t="n"/>
      <c r="AB831" s="19">
        <f>IF(LEN(A831)&gt;0,1,0)</f>
        <v/>
      </c>
      <c r="AC831" s="19">
        <f>IF(LEN(A831)=0,0,(LEN(B831)=0)+(LEN(C831)=0)+(LEN(D831)=0)+(LEN(E831)=0)+(LEN(F831)=0)+(LEN(G831)=0)+(LEN(H831)=0)+(LEN(I831)=0)+(LEN(J831)=0)+(LEN(K831)=0)+(LEN(L831)=0)+(LEN(N831)=0)+(LEN(O831)=0)+(LEN(P831)=0)+(LEN(R831)=0)+(LEN(AA831)=0))</f>
        <v/>
      </c>
      <c r="AD831" s="19">
        <f>IF(OR(LEN(A831)=0,LEN(C831)=0),0,IF(OR(C831&lt;1,C831&gt;5),1,0))</f>
        <v/>
      </c>
      <c r="AE831" s="19">
        <f>IF(OR(LEN(A831)=0,LEN(R831)=0),0,IF(OR(R831="Active",R831="Paid off",R831="Defaulted",R831="Repossessed",R831="Written off",R831="Restructured"),0,1))</f>
        <v/>
      </c>
      <c r="AF831" s="19">
        <f>IF(A831="",0,IF(N(J831)&gt;N(I831),1,0))</f>
        <v/>
      </c>
      <c r="AG831" s="19">
        <f>IF(A831="",0,IF(N(N831)&gt;N(M831)+1,1,0))</f>
        <v/>
      </c>
      <c r="AH831" s="19">
        <f>IF(A831="",0,IF(N(E831)&gt;N(B831),1,0))</f>
        <v/>
      </c>
      <c r="AI831" s="19">
        <f>IF(A831="",0,IF(AND(Z831="Full payment",N(N831)&lt;N(M831)-1),1,0))</f>
        <v/>
      </c>
      <c r="AJ831" s="19">
        <f>IF(A831="",0,IF(N(P831)&lt;0,1,0))</f>
        <v/>
      </c>
      <c r="AK831" s="19">
        <f>IF(A831="",0,IF(COUNTIF($A$7:$A$1006,A831)&gt;1,1,0))</f>
        <v/>
      </c>
    </row>
    <row r="832">
      <c r="A832" s="10" t="n"/>
      <c r="B832" s="17" t="n"/>
      <c r="C832" s="18" t="n"/>
      <c r="D832" s="10" t="n"/>
      <c r="E832" s="17" t="n"/>
      <c r="F832" s="10" t="n"/>
      <c r="G832" s="10" t="n"/>
      <c r="H832" s="10" t="n"/>
      <c r="I832" s="18" t="n"/>
      <c r="J832" s="18" t="n"/>
      <c r="K832" s="18" t="n"/>
      <c r="L832" s="18" t="n"/>
      <c r="M832" s="19">
        <f>IF(K832="","",K832*365/12*L832)</f>
        <v/>
      </c>
      <c r="N832" s="18" t="n"/>
      <c r="O832" s="18" t="n"/>
      <c r="P832" s="18" t="n"/>
      <c r="Q832" s="18" t="n"/>
      <c r="R832" s="10" t="n"/>
      <c r="S832" s="17" t="n"/>
      <c r="T832" s="18" t="n"/>
      <c r="U832" s="17" t="n"/>
      <c r="V832" s="17" t="n"/>
      <c r="W832" s="18" t="n"/>
      <c r="X832" s="18" t="n"/>
      <c r="Y832" s="17" t="n"/>
      <c r="Z832" s="10" t="n"/>
      <c r="AA832" s="10" t="n"/>
      <c r="AB832" s="19">
        <f>IF(LEN(A832)&gt;0,1,0)</f>
        <v/>
      </c>
      <c r="AC832" s="19">
        <f>IF(LEN(A832)=0,0,(LEN(B832)=0)+(LEN(C832)=0)+(LEN(D832)=0)+(LEN(E832)=0)+(LEN(F832)=0)+(LEN(G832)=0)+(LEN(H832)=0)+(LEN(I832)=0)+(LEN(J832)=0)+(LEN(K832)=0)+(LEN(L832)=0)+(LEN(N832)=0)+(LEN(O832)=0)+(LEN(P832)=0)+(LEN(R832)=0)+(LEN(AA832)=0))</f>
        <v/>
      </c>
      <c r="AD832" s="19">
        <f>IF(OR(LEN(A832)=0,LEN(C832)=0),0,IF(OR(C832&lt;1,C832&gt;5),1,0))</f>
        <v/>
      </c>
      <c r="AE832" s="19">
        <f>IF(OR(LEN(A832)=0,LEN(R832)=0),0,IF(OR(R832="Active",R832="Paid off",R832="Defaulted",R832="Repossessed",R832="Written off",R832="Restructured"),0,1))</f>
        <v/>
      </c>
      <c r="AF832" s="19">
        <f>IF(A832="",0,IF(N(J832)&gt;N(I832),1,0))</f>
        <v/>
      </c>
      <c r="AG832" s="19">
        <f>IF(A832="",0,IF(N(N832)&gt;N(M832)+1,1,0))</f>
        <v/>
      </c>
      <c r="AH832" s="19">
        <f>IF(A832="",0,IF(N(E832)&gt;N(B832),1,0))</f>
        <v/>
      </c>
      <c r="AI832" s="19">
        <f>IF(A832="",0,IF(AND(Z832="Full payment",N(N832)&lt;N(M832)-1),1,0))</f>
        <v/>
      </c>
      <c r="AJ832" s="19">
        <f>IF(A832="",0,IF(N(P832)&lt;0,1,0))</f>
        <v/>
      </c>
      <c r="AK832" s="19">
        <f>IF(A832="",0,IF(COUNTIF($A$7:$A$1006,A832)&gt;1,1,0))</f>
        <v/>
      </c>
    </row>
    <row r="833">
      <c r="A833" s="10" t="n"/>
      <c r="B833" s="17" t="n"/>
      <c r="C833" s="18" t="n"/>
      <c r="D833" s="10" t="n"/>
      <c r="E833" s="17" t="n"/>
      <c r="F833" s="10" t="n"/>
      <c r="G833" s="10" t="n"/>
      <c r="H833" s="10" t="n"/>
      <c r="I833" s="18" t="n"/>
      <c r="J833" s="18" t="n"/>
      <c r="K833" s="18" t="n"/>
      <c r="L833" s="18" t="n"/>
      <c r="M833" s="19">
        <f>IF(K833="","",K833*365/12*L833)</f>
        <v/>
      </c>
      <c r="N833" s="18" t="n"/>
      <c r="O833" s="18" t="n"/>
      <c r="P833" s="18" t="n"/>
      <c r="Q833" s="18" t="n"/>
      <c r="R833" s="10" t="n"/>
      <c r="S833" s="17" t="n"/>
      <c r="T833" s="18" t="n"/>
      <c r="U833" s="17" t="n"/>
      <c r="V833" s="17" t="n"/>
      <c r="W833" s="18" t="n"/>
      <c r="X833" s="18" t="n"/>
      <c r="Y833" s="17" t="n"/>
      <c r="Z833" s="10" t="n"/>
      <c r="AA833" s="10" t="n"/>
      <c r="AB833" s="19">
        <f>IF(LEN(A833)&gt;0,1,0)</f>
        <v/>
      </c>
      <c r="AC833" s="19">
        <f>IF(LEN(A833)=0,0,(LEN(B833)=0)+(LEN(C833)=0)+(LEN(D833)=0)+(LEN(E833)=0)+(LEN(F833)=0)+(LEN(G833)=0)+(LEN(H833)=0)+(LEN(I833)=0)+(LEN(J833)=0)+(LEN(K833)=0)+(LEN(L833)=0)+(LEN(N833)=0)+(LEN(O833)=0)+(LEN(P833)=0)+(LEN(R833)=0)+(LEN(AA833)=0))</f>
        <v/>
      </c>
      <c r="AD833" s="19">
        <f>IF(OR(LEN(A833)=0,LEN(C833)=0),0,IF(OR(C833&lt;1,C833&gt;5),1,0))</f>
        <v/>
      </c>
      <c r="AE833" s="19">
        <f>IF(OR(LEN(A833)=0,LEN(R833)=0),0,IF(OR(R833="Active",R833="Paid off",R833="Defaulted",R833="Repossessed",R833="Written off",R833="Restructured"),0,1))</f>
        <v/>
      </c>
      <c r="AF833" s="19">
        <f>IF(A833="",0,IF(N(J833)&gt;N(I833),1,0))</f>
        <v/>
      </c>
      <c r="AG833" s="19">
        <f>IF(A833="",0,IF(N(N833)&gt;N(M833)+1,1,0))</f>
        <v/>
      </c>
      <c r="AH833" s="19">
        <f>IF(A833="",0,IF(N(E833)&gt;N(B833),1,0))</f>
        <v/>
      </c>
      <c r="AI833" s="19">
        <f>IF(A833="",0,IF(AND(Z833="Full payment",N(N833)&lt;N(M833)-1),1,0))</f>
        <v/>
      </c>
      <c r="AJ833" s="19">
        <f>IF(A833="",0,IF(N(P833)&lt;0,1,0))</f>
        <v/>
      </c>
      <c r="AK833" s="19">
        <f>IF(A833="",0,IF(COUNTIF($A$7:$A$1006,A833)&gt;1,1,0))</f>
        <v/>
      </c>
    </row>
    <row r="834">
      <c r="A834" s="10" t="n"/>
      <c r="B834" s="17" t="n"/>
      <c r="C834" s="18" t="n"/>
      <c r="D834" s="10" t="n"/>
      <c r="E834" s="17" t="n"/>
      <c r="F834" s="10" t="n"/>
      <c r="G834" s="10" t="n"/>
      <c r="H834" s="10" t="n"/>
      <c r="I834" s="18" t="n"/>
      <c r="J834" s="18" t="n"/>
      <c r="K834" s="18" t="n"/>
      <c r="L834" s="18" t="n"/>
      <c r="M834" s="19">
        <f>IF(K834="","",K834*365/12*L834)</f>
        <v/>
      </c>
      <c r="N834" s="18" t="n"/>
      <c r="O834" s="18" t="n"/>
      <c r="P834" s="18" t="n"/>
      <c r="Q834" s="18" t="n"/>
      <c r="R834" s="10" t="n"/>
      <c r="S834" s="17" t="n"/>
      <c r="T834" s="18" t="n"/>
      <c r="U834" s="17" t="n"/>
      <c r="V834" s="17" t="n"/>
      <c r="W834" s="18" t="n"/>
      <c r="X834" s="18" t="n"/>
      <c r="Y834" s="17" t="n"/>
      <c r="Z834" s="10" t="n"/>
      <c r="AA834" s="10" t="n"/>
      <c r="AB834" s="19">
        <f>IF(LEN(A834)&gt;0,1,0)</f>
        <v/>
      </c>
      <c r="AC834" s="19">
        <f>IF(LEN(A834)=0,0,(LEN(B834)=0)+(LEN(C834)=0)+(LEN(D834)=0)+(LEN(E834)=0)+(LEN(F834)=0)+(LEN(G834)=0)+(LEN(H834)=0)+(LEN(I834)=0)+(LEN(J834)=0)+(LEN(K834)=0)+(LEN(L834)=0)+(LEN(N834)=0)+(LEN(O834)=0)+(LEN(P834)=0)+(LEN(R834)=0)+(LEN(AA834)=0))</f>
        <v/>
      </c>
      <c r="AD834" s="19">
        <f>IF(OR(LEN(A834)=0,LEN(C834)=0),0,IF(OR(C834&lt;1,C834&gt;5),1,0))</f>
        <v/>
      </c>
      <c r="AE834" s="19">
        <f>IF(OR(LEN(A834)=0,LEN(R834)=0),0,IF(OR(R834="Active",R834="Paid off",R834="Defaulted",R834="Repossessed",R834="Written off",R834="Restructured"),0,1))</f>
        <v/>
      </c>
      <c r="AF834" s="19">
        <f>IF(A834="",0,IF(N(J834)&gt;N(I834),1,0))</f>
        <v/>
      </c>
      <c r="AG834" s="19">
        <f>IF(A834="",0,IF(N(N834)&gt;N(M834)+1,1,0))</f>
        <v/>
      </c>
      <c r="AH834" s="19">
        <f>IF(A834="",0,IF(N(E834)&gt;N(B834),1,0))</f>
        <v/>
      </c>
      <c r="AI834" s="19">
        <f>IF(A834="",0,IF(AND(Z834="Full payment",N(N834)&lt;N(M834)-1),1,0))</f>
        <v/>
      </c>
      <c r="AJ834" s="19">
        <f>IF(A834="",0,IF(N(P834)&lt;0,1,0))</f>
        <v/>
      </c>
      <c r="AK834" s="19">
        <f>IF(A834="",0,IF(COUNTIF($A$7:$A$1006,A834)&gt;1,1,0))</f>
        <v/>
      </c>
    </row>
    <row r="835">
      <c r="A835" s="10" t="n"/>
      <c r="B835" s="17" t="n"/>
      <c r="C835" s="18" t="n"/>
      <c r="D835" s="10" t="n"/>
      <c r="E835" s="17" t="n"/>
      <c r="F835" s="10" t="n"/>
      <c r="G835" s="10" t="n"/>
      <c r="H835" s="10" t="n"/>
      <c r="I835" s="18" t="n"/>
      <c r="J835" s="18" t="n"/>
      <c r="K835" s="18" t="n"/>
      <c r="L835" s="18" t="n"/>
      <c r="M835" s="19">
        <f>IF(K835="","",K835*365/12*L835)</f>
        <v/>
      </c>
      <c r="N835" s="18" t="n"/>
      <c r="O835" s="18" t="n"/>
      <c r="P835" s="18" t="n"/>
      <c r="Q835" s="18" t="n"/>
      <c r="R835" s="10" t="n"/>
      <c r="S835" s="17" t="n"/>
      <c r="T835" s="18" t="n"/>
      <c r="U835" s="17" t="n"/>
      <c r="V835" s="17" t="n"/>
      <c r="W835" s="18" t="n"/>
      <c r="X835" s="18" t="n"/>
      <c r="Y835" s="17" t="n"/>
      <c r="Z835" s="10" t="n"/>
      <c r="AA835" s="10" t="n"/>
      <c r="AB835" s="19">
        <f>IF(LEN(A835)&gt;0,1,0)</f>
        <v/>
      </c>
      <c r="AC835" s="19">
        <f>IF(LEN(A835)=0,0,(LEN(B835)=0)+(LEN(C835)=0)+(LEN(D835)=0)+(LEN(E835)=0)+(LEN(F835)=0)+(LEN(G835)=0)+(LEN(H835)=0)+(LEN(I835)=0)+(LEN(J835)=0)+(LEN(K835)=0)+(LEN(L835)=0)+(LEN(N835)=0)+(LEN(O835)=0)+(LEN(P835)=0)+(LEN(R835)=0)+(LEN(AA835)=0))</f>
        <v/>
      </c>
      <c r="AD835" s="19">
        <f>IF(OR(LEN(A835)=0,LEN(C835)=0),0,IF(OR(C835&lt;1,C835&gt;5),1,0))</f>
        <v/>
      </c>
      <c r="AE835" s="19">
        <f>IF(OR(LEN(A835)=0,LEN(R835)=0),0,IF(OR(R835="Active",R835="Paid off",R835="Defaulted",R835="Repossessed",R835="Written off",R835="Restructured"),0,1))</f>
        <v/>
      </c>
      <c r="AF835" s="19">
        <f>IF(A835="",0,IF(N(J835)&gt;N(I835),1,0))</f>
        <v/>
      </c>
      <c r="AG835" s="19">
        <f>IF(A835="",0,IF(N(N835)&gt;N(M835)+1,1,0))</f>
        <v/>
      </c>
      <c r="AH835" s="19">
        <f>IF(A835="",0,IF(N(E835)&gt;N(B835),1,0))</f>
        <v/>
      </c>
      <c r="AI835" s="19">
        <f>IF(A835="",0,IF(AND(Z835="Full payment",N(N835)&lt;N(M835)-1),1,0))</f>
        <v/>
      </c>
      <c r="AJ835" s="19">
        <f>IF(A835="",0,IF(N(P835)&lt;0,1,0))</f>
        <v/>
      </c>
      <c r="AK835" s="19">
        <f>IF(A835="",0,IF(COUNTIF($A$7:$A$1006,A835)&gt;1,1,0))</f>
        <v/>
      </c>
    </row>
    <row r="836">
      <c r="A836" s="10" t="n"/>
      <c r="B836" s="17" t="n"/>
      <c r="C836" s="18" t="n"/>
      <c r="D836" s="10" t="n"/>
      <c r="E836" s="17" t="n"/>
      <c r="F836" s="10" t="n"/>
      <c r="G836" s="10" t="n"/>
      <c r="H836" s="10" t="n"/>
      <c r="I836" s="18" t="n"/>
      <c r="J836" s="18" t="n"/>
      <c r="K836" s="18" t="n"/>
      <c r="L836" s="18" t="n"/>
      <c r="M836" s="19">
        <f>IF(K836="","",K836*365/12*L836)</f>
        <v/>
      </c>
      <c r="N836" s="18" t="n"/>
      <c r="O836" s="18" t="n"/>
      <c r="P836" s="18" t="n"/>
      <c r="Q836" s="18" t="n"/>
      <c r="R836" s="10" t="n"/>
      <c r="S836" s="17" t="n"/>
      <c r="T836" s="18" t="n"/>
      <c r="U836" s="17" t="n"/>
      <c r="V836" s="17" t="n"/>
      <c r="W836" s="18" t="n"/>
      <c r="X836" s="18" t="n"/>
      <c r="Y836" s="17" t="n"/>
      <c r="Z836" s="10" t="n"/>
      <c r="AA836" s="10" t="n"/>
      <c r="AB836" s="19">
        <f>IF(LEN(A836)&gt;0,1,0)</f>
        <v/>
      </c>
      <c r="AC836" s="19">
        <f>IF(LEN(A836)=0,0,(LEN(B836)=0)+(LEN(C836)=0)+(LEN(D836)=0)+(LEN(E836)=0)+(LEN(F836)=0)+(LEN(G836)=0)+(LEN(H836)=0)+(LEN(I836)=0)+(LEN(J836)=0)+(LEN(K836)=0)+(LEN(L836)=0)+(LEN(N836)=0)+(LEN(O836)=0)+(LEN(P836)=0)+(LEN(R836)=0)+(LEN(AA836)=0))</f>
        <v/>
      </c>
      <c r="AD836" s="19">
        <f>IF(OR(LEN(A836)=0,LEN(C836)=0),0,IF(OR(C836&lt;1,C836&gt;5),1,0))</f>
        <v/>
      </c>
      <c r="AE836" s="19">
        <f>IF(OR(LEN(A836)=0,LEN(R836)=0),0,IF(OR(R836="Active",R836="Paid off",R836="Defaulted",R836="Repossessed",R836="Written off",R836="Restructured"),0,1))</f>
        <v/>
      </c>
      <c r="AF836" s="19">
        <f>IF(A836="",0,IF(N(J836)&gt;N(I836),1,0))</f>
        <v/>
      </c>
      <c r="AG836" s="19">
        <f>IF(A836="",0,IF(N(N836)&gt;N(M836)+1,1,0))</f>
        <v/>
      </c>
      <c r="AH836" s="19">
        <f>IF(A836="",0,IF(N(E836)&gt;N(B836),1,0))</f>
        <v/>
      </c>
      <c r="AI836" s="19">
        <f>IF(A836="",0,IF(AND(Z836="Full payment",N(N836)&lt;N(M836)-1),1,0))</f>
        <v/>
      </c>
      <c r="AJ836" s="19">
        <f>IF(A836="",0,IF(N(P836)&lt;0,1,0))</f>
        <v/>
      </c>
      <c r="AK836" s="19">
        <f>IF(A836="",0,IF(COUNTIF($A$7:$A$1006,A836)&gt;1,1,0))</f>
        <v/>
      </c>
    </row>
    <row r="837">
      <c r="A837" s="10" t="n"/>
      <c r="B837" s="17" t="n"/>
      <c r="C837" s="18" t="n"/>
      <c r="D837" s="10" t="n"/>
      <c r="E837" s="17" t="n"/>
      <c r="F837" s="10" t="n"/>
      <c r="G837" s="10" t="n"/>
      <c r="H837" s="10" t="n"/>
      <c r="I837" s="18" t="n"/>
      <c r="J837" s="18" t="n"/>
      <c r="K837" s="18" t="n"/>
      <c r="L837" s="18" t="n"/>
      <c r="M837" s="19">
        <f>IF(K837="","",K837*365/12*L837)</f>
        <v/>
      </c>
      <c r="N837" s="18" t="n"/>
      <c r="O837" s="18" t="n"/>
      <c r="P837" s="18" t="n"/>
      <c r="Q837" s="18" t="n"/>
      <c r="R837" s="10" t="n"/>
      <c r="S837" s="17" t="n"/>
      <c r="T837" s="18" t="n"/>
      <c r="U837" s="17" t="n"/>
      <c r="V837" s="17" t="n"/>
      <c r="W837" s="18" t="n"/>
      <c r="X837" s="18" t="n"/>
      <c r="Y837" s="17" t="n"/>
      <c r="Z837" s="10" t="n"/>
      <c r="AA837" s="10" t="n"/>
      <c r="AB837" s="19">
        <f>IF(LEN(A837)&gt;0,1,0)</f>
        <v/>
      </c>
      <c r="AC837" s="19">
        <f>IF(LEN(A837)=0,0,(LEN(B837)=0)+(LEN(C837)=0)+(LEN(D837)=0)+(LEN(E837)=0)+(LEN(F837)=0)+(LEN(G837)=0)+(LEN(H837)=0)+(LEN(I837)=0)+(LEN(J837)=0)+(LEN(K837)=0)+(LEN(L837)=0)+(LEN(N837)=0)+(LEN(O837)=0)+(LEN(P837)=0)+(LEN(R837)=0)+(LEN(AA837)=0))</f>
        <v/>
      </c>
      <c r="AD837" s="19">
        <f>IF(OR(LEN(A837)=0,LEN(C837)=0),0,IF(OR(C837&lt;1,C837&gt;5),1,0))</f>
        <v/>
      </c>
      <c r="AE837" s="19">
        <f>IF(OR(LEN(A837)=0,LEN(R837)=0),0,IF(OR(R837="Active",R837="Paid off",R837="Defaulted",R837="Repossessed",R837="Written off",R837="Restructured"),0,1))</f>
        <v/>
      </c>
      <c r="AF837" s="19">
        <f>IF(A837="",0,IF(N(J837)&gt;N(I837),1,0))</f>
        <v/>
      </c>
      <c r="AG837" s="19">
        <f>IF(A837="",0,IF(N(N837)&gt;N(M837)+1,1,0))</f>
        <v/>
      </c>
      <c r="AH837" s="19">
        <f>IF(A837="",0,IF(N(E837)&gt;N(B837),1,0))</f>
        <v/>
      </c>
      <c r="AI837" s="19">
        <f>IF(A837="",0,IF(AND(Z837="Full payment",N(N837)&lt;N(M837)-1),1,0))</f>
        <v/>
      </c>
      <c r="AJ837" s="19">
        <f>IF(A837="",0,IF(N(P837)&lt;0,1,0))</f>
        <v/>
      </c>
      <c r="AK837" s="19">
        <f>IF(A837="",0,IF(COUNTIF($A$7:$A$1006,A837)&gt;1,1,0))</f>
        <v/>
      </c>
    </row>
    <row r="838">
      <c r="A838" s="10" t="n"/>
      <c r="B838" s="17" t="n"/>
      <c r="C838" s="18" t="n"/>
      <c r="D838" s="10" t="n"/>
      <c r="E838" s="17" t="n"/>
      <c r="F838" s="10" t="n"/>
      <c r="G838" s="10" t="n"/>
      <c r="H838" s="10" t="n"/>
      <c r="I838" s="18" t="n"/>
      <c r="J838" s="18" t="n"/>
      <c r="K838" s="18" t="n"/>
      <c r="L838" s="18" t="n"/>
      <c r="M838" s="19">
        <f>IF(K838="","",K838*365/12*L838)</f>
        <v/>
      </c>
      <c r="N838" s="18" t="n"/>
      <c r="O838" s="18" t="n"/>
      <c r="P838" s="18" t="n"/>
      <c r="Q838" s="18" t="n"/>
      <c r="R838" s="10" t="n"/>
      <c r="S838" s="17" t="n"/>
      <c r="T838" s="18" t="n"/>
      <c r="U838" s="17" t="n"/>
      <c r="V838" s="17" t="n"/>
      <c r="W838" s="18" t="n"/>
      <c r="X838" s="18" t="n"/>
      <c r="Y838" s="17" t="n"/>
      <c r="Z838" s="10" t="n"/>
      <c r="AA838" s="10" t="n"/>
      <c r="AB838" s="19">
        <f>IF(LEN(A838)&gt;0,1,0)</f>
        <v/>
      </c>
      <c r="AC838" s="19">
        <f>IF(LEN(A838)=0,0,(LEN(B838)=0)+(LEN(C838)=0)+(LEN(D838)=0)+(LEN(E838)=0)+(LEN(F838)=0)+(LEN(G838)=0)+(LEN(H838)=0)+(LEN(I838)=0)+(LEN(J838)=0)+(LEN(K838)=0)+(LEN(L838)=0)+(LEN(N838)=0)+(LEN(O838)=0)+(LEN(P838)=0)+(LEN(R838)=0)+(LEN(AA838)=0))</f>
        <v/>
      </c>
      <c r="AD838" s="19">
        <f>IF(OR(LEN(A838)=0,LEN(C838)=0),0,IF(OR(C838&lt;1,C838&gt;5),1,0))</f>
        <v/>
      </c>
      <c r="AE838" s="19">
        <f>IF(OR(LEN(A838)=0,LEN(R838)=0),0,IF(OR(R838="Active",R838="Paid off",R838="Defaulted",R838="Repossessed",R838="Written off",R838="Restructured"),0,1))</f>
        <v/>
      </c>
      <c r="AF838" s="19">
        <f>IF(A838="",0,IF(N(J838)&gt;N(I838),1,0))</f>
        <v/>
      </c>
      <c r="AG838" s="19">
        <f>IF(A838="",0,IF(N(N838)&gt;N(M838)+1,1,0))</f>
        <v/>
      </c>
      <c r="AH838" s="19">
        <f>IF(A838="",0,IF(N(E838)&gt;N(B838),1,0))</f>
        <v/>
      </c>
      <c r="AI838" s="19">
        <f>IF(A838="",0,IF(AND(Z838="Full payment",N(N838)&lt;N(M838)-1),1,0))</f>
        <v/>
      </c>
      <c r="AJ838" s="19">
        <f>IF(A838="",0,IF(N(P838)&lt;0,1,0))</f>
        <v/>
      </c>
      <c r="AK838" s="19">
        <f>IF(A838="",0,IF(COUNTIF($A$7:$A$1006,A838)&gt;1,1,0))</f>
        <v/>
      </c>
    </row>
    <row r="839">
      <c r="A839" s="10" t="n"/>
      <c r="B839" s="17" t="n"/>
      <c r="C839" s="18" t="n"/>
      <c r="D839" s="10" t="n"/>
      <c r="E839" s="17" t="n"/>
      <c r="F839" s="10" t="n"/>
      <c r="G839" s="10" t="n"/>
      <c r="H839" s="10" t="n"/>
      <c r="I839" s="18" t="n"/>
      <c r="J839" s="18" t="n"/>
      <c r="K839" s="18" t="n"/>
      <c r="L839" s="18" t="n"/>
      <c r="M839" s="19">
        <f>IF(K839="","",K839*365/12*L839)</f>
        <v/>
      </c>
      <c r="N839" s="18" t="n"/>
      <c r="O839" s="18" t="n"/>
      <c r="P839" s="18" t="n"/>
      <c r="Q839" s="18" t="n"/>
      <c r="R839" s="10" t="n"/>
      <c r="S839" s="17" t="n"/>
      <c r="T839" s="18" t="n"/>
      <c r="U839" s="17" t="n"/>
      <c r="V839" s="17" t="n"/>
      <c r="W839" s="18" t="n"/>
      <c r="X839" s="18" t="n"/>
      <c r="Y839" s="17" t="n"/>
      <c r="Z839" s="10" t="n"/>
      <c r="AA839" s="10" t="n"/>
      <c r="AB839" s="19">
        <f>IF(LEN(A839)&gt;0,1,0)</f>
        <v/>
      </c>
      <c r="AC839" s="19">
        <f>IF(LEN(A839)=0,0,(LEN(B839)=0)+(LEN(C839)=0)+(LEN(D839)=0)+(LEN(E839)=0)+(LEN(F839)=0)+(LEN(G839)=0)+(LEN(H839)=0)+(LEN(I839)=0)+(LEN(J839)=0)+(LEN(K839)=0)+(LEN(L839)=0)+(LEN(N839)=0)+(LEN(O839)=0)+(LEN(P839)=0)+(LEN(R839)=0)+(LEN(AA839)=0))</f>
        <v/>
      </c>
      <c r="AD839" s="19">
        <f>IF(OR(LEN(A839)=0,LEN(C839)=0),0,IF(OR(C839&lt;1,C839&gt;5),1,0))</f>
        <v/>
      </c>
      <c r="AE839" s="19">
        <f>IF(OR(LEN(A839)=0,LEN(R839)=0),0,IF(OR(R839="Active",R839="Paid off",R839="Defaulted",R839="Repossessed",R839="Written off",R839="Restructured"),0,1))</f>
        <v/>
      </c>
      <c r="AF839" s="19">
        <f>IF(A839="",0,IF(N(J839)&gt;N(I839),1,0))</f>
        <v/>
      </c>
      <c r="AG839" s="19">
        <f>IF(A839="",0,IF(N(N839)&gt;N(M839)+1,1,0))</f>
        <v/>
      </c>
      <c r="AH839" s="19">
        <f>IF(A839="",0,IF(N(E839)&gt;N(B839),1,0))</f>
        <v/>
      </c>
      <c r="AI839" s="19">
        <f>IF(A839="",0,IF(AND(Z839="Full payment",N(N839)&lt;N(M839)-1),1,0))</f>
        <v/>
      </c>
      <c r="AJ839" s="19">
        <f>IF(A839="",0,IF(N(P839)&lt;0,1,0))</f>
        <v/>
      </c>
      <c r="AK839" s="19">
        <f>IF(A839="",0,IF(COUNTIF($A$7:$A$1006,A839)&gt;1,1,0))</f>
        <v/>
      </c>
    </row>
    <row r="840">
      <c r="A840" s="10" t="n"/>
      <c r="B840" s="17" t="n"/>
      <c r="C840" s="18" t="n"/>
      <c r="D840" s="10" t="n"/>
      <c r="E840" s="17" t="n"/>
      <c r="F840" s="10" t="n"/>
      <c r="G840" s="10" t="n"/>
      <c r="H840" s="10" t="n"/>
      <c r="I840" s="18" t="n"/>
      <c r="J840" s="18" t="n"/>
      <c r="K840" s="18" t="n"/>
      <c r="L840" s="18" t="n"/>
      <c r="M840" s="19">
        <f>IF(K840="","",K840*365/12*L840)</f>
        <v/>
      </c>
      <c r="N840" s="18" t="n"/>
      <c r="O840" s="18" t="n"/>
      <c r="P840" s="18" t="n"/>
      <c r="Q840" s="18" t="n"/>
      <c r="R840" s="10" t="n"/>
      <c r="S840" s="17" t="n"/>
      <c r="T840" s="18" t="n"/>
      <c r="U840" s="17" t="n"/>
      <c r="V840" s="17" t="n"/>
      <c r="W840" s="18" t="n"/>
      <c r="X840" s="18" t="n"/>
      <c r="Y840" s="17" t="n"/>
      <c r="Z840" s="10" t="n"/>
      <c r="AA840" s="10" t="n"/>
      <c r="AB840" s="19">
        <f>IF(LEN(A840)&gt;0,1,0)</f>
        <v/>
      </c>
      <c r="AC840" s="19">
        <f>IF(LEN(A840)=0,0,(LEN(B840)=0)+(LEN(C840)=0)+(LEN(D840)=0)+(LEN(E840)=0)+(LEN(F840)=0)+(LEN(G840)=0)+(LEN(H840)=0)+(LEN(I840)=0)+(LEN(J840)=0)+(LEN(K840)=0)+(LEN(L840)=0)+(LEN(N840)=0)+(LEN(O840)=0)+(LEN(P840)=0)+(LEN(R840)=0)+(LEN(AA840)=0))</f>
        <v/>
      </c>
      <c r="AD840" s="19">
        <f>IF(OR(LEN(A840)=0,LEN(C840)=0),0,IF(OR(C840&lt;1,C840&gt;5),1,0))</f>
        <v/>
      </c>
      <c r="AE840" s="19">
        <f>IF(OR(LEN(A840)=0,LEN(R840)=0),0,IF(OR(R840="Active",R840="Paid off",R840="Defaulted",R840="Repossessed",R840="Written off",R840="Restructured"),0,1))</f>
        <v/>
      </c>
      <c r="AF840" s="19">
        <f>IF(A840="",0,IF(N(J840)&gt;N(I840),1,0))</f>
        <v/>
      </c>
      <c r="AG840" s="19">
        <f>IF(A840="",0,IF(N(N840)&gt;N(M840)+1,1,0))</f>
        <v/>
      </c>
      <c r="AH840" s="19">
        <f>IF(A840="",0,IF(N(E840)&gt;N(B840),1,0))</f>
        <v/>
      </c>
      <c r="AI840" s="19">
        <f>IF(A840="",0,IF(AND(Z840="Full payment",N(N840)&lt;N(M840)-1),1,0))</f>
        <v/>
      </c>
      <c r="AJ840" s="19">
        <f>IF(A840="",0,IF(N(P840)&lt;0,1,0))</f>
        <v/>
      </c>
      <c r="AK840" s="19">
        <f>IF(A840="",0,IF(COUNTIF($A$7:$A$1006,A840)&gt;1,1,0))</f>
        <v/>
      </c>
    </row>
    <row r="841">
      <c r="A841" s="10" t="n"/>
      <c r="B841" s="17" t="n"/>
      <c r="C841" s="18" t="n"/>
      <c r="D841" s="10" t="n"/>
      <c r="E841" s="17" t="n"/>
      <c r="F841" s="10" t="n"/>
      <c r="G841" s="10" t="n"/>
      <c r="H841" s="10" t="n"/>
      <c r="I841" s="18" t="n"/>
      <c r="J841" s="18" t="n"/>
      <c r="K841" s="18" t="n"/>
      <c r="L841" s="18" t="n"/>
      <c r="M841" s="19">
        <f>IF(K841="","",K841*365/12*L841)</f>
        <v/>
      </c>
      <c r="N841" s="18" t="n"/>
      <c r="O841" s="18" t="n"/>
      <c r="P841" s="18" t="n"/>
      <c r="Q841" s="18" t="n"/>
      <c r="R841" s="10" t="n"/>
      <c r="S841" s="17" t="n"/>
      <c r="T841" s="18" t="n"/>
      <c r="U841" s="17" t="n"/>
      <c r="V841" s="17" t="n"/>
      <c r="W841" s="18" t="n"/>
      <c r="X841" s="18" t="n"/>
      <c r="Y841" s="17" t="n"/>
      <c r="Z841" s="10" t="n"/>
      <c r="AA841" s="10" t="n"/>
      <c r="AB841" s="19">
        <f>IF(LEN(A841)&gt;0,1,0)</f>
        <v/>
      </c>
      <c r="AC841" s="19">
        <f>IF(LEN(A841)=0,0,(LEN(B841)=0)+(LEN(C841)=0)+(LEN(D841)=0)+(LEN(E841)=0)+(LEN(F841)=0)+(LEN(G841)=0)+(LEN(H841)=0)+(LEN(I841)=0)+(LEN(J841)=0)+(LEN(K841)=0)+(LEN(L841)=0)+(LEN(N841)=0)+(LEN(O841)=0)+(LEN(P841)=0)+(LEN(R841)=0)+(LEN(AA841)=0))</f>
        <v/>
      </c>
      <c r="AD841" s="19">
        <f>IF(OR(LEN(A841)=0,LEN(C841)=0),0,IF(OR(C841&lt;1,C841&gt;5),1,0))</f>
        <v/>
      </c>
      <c r="AE841" s="19">
        <f>IF(OR(LEN(A841)=0,LEN(R841)=0),0,IF(OR(R841="Active",R841="Paid off",R841="Defaulted",R841="Repossessed",R841="Written off",R841="Restructured"),0,1))</f>
        <v/>
      </c>
      <c r="AF841" s="19">
        <f>IF(A841="",0,IF(N(J841)&gt;N(I841),1,0))</f>
        <v/>
      </c>
      <c r="AG841" s="19">
        <f>IF(A841="",0,IF(N(N841)&gt;N(M841)+1,1,0))</f>
        <v/>
      </c>
      <c r="AH841" s="19">
        <f>IF(A841="",0,IF(N(E841)&gt;N(B841),1,0))</f>
        <v/>
      </c>
      <c r="AI841" s="19">
        <f>IF(A841="",0,IF(AND(Z841="Full payment",N(N841)&lt;N(M841)-1),1,0))</f>
        <v/>
      </c>
      <c r="AJ841" s="19">
        <f>IF(A841="",0,IF(N(P841)&lt;0,1,0))</f>
        <v/>
      </c>
      <c r="AK841" s="19">
        <f>IF(A841="",0,IF(COUNTIF($A$7:$A$1006,A841)&gt;1,1,0))</f>
        <v/>
      </c>
    </row>
    <row r="842">
      <c r="A842" s="10" t="n"/>
      <c r="B842" s="17" t="n"/>
      <c r="C842" s="18" t="n"/>
      <c r="D842" s="10" t="n"/>
      <c r="E842" s="17" t="n"/>
      <c r="F842" s="10" t="n"/>
      <c r="G842" s="10" t="n"/>
      <c r="H842" s="10" t="n"/>
      <c r="I842" s="18" t="n"/>
      <c r="J842" s="18" t="n"/>
      <c r="K842" s="18" t="n"/>
      <c r="L842" s="18" t="n"/>
      <c r="M842" s="19">
        <f>IF(K842="","",K842*365/12*L842)</f>
        <v/>
      </c>
      <c r="N842" s="18" t="n"/>
      <c r="O842" s="18" t="n"/>
      <c r="P842" s="18" t="n"/>
      <c r="Q842" s="18" t="n"/>
      <c r="R842" s="10" t="n"/>
      <c r="S842" s="17" t="n"/>
      <c r="T842" s="18" t="n"/>
      <c r="U842" s="17" t="n"/>
      <c r="V842" s="17" t="n"/>
      <c r="W842" s="18" t="n"/>
      <c r="X842" s="18" t="n"/>
      <c r="Y842" s="17" t="n"/>
      <c r="Z842" s="10" t="n"/>
      <c r="AA842" s="10" t="n"/>
      <c r="AB842" s="19">
        <f>IF(LEN(A842)&gt;0,1,0)</f>
        <v/>
      </c>
      <c r="AC842" s="19">
        <f>IF(LEN(A842)=0,0,(LEN(B842)=0)+(LEN(C842)=0)+(LEN(D842)=0)+(LEN(E842)=0)+(LEN(F842)=0)+(LEN(G842)=0)+(LEN(H842)=0)+(LEN(I842)=0)+(LEN(J842)=0)+(LEN(K842)=0)+(LEN(L842)=0)+(LEN(N842)=0)+(LEN(O842)=0)+(LEN(P842)=0)+(LEN(R842)=0)+(LEN(AA842)=0))</f>
        <v/>
      </c>
      <c r="AD842" s="19">
        <f>IF(OR(LEN(A842)=0,LEN(C842)=0),0,IF(OR(C842&lt;1,C842&gt;5),1,0))</f>
        <v/>
      </c>
      <c r="AE842" s="19">
        <f>IF(OR(LEN(A842)=0,LEN(R842)=0),0,IF(OR(R842="Active",R842="Paid off",R842="Defaulted",R842="Repossessed",R842="Written off",R842="Restructured"),0,1))</f>
        <v/>
      </c>
      <c r="AF842" s="19">
        <f>IF(A842="",0,IF(N(J842)&gt;N(I842),1,0))</f>
        <v/>
      </c>
      <c r="AG842" s="19">
        <f>IF(A842="",0,IF(N(N842)&gt;N(M842)+1,1,0))</f>
        <v/>
      </c>
      <c r="AH842" s="19">
        <f>IF(A842="",0,IF(N(E842)&gt;N(B842),1,0))</f>
        <v/>
      </c>
      <c r="AI842" s="19">
        <f>IF(A842="",0,IF(AND(Z842="Full payment",N(N842)&lt;N(M842)-1),1,0))</f>
        <v/>
      </c>
      <c r="AJ842" s="19">
        <f>IF(A842="",0,IF(N(P842)&lt;0,1,0))</f>
        <v/>
      </c>
      <c r="AK842" s="19">
        <f>IF(A842="",0,IF(COUNTIF($A$7:$A$1006,A842)&gt;1,1,0))</f>
        <v/>
      </c>
    </row>
    <row r="843">
      <c r="A843" s="10" t="n"/>
      <c r="B843" s="17" t="n"/>
      <c r="C843" s="18" t="n"/>
      <c r="D843" s="10" t="n"/>
      <c r="E843" s="17" t="n"/>
      <c r="F843" s="10" t="n"/>
      <c r="G843" s="10" t="n"/>
      <c r="H843" s="10" t="n"/>
      <c r="I843" s="18" t="n"/>
      <c r="J843" s="18" t="n"/>
      <c r="K843" s="18" t="n"/>
      <c r="L843" s="18" t="n"/>
      <c r="M843" s="19">
        <f>IF(K843="","",K843*365/12*L843)</f>
        <v/>
      </c>
      <c r="N843" s="18" t="n"/>
      <c r="O843" s="18" t="n"/>
      <c r="P843" s="18" t="n"/>
      <c r="Q843" s="18" t="n"/>
      <c r="R843" s="10" t="n"/>
      <c r="S843" s="17" t="n"/>
      <c r="T843" s="18" t="n"/>
      <c r="U843" s="17" t="n"/>
      <c r="V843" s="17" t="n"/>
      <c r="W843" s="18" t="n"/>
      <c r="X843" s="18" t="n"/>
      <c r="Y843" s="17" t="n"/>
      <c r="Z843" s="10" t="n"/>
      <c r="AA843" s="10" t="n"/>
      <c r="AB843" s="19">
        <f>IF(LEN(A843)&gt;0,1,0)</f>
        <v/>
      </c>
      <c r="AC843" s="19">
        <f>IF(LEN(A843)=0,0,(LEN(B843)=0)+(LEN(C843)=0)+(LEN(D843)=0)+(LEN(E843)=0)+(LEN(F843)=0)+(LEN(G843)=0)+(LEN(H843)=0)+(LEN(I843)=0)+(LEN(J843)=0)+(LEN(K843)=0)+(LEN(L843)=0)+(LEN(N843)=0)+(LEN(O843)=0)+(LEN(P843)=0)+(LEN(R843)=0)+(LEN(AA843)=0))</f>
        <v/>
      </c>
      <c r="AD843" s="19">
        <f>IF(OR(LEN(A843)=0,LEN(C843)=0),0,IF(OR(C843&lt;1,C843&gt;5),1,0))</f>
        <v/>
      </c>
      <c r="AE843" s="19">
        <f>IF(OR(LEN(A843)=0,LEN(R843)=0),0,IF(OR(R843="Active",R843="Paid off",R843="Defaulted",R843="Repossessed",R843="Written off",R843="Restructured"),0,1))</f>
        <v/>
      </c>
      <c r="AF843" s="19">
        <f>IF(A843="",0,IF(N(J843)&gt;N(I843),1,0))</f>
        <v/>
      </c>
      <c r="AG843" s="19">
        <f>IF(A843="",0,IF(N(N843)&gt;N(M843)+1,1,0))</f>
        <v/>
      </c>
      <c r="AH843" s="19">
        <f>IF(A843="",0,IF(N(E843)&gt;N(B843),1,0))</f>
        <v/>
      </c>
      <c r="AI843" s="19">
        <f>IF(A843="",0,IF(AND(Z843="Full payment",N(N843)&lt;N(M843)-1),1,0))</f>
        <v/>
      </c>
      <c r="AJ843" s="19">
        <f>IF(A843="",0,IF(N(P843)&lt;0,1,0))</f>
        <v/>
      </c>
      <c r="AK843" s="19">
        <f>IF(A843="",0,IF(COUNTIF($A$7:$A$1006,A843)&gt;1,1,0))</f>
        <v/>
      </c>
    </row>
    <row r="844">
      <c r="A844" s="10" t="n"/>
      <c r="B844" s="17" t="n"/>
      <c r="C844" s="18" t="n"/>
      <c r="D844" s="10" t="n"/>
      <c r="E844" s="17" t="n"/>
      <c r="F844" s="10" t="n"/>
      <c r="G844" s="10" t="n"/>
      <c r="H844" s="10" t="n"/>
      <c r="I844" s="18" t="n"/>
      <c r="J844" s="18" t="n"/>
      <c r="K844" s="18" t="n"/>
      <c r="L844" s="18" t="n"/>
      <c r="M844" s="19">
        <f>IF(K844="","",K844*365/12*L844)</f>
        <v/>
      </c>
      <c r="N844" s="18" t="n"/>
      <c r="O844" s="18" t="n"/>
      <c r="P844" s="18" t="n"/>
      <c r="Q844" s="18" t="n"/>
      <c r="R844" s="10" t="n"/>
      <c r="S844" s="17" t="n"/>
      <c r="T844" s="18" t="n"/>
      <c r="U844" s="17" t="n"/>
      <c r="V844" s="17" t="n"/>
      <c r="W844" s="18" t="n"/>
      <c r="X844" s="18" t="n"/>
      <c r="Y844" s="17" t="n"/>
      <c r="Z844" s="10" t="n"/>
      <c r="AA844" s="10" t="n"/>
      <c r="AB844" s="19">
        <f>IF(LEN(A844)&gt;0,1,0)</f>
        <v/>
      </c>
      <c r="AC844" s="19">
        <f>IF(LEN(A844)=0,0,(LEN(B844)=0)+(LEN(C844)=0)+(LEN(D844)=0)+(LEN(E844)=0)+(LEN(F844)=0)+(LEN(G844)=0)+(LEN(H844)=0)+(LEN(I844)=0)+(LEN(J844)=0)+(LEN(K844)=0)+(LEN(L844)=0)+(LEN(N844)=0)+(LEN(O844)=0)+(LEN(P844)=0)+(LEN(R844)=0)+(LEN(AA844)=0))</f>
        <v/>
      </c>
      <c r="AD844" s="19">
        <f>IF(OR(LEN(A844)=0,LEN(C844)=0),0,IF(OR(C844&lt;1,C844&gt;5),1,0))</f>
        <v/>
      </c>
      <c r="AE844" s="19">
        <f>IF(OR(LEN(A844)=0,LEN(R844)=0),0,IF(OR(R844="Active",R844="Paid off",R844="Defaulted",R844="Repossessed",R844="Written off",R844="Restructured"),0,1))</f>
        <v/>
      </c>
      <c r="AF844" s="19">
        <f>IF(A844="",0,IF(N(J844)&gt;N(I844),1,0))</f>
        <v/>
      </c>
      <c r="AG844" s="19">
        <f>IF(A844="",0,IF(N(N844)&gt;N(M844)+1,1,0))</f>
        <v/>
      </c>
      <c r="AH844" s="19">
        <f>IF(A844="",0,IF(N(E844)&gt;N(B844),1,0))</f>
        <v/>
      </c>
      <c r="AI844" s="19">
        <f>IF(A844="",0,IF(AND(Z844="Full payment",N(N844)&lt;N(M844)-1),1,0))</f>
        <v/>
      </c>
      <c r="AJ844" s="19">
        <f>IF(A844="",0,IF(N(P844)&lt;0,1,0))</f>
        <v/>
      </c>
      <c r="AK844" s="19">
        <f>IF(A844="",0,IF(COUNTIF($A$7:$A$1006,A844)&gt;1,1,0))</f>
        <v/>
      </c>
    </row>
    <row r="845">
      <c r="A845" s="10" t="n"/>
      <c r="B845" s="17" t="n"/>
      <c r="C845" s="18" t="n"/>
      <c r="D845" s="10" t="n"/>
      <c r="E845" s="17" t="n"/>
      <c r="F845" s="10" t="n"/>
      <c r="G845" s="10" t="n"/>
      <c r="H845" s="10" t="n"/>
      <c r="I845" s="18" t="n"/>
      <c r="J845" s="18" t="n"/>
      <c r="K845" s="18" t="n"/>
      <c r="L845" s="18" t="n"/>
      <c r="M845" s="19">
        <f>IF(K845="","",K845*365/12*L845)</f>
        <v/>
      </c>
      <c r="N845" s="18" t="n"/>
      <c r="O845" s="18" t="n"/>
      <c r="P845" s="18" t="n"/>
      <c r="Q845" s="18" t="n"/>
      <c r="R845" s="10" t="n"/>
      <c r="S845" s="17" t="n"/>
      <c r="T845" s="18" t="n"/>
      <c r="U845" s="17" t="n"/>
      <c r="V845" s="17" t="n"/>
      <c r="W845" s="18" t="n"/>
      <c r="X845" s="18" t="n"/>
      <c r="Y845" s="17" t="n"/>
      <c r="Z845" s="10" t="n"/>
      <c r="AA845" s="10" t="n"/>
      <c r="AB845" s="19">
        <f>IF(LEN(A845)&gt;0,1,0)</f>
        <v/>
      </c>
      <c r="AC845" s="19">
        <f>IF(LEN(A845)=0,0,(LEN(B845)=0)+(LEN(C845)=0)+(LEN(D845)=0)+(LEN(E845)=0)+(LEN(F845)=0)+(LEN(G845)=0)+(LEN(H845)=0)+(LEN(I845)=0)+(LEN(J845)=0)+(LEN(K845)=0)+(LEN(L845)=0)+(LEN(N845)=0)+(LEN(O845)=0)+(LEN(P845)=0)+(LEN(R845)=0)+(LEN(AA845)=0))</f>
        <v/>
      </c>
      <c r="AD845" s="19">
        <f>IF(OR(LEN(A845)=0,LEN(C845)=0),0,IF(OR(C845&lt;1,C845&gt;5),1,0))</f>
        <v/>
      </c>
      <c r="AE845" s="19">
        <f>IF(OR(LEN(A845)=0,LEN(R845)=0),0,IF(OR(R845="Active",R845="Paid off",R845="Defaulted",R845="Repossessed",R845="Written off",R845="Restructured"),0,1))</f>
        <v/>
      </c>
      <c r="AF845" s="19">
        <f>IF(A845="",0,IF(N(J845)&gt;N(I845),1,0))</f>
        <v/>
      </c>
      <c r="AG845" s="19">
        <f>IF(A845="",0,IF(N(N845)&gt;N(M845)+1,1,0))</f>
        <v/>
      </c>
      <c r="AH845" s="19">
        <f>IF(A845="",0,IF(N(E845)&gt;N(B845),1,0))</f>
        <v/>
      </c>
      <c r="AI845" s="19">
        <f>IF(A845="",0,IF(AND(Z845="Full payment",N(N845)&lt;N(M845)-1),1,0))</f>
        <v/>
      </c>
      <c r="AJ845" s="19">
        <f>IF(A845="",0,IF(N(P845)&lt;0,1,0))</f>
        <v/>
      </c>
      <c r="AK845" s="19">
        <f>IF(A845="",0,IF(COUNTIF($A$7:$A$1006,A845)&gt;1,1,0))</f>
        <v/>
      </c>
    </row>
    <row r="846">
      <c r="A846" s="10" t="n"/>
      <c r="B846" s="17" t="n"/>
      <c r="C846" s="18" t="n"/>
      <c r="D846" s="10" t="n"/>
      <c r="E846" s="17" t="n"/>
      <c r="F846" s="10" t="n"/>
      <c r="G846" s="10" t="n"/>
      <c r="H846" s="10" t="n"/>
      <c r="I846" s="18" t="n"/>
      <c r="J846" s="18" t="n"/>
      <c r="K846" s="18" t="n"/>
      <c r="L846" s="18" t="n"/>
      <c r="M846" s="19">
        <f>IF(K846="","",K846*365/12*L846)</f>
        <v/>
      </c>
      <c r="N846" s="18" t="n"/>
      <c r="O846" s="18" t="n"/>
      <c r="P846" s="18" t="n"/>
      <c r="Q846" s="18" t="n"/>
      <c r="R846" s="10" t="n"/>
      <c r="S846" s="17" t="n"/>
      <c r="T846" s="18" t="n"/>
      <c r="U846" s="17" t="n"/>
      <c r="V846" s="17" t="n"/>
      <c r="W846" s="18" t="n"/>
      <c r="X846" s="18" t="n"/>
      <c r="Y846" s="17" t="n"/>
      <c r="Z846" s="10" t="n"/>
      <c r="AA846" s="10" t="n"/>
      <c r="AB846" s="19">
        <f>IF(LEN(A846)&gt;0,1,0)</f>
        <v/>
      </c>
      <c r="AC846" s="19">
        <f>IF(LEN(A846)=0,0,(LEN(B846)=0)+(LEN(C846)=0)+(LEN(D846)=0)+(LEN(E846)=0)+(LEN(F846)=0)+(LEN(G846)=0)+(LEN(H846)=0)+(LEN(I846)=0)+(LEN(J846)=0)+(LEN(K846)=0)+(LEN(L846)=0)+(LEN(N846)=0)+(LEN(O846)=0)+(LEN(P846)=0)+(LEN(R846)=0)+(LEN(AA846)=0))</f>
        <v/>
      </c>
      <c r="AD846" s="19">
        <f>IF(OR(LEN(A846)=0,LEN(C846)=0),0,IF(OR(C846&lt;1,C846&gt;5),1,0))</f>
        <v/>
      </c>
      <c r="AE846" s="19">
        <f>IF(OR(LEN(A846)=0,LEN(R846)=0),0,IF(OR(R846="Active",R846="Paid off",R846="Defaulted",R846="Repossessed",R846="Written off",R846="Restructured"),0,1))</f>
        <v/>
      </c>
      <c r="AF846" s="19">
        <f>IF(A846="",0,IF(N(J846)&gt;N(I846),1,0))</f>
        <v/>
      </c>
      <c r="AG846" s="19">
        <f>IF(A846="",0,IF(N(N846)&gt;N(M846)+1,1,0))</f>
        <v/>
      </c>
      <c r="AH846" s="19">
        <f>IF(A846="",0,IF(N(E846)&gt;N(B846),1,0))</f>
        <v/>
      </c>
      <c r="AI846" s="19">
        <f>IF(A846="",0,IF(AND(Z846="Full payment",N(N846)&lt;N(M846)-1),1,0))</f>
        <v/>
      </c>
      <c r="AJ846" s="19">
        <f>IF(A846="",0,IF(N(P846)&lt;0,1,0))</f>
        <v/>
      </c>
      <c r="AK846" s="19">
        <f>IF(A846="",0,IF(COUNTIF($A$7:$A$1006,A846)&gt;1,1,0))</f>
        <v/>
      </c>
    </row>
    <row r="847">
      <c r="A847" s="10" t="n"/>
      <c r="B847" s="17" t="n"/>
      <c r="C847" s="18" t="n"/>
      <c r="D847" s="10" t="n"/>
      <c r="E847" s="17" t="n"/>
      <c r="F847" s="10" t="n"/>
      <c r="G847" s="10" t="n"/>
      <c r="H847" s="10" t="n"/>
      <c r="I847" s="18" t="n"/>
      <c r="J847" s="18" t="n"/>
      <c r="K847" s="18" t="n"/>
      <c r="L847" s="18" t="n"/>
      <c r="M847" s="19">
        <f>IF(K847="","",K847*365/12*L847)</f>
        <v/>
      </c>
      <c r="N847" s="18" t="n"/>
      <c r="O847" s="18" t="n"/>
      <c r="P847" s="18" t="n"/>
      <c r="Q847" s="18" t="n"/>
      <c r="R847" s="10" t="n"/>
      <c r="S847" s="17" t="n"/>
      <c r="T847" s="18" t="n"/>
      <c r="U847" s="17" t="n"/>
      <c r="V847" s="17" t="n"/>
      <c r="W847" s="18" t="n"/>
      <c r="X847" s="18" t="n"/>
      <c r="Y847" s="17" t="n"/>
      <c r="Z847" s="10" t="n"/>
      <c r="AA847" s="10" t="n"/>
      <c r="AB847" s="19">
        <f>IF(LEN(A847)&gt;0,1,0)</f>
        <v/>
      </c>
      <c r="AC847" s="19">
        <f>IF(LEN(A847)=0,0,(LEN(B847)=0)+(LEN(C847)=0)+(LEN(D847)=0)+(LEN(E847)=0)+(LEN(F847)=0)+(LEN(G847)=0)+(LEN(H847)=0)+(LEN(I847)=0)+(LEN(J847)=0)+(LEN(K847)=0)+(LEN(L847)=0)+(LEN(N847)=0)+(LEN(O847)=0)+(LEN(P847)=0)+(LEN(R847)=0)+(LEN(AA847)=0))</f>
        <v/>
      </c>
      <c r="AD847" s="19">
        <f>IF(OR(LEN(A847)=0,LEN(C847)=0),0,IF(OR(C847&lt;1,C847&gt;5),1,0))</f>
        <v/>
      </c>
      <c r="AE847" s="19">
        <f>IF(OR(LEN(A847)=0,LEN(R847)=0),0,IF(OR(R847="Active",R847="Paid off",R847="Defaulted",R847="Repossessed",R847="Written off",R847="Restructured"),0,1))</f>
        <v/>
      </c>
      <c r="AF847" s="19">
        <f>IF(A847="",0,IF(N(J847)&gt;N(I847),1,0))</f>
        <v/>
      </c>
      <c r="AG847" s="19">
        <f>IF(A847="",0,IF(N(N847)&gt;N(M847)+1,1,0))</f>
        <v/>
      </c>
      <c r="AH847" s="19">
        <f>IF(A847="",0,IF(N(E847)&gt;N(B847),1,0))</f>
        <v/>
      </c>
      <c r="AI847" s="19">
        <f>IF(A847="",0,IF(AND(Z847="Full payment",N(N847)&lt;N(M847)-1),1,0))</f>
        <v/>
      </c>
      <c r="AJ847" s="19">
        <f>IF(A847="",0,IF(N(P847)&lt;0,1,0))</f>
        <v/>
      </c>
      <c r="AK847" s="19">
        <f>IF(A847="",0,IF(COUNTIF($A$7:$A$1006,A847)&gt;1,1,0))</f>
        <v/>
      </c>
    </row>
    <row r="848">
      <c r="A848" s="10" t="n"/>
      <c r="B848" s="17" t="n"/>
      <c r="C848" s="18" t="n"/>
      <c r="D848" s="10" t="n"/>
      <c r="E848" s="17" t="n"/>
      <c r="F848" s="10" t="n"/>
      <c r="G848" s="10" t="n"/>
      <c r="H848" s="10" t="n"/>
      <c r="I848" s="18" t="n"/>
      <c r="J848" s="18" t="n"/>
      <c r="K848" s="18" t="n"/>
      <c r="L848" s="18" t="n"/>
      <c r="M848" s="19">
        <f>IF(K848="","",K848*365/12*L848)</f>
        <v/>
      </c>
      <c r="N848" s="18" t="n"/>
      <c r="O848" s="18" t="n"/>
      <c r="P848" s="18" t="n"/>
      <c r="Q848" s="18" t="n"/>
      <c r="R848" s="10" t="n"/>
      <c r="S848" s="17" t="n"/>
      <c r="T848" s="18" t="n"/>
      <c r="U848" s="17" t="n"/>
      <c r="V848" s="17" t="n"/>
      <c r="W848" s="18" t="n"/>
      <c r="X848" s="18" t="n"/>
      <c r="Y848" s="17" t="n"/>
      <c r="Z848" s="10" t="n"/>
      <c r="AA848" s="10" t="n"/>
      <c r="AB848" s="19">
        <f>IF(LEN(A848)&gt;0,1,0)</f>
        <v/>
      </c>
      <c r="AC848" s="19">
        <f>IF(LEN(A848)=0,0,(LEN(B848)=0)+(LEN(C848)=0)+(LEN(D848)=0)+(LEN(E848)=0)+(LEN(F848)=0)+(LEN(G848)=0)+(LEN(H848)=0)+(LEN(I848)=0)+(LEN(J848)=0)+(LEN(K848)=0)+(LEN(L848)=0)+(LEN(N848)=0)+(LEN(O848)=0)+(LEN(P848)=0)+(LEN(R848)=0)+(LEN(AA848)=0))</f>
        <v/>
      </c>
      <c r="AD848" s="19">
        <f>IF(OR(LEN(A848)=0,LEN(C848)=0),0,IF(OR(C848&lt;1,C848&gt;5),1,0))</f>
        <v/>
      </c>
      <c r="AE848" s="19">
        <f>IF(OR(LEN(A848)=0,LEN(R848)=0),0,IF(OR(R848="Active",R848="Paid off",R848="Defaulted",R848="Repossessed",R848="Written off",R848="Restructured"),0,1))</f>
        <v/>
      </c>
      <c r="AF848" s="19">
        <f>IF(A848="",0,IF(N(J848)&gt;N(I848),1,0))</f>
        <v/>
      </c>
      <c r="AG848" s="19">
        <f>IF(A848="",0,IF(N(N848)&gt;N(M848)+1,1,0))</f>
        <v/>
      </c>
      <c r="AH848" s="19">
        <f>IF(A848="",0,IF(N(E848)&gt;N(B848),1,0))</f>
        <v/>
      </c>
      <c r="AI848" s="19">
        <f>IF(A848="",0,IF(AND(Z848="Full payment",N(N848)&lt;N(M848)-1),1,0))</f>
        <v/>
      </c>
      <c r="AJ848" s="19">
        <f>IF(A848="",0,IF(N(P848)&lt;0,1,0))</f>
        <v/>
      </c>
      <c r="AK848" s="19">
        <f>IF(A848="",0,IF(COUNTIF($A$7:$A$1006,A848)&gt;1,1,0))</f>
        <v/>
      </c>
    </row>
    <row r="849">
      <c r="A849" s="10" t="n"/>
      <c r="B849" s="17" t="n"/>
      <c r="C849" s="18" t="n"/>
      <c r="D849" s="10" t="n"/>
      <c r="E849" s="17" t="n"/>
      <c r="F849" s="10" t="n"/>
      <c r="G849" s="10" t="n"/>
      <c r="H849" s="10" t="n"/>
      <c r="I849" s="18" t="n"/>
      <c r="J849" s="18" t="n"/>
      <c r="K849" s="18" t="n"/>
      <c r="L849" s="18" t="n"/>
      <c r="M849" s="19">
        <f>IF(K849="","",K849*365/12*L849)</f>
        <v/>
      </c>
      <c r="N849" s="18" t="n"/>
      <c r="O849" s="18" t="n"/>
      <c r="P849" s="18" t="n"/>
      <c r="Q849" s="18" t="n"/>
      <c r="R849" s="10" t="n"/>
      <c r="S849" s="17" t="n"/>
      <c r="T849" s="18" t="n"/>
      <c r="U849" s="17" t="n"/>
      <c r="V849" s="17" t="n"/>
      <c r="W849" s="18" t="n"/>
      <c r="X849" s="18" t="n"/>
      <c r="Y849" s="17" t="n"/>
      <c r="Z849" s="10" t="n"/>
      <c r="AA849" s="10" t="n"/>
      <c r="AB849" s="19">
        <f>IF(LEN(A849)&gt;0,1,0)</f>
        <v/>
      </c>
      <c r="AC849" s="19">
        <f>IF(LEN(A849)=0,0,(LEN(B849)=0)+(LEN(C849)=0)+(LEN(D849)=0)+(LEN(E849)=0)+(LEN(F849)=0)+(LEN(G849)=0)+(LEN(H849)=0)+(LEN(I849)=0)+(LEN(J849)=0)+(LEN(K849)=0)+(LEN(L849)=0)+(LEN(N849)=0)+(LEN(O849)=0)+(LEN(P849)=0)+(LEN(R849)=0)+(LEN(AA849)=0))</f>
        <v/>
      </c>
      <c r="AD849" s="19">
        <f>IF(OR(LEN(A849)=0,LEN(C849)=0),0,IF(OR(C849&lt;1,C849&gt;5),1,0))</f>
        <v/>
      </c>
      <c r="AE849" s="19">
        <f>IF(OR(LEN(A849)=0,LEN(R849)=0),0,IF(OR(R849="Active",R849="Paid off",R849="Defaulted",R849="Repossessed",R849="Written off",R849="Restructured"),0,1))</f>
        <v/>
      </c>
      <c r="AF849" s="19">
        <f>IF(A849="",0,IF(N(J849)&gt;N(I849),1,0))</f>
        <v/>
      </c>
      <c r="AG849" s="19">
        <f>IF(A849="",0,IF(N(N849)&gt;N(M849)+1,1,0))</f>
        <v/>
      </c>
      <c r="AH849" s="19">
        <f>IF(A849="",0,IF(N(E849)&gt;N(B849),1,0))</f>
        <v/>
      </c>
      <c r="AI849" s="19">
        <f>IF(A849="",0,IF(AND(Z849="Full payment",N(N849)&lt;N(M849)-1),1,0))</f>
        <v/>
      </c>
      <c r="AJ849" s="19">
        <f>IF(A849="",0,IF(N(P849)&lt;0,1,0))</f>
        <v/>
      </c>
      <c r="AK849" s="19">
        <f>IF(A849="",0,IF(COUNTIF($A$7:$A$1006,A849)&gt;1,1,0))</f>
        <v/>
      </c>
    </row>
    <row r="850">
      <c r="A850" s="10" t="n"/>
      <c r="B850" s="17" t="n"/>
      <c r="C850" s="18" t="n"/>
      <c r="D850" s="10" t="n"/>
      <c r="E850" s="17" t="n"/>
      <c r="F850" s="10" t="n"/>
      <c r="G850" s="10" t="n"/>
      <c r="H850" s="10" t="n"/>
      <c r="I850" s="18" t="n"/>
      <c r="J850" s="18" t="n"/>
      <c r="K850" s="18" t="n"/>
      <c r="L850" s="18" t="n"/>
      <c r="M850" s="19">
        <f>IF(K850="","",K850*365/12*L850)</f>
        <v/>
      </c>
      <c r="N850" s="18" t="n"/>
      <c r="O850" s="18" t="n"/>
      <c r="P850" s="18" t="n"/>
      <c r="Q850" s="18" t="n"/>
      <c r="R850" s="10" t="n"/>
      <c r="S850" s="17" t="n"/>
      <c r="T850" s="18" t="n"/>
      <c r="U850" s="17" t="n"/>
      <c r="V850" s="17" t="n"/>
      <c r="W850" s="18" t="n"/>
      <c r="X850" s="18" t="n"/>
      <c r="Y850" s="17" t="n"/>
      <c r="Z850" s="10" t="n"/>
      <c r="AA850" s="10" t="n"/>
      <c r="AB850" s="19">
        <f>IF(LEN(A850)&gt;0,1,0)</f>
        <v/>
      </c>
      <c r="AC850" s="19">
        <f>IF(LEN(A850)=0,0,(LEN(B850)=0)+(LEN(C850)=0)+(LEN(D850)=0)+(LEN(E850)=0)+(LEN(F850)=0)+(LEN(G850)=0)+(LEN(H850)=0)+(LEN(I850)=0)+(LEN(J850)=0)+(LEN(K850)=0)+(LEN(L850)=0)+(LEN(N850)=0)+(LEN(O850)=0)+(LEN(P850)=0)+(LEN(R850)=0)+(LEN(AA850)=0))</f>
        <v/>
      </c>
      <c r="AD850" s="19">
        <f>IF(OR(LEN(A850)=0,LEN(C850)=0),0,IF(OR(C850&lt;1,C850&gt;5),1,0))</f>
        <v/>
      </c>
      <c r="AE850" s="19">
        <f>IF(OR(LEN(A850)=0,LEN(R850)=0),0,IF(OR(R850="Active",R850="Paid off",R850="Defaulted",R850="Repossessed",R850="Written off",R850="Restructured"),0,1))</f>
        <v/>
      </c>
      <c r="AF850" s="19">
        <f>IF(A850="",0,IF(N(J850)&gt;N(I850),1,0))</f>
        <v/>
      </c>
      <c r="AG850" s="19">
        <f>IF(A850="",0,IF(N(N850)&gt;N(M850)+1,1,0))</f>
        <v/>
      </c>
      <c r="AH850" s="19">
        <f>IF(A850="",0,IF(N(E850)&gt;N(B850),1,0))</f>
        <v/>
      </c>
      <c r="AI850" s="19">
        <f>IF(A850="",0,IF(AND(Z850="Full payment",N(N850)&lt;N(M850)-1),1,0))</f>
        <v/>
      </c>
      <c r="AJ850" s="19">
        <f>IF(A850="",0,IF(N(P850)&lt;0,1,0))</f>
        <v/>
      </c>
      <c r="AK850" s="19">
        <f>IF(A850="",0,IF(COUNTIF($A$7:$A$1006,A850)&gt;1,1,0))</f>
        <v/>
      </c>
    </row>
    <row r="851">
      <c r="A851" s="10" t="n"/>
      <c r="B851" s="17" t="n"/>
      <c r="C851" s="18" t="n"/>
      <c r="D851" s="10" t="n"/>
      <c r="E851" s="17" t="n"/>
      <c r="F851" s="10" t="n"/>
      <c r="G851" s="10" t="n"/>
      <c r="H851" s="10" t="n"/>
      <c r="I851" s="18" t="n"/>
      <c r="J851" s="18" t="n"/>
      <c r="K851" s="18" t="n"/>
      <c r="L851" s="18" t="n"/>
      <c r="M851" s="19">
        <f>IF(K851="","",K851*365/12*L851)</f>
        <v/>
      </c>
      <c r="N851" s="18" t="n"/>
      <c r="O851" s="18" t="n"/>
      <c r="P851" s="18" t="n"/>
      <c r="Q851" s="18" t="n"/>
      <c r="R851" s="10" t="n"/>
      <c r="S851" s="17" t="n"/>
      <c r="T851" s="18" t="n"/>
      <c r="U851" s="17" t="n"/>
      <c r="V851" s="17" t="n"/>
      <c r="W851" s="18" t="n"/>
      <c r="X851" s="18" t="n"/>
      <c r="Y851" s="17" t="n"/>
      <c r="Z851" s="10" t="n"/>
      <c r="AA851" s="10" t="n"/>
      <c r="AB851" s="19">
        <f>IF(LEN(A851)&gt;0,1,0)</f>
        <v/>
      </c>
      <c r="AC851" s="19">
        <f>IF(LEN(A851)=0,0,(LEN(B851)=0)+(LEN(C851)=0)+(LEN(D851)=0)+(LEN(E851)=0)+(LEN(F851)=0)+(LEN(G851)=0)+(LEN(H851)=0)+(LEN(I851)=0)+(LEN(J851)=0)+(LEN(K851)=0)+(LEN(L851)=0)+(LEN(N851)=0)+(LEN(O851)=0)+(LEN(P851)=0)+(LEN(R851)=0)+(LEN(AA851)=0))</f>
        <v/>
      </c>
      <c r="AD851" s="19">
        <f>IF(OR(LEN(A851)=0,LEN(C851)=0),0,IF(OR(C851&lt;1,C851&gt;5),1,0))</f>
        <v/>
      </c>
      <c r="AE851" s="19">
        <f>IF(OR(LEN(A851)=0,LEN(R851)=0),0,IF(OR(R851="Active",R851="Paid off",R851="Defaulted",R851="Repossessed",R851="Written off",R851="Restructured"),0,1))</f>
        <v/>
      </c>
      <c r="AF851" s="19">
        <f>IF(A851="",0,IF(N(J851)&gt;N(I851),1,0))</f>
        <v/>
      </c>
      <c r="AG851" s="19">
        <f>IF(A851="",0,IF(N(N851)&gt;N(M851)+1,1,0))</f>
        <v/>
      </c>
      <c r="AH851" s="19">
        <f>IF(A851="",0,IF(N(E851)&gt;N(B851),1,0))</f>
        <v/>
      </c>
      <c r="AI851" s="19">
        <f>IF(A851="",0,IF(AND(Z851="Full payment",N(N851)&lt;N(M851)-1),1,0))</f>
        <v/>
      </c>
      <c r="AJ851" s="19">
        <f>IF(A851="",0,IF(N(P851)&lt;0,1,0))</f>
        <v/>
      </c>
      <c r="AK851" s="19">
        <f>IF(A851="",0,IF(COUNTIF($A$7:$A$1006,A851)&gt;1,1,0))</f>
        <v/>
      </c>
    </row>
    <row r="852">
      <c r="A852" s="10" t="n"/>
      <c r="B852" s="17" t="n"/>
      <c r="C852" s="18" t="n"/>
      <c r="D852" s="10" t="n"/>
      <c r="E852" s="17" t="n"/>
      <c r="F852" s="10" t="n"/>
      <c r="G852" s="10" t="n"/>
      <c r="H852" s="10" t="n"/>
      <c r="I852" s="18" t="n"/>
      <c r="J852" s="18" t="n"/>
      <c r="K852" s="18" t="n"/>
      <c r="L852" s="18" t="n"/>
      <c r="M852" s="19">
        <f>IF(K852="","",K852*365/12*L852)</f>
        <v/>
      </c>
      <c r="N852" s="18" t="n"/>
      <c r="O852" s="18" t="n"/>
      <c r="P852" s="18" t="n"/>
      <c r="Q852" s="18" t="n"/>
      <c r="R852" s="10" t="n"/>
      <c r="S852" s="17" t="n"/>
      <c r="T852" s="18" t="n"/>
      <c r="U852" s="17" t="n"/>
      <c r="V852" s="17" t="n"/>
      <c r="W852" s="18" t="n"/>
      <c r="X852" s="18" t="n"/>
      <c r="Y852" s="17" t="n"/>
      <c r="Z852" s="10" t="n"/>
      <c r="AA852" s="10" t="n"/>
      <c r="AB852" s="19">
        <f>IF(LEN(A852)&gt;0,1,0)</f>
        <v/>
      </c>
      <c r="AC852" s="19">
        <f>IF(LEN(A852)=0,0,(LEN(B852)=0)+(LEN(C852)=0)+(LEN(D852)=0)+(LEN(E852)=0)+(LEN(F852)=0)+(LEN(G852)=0)+(LEN(H852)=0)+(LEN(I852)=0)+(LEN(J852)=0)+(LEN(K852)=0)+(LEN(L852)=0)+(LEN(N852)=0)+(LEN(O852)=0)+(LEN(P852)=0)+(LEN(R852)=0)+(LEN(AA852)=0))</f>
        <v/>
      </c>
      <c r="AD852" s="19">
        <f>IF(OR(LEN(A852)=0,LEN(C852)=0),0,IF(OR(C852&lt;1,C852&gt;5),1,0))</f>
        <v/>
      </c>
      <c r="AE852" s="19">
        <f>IF(OR(LEN(A852)=0,LEN(R852)=0),0,IF(OR(R852="Active",R852="Paid off",R852="Defaulted",R852="Repossessed",R852="Written off",R852="Restructured"),0,1))</f>
        <v/>
      </c>
      <c r="AF852" s="19">
        <f>IF(A852="",0,IF(N(J852)&gt;N(I852),1,0))</f>
        <v/>
      </c>
      <c r="AG852" s="19">
        <f>IF(A852="",0,IF(N(N852)&gt;N(M852)+1,1,0))</f>
        <v/>
      </c>
      <c r="AH852" s="19">
        <f>IF(A852="",0,IF(N(E852)&gt;N(B852),1,0))</f>
        <v/>
      </c>
      <c r="AI852" s="19">
        <f>IF(A852="",0,IF(AND(Z852="Full payment",N(N852)&lt;N(M852)-1),1,0))</f>
        <v/>
      </c>
      <c r="AJ852" s="19">
        <f>IF(A852="",0,IF(N(P852)&lt;0,1,0))</f>
        <v/>
      </c>
      <c r="AK852" s="19">
        <f>IF(A852="",0,IF(COUNTIF($A$7:$A$1006,A852)&gt;1,1,0))</f>
        <v/>
      </c>
    </row>
    <row r="853">
      <c r="A853" s="10" t="n"/>
      <c r="B853" s="17" t="n"/>
      <c r="C853" s="18" t="n"/>
      <c r="D853" s="10" t="n"/>
      <c r="E853" s="17" t="n"/>
      <c r="F853" s="10" t="n"/>
      <c r="G853" s="10" t="n"/>
      <c r="H853" s="10" t="n"/>
      <c r="I853" s="18" t="n"/>
      <c r="J853" s="18" t="n"/>
      <c r="K853" s="18" t="n"/>
      <c r="L853" s="18" t="n"/>
      <c r="M853" s="19">
        <f>IF(K853="","",K853*365/12*L853)</f>
        <v/>
      </c>
      <c r="N853" s="18" t="n"/>
      <c r="O853" s="18" t="n"/>
      <c r="P853" s="18" t="n"/>
      <c r="Q853" s="18" t="n"/>
      <c r="R853" s="10" t="n"/>
      <c r="S853" s="17" t="n"/>
      <c r="T853" s="18" t="n"/>
      <c r="U853" s="17" t="n"/>
      <c r="V853" s="17" t="n"/>
      <c r="W853" s="18" t="n"/>
      <c r="X853" s="18" t="n"/>
      <c r="Y853" s="17" t="n"/>
      <c r="Z853" s="10" t="n"/>
      <c r="AA853" s="10" t="n"/>
      <c r="AB853" s="19">
        <f>IF(LEN(A853)&gt;0,1,0)</f>
        <v/>
      </c>
      <c r="AC853" s="19">
        <f>IF(LEN(A853)=0,0,(LEN(B853)=0)+(LEN(C853)=0)+(LEN(D853)=0)+(LEN(E853)=0)+(LEN(F853)=0)+(LEN(G853)=0)+(LEN(H853)=0)+(LEN(I853)=0)+(LEN(J853)=0)+(LEN(K853)=0)+(LEN(L853)=0)+(LEN(N853)=0)+(LEN(O853)=0)+(LEN(P853)=0)+(LEN(R853)=0)+(LEN(AA853)=0))</f>
        <v/>
      </c>
      <c r="AD853" s="19">
        <f>IF(OR(LEN(A853)=0,LEN(C853)=0),0,IF(OR(C853&lt;1,C853&gt;5),1,0))</f>
        <v/>
      </c>
      <c r="AE853" s="19">
        <f>IF(OR(LEN(A853)=0,LEN(R853)=0),0,IF(OR(R853="Active",R853="Paid off",R853="Defaulted",R853="Repossessed",R853="Written off",R853="Restructured"),0,1))</f>
        <v/>
      </c>
      <c r="AF853" s="19">
        <f>IF(A853="",0,IF(N(J853)&gt;N(I853),1,0))</f>
        <v/>
      </c>
      <c r="AG853" s="19">
        <f>IF(A853="",0,IF(N(N853)&gt;N(M853)+1,1,0))</f>
        <v/>
      </c>
      <c r="AH853" s="19">
        <f>IF(A853="",0,IF(N(E853)&gt;N(B853),1,0))</f>
        <v/>
      </c>
      <c r="AI853" s="19">
        <f>IF(A853="",0,IF(AND(Z853="Full payment",N(N853)&lt;N(M853)-1),1,0))</f>
        <v/>
      </c>
      <c r="AJ853" s="19">
        <f>IF(A853="",0,IF(N(P853)&lt;0,1,0))</f>
        <v/>
      </c>
      <c r="AK853" s="19">
        <f>IF(A853="",0,IF(COUNTIF($A$7:$A$1006,A853)&gt;1,1,0))</f>
        <v/>
      </c>
    </row>
    <row r="854">
      <c r="A854" s="10" t="n"/>
      <c r="B854" s="17" t="n"/>
      <c r="C854" s="18" t="n"/>
      <c r="D854" s="10" t="n"/>
      <c r="E854" s="17" t="n"/>
      <c r="F854" s="10" t="n"/>
      <c r="G854" s="10" t="n"/>
      <c r="H854" s="10" t="n"/>
      <c r="I854" s="18" t="n"/>
      <c r="J854" s="18" t="n"/>
      <c r="K854" s="18" t="n"/>
      <c r="L854" s="18" t="n"/>
      <c r="M854" s="19">
        <f>IF(K854="","",K854*365/12*L854)</f>
        <v/>
      </c>
      <c r="N854" s="18" t="n"/>
      <c r="O854" s="18" t="n"/>
      <c r="P854" s="18" t="n"/>
      <c r="Q854" s="18" t="n"/>
      <c r="R854" s="10" t="n"/>
      <c r="S854" s="17" t="n"/>
      <c r="T854" s="18" t="n"/>
      <c r="U854" s="17" t="n"/>
      <c r="V854" s="17" t="n"/>
      <c r="W854" s="18" t="n"/>
      <c r="X854" s="18" t="n"/>
      <c r="Y854" s="17" t="n"/>
      <c r="Z854" s="10" t="n"/>
      <c r="AA854" s="10" t="n"/>
      <c r="AB854" s="19">
        <f>IF(LEN(A854)&gt;0,1,0)</f>
        <v/>
      </c>
      <c r="AC854" s="19">
        <f>IF(LEN(A854)=0,0,(LEN(B854)=0)+(LEN(C854)=0)+(LEN(D854)=0)+(LEN(E854)=0)+(LEN(F854)=0)+(LEN(G854)=0)+(LEN(H854)=0)+(LEN(I854)=0)+(LEN(J854)=0)+(LEN(K854)=0)+(LEN(L854)=0)+(LEN(N854)=0)+(LEN(O854)=0)+(LEN(P854)=0)+(LEN(R854)=0)+(LEN(AA854)=0))</f>
        <v/>
      </c>
      <c r="AD854" s="19">
        <f>IF(OR(LEN(A854)=0,LEN(C854)=0),0,IF(OR(C854&lt;1,C854&gt;5),1,0))</f>
        <v/>
      </c>
      <c r="AE854" s="19">
        <f>IF(OR(LEN(A854)=0,LEN(R854)=0),0,IF(OR(R854="Active",R854="Paid off",R854="Defaulted",R854="Repossessed",R854="Written off",R854="Restructured"),0,1))</f>
        <v/>
      </c>
      <c r="AF854" s="19">
        <f>IF(A854="",0,IF(N(J854)&gt;N(I854),1,0))</f>
        <v/>
      </c>
      <c r="AG854" s="19">
        <f>IF(A854="",0,IF(N(N854)&gt;N(M854)+1,1,0))</f>
        <v/>
      </c>
      <c r="AH854" s="19">
        <f>IF(A854="",0,IF(N(E854)&gt;N(B854),1,0))</f>
        <v/>
      </c>
      <c r="AI854" s="19">
        <f>IF(A854="",0,IF(AND(Z854="Full payment",N(N854)&lt;N(M854)-1),1,0))</f>
        <v/>
      </c>
      <c r="AJ854" s="19">
        <f>IF(A854="",0,IF(N(P854)&lt;0,1,0))</f>
        <v/>
      </c>
      <c r="AK854" s="19">
        <f>IF(A854="",0,IF(COUNTIF($A$7:$A$1006,A854)&gt;1,1,0))</f>
        <v/>
      </c>
    </row>
    <row r="855">
      <c r="A855" s="10" t="n"/>
      <c r="B855" s="17" t="n"/>
      <c r="C855" s="18" t="n"/>
      <c r="D855" s="10" t="n"/>
      <c r="E855" s="17" t="n"/>
      <c r="F855" s="10" t="n"/>
      <c r="G855" s="10" t="n"/>
      <c r="H855" s="10" t="n"/>
      <c r="I855" s="18" t="n"/>
      <c r="J855" s="18" t="n"/>
      <c r="K855" s="18" t="n"/>
      <c r="L855" s="18" t="n"/>
      <c r="M855" s="19">
        <f>IF(K855="","",K855*365/12*L855)</f>
        <v/>
      </c>
      <c r="N855" s="18" t="n"/>
      <c r="O855" s="18" t="n"/>
      <c r="P855" s="18" t="n"/>
      <c r="Q855" s="18" t="n"/>
      <c r="R855" s="10" t="n"/>
      <c r="S855" s="17" t="n"/>
      <c r="T855" s="18" t="n"/>
      <c r="U855" s="17" t="n"/>
      <c r="V855" s="17" t="n"/>
      <c r="W855" s="18" t="n"/>
      <c r="X855" s="18" t="n"/>
      <c r="Y855" s="17" t="n"/>
      <c r="Z855" s="10" t="n"/>
      <c r="AA855" s="10" t="n"/>
      <c r="AB855" s="19">
        <f>IF(LEN(A855)&gt;0,1,0)</f>
        <v/>
      </c>
      <c r="AC855" s="19">
        <f>IF(LEN(A855)=0,0,(LEN(B855)=0)+(LEN(C855)=0)+(LEN(D855)=0)+(LEN(E855)=0)+(LEN(F855)=0)+(LEN(G855)=0)+(LEN(H855)=0)+(LEN(I855)=0)+(LEN(J855)=0)+(LEN(K855)=0)+(LEN(L855)=0)+(LEN(N855)=0)+(LEN(O855)=0)+(LEN(P855)=0)+(LEN(R855)=0)+(LEN(AA855)=0))</f>
        <v/>
      </c>
      <c r="AD855" s="19">
        <f>IF(OR(LEN(A855)=0,LEN(C855)=0),0,IF(OR(C855&lt;1,C855&gt;5),1,0))</f>
        <v/>
      </c>
      <c r="AE855" s="19">
        <f>IF(OR(LEN(A855)=0,LEN(R855)=0),0,IF(OR(R855="Active",R855="Paid off",R855="Defaulted",R855="Repossessed",R855="Written off",R855="Restructured"),0,1))</f>
        <v/>
      </c>
      <c r="AF855" s="19">
        <f>IF(A855="",0,IF(N(J855)&gt;N(I855),1,0))</f>
        <v/>
      </c>
      <c r="AG855" s="19">
        <f>IF(A855="",0,IF(N(N855)&gt;N(M855)+1,1,0))</f>
        <v/>
      </c>
      <c r="AH855" s="19">
        <f>IF(A855="",0,IF(N(E855)&gt;N(B855),1,0))</f>
        <v/>
      </c>
      <c r="AI855" s="19">
        <f>IF(A855="",0,IF(AND(Z855="Full payment",N(N855)&lt;N(M855)-1),1,0))</f>
        <v/>
      </c>
      <c r="AJ855" s="19">
        <f>IF(A855="",0,IF(N(P855)&lt;0,1,0))</f>
        <v/>
      </c>
      <c r="AK855" s="19">
        <f>IF(A855="",0,IF(COUNTIF($A$7:$A$1006,A855)&gt;1,1,0))</f>
        <v/>
      </c>
    </row>
    <row r="856">
      <c r="A856" s="10" t="n"/>
      <c r="B856" s="17" t="n"/>
      <c r="C856" s="18" t="n"/>
      <c r="D856" s="10" t="n"/>
      <c r="E856" s="17" t="n"/>
      <c r="F856" s="10" t="n"/>
      <c r="G856" s="10" t="n"/>
      <c r="H856" s="10" t="n"/>
      <c r="I856" s="18" t="n"/>
      <c r="J856" s="18" t="n"/>
      <c r="K856" s="18" t="n"/>
      <c r="L856" s="18" t="n"/>
      <c r="M856" s="19">
        <f>IF(K856="","",K856*365/12*L856)</f>
        <v/>
      </c>
      <c r="N856" s="18" t="n"/>
      <c r="O856" s="18" t="n"/>
      <c r="P856" s="18" t="n"/>
      <c r="Q856" s="18" t="n"/>
      <c r="R856" s="10" t="n"/>
      <c r="S856" s="17" t="n"/>
      <c r="T856" s="18" t="n"/>
      <c r="U856" s="17" t="n"/>
      <c r="V856" s="17" t="n"/>
      <c r="W856" s="18" t="n"/>
      <c r="X856" s="18" t="n"/>
      <c r="Y856" s="17" t="n"/>
      <c r="Z856" s="10" t="n"/>
      <c r="AA856" s="10" t="n"/>
      <c r="AB856" s="19">
        <f>IF(LEN(A856)&gt;0,1,0)</f>
        <v/>
      </c>
      <c r="AC856" s="19">
        <f>IF(LEN(A856)=0,0,(LEN(B856)=0)+(LEN(C856)=0)+(LEN(D856)=0)+(LEN(E856)=0)+(LEN(F856)=0)+(LEN(G856)=0)+(LEN(H856)=0)+(LEN(I856)=0)+(LEN(J856)=0)+(LEN(K856)=0)+(LEN(L856)=0)+(LEN(N856)=0)+(LEN(O856)=0)+(LEN(P856)=0)+(LEN(R856)=0)+(LEN(AA856)=0))</f>
        <v/>
      </c>
      <c r="AD856" s="19">
        <f>IF(OR(LEN(A856)=0,LEN(C856)=0),0,IF(OR(C856&lt;1,C856&gt;5),1,0))</f>
        <v/>
      </c>
      <c r="AE856" s="19">
        <f>IF(OR(LEN(A856)=0,LEN(R856)=0),0,IF(OR(R856="Active",R856="Paid off",R856="Defaulted",R856="Repossessed",R856="Written off",R856="Restructured"),0,1))</f>
        <v/>
      </c>
      <c r="AF856" s="19">
        <f>IF(A856="",0,IF(N(J856)&gt;N(I856),1,0))</f>
        <v/>
      </c>
      <c r="AG856" s="19">
        <f>IF(A856="",0,IF(N(N856)&gt;N(M856)+1,1,0))</f>
        <v/>
      </c>
      <c r="AH856" s="19">
        <f>IF(A856="",0,IF(N(E856)&gt;N(B856),1,0))</f>
        <v/>
      </c>
      <c r="AI856" s="19">
        <f>IF(A856="",0,IF(AND(Z856="Full payment",N(N856)&lt;N(M856)-1),1,0))</f>
        <v/>
      </c>
      <c r="AJ856" s="19">
        <f>IF(A856="",0,IF(N(P856)&lt;0,1,0))</f>
        <v/>
      </c>
      <c r="AK856" s="19">
        <f>IF(A856="",0,IF(COUNTIF($A$7:$A$1006,A856)&gt;1,1,0))</f>
        <v/>
      </c>
    </row>
    <row r="857">
      <c r="A857" s="10" t="n"/>
      <c r="B857" s="17" t="n"/>
      <c r="C857" s="18" t="n"/>
      <c r="D857" s="10" t="n"/>
      <c r="E857" s="17" t="n"/>
      <c r="F857" s="10" t="n"/>
      <c r="G857" s="10" t="n"/>
      <c r="H857" s="10" t="n"/>
      <c r="I857" s="18" t="n"/>
      <c r="J857" s="18" t="n"/>
      <c r="K857" s="18" t="n"/>
      <c r="L857" s="18" t="n"/>
      <c r="M857" s="19">
        <f>IF(K857="","",K857*365/12*L857)</f>
        <v/>
      </c>
      <c r="N857" s="18" t="n"/>
      <c r="O857" s="18" t="n"/>
      <c r="P857" s="18" t="n"/>
      <c r="Q857" s="18" t="n"/>
      <c r="R857" s="10" t="n"/>
      <c r="S857" s="17" t="n"/>
      <c r="T857" s="18" t="n"/>
      <c r="U857" s="17" t="n"/>
      <c r="V857" s="17" t="n"/>
      <c r="W857" s="18" t="n"/>
      <c r="X857" s="18" t="n"/>
      <c r="Y857" s="17" t="n"/>
      <c r="Z857" s="10" t="n"/>
      <c r="AA857" s="10" t="n"/>
      <c r="AB857" s="19">
        <f>IF(LEN(A857)&gt;0,1,0)</f>
        <v/>
      </c>
      <c r="AC857" s="19">
        <f>IF(LEN(A857)=0,0,(LEN(B857)=0)+(LEN(C857)=0)+(LEN(D857)=0)+(LEN(E857)=0)+(LEN(F857)=0)+(LEN(G857)=0)+(LEN(H857)=0)+(LEN(I857)=0)+(LEN(J857)=0)+(LEN(K857)=0)+(LEN(L857)=0)+(LEN(N857)=0)+(LEN(O857)=0)+(LEN(P857)=0)+(LEN(R857)=0)+(LEN(AA857)=0))</f>
        <v/>
      </c>
      <c r="AD857" s="19">
        <f>IF(OR(LEN(A857)=0,LEN(C857)=0),0,IF(OR(C857&lt;1,C857&gt;5),1,0))</f>
        <v/>
      </c>
      <c r="AE857" s="19">
        <f>IF(OR(LEN(A857)=0,LEN(R857)=0),0,IF(OR(R857="Active",R857="Paid off",R857="Defaulted",R857="Repossessed",R857="Written off",R857="Restructured"),0,1))</f>
        <v/>
      </c>
      <c r="AF857" s="19">
        <f>IF(A857="",0,IF(N(J857)&gt;N(I857),1,0))</f>
        <v/>
      </c>
      <c r="AG857" s="19">
        <f>IF(A857="",0,IF(N(N857)&gt;N(M857)+1,1,0))</f>
        <v/>
      </c>
      <c r="AH857" s="19">
        <f>IF(A857="",0,IF(N(E857)&gt;N(B857),1,0))</f>
        <v/>
      </c>
      <c r="AI857" s="19">
        <f>IF(A857="",0,IF(AND(Z857="Full payment",N(N857)&lt;N(M857)-1),1,0))</f>
        <v/>
      </c>
      <c r="AJ857" s="19">
        <f>IF(A857="",0,IF(N(P857)&lt;0,1,0))</f>
        <v/>
      </c>
      <c r="AK857" s="19">
        <f>IF(A857="",0,IF(COUNTIF($A$7:$A$1006,A857)&gt;1,1,0))</f>
        <v/>
      </c>
    </row>
    <row r="858">
      <c r="A858" s="10" t="n"/>
      <c r="B858" s="17" t="n"/>
      <c r="C858" s="18" t="n"/>
      <c r="D858" s="10" t="n"/>
      <c r="E858" s="17" t="n"/>
      <c r="F858" s="10" t="n"/>
      <c r="G858" s="10" t="n"/>
      <c r="H858" s="10" t="n"/>
      <c r="I858" s="18" t="n"/>
      <c r="J858" s="18" t="n"/>
      <c r="K858" s="18" t="n"/>
      <c r="L858" s="18" t="n"/>
      <c r="M858" s="19">
        <f>IF(K858="","",K858*365/12*L858)</f>
        <v/>
      </c>
      <c r="N858" s="18" t="n"/>
      <c r="O858" s="18" t="n"/>
      <c r="P858" s="18" t="n"/>
      <c r="Q858" s="18" t="n"/>
      <c r="R858" s="10" t="n"/>
      <c r="S858" s="17" t="n"/>
      <c r="T858" s="18" t="n"/>
      <c r="U858" s="17" t="n"/>
      <c r="V858" s="17" t="n"/>
      <c r="W858" s="18" t="n"/>
      <c r="X858" s="18" t="n"/>
      <c r="Y858" s="17" t="n"/>
      <c r="Z858" s="10" t="n"/>
      <c r="AA858" s="10" t="n"/>
      <c r="AB858" s="19">
        <f>IF(LEN(A858)&gt;0,1,0)</f>
        <v/>
      </c>
      <c r="AC858" s="19">
        <f>IF(LEN(A858)=0,0,(LEN(B858)=0)+(LEN(C858)=0)+(LEN(D858)=0)+(LEN(E858)=0)+(LEN(F858)=0)+(LEN(G858)=0)+(LEN(H858)=0)+(LEN(I858)=0)+(LEN(J858)=0)+(LEN(K858)=0)+(LEN(L858)=0)+(LEN(N858)=0)+(LEN(O858)=0)+(LEN(P858)=0)+(LEN(R858)=0)+(LEN(AA858)=0))</f>
        <v/>
      </c>
      <c r="AD858" s="19">
        <f>IF(OR(LEN(A858)=0,LEN(C858)=0),0,IF(OR(C858&lt;1,C858&gt;5),1,0))</f>
        <v/>
      </c>
      <c r="AE858" s="19">
        <f>IF(OR(LEN(A858)=0,LEN(R858)=0),0,IF(OR(R858="Active",R858="Paid off",R858="Defaulted",R858="Repossessed",R858="Written off",R858="Restructured"),0,1))</f>
        <v/>
      </c>
      <c r="AF858" s="19">
        <f>IF(A858="",0,IF(N(J858)&gt;N(I858),1,0))</f>
        <v/>
      </c>
      <c r="AG858" s="19">
        <f>IF(A858="",0,IF(N(N858)&gt;N(M858)+1,1,0))</f>
        <v/>
      </c>
      <c r="AH858" s="19">
        <f>IF(A858="",0,IF(N(E858)&gt;N(B858),1,0))</f>
        <v/>
      </c>
      <c r="AI858" s="19">
        <f>IF(A858="",0,IF(AND(Z858="Full payment",N(N858)&lt;N(M858)-1),1,0))</f>
        <v/>
      </c>
      <c r="AJ858" s="19">
        <f>IF(A858="",0,IF(N(P858)&lt;0,1,0))</f>
        <v/>
      </c>
      <c r="AK858" s="19">
        <f>IF(A858="",0,IF(COUNTIF($A$7:$A$1006,A858)&gt;1,1,0))</f>
        <v/>
      </c>
    </row>
    <row r="859">
      <c r="A859" s="10" t="n"/>
      <c r="B859" s="17" t="n"/>
      <c r="C859" s="18" t="n"/>
      <c r="D859" s="10" t="n"/>
      <c r="E859" s="17" t="n"/>
      <c r="F859" s="10" t="n"/>
      <c r="G859" s="10" t="n"/>
      <c r="H859" s="10" t="n"/>
      <c r="I859" s="18" t="n"/>
      <c r="J859" s="18" t="n"/>
      <c r="K859" s="18" t="n"/>
      <c r="L859" s="18" t="n"/>
      <c r="M859" s="19">
        <f>IF(K859="","",K859*365/12*L859)</f>
        <v/>
      </c>
      <c r="N859" s="18" t="n"/>
      <c r="O859" s="18" t="n"/>
      <c r="P859" s="18" t="n"/>
      <c r="Q859" s="18" t="n"/>
      <c r="R859" s="10" t="n"/>
      <c r="S859" s="17" t="n"/>
      <c r="T859" s="18" t="n"/>
      <c r="U859" s="17" t="n"/>
      <c r="V859" s="17" t="n"/>
      <c r="W859" s="18" t="n"/>
      <c r="X859" s="18" t="n"/>
      <c r="Y859" s="17" t="n"/>
      <c r="Z859" s="10" t="n"/>
      <c r="AA859" s="10" t="n"/>
      <c r="AB859" s="19">
        <f>IF(LEN(A859)&gt;0,1,0)</f>
        <v/>
      </c>
      <c r="AC859" s="19">
        <f>IF(LEN(A859)=0,0,(LEN(B859)=0)+(LEN(C859)=0)+(LEN(D859)=0)+(LEN(E859)=0)+(LEN(F859)=0)+(LEN(G859)=0)+(LEN(H859)=0)+(LEN(I859)=0)+(LEN(J859)=0)+(LEN(K859)=0)+(LEN(L859)=0)+(LEN(N859)=0)+(LEN(O859)=0)+(LEN(P859)=0)+(LEN(R859)=0)+(LEN(AA859)=0))</f>
        <v/>
      </c>
      <c r="AD859" s="19">
        <f>IF(OR(LEN(A859)=0,LEN(C859)=0),0,IF(OR(C859&lt;1,C859&gt;5),1,0))</f>
        <v/>
      </c>
      <c r="AE859" s="19">
        <f>IF(OR(LEN(A859)=0,LEN(R859)=0),0,IF(OR(R859="Active",R859="Paid off",R859="Defaulted",R859="Repossessed",R859="Written off",R859="Restructured"),0,1))</f>
        <v/>
      </c>
      <c r="AF859" s="19">
        <f>IF(A859="",0,IF(N(J859)&gt;N(I859),1,0))</f>
        <v/>
      </c>
      <c r="AG859" s="19">
        <f>IF(A859="",0,IF(N(N859)&gt;N(M859)+1,1,0))</f>
        <v/>
      </c>
      <c r="AH859" s="19">
        <f>IF(A859="",0,IF(N(E859)&gt;N(B859),1,0))</f>
        <v/>
      </c>
      <c r="AI859" s="19">
        <f>IF(A859="",0,IF(AND(Z859="Full payment",N(N859)&lt;N(M859)-1),1,0))</f>
        <v/>
      </c>
      <c r="AJ859" s="19">
        <f>IF(A859="",0,IF(N(P859)&lt;0,1,0))</f>
        <v/>
      </c>
      <c r="AK859" s="19">
        <f>IF(A859="",0,IF(COUNTIF($A$7:$A$1006,A859)&gt;1,1,0))</f>
        <v/>
      </c>
    </row>
    <row r="860">
      <c r="A860" s="10" t="n"/>
      <c r="B860" s="17" t="n"/>
      <c r="C860" s="18" t="n"/>
      <c r="D860" s="10" t="n"/>
      <c r="E860" s="17" t="n"/>
      <c r="F860" s="10" t="n"/>
      <c r="G860" s="10" t="n"/>
      <c r="H860" s="10" t="n"/>
      <c r="I860" s="18" t="n"/>
      <c r="J860" s="18" t="n"/>
      <c r="K860" s="18" t="n"/>
      <c r="L860" s="18" t="n"/>
      <c r="M860" s="19">
        <f>IF(K860="","",K860*365/12*L860)</f>
        <v/>
      </c>
      <c r="N860" s="18" t="n"/>
      <c r="O860" s="18" t="n"/>
      <c r="P860" s="18" t="n"/>
      <c r="Q860" s="18" t="n"/>
      <c r="R860" s="10" t="n"/>
      <c r="S860" s="17" t="n"/>
      <c r="T860" s="18" t="n"/>
      <c r="U860" s="17" t="n"/>
      <c r="V860" s="17" t="n"/>
      <c r="W860" s="18" t="n"/>
      <c r="X860" s="18" t="n"/>
      <c r="Y860" s="17" t="n"/>
      <c r="Z860" s="10" t="n"/>
      <c r="AA860" s="10" t="n"/>
      <c r="AB860" s="19">
        <f>IF(LEN(A860)&gt;0,1,0)</f>
        <v/>
      </c>
      <c r="AC860" s="19">
        <f>IF(LEN(A860)=0,0,(LEN(B860)=0)+(LEN(C860)=0)+(LEN(D860)=0)+(LEN(E860)=0)+(LEN(F860)=0)+(LEN(G860)=0)+(LEN(H860)=0)+(LEN(I860)=0)+(LEN(J860)=0)+(LEN(K860)=0)+(LEN(L860)=0)+(LEN(N860)=0)+(LEN(O860)=0)+(LEN(P860)=0)+(LEN(R860)=0)+(LEN(AA860)=0))</f>
        <v/>
      </c>
      <c r="AD860" s="19">
        <f>IF(OR(LEN(A860)=0,LEN(C860)=0),0,IF(OR(C860&lt;1,C860&gt;5),1,0))</f>
        <v/>
      </c>
      <c r="AE860" s="19">
        <f>IF(OR(LEN(A860)=0,LEN(R860)=0),0,IF(OR(R860="Active",R860="Paid off",R860="Defaulted",R860="Repossessed",R860="Written off",R860="Restructured"),0,1))</f>
        <v/>
      </c>
      <c r="AF860" s="19">
        <f>IF(A860="",0,IF(N(J860)&gt;N(I860),1,0))</f>
        <v/>
      </c>
      <c r="AG860" s="19">
        <f>IF(A860="",0,IF(N(N860)&gt;N(M860)+1,1,0))</f>
        <v/>
      </c>
      <c r="AH860" s="19">
        <f>IF(A860="",0,IF(N(E860)&gt;N(B860),1,0))</f>
        <v/>
      </c>
      <c r="AI860" s="19">
        <f>IF(A860="",0,IF(AND(Z860="Full payment",N(N860)&lt;N(M860)-1),1,0))</f>
        <v/>
      </c>
      <c r="AJ860" s="19">
        <f>IF(A860="",0,IF(N(P860)&lt;0,1,0))</f>
        <v/>
      </c>
      <c r="AK860" s="19">
        <f>IF(A860="",0,IF(COUNTIF($A$7:$A$1006,A860)&gt;1,1,0))</f>
        <v/>
      </c>
    </row>
    <row r="861">
      <c r="A861" s="10" t="n"/>
      <c r="B861" s="17" t="n"/>
      <c r="C861" s="18" t="n"/>
      <c r="D861" s="10" t="n"/>
      <c r="E861" s="17" t="n"/>
      <c r="F861" s="10" t="n"/>
      <c r="G861" s="10" t="n"/>
      <c r="H861" s="10" t="n"/>
      <c r="I861" s="18" t="n"/>
      <c r="J861" s="18" t="n"/>
      <c r="K861" s="18" t="n"/>
      <c r="L861" s="18" t="n"/>
      <c r="M861" s="19">
        <f>IF(K861="","",K861*365/12*L861)</f>
        <v/>
      </c>
      <c r="N861" s="18" t="n"/>
      <c r="O861" s="18" t="n"/>
      <c r="P861" s="18" t="n"/>
      <c r="Q861" s="18" t="n"/>
      <c r="R861" s="10" t="n"/>
      <c r="S861" s="17" t="n"/>
      <c r="T861" s="18" t="n"/>
      <c r="U861" s="17" t="n"/>
      <c r="V861" s="17" t="n"/>
      <c r="W861" s="18" t="n"/>
      <c r="X861" s="18" t="n"/>
      <c r="Y861" s="17" t="n"/>
      <c r="Z861" s="10" t="n"/>
      <c r="AA861" s="10" t="n"/>
      <c r="AB861" s="19">
        <f>IF(LEN(A861)&gt;0,1,0)</f>
        <v/>
      </c>
      <c r="AC861" s="19">
        <f>IF(LEN(A861)=0,0,(LEN(B861)=0)+(LEN(C861)=0)+(LEN(D861)=0)+(LEN(E861)=0)+(LEN(F861)=0)+(LEN(G861)=0)+(LEN(H861)=0)+(LEN(I861)=0)+(LEN(J861)=0)+(LEN(K861)=0)+(LEN(L861)=0)+(LEN(N861)=0)+(LEN(O861)=0)+(LEN(P861)=0)+(LEN(R861)=0)+(LEN(AA861)=0))</f>
        <v/>
      </c>
      <c r="AD861" s="19">
        <f>IF(OR(LEN(A861)=0,LEN(C861)=0),0,IF(OR(C861&lt;1,C861&gt;5),1,0))</f>
        <v/>
      </c>
      <c r="AE861" s="19">
        <f>IF(OR(LEN(A861)=0,LEN(R861)=0),0,IF(OR(R861="Active",R861="Paid off",R861="Defaulted",R861="Repossessed",R861="Written off",R861="Restructured"),0,1))</f>
        <v/>
      </c>
      <c r="AF861" s="19">
        <f>IF(A861="",0,IF(N(J861)&gt;N(I861),1,0))</f>
        <v/>
      </c>
      <c r="AG861" s="19">
        <f>IF(A861="",0,IF(N(N861)&gt;N(M861)+1,1,0))</f>
        <v/>
      </c>
      <c r="AH861" s="19">
        <f>IF(A861="",0,IF(N(E861)&gt;N(B861),1,0))</f>
        <v/>
      </c>
      <c r="AI861" s="19">
        <f>IF(A861="",0,IF(AND(Z861="Full payment",N(N861)&lt;N(M861)-1),1,0))</f>
        <v/>
      </c>
      <c r="AJ861" s="19">
        <f>IF(A861="",0,IF(N(P861)&lt;0,1,0))</f>
        <v/>
      </c>
      <c r="AK861" s="19">
        <f>IF(A861="",0,IF(COUNTIF($A$7:$A$1006,A861)&gt;1,1,0))</f>
        <v/>
      </c>
    </row>
    <row r="862">
      <c r="A862" s="10" t="n"/>
      <c r="B862" s="17" t="n"/>
      <c r="C862" s="18" t="n"/>
      <c r="D862" s="10" t="n"/>
      <c r="E862" s="17" t="n"/>
      <c r="F862" s="10" t="n"/>
      <c r="G862" s="10" t="n"/>
      <c r="H862" s="10" t="n"/>
      <c r="I862" s="18" t="n"/>
      <c r="J862" s="18" t="n"/>
      <c r="K862" s="18" t="n"/>
      <c r="L862" s="18" t="n"/>
      <c r="M862" s="19">
        <f>IF(K862="","",K862*365/12*L862)</f>
        <v/>
      </c>
      <c r="N862" s="18" t="n"/>
      <c r="O862" s="18" t="n"/>
      <c r="P862" s="18" t="n"/>
      <c r="Q862" s="18" t="n"/>
      <c r="R862" s="10" t="n"/>
      <c r="S862" s="17" t="n"/>
      <c r="T862" s="18" t="n"/>
      <c r="U862" s="17" t="n"/>
      <c r="V862" s="17" t="n"/>
      <c r="W862" s="18" t="n"/>
      <c r="X862" s="18" t="n"/>
      <c r="Y862" s="17" t="n"/>
      <c r="Z862" s="10" t="n"/>
      <c r="AA862" s="10" t="n"/>
      <c r="AB862" s="19">
        <f>IF(LEN(A862)&gt;0,1,0)</f>
        <v/>
      </c>
      <c r="AC862" s="19">
        <f>IF(LEN(A862)=0,0,(LEN(B862)=0)+(LEN(C862)=0)+(LEN(D862)=0)+(LEN(E862)=0)+(LEN(F862)=0)+(LEN(G862)=0)+(LEN(H862)=0)+(LEN(I862)=0)+(LEN(J862)=0)+(LEN(K862)=0)+(LEN(L862)=0)+(LEN(N862)=0)+(LEN(O862)=0)+(LEN(P862)=0)+(LEN(R862)=0)+(LEN(AA862)=0))</f>
        <v/>
      </c>
      <c r="AD862" s="19">
        <f>IF(OR(LEN(A862)=0,LEN(C862)=0),0,IF(OR(C862&lt;1,C862&gt;5),1,0))</f>
        <v/>
      </c>
      <c r="AE862" s="19">
        <f>IF(OR(LEN(A862)=0,LEN(R862)=0),0,IF(OR(R862="Active",R862="Paid off",R862="Defaulted",R862="Repossessed",R862="Written off",R862="Restructured"),0,1))</f>
        <v/>
      </c>
      <c r="AF862" s="19">
        <f>IF(A862="",0,IF(N(J862)&gt;N(I862),1,0))</f>
        <v/>
      </c>
      <c r="AG862" s="19">
        <f>IF(A862="",0,IF(N(N862)&gt;N(M862)+1,1,0))</f>
        <v/>
      </c>
      <c r="AH862" s="19">
        <f>IF(A862="",0,IF(N(E862)&gt;N(B862),1,0))</f>
        <v/>
      </c>
      <c r="AI862" s="19">
        <f>IF(A862="",0,IF(AND(Z862="Full payment",N(N862)&lt;N(M862)-1),1,0))</f>
        <v/>
      </c>
      <c r="AJ862" s="19">
        <f>IF(A862="",0,IF(N(P862)&lt;0,1,0))</f>
        <v/>
      </c>
      <c r="AK862" s="19">
        <f>IF(A862="",0,IF(COUNTIF($A$7:$A$1006,A862)&gt;1,1,0))</f>
        <v/>
      </c>
    </row>
    <row r="863">
      <c r="A863" s="10" t="n"/>
      <c r="B863" s="17" t="n"/>
      <c r="C863" s="18" t="n"/>
      <c r="D863" s="10" t="n"/>
      <c r="E863" s="17" t="n"/>
      <c r="F863" s="10" t="n"/>
      <c r="G863" s="10" t="n"/>
      <c r="H863" s="10" t="n"/>
      <c r="I863" s="18" t="n"/>
      <c r="J863" s="18" t="n"/>
      <c r="K863" s="18" t="n"/>
      <c r="L863" s="18" t="n"/>
      <c r="M863" s="19">
        <f>IF(K863="","",K863*365/12*L863)</f>
        <v/>
      </c>
      <c r="N863" s="18" t="n"/>
      <c r="O863" s="18" t="n"/>
      <c r="P863" s="18" t="n"/>
      <c r="Q863" s="18" t="n"/>
      <c r="R863" s="10" t="n"/>
      <c r="S863" s="17" t="n"/>
      <c r="T863" s="18" t="n"/>
      <c r="U863" s="17" t="n"/>
      <c r="V863" s="17" t="n"/>
      <c r="W863" s="18" t="n"/>
      <c r="X863" s="18" t="n"/>
      <c r="Y863" s="17" t="n"/>
      <c r="Z863" s="10" t="n"/>
      <c r="AA863" s="10" t="n"/>
      <c r="AB863" s="19">
        <f>IF(LEN(A863)&gt;0,1,0)</f>
        <v/>
      </c>
      <c r="AC863" s="19">
        <f>IF(LEN(A863)=0,0,(LEN(B863)=0)+(LEN(C863)=0)+(LEN(D863)=0)+(LEN(E863)=0)+(LEN(F863)=0)+(LEN(G863)=0)+(LEN(H863)=0)+(LEN(I863)=0)+(LEN(J863)=0)+(LEN(K863)=0)+(LEN(L863)=0)+(LEN(N863)=0)+(LEN(O863)=0)+(LEN(P863)=0)+(LEN(R863)=0)+(LEN(AA863)=0))</f>
        <v/>
      </c>
      <c r="AD863" s="19">
        <f>IF(OR(LEN(A863)=0,LEN(C863)=0),0,IF(OR(C863&lt;1,C863&gt;5),1,0))</f>
        <v/>
      </c>
      <c r="AE863" s="19">
        <f>IF(OR(LEN(A863)=0,LEN(R863)=0),0,IF(OR(R863="Active",R863="Paid off",R863="Defaulted",R863="Repossessed",R863="Written off",R863="Restructured"),0,1))</f>
        <v/>
      </c>
      <c r="AF863" s="19">
        <f>IF(A863="",0,IF(N(J863)&gt;N(I863),1,0))</f>
        <v/>
      </c>
      <c r="AG863" s="19">
        <f>IF(A863="",0,IF(N(N863)&gt;N(M863)+1,1,0))</f>
        <v/>
      </c>
      <c r="AH863" s="19">
        <f>IF(A863="",0,IF(N(E863)&gt;N(B863),1,0))</f>
        <v/>
      </c>
      <c r="AI863" s="19">
        <f>IF(A863="",0,IF(AND(Z863="Full payment",N(N863)&lt;N(M863)-1),1,0))</f>
        <v/>
      </c>
      <c r="AJ863" s="19">
        <f>IF(A863="",0,IF(N(P863)&lt;0,1,0))</f>
        <v/>
      </c>
      <c r="AK863" s="19">
        <f>IF(A863="",0,IF(COUNTIF($A$7:$A$1006,A863)&gt;1,1,0))</f>
        <v/>
      </c>
    </row>
    <row r="864">
      <c r="A864" s="10" t="n"/>
      <c r="B864" s="17" t="n"/>
      <c r="C864" s="18" t="n"/>
      <c r="D864" s="10" t="n"/>
      <c r="E864" s="17" t="n"/>
      <c r="F864" s="10" t="n"/>
      <c r="G864" s="10" t="n"/>
      <c r="H864" s="10" t="n"/>
      <c r="I864" s="18" t="n"/>
      <c r="J864" s="18" t="n"/>
      <c r="K864" s="18" t="n"/>
      <c r="L864" s="18" t="n"/>
      <c r="M864" s="19">
        <f>IF(K864="","",K864*365/12*L864)</f>
        <v/>
      </c>
      <c r="N864" s="18" t="n"/>
      <c r="O864" s="18" t="n"/>
      <c r="P864" s="18" t="n"/>
      <c r="Q864" s="18" t="n"/>
      <c r="R864" s="10" t="n"/>
      <c r="S864" s="17" t="n"/>
      <c r="T864" s="18" t="n"/>
      <c r="U864" s="17" t="n"/>
      <c r="V864" s="17" t="n"/>
      <c r="W864" s="18" t="n"/>
      <c r="X864" s="18" t="n"/>
      <c r="Y864" s="17" t="n"/>
      <c r="Z864" s="10" t="n"/>
      <c r="AA864" s="10" t="n"/>
      <c r="AB864" s="19">
        <f>IF(LEN(A864)&gt;0,1,0)</f>
        <v/>
      </c>
      <c r="AC864" s="19">
        <f>IF(LEN(A864)=0,0,(LEN(B864)=0)+(LEN(C864)=0)+(LEN(D864)=0)+(LEN(E864)=0)+(LEN(F864)=0)+(LEN(G864)=0)+(LEN(H864)=0)+(LEN(I864)=0)+(LEN(J864)=0)+(LEN(K864)=0)+(LEN(L864)=0)+(LEN(N864)=0)+(LEN(O864)=0)+(LEN(P864)=0)+(LEN(R864)=0)+(LEN(AA864)=0))</f>
        <v/>
      </c>
      <c r="AD864" s="19">
        <f>IF(OR(LEN(A864)=0,LEN(C864)=0),0,IF(OR(C864&lt;1,C864&gt;5),1,0))</f>
        <v/>
      </c>
      <c r="AE864" s="19">
        <f>IF(OR(LEN(A864)=0,LEN(R864)=0),0,IF(OR(R864="Active",R864="Paid off",R864="Defaulted",R864="Repossessed",R864="Written off",R864="Restructured"),0,1))</f>
        <v/>
      </c>
      <c r="AF864" s="19">
        <f>IF(A864="",0,IF(N(J864)&gt;N(I864),1,0))</f>
        <v/>
      </c>
      <c r="AG864" s="19">
        <f>IF(A864="",0,IF(N(N864)&gt;N(M864)+1,1,0))</f>
        <v/>
      </c>
      <c r="AH864" s="19">
        <f>IF(A864="",0,IF(N(E864)&gt;N(B864),1,0))</f>
        <v/>
      </c>
      <c r="AI864" s="19">
        <f>IF(A864="",0,IF(AND(Z864="Full payment",N(N864)&lt;N(M864)-1),1,0))</f>
        <v/>
      </c>
      <c r="AJ864" s="19">
        <f>IF(A864="",0,IF(N(P864)&lt;0,1,0))</f>
        <v/>
      </c>
      <c r="AK864" s="19">
        <f>IF(A864="",0,IF(COUNTIF($A$7:$A$1006,A864)&gt;1,1,0))</f>
        <v/>
      </c>
    </row>
    <row r="865">
      <c r="A865" s="10" t="n"/>
      <c r="B865" s="17" t="n"/>
      <c r="C865" s="18" t="n"/>
      <c r="D865" s="10" t="n"/>
      <c r="E865" s="17" t="n"/>
      <c r="F865" s="10" t="n"/>
      <c r="G865" s="10" t="n"/>
      <c r="H865" s="10" t="n"/>
      <c r="I865" s="18" t="n"/>
      <c r="J865" s="18" t="n"/>
      <c r="K865" s="18" t="n"/>
      <c r="L865" s="18" t="n"/>
      <c r="M865" s="19">
        <f>IF(K865="","",K865*365/12*L865)</f>
        <v/>
      </c>
      <c r="N865" s="18" t="n"/>
      <c r="O865" s="18" t="n"/>
      <c r="P865" s="18" t="n"/>
      <c r="Q865" s="18" t="n"/>
      <c r="R865" s="10" t="n"/>
      <c r="S865" s="17" t="n"/>
      <c r="T865" s="18" t="n"/>
      <c r="U865" s="17" t="n"/>
      <c r="V865" s="17" t="n"/>
      <c r="W865" s="18" t="n"/>
      <c r="X865" s="18" t="n"/>
      <c r="Y865" s="17" t="n"/>
      <c r="Z865" s="10" t="n"/>
      <c r="AA865" s="10" t="n"/>
      <c r="AB865" s="19">
        <f>IF(LEN(A865)&gt;0,1,0)</f>
        <v/>
      </c>
      <c r="AC865" s="19">
        <f>IF(LEN(A865)=0,0,(LEN(B865)=0)+(LEN(C865)=0)+(LEN(D865)=0)+(LEN(E865)=0)+(LEN(F865)=0)+(LEN(G865)=0)+(LEN(H865)=0)+(LEN(I865)=0)+(LEN(J865)=0)+(LEN(K865)=0)+(LEN(L865)=0)+(LEN(N865)=0)+(LEN(O865)=0)+(LEN(P865)=0)+(LEN(R865)=0)+(LEN(AA865)=0))</f>
        <v/>
      </c>
      <c r="AD865" s="19">
        <f>IF(OR(LEN(A865)=0,LEN(C865)=0),0,IF(OR(C865&lt;1,C865&gt;5),1,0))</f>
        <v/>
      </c>
      <c r="AE865" s="19">
        <f>IF(OR(LEN(A865)=0,LEN(R865)=0),0,IF(OR(R865="Active",R865="Paid off",R865="Defaulted",R865="Repossessed",R865="Written off",R865="Restructured"),0,1))</f>
        <v/>
      </c>
      <c r="AF865" s="19">
        <f>IF(A865="",0,IF(N(J865)&gt;N(I865),1,0))</f>
        <v/>
      </c>
      <c r="AG865" s="19">
        <f>IF(A865="",0,IF(N(N865)&gt;N(M865)+1,1,0))</f>
        <v/>
      </c>
      <c r="AH865" s="19">
        <f>IF(A865="",0,IF(N(E865)&gt;N(B865),1,0))</f>
        <v/>
      </c>
      <c r="AI865" s="19">
        <f>IF(A865="",0,IF(AND(Z865="Full payment",N(N865)&lt;N(M865)-1),1,0))</f>
        <v/>
      </c>
      <c r="AJ865" s="19">
        <f>IF(A865="",0,IF(N(P865)&lt;0,1,0))</f>
        <v/>
      </c>
      <c r="AK865" s="19">
        <f>IF(A865="",0,IF(COUNTIF($A$7:$A$1006,A865)&gt;1,1,0))</f>
        <v/>
      </c>
    </row>
    <row r="866">
      <c r="A866" s="10" t="n"/>
      <c r="B866" s="17" t="n"/>
      <c r="C866" s="18" t="n"/>
      <c r="D866" s="10" t="n"/>
      <c r="E866" s="17" t="n"/>
      <c r="F866" s="10" t="n"/>
      <c r="G866" s="10" t="n"/>
      <c r="H866" s="10" t="n"/>
      <c r="I866" s="18" t="n"/>
      <c r="J866" s="18" t="n"/>
      <c r="K866" s="18" t="n"/>
      <c r="L866" s="18" t="n"/>
      <c r="M866" s="19">
        <f>IF(K866="","",K866*365/12*L866)</f>
        <v/>
      </c>
      <c r="N866" s="18" t="n"/>
      <c r="O866" s="18" t="n"/>
      <c r="P866" s="18" t="n"/>
      <c r="Q866" s="18" t="n"/>
      <c r="R866" s="10" t="n"/>
      <c r="S866" s="17" t="n"/>
      <c r="T866" s="18" t="n"/>
      <c r="U866" s="17" t="n"/>
      <c r="V866" s="17" t="n"/>
      <c r="W866" s="18" t="n"/>
      <c r="X866" s="18" t="n"/>
      <c r="Y866" s="17" t="n"/>
      <c r="Z866" s="10" t="n"/>
      <c r="AA866" s="10" t="n"/>
      <c r="AB866" s="19">
        <f>IF(LEN(A866)&gt;0,1,0)</f>
        <v/>
      </c>
      <c r="AC866" s="19">
        <f>IF(LEN(A866)=0,0,(LEN(B866)=0)+(LEN(C866)=0)+(LEN(D866)=0)+(LEN(E866)=0)+(LEN(F866)=0)+(LEN(G866)=0)+(LEN(H866)=0)+(LEN(I866)=0)+(LEN(J866)=0)+(LEN(K866)=0)+(LEN(L866)=0)+(LEN(N866)=0)+(LEN(O866)=0)+(LEN(P866)=0)+(LEN(R866)=0)+(LEN(AA866)=0))</f>
        <v/>
      </c>
      <c r="AD866" s="19">
        <f>IF(OR(LEN(A866)=0,LEN(C866)=0),0,IF(OR(C866&lt;1,C866&gt;5),1,0))</f>
        <v/>
      </c>
      <c r="AE866" s="19">
        <f>IF(OR(LEN(A866)=0,LEN(R866)=0),0,IF(OR(R866="Active",R866="Paid off",R866="Defaulted",R866="Repossessed",R866="Written off",R866="Restructured"),0,1))</f>
        <v/>
      </c>
      <c r="AF866" s="19">
        <f>IF(A866="",0,IF(N(J866)&gt;N(I866),1,0))</f>
        <v/>
      </c>
      <c r="AG866" s="19">
        <f>IF(A866="",0,IF(N(N866)&gt;N(M866)+1,1,0))</f>
        <v/>
      </c>
      <c r="AH866" s="19">
        <f>IF(A866="",0,IF(N(E866)&gt;N(B866),1,0))</f>
        <v/>
      </c>
      <c r="AI866" s="19">
        <f>IF(A866="",0,IF(AND(Z866="Full payment",N(N866)&lt;N(M866)-1),1,0))</f>
        <v/>
      </c>
      <c r="AJ866" s="19">
        <f>IF(A866="",0,IF(N(P866)&lt;0,1,0))</f>
        <v/>
      </c>
      <c r="AK866" s="19">
        <f>IF(A866="",0,IF(COUNTIF($A$7:$A$1006,A866)&gt;1,1,0))</f>
        <v/>
      </c>
    </row>
    <row r="867">
      <c r="A867" s="10" t="n"/>
      <c r="B867" s="17" t="n"/>
      <c r="C867" s="18" t="n"/>
      <c r="D867" s="10" t="n"/>
      <c r="E867" s="17" t="n"/>
      <c r="F867" s="10" t="n"/>
      <c r="G867" s="10" t="n"/>
      <c r="H867" s="10" t="n"/>
      <c r="I867" s="18" t="n"/>
      <c r="J867" s="18" t="n"/>
      <c r="K867" s="18" t="n"/>
      <c r="L867" s="18" t="n"/>
      <c r="M867" s="19">
        <f>IF(K867="","",K867*365/12*L867)</f>
        <v/>
      </c>
      <c r="N867" s="18" t="n"/>
      <c r="O867" s="18" t="n"/>
      <c r="P867" s="18" t="n"/>
      <c r="Q867" s="18" t="n"/>
      <c r="R867" s="10" t="n"/>
      <c r="S867" s="17" t="n"/>
      <c r="T867" s="18" t="n"/>
      <c r="U867" s="17" t="n"/>
      <c r="V867" s="17" t="n"/>
      <c r="W867" s="18" t="n"/>
      <c r="X867" s="18" t="n"/>
      <c r="Y867" s="17" t="n"/>
      <c r="Z867" s="10" t="n"/>
      <c r="AA867" s="10" t="n"/>
      <c r="AB867" s="19">
        <f>IF(LEN(A867)&gt;0,1,0)</f>
        <v/>
      </c>
      <c r="AC867" s="19">
        <f>IF(LEN(A867)=0,0,(LEN(B867)=0)+(LEN(C867)=0)+(LEN(D867)=0)+(LEN(E867)=0)+(LEN(F867)=0)+(LEN(G867)=0)+(LEN(H867)=0)+(LEN(I867)=0)+(LEN(J867)=0)+(LEN(K867)=0)+(LEN(L867)=0)+(LEN(N867)=0)+(LEN(O867)=0)+(LEN(P867)=0)+(LEN(R867)=0)+(LEN(AA867)=0))</f>
        <v/>
      </c>
      <c r="AD867" s="19">
        <f>IF(OR(LEN(A867)=0,LEN(C867)=0),0,IF(OR(C867&lt;1,C867&gt;5),1,0))</f>
        <v/>
      </c>
      <c r="AE867" s="19">
        <f>IF(OR(LEN(A867)=0,LEN(R867)=0),0,IF(OR(R867="Active",R867="Paid off",R867="Defaulted",R867="Repossessed",R867="Written off",R867="Restructured"),0,1))</f>
        <v/>
      </c>
      <c r="AF867" s="19">
        <f>IF(A867="",0,IF(N(J867)&gt;N(I867),1,0))</f>
        <v/>
      </c>
      <c r="AG867" s="19">
        <f>IF(A867="",0,IF(N(N867)&gt;N(M867)+1,1,0))</f>
        <v/>
      </c>
      <c r="AH867" s="19">
        <f>IF(A867="",0,IF(N(E867)&gt;N(B867),1,0))</f>
        <v/>
      </c>
      <c r="AI867" s="19">
        <f>IF(A867="",0,IF(AND(Z867="Full payment",N(N867)&lt;N(M867)-1),1,0))</f>
        <v/>
      </c>
      <c r="AJ867" s="19">
        <f>IF(A867="",0,IF(N(P867)&lt;0,1,0))</f>
        <v/>
      </c>
      <c r="AK867" s="19">
        <f>IF(A867="",0,IF(COUNTIF($A$7:$A$1006,A867)&gt;1,1,0))</f>
        <v/>
      </c>
    </row>
    <row r="868">
      <c r="A868" s="10" t="n"/>
      <c r="B868" s="17" t="n"/>
      <c r="C868" s="18" t="n"/>
      <c r="D868" s="10" t="n"/>
      <c r="E868" s="17" t="n"/>
      <c r="F868" s="10" t="n"/>
      <c r="G868" s="10" t="n"/>
      <c r="H868" s="10" t="n"/>
      <c r="I868" s="18" t="n"/>
      <c r="J868" s="18" t="n"/>
      <c r="K868" s="18" t="n"/>
      <c r="L868" s="18" t="n"/>
      <c r="M868" s="19">
        <f>IF(K868="","",K868*365/12*L868)</f>
        <v/>
      </c>
      <c r="N868" s="18" t="n"/>
      <c r="O868" s="18" t="n"/>
      <c r="P868" s="18" t="n"/>
      <c r="Q868" s="18" t="n"/>
      <c r="R868" s="10" t="n"/>
      <c r="S868" s="17" t="n"/>
      <c r="T868" s="18" t="n"/>
      <c r="U868" s="17" t="n"/>
      <c r="V868" s="17" t="n"/>
      <c r="W868" s="18" t="n"/>
      <c r="X868" s="18" t="n"/>
      <c r="Y868" s="17" t="n"/>
      <c r="Z868" s="10" t="n"/>
      <c r="AA868" s="10" t="n"/>
      <c r="AB868" s="19">
        <f>IF(LEN(A868)&gt;0,1,0)</f>
        <v/>
      </c>
      <c r="AC868" s="19">
        <f>IF(LEN(A868)=0,0,(LEN(B868)=0)+(LEN(C868)=0)+(LEN(D868)=0)+(LEN(E868)=0)+(LEN(F868)=0)+(LEN(G868)=0)+(LEN(H868)=0)+(LEN(I868)=0)+(LEN(J868)=0)+(LEN(K868)=0)+(LEN(L868)=0)+(LEN(N868)=0)+(LEN(O868)=0)+(LEN(P868)=0)+(LEN(R868)=0)+(LEN(AA868)=0))</f>
        <v/>
      </c>
      <c r="AD868" s="19">
        <f>IF(OR(LEN(A868)=0,LEN(C868)=0),0,IF(OR(C868&lt;1,C868&gt;5),1,0))</f>
        <v/>
      </c>
      <c r="AE868" s="19">
        <f>IF(OR(LEN(A868)=0,LEN(R868)=0),0,IF(OR(R868="Active",R868="Paid off",R868="Defaulted",R868="Repossessed",R868="Written off",R868="Restructured"),0,1))</f>
        <v/>
      </c>
      <c r="AF868" s="19">
        <f>IF(A868="",0,IF(N(J868)&gt;N(I868),1,0))</f>
        <v/>
      </c>
      <c r="AG868" s="19">
        <f>IF(A868="",0,IF(N(N868)&gt;N(M868)+1,1,0))</f>
        <v/>
      </c>
      <c r="AH868" s="19">
        <f>IF(A868="",0,IF(N(E868)&gt;N(B868),1,0))</f>
        <v/>
      </c>
      <c r="AI868" s="19">
        <f>IF(A868="",0,IF(AND(Z868="Full payment",N(N868)&lt;N(M868)-1),1,0))</f>
        <v/>
      </c>
      <c r="AJ868" s="19">
        <f>IF(A868="",0,IF(N(P868)&lt;0,1,0))</f>
        <v/>
      </c>
      <c r="AK868" s="19">
        <f>IF(A868="",0,IF(COUNTIF($A$7:$A$1006,A868)&gt;1,1,0))</f>
        <v/>
      </c>
    </row>
    <row r="869">
      <c r="A869" s="10" t="n"/>
      <c r="B869" s="17" t="n"/>
      <c r="C869" s="18" t="n"/>
      <c r="D869" s="10" t="n"/>
      <c r="E869" s="17" t="n"/>
      <c r="F869" s="10" t="n"/>
      <c r="G869" s="10" t="n"/>
      <c r="H869" s="10" t="n"/>
      <c r="I869" s="18" t="n"/>
      <c r="J869" s="18" t="n"/>
      <c r="K869" s="18" t="n"/>
      <c r="L869" s="18" t="n"/>
      <c r="M869" s="19">
        <f>IF(K869="","",K869*365/12*L869)</f>
        <v/>
      </c>
      <c r="N869" s="18" t="n"/>
      <c r="O869" s="18" t="n"/>
      <c r="P869" s="18" t="n"/>
      <c r="Q869" s="18" t="n"/>
      <c r="R869" s="10" t="n"/>
      <c r="S869" s="17" t="n"/>
      <c r="T869" s="18" t="n"/>
      <c r="U869" s="17" t="n"/>
      <c r="V869" s="17" t="n"/>
      <c r="W869" s="18" t="n"/>
      <c r="X869" s="18" t="n"/>
      <c r="Y869" s="17" t="n"/>
      <c r="Z869" s="10" t="n"/>
      <c r="AA869" s="10" t="n"/>
      <c r="AB869" s="19">
        <f>IF(LEN(A869)&gt;0,1,0)</f>
        <v/>
      </c>
      <c r="AC869" s="19">
        <f>IF(LEN(A869)=0,0,(LEN(B869)=0)+(LEN(C869)=0)+(LEN(D869)=0)+(LEN(E869)=0)+(LEN(F869)=0)+(LEN(G869)=0)+(LEN(H869)=0)+(LEN(I869)=0)+(LEN(J869)=0)+(LEN(K869)=0)+(LEN(L869)=0)+(LEN(N869)=0)+(LEN(O869)=0)+(LEN(P869)=0)+(LEN(R869)=0)+(LEN(AA869)=0))</f>
        <v/>
      </c>
      <c r="AD869" s="19">
        <f>IF(OR(LEN(A869)=0,LEN(C869)=0),0,IF(OR(C869&lt;1,C869&gt;5),1,0))</f>
        <v/>
      </c>
      <c r="AE869" s="19">
        <f>IF(OR(LEN(A869)=0,LEN(R869)=0),0,IF(OR(R869="Active",R869="Paid off",R869="Defaulted",R869="Repossessed",R869="Written off",R869="Restructured"),0,1))</f>
        <v/>
      </c>
      <c r="AF869" s="19">
        <f>IF(A869="",0,IF(N(J869)&gt;N(I869),1,0))</f>
        <v/>
      </c>
      <c r="AG869" s="19">
        <f>IF(A869="",0,IF(N(N869)&gt;N(M869)+1,1,0))</f>
        <v/>
      </c>
      <c r="AH869" s="19">
        <f>IF(A869="",0,IF(N(E869)&gt;N(B869),1,0))</f>
        <v/>
      </c>
      <c r="AI869" s="19">
        <f>IF(A869="",0,IF(AND(Z869="Full payment",N(N869)&lt;N(M869)-1),1,0))</f>
        <v/>
      </c>
      <c r="AJ869" s="19">
        <f>IF(A869="",0,IF(N(P869)&lt;0,1,0))</f>
        <v/>
      </c>
      <c r="AK869" s="19">
        <f>IF(A869="",0,IF(COUNTIF($A$7:$A$1006,A869)&gt;1,1,0))</f>
        <v/>
      </c>
    </row>
    <row r="870">
      <c r="A870" s="10" t="n"/>
      <c r="B870" s="17" t="n"/>
      <c r="C870" s="18" t="n"/>
      <c r="D870" s="10" t="n"/>
      <c r="E870" s="17" t="n"/>
      <c r="F870" s="10" t="n"/>
      <c r="G870" s="10" t="n"/>
      <c r="H870" s="10" t="n"/>
      <c r="I870" s="18" t="n"/>
      <c r="J870" s="18" t="n"/>
      <c r="K870" s="18" t="n"/>
      <c r="L870" s="18" t="n"/>
      <c r="M870" s="19">
        <f>IF(K870="","",K870*365/12*L870)</f>
        <v/>
      </c>
      <c r="N870" s="18" t="n"/>
      <c r="O870" s="18" t="n"/>
      <c r="P870" s="18" t="n"/>
      <c r="Q870" s="18" t="n"/>
      <c r="R870" s="10" t="n"/>
      <c r="S870" s="17" t="n"/>
      <c r="T870" s="18" t="n"/>
      <c r="U870" s="17" t="n"/>
      <c r="V870" s="17" t="n"/>
      <c r="W870" s="18" t="n"/>
      <c r="X870" s="18" t="n"/>
      <c r="Y870" s="17" t="n"/>
      <c r="Z870" s="10" t="n"/>
      <c r="AA870" s="10" t="n"/>
      <c r="AB870" s="19">
        <f>IF(LEN(A870)&gt;0,1,0)</f>
        <v/>
      </c>
      <c r="AC870" s="19">
        <f>IF(LEN(A870)=0,0,(LEN(B870)=0)+(LEN(C870)=0)+(LEN(D870)=0)+(LEN(E870)=0)+(LEN(F870)=0)+(LEN(G870)=0)+(LEN(H870)=0)+(LEN(I870)=0)+(LEN(J870)=0)+(LEN(K870)=0)+(LEN(L870)=0)+(LEN(N870)=0)+(LEN(O870)=0)+(LEN(P870)=0)+(LEN(R870)=0)+(LEN(AA870)=0))</f>
        <v/>
      </c>
      <c r="AD870" s="19">
        <f>IF(OR(LEN(A870)=0,LEN(C870)=0),0,IF(OR(C870&lt;1,C870&gt;5),1,0))</f>
        <v/>
      </c>
      <c r="AE870" s="19">
        <f>IF(OR(LEN(A870)=0,LEN(R870)=0),0,IF(OR(R870="Active",R870="Paid off",R870="Defaulted",R870="Repossessed",R870="Written off",R870="Restructured"),0,1))</f>
        <v/>
      </c>
      <c r="AF870" s="19">
        <f>IF(A870="",0,IF(N(J870)&gt;N(I870),1,0))</f>
        <v/>
      </c>
      <c r="AG870" s="19">
        <f>IF(A870="",0,IF(N(N870)&gt;N(M870)+1,1,0))</f>
        <v/>
      </c>
      <c r="AH870" s="19">
        <f>IF(A870="",0,IF(N(E870)&gt;N(B870),1,0))</f>
        <v/>
      </c>
      <c r="AI870" s="19">
        <f>IF(A870="",0,IF(AND(Z870="Full payment",N(N870)&lt;N(M870)-1),1,0))</f>
        <v/>
      </c>
      <c r="AJ870" s="19">
        <f>IF(A870="",0,IF(N(P870)&lt;0,1,0))</f>
        <v/>
      </c>
      <c r="AK870" s="19">
        <f>IF(A870="",0,IF(COUNTIF($A$7:$A$1006,A870)&gt;1,1,0))</f>
        <v/>
      </c>
    </row>
    <row r="871">
      <c r="A871" s="10" t="n"/>
      <c r="B871" s="17" t="n"/>
      <c r="C871" s="18" t="n"/>
      <c r="D871" s="10" t="n"/>
      <c r="E871" s="17" t="n"/>
      <c r="F871" s="10" t="n"/>
      <c r="G871" s="10" t="n"/>
      <c r="H871" s="10" t="n"/>
      <c r="I871" s="18" t="n"/>
      <c r="J871" s="18" t="n"/>
      <c r="K871" s="18" t="n"/>
      <c r="L871" s="18" t="n"/>
      <c r="M871" s="19">
        <f>IF(K871="","",K871*365/12*L871)</f>
        <v/>
      </c>
      <c r="N871" s="18" t="n"/>
      <c r="O871" s="18" t="n"/>
      <c r="P871" s="18" t="n"/>
      <c r="Q871" s="18" t="n"/>
      <c r="R871" s="10" t="n"/>
      <c r="S871" s="17" t="n"/>
      <c r="T871" s="18" t="n"/>
      <c r="U871" s="17" t="n"/>
      <c r="V871" s="17" t="n"/>
      <c r="W871" s="18" t="n"/>
      <c r="X871" s="18" t="n"/>
      <c r="Y871" s="17" t="n"/>
      <c r="Z871" s="10" t="n"/>
      <c r="AA871" s="10" t="n"/>
      <c r="AB871" s="19">
        <f>IF(LEN(A871)&gt;0,1,0)</f>
        <v/>
      </c>
      <c r="AC871" s="19">
        <f>IF(LEN(A871)=0,0,(LEN(B871)=0)+(LEN(C871)=0)+(LEN(D871)=0)+(LEN(E871)=0)+(LEN(F871)=0)+(LEN(G871)=0)+(LEN(H871)=0)+(LEN(I871)=0)+(LEN(J871)=0)+(LEN(K871)=0)+(LEN(L871)=0)+(LEN(N871)=0)+(LEN(O871)=0)+(LEN(P871)=0)+(LEN(R871)=0)+(LEN(AA871)=0))</f>
        <v/>
      </c>
      <c r="AD871" s="19">
        <f>IF(OR(LEN(A871)=0,LEN(C871)=0),0,IF(OR(C871&lt;1,C871&gt;5),1,0))</f>
        <v/>
      </c>
      <c r="AE871" s="19">
        <f>IF(OR(LEN(A871)=0,LEN(R871)=0),0,IF(OR(R871="Active",R871="Paid off",R871="Defaulted",R871="Repossessed",R871="Written off",R871="Restructured"),0,1))</f>
        <v/>
      </c>
      <c r="AF871" s="19">
        <f>IF(A871="",0,IF(N(J871)&gt;N(I871),1,0))</f>
        <v/>
      </c>
      <c r="AG871" s="19">
        <f>IF(A871="",0,IF(N(N871)&gt;N(M871)+1,1,0))</f>
        <v/>
      </c>
      <c r="AH871" s="19">
        <f>IF(A871="",0,IF(N(E871)&gt;N(B871),1,0))</f>
        <v/>
      </c>
      <c r="AI871" s="19">
        <f>IF(A871="",0,IF(AND(Z871="Full payment",N(N871)&lt;N(M871)-1),1,0))</f>
        <v/>
      </c>
      <c r="AJ871" s="19">
        <f>IF(A871="",0,IF(N(P871)&lt;0,1,0))</f>
        <v/>
      </c>
      <c r="AK871" s="19">
        <f>IF(A871="",0,IF(COUNTIF($A$7:$A$1006,A871)&gt;1,1,0))</f>
        <v/>
      </c>
    </row>
    <row r="872">
      <c r="A872" s="10" t="n"/>
      <c r="B872" s="17" t="n"/>
      <c r="C872" s="18" t="n"/>
      <c r="D872" s="10" t="n"/>
      <c r="E872" s="17" t="n"/>
      <c r="F872" s="10" t="n"/>
      <c r="G872" s="10" t="n"/>
      <c r="H872" s="10" t="n"/>
      <c r="I872" s="18" t="n"/>
      <c r="J872" s="18" t="n"/>
      <c r="K872" s="18" t="n"/>
      <c r="L872" s="18" t="n"/>
      <c r="M872" s="19">
        <f>IF(K872="","",K872*365/12*L872)</f>
        <v/>
      </c>
      <c r="N872" s="18" t="n"/>
      <c r="O872" s="18" t="n"/>
      <c r="P872" s="18" t="n"/>
      <c r="Q872" s="18" t="n"/>
      <c r="R872" s="10" t="n"/>
      <c r="S872" s="17" t="n"/>
      <c r="T872" s="18" t="n"/>
      <c r="U872" s="17" t="n"/>
      <c r="V872" s="17" t="n"/>
      <c r="W872" s="18" t="n"/>
      <c r="X872" s="18" t="n"/>
      <c r="Y872" s="17" t="n"/>
      <c r="Z872" s="10" t="n"/>
      <c r="AA872" s="10" t="n"/>
      <c r="AB872" s="19">
        <f>IF(LEN(A872)&gt;0,1,0)</f>
        <v/>
      </c>
      <c r="AC872" s="19">
        <f>IF(LEN(A872)=0,0,(LEN(B872)=0)+(LEN(C872)=0)+(LEN(D872)=0)+(LEN(E872)=0)+(LEN(F872)=0)+(LEN(G872)=0)+(LEN(H872)=0)+(LEN(I872)=0)+(LEN(J872)=0)+(LEN(K872)=0)+(LEN(L872)=0)+(LEN(N872)=0)+(LEN(O872)=0)+(LEN(P872)=0)+(LEN(R872)=0)+(LEN(AA872)=0))</f>
        <v/>
      </c>
      <c r="AD872" s="19">
        <f>IF(OR(LEN(A872)=0,LEN(C872)=0),0,IF(OR(C872&lt;1,C872&gt;5),1,0))</f>
        <v/>
      </c>
      <c r="AE872" s="19">
        <f>IF(OR(LEN(A872)=0,LEN(R872)=0),0,IF(OR(R872="Active",R872="Paid off",R872="Defaulted",R872="Repossessed",R872="Written off",R872="Restructured"),0,1))</f>
        <v/>
      </c>
      <c r="AF872" s="19">
        <f>IF(A872="",0,IF(N(J872)&gt;N(I872),1,0))</f>
        <v/>
      </c>
      <c r="AG872" s="19">
        <f>IF(A872="",0,IF(N(N872)&gt;N(M872)+1,1,0))</f>
        <v/>
      </c>
      <c r="AH872" s="19">
        <f>IF(A872="",0,IF(N(E872)&gt;N(B872),1,0))</f>
        <v/>
      </c>
      <c r="AI872" s="19">
        <f>IF(A872="",0,IF(AND(Z872="Full payment",N(N872)&lt;N(M872)-1),1,0))</f>
        <v/>
      </c>
      <c r="AJ872" s="19">
        <f>IF(A872="",0,IF(N(P872)&lt;0,1,0))</f>
        <v/>
      </c>
      <c r="AK872" s="19">
        <f>IF(A872="",0,IF(COUNTIF($A$7:$A$1006,A872)&gt;1,1,0))</f>
        <v/>
      </c>
    </row>
    <row r="873">
      <c r="A873" s="10" t="n"/>
      <c r="B873" s="17" t="n"/>
      <c r="C873" s="18" t="n"/>
      <c r="D873" s="10" t="n"/>
      <c r="E873" s="17" t="n"/>
      <c r="F873" s="10" t="n"/>
      <c r="G873" s="10" t="n"/>
      <c r="H873" s="10" t="n"/>
      <c r="I873" s="18" t="n"/>
      <c r="J873" s="18" t="n"/>
      <c r="K873" s="18" t="n"/>
      <c r="L873" s="18" t="n"/>
      <c r="M873" s="19">
        <f>IF(K873="","",K873*365/12*L873)</f>
        <v/>
      </c>
      <c r="N873" s="18" t="n"/>
      <c r="O873" s="18" t="n"/>
      <c r="P873" s="18" t="n"/>
      <c r="Q873" s="18" t="n"/>
      <c r="R873" s="10" t="n"/>
      <c r="S873" s="17" t="n"/>
      <c r="T873" s="18" t="n"/>
      <c r="U873" s="17" t="n"/>
      <c r="V873" s="17" t="n"/>
      <c r="W873" s="18" t="n"/>
      <c r="X873" s="18" t="n"/>
      <c r="Y873" s="17" t="n"/>
      <c r="Z873" s="10" t="n"/>
      <c r="AA873" s="10" t="n"/>
      <c r="AB873" s="19">
        <f>IF(LEN(A873)&gt;0,1,0)</f>
        <v/>
      </c>
      <c r="AC873" s="19">
        <f>IF(LEN(A873)=0,0,(LEN(B873)=0)+(LEN(C873)=0)+(LEN(D873)=0)+(LEN(E873)=0)+(LEN(F873)=0)+(LEN(G873)=0)+(LEN(H873)=0)+(LEN(I873)=0)+(LEN(J873)=0)+(LEN(K873)=0)+(LEN(L873)=0)+(LEN(N873)=0)+(LEN(O873)=0)+(LEN(P873)=0)+(LEN(R873)=0)+(LEN(AA873)=0))</f>
        <v/>
      </c>
      <c r="AD873" s="19">
        <f>IF(OR(LEN(A873)=0,LEN(C873)=0),0,IF(OR(C873&lt;1,C873&gt;5),1,0))</f>
        <v/>
      </c>
      <c r="AE873" s="19">
        <f>IF(OR(LEN(A873)=0,LEN(R873)=0),0,IF(OR(R873="Active",R873="Paid off",R873="Defaulted",R873="Repossessed",R873="Written off",R873="Restructured"),0,1))</f>
        <v/>
      </c>
      <c r="AF873" s="19">
        <f>IF(A873="",0,IF(N(J873)&gt;N(I873),1,0))</f>
        <v/>
      </c>
      <c r="AG873" s="19">
        <f>IF(A873="",0,IF(N(N873)&gt;N(M873)+1,1,0))</f>
        <v/>
      </c>
      <c r="AH873" s="19">
        <f>IF(A873="",0,IF(N(E873)&gt;N(B873),1,0))</f>
        <v/>
      </c>
      <c r="AI873" s="19">
        <f>IF(A873="",0,IF(AND(Z873="Full payment",N(N873)&lt;N(M873)-1),1,0))</f>
        <v/>
      </c>
      <c r="AJ873" s="19">
        <f>IF(A873="",0,IF(N(P873)&lt;0,1,0))</f>
        <v/>
      </c>
      <c r="AK873" s="19">
        <f>IF(A873="",0,IF(COUNTIF($A$7:$A$1006,A873)&gt;1,1,0))</f>
        <v/>
      </c>
    </row>
    <row r="874">
      <c r="A874" s="10" t="n"/>
      <c r="B874" s="17" t="n"/>
      <c r="C874" s="18" t="n"/>
      <c r="D874" s="10" t="n"/>
      <c r="E874" s="17" t="n"/>
      <c r="F874" s="10" t="n"/>
      <c r="G874" s="10" t="n"/>
      <c r="H874" s="10" t="n"/>
      <c r="I874" s="18" t="n"/>
      <c r="J874" s="18" t="n"/>
      <c r="K874" s="18" t="n"/>
      <c r="L874" s="18" t="n"/>
      <c r="M874" s="19">
        <f>IF(K874="","",K874*365/12*L874)</f>
        <v/>
      </c>
      <c r="N874" s="18" t="n"/>
      <c r="O874" s="18" t="n"/>
      <c r="P874" s="18" t="n"/>
      <c r="Q874" s="18" t="n"/>
      <c r="R874" s="10" t="n"/>
      <c r="S874" s="17" t="n"/>
      <c r="T874" s="18" t="n"/>
      <c r="U874" s="17" t="n"/>
      <c r="V874" s="17" t="n"/>
      <c r="W874" s="18" t="n"/>
      <c r="X874" s="18" t="n"/>
      <c r="Y874" s="17" t="n"/>
      <c r="Z874" s="10" t="n"/>
      <c r="AA874" s="10" t="n"/>
      <c r="AB874" s="19">
        <f>IF(LEN(A874)&gt;0,1,0)</f>
        <v/>
      </c>
      <c r="AC874" s="19">
        <f>IF(LEN(A874)=0,0,(LEN(B874)=0)+(LEN(C874)=0)+(LEN(D874)=0)+(LEN(E874)=0)+(LEN(F874)=0)+(LEN(G874)=0)+(LEN(H874)=0)+(LEN(I874)=0)+(LEN(J874)=0)+(LEN(K874)=0)+(LEN(L874)=0)+(LEN(N874)=0)+(LEN(O874)=0)+(LEN(P874)=0)+(LEN(R874)=0)+(LEN(AA874)=0))</f>
        <v/>
      </c>
      <c r="AD874" s="19">
        <f>IF(OR(LEN(A874)=0,LEN(C874)=0),0,IF(OR(C874&lt;1,C874&gt;5),1,0))</f>
        <v/>
      </c>
      <c r="AE874" s="19">
        <f>IF(OR(LEN(A874)=0,LEN(R874)=0),0,IF(OR(R874="Active",R874="Paid off",R874="Defaulted",R874="Repossessed",R874="Written off",R874="Restructured"),0,1))</f>
        <v/>
      </c>
      <c r="AF874" s="19">
        <f>IF(A874="",0,IF(N(J874)&gt;N(I874),1,0))</f>
        <v/>
      </c>
      <c r="AG874" s="19">
        <f>IF(A874="",0,IF(N(N874)&gt;N(M874)+1,1,0))</f>
        <v/>
      </c>
      <c r="AH874" s="19">
        <f>IF(A874="",0,IF(N(E874)&gt;N(B874),1,0))</f>
        <v/>
      </c>
      <c r="AI874" s="19">
        <f>IF(A874="",0,IF(AND(Z874="Full payment",N(N874)&lt;N(M874)-1),1,0))</f>
        <v/>
      </c>
      <c r="AJ874" s="19">
        <f>IF(A874="",0,IF(N(P874)&lt;0,1,0))</f>
        <v/>
      </c>
      <c r="AK874" s="19">
        <f>IF(A874="",0,IF(COUNTIF($A$7:$A$1006,A874)&gt;1,1,0))</f>
        <v/>
      </c>
    </row>
    <row r="875">
      <c r="A875" s="10" t="n"/>
      <c r="B875" s="17" t="n"/>
      <c r="C875" s="18" t="n"/>
      <c r="D875" s="10" t="n"/>
      <c r="E875" s="17" t="n"/>
      <c r="F875" s="10" t="n"/>
      <c r="G875" s="10" t="n"/>
      <c r="H875" s="10" t="n"/>
      <c r="I875" s="18" t="n"/>
      <c r="J875" s="18" t="n"/>
      <c r="K875" s="18" t="n"/>
      <c r="L875" s="18" t="n"/>
      <c r="M875" s="19">
        <f>IF(K875="","",K875*365/12*L875)</f>
        <v/>
      </c>
      <c r="N875" s="18" t="n"/>
      <c r="O875" s="18" t="n"/>
      <c r="P875" s="18" t="n"/>
      <c r="Q875" s="18" t="n"/>
      <c r="R875" s="10" t="n"/>
      <c r="S875" s="17" t="n"/>
      <c r="T875" s="18" t="n"/>
      <c r="U875" s="17" t="n"/>
      <c r="V875" s="17" t="n"/>
      <c r="W875" s="18" t="n"/>
      <c r="X875" s="18" t="n"/>
      <c r="Y875" s="17" t="n"/>
      <c r="Z875" s="10" t="n"/>
      <c r="AA875" s="10" t="n"/>
      <c r="AB875" s="19">
        <f>IF(LEN(A875)&gt;0,1,0)</f>
        <v/>
      </c>
      <c r="AC875" s="19">
        <f>IF(LEN(A875)=0,0,(LEN(B875)=0)+(LEN(C875)=0)+(LEN(D875)=0)+(LEN(E875)=0)+(LEN(F875)=0)+(LEN(G875)=0)+(LEN(H875)=0)+(LEN(I875)=0)+(LEN(J875)=0)+(LEN(K875)=0)+(LEN(L875)=0)+(LEN(N875)=0)+(LEN(O875)=0)+(LEN(P875)=0)+(LEN(R875)=0)+(LEN(AA875)=0))</f>
        <v/>
      </c>
      <c r="AD875" s="19">
        <f>IF(OR(LEN(A875)=0,LEN(C875)=0),0,IF(OR(C875&lt;1,C875&gt;5),1,0))</f>
        <v/>
      </c>
      <c r="AE875" s="19">
        <f>IF(OR(LEN(A875)=0,LEN(R875)=0),0,IF(OR(R875="Active",R875="Paid off",R875="Defaulted",R875="Repossessed",R875="Written off",R875="Restructured"),0,1))</f>
        <v/>
      </c>
      <c r="AF875" s="19">
        <f>IF(A875="",0,IF(N(J875)&gt;N(I875),1,0))</f>
        <v/>
      </c>
      <c r="AG875" s="19">
        <f>IF(A875="",0,IF(N(N875)&gt;N(M875)+1,1,0))</f>
        <v/>
      </c>
      <c r="AH875" s="19">
        <f>IF(A875="",0,IF(N(E875)&gt;N(B875),1,0))</f>
        <v/>
      </c>
      <c r="AI875" s="19">
        <f>IF(A875="",0,IF(AND(Z875="Full payment",N(N875)&lt;N(M875)-1),1,0))</f>
        <v/>
      </c>
      <c r="AJ875" s="19">
        <f>IF(A875="",0,IF(N(P875)&lt;0,1,0))</f>
        <v/>
      </c>
      <c r="AK875" s="19">
        <f>IF(A875="",0,IF(COUNTIF($A$7:$A$1006,A875)&gt;1,1,0))</f>
        <v/>
      </c>
    </row>
    <row r="876">
      <c r="A876" s="10" t="n"/>
      <c r="B876" s="17" t="n"/>
      <c r="C876" s="18" t="n"/>
      <c r="D876" s="10" t="n"/>
      <c r="E876" s="17" t="n"/>
      <c r="F876" s="10" t="n"/>
      <c r="G876" s="10" t="n"/>
      <c r="H876" s="10" t="n"/>
      <c r="I876" s="18" t="n"/>
      <c r="J876" s="18" t="n"/>
      <c r="K876" s="18" t="n"/>
      <c r="L876" s="18" t="n"/>
      <c r="M876" s="19">
        <f>IF(K876="","",K876*365/12*L876)</f>
        <v/>
      </c>
      <c r="N876" s="18" t="n"/>
      <c r="O876" s="18" t="n"/>
      <c r="P876" s="18" t="n"/>
      <c r="Q876" s="18" t="n"/>
      <c r="R876" s="10" t="n"/>
      <c r="S876" s="17" t="n"/>
      <c r="T876" s="18" t="n"/>
      <c r="U876" s="17" t="n"/>
      <c r="V876" s="17" t="n"/>
      <c r="W876" s="18" t="n"/>
      <c r="X876" s="18" t="n"/>
      <c r="Y876" s="17" t="n"/>
      <c r="Z876" s="10" t="n"/>
      <c r="AA876" s="10" t="n"/>
      <c r="AB876" s="19">
        <f>IF(LEN(A876)&gt;0,1,0)</f>
        <v/>
      </c>
      <c r="AC876" s="19">
        <f>IF(LEN(A876)=0,0,(LEN(B876)=0)+(LEN(C876)=0)+(LEN(D876)=0)+(LEN(E876)=0)+(LEN(F876)=0)+(LEN(G876)=0)+(LEN(H876)=0)+(LEN(I876)=0)+(LEN(J876)=0)+(LEN(K876)=0)+(LEN(L876)=0)+(LEN(N876)=0)+(LEN(O876)=0)+(LEN(P876)=0)+(LEN(R876)=0)+(LEN(AA876)=0))</f>
        <v/>
      </c>
      <c r="AD876" s="19">
        <f>IF(OR(LEN(A876)=0,LEN(C876)=0),0,IF(OR(C876&lt;1,C876&gt;5),1,0))</f>
        <v/>
      </c>
      <c r="AE876" s="19">
        <f>IF(OR(LEN(A876)=0,LEN(R876)=0),0,IF(OR(R876="Active",R876="Paid off",R876="Defaulted",R876="Repossessed",R876="Written off",R876="Restructured"),0,1))</f>
        <v/>
      </c>
      <c r="AF876" s="19">
        <f>IF(A876="",0,IF(N(J876)&gt;N(I876),1,0))</f>
        <v/>
      </c>
      <c r="AG876" s="19">
        <f>IF(A876="",0,IF(N(N876)&gt;N(M876)+1,1,0))</f>
        <v/>
      </c>
      <c r="AH876" s="19">
        <f>IF(A876="",0,IF(N(E876)&gt;N(B876),1,0))</f>
        <v/>
      </c>
      <c r="AI876" s="19">
        <f>IF(A876="",0,IF(AND(Z876="Full payment",N(N876)&lt;N(M876)-1),1,0))</f>
        <v/>
      </c>
      <c r="AJ876" s="19">
        <f>IF(A876="",0,IF(N(P876)&lt;0,1,0))</f>
        <v/>
      </c>
      <c r="AK876" s="19">
        <f>IF(A876="",0,IF(COUNTIF($A$7:$A$1006,A876)&gt;1,1,0))</f>
        <v/>
      </c>
    </row>
    <row r="877">
      <c r="A877" s="10" t="n"/>
      <c r="B877" s="17" t="n"/>
      <c r="C877" s="18" t="n"/>
      <c r="D877" s="10" t="n"/>
      <c r="E877" s="17" t="n"/>
      <c r="F877" s="10" t="n"/>
      <c r="G877" s="10" t="n"/>
      <c r="H877" s="10" t="n"/>
      <c r="I877" s="18" t="n"/>
      <c r="J877" s="18" t="n"/>
      <c r="K877" s="18" t="n"/>
      <c r="L877" s="18" t="n"/>
      <c r="M877" s="19">
        <f>IF(K877="","",K877*365/12*L877)</f>
        <v/>
      </c>
      <c r="N877" s="18" t="n"/>
      <c r="O877" s="18" t="n"/>
      <c r="P877" s="18" t="n"/>
      <c r="Q877" s="18" t="n"/>
      <c r="R877" s="10" t="n"/>
      <c r="S877" s="17" t="n"/>
      <c r="T877" s="18" t="n"/>
      <c r="U877" s="17" t="n"/>
      <c r="V877" s="17" t="n"/>
      <c r="W877" s="18" t="n"/>
      <c r="X877" s="18" t="n"/>
      <c r="Y877" s="17" t="n"/>
      <c r="Z877" s="10" t="n"/>
      <c r="AA877" s="10" t="n"/>
      <c r="AB877" s="19">
        <f>IF(LEN(A877)&gt;0,1,0)</f>
        <v/>
      </c>
      <c r="AC877" s="19">
        <f>IF(LEN(A877)=0,0,(LEN(B877)=0)+(LEN(C877)=0)+(LEN(D877)=0)+(LEN(E877)=0)+(LEN(F877)=0)+(LEN(G877)=0)+(LEN(H877)=0)+(LEN(I877)=0)+(LEN(J877)=0)+(LEN(K877)=0)+(LEN(L877)=0)+(LEN(N877)=0)+(LEN(O877)=0)+(LEN(P877)=0)+(LEN(R877)=0)+(LEN(AA877)=0))</f>
        <v/>
      </c>
      <c r="AD877" s="19">
        <f>IF(OR(LEN(A877)=0,LEN(C877)=0),0,IF(OR(C877&lt;1,C877&gt;5),1,0))</f>
        <v/>
      </c>
      <c r="AE877" s="19">
        <f>IF(OR(LEN(A877)=0,LEN(R877)=0),0,IF(OR(R877="Active",R877="Paid off",R877="Defaulted",R877="Repossessed",R877="Written off",R877="Restructured"),0,1))</f>
        <v/>
      </c>
      <c r="AF877" s="19">
        <f>IF(A877="",0,IF(N(J877)&gt;N(I877),1,0))</f>
        <v/>
      </c>
      <c r="AG877" s="19">
        <f>IF(A877="",0,IF(N(N877)&gt;N(M877)+1,1,0))</f>
        <v/>
      </c>
      <c r="AH877" s="19">
        <f>IF(A877="",0,IF(N(E877)&gt;N(B877),1,0))</f>
        <v/>
      </c>
      <c r="AI877" s="19">
        <f>IF(A877="",0,IF(AND(Z877="Full payment",N(N877)&lt;N(M877)-1),1,0))</f>
        <v/>
      </c>
      <c r="AJ877" s="19">
        <f>IF(A877="",0,IF(N(P877)&lt;0,1,0))</f>
        <v/>
      </c>
      <c r="AK877" s="19">
        <f>IF(A877="",0,IF(COUNTIF($A$7:$A$1006,A877)&gt;1,1,0))</f>
        <v/>
      </c>
    </row>
    <row r="878">
      <c r="A878" s="10" t="n"/>
      <c r="B878" s="17" t="n"/>
      <c r="C878" s="18" t="n"/>
      <c r="D878" s="10" t="n"/>
      <c r="E878" s="17" t="n"/>
      <c r="F878" s="10" t="n"/>
      <c r="G878" s="10" t="n"/>
      <c r="H878" s="10" t="n"/>
      <c r="I878" s="18" t="n"/>
      <c r="J878" s="18" t="n"/>
      <c r="K878" s="18" t="n"/>
      <c r="L878" s="18" t="n"/>
      <c r="M878" s="19">
        <f>IF(K878="","",K878*365/12*L878)</f>
        <v/>
      </c>
      <c r="N878" s="18" t="n"/>
      <c r="O878" s="18" t="n"/>
      <c r="P878" s="18" t="n"/>
      <c r="Q878" s="18" t="n"/>
      <c r="R878" s="10" t="n"/>
      <c r="S878" s="17" t="n"/>
      <c r="T878" s="18" t="n"/>
      <c r="U878" s="17" t="n"/>
      <c r="V878" s="17" t="n"/>
      <c r="W878" s="18" t="n"/>
      <c r="X878" s="18" t="n"/>
      <c r="Y878" s="17" t="n"/>
      <c r="Z878" s="10" t="n"/>
      <c r="AA878" s="10" t="n"/>
      <c r="AB878" s="19">
        <f>IF(LEN(A878)&gt;0,1,0)</f>
        <v/>
      </c>
      <c r="AC878" s="19">
        <f>IF(LEN(A878)=0,0,(LEN(B878)=0)+(LEN(C878)=0)+(LEN(D878)=0)+(LEN(E878)=0)+(LEN(F878)=0)+(LEN(G878)=0)+(LEN(H878)=0)+(LEN(I878)=0)+(LEN(J878)=0)+(LEN(K878)=0)+(LEN(L878)=0)+(LEN(N878)=0)+(LEN(O878)=0)+(LEN(P878)=0)+(LEN(R878)=0)+(LEN(AA878)=0))</f>
        <v/>
      </c>
      <c r="AD878" s="19">
        <f>IF(OR(LEN(A878)=0,LEN(C878)=0),0,IF(OR(C878&lt;1,C878&gt;5),1,0))</f>
        <v/>
      </c>
      <c r="AE878" s="19">
        <f>IF(OR(LEN(A878)=0,LEN(R878)=0),0,IF(OR(R878="Active",R878="Paid off",R878="Defaulted",R878="Repossessed",R878="Written off",R878="Restructured"),0,1))</f>
        <v/>
      </c>
      <c r="AF878" s="19">
        <f>IF(A878="",0,IF(N(J878)&gt;N(I878),1,0))</f>
        <v/>
      </c>
      <c r="AG878" s="19">
        <f>IF(A878="",0,IF(N(N878)&gt;N(M878)+1,1,0))</f>
        <v/>
      </c>
      <c r="AH878" s="19">
        <f>IF(A878="",0,IF(N(E878)&gt;N(B878),1,0))</f>
        <v/>
      </c>
      <c r="AI878" s="19">
        <f>IF(A878="",0,IF(AND(Z878="Full payment",N(N878)&lt;N(M878)-1),1,0))</f>
        <v/>
      </c>
      <c r="AJ878" s="19">
        <f>IF(A878="",0,IF(N(P878)&lt;0,1,0))</f>
        <v/>
      </c>
      <c r="AK878" s="19">
        <f>IF(A878="",0,IF(COUNTIF($A$7:$A$1006,A878)&gt;1,1,0))</f>
        <v/>
      </c>
    </row>
    <row r="879">
      <c r="A879" s="10" t="n"/>
      <c r="B879" s="17" t="n"/>
      <c r="C879" s="18" t="n"/>
      <c r="D879" s="10" t="n"/>
      <c r="E879" s="17" t="n"/>
      <c r="F879" s="10" t="n"/>
      <c r="G879" s="10" t="n"/>
      <c r="H879" s="10" t="n"/>
      <c r="I879" s="18" t="n"/>
      <c r="J879" s="18" t="n"/>
      <c r="K879" s="18" t="n"/>
      <c r="L879" s="18" t="n"/>
      <c r="M879" s="19">
        <f>IF(K879="","",K879*365/12*L879)</f>
        <v/>
      </c>
      <c r="N879" s="18" t="n"/>
      <c r="O879" s="18" t="n"/>
      <c r="P879" s="18" t="n"/>
      <c r="Q879" s="18" t="n"/>
      <c r="R879" s="10" t="n"/>
      <c r="S879" s="17" t="n"/>
      <c r="T879" s="18" t="n"/>
      <c r="U879" s="17" t="n"/>
      <c r="V879" s="17" t="n"/>
      <c r="W879" s="18" t="n"/>
      <c r="X879" s="18" t="n"/>
      <c r="Y879" s="17" t="n"/>
      <c r="Z879" s="10" t="n"/>
      <c r="AA879" s="10" t="n"/>
      <c r="AB879" s="19">
        <f>IF(LEN(A879)&gt;0,1,0)</f>
        <v/>
      </c>
      <c r="AC879" s="19">
        <f>IF(LEN(A879)=0,0,(LEN(B879)=0)+(LEN(C879)=0)+(LEN(D879)=0)+(LEN(E879)=0)+(LEN(F879)=0)+(LEN(G879)=0)+(LEN(H879)=0)+(LEN(I879)=0)+(LEN(J879)=0)+(LEN(K879)=0)+(LEN(L879)=0)+(LEN(N879)=0)+(LEN(O879)=0)+(LEN(P879)=0)+(LEN(R879)=0)+(LEN(AA879)=0))</f>
        <v/>
      </c>
      <c r="AD879" s="19">
        <f>IF(OR(LEN(A879)=0,LEN(C879)=0),0,IF(OR(C879&lt;1,C879&gt;5),1,0))</f>
        <v/>
      </c>
      <c r="AE879" s="19">
        <f>IF(OR(LEN(A879)=0,LEN(R879)=0),0,IF(OR(R879="Active",R879="Paid off",R879="Defaulted",R879="Repossessed",R879="Written off",R879="Restructured"),0,1))</f>
        <v/>
      </c>
      <c r="AF879" s="19">
        <f>IF(A879="",0,IF(N(J879)&gt;N(I879),1,0))</f>
        <v/>
      </c>
      <c r="AG879" s="19">
        <f>IF(A879="",0,IF(N(N879)&gt;N(M879)+1,1,0))</f>
        <v/>
      </c>
      <c r="AH879" s="19">
        <f>IF(A879="",0,IF(N(E879)&gt;N(B879),1,0))</f>
        <v/>
      </c>
      <c r="AI879" s="19">
        <f>IF(A879="",0,IF(AND(Z879="Full payment",N(N879)&lt;N(M879)-1),1,0))</f>
        <v/>
      </c>
      <c r="AJ879" s="19">
        <f>IF(A879="",0,IF(N(P879)&lt;0,1,0))</f>
        <v/>
      </c>
      <c r="AK879" s="19">
        <f>IF(A879="",0,IF(COUNTIF($A$7:$A$1006,A879)&gt;1,1,0))</f>
        <v/>
      </c>
    </row>
    <row r="880">
      <c r="A880" s="10" t="n"/>
      <c r="B880" s="17" t="n"/>
      <c r="C880" s="18" t="n"/>
      <c r="D880" s="10" t="n"/>
      <c r="E880" s="17" t="n"/>
      <c r="F880" s="10" t="n"/>
      <c r="G880" s="10" t="n"/>
      <c r="H880" s="10" t="n"/>
      <c r="I880" s="18" t="n"/>
      <c r="J880" s="18" t="n"/>
      <c r="K880" s="18" t="n"/>
      <c r="L880" s="18" t="n"/>
      <c r="M880" s="19">
        <f>IF(K880="","",K880*365/12*L880)</f>
        <v/>
      </c>
      <c r="N880" s="18" t="n"/>
      <c r="O880" s="18" t="n"/>
      <c r="P880" s="18" t="n"/>
      <c r="Q880" s="18" t="n"/>
      <c r="R880" s="10" t="n"/>
      <c r="S880" s="17" t="n"/>
      <c r="T880" s="18" t="n"/>
      <c r="U880" s="17" t="n"/>
      <c r="V880" s="17" t="n"/>
      <c r="W880" s="18" t="n"/>
      <c r="X880" s="18" t="n"/>
      <c r="Y880" s="17" t="n"/>
      <c r="Z880" s="10" t="n"/>
      <c r="AA880" s="10" t="n"/>
      <c r="AB880" s="19">
        <f>IF(LEN(A880)&gt;0,1,0)</f>
        <v/>
      </c>
      <c r="AC880" s="19">
        <f>IF(LEN(A880)=0,0,(LEN(B880)=0)+(LEN(C880)=0)+(LEN(D880)=0)+(LEN(E880)=0)+(LEN(F880)=0)+(LEN(G880)=0)+(LEN(H880)=0)+(LEN(I880)=0)+(LEN(J880)=0)+(LEN(K880)=0)+(LEN(L880)=0)+(LEN(N880)=0)+(LEN(O880)=0)+(LEN(P880)=0)+(LEN(R880)=0)+(LEN(AA880)=0))</f>
        <v/>
      </c>
      <c r="AD880" s="19">
        <f>IF(OR(LEN(A880)=0,LEN(C880)=0),0,IF(OR(C880&lt;1,C880&gt;5),1,0))</f>
        <v/>
      </c>
      <c r="AE880" s="19">
        <f>IF(OR(LEN(A880)=0,LEN(R880)=0),0,IF(OR(R880="Active",R880="Paid off",R880="Defaulted",R880="Repossessed",R880="Written off",R880="Restructured"),0,1))</f>
        <v/>
      </c>
      <c r="AF880" s="19">
        <f>IF(A880="",0,IF(N(J880)&gt;N(I880),1,0))</f>
        <v/>
      </c>
      <c r="AG880" s="19">
        <f>IF(A880="",0,IF(N(N880)&gt;N(M880)+1,1,0))</f>
        <v/>
      </c>
      <c r="AH880" s="19">
        <f>IF(A880="",0,IF(N(E880)&gt;N(B880),1,0))</f>
        <v/>
      </c>
      <c r="AI880" s="19">
        <f>IF(A880="",0,IF(AND(Z880="Full payment",N(N880)&lt;N(M880)-1),1,0))</f>
        <v/>
      </c>
      <c r="AJ880" s="19">
        <f>IF(A880="",0,IF(N(P880)&lt;0,1,0))</f>
        <v/>
      </c>
      <c r="AK880" s="19">
        <f>IF(A880="",0,IF(COUNTIF($A$7:$A$1006,A880)&gt;1,1,0))</f>
        <v/>
      </c>
    </row>
    <row r="881">
      <c r="A881" s="10" t="n"/>
      <c r="B881" s="17" t="n"/>
      <c r="C881" s="18" t="n"/>
      <c r="D881" s="10" t="n"/>
      <c r="E881" s="17" t="n"/>
      <c r="F881" s="10" t="n"/>
      <c r="G881" s="10" t="n"/>
      <c r="H881" s="10" t="n"/>
      <c r="I881" s="18" t="n"/>
      <c r="J881" s="18" t="n"/>
      <c r="K881" s="18" t="n"/>
      <c r="L881" s="18" t="n"/>
      <c r="M881" s="19">
        <f>IF(K881="","",K881*365/12*L881)</f>
        <v/>
      </c>
      <c r="N881" s="18" t="n"/>
      <c r="O881" s="18" t="n"/>
      <c r="P881" s="18" t="n"/>
      <c r="Q881" s="18" t="n"/>
      <c r="R881" s="10" t="n"/>
      <c r="S881" s="17" t="n"/>
      <c r="T881" s="18" t="n"/>
      <c r="U881" s="17" t="n"/>
      <c r="V881" s="17" t="n"/>
      <c r="W881" s="18" t="n"/>
      <c r="X881" s="18" t="n"/>
      <c r="Y881" s="17" t="n"/>
      <c r="Z881" s="10" t="n"/>
      <c r="AA881" s="10" t="n"/>
      <c r="AB881" s="19">
        <f>IF(LEN(A881)&gt;0,1,0)</f>
        <v/>
      </c>
      <c r="AC881" s="19">
        <f>IF(LEN(A881)=0,0,(LEN(B881)=0)+(LEN(C881)=0)+(LEN(D881)=0)+(LEN(E881)=0)+(LEN(F881)=0)+(LEN(G881)=0)+(LEN(H881)=0)+(LEN(I881)=0)+(LEN(J881)=0)+(LEN(K881)=0)+(LEN(L881)=0)+(LEN(N881)=0)+(LEN(O881)=0)+(LEN(P881)=0)+(LEN(R881)=0)+(LEN(AA881)=0))</f>
        <v/>
      </c>
      <c r="AD881" s="19">
        <f>IF(OR(LEN(A881)=0,LEN(C881)=0),0,IF(OR(C881&lt;1,C881&gt;5),1,0))</f>
        <v/>
      </c>
      <c r="AE881" s="19">
        <f>IF(OR(LEN(A881)=0,LEN(R881)=0),0,IF(OR(R881="Active",R881="Paid off",R881="Defaulted",R881="Repossessed",R881="Written off",R881="Restructured"),0,1))</f>
        <v/>
      </c>
      <c r="AF881" s="19">
        <f>IF(A881="",0,IF(N(J881)&gt;N(I881),1,0))</f>
        <v/>
      </c>
      <c r="AG881" s="19">
        <f>IF(A881="",0,IF(N(N881)&gt;N(M881)+1,1,0))</f>
        <v/>
      </c>
      <c r="AH881" s="19">
        <f>IF(A881="",0,IF(N(E881)&gt;N(B881),1,0))</f>
        <v/>
      </c>
      <c r="AI881" s="19">
        <f>IF(A881="",0,IF(AND(Z881="Full payment",N(N881)&lt;N(M881)-1),1,0))</f>
        <v/>
      </c>
      <c r="AJ881" s="19">
        <f>IF(A881="",0,IF(N(P881)&lt;0,1,0))</f>
        <v/>
      </c>
      <c r="AK881" s="19">
        <f>IF(A881="",0,IF(COUNTIF($A$7:$A$1006,A881)&gt;1,1,0))</f>
        <v/>
      </c>
    </row>
    <row r="882">
      <c r="A882" s="10" t="n"/>
      <c r="B882" s="17" t="n"/>
      <c r="C882" s="18" t="n"/>
      <c r="D882" s="10" t="n"/>
      <c r="E882" s="17" t="n"/>
      <c r="F882" s="10" t="n"/>
      <c r="G882" s="10" t="n"/>
      <c r="H882" s="10" t="n"/>
      <c r="I882" s="18" t="n"/>
      <c r="J882" s="18" t="n"/>
      <c r="K882" s="18" t="n"/>
      <c r="L882" s="18" t="n"/>
      <c r="M882" s="19">
        <f>IF(K882="","",K882*365/12*L882)</f>
        <v/>
      </c>
      <c r="N882" s="18" t="n"/>
      <c r="O882" s="18" t="n"/>
      <c r="P882" s="18" t="n"/>
      <c r="Q882" s="18" t="n"/>
      <c r="R882" s="10" t="n"/>
      <c r="S882" s="17" t="n"/>
      <c r="T882" s="18" t="n"/>
      <c r="U882" s="17" t="n"/>
      <c r="V882" s="17" t="n"/>
      <c r="W882" s="18" t="n"/>
      <c r="X882" s="18" t="n"/>
      <c r="Y882" s="17" t="n"/>
      <c r="Z882" s="10" t="n"/>
      <c r="AA882" s="10" t="n"/>
      <c r="AB882" s="19">
        <f>IF(LEN(A882)&gt;0,1,0)</f>
        <v/>
      </c>
      <c r="AC882" s="19">
        <f>IF(LEN(A882)=0,0,(LEN(B882)=0)+(LEN(C882)=0)+(LEN(D882)=0)+(LEN(E882)=0)+(LEN(F882)=0)+(LEN(G882)=0)+(LEN(H882)=0)+(LEN(I882)=0)+(LEN(J882)=0)+(LEN(K882)=0)+(LEN(L882)=0)+(LEN(N882)=0)+(LEN(O882)=0)+(LEN(P882)=0)+(LEN(R882)=0)+(LEN(AA882)=0))</f>
        <v/>
      </c>
      <c r="AD882" s="19">
        <f>IF(OR(LEN(A882)=0,LEN(C882)=0),0,IF(OR(C882&lt;1,C882&gt;5),1,0))</f>
        <v/>
      </c>
      <c r="AE882" s="19">
        <f>IF(OR(LEN(A882)=0,LEN(R882)=0),0,IF(OR(R882="Active",R882="Paid off",R882="Defaulted",R882="Repossessed",R882="Written off",R882="Restructured"),0,1))</f>
        <v/>
      </c>
      <c r="AF882" s="19">
        <f>IF(A882="",0,IF(N(J882)&gt;N(I882),1,0))</f>
        <v/>
      </c>
      <c r="AG882" s="19">
        <f>IF(A882="",0,IF(N(N882)&gt;N(M882)+1,1,0))</f>
        <v/>
      </c>
      <c r="AH882" s="19">
        <f>IF(A882="",0,IF(N(E882)&gt;N(B882),1,0))</f>
        <v/>
      </c>
      <c r="AI882" s="19">
        <f>IF(A882="",0,IF(AND(Z882="Full payment",N(N882)&lt;N(M882)-1),1,0))</f>
        <v/>
      </c>
      <c r="AJ882" s="19">
        <f>IF(A882="",0,IF(N(P882)&lt;0,1,0))</f>
        <v/>
      </c>
      <c r="AK882" s="19">
        <f>IF(A882="",0,IF(COUNTIF($A$7:$A$1006,A882)&gt;1,1,0))</f>
        <v/>
      </c>
    </row>
    <row r="883">
      <c r="A883" s="10" t="n"/>
      <c r="B883" s="17" t="n"/>
      <c r="C883" s="18" t="n"/>
      <c r="D883" s="10" t="n"/>
      <c r="E883" s="17" t="n"/>
      <c r="F883" s="10" t="n"/>
      <c r="G883" s="10" t="n"/>
      <c r="H883" s="10" t="n"/>
      <c r="I883" s="18" t="n"/>
      <c r="J883" s="18" t="n"/>
      <c r="K883" s="18" t="n"/>
      <c r="L883" s="18" t="n"/>
      <c r="M883" s="19">
        <f>IF(K883="","",K883*365/12*L883)</f>
        <v/>
      </c>
      <c r="N883" s="18" t="n"/>
      <c r="O883" s="18" t="n"/>
      <c r="P883" s="18" t="n"/>
      <c r="Q883" s="18" t="n"/>
      <c r="R883" s="10" t="n"/>
      <c r="S883" s="17" t="n"/>
      <c r="T883" s="18" t="n"/>
      <c r="U883" s="17" t="n"/>
      <c r="V883" s="17" t="n"/>
      <c r="W883" s="18" t="n"/>
      <c r="X883" s="18" t="n"/>
      <c r="Y883" s="17" t="n"/>
      <c r="Z883" s="10" t="n"/>
      <c r="AA883" s="10" t="n"/>
      <c r="AB883" s="19">
        <f>IF(LEN(A883)&gt;0,1,0)</f>
        <v/>
      </c>
      <c r="AC883" s="19">
        <f>IF(LEN(A883)=0,0,(LEN(B883)=0)+(LEN(C883)=0)+(LEN(D883)=0)+(LEN(E883)=0)+(LEN(F883)=0)+(LEN(G883)=0)+(LEN(H883)=0)+(LEN(I883)=0)+(LEN(J883)=0)+(LEN(K883)=0)+(LEN(L883)=0)+(LEN(N883)=0)+(LEN(O883)=0)+(LEN(P883)=0)+(LEN(R883)=0)+(LEN(AA883)=0))</f>
        <v/>
      </c>
      <c r="AD883" s="19">
        <f>IF(OR(LEN(A883)=0,LEN(C883)=0),0,IF(OR(C883&lt;1,C883&gt;5),1,0))</f>
        <v/>
      </c>
      <c r="AE883" s="19">
        <f>IF(OR(LEN(A883)=0,LEN(R883)=0),0,IF(OR(R883="Active",R883="Paid off",R883="Defaulted",R883="Repossessed",R883="Written off",R883="Restructured"),0,1))</f>
        <v/>
      </c>
      <c r="AF883" s="19">
        <f>IF(A883="",0,IF(N(J883)&gt;N(I883),1,0))</f>
        <v/>
      </c>
      <c r="AG883" s="19">
        <f>IF(A883="",0,IF(N(N883)&gt;N(M883)+1,1,0))</f>
        <v/>
      </c>
      <c r="AH883" s="19">
        <f>IF(A883="",0,IF(N(E883)&gt;N(B883),1,0))</f>
        <v/>
      </c>
      <c r="AI883" s="19">
        <f>IF(A883="",0,IF(AND(Z883="Full payment",N(N883)&lt;N(M883)-1),1,0))</f>
        <v/>
      </c>
      <c r="AJ883" s="19">
        <f>IF(A883="",0,IF(N(P883)&lt;0,1,0))</f>
        <v/>
      </c>
      <c r="AK883" s="19">
        <f>IF(A883="",0,IF(COUNTIF($A$7:$A$1006,A883)&gt;1,1,0))</f>
        <v/>
      </c>
    </row>
    <row r="884">
      <c r="A884" s="10" t="n"/>
      <c r="B884" s="17" t="n"/>
      <c r="C884" s="18" t="n"/>
      <c r="D884" s="10" t="n"/>
      <c r="E884" s="17" t="n"/>
      <c r="F884" s="10" t="n"/>
      <c r="G884" s="10" t="n"/>
      <c r="H884" s="10" t="n"/>
      <c r="I884" s="18" t="n"/>
      <c r="J884" s="18" t="n"/>
      <c r="K884" s="18" t="n"/>
      <c r="L884" s="18" t="n"/>
      <c r="M884" s="19">
        <f>IF(K884="","",K884*365/12*L884)</f>
        <v/>
      </c>
      <c r="N884" s="18" t="n"/>
      <c r="O884" s="18" t="n"/>
      <c r="P884" s="18" t="n"/>
      <c r="Q884" s="18" t="n"/>
      <c r="R884" s="10" t="n"/>
      <c r="S884" s="17" t="n"/>
      <c r="T884" s="18" t="n"/>
      <c r="U884" s="17" t="n"/>
      <c r="V884" s="17" t="n"/>
      <c r="W884" s="18" t="n"/>
      <c r="X884" s="18" t="n"/>
      <c r="Y884" s="17" t="n"/>
      <c r="Z884" s="10" t="n"/>
      <c r="AA884" s="10" t="n"/>
      <c r="AB884" s="19">
        <f>IF(LEN(A884)&gt;0,1,0)</f>
        <v/>
      </c>
      <c r="AC884" s="19">
        <f>IF(LEN(A884)=0,0,(LEN(B884)=0)+(LEN(C884)=0)+(LEN(D884)=0)+(LEN(E884)=0)+(LEN(F884)=0)+(LEN(G884)=0)+(LEN(H884)=0)+(LEN(I884)=0)+(LEN(J884)=0)+(LEN(K884)=0)+(LEN(L884)=0)+(LEN(N884)=0)+(LEN(O884)=0)+(LEN(P884)=0)+(LEN(R884)=0)+(LEN(AA884)=0))</f>
        <v/>
      </c>
      <c r="AD884" s="19">
        <f>IF(OR(LEN(A884)=0,LEN(C884)=0),0,IF(OR(C884&lt;1,C884&gt;5),1,0))</f>
        <v/>
      </c>
      <c r="AE884" s="19">
        <f>IF(OR(LEN(A884)=0,LEN(R884)=0),0,IF(OR(R884="Active",R884="Paid off",R884="Defaulted",R884="Repossessed",R884="Written off",R884="Restructured"),0,1))</f>
        <v/>
      </c>
      <c r="AF884" s="19">
        <f>IF(A884="",0,IF(N(J884)&gt;N(I884),1,0))</f>
        <v/>
      </c>
      <c r="AG884" s="19">
        <f>IF(A884="",0,IF(N(N884)&gt;N(M884)+1,1,0))</f>
        <v/>
      </c>
      <c r="AH884" s="19">
        <f>IF(A884="",0,IF(N(E884)&gt;N(B884),1,0))</f>
        <v/>
      </c>
      <c r="AI884" s="19">
        <f>IF(A884="",0,IF(AND(Z884="Full payment",N(N884)&lt;N(M884)-1),1,0))</f>
        <v/>
      </c>
      <c r="AJ884" s="19">
        <f>IF(A884="",0,IF(N(P884)&lt;0,1,0))</f>
        <v/>
      </c>
      <c r="AK884" s="19">
        <f>IF(A884="",0,IF(COUNTIF($A$7:$A$1006,A884)&gt;1,1,0))</f>
        <v/>
      </c>
    </row>
    <row r="885">
      <c r="A885" s="10" t="n"/>
      <c r="B885" s="17" t="n"/>
      <c r="C885" s="18" t="n"/>
      <c r="D885" s="10" t="n"/>
      <c r="E885" s="17" t="n"/>
      <c r="F885" s="10" t="n"/>
      <c r="G885" s="10" t="n"/>
      <c r="H885" s="10" t="n"/>
      <c r="I885" s="18" t="n"/>
      <c r="J885" s="18" t="n"/>
      <c r="K885" s="18" t="n"/>
      <c r="L885" s="18" t="n"/>
      <c r="M885" s="19">
        <f>IF(K885="","",K885*365/12*L885)</f>
        <v/>
      </c>
      <c r="N885" s="18" t="n"/>
      <c r="O885" s="18" t="n"/>
      <c r="P885" s="18" t="n"/>
      <c r="Q885" s="18" t="n"/>
      <c r="R885" s="10" t="n"/>
      <c r="S885" s="17" t="n"/>
      <c r="T885" s="18" t="n"/>
      <c r="U885" s="17" t="n"/>
      <c r="V885" s="17" t="n"/>
      <c r="W885" s="18" t="n"/>
      <c r="X885" s="18" t="n"/>
      <c r="Y885" s="17" t="n"/>
      <c r="Z885" s="10" t="n"/>
      <c r="AA885" s="10" t="n"/>
      <c r="AB885" s="19">
        <f>IF(LEN(A885)&gt;0,1,0)</f>
        <v/>
      </c>
      <c r="AC885" s="19">
        <f>IF(LEN(A885)=0,0,(LEN(B885)=0)+(LEN(C885)=0)+(LEN(D885)=0)+(LEN(E885)=0)+(LEN(F885)=0)+(LEN(G885)=0)+(LEN(H885)=0)+(LEN(I885)=0)+(LEN(J885)=0)+(LEN(K885)=0)+(LEN(L885)=0)+(LEN(N885)=0)+(LEN(O885)=0)+(LEN(P885)=0)+(LEN(R885)=0)+(LEN(AA885)=0))</f>
        <v/>
      </c>
      <c r="AD885" s="19">
        <f>IF(OR(LEN(A885)=0,LEN(C885)=0),0,IF(OR(C885&lt;1,C885&gt;5),1,0))</f>
        <v/>
      </c>
      <c r="AE885" s="19">
        <f>IF(OR(LEN(A885)=0,LEN(R885)=0),0,IF(OR(R885="Active",R885="Paid off",R885="Defaulted",R885="Repossessed",R885="Written off",R885="Restructured"),0,1))</f>
        <v/>
      </c>
      <c r="AF885" s="19">
        <f>IF(A885="",0,IF(N(J885)&gt;N(I885),1,0))</f>
        <v/>
      </c>
      <c r="AG885" s="19">
        <f>IF(A885="",0,IF(N(N885)&gt;N(M885)+1,1,0))</f>
        <v/>
      </c>
      <c r="AH885" s="19">
        <f>IF(A885="",0,IF(N(E885)&gt;N(B885),1,0))</f>
        <v/>
      </c>
      <c r="AI885" s="19">
        <f>IF(A885="",0,IF(AND(Z885="Full payment",N(N885)&lt;N(M885)-1),1,0))</f>
        <v/>
      </c>
      <c r="AJ885" s="19">
        <f>IF(A885="",0,IF(N(P885)&lt;0,1,0))</f>
        <v/>
      </c>
      <c r="AK885" s="19">
        <f>IF(A885="",0,IF(COUNTIF($A$7:$A$1006,A885)&gt;1,1,0))</f>
        <v/>
      </c>
    </row>
    <row r="886">
      <c r="A886" s="10" t="n"/>
      <c r="B886" s="17" t="n"/>
      <c r="C886" s="18" t="n"/>
      <c r="D886" s="10" t="n"/>
      <c r="E886" s="17" t="n"/>
      <c r="F886" s="10" t="n"/>
      <c r="G886" s="10" t="n"/>
      <c r="H886" s="10" t="n"/>
      <c r="I886" s="18" t="n"/>
      <c r="J886" s="18" t="n"/>
      <c r="K886" s="18" t="n"/>
      <c r="L886" s="18" t="n"/>
      <c r="M886" s="19">
        <f>IF(K886="","",K886*365/12*L886)</f>
        <v/>
      </c>
      <c r="N886" s="18" t="n"/>
      <c r="O886" s="18" t="n"/>
      <c r="P886" s="18" t="n"/>
      <c r="Q886" s="18" t="n"/>
      <c r="R886" s="10" t="n"/>
      <c r="S886" s="17" t="n"/>
      <c r="T886" s="18" t="n"/>
      <c r="U886" s="17" t="n"/>
      <c r="V886" s="17" t="n"/>
      <c r="W886" s="18" t="n"/>
      <c r="X886" s="18" t="n"/>
      <c r="Y886" s="17" t="n"/>
      <c r="Z886" s="10" t="n"/>
      <c r="AA886" s="10" t="n"/>
      <c r="AB886" s="19">
        <f>IF(LEN(A886)&gt;0,1,0)</f>
        <v/>
      </c>
      <c r="AC886" s="19">
        <f>IF(LEN(A886)=0,0,(LEN(B886)=0)+(LEN(C886)=0)+(LEN(D886)=0)+(LEN(E886)=0)+(LEN(F886)=0)+(LEN(G886)=0)+(LEN(H886)=0)+(LEN(I886)=0)+(LEN(J886)=0)+(LEN(K886)=0)+(LEN(L886)=0)+(LEN(N886)=0)+(LEN(O886)=0)+(LEN(P886)=0)+(LEN(R886)=0)+(LEN(AA886)=0))</f>
        <v/>
      </c>
      <c r="AD886" s="19">
        <f>IF(OR(LEN(A886)=0,LEN(C886)=0),0,IF(OR(C886&lt;1,C886&gt;5),1,0))</f>
        <v/>
      </c>
      <c r="AE886" s="19">
        <f>IF(OR(LEN(A886)=0,LEN(R886)=0),0,IF(OR(R886="Active",R886="Paid off",R886="Defaulted",R886="Repossessed",R886="Written off",R886="Restructured"),0,1))</f>
        <v/>
      </c>
      <c r="AF886" s="19">
        <f>IF(A886="",0,IF(N(J886)&gt;N(I886),1,0))</f>
        <v/>
      </c>
      <c r="AG886" s="19">
        <f>IF(A886="",0,IF(N(N886)&gt;N(M886)+1,1,0))</f>
        <v/>
      </c>
      <c r="AH886" s="19">
        <f>IF(A886="",0,IF(N(E886)&gt;N(B886),1,0))</f>
        <v/>
      </c>
      <c r="AI886" s="19">
        <f>IF(A886="",0,IF(AND(Z886="Full payment",N(N886)&lt;N(M886)-1),1,0))</f>
        <v/>
      </c>
      <c r="AJ886" s="19">
        <f>IF(A886="",0,IF(N(P886)&lt;0,1,0))</f>
        <v/>
      </c>
      <c r="AK886" s="19">
        <f>IF(A886="",0,IF(COUNTIF($A$7:$A$1006,A886)&gt;1,1,0))</f>
        <v/>
      </c>
    </row>
    <row r="887">
      <c r="A887" s="10" t="n"/>
      <c r="B887" s="17" t="n"/>
      <c r="C887" s="18" t="n"/>
      <c r="D887" s="10" t="n"/>
      <c r="E887" s="17" t="n"/>
      <c r="F887" s="10" t="n"/>
      <c r="G887" s="10" t="n"/>
      <c r="H887" s="10" t="n"/>
      <c r="I887" s="18" t="n"/>
      <c r="J887" s="18" t="n"/>
      <c r="K887" s="18" t="n"/>
      <c r="L887" s="18" t="n"/>
      <c r="M887" s="19">
        <f>IF(K887="","",K887*365/12*L887)</f>
        <v/>
      </c>
      <c r="N887" s="18" t="n"/>
      <c r="O887" s="18" t="n"/>
      <c r="P887" s="18" t="n"/>
      <c r="Q887" s="18" t="n"/>
      <c r="R887" s="10" t="n"/>
      <c r="S887" s="17" t="n"/>
      <c r="T887" s="18" t="n"/>
      <c r="U887" s="17" t="n"/>
      <c r="V887" s="17" t="n"/>
      <c r="W887" s="18" t="n"/>
      <c r="X887" s="18" t="n"/>
      <c r="Y887" s="17" t="n"/>
      <c r="Z887" s="10" t="n"/>
      <c r="AA887" s="10" t="n"/>
      <c r="AB887" s="19">
        <f>IF(LEN(A887)&gt;0,1,0)</f>
        <v/>
      </c>
      <c r="AC887" s="19">
        <f>IF(LEN(A887)=0,0,(LEN(B887)=0)+(LEN(C887)=0)+(LEN(D887)=0)+(LEN(E887)=0)+(LEN(F887)=0)+(LEN(G887)=0)+(LEN(H887)=0)+(LEN(I887)=0)+(LEN(J887)=0)+(LEN(K887)=0)+(LEN(L887)=0)+(LEN(N887)=0)+(LEN(O887)=0)+(LEN(P887)=0)+(LEN(R887)=0)+(LEN(AA887)=0))</f>
        <v/>
      </c>
      <c r="AD887" s="19">
        <f>IF(OR(LEN(A887)=0,LEN(C887)=0),0,IF(OR(C887&lt;1,C887&gt;5),1,0))</f>
        <v/>
      </c>
      <c r="AE887" s="19">
        <f>IF(OR(LEN(A887)=0,LEN(R887)=0),0,IF(OR(R887="Active",R887="Paid off",R887="Defaulted",R887="Repossessed",R887="Written off",R887="Restructured"),0,1))</f>
        <v/>
      </c>
      <c r="AF887" s="19">
        <f>IF(A887="",0,IF(N(J887)&gt;N(I887),1,0))</f>
        <v/>
      </c>
      <c r="AG887" s="19">
        <f>IF(A887="",0,IF(N(N887)&gt;N(M887)+1,1,0))</f>
        <v/>
      </c>
      <c r="AH887" s="19">
        <f>IF(A887="",0,IF(N(E887)&gt;N(B887),1,0))</f>
        <v/>
      </c>
      <c r="AI887" s="19">
        <f>IF(A887="",0,IF(AND(Z887="Full payment",N(N887)&lt;N(M887)-1),1,0))</f>
        <v/>
      </c>
      <c r="AJ887" s="19">
        <f>IF(A887="",0,IF(N(P887)&lt;0,1,0))</f>
        <v/>
      </c>
      <c r="AK887" s="19">
        <f>IF(A887="",0,IF(COUNTIF($A$7:$A$1006,A887)&gt;1,1,0))</f>
        <v/>
      </c>
    </row>
    <row r="888">
      <c r="A888" s="10" t="n"/>
      <c r="B888" s="17" t="n"/>
      <c r="C888" s="18" t="n"/>
      <c r="D888" s="10" t="n"/>
      <c r="E888" s="17" t="n"/>
      <c r="F888" s="10" t="n"/>
      <c r="G888" s="10" t="n"/>
      <c r="H888" s="10" t="n"/>
      <c r="I888" s="18" t="n"/>
      <c r="J888" s="18" t="n"/>
      <c r="K888" s="18" t="n"/>
      <c r="L888" s="18" t="n"/>
      <c r="M888" s="19">
        <f>IF(K888="","",K888*365/12*L888)</f>
        <v/>
      </c>
      <c r="N888" s="18" t="n"/>
      <c r="O888" s="18" t="n"/>
      <c r="P888" s="18" t="n"/>
      <c r="Q888" s="18" t="n"/>
      <c r="R888" s="10" t="n"/>
      <c r="S888" s="17" t="n"/>
      <c r="T888" s="18" t="n"/>
      <c r="U888" s="17" t="n"/>
      <c r="V888" s="17" t="n"/>
      <c r="W888" s="18" t="n"/>
      <c r="X888" s="18" t="n"/>
      <c r="Y888" s="17" t="n"/>
      <c r="Z888" s="10" t="n"/>
      <c r="AA888" s="10" t="n"/>
      <c r="AB888" s="19">
        <f>IF(LEN(A888)&gt;0,1,0)</f>
        <v/>
      </c>
      <c r="AC888" s="19">
        <f>IF(LEN(A888)=0,0,(LEN(B888)=0)+(LEN(C888)=0)+(LEN(D888)=0)+(LEN(E888)=0)+(LEN(F888)=0)+(LEN(G888)=0)+(LEN(H888)=0)+(LEN(I888)=0)+(LEN(J888)=0)+(LEN(K888)=0)+(LEN(L888)=0)+(LEN(N888)=0)+(LEN(O888)=0)+(LEN(P888)=0)+(LEN(R888)=0)+(LEN(AA888)=0))</f>
        <v/>
      </c>
      <c r="AD888" s="19">
        <f>IF(OR(LEN(A888)=0,LEN(C888)=0),0,IF(OR(C888&lt;1,C888&gt;5),1,0))</f>
        <v/>
      </c>
      <c r="AE888" s="19">
        <f>IF(OR(LEN(A888)=0,LEN(R888)=0),0,IF(OR(R888="Active",R888="Paid off",R888="Defaulted",R888="Repossessed",R888="Written off",R888="Restructured"),0,1))</f>
        <v/>
      </c>
      <c r="AF888" s="19">
        <f>IF(A888="",0,IF(N(J888)&gt;N(I888),1,0))</f>
        <v/>
      </c>
      <c r="AG888" s="19">
        <f>IF(A888="",0,IF(N(N888)&gt;N(M888)+1,1,0))</f>
        <v/>
      </c>
      <c r="AH888" s="19">
        <f>IF(A888="",0,IF(N(E888)&gt;N(B888),1,0))</f>
        <v/>
      </c>
      <c r="AI888" s="19">
        <f>IF(A888="",0,IF(AND(Z888="Full payment",N(N888)&lt;N(M888)-1),1,0))</f>
        <v/>
      </c>
      <c r="AJ888" s="19">
        <f>IF(A888="",0,IF(N(P888)&lt;0,1,0))</f>
        <v/>
      </c>
      <c r="AK888" s="19">
        <f>IF(A888="",0,IF(COUNTIF($A$7:$A$1006,A888)&gt;1,1,0))</f>
        <v/>
      </c>
    </row>
    <row r="889">
      <c r="A889" s="10" t="n"/>
      <c r="B889" s="17" t="n"/>
      <c r="C889" s="18" t="n"/>
      <c r="D889" s="10" t="n"/>
      <c r="E889" s="17" t="n"/>
      <c r="F889" s="10" t="n"/>
      <c r="G889" s="10" t="n"/>
      <c r="H889" s="10" t="n"/>
      <c r="I889" s="18" t="n"/>
      <c r="J889" s="18" t="n"/>
      <c r="K889" s="18" t="n"/>
      <c r="L889" s="18" t="n"/>
      <c r="M889" s="19">
        <f>IF(K889="","",K889*365/12*L889)</f>
        <v/>
      </c>
      <c r="N889" s="18" t="n"/>
      <c r="O889" s="18" t="n"/>
      <c r="P889" s="18" t="n"/>
      <c r="Q889" s="18" t="n"/>
      <c r="R889" s="10" t="n"/>
      <c r="S889" s="17" t="n"/>
      <c r="T889" s="18" t="n"/>
      <c r="U889" s="17" t="n"/>
      <c r="V889" s="17" t="n"/>
      <c r="W889" s="18" t="n"/>
      <c r="X889" s="18" t="n"/>
      <c r="Y889" s="17" t="n"/>
      <c r="Z889" s="10" t="n"/>
      <c r="AA889" s="10" t="n"/>
      <c r="AB889" s="19">
        <f>IF(LEN(A889)&gt;0,1,0)</f>
        <v/>
      </c>
      <c r="AC889" s="19">
        <f>IF(LEN(A889)=0,0,(LEN(B889)=0)+(LEN(C889)=0)+(LEN(D889)=0)+(LEN(E889)=0)+(LEN(F889)=0)+(LEN(G889)=0)+(LEN(H889)=0)+(LEN(I889)=0)+(LEN(J889)=0)+(LEN(K889)=0)+(LEN(L889)=0)+(LEN(N889)=0)+(LEN(O889)=0)+(LEN(P889)=0)+(LEN(R889)=0)+(LEN(AA889)=0))</f>
        <v/>
      </c>
      <c r="AD889" s="19">
        <f>IF(OR(LEN(A889)=0,LEN(C889)=0),0,IF(OR(C889&lt;1,C889&gt;5),1,0))</f>
        <v/>
      </c>
      <c r="AE889" s="19">
        <f>IF(OR(LEN(A889)=0,LEN(R889)=0),0,IF(OR(R889="Active",R889="Paid off",R889="Defaulted",R889="Repossessed",R889="Written off",R889="Restructured"),0,1))</f>
        <v/>
      </c>
      <c r="AF889" s="19">
        <f>IF(A889="",0,IF(N(J889)&gt;N(I889),1,0))</f>
        <v/>
      </c>
      <c r="AG889" s="19">
        <f>IF(A889="",0,IF(N(N889)&gt;N(M889)+1,1,0))</f>
        <v/>
      </c>
      <c r="AH889" s="19">
        <f>IF(A889="",0,IF(N(E889)&gt;N(B889),1,0))</f>
        <v/>
      </c>
      <c r="AI889" s="19">
        <f>IF(A889="",0,IF(AND(Z889="Full payment",N(N889)&lt;N(M889)-1),1,0))</f>
        <v/>
      </c>
      <c r="AJ889" s="19">
        <f>IF(A889="",0,IF(N(P889)&lt;0,1,0))</f>
        <v/>
      </c>
      <c r="AK889" s="19">
        <f>IF(A889="",0,IF(COUNTIF($A$7:$A$1006,A889)&gt;1,1,0))</f>
        <v/>
      </c>
    </row>
    <row r="890">
      <c r="A890" s="10" t="n"/>
      <c r="B890" s="17" t="n"/>
      <c r="C890" s="18" t="n"/>
      <c r="D890" s="10" t="n"/>
      <c r="E890" s="17" t="n"/>
      <c r="F890" s="10" t="n"/>
      <c r="G890" s="10" t="n"/>
      <c r="H890" s="10" t="n"/>
      <c r="I890" s="18" t="n"/>
      <c r="J890" s="18" t="n"/>
      <c r="K890" s="18" t="n"/>
      <c r="L890" s="18" t="n"/>
      <c r="M890" s="19">
        <f>IF(K890="","",K890*365/12*L890)</f>
        <v/>
      </c>
      <c r="N890" s="18" t="n"/>
      <c r="O890" s="18" t="n"/>
      <c r="P890" s="18" t="n"/>
      <c r="Q890" s="18" t="n"/>
      <c r="R890" s="10" t="n"/>
      <c r="S890" s="17" t="n"/>
      <c r="T890" s="18" t="n"/>
      <c r="U890" s="17" t="n"/>
      <c r="V890" s="17" t="n"/>
      <c r="W890" s="18" t="n"/>
      <c r="X890" s="18" t="n"/>
      <c r="Y890" s="17" t="n"/>
      <c r="Z890" s="10" t="n"/>
      <c r="AA890" s="10" t="n"/>
      <c r="AB890" s="19">
        <f>IF(LEN(A890)&gt;0,1,0)</f>
        <v/>
      </c>
      <c r="AC890" s="19">
        <f>IF(LEN(A890)=0,0,(LEN(B890)=0)+(LEN(C890)=0)+(LEN(D890)=0)+(LEN(E890)=0)+(LEN(F890)=0)+(LEN(G890)=0)+(LEN(H890)=0)+(LEN(I890)=0)+(LEN(J890)=0)+(LEN(K890)=0)+(LEN(L890)=0)+(LEN(N890)=0)+(LEN(O890)=0)+(LEN(P890)=0)+(LEN(R890)=0)+(LEN(AA890)=0))</f>
        <v/>
      </c>
      <c r="AD890" s="19">
        <f>IF(OR(LEN(A890)=0,LEN(C890)=0),0,IF(OR(C890&lt;1,C890&gt;5),1,0))</f>
        <v/>
      </c>
      <c r="AE890" s="19">
        <f>IF(OR(LEN(A890)=0,LEN(R890)=0),0,IF(OR(R890="Active",R890="Paid off",R890="Defaulted",R890="Repossessed",R890="Written off",R890="Restructured"),0,1))</f>
        <v/>
      </c>
      <c r="AF890" s="19">
        <f>IF(A890="",0,IF(N(J890)&gt;N(I890),1,0))</f>
        <v/>
      </c>
      <c r="AG890" s="19">
        <f>IF(A890="",0,IF(N(N890)&gt;N(M890)+1,1,0))</f>
        <v/>
      </c>
      <c r="AH890" s="19">
        <f>IF(A890="",0,IF(N(E890)&gt;N(B890),1,0))</f>
        <v/>
      </c>
      <c r="AI890" s="19">
        <f>IF(A890="",0,IF(AND(Z890="Full payment",N(N890)&lt;N(M890)-1),1,0))</f>
        <v/>
      </c>
      <c r="AJ890" s="19">
        <f>IF(A890="",0,IF(N(P890)&lt;0,1,0))</f>
        <v/>
      </c>
      <c r="AK890" s="19">
        <f>IF(A890="",0,IF(COUNTIF($A$7:$A$1006,A890)&gt;1,1,0))</f>
        <v/>
      </c>
    </row>
    <row r="891">
      <c r="A891" s="10" t="n"/>
      <c r="B891" s="17" t="n"/>
      <c r="C891" s="18" t="n"/>
      <c r="D891" s="10" t="n"/>
      <c r="E891" s="17" t="n"/>
      <c r="F891" s="10" t="n"/>
      <c r="G891" s="10" t="n"/>
      <c r="H891" s="10" t="n"/>
      <c r="I891" s="18" t="n"/>
      <c r="J891" s="18" t="n"/>
      <c r="K891" s="18" t="n"/>
      <c r="L891" s="18" t="n"/>
      <c r="M891" s="19">
        <f>IF(K891="","",K891*365/12*L891)</f>
        <v/>
      </c>
      <c r="N891" s="18" t="n"/>
      <c r="O891" s="18" t="n"/>
      <c r="P891" s="18" t="n"/>
      <c r="Q891" s="18" t="n"/>
      <c r="R891" s="10" t="n"/>
      <c r="S891" s="17" t="n"/>
      <c r="T891" s="18" t="n"/>
      <c r="U891" s="17" t="n"/>
      <c r="V891" s="17" t="n"/>
      <c r="W891" s="18" t="n"/>
      <c r="X891" s="18" t="n"/>
      <c r="Y891" s="17" t="n"/>
      <c r="Z891" s="10" t="n"/>
      <c r="AA891" s="10" t="n"/>
      <c r="AB891" s="19">
        <f>IF(LEN(A891)&gt;0,1,0)</f>
        <v/>
      </c>
      <c r="AC891" s="19">
        <f>IF(LEN(A891)=0,0,(LEN(B891)=0)+(LEN(C891)=0)+(LEN(D891)=0)+(LEN(E891)=0)+(LEN(F891)=0)+(LEN(G891)=0)+(LEN(H891)=0)+(LEN(I891)=0)+(LEN(J891)=0)+(LEN(K891)=0)+(LEN(L891)=0)+(LEN(N891)=0)+(LEN(O891)=0)+(LEN(P891)=0)+(LEN(R891)=0)+(LEN(AA891)=0))</f>
        <v/>
      </c>
      <c r="AD891" s="19">
        <f>IF(OR(LEN(A891)=0,LEN(C891)=0),0,IF(OR(C891&lt;1,C891&gt;5),1,0))</f>
        <v/>
      </c>
      <c r="AE891" s="19">
        <f>IF(OR(LEN(A891)=0,LEN(R891)=0),0,IF(OR(R891="Active",R891="Paid off",R891="Defaulted",R891="Repossessed",R891="Written off",R891="Restructured"),0,1))</f>
        <v/>
      </c>
      <c r="AF891" s="19">
        <f>IF(A891="",0,IF(N(J891)&gt;N(I891),1,0))</f>
        <v/>
      </c>
      <c r="AG891" s="19">
        <f>IF(A891="",0,IF(N(N891)&gt;N(M891)+1,1,0))</f>
        <v/>
      </c>
      <c r="AH891" s="19">
        <f>IF(A891="",0,IF(N(E891)&gt;N(B891),1,0))</f>
        <v/>
      </c>
      <c r="AI891" s="19">
        <f>IF(A891="",0,IF(AND(Z891="Full payment",N(N891)&lt;N(M891)-1),1,0))</f>
        <v/>
      </c>
      <c r="AJ891" s="19">
        <f>IF(A891="",0,IF(N(P891)&lt;0,1,0))</f>
        <v/>
      </c>
      <c r="AK891" s="19">
        <f>IF(A891="",0,IF(COUNTIF($A$7:$A$1006,A891)&gt;1,1,0))</f>
        <v/>
      </c>
    </row>
    <row r="892">
      <c r="A892" s="10" t="n"/>
      <c r="B892" s="17" t="n"/>
      <c r="C892" s="18" t="n"/>
      <c r="D892" s="10" t="n"/>
      <c r="E892" s="17" t="n"/>
      <c r="F892" s="10" t="n"/>
      <c r="G892" s="10" t="n"/>
      <c r="H892" s="10" t="n"/>
      <c r="I892" s="18" t="n"/>
      <c r="J892" s="18" t="n"/>
      <c r="K892" s="18" t="n"/>
      <c r="L892" s="18" t="n"/>
      <c r="M892" s="19">
        <f>IF(K892="","",K892*365/12*L892)</f>
        <v/>
      </c>
      <c r="N892" s="18" t="n"/>
      <c r="O892" s="18" t="n"/>
      <c r="P892" s="18" t="n"/>
      <c r="Q892" s="18" t="n"/>
      <c r="R892" s="10" t="n"/>
      <c r="S892" s="17" t="n"/>
      <c r="T892" s="18" t="n"/>
      <c r="U892" s="17" t="n"/>
      <c r="V892" s="17" t="n"/>
      <c r="W892" s="18" t="n"/>
      <c r="X892" s="18" t="n"/>
      <c r="Y892" s="17" t="n"/>
      <c r="Z892" s="10" t="n"/>
      <c r="AA892" s="10" t="n"/>
      <c r="AB892" s="19">
        <f>IF(LEN(A892)&gt;0,1,0)</f>
        <v/>
      </c>
      <c r="AC892" s="19">
        <f>IF(LEN(A892)=0,0,(LEN(B892)=0)+(LEN(C892)=0)+(LEN(D892)=0)+(LEN(E892)=0)+(LEN(F892)=0)+(LEN(G892)=0)+(LEN(H892)=0)+(LEN(I892)=0)+(LEN(J892)=0)+(LEN(K892)=0)+(LEN(L892)=0)+(LEN(N892)=0)+(LEN(O892)=0)+(LEN(P892)=0)+(LEN(R892)=0)+(LEN(AA892)=0))</f>
        <v/>
      </c>
      <c r="AD892" s="19">
        <f>IF(OR(LEN(A892)=0,LEN(C892)=0),0,IF(OR(C892&lt;1,C892&gt;5),1,0))</f>
        <v/>
      </c>
      <c r="AE892" s="19">
        <f>IF(OR(LEN(A892)=0,LEN(R892)=0),0,IF(OR(R892="Active",R892="Paid off",R892="Defaulted",R892="Repossessed",R892="Written off",R892="Restructured"),0,1))</f>
        <v/>
      </c>
      <c r="AF892" s="19">
        <f>IF(A892="",0,IF(N(J892)&gt;N(I892),1,0))</f>
        <v/>
      </c>
      <c r="AG892" s="19">
        <f>IF(A892="",0,IF(N(N892)&gt;N(M892)+1,1,0))</f>
        <v/>
      </c>
      <c r="AH892" s="19">
        <f>IF(A892="",0,IF(N(E892)&gt;N(B892),1,0))</f>
        <v/>
      </c>
      <c r="AI892" s="19">
        <f>IF(A892="",0,IF(AND(Z892="Full payment",N(N892)&lt;N(M892)-1),1,0))</f>
        <v/>
      </c>
      <c r="AJ892" s="19">
        <f>IF(A892="",0,IF(N(P892)&lt;0,1,0))</f>
        <v/>
      </c>
      <c r="AK892" s="19">
        <f>IF(A892="",0,IF(COUNTIF($A$7:$A$1006,A892)&gt;1,1,0))</f>
        <v/>
      </c>
    </row>
    <row r="893">
      <c r="A893" s="10" t="n"/>
      <c r="B893" s="17" t="n"/>
      <c r="C893" s="18" t="n"/>
      <c r="D893" s="10" t="n"/>
      <c r="E893" s="17" t="n"/>
      <c r="F893" s="10" t="n"/>
      <c r="G893" s="10" t="n"/>
      <c r="H893" s="10" t="n"/>
      <c r="I893" s="18" t="n"/>
      <c r="J893" s="18" t="n"/>
      <c r="K893" s="18" t="n"/>
      <c r="L893" s="18" t="n"/>
      <c r="M893" s="19">
        <f>IF(K893="","",K893*365/12*L893)</f>
        <v/>
      </c>
      <c r="N893" s="18" t="n"/>
      <c r="O893" s="18" t="n"/>
      <c r="P893" s="18" t="n"/>
      <c r="Q893" s="18" t="n"/>
      <c r="R893" s="10" t="n"/>
      <c r="S893" s="17" t="n"/>
      <c r="T893" s="18" t="n"/>
      <c r="U893" s="17" t="n"/>
      <c r="V893" s="17" t="n"/>
      <c r="W893" s="18" t="n"/>
      <c r="X893" s="18" t="n"/>
      <c r="Y893" s="17" t="n"/>
      <c r="Z893" s="10" t="n"/>
      <c r="AA893" s="10" t="n"/>
      <c r="AB893" s="19">
        <f>IF(LEN(A893)&gt;0,1,0)</f>
        <v/>
      </c>
      <c r="AC893" s="19">
        <f>IF(LEN(A893)=0,0,(LEN(B893)=0)+(LEN(C893)=0)+(LEN(D893)=0)+(LEN(E893)=0)+(LEN(F893)=0)+(LEN(G893)=0)+(LEN(H893)=0)+(LEN(I893)=0)+(LEN(J893)=0)+(LEN(K893)=0)+(LEN(L893)=0)+(LEN(N893)=0)+(LEN(O893)=0)+(LEN(P893)=0)+(LEN(R893)=0)+(LEN(AA893)=0))</f>
        <v/>
      </c>
      <c r="AD893" s="19">
        <f>IF(OR(LEN(A893)=0,LEN(C893)=0),0,IF(OR(C893&lt;1,C893&gt;5),1,0))</f>
        <v/>
      </c>
      <c r="AE893" s="19">
        <f>IF(OR(LEN(A893)=0,LEN(R893)=0),0,IF(OR(R893="Active",R893="Paid off",R893="Defaulted",R893="Repossessed",R893="Written off",R893="Restructured"),0,1))</f>
        <v/>
      </c>
      <c r="AF893" s="19">
        <f>IF(A893="",0,IF(N(J893)&gt;N(I893),1,0))</f>
        <v/>
      </c>
      <c r="AG893" s="19">
        <f>IF(A893="",0,IF(N(N893)&gt;N(M893)+1,1,0))</f>
        <v/>
      </c>
      <c r="AH893" s="19">
        <f>IF(A893="",0,IF(N(E893)&gt;N(B893),1,0))</f>
        <v/>
      </c>
      <c r="AI893" s="19">
        <f>IF(A893="",0,IF(AND(Z893="Full payment",N(N893)&lt;N(M893)-1),1,0))</f>
        <v/>
      </c>
      <c r="AJ893" s="19">
        <f>IF(A893="",0,IF(N(P893)&lt;0,1,0))</f>
        <v/>
      </c>
      <c r="AK893" s="19">
        <f>IF(A893="",0,IF(COUNTIF($A$7:$A$1006,A893)&gt;1,1,0))</f>
        <v/>
      </c>
    </row>
    <row r="894">
      <c r="A894" s="10" t="n"/>
      <c r="B894" s="17" t="n"/>
      <c r="C894" s="18" t="n"/>
      <c r="D894" s="10" t="n"/>
      <c r="E894" s="17" t="n"/>
      <c r="F894" s="10" t="n"/>
      <c r="G894" s="10" t="n"/>
      <c r="H894" s="10" t="n"/>
      <c r="I894" s="18" t="n"/>
      <c r="J894" s="18" t="n"/>
      <c r="K894" s="18" t="n"/>
      <c r="L894" s="18" t="n"/>
      <c r="M894" s="19">
        <f>IF(K894="","",K894*365/12*L894)</f>
        <v/>
      </c>
      <c r="N894" s="18" t="n"/>
      <c r="O894" s="18" t="n"/>
      <c r="P894" s="18" t="n"/>
      <c r="Q894" s="18" t="n"/>
      <c r="R894" s="10" t="n"/>
      <c r="S894" s="17" t="n"/>
      <c r="T894" s="18" t="n"/>
      <c r="U894" s="17" t="n"/>
      <c r="V894" s="17" t="n"/>
      <c r="W894" s="18" t="n"/>
      <c r="X894" s="18" t="n"/>
      <c r="Y894" s="17" t="n"/>
      <c r="Z894" s="10" t="n"/>
      <c r="AA894" s="10" t="n"/>
      <c r="AB894" s="19">
        <f>IF(LEN(A894)&gt;0,1,0)</f>
        <v/>
      </c>
      <c r="AC894" s="19">
        <f>IF(LEN(A894)=0,0,(LEN(B894)=0)+(LEN(C894)=0)+(LEN(D894)=0)+(LEN(E894)=0)+(LEN(F894)=0)+(LEN(G894)=0)+(LEN(H894)=0)+(LEN(I894)=0)+(LEN(J894)=0)+(LEN(K894)=0)+(LEN(L894)=0)+(LEN(N894)=0)+(LEN(O894)=0)+(LEN(P894)=0)+(LEN(R894)=0)+(LEN(AA894)=0))</f>
        <v/>
      </c>
      <c r="AD894" s="19">
        <f>IF(OR(LEN(A894)=0,LEN(C894)=0),0,IF(OR(C894&lt;1,C894&gt;5),1,0))</f>
        <v/>
      </c>
      <c r="AE894" s="19">
        <f>IF(OR(LEN(A894)=0,LEN(R894)=0),0,IF(OR(R894="Active",R894="Paid off",R894="Defaulted",R894="Repossessed",R894="Written off",R894="Restructured"),0,1))</f>
        <v/>
      </c>
      <c r="AF894" s="19">
        <f>IF(A894="",0,IF(N(J894)&gt;N(I894),1,0))</f>
        <v/>
      </c>
      <c r="AG894" s="19">
        <f>IF(A894="",0,IF(N(N894)&gt;N(M894)+1,1,0))</f>
        <v/>
      </c>
      <c r="AH894" s="19">
        <f>IF(A894="",0,IF(N(E894)&gt;N(B894),1,0))</f>
        <v/>
      </c>
      <c r="AI894" s="19">
        <f>IF(A894="",0,IF(AND(Z894="Full payment",N(N894)&lt;N(M894)-1),1,0))</f>
        <v/>
      </c>
      <c r="AJ894" s="19">
        <f>IF(A894="",0,IF(N(P894)&lt;0,1,0))</f>
        <v/>
      </c>
      <c r="AK894" s="19">
        <f>IF(A894="",0,IF(COUNTIF($A$7:$A$1006,A894)&gt;1,1,0))</f>
        <v/>
      </c>
    </row>
    <row r="895">
      <c r="A895" s="10" t="n"/>
      <c r="B895" s="17" t="n"/>
      <c r="C895" s="18" t="n"/>
      <c r="D895" s="10" t="n"/>
      <c r="E895" s="17" t="n"/>
      <c r="F895" s="10" t="n"/>
      <c r="G895" s="10" t="n"/>
      <c r="H895" s="10" t="n"/>
      <c r="I895" s="18" t="n"/>
      <c r="J895" s="18" t="n"/>
      <c r="K895" s="18" t="n"/>
      <c r="L895" s="18" t="n"/>
      <c r="M895" s="19">
        <f>IF(K895="","",K895*365/12*L895)</f>
        <v/>
      </c>
      <c r="N895" s="18" t="n"/>
      <c r="O895" s="18" t="n"/>
      <c r="P895" s="18" t="n"/>
      <c r="Q895" s="18" t="n"/>
      <c r="R895" s="10" t="n"/>
      <c r="S895" s="17" t="n"/>
      <c r="T895" s="18" t="n"/>
      <c r="U895" s="17" t="n"/>
      <c r="V895" s="17" t="n"/>
      <c r="W895" s="18" t="n"/>
      <c r="X895" s="18" t="n"/>
      <c r="Y895" s="17" t="n"/>
      <c r="Z895" s="10" t="n"/>
      <c r="AA895" s="10" t="n"/>
      <c r="AB895" s="19">
        <f>IF(LEN(A895)&gt;0,1,0)</f>
        <v/>
      </c>
      <c r="AC895" s="19">
        <f>IF(LEN(A895)=0,0,(LEN(B895)=0)+(LEN(C895)=0)+(LEN(D895)=0)+(LEN(E895)=0)+(LEN(F895)=0)+(LEN(G895)=0)+(LEN(H895)=0)+(LEN(I895)=0)+(LEN(J895)=0)+(LEN(K895)=0)+(LEN(L895)=0)+(LEN(N895)=0)+(LEN(O895)=0)+(LEN(P895)=0)+(LEN(R895)=0)+(LEN(AA895)=0))</f>
        <v/>
      </c>
      <c r="AD895" s="19">
        <f>IF(OR(LEN(A895)=0,LEN(C895)=0),0,IF(OR(C895&lt;1,C895&gt;5),1,0))</f>
        <v/>
      </c>
      <c r="AE895" s="19">
        <f>IF(OR(LEN(A895)=0,LEN(R895)=0),0,IF(OR(R895="Active",R895="Paid off",R895="Defaulted",R895="Repossessed",R895="Written off",R895="Restructured"),0,1))</f>
        <v/>
      </c>
      <c r="AF895" s="19">
        <f>IF(A895="",0,IF(N(J895)&gt;N(I895),1,0))</f>
        <v/>
      </c>
      <c r="AG895" s="19">
        <f>IF(A895="",0,IF(N(N895)&gt;N(M895)+1,1,0))</f>
        <v/>
      </c>
      <c r="AH895" s="19">
        <f>IF(A895="",0,IF(N(E895)&gt;N(B895),1,0))</f>
        <v/>
      </c>
      <c r="AI895" s="19">
        <f>IF(A895="",0,IF(AND(Z895="Full payment",N(N895)&lt;N(M895)-1),1,0))</f>
        <v/>
      </c>
      <c r="AJ895" s="19">
        <f>IF(A895="",0,IF(N(P895)&lt;0,1,0))</f>
        <v/>
      </c>
      <c r="AK895" s="19">
        <f>IF(A895="",0,IF(COUNTIF($A$7:$A$1006,A895)&gt;1,1,0))</f>
        <v/>
      </c>
    </row>
    <row r="896">
      <c r="A896" s="10" t="n"/>
      <c r="B896" s="17" t="n"/>
      <c r="C896" s="18" t="n"/>
      <c r="D896" s="10" t="n"/>
      <c r="E896" s="17" t="n"/>
      <c r="F896" s="10" t="n"/>
      <c r="G896" s="10" t="n"/>
      <c r="H896" s="10" t="n"/>
      <c r="I896" s="18" t="n"/>
      <c r="J896" s="18" t="n"/>
      <c r="K896" s="18" t="n"/>
      <c r="L896" s="18" t="n"/>
      <c r="M896" s="19">
        <f>IF(K896="","",K896*365/12*L896)</f>
        <v/>
      </c>
      <c r="N896" s="18" t="n"/>
      <c r="O896" s="18" t="n"/>
      <c r="P896" s="18" t="n"/>
      <c r="Q896" s="18" t="n"/>
      <c r="R896" s="10" t="n"/>
      <c r="S896" s="17" t="n"/>
      <c r="T896" s="18" t="n"/>
      <c r="U896" s="17" t="n"/>
      <c r="V896" s="17" t="n"/>
      <c r="W896" s="18" t="n"/>
      <c r="X896" s="18" t="n"/>
      <c r="Y896" s="17" t="n"/>
      <c r="Z896" s="10" t="n"/>
      <c r="AA896" s="10" t="n"/>
      <c r="AB896" s="19">
        <f>IF(LEN(A896)&gt;0,1,0)</f>
        <v/>
      </c>
      <c r="AC896" s="19">
        <f>IF(LEN(A896)=0,0,(LEN(B896)=0)+(LEN(C896)=0)+(LEN(D896)=0)+(LEN(E896)=0)+(LEN(F896)=0)+(LEN(G896)=0)+(LEN(H896)=0)+(LEN(I896)=0)+(LEN(J896)=0)+(LEN(K896)=0)+(LEN(L896)=0)+(LEN(N896)=0)+(LEN(O896)=0)+(LEN(P896)=0)+(LEN(R896)=0)+(LEN(AA896)=0))</f>
        <v/>
      </c>
      <c r="AD896" s="19">
        <f>IF(OR(LEN(A896)=0,LEN(C896)=0),0,IF(OR(C896&lt;1,C896&gt;5),1,0))</f>
        <v/>
      </c>
      <c r="AE896" s="19">
        <f>IF(OR(LEN(A896)=0,LEN(R896)=0),0,IF(OR(R896="Active",R896="Paid off",R896="Defaulted",R896="Repossessed",R896="Written off",R896="Restructured"),0,1))</f>
        <v/>
      </c>
      <c r="AF896" s="19">
        <f>IF(A896="",0,IF(N(J896)&gt;N(I896),1,0))</f>
        <v/>
      </c>
      <c r="AG896" s="19">
        <f>IF(A896="",0,IF(N(N896)&gt;N(M896)+1,1,0))</f>
        <v/>
      </c>
      <c r="AH896" s="19">
        <f>IF(A896="",0,IF(N(E896)&gt;N(B896),1,0))</f>
        <v/>
      </c>
      <c r="AI896" s="19">
        <f>IF(A896="",0,IF(AND(Z896="Full payment",N(N896)&lt;N(M896)-1),1,0))</f>
        <v/>
      </c>
      <c r="AJ896" s="19">
        <f>IF(A896="",0,IF(N(P896)&lt;0,1,0))</f>
        <v/>
      </c>
      <c r="AK896" s="19">
        <f>IF(A896="",0,IF(COUNTIF($A$7:$A$1006,A896)&gt;1,1,0))</f>
        <v/>
      </c>
    </row>
    <row r="897">
      <c r="A897" s="10" t="n"/>
      <c r="B897" s="17" t="n"/>
      <c r="C897" s="18" t="n"/>
      <c r="D897" s="10" t="n"/>
      <c r="E897" s="17" t="n"/>
      <c r="F897" s="10" t="n"/>
      <c r="G897" s="10" t="n"/>
      <c r="H897" s="10" t="n"/>
      <c r="I897" s="18" t="n"/>
      <c r="J897" s="18" t="n"/>
      <c r="K897" s="18" t="n"/>
      <c r="L897" s="18" t="n"/>
      <c r="M897" s="19">
        <f>IF(K897="","",K897*365/12*L897)</f>
        <v/>
      </c>
      <c r="N897" s="18" t="n"/>
      <c r="O897" s="18" t="n"/>
      <c r="P897" s="18" t="n"/>
      <c r="Q897" s="18" t="n"/>
      <c r="R897" s="10" t="n"/>
      <c r="S897" s="17" t="n"/>
      <c r="T897" s="18" t="n"/>
      <c r="U897" s="17" t="n"/>
      <c r="V897" s="17" t="n"/>
      <c r="W897" s="18" t="n"/>
      <c r="X897" s="18" t="n"/>
      <c r="Y897" s="17" t="n"/>
      <c r="Z897" s="10" t="n"/>
      <c r="AA897" s="10" t="n"/>
      <c r="AB897" s="19">
        <f>IF(LEN(A897)&gt;0,1,0)</f>
        <v/>
      </c>
      <c r="AC897" s="19">
        <f>IF(LEN(A897)=0,0,(LEN(B897)=0)+(LEN(C897)=0)+(LEN(D897)=0)+(LEN(E897)=0)+(LEN(F897)=0)+(LEN(G897)=0)+(LEN(H897)=0)+(LEN(I897)=0)+(LEN(J897)=0)+(LEN(K897)=0)+(LEN(L897)=0)+(LEN(N897)=0)+(LEN(O897)=0)+(LEN(P897)=0)+(LEN(R897)=0)+(LEN(AA897)=0))</f>
        <v/>
      </c>
      <c r="AD897" s="19">
        <f>IF(OR(LEN(A897)=0,LEN(C897)=0),0,IF(OR(C897&lt;1,C897&gt;5),1,0))</f>
        <v/>
      </c>
      <c r="AE897" s="19">
        <f>IF(OR(LEN(A897)=0,LEN(R897)=0),0,IF(OR(R897="Active",R897="Paid off",R897="Defaulted",R897="Repossessed",R897="Written off",R897="Restructured"),0,1))</f>
        <v/>
      </c>
      <c r="AF897" s="19">
        <f>IF(A897="",0,IF(N(J897)&gt;N(I897),1,0))</f>
        <v/>
      </c>
      <c r="AG897" s="19">
        <f>IF(A897="",0,IF(N(N897)&gt;N(M897)+1,1,0))</f>
        <v/>
      </c>
      <c r="AH897" s="19">
        <f>IF(A897="",0,IF(N(E897)&gt;N(B897),1,0))</f>
        <v/>
      </c>
      <c r="AI897" s="19">
        <f>IF(A897="",0,IF(AND(Z897="Full payment",N(N897)&lt;N(M897)-1),1,0))</f>
        <v/>
      </c>
      <c r="AJ897" s="19">
        <f>IF(A897="",0,IF(N(P897)&lt;0,1,0))</f>
        <v/>
      </c>
      <c r="AK897" s="19">
        <f>IF(A897="",0,IF(COUNTIF($A$7:$A$1006,A897)&gt;1,1,0))</f>
        <v/>
      </c>
    </row>
    <row r="898">
      <c r="A898" s="10" t="n"/>
      <c r="B898" s="17" t="n"/>
      <c r="C898" s="18" t="n"/>
      <c r="D898" s="10" t="n"/>
      <c r="E898" s="17" t="n"/>
      <c r="F898" s="10" t="n"/>
      <c r="G898" s="10" t="n"/>
      <c r="H898" s="10" t="n"/>
      <c r="I898" s="18" t="n"/>
      <c r="J898" s="18" t="n"/>
      <c r="K898" s="18" t="n"/>
      <c r="L898" s="18" t="n"/>
      <c r="M898" s="19">
        <f>IF(K898="","",K898*365/12*L898)</f>
        <v/>
      </c>
      <c r="N898" s="18" t="n"/>
      <c r="O898" s="18" t="n"/>
      <c r="P898" s="18" t="n"/>
      <c r="Q898" s="18" t="n"/>
      <c r="R898" s="10" t="n"/>
      <c r="S898" s="17" t="n"/>
      <c r="T898" s="18" t="n"/>
      <c r="U898" s="17" t="n"/>
      <c r="V898" s="17" t="n"/>
      <c r="W898" s="18" t="n"/>
      <c r="X898" s="18" t="n"/>
      <c r="Y898" s="17" t="n"/>
      <c r="Z898" s="10" t="n"/>
      <c r="AA898" s="10" t="n"/>
      <c r="AB898" s="19">
        <f>IF(LEN(A898)&gt;0,1,0)</f>
        <v/>
      </c>
      <c r="AC898" s="19">
        <f>IF(LEN(A898)=0,0,(LEN(B898)=0)+(LEN(C898)=0)+(LEN(D898)=0)+(LEN(E898)=0)+(LEN(F898)=0)+(LEN(G898)=0)+(LEN(H898)=0)+(LEN(I898)=0)+(LEN(J898)=0)+(LEN(K898)=0)+(LEN(L898)=0)+(LEN(N898)=0)+(LEN(O898)=0)+(LEN(P898)=0)+(LEN(R898)=0)+(LEN(AA898)=0))</f>
        <v/>
      </c>
      <c r="AD898" s="19">
        <f>IF(OR(LEN(A898)=0,LEN(C898)=0),0,IF(OR(C898&lt;1,C898&gt;5),1,0))</f>
        <v/>
      </c>
      <c r="AE898" s="19">
        <f>IF(OR(LEN(A898)=0,LEN(R898)=0),0,IF(OR(R898="Active",R898="Paid off",R898="Defaulted",R898="Repossessed",R898="Written off",R898="Restructured"),0,1))</f>
        <v/>
      </c>
      <c r="AF898" s="19">
        <f>IF(A898="",0,IF(N(J898)&gt;N(I898),1,0))</f>
        <v/>
      </c>
      <c r="AG898" s="19">
        <f>IF(A898="",0,IF(N(N898)&gt;N(M898)+1,1,0))</f>
        <v/>
      </c>
      <c r="AH898" s="19">
        <f>IF(A898="",0,IF(N(E898)&gt;N(B898),1,0))</f>
        <v/>
      </c>
      <c r="AI898" s="19">
        <f>IF(A898="",0,IF(AND(Z898="Full payment",N(N898)&lt;N(M898)-1),1,0))</f>
        <v/>
      </c>
      <c r="AJ898" s="19">
        <f>IF(A898="",0,IF(N(P898)&lt;0,1,0))</f>
        <v/>
      </c>
      <c r="AK898" s="19">
        <f>IF(A898="",0,IF(COUNTIF($A$7:$A$1006,A898)&gt;1,1,0))</f>
        <v/>
      </c>
    </row>
    <row r="899">
      <c r="A899" s="10" t="n"/>
      <c r="B899" s="17" t="n"/>
      <c r="C899" s="18" t="n"/>
      <c r="D899" s="10" t="n"/>
      <c r="E899" s="17" t="n"/>
      <c r="F899" s="10" t="n"/>
      <c r="G899" s="10" t="n"/>
      <c r="H899" s="10" t="n"/>
      <c r="I899" s="18" t="n"/>
      <c r="J899" s="18" t="n"/>
      <c r="K899" s="18" t="n"/>
      <c r="L899" s="18" t="n"/>
      <c r="M899" s="19">
        <f>IF(K899="","",K899*365/12*L899)</f>
        <v/>
      </c>
      <c r="N899" s="18" t="n"/>
      <c r="O899" s="18" t="n"/>
      <c r="P899" s="18" t="n"/>
      <c r="Q899" s="18" t="n"/>
      <c r="R899" s="10" t="n"/>
      <c r="S899" s="17" t="n"/>
      <c r="T899" s="18" t="n"/>
      <c r="U899" s="17" t="n"/>
      <c r="V899" s="17" t="n"/>
      <c r="W899" s="18" t="n"/>
      <c r="X899" s="18" t="n"/>
      <c r="Y899" s="17" t="n"/>
      <c r="Z899" s="10" t="n"/>
      <c r="AA899" s="10" t="n"/>
      <c r="AB899" s="19">
        <f>IF(LEN(A899)&gt;0,1,0)</f>
        <v/>
      </c>
      <c r="AC899" s="19">
        <f>IF(LEN(A899)=0,0,(LEN(B899)=0)+(LEN(C899)=0)+(LEN(D899)=0)+(LEN(E899)=0)+(LEN(F899)=0)+(LEN(G899)=0)+(LEN(H899)=0)+(LEN(I899)=0)+(LEN(J899)=0)+(LEN(K899)=0)+(LEN(L899)=0)+(LEN(N899)=0)+(LEN(O899)=0)+(LEN(P899)=0)+(LEN(R899)=0)+(LEN(AA899)=0))</f>
        <v/>
      </c>
      <c r="AD899" s="19">
        <f>IF(OR(LEN(A899)=0,LEN(C899)=0),0,IF(OR(C899&lt;1,C899&gt;5),1,0))</f>
        <v/>
      </c>
      <c r="AE899" s="19">
        <f>IF(OR(LEN(A899)=0,LEN(R899)=0),0,IF(OR(R899="Active",R899="Paid off",R899="Defaulted",R899="Repossessed",R899="Written off",R899="Restructured"),0,1))</f>
        <v/>
      </c>
      <c r="AF899" s="19">
        <f>IF(A899="",0,IF(N(J899)&gt;N(I899),1,0))</f>
        <v/>
      </c>
      <c r="AG899" s="19">
        <f>IF(A899="",0,IF(N(N899)&gt;N(M899)+1,1,0))</f>
        <v/>
      </c>
      <c r="AH899" s="19">
        <f>IF(A899="",0,IF(N(E899)&gt;N(B899),1,0))</f>
        <v/>
      </c>
      <c r="AI899" s="19">
        <f>IF(A899="",0,IF(AND(Z899="Full payment",N(N899)&lt;N(M899)-1),1,0))</f>
        <v/>
      </c>
      <c r="AJ899" s="19">
        <f>IF(A899="",0,IF(N(P899)&lt;0,1,0))</f>
        <v/>
      </c>
      <c r="AK899" s="19">
        <f>IF(A899="",0,IF(COUNTIF($A$7:$A$1006,A899)&gt;1,1,0))</f>
        <v/>
      </c>
    </row>
    <row r="900">
      <c r="A900" s="10" t="n"/>
      <c r="B900" s="17" t="n"/>
      <c r="C900" s="18" t="n"/>
      <c r="D900" s="10" t="n"/>
      <c r="E900" s="17" t="n"/>
      <c r="F900" s="10" t="n"/>
      <c r="G900" s="10" t="n"/>
      <c r="H900" s="10" t="n"/>
      <c r="I900" s="18" t="n"/>
      <c r="J900" s="18" t="n"/>
      <c r="K900" s="18" t="n"/>
      <c r="L900" s="18" t="n"/>
      <c r="M900" s="19">
        <f>IF(K900="","",K900*365/12*L900)</f>
        <v/>
      </c>
      <c r="N900" s="18" t="n"/>
      <c r="O900" s="18" t="n"/>
      <c r="P900" s="18" t="n"/>
      <c r="Q900" s="18" t="n"/>
      <c r="R900" s="10" t="n"/>
      <c r="S900" s="17" t="n"/>
      <c r="T900" s="18" t="n"/>
      <c r="U900" s="17" t="n"/>
      <c r="V900" s="17" t="n"/>
      <c r="W900" s="18" t="n"/>
      <c r="X900" s="18" t="n"/>
      <c r="Y900" s="17" t="n"/>
      <c r="Z900" s="10" t="n"/>
      <c r="AA900" s="10" t="n"/>
      <c r="AB900" s="19">
        <f>IF(LEN(A900)&gt;0,1,0)</f>
        <v/>
      </c>
      <c r="AC900" s="19">
        <f>IF(LEN(A900)=0,0,(LEN(B900)=0)+(LEN(C900)=0)+(LEN(D900)=0)+(LEN(E900)=0)+(LEN(F900)=0)+(LEN(G900)=0)+(LEN(H900)=0)+(LEN(I900)=0)+(LEN(J900)=0)+(LEN(K900)=0)+(LEN(L900)=0)+(LEN(N900)=0)+(LEN(O900)=0)+(LEN(P900)=0)+(LEN(R900)=0)+(LEN(AA900)=0))</f>
        <v/>
      </c>
      <c r="AD900" s="19">
        <f>IF(OR(LEN(A900)=0,LEN(C900)=0),0,IF(OR(C900&lt;1,C900&gt;5),1,0))</f>
        <v/>
      </c>
      <c r="AE900" s="19">
        <f>IF(OR(LEN(A900)=0,LEN(R900)=0),0,IF(OR(R900="Active",R900="Paid off",R900="Defaulted",R900="Repossessed",R900="Written off",R900="Restructured"),0,1))</f>
        <v/>
      </c>
      <c r="AF900" s="19">
        <f>IF(A900="",0,IF(N(J900)&gt;N(I900),1,0))</f>
        <v/>
      </c>
      <c r="AG900" s="19">
        <f>IF(A900="",0,IF(N(N900)&gt;N(M900)+1,1,0))</f>
        <v/>
      </c>
      <c r="AH900" s="19">
        <f>IF(A900="",0,IF(N(E900)&gt;N(B900),1,0))</f>
        <v/>
      </c>
      <c r="AI900" s="19">
        <f>IF(A900="",0,IF(AND(Z900="Full payment",N(N900)&lt;N(M900)-1),1,0))</f>
        <v/>
      </c>
      <c r="AJ900" s="19">
        <f>IF(A900="",0,IF(N(P900)&lt;0,1,0))</f>
        <v/>
      </c>
      <c r="AK900" s="19">
        <f>IF(A900="",0,IF(COUNTIF($A$7:$A$1006,A900)&gt;1,1,0))</f>
        <v/>
      </c>
    </row>
    <row r="901">
      <c r="A901" s="10" t="n"/>
      <c r="B901" s="17" t="n"/>
      <c r="C901" s="18" t="n"/>
      <c r="D901" s="10" t="n"/>
      <c r="E901" s="17" t="n"/>
      <c r="F901" s="10" t="n"/>
      <c r="G901" s="10" t="n"/>
      <c r="H901" s="10" t="n"/>
      <c r="I901" s="18" t="n"/>
      <c r="J901" s="18" t="n"/>
      <c r="K901" s="18" t="n"/>
      <c r="L901" s="18" t="n"/>
      <c r="M901" s="19">
        <f>IF(K901="","",K901*365/12*L901)</f>
        <v/>
      </c>
      <c r="N901" s="18" t="n"/>
      <c r="O901" s="18" t="n"/>
      <c r="P901" s="18" t="n"/>
      <c r="Q901" s="18" t="n"/>
      <c r="R901" s="10" t="n"/>
      <c r="S901" s="17" t="n"/>
      <c r="T901" s="18" t="n"/>
      <c r="U901" s="17" t="n"/>
      <c r="V901" s="17" t="n"/>
      <c r="W901" s="18" t="n"/>
      <c r="X901" s="18" t="n"/>
      <c r="Y901" s="17" t="n"/>
      <c r="Z901" s="10" t="n"/>
      <c r="AA901" s="10" t="n"/>
      <c r="AB901" s="19">
        <f>IF(LEN(A901)&gt;0,1,0)</f>
        <v/>
      </c>
      <c r="AC901" s="19">
        <f>IF(LEN(A901)=0,0,(LEN(B901)=0)+(LEN(C901)=0)+(LEN(D901)=0)+(LEN(E901)=0)+(LEN(F901)=0)+(LEN(G901)=0)+(LEN(H901)=0)+(LEN(I901)=0)+(LEN(J901)=0)+(LEN(K901)=0)+(LEN(L901)=0)+(LEN(N901)=0)+(LEN(O901)=0)+(LEN(P901)=0)+(LEN(R901)=0)+(LEN(AA901)=0))</f>
        <v/>
      </c>
      <c r="AD901" s="19">
        <f>IF(OR(LEN(A901)=0,LEN(C901)=0),0,IF(OR(C901&lt;1,C901&gt;5),1,0))</f>
        <v/>
      </c>
      <c r="AE901" s="19">
        <f>IF(OR(LEN(A901)=0,LEN(R901)=0),0,IF(OR(R901="Active",R901="Paid off",R901="Defaulted",R901="Repossessed",R901="Written off",R901="Restructured"),0,1))</f>
        <v/>
      </c>
      <c r="AF901" s="19">
        <f>IF(A901="",0,IF(N(J901)&gt;N(I901),1,0))</f>
        <v/>
      </c>
      <c r="AG901" s="19">
        <f>IF(A901="",0,IF(N(N901)&gt;N(M901)+1,1,0))</f>
        <v/>
      </c>
      <c r="AH901" s="19">
        <f>IF(A901="",0,IF(N(E901)&gt;N(B901),1,0))</f>
        <v/>
      </c>
      <c r="AI901" s="19">
        <f>IF(A901="",0,IF(AND(Z901="Full payment",N(N901)&lt;N(M901)-1),1,0))</f>
        <v/>
      </c>
      <c r="AJ901" s="19">
        <f>IF(A901="",0,IF(N(P901)&lt;0,1,0))</f>
        <v/>
      </c>
      <c r="AK901" s="19">
        <f>IF(A901="",0,IF(COUNTIF($A$7:$A$1006,A901)&gt;1,1,0))</f>
        <v/>
      </c>
    </row>
    <row r="902">
      <c r="A902" s="10" t="n"/>
      <c r="B902" s="17" t="n"/>
      <c r="C902" s="18" t="n"/>
      <c r="D902" s="10" t="n"/>
      <c r="E902" s="17" t="n"/>
      <c r="F902" s="10" t="n"/>
      <c r="G902" s="10" t="n"/>
      <c r="H902" s="10" t="n"/>
      <c r="I902" s="18" t="n"/>
      <c r="J902" s="18" t="n"/>
      <c r="K902" s="18" t="n"/>
      <c r="L902" s="18" t="n"/>
      <c r="M902" s="19">
        <f>IF(K902="","",K902*365/12*L902)</f>
        <v/>
      </c>
      <c r="N902" s="18" t="n"/>
      <c r="O902" s="18" t="n"/>
      <c r="P902" s="18" t="n"/>
      <c r="Q902" s="18" t="n"/>
      <c r="R902" s="10" t="n"/>
      <c r="S902" s="17" t="n"/>
      <c r="T902" s="18" t="n"/>
      <c r="U902" s="17" t="n"/>
      <c r="V902" s="17" t="n"/>
      <c r="W902" s="18" t="n"/>
      <c r="X902" s="18" t="n"/>
      <c r="Y902" s="17" t="n"/>
      <c r="Z902" s="10" t="n"/>
      <c r="AA902" s="10" t="n"/>
      <c r="AB902" s="19">
        <f>IF(LEN(A902)&gt;0,1,0)</f>
        <v/>
      </c>
      <c r="AC902" s="19">
        <f>IF(LEN(A902)=0,0,(LEN(B902)=0)+(LEN(C902)=0)+(LEN(D902)=0)+(LEN(E902)=0)+(LEN(F902)=0)+(LEN(G902)=0)+(LEN(H902)=0)+(LEN(I902)=0)+(LEN(J902)=0)+(LEN(K902)=0)+(LEN(L902)=0)+(LEN(N902)=0)+(LEN(O902)=0)+(LEN(P902)=0)+(LEN(R902)=0)+(LEN(AA902)=0))</f>
        <v/>
      </c>
      <c r="AD902" s="19">
        <f>IF(OR(LEN(A902)=0,LEN(C902)=0),0,IF(OR(C902&lt;1,C902&gt;5),1,0))</f>
        <v/>
      </c>
      <c r="AE902" s="19">
        <f>IF(OR(LEN(A902)=0,LEN(R902)=0),0,IF(OR(R902="Active",R902="Paid off",R902="Defaulted",R902="Repossessed",R902="Written off",R902="Restructured"),0,1))</f>
        <v/>
      </c>
      <c r="AF902" s="19">
        <f>IF(A902="",0,IF(N(J902)&gt;N(I902),1,0))</f>
        <v/>
      </c>
      <c r="AG902" s="19">
        <f>IF(A902="",0,IF(N(N902)&gt;N(M902)+1,1,0))</f>
        <v/>
      </c>
      <c r="AH902" s="19">
        <f>IF(A902="",0,IF(N(E902)&gt;N(B902),1,0))</f>
        <v/>
      </c>
      <c r="AI902" s="19">
        <f>IF(A902="",0,IF(AND(Z902="Full payment",N(N902)&lt;N(M902)-1),1,0))</f>
        <v/>
      </c>
      <c r="AJ902" s="19">
        <f>IF(A902="",0,IF(N(P902)&lt;0,1,0))</f>
        <v/>
      </c>
      <c r="AK902" s="19">
        <f>IF(A902="",0,IF(COUNTIF($A$7:$A$1006,A902)&gt;1,1,0))</f>
        <v/>
      </c>
    </row>
    <row r="903">
      <c r="A903" s="10" t="n"/>
      <c r="B903" s="17" t="n"/>
      <c r="C903" s="18" t="n"/>
      <c r="D903" s="10" t="n"/>
      <c r="E903" s="17" t="n"/>
      <c r="F903" s="10" t="n"/>
      <c r="G903" s="10" t="n"/>
      <c r="H903" s="10" t="n"/>
      <c r="I903" s="18" t="n"/>
      <c r="J903" s="18" t="n"/>
      <c r="K903" s="18" t="n"/>
      <c r="L903" s="18" t="n"/>
      <c r="M903" s="19">
        <f>IF(K903="","",K903*365/12*L903)</f>
        <v/>
      </c>
      <c r="N903" s="18" t="n"/>
      <c r="O903" s="18" t="n"/>
      <c r="P903" s="18" t="n"/>
      <c r="Q903" s="18" t="n"/>
      <c r="R903" s="10" t="n"/>
      <c r="S903" s="17" t="n"/>
      <c r="T903" s="18" t="n"/>
      <c r="U903" s="17" t="n"/>
      <c r="V903" s="17" t="n"/>
      <c r="W903" s="18" t="n"/>
      <c r="X903" s="18" t="n"/>
      <c r="Y903" s="17" t="n"/>
      <c r="Z903" s="10" t="n"/>
      <c r="AA903" s="10" t="n"/>
      <c r="AB903" s="19">
        <f>IF(LEN(A903)&gt;0,1,0)</f>
        <v/>
      </c>
      <c r="AC903" s="19">
        <f>IF(LEN(A903)=0,0,(LEN(B903)=0)+(LEN(C903)=0)+(LEN(D903)=0)+(LEN(E903)=0)+(LEN(F903)=0)+(LEN(G903)=0)+(LEN(H903)=0)+(LEN(I903)=0)+(LEN(J903)=0)+(LEN(K903)=0)+(LEN(L903)=0)+(LEN(N903)=0)+(LEN(O903)=0)+(LEN(P903)=0)+(LEN(R903)=0)+(LEN(AA903)=0))</f>
        <v/>
      </c>
      <c r="AD903" s="19">
        <f>IF(OR(LEN(A903)=0,LEN(C903)=0),0,IF(OR(C903&lt;1,C903&gt;5),1,0))</f>
        <v/>
      </c>
      <c r="AE903" s="19">
        <f>IF(OR(LEN(A903)=0,LEN(R903)=0),0,IF(OR(R903="Active",R903="Paid off",R903="Defaulted",R903="Repossessed",R903="Written off",R903="Restructured"),0,1))</f>
        <v/>
      </c>
      <c r="AF903" s="19">
        <f>IF(A903="",0,IF(N(J903)&gt;N(I903),1,0))</f>
        <v/>
      </c>
      <c r="AG903" s="19">
        <f>IF(A903="",0,IF(N(N903)&gt;N(M903)+1,1,0))</f>
        <v/>
      </c>
      <c r="AH903" s="19">
        <f>IF(A903="",0,IF(N(E903)&gt;N(B903),1,0))</f>
        <v/>
      </c>
      <c r="AI903" s="19">
        <f>IF(A903="",0,IF(AND(Z903="Full payment",N(N903)&lt;N(M903)-1),1,0))</f>
        <v/>
      </c>
      <c r="AJ903" s="19">
        <f>IF(A903="",0,IF(N(P903)&lt;0,1,0))</f>
        <v/>
      </c>
      <c r="AK903" s="19">
        <f>IF(A903="",0,IF(COUNTIF($A$7:$A$1006,A903)&gt;1,1,0))</f>
        <v/>
      </c>
    </row>
    <row r="904">
      <c r="A904" s="10" t="n"/>
      <c r="B904" s="17" t="n"/>
      <c r="C904" s="18" t="n"/>
      <c r="D904" s="10" t="n"/>
      <c r="E904" s="17" t="n"/>
      <c r="F904" s="10" t="n"/>
      <c r="G904" s="10" t="n"/>
      <c r="H904" s="10" t="n"/>
      <c r="I904" s="18" t="n"/>
      <c r="J904" s="18" t="n"/>
      <c r="K904" s="18" t="n"/>
      <c r="L904" s="18" t="n"/>
      <c r="M904" s="19">
        <f>IF(K904="","",K904*365/12*L904)</f>
        <v/>
      </c>
      <c r="N904" s="18" t="n"/>
      <c r="O904" s="18" t="n"/>
      <c r="P904" s="18" t="n"/>
      <c r="Q904" s="18" t="n"/>
      <c r="R904" s="10" t="n"/>
      <c r="S904" s="17" t="n"/>
      <c r="T904" s="18" t="n"/>
      <c r="U904" s="17" t="n"/>
      <c r="V904" s="17" t="n"/>
      <c r="W904" s="18" t="n"/>
      <c r="X904" s="18" t="n"/>
      <c r="Y904" s="17" t="n"/>
      <c r="Z904" s="10" t="n"/>
      <c r="AA904" s="10" t="n"/>
      <c r="AB904" s="19">
        <f>IF(LEN(A904)&gt;0,1,0)</f>
        <v/>
      </c>
      <c r="AC904" s="19">
        <f>IF(LEN(A904)=0,0,(LEN(B904)=0)+(LEN(C904)=0)+(LEN(D904)=0)+(LEN(E904)=0)+(LEN(F904)=0)+(LEN(G904)=0)+(LEN(H904)=0)+(LEN(I904)=0)+(LEN(J904)=0)+(LEN(K904)=0)+(LEN(L904)=0)+(LEN(N904)=0)+(LEN(O904)=0)+(LEN(P904)=0)+(LEN(R904)=0)+(LEN(AA904)=0))</f>
        <v/>
      </c>
      <c r="AD904" s="19">
        <f>IF(OR(LEN(A904)=0,LEN(C904)=0),0,IF(OR(C904&lt;1,C904&gt;5),1,0))</f>
        <v/>
      </c>
      <c r="AE904" s="19">
        <f>IF(OR(LEN(A904)=0,LEN(R904)=0),0,IF(OR(R904="Active",R904="Paid off",R904="Defaulted",R904="Repossessed",R904="Written off",R904="Restructured"),0,1))</f>
        <v/>
      </c>
      <c r="AF904" s="19">
        <f>IF(A904="",0,IF(N(J904)&gt;N(I904),1,0))</f>
        <v/>
      </c>
      <c r="AG904" s="19">
        <f>IF(A904="",0,IF(N(N904)&gt;N(M904)+1,1,0))</f>
        <v/>
      </c>
      <c r="AH904" s="19">
        <f>IF(A904="",0,IF(N(E904)&gt;N(B904),1,0))</f>
        <v/>
      </c>
      <c r="AI904" s="19">
        <f>IF(A904="",0,IF(AND(Z904="Full payment",N(N904)&lt;N(M904)-1),1,0))</f>
        <v/>
      </c>
      <c r="AJ904" s="19">
        <f>IF(A904="",0,IF(N(P904)&lt;0,1,0))</f>
        <v/>
      </c>
      <c r="AK904" s="19">
        <f>IF(A904="",0,IF(COUNTIF($A$7:$A$1006,A904)&gt;1,1,0))</f>
        <v/>
      </c>
    </row>
    <row r="905">
      <c r="A905" s="10" t="n"/>
      <c r="B905" s="17" t="n"/>
      <c r="C905" s="18" t="n"/>
      <c r="D905" s="10" t="n"/>
      <c r="E905" s="17" t="n"/>
      <c r="F905" s="10" t="n"/>
      <c r="G905" s="10" t="n"/>
      <c r="H905" s="10" t="n"/>
      <c r="I905" s="18" t="n"/>
      <c r="J905" s="18" t="n"/>
      <c r="K905" s="18" t="n"/>
      <c r="L905" s="18" t="n"/>
      <c r="M905" s="19">
        <f>IF(K905="","",K905*365/12*L905)</f>
        <v/>
      </c>
      <c r="N905" s="18" t="n"/>
      <c r="O905" s="18" t="n"/>
      <c r="P905" s="18" t="n"/>
      <c r="Q905" s="18" t="n"/>
      <c r="R905" s="10" t="n"/>
      <c r="S905" s="17" t="n"/>
      <c r="T905" s="18" t="n"/>
      <c r="U905" s="17" t="n"/>
      <c r="V905" s="17" t="n"/>
      <c r="W905" s="18" t="n"/>
      <c r="X905" s="18" t="n"/>
      <c r="Y905" s="17" t="n"/>
      <c r="Z905" s="10" t="n"/>
      <c r="AA905" s="10" t="n"/>
      <c r="AB905" s="19">
        <f>IF(LEN(A905)&gt;0,1,0)</f>
        <v/>
      </c>
      <c r="AC905" s="19">
        <f>IF(LEN(A905)=0,0,(LEN(B905)=0)+(LEN(C905)=0)+(LEN(D905)=0)+(LEN(E905)=0)+(LEN(F905)=0)+(LEN(G905)=0)+(LEN(H905)=0)+(LEN(I905)=0)+(LEN(J905)=0)+(LEN(K905)=0)+(LEN(L905)=0)+(LEN(N905)=0)+(LEN(O905)=0)+(LEN(P905)=0)+(LEN(R905)=0)+(LEN(AA905)=0))</f>
        <v/>
      </c>
      <c r="AD905" s="19">
        <f>IF(OR(LEN(A905)=0,LEN(C905)=0),0,IF(OR(C905&lt;1,C905&gt;5),1,0))</f>
        <v/>
      </c>
      <c r="AE905" s="19">
        <f>IF(OR(LEN(A905)=0,LEN(R905)=0),0,IF(OR(R905="Active",R905="Paid off",R905="Defaulted",R905="Repossessed",R905="Written off",R905="Restructured"),0,1))</f>
        <v/>
      </c>
      <c r="AF905" s="19">
        <f>IF(A905="",0,IF(N(J905)&gt;N(I905),1,0))</f>
        <v/>
      </c>
      <c r="AG905" s="19">
        <f>IF(A905="",0,IF(N(N905)&gt;N(M905)+1,1,0))</f>
        <v/>
      </c>
      <c r="AH905" s="19">
        <f>IF(A905="",0,IF(N(E905)&gt;N(B905),1,0))</f>
        <v/>
      </c>
      <c r="AI905" s="19">
        <f>IF(A905="",0,IF(AND(Z905="Full payment",N(N905)&lt;N(M905)-1),1,0))</f>
        <v/>
      </c>
      <c r="AJ905" s="19">
        <f>IF(A905="",0,IF(N(P905)&lt;0,1,0))</f>
        <v/>
      </c>
      <c r="AK905" s="19">
        <f>IF(A905="",0,IF(COUNTIF($A$7:$A$1006,A905)&gt;1,1,0))</f>
        <v/>
      </c>
    </row>
    <row r="906">
      <c r="A906" s="10" t="n"/>
      <c r="B906" s="17" t="n"/>
      <c r="C906" s="18" t="n"/>
      <c r="D906" s="10" t="n"/>
      <c r="E906" s="17" t="n"/>
      <c r="F906" s="10" t="n"/>
      <c r="G906" s="10" t="n"/>
      <c r="H906" s="10" t="n"/>
      <c r="I906" s="18" t="n"/>
      <c r="J906" s="18" t="n"/>
      <c r="K906" s="18" t="n"/>
      <c r="L906" s="18" t="n"/>
      <c r="M906" s="19">
        <f>IF(K906="","",K906*365/12*L906)</f>
        <v/>
      </c>
      <c r="N906" s="18" t="n"/>
      <c r="O906" s="18" t="n"/>
      <c r="P906" s="18" t="n"/>
      <c r="Q906" s="18" t="n"/>
      <c r="R906" s="10" t="n"/>
      <c r="S906" s="17" t="n"/>
      <c r="T906" s="18" t="n"/>
      <c r="U906" s="17" t="n"/>
      <c r="V906" s="17" t="n"/>
      <c r="W906" s="18" t="n"/>
      <c r="X906" s="18" t="n"/>
      <c r="Y906" s="17" t="n"/>
      <c r="Z906" s="10" t="n"/>
      <c r="AA906" s="10" t="n"/>
      <c r="AB906" s="19">
        <f>IF(LEN(A906)&gt;0,1,0)</f>
        <v/>
      </c>
      <c r="AC906" s="19">
        <f>IF(LEN(A906)=0,0,(LEN(B906)=0)+(LEN(C906)=0)+(LEN(D906)=0)+(LEN(E906)=0)+(LEN(F906)=0)+(LEN(G906)=0)+(LEN(H906)=0)+(LEN(I906)=0)+(LEN(J906)=0)+(LEN(K906)=0)+(LEN(L906)=0)+(LEN(N906)=0)+(LEN(O906)=0)+(LEN(P906)=0)+(LEN(R906)=0)+(LEN(AA906)=0))</f>
        <v/>
      </c>
      <c r="AD906" s="19">
        <f>IF(OR(LEN(A906)=0,LEN(C906)=0),0,IF(OR(C906&lt;1,C906&gt;5),1,0))</f>
        <v/>
      </c>
      <c r="AE906" s="19">
        <f>IF(OR(LEN(A906)=0,LEN(R906)=0),0,IF(OR(R906="Active",R906="Paid off",R906="Defaulted",R906="Repossessed",R906="Written off",R906="Restructured"),0,1))</f>
        <v/>
      </c>
      <c r="AF906" s="19">
        <f>IF(A906="",0,IF(N(J906)&gt;N(I906),1,0))</f>
        <v/>
      </c>
      <c r="AG906" s="19">
        <f>IF(A906="",0,IF(N(N906)&gt;N(M906)+1,1,0))</f>
        <v/>
      </c>
      <c r="AH906" s="19">
        <f>IF(A906="",0,IF(N(E906)&gt;N(B906),1,0))</f>
        <v/>
      </c>
      <c r="AI906" s="19">
        <f>IF(A906="",0,IF(AND(Z906="Full payment",N(N906)&lt;N(M906)-1),1,0))</f>
        <v/>
      </c>
      <c r="AJ906" s="19">
        <f>IF(A906="",0,IF(N(P906)&lt;0,1,0))</f>
        <v/>
      </c>
      <c r="AK906" s="19">
        <f>IF(A906="",0,IF(COUNTIF($A$7:$A$1006,A906)&gt;1,1,0))</f>
        <v/>
      </c>
    </row>
    <row r="907">
      <c r="A907" s="10" t="n"/>
      <c r="B907" s="17" t="n"/>
      <c r="C907" s="18" t="n"/>
      <c r="D907" s="10" t="n"/>
      <c r="E907" s="17" t="n"/>
      <c r="F907" s="10" t="n"/>
      <c r="G907" s="10" t="n"/>
      <c r="H907" s="10" t="n"/>
      <c r="I907" s="18" t="n"/>
      <c r="J907" s="18" t="n"/>
      <c r="K907" s="18" t="n"/>
      <c r="L907" s="18" t="n"/>
      <c r="M907" s="19">
        <f>IF(K907="","",K907*365/12*L907)</f>
        <v/>
      </c>
      <c r="N907" s="18" t="n"/>
      <c r="O907" s="18" t="n"/>
      <c r="P907" s="18" t="n"/>
      <c r="Q907" s="18" t="n"/>
      <c r="R907" s="10" t="n"/>
      <c r="S907" s="17" t="n"/>
      <c r="T907" s="18" t="n"/>
      <c r="U907" s="17" t="n"/>
      <c r="V907" s="17" t="n"/>
      <c r="W907" s="18" t="n"/>
      <c r="X907" s="18" t="n"/>
      <c r="Y907" s="17" t="n"/>
      <c r="Z907" s="10" t="n"/>
      <c r="AA907" s="10" t="n"/>
      <c r="AB907" s="19">
        <f>IF(LEN(A907)&gt;0,1,0)</f>
        <v/>
      </c>
      <c r="AC907" s="19">
        <f>IF(LEN(A907)=0,0,(LEN(B907)=0)+(LEN(C907)=0)+(LEN(D907)=0)+(LEN(E907)=0)+(LEN(F907)=0)+(LEN(G907)=0)+(LEN(H907)=0)+(LEN(I907)=0)+(LEN(J907)=0)+(LEN(K907)=0)+(LEN(L907)=0)+(LEN(N907)=0)+(LEN(O907)=0)+(LEN(P907)=0)+(LEN(R907)=0)+(LEN(AA907)=0))</f>
        <v/>
      </c>
      <c r="AD907" s="19">
        <f>IF(OR(LEN(A907)=0,LEN(C907)=0),0,IF(OR(C907&lt;1,C907&gt;5),1,0))</f>
        <v/>
      </c>
      <c r="AE907" s="19">
        <f>IF(OR(LEN(A907)=0,LEN(R907)=0),0,IF(OR(R907="Active",R907="Paid off",R907="Defaulted",R907="Repossessed",R907="Written off",R907="Restructured"),0,1))</f>
        <v/>
      </c>
      <c r="AF907" s="19">
        <f>IF(A907="",0,IF(N(J907)&gt;N(I907),1,0))</f>
        <v/>
      </c>
      <c r="AG907" s="19">
        <f>IF(A907="",0,IF(N(N907)&gt;N(M907)+1,1,0))</f>
        <v/>
      </c>
      <c r="AH907" s="19">
        <f>IF(A907="",0,IF(N(E907)&gt;N(B907),1,0))</f>
        <v/>
      </c>
      <c r="AI907" s="19">
        <f>IF(A907="",0,IF(AND(Z907="Full payment",N(N907)&lt;N(M907)-1),1,0))</f>
        <v/>
      </c>
      <c r="AJ907" s="19">
        <f>IF(A907="",0,IF(N(P907)&lt;0,1,0))</f>
        <v/>
      </c>
      <c r="AK907" s="19">
        <f>IF(A907="",0,IF(COUNTIF($A$7:$A$1006,A907)&gt;1,1,0))</f>
        <v/>
      </c>
    </row>
    <row r="908">
      <c r="A908" s="10" t="n"/>
      <c r="B908" s="17" t="n"/>
      <c r="C908" s="18" t="n"/>
      <c r="D908" s="10" t="n"/>
      <c r="E908" s="17" t="n"/>
      <c r="F908" s="10" t="n"/>
      <c r="G908" s="10" t="n"/>
      <c r="H908" s="10" t="n"/>
      <c r="I908" s="18" t="n"/>
      <c r="J908" s="18" t="n"/>
      <c r="K908" s="18" t="n"/>
      <c r="L908" s="18" t="n"/>
      <c r="M908" s="19">
        <f>IF(K908="","",K908*365/12*L908)</f>
        <v/>
      </c>
      <c r="N908" s="18" t="n"/>
      <c r="O908" s="18" t="n"/>
      <c r="P908" s="18" t="n"/>
      <c r="Q908" s="18" t="n"/>
      <c r="R908" s="10" t="n"/>
      <c r="S908" s="17" t="n"/>
      <c r="T908" s="18" t="n"/>
      <c r="U908" s="17" t="n"/>
      <c r="V908" s="17" t="n"/>
      <c r="W908" s="18" t="n"/>
      <c r="X908" s="18" t="n"/>
      <c r="Y908" s="17" t="n"/>
      <c r="Z908" s="10" t="n"/>
      <c r="AA908" s="10" t="n"/>
      <c r="AB908" s="19">
        <f>IF(LEN(A908)&gt;0,1,0)</f>
        <v/>
      </c>
      <c r="AC908" s="19">
        <f>IF(LEN(A908)=0,0,(LEN(B908)=0)+(LEN(C908)=0)+(LEN(D908)=0)+(LEN(E908)=0)+(LEN(F908)=0)+(LEN(G908)=0)+(LEN(H908)=0)+(LEN(I908)=0)+(LEN(J908)=0)+(LEN(K908)=0)+(LEN(L908)=0)+(LEN(N908)=0)+(LEN(O908)=0)+(LEN(P908)=0)+(LEN(R908)=0)+(LEN(AA908)=0))</f>
        <v/>
      </c>
      <c r="AD908" s="19">
        <f>IF(OR(LEN(A908)=0,LEN(C908)=0),0,IF(OR(C908&lt;1,C908&gt;5),1,0))</f>
        <v/>
      </c>
      <c r="AE908" s="19">
        <f>IF(OR(LEN(A908)=0,LEN(R908)=0),0,IF(OR(R908="Active",R908="Paid off",R908="Defaulted",R908="Repossessed",R908="Written off",R908="Restructured"),0,1))</f>
        <v/>
      </c>
      <c r="AF908" s="19">
        <f>IF(A908="",0,IF(N(J908)&gt;N(I908),1,0))</f>
        <v/>
      </c>
      <c r="AG908" s="19">
        <f>IF(A908="",0,IF(N(N908)&gt;N(M908)+1,1,0))</f>
        <v/>
      </c>
      <c r="AH908" s="19">
        <f>IF(A908="",0,IF(N(E908)&gt;N(B908),1,0))</f>
        <v/>
      </c>
      <c r="AI908" s="19">
        <f>IF(A908="",0,IF(AND(Z908="Full payment",N(N908)&lt;N(M908)-1),1,0))</f>
        <v/>
      </c>
      <c r="AJ908" s="19">
        <f>IF(A908="",0,IF(N(P908)&lt;0,1,0))</f>
        <v/>
      </c>
      <c r="AK908" s="19">
        <f>IF(A908="",0,IF(COUNTIF($A$7:$A$1006,A908)&gt;1,1,0))</f>
        <v/>
      </c>
    </row>
    <row r="909">
      <c r="A909" s="10" t="n"/>
      <c r="B909" s="17" t="n"/>
      <c r="C909" s="18" t="n"/>
      <c r="D909" s="10" t="n"/>
      <c r="E909" s="17" t="n"/>
      <c r="F909" s="10" t="n"/>
      <c r="G909" s="10" t="n"/>
      <c r="H909" s="10" t="n"/>
      <c r="I909" s="18" t="n"/>
      <c r="J909" s="18" t="n"/>
      <c r="K909" s="18" t="n"/>
      <c r="L909" s="18" t="n"/>
      <c r="M909" s="19">
        <f>IF(K909="","",K909*365/12*L909)</f>
        <v/>
      </c>
      <c r="N909" s="18" t="n"/>
      <c r="O909" s="18" t="n"/>
      <c r="P909" s="18" t="n"/>
      <c r="Q909" s="18" t="n"/>
      <c r="R909" s="10" t="n"/>
      <c r="S909" s="17" t="n"/>
      <c r="T909" s="18" t="n"/>
      <c r="U909" s="17" t="n"/>
      <c r="V909" s="17" t="n"/>
      <c r="W909" s="18" t="n"/>
      <c r="X909" s="18" t="n"/>
      <c r="Y909" s="17" t="n"/>
      <c r="Z909" s="10" t="n"/>
      <c r="AA909" s="10" t="n"/>
      <c r="AB909" s="19">
        <f>IF(LEN(A909)&gt;0,1,0)</f>
        <v/>
      </c>
      <c r="AC909" s="19">
        <f>IF(LEN(A909)=0,0,(LEN(B909)=0)+(LEN(C909)=0)+(LEN(D909)=0)+(LEN(E909)=0)+(LEN(F909)=0)+(LEN(G909)=0)+(LEN(H909)=0)+(LEN(I909)=0)+(LEN(J909)=0)+(LEN(K909)=0)+(LEN(L909)=0)+(LEN(N909)=0)+(LEN(O909)=0)+(LEN(P909)=0)+(LEN(R909)=0)+(LEN(AA909)=0))</f>
        <v/>
      </c>
      <c r="AD909" s="19">
        <f>IF(OR(LEN(A909)=0,LEN(C909)=0),0,IF(OR(C909&lt;1,C909&gt;5),1,0))</f>
        <v/>
      </c>
      <c r="AE909" s="19">
        <f>IF(OR(LEN(A909)=0,LEN(R909)=0),0,IF(OR(R909="Active",R909="Paid off",R909="Defaulted",R909="Repossessed",R909="Written off",R909="Restructured"),0,1))</f>
        <v/>
      </c>
      <c r="AF909" s="19">
        <f>IF(A909="",0,IF(N(J909)&gt;N(I909),1,0))</f>
        <v/>
      </c>
      <c r="AG909" s="19">
        <f>IF(A909="",0,IF(N(N909)&gt;N(M909)+1,1,0))</f>
        <v/>
      </c>
      <c r="AH909" s="19">
        <f>IF(A909="",0,IF(N(E909)&gt;N(B909),1,0))</f>
        <v/>
      </c>
      <c r="AI909" s="19">
        <f>IF(A909="",0,IF(AND(Z909="Full payment",N(N909)&lt;N(M909)-1),1,0))</f>
        <v/>
      </c>
      <c r="AJ909" s="19">
        <f>IF(A909="",0,IF(N(P909)&lt;0,1,0))</f>
        <v/>
      </c>
      <c r="AK909" s="19">
        <f>IF(A909="",0,IF(COUNTIF($A$7:$A$1006,A909)&gt;1,1,0))</f>
        <v/>
      </c>
    </row>
    <row r="910">
      <c r="A910" s="10" t="n"/>
      <c r="B910" s="17" t="n"/>
      <c r="C910" s="18" t="n"/>
      <c r="D910" s="10" t="n"/>
      <c r="E910" s="17" t="n"/>
      <c r="F910" s="10" t="n"/>
      <c r="G910" s="10" t="n"/>
      <c r="H910" s="10" t="n"/>
      <c r="I910" s="18" t="n"/>
      <c r="J910" s="18" t="n"/>
      <c r="K910" s="18" t="n"/>
      <c r="L910" s="18" t="n"/>
      <c r="M910" s="19">
        <f>IF(K910="","",K910*365/12*L910)</f>
        <v/>
      </c>
      <c r="N910" s="18" t="n"/>
      <c r="O910" s="18" t="n"/>
      <c r="P910" s="18" t="n"/>
      <c r="Q910" s="18" t="n"/>
      <c r="R910" s="10" t="n"/>
      <c r="S910" s="17" t="n"/>
      <c r="T910" s="18" t="n"/>
      <c r="U910" s="17" t="n"/>
      <c r="V910" s="17" t="n"/>
      <c r="W910" s="18" t="n"/>
      <c r="X910" s="18" t="n"/>
      <c r="Y910" s="17" t="n"/>
      <c r="Z910" s="10" t="n"/>
      <c r="AA910" s="10" t="n"/>
      <c r="AB910" s="19">
        <f>IF(LEN(A910)&gt;0,1,0)</f>
        <v/>
      </c>
      <c r="AC910" s="19">
        <f>IF(LEN(A910)=0,0,(LEN(B910)=0)+(LEN(C910)=0)+(LEN(D910)=0)+(LEN(E910)=0)+(LEN(F910)=0)+(LEN(G910)=0)+(LEN(H910)=0)+(LEN(I910)=0)+(LEN(J910)=0)+(LEN(K910)=0)+(LEN(L910)=0)+(LEN(N910)=0)+(LEN(O910)=0)+(LEN(P910)=0)+(LEN(R910)=0)+(LEN(AA910)=0))</f>
        <v/>
      </c>
      <c r="AD910" s="19">
        <f>IF(OR(LEN(A910)=0,LEN(C910)=0),0,IF(OR(C910&lt;1,C910&gt;5),1,0))</f>
        <v/>
      </c>
      <c r="AE910" s="19">
        <f>IF(OR(LEN(A910)=0,LEN(R910)=0),0,IF(OR(R910="Active",R910="Paid off",R910="Defaulted",R910="Repossessed",R910="Written off",R910="Restructured"),0,1))</f>
        <v/>
      </c>
      <c r="AF910" s="19">
        <f>IF(A910="",0,IF(N(J910)&gt;N(I910),1,0))</f>
        <v/>
      </c>
      <c r="AG910" s="19">
        <f>IF(A910="",0,IF(N(N910)&gt;N(M910)+1,1,0))</f>
        <v/>
      </c>
      <c r="AH910" s="19">
        <f>IF(A910="",0,IF(N(E910)&gt;N(B910),1,0))</f>
        <v/>
      </c>
      <c r="AI910" s="19">
        <f>IF(A910="",0,IF(AND(Z910="Full payment",N(N910)&lt;N(M910)-1),1,0))</f>
        <v/>
      </c>
      <c r="AJ910" s="19">
        <f>IF(A910="",0,IF(N(P910)&lt;0,1,0))</f>
        <v/>
      </c>
      <c r="AK910" s="19">
        <f>IF(A910="",0,IF(COUNTIF($A$7:$A$1006,A910)&gt;1,1,0))</f>
        <v/>
      </c>
    </row>
    <row r="911">
      <c r="A911" s="10" t="n"/>
      <c r="B911" s="17" t="n"/>
      <c r="C911" s="18" t="n"/>
      <c r="D911" s="10" t="n"/>
      <c r="E911" s="17" t="n"/>
      <c r="F911" s="10" t="n"/>
      <c r="G911" s="10" t="n"/>
      <c r="H911" s="10" t="n"/>
      <c r="I911" s="18" t="n"/>
      <c r="J911" s="18" t="n"/>
      <c r="K911" s="18" t="n"/>
      <c r="L911" s="18" t="n"/>
      <c r="M911" s="19">
        <f>IF(K911="","",K911*365/12*L911)</f>
        <v/>
      </c>
      <c r="N911" s="18" t="n"/>
      <c r="O911" s="18" t="n"/>
      <c r="P911" s="18" t="n"/>
      <c r="Q911" s="18" t="n"/>
      <c r="R911" s="10" t="n"/>
      <c r="S911" s="17" t="n"/>
      <c r="T911" s="18" t="n"/>
      <c r="U911" s="17" t="n"/>
      <c r="V911" s="17" t="n"/>
      <c r="W911" s="18" t="n"/>
      <c r="X911" s="18" t="n"/>
      <c r="Y911" s="17" t="n"/>
      <c r="Z911" s="10" t="n"/>
      <c r="AA911" s="10" t="n"/>
      <c r="AB911" s="19">
        <f>IF(LEN(A911)&gt;0,1,0)</f>
        <v/>
      </c>
      <c r="AC911" s="19">
        <f>IF(LEN(A911)=0,0,(LEN(B911)=0)+(LEN(C911)=0)+(LEN(D911)=0)+(LEN(E911)=0)+(LEN(F911)=0)+(LEN(G911)=0)+(LEN(H911)=0)+(LEN(I911)=0)+(LEN(J911)=0)+(LEN(K911)=0)+(LEN(L911)=0)+(LEN(N911)=0)+(LEN(O911)=0)+(LEN(P911)=0)+(LEN(R911)=0)+(LEN(AA911)=0))</f>
        <v/>
      </c>
      <c r="AD911" s="19">
        <f>IF(OR(LEN(A911)=0,LEN(C911)=0),0,IF(OR(C911&lt;1,C911&gt;5),1,0))</f>
        <v/>
      </c>
      <c r="AE911" s="19">
        <f>IF(OR(LEN(A911)=0,LEN(R911)=0),0,IF(OR(R911="Active",R911="Paid off",R911="Defaulted",R911="Repossessed",R911="Written off",R911="Restructured"),0,1))</f>
        <v/>
      </c>
      <c r="AF911" s="19">
        <f>IF(A911="",0,IF(N(J911)&gt;N(I911),1,0))</f>
        <v/>
      </c>
      <c r="AG911" s="19">
        <f>IF(A911="",0,IF(N(N911)&gt;N(M911)+1,1,0))</f>
        <v/>
      </c>
      <c r="AH911" s="19">
        <f>IF(A911="",0,IF(N(E911)&gt;N(B911),1,0))</f>
        <v/>
      </c>
      <c r="AI911" s="19">
        <f>IF(A911="",0,IF(AND(Z911="Full payment",N(N911)&lt;N(M911)-1),1,0))</f>
        <v/>
      </c>
      <c r="AJ911" s="19">
        <f>IF(A911="",0,IF(N(P911)&lt;0,1,0))</f>
        <v/>
      </c>
      <c r="AK911" s="19">
        <f>IF(A911="",0,IF(COUNTIF($A$7:$A$1006,A911)&gt;1,1,0))</f>
        <v/>
      </c>
    </row>
    <row r="912">
      <c r="A912" s="10" t="n"/>
      <c r="B912" s="17" t="n"/>
      <c r="C912" s="18" t="n"/>
      <c r="D912" s="10" t="n"/>
      <c r="E912" s="17" t="n"/>
      <c r="F912" s="10" t="n"/>
      <c r="G912" s="10" t="n"/>
      <c r="H912" s="10" t="n"/>
      <c r="I912" s="18" t="n"/>
      <c r="J912" s="18" t="n"/>
      <c r="K912" s="18" t="n"/>
      <c r="L912" s="18" t="n"/>
      <c r="M912" s="19">
        <f>IF(K912="","",K912*365/12*L912)</f>
        <v/>
      </c>
      <c r="N912" s="18" t="n"/>
      <c r="O912" s="18" t="n"/>
      <c r="P912" s="18" t="n"/>
      <c r="Q912" s="18" t="n"/>
      <c r="R912" s="10" t="n"/>
      <c r="S912" s="17" t="n"/>
      <c r="T912" s="18" t="n"/>
      <c r="U912" s="17" t="n"/>
      <c r="V912" s="17" t="n"/>
      <c r="W912" s="18" t="n"/>
      <c r="X912" s="18" t="n"/>
      <c r="Y912" s="17" t="n"/>
      <c r="Z912" s="10" t="n"/>
      <c r="AA912" s="10" t="n"/>
      <c r="AB912" s="19">
        <f>IF(LEN(A912)&gt;0,1,0)</f>
        <v/>
      </c>
      <c r="AC912" s="19">
        <f>IF(LEN(A912)=0,0,(LEN(B912)=0)+(LEN(C912)=0)+(LEN(D912)=0)+(LEN(E912)=0)+(LEN(F912)=0)+(LEN(G912)=0)+(LEN(H912)=0)+(LEN(I912)=0)+(LEN(J912)=0)+(LEN(K912)=0)+(LEN(L912)=0)+(LEN(N912)=0)+(LEN(O912)=0)+(LEN(P912)=0)+(LEN(R912)=0)+(LEN(AA912)=0))</f>
        <v/>
      </c>
      <c r="AD912" s="19">
        <f>IF(OR(LEN(A912)=0,LEN(C912)=0),0,IF(OR(C912&lt;1,C912&gt;5),1,0))</f>
        <v/>
      </c>
      <c r="AE912" s="19">
        <f>IF(OR(LEN(A912)=0,LEN(R912)=0),0,IF(OR(R912="Active",R912="Paid off",R912="Defaulted",R912="Repossessed",R912="Written off",R912="Restructured"),0,1))</f>
        <v/>
      </c>
      <c r="AF912" s="19">
        <f>IF(A912="",0,IF(N(J912)&gt;N(I912),1,0))</f>
        <v/>
      </c>
      <c r="AG912" s="19">
        <f>IF(A912="",0,IF(N(N912)&gt;N(M912)+1,1,0))</f>
        <v/>
      </c>
      <c r="AH912" s="19">
        <f>IF(A912="",0,IF(N(E912)&gt;N(B912),1,0))</f>
        <v/>
      </c>
      <c r="AI912" s="19">
        <f>IF(A912="",0,IF(AND(Z912="Full payment",N(N912)&lt;N(M912)-1),1,0))</f>
        <v/>
      </c>
      <c r="AJ912" s="19">
        <f>IF(A912="",0,IF(N(P912)&lt;0,1,0))</f>
        <v/>
      </c>
      <c r="AK912" s="19">
        <f>IF(A912="",0,IF(COUNTIF($A$7:$A$1006,A912)&gt;1,1,0))</f>
        <v/>
      </c>
    </row>
    <row r="913">
      <c r="A913" s="10" t="n"/>
      <c r="B913" s="17" t="n"/>
      <c r="C913" s="18" t="n"/>
      <c r="D913" s="10" t="n"/>
      <c r="E913" s="17" t="n"/>
      <c r="F913" s="10" t="n"/>
      <c r="G913" s="10" t="n"/>
      <c r="H913" s="10" t="n"/>
      <c r="I913" s="18" t="n"/>
      <c r="J913" s="18" t="n"/>
      <c r="K913" s="18" t="n"/>
      <c r="L913" s="18" t="n"/>
      <c r="M913" s="19">
        <f>IF(K913="","",K913*365/12*L913)</f>
        <v/>
      </c>
      <c r="N913" s="18" t="n"/>
      <c r="O913" s="18" t="n"/>
      <c r="P913" s="18" t="n"/>
      <c r="Q913" s="18" t="n"/>
      <c r="R913" s="10" t="n"/>
      <c r="S913" s="17" t="n"/>
      <c r="T913" s="18" t="n"/>
      <c r="U913" s="17" t="n"/>
      <c r="V913" s="17" t="n"/>
      <c r="W913" s="18" t="n"/>
      <c r="X913" s="18" t="n"/>
      <c r="Y913" s="17" t="n"/>
      <c r="Z913" s="10" t="n"/>
      <c r="AA913" s="10" t="n"/>
      <c r="AB913" s="19">
        <f>IF(LEN(A913)&gt;0,1,0)</f>
        <v/>
      </c>
      <c r="AC913" s="19">
        <f>IF(LEN(A913)=0,0,(LEN(B913)=0)+(LEN(C913)=0)+(LEN(D913)=0)+(LEN(E913)=0)+(LEN(F913)=0)+(LEN(G913)=0)+(LEN(H913)=0)+(LEN(I913)=0)+(LEN(J913)=0)+(LEN(K913)=0)+(LEN(L913)=0)+(LEN(N913)=0)+(LEN(O913)=0)+(LEN(P913)=0)+(LEN(R913)=0)+(LEN(AA913)=0))</f>
        <v/>
      </c>
      <c r="AD913" s="19">
        <f>IF(OR(LEN(A913)=0,LEN(C913)=0),0,IF(OR(C913&lt;1,C913&gt;5),1,0))</f>
        <v/>
      </c>
      <c r="AE913" s="19">
        <f>IF(OR(LEN(A913)=0,LEN(R913)=0),0,IF(OR(R913="Active",R913="Paid off",R913="Defaulted",R913="Repossessed",R913="Written off",R913="Restructured"),0,1))</f>
        <v/>
      </c>
      <c r="AF913" s="19">
        <f>IF(A913="",0,IF(N(J913)&gt;N(I913),1,0))</f>
        <v/>
      </c>
      <c r="AG913" s="19">
        <f>IF(A913="",0,IF(N(N913)&gt;N(M913)+1,1,0))</f>
        <v/>
      </c>
      <c r="AH913" s="19">
        <f>IF(A913="",0,IF(N(E913)&gt;N(B913),1,0))</f>
        <v/>
      </c>
      <c r="AI913" s="19">
        <f>IF(A913="",0,IF(AND(Z913="Full payment",N(N913)&lt;N(M913)-1),1,0))</f>
        <v/>
      </c>
      <c r="AJ913" s="19">
        <f>IF(A913="",0,IF(N(P913)&lt;0,1,0))</f>
        <v/>
      </c>
      <c r="AK913" s="19">
        <f>IF(A913="",0,IF(COUNTIF($A$7:$A$1006,A913)&gt;1,1,0))</f>
        <v/>
      </c>
    </row>
    <row r="914">
      <c r="A914" s="10" t="n"/>
      <c r="B914" s="17" t="n"/>
      <c r="C914" s="18" t="n"/>
      <c r="D914" s="10" t="n"/>
      <c r="E914" s="17" t="n"/>
      <c r="F914" s="10" t="n"/>
      <c r="G914" s="10" t="n"/>
      <c r="H914" s="10" t="n"/>
      <c r="I914" s="18" t="n"/>
      <c r="J914" s="18" t="n"/>
      <c r="K914" s="18" t="n"/>
      <c r="L914" s="18" t="n"/>
      <c r="M914" s="19">
        <f>IF(K914="","",K914*365/12*L914)</f>
        <v/>
      </c>
      <c r="N914" s="18" t="n"/>
      <c r="O914" s="18" t="n"/>
      <c r="P914" s="18" t="n"/>
      <c r="Q914" s="18" t="n"/>
      <c r="R914" s="10" t="n"/>
      <c r="S914" s="17" t="n"/>
      <c r="T914" s="18" t="n"/>
      <c r="U914" s="17" t="n"/>
      <c r="V914" s="17" t="n"/>
      <c r="W914" s="18" t="n"/>
      <c r="X914" s="18" t="n"/>
      <c r="Y914" s="17" t="n"/>
      <c r="Z914" s="10" t="n"/>
      <c r="AA914" s="10" t="n"/>
      <c r="AB914" s="19">
        <f>IF(LEN(A914)&gt;0,1,0)</f>
        <v/>
      </c>
      <c r="AC914" s="19">
        <f>IF(LEN(A914)=0,0,(LEN(B914)=0)+(LEN(C914)=0)+(LEN(D914)=0)+(LEN(E914)=0)+(LEN(F914)=0)+(LEN(G914)=0)+(LEN(H914)=0)+(LEN(I914)=0)+(LEN(J914)=0)+(LEN(K914)=0)+(LEN(L914)=0)+(LEN(N914)=0)+(LEN(O914)=0)+(LEN(P914)=0)+(LEN(R914)=0)+(LEN(AA914)=0))</f>
        <v/>
      </c>
      <c r="AD914" s="19">
        <f>IF(OR(LEN(A914)=0,LEN(C914)=0),0,IF(OR(C914&lt;1,C914&gt;5),1,0))</f>
        <v/>
      </c>
      <c r="AE914" s="19">
        <f>IF(OR(LEN(A914)=0,LEN(R914)=0),0,IF(OR(R914="Active",R914="Paid off",R914="Defaulted",R914="Repossessed",R914="Written off",R914="Restructured"),0,1))</f>
        <v/>
      </c>
      <c r="AF914" s="19">
        <f>IF(A914="",0,IF(N(J914)&gt;N(I914),1,0))</f>
        <v/>
      </c>
      <c r="AG914" s="19">
        <f>IF(A914="",0,IF(N(N914)&gt;N(M914)+1,1,0))</f>
        <v/>
      </c>
      <c r="AH914" s="19">
        <f>IF(A914="",0,IF(N(E914)&gt;N(B914),1,0))</f>
        <v/>
      </c>
      <c r="AI914" s="19">
        <f>IF(A914="",0,IF(AND(Z914="Full payment",N(N914)&lt;N(M914)-1),1,0))</f>
        <v/>
      </c>
      <c r="AJ914" s="19">
        <f>IF(A914="",0,IF(N(P914)&lt;0,1,0))</f>
        <v/>
      </c>
      <c r="AK914" s="19">
        <f>IF(A914="",0,IF(COUNTIF($A$7:$A$1006,A914)&gt;1,1,0))</f>
        <v/>
      </c>
    </row>
    <row r="915">
      <c r="A915" s="10" t="n"/>
      <c r="B915" s="17" t="n"/>
      <c r="C915" s="18" t="n"/>
      <c r="D915" s="10" t="n"/>
      <c r="E915" s="17" t="n"/>
      <c r="F915" s="10" t="n"/>
      <c r="G915" s="10" t="n"/>
      <c r="H915" s="10" t="n"/>
      <c r="I915" s="18" t="n"/>
      <c r="J915" s="18" t="n"/>
      <c r="K915" s="18" t="n"/>
      <c r="L915" s="18" t="n"/>
      <c r="M915" s="19">
        <f>IF(K915="","",K915*365/12*L915)</f>
        <v/>
      </c>
      <c r="N915" s="18" t="n"/>
      <c r="O915" s="18" t="n"/>
      <c r="P915" s="18" t="n"/>
      <c r="Q915" s="18" t="n"/>
      <c r="R915" s="10" t="n"/>
      <c r="S915" s="17" t="n"/>
      <c r="T915" s="18" t="n"/>
      <c r="U915" s="17" t="n"/>
      <c r="V915" s="17" t="n"/>
      <c r="W915" s="18" t="n"/>
      <c r="X915" s="18" t="n"/>
      <c r="Y915" s="17" t="n"/>
      <c r="Z915" s="10" t="n"/>
      <c r="AA915" s="10" t="n"/>
      <c r="AB915" s="19">
        <f>IF(LEN(A915)&gt;0,1,0)</f>
        <v/>
      </c>
      <c r="AC915" s="19">
        <f>IF(LEN(A915)=0,0,(LEN(B915)=0)+(LEN(C915)=0)+(LEN(D915)=0)+(LEN(E915)=0)+(LEN(F915)=0)+(LEN(G915)=0)+(LEN(H915)=0)+(LEN(I915)=0)+(LEN(J915)=0)+(LEN(K915)=0)+(LEN(L915)=0)+(LEN(N915)=0)+(LEN(O915)=0)+(LEN(P915)=0)+(LEN(R915)=0)+(LEN(AA915)=0))</f>
        <v/>
      </c>
      <c r="AD915" s="19">
        <f>IF(OR(LEN(A915)=0,LEN(C915)=0),0,IF(OR(C915&lt;1,C915&gt;5),1,0))</f>
        <v/>
      </c>
      <c r="AE915" s="19">
        <f>IF(OR(LEN(A915)=0,LEN(R915)=0),0,IF(OR(R915="Active",R915="Paid off",R915="Defaulted",R915="Repossessed",R915="Written off",R915="Restructured"),0,1))</f>
        <v/>
      </c>
      <c r="AF915" s="19">
        <f>IF(A915="",0,IF(N(J915)&gt;N(I915),1,0))</f>
        <v/>
      </c>
      <c r="AG915" s="19">
        <f>IF(A915="",0,IF(N(N915)&gt;N(M915)+1,1,0))</f>
        <v/>
      </c>
      <c r="AH915" s="19">
        <f>IF(A915="",0,IF(N(E915)&gt;N(B915),1,0))</f>
        <v/>
      </c>
      <c r="AI915" s="19">
        <f>IF(A915="",0,IF(AND(Z915="Full payment",N(N915)&lt;N(M915)-1),1,0))</f>
        <v/>
      </c>
      <c r="AJ915" s="19">
        <f>IF(A915="",0,IF(N(P915)&lt;0,1,0))</f>
        <v/>
      </c>
      <c r="AK915" s="19">
        <f>IF(A915="",0,IF(COUNTIF($A$7:$A$1006,A915)&gt;1,1,0))</f>
        <v/>
      </c>
    </row>
    <row r="916">
      <c r="A916" s="10" t="n"/>
      <c r="B916" s="17" t="n"/>
      <c r="C916" s="18" t="n"/>
      <c r="D916" s="10" t="n"/>
      <c r="E916" s="17" t="n"/>
      <c r="F916" s="10" t="n"/>
      <c r="G916" s="10" t="n"/>
      <c r="H916" s="10" t="n"/>
      <c r="I916" s="18" t="n"/>
      <c r="J916" s="18" t="n"/>
      <c r="K916" s="18" t="n"/>
      <c r="L916" s="18" t="n"/>
      <c r="M916" s="19">
        <f>IF(K916="","",K916*365/12*L916)</f>
        <v/>
      </c>
      <c r="N916" s="18" t="n"/>
      <c r="O916" s="18" t="n"/>
      <c r="P916" s="18" t="n"/>
      <c r="Q916" s="18" t="n"/>
      <c r="R916" s="10" t="n"/>
      <c r="S916" s="17" t="n"/>
      <c r="T916" s="18" t="n"/>
      <c r="U916" s="17" t="n"/>
      <c r="V916" s="17" t="n"/>
      <c r="W916" s="18" t="n"/>
      <c r="X916" s="18" t="n"/>
      <c r="Y916" s="17" t="n"/>
      <c r="Z916" s="10" t="n"/>
      <c r="AA916" s="10" t="n"/>
      <c r="AB916" s="19">
        <f>IF(LEN(A916)&gt;0,1,0)</f>
        <v/>
      </c>
      <c r="AC916" s="19">
        <f>IF(LEN(A916)=0,0,(LEN(B916)=0)+(LEN(C916)=0)+(LEN(D916)=0)+(LEN(E916)=0)+(LEN(F916)=0)+(LEN(G916)=0)+(LEN(H916)=0)+(LEN(I916)=0)+(LEN(J916)=0)+(LEN(K916)=0)+(LEN(L916)=0)+(LEN(N916)=0)+(LEN(O916)=0)+(LEN(P916)=0)+(LEN(R916)=0)+(LEN(AA916)=0))</f>
        <v/>
      </c>
      <c r="AD916" s="19">
        <f>IF(OR(LEN(A916)=0,LEN(C916)=0),0,IF(OR(C916&lt;1,C916&gt;5),1,0))</f>
        <v/>
      </c>
      <c r="AE916" s="19">
        <f>IF(OR(LEN(A916)=0,LEN(R916)=0),0,IF(OR(R916="Active",R916="Paid off",R916="Defaulted",R916="Repossessed",R916="Written off",R916="Restructured"),0,1))</f>
        <v/>
      </c>
      <c r="AF916" s="19">
        <f>IF(A916="",0,IF(N(J916)&gt;N(I916),1,0))</f>
        <v/>
      </c>
      <c r="AG916" s="19">
        <f>IF(A916="",0,IF(N(N916)&gt;N(M916)+1,1,0))</f>
        <v/>
      </c>
      <c r="AH916" s="19">
        <f>IF(A916="",0,IF(N(E916)&gt;N(B916),1,0))</f>
        <v/>
      </c>
      <c r="AI916" s="19">
        <f>IF(A916="",0,IF(AND(Z916="Full payment",N(N916)&lt;N(M916)-1),1,0))</f>
        <v/>
      </c>
      <c r="AJ916" s="19">
        <f>IF(A916="",0,IF(N(P916)&lt;0,1,0))</f>
        <v/>
      </c>
      <c r="AK916" s="19">
        <f>IF(A916="",0,IF(COUNTIF($A$7:$A$1006,A916)&gt;1,1,0))</f>
        <v/>
      </c>
    </row>
    <row r="917">
      <c r="A917" s="10" t="n"/>
      <c r="B917" s="17" t="n"/>
      <c r="C917" s="18" t="n"/>
      <c r="D917" s="10" t="n"/>
      <c r="E917" s="17" t="n"/>
      <c r="F917" s="10" t="n"/>
      <c r="G917" s="10" t="n"/>
      <c r="H917" s="10" t="n"/>
      <c r="I917" s="18" t="n"/>
      <c r="J917" s="18" t="n"/>
      <c r="K917" s="18" t="n"/>
      <c r="L917" s="18" t="n"/>
      <c r="M917" s="19">
        <f>IF(K917="","",K917*365/12*L917)</f>
        <v/>
      </c>
      <c r="N917" s="18" t="n"/>
      <c r="O917" s="18" t="n"/>
      <c r="P917" s="18" t="n"/>
      <c r="Q917" s="18" t="n"/>
      <c r="R917" s="10" t="n"/>
      <c r="S917" s="17" t="n"/>
      <c r="T917" s="18" t="n"/>
      <c r="U917" s="17" t="n"/>
      <c r="V917" s="17" t="n"/>
      <c r="W917" s="18" t="n"/>
      <c r="X917" s="18" t="n"/>
      <c r="Y917" s="17" t="n"/>
      <c r="Z917" s="10" t="n"/>
      <c r="AA917" s="10" t="n"/>
      <c r="AB917" s="19">
        <f>IF(LEN(A917)&gt;0,1,0)</f>
        <v/>
      </c>
      <c r="AC917" s="19">
        <f>IF(LEN(A917)=0,0,(LEN(B917)=0)+(LEN(C917)=0)+(LEN(D917)=0)+(LEN(E917)=0)+(LEN(F917)=0)+(LEN(G917)=0)+(LEN(H917)=0)+(LEN(I917)=0)+(LEN(J917)=0)+(LEN(K917)=0)+(LEN(L917)=0)+(LEN(N917)=0)+(LEN(O917)=0)+(LEN(P917)=0)+(LEN(R917)=0)+(LEN(AA917)=0))</f>
        <v/>
      </c>
      <c r="AD917" s="19">
        <f>IF(OR(LEN(A917)=0,LEN(C917)=0),0,IF(OR(C917&lt;1,C917&gt;5),1,0))</f>
        <v/>
      </c>
      <c r="AE917" s="19">
        <f>IF(OR(LEN(A917)=0,LEN(R917)=0),0,IF(OR(R917="Active",R917="Paid off",R917="Defaulted",R917="Repossessed",R917="Written off",R917="Restructured"),0,1))</f>
        <v/>
      </c>
      <c r="AF917" s="19">
        <f>IF(A917="",0,IF(N(J917)&gt;N(I917),1,0))</f>
        <v/>
      </c>
      <c r="AG917" s="19">
        <f>IF(A917="",0,IF(N(N917)&gt;N(M917)+1,1,0))</f>
        <v/>
      </c>
      <c r="AH917" s="19">
        <f>IF(A917="",0,IF(N(E917)&gt;N(B917),1,0))</f>
        <v/>
      </c>
      <c r="AI917" s="19">
        <f>IF(A917="",0,IF(AND(Z917="Full payment",N(N917)&lt;N(M917)-1),1,0))</f>
        <v/>
      </c>
      <c r="AJ917" s="19">
        <f>IF(A917="",0,IF(N(P917)&lt;0,1,0))</f>
        <v/>
      </c>
      <c r="AK917" s="19">
        <f>IF(A917="",0,IF(COUNTIF($A$7:$A$1006,A917)&gt;1,1,0))</f>
        <v/>
      </c>
    </row>
    <row r="918">
      <c r="A918" s="10" t="n"/>
      <c r="B918" s="17" t="n"/>
      <c r="C918" s="18" t="n"/>
      <c r="D918" s="10" t="n"/>
      <c r="E918" s="17" t="n"/>
      <c r="F918" s="10" t="n"/>
      <c r="G918" s="10" t="n"/>
      <c r="H918" s="10" t="n"/>
      <c r="I918" s="18" t="n"/>
      <c r="J918" s="18" t="n"/>
      <c r="K918" s="18" t="n"/>
      <c r="L918" s="18" t="n"/>
      <c r="M918" s="19">
        <f>IF(K918="","",K918*365/12*L918)</f>
        <v/>
      </c>
      <c r="N918" s="18" t="n"/>
      <c r="O918" s="18" t="n"/>
      <c r="P918" s="18" t="n"/>
      <c r="Q918" s="18" t="n"/>
      <c r="R918" s="10" t="n"/>
      <c r="S918" s="17" t="n"/>
      <c r="T918" s="18" t="n"/>
      <c r="U918" s="17" t="n"/>
      <c r="V918" s="17" t="n"/>
      <c r="W918" s="18" t="n"/>
      <c r="X918" s="18" t="n"/>
      <c r="Y918" s="17" t="n"/>
      <c r="Z918" s="10" t="n"/>
      <c r="AA918" s="10" t="n"/>
      <c r="AB918" s="19">
        <f>IF(LEN(A918)&gt;0,1,0)</f>
        <v/>
      </c>
      <c r="AC918" s="19">
        <f>IF(LEN(A918)=0,0,(LEN(B918)=0)+(LEN(C918)=0)+(LEN(D918)=0)+(LEN(E918)=0)+(LEN(F918)=0)+(LEN(G918)=0)+(LEN(H918)=0)+(LEN(I918)=0)+(LEN(J918)=0)+(LEN(K918)=0)+(LEN(L918)=0)+(LEN(N918)=0)+(LEN(O918)=0)+(LEN(P918)=0)+(LEN(R918)=0)+(LEN(AA918)=0))</f>
        <v/>
      </c>
      <c r="AD918" s="19">
        <f>IF(OR(LEN(A918)=0,LEN(C918)=0),0,IF(OR(C918&lt;1,C918&gt;5),1,0))</f>
        <v/>
      </c>
      <c r="AE918" s="19">
        <f>IF(OR(LEN(A918)=0,LEN(R918)=0),0,IF(OR(R918="Active",R918="Paid off",R918="Defaulted",R918="Repossessed",R918="Written off",R918="Restructured"),0,1))</f>
        <v/>
      </c>
      <c r="AF918" s="19">
        <f>IF(A918="",0,IF(N(J918)&gt;N(I918),1,0))</f>
        <v/>
      </c>
      <c r="AG918" s="19">
        <f>IF(A918="",0,IF(N(N918)&gt;N(M918)+1,1,0))</f>
        <v/>
      </c>
      <c r="AH918" s="19">
        <f>IF(A918="",0,IF(N(E918)&gt;N(B918),1,0))</f>
        <v/>
      </c>
      <c r="AI918" s="19">
        <f>IF(A918="",0,IF(AND(Z918="Full payment",N(N918)&lt;N(M918)-1),1,0))</f>
        <v/>
      </c>
      <c r="AJ918" s="19">
        <f>IF(A918="",0,IF(N(P918)&lt;0,1,0))</f>
        <v/>
      </c>
      <c r="AK918" s="19">
        <f>IF(A918="",0,IF(COUNTIF($A$7:$A$1006,A918)&gt;1,1,0))</f>
        <v/>
      </c>
    </row>
    <row r="919">
      <c r="A919" s="10" t="n"/>
      <c r="B919" s="17" t="n"/>
      <c r="C919" s="18" t="n"/>
      <c r="D919" s="10" t="n"/>
      <c r="E919" s="17" t="n"/>
      <c r="F919" s="10" t="n"/>
      <c r="G919" s="10" t="n"/>
      <c r="H919" s="10" t="n"/>
      <c r="I919" s="18" t="n"/>
      <c r="J919" s="18" t="n"/>
      <c r="K919" s="18" t="n"/>
      <c r="L919" s="18" t="n"/>
      <c r="M919" s="19">
        <f>IF(K919="","",K919*365/12*L919)</f>
        <v/>
      </c>
      <c r="N919" s="18" t="n"/>
      <c r="O919" s="18" t="n"/>
      <c r="P919" s="18" t="n"/>
      <c r="Q919" s="18" t="n"/>
      <c r="R919" s="10" t="n"/>
      <c r="S919" s="17" t="n"/>
      <c r="T919" s="18" t="n"/>
      <c r="U919" s="17" t="n"/>
      <c r="V919" s="17" t="n"/>
      <c r="W919" s="18" t="n"/>
      <c r="X919" s="18" t="n"/>
      <c r="Y919" s="17" t="n"/>
      <c r="Z919" s="10" t="n"/>
      <c r="AA919" s="10" t="n"/>
      <c r="AB919" s="19">
        <f>IF(LEN(A919)&gt;0,1,0)</f>
        <v/>
      </c>
      <c r="AC919" s="19">
        <f>IF(LEN(A919)=0,0,(LEN(B919)=0)+(LEN(C919)=0)+(LEN(D919)=0)+(LEN(E919)=0)+(LEN(F919)=0)+(LEN(G919)=0)+(LEN(H919)=0)+(LEN(I919)=0)+(LEN(J919)=0)+(LEN(K919)=0)+(LEN(L919)=0)+(LEN(N919)=0)+(LEN(O919)=0)+(LEN(P919)=0)+(LEN(R919)=0)+(LEN(AA919)=0))</f>
        <v/>
      </c>
      <c r="AD919" s="19">
        <f>IF(OR(LEN(A919)=0,LEN(C919)=0),0,IF(OR(C919&lt;1,C919&gt;5),1,0))</f>
        <v/>
      </c>
      <c r="AE919" s="19">
        <f>IF(OR(LEN(A919)=0,LEN(R919)=0),0,IF(OR(R919="Active",R919="Paid off",R919="Defaulted",R919="Repossessed",R919="Written off",R919="Restructured"),0,1))</f>
        <v/>
      </c>
      <c r="AF919" s="19">
        <f>IF(A919="",0,IF(N(J919)&gt;N(I919),1,0))</f>
        <v/>
      </c>
      <c r="AG919" s="19">
        <f>IF(A919="",0,IF(N(N919)&gt;N(M919)+1,1,0))</f>
        <v/>
      </c>
      <c r="AH919" s="19">
        <f>IF(A919="",0,IF(N(E919)&gt;N(B919),1,0))</f>
        <v/>
      </c>
      <c r="AI919" s="19">
        <f>IF(A919="",0,IF(AND(Z919="Full payment",N(N919)&lt;N(M919)-1),1,0))</f>
        <v/>
      </c>
      <c r="AJ919" s="19">
        <f>IF(A919="",0,IF(N(P919)&lt;0,1,0))</f>
        <v/>
      </c>
      <c r="AK919" s="19">
        <f>IF(A919="",0,IF(COUNTIF($A$7:$A$1006,A919)&gt;1,1,0))</f>
        <v/>
      </c>
    </row>
    <row r="920">
      <c r="A920" s="10" t="n"/>
      <c r="B920" s="17" t="n"/>
      <c r="C920" s="18" t="n"/>
      <c r="D920" s="10" t="n"/>
      <c r="E920" s="17" t="n"/>
      <c r="F920" s="10" t="n"/>
      <c r="G920" s="10" t="n"/>
      <c r="H920" s="10" t="n"/>
      <c r="I920" s="18" t="n"/>
      <c r="J920" s="18" t="n"/>
      <c r="K920" s="18" t="n"/>
      <c r="L920" s="18" t="n"/>
      <c r="M920" s="19">
        <f>IF(K920="","",K920*365/12*L920)</f>
        <v/>
      </c>
      <c r="N920" s="18" t="n"/>
      <c r="O920" s="18" t="n"/>
      <c r="P920" s="18" t="n"/>
      <c r="Q920" s="18" t="n"/>
      <c r="R920" s="10" t="n"/>
      <c r="S920" s="17" t="n"/>
      <c r="T920" s="18" t="n"/>
      <c r="U920" s="17" t="n"/>
      <c r="V920" s="17" t="n"/>
      <c r="W920" s="18" t="n"/>
      <c r="X920" s="18" t="n"/>
      <c r="Y920" s="17" t="n"/>
      <c r="Z920" s="10" t="n"/>
      <c r="AA920" s="10" t="n"/>
      <c r="AB920" s="19">
        <f>IF(LEN(A920)&gt;0,1,0)</f>
        <v/>
      </c>
      <c r="AC920" s="19">
        <f>IF(LEN(A920)=0,0,(LEN(B920)=0)+(LEN(C920)=0)+(LEN(D920)=0)+(LEN(E920)=0)+(LEN(F920)=0)+(LEN(G920)=0)+(LEN(H920)=0)+(LEN(I920)=0)+(LEN(J920)=0)+(LEN(K920)=0)+(LEN(L920)=0)+(LEN(N920)=0)+(LEN(O920)=0)+(LEN(P920)=0)+(LEN(R920)=0)+(LEN(AA920)=0))</f>
        <v/>
      </c>
      <c r="AD920" s="19">
        <f>IF(OR(LEN(A920)=0,LEN(C920)=0),0,IF(OR(C920&lt;1,C920&gt;5),1,0))</f>
        <v/>
      </c>
      <c r="AE920" s="19">
        <f>IF(OR(LEN(A920)=0,LEN(R920)=0),0,IF(OR(R920="Active",R920="Paid off",R920="Defaulted",R920="Repossessed",R920="Written off",R920="Restructured"),0,1))</f>
        <v/>
      </c>
      <c r="AF920" s="19">
        <f>IF(A920="",0,IF(N(J920)&gt;N(I920),1,0))</f>
        <v/>
      </c>
      <c r="AG920" s="19">
        <f>IF(A920="",0,IF(N(N920)&gt;N(M920)+1,1,0))</f>
        <v/>
      </c>
      <c r="AH920" s="19">
        <f>IF(A920="",0,IF(N(E920)&gt;N(B920),1,0))</f>
        <v/>
      </c>
      <c r="AI920" s="19">
        <f>IF(A920="",0,IF(AND(Z920="Full payment",N(N920)&lt;N(M920)-1),1,0))</f>
        <v/>
      </c>
      <c r="AJ920" s="19">
        <f>IF(A920="",0,IF(N(P920)&lt;0,1,0))</f>
        <v/>
      </c>
      <c r="AK920" s="19">
        <f>IF(A920="",0,IF(COUNTIF($A$7:$A$1006,A920)&gt;1,1,0))</f>
        <v/>
      </c>
    </row>
    <row r="921">
      <c r="A921" s="10" t="n"/>
      <c r="B921" s="17" t="n"/>
      <c r="C921" s="18" t="n"/>
      <c r="D921" s="10" t="n"/>
      <c r="E921" s="17" t="n"/>
      <c r="F921" s="10" t="n"/>
      <c r="G921" s="10" t="n"/>
      <c r="H921" s="10" t="n"/>
      <c r="I921" s="18" t="n"/>
      <c r="J921" s="18" t="n"/>
      <c r="K921" s="18" t="n"/>
      <c r="L921" s="18" t="n"/>
      <c r="M921" s="19">
        <f>IF(K921="","",K921*365/12*L921)</f>
        <v/>
      </c>
      <c r="N921" s="18" t="n"/>
      <c r="O921" s="18" t="n"/>
      <c r="P921" s="18" t="n"/>
      <c r="Q921" s="18" t="n"/>
      <c r="R921" s="10" t="n"/>
      <c r="S921" s="17" t="n"/>
      <c r="T921" s="18" t="n"/>
      <c r="U921" s="17" t="n"/>
      <c r="V921" s="17" t="n"/>
      <c r="W921" s="18" t="n"/>
      <c r="X921" s="18" t="n"/>
      <c r="Y921" s="17" t="n"/>
      <c r="Z921" s="10" t="n"/>
      <c r="AA921" s="10" t="n"/>
      <c r="AB921" s="19">
        <f>IF(LEN(A921)&gt;0,1,0)</f>
        <v/>
      </c>
      <c r="AC921" s="19">
        <f>IF(LEN(A921)=0,0,(LEN(B921)=0)+(LEN(C921)=0)+(LEN(D921)=0)+(LEN(E921)=0)+(LEN(F921)=0)+(LEN(G921)=0)+(LEN(H921)=0)+(LEN(I921)=0)+(LEN(J921)=0)+(LEN(K921)=0)+(LEN(L921)=0)+(LEN(N921)=0)+(LEN(O921)=0)+(LEN(P921)=0)+(LEN(R921)=0)+(LEN(AA921)=0))</f>
        <v/>
      </c>
      <c r="AD921" s="19">
        <f>IF(OR(LEN(A921)=0,LEN(C921)=0),0,IF(OR(C921&lt;1,C921&gt;5),1,0))</f>
        <v/>
      </c>
      <c r="AE921" s="19">
        <f>IF(OR(LEN(A921)=0,LEN(R921)=0),0,IF(OR(R921="Active",R921="Paid off",R921="Defaulted",R921="Repossessed",R921="Written off",R921="Restructured"),0,1))</f>
        <v/>
      </c>
      <c r="AF921" s="19">
        <f>IF(A921="",0,IF(N(J921)&gt;N(I921),1,0))</f>
        <v/>
      </c>
      <c r="AG921" s="19">
        <f>IF(A921="",0,IF(N(N921)&gt;N(M921)+1,1,0))</f>
        <v/>
      </c>
      <c r="AH921" s="19">
        <f>IF(A921="",0,IF(N(E921)&gt;N(B921),1,0))</f>
        <v/>
      </c>
      <c r="AI921" s="19">
        <f>IF(A921="",0,IF(AND(Z921="Full payment",N(N921)&lt;N(M921)-1),1,0))</f>
        <v/>
      </c>
      <c r="AJ921" s="19">
        <f>IF(A921="",0,IF(N(P921)&lt;0,1,0))</f>
        <v/>
      </c>
      <c r="AK921" s="19">
        <f>IF(A921="",0,IF(COUNTIF($A$7:$A$1006,A921)&gt;1,1,0))</f>
        <v/>
      </c>
    </row>
    <row r="922">
      <c r="A922" s="10" t="n"/>
      <c r="B922" s="17" t="n"/>
      <c r="C922" s="18" t="n"/>
      <c r="D922" s="10" t="n"/>
      <c r="E922" s="17" t="n"/>
      <c r="F922" s="10" t="n"/>
      <c r="G922" s="10" t="n"/>
      <c r="H922" s="10" t="n"/>
      <c r="I922" s="18" t="n"/>
      <c r="J922" s="18" t="n"/>
      <c r="K922" s="18" t="n"/>
      <c r="L922" s="18" t="n"/>
      <c r="M922" s="19">
        <f>IF(K922="","",K922*365/12*L922)</f>
        <v/>
      </c>
      <c r="N922" s="18" t="n"/>
      <c r="O922" s="18" t="n"/>
      <c r="P922" s="18" t="n"/>
      <c r="Q922" s="18" t="n"/>
      <c r="R922" s="10" t="n"/>
      <c r="S922" s="17" t="n"/>
      <c r="T922" s="18" t="n"/>
      <c r="U922" s="17" t="n"/>
      <c r="V922" s="17" t="n"/>
      <c r="W922" s="18" t="n"/>
      <c r="X922" s="18" t="n"/>
      <c r="Y922" s="17" t="n"/>
      <c r="Z922" s="10" t="n"/>
      <c r="AA922" s="10" t="n"/>
      <c r="AB922" s="19">
        <f>IF(LEN(A922)&gt;0,1,0)</f>
        <v/>
      </c>
      <c r="AC922" s="19">
        <f>IF(LEN(A922)=0,0,(LEN(B922)=0)+(LEN(C922)=0)+(LEN(D922)=0)+(LEN(E922)=0)+(LEN(F922)=0)+(LEN(G922)=0)+(LEN(H922)=0)+(LEN(I922)=0)+(LEN(J922)=0)+(LEN(K922)=0)+(LEN(L922)=0)+(LEN(N922)=0)+(LEN(O922)=0)+(LEN(P922)=0)+(LEN(R922)=0)+(LEN(AA922)=0))</f>
        <v/>
      </c>
      <c r="AD922" s="19">
        <f>IF(OR(LEN(A922)=0,LEN(C922)=0),0,IF(OR(C922&lt;1,C922&gt;5),1,0))</f>
        <v/>
      </c>
      <c r="AE922" s="19">
        <f>IF(OR(LEN(A922)=0,LEN(R922)=0),0,IF(OR(R922="Active",R922="Paid off",R922="Defaulted",R922="Repossessed",R922="Written off",R922="Restructured"),0,1))</f>
        <v/>
      </c>
      <c r="AF922" s="19">
        <f>IF(A922="",0,IF(N(J922)&gt;N(I922),1,0))</f>
        <v/>
      </c>
      <c r="AG922" s="19">
        <f>IF(A922="",0,IF(N(N922)&gt;N(M922)+1,1,0))</f>
        <v/>
      </c>
      <c r="AH922" s="19">
        <f>IF(A922="",0,IF(N(E922)&gt;N(B922),1,0))</f>
        <v/>
      </c>
      <c r="AI922" s="19">
        <f>IF(A922="",0,IF(AND(Z922="Full payment",N(N922)&lt;N(M922)-1),1,0))</f>
        <v/>
      </c>
      <c r="AJ922" s="19">
        <f>IF(A922="",0,IF(N(P922)&lt;0,1,0))</f>
        <v/>
      </c>
      <c r="AK922" s="19">
        <f>IF(A922="",0,IF(COUNTIF($A$7:$A$1006,A922)&gt;1,1,0))</f>
        <v/>
      </c>
    </row>
    <row r="923">
      <c r="A923" s="10" t="n"/>
      <c r="B923" s="17" t="n"/>
      <c r="C923" s="18" t="n"/>
      <c r="D923" s="10" t="n"/>
      <c r="E923" s="17" t="n"/>
      <c r="F923" s="10" t="n"/>
      <c r="G923" s="10" t="n"/>
      <c r="H923" s="10" t="n"/>
      <c r="I923" s="18" t="n"/>
      <c r="J923" s="18" t="n"/>
      <c r="K923" s="18" t="n"/>
      <c r="L923" s="18" t="n"/>
      <c r="M923" s="19">
        <f>IF(K923="","",K923*365/12*L923)</f>
        <v/>
      </c>
      <c r="N923" s="18" t="n"/>
      <c r="O923" s="18" t="n"/>
      <c r="P923" s="18" t="n"/>
      <c r="Q923" s="18" t="n"/>
      <c r="R923" s="10" t="n"/>
      <c r="S923" s="17" t="n"/>
      <c r="T923" s="18" t="n"/>
      <c r="U923" s="17" t="n"/>
      <c r="V923" s="17" t="n"/>
      <c r="W923" s="18" t="n"/>
      <c r="X923" s="18" t="n"/>
      <c r="Y923" s="17" t="n"/>
      <c r="Z923" s="10" t="n"/>
      <c r="AA923" s="10" t="n"/>
      <c r="AB923" s="19">
        <f>IF(LEN(A923)&gt;0,1,0)</f>
        <v/>
      </c>
      <c r="AC923" s="19">
        <f>IF(LEN(A923)=0,0,(LEN(B923)=0)+(LEN(C923)=0)+(LEN(D923)=0)+(LEN(E923)=0)+(LEN(F923)=0)+(LEN(G923)=0)+(LEN(H923)=0)+(LEN(I923)=0)+(LEN(J923)=0)+(LEN(K923)=0)+(LEN(L923)=0)+(LEN(N923)=0)+(LEN(O923)=0)+(LEN(P923)=0)+(LEN(R923)=0)+(LEN(AA923)=0))</f>
        <v/>
      </c>
      <c r="AD923" s="19">
        <f>IF(OR(LEN(A923)=0,LEN(C923)=0),0,IF(OR(C923&lt;1,C923&gt;5),1,0))</f>
        <v/>
      </c>
      <c r="AE923" s="19">
        <f>IF(OR(LEN(A923)=0,LEN(R923)=0),0,IF(OR(R923="Active",R923="Paid off",R923="Defaulted",R923="Repossessed",R923="Written off",R923="Restructured"),0,1))</f>
        <v/>
      </c>
      <c r="AF923" s="19">
        <f>IF(A923="",0,IF(N(J923)&gt;N(I923),1,0))</f>
        <v/>
      </c>
      <c r="AG923" s="19">
        <f>IF(A923="",0,IF(N(N923)&gt;N(M923)+1,1,0))</f>
        <v/>
      </c>
      <c r="AH923" s="19">
        <f>IF(A923="",0,IF(N(E923)&gt;N(B923),1,0))</f>
        <v/>
      </c>
      <c r="AI923" s="19">
        <f>IF(A923="",0,IF(AND(Z923="Full payment",N(N923)&lt;N(M923)-1),1,0))</f>
        <v/>
      </c>
      <c r="AJ923" s="19">
        <f>IF(A923="",0,IF(N(P923)&lt;0,1,0))</f>
        <v/>
      </c>
      <c r="AK923" s="19">
        <f>IF(A923="",0,IF(COUNTIF($A$7:$A$1006,A923)&gt;1,1,0))</f>
        <v/>
      </c>
    </row>
    <row r="924">
      <c r="A924" s="10" t="n"/>
      <c r="B924" s="17" t="n"/>
      <c r="C924" s="18" t="n"/>
      <c r="D924" s="10" t="n"/>
      <c r="E924" s="17" t="n"/>
      <c r="F924" s="10" t="n"/>
      <c r="G924" s="10" t="n"/>
      <c r="H924" s="10" t="n"/>
      <c r="I924" s="18" t="n"/>
      <c r="J924" s="18" t="n"/>
      <c r="K924" s="18" t="n"/>
      <c r="L924" s="18" t="n"/>
      <c r="M924" s="19">
        <f>IF(K924="","",K924*365/12*L924)</f>
        <v/>
      </c>
      <c r="N924" s="18" t="n"/>
      <c r="O924" s="18" t="n"/>
      <c r="P924" s="18" t="n"/>
      <c r="Q924" s="18" t="n"/>
      <c r="R924" s="10" t="n"/>
      <c r="S924" s="17" t="n"/>
      <c r="T924" s="18" t="n"/>
      <c r="U924" s="17" t="n"/>
      <c r="V924" s="17" t="n"/>
      <c r="W924" s="18" t="n"/>
      <c r="X924" s="18" t="n"/>
      <c r="Y924" s="17" t="n"/>
      <c r="Z924" s="10" t="n"/>
      <c r="AA924" s="10" t="n"/>
      <c r="AB924" s="19">
        <f>IF(LEN(A924)&gt;0,1,0)</f>
        <v/>
      </c>
      <c r="AC924" s="19">
        <f>IF(LEN(A924)=0,0,(LEN(B924)=0)+(LEN(C924)=0)+(LEN(D924)=0)+(LEN(E924)=0)+(LEN(F924)=0)+(LEN(G924)=0)+(LEN(H924)=0)+(LEN(I924)=0)+(LEN(J924)=0)+(LEN(K924)=0)+(LEN(L924)=0)+(LEN(N924)=0)+(LEN(O924)=0)+(LEN(P924)=0)+(LEN(R924)=0)+(LEN(AA924)=0))</f>
        <v/>
      </c>
      <c r="AD924" s="19">
        <f>IF(OR(LEN(A924)=0,LEN(C924)=0),0,IF(OR(C924&lt;1,C924&gt;5),1,0))</f>
        <v/>
      </c>
      <c r="AE924" s="19">
        <f>IF(OR(LEN(A924)=0,LEN(R924)=0),0,IF(OR(R924="Active",R924="Paid off",R924="Defaulted",R924="Repossessed",R924="Written off",R924="Restructured"),0,1))</f>
        <v/>
      </c>
      <c r="AF924" s="19">
        <f>IF(A924="",0,IF(N(J924)&gt;N(I924),1,0))</f>
        <v/>
      </c>
      <c r="AG924" s="19">
        <f>IF(A924="",0,IF(N(N924)&gt;N(M924)+1,1,0))</f>
        <v/>
      </c>
      <c r="AH924" s="19">
        <f>IF(A924="",0,IF(N(E924)&gt;N(B924),1,0))</f>
        <v/>
      </c>
      <c r="AI924" s="19">
        <f>IF(A924="",0,IF(AND(Z924="Full payment",N(N924)&lt;N(M924)-1),1,0))</f>
        <v/>
      </c>
      <c r="AJ924" s="19">
        <f>IF(A924="",0,IF(N(P924)&lt;0,1,0))</f>
        <v/>
      </c>
      <c r="AK924" s="19">
        <f>IF(A924="",0,IF(COUNTIF($A$7:$A$1006,A924)&gt;1,1,0))</f>
        <v/>
      </c>
    </row>
    <row r="925">
      <c r="A925" s="10" t="n"/>
      <c r="B925" s="17" t="n"/>
      <c r="C925" s="18" t="n"/>
      <c r="D925" s="10" t="n"/>
      <c r="E925" s="17" t="n"/>
      <c r="F925" s="10" t="n"/>
      <c r="G925" s="10" t="n"/>
      <c r="H925" s="10" t="n"/>
      <c r="I925" s="18" t="n"/>
      <c r="J925" s="18" t="n"/>
      <c r="K925" s="18" t="n"/>
      <c r="L925" s="18" t="n"/>
      <c r="M925" s="19">
        <f>IF(K925="","",K925*365/12*L925)</f>
        <v/>
      </c>
      <c r="N925" s="18" t="n"/>
      <c r="O925" s="18" t="n"/>
      <c r="P925" s="18" t="n"/>
      <c r="Q925" s="18" t="n"/>
      <c r="R925" s="10" t="n"/>
      <c r="S925" s="17" t="n"/>
      <c r="T925" s="18" t="n"/>
      <c r="U925" s="17" t="n"/>
      <c r="V925" s="17" t="n"/>
      <c r="W925" s="18" t="n"/>
      <c r="X925" s="18" t="n"/>
      <c r="Y925" s="17" t="n"/>
      <c r="Z925" s="10" t="n"/>
      <c r="AA925" s="10" t="n"/>
      <c r="AB925" s="19">
        <f>IF(LEN(A925)&gt;0,1,0)</f>
        <v/>
      </c>
      <c r="AC925" s="19">
        <f>IF(LEN(A925)=0,0,(LEN(B925)=0)+(LEN(C925)=0)+(LEN(D925)=0)+(LEN(E925)=0)+(LEN(F925)=0)+(LEN(G925)=0)+(LEN(H925)=0)+(LEN(I925)=0)+(LEN(J925)=0)+(LEN(K925)=0)+(LEN(L925)=0)+(LEN(N925)=0)+(LEN(O925)=0)+(LEN(P925)=0)+(LEN(R925)=0)+(LEN(AA925)=0))</f>
        <v/>
      </c>
      <c r="AD925" s="19">
        <f>IF(OR(LEN(A925)=0,LEN(C925)=0),0,IF(OR(C925&lt;1,C925&gt;5),1,0))</f>
        <v/>
      </c>
      <c r="AE925" s="19">
        <f>IF(OR(LEN(A925)=0,LEN(R925)=0),0,IF(OR(R925="Active",R925="Paid off",R925="Defaulted",R925="Repossessed",R925="Written off",R925="Restructured"),0,1))</f>
        <v/>
      </c>
      <c r="AF925" s="19">
        <f>IF(A925="",0,IF(N(J925)&gt;N(I925),1,0))</f>
        <v/>
      </c>
      <c r="AG925" s="19">
        <f>IF(A925="",0,IF(N(N925)&gt;N(M925)+1,1,0))</f>
        <v/>
      </c>
      <c r="AH925" s="19">
        <f>IF(A925="",0,IF(N(E925)&gt;N(B925),1,0))</f>
        <v/>
      </c>
      <c r="AI925" s="19">
        <f>IF(A925="",0,IF(AND(Z925="Full payment",N(N925)&lt;N(M925)-1),1,0))</f>
        <v/>
      </c>
      <c r="AJ925" s="19">
        <f>IF(A925="",0,IF(N(P925)&lt;0,1,0))</f>
        <v/>
      </c>
      <c r="AK925" s="19">
        <f>IF(A925="",0,IF(COUNTIF($A$7:$A$1006,A925)&gt;1,1,0))</f>
        <v/>
      </c>
    </row>
    <row r="926">
      <c r="A926" s="10" t="n"/>
      <c r="B926" s="17" t="n"/>
      <c r="C926" s="18" t="n"/>
      <c r="D926" s="10" t="n"/>
      <c r="E926" s="17" t="n"/>
      <c r="F926" s="10" t="n"/>
      <c r="G926" s="10" t="n"/>
      <c r="H926" s="10" t="n"/>
      <c r="I926" s="18" t="n"/>
      <c r="J926" s="18" t="n"/>
      <c r="K926" s="18" t="n"/>
      <c r="L926" s="18" t="n"/>
      <c r="M926" s="19">
        <f>IF(K926="","",K926*365/12*L926)</f>
        <v/>
      </c>
      <c r="N926" s="18" t="n"/>
      <c r="O926" s="18" t="n"/>
      <c r="P926" s="18" t="n"/>
      <c r="Q926" s="18" t="n"/>
      <c r="R926" s="10" t="n"/>
      <c r="S926" s="17" t="n"/>
      <c r="T926" s="18" t="n"/>
      <c r="U926" s="17" t="n"/>
      <c r="V926" s="17" t="n"/>
      <c r="W926" s="18" t="n"/>
      <c r="X926" s="18" t="n"/>
      <c r="Y926" s="17" t="n"/>
      <c r="Z926" s="10" t="n"/>
      <c r="AA926" s="10" t="n"/>
      <c r="AB926" s="19">
        <f>IF(LEN(A926)&gt;0,1,0)</f>
        <v/>
      </c>
      <c r="AC926" s="19">
        <f>IF(LEN(A926)=0,0,(LEN(B926)=0)+(LEN(C926)=0)+(LEN(D926)=0)+(LEN(E926)=0)+(LEN(F926)=0)+(LEN(G926)=0)+(LEN(H926)=0)+(LEN(I926)=0)+(LEN(J926)=0)+(LEN(K926)=0)+(LEN(L926)=0)+(LEN(N926)=0)+(LEN(O926)=0)+(LEN(P926)=0)+(LEN(R926)=0)+(LEN(AA926)=0))</f>
        <v/>
      </c>
      <c r="AD926" s="19">
        <f>IF(OR(LEN(A926)=0,LEN(C926)=0),0,IF(OR(C926&lt;1,C926&gt;5),1,0))</f>
        <v/>
      </c>
      <c r="AE926" s="19">
        <f>IF(OR(LEN(A926)=0,LEN(R926)=0),0,IF(OR(R926="Active",R926="Paid off",R926="Defaulted",R926="Repossessed",R926="Written off",R926="Restructured"),0,1))</f>
        <v/>
      </c>
      <c r="AF926" s="19">
        <f>IF(A926="",0,IF(N(J926)&gt;N(I926),1,0))</f>
        <v/>
      </c>
      <c r="AG926" s="19">
        <f>IF(A926="",0,IF(N(N926)&gt;N(M926)+1,1,0))</f>
        <v/>
      </c>
      <c r="AH926" s="19">
        <f>IF(A926="",0,IF(N(E926)&gt;N(B926),1,0))</f>
        <v/>
      </c>
      <c r="AI926" s="19">
        <f>IF(A926="",0,IF(AND(Z926="Full payment",N(N926)&lt;N(M926)-1),1,0))</f>
        <v/>
      </c>
      <c r="AJ926" s="19">
        <f>IF(A926="",0,IF(N(P926)&lt;0,1,0))</f>
        <v/>
      </c>
      <c r="AK926" s="19">
        <f>IF(A926="",0,IF(COUNTIF($A$7:$A$1006,A926)&gt;1,1,0))</f>
        <v/>
      </c>
    </row>
    <row r="927">
      <c r="A927" s="10" t="n"/>
      <c r="B927" s="17" t="n"/>
      <c r="C927" s="18" t="n"/>
      <c r="D927" s="10" t="n"/>
      <c r="E927" s="17" t="n"/>
      <c r="F927" s="10" t="n"/>
      <c r="G927" s="10" t="n"/>
      <c r="H927" s="10" t="n"/>
      <c r="I927" s="18" t="n"/>
      <c r="J927" s="18" t="n"/>
      <c r="K927" s="18" t="n"/>
      <c r="L927" s="18" t="n"/>
      <c r="M927" s="19">
        <f>IF(K927="","",K927*365/12*L927)</f>
        <v/>
      </c>
      <c r="N927" s="18" t="n"/>
      <c r="O927" s="18" t="n"/>
      <c r="P927" s="18" t="n"/>
      <c r="Q927" s="18" t="n"/>
      <c r="R927" s="10" t="n"/>
      <c r="S927" s="17" t="n"/>
      <c r="T927" s="18" t="n"/>
      <c r="U927" s="17" t="n"/>
      <c r="V927" s="17" t="n"/>
      <c r="W927" s="18" t="n"/>
      <c r="X927" s="18" t="n"/>
      <c r="Y927" s="17" t="n"/>
      <c r="Z927" s="10" t="n"/>
      <c r="AA927" s="10" t="n"/>
      <c r="AB927" s="19">
        <f>IF(LEN(A927)&gt;0,1,0)</f>
        <v/>
      </c>
      <c r="AC927" s="19">
        <f>IF(LEN(A927)=0,0,(LEN(B927)=0)+(LEN(C927)=0)+(LEN(D927)=0)+(LEN(E927)=0)+(LEN(F927)=0)+(LEN(G927)=0)+(LEN(H927)=0)+(LEN(I927)=0)+(LEN(J927)=0)+(LEN(K927)=0)+(LEN(L927)=0)+(LEN(N927)=0)+(LEN(O927)=0)+(LEN(P927)=0)+(LEN(R927)=0)+(LEN(AA927)=0))</f>
        <v/>
      </c>
      <c r="AD927" s="19">
        <f>IF(OR(LEN(A927)=0,LEN(C927)=0),0,IF(OR(C927&lt;1,C927&gt;5),1,0))</f>
        <v/>
      </c>
      <c r="AE927" s="19">
        <f>IF(OR(LEN(A927)=0,LEN(R927)=0),0,IF(OR(R927="Active",R927="Paid off",R927="Defaulted",R927="Repossessed",R927="Written off",R927="Restructured"),0,1))</f>
        <v/>
      </c>
      <c r="AF927" s="19">
        <f>IF(A927="",0,IF(N(J927)&gt;N(I927),1,0))</f>
        <v/>
      </c>
      <c r="AG927" s="19">
        <f>IF(A927="",0,IF(N(N927)&gt;N(M927)+1,1,0))</f>
        <v/>
      </c>
      <c r="AH927" s="19">
        <f>IF(A927="",0,IF(N(E927)&gt;N(B927),1,0))</f>
        <v/>
      </c>
      <c r="AI927" s="19">
        <f>IF(A927="",0,IF(AND(Z927="Full payment",N(N927)&lt;N(M927)-1),1,0))</f>
        <v/>
      </c>
      <c r="AJ927" s="19">
        <f>IF(A927="",0,IF(N(P927)&lt;0,1,0))</f>
        <v/>
      </c>
      <c r="AK927" s="19">
        <f>IF(A927="",0,IF(COUNTIF($A$7:$A$1006,A927)&gt;1,1,0))</f>
        <v/>
      </c>
    </row>
    <row r="928">
      <c r="A928" s="10" t="n"/>
      <c r="B928" s="17" t="n"/>
      <c r="C928" s="18" t="n"/>
      <c r="D928" s="10" t="n"/>
      <c r="E928" s="17" t="n"/>
      <c r="F928" s="10" t="n"/>
      <c r="G928" s="10" t="n"/>
      <c r="H928" s="10" t="n"/>
      <c r="I928" s="18" t="n"/>
      <c r="J928" s="18" t="n"/>
      <c r="K928" s="18" t="n"/>
      <c r="L928" s="18" t="n"/>
      <c r="M928" s="19">
        <f>IF(K928="","",K928*365/12*L928)</f>
        <v/>
      </c>
      <c r="N928" s="18" t="n"/>
      <c r="O928" s="18" t="n"/>
      <c r="P928" s="18" t="n"/>
      <c r="Q928" s="18" t="n"/>
      <c r="R928" s="10" t="n"/>
      <c r="S928" s="17" t="n"/>
      <c r="T928" s="18" t="n"/>
      <c r="U928" s="17" t="n"/>
      <c r="V928" s="17" t="n"/>
      <c r="W928" s="18" t="n"/>
      <c r="X928" s="18" t="n"/>
      <c r="Y928" s="17" t="n"/>
      <c r="Z928" s="10" t="n"/>
      <c r="AA928" s="10" t="n"/>
      <c r="AB928" s="19">
        <f>IF(LEN(A928)&gt;0,1,0)</f>
        <v/>
      </c>
      <c r="AC928" s="19">
        <f>IF(LEN(A928)=0,0,(LEN(B928)=0)+(LEN(C928)=0)+(LEN(D928)=0)+(LEN(E928)=0)+(LEN(F928)=0)+(LEN(G928)=0)+(LEN(H928)=0)+(LEN(I928)=0)+(LEN(J928)=0)+(LEN(K928)=0)+(LEN(L928)=0)+(LEN(N928)=0)+(LEN(O928)=0)+(LEN(P928)=0)+(LEN(R928)=0)+(LEN(AA928)=0))</f>
        <v/>
      </c>
      <c r="AD928" s="19">
        <f>IF(OR(LEN(A928)=0,LEN(C928)=0),0,IF(OR(C928&lt;1,C928&gt;5),1,0))</f>
        <v/>
      </c>
      <c r="AE928" s="19">
        <f>IF(OR(LEN(A928)=0,LEN(R928)=0),0,IF(OR(R928="Active",R928="Paid off",R928="Defaulted",R928="Repossessed",R928="Written off",R928="Restructured"),0,1))</f>
        <v/>
      </c>
      <c r="AF928" s="19">
        <f>IF(A928="",0,IF(N(J928)&gt;N(I928),1,0))</f>
        <v/>
      </c>
      <c r="AG928" s="19">
        <f>IF(A928="",0,IF(N(N928)&gt;N(M928)+1,1,0))</f>
        <v/>
      </c>
      <c r="AH928" s="19">
        <f>IF(A928="",0,IF(N(E928)&gt;N(B928),1,0))</f>
        <v/>
      </c>
      <c r="AI928" s="19">
        <f>IF(A928="",0,IF(AND(Z928="Full payment",N(N928)&lt;N(M928)-1),1,0))</f>
        <v/>
      </c>
      <c r="AJ928" s="19">
        <f>IF(A928="",0,IF(N(P928)&lt;0,1,0))</f>
        <v/>
      </c>
      <c r="AK928" s="19">
        <f>IF(A928="",0,IF(COUNTIF($A$7:$A$1006,A928)&gt;1,1,0))</f>
        <v/>
      </c>
    </row>
    <row r="929">
      <c r="A929" s="10" t="n"/>
      <c r="B929" s="17" t="n"/>
      <c r="C929" s="18" t="n"/>
      <c r="D929" s="10" t="n"/>
      <c r="E929" s="17" t="n"/>
      <c r="F929" s="10" t="n"/>
      <c r="G929" s="10" t="n"/>
      <c r="H929" s="10" t="n"/>
      <c r="I929" s="18" t="n"/>
      <c r="J929" s="18" t="n"/>
      <c r="K929" s="18" t="n"/>
      <c r="L929" s="18" t="n"/>
      <c r="M929" s="19">
        <f>IF(K929="","",K929*365/12*L929)</f>
        <v/>
      </c>
      <c r="N929" s="18" t="n"/>
      <c r="O929" s="18" t="n"/>
      <c r="P929" s="18" t="n"/>
      <c r="Q929" s="18" t="n"/>
      <c r="R929" s="10" t="n"/>
      <c r="S929" s="17" t="n"/>
      <c r="T929" s="18" t="n"/>
      <c r="U929" s="17" t="n"/>
      <c r="V929" s="17" t="n"/>
      <c r="W929" s="18" t="n"/>
      <c r="X929" s="18" t="n"/>
      <c r="Y929" s="17" t="n"/>
      <c r="Z929" s="10" t="n"/>
      <c r="AA929" s="10" t="n"/>
      <c r="AB929" s="19">
        <f>IF(LEN(A929)&gt;0,1,0)</f>
        <v/>
      </c>
      <c r="AC929" s="19">
        <f>IF(LEN(A929)=0,0,(LEN(B929)=0)+(LEN(C929)=0)+(LEN(D929)=0)+(LEN(E929)=0)+(LEN(F929)=0)+(LEN(G929)=0)+(LEN(H929)=0)+(LEN(I929)=0)+(LEN(J929)=0)+(LEN(K929)=0)+(LEN(L929)=0)+(LEN(N929)=0)+(LEN(O929)=0)+(LEN(P929)=0)+(LEN(R929)=0)+(LEN(AA929)=0))</f>
        <v/>
      </c>
      <c r="AD929" s="19">
        <f>IF(OR(LEN(A929)=0,LEN(C929)=0),0,IF(OR(C929&lt;1,C929&gt;5),1,0))</f>
        <v/>
      </c>
      <c r="AE929" s="19">
        <f>IF(OR(LEN(A929)=0,LEN(R929)=0),0,IF(OR(R929="Active",R929="Paid off",R929="Defaulted",R929="Repossessed",R929="Written off",R929="Restructured"),0,1))</f>
        <v/>
      </c>
      <c r="AF929" s="19">
        <f>IF(A929="",0,IF(N(J929)&gt;N(I929),1,0))</f>
        <v/>
      </c>
      <c r="AG929" s="19">
        <f>IF(A929="",0,IF(N(N929)&gt;N(M929)+1,1,0))</f>
        <v/>
      </c>
      <c r="AH929" s="19">
        <f>IF(A929="",0,IF(N(E929)&gt;N(B929),1,0))</f>
        <v/>
      </c>
      <c r="AI929" s="19">
        <f>IF(A929="",0,IF(AND(Z929="Full payment",N(N929)&lt;N(M929)-1),1,0))</f>
        <v/>
      </c>
      <c r="AJ929" s="19">
        <f>IF(A929="",0,IF(N(P929)&lt;0,1,0))</f>
        <v/>
      </c>
      <c r="AK929" s="19">
        <f>IF(A929="",0,IF(COUNTIF($A$7:$A$1006,A929)&gt;1,1,0))</f>
        <v/>
      </c>
    </row>
    <row r="930">
      <c r="A930" s="10" t="n"/>
      <c r="B930" s="17" t="n"/>
      <c r="C930" s="18" t="n"/>
      <c r="D930" s="10" t="n"/>
      <c r="E930" s="17" t="n"/>
      <c r="F930" s="10" t="n"/>
      <c r="G930" s="10" t="n"/>
      <c r="H930" s="10" t="n"/>
      <c r="I930" s="18" t="n"/>
      <c r="J930" s="18" t="n"/>
      <c r="K930" s="18" t="n"/>
      <c r="L930" s="18" t="n"/>
      <c r="M930" s="19">
        <f>IF(K930="","",K930*365/12*L930)</f>
        <v/>
      </c>
      <c r="N930" s="18" t="n"/>
      <c r="O930" s="18" t="n"/>
      <c r="P930" s="18" t="n"/>
      <c r="Q930" s="18" t="n"/>
      <c r="R930" s="10" t="n"/>
      <c r="S930" s="17" t="n"/>
      <c r="T930" s="18" t="n"/>
      <c r="U930" s="17" t="n"/>
      <c r="V930" s="17" t="n"/>
      <c r="W930" s="18" t="n"/>
      <c r="X930" s="18" t="n"/>
      <c r="Y930" s="17" t="n"/>
      <c r="Z930" s="10" t="n"/>
      <c r="AA930" s="10" t="n"/>
      <c r="AB930" s="19">
        <f>IF(LEN(A930)&gt;0,1,0)</f>
        <v/>
      </c>
      <c r="AC930" s="19">
        <f>IF(LEN(A930)=0,0,(LEN(B930)=0)+(LEN(C930)=0)+(LEN(D930)=0)+(LEN(E930)=0)+(LEN(F930)=0)+(LEN(G930)=0)+(LEN(H930)=0)+(LEN(I930)=0)+(LEN(J930)=0)+(LEN(K930)=0)+(LEN(L930)=0)+(LEN(N930)=0)+(LEN(O930)=0)+(LEN(P930)=0)+(LEN(R930)=0)+(LEN(AA930)=0))</f>
        <v/>
      </c>
      <c r="AD930" s="19">
        <f>IF(OR(LEN(A930)=0,LEN(C930)=0),0,IF(OR(C930&lt;1,C930&gt;5),1,0))</f>
        <v/>
      </c>
      <c r="AE930" s="19">
        <f>IF(OR(LEN(A930)=0,LEN(R930)=0),0,IF(OR(R930="Active",R930="Paid off",R930="Defaulted",R930="Repossessed",R930="Written off",R930="Restructured"),0,1))</f>
        <v/>
      </c>
      <c r="AF930" s="19">
        <f>IF(A930="",0,IF(N(J930)&gt;N(I930),1,0))</f>
        <v/>
      </c>
      <c r="AG930" s="19">
        <f>IF(A930="",0,IF(N(N930)&gt;N(M930)+1,1,0))</f>
        <v/>
      </c>
      <c r="AH930" s="19">
        <f>IF(A930="",0,IF(N(E930)&gt;N(B930),1,0))</f>
        <v/>
      </c>
      <c r="AI930" s="19">
        <f>IF(A930="",0,IF(AND(Z930="Full payment",N(N930)&lt;N(M930)-1),1,0))</f>
        <v/>
      </c>
      <c r="AJ930" s="19">
        <f>IF(A930="",0,IF(N(P930)&lt;0,1,0))</f>
        <v/>
      </c>
      <c r="AK930" s="19">
        <f>IF(A930="",0,IF(COUNTIF($A$7:$A$1006,A930)&gt;1,1,0))</f>
        <v/>
      </c>
    </row>
    <row r="931">
      <c r="A931" s="10" t="n"/>
      <c r="B931" s="17" t="n"/>
      <c r="C931" s="18" t="n"/>
      <c r="D931" s="10" t="n"/>
      <c r="E931" s="17" t="n"/>
      <c r="F931" s="10" t="n"/>
      <c r="G931" s="10" t="n"/>
      <c r="H931" s="10" t="n"/>
      <c r="I931" s="18" t="n"/>
      <c r="J931" s="18" t="n"/>
      <c r="K931" s="18" t="n"/>
      <c r="L931" s="18" t="n"/>
      <c r="M931" s="19">
        <f>IF(K931="","",K931*365/12*L931)</f>
        <v/>
      </c>
      <c r="N931" s="18" t="n"/>
      <c r="O931" s="18" t="n"/>
      <c r="P931" s="18" t="n"/>
      <c r="Q931" s="18" t="n"/>
      <c r="R931" s="10" t="n"/>
      <c r="S931" s="17" t="n"/>
      <c r="T931" s="18" t="n"/>
      <c r="U931" s="17" t="n"/>
      <c r="V931" s="17" t="n"/>
      <c r="W931" s="18" t="n"/>
      <c r="X931" s="18" t="n"/>
      <c r="Y931" s="17" t="n"/>
      <c r="Z931" s="10" t="n"/>
      <c r="AA931" s="10" t="n"/>
      <c r="AB931" s="19">
        <f>IF(LEN(A931)&gt;0,1,0)</f>
        <v/>
      </c>
      <c r="AC931" s="19">
        <f>IF(LEN(A931)=0,0,(LEN(B931)=0)+(LEN(C931)=0)+(LEN(D931)=0)+(LEN(E931)=0)+(LEN(F931)=0)+(LEN(G931)=0)+(LEN(H931)=0)+(LEN(I931)=0)+(LEN(J931)=0)+(LEN(K931)=0)+(LEN(L931)=0)+(LEN(N931)=0)+(LEN(O931)=0)+(LEN(P931)=0)+(LEN(R931)=0)+(LEN(AA931)=0))</f>
        <v/>
      </c>
      <c r="AD931" s="19">
        <f>IF(OR(LEN(A931)=0,LEN(C931)=0),0,IF(OR(C931&lt;1,C931&gt;5),1,0))</f>
        <v/>
      </c>
      <c r="AE931" s="19">
        <f>IF(OR(LEN(A931)=0,LEN(R931)=0),0,IF(OR(R931="Active",R931="Paid off",R931="Defaulted",R931="Repossessed",R931="Written off",R931="Restructured"),0,1))</f>
        <v/>
      </c>
      <c r="AF931" s="19">
        <f>IF(A931="",0,IF(N(J931)&gt;N(I931),1,0))</f>
        <v/>
      </c>
      <c r="AG931" s="19">
        <f>IF(A931="",0,IF(N(N931)&gt;N(M931)+1,1,0))</f>
        <v/>
      </c>
      <c r="AH931" s="19">
        <f>IF(A931="",0,IF(N(E931)&gt;N(B931),1,0))</f>
        <v/>
      </c>
      <c r="AI931" s="19">
        <f>IF(A931="",0,IF(AND(Z931="Full payment",N(N931)&lt;N(M931)-1),1,0))</f>
        <v/>
      </c>
      <c r="AJ931" s="19">
        <f>IF(A931="",0,IF(N(P931)&lt;0,1,0))</f>
        <v/>
      </c>
      <c r="AK931" s="19">
        <f>IF(A931="",0,IF(COUNTIF($A$7:$A$1006,A931)&gt;1,1,0))</f>
        <v/>
      </c>
    </row>
    <row r="932">
      <c r="A932" s="10" t="n"/>
      <c r="B932" s="17" t="n"/>
      <c r="C932" s="18" t="n"/>
      <c r="D932" s="10" t="n"/>
      <c r="E932" s="17" t="n"/>
      <c r="F932" s="10" t="n"/>
      <c r="G932" s="10" t="n"/>
      <c r="H932" s="10" t="n"/>
      <c r="I932" s="18" t="n"/>
      <c r="J932" s="18" t="n"/>
      <c r="K932" s="18" t="n"/>
      <c r="L932" s="18" t="n"/>
      <c r="M932" s="19">
        <f>IF(K932="","",K932*365/12*L932)</f>
        <v/>
      </c>
      <c r="N932" s="18" t="n"/>
      <c r="O932" s="18" t="n"/>
      <c r="P932" s="18" t="n"/>
      <c r="Q932" s="18" t="n"/>
      <c r="R932" s="10" t="n"/>
      <c r="S932" s="17" t="n"/>
      <c r="T932" s="18" t="n"/>
      <c r="U932" s="17" t="n"/>
      <c r="V932" s="17" t="n"/>
      <c r="W932" s="18" t="n"/>
      <c r="X932" s="18" t="n"/>
      <c r="Y932" s="17" t="n"/>
      <c r="Z932" s="10" t="n"/>
      <c r="AA932" s="10" t="n"/>
      <c r="AB932" s="19">
        <f>IF(LEN(A932)&gt;0,1,0)</f>
        <v/>
      </c>
      <c r="AC932" s="19">
        <f>IF(LEN(A932)=0,0,(LEN(B932)=0)+(LEN(C932)=0)+(LEN(D932)=0)+(LEN(E932)=0)+(LEN(F932)=0)+(LEN(G932)=0)+(LEN(H932)=0)+(LEN(I932)=0)+(LEN(J932)=0)+(LEN(K932)=0)+(LEN(L932)=0)+(LEN(N932)=0)+(LEN(O932)=0)+(LEN(P932)=0)+(LEN(R932)=0)+(LEN(AA932)=0))</f>
        <v/>
      </c>
      <c r="AD932" s="19">
        <f>IF(OR(LEN(A932)=0,LEN(C932)=0),0,IF(OR(C932&lt;1,C932&gt;5),1,0))</f>
        <v/>
      </c>
      <c r="AE932" s="19">
        <f>IF(OR(LEN(A932)=0,LEN(R932)=0),0,IF(OR(R932="Active",R932="Paid off",R932="Defaulted",R932="Repossessed",R932="Written off",R932="Restructured"),0,1))</f>
        <v/>
      </c>
      <c r="AF932" s="19">
        <f>IF(A932="",0,IF(N(J932)&gt;N(I932),1,0))</f>
        <v/>
      </c>
      <c r="AG932" s="19">
        <f>IF(A932="",0,IF(N(N932)&gt;N(M932)+1,1,0))</f>
        <v/>
      </c>
      <c r="AH932" s="19">
        <f>IF(A932="",0,IF(N(E932)&gt;N(B932),1,0))</f>
        <v/>
      </c>
      <c r="AI932" s="19">
        <f>IF(A932="",0,IF(AND(Z932="Full payment",N(N932)&lt;N(M932)-1),1,0))</f>
        <v/>
      </c>
      <c r="AJ932" s="19">
        <f>IF(A932="",0,IF(N(P932)&lt;0,1,0))</f>
        <v/>
      </c>
      <c r="AK932" s="19">
        <f>IF(A932="",0,IF(COUNTIF($A$7:$A$1006,A932)&gt;1,1,0))</f>
        <v/>
      </c>
    </row>
    <row r="933">
      <c r="A933" s="10" t="n"/>
      <c r="B933" s="17" t="n"/>
      <c r="C933" s="18" t="n"/>
      <c r="D933" s="10" t="n"/>
      <c r="E933" s="17" t="n"/>
      <c r="F933" s="10" t="n"/>
      <c r="G933" s="10" t="n"/>
      <c r="H933" s="10" t="n"/>
      <c r="I933" s="18" t="n"/>
      <c r="J933" s="18" t="n"/>
      <c r="K933" s="18" t="n"/>
      <c r="L933" s="18" t="n"/>
      <c r="M933" s="19">
        <f>IF(K933="","",K933*365/12*L933)</f>
        <v/>
      </c>
      <c r="N933" s="18" t="n"/>
      <c r="O933" s="18" t="n"/>
      <c r="P933" s="18" t="n"/>
      <c r="Q933" s="18" t="n"/>
      <c r="R933" s="10" t="n"/>
      <c r="S933" s="17" t="n"/>
      <c r="T933" s="18" t="n"/>
      <c r="U933" s="17" t="n"/>
      <c r="V933" s="17" t="n"/>
      <c r="W933" s="18" t="n"/>
      <c r="X933" s="18" t="n"/>
      <c r="Y933" s="17" t="n"/>
      <c r="Z933" s="10" t="n"/>
      <c r="AA933" s="10" t="n"/>
      <c r="AB933" s="19">
        <f>IF(LEN(A933)&gt;0,1,0)</f>
        <v/>
      </c>
      <c r="AC933" s="19">
        <f>IF(LEN(A933)=0,0,(LEN(B933)=0)+(LEN(C933)=0)+(LEN(D933)=0)+(LEN(E933)=0)+(LEN(F933)=0)+(LEN(G933)=0)+(LEN(H933)=0)+(LEN(I933)=0)+(LEN(J933)=0)+(LEN(K933)=0)+(LEN(L933)=0)+(LEN(N933)=0)+(LEN(O933)=0)+(LEN(P933)=0)+(LEN(R933)=0)+(LEN(AA933)=0))</f>
        <v/>
      </c>
      <c r="AD933" s="19">
        <f>IF(OR(LEN(A933)=0,LEN(C933)=0),0,IF(OR(C933&lt;1,C933&gt;5),1,0))</f>
        <v/>
      </c>
      <c r="AE933" s="19">
        <f>IF(OR(LEN(A933)=0,LEN(R933)=0),0,IF(OR(R933="Active",R933="Paid off",R933="Defaulted",R933="Repossessed",R933="Written off",R933="Restructured"),0,1))</f>
        <v/>
      </c>
      <c r="AF933" s="19">
        <f>IF(A933="",0,IF(N(J933)&gt;N(I933),1,0))</f>
        <v/>
      </c>
      <c r="AG933" s="19">
        <f>IF(A933="",0,IF(N(N933)&gt;N(M933)+1,1,0))</f>
        <v/>
      </c>
      <c r="AH933" s="19">
        <f>IF(A933="",0,IF(N(E933)&gt;N(B933),1,0))</f>
        <v/>
      </c>
      <c r="AI933" s="19">
        <f>IF(A933="",0,IF(AND(Z933="Full payment",N(N933)&lt;N(M933)-1),1,0))</f>
        <v/>
      </c>
      <c r="AJ933" s="19">
        <f>IF(A933="",0,IF(N(P933)&lt;0,1,0))</f>
        <v/>
      </c>
      <c r="AK933" s="19">
        <f>IF(A933="",0,IF(COUNTIF($A$7:$A$1006,A933)&gt;1,1,0))</f>
        <v/>
      </c>
    </row>
    <row r="934">
      <c r="A934" s="10" t="n"/>
      <c r="B934" s="17" t="n"/>
      <c r="C934" s="18" t="n"/>
      <c r="D934" s="10" t="n"/>
      <c r="E934" s="17" t="n"/>
      <c r="F934" s="10" t="n"/>
      <c r="G934" s="10" t="n"/>
      <c r="H934" s="10" t="n"/>
      <c r="I934" s="18" t="n"/>
      <c r="J934" s="18" t="n"/>
      <c r="K934" s="18" t="n"/>
      <c r="L934" s="18" t="n"/>
      <c r="M934" s="19">
        <f>IF(K934="","",K934*365/12*L934)</f>
        <v/>
      </c>
      <c r="N934" s="18" t="n"/>
      <c r="O934" s="18" t="n"/>
      <c r="P934" s="18" t="n"/>
      <c r="Q934" s="18" t="n"/>
      <c r="R934" s="10" t="n"/>
      <c r="S934" s="17" t="n"/>
      <c r="T934" s="18" t="n"/>
      <c r="U934" s="17" t="n"/>
      <c r="V934" s="17" t="n"/>
      <c r="W934" s="18" t="n"/>
      <c r="X934" s="18" t="n"/>
      <c r="Y934" s="17" t="n"/>
      <c r="Z934" s="10" t="n"/>
      <c r="AA934" s="10" t="n"/>
      <c r="AB934" s="19">
        <f>IF(LEN(A934)&gt;0,1,0)</f>
        <v/>
      </c>
      <c r="AC934" s="19">
        <f>IF(LEN(A934)=0,0,(LEN(B934)=0)+(LEN(C934)=0)+(LEN(D934)=0)+(LEN(E934)=0)+(LEN(F934)=0)+(LEN(G934)=0)+(LEN(H934)=0)+(LEN(I934)=0)+(LEN(J934)=0)+(LEN(K934)=0)+(LEN(L934)=0)+(LEN(N934)=0)+(LEN(O934)=0)+(LEN(P934)=0)+(LEN(R934)=0)+(LEN(AA934)=0))</f>
        <v/>
      </c>
      <c r="AD934" s="19">
        <f>IF(OR(LEN(A934)=0,LEN(C934)=0),0,IF(OR(C934&lt;1,C934&gt;5),1,0))</f>
        <v/>
      </c>
      <c r="AE934" s="19">
        <f>IF(OR(LEN(A934)=0,LEN(R934)=0),0,IF(OR(R934="Active",R934="Paid off",R934="Defaulted",R934="Repossessed",R934="Written off",R934="Restructured"),0,1))</f>
        <v/>
      </c>
      <c r="AF934" s="19">
        <f>IF(A934="",0,IF(N(J934)&gt;N(I934),1,0))</f>
        <v/>
      </c>
      <c r="AG934" s="19">
        <f>IF(A934="",0,IF(N(N934)&gt;N(M934)+1,1,0))</f>
        <v/>
      </c>
      <c r="AH934" s="19">
        <f>IF(A934="",0,IF(N(E934)&gt;N(B934),1,0))</f>
        <v/>
      </c>
      <c r="AI934" s="19">
        <f>IF(A934="",0,IF(AND(Z934="Full payment",N(N934)&lt;N(M934)-1),1,0))</f>
        <v/>
      </c>
      <c r="AJ934" s="19">
        <f>IF(A934="",0,IF(N(P934)&lt;0,1,0))</f>
        <v/>
      </c>
      <c r="AK934" s="19">
        <f>IF(A934="",0,IF(COUNTIF($A$7:$A$1006,A934)&gt;1,1,0))</f>
        <v/>
      </c>
    </row>
    <row r="935">
      <c r="A935" s="10" t="n"/>
      <c r="B935" s="17" t="n"/>
      <c r="C935" s="18" t="n"/>
      <c r="D935" s="10" t="n"/>
      <c r="E935" s="17" t="n"/>
      <c r="F935" s="10" t="n"/>
      <c r="G935" s="10" t="n"/>
      <c r="H935" s="10" t="n"/>
      <c r="I935" s="18" t="n"/>
      <c r="J935" s="18" t="n"/>
      <c r="K935" s="18" t="n"/>
      <c r="L935" s="18" t="n"/>
      <c r="M935" s="19">
        <f>IF(K935="","",K935*365/12*L935)</f>
        <v/>
      </c>
      <c r="N935" s="18" t="n"/>
      <c r="O935" s="18" t="n"/>
      <c r="P935" s="18" t="n"/>
      <c r="Q935" s="18" t="n"/>
      <c r="R935" s="10" t="n"/>
      <c r="S935" s="17" t="n"/>
      <c r="T935" s="18" t="n"/>
      <c r="U935" s="17" t="n"/>
      <c r="V935" s="17" t="n"/>
      <c r="W935" s="18" t="n"/>
      <c r="X935" s="18" t="n"/>
      <c r="Y935" s="17" t="n"/>
      <c r="Z935" s="10" t="n"/>
      <c r="AA935" s="10" t="n"/>
      <c r="AB935" s="19">
        <f>IF(LEN(A935)&gt;0,1,0)</f>
        <v/>
      </c>
      <c r="AC935" s="19">
        <f>IF(LEN(A935)=0,0,(LEN(B935)=0)+(LEN(C935)=0)+(LEN(D935)=0)+(LEN(E935)=0)+(LEN(F935)=0)+(LEN(G935)=0)+(LEN(H935)=0)+(LEN(I935)=0)+(LEN(J935)=0)+(LEN(K935)=0)+(LEN(L935)=0)+(LEN(N935)=0)+(LEN(O935)=0)+(LEN(P935)=0)+(LEN(R935)=0)+(LEN(AA935)=0))</f>
        <v/>
      </c>
      <c r="AD935" s="19">
        <f>IF(OR(LEN(A935)=0,LEN(C935)=0),0,IF(OR(C935&lt;1,C935&gt;5),1,0))</f>
        <v/>
      </c>
      <c r="AE935" s="19">
        <f>IF(OR(LEN(A935)=0,LEN(R935)=0),0,IF(OR(R935="Active",R935="Paid off",R935="Defaulted",R935="Repossessed",R935="Written off",R935="Restructured"),0,1))</f>
        <v/>
      </c>
      <c r="AF935" s="19">
        <f>IF(A935="",0,IF(N(J935)&gt;N(I935),1,0))</f>
        <v/>
      </c>
      <c r="AG935" s="19">
        <f>IF(A935="",0,IF(N(N935)&gt;N(M935)+1,1,0))</f>
        <v/>
      </c>
      <c r="AH935" s="19">
        <f>IF(A935="",0,IF(N(E935)&gt;N(B935),1,0))</f>
        <v/>
      </c>
      <c r="AI935" s="19">
        <f>IF(A935="",0,IF(AND(Z935="Full payment",N(N935)&lt;N(M935)-1),1,0))</f>
        <v/>
      </c>
      <c r="AJ935" s="19">
        <f>IF(A935="",0,IF(N(P935)&lt;0,1,0))</f>
        <v/>
      </c>
      <c r="AK935" s="19">
        <f>IF(A935="",0,IF(COUNTIF($A$7:$A$1006,A935)&gt;1,1,0))</f>
        <v/>
      </c>
    </row>
    <row r="936">
      <c r="A936" s="10" t="n"/>
      <c r="B936" s="17" t="n"/>
      <c r="C936" s="18" t="n"/>
      <c r="D936" s="10" t="n"/>
      <c r="E936" s="17" t="n"/>
      <c r="F936" s="10" t="n"/>
      <c r="G936" s="10" t="n"/>
      <c r="H936" s="10" t="n"/>
      <c r="I936" s="18" t="n"/>
      <c r="J936" s="18" t="n"/>
      <c r="K936" s="18" t="n"/>
      <c r="L936" s="18" t="n"/>
      <c r="M936" s="19">
        <f>IF(K936="","",K936*365/12*L936)</f>
        <v/>
      </c>
      <c r="N936" s="18" t="n"/>
      <c r="O936" s="18" t="n"/>
      <c r="P936" s="18" t="n"/>
      <c r="Q936" s="18" t="n"/>
      <c r="R936" s="10" t="n"/>
      <c r="S936" s="17" t="n"/>
      <c r="T936" s="18" t="n"/>
      <c r="U936" s="17" t="n"/>
      <c r="V936" s="17" t="n"/>
      <c r="W936" s="18" t="n"/>
      <c r="X936" s="18" t="n"/>
      <c r="Y936" s="17" t="n"/>
      <c r="Z936" s="10" t="n"/>
      <c r="AA936" s="10" t="n"/>
      <c r="AB936" s="19">
        <f>IF(LEN(A936)&gt;0,1,0)</f>
        <v/>
      </c>
      <c r="AC936" s="19">
        <f>IF(LEN(A936)=0,0,(LEN(B936)=0)+(LEN(C936)=0)+(LEN(D936)=0)+(LEN(E936)=0)+(LEN(F936)=0)+(LEN(G936)=0)+(LEN(H936)=0)+(LEN(I936)=0)+(LEN(J936)=0)+(LEN(K936)=0)+(LEN(L936)=0)+(LEN(N936)=0)+(LEN(O936)=0)+(LEN(P936)=0)+(LEN(R936)=0)+(LEN(AA936)=0))</f>
        <v/>
      </c>
      <c r="AD936" s="19">
        <f>IF(OR(LEN(A936)=0,LEN(C936)=0),0,IF(OR(C936&lt;1,C936&gt;5),1,0))</f>
        <v/>
      </c>
      <c r="AE936" s="19">
        <f>IF(OR(LEN(A936)=0,LEN(R936)=0),0,IF(OR(R936="Active",R936="Paid off",R936="Defaulted",R936="Repossessed",R936="Written off",R936="Restructured"),0,1))</f>
        <v/>
      </c>
      <c r="AF936" s="19">
        <f>IF(A936="",0,IF(N(J936)&gt;N(I936),1,0))</f>
        <v/>
      </c>
      <c r="AG936" s="19">
        <f>IF(A936="",0,IF(N(N936)&gt;N(M936)+1,1,0))</f>
        <v/>
      </c>
      <c r="AH936" s="19">
        <f>IF(A936="",0,IF(N(E936)&gt;N(B936),1,0))</f>
        <v/>
      </c>
      <c r="AI936" s="19">
        <f>IF(A936="",0,IF(AND(Z936="Full payment",N(N936)&lt;N(M936)-1),1,0))</f>
        <v/>
      </c>
      <c r="AJ936" s="19">
        <f>IF(A936="",0,IF(N(P936)&lt;0,1,0))</f>
        <v/>
      </c>
      <c r="AK936" s="19">
        <f>IF(A936="",0,IF(COUNTIF($A$7:$A$1006,A936)&gt;1,1,0))</f>
        <v/>
      </c>
    </row>
    <row r="937">
      <c r="A937" s="10" t="n"/>
      <c r="B937" s="17" t="n"/>
      <c r="C937" s="18" t="n"/>
      <c r="D937" s="10" t="n"/>
      <c r="E937" s="17" t="n"/>
      <c r="F937" s="10" t="n"/>
      <c r="G937" s="10" t="n"/>
      <c r="H937" s="10" t="n"/>
      <c r="I937" s="18" t="n"/>
      <c r="J937" s="18" t="n"/>
      <c r="K937" s="18" t="n"/>
      <c r="L937" s="18" t="n"/>
      <c r="M937" s="19">
        <f>IF(K937="","",K937*365/12*L937)</f>
        <v/>
      </c>
      <c r="N937" s="18" t="n"/>
      <c r="O937" s="18" t="n"/>
      <c r="P937" s="18" t="n"/>
      <c r="Q937" s="18" t="n"/>
      <c r="R937" s="10" t="n"/>
      <c r="S937" s="17" t="n"/>
      <c r="T937" s="18" t="n"/>
      <c r="U937" s="17" t="n"/>
      <c r="V937" s="17" t="n"/>
      <c r="W937" s="18" t="n"/>
      <c r="X937" s="18" t="n"/>
      <c r="Y937" s="17" t="n"/>
      <c r="Z937" s="10" t="n"/>
      <c r="AA937" s="10" t="n"/>
      <c r="AB937" s="19">
        <f>IF(LEN(A937)&gt;0,1,0)</f>
        <v/>
      </c>
      <c r="AC937" s="19">
        <f>IF(LEN(A937)=0,0,(LEN(B937)=0)+(LEN(C937)=0)+(LEN(D937)=0)+(LEN(E937)=0)+(LEN(F937)=0)+(LEN(G937)=0)+(LEN(H937)=0)+(LEN(I937)=0)+(LEN(J937)=0)+(LEN(K937)=0)+(LEN(L937)=0)+(LEN(N937)=0)+(LEN(O937)=0)+(LEN(P937)=0)+(LEN(R937)=0)+(LEN(AA937)=0))</f>
        <v/>
      </c>
      <c r="AD937" s="19">
        <f>IF(OR(LEN(A937)=0,LEN(C937)=0),0,IF(OR(C937&lt;1,C937&gt;5),1,0))</f>
        <v/>
      </c>
      <c r="AE937" s="19">
        <f>IF(OR(LEN(A937)=0,LEN(R937)=0),0,IF(OR(R937="Active",R937="Paid off",R937="Defaulted",R937="Repossessed",R937="Written off",R937="Restructured"),0,1))</f>
        <v/>
      </c>
      <c r="AF937" s="19">
        <f>IF(A937="",0,IF(N(J937)&gt;N(I937),1,0))</f>
        <v/>
      </c>
      <c r="AG937" s="19">
        <f>IF(A937="",0,IF(N(N937)&gt;N(M937)+1,1,0))</f>
        <v/>
      </c>
      <c r="AH937" s="19">
        <f>IF(A937="",0,IF(N(E937)&gt;N(B937),1,0))</f>
        <v/>
      </c>
      <c r="AI937" s="19">
        <f>IF(A937="",0,IF(AND(Z937="Full payment",N(N937)&lt;N(M937)-1),1,0))</f>
        <v/>
      </c>
      <c r="AJ937" s="19">
        <f>IF(A937="",0,IF(N(P937)&lt;0,1,0))</f>
        <v/>
      </c>
      <c r="AK937" s="19">
        <f>IF(A937="",0,IF(COUNTIF($A$7:$A$1006,A937)&gt;1,1,0))</f>
        <v/>
      </c>
    </row>
    <row r="938">
      <c r="A938" s="10" t="n"/>
      <c r="B938" s="17" t="n"/>
      <c r="C938" s="18" t="n"/>
      <c r="D938" s="10" t="n"/>
      <c r="E938" s="17" t="n"/>
      <c r="F938" s="10" t="n"/>
      <c r="G938" s="10" t="n"/>
      <c r="H938" s="10" t="n"/>
      <c r="I938" s="18" t="n"/>
      <c r="J938" s="18" t="n"/>
      <c r="K938" s="18" t="n"/>
      <c r="L938" s="18" t="n"/>
      <c r="M938" s="19">
        <f>IF(K938="","",K938*365/12*L938)</f>
        <v/>
      </c>
      <c r="N938" s="18" t="n"/>
      <c r="O938" s="18" t="n"/>
      <c r="P938" s="18" t="n"/>
      <c r="Q938" s="18" t="n"/>
      <c r="R938" s="10" t="n"/>
      <c r="S938" s="17" t="n"/>
      <c r="T938" s="18" t="n"/>
      <c r="U938" s="17" t="n"/>
      <c r="V938" s="17" t="n"/>
      <c r="W938" s="18" t="n"/>
      <c r="X938" s="18" t="n"/>
      <c r="Y938" s="17" t="n"/>
      <c r="Z938" s="10" t="n"/>
      <c r="AA938" s="10" t="n"/>
      <c r="AB938" s="19">
        <f>IF(LEN(A938)&gt;0,1,0)</f>
        <v/>
      </c>
      <c r="AC938" s="19">
        <f>IF(LEN(A938)=0,0,(LEN(B938)=0)+(LEN(C938)=0)+(LEN(D938)=0)+(LEN(E938)=0)+(LEN(F938)=0)+(LEN(G938)=0)+(LEN(H938)=0)+(LEN(I938)=0)+(LEN(J938)=0)+(LEN(K938)=0)+(LEN(L938)=0)+(LEN(N938)=0)+(LEN(O938)=0)+(LEN(P938)=0)+(LEN(R938)=0)+(LEN(AA938)=0))</f>
        <v/>
      </c>
      <c r="AD938" s="19">
        <f>IF(OR(LEN(A938)=0,LEN(C938)=0),0,IF(OR(C938&lt;1,C938&gt;5),1,0))</f>
        <v/>
      </c>
      <c r="AE938" s="19">
        <f>IF(OR(LEN(A938)=0,LEN(R938)=0),0,IF(OR(R938="Active",R938="Paid off",R938="Defaulted",R938="Repossessed",R938="Written off",R938="Restructured"),0,1))</f>
        <v/>
      </c>
      <c r="AF938" s="19">
        <f>IF(A938="",0,IF(N(J938)&gt;N(I938),1,0))</f>
        <v/>
      </c>
      <c r="AG938" s="19">
        <f>IF(A938="",0,IF(N(N938)&gt;N(M938)+1,1,0))</f>
        <v/>
      </c>
      <c r="AH938" s="19">
        <f>IF(A938="",0,IF(N(E938)&gt;N(B938),1,0))</f>
        <v/>
      </c>
      <c r="AI938" s="19">
        <f>IF(A938="",0,IF(AND(Z938="Full payment",N(N938)&lt;N(M938)-1),1,0))</f>
        <v/>
      </c>
      <c r="AJ938" s="19">
        <f>IF(A938="",0,IF(N(P938)&lt;0,1,0))</f>
        <v/>
      </c>
      <c r="AK938" s="19">
        <f>IF(A938="",0,IF(COUNTIF($A$7:$A$1006,A938)&gt;1,1,0))</f>
        <v/>
      </c>
    </row>
    <row r="939">
      <c r="A939" s="10" t="n"/>
      <c r="B939" s="17" t="n"/>
      <c r="C939" s="18" t="n"/>
      <c r="D939" s="10" t="n"/>
      <c r="E939" s="17" t="n"/>
      <c r="F939" s="10" t="n"/>
      <c r="G939" s="10" t="n"/>
      <c r="H939" s="10" t="n"/>
      <c r="I939" s="18" t="n"/>
      <c r="J939" s="18" t="n"/>
      <c r="K939" s="18" t="n"/>
      <c r="L939" s="18" t="n"/>
      <c r="M939" s="19">
        <f>IF(K939="","",K939*365/12*L939)</f>
        <v/>
      </c>
      <c r="N939" s="18" t="n"/>
      <c r="O939" s="18" t="n"/>
      <c r="P939" s="18" t="n"/>
      <c r="Q939" s="18" t="n"/>
      <c r="R939" s="10" t="n"/>
      <c r="S939" s="17" t="n"/>
      <c r="T939" s="18" t="n"/>
      <c r="U939" s="17" t="n"/>
      <c r="V939" s="17" t="n"/>
      <c r="W939" s="18" t="n"/>
      <c r="X939" s="18" t="n"/>
      <c r="Y939" s="17" t="n"/>
      <c r="Z939" s="10" t="n"/>
      <c r="AA939" s="10" t="n"/>
      <c r="AB939" s="19">
        <f>IF(LEN(A939)&gt;0,1,0)</f>
        <v/>
      </c>
      <c r="AC939" s="19">
        <f>IF(LEN(A939)=0,0,(LEN(B939)=0)+(LEN(C939)=0)+(LEN(D939)=0)+(LEN(E939)=0)+(LEN(F939)=0)+(LEN(G939)=0)+(LEN(H939)=0)+(LEN(I939)=0)+(LEN(J939)=0)+(LEN(K939)=0)+(LEN(L939)=0)+(LEN(N939)=0)+(LEN(O939)=0)+(LEN(P939)=0)+(LEN(R939)=0)+(LEN(AA939)=0))</f>
        <v/>
      </c>
      <c r="AD939" s="19">
        <f>IF(OR(LEN(A939)=0,LEN(C939)=0),0,IF(OR(C939&lt;1,C939&gt;5),1,0))</f>
        <v/>
      </c>
      <c r="AE939" s="19">
        <f>IF(OR(LEN(A939)=0,LEN(R939)=0),0,IF(OR(R939="Active",R939="Paid off",R939="Defaulted",R939="Repossessed",R939="Written off",R939="Restructured"),0,1))</f>
        <v/>
      </c>
      <c r="AF939" s="19">
        <f>IF(A939="",0,IF(N(J939)&gt;N(I939),1,0))</f>
        <v/>
      </c>
      <c r="AG939" s="19">
        <f>IF(A939="",0,IF(N(N939)&gt;N(M939)+1,1,0))</f>
        <v/>
      </c>
      <c r="AH939" s="19">
        <f>IF(A939="",0,IF(N(E939)&gt;N(B939),1,0))</f>
        <v/>
      </c>
      <c r="AI939" s="19">
        <f>IF(A939="",0,IF(AND(Z939="Full payment",N(N939)&lt;N(M939)-1),1,0))</f>
        <v/>
      </c>
      <c r="AJ939" s="19">
        <f>IF(A939="",0,IF(N(P939)&lt;0,1,0))</f>
        <v/>
      </c>
      <c r="AK939" s="19">
        <f>IF(A939="",0,IF(COUNTIF($A$7:$A$1006,A939)&gt;1,1,0))</f>
        <v/>
      </c>
    </row>
    <row r="940">
      <c r="A940" s="10" t="n"/>
      <c r="B940" s="17" t="n"/>
      <c r="C940" s="18" t="n"/>
      <c r="D940" s="10" t="n"/>
      <c r="E940" s="17" t="n"/>
      <c r="F940" s="10" t="n"/>
      <c r="G940" s="10" t="n"/>
      <c r="H940" s="10" t="n"/>
      <c r="I940" s="18" t="n"/>
      <c r="J940" s="18" t="n"/>
      <c r="K940" s="18" t="n"/>
      <c r="L940" s="18" t="n"/>
      <c r="M940" s="19">
        <f>IF(K940="","",K940*365/12*L940)</f>
        <v/>
      </c>
      <c r="N940" s="18" t="n"/>
      <c r="O940" s="18" t="n"/>
      <c r="P940" s="18" t="n"/>
      <c r="Q940" s="18" t="n"/>
      <c r="R940" s="10" t="n"/>
      <c r="S940" s="17" t="n"/>
      <c r="T940" s="18" t="n"/>
      <c r="U940" s="17" t="n"/>
      <c r="V940" s="17" t="n"/>
      <c r="W940" s="18" t="n"/>
      <c r="X940" s="18" t="n"/>
      <c r="Y940" s="17" t="n"/>
      <c r="Z940" s="10" t="n"/>
      <c r="AA940" s="10" t="n"/>
      <c r="AB940" s="19">
        <f>IF(LEN(A940)&gt;0,1,0)</f>
        <v/>
      </c>
      <c r="AC940" s="19">
        <f>IF(LEN(A940)=0,0,(LEN(B940)=0)+(LEN(C940)=0)+(LEN(D940)=0)+(LEN(E940)=0)+(LEN(F940)=0)+(LEN(G940)=0)+(LEN(H940)=0)+(LEN(I940)=0)+(LEN(J940)=0)+(LEN(K940)=0)+(LEN(L940)=0)+(LEN(N940)=0)+(LEN(O940)=0)+(LEN(P940)=0)+(LEN(R940)=0)+(LEN(AA940)=0))</f>
        <v/>
      </c>
      <c r="AD940" s="19">
        <f>IF(OR(LEN(A940)=0,LEN(C940)=0),0,IF(OR(C940&lt;1,C940&gt;5),1,0))</f>
        <v/>
      </c>
      <c r="AE940" s="19">
        <f>IF(OR(LEN(A940)=0,LEN(R940)=0),0,IF(OR(R940="Active",R940="Paid off",R940="Defaulted",R940="Repossessed",R940="Written off",R940="Restructured"),0,1))</f>
        <v/>
      </c>
      <c r="AF940" s="19">
        <f>IF(A940="",0,IF(N(J940)&gt;N(I940),1,0))</f>
        <v/>
      </c>
      <c r="AG940" s="19">
        <f>IF(A940="",0,IF(N(N940)&gt;N(M940)+1,1,0))</f>
        <v/>
      </c>
      <c r="AH940" s="19">
        <f>IF(A940="",0,IF(N(E940)&gt;N(B940),1,0))</f>
        <v/>
      </c>
      <c r="AI940" s="19">
        <f>IF(A940="",0,IF(AND(Z940="Full payment",N(N940)&lt;N(M940)-1),1,0))</f>
        <v/>
      </c>
      <c r="AJ940" s="19">
        <f>IF(A940="",0,IF(N(P940)&lt;0,1,0))</f>
        <v/>
      </c>
      <c r="AK940" s="19">
        <f>IF(A940="",0,IF(COUNTIF($A$7:$A$1006,A940)&gt;1,1,0))</f>
        <v/>
      </c>
    </row>
    <row r="941">
      <c r="A941" s="10" t="n"/>
      <c r="B941" s="17" t="n"/>
      <c r="C941" s="18" t="n"/>
      <c r="D941" s="10" t="n"/>
      <c r="E941" s="17" t="n"/>
      <c r="F941" s="10" t="n"/>
      <c r="G941" s="10" t="n"/>
      <c r="H941" s="10" t="n"/>
      <c r="I941" s="18" t="n"/>
      <c r="J941" s="18" t="n"/>
      <c r="K941" s="18" t="n"/>
      <c r="L941" s="18" t="n"/>
      <c r="M941" s="19">
        <f>IF(K941="","",K941*365/12*L941)</f>
        <v/>
      </c>
      <c r="N941" s="18" t="n"/>
      <c r="O941" s="18" t="n"/>
      <c r="P941" s="18" t="n"/>
      <c r="Q941" s="18" t="n"/>
      <c r="R941" s="10" t="n"/>
      <c r="S941" s="17" t="n"/>
      <c r="T941" s="18" t="n"/>
      <c r="U941" s="17" t="n"/>
      <c r="V941" s="17" t="n"/>
      <c r="W941" s="18" t="n"/>
      <c r="X941" s="18" t="n"/>
      <c r="Y941" s="17" t="n"/>
      <c r="Z941" s="10" t="n"/>
      <c r="AA941" s="10" t="n"/>
      <c r="AB941" s="19">
        <f>IF(LEN(A941)&gt;0,1,0)</f>
        <v/>
      </c>
      <c r="AC941" s="19">
        <f>IF(LEN(A941)=0,0,(LEN(B941)=0)+(LEN(C941)=0)+(LEN(D941)=0)+(LEN(E941)=0)+(LEN(F941)=0)+(LEN(G941)=0)+(LEN(H941)=0)+(LEN(I941)=0)+(LEN(J941)=0)+(LEN(K941)=0)+(LEN(L941)=0)+(LEN(N941)=0)+(LEN(O941)=0)+(LEN(P941)=0)+(LEN(R941)=0)+(LEN(AA941)=0))</f>
        <v/>
      </c>
      <c r="AD941" s="19">
        <f>IF(OR(LEN(A941)=0,LEN(C941)=0),0,IF(OR(C941&lt;1,C941&gt;5),1,0))</f>
        <v/>
      </c>
      <c r="AE941" s="19">
        <f>IF(OR(LEN(A941)=0,LEN(R941)=0),0,IF(OR(R941="Active",R941="Paid off",R941="Defaulted",R941="Repossessed",R941="Written off",R941="Restructured"),0,1))</f>
        <v/>
      </c>
      <c r="AF941" s="19">
        <f>IF(A941="",0,IF(N(J941)&gt;N(I941),1,0))</f>
        <v/>
      </c>
      <c r="AG941" s="19">
        <f>IF(A941="",0,IF(N(N941)&gt;N(M941)+1,1,0))</f>
        <v/>
      </c>
      <c r="AH941" s="19">
        <f>IF(A941="",0,IF(N(E941)&gt;N(B941),1,0))</f>
        <v/>
      </c>
      <c r="AI941" s="19">
        <f>IF(A941="",0,IF(AND(Z941="Full payment",N(N941)&lt;N(M941)-1),1,0))</f>
        <v/>
      </c>
      <c r="AJ941" s="19">
        <f>IF(A941="",0,IF(N(P941)&lt;0,1,0))</f>
        <v/>
      </c>
      <c r="AK941" s="19">
        <f>IF(A941="",0,IF(COUNTIF($A$7:$A$1006,A941)&gt;1,1,0))</f>
        <v/>
      </c>
    </row>
    <row r="942">
      <c r="A942" s="10" t="n"/>
      <c r="B942" s="17" t="n"/>
      <c r="C942" s="18" t="n"/>
      <c r="D942" s="10" t="n"/>
      <c r="E942" s="17" t="n"/>
      <c r="F942" s="10" t="n"/>
      <c r="G942" s="10" t="n"/>
      <c r="H942" s="10" t="n"/>
      <c r="I942" s="18" t="n"/>
      <c r="J942" s="18" t="n"/>
      <c r="K942" s="18" t="n"/>
      <c r="L942" s="18" t="n"/>
      <c r="M942" s="19">
        <f>IF(K942="","",K942*365/12*L942)</f>
        <v/>
      </c>
      <c r="N942" s="18" t="n"/>
      <c r="O942" s="18" t="n"/>
      <c r="P942" s="18" t="n"/>
      <c r="Q942" s="18" t="n"/>
      <c r="R942" s="10" t="n"/>
      <c r="S942" s="17" t="n"/>
      <c r="T942" s="18" t="n"/>
      <c r="U942" s="17" t="n"/>
      <c r="V942" s="17" t="n"/>
      <c r="W942" s="18" t="n"/>
      <c r="X942" s="18" t="n"/>
      <c r="Y942" s="17" t="n"/>
      <c r="Z942" s="10" t="n"/>
      <c r="AA942" s="10" t="n"/>
      <c r="AB942" s="19">
        <f>IF(LEN(A942)&gt;0,1,0)</f>
        <v/>
      </c>
      <c r="AC942" s="19">
        <f>IF(LEN(A942)=0,0,(LEN(B942)=0)+(LEN(C942)=0)+(LEN(D942)=0)+(LEN(E942)=0)+(LEN(F942)=0)+(LEN(G942)=0)+(LEN(H942)=0)+(LEN(I942)=0)+(LEN(J942)=0)+(LEN(K942)=0)+(LEN(L942)=0)+(LEN(N942)=0)+(LEN(O942)=0)+(LEN(P942)=0)+(LEN(R942)=0)+(LEN(AA942)=0))</f>
        <v/>
      </c>
      <c r="AD942" s="19">
        <f>IF(OR(LEN(A942)=0,LEN(C942)=0),0,IF(OR(C942&lt;1,C942&gt;5),1,0))</f>
        <v/>
      </c>
      <c r="AE942" s="19">
        <f>IF(OR(LEN(A942)=0,LEN(R942)=0),0,IF(OR(R942="Active",R942="Paid off",R942="Defaulted",R942="Repossessed",R942="Written off",R942="Restructured"),0,1))</f>
        <v/>
      </c>
      <c r="AF942" s="19">
        <f>IF(A942="",0,IF(N(J942)&gt;N(I942),1,0))</f>
        <v/>
      </c>
      <c r="AG942" s="19">
        <f>IF(A942="",0,IF(N(N942)&gt;N(M942)+1,1,0))</f>
        <v/>
      </c>
      <c r="AH942" s="19">
        <f>IF(A942="",0,IF(N(E942)&gt;N(B942),1,0))</f>
        <v/>
      </c>
      <c r="AI942" s="19">
        <f>IF(A942="",0,IF(AND(Z942="Full payment",N(N942)&lt;N(M942)-1),1,0))</f>
        <v/>
      </c>
      <c r="AJ942" s="19">
        <f>IF(A942="",0,IF(N(P942)&lt;0,1,0))</f>
        <v/>
      </c>
      <c r="AK942" s="19">
        <f>IF(A942="",0,IF(COUNTIF($A$7:$A$1006,A942)&gt;1,1,0))</f>
        <v/>
      </c>
    </row>
    <row r="943">
      <c r="A943" s="10" t="n"/>
      <c r="B943" s="17" t="n"/>
      <c r="C943" s="18" t="n"/>
      <c r="D943" s="10" t="n"/>
      <c r="E943" s="17" t="n"/>
      <c r="F943" s="10" t="n"/>
      <c r="G943" s="10" t="n"/>
      <c r="H943" s="10" t="n"/>
      <c r="I943" s="18" t="n"/>
      <c r="J943" s="18" t="n"/>
      <c r="K943" s="18" t="n"/>
      <c r="L943" s="18" t="n"/>
      <c r="M943" s="19">
        <f>IF(K943="","",K943*365/12*L943)</f>
        <v/>
      </c>
      <c r="N943" s="18" t="n"/>
      <c r="O943" s="18" t="n"/>
      <c r="P943" s="18" t="n"/>
      <c r="Q943" s="18" t="n"/>
      <c r="R943" s="10" t="n"/>
      <c r="S943" s="17" t="n"/>
      <c r="T943" s="18" t="n"/>
      <c r="U943" s="17" t="n"/>
      <c r="V943" s="17" t="n"/>
      <c r="W943" s="18" t="n"/>
      <c r="X943" s="18" t="n"/>
      <c r="Y943" s="17" t="n"/>
      <c r="Z943" s="10" t="n"/>
      <c r="AA943" s="10" t="n"/>
      <c r="AB943" s="19">
        <f>IF(LEN(A943)&gt;0,1,0)</f>
        <v/>
      </c>
      <c r="AC943" s="19">
        <f>IF(LEN(A943)=0,0,(LEN(B943)=0)+(LEN(C943)=0)+(LEN(D943)=0)+(LEN(E943)=0)+(LEN(F943)=0)+(LEN(G943)=0)+(LEN(H943)=0)+(LEN(I943)=0)+(LEN(J943)=0)+(LEN(K943)=0)+(LEN(L943)=0)+(LEN(N943)=0)+(LEN(O943)=0)+(LEN(P943)=0)+(LEN(R943)=0)+(LEN(AA943)=0))</f>
        <v/>
      </c>
      <c r="AD943" s="19">
        <f>IF(OR(LEN(A943)=0,LEN(C943)=0),0,IF(OR(C943&lt;1,C943&gt;5),1,0))</f>
        <v/>
      </c>
      <c r="AE943" s="19">
        <f>IF(OR(LEN(A943)=0,LEN(R943)=0),0,IF(OR(R943="Active",R943="Paid off",R943="Defaulted",R943="Repossessed",R943="Written off",R943="Restructured"),0,1))</f>
        <v/>
      </c>
      <c r="AF943" s="19">
        <f>IF(A943="",0,IF(N(J943)&gt;N(I943),1,0))</f>
        <v/>
      </c>
      <c r="AG943" s="19">
        <f>IF(A943="",0,IF(N(N943)&gt;N(M943)+1,1,0))</f>
        <v/>
      </c>
      <c r="AH943" s="19">
        <f>IF(A943="",0,IF(N(E943)&gt;N(B943),1,0))</f>
        <v/>
      </c>
      <c r="AI943" s="19">
        <f>IF(A943="",0,IF(AND(Z943="Full payment",N(N943)&lt;N(M943)-1),1,0))</f>
        <v/>
      </c>
      <c r="AJ943" s="19">
        <f>IF(A943="",0,IF(N(P943)&lt;0,1,0))</f>
        <v/>
      </c>
      <c r="AK943" s="19">
        <f>IF(A943="",0,IF(COUNTIF($A$7:$A$1006,A943)&gt;1,1,0))</f>
        <v/>
      </c>
    </row>
    <row r="944">
      <c r="A944" s="10" t="n"/>
      <c r="B944" s="17" t="n"/>
      <c r="C944" s="18" t="n"/>
      <c r="D944" s="10" t="n"/>
      <c r="E944" s="17" t="n"/>
      <c r="F944" s="10" t="n"/>
      <c r="G944" s="10" t="n"/>
      <c r="H944" s="10" t="n"/>
      <c r="I944" s="18" t="n"/>
      <c r="J944" s="18" t="n"/>
      <c r="K944" s="18" t="n"/>
      <c r="L944" s="18" t="n"/>
      <c r="M944" s="19">
        <f>IF(K944="","",K944*365/12*L944)</f>
        <v/>
      </c>
      <c r="N944" s="18" t="n"/>
      <c r="O944" s="18" t="n"/>
      <c r="P944" s="18" t="n"/>
      <c r="Q944" s="18" t="n"/>
      <c r="R944" s="10" t="n"/>
      <c r="S944" s="17" t="n"/>
      <c r="T944" s="18" t="n"/>
      <c r="U944" s="17" t="n"/>
      <c r="V944" s="17" t="n"/>
      <c r="W944" s="18" t="n"/>
      <c r="X944" s="18" t="n"/>
      <c r="Y944" s="17" t="n"/>
      <c r="Z944" s="10" t="n"/>
      <c r="AA944" s="10" t="n"/>
      <c r="AB944" s="19">
        <f>IF(LEN(A944)&gt;0,1,0)</f>
        <v/>
      </c>
      <c r="AC944" s="19">
        <f>IF(LEN(A944)=0,0,(LEN(B944)=0)+(LEN(C944)=0)+(LEN(D944)=0)+(LEN(E944)=0)+(LEN(F944)=0)+(LEN(G944)=0)+(LEN(H944)=0)+(LEN(I944)=0)+(LEN(J944)=0)+(LEN(K944)=0)+(LEN(L944)=0)+(LEN(N944)=0)+(LEN(O944)=0)+(LEN(P944)=0)+(LEN(R944)=0)+(LEN(AA944)=0))</f>
        <v/>
      </c>
      <c r="AD944" s="19">
        <f>IF(OR(LEN(A944)=0,LEN(C944)=0),0,IF(OR(C944&lt;1,C944&gt;5),1,0))</f>
        <v/>
      </c>
      <c r="AE944" s="19">
        <f>IF(OR(LEN(A944)=0,LEN(R944)=0),0,IF(OR(R944="Active",R944="Paid off",R944="Defaulted",R944="Repossessed",R944="Written off",R944="Restructured"),0,1))</f>
        <v/>
      </c>
      <c r="AF944" s="19">
        <f>IF(A944="",0,IF(N(J944)&gt;N(I944),1,0))</f>
        <v/>
      </c>
      <c r="AG944" s="19">
        <f>IF(A944="",0,IF(N(N944)&gt;N(M944)+1,1,0))</f>
        <v/>
      </c>
      <c r="AH944" s="19">
        <f>IF(A944="",0,IF(N(E944)&gt;N(B944),1,0))</f>
        <v/>
      </c>
      <c r="AI944" s="19">
        <f>IF(A944="",0,IF(AND(Z944="Full payment",N(N944)&lt;N(M944)-1),1,0))</f>
        <v/>
      </c>
      <c r="AJ944" s="19">
        <f>IF(A944="",0,IF(N(P944)&lt;0,1,0))</f>
        <v/>
      </c>
      <c r="AK944" s="19">
        <f>IF(A944="",0,IF(COUNTIF($A$7:$A$1006,A944)&gt;1,1,0))</f>
        <v/>
      </c>
    </row>
    <row r="945">
      <c r="A945" s="10" t="n"/>
      <c r="B945" s="17" t="n"/>
      <c r="C945" s="18" t="n"/>
      <c r="D945" s="10" t="n"/>
      <c r="E945" s="17" t="n"/>
      <c r="F945" s="10" t="n"/>
      <c r="G945" s="10" t="n"/>
      <c r="H945" s="10" t="n"/>
      <c r="I945" s="18" t="n"/>
      <c r="J945" s="18" t="n"/>
      <c r="K945" s="18" t="n"/>
      <c r="L945" s="18" t="n"/>
      <c r="M945" s="19">
        <f>IF(K945="","",K945*365/12*L945)</f>
        <v/>
      </c>
      <c r="N945" s="18" t="n"/>
      <c r="O945" s="18" t="n"/>
      <c r="P945" s="18" t="n"/>
      <c r="Q945" s="18" t="n"/>
      <c r="R945" s="10" t="n"/>
      <c r="S945" s="17" t="n"/>
      <c r="T945" s="18" t="n"/>
      <c r="U945" s="17" t="n"/>
      <c r="V945" s="17" t="n"/>
      <c r="W945" s="18" t="n"/>
      <c r="X945" s="18" t="n"/>
      <c r="Y945" s="17" t="n"/>
      <c r="Z945" s="10" t="n"/>
      <c r="AA945" s="10" t="n"/>
      <c r="AB945" s="19">
        <f>IF(LEN(A945)&gt;0,1,0)</f>
        <v/>
      </c>
      <c r="AC945" s="19">
        <f>IF(LEN(A945)=0,0,(LEN(B945)=0)+(LEN(C945)=0)+(LEN(D945)=0)+(LEN(E945)=0)+(LEN(F945)=0)+(LEN(G945)=0)+(LEN(H945)=0)+(LEN(I945)=0)+(LEN(J945)=0)+(LEN(K945)=0)+(LEN(L945)=0)+(LEN(N945)=0)+(LEN(O945)=0)+(LEN(P945)=0)+(LEN(R945)=0)+(LEN(AA945)=0))</f>
        <v/>
      </c>
      <c r="AD945" s="19">
        <f>IF(OR(LEN(A945)=0,LEN(C945)=0),0,IF(OR(C945&lt;1,C945&gt;5),1,0))</f>
        <v/>
      </c>
      <c r="AE945" s="19">
        <f>IF(OR(LEN(A945)=0,LEN(R945)=0),0,IF(OR(R945="Active",R945="Paid off",R945="Defaulted",R945="Repossessed",R945="Written off",R945="Restructured"),0,1))</f>
        <v/>
      </c>
      <c r="AF945" s="19">
        <f>IF(A945="",0,IF(N(J945)&gt;N(I945),1,0))</f>
        <v/>
      </c>
      <c r="AG945" s="19">
        <f>IF(A945="",0,IF(N(N945)&gt;N(M945)+1,1,0))</f>
        <v/>
      </c>
      <c r="AH945" s="19">
        <f>IF(A945="",0,IF(N(E945)&gt;N(B945),1,0))</f>
        <v/>
      </c>
      <c r="AI945" s="19">
        <f>IF(A945="",0,IF(AND(Z945="Full payment",N(N945)&lt;N(M945)-1),1,0))</f>
        <v/>
      </c>
      <c r="AJ945" s="19">
        <f>IF(A945="",0,IF(N(P945)&lt;0,1,0))</f>
        <v/>
      </c>
      <c r="AK945" s="19">
        <f>IF(A945="",0,IF(COUNTIF($A$7:$A$1006,A945)&gt;1,1,0))</f>
        <v/>
      </c>
    </row>
    <row r="946">
      <c r="A946" s="10" t="n"/>
      <c r="B946" s="17" t="n"/>
      <c r="C946" s="18" t="n"/>
      <c r="D946" s="10" t="n"/>
      <c r="E946" s="17" t="n"/>
      <c r="F946" s="10" t="n"/>
      <c r="G946" s="10" t="n"/>
      <c r="H946" s="10" t="n"/>
      <c r="I946" s="18" t="n"/>
      <c r="J946" s="18" t="n"/>
      <c r="K946" s="18" t="n"/>
      <c r="L946" s="18" t="n"/>
      <c r="M946" s="19">
        <f>IF(K946="","",K946*365/12*L946)</f>
        <v/>
      </c>
      <c r="N946" s="18" t="n"/>
      <c r="O946" s="18" t="n"/>
      <c r="P946" s="18" t="n"/>
      <c r="Q946" s="18" t="n"/>
      <c r="R946" s="10" t="n"/>
      <c r="S946" s="17" t="n"/>
      <c r="T946" s="18" t="n"/>
      <c r="U946" s="17" t="n"/>
      <c r="V946" s="17" t="n"/>
      <c r="W946" s="18" t="n"/>
      <c r="X946" s="18" t="n"/>
      <c r="Y946" s="17" t="n"/>
      <c r="Z946" s="10" t="n"/>
      <c r="AA946" s="10" t="n"/>
      <c r="AB946" s="19">
        <f>IF(LEN(A946)&gt;0,1,0)</f>
        <v/>
      </c>
      <c r="AC946" s="19">
        <f>IF(LEN(A946)=0,0,(LEN(B946)=0)+(LEN(C946)=0)+(LEN(D946)=0)+(LEN(E946)=0)+(LEN(F946)=0)+(LEN(G946)=0)+(LEN(H946)=0)+(LEN(I946)=0)+(LEN(J946)=0)+(LEN(K946)=0)+(LEN(L946)=0)+(LEN(N946)=0)+(LEN(O946)=0)+(LEN(P946)=0)+(LEN(R946)=0)+(LEN(AA946)=0))</f>
        <v/>
      </c>
      <c r="AD946" s="19">
        <f>IF(OR(LEN(A946)=0,LEN(C946)=0),0,IF(OR(C946&lt;1,C946&gt;5),1,0))</f>
        <v/>
      </c>
      <c r="AE946" s="19">
        <f>IF(OR(LEN(A946)=0,LEN(R946)=0),0,IF(OR(R946="Active",R946="Paid off",R946="Defaulted",R946="Repossessed",R946="Written off",R946="Restructured"),0,1))</f>
        <v/>
      </c>
      <c r="AF946" s="19">
        <f>IF(A946="",0,IF(N(J946)&gt;N(I946),1,0))</f>
        <v/>
      </c>
      <c r="AG946" s="19">
        <f>IF(A946="",0,IF(N(N946)&gt;N(M946)+1,1,0))</f>
        <v/>
      </c>
      <c r="AH946" s="19">
        <f>IF(A946="",0,IF(N(E946)&gt;N(B946),1,0))</f>
        <v/>
      </c>
      <c r="AI946" s="19">
        <f>IF(A946="",0,IF(AND(Z946="Full payment",N(N946)&lt;N(M946)-1),1,0))</f>
        <v/>
      </c>
      <c r="AJ946" s="19">
        <f>IF(A946="",0,IF(N(P946)&lt;0,1,0))</f>
        <v/>
      </c>
      <c r="AK946" s="19">
        <f>IF(A946="",0,IF(COUNTIF($A$7:$A$1006,A946)&gt;1,1,0))</f>
        <v/>
      </c>
    </row>
    <row r="947">
      <c r="A947" s="10" t="n"/>
      <c r="B947" s="17" t="n"/>
      <c r="C947" s="18" t="n"/>
      <c r="D947" s="10" t="n"/>
      <c r="E947" s="17" t="n"/>
      <c r="F947" s="10" t="n"/>
      <c r="G947" s="10" t="n"/>
      <c r="H947" s="10" t="n"/>
      <c r="I947" s="18" t="n"/>
      <c r="J947" s="18" t="n"/>
      <c r="K947" s="18" t="n"/>
      <c r="L947" s="18" t="n"/>
      <c r="M947" s="19">
        <f>IF(K947="","",K947*365/12*L947)</f>
        <v/>
      </c>
      <c r="N947" s="18" t="n"/>
      <c r="O947" s="18" t="n"/>
      <c r="P947" s="18" t="n"/>
      <c r="Q947" s="18" t="n"/>
      <c r="R947" s="10" t="n"/>
      <c r="S947" s="17" t="n"/>
      <c r="T947" s="18" t="n"/>
      <c r="U947" s="17" t="n"/>
      <c r="V947" s="17" t="n"/>
      <c r="W947" s="18" t="n"/>
      <c r="X947" s="18" t="n"/>
      <c r="Y947" s="17" t="n"/>
      <c r="Z947" s="10" t="n"/>
      <c r="AA947" s="10" t="n"/>
      <c r="AB947" s="19">
        <f>IF(LEN(A947)&gt;0,1,0)</f>
        <v/>
      </c>
      <c r="AC947" s="19">
        <f>IF(LEN(A947)=0,0,(LEN(B947)=0)+(LEN(C947)=0)+(LEN(D947)=0)+(LEN(E947)=0)+(LEN(F947)=0)+(LEN(G947)=0)+(LEN(H947)=0)+(LEN(I947)=0)+(LEN(J947)=0)+(LEN(K947)=0)+(LEN(L947)=0)+(LEN(N947)=0)+(LEN(O947)=0)+(LEN(P947)=0)+(LEN(R947)=0)+(LEN(AA947)=0))</f>
        <v/>
      </c>
      <c r="AD947" s="19">
        <f>IF(OR(LEN(A947)=0,LEN(C947)=0),0,IF(OR(C947&lt;1,C947&gt;5),1,0))</f>
        <v/>
      </c>
      <c r="AE947" s="19">
        <f>IF(OR(LEN(A947)=0,LEN(R947)=0),0,IF(OR(R947="Active",R947="Paid off",R947="Defaulted",R947="Repossessed",R947="Written off",R947="Restructured"),0,1))</f>
        <v/>
      </c>
      <c r="AF947" s="19">
        <f>IF(A947="",0,IF(N(J947)&gt;N(I947),1,0))</f>
        <v/>
      </c>
      <c r="AG947" s="19">
        <f>IF(A947="",0,IF(N(N947)&gt;N(M947)+1,1,0))</f>
        <v/>
      </c>
      <c r="AH947" s="19">
        <f>IF(A947="",0,IF(N(E947)&gt;N(B947),1,0))</f>
        <v/>
      </c>
      <c r="AI947" s="19">
        <f>IF(A947="",0,IF(AND(Z947="Full payment",N(N947)&lt;N(M947)-1),1,0))</f>
        <v/>
      </c>
      <c r="AJ947" s="19">
        <f>IF(A947="",0,IF(N(P947)&lt;0,1,0))</f>
        <v/>
      </c>
      <c r="AK947" s="19">
        <f>IF(A947="",0,IF(COUNTIF($A$7:$A$1006,A947)&gt;1,1,0))</f>
        <v/>
      </c>
    </row>
    <row r="948">
      <c r="A948" s="10" t="n"/>
      <c r="B948" s="17" t="n"/>
      <c r="C948" s="18" t="n"/>
      <c r="D948" s="10" t="n"/>
      <c r="E948" s="17" t="n"/>
      <c r="F948" s="10" t="n"/>
      <c r="G948" s="10" t="n"/>
      <c r="H948" s="10" t="n"/>
      <c r="I948" s="18" t="n"/>
      <c r="J948" s="18" t="n"/>
      <c r="K948" s="18" t="n"/>
      <c r="L948" s="18" t="n"/>
      <c r="M948" s="19">
        <f>IF(K948="","",K948*365/12*L948)</f>
        <v/>
      </c>
      <c r="N948" s="18" t="n"/>
      <c r="O948" s="18" t="n"/>
      <c r="P948" s="18" t="n"/>
      <c r="Q948" s="18" t="n"/>
      <c r="R948" s="10" t="n"/>
      <c r="S948" s="17" t="n"/>
      <c r="T948" s="18" t="n"/>
      <c r="U948" s="17" t="n"/>
      <c r="V948" s="17" t="n"/>
      <c r="W948" s="18" t="n"/>
      <c r="X948" s="18" t="n"/>
      <c r="Y948" s="17" t="n"/>
      <c r="Z948" s="10" t="n"/>
      <c r="AA948" s="10" t="n"/>
      <c r="AB948" s="19">
        <f>IF(LEN(A948)&gt;0,1,0)</f>
        <v/>
      </c>
      <c r="AC948" s="19">
        <f>IF(LEN(A948)=0,0,(LEN(B948)=0)+(LEN(C948)=0)+(LEN(D948)=0)+(LEN(E948)=0)+(LEN(F948)=0)+(LEN(G948)=0)+(LEN(H948)=0)+(LEN(I948)=0)+(LEN(J948)=0)+(LEN(K948)=0)+(LEN(L948)=0)+(LEN(N948)=0)+(LEN(O948)=0)+(LEN(P948)=0)+(LEN(R948)=0)+(LEN(AA948)=0))</f>
        <v/>
      </c>
      <c r="AD948" s="19">
        <f>IF(OR(LEN(A948)=0,LEN(C948)=0),0,IF(OR(C948&lt;1,C948&gt;5),1,0))</f>
        <v/>
      </c>
      <c r="AE948" s="19">
        <f>IF(OR(LEN(A948)=0,LEN(R948)=0),0,IF(OR(R948="Active",R948="Paid off",R948="Defaulted",R948="Repossessed",R948="Written off",R948="Restructured"),0,1))</f>
        <v/>
      </c>
      <c r="AF948" s="19">
        <f>IF(A948="",0,IF(N(J948)&gt;N(I948),1,0))</f>
        <v/>
      </c>
      <c r="AG948" s="19">
        <f>IF(A948="",0,IF(N(N948)&gt;N(M948)+1,1,0))</f>
        <v/>
      </c>
      <c r="AH948" s="19">
        <f>IF(A948="",0,IF(N(E948)&gt;N(B948),1,0))</f>
        <v/>
      </c>
      <c r="AI948" s="19">
        <f>IF(A948="",0,IF(AND(Z948="Full payment",N(N948)&lt;N(M948)-1),1,0))</f>
        <v/>
      </c>
      <c r="AJ948" s="19">
        <f>IF(A948="",0,IF(N(P948)&lt;0,1,0))</f>
        <v/>
      </c>
      <c r="AK948" s="19">
        <f>IF(A948="",0,IF(COUNTIF($A$7:$A$1006,A948)&gt;1,1,0))</f>
        <v/>
      </c>
    </row>
    <row r="949">
      <c r="A949" s="10" t="n"/>
      <c r="B949" s="17" t="n"/>
      <c r="C949" s="18" t="n"/>
      <c r="D949" s="10" t="n"/>
      <c r="E949" s="17" t="n"/>
      <c r="F949" s="10" t="n"/>
      <c r="G949" s="10" t="n"/>
      <c r="H949" s="10" t="n"/>
      <c r="I949" s="18" t="n"/>
      <c r="J949" s="18" t="n"/>
      <c r="K949" s="18" t="n"/>
      <c r="L949" s="18" t="n"/>
      <c r="M949" s="19">
        <f>IF(K949="","",K949*365/12*L949)</f>
        <v/>
      </c>
      <c r="N949" s="18" t="n"/>
      <c r="O949" s="18" t="n"/>
      <c r="P949" s="18" t="n"/>
      <c r="Q949" s="18" t="n"/>
      <c r="R949" s="10" t="n"/>
      <c r="S949" s="17" t="n"/>
      <c r="T949" s="18" t="n"/>
      <c r="U949" s="17" t="n"/>
      <c r="V949" s="17" t="n"/>
      <c r="W949" s="18" t="n"/>
      <c r="X949" s="18" t="n"/>
      <c r="Y949" s="17" t="n"/>
      <c r="Z949" s="10" t="n"/>
      <c r="AA949" s="10" t="n"/>
      <c r="AB949" s="19">
        <f>IF(LEN(A949)&gt;0,1,0)</f>
        <v/>
      </c>
      <c r="AC949" s="19">
        <f>IF(LEN(A949)=0,0,(LEN(B949)=0)+(LEN(C949)=0)+(LEN(D949)=0)+(LEN(E949)=0)+(LEN(F949)=0)+(LEN(G949)=0)+(LEN(H949)=0)+(LEN(I949)=0)+(LEN(J949)=0)+(LEN(K949)=0)+(LEN(L949)=0)+(LEN(N949)=0)+(LEN(O949)=0)+(LEN(P949)=0)+(LEN(R949)=0)+(LEN(AA949)=0))</f>
        <v/>
      </c>
      <c r="AD949" s="19">
        <f>IF(OR(LEN(A949)=0,LEN(C949)=0),0,IF(OR(C949&lt;1,C949&gt;5),1,0))</f>
        <v/>
      </c>
      <c r="AE949" s="19">
        <f>IF(OR(LEN(A949)=0,LEN(R949)=0),0,IF(OR(R949="Active",R949="Paid off",R949="Defaulted",R949="Repossessed",R949="Written off",R949="Restructured"),0,1))</f>
        <v/>
      </c>
      <c r="AF949" s="19">
        <f>IF(A949="",0,IF(N(J949)&gt;N(I949),1,0))</f>
        <v/>
      </c>
      <c r="AG949" s="19">
        <f>IF(A949="",0,IF(N(N949)&gt;N(M949)+1,1,0))</f>
        <v/>
      </c>
      <c r="AH949" s="19">
        <f>IF(A949="",0,IF(N(E949)&gt;N(B949),1,0))</f>
        <v/>
      </c>
      <c r="AI949" s="19">
        <f>IF(A949="",0,IF(AND(Z949="Full payment",N(N949)&lt;N(M949)-1),1,0))</f>
        <v/>
      </c>
      <c r="AJ949" s="19">
        <f>IF(A949="",0,IF(N(P949)&lt;0,1,0))</f>
        <v/>
      </c>
      <c r="AK949" s="19">
        <f>IF(A949="",0,IF(COUNTIF($A$7:$A$1006,A949)&gt;1,1,0))</f>
        <v/>
      </c>
    </row>
    <row r="950">
      <c r="A950" s="10" t="n"/>
      <c r="B950" s="17" t="n"/>
      <c r="C950" s="18" t="n"/>
      <c r="D950" s="10" t="n"/>
      <c r="E950" s="17" t="n"/>
      <c r="F950" s="10" t="n"/>
      <c r="G950" s="10" t="n"/>
      <c r="H950" s="10" t="n"/>
      <c r="I950" s="18" t="n"/>
      <c r="J950" s="18" t="n"/>
      <c r="K950" s="18" t="n"/>
      <c r="L950" s="18" t="n"/>
      <c r="M950" s="19">
        <f>IF(K950="","",K950*365/12*L950)</f>
        <v/>
      </c>
      <c r="N950" s="18" t="n"/>
      <c r="O950" s="18" t="n"/>
      <c r="P950" s="18" t="n"/>
      <c r="Q950" s="18" t="n"/>
      <c r="R950" s="10" t="n"/>
      <c r="S950" s="17" t="n"/>
      <c r="T950" s="18" t="n"/>
      <c r="U950" s="17" t="n"/>
      <c r="V950" s="17" t="n"/>
      <c r="W950" s="18" t="n"/>
      <c r="X950" s="18" t="n"/>
      <c r="Y950" s="17" t="n"/>
      <c r="Z950" s="10" t="n"/>
      <c r="AA950" s="10" t="n"/>
      <c r="AB950" s="19">
        <f>IF(LEN(A950)&gt;0,1,0)</f>
        <v/>
      </c>
      <c r="AC950" s="19">
        <f>IF(LEN(A950)=0,0,(LEN(B950)=0)+(LEN(C950)=0)+(LEN(D950)=0)+(LEN(E950)=0)+(LEN(F950)=0)+(LEN(G950)=0)+(LEN(H950)=0)+(LEN(I950)=0)+(LEN(J950)=0)+(LEN(K950)=0)+(LEN(L950)=0)+(LEN(N950)=0)+(LEN(O950)=0)+(LEN(P950)=0)+(LEN(R950)=0)+(LEN(AA950)=0))</f>
        <v/>
      </c>
      <c r="AD950" s="19">
        <f>IF(OR(LEN(A950)=0,LEN(C950)=0),0,IF(OR(C950&lt;1,C950&gt;5),1,0))</f>
        <v/>
      </c>
      <c r="AE950" s="19">
        <f>IF(OR(LEN(A950)=0,LEN(R950)=0),0,IF(OR(R950="Active",R950="Paid off",R950="Defaulted",R950="Repossessed",R950="Written off",R950="Restructured"),0,1))</f>
        <v/>
      </c>
      <c r="AF950" s="19">
        <f>IF(A950="",0,IF(N(J950)&gt;N(I950),1,0))</f>
        <v/>
      </c>
      <c r="AG950" s="19">
        <f>IF(A950="",0,IF(N(N950)&gt;N(M950)+1,1,0))</f>
        <v/>
      </c>
      <c r="AH950" s="19">
        <f>IF(A950="",0,IF(N(E950)&gt;N(B950),1,0))</f>
        <v/>
      </c>
      <c r="AI950" s="19">
        <f>IF(A950="",0,IF(AND(Z950="Full payment",N(N950)&lt;N(M950)-1),1,0))</f>
        <v/>
      </c>
      <c r="AJ950" s="19">
        <f>IF(A950="",0,IF(N(P950)&lt;0,1,0))</f>
        <v/>
      </c>
      <c r="AK950" s="19">
        <f>IF(A950="",0,IF(COUNTIF($A$7:$A$1006,A950)&gt;1,1,0))</f>
        <v/>
      </c>
    </row>
    <row r="951">
      <c r="A951" s="10" t="n"/>
      <c r="B951" s="17" t="n"/>
      <c r="C951" s="18" t="n"/>
      <c r="D951" s="10" t="n"/>
      <c r="E951" s="17" t="n"/>
      <c r="F951" s="10" t="n"/>
      <c r="G951" s="10" t="n"/>
      <c r="H951" s="10" t="n"/>
      <c r="I951" s="18" t="n"/>
      <c r="J951" s="18" t="n"/>
      <c r="K951" s="18" t="n"/>
      <c r="L951" s="18" t="n"/>
      <c r="M951" s="19">
        <f>IF(K951="","",K951*365/12*L951)</f>
        <v/>
      </c>
      <c r="N951" s="18" t="n"/>
      <c r="O951" s="18" t="n"/>
      <c r="P951" s="18" t="n"/>
      <c r="Q951" s="18" t="n"/>
      <c r="R951" s="10" t="n"/>
      <c r="S951" s="17" t="n"/>
      <c r="T951" s="18" t="n"/>
      <c r="U951" s="17" t="n"/>
      <c r="V951" s="17" t="n"/>
      <c r="W951" s="18" t="n"/>
      <c r="X951" s="18" t="n"/>
      <c r="Y951" s="17" t="n"/>
      <c r="Z951" s="10" t="n"/>
      <c r="AA951" s="10" t="n"/>
      <c r="AB951" s="19">
        <f>IF(LEN(A951)&gt;0,1,0)</f>
        <v/>
      </c>
      <c r="AC951" s="19">
        <f>IF(LEN(A951)=0,0,(LEN(B951)=0)+(LEN(C951)=0)+(LEN(D951)=0)+(LEN(E951)=0)+(LEN(F951)=0)+(LEN(G951)=0)+(LEN(H951)=0)+(LEN(I951)=0)+(LEN(J951)=0)+(LEN(K951)=0)+(LEN(L951)=0)+(LEN(N951)=0)+(LEN(O951)=0)+(LEN(P951)=0)+(LEN(R951)=0)+(LEN(AA951)=0))</f>
        <v/>
      </c>
      <c r="AD951" s="19">
        <f>IF(OR(LEN(A951)=0,LEN(C951)=0),0,IF(OR(C951&lt;1,C951&gt;5),1,0))</f>
        <v/>
      </c>
      <c r="AE951" s="19">
        <f>IF(OR(LEN(A951)=0,LEN(R951)=0),0,IF(OR(R951="Active",R951="Paid off",R951="Defaulted",R951="Repossessed",R951="Written off",R951="Restructured"),0,1))</f>
        <v/>
      </c>
      <c r="AF951" s="19">
        <f>IF(A951="",0,IF(N(J951)&gt;N(I951),1,0))</f>
        <v/>
      </c>
      <c r="AG951" s="19">
        <f>IF(A951="",0,IF(N(N951)&gt;N(M951)+1,1,0))</f>
        <v/>
      </c>
      <c r="AH951" s="19">
        <f>IF(A951="",0,IF(N(E951)&gt;N(B951),1,0))</f>
        <v/>
      </c>
      <c r="AI951" s="19">
        <f>IF(A951="",0,IF(AND(Z951="Full payment",N(N951)&lt;N(M951)-1),1,0))</f>
        <v/>
      </c>
      <c r="AJ951" s="19">
        <f>IF(A951="",0,IF(N(P951)&lt;0,1,0))</f>
        <v/>
      </c>
      <c r="AK951" s="19">
        <f>IF(A951="",0,IF(COUNTIF($A$7:$A$1006,A951)&gt;1,1,0))</f>
        <v/>
      </c>
    </row>
    <row r="952">
      <c r="A952" s="10" t="n"/>
      <c r="B952" s="17" t="n"/>
      <c r="C952" s="18" t="n"/>
      <c r="D952" s="10" t="n"/>
      <c r="E952" s="17" t="n"/>
      <c r="F952" s="10" t="n"/>
      <c r="G952" s="10" t="n"/>
      <c r="H952" s="10" t="n"/>
      <c r="I952" s="18" t="n"/>
      <c r="J952" s="18" t="n"/>
      <c r="K952" s="18" t="n"/>
      <c r="L952" s="18" t="n"/>
      <c r="M952" s="19">
        <f>IF(K952="","",K952*365/12*L952)</f>
        <v/>
      </c>
      <c r="N952" s="18" t="n"/>
      <c r="O952" s="18" t="n"/>
      <c r="P952" s="18" t="n"/>
      <c r="Q952" s="18" t="n"/>
      <c r="R952" s="10" t="n"/>
      <c r="S952" s="17" t="n"/>
      <c r="T952" s="18" t="n"/>
      <c r="U952" s="17" t="n"/>
      <c r="V952" s="17" t="n"/>
      <c r="W952" s="18" t="n"/>
      <c r="X952" s="18" t="n"/>
      <c r="Y952" s="17" t="n"/>
      <c r="Z952" s="10" t="n"/>
      <c r="AA952" s="10" t="n"/>
      <c r="AB952" s="19">
        <f>IF(LEN(A952)&gt;0,1,0)</f>
        <v/>
      </c>
      <c r="AC952" s="19">
        <f>IF(LEN(A952)=0,0,(LEN(B952)=0)+(LEN(C952)=0)+(LEN(D952)=0)+(LEN(E952)=0)+(LEN(F952)=0)+(LEN(G952)=0)+(LEN(H952)=0)+(LEN(I952)=0)+(LEN(J952)=0)+(LEN(K952)=0)+(LEN(L952)=0)+(LEN(N952)=0)+(LEN(O952)=0)+(LEN(P952)=0)+(LEN(R952)=0)+(LEN(AA952)=0))</f>
        <v/>
      </c>
      <c r="AD952" s="19">
        <f>IF(OR(LEN(A952)=0,LEN(C952)=0),0,IF(OR(C952&lt;1,C952&gt;5),1,0))</f>
        <v/>
      </c>
      <c r="AE952" s="19">
        <f>IF(OR(LEN(A952)=0,LEN(R952)=0),0,IF(OR(R952="Active",R952="Paid off",R952="Defaulted",R952="Repossessed",R952="Written off",R952="Restructured"),0,1))</f>
        <v/>
      </c>
      <c r="AF952" s="19">
        <f>IF(A952="",0,IF(N(J952)&gt;N(I952),1,0))</f>
        <v/>
      </c>
      <c r="AG952" s="19">
        <f>IF(A952="",0,IF(N(N952)&gt;N(M952)+1,1,0))</f>
        <v/>
      </c>
      <c r="AH952" s="19">
        <f>IF(A952="",0,IF(N(E952)&gt;N(B952),1,0))</f>
        <v/>
      </c>
      <c r="AI952" s="19">
        <f>IF(A952="",0,IF(AND(Z952="Full payment",N(N952)&lt;N(M952)-1),1,0))</f>
        <v/>
      </c>
      <c r="AJ952" s="19">
        <f>IF(A952="",0,IF(N(P952)&lt;0,1,0))</f>
        <v/>
      </c>
      <c r="AK952" s="19">
        <f>IF(A952="",0,IF(COUNTIF($A$7:$A$1006,A952)&gt;1,1,0))</f>
        <v/>
      </c>
    </row>
    <row r="953">
      <c r="A953" s="10" t="n"/>
      <c r="B953" s="17" t="n"/>
      <c r="C953" s="18" t="n"/>
      <c r="D953" s="10" t="n"/>
      <c r="E953" s="17" t="n"/>
      <c r="F953" s="10" t="n"/>
      <c r="G953" s="10" t="n"/>
      <c r="H953" s="10" t="n"/>
      <c r="I953" s="18" t="n"/>
      <c r="J953" s="18" t="n"/>
      <c r="K953" s="18" t="n"/>
      <c r="L953" s="18" t="n"/>
      <c r="M953" s="19">
        <f>IF(K953="","",K953*365/12*L953)</f>
        <v/>
      </c>
      <c r="N953" s="18" t="n"/>
      <c r="O953" s="18" t="n"/>
      <c r="P953" s="18" t="n"/>
      <c r="Q953" s="18" t="n"/>
      <c r="R953" s="10" t="n"/>
      <c r="S953" s="17" t="n"/>
      <c r="T953" s="18" t="n"/>
      <c r="U953" s="17" t="n"/>
      <c r="V953" s="17" t="n"/>
      <c r="W953" s="18" t="n"/>
      <c r="X953" s="18" t="n"/>
      <c r="Y953" s="17" t="n"/>
      <c r="Z953" s="10" t="n"/>
      <c r="AA953" s="10" t="n"/>
      <c r="AB953" s="19">
        <f>IF(LEN(A953)&gt;0,1,0)</f>
        <v/>
      </c>
      <c r="AC953" s="19">
        <f>IF(LEN(A953)=0,0,(LEN(B953)=0)+(LEN(C953)=0)+(LEN(D953)=0)+(LEN(E953)=0)+(LEN(F953)=0)+(LEN(G953)=0)+(LEN(H953)=0)+(LEN(I953)=0)+(LEN(J953)=0)+(LEN(K953)=0)+(LEN(L953)=0)+(LEN(N953)=0)+(LEN(O953)=0)+(LEN(P953)=0)+(LEN(R953)=0)+(LEN(AA953)=0))</f>
        <v/>
      </c>
      <c r="AD953" s="19">
        <f>IF(OR(LEN(A953)=0,LEN(C953)=0),0,IF(OR(C953&lt;1,C953&gt;5),1,0))</f>
        <v/>
      </c>
      <c r="AE953" s="19">
        <f>IF(OR(LEN(A953)=0,LEN(R953)=0),0,IF(OR(R953="Active",R953="Paid off",R953="Defaulted",R953="Repossessed",R953="Written off",R953="Restructured"),0,1))</f>
        <v/>
      </c>
      <c r="AF953" s="19">
        <f>IF(A953="",0,IF(N(J953)&gt;N(I953),1,0))</f>
        <v/>
      </c>
      <c r="AG953" s="19">
        <f>IF(A953="",0,IF(N(N953)&gt;N(M953)+1,1,0))</f>
        <v/>
      </c>
      <c r="AH953" s="19">
        <f>IF(A953="",0,IF(N(E953)&gt;N(B953),1,0))</f>
        <v/>
      </c>
      <c r="AI953" s="19">
        <f>IF(A953="",0,IF(AND(Z953="Full payment",N(N953)&lt;N(M953)-1),1,0))</f>
        <v/>
      </c>
      <c r="AJ953" s="19">
        <f>IF(A953="",0,IF(N(P953)&lt;0,1,0))</f>
        <v/>
      </c>
      <c r="AK953" s="19">
        <f>IF(A953="",0,IF(COUNTIF($A$7:$A$1006,A953)&gt;1,1,0))</f>
        <v/>
      </c>
    </row>
    <row r="954">
      <c r="A954" s="10" t="n"/>
      <c r="B954" s="17" t="n"/>
      <c r="C954" s="18" t="n"/>
      <c r="D954" s="10" t="n"/>
      <c r="E954" s="17" t="n"/>
      <c r="F954" s="10" t="n"/>
      <c r="G954" s="10" t="n"/>
      <c r="H954" s="10" t="n"/>
      <c r="I954" s="18" t="n"/>
      <c r="J954" s="18" t="n"/>
      <c r="K954" s="18" t="n"/>
      <c r="L954" s="18" t="n"/>
      <c r="M954" s="19">
        <f>IF(K954="","",K954*365/12*L954)</f>
        <v/>
      </c>
      <c r="N954" s="18" t="n"/>
      <c r="O954" s="18" t="n"/>
      <c r="P954" s="18" t="n"/>
      <c r="Q954" s="18" t="n"/>
      <c r="R954" s="10" t="n"/>
      <c r="S954" s="17" t="n"/>
      <c r="T954" s="18" t="n"/>
      <c r="U954" s="17" t="n"/>
      <c r="V954" s="17" t="n"/>
      <c r="W954" s="18" t="n"/>
      <c r="X954" s="18" t="n"/>
      <c r="Y954" s="17" t="n"/>
      <c r="Z954" s="10" t="n"/>
      <c r="AA954" s="10" t="n"/>
      <c r="AB954" s="19">
        <f>IF(LEN(A954)&gt;0,1,0)</f>
        <v/>
      </c>
      <c r="AC954" s="19">
        <f>IF(LEN(A954)=0,0,(LEN(B954)=0)+(LEN(C954)=0)+(LEN(D954)=0)+(LEN(E954)=0)+(LEN(F954)=0)+(LEN(G954)=0)+(LEN(H954)=0)+(LEN(I954)=0)+(LEN(J954)=0)+(LEN(K954)=0)+(LEN(L954)=0)+(LEN(N954)=0)+(LEN(O954)=0)+(LEN(P954)=0)+(LEN(R954)=0)+(LEN(AA954)=0))</f>
        <v/>
      </c>
      <c r="AD954" s="19">
        <f>IF(OR(LEN(A954)=0,LEN(C954)=0),0,IF(OR(C954&lt;1,C954&gt;5),1,0))</f>
        <v/>
      </c>
      <c r="AE954" s="19">
        <f>IF(OR(LEN(A954)=0,LEN(R954)=0),0,IF(OR(R954="Active",R954="Paid off",R954="Defaulted",R954="Repossessed",R954="Written off",R954="Restructured"),0,1))</f>
        <v/>
      </c>
      <c r="AF954" s="19">
        <f>IF(A954="",0,IF(N(J954)&gt;N(I954),1,0))</f>
        <v/>
      </c>
      <c r="AG954" s="19">
        <f>IF(A954="",0,IF(N(N954)&gt;N(M954)+1,1,0))</f>
        <v/>
      </c>
      <c r="AH954" s="19">
        <f>IF(A954="",0,IF(N(E954)&gt;N(B954),1,0))</f>
        <v/>
      </c>
      <c r="AI954" s="19">
        <f>IF(A954="",0,IF(AND(Z954="Full payment",N(N954)&lt;N(M954)-1),1,0))</f>
        <v/>
      </c>
      <c r="AJ954" s="19">
        <f>IF(A954="",0,IF(N(P954)&lt;0,1,0))</f>
        <v/>
      </c>
      <c r="AK954" s="19">
        <f>IF(A954="",0,IF(COUNTIF($A$7:$A$1006,A954)&gt;1,1,0))</f>
        <v/>
      </c>
    </row>
    <row r="955">
      <c r="A955" s="10" t="n"/>
      <c r="B955" s="17" t="n"/>
      <c r="C955" s="18" t="n"/>
      <c r="D955" s="10" t="n"/>
      <c r="E955" s="17" t="n"/>
      <c r="F955" s="10" t="n"/>
      <c r="G955" s="10" t="n"/>
      <c r="H955" s="10" t="n"/>
      <c r="I955" s="18" t="n"/>
      <c r="J955" s="18" t="n"/>
      <c r="K955" s="18" t="n"/>
      <c r="L955" s="18" t="n"/>
      <c r="M955" s="19">
        <f>IF(K955="","",K955*365/12*L955)</f>
        <v/>
      </c>
      <c r="N955" s="18" t="n"/>
      <c r="O955" s="18" t="n"/>
      <c r="P955" s="18" t="n"/>
      <c r="Q955" s="18" t="n"/>
      <c r="R955" s="10" t="n"/>
      <c r="S955" s="17" t="n"/>
      <c r="T955" s="18" t="n"/>
      <c r="U955" s="17" t="n"/>
      <c r="V955" s="17" t="n"/>
      <c r="W955" s="18" t="n"/>
      <c r="X955" s="18" t="n"/>
      <c r="Y955" s="17" t="n"/>
      <c r="Z955" s="10" t="n"/>
      <c r="AA955" s="10" t="n"/>
      <c r="AB955" s="19">
        <f>IF(LEN(A955)&gt;0,1,0)</f>
        <v/>
      </c>
      <c r="AC955" s="19">
        <f>IF(LEN(A955)=0,0,(LEN(B955)=0)+(LEN(C955)=0)+(LEN(D955)=0)+(LEN(E955)=0)+(LEN(F955)=0)+(LEN(G955)=0)+(LEN(H955)=0)+(LEN(I955)=0)+(LEN(J955)=0)+(LEN(K955)=0)+(LEN(L955)=0)+(LEN(N955)=0)+(LEN(O955)=0)+(LEN(P955)=0)+(LEN(R955)=0)+(LEN(AA955)=0))</f>
        <v/>
      </c>
      <c r="AD955" s="19">
        <f>IF(OR(LEN(A955)=0,LEN(C955)=0),0,IF(OR(C955&lt;1,C955&gt;5),1,0))</f>
        <v/>
      </c>
      <c r="AE955" s="19">
        <f>IF(OR(LEN(A955)=0,LEN(R955)=0),0,IF(OR(R955="Active",R955="Paid off",R955="Defaulted",R955="Repossessed",R955="Written off",R955="Restructured"),0,1))</f>
        <v/>
      </c>
      <c r="AF955" s="19">
        <f>IF(A955="",0,IF(N(J955)&gt;N(I955),1,0))</f>
        <v/>
      </c>
      <c r="AG955" s="19">
        <f>IF(A955="",0,IF(N(N955)&gt;N(M955)+1,1,0))</f>
        <v/>
      </c>
      <c r="AH955" s="19">
        <f>IF(A955="",0,IF(N(E955)&gt;N(B955),1,0))</f>
        <v/>
      </c>
      <c r="AI955" s="19">
        <f>IF(A955="",0,IF(AND(Z955="Full payment",N(N955)&lt;N(M955)-1),1,0))</f>
        <v/>
      </c>
      <c r="AJ955" s="19">
        <f>IF(A955="",0,IF(N(P955)&lt;0,1,0))</f>
        <v/>
      </c>
      <c r="AK955" s="19">
        <f>IF(A955="",0,IF(COUNTIF($A$7:$A$1006,A955)&gt;1,1,0))</f>
        <v/>
      </c>
    </row>
    <row r="956">
      <c r="A956" s="10" t="n"/>
      <c r="B956" s="17" t="n"/>
      <c r="C956" s="18" t="n"/>
      <c r="D956" s="10" t="n"/>
      <c r="E956" s="17" t="n"/>
      <c r="F956" s="10" t="n"/>
      <c r="G956" s="10" t="n"/>
      <c r="H956" s="10" t="n"/>
      <c r="I956" s="18" t="n"/>
      <c r="J956" s="18" t="n"/>
      <c r="K956" s="18" t="n"/>
      <c r="L956" s="18" t="n"/>
      <c r="M956" s="19">
        <f>IF(K956="","",K956*365/12*L956)</f>
        <v/>
      </c>
      <c r="N956" s="18" t="n"/>
      <c r="O956" s="18" t="n"/>
      <c r="P956" s="18" t="n"/>
      <c r="Q956" s="18" t="n"/>
      <c r="R956" s="10" t="n"/>
      <c r="S956" s="17" t="n"/>
      <c r="T956" s="18" t="n"/>
      <c r="U956" s="17" t="n"/>
      <c r="V956" s="17" t="n"/>
      <c r="W956" s="18" t="n"/>
      <c r="X956" s="18" t="n"/>
      <c r="Y956" s="17" t="n"/>
      <c r="Z956" s="10" t="n"/>
      <c r="AA956" s="10" t="n"/>
      <c r="AB956" s="19">
        <f>IF(LEN(A956)&gt;0,1,0)</f>
        <v/>
      </c>
      <c r="AC956" s="19">
        <f>IF(LEN(A956)=0,0,(LEN(B956)=0)+(LEN(C956)=0)+(LEN(D956)=0)+(LEN(E956)=0)+(LEN(F956)=0)+(LEN(G956)=0)+(LEN(H956)=0)+(LEN(I956)=0)+(LEN(J956)=0)+(LEN(K956)=0)+(LEN(L956)=0)+(LEN(N956)=0)+(LEN(O956)=0)+(LEN(P956)=0)+(LEN(R956)=0)+(LEN(AA956)=0))</f>
        <v/>
      </c>
      <c r="AD956" s="19">
        <f>IF(OR(LEN(A956)=0,LEN(C956)=0),0,IF(OR(C956&lt;1,C956&gt;5),1,0))</f>
        <v/>
      </c>
      <c r="AE956" s="19">
        <f>IF(OR(LEN(A956)=0,LEN(R956)=0),0,IF(OR(R956="Active",R956="Paid off",R956="Defaulted",R956="Repossessed",R956="Written off",R956="Restructured"),0,1))</f>
        <v/>
      </c>
      <c r="AF956" s="19">
        <f>IF(A956="",0,IF(N(J956)&gt;N(I956),1,0))</f>
        <v/>
      </c>
      <c r="AG956" s="19">
        <f>IF(A956="",0,IF(N(N956)&gt;N(M956)+1,1,0))</f>
        <v/>
      </c>
      <c r="AH956" s="19">
        <f>IF(A956="",0,IF(N(E956)&gt;N(B956),1,0))</f>
        <v/>
      </c>
      <c r="AI956" s="19">
        <f>IF(A956="",0,IF(AND(Z956="Full payment",N(N956)&lt;N(M956)-1),1,0))</f>
        <v/>
      </c>
      <c r="AJ956" s="19">
        <f>IF(A956="",0,IF(N(P956)&lt;0,1,0))</f>
        <v/>
      </c>
      <c r="AK956" s="19">
        <f>IF(A956="",0,IF(COUNTIF($A$7:$A$1006,A956)&gt;1,1,0))</f>
        <v/>
      </c>
    </row>
    <row r="957">
      <c r="A957" s="10" t="n"/>
      <c r="B957" s="17" t="n"/>
      <c r="C957" s="18" t="n"/>
      <c r="D957" s="10" t="n"/>
      <c r="E957" s="17" t="n"/>
      <c r="F957" s="10" t="n"/>
      <c r="G957" s="10" t="n"/>
      <c r="H957" s="10" t="n"/>
      <c r="I957" s="18" t="n"/>
      <c r="J957" s="18" t="n"/>
      <c r="K957" s="18" t="n"/>
      <c r="L957" s="18" t="n"/>
      <c r="M957" s="19">
        <f>IF(K957="","",K957*365/12*L957)</f>
        <v/>
      </c>
      <c r="N957" s="18" t="n"/>
      <c r="O957" s="18" t="n"/>
      <c r="P957" s="18" t="n"/>
      <c r="Q957" s="18" t="n"/>
      <c r="R957" s="10" t="n"/>
      <c r="S957" s="17" t="n"/>
      <c r="T957" s="18" t="n"/>
      <c r="U957" s="17" t="n"/>
      <c r="V957" s="17" t="n"/>
      <c r="W957" s="18" t="n"/>
      <c r="X957" s="18" t="n"/>
      <c r="Y957" s="17" t="n"/>
      <c r="Z957" s="10" t="n"/>
      <c r="AA957" s="10" t="n"/>
      <c r="AB957" s="19">
        <f>IF(LEN(A957)&gt;0,1,0)</f>
        <v/>
      </c>
      <c r="AC957" s="19">
        <f>IF(LEN(A957)=0,0,(LEN(B957)=0)+(LEN(C957)=0)+(LEN(D957)=0)+(LEN(E957)=0)+(LEN(F957)=0)+(LEN(G957)=0)+(LEN(H957)=0)+(LEN(I957)=0)+(LEN(J957)=0)+(LEN(K957)=0)+(LEN(L957)=0)+(LEN(N957)=0)+(LEN(O957)=0)+(LEN(P957)=0)+(LEN(R957)=0)+(LEN(AA957)=0))</f>
        <v/>
      </c>
      <c r="AD957" s="19">
        <f>IF(OR(LEN(A957)=0,LEN(C957)=0),0,IF(OR(C957&lt;1,C957&gt;5),1,0))</f>
        <v/>
      </c>
      <c r="AE957" s="19">
        <f>IF(OR(LEN(A957)=0,LEN(R957)=0),0,IF(OR(R957="Active",R957="Paid off",R957="Defaulted",R957="Repossessed",R957="Written off",R957="Restructured"),0,1))</f>
        <v/>
      </c>
      <c r="AF957" s="19">
        <f>IF(A957="",0,IF(N(J957)&gt;N(I957),1,0))</f>
        <v/>
      </c>
      <c r="AG957" s="19">
        <f>IF(A957="",0,IF(N(N957)&gt;N(M957)+1,1,0))</f>
        <v/>
      </c>
      <c r="AH957" s="19">
        <f>IF(A957="",0,IF(N(E957)&gt;N(B957),1,0))</f>
        <v/>
      </c>
      <c r="AI957" s="19">
        <f>IF(A957="",0,IF(AND(Z957="Full payment",N(N957)&lt;N(M957)-1),1,0))</f>
        <v/>
      </c>
      <c r="AJ957" s="19">
        <f>IF(A957="",0,IF(N(P957)&lt;0,1,0))</f>
        <v/>
      </c>
      <c r="AK957" s="19">
        <f>IF(A957="",0,IF(COUNTIF($A$7:$A$1006,A957)&gt;1,1,0))</f>
        <v/>
      </c>
    </row>
    <row r="958">
      <c r="A958" s="10" t="n"/>
      <c r="B958" s="17" t="n"/>
      <c r="C958" s="18" t="n"/>
      <c r="D958" s="10" t="n"/>
      <c r="E958" s="17" t="n"/>
      <c r="F958" s="10" t="n"/>
      <c r="G958" s="10" t="n"/>
      <c r="H958" s="10" t="n"/>
      <c r="I958" s="18" t="n"/>
      <c r="J958" s="18" t="n"/>
      <c r="K958" s="18" t="n"/>
      <c r="L958" s="18" t="n"/>
      <c r="M958" s="19">
        <f>IF(K958="","",K958*365/12*L958)</f>
        <v/>
      </c>
      <c r="N958" s="18" t="n"/>
      <c r="O958" s="18" t="n"/>
      <c r="P958" s="18" t="n"/>
      <c r="Q958" s="18" t="n"/>
      <c r="R958" s="10" t="n"/>
      <c r="S958" s="17" t="n"/>
      <c r="T958" s="18" t="n"/>
      <c r="U958" s="17" t="n"/>
      <c r="V958" s="17" t="n"/>
      <c r="W958" s="18" t="n"/>
      <c r="X958" s="18" t="n"/>
      <c r="Y958" s="17" t="n"/>
      <c r="Z958" s="10" t="n"/>
      <c r="AA958" s="10" t="n"/>
      <c r="AB958" s="19">
        <f>IF(LEN(A958)&gt;0,1,0)</f>
        <v/>
      </c>
      <c r="AC958" s="19">
        <f>IF(LEN(A958)=0,0,(LEN(B958)=0)+(LEN(C958)=0)+(LEN(D958)=0)+(LEN(E958)=0)+(LEN(F958)=0)+(LEN(G958)=0)+(LEN(H958)=0)+(LEN(I958)=0)+(LEN(J958)=0)+(LEN(K958)=0)+(LEN(L958)=0)+(LEN(N958)=0)+(LEN(O958)=0)+(LEN(P958)=0)+(LEN(R958)=0)+(LEN(AA958)=0))</f>
        <v/>
      </c>
      <c r="AD958" s="19">
        <f>IF(OR(LEN(A958)=0,LEN(C958)=0),0,IF(OR(C958&lt;1,C958&gt;5),1,0))</f>
        <v/>
      </c>
      <c r="AE958" s="19">
        <f>IF(OR(LEN(A958)=0,LEN(R958)=0),0,IF(OR(R958="Active",R958="Paid off",R958="Defaulted",R958="Repossessed",R958="Written off",R958="Restructured"),0,1))</f>
        <v/>
      </c>
      <c r="AF958" s="19">
        <f>IF(A958="",0,IF(N(J958)&gt;N(I958),1,0))</f>
        <v/>
      </c>
      <c r="AG958" s="19">
        <f>IF(A958="",0,IF(N(N958)&gt;N(M958)+1,1,0))</f>
        <v/>
      </c>
      <c r="AH958" s="19">
        <f>IF(A958="",0,IF(N(E958)&gt;N(B958),1,0))</f>
        <v/>
      </c>
      <c r="AI958" s="19">
        <f>IF(A958="",0,IF(AND(Z958="Full payment",N(N958)&lt;N(M958)-1),1,0))</f>
        <v/>
      </c>
      <c r="AJ958" s="19">
        <f>IF(A958="",0,IF(N(P958)&lt;0,1,0))</f>
        <v/>
      </c>
      <c r="AK958" s="19">
        <f>IF(A958="",0,IF(COUNTIF($A$7:$A$1006,A958)&gt;1,1,0))</f>
        <v/>
      </c>
    </row>
    <row r="959">
      <c r="A959" s="10" t="n"/>
      <c r="B959" s="17" t="n"/>
      <c r="C959" s="18" t="n"/>
      <c r="D959" s="10" t="n"/>
      <c r="E959" s="17" t="n"/>
      <c r="F959" s="10" t="n"/>
      <c r="G959" s="10" t="n"/>
      <c r="H959" s="10" t="n"/>
      <c r="I959" s="18" t="n"/>
      <c r="J959" s="18" t="n"/>
      <c r="K959" s="18" t="n"/>
      <c r="L959" s="18" t="n"/>
      <c r="M959" s="19">
        <f>IF(K959="","",K959*365/12*L959)</f>
        <v/>
      </c>
      <c r="N959" s="18" t="n"/>
      <c r="O959" s="18" t="n"/>
      <c r="P959" s="18" t="n"/>
      <c r="Q959" s="18" t="n"/>
      <c r="R959" s="10" t="n"/>
      <c r="S959" s="17" t="n"/>
      <c r="T959" s="18" t="n"/>
      <c r="U959" s="17" t="n"/>
      <c r="V959" s="17" t="n"/>
      <c r="W959" s="18" t="n"/>
      <c r="X959" s="18" t="n"/>
      <c r="Y959" s="17" t="n"/>
      <c r="Z959" s="10" t="n"/>
      <c r="AA959" s="10" t="n"/>
      <c r="AB959" s="19">
        <f>IF(LEN(A959)&gt;0,1,0)</f>
        <v/>
      </c>
      <c r="AC959" s="19">
        <f>IF(LEN(A959)=0,0,(LEN(B959)=0)+(LEN(C959)=0)+(LEN(D959)=0)+(LEN(E959)=0)+(LEN(F959)=0)+(LEN(G959)=0)+(LEN(H959)=0)+(LEN(I959)=0)+(LEN(J959)=0)+(LEN(K959)=0)+(LEN(L959)=0)+(LEN(N959)=0)+(LEN(O959)=0)+(LEN(P959)=0)+(LEN(R959)=0)+(LEN(AA959)=0))</f>
        <v/>
      </c>
      <c r="AD959" s="19">
        <f>IF(OR(LEN(A959)=0,LEN(C959)=0),0,IF(OR(C959&lt;1,C959&gt;5),1,0))</f>
        <v/>
      </c>
      <c r="AE959" s="19">
        <f>IF(OR(LEN(A959)=0,LEN(R959)=0),0,IF(OR(R959="Active",R959="Paid off",R959="Defaulted",R959="Repossessed",R959="Written off",R959="Restructured"),0,1))</f>
        <v/>
      </c>
      <c r="AF959" s="19">
        <f>IF(A959="",0,IF(N(J959)&gt;N(I959),1,0))</f>
        <v/>
      </c>
      <c r="AG959" s="19">
        <f>IF(A959="",0,IF(N(N959)&gt;N(M959)+1,1,0))</f>
        <v/>
      </c>
      <c r="AH959" s="19">
        <f>IF(A959="",0,IF(N(E959)&gt;N(B959),1,0))</f>
        <v/>
      </c>
      <c r="AI959" s="19">
        <f>IF(A959="",0,IF(AND(Z959="Full payment",N(N959)&lt;N(M959)-1),1,0))</f>
        <v/>
      </c>
      <c r="AJ959" s="19">
        <f>IF(A959="",0,IF(N(P959)&lt;0,1,0))</f>
        <v/>
      </c>
      <c r="AK959" s="19">
        <f>IF(A959="",0,IF(COUNTIF($A$7:$A$1006,A959)&gt;1,1,0))</f>
        <v/>
      </c>
    </row>
    <row r="960">
      <c r="A960" s="10" t="n"/>
      <c r="B960" s="17" t="n"/>
      <c r="C960" s="18" t="n"/>
      <c r="D960" s="10" t="n"/>
      <c r="E960" s="17" t="n"/>
      <c r="F960" s="10" t="n"/>
      <c r="G960" s="10" t="n"/>
      <c r="H960" s="10" t="n"/>
      <c r="I960" s="18" t="n"/>
      <c r="J960" s="18" t="n"/>
      <c r="K960" s="18" t="n"/>
      <c r="L960" s="18" t="n"/>
      <c r="M960" s="19">
        <f>IF(K960="","",K960*365/12*L960)</f>
        <v/>
      </c>
      <c r="N960" s="18" t="n"/>
      <c r="O960" s="18" t="n"/>
      <c r="P960" s="18" t="n"/>
      <c r="Q960" s="18" t="n"/>
      <c r="R960" s="10" t="n"/>
      <c r="S960" s="17" t="n"/>
      <c r="T960" s="18" t="n"/>
      <c r="U960" s="17" t="n"/>
      <c r="V960" s="17" t="n"/>
      <c r="W960" s="18" t="n"/>
      <c r="X960" s="18" t="n"/>
      <c r="Y960" s="17" t="n"/>
      <c r="Z960" s="10" t="n"/>
      <c r="AA960" s="10" t="n"/>
      <c r="AB960" s="19">
        <f>IF(LEN(A960)&gt;0,1,0)</f>
        <v/>
      </c>
      <c r="AC960" s="19">
        <f>IF(LEN(A960)=0,0,(LEN(B960)=0)+(LEN(C960)=0)+(LEN(D960)=0)+(LEN(E960)=0)+(LEN(F960)=0)+(LEN(G960)=0)+(LEN(H960)=0)+(LEN(I960)=0)+(LEN(J960)=0)+(LEN(K960)=0)+(LEN(L960)=0)+(LEN(N960)=0)+(LEN(O960)=0)+(LEN(P960)=0)+(LEN(R960)=0)+(LEN(AA960)=0))</f>
        <v/>
      </c>
      <c r="AD960" s="19">
        <f>IF(OR(LEN(A960)=0,LEN(C960)=0),0,IF(OR(C960&lt;1,C960&gt;5),1,0))</f>
        <v/>
      </c>
      <c r="AE960" s="19">
        <f>IF(OR(LEN(A960)=0,LEN(R960)=0),0,IF(OR(R960="Active",R960="Paid off",R960="Defaulted",R960="Repossessed",R960="Written off",R960="Restructured"),0,1))</f>
        <v/>
      </c>
      <c r="AF960" s="19">
        <f>IF(A960="",0,IF(N(J960)&gt;N(I960),1,0))</f>
        <v/>
      </c>
      <c r="AG960" s="19">
        <f>IF(A960="",0,IF(N(N960)&gt;N(M960)+1,1,0))</f>
        <v/>
      </c>
      <c r="AH960" s="19">
        <f>IF(A960="",0,IF(N(E960)&gt;N(B960),1,0))</f>
        <v/>
      </c>
      <c r="AI960" s="19">
        <f>IF(A960="",0,IF(AND(Z960="Full payment",N(N960)&lt;N(M960)-1),1,0))</f>
        <v/>
      </c>
      <c r="AJ960" s="19">
        <f>IF(A960="",0,IF(N(P960)&lt;0,1,0))</f>
        <v/>
      </c>
      <c r="AK960" s="19">
        <f>IF(A960="",0,IF(COUNTIF($A$7:$A$1006,A960)&gt;1,1,0))</f>
        <v/>
      </c>
    </row>
    <row r="961">
      <c r="A961" s="10" t="n"/>
      <c r="B961" s="17" t="n"/>
      <c r="C961" s="18" t="n"/>
      <c r="D961" s="10" t="n"/>
      <c r="E961" s="17" t="n"/>
      <c r="F961" s="10" t="n"/>
      <c r="G961" s="10" t="n"/>
      <c r="H961" s="10" t="n"/>
      <c r="I961" s="18" t="n"/>
      <c r="J961" s="18" t="n"/>
      <c r="K961" s="18" t="n"/>
      <c r="L961" s="18" t="n"/>
      <c r="M961" s="19">
        <f>IF(K961="","",K961*365/12*L961)</f>
        <v/>
      </c>
      <c r="N961" s="18" t="n"/>
      <c r="O961" s="18" t="n"/>
      <c r="P961" s="18" t="n"/>
      <c r="Q961" s="18" t="n"/>
      <c r="R961" s="10" t="n"/>
      <c r="S961" s="17" t="n"/>
      <c r="T961" s="18" t="n"/>
      <c r="U961" s="17" t="n"/>
      <c r="V961" s="17" t="n"/>
      <c r="W961" s="18" t="n"/>
      <c r="X961" s="18" t="n"/>
      <c r="Y961" s="17" t="n"/>
      <c r="Z961" s="10" t="n"/>
      <c r="AA961" s="10" t="n"/>
      <c r="AB961" s="19">
        <f>IF(LEN(A961)&gt;0,1,0)</f>
        <v/>
      </c>
      <c r="AC961" s="19">
        <f>IF(LEN(A961)=0,0,(LEN(B961)=0)+(LEN(C961)=0)+(LEN(D961)=0)+(LEN(E961)=0)+(LEN(F961)=0)+(LEN(G961)=0)+(LEN(H961)=0)+(LEN(I961)=0)+(LEN(J961)=0)+(LEN(K961)=0)+(LEN(L961)=0)+(LEN(N961)=0)+(LEN(O961)=0)+(LEN(P961)=0)+(LEN(R961)=0)+(LEN(AA961)=0))</f>
        <v/>
      </c>
      <c r="AD961" s="19">
        <f>IF(OR(LEN(A961)=0,LEN(C961)=0),0,IF(OR(C961&lt;1,C961&gt;5),1,0))</f>
        <v/>
      </c>
      <c r="AE961" s="19">
        <f>IF(OR(LEN(A961)=0,LEN(R961)=0),0,IF(OR(R961="Active",R961="Paid off",R961="Defaulted",R961="Repossessed",R961="Written off",R961="Restructured"),0,1))</f>
        <v/>
      </c>
      <c r="AF961" s="19">
        <f>IF(A961="",0,IF(N(J961)&gt;N(I961),1,0))</f>
        <v/>
      </c>
      <c r="AG961" s="19">
        <f>IF(A961="",0,IF(N(N961)&gt;N(M961)+1,1,0))</f>
        <v/>
      </c>
      <c r="AH961" s="19">
        <f>IF(A961="",0,IF(N(E961)&gt;N(B961),1,0))</f>
        <v/>
      </c>
      <c r="AI961" s="19">
        <f>IF(A961="",0,IF(AND(Z961="Full payment",N(N961)&lt;N(M961)-1),1,0))</f>
        <v/>
      </c>
      <c r="AJ961" s="19">
        <f>IF(A961="",0,IF(N(P961)&lt;0,1,0))</f>
        <v/>
      </c>
      <c r="AK961" s="19">
        <f>IF(A961="",0,IF(COUNTIF($A$7:$A$1006,A961)&gt;1,1,0))</f>
        <v/>
      </c>
    </row>
    <row r="962">
      <c r="A962" s="10" t="n"/>
      <c r="B962" s="17" t="n"/>
      <c r="C962" s="18" t="n"/>
      <c r="D962" s="10" t="n"/>
      <c r="E962" s="17" t="n"/>
      <c r="F962" s="10" t="n"/>
      <c r="G962" s="10" t="n"/>
      <c r="H962" s="10" t="n"/>
      <c r="I962" s="18" t="n"/>
      <c r="J962" s="18" t="n"/>
      <c r="K962" s="18" t="n"/>
      <c r="L962" s="18" t="n"/>
      <c r="M962" s="19">
        <f>IF(K962="","",K962*365/12*L962)</f>
        <v/>
      </c>
      <c r="N962" s="18" t="n"/>
      <c r="O962" s="18" t="n"/>
      <c r="P962" s="18" t="n"/>
      <c r="Q962" s="18" t="n"/>
      <c r="R962" s="10" t="n"/>
      <c r="S962" s="17" t="n"/>
      <c r="T962" s="18" t="n"/>
      <c r="U962" s="17" t="n"/>
      <c r="V962" s="17" t="n"/>
      <c r="W962" s="18" t="n"/>
      <c r="X962" s="18" t="n"/>
      <c r="Y962" s="17" t="n"/>
      <c r="Z962" s="10" t="n"/>
      <c r="AA962" s="10" t="n"/>
      <c r="AB962" s="19">
        <f>IF(LEN(A962)&gt;0,1,0)</f>
        <v/>
      </c>
      <c r="AC962" s="19">
        <f>IF(LEN(A962)=0,0,(LEN(B962)=0)+(LEN(C962)=0)+(LEN(D962)=0)+(LEN(E962)=0)+(LEN(F962)=0)+(LEN(G962)=0)+(LEN(H962)=0)+(LEN(I962)=0)+(LEN(J962)=0)+(LEN(K962)=0)+(LEN(L962)=0)+(LEN(N962)=0)+(LEN(O962)=0)+(LEN(P962)=0)+(LEN(R962)=0)+(LEN(AA962)=0))</f>
        <v/>
      </c>
      <c r="AD962" s="19">
        <f>IF(OR(LEN(A962)=0,LEN(C962)=0),0,IF(OR(C962&lt;1,C962&gt;5),1,0))</f>
        <v/>
      </c>
      <c r="AE962" s="19">
        <f>IF(OR(LEN(A962)=0,LEN(R962)=0),0,IF(OR(R962="Active",R962="Paid off",R962="Defaulted",R962="Repossessed",R962="Written off",R962="Restructured"),0,1))</f>
        <v/>
      </c>
      <c r="AF962" s="19">
        <f>IF(A962="",0,IF(N(J962)&gt;N(I962),1,0))</f>
        <v/>
      </c>
      <c r="AG962" s="19">
        <f>IF(A962="",0,IF(N(N962)&gt;N(M962)+1,1,0))</f>
        <v/>
      </c>
      <c r="AH962" s="19">
        <f>IF(A962="",0,IF(N(E962)&gt;N(B962),1,0))</f>
        <v/>
      </c>
      <c r="AI962" s="19">
        <f>IF(A962="",0,IF(AND(Z962="Full payment",N(N962)&lt;N(M962)-1),1,0))</f>
        <v/>
      </c>
      <c r="AJ962" s="19">
        <f>IF(A962="",0,IF(N(P962)&lt;0,1,0))</f>
        <v/>
      </c>
      <c r="AK962" s="19">
        <f>IF(A962="",0,IF(COUNTIF($A$7:$A$1006,A962)&gt;1,1,0))</f>
        <v/>
      </c>
    </row>
    <row r="963">
      <c r="A963" s="10" t="n"/>
      <c r="B963" s="17" t="n"/>
      <c r="C963" s="18" t="n"/>
      <c r="D963" s="10" t="n"/>
      <c r="E963" s="17" t="n"/>
      <c r="F963" s="10" t="n"/>
      <c r="G963" s="10" t="n"/>
      <c r="H963" s="10" t="n"/>
      <c r="I963" s="18" t="n"/>
      <c r="J963" s="18" t="n"/>
      <c r="K963" s="18" t="n"/>
      <c r="L963" s="18" t="n"/>
      <c r="M963" s="19">
        <f>IF(K963="","",K963*365/12*L963)</f>
        <v/>
      </c>
      <c r="N963" s="18" t="n"/>
      <c r="O963" s="18" t="n"/>
      <c r="P963" s="18" t="n"/>
      <c r="Q963" s="18" t="n"/>
      <c r="R963" s="10" t="n"/>
      <c r="S963" s="17" t="n"/>
      <c r="T963" s="18" t="n"/>
      <c r="U963" s="17" t="n"/>
      <c r="V963" s="17" t="n"/>
      <c r="W963" s="18" t="n"/>
      <c r="X963" s="18" t="n"/>
      <c r="Y963" s="17" t="n"/>
      <c r="Z963" s="10" t="n"/>
      <c r="AA963" s="10" t="n"/>
      <c r="AB963" s="19">
        <f>IF(LEN(A963)&gt;0,1,0)</f>
        <v/>
      </c>
      <c r="AC963" s="19">
        <f>IF(LEN(A963)=0,0,(LEN(B963)=0)+(LEN(C963)=0)+(LEN(D963)=0)+(LEN(E963)=0)+(LEN(F963)=0)+(LEN(G963)=0)+(LEN(H963)=0)+(LEN(I963)=0)+(LEN(J963)=0)+(LEN(K963)=0)+(LEN(L963)=0)+(LEN(N963)=0)+(LEN(O963)=0)+(LEN(P963)=0)+(LEN(R963)=0)+(LEN(AA963)=0))</f>
        <v/>
      </c>
      <c r="AD963" s="19">
        <f>IF(OR(LEN(A963)=0,LEN(C963)=0),0,IF(OR(C963&lt;1,C963&gt;5),1,0))</f>
        <v/>
      </c>
      <c r="AE963" s="19">
        <f>IF(OR(LEN(A963)=0,LEN(R963)=0),0,IF(OR(R963="Active",R963="Paid off",R963="Defaulted",R963="Repossessed",R963="Written off",R963="Restructured"),0,1))</f>
        <v/>
      </c>
      <c r="AF963" s="19">
        <f>IF(A963="",0,IF(N(J963)&gt;N(I963),1,0))</f>
        <v/>
      </c>
      <c r="AG963" s="19">
        <f>IF(A963="",0,IF(N(N963)&gt;N(M963)+1,1,0))</f>
        <v/>
      </c>
      <c r="AH963" s="19">
        <f>IF(A963="",0,IF(N(E963)&gt;N(B963),1,0))</f>
        <v/>
      </c>
      <c r="AI963" s="19">
        <f>IF(A963="",0,IF(AND(Z963="Full payment",N(N963)&lt;N(M963)-1),1,0))</f>
        <v/>
      </c>
      <c r="AJ963" s="19">
        <f>IF(A963="",0,IF(N(P963)&lt;0,1,0))</f>
        <v/>
      </c>
      <c r="AK963" s="19">
        <f>IF(A963="",0,IF(COUNTIF($A$7:$A$1006,A963)&gt;1,1,0))</f>
        <v/>
      </c>
    </row>
    <row r="964">
      <c r="A964" s="10" t="n"/>
      <c r="B964" s="17" t="n"/>
      <c r="C964" s="18" t="n"/>
      <c r="D964" s="10" t="n"/>
      <c r="E964" s="17" t="n"/>
      <c r="F964" s="10" t="n"/>
      <c r="G964" s="10" t="n"/>
      <c r="H964" s="10" t="n"/>
      <c r="I964" s="18" t="n"/>
      <c r="J964" s="18" t="n"/>
      <c r="K964" s="18" t="n"/>
      <c r="L964" s="18" t="n"/>
      <c r="M964" s="19">
        <f>IF(K964="","",K964*365/12*L964)</f>
        <v/>
      </c>
      <c r="N964" s="18" t="n"/>
      <c r="O964" s="18" t="n"/>
      <c r="P964" s="18" t="n"/>
      <c r="Q964" s="18" t="n"/>
      <c r="R964" s="10" t="n"/>
      <c r="S964" s="17" t="n"/>
      <c r="T964" s="18" t="n"/>
      <c r="U964" s="17" t="n"/>
      <c r="V964" s="17" t="n"/>
      <c r="W964" s="18" t="n"/>
      <c r="X964" s="18" t="n"/>
      <c r="Y964" s="17" t="n"/>
      <c r="Z964" s="10" t="n"/>
      <c r="AA964" s="10" t="n"/>
      <c r="AB964" s="19">
        <f>IF(LEN(A964)&gt;0,1,0)</f>
        <v/>
      </c>
      <c r="AC964" s="19">
        <f>IF(LEN(A964)=0,0,(LEN(B964)=0)+(LEN(C964)=0)+(LEN(D964)=0)+(LEN(E964)=0)+(LEN(F964)=0)+(LEN(G964)=0)+(LEN(H964)=0)+(LEN(I964)=0)+(LEN(J964)=0)+(LEN(K964)=0)+(LEN(L964)=0)+(LEN(N964)=0)+(LEN(O964)=0)+(LEN(P964)=0)+(LEN(R964)=0)+(LEN(AA964)=0))</f>
        <v/>
      </c>
      <c r="AD964" s="19">
        <f>IF(OR(LEN(A964)=0,LEN(C964)=0),0,IF(OR(C964&lt;1,C964&gt;5),1,0))</f>
        <v/>
      </c>
      <c r="AE964" s="19">
        <f>IF(OR(LEN(A964)=0,LEN(R964)=0),0,IF(OR(R964="Active",R964="Paid off",R964="Defaulted",R964="Repossessed",R964="Written off",R964="Restructured"),0,1))</f>
        <v/>
      </c>
      <c r="AF964" s="19">
        <f>IF(A964="",0,IF(N(J964)&gt;N(I964),1,0))</f>
        <v/>
      </c>
      <c r="AG964" s="19">
        <f>IF(A964="",0,IF(N(N964)&gt;N(M964)+1,1,0))</f>
        <v/>
      </c>
      <c r="AH964" s="19">
        <f>IF(A964="",0,IF(N(E964)&gt;N(B964),1,0))</f>
        <v/>
      </c>
      <c r="AI964" s="19">
        <f>IF(A964="",0,IF(AND(Z964="Full payment",N(N964)&lt;N(M964)-1),1,0))</f>
        <v/>
      </c>
      <c r="AJ964" s="19">
        <f>IF(A964="",0,IF(N(P964)&lt;0,1,0))</f>
        <v/>
      </c>
      <c r="AK964" s="19">
        <f>IF(A964="",0,IF(COUNTIF($A$7:$A$1006,A964)&gt;1,1,0))</f>
        <v/>
      </c>
    </row>
    <row r="965">
      <c r="A965" s="10" t="n"/>
      <c r="B965" s="17" t="n"/>
      <c r="C965" s="18" t="n"/>
      <c r="D965" s="10" t="n"/>
      <c r="E965" s="17" t="n"/>
      <c r="F965" s="10" t="n"/>
      <c r="G965" s="10" t="n"/>
      <c r="H965" s="10" t="n"/>
      <c r="I965" s="18" t="n"/>
      <c r="J965" s="18" t="n"/>
      <c r="K965" s="18" t="n"/>
      <c r="L965" s="18" t="n"/>
      <c r="M965" s="19">
        <f>IF(K965="","",K965*365/12*L965)</f>
        <v/>
      </c>
      <c r="N965" s="18" t="n"/>
      <c r="O965" s="18" t="n"/>
      <c r="P965" s="18" t="n"/>
      <c r="Q965" s="18" t="n"/>
      <c r="R965" s="10" t="n"/>
      <c r="S965" s="17" t="n"/>
      <c r="T965" s="18" t="n"/>
      <c r="U965" s="17" t="n"/>
      <c r="V965" s="17" t="n"/>
      <c r="W965" s="18" t="n"/>
      <c r="X965" s="18" t="n"/>
      <c r="Y965" s="17" t="n"/>
      <c r="Z965" s="10" t="n"/>
      <c r="AA965" s="10" t="n"/>
      <c r="AB965" s="19">
        <f>IF(LEN(A965)&gt;0,1,0)</f>
        <v/>
      </c>
      <c r="AC965" s="19">
        <f>IF(LEN(A965)=0,0,(LEN(B965)=0)+(LEN(C965)=0)+(LEN(D965)=0)+(LEN(E965)=0)+(LEN(F965)=0)+(LEN(G965)=0)+(LEN(H965)=0)+(LEN(I965)=0)+(LEN(J965)=0)+(LEN(K965)=0)+(LEN(L965)=0)+(LEN(N965)=0)+(LEN(O965)=0)+(LEN(P965)=0)+(LEN(R965)=0)+(LEN(AA965)=0))</f>
        <v/>
      </c>
      <c r="AD965" s="19">
        <f>IF(OR(LEN(A965)=0,LEN(C965)=0),0,IF(OR(C965&lt;1,C965&gt;5),1,0))</f>
        <v/>
      </c>
      <c r="AE965" s="19">
        <f>IF(OR(LEN(A965)=0,LEN(R965)=0),0,IF(OR(R965="Active",R965="Paid off",R965="Defaulted",R965="Repossessed",R965="Written off",R965="Restructured"),0,1))</f>
        <v/>
      </c>
      <c r="AF965" s="19">
        <f>IF(A965="",0,IF(N(J965)&gt;N(I965),1,0))</f>
        <v/>
      </c>
      <c r="AG965" s="19">
        <f>IF(A965="",0,IF(N(N965)&gt;N(M965)+1,1,0))</f>
        <v/>
      </c>
      <c r="AH965" s="19">
        <f>IF(A965="",0,IF(N(E965)&gt;N(B965),1,0))</f>
        <v/>
      </c>
      <c r="AI965" s="19">
        <f>IF(A965="",0,IF(AND(Z965="Full payment",N(N965)&lt;N(M965)-1),1,0))</f>
        <v/>
      </c>
      <c r="AJ965" s="19">
        <f>IF(A965="",0,IF(N(P965)&lt;0,1,0))</f>
        <v/>
      </c>
      <c r="AK965" s="19">
        <f>IF(A965="",0,IF(COUNTIF($A$7:$A$1006,A965)&gt;1,1,0))</f>
        <v/>
      </c>
    </row>
    <row r="966">
      <c r="A966" s="10" t="n"/>
      <c r="B966" s="17" t="n"/>
      <c r="C966" s="18" t="n"/>
      <c r="D966" s="10" t="n"/>
      <c r="E966" s="17" t="n"/>
      <c r="F966" s="10" t="n"/>
      <c r="G966" s="10" t="n"/>
      <c r="H966" s="10" t="n"/>
      <c r="I966" s="18" t="n"/>
      <c r="J966" s="18" t="n"/>
      <c r="K966" s="18" t="n"/>
      <c r="L966" s="18" t="n"/>
      <c r="M966" s="19">
        <f>IF(K966="","",K966*365/12*L966)</f>
        <v/>
      </c>
      <c r="N966" s="18" t="n"/>
      <c r="O966" s="18" t="n"/>
      <c r="P966" s="18" t="n"/>
      <c r="Q966" s="18" t="n"/>
      <c r="R966" s="10" t="n"/>
      <c r="S966" s="17" t="n"/>
      <c r="T966" s="18" t="n"/>
      <c r="U966" s="17" t="n"/>
      <c r="V966" s="17" t="n"/>
      <c r="W966" s="18" t="n"/>
      <c r="X966" s="18" t="n"/>
      <c r="Y966" s="17" t="n"/>
      <c r="Z966" s="10" t="n"/>
      <c r="AA966" s="10" t="n"/>
      <c r="AB966" s="19">
        <f>IF(LEN(A966)&gt;0,1,0)</f>
        <v/>
      </c>
      <c r="AC966" s="19">
        <f>IF(LEN(A966)=0,0,(LEN(B966)=0)+(LEN(C966)=0)+(LEN(D966)=0)+(LEN(E966)=0)+(LEN(F966)=0)+(LEN(G966)=0)+(LEN(H966)=0)+(LEN(I966)=0)+(LEN(J966)=0)+(LEN(K966)=0)+(LEN(L966)=0)+(LEN(N966)=0)+(LEN(O966)=0)+(LEN(P966)=0)+(LEN(R966)=0)+(LEN(AA966)=0))</f>
        <v/>
      </c>
      <c r="AD966" s="19">
        <f>IF(OR(LEN(A966)=0,LEN(C966)=0),0,IF(OR(C966&lt;1,C966&gt;5),1,0))</f>
        <v/>
      </c>
      <c r="AE966" s="19">
        <f>IF(OR(LEN(A966)=0,LEN(R966)=0),0,IF(OR(R966="Active",R966="Paid off",R966="Defaulted",R966="Repossessed",R966="Written off",R966="Restructured"),0,1))</f>
        <v/>
      </c>
      <c r="AF966" s="19">
        <f>IF(A966="",0,IF(N(J966)&gt;N(I966),1,0))</f>
        <v/>
      </c>
      <c r="AG966" s="19">
        <f>IF(A966="",0,IF(N(N966)&gt;N(M966)+1,1,0))</f>
        <v/>
      </c>
      <c r="AH966" s="19">
        <f>IF(A966="",0,IF(N(E966)&gt;N(B966),1,0))</f>
        <v/>
      </c>
      <c r="AI966" s="19">
        <f>IF(A966="",0,IF(AND(Z966="Full payment",N(N966)&lt;N(M966)-1),1,0))</f>
        <v/>
      </c>
      <c r="AJ966" s="19">
        <f>IF(A966="",0,IF(N(P966)&lt;0,1,0))</f>
        <v/>
      </c>
      <c r="AK966" s="19">
        <f>IF(A966="",0,IF(COUNTIF($A$7:$A$1006,A966)&gt;1,1,0))</f>
        <v/>
      </c>
    </row>
    <row r="967">
      <c r="A967" s="10" t="n"/>
      <c r="B967" s="17" t="n"/>
      <c r="C967" s="18" t="n"/>
      <c r="D967" s="10" t="n"/>
      <c r="E967" s="17" t="n"/>
      <c r="F967" s="10" t="n"/>
      <c r="G967" s="10" t="n"/>
      <c r="H967" s="10" t="n"/>
      <c r="I967" s="18" t="n"/>
      <c r="J967" s="18" t="n"/>
      <c r="K967" s="18" t="n"/>
      <c r="L967" s="18" t="n"/>
      <c r="M967" s="19">
        <f>IF(K967="","",K967*365/12*L967)</f>
        <v/>
      </c>
      <c r="N967" s="18" t="n"/>
      <c r="O967" s="18" t="n"/>
      <c r="P967" s="18" t="n"/>
      <c r="Q967" s="18" t="n"/>
      <c r="R967" s="10" t="n"/>
      <c r="S967" s="17" t="n"/>
      <c r="T967" s="18" t="n"/>
      <c r="U967" s="17" t="n"/>
      <c r="V967" s="17" t="n"/>
      <c r="W967" s="18" t="n"/>
      <c r="X967" s="18" t="n"/>
      <c r="Y967" s="17" t="n"/>
      <c r="Z967" s="10" t="n"/>
      <c r="AA967" s="10" t="n"/>
      <c r="AB967" s="19">
        <f>IF(LEN(A967)&gt;0,1,0)</f>
        <v/>
      </c>
      <c r="AC967" s="19">
        <f>IF(LEN(A967)=0,0,(LEN(B967)=0)+(LEN(C967)=0)+(LEN(D967)=0)+(LEN(E967)=0)+(LEN(F967)=0)+(LEN(G967)=0)+(LEN(H967)=0)+(LEN(I967)=0)+(LEN(J967)=0)+(LEN(K967)=0)+(LEN(L967)=0)+(LEN(N967)=0)+(LEN(O967)=0)+(LEN(P967)=0)+(LEN(R967)=0)+(LEN(AA967)=0))</f>
        <v/>
      </c>
      <c r="AD967" s="19">
        <f>IF(OR(LEN(A967)=0,LEN(C967)=0),0,IF(OR(C967&lt;1,C967&gt;5),1,0))</f>
        <v/>
      </c>
      <c r="AE967" s="19">
        <f>IF(OR(LEN(A967)=0,LEN(R967)=0),0,IF(OR(R967="Active",R967="Paid off",R967="Defaulted",R967="Repossessed",R967="Written off",R967="Restructured"),0,1))</f>
        <v/>
      </c>
      <c r="AF967" s="19">
        <f>IF(A967="",0,IF(N(J967)&gt;N(I967),1,0))</f>
        <v/>
      </c>
      <c r="AG967" s="19">
        <f>IF(A967="",0,IF(N(N967)&gt;N(M967)+1,1,0))</f>
        <v/>
      </c>
      <c r="AH967" s="19">
        <f>IF(A967="",0,IF(N(E967)&gt;N(B967),1,0))</f>
        <v/>
      </c>
      <c r="AI967" s="19">
        <f>IF(A967="",0,IF(AND(Z967="Full payment",N(N967)&lt;N(M967)-1),1,0))</f>
        <v/>
      </c>
      <c r="AJ967" s="19">
        <f>IF(A967="",0,IF(N(P967)&lt;0,1,0))</f>
        <v/>
      </c>
      <c r="AK967" s="19">
        <f>IF(A967="",0,IF(COUNTIF($A$7:$A$1006,A967)&gt;1,1,0))</f>
        <v/>
      </c>
    </row>
    <row r="968">
      <c r="A968" s="10" t="n"/>
      <c r="B968" s="17" t="n"/>
      <c r="C968" s="18" t="n"/>
      <c r="D968" s="10" t="n"/>
      <c r="E968" s="17" t="n"/>
      <c r="F968" s="10" t="n"/>
      <c r="G968" s="10" t="n"/>
      <c r="H968" s="10" t="n"/>
      <c r="I968" s="18" t="n"/>
      <c r="J968" s="18" t="n"/>
      <c r="K968" s="18" t="n"/>
      <c r="L968" s="18" t="n"/>
      <c r="M968" s="19">
        <f>IF(K968="","",K968*365/12*L968)</f>
        <v/>
      </c>
      <c r="N968" s="18" t="n"/>
      <c r="O968" s="18" t="n"/>
      <c r="P968" s="18" t="n"/>
      <c r="Q968" s="18" t="n"/>
      <c r="R968" s="10" t="n"/>
      <c r="S968" s="17" t="n"/>
      <c r="T968" s="18" t="n"/>
      <c r="U968" s="17" t="n"/>
      <c r="V968" s="17" t="n"/>
      <c r="W968" s="18" t="n"/>
      <c r="X968" s="18" t="n"/>
      <c r="Y968" s="17" t="n"/>
      <c r="Z968" s="10" t="n"/>
      <c r="AA968" s="10" t="n"/>
      <c r="AB968" s="19">
        <f>IF(LEN(A968)&gt;0,1,0)</f>
        <v/>
      </c>
      <c r="AC968" s="19">
        <f>IF(LEN(A968)=0,0,(LEN(B968)=0)+(LEN(C968)=0)+(LEN(D968)=0)+(LEN(E968)=0)+(LEN(F968)=0)+(LEN(G968)=0)+(LEN(H968)=0)+(LEN(I968)=0)+(LEN(J968)=0)+(LEN(K968)=0)+(LEN(L968)=0)+(LEN(N968)=0)+(LEN(O968)=0)+(LEN(P968)=0)+(LEN(R968)=0)+(LEN(AA968)=0))</f>
        <v/>
      </c>
      <c r="AD968" s="19">
        <f>IF(OR(LEN(A968)=0,LEN(C968)=0),0,IF(OR(C968&lt;1,C968&gt;5),1,0))</f>
        <v/>
      </c>
      <c r="AE968" s="19">
        <f>IF(OR(LEN(A968)=0,LEN(R968)=0),0,IF(OR(R968="Active",R968="Paid off",R968="Defaulted",R968="Repossessed",R968="Written off",R968="Restructured"),0,1))</f>
        <v/>
      </c>
      <c r="AF968" s="19">
        <f>IF(A968="",0,IF(N(J968)&gt;N(I968),1,0))</f>
        <v/>
      </c>
      <c r="AG968" s="19">
        <f>IF(A968="",0,IF(N(N968)&gt;N(M968)+1,1,0))</f>
        <v/>
      </c>
      <c r="AH968" s="19">
        <f>IF(A968="",0,IF(N(E968)&gt;N(B968),1,0))</f>
        <v/>
      </c>
      <c r="AI968" s="19">
        <f>IF(A968="",0,IF(AND(Z968="Full payment",N(N968)&lt;N(M968)-1),1,0))</f>
        <v/>
      </c>
      <c r="AJ968" s="19">
        <f>IF(A968="",0,IF(N(P968)&lt;0,1,0))</f>
        <v/>
      </c>
      <c r="AK968" s="19">
        <f>IF(A968="",0,IF(COUNTIF($A$7:$A$1006,A968)&gt;1,1,0))</f>
        <v/>
      </c>
    </row>
    <row r="969">
      <c r="A969" s="10" t="n"/>
      <c r="B969" s="17" t="n"/>
      <c r="C969" s="18" t="n"/>
      <c r="D969" s="10" t="n"/>
      <c r="E969" s="17" t="n"/>
      <c r="F969" s="10" t="n"/>
      <c r="G969" s="10" t="n"/>
      <c r="H969" s="10" t="n"/>
      <c r="I969" s="18" t="n"/>
      <c r="J969" s="18" t="n"/>
      <c r="K969" s="18" t="n"/>
      <c r="L969" s="18" t="n"/>
      <c r="M969" s="19">
        <f>IF(K969="","",K969*365/12*L969)</f>
        <v/>
      </c>
      <c r="N969" s="18" t="n"/>
      <c r="O969" s="18" t="n"/>
      <c r="P969" s="18" t="n"/>
      <c r="Q969" s="18" t="n"/>
      <c r="R969" s="10" t="n"/>
      <c r="S969" s="17" t="n"/>
      <c r="T969" s="18" t="n"/>
      <c r="U969" s="17" t="n"/>
      <c r="V969" s="17" t="n"/>
      <c r="W969" s="18" t="n"/>
      <c r="X969" s="18" t="n"/>
      <c r="Y969" s="17" t="n"/>
      <c r="Z969" s="10" t="n"/>
      <c r="AA969" s="10" t="n"/>
      <c r="AB969" s="19">
        <f>IF(LEN(A969)&gt;0,1,0)</f>
        <v/>
      </c>
      <c r="AC969" s="19">
        <f>IF(LEN(A969)=0,0,(LEN(B969)=0)+(LEN(C969)=0)+(LEN(D969)=0)+(LEN(E969)=0)+(LEN(F969)=0)+(LEN(G969)=0)+(LEN(H969)=0)+(LEN(I969)=0)+(LEN(J969)=0)+(LEN(K969)=0)+(LEN(L969)=0)+(LEN(N969)=0)+(LEN(O969)=0)+(LEN(P969)=0)+(LEN(R969)=0)+(LEN(AA969)=0))</f>
        <v/>
      </c>
      <c r="AD969" s="19">
        <f>IF(OR(LEN(A969)=0,LEN(C969)=0),0,IF(OR(C969&lt;1,C969&gt;5),1,0))</f>
        <v/>
      </c>
      <c r="AE969" s="19">
        <f>IF(OR(LEN(A969)=0,LEN(R969)=0),0,IF(OR(R969="Active",R969="Paid off",R969="Defaulted",R969="Repossessed",R969="Written off",R969="Restructured"),0,1))</f>
        <v/>
      </c>
      <c r="AF969" s="19">
        <f>IF(A969="",0,IF(N(J969)&gt;N(I969),1,0))</f>
        <v/>
      </c>
      <c r="AG969" s="19">
        <f>IF(A969="",0,IF(N(N969)&gt;N(M969)+1,1,0))</f>
        <v/>
      </c>
      <c r="AH969" s="19">
        <f>IF(A969="",0,IF(N(E969)&gt;N(B969),1,0))</f>
        <v/>
      </c>
      <c r="AI969" s="19">
        <f>IF(A969="",0,IF(AND(Z969="Full payment",N(N969)&lt;N(M969)-1),1,0))</f>
        <v/>
      </c>
      <c r="AJ969" s="19">
        <f>IF(A969="",0,IF(N(P969)&lt;0,1,0))</f>
        <v/>
      </c>
      <c r="AK969" s="19">
        <f>IF(A969="",0,IF(COUNTIF($A$7:$A$1006,A969)&gt;1,1,0))</f>
        <v/>
      </c>
    </row>
    <row r="970">
      <c r="A970" s="10" t="n"/>
      <c r="B970" s="17" t="n"/>
      <c r="C970" s="18" t="n"/>
      <c r="D970" s="10" t="n"/>
      <c r="E970" s="17" t="n"/>
      <c r="F970" s="10" t="n"/>
      <c r="G970" s="10" t="n"/>
      <c r="H970" s="10" t="n"/>
      <c r="I970" s="18" t="n"/>
      <c r="J970" s="18" t="n"/>
      <c r="K970" s="18" t="n"/>
      <c r="L970" s="18" t="n"/>
      <c r="M970" s="19">
        <f>IF(K970="","",K970*365/12*L970)</f>
        <v/>
      </c>
      <c r="N970" s="18" t="n"/>
      <c r="O970" s="18" t="n"/>
      <c r="P970" s="18" t="n"/>
      <c r="Q970" s="18" t="n"/>
      <c r="R970" s="10" t="n"/>
      <c r="S970" s="17" t="n"/>
      <c r="T970" s="18" t="n"/>
      <c r="U970" s="17" t="n"/>
      <c r="V970" s="17" t="n"/>
      <c r="W970" s="18" t="n"/>
      <c r="X970" s="18" t="n"/>
      <c r="Y970" s="17" t="n"/>
      <c r="Z970" s="10" t="n"/>
      <c r="AA970" s="10" t="n"/>
      <c r="AB970" s="19">
        <f>IF(LEN(A970)&gt;0,1,0)</f>
        <v/>
      </c>
      <c r="AC970" s="19">
        <f>IF(LEN(A970)=0,0,(LEN(B970)=0)+(LEN(C970)=0)+(LEN(D970)=0)+(LEN(E970)=0)+(LEN(F970)=0)+(LEN(G970)=0)+(LEN(H970)=0)+(LEN(I970)=0)+(LEN(J970)=0)+(LEN(K970)=0)+(LEN(L970)=0)+(LEN(N970)=0)+(LEN(O970)=0)+(LEN(P970)=0)+(LEN(R970)=0)+(LEN(AA970)=0))</f>
        <v/>
      </c>
      <c r="AD970" s="19">
        <f>IF(OR(LEN(A970)=0,LEN(C970)=0),0,IF(OR(C970&lt;1,C970&gt;5),1,0))</f>
        <v/>
      </c>
      <c r="AE970" s="19">
        <f>IF(OR(LEN(A970)=0,LEN(R970)=0),0,IF(OR(R970="Active",R970="Paid off",R970="Defaulted",R970="Repossessed",R970="Written off",R970="Restructured"),0,1))</f>
        <v/>
      </c>
      <c r="AF970" s="19">
        <f>IF(A970="",0,IF(N(J970)&gt;N(I970),1,0))</f>
        <v/>
      </c>
      <c r="AG970" s="19">
        <f>IF(A970="",0,IF(N(N970)&gt;N(M970)+1,1,0))</f>
        <v/>
      </c>
      <c r="AH970" s="19">
        <f>IF(A970="",0,IF(N(E970)&gt;N(B970),1,0))</f>
        <v/>
      </c>
      <c r="AI970" s="19">
        <f>IF(A970="",0,IF(AND(Z970="Full payment",N(N970)&lt;N(M970)-1),1,0))</f>
        <v/>
      </c>
      <c r="AJ970" s="19">
        <f>IF(A970="",0,IF(N(P970)&lt;0,1,0))</f>
        <v/>
      </c>
      <c r="AK970" s="19">
        <f>IF(A970="",0,IF(COUNTIF($A$7:$A$1006,A970)&gt;1,1,0))</f>
        <v/>
      </c>
    </row>
    <row r="971">
      <c r="A971" s="10" t="n"/>
      <c r="B971" s="17" t="n"/>
      <c r="C971" s="18" t="n"/>
      <c r="D971" s="10" t="n"/>
      <c r="E971" s="17" t="n"/>
      <c r="F971" s="10" t="n"/>
      <c r="G971" s="10" t="n"/>
      <c r="H971" s="10" t="n"/>
      <c r="I971" s="18" t="n"/>
      <c r="J971" s="18" t="n"/>
      <c r="K971" s="18" t="n"/>
      <c r="L971" s="18" t="n"/>
      <c r="M971" s="19">
        <f>IF(K971="","",K971*365/12*L971)</f>
        <v/>
      </c>
      <c r="N971" s="18" t="n"/>
      <c r="O971" s="18" t="n"/>
      <c r="P971" s="18" t="n"/>
      <c r="Q971" s="18" t="n"/>
      <c r="R971" s="10" t="n"/>
      <c r="S971" s="17" t="n"/>
      <c r="T971" s="18" t="n"/>
      <c r="U971" s="17" t="n"/>
      <c r="V971" s="17" t="n"/>
      <c r="W971" s="18" t="n"/>
      <c r="X971" s="18" t="n"/>
      <c r="Y971" s="17" t="n"/>
      <c r="Z971" s="10" t="n"/>
      <c r="AA971" s="10" t="n"/>
      <c r="AB971" s="19">
        <f>IF(LEN(A971)&gt;0,1,0)</f>
        <v/>
      </c>
      <c r="AC971" s="19">
        <f>IF(LEN(A971)=0,0,(LEN(B971)=0)+(LEN(C971)=0)+(LEN(D971)=0)+(LEN(E971)=0)+(LEN(F971)=0)+(LEN(G971)=0)+(LEN(H971)=0)+(LEN(I971)=0)+(LEN(J971)=0)+(LEN(K971)=0)+(LEN(L971)=0)+(LEN(N971)=0)+(LEN(O971)=0)+(LEN(P971)=0)+(LEN(R971)=0)+(LEN(AA971)=0))</f>
        <v/>
      </c>
      <c r="AD971" s="19">
        <f>IF(OR(LEN(A971)=0,LEN(C971)=0),0,IF(OR(C971&lt;1,C971&gt;5),1,0))</f>
        <v/>
      </c>
      <c r="AE971" s="19">
        <f>IF(OR(LEN(A971)=0,LEN(R971)=0),0,IF(OR(R971="Active",R971="Paid off",R971="Defaulted",R971="Repossessed",R971="Written off",R971="Restructured"),0,1))</f>
        <v/>
      </c>
      <c r="AF971" s="19">
        <f>IF(A971="",0,IF(N(J971)&gt;N(I971),1,0))</f>
        <v/>
      </c>
      <c r="AG971" s="19">
        <f>IF(A971="",0,IF(N(N971)&gt;N(M971)+1,1,0))</f>
        <v/>
      </c>
      <c r="AH971" s="19">
        <f>IF(A971="",0,IF(N(E971)&gt;N(B971),1,0))</f>
        <v/>
      </c>
      <c r="AI971" s="19">
        <f>IF(A971="",0,IF(AND(Z971="Full payment",N(N971)&lt;N(M971)-1),1,0))</f>
        <v/>
      </c>
      <c r="AJ971" s="19">
        <f>IF(A971="",0,IF(N(P971)&lt;0,1,0))</f>
        <v/>
      </c>
      <c r="AK971" s="19">
        <f>IF(A971="",0,IF(COUNTIF($A$7:$A$1006,A971)&gt;1,1,0))</f>
        <v/>
      </c>
    </row>
    <row r="972">
      <c r="A972" s="10" t="n"/>
      <c r="B972" s="17" t="n"/>
      <c r="C972" s="18" t="n"/>
      <c r="D972" s="10" t="n"/>
      <c r="E972" s="17" t="n"/>
      <c r="F972" s="10" t="n"/>
      <c r="G972" s="10" t="n"/>
      <c r="H972" s="10" t="n"/>
      <c r="I972" s="18" t="n"/>
      <c r="J972" s="18" t="n"/>
      <c r="K972" s="18" t="n"/>
      <c r="L972" s="18" t="n"/>
      <c r="M972" s="19">
        <f>IF(K972="","",K972*365/12*L972)</f>
        <v/>
      </c>
      <c r="N972" s="18" t="n"/>
      <c r="O972" s="18" t="n"/>
      <c r="P972" s="18" t="n"/>
      <c r="Q972" s="18" t="n"/>
      <c r="R972" s="10" t="n"/>
      <c r="S972" s="17" t="n"/>
      <c r="T972" s="18" t="n"/>
      <c r="U972" s="17" t="n"/>
      <c r="V972" s="17" t="n"/>
      <c r="W972" s="18" t="n"/>
      <c r="X972" s="18" t="n"/>
      <c r="Y972" s="17" t="n"/>
      <c r="Z972" s="10" t="n"/>
      <c r="AA972" s="10" t="n"/>
      <c r="AB972" s="19">
        <f>IF(LEN(A972)&gt;0,1,0)</f>
        <v/>
      </c>
      <c r="AC972" s="19">
        <f>IF(LEN(A972)=0,0,(LEN(B972)=0)+(LEN(C972)=0)+(LEN(D972)=0)+(LEN(E972)=0)+(LEN(F972)=0)+(LEN(G972)=0)+(LEN(H972)=0)+(LEN(I972)=0)+(LEN(J972)=0)+(LEN(K972)=0)+(LEN(L972)=0)+(LEN(N972)=0)+(LEN(O972)=0)+(LEN(P972)=0)+(LEN(R972)=0)+(LEN(AA972)=0))</f>
        <v/>
      </c>
      <c r="AD972" s="19">
        <f>IF(OR(LEN(A972)=0,LEN(C972)=0),0,IF(OR(C972&lt;1,C972&gt;5),1,0))</f>
        <v/>
      </c>
      <c r="AE972" s="19">
        <f>IF(OR(LEN(A972)=0,LEN(R972)=0),0,IF(OR(R972="Active",R972="Paid off",R972="Defaulted",R972="Repossessed",R972="Written off",R972="Restructured"),0,1))</f>
        <v/>
      </c>
      <c r="AF972" s="19">
        <f>IF(A972="",0,IF(N(J972)&gt;N(I972),1,0))</f>
        <v/>
      </c>
      <c r="AG972" s="19">
        <f>IF(A972="",0,IF(N(N972)&gt;N(M972)+1,1,0))</f>
        <v/>
      </c>
      <c r="AH972" s="19">
        <f>IF(A972="",0,IF(N(E972)&gt;N(B972),1,0))</f>
        <v/>
      </c>
      <c r="AI972" s="19">
        <f>IF(A972="",0,IF(AND(Z972="Full payment",N(N972)&lt;N(M972)-1),1,0))</f>
        <v/>
      </c>
      <c r="AJ972" s="19">
        <f>IF(A972="",0,IF(N(P972)&lt;0,1,0))</f>
        <v/>
      </c>
      <c r="AK972" s="19">
        <f>IF(A972="",0,IF(COUNTIF($A$7:$A$1006,A972)&gt;1,1,0))</f>
        <v/>
      </c>
    </row>
    <row r="973">
      <c r="A973" s="10" t="n"/>
      <c r="B973" s="17" t="n"/>
      <c r="C973" s="18" t="n"/>
      <c r="D973" s="10" t="n"/>
      <c r="E973" s="17" t="n"/>
      <c r="F973" s="10" t="n"/>
      <c r="G973" s="10" t="n"/>
      <c r="H973" s="10" t="n"/>
      <c r="I973" s="18" t="n"/>
      <c r="J973" s="18" t="n"/>
      <c r="K973" s="18" t="n"/>
      <c r="L973" s="18" t="n"/>
      <c r="M973" s="19">
        <f>IF(K973="","",K973*365/12*L973)</f>
        <v/>
      </c>
      <c r="N973" s="18" t="n"/>
      <c r="O973" s="18" t="n"/>
      <c r="P973" s="18" t="n"/>
      <c r="Q973" s="18" t="n"/>
      <c r="R973" s="10" t="n"/>
      <c r="S973" s="17" t="n"/>
      <c r="T973" s="18" t="n"/>
      <c r="U973" s="17" t="n"/>
      <c r="V973" s="17" t="n"/>
      <c r="W973" s="18" t="n"/>
      <c r="X973" s="18" t="n"/>
      <c r="Y973" s="17" t="n"/>
      <c r="Z973" s="10" t="n"/>
      <c r="AA973" s="10" t="n"/>
      <c r="AB973" s="19">
        <f>IF(LEN(A973)&gt;0,1,0)</f>
        <v/>
      </c>
      <c r="AC973" s="19">
        <f>IF(LEN(A973)=0,0,(LEN(B973)=0)+(LEN(C973)=0)+(LEN(D973)=0)+(LEN(E973)=0)+(LEN(F973)=0)+(LEN(G973)=0)+(LEN(H973)=0)+(LEN(I973)=0)+(LEN(J973)=0)+(LEN(K973)=0)+(LEN(L973)=0)+(LEN(N973)=0)+(LEN(O973)=0)+(LEN(P973)=0)+(LEN(R973)=0)+(LEN(AA973)=0))</f>
        <v/>
      </c>
      <c r="AD973" s="19">
        <f>IF(OR(LEN(A973)=0,LEN(C973)=0),0,IF(OR(C973&lt;1,C973&gt;5),1,0))</f>
        <v/>
      </c>
      <c r="AE973" s="19">
        <f>IF(OR(LEN(A973)=0,LEN(R973)=0),0,IF(OR(R973="Active",R973="Paid off",R973="Defaulted",R973="Repossessed",R973="Written off",R973="Restructured"),0,1))</f>
        <v/>
      </c>
      <c r="AF973" s="19">
        <f>IF(A973="",0,IF(N(J973)&gt;N(I973),1,0))</f>
        <v/>
      </c>
      <c r="AG973" s="19">
        <f>IF(A973="",0,IF(N(N973)&gt;N(M973)+1,1,0))</f>
        <v/>
      </c>
      <c r="AH973" s="19">
        <f>IF(A973="",0,IF(N(E973)&gt;N(B973),1,0))</f>
        <v/>
      </c>
      <c r="AI973" s="19">
        <f>IF(A973="",0,IF(AND(Z973="Full payment",N(N973)&lt;N(M973)-1),1,0))</f>
        <v/>
      </c>
      <c r="AJ973" s="19">
        <f>IF(A973="",0,IF(N(P973)&lt;0,1,0))</f>
        <v/>
      </c>
      <c r="AK973" s="19">
        <f>IF(A973="",0,IF(COUNTIF($A$7:$A$1006,A973)&gt;1,1,0))</f>
        <v/>
      </c>
    </row>
    <row r="974">
      <c r="A974" s="10" t="n"/>
      <c r="B974" s="17" t="n"/>
      <c r="C974" s="18" t="n"/>
      <c r="D974" s="10" t="n"/>
      <c r="E974" s="17" t="n"/>
      <c r="F974" s="10" t="n"/>
      <c r="G974" s="10" t="n"/>
      <c r="H974" s="10" t="n"/>
      <c r="I974" s="18" t="n"/>
      <c r="J974" s="18" t="n"/>
      <c r="K974" s="18" t="n"/>
      <c r="L974" s="18" t="n"/>
      <c r="M974" s="19">
        <f>IF(K974="","",K974*365/12*L974)</f>
        <v/>
      </c>
      <c r="N974" s="18" t="n"/>
      <c r="O974" s="18" t="n"/>
      <c r="P974" s="18" t="n"/>
      <c r="Q974" s="18" t="n"/>
      <c r="R974" s="10" t="n"/>
      <c r="S974" s="17" t="n"/>
      <c r="T974" s="18" t="n"/>
      <c r="U974" s="17" t="n"/>
      <c r="V974" s="17" t="n"/>
      <c r="W974" s="18" t="n"/>
      <c r="X974" s="18" t="n"/>
      <c r="Y974" s="17" t="n"/>
      <c r="Z974" s="10" t="n"/>
      <c r="AA974" s="10" t="n"/>
      <c r="AB974" s="19">
        <f>IF(LEN(A974)&gt;0,1,0)</f>
        <v/>
      </c>
      <c r="AC974" s="19">
        <f>IF(LEN(A974)=0,0,(LEN(B974)=0)+(LEN(C974)=0)+(LEN(D974)=0)+(LEN(E974)=0)+(LEN(F974)=0)+(LEN(G974)=0)+(LEN(H974)=0)+(LEN(I974)=0)+(LEN(J974)=0)+(LEN(K974)=0)+(LEN(L974)=0)+(LEN(N974)=0)+(LEN(O974)=0)+(LEN(P974)=0)+(LEN(R974)=0)+(LEN(AA974)=0))</f>
        <v/>
      </c>
      <c r="AD974" s="19">
        <f>IF(OR(LEN(A974)=0,LEN(C974)=0),0,IF(OR(C974&lt;1,C974&gt;5),1,0))</f>
        <v/>
      </c>
      <c r="AE974" s="19">
        <f>IF(OR(LEN(A974)=0,LEN(R974)=0),0,IF(OR(R974="Active",R974="Paid off",R974="Defaulted",R974="Repossessed",R974="Written off",R974="Restructured"),0,1))</f>
        <v/>
      </c>
      <c r="AF974" s="19">
        <f>IF(A974="",0,IF(N(J974)&gt;N(I974),1,0))</f>
        <v/>
      </c>
      <c r="AG974" s="19">
        <f>IF(A974="",0,IF(N(N974)&gt;N(M974)+1,1,0))</f>
        <v/>
      </c>
      <c r="AH974" s="19">
        <f>IF(A974="",0,IF(N(E974)&gt;N(B974),1,0))</f>
        <v/>
      </c>
      <c r="AI974" s="19">
        <f>IF(A974="",0,IF(AND(Z974="Full payment",N(N974)&lt;N(M974)-1),1,0))</f>
        <v/>
      </c>
      <c r="AJ974" s="19">
        <f>IF(A974="",0,IF(N(P974)&lt;0,1,0))</f>
        <v/>
      </c>
      <c r="AK974" s="19">
        <f>IF(A974="",0,IF(COUNTIF($A$7:$A$1006,A974)&gt;1,1,0))</f>
        <v/>
      </c>
    </row>
    <row r="975">
      <c r="A975" s="10" t="n"/>
      <c r="B975" s="17" t="n"/>
      <c r="C975" s="18" t="n"/>
      <c r="D975" s="10" t="n"/>
      <c r="E975" s="17" t="n"/>
      <c r="F975" s="10" t="n"/>
      <c r="G975" s="10" t="n"/>
      <c r="H975" s="10" t="n"/>
      <c r="I975" s="18" t="n"/>
      <c r="J975" s="18" t="n"/>
      <c r="K975" s="18" t="n"/>
      <c r="L975" s="18" t="n"/>
      <c r="M975" s="19">
        <f>IF(K975="","",K975*365/12*L975)</f>
        <v/>
      </c>
      <c r="N975" s="18" t="n"/>
      <c r="O975" s="18" t="n"/>
      <c r="P975" s="18" t="n"/>
      <c r="Q975" s="18" t="n"/>
      <c r="R975" s="10" t="n"/>
      <c r="S975" s="17" t="n"/>
      <c r="T975" s="18" t="n"/>
      <c r="U975" s="17" t="n"/>
      <c r="V975" s="17" t="n"/>
      <c r="W975" s="18" t="n"/>
      <c r="X975" s="18" t="n"/>
      <c r="Y975" s="17" t="n"/>
      <c r="Z975" s="10" t="n"/>
      <c r="AA975" s="10" t="n"/>
      <c r="AB975" s="19">
        <f>IF(LEN(A975)&gt;0,1,0)</f>
        <v/>
      </c>
      <c r="AC975" s="19">
        <f>IF(LEN(A975)=0,0,(LEN(B975)=0)+(LEN(C975)=0)+(LEN(D975)=0)+(LEN(E975)=0)+(LEN(F975)=0)+(LEN(G975)=0)+(LEN(H975)=0)+(LEN(I975)=0)+(LEN(J975)=0)+(LEN(K975)=0)+(LEN(L975)=0)+(LEN(N975)=0)+(LEN(O975)=0)+(LEN(P975)=0)+(LEN(R975)=0)+(LEN(AA975)=0))</f>
        <v/>
      </c>
      <c r="AD975" s="19">
        <f>IF(OR(LEN(A975)=0,LEN(C975)=0),0,IF(OR(C975&lt;1,C975&gt;5),1,0))</f>
        <v/>
      </c>
      <c r="AE975" s="19">
        <f>IF(OR(LEN(A975)=0,LEN(R975)=0),0,IF(OR(R975="Active",R975="Paid off",R975="Defaulted",R975="Repossessed",R975="Written off",R975="Restructured"),0,1))</f>
        <v/>
      </c>
      <c r="AF975" s="19">
        <f>IF(A975="",0,IF(N(J975)&gt;N(I975),1,0))</f>
        <v/>
      </c>
      <c r="AG975" s="19">
        <f>IF(A975="",0,IF(N(N975)&gt;N(M975)+1,1,0))</f>
        <v/>
      </c>
      <c r="AH975" s="19">
        <f>IF(A975="",0,IF(N(E975)&gt;N(B975),1,0))</f>
        <v/>
      </c>
      <c r="AI975" s="19">
        <f>IF(A975="",0,IF(AND(Z975="Full payment",N(N975)&lt;N(M975)-1),1,0))</f>
        <v/>
      </c>
      <c r="AJ975" s="19">
        <f>IF(A975="",0,IF(N(P975)&lt;0,1,0))</f>
        <v/>
      </c>
      <c r="AK975" s="19">
        <f>IF(A975="",0,IF(COUNTIF($A$7:$A$1006,A975)&gt;1,1,0))</f>
        <v/>
      </c>
    </row>
    <row r="976">
      <c r="A976" s="10" t="n"/>
      <c r="B976" s="17" t="n"/>
      <c r="C976" s="18" t="n"/>
      <c r="D976" s="10" t="n"/>
      <c r="E976" s="17" t="n"/>
      <c r="F976" s="10" t="n"/>
      <c r="G976" s="10" t="n"/>
      <c r="H976" s="10" t="n"/>
      <c r="I976" s="18" t="n"/>
      <c r="J976" s="18" t="n"/>
      <c r="K976" s="18" t="n"/>
      <c r="L976" s="18" t="n"/>
      <c r="M976" s="19">
        <f>IF(K976="","",K976*365/12*L976)</f>
        <v/>
      </c>
      <c r="N976" s="18" t="n"/>
      <c r="O976" s="18" t="n"/>
      <c r="P976" s="18" t="n"/>
      <c r="Q976" s="18" t="n"/>
      <c r="R976" s="10" t="n"/>
      <c r="S976" s="17" t="n"/>
      <c r="T976" s="18" t="n"/>
      <c r="U976" s="17" t="n"/>
      <c r="V976" s="17" t="n"/>
      <c r="W976" s="18" t="n"/>
      <c r="X976" s="18" t="n"/>
      <c r="Y976" s="17" t="n"/>
      <c r="Z976" s="10" t="n"/>
      <c r="AA976" s="10" t="n"/>
      <c r="AB976" s="19">
        <f>IF(LEN(A976)&gt;0,1,0)</f>
        <v/>
      </c>
      <c r="AC976" s="19">
        <f>IF(LEN(A976)=0,0,(LEN(B976)=0)+(LEN(C976)=0)+(LEN(D976)=0)+(LEN(E976)=0)+(LEN(F976)=0)+(LEN(G976)=0)+(LEN(H976)=0)+(LEN(I976)=0)+(LEN(J976)=0)+(LEN(K976)=0)+(LEN(L976)=0)+(LEN(N976)=0)+(LEN(O976)=0)+(LEN(P976)=0)+(LEN(R976)=0)+(LEN(AA976)=0))</f>
        <v/>
      </c>
      <c r="AD976" s="19">
        <f>IF(OR(LEN(A976)=0,LEN(C976)=0),0,IF(OR(C976&lt;1,C976&gt;5),1,0))</f>
        <v/>
      </c>
      <c r="AE976" s="19">
        <f>IF(OR(LEN(A976)=0,LEN(R976)=0),0,IF(OR(R976="Active",R976="Paid off",R976="Defaulted",R976="Repossessed",R976="Written off",R976="Restructured"),0,1))</f>
        <v/>
      </c>
      <c r="AF976" s="19">
        <f>IF(A976="",0,IF(N(J976)&gt;N(I976),1,0))</f>
        <v/>
      </c>
      <c r="AG976" s="19">
        <f>IF(A976="",0,IF(N(N976)&gt;N(M976)+1,1,0))</f>
        <v/>
      </c>
      <c r="AH976" s="19">
        <f>IF(A976="",0,IF(N(E976)&gt;N(B976),1,0))</f>
        <v/>
      </c>
      <c r="AI976" s="19">
        <f>IF(A976="",0,IF(AND(Z976="Full payment",N(N976)&lt;N(M976)-1),1,0))</f>
        <v/>
      </c>
      <c r="AJ976" s="19">
        <f>IF(A976="",0,IF(N(P976)&lt;0,1,0))</f>
        <v/>
      </c>
      <c r="AK976" s="19">
        <f>IF(A976="",0,IF(COUNTIF($A$7:$A$1006,A976)&gt;1,1,0))</f>
        <v/>
      </c>
    </row>
    <row r="977">
      <c r="A977" s="10" t="n"/>
      <c r="B977" s="17" t="n"/>
      <c r="C977" s="18" t="n"/>
      <c r="D977" s="10" t="n"/>
      <c r="E977" s="17" t="n"/>
      <c r="F977" s="10" t="n"/>
      <c r="G977" s="10" t="n"/>
      <c r="H977" s="10" t="n"/>
      <c r="I977" s="18" t="n"/>
      <c r="J977" s="18" t="n"/>
      <c r="K977" s="18" t="n"/>
      <c r="L977" s="18" t="n"/>
      <c r="M977" s="19">
        <f>IF(K977="","",K977*365/12*L977)</f>
        <v/>
      </c>
      <c r="N977" s="18" t="n"/>
      <c r="O977" s="18" t="n"/>
      <c r="P977" s="18" t="n"/>
      <c r="Q977" s="18" t="n"/>
      <c r="R977" s="10" t="n"/>
      <c r="S977" s="17" t="n"/>
      <c r="T977" s="18" t="n"/>
      <c r="U977" s="17" t="n"/>
      <c r="V977" s="17" t="n"/>
      <c r="W977" s="18" t="n"/>
      <c r="X977" s="18" t="n"/>
      <c r="Y977" s="17" t="n"/>
      <c r="Z977" s="10" t="n"/>
      <c r="AA977" s="10" t="n"/>
      <c r="AB977" s="19">
        <f>IF(LEN(A977)&gt;0,1,0)</f>
        <v/>
      </c>
      <c r="AC977" s="19">
        <f>IF(LEN(A977)=0,0,(LEN(B977)=0)+(LEN(C977)=0)+(LEN(D977)=0)+(LEN(E977)=0)+(LEN(F977)=0)+(LEN(G977)=0)+(LEN(H977)=0)+(LEN(I977)=0)+(LEN(J977)=0)+(LEN(K977)=0)+(LEN(L977)=0)+(LEN(N977)=0)+(LEN(O977)=0)+(LEN(P977)=0)+(LEN(R977)=0)+(LEN(AA977)=0))</f>
        <v/>
      </c>
      <c r="AD977" s="19">
        <f>IF(OR(LEN(A977)=0,LEN(C977)=0),0,IF(OR(C977&lt;1,C977&gt;5),1,0))</f>
        <v/>
      </c>
      <c r="AE977" s="19">
        <f>IF(OR(LEN(A977)=0,LEN(R977)=0),0,IF(OR(R977="Active",R977="Paid off",R977="Defaulted",R977="Repossessed",R977="Written off",R977="Restructured"),0,1))</f>
        <v/>
      </c>
      <c r="AF977" s="19">
        <f>IF(A977="",0,IF(N(J977)&gt;N(I977),1,0))</f>
        <v/>
      </c>
      <c r="AG977" s="19">
        <f>IF(A977="",0,IF(N(N977)&gt;N(M977)+1,1,0))</f>
        <v/>
      </c>
      <c r="AH977" s="19">
        <f>IF(A977="",0,IF(N(E977)&gt;N(B977),1,0))</f>
        <v/>
      </c>
      <c r="AI977" s="19">
        <f>IF(A977="",0,IF(AND(Z977="Full payment",N(N977)&lt;N(M977)-1),1,0))</f>
        <v/>
      </c>
      <c r="AJ977" s="19">
        <f>IF(A977="",0,IF(N(P977)&lt;0,1,0))</f>
        <v/>
      </c>
      <c r="AK977" s="19">
        <f>IF(A977="",0,IF(COUNTIF($A$7:$A$1006,A977)&gt;1,1,0))</f>
        <v/>
      </c>
    </row>
    <row r="978">
      <c r="A978" s="10" t="n"/>
      <c r="B978" s="17" t="n"/>
      <c r="C978" s="18" t="n"/>
      <c r="D978" s="10" t="n"/>
      <c r="E978" s="17" t="n"/>
      <c r="F978" s="10" t="n"/>
      <c r="G978" s="10" t="n"/>
      <c r="H978" s="10" t="n"/>
      <c r="I978" s="18" t="n"/>
      <c r="J978" s="18" t="n"/>
      <c r="K978" s="18" t="n"/>
      <c r="L978" s="18" t="n"/>
      <c r="M978" s="19">
        <f>IF(K978="","",K978*365/12*L978)</f>
        <v/>
      </c>
      <c r="N978" s="18" t="n"/>
      <c r="O978" s="18" t="n"/>
      <c r="P978" s="18" t="n"/>
      <c r="Q978" s="18" t="n"/>
      <c r="R978" s="10" t="n"/>
      <c r="S978" s="17" t="n"/>
      <c r="T978" s="18" t="n"/>
      <c r="U978" s="17" t="n"/>
      <c r="V978" s="17" t="n"/>
      <c r="W978" s="18" t="n"/>
      <c r="X978" s="18" t="n"/>
      <c r="Y978" s="17" t="n"/>
      <c r="Z978" s="10" t="n"/>
      <c r="AA978" s="10" t="n"/>
      <c r="AB978" s="19">
        <f>IF(LEN(A978)&gt;0,1,0)</f>
        <v/>
      </c>
      <c r="AC978" s="19">
        <f>IF(LEN(A978)=0,0,(LEN(B978)=0)+(LEN(C978)=0)+(LEN(D978)=0)+(LEN(E978)=0)+(LEN(F978)=0)+(LEN(G978)=0)+(LEN(H978)=0)+(LEN(I978)=0)+(LEN(J978)=0)+(LEN(K978)=0)+(LEN(L978)=0)+(LEN(N978)=0)+(LEN(O978)=0)+(LEN(P978)=0)+(LEN(R978)=0)+(LEN(AA978)=0))</f>
        <v/>
      </c>
      <c r="AD978" s="19">
        <f>IF(OR(LEN(A978)=0,LEN(C978)=0),0,IF(OR(C978&lt;1,C978&gt;5),1,0))</f>
        <v/>
      </c>
      <c r="AE978" s="19">
        <f>IF(OR(LEN(A978)=0,LEN(R978)=0),0,IF(OR(R978="Active",R978="Paid off",R978="Defaulted",R978="Repossessed",R978="Written off",R978="Restructured"),0,1))</f>
        <v/>
      </c>
      <c r="AF978" s="19">
        <f>IF(A978="",0,IF(N(J978)&gt;N(I978),1,0))</f>
        <v/>
      </c>
      <c r="AG978" s="19">
        <f>IF(A978="",0,IF(N(N978)&gt;N(M978)+1,1,0))</f>
        <v/>
      </c>
      <c r="AH978" s="19">
        <f>IF(A978="",0,IF(N(E978)&gt;N(B978),1,0))</f>
        <v/>
      </c>
      <c r="AI978" s="19">
        <f>IF(A978="",0,IF(AND(Z978="Full payment",N(N978)&lt;N(M978)-1),1,0))</f>
        <v/>
      </c>
      <c r="AJ978" s="19">
        <f>IF(A978="",0,IF(N(P978)&lt;0,1,0))</f>
        <v/>
      </c>
      <c r="AK978" s="19">
        <f>IF(A978="",0,IF(COUNTIF($A$7:$A$1006,A978)&gt;1,1,0))</f>
        <v/>
      </c>
    </row>
    <row r="979">
      <c r="A979" s="10" t="n"/>
      <c r="B979" s="17" t="n"/>
      <c r="C979" s="18" t="n"/>
      <c r="D979" s="10" t="n"/>
      <c r="E979" s="17" t="n"/>
      <c r="F979" s="10" t="n"/>
      <c r="G979" s="10" t="n"/>
      <c r="H979" s="10" t="n"/>
      <c r="I979" s="18" t="n"/>
      <c r="J979" s="18" t="n"/>
      <c r="K979" s="18" t="n"/>
      <c r="L979" s="18" t="n"/>
      <c r="M979" s="19">
        <f>IF(K979="","",K979*365/12*L979)</f>
        <v/>
      </c>
      <c r="N979" s="18" t="n"/>
      <c r="O979" s="18" t="n"/>
      <c r="P979" s="18" t="n"/>
      <c r="Q979" s="18" t="n"/>
      <c r="R979" s="10" t="n"/>
      <c r="S979" s="17" t="n"/>
      <c r="T979" s="18" t="n"/>
      <c r="U979" s="17" t="n"/>
      <c r="V979" s="17" t="n"/>
      <c r="W979" s="18" t="n"/>
      <c r="X979" s="18" t="n"/>
      <c r="Y979" s="17" t="n"/>
      <c r="Z979" s="10" t="n"/>
      <c r="AA979" s="10" t="n"/>
      <c r="AB979" s="19">
        <f>IF(LEN(A979)&gt;0,1,0)</f>
        <v/>
      </c>
      <c r="AC979" s="19">
        <f>IF(LEN(A979)=0,0,(LEN(B979)=0)+(LEN(C979)=0)+(LEN(D979)=0)+(LEN(E979)=0)+(LEN(F979)=0)+(LEN(G979)=0)+(LEN(H979)=0)+(LEN(I979)=0)+(LEN(J979)=0)+(LEN(K979)=0)+(LEN(L979)=0)+(LEN(N979)=0)+(LEN(O979)=0)+(LEN(P979)=0)+(LEN(R979)=0)+(LEN(AA979)=0))</f>
        <v/>
      </c>
      <c r="AD979" s="19">
        <f>IF(OR(LEN(A979)=0,LEN(C979)=0),0,IF(OR(C979&lt;1,C979&gt;5),1,0))</f>
        <v/>
      </c>
      <c r="AE979" s="19">
        <f>IF(OR(LEN(A979)=0,LEN(R979)=0),0,IF(OR(R979="Active",R979="Paid off",R979="Defaulted",R979="Repossessed",R979="Written off",R979="Restructured"),0,1))</f>
        <v/>
      </c>
      <c r="AF979" s="19">
        <f>IF(A979="",0,IF(N(J979)&gt;N(I979),1,0))</f>
        <v/>
      </c>
      <c r="AG979" s="19">
        <f>IF(A979="",0,IF(N(N979)&gt;N(M979)+1,1,0))</f>
        <v/>
      </c>
      <c r="AH979" s="19">
        <f>IF(A979="",0,IF(N(E979)&gt;N(B979),1,0))</f>
        <v/>
      </c>
      <c r="AI979" s="19">
        <f>IF(A979="",0,IF(AND(Z979="Full payment",N(N979)&lt;N(M979)-1),1,0))</f>
        <v/>
      </c>
      <c r="AJ979" s="19">
        <f>IF(A979="",0,IF(N(P979)&lt;0,1,0))</f>
        <v/>
      </c>
      <c r="AK979" s="19">
        <f>IF(A979="",0,IF(COUNTIF($A$7:$A$1006,A979)&gt;1,1,0))</f>
        <v/>
      </c>
    </row>
    <row r="980">
      <c r="A980" s="10" t="n"/>
      <c r="B980" s="17" t="n"/>
      <c r="C980" s="18" t="n"/>
      <c r="D980" s="10" t="n"/>
      <c r="E980" s="17" t="n"/>
      <c r="F980" s="10" t="n"/>
      <c r="G980" s="10" t="n"/>
      <c r="H980" s="10" t="n"/>
      <c r="I980" s="18" t="n"/>
      <c r="J980" s="18" t="n"/>
      <c r="K980" s="18" t="n"/>
      <c r="L980" s="18" t="n"/>
      <c r="M980" s="19">
        <f>IF(K980="","",K980*365/12*L980)</f>
        <v/>
      </c>
      <c r="N980" s="18" t="n"/>
      <c r="O980" s="18" t="n"/>
      <c r="P980" s="18" t="n"/>
      <c r="Q980" s="18" t="n"/>
      <c r="R980" s="10" t="n"/>
      <c r="S980" s="17" t="n"/>
      <c r="T980" s="18" t="n"/>
      <c r="U980" s="17" t="n"/>
      <c r="V980" s="17" t="n"/>
      <c r="W980" s="18" t="n"/>
      <c r="X980" s="18" t="n"/>
      <c r="Y980" s="17" t="n"/>
      <c r="Z980" s="10" t="n"/>
      <c r="AA980" s="10" t="n"/>
      <c r="AB980" s="19">
        <f>IF(LEN(A980)&gt;0,1,0)</f>
        <v/>
      </c>
      <c r="AC980" s="19">
        <f>IF(LEN(A980)=0,0,(LEN(B980)=0)+(LEN(C980)=0)+(LEN(D980)=0)+(LEN(E980)=0)+(LEN(F980)=0)+(LEN(G980)=0)+(LEN(H980)=0)+(LEN(I980)=0)+(LEN(J980)=0)+(LEN(K980)=0)+(LEN(L980)=0)+(LEN(N980)=0)+(LEN(O980)=0)+(LEN(P980)=0)+(LEN(R980)=0)+(LEN(AA980)=0))</f>
        <v/>
      </c>
      <c r="AD980" s="19">
        <f>IF(OR(LEN(A980)=0,LEN(C980)=0),0,IF(OR(C980&lt;1,C980&gt;5),1,0))</f>
        <v/>
      </c>
      <c r="AE980" s="19">
        <f>IF(OR(LEN(A980)=0,LEN(R980)=0),0,IF(OR(R980="Active",R980="Paid off",R980="Defaulted",R980="Repossessed",R980="Written off",R980="Restructured"),0,1))</f>
        <v/>
      </c>
      <c r="AF980" s="19">
        <f>IF(A980="",0,IF(N(J980)&gt;N(I980),1,0))</f>
        <v/>
      </c>
      <c r="AG980" s="19">
        <f>IF(A980="",0,IF(N(N980)&gt;N(M980)+1,1,0))</f>
        <v/>
      </c>
      <c r="AH980" s="19">
        <f>IF(A980="",0,IF(N(E980)&gt;N(B980),1,0))</f>
        <v/>
      </c>
      <c r="AI980" s="19">
        <f>IF(A980="",0,IF(AND(Z980="Full payment",N(N980)&lt;N(M980)-1),1,0))</f>
        <v/>
      </c>
      <c r="AJ980" s="19">
        <f>IF(A980="",0,IF(N(P980)&lt;0,1,0))</f>
        <v/>
      </c>
      <c r="AK980" s="19">
        <f>IF(A980="",0,IF(COUNTIF($A$7:$A$1006,A980)&gt;1,1,0))</f>
        <v/>
      </c>
    </row>
    <row r="981">
      <c r="A981" s="10" t="n"/>
      <c r="B981" s="17" t="n"/>
      <c r="C981" s="18" t="n"/>
      <c r="D981" s="10" t="n"/>
      <c r="E981" s="17" t="n"/>
      <c r="F981" s="10" t="n"/>
      <c r="G981" s="10" t="n"/>
      <c r="H981" s="10" t="n"/>
      <c r="I981" s="18" t="n"/>
      <c r="J981" s="18" t="n"/>
      <c r="K981" s="18" t="n"/>
      <c r="L981" s="18" t="n"/>
      <c r="M981" s="19">
        <f>IF(K981="","",K981*365/12*L981)</f>
        <v/>
      </c>
      <c r="N981" s="18" t="n"/>
      <c r="O981" s="18" t="n"/>
      <c r="P981" s="18" t="n"/>
      <c r="Q981" s="18" t="n"/>
      <c r="R981" s="10" t="n"/>
      <c r="S981" s="17" t="n"/>
      <c r="T981" s="18" t="n"/>
      <c r="U981" s="17" t="n"/>
      <c r="V981" s="17" t="n"/>
      <c r="W981" s="18" t="n"/>
      <c r="X981" s="18" t="n"/>
      <c r="Y981" s="17" t="n"/>
      <c r="Z981" s="10" t="n"/>
      <c r="AA981" s="10" t="n"/>
      <c r="AB981" s="19">
        <f>IF(LEN(A981)&gt;0,1,0)</f>
        <v/>
      </c>
      <c r="AC981" s="19">
        <f>IF(LEN(A981)=0,0,(LEN(B981)=0)+(LEN(C981)=0)+(LEN(D981)=0)+(LEN(E981)=0)+(LEN(F981)=0)+(LEN(G981)=0)+(LEN(H981)=0)+(LEN(I981)=0)+(LEN(J981)=0)+(LEN(K981)=0)+(LEN(L981)=0)+(LEN(N981)=0)+(LEN(O981)=0)+(LEN(P981)=0)+(LEN(R981)=0)+(LEN(AA981)=0))</f>
        <v/>
      </c>
      <c r="AD981" s="19">
        <f>IF(OR(LEN(A981)=0,LEN(C981)=0),0,IF(OR(C981&lt;1,C981&gt;5),1,0))</f>
        <v/>
      </c>
      <c r="AE981" s="19">
        <f>IF(OR(LEN(A981)=0,LEN(R981)=0),0,IF(OR(R981="Active",R981="Paid off",R981="Defaulted",R981="Repossessed",R981="Written off",R981="Restructured"),0,1))</f>
        <v/>
      </c>
      <c r="AF981" s="19">
        <f>IF(A981="",0,IF(N(J981)&gt;N(I981),1,0))</f>
        <v/>
      </c>
      <c r="AG981" s="19">
        <f>IF(A981="",0,IF(N(N981)&gt;N(M981)+1,1,0))</f>
        <v/>
      </c>
      <c r="AH981" s="19">
        <f>IF(A981="",0,IF(N(E981)&gt;N(B981),1,0))</f>
        <v/>
      </c>
      <c r="AI981" s="19">
        <f>IF(A981="",0,IF(AND(Z981="Full payment",N(N981)&lt;N(M981)-1),1,0))</f>
        <v/>
      </c>
      <c r="AJ981" s="19">
        <f>IF(A981="",0,IF(N(P981)&lt;0,1,0))</f>
        <v/>
      </c>
      <c r="AK981" s="19">
        <f>IF(A981="",0,IF(COUNTIF($A$7:$A$1006,A981)&gt;1,1,0))</f>
        <v/>
      </c>
    </row>
    <row r="982">
      <c r="A982" s="10" t="n"/>
      <c r="B982" s="17" t="n"/>
      <c r="C982" s="18" t="n"/>
      <c r="D982" s="10" t="n"/>
      <c r="E982" s="17" t="n"/>
      <c r="F982" s="10" t="n"/>
      <c r="G982" s="10" t="n"/>
      <c r="H982" s="10" t="n"/>
      <c r="I982" s="18" t="n"/>
      <c r="J982" s="18" t="n"/>
      <c r="K982" s="18" t="n"/>
      <c r="L982" s="18" t="n"/>
      <c r="M982" s="19">
        <f>IF(K982="","",K982*365/12*L982)</f>
        <v/>
      </c>
      <c r="N982" s="18" t="n"/>
      <c r="O982" s="18" t="n"/>
      <c r="P982" s="18" t="n"/>
      <c r="Q982" s="18" t="n"/>
      <c r="R982" s="10" t="n"/>
      <c r="S982" s="17" t="n"/>
      <c r="T982" s="18" t="n"/>
      <c r="U982" s="17" t="n"/>
      <c r="V982" s="17" t="n"/>
      <c r="W982" s="18" t="n"/>
      <c r="X982" s="18" t="n"/>
      <c r="Y982" s="17" t="n"/>
      <c r="Z982" s="10" t="n"/>
      <c r="AA982" s="10" t="n"/>
      <c r="AB982" s="19">
        <f>IF(LEN(A982)&gt;0,1,0)</f>
        <v/>
      </c>
      <c r="AC982" s="19">
        <f>IF(LEN(A982)=0,0,(LEN(B982)=0)+(LEN(C982)=0)+(LEN(D982)=0)+(LEN(E982)=0)+(LEN(F982)=0)+(LEN(G982)=0)+(LEN(H982)=0)+(LEN(I982)=0)+(LEN(J982)=0)+(LEN(K982)=0)+(LEN(L982)=0)+(LEN(N982)=0)+(LEN(O982)=0)+(LEN(P982)=0)+(LEN(R982)=0)+(LEN(AA982)=0))</f>
        <v/>
      </c>
      <c r="AD982" s="19">
        <f>IF(OR(LEN(A982)=0,LEN(C982)=0),0,IF(OR(C982&lt;1,C982&gt;5),1,0))</f>
        <v/>
      </c>
      <c r="AE982" s="19">
        <f>IF(OR(LEN(A982)=0,LEN(R982)=0),0,IF(OR(R982="Active",R982="Paid off",R982="Defaulted",R982="Repossessed",R982="Written off",R982="Restructured"),0,1))</f>
        <v/>
      </c>
      <c r="AF982" s="19">
        <f>IF(A982="",0,IF(N(J982)&gt;N(I982),1,0))</f>
        <v/>
      </c>
      <c r="AG982" s="19">
        <f>IF(A982="",0,IF(N(N982)&gt;N(M982)+1,1,0))</f>
        <v/>
      </c>
      <c r="AH982" s="19">
        <f>IF(A982="",0,IF(N(E982)&gt;N(B982),1,0))</f>
        <v/>
      </c>
      <c r="AI982" s="19">
        <f>IF(A982="",0,IF(AND(Z982="Full payment",N(N982)&lt;N(M982)-1),1,0))</f>
        <v/>
      </c>
      <c r="AJ982" s="19">
        <f>IF(A982="",0,IF(N(P982)&lt;0,1,0))</f>
        <v/>
      </c>
      <c r="AK982" s="19">
        <f>IF(A982="",0,IF(COUNTIF($A$7:$A$1006,A982)&gt;1,1,0))</f>
        <v/>
      </c>
    </row>
    <row r="983">
      <c r="A983" s="10" t="n"/>
      <c r="B983" s="17" t="n"/>
      <c r="C983" s="18" t="n"/>
      <c r="D983" s="10" t="n"/>
      <c r="E983" s="17" t="n"/>
      <c r="F983" s="10" t="n"/>
      <c r="G983" s="10" t="n"/>
      <c r="H983" s="10" t="n"/>
      <c r="I983" s="18" t="n"/>
      <c r="J983" s="18" t="n"/>
      <c r="K983" s="18" t="n"/>
      <c r="L983" s="18" t="n"/>
      <c r="M983" s="19">
        <f>IF(K983="","",K983*365/12*L983)</f>
        <v/>
      </c>
      <c r="N983" s="18" t="n"/>
      <c r="O983" s="18" t="n"/>
      <c r="P983" s="18" t="n"/>
      <c r="Q983" s="18" t="n"/>
      <c r="R983" s="10" t="n"/>
      <c r="S983" s="17" t="n"/>
      <c r="T983" s="18" t="n"/>
      <c r="U983" s="17" t="n"/>
      <c r="V983" s="17" t="n"/>
      <c r="W983" s="18" t="n"/>
      <c r="X983" s="18" t="n"/>
      <c r="Y983" s="17" t="n"/>
      <c r="Z983" s="10" t="n"/>
      <c r="AA983" s="10" t="n"/>
      <c r="AB983" s="19">
        <f>IF(LEN(A983)&gt;0,1,0)</f>
        <v/>
      </c>
      <c r="AC983" s="19">
        <f>IF(LEN(A983)=0,0,(LEN(B983)=0)+(LEN(C983)=0)+(LEN(D983)=0)+(LEN(E983)=0)+(LEN(F983)=0)+(LEN(G983)=0)+(LEN(H983)=0)+(LEN(I983)=0)+(LEN(J983)=0)+(LEN(K983)=0)+(LEN(L983)=0)+(LEN(N983)=0)+(LEN(O983)=0)+(LEN(P983)=0)+(LEN(R983)=0)+(LEN(AA983)=0))</f>
        <v/>
      </c>
      <c r="AD983" s="19">
        <f>IF(OR(LEN(A983)=0,LEN(C983)=0),0,IF(OR(C983&lt;1,C983&gt;5),1,0))</f>
        <v/>
      </c>
      <c r="AE983" s="19">
        <f>IF(OR(LEN(A983)=0,LEN(R983)=0),0,IF(OR(R983="Active",R983="Paid off",R983="Defaulted",R983="Repossessed",R983="Written off",R983="Restructured"),0,1))</f>
        <v/>
      </c>
      <c r="AF983" s="19">
        <f>IF(A983="",0,IF(N(J983)&gt;N(I983),1,0))</f>
        <v/>
      </c>
      <c r="AG983" s="19">
        <f>IF(A983="",0,IF(N(N983)&gt;N(M983)+1,1,0))</f>
        <v/>
      </c>
      <c r="AH983" s="19">
        <f>IF(A983="",0,IF(N(E983)&gt;N(B983),1,0))</f>
        <v/>
      </c>
      <c r="AI983" s="19">
        <f>IF(A983="",0,IF(AND(Z983="Full payment",N(N983)&lt;N(M983)-1),1,0))</f>
        <v/>
      </c>
      <c r="AJ983" s="19">
        <f>IF(A983="",0,IF(N(P983)&lt;0,1,0))</f>
        <v/>
      </c>
      <c r="AK983" s="19">
        <f>IF(A983="",0,IF(COUNTIF($A$7:$A$1006,A983)&gt;1,1,0))</f>
        <v/>
      </c>
    </row>
    <row r="984">
      <c r="A984" s="10" t="n"/>
      <c r="B984" s="17" t="n"/>
      <c r="C984" s="18" t="n"/>
      <c r="D984" s="10" t="n"/>
      <c r="E984" s="17" t="n"/>
      <c r="F984" s="10" t="n"/>
      <c r="G984" s="10" t="n"/>
      <c r="H984" s="10" t="n"/>
      <c r="I984" s="18" t="n"/>
      <c r="J984" s="18" t="n"/>
      <c r="K984" s="18" t="n"/>
      <c r="L984" s="18" t="n"/>
      <c r="M984" s="19">
        <f>IF(K984="","",K984*365/12*L984)</f>
        <v/>
      </c>
      <c r="N984" s="18" t="n"/>
      <c r="O984" s="18" t="n"/>
      <c r="P984" s="18" t="n"/>
      <c r="Q984" s="18" t="n"/>
      <c r="R984" s="10" t="n"/>
      <c r="S984" s="17" t="n"/>
      <c r="T984" s="18" t="n"/>
      <c r="U984" s="17" t="n"/>
      <c r="V984" s="17" t="n"/>
      <c r="W984" s="18" t="n"/>
      <c r="X984" s="18" t="n"/>
      <c r="Y984" s="17" t="n"/>
      <c r="Z984" s="10" t="n"/>
      <c r="AA984" s="10" t="n"/>
      <c r="AB984" s="19">
        <f>IF(LEN(A984)&gt;0,1,0)</f>
        <v/>
      </c>
      <c r="AC984" s="19">
        <f>IF(LEN(A984)=0,0,(LEN(B984)=0)+(LEN(C984)=0)+(LEN(D984)=0)+(LEN(E984)=0)+(LEN(F984)=0)+(LEN(G984)=0)+(LEN(H984)=0)+(LEN(I984)=0)+(LEN(J984)=0)+(LEN(K984)=0)+(LEN(L984)=0)+(LEN(N984)=0)+(LEN(O984)=0)+(LEN(P984)=0)+(LEN(R984)=0)+(LEN(AA984)=0))</f>
        <v/>
      </c>
      <c r="AD984" s="19">
        <f>IF(OR(LEN(A984)=0,LEN(C984)=0),0,IF(OR(C984&lt;1,C984&gt;5),1,0))</f>
        <v/>
      </c>
      <c r="AE984" s="19">
        <f>IF(OR(LEN(A984)=0,LEN(R984)=0),0,IF(OR(R984="Active",R984="Paid off",R984="Defaulted",R984="Repossessed",R984="Written off",R984="Restructured"),0,1))</f>
        <v/>
      </c>
      <c r="AF984" s="19">
        <f>IF(A984="",0,IF(N(J984)&gt;N(I984),1,0))</f>
        <v/>
      </c>
      <c r="AG984" s="19">
        <f>IF(A984="",0,IF(N(N984)&gt;N(M984)+1,1,0))</f>
        <v/>
      </c>
      <c r="AH984" s="19">
        <f>IF(A984="",0,IF(N(E984)&gt;N(B984),1,0))</f>
        <v/>
      </c>
      <c r="AI984" s="19">
        <f>IF(A984="",0,IF(AND(Z984="Full payment",N(N984)&lt;N(M984)-1),1,0))</f>
        <v/>
      </c>
      <c r="AJ984" s="19">
        <f>IF(A984="",0,IF(N(P984)&lt;0,1,0))</f>
        <v/>
      </c>
      <c r="AK984" s="19">
        <f>IF(A984="",0,IF(COUNTIF($A$7:$A$1006,A984)&gt;1,1,0))</f>
        <v/>
      </c>
    </row>
    <row r="985">
      <c r="A985" s="10" t="n"/>
      <c r="B985" s="17" t="n"/>
      <c r="C985" s="18" t="n"/>
      <c r="D985" s="10" t="n"/>
      <c r="E985" s="17" t="n"/>
      <c r="F985" s="10" t="n"/>
      <c r="G985" s="10" t="n"/>
      <c r="H985" s="10" t="n"/>
      <c r="I985" s="18" t="n"/>
      <c r="J985" s="18" t="n"/>
      <c r="K985" s="18" t="n"/>
      <c r="L985" s="18" t="n"/>
      <c r="M985" s="19">
        <f>IF(K985="","",K985*365/12*L985)</f>
        <v/>
      </c>
      <c r="N985" s="18" t="n"/>
      <c r="O985" s="18" t="n"/>
      <c r="P985" s="18" t="n"/>
      <c r="Q985" s="18" t="n"/>
      <c r="R985" s="10" t="n"/>
      <c r="S985" s="17" t="n"/>
      <c r="T985" s="18" t="n"/>
      <c r="U985" s="17" t="n"/>
      <c r="V985" s="17" t="n"/>
      <c r="W985" s="18" t="n"/>
      <c r="X985" s="18" t="n"/>
      <c r="Y985" s="17" t="n"/>
      <c r="Z985" s="10" t="n"/>
      <c r="AA985" s="10" t="n"/>
      <c r="AB985" s="19">
        <f>IF(LEN(A985)&gt;0,1,0)</f>
        <v/>
      </c>
      <c r="AC985" s="19">
        <f>IF(LEN(A985)=0,0,(LEN(B985)=0)+(LEN(C985)=0)+(LEN(D985)=0)+(LEN(E985)=0)+(LEN(F985)=0)+(LEN(G985)=0)+(LEN(H985)=0)+(LEN(I985)=0)+(LEN(J985)=0)+(LEN(K985)=0)+(LEN(L985)=0)+(LEN(N985)=0)+(LEN(O985)=0)+(LEN(P985)=0)+(LEN(R985)=0)+(LEN(AA985)=0))</f>
        <v/>
      </c>
      <c r="AD985" s="19">
        <f>IF(OR(LEN(A985)=0,LEN(C985)=0),0,IF(OR(C985&lt;1,C985&gt;5),1,0))</f>
        <v/>
      </c>
      <c r="AE985" s="19">
        <f>IF(OR(LEN(A985)=0,LEN(R985)=0),0,IF(OR(R985="Active",R985="Paid off",R985="Defaulted",R985="Repossessed",R985="Written off",R985="Restructured"),0,1))</f>
        <v/>
      </c>
      <c r="AF985" s="19">
        <f>IF(A985="",0,IF(N(J985)&gt;N(I985),1,0))</f>
        <v/>
      </c>
      <c r="AG985" s="19">
        <f>IF(A985="",0,IF(N(N985)&gt;N(M985)+1,1,0))</f>
        <v/>
      </c>
      <c r="AH985" s="19">
        <f>IF(A985="",0,IF(N(E985)&gt;N(B985),1,0))</f>
        <v/>
      </c>
      <c r="AI985" s="19">
        <f>IF(A985="",0,IF(AND(Z985="Full payment",N(N985)&lt;N(M985)-1),1,0))</f>
        <v/>
      </c>
      <c r="AJ985" s="19">
        <f>IF(A985="",0,IF(N(P985)&lt;0,1,0))</f>
        <v/>
      </c>
      <c r="AK985" s="19">
        <f>IF(A985="",0,IF(COUNTIF($A$7:$A$1006,A985)&gt;1,1,0))</f>
        <v/>
      </c>
    </row>
    <row r="986">
      <c r="A986" s="10" t="n"/>
      <c r="B986" s="17" t="n"/>
      <c r="C986" s="18" t="n"/>
      <c r="D986" s="10" t="n"/>
      <c r="E986" s="17" t="n"/>
      <c r="F986" s="10" t="n"/>
      <c r="G986" s="10" t="n"/>
      <c r="H986" s="10" t="n"/>
      <c r="I986" s="18" t="n"/>
      <c r="J986" s="18" t="n"/>
      <c r="K986" s="18" t="n"/>
      <c r="L986" s="18" t="n"/>
      <c r="M986" s="19">
        <f>IF(K986="","",K986*365/12*L986)</f>
        <v/>
      </c>
      <c r="N986" s="18" t="n"/>
      <c r="O986" s="18" t="n"/>
      <c r="P986" s="18" t="n"/>
      <c r="Q986" s="18" t="n"/>
      <c r="R986" s="10" t="n"/>
      <c r="S986" s="17" t="n"/>
      <c r="T986" s="18" t="n"/>
      <c r="U986" s="17" t="n"/>
      <c r="V986" s="17" t="n"/>
      <c r="W986" s="18" t="n"/>
      <c r="X986" s="18" t="n"/>
      <c r="Y986" s="17" t="n"/>
      <c r="Z986" s="10" t="n"/>
      <c r="AA986" s="10" t="n"/>
      <c r="AB986" s="19">
        <f>IF(LEN(A986)&gt;0,1,0)</f>
        <v/>
      </c>
      <c r="AC986" s="19">
        <f>IF(LEN(A986)=0,0,(LEN(B986)=0)+(LEN(C986)=0)+(LEN(D986)=0)+(LEN(E986)=0)+(LEN(F986)=0)+(LEN(G986)=0)+(LEN(H986)=0)+(LEN(I986)=0)+(LEN(J986)=0)+(LEN(K986)=0)+(LEN(L986)=0)+(LEN(N986)=0)+(LEN(O986)=0)+(LEN(P986)=0)+(LEN(R986)=0)+(LEN(AA986)=0))</f>
        <v/>
      </c>
      <c r="AD986" s="19">
        <f>IF(OR(LEN(A986)=0,LEN(C986)=0),0,IF(OR(C986&lt;1,C986&gt;5),1,0))</f>
        <v/>
      </c>
      <c r="AE986" s="19">
        <f>IF(OR(LEN(A986)=0,LEN(R986)=0),0,IF(OR(R986="Active",R986="Paid off",R986="Defaulted",R986="Repossessed",R986="Written off",R986="Restructured"),0,1))</f>
        <v/>
      </c>
      <c r="AF986" s="19">
        <f>IF(A986="",0,IF(N(J986)&gt;N(I986),1,0))</f>
        <v/>
      </c>
      <c r="AG986" s="19">
        <f>IF(A986="",0,IF(N(N986)&gt;N(M986)+1,1,0))</f>
        <v/>
      </c>
      <c r="AH986" s="19">
        <f>IF(A986="",0,IF(N(E986)&gt;N(B986),1,0))</f>
        <v/>
      </c>
      <c r="AI986" s="19">
        <f>IF(A986="",0,IF(AND(Z986="Full payment",N(N986)&lt;N(M986)-1),1,0))</f>
        <v/>
      </c>
      <c r="AJ986" s="19">
        <f>IF(A986="",0,IF(N(P986)&lt;0,1,0))</f>
        <v/>
      </c>
      <c r="AK986" s="19">
        <f>IF(A986="",0,IF(COUNTIF($A$7:$A$1006,A986)&gt;1,1,0))</f>
        <v/>
      </c>
    </row>
    <row r="987">
      <c r="A987" s="10" t="n"/>
      <c r="B987" s="17" t="n"/>
      <c r="C987" s="18" t="n"/>
      <c r="D987" s="10" t="n"/>
      <c r="E987" s="17" t="n"/>
      <c r="F987" s="10" t="n"/>
      <c r="G987" s="10" t="n"/>
      <c r="H987" s="10" t="n"/>
      <c r="I987" s="18" t="n"/>
      <c r="J987" s="18" t="n"/>
      <c r="K987" s="18" t="n"/>
      <c r="L987" s="18" t="n"/>
      <c r="M987" s="19">
        <f>IF(K987="","",K987*365/12*L987)</f>
        <v/>
      </c>
      <c r="N987" s="18" t="n"/>
      <c r="O987" s="18" t="n"/>
      <c r="P987" s="18" t="n"/>
      <c r="Q987" s="18" t="n"/>
      <c r="R987" s="10" t="n"/>
      <c r="S987" s="17" t="n"/>
      <c r="T987" s="18" t="n"/>
      <c r="U987" s="17" t="n"/>
      <c r="V987" s="17" t="n"/>
      <c r="W987" s="18" t="n"/>
      <c r="X987" s="18" t="n"/>
      <c r="Y987" s="17" t="n"/>
      <c r="Z987" s="10" t="n"/>
      <c r="AA987" s="10" t="n"/>
      <c r="AB987" s="19">
        <f>IF(LEN(A987)&gt;0,1,0)</f>
        <v/>
      </c>
      <c r="AC987" s="19">
        <f>IF(LEN(A987)=0,0,(LEN(B987)=0)+(LEN(C987)=0)+(LEN(D987)=0)+(LEN(E987)=0)+(LEN(F987)=0)+(LEN(G987)=0)+(LEN(H987)=0)+(LEN(I987)=0)+(LEN(J987)=0)+(LEN(K987)=0)+(LEN(L987)=0)+(LEN(N987)=0)+(LEN(O987)=0)+(LEN(P987)=0)+(LEN(R987)=0)+(LEN(AA987)=0))</f>
        <v/>
      </c>
      <c r="AD987" s="19">
        <f>IF(OR(LEN(A987)=0,LEN(C987)=0),0,IF(OR(C987&lt;1,C987&gt;5),1,0))</f>
        <v/>
      </c>
      <c r="AE987" s="19">
        <f>IF(OR(LEN(A987)=0,LEN(R987)=0),0,IF(OR(R987="Active",R987="Paid off",R987="Defaulted",R987="Repossessed",R987="Written off",R987="Restructured"),0,1))</f>
        <v/>
      </c>
      <c r="AF987" s="19">
        <f>IF(A987="",0,IF(N(J987)&gt;N(I987),1,0))</f>
        <v/>
      </c>
      <c r="AG987" s="19">
        <f>IF(A987="",0,IF(N(N987)&gt;N(M987)+1,1,0))</f>
        <v/>
      </c>
      <c r="AH987" s="19">
        <f>IF(A987="",0,IF(N(E987)&gt;N(B987),1,0))</f>
        <v/>
      </c>
      <c r="AI987" s="19">
        <f>IF(A987="",0,IF(AND(Z987="Full payment",N(N987)&lt;N(M987)-1),1,0))</f>
        <v/>
      </c>
      <c r="AJ987" s="19">
        <f>IF(A987="",0,IF(N(P987)&lt;0,1,0))</f>
        <v/>
      </c>
      <c r="AK987" s="19">
        <f>IF(A987="",0,IF(COUNTIF($A$7:$A$1006,A987)&gt;1,1,0))</f>
        <v/>
      </c>
    </row>
    <row r="988">
      <c r="A988" s="10" t="n"/>
      <c r="B988" s="17" t="n"/>
      <c r="C988" s="18" t="n"/>
      <c r="D988" s="10" t="n"/>
      <c r="E988" s="17" t="n"/>
      <c r="F988" s="10" t="n"/>
      <c r="G988" s="10" t="n"/>
      <c r="H988" s="10" t="n"/>
      <c r="I988" s="18" t="n"/>
      <c r="J988" s="18" t="n"/>
      <c r="K988" s="18" t="n"/>
      <c r="L988" s="18" t="n"/>
      <c r="M988" s="19">
        <f>IF(K988="","",K988*365/12*L988)</f>
        <v/>
      </c>
      <c r="N988" s="18" t="n"/>
      <c r="O988" s="18" t="n"/>
      <c r="P988" s="18" t="n"/>
      <c r="Q988" s="18" t="n"/>
      <c r="R988" s="10" t="n"/>
      <c r="S988" s="17" t="n"/>
      <c r="T988" s="18" t="n"/>
      <c r="U988" s="17" t="n"/>
      <c r="V988" s="17" t="n"/>
      <c r="W988" s="18" t="n"/>
      <c r="X988" s="18" t="n"/>
      <c r="Y988" s="17" t="n"/>
      <c r="Z988" s="10" t="n"/>
      <c r="AA988" s="10" t="n"/>
      <c r="AB988" s="19">
        <f>IF(LEN(A988)&gt;0,1,0)</f>
        <v/>
      </c>
      <c r="AC988" s="19">
        <f>IF(LEN(A988)=0,0,(LEN(B988)=0)+(LEN(C988)=0)+(LEN(D988)=0)+(LEN(E988)=0)+(LEN(F988)=0)+(LEN(G988)=0)+(LEN(H988)=0)+(LEN(I988)=0)+(LEN(J988)=0)+(LEN(K988)=0)+(LEN(L988)=0)+(LEN(N988)=0)+(LEN(O988)=0)+(LEN(P988)=0)+(LEN(R988)=0)+(LEN(AA988)=0))</f>
        <v/>
      </c>
      <c r="AD988" s="19">
        <f>IF(OR(LEN(A988)=0,LEN(C988)=0),0,IF(OR(C988&lt;1,C988&gt;5),1,0))</f>
        <v/>
      </c>
      <c r="AE988" s="19">
        <f>IF(OR(LEN(A988)=0,LEN(R988)=0),0,IF(OR(R988="Active",R988="Paid off",R988="Defaulted",R988="Repossessed",R988="Written off",R988="Restructured"),0,1))</f>
        <v/>
      </c>
      <c r="AF988" s="19">
        <f>IF(A988="",0,IF(N(J988)&gt;N(I988),1,0))</f>
        <v/>
      </c>
      <c r="AG988" s="19">
        <f>IF(A988="",0,IF(N(N988)&gt;N(M988)+1,1,0))</f>
        <v/>
      </c>
      <c r="AH988" s="19">
        <f>IF(A988="",0,IF(N(E988)&gt;N(B988),1,0))</f>
        <v/>
      </c>
      <c r="AI988" s="19">
        <f>IF(A988="",0,IF(AND(Z988="Full payment",N(N988)&lt;N(M988)-1),1,0))</f>
        <v/>
      </c>
      <c r="AJ988" s="19">
        <f>IF(A988="",0,IF(N(P988)&lt;0,1,0))</f>
        <v/>
      </c>
      <c r="AK988" s="19">
        <f>IF(A988="",0,IF(COUNTIF($A$7:$A$1006,A988)&gt;1,1,0))</f>
        <v/>
      </c>
    </row>
    <row r="989">
      <c r="A989" s="10" t="n"/>
      <c r="B989" s="17" t="n"/>
      <c r="C989" s="18" t="n"/>
      <c r="D989" s="10" t="n"/>
      <c r="E989" s="17" t="n"/>
      <c r="F989" s="10" t="n"/>
      <c r="G989" s="10" t="n"/>
      <c r="H989" s="10" t="n"/>
      <c r="I989" s="18" t="n"/>
      <c r="J989" s="18" t="n"/>
      <c r="K989" s="18" t="n"/>
      <c r="L989" s="18" t="n"/>
      <c r="M989" s="19">
        <f>IF(K989="","",K989*365/12*L989)</f>
        <v/>
      </c>
      <c r="N989" s="18" t="n"/>
      <c r="O989" s="18" t="n"/>
      <c r="P989" s="18" t="n"/>
      <c r="Q989" s="18" t="n"/>
      <c r="R989" s="10" t="n"/>
      <c r="S989" s="17" t="n"/>
      <c r="T989" s="18" t="n"/>
      <c r="U989" s="17" t="n"/>
      <c r="V989" s="17" t="n"/>
      <c r="W989" s="18" t="n"/>
      <c r="X989" s="18" t="n"/>
      <c r="Y989" s="17" t="n"/>
      <c r="Z989" s="10" t="n"/>
      <c r="AA989" s="10" t="n"/>
      <c r="AB989" s="19">
        <f>IF(LEN(A989)&gt;0,1,0)</f>
        <v/>
      </c>
      <c r="AC989" s="19">
        <f>IF(LEN(A989)=0,0,(LEN(B989)=0)+(LEN(C989)=0)+(LEN(D989)=0)+(LEN(E989)=0)+(LEN(F989)=0)+(LEN(G989)=0)+(LEN(H989)=0)+(LEN(I989)=0)+(LEN(J989)=0)+(LEN(K989)=0)+(LEN(L989)=0)+(LEN(N989)=0)+(LEN(O989)=0)+(LEN(P989)=0)+(LEN(R989)=0)+(LEN(AA989)=0))</f>
        <v/>
      </c>
      <c r="AD989" s="19">
        <f>IF(OR(LEN(A989)=0,LEN(C989)=0),0,IF(OR(C989&lt;1,C989&gt;5),1,0))</f>
        <v/>
      </c>
      <c r="AE989" s="19">
        <f>IF(OR(LEN(A989)=0,LEN(R989)=0),0,IF(OR(R989="Active",R989="Paid off",R989="Defaulted",R989="Repossessed",R989="Written off",R989="Restructured"),0,1))</f>
        <v/>
      </c>
      <c r="AF989" s="19">
        <f>IF(A989="",0,IF(N(J989)&gt;N(I989),1,0))</f>
        <v/>
      </c>
      <c r="AG989" s="19">
        <f>IF(A989="",0,IF(N(N989)&gt;N(M989)+1,1,0))</f>
        <v/>
      </c>
      <c r="AH989" s="19">
        <f>IF(A989="",0,IF(N(E989)&gt;N(B989),1,0))</f>
        <v/>
      </c>
      <c r="AI989" s="19">
        <f>IF(A989="",0,IF(AND(Z989="Full payment",N(N989)&lt;N(M989)-1),1,0))</f>
        <v/>
      </c>
      <c r="AJ989" s="19">
        <f>IF(A989="",0,IF(N(P989)&lt;0,1,0))</f>
        <v/>
      </c>
      <c r="AK989" s="19">
        <f>IF(A989="",0,IF(COUNTIF($A$7:$A$1006,A989)&gt;1,1,0))</f>
        <v/>
      </c>
    </row>
    <row r="990">
      <c r="A990" s="10" t="n"/>
      <c r="B990" s="17" t="n"/>
      <c r="C990" s="18" t="n"/>
      <c r="D990" s="10" t="n"/>
      <c r="E990" s="17" t="n"/>
      <c r="F990" s="10" t="n"/>
      <c r="G990" s="10" t="n"/>
      <c r="H990" s="10" t="n"/>
      <c r="I990" s="18" t="n"/>
      <c r="J990" s="18" t="n"/>
      <c r="K990" s="18" t="n"/>
      <c r="L990" s="18" t="n"/>
      <c r="M990" s="19">
        <f>IF(K990="","",K990*365/12*L990)</f>
        <v/>
      </c>
      <c r="N990" s="18" t="n"/>
      <c r="O990" s="18" t="n"/>
      <c r="P990" s="18" t="n"/>
      <c r="Q990" s="18" t="n"/>
      <c r="R990" s="10" t="n"/>
      <c r="S990" s="17" t="n"/>
      <c r="T990" s="18" t="n"/>
      <c r="U990" s="17" t="n"/>
      <c r="V990" s="17" t="n"/>
      <c r="W990" s="18" t="n"/>
      <c r="X990" s="18" t="n"/>
      <c r="Y990" s="17" t="n"/>
      <c r="Z990" s="10" t="n"/>
      <c r="AA990" s="10" t="n"/>
      <c r="AB990" s="19">
        <f>IF(LEN(A990)&gt;0,1,0)</f>
        <v/>
      </c>
      <c r="AC990" s="19">
        <f>IF(LEN(A990)=0,0,(LEN(B990)=0)+(LEN(C990)=0)+(LEN(D990)=0)+(LEN(E990)=0)+(LEN(F990)=0)+(LEN(G990)=0)+(LEN(H990)=0)+(LEN(I990)=0)+(LEN(J990)=0)+(LEN(K990)=0)+(LEN(L990)=0)+(LEN(N990)=0)+(LEN(O990)=0)+(LEN(P990)=0)+(LEN(R990)=0)+(LEN(AA990)=0))</f>
        <v/>
      </c>
      <c r="AD990" s="19">
        <f>IF(OR(LEN(A990)=0,LEN(C990)=0),0,IF(OR(C990&lt;1,C990&gt;5),1,0))</f>
        <v/>
      </c>
      <c r="AE990" s="19">
        <f>IF(OR(LEN(A990)=0,LEN(R990)=0),0,IF(OR(R990="Active",R990="Paid off",R990="Defaulted",R990="Repossessed",R990="Written off",R990="Restructured"),0,1))</f>
        <v/>
      </c>
      <c r="AF990" s="19">
        <f>IF(A990="",0,IF(N(J990)&gt;N(I990),1,0))</f>
        <v/>
      </c>
      <c r="AG990" s="19">
        <f>IF(A990="",0,IF(N(N990)&gt;N(M990)+1,1,0))</f>
        <v/>
      </c>
      <c r="AH990" s="19">
        <f>IF(A990="",0,IF(N(E990)&gt;N(B990),1,0))</f>
        <v/>
      </c>
      <c r="AI990" s="19">
        <f>IF(A990="",0,IF(AND(Z990="Full payment",N(N990)&lt;N(M990)-1),1,0))</f>
        <v/>
      </c>
      <c r="AJ990" s="19">
        <f>IF(A990="",0,IF(N(P990)&lt;0,1,0))</f>
        <v/>
      </c>
      <c r="AK990" s="19">
        <f>IF(A990="",0,IF(COUNTIF($A$7:$A$1006,A990)&gt;1,1,0))</f>
        <v/>
      </c>
    </row>
    <row r="991">
      <c r="A991" s="10" t="n"/>
      <c r="B991" s="17" t="n"/>
      <c r="C991" s="18" t="n"/>
      <c r="D991" s="10" t="n"/>
      <c r="E991" s="17" t="n"/>
      <c r="F991" s="10" t="n"/>
      <c r="G991" s="10" t="n"/>
      <c r="H991" s="10" t="n"/>
      <c r="I991" s="18" t="n"/>
      <c r="J991" s="18" t="n"/>
      <c r="K991" s="18" t="n"/>
      <c r="L991" s="18" t="n"/>
      <c r="M991" s="19">
        <f>IF(K991="","",K991*365/12*L991)</f>
        <v/>
      </c>
      <c r="N991" s="18" t="n"/>
      <c r="O991" s="18" t="n"/>
      <c r="P991" s="18" t="n"/>
      <c r="Q991" s="18" t="n"/>
      <c r="R991" s="10" t="n"/>
      <c r="S991" s="17" t="n"/>
      <c r="T991" s="18" t="n"/>
      <c r="U991" s="17" t="n"/>
      <c r="V991" s="17" t="n"/>
      <c r="W991" s="18" t="n"/>
      <c r="X991" s="18" t="n"/>
      <c r="Y991" s="17" t="n"/>
      <c r="Z991" s="10" t="n"/>
      <c r="AA991" s="10" t="n"/>
      <c r="AB991" s="19">
        <f>IF(LEN(A991)&gt;0,1,0)</f>
        <v/>
      </c>
      <c r="AC991" s="19">
        <f>IF(LEN(A991)=0,0,(LEN(B991)=0)+(LEN(C991)=0)+(LEN(D991)=0)+(LEN(E991)=0)+(LEN(F991)=0)+(LEN(G991)=0)+(LEN(H991)=0)+(LEN(I991)=0)+(LEN(J991)=0)+(LEN(K991)=0)+(LEN(L991)=0)+(LEN(N991)=0)+(LEN(O991)=0)+(LEN(P991)=0)+(LEN(R991)=0)+(LEN(AA991)=0))</f>
        <v/>
      </c>
      <c r="AD991" s="19">
        <f>IF(OR(LEN(A991)=0,LEN(C991)=0),0,IF(OR(C991&lt;1,C991&gt;5),1,0))</f>
        <v/>
      </c>
      <c r="AE991" s="19">
        <f>IF(OR(LEN(A991)=0,LEN(R991)=0),0,IF(OR(R991="Active",R991="Paid off",R991="Defaulted",R991="Repossessed",R991="Written off",R991="Restructured"),0,1))</f>
        <v/>
      </c>
      <c r="AF991" s="19">
        <f>IF(A991="",0,IF(N(J991)&gt;N(I991),1,0))</f>
        <v/>
      </c>
      <c r="AG991" s="19">
        <f>IF(A991="",0,IF(N(N991)&gt;N(M991)+1,1,0))</f>
        <v/>
      </c>
      <c r="AH991" s="19">
        <f>IF(A991="",0,IF(N(E991)&gt;N(B991),1,0))</f>
        <v/>
      </c>
      <c r="AI991" s="19">
        <f>IF(A991="",0,IF(AND(Z991="Full payment",N(N991)&lt;N(M991)-1),1,0))</f>
        <v/>
      </c>
      <c r="AJ991" s="19">
        <f>IF(A991="",0,IF(N(P991)&lt;0,1,0))</f>
        <v/>
      </c>
      <c r="AK991" s="19">
        <f>IF(A991="",0,IF(COUNTIF($A$7:$A$1006,A991)&gt;1,1,0))</f>
        <v/>
      </c>
    </row>
    <row r="992">
      <c r="A992" s="10" t="n"/>
      <c r="B992" s="17" t="n"/>
      <c r="C992" s="18" t="n"/>
      <c r="D992" s="10" t="n"/>
      <c r="E992" s="17" t="n"/>
      <c r="F992" s="10" t="n"/>
      <c r="G992" s="10" t="n"/>
      <c r="H992" s="10" t="n"/>
      <c r="I992" s="18" t="n"/>
      <c r="J992" s="18" t="n"/>
      <c r="K992" s="18" t="n"/>
      <c r="L992" s="18" t="n"/>
      <c r="M992" s="19">
        <f>IF(K992="","",K992*365/12*L992)</f>
        <v/>
      </c>
      <c r="N992" s="18" t="n"/>
      <c r="O992" s="18" t="n"/>
      <c r="P992" s="18" t="n"/>
      <c r="Q992" s="18" t="n"/>
      <c r="R992" s="10" t="n"/>
      <c r="S992" s="17" t="n"/>
      <c r="T992" s="18" t="n"/>
      <c r="U992" s="17" t="n"/>
      <c r="V992" s="17" t="n"/>
      <c r="W992" s="18" t="n"/>
      <c r="X992" s="18" t="n"/>
      <c r="Y992" s="17" t="n"/>
      <c r="Z992" s="10" t="n"/>
      <c r="AA992" s="10" t="n"/>
      <c r="AB992" s="19">
        <f>IF(LEN(A992)&gt;0,1,0)</f>
        <v/>
      </c>
      <c r="AC992" s="19">
        <f>IF(LEN(A992)=0,0,(LEN(B992)=0)+(LEN(C992)=0)+(LEN(D992)=0)+(LEN(E992)=0)+(LEN(F992)=0)+(LEN(G992)=0)+(LEN(H992)=0)+(LEN(I992)=0)+(LEN(J992)=0)+(LEN(K992)=0)+(LEN(L992)=0)+(LEN(N992)=0)+(LEN(O992)=0)+(LEN(P992)=0)+(LEN(R992)=0)+(LEN(AA992)=0))</f>
        <v/>
      </c>
      <c r="AD992" s="19">
        <f>IF(OR(LEN(A992)=0,LEN(C992)=0),0,IF(OR(C992&lt;1,C992&gt;5),1,0))</f>
        <v/>
      </c>
      <c r="AE992" s="19">
        <f>IF(OR(LEN(A992)=0,LEN(R992)=0),0,IF(OR(R992="Active",R992="Paid off",R992="Defaulted",R992="Repossessed",R992="Written off",R992="Restructured"),0,1))</f>
        <v/>
      </c>
      <c r="AF992" s="19">
        <f>IF(A992="",0,IF(N(J992)&gt;N(I992),1,0))</f>
        <v/>
      </c>
      <c r="AG992" s="19">
        <f>IF(A992="",0,IF(N(N992)&gt;N(M992)+1,1,0))</f>
        <v/>
      </c>
      <c r="AH992" s="19">
        <f>IF(A992="",0,IF(N(E992)&gt;N(B992),1,0))</f>
        <v/>
      </c>
      <c r="AI992" s="19">
        <f>IF(A992="",0,IF(AND(Z992="Full payment",N(N992)&lt;N(M992)-1),1,0))</f>
        <v/>
      </c>
      <c r="AJ992" s="19">
        <f>IF(A992="",0,IF(N(P992)&lt;0,1,0))</f>
        <v/>
      </c>
      <c r="AK992" s="19">
        <f>IF(A992="",0,IF(COUNTIF($A$7:$A$1006,A992)&gt;1,1,0))</f>
        <v/>
      </c>
    </row>
    <row r="993">
      <c r="A993" s="10" t="n"/>
      <c r="B993" s="17" t="n"/>
      <c r="C993" s="18" t="n"/>
      <c r="D993" s="10" t="n"/>
      <c r="E993" s="17" t="n"/>
      <c r="F993" s="10" t="n"/>
      <c r="G993" s="10" t="n"/>
      <c r="H993" s="10" t="n"/>
      <c r="I993" s="18" t="n"/>
      <c r="J993" s="18" t="n"/>
      <c r="K993" s="18" t="n"/>
      <c r="L993" s="18" t="n"/>
      <c r="M993" s="19">
        <f>IF(K993="","",K993*365/12*L993)</f>
        <v/>
      </c>
      <c r="N993" s="18" t="n"/>
      <c r="O993" s="18" t="n"/>
      <c r="P993" s="18" t="n"/>
      <c r="Q993" s="18" t="n"/>
      <c r="R993" s="10" t="n"/>
      <c r="S993" s="17" t="n"/>
      <c r="T993" s="18" t="n"/>
      <c r="U993" s="17" t="n"/>
      <c r="V993" s="17" t="n"/>
      <c r="W993" s="18" t="n"/>
      <c r="X993" s="18" t="n"/>
      <c r="Y993" s="17" t="n"/>
      <c r="Z993" s="10" t="n"/>
      <c r="AA993" s="10" t="n"/>
      <c r="AB993" s="19">
        <f>IF(LEN(A993)&gt;0,1,0)</f>
        <v/>
      </c>
      <c r="AC993" s="19">
        <f>IF(LEN(A993)=0,0,(LEN(B993)=0)+(LEN(C993)=0)+(LEN(D993)=0)+(LEN(E993)=0)+(LEN(F993)=0)+(LEN(G993)=0)+(LEN(H993)=0)+(LEN(I993)=0)+(LEN(J993)=0)+(LEN(K993)=0)+(LEN(L993)=0)+(LEN(N993)=0)+(LEN(O993)=0)+(LEN(P993)=0)+(LEN(R993)=0)+(LEN(AA993)=0))</f>
        <v/>
      </c>
      <c r="AD993" s="19">
        <f>IF(OR(LEN(A993)=0,LEN(C993)=0),0,IF(OR(C993&lt;1,C993&gt;5),1,0))</f>
        <v/>
      </c>
      <c r="AE993" s="19">
        <f>IF(OR(LEN(A993)=0,LEN(R993)=0),0,IF(OR(R993="Active",R993="Paid off",R993="Defaulted",R993="Repossessed",R993="Written off",R993="Restructured"),0,1))</f>
        <v/>
      </c>
      <c r="AF993" s="19">
        <f>IF(A993="",0,IF(N(J993)&gt;N(I993),1,0))</f>
        <v/>
      </c>
      <c r="AG993" s="19">
        <f>IF(A993="",0,IF(N(N993)&gt;N(M993)+1,1,0))</f>
        <v/>
      </c>
      <c r="AH993" s="19">
        <f>IF(A993="",0,IF(N(E993)&gt;N(B993),1,0))</f>
        <v/>
      </c>
      <c r="AI993" s="19">
        <f>IF(A993="",0,IF(AND(Z993="Full payment",N(N993)&lt;N(M993)-1),1,0))</f>
        <v/>
      </c>
      <c r="AJ993" s="19">
        <f>IF(A993="",0,IF(N(P993)&lt;0,1,0))</f>
        <v/>
      </c>
      <c r="AK993" s="19">
        <f>IF(A993="",0,IF(COUNTIF($A$7:$A$1006,A993)&gt;1,1,0))</f>
        <v/>
      </c>
    </row>
    <row r="994">
      <c r="A994" s="10" t="n"/>
      <c r="B994" s="17" t="n"/>
      <c r="C994" s="18" t="n"/>
      <c r="D994" s="10" t="n"/>
      <c r="E994" s="17" t="n"/>
      <c r="F994" s="10" t="n"/>
      <c r="G994" s="10" t="n"/>
      <c r="H994" s="10" t="n"/>
      <c r="I994" s="18" t="n"/>
      <c r="J994" s="18" t="n"/>
      <c r="K994" s="18" t="n"/>
      <c r="L994" s="18" t="n"/>
      <c r="M994" s="19">
        <f>IF(K994="","",K994*365/12*L994)</f>
        <v/>
      </c>
      <c r="N994" s="18" t="n"/>
      <c r="O994" s="18" t="n"/>
      <c r="P994" s="18" t="n"/>
      <c r="Q994" s="18" t="n"/>
      <c r="R994" s="10" t="n"/>
      <c r="S994" s="17" t="n"/>
      <c r="T994" s="18" t="n"/>
      <c r="U994" s="17" t="n"/>
      <c r="V994" s="17" t="n"/>
      <c r="W994" s="18" t="n"/>
      <c r="X994" s="18" t="n"/>
      <c r="Y994" s="17" t="n"/>
      <c r="Z994" s="10" t="n"/>
      <c r="AA994" s="10" t="n"/>
      <c r="AB994" s="19">
        <f>IF(LEN(A994)&gt;0,1,0)</f>
        <v/>
      </c>
      <c r="AC994" s="19">
        <f>IF(LEN(A994)=0,0,(LEN(B994)=0)+(LEN(C994)=0)+(LEN(D994)=0)+(LEN(E994)=0)+(LEN(F994)=0)+(LEN(G994)=0)+(LEN(H994)=0)+(LEN(I994)=0)+(LEN(J994)=0)+(LEN(K994)=0)+(LEN(L994)=0)+(LEN(N994)=0)+(LEN(O994)=0)+(LEN(P994)=0)+(LEN(R994)=0)+(LEN(AA994)=0))</f>
        <v/>
      </c>
      <c r="AD994" s="19">
        <f>IF(OR(LEN(A994)=0,LEN(C994)=0),0,IF(OR(C994&lt;1,C994&gt;5),1,0))</f>
        <v/>
      </c>
      <c r="AE994" s="19">
        <f>IF(OR(LEN(A994)=0,LEN(R994)=0),0,IF(OR(R994="Active",R994="Paid off",R994="Defaulted",R994="Repossessed",R994="Written off",R994="Restructured"),0,1))</f>
        <v/>
      </c>
      <c r="AF994" s="19">
        <f>IF(A994="",0,IF(N(J994)&gt;N(I994),1,0))</f>
        <v/>
      </c>
      <c r="AG994" s="19">
        <f>IF(A994="",0,IF(N(N994)&gt;N(M994)+1,1,0))</f>
        <v/>
      </c>
      <c r="AH994" s="19">
        <f>IF(A994="",0,IF(N(E994)&gt;N(B994),1,0))</f>
        <v/>
      </c>
      <c r="AI994" s="19">
        <f>IF(A994="",0,IF(AND(Z994="Full payment",N(N994)&lt;N(M994)-1),1,0))</f>
        <v/>
      </c>
      <c r="AJ994" s="19">
        <f>IF(A994="",0,IF(N(P994)&lt;0,1,0))</f>
        <v/>
      </c>
      <c r="AK994" s="19">
        <f>IF(A994="",0,IF(COUNTIF($A$7:$A$1006,A994)&gt;1,1,0))</f>
        <v/>
      </c>
    </row>
    <row r="995">
      <c r="A995" s="10" t="n"/>
      <c r="B995" s="17" t="n"/>
      <c r="C995" s="18" t="n"/>
      <c r="D995" s="10" t="n"/>
      <c r="E995" s="17" t="n"/>
      <c r="F995" s="10" t="n"/>
      <c r="G995" s="10" t="n"/>
      <c r="H995" s="10" t="n"/>
      <c r="I995" s="18" t="n"/>
      <c r="J995" s="18" t="n"/>
      <c r="K995" s="18" t="n"/>
      <c r="L995" s="18" t="n"/>
      <c r="M995" s="19">
        <f>IF(K995="","",K995*365/12*L995)</f>
        <v/>
      </c>
      <c r="N995" s="18" t="n"/>
      <c r="O995" s="18" t="n"/>
      <c r="P995" s="18" t="n"/>
      <c r="Q995" s="18" t="n"/>
      <c r="R995" s="10" t="n"/>
      <c r="S995" s="17" t="n"/>
      <c r="T995" s="18" t="n"/>
      <c r="U995" s="17" t="n"/>
      <c r="V995" s="17" t="n"/>
      <c r="W995" s="18" t="n"/>
      <c r="X995" s="18" t="n"/>
      <c r="Y995" s="17" t="n"/>
      <c r="Z995" s="10" t="n"/>
      <c r="AA995" s="10" t="n"/>
      <c r="AB995" s="19">
        <f>IF(LEN(A995)&gt;0,1,0)</f>
        <v/>
      </c>
      <c r="AC995" s="19">
        <f>IF(LEN(A995)=0,0,(LEN(B995)=0)+(LEN(C995)=0)+(LEN(D995)=0)+(LEN(E995)=0)+(LEN(F995)=0)+(LEN(G995)=0)+(LEN(H995)=0)+(LEN(I995)=0)+(LEN(J995)=0)+(LEN(K995)=0)+(LEN(L995)=0)+(LEN(N995)=0)+(LEN(O995)=0)+(LEN(P995)=0)+(LEN(R995)=0)+(LEN(AA995)=0))</f>
        <v/>
      </c>
      <c r="AD995" s="19">
        <f>IF(OR(LEN(A995)=0,LEN(C995)=0),0,IF(OR(C995&lt;1,C995&gt;5),1,0))</f>
        <v/>
      </c>
      <c r="AE995" s="19">
        <f>IF(OR(LEN(A995)=0,LEN(R995)=0),0,IF(OR(R995="Active",R995="Paid off",R995="Defaulted",R995="Repossessed",R995="Written off",R995="Restructured"),0,1))</f>
        <v/>
      </c>
      <c r="AF995" s="19">
        <f>IF(A995="",0,IF(N(J995)&gt;N(I995),1,0))</f>
        <v/>
      </c>
      <c r="AG995" s="19">
        <f>IF(A995="",0,IF(N(N995)&gt;N(M995)+1,1,0))</f>
        <v/>
      </c>
      <c r="AH995" s="19">
        <f>IF(A995="",0,IF(N(E995)&gt;N(B995),1,0))</f>
        <v/>
      </c>
      <c r="AI995" s="19">
        <f>IF(A995="",0,IF(AND(Z995="Full payment",N(N995)&lt;N(M995)-1),1,0))</f>
        <v/>
      </c>
      <c r="AJ995" s="19">
        <f>IF(A995="",0,IF(N(P995)&lt;0,1,0))</f>
        <v/>
      </c>
      <c r="AK995" s="19">
        <f>IF(A995="",0,IF(COUNTIF($A$7:$A$1006,A995)&gt;1,1,0))</f>
        <v/>
      </c>
    </row>
    <row r="996">
      <c r="A996" s="10" t="n"/>
      <c r="B996" s="17" t="n"/>
      <c r="C996" s="18" t="n"/>
      <c r="D996" s="10" t="n"/>
      <c r="E996" s="17" t="n"/>
      <c r="F996" s="10" t="n"/>
      <c r="G996" s="10" t="n"/>
      <c r="H996" s="10" t="n"/>
      <c r="I996" s="18" t="n"/>
      <c r="J996" s="18" t="n"/>
      <c r="K996" s="18" t="n"/>
      <c r="L996" s="18" t="n"/>
      <c r="M996" s="19">
        <f>IF(K996="","",K996*365/12*L996)</f>
        <v/>
      </c>
      <c r="N996" s="18" t="n"/>
      <c r="O996" s="18" t="n"/>
      <c r="P996" s="18" t="n"/>
      <c r="Q996" s="18" t="n"/>
      <c r="R996" s="10" t="n"/>
      <c r="S996" s="17" t="n"/>
      <c r="T996" s="18" t="n"/>
      <c r="U996" s="17" t="n"/>
      <c r="V996" s="17" t="n"/>
      <c r="W996" s="18" t="n"/>
      <c r="X996" s="18" t="n"/>
      <c r="Y996" s="17" t="n"/>
      <c r="Z996" s="10" t="n"/>
      <c r="AA996" s="10" t="n"/>
      <c r="AB996" s="19">
        <f>IF(LEN(A996)&gt;0,1,0)</f>
        <v/>
      </c>
      <c r="AC996" s="19">
        <f>IF(LEN(A996)=0,0,(LEN(B996)=0)+(LEN(C996)=0)+(LEN(D996)=0)+(LEN(E996)=0)+(LEN(F996)=0)+(LEN(G996)=0)+(LEN(H996)=0)+(LEN(I996)=0)+(LEN(J996)=0)+(LEN(K996)=0)+(LEN(L996)=0)+(LEN(N996)=0)+(LEN(O996)=0)+(LEN(P996)=0)+(LEN(R996)=0)+(LEN(AA996)=0))</f>
        <v/>
      </c>
      <c r="AD996" s="19">
        <f>IF(OR(LEN(A996)=0,LEN(C996)=0),0,IF(OR(C996&lt;1,C996&gt;5),1,0))</f>
        <v/>
      </c>
      <c r="AE996" s="19">
        <f>IF(OR(LEN(A996)=0,LEN(R996)=0),0,IF(OR(R996="Active",R996="Paid off",R996="Defaulted",R996="Repossessed",R996="Written off",R996="Restructured"),0,1))</f>
        <v/>
      </c>
      <c r="AF996" s="19">
        <f>IF(A996="",0,IF(N(J996)&gt;N(I996),1,0))</f>
        <v/>
      </c>
      <c r="AG996" s="19">
        <f>IF(A996="",0,IF(N(N996)&gt;N(M996)+1,1,0))</f>
        <v/>
      </c>
      <c r="AH996" s="19">
        <f>IF(A996="",0,IF(N(E996)&gt;N(B996),1,0))</f>
        <v/>
      </c>
      <c r="AI996" s="19">
        <f>IF(A996="",0,IF(AND(Z996="Full payment",N(N996)&lt;N(M996)-1),1,0))</f>
        <v/>
      </c>
      <c r="AJ996" s="19">
        <f>IF(A996="",0,IF(N(P996)&lt;0,1,0))</f>
        <v/>
      </c>
      <c r="AK996" s="19">
        <f>IF(A996="",0,IF(COUNTIF($A$7:$A$1006,A996)&gt;1,1,0))</f>
        <v/>
      </c>
    </row>
    <row r="997">
      <c r="A997" s="10" t="n"/>
      <c r="B997" s="17" t="n"/>
      <c r="C997" s="18" t="n"/>
      <c r="D997" s="10" t="n"/>
      <c r="E997" s="17" t="n"/>
      <c r="F997" s="10" t="n"/>
      <c r="G997" s="10" t="n"/>
      <c r="H997" s="10" t="n"/>
      <c r="I997" s="18" t="n"/>
      <c r="J997" s="18" t="n"/>
      <c r="K997" s="18" t="n"/>
      <c r="L997" s="18" t="n"/>
      <c r="M997" s="19">
        <f>IF(K997="","",K997*365/12*L997)</f>
        <v/>
      </c>
      <c r="N997" s="18" t="n"/>
      <c r="O997" s="18" t="n"/>
      <c r="P997" s="18" t="n"/>
      <c r="Q997" s="18" t="n"/>
      <c r="R997" s="10" t="n"/>
      <c r="S997" s="17" t="n"/>
      <c r="T997" s="18" t="n"/>
      <c r="U997" s="17" t="n"/>
      <c r="V997" s="17" t="n"/>
      <c r="W997" s="18" t="n"/>
      <c r="X997" s="18" t="n"/>
      <c r="Y997" s="17" t="n"/>
      <c r="Z997" s="10" t="n"/>
      <c r="AA997" s="10" t="n"/>
      <c r="AB997" s="19">
        <f>IF(LEN(A997)&gt;0,1,0)</f>
        <v/>
      </c>
      <c r="AC997" s="19">
        <f>IF(LEN(A997)=0,0,(LEN(B997)=0)+(LEN(C997)=0)+(LEN(D997)=0)+(LEN(E997)=0)+(LEN(F997)=0)+(LEN(G997)=0)+(LEN(H997)=0)+(LEN(I997)=0)+(LEN(J997)=0)+(LEN(K997)=0)+(LEN(L997)=0)+(LEN(N997)=0)+(LEN(O997)=0)+(LEN(P997)=0)+(LEN(R997)=0)+(LEN(AA997)=0))</f>
        <v/>
      </c>
      <c r="AD997" s="19">
        <f>IF(OR(LEN(A997)=0,LEN(C997)=0),0,IF(OR(C997&lt;1,C997&gt;5),1,0))</f>
        <v/>
      </c>
      <c r="AE997" s="19">
        <f>IF(OR(LEN(A997)=0,LEN(R997)=0),0,IF(OR(R997="Active",R997="Paid off",R997="Defaulted",R997="Repossessed",R997="Written off",R997="Restructured"),0,1))</f>
        <v/>
      </c>
      <c r="AF997" s="19">
        <f>IF(A997="",0,IF(N(J997)&gt;N(I997),1,0))</f>
        <v/>
      </c>
      <c r="AG997" s="19">
        <f>IF(A997="",0,IF(N(N997)&gt;N(M997)+1,1,0))</f>
        <v/>
      </c>
      <c r="AH997" s="19">
        <f>IF(A997="",0,IF(N(E997)&gt;N(B997),1,0))</f>
        <v/>
      </c>
      <c r="AI997" s="19">
        <f>IF(A997="",0,IF(AND(Z997="Full payment",N(N997)&lt;N(M997)-1),1,0))</f>
        <v/>
      </c>
      <c r="AJ997" s="19">
        <f>IF(A997="",0,IF(N(P997)&lt;0,1,0))</f>
        <v/>
      </c>
      <c r="AK997" s="19">
        <f>IF(A997="",0,IF(COUNTIF($A$7:$A$1006,A997)&gt;1,1,0))</f>
        <v/>
      </c>
    </row>
    <row r="998">
      <c r="A998" s="10" t="n"/>
      <c r="B998" s="17" t="n"/>
      <c r="C998" s="18" t="n"/>
      <c r="D998" s="10" t="n"/>
      <c r="E998" s="17" t="n"/>
      <c r="F998" s="10" t="n"/>
      <c r="G998" s="10" t="n"/>
      <c r="H998" s="10" t="n"/>
      <c r="I998" s="18" t="n"/>
      <c r="J998" s="18" t="n"/>
      <c r="K998" s="18" t="n"/>
      <c r="L998" s="18" t="n"/>
      <c r="M998" s="19">
        <f>IF(K998="","",K998*365/12*L998)</f>
        <v/>
      </c>
      <c r="N998" s="18" t="n"/>
      <c r="O998" s="18" t="n"/>
      <c r="P998" s="18" t="n"/>
      <c r="Q998" s="18" t="n"/>
      <c r="R998" s="10" t="n"/>
      <c r="S998" s="17" t="n"/>
      <c r="T998" s="18" t="n"/>
      <c r="U998" s="17" t="n"/>
      <c r="V998" s="17" t="n"/>
      <c r="W998" s="18" t="n"/>
      <c r="X998" s="18" t="n"/>
      <c r="Y998" s="17" t="n"/>
      <c r="Z998" s="10" t="n"/>
      <c r="AA998" s="10" t="n"/>
      <c r="AB998" s="19">
        <f>IF(LEN(A998)&gt;0,1,0)</f>
        <v/>
      </c>
      <c r="AC998" s="19">
        <f>IF(LEN(A998)=0,0,(LEN(B998)=0)+(LEN(C998)=0)+(LEN(D998)=0)+(LEN(E998)=0)+(LEN(F998)=0)+(LEN(G998)=0)+(LEN(H998)=0)+(LEN(I998)=0)+(LEN(J998)=0)+(LEN(K998)=0)+(LEN(L998)=0)+(LEN(N998)=0)+(LEN(O998)=0)+(LEN(P998)=0)+(LEN(R998)=0)+(LEN(AA998)=0))</f>
        <v/>
      </c>
      <c r="AD998" s="19">
        <f>IF(OR(LEN(A998)=0,LEN(C998)=0),0,IF(OR(C998&lt;1,C998&gt;5),1,0))</f>
        <v/>
      </c>
      <c r="AE998" s="19">
        <f>IF(OR(LEN(A998)=0,LEN(R998)=0),0,IF(OR(R998="Active",R998="Paid off",R998="Defaulted",R998="Repossessed",R998="Written off",R998="Restructured"),0,1))</f>
        <v/>
      </c>
      <c r="AF998" s="19">
        <f>IF(A998="",0,IF(N(J998)&gt;N(I998),1,0))</f>
        <v/>
      </c>
      <c r="AG998" s="19">
        <f>IF(A998="",0,IF(N(N998)&gt;N(M998)+1,1,0))</f>
        <v/>
      </c>
      <c r="AH998" s="19">
        <f>IF(A998="",0,IF(N(E998)&gt;N(B998),1,0))</f>
        <v/>
      </c>
      <c r="AI998" s="19">
        <f>IF(A998="",0,IF(AND(Z998="Full payment",N(N998)&lt;N(M998)-1),1,0))</f>
        <v/>
      </c>
      <c r="AJ998" s="19">
        <f>IF(A998="",0,IF(N(P998)&lt;0,1,0))</f>
        <v/>
      </c>
      <c r="AK998" s="19">
        <f>IF(A998="",0,IF(COUNTIF($A$7:$A$1006,A998)&gt;1,1,0))</f>
        <v/>
      </c>
    </row>
    <row r="999">
      <c r="A999" s="10" t="n"/>
      <c r="B999" s="17" t="n"/>
      <c r="C999" s="18" t="n"/>
      <c r="D999" s="10" t="n"/>
      <c r="E999" s="17" t="n"/>
      <c r="F999" s="10" t="n"/>
      <c r="G999" s="10" t="n"/>
      <c r="H999" s="10" t="n"/>
      <c r="I999" s="18" t="n"/>
      <c r="J999" s="18" t="n"/>
      <c r="K999" s="18" t="n"/>
      <c r="L999" s="18" t="n"/>
      <c r="M999" s="19">
        <f>IF(K999="","",K999*365/12*L999)</f>
        <v/>
      </c>
      <c r="N999" s="18" t="n"/>
      <c r="O999" s="18" t="n"/>
      <c r="P999" s="18" t="n"/>
      <c r="Q999" s="18" t="n"/>
      <c r="R999" s="10" t="n"/>
      <c r="S999" s="17" t="n"/>
      <c r="T999" s="18" t="n"/>
      <c r="U999" s="17" t="n"/>
      <c r="V999" s="17" t="n"/>
      <c r="W999" s="18" t="n"/>
      <c r="X999" s="18" t="n"/>
      <c r="Y999" s="17" t="n"/>
      <c r="Z999" s="10" t="n"/>
      <c r="AA999" s="10" t="n"/>
      <c r="AB999" s="19">
        <f>IF(LEN(A999)&gt;0,1,0)</f>
        <v/>
      </c>
      <c r="AC999" s="19">
        <f>IF(LEN(A999)=0,0,(LEN(B999)=0)+(LEN(C999)=0)+(LEN(D999)=0)+(LEN(E999)=0)+(LEN(F999)=0)+(LEN(G999)=0)+(LEN(H999)=0)+(LEN(I999)=0)+(LEN(J999)=0)+(LEN(K999)=0)+(LEN(L999)=0)+(LEN(N999)=0)+(LEN(O999)=0)+(LEN(P999)=0)+(LEN(R999)=0)+(LEN(AA999)=0))</f>
        <v/>
      </c>
      <c r="AD999" s="19">
        <f>IF(OR(LEN(A999)=0,LEN(C999)=0),0,IF(OR(C999&lt;1,C999&gt;5),1,0))</f>
        <v/>
      </c>
      <c r="AE999" s="19">
        <f>IF(OR(LEN(A999)=0,LEN(R999)=0),0,IF(OR(R999="Active",R999="Paid off",R999="Defaulted",R999="Repossessed",R999="Written off",R999="Restructured"),0,1))</f>
        <v/>
      </c>
      <c r="AF999" s="19">
        <f>IF(A999="",0,IF(N(J999)&gt;N(I999),1,0))</f>
        <v/>
      </c>
      <c r="AG999" s="19">
        <f>IF(A999="",0,IF(N(N999)&gt;N(M999)+1,1,0))</f>
        <v/>
      </c>
      <c r="AH999" s="19">
        <f>IF(A999="",0,IF(N(E999)&gt;N(B999),1,0))</f>
        <v/>
      </c>
      <c r="AI999" s="19">
        <f>IF(A999="",0,IF(AND(Z999="Full payment",N(N999)&lt;N(M999)-1),1,0))</f>
        <v/>
      </c>
      <c r="AJ999" s="19">
        <f>IF(A999="",0,IF(N(P999)&lt;0,1,0))</f>
        <v/>
      </c>
      <c r="AK999" s="19">
        <f>IF(A999="",0,IF(COUNTIF($A$7:$A$1006,A999)&gt;1,1,0))</f>
        <v/>
      </c>
    </row>
    <row r="1000">
      <c r="A1000" s="10" t="n"/>
      <c r="B1000" s="17" t="n"/>
      <c r="C1000" s="18" t="n"/>
      <c r="D1000" s="10" t="n"/>
      <c r="E1000" s="17" t="n"/>
      <c r="F1000" s="10" t="n"/>
      <c r="G1000" s="10" t="n"/>
      <c r="H1000" s="10" t="n"/>
      <c r="I1000" s="18" t="n"/>
      <c r="J1000" s="18" t="n"/>
      <c r="K1000" s="18" t="n"/>
      <c r="L1000" s="18" t="n"/>
      <c r="M1000" s="19">
        <f>IF(K1000="","",K1000*365/12*L1000)</f>
        <v/>
      </c>
      <c r="N1000" s="18" t="n"/>
      <c r="O1000" s="18" t="n"/>
      <c r="P1000" s="18" t="n"/>
      <c r="Q1000" s="18" t="n"/>
      <c r="R1000" s="10" t="n"/>
      <c r="S1000" s="17" t="n"/>
      <c r="T1000" s="18" t="n"/>
      <c r="U1000" s="17" t="n"/>
      <c r="V1000" s="17" t="n"/>
      <c r="W1000" s="18" t="n"/>
      <c r="X1000" s="18" t="n"/>
      <c r="Y1000" s="17" t="n"/>
      <c r="Z1000" s="10" t="n"/>
      <c r="AA1000" s="10" t="n"/>
      <c r="AB1000" s="19">
        <f>IF(LEN(A1000)&gt;0,1,0)</f>
        <v/>
      </c>
      <c r="AC1000" s="19">
        <f>IF(LEN(A1000)=0,0,(LEN(B1000)=0)+(LEN(C1000)=0)+(LEN(D1000)=0)+(LEN(E1000)=0)+(LEN(F1000)=0)+(LEN(G1000)=0)+(LEN(H1000)=0)+(LEN(I1000)=0)+(LEN(J1000)=0)+(LEN(K1000)=0)+(LEN(L1000)=0)+(LEN(N1000)=0)+(LEN(O1000)=0)+(LEN(P1000)=0)+(LEN(R1000)=0)+(LEN(AA1000)=0))</f>
        <v/>
      </c>
      <c r="AD1000" s="19">
        <f>IF(OR(LEN(A1000)=0,LEN(C1000)=0),0,IF(OR(C1000&lt;1,C1000&gt;5),1,0))</f>
        <v/>
      </c>
      <c r="AE1000" s="19">
        <f>IF(OR(LEN(A1000)=0,LEN(R1000)=0),0,IF(OR(R1000="Active",R1000="Paid off",R1000="Defaulted",R1000="Repossessed",R1000="Written off",R1000="Restructured"),0,1))</f>
        <v/>
      </c>
      <c r="AF1000" s="19">
        <f>IF(A1000="",0,IF(N(J1000)&gt;N(I1000),1,0))</f>
        <v/>
      </c>
      <c r="AG1000" s="19">
        <f>IF(A1000="",0,IF(N(N1000)&gt;N(M1000)+1,1,0))</f>
        <v/>
      </c>
      <c r="AH1000" s="19">
        <f>IF(A1000="",0,IF(N(E1000)&gt;N(B1000),1,0))</f>
        <v/>
      </c>
      <c r="AI1000" s="19">
        <f>IF(A1000="",0,IF(AND(Z1000="Full payment",N(N1000)&lt;N(M1000)-1),1,0))</f>
        <v/>
      </c>
      <c r="AJ1000" s="19">
        <f>IF(A1000="",0,IF(N(P1000)&lt;0,1,0))</f>
        <v/>
      </c>
      <c r="AK1000" s="19">
        <f>IF(A1000="",0,IF(COUNTIF($A$7:$A$1006,A1000)&gt;1,1,0))</f>
        <v/>
      </c>
    </row>
    <row r="1001">
      <c r="A1001" s="10" t="n"/>
      <c r="B1001" s="17" t="n"/>
      <c r="C1001" s="18" t="n"/>
      <c r="D1001" s="10" t="n"/>
      <c r="E1001" s="17" t="n"/>
      <c r="F1001" s="10" t="n"/>
      <c r="G1001" s="10" t="n"/>
      <c r="H1001" s="10" t="n"/>
      <c r="I1001" s="18" t="n"/>
      <c r="J1001" s="18" t="n"/>
      <c r="K1001" s="18" t="n"/>
      <c r="L1001" s="18" t="n"/>
      <c r="M1001" s="19">
        <f>IF(K1001="","",K1001*365/12*L1001)</f>
        <v/>
      </c>
      <c r="N1001" s="18" t="n"/>
      <c r="O1001" s="18" t="n"/>
      <c r="P1001" s="18" t="n"/>
      <c r="Q1001" s="18" t="n"/>
      <c r="R1001" s="10" t="n"/>
      <c r="S1001" s="17" t="n"/>
      <c r="T1001" s="18" t="n"/>
      <c r="U1001" s="17" t="n"/>
      <c r="V1001" s="17" t="n"/>
      <c r="W1001" s="18" t="n"/>
      <c r="X1001" s="18" t="n"/>
      <c r="Y1001" s="17" t="n"/>
      <c r="Z1001" s="10" t="n"/>
      <c r="AA1001" s="10" t="n"/>
      <c r="AB1001" s="19">
        <f>IF(LEN(A1001)&gt;0,1,0)</f>
        <v/>
      </c>
      <c r="AC1001" s="19">
        <f>IF(LEN(A1001)=0,0,(LEN(B1001)=0)+(LEN(C1001)=0)+(LEN(D1001)=0)+(LEN(E1001)=0)+(LEN(F1001)=0)+(LEN(G1001)=0)+(LEN(H1001)=0)+(LEN(I1001)=0)+(LEN(J1001)=0)+(LEN(K1001)=0)+(LEN(L1001)=0)+(LEN(N1001)=0)+(LEN(O1001)=0)+(LEN(P1001)=0)+(LEN(R1001)=0)+(LEN(AA1001)=0))</f>
        <v/>
      </c>
      <c r="AD1001" s="19">
        <f>IF(OR(LEN(A1001)=0,LEN(C1001)=0),0,IF(OR(C1001&lt;1,C1001&gt;5),1,0))</f>
        <v/>
      </c>
      <c r="AE1001" s="19">
        <f>IF(OR(LEN(A1001)=0,LEN(R1001)=0),0,IF(OR(R1001="Active",R1001="Paid off",R1001="Defaulted",R1001="Repossessed",R1001="Written off",R1001="Restructured"),0,1))</f>
        <v/>
      </c>
      <c r="AF1001" s="19">
        <f>IF(A1001="",0,IF(N(J1001)&gt;N(I1001),1,0))</f>
        <v/>
      </c>
      <c r="AG1001" s="19">
        <f>IF(A1001="",0,IF(N(N1001)&gt;N(M1001)+1,1,0))</f>
        <v/>
      </c>
      <c r="AH1001" s="19">
        <f>IF(A1001="",0,IF(N(E1001)&gt;N(B1001),1,0))</f>
        <v/>
      </c>
      <c r="AI1001" s="19">
        <f>IF(A1001="",0,IF(AND(Z1001="Full payment",N(N1001)&lt;N(M1001)-1),1,0))</f>
        <v/>
      </c>
      <c r="AJ1001" s="19">
        <f>IF(A1001="",0,IF(N(P1001)&lt;0,1,0))</f>
        <v/>
      </c>
      <c r="AK1001" s="19">
        <f>IF(A1001="",0,IF(COUNTIF($A$7:$A$1006,A1001)&gt;1,1,0))</f>
        <v/>
      </c>
    </row>
    <row r="1002">
      <c r="A1002" s="10" t="n"/>
      <c r="B1002" s="17" t="n"/>
      <c r="C1002" s="18" t="n"/>
      <c r="D1002" s="10" t="n"/>
      <c r="E1002" s="17" t="n"/>
      <c r="F1002" s="10" t="n"/>
      <c r="G1002" s="10" t="n"/>
      <c r="H1002" s="10" t="n"/>
      <c r="I1002" s="18" t="n"/>
      <c r="J1002" s="18" t="n"/>
      <c r="K1002" s="18" t="n"/>
      <c r="L1002" s="18" t="n"/>
      <c r="M1002" s="19">
        <f>IF(K1002="","",K1002*365/12*L1002)</f>
        <v/>
      </c>
      <c r="N1002" s="18" t="n"/>
      <c r="O1002" s="18" t="n"/>
      <c r="P1002" s="18" t="n"/>
      <c r="Q1002" s="18" t="n"/>
      <c r="R1002" s="10" t="n"/>
      <c r="S1002" s="17" t="n"/>
      <c r="T1002" s="18" t="n"/>
      <c r="U1002" s="17" t="n"/>
      <c r="V1002" s="17" t="n"/>
      <c r="W1002" s="18" t="n"/>
      <c r="X1002" s="18" t="n"/>
      <c r="Y1002" s="17" t="n"/>
      <c r="Z1002" s="10" t="n"/>
      <c r="AA1002" s="10" t="n"/>
      <c r="AB1002" s="19">
        <f>IF(LEN(A1002)&gt;0,1,0)</f>
        <v/>
      </c>
      <c r="AC1002" s="19">
        <f>IF(LEN(A1002)=0,0,(LEN(B1002)=0)+(LEN(C1002)=0)+(LEN(D1002)=0)+(LEN(E1002)=0)+(LEN(F1002)=0)+(LEN(G1002)=0)+(LEN(H1002)=0)+(LEN(I1002)=0)+(LEN(J1002)=0)+(LEN(K1002)=0)+(LEN(L1002)=0)+(LEN(N1002)=0)+(LEN(O1002)=0)+(LEN(P1002)=0)+(LEN(R1002)=0)+(LEN(AA1002)=0))</f>
        <v/>
      </c>
      <c r="AD1002" s="19">
        <f>IF(OR(LEN(A1002)=0,LEN(C1002)=0),0,IF(OR(C1002&lt;1,C1002&gt;5),1,0))</f>
        <v/>
      </c>
      <c r="AE1002" s="19">
        <f>IF(OR(LEN(A1002)=0,LEN(R1002)=0),0,IF(OR(R1002="Active",R1002="Paid off",R1002="Defaulted",R1002="Repossessed",R1002="Written off",R1002="Restructured"),0,1))</f>
        <v/>
      </c>
      <c r="AF1002" s="19">
        <f>IF(A1002="",0,IF(N(J1002)&gt;N(I1002),1,0))</f>
        <v/>
      </c>
      <c r="AG1002" s="19">
        <f>IF(A1002="",0,IF(N(N1002)&gt;N(M1002)+1,1,0))</f>
        <v/>
      </c>
      <c r="AH1002" s="19">
        <f>IF(A1002="",0,IF(N(E1002)&gt;N(B1002),1,0))</f>
        <v/>
      </c>
      <c r="AI1002" s="19">
        <f>IF(A1002="",0,IF(AND(Z1002="Full payment",N(N1002)&lt;N(M1002)-1),1,0))</f>
        <v/>
      </c>
      <c r="AJ1002" s="19">
        <f>IF(A1002="",0,IF(N(P1002)&lt;0,1,0))</f>
        <v/>
      </c>
      <c r="AK1002" s="19">
        <f>IF(A1002="",0,IF(COUNTIF($A$7:$A$1006,A1002)&gt;1,1,0))</f>
        <v/>
      </c>
    </row>
    <row r="1003">
      <c r="A1003" s="10" t="n"/>
      <c r="B1003" s="17" t="n"/>
      <c r="C1003" s="18" t="n"/>
      <c r="D1003" s="10" t="n"/>
      <c r="E1003" s="17" t="n"/>
      <c r="F1003" s="10" t="n"/>
      <c r="G1003" s="10" t="n"/>
      <c r="H1003" s="10" t="n"/>
      <c r="I1003" s="18" t="n"/>
      <c r="J1003" s="18" t="n"/>
      <c r="K1003" s="18" t="n"/>
      <c r="L1003" s="18" t="n"/>
      <c r="M1003" s="19">
        <f>IF(K1003="","",K1003*365/12*L1003)</f>
        <v/>
      </c>
      <c r="N1003" s="18" t="n"/>
      <c r="O1003" s="18" t="n"/>
      <c r="P1003" s="18" t="n"/>
      <c r="Q1003" s="18" t="n"/>
      <c r="R1003" s="10" t="n"/>
      <c r="S1003" s="17" t="n"/>
      <c r="T1003" s="18" t="n"/>
      <c r="U1003" s="17" t="n"/>
      <c r="V1003" s="17" t="n"/>
      <c r="W1003" s="18" t="n"/>
      <c r="X1003" s="18" t="n"/>
      <c r="Y1003" s="17" t="n"/>
      <c r="Z1003" s="10" t="n"/>
      <c r="AA1003" s="10" t="n"/>
      <c r="AB1003" s="19">
        <f>IF(LEN(A1003)&gt;0,1,0)</f>
        <v/>
      </c>
      <c r="AC1003" s="19">
        <f>IF(LEN(A1003)=0,0,(LEN(B1003)=0)+(LEN(C1003)=0)+(LEN(D1003)=0)+(LEN(E1003)=0)+(LEN(F1003)=0)+(LEN(G1003)=0)+(LEN(H1003)=0)+(LEN(I1003)=0)+(LEN(J1003)=0)+(LEN(K1003)=0)+(LEN(L1003)=0)+(LEN(N1003)=0)+(LEN(O1003)=0)+(LEN(P1003)=0)+(LEN(R1003)=0)+(LEN(AA1003)=0))</f>
        <v/>
      </c>
      <c r="AD1003" s="19">
        <f>IF(OR(LEN(A1003)=0,LEN(C1003)=0),0,IF(OR(C1003&lt;1,C1003&gt;5),1,0))</f>
        <v/>
      </c>
      <c r="AE1003" s="19">
        <f>IF(OR(LEN(A1003)=0,LEN(R1003)=0),0,IF(OR(R1003="Active",R1003="Paid off",R1003="Defaulted",R1003="Repossessed",R1003="Written off",R1003="Restructured"),0,1))</f>
        <v/>
      </c>
      <c r="AF1003" s="19">
        <f>IF(A1003="",0,IF(N(J1003)&gt;N(I1003),1,0))</f>
        <v/>
      </c>
      <c r="AG1003" s="19">
        <f>IF(A1003="",0,IF(N(N1003)&gt;N(M1003)+1,1,0))</f>
        <v/>
      </c>
      <c r="AH1003" s="19">
        <f>IF(A1003="",0,IF(N(E1003)&gt;N(B1003),1,0))</f>
        <v/>
      </c>
      <c r="AI1003" s="19">
        <f>IF(A1003="",0,IF(AND(Z1003="Full payment",N(N1003)&lt;N(M1003)-1),1,0))</f>
        <v/>
      </c>
      <c r="AJ1003" s="19">
        <f>IF(A1003="",0,IF(N(P1003)&lt;0,1,0))</f>
        <v/>
      </c>
      <c r="AK1003" s="19">
        <f>IF(A1003="",0,IF(COUNTIF($A$7:$A$1006,A1003)&gt;1,1,0))</f>
        <v/>
      </c>
    </row>
    <row r="1004">
      <c r="A1004" s="10" t="n"/>
      <c r="B1004" s="17" t="n"/>
      <c r="C1004" s="18" t="n"/>
      <c r="D1004" s="10" t="n"/>
      <c r="E1004" s="17" t="n"/>
      <c r="F1004" s="10" t="n"/>
      <c r="G1004" s="10" t="n"/>
      <c r="H1004" s="10" t="n"/>
      <c r="I1004" s="18" t="n"/>
      <c r="J1004" s="18" t="n"/>
      <c r="K1004" s="18" t="n"/>
      <c r="L1004" s="18" t="n"/>
      <c r="M1004" s="19">
        <f>IF(K1004="","",K1004*365/12*L1004)</f>
        <v/>
      </c>
      <c r="N1004" s="18" t="n"/>
      <c r="O1004" s="18" t="n"/>
      <c r="P1004" s="18" t="n"/>
      <c r="Q1004" s="18" t="n"/>
      <c r="R1004" s="10" t="n"/>
      <c r="S1004" s="17" t="n"/>
      <c r="T1004" s="18" t="n"/>
      <c r="U1004" s="17" t="n"/>
      <c r="V1004" s="17" t="n"/>
      <c r="W1004" s="18" t="n"/>
      <c r="X1004" s="18" t="n"/>
      <c r="Y1004" s="17" t="n"/>
      <c r="Z1004" s="10" t="n"/>
      <c r="AA1004" s="10" t="n"/>
      <c r="AB1004" s="19">
        <f>IF(LEN(A1004)&gt;0,1,0)</f>
        <v/>
      </c>
      <c r="AC1004" s="19">
        <f>IF(LEN(A1004)=0,0,(LEN(B1004)=0)+(LEN(C1004)=0)+(LEN(D1004)=0)+(LEN(E1004)=0)+(LEN(F1004)=0)+(LEN(G1004)=0)+(LEN(H1004)=0)+(LEN(I1004)=0)+(LEN(J1004)=0)+(LEN(K1004)=0)+(LEN(L1004)=0)+(LEN(N1004)=0)+(LEN(O1004)=0)+(LEN(P1004)=0)+(LEN(R1004)=0)+(LEN(AA1004)=0))</f>
        <v/>
      </c>
      <c r="AD1004" s="19">
        <f>IF(OR(LEN(A1004)=0,LEN(C1004)=0),0,IF(OR(C1004&lt;1,C1004&gt;5),1,0))</f>
        <v/>
      </c>
      <c r="AE1004" s="19">
        <f>IF(OR(LEN(A1004)=0,LEN(R1004)=0),0,IF(OR(R1004="Active",R1004="Paid off",R1004="Defaulted",R1004="Repossessed",R1004="Written off",R1004="Restructured"),0,1))</f>
        <v/>
      </c>
      <c r="AF1004" s="19">
        <f>IF(A1004="",0,IF(N(J1004)&gt;N(I1004),1,0))</f>
        <v/>
      </c>
      <c r="AG1004" s="19">
        <f>IF(A1004="",0,IF(N(N1004)&gt;N(M1004)+1,1,0))</f>
        <v/>
      </c>
      <c r="AH1004" s="19">
        <f>IF(A1004="",0,IF(N(E1004)&gt;N(B1004),1,0))</f>
        <v/>
      </c>
      <c r="AI1004" s="19">
        <f>IF(A1004="",0,IF(AND(Z1004="Full payment",N(N1004)&lt;N(M1004)-1),1,0))</f>
        <v/>
      </c>
      <c r="AJ1004" s="19">
        <f>IF(A1004="",0,IF(N(P1004)&lt;0,1,0))</f>
        <v/>
      </c>
      <c r="AK1004" s="19">
        <f>IF(A1004="",0,IF(COUNTIF($A$7:$A$1006,A1004)&gt;1,1,0))</f>
        <v/>
      </c>
    </row>
    <row r="1005">
      <c r="A1005" s="10" t="n"/>
      <c r="B1005" s="17" t="n"/>
      <c r="C1005" s="18" t="n"/>
      <c r="D1005" s="10" t="n"/>
      <c r="E1005" s="17" t="n"/>
      <c r="F1005" s="10" t="n"/>
      <c r="G1005" s="10" t="n"/>
      <c r="H1005" s="10" t="n"/>
      <c r="I1005" s="18" t="n"/>
      <c r="J1005" s="18" t="n"/>
      <c r="K1005" s="18" t="n"/>
      <c r="L1005" s="18" t="n"/>
      <c r="M1005" s="19">
        <f>IF(K1005="","",K1005*365/12*L1005)</f>
        <v/>
      </c>
      <c r="N1005" s="18" t="n"/>
      <c r="O1005" s="18" t="n"/>
      <c r="P1005" s="18" t="n"/>
      <c r="Q1005" s="18" t="n"/>
      <c r="R1005" s="10" t="n"/>
      <c r="S1005" s="17" t="n"/>
      <c r="T1005" s="18" t="n"/>
      <c r="U1005" s="17" t="n"/>
      <c r="V1005" s="17" t="n"/>
      <c r="W1005" s="18" t="n"/>
      <c r="X1005" s="18" t="n"/>
      <c r="Y1005" s="17" t="n"/>
      <c r="Z1005" s="10" t="n"/>
      <c r="AA1005" s="10" t="n"/>
      <c r="AB1005" s="19">
        <f>IF(LEN(A1005)&gt;0,1,0)</f>
        <v/>
      </c>
      <c r="AC1005" s="19">
        <f>IF(LEN(A1005)=0,0,(LEN(B1005)=0)+(LEN(C1005)=0)+(LEN(D1005)=0)+(LEN(E1005)=0)+(LEN(F1005)=0)+(LEN(G1005)=0)+(LEN(H1005)=0)+(LEN(I1005)=0)+(LEN(J1005)=0)+(LEN(K1005)=0)+(LEN(L1005)=0)+(LEN(N1005)=0)+(LEN(O1005)=0)+(LEN(P1005)=0)+(LEN(R1005)=0)+(LEN(AA1005)=0))</f>
        <v/>
      </c>
      <c r="AD1005" s="19">
        <f>IF(OR(LEN(A1005)=0,LEN(C1005)=0),0,IF(OR(C1005&lt;1,C1005&gt;5),1,0))</f>
        <v/>
      </c>
      <c r="AE1005" s="19">
        <f>IF(OR(LEN(A1005)=0,LEN(R1005)=0),0,IF(OR(R1005="Active",R1005="Paid off",R1005="Defaulted",R1005="Repossessed",R1005="Written off",R1005="Restructured"),0,1))</f>
        <v/>
      </c>
      <c r="AF1005" s="19">
        <f>IF(A1005="",0,IF(N(J1005)&gt;N(I1005),1,0))</f>
        <v/>
      </c>
      <c r="AG1005" s="19">
        <f>IF(A1005="",0,IF(N(N1005)&gt;N(M1005)+1,1,0))</f>
        <v/>
      </c>
      <c r="AH1005" s="19">
        <f>IF(A1005="",0,IF(N(E1005)&gt;N(B1005),1,0))</f>
        <v/>
      </c>
      <c r="AI1005" s="19">
        <f>IF(A1005="",0,IF(AND(Z1005="Full payment",N(N1005)&lt;N(M1005)-1),1,0))</f>
        <v/>
      </c>
      <c r="AJ1005" s="19">
        <f>IF(A1005="",0,IF(N(P1005)&lt;0,1,0))</f>
        <v/>
      </c>
      <c r="AK1005" s="19">
        <f>IF(A1005="",0,IF(COUNTIF($A$7:$A$1006,A1005)&gt;1,1,0))</f>
        <v/>
      </c>
    </row>
    <row r="1006">
      <c r="A1006" s="10" t="n"/>
      <c r="B1006" s="17" t="n"/>
      <c r="C1006" s="18" t="n"/>
      <c r="D1006" s="10" t="n"/>
      <c r="E1006" s="17" t="n"/>
      <c r="F1006" s="10" t="n"/>
      <c r="G1006" s="10" t="n"/>
      <c r="H1006" s="10" t="n"/>
      <c r="I1006" s="18" t="n"/>
      <c r="J1006" s="18" t="n"/>
      <c r="K1006" s="18" t="n"/>
      <c r="L1006" s="18" t="n"/>
      <c r="M1006" s="19">
        <f>IF(K1006="","",K1006*365/12*L1006)</f>
        <v/>
      </c>
      <c r="N1006" s="18" t="n"/>
      <c r="O1006" s="18" t="n"/>
      <c r="P1006" s="18" t="n"/>
      <c r="Q1006" s="18" t="n"/>
      <c r="R1006" s="10" t="n"/>
      <c r="S1006" s="17" t="n"/>
      <c r="T1006" s="18" t="n"/>
      <c r="U1006" s="17" t="n"/>
      <c r="V1006" s="17" t="n"/>
      <c r="W1006" s="18" t="n"/>
      <c r="X1006" s="18" t="n"/>
      <c r="Y1006" s="17" t="n"/>
      <c r="Z1006" s="10" t="n"/>
      <c r="AA1006" s="10" t="n"/>
      <c r="AB1006" s="19">
        <f>IF(LEN(A1006)&gt;0,1,0)</f>
        <v/>
      </c>
      <c r="AC1006" s="19">
        <f>IF(LEN(A1006)=0,0,(LEN(B1006)=0)+(LEN(C1006)=0)+(LEN(D1006)=0)+(LEN(E1006)=0)+(LEN(F1006)=0)+(LEN(G1006)=0)+(LEN(H1006)=0)+(LEN(I1006)=0)+(LEN(J1006)=0)+(LEN(K1006)=0)+(LEN(L1006)=0)+(LEN(N1006)=0)+(LEN(O1006)=0)+(LEN(P1006)=0)+(LEN(R1006)=0)+(LEN(AA1006)=0))</f>
        <v/>
      </c>
      <c r="AD1006" s="19">
        <f>IF(OR(LEN(A1006)=0,LEN(C1006)=0),0,IF(OR(C1006&lt;1,C1006&gt;5),1,0))</f>
        <v/>
      </c>
      <c r="AE1006" s="19">
        <f>IF(OR(LEN(A1006)=0,LEN(R1006)=0),0,IF(OR(R1006="Active",R1006="Paid off",R1006="Defaulted",R1006="Repossessed",R1006="Written off",R1006="Restructured"),0,1))</f>
        <v/>
      </c>
      <c r="AF1006" s="19">
        <f>IF(A1006="",0,IF(N(J1006)&gt;N(I1006),1,0))</f>
        <v/>
      </c>
      <c r="AG1006" s="19">
        <f>IF(A1006="",0,IF(N(N1006)&gt;N(M1006)+1,1,0))</f>
        <v/>
      </c>
      <c r="AH1006" s="19">
        <f>IF(A1006="",0,IF(N(E1006)&gt;N(B1006),1,0))</f>
        <v/>
      </c>
      <c r="AI1006" s="19">
        <f>IF(A1006="",0,IF(AND(Z1006="Full payment",N(N1006)&lt;N(M1006)-1),1,0))</f>
        <v/>
      </c>
      <c r="AJ1006" s="19">
        <f>IF(A1006="",0,IF(N(P1006)&lt;0,1,0))</f>
        <v/>
      </c>
      <c r="AK1006" s="19">
        <f>IF(A1006="",0,IF(COUNTIF($A$7:$A$1006,A1006)&gt;1,1,0))</f>
        <v/>
      </c>
    </row>
  </sheetData>
  <dataValidations count="4">
    <dataValidation sqref="R7:R1006" showDropDown="0" showInputMessage="0" showErrorMessage="0" allowBlank="1" type="list">
      <formula1>"Active,Paid off,Defaulted,Repossessed,Written off,Restructured"</formula1>
    </dataValidation>
    <dataValidation sqref="Z7:Z1006" showDropDown="0" showInputMessage="0" showErrorMessage="0" allowBlank="1" type="list">
      <formula1>"Full payment,Settlement,Warranty swap,Goodwill,Other"</formula1>
    </dataValidation>
    <dataValidation sqref="AA7:AA1006" showDropDown="0" showInputMessage="0" showErrorMessage="0" allowBlank="1" type="list">
      <formula1>"Yes,No"</formula1>
    </dataValidation>
    <dataValidation sqref="H7:H1006" showDropDown="0" showInputMessage="0" showErrorMessage="0" allowBlank="1" type="list">
      <formula1>"Direct agent,Retail partner,Other"</formula1>
    </dataValidation>
  </dataValidations>
  <printOptions horizontalCentered="1"/>
  <pageMargins left="0.5" right="0.5" top="0.6" bottom="0.7" header="0.5" footer="0.5"/>
  <pageSetup orientation="landscape" paperSize="9" fitToHeight="0" fitToWidth="1"/>
  <headerFooter>
    <oddHeader/>
    <oddFooter>&amp;L&amp;"Arial"&amp;8 Africa Energy Finance | Volume 2 Template T06&amp;C&amp;"Arial"&amp;8 &amp;A&amp;R&amp;"Arial"&amp;8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30" customWidth="1" min="4" max="4"/>
  </cols>
  <sheetData>
    <row r="1">
      <c r="A1" s="1" t="inlineStr">
        <is>
          <t>AFRICA ENERGY FINANCE  |  VOLUME 2  |  SOLAR HOME SYSTEMS</t>
        </is>
      </c>
      <c r="B1" s="2" t="n"/>
      <c r="C1" s="2" t="n"/>
      <c r="D1" s="2" t="n"/>
    </row>
    <row r="2" ht="22" customHeight="1">
      <c r="A2" s="3" t="inlineStr">
        <is>
          <t>Tape validation</t>
        </is>
      </c>
      <c r="B2" s="2" t="n"/>
      <c r="C2" s="2" t="n"/>
      <c r="D2" s="2" t="n"/>
    </row>
    <row r="3">
      <c r="A3" s="4" t="inlineStr">
        <is>
          <t>Every check should read zero before the tape is used</t>
        </is>
      </c>
      <c r="B3" s="2" t="n"/>
      <c r="C3" s="2" t="n"/>
      <c r="D3" s="2" t="n"/>
    </row>
    <row r="4">
      <c r="A4" s="5" t="inlineStr">
        <is>
          <t>Template T06  |  Version 1.0  |  Author &amp; ideation: Emmanuel Boujieka Kamga</t>
        </is>
      </c>
      <c r="B4" s="6" t="n"/>
      <c r="C4" s="6" t="n"/>
      <c r="D4" s="6" t="n"/>
    </row>
    <row r="5"/>
    <row r="6" ht="30" customHeight="1">
      <c r="A6" s="14" t="inlineStr">
        <is>
          <t>Check</t>
        </is>
      </c>
      <c r="B6" s="14" t="inlineStr">
        <is>
          <t>Exceptions</t>
        </is>
      </c>
      <c r="C6" s="14" t="inlineStr">
        <is>
          <t>Status</t>
        </is>
      </c>
      <c r="D6" s="14" t="inlineStr">
        <is>
          <t>Notes</t>
        </is>
      </c>
    </row>
    <row r="7">
      <c r="A7" s="9" t="inlineStr">
        <is>
          <t>Accounts in tape</t>
        </is>
      </c>
      <c r="B7" s="20">
        <f>SUM(Tape!$AB$7:$AB$1006)</f>
        <v/>
      </c>
    </row>
    <row r="8">
      <c r="A8" s="11" t="inlineStr">
        <is>
          <t>Rows with a missing mandatory field</t>
        </is>
      </c>
      <c r="B8" s="19">
        <f>COUNTIF(Tape!$AC$7:$AC$1006,"&gt;0")</f>
        <v/>
      </c>
      <c r="C8" s="12">
        <f>IF(B8=0,"OK","Fix")</f>
        <v/>
      </c>
    </row>
    <row r="9">
      <c r="A9" s="11" t="inlineStr">
        <is>
          <t>Missing mandatory values in total</t>
        </is>
      </c>
      <c r="B9" s="19">
        <f>SUM(Tape!$AC$7:$AC$1006)</f>
        <v/>
      </c>
      <c r="C9" s="12">
        <f>IF(B9=0,"OK","Fix")</f>
        <v/>
      </c>
    </row>
    <row r="10">
      <c r="A10" s="11" t="inlineStr">
        <is>
          <t>Tier outside 1 to 5</t>
        </is>
      </c>
      <c r="B10" s="19">
        <f>SUM(Tape!$AD$7:$AD$1006)</f>
        <v/>
      </c>
      <c r="C10" s="12">
        <f>IF(B10=0,"OK","Fix")</f>
        <v/>
      </c>
    </row>
    <row r="11">
      <c r="A11" s="11" t="inlineStr">
        <is>
          <t>Status not in the list</t>
        </is>
      </c>
      <c r="B11" s="19">
        <f>SUM(Tape!$AE$7:$AE$1006)</f>
        <v/>
      </c>
      <c r="C11" s="12">
        <f>IF(B11=0,"OK","Fix")</f>
        <v/>
      </c>
    </row>
    <row r="12">
      <c r="A12" s="11" t="inlineStr">
        <is>
          <t>Deposit above cash price</t>
        </is>
      </c>
      <c r="B12" s="19">
        <f>SUM(Tape!$AF$7:$AF$1006)</f>
        <v/>
      </c>
      <c r="C12" s="12">
        <f>IF(B12=0,"OK","Fix")</f>
        <v/>
      </c>
    </row>
    <row r="13">
      <c r="A13" s="11" t="inlineStr">
        <is>
          <t>Paid above scheduled instalments</t>
        </is>
      </c>
      <c r="B13" s="19">
        <f>SUM(Tape!$AG$7:$AG$1006)</f>
        <v/>
      </c>
      <c r="C13" s="12">
        <f>IF(B13=0,"OK","Fix")</f>
        <v/>
      </c>
    </row>
    <row r="14">
      <c r="A14" s="11" t="inlineStr">
        <is>
          <t>Origination after report date</t>
        </is>
      </c>
      <c r="B14" s="19">
        <f>SUM(Tape!$AH$7:$AH$1006)</f>
        <v/>
      </c>
      <c r="C14" s="12">
        <f>IF(B14=0,"OK","Fix")</f>
        <v/>
      </c>
    </row>
    <row r="15">
      <c r="A15" s="11" t="inlineStr">
        <is>
          <t>Full payment unlock without full payment</t>
        </is>
      </c>
      <c r="B15" s="19">
        <f>SUM(Tape!$AI$7:$AI$1006)</f>
        <v/>
      </c>
      <c r="C15" s="12">
        <f>IF(B15=0,"OK","Fix")</f>
        <v/>
      </c>
    </row>
    <row r="16">
      <c r="A16" s="11" t="inlineStr">
        <is>
          <t>Negative days past due</t>
        </is>
      </c>
      <c r="B16" s="19">
        <f>SUM(Tape!$AJ$7:$AJ$1006)</f>
        <v/>
      </c>
      <c r="C16" s="12">
        <f>IF(B16=0,"OK","Fix")</f>
        <v/>
      </c>
    </row>
    <row r="17">
      <c r="A17" s="11" t="inlineStr">
        <is>
          <t>Duplicate account identifiers (rows)</t>
        </is>
      </c>
      <c r="B17" s="19">
        <f>SUM(Tape!$AK$7:$AK$1006)</f>
        <v/>
      </c>
      <c r="C17" s="12">
        <f>IF(B17=0,"OK","Fix")</f>
        <v/>
      </c>
    </row>
    <row r="18"/>
    <row r="19">
      <c r="A19" s="9" t="inlineStr">
        <is>
          <t>Tape ready for use</t>
        </is>
      </c>
      <c r="B19" s="15">
        <f>IF(COUNTIF(C8:C17,"Fix")=0,"Yes","No")</f>
        <v/>
      </c>
    </row>
    <row r="20"/>
    <row r="21">
      <c r="A21" s="21" t="inlineStr">
        <is>
          <t>Each check is computed per account in the chk columns at the right of the Tape sheet; filter a chk column on 1 to find the rows to fix. The mandatory fields are listed on Schema.</t>
        </is>
      </c>
    </row>
  </sheetData>
  <conditionalFormatting sqref="C8:C17">
    <cfRule type="expression" priority="1" dxfId="0">
      <formula>C8="Fix"</formula>
    </cfRule>
  </conditionalFormatting>
  <printOptions horizontalCentered="1"/>
  <pageMargins left="0.5" right="0.5" top="0.6" bottom="0.7" header="0.5" footer="0.5"/>
  <pageSetup orientation="portrait" paperSize="9" fitToHeight="0" fitToWidth="1"/>
  <headerFooter>
    <oddHeader/>
    <oddFooter>&amp;L&amp;"Arial"&amp;8 Africa Energy Finance | Volume 2 Template T06&amp;C&amp;"Arial"&amp;8 &amp;A&amp;R&amp;"Arial"&amp;8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AFRICA ENERGY FINANCE  |  VOLUME 2  |  SOLAR HOME SYSTEMS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Data request list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Issue at the start of diligence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5" t="inlineStr">
        <is>
          <t>Template T06  |  Version 1.0  |  Author &amp; ideation: Emmanuel Boujieka Kamga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/>
    <row r="6" ht="30" customHeight="1">
      <c r="A6" s="14" t="inlineStr">
        <is>
          <t>Ref</t>
        </is>
      </c>
      <c r="B6" s="14" t="inlineStr">
        <is>
          <t>Item</t>
        </is>
      </c>
      <c r="C6" s="14" t="inlineStr">
        <is>
          <t>Format</t>
        </is>
      </c>
      <c r="D6" s="14" t="inlineStr">
        <is>
          <t>Period</t>
        </is>
      </c>
      <c r="E6" s="14" t="inlineStr">
        <is>
          <t>Owner</t>
        </is>
      </c>
      <c r="F6" s="14" t="inlineStr">
        <is>
          <t>Requested</t>
        </is>
      </c>
      <c r="G6" s="14" t="inlineStr">
        <is>
          <t>Received</t>
        </is>
      </c>
      <c r="H6" s="14" t="inlineStr">
        <is>
          <t>Status</t>
        </is>
      </c>
      <c r="I6" s="14" t="inlineStr">
        <is>
          <t>Comments</t>
        </is>
      </c>
    </row>
    <row r="7" ht="16" customHeight="1">
      <c r="A7" s="12" t="inlineStr">
        <is>
          <t>DR01</t>
        </is>
      </c>
      <c r="B7" s="16" t="inlineStr">
        <is>
          <t>Account level loan tape (structure on the Tape sheet)</t>
        </is>
      </c>
      <c r="C7" s="12" t="inlineStr">
        <is>
          <t>Excel or CSV</t>
        </is>
      </c>
      <c r="D7" s="12" t="inlineStr">
        <is>
          <t>Since launch</t>
        </is>
      </c>
      <c r="E7" s="10" t="n"/>
      <c r="F7" s="17" t="n"/>
      <c r="G7" s="17" t="n"/>
      <c r="H7" s="10" t="inlineStr">
        <is>
          <t>Not requested</t>
        </is>
      </c>
      <c r="I7" s="10" t="n"/>
    </row>
    <row r="8" ht="30" customHeight="1">
      <c r="A8" s="12" t="inlineStr">
        <is>
          <t>DR02</t>
        </is>
      </c>
      <c r="B8" s="16" t="inlineStr">
        <is>
          <t>Monthly portfolio data by tier: gross receivables, DPD buckets, default exposure, originations, instalments due, collections, write offs, repossessions, resale proceeds and costs, cures, unlocks</t>
        </is>
      </c>
      <c r="C8" s="12" t="inlineStr">
        <is>
          <t>Credit_Input structure</t>
        </is>
      </c>
      <c r="D8" s="12" t="inlineStr">
        <is>
          <t>24 months minimum</t>
        </is>
      </c>
      <c r="E8" s="10" t="n"/>
      <c r="F8" s="17" t="n"/>
      <c r="G8" s="17" t="n"/>
      <c r="H8" s="10" t="inlineStr">
        <is>
          <t>Not requested</t>
        </is>
      </c>
      <c r="I8" s="10" t="n"/>
    </row>
    <row r="9" ht="16" customHeight="1">
      <c r="A9" s="12" t="inlineStr">
        <is>
          <t>DR03</t>
        </is>
      </c>
      <c r="B9" s="16" t="inlineStr">
        <is>
          <t>Cohort observations by tier at fixed ages</t>
        </is>
      </c>
      <c r="C9" s="12" t="inlineStr">
        <is>
          <t>Vintage_Input structure</t>
        </is>
      </c>
      <c r="D9" s="12" t="inlineStr">
        <is>
          <t>All cohorts</t>
        </is>
      </c>
      <c r="E9" s="10" t="n"/>
      <c r="F9" s="17" t="n"/>
      <c r="G9" s="17" t="n"/>
      <c r="H9" s="10" t="inlineStr">
        <is>
          <t>Not requested</t>
        </is>
      </c>
      <c r="I9" s="10" t="n"/>
    </row>
    <row r="10" ht="30" customHeight="1">
      <c r="A10" s="12" t="inlineStr">
        <is>
          <t>DR04</t>
        </is>
      </c>
      <c r="B10" s="16" t="inlineStr">
        <is>
          <t>Reconciliation of DPD buckets and gross receivables to the general ledger</t>
        </is>
      </c>
      <c r="C10" s="12" t="inlineStr">
        <is>
          <t>Excel</t>
        </is>
      </c>
      <c r="D10" s="12" t="inlineStr">
        <is>
          <t>Each month end</t>
        </is>
      </c>
      <c r="E10" s="10" t="n"/>
      <c r="F10" s="17" t="n"/>
      <c r="G10" s="17" t="n"/>
      <c r="H10" s="10" t="inlineStr">
        <is>
          <t>Not requested</t>
        </is>
      </c>
      <c r="I10" s="10" t="n"/>
    </row>
    <row r="11" ht="30" customHeight="1">
      <c r="A11" s="12" t="inlineStr">
        <is>
          <t>DR05</t>
        </is>
      </c>
      <c r="B11" s="16" t="inlineStr">
        <is>
          <t>Credit, write off, restructuring and repossession policies, with the dates each version applied</t>
        </is>
      </c>
      <c r="C11" s="12" t="inlineStr">
        <is>
          <t>PDF</t>
        </is>
      </c>
      <c r="D11" s="12" t="inlineStr">
        <is>
          <t>Current and past versions</t>
        </is>
      </c>
      <c r="E11" s="10" t="n"/>
      <c r="F11" s="17" t="n"/>
      <c r="G11" s="17" t="n"/>
      <c r="H11" s="10" t="inlineStr">
        <is>
          <t>Not requested</t>
        </is>
      </c>
      <c r="I11" s="10" t="n"/>
    </row>
    <row r="12" ht="30" customHeight="1">
      <c r="A12" s="12" t="inlineStr">
        <is>
          <t>DR06</t>
        </is>
      </c>
      <c r="B12" s="16" t="inlineStr">
        <is>
          <t>Price plan history by tier, including deposits, daily rates, tenors and promotions</t>
        </is>
      </c>
      <c r="C12" s="12" t="inlineStr">
        <is>
          <t>Excel</t>
        </is>
      </c>
      <c r="D12" s="12" t="inlineStr">
        <is>
          <t>Since launch</t>
        </is>
      </c>
      <c r="E12" s="10" t="n"/>
      <c r="F12" s="17" t="n"/>
      <c r="G12" s="17" t="n"/>
      <c r="H12" s="10" t="inlineStr">
        <is>
          <t>Not requested</t>
        </is>
      </c>
      <c r="I12" s="10" t="n"/>
    </row>
    <row r="13" ht="30" customHeight="1">
      <c r="A13" s="12" t="inlineStr">
        <is>
          <t>DR07</t>
        </is>
      </c>
      <c r="B13" s="16" t="inlineStr">
        <is>
          <t>Agent register, commission schedules, clawback rules and sales by agent</t>
        </is>
      </c>
      <c r="C13" s="12" t="inlineStr">
        <is>
          <t>Excel</t>
        </is>
      </c>
      <c r="D13" s="12" t="inlineStr">
        <is>
          <t>24 months</t>
        </is>
      </c>
      <c r="E13" s="10" t="n"/>
      <c r="F13" s="17" t="n"/>
      <c r="G13" s="17" t="n"/>
      <c r="H13" s="10" t="inlineStr">
        <is>
          <t>Not requested</t>
        </is>
      </c>
      <c r="I13" s="10" t="n"/>
    </row>
    <row r="14" ht="30" customHeight="1">
      <c r="A14" s="12" t="inlineStr">
        <is>
          <t>DR08</t>
        </is>
      </c>
      <c r="B14" s="16" t="inlineStr">
        <is>
          <t>Unlock logs separated between full payment unlocks and other unlocks</t>
        </is>
      </c>
      <c r="C14" s="12" t="inlineStr">
        <is>
          <t>Excel</t>
        </is>
      </c>
      <c r="D14" s="12" t="inlineStr">
        <is>
          <t>Since launch</t>
        </is>
      </c>
      <c r="E14" s="10" t="n"/>
      <c r="F14" s="17" t="n"/>
      <c r="G14" s="17" t="n"/>
      <c r="H14" s="10" t="inlineStr">
        <is>
          <t>Not requested</t>
        </is>
      </c>
      <c r="I14" s="10" t="n"/>
    </row>
    <row r="15" ht="30" customHeight="1">
      <c r="A15" s="12" t="inlineStr">
        <is>
          <t>DR09</t>
        </is>
      </c>
      <c r="B15" s="16" t="inlineStr">
        <is>
          <t>Audited accounts, monthly management accounts and current budget</t>
        </is>
      </c>
      <c r="C15" s="12" t="inlineStr">
        <is>
          <t>PDF and Excel</t>
        </is>
      </c>
      <c r="D15" s="12" t="inlineStr">
        <is>
          <t>3 years</t>
        </is>
      </c>
      <c r="E15" s="10" t="n"/>
      <c r="F15" s="17" t="n"/>
      <c r="G15" s="17" t="n"/>
      <c r="H15" s="10" t="inlineStr">
        <is>
          <t>Not requested</t>
        </is>
      </c>
      <c r="I15" s="10" t="n"/>
    </row>
    <row r="16" ht="30" customHeight="1">
      <c r="A16" s="12" t="inlineStr">
        <is>
          <t>DR10</t>
        </is>
      </c>
      <c r="B16" s="16" t="inlineStr">
        <is>
          <t>Financing agreements, compliance certificates, waivers and amendments</t>
        </is>
      </c>
      <c r="C16" s="12" t="inlineStr">
        <is>
          <t>PDF</t>
        </is>
      </c>
      <c r="D16" s="12" t="inlineStr">
        <is>
          <t>All current</t>
        </is>
      </c>
      <c r="E16" s="10" t="n"/>
      <c r="F16" s="17" t="n"/>
      <c r="G16" s="17" t="n"/>
      <c r="H16" s="10" t="inlineStr">
        <is>
          <t>Not requested</t>
        </is>
      </c>
      <c r="I16" s="10" t="n"/>
    </row>
    <row r="17" ht="30" customHeight="1">
      <c r="A17" s="12" t="inlineStr">
        <is>
          <t>DR11</t>
        </is>
      </c>
      <c r="B17" s="16" t="inlineStr">
        <is>
          <t>RBF and grant agreements, verification reports and clawback provisions</t>
        </is>
      </c>
      <c r="C17" s="12" t="inlineStr">
        <is>
          <t>PDF</t>
        </is>
      </c>
      <c r="D17" s="12" t="inlineStr">
        <is>
          <t>All current</t>
        </is>
      </c>
      <c r="E17" s="10" t="n"/>
      <c r="F17" s="17" t="n"/>
      <c r="G17" s="17" t="n"/>
      <c r="H17" s="10" t="inlineStr">
        <is>
          <t>Not requested</t>
        </is>
      </c>
      <c r="I17" s="10" t="n"/>
    </row>
    <row r="18" ht="16" customHeight="1">
      <c r="A18" s="12" t="inlineStr">
        <is>
          <t>DR12</t>
        </is>
      </c>
      <c r="B18" s="16" t="inlineStr">
        <is>
          <t>Customer complaint logs and regulatory correspondence</t>
        </is>
      </c>
      <c r="C18" s="12" t="inlineStr">
        <is>
          <t>Excel and PDF</t>
        </is>
      </c>
      <c r="D18" s="12" t="inlineStr">
        <is>
          <t>24 months</t>
        </is>
      </c>
      <c r="E18" s="10" t="n"/>
      <c r="F18" s="17" t="n"/>
      <c r="G18" s="17" t="n"/>
      <c r="H18" s="10" t="inlineStr">
        <is>
          <t>Not requested</t>
        </is>
      </c>
      <c r="I18" s="10" t="n"/>
    </row>
    <row r="19" ht="30" customHeight="1">
      <c r="A19" s="12" t="inlineStr">
        <is>
          <t>DR13</t>
        </is>
      </c>
      <c r="B19" s="16" t="inlineStr">
        <is>
          <t>Hardware supply contracts, warranty terms and FX exposure by currency</t>
        </is>
      </c>
      <c r="C19" s="12" t="inlineStr">
        <is>
          <t>PDF and Excel</t>
        </is>
      </c>
      <c r="D19" s="12" t="inlineStr">
        <is>
          <t>Current</t>
        </is>
      </c>
      <c r="E19" s="10" t="n"/>
      <c r="F19" s="17" t="n"/>
      <c r="G19" s="17" t="n"/>
      <c r="H19" s="10" t="inlineStr">
        <is>
          <t>Not requested</t>
        </is>
      </c>
      <c r="I19" s="10" t="n"/>
    </row>
  </sheetData>
  <dataValidations count="1">
    <dataValidation sqref="H7:H19" showDropDown="0" showInputMessage="0" showErrorMessage="0" allowBlank="1" type="list">
      <formula1>"Not requested,Requested,Received,Reviewed,Incomplete"</formula1>
    </dataValidation>
  </dataValidations>
  <printOptions horizontalCentered="1"/>
  <pageMargins left="0.5" right="0.5" top="0.6" bottom="0.7" header="0.5" footer="0.5"/>
  <pageSetup orientation="landscape" paperSize="9" fitToHeight="0" fitToWidth="1"/>
  <headerFooter>
    <oddHeader/>
    <oddFooter>&amp;L&amp;"Arial"&amp;8 Africa Energy Finance | Volume 2 Template T06&amp;C&amp;"Arial"&amp;8 &amp;A&amp;R&amp;"Arial"&amp;8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Africa Energy Finance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Boujieka Kamga</dc:creator>
  <dc:title xmlns:dc="http://purl.org/dc/elements/1.1/">AEF Volume 2 Template T06: Loan tape specification and data request</dc:title>
  <dc:subject xmlns:dc="http://purl.org/dc/elements/1.1/">Africa Energy Finance, Volume 2 Templates Pack</dc:subject>
  <dcterms:created xmlns:dcterms="http://purl.org/dc/terms/" xmlns:xsi="http://www.w3.org/2001/XMLSchema-instance" xsi:type="dcterms:W3CDTF">2026-10-02T20:58:08Z</dcterms:created>
  <dcterms:modified xmlns:dcterms="http://purl.org/dc/terms/" xmlns:xsi="http://www.w3.org/2001/XMLSchema-instance" xsi:type="dcterms:W3CDTF">2026-10-02T20:58:09Z</dcterms:modified>
  <cp:lastModifiedBy>Emmanuel Boujieka Kamga</cp:lastModifiedBy>
  <cp:keywords>Africa Energy Finance; Volume 2; PAYGo; template</cp:keywords>
</cp:coreProperties>
</file>