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'Checklist'!$A$6:$K$56</definedName>
    <definedName name="_xlnm.Print_Titles" localSheetId="1">'Checklist'!$6:$6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#,##0;(#,##0);0"/>
    <numFmt numFmtId="166" formatCode="0.0%;(0.0%);0.0%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164" fontId="8" fillId="3" borderId="2" pivotButton="0" quotePrefix="0" xfId="0"/>
    <xf numFmtId="0" fontId="7" fillId="0" borderId="2" pivotButton="0" quotePrefix="0" xfId="0"/>
    <xf numFmtId="165" fontId="6" fillId="0" borderId="2" pivotButton="0" quotePrefix="0" xfId="0"/>
    <xf numFmtId="166" fontId="6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Investor due diligence checklist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Template T02  |  Version 0.9 (pre-release)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A working checklist for a credit led diligence on a PAYGo solar company: eight workstreams, the evidence to request, the red flags to look for, and a summary that shows what remains open before the investment committee.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15" customHeight="1">
      <c r="A12" s="9" t="inlineStr">
        <is>
          <t>Step 1</t>
        </is>
      </c>
      <c r="B12" s="8" t="inlineStr">
        <is>
          <t>Assign an owner and a due date to every item on the Checklist sheet.</t>
        </is>
      </c>
    </row>
    <row r="13" ht="30" customHeight="1">
      <c r="A13" s="9" t="inlineStr">
        <is>
          <t>Step 2</t>
        </is>
      </c>
      <c r="B13" s="8" t="inlineStr">
        <is>
          <t>Update the status from the drop down list as evidence arrives; record each finding in plain words.</t>
        </is>
      </c>
    </row>
    <row r="14" ht="30" customHeight="1">
      <c r="A14" s="9" t="inlineStr">
        <is>
          <t>Step 3</t>
        </is>
      </c>
      <c r="B14" s="8" t="inlineStr">
        <is>
          <t>Mark an item Issue found whenever the red flag is present, and keep it open until the memo explains it.</t>
        </is>
      </c>
    </row>
    <row r="15" ht="30" customHeight="1">
      <c r="A15" s="9" t="inlineStr">
        <is>
          <t>Step 4</t>
        </is>
      </c>
      <c r="B15" s="8" t="inlineStr">
        <is>
          <t>Read the Summary sheet before each deal team meeting: high priority items still open block the IC date.</t>
        </is>
      </c>
    </row>
    <row r="16" ht="15" customHeight="1">
      <c r="A16" s="9" t="inlineStr">
        <is>
          <t>Step 5</t>
        </is>
      </c>
      <c r="B16" s="8" t="inlineStr">
        <is>
          <t>Copy every unresolved issue into section 11 of the investment memo (Template T01).</t>
        </is>
      </c>
    </row>
    <row r="17"/>
    <row r="18">
      <c r="A18" s="7" t="inlineStr">
        <is>
          <t>Colour code</t>
        </is>
      </c>
      <c r="B18" s="6" t="n"/>
      <c r="C18" s="6" t="n"/>
      <c r="D18" s="6" t="n"/>
      <c r="E18" s="6" t="n"/>
      <c r="F18" s="6" t="n"/>
    </row>
    <row r="19">
      <c r="A19" s="10" t="inlineStr">
        <is>
          <t>Input</t>
        </is>
      </c>
      <c r="B19" s="11" t="inlineStr">
        <is>
          <t>Blue font on cream: the only cells to edit</t>
        </is>
      </c>
    </row>
    <row r="20">
      <c r="A20" s="12" t="inlineStr">
        <is>
          <t>Formula</t>
        </is>
      </c>
      <c r="B20" s="11" t="inlineStr">
        <is>
          <t>Black font: calculated, do not overwrite</t>
        </is>
      </c>
    </row>
    <row r="21"/>
    <row r="22">
      <c r="A22" s="7" t="inlineStr">
        <is>
          <t>Links to Book 2 and MODEL 2</t>
        </is>
      </c>
      <c r="B22" s="6" t="n"/>
      <c r="C22" s="6" t="n"/>
      <c r="D22" s="6" t="n"/>
      <c r="E22" s="6" t="n"/>
      <c r="F22" s="6" t="n"/>
    </row>
    <row r="23">
      <c r="A23" s="9" t="inlineStr">
        <is>
          <t>Book</t>
        </is>
      </c>
      <c r="B23" s="8" t="inlineStr">
        <is>
          <t>Chapter 15 (diligence workstreams, data request, red flags); Annex D</t>
        </is>
      </c>
    </row>
    <row r="24">
      <c r="A24" s="9" t="inlineStr">
        <is>
          <t>Model</t>
        </is>
      </c>
      <c r="B24" s="8" t="inlineStr">
        <is>
          <t>Credit_Input, Vintage_Input, Consumer_Risk, Investment_Readiness</t>
        </is>
      </c>
    </row>
    <row r="25">
      <c r="A25" s="9" t="inlineStr">
        <is>
          <t>Related templates</t>
        </is>
      </c>
      <c r="B25" s="8" t="inlineStr">
        <is>
          <t>T01 investment memo; T06 loan tape and data request</t>
        </is>
      </c>
    </row>
    <row r="26"/>
    <row r="27">
      <c r="A27" s="13" t="inlineStr">
        <is>
          <t>Decision support material; not investment, legal, tax or accounting advice. Example values are illustrative and refer to the book's worked examples or to the fictional SolaraPay case. (c) 2026 Emmanuel Boujieka Kamga.</t>
        </is>
      </c>
    </row>
    <row r="28"/>
  </sheetData>
  <mergeCells count="10">
    <mergeCell ref="B12:F12"/>
    <mergeCell ref="B24:F24"/>
    <mergeCell ref="B16:F16"/>
    <mergeCell ref="B15:F15"/>
    <mergeCell ref="B25:F25"/>
    <mergeCell ref="A27:F28"/>
    <mergeCell ref="A7:F9"/>
    <mergeCell ref="B23:F23"/>
    <mergeCell ref="B14:F14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Template T02 | Version 0.9 (pre-release)&amp;C&amp;"Arial"&amp;8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36" customWidth="1" min="4" max="4"/>
    <col width="38" customWidth="1" min="5" max="5"/>
    <col width="10" customWidth="1" min="6" max="6"/>
    <col width="14" customWidth="1" min="7" max="7"/>
    <col width="36" customWidth="1" min="8" max="8"/>
    <col width="14" customWidth="1" min="9" max="9"/>
    <col width="12" customWidth="1" min="10" max="10"/>
    <col width="9" customWidth="1" min="11" max="11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Investor due diligence checklist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Status per item; drop down lists in the Priority and Status columns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inlineStr">
        <is>
          <t>Template T02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/>
    <row r="6" ht="30" customHeight="1">
      <c r="A6" s="14" t="inlineStr">
        <is>
          <t>Ref</t>
        </is>
      </c>
      <c r="B6" s="14" t="inlineStr">
        <is>
          <t>Workstream</t>
        </is>
      </c>
      <c r="C6" s="14" t="inlineStr">
        <is>
          <t>Item</t>
        </is>
      </c>
      <c r="D6" s="14" t="inlineStr">
        <is>
          <t>Evidence to request</t>
        </is>
      </c>
      <c r="E6" s="14" t="inlineStr">
        <is>
          <t>Red flag</t>
        </is>
      </c>
      <c r="F6" s="14" t="inlineStr">
        <is>
          <t>Priority</t>
        </is>
      </c>
      <c r="G6" s="14" t="inlineStr">
        <is>
          <t>Status</t>
        </is>
      </c>
      <c r="H6" s="14" t="inlineStr">
        <is>
          <t>Finding</t>
        </is>
      </c>
      <c r="I6" s="14" t="inlineStr">
        <is>
          <t>Owner</t>
        </is>
      </c>
      <c r="J6" s="14" t="inlineStr">
        <is>
          <t>Due date</t>
        </is>
      </c>
      <c r="K6" s="14" t="inlineStr">
        <is>
          <t>Book chapter</t>
        </is>
      </c>
    </row>
    <row r="7" ht="30" customHeight="1">
      <c r="A7" s="12" t="inlineStr">
        <is>
          <t>CM01</t>
        </is>
      </c>
      <c r="B7" s="15" t="inlineStr">
        <is>
          <t>Commercial</t>
        </is>
      </c>
      <c r="C7" s="15" t="inlineStr">
        <is>
          <t>Market and segment definition by tier</t>
        </is>
      </c>
      <c r="D7" s="15" t="inlineStr">
        <is>
          <t>Customer survey; sales by segment and region</t>
        </is>
      </c>
      <c r="E7" s="15" t="inlineStr">
        <is>
          <t>Segments defined by product rather than by customer</t>
        </is>
      </c>
      <c r="F7" s="10" t="inlineStr">
        <is>
          <t>Medium</t>
        </is>
      </c>
      <c r="G7" s="10" t="inlineStr">
        <is>
          <t>Not started</t>
        </is>
      </c>
      <c r="H7" s="10" t="n"/>
      <c r="I7" s="10" t="n"/>
      <c r="J7" s="16" t="n"/>
      <c r="K7" s="12" t="n">
        <v>2</v>
      </c>
    </row>
    <row r="8" ht="30" customHeight="1">
      <c r="A8" s="12" t="inlineStr">
        <is>
          <t>CM02</t>
        </is>
      </c>
      <c r="B8" s="15" t="inlineStr">
        <is>
          <t>Commercial</t>
        </is>
      </c>
      <c r="C8" s="15" t="inlineStr">
        <is>
          <t>Sales history by tier, region and channel, 24 months</t>
        </is>
      </c>
      <c r="D8" s="15" t="inlineStr">
        <is>
          <t>Monthly sales file reconciled to revenue</t>
        </is>
      </c>
      <c r="E8" s="15" t="inlineStr">
        <is>
          <t>Growth driven by deposit waivers or price cuts</t>
        </is>
      </c>
      <c r="F8" s="10" t="inlineStr">
        <is>
          <t>High</t>
        </is>
      </c>
      <c r="G8" s="10" t="inlineStr">
        <is>
          <t>Not started</t>
        </is>
      </c>
      <c r="H8" s="10" t="n"/>
      <c r="I8" s="10" t="n"/>
      <c r="J8" s="16" t="n"/>
      <c r="K8" s="12" t="n">
        <v>5</v>
      </c>
    </row>
    <row r="9" ht="30" customHeight="1">
      <c r="A9" s="12" t="inlineStr">
        <is>
          <t>CM03</t>
        </is>
      </c>
      <c r="B9" s="15" t="inlineStr">
        <is>
          <t>Commercial</t>
        </is>
      </c>
      <c r="C9" s="15" t="inlineStr">
        <is>
          <t>Price plan history</t>
        </is>
      </c>
      <c r="D9" s="15" t="inlineStr">
        <is>
          <t>Price lists with effective dates</t>
        </is>
      </c>
      <c r="E9" s="15" t="inlineStr">
        <is>
          <t>Frequent promotions not recorded in the system</t>
        </is>
      </c>
      <c r="F9" s="10" t="inlineStr">
        <is>
          <t>Medium</t>
        </is>
      </c>
      <c r="G9" s="10" t="inlineStr">
        <is>
          <t>Not started</t>
        </is>
      </c>
      <c r="H9" s="10" t="n"/>
      <c r="I9" s="10" t="n"/>
      <c r="J9" s="16" t="n"/>
      <c r="K9" s="12" t="n">
        <v>4</v>
      </c>
    </row>
    <row r="10" ht="30" customHeight="1">
      <c r="A10" s="12" t="inlineStr">
        <is>
          <t>CM04</t>
        </is>
      </c>
      <c r="B10" s="15" t="inlineStr">
        <is>
          <t>Commercial</t>
        </is>
      </c>
      <c r="C10" s="15" t="inlineStr">
        <is>
          <t>Competitive position and alternatives</t>
        </is>
      </c>
      <c r="D10" s="15" t="inlineStr">
        <is>
          <t>Price comparison with grid, generator and competing systems</t>
        </is>
      </c>
      <c r="E10" s="15" t="inlineStr">
        <is>
          <t>No view of competitor pricing</t>
        </is>
      </c>
      <c r="F10" s="10" t="inlineStr">
        <is>
          <t>Low</t>
        </is>
      </c>
      <c r="G10" s="10" t="inlineStr">
        <is>
          <t>Not started</t>
        </is>
      </c>
      <c r="H10" s="10" t="n"/>
      <c r="I10" s="10" t="n"/>
      <c r="J10" s="16" t="n"/>
      <c r="K10" s="12" t="n">
        <v>2</v>
      </c>
    </row>
    <row r="11" ht="30" customHeight="1">
      <c r="A11" s="12" t="inlineStr">
        <is>
          <t>CM05</t>
        </is>
      </c>
      <c r="B11" s="15" t="inlineStr">
        <is>
          <t>Commercial</t>
        </is>
      </c>
      <c r="C11" s="15" t="inlineStr">
        <is>
          <t>Volume plan against distribution capacity</t>
        </is>
      </c>
      <c r="D11" s="15" t="inlineStr">
        <is>
          <t>Agent and installer headcount plan</t>
        </is>
      </c>
      <c r="E11" s="15" t="inlineStr">
        <is>
          <t>Volume growing faster than the agent network</t>
        </is>
      </c>
      <c r="F11" s="10" t="inlineStr">
        <is>
          <t>Medium</t>
        </is>
      </c>
      <c r="G11" s="10" t="inlineStr">
        <is>
          <t>Not started</t>
        </is>
      </c>
      <c r="H11" s="10" t="n"/>
      <c r="I11" s="10" t="n"/>
      <c r="J11" s="16" t="n"/>
      <c r="K11" s="12" t="n">
        <v>5</v>
      </c>
    </row>
    <row r="12" ht="30" customHeight="1">
      <c r="A12" s="12" t="inlineStr">
        <is>
          <t>CR01</t>
        </is>
      </c>
      <c r="B12" s="15" t="inlineStr">
        <is>
          <t>Credit and data tape</t>
        </is>
      </c>
      <c r="C12" s="15" t="inlineStr">
        <is>
          <t>Account level loan tape</t>
        </is>
      </c>
      <c r="D12" s="15" t="inlineStr">
        <is>
          <t>Tape in the Template T06 structure</t>
        </is>
      </c>
      <c r="E12" s="15" t="inlineStr">
        <is>
          <t>Tape does not reconcile to the ledger</t>
        </is>
      </c>
      <c r="F12" s="10" t="inlineStr">
        <is>
          <t>High</t>
        </is>
      </c>
      <c r="G12" s="10" t="inlineStr">
        <is>
          <t>Not started</t>
        </is>
      </c>
      <c r="H12" s="10" t="n"/>
      <c r="I12" s="10" t="n"/>
      <c r="J12" s="16" t="n"/>
      <c r="K12" s="12" t="n">
        <v>15</v>
      </c>
    </row>
    <row r="13" ht="30" customHeight="1">
      <c r="A13" s="12" t="inlineStr">
        <is>
          <t>CR02</t>
        </is>
      </c>
      <c r="B13" s="15" t="inlineStr">
        <is>
          <t>Credit and data tape</t>
        </is>
      </c>
      <c r="C13" s="15" t="inlineStr">
        <is>
          <t>Monthly portfolio data by tier, at least 24 months</t>
        </is>
      </c>
      <c r="D13" s="15" t="inlineStr">
        <is>
          <t>Data in the Credit_Input structure</t>
        </is>
      </c>
      <c r="E13" s="15" t="inlineStr">
        <is>
          <t>Early months missing or restated</t>
        </is>
      </c>
      <c r="F13" s="10" t="inlineStr">
        <is>
          <t>High</t>
        </is>
      </c>
      <c r="G13" s="10" t="inlineStr">
        <is>
          <t>Not started</t>
        </is>
      </c>
      <c r="H13" s="10" t="n"/>
      <c r="I13" s="10" t="n"/>
      <c r="J13" s="16" t="n"/>
      <c r="K13" s="12" t="n">
        <v>7</v>
      </c>
    </row>
    <row r="14" ht="30" customHeight="1">
      <c r="A14" s="12" t="inlineStr">
        <is>
          <t>CR03</t>
        </is>
      </c>
      <c r="B14" s="15" t="inlineStr">
        <is>
          <t>Credit and data tape</t>
        </is>
      </c>
      <c r="C14" s="15" t="inlineStr">
        <is>
          <t>Cohort repayment curves against plan</t>
        </is>
      </c>
      <c r="D14" s="15" t="inlineStr">
        <is>
          <t>Data in the Vintage_Input structure</t>
        </is>
      </c>
      <c r="E14" s="15" t="inlineStr">
        <is>
          <t>Recent cohorts below older cohorts at the same age</t>
        </is>
      </c>
      <c r="F14" s="10" t="inlineStr">
        <is>
          <t>High</t>
        </is>
      </c>
      <c r="G14" s="10" t="inlineStr">
        <is>
          <t>Not started</t>
        </is>
      </c>
      <c r="H14" s="10" t="n"/>
      <c r="I14" s="10" t="n"/>
      <c r="J14" s="16" t="n"/>
      <c r="K14" s="12" t="n">
        <v>6</v>
      </c>
    </row>
    <row r="15" ht="30" customHeight="1">
      <c r="A15" s="12" t="inlineStr">
        <is>
          <t>CR04</t>
        </is>
      </c>
      <c r="B15" s="15" t="inlineStr">
        <is>
          <t>Credit and data tape</t>
        </is>
      </c>
      <c r="C15" s="15" t="inlineStr">
        <is>
          <t>DPD definition and measurement</t>
        </is>
      </c>
      <c r="D15" s="15" t="inlineStr">
        <is>
          <t>Written definition; platform report</t>
        </is>
      </c>
      <c r="E15" s="15" t="inlineStr">
        <is>
          <t>Days without credit used instead of schedule shortfall, undisclosed</t>
        </is>
      </c>
      <c r="F15" s="10" t="inlineStr">
        <is>
          <t>High</t>
        </is>
      </c>
      <c r="G15" s="10" t="inlineStr">
        <is>
          <t>Not started</t>
        </is>
      </c>
      <c r="H15" s="10" t="n"/>
      <c r="I15" s="10" t="n"/>
      <c r="J15" s="16" t="n"/>
      <c r="K15" s="12" t="n">
        <v>6</v>
      </c>
    </row>
    <row r="16" ht="30" customHeight="1">
      <c r="A16" s="12" t="inlineStr">
        <is>
          <t>CR05</t>
        </is>
      </c>
      <c r="B16" s="15" t="inlineStr">
        <is>
          <t>Credit and data tape</t>
        </is>
      </c>
      <c r="C16" s="15" t="inlineStr">
        <is>
          <t>DPD buckets reconcile to gross receivables</t>
        </is>
      </c>
      <c r="D16" s="15" t="inlineStr">
        <is>
          <t>Monthly reconciliation</t>
        </is>
      </c>
      <c r="E16" s="15" t="inlineStr">
        <is>
          <t>Unexplained reconciliation differences</t>
        </is>
      </c>
      <c r="F16" s="10" t="inlineStr">
        <is>
          <t>High</t>
        </is>
      </c>
      <c r="G16" s="10" t="inlineStr">
        <is>
          <t>Not started</t>
        </is>
      </c>
      <c r="H16" s="10" t="n"/>
      <c r="I16" s="10" t="n"/>
      <c r="J16" s="16" t="n"/>
      <c r="K16" s="12" t="n">
        <v>7</v>
      </c>
    </row>
    <row r="17" ht="30" customHeight="1">
      <c r="A17" s="12" t="inlineStr">
        <is>
          <t>CR06</t>
        </is>
      </c>
      <c r="B17" s="15" t="inlineStr">
        <is>
          <t>Credit and data tape</t>
        </is>
      </c>
      <c r="C17" s="15" t="inlineStr">
        <is>
          <t>Collection rate definition (operational metric)</t>
        </is>
      </c>
      <c r="D17" s="15" t="inlineStr">
        <is>
          <t>Written definition; deposits excluded from both sides</t>
        </is>
      </c>
      <c r="E17" s="15" t="inlineStr">
        <is>
          <t>Deposits included in the numerator, or the collection rate presented as the PERFORM repayment rate</t>
        </is>
      </c>
      <c r="F17" s="10" t="inlineStr">
        <is>
          <t>High</t>
        </is>
      </c>
      <c r="G17" s="10" t="inlineStr">
        <is>
          <t>Not started</t>
        </is>
      </c>
      <c r="H17" s="10" t="n"/>
      <c r="I17" s="10" t="n"/>
      <c r="J17" s="16" t="n"/>
      <c r="K17" s="12" t="n">
        <v>7</v>
      </c>
    </row>
    <row r="18" ht="30" customHeight="1">
      <c r="A18" s="12" t="inlineStr">
        <is>
          <t>CR07</t>
        </is>
      </c>
      <c r="B18" s="15" t="inlineStr">
        <is>
          <t>Credit and data tape</t>
        </is>
      </c>
      <c r="C18" s="15" t="inlineStr">
        <is>
          <t>PAYGo PERFORM 2026 KPIs</t>
        </is>
      </c>
      <c r="D18" s="15" t="inlineStr">
        <is>
          <t>RR PvP, RR PvFin, RR PvP at 90 days, RR PvP at 2x term and OR @2x computed on contract data under the GOGLA Technical Guide (June 2026)</t>
        </is>
      </c>
      <c r="E18" s="15" t="inlineStr">
        <is>
          <t>KPIs not computed, rebuilt from monthly data, or averaged across cohorts instead of summing numerators and denominators</t>
        </is>
      </c>
      <c r="F18" s="10" t="inlineStr">
        <is>
          <t>High</t>
        </is>
      </c>
      <c r="G18" s="10" t="inlineStr">
        <is>
          <t>Not started</t>
        </is>
      </c>
      <c r="H18" s="10" t="n"/>
      <c r="I18" s="10" t="n"/>
      <c r="J18" s="16" t="n"/>
      <c r="K18" s="12" t="n">
        <v>7</v>
      </c>
    </row>
    <row r="19" ht="30" customHeight="1">
      <c r="A19" s="12" t="inlineStr">
        <is>
          <t>CR08</t>
        </is>
      </c>
      <c r="B19" s="15" t="inlineStr">
        <is>
          <t>Credit and data tape</t>
        </is>
      </c>
      <c r="C19" s="15" t="inlineStr">
        <is>
          <t>Restructuring and re-ageing</t>
        </is>
      </c>
      <c r="D19" s="15" t="inlineStr">
        <is>
          <t>Restructuring log with dates</t>
        </is>
      </c>
      <c r="E19" s="15" t="inlineStr">
        <is>
          <t>Re-ageing clustered before reporting or covenant dates</t>
        </is>
      </c>
      <c r="F19" s="10" t="inlineStr">
        <is>
          <t>High</t>
        </is>
      </c>
      <c r="G19" s="10" t="inlineStr">
        <is>
          <t>Not started</t>
        </is>
      </c>
      <c r="H19" s="10" t="n"/>
      <c r="I19" s="10" t="n"/>
      <c r="J19" s="16" t="n"/>
      <c r="K19" s="12" t="n">
        <v>15</v>
      </c>
    </row>
    <row r="20" ht="30" customHeight="1">
      <c r="A20" s="12" t="inlineStr">
        <is>
          <t>CR09</t>
        </is>
      </c>
      <c r="B20" s="15" t="inlineStr">
        <is>
          <t>Credit and data tape</t>
        </is>
      </c>
      <c r="C20" s="15" t="inlineStr">
        <is>
          <t>Write off policy and history</t>
        </is>
      </c>
      <c r="D20" s="15" t="inlineStr">
        <is>
          <t>Policy with version dates; write off file</t>
        </is>
      </c>
      <c r="E20" s="15" t="inlineStr">
        <is>
          <t>Policy changed during the history period</t>
        </is>
      </c>
      <c r="F20" s="10" t="inlineStr">
        <is>
          <t>High</t>
        </is>
      </c>
      <c r="G20" s="10" t="inlineStr">
        <is>
          <t>Not started</t>
        </is>
      </c>
      <c r="H20" s="10" t="n"/>
      <c r="I20" s="10" t="n"/>
      <c r="J20" s="16" t="n"/>
      <c r="K20" s="12" t="n">
        <v>8</v>
      </c>
    </row>
    <row r="21" ht="30" customHeight="1">
      <c r="A21" s="12" t="inlineStr">
        <is>
          <t>CR10</t>
        </is>
      </c>
      <c r="B21" s="15" t="inlineStr">
        <is>
          <t>Credit and data tape</t>
        </is>
      </c>
      <c r="C21" s="15" t="inlineStr">
        <is>
          <t>Repossession and resale outcomes</t>
        </is>
      </c>
      <c r="D21" s="15" t="inlineStr">
        <is>
          <t>Repossession log; resale proceeds and costs</t>
        </is>
      </c>
      <c r="E21" s="15" t="inlineStr">
        <is>
          <t>Recovery assumptions above observed proceeds</t>
        </is>
      </c>
      <c r="F21" s="10" t="inlineStr">
        <is>
          <t>Medium</t>
        </is>
      </c>
      <c r="G21" s="10" t="inlineStr">
        <is>
          <t>Not started</t>
        </is>
      </c>
      <c r="H21" s="10" t="n"/>
      <c r="I21" s="10" t="n"/>
      <c r="J21" s="16" t="n"/>
      <c r="K21" s="12" t="n">
        <v>8</v>
      </c>
    </row>
    <row r="22" ht="30" customHeight="1">
      <c r="A22" s="12" t="inlineStr">
        <is>
          <t>CR11</t>
        </is>
      </c>
      <c r="B22" s="15" t="inlineStr">
        <is>
          <t>Credit and data tape</t>
        </is>
      </c>
      <c r="C22" s="15" t="inlineStr">
        <is>
          <t>Recalibration of plan curves</t>
        </is>
      </c>
      <c r="D22" s="15" t="inlineStr">
        <is>
          <t>Analyst calibration workpaper</t>
        </is>
      </c>
      <c r="E22" s="15" t="inlineStr">
        <is>
          <t>Plan hazards below observed hazards</t>
        </is>
      </c>
      <c r="F22" s="10" t="inlineStr">
        <is>
          <t>High</t>
        </is>
      </c>
      <c r="G22" s="10" t="inlineStr">
        <is>
          <t>Not started</t>
        </is>
      </c>
      <c r="H22" s="10" t="n"/>
      <c r="I22" s="10" t="n"/>
      <c r="J22" s="16" t="n"/>
      <c r="K22" s="12" t="n">
        <v>6</v>
      </c>
    </row>
    <row r="23" ht="30" customHeight="1">
      <c r="A23" s="12" t="inlineStr">
        <is>
          <t>OP01</t>
        </is>
      </c>
      <c r="B23" s="15" t="inlineStr">
        <is>
          <t>Operations and agents</t>
        </is>
      </c>
      <c r="C23" s="15" t="inlineStr">
        <is>
          <t>Agent register and productivity</t>
        </is>
      </c>
      <c r="D23" s="15" t="inlineStr">
        <is>
          <t>Agent list with sales and cohort quality</t>
        </is>
      </c>
      <c r="E23" s="15" t="inlineStr">
        <is>
          <t>Sales concentrated in a few agents or regions</t>
        </is>
      </c>
      <c r="F23" s="10" t="inlineStr">
        <is>
          <t>Medium</t>
        </is>
      </c>
      <c r="G23" s="10" t="inlineStr">
        <is>
          <t>Not started</t>
        </is>
      </c>
      <c r="H23" s="10" t="n"/>
      <c r="I23" s="10" t="n"/>
      <c r="J23" s="16" t="n"/>
      <c r="K23" s="12" t="n">
        <v>5</v>
      </c>
    </row>
    <row r="24" ht="30" customHeight="1">
      <c r="A24" s="12" t="inlineStr">
        <is>
          <t>OP02</t>
        </is>
      </c>
      <c r="B24" s="15" t="inlineStr">
        <is>
          <t>Operations and agents</t>
        </is>
      </c>
      <c r="C24" s="15" t="inlineStr">
        <is>
          <t>Commission structure and clawbacks</t>
        </is>
      </c>
      <c r="D24" s="15" t="inlineStr">
        <is>
          <t>Commission plans; clawback records</t>
        </is>
      </c>
      <c r="E24" s="15" t="inlineStr">
        <is>
          <t>No repayment linked component, or clawbacks never applied</t>
        </is>
      </c>
      <c r="F24" s="10" t="inlineStr">
        <is>
          <t>High</t>
        </is>
      </c>
      <c r="G24" s="10" t="inlineStr">
        <is>
          <t>Not started</t>
        </is>
      </c>
      <c r="H24" s="10" t="n"/>
      <c r="I24" s="10" t="n"/>
      <c r="J24" s="16" t="n"/>
      <c r="K24" s="12" t="n">
        <v>5</v>
      </c>
    </row>
    <row r="25" ht="30" customHeight="1">
      <c r="A25" s="12" t="inlineStr">
        <is>
          <t>OP03</t>
        </is>
      </c>
      <c r="B25" s="15" t="inlineStr">
        <is>
          <t>Operations and agents</t>
        </is>
      </c>
      <c r="C25" s="15" t="inlineStr">
        <is>
          <t>Fraud controls</t>
        </is>
      </c>
      <c r="D25" s="15" t="inlineStr">
        <is>
          <t>Verification call logs; field audit reports</t>
        </is>
      </c>
      <c r="E25" s="15" t="inlineStr">
        <is>
          <t>No fraud losses ever recorded</t>
        </is>
      </c>
      <c r="F25" s="10" t="inlineStr">
        <is>
          <t>High</t>
        </is>
      </c>
      <c r="G25" s="10" t="inlineStr">
        <is>
          <t>Not started</t>
        </is>
      </c>
      <c r="H25" s="10" t="n"/>
      <c r="I25" s="10" t="n"/>
      <c r="J25" s="16" t="n"/>
      <c r="K25" s="12" t="n">
        <v>5</v>
      </c>
    </row>
    <row r="26" ht="30" customHeight="1">
      <c r="A26" s="12" t="inlineStr">
        <is>
          <t>OP04</t>
        </is>
      </c>
      <c r="B26" s="15" t="inlineStr">
        <is>
          <t>Operations and agents</t>
        </is>
      </c>
      <c r="C26" s="15" t="inlineStr">
        <is>
          <t>Installation and after sales service</t>
        </is>
      </c>
      <c r="D26" s="15" t="inlineStr">
        <is>
          <t>Service tickets and turnaround times</t>
        </is>
      </c>
      <c r="E26" s="15" t="inlineStr">
        <is>
          <t>Rising unresolved tickets</t>
        </is>
      </c>
      <c r="F26" s="10" t="inlineStr">
        <is>
          <t>Medium</t>
        </is>
      </c>
      <c r="G26" s="10" t="inlineStr">
        <is>
          <t>Not started</t>
        </is>
      </c>
      <c r="H26" s="10" t="n"/>
      <c r="I26" s="10" t="n"/>
      <c r="J26" s="16" t="n"/>
      <c r="K26" s="12" t="n">
        <v>4</v>
      </c>
    </row>
    <row r="27" ht="30" customHeight="1">
      <c r="A27" s="12" t="inlineStr">
        <is>
          <t>OP05</t>
        </is>
      </c>
      <c r="B27" s="15" t="inlineStr">
        <is>
          <t>Operations and agents</t>
        </is>
      </c>
      <c r="C27" s="15" t="inlineStr">
        <is>
          <t>Inventory and supplier terms</t>
        </is>
      </c>
      <c r="D27" s="15" t="inlineStr">
        <is>
          <t>Stock reports; supplier contracts</t>
        </is>
      </c>
      <c r="E27" s="15" t="inlineStr">
        <is>
          <t>Supplier credit shortening</t>
        </is>
      </c>
      <c r="F27" s="10" t="inlineStr">
        <is>
          <t>Medium</t>
        </is>
      </c>
      <c r="G27" s="10" t="inlineStr">
        <is>
          <t>Not started</t>
        </is>
      </c>
      <c r="H27" s="10" t="n"/>
      <c r="I27" s="10" t="n"/>
      <c r="J27" s="16" t="n"/>
      <c r="K27" s="12" t="n">
        <v>10</v>
      </c>
    </row>
    <row r="28" ht="30" customHeight="1">
      <c r="A28" s="12" t="inlineStr">
        <is>
          <t>TL01</t>
        </is>
      </c>
      <c r="B28" s="15" t="inlineStr">
        <is>
          <t>Technology and lockout</t>
        </is>
      </c>
      <c r="C28" s="15" t="inlineStr">
        <is>
          <t>Lockout platform design and access control</t>
        </is>
      </c>
      <c r="D28" s="15" t="inlineStr">
        <is>
          <t>Platform description; user access rights</t>
        </is>
      </c>
      <c r="E28" s="15" t="inlineStr">
        <is>
          <t>Unlock codes issued without audit trail</t>
        </is>
      </c>
      <c r="F28" s="10" t="inlineStr">
        <is>
          <t>High</t>
        </is>
      </c>
      <c r="G28" s="10" t="inlineStr">
        <is>
          <t>Not started</t>
        </is>
      </c>
      <c r="H28" s="10" t="n"/>
      <c r="I28" s="10" t="n"/>
      <c r="J28" s="16" t="n"/>
      <c r="K28" s="12" t="n">
        <v>15</v>
      </c>
    </row>
    <row r="29" ht="30" customHeight="1">
      <c r="A29" s="12" t="inlineStr">
        <is>
          <t>TL02</t>
        </is>
      </c>
      <c r="B29" s="15" t="inlineStr">
        <is>
          <t>Technology and lockout</t>
        </is>
      </c>
      <c r="C29" s="15" t="inlineStr">
        <is>
          <t>Unlocks reconciled to payments</t>
        </is>
      </c>
      <c r="D29" s="15" t="inlineStr">
        <is>
          <t>Unlock log against payment records</t>
        </is>
      </c>
      <c r="E29" s="15" t="inlineStr">
        <is>
          <t>Rising share of unlocks without full payment</t>
        </is>
      </c>
      <c r="F29" s="10" t="inlineStr">
        <is>
          <t>High</t>
        </is>
      </c>
      <c r="G29" s="10" t="inlineStr">
        <is>
          <t>Not started</t>
        </is>
      </c>
      <c r="H29" s="10" t="n"/>
      <c r="I29" s="10" t="n"/>
      <c r="J29" s="16" t="n"/>
      <c r="K29" s="12" t="n">
        <v>15</v>
      </c>
    </row>
    <row r="30" ht="30" customHeight="1">
      <c r="A30" s="12" t="inlineStr">
        <is>
          <t>TL03</t>
        </is>
      </c>
      <c r="B30" s="15" t="inlineStr">
        <is>
          <t>Technology and lockout</t>
        </is>
      </c>
      <c r="C30" s="15" t="inlineStr">
        <is>
          <t>Tampering and bypass rate</t>
        </is>
      </c>
      <c r="D30" s="15" t="inlineStr">
        <is>
          <t>Device telemetry reports</t>
        </is>
      </c>
      <c r="E30" s="15" t="inlineStr">
        <is>
          <t>Bypass rate not measured</t>
        </is>
      </c>
      <c r="F30" s="10" t="inlineStr">
        <is>
          <t>Medium</t>
        </is>
      </c>
      <c r="G30" s="10" t="inlineStr">
        <is>
          <t>Not started</t>
        </is>
      </c>
      <c r="H30" s="10" t="n"/>
      <c r="I30" s="10" t="n"/>
      <c r="J30" s="16" t="n"/>
      <c r="K30" s="12" t="n">
        <v>15</v>
      </c>
    </row>
    <row r="31" ht="30" customHeight="1">
      <c r="A31" s="12" t="inlineStr">
        <is>
          <t>TL04</t>
        </is>
      </c>
      <c r="B31" s="15" t="inlineStr">
        <is>
          <t>Technology and lockout</t>
        </is>
      </c>
      <c r="C31" s="15" t="inlineStr">
        <is>
          <t>Mobile money integration and reconciliation</t>
        </is>
      </c>
      <c r="D31" s="15" t="inlineStr">
        <is>
          <t>Payment platform to ledger reconciliation</t>
        </is>
      </c>
      <c r="E31" s="15" t="inlineStr">
        <is>
          <t>Unreconciled suspense balances</t>
        </is>
      </c>
      <c r="F31" s="10" t="inlineStr">
        <is>
          <t>High</t>
        </is>
      </c>
      <c r="G31" s="10" t="inlineStr">
        <is>
          <t>Not started</t>
        </is>
      </c>
      <c r="H31" s="10" t="n"/>
      <c r="I31" s="10" t="n"/>
      <c r="J31" s="16" t="n"/>
      <c r="K31" s="12" t="n">
        <v>3</v>
      </c>
    </row>
    <row r="32" ht="30" customHeight="1">
      <c r="A32" s="12" t="inlineStr">
        <is>
          <t>TL05</t>
        </is>
      </c>
      <c r="B32" s="15" t="inlineStr">
        <is>
          <t>Technology and lockout</t>
        </is>
      </c>
      <c r="C32" s="15" t="inlineStr">
        <is>
          <t>Data export for lender reporting</t>
        </is>
      </c>
      <c r="D32" s="15" t="inlineStr">
        <is>
          <t>Sample monthly export</t>
        </is>
      </c>
      <c r="E32" s="15" t="inlineStr">
        <is>
          <t>Spreadsheets maintained by hand as the primary record</t>
        </is>
      </c>
      <c r="F32" s="10" t="inlineStr">
        <is>
          <t>Medium</t>
        </is>
      </c>
      <c r="G32" s="10" t="inlineStr">
        <is>
          <t>Not started</t>
        </is>
      </c>
      <c r="H32" s="10" t="n"/>
      <c r="I32" s="10" t="n"/>
      <c r="J32" s="16" t="n"/>
      <c r="K32" s="12" t="n">
        <v>11</v>
      </c>
    </row>
    <row r="33" ht="30" customHeight="1">
      <c r="A33" s="12" t="inlineStr">
        <is>
          <t>FI01</t>
        </is>
      </c>
      <c r="B33" s="15" t="inlineStr">
        <is>
          <t>Finance and accounting</t>
        </is>
      </c>
      <c r="C33" s="15" t="inlineStr">
        <is>
          <t>Audited and management accounts</t>
        </is>
      </c>
      <c r="D33" s="15" t="inlineStr">
        <is>
          <t>Last audited accounts; monthly management accounts</t>
        </is>
      </c>
      <c r="E33" s="15" t="inlineStr">
        <is>
          <t>Audit qualification or late filing</t>
        </is>
      </c>
      <c r="F33" s="10" t="inlineStr">
        <is>
          <t>High</t>
        </is>
      </c>
      <c r="G33" s="10" t="inlineStr">
        <is>
          <t>Not started</t>
        </is>
      </c>
      <c r="H33" s="10" t="n"/>
      <c r="I33" s="10" t="n"/>
      <c r="J33" s="16" t="n"/>
      <c r="K33" s="12" t="n">
        <v>15</v>
      </c>
    </row>
    <row r="34" ht="30" customHeight="1">
      <c r="A34" s="12" t="inlineStr">
        <is>
          <t>FI02</t>
        </is>
      </c>
      <c r="B34" s="15" t="inlineStr">
        <is>
          <t>Finance and accounting</t>
        </is>
      </c>
      <c r="C34" s="15" t="inlineStr">
        <is>
          <t>Revenue recognition policy</t>
        </is>
      </c>
      <c r="D34" s="15" t="inlineStr">
        <is>
          <t>Policy note; auditor correspondence</t>
        </is>
      </c>
      <c r="E34" s="15" t="inlineStr">
        <is>
          <t>Whole contract value booked as revenue at sale</t>
        </is>
      </c>
      <c r="F34" s="10" t="inlineStr">
        <is>
          <t>High</t>
        </is>
      </c>
      <c r="G34" s="10" t="inlineStr">
        <is>
          <t>Not started</t>
        </is>
      </c>
      <c r="H34" s="10" t="n"/>
      <c r="I34" s="10" t="n"/>
      <c r="J34" s="16" t="n"/>
      <c r="K34" s="12" t="n">
        <v>8</v>
      </c>
    </row>
    <row r="35" ht="30" customHeight="1">
      <c r="A35" s="12" t="inlineStr">
        <is>
          <t>FI03</t>
        </is>
      </c>
      <c r="B35" s="15" t="inlineStr">
        <is>
          <t>Finance and accounting</t>
        </is>
      </c>
      <c r="C35" s="15" t="inlineStr">
        <is>
          <t>ECL methodology and staging</t>
        </is>
      </c>
      <c r="D35" s="15" t="inlineStr">
        <is>
          <t>ECL policy and model; auditor view</t>
        </is>
      </c>
      <c r="E35" s="15" t="inlineStr">
        <is>
          <t>Allowance flat while PAR30 rises</t>
        </is>
      </c>
      <c r="F35" s="10" t="inlineStr">
        <is>
          <t>High</t>
        </is>
      </c>
      <c r="G35" s="10" t="inlineStr">
        <is>
          <t>Not started</t>
        </is>
      </c>
      <c r="H35" s="10" t="n"/>
      <c r="I35" s="10" t="n"/>
      <c r="J35" s="16" t="n"/>
      <c r="K35" s="12" t="n">
        <v>8</v>
      </c>
    </row>
    <row r="36" ht="30" customHeight="1">
      <c r="A36" s="12" t="inlineStr">
        <is>
          <t>FI04</t>
        </is>
      </c>
      <c r="B36" s="15" t="inlineStr">
        <is>
          <t>Finance and accounting</t>
        </is>
      </c>
      <c r="C36" s="15" t="inlineStr">
        <is>
          <t>Budget against actual</t>
        </is>
      </c>
      <c r="D36" s="15" t="inlineStr">
        <is>
          <t>Budgets and variance analysis</t>
        </is>
      </c>
      <c r="E36" s="15" t="inlineStr">
        <is>
          <t>Collections systematically over forecast</t>
        </is>
      </c>
      <c r="F36" s="10" t="inlineStr">
        <is>
          <t>Medium</t>
        </is>
      </c>
      <c r="G36" s="10" t="inlineStr">
        <is>
          <t>Not started</t>
        </is>
      </c>
      <c r="H36" s="10" t="n"/>
      <c r="I36" s="10" t="n"/>
      <c r="J36" s="16" t="n"/>
      <c r="K36" s="12" t="n">
        <v>15</v>
      </c>
    </row>
    <row r="37" ht="30" customHeight="1">
      <c r="A37" s="12" t="inlineStr">
        <is>
          <t>FI05</t>
        </is>
      </c>
      <c r="B37" s="15" t="inlineStr">
        <is>
          <t>Finance and accounting</t>
        </is>
      </c>
      <c r="C37" s="15" t="inlineStr">
        <is>
          <t>FX exposure map</t>
        </is>
      </c>
      <c r="D37" s="15" t="inlineStr">
        <is>
          <t>Currency of costs, debt and revenue</t>
        </is>
      </c>
      <c r="E37" s="15" t="inlineStr">
        <is>
          <t>Hard currency debt funding the receivables book, unhedged</t>
        </is>
      </c>
      <c r="F37" s="10" t="inlineStr">
        <is>
          <t>High</t>
        </is>
      </c>
      <c r="G37" s="10" t="inlineStr">
        <is>
          <t>Not started</t>
        </is>
      </c>
      <c r="H37" s="10" t="n"/>
      <c r="I37" s="10" t="n"/>
      <c r="J37" s="16" t="n"/>
      <c r="K37" s="12" t="n">
        <v>10</v>
      </c>
    </row>
    <row r="38" ht="30" customHeight="1">
      <c r="A38" s="12" t="inlineStr">
        <is>
          <t>FI06</t>
        </is>
      </c>
      <c r="B38" s="15" t="inlineStr">
        <is>
          <t>Finance and accounting</t>
        </is>
      </c>
      <c r="C38" s="15" t="inlineStr">
        <is>
          <t>Funding requirement and plan</t>
        </is>
      </c>
      <c r="D38" s="15" t="inlineStr">
        <is>
          <t>Monthly cash forecast</t>
        </is>
      </c>
      <c r="E38" s="15" t="inlineStr">
        <is>
          <t>Plan relies on facilities not yet signed</t>
        </is>
      </c>
      <c r="F38" s="10" t="inlineStr">
        <is>
          <t>High</t>
        </is>
      </c>
      <c r="G38" s="10" t="inlineStr">
        <is>
          <t>Not started</t>
        </is>
      </c>
      <c r="H38" s="10" t="n"/>
      <c r="I38" s="10" t="n"/>
      <c r="J38" s="16" t="n"/>
      <c r="K38" s="12" t="n">
        <v>11</v>
      </c>
    </row>
    <row r="39" ht="30" customHeight="1">
      <c r="A39" s="12" t="inlineStr">
        <is>
          <t>FI07</t>
        </is>
      </c>
      <c r="B39" s="15" t="inlineStr">
        <is>
          <t>Finance and accounting</t>
        </is>
      </c>
      <c r="C39" s="15" t="inlineStr">
        <is>
          <t>Tax position</t>
        </is>
      </c>
      <c r="D39" s="15" t="inlineStr">
        <is>
          <t>Tax filings; open audits</t>
        </is>
      </c>
      <c r="E39" s="15" t="inlineStr">
        <is>
          <t>Disputed VAT or duty exemptions</t>
        </is>
      </c>
      <c r="F39" s="10" t="inlineStr">
        <is>
          <t>Medium</t>
        </is>
      </c>
      <c r="G39" s="10" t="inlineStr">
        <is>
          <t>Not started</t>
        </is>
      </c>
      <c r="H39" s="10" t="n"/>
      <c r="I39" s="10" t="n"/>
      <c r="J39" s="16" t="n"/>
      <c r="K39" s="12" t="n">
        <v>3</v>
      </c>
    </row>
    <row r="40" ht="30" customHeight="1">
      <c r="A40" s="12" t="inlineStr">
        <is>
          <t>LG01</t>
        </is>
      </c>
      <c r="B40" s="15" t="inlineStr">
        <is>
          <t>Legal and regulatory</t>
        </is>
      </c>
      <c r="C40" s="15" t="inlineStr">
        <is>
          <t>Lending and consumer credit licences</t>
        </is>
      </c>
      <c r="D40" s="15" t="inlineStr">
        <is>
          <t>Licences; local counsel opinion</t>
        </is>
      </c>
      <c r="E40" s="15" t="inlineStr">
        <is>
          <t>Lending activity without the required licence</t>
        </is>
      </c>
      <c r="F40" s="10" t="inlineStr">
        <is>
          <t>High</t>
        </is>
      </c>
      <c r="G40" s="10" t="inlineStr">
        <is>
          <t>Not started</t>
        </is>
      </c>
      <c r="H40" s="10" t="n"/>
      <c r="I40" s="10" t="n"/>
      <c r="J40" s="16" t="n"/>
      <c r="K40" s="12" t="n">
        <v>3</v>
      </c>
    </row>
    <row r="41" ht="30" customHeight="1">
      <c r="A41" s="12" t="inlineStr">
        <is>
          <t>LG02</t>
        </is>
      </c>
      <c r="B41" s="15" t="inlineStr">
        <is>
          <t>Legal and regulatory</t>
        </is>
      </c>
      <c r="C41" s="15" t="inlineStr">
        <is>
          <t>Pricing disclosure and APR</t>
        </is>
      </c>
      <c r="D41" s="15" t="inlineStr">
        <is>
          <t>Disclosure samples; APR schedule by plan</t>
        </is>
      </c>
      <c r="E41" s="15" t="inlineStr">
        <is>
          <t>APR never computed by the company</t>
        </is>
      </c>
      <c r="F41" s="10" t="inlineStr">
        <is>
          <t>Medium</t>
        </is>
      </c>
      <c r="G41" s="10" t="inlineStr">
        <is>
          <t>Not started</t>
        </is>
      </c>
      <c r="H41" s="10" t="n"/>
      <c r="I41" s="10" t="n"/>
      <c r="J41" s="16" t="n"/>
      <c r="K41" s="12" t="n">
        <v>3</v>
      </c>
    </row>
    <row r="42" ht="30" customHeight="1">
      <c r="A42" s="12" t="inlineStr">
        <is>
          <t>LG03</t>
        </is>
      </c>
      <c r="B42" s="15" t="inlineStr">
        <is>
          <t>Legal and regulatory</t>
        </is>
      </c>
      <c r="C42" s="15" t="inlineStr">
        <is>
          <t>Collection conduct and lockout rules</t>
        </is>
      </c>
      <c r="D42" s="15" t="inlineStr">
        <is>
          <t>Collections policy; counsel review</t>
        </is>
      </c>
      <c r="E42" s="15" t="inlineStr">
        <is>
          <t>Lockout practices not reviewed by counsel</t>
        </is>
      </c>
      <c r="F42" s="10" t="inlineStr">
        <is>
          <t>Medium</t>
        </is>
      </c>
      <c r="G42" s="10" t="inlineStr">
        <is>
          <t>Not started</t>
        </is>
      </c>
      <c r="H42" s="10" t="n"/>
      <c r="I42" s="10" t="n"/>
      <c r="J42" s="16" t="n"/>
      <c r="K42" s="12" t="n">
        <v>3</v>
      </c>
    </row>
    <row r="43" ht="30" customHeight="1">
      <c r="A43" s="12" t="inlineStr">
        <is>
          <t>LG04</t>
        </is>
      </c>
      <c r="B43" s="15" t="inlineStr">
        <is>
          <t>Legal and regulatory</t>
        </is>
      </c>
      <c r="C43" s="15" t="inlineStr">
        <is>
          <t>Data protection</t>
        </is>
      </c>
      <c r="D43" s="15" t="inlineStr">
        <is>
          <t>Consent forms; registrations</t>
        </is>
      </c>
      <c r="E43" s="15" t="inlineStr">
        <is>
          <t>No consent for the use of data in underwriting</t>
        </is>
      </c>
      <c r="F43" s="10" t="inlineStr">
        <is>
          <t>Medium</t>
        </is>
      </c>
      <c r="G43" s="10" t="inlineStr">
        <is>
          <t>Not started</t>
        </is>
      </c>
      <c r="H43" s="10" t="n"/>
      <c r="I43" s="10" t="n"/>
      <c r="J43" s="16" t="n"/>
      <c r="K43" s="12" t="n">
        <v>3</v>
      </c>
    </row>
    <row r="44" ht="30" customHeight="1">
      <c r="A44" s="12" t="inlineStr">
        <is>
          <t>LG05</t>
        </is>
      </c>
      <c r="B44" s="15" t="inlineStr">
        <is>
          <t>Legal and regulatory</t>
        </is>
      </c>
      <c r="C44" s="15" t="inlineStr">
        <is>
          <t>Facility and security documents</t>
        </is>
      </c>
      <c r="D44" s="15" t="inlineStr">
        <is>
          <t>Facility agreements; compliance certificates</t>
        </is>
      </c>
      <c r="E44" s="15" t="inlineStr">
        <is>
          <t>Waivers requested in the last twelve months</t>
        </is>
      </c>
      <c r="F44" s="10" t="inlineStr">
        <is>
          <t>High</t>
        </is>
      </c>
      <c r="G44" s="10" t="inlineStr">
        <is>
          <t>Not started</t>
        </is>
      </c>
      <c r="H44" s="10" t="n"/>
      <c r="I44" s="10" t="n"/>
      <c r="J44" s="16" t="n"/>
      <c r="K44" s="12" t="n">
        <v>11</v>
      </c>
    </row>
    <row r="45" ht="30" customHeight="1">
      <c r="A45" s="12" t="inlineStr">
        <is>
          <t>LG06</t>
        </is>
      </c>
      <c r="B45" s="15" t="inlineStr">
        <is>
          <t>Legal and regulatory</t>
        </is>
      </c>
      <c r="C45" s="15" t="inlineStr">
        <is>
          <t>Exchange control and repatriation</t>
        </is>
      </c>
      <c r="D45" s="15" t="inlineStr">
        <is>
          <t>Counsel opinion; investment registrations</t>
        </is>
      </c>
      <c r="E45" s="15" t="inlineStr">
        <is>
          <t>Foreign investment or loans not registered</t>
        </is>
      </c>
      <c r="F45" s="10" t="inlineStr">
        <is>
          <t>High</t>
        </is>
      </c>
      <c r="G45" s="10" t="inlineStr">
        <is>
          <t>Not started</t>
        </is>
      </c>
      <c r="H45" s="10" t="n"/>
      <c r="I45" s="10" t="n"/>
      <c r="J45" s="16" t="n"/>
      <c r="K45" s="12" t="n">
        <v>3</v>
      </c>
    </row>
    <row r="46" ht="30" customHeight="1">
      <c r="A46" s="12" t="inlineStr">
        <is>
          <t>LG07</t>
        </is>
      </c>
      <c r="B46" s="15" t="inlineStr">
        <is>
          <t>Legal and regulatory</t>
        </is>
      </c>
      <c r="C46" s="15" t="inlineStr">
        <is>
          <t>True sale and securitisation feasibility, if relevant</t>
        </is>
      </c>
      <c r="D46" s="15" t="inlineStr">
        <is>
          <t>Counsel memo</t>
        </is>
      </c>
      <c r="E46" s="15" t="inlineStr">
        <is>
          <t>No opinion obtained</t>
        </is>
      </c>
      <c r="F46" s="10" t="inlineStr">
        <is>
          <t>Low</t>
        </is>
      </c>
      <c r="G46" s="10" t="inlineStr">
        <is>
          <t>Not started</t>
        </is>
      </c>
      <c r="H46" s="10" t="n"/>
      <c r="I46" s="10" t="n"/>
      <c r="J46" s="16" t="n"/>
      <c r="K46" s="12" t="n">
        <v>12</v>
      </c>
    </row>
    <row r="47" ht="30" customHeight="1">
      <c r="A47" s="12" t="inlineStr">
        <is>
          <t>ES01</t>
        </is>
      </c>
      <c r="B47" s="15" t="inlineStr">
        <is>
          <t>ESG and consumer protection</t>
        </is>
      </c>
      <c r="C47" s="15" t="inlineStr">
        <is>
          <t>Payment burden by tier</t>
        </is>
      </c>
      <c r="D47" s="15" t="inlineStr">
        <is>
          <t>Consumer_Risk based on surveyed incomes</t>
        </is>
      </c>
      <c r="E47" s="15" t="inlineStr">
        <is>
          <t>Illustrative incomes still in use</t>
        </is>
      </c>
      <c r="F47" s="10" t="inlineStr">
        <is>
          <t>High</t>
        </is>
      </c>
      <c r="G47" s="10" t="inlineStr">
        <is>
          <t>Not started</t>
        </is>
      </c>
      <c r="H47" s="10" t="n"/>
      <c r="I47" s="10" t="n"/>
      <c r="J47" s="16" t="n"/>
      <c r="K47" s="12" t="n">
        <v>2</v>
      </c>
    </row>
    <row r="48" ht="30" customHeight="1">
      <c r="A48" s="12" t="inlineStr">
        <is>
          <t>ES02</t>
        </is>
      </c>
      <c r="B48" s="15" t="inlineStr">
        <is>
          <t>ESG and consumer protection</t>
        </is>
      </c>
      <c r="C48" s="15" t="inlineStr">
        <is>
          <t>Complaints handling</t>
        </is>
      </c>
      <c r="D48" s="15" t="inlineStr">
        <is>
          <t>Complaints log and resolution times</t>
        </is>
      </c>
      <c r="E48" s="15" t="inlineStr">
        <is>
          <t>No complaints log</t>
        </is>
      </c>
      <c r="F48" s="10" t="inlineStr">
        <is>
          <t>Medium</t>
        </is>
      </c>
      <c r="G48" s="10" t="inlineStr">
        <is>
          <t>Not started</t>
        </is>
      </c>
      <c r="H48" s="10" t="n"/>
      <c r="I48" s="10" t="n"/>
      <c r="J48" s="16" t="n"/>
      <c r="K48" s="12" t="n">
        <v>3</v>
      </c>
    </row>
    <row r="49" ht="30" customHeight="1">
      <c r="A49" s="12" t="inlineStr">
        <is>
          <t>ES03</t>
        </is>
      </c>
      <c r="B49" s="15" t="inlineStr">
        <is>
          <t>ESG and consumer protection</t>
        </is>
      </c>
      <c r="C49" s="15" t="inlineStr">
        <is>
          <t>Hardship and restructuring treatment</t>
        </is>
      </c>
      <c r="D49" s="15" t="inlineStr">
        <is>
          <t>Written policy</t>
        </is>
      </c>
      <c r="E49" s="15" t="inlineStr">
        <is>
          <t>Restructuring used to hide arrears</t>
        </is>
      </c>
      <c r="F49" s="10" t="inlineStr">
        <is>
          <t>Medium</t>
        </is>
      </c>
      <c r="G49" s="10" t="inlineStr">
        <is>
          <t>Not started</t>
        </is>
      </c>
      <c r="H49" s="10" t="n"/>
      <c r="I49" s="10" t="n"/>
      <c r="J49" s="16" t="n"/>
      <c r="K49" s="12" t="n">
        <v>3</v>
      </c>
    </row>
    <row r="50" ht="30" customHeight="1">
      <c r="A50" s="12" t="inlineStr">
        <is>
          <t>ES04</t>
        </is>
      </c>
      <c r="B50" s="15" t="inlineStr">
        <is>
          <t>ESG and consumer protection</t>
        </is>
      </c>
      <c r="C50" s="15" t="inlineStr">
        <is>
          <t>E-waste and battery take back</t>
        </is>
      </c>
      <c r="D50" s="15" t="inlineStr">
        <is>
          <t>Take back process; recycler contracts</t>
        </is>
      </c>
      <c r="E50" s="15" t="inlineStr">
        <is>
          <t>No end of life process</t>
        </is>
      </c>
      <c r="F50" s="10" t="inlineStr">
        <is>
          <t>Low</t>
        </is>
      </c>
      <c r="G50" s="10" t="inlineStr">
        <is>
          <t>Not started</t>
        </is>
      </c>
      <c r="H50" s="10" t="n"/>
      <c r="I50" s="10" t="n"/>
      <c r="J50" s="16" t="n"/>
      <c r="K50" s="12" t="n">
        <v>3</v>
      </c>
    </row>
    <row r="51" ht="30" customHeight="1">
      <c r="A51" s="12" t="inlineStr">
        <is>
          <t>ES05</t>
        </is>
      </c>
      <c r="B51" s="15" t="inlineStr">
        <is>
          <t>ESG and consumer protection</t>
        </is>
      </c>
      <c r="C51" s="15" t="inlineStr">
        <is>
          <t>Ownership tracking</t>
        </is>
      </c>
      <c r="D51" s="15" t="inlineStr">
        <is>
          <t>Unlock records at the end of tenor</t>
        </is>
      </c>
      <c r="E51" s="15" t="inlineStr">
        <is>
          <t>Ownership claimed without evidence</t>
        </is>
      </c>
      <c r="F51" s="10" t="inlineStr">
        <is>
          <t>Medium</t>
        </is>
      </c>
      <c r="G51" s="10" t="inlineStr">
        <is>
          <t>Not started</t>
        </is>
      </c>
      <c r="H51" s="10" t="n"/>
      <c r="I51" s="10" t="n"/>
      <c r="J51" s="16" t="n"/>
      <c r="K51" s="12" t="n">
        <v>13</v>
      </c>
    </row>
    <row r="52" ht="30" customHeight="1">
      <c r="A52" s="12" t="inlineStr">
        <is>
          <t>MG01</t>
        </is>
      </c>
      <c r="B52" s="15" t="inlineStr">
        <is>
          <t>Management and governance</t>
        </is>
      </c>
      <c r="C52" s="15" t="inlineStr">
        <is>
          <t>Credit function authority</t>
        </is>
      </c>
      <c r="D52" s="15" t="inlineStr">
        <is>
          <t>Organisation chart; credit committee minutes</t>
        </is>
      </c>
      <c r="E52" s="15" t="inlineStr">
        <is>
          <t>Sales leadership sets credit policy</t>
        </is>
      </c>
      <c r="F52" s="10" t="inlineStr">
        <is>
          <t>High</t>
        </is>
      </c>
      <c r="G52" s="10" t="inlineStr">
        <is>
          <t>Not started</t>
        </is>
      </c>
      <c r="H52" s="10" t="n"/>
      <c r="I52" s="10" t="n"/>
      <c r="J52" s="16" t="n"/>
      <c r="K52" s="12" t="n">
        <v>15</v>
      </c>
    </row>
    <row r="53" ht="30" customHeight="1">
      <c r="A53" s="12" t="inlineStr">
        <is>
          <t>MG02</t>
        </is>
      </c>
      <c r="B53" s="15" t="inlineStr">
        <is>
          <t>Management and governance</t>
        </is>
      </c>
      <c r="C53" s="15" t="inlineStr">
        <is>
          <t>Finance team capacity</t>
        </is>
      </c>
      <c r="D53" s="15" t="inlineStr">
        <is>
          <t>Organisation chart; CVs</t>
        </is>
      </c>
      <c r="E53" s="15" t="inlineStr">
        <is>
          <t>Monthly reconciliations not produced</t>
        </is>
      </c>
      <c r="F53" s="10" t="inlineStr">
        <is>
          <t>High</t>
        </is>
      </c>
      <c r="G53" s="10" t="inlineStr">
        <is>
          <t>Not started</t>
        </is>
      </c>
      <c r="H53" s="10" t="n"/>
      <c r="I53" s="10" t="n"/>
      <c r="J53" s="16" t="n"/>
      <c r="K53" s="12" t="n">
        <v>15</v>
      </c>
    </row>
    <row r="54" ht="30" customHeight="1">
      <c r="A54" s="12" t="inlineStr">
        <is>
          <t>MG03</t>
        </is>
      </c>
      <c r="B54" s="15" t="inlineStr">
        <is>
          <t>Management and governance</t>
        </is>
      </c>
      <c r="C54" s="15" t="inlineStr">
        <is>
          <t>Board reporting</t>
        </is>
      </c>
      <c r="D54" s="15" t="inlineStr">
        <is>
          <t>Recent board packs</t>
        </is>
      </c>
      <c r="E54" s="15" t="inlineStr">
        <is>
          <t>Board packs without cohort curves</t>
        </is>
      </c>
      <c r="F54" s="10" t="inlineStr">
        <is>
          <t>Medium</t>
        </is>
      </c>
      <c r="G54" s="10" t="inlineStr">
        <is>
          <t>Not started</t>
        </is>
      </c>
      <c r="H54" s="10" t="n"/>
      <c r="I54" s="10" t="n"/>
      <c r="J54" s="16" t="n"/>
      <c r="K54" s="12" t="n">
        <v>15</v>
      </c>
    </row>
    <row r="55" ht="30" customHeight="1">
      <c r="A55" s="12" t="inlineStr">
        <is>
          <t>MG04</t>
        </is>
      </c>
      <c r="B55" s="15" t="inlineStr">
        <is>
          <t>Management and governance</t>
        </is>
      </c>
      <c r="C55" s="15" t="inlineStr">
        <is>
          <t>Incentives and key person risk</t>
        </is>
      </c>
      <c r="D55" s="15" t="inlineStr">
        <is>
          <t>Incentive plans; succession</t>
        </is>
      </c>
      <c r="E55" s="15" t="inlineStr">
        <is>
          <t>Incentives on sales volume only</t>
        </is>
      </c>
      <c r="F55" s="10" t="inlineStr">
        <is>
          <t>Medium</t>
        </is>
      </c>
      <c r="G55" s="10" t="inlineStr">
        <is>
          <t>Not started</t>
        </is>
      </c>
      <c r="H55" s="10" t="n"/>
      <c r="I55" s="10" t="n"/>
      <c r="J55" s="16" t="n"/>
      <c r="K55" s="12" t="n">
        <v>15</v>
      </c>
    </row>
    <row r="56" ht="30" customHeight="1">
      <c r="A56" s="12" t="inlineStr">
        <is>
          <t>MG05</t>
        </is>
      </c>
      <c r="B56" s="15" t="inlineStr">
        <is>
          <t>Management and governance</t>
        </is>
      </c>
      <c r="C56" s="15" t="inlineStr">
        <is>
          <t>Related party transactions</t>
        </is>
      </c>
      <c r="D56" s="15" t="inlineStr">
        <is>
          <t>Related party register</t>
        </is>
      </c>
      <c r="E56" s="15" t="inlineStr">
        <is>
          <t>Undisclosed related party supply</t>
        </is>
      </c>
      <c r="F56" s="10" t="inlineStr">
        <is>
          <t>Medium</t>
        </is>
      </c>
      <c r="G56" s="10" t="inlineStr">
        <is>
          <t>Not started</t>
        </is>
      </c>
      <c r="H56" s="10" t="n"/>
      <c r="I56" s="10" t="n"/>
      <c r="J56" s="16" t="n"/>
      <c r="K56" s="12" t="n">
        <v>15</v>
      </c>
    </row>
  </sheetData>
  <autoFilter ref="A6:K56"/>
  <conditionalFormatting sqref="G7:G56">
    <cfRule type="expression" priority="1" dxfId="0">
      <formula>$G7="Issue found"</formula>
    </cfRule>
    <cfRule type="expression" priority="2" dxfId="1">
      <formula>OR($G7="Closed",$G7="Not applicable")</formula>
    </cfRule>
  </conditionalFormatting>
  <dataValidations count="2">
    <dataValidation sqref="F7:F56" showDropDown="0" showInputMessage="0" showErrorMessage="0" allowBlank="1" type="list">
      <formula1>"High,Medium,Low"</formula1>
    </dataValidation>
    <dataValidation sqref="G7:G56" showDropDown="0" showInputMessage="0" showErrorMessage="0" allowBlank="1" type="list">
      <formula1>"Not started,Requested,Received,Under review,Issue found,Closed,Not applicable"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T02 | Version 0.9 (pre-release)&amp;C&amp;"Arial"&amp;8 &amp;A&amp;R&amp;"Arial"&amp;8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Diligence status summary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Counts update from the Checklist sheet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5" t="inlineStr">
        <is>
          <t>Template T02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</row>
    <row r="5"/>
    <row r="6" ht="30" customHeight="1">
      <c r="A6" s="14" t="inlineStr">
        <is>
          <t>Workstream</t>
        </is>
      </c>
      <c r="B6" s="14" t="inlineStr">
        <is>
          <t>Items</t>
        </is>
      </c>
      <c r="C6" s="14" t="inlineStr">
        <is>
          <t>High priority</t>
        </is>
      </c>
      <c r="D6" s="14" t="inlineStr">
        <is>
          <t>Closed or N/A</t>
        </is>
      </c>
      <c r="E6" s="14" t="inlineStr">
        <is>
          <t>Issues found</t>
        </is>
      </c>
      <c r="F6" s="14" t="inlineStr">
        <is>
          <t>High priority open</t>
        </is>
      </c>
      <c r="G6" s="14" t="inlineStr">
        <is>
          <t>Share complete</t>
        </is>
      </c>
      <c r="H6" s="14" t="inlineStr">
        <is>
          <t>Status</t>
        </is>
      </c>
    </row>
    <row r="7">
      <c r="A7" s="17" t="inlineStr">
        <is>
          <t>Commercial</t>
        </is>
      </c>
      <c r="B7" s="18">
        <f>COUNTIFS(Checklist!$B$7:$B$56,A7)</f>
        <v/>
      </c>
      <c r="C7" s="18">
        <f>COUNTIFS(Checklist!$B$7:$B$56,A7,Checklist!$F$7:$F$56,"High")</f>
        <v/>
      </c>
      <c r="D7" s="18">
        <f>COUNTIFS(Checklist!$B$7:$B$56,A7,Checklist!$G$7:$G$56,"Closed")+COUNTIFS(Checklist!$B$7:$B$56,A7,Checklist!$G$7:$G$56,"Not applicable")</f>
        <v/>
      </c>
      <c r="E7" s="18">
        <f>COUNTIFS(Checklist!$B$7:$B$56,A7,Checklist!$G$7:$G$56,"Issue found")</f>
        <v/>
      </c>
      <c r="F7" s="18">
        <f>C7-COUNTIFS(Checklist!$B$7:$B$56,A7,Checklist!$F$7:$F$56,"High",Checklist!$G$7:$G$56,"Closed")-COUNTIFS(Checklist!$B$7:$B$56,A7,Checklist!$F$7:$F$56,"High",Checklist!$G$7:$G$56,"Not applicable")</f>
        <v/>
      </c>
      <c r="G7" s="19">
        <f>IF(B7=0,0,D7/B7)</f>
        <v/>
      </c>
      <c r="H7" s="12">
        <f>IF(E7&gt;0,"Issues open",IF(F7&gt;0,"High items open","Complete"))</f>
        <v/>
      </c>
    </row>
    <row r="8">
      <c r="A8" s="17" t="inlineStr">
        <is>
          <t>Credit and data tape</t>
        </is>
      </c>
      <c r="B8" s="18">
        <f>COUNTIFS(Checklist!$B$7:$B$56,A8)</f>
        <v/>
      </c>
      <c r="C8" s="18">
        <f>COUNTIFS(Checklist!$B$7:$B$56,A8,Checklist!$F$7:$F$56,"High")</f>
        <v/>
      </c>
      <c r="D8" s="18">
        <f>COUNTIFS(Checklist!$B$7:$B$56,A8,Checklist!$G$7:$G$56,"Closed")+COUNTIFS(Checklist!$B$7:$B$56,A8,Checklist!$G$7:$G$56,"Not applicable")</f>
        <v/>
      </c>
      <c r="E8" s="18">
        <f>COUNTIFS(Checklist!$B$7:$B$56,A8,Checklist!$G$7:$G$56,"Issue found")</f>
        <v/>
      </c>
      <c r="F8" s="18">
        <f>C8-COUNTIFS(Checklist!$B$7:$B$56,A8,Checklist!$F$7:$F$56,"High",Checklist!$G$7:$G$56,"Closed")-COUNTIFS(Checklist!$B$7:$B$56,A8,Checklist!$F$7:$F$56,"High",Checklist!$G$7:$G$56,"Not applicable")</f>
        <v/>
      </c>
      <c r="G8" s="19">
        <f>IF(B8=0,0,D8/B8)</f>
        <v/>
      </c>
      <c r="H8" s="12">
        <f>IF(E8&gt;0,"Issues open",IF(F8&gt;0,"High items open","Complete"))</f>
        <v/>
      </c>
    </row>
    <row r="9">
      <c r="A9" s="17" t="inlineStr">
        <is>
          <t>Operations and agents</t>
        </is>
      </c>
      <c r="B9" s="18">
        <f>COUNTIFS(Checklist!$B$7:$B$56,A9)</f>
        <v/>
      </c>
      <c r="C9" s="18">
        <f>COUNTIFS(Checklist!$B$7:$B$56,A9,Checklist!$F$7:$F$56,"High")</f>
        <v/>
      </c>
      <c r="D9" s="18">
        <f>COUNTIFS(Checklist!$B$7:$B$56,A9,Checklist!$G$7:$G$56,"Closed")+COUNTIFS(Checklist!$B$7:$B$56,A9,Checklist!$G$7:$G$56,"Not applicable")</f>
        <v/>
      </c>
      <c r="E9" s="18">
        <f>COUNTIFS(Checklist!$B$7:$B$56,A9,Checklist!$G$7:$G$56,"Issue found")</f>
        <v/>
      </c>
      <c r="F9" s="18">
        <f>C9-COUNTIFS(Checklist!$B$7:$B$56,A9,Checklist!$F$7:$F$56,"High",Checklist!$G$7:$G$56,"Closed")-COUNTIFS(Checklist!$B$7:$B$56,A9,Checklist!$F$7:$F$56,"High",Checklist!$G$7:$G$56,"Not applicable")</f>
        <v/>
      </c>
      <c r="G9" s="19">
        <f>IF(B9=0,0,D9/B9)</f>
        <v/>
      </c>
      <c r="H9" s="12">
        <f>IF(E9&gt;0,"Issues open",IF(F9&gt;0,"High items open","Complete"))</f>
        <v/>
      </c>
    </row>
    <row r="10">
      <c r="A10" s="17" t="inlineStr">
        <is>
          <t>Technology and lockout</t>
        </is>
      </c>
      <c r="B10" s="18">
        <f>COUNTIFS(Checklist!$B$7:$B$56,A10)</f>
        <v/>
      </c>
      <c r="C10" s="18">
        <f>COUNTIFS(Checklist!$B$7:$B$56,A10,Checklist!$F$7:$F$56,"High")</f>
        <v/>
      </c>
      <c r="D10" s="18">
        <f>COUNTIFS(Checklist!$B$7:$B$56,A10,Checklist!$G$7:$G$56,"Closed")+COUNTIFS(Checklist!$B$7:$B$56,A10,Checklist!$G$7:$G$56,"Not applicable")</f>
        <v/>
      </c>
      <c r="E10" s="18">
        <f>COUNTIFS(Checklist!$B$7:$B$56,A10,Checklist!$G$7:$G$56,"Issue found")</f>
        <v/>
      </c>
      <c r="F10" s="18">
        <f>C10-COUNTIFS(Checklist!$B$7:$B$56,A10,Checklist!$F$7:$F$56,"High",Checklist!$G$7:$G$56,"Closed")-COUNTIFS(Checklist!$B$7:$B$56,A10,Checklist!$F$7:$F$56,"High",Checklist!$G$7:$G$56,"Not applicable")</f>
        <v/>
      </c>
      <c r="G10" s="19">
        <f>IF(B10=0,0,D10/B10)</f>
        <v/>
      </c>
      <c r="H10" s="12">
        <f>IF(E10&gt;0,"Issues open",IF(F10&gt;0,"High items open","Complete"))</f>
        <v/>
      </c>
    </row>
    <row r="11">
      <c r="A11" s="17" t="inlineStr">
        <is>
          <t>Finance and accounting</t>
        </is>
      </c>
      <c r="B11" s="18">
        <f>COUNTIFS(Checklist!$B$7:$B$56,A11)</f>
        <v/>
      </c>
      <c r="C11" s="18">
        <f>COUNTIFS(Checklist!$B$7:$B$56,A11,Checklist!$F$7:$F$56,"High")</f>
        <v/>
      </c>
      <c r="D11" s="18">
        <f>COUNTIFS(Checklist!$B$7:$B$56,A11,Checklist!$G$7:$G$56,"Closed")+COUNTIFS(Checklist!$B$7:$B$56,A11,Checklist!$G$7:$G$56,"Not applicable")</f>
        <v/>
      </c>
      <c r="E11" s="18">
        <f>COUNTIFS(Checklist!$B$7:$B$56,A11,Checklist!$G$7:$G$56,"Issue found")</f>
        <v/>
      </c>
      <c r="F11" s="18">
        <f>C11-COUNTIFS(Checklist!$B$7:$B$56,A11,Checklist!$F$7:$F$56,"High",Checklist!$G$7:$G$56,"Closed")-COUNTIFS(Checklist!$B$7:$B$56,A11,Checklist!$F$7:$F$56,"High",Checklist!$G$7:$G$56,"Not applicable")</f>
        <v/>
      </c>
      <c r="G11" s="19">
        <f>IF(B11=0,0,D11/B11)</f>
        <v/>
      </c>
      <c r="H11" s="12">
        <f>IF(E11&gt;0,"Issues open",IF(F11&gt;0,"High items open","Complete"))</f>
        <v/>
      </c>
    </row>
    <row r="12">
      <c r="A12" s="17" t="inlineStr">
        <is>
          <t>Legal and regulatory</t>
        </is>
      </c>
      <c r="B12" s="18">
        <f>COUNTIFS(Checklist!$B$7:$B$56,A12)</f>
        <v/>
      </c>
      <c r="C12" s="18">
        <f>COUNTIFS(Checklist!$B$7:$B$56,A12,Checklist!$F$7:$F$56,"High")</f>
        <v/>
      </c>
      <c r="D12" s="18">
        <f>COUNTIFS(Checklist!$B$7:$B$56,A12,Checklist!$G$7:$G$56,"Closed")+COUNTIFS(Checklist!$B$7:$B$56,A12,Checklist!$G$7:$G$56,"Not applicable")</f>
        <v/>
      </c>
      <c r="E12" s="18">
        <f>COUNTIFS(Checklist!$B$7:$B$56,A12,Checklist!$G$7:$G$56,"Issue found")</f>
        <v/>
      </c>
      <c r="F12" s="18">
        <f>C12-COUNTIFS(Checklist!$B$7:$B$56,A12,Checklist!$F$7:$F$56,"High",Checklist!$G$7:$G$56,"Closed")-COUNTIFS(Checklist!$B$7:$B$56,A12,Checklist!$F$7:$F$56,"High",Checklist!$G$7:$G$56,"Not applicable")</f>
        <v/>
      </c>
      <c r="G12" s="19">
        <f>IF(B12=0,0,D12/B12)</f>
        <v/>
      </c>
      <c r="H12" s="12">
        <f>IF(E12&gt;0,"Issues open",IF(F12&gt;0,"High items open","Complete"))</f>
        <v/>
      </c>
    </row>
    <row r="13">
      <c r="A13" s="17" t="inlineStr">
        <is>
          <t>ESG and consumer protection</t>
        </is>
      </c>
      <c r="B13" s="18">
        <f>COUNTIFS(Checklist!$B$7:$B$56,A13)</f>
        <v/>
      </c>
      <c r="C13" s="18">
        <f>COUNTIFS(Checklist!$B$7:$B$56,A13,Checklist!$F$7:$F$56,"High")</f>
        <v/>
      </c>
      <c r="D13" s="18">
        <f>COUNTIFS(Checklist!$B$7:$B$56,A13,Checklist!$G$7:$G$56,"Closed")+COUNTIFS(Checklist!$B$7:$B$56,A13,Checklist!$G$7:$G$56,"Not applicable")</f>
        <v/>
      </c>
      <c r="E13" s="18">
        <f>COUNTIFS(Checklist!$B$7:$B$56,A13,Checklist!$G$7:$G$56,"Issue found")</f>
        <v/>
      </c>
      <c r="F13" s="18">
        <f>C13-COUNTIFS(Checklist!$B$7:$B$56,A13,Checklist!$F$7:$F$56,"High",Checklist!$G$7:$G$56,"Closed")-COUNTIFS(Checklist!$B$7:$B$56,A13,Checklist!$F$7:$F$56,"High",Checklist!$G$7:$G$56,"Not applicable")</f>
        <v/>
      </c>
      <c r="G13" s="19">
        <f>IF(B13=0,0,D13/B13)</f>
        <v/>
      </c>
      <c r="H13" s="12">
        <f>IF(E13&gt;0,"Issues open",IF(F13&gt;0,"High items open","Complete"))</f>
        <v/>
      </c>
    </row>
    <row r="14">
      <c r="A14" s="17" t="inlineStr">
        <is>
          <t>Management and governance</t>
        </is>
      </c>
      <c r="B14" s="18">
        <f>COUNTIFS(Checklist!$B$7:$B$56,A14)</f>
        <v/>
      </c>
      <c r="C14" s="18">
        <f>COUNTIFS(Checklist!$B$7:$B$56,A14,Checklist!$F$7:$F$56,"High")</f>
        <v/>
      </c>
      <c r="D14" s="18">
        <f>COUNTIFS(Checklist!$B$7:$B$56,A14,Checklist!$G$7:$G$56,"Closed")+COUNTIFS(Checklist!$B$7:$B$56,A14,Checklist!$G$7:$G$56,"Not applicable")</f>
        <v/>
      </c>
      <c r="E14" s="18">
        <f>COUNTIFS(Checklist!$B$7:$B$56,A14,Checklist!$G$7:$G$56,"Issue found")</f>
        <v/>
      </c>
      <c r="F14" s="18">
        <f>C14-COUNTIFS(Checklist!$B$7:$B$56,A14,Checklist!$F$7:$F$56,"High",Checklist!$G$7:$G$56,"Closed")-COUNTIFS(Checklist!$B$7:$B$56,A14,Checklist!$F$7:$F$56,"High",Checklist!$G$7:$G$56,"Not applicable")</f>
        <v/>
      </c>
      <c r="G14" s="19">
        <f>IF(B14=0,0,D14/B14)</f>
        <v/>
      </c>
      <c r="H14" s="12">
        <f>IF(E14&gt;0,"Issues open",IF(F14&gt;0,"High items open","Complete"))</f>
        <v/>
      </c>
    </row>
    <row r="15">
      <c r="A15" s="17" t="inlineStr">
        <is>
          <t>Total</t>
        </is>
      </c>
      <c r="B15" s="20">
        <f>SUM(B7:B14)</f>
        <v/>
      </c>
      <c r="C15" s="20">
        <f>SUM(C7:C14)</f>
        <v/>
      </c>
      <c r="D15" s="20">
        <f>SUM(D7:D14)</f>
        <v/>
      </c>
      <c r="E15" s="20">
        <f>SUM(E7:E14)</f>
        <v/>
      </c>
      <c r="F15" s="20">
        <f>SUM(F7:F14)</f>
        <v/>
      </c>
      <c r="G15" s="21">
        <f>IF(B15=0,0,D15/B15)</f>
        <v/>
      </c>
      <c r="H15" s="17">
        <f>IF(E15&gt;0,"Issues open",IF(F15&gt;0,"High items open","Complete"))</f>
        <v/>
      </c>
    </row>
    <row r="16"/>
    <row r="17">
      <c r="A17" s="9" t="inlineStr">
        <is>
          <t>Ready for investment committee</t>
        </is>
      </c>
      <c r="B17" s="17">
        <f>IF(AND(E15=0,F15=0),"Yes","No: resolve open high priority items and issues first")</f>
        <v/>
      </c>
      <c r="C17" s="22" t="n"/>
      <c r="D17" s="22" t="n"/>
      <c r="E17" s="22" t="n"/>
      <c r="F17" s="22" t="n"/>
      <c r="G17" s="22" t="n"/>
      <c r="H17" s="23" t="n"/>
    </row>
  </sheetData>
  <mergeCells count="1">
    <mergeCell ref="B17:H17"/>
  </mergeCells>
  <conditionalFormatting sqref="H7">
    <cfRule type="expression" priority="1" dxfId="0">
      <formula>$H7="Issues open"</formula>
    </cfRule>
    <cfRule type="expression" priority="2" dxfId="1">
      <formula>$H7="Complete"</formula>
    </cfRule>
  </conditionalFormatting>
  <conditionalFormatting sqref="H8">
    <cfRule type="expression" priority="3" dxfId="0">
      <formula>$H8="Issues open"</formula>
    </cfRule>
    <cfRule type="expression" priority="4" dxfId="1">
      <formula>$H8="Complete"</formula>
    </cfRule>
  </conditionalFormatting>
  <conditionalFormatting sqref="H9">
    <cfRule type="expression" priority="5" dxfId="0">
      <formula>$H9="Issues open"</formula>
    </cfRule>
    <cfRule type="expression" priority="6" dxfId="1">
      <formula>$H9="Complete"</formula>
    </cfRule>
  </conditionalFormatting>
  <conditionalFormatting sqref="H10">
    <cfRule type="expression" priority="7" dxfId="0">
      <formula>$H10="Issues open"</formula>
    </cfRule>
    <cfRule type="expression" priority="8" dxfId="1">
      <formula>$H10="Complete"</formula>
    </cfRule>
  </conditionalFormatting>
  <conditionalFormatting sqref="H11">
    <cfRule type="expression" priority="9" dxfId="0">
      <formula>$H11="Issues open"</formula>
    </cfRule>
    <cfRule type="expression" priority="10" dxfId="1">
      <formula>$H11="Complete"</formula>
    </cfRule>
  </conditionalFormatting>
  <conditionalFormatting sqref="H12">
    <cfRule type="expression" priority="11" dxfId="0">
      <formula>$H12="Issues open"</formula>
    </cfRule>
    <cfRule type="expression" priority="12" dxfId="1">
      <formula>$H12="Complete"</formula>
    </cfRule>
  </conditionalFormatting>
  <conditionalFormatting sqref="H13">
    <cfRule type="expression" priority="13" dxfId="0">
      <formula>$H13="Issues open"</formula>
    </cfRule>
    <cfRule type="expression" priority="14" dxfId="1">
      <formula>$H13="Complete"</formula>
    </cfRule>
  </conditionalFormatting>
  <conditionalFormatting sqref="H14">
    <cfRule type="expression" priority="15" dxfId="0">
      <formula>$H14="Issues open"</formula>
    </cfRule>
    <cfRule type="expression" priority="16" dxfId="1">
      <formula>$H14="Complete"</formula>
    </cfRule>
  </conditionalFormatting>
  <conditionalFormatting sqref="H15">
    <cfRule type="expression" priority="17" dxfId="0">
      <formula>$H15="Issues open"</formula>
    </cfRule>
    <cfRule type="expression" priority="18" dxfId="1">
      <formula>$H15="Complete"</formula>
    </cfRule>
  </conditionalFormatting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Template T02 | Version 0.9 (pre-release)&amp;C&amp;"Arial"&amp;8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Book 2 Template T02: Investor due diligence checklist</dc:title>
  <dc:subject xmlns:dc="http://purl.org/dc/elements/1.1/">Africa Energy Finance, Book 2 Templates Pack</dc:subject>
  <dcterms:created xmlns:dcterms="http://purl.org/dc/terms/" xmlns:xsi="http://www.w3.org/2001/XMLSchema-instance" xsi:type="dcterms:W3CDTF">2026-10-03T15:50:58Z</dcterms:created>
  <dcterms:modified xmlns:dcterms="http://purl.org/dc/terms/" xmlns:xsi="http://www.w3.org/2001/XMLSchema-instance" xsi:type="dcterms:W3CDTF">2026-10-03T15:50:58Z</dcterms:modified>
  <cp:lastModifiedBy>Emmanuel Boujieka Kamga</cp:lastModifiedBy>
  <cp:keywords>Africa Energy Finance; Book 2; PAYGo Solar Finance; template</cp:keywords>
</cp:coreProperties>
</file>