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Certificate" sheetId="2" state="visible" r:id="rId2"/>
    <sheet xmlns:r="http://schemas.openxmlformats.org/officeDocument/2006/relationships" name="Term_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(#,##0);0"/>
    <numFmt numFmtId="167" formatCode="0.0%;(0.0%);0.0%"/>
  </numFmts>
  <fonts count="11">
    <font>
      <name val="Calibri"/>
      <family val="2"/>
      <color theme="1"/>
      <sz val="11"/>
      <scheme val="minor"/>
    </font>
    <font>
      <name val="Arial"/>
      <b val="1"/>
      <color rgb="00E3C27A"/>
      <sz val="8"/>
    </font>
    <font>
      <name val="Arial"/>
      <b val="1"/>
      <color rgb="00FFFFFF"/>
      <sz val="15"/>
    </font>
    <font>
      <name val="Arial"/>
      <i val="1"/>
      <color rgb="00E8E8E8"/>
      <sz val="9"/>
    </font>
    <font>
      <name val="Arial"/>
      <color rgb="00666666"/>
      <sz val="8"/>
    </font>
    <font>
      <name val="Arial"/>
      <b val="1"/>
      <color rgb="000B3020"/>
      <sz val="11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020"/>
      </patternFill>
    </fill>
    <fill>
      <patternFill patternType="solid">
        <fgColor rgb="00FFF8E1"/>
      </patternFill>
    </fill>
  </fills>
  <borders count="7">
    <border>
      <left/>
      <right/>
      <top/>
      <bottom/>
      <diagonal/>
    </border>
    <border>
      <bottom style="medium">
        <color rgb="00B07C0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3" borderId="2" pivotButton="0" quotePrefix="0" xfId="0"/>
    <xf numFmtId="0" fontId="6" fillId="0" borderId="0" pivotButton="0" quotePrefix="0" xfId="0"/>
    <xf numFmtId="0" fontId="6" fillId="0" borderId="2" pivotButton="0" quotePrefix="0" xfId="0"/>
    <xf numFmtId="0" fontId="9" fillId="0" borderId="0" applyAlignment="1" pivotButton="0" quotePrefix="0" xfId="0">
      <alignment vertical="top" wrapText="1"/>
    </xf>
    <xf numFmtId="165" fontId="8" fillId="3" borderId="2" pivotButton="0" quotePrefix="0" xfId="0"/>
    <xf numFmtId="166" fontId="8" fillId="3" borderId="2" pivotButton="0" quotePrefix="0" xfId="0"/>
    <xf numFmtId="167" fontId="8" fillId="3" borderId="2" pivotButton="0" quotePrefix="0" xfId="0"/>
    <xf numFmtId="0" fontId="10" fillId="2" borderId="2" applyAlignment="1" pivotButton="0" quotePrefix="0" xfId="0">
      <alignment vertical="center" wrapText="1"/>
    </xf>
    <xf numFmtId="166" fontId="6" fillId="0" borderId="2" pivotButton="0" quotePrefix="0" xfId="0"/>
    <xf numFmtId="166" fontId="7" fillId="0" borderId="2" pivotButton="0" quotePrefix="0" xfId="0"/>
    <xf numFmtId="0" fontId="9" fillId="0" borderId="0" pivotButton="0" quotePrefix="0" xfId="0"/>
    <xf numFmtId="167" fontId="6" fillId="0" borderId="2" pivotButton="0" quotePrefix="0" xfId="0"/>
    <xf numFmtId="0" fontId="7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7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CE8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10" customWidth="1" min="5" max="5"/>
    <col width="10" customWidth="1" min="6" max="6"/>
  </cols>
  <sheetData>
    <row r="1">
      <c r="A1" s="1" t="inlineStr">
        <is>
          <t>AFRICA ENERGY FINANCE  |  VOLUME 2  |  SOLAR HOME SYSTEMS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Borrowing base certificate and term sheet checklist</t>
        </is>
      </c>
      <c r="B2" s="2" t="n"/>
      <c r="C2" s="2" t="n"/>
      <c r="D2" s="2" t="n"/>
      <c r="E2" s="2" t="n"/>
      <c r="F2" s="2" t="n"/>
    </row>
    <row r="3">
      <c r="A3" s="4" t="inlineStr">
        <is>
          <t>How to use this template</t>
        </is>
      </c>
      <c r="B3" s="2" t="n"/>
      <c r="C3" s="2" t="n"/>
      <c r="D3" s="2" t="n"/>
      <c r="E3" s="2" t="n"/>
      <c r="F3" s="2" t="n"/>
    </row>
    <row r="4">
      <c r="A4" s="5" t="inlineStr">
        <is>
          <t>Template T07  |  Version 1.0  |  Author &amp; ideation: Emmanuel Boujieka Kamga</t>
        </is>
      </c>
      <c r="B4" s="6" t="n"/>
      <c r="C4" s="6" t="n"/>
      <c r="D4" s="6" t="n"/>
      <c r="E4" s="6" t="n"/>
      <c r="F4" s="6" t="n"/>
    </row>
    <row r="5"/>
    <row r="6">
      <c r="A6" s="7" t="inlineStr">
        <is>
          <t>Purpose</t>
        </is>
      </c>
      <c r="B6" s="6" t="n"/>
      <c r="C6" s="6" t="n"/>
      <c r="D6" s="6" t="n"/>
      <c r="E6" s="6" t="n"/>
      <c r="F6" s="6" t="n"/>
    </row>
    <row r="7">
      <c r="A7" s="8" t="inlineStr">
        <is>
          <t>A monthly borrowing base certificate for a PAYGo receivables facility, with eligibility by DPD bucket, advance rates by tier, a concentration limit on unproven products and headroom against the drawn balance; and a checklist of the terms to settle in the facility term sheet.</t>
        </is>
      </c>
    </row>
    <row r="8"/>
    <row r="9"/>
    <row r="10"/>
    <row r="11">
      <c r="A11" s="7" t="inlineStr">
        <is>
          <t>How to use it</t>
        </is>
      </c>
      <c r="B11" s="6" t="n"/>
      <c r="C11" s="6" t="n"/>
      <c r="D11" s="6" t="n"/>
      <c r="E11" s="6" t="n"/>
      <c r="F11" s="6" t="n"/>
    </row>
    <row r="12" ht="30" customHeight="1">
      <c r="A12" s="9" t="inlineStr">
        <is>
          <t>Step 1</t>
        </is>
      </c>
      <c r="B12" s="8" t="inlineStr">
        <is>
          <t>Enter gross receivables by tier and DPD bucket at month end on the Certificate sheet (blue cells).</t>
        </is>
      </c>
    </row>
    <row r="13" ht="30" customHeight="1">
      <c r="A13" s="9" t="inlineStr">
        <is>
          <t>Step 2</t>
        </is>
      </c>
      <c r="B13" s="8" t="inlineStr">
        <is>
          <t>Set the maximum DPD for eligibility, advance rates, the concentration limit and flag the tiers it applies to.</t>
        </is>
      </c>
    </row>
    <row r="14" ht="30" customHeight="1">
      <c r="A14" s="9" t="inlineStr">
        <is>
          <t>Step 3</t>
        </is>
      </c>
      <c r="B14" s="8" t="inlineStr">
        <is>
          <t>Enter ineligible deductions (restructured, deposit only, unverified accounts) and the drawn balance.</t>
        </is>
      </c>
    </row>
    <row r="15" ht="30" customHeight="1">
      <c r="A15" s="9" t="inlineStr">
        <is>
          <t>Step 4</t>
        </is>
      </c>
      <c r="B15" s="8" t="inlineStr">
        <is>
          <t>Read the borrowing base, availability and headroom; use the stress block to test a migration between buckets.</t>
        </is>
      </c>
    </row>
    <row r="16" ht="15" customHeight="1">
      <c r="A16" s="9" t="inlineStr">
        <is>
          <t>Step 5</t>
        </is>
      </c>
      <c r="B16" s="8" t="inlineStr">
        <is>
          <t>Use Term_Sheet to record each party's position on every term until agreed.</t>
        </is>
      </c>
    </row>
    <row r="17"/>
    <row r="18">
      <c r="A18" s="7" t="inlineStr">
        <is>
          <t>Colour code</t>
        </is>
      </c>
      <c r="B18" s="6" t="n"/>
      <c r="C18" s="6" t="n"/>
      <c r="D18" s="6" t="n"/>
      <c r="E18" s="6" t="n"/>
      <c r="F18" s="6" t="n"/>
    </row>
    <row r="19">
      <c r="A19" s="10" t="inlineStr">
        <is>
          <t>Input</t>
        </is>
      </c>
      <c r="B19" s="11" t="inlineStr">
        <is>
          <t>Blue font on cream: the only cells to edit</t>
        </is>
      </c>
    </row>
    <row r="20">
      <c r="A20" s="12" t="inlineStr">
        <is>
          <t>Formula</t>
        </is>
      </c>
      <c r="B20" s="11" t="inlineStr">
        <is>
          <t>Black font: calculated, do not overwrite</t>
        </is>
      </c>
    </row>
    <row r="21"/>
    <row r="22">
      <c r="A22" s="7" t="inlineStr">
        <is>
          <t>Links to the Volume 2 model and book</t>
        </is>
      </c>
      <c r="B22" s="6" t="n"/>
      <c r="C22" s="6" t="n"/>
      <c r="D22" s="6" t="n"/>
      <c r="E22" s="6" t="n"/>
      <c r="F22" s="6" t="n"/>
    </row>
    <row r="23">
      <c r="A23" s="9" t="inlineStr">
        <is>
          <t>Book</t>
        </is>
      </c>
      <c r="B23" s="8" t="inlineStr">
        <is>
          <t>Chapter 11 (borrowing base, eligibility, covenants), Chapter 12 (triggers); Annex F</t>
        </is>
      </c>
    </row>
    <row r="24">
      <c r="A24" s="9" t="inlineStr">
        <is>
          <t>Model</t>
        </is>
      </c>
      <c r="B24" s="8" t="inlineStr">
        <is>
          <t>Products (advance rates), Credit_Assumptions (maximum DPD for eligibility), Credit_Portfolio</t>
        </is>
      </c>
    </row>
    <row r="25">
      <c r="A25" s="9" t="inlineStr">
        <is>
          <t>Related templates</t>
        </is>
      </c>
      <c r="B25" s="8" t="inlineStr">
        <is>
          <t>T05 lender KPI report; T06 loan tape</t>
        </is>
      </c>
    </row>
    <row r="26"/>
    <row r="27">
      <c r="A27" s="13" t="inlineStr">
        <is>
          <t>Decision support material; not investment, legal, tax or accounting advice. Example values are illustrative and refer to the fictional SolaraPay case where data are needed. (c) 2026 Emmanuel Boujieka Kamga.</t>
        </is>
      </c>
    </row>
    <row r="28"/>
  </sheetData>
  <mergeCells count="10">
    <mergeCell ref="B12:F12"/>
    <mergeCell ref="B24:F24"/>
    <mergeCell ref="B16:F16"/>
    <mergeCell ref="B15:F15"/>
    <mergeCell ref="B25:F25"/>
    <mergeCell ref="A27:F28"/>
    <mergeCell ref="A7:F9"/>
    <mergeCell ref="B23:F23"/>
    <mergeCell ref="B14:F14"/>
    <mergeCell ref="B13:F13"/>
  </mergeCells>
  <printOptions horizontalCentered="1"/>
  <pageMargins left="0.5" right="0.5" top="0.6" bottom="0.7" header="0.5" footer="0.5"/>
  <pageSetup orientation="portrait" paperSize="9" fitToHeight="0" fitToWidth="1"/>
  <headerFooter>
    <oddHeader/>
    <oddFooter>&amp;L&amp;"Arial"&amp;8 Africa Energy Finance | Volume 2 Template T07&amp;C&amp;"Arial"&amp;8 &amp;A&amp;R&amp;"Arial"&amp;8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1">
      <c r="A1" s="1" t="inlineStr">
        <is>
          <t>AFRICA ENERGY FINANCE  |  VOLUME 2  |  SOLAR HOME SYSTEMS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2" customHeight="1">
      <c r="A2" s="3" t="inlineStr">
        <is>
          <t>Borrowing base certificate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4" t="inlineStr">
        <is>
          <t>Month end; local currency millions; example from Chapter 11 of the book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5" t="inlineStr">
        <is>
          <t>Template T07  |  Version 1.0  |  Author &amp; ideation: Emmanuel Boujieka Kamga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/>
    <row r="6">
      <c r="A6" s="11" t="inlineStr">
        <is>
          <t>Certificate date</t>
        </is>
      </c>
      <c r="B6" s="14" t="n">
        <v>46295</v>
      </c>
    </row>
    <row r="7">
      <c r="A7" s="11" t="inlineStr">
        <is>
          <t>Maximum DPD for eligibility</t>
        </is>
      </c>
      <c r="B7" s="15" t="n">
        <v>30</v>
      </c>
    </row>
    <row r="8">
      <c r="A8" s="11" t="inlineStr">
        <is>
          <t>Concentration limit on flagged tiers (share of eligible)</t>
        </is>
      </c>
      <c r="B8" s="16" t="n">
        <v>0.12</v>
      </c>
    </row>
    <row r="9">
      <c r="A9" s="11" t="inlineStr">
        <is>
          <t>Facility limit</t>
        </is>
      </c>
      <c r="B9" s="15" t="n">
        <v>2000</v>
      </c>
    </row>
    <row r="10">
      <c r="A10" s="11" t="inlineStr">
        <is>
          <t>Facility drawn</t>
        </is>
      </c>
      <c r="B10" s="15" t="n">
        <v>1500</v>
      </c>
    </row>
    <row r="11"/>
    <row r="12" ht="30" customHeight="1">
      <c r="A12" s="17" t="inlineStr">
        <is>
          <t>Tier</t>
        </is>
      </c>
      <c r="B12" s="17" t="inlineStr">
        <is>
          <t>Current</t>
        </is>
      </c>
      <c r="C12" s="17" t="inlineStr">
        <is>
          <t>1 to 30 DPD</t>
        </is>
      </c>
      <c r="D12" s="17" t="inlineStr">
        <is>
          <t>31 to 60 DPD</t>
        </is>
      </c>
      <c r="E12" s="17" t="inlineStr">
        <is>
          <t>61 to 90 DPD</t>
        </is>
      </c>
      <c r="F12" s="17" t="inlineStr">
        <is>
          <t>91 to 180 DPD</t>
        </is>
      </c>
      <c r="G12" s="17" t="inlineStr">
        <is>
          <t>Over 180 DPD</t>
        </is>
      </c>
      <c r="H12" s="17" t="inlineStr">
        <is>
          <t>Gross</t>
        </is>
      </c>
      <c r="I12" s="17" t="inlineStr">
        <is>
          <t>Advance rate</t>
        </is>
      </c>
      <c r="J12" s="17" t="inlineStr">
        <is>
          <t>Flag (Yes/No)</t>
        </is>
      </c>
      <c r="K12" s="17" t="inlineStr">
        <is>
          <t>Ineligible deductions</t>
        </is>
      </c>
    </row>
    <row r="13">
      <c r="A13" s="11" t="inlineStr">
        <is>
          <t>Lower DPD bound</t>
        </is>
      </c>
      <c r="B13" s="18" t="n">
        <v>0</v>
      </c>
      <c r="C13" s="18" t="n">
        <v>1</v>
      </c>
      <c r="D13" s="18" t="n">
        <v>31</v>
      </c>
      <c r="E13" s="18" t="n">
        <v>61</v>
      </c>
      <c r="F13" s="18" t="n">
        <v>91</v>
      </c>
      <c r="G13" s="18" t="n">
        <v>181</v>
      </c>
    </row>
    <row r="14">
      <c r="A14" s="9" t="inlineStr">
        <is>
          <t>Tier 1</t>
        </is>
      </c>
      <c r="B14" s="15" t="n">
        <v>120</v>
      </c>
      <c r="C14" s="15" t="n">
        <v>20</v>
      </c>
      <c r="D14" s="15" t="n">
        <v>15</v>
      </c>
      <c r="E14" s="15" t="n">
        <v>0</v>
      </c>
      <c r="F14" s="15" t="n">
        <v>25</v>
      </c>
      <c r="G14" s="15" t="n">
        <v>0</v>
      </c>
      <c r="H14" s="18">
        <f>SUM(B14:G14)</f>
        <v/>
      </c>
      <c r="I14" s="16" t="n">
        <v>0.5</v>
      </c>
      <c r="J14" s="10" t="inlineStr">
        <is>
          <t>No</t>
        </is>
      </c>
      <c r="K14" s="15" t="n">
        <v>0</v>
      </c>
    </row>
    <row r="15">
      <c r="A15" s="9" t="inlineStr">
        <is>
          <t>Tier 2</t>
        </is>
      </c>
      <c r="B15" s="15" t="n">
        <v>930</v>
      </c>
      <c r="C15" s="15" t="n">
        <v>150</v>
      </c>
      <c r="D15" s="15" t="n">
        <v>110</v>
      </c>
      <c r="E15" s="15" t="n">
        <v>0</v>
      </c>
      <c r="F15" s="15" t="n">
        <v>140</v>
      </c>
      <c r="G15" s="15" t="n">
        <v>0</v>
      </c>
      <c r="H15" s="18">
        <f>SUM(B15:G15)</f>
        <v/>
      </c>
      <c r="I15" s="16" t="n">
        <v>0.7</v>
      </c>
      <c r="J15" s="10" t="inlineStr">
        <is>
          <t>No</t>
        </is>
      </c>
      <c r="K15" s="15" t="n">
        <v>0</v>
      </c>
    </row>
    <row r="16">
      <c r="A16" s="9" t="inlineStr">
        <is>
          <t>Tier 3</t>
        </is>
      </c>
      <c r="B16" s="15" t="n">
        <v>700</v>
      </c>
      <c r="C16" s="15" t="n">
        <v>100</v>
      </c>
      <c r="D16" s="15" t="n">
        <v>60</v>
      </c>
      <c r="E16" s="15" t="n">
        <v>0</v>
      </c>
      <c r="F16" s="15" t="n">
        <v>70</v>
      </c>
      <c r="G16" s="15" t="n">
        <v>0</v>
      </c>
      <c r="H16" s="18">
        <f>SUM(B16:G16)</f>
        <v/>
      </c>
      <c r="I16" s="16" t="n">
        <v>0.7</v>
      </c>
      <c r="J16" s="10" t="inlineStr">
        <is>
          <t>No</t>
        </is>
      </c>
      <c r="K16" s="15" t="n">
        <v>0</v>
      </c>
    </row>
    <row r="17">
      <c r="A17" s="9" t="inlineStr">
        <is>
          <t>Tier 4</t>
        </is>
      </c>
      <c r="B17" s="15" t="n">
        <v>290</v>
      </c>
      <c r="C17" s="15" t="n">
        <v>30</v>
      </c>
      <c r="D17" s="15" t="n">
        <v>10</v>
      </c>
      <c r="E17" s="15" t="n">
        <v>0</v>
      </c>
      <c r="F17" s="15" t="n">
        <v>10</v>
      </c>
      <c r="G17" s="15" t="n">
        <v>0</v>
      </c>
      <c r="H17" s="18">
        <f>SUM(B17:G17)</f>
        <v/>
      </c>
      <c r="I17" s="16" t="n">
        <v>0.75</v>
      </c>
      <c r="J17" s="10" t="inlineStr">
        <is>
          <t>Yes</t>
        </is>
      </c>
      <c r="K17" s="15" t="n">
        <v>0</v>
      </c>
    </row>
    <row r="18">
      <c r="A18" s="9" t="inlineStr">
        <is>
          <t>Tier 5</t>
        </is>
      </c>
      <c r="B18" s="15" t="n">
        <v>145</v>
      </c>
      <c r="C18" s="15" t="n">
        <v>15</v>
      </c>
      <c r="D18" s="15" t="n">
        <v>5</v>
      </c>
      <c r="E18" s="15" t="n">
        <v>0</v>
      </c>
      <c r="F18" s="15" t="n">
        <v>5</v>
      </c>
      <c r="G18" s="15" t="n">
        <v>0</v>
      </c>
      <c r="H18" s="18">
        <f>SUM(B18:G18)</f>
        <v/>
      </c>
      <c r="I18" s="16" t="n">
        <v>0.75</v>
      </c>
      <c r="J18" s="10" t="inlineStr">
        <is>
          <t>Yes</t>
        </is>
      </c>
      <c r="K18" s="15" t="n">
        <v>0</v>
      </c>
    </row>
    <row r="19">
      <c r="A19" s="9" t="inlineStr">
        <is>
          <t>Total</t>
        </is>
      </c>
      <c r="B19" s="19">
        <f>SUM(B14:B18)</f>
        <v/>
      </c>
      <c r="C19" s="19">
        <f>SUM(C14:C18)</f>
        <v/>
      </c>
      <c r="D19" s="19">
        <f>SUM(D14:D18)</f>
        <v/>
      </c>
      <c r="E19" s="19">
        <f>SUM(E14:E18)</f>
        <v/>
      </c>
      <c r="F19" s="19">
        <f>SUM(F14:F18)</f>
        <v/>
      </c>
      <c r="G19" s="19">
        <f>SUM(G14:G18)</f>
        <v/>
      </c>
      <c r="H19" s="19">
        <f>SUM(H14:H18)</f>
        <v/>
      </c>
      <c r="K19" s="19">
        <f>SUM(K14:K18)</f>
        <v/>
      </c>
    </row>
    <row r="20">
      <c r="A20" s="20" t="inlineStr">
        <is>
          <t>Note: the example merges 31 to 90 DPD into the 31 to 60 column and 91 DPD and over into the 91 to 180 column, as in the book.</t>
        </is>
      </c>
    </row>
    <row r="21"/>
    <row r="22" ht="30" customHeight="1">
      <c r="A22" s="17" t="inlineStr">
        <is>
          <t>Tier</t>
        </is>
      </c>
      <c r="B22" s="17" t="inlineStr">
        <is>
          <t>Eligible</t>
        </is>
      </c>
      <c r="C22" s="17" t="inlineStr">
        <is>
          <t>Advance rate</t>
        </is>
      </c>
      <c r="D22" s="17" t="inlineStr">
        <is>
          <t>Base before limits</t>
        </is>
      </c>
      <c r="E22" s="17" t="inlineStr">
        <is>
          <t>Flagged eligible</t>
        </is>
      </c>
      <c r="F22" s="17" t="inlineStr"/>
      <c r="G22" s="17" t="inlineStr"/>
      <c r="H22" s="17" t="inlineStr"/>
      <c r="I22" s="17" t="inlineStr"/>
      <c r="J22" s="17" t="inlineStr"/>
      <c r="K22" s="17" t="inlineStr"/>
    </row>
    <row r="23">
      <c r="A23" s="9" t="inlineStr">
        <is>
          <t>Tier 1</t>
        </is>
      </c>
      <c r="B23" s="18">
        <f>MAX(0,SUMPRODUCT((B$13:G$13&lt;=$B$7)*B14:G14)-K14)</f>
        <v/>
      </c>
      <c r="C23" s="21">
        <f>I14</f>
        <v/>
      </c>
      <c r="D23" s="18">
        <f>B23*C23</f>
        <v/>
      </c>
      <c r="E23" s="18">
        <f>IF(J14="Yes",B23,0)</f>
        <v/>
      </c>
    </row>
    <row r="24">
      <c r="A24" s="9" t="inlineStr">
        <is>
          <t>Tier 2</t>
        </is>
      </c>
      <c r="B24" s="18">
        <f>MAX(0,SUMPRODUCT((B$13:G$13&lt;=$B$7)*B15:G15)-K15)</f>
        <v/>
      </c>
      <c r="C24" s="21">
        <f>I15</f>
        <v/>
      </c>
      <c r="D24" s="18">
        <f>B24*C24</f>
        <v/>
      </c>
      <c r="E24" s="18">
        <f>IF(J15="Yes",B24,0)</f>
        <v/>
      </c>
    </row>
    <row r="25">
      <c r="A25" s="9" t="inlineStr">
        <is>
          <t>Tier 3</t>
        </is>
      </c>
      <c r="B25" s="18">
        <f>MAX(0,SUMPRODUCT((B$13:G$13&lt;=$B$7)*B16:G16)-K16)</f>
        <v/>
      </c>
      <c r="C25" s="21">
        <f>I16</f>
        <v/>
      </c>
      <c r="D25" s="18">
        <f>B25*C25</f>
        <v/>
      </c>
      <c r="E25" s="18">
        <f>IF(J16="Yes",B25,0)</f>
        <v/>
      </c>
    </row>
    <row r="26">
      <c r="A26" s="9" t="inlineStr">
        <is>
          <t>Tier 4</t>
        </is>
      </c>
      <c r="B26" s="18">
        <f>MAX(0,SUMPRODUCT((B$13:G$13&lt;=$B$7)*B17:G17)-K17)</f>
        <v/>
      </c>
      <c r="C26" s="21">
        <f>I17</f>
        <v/>
      </c>
      <c r="D26" s="18">
        <f>B26*C26</f>
        <v/>
      </c>
      <c r="E26" s="18">
        <f>IF(J17="Yes",B26,0)</f>
        <v/>
      </c>
    </row>
    <row r="27">
      <c r="A27" s="9" t="inlineStr">
        <is>
          <t>Tier 5</t>
        </is>
      </c>
      <c r="B27" s="18">
        <f>MAX(0,SUMPRODUCT((B$13:G$13&lt;=$B$7)*B18:G18)-K18)</f>
        <v/>
      </c>
      <c r="C27" s="21">
        <f>I18</f>
        <v/>
      </c>
      <c r="D27" s="18">
        <f>B27*C27</f>
        <v/>
      </c>
      <c r="E27" s="18">
        <f>IF(J18="Yes",B27,0)</f>
        <v/>
      </c>
    </row>
    <row r="28">
      <c r="A28" s="9" t="inlineStr">
        <is>
          <t>Total</t>
        </is>
      </c>
      <c r="B28" s="19">
        <f>SUM(B23:B27)</f>
        <v/>
      </c>
      <c r="D28" s="19">
        <f>SUM(D23:D27)</f>
        <v/>
      </c>
      <c r="E28" s="19">
        <f>SUM(E23:E27)</f>
        <v/>
      </c>
    </row>
    <row r="29"/>
    <row r="30">
      <c r="A30" s="7" t="inlineStr">
        <is>
          <t>Borrowing base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11" t="inlineStr">
        <is>
          <t>Borrowing base before concentration limits</t>
        </is>
      </c>
      <c r="B31" s="18">
        <f>D28</f>
        <v/>
      </c>
    </row>
    <row r="32">
      <c r="A32" s="11" t="inlineStr">
        <is>
          <t>Concentration cap on flagged tiers</t>
        </is>
      </c>
      <c r="B32" s="18">
        <f>B8*B28</f>
        <v/>
      </c>
    </row>
    <row r="33">
      <c r="A33" s="11" t="inlineStr">
        <is>
          <t>Excess flagged receivables</t>
        </is>
      </c>
      <c r="B33" s="18">
        <f>MAX(0,E28-B32)</f>
        <v/>
      </c>
    </row>
    <row r="34">
      <c r="A34" s="11" t="inlineStr">
        <is>
          <t>Weighted advance rate on flagged tiers</t>
        </is>
      </c>
      <c r="B34" s="21">
        <f>IF(E28=0,0,SUMPRODUCT(E23:E27,C23:C27)/E28)</f>
        <v/>
      </c>
    </row>
    <row r="35">
      <c r="A35" s="11" t="inlineStr">
        <is>
          <t>Less excess concentration</t>
        </is>
      </c>
      <c r="B35" s="18">
        <f>-B33*B34</f>
        <v/>
      </c>
    </row>
    <row r="36">
      <c r="A36" s="9" t="inlineStr">
        <is>
          <t>Borrowing base</t>
        </is>
      </c>
      <c r="B36" s="19">
        <f>B31+B35</f>
        <v/>
      </c>
    </row>
    <row r="37">
      <c r="A37" s="11" t="inlineStr">
        <is>
          <t>Available (lower of limit and borrowing base)</t>
        </is>
      </c>
      <c r="B37" s="18">
        <f>MIN(B9,B36)</f>
        <v/>
      </c>
    </row>
    <row r="38">
      <c r="A38" s="11" t="inlineStr">
        <is>
          <t>Facility drawn</t>
        </is>
      </c>
      <c r="B38" s="18">
        <f>B10</f>
        <v/>
      </c>
    </row>
    <row r="39">
      <c r="A39" s="9" t="inlineStr">
        <is>
          <t>Headroom</t>
        </is>
      </c>
      <c r="B39" s="19">
        <f>B37-B38</f>
        <v/>
      </c>
    </row>
    <row r="40">
      <c r="A40" s="11" t="inlineStr">
        <is>
          <t>Headroom as share of drawn</t>
        </is>
      </c>
      <c r="B40" s="21">
        <f>IF(B38=0,0,B39/B38)</f>
        <v/>
      </c>
    </row>
    <row r="41">
      <c r="A41" s="11" t="inlineStr">
        <is>
          <t>Effective advance on gross receivables</t>
        </is>
      </c>
      <c r="B41" s="21">
        <f>IF(H19=0,0,B36/H19)</f>
        <v/>
      </c>
    </row>
    <row r="42">
      <c r="A42" s="9" t="inlineStr">
        <is>
          <t>Status</t>
        </is>
      </c>
      <c r="B42" s="22">
        <f>IF(B39&lt;0,"Borrowing base breach: repay or cure",IF(B40&lt;0.05,"Watch: headroom below 5% of drawn","Compliant"))</f>
        <v/>
      </c>
      <c r="C42" s="23" t="n"/>
      <c r="D42" s="23" t="n"/>
      <c r="E42" s="24" t="n"/>
    </row>
    <row r="43"/>
    <row r="44">
      <c r="A44" s="7" t="inlineStr">
        <is>
          <t>Stress: migration out of the eligible buckets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11" t="inlineStr">
        <is>
          <t>Tier migrating</t>
        </is>
      </c>
      <c r="B45" s="15" t="n">
        <v>2</v>
      </c>
    </row>
    <row r="46">
      <c r="A46" s="11" t="inlineStr">
        <is>
          <t>Amount moving from 1 to 30 DPD to 31 to 60 DPD</t>
        </is>
      </c>
      <c r="B46" s="15" t="n">
        <v>100</v>
      </c>
    </row>
    <row r="47">
      <c r="A47" s="11" t="inlineStr">
        <is>
          <t>Eligible receivables after migration</t>
        </is>
      </c>
      <c r="B47" s="18">
        <f>B28-IF(B7&gt;=1,MIN(B46,INDEX(C14:C18,B45)),0)+IF(B7&gt;=31,MIN(B46,INDEX(C14:C18,B45)),0)</f>
        <v/>
      </c>
    </row>
    <row r="48">
      <c r="A48" s="11" t="inlineStr">
        <is>
          <t>Flagged eligible after migration</t>
        </is>
      </c>
      <c r="B48" s="18">
        <f>E28-IF(INDEX(J14:J18,B45)="Yes",B28-B47,0)</f>
        <v/>
      </c>
    </row>
    <row r="49">
      <c r="A49" s="11" t="inlineStr">
        <is>
          <t>Base before limits after migration</t>
        </is>
      </c>
      <c r="B49" s="18">
        <f>D28-(B28-B47)*INDEX(I14:I18,B45)</f>
        <v/>
      </c>
    </row>
    <row r="50">
      <c r="A50" s="11" t="inlineStr">
        <is>
          <t>Excess concentration deduction after migration</t>
        </is>
      </c>
      <c r="B50" s="18">
        <f>MAX(0,B48-B8*B47)*B34</f>
        <v/>
      </c>
    </row>
    <row r="51">
      <c r="A51" s="9" t="inlineStr">
        <is>
          <t>Borrowing base after migration</t>
        </is>
      </c>
      <c r="B51" s="19">
        <f>B49-B50</f>
        <v/>
      </c>
    </row>
    <row r="52">
      <c r="A52" s="9" t="inlineStr">
        <is>
          <t>Headroom after migration</t>
        </is>
      </c>
      <c r="B52" s="19">
        <f>MIN(B9,B51)-B10</f>
        <v/>
      </c>
    </row>
    <row r="53">
      <c r="A53" s="11" t="inlineStr">
        <is>
          <t>Headroom lost</t>
        </is>
      </c>
      <c r="B53" s="18">
        <f>B39-B52</f>
        <v/>
      </c>
    </row>
  </sheetData>
  <mergeCells count="1">
    <mergeCell ref="B42:E42"/>
  </mergeCells>
  <conditionalFormatting sqref="B42">
    <cfRule type="expression" priority="1" dxfId="0">
      <formula>LEFT(B42,6)="Borrow"</formula>
    </cfRule>
    <cfRule type="expression" priority="2" dxfId="1">
      <formula>LEFT(B42,5)="Watch"</formula>
    </cfRule>
  </conditionalFormatting>
  <dataValidations count="1">
    <dataValidation sqref="J14:J18" showDropDown="0" showInputMessage="0" showErrorMessage="0" allowBlank="1" type="list">
      <formula1>"Yes,No"</formula1>
    </dataValidation>
  </dataValidations>
  <printOptions horizontalCentered="1"/>
  <pageMargins left="0.5" right="0.5" top="0.6" bottom="0.7" header="0.5" footer="0.5"/>
  <pageSetup orientation="landscape" paperSize="9" fitToHeight="0" fitToWidth="1"/>
  <headerFooter>
    <oddHeader/>
    <oddFooter>&amp;L&amp;"Arial"&amp;8 Africa Energy Finance | Volume 2 Template T07&amp;C&amp;"Arial"&amp;8 &amp;A&amp;R&amp;"Arial"&amp;8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30" customWidth="1" min="3" max="3"/>
    <col width="30" customWidth="1" min="4" max="4"/>
    <col width="12" customWidth="1" min="5" max="5"/>
    <col width="12" customWidth="1" min="6" max="6"/>
    <col width="30" customWidth="1" min="7" max="7"/>
    <col width="8" customWidth="1" min="8" max="8"/>
  </cols>
  <sheetData>
    <row r="1">
      <c r="A1" s="1" t="inlineStr">
        <is>
          <t>AFRICA ENERGY FINANCE  |  VOLUME 2  |  SOLAR HOME SYSTEMS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Receivables facility term sheet checklist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Record each party's position until agreed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5" t="inlineStr">
        <is>
          <t>Template T07  |  Version 1.0  |  Author &amp; ideation: Emmanuel Boujieka Kamga</t>
        </is>
      </c>
      <c r="B4" s="6" t="n"/>
      <c r="C4" s="6" t="n"/>
      <c r="D4" s="6" t="n"/>
      <c r="E4" s="6" t="n"/>
      <c r="F4" s="6" t="n"/>
      <c r="G4" s="6" t="n"/>
      <c r="H4" s="6" t="n"/>
    </row>
    <row r="5"/>
    <row r="6" ht="30" customHeight="1">
      <c r="A6" s="17" t="inlineStr">
        <is>
          <t>Term</t>
        </is>
      </c>
      <c r="B6" s="17" t="inlineStr">
        <is>
          <t>Points to settle</t>
        </is>
      </c>
      <c r="C6" s="17" t="inlineStr">
        <is>
          <t>Company position</t>
        </is>
      </c>
      <c r="D6" s="17" t="inlineStr">
        <is>
          <t>Lender position</t>
        </is>
      </c>
      <c r="E6" s="17" t="inlineStr">
        <is>
          <t>Agreed</t>
        </is>
      </c>
      <c r="F6" s="17" t="inlineStr">
        <is>
          <t>Condition precedent</t>
        </is>
      </c>
      <c r="G6" s="17" t="inlineStr">
        <is>
          <t>Notes</t>
        </is>
      </c>
      <c r="H6" s="17" t="inlineStr">
        <is>
          <t>Book</t>
        </is>
      </c>
    </row>
    <row r="7" ht="30" customHeight="1">
      <c r="A7" s="25" t="inlineStr">
        <is>
          <t>Borrower and structure</t>
        </is>
      </c>
      <c r="B7" s="26" t="inlineStr">
        <is>
          <t>Operating company or SPV; security package; true sale or secured loan</t>
        </is>
      </c>
      <c r="C7" s="10" t="n"/>
      <c r="D7" s="10" t="n"/>
      <c r="E7" s="10" t="inlineStr">
        <is>
          <t>Open</t>
        </is>
      </c>
      <c r="F7" s="10" t="inlineStr">
        <is>
          <t>No</t>
        </is>
      </c>
      <c r="G7" s="10" t="n"/>
      <c r="H7" s="12" t="n">
        <v>11</v>
      </c>
    </row>
    <row r="8" ht="30" customHeight="1">
      <c r="A8" s="25" t="inlineStr">
        <is>
          <t>Facility amount and tenor</t>
        </is>
      </c>
      <c r="B8" s="26" t="inlineStr">
        <is>
          <t>Commitment, availability period, amortisation after availability ends</t>
        </is>
      </c>
      <c r="C8" s="10" t="n"/>
      <c r="D8" s="10" t="n"/>
      <c r="E8" s="10" t="inlineStr">
        <is>
          <t>Open</t>
        </is>
      </c>
      <c r="F8" s="10" t="inlineStr">
        <is>
          <t>No</t>
        </is>
      </c>
      <c r="G8" s="10" t="n"/>
      <c r="H8" s="12" t="n">
        <v>11</v>
      </c>
    </row>
    <row r="9" ht="30" customHeight="1">
      <c r="A9" s="25" t="inlineStr">
        <is>
          <t>Currency and pricing</t>
        </is>
      </c>
      <c r="B9" s="26" t="inlineStr">
        <is>
          <t>Local or hard currency; margin, fees, hedging cost</t>
        </is>
      </c>
      <c r="C9" s="10" t="n"/>
      <c r="D9" s="10" t="n"/>
      <c r="E9" s="10" t="inlineStr">
        <is>
          <t>Open</t>
        </is>
      </c>
      <c r="F9" s="10" t="inlineStr">
        <is>
          <t>No</t>
        </is>
      </c>
      <c r="G9" s="10" t="n"/>
      <c r="H9" s="12" t="n">
        <v>11</v>
      </c>
    </row>
    <row r="10" ht="30" customHeight="1">
      <c r="A10" s="25" t="inlineStr">
        <is>
          <t>Borrowing base</t>
        </is>
      </c>
      <c r="B10" s="26" t="inlineStr">
        <is>
          <t>Eligible receivables definition, advance rates by tier, concentration limits by product, region and agent</t>
        </is>
      </c>
      <c r="C10" s="10" t="n"/>
      <c r="D10" s="10" t="n"/>
      <c r="E10" s="10" t="inlineStr">
        <is>
          <t>Open</t>
        </is>
      </c>
      <c r="F10" s="10" t="inlineStr">
        <is>
          <t>No</t>
        </is>
      </c>
      <c r="G10" s="10" t="n"/>
      <c r="H10" s="12" t="n">
        <v>11</v>
      </c>
    </row>
    <row r="11" ht="30" customHeight="1">
      <c r="A11" s="25" t="inlineStr">
        <is>
          <t>Eligibility criteria</t>
        </is>
      </c>
      <c r="B11" s="26" t="inlineStr">
        <is>
          <t>Maximum DPD, minimum payments made, no restructured accounts, contracts compliant with consumer law</t>
        </is>
      </c>
      <c r="C11" s="10" t="n"/>
      <c r="D11" s="10" t="n"/>
      <c r="E11" s="10" t="inlineStr">
        <is>
          <t>Open</t>
        </is>
      </c>
      <c r="F11" s="10" t="inlineStr">
        <is>
          <t>No</t>
        </is>
      </c>
      <c r="G11" s="10" t="n"/>
      <c r="H11" s="12" t="n">
        <v>11</v>
      </c>
    </row>
    <row r="12" ht="30" customHeight="1">
      <c r="A12" s="25" t="inlineStr">
        <is>
          <t>Cash management</t>
        </is>
      </c>
      <c r="B12" s="26" t="inlineStr">
        <is>
          <t>Collection accounts, sweep mechanics, priority of payments</t>
        </is>
      </c>
      <c r="C12" s="10" t="n"/>
      <c r="D12" s="10" t="n"/>
      <c r="E12" s="10" t="inlineStr">
        <is>
          <t>Open</t>
        </is>
      </c>
      <c r="F12" s="10" t="inlineStr">
        <is>
          <t>No</t>
        </is>
      </c>
      <c r="G12" s="10" t="n"/>
      <c r="H12" s="12" t="n">
        <v>11</v>
      </c>
    </row>
    <row r="13" ht="30" customHeight="1">
      <c r="A13" s="25" t="inlineStr">
        <is>
          <t>Portfolio covenants</t>
        </is>
      </c>
      <c r="B13" s="26" t="inlineStr">
        <is>
          <t>Collection rate, RaR, PAR30 and PAR90, write off ratio, with definitions and calculation dates</t>
        </is>
      </c>
      <c r="C13" s="10" t="n"/>
      <c r="D13" s="10" t="n"/>
      <c r="E13" s="10" t="inlineStr">
        <is>
          <t>Open</t>
        </is>
      </c>
      <c r="F13" s="10" t="inlineStr">
        <is>
          <t>No</t>
        </is>
      </c>
      <c r="G13" s="10" t="n"/>
      <c r="H13" s="12" t="n">
        <v>11</v>
      </c>
    </row>
    <row r="14" ht="30" customHeight="1">
      <c r="A14" s="25" t="inlineStr">
        <is>
          <t>Corporate covenants</t>
        </is>
      </c>
      <c r="B14" s="26" t="inlineStr">
        <is>
          <t>Debt to equity, minimum liquidity, DSCR if any, equity cure rights</t>
        </is>
      </c>
      <c r="C14" s="10" t="n"/>
      <c r="D14" s="10" t="n"/>
      <c r="E14" s="10" t="inlineStr">
        <is>
          <t>Open</t>
        </is>
      </c>
      <c r="F14" s="10" t="inlineStr">
        <is>
          <t>No</t>
        </is>
      </c>
      <c r="G14" s="10" t="n"/>
      <c r="H14" s="12" t="n">
        <v>11</v>
      </c>
    </row>
    <row r="15" ht="30" customHeight="1">
      <c r="A15" s="25" t="inlineStr">
        <is>
          <t>Cure periods and triggers</t>
        </is>
      </c>
      <c r="B15" s="26" t="inlineStr">
        <is>
          <t>Cure mechanics; triggers for stop of advances and early amortisation</t>
        </is>
      </c>
      <c r="C15" s="10" t="n"/>
      <c r="D15" s="10" t="n"/>
      <c r="E15" s="10" t="inlineStr">
        <is>
          <t>Open</t>
        </is>
      </c>
      <c r="F15" s="10" t="inlineStr">
        <is>
          <t>No</t>
        </is>
      </c>
      <c r="G15" s="10" t="n"/>
      <c r="H15" s="12" t="n">
        <v>11</v>
      </c>
    </row>
    <row r="16" ht="30" customHeight="1">
      <c r="A16" s="25" t="inlineStr">
        <is>
          <t>Reporting</t>
        </is>
      </c>
      <c r="B16" s="26" t="inlineStr">
        <is>
          <t>Monthly tape and KPI report, audit rights, servicer reports</t>
        </is>
      </c>
      <c r="C16" s="10" t="n"/>
      <c r="D16" s="10" t="n"/>
      <c r="E16" s="10" t="inlineStr">
        <is>
          <t>Open</t>
        </is>
      </c>
      <c r="F16" s="10" t="inlineStr">
        <is>
          <t>No</t>
        </is>
      </c>
      <c r="G16" s="10" t="n"/>
      <c r="H16" s="12" t="n">
        <v>11</v>
      </c>
    </row>
    <row r="17" ht="30" customHeight="1">
      <c r="A17" s="25" t="inlineStr">
        <is>
          <t>Conditions precedent</t>
        </is>
      </c>
      <c r="B17" s="26" t="inlineStr">
        <is>
          <t>Legal opinions, data tape audit, platform review, insurance</t>
        </is>
      </c>
      <c r="C17" s="10" t="n"/>
      <c r="D17" s="10" t="n"/>
      <c r="E17" s="10" t="inlineStr">
        <is>
          <t>Open</t>
        </is>
      </c>
      <c r="F17" s="10" t="inlineStr">
        <is>
          <t>No</t>
        </is>
      </c>
      <c r="G17" s="10" t="n"/>
      <c r="H17" s="12" t="n">
        <v>11</v>
      </c>
    </row>
    <row r="18" ht="30" customHeight="1">
      <c r="A18" s="25" t="inlineStr">
        <is>
          <t>Events of default</t>
        </is>
      </c>
      <c r="B18" s="26" t="inlineStr">
        <is>
          <t>Payment default, covenant breach after cure, change of control, licence loss</t>
        </is>
      </c>
      <c r="C18" s="10" t="n"/>
      <c r="D18" s="10" t="n"/>
      <c r="E18" s="10" t="inlineStr">
        <is>
          <t>Open</t>
        </is>
      </c>
      <c r="F18" s="10" t="inlineStr">
        <is>
          <t>No</t>
        </is>
      </c>
      <c r="G18" s="10" t="n"/>
      <c r="H18" s="12" t="n">
        <v>11</v>
      </c>
    </row>
    <row r="19"/>
    <row r="20">
      <c r="A20" s="9" t="inlineStr">
        <is>
          <t>Terms agreed</t>
        </is>
      </c>
      <c r="B20" s="22">
        <f>COUNTIF(E7:E18,"Agreed")&amp;" of "&amp;COUNTA(A7:A18)</f>
        <v/>
      </c>
    </row>
  </sheetData>
  <dataValidations count="2">
    <dataValidation sqref="E7:E18" showDropDown="0" showInputMessage="0" showErrorMessage="0" allowBlank="1" type="list">
      <formula1>"Open,Agreed,Dropped"</formula1>
    </dataValidation>
    <dataValidation sqref="F7:F18" showDropDown="0" showInputMessage="0" showErrorMessage="0" allowBlank="1" type="list">
      <formula1>"Yes,No"</formula1>
    </dataValidation>
  </dataValidations>
  <printOptions horizontalCentered="1"/>
  <pageMargins left="0.5" right="0.5" top="0.6" bottom="0.7" header="0.5" footer="0.5"/>
  <pageSetup orientation="landscape" paperSize="9" fitToHeight="0" fitToWidth="1"/>
  <headerFooter>
    <oddHeader/>
    <oddFooter>&amp;L&amp;"Arial"&amp;8 Africa Energy Finance | Volume 2 Template T07&amp;C&amp;"Arial"&amp;8 &amp;A&amp;R&amp;"Arial"&amp;8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Africa Energy Finance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Boujieka Kamga</dc:creator>
  <dc:title xmlns:dc="http://purl.org/dc/elements/1.1/">AEF Volume 2 Template T07: Borrowing base certificate and term sheet checklist</dc:title>
  <dc:subject xmlns:dc="http://purl.org/dc/elements/1.1/">Africa Energy Finance, Volume 2 Templates Pack</dc:subject>
  <dcterms:created xmlns:dcterms="http://purl.org/dc/terms/" xmlns:xsi="http://www.w3.org/2001/XMLSchema-instance" xsi:type="dcterms:W3CDTF">2026-10-02T20:58:10Z</dcterms:created>
  <dcterms:modified xmlns:dcterms="http://purl.org/dc/terms/" xmlns:xsi="http://www.w3.org/2001/XMLSchema-instance" xsi:type="dcterms:W3CDTF">2026-10-02T20:58:10Z</dcterms:modified>
  <cp:lastModifiedBy>Emmanuel Boujieka Kamga</cp:lastModifiedBy>
  <cp:keywords>Africa Energy Finance; Volume 2; PAYGo; template</cp:keywords>
</cp:coreProperties>
</file>