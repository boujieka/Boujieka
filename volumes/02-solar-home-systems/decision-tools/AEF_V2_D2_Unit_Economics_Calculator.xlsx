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Inputs" sheetId="2" state="visible" r:id="rId2"/>
    <sheet xmlns:r="http://schemas.openxmlformats.org/officeDocument/2006/relationships" name="Results" sheetId="3" state="visible" r:id="rId3"/>
    <sheet xmlns:r="http://schemas.openxmlformats.org/officeDocument/2006/relationships" name="Unit_Cash_Flow" sheetId="4" state="visible" r:id="rId4"/>
    <sheet xmlns:r="http://schemas.openxmlformats.org/officeDocument/2006/relationships" name="Tier_Dashboard" sheetId="5" state="visible" r:id="rId5"/>
  </sheets>
  <definedNames/>
  <calcPr calcId="124519" fullCalcOnLoad="1"/>
</workbook>
</file>

<file path=xl/styles.xml><?xml version="1.0" encoding="utf-8"?>
<styleSheet xmlns="http://schemas.openxmlformats.org/spreadsheetml/2006/main">
  <numFmts count="6">
    <numFmt numFmtId="164" formatCode="#,##0;(#,##0);0"/>
    <numFmt numFmtId="165" formatCode="#,##0.0;(#,##0.0);0.0"/>
    <numFmt numFmtId="166" formatCode="0.00%;(0.00%);0.00%"/>
    <numFmt numFmtId="167" formatCode="0.0%;(0.0%);0.0%"/>
    <numFmt numFmtId="168" formatCode="0.0000"/>
    <numFmt numFmtId="169" formatCode="0.00&quot;x&quot;;(0.00&quot;x&quot;);0.00&quot;x&quot;"/>
  </numFmts>
  <fonts count="11">
    <font>
      <name val="Calibri"/>
      <family val="2"/>
      <color theme="1"/>
      <sz val="11"/>
      <scheme val="minor"/>
    </font>
    <font>
      <name val="Arial"/>
      <b val="1"/>
      <color rgb="00E3C27A"/>
      <sz val="8"/>
    </font>
    <font>
      <name val="Arial"/>
      <b val="1"/>
      <color rgb="00FFFFFF"/>
      <sz val="15"/>
    </font>
    <font>
      <name val="Arial"/>
      <i val="1"/>
      <color rgb="00E8E8E8"/>
      <sz val="9"/>
    </font>
    <font>
      <name val="Arial"/>
      <color rgb="00666666"/>
      <sz val="8"/>
    </font>
    <font>
      <name val="Arial"/>
      <b val="1"/>
      <color rgb="000B3020"/>
      <sz val="11"/>
    </font>
    <font>
      <name val="Arial"/>
      <sz val="10"/>
    </font>
    <font>
      <name val="Arial"/>
      <b val="1"/>
      <sz val="10"/>
    </font>
    <font>
      <name val="Arial"/>
      <color rgb="000000FF"/>
      <sz val="10"/>
    </font>
    <font>
      <name val="Arial"/>
      <i val="1"/>
      <color rgb="00666666"/>
      <sz val="9"/>
    </font>
    <font>
      <name val="Arial"/>
      <b val="1"/>
      <color rgb="00FFFFFF"/>
      <sz val="10"/>
    </font>
  </fonts>
  <fills count="4">
    <fill>
      <patternFill/>
    </fill>
    <fill>
      <patternFill patternType="gray125"/>
    </fill>
    <fill>
      <patternFill patternType="solid">
        <fgColor rgb="000B3020"/>
      </patternFill>
    </fill>
    <fill>
      <patternFill patternType="solid">
        <fgColor rgb="00FFF8E1"/>
      </patternFill>
    </fill>
  </fills>
  <borders count="3">
    <border>
      <left/>
      <right/>
      <top/>
      <bottom/>
      <diagonal/>
    </border>
    <border>
      <bottom style="medium">
        <color rgb="00B07C0F"/>
      </bottom>
    </border>
    <border>
      <left style="thin">
        <color rgb="00D0D0D0"/>
      </left>
      <right style="thin">
        <color rgb="00D0D0D0"/>
      </right>
      <top style="thin">
        <color rgb="00D0D0D0"/>
      </top>
      <bottom style="thin">
        <color rgb="00D0D0D0"/>
      </bottom>
    </border>
  </borders>
  <cellStyleXfs count="1">
    <xf numFmtId="0" fontId="0" fillId="0" borderId="0"/>
  </cellStyleXfs>
  <cellXfs count="30">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3" fillId="2" borderId="0" pivotButton="0" quotePrefix="0" xfId="0"/>
    <xf numFmtId="0" fontId="4" fillId="0" borderId="1" pivotButton="0" quotePrefix="0" xfId="0"/>
    <xf numFmtId="0" fontId="0" fillId="0" borderId="1" pivotButton="0" quotePrefix="0" xfId="0"/>
    <xf numFmtId="0" fontId="5" fillId="0" borderId="1" pivotButton="0" quotePrefix="0" xfId="0"/>
    <xf numFmtId="0" fontId="6" fillId="0" borderId="0" applyAlignment="1" pivotButton="0" quotePrefix="0" xfId="0">
      <alignment vertical="top" wrapText="1"/>
    </xf>
    <xf numFmtId="0" fontId="7" fillId="0" borderId="0" pivotButton="0" quotePrefix="0" xfId="0"/>
    <xf numFmtId="0" fontId="8" fillId="3" borderId="2" pivotButton="0" quotePrefix="0" xfId="0"/>
    <xf numFmtId="0" fontId="6" fillId="0" borderId="0" pivotButton="0" quotePrefix="0" xfId="0"/>
    <xf numFmtId="0" fontId="6" fillId="0" borderId="2" pivotButton="0" quotePrefix="0" xfId="0"/>
    <xf numFmtId="0" fontId="9" fillId="0" borderId="0" applyAlignment="1" pivotButton="0" quotePrefix="0" xfId="0">
      <alignment vertical="top" wrapText="1"/>
    </xf>
    <xf numFmtId="164" fontId="8" fillId="3" borderId="2" pivotButton="0" quotePrefix="0" xfId="0"/>
    <xf numFmtId="165" fontId="8" fillId="3" borderId="2" pivotButton="0" quotePrefix="0" xfId="0"/>
    <xf numFmtId="0" fontId="9" fillId="0" borderId="0" pivotButton="0" quotePrefix="0" xfId="0"/>
    <xf numFmtId="166" fontId="8" fillId="3" borderId="2" pivotButton="0" quotePrefix="0" xfId="0"/>
    <xf numFmtId="167" fontId="8" fillId="3" borderId="2" pivotButton="0" quotePrefix="0" xfId="0"/>
    <xf numFmtId="164" fontId="6" fillId="0" borderId="2" pivotButton="0" quotePrefix="0" xfId="0"/>
    <xf numFmtId="0" fontId="7" fillId="0" borderId="2" pivotButton="0" quotePrefix="0" xfId="0"/>
    <xf numFmtId="167" fontId="6" fillId="0" borderId="2" pivotButton="0" quotePrefix="0" xfId="0"/>
    <xf numFmtId="164" fontId="7" fillId="0" borderId="2" pivotButton="0" quotePrefix="0" xfId="0"/>
    <xf numFmtId="169" fontId="7" fillId="0" borderId="2" pivotButton="0" quotePrefix="0" xfId="0"/>
    <xf numFmtId="167" fontId="7" fillId="0" borderId="2" pivotButton="0" quotePrefix="0" xfId="0"/>
    <xf numFmtId="0" fontId="10" fillId="2" borderId="2" applyAlignment="1" pivotButton="0" quotePrefix="0" xfId="0">
      <alignment vertical="center" wrapText="1"/>
    </xf>
    <xf numFmtId="169" fontId="8" fillId="3" borderId="2" pivotButton="0" quotePrefix="0" xfId="0"/>
    <xf numFmtId="166" fontId="6" fillId="0" borderId="2" pivotButton="0" quotePrefix="0" xfId="0"/>
    <xf numFmtId="168" fontId="6" fillId="0" borderId="2" pivotButton="0" quotePrefix="0" xfId="0"/>
    <xf numFmtId="165" fontId="6" fillId="0" borderId="2" pivotButton="0" quotePrefix="0" xfId="0"/>
  </cellXfs>
  <cellStyles count="1">
    <cellStyle name="Normal" xfId="0" builtinId="0"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LTV to CAC by tier</a:t>
            </a:r>
          </a:p>
        </rich>
      </tx>
    </title>
    <plotArea>
      <barChart>
        <barDir val="col"/>
        <grouping val="clustered"/>
        <ser>
          <idx val="0"/>
          <order val="0"/>
          <tx>
            <v>LTV to CAC</v>
          </tx>
          <spPr>
            <a:ln xmlns:a="http://schemas.openxmlformats.org/drawingml/2006/main">
              <a:prstDash val="solid"/>
            </a:ln>
          </spPr>
          <cat>
            <numRef>
              <f>'Tier_Dashboard'!$B$6:$F$6</f>
            </numRef>
          </cat>
          <val>
            <numRef>
              <f>'Tier_Dashboard'!$B$35:$F$35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39</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F28"/>
  <sheetViews>
    <sheetView showGridLines="0" workbookViewId="0">
      <selection activeCell="A1" sqref="A1"/>
    </sheetView>
  </sheetViews>
  <sheetFormatPr baseColWidth="8" defaultRowHeight="15"/>
  <cols>
    <col width="26" customWidth="1" min="1" max="1"/>
    <col width="30" customWidth="1" min="2" max="2"/>
    <col width="30" customWidth="1" min="3" max="3"/>
    <col width="30" customWidth="1" min="4" max="4"/>
    <col width="10" customWidth="1" min="5" max="5"/>
    <col width="10" customWidth="1" min="6" max="6"/>
  </cols>
  <sheetData>
    <row r="1">
      <c r="A1" s="1" t="inlineStr">
        <is>
          <t>AFRICA ENERGY FINANCE  |  BOOK 2  |  PAYGO SOLAR FINANCE</t>
        </is>
      </c>
      <c r="B1" s="2" t="n"/>
      <c r="C1" s="2" t="n"/>
      <c r="D1" s="2" t="n"/>
      <c r="E1" s="2" t="n"/>
      <c r="F1" s="2" t="n"/>
    </row>
    <row r="2" ht="22" customHeight="1">
      <c r="A2" s="3" t="inlineStr">
        <is>
          <t>Unit economics calculator</t>
        </is>
      </c>
      <c r="B2" s="2" t="n"/>
      <c r="C2" s="2" t="n"/>
      <c r="D2" s="2" t="n"/>
      <c r="E2" s="2" t="n"/>
      <c r="F2" s="2" t="n"/>
    </row>
    <row r="3">
      <c r="A3" s="4" t="inlineStr">
        <is>
          <t>How to use this template</t>
        </is>
      </c>
      <c r="B3" s="2" t="n"/>
      <c r="C3" s="2" t="n"/>
      <c r="D3" s="2" t="n"/>
      <c r="E3" s="2" t="n"/>
      <c r="F3" s="2" t="n"/>
    </row>
    <row r="4">
      <c r="A4" s="5" t="inlineStr">
        <is>
          <t>Decision tool D2  |  Version 0.9 (pre-release)  |  Author &amp; ideation: Emmanuel Boujieka Kamga</t>
        </is>
      </c>
      <c r="B4" s="6" t="n"/>
      <c r="C4" s="6" t="n"/>
      <c r="D4" s="6" t="n"/>
      <c r="E4" s="6" t="n"/>
      <c r="F4" s="6" t="n"/>
    </row>
    <row r="5"/>
    <row r="6">
      <c r="A6" s="7" t="inlineStr">
        <is>
          <t>Purpose</t>
        </is>
      </c>
      <c r="B6" s="6" t="n"/>
      <c r="C6" s="6" t="n"/>
      <c r="D6" s="6" t="n"/>
      <c r="E6" s="6" t="n"/>
      <c r="F6" s="6" t="n"/>
    </row>
    <row r="7">
      <c r="A7" s="8" t="inlineStr">
        <is>
          <t>Builds the expected lifetime cash flow of one PAYGo sale month by month from the repayment curve, and derives expected loss, contribution, LTV to CAC, cash payback, peak funding, unit IRR and unit NPV, with a sensitivity grid on default hazard and collection rate. A second sheet compares the five default tiers in closed form.</t>
        </is>
      </c>
    </row>
    <row r="8"/>
    <row r="9"/>
    <row r="10"/>
    <row r="11">
      <c r="A11" s="7" t="inlineStr">
        <is>
          <t>How to use it</t>
        </is>
      </c>
      <c r="B11" s="6" t="n"/>
      <c r="C11" s="6" t="n"/>
      <c r="D11" s="6" t="n"/>
      <c r="E11" s="6" t="n"/>
      <c r="F11" s="6" t="n"/>
    </row>
    <row r="12" ht="15" customHeight="1">
      <c r="A12" s="9" t="inlineStr">
        <is>
          <t>Step 1</t>
        </is>
      </c>
      <c r="B12" s="8" t="inlineStr">
        <is>
          <t>Enter the price plan, credit behaviour, recovery and cost inputs on Inputs (blue cells).</t>
        </is>
      </c>
    </row>
    <row r="13" ht="30" customHeight="1">
      <c r="A13" s="9" t="inlineStr">
        <is>
          <t>Step 2</t>
        </is>
      </c>
      <c r="B13" s="8" t="inlineStr">
        <is>
          <t>Read Results: contribution and LTV to CAC, but also payback, peak funding and unit IRR, which carry the timing.</t>
        </is>
      </c>
    </row>
    <row r="14" ht="30" customHeight="1">
      <c r="A14" s="9" t="inlineStr">
        <is>
          <t>Step 3</t>
        </is>
      </c>
      <c r="B14" s="8" t="inlineStr">
        <is>
          <t>Use the sensitivity grid to see how contribution moves with the default hazard and the collection rate.</t>
        </is>
      </c>
    </row>
    <row r="15" ht="30" customHeight="1">
      <c r="A15" s="9" t="inlineStr">
        <is>
          <t>Step 4</t>
        </is>
      </c>
      <c r="B15" s="8" t="inlineStr">
        <is>
          <t>Check that the closed form check on Results reads zero difference; it confirms the monthly table.</t>
        </is>
      </c>
    </row>
    <row r="16" ht="15" customHeight="1">
      <c r="A16" s="9" t="inlineStr">
        <is>
          <t>Step 5</t>
        </is>
      </c>
      <c r="B16" s="8" t="inlineStr">
        <is>
          <t>Use Tier_Dashboard to compare tiers; replace the default tier inputs with the company's own.</t>
        </is>
      </c>
    </row>
    <row r="17"/>
    <row r="18">
      <c r="A18" s="7" t="inlineStr">
        <is>
          <t>Colour code</t>
        </is>
      </c>
      <c r="B18" s="6" t="n"/>
      <c r="C18" s="6" t="n"/>
      <c r="D18" s="6" t="n"/>
      <c r="E18" s="6" t="n"/>
      <c r="F18" s="6" t="n"/>
    </row>
    <row r="19">
      <c r="A19" s="10" t="inlineStr">
        <is>
          <t>Input</t>
        </is>
      </c>
      <c r="B19" s="11" t="inlineStr">
        <is>
          <t>Blue font on cream: the only cells to edit</t>
        </is>
      </c>
    </row>
    <row r="20">
      <c r="A20" s="12" t="inlineStr">
        <is>
          <t>Formula</t>
        </is>
      </c>
      <c r="B20" s="11" t="inlineStr">
        <is>
          <t>Black font: calculated, do not overwrite</t>
        </is>
      </c>
    </row>
    <row r="21"/>
    <row r="22">
      <c r="A22" s="7" t="inlineStr">
        <is>
          <t>Links to Book 2 and MODEL 2</t>
        </is>
      </c>
      <c r="B22" s="6" t="n"/>
      <c r="C22" s="6" t="n"/>
      <c r="D22" s="6" t="n"/>
      <c r="E22" s="6" t="n"/>
      <c r="F22" s="6" t="n"/>
    </row>
    <row r="23">
      <c r="A23" s="9" t="inlineStr">
        <is>
          <t>Book</t>
        </is>
      </c>
      <c r="B23" s="8" t="inlineStr">
        <is>
          <t>Chapter 1 (one Tier 2 sale), Chapter 6 (survival curve), Chapter 9 (unit economics)</t>
        </is>
      </c>
    </row>
    <row r="24">
      <c r="A24" s="9" t="inlineStr">
        <is>
          <t>Model</t>
        </is>
      </c>
      <c r="B24" s="8" t="inlineStr">
        <is>
          <t>Curves, Unit_Economics</t>
        </is>
      </c>
    </row>
    <row r="25">
      <c r="A25" s="9" t="inlineStr">
        <is>
          <t>Default inputs</t>
        </is>
      </c>
      <c r="B25" s="8" t="inlineStr">
        <is>
          <t>Reproduce the worked example of Chapter 1: expected collections LCY 33,832, payback in month 14 and lifetime cash of LCY 11,832, with servicing, fees and recoveries set to zero. Add them for a full view.</t>
        </is>
      </c>
    </row>
    <row r="26"/>
    <row r="27">
      <c r="A27" s="13" t="inlineStr">
        <is>
          <t>Decision support material; not investment, legal, tax or accounting advice. Example values are illustrative and refer to the book's worked examples or to the fictional SolaraPay case. (c) 2026 Emmanuel Boujieka Kamga.</t>
        </is>
      </c>
    </row>
    <row r="28"/>
  </sheetData>
  <mergeCells count="10">
    <mergeCell ref="B12:F12"/>
    <mergeCell ref="B24:F24"/>
    <mergeCell ref="B16:F16"/>
    <mergeCell ref="B15:F15"/>
    <mergeCell ref="B25:F25"/>
    <mergeCell ref="A27:F28"/>
    <mergeCell ref="A7:F9"/>
    <mergeCell ref="B23:F23"/>
    <mergeCell ref="B14:F14"/>
    <mergeCell ref="B13:F13"/>
  </mergeCells>
  <printOptions horizontalCentered="1"/>
  <pageMargins left="0.5" right="0.5" top="0.6" bottom="0.7" header="0.5" footer="0.5"/>
  <pageSetup orientation="portrait" paperSize="9" fitToHeight="0" fitToWidth="1"/>
  <headerFooter>
    <oddHeader/>
    <oddFooter>&amp;L&amp;"Arial"&amp;8 Africa Energy Finance | Book 2 Decision tool D2 | Version 0.9 (pre-release)&amp;C&amp;"Arial"&amp;8 &amp;A&amp;R&amp;"Arial"&amp;8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1"/>
  <sheetViews>
    <sheetView showGridLines="0" workbookViewId="0">
      <selection activeCell="A1" sqref="A1"/>
    </sheetView>
  </sheetViews>
  <sheetFormatPr baseColWidth="8" defaultRowHeight="15"/>
  <cols>
    <col width="52" customWidth="1" min="1" max="1"/>
    <col width="14" customWidth="1" min="2" max="2"/>
    <col width="4" customWidth="1" min="3" max="3"/>
    <col width="46" customWidth="1" min="4" max="4"/>
    <col width="4" customWidth="1" min="5" max="5"/>
  </cols>
  <sheetData>
    <row r="1">
      <c r="A1" s="1" t="inlineStr">
        <is>
          <t>AFRICA ENERGY FINANCE  |  BOOK 2  |  PAYGO SOLAR FINANCE</t>
        </is>
      </c>
      <c r="B1" s="2" t="n"/>
      <c r="C1" s="2" t="n"/>
      <c r="D1" s="2" t="n"/>
      <c r="E1" s="2" t="n"/>
    </row>
    <row r="2" ht="22" customHeight="1">
      <c r="A2" s="3" t="inlineStr">
        <is>
          <t>Unit inputs</t>
        </is>
      </c>
      <c r="B2" s="2" t="n"/>
      <c r="C2" s="2" t="n"/>
      <c r="D2" s="2" t="n"/>
      <c r="E2" s="2" t="n"/>
    </row>
    <row r="3">
      <c r="A3" s="4" t="inlineStr">
        <is>
          <t>One product, local currency</t>
        </is>
      </c>
      <c r="B3" s="2" t="n"/>
      <c r="C3" s="2" t="n"/>
      <c r="D3" s="2" t="n"/>
      <c r="E3" s="2" t="n"/>
    </row>
    <row r="4">
      <c r="A4" s="5" t="inlineStr">
        <is>
          <t>Decision tool D2  |  Version 0.9 (pre-release)  |  Author &amp; ideation: Emmanuel Boujieka Kamga</t>
        </is>
      </c>
      <c r="B4" s="6" t="n"/>
      <c r="C4" s="6" t="n"/>
      <c r="D4" s="6" t="n"/>
      <c r="E4" s="6" t="n"/>
    </row>
    <row r="5"/>
    <row r="6">
      <c r="A6" s="7" t="inlineStr">
        <is>
          <t>Inputs</t>
        </is>
      </c>
      <c r="B6" s="6" t="n"/>
      <c r="C6" s="6" t="n"/>
      <c r="D6" s="6" t="n"/>
      <c r="E6" s="6" t="n"/>
    </row>
    <row r="7">
      <c r="A7" s="11" t="inlineStr">
        <is>
          <t>Cash price</t>
        </is>
      </c>
      <c r="B7" s="14" t="n">
        <v>40000</v>
      </c>
    </row>
    <row r="8">
      <c r="A8" s="11" t="inlineStr">
        <is>
          <t>Deposit</t>
        </is>
      </c>
      <c r="B8" s="14" t="n">
        <v>4000</v>
      </c>
    </row>
    <row r="9">
      <c r="A9" s="11" t="inlineStr">
        <is>
          <t>Daily rate</t>
        </is>
      </c>
      <c r="B9" s="15" t="n">
        <v>72</v>
      </c>
    </row>
    <row r="10">
      <c r="A10" s="11" t="inlineStr">
        <is>
          <t>Tenor (months)</t>
        </is>
      </c>
      <c r="B10" s="14" t="n">
        <v>24</v>
      </c>
      <c r="D10" s="16" t="inlineStr">
        <is>
          <t>Up to 48 months</t>
        </is>
      </c>
    </row>
    <row r="11">
      <c r="A11" s="11" t="inlineStr">
        <is>
          <t>Monthly default hazard</t>
        </is>
      </c>
      <c r="B11" s="17" t="n">
        <v>0.026</v>
      </c>
      <c r="D11" s="16" t="inlineStr">
        <is>
          <t>Share of paying accounts that stop for good each month</t>
        </is>
      </c>
    </row>
    <row r="12">
      <c r="A12" s="11" t="inlineStr">
        <is>
          <t>Collection rate on paying accounts</t>
        </is>
      </c>
      <c r="B12" s="18" t="n">
        <v>0.88</v>
      </c>
    </row>
    <row r="13">
      <c r="A13" s="11" t="inlineStr">
        <is>
          <t>Repossession rate of defaulted units</t>
        </is>
      </c>
      <c r="B13" s="18" t="n">
        <v>0</v>
      </c>
      <c r="D13" s="16" t="inlineStr">
        <is>
          <t>Chapter 1 example: no recoveries</t>
        </is>
      </c>
    </row>
    <row r="14">
      <c r="A14" s="11" t="inlineStr">
        <is>
          <t>Repossession lag (months)</t>
        </is>
      </c>
      <c r="B14" s="14" t="n">
        <v>3</v>
      </c>
    </row>
    <row r="15">
      <c r="A15" s="11" t="inlineStr">
        <is>
          <t>Resale value as share of cash price</t>
        </is>
      </c>
      <c r="B15" s="18" t="n">
        <v>0.25</v>
      </c>
    </row>
    <row r="16">
      <c r="A16" s="11" t="inlineStr">
        <is>
          <t>Recovery cost as share of resale proceeds</t>
        </is>
      </c>
      <c r="B16" s="18" t="n">
        <v>0.15</v>
      </c>
    </row>
    <row r="17">
      <c r="A17" s="11" t="inlineStr">
        <is>
          <t>Landed hardware cost</t>
        </is>
      </c>
      <c r="B17" s="14" t="n">
        <v>22000</v>
      </c>
    </row>
    <row r="18">
      <c r="A18" s="11" t="inlineStr">
        <is>
          <t>Installation</t>
        </is>
      </c>
      <c r="B18" s="14" t="n">
        <v>0</v>
      </c>
    </row>
    <row r="19">
      <c r="A19" s="11" t="inlineStr">
        <is>
          <t>Warranty provision, share of landed cost</t>
        </is>
      </c>
      <c r="B19" s="18" t="n">
        <v>0</v>
      </c>
    </row>
    <row r="20">
      <c r="A20" s="11" t="inlineStr">
        <is>
          <t>Customer acquisition cost (commission and marketing)</t>
        </is>
      </c>
      <c r="B20" s="14" t="n">
        <v>4000</v>
      </c>
    </row>
    <row r="21">
      <c r="A21" s="11" t="inlineStr">
        <is>
          <t>Servicing cost per active account per month</t>
        </is>
      </c>
      <c r="B21" s="14" t="n">
        <v>0</v>
      </c>
      <c r="D21" s="16" t="inlineStr">
        <is>
          <t>Model default 150</t>
        </is>
      </c>
    </row>
    <row r="22">
      <c r="A22" s="11" t="inlineStr">
        <is>
          <t>Payment fees, share of cash collected</t>
        </is>
      </c>
      <c r="B22" s="18" t="n">
        <v>0</v>
      </c>
      <c r="D22" s="16" t="inlineStr">
        <is>
          <t>Model default 2%</t>
        </is>
      </c>
    </row>
    <row r="23">
      <c r="A23" s="11" t="inlineStr">
        <is>
          <t>RBF per unit (local currency)</t>
        </is>
      </c>
      <c r="B23" s="14" t="n">
        <v>0</v>
      </c>
    </row>
    <row r="24">
      <c r="A24" s="11" t="inlineStr">
        <is>
          <t>Month RBF is received</t>
        </is>
      </c>
      <c r="B24" s="14" t="n">
        <v>6</v>
      </c>
    </row>
    <row r="25">
      <c r="A25" s="11" t="inlineStr">
        <is>
          <t>Discount rate (annual) for unit NPV</t>
        </is>
      </c>
      <c r="B25" s="18" t="n">
        <v>0.25</v>
      </c>
    </row>
    <row r="26"/>
    <row r="27">
      <c r="A27" s="7" t="inlineStr">
        <is>
          <t>Derived</t>
        </is>
      </c>
      <c r="B27" s="6" t="n"/>
      <c r="C27" s="6" t="n"/>
      <c r="D27" s="6" t="n"/>
      <c r="E27" s="6" t="n"/>
    </row>
    <row r="28">
      <c r="A28" s="11" t="inlineStr">
        <is>
          <t>Monthly instalment</t>
        </is>
      </c>
      <c r="B28" s="19">
        <f>'Inputs'!$B$9*365/12</f>
        <v/>
      </c>
    </row>
    <row r="29">
      <c r="A29" s="11" t="inlineStr">
        <is>
          <t>Scheduled instalments</t>
        </is>
      </c>
      <c r="B29" s="19">
        <f>'Inputs'!$B$28*'Inputs'!$B$10</f>
        <v/>
      </c>
    </row>
    <row r="30">
      <c r="A30" s="11" t="inlineStr">
        <is>
          <t>Day one outlay (hardware, installation, warranty, CAC)</t>
        </is>
      </c>
      <c r="B30" s="19">
        <f>'Inputs'!$B$17*(1+'Inputs'!$B$19)+'Inputs'!$B$18+'Inputs'!$B$20</f>
        <v/>
      </c>
    </row>
    <row r="31">
      <c r="A31" s="11" t="inlineStr">
        <is>
          <t>Check: tenor plus repossession lag within 60 months</t>
        </is>
      </c>
      <c r="B31" s="20">
        <f>IF('Inputs'!$B$10+'Inputs'!$B$14&lt;=60,"OK","Reduce tenor or lag")</f>
        <v/>
      </c>
    </row>
  </sheetData>
  <printOptions horizontalCentered="1"/>
  <pageMargins left="0.5" right="0.5" top="0.6" bottom="0.7" header="0.5" footer="0.5"/>
  <pageSetup orientation="portrait" paperSize="9" fitToHeight="0" fitToWidth="1"/>
  <headerFooter>
    <oddHeader/>
    <oddFooter>&amp;L&amp;"Arial"&amp;8 Africa Energy Finance | Book 2 Decision tool D2 | Version 0.9 (pre-release)&amp;C&amp;"Arial"&amp;8 &amp;A&amp;R&amp;"Arial"&amp;8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32"/>
  <sheetViews>
    <sheetView showGridLines="0" workbookViewId="0">
      <selection activeCell="A1" sqref="A1"/>
    </sheetView>
  </sheetViews>
  <sheetFormatPr baseColWidth="8" defaultRowHeight="15"/>
  <cols>
    <col width="52" customWidth="1" min="1" max="1"/>
    <col width="16" customWidth="1" min="2" max="2"/>
    <col width="4" customWidth="1" min="3" max="3"/>
    <col width="14" customWidth="1" min="4" max="4"/>
    <col width="14" customWidth="1" min="5" max="5"/>
    <col width="14" customWidth="1" min="6" max="6"/>
  </cols>
  <sheetData>
    <row r="1">
      <c r="A1" s="1" t="inlineStr">
        <is>
          <t>AFRICA ENERGY FINANCE  |  BOOK 2  |  PAYGO SOLAR FINANCE</t>
        </is>
      </c>
      <c r="B1" s="2" t="n"/>
      <c r="C1" s="2" t="n"/>
      <c r="D1" s="2" t="n"/>
      <c r="E1" s="2" t="n"/>
      <c r="F1" s="2" t="n"/>
    </row>
    <row r="2" ht="22" customHeight="1">
      <c r="A2" s="3" t="inlineStr">
        <is>
          <t>Unit economics results</t>
        </is>
      </c>
      <c r="B2" s="2" t="n"/>
      <c r="C2" s="2" t="n"/>
      <c r="D2" s="2" t="n"/>
      <c r="E2" s="2" t="n"/>
      <c r="F2" s="2" t="n"/>
    </row>
    <row r="3">
      <c r="A3" s="4" t="inlineStr">
        <is>
          <t>Expected values per unit sold</t>
        </is>
      </c>
      <c r="B3" s="2" t="n"/>
      <c r="C3" s="2" t="n"/>
      <c r="D3" s="2" t="n"/>
      <c r="E3" s="2" t="n"/>
      <c r="F3" s="2" t="n"/>
    </row>
    <row r="4">
      <c r="A4" s="5" t="inlineStr">
        <is>
          <t>Decision tool D2  |  Version 0.9 (pre-release)  |  Author &amp; ideation: Emmanuel Boujieka Kamga</t>
        </is>
      </c>
      <c r="B4" s="6" t="n"/>
      <c r="C4" s="6" t="n"/>
      <c r="D4" s="6" t="n"/>
      <c r="E4" s="6" t="n"/>
      <c r="F4" s="6" t="n"/>
    </row>
    <row r="5"/>
    <row r="6"/>
    <row r="7">
      <c r="A7" s="11" t="inlineStr">
        <is>
          <t>Expected instalments collected</t>
        </is>
      </c>
      <c r="B7" s="19">
        <f>SUM(Unit_Cash_Flow!$D$7:$D$67)</f>
        <v/>
      </c>
    </row>
    <row r="8">
      <c r="A8" s="11" t="inlineStr">
        <is>
          <t>Expected loss rate (missed ÷ scheduled instalments)</t>
        </is>
      </c>
      <c r="B8" s="21">
        <f>IF('Inputs'!$B$29=0,0,1-SUM(Unit_Cash_Flow!$D$7:$D$67)/'Inputs'!$B$29)</f>
        <v/>
      </c>
    </row>
    <row r="9">
      <c r="A9" s="11" t="inlineStr">
        <is>
          <t>Expected recoveries</t>
        </is>
      </c>
      <c r="B9" s="19">
        <f>SUM(Unit_Cash_Flow!$G$7:$G$67)</f>
        <v/>
      </c>
    </row>
    <row r="10">
      <c r="A10" s="9" t="inlineStr">
        <is>
          <t>Lifetime contribution (undiscounted)</t>
        </is>
      </c>
      <c r="B10" s="22">
        <f>SUM(Unit_Cash_Flow!$L$7:$L$67)</f>
        <v/>
      </c>
    </row>
    <row r="11">
      <c r="A11" s="11" t="inlineStr">
        <is>
          <t>Customer acquisition cost</t>
        </is>
      </c>
      <c r="B11" s="19">
        <f>'Inputs'!$B$20</f>
        <v/>
      </c>
    </row>
    <row r="12">
      <c r="A12" s="11" t="inlineStr">
        <is>
          <t>LTV (contribution before CAC)</t>
        </is>
      </c>
      <c r="B12" s="19">
        <f>B10+B11</f>
        <v/>
      </c>
    </row>
    <row r="13">
      <c r="A13" s="9" t="inlineStr">
        <is>
          <t>LTV to CAC</t>
        </is>
      </c>
      <c r="B13" s="23">
        <f>IF(B11=0,"",B12/B11)</f>
        <v/>
      </c>
    </row>
    <row r="14">
      <c r="A14" s="9" t="inlineStr">
        <is>
          <t>Cash payback (month)</t>
        </is>
      </c>
      <c r="B14" s="22">
        <f>IFERROR(INDEX(Unit_Cash_Flow!$A$7:$A$67,MATCH(1,Unit_Cash_Flow!$P$7:$P$67,0)),"Not within 60 months")</f>
        <v/>
      </c>
    </row>
    <row r="15">
      <c r="A15" s="11" t="inlineStr">
        <is>
          <t>Peak funding per unit</t>
        </is>
      </c>
      <c r="B15" s="19">
        <f>-MIN(Unit_Cash_Flow!$M$7:$M$67)</f>
        <v/>
      </c>
    </row>
    <row r="16">
      <c r="A16" s="9" t="inlineStr">
        <is>
          <t>Unit IRR (annualised)</t>
        </is>
      </c>
      <c r="B16" s="24">
        <f>IFERROR((1+IRR(Unit_Cash_Flow!$L$7:$L$67))^12-1,"")</f>
        <v/>
      </c>
    </row>
    <row r="17">
      <c r="A17" s="11" t="inlineStr">
        <is>
          <t>Unit NPV at the discount rate</t>
        </is>
      </c>
      <c r="B17" s="19">
        <f>SUM(Unit_Cash_Flow!$O$7:$O$67)</f>
        <v/>
      </c>
    </row>
    <row r="18"/>
    <row r="19">
      <c r="A19" s="11" t="inlineStr">
        <is>
          <t>Closed form contribution (check)</t>
        </is>
      </c>
      <c r="B19" s="19">
        <f>('Inputs'!$B$8+'Inputs'!$B$28*MIN(1,'Inputs'!$B$12*1)*(1-'Inputs'!$B$11*1)*(1-(1-'Inputs'!$B$11*1)^'Inputs'!$B$10)/('Inputs'!$B$11*1)+(1-(1-'Inputs'!$B$11*1)^'Inputs'!$B$10)*'Inputs'!$B$13*'Inputs'!$B$15*'Inputs'!$B$7*(1-'Inputs'!$B$16))*(1-'Inputs'!$B$22)-'Inputs'!$B$21*(1-'Inputs'!$B$11*1)*(1-(1-'Inputs'!$B$11*1)^'Inputs'!$B$10)/('Inputs'!$B$11*1)+'Inputs'!$B$23-'Inputs'!$B$30</f>
        <v/>
      </c>
    </row>
    <row r="20">
      <c r="A20" s="11" t="inlineStr">
        <is>
          <t>Difference with the monthly table</t>
        </is>
      </c>
      <c r="B20" s="20">
        <f>IF(ABS(B19-B10)&lt;1,"OK: "&amp;TEXT(B19-B10,"0.00"),"Check inputs: "&amp;TEXT(B19-B10,"0"))</f>
        <v/>
      </c>
    </row>
    <row r="21"/>
    <row r="22">
      <c r="A22" s="7" t="inlineStr">
        <is>
          <t>Sensitivity: lifetime contribution</t>
        </is>
      </c>
      <c r="B22" s="6" t="n"/>
      <c r="C22" s="6" t="n"/>
      <c r="D22" s="6" t="n"/>
      <c r="E22" s="6" t="n"/>
      <c r="F22" s="6" t="n"/>
    </row>
    <row r="23">
      <c r="A23" s="16" t="inlineStr">
        <is>
          <t>Default hazard multiplier (rows) × collection rate multiplier (columns)</t>
        </is>
      </c>
    </row>
    <row r="24">
      <c r="A24" s="25" t="inlineStr">
        <is>
          <t>Hazard multiplier</t>
        </is>
      </c>
      <c r="B24" s="25" t="inlineStr">
        <is>
          <t>Monthly hazard</t>
        </is>
      </c>
      <c r="D24" s="26" t="n">
        <v>0.9</v>
      </c>
      <c r="E24" s="26" t="n">
        <v>0.95</v>
      </c>
      <c r="F24" s="26" t="n">
        <v>1</v>
      </c>
    </row>
    <row r="25">
      <c r="A25" s="26" t="n">
        <v>0.5</v>
      </c>
      <c r="B25" s="27">
        <f>'Inputs'!$B$11*A25</f>
        <v/>
      </c>
      <c r="D25" s="19">
        <f>('Inputs'!$B$8+'Inputs'!$B$28*MIN(1,'Inputs'!$B$12*D$24)*(1-'Inputs'!$B$11*$A25)*(1-(1-'Inputs'!$B$11*$A25)^'Inputs'!$B$10)/('Inputs'!$B$11*$A25)+(1-(1-'Inputs'!$B$11*$A25)^'Inputs'!$B$10)*'Inputs'!$B$13*'Inputs'!$B$15*'Inputs'!$B$7*(1-'Inputs'!$B$16))*(1-'Inputs'!$B$22)-'Inputs'!$B$21*(1-'Inputs'!$B$11*$A25)*(1-(1-'Inputs'!$B$11*$A25)^'Inputs'!$B$10)/('Inputs'!$B$11*$A25)+'Inputs'!$B$23-'Inputs'!$B$30</f>
        <v/>
      </c>
      <c r="E25" s="19">
        <f>('Inputs'!$B$8+'Inputs'!$B$28*MIN(1,'Inputs'!$B$12*E$24)*(1-'Inputs'!$B$11*$A25)*(1-(1-'Inputs'!$B$11*$A25)^'Inputs'!$B$10)/('Inputs'!$B$11*$A25)+(1-(1-'Inputs'!$B$11*$A25)^'Inputs'!$B$10)*'Inputs'!$B$13*'Inputs'!$B$15*'Inputs'!$B$7*(1-'Inputs'!$B$16))*(1-'Inputs'!$B$22)-'Inputs'!$B$21*(1-'Inputs'!$B$11*$A25)*(1-(1-'Inputs'!$B$11*$A25)^'Inputs'!$B$10)/('Inputs'!$B$11*$A25)+'Inputs'!$B$23-'Inputs'!$B$30</f>
        <v/>
      </c>
      <c r="F25" s="19">
        <f>('Inputs'!$B$8+'Inputs'!$B$28*MIN(1,'Inputs'!$B$12*F$24)*(1-'Inputs'!$B$11*$A25)*(1-(1-'Inputs'!$B$11*$A25)^'Inputs'!$B$10)/('Inputs'!$B$11*$A25)+(1-(1-'Inputs'!$B$11*$A25)^'Inputs'!$B$10)*'Inputs'!$B$13*'Inputs'!$B$15*'Inputs'!$B$7*(1-'Inputs'!$B$16))*(1-'Inputs'!$B$22)-'Inputs'!$B$21*(1-'Inputs'!$B$11*$A25)*(1-(1-'Inputs'!$B$11*$A25)^'Inputs'!$B$10)/('Inputs'!$B$11*$A25)+'Inputs'!$B$23-'Inputs'!$B$30</f>
        <v/>
      </c>
    </row>
    <row r="26">
      <c r="A26" s="26" t="n">
        <v>0.75</v>
      </c>
      <c r="B26" s="27">
        <f>'Inputs'!$B$11*A26</f>
        <v/>
      </c>
      <c r="D26" s="19">
        <f>('Inputs'!$B$8+'Inputs'!$B$28*MIN(1,'Inputs'!$B$12*D$24)*(1-'Inputs'!$B$11*$A26)*(1-(1-'Inputs'!$B$11*$A26)^'Inputs'!$B$10)/('Inputs'!$B$11*$A26)+(1-(1-'Inputs'!$B$11*$A26)^'Inputs'!$B$10)*'Inputs'!$B$13*'Inputs'!$B$15*'Inputs'!$B$7*(1-'Inputs'!$B$16))*(1-'Inputs'!$B$22)-'Inputs'!$B$21*(1-'Inputs'!$B$11*$A26)*(1-(1-'Inputs'!$B$11*$A26)^'Inputs'!$B$10)/('Inputs'!$B$11*$A26)+'Inputs'!$B$23-'Inputs'!$B$30</f>
        <v/>
      </c>
      <c r="E26" s="19">
        <f>('Inputs'!$B$8+'Inputs'!$B$28*MIN(1,'Inputs'!$B$12*E$24)*(1-'Inputs'!$B$11*$A26)*(1-(1-'Inputs'!$B$11*$A26)^'Inputs'!$B$10)/('Inputs'!$B$11*$A26)+(1-(1-'Inputs'!$B$11*$A26)^'Inputs'!$B$10)*'Inputs'!$B$13*'Inputs'!$B$15*'Inputs'!$B$7*(1-'Inputs'!$B$16))*(1-'Inputs'!$B$22)-'Inputs'!$B$21*(1-'Inputs'!$B$11*$A26)*(1-(1-'Inputs'!$B$11*$A26)^'Inputs'!$B$10)/('Inputs'!$B$11*$A26)+'Inputs'!$B$23-'Inputs'!$B$30</f>
        <v/>
      </c>
      <c r="F26" s="19">
        <f>('Inputs'!$B$8+'Inputs'!$B$28*MIN(1,'Inputs'!$B$12*F$24)*(1-'Inputs'!$B$11*$A26)*(1-(1-'Inputs'!$B$11*$A26)^'Inputs'!$B$10)/('Inputs'!$B$11*$A26)+(1-(1-'Inputs'!$B$11*$A26)^'Inputs'!$B$10)*'Inputs'!$B$13*'Inputs'!$B$15*'Inputs'!$B$7*(1-'Inputs'!$B$16))*(1-'Inputs'!$B$22)-'Inputs'!$B$21*(1-'Inputs'!$B$11*$A26)*(1-(1-'Inputs'!$B$11*$A26)^'Inputs'!$B$10)/('Inputs'!$B$11*$A26)+'Inputs'!$B$23-'Inputs'!$B$30</f>
        <v/>
      </c>
    </row>
    <row r="27">
      <c r="A27" s="26" t="n">
        <v>1</v>
      </c>
      <c r="B27" s="27">
        <f>'Inputs'!$B$11*A27</f>
        <v/>
      </c>
      <c r="D27" s="19">
        <f>('Inputs'!$B$8+'Inputs'!$B$28*MIN(1,'Inputs'!$B$12*D$24)*(1-'Inputs'!$B$11*$A27)*(1-(1-'Inputs'!$B$11*$A27)^'Inputs'!$B$10)/('Inputs'!$B$11*$A27)+(1-(1-'Inputs'!$B$11*$A27)^'Inputs'!$B$10)*'Inputs'!$B$13*'Inputs'!$B$15*'Inputs'!$B$7*(1-'Inputs'!$B$16))*(1-'Inputs'!$B$22)-'Inputs'!$B$21*(1-'Inputs'!$B$11*$A27)*(1-(1-'Inputs'!$B$11*$A27)^'Inputs'!$B$10)/('Inputs'!$B$11*$A27)+'Inputs'!$B$23-'Inputs'!$B$30</f>
        <v/>
      </c>
      <c r="E27" s="19">
        <f>('Inputs'!$B$8+'Inputs'!$B$28*MIN(1,'Inputs'!$B$12*E$24)*(1-'Inputs'!$B$11*$A27)*(1-(1-'Inputs'!$B$11*$A27)^'Inputs'!$B$10)/('Inputs'!$B$11*$A27)+(1-(1-'Inputs'!$B$11*$A27)^'Inputs'!$B$10)*'Inputs'!$B$13*'Inputs'!$B$15*'Inputs'!$B$7*(1-'Inputs'!$B$16))*(1-'Inputs'!$B$22)-'Inputs'!$B$21*(1-'Inputs'!$B$11*$A27)*(1-(1-'Inputs'!$B$11*$A27)^'Inputs'!$B$10)/('Inputs'!$B$11*$A27)+'Inputs'!$B$23-'Inputs'!$B$30</f>
        <v/>
      </c>
      <c r="F27" s="19">
        <f>('Inputs'!$B$8+'Inputs'!$B$28*MIN(1,'Inputs'!$B$12*F$24)*(1-'Inputs'!$B$11*$A27)*(1-(1-'Inputs'!$B$11*$A27)^'Inputs'!$B$10)/('Inputs'!$B$11*$A27)+(1-(1-'Inputs'!$B$11*$A27)^'Inputs'!$B$10)*'Inputs'!$B$13*'Inputs'!$B$15*'Inputs'!$B$7*(1-'Inputs'!$B$16))*(1-'Inputs'!$B$22)-'Inputs'!$B$21*(1-'Inputs'!$B$11*$A27)*(1-(1-'Inputs'!$B$11*$A27)^'Inputs'!$B$10)/('Inputs'!$B$11*$A27)+'Inputs'!$B$23-'Inputs'!$B$30</f>
        <v/>
      </c>
    </row>
    <row r="28">
      <c r="A28" s="26" t="n">
        <v>1.3</v>
      </c>
      <c r="B28" s="27">
        <f>'Inputs'!$B$11*A28</f>
        <v/>
      </c>
      <c r="D28" s="19">
        <f>('Inputs'!$B$8+'Inputs'!$B$28*MIN(1,'Inputs'!$B$12*D$24)*(1-'Inputs'!$B$11*$A28)*(1-(1-'Inputs'!$B$11*$A28)^'Inputs'!$B$10)/('Inputs'!$B$11*$A28)+(1-(1-'Inputs'!$B$11*$A28)^'Inputs'!$B$10)*'Inputs'!$B$13*'Inputs'!$B$15*'Inputs'!$B$7*(1-'Inputs'!$B$16))*(1-'Inputs'!$B$22)-'Inputs'!$B$21*(1-'Inputs'!$B$11*$A28)*(1-(1-'Inputs'!$B$11*$A28)^'Inputs'!$B$10)/('Inputs'!$B$11*$A28)+'Inputs'!$B$23-'Inputs'!$B$30</f>
        <v/>
      </c>
      <c r="E28" s="19">
        <f>('Inputs'!$B$8+'Inputs'!$B$28*MIN(1,'Inputs'!$B$12*E$24)*(1-'Inputs'!$B$11*$A28)*(1-(1-'Inputs'!$B$11*$A28)^'Inputs'!$B$10)/('Inputs'!$B$11*$A28)+(1-(1-'Inputs'!$B$11*$A28)^'Inputs'!$B$10)*'Inputs'!$B$13*'Inputs'!$B$15*'Inputs'!$B$7*(1-'Inputs'!$B$16))*(1-'Inputs'!$B$22)-'Inputs'!$B$21*(1-'Inputs'!$B$11*$A28)*(1-(1-'Inputs'!$B$11*$A28)^'Inputs'!$B$10)/('Inputs'!$B$11*$A28)+'Inputs'!$B$23-'Inputs'!$B$30</f>
        <v/>
      </c>
      <c r="F28" s="19">
        <f>('Inputs'!$B$8+'Inputs'!$B$28*MIN(1,'Inputs'!$B$12*F$24)*(1-'Inputs'!$B$11*$A28)*(1-(1-'Inputs'!$B$11*$A28)^'Inputs'!$B$10)/('Inputs'!$B$11*$A28)+(1-(1-'Inputs'!$B$11*$A28)^'Inputs'!$B$10)*'Inputs'!$B$13*'Inputs'!$B$15*'Inputs'!$B$7*(1-'Inputs'!$B$16))*(1-'Inputs'!$B$22)-'Inputs'!$B$21*(1-'Inputs'!$B$11*$A28)*(1-(1-'Inputs'!$B$11*$A28)^'Inputs'!$B$10)/('Inputs'!$B$11*$A28)+'Inputs'!$B$23-'Inputs'!$B$30</f>
        <v/>
      </c>
    </row>
    <row r="29">
      <c r="A29" s="26" t="n">
        <v>1.5</v>
      </c>
      <c r="B29" s="27">
        <f>'Inputs'!$B$11*A29</f>
        <v/>
      </c>
      <c r="D29" s="19">
        <f>('Inputs'!$B$8+'Inputs'!$B$28*MIN(1,'Inputs'!$B$12*D$24)*(1-'Inputs'!$B$11*$A29)*(1-(1-'Inputs'!$B$11*$A29)^'Inputs'!$B$10)/('Inputs'!$B$11*$A29)+(1-(1-'Inputs'!$B$11*$A29)^'Inputs'!$B$10)*'Inputs'!$B$13*'Inputs'!$B$15*'Inputs'!$B$7*(1-'Inputs'!$B$16))*(1-'Inputs'!$B$22)-'Inputs'!$B$21*(1-'Inputs'!$B$11*$A29)*(1-(1-'Inputs'!$B$11*$A29)^'Inputs'!$B$10)/('Inputs'!$B$11*$A29)+'Inputs'!$B$23-'Inputs'!$B$30</f>
        <v/>
      </c>
      <c r="E29" s="19">
        <f>('Inputs'!$B$8+'Inputs'!$B$28*MIN(1,'Inputs'!$B$12*E$24)*(1-'Inputs'!$B$11*$A29)*(1-(1-'Inputs'!$B$11*$A29)^'Inputs'!$B$10)/('Inputs'!$B$11*$A29)+(1-(1-'Inputs'!$B$11*$A29)^'Inputs'!$B$10)*'Inputs'!$B$13*'Inputs'!$B$15*'Inputs'!$B$7*(1-'Inputs'!$B$16))*(1-'Inputs'!$B$22)-'Inputs'!$B$21*(1-'Inputs'!$B$11*$A29)*(1-(1-'Inputs'!$B$11*$A29)^'Inputs'!$B$10)/('Inputs'!$B$11*$A29)+'Inputs'!$B$23-'Inputs'!$B$30</f>
        <v/>
      </c>
      <c r="F29" s="19">
        <f>('Inputs'!$B$8+'Inputs'!$B$28*MIN(1,'Inputs'!$B$12*F$24)*(1-'Inputs'!$B$11*$A29)*(1-(1-'Inputs'!$B$11*$A29)^'Inputs'!$B$10)/('Inputs'!$B$11*$A29)+(1-(1-'Inputs'!$B$11*$A29)^'Inputs'!$B$10)*'Inputs'!$B$13*'Inputs'!$B$15*'Inputs'!$B$7*(1-'Inputs'!$B$16))*(1-'Inputs'!$B$22)-'Inputs'!$B$21*(1-'Inputs'!$B$11*$A29)*(1-(1-'Inputs'!$B$11*$A29)^'Inputs'!$B$10)/('Inputs'!$B$11*$A29)+'Inputs'!$B$23-'Inputs'!$B$30</f>
        <v/>
      </c>
    </row>
    <row r="30">
      <c r="A30" s="26" t="n">
        <v>2</v>
      </c>
      <c r="B30" s="27">
        <f>'Inputs'!$B$11*A30</f>
        <v/>
      </c>
      <c r="D30" s="19">
        <f>('Inputs'!$B$8+'Inputs'!$B$28*MIN(1,'Inputs'!$B$12*D$24)*(1-'Inputs'!$B$11*$A30)*(1-(1-'Inputs'!$B$11*$A30)^'Inputs'!$B$10)/('Inputs'!$B$11*$A30)+(1-(1-'Inputs'!$B$11*$A30)^'Inputs'!$B$10)*'Inputs'!$B$13*'Inputs'!$B$15*'Inputs'!$B$7*(1-'Inputs'!$B$16))*(1-'Inputs'!$B$22)-'Inputs'!$B$21*(1-'Inputs'!$B$11*$A30)*(1-(1-'Inputs'!$B$11*$A30)^'Inputs'!$B$10)/('Inputs'!$B$11*$A30)+'Inputs'!$B$23-'Inputs'!$B$30</f>
        <v/>
      </c>
      <c r="E30" s="19">
        <f>('Inputs'!$B$8+'Inputs'!$B$28*MIN(1,'Inputs'!$B$12*E$24)*(1-'Inputs'!$B$11*$A30)*(1-(1-'Inputs'!$B$11*$A30)^'Inputs'!$B$10)/('Inputs'!$B$11*$A30)+(1-(1-'Inputs'!$B$11*$A30)^'Inputs'!$B$10)*'Inputs'!$B$13*'Inputs'!$B$15*'Inputs'!$B$7*(1-'Inputs'!$B$16))*(1-'Inputs'!$B$22)-'Inputs'!$B$21*(1-'Inputs'!$B$11*$A30)*(1-(1-'Inputs'!$B$11*$A30)^'Inputs'!$B$10)/('Inputs'!$B$11*$A30)+'Inputs'!$B$23-'Inputs'!$B$30</f>
        <v/>
      </c>
      <c r="F30" s="19">
        <f>('Inputs'!$B$8+'Inputs'!$B$28*MIN(1,'Inputs'!$B$12*F$24)*(1-'Inputs'!$B$11*$A30)*(1-(1-'Inputs'!$B$11*$A30)^'Inputs'!$B$10)/('Inputs'!$B$11*$A30)+(1-(1-'Inputs'!$B$11*$A30)^'Inputs'!$B$10)*'Inputs'!$B$13*'Inputs'!$B$15*'Inputs'!$B$7*(1-'Inputs'!$B$16))*(1-'Inputs'!$B$22)-'Inputs'!$B$21*(1-'Inputs'!$B$11*$A30)*(1-(1-'Inputs'!$B$11*$A30)^'Inputs'!$B$10)/('Inputs'!$B$11*$A30)+'Inputs'!$B$23-'Inputs'!$B$30</f>
        <v/>
      </c>
    </row>
    <row r="31"/>
    <row r="32">
      <c r="A32" s="16" t="inlineStr">
        <is>
          <t>The grid uses the closed form, which matches the monthly table when the check above reads OK. The Downside scenario of the model raises the hazard by 1.30 times and lowers collections by 0.97 times.</t>
        </is>
      </c>
    </row>
  </sheetData>
  <conditionalFormatting sqref="D25:F30">
    <cfRule type="expression" priority="1" dxfId="0">
      <formula>D25&lt;0</formula>
    </cfRule>
  </conditionalFormatting>
  <printOptions horizontalCentered="1"/>
  <pageMargins left="0.5" right="0.5" top="0.6" bottom="0.7" header="0.5" footer="0.5"/>
  <pageSetup orientation="portrait" paperSize="9" fitToHeight="0" fitToWidth="1"/>
  <headerFooter>
    <oddHeader/>
    <oddFooter>&amp;L&amp;"Arial"&amp;8 Africa Energy Finance | Book 2 Decision tool D2 | Version 0.9 (pre-release)&amp;C&amp;"Arial"&amp;8 &amp;A&amp;R&amp;"Arial"&amp;8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P69"/>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 t="inlineStr">
        <is>
          <t>AFRICA ENERGY FINANCE  |  BOOK 2  |  PAYGO SOLAR FINANCE</t>
        </is>
      </c>
      <c r="B1" s="2" t="n"/>
      <c r="C1" s="2" t="n"/>
      <c r="D1" s="2" t="n"/>
      <c r="E1" s="2" t="n"/>
      <c r="F1" s="2" t="n"/>
      <c r="G1" s="2" t="n"/>
      <c r="H1" s="2" t="n"/>
      <c r="I1" s="2" t="n"/>
      <c r="J1" s="2" t="n"/>
      <c r="K1" s="2" t="n"/>
      <c r="L1" s="2" t="n"/>
      <c r="M1" s="2" t="n"/>
      <c r="N1" s="2" t="n"/>
      <c r="O1" s="2" t="n"/>
      <c r="P1" s="2" t="n"/>
    </row>
    <row r="2" ht="22" customHeight="1">
      <c r="A2" s="3" t="inlineStr">
        <is>
          <t>Expected cash flow of one unit</t>
        </is>
      </c>
      <c r="B2" s="2" t="n"/>
      <c r="C2" s="2" t="n"/>
      <c r="D2" s="2" t="n"/>
      <c r="E2" s="2" t="n"/>
      <c r="F2" s="2" t="n"/>
      <c r="G2" s="2" t="n"/>
      <c r="H2" s="2" t="n"/>
      <c r="I2" s="2" t="n"/>
      <c r="J2" s="2" t="n"/>
      <c r="K2" s="2" t="n"/>
      <c r="L2" s="2" t="n"/>
      <c r="M2" s="2" t="n"/>
      <c r="N2" s="2" t="n"/>
      <c r="O2" s="2" t="n"/>
      <c r="P2" s="2" t="n"/>
    </row>
    <row r="3">
      <c r="A3" s="4" t="inlineStr">
        <is>
          <t>Months since sale; expected values</t>
        </is>
      </c>
      <c r="B3" s="2" t="n"/>
      <c r="C3" s="2" t="n"/>
      <c r="D3" s="2" t="n"/>
      <c r="E3" s="2" t="n"/>
      <c r="F3" s="2" t="n"/>
      <c r="G3" s="2" t="n"/>
      <c r="H3" s="2" t="n"/>
      <c r="I3" s="2" t="n"/>
      <c r="J3" s="2" t="n"/>
      <c r="K3" s="2" t="n"/>
      <c r="L3" s="2" t="n"/>
      <c r="M3" s="2" t="n"/>
      <c r="N3" s="2" t="n"/>
      <c r="O3" s="2" t="n"/>
      <c r="P3" s="2" t="n"/>
    </row>
    <row r="4">
      <c r="A4" s="5" t="inlineStr">
        <is>
          <t>Decision tool D2  |  Version 0.9 (pre-release)  |  Author &amp; ideation: Emmanuel Boujieka Kamga</t>
        </is>
      </c>
      <c r="B4" s="6" t="n"/>
      <c r="C4" s="6" t="n"/>
      <c r="D4" s="6" t="n"/>
      <c r="E4" s="6" t="n"/>
      <c r="F4" s="6" t="n"/>
      <c r="G4" s="6" t="n"/>
      <c r="H4" s="6" t="n"/>
      <c r="I4" s="6" t="n"/>
      <c r="J4" s="6" t="n"/>
      <c r="K4" s="6" t="n"/>
      <c r="L4" s="6" t="n"/>
      <c r="M4" s="6" t="n"/>
      <c r="N4" s="6" t="n"/>
      <c r="O4" s="6" t="n"/>
      <c r="P4" s="6" t="n"/>
    </row>
    <row r="5"/>
    <row r="6" ht="30" customHeight="1">
      <c r="A6" s="25" t="inlineStr">
        <is>
          <t>Month</t>
        </is>
      </c>
      <c r="B6" s="25" t="inlineStr">
        <is>
          <t>Share still paying</t>
        </is>
      </c>
      <c r="C6" s="25" t="inlineStr">
        <is>
          <t>Instalment due</t>
        </is>
      </c>
      <c r="D6" s="25" t="inlineStr">
        <is>
          <t>Collected</t>
        </is>
      </c>
      <c r="E6" s="25" t="inlineStr">
        <is>
          <t>Deposit</t>
        </is>
      </c>
      <c r="F6" s="25" t="inlineStr">
        <is>
          <t>Defaults in month</t>
        </is>
      </c>
      <c r="G6" s="25" t="inlineStr">
        <is>
          <t>Recoveries</t>
        </is>
      </c>
      <c r="H6" s="25" t="inlineStr">
        <is>
          <t>Servicing</t>
        </is>
      </c>
      <c r="I6" s="25" t="inlineStr">
        <is>
          <t>Payment fees</t>
        </is>
      </c>
      <c r="J6" s="25" t="inlineStr">
        <is>
          <t>RBF</t>
        </is>
      </c>
      <c r="K6" s="25" t="inlineStr">
        <is>
          <t>Day one outlay</t>
        </is>
      </c>
      <c r="L6" s="25" t="inlineStr">
        <is>
          <t>Net cash</t>
        </is>
      </c>
      <c r="M6" s="25" t="inlineStr">
        <is>
          <t>Cumulative</t>
        </is>
      </c>
      <c r="N6" s="25" t="inlineStr">
        <is>
          <t>Discount factor</t>
        </is>
      </c>
      <c r="O6" s="25" t="inlineStr">
        <is>
          <t>Present value</t>
        </is>
      </c>
      <c r="P6" s="25" t="inlineStr">
        <is>
          <t>Cumulative positive</t>
        </is>
      </c>
    </row>
    <row r="7">
      <c r="A7" s="19" t="n">
        <v>0</v>
      </c>
      <c r="B7" s="21">
        <f>(1-'Inputs'!$B$11)^A7</f>
        <v/>
      </c>
      <c r="C7" s="19">
        <f>IF(AND(A7&gt;=1,A7&lt;='Inputs'!$B$10),'Inputs'!$B$28,0)</f>
        <v/>
      </c>
      <c r="D7" s="19">
        <f>IF(AND(A7&gt;=1,A7&lt;='Inputs'!$B$10),'Inputs'!$B$28*'Inputs'!$B$12*B7,0)</f>
        <v/>
      </c>
      <c r="E7" s="19">
        <f>IF(A7=0,'Inputs'!$B$8,0)</f>
        <v/>
      </c>
      <c r="F7" s="28">
        <f>0</f>
        <v/>
      </c>
      <c r="G7" s="19">
        <f>IF(A7-'Inputs'!$B$14&gt;=1,INDEX($F$7:$F$67,A7-'Inputs'!$B$14+1)*'Inputs'!$B$13*'Inputs'!$B$15*'Inputs'!$B$7*(1-'Inputs'!$B$16),0)</f>
        <v/>
      </c>
      <c r="H7" s="19">
        <f>-IF(AND(A7&gt;=1,A7&lt;='Inputs'!$B$10),'Inputs'!$B$21*B7,0)</f>
        <v/>
      </c>
      <c r="I7" s="19">
        <f>-'Inputs'!$B$22*(D7+E7+G7)</f>
        <v/>
      </c>
      <c r="J7" s="19">
        <f>IF(A7='Inputs'!$B$24,'Inputs'!$B$23,0)</f>
        <v/>
      </c>
      <c r="K7" s="19">
        <f>IF(A7=0,-'Inputs'!$B$30,0)</f>
        <v/>
      </c>
      <c r="L7" s="19">
        <f>SUM(D7:K7)-F7</f>
        <v/>
      </c>
      <c r="M7" s="19">
        <f>L7</f>
        <v/>
      </c>
      <c r="N7" s="28">
        <f>(1+'Inputs'!$B$25)^(-A7/12)</f>
        <v/>
      </c>
      <c r="O7" s="19">
        <f>L7*N7</f>
        <v/>
      </c>
      <c r="P7" s="19">
        <f>IF(AND(A7&gt;=1,M7&gt;=0),1,0)</f>
        <v/>
      </c>
    </row>
    <row r="8">
      <c r="A8" s="19" t="n">
        <v>1</v>
      </c>
      <c r="B8" s="21">
        <f>(1-'Inputs'!$B$11)^A8</f>
        <v/>
      </c>
      <c r="C8" s="19">
        <f>IF(AND(A8&gt;=1,A8&lt;='Inputs'!$B$10),'Inputs'!$B$28,0)</f>
        <v/>
      </c>
      <c r="D8" s="19">
        <f>IF(AND(A8&gt;=1,A8&lt;='Inputs'!$B$10),'Inputs'!$B$28*'Inputs'!$B$12*B8,0)</f>
        <v/>
      </c>
      <c r="E8" s="19">
        <f>IF(A8=0,'Inputs'!$B$8,0)</f>
        <v/>
      </c>
      <c r="F8" s="28">
        <f>IF(AND(A8&gt;=1,A8&lt;='Inputs'!$B$10),B7-B8,0)</f>
        <v/>
      </c>
      <c r="G8" s="19">
        <f>IF(A8-'Inputs'!$B$14&gt;=1,INDEX($F$7:$F$67,A8-'Inputs'!$B$14+1)*'Inputs'!$B$13*'Inputs'!$B$15*'Inputs'!$B$7*(1-'Inputs'!$B$16),0)</f>
        <v/>
      </c>
      <c r="H8" s="19">
        <f>-IF(AND(A8&gt;=1,A8&lt;='Inputs'!$B$10),'Inputs'!$B$21*B8,0)</f>
        <v/>
      </c>
      <c r="I8" s="19">
        <f>-'Inputs'!$B$22*(D8+E8+G8)</f>
        <v/>
      </c>
      <c r="J8" s="19">
        <f>IF(A8='Inputs'!$B$24,'Inputs'!$B$23,0)</f>
        <v/>
      </c>
      <c r="K8" s="19">
        <f>IF(A8=0,-'Inputs'!$B$30,0)</f>
        <v/>
      </c>
      <c r="L8" s="19">
        <f>SUM(D8:K8)-F8</f>
        <v/>
      </c>
      <c r="M8" s="19">
        <f>M7+L8</f>
        <v/>
      </c>
      <c r="N8" s="28">
        <f>(1+'Inputs'!$B$25)^(-A8/12)</f>
        <v/>
      </c>
      <c r="O8" s="19">
        <f>L8*N8</f>
        <v/>
      </c>
      <c r="P8" s="19">
        <f>IF(AND(A8&gt;=1,M8&gt;=0),1,0)</f>
        <v/>
      </c>
    </row>
    <row r="9">
      <c r="A9" s="19" t="n">
        <v>2</v>
      </c>
      <c r="B9" s="21">
        <f>(1-'Inputs'!$B$11)^A9</f>
        <v/>
      </c>
      <c r="C9" s="19">
        <f>IF(AND(A9&gt;=1,A9&lt;='Inputs'!$B$10),'Inputs'!$B$28,0)</f>
        <v/>
      </c>
      <c r="D9" s="19">
        <f>IF(AND(A9&gt;=1,A9&lt;='Inputs'!$B$10),'Inputs'!$B$28*'Inputs'!$B$12*B9,0)</f>
        <v/>
      </c>
      <c r="E9" s="19">
        <f>IF(A9=0,'Inputs'!$B$8,0)</f>
        <v/>
      </c>
      <c r="F9" s="28">
        <f>IF(AND(A9&gt;=1,A9&lt;='Inputs'!$B$10),B8-B9,0)</f>
        <v/>
      </c>
      <c r="G9" s="19">
        <f>IF(A9-'Inputs'!$B$14&gt;=1,INDEX($F$7:$F$67,A9-'Inputs'!$B$14+1)*'Inputs'!$B$13*'Inputs'!$B$15*'Inputs'!$B$7*(1-'Inputs'!$B$16),0)</f>
        <v/>
      </c>
      <c r="H9" s="19">
        <f>-IF(AND(A9&gt;=1,A9&lt;='Inputs'!$B$10),'Inputs'!$B$21*B9,0)</f>
        <v/>
      </c>
      <c r="I9" s="19">
        <f>-'Inputs'!$B$22*(D9+E9+G9)</f>
        <v/>
      </c>
      <c r="J9" s="19">
        <f>IF(A9='Inputs'!$B$24,'Inputs'!$B$23,0)</f>
        <v/>
      </c>
      <c r="K9" s="19">
        <f>IF(A9=0,-'Inputs'!$B$30,0)</f>
        <v/>
      </c>
      <c r="L9" s="19">
        <f>SUM(D9:K9)-F9</f>
        <v/>
      </c>
      <c r="M9" s="19">
        <f>M8+L9</f>
        <v/>
      </c>
      <c r="N9" s="28">
        <f>(1+'Inputs'!$B$25)^(-A9/12)</f>
        <v/>
      </c>
      <c r="O9" s="19">
        <f>L9*N9</f>
        <v/>
      </c>
      <c r="P9" s="19">
        <f>IF(AND(A9&gt;=1,M9&gt;=0),1,0)</f>
        <v/>
      </c>
    </row>
    <row r="10">
      <c r="A10" s="19" t="n">
        <v>3</v>
      </c>
      <c r="B10" s="21">
        <f>(1-'Inputs'!$B$11)^A10</f>
        <v/>
      </c>
      <c r="C10" s="19">
        <f>IF(AND(A10&gt;=1,A10&lt;='Inputs'!$B$10),'Inputs'!$B$28,0)</f>
        <v/>
      </c>
      <c r="D10" s="19">
        <f>IF(AND(A10&gt;=1,A10&lt;='Inputs'!$B$10),'Inputs'!$B$28*'Inputs'!$B$12*B10,0)</f>
        <v/>
      </c>
      <c r="E10" s="19">
        <f>IF(A10=0,'Inputs'!$B$8,0)</f>
        <v/>
      </c>
      <c r="F10" s="28">
        <f>IF(AND(A10&gt;=1,A10&lt;='Inputs'!$B$10),B9-B10,0)</f>
        <v/>
      </c>
      <c r="G10" s="19">
        <f>IF(A10-'Inputs'!$B$14&gt;=1,INDEX($F$7:$F$67,A10-'Inputs'!$B$14+1)*'Inputs'!$B$13*'Inputs'!$B$15*'Inputs'!$B$7*(1-'Inputs'!$B$16),0)</f>
        <v/>
      </c>
      <c r="H10" s="19">
        <f>-IF(AND(A10&gt;=1,A10&lt;='Inputs'!$B$10),'Inputs'!$B$21*B10,0)</f>
        <v/>
      </c>
      <c r="I10" s="19">
        <f>-'Inputs'!$B$22*(D10+E10+G10)</f>
        <v/>
      </c>
      <c r="J10" s="19">
        <f>IF(A10='Inputs'!$B$24,'Inputs'!$B$23,0)</f>
        <v/>
      </c>
      <c r="K10" s="19">
        <f>IF(A10=0,-'Inputs'!$B$30,0)</f>
        <v/>
      </c>
      <c r="L10" s="19">
        <f>SUM(D10:K10)-F10</f>
        <v/>
      </c>
      <c r="M10" s="19">
        <f>M9+L10</f>
        <v/>
      </c>
      <c r="N10" s="28">
        <f>(1+'Inputs'!$B$25)^(-A10/12)</f>
        <v/>
      </c>
      <c r="O10" s="19">
        <f>L10*N10</f>
        <v/>
      </c>
      <c r="P10" s="19">
        <f>IF(AND(A10&gt;=1,M10&gt;=0),1,0)</f>
        <v/>
      </c>
    </row>
    <row r="11">
      <c r="A11" s="19" t="n">
        <v>4</v>
      </c>
      <c r="B11" s="21">
        <f>(1-'Inputs'!$B$11)^A11</f>
        <v/>
      </c>
      <c r="C11" s="19">
        <f>IF(AND(A11&gt;=1,A11&lt;='Inputs'!$B$10),'Inputs'!$B$28,0)</f>
        <v/>
      </c>
      <c r="D11" s="19">
        <f>IF(AND(A11&gt;=1,A11&lt;='Inputs'!$B$10),'Inputs'!$B$28*'Inputs'!$B$12*B11,0)</f>
        <v/>
      </c>
      <c r="E11" s="19">
        <f>IF(A11=0,'Inputs'!$B$8,0)</f>
        <v/>
      </c>
      <c r="F11" s="28">
        <f>IF(AND(A11&gt;=1,A11&lt;='Inputs'!$B$10),B10-B11,0)</f>
        <v/>
      </c>
      <c r="G11" s="19">
        <f>IF(A11-'Inputs'!$B$14&gt;=1,INDEX($F$7:$F$67,A11-'Inputs'!$B$14+1)*'Inputs'!$B$13*'Inputs'!$B$15*'Inputs'!$B$7*(1-'Inputs'!$B$16),0)</f>
        <v/>
      </c>
      <c r="H11" s="19">
        <f>-IF(AND(A11&gt;=1,A11&lt;='Inputs'!$B$10),'Inputs'!$B$21*B11,0)</f>
        <v/>
      </c>
      <c r="I11" s="19">
        <f>-'Inputs'!$B$22*(D11+E11+G11)</f>
        <v/>
      </c>
      <c r="J11" s="19">
        <f>IF(A11='Inputs'!$B$24,'Inputs'!$B$23,0)</f>
        <v/>
      </c>
      <c r="K11" s="19">
        <f>IF(A11=0,-'Inputs'!$B$30,0)</f>
        <v/>
      </c>
      <c r="L11" s="19">
        <f>SUM(D11:K11)-F11</f>
        <v/>
      </c>
      <c r="M11" s="19">
        <f>M10+L11</f>
        <v/>
      </c>
      <c r="N11" s="28">
        <f>(1+'Inputs'!$B$25)^(-A11/12)</f>
        <v/>
      </c>
      <c r="O11" s="19">
        <f>L11*N11</f>
        <v/>
      </c>
      <c r="P11" s="19">
        <f>IF(AND(A11&gt;=1,M11&gt;=0),1,0)</f>
        <v/>
      </c>
    </row>
    <row r="12">
      <c r="A12" s="19" t="n">
        <v>5</v>
      </c>
      <c r="B12" s="21">
        <f>(1-'Inputs'!$B$11)^A12</f>
        <v/>
      </c>
      <c r="C12" s="19">
        <f>IF(AND(A12&gt;=1,A12&lt;='Inputs'!$B$10),'Inputs'!$B$28,0)</f>
        <v/>
      </c>
      <c r="D12" s="19">
        <f>IF(AND(A12&gt;=1,A12&lt;='Inputs'!$B$10),'Inputs'!$B$28*'Inputs'!$B$12*B12,0)</f>
        <v/>
      </c>
      <c r="E12" s="19">
        <f>IF(A12=0,'Inputs'!$B$8,0)</f>
        <v/>
      </c>
      <c r="F12" s="28">
        <f>IF(AND(A12&gt;=1,A12&lt;='Inputs'!$B$10),B11-B12,0)</f>
        <v/>
      </c>
      <c r="G12" s="19">
        <f>IF(A12-'Inputs'!$B$14&gt;=1,INDEX($F$7:$F$67,A12-'Inputs'!$B$14+1)*'Inputs'!$B$13*'Inputs'!$B$15*'Inputs'!$B$7*(1-'Inputs'!$B$16),0)</f>
        <v/>
      </c>
      <c r="H12" s="19">
        <f>-IF(AND(A12&gt;=1,A12&lt;='Inputs'!$B$10),'Inputs'!$B$21*B12,0)</f>
        <v/>
      </c>
      <c r="I12" s="19">
        <f>-'Inputs'!$B$22*(D12+E12+G12)</f>
        <v/>
      </c>
      <c r="J12" s="19">
        <f>IF(A12='Inputs'!$B$24,'Inputs'!$B$23,0)</f>
        <v/>
      </c>
      <c r="K12" s="19">
        <f>IF(A12=0,-'Inputs'!$B$30,0)</f>
        <v/>
      </c>
      <c r="L12" s="19">
        <f>SUM(D12:K12)-F12</f>
        <v/>
      </c>
      <c r="M12" s="19">
        <f>M11+L12</f>
        <v/>
      </c>
      <c r="N12" s="28">
        <f>(1+'Inputs'!$B$25)^(-A12/12)</f>
        <v/>
      </c>
      <c r="O12" s="19">
        <f>L12*N12</f>
        <v/>
      </c>
      <c r="P12" s="19">
        <f>IF(AND(A12&gt;=1,M12&gt;=0),1,0)</f>
        <v/>
      </c>
    </row>
    <row r="13">
      <c r="A13" s="19" t="n">
        <v>6</v>
      </c>
      <c r="B13" s="21">
        <f>(1-'Inputs'!$B$11)^A13</f>
        <v/>
      </c>
      <c r="C13" s="19">
        <f>IF(AND(A13&gt;=1,A13&lt;='Inputs'!$B$10),'Inputs'!$B$28,0)</f>
        <v/>
      </c>
      <c r="D13" s="19">
        <f>IF(AND(A13&gt;=1,A13&lt;='Inputs'!$B$10),'Inputs'!$B$28*'Inputs'!$B$12*B13,0)</f>
        <v/>
      </c>
      <c r="E13" s="19">
        <f>IF(A13=0,'Inputs'!$B$8,0)</f>
        <v/>
      </c>
      <c r="F13" s="28">
        <f>IF(AND(A13&gt;=1,A13&lt;='Inputs'!$B$10),B12-B13,0)</f>
        <v/>
      </c>
      <c r="G13" s="19">
        <f>IF(A13-'Inputs'!$B$14&gt;=1,INDEX($F$7:$F$67,A13-'Inputs'!$B$14+1)*'Inputs'!$B$13*'Inputs'!$B$15*'Inputs'!$B$7*(1-'Inputs'!$B$16),0)</f>
        <v/>
      </c>
      <c r="H13" s="19">
        <f>-IF(AND(A13&gt;=1,A13&lt;='Inputs'!$B$10),'Inputs'!$B$21*B13,0)</f>
        <v/>
      </c>
      <c r="I13" s="19">
        <f>-'Inputs'!$B$22*(D13+E13+G13)</f>
        <v/>
      </c>
      <c r="J13" s="19">
        <f>IF(A13='Inputs'!$B$24,'Inputs'!$B$23,0)</f>
        <v/>
      </c>
      <c r="K13" s="19">
        <f>IF(A13=0,-'Inputs'!$B$30,0)</f>
        <v/>
      </c>
      <c r="L13" s="19">
        <f>SUM(D13:K13)-F13</f>
        <v/>
      </c>
      <c r="M13" s="19">
        <f>M12+L13</f>
        <v/>
      </c>
      <c r="N13" s="28">
        <f>(1+'Inputs'!$B$25)^(-A13/12)</f>
        <v/>
      </c>
      <c r="O13" s="19">
        <f>L13*N13</f>
        <v/>
      </c>
      <c r="P13" s="19">
        <f>IF(AND(A13&gt;=1,M13&gt;=0),1,0)</f>
        <v/>
      </c>
    </row>
    <row r="14">
      <c r="A14" s="19" t="n">
        <v>7</v>
      </c>
      <c r="B14" s="21">
        <f>(1-'Inputs'!$B$11)^A14</f>
        <v/>
      </c>
      <c r="C14" s="19">
        <f>IF(AND(A14&gt;=1,A14&lt;='Inputs'!$B$10),'Inputs'!$B$28,0)</f>
        <v/>
      </c>
      <c r="D14" s="19">
        <f>IF(AND(A14&gt;=1,A14&lt;='Inputs'!$B$10),'Inputs'!$B$28*'Inputs'!$B$12*B14,0)</f>
        <v/>
      </c>
      <c r="E14" s="19">
        <f>IF(A14=0,'Inputs'!$B$8,0)</f>
        <v/>
      </c>
      <c r="F14" s="28">
        <f>IF(AND(A14&gt;=1,A14&lt;='Inputs'!$B$10),B13-B14,0)</f>
        <v/>
      </c>
      <c r="G14" s="19">
        <f>IF(A14-'Inputs'!$B$14&gt;=1,INDEX($F$7:$F$67,A14-'Inputs'!$B$14+1)*'Inputs'!$B$13*'Inputs'!$B$15*'Inputs'!$B$7*(1-'Inputs'!$B$16),0)</f>
        <v/>
      </c>
      <c r="H14" s="19">
        <f>-IF(AND(A14&gt;=1,A14&lt;='Inputs'!$B$10),'Inputs'!$B$21*B14,0)</f>
        <v/>
      </c>
      <c r="I14" s="19">
        <f>-'Inputs'!$B$22*(D14+E14+G14)</f>
        <v/>
      </c>
      <c r="J14" s="19">
        <f>IF(A14='Inputs'!$B$24,'Inputs'!$B$23,0)</f>
        <v/>
      </c>
      <c r="K14" s="19">
        <f>IF(A14=0,-'Inputs'!$B$30,0)</f>
        <v/>
      </c>
      <c r="L14" s="19">
        <f>SUM(D14:K14)-F14</f>
        <v/>
      </c>
      <c r="M14" s="19">
        <f>M13+L14</f>
        <v/>
      </c>
      <c r="N14" s="28">
        <f>(1+'Inputs'!$B$25)^(-A14/12)</f>
        <v/>
      </c>
      <c r="O14" s="19">
        <f>L14*N14</f>
        <v/>
      </c>
      <c r="P14" s="19">
        <f>IF(AND(A14&gt;=1,M14&gt;=0),1,0)</f>
        <v/>
      </c>
    </row>
    <row r="15">
      <c r="A15" s="19" t="n">
        <v>8</v>
      </c>
      <c r="B15" s="21">
        <f>(1-'Inputs'!$B$11)^A15</f>
        <v/>
      </c>
      <c r="C15" s="19">
        <f>IF(AND(A15&gt;=1,A15&lt;='Inputs'!$B$10),'Inputs'!$B$28,0)</f>
        <v/>
      </c>
      <c r="D15" s="19">
        <f>IF(AND(A15&gt;=1,A15&lt;='Inputs'!$B$10),'Inputs'!$B$28*'Inputs'!$B$12*B15,0)</f>
        <v/>
      </c>
      <c r="E15" s="19">
        <f>IF(A15=0,'Inputs'!$B$8,0)</f>
        <v/>
      </c>
      <c r="F15" s="28">
        <f>IF(AND(A15&gt;=1,A15&lt;='Inputs'!$B$10),B14-B15,0)</f>
        <v/>
      </c>
      <c r="G15" s="19">
        <f>IF(A15-'Inputs'!$B$14&gt;=1,INDEX($F$7:$F$67,A15-'Inputs'!$B$14+1)*'Inputs'!$B$13*'Inputs'!$B$15*'Inputs'!$B$7*(1-'Inputs'!$B$16),0)</f>
        <v/>
      </c>
      <c r="H15" s="19">
        <f>-IF(AND(A15&gt;=1,A15&lt;='Inputs'!$B$10),'Inputs'!$B$21*B15,0)</f>
        <v/>
      </c>
      <c r="I15" s="19">
        <f>-'Inputs'!$B$22*(D15+E15+G15)</f>
        <v/>
      </c>
      <c r="J15" s="19">
        <f>IF(A15='Inputs'!$B$24,'Inputs'!$B$23,0)</f>
        <v/>
      </c>
      <c r="K15" s="19">
        <f>IF(A15=0,-'Inputs'!$B$30,0)</f>
        <v/>
      </c>
      <c r="L15" s="19">
        <f>SUM(D15:K15)-F15</f>
        <v/>
      </c>
      <c r="M15" s="19">
        <f>M14+L15</f>
        <v/>
      </c>
      <c r="N15" s="28">
        <f>(1+'Inputs'!$B$25)^(-A15/12)</f>
        <v/>
      </c>
      <c r="O15" s="19">
        <f>L15*N15</f>
        <v/>
      </c>
      <c r="P15" s="19">
        <f>IF(AND(A15&gt;=1,M15&gt;=0),1,0)</f>
        <v/>
      </c>
    </row>
    <row r="16">
      <c r="A16" s="19" t="n">
        <v>9</v>
      </c>
      <c r="B16" s="21">
        <f>(1-'Inputs'!$B$11)^A16</f>
        <v/>
      </c>
      <c r="C16" s="19">
        <f>IF(AND(A16&gt;=1,A16&lt;='Inputs'!$B$10),'Inputs'!$B$28,0)</f>
        <v/>
      </c>
      <c r="D16" s="19">
        <f>IF(AND(A16&gt;=1,A16&lt;='Inputs'!$B$10),'Inputs'!$B$28*'Inputs'!$B$12*B16,0)</f>
        <v/>
      </c>
      <c r="E16" s="19">
        <f>IF(A16=0,'Inputs'!$B$8,0)</f>
        <v/>
      </c>
      <c r="F16" s="28">
        <f>IF(AND(A16&gt;=1,A16&lt;='Inputs'!$B$10),B15-B16,0)</f>
        <v/>
      </c>
      <c r="G16" s="19">
        <f>IF(A16-'Inputs'!$B$14&gt;=1,INDEX($F$7:$F$67,A16-'Inputs'!$B$14+1)*'Inputs'!$B$13*'Inputs'!$B$15*'Inputs'!$B$7*(1-'Inputs'!$B$16),0)</f>
        <v/>
      </c>
      <c r="H16" s="19">
        <f>-IF(AND(A16&gt;=1,A16&lt;='Inputs'!$B$10),'Inputs'!$B$21*B16,0)</f>
        <v/>
      </c>
      <c r="I16" s="19">
        <f>-'Inputs'!$B$22*(D16+E16+G16)</f>
        <v/>
      </c>
      <c r="J16" s="19">
        <f>IF(A16='Inputs'!$B$24,'Inputs'!$B$23,0)</f>
        <v/>
      </c>
      <c r="K16" s="19">
        <f>IF(A16=0,-'Inputs'!$B$30,0)</f>
        <v/>
      </c>
      <c r="L16" s="19">
        <f>SUM(D16:K16)-F16</f>
        <v/>
      </c>
      <c r="M16" s="19">
        <f>M15+L16</f>
        <v/>
      </c>
      <c r="N16" s="28">
        <f>(1+'Inputs'!$B$25)^(-A16/12)</f>
        <v/>
      </c>
      <c r="O16" s="19">
        <f>L16*N16</f>
        <v/>
      </c>
      <c r="P16" s="19">
        <f>IF(AND(A16&gt;=1,M16&gt;=0),1,0)</f>
        <v/>
      </c>
    </row>
    <row r="17">
      <c r="A17" s="19" t="n">
        <v>10</v>
      </c>
      <c r="B17" s="21">
        <f>(1-'Inputs'!$B$11)^A17</f>
        <v/>
      </c>
      <c r="C17" s="19">
        <f>IF(AND(A17&gt;=1,A17&lt;='Inputs'!$B$10),'Inputs'!$B$28,0)</f>
        <v/>
      </c>
      <c r="D17" s="19">
        <f>IF(AND(A17&gt;=1,A17&lt;='Inputs'!$B$10),'Inputs'!$B$28*'Inputs'!$B$12*B17,0)</f>
        <v/>
      </c>
      <c r="E17" s="19">
        <f>IF(A17=0,'Inputs'!$B$8,0)</f>
        <v/>
      </c>
      <c r="F17" s="28">
        <f>IF(AND(A17&gt;=1,A17&lt;='Inputs'!$B$10),B16-B17,0)</f>
        <v/>
      </c>
      <c r="G17" s="19">
        <f>IF(A17-'Inputs'!$B$14&gt;=1,INDEX($F$7:$F$67,A17-'Inputs'!$B$14+1)*'Inputs'!$B$13*'Inputs'!$B$15*'Inputs'!$B$7*(1-'Inputs'!$B$16),0)</f>
        <v/>
      </c>
      <c r="H17" s="19">
        <f>-IF(AND(A17&gt;=1,A17&lt;='Inputs'!$B$10),'Inputs'!$B$21*B17,0)</f>
        <v/>
      </c>
      <c r="I17" s="19">
        <f>-'Inputs'!$B$22*(D17+E17+G17)</f>
        <v/>
      </c>
      <c r="J17" s="19">
        <f>IF(A17='Inputs'!$B$24,'Inputs'!$B$23,0)</f>
        <v/>
      </c>
      <c r="K17" s="19">
        <f>IF(A17=0,-'Inputs'!$B$30,0)</f>
        <v/>
      </c>
      <c r="L17" s="19">
        <f>SUM(D17:K17)-F17</f>
        <v/>
      </c>
      <c r="M17" s="19">
        <f>M16+L17</f>
        <v/>
      </c>
      <c r="N17" s="28">
        <f>(1+'Inputs'!$B$25)^(-A17/12)</f>
        <v/>
      </c>
      <c r="O17" s="19">
        <f>L17*N17</f>
        <v/>
      </c>
      <c r="P17" s="19">
        <f>IF(AND(A17&gt;=1,M17&gt;=0),1,0)</f>
        <v/>
      </c>
    </row>
    <row r="18">
      <c r="A18" s="19" t="n">
        <v>11</v>
      </c>
      <c r="B18" s="21">
        <f>(1-'Inputs'!$B$11)^A18</f>
        <v/>
      </c>
      <c r="C18" s="19">
        <f>IF(AND(A18&gt;=1,A18&lt;='Inputs'!$B$10),'Inputs'!$B$28,0)</f>
        <v/>
      </c>
      <c r="D18" s="19">
        <f>IF(AND(A18&gt;=1,A18&lt;='Inputs'!$B$10),'Inputs'!$B$28*'Inputs'!$B$12*B18,0)</f>
        <v/>
      </c>
      <c r="E18" s="19">
        <f>IF(A18=0,'Inputs'!$B$8,0)</f>
        <v/>
      </c>
      <c r="F18" s="28">
        <f>IF(AND(A18&gt;=1,A18&lt;='Inputs'!$B$10),B17-B18,0)</f>
        <v/>
      </c>
      <c r="G18" s="19">
        <f>IF(A18-'Inputs'!$B$14&gt;=1,INDEX($F$7:$F$67,A18-'Inputs'!$B$14+1)*'Inputs'!$B$13*'Inputs'!$B$15*'Inputs'!$B$7*(1-'Inputs'!$B$16),0)</f>
        <v/>
      </c>
      <c r="H18" s="19">
        <f>-IF(AND(A18&gt;=1,A18&lt;='Inputs'!$B$10),'Inputs'!$B$21*B18,0)</f>
        <v/>
      </c>
      <c r="I18" s="19">
        <f>-'Inputs'!$B$22*(D18+E18+G18)</f>
        <v/>
      </c>
      <c r="J18" s="19">
        <f>IF(A18='Inputs'!$B$24,'Inputs'!$B$23,0)</f>
        <v/>
      </c>
      <c r="K18" s="19">
        <f>IF(A18=0,-'Inputs'!$B$30,0)</f>
        <v/>
      </c>
      <c r="L18" s="19">
        <f>SUM(D18:K18)-F18</f>
        <v/>
      </c>
      <c r="M18" s="19">
        <f>M17+L18</f>
        <v/>
      </c>
      <c r="N18" s="28">
        <f>(1+'Inputs'!$B$25)^(-A18/12)</f>
        <v/>
      </c>
      <c r="O18" s="19">
        <f>L18*N18</f>
        <v/>
      </c>
      <c r="P18" s="19">
        <f>IF(AND(A18&gt;=1,M18&gt;=0),1,0)</f>
        <v/>
      </c>
    </row>
    <row r="19">
      <c r="A19" s="19" t="n">
        <v>12</v>
      </c>
      <c r="B19" s="21">
        <f>(1-'Inputs'!$B$11)^A19</f>
        <v/>
      </c>
      <c r="C19" s="19">
        <f>IF(AND(A19&gt;=1,A19&lt;='Inputs'!$B$10),'Inputs'!$B$28,0)</f>
        <v/>
      </c>
      <c r="D19" s="19">
        <f>IF(AND(A19&gt;=1,A19&lt;='Inputs'!$B$10),'Inputs'!$B$28*'Inputs'!$B$12*B19,0)</f>
        <v/>
      </c>
      <c r="E19" s="19">
        <f>IF(A19=0,'Inputs'!$B$8,0)</f>
        <v/>
      </c>
      <c r="F19" s="28">
        <f>IF(AND(A19&gt;=1,A19&lt;='Inputs'!$B$10),B18-B19,0)</f>
        <v/>
      </c>
      <c r="G19" s="19">
        <f>IF(A19-'Inputs'!$B$14&gt;=1,INDEX($F$7:$F$67,A19-'Inputs'!$B$14+1)*'Inputs'!$B$13*'Inputs'!$B$15*'Inputs'!$B$7*(1-'Inputs'!$B$16),0)</f>
        <v/>
      </c>
      <c r="H19" s="19">
        <f>-IF(AND(A19&gt;=1,A19&lt;='Inputs'!$B$10),'Inputs'!$B$21*B19,0)</f>
        <v/>
      </c>
      <c r="I19" s="19">
        <f>-'Inputs'!$B$22*(D19+E19+G19)</f>
        <v/>
      </c>
      <c r="J19" s="19">
        <f>IF(A19='Inputs'!$B$24,'Inputs'!$B$23,0)</f>
        <v/>
      </c>
      <c r="K19" s="19">
        <f>IF(A19=0,-'Inputs'!$B$30,0)</f>
        <v/>
      </c>
      <c r="L19" s="19">
        <f>SUM(D19:K19)-F19</f>
        <v/>
      </c>
      <c r="M19" s="19">
        <f>M18+L19</f>
        <v/>
      </c>
      <c r="N19" s="28">
        <f>(1+'Inputs'!$B$25)^(-A19/12)</f>
        <v/>
      </c>
      <c r="O19" s="19">
        <f>L19*N19</f>
        <v/>
      </c>
      <c r="P19" s="19">
        <f>IF(AND(A19&gt;=1,M19&gt;=0),1,0)</f>
        <v/>
      </c>
    </row>
    <row r="20">
      <c r="A20" s="19" t="n">
        <v>13</v>
      </c>
      <c r="B20" s="21">
        <f>(1-'Inputs'!$B$11)^A20</f>
        <v/>
      </c>
      <c r="C20" s="19">
        <f>IF(AND(A20&gt;=1,A20&lt;='Inputs'!$B$10),'Inputs'!$B$28,0)</f>
        <v/>
      </c>
      <c r="D20" s="19">
        <f>IF(AND(A20&gt;=1,A20&lt;='Inputs'!$B$10),'Inputs'!$B$28*'Inputs'!$B$12*B20,0)</f>
        <v/>
      </c>
      <c r="E20" s="19">
        <f>IF(A20=0,'Inputs'!$B$8,0)</f>
        <v/>
      </c>
      <c r="F20" s="28">
        <f>IF(AND(A20&gt;=1,A20&lt;='Inputs'!$B$10),B19-B20,0)</f>
        <v/>
      </c>
      <c r="G20" s="19">
        <f>IF(A20-'Inputs'!$B$14&gt;=1,INDEX($F$7:$F$67,A20-'Inputs'!$B$14+1)*'Inputs'!$B$13*'Inputs'!$B$15*'Inputs'!$B$7*(1-'Inputs'!$B$16),0)</f>
        <v/>
      </c>
      <c r="H20" s="19">
        <f>-IF(AND(A20&gt;=1,A20&lt;='Inputs'!$B$10),'Inputs'!$B$21*B20,0)</f>
        <v/>
      </c>
      <c r="I20" s="19">
        <f>-'Inputs'!$B$22*(D20+E20+G20)</f>
        <v/>
      </c>
      <c r="J20" s="19">
        <f>IF(A20='Inputs'!$B$24,'Inputs'!$B$23,0)</f>
        <v/>
      </c>
      <c r="K20" s="19">
        <f>IF(A20=0,-'Inputs'!$B$30,0)</f>
        <v/>
      </c>
      <c r="L20" s="19">
        <f>SUM(D20:K20)-F20</f>
        <v/>
      </c>
      <c r="M20" s="19">
        <f>M19+L20</f>
        <v/>
      </c>
      <c r="N20" s="28">
        <f>(1+'Inputs'!$B$25)^(-A20/12)</f>
        <v/>
      </c>
      <c r="O20" s="19">
        <f>L20*N20</f>
        <v/>
      </c>
      <c r="P20" s="19">
        <f>IF(AND(A20&gt;=1,M20&gt;=0),1,0)</f>
        <v/>
      </c>
    </row>
    <row r="21">
      <c r="A21" s="19" t="n">
        <v>14</v>
      </c>
      <c r="B21" s="21">
        <f>(1-'Inputs'!$B$11)^A21</f>
        <v/>
      </c>
      <c r="C21" s="19">
        <f>IF(AND(A21&gt;=1,A21&lt;='Inputs'!$B$10),'Inputs'!$B$28,0)</f>
        <v/>
      </c>
      <c r="D21" s="19">
        <f>IF(AND(A21&gt;=1,A21&lt;='Inputs'!$B$10),'Inputs'!$B$28*'Inputs'!$B$12*B21,0)</f>
        <v/>
      </c>
      <c r="E21" s="19">
        <f>IF(A21=0,'Inputs'!$B$8,0)</f>
        <v/>
      </c>
      <c r="F21" s="28">
        <f>IF(AND(A21&gt;=1,A21&lt;='Inputs'!$B$10),B20-B21,0)</f>
        <v/>
      </c>
      <c r="G21" s="19">
        <f>IF(A21-'Inputs'!$B$14&gt;=1,INDEX($F$7:$F$67,A21-'Inputs'!$B$14+1)*'Inputs'!$B$13*'Inputs'!$B$15*'Inputs'!$B$7*(1-'Inputs'!$B$16),0)</f>
        <v/>
      </c>
      <c r="H21" s="19">
        <f>-IF(AND(A21&gt;=1,A21&lt;='Inputs'!$B$10),'Inputs'!$B$21*B21,0)</f>
        <v/>
      </c>
      <c r="I21" s="19">
        <f>-'Inputs'!$B$22*(D21+E21+G21)</f>
        <v/>
      </c>
      <c r="J21" s="19">
        <f>IF(A21='Inputs'!$B$24,'Inputs'!$B$23,0)</f>
        <v/>
      </c>
      <c r="K21" s="19">
        <f>IF(A21=0,-'Inputs'!$B$30,0)</f>
        <v/>
      </c>
      <c r="L21" s="19">
        <f>SUM(D21:K21)-F21</f>
        <v/>
      </c>
      <c r="M21" s="19">
        <f>M20+L21</f>
        <v/>
      </c>
      <c r="N21" s="28">
        <f>(1+'Inputs'!$B$25)^(-A21/12)</f>
        <v/>
      </c>
      <c r="O21" s="19">
        <f>L21*N21</f>
        <v/>
      </c>
      <c r="P21" s="19">
        <f>IF(AND(A21&gt;=1,M21&gt;=0),1,0)</f>
        <v/>
      </c>
    </row>
    <row r="22">
      <c r="A22" s="19" t="n">
        <v>15</v>
      </c>
      <c r="B22" s="21">
        <f>(1-'Inputs'!$B$11)^A22</f>
        <v/>
      </c>
      <c r="C22" s="19">
        <f>IF(AND(A22&gt;=1,A22&lt;='Inputs'!$B$10),'Inputs'!$B$28,0)</f>
        <v/>
      </c>
      <c r="D22" s="19">
        <f>IF(AND(A22&gt;=1,A22&lt;='Inputs'!$B$10),'Inputs'!$B$28*'Inputs'!$B$12*B22,0)</f>
        <v/>
      </c>
      <c r="E22" s="19">
        <f>IF(A22=0,'Inputs'!$B$8,0)</f>
        <v/>
      </c>
      <c r="F22" s="28">
        <f>IF(AND(A22&gt;=1,A22&lt;='Inputs'!$B$10),B21-B22,0)</f>
        <v/>
      </c>
      <c r="G22" s="19">
        <f>IF(A22-'Inputs'!$B$14&gt;=1,INDEX($F$7:$F$67,A22-'Inputs'!$B$14+1)*'Inputs'!$B$13*'Inputs'!$B$15*'Inputs'!$B$7*(1-'Inputs'!$B$16),0)</f>
        <v/>
      </c>
      <c r="H22" s="19">
        <f>-IF(AND(A22&gt;=1,A22&lt;='Inputs'!$B$10),'Inputs'!$B$21*B22,0)</f>
        <v/>
      </c>
      <c r="I22" s="19">
        <f>-'Inputs'!$B$22*(D22+E22+G22)</f>
        <v/>
      </c>
      <c r="J22" s="19">
        <f>IF(A22='Inputs'!$B$24,'Inputs'!$B$23,0)</f>
        <v/>
      </c>
      <c r="K22" s="19">
        <f>IF(A22=0,-'Inputs'!$B$30,0)</f>
        <v/>
      </c>
      <c r="L22" s="19">
        <f>SUM(D22:K22)-F22</f>
        <v/>
      </c>
      <c r="M22" s="19">
        <f>M21+L22</f>
        <v/>
      </c>
      <c r="N22" s="28">
        <f>(1+'Inputs'!$B$25)^(-A22/12)</f>
        <v/>
      </c>
      <c r="O22" s="19">
        <f>L22*N22</f>
        <v/>
      </c>
      <c r="P22" s="19">
        <f>IF(AND(A22&gt;=1,M22&gt;=0),1,0)</f>
        <v/>
      </c>
    </row>
    <row r="23">
      <c r="A23" s="19" t="n">
        <v>16</v>
      </c>
      <c r="B23" s="21">
        <f>(1-'Inputs'!$B$11)^A23</f>
        <v/>
      </c>
      <c r="C23" s="19">
        <f>IF(AND(A23&gt;=1,A23&lt;='Inputs'!$B$10),'Inputs'!$B$28,0)</f>
        <v/>
      </c>
      <c r="D23" s="19">
        <f>IF(AND(A23&gt;=1,A23&lt;='Inputs'!$B$10),'Inputs'!$B$28*'Inputs'!$B$12*B23,0)</f>
        <v/>
      </c>
      <c r="E23" s="19">
        <f>IF(A23=0,'Inputs'!$B$8,0)</f>
        <v/>
      </c>
      <c r="F23" s="28">
        <f>IF(AND(A23&gt;=1,A23&lt;='Inputs'!$B$10),B22-B23,0)</f>
        <v/>
      </c>
      <c r="G23" s="19">
        <f>IF(A23-'Inputs'!$B$14&gt;=1,INDEX($F$7:$F$67,A23-'Inputs'!$B$14+1)*'Inputs'!$B$13*'Inputs'!$B$15*'Inputs'!$B$7*(1-'Inputs'!$B$16),0)</f>
        <v/>
      </c>
      <c r="H23" s="19">
        <f>-IF(AND(A23&gt;=1,A23&lt;='Inputs'!$B$10),'Inputs'!$B$21*B23,0)</f>
        <v/>
      </c>
      <c r="I23" s="19">
        <f>-'Inputs'!$B$22*(D23+E23+G23)</f>
        <v/>
      </c>
      <c r="J23" s="19">
        <f>IF(A23='Inputs'!$B$24,'Inputs'!$B$23,0)</f>
        <v/>
      </c>
      <c r="K23" s="19">
        <f>IF(A23=0,-'Inputs'!$B$30,0)</f>
        <v/>
      </c>
      <c r="L23" s="19">
        <f>SUM(D23:K23)-F23</f>
        <v/>
      </c>
      <c r="M23" s="19">
        <f>M22+L23</f>
        <v/>
      </c>
      <c r="N23" s="28">
        <f>(1+'Inputs'!$B$25)^(-A23/12)</f>
        <v/>
      </c>
      <c r="O23" s="19">
        <f>L23*N23</f>
        <v/>
      </c>
      <c r="P23" s="19">
        <f>IF(AND(A23&gt;=1,M23&gt;=0),1,0)</f>
        <v/>
      </c>
    </row>
    <row r="24">
      <c r="A24" s="19" t="n">
        <v>17</v>
      </c>
      <c r="B24" s="21">
        <f>(1-'Inputs'!$B$11)^A24</f>
        <v/>
      </c>
      <c r="C24" s="19">
        <f>IF(AND(A24&gt;=1,A24&lt;='Inputs'!$B$10),'Inputs'!$B$28,0)</f>
        <v/>
      </c>
      <c r="D24" s="19">
        <f>IF(AND(A24&gt;=1,A24&lt;='Inputs'!$B$10),'Inputs'!$B$28*'Inputs'!$B$12*B24,0)</f>
        <v/>
      </c>
      <c r="E24" s="19">
        <f>IF(A24=0,'Inputs'!$B$8,0)</f>
        <v/>
      </c>
      <c r="F24" s="28">
        <f>IF(AND(A24&gt;=1,A24&lt;='Inputs'!$B$10),B23-B24,0)</f>
        <v/>
      </c>
      <c r="G24" s="19">
        <f>IF(A24-'Inputs'!$B$14&gt;=1,INDEX($F$7:$F$67,A24-'Inputs'!$B$14+1)*'Inputs'!$B$13*'Inputs'!$B$15*'Inputs'!$B$7*(1-'Inputs'!$B$16),0)</f>
        <v/>
      </c>
      <c r="H24" s="19">
        <f>-IF(AND(A24&gt;=1,A24&lt;='Inputs'!$B$10),'Inputs'!$B$21*B24,0)</f>
        <v/>
      </c>
      <c r="I24" s="19">
        <f>-'Inputs'!$B$22*(D24+E24+G24)</f>
        <v/>
      </c>
      <c r="J24" s="19">
        <f>IF(A24='Inputs'!$B$24,'Inputs'!$B$23,0)</f>
        <v/>
      </c>
      <c r="K24" s="19">
        <f>IF(A24=0,-'Inputs'!$B$30,0)</f>
        <v/>
      </c>
      <c r="L24" s="19">
        <f>SUM(D24:K24)-F24</f>
        <v/>
      </c>
      <c r="M24" s="19">
        <f>M23+L24</f>
        <v/>
      </c>
      <c r="N24" s="28">
        <f>(1+'Inputs'!$B$25)^(-A24/12)</f>
        <v/>
      </c>
      <c r="O24" s="19">
        <f>L24*N24</f>
        <v/>
      </c>
      <c r="P24" s="19">
        <f>IF(AND(A24&gt;=1,M24&gt;=0),1,0)</f>
        <v/>
      </c>
    </row>
    <row r="25">
      <c r="A25" s="19" t="n">
        <v>18</v>
      </c>
      <c r="B25" s="21">
        <f>(1-'Inputs'!$B$11)^A25</f>
        <v/>
      </c>
      <c r="C25" s="19">
        <f>IF(AND(A25&gt;=1,A25&lt;='Inputs'!$B$10),'Inputs'!$B$28,0)</f>
        <v/>
      </c>
      <c r="D25" s="19">
        <f>IF(AND(A25&gt;=1,A25&lt;='Inputs'!$B$10),'Inputs'!$B$28*'Inputs'!$B$12*B25,0)</f>
        <v/>
      </c>
      <c r="E25" s="19">
        <f>IF(A25=0,'Inputs'!$B$8,0)</f>
        <v/>
      </c>
      <c r="F25" s="28">
        <f>IF(AND(A25&gt;=1,A25&lt;='Inputs'!$B$10),B24-B25,0)</f>
        <v/>
      </c>
      <c r="G25" s="19">
        <f>IF(A25-'Inputs'!$B$14&gt;=1,INDEX($F$7:$F$67,A25-'Inputs'!$B$14+1)*'Inputs'!$B$13*'Inputs'!$B$15*'Inputs'!$B$7*(1-'Inputs'!$B$16),0)</f>
        <v/>
      </c>
      <c r="H25" s="19">
        <f>-IF(AND(A25&gt;=1,A25&lt;='Inputs'!$B$10),'Inputs'!$B$21*B25,0)</f>
        <v/>
      </c>
      <c r="I25" s="19">
        <f>-'Inputs'!$B$22*(D25+E25+G25)</f>
        <v/>
      </c>
      <c r="J25" s="19">
        <f>IF(A25='Inputs'!$B$24,'Inputs'!$B$23,0)</f>
        <v/>
      </c>
      <c r="K25" s="19">
        <f>IF(A25=0,-'Inputs'!$B$30,0)</f>
        <v/>
      </c>
      <c r="L25" s="19">
        <f>SUM(D25:K25)-F25</f>
        <v/>
      </c>
      <c r="M25" s="19">
        <f>M24+L25</f>
        <v/>
      </c>
      <c r="N25" s="28">
        <f>(1+'Inputs'!$B$25)^(-A25/12)</f>
        <v/>
      </c>
      <c r="O25" s="19">
        <f>L25*N25</f>
        <v/>
      </c>
      <c r="P25" s="19">
        <f>IF(AND(A25&gt;=1,M25&gt;=0),1,0)</f>
        <v/>
      </c>
    </row>
    <row r="26">
      <c r="A26" s="19" t="n">
        <v>19</v>
      </c>
      <c r="B26" s="21">
        <f>(1-'Inputs'!$B$11)^A26</f>
        <v/>
      </c>
      <c r="C26" s="19">
        <f>IF(AND(A26&gt;=1,A26&lt;='Inputs'!$B$10),'Inputs'!$B$28,0)</f>
        <v/>
      </c>
      <c r="D26" s="19">
        <f>IF(AND(A26&gt;=1,A26&lt;='Inputs'!$B$10),'Inputs'!$B$28*'Inputs'!$B$12*B26,0)</f>
        <v/>
      </c>
      <c r="E26" s="19">
        <f>IF(A26=0,'Inputs'!$B$8,0)</f>
        <v/>
      </c>
      <c r="F26" s="28">
        <f>IF(AND(A26&gt;=1,A26&lt;='Inputs'!$B$10),B25-B26,0)</f>
        <v/>
      </c>
      <c r="G26" s="19">
        <f>IF(A26-'Inputs'!$B$14&gt;=1,INDEX($F$7:$F$67,A26-'Inputs'!$B$14+1)*'Inputs'!$B$13*'Inputs'!$B$15*'Inputs'!$B$7*(1-'Inputs'!$B$16),0)</f>
        <v/>
      </c>
      <c r="H26" s="19">
        <f>-IF(AND(A26&gt;=1,A26&lt;='Inputs'!$B$10),'Inputs'!$B$21*B26,0)</f>
        <v/>
      </c>
      <c r="I26" s="19">
        <f>-'Inputs'!$B$22*(D26+E26+G26)</f>
        <v/>
      </c>
      <c r="J26" s="19">
        <f>IF(A26='Inputs'!$B$24,'Inputs'!$B$23,0)</f>
        <v/>
      </c>
      <c r="K26" s="19">
        <f>IF(A26=0,-'Inputs'!$B$30,0)</f>
        <v/>
      </c>
      <c r="L26" s="19">
        <f>SUM(D26:K26)-F26</f>
        <v/>
      </c>
      <c r="M26" s="19">
        <f>M25+L26</f>
        <v/>
      </c>
      <c r="N26" s="28">
        <f>(1+'Inputs'!$B$25)^(-A26/12)</f>
        <v/>
      </c>
      <c r="O26" s="19">
        <f>L26*N26</f>
        <v/>
      </c>
      <c r="P26" s="19">
        <f>IF(AND(A26&gt;=1,M26&gt;=0),1,0)</f>
        <v/>
      </c>
    </row>
    <row r="27">
      <c r="A27" s="19" t="n">
        <v>20</v>
      </c>
      <c r="B27" s="21">
        <f>(1-'Inputs'!$B$11)^A27</f>
        <v/>
      </c>
      <c r="C27" s="19">
        <f>IF(AND(A27&gt;=1,A27&lt;='Inputs'!$B$10),'Inputs'!$B$28,0)</f>
        <v/>
      </c>
      <c r="D27" s="19">
        <f>IF(AND(A27&gt;=1,A27&lt;='Inputs'!$B$10),'Inputs'!$B$28*'Inputs'!$B$12*B27,0)</f>
        <v/>
      </c>
      <c r="E27" s="19">
        <f>IF(A27=0,'Inputs'!$B$8,0)</f>
        <v/>
      </c>
      <c r="F27" s="28">
        <f>IF(AND(A27&gt;=1,A27&lt;='Inputs'!$B$10),B26-B27,0)</f>
        <v/>
      </c>
      <c r="G27" s="19">
        <f>IF(A27-'Inputs'!$B$14&gt;=1,INDEX($F$7:$F$67,A27-'Inputs'!$B$14+1)*'Inputs'!$B$13*'Inputs'!$B$15*'Inputs'!$B$7*(1-'Inputs'!$B$16),0)</f>
        <v/>
      </c>
      <c r="H27" s="19">
        <f>-IF(AND(A27&gt;=1,A27&lt;='Inputs'!$B$10),'Inputs'!$B$21*B27,0)</f>
        <v/>
      </c>
      <c r="I27" s="19">
        <f>-'Inputs'!$B$22*(D27+E27+G27)</f>
        <v/>
      </c>
      <c r="J27" s="19">
        <f>IF(A27='Inputs'!$B$24,'Inputs'!$B$23,0)</f>
        <v/>
      </c>
      <c r="K27" s="19">
        <f>IF(A27=0,-'Inputs'!$B$30,0)</f>
        <v/>
      </c>
      <c r="L27" s="19">
        <f>SUM(D27:K27)-F27</f>
        <v/>
      </c>
      <c r="M27" s="19">
        <f>M26+L27</f>
        <v/>
      </c>
      <c r="N27" s="28">
        <f>(1+'Inputs'!$B$25)^(-A27/12)</f>
        <v/>
      </c>
      <c r="O27" s="19">
        <f>L27*N27</f>
        <v/>
      </c>
      <c r="P27" s="19">
        <f>IF(AND(A27&gt;=1,M27&gt;=0),1,0)</f>
        <v/>
      </c>
    </row>
    <row r="28">
      <c r="A28" s="19" t="n">
        <v>21</v>
      </c>
      <c r="B28" s="21">
        <f>(1-'Inputs'!$B$11)^A28</f>
        <v/>
      </c>
      <c r="C28" s="19">
        <f>IF(AND(A28&gt;=1,A28&lt;='Inputs'!$B$10),'Inputs'!$B$28,0)</f>
        <v/>
      </c>
      <c r="D28" s="19">
        <f>IF(AND(A28&gt;=1,A28&lt;='Inputs'!$B$10),'Inputs'!$B$28*'Inputs'!$B$12*B28,0)</f>
        <v/>
      </c>
      <c r="E28" s="19">
        <f>IF(A28=0,'Inputs'!$B$8,0)</f>
        <v/>
      </c>
      <c r="F28" s="28">
        <f>IF(AND(A28&gt;=1,A28&lt;='Inputs'!$B$10),B27-B28,0)</f>
        <v/>
      </c>
      <c r="G28" s="19">
        <f>IF(A28-'Inputs'!$B$14&gt;=1,INDEX($F$7:$F$67,A28-'Inputs'!$B$14+1)*'Inputs'!$B$13*'Inputs'!$B$15*'Inputs'!$B$7*(1-'Inputs'!$B$16),0)</f>
        <v/>
      </c>
      <c r="H28" s="19">
        <f>-IF(AND(A28&gt;=1,A28&lt;='Inputs'!$B$10),'Inputs'!$B$21*B28,0)</f>
        <v/>
      </c>
      <c r="I28" s="19">
        <f>-'Inputs'!$B$22*(D28+E28+G28)</f>
        <v/>
      </c>
      <c r="J28" s="19">
        <f>IF(A28='Inputs'!$B$24,'Inputs'!$B$23,0)</f>
        <v/>
      </c>
      <c r="K28" s="19">
        <f>IF(A28=0,-'Inputs'!$B$30,0)</f>
        <v/>
      </c>
      <c r="L28" s="19">
        <f>SUM(D28:K28)-F28</f>
        <v/>
      </c>
      <c r="M28" s="19">
        <f>M27+L28</f>
        <v/>
      </c>
      <c r="N28" s="28">
        <f>(1+'Inputs'!$B$25)^(-A28/12)</f>
        <v/>
      </c>
      <c r="O28" s="19">
        <f>L28*N28</f>
        <v/>
      </c>
      <c r="P28" s="19">
        <f>IF(AND(A28&gt;=1,M28&gt;=0),1,0)</f>
        <v/>
      </c>
    </row>
    <row r="29">
      <c r="A29" s="19" t="n">
        <v>22</v>
      </c>
      <c r="B29" s="21">
        <f>(1-'Inputs'!$B$11)^A29</f>
        <v/>
      </c>
      <c r="C29" s="19">
        <f>IF(AND(A29&gt;=1,A29&lt;='Inputs'!$B$10),'Inputs'!$B$28,0)</f>
        <v/>
      </c>
      <c r="D29" s="19">
        <f>IF(AND(A29&gt;=1,A29&lt;='Inputs'!$B$10),'Inputs'!$B$28*'Inputs'!$B$12*B29,0)</f>
        <v/>
      </c>
      <c r="E29" s="19">
        <f>IF(A29=0,'Inputs'!$B$8,0)</f>
        <v/>
      </c>
      <c r="F29" s="28">
        <f>IF(AND(A29&gt;=1,A29&lt;='Inputs'!$B$10),B28-B29,0)</f>
        <v/>
      </c>
      <c r="G29" s="19">
        <f>IF(A29-'Inputs'!$B$14&gt;=1,INDEX($F$7:$F$67,A29-'Inputs'!$B$14+1)*'Inputs'!$B$13*'Inputs'!$B$15*'Inputs'!$B$7*(1-'Inputs'!$B$16),0)</f>
        <v/>
      </c>
      <c r="H29" s="19">
        <f>-IF(AND(A29&gt;=1,A29&lt;='Inputs'!$B$10),'Inputs'!$B$21*B29,0)</f>
        <v/>
      </c>
      <c r="I29" s="19">
        <f>-'Inputs'!$B$22*(D29+E29+G29)</f>
        <v/>
      </c>
      <c r="J29" s="19">
        <f>IF(A29='Inputs'!$B$24,'Inputs'!$B$23,0)</f>
        <v/>
      </c>
      <c r="K29" s="19">
        <f>IF(A29=0,-'Inputs'!$B$30,0)</f>
        <v/>
      </c>
      <c r="L29" s="19">
        <f>SUM(D29:K29)-F29</f>
        <v/>
      </c>
      <c r="M29" s="19">
        <f>M28+L29</f>
        <v/>
      </c>
      <c r="N29" s="28">
        <f>(1+'Inputs'!$B$25)^(-A29/12)</f>
        <v/>
      </c>
      <c r="O29" s="19">
        <f>L29*N29</f>
        <v/>
      </c>
      <c r="P29" s="19">
        <f>IF(AND(A29&gt;=1,M29&gt;=0),1,0)</f>
        <v/>
      </c>
    </row>
    <row r="30">
      <c r="A30" s="19" t="n">
        <v>23</v>
      </c>
      <c r="B30" s="21">
        <f>(1-'Inputs'!$B$11)^A30</f>
        <v/>
      </c>
      <c r="C30" s="19">
        <f>IF(AND(A30&gt;=1,A30&lt;='Inputs'!$B$10),'Inputs'!$B$28,0)</f>
        <v/>
      </c>
      <c r="D30" s="19">
        <f>IF(AND(A30&gt;=1,A30&lt;='Inputs'!$B$10),'Inputs'!$B$28*'Inputs'!$B$12*B30,0)</f>
        <v/>
      </c>
      <c r="E30" s="19">
        <f>IF(A30=0,'Inputs'!$B$8,0)</f>
        <v/>
      </c>
      <c r="F30" s="28">
        <f>IF(AND(A30&gt;=1,A30&lt;='Inputs'!$B$10),B29-B30,0)</f>
        <v/>
      </c>
      <c r="G30" s="19">
        <f>IF(A30-'Inputs'!$B$14&gt;=1,INDEX($F$7:$F$67,A30-'Inputs'!$B$14+1)*'Inputs'!$B$13*'Inputs'!$B$15*'Inputs'!$B$7*(1-'Inputs'!$B$16),0)</f>
        <v/>
      </c>
      <c r="H30" s="19">
        <f>-IF(AND(A30&gt;=1,A30&lt;='Inputs'!$B$10),'Inputs'!$B$21*B30,0)</f>
        <v/>
      </c>
      <c r="I30" s="19">
        <f>-'Inputs'!$B$22*(D30+E30+G30)</f>
        <v/>
      </c>
      <c r="J30" s="19">
        <f>IF(A30='Inputs'!$B$24,'Inputs'!$B$23,0)</f>
        <v/>
      </c>
      <c r="K30" s="19">
        <f>IF(A30=0,-'Inputs'!$B$30,0)</f>
        <v/>
      </c>
      <c r="L30" s="19">
        <f>SUM(D30:K30)-F30</f>
        <v/>
      </c>
      <c r="M30" s="19">
        <f>M29+L30</f>
        <v/>
      </c>
      <c r="N30" s="28">
        <f>(1+'Inputs'!$B$25)^(-A30/12)</f>
        <v/>
      </c>
      <c r="O30" s="19">
        <f>L30*N30</f>
        <v/>
      </c>
      <c r="P30" s="19">
        <f>IF(AND(A30&gt;=1,M30&gt;=0),1,0)</f>
        <v/>
      </c>
    </row>
    <row r="31">
      <c r="A31" s="19" t="n">
        <v>24</v>
      </c>
      <c r="B31" s="21">
        <f>(1-'Inputs'!$B$11)^A31</f>
        <v/>
      </c>
      <c r="C31" s="19">
        <f>IF(AND(A31&gt;=1,A31&lt;='Inputs'!$B$10),'Inputs'!$B$28,0)</f>
        <v/>
      </c>
      <c r="D31" s="19">
        <f>IF(AND(A31&gt;=1,A31&lt;='Inputs'!$B$10),'Inputs'!$B$28*'Inputs'!$B$12*B31,0)</f>
        <v/>
      </c>
      <c r="E31" s="19">
        <f>IF(A31=0,'Inputs'!$B$8,0)</f>
        <v/>
      </c>
      <c r="F31" s="28">
        <f>IF(AND(A31&gt;=1,A31&lt;='Inputs'!$B$10),B30-B31,0)</f>
        <v/>
      </c>
      <c r="G31" s="19">
        <f>IF(A31-'Inputs'!$B$14&gt;=1,INDEX($F$7:$F$67,A31-'Inputs'!$B$14+1)*'Inputs'!$B$13*'Inputs'!$B$15*'Inputs'!$B$7*(1-'Inputs'!$B$16),0)</f>
        <v/>
      </c>
      <c r="H31" s="19">
        <f>-IF(AND(A31&gt;=1,A31&lt;='Inputs'!$B$10),'Inputs'!$B$21*B31,0)</f>
        <v/>
      </c>
      <c r="I31" s="19">
        <f>-'Inputs'!$B$22*(D31+E31+G31)</f>
        <v/>
      </c>
      <c r="J31" s="19">
        <f>IF(A31='Inputs'!$B$24,'Inputs'!$B$23,0)</f>
        <v/>
      </c>
      <c r="K31" s="19">
        <f>IF(A31=0,-'Inputs'!$B$30,0)</f>
        <v/>
      </c>
      <c r="L31" s="19">
        <f>SUM(D31:K31)-F31</f>
        <v/>
      </c>
      <c r="M31" s="19">
        <f>M30+L31</f>
        <v/>
      </c>
      <c r="N31" s="28">
        <f>(1+'Inputs'!$B$25)^(-A31/12)</f>
        <v/>
      </c>
      <c r="O31" s="19">
        <f>L31*N31</f>
        <v/>
      </c>
      <c r="P31" s="19">
        <f>IF(AND(A31&gt;=1,M31&gt;=0),1,0)</f>
        <v/>
      </c>
    </row>
    <row r="32">
      <c r="A32" s="19" t="n">
        <v>25</v>
      </c>
      <c r="B32" s="21">
        <f>(1-'Inputs'!$B$11)^A32</f>
        <v/>
      </c>
      <c r="C32" s="19">
        <f>IF(AND(A32&gt;=1,A32&lt;='Inputs'!$B$10),'Inputs'!$B$28,0)</f>
        <v/>
      </c>
      <c r="D32" s="19">
        <f>IF(AND(A32&gt;=1,A32&lt;='Inputs'!$B$10),'Inputs'!$B$28*'Inputs'!$B$12*B32,0)</f>
        <v/>
      </c>
      <c r="E32" s="19">
        <f>IF(A32=0,'Inputs'!$B$8,0)</f>
        <v/>
      </c>
      <c r="F32" s="28">
        <f>IF(AND(A32&gt;=1,A32&lt;='Inputs'!$B$10),B31-B32,0)</f>
        <v/>
      </c>
      <c r="G32" s="19">
        <f>IF(A32-'Inputs'!$B$14&gt;=1,INDEX($F$7:$F$67,A32-'Inputs'!$B$14+1)*'Inputs'!$B$13*'Inputs'!$B$15*'Inputs'!$B$7*(1-'Inputs'!$B$16),0)</f>
        <v/>
      </c>
      <c r="H32" s="19">
        <f>-IF(AND(A32&gt;=1,A32&lt;='Inputs'!$B$10),'Inputs'!$B$21*B32,0)</f>
        <v/>
      </c>
      <c r="I32" s="19">
        <f>-'Inputs'!$B$22*(D32+E32+G32)</f>
        <v/>
      </c>
      <c r="J32" s="19">
        <f>IF(A32='Inputs'!$B$24,'Inputs'!$B$23,0)</f>
        <v/>
      </c>
      <c r="K32" s="19">
        <f>IF(A32=0,-'Inputs'!$B$30,0)</f>
        <v/>
      </c>
      <c r="L32" s="19">
        <f>SUM(D32:K32)-F32</f>
        <v/>
      </c>
      <c r="M32" s="19">
        <f>M31+L32</f>
        <v/>
      </c>
      <c r="N32" s="28">
        <f>(1+'Inputs'!$B$25)^(-A32/12)</f>
        <v/>
      </c>
      <c r="O32" s="19">
        <f>L32*N32</f>
        <v/>
      </c>
      <c r="P32" s="19">
        <f>IF(AND(A32&gt;=1,M32&gt;=0),1,0)</f>
        <v/>
      </c>
    </row>
    <row r="33">
      <c r="A33" s="19" t="n">
        <v>26</v>
      </c>
      <c r="B33" s="21">
        <f>(1-'Inputs'!$B$11)^A33</f>
        <v/>
      </c>
      <c r="C33" s="19">
        <f>IF(AND(A33&gt;=1,A33&lt;='Inputs'!$B$10),'Inputs'!$B$28,0)</f>
        <v/>
      </c>
      <c r="D33" s="19">
        <f>IF(AND(A33&gt;=1,A33&lt;='Inputs'!$B$10),'Inputs'!$B$28*'Inputs'!$B$12*B33,0)</f>
        <v/>
      </c>
      <c r="E33" s="19">
        <f>IF(A33=0,'Inputs'!$B$8,0)</f>
        <v/>
      </c>
      <c r="F33" s="28">
        <f>IF(AND(A33&gt;=1,A33&lt;='Inputs'!$B$10),B32-B33,0)</f>
        <v/>
      </c>
      <c r="G33" s="19">
        <f>IF(A33-'Inputs'!$B$14&gt;=1,INDEX($F$7:$F$67,A33-'Inputs'!$B$14+1)*'Inputs'!$B$13*'Inputs'!$B$15*'Inputs'!$B$7*(1-'Inputs'!$B$16),0)</f>
        <v/>
      </c>
      <c r="H33" s="19">
        <f>-IF(AND(A33&gt;=1,A33&lt;='Inputs'!$B$10),'Inputs'!$B$21*B33,0)</f>
        <v/>
      </c>
      <c r="I33" s="19">
        <f>-'Inputs'!$B$22*(D33+E33+G33)</f>
        <v/>
      </c>
      <c r="J33" s="19">
        <f>IF(A33='Inputs'!$B$24,'Inputs'!$B$23,0)</f>
        <v/>
      </c>
      <c r="K33" s="19">
        <f>IF(A33=0,-'Inputs'!$B$30,0)</f>
        <v/>
      </c>
      <c r="L33" s="19">
        <f>SUM(D33:K33)-F33</f>
        <v/>
      </c>
      <c r="M33" s="19">
        <f>M32+L33</f>
        <v/>
      </c>
      <c r="N33" s="28">
        <f>(1+'Inputs'!$B$25)^(-A33/12)</f>
        <v/>
      </c>
      <c r="O33" s="19">
        <f>L33*N33</f>
        <v/>
      </c>
      <c r="P33" s="19">
        <f>IF(AND(A33&gt;=1,M33&gt;=0),1,0)</f>
        <v/>
      </c>
    </row>
    <row r="34">
      <c r="A34" s="19" t="n">
        <v>27</v>
      </c>
      <c r="B34" s="21">
        <f>(1-'Inputs'!$B$11)^A34</f>
        <v/>
      </c>
      <c r="C34" s="19">
        <f>IF(AND(A34&gt;=1,A34&lt;='Inputs'!$B$10),'Inputs'!$B$28,0)</f>
        <v/>
      </c>
      <c r="D34" s="19">
        <f>IF(AND(A34&gt;=1,A34&lt;='Inputs'!$B$10),'Inputs'!$B$28*'Inputs'!$B$12*B34,0)</f>
        <v/>
      </c>
      <c r="E34" s="19">
        <f>IF(A34=0,'Inputs'!$B$8,0)</f>
        <v/>
      </c>
      <c r="F34" s="28">
        <f>IF(AND(A34&gt;=1,A34&lt;='Inputs'!$B$10),B33-B34,0)</f>
        <v/>
      </c>
      <c r="G34" s="19">
        <f>IF(A34-'Inputs'!$B$14&gt;=1,INDEX($F$7:$F$67,A34-'Inputs'!$B$14+1)*'Inputs'!$B$13*'Inputs'!$B$15*'Inputs'!$B$7*(1-'Inputs'!$B$16),0)</f>
        <v/>
      </c>
      <c r="H34" s="19">
        <f>-IF(AND(A34&gt;=1,A34&lt;='Inputs'!$B$10),'Inputs'!$B$21*B34,0)</f>
        <v/>
      </c>
      <c r="I34" s="19">
        <f>-'Inputs'!$B$22*(D34+E34+G34)</f>
        <v/>
      </c>
      <c r="J34" s="19">
        <f>IF(A34='Inputs'!$B$24,'Inputs'!$B$23,0)</f>
        <v/>
      </c>
      <c r="K34" s="19">
        <f>IF(A34=0,-'Inputs'!$B$30,0)</f>
        <v/>
      </c>
      <c r="L34" s="19">
        <f>SUM(D34:K34)-F34</f>
        <v/>
      </c>
      <c r="M34" s="19">
        <f>M33+L34</f>
        <v/>
      </c>
      <c r="N34" s="28">
        <f>(1+'Inputs'!$B$25)^(-A34/12)</f>
        <v/>
      </c>
      <c r="O34" s="19">
        <f>L34*N34</f>
        <v/>
      </c>
      <c r="P34" s="19">
        <f>IF(AND(A34&gt;=1,M34&gt;=0),1,0)</f>
        <v/>
      </c>
    </row>
    <row r="35">
      <c r="A35" s="19" t="n">
        <v>28</v>
      </c>
      <c r="B35" s="21">
        <f>(1-'Inputs'!$B$11)^A35</f>
        <v/>
      </c>
      <c r="C35" s="19">
        <f>IF(AND(A35&gt;=1,A35&lt;='Inputs'!$B$10),'Inputs'!$B$28,0)</f>
        <v/>
      </c>
      <c r="D35" s="19">
        <f>IF(AND(A35&gt;=1,A35&lt;='Inputs'!$B$10),'Inputs'!$B$28*'Inputs'!$B$12*B35,0)</f>
        <v/>
      </c>
      <c r="E35" s="19">
        <f>IF(A35=0,'Inputs'!$B$8,0)</f>
        <v/>
      </c>
      <c r="F35" s="28">
        <f>IF(AND(A35&gt;=1,A35&lt;='Inputs'!$B$10),B34-B35,0)</f>
        <v/>
      </c>
      <c r="G35" s="19">
        <f>IF(A35-'Inputs'!$B$14&gt;=1,INDEX($F$7:$F$67,A35-'Inputs'!$B$14+1)*'Inputs'!$B$13*'Inputs'!$B$15*'Inputs'!$B$7*(1-'Inputs'!$B$16),0)</f>
        <v/>
      </c>
      <c r="H35" s="19">
        <f>-IF(AND(A35&gt;=1,A35&lt;='Inputs'!$B$10),'Inputs'!$B$21*B35,0)</f>
        <v/>
      </c>
      <c r="I35" s="19">
        <f>-'Inputs'!$B$22*(D35+E35+G35)</f>
        <v/>
      </c>
      <c r="J35" s="19">
        <f>IF(A35='Inputs'!$B$24,'Inputs'!$B$23,0)</f>
        <v/>
      </c>
      <c r="K35" s="19">
        <f>IF(A35=0,-'Inputs'!$B$30,0)</f>
        <v/>
      </c>
      <c r="L35" s="19">
        <f>SUM(D35:K35)-F35</f>
        <v/>
      </c>
      <c r="M35" s="19">
        <f>M34+L35</f>
        <v/>
      </c>
      <c r="N35" s="28">
        <f>(1+'Inputs'!$B$25)^(-A35/12)</f>
        <v/>
      </c>
      <c r="O35" s="19">
        <f>L35*N35</f>
        <v/>
      </c>
      <c r="P35" s="19">
        <f>IF(AND(A35&gt;=1,M35&gt;=0),1,0)</f>
        <v/>
      </c>
    </row>
    <row r="36">
      <c r="A36" s="19" t="n">
        <v>29</v>
      </c>
      <c r="B36" s="21">
        <f>(1-'Inputs'!$B$11)^A36</f>
        <v/>
      </c>
      <c r="C36" s="19">
        <f>IF(AND(A36&gt;=1,A36&lt;='Inputs'!$B$10),'Inputs'!$B$28,0)</f>
        <v/>
      </c>
      <c r="D36" s="19">
        <f>IF(AND(A36&gt;=1,A36&lt;='Inputs'!$B$10),'Inputs'!$B$28*'Inputs'!$B$12*B36,0)</f>
        <v/>
      </c>
      <c r="E36" s="19">
        <f>IF(A36=0,'Inputs'!$B$8,0)</f>
        <v/>
      </c>
      <c r="F36" s="28">
        <f>IF(AND(A36&gt;=1,A36&lt;='Inputs'!$B$10),B35-B36,0)</f>
        <v/>
      </c>
      <c r="G36" s="19">
        <f>IF(A36-'Inputs'!$B$14&gt;=1,INDEX($F$7:$F$67,A36-'Inputs'!$B$14+1)*'Inputs'!$B$13*'Inputs'!$B$15*'Inputs'!$B$7*(1-'Inputs'!$B$16),0)</f>
        <v/>
      </c>
      <c r="H36" s="19">
        <f>-IF(AND(A36&gt;=1,A36&lt;='Inputs'!$B$10),'Inputs'!$B$21*B36,0)</f>
        <v/>
      </c>
      <c r="I36" s="19">
        <f>-'Inputs'!$B$22*(D36+E36+G36)</f>
        <v/>
      </c>
      <c r="J36" s="19">
        <f>IF(A36='Inputs'!$B$24,'Inputs'!$B$23,0)</f>
        <v/>
      </c>
      <c r="K36" s="19">
        <f>IF(A36=0,-'Inputs'!$B$30,0)</f>
        <v/>
      </c>
      <c r="L36" s="19">
        <f>SUM(D36:K36)-F36</f>
        <v/>
      </c>
      <c r="M36" s="19">
        <f>M35+L36</f>
        <v/>
      </c>
      <c r="N36" s="28">
        <f>(1+'Inputs'!$B$25)^(-A36/12)</f>
        <v/>
      </c>
      <c r="O36" s="19">
        <f>L36*N36</f>
        <v/>
      </c>
      <c r="P36" s="19">
        <f>IF(AND(A36&gt;=1,M36&gt;=0),1,0)</f>
        <v/>
      </c>
    </row>
    <row r="37">
      <c r="A37" s="19" t="n">
        <v>30</v>
      </c>
      <c r="B37" s="21">
        <f>(1-'Inputs'!$B$11)^A37</f>
        <v/>
      </c>
      <c r="C37" s="19">
        <f>IF(AND(A37&gt;=1,A37&lt;='Inputs'!$B$10),'Inputs'!$B$28,0)</f>
        <v/>
      </c>
      <c r="D37" s="19">
        <f>IF(AND(A37&gt;=1,A37&lt;='Inputs'!$B$10),'Inputs'!$B$28*'Inputs'!$B$12*B37,0)</f>
        <v/>
      </c>
      <c r="E37" s="19">
        <f>IF(A37=0,'Inputs'!$B$8,0)</f>
        <v/>
      </c>
      <c r="F37" s="28">
        <f>IF(AND(A37&gt;=1,A37&lt;='Inputs'!$B$10),B36-B37,0)</f>
        <v/>
      </c>
      <c r="G37" s="19">
        <f>IF(A37-'Inputs'!$B$14&gt;=1,INDEX($F$7:$F$67,A37-'Inputs'!$B$14+1)*'Inputs'!$B$13*'Inputs'!$B$15*'Inputs'!$B$7*(1-'Inputs'!$B$16),0)</f>
        <v/>
      </c>
      <c r="H37" s="19">
        <f>-IF(AND(A37&gt;=1,A37&lt;='Inputs'!$B$10),'Inputs'!$B$21*B37,0)</f>
        <v/>
      </c>
      <c r="I37" s="19">
        <f>-'Inputs'!$B$22*(D37+E37+G37)</f>
        <v/>
      </c>
      <c r="J37" s="19">
        <f>IF(A37='Inputs'!$B$24,'Inputs'!$B$23,0)</f>
        <v/>
      </c>
      <c r="K37" s="19">
        <f>IF(A37=0,-'Inputs'!$B$30,0)</f>
        <v/>
      </c>
      <c r="L37" s="19">
        <f>SUM(D37:K37)-F37</f>
        <v/>
      </c>
      <c r="M37" s="19">
        <f>M36+L37</f>
        <v/>
      </c>
      <c r="N37" s="28">
        <f>(1+'Inputs'!$B$25)^(-A37/12)</f>
        <v/>
      </c>
      <c r="O37" s="19">
        <f>L37*N37</f>
        <v/>
      </c>
      <c r="P37" s="19">
        <f>IF(AND(A37&gt;=1,M37&gt;=0),1,0)</f>
        <v/>
      </c>
    </row>
    <row r="38">
      <c r="A38" s="19" t="n">
        <v>31</v>
      </c>
      <c r="B38" s="21">
        <f>(1-'Inputs'!$B$11)^A38</f>
        <v/>
      </c>
      <c r="C38" s="19">
        <f>IF(AND(A38&gt;=1,A38&lt;='Inputs'!$B$10),'Inputs'!$B$28,0)</f>
        <v/>
      </c>
      <c r="D38" s="19">
        <f>IF(AND(A38&gt;=1,A38&lt;='Inputs'!$B$10),'Inputs'!$B$28*'Inputs'!$B$12*B38,0)</f>
        <v/>
      </c>
      <c r="E38" s="19">
        <f>IF(A38=0,'Inputs'!$B$8,0)</f>
        <v/>
      </c>
      <c r="F38" s="28">
        <f>IF(AND(A38&gt;=1,A38&lt;='Inputs'!$B$10),B37-B38,0)</f>
        <v/>
      </c>
      <c r="G38" s="19">
        <f>IF(A38-'Inputs'!$B$14&gt;=1,INDEX($F$7:$F$67,A38-'Inputs'!$B$14+1)*'Inputs'!$B$13*'Inputs'!$B$15*'Inputs'!$B$7*(1-'Inputs'!$B$16),0)</f>
        <v/>
      </c>
      <c r="H38" s="19">
        <f>-IF(AND(A38&gt;=1,A38&lt;='Inputs'!$B$10),'Inputs'!$B$21*B38,0)</f>
        <v/>
      </c>
      <c r="I38" s="19">
        <f>-'Inputs'!$B$22*(D38+E38+G38)</f>
        <v/>
      </c>
      <c r="J38" s="19">
        <f>IF(A38='Inputs'!$B$24,'Inputs'!$B$23,0)</f>
        <v/>
      </c>
      <c r="K38" s="19">
        <f>IF(A38=0,-'Inputs'!$B$30,0)</f>
        <v/>
      </c>
      <c r="L38" s="19">
        <f>SUM(D38:K38)-F38</f>
        <v/>
      </c>
      <c r="M38" s="19">
        <f>M37+L38</f>
        <v/>
      </c>
      <c r="N38" s="28">
        <f>(1+'Inputs'!$B$25)^(-A38/12)</f>
        <v/>
      </c>
      <c r="O38" s="19">
        <f>L38*N38</f>
        <v/>
      </c>
      <c r="P38" s="19">
        <f>IF(AND(A38&gt;=1,M38&gt;=0),1,0)</f>
        <v/>
      </c>
    </row>
    <row r="39">
      <c r="A39" s="19" t="n">
        <v>32</v>
      </c>
      <c r="B39" s="21">
        <f>(1-'Inputs'!$B$11)^A39</f>
        <v/>
      </c>
      <c r="C39" s="19">
        <f>IF(AND(A39&gt;=1,A39&lt;='Inputs'!$B$10),'Inputs'!$B$28,0)</f>
        <v/>
      </c>
      <c r="D39" s="19">
        <f>IF(AND(A39&gt;=1,A39&lt;='Inputs'!$B$10),'Inputs'!$B$28*'Inputs'!$B$12*B39,0)</f>
        <v/>
      </c>
      <c r="E39" s="19">
        <f>IF(A39=0,'Inputs'!$B$8,0)</f>
        <v/>
      </c>
      <c r="F39" s="28">
        <f>IF(AND(A39&gt;=1,A39&lt;='Inputs'!$B$10),B38-B39,0)</f>
        <v/>
      </c>
      <c r="G39" s="19">
        <f>IF(A39-'Inputs'!$B$14&gt;=1,INDEX($F$7:$F$67,A39-'Inputs'!$B$14+1)*'Inputs'!$B$13*'Inputs'!$B$15*'Inputs'!$B$7*(1-'Inputs'!$B$16),0)</f>
        <v/>
      </c>
      <c r="H39" s="19">
        <f>-IF(AND(A39&gt;=1,A39&lt;='Inputs'!$B$10),'Inputs'!$B$21*B39,0)</f>
        <v/>
      </c>
      <c r="I39" s="19">
        <f>-'Inputs'!$B$22*(D39+E39+G39)</f>
        <v/>
      </c>
      <c r="J39" s="19">
        <f>IF(A39='Inputs'!$B$24,'Inputs'!$B$23,0)</f>
        <v/>
      </c>
      <c r="K39" s="19">
        <f>IF(A39=0,-'Inputs'!$B$30,0)</f>
        <v/>
      </c>
      <c r="L39" s="19">
        <f>SUM(D39:K39)-F39</f>
        <v/>
      </c>
      <c r="M39" s="19">
        <f>M38+L39</f>
        <v/>
      </c>
      <c r="N39" s="28">
        <f>(1+'Inputs'!$B$25)^(-A39/12)</f>
        <v/>
      </c>
      <c r="O39" s="19">
        <f>L39*N39</f>
        <v/>
      </c>
      <c r="P39" s="19">
        <f>IF(AND(A39&gt;=1,M39&gt;=0),1,0)</f>
        <v/>
      </c>
    </row>
    <row r="40">
      <c r="A40" s="19" t="n">
        <v>33</v>
      </c>
      <c r="B40" s="21">
        <f>(1-'Inputs'!$B$11)^A40</f>
        <v/>
      </c>
      <c r="C40" s="19">
        <f>IF(AND(A40&gt;=1,A40&lt;='Inputs'!$B$10),'Inputs'!$B$28,0)</f>
        <v/>
      </c>
      <c r="D40" s="19">
        <f>IF(AND(A40&gt;=1,A40&lt;='Inputs'!$B$10),'Inputs'!$B$28*'Inputs'!$B$12*B40,0)</f>
        <v/>
      </c>
      <c r="E40" s="19">
        <f>IF(A40=0,'Inputs'!$B$8,0)</f>
        <v/>
      </c>
      <c r="F40" s="28">
        <f>IF(AND(A40&gt;=1,A40&lt;='Inputs'!$B$10),B39-B40,0)</f>
        <v/>
      </c>
      <c r="G40" s="19">
        <f>IF(A40-'Inputs'!$B$14&gt;=1,INDEX($F$7:$F$67,A40-'Inputs'!$B$14+1)*'Inputs'!$B$13*'Inputs'!$B$15*'Inputs'!$B$7*(1-'Inputs'!$B$16),0)</f>
        <v/>
      </c>
      <c r="H40" s="19">
        <f>-IF(AND(A40&gt;=1,A40&lt;='Inputs'!$B$10),'Inputs'!$B$21*B40,0)</f>
        <v/>
      </c>
      <c r="I40" s="19">
        <f>-'Inputs'!$B$22*(D40+E40+G40)</f>
        <v/>
      </c>
      <c r="J40" s="19">
        <f>IF(A40='Inputs'!$B$24,'Inputs'!$B$23,0)</f>
        <v/>
      </c>
      <c r="K40" s="19">
        <f>IF(A40=0,-'Inputs'!$B$30,0)</f>
        <v/>
      </c>
      <c r="L40" s="19">
        <f>SUM(D40:K40)-F40</f>
        <v/>
      </c>
      <c r="M40" s="19">
        <f>M39+L40</f>
        <v/>
      </c>
      <c r="N40" s="28">
        <f>(1+'Inputs'!$B$25)^(-A40/12)</f>
        <v/>
      </c>
      <c r="O40" s="19">
        <f>L40*N40</f>
        <v/>
      </c>
      <c r="P40" s="19">
        <f>IF(AND(A40&gt;=1,M40&gt;=0),1,0)</f>
        <v/>
      </c>
    </row>
    <row r="41">
      <c r="A41" s="19" t="n">
        <v>34</v>
      </c>
      <c r="B41" s="21">
        <f>(1-'Inputs'!$B$11)^A41</f>
        <v/>
      </c>
      <c r="C41" s="19">
        <f>IF(AND(A41&gt;=1,A41&lt;='Inputs'!$B$10),'Inputs'!$B$28,0)</f>
        <v/>
      </c>
      <c r="D41" s="19">
        <f>IF(AND(A41&gt;=1,A41&lt;='Inputs'!$B$10),'Inputs'!$B$28*'Inputs'!$B$12*B41,0)</f>
        <v/>
      </c>
      <c r="E41" s="19">
        <f>IF(A41=0,'Inputs'!$B$8,0)</f>
        <v/>
      </c>
      <c r="F41" s="28">
        <f>IF(AND(A41&gt;=1,A41&lt;='Inputs'!$B$10),B40-B41,0)</f>
        <v/>
      </c>
      <c r="G41" s="19">
        <f>IF(A41-'Inputs'!$B$14&gt;=1,INDEX($F$7:$F$67,A41-'Inputs'!$B$14+1)*'Inputs'!$B$13*'Inputs'!$B$15*'Inputs'!$B$7*(1-'Inputs'!$B$16),0)</f>
        <v/>
      </c>
      <c r="H41" s="19">
        <f>-IF(AND(A41&gt;=1,A41&lt;='Inputs'!$B$10),'Inputs'!$B$21*B41,0)</f>
        <v/>
      </c>
      <c r="I41" s="19">
        <f>-'Inputs'!$B$22*(D41+E41+G41)</f>
        <v/>
      </c>
      <c r="J41" s="19">
        <f>IF(A41='Inputs'!$B$24,'Inputs'!$B$23,0)</f>
        <v/>
      </c>
      <c r="K41" s="19">
        <f>IF(A41=0,-'Inputs'!$B$30,0)</f>
        <v/>
      </c>
      <c r="L41" s="19">
        <f>SUM(D41:K41)-F41</f>
        <v/>
      </c>
      <c r="M41" s="19">
        <f>M40+L41</f>
        <v/>
      </c>
      <c r="N41" s="28">
        <f>(1+'Inputs'!$B$25)^(-A41/12)</f>
        <v/>
      </c>
      <c r="O41" s="19">
        <f>L41*N41</f>
        <v/>
      </c>
      <c r="P41" s="19">
        <f>IF(AND(A41&gt;=1,M41&gt;=0),1,0)</f>
        <v/>
      </c>
    </row>
    <row r="42">
      <c r="A42" s="19" t="n">
        <v>35</v>
      </c>
      <c r="B42" s="21">
        <f>(1-'Inputs'!$B$11)^A42</f>
        <v/>
      </c>
      <c r="C42" s="19">
        <f>IF(AND(A42&gt;=1,A42&lt;='Inputs'!$B$10),'Inputs'!$B$28,0)</f>
        <v/>
      </c>
      <c r="D42" s="19">
        <f>IF(AND(A42&gt;=1,A42&lt;='Inputs'!$B$10),'Inputs'!$B$28*'Inputs'!$B$12*B42,0)</f>
        <v/>
      </c>
      <c r="E42" s="19">
        <f>IF(A42=0,'Inputs'!$B$8,0)</f>
        <v/>
      </c>
      <c r="F42" s="28">
        <f>IF(AND(A42&gt;=1,A42&lt;='Inputs'!$B$10),B41-B42,0)</f>
        <v/>
      </c>
      <c r="G42" s="19">
        <f>IF(A42-'Inputs'!$B$14&gt;=1,INDEX($F$7:$F$67,A42-'Inputs'!$B$14+1)*'Inputs'!$B$13*'Inputs'!$B$15*'Inputs'!$B$7*(1-'Inputs'!$B$16),0)</f>
        <v/>
      </c>
      <c r="H42" s="19">
        <f>-IF(AND(A42&gt;=1,A42&lt;='Inputs'!$B$10),'Inputs'!$B$21*B42,0)</f>
        <v/>
      </c>
      <c r="I42" s="19">
        <f>-'Inputs'!$B$22*(D42+E42+G42)</f>
        <v/>
      </c>
      <c r="J42" s="19">
        <f>IF(A42='Inputs'!$B$24,'Inputs'!$B$23,0)</f>
        <v/>
      </c>
      <c r="K42" s="19">
        <f>IF(A42=0,-'Inputs'!$B$30,0)</f>
        <v/>
      </c>
      <c r="L42" s="19">
        <f>SUM(D42:K42)-F42</f>
        <v/>
      </c>
      <c r="M42" s="19">
        <f>M41+L42</f>
        <v/>
      </c>
      <c r="N42" s="28">
        <f>(1+'Inputs'!$B$25)^(-A42/12)</f>
        <v/>
      </c>
      <c r="O42" s="19">
        <f>L42*N42</f>
        <v/>
      </c>
      <c r="P42" s="19">
        <f>IF(AND(A42&gt;=1,M42&gt;=0),1,0)</f>
        <v/>
      </c>
    </row>
    <row r="43">
      <c r="A43" s="19" t="n">
        <v>36</v>
      </c>
      <c r="B43" s="21">
        <f>(1-'Inputs'!$B$11)^A43</f>
        <v/>
      </c>
      <c r="C43" s="19">
        <f>IF(AND(A43&gt;=1,A43&lt;='Inputs'!$B$10),'Inputs'!$B$28,0)</f>
        <v/>
      </c>
      <c r="D43" s="19">
        <f>IF(AND(A43&gt;=1,A43&lt;='Inputs'!$B$10),'Inputs'!$B$28*'Inputs'!$B$12*B43,0)</f>
        <v/>
      </c>
      <c r="E43" s="19">
        <f>IF(A43=0,'Inputs'!$B$8,0)</f>
        <v/>
      </c>
      <c r="F43" s="28">
        <f>IF(AND(A43&gt;=1,A43&lt;='Inputs'!$B$10),B42-B43,0)</f>
        <v/>
      </c>
      <c r="G43" s="19">
        <f>IF(A43-'Inputs'!$B$14&gt;=1,INDEX($F$7:$F$67,A43-'Inputs'!$B$14+1)*'Inputs'!$B$13*'Inputs'!$B$15*'Inputs'!$B$7*(1-'Inputs'!$B$16),0)</f>
        <v/>
      </c>
      <c r="H43" s="19">
        <f>-IF(AND(A43&gt;=1,A43&lt;='Inputs'!$B$10),'Inputs'!$B$21*B43,0)</f>
        <v/>
      </c>
      <c r="I43" s="19">
        <f>-'Inputs'!$B$22*(D43+E43+G43)</f>
        <v/>
      </c>
      <c r="J43" s="19">
        <f>IF(A43='Inputs'!$B$24,'Inputs'!$B$23,0)</f>
        <v/>
      </c>
      <c r="K43" s="19">
        <f>IF(A43=0,-'Inputs'!$B$30,0)</f>
        <v/>
      </c>
      <c r="L43" s="19">
        <f>SUM(D43:K43)-F43</f>
        <v/>
      </c>
      <c r="M43" s="19">
        <f>M42+L43</f>
        <v/>
      </c>
      <c r="N43" s="28">
        <f>(1+'Inputs'!$B$25)^(-A43/12)</f>
        <v/>
      </c>
      <c r="O43" s="19">
        <f>L43*N43</f>
        <v/>
      </c>
      <c r="P43" s="19">
        <f>IF(AND(A43&gt;=1,M43&gt;=0),1,0)</f>
        <v/>
      </c>
    </row>
    <row r="44">
      <c r="A44" s="19" t="n">
        <v>37</v>
      </c>
      <c r="B44" s="21">
        <f>(1-'Inputs'!$B$11)^A44</f>
        <v/>
      </c>
      <c r="C44" s="19">
        <f>IF(AND(A44&gt;=1,A44&lt;='Inputs'!$B$10),'Inputs'!$B$28,0)</f>
        <v/>
      </c>
      <c r="D44" s="19">
        <f>IF(AND(A44&gt;=1,A44&lt;='Inputs'!$B$10),'Inputs'!$B$28*'Inputs'!$B$12*B44,0)</f>
        <v/>
      </c>
      <c r="E44" s="19">
        <f>IF(A44=0,'Inputs'!$B$8,0)</f>
        <v/>
      </c>
      <c r="F44" s="28">
        <f>IF(AND(A44&gt;=1,A44&lt;='Inputs'!$B$10),B43-B44,0)</f>
        <v/>
      </c>
      <c r="G44" s="19">
        <f>IF(A44-'Inputs'!$B$14&gt;=1,INDEX($F$7:$F$67,A44-'Inputs'!$B$14+1)*'Inputs'!$B$13*'Inputs'!$B$15*'Inputs'!$B$7*(1-'Inputs'!$B$16),0)</f>
        <v/>
      </c>
      <c r="H44" s="19">
        <f>-IF(AND(A44&gt;=1,A44&lt;='Inputs'!$B$10),'Inputs'!$B$21*B44,0)</f>
        <v/>
      </c>
      <c r="I44" s="19">
        <f>-'Inputs'!$B$22*(D44+E44+G44)</f>
        <v/>
      </c>
      <c r="J44" s="19">
        <f>IF(A44='Inputs'!$B$24,'Inputs'!$B$23,0)</f>
        <v/>
      </c>
      <c r="K44" s="19">
        <f>IF(A44=0,-'Inputs'!$B$30,0)</f>
        <v/>
      </c>
      <c r="L44" s="19">
        <f>SUM(D44:K44)-F44</f>
        <v/>
      </c>
      <c r="M44" s="19">
        <f>M43+L44</f>
        <v/>
      </c>
      <c r="N44" s="28">
        <f>(1+'Inputs'!$B$25)^(-A44/12)</f>
        <v/>
      </c>
      <c r="O44" s="19">
        <f>L44*N44</f>
        <v/>
      </c>
      <c r="P44" s="19">
        <f>IF(AND(A44&gt;=1,M44&gt;=0),1,0)</f>
        <v/>
      </c>
    </row>
    <row r="45">
      <c r="A45" s="19" t="n">
        <v>38</v>
      </c>
      <c r="B45" s="21">
        <f>(1-'Inputs'!$B$11)^A45</f>
        <v/>
      </c>
      <c r="C45" s="19">
        <f>IF(AND(A45&gt;=1,A45&lt;='Inputs'!$B$10),'Inputs'!$B$28,0)</f>
        <v/>
      </c>
      <c r="D45" s="19">
        <f>IF(AND(A45&gt;=1,A45&lt;='Inputs'!$B$10),'Inputs'!$B$28*'Inputs'!$B$12*B45,0)</f>
        <v/>
      </c>
      <c r="E45" s="19">
        <f>IF(A45=0,'Inputs'!$B$8,0)</f>
        <v/>
      </c>
      <c r="F45" s="28">
        <f>IF(AND(A45&gt;=1,A45&lt;='Inputs'!$B$10),B44-B45,0)</f>
        <v/>
      </c>
      <c r="G45" s="19">
        <f>IF(A45-'Inputs'!$B$14&gt;=1,INDEX($F$7:$F$67,A45-'Inputs'!$B$14+1)*'Inputs'!$B$13*'Inputs'!$B$15*'Inputs'!$B$7*(1-'Inputs'!$B$16),0)</f>
        <v/>
      </c>
      <c r="H45" s="19">
        <f>-IF(AND(A45&gt;=1,A45&lt;='Inputs'!$B$10),'Inputs'!$B$21*B45,0)</f>
        <v/>
      </c>
      <c r="I45" s="19">
        <f>-'Inputs'!$B$22*(D45+E45+G45)</f>
        <v/>
      </c>
      <c r="J45" s="19">
        <f>IF(A45='Inputs'!$B$24,'Inputs'!$B$23,0)</f>
        <v/>
      </c>
      <c r="K45" s="19">
        <f>IF(A45=0,-'Inputs'!$B$30,0)</f>
        <v/>
      </c>
      <c r="L45" s="19">
        <f>SUM(D45:K45)-F45</f>
        <v/>
      </c>
      <c r="M45" s="19">
        <f>M44+L45</f>
        <v/>
      </c>
      <c r="N45" s="28">
        <f>(1+'Inputs'!$B$25)^(-A45/12)</f>
        <v/>
      </c>
      <c r="O45" s="19">
        <f>L45*N45</f>
        <v/>
      </c>
      <c r="P45" s="19">
        <f>IF(AND(A45&gt;=1,M45&gt;=0),1,0)</f>
        <v/>
      </c>
    </row>
    <row r="46">
      <c r="A46" s="19" t="n">
        <v>39</v>
      </c>
      <c r="B46" s="21">
        <f>(1-'Inputs'!$B$11)^A46</f>
        <v/>
      </c>
      <c r="C46" s="19">
        <f>IF(AND(A46&gt;=1,A46&lt;='Inputs'!$B$10),'Inputs'!$B$28,0)</f>
        <v/>
      </c>
      <c r="D46" s="19">
        <f>IF(AND(A46&gt;=1,A46&lt;='Inputs'!$B$10),'Inputs'!$B$28*'Inputs'!$B$12*B46,0)</f>
        <v/>
      </c>
      <c r="E46" s="19">
        <f>IF(A46=0,'Inputs'!$B$8,0)</f>
        <v/>
      </c>
      <c r="F46" s="28">
        <f>IF(AND(A46&gt;=1,A46&lt;='Inputs'!$B$10),B45-B46,0)</f>
        <v/>
      </c>
      <c r="G46" s="19">
        <f>IF(A46-'Inputs'!$B$14&gt;=1,INDEX($F$7:$F$67,A46-'Inputs'!$B$14+1)*'Inputs'!$B$13*'Inputs'!$B$15*'Inputs'!$B$7*(1-'Inputs'!$B$16),0)</f>
        <v/>
      </c>
      <c r="H46" s="19">
        <f>-IF(AND(A46&gt;=1,A46&lt;='Inputs'!$B$10),'Inputs'!$B$21*B46,0)</f>
        <v/>
      </c>
      <c r="I46" s="19">
        <f>-'Inputs'!$B$22*(D46+E46+G46)</f>
        <v/>
      </c>
      <c r="J46" s="19">
        <f>IF(A46='Inputs'!$B$24,'Inputs'!$B$23,0)</f>
        <v/>
      </c>
      <c r="K46" s="19">
        <f>IF(A46=0,-'Inputs'!$B$30,0)</f>
        <v/>
      </c>
      <c r="L46" s="19">
        <f>SUM(D46:K46)-F46</f>
        <v/>
      </c>
      <c r="M46" s="19">
        <f>M45+L46</f>
        <v/>
      </c>
      <c r="N46" s="28">
        <f>(1+'Inputs'!$B$25)^(-A46/12)</f>
        <v/>
      </c>
      <c r="O46" s="19">
        <f>L46*N46</f>
        <v/>
      </c>
      <c r="P46" s="19">
        <f>IF(AND(A46&gt;=1,M46&gt;=0),1,0)</f>
        <v/>
      </c>
    </row>
    <row r="47">
      <c r="A47" s="19" t="n">
        <v>40</v>
      </c>
      <c r="B47" s="21">
        <f>(1-'Inputs'!$B$11)^A47</f>
        <v/>
      </c>
      <c r="C47" s="19">
        <f>IF(AND(A47&gt;=1,A47&lt;='Inputs'!$B$10),'Inputs'!$B$28,0)</f>
        <v/>
      </c>
      <c r="D47" s="19">
        <f>IF(AND(A47&gt;=1,A47&lt;='Inputs'!$B$10),'Inputs'!$B$28*'Inputs'!$B$12*B47,0)</f>
        <v/>
      </c>
      <c r="E47" s="19">
        <f>IF(A47=0,'Inputs'!$B$8,0)</f>
        <v/>
      </c>
      <c r="F47" s="28">
        <f>IF(AND(A47&gt;=1,A47&lt;='Inputs'!$B$10),B46-B47,0)</f>
        <v/>
      </c>
      <c r="G47" s="19">
        <f>IF(A47-'Inputs'!$B$14&gt;=1,INDEX($F$7:$F$67,A47-'Inputs'!$B$14+1)*'Inputs'!$B$13*'Inputs'!$B$15*'Inputs'!$B$7*(1-'Inputs'!$B$16),0)</f>
        <v/>
      </c>
      <c r="H47" s="19">
        <f>-IF(AND(A47&gt;=1,A47&lt;='Inputs'!$B$10),'Inputs'!$B$21*B47,0)</f>
        <v/>
      </c>
      <c r="I47" s="19">
        <f>-'Inputs'!$B$22*(D47+E47+G47)</f>
        <v/>
      </c>
      <c r="J47" s="19">
        <f>IF(A47='Inputs'!$B$24,'Inputs'!$B$23,0)</f>
        <v/>
      </c>
      <c r="K47" s="19">
        <f>IF(A47=0,-'Inputs'!$B$30,0)</f>
        <v/>
      </c>
      <c r="L47" s="19">
        <f>SUM(D47:K47)-F47</f>
        <v/>
      </c>
      <c r="M47" s="19">
        <f>M46+L47</f>
        <v/>
      </c>
      <c r="N47" s="28">
        <f>(1+'Inputs'!$B$25)^(-A47/12)</f>
        <v/>
      </c>
      <c r="O47" s="19">
        <f>L47*N47</f>
        <v/>
      </c>
      <c r="P47" s="19">
        <f>IF(AND(A47&gt;=1,M47&gt;=0),1,0)</f>
        <v/>
      </c>
    </row>
    <row r="48">
      <c r="A48" s="19" t="n">
        <v>41</v>
      </c>
      <c r="B48" s="21">
        <f>(1-'Inputs'!$B$11)^A48</f>
        <v/>
      </c>
      <c r="C48" s="19">
        <f>IF(AND(A48&gt;=1,A48&lt;='Inputs'!$B$10),'Inputs'!$B$28,0)</f>
        <v/>
      </c>
      <c r="D48" s="19">
        <f>IF(AND(A48&gt;=1,A48&lt;='Inputs'!$B$10),'Inputs'!$B$28*'Inputs'!$B$12*B48,0)</f>
        <v/>
      </c>
      <c r="E48" s="19">
        <f>IF(A48=0,'Inputs'!$B$8,0)</f>
        <v/>
      </c>
      <c r="F48" s="28">
        <f>IF(AND(A48&gt;=1,A48&lt;='Inputs'!$B$10),B47-B48,0)</f>
        <v/>
      </c>
      <c r="G48" s="19">
        <f>IF(A48-'Inputs'!$B$14&gt;=1,INDEX($F$7:$F$67,A48-'Inputs'!$B$14+1)*'Inputs'!$B$13*'Inputs'!$B$15*'Inputs'!$B$7*(1-'Inputs'!$B$16),0)</f>
        <v/>
      </c>
      <c r="H48" s="19">
        <f>-IF(AND(A48&gt;=1,A48&lt;='Inputs'!$B$10),'Inputs'!$B$21*B48,0)</f>
        <v/>
      </c>
      <c r="I48" s="19">
        <f>-'Inputs'!$B$22*(D48+E48+G48)</f>
        <v/>
      </c>
      <c r="J48" s="19">
        <f>IF(A48='Inputs'!$B$24,'Inputs'!$B$23,0)</f>
        <v/>
      </c>
      <c r="K48" s="19">
        <f>IF(A48=0,-'Inputs'!$B$30,0)</f>
        <v/>
      </c>
      <c r="L48" s="19">
        <f>SUM(D48:K48)-F48</f>
        <v/>
      </c>
      <c r="M48" s="19">
        <f>M47+L48</f>
        <v/>
      </c>
      <c r="N48" s="28">
        <f>(1+'Inputs'!$B$25)^(-A48/12)</f>
        <v/>
      </c>
      <c r="O48" s="19">
        <f>L48*N48</f>
        <v/>
      </c>
      <c r="P48" s="19">
        <f>IF(AND(A48&gt;=1,M48&gt;=0),1,0)</f>
        <v/>
      </c>
    </row>
    <row r="49">
      <c r="A49" s="19" t="n">
        <v>42</v>
      </c>
      <c r="B49" s="21">
        <f>(1-'Inputs'!$B$11)^A49</f>
        <v/>
      </c>
      <c r="C49" s="19">
        <f>IF(AND(A49&gt;=1,A49&lt;='Inputs'!$B$10),'Inputs'!$B$28,0)</f>
        <v/>
      </c>
      <c r="D49" s="19">
        <f>IF(AND(A49&gt;=1,A49&lt;='Inputs'!$B$10),'Inputs'!$B$28*'Inputs'!$B$12*B49,0)</f>
        <v/>
      </c>
      <c r="E49" s="19">
        <f>IF(A49=0,'Inputs'!$B$8,0)</f>
        <v/>
      </c>
      <c r="F49" s="28">
        <f>IF(AND(A49&gt;=1,A49&lt;='Inputs'!$B$10),B48-B49,0)</f>
        <v/>
      </c>
      <c r="G49" s="19">
        <f>IF(A49-'Inputs'!$B$14&gt;=1,INDEX($F$7:$F$67,A49-'Inputs'!$B$14+1)*'Inputs'!$B$13*'Inputs'!$B$15*'Inputs'!$B$7*(1-'Inputs'!$B$16),0)</f>
        <v/>
      </c>
      <c r="H49" s="19">
        <f>-IF(AND(A49&gt;=1,A49&lt;='Inputs'!$B$10),'Inputs'!$B$21*B49,0)</f>
        <v/>
      </c>
      <c r="I49" s="19">
        <f>-'Inputs'!$B$22*(D49+E49+G49)</f>
        <v/>
      </c>
      <c r="J49" s="19">
        <f>IF(A49='Inputs'!$B$24,'Inputs'!$B$23,0)</f>
        <v/>
      </c>
      <c r="K49" s="19">
        <f>IF(A49=0,-'Inputs'!$B$30,0)</f>
        <v/>
      </c>
      <c r="L49" s="19">
        <f>SUM(D49:K49)-F49</f>
        <v/>
      </c>
      <c r="M49" s="19">
        <f>M48+L49</f>
        <v/>
      </c>
      <c r="N49" s="28">
        <f>(1+'Inputs'!$B$25)^(-A49/12)</f>
        <v/>
      </c>
      <c r="O49" s="19">
        <f>L49*N49</f>
        <v/>
      </c>
      <c r="P49" s="19">
        <f>IF(AND(A49&gt;=1,M49&gt;=0),1,0)</f>
        <v/>
      </c>
    </row>
    <row r="50">
      <c r="A50" s="19" t="n">
        <v>43</v>
      </c>
      <c r="B50" s="21">
        <f>(1-'Inputs'!$B$11)^A50</f>
        <v/>
      </c>
      <c r="C50" s="19">
        <f>IF(AND(A50&gt;=1,A50&lt;='Inputs'!$B$10),'Inputs'!$B$28,0)</f>
        <v/>
      </c>
      <c r="D50" s="19">
        <f>IF(AND(A50&gt;=1,A50&lt;='Inputs'!$B$10),'Inputs'!$B$28*'Inputs'!$B$12*B50,0)</f>
        <v/>
      </c>
      <c r="E50" s="19">
        <f>IF(A50=0,'Inputs'!$B$8,0)</f>
        <v/>
      </c>
      <c r="F50" s="28">
        <f>IF(AND(A50&gt;=1,A50&lt;='Inputs'!$B$10),B49-B50,0)</f>
        <v/>
      </c>
      <c r="G50" s="19">
        <f>IF(A50-'Inputs'!$B$14&gt;=1,INDEX($F$7:$F$67,A50-'Inputs'!$B$14+1)*'Inputs'!$B$13*'Inputs'!$B$15*'Inputs'!$B$7*(1-'Inputs'!$B$16),0)</f>
        <v/>
      </c>
      <c r="H50" s="19">
        <f>-IF(AND(A50&gt;=1,A50&lt;='Inputs'!$B$10),'Inputs'!$B$21*B50,0)</f>
        <v/>
      </c>
      <c r="I50" s="19">
        <f>-'Inputs'!$B$22*(D50+E50+G50)</f>
        <v/>
      </c>
      <c r="J50" s="19">
        <f>IF(A50='Inputs'!$B$24,'Inputs'!$B$23,0)</f>
        <v/>
      </c>
      <c r="K50" s="19">
        <f>IF(A50=0,-'Inputs'!$B$30,0)</f>
        <v/>
      </c>
      <c r="L50" s="19">
        <f>SUM(D50:K50)-F50</f>
        <v/>
      </c>
      <c r="M50" s="19">
        <f>M49+L50</f>
        <v/>
      </c>
      <c r="N50" s="28">
        <f>(1+'Inputs'!$B$25)^(-A50/12)</f>
        <v/>
      </c>
      <c r="O50" s="19">
        <f>L50*N50</f>
        <v/>
      </c>
      <c r="P50" s="19">
        <f>IF(AND(A50&gt;=1,M50&gt;=0),1,0)</f>
        <v/>
      </c>
    </row>
    <row r="51">
      <c r="A51" s="19" t="n">
        <v>44</v>
      </c>
      <c r="B51" s="21">
        <f>(1-'Inputs'!$B$11)^A51</f>
        <v/>
      </c>
      <c r="C51" s="19">
        <f>IF(AND(A51&gt;=1,A51&lt;='Inputs'!$B$10),'Inputs'!$B$28,0)</f>
        <v/>
      </c>
      <c r="D51" s="19">
        <f>IF(AND(A51&gt;=1,A51&lt;='Inputs'!$B$10),'Inputs'!$B$28*'Inputs'!$B$12*B51,0)</f>
        <v/>
      </c>
      <c r="E51" s="19">
        <f>IF(A51=0,'Inputs'!$B$8,0)</f>
        <v/>
      </c>
      <c r="F51" s="28">
        <f>IF(AND(A51&gt;=1,A51&lt;='Inputs'!$B$10),B50-B51,0)</f>
        <v/>
      </c>
      <c r="G51" s="19">
        <f>IF(A51-'Inputs'!$B$14&gt;=1,INDEX($F$7:$F$67,A51-'Inputs'!$B$14+1)*'Inputs'!$B$13*'Inputs'!$B$15*'Inputs'!$B$7*(1-'Inputs'!$B$16),0)</f>
        <v/>
      </c>
      <c r="H51" s="19">
        <f>-IF(AND(A51&gt;=1,A51&lt;='Inputs'!$B$10),'Inputs'!$B$21*B51,0)</f>
        <v/>
      </c>
      <c r="I51" s="19">
        <f>-'Inputs'!$B$22*(D51+E51+G51)</f>
        <v/>
      </c>
      <c r="J51" s="19">
        <f>IF(A51='Inputs'!$B$24,'Inputs'!$B$23,0)</f>
        <v/>
      </c>
      <c r="K51" s="19">
        <f>IF(A51=0,-'Inputs'!$B$30,0)</f>
        <v/>
      </c>
      <c r="L51" s="19">
        <f>SUM(D51:K51)-F51</f>
        <v/>
      </c>
      <c r="M51" s="19">
        <f>M50+L51</f>
        <v/>
      </c>
      <c r="N51" s="28">
        <f>(1+'Inputs'!$B$25)^(-A51/12)</f>
        <v/>
      </c>
      <c r="O51" s="19">
        <f>L51*N51</f>
        <v/>
      </c>
      <c r="P51" s="19">
        <f>IF(AND(A51&gt;=1,M51&gt;=0),1,0)</f>
        <v/>
      </c>
    </row>
    <row r="52">
      <c r="A52" s="19" t="n">
        <v>45</v>
      </c>
      <c r="B52" s="21">
        <f>(1-'Inputs'!$B$11)^A52</f>
        <v/>
      </c>
      <c r="C52" s="19">
        <f>IF(AND(A52&gt;=1,A52&lt;='Inputs'!$B$10),'Inputs'!$B$28,0)</f>
        <v/>
      </c>
      <c r="D52" s="19">
        <f>IF(AND(A52&gt;=1,A52&lt;='Inputs'!$B$10),'Inputs'!$B$28*'Inputs'!$B$12*B52,0)</f>
        <v/>
      </c>
      <c r="E52" s="19">
        <f>IF(A52=0,'Inputs'!$B$8,0)</f>
        <v/>
      </c>
      <c r="F52" s="28">
        <f>IF(AND(A52&gt;=1,A52&lt;='Inputs'!$B$10),B51-B52,0)</f>
        <v/>
      </c>
      <c r="G52" s="19">
        <f>IF(A52-'Inputs'!$B$14&gt;=1,INDEX($F$7:$F$67,A52-'Inputs'!$B$14+1)*'Inputs'!$B$13*'Inputs'!$B$15*'Inputs'!$B$7*(1-'Inputs'!$B$16),0)</f>
        <v/>
      </c>
      <c r="H52" s="19">
        <f>-IF(AND(A52&gt;=1,A52&lt;='Inputs'!$B$10),'Inputs'!$B$21*B52,0)</f>
        <v/>
      </c>
      <c r="I52" s="19">
        <f>-'Inputs'!$B$22*(D52+E52+G52)</f>
        <v/>
      </c>
      <c r="J52" s="19">
        <f>IF(A52='Inputs'!$B$24,'Inputs'!$B$23,0)</f>
        <v/>
      </c>
      <c r="K52" s="19">
        <f>IF(A52=0,-'Inputs'!$B$30,0)</f>
        <v/>
      </c>
      <c r="L52" s="19">
        <f>SUM(D52:K52)-F52</f>
        <v/>
      </c>
      <c r="M52" s="19">
        <f>M51+L52</f>
        <v/>
      </c>
      <c r="N52" s="28">
        <f>(1+'Inputs'!$B$25)^(-A52/12)</f>
        <v/>
      </c>
      <c r="O52" s="19">
        <f>L52*N52</f>
        <v/>
      </c>
      <c r="P52" s="19">
        <f>IF(AND(A52&gt;=1,M52&gt;=0),1,0)</f>
        <v/>
      </c>
    </row>
    <row r="53">
      <c r="A53" s="19" t="n">
        <v>46</v>
      </c>
      <c r="B53" s="21">
        <f>(1-'Inputs'!$B$11)^A53</f>
        <v/>
      </c>
      <c r="C53" s="19">
        <f>IF(AND(A53&gt;=1,A53&lt;='Inputs'!$B$10),'Inputs'!$B$28,0)</f>
        <v/>
      </c>
      <c r="D53" s="19">
        <f>IF(AND(A53&gt;=1,A53&lt;='Inputs'!$B$10),'Inputs'!$B$28*'Inputs'!$B$12*B53,0)</f>
        <v/>
      </c>
      <c r="E53" s="19">
        <f>IF(A53=0,'Inputs'!$B$8,0)</f>
        <v/>
      </c>
      <c r="F53" s="28">
        <f>IF(AND(A53&gt;=1,A53&lt;='Inputs'!$B$10),B52-B53,0)</f>
        <v/>
      </c>
      <c r="G53" s="19">
        <f>IF(A53-'Inputs'!$B$14&gt;=1,INDEX($F$7:$F$67,A53-'Inputs'!$B$14+1)*'Inputs'!$B$13*'Inputs'!$B$15*'Inputs'!$B$7*(1-'Inputs'!$B$16),0)</f>
        <v/>
      </c>
      <c r="H53" s="19">
        <f>-IF(AND(A53&gt;=1,A53&lt;='Inputs'!$B$10),'Inputs'!$B$21*B53,0)</f>
        <v/>
      </c>
      <c r="I53" s="19">
        <f>-'Inputs'!$B$22*(D53+E53+G53)</f>
        <v/>
      </c>
      <c r="J53" s="19">
        <f>IF(A53='Inputs'!$B$24,'Inputs'!$B$23,0)</f>
        <v/>
      </c>
      <c r="K53" s="19">
        <f>IF(A53=0,-'Inputs'!$B$30,0)</f>
        <v/>
      </c>
      <c r="L53" s="19">
        <f>SUM(D53:K53)-F53</f>
        <v/>
      </c>
      <c r="M53" s="19">
        <f>M52+L53</f>
        <v/>
      </c>
      <c r="N53" s="28">
        <f>(1+'Inputs'!$B$25)^(-A53/12)</f>
        <v/>
      </c>
      <c r="O53" s="19">
        <f>L53*N53</f>
        <v/>
      </c>
      <c r="P53" s="19">
        <f>IF(AND(A53&gt;=1,M53&gt;=0),1,0)</f>
        <v/>
      </c>
    </row>
    <row r="54">
      <c r="A54" s="19" t="n">
        <v>47</v>
      </c>
      <c r="B54" s="21">
        <f>(1-'Inputs'!$B$11)^A54</f>
        <v/>
      </c>
      <c r="C54" s="19">
        <f>IF(AND(A54&gt;=1,A54&lt;='Inputs'!$B$10),'Inputs'!$B$28,0)</f>
        <v/>
      </c>
      <c r="D54" s="19">
        <f>IF(AND(A54&gt;=1,A54&lt;='Inputs'!$B$10),'Inputs'!$B$28*'Inputs'!$B$12*B54,0)</f>
        <v/>
      </c>
      <c r="E54" s="19">
        <f>IF(A54=0,'Inputs'!$B$8,0)</f>
        <v/>
      </c>
      <c r="F54" s="28">
        <f>IF(AND(A54&gt;=1,A54&lt;='Inputs'!$B$10),B53-B54,0)</f>
        <v/>
      </c>
      <c r="G54" s="19">
        <f>IF(A54-'Inputs'!$B$14&gt;=1,INDEX($F$7:$F$67,A54-'Inputs'!$B$14+1)*'Inputs'!$B$13*'Inputs'!$B$15*'Inputs'!$B$7*(1-'Inputs'!$B$16),0)</f>
        <v/>
      </c>
      <c r="H54" s="19">
        <f>-IF(AND(A54&gt;=1,A54&lt;='Inputs'!$B$10),'Inputs'!$B$21*B54,0)</f>
        <v/>
      </c>
      <c r="I54" s="19">
        <f>-'Inputs'!$B$22*(D54+E54+G54)</f>
        <v/>
      </c>
      <c r="J54" s="19">
        <f>IF(A54='Inputs'!$B$24,'Inputs'!$B$23,0)</f>
        <v/>
      </c>
      <c r="K54" s="19">
        <f>IF(A54=0,-'Inputs'!$B$30,0)</f>
        <v/>
      </c>
      <c r="L54" s="19">
        <f>SUM(D54:K54)-F54</f>
        <v/>
      </c>
      <c r="M54" s="19">
        <f>M53+L54</f>
        <v/>
      </c>
      <c r="N54" s="28">
        <f>(1+'Inputs'!$B$25)^(-A54/12)</f>
        <v/>
      </c>
      <c r="O54" s="19">
        <f>L54*N54</f>
        <v/>
      </c>
      <c r="P54" s="19">
        <f>IF(AND(A54&gt;=1,M54&gt;=0),1,0)</f>
        <v/>
      </c>
    </row>
    <row r="55">
      <c r="A55" s="19" t="n">
        <v>48</v>
      </c>
      <c r="B55" s="21">
        <f>(1-'Inputs'!$B$11)^A55</f>
        <v/>
      </c>
      <c r="C55" s="19">
        <f>IF(AND(A55&gt;=1,A55&lt;='Inputs'!$B$10),'Inputs'!$B$28,0)</f>
        <v/>
      </c>
      <c r="D55" s="19">
        <f>IF(AND(A55&gt;=1,A55&lt;='Inputs'!$B$10),'Inputs'!$B$28*'Inputs'!$B$12*B55,0)</f>
        <v/>
      </c>
      <c r="E55" s="19">
        <f>IF(A55=0,'Inputs'!$B$8,0)</f>
        <v/>
      </c>
      <c r="F55" s="28">
        <f>IF(AND(A55&gt;=1,A55&lt;='Inputs'!$B$10),B54-B55,0)</f>
        <v/>
      </c>
      <c r="G55" s="19">
        <f>IF(A55-'Inputs'!$B$14&gt;=1,INDEX($F$7:$F$67,A55-'Inputs'!$B$14+1)*'Inputs'!$B$13*'Inputs'!$B$15*'Inputs'!$B$7*(1-'Inputs'!$B$16),0)</f>
        <v/>
      </c>
      <c r="H55" s="19">
        <f>-IF(AND(A55&gt;=1,A55&lt;='Inputs'!$B$10),'Inputs'!$B$21*B55,0)</f>
        <v/>
      </c>
      <c r="I55" s="19">
        <f>-'Inputs'!$B$22*(D55+E55+G55)</f>
        <v/>
      </c>
      <c r="J55" s="19">
        <f>IF(A55='Inputs'!$B$24,'Inputs'!$B$23,0)</f>
        <v/>
      </c>
      <c r="K55" s="19">
        <f>IF(A55=0,-'Inputs'!$B$30,0)</f>
        <v/>
      </c>
      <c r="L55" s="19">
        <f>SUM(D55:K55)-F55</f>
        <v/>
      </c>
      <c r="M55" s="19">
        <f>M54+L55</f>
        <v/>
      </c>
      <c r="N55" s="28">
        <f>(1+'Inputs'!$B$25)^(-A55/12)</f>
        <v/>
      </c>
      <c r="O55" s="19">
        <f>L55*N55</f>
        <v/>
      </c>
      <c r="P55" s="19">
        <f>IF(AND(A55&gt;=1,M55&gt;=0),1,0)</f>
        <v/>
      </c>
    </row>
    <row r="56">
      <c r="A56" s="19" t="n">
        <v>49</v>
      </c>
      <c r="B56" s="21">
        <f>(1-'Inputs'!$B$11)^A56</f>
        <v/>
      </c>
      <c r="C56" s="19">
        <f>IF(AND(A56&gt;=1,A56&lt;='Inputs'!$B$10),'Inputs'!$B$28,0)</f>
        <v/>
      </c>
      <c r="D56" s="19">
        <f>IF(AND(A56&gt;=1,A56&lt;='Inputs'!$B$10),'Inputs'!$B$28*'Inputs'!$B$12*B56,0)</f>
        <v/>
      </c>
      <c r="E56" s="19">
        <f>IF(A56=0,'Inputs'!$B$8,0)</f>
        <v/>
      </c>
      <c r="F56" s="28">
        <f>IF(AND(A56&gt;=1,A56&lt;='Inputs'!$B$10),B55-B56,0)</f>
        <v/>
      </c>
      <c r="G56" s="19">
        <f>IF(A56-'Inputs'!$B$14&gt;=1,INDEX($F$7:$F$67,A56-'Inputs'!$B$14+1)*'Inputs'!$B$13*'Inputs'!$B$15*'Inputs'!$B$7*(1-'Inputs'!$B$16),0)</f>
        <v/>
      </c>
      <c r="H56" s="19">
        <f>-IF(AND(A56&gt;=1,A56&lt;='Inputs'!$B$10),'Inputs'!$B$21*B56,0)</f>
        <v/>
      </c>
      <c r="I56" s="19">
        <f>-'Inputs'!$B$22*(D56+E56+G56)</f>
        <v/>
      </c>
      <c r="J56" s="19">
        <f>IF(A56='Inputs'!$B$24,'Inputs'!$B$23,0)</f>
        <v/>
      </c>
      <c r="K56" s="19">
        <f>IF(A56=0,-'Inputs'!$B$30,0)</f>
        <v/>
      </c>
      <c r="L56" s="19">
        <f>SUM(D56:K56)-F56</f>
        <v/>
      </c>
      <c r="M56" s="19">
        <f>M55+L56</f>
        <v/>
      </c>
      <c r="N56" s="28">
        <f>(1+'Inputs'!$B$25)^(-A56/12)</f>
        <v/>
      </c>
      <c r="O56" s="19">
        <f>L56*N56</f>
        <v/>
      </c>
      <c r="P56" s="19">
        <f>IF(AND(A56&gt;=1,M56&gt;=0),1,0)</f>
        <v/>
      </c>
    </row>
    <row r="57">
      <c r="A57" s="19" t="n">
        <v>50</v>
      </c>
      <c r="B57" s="21">
        <f>(1-'Inputs'!$B$11)^A57</f>
        <v/>
      </c>
      <c r="C57" s="19">
        <f>IF(AND(A57&gt;=1,A57&lt;='Inputs'!$B$10),'Inputs'!$B$28,0)</f>
        <v/>
      </c>
      <c r="D57" s="19">
        <f>IF(AND(A57&gt;=1,A57&lt;='Inputs'!$B$10),'Inputs'!$B$28*'Inputs'!$B$12*B57,0)</f>
        <v/>
      </c>
      <c r="E57" s="19">
        <f>IF(A57=0,'Inputs'!$B$8,0)</f>
        <v/>
      </c>
      <c r="F57" s="28">
        <f>IF(AND(A57&gt;=1,A57&lt;='Inputs'!$B$10),B56-B57,0)</f>
        <v/>
      </c>
      <c r="G57" s="19">
        <f>IF(A57-'Inputs'!$B$14&gt;=1,INDEX($F$7:$F$67,A57-'Inputs'!$B$14+1)*'Inputs'!$B$13*'Inputs'!$B$15*'Inputs'!$B$7*(1-'Inputs'!$B$16),0)</f>
        <v/>
      </c>
      <c r="H57" s="19">
        <f>-IF(AND(A57&gt;=1,A57&lt;='Inputs'!$B$10),'Inputs'!$B$21*B57,0)</f>
        <v/>
      </c>
      <c r="I57" s="19">
        <f>-'Inputs'!$B$22*(D57+E57+G57)</f>
        <v/>
      </c>
      <c r="J57" s="19">
        <f>IF(A57='Inputs'!$B$24,'Inputs'!$B$23,0)</f>
        <v/>
      </c>
      <c r="K57" s="19">
        <f>IF(A57=0,-'Inputs'!$B$30,0)</f>
        <v/>
      </c>
      <c r="L57" s="19">
        <f>SUM(D57:K57)-F57</f>
        <v/>
      </c>
      <c r="M57" s="19">
        <f>M56+L57</f>
        <v/>
      </c>
      <c r="N57" s="28">
        <f>(1+'Inputs'!$B$25)^(-A57/12)</f>
        <v/>
      </c>
      <c r="O57" s="19">
        <f>L57*N57</f>
        <v/>
      </c>
      <c r="P57" s="19">
        <f>IF(AND(A57&gt;=1,M57&gt;=0),1,0)</f>
        <v/>
      </c>
    </row>
    <row r="58">
      <c r="A58" s="19" t="n">
        <v>51</v>
      </c>
      <c r="B58" s="21">
        <f>(1-'Inputs'!$B$11)^A58</f>
        <v/>
      </c>
      <c r="C58" s="19">
        <f>IF(AND(A58&gt;=1,A58&lt;='Inputs'!$B$10),'Inputs'!$B$28,0)</f>
        <v/>
      </c>
      <c r="D58" s="19">
        <f>IF(AND(A58&gt;=1,A58&lt;='Inputs'!$B$10),'Inputs'!$B$28*'Inputs'!$B$12*B58,0)</f>
        <v/>
      </c>
      <c r="E58" s="19">
        <f>IF(A58=0,'Inputs'!$B$8,0)</f>
        <v/>
      </c>
      <c r="F58" s="28">
        <f>IF(AND(A58&gt;=1,A58&lt;='Inputs'!$B$10),B57-B58,0)</f>
        <v/>
      </c>
      <c r="G58" s="19">
        <f>IF(A58-'Inputs'!$B$14&gt;=1,INDEX($F$7:$F$67,A58-'Inputs'!$B$14+1)*'Inputs'!$B$13*'Inputs'!$B$15*'Inputs'!$B$7*(1-'Inputs'!$B$16),0)</f>
        <v/>
      </c>
      <c r="H58" s="19">
        <f>-IF(AND(A58&gt;=1,A58&lt;='Inputs'!$B$10),'Inputs'!$B$21*B58,0)</f>
        <v/>
      </c>
      <c r="I58" s="19">
        <f>-'Inputs'!$B$22*(D58+E58+G58)</f>
        <v/>
      </c>
      <c r="J58" s="19">
        <f>IF(A58='Inputs'!$B$24,'Inputs'!$B$23,0)</f>
        <v/>
      </c>
      <c r="K58" s="19">
        <f>IF(A58=0,-'Inputs'!$B$30,0)</f>
        <v/>
      </c>
      <c r="L58" s="19">
        <f>SUM(D58:K58)-F58</f>
        <v/>
      </c>
      <c r="M58" s="19">
        <f>M57+L58</f>
        <v/>
      </c>
      <c r="N58" s="28">
        <f>(1+'Inputs'!$B$25)^(-A58/12)</f>
        <v/>
      </c>
      <c r="O58" s="19">
        <f>L58*N58</f>
        <v/>
      </c>
      <c r="P58" s="19">
        <f>IF(AND(A58&gt;=1,M58&gt;=0),1,0)</f>
        <v/>
      </c>
    </row>
    <row r="59">
      <c r="A59" s="19" t="n">
        <v>52</v>
      </c>
      <c r="B59" s="21">
        <f>(1-'Inputs'!$B$11)^A59</f>
        <v/>
      </c>
      <c r="C59" s="19">
        <f>IF(AND(A59&gt;=1,A59&lt;='Inputs'!$B$10),'Inputs'!$B$28,0)</f>
        <v/>
      </c>
      <c r="D59" s="19">
        <f>IF(AND(A59&gt;=1,A59&lt;='Inputs'!$B$10),'Inputs'!$B$28*'Inputs'!$B$12*B59,0)</f>
        <v/>
      </c>
      <c r="E59" s="19">
        <f>IF(A59=0,'Inputs'!$B$8,0)</f>
        <v/>
      </c>
      <c r="F59" s="28">
        <f>IF(AND(A59&gt;=1,A59&lt;='Inputs'!$B$10),B58-B59,0)</f>
        <v/>
      </c>
      <c r="G59" s="19">
        <f>IF(A59-'Inputs'!$B$14&gt;=1,INDEX($F$7:$F$67,A59-'Inputs'!$B$14+1)*'Inputs'!$B$13*'Inputs'!$B$15*'Inputs'!$B$7*(1-'Inputs'!$B$16),0)</f>
        <v/>
      </c>
      <c r="H59" s="19">
        <f>-IF(AND(A59&gt;=1,A59&lt;='Inputs'!$B$10),'Inputs'!$B$21*B59,0)</f>
        <v/>
      </c>
      <c r="I59" s="19">
        <f>-'Inputs'!$B$22*(D59+E59+G59)</f>
        <v/>
      </c>
      <c r="J59" s="19">
        <f>IF(A59='Inputs'!$B$24,'Inputs'!$B$23,0)</f>
        <v/>
      </c>
      <c r="K59" s="19">
        <f>IF(A59=0,-'Inputs'!$B$30,0)</f>
        <v/>
      </c>
      <c r="L59" s="19">
        <f>SUM(D59:K59)-F59</f>
        <v/>
      </c>
      <c r="M59" s="19">
        <f>M58+L59</f>
        <v/>
      </c>
      <c r="N59" s="28">
        <f>(1+'Inputs'!$B$25)^(-A59/12)</f>
        <v/>
      </c>
      <c r="O59" s="19">
        <f>L59*N59</f>
        <v/>
      </c>
      <c r="P59" s="19">
        <f>IF(AND(A59&gt;=1,M59&gt;=0),1,0)</f>
        <v/>
      </c>
    </row>
    <row r="60">
      <c r="A60" s="19" t="n">
        <v>53</v>
      </c>
      <c r="B60" s="21">
        <f>(1-'Inputs'!$B$11)^A60</f>
        <v/>
      </c>
      <c r="C60" s="19">
        <f>IF(AND(A60&gt;=1,A60&lt;='Inputs'!$B$10),'Inputs'!$B$28,0)</f>
        <v/>
      </c>
      <c r="D60" s="19">
        <f>IF(AND(A60&gt;=1,A60&lt;='Inputs'!$B$10),'Inputs'!$B$28*'Inputs'!$B$12*B60,0)</f>
        <v/>
      </c>
      <c r="E60" s="19">
        <f>IF(A60=0,'Inputs'!$B$8,0)</f>
        <v/>
      </c>
      <c r="F60" s="28">
        <f>IF(AND(A60&gt;=1,A60&lt;='Inputs'!$B$10),B59-B60,0)</f>
        <v/>
      </c>
      <c r="G60" s="19">
        <f>IF(A60-'Inputs'!$B$14&gt;=1,INDEX($F$7:$F$67,A60-'Inputs'!$B$14+1)*'Inputs'!$B$13*'Inputs'!$B$15*'Inputs'!$B$7*(1-'Inputs'!$B$16),0)</f>
        <v/>
      </c>
      <c r="H60" s="19">
        <f>-IF(AND(A60&gt;=1,A60&lt;='Inputs'!$B$10),'Inputs'!$B$21*B60,0)</f>
        <v/>
      </c>
      <c r="I60" s="19">
        <f>-'Inputs'!$B$22*(D60+E60+G60)</f>
        <v/>
      </c>
      <c r="J60" s="19">
        <f>IF(A60='Inputs'!$B$24,'Inputs'!$B$23,0)</f>
        <v/>
      </c>
      <c r="K60" s="19">
        <f>IF(A60=0,-'Inputs'!$B$30,0)</f>
        <v/>
      </c>
      <c r="L60" s="19">
        <f>SUM(D60:K60)-F60</f>
        <v/>
      </c>
      <c r="M60" s="19">
        <f>M59+L60</f>
        <v/>
      </c>
      <c r="N60" s="28">
        <f>(1+'Inputs'!$B$25)^(-A60/12)</f>
        <v/>
      </c>
      <c r="O60" s="19">
        <f>L60*N60</f>
        <v/>
      </c>
      <c r="P60" s="19">
        <f>IF(AND(A60&gt;=1,M60&gt;=0),1,0)</f>
        <v/>
      </c>
    </row>
    <row r="61">
      <c r="A61" s="19" t="n">
        <v>54</v>
      </c>
      <c r="B61" s="21">
        <f>(1-'Inputs'!$B$11)^A61</f>
        <v/>
      </c>
      <c r="C61" s="19">
        <f>IF(AND(A61&gt;=1,A61&lt;='Inputs'!$B$10),'Inputs'!$B$28,0)</f>
        <v/>
      </c>
      <c r="D61" s="19">
        <f>IF(AND(A61&gt;=1,A61&lt;='Inputs'!$B$10),'Inputs'!$B$28*'Inputs'!$B$12*B61,0)</f>
        <v/>
      </c>
      <c r="E61" s="19">
        <f>IF(A61=0,'Inputs'!$B$8,0)</f>
        <v/>
      </c>
      <c r="F61" s="28">
        <f>IF(AND(A61&gt;=1,A61&lt;='Inputs'!$B$10),B60-B61,0)</f>
        <v/>
      </c>
      <c r="G61" s="19">
        <f>IF(A61-'Inputs'!$B$14&gt;=1,INDEX($F$7:$F$67,A61-'Inputs'!$B$14+1)*'Inputs'!$B$13*'Inputs'!$B$15*'Inputs'!$B$7*(1-'Inputs'!$B$16),0)</f>
        <v/>
      </c>
      <c r="H61" s="19">
        <f>-IF(AND(A61&gt;=1,A61&lt;='Inputs'!$B$10),'Inputs'!$B$21*B61,0)</f>
        <v/>
      </c>
      <c r="I61" s="19">
        <f>-'Inputs'!$B$22*(D61+E61+G61)</f>
        <v/>
      </c>
      <c r="J61" s="19">
        <f>IF(A61='Inputs'!$B$24,'Inputs'!$B$23,0)</f>
        <v/>
      </c>
      <c r="K61" s="19">
        <f>IF(A61=0,-'Inputs'!$B$30,0)</f>
        <v/>
      </c>
      <c r="L61" s="19">
        <f>SUM(D61:K61)-F61</f>
        <v/>
      </c>
      <c r="M61" s="19">
        <f>M60+L61</f>
        <v/>
      </c>
      <c r="N61" s="28">
        <f>(1+'Inputs'!$B$25)^(-A61/12)</f>
        <v/>
      </c>
      <c r="O61" s="19">
        <f>L61*N61</f>
        <v/>
      </c>
      <c r="P61" s="19">
        <f>IF(AND(A61&gt;=1,M61&gt;=0),1,0)</f>
        <v/>
      </c>
    </row>
    <row r="62">
      <c r="A62" s="19" t="n">
        <v>55</v>
      </c>
      <c r="B62" s="21">
        <f>(1-'Inputs'!$B$11)^A62</f>
        <v/>
      </c>
      <c r="C62" s="19">
        <f>IF(AND(A62&gt;=1,A62&lt;='Inputs'!$B$10),'Inputs'!$B$28,0)</f>
        <v/>
      </c>
      <c r="D62" s="19">
        <f>IF(AND(A62&gt;=1,A62&lt;='Inputs'!$B$10),'Inputs'!$B$28*'Inputs'!$B$12*B62,0)</f>
        <v/>
      </c>
      <c r="E62" s="19">
        <f>IF(A62=0,'Inputs'!$B$8,0)</f>
        <v/>
      </c>
      <c r="F62" s="28">
        <f>IF(AND(A62&gt;=1,A62&lt;='Inputs'!$B$10),B61-B62,0)</f>
        <v/>
      </c>
      <c r="G62" s="19">
        <f>IF(A62-'Inputs'!$B$14&gt;=1,INDEX($F$7:$F$67,A62-'Inputs'!$B$14+1)*'Inputs'!$B$13*'Inputs'!$B$15*'Inputs'!$B$7*(1-'Inputs'!$B$16),0)</f>
        <v/>
      </c>
      <c r="H62" s="19">
        <f>-IF(AND(A62&gt;=1,A62&lt;='Inputs'!$B$10),'Inputs'!$B$21*B62,0)</f>
        <v/>
      </c>
      <c r="I62" s="19">
        <f>-'Inputs'!$B$22*(D62+E62+G62)</f>
        <v/>
      </c>
      <c r="J62" s="19">
        <f>IF(A62='Inputs'!$B$24,'Inputs'!$B$23,0)</f>
        <v/>
      </c>
      <c r="K62" s="19">
        <f>IF(A62=0,-'Inputs'!$B$30,0)</f>
        <v/>
      </c>
      <c r="L62" s="19">
        <f>SUM(D62:K62)-F62</f>
        <v/>
      </c>
      <c r="M62" s="19">
        <f>M61+L62</f>
        <v/>
      </c>
      <c r="N62" s="28">
        <f>(1+'Inputs'!$B$25)^(-A62/12)</f>
        <v/>
      </c>
      <c r="O62" s="19">
        <f>L62*N62</f>
        <v/>
      </c>
      <c r="P62" s="19">
        <f>IF(AND(A62&gt;=1,M62&gt;=0),1,0)</f>
        <v/>
      </c>
    </row>
    <row r="63">
      <c r="A63" s="19" t="n">
        <v>56</v>
      </c>
      <c r="B63" s="21">
        <f>(1-'Inputs'!$B$11)^A63</f>
        <v/>
      </c>
      <c r="C63" s="19">
        <f>IF(AND(A63&gt;=1,A63&lt;='Inputs'!$B$10),'Inputs'!$B$28,0)</f>
        <v/>
      </c>
      <c r="D63" s="19">
        <f>IF(AND(A63&gt;=1,A63&lt;='Inputs'!$B$10),'Inputs'!$B$28*'Inputs'!$B$12*B63,0)</f>
        <v/>
      </c>
      <c r="E63" s="19">
        <f>IF(A63=0,'Inputs'!$B$8,0)</f>
        <v/>
      </c>
      <c r="F63" s="28">
        <f>IF(AND(A63&gt;=1,A63&lt;='Inputs'!$B$10),B62-B63,0)</f>
        <v/>
      </c>
      <c r="G63" s="19">
        <f>IF(A63-'Inputs'!$B$14&gt;=1,INDEX($F$7:$F$67,A63-'Inputs'!$B$14+1)*'Inputs'!$B$13*'Inputs'!$B$15*'Inputs'!$B$7*(1-'Inputs'!$B$16),0)</f>
        <v/>
      </c>
      <c r="H63" s="19">
        <f>-IF(AND(A63&gt;=1,A63&lt;='Inputs'!$B$10),'Inputs'!$B$21*B63,0)</f>
        <v/>
      </c>
      <c r="I63" s="19">
        <f>-'Inputs'!$B$22*(D63+E63+G63)</f>
        <v/>
      </c>
      <c r="J63" s="19">
        <f>IF(A63='Inputs'!$B$24,'Inputs'!$B$23,0)</f>
        <v/>
      </c>
      <c r="K63" s="19">
        <f>IF(A63=0,-'Inputs'!$B$30,0)</f>
        <v/>
      </c>
      <c r="L63" s="19">
        <f>SUM(D63:K63)-F63</f>
        <v/>
      </c>
      <c r="M63" s="19">
        <f>M62+L63</f>
        <v/>
      </c>
      <c r="N63" s="28">
        <f>(1+'Inputs'!$B$25)^(-A63/12)</f>
        <v/>
      </c>
      <c r="O63" s="19">
        <f>L63*N63</f>
        <v/>
      </c>
      <c r="P63" s="19">
        <f>IF(AND(A63&gt;=1,M63&gt;=0),1,0)</f>
        <v/>
      </c>
    </row>
    <row r="64">
      <c r="A64" s="19" t="n">
        <v>57</v>
      </c>
      <c r="B64" s="21">
        <f>(1-'Inputs'!$B$11)^A64</f>
        <v/>
      </c>
      <c r="C64" s="19">
        <f>IF(AND(A64&gt;=1,A64&lt;='Inputs'!$B$10),'Inputs'!$B$28,0)</f>
        <v/>
      </c>
      <c r="D64" s="19">
        <f>IF(AND(A64&gt;=1,A64&lt;='Inputs'!$B$10),'Inputs'!$B$28*'Inputs'!$B$12*B64,0)</f>
        <v/>
      </c>
      <c r="E64" s="19">
        <f>IF(A64=0,'Inputs'!$B$8,0)</f>
        <v/>
      </c>
      <c r="F64" s="28">
        <f>IF(AND(A64&gt;=1,A64&lt;='Inputs'!$B$10),B63-B64,0)</f>
        <v/>
      </c>
      <c r="G64" s="19">
        <f>IF(A64-'Inputs'!$B$14&gt;=1,INDEX($F$7:$F$67,A64-'Inputs'!$B$14+1)*'Inputs'!$B$13*'Inputs'!$B$15*'Inputs'!$B$7*(1-'Inputs'!$B$16),0)</f>
        <v/>
      </c>
      <c r="H64" s="19">
        <f>-IF(AND(A64&gt;=1,A64&lt;='Inputs'!$B$10),'Inputs'!$B$21*B64,0)</f>
        <v/>
      </c>
      <c r="I64" s="19">
        <f>-'Inputs'!$B$22*(D64+E64+G64)</f>
        <v/>
      </c>
      <c r="J64" s="19">
        <f>IF(A64='Inputs'!$B$24,'Inputs'!$B$23,0)</f>
        <v/>
      </c>
      <c r="K64" s="19">
        <f>IF(A64=0,-'Inputs'!$B$30,0)</f>
        <v/>
      </c>
      <c r="L64" s="19">
        <f>SUM(D64:K64)-F64</f>
        <v/>
      </c>
      <c r="M64" s="19">
        <f>M63+L64</f>
        <v/>
      </c>
      <c r="N64" s="28">
        <f>(1+'Inputs'!$B$25)^(-A64/12)</f>
        <v/>
      </c>
      <c r="O64" s="19">
        <f>L64*N64</f>
        <v/>
      </c>
      <c r="P64" s="19">
        <f>IF(AND(A64&gt;=1,M64&gt;=0),1,0)</f>
        <v/>
      </c>
    </row>
    <row r="65">
      <c r="A65" s="19" t="n">
        <v>58</v>
      </c>
      <c r="B65" s="21">
        <f>(1-'Inputs'!$B$11)^A65</f>
        <v/>
      </c>
      <c r="C65" s="19">
        <f>IF(AND(A65&gt;=1,A65&lt;='Inputs'!$B$10),'Inputs'!$B$28,0)</f>
        <v/>
      </c>
      <c r="D65" s="19">
        <f>IF(AND(A65&gt;=1,A65&lt;='Inputs'!$B$10),'Inputs'!$B$28*'Inputs'!$B$12*B65,0)</f>
        <v/>
      </c>
      <c r="E65" s="19">
        <f>IF(A65=0,'Inputs'!$B$8,0)</f>
        <v/>
      </c>
      <c r="F65" s="28">
        <f>IF(AND(A65&gt;=1,A65&lt;='Inputs'!$B$10),B64-B65,0)</f>
        <v/>
      </c>
      <c r="G65" s="19">
        <f>IF(A65-'Inputs'!$B$14&gt;=1,INDEX($F$7:$F$67,A65-'Inputs'!$B$14+1)*'Inputs'!$B$13*'Inputs'!$B$15*'Inputs'!$B$7*(1-'Inputs'!$B$16),0)</f>
        <v/>
      </c>
      <c r="H65" s="19">
        <f>-IF(AND(A65&gt;=1,A65&lt;='Inputs'!$B$10),'Inputs'!$B$21*B65,0)</f>
        <v/>
      </c>
      <c r="I65" s="19">
        <f>-'Inputs'!$B$22*(D65+E65+G65)</f>
        <v/>
      </c>
      <c r="J65" s="19">
        <f>IF(A65='Inputs'!$B$24,'Inputs'!$B$23,0)</f>
        <v/>
      </c>
      <c r="K65" s="19">
        <f>IF(A65=0,-'Inputs'!$B$30,0)</f>
        <v/>
      </c>
      <c r="L65" s="19">
        <f>SUM(D65:K65)-F65</f>
        <v/>
      </c>
      <c r="M65" s="19">
        <f>M64+L65</f>
        <v/>
      </c>
      <c r="N65" s="28">
        <f>(1+'Inputs'!$B$25)^(-A65/12)</f>
        <v/>
      </c>
      <c r="O65" s="19">
        <f>L65*N65</f>
        <v/>
      </c>
      <c r="P65" s="19">
        <f>IF(AND(A65&gt;=1,M65&gt;=0),1,0)</f>
        <v/>
      </c>
    </row>
    <row r="66">
      <c r="A66" s="19" t="n">
        <v>59</v>
      </c>
      <c r="B66" s="21">
        <f>(1-'Inputs'!$B$11)^A66</f>
        <v/>
      </c>
      <c r="C66" s="19">
        <f>IF(AND(A66&gt;=1,A66&lt;='Inputs'!$B$10),'Inputs'!$B$28,0)</f>
        <v/>
      </c>
      <c r="D66" s="19">
        <f>IF(AND(A66&gt;=1,A66&lt;='Inputs'!$B$10),'Inputs'!$B$28*'Inputs'!$B$12*B66,0)</f>
        <v/>
      </c>
      <c r="E66" s="19">
        <f>IF(A66=0,'Inputs'!$B$8,0)</f>
        <v/>
      </c>
      <c r="F66" s="28">
        <f>IF(AND(A66&gt;=1,A66&lt;='Inputs'!$B$10),B65-B66,0)</f>
        <v/>
      </c>
      <c r="G66" s="19">
        <f>IF(A66-'Inputs'!$B$14&gt;=1,INDEX($F$7:$F$67,A66-'Inputs'!$B$14+1)*'Inputs'!$B$13*'Inputs'!$B$15*'Inputs'!$B$7*(1-'Inputs'!$B$16),0)</f>
        <v/>
      </c>
      <c r="H66" s="19">
        <f>-IF(AND(A66&gt;=1,A66&lt;='Inputs'!$B$10),'Inputs'!$B$21*B66,0)</f>
        <v/>
      </c>
      <c r="I66" s="19">
        <f>-'Inputs'!$B$22*(D66+E66+G66)</f>
        <v/>
      </c>
      <c r="J66" s="19">
        <f>IF(A66='Inputs'!$B$24,'Inputs'!$B$23,0)</f>
        <v/>
      </c>
      <c r="K66" s="19">
        <f>IF(A66=0,-'Inputs'!$B$30,0)</f>
        <v/>
      </c>
      <c r="L66" s="19">
        <f>SUM(D66:K66)-F66</f>
        <v/>
      </c>
      <c r="M66" s="19">
        <f>M65+L66</f>
        <v/>
      </c>
      <c r="N66" s="28">
        <f>(1+'Inputs'!$B$25)^(-A66/12)</f>
        <v/>
      </c>
      <c r="O66" s="19">
        <f>L66*N66</f>
        <v/>
      </c>
      <c r="P66" s="19">
        <f>IF(AND(A66&gt;=1,M66&gt;=0),1,0)</f>
        <v/>
      </c>
    </row>
    <row r="67">
      <c r="A67" s="19" t="n">
        <v>60</v>
      </c>
      <c r="B67" s="21">
        <f>(1-'Inputs'!$B$11)^A67</f>
        <v/>
      </c>
      <c r="C67" s="19">
        <f>IF(AND(A67&gt;=1,A67&lt;='Inputs'!$B$10),'Inputs'!$B$28,0)</f>
        <v/>
      </c>
      <c r="D67" s="19">
        <f>IF(AND(A67&gt;=1,A67&lt;='Inputs'!$B$10),'Inputs'!$B$28*'Inputs'!$B$12*B67,0)</f>
        <v/>
      </c>
      <c r="E67" s="19">
        <f>IF(A67=0,'Inputs'!$B$8,0)</f>
        <v/>
      </c>
      <c r="F67" s="28">
        <f>IF(AND(A67&gt;=1,A67&lt;='Inputs'!$B$10),B66-B67,0)</f>
        <v/>
      </c>
      <c r="G67" s="19">
        <f>IF(A67-'Inputs'!$B$14&gt;=1,INDEX($F$7:$F$67,A67-'Inputs'!$B$14+1)*'Inputs'!$B$13*'Inputs'!$B$15*'Inputs'!$B$7*(1-'Inputs'!$B$16),0)</f>
        <v/>
      </c>
      <c r="H67" s="19">
        <f>-IF(AND(A67&gt;=1,A67&lt;='Inputs'!$B$10),'Inputs'!$B$21*B67,0)</f>
        <v/>
      </c>
      <c r="I67" s="19">
        <f>-'Inputs'!$B$22*(D67+E67+G67)</f>
        <v/>
      </c>
      <c r="J67" s="19">
        <f>IF(A67='Inputs'!$B$24,'Inputs'!$B$23,0)</f>
        <v/>
      </c>
      <c r="K67" s="19">
        <f>IF(A67=0,-'Inputs'!$B$30,0)</f>
        <v/>
      </c>
      <c r="L67" s="19">
        <f>SUM(D67:K67)-F67</f>
        <v/>
      </c>
      <c r="M67" s="19">
        <f>M66+L67</f>
        <v/>
      </c>
      <c r="N67" s="28">
        <f>(1+'Inputs'!$B$25)^(-A67/12)</f>
        <v/>
      </c>
      <c r="O67" s="19">
        <f>L67*N67</f>
        <v/>
      </c>
      <c r="P67" s="19">
        <f>IF(AND(A67&gt;=1,M67&gt;=0),1,0)</f>
        <v/>
      </c>
    </row>
    <row r="68"/>
    <row r="69">
      <c r="A69" s="16" t="inlineStr">
        <is>
          <t>Net cash excludes the defaults column, which counts accounts (a share of one unit), not money.</t>
        </is>
      </c>
    </row>
  </sheetData>
  <printOptions horizontalCentered="1"/>
  <pageMargins left="0.5" right="0.5" top="0.6" bottom="0.7" header="0.5" footer="0.5"/>
  <pageSetup orientation="landscape" paperSize="9" fitToHeight="0" fitToWidth="1"/>
  <headerFooter>
    <oddHeader/>
    <oddFooter>&amp;L&amp;"Arial"&amp;8 Africa Energy Finance | Book 2 Decision tool D2 | Version 0.9 (pre-release)&amp;C&amp;"Arial"&amp;8 &amp;A&amp;R&amp;"Arial"&amp;8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H38"/>
  <sheetViews>
    <sheetView showGridLines="0"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4" customWidth="1" min="7" max="7"/>
    <col width="30" customWidth="1" min="8" max="8"/>
  </cols>
  <sheetData>
    <row r="1">
      <c r="A1" s="1" t="inlineStr">
        <is>
          <t>AFRICA ENERGY FINANCE  |  BOOK 2  |  PAYGO SOLAR FINANCE</t>
        </is>
      </c>
      <c r="B1" s="2" t="n"/>
      <c r="C1" s="2" t="n"/>
      <c r="D1" s="2" t="n"/>
      <c r="E1" s="2" t="n"/>
      <c r="F1" s="2" t="n"/>
      <c r="G1" s="2" t="n"/>
      <c r="H1" s="2" t="n"/>
    </row>
    <row r="2" ht="22" customHeight="1">
      <c r="A2" s="3" t="inlineStr">
        <is>
          <t>LTV to CAC by tier</t>
        </is>
      </c>
      <c r="B2" s="2" t="n"/>
      <c r="C2" s="2" t="n"/>
      <c r="D2" s="2" t="n"/>
      <c r="E2" s="2" t="n"/>
      <c r="F2" s="2" t="n"/>
      <c r="G2" s="2" t="n"/>
      <c r="H2" s="2" t="n"/>
    </row>
    <row r="3">
      <c r="A3" s="4" t="inlineStr">
        <is>
          <t>Closed form on the model's default tiers; replace the blue inputs with company data</t>
        </is>
      </c>
      <c r="B3" s="2" t="n"/>
      <c r="C3" s="2" t="n"/>
      <c r="D3" s="2" t="n"/>
      <c r="E3" s="2" t="n"/>
      <c r="F3" s="2" t="n"/>
      <c r="G3" s="2" t="n"/>
      <c r="H3" s="2" t="n"/>
    </row>
    <row r="4">
      <c r="A4" s="5" t="inlineStr">
        <is>
          <t>Decision tool D2  |  Version 0.9 (pre-release)  |  Author &amp; ideation: Emmanuel Boujieka Kamga</t>
        </is>
      </c>
      <c r="B4" s="6" t="n"/>
      <c r="C4" s="6" t="n"/>
      <c r="D4" s="6" t="n"/>
      <c r="E4" s="6" t="n"/>
      <c r="F4" s="6" t="n"/>
      <c r="G4" s="6" t="n"/>
      <c r="H4" s="6" t="n"/>
    </row>
    <row r="5"/>
    <row r="6" ht="30" customHeight="1">
      <c r="A6" s="25" t="inlineStr">
        <is>
          <t>Item</t>
        </is>
      </c>
      <c r="B6" s="25" t="inlineStr">
        <is>
          <t>Tier 1</t>
        </is>
      </c>
      <c r="C6" s="25" t="inlineStr">
        <is>
          <t>Tier 2</t>
        </is>
      </c>
      <c r="D6" s="25" t="inlineStr">
        <is>
          <t>Tier 3</t>
        </is>
      </c>
      <c r="E6" s="25" t="inlineStr">
        <is>
          <t>Tier 4</t>
        </is>
      </c>
      <c r="F6" s="25" t="inlineStr">
        <is>
          <t>Tier 5</t>
        </is>
      </c>
      <c r="G6" s="25" t="inlineStr"/>
      <c r="H6" s="25" t="inlineStr">
        <is>
          <t>Notes</t>
        </is>
      </c>
    </row>
    <row r="7">
      <c r="A7" s="11" t="inlineStr">
        <is>
          <t>Cash price</t>
        </is>
      </c>
      <c r="B7" s="14" t="n">
        <v>6500</v>
      </c>
      <c r="C7" s="14" t="n">
        <v>39000</v>
      </c>
      <c r="D7" s="14" t="n">
        <v>117000</v>
      </c>
      <c r="E7" s="14" t="n">
        <v>390000</v>
      </c>
      <c r="F7" s="14" t="n">
        <v>845000</v>
      </c>
    </row>
    <row r="8">
      <c r="A8" s="11" t="inlineStr">
        <is>
          <t>Deposit</t>
        </is>
      </c>
      <c r="B8" s="14" t="n">
        <v>1000</v>
      </c>
      <c r="C8" s="14" t="n">
        <v>4000</v>
      </c>
      <c r="D8" s="14" t="n">
        <v>17550</v>
      </c>
      <c r="E8" s="14" t="n">
        <v>78000</v>
      </c>
      <c r="F8" s="14" t="n">
        <v>211250</v>
      </c>
    </row>
    <row r="9">
      <c r="A9" s="11" t="inlineStr">
        <is>
          <t>Daily rate</t>
        </is>
      </c>
      <c r="B9" s="15" t="n">
        <v>25</v>
      </c>
      <c r="C9" s="15" t="n">
        <v>77</v>
      </c>
      <c r="D9" s="15" t="n">
        <v>173</v>
      </c>
      <c r="E9" s="15" t="n">
        <v>445</v>
      </c>
      <c r="F9" s="15" t="n">
        <v>694</v>
      </c>
    </row>
    <row r="10">
      <c r="A10" s="11" t="inlineStr">
        <is>
          <t>Tenor (months)</t>
        </is>
      </c>
      <c r="B10" s="14" t="n">
        <v>12</v>
      </c>
      <c r="C10" s="14" t="n">
        <v>24</v>
      </c>
      <c r="D10" s="14" t="n">
        <v>30</v>
      </c>
      <c r="E10" s="14" t="n">
        <v>36</v>
      </c>
      <c r="F10" s="14" t="n">
        <v>48</v>
      </c>
    </row>
    <row r="11">
      <c r="A11" s="11" t="inlineStr">
        <is>
          <t>Monthly default hazard</t>
        </is>
      </c>
      <c r="B11" s="17" t="n">
        <v>0.035</v>
      </c>
      <c r="C11" s="17" t="n">
        <v>0.026</v>
      </c>
      <c r="D11" s="17" t="n">
        <v>0.019</v>
      </c>
      <c r="E11" s="17" t="n">
        <v>0.013</v>
      </c>
      <c r="F11" s="17" t="n">
        <v>0.01</v>
      </c>
    </row>
    <row r="12">
      <c r="A12" s="11" t="inlineStr">
        <is>
          <t>Collection rate on paying accounts</t>
        </is>
      </c>
      <c r="B12" s="18" t="n">
        <v>0.88</v>
      </c>
      <c r="C12" s="18" t="n">
        <v>0.88</v>
      </c>
      <c r="D12" s="18" t="n">
        <v>0.9</v>
      </c>
      <c r="E12" s="18" t="n">
        <v>0.92</v>
      </c>
      <c r="F12" s="18" t="n">
        <v>0.93</v>
      </c>
    </row>
    <row r="13">
      <c r="A13" s="11" t="inlineStr">
        <is>
          <t>Repossession rate</t>
        </is>
      </c>
      <c r="B13" s="18" t="n">
        <v>0</v>
      </c>
      <c r="C13" s="18" t="n">
        <v>0.2</v>
      </c>
      <c r="D13" s="18" t="n">
        <v>0.4</v>
      </c>
      <c r="E13" s="18" t="n">
        <v>0.6</v>
      </c>
      <c r="F13" s="18" t="n">
        <v>0.7</v>
      </c>
    </row>
    <row r="14">
      <c r="A14" s="11" t="inlineStr">
        <is>
          <t>Resale value, share of cash price</t>
        </is>
      </c>
      <c r="B14" s="18" t="n">
        <v>0.2</v>
      </c>
      <c r="C14" s="18" t="n">
        <v>0.25</v>
      </c>
      <c r="D14" s="18" t="n">
        <v>0.35</v>
      </c>
      <c r="E14" s="18" t="n">
        <v>0.45</v>
      </c>
      <c r="F14" s="18" t="n">
        <v>0.5</v>
      </c>
    </row>
    <row r="15">
      <c r="A15" s="11" t="inlineStr">
        <is>
          <t>Landed hardware cost</t>
        </is>
      </c>
      <c r="B15" s="14" t="n">
        <v>3900</v>
      </c>
      <c r="C15" s="14" t="n">
        <v>23400</v>
      </c>
      <c r="D15" s="14" t="n">
        <v>70200</v>
      </c>
      <c r="E15" s="14" t="n">
        <v>218400</v>
      </c>
      <c r="F15" s="14" t="n">
        <v>499200</v>
      </c>
      <c r="H15" s="16" t="inlineStr">
        <is>
          <t>USD cost × 130 × (1 + 20% freight and duty)</t>
        </is>
      </c>
    </row>
    <row r="16">
      <c r="A16" s="11" t="inlineStr">
        <is>
          <t>Installation</t>
        </is>
      </c>
      <c r="B16" s="14" t="n">
        <v>0</v>
      </c>
      <c r="C16" s="14" t="n">
        <v>500</v>
      </c>
      <c r="D16" s="14" t="n">
        <v>2500</v>
      </c>
      <c r="E16" s="14" t="n">
        <v>15000</v>
      </c>
      <c r="F16" s="14" t="n">
        <v>30000</v>
      </c>
    </row>
    <row r="17">
      <c r="A17" s="11" t="inlineStr">
        <is>
          <t>Warranty, share of landed cost</t>
        </is>
      </c>
      <c r="B17" s="18" t="n">
        <v>0.03</v>
      </c>
      <c r="C17" s="18" t="n">
        <v>0.05</v>
      </c>
      <c r="D17" s="18" t="n">
        <v>0.05</v>
      </c>
      <c r="E17" s="18" t="n">
        <v>0.06</v>
      </c>
      <c r="F17" s="18" t="n">
        <v>0.06</v>
      </c>
    </row>
    <row r="18">
      <c r="A18" s="11" t="inlineStr">
        <is>
          <t>CAC (commission and marketing)</t>
        </is>
      </c>
      <c r="B18" s="14" t="n">
        <v>800</v>
      </c>
      <c r="C18" s="14" t="n">
        <v>3000</v>
      </c>
      <c r="D18" s="14" t="n">
        <v>7500</v>
      </c>
      <c r="E18" s="14" t="n">
        <v>18000</v>
      </c>
      <c r="F18" s="14" t="n">
        <v>30000</v>
      </c>
    </row>
    <row r="19">
      <c r="A19" s="11" t="inlineStr">
        <is>
          <t>RBF per unit (local currency)</t>
        </is>
      </c>
      <c r="B19" s="14" t="n">
        <v>650</v>
      </c>
      <c r="C19" s="14" t="n">
        <v>1950</v>
      </c>
      <c r="D19" s="14" t="n">
        <v>3250</v>
      </c>
      <c r="E19" s="14" t="n">
        <v>0</v>
      </c>
      <c r="F19" s="14" t="n">
        <v>0</v>
      </c>
      <c r="H19" s="16" t="inlineStr">
        <is>
          <t>USD per unit × opening FX rate</t>
        </is>
      </c>
    </row>
    <row r="20">
      <c r="A20" s="11" t="inlineStr">
        <is>
          <t>Servicing cost per active account per month</t>
        </is>
      </c>
      <c r="B20" s="14" t="n">
        <v>150</v>
      </c>
    </row>
    <row r="21">
      <c r="A21" s="11" t="inlineStr">
        <is>
          <t>Payment fees, share of cash collected</t>
        </is>
      </c>
      <c r="B21" s="18" t="n">
        <v>0.02</v>
      </c>
    </row>
    <row r="22">
      <c r="A22" s="11" t="inlineStr">
        <is>
          <t>Recovery cost, share of resale proceeds</t>
        </is>
      </c>
      <c r="B22" s="18" t="n">
        <v>0.15</v>
      </c>
    </row>
    <row r="23"/>
    <row r="24">
      <c r="A24" s="7" t="inlineStr">
        <is>
          <t>Results</t>
        </is>
      </c>
      <c r="B24" s="6" t="n"/>
      <c r="C24" s="6" t="n"/>
      <c r="D24" s="6" t="n"/>
      <c r="E24" s="6" t="n"/>
      <c r="F24" s="6" t="n"/>
      <c r="G24" s="6" t="n"/>
      <c r="H24" s="6" t="n"/>
    </row>
    <row r="25">
      <c r="A25" s="11" t="inlineStr">
        <is>
          <t>Monthly instalment</t>
        </is>
      </c>
      <c r="B25" s="19">
        <f>B$9*365/12</f>
        <v/>
      </c>
      <c r="C25" s="19">
        <f>C$9*365/12</f>
        <v/>
      </c>
      <c r="D25" s="19">
        <f>D$9*365/12</f>
        <v/>
      </c>
      <c r="E25" s="19">
        <f>E$9*365/12</f>
        <v/>
      </c>
      <c r="F25" s="19">
        <f>F$9*365/12</f>
        <v/>
      </c>
    </row>
    <row r="26">
      <c r="A26" s="11" t="inlineStr">
        <is>
          <t>Sum of survival over the tenor</t>
        </is>
      </c>
      <c r="B26" s="29">
        <f>(1-B$11)*(1-(1-B$11)^B$10)/B$11</f>
        <v/>
      </c>
      <c r="C26" s="29">
        <f>(1-C$11)*(1-(1-C$11)^C$10)/C$11</f>
        <v/>
      </c>
      <c r="D26" s="29">
        <f>(1-D$11)*(1-(1-D$11)^D$10)/D$11</f>
        <v/>
      </c>
      <c r="E26" s="29">
        <f>(1-E$11)*(1-(1-E$11)^E$10)/E$11</f>
        <v/>
      </c>
      <c r="F26" s="29">
        <f>(1-F$11)*(1-(1-F$11)^F$10)/F$11</f>
        <v/>
      </c>
    </row>
    <row r="27">
      <c r="A27" s="11" t="inlineStr">
        <is>
          <t>Expected instalments collected</t>
        </is>
      </c>
      <c r="B27" s="19">
        <f>B25*B$12*B26</f>
        <v/>
      </c>
      <c r="C27" s="19">
        <f>C25*C$12*C26</f>
        <v/>
      </c>
      <c r="D27" s="19">
        <f>D25*D$12*D26</f>
        <v/>
      </c>
      <c r="E27" s="19">
        <f>E25*E$12*E26</f>
        <v/>
      </c>
      <c r="F27" s="19">
        <f>F25*F$12*F26</f>
        <v/>
      </c>
    </row>
    <row r="28">
      <c r="A28" s="11" t="inlineStr">
        <is>
          <t>Expected loss rate</t>
        </is>
      </c>
      <c r="B28" s="21">
        <f>1-B27/(B25*B$10)</f>
        <v/>
      </c>
      <c r="C28" s="21">
        <f>1-C27/(C25*C$10)</f>
        <v/>
      </c>
      <c r="D28" s="21">
        <f>1-D27/(D25*D$10)</f>
        <v/>
      </c>
      <c r="E28" s="21">
        <f>1-E27/(E25*E$10)</f>
        <v/>
      </c>
      <c r="F28" s="21">
        <f>1-F27/(F25*F$10)</f>
        <v/>
      </c>
    </row>
    <row r="29">
      <c r="A29" s="11" t="inlineStr">
        <is>
          <t>Expected recoveries</t>
        </is>
      </c>
      <c r="B29" s="19">
        <f>(1-(1-B$11)^B$10)*B$13*B$14*B$7*(1-$B$22)</f>
        <v/>
      </c>
      <c r="C29" s="19">
        <f>(1-(1-C$11)^C$10)*C$13*C$14*C$7*(1-$B$22)</f>
        <v/>
      </c>
      <c r="D29" s="19">
        <f>(1-(1-D$11)^D$10)*D$13*D$14*D$7*(1-$B$22)</f>
        <v/>
      </c>
      <c r="E29" s="19">
        <f>(1-(1-E$11)^E$10)*E$13*E$14*E$7*(1-$B$22)</f>
        <v/>
      </c>
      <c r="F29" s="19">
        <f>(1-(1-F$11)^F$10)*F$13*F$14*F$7*(1-$B$22)</f>
        <v/>
      </c>
    </row>
    <row r="30">
      <c r="A30" s="11" t="inlineStr">
        <is>
          <t>Servicing and payment fees</t>
        </is>
      </c>
      <c r="B30" s="19">
        <f>-$B$20*B26-$B$21*(B$8+B27+B29)</f>
        <v/>
      </c>
      <c r="C30" s="19">
        <f>-$B$20*C26-$B$21*(C$8+C27+C29)</f>
        <v/>
      </c>
      <c r="D30" s="19">
        <f>-$B$20*D26-$B$21*(D$8+D27+D29)</f>
        <v/>
      </c>
      <c r="E30" s="19">
        <f>-$B$20*E26-$B$21*(E$8+E27+E29)</f>
        <v/>
      </c>
      <c r="F30" s="19">
        <f>-$B$20*F26-$B$21*(F$8+F27+F29)</f>
        <v/>
      </c>
    </row>
    <row r="31">
      <c r="A31" s="11" t="inlineStr">
        <is>
          <t>Day one outlay excluding CAC</t>
        </is>
      </c>
      <c r="B31" s="19">
        <f>B$15*(1+B$17)+B$16</f>
        <v/>
      </c>
      <c r="C31" s="19">
        <f>C$15*(1+C$17)+C$16</f>
        <v/>
      </c>
      <c r="D31" s="19">
        <f>D$15*(1+D$17)+D$16</f>
        <v/>
      </c>
      <c r="E31" s="19">
        <f>E$15*(1+E$17)+E$16</f>
        <v/>
      </c>
      <c r="F31" s="19">
        <f>F$15*(1+F$17)+F$16</f>
        <v/>
      </c>
    </row>
    <row r="32">
      <c r="A32" s="11" t="inlineStr">
        <is>
          <t>LTV (contribution before CAC)</t>
        </is>
      </c>
      <c r="B32" s="19">
        <f>B$8+B27+B29+B30+B$19-B31</f>
        <v/>
      </c>
      <c r="C32" s="19">
        <f>C$8+C27+C29+C30+C$19-C31</f>
        <v/>
      </c>
      <c r="D32" s="19">
        <f>D$8+D27+D29+D30+D$19-D31</f>
        <v/>
      </c>
      <c r="E32" s="19">
        <f>E$8+E27+E29+E30+E$19-E31</f>
        <v/>
      </c>
      <c r="F32" s="19">
        <f>F$8+F27+F29+F30+F$19-F31</f>
        <v/>
      </c>
    </row>
    <row r="33">
      <c r="A33" s="11" t="inlineStr">
        <is>
          <t>CAC</t>
        </is>
      </c>
      <c r="B33" s="19">
        <f>B$18</f>
        <v/>
      </c>
      <c r="C33" s="19">
        <f>C$18</f>
        <v/>
      </c>
      <c r="D33" s="19">
        <f>D$18</f>
        <v/>
      </c>
      <c r="E33" s="19">
        <f>E$18</f>
        <v/>
      </c>
      <c r="F33" s="19">
        <f>F$18</f>
        <v/>
      </c>
    </row>
    <row r="34">
      <c r="A34" s="9" t="inlineStr">
        <is>
          <t>Lifetime contribution</t>
        </is>
      </c>
      <c r="B34" s="22">
        <f>B32-B33</f>
        <v/>
      </c>
      <c r="C34" s="22">
        <f>C32-C33</f>
        <v/>
      </c>
      <c r="D34" s="22">
        <f>D32-D33</f>
        <v/>
      </c>
      <c r="E34" s="22">
        <f>E32-E33</f>
        <v/>
      </c>
      <c r="F34" s="22">
        <f>F32-F33</f>
        <v/>
      </c>
    </row>
    <row r="35">
      <c r="A35" s="9" t="inlineStr">
        <is>
          <t>LTV to CAC</t>
        </is>
      </c>
      <c r="B35" s="23">
        <f>IF(B33=0,"",B32/B33)</f>
        <v/>
      </c>
      <c r="C35" s="23">
        <f>IF(C33=0,"",C32/C33)</f>
        <v/>
      </c>
      <c r="D35" s="23">
        <f>IF(D33=0,"",D32/D33)</f>
        <v/>
      </c>
      <c r="E35" s="23">
        <f>IF(E33=0,"",E32/E33)</f>
        <v/>
      </c>
      <c r="F35" s="23">
        <f>IF(F33=0,"",F32/F33)</f>
        <v/>
      </c>
    </row>
    <row r="36">
      <c r="A36" s="11" t="inlineStr">
        <is>
          <t>Months of collections to recover the day one outlay</t>
        </is>
      </c>
      <c r="B36" s="29">
        <f>IFERROR(IF(1-(B31+B33-B$8)*B$11/(B25*B$12*(1-B$11))&lt;=0,"Beyond tenor",IF(LN(1-(B31+B33-B$8)*B$11/(B25*B$12*(1-B$11)))/LN(1-B$11)&gt;B$10,"Beyond tenor",LN(1-(B31+B33-B$8)*B$11/(B25*B$12*(1-B$11)))/LN(1-B$11))),"")</f>
        <v/>
      </c>
      <c r="C36" s="29">
        <f>IFERROR(IF(1-(C31+C33-C$8)*C$11/(C25*C$12*(1-C$11))&lt;=0,"Beyond tenor",IF(LN(1-(C31+C33-C$8)*C$11/(C25*C$12*(1-C$11)))/LN(1-C$11)&gt;C$10,"Beyond tenor",LN(1-(C31+C33-C$8)*C$11/(C25*C$12*(1-C$11)))/LN(1-C$11))),"")</f>
        <v/>
      </c>
      <c r="D36" s="29">
        <f>IFERROR(IF(1-(D31+D33-D$8)*D$11/(D25*D$12*(1-D$11))&lt;=0,"Beyond tenor",IF(LN(1-(D31+D33-D$8)*D$11/(D25*D$12*(1-D$11)))/LN(1-D$11)&gt;D$10,"Beyond tenor",LN(1-(D31+D33-D$8)*D$11/(D25*D$12*(1-D$11)))/LN(1-D$11))),"")</f>
        <v/>
      </c>
      <c r="E36" s="29">
        <f>IFERROR(IF(1-(E31+E33-E$8)*E$11/(E25*E$12*(1-E$11))&lt;=0,"Beyond tenor",IF(LN(1-(E31+E33-E$8)*E$11/(E25*E$12*(1-E$11)))/LN(1-E$11)&gt;E$10,"Beyond tenor",LN(1-(E31+E33-E$8)*E$11/(E25*E$12*(1-E$11)))/LN(1-E$11))),"")</f>
        <v/>
      </c>
      <c r="F36" s="29">
        <f>IFERROR(IF(1-(F31+F33-F$8)*F$11/(F25*F$12*(1-F$11))&lt;=0,"Beyond tenor",IF(LN(1-(F31+F33-F$8)*F$11/(F25*F$12*(1-F$11)))/LN(1-F$11)&gt;F$10,"Beyond tenor",LN(1-(F31+F33-F$8)*F$11/(F25*F$12*(1-F$11)))/LN(1-F$11))),"")</f>
        <v/>
      </c>
      <c r="H36" s="16" t="inlineStr">
        <is>
          <t>Before servicing and fees; deposit counted at sale</t>
        </is>
      </c>
    </row>
    <row r="37"/>
    <row r="38">
      <c r="A38" s="16" t="inlineStr">
        <is>
          <t>Closed form on the model's default inputs, without price indexation or timing of recoveries; the model's Unit_Economics sheet remains the reference. The default tiers have no company history behind them.</t>
        </is>
      </c>
    </row>
  </sheetData>
  <printOptions horizontalCentered="1"/>
  <pageMargins left="0.5" right="0.5" top="0.6" bottom="0.7" header="0.5" footer="0.5"/>
  <pageSetup orientation="landscape" paperSize="9" fitToHeight="0" fitToWidth="1"/>
  <headerFooter>
    <oddHeader/>
    <oddFooter>&amp;L&amp;"Arial"&amp;8 Africa Energy Finance | Book 2 Decision tool D2 | Version 0.9 (pre-release)&amp;C&amp;"Arial"&amp;8 &amp;A&amp;R&amp;"Arial"&amp;8 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Africa Energy Finance</Application>
  <AppVersion>3.1</AppVersion>
</Properties>
</file>

<file path=docProps/core.xml><?xml version="1.0" encoding="utf-8"?>
<cp:coreProperties xmlns:cp="http://schemas.openxmlformats.org/package/2006/metadata/core-properties">
  <dc:creator xmlns:dc="http://purl.org/dc/elements/1.1/">Emmanuel Boujieka Kamga</dc:creator>
  <dc:title xmlns:dc="http://purl.org/dc/elements/1.1/">AEF Book 2 Decision Tool D2: Unit economics calculator</dc:title>
  <dc:subject xmlns:dc="http://purl.org/dc/elements/1.1/">Africa Energy Finance, Book 2 Decision Tools</dc:subject>
  <dcterms:created xmlns:dcterms="http://purl.org/dc/terms/" xmlns:xsi="http://www.w3.org/2001/XMLSchema-instance" xsi:type="dcterms:W3CDTF">2026-10-03T06:26:23Z</dcterms:created>
  <dcterms:modified xmlns:dcterms="http://purl.org/dc/terms/" xmlns:xsi="http://www.w3.org/2001/XMLSchema-instance" xsi:type="dcterms:W3CDTF">2026-10-03T06:26:23Z</dcterms:modified>
  <cp:lastModifiedBy>Emmanuel Boujieka Kamga</cp:lastModifiedBy>
  <cp:keywords>Africa Energy Finance; Book 2; PAYGo Solar Finance; template</cp:keywords>
</cp:coreProperties>
</file>